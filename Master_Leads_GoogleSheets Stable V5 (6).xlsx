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eads" sheetId="1" r:id="rId5"/>
    <sheet state="visible" name="Members" sheetId="2" r:id="rId6"/>
    <sheet state="visible" name="Leads Summary" sheetId="3" r:id="rId7"/>
  </sheets>
  <definedNames>
    <definedName hidden="1" localSheetId="1" name="_xlnm._FilterDatabase">Members!$A$1:$I$1</definedName>
  </definedNames>
  <calcPr/>
</workbook>
</file>

<file path=xl/sharedStrings.xml><?xml version="1.0" encoding="utf-8"?>
<sst xmlns="http://schemas.openxmlformats.org/spreadsheetml/2006/main" count="40320" uniqueCount="9413">
  <si>
    <t>Member Name</t>
  </si>
  <si>
    <t xml:space="preserve"> </t>
  </si>
  <si>
    <t>Raw Phone (as entered)</t>
  </si>
  <si>
    <t xml:space="preserve">  CRM LEADS &amp; PERFORMANCE ANALYTICS</t>
  </si>
  <si>
    <t>F-Code</t>
  </si>
  <si>
    <t>Total Leads (auto)</t>
  </si>
  <si>
    <t>Assigned Member</t>
  </si>
  <si>
    <t xml:space="preserve">  Real-time team analytics, grade distribution, conversion metrics, unresolved pipelines, and campaign effectiveness.</t>
  </si>
  <si>
    <t>Date Added</t>
  </si>
  <si>
    <t>Converted Leads (auto)</t>
  </si>
  <si>
    <t>Status</t>
  </si>
  <si>
    <t>Grade</t>
  </si>
  <si>
    <t>Paid (auto)</t>
  </si>
  <si>
    <t>Comments</t>
  </si>
  <si>
    <t>Campaign / Boost Name</t>
  </si>
  <si>
    <t xml:space="preserve">  Filter Start Date:</t>
  </si>
  <si>
    <t>No Answer (auto)</t>
  </si>
  <si>
    <t>Repeat Student?</t>
  </si>
  <si>
    <t>Duplicate Check</t>
  </si>
  <si>
    <t>Previous F-Code (if repeat)</t>
  </si>
  <si>
    <t>Second Call Done</t>
  </si>
  <si>
    <t>Conversion Rate (auto)</t>
  </si>
  <si>
    <t>Second Call Notes</t>
  </si>
  <si>
    <t>Paid</t>
  </si>
  <si>
    <t>Paid Rate (auto)</t>
  </si>
  <si>
    <t>Date Joined</t>
  </si>
  <si>
    <t>End Date:</t>
  </si>
  <si>
    <t>Notes / Role</t>
  </si>
  <si>
    <t>Leave dates blank to view All-Time data. Format: YYYY-MM-DD (e.g. 2026-07-01)</t>
  </si>
  <si>
    <t>maheesha</t>
  </si>
  <si>
    <t>TABLE 1: ALL LEADS BY MEMBER &amp; GRADE</t>
  </si>
  <si>
    <t>F70000</t>
  </si>
  <si>
    <t>Grade 6</t>
  </si>
  <si>
    <t>Grade 7</t>
  </si>
  <si>
    <t>Grade 8</t>
  </si>
  <si>
    <t>Grade 9</t>
  </si>
  <si>
    <t>Grade 10</t>
  </si>
  <si>
    <t>umesh</t>
  </si>
  <si>
    <t>Grade 11</t>
  </si>
  <si>
    <t>Total Leads</t>
  </si>
  <si>
    <t>Share %</t>
  </si>
  <si>
    <t>No Answer</t>
  </si>
  <si>
    <t>S26</t>
  </si>
  <si>
    <t>No</t>
  </si>
  <si>
    <t>F70001</t>
  </si>
  <si>
    <t>kavinda</t>
  </si>
  <si>
    <t>Contacted</t>
  </si>
  <si>
    <t>busy</t>
  </si>
  <si>
    <t>F70002</t>
  </si>
  <si>
    <t>muthumali</t>
  </si>
  <si>
    <t>menik</t>
  </si>
  <si>
    <t>Yes</t>
  </si>
  <si>
    <t>class walata join una</t>
  </si>
  <si>
    <t>F70003</t>
  </si>
  <si>
    <t>off</t>
  </si>
  <si>
    <t>F70004</t>
  </si>
  <si>
    <t>shamali</t>
  </si>
  <si>
    <t>blala kiynnm</t>
  </si>
  <si>
    <t>F70005</t>
  </si>
  <si>
    <t>join vela ne</t>
  </si>
  <si>
    <t>F70006</t>
  </si>
  <si>
    <t>no a</t>
  </si>
  <si>
    <t>F70007</t>
  </si>
  <si>
    <t>F70008</t>
  </si>
  <si>
    <t>kushalya</t>
  </si>
  <si>
    <t>F70009</t>
  </si>
  <si>
    <t>F70010</t>
  </si>
  <si>
    <t xml:space="preserve">  </t>
  </si>
  <si>
    <t>F70012</t>
  </si>
  <si>
    <t>Avishka</t>
  </si>
  <si>
    <t>class ok</t>
  </si>
  <si>
    <t>F70013</t>
  </si>
  <si>
    <t>Wihanga</t>
  </si>
  <si>
    <t>F70014</t>
  </si>
  <si>
    <t>F70015</t>
  </si>
  <si>
    <t>F70016</t>
  </si>
  <si>
    <t>pay krl</t>
  </si>
  <si>
    <t>F70017</t>
  </si>
  <si>
    <t>passe gnnm</t>
  </si>
  <si>
    <t>F70018</t>
  </si>
  <si>
    <t xml:space="preserve">physical clss ambalanthota </t>
  </si>
  <si>
    <t>F70019</t>
  </si>
  <si>
    <t>Ama</t>
  </si>
  <si>
    <t>F70020</t>
  </si>
  <si>
    <t>Not Interested</t>
  </si>
  <si>
    <t>F70021</t>
  </si>
  <si>
    <t>F70024</t>
  </si>
  <si>
    <t>class enne</t>
  </si>
  <si>
    <t>F70022</t>
  </si>
  <si>
    <t>m 1 dnnm</t>
  </si>
  <si>
    <t>F70023</t>
  </si>
  <si>
    <t>F70026</t>
  </si>
  <si>
    <t>TOTAL</t>
  </si>
  <si>
    <t>F70025</t>
  </si>
  <si>
    <t>cut kara</t>
  </si>
  <si>
    <t>F70027</t>
  </si>
  <si>
    <t>balala kiynnm</t>
  </si>
  <si>
    <t>F70028</t>
  </si>
  <si>
    <t>class enna bari una</t>
  </si>
  <si>
    <t>F70029</t>
  </si>
  <si>
    <t>11,10</t>
  </si>
  <si>
    <t>m 1 dnnmm</t>
  </si>
  <si>
    <t>F70030</t>
  </si>
  <si>
    <t>F70031</t>
  </si>
  <si>
    <t>enna blannm</t>
  </si>
  <si>
    <t>F70032</t>
  </si>
  <si>
    <t>F70033</t>
  </si>
  <si>
    <t>F70038</t>
  </si>
  <si>
    <t>F70034</t>
  </si>
  <si>
    <t>F70035</t>
  </si>
  <si>
    <t>F70036</t>
  </si>
  <si>
    <t>F70037</t>
  </si>
  <si>
    <t>F70039</t>
  </si>
  <si>
    <t>F70042</t>
  </si>
  <si>
    <t>enawa</t>
  </si>
  <si>
    <t>F70044</t>
  </si>
  <si>
    <t>passe gannm kiuva</t>
  </si>
  <si>
    <t>F70041</t>
  </si>
  <si>
    <t>exam nisa beri una</t>
  </si>
  <si>
    <t>F70045</t>
  </si>
  <si>
    <t>F70040</t>
  </si>
  <si>
    <t>F70043</t>
  </si>
  <si>
    <t>F70046</t>
  </si>
  <si>
    <t>F70047</t>
  </si>
  <si>
    <t>F70048</t>
  </si>
  <si>
    <t>Second Call Pending</t>
  </si>
  <si>
    <t>F70049</t>
  </si>
  <si>
    <t>gedara gihin gnnm</t>
  </si>
  <si>
    <t>F70050</t>
  </si>
  <si>
    <t>En m</t>
  </si>
  <si>
    <t>en m</t>
  </si>
  <si>
    <t>F70051</t>
  </si>
  <si>
    <t>F70052</t>
  </si>
  <si>
    <t>enna ona</t>
  </si>
  <si>
    <t>F70053</t>
  </si>
  <si>
    <t>F70054</t>
  </si>
  <si>
    <t>blamu</t>
  </si>
  <si>
    <t>F70055</t>
  </si>
  <si>
    <t>ahl kiynnm</t>
  </si>
  <si>
    <t>F70057</t>
  </si>
  <si>
    <t>cut kra</t>
  </si>
  <si>
    <t>F70056</t>
  </si>
  <si>
    <t>pymt krnnm</t>
  </si>
  <si>
    <t>F70058</t>
  </si>
  <si>
    <t>F70059</t>
  </si>
  <si>
    <t>F70060</t>
  </si>
  <si>
    <t>F70061</t>
  </si>
  <si>
    <t>ahuve nelu</t>
  </si>
  <si>
    <t>F70062</t>
  </si>
  <si>
    <t>ahala kynnm</t>
  </si>
  <si>
    <t>F70064</t>
  </si>
  <si>
    <t>10,11</t>
  </si>
  <si>
    <t xml:space="preserve">goin vela </t>
  </si>
  <si>
    <t>F70063</t>
  </si>
  <si>
    <t xml:space="preserve">exam nis enna beri una </t>
  </si>
  <si>
    <t>F70071</t>
  </si>
  <si>
    <t>F70065</t>
  </si>
  <si>
    <t>F70074</t>
  </si>
  <si>
    <t>ahala kiynnm</t>
  </si>
  <si>
    <t>F70066</t>
  </si>
  <si>
    <t>F70069</t>
  </si>
  <si>
    <t>F70073</t>
  </si>
  <si>
    <t>thawm join une nh</t>
  </si>
  <si>
    <t>F70067</t>
  </si>
  <si>
    <t>Invalid</t>
  </si>
  <si>
    <t>invalid</t>
  </si>
  <si>
    <t>F70068</t>
  </si>
  <si>
    <t>Converted</t>
  </si>
  <si>
    <t>duwagen ahanna one</t>
  </si>
  <si>
    <t>F70070</t>
  </si>
  <si>
    <t>goin velad dannelu</t>
  </si>
  <si>
    <t>F70072</t>
  </si>
  <si>
    <t>vena clz ekakat ynvlu</t>
  </si>
  <si>
    <t>F70075</t>
  </si>
  <si>
    <t>group link eka dann kiuva</t>
  </si>
  <si>
    <t>F70076</t>
  </si>
  <si>
    <t>F70080</t>
  </si>
  <si>
    <t>8,11</t>
  </si>
  <si>
    <t>F70077</t>
  </si>
  <si>
    <t>p awma kynnm</t>
  </si>
  <si>
    <t>F70078</t>
  </si>
  <si>
    <t>psse gannam</t>
  </si>
  <si>
    <t>F70079</t>
  </si>
  <si>
    <t>F70082</t>
  </si>
  <si>
    <t>wife ekka ktakrla kiynnm</t>
  </si>
  <si>
    <t>F70081</t>
  </si>
  <si>
    <t>lmai 2nnek innwa blalala kiyannm</t>
  </si>
  <si>
    <t>F70083</t>
  </si>
  <si>
    <t>p awm gnnm</t>
  </si>
  <si>
    <t>F70085</t>
  </si>
  <si>
    <t>F70084</t>
  </si>
  <si>
    <t>ENG M</t>
  </si>
  <si>
    <t xml:space="preserve">time ba </t>
  </si>
  <si>
    <t>F70086</t>
  </si>
  <si>
    <t>F70087</t>
  </si>
  <si>
    <t>F70088</t>
  </si>
  <si>
    <t>balamu</t>
  </si>
  <si>
    <t>F70089</t>
  </si>
  <si>
    <t>F70090</t>
  </si>
  <si>
    <t>group join vela</t>
  </si>
  <si>
    <t>F70091</t>
  </si>
  <si>
    <t>Eng M</t>
  </si>
  <si>
    <t>call back</t>
  </si>
  <si>
    <t>F70092</t>
  </si>
  <si>
    <t>F70093</t>
  </si>
  <si>
    <t>Off</t>
  </si>
  <si>
    <t>F70112</t>
  </si>
  <si>
    <t>F70094</t>
  </si>
  <si>
    <t>F70095</t>
  </si>
  <si>
    <t>F70097</t>
  </si>
  <si>
    <t>F70096</t>
  </si>
  <si>
    <t>F70098</t>
  </si>
  <si>
    <t>blanna one</t>
  </si>
  <si>
    <t>F70100</t>
  </si>
  <si>
    <t>F70103</t>
  </si>
  <si>
    <t>F70106</t>
  </si>
  <si>
    <t>F70099</t>
  </si>
  <si>
    <t>F70101</t>
  </si>
  <si>
    <t>F70102</t>
  </si>
  <si>
    <t>F70104</t>
  </si>
  <si>
    <t>F70105</t>
  </si>
  <si>
    <t>clz walata join wenna une na blannm</t>
  </si>
  <si>
    <t>F70107</t>
  </si>
  <si>
    <t>F70108</t>
  </si>
  <si>
    <t>putha danne</t>
  </si>
  <si>
    <t>F70109</t>
  </si>
  <si>
    <t>F70110</t>
  </si>
  <si>
    <t>F70111</t>
  </si>
  <si>
    <t xml:space="preserve">class walata join wel inne </t>
  </si>
  <si>
    <t>F70113</t>
  </si>
  <si>
    <t>F70114</t>
  </si>
  <si>
    <t>not sponded</t>
  </si>
  <si>
    <t>F70115</t>
  </si>
  <si>
    <t>PAPER</t>
  </si>
  <si>
    <t>F70116</t>
  </si>
  <si>
    <t>join veld dnnelu</t>
  </si>
  <si>
    <t>F70117</t>
  </si>
  <si>
    <t>F70118</t>
  </si>
  <si>
    <t>F70119</t>
  </si>
  <si>
    <t>F70120</t>
  </si>
  <si>
    <t>F70126</t>
  </si>
  <si>
    <t>F70121</t>
  </si>
  <si>
    <t>F70122</t>
  </si>
  <si>
    <t>druwa dnne</t>
  </si>
  <si>
    <t>F70123</t>
  </si>
  <si>
    <t>F70124</t>
  </si>
  <si>
    <t>tiime ba</t>
  </si>
  <si>
    <t>F70125</t>
  </si>
  <si>
    <t>F70128</t>
  </si>
  <si>
    <t>awe na</t>
  </si>
  <si>
    <t>F70127</t>
  </si>
  <si>
    <t>F70134</t>
  </si>
  <si>
    <t>F70129</t>
  </si>
  <si>
    <t>cut</t>
  </si>
  <si>
    <t>F70130</t>
  </si>
  <si>
    <t>F70131</t>
  </si>
  <si>
    <t>F70135</t>
  </si>
  <si>
    <t>nikam baluwe</t>
  </si>
  <si>
    <t>F70132</t>
  </si>
  <si>
    <t>F70133</t>
  </si>
  <si>
    <t>F70136</t>
  </si>
  <si>
    <t xml:space="preserve">wrone number </t>
  </si>
  <si>
    <t>F70139</t>
  </si>
  <si>
    <t xml:space="preserve">putha ekka katha krala balnnm </t>
  </si>
  <si>
    <t>F70137</t>
  </si>
  <si>
    <t xml:space="preserve">enawa </t>
  </si>
  <si>
    <t>F70138</t>
  </si>
  <si>
    <t>F70140</t>
  </si>
  <si>
    <t>F70141</t>
  </si>
  <si>
    <t>F70142</t>
  </si>
  <si>
    <t>F70143</t>
  </si>
  <si>
    <t>F70144</t>
  </si>
  <si>
    <t>F70145</t>
  </si>
  <si>
    <t>F70146</t>
  </si>
  <si>
    <t>p gnnm</t>
  </si>
  <si>
    <t>F70147</t>
  </si>
  <si>
    <t>puthagen ahann one</t>
  </si>
  <si>
    <t>F70148</t>
  </si>
  <si>
    <t>dnata ekakta ynwa blalala kiyannm</t>
  </si>
  <si>
    <t>F70149</t>
  </si>
  <si>
    <t>waradila</t>
  </si>
  <si>
    <t>F70151</t>
  </si>
  <si>
    <t>F70150</t>
  </si>
  <si>
    <t>F70152</t>
  </si>
  <si>
    <t>wrone number</t>
  </si>
  <si>
    <t>F70153</t>
  </si>
  <si>
    <t>p awam gnnm</t>
  </si>
  <si>
    <t>F70154</t>
  </si>
  <si>
    <t>F70156</t>
  </si>
  <si>
    <t>1 wenida idan enawa</t>
  </si>
  <si>
    <t>F70155</t>
  </si>
  <si>
    <t>join una</t>
  </si>
  <si>
    <t>F70157</t>
  </si>
  <si>
    <t>F70158</t>
  </si>
  <si>
    <t>F70161</t>
  </si>
  <si>
    <t>F70159</t>
  </si>
  <si>
    <t>puthagen ahnn one</t>
  </si>
  <si>
    <t>F70160</t>
  </si>
  <si>
    <t>failed</t>
  </si>
  <si>
    <t>F70162</t>
  </si>
  <si>
    <t>F70163</t>
  </si>
  <si>
    <t>grade 11 putha ekka ktakrala kiyannm</t>
  </si>
  <si>
    <t>F70164</t>
  </si>
  <si>
    <t>F70167</t>
  </si>
  <si>
    <t>F70165</t>
  </si>
  <si>
    <t>poddak blala kiynnm</t>
  </si>
  <si>
    <t>F70166</t>
  </si>
  <si>
    <t>F70169</t>
  </si>
  <si>
    <t>F70168</t>
  </si>
  <si>
    <t>wistra dnna</t>
  </si>
  <si>
    <t>F70170</t>
  </si>
  <si>
    <t>F70171</t>
  </si>
  <si>
    <t>amma awm gnnm</t>
  </si>
  <si>
    <t>F70172</t>
  </si>
  <si>
    <t>F70173</t>
  </si>
  <si>
    <t>pymnt kral</t>
  </si>
  <si>
    <t>F70174</t>
  </si>
  <si>
    <t>F70175</t>
  </si>
  <si>
    <t>F70177</t>
  </si>
  <si>
    <t>join wela</t>
  </si>
  <si>
    <t>F70176</t>
  </si>
  <si>
    <t>F70178</t>
  </si>
  <si>
    <t>blannm</t>
  </si>
  <si>
    <t>F70179</t>
  </si>
  <si>
    <t>F70180</t>
  </si>
  <si>
    <t>F70181</t>
  </si>
  <si>
    <t>F70182</t>
  </si>
  <si>
    <t>F70183</t>
  </si>
  <si>
    <t>F70184</t>
  </si>
  <si>
    <t>F70185</t>
  </si>
  <si>
    <t>F70186</t>
  </si>
  <si>
    <t>F70187</t>
  </si>
  <si>
    <t>me welawe busy paymnt krannm</t>
  </si>
  <si>
    <t>F70188</t>
  </si>
  <si>
    <t>psse ganna</t>
  </si>
  <si>
    <t>F70189</t>
  </si>
  <si>
    <t>F70193</t>
  </si>
  <si>
    <t>F70190</t>
  </si>
  <si>
    <t>feild</t>
  </si>
  <si>
    <t>F70191</t>
  </si>
  <si>
    <t>F70192</t>
  </si>
  <si>
    <t>recording</t>
  </si>
  <si>
    <t>enne na</t>
  </si>
  <si>
    <t>F70194</t>
  </si>
  <si>
    <t>nangi awama gannm</t>
  </si>
  <si>
    <t>F70195</t>
  </si>
  <si>
    <t>F70196</t>
  </si>
  <si>
    <t>F70197</t>
  </si>
  <si>
    <t>F70198</t>
  </si>
  <si>
    <t>F70200</t>
  </si>
  <si>
    <t>F70199</t>
  </si>
  <si>
    <t>F70203</t>
  </si>
  <si>
    <t>F70201</t>
  </si>
  <si>
    <t>F70202</t>
  </si>
  <si>
    <t>F70204</t>
  </si>
  <si>
    <t>F70205</t>
  </si>
  <si>
    <t>F70206</t>
  </si>
  <si>
    <t>11 revision ekta mg ekak dannm</t>
  </si>
  <si>
    <t>F70207</t>
  </si>
  <si>
    <t>F70208</t>
  </si>
  <si>
    <t>ada class ekt enawa</t>
  </si>
  <si>
    <t>F70210</t>
  </si>
  <si>
    <t>F70209</t>
  </si>
  <si>
    <t>11 mg ekk dannm qwa</t>
  </si>
  <si>
    <t>F70211</t>
  </si>
  <si>
    <t>mg ekak dannam</t>
  </si>
  <si>
    <t>F70212</t>
  </si>
  <si>
    <t>F70213</t>
  </si>
  <si>
    <t>ad join wenw</t>
  </si>
  <si>
    <t>F70214</t>
  </si>
  <si>
    <t>F70215</t>
  </si>
  <si>
    <t>5 wasara</t>
  </si>
  <si>
    <t>F70218</t>
  </si>
  <si>
    <t>link eka eyalata yawwa join wenna athi</t>
  </si>
  <si>
    <t>F70216</t>
  </si>
  <si>
    <t>F70217</t>
  </si>
  <si>
    <t>F70219</t>
  </si>
  <si>
    <t>F70220</t>
  </si>
  <si>
    <t>F70221</t>
  </si>
  <si>
    <t>ad class</t>
  </si>
  <si>
    <t>F70222</t>
  </si>
  <si>
    <t>11 pare inne ahenne na passe gannm</t>
  </si>
  <si>
    <t>F70223</t>
  </si>
  <si>
    <t>F70226</t>
  </si>
  <si>
    <t>join wenna thmai inne</t>
  </si>
  <si>
    <t>F70224</t>
  </si>
  <si>
    <t>F70225</t>
  </si>
  <si>
    <t>Wada na</t>
  </si>
  <si>
    <t>F70227</t>
  </si>
  <si>
    <t>F70228</t>
  </si>
  <si>
    <t>F70229</t>
  </si>
  <si>
    <t>F70230</t>
  </si>
  <si>
    <t>F70231</t>
  </si>
  <si>
    <t>F70233</t>
  </si>
  <si>
    <t>F70232</t>
  </si>
  <si>
    <t>p ahl a kiynnm</t>
  </si>
  <si>
    <t>F70234</t>
  </si>
  <si>
    <t>F70235</t>
  </si>
  <si>
    <t>F70236</t>
  </si>
  <si>
    <t>F70237</t>
  </si>
  <si>
    <t>F70238</t>
  </si>
  <si>
    <t>F70243</t>
  </si>
  <si>
    <t>F70239</t>
  </si>
  <si>
    <t>F70240</t>
  </si>
  <si>
    <t>F70241</t>
  </si>
  <si>
    <t>F70242</t>
  </si>
  <si>
    <t>p ahla gnnm</t>
  </si>
  <si>
    <t>F70244</t>
  </si>
  <si>
    <t>F70250</t>
  </si>
  <si>
    <t>F70246</t>
  </si>
  <si>
    <t>F46630</t>
  </si>
  <si>
    <t>F70247</t>
  </si>
  <si>
    <t>F70248</t>
  </si>
  <si>
    <t>F70249</t>
  </si>
  <si>
    <t>F70251</t>
  </si>
  <si>
    <t>F70252</t>
  </si>
  <si>
    <t>F70253</t>
  </si>
  <si>
    <t>F70254</t>
  </si>
  <si>
    <t>F70255</t>
  </si>
  <si>
    <t>F70256</t>
  </si>
  <si>
    <t>F70258</t>
  </si>
  <si>
    <t>F70257</t>
  </si>
  <si>
    <t>F70259</t>
  </si>
  <si>
    <t>F45957</t>
  </si>
  <si>
    <t>F70260</t>
  </si>
  <si>
    <t>F70261</t>
  </si>
  <si>
    <t>F70263</t>
  </si>
  <si>
    <t>F70262</t>
  </si>
  <si>
    <t>F70264</t>
  </si>
  <si>
    <t>F70265</t>
  </si>
  <si>
    <t>F70266</t>
  </si>
  <si>
    <t>ennm</t>
  </si>
  <si>
    <t>F70267</t>
  </si>
  <si>
    <t>F70268</t>
  </si>
  <si>
    <t>F70269</t>
  </si>
  <si>
    <t>F70270</t>
  </si>
  <si>
    <t>F70271</t>
  </si>
  <si>
    <t>F70272</t>
  </si>
  <si>
    <t>F70273</t>
  </si>
  <si>
    <t>F70274</t>
  </si>
  <si>
    <t>F70275</t>
  </si>
  <si>
    <t>F70276</t>
  </si>
  <si>
    <t>F70277</t>
  </si>
  <si>
    <t>F70278</t>
  </si>
  <si>
    <t>F70279</t>
  </si>
  <si>
    <t>F70282</t>
  </si>
  <si>
    <t>TABLE 2: PAID LEADS BY MEMBER &amp; GRADE</t>
  </si>
  <si>
    <t>F70280</t>
  </si>
  <si>
    <t>F70281</t>
  </si>
  <si>
    <t>Total Paid</t>
  </si>
  <si>
    <t>Paid Share %</t>
  </si>
  <si>
    <t>Conversion %</t>
  </si>
  <si>
    <t>F70283</t>
  </si>
  <si>
    <t>F70284</t>
  </si>
  <si>
    <t>F70285</t>
  </si>
  <si>
    <t>F48342</t>
  </si>
  <si>
    <t>F70286</t>
  </si>
  <si>
    <t>F70287</t>
  </si>
  <si>
    <t>F70288</t>
  </si>
  <si>
    <t>F70289</t>
  </si>
  <si>
    <t>F70290</t>
  </si>
  <si>
    <t>F56261</t>
  </si>
  <si>
    <t>F70295</t>
  </si>
  <si>
    <t>payment ok</t>
  </si>
  <si>
    <t>F70292</t>
  </si>
  <si>
    <t>Tamil</t>
  </si>
  <si>
    <t>F70293</t>
  </si>
  <si>
    <t>F70294</t>
  </si>
  <si>
    <t>F70296</t>
  </si>
  <si>
    <t>F49746</t>
  </si>
  <si>
    <t>English</t>
  </si>
  <si>
    <t>F70297</t>
  </si>
  <si>
    <t>F70299</t>
  </si>
  <si>
    <t>F70300</t>
  </si>
  <si>
    <t>F70298</t>
  </si>
  <si>
    <t>9,10</t>
  </si>
  <si>
    <t>F70301</t>
  </si>
  <si>
    <t>F70302</t>
  </si>
  <si>
    <t>F70303</t>
  </si>
  <si>
    <t>F70305</t>
  </si>
  <si>
    <t>F70304</t>
  </si>
  <si>
    <t>F70306</t>
  </si>
  <si>
    <t>F70307</t>
  </si>
  <si>
    <t>ahuwe nalu</t>
  </si>
  <si>
    <t>F70308</t>
  </si>
  <si>
    <t>F70309</t>
  </si>
  <si>
    <t>F70310</t>
  </si>
  <si>
    <t>F70311</t>
  </si>
  <si>
    <t>F70313</t>
  </si>
  <si>
    <t>F70312</t>
  </si>
  <si>
    <t>F70314</t>
  </si>
  <si>
    <t>F70315</t>
  </si>
  <si>
    <t>F70316</t>
  </si>
  <si>
    <t>F43188</t>
  </si>
  <si>
    <t>F70317</t>
  </si>
  <si>
    <t>F70322</t>
  </si>
  <si>
    <t>F70318</t>
  </si>
  <si>
    <t>F70319</t>
  </si>
  <si>
    <t>F70320</t>
  </si>
  <si>
    <t>F70321</t>
  </si>
  <si>
    <t>F70323</t>
  </si>
  <si>
    <t>F70324</t>
  </si>
  <si>
    <t>F70327</t>
  </si>
  <si>
    <t>F70328</t>
  </si>
  <si>
    <t>time</t>
  </si>
  <si>
    <t>F70325</t>
  </si>
  <si>
    <t>F70326</t>
  </si>
  <si>
    <t>F70329</t>
  </si>
  <si>
    <t>F70330</t>
  </si>
  <si>
    <t>F70331</t>
  </si>
  <si>
    <t>F70332</t>
  </si>
  <si>
    <t>F70333</t>
  </si>
  <si>
    <t>F70334</t>
  </si>
  <si>
    <t>F70335</t>
  </si>
  <si>
    <t>F70336</t>
  </si>
  <si>
    <t>F70337</t>
  </si>
  <si>
    <t>F70338</t>
  </si>
  <si>
    <t>F70339</t>
  </si>
  <si>
    <t>visthara lebila</t>
  </si>
  <si>
    <t>F70340</t>
  </si>
  <si>
    <t>F70341</t>
  </si>
  <si>
    <t>F70342</t>
  </si>
  <si>
    <t>F70343</t>
  </si>
  <si>
    <t>F70345</t>
  </si>
  <si>
    <t>F70344</t>
  </si>
  <si>
    <t>F70346</t>
  </si>
  <si>
    <t>F70347</t>
  </si>
  <si>
    <t>F70348</t>
  </si>
  <si>
    <t>F70350</t>
  </si>
  <si>
    <t>F70352</t>
  </si>
  <si>
    <t>F70349</t>
  </si>
  <si>
    <t>F70351</t>
  </si>
  <si>
    <t>F55913</t>
  </si>
  <si>
    <t>F70354</t>
  </si>
  <si>
    <t>F70356</t>
  </si>
  <si>
    <t>F70355</t>
  </si>
  <si>
    <t>F70357</t>
  </si>
  <si>
    <t>F70359</t>
  </si>
  <si>
    <t>F70358</t>
  </si>
  <si>
    <t>F70362</t>
  </si>
  <si>
    <t>F70360</t>
  </si>
  <si>
    <t>F70361</t>
  </si>
  <si>
    <t>F70364</t>
  </si>
  <si>
    <t>F70363</t>
  </si>
  <si>
    <t>F70365</t>
  </si>
  <si>
    <t>F12046</t>
  </si>
  <si>
    <t>Free</t>
  </si>
  <si>
    <t>F70367</t>
  </si>
  <si>
    <t>F70366</t>
  </si>
  <si>
    <t>F70368</t>
  </si>
  <si>
    <t>F70369</t>
  </si>
  <si>
    <t>F57200</t>
  </si>
  <si>
    <t>F70370</t>
  </si>
  <si>
    <t>F70371</t>
  </si>
  <si>
    <t>F70372</t>
  </si>
  <si>
    <t>F70373</t>
  </si>
  <si>
    <t>F70374</t>
  </si>
  <si>
    <t>F70375</t>
  </si>
  <si>
    <t>F70376</t>
  </si>
  <si>
    <t>F70379</t>
  </si>
  <si>
    <t>F70378</t>
  </si>
  <si>
    <t>F70380</t>
  </si>
  <si>
    <t>F70381</t>
  </si>
  <si>
    <t>F70382</t>
  </si>
  <si>
    <t>F70383</t>
  </si>
  <si>
    <t>F70384</t>
  </si>
  <si>
    <t>F70385</t>
  </si>
  <si>
    <t>F70386</t>
  </si>
  <si>
    <t>F70388</t>
  </si>
  <si>
    <t>F70387</t>
  </si>
  <si>
    <t>F70389</t>
  </si>
  <si>
    <t>F70390</t>
  </si>
  <si>
    <t>F70391</t>
  </si>
  <si>
    <t>F70392</t>
  </si>
  <si>
    <t>F70393</t>
  </si>
  <si>
    <t>F70394</t>
  </si>
  <si>
    <t>F70395</t>
  </si>
  <si>
    <t>F70397</t>
  </si>
  <si>
    <t>F70396</t>
  </si>
  <si>
    <t>F70398</t>
  </si>
  <si>
    <t>F70399</t>
  </si>
  <si>
    <t>F70400</t>
  </si>
  <si>
    <t>F70401</t>
  </si>
  <si>
    <t>ENE NA</t>
  </si>
  <si>
    <t>F70403</t>
  </si>
  <si>
    <t>F70402</t>
  </si>
  <si>
    <t>Waraidila</t>
  </si>
  <si>
    <t>F70404</t>
  </si>
  <si>
    <t>F70405</t>
  </si>
  <si>
    <t>F70407</t>
  </si>
  <si>
    <t>waradila lu</t>
  </si>
  <si>
    <t>F70406</t>
  </si>
  <si>
    <t>kalin ims eke</t>
  </si>
  <si>
    <t>F70408</t>
  </si>
  <si>
    <t>F70409</t>
  </si>
  <si>
    <t>New</t>
  </si>
  <si>
    <t>F70410</t>
  </si>
  <si>
    <t>F70411</t>
  </si>
  <si>
    <t>F70415</t>
  </si>
  <si>
    <t>F70412</t>
  </si>
  <si>
    <t>F70413</t>
  </si>
  <si>
    <t>F70414</t>
  </si>
  <si>
    <t>F70416</t>
  </si>
  <si>
    <t>F70417</t>
  </si>
  <si>
    <t>F70418</t>
  </si>
  <si>
    <t>F70419</t>
  </si>
  <si>
    <t>F70420</t>
  </si>
  <si>
    <t>F184</t>
  </si>
  <si>
    <t>F70421</t>
  </si>
  <si>
    <t>F70423</t>
  </si>
  <si>
    <t>F70424</t>
  </si>
  <si>
    <t>taime ba</t>
  </si>
  <si>
    <t>F70425</t>
  </si>
  <si>
    <t>TOTAL PAID</t>
  </si>
  <si>
    <t>F31027</t>
  </si>
  <si>
    <t>F70426</t>
  </si>
  <si>
    <t>F70428</t>
  </si>
  <si>
    <t>Follow-up</t>
  </si>
  <si>
    <t>ene na</t>
  </si>
  <si>
    <t>F70429</t>
  </si>
  <si>
    <t>F70430</t>
  </si>
  <si>
    <t>F70431</t>
  </si>
  <si>
    <t>F70432</t>
  </si>
  <si>
    <t>F70440</t>
  </si>
  <si>
    <t>F70433</t>
  </si>
  <si>
    <t>F70435</t>
  </si>
  <si>
    <t>F70434</t>
  </si>
  <si>
    <t>F70436</t>
  </si>
  <si>
    <t>TABLE 3: UNRESOLVED LEADS PIPELINE BY MEMBER</t>
  </si>
  <si>
    <t>F70439</t>
  </si>
  <si>
    <t>New Leads</t>
  </si>
  <si>
    <t>Interested</t>
  </si>
  <si>
    <t>Other Pending</t>
  </si>
  <si>
    <t>Total Unresolved</t>
  </si>
  <si>
    <t>Unresolved %</t>
  </si>
  <si>
    <t>Actionable Rate</t>
  </si>
  <si>
    <t>F70437</t>
  </si>
  <si>
    <t>F70438</t>
  </si>
  <si>
    <t>F70442</t>
  </si>
  <si>
    <t>F70441</t>
  </si>
  <si>
    <t>F70444</t>
  </si>
  <si>
    <t>F70443</t>
  </si>
  <si>
    <t>F70445</t>
  </si>
  <si>
    <t>F70446</t>
  </si>
  <si>
    <t>time pss</t>
  </si>
  <si>
    <t>F70447</t>
  </si>
  <si>
    <t>time pass</t>
  </si>
  <si>
    <t>F70448</t>
  </si>
  <si>
    <t>F70449</t>
  </si>
  <si>
    <t>F70452</t>
  </si>
  <si>
    <t>F70450</t>
  </si>
  <si>
    <t>putha avama balannm kiuva</t>
  </si>
  <si>
    <t>F70451</t>
  </si>
  <si>
    <t>m1 dnnm kiw</t>
  </si>
  <si>
    <t>F70453</t>
  </si>
  <si>
    <t>join vel ne</t>
  </si>
  <si>
    <t>F70454</t>
  </si>
  <si>
    <t>join vela</t>
  </si>
  <si>
    <t>F70455</t>
  </si>
  <si>
    <t>Busy</t>
  </si>
  <si>
    <t>F70456</t>
  </si>
  <si>
    <t>t pass</t>
  </si>
  <si>
    <t>F70457</t>
  </si>
  <si>
    <t>F70458</t>
  </si>
  <si>
    <t>F70459</t>
  </si>
  <si>
    <t>F70460</t>
  </si>
  <si>
    <t>m 1 dnnm k</t>
  </si>
  <si>
    <t>F70463</t>
  </si>
  <si>
    <t>F70461</t>
  </si>
  <si>
    <t>F70462</t>
  </si>
  <si>
    <t>clz ok fee gevla</t>
  </si>
  <si>
    <t>F70464</t>
  </si>
  <si>
    <t>F70466</t>
  </si>
  <si>
    <t>F70468</t>
  </si>
  <si>
    <t>F70465</t>
  </si>
  <si>
    <t>F70467</t>
  </si>
  <si>
    <t>F70469</t>
  </si>
  <si>
    <t>time passd</t>
  </si>
  <si>
    <t>F70470</t>
  </si>
  <si>
    <t>F70474</t>
  </si>
  <si>
    <t>F70471</t>
  </si>
  <si>
    <t>F70472</t>
  </si>
  <si>
    <t>F70473</t>
  </si>
  <si>
    <t>F70477</t>
  </si>
  <si>
    <t>F70475</t>
  </si>
  <si>
    <t>passe cl ekak gannm kiuva</t>
  </si>
  <si>
    <t>F70476</t>
  </si>
  <si>
    <t>F70478</t>
  </si>
  <si>
    <t>m1 dnnm k</t>
  </si>
  <si>
    <t>F70479</t>
  </si>
  <si>
    <t>F70480</t>
  </si>
  <si>
    <t>F70481</t>
  </si>
  <si>
    <t>F70482</t>
  </si>
  <si>
    <t>F70483</t>
  </si>
  <si>
    <t>F70485</t>
  </si>
  <si>
    <t>F70484</t>
  </si>
  <si>
    <t>F70489</t>
  </si>
  <si>
    <t>F70488</t>
  </si>
  <si>
    <t>F70486</t>
  </si>
  <si>
    <t>F70487</t>
  </si>
  <si>
    <t>F70490</t>
  </si>
  <si>
    <t>F70492</t>
  </si>
  <si>
    <t>F70491</t>
  </si>
  <si>
    <t>F70494</t>
  </si>
  <si>
    <t>Wrong number</t>
  </si>
  <si>
    <t>F70493</t>
  </si>
  <si>
    <t>time passed</t>
  </si>
  <si>
    <t>F70496</t>
  </si>
  <si>
    <t>F70499</t>
  </si>
  <si>
    <t>F70495</t>
  </si>
  <si>
    <t>F70497</t>
  </si>
  <si>
    <t>F70498</t>
  </si>
  <si>
    <t>F70502</t>
  </si>
  <si>
    <t>F70500</t>
  </si>
  <si>
    <t>F70501</t>
  </si>
  <si>
    <t>F70503</t>
  </si>
  <si>
    <t>F70504</t>
  </si>
  <si>
    <t>F70507</t>
  </si>
  <si>
    <t>F70505</t>
  </si>
  <si>
    <t>F70508</t>
  </si>
  <si>
    <t>time ba</t>
  </si>
  <si>
    <t>F70506</t>
  </si>
  <si>
    <t>F70509</t>
  </si>
  <si>
    <t>F70510</t>
  </si>
  <si>
    <t>F70511</t>
  </si>
  <si>
    <t xml:space="preserve">m 1dnnm k </t>
  </si>
  <si>
    <t>F70512</t>
  </si>
  <si>
    <t>F70513</t>
  </si>
  <si>
    <t>F70514</t>
  </si>
  <si>
    <t>F70515</t>
  </si>
  <si>
    <t>F70516</t>
  </si>
  <si>
    <t>F70517</t>
  </si>
  <si>
    <t>F70520</t>
  </si>
  <si>
    <t>F70518</t>
  </si>
  <si>
    <t>F70519</t>
  </si>
  <si>
    <t>F70521</t>
  </si>
  <si>
    <t>F70522</t>
  </si>
  <si>
    <t>F70555</t>
  </si>
  <si>
    <t>SEMINA</t>
  </si>
  <si>
    <t>F70523</t>
  </si>
  <si>
    <t>F70524</t>
  </si>
  <si>
    <t>F70525</t>
  </si>
  <si>
    <t>F70527</t>
  </si>
  <si>
    <t>F70526</t>
  </si>
  <si>
    <t>F70528</t>
  </si>
  <si>
    <t>F70530</t>
  </si>
  <si>
    <t>F70529</t>
  </si>
  <si>
    <t>putha avama blnnm kiuva</t>
  </si>
  <si>
    <t>F70531</t>
  </si>
  <si>
    <t>F70532</t>
  </si>
  <si>
    <t>F70533</t>
  </si>
  <si>
    <t>F70534</t>
  </si>
  <si>
    <t>F70535</t>
  </si>
  <si>
    <t>F70536</t>
  </si>
  <si>
    <t>F70537</t>
  </si>
  <si>
    <t>F70538</t>
  </si>
  <si>
    <t>join vel group ekt</t>
  </si>
  <si>
    <t>F70539</t>
  </si>
  <si>
    <t>time paassd</t>
  </si>
  <si>
    <t>F70540</t>
  </si>
  <si>
    <t>F70541</t>
  </si>
  <si>
    <t>F70542</t>
  </si>
  <si>
    <t>F70543</t>
  </si>
  <si>
    <t>cut kr</t>
  </si>
  <si>
    <t>F70544</t>
  </si>
  <si>
    <t>F70545</t>
  </si>
  <si>
    <t>F70546</t>
  </si>
  <si>
    <t>F70548</t>
  </si>
  <si>
    <t>F70547</t>
  </si>
  <si>
    <t>F70549</t>
  </si>
  <si>
    <t>F70550</t>
  </si>
  <si>
    <t>F70552</t>
  </si>
  <si>
    <t>F70551</t>
  </si>
  <si>
    <t>F70553</t>
  </si>
  <si>
    <t>m 1 dnnm kiw</t>
  </si>
  <si>
    <t>F70556</t>
  </si>
  <si>
    <t>F70554</t>
  </si>
  <si>
    <t>F70557</t>
  </si>
  <si>
    <t>F70559</t>
  </si>
  <si>
    <t>F70558</t>
  </si>
  <si>
    <t>F70560</t>
  </si>
  <si>
    <t>F70561</t>
  </si>
  <si>
    <t>F70562</t>
  </si>
  <si>
    <t>F70563</t>
  </si>
  <si>
    <t>m1 dnnm</t>
  </si>
  <si>
    <t>F70567</t>
  </si>
  <si>
    <t>F70564</t>
  </si>
  <si>
    <t>F70565</t>
  </si>
  <si>
    <t>group goin vel</t>
  </si>
  <si>
    <t>F70566</t>
  </si>
  <si>
    <t>F70568</t>
  </si>
  <si>
    <t>F70569</t>
  </si>
  <si>
    <t>F70570</t>
  </si>
  <si>
    <t>F70571</t>
  </si>
  <si>
    <t>F70573</t>
  </si>
  <si>
    <t>F70574</t>
  </si>
  <si>
    <t>t psd</t>
  </si>
  <si>
    <t>F70572</t>
  </si>
  <si>
    <t>F70575</t>
  </si>
  <si>
    <t>F70576</t>
  </si>
  <si>
    <t>F70577</t>
  </si>
  <si>
    <t>F70578</t>
  </si>
  <si>
    <t>F70579</t>
  </si>
  <si>
    <t>F70580</t>
  </si>
  <si>
    <t>F70581</t>
  </si>
  <si>
    <t>F70584</t>
  </si>
  <si>
    <t>F70582</t>
  </si>
  <si>
    <t>F70583</t>
  </si>
  <si>
    <t>F70585</t>
  </si>
  <si>
    <t>F70589</t>
  </si>
  <si>
    <t>F70587</t>
  </si>
  <si>
    <t>F70588</t>
  </si>
  <si>
    <t>F70594</t>
  </si>
  <si>
    <t>F70590</t>
  </si>
  <si>
    <t>Call Another Number</t>
  </si>
  <si>
    <t>F70591</t>
  </si>
  <si>
    <t>F70592</t>
  </si>
  <si>
    <t>F70593</t>
  </si>
  <si>
    <t>F70597</t>
  </si>
  <si>
    <t>eng m</t>
  </si>
  <si>
    <t>F70595</t>
  </si>
  <si>
    <t>F70596</t>
  </si>
  <si>
    <t>F70598</t>
  </si>
  <si>
    <t>F70599</t>
  </si>
  <si>
    <t>F70604</t>
  </si>
  <si>
    <t>F70600</t>
  </si>
  <si>
    <t>F70601</t>
  </si>
  <si>
    <t>F70602</t>
  </si>
  <si>
    <t>F70603</t>
  </si>
  <si>
    <t>vena clss ekakt ynvlu</t>
  </si>
  <si>
    <t>F70607</t>
  </si>
  <si>
    <t>F70605</t>
  </si>
  <si>
    <t>TOTAL UNRESOLVED</t>
  </si>
  <si>
    <t>F70606</t>
  </si>
  <si>
    <t>F70608</t>
  </si>
  <si>
    <t>F70610</t>
  </si>
  <si>
    <t>F70609</t>
  </si>
  <si>
    <t>m 1dnnm kiw</t>
  </si>
  <si>
    <t>F70613</t>
  </si>
  <si>
    <t>F70611</t>
  </si>
  <si>
    <t>F70612</t>
  </si>
  <si>
    <t>F70614</t>
  </si>
  <si>
    <t>F70615</t>
  </si>
  <si>
    <t>F70616</t>
  </si>
  <si>
    <t>F70617</t>
  </si>
  <si>
    <t>F70618</t>
  </si>
  <si>
    <t>F70619</t>
  </si>
  <si>
    <t>F70621</t>
  </si>
  <si>
    <t>F70620</t>
  </si>
  <si>
    <t>F70622</t>
  </si>
  <si>
    <t>F70623</t>
  </si>
  <si>
    <t>F70624</t>
  </si>
  <si>
    <t>F70625</t>
  </si>
  <si>
    <t>F70626</t>
  </si>
  <si>
    <t>F70627</t>
  </si>
  <si>
    <t>TABLE 4: CAMPAIGN ROI &amp; PERFORMANCE MATRIX</t>
  </si>
  <si>
    <t>F70628</t>
  </si>
  <si>
    <t>F70629</t>
  </si>
  <si>
    <t>Campaign / Boost</t>
  </si>
  <si>
    <t>F70630</t>
  </si>
  <si>
    <t>Paid Students</t>
  </si>
  <si>
    <t>Active Pipeline</t>
  </si>
  <si>
    <t>ahenne</t>
  </si>
  <si>
    <t>09 A3</t>
  </si>
  <si>
    <t>F70631</t>
  </si>
  <si>
    <t>F70632</t>
  </si>
  <si>
    <t>F70633</t>
  </si>
  <si>
    <t>F70635</t>
  </si>
  <si>
    <t>F70634</t>
  </si>
  <si>
    <t>F70636</t>
  </si>
  <si>
    <t>F70637</t>
  </si>
  <si>
    <t>F70638</t>
  </si>
  <si>
    <t>10 A1</t>
  </si>
  <si>
    <t>balal kiynnm kiuva</t>
  </si>
  <si>
    <t>F70639</t>
  </si>
  <si>
    <t>F70640</t>
  </si>
  <si>
    <t>F70641</t>
  </si>
  <si>
    <t>F70642</t>
  </si>
  <si>
    <t>F70643</t>
  </si>
  <si>
    <t>psse gnnm</t>
  </si>
  <si>
    <t>F70644</t>
  </si>
  <si>
    <t>F70646</t>
  </si>
  <si>
    <t>F70645</t>
  </si>
  <si>
    <t>6,7,8 A4</t>
  </si>
  <si>
    <t>F70647</t>
  </si>
  <si>
    <t>F70648</t>
  </si>
  <si>
    <t>F70649</t>
  </si>
  <si>
    <t>F70650</t>
  </si>
  <si>
    <t>F70651</t>
  </si>
  <si>
    <t>F70652</t>
  </si>
  <si>
    <t>F70653</t>
  </si>
  <si>
    <t>F70654</t>
  </si>
  <si>
    <t>617 M</t>
  </si>
  <si>
    <t>F70656</t>
  </si>
  <si>
    <t>F70655</t>
  </si>
  <si>
    <t>F70657</t>
  </si>
  <si>
    <t>F70658</t>
  </si>
  <si>
    <t>F70659</t>
  </si>
  <si>
    <t>F70660</t>
  </si>
  <si>
    <t>F70661</t>
  </si>
  <si>
    <t>F70662</t>
  </si>
  <si>
    <t>F70663</t>
  </si>
  <si>
    <t>76 M</t>
  </si>
  <si>
    <t>F70664</t>
  </si>
  <si>
    <t>group join vel</t>
  </si>
  <si>
    <t>F70668</t>
  </si>
  <si>
    <t>F70665</t>
  </si>
  <si>
    <t>F70666</t>
  </si>
  <si>
    <t>F70667</t>
  </si>
  <si>
    <t>F70681</t>
  </si>
  <si>
    <t>F70669</t>
  </si>
  <si>
    <t>77 M</t>
  </si>
  <si>
    <t>F70670</t>
  </si>
  <si>
    <t>F70671</t>
  </si>
  <si>
    <t>F70672</t>
  </si>
  <si>
    <t>F70673</t>
  </si>
  <si>
    <t>F70674</t>
  </si>
  <si>
    <t>F70675</t>
  </si>
  <si>
    <t>time be</t>
  </si>
  <si>
    <t>F70676</t>
  </si>
  <si>
    <t>F70677</t>
  </si>
  <si>
    <t>77M</t>
  </si>
  <si>
    <t>F70679</t>
  </si>
  <si>
    <t>F70678</t>
  </si>
  <si>
    <t>onnelu</t>
  </si>
  <si>
    <t>F70680</t>
  </si>
  <si>
    <t>F70682</t>
  </si>
  <si>
    <t>F70683</t>
  </si>
  <si>
    <t>F70684</t>
  </si>
  <si>
    <t>F70685</t>
  </si>
  <si>
    <t>F70686</t>
  </si>
  <si>
    <t>78 M</t>
  </si>
  <si>
    <t>F70687</t>
  </si>
  <si>
    <t>F70688</t>
  </si>
  <si>
    <t>F70689</t>
  </si>
  <si>
    <t>F70690</t>
  </si>
  <si>
    <t>F70698</t>
  </si>
  <si>
    <t>S27</t>
  </si>
  <si>
    <t>F70691</t>
  </si>
  <si>
    <t>F70692</t>
  </si>
  <si>
    <t>F70693</t>
  </si>
  <si>
    <t>F70694</t>
  </si>
  <si>
    <t>78M</t>
  </si>
  <si>
    <t>F70695</t>
  </si>
  <si>
    <t>F70696</t>
  </si>
  <si>
    <t>F70697</t>
  </si>
  <si>
    <t>F70699</t>
  </si>
  <si>
    <t>F70700</t>
  </si>
  <si>
    <t>F70701</t>
  </si>
  <si>
    <t>F70702</t>
  </si>
  <si>
    <t>m1dnnm kiw</t>
  </si>
  <si>
    <t>9 A9</t>
  </si>
  <si>
    <t>F70703</t>
  </si>
  <si>
    <t>F70704</t>
  </si>
  <si>
    <t>F70705</t>
  </si>
  <si>
    <t>F70706</t>
  </si>
  <si>
    <t>F70707</t>
  </si>
  <si>
    <t>F70708</t>
  </si>
  <si>
    <t>F70709</t>
  </si>
  <si>
    <t>F70710</t>
  </si>
  <si>
    <t>F70712</t>
  </si>
  <si>
    <t>CB1</t>
  </si>
  <si>
    <t>F70711</t>
  </si>
  <si>
    <t>F70713</t>
  </si>
  <si>
    <t>F70714</t>
  </si>
  <si>
    <t>F70715</t>
  </si>
  <si>
    <t>F70718</t>
  </si>
  <si>
    <t>F70716</t>
  </si>
  <si>
    <t>duva gedra nelu</t>
  </si>
  <si>
    <t>F70722</t>
  </si>
  <si>
    <t>PB</t>
  </si>
  <si>
    <t>F70717</t>
  </si>
  <si>
    <t>F70719</t>
  </si>
  <si>
    <t>F70720</t>
  </si>
  <si>
    <t>F70721</t>
  </si>
  <si>
    <t>F70728</t>
  </si>
  <si>
    <t>F70725</t>
  </si>
  <si>
    <t>F70723</t>
  </si>
  <si>
    <t>F70724</t>
  </si>
  <si>
    <t>F70726</t>
  </si>
  <si>
    <t>F70727</t>
  </si>
  <si>
    <t>F70729</t>
  </si>
  <si>
    <t>F70730</t>
  </si>
  <si>
    <t>F70731</t>
  </si>
  <si>
    <t>F70732</t>
  </si>
  <si>
    <t>F70733</t>
  </si>
  <si>
    <t>F70734</t>
  </si>
  <si>
    <t>F70735</t>
  </si>
  <si>
    <t>F70736</t>
  </si>
  <si>
    <t>F70737</t>
  </si>
  <si>
    <t>TOTAL CAMPAIGN</t>
  </si>
  <si>
    <t>F70739</t>
  </si>
  <si>
    <t>F70738</t>
  </si>
  <si>
    <t>F70740</t>
  </si>
  <si>
    <t>F70741</t>
  </si>
  <si>
    <t>F70742</t>
  </si>
  <si>
    <t>F70743</t>
  </si>
  <si>
    <t>F70744</t>
  </si>
  <si>
    <t>F70745</t>
  </si>
  <si>
    <t>F70746</t>
  </si>
  <si>
    <t>F70747</t>
  </si>
  <si>
    <t>F70748</t>
  </si>
  <si>
    <t>F70749</t>
  </si>
  <si>
    <t>F70750</t>
  </si>
  <si>
    <t>F70751</t>
  </si>
  <si>
    <t>F70752</t>
  </si>
  <si>
    <t>F70753</t>
  </si>
  <si>
    <t>F70755</t>
  </si>
  <si>
    <t>F70754</t>
  </si>
  <si>
    <t>F70756</t>
  </si>
  <si>
    <t>F70757</t>
  </si>
  <si>
    <t>F70758</t>
  </si>
  <si>
    <t>F70759</t>
  </si>
  <si>
    <t>F70760</t>
  </si>
  <si>
    <t>F70761</t>
  </si>
  <si>
    <t>F70762</t>
  </si>
  <si>
    <t>F70763</t>
  </si>
  <si>
    <t>F70764</t>
  </si>
  <si>
    <t>F70765</t>
  </si>
  <si>
    <t>F70766</t>
  </si>
  <si>
    <t>F70767</t>
  </si>
  <si>
    <t>F70768</t>
  </si>
  <si>
    <t>F70769</t>
  </si>
  <si>
    <t>F70770</t>
  </si>
  <si>
    <t>F70771</t>
  </si>
  <si>
    <t>F70772</t>
  </si>
  <si>
    <t>F70773</t>
  </si>
  <si>
    <t>F70774</t>
  </si>
  <si>
    <t>F70775</t>
  </si>
  <si>
    <t>F70776</t>
  </si>
  <si>
    <t>F70777</t>
  </si>
  <si>
    <t>F70778</t>
  </si>
  <si>
    <t>F70779</t>
  </si>
  <si>
    <t>F70780</t>
  </si>
  <si>
    <t>F70781</t>
  </si>
  <si>
    <t>F70782</t>
  </si>
  <si>
    <t>F70783</t>
  </si>
  <si>
    <t>F70784</t>
  </si>
  <si>
    <t>F70785</t>
  </si>
  <si>
    <t>F70786</t>
  </si>
  <si>
    <t>F70787</t>
  </si>
  <si>
    <t>ahuwenalu</t>
  </si>
  <si>
    <t>F70788</t>
  </si>
  <si>
    <t>F70789</t>
  </si>
  <si>
    <t>F70790</t>
  </si>
  <si>
    <t>F70796</t>
  </si>
  <si>
    <t>F70791</t>
  </si>
  <si>
    <t>F70793</t>
  </si>
  <si>
    <t>F70795</t>
  </si>
  <si>
    <t>F70794</t>
  </si>
  <si>
    <t>F70797</t>
  </si>
  <si>
    <t>F70798</t>
  </si>
  <si>
    <t>F70800</t>
  </si>
  <si>
    <t xml:space="preserve">taime </t>
  </si>
  <si>
    <t>F70799</t>
  </si>
  <si>
    <t>F70802</t>
  </si>
  <si>
    <t>F70804</t>
  </si>
  <si>
    <t>F70801</t>
  </si>
  <si>
    <t>F70803</t>
  </si>
  <si>
    <t>F70805</t>
  </si>
  <si>
    <t>F70819</t>
  </si>
  <si>
    <t>ene nsa</t>
  </si>
  <si>
    <t>F70806</t>
  </si>
  <si>
    <t>F70807</t>
  </si>
  <si>
    <t>F70808</t>
  </si>
  <si>
    <t>F70809</t>
  </si>
  <si>
    <t>F70810</t>
  </si>
  <si>
    <t>F70811</t>
  </si>
  <si>
    <t>F70812</t>
  </si>
  <si>
    <t>F70813</t>
  </si>
  <si>
    <t>F70814</t>
  </si>
  <si>
    <t>F70815</t>
  </si>
  <si>
    <t>F70816</t>
  </si>
  <si>
    <t>F70817</t>
  </si>
  <si>
    <t>F70818</t>
  </si>
  <si>
    <t>F70820</t>
  </si>
  <si>
    <t>ahuvenelu</t>
  </si>
  <si>
    <t>F70821</t>
  </si>
  <si>
    <t>F70823</t>
  </si>
  <si>
    <t>F70822</t>
  </si>
  <si>
    <t>F70824</t>
  </si>
  <si>
    <t>F70825</t>
  </si>
  <si>
    <t>F70826</t>
  </si>
  <si>
    <t>F70827</t>
  </si>
  <si>
    <t>aula</t>
  </si>
  <si>
    <t>F70829</t>
  </si>
  <si>
    <t>F70828</t>
  </si>
  <si>
    <t>F70830</t>
  </si>
  <si>
    <t>F70832</t>
  </si>
  <si>
    <t>F70831</t>
  </si>
  <si>
    <t>F70834</t>
  </si>
  <si>
    <t>F70833</t>
  </si>
  <si>
    <t>F70835</t>
  </si>
  <si>
    <t>F70836</t>
  </si>
  <si>
    <t>F70837</t>
  </si>
  <si>
    <t>F70838</t>
  </si>
  <si>
    <t>F70840</t>
  </si>
  <si>
    <t>F70839</t>
  </si>
  <si>
    <t>F70842</t>
  </si>
  <si>
    <t>F70841</t>
  </si>
  <si>
    <t>F70843</t>
  </si>
  <si>
    <t>F70844</t>
  </si>
  <si>
    <t>6,10</t>
  </si>
  <si>
    <t>F70845</t>
  </si>
  <si>
    <t>F70846</t>
  </si>
  <si>
    <t>7,10</t>
  </si>
  <si>
    <t>F70847</t>
  </si>
  <si>
    <t>F70848</t>
  </si>
  <si>
    <t>F70849</t>
  </si>
  <si>
    <t>F70850</t>
  </si>
  <si>
    <t>F70851</t>
  </si>
  <si>
    <t>F70852</t>
  </si>
  <si>
    <t>F70853</t>
  </si>
  <si>
    <t>F70854</t>
  </si>
  <si>
    <t>F70855</t>
  </si>
  <si>
    <t>F70856</t>
  </si>
  <si>
    <t>F70857</t>
  </si>
  <si>
    <t>F70858</t>
  </si>
  <si>
    <t>F70863</t>
  </si>
  <si>
    <t>F70859</t>
  </si>
  <si>
    <t>F70860</t>
  </si>
  <si>
    <t>F70861</t>
  </si>
  <si>
    <t>F70862</t>
  </si>
  <si>
    <t>F70864</t>
  </si>
  <si>
    <t>F70865</t>
  </si>
  <si>
    <t>F70866</t>
  </si>
  <si>
    <t>F70868</t>
  </si>
  <si>
    <t>F70867</t>
  </si>
  <si>
    <t>F70871</t>
  </si>
  <si>
    <t>F70869</t>
  </si>
  <si>
    <t>F70870</t>
  </si>
  <si>
    <t>F70872</t>
  </si>
  <si>
    <t>F70873</t>
  </si>
  <si>
    <t>F70874</t>
  </si>
  <si>
    <t>F70875</t>
  </si>
  <si>
    <t>F70876</t>
  </si>
  <si>
    <t>F70877</t>
  </si>
  <si>
    <t>F70878</t>
  </si>
  <si>
    <t>F70879</t>
  </si>
  <si>
    <t>F70880</t>
  </si>
  <si>
    <t>F70881</t>
  </si>
  <si>
    <t>F70882</t>
  </si>
  <si>
    <t>F70883</t>
  </si>
  <si>
    <t>F70884</t>
  </si>
  <si>
    <t>F70885</t>
  </si>
  <si>
    <t>F70886</t>
  </si>
  <si>
    <t>F70887</t>
  </si>
  <si>
    <t>F70888</t>
  </si>
  <si>
    <t>F70889</t>
  </si>
  <si>
    <t>F70890</t>
  </si>
  <si>
    <t>F70891</t>
  </si>
  <si>
    <t>F70892</t>
  </si>
  <si>
    <t>F70893</t>
  </si>
  <si>
    <t>F70894</t>
  </si>
  <si>
    <t>F70895</t>
  </si>
  <si>
    <t>F70896</t>
  </si>
  <si>
    <t>F70897</t>
  </si>
  <si>
    <t>F70898</t>
  </si>
  <si>
    <t>F70899</t>
  </si>
  <si>
    <t>munta pissu</t>
  </si>
  <si>
    <t>F70900</t>
  </si>
  <si>
    <t>F70901</t>
  </si>
  <si>
    <t>F70902</t>
  </si>
  <si>
    <t>F70903</t>
  </si>
  <si>
    <t>F70904</t>
  </si>
  <si>
    <t>F70906</t>
  </si>
  <si>
    <t>F70905</t>
  </si>
  <si>
    <t>F70908</t>
  </si>
  <si>
    <t>F70910</t>
  </si>
  <si>
    <t>F70907</t>
  </si>
  <si>
    <t>F70909</t>
  </si>
  <si>
    <t>F70911</t>
  </si>
  <si>
    <t>F70912</t>
  </si>
  <si>
    <t>F70913</t>
  </si>
  <si>
    <t>F70914</t>
  </si>
  <si>
    <t>F70917</t>
  </si>
  <si>
    <t>F70915</t>
  </si>
  <si>
    <t>F70916</t>
  </si>
  <si>
    <t>F70918</t>
  </si>
  <si>
    <t>F70919</t>
  </si>
  <si>
    <t>F70920</t>
  </si>
  <si>
    <t>F70921</t>
  </si>
  <si>
    <t>F70923</t>
  </si>
  <si>
    <t>F70922</t>
  </si>
  <si>
    <t>F70924</t>
  </si>
  <si>
    <t>F70925</t>
  </si>
  <si>
    <t>F70926</t>
  </si>
  <si>
    <t>F70928</t>
  </si>
  <si>
    <t>F70927</t>
  </si>
  <si>
    <t>F70929</t>
  </si>
  <si>
    <t>F70930</t>
  </si>
  <si>
    <t>F70931</t>
  </si>
  <si>
    <t>F70951</t>
  </si>
  <si>
    <t>F70932</t>
  </si>
  <si>
    <t>F70933</t>
  </si>
  <si>
    <t>F70934</t>
  </si>
  <si>
    <t>F70935</t>
  </si>
  <si>
    <t>ahen na</t>
  </si>
  <si>
    <t>F70936</t>
  </si>
  <si>
    <t>F70942</t>
  </si>
  <si>
    <t>F70937</t>
  </si>
  <si>
    <t>F70938</t>
  </si>
  <si>
    <t>F70939</t>
  </si>
  <si>
    <t>F70940</t>
  </si>
  <si>
    <t>F70941</t>
  </si>
  <si>
    <t>F70943</t>
  </si>
  <si>
    <t>F70944</t>
  </si>
  <si>
    <t>F70945</t>
  </si>
  <si>
    <t>F70946</t>
  </si>
  <si>
    <t>F70947</t>
  </si>
  <si>
    <t>F70948</t>
  </si>
  <si>
    <t>F70949</t>
  </si>
  <si>
    <t>F70950</t>
  </si>
  <si>
    <t>F70952</t>
  </si>
  <si>
    <t>F70954</t>
  </si>
  <si>
    <t>F70953</t>
  </si>
  <si>
    <t>F70956</t>
  </si>
  <si>
    <t>F70958</t>
  </si>
  <si>
    <t>F70955</t>
  </si>
  <si>
    <t>waradila awe</t>
  </si>
  <si>
    <t>F70957</t>
  </si>
  <si>
    <t>F70959</t>
  </si>
  <si>
    <t>ene nalu</t>
  </si>
  <si>
    <t>F70960</t>
  </si>
  <si>
    <t>F70961</t>
  </si>
  <si>
    <t>F70962</t>
  </si>
  <si>
    <t>F70963</t>
  </si>
  <si>
    <t>F70964</t>
  </si>
  <si>
    <t>F70965</t>
  </si>
  <si>
    <t>F70966</t>
  </si>
  <si>
    <t>F70967</t>
  </si>
  <si>
    <t>F70968</t>
  </si>
  <si>
    <t>F70969</t>
  </si>
  <si>
    <t>F70970</t>
  </si>
  <si>
    <t>F70971</t>
  </si>
  <si>
    <t>katha na</t>
  </si>
  <si>
    <t>F70972</t>
  </si>
  <si>
    <t>F70973</t>
  </si>
  <si>
    <t>F70974</t>
  </si>
  <si>
    <t>F70975</t>
  </si>
  <si>
    <t>F70976</t>
  </si>
  <si>
    <t>F70978</t>
  </si>
  <si>
    <t>F70977</t>
  </si>
  <si>
    <t>F70979</t>
  </si>
  <si>
    <t>F70981</t>
  </si>
  <si>
    <t>F70980</t>
  </si>
  <si>
    <t>F70982</t>
  </si>
  <si>
    <t>F70983</t>
  </si>
  <si>
    <t>F70984</t>
  </si>
  <si>
    <t>F70985</t>
  </si>
  <si>
    <t>F70986</t>
  </si>
  <si>
    <t>F70987</t>
  </si>
  <si>
    <t>F70988</t>
  </si>
  <si>
    <t>F70989</t>
  </si>
  <si>
    <t>F70990</t>
  </si>
  <si>
    <t>F70991</t>
  </si>
  <si>
    <t>F70992</t>
  </si>
  <si>
    <t>F70993</t>
  </si>
  <si>
    <t>free clz krn sir kenek</t>
  </si>
  <si>
    <t>F70994</t>
  </si>
  <si>
    <t>F71001</t>
  </si>
  <si>
    <t>F70995</t>
  </si>
  <si>
    <t>F70996</t>
  </si>
  <si>
    <t>F70997</t>
  </si>
  <si>
    <t>F70998</t>
  </si>
  <si>
    <t>F70999</t>
  </si>
  <si>
    <t>F71000</t>
  </si>
  <si>
    <t>F71002</t>
  </si>
  <si>
    <t>F70792</t>
  </si>
  <si>
    <t>F71003</t>
  </si>
  <si>
    <t>F71005</t>
  </si>
  <si>
    <t>F71004</t>
  </si>
  <si>
    <t>F71006</t>
  </si>
  <si>
    <t>F71007</t>
  </si>
  <si>
    <t>F71008</t>
  </si>
  <si>
    <t>F71009</t>
  </si>
  <si>
    <t>F71010</t>
  </si>
  <si>
    <t>F71011</t>
  </si>
  <si>
    <t>F71012</t>
  </si>
  <si>
    <t>F71013</t>
  </si>
  <si>
    <t>F71014</t>
  </si>
  <si>
    <t>F71016</t>
  </si>
  <si>
    <t>A/l ene na</t>
  </si>
  <si>
    <t>F71015</t>
  </si>
  <si>
    <t>F71017</t>
  </si>
  <si>
    <t>F71018</t>
  </si>
  <si>
    <t>F71019</t>
  </si>
  <si>
    <t>F71020</t>
  </si>
  <si>
    <t>F71021</t>
  </si>
  <si>
    <t>F71022</t>
  </si>
  <si>
    <t>F71023</t>
  </si>
  <si>
    <t>F71024</t>
  </si>
  <si>
    <t>F71025</t>
  </si>
  <si>
    <t>F71026</t>
  </si>
  <si>
    <t>F71027</t>
  </si>
  <si>
    <t>F71028</t>
  </si>
  <si>
    <t>F71030</t>
  </si>
  <si>
    <t>F71029</t>
  </si>
  <si>
    <t>F71031</t>
  </si>
  <si>
    <t>F71032</t>
  </si>
  <si>
    <t>F71033</t>
  </si>
  <si>
    <t>F71034</t>
  </si>
  <si>
    <t>F71035</t>
  </si>
  <si>
    <t>F71036</t>
  </si>
  <si>
    <t>F71037</t>
  </si>
  <si>
    <t>F71039</t>
  </si>
  <si>
    <t>F71038</t>
  </si>
  <si>
    <t>F71040</t>
  </si>
  <si>
    <t>semina</t>
  </si>
  <si>
    <t>F71041</t>
  </si>
  <si>
    <t>F71042</t>
  </si>
  <si>
    <t>shuwar na</t>
  </si>
  <si>
    <t>F71043</t>
  </si>
  <si>
    <t>F71044</t>
  </si>
  <si>
    <t>F71046</t>
  </si>
  <si>
    <t>F71045</t>
  </si>
  <si>
    <t>F71047</t>
  </si>
  <si>
    <t>F71048</t>
  </si>
  <si>
    <t>F71049</t>
  </si>
  <si>
    <t>F71050</t>
  </si>
  <si>
    <t>F71051</t>
  </si>
  <si>
    <t>F71052</t>
  </si>
  <si>
    <t>F71053</t>
  </si>
  <si>
    <t>F71055</t>
  </si>
  <si>
    <t>F71054</t>
  </si>
  <si>
    <t>F71056</t>
  </si>
  <si>
    <t>F71057</t>
  </si>
  <si>
    <t>F71061</t>
  </si>
  <si>
    <t>F71058</t>
  </si>
  <si>
    <t>F71059</t>
  </si>
  <si>
    <t>F71060</t>
  </si>
  <si>
    <t>F71066</t>
  </si>
  <si>
    <t>F71062</t>
  </si>
  <si>
    <t>F71063</t>
  </si>
  <si>
    <t>F71064</t>
  </si>
  <si>
    <t>F71065</t>
  </si>
  <si>
    <t>F71067</t>
  </si>
  <si>
    <t>F71068</t>
  </si>
  <si>
    <t>F71069</t>
  </si>
  <si>
    <t>F71070</t>
  </si>
  <si>
    <t>F71071</t>
  </si>
  <si>
    <t>F71072</t>
  </si>
  <si>
    <t>F71073</t>
  </si>
  <si>
    <t>F71074</t>
  </si>
  <si>
    <t>F71075</t>
  </si>
  <si>
    <t>jamithiya seminsa</t>
  </si>
  <si>
    <t>F71076</t>
  </si>
  <si>
    <t>F71077</t>
  </si>
  <si>
    <t>F71078</t>
  </si>
  <si>
    <t>F71079</t>
  </si>
  <si>
    <t>F71080</t>
  </si>
  <si>
    <t>F71081</t>
  </si>
  <si>
    <t xml:space="preserve">duwa </t>
  </si>
  <si>
    <t>F71082</t>
  </si>
  <si>
    <t>F71083</t>
  </si>
  <si>
    <t>F71084</t>
  </si>
  <si>
    <t>ims</t>
  </si>
  <si>
    <t>F71085</t>
  </si>
  <si>
    <t>F71086</t>
  </si>
  <si>
    <t>F71087</t>
  </si>
  <si>
    <t>ahuwe na;lu</t>
  </si>
  <si>
    <t>F71088</t>
  </si>
  <si>
    <t>F71089</t>
  </si>
  <si>
    <t>F71090</t>
  </si>
  <si>
    <t>F71091</t>
  </si>
  <si>
    <t>F71092</t>
  </si>
  <si>
    <t>F71093</t>
  </si>
  <si>
    <t>F71094</t>
  </si>
  <si>
    <t>F71095</t>
  </si>
  <si>
    <t>english</t>
  </si>
  <si>
    <t>F71096</t>
  </si>
  <si>
    <t>F71098</t>
  </si>
  <si>
    <t>F71097</t>
  </si>
  <si>
    <t>F71099</t>
  </si>
  <si>
    <t>F71103</t>
  </si>
  <si>
    <t>F71101</t>
  </si>
  <si>
    <t>F71102</t>
  </si>
  <si>
    <t>F71104</t>
  </si>
  <si>
    <t>F71106</t>
  </si>
  <si>
    <t>F71105</t>
  </si>
  <si>
    <t>F71108</t>
  </si>
  <si>
    <t>F71107</t>
  </si>
  <si>
    <t>F71110</t>
  </si>
  <si>
    <t>F71109</t>
  </si>
  <si>
    <t>F71117</t>
  </si>
  <si>
    <t>F71111</t>
  </si>
  <si>
    <t>F71112</t>
  </si>
  <si>
    <t>F71113</t>
  </si>
  <si>
    <t>F71114</t>
  </si>
  <si>
    <t>F71115</t>
  </si>
  <si>
    <t>F71116</t>
  </si>
  <si>
    <t>F71118</t>
  </si>
  <si>
    <t>F71119</t>
  </si>
  <si>
    <t>F71120</t>
  </si>
  <si>
    <t>F71121</t>
  </si>
  <si>
    <t>F71122</t>
  </si>
  <si>
    <t>F71123</t>
  </si>
  <si>
    <t>F71124</t>
  </si>
  <si>
    <t>F71125</t>
  </si>
  <si>
    <t>F71128</t>
  </si>
  <si>
    <t>F71126</t>
  </si>
  <si>
    <t>F71127</t>
  </si>
  <si>
    <t>F71130</t>
  </si>
  <si>
    <t>F71129</t>
  </si>
  <si>
    <t>F71131</t>
  </si>
  <si>
    <t>F71132</t>
  </si>
  <si>
    <t>F71133</t>
  </si>
  <si>
    <t>F71135</t>
  </si>
  <si>
    <t>F71136</t>
  </si>
  <si>
    <t>F71137</t>
  </si>
  <si>
    <t>F71138</t>
  </si>
  <si>
    <t>F71139</t>
  </si>
  <si>
    <t>F71142</t>
  </si>
  <si>
    <t>F71140</t>
  </si>
  <si>
    <t>F71143</t>
  </si>
  <si>
    <t>a/l</t>
  </si>
  <si>
    <t>F71141</t>
  </si>
  <si>
    <t>F71144</t>
  </si>
  <si>
    <t>F71145</t>
  </si>
  <si>
    <t>F71146</t>
  </si>
  <si>
    <t>F71147</t>
  </si>
  <si>
    <t>F71148</t>
  </si>
  <si>
    <t>F71149</t>
  </si>
  <si>
    <t>F71150</t>
  </si>
  <si>
    <t>F71152</t>
  </si>
  <si>
    <t>F71151</t>
  </si>
  <si>
    <t>6,10,11</t>
  </si>
  <si>
    <t>F71153</t>
  </si>
  <si>
    <t>trck paulak</t>
  </si>
  <si>
    <t>F71154</t>
  </si>
  <si>
    <t>F71155</t>
  </si>
  <si>
    <t>F71158</t>
  </si>
  <si>
    <t>F71157</t>
  </si>
  <si>
    <t>F71156</t>
  </si>
  <si>
    <t>F71159</t>
  </si>
  <si>
    <t>F71160</t>
  </si>
  <si>
    <t>F71161</t>
  </si>
  <si>
    <t>F71162</t>
  </si>
  <si>
    <t>F71163</t>
  </si>
  <si>
    <t>F71164</t>
  </si>
  <si>
    <t>F71166</t>
  </si>
  <si>
    <t>F71165</t>
  </si>
  <si>
    <t>F71167</t>
  </si>
  <si>
    <t>F71168</t>
  </si>
  <si>
    <t>F71169</t>
  </si>
  <si>
    <t>F71170</t>
  </si>
  <si>
    <t>F71171</t>
  </si>
  <si>
    <t>ahuwe na</t>
  </si>
  <si>
    <t>F71172</t>
  </si>
  <si>
    <t>F71173</t>
  </si>
  <si>
    <t>F71174</t>
  </si>
  <si>
    <t>F71175</t>
  </si>
  <si>
    <t>F71176</t>
  </si>
  <si>
    <t>F71177</t>
  </si>
  <si>
    <t>F71179</t>
  </si>
  <si>
    <t>F71178</t>
  </si>
  <si>
    <t>F71180</t>
  </si>
  <si>
    <t>F71181</t>
  </si>
  <si>
    <t>F71184</t>
  </si>
  <si>
    <t>F71182</t>
  </si>
  <si>
    <t>F71183</t>
  </si>
  <si>
    <t>F71185</t>
  </si>
  <si>
    <t>semima</t>
  </si>
  <si>
    <t>F71187</t>
  </si>
  <si>
    <t>F71188</t>
  </si>
  <si>
    <t>F71189</t>
  </si>
  <si>
    <t>F71190</t>
  </si>
  <si>
    <t>F71192</t>
  </si>
  <si>
    <t>F71191</t>
  </si>
  <si>
    <t>F71193</t>
  </si>
  <si>
    <t>F71194</t>
  </si>
  <si>
    <t>F71195</t>
  </si>
  <si>
    <t>F71196</t>
  </si>
  <si>
    <t>F71197</t>
  </si>
  <si>
    <t>F71201</t>
  </si>
  <si>
    <t>F71199</t>
  </si>
  <si>
    <t>F71198</t>
  </si>
  <si>
    <t>F71200</t>
  </si>
  <si>
    <t>F71202</t>
  </si>
  <si>
    <t>F71205</t>
  </si>
  <si>
    <t>F71203</t>
  </si>
  <si>
    <t>F71204</t>
  </si>
  <si>
    <t>F71206</t>
  </si>
  <si>
    <t>F71207</t>
  </si>
  <si>
    <t>F71208</t>
  </si>
  <si>
    <t>F71209</t>
  </si>
  <si>
    <t>F71210</t>
  </si>
  <si>
    <t>F71211</t>
  </si>
  <si>
    <t>F71212</t>
  </si>
  <si>
    <t>F71213</t>
  </si>
  <si>
    <t>F71214</t>
  </si>
  <si>
    <t>F71215</t>
  </si>
  <si>
    <t>F71216</t>
  </si>
  <si>
    <t>F71218</t>
  </si>
  <si>
    <t>F71220</t>
  </si>
  <si>
    <t>F71219</t>
  </si>
  <si>
    <t>F71221</t>
  </si>
  <si>
    <t>F71222</t>
  </si>
  <si>
    <t>F71223</t>
  </si>
  <si>
    <t>F71224</t>
  </si>
  <si>
    <t>37 wayasa</t>
  </si>
  <si>
    <t>F71225</t>
  </si>
  <si>
    <t>F71227</t>
  </si>
  <si>
    <t>F71226</t>
  </si>
  <si>
    <t>F71228</t>
  </si>
  <si>
    <t>F71229</t>
  </si>
  <si>
    <t>F71230</t>
  </si>
  <si>
    <t>F71231</t>
  </si>
  <si>
    <t>F71232</t>
  </si>
  <si>
    <t>F71233</t>
  </si>
  <si>
    <t>F71234</t>
  </si>
  <si>
    <t>F71235</t>
  </si>
  <si>
    <t>time p</t>
  </si>
  <si>
    <t>F71236</t>
  </si>
  <si>
    <t>F71237</t>
  </si>
  <si>
    <t>F71238</t>
  </si>
  <si>
    <t>F71239</t>
  </si>
  <si>
    <t>time ps</t>
  </si>
  <si>
    <t>F71240</t>
  </si>
  <si>
    <t>F71241</t>
  </si>
  <si>
    <t>F71242</t>
  </si>
  <si>
    <t>F71243</t>
  </si>
  <si>
    <t>F71244</t>
  </si>
  <si>
    <t>F71245</t>
  </si>
  <si>
    <t>F71246</t>
  </si>
  <si>
    <t>F71247</t>
  </si>
  <si>
    <t>t p</t>
  </si>
  <si>
    <t>F71248</t>
  </si>
  <si>
    <t>F71249</t>
  </si>
  <si>
    <t>F71254</t>
  </si>
  <si>
    <t>F71250</t>
  </si>
  <si>
    <t>F71251</t>
  </si>
  <si>
    <t>F71253</t>
  </si>
  <si>
    <t>F71252</t>
  </si>
  <si>
    <t>F71255</t>
  </si>
  <si>
    <t>F71256</t>
  </si>
  <si>
    <t>F71257</t>
  </si>
  <si>
    <t>F71258</t>
  </si>
  <si>
    <t>duwa dsla</t>
  </si>
  <si>
    <t>F71259</t>
  </si>
  <si>
    <t>F71260</t>
  </si>
  <si>
    <t>F71261</t>
  </si>
  <si>
    <t>F71263</t>
  </si>
  <si>
    <t>F71262</t>
  </si>
  <si>
    <t>F71264</t>
  </si>
  <si>
    <t>F71265</t>
  </si>
  <si>
    <t>F71266</t>
  </si>
  <si>
    <t>ෆිසිකල්</t>
  </si>
  <si>
    <t>F71267</t>
  </si>
  <si>
    <t>F71268</t>
  </si>
  <si>
    <t>F71269</t>
  </si>
  <si>
    <t>F71270</t>
  </si>
  <si>
    <t>F71271</t>
  </si>
  <si>
    <t>F71272</t>
  </si>
  <si>
    <t>F71273</t>
  </si>
  <si>
    <t>F71274</t>
  </si>
  <si>
    <t>F71275</t>
  </si>
  <si>
    <t>F71276</t>
  </si>
  <si>
    <t>F71277</t>
  </si>
  <si>
    <t>F71278</t>
  </si>
  <si>
    <t>F71279</t>
  </si>
  <si>
    <t>F71280</t>
  </si>
  <si>
    <t>F71281</t>
  </si>
  <si>
    <t>F71282</t>
  </si>
  <si>
    <t>F71283</t>
  </si>
  <si>
    <t>F71284</t>
  </si>
  <si>
    <t>F71285</t>
  </si>
  <si>
    <t xml:space="preserve"> t psd</t>
  </si>
  <si>
    <t>F71286</t>
  </si>
  <si>
    <t>F71287</t>
  </si>
  <si>
    <t>F71288</t>
  </si>
  <si>
    <t>F71289</t>
  </si>
  <si>
    <t>F71290</t>
  </si>
  <si>
    <t>F71291</t>
  </si>
  <si>
    <t>F71292</t>
  </si>
  <si>
    <t>F71293</t>
  </si>
  <si>
    <t>F71294</t>
  </si>
  <si>
    <t>F71295</t>
  </si>
  <si>
    <t>F71296</t>
  </si>
  <si>
    <t>F71297</t>
  </si>
  <si>
    <t>F71298</t>
  </si>
  <si>
    <t>F71299</t>
  </si>
  <si>
    <t>F71300</t>
  </si>
  <si>
    <t>F71301</t>
  </si>
  <si>
    <t>F71302</t>
  </si>
  <si>
    <t>F71303</t>
  </si>
  <si>
    <t>F71304</t>
  </si>
  <si>
    <t>F71305</t>
  </si>
  <si>
    <t>F71306</t>
  </si>
  <si>
    <t>F71307</t>
  </si>
  <si>
    <t>F71308</t>
  </si>
  <si>
    <t>F71309</t>
  </si>
  <si>
    <t>F71310</t>
  </si>
  <si>
    <t>F71311</t>
  </si>
  <si>
    <t>F71312</t>
  </si>
  <si>
    <t>tamil me</t>
  </si>
  <si>
    <t>F71313</t>
  </si>
  <si>
    <t>F71314</t>
  </si>
  <si>
    <t>F71315</t>
  </si>
  <si>
    <t>F71316</t>
  </si>
  <si>
    <t>F71317</t>
  </si>
  <si>
    <t>F71318</t>
  </si>
  <si>
    <t>F71319</t>
  </si>
  <si>
    <t>F71320</t>
  </si>
  <si>
    <t>F71321</t>
  </si>
  <si>
    <t>F71322</t>
  </si>
  <si>
    <t>F71323</t>
  </si>
  <si>
    <t>F71324</t>
  </si>
  <si>
    <t>F71325</t>
  </si>
  <si>
    <t>F71326</t>
  </si>
  <si>
    <t>71 250 9471</t>
  </si>
  <si>
    <t>F71327</t>
  </si>
  <si>
    <t>F71328</t>
  </si>
  <si>
    <t>F71329</t>
  </si>
  <si>
    <t>F71330</t>
  </si>
  <si>
    <t>F71331</t>
  </si>
  <si>
    <t>F71332</t>
  </si>
  <si>
    <t>F71333</t>
  </si>
  <si>
    <t>F71336</t>
  </si>
  <si>
    <t>F71334</t>
  </si>
  <si>
    <t>F71335</t>
  </si>
  <si>
    <t>F71337</t>
  </si>
  <si>
    <t>F71339</t>
  </si>
  <si>
    <t>F71338</t>
  </si>
  <si>
    <t>F71340</t>
  </si>
  <si>
    <t>F71365</t>
  </si>
  <si>
    <t>F71341</t>
  </si>
  <si>
    <t>F71342</t>
  </si>
  <si>
    <t>F71343</t>
  </si>
  <si>
    <t>F71344</t>
  </si>
  <si>
    <t>F71345</t>
  </si>
  <si>
    <t>F71346</t>
  </si>
  <si>
    <t>F71347</t>
  </si>
  <si>
    <t>F71348</t>
  </si>
  <si>
    <t>F71349</t>
  </si>
  <si>
    <t>F71350</t>
  </si>
  <si>
    <t>F71351</t>
  </si>
  <si>
    <t>F71352</t>
  </si>
  <si>
    <t>F71353</t>
  </si>
  <si>
    <t>F71354</t>
  </si>
  <si>
    <t>F71355</t>
  </si>
  <si>
    <t>F71356</t>
  </si>
  <si>
    <t>F71357</t>
  </si>
  <si>
    <t>F71361</t>
  </si>
  <si>
    <t>F71358</t>
  </si>
  <si>
    <t>F71359</t>
  </si>
  <si>
    <t>F71363</t>
  </si>
  <si>
    <t>F71360</t>
  </si>
  <si>
    <t>en me</t>
  </si>
  <si>
    <t>F71362</t>
  </si>
  <si>
    <t>F71364</t>
  </si>
  <si>
    <t>F71366</t>
  </si>
  <si>
    <t>F71367</t>
  </si>
  <si>
    <t>F71368</t>
  </si>
  <si>
    <t>F71369</t>
  </si>
  <si>
    <t>F71370</t>
  </si>
  <si>
    <t>F71371</t>
  </si>
  <si>
    <t>F71372</t>
  </si>
  <si>
    <t>F71373</t>
  </si>
  <si>
    <t>F71374</t>
  </si>
  <si>
    <t>F71376</t>
  </si>
  <si>
    <t>F71375</t>
  </si>
  <si>
    <t>F71377</t>
  </si>
  <si>
    <t>F71378</t>
  </si>
  <si>
    <t>F71379</t>
  </si>
  <si>
    <t>F71380</t>
  </si>
  <si>
    <t>F71381</t>
  </si>
  <si>
    <t>F71382</t>
  </si>
  <si>
    <t>F71383</t>
  </si>
  <si>
    <t>F71384</t>
  </si>
  <si>
    <t>F71385</t>
  </si>
  <si>
    <t>daruwa</t>
  </si>
  <si>
    <t>F71389</t>
  </si>
  <si>
    <t>F71386</t>
  </si>
  <si>
    <t>F71391</t>
  </si>
  <si>
    <t>F71387</t>
  </si>
  <si>
    <t>F71388</t>
  </si>
  <si>
    <t>F71390</t>
  </si>
  <si>
    <t>F71392</t>
  </si>
  <si>
    <t>F71393</t>
  </si>
  <si>
    <t>not join</t>
  </si>
  <si>
    <t>F71394</t>
  </si>
  <si>
    <t>F71395</t>
  </si>
  <si>
    <t>F71396</t>
  </si>
  <si>
    <t>F71397</t>
  </si>
  <si>
    <t>F71398</t>
  </si>
  <si>
    <t>F71399</t>
  </si>
  <si>
    <t>F71400</t>
  </si>
  <si>
    <t>F71401</t>
  </si>
  <si>
    <t>F71402</t>
  </si>
  <si>
    <t>F71403</t>
  </si>
  <si>
    <t>F71404</t>
  </si>
  <si>
    <t>F71405</t>
  </si>
  <si>
    <t>F71406</t>
  </si>
  <si>
    <t>F71408</t>
  </si>
  <si>
    <t>F71407</t>
  </si>
  <si>
    <t>F71409</t>
  </si>
  <si>
    <t>F71411</t>
  </si>
  <si>
    <t>F71410</t>
  </si>
  <si>
    <t>F71412</t>
  </si>
  <si>
    <t>F71413</t>
  </si>
  <si>
    <t>F71414</t>
  </si>
  <si>
    <t>F71416</t>
  </si>
  <si>
    <t>F71415</t>
  </si>
  <si>
    <t>F71417</t>
  </si>
  <si>
    <t>F71418</t>
  </si>
  <si>
    <t>F71419</t>
  </si>
  <si>
    <t>ena balu</t>
  </si>
  <si>
    <t>F71420</t>
  </si>
  <si>
    <t>F71424</t>
  </si>
  <si>
    <t>F71421</t>
  </si>
  <si>
    <t>F71425</t>
  </si>
  <si>
    <t>F71422</t>
  </si>
  <si>
    <t>F71423</t>
  </si>
  <si>
    <t>F71426</t>
  </si>
  <si>
    <t>F71436</t>
  </si>
  <si>
    <t>F71427</t>
  </si>
  <si>
    <t>F71428</t>
  </si>
  <si>
    <t>AHUWE na</t>
  </si>
  <si>
    <t>F71429</t>
  </si>
  <si>
    <t>F71430</t>
  </si>
  <si>
    <t>F71431</t>
  </si>
  <si>
    <t>katha krnne na</t>
  </si>
  <si>
    <t>F71432</t>
  </si>
  <si>
    <t>F71433</t>
  </si>
  <si>
    <t>F71434</t>
  </si>
  <si>
    <t>F71435</t>
  </si>
  <si>
    <t>F71437</t>
  </si>
  <si>
    <t>F71438</t>
  </si>
  <si>
    <t>F71439</t>
  </si>
  <si>
    <t>F71440</t>
  </si>
  <si>
    <t>F71441</t>
  </si>
  <si>
    <t>F71442</t>
  </si>
  <si>
    <t>F71443</t>
  </si>
  <si>
    <t>F71444</t>
  </si>
  <si>
    <t>F71445</t>
  </si>
  <si>
    <t>F71449</t>
  </si>
  <si>
    <t>F71446</t>
  </si>
  <si>
    <t>F71447</t>
  </si>
  <si>
    <t>F71448</t>
  </si>
  <si>
    <t>F71450</t>
  </si>
  <si>
    <t>F71451</t>
  </si>
  <si>
    <t>F71452</t>
  </si>
  <si>
    <t>F71453</t>
  </si>
  <si>
    <t>F71454</t>
  </si>
  <si>
    <t>F71455</t>
  </si>
  <si>
    <t>F71456</t>
  </si>
  <si>
    <t>F71459</t>
  </si>
  <si>
    <t>F71457</t>
  </si>
  <si>
    <t>F71458</t>
  </si>
  <si>
    <t>F71460</t>
  </si>
  <si>
    <t>F71461</t>
  </si>
  <si>
    <t>F71462</t>
  </si>
  <si>
    <t>F71463</t>
  </si>
  <si>
    <t>F71464</t>
  </si>
  <si>
    <t>F71465</t>
  </si>
  <si>
    <t>F71466</t>
  </si>
  <si>
    <t>F71467</t>
  </si>
  <si>
    <t>F71468</t>
  </si>
  <si>
    <t>F71469</t>
  </si>
  <si>
    <t>F71470</t>
  </si>
  <si>
    <t>F71471</t>
  </si>
  <si>
    <t>F71473</t>
  </si>
  <si>
    <t>F71472</t>
  </si>
  <si>
    <t>F71474</t>
  </si>
  <si>
    <t>F71475</t>
  </si>
  <si>
    <t>F71476</t>
  </si>
  <si>
    <t>F71477</t>
  </si>
  <si>
    <t>F71478</t>
  </si>
  <si>
    <t>F71479</t>
  </si>
  <si>
    <t>F71480</t>
  </si>
  <si>
    <t>English Medium</t>
  </si>
  <si>
    <t>F71481</t>
  </si>
  <si>
    <t>F71482</t>
  </si>
  <si>
    <t>F71486</t>
  </si>
  <si>
    <t>F71483</t>
  </si>
  <si>
    <t>F71484</t>
  </si>
  <si>
    <t>F71485</t>
  </si>
  <si>
    <t>F71487</t>
  </si>
  <si>
    <t>F71488</t>
  </si>
  <si>
    <t>F71489</t>
  </si>
  <si>
    <t>F71490</t>
  </si>
  <si>
    <t>F71492</t>
  </si>
  <si>
    <t>F71491</t>
  </si>
  <si>
    <t>F71493</t>
  </si>
  <si>
    <t>F71494</t>
  </si>
  <si>
    <t>F71495</t>
  </si>
  <si>
    <t>F71497</t>
  </si>
  <si>
    <t>F71496</t>
  </si>
  <si>
    <t>F71498</t>
  </si>
  <si>
    <t>F71499</t>
  </si>
  <si>
    <t>F71500</t>
  </si>
  <si>
    <t>F71501</t>
  </si>
  <si>
    <t>F71502</t>
  </si>
  <si>
    <t>F71503</t>
  </si>
  <si>
    <t>F71504</t>
  </si>
  <si>
    <t>F71505</t>
  </si>
  <si>
    <t>F71506</t>
  </si>
  <si>
    <t>F71507</t>
  </si>
  <si>
    <t>F71508</t>
  </si>
  <si>
    <t>F71511</t>
  </si>
  <si>
    <t>F71509</t>
  </si>
  <si>
    <t>F71510</t>
  </si>
  <si>
    <t>F71513</t>
  </si>
  <si>
    <t>F71512</t>
  </si>
  <si>
    <t>F71514</t>
  </si>
  <si>
    <t>F71515</t>
  </si>
  <si>
    <t>F71516</t>
  </si>
  <si>
    <t>F71517</t>
  </si>
  <si>
    <t>F71518</t>
  </si>
  <si>
    <t>F71519</t>
  </si>
  <si>
    <t>F71520</t>
  </si>
  <si>
    <t>F71521</t>
  </si>
  <si>
    <t>F71522</t>
  </si>
  <si>
    <t>F71524</t>
  </si>
  <si>
    <t>F71523</t>
  </si>
  <si>
    <t>F71525</t>
  </si>
  <si>
    <t>F71526</t>
  </si>
  <si>
    <t>F71527</t>
  </si>
  <si>
    <t>F71528</t>
  </si>
  <si>
    <t>F71529</t>
  </si>
  <si>
    <t>F71530</t>
  </si>
  <si>
    <t>F71531</t>
  </si>
  <si>
    <t>F71534</t>
  </si>
  <si>
    <t>F71532</t>
  </si>
  <si>
    <t>F71533</t>
  </si>
  <si>
    <t>F71535</t>
  </si>
  <si>
    <t>9,11</t>
  </si>
  <si>
    <t>F71536</t>
  </si>
  <si>
    <t>F71537</t>
  </si>
  <si>
    <t>F71538</t>
  </si>
  <si>
    <t>F71539</t>
  </si>
  <si>
    <t>F71540</t>
  </si>
  <si>
    <t>F71542</t>
  </si>
  <si>
    <t>F71541</t>
  </si>
  <si>
    <t>F71543</t>
  </si>
  <si>
    <t>F71545</t>
  </si>
  <si>
    <t>set na</t>
  </si>
  <si>
    <t>F71544</t>
  </si>
  <si>
    <t>F71546</t>
  </si>
  <si>
    <t>F71547</t>
  </si>
  <si>
    <t>F71548</t>
  </si>
  <si>
    <t>taime</t>
  </si>
  <si>
    <t>F71549</t>
  </si>
  <si>
    <t>F71550</t>
  </si>
  <si>
    <t>F71551</t>
  </si>
  <si>
    <t>F71552</t>
  </si>
  <si>
    <t>F71553</t>
  </si>
  <si>
    <t>F71555</t>
  </si>
  <si>
    <t>F71554</t>
  </si>
  <si>
    <t>F71556</t>
  </si>
  <si>
    <t>F71557</t>
  </si>
  <si>
    <t>F71558</t>
  </si>
  <si>
    <t>F71559</t>
  </si>
  <si>
    <t>F71560</t>
  </si>
  <si>
    <t>F71561</t>
  </si>
  <si>
    <t>F71562</t>
  </si>
  <si>
    <t>F71563</t>
  </si>
  <si>
    <t>F71564</t>
  </si>
  <si>
    <t>F71565</t>
  </si>
  <si>
    <t>F71566</t>
  </si>
  <si>
    <t>F71567</t>
  </si>
  <si>
    <t>F71568</t>
  </si>
  <si>
    <t>F71569</t>
  </si>
  <si>
    <t>F71570</t>
  </si>
  <si>
    <t>F71571</t>
  </si>
  <si>
    <t>F71572</t>
  </si>
  <si>
    <t>F71575</t>
  </si>
  <si>
    <t>F71573</t>
  </si>
  <si>
    <t>F71574</t>
  </si>
  <si>
    <t>F71576</t>
  </si>
  <si>
    <t>F71577</t>
  </si>
  <si>
    <t>F71578</t>
  </si>
  <si>
    <t>F71579</t>
  </si>
  <si>
    <t>F71580</t>
  </si>
  <si>
    <t>F71581</t>
  </si>
  <si>
    <t>F71582</t>
  </si>
  <si>
    <t>F71583</t>
  </si>
  <si>
    <t>F71584</t>
  </si>
  <si>
    <t>F71585</t>
  </si>
  <si>
    <t>F71586</t>
  </si>
  <si>
    <t>F71587</t>
  </si>
  <si>
    <t>F71588</t>
  </si>
  <si>
    <t>F71589</t>
  </si>
  <si>
    <t>F71590</t>
  </si>
  <si>
    <t>F71591</t>
  </si>
  <si>
    <t>F71592</t>
  </si>
  <si>
    <t>F71593</t>
  </si>
  <si>
    <t>F71594</t>
  </si>
  <si>
    <t>F71595</t>
  </si>
  <si>
    <t>F71596</t>
  </si>
  <si>
    <t>F71597</t>
  </si>
  <si>
    <t>F71598</t>
  </si>
  <si>
    <t>F71601</t>
  </si>
  <si>
    <t>F71599</t>
  </si>
  <si>
    <t>F71600</t>
  </si>
  <si>
    <t>F71602</t>
  </si>
  <si>
    <t>F71603</t>
  </si>
  <si>
    <t>F71604</t>
  </si>
  <si>
    <t>F71605</t>
  </si>
  <si>
    <t>F71607</t>
  </si>
  <si>
    <t>F71606</t>
  </si>
  <si>
    <t>F71608</t>
  </si>
  <si>
    <t>F71609</t>
  </si>
  <si>
    <t>F71610</t>
  </si>
  <si>
    <t>F71611</t>
  </si>
  <si>
    <t>F71612</t>
  </si>
  <si>
    <t>F71613</t>
  </si>
  <si>
    <t>F71614</t>
  </si>
  <si>
    <t>F71615</t>
  </si>
  <si>
    <t>F71616</t>
  </si>
  <si>
    <t>F71617</t>
  </si>
  <si>
    <t>F71618</t>
  </si>
  <si>
    <t>F71619</t>
  </si>
  <si>
    <t>F71620</t>
  </si>
  <si>
    <t>F71621</t>
  </si>
  <si>
    <t>F71622</t>
  </si>
  <si>
    <t>F71623</t>
  </si>
  <si>
    <t>F71624</t>
  </si>
  <si>
    <t>F71625</t>
  </si>
  <si>
    <t>F71626</t>
  </si>
  <si>
    <t>F71633</t>
  </si>
  <si>
    <t>F71627</t>
  </si>
  <si>
    <t>F71628</t>
  </si>
  <si>
    <t>F71629</t>
  </si>
  <si>
    <t>F71630</t>
  </si>
  <si>
    <t>F71631</t>
  </si>
  <si>
    <t>F71632</t>
  </si>
  <si>
    <t>F71634</t>
  </si>
  <si>
    <t>F71635</t>
  </si>
  <si>
    <t>F71636</t>
  </si>
  <si>
    <t>F71637</t>
  </si>
  <si>
    <t>F71640</t>
  </si>
  <si>
    <t>F71638</t>
  </si>
  <si>
    <t>F71639</t>
  </si>
  <si>
    <t>F71641</t>
  </si>
  <si>
    <t>F71642</t>
  </si>
  <si>
    <t>F71643</t>
  </si>
  <si>
    <t>F71644</t>
  </si>
  <si>
    <t>F71645</t>
  </si>
  <si>
    <t>F71646</t>
  </si>
  <si>
    <t>F71647</t>
  </si>
  <si>
    <t>F71648</t>
  </si>
  <si>
    <t>F71649</t>
  </si>
  <si>
    <t>F71650</t>
  </si>
  <si>
    <t>F71652</t>
  </si>
  <si>
    <t>F71651</t>
  </si>
  <si>
    <t>F71653</t>
  </si>
  <si>
    <t>F71654</t>
  </si>
  <si>
    <t>F71655</t>
  </si>
  <si>
    <t>F71656</t>
  </si>
  <si>
    <t>F71658</t>
  </si>
  <si>
    <t>F71657</t>
  </si>
  <si>
    <t>F71660</t>
  </si>
  <si>
    <t>F71659</t>
  </si>
  <si>
    <t>F71661</t>
  </si>
  <si>
    <t>F71664</t>
  </si>
  <si>
    <t>F71663</t>
  </si>
  <si>
    <t>F71662</t>
  </si>
  <si>
    <t>F71665</t>
  </si>
  <si>
    <t>F71666</t>
  </si>
  <si>
    <t>F71667</t>
  </si>
  <si>
    <t>F71668</t>
  </si>
  <si>
    <t>F71669</t>
  </si>
  <si>
    <t>F71670</t>
  </si>
  <si>
    <t>F71671</t>
  </si>
  <si>
    <t>not</t>
  </si>
  <si>
    <t>F71675</t>
  </si>
  <si>
    <t>F71672</t>
  </si>
  <si>
    <t>F71673</t>
  </si>
  <si>
    <t>F71674</t>
  </si>
  <si>
    <t>F71676</t>
  </si>
  <si>
    <t>F71677</t>
  </si>
  <si>
    <t>F71678</t>
  </si>
  <si>
    <t>F71679</t>
  </si>
  <si>
    <t>F71680</t>
  </si>
  <si>
    <t>F71681</t>
  </si>
  <si>
    <t>F71682</t>
  </si>
  <si>
    <t>F71685</t>
  </si>
  <si>
    <t>F71683</t>
  </si>
  <si>
    <t>F71684</t>
  </si>
  <si>
    <t>F71686</t>
  </si>
  <si>
    <t>F71688</t>
  </si>
  <si>
    <t>F71687</t>
  </si>
  <si>
    <t>F71689</t>
  </si>
  <si>
    <t>F71690</t>
  </si>
  <si>
    <t>F71691</t>
  </si>
  <si>
    <t>F71692</t>
  </si>
  <si>
    <t>F71693</t>
  </si>
  <si>
    <t>F71694</t>
  </si>
  <si>
    <t>F71695</t>
  </si>
  <si>
    <t>F71696</t>
  </si>
  <si>
    <t>F71698</t>
  </si>
  <si>
    <t>F71697</t>
  </si>
  <si>
    <t>zoom ek gnn ba</t>
  </si>
  <si>
    <t>F71699</t>
  </si>
  <si>
    <t>F71700</t>
  </si>
  <si>
    <t>F71701</t>
  </si>
  <si>
    <t>F71703</t>
  </si>
  <si>
    <t>F71702</t>
  </si>
  <si>
    <t>F71706</t>
  </si>
  <si>
    <t>F71704</t>
  </si>
  <si>
    <t>F71705</t>
  </si>
  <si>
    <t>F71707</t>
  </si>
  <si>
    <t>F71708</t>
  </si>
  <si>
    <t>F71709</t>
  </si>
  <si>
    <t>F71710</t>
  </si>
  <si>
    <t>F71712</t>
  </si>
  <si>
    <t>F71711</t>
  </si>
  <si>
    <t>F71713</t>
  </si>
  <si>
    <t>F71714</t>
  </si>
  <si>
    <t>7,9</t>
  </si>
  <si>
    <t>F71715</t>
  </si>
  <si>
    <t>F71716</t>
  </si>
  <si>
    <t>F71717</t>
  </si>
  <si>
    <t>F71720</t>
  </si>
  <si>
    <t>F71718</t>
  </si>
  <si>
    <t>F71719</t>
  </si>
  <si>
    <t>F71721</t>
  </si>
  <si>
    <t>F71722</t>
  </si>
  <si>
    <t>F71730</t>
  </si>
  <si>
    <t>F71723</t>
  </si>
  <si>
    <t>F71724</t>
  </si>
  <si>
    <t>F71725</t>
  </si>
  <si>
    <t>F71726</t>
  </si>
  <si>
    <t>F71727</t>
  </si>
  <si>
    <t>F71728</t>
  </si>
  <si>
    <t>F71731</t>
  </si>
  <si>
    <t>F71732</t>
  </si>
  <si>
    <t>F71733</t>
  </si>
  <si>
    <t>F71734</t>
  </si>
  <si>
    <t>F71735</t>
  </si>
  <si>
    <t>F71736</t>
  </si>
  <si>
    <t>F71737</t>
  </si>
  <si>
    <t>F71738</t>
  </si>
  <si>
    <t>F71739</t>
  </si>
  <si>
    <t>F71740</t>
  </si>
  <si>
    <t>F71741</t>
  </si>
  <si>
    <t>F71742</t>
  </si>
  <si>
    <t>clz eka gena ahyve nelu</t>
  </si>
  <si>
    <t>F71743</t>
  </si>
  <si>
    <t>F71744</t>
  </si>
  <si>
    <t>F71745</t>
  </si>
  <si>
    <t>F71746</t>
  </si>
  <si>
    <t>F71747</t>
  </si>
  <si>
    <t>F71749</t>
  </si>
  <si>
    <t>F71751</t>
  </si>
  <si>
    <t>F71748</t>
  </si>
  <si>
    <t>6,11</t>
  </si>
  <si>
    <t>F71750</t>
  </si>
  <si>
    <t>F71752</t>
  </si>
  <si>
    <t>F71753</t>
  </si>
  <si>
    <t>F71754</t>
  </si>
  <si>
    <t>F71755</t>
  </si>
  <si>
    <t>F71757</t>
  </si>
  <si>
    <t>F71756</t>
  </si>
  <si>
    <t>F71758</t>
  </si>
  <si>
    <t>F71782</t>
  </si>
  <si>
    <t>F71759</t>
  </si>
  <si>
    <t>F71760</t>
  </si>
  <si>
    <t>F71761</t>
  </si>
  <si>
    <t>F71764</t>
  </si>
  <si>
    <t>F71762</t>
  </si>
  <si>
    <t>F71763</t>
  </si>
  <si>
    <t>F71765</t>
  </si>
  <si>
    <t>F71766</t>
  </si>
  <si>
    <t>F71767</t>
  </si>
  <si>
    <t>F71768</t>
  </si>
  <si>
    <t>F71769</t>
  </si>
  <si>
    <t>F71770</t>
  </si>
  <si>
    <t>F71771</t>
  </si>
  <si>
    <t>F71772</t>
  </si>
  <si>
    <t>F71773</t>
  </si>
  <si>
    <t>F71774</t>
  </si>
  <si>
    <t>F71775</t>
  </si>
  <si>
    <t>F71776</t>
  </si>
  <si>
    <t>F71777</t>
  </si>
  <si>
    <t>F71778</t>
  </si>
  <si>
    <t>F71779</t>
  </si>
  <si>
    <t>F71780</t>
  </si>
  <si>
    <t>F71781</t>
  </si>
  <si>
    <t>F71783</t>
  </si>
  <si>
    <t>F71784</t>
  </si>
  <si>
    <t>F71785</t>
  </si>
  <si>
    <t>F71786</t>
  </si>
  <si>
    <t>F71787</t>
  </si>
  <si>
    <t>F71788</t>
  </si>
  <si>
    <t>F71789</t>
  </si>
  <si>
    <t>F71790</t>
  </si>
  <si>
    <t>F71791</t>
  </si>
  <si>
    <t>F71792</t>
  </si>
  <si>
    <t>F71793</t>
  </si>
  <si>
    <t>F71794</t>
  </si>
  <si>
    <t>F71795</t>
  </si>
  <si>
    <t>F71796</t>
  </si>
  <si>
    <t>F71797</t>
  </si>
  <si>
    <t>F71806</t>
  </si>
  <si>
    <t>F71798</t>
  </si>
  <si>
    <t>F71799</t>
  </si>
  <si>
    <t>F71801</t>
  </si>
  <si>
    <t>F71800</t>
  </si>
  <si>
    <t>F71802</t>
  </si>
  <si>
    <t>F71803</t>
  </si>
  <si>
    <t>F71804</t>
  </si>
  <si>
    <t>F71805</t>
  </si>
  <si>
    <t>6,9</t>
  </si>
  <si>
    <t>F71807</t>
  </si>
  <si>
    <t>F71809</t>
  </si>
  <si>
    <t>F71808</t>
  </si>
  <si>
    <t>F71810</t>
  </si>
  <si>
    <t>F71811</t>
  </si>
  <si>
    <t>F71812</t>
  </si>
  <si>
    <t>F71813</t>
  </si>
  <si>
    <t>F71814</t>
  </si>
  <si>
    <t>F71815</t>
  </si>
  <si>
    <t>F71816</t>
  </si>
  <si>
    <t>F71817</t>
  </si>
  <si>
    <t>F71818</t>
  </si>
  <si>
    <t>F71819</t>
  </si>
  <si>
    <t>F71820</t>
  </si>
  <si>
    <t>F71821</t>
  </si>
  <si>
    <t>F71822</t>
  </si>
  <si>
    <t>F71823</t>
  </si>
  <si>
    <t>F71824</t>
  </si>
  <si>
    <t>F71825</t>
  </si>
  <si>
    <t>F71826</t>
  </si>
  <si>
    <t>F71827</t>
  </si>
  <si>
    <t>F71828</t>
  </si>
  <si>
    <t>F71829</t>
  </si>
  <si>
    <t>F71830</t>
  </si>
  <si>
    <t>F71831</t>
  </si>
  <si>
    <t>F71832</t>
  </si>
  <si>
    <t>F71833</t>
  </si>
  <si>
    <t>F71834</t>
  </si>
  <si>
    <t>F71835</t>
  </si>
  <si>
    <t>F71836</t>
  </si>
  <si>
    <t>F71837</t>
  </si>
  <si>
    <t>F71838</t>
  </si>
  <si>
    <t>F71839</t>
  </si>
  <si>
    <t>F71840</t>
  </si>
  <si>
    <t>F71841</t>
  </si>
  <si>
    <t>F71842</t>
  </si>
  <si>
    <t>F71843</t>
  </si>
  <si>
    <t>F71844</t>
  </si>
  <si>
    <t>F71845</t>
  </si>
  <si>
    <t>F71846</t>
  </si>
  <si>
    <t>F71847</t>
  </si>
  <si>
    <t>F71852</t>
  </si>
  <si>
    <t>F71848</t>
  </si>
  <si>
    <t>F71849</t>
  </si>
  <si>
    <t>F71850</t>
  </si>
  <si>
    <t>F71851</t>
  </si>
  <si>
    <t>F71853</t>
  </si>
  <si>
    <t>F71854</t>
  </si>
  <si>
    <t>F71855</t>
  </si>
  <si>
    <t>F71856</t>
  </si>
  <si>
    <t>F71857</t>
  </si>
  <si>
    <t>F71858</t>
  </si>
  <si>
    <t>F71859</t>
  </si>
  <si>
    <t>F71860</t>
  </si>
  <si>
    <t>F71861</t>
  </si>
  <si>
    <t>F71862</t>
  </si>
  <si>
    <t>F71863</t>
  </si>
  <si>
    <t>F71864</t>
  </si>
  <si>
    <t>F71865</t>
  </si>
  <si>
    <t>F71866</t>
  </si>
  <si>
    <t>F71867</t>
  </si>
  <si>
    <t>F71868</t>
  </si>
  <si>
    <t>F71869</t>
  </si>
  <si>
    <t>F71870</t>
  </si>
  <si>
    <t>F71872</t>
  </si>
  <si>
    <t>F71871</t>
  </si>
  <si>
    <t>F71873</t>
  </si>
  <si>
    <t>F71874</t>
  </si>
  <si>
    <t>F71875</t>
  </si>
  <si>
    <t>F71877</t>
  </si>
  <si>
    <t>F71876</t>
  </si>
  <si>
    <t>F71878</t>
  </si>
  <si>
    <t>F71879</t>
  </si>
  <si>
    <t>F71880</t>
  </si>
  <si>
    <t>F71881</t>
  </si>
  <si>
    <t>F71882</t>
  </si>
  <si>
    <t>F71883</t>
  </si>
  <si>
    <t>F71884</t>
  </si>
  <si>
    <t>F71885</t>
  </si>
  <si>
    <t>F71886</t>
  </si>
  <si>
    <t>F71887</t>
  </si>
  <si>
    <t>F71888</t>
  </si>
  <si>
    <t>F71889</t>
  </si>
  <si>
    <t>F71890</t>
  </si>
  <si>
    <t>F71891</t>
  </si>
  <si>
    <t>F71892</t>
  </si>
  <si>
    <t>F71893</t>
  </si>
  <si>
    <t>F71894</t>
  </si>
  <si>
    <t>F71895</t>
  </si>
  <si>
    <t>F71896</t>
  </si>
  <si>
    <t>F71897</t>
  </si>
  <si>
    <t>F71898</t>
  </si>
  <si>
    <t>F71899</t>
  </si>
  <si>
    <t>F71900</t>
  </si>
  <si>
    <t>F71901</t>
  </si>
  <si>
    <t>F71907</t>
  </si>
  <si>
    <t>F71902</t>
  </si>
  <si>
    <t>F71903</t>
  </si>
  <si>
    <t>F71904</t>
  </si>
  <si>
    <t>F71905</t>
  </si>
  <si>
    <t>F71906</t>
  </si>
  <si>
    <t>F71908</t>
  </si>
  <si>
    <t>F71909</t>
  </si>
  <si>
    <t>F71910</t>
  </si>
  <si>
    <t>F71911</t>
  </si>
  <si>
    <t>F71912</t>
  </si>
  <si>
    <t>F71913</t>
  </si>
  <si>
    <t>F71914</t>
  </si>
  <si>
    <t>F71915</t>
  </si>
  <si>
    <t>F71916</t>
  </si>
  <si>
    <t>F71917</t>
  </si>
  <si>
    <t>F71918</t>
  </si>
  <si>
    <t>F71919</t>
  </si>
  <si>
    <t>F71920</t>
  </si>
  <si>
    <t>F71921</t>
  </si>
  <si>
    <t>F71922</t>
  </si>
  <si>
    <t>F71923</t>
  </si>
  <si>
    <t>F71924</t>
  </si>
  <si>
    <t>F71925</t>
  </si>
  <si>
    <t>free</t>
  </si>
  <si>
    <t>F71926</t>
  </si>
  <si>
    <t>F71928</t>
  </si>
  <si>
    <t>F71927</t>
  </si>
  <si>
    <t>F71929</t>
  </si>
  <si>
    <t>F71930</t>
  </si>
  <si>
    <t>F71931</t>
  </si>
  <si>
    <t>F71932</t>
  </si>
  <si>
    <t>F71933</t>
  </si>
  <si>
    <t>F71934</t>
  </si>
  <si>
    <t xml:space="preserve"> 45 wayas</t>
  </si>
  <si>
    <t>F71935</t>
  </si>
  <si>
    <t>F71944</t>
  </si>
  <si>
    <t>F71936</t>
  </si>
  <si>
    <t>F71937</t>
  </si>
  <si>
    <t>F71938</t>
  </si>
  <si>
    <t>F71939</t>
  </si>
  <si>
    <t>F71940</t>
  </si>
  <si>
    <t>F71943</t>
  </si>
  <si>
    <t>F71941</t>
  </si>
  <si>
    <t>F71942</t>
  </si>
  <si>
    <t>F71945</t>
  </si>
  <si>
    <t>tamie</t>
  </si>
  <si>
    <t>F71946</t>
  </si>
  <si>
    <t>F71947</t>
  </si>
  <si>
    <t>F71948</t>
  </si>
  <si>
    <t>F71949</t>
  </si>
  <si>
    <t>F71950</t>
  </si>
  <si>
    <t>F71956</t>
  </si>
  <si>
    <t>F71951</t>
  </si>
  <si>
    <t>F71952</t>
  </si>
  <si>
    <t>F71953</t>
  </si>
  <si>
    <t>F71954</t>
  </si>
  <si>
    <t>F71955</t>
  </si>
  <si>
    <t>F71957</t>
  </si>
  <si>
    <t>F71958</t>
  </si>
  <si>
    <t>F71959</t>
  </si>
  <si>
    <t>F71960</t>
  </si>
  <si>
    <t>F71961</t>
  </si>
  <si>
    <t>F71962</t>
  </si>
  <si>
    <t>F71963</t>
  </si>
  <si>
    <t>F71964</t>
  </si>
  <si>
    <t>F71965</t>
  </si>
  <si>
    <t>F71966</t>
  </si>
  <si>
    <t>F71967</t>
  </si>
  <si>
    <t>F71968</t>
  </si>
  <si>
    <t>F71969</t>
  </si>
  <si>
    <t>F71971</t>
  </si>
  <si>
    <t>F71970</t>
  </si>
  <si>
    <t>F71972</t>
  </si>
  <si>
    <t>F71975</t>
  </si>
  <si>
    <t>F71973</t>
  </si>
  <si>
    <t>F71974</t>
  </si>
  <si>
    <t>F71976</t>
  </si>
  <si>
    <t>F71977</t>
  </si>
  <si>
    <t>F71978</t>
  </si>
  <si>
    <t>F71979</t>
  </si>
  <si>
    <t>F71980</t>
  </si>
  <si>
    <t>F71981</t>
  </si>
  <si>
    <t>F71982</t>
  </si>
  <si>
    <t>F71983</t>
  </si>
  <si>
    <t>F71984</t>
  </si>
  <si>
    <t>F71985</t>
  </si>
  <si>
    <t>F71986</t>
  </si>
  <si>
    <t>F71987</t>
  </si>
  <si>
    <t>F71988</t>
  </si>
  <si>
    <t>F71989</t>
  </si>
  <si>
    <t>F71990</t>
  </si>
  <si>
    <t>english m</t>
  </si>
  <si>
    <t>F71991</t>
  </si>
  <si>
    <t>F71992</t>
  </si>
  <si>
    <t>F71993</t>
  </si>
  <si>
    <t>F71994</t>
  </si>
  <si>
    <t>F71995</t>
  </si>
  <si>
    <t>F71996</t>
  </si>
  <si>
    <t>F71997</t>
  </si>
  <si>
    <t>F71998</t>
  </si>
  <si>
    <t>F71999</t>
  </si>
  <si>
    <t>F72000</t>
  </si>
  <si>
    <t>F72001</t>
  </si>
  <si>
    <t>F72002</t>
  </si>
  <si>
    <t>F72003</t>
  </si>
  <si>
    <t>F72004</t>
  </si>
  <si>
    <t>F72005</t>
  </si>
  <si>
    <t>F72006</t>
  </si>
  <si>
    <t>F72007</t>
  </si>
  <si>
    <t>F72008</t>
  </si>
  <si>
    <t>F72009</t>
  </si>
  <si>
    <t>F72010</t>
  </si>
  <si>
    <t>F72012</t>
  </si>
  <si>
    <t>F72011</t>
  </si>
  <si>
    <t>F72013</t>
  </si>
  <si>
    <t>F72014</t>
  </si>
  <si>
    <t>F72015</t>
  </si>
  <si>
    <t>F72016</t>
  </si>
  <si>
    <t>F72017</t>
  </si>
  <si>
    <t>F72018</t>
  </si>
  <si>
    <t>F72019</t>
  </si>
  <si>
    <t>F72020</t>
  </si>
  <si>
    <t>F72021</t>
  </si>
  <si>
    <t>11,9</t>
  </si>
  <si>
    <t>F72022</t>
  </si>
  <si>
    <t>F72023</t>
  </si>
  <si>
    <t>F72024</t>
  </si>
  <si>
    <t>F72025</t>
  </si>
  <si>
    <t>F72026</t>
  </si>
  <si>
    <t>F72027</t>
  </si>
  <si>
    <t>F72028</t>
  </si>
  <si>
    <t>F72029</t>
  </si>
  <si>
    <t>F72030</t>
  </si>
  <si>
    <t>F72031</t>
  </si>
  <si>
    <t>F72032</t>
  </si>
  <si>
    <t>F72036</t>
  </si>
  <si>
    <t>F72033</t>
  </si>
  <si>
    <t>F72034</t>
  </si>
  <si>
    <t>F72035</t>
  </si>
  <si>
    <t>F72037</t>
  </si>
  <si>
    <t>F72038</t>
  </si>
  <si>
    <t>F72039</t>
  </si>
  <si>
    <t>F72040</t>
  </si>
  <si>
    <t>F72041</t>
  </si>
  <si>
    <t>F72042</t>
  </si>
  <si>
    <t>F72043</t>
  </si>
  <si>
    <t>F72044</t>
  </si>
  <si>
    <t>F72045</t>
  </si>
  <si>
    <t>F72049</t>
  </si>
  <si>
    <t>F72046</t>
  </si>
  <si>
    <t>F72047</t>
  </si>
  <si>
    <t>F72048</t>
  </si>
  <si>
    <t>F72050</t>
  </si>
  <si>
    <t>F72051</t>
  </si>
  <si>
    <t>F72052</t>
  </si>
  <si>
    <t>F72053</t>
  </si>
  <si>
    <t>F72054</t>
  </si>
  <si>
    <t>F72055</t>
  </si>
  <si>
    <t>F72056</t>
  </si>
  <si>
    <t>F72058</t>
  </si>
  <si>
    <t>F72057</t>
  </si>
  <si>
    <t>F72059</t>
  </si>
  <si>
    <t>F72060</t>
  </si>
  <si>
    <t>F72061</t>
  </si>
  <si>
    <t>F72062</t>
  </si>
  <si>
    <t>F72063</t>
  </si>
  <si>
    <t>F72064</t>
  </si>
  <si>
    <t>F72065</t>
  </si>
  <si>
    <t>F72066</t>
  </si>
  <si>
    <t>F72067</t>
  </si>
  <si>
    <t>F72068</t>
  </si>
  <si>
    <t>F72069</t>
  </si>
  <si>
    <t>grade 4</t>
  </si>
  <si>
    <t>F72070</t>
  </si>
  <si>
    <t>F72071</t>
  </si>
  <si>
    <t>F72072</t>
  </si>
  <si>
    <t>F72073</t>
  </si>
  <si>
    <t>F72075</t>
  </si>
  <si>
    <t>F72074</t>
  </si>
  <si>
    <t>F72076</t>
  </si>
  <si>
    <t>F72078</t>
  </si>
  <si>
    <t>F72080</t>
  </si>
  <si>
    <t>F72079</t>
  </si>
  <si>
    <t>F72081</t>
  </si>
  <si>
    <t>F72090</t>
  </si>
  <si>
    <t>F72082</t>
  </si>
  <si>
    <t>F72083</t>
  </si>
  <si>
    <t>F72084</t>
  </si>
  <si>
    <t>F72085</t>
  </si>
  <si>
    <t>F72086</t>
  </si>
  <si>
    <t>F72087</t>
  </si>
  <si>
    <t>F72088</t>
  </si>
  <si>
    <t>F72089</t>
  </si>
  <si>
    <t>F72093</t>
  </si>
  <si>
    <t>F72091</t>
  </si>
  <si>
    <t>F72092</t>
  </si>
  <si>
    <t>F72094</t>
  </si>
  <si>
    <t>F72095</t>
  </si>
  <si>
    <t>F72096</t>
  </si>
  <si>
    <t>NOT JOIN</t>
  </si>
  <si>
    <t>F72097</t>
  </si>
  <si>
    <t xml:space="preserve">recording </t>
  </si>
  <si>
    <t>F72098</t>
  </si>
  <si>
    <t>F72099</t>
  </si>
  <si>
    <t>F72100</t>
  </si>
  <si>
    <t>F72101</t>
  </si>
  <si>
    <t>F72102</t>
  </si>
  <si>
    <t>F72103</t>
  </si>
  <si>
    <t>F72105</t>
  </si>
  <si>
    <t>F72104</t>
  </si>
  <si>
    <t>F72106</t>
  </si>
  <si>
    <t>F72107</t>
  </si>
  <si>
    <t>F72108</t>
  </si>
  <si>
    <t>F72109</t>
  </si>
  <si>
    <t>F72110</t>
  </si>
  <si>
    <t>F72111</t>
  </si>
  <si>
    <t>F72112</t>
  </si>
  <si>
    <t>F72113</t>
  </si>
  <si>
    <t>F72114</t>
  </si>
  <si>
    <t>F72115</t>
  </si>
  <si>
    <t>daruwa dala</t>
  </si>
  <si>
    <t>F72116</t>
  </si>
  <si>
    <t>F72117</t>
  </si>
  <si>
    <t>F72118</t>
  </si>
  <si>
    <t>F72119</t>
  </si>
  <si>
    <t>F72120</t>
  </si>
  <si>
    <t>F72121</t>
  </si>
  <si>
    <t>F72123</t>
  </si>
  <si>
    <t>F72122</t>
  </si>
  <si>
    <t>F72124</t>
  </si>
  <si>
    <t>8,10</t>
  </si>
  <si>
    <t>F72125</t>
  </si>
  <si>
    <t>F72126</t>
  </si>
  <si>
    <t>F72127</t>
  </si>
  <si>
    <t>F72128</t>
  </si>
  <si>
    <t>F72129</t>
  </si>
  <si>
    <t>F72131</t>
  </si>
  <si>
    <t>F72132</t>
  </si>
  <si>
    <t>F72133</t>
  </si>
  <si>
    <t>F72134</t>
  </si>
  <si>
    <t>F72135</t>
  </si>
  <si>
    <t>F72136</t>
  </si>
  <si>
    <t>F72137</t>
  </si>
  <si>
    <t>F72138</t>
  </si>
  <si>
    <t>F72139</t>
  </si>
  <si>
    <t>F72140</t>
  </si>
  <si>
    <t>F72143</t>
  </si>
  <si>
    <t>F72141</t>
  </si>
  <si>
    <t>F72142</t>
  </si>
  <si>
    <t>F72145</t>
  </si>
  <si>
    <t>F72144</t>
  </si>
  <si>
    <t>F72146</t>
  </si>
  <si>
    <t>F72147</t>
  </si>
  <si>
    <t>F72149</t>
  </si>
  <si>
    <t>F72148</t>
  </si>
  <si>
    <t>F72150</t>
  </si>
  <si>
    <t>F72151</t>
  </si>
  <si>
    <t>F72152</t>
  </si>
  <si>
    <t>F72153</t>
  </si>
  <si>
    <t>baba dala thiyne</t>
  </si>
  <si>
    <t>F77915</t>
  </si>
  <si>
    <t>F72154</t>
  </si>
  <si>
    <t>F72155</t>
  </si>
  <si>
    <t>F72159</t>
  </si>
  <si>
    <t>F72157</t>
  </si>
  <si>
    <t>F72158</t>
  </si>
  <si>
    <t>F72161</t>
  </si>
  <si>
    <t>F72160</t>
  </si>
  <si>
    <t>F72162</t>
  </si>
  <si>
    <t>F72163</t>
  </si>
  <si>
    <t>F72164</t>
  </si>
  <si>
    <t>F72165</t>
  </si>
  <si>
    <t>F72166</t>
  </si>
  <si>
    <t>F72167</t>
  </si>
  <si>
    <t>F72168</t>
  </si>
  <si>
    <t>F72169</t>
  </si>
  <si>
    <t>F72170</t>
  </si>
  <si>
    <t>F72171</t>
  </si>
  <si>
    <t>F72172</t>
  </si>
  <si>
    <t>F72173</t>
  </si>
  <si>
    <t>F72175</t>
  </si>
  <si>
    <t>F72174</t>
  </si>
  <si>
    <t>F72176</t>
  </si>
  <si>
    <t>F72177</t>
  </si>
  <si>
    <t>F72178</t>
  </si>
  <si>
    <t>F72179</t>
  </si>
  <si>
    <t>F72181</t>
  </si>
  <si>
    <t>F72180</t>
  </si>
  <si>
    <t>F72182</t>
  </si>
  <si>
    <t>F72183</t>
  </si>
  <si>
    <t>F72184</t>
  </si>
  <si>
    <t>F72185</t>
  </si>
  <si>
    <t>F72186</t>
  </si>
  <si>
    <t>F72187</t>
  </si>
  <si>
    <t>F72188</t>
  </si>
  <si>
    <t>F72189</t>
  </si>
  <si>
    <t>F72190</t>
  </si>
  <si>
    <t>F72191</t>
  </si>
  <si>
    <t>F72192</t>
  </si>
  <si>
    <t>F72193</t>
  </si>
  <si>
    <t>F72194</t>
  </si>
  <si>
    <t>F72195</t>
  </si>
  <si>
    <t>F72196</t>
  </si>
  <si>
    <t>F72199</t>
  </si>
  <si>
    <t>F72197</t>
  </si>
  <si>
    <t>F72198</t>
  </si>
  <si>
    <t>F72200</t>
  </si>
  <si>
    <t>F72201</t>
  </si>
  <si>
    <t>F72202</t>
  </si>
  <si>
    <t>F72203</t>
  </si>
  <si>
    <t>F72204</t>
  </si>
  <si>
    <t>F72207</t>
  </si>
  <si>
    <t>F72209</t>
  </si>
  <si>
    <t>F72205</t>
  </si>
  <si>
    <t>F72206</t>
  </si>
  <si>
    <t>F72208</t>
  </si>
  <si>
    <t>F72210</t>
  </si>
  <si>
    <t>F72212</t>
  </si>
  <si>
    <t>F72211</t>
  </si>
  <si>
    <t>F72213</t>
  </si>
  <si>
    <t>F72214</t>
  </si>
  <si>
    <t>F72215</t>
  </si>
  <si>
    <t>F72216</t>
  </si>
  <si>
    <t>F72221</t>
  </si>
  <si>
    <t>F72217</t>
  </si>
  <si>
    <t>F72218</t>
  </si>
  <si>
    <t>F72219</t>
  </si>
  <si>
    <t>F72220</t>
  </si>
  <si>
    <t>F72222</t>
  </si>
  <si>
    <t>F72223</t>
  </si>
  <si>
    <t>F72224</t>
  </si>
  <si>
    <t>F72225</t>
  </si>
  <si>
    <t>F72226</t>
  </si>
  <si>
    <t>F72227</t>
  </si>
  <si>
    <t>F72228</t>
  </si>
  <si>
    <t>F72229</t>
  </si>
  <si>
    <t>F72230</t>
  </si>
  <si>
    <t>F72231</t>
  </si>
  <si>
    <t>F72232</t>
  </si>
  <si>
    <t>F72233</t>
  </si>
  <si>
    <t>F72234</t>
  </si>
  <si>
    <t>F72235</t>
  </si>
  <si>
    <t>F72236</t>
  </si>
  <si>
    <t>F72237</t>
  </si>
  <si>
    <t>F72238</t>
  </si>
  <si>
    <t>F72239</t>
  </si>
  <si>
    <t>F72240</t>
  </si>
  <si>
    <t>F72241</t>
  </si>
  <si>
    <t>F72242</t>
  </si>
  <si>
    <t>F72243</t>
  </si>
  <si>
    <t>F72244</t>
  </si>
  <si>
    <t>F72245</t>
  </si>
  <si>
    <t>F72246</t>
  </si>
  <si>
    <t>F72247</t>
  </si>
  <si>
    <t>taime aul</t>
  </si>
  <si>
    <t>F72248</t>
  </si>
  <si>
    <t>F72249</t>
  </si>
  <si>
    <t>F72250</t>
  </si>
  <si>
    <t>F72252</t>
  </si>
  <si>
    <t>F72251</t>
  </si>
  <si>
    <t>F72253</t>
  </si>
  <si>
    <t>F72254</t>
  </si>
  <si>
    <t>F72255</t>
  </si>
  <si>
    <t>F72256</t>
  </si>
  <si>
    <t>F72257</t>
  </si>
  <si>
    <t>F72258</t>
  </si>
  <si>
    <t>F72259</t>
  </si>
  <si>
    <t>F72260</t>
  </si>
  <si>
    <t>F72261</t>
  </si>
  <si>
    <t>F72262</t>
  </si>
  <si>
    <t>F72263</t>
  </si>
  <si>
    <t>F72264</t>
  </si>
  <si>
    <t>F72265</t>
  </si>
  <si>
    <t>F72266</t>
  </si>
  <si>
    <t>F72268</t>
  </si>
  <si>
    <t>F72267</t>
  </si>
  <si>
    <t>F72269</t>
  </si>
  <si>
    <t>F72270</t>
  </si>
  <si>
    <t>F72271</t>
  </si>
  <si>
    <t>F72272</t>
  </si>
  <si>
    <t>F72274</t>
  </si>
  <si>
    <t>F72273</t>
  </si>
  <si>
    <t>F72275</t>
  </si>
  <si>
    <t>F72276</t>
  </si>
  <si>
    <t>F72277</t>
  </si>
  <si>
    <t>F72278</t>
  </si>
  <si>
    <t>F72279</t>
  </si>
  <si>
    <t>F72280</t>
  </si>
  <si>
    <t>F72281</t>
  </si>
  <si>
    <t>F72282</t>
  </si>
  <si>
    <t>F72283</t>
  </si>
  <si>
    <t>F72285</t>
  </si>
  <si>
    <t>F72284</t>
  </si>
  <si>
    <t>F72286</t>
  </si>
  <si>
    <t>F72287</t>
  </si>
  <si>
    <t>F72289</t>
  </si>
  <si>
    <t>F72290</t>
  </si>
  <si>
    <t>F72291</t>
  </si>
  <si>
    <t>T.p</t>
  </si>
  <si>
    <t>F72292</t>
  </si>
  <si>
    <t>F72293</t>
  </si>
  <si>
    <t>F72294</t>
  </si>
  <si>
    <t>F72295</t>
  </si>
  <si>
    <t>T P</t>
  </si>
  <si>
    <t>F72296</t>
  </si>
  <si>
    <t>F72297</t>
  </si>
  <si>
    <t>msge 1 dnnm kiw</t>
  </si>
  <si>
    <t>F72298</t>
  </si>
  <si>
    <t>F72299</t>
  </si>
  <si>
    <t>F72301</t>
  </si>
  <si>
    <t>F72302</t>
  </si>
  <si>
    <t>9wsr  ekkent 11 clz ek ne</t>
  </si>
  <si>
    <t>F72303</t>
  </si>
  <si>
    <t>join wela inne</t>
  </si>
  <si>
    <t>F72304</t>
  </si>
  <si>
    <t>F72305</t>
  </si>
  <si>
    <t>F72306</t>
  </si>
  <si>
    <t>F72307</t>
  </si>
  <si>
    <t>F72308</t>
  </si>
  <si>
    <t>F72309</t>
  </si>
  <si>
    <t>F72310</t>
  </si>
  <si>
    <t>F72311</t>
  </si>
  <si>
    <t>F72313</t>
  </si>
  <si>
    <t>F72314</t>
  </si>
  <si>
    <t>F72315</t>
  </si>
  <si>
    <t>F72316</t>
  </si>
  <si>
    <t>F72317</t>
  </si>
  <si>
    <t>F72318</t>
  </si>
  <si>
    <t>F72319</t>
  </si>
  <si>
    <t>F72321</t>
  </si>
  <si>
    <t>F72320</t>
  </si>
  <si>
    <t>F72322</t>
  </si>
  <si>
    <t>F72323</t>
  </si>
  <si>
    <t>F72327</t>
  </si>
  <si>
    <t>F72324</t>
  </si>
  <si>
    <t>F72325</t>
  </si>
  <si>
    <t>F72326</t>
  </si>
  <si>
    <t>F72328</t>
  </si>
  <si>
    <t>F72329</t>
  </si>
  <si>
    <t>F72330</t>
  </si>
  <si>
    <t>F72331</t>
  </si>
  <si>
    <t>F72332</t>
  </si>
  <si>
    <t>F72333</t>
  </si>
  <si>
    <t>F72334</t>
  </si>
  <si>
    <t>F72335</t>
  </si>
  <si>
    <t>F72336</t>
  </si>
  <si>
    <t>m1 dnn kiw</t>
  </si>
  <si>
    <t>F72337</t>
  </si>
  <si>
    <t>F72338</t>
  </si>
  <si>
    <t>F72339</t>
  </si>
  <si>
    <t>F72353</t>
  </si>
  <si>
    <t>F72340</t>
  </si>
  <si>
    <t>F72341</t>
  </si>
  <si>
    <t>F72342</t>
  </si>
  <si>
    <t>F72343</t>
  </si>
  <si>
    <t>F72344</t>
  </si>
  <si>
    <t>F72345</t>
  </si>
  <si>
    <t>F72346</t>
  </si>
  <si>
    <t>F72347</t>
  </si>
  <si>
    <t>F72348</t>
  </si>
  <si>
    <t>F72349</t>
  </si>
  <si>
    <t>F72350</t>
  </si>
  <si>
    <t>F72351</t>
  </si>
  <si>
    <t>F72352</t>
  </si>
  <si>
    <t>F72357</t>
  </si>
  <si>
    <t>F72355</t>
  </si>
  <si>
    <t>F72356</t>
  </si>
  <si>
    <t>F72358</t>
  </si>
  <si>
    <t>F72359</t>
  </si>
  <si>
    <t>T p</t>
  </si>
  <si>
    <t>F72360</t>
  </si>
  <si>
    <t>F72361</t>
  </si>
  <si>
    <t>F72362</t>
  </si>
  <si>
    <t>F72363</t>
  </si>
  <si>
    <t>F72364</t>
  </si>
  <si>
    <t>F72365</t>
  </si>
  <si>
    <t>F72366</t>
  </si>
  <si>
    <t>F72367</t>
  </si>
  <si>
    <t>F72368</t>
  </si>
  <si>
    <t>F72369</t>
  </si>
  <si>
    <t>TP</t>
  </si>
  <si>
    <t>F72370</t>
  </si>
  <si>
    <t>F72371</t>
  </si>
  <si>
    <t>F72372</t>
  </si>
  <si>
    <t>F72373</t>
  </si>
  <si>
    <t>F72375</t>
  </si>
  <si>
    <t>F72374</t>
  </si>
  <si>
    <t>F72376</t>
  </si>
  <si>
    <t>F72377</t>
  </si>
  <si>
    <t>F72378</t>
  </si>
  <si>
    <t>F72379</t>
  </si>
  <si>
    <t>F72380</t>
  </si>
  <si>
    <t>F72381</t>
  </si>
  <si>
    <t>F72382</t>
  </si>
  <si>
    <t>F72383</t>
  </si>
  <si>
    <t>F72384</t>
  </si>
  <si>
    <t>F72385</t>
  </si>
  <si>
    <t>F72386</t>
  </si>
  <si>
    <t>tp</t>
  </si>
  <si>
    <t>F72387</t>
  </si>
  <si>
    <t>F72388</t>
  </si>
  <si>
    <t>F72389</t>
  </si>
  <si>
    <t>F72390</t>
  </si>
  <si>
    <t>F72391</t>
  </si>
  <si>
    <t>F72392</t>
  </si>
  <si>
    <t>F72393</t>
  </si>
  <si>
    <t>F72394</t>
  </si>
  <si>
    <t>F72395</t>
  </si>
  <si>
    <t>F72396</t>
  </si>
  <si>
    <t>F72397</t>
  </si>
  <si>
    <t>F72398</t>
  </si>
  <si>
    <t xml:space="preserve">t psd </t>
  </si>
  <si>
    <t>F72402</t>
  </si>
  <si>
    <t xml:space="preserve">T P </t>
  </si>
  <si>
    <t>F72399</t>
  </si>
  <si>
    <t>F72400</t>
  </si>
  <si>
    <t>F72401</t>
  </si>
  <si>
    <t>F72403</t>
  </si>
  <si>
    <t>F72404</t>
  </si>
  <si>
    <t>F72409</t>
  </si>
  <si>
    <t>F72405</t>
  </si>
  <si>
    <t>F72406</t>
  </si>
  <si>
    <t>F72408</t>
  </si>
  <si>
    <t>F72410</t>
  </si>
  <si>
    <t>F72411</t>
  </si>
  <si>
    <t>F72412</t>
  </si>
  <si>
    <t>F72413</t>
  </si>
  <si>
    <t>F72414</t>
  </si>
  <si>
    <t>F72415</t>
  </si>
  <si>
    <t>F72417</t>
  </si>
  <si>
    <t>F72420</t>
  </si>
  <si>
    <t>F72422</t>
  </si>
  <si>
    <t>t pas</t>
  </si>
  <si>
    <t>F72418</t>
  </si>
  <si>
    <t>F72421</t>
  </si>
  <si>
    <t>F72423</t>
  </si>
  <si>
    <t>F72424</t>
  </si>
  <si>
    <t>F72425</t>
  </si>
  <si>
    <t>F72426</t>
  </si>
  <si>
    <t>t pad</t>
  </si>
  <si>
    <t>F72427</t>
  </si>
  <si>
    <t>F72428</t>
  </si>
  <si>
    <t>F72429</t>
  </si>
  <si>
    <t>F72431</t>
  </si>
  <si>
    <t>F72430</t>
  </si>
  <si>
    <t>F72432</t>
  </si>
  <si>
    <t>F72433</t>
  </si>
  <si>
    <t>F72434</t>
  </si>
  <si>
    <t>F72435</t>
  </si>
  <si>
    <t>F72436</t>
  </si>
  <si>
    <t>F72437</t>
  </si>
  <si>
    <t>F72438</t>
  </si>
  <si>
    <t>F72440</t>
  </si>
  <si>
    <t>F72439</t>
  </si>
  <si>
    <t>F72441</t>
  </si>
  <si>
    <t>F72443</t>
  </si>
  <si>
    <t>F72444</t>
  </si>
  <si>
    <t>F72445</t>
  </si>
  <si>
    <t>F72446</t>
  </si>
  <si>
    <t>F72448</t>
  </si>
  <si>
    <t>F72449</t>
  </si>
  <si>
    <t>F72452</t>
  </si>
  <si>
    <t>F72454</t>
  </si>
  <si>
    <t>F72455</t>
  </si>
  <si>
    <t>F72456</t>
  </si>
  <si>
    <t>F72457</t>
  </si>
  <si>
    <t>F72458</t>
  </si>
  <si>
    <t>F72459</t>
  </si>
  <si>
    <t>F72460</t>
  </si>
  <si>
    <t>F72461</t>
  </si>
  <si>
    <t>F72462</t>
  </si>
  <si>
    <t>F72463</t>
  </si>
  <si>
    <t>F72464</t>
  </si>
  <si>
    <t>t ps (english)</t>
  </si>
  <si>
    <t>F72465</t>
  </si>
  <si>
    <t>F72466</t>
  </si>
  <si>
    <t>F72468</t>
  </si>
  <si>
    <t>F72469</t>
  </si>
  <si>
    <t>F72470</t>
  </si>
  <si>
    <t>F72471</t>
  </si>
  <si>
    <t>F72472</t>
  </si>
  <si>
    <t>F72477</t>
  </si>
  <si>
    <t>F72473</t>
  </si>
  <si>
    <t>F72474</t>
  </si>
  <si>
    <t>F72475</t>
  </si>
  <si>
    <t>F72481</t>
  </si>
  <si>
    <t>F72478</t>
  </si>
  <si>
    <t>F72479</t>
  </si>
  <si>
    <t>F72480</t>
  </si>
  <si>
    <t>F72482</t>
  </si>
  <si>
    <t>F72483</t>
  </si>
  <si>
    <t>KTHA KRNNE NA</t>
  </si>
  <si>
    <t>F72484</t>
  </si>
  <si>
    <t>F72486</t>
  </si>
  <si>
    <t>F72487</t>
  </si>
  <si>
    <t>F72488</t>
  </si>
  <si>
    <t>F72489</t>
  </si>
  <si>
    <t>F72491</t>
  </si>
  <si>
    <t>F72492</t>
  </si>
  <si>
    <t>F72493</t>
  </si>
  <si>
    <t>F72494</t>
  </si>
  <si>
    <t>F72495</t>
  </si>
  <si>
    <t>F72497</t>
  </si>
  <si>
    <t>F72498</t>
  </si>
  <si>
    <t>F72500</t>
  </si>
  <si>
    <t>F72501</t>
  </si>
  <si>
    <t>F72502</t>
  </si>
  <si>
    <t>F72504</t>
  </si>
  <si>
    <t>F72505</t>
  </si>
  <si>
    <t>F72507</t>
  </si>
  <si>
    <t>F72508</t>
  </si>
  <si>
    <t>F72510</t>
  </si>
  <si>
    <t>F72511</t>
  </si>
  <si>
    <t>F72513</t>
  </si>
  <si>
    <t>F72514</t>
  </si>
  <si>
    <t>F72515</t>
  </si>
  <si>
    <t>F72516</t>
  </si>
  <si>
    <t>F72517</t>
  </si>
  <si>
    <t>F72518</t>
  </si>
  <si>
    <t>F72519</t>
  </si>
  <si>
    <t>F72520</t>
  </si>
  <si>
    <t>F72521</t>
  </si>
  <si>
    <t>F72522</t>
  </si>
  <si>
    <t>F72523</t>
  </si>
  <si>
    <t>F72524</t>
  </si>
  <si>
    <t>F72525</t>
  </si>
  <si>
    <t>F72526</t>
  </si>
  <si>
    <t>F72527</t>
  </si>
  <si>
    <t>F72528</t>
  </si>
  <si>
    <t>F72529</t>
  </si>
  <si>
    <t>F72530</t>
  </si>
  <si>
    <t>F72531</t>
  </si>
  <si>
    <t>F72532</t>
  </si>
  <si>
    <t>F72533</t>
  </si>
  <si>
    <t>F72535</t>
  </si>
  <si>
    <t>F72537</t>
  </si>
  <si>
    <t>F72536</t>
  </si>
  <si>
    <t>F72538</t>
  </si>
  <si>
    <t>F72288</t>
  </si>
  <si>
    <t>F72300</t>
  </si>
  <si>
    <t>ටයිම් අවුල් රට යන්න</t>
  </si>
  <si>
    <t>F72312</t>
  </si>
  <si>
    <t>F72407</t>
  </si>
  <si>
    <t>F72416</t>
  </si>
  <si>
    <t xml:space="preserve">ahala na </t>
  </si>
  <si>
    <t>F72419</t>
  </si>
  <si>
    <t>F72442</t>
  </si>
  <si>
    <t>F72447</t>
  </si>
  <si>
    <t>time aul</t>
  </si>
  <si>
    <t>F72450</t>
  </si>
  <si>
    <t>F72451</t>
  </si>
  <si>
    <t xml:space="preserve">english </t>
  </si>
  <si>
    <t>F72453</t>
  </si>
  <si>
    <t>F72467</t>
  </si>
  <si>
    <t>F72476</t>
  </si>
  <si>
    <t>6 join</t>
  </si>
  <si>
    <t>F72485</t>
  </si>
  <si>
    <t>F72490</t>
  </si>
  <si>
    <t>F72496</t>
  </si>
  <si>
    <t>F72499</t>
  </si>
  <si>
    <t>F72503</t>
  </si>
  <si>
    <t>F72506</t>
  </si>
  <si>
    <t>F72509</t>
  </si>
  <si>
    <t>F72512</t>
  </si>
  <si>
    <t>F72534</t>
  </si>
  <si>
    <t>F72552</t>
  </si>
  <si>
    <t>F72557</t>
  </si>
  <si>
    <t>F72573</t>
  </si>
  <si>
    <t>F72539</t>
  </si>
  <si>
    <t>F72540</t>
  </si>
  <si>
    <t>Time aul</t>
  </si>
  <si>
    <t>F72596</t>
  </si>
  <si>
    <t>F72600</t>
  </si>
  <si>
    <t>F72606</t>
  </si>
  <si>
    <t>F72611</t>
  </si>
  <si>
    <t>F72613</t>
  </si>
  <si>
    <t>F72615</t>
  </si>
  <si>
    <t>F72620</t>
  </si>
  <si>
    <t>F72624</t>
  </si>
  <si>
    <t>F72630</t>
  </si>
  <si>
    <t>F72633</t>
  </si>
  <si>
    <t>F72635</t>
  </si>
  <si>
    <t>F72639</t>
  </si>
  <si>
    <t>F72644</t>
  </si>
  <si>
    <t>F72649</t>
  </si>
  <si>
    <t>F72654</t>
  </si>
  <si>
    <t>F72656</t>
  </si>
  <si>
    <t>F72659</t>
  </si>
  <si>
    <t>F72670</t>
  </si>
  <si>
    <t>F72676</t>
  </si>
  <si>
    <t xml:space="preserve">time </t>
  </si>
  <si>
    <t>F72682</t>
  </si>
  <si>
    <t>F72683</t>
  </si>
  <si>
    <t>F72685</t>
  </si>
  <si>
    <t>F72687</t>
  </si>
  <si>
    <t>F72688</t>
  </si>
  <si>
    <t>F72690</t>
  </si>
  <si>
    <t>F72692</t>
  </si>
  <si>
    <t>F72694</t>
  </si>
  <si>
    <t>F72699</t>
  </si>
  <si>
    <t>F72700</t>
  </si>
  <si>
    <t>F72701</t>
  </si>
  <si>
    <t>F72702</t>
  </si>
  <si>
    <t>F72745</t>
  </si>
  <si>
    <t>F72752</t>
  </si>
  <si>
    <t>F72761</t>
  </si>
  <si>
    <t>F72764</t>
  </si>
  <si>
    <t>F72769</t>
  </si>
  <si>
    <t>F72775</t>
  </si>
  <si>
    <t>F72779</t>
  </si>
  <si>
    <t>F72808</t>
  </si>
  <si>
    <t>F72811</t>
  </si>
  <si>
    <t>F72815</t>
  </si>
  <si>
    <t>F72837</t>
  </si>
  <si>
    <t>F72838</t>
  </si>
  <si>
    <t>Taime aul</t>
  </si>
  <si>
    <t>F72843</t>
  </si>
  <si>
    <t>F72844</t>
  </si>
  <si>
    <t>F72850</t>
  </si>
  <si>
    <t>F72852</t>
  </si>
  <si>
    <t>F72855</t>
  </si>
  <si>
    <t>F71217</t>
  </si>
  <si>
    <t>F72861</t>
  </si>
  <si>
    <t>F72866</t>
  </si>
  <si>
    <t>F72872</t>
  </si>
  <si>
    <t>F72876</t>
  </si>
  <si>
    <t>F72879</t>
  </si>
  <si>
    <t>F72883</t>
  </si>
  <si>
    <t>6,8</t>
  </si>
  <si>
    <t>F72895</t>
  </si>
  <si>
    <t>F72903</t>
  </si>
  <si>
    <t>F72917</t>
  </si>
  <si>
    <t>F72919</t>
  </si>
  <si>
    <t>F72922</t>
  </si>
  <si>
    <t>F72924</t>
  </si>
  <si>
    <t>F72929</t>
  </si>
  <si>
    <t>F72932</t>
  </si>
  <si>
    <t>F72933</t>
  </si>
  <si>
    <t>F72936</t>
  </si>
  <si>
    <t>F72942</t>
  </si>
  <si>
    <t>F72541</t>
  </si>
  <si>
    <t>katha karanne</t>
  </si>
  <si>
    <t>F72542</t>
  </si>
  <si>
    <t>F72543</t>
  </si>
  <si>
    <t>F72544</t>
  </si>
  <si>
    <t>F72545</t>
  </si>
  <si>
    <t>F72546</t>
  </si>
  <si>
    <t>F72547</t>
  </si>
  <si>
    <t>F72548</t>
  </si>
  <si>
    <t>F72549</t>
  </si>
  <si>
    <t>F72550</t>
  </si>
  <si>
    <t>F72551</t>
  </si>
  <si>
    <t>F72553</t>
  </si>
  <si>
    <t>F72554</t>
  </si>
  <si>
    <t>F72556</t>
  </si>
  <si>
    <t>F72555</t>
  </si>
  <si>
    <t>F72558</t>
  </si>
  <si>
    <t>F72559</t>
  </si>
  <si>
    <t>F72560</t>
  </si>
  <si>
    <t>F72561</t>
  </si>
  <si>
    <t>F72562</t>
  </si>
  <si>
    <t>F72563</t>
  </si>
  <si>
    <t>F72564</t>
  </si>
  <si>
    <t>F72565</t>
  </si>
  <si>
    <t>F72566</t>
  </si>
  <si>
    <t>F72567</t>
  </si>
  <si>
    <t>F72568</t>
  </si>
  <si>
    <t>F72569</t>
  </si>
  <si>
    <t>F72570</t>
  </si>
  <si>
    <t>F72571</t>
  </si>
  <si>
    <t>F72572</t>
  </si>
  <si>
    <t>F72574</t>
  </si>
  <si>
    <t>F72575</t>
  </si>
  <si>
    <t>F72576</t>
  </si>
  <si>
    <t>F72577</t>
  </si>
  <si>
    <t>F72578</t>
  </si>
  <si>
    <t>F72579</t>
  </si>
  <si>
    <t>F72580</t>
  </si>
  <si>
    <t>F72581</t>
  </si>
  <si>
    <t>F72582</t>
  </si>
  <si>
    <t>F72583</t>
  </si>
  <si>
    <t>F72585</t>
  </si>
  <si>
    <t>F72586</t>
  </si>
  <si>
    <t>F72587</t>
  </si>
  <si>
    <t>F72588</t>
  </si>
  <si>
    <t>F72589</t>
  </si>
  <si>
    <t>F72590</t>
  </si>
  <si>
    <t>F72591</t>
  </si>
  <si>
    <t>F72592</t>
  </si>
  <si>
    <t>F72593</t>
  </si>
  <si>
    <t>F72594</t>
  </si>
  <si>
    <t>F72595</t>
  </si>
  <si>
    <t>F72598</t>
  </si>
  <si>
    <t>F72599</t>
  </si>
  <si>
    <t>F72601</t>
  </si>
  <si>
    <t>F72602</t>
  </si>
  <si>
    <t>F72603</t>
  </si>
  <si>
    <t>F72604</t>
  </si>
  <si>
    <t>F72605</t>
  </si>
  <si>
    <t>F72607</t>
  </si>
  <si>
    <t>F72608</t>
  </si>
  <si>
    <t>F72609</t>
  </si>
  <si>
    <t>F72610</t>
  </si>
  <si>
    <t>F72614</t>
  </si>
  <si>
    <t>F72612</t>
  </si>
  <si>
    <t>F72616</t>
  </si>
  <si>
    <t>F72617</t>
  </si>
  <si>
    <t>F72618</t>
  </si>
  <si>
    <t>F72619</t>
  </si>
  <si>
    <t>F72621</t>
  </si>
  <si>
    <t>F72622</t>
  </si>
  <si>
    <t>F72623</t>
  </si>
  <si>
    <t>F72625</t>
  </si>
  <si>
    <t>F72626</t>
  </si>
  <si>
    <t>F72627</t>
  </si>
  <si>
    <t>F72628</t>
  </si>
  <si>
    <t>F72629</t>
  </si>
  <si>
    <t>F72631</t>
  </si>
  <si>
    <t>F72632</t>
  </si>
  <si>
    <t>F72634</t>
  </si>
  <si>
    <t>F72636</t>
  </si>
  <si>
    <t>F72637</t>
  </si>
  <si>
    <t>F72638</t>
  </si>
  <si>
    <t>F72640</t>
  </si>
  <si>
    <t>F72641</t>
  </si>
  <si>
    <t>F72643</t>
  </si>
  <si>
    <t>F72642</t>
  </si>
  <si>
    <t>F72645</t>
  </si>
  <si>
    <t>F72646</t>
  </si>
  <si>
    <t>F72647</t>
  </si>
  <si>
    <t>F72648</t>
  </si>
  <si>
    <t>F72650</t>
  </si>
  <si>
    <t>F72651</t>
  </si>
  <si>
    <t>F72652</t>
  </si>
  <si>
    <t>F72653</t>
  </si>
  <si>
    <t>F72655</t>
  </si>
  <si>
    <t>F72657</t>
  </si>
  <si>
    <t>F72658</t>
  </si>
  <si>
    <t>F72660</t>
  </si>
  <si>
    <t>F72661</t>
  </si>
  <si>
    <t>F72663</t>
  </si>
  <si>
    <t>F72662</t>
  </si>
  <si>
    <t>F72664</t>
  </si>
  <si>
    <t>F72665</t>
  </si>
  <si>
    <t>F72666</t>
  </si>
  <si>
    <t>7,11</t>
  </si>
  <si>
    <t>F72667</t>
  </si>
  <si>
    <t>F72668</t>
  </si>
  <si>
    <t>F72669</t>
  </si>
  <si>
    <t>F72671</t>
  </si>
  <si>
    <t>F72673</t>
  </si>
  <si>
    <t>F72672</t>
  </si>
  <si>
    <t>F72674</t>
  </si>
  <si>
    <t>F72675</t>
  </si>
  <si>
    <t>F72677</t>
  </si>
  <si>
    <t>F72678</t>
  </si>
  <si>
    <t xml:space="preserve"> T P</t>
  </si>
  <si>
    <t>F72679</t>
  </si>
  <si>
    <t>F72680</t>
  </si>
  <si>
    <t>F72681</t>
  </si>
  <si>
    <t>F72684</t>
  </si>
  <si>
    <t>FREE CLZ</t>
  </si>
  <si>
    <t>F72686</t>
  </si>
  <si>
    <t>F72689</t>
  </si>
  <si>
    <t>F72691</t>
  </si>
  <si>
    <t>F72693</t>
  </si>
  <si>
    <t>F72695</t>
  </si>
  <si>
    <t>F72696</t>
  </si>
  <si>
    <t>F72697</t>
  </si>
  <si>
    <t>F72698</t>
  </si>
  <si>
    <t>F72703</t>
  </si>
  <si>
    <t>F72704</t>
  </si>
  <si>
    <t>F72705</t>
  </si>
  <si>
    <t>F72706</t>
  </si>
  <si>
    <t>F72707</t>
  </si>
  <si>
    <t>F72708</t>
  </si>
  <si>
    <t>ENGLISH</t>
  </si>
  <si>
    <t>F72710</t>
  </si>
  <si>
    <t>F72709</t>
  </si>
  <si>
    <t>F72711</t>
  </si>
  <si>
    <t>F72712</t>
  </si>
  <si>
    <t>F72713</t>
  </si>
  <si>
    <t>F72714</t>
  </si>
  <si>
    <t>F72715</t>
  </si>
  <si>
    <t>F72716</t>
  </si>
  <si>
    <t>F72717</t>
  </si>
  <si>
    <t>F72718</t>
  </si>
  <si>
    <t>F72719</t>
  </si>
  <si>
    <t>F72720</t>
  </si>
  <si>
    <t>F72721</t>
  </si>
  <si>
    <t>F72722</t>
  </si>
  <si>
    <t>F72723</t>
  </si>
  <si>
    <t>F72724</t>
  </si>
  <si>
    <t>F72725</t>
  </si>
  <si>
    <t>F72726</t>
  </si>
  <si>
    <t>F72728</t>
  </si>
  <si>
    <t>F72727</t>
  </si>
  <si>
    <t>F72729</t>
  </si>
  <si>
    <t>F72730</t>
  </si>
  <si>
    <t>F72731</t>
  </si>
  <si>
    <t>F72732</t>
  </si>
  <si>
    <t>F72733</t>
  </si>
  <si>
    <t>F72734</t>
  </si>
  <si>
    <t>F72735</t>
  </si>
  <si>
    <t>F72736</t>
  </si>
  <si>
    <t>F72737</t>
  </si>
  <si>
    <t>F72738</t>
  </si>
  <si>
    <t>F72739</t>
  </si>
  <si>
    <t>F72740</t>
  </si>
  <si>
    <t>F72741</t>
  </si>
  <si>
    <t>F72742</t>
  </si>
  <si>
    <t>F72743</t>
  </si>
  <si>
    <t>F72744</t>
  </si>
  <si>
    <t>F72746</t>
  </si>
  <si>
    <t>F72747</t>
  </si>
  <si>
    <t>F72748</t>
  </si>
  <si>
    <t>F72749</t>
  </si>
  <si>
    <t>F72750</t>
  </si>
  <si>
    <t>F72751</t>
  </si>
  <si>
    <t>F72754</t>
  </si>
  <si>
    <t>F72753</t>
  </si>
  <si>
    <t>F72755</t>
  </si>
  <si>
    <t>F72756</t>
  </si>
  <si>
    <t>F72757</t>
  </si>
  <si>
    <t>F72758</t>
  </si>
  <si>
    <t>F72759</t>
  </si>
  <si>
    <t>F72760</t>
  </si>
  <si>
    <t>F72762</t>
  </si>
  <si>
    <t>F72763</t>
  </si>
  <si>
    <t>F72765</t>
  </si>
  <si>
    <t>F72766</t>
  </si>
  <si>
    <t>F72767</t>
  </si>
  <si>
    <t>F72768</t>
  </si>
  <si>
    <t>F72770</t>
  </si>
  <si>
    <t>F72771</t>
  </si>
  <si>
    <t>F72772</t>
  </si>
  <si>
    <t>F72773</t>
  </si>
  <si>
    <t>F72774</t>
  </si>
  <si>
    <t>F72776</t>
  </si>
  <si>
    <t>F72777</t>
  </si>
  <si>
    <t>F72783</t>
  </si>
  <si>
    <t>F72778</t>
  </si>
  <si>
    <t>F72780</t>
  </si>
  <si>
    <t>F72781</t>
  </si>
  <si>
    <t>F72782</t>
  </si>
  <si>
    <t>F72784</t>
  </si>
  <si>
    <t>F72785</t>
  </si>
  <si>
    <t>F72786</t>
  </si>
  <si>
    <t>F72787</t>
  </si>
  <si>
    <t>F72788</t>
  </si>
  <si>
    <t>F72789</t>
  </si>
  <si>
    <t>F72790</t>
  </si>
  <si>
    <t>F72791</t>
  </si>
  <si>
    <t>F72792</t>
  </si>
  <si>
    <t>DANNE NALU</t>
  </si>
  <si>
    <t>F72793</t>
  </si>
  <si>
    <t>F72794</t>
  </si>
  <si>
    <t>F72795</t>
  </si>
  <si>
    <t>F72796</t>
  </si>
  <si>
    <t>F72797</t>
  </si>
  <si>
    <t>F72798</t>
  </si>
  <si>
    <t>F72799</t>
  </si>
  <si>
    <t>F72800</t>
  </si>
  <si>
    <t>F72801</t>
  </si>
  <si>
    <t>F72802</t>
  </si>
  <si>
    <t>F72803</t>
  </si>
  <si>
    <t>F72804</t>
  </si>
  <si>
    <t>F72805</t>
  </si>
  <si>
    <t>F72806</t>
  </si>
  <si>
    <t>F72807</t>
  </si>
  <si>
    <t>F72809</t>
  </si>
  <si>
    <t>F72810</t>
  </si>
  <si>
    <t>F72812</t>
  </si>
  <si>
    <t>F72813</t>
  </si>
  <si>
    <t>F72814</t>
  </si>
  <si>
    <t>F72816</t>
  </si>
  <si>
    <t>F72817</t>
  </si>
  <si>
    <t>F72818</t>
  </si>
  <si>
    <t>F72819</t>
  </si>
  <si>
    <t>F72820</t>
  </si>
  <si>
    <t>F72821</t>
  </si>
  <si>
    <t>F72822</t>
  </si>
  <si>
    <t>F72823</t>
  </si>
  <si>
    <t>F72824</t>
  </si>
  <si>
    <t>F72825</t>
  </si>
  <si>
    <t>F72826</t>
  </si>
  <si>
    <t>F72827</t>
  </si>
  <si>
    <t>F72828</t>
  </si>
  <si>
    <t>F72829</t>
  </si>
  <si>
    <t>F72830</t>
  </si>
  <si>
    <t>F72831</t>
  </si>
  <si>
    <t>F72832</t>
  </si>
  <si>
    <t>baluwe na</t>
  </si>
  <si>
    <t>F72833</t>
  </si>
  <si>
    <t>F72834</t>
  </si>
  <si>
    <t>F72836</t>
  </si>
  <si>
    <t>F72835</t>
  </si>
  <si>
    <t>WISTHARA LABUNA</t>
  </si>
  <si>
    <t>F72839</t>
  </si>
  <si>
    <t>wena ekk hmbuna</t>
  </si>
  <si>
    <t>F72840</t>
  </si>
  <si>
    <t>F72841</t>
  </si>
  <si>
    <t>F72842</t>
  </si>
  <si>
    <t>F72845</t>
  </si>
  <si>
    <t>F72846</t>
  </si>
  <si>
    <t>F72847</t>
  </si>
  <si>
    <t>F72849</t>
  </si>
  <si>
    <t>F72848</t>
  </si>
  <si>
    <t>F72851</t>
  </si>
  <si>
    <t>F72853</t>
  </si>
  <si>
    <t>F72854</t>
  </si>
  <si>
    <t>F72856</t>
  </si>
  <si>
    <t>F72857</t>
  </si>
  <si>
    <t>F72858</t>
  </si>
  <si>
    <t>F72859</t>
  </si>
  <si>
    <t>F72860</t>
  </si>
  <si>
    <t>F72864</t>
  </si>
  <si>
    <t>F72862</t>
  </si>
  <si>
    <t>F72863</t>
  </si>
  <si>
    <t>F72865</t>
  </si>
  <si>
    <t>F72867</t>
  </si>
  <si>
    <t>F72868</t>
  </si>
  <si>
    <t>F72869</t>
  </si>
  <si>
    <t>F72870</t>
  </si>
  <si>
    <t>F72871</t>
  </si>
  <si>
    <t>F72874</t>
  </si>
  <si>
    <t>F72878</t>
  </si>
  <si>
    <t>F72875</t>
  </si>
  <si>
    <t>F72877</t>
  </si>
  <si>
    <t>F72880</t>
  </si>
  <si>
    <t>F72881</t>
  </si>
  <si>
    <t>F72882</t>
  </si>
  <si>
    <t>F72884</t>
  </si>
  <si>
    <t>F72885</t>
  </si>
  <si>
    <t>F72888</t>
  </si>
  <si>
    <t>F72886</t>
  </si>
  <si>
    <t>F72887</t>
  </si>
  <si>
    <t>F72897</t>
  </si>
  <si>
    <t>F72889</t>
  </si>
  <si>
    <t>F72890</t>
  </si>
  <si>
    <t>F72892</t>
  </si>
  <si>
    <t>F72893</t>
  </si>
  <si>
    <t>F72894</t>
  </si>
  <si>
    <t>F72896</t>
  </si>
  <si>
    <t>F72900</t>
  </si>
  <si>
    <t>F72898</t>
  </si>
  <si>
    <t>F72899</t>
  </si>
  <si>
    <t>F72901</t>
  </si>
  <si>
    <t>F72902</t>
  </si>
  <si>
    <t>F72904</t>
  </si>
  <si>
    <t>F72905</t>
  </si>
  <si>
    <t>F72906</t>
  </si>
  <si>
    <t>F72907</t>
  </si>
  <si>
    <t>F72908</t>
  </si>
  <si>
    <t>F72909</t>
  </si>
  <si>
    <t>F72911</t>
  </si>
  <si>
    <t>F72910</t>
  </si>
  <si>
    <t>F72912</t>
  </si>
  <si>
    <t>F72913</t>
  </si>
  <si>
    <t>F72914</t>
  </si>
  <si>
    <t>F72915</t>
  </si>
  <si>
    <t>F72916</t>
  </si>
  <si>
    <t>F72918</t>
  </si>
  <si>
    <t>F72920</t>
  </si>
  <si>
    <t>F72921</t>
  </si>
  <si>
    <t>F72923</t>
  </si>
  <si>
    <t>F72928</t>
  </si>
  <si>
    <t>F72925</t>
  </si>
  <si>
    <t>F72926</t>
  </si>
  <si>
    <t>F72927</t>
  </si>
  <si>
    <t>F72930</t>
  </si>
  <si>
    <t>F72931</t>
  </si>
  <si>
    <t>F72934</t>
  </si>
  <si>
    <t>F72935</t>
  </si>
  <si>
    <t>F72937</t>
  </si>
  <si>
    <t>F72938</t>
  </si>
  <si>
    <t>F72939</t>
  </si>
  <si>
    <t>F72940</t>
  </si>
  <si>
    <t>F72941</t>
  </si>
  <si>
    <t>F72943</t>
  </si>
  <si>
    <t>F72944</t>
  </si>
  <si>
    <t>F72945</t>
  </si>
  <si>
    <t>F72946</t>
  </si>
  <si>
    <t>F72947</t>
  </si>
  <si>
    <t>F72948</t>
  </si>
  <si>
    <t>F72949</t>
  </si>
  <si>
    <t>F72950</t>
  </si>
  <si>
    <t>F72951</t>
  </si>
  <si>
    <t>F72952</t>
  </si>
  <si>
    <t>F72953</t>
  </si>
  <si>
    <t>F72954</t>
  </si>
  <si>
    <t>F72955</t>
  </si>
  <si>
    <t>F72957</t>
  </si>
  <si>
    <t>F72956</t>
  </si>
  <si>
    <t>F72958</t>
  </si>
  <si>
    <t>F72959</t>
  </si>
  <si>
    <t>F72960</t>
  </si>
  <si>
    <t>F72961</t>
  </si>
  <si>
    <t>F72962</t>
  </si>
  <si>
    <t>F72963</t>
  </si>
  <si>
    <t>F72964</t>
  </si>
  <si>
    <t>F72970</t>
  </si>
  <si>
    <t>F72965</t>
  </si>
  <si>
    <t>F72967</t>
  </si>
  <si>
    <t>F72966</t>
  </si>
  <si>
    <t>F72968</t>
  </si>
  <si>
    <t>F72969</t>
  </si>
  <si>
    <t>F72971</t>
  </si>
  <si>
    <t>F72972</t>
  </si>
  <si>
    <t>F72973</t>
  </si>
  <si>
    <t>F72974</t>
  </si>
  <si>
    <t>F72975</t>
  </si>
  <si>
    <t>F72977</t>
  </si>
  <si>
    <t>F72976</t>
  </si>
  <si>
    <t>F72979</t>
  </si>
  <si>
    <t>F72978</t>
  </si>
  <si>
    <t>F72981</t>
  </si>
  <si>
    <t>F72980</t>
  </si>
  <si>
    <t>F72982</t>
  </si>
  <si>
    <t>F72984</t>
  </si>
  <si>
    <t>ෆිසකල්</t>
  </si>
  <si>
    <t>F72983</t>
  </si>
  <si>
    <t>F72985</t>
  </si>
  <si>
    <t>F72986</t>
  </si>
  <si>
    <t>F72987</t>
  </si>
  <si>
    <t>F72989</t>
  </si>
  <si>
    <t>F72988</t>
  </si>
  <si>
    <t>F72990</t>
  </si>
  <si>
    <t>F72991</t>
  </si>
  <si>
    <t>F72992</t>
  </si>
  <si>
    <t>F72993</t>
  </si>
  <si>
    <t>F72994</t>
  </si>
  <si>
    <t>F72995</t>
  </si>
  <si>
    <t>F72996</t>
  </si>
  <si>
    <t>F72997</t>
  </si>
  <si>
    <t>F72998</t>
  </si>
  <si>
    <t>F72999</t>
  </si>
  <si>
    <t>F73000</t>
  </si>
  <si>
    <t>F73001</t>
  </si>
  <si>
    <t>F73018</t>
  </si>
  <si>
    <t>F73002</t>
  </si>
  <si>
    <t>F73003</t>
  </si>
  <si>
    <t>F73004</t>
  </si>
  <si>
    <t>F73005</t>
  </si>
  <si>
    <t>F73006</t>
  </si>
  <si>
    <t>F73007</t>
  </si>
  <si>
    <t>F73008</t>
  </si>
  <si>
    <t>F73009</t>
  </si>
  <si>
    <t>F73010</t>
  </si>
  <si>
    <t>F73011</t>
  </si>
  <si>
    <t>F73012</t>
  </si>
  <si>
    <t>F73013</t>
  </si>
  <si>
    <t>F73014</t>
  </si>
  <si>
    <t>F73015</t>
  </si>
  <si>
    <t>F73016</t>
  </si>
  <si>
    <t>F73019</t>
  </si>
  <si>
    <t>F73017</t>
  </si>
  <si>
    <t>F73020</t>
  </si>
  <si>
    <t>F73021</t>
  </si>
  <si>
    <t>F73022</t>
  </si>
  <si>
    <t>F73023</t>
  </si>
  <si>
    <t>F73024</t>
  </si>
  <si>
    <t>F73025</t>
  </si>
  <si>
    <t>F73026</t>
  </si>
  <si>
    <t>F73027</t>
  </si>
  <si>
    <t>F73028</t>
  </si>
  <si>
    <t>F73029</t>
  </si>
  <si>
    <t>F73030</t>
  </si>
  <si>
    <t>F73031</t>
  </si>
  <si>
    <t>F73032</t>
  </si>
  <si>
    <t>F73033</t>
  </si>
  <si>
    <t>F73034</t>
  </si>
  <si>
    <t>F73035</t>
  </si>
  <si>
    <t>F73036</t>
  </si>
  <si>
    <t>F73037</t>
  </si>
  <si>
    <t>F73038</t>
  </si>
  <si>
    <t>F73039</t>
  </si>
  <si>
    <t>F73041</t>
  </si>
  <si>
    <t>F73040</t>
  </si>
  <si>
    <t>F73042</t>
  </si>
  <si>
    <t>F73043</t>
  </si>
  <si>
    <t>F73044</t>
  </si>
  <si>
    <t>F73045</t>
  </si>
  <si>
    <t>F73046</t>
  </si>
  <si>
    <t>F73047</t>
  </si>
  <si>
    <t>F73048</t>
  </si>
  <si>
    <t>F73059</t>
  </si>
  <si>
    <t>F73049</t>
  </si>
  <si>
    <t>F73050</t>
  </si>
  <si>
    <t>F73051</t>
  </si>
  <si>
    <t>F73052</t>
  </si>
  <si>
    <t>F73053</t>
  </si>
  <si>
    <t>F73054</t>
  </si>
  <si>
    <t>F73055</t>
  </si>
  <si>
    <t>F73056</t>
  </si>
  <si>
    <t>FREE</t>
  </si>
  <si>
    <t>F73057</t>
  </si>
  <si>
    <t>F73058</t>
  </si>
  <si>
    <t>F73060</t>
  </si>
  <si>
    <t>F73061</t>
  </si>
  <si>
    <t>F73062</t>
  </si>
  <si>
    <t>F73063</t>
  </si>
  <si>
    <t>F73064</t>
  </si>
  <si>
    <t>F73065</t>
  </si>
  <si>
    <t>F73067</t>
  </si>
  <si>
    <t>F73066</t>
  </si>
  <si>
    <t>F73068</t>
  </si>
  <si>
    <t>F73069</t>
  </si>
  <si>
    <t>F73070</t>
  </si>
  <si>
    <t>F73071</t>
  </si>
  <si>
    <t>F73072</t>
  </si>
  <si>
    <t>F73073</t>
  </si>
  <si>
    <t>F73074</t>
  </si>
  <si>
    <t>F73075</t>
  </si>
  <si>
    <t>F73076</t>
  </si>
  <si>
    <t>F73077</t>
  </si>
  <si>
    <t>F73078</t>
  </si>
  <si>
    <t>F73079</t>
  </si>
  <si>
    <t>F73080</t>
  </si>
  <si>
    <t>F73081</t>
  </si>
  <si>
    <t>F73082</t>
  </si>
  <si>
    <t>F73083</t>
  </si>
  <si>
    <t>F73084</t>
  </si>
  <si>
    <t>F73085</t>
  </si>
  <si>
    <t>F73086</t>
  </si>
  <si>
    <t>F73087</t>
  </si>
  <si>
    <t>F73088</t>
  </si>
  <si>
    <t>F73089</t>
  </si>
  <si>
    <t>F73090</t>
  </si>
  <si>
    <t>F73091</t>
  </si>
  <si>
    <t>F73092</t>
  </si>
  <si>
    <t>F73093</t>
  </si>
  <si>
    <t>F73094</t>
  </si>
  <si>
    <t>F73095</t>
  </si>
  <si>
    <t>F73096</t>
  </si>
  <si>
    <t>F73097</t>
  </si>
  <si>
    <t>F73098</t>
  </si>
  <si>
    <t>F73101</t>
  </si>
  <si>
    <t>F73099</t>
  </si>
  <si>
    <t>F73100</t>
  </si>
  <si>
    <t>F73102</t>
  </si>
  <si>
    <t>F73103</t>
  </si>
  <si>
    <t>F73104</t>
  </si>
  <si>
    <t>F73105</t>
  </si>
  <si>
    <t>F73106</t>
  </si>
  <si>
    <t>F73108</t>
  </si>
  <si>
    <t>F73107</t>
  </si>
  <si>
    <t>F73109</t>
  </si>
  <si>
    <t>F73110</t>
  </si>
  <si>
    <t>F73111</t>
  </si>
  <si>
    <t>F73112</t>
  </si>
  <si>
    <t>F73113</t>
  </si>
  <si>
    <t>F73114</t>
  </si>
  <si>
    <t>F73115</t>
  </si>
  <si>
    <t>F73116</t>
  </si>
  <si>
    <t>F73117</t>
  </si>
  <si>
    <t>F73118</t>
  </si>
  <si>
    <t>F73119</t>
  </si>
  <si>
    <t>F73120</t>
  </si>
  <si>
    <t>F73121</t>
  </si>
  <si>
    <t>F73122</t>
  </si>
  <si>
    <t>F73123</t>
  </si>
  <si>
    <t>F73124</t>
  </si>
  <si>
    <t>F73125</t>
  </si>
  <si>
    <t>F73127</t>
  </si>
  <si>
    <t>F73126</t>
  </si>
  <si>
    <t>F73128</t>
  </si>
  <si>
    <t>F73129</t>
  </si>
  <si>
    <t>F73130</t>
  </si>
  <si>
    <t>F73131</t>
  </si>
  <si>
    <t>F73132</t>
  </si>
  <si>
    <t>F73133</t>
  </si>
  <si>
    <t>F73134</t>
  </si>
  <si>
    <t>F73135</t>
  </si>
  <si>
    <t>F73136</t>
  </si>
  <si>
    <t>F73137</t>
  </si>
  <si>
    <t>F73138</t>
  </si>
  <si>
    <t>F73139</t>
  </si>
  <si>
    <t>F73140</t>
  </si>
  <si>
    <t>F73141</t>
  </si>
  <si>
    <t>F73142</t>
  </si>
  <si>
    <t>F73143</t>
  </si>
  <si>
    <t>F73148</t>
  </si>
  <si>
    <t>F73144</t>
  </si>
  <si>
    <t>F73145</t>
  </si>
  <si>
    <t>F73146</t>
  </si>
  <si>
    <t>F73147</t>
  </si>
  <si>
    <t>F73149</t>
  </si>
  <si>
    <t>F73150</t>
  </si>
  <si>
    <t>F73151</t>
  </si>
  <si>
    <t>F73152</t>
  </si>
  <si>
    <t>F73155</t>
  </si>
  <si>
    <t>F73153</t>
  </si>
  <si>
    <t>F73154</t>
  </si>
  <si>
    <t>F73156</t>
  </si>
  <si>
    <t>F73157</t>
  </si>
  <si>
    <t>F73158</t>
  </si>
  <si>
    <t>F73159</t>
  </si>
  <si>
    <t>F73160</t>
  </si>
  <si>
    <t>F73161</t>
  </si>
  <si>
    <t>F73162</t>
  </si>
  <si>
    <t>F73163</t>
  </si>
  <si>
    <t>F73164</t>
  </si>
  <si>
    <t>F73165</t>
  </si>
  <si>
    <t>F73166</t>
  </si>
  <si>
    <t>F73167</t>
  </si>
  <si>
    <t>F73170</t>
  </si>
  <si>
    <t>F73168</t>
  </si>
  <si>
    <t>F73169</t>
  </si>
  <si>
    <t>F73171</t>
  </si>
  <si>
    <t>F73172</t>
  </si>
  <si>
    <t>F73173</t>
  </si>
  <si>
    <t>F73174</t>
  </si>
  <si>
    <t>F73175</t>
  </si>
  <si>
    <t>F73176</t>
  </si>
  <si>
    <t>F73177</t>
  </si>
  <si>
    <t>F73178</t>
  </si>
  <si>
    <t>F73179</t>
  </si>
  <si>
    <t>t pssd</t>
  </si>
  <si>
    <t>F73180</t>
  </si>
  <si>
    <t>F73182</t>
  </si>
  <si>
    <t>F73181</t>
  </si>
  <si>
    <t>F73184</t>
  </si>
  <si>
    <t>F73183</t>
  </si>
  <si>
    <t>F73185</t>
  </si>
  <si>
    <t>F73186</t>
  </si>
  <si>
    <t>F73187</t>
  </si>
  <si>
    <t>F73188</t>
  </si>
  <si>
    <t>F73189</t>
  </si>
  <si>
    <t>F73190</t>
  </si>
  <si>
    <t>F73191</t>
  </si>
  <si>
    <t>F73192</t>
  </si>
  <si>
    <t>F73193</t>
  </si>
  <si>
    <t>F73194</t>
  </si>
  <si>
    <t>F73195</t>
  </si>
  <si>
    <t>F73196</t>
  </si>
  <si>
    <t>F73199</t>
  </si>
  <si>
    <t>F73197</t>
  </si>
  <si>
    <t>F73198</t>
  </si>
  <si>
    <t>F73200</t>
  </si>
  <si>
    <t>F73201</t>
  </si>
  <si>
    <t>F73202</t>
  </si>
  <si>
    <t>F73203</t>
  </si>
  <si>
    <t>F73204</t>
  </si>
  <si>
    <t>F73205</t>
  </si>
  <si>
    <t>F73206</t>
  </si>
  <si>
    <t>F73207</t>
  </si>
  <si>
    <t>F73209</t>
  </si>
  <si>
    <t>F73208</t>
  </si>
  <si>
    <t>F73210</t>
  </si>
  <si>
    <t>F73211</t>
  </si>
  <si>
    <t>F73212</t>
  </si>
  <si>
    <t xml:space="preserve"> t p</t>
  </si>
  <si>
    <t>F73213</t>
  </si>
  <si>
    <t>F73214</t>
  </si>
  <si>
    <t>F73215</t>
  </si>
  <si>
    <t>F73216</t>
  </si>
  <si>
    <t>F73217</t>
  </si>
  <si>
    <t>F73218</t>
  </si>
  <si>
    <t>F73219</t>
  </si>
  <si>
    <t>F73220</t>
  </si>
  <si>
    <t>F73221</t>
  </si>
  <si>
    <t>F73222</t>
  </si>
  <si>
    <t>F73223</t>
  </si>
  <si>
    <t>F73224</t>
  </si>
  <si>
    <t>F73225</t>
  </si>
  <si>
    <t>F73226</t>
  </si>
  <si>
    <t>F73227</t>
  </si>
  <si>
    <t>F73228</t>
  </si>
  <si>
    <t>F73229</t>
  </si>
  <si>
    <t>F73230</t>
  </si>
  <si>
    <t>F73231</t>
  </si>
  <si>
    <t>F73232</t>
  </si>
  <si>
    <t>F73233</t>
  </si>
  <si>
    <t>F73234</t>
  </si>
  <si>
    <t>F73235</t>
  </si>
  <si>
    <t>F73236</t>
  </si>
  <si>
    <t>F73237</t>
  </si>
  <si>
    <t>F73238</t>
  </si>
  <si>
    <t>F73239</t>
  </si>
  <si>
    <t>F73240</t>
  </si>
  <si>
    <t>F73243</t>
  </si>
  <si>
    <t>F73241</t>
  </si>
  <si>
    <t>F73242</t>
  </si>
  <si>
    <t>F73244</t>
  </si>
  <si>
    <t>F73245</t>
  </si>
  <si>
    <t>hriyta dnne na</t>
  </si>
  <si>
    <t>F73246</t>
  </si>
  <si>
    <t>F73247</t>
  </si>
  <si>
    <t>F73248</t>
  </si>
  <si>
    <t>F73249</t>
  </si>
  <si>
    <t>F73252</t>
  </si>
  <si>
    <t>F73250</t>
  </si>
  <si>
    <t>dnta clz ekkt ynwa</t>
  </si>
  <si>
    <t>F73251</t>
  </si>
  <si>
    <t>F73256</t>
  </si>
  <si>
    <t>F73253</t>
  </si>
  <si>
    <t>ona nalu</t>
  </si>
  <si>
    <t>F73254</t>
  </si>
  <si>
    <t>F73255</t>
  </si>
  <si>
    <t>F73257</t>
  </si>
  <si>
    <t>F73259</t>
  </si>
  <si>
    <t>F73258</t>
  </si>
  <si>
    <t>F73260</t>
  </si>
  <si>
    <t>F73261</t>
  </si>
  <si>
    <t>F73262</t>
  </si>
  <si>
    <t>F73264</t>
  </si>
  <si>
    <t>F73263</t>
  </si>
  <si>
    <t>F73265</t>
  </si>
  <si>
    <t>F73266</t>
  </si>
  <si>
    <t>F73267</t>
  </si>
  <si>
    <t>F73268</t>
  </si>
  <si>
    <t>F73270</t>
  </si>
  <si>
    <t>F73269</t>
  </si>
  <si>
    <t>F73271</t>
  </si>
  <si>
    <t>F73272</t>
  </si>
  <si>
    <t>F73273</t>
  </si>
  <si>
    <t>F73274</t>
  </si>
  <si>
    <t>F73275</t>
  </si>
  <si>
    <t>F73277</t>
  </si>
  <si>
    <t>F73278</t>
  </si>
  <si>
    <t>F73279</t>
  </si>
  <si>
    <t>F73280</t>
  </si>
  <si>
    <t>F73282</t>
  </si>
  <si>
    <t>F73283</t>
  </si>
  <si>
    <t>F73285</t>
  </si>
  <si>
    <t>F73292</t>
  </si>
  <si>
    <t>F73284</t>
  </si>
  <si>
    <t>F73286</t>
  </si>
  <si>
    <t>F73287</t>
  </si>
  <si>
    <t>F73288</t>
  </si>
  <si>
    <t>F73289</t>
  </si>
  <si>
    <t>F73290</t>
  </si>
  <si>
    <t>F73291</t>
  </si>
  <si>
    <t>F73293</t>
  </si>
  <si>
    <t>F73294</t>
  </si>
  <si>
    <t>F73295</t>
  </si>
  <si>
    <t>F73296</t>
  </si>
  <si>
    <t>F73297</t>
  </si>
  <si>
    <t>F73298</t>
  </si>
  <si>
    <t>F73299</t>
  </si>
  <si>
    <t>F73300</t>
  </si>
  <si>
    <t>F73302</t>
  </si>
  <si>
    <t>F73301</t>
  </si>
  <si>
    <t>F73303</t>
  </si>
  <si>
    <t>F73304</t>
  </si>
  <si>
    <t>F73305</t>
  </si>
  <si>
    <t>F73306</t>
  </si>
  <si>
    <t>F73307</t>
  </si>
  <si>
    <t>F73308</t>
  </si>
  <si>
    <t>F73309</t>
  </si>
  <si>
    <t>F73310</t>
  </si>
  <si>
    <t>F73311</t>
  </si>
  <si>
    <t>F73312</t>
  </si>
  <si>
    <t>free clz</t>
  </si>
  <si>
    <t>F73313</t>
  </si>
  <si>
    <t>F73314</t>
  </si>
  <si>
    <t>F73315</t>
  </si>
  <si>
    <t>F73316</t>
  </si>
  <si>
    <t>F73317</t>
  </si>
  <si>
    <t>F73318</t>
  </si>
  <si>
    <t>F73319</t>
  </si>
  <si>
    <t>F73320</t>
  </si>
  <si>
    <t>F73321</t>
  </si>
  <si>
    <t>F73322</t>
  </si>
  <si>
    <t>ct kra</t>
  </si>
  <si>
    <t>F73323</t>
  </si>
  <si>
    <t>F73324</t>
  </si>
  <si>
    <t>F73325</t>
  </si>
  <si>
    <t>F73326</t>
  </si>
  <si>
    <t>F73327</t>
  </si>
  <si>
    <t>F73328</t>
  </si>
  <si>
    <t>F73329</t>
  </si>
  <si>
    <t>F73330</t>
  </si>
  <si>
    <t>F73331</t>
  </si>
  <si>
    <t>F73332</t>
  </si>
  <si>
    <t>F73333</t>
  </si>
  <si>
    <t>F73334</t>
  </si>
  <si>
    <t>F73335</t>
  </si>
  <si>
    <t>F73336</t>
  </si>
  <si>
    <t>F73337</t>
  </si>
  <si>
    <t>F73338</t>
  </si>
  <si>
    <t>F73339</t>
  </si>
  <si>
    <t>F73342</t>
  </si>
  <si>
    <t>F73340</t>
  </si>
  <si>
    <t>F73341</t>
  </si>
  <si>
    <t>F73343</t>
  </si>
  <si>
    <t>F73351</t>
  </si>
  <si>
    <t>F73344</t>
  </si>
  <si>
    <t>F73345</t>
  </si>
  <si>
    <t>F73346</t>
  </si>
  <si>
    <t>F73347</t>
  </si>
  <si>
    <t>F73348</t>
  </si>
  <si>
    <t>F73349</t>
  </si>
  <si>
    <t>F73350</t>
  </si>
  <si>
    <t>dnne na</t>
  </si>
  <si>
    <t>F73352</t>
  </si>
  <si>
    <t>F73355</t>
  </si>
  <si>
    <t>F73354</t>
  </si>
  <si>
    <t>F73353</t>
  </si>
  <si>
    <t>F73358</t>
  </si>
  <si>
    <t>F73356</t>
  </si>
  <si>
    <t>F73357</t>
  </si>
  <si>
    <t>F73360</t>
  </si>
  <si>
    <t>F73359</t>
  </si>
  <si>
    <t>F73361</t>
  </si>
  <si>
    <t>F73362</t>
  </si>
  <si>
    <t>F73363</t>
  </si>
  <si>
    <t>F73364</t>
  </si>
  <si>
    <t>F73365</t>
  </si>
  <si>
    <t>F73366</t>
  </si>
  <si>
    <t>F73367</t>
  </si>
  <si>
    <t>F73369</t>
  </si>
  <si>
    <t>F73368</t>
  </si>
  <si>
    <t>F73370</t>
  </si>
  <si>
    <t>F73371</t>
  </si>
  <si>
    <t>F73372</t>
  </si>
  <si>
    <t>F73373</t>
  </si>
  <si>
    <t>F73374</t>
  </si>
  <si>
    <t>F73378</t>
  </si>
  <si>
    <t>F73375</t>
  </si>
  <si>
    <t>F73376</t>
  </si>
  <si>
    <t>F73377</t>
  </si>
  <si>
    <t>F73379</t>
  </si>
  <si>
    <t>F73380</t>
  </si>
  <si>
    <t>F73381</t>
  </si>
  <si>
    <t>F73382</t>
  </si>
  <si>
    <t>F73383</t>
  </si>
  <si>
    <t>F73384</t>
  </si>
  <si>
    <t>F73385</t>
  </si>
  <si>
    <t>F73386</t>
  </si>
  <si>
    <t>F73387</t>
  </si>
  <si>
    <t>F73388</t>
  </si>
  <si>
    <t>F73389</t>
  </si>
  <si>
    <t>F73390</t>
  </si>
  <si>
    <t>F73391</t>
  </si>
  <si>
    <t>F73394</t>
  </si>
  <si>
    <t>F73392</t>
  </si>
  <si>
    <t>F73393</t>
  </si>
  <si>
    <t>F73395</t>
  </si>
  <si>
    <t>F73398</t>
  </si>
  <si>
    <t>F73396</t>
  </si>
  <si>
    <t>putha dld dnne na mn</t>
  </si>
  <si>
    <t>F73397</t>
  </si>
  <si>
    <t>F73399</t>
  </si>
  <si>
    <t>F73400</t>
  </si>
  <si>
    <t>F73401</t>
  </si>
  <si>
    <t>F73402</t>
  </si>
  <si>
    <t>F73403</t>
  </si>
  <si>
    <t>F73404</t>
  </si>
  <si>
    <t>F73405</t>
  </si>
  <si>
    <t>F73406</t>
  </si>
  <si>
    <t>F73407</t>
  </si>
  <si>
    <t>F73408</t>
  </si>
  <si>
    <t>kathakaranne</t>
  </si>
  <si>
    <t>F73409</t>
  </si>
  <si>
    <t>F73410</t>
  </si>
  <si>
    <t>F73411</t>
  </si>
  <si>
    <t>F73412</t>
  </si>
  <si>
    <t>F73413</t>
  </si>
  <si>
    <t>F73414</t>
  </si>
  <si>
    <t>F73415</t>
  </si>
  <si>
    <t>F73416</t>
  </si>
  <si>
    <t>F73417</t>
  </si>
  <si>
    <t>F73418</t>
  </si>
  <si>
    <t>F73419</t>
  </si>
  <si>
    <t>F73420</t>
  </si>
  <si>
    <t>F73421</t>
  </si>
  <si>
    <t>F73422</t>
  </si>
  <si>
    <t>F73423</t>
  </si>
  <si>
    <t>F73424</t>
  </si>
  <si>
    <t>F73425</t>
  </si>
  <si>
    <t>F73426</t>
  </si>
  <si>
    <t>F73427</t>
  </si>
  <si>
    <t>F73428</t>
  </si>
  <si>
    <t>F73430</t>
  </si>
  <si>
    <t>F73429</t>
  </si>
  <si>
    <t>F73431</t>
  </si>
  <si>
    <t>F73432</t>
  </si>
  <si>
    <t>F73433</t>
  </si>
  <si>
    <t>F73434</t>
  </si>
  <si>
    <t>F73435</t>
  </si>
  <si>
    <t>F73436</t>
  </si>
  <si>
    <t>F73437</t>
  </si>
  <si>
    <t>F73438</t>
  </si>
  <si>
    <t>F73439</t>
  </si>
  <si>
    <t>F73440</t>
  </si>
  <si>
    <t>F73442</t>
  </si>
  <si>
    <t>F73441</t>
  </si>
  <si>
    <t>F73443</t>
  </si>
  <si>
    <t>F73444</t>
  </si>
  <si>
    <t>F73445</t>
  </si>
  <si>
    <t>F73446</t>
  </si>
  <si>
    <t>F73447</t>
  </si>
  <si>
    <t>F73448</t>
  </si>
  <si>
    <t>F73449</t>
  </si>
  <si>
    <t>F73450</t>
  </si>
  <si>
    <t>F73451</t>
  </si>
  <si>
    <t>F73452</t>
  </si>
  <si>
    <t>F73453</t>
  </si>
  <si>
    <t>F73454</t>
  </si>
  <si>
    <t>F73455</t>
  </si>
  <si>
    <t>clz ekata join vela</t>
  </si>
  <si>
    <t>F73456</t>
  </si>
  <si>
    <t>F73457</t>
  </si>
  <si>
    <t>F73458</t>
  </si>
  <si>
    <t>F73459</t>
  </si>
  <si>
    <t>F73460</t>
  </si>
  <si>
    <t>F73461</t>
  </si>
  <si>
    <t>F73462</t>
  </si>
  <si>
    <t>F73463</t>
  </si>
  <si>
    <t>F73464</t>
  </si>
  <si>
    <t>F73465</t>
  </si>
  <si>
    <t>F73466</t>
  </si>
  <si>
    <t>F73468</t>
  </si>
  <si>
    <t>F73469</t>
  </si>
  <si>
    <t>F73470</t>
  </si>
  <si>
    <t>F73471</t>
  </si>
  <si>
    <t>F73472</t>
  </si>
  <si>
    <t>F73473</t>
  </si>
  <si>
    <t>F73474</t>
  </si>
  <si>
    <t>F73475</t>
  </si>
  <si>
    <t>F73476</t>
  </si>
  <si>
    <t>F73477</t>
  </si>
  <si>
    <t>F73478</t>
  </si>
  <si>
    <t>F73479</t>
  </si>
  <si>
    <t>F73480</t>
  </si>
  <si>
    <t>F73481</t>
  </si>
  <si>
    <t>F73482</t>
  </si>
  <si>
    <t>F73483</t>
  </si>
  <si>
    <t>F73484</t>
  </si>
  <si>
    <t>F73486</t>
  </si>
  <si>
    <t>F73485</t>
  </si>
  <si>
    <t>F73487</t>
  </si>
  <si>
    <t>F73488</t>
  </si>
  <si>
    <t>F73489</t>
  </si>
  <si>
    <t>F73490</t>
  </si>
  <si>
    <t>F73491</t>
  </si>
  <si>
    <t>F73492</t>
  </si>
  <si>
    <t>F73493</t>
  </si>
  <si>
    <t>F73494</t>
  </si>
  <si>
    <t>F73495</t>
  </si>
  <si>
    <t>F73496</t>
  </si>
  <si>
    <t>F73497</t>
  </si>
  <si>
    <t>F73498</t>
  </si>
  <si>
    <t>F73499</t>
  </si>
  <si>
    <t>F73500</t>
  </si>
  <si>
    <t>F73501</t>
  </si>
  <si>
    <t>F73502</t>
  </si>
  <si>
    <t>F73503</t>
  </si>
  <si>
    <t>F73504</t>
  </si>
  <si>
    <t>F73505</t>
  </si>
  <si>
    <t>F73507</t>
  </si>
  <si>
    <t>F73506</t>
  </si>
  <si>
    <t>F73508</t>
  </si>
  <si>
    <t>F73509</t>
  </si>
  <si>
    <t>F73510</t>
  </si>
  <si>
    <t>F73511</t>
  </si>
  <si>
    <t>11,7</t>
  </si>
  <si>
    <t>F73512</t>
  </si>
  <si>
    <t>F73513</t>
  </si>
  <si>
    <t>F73514</t>
  </si>
  <si>
    <t>F73517</t>
  </si>
  <si>
    <t>F73515</t>
  </si>
  <si>
    <t>F73516</t>
  </si>
  <si>
    <t>F73519</t>
  </si>
  <si>
    <t>F73518</t>
  </si>
  <si>
    <t>F73520</t>
  </si>
  <si>
    <t>F73521</t>
  </si>
  <si>
    <t>F73522</t>
  </si>
  <si>
    <t>F73523</t>
  </si>
  <si>
    <t>wena ekk hoygena</t>
  </si>
  <si>
    <t>F73525</t>
  </si>
  <si>
    <t>F73524</t>
  </si>
  <si>
    <t>F73526</t>
  </si>
  <si>
    <t>F73527</t>
  </si>
  <si>
    <t>F73528</t>
  </si>
  <si>
    <t>F73529</t>
  </si>
  <si>
    <t>F73530</t>
  </si>
  <si>
    <t>F73531</t>
  </si>
  <si>
    <t>F73532</t>
  </si>
  <si>
    <t>F73533</t>
  </si>
  <si>
    <t>F73534</t>
  </si>
  <si>
    <t>F73535</t>
  </si>
  <si>
    <t>F73536</t>
  </si>
  <si>
    <t>F73537</t>
  </si>
  <si>
    <t>F73538</t>
  </si>
  <si>
    <t>F73540</t>
  </si>
  <si>
    <t>F73539</t>
  </si>
  <si>
    <t>F73541</t>
  </si>
  <si>
    <t>tamil m</t>
  </si>
  <si>
    <t>F73542</t>
  </si>
  <si>
    <t>F73543</t>
  </si>
  <si>
    <t>F73544</t>
  </si>
  <si>
    <t>F73545</t>
  </si>
  <si>
    <t>F73546</t>
  </si>
  <si>
    <t>F73547</t>
  </si>
  <si>
    <t>F73548</t>
  </si>
  <si>
    <t>F73549</t>
  </si>
  <si>
    <t>F73550</t>
  </si>
  <si>
    <t>F73551</t>
  </si>
  <si>
    <t>F73552</t>
  </si>
  <si>
    <t>F73553</t>
  </si>
  <si>
    <t>F73554</t>
  </si>
  <si>
    <t>PAYMENT KRL</t>
  </si>
  <si>
    <t>F73555</t>
  </si>
  <si>
    <t>F73556</t>
  </si>
  <si>
    <t>F73557</t>
  </si>
  <si>
    <t>PAYMENT KRL TP</t>
  </si>
  <si>
    <t>F73558</t>
  </si>
  <si>
    <t>F73559</t>
  </si>
  <si>
    <t>F73560</t>
  </si>
  <si>
    <t>F73561</t>
  </si>
  <si>
    <t>F73562</t>
  </si>
  <si>
    <t>F73564</t>
  </si>
  <si>
    <t>F73563</t>
  </si>
  <si>
    <t>F73565</t>
  </si>
  <si>
    <t>F73566</t>
  </si>
  <si>
    <t>F73567</t>
  </si>
  <si>
    <t>F73568</t>
  </si>
  <si>
    <t>F73569</t>
  </si>
  <si>
    <t>F73570</t>
  </si>
  <si>
    <t>F73571</t>
  </si>
  <si>
    <t>F73572</t>
  </si>
  <si>
    <t>F73573</t>
  </si>
  <si>
    <t>F73574</t>
  </si>
  <si>
    <t>F73575</t>
  </si>
  <si>
    <t>F73576</t>
  </si>
  <si>
    <t>F73577</t>
  </si>
  <si>
    <t>F73578</t>
  </si>
  <si>
    <t>F73579</t>
  </si>
  <si>
    <t>F73580</t>
  </si>
  <si>
    <t>F73581</t>
  </si>
  <si>
    <t>F73582</t>
  </si>
  <si>
    <t>group ekata goin vela</t>
  </si>
  <si>
    <t>F73583</t>
  </si>
  <si>
    <t>F73584</t>
  </si>
  <si>
    <t>F73585</t>
  </si>
  <si>
    <t>F73586</t>
  </si>
  <si>
    <t>F73587</t>
  </si>
  <si>
    <t>F73588</t>
  </si>
  <si>
    <t>F73589</t>
  </si>
  <si>
    <t>F73590</t>
  </si>
  <si>
    <t>F73591</t>
  </si>
  <si>
    <t>F73592</t>
  </si>
  <si>
    <t>F73593</t>
  </si>
  <si>
    <t>F73594</t>
  </si>
  <si>
    <t>F73595</t>
  </si>
  <si>
    <t>F73596</t>
  </si>
  <si>
    <t>F73597</t>
  </si>
  <si>
    <t>F73598</t>
  </si>
  <si>
    <t>F73599</t>
  </si>
  <si>
    <t>F73600</t>
  </si>
  <si>
    <t>F73601</t>
  </si>
  <si>
    <t>F73602</t>
  </si>
  <si>
    <t>F73603</t>
  </si>
  <si>
    <t>F73604</t>
  </si>
  <si>
    <t>F73605</t>
  </si>
  <si>
    <t>F73606</t>
  </si>
  <si>
    <t>F73607</t>
  </si>
  <si>
    <t>F73608</t>
  </si>
  <si>
    <t>F73609</t>
  </si>
  <si>
    <t>F73610</t>
  </si>
  <si>
    <t>F73611</t>
  </si>
  <si>
    <t>F73612</t>
  </si>
  <si>
    <t>F73613</t>
  </si>
  <si>
    <t>F73614</t>
  </si>
  <si>
    <t>F73615</t>
  </si>
  <si>
    <t>F73616</t>
  </si>
  <si>
    <t>F73617</t>
  </si>
  <si>
    <t>F73618</t>
  </si>
  <si>
    <t>F73619</t>
  </si>
  <si>
    <t>F73620</t>
  </si>
  <si>
    <t>F73621</t>
  </si>
  <si>
    <t>F73622</t>
  </si>
  <si>
    <t>F73623</t>
  </si>
  <si>
    <t>F73624</t>
  </si>
  <si>
    <t>F73625</t>
  </si>
  <si>
    <t>F73626</t>
  </si>
  <si>
    <t>F73627</t>
  </si>
  <si>
    <t>F73628</t>
  </si>
  <si>
    <t>F73629</t>
  </si>
  <si>
    <t>F73630</t>
  </si>
  <si>
    <t>F73631</t>
  </si>
  <si>
    <t>F73632</t>
  </si>
  <si>
    <t>F73634</t>
  </si>
  <si>
    <t>F73633</t>
  </si>
  <si>
    <t>F73635</t>
  </si>
  <si>
    <t>F73636</t>
  </si>
  <si>
    <t>F73637</t>
  </si>
  <si>
    <t>F73638</t>
  </si>
  <si>
    <t>F73639</t>
  </si>
  <si>
    <t>F73640</t>
  </si>
  <si>
    <t>F73641</t>
  </si>
  <si>
    <t>F73642</t>
  </si>
  <si>
    <t>F73643</t>
  </si>
  <si>
    <t>F73644</t>
  </si>
  <si>
    <t>F73645</t>
  </si>
  <si>
    <t>F73646</t>
  </si>
  <si>
    <t>F73647</t>
  </si>
  <si>
    <t>F73648</t>
  </si>
  <si>
    <t>F73649</t>
  </si>
  <si>
    <t>F73650</t>
  </si>
  <si>
    <t>F73651</t>
  </si>
  <si>
    <t>F73652</t>
  </si>
  <si>
    <t>F73653</t>
  </si>
  <si>
    <t>F73654</t>
  </si>
  <si>
    <t>F73655</t>
  </si>
  <si>
    <t>F73656</t>
  </si>
  <si>
    <t>8,6</t>
  </si>
  <si>
    <t>F73657</t>
  </si>
  <si>
    <t>F73658</t>
  </si>
  <si>
    <t>F73659</t>
  </si>
  <si>
    <t>F73660</t>
  </si>
  <si>
    <t>F73661</t>
  </si>
  <si>
    <t>F73662</t>
  </si>
  <si>
    <t>F73663</t>
  </si>
  <si>
    <t>F73664</t>
  </si>
  <si>
    <t>F73665</t>
  </si>
  <si>
    <t>F73666</t>
  </si>
  <si>
    <t>F73667</t>
  </si>
  <si>
    <t>F73668</t>
  </si>
  <si>
    <t>F73669</t>
  </si>
  <si>
    <t>F73670</t>
  </si>
  <si>
    <t>F73671</t>
  </si>
  <si>
    <t>F73672</t>
  </si>
  <si>
    <t>F73673</t>
  </si>
  <si>
    <t>F73674</t>
  </si>
  <si>
    <t>F73675</t>
  </si>
  <si>
    <t>F73676</t>
  </si>
  <si>
    <t>F73677</t>
  </si>
  <si>
    <t>F73678</t>
  </si>
  <si>
    <t>F73679</t>
  </si>
  <si>
    <t>F73680</t>
  </si>
  <si>
    <t>F73681</t>
  </si>
  <si>
    <t>F73682</t>
  </si>
  <si>
    <t>F73683</t>
  </si>
  <si>
    <t>F73684</t>
  </si>
  <si>
    <t>F73685</t>
  </si>
  <si>
    <t>F73686</t>
  </si>
  <si>
    <t>F73687</t>
  </si>
  <si>
    <t>F73688</t>
  </si>
  <si>
    <t>F73689</t>
  </si>
  <si>
    <t>F73690</t>
  </si>
  <si>
    <t>cut kranva</t>
  </si>
  <si>
    <t>F73691</t>
  </si>
  <si>
    <t>F73692</t>
  </si>
  <si>
    <t>F73693</t>
  </si>
  <si>
    <t>F73694</t>
  </si>
  <si>
    <t>F73695</t>
  </si>
  <si>
    <t>F73696</t>
  </si>
  <si>
    <t>F73697</t>
  </si>
  <si>
    <t>F73698</t>
  </si>
  <si>
    <t>F73699</t>
  </si>
  <si>
    <t>F73700</t>
  </si>
  <si>
    <t>Engish me</t>
  </si>
  <si>
    <t>F73701</t>
  </si>
  <si>
    <t xml:space="preserve">clz fee gevala </t>
  </si>
  <si>
    <t>F73702</t>
  </si>
  <si>
    <t>clz ekt join vela</t>
  </si>
  <si>
    <t>F73703</t>
  </si>
  <si>
    <t>F73704</t>
  </si>
  <si>
    <t>F73705</t>
  </si>
  <si>
    <t>F73706</t>
  </si>
  <si>
    <t>F73707</t>
  </si>
  <si>
    <t>F73708</t>
  </si>
  <si>
    <t>F73709</t>
  </si>
  <si>
    <t>F73710</t>
  </si>
  <si>
    <t>F73711</t>
  </si>
  <si>
    <t>F73712</t>
  </si>
  <si>
    <t>F73713</t>
  </si>
  <si>
    <t>F73714</t>
  </si>
  <si>
    <t>F73715</t>
  </si>
  <si>
    <t>F73716</t>
  </si>
  <si>
    <t>F73717</t>
  </si>
  <si>
    <t>F73718</t>
  </si>
  <si>
    <t>F73719</t>
  </si>
  <si>
    <t>F73720</t>
  </si>
  <si>
    <t>F73724</t>
  </si>
  <si>
    <t>F73721</t>
  </si>
  <si>
    <t>F73722</t>
  </si>
  <si>
    <t>F73723</t>
  </si>
  <si>
    <t>F73725</t>
  </si>
  <si>
    <t>F73726</t>
  </si>
  <si>
    <t>F73727</t>
  </si>
  <si>
    <t>F73728</t>
  </si>
  <si>
    <t>F73729</t>
  </si>
  <si>
    <t>F73730</t>
  </si>
  <si>
    <t>F73731</t>
  </si>
  <si>
    <t>F73732</t>
  </si>
  <si>
    <t>F73734</t>
  </si>
  <si>
    <t>F73733</t>
  </si>
  <si>
    <t>F73735</t>
  </si>
  <si>
    <t>F73736</t>
  </si>
  <si>
    <t>F73737</t>
  </si>
  <si>
    <t>F73738</t>
  </si>
  <si>
    <t>F73739</t>
  </si>
  <si>
    <t>F73740</t>
  </si>
  <si>
    <t>F73741</t>
  </si>
  <si>
    <t>F73742</t>
  </si>
  <si>
    <t>F73743</t>
  </si>
  <si>
    <t>F73744</t>
  </si>
  <si>
    <t>F73745</t>
  </si>
  <si>
    <t>F73746</t>
  </si>
  <si>
    <t>F73747</t>
  </si>
  <si>
    <t>5500 pymt kra</t>
  </si>
  <si>
    <t>F73748</t>
  </si>
  <si>
    <t>F73749</t>
  </si>
  <si>
    <t>F73750</t>
  </si>
  <si>
    <t>F73751</t>
  </si>
  <si>
    <t>link dnna</t>
  </si>
  <si>
    <t>F73752</t>
  </si>
  <si>
    <t>F73753</t>
  </si>
  <si>
    <t>F73754</t>
  </si>
  <si>
    <t>F73755</t>
  </si>
  <si>
    <t>F73756</t>
  </si>
  <si>
    <t>F73760</t>
  </si>
  <si>
    <t>F73757</t>
  </si>
  <si>
    <t>F73758</t>
  </si>
  <si>
    <t>F73759</t>
  </si>
  <si>
    <t>kalin k cll kre na</t>
  </si>
  <si>
    <t>F73761</t>
  </si>
  <si>
    <t>F73762</t>
  </si>
  <si>
    <t>F73763</t>
  </si>
  <si>
    <t>F73764</t>
  </si>
  <si>
    <t>F73765</t>
  </si>
  <si>
    <t>F73766</t>
  </si>
  <si>
    <t>F73767</t>
  </si>
  <si>
    <t>F73768</t>
  </si>
  <si>
    <t>F73769</t>
  </si>
  <si>
    <t>F73770</t>
  </si>
  <si>
    <t>F73771</t>
  </si>
  <si>
    <t>F73772</t>
  </si>
  <si>
    <t>F73773</t>
  </si>
  <si>
    <t>F73774</t>
  </si>
  <si>
    <t>F73775</t>
  </si>
  <si>
    <t>F73776</t>
  </si>
  <si>
    <t>F73777</t>
  </si>
  <si>
    <t>details lbuna prshna potha gna ahnna gtte</t>
  </si>
  <si>
    <t>F73778</t>
  </si>
  <si>
    <t>F73779</t>
  </si>
  <si>
    <t>F73780</t>
  </si>
  <si>
    <t>msg ekak dnme ne</t>
  </si>
  <si>
    <t>F73781</t>
  </si>
  <si>
    <t>F73785</t>
  </si>
  <si>
    <t>F73782</t>
  </si>
  <si>
    <t>F73783</t>
  </si>
  <si>
    <t>F73784</t>
  </si>
  <si>
    <t>F73786</t>
  </si>
  <si>
    <t>F73787</t>
  </si>
  <si>
    <t>F73788</t>
  </si>
  <si>
    <t>F73789</t>
  </si>
  <si>
    <t>F73790</t>
  </si>
  <si>
    <t>F73791</t>
  </si>
  <si>
    <t>F73792</t>
  </si>
  <si>
    <t>F73793</t>
  </si>
  <si>
    <t>F73796</t>
  </si>
  <si>
    <t>F73794</t>
  </si>
  <si>
    <t>F73795</t>
  </si>
  <si>
    <t>F73797</t>
  </si>
  <si>
    <t>F73798</t>
  </si>
  <si>
    <t>F73799</t>
  </si>
  <si>
    <t>F73800</t>
  </si>
  <si>
    <t>F73801</t>
  </si>
  <si>
    <t>F73811</t>
  </si>
  <si>
    <t>F73802</t>
  </si>
  <si>
    <t>F73803</t>
  </si>
  <si>
    <t>F73804</t>
  </si>
  <si>
    <t>F 73807</t>
  </si>
  <si>
    <t>free claz</t>
  </si>
  <si>
    <t>F73805</t>
  </si>
  <si>
    <t>F73806</t>
  </si>
  <si>
    <t>ktakranne na</t>
  </si>
  <si>
    <t>F73808</t>
  </si>
  <si>
    <t>F73809</t>
  </si>
  <si>
    <t>F73810</t>
  </si>
  <si>
    <t>F73812</t>
  </si>
  <si>
    <t>F73813</t>
  </si>
  <si>
    <t>F73814</t>
  </si>
  <si>
    <t>F73815</t>
  </si>
  <si>
    <t>F73816</t>
  </si>
  <si>
    <t>F73817</t>
  </si>
  <si>
    <t>F73818</t>
  </si>
  <si>
    <t>F73819</t>
  </si>
  <si>
    <t>F73820</t>
  </si>
  <si>
    <t>F73821</t>
  </si>
  <si>
    <t>F73822</t>
  </si>
  <si>
    <t>F73823</t>
  </si>
  <si>
    <t>F73824</t>
  </si>
  <si>
    <t>F73825</t>
  </si>
  <si>
    <t>F73826</t>
  </si>
  <si>
    <t>F73827</t>
  </si>
  <si>
    <t>F73828</t>
  </si>
  <si>
    <t>F73829</t>
  </si>
  <si>
    <t>F73830</t>
  </si>
  <si>
    <t>F73831</t>
  </si>
  <si>
    <t>F73832</t>
  </si>
  <si>
    <t>F73833</t>
  </si>
  <si>
    <t>F73834</t>
  </si>
  <si>
    <t xml:space="preserve">join wela inne </t>
  </si>
  <si>
    <t>F73835</t>
  </si>
  <si>
    <t>F73836</t>
  </si>
  <si>
    <t>F73837</t>
  </si>
  <si>
    <t>F73838</t>
  </si>
  <si>
    <t>F73839</t>
  </si>
  <si>
    <t>F73840</t>
  </si>
  <si>
    <t>F73841</t>
  </si>
  <si>
    <t>F73842</t>
  </si>
  <si>
    <t>F73843</t>
  </si>
  <si>
    <t>F73844</t>
  </si>
  <si>
    <t>F73845</t>
  </si>
  <si>
    <t>F73847</t>
  </si>
  <si>
    <r>
      <rPr>
        <rFont val="Calibri"/>
        <color theme="1"/>
      </rPr>
      <t>l</t>
    </r>
    <r>
      <rPr>
        <rFont val="Calibri"/>
        <color theme="1"/>
        <sz val="7.0"/>
      </rPr>
      <t>abana awrudde 6</t>
    </r>
  </si>
  <si>
    <t>F73846</t>
  </si>
  <si>
    <t>F73848</t>
  </si>
  <si>
    <t>F73849</t>
  </si>
  <si>
    <t>F73850</t>
  </si>
  <si>
    <t>F73851</t>
  </si>
  <si>
    <t>F73852</t>
  </si>
  <si>
    <t>F73853</t>
  </si>
  <si>
    <t>F73854</t>
  </si>
  <si>
    <t>F73855</t>
  </si>
  <si>
    <t>F73856</t>
  </si>
  <si>
    <t>F73857</t>
  </si>
  <si>
    <t>F73858</t>
  </si>
  <si>
    <t>F73859</t>
  </si>
  <si>
    <t>F73860</t>
  </si>
  <si>
    <t>F73861</t>
  </si>
  <si>
    <t>F73862</t>
  </si>
  <si>
    <t>F73863</t>
  </si>
  <si>
    <t>F73864</t>
  </si>
  <si>
    <t>F73865</t>
  </si>
  <si>
    <t>F73866</t>
  </si>
  <si>
    <t>F73867</t>
  </si>
  <si>
    <t>F73868</t>
  </si>
  <si>
    <t>F73869</t>
  </si>
  <si>
    <t>F73870</t>
  </si>
  <si>
    <t>F73872</t>
  </si>
  <si>
    <t>F73871</t>
  </si>
  <si>
    <t>F73873</t>
  </si>
  <si>
    <t>F73874</t>
  </si>
  <si>
    <t>F73876</t>
  </si>
  <si>
    <t>F73875</t>
  </si>
  <si>
    <t>F73877</t>
  </si>
  <si>
    <t>F73878</t>
  </si>
  <si>
    <t>F73879</t>
  </si>
  <si>
    <t>F73880</t>
  </si>
  <si>
    <t>F73881</t>
  </si>
  <si>
    <t>F73882</t>
  </si>
  <si>
    <t>F73883</t>
  </si>
  <si>
    <t>F73884</t>
  </si>
  <si>
    <t>F73885</t>
  </si>
  <si>
    <t>F73887</t>
  </si>
  <si>
    <t>F73886</t>
  </si>
  <si>
    <t>F73888</t>
  </si>
  <si>
    <t>4 pymt kra</t>
  </si>
  <si>
    <t>F73889</t>
  </si>
  <si>
    <t>F73890</t>
  </si>
  <si>
    <t>F73891</t>
  </si>
  <si>
    <t>F73892</t>
  </si>
  <si>
    <t>F73893</t>
  </si>
  <si>
    <t>F73894</t>
  </si>
  <si>
    <t>F73895</t>
  </si>
  <si>
    <t>F73896</t>
  </si>
  <si>
    <t>F73897</t>
  </si>
  <si>
    <t>pymet kra</t>
  </si>
  <si>
    <t>F73898</t>
  </si>
  <si>
    <t>F73899</t>
  </si>
  <si>
    <t>pisicl cls</t>
  </si>
  <si>
    <t>F73900</t>
  </si>
  <si>
    <t>F73901</t>
  </si>
  <si>
    <t>F73902</t>
  </si>
  <si>
    <t>F73903</t>
  </si>
  <si>
    <t>F73904</t>
  </si>
  <si>
    <t>F73905</t>
  </si>
  <si>
    <t>F73906</t>
  </si>
  <si>
    <t>F73907</t>
  </si>
  <si>
    <t>F 73910</t>
  </si>
  <si>
    <t>F73908</t>
  </si>
  <si>
    <t>F73909</t>
  </si>
  <si>
    <t>F73911</t>
  </si>
  <si>
    <t>F73912</t>
  </si>
  <si>
    <t>F73913</t>
  </si>
  <si>
    <t>F73914</t>
  </si>
  <si>
    <t>F73915</t>
  </si>
  <si>
    <t>F73917</t>
  </si>
  <si>
    <t>F73916</t>
  </si>
  <si>
    <t>F73918</t>
  </si>
  <si>
    <t>F73919</t>
  </si>
  <si>
    <t xml:space="preserve">paper </t>
  </si>
  <si>
    <t>F73920</t>
  </si>
  <si>
    <t>F73922</t>
  </si>
  <si>
    <t>F73921</t>
  </si>
  <si>
    <t>F73923</t>
  </si>
  <si>
    <t>F73924</t>
  </si>
  <si>
    <t>answer krl ktha krnne</t>
  </si>
  <si>
    <t>F73925</t>
  </si>
  <si>
    <t>F73926</t>
  </si>
  <si>
    <t>F73927</t>
  </si>
  <si>
    <t>F73928</t>
  </si>
  <si>
    <t>F73929</t>
  </si>
  <si>
    <t>F73930</t>
  </si>
  <si>
    <t>F73931</t>
  </si>
  <si>
    <t>F73932</t>
  </si>
  <si>
    <t>F73933</t>
  </si>
  <si>
    <t>F73934</t>
  </si>
  <si>
    <t>F73935</t>
  </si>
  <si>
    <t>F73936</t>
  </si>
  <si>
    <t>F73937</t>
  </si>
  <si>
    <t>F73938</t>
  </si>
  <si>
    <t>F73939</t>
  </si>
  <si>
    <t>F73940</t>
  </si>
  <si>
    <t>F73941</t>
  </si>
  <si>
    <t>F73942</t>
  </si>
  <si>
    <t>F73943</t>
  </si>
  <si>
    <t>F73944</t>
  </si>
  <si>
    <t>F73945</t>
  </si>
  <si>
    <t>F73946</t>
  </si>
  <si>
    <t>F73947</t>
  </si>
  <si>
    <t>F73948</t>
  </si>
  <si>
    <t>F73949</t>
  </si>
  <si>
    <t>F73950</t>
  </si>
  <si>
    <t>F73953</t>
  </si>
  <si>
    <t>F73951</t>
  </si>
  <si>
    <t>F73952</t>
  </si>
  <si>
    <t>F73954</t>
  </si>
  <si>
    <t>F73955</t>
  </si>
  <si>
    <t>F73956</t>
  </si>
  <si>
    <t>F73957</t>
  </si>
  <si>
    <t>F73958</t>
  </si>
  <si>
    <t>F73959</t>
  </si>
  <si>
    <t>F73960</t>
  </si>
  <si>
    <t>F73961</t>
  </si>
  <si>
    <t>F73962</t>
  </si>
  <si>
    <t>F73963</t>
  </si>
  <si>
    <t>F73964</t>
  </si>
  <si>
    <t>F73965</t>
  </si>
  <si>
    <t>F73966</t>
  </si>
  <si>
    <t>F73967</t>
  </si>
  <si>
    <t>F73968</t>
  </si>
  <si>
    <t>puthagen ahla kiynnm</t>
  </si>
  <si>
    <t>F73969</t>
  </si>
  <si>
    <t>F73970</t>
  </si>
  <si>
    <t>F73971</t>
  </si>
  <si>
    <t>F73972</t>
  </si>
  <si>
    <t>F73973</t>
  </si>
  <si>
    <t>F73974</t>
  </si>
  <si>
    <t>F73975</t>
  </si>
  <si>
    <t>F73976</t>
  </si>
  <si>
    <t>F73977</t>
  </si>
  <si>
    <t>F73978</t>
  </si>
  <si>
    <t>F73979</t>
  </si>
  <si>
    <t>F73980</t>
  </si>
  <si>
    <t>F73981</t>
  </si>
  <si>
    <t>F73982</t>
  </si>
  <si>
    <t>F73983</t>
  </si>
  <si>
    <t>F73984</t>
  </si>
  <si>
    <t>F73985</t>
  </si>
  <si>
    <t>F73988</t>
  </si>
  <si>
    <t>F73986</t>
  </si>
  <si>
    <t>veradilalu</t>
  </si>
  <si>
    <t>F73987</t>
  </si>
  <si>
    <t>F73989</t>
  </si>
  <si>
    <t>F73992</t>
  </si>
  <si>
    <t>F73990</t>
  </si>
  <si>
    <t>malli kenekta ywnn gnnkot waradila awe</t>
  </si>
  <si>
    <t>F73991</t>
  </si>
  <si>
    <t>F73993</t>
  </si>
  <si>
    <t>F73994</t>
  </si>
  <si>
    <t>F73995</t>
  </si>
  <si>
    <t>F73996</t>
  </si>
  <si>
    <t>F73997</t>
  </si>
  <si>
    <t>F73998</t>
  </si>
  <si>
    <t>F73999</t>
  </si>
  <si>
    <t>F74000</t>
  </si>
  <si>
    <t>F74002</t>
  </si>
  <si>
    <t>F74001</t>
  </si>
  <si>
    <t>F74003</t>
  </si>
  <si>
    <t>group ekt join unlu</t>
  </si>
  <si>
    <t>F74004</t>
  </si>
  <si>
    <t>F74005</t>
  </si>
  <si>
    <t>F74006</t>
  </si>
  <si>
    <t>F74007</t>
  </si>
  <si>
    <t>F74008</t>
  </si>
  <si>
    <t>F74009</t>
  </si>
  <si>
    <t>F74010</t>
  </si>
  <si>
    <t>pare inne passe gannm</t>
  </si>
  <si>
    <t>F74011</t>
  </si>
  <si>
    <t>F74012</t>
  </si>
  <si>
    <t>F74013</t>
  </si>
  <si>
    <t>F74014</t>
  </si>
  <si>
    <t>F74015</t>
  </si>
  <si>
    <t>F74016</t>
  </si>
  <si>
    <t>F74017</t>
  </si>
  <si>
    <t>F74018</t>
  </si>
  <si>
    <t>F74019</t>
  </si>
  <si>
    <t>F74020</t>
  </si>
  <si>
    <t>F74021</t>
  </si>
  <si>
    <t>F74022</t>
  </si>
  <si>
    <t>F74023</t>
  </si>
  <si>
    <t>F74024</t>
  </si>
  <si>
    <t>F74025</t>
  </si>
  <si>
    <t>F74026</t>
  </si>
  <si>
    <t>F74027</t>
  </si>
  <si>
    <t>F74028</t>
  </si>
  <si>
    <t>F74029</t>
  </si>
  <si>
    <t>F74030</t>
  </si>
  <si>
    <t>F74031</t>
  </si>
  <si>
    <t>F74032</t>
  </si>
  <si>
    <t>F74035</t>
  </si>
  <si>
    <t>F74033</t>
  </si>
  <si>
    <t>F74034</t>
  </si>
  <si>
    <t>F74036</t>
  </si>
  <si>
    <t>F74037</t>
  </si>
  <si>
    <t>F74038</t>
  </si>
  <si>
    <t>F74039</t>
  </si>
  <si>
    <t>F74040</t>
  </si>
  <si>
    <t>F74041</t>
  </si>
  <si>
    <t>F74042</t>
  </si>
  <si>
    <t>F74043</t>
  </si>
  <si>
    <t>F74044</t>
  </si>
  <si>
    <t>F74045</t>
  </si>
  <si>
    <t>F74046</t>
  </si>
  <si>
    <t>waradila awa ekak</t>
  </si>
  <si>
    <t>F74047</t>
  </si>
  <si>
    <t>sirwa contact krgnn</t>
  </si>
  <si>
    <t>F74048</t>
  </si>
  <si>
    <t>F74049</t>
  </si>
  <si>
    <t>F74050</t>
  </si>
  <si>
    <t>psse gannam wed karana gamn</t>
  </si>
  <si>
    <t>F74051</t>
  </si>
  <si>
    <t>F74052</t>
  </si>
  <si>
    <t>F74053</t>
  </si>
  <si>
    <t>F74054</t>
  </si>
  <si>
    <t>F74055</t>
  </si>
  <si>
    <t>F74056</t>
  </si>
  <si>
    <t>F74057</t>
  </si>
  <si>
    <t>F74058</t>
  </si>
  <si>
    <t>F74059</t>
  </si>
  <si>
    <t>F74060</t>
  </si>
  <si>
    <t>F74061</t>
  </si>
  <si>
    <t>sinhala therennethilu</t>
  </si>
  <si>
    <t>F74062</t>
  </si>
  <si>
    <t>F74063</t>
  </si>
  <si>
    <t>F74064</t>
  </si>
  <si>
    <t>F74068</t>
  </si>
  <si>
    <t>F74065</t>
  </si>
  <si>
    <t>F74066</t>
  </si>
  <si>
    <t>puthgen ahl kiynnm</t>
  </si>
  <si>
    <t>F74067</t>
  </si>
  <si>
    <t>F74069</t>
  </si>
  <si>
    <t>F74070</t>
  </si>
  <si>
    <t>F74071</t>
  </si>
  <si>
    <t>F74072</t>
  </si>
  <si>
    <t>10,8</t>
  </si>
  <si>
    <t>join w blnnm</t>
  </si>
  <si>
    <t>F74073</t>
  </si>
  <si>
    <t>F74074</t>
  </si>
  <si>
    <t>recording eka blala innam mulin</t>
  </si>
  <si>
    <t>F74075</t>
  </si>
  <si>
    <t>F74076</t>
  </si>
  <si>
    <t>F74077</t>
  </si>
  <si>
    <t>F74078</t>
  </si>
  <si>
    <t>putha awama ahl kiynnm</t>
  </si>
  <si>
    <t>F74079</t>
  </si>
  <si>
    <t>F74080</t>
  </si>
  <si>
    <t>duwa awama blnn kiynnm</t>
  </si>
  <si>
    <t>F74081</t>
  </si>
  <si>
    <t>F74082</t>
  </si>
  <si>
    <t>F74083</t>
  </si>
  <si>
    <t>F74084</t>
  </si>
  <si>
    <t>F74085</t>
  </si>
  <si>
    <t>F74086</t>
  </si>
  <si>
    <t>F74087</t>
  </si>
  <si>
    <t>F74088</t>
  </si>
  <si>
    <t>F74089</t>
  </si>
  <si>
    <t>F74090</t>
  </si>
  <si>
    <t>het physical class enawa</t>
  </si>
  <si>
    <t>F74091</t>
  </si>
  <si>
    <t>F74092</t>
  </si>
  <si>
    <t>F74093</t>
  </si>
  <si>
    <t>F74094</t>
  </si>
  <si>
    <t>F74095</t>
  </si>
  <si>
    <t>F74096</t>
  </si>
  <si>
    <t>F74097</t>
  </si>
  <si>
    <t>F74098</t>
  </si>
  <si>
    <t>F74099</t>
  </si>
  <si>
    <t>F74100</t>
  </si>
  <si>
    <t>F74102</t>
  </si>
  <si>
    <t>F74103</t>
  </si>
  <si>
    <t>F74104</t>
  </si>
  <si>
    <t>F74105</t>
  </si>
  <si>
    <t>F74107</t>
  </si>
  <si>
    <t xml:space="preserve">revision </t>
  </si>
  <si>
    <t>F74106</t>
  </si>
  <si>
    <t>pora katha krnne nh</t>
  </si>
  <si>
    <t>F74108</t>
  </si>
  <si>
    <t>F74109</t>
  </si>
  <si>
    <t>F74110</t>
  </si>
  <si>
    <t>F74111</t>
  </si>
  <si>
    <t>F77916</t>
  </si>
  <si>
    <t>F74112</t>
  </si>
  <si>
    <t>F74113</t>
  </si>
  <si>
    <t>F74114</t>
  </si>
  <si>
    <t>F74115</t>
  </si>
  <si>
    <t>F74116</t>
  </si>
  <si>
    <t>F74117</t>
  </si>
  <si>
    <t>F74118</t>
  </si>
  <si>
    <t>F74119</t>
  </si>
  <si>
    <t>F74120</t>
  </si>
  <si>
    <t>F74121</t>
  </si>
  <si>
    <t>F74122</t>
  </si>
  <si>
    <t>F74123</t>
  </si>
  <si>
    <t>F74124</t>
  </si>
  <si>
    <t>F74125</t>
  </si>
  <si>
    <t>F74126</t>
  </si>
  <si>
    <t>F74127</t>
  </si>
  <si>
    <t>F74128</t>
  </si>
  <si>
    <t>F74129</t>
  </si>
  <si>
    <t>F74130</t>
  </si>
  <si>
    <t>F74131</t>
  </si>
  <si>
    <t>F74132</t>
  </si>
  <si>
    <t>putha awama kiyannam</t>
  </si>
  <si>
    <t>F77917</t>
  </si>
  <si>
    <t>kataha krnne na</t>
  </si>
  <si>
    <t>F74133</t>
  </si>
  <si>
    <t>katha krnne</t>
  </si>
  <si>
    <t>F74134</t>
  </si>
  <si>
    <t>F74135</t>
  </si>
  <si>
    <t>F74136</t>
  </si>
  <si>
    <t>F74137</t>
  </si>
  <si>
    <t>F74138</t>
  </si>
  <si>
    <t>F74139</t>
  </si>
  <si>
    <t>F74140</t>
  </si>
  <si>
    <t>F74141</t>
  </si>
  <si>
    <t>F74142</t>
  </si>
  <si>
    <t>F74143</t>
  </si>
  <si>
    <t>paper</t>
  </si>
  <si>
    <t>F74144</t>
  </si>
  <si>
    <t>F74145</t>
  </si>
  <si>
    <t>F74146</t>
  </si>
  <si>
    <t xml:space="preserve">eng one </t>
  </si>
  <si>
    <t>F74147</t>
  </si>
  <si>
    <t>F74148</t>
  </si>
  <si>
    <t>F74149</t>
  </si>
  <si>
    <t xml:space="preserve">msg danme nethilu </t>
  </si>
  <si>
    <t>F74150</t>
  </si>
  <si>
    <t>F74151</t>
  </si>
  <si>
    <t>F74152</t>
  </si>
  <si>
    <t>F74153</t>
  </si>
  <si>
    <t>F74154</t>
  </si>
  <si>
    <t>F74155</t>
  </si>
  <si>
    <t>F74160</t>
  </si>
  <si>
    <t>F74156</t>
  </si>
  <si>
    <t>F74157</t>
  </si>
  <si>
    <t>F74158</t>
  </si>
  <si>
    <t>F74159</t>
  </si>
  <si>
    <t>F74161</t>
  </si>
  <si>
    <t>F74163</t>
  </si>
  <si>
    <t xml:space="preserve">psse gannam bus eke inne </t>
  </si>
  <si>
    <t>F74164</t>
  </si>
  <si>
    <t>F74162</t>
  </si>
  <si>
    <t>F74165</t>
  </si>
  <si>
    <t>passe gannm wife danne</t>
  </si>
  <si>
    <t>F74166</t>
  </si>
  <si>
    <t>F74167</t>
  </si>
  <si>
    <t>F74168</t>
  </si>
  <si>
    <t>F74169</t>
  </si>
  <si>
    <t>F74170</t>
  </si>
  <si>
    <t>wisthara dala thiyanna wdaka inne</t>
  </si>
  <si>
    <t>F74171</t>
  </si>
  <si>
    <t>F74173</t>
  </si>
  <si>
    <t>Eng m</t>
  </si>
  <si>
    <t>F74175</t>
  </si>
  <si>
    <t>F74172</t>
  </si>
  <si>
    <t>link 1 illanne</t>
  </si>
  <si>
    <t>F74174</t>
  </si>
  <si>
    <t>F74176</t>
  </si>
  <si>
    <t>passe gnnm kiuva</t>
  </si>
  <si>
    <t>F74177</t>
  </si>
  <si>
    <t>F74179</t>
  </si>
  <si>
    <t>F74178</t>
  </si>
  <si>
    <t>F74180</t>
  </si>
  <si>
    <t>F74181</t>
  </si>
  <si>
    <t>F74182</t>
  </si>
  <si>
    <t>F74184</t>
  </si>
  <si>
    <t>F74183</t>
  </si>
  <si>
    <t>ehuwe nethilu</t>
  </si>
  <si>
    <t>F74185</t>
  </si>
  <si>
    <t>passe gnnm kiuv</t>
  </si>
  <si>
    <t>F74187</t>
  </si>
  <si>
    <t>F74186</t>
  </si>
  <si>
    <t>F74188</t>
  </si>
  <si>
    <t>F74189</t>
  </si>
  <si>
    <t>F74190</t>
  </si>
  <si>
    <t>F74191</t>
  </si>
  <si>
    <t>F74192</t>
  </si>
  <si>
    <t>F74193</t>
  </si>
  <si>
    <t>F74194</t>
  </si>
  <si>
    <t>F74195</t>
  </si>
  <si>
    <t>F74196</t>
  </si>
  <si>
    <t>F74197</t>
  </si>
  <si>
    <t>F74198</t>
  </si>
  <si>
    <t>F74199</t>
  </si>
  <si>
    <t>F74200</t>
  </si>
  <si>
    <t>putha avm gnnm</t>
  </si>
  <si>
    <t>F74201</t>
  </si>
  <si>
    <t>F74202</t>
  </si>
  <si>
    <t>F74203</t>
  </si>
  <si>
    <t>F74204</t>
  </si>
  <si>
    <t>passe gannam</t>
  </si>
  <si>
    <t>F74205</t>
  </si>
  <si>
    <t>verdil</t>
  </si>
  <si>
    <t>F74206</t>
  </si>
  <si>
    <t>F74207</t>
  </si>
  <si>
    <t>F74208</t>
  </si>
  <si>
    <t>F74209</t>
  </si>
  <si>
    <t>F74210</t>
  </si>
  <si>
    <t>F74211</t>
  </si>
  <si>
    <t>F74212</t>
  </si>
  <si>
    <t>F74213</t>
  </si>
  <si>
    <t>F74214</t>
  </si>
  <si>
    <t>F74216</t>
  </si>
  <si>
    <t>F74215</t>
  </si>
  <si>
    <t>F74217</t>
  </si>
  <si>
    <t>F74218</t>
  </si>
  <si>
    <t>F74219</t>
  </si>
  <si>
    <t>F74221</t>
  </si>
  <si>
    <t>F74220</t>
  </si>
  <si>
    <t>F74222</t>
  </si>
  <si>
    <t>F74223</t>
  </si>
  <si>
    <t>F74224</t>
  </si>
  <si>
    <t>F74225</t>
  </si>
  <si>
    <t>blannam</t>
  </si>
  <si>
    <t>F74226</t>
  </si>
  <si>
    <t>F74227</t>
  </si>
  <si>
    <t>F74228</t>
  </si>
  <si>
    <t>F74229</t>
  </si>
  <si>
    <t>balnnam</t>
  </si>
  <si>
    <t>F74230</t>
  </si>
  <si>
    <t>F74231</t>
  </si>
  <si>
    <t>F74232</t>
  </si>
  <si>
    <t>F74233</t>
  </si>
  <si>
    <t>F74235</t>
  </si>
  <si>
    <t>F74234</t>
  </si>
  <si>
    <t>8,9</t>
  </si>
  <si>
    <t>F74236</t>
  </si>
  <si>
    <t>F74240</t>
  </si>
  <si>
    <t>F74237</t>
  </si>
  <si>
    <t>F74238</t>
  </si>
  <si>
    <t>F74239</t>
  </si>
  <si>
    <t>F74241</t>
  </si>
  <si>
    <t>F74242</t>
  </si>
  <si>
    <t>F74243</t>
  </si>
  <si>
    <t>F74244</t>
  </si>
  <si>
    <t>F74246</t>
  </si>
  <si>
    <t>F74245</t>
  </si>
  <si>
    <t>F74247</t>
  </si>
  <si>
    <t>F74248</t>
  </si>
  <si>
    <t>F74249</t>
  </si>
  <si>
    <t>F74250</t>
  </si>
  <si>
    <t>F74252</t>
  </si>
  <si>
    <t>F74251</t>
  </si>
  <si>
    <t>F74253</t>
  </si>
  <si>
    <t>F74254</t>
  </si>
  <si>
    <t>F74255</t>
  </si>
  <si>
    <t>F74256</t>
  </si>
  <si>
    <t>F74257</t>
  </si>
  <si>
    <t>F74258</t>
  </si>
  <si>
    <t>F74259</t>
  </si>
  <si>
    <t>F74260</t>
  </si>
  <si>
    <t>F74261</t>
  </si>
  <si>
    <t>F74262</t>
  </si>
  <si>
    <t>F74263</t>
  </si>
  <si>
    <t>F74264</t>
  </si>
  <si>
    <t>F74265</t>
  </si>
  <si>
    <t>F74266</t>
  </si>
  <si>
    <t>F74267</t>
  </si>
  <si>
    <t>F74268</t>
  </si>
  <si>
    <t>F74269</t>
  </si>
  <si>
    <t>F74270</t>
  </si>
  <si>
    <t>F74271</t>
  </si>
  <si>
    <t>F74272</t>
  </si>
  <si>
    <t>F74273</t>
  </si>
  <si>
    <t>F74274</t>
  </si>
  <si>
    <t>F74275</t>
  </si>
  <si>
    <t>F74276</t>
  </si>
  <si>
    <t>F74277</t>
  </si>
  <si>
    <t>F74278</t>
  </si>
  <si>
    <t>F74279</t>
  </si>
  <si>
    <t>F74280</t>
  </si>
  <si>
    <t>F74281</t>
  </si>
  <si>
    <t>F74282</t>
  </si>
  <si>
    <t>F74283</t>
  </si>
  <si>
    <t>F74284</t>
  </si>
  <si>
    <t>F74285</t>
  </si>
  <si>
    <t>F74286</t>
  </si>
  <si>
    <t>F74287</t>
  </si>
  <si>
    <t>F74288</t>
  </si>
  <si>
    <t>F74289</t>
  </si>
  <si>
    <t>F74290</t>
  </si>
  <si>
    <t>F74291</t>
  </si>
  <si>
    <t>F74292</t>
  </si>
  <si>
    <t>F74295</t>
  </si>
  <si>
    <t>F74293</t>
  </si>
  <si>
    <t>F74294</t>
  </si>
  <si>
    <t>F74296</t>
  </si>
  <si>
    <t>F74297</t>
  </si>
  <si>
    <t>F74298</t>
  </si>
  <si>
    <t>F74299</t>
  </si>
  <si>
    <t>F74300</t>
  </si>
  <si>
    <t>F74301</t>
  </si>
  <si>
    <t xml:space="preserve">eng..recording eka blannam kokatath </t>
  </si>
  <si>
    <t>F74302</t>
  </si>
  <si>
    <t>F74303</t>
  </si>
  <si>
    <t>F74304</t>
  </si>
  <si>
    <t>danma join wenne na</t>
  </si>
  <si>
    <t>F74305</t>
  </si>
  <si>
    <t>F74306</t>
  </si>
  <si>
    <t>F74307</t>
  </si>
  <si>
    <t>F74309</t>
  </si>
  <si>
    <t>F74308</t>
  </si>
  <si>
    <t>76 063 8801</t>
  </si>
  <si>
    <t>F74310</t>
  </si>
  <si>
    <t>F74311</t>
  </si>
  <si>
    <t>F74312</t>
  </si>
  <si>
    <t>F74313</t>
  </si>
  <si>
    <t>F74314</t>
  </si>
  <si>
    <t>F74315</t>
  </si>
  <si>
    <t>F74316</t>
  </si>
  <si>
    <t>F74317</t>
  </si>
  <si>
    <t>F74318</t>
  </si>
  <si>
    <t>F74319</t>
  </si>
  <si>
    <t>F74320</t>
  </si>
  <si>
    <t>F74321</t>
  </si>
  <si>
    <t>F74322</t>
  </si>
  <si>
    <t>F74323</t>
  </si>
  <si>
    <t>wisthara dala thiyanna e welwata clz ekak thiyanawa blalannm</t>
  </si>
  <si>
    <t>F74324</t>
  </si>
  <si>
    <t>F74325</t>
  </si>
  <si>
    <t>F74326</t>
  </si>
  <si>
    <t>F74327</t>
  </si>
  <si>
    <t>F74328</t>
  </si>
  <si>
    <t>F74329</t>
  </si>
  <si>
    <t>F74330</t>
  </si>
  <si>
    <t>F74331</t>
  </si>
  <si>
    <t>F74332</t>
  </si>
  <si>
    <t>F74333</t>
  </si>
  <si>
    <t>F74334</t>
  </si>
  <si>
    <t>F74335</t>
  </si>
  <si>
    <t>F74336</t>
  </si>
  <si>
    <t>F74337</t>
  </si>
  <si>
    <t>F74338</t>
  </si>
  <si>
    <t>F74339</t>
  </si>
  <si>
    <t>F74340</t>
  </si>
  <si>
    <t>F74341</t>
  </si>
  <si>
    <t>F74342</t>
  </si>
  <si>
    <t>F74343</t>
  </si>
  <si>
    <t>F74344</t>
  </si>
  <si>
    <t>F74345</t>
  </si>
  <si>
    <t>F74346</t>
  </si>
  <si>
    <t>F74347</t>
  </si>
  <si>
    <t>F74348</t>
  </si>
  <si>
    <t>F74349</t>
  </si>
  <si>
    <t>F74350</t>
  </si>
  <si>
    <t>F74351</t>
  </si>
  <si>
    <t>F74352</t>
  </si>
  <si>
    <t>F74353</t>
  </si>
  <si>
    <t>F74354</t>
  </si>
  <si>
    <t>F74355</t>
  </si>
  <si>
    <t>F74356</t>
  </si>
  <si>
    <t>F74357</t>
  </si>
  <si>
    <t>F74358</t>
  </si>
  <si>
    <t>F74359</t>
  </si>
  <si>
    <t>ennvenne</t>
  </si>
  <si>
    <t>F74360</t>
  </si>
  <si>
    <t>F74361</t>
  </si>
  <si>
    <t>F74362</t>
  </si>
  <si>
    <t>F74363</t>
  </si>
  <si>
    <t>F74364</t>
  </si>
  <si>
    <t>F74365</t>
  </si>
  <si>
    <t>F74366</t>
  </si>
  <si>
    <t>F74367</t>
  </si>
  <si>
    <t>F74368</t>
  </si>
  <si>
    <t>F74369</t>
  </si>
  <si>
    <t>payment kara</t>
  </si>
  <si>
    <t>F74370</t>
  </si>
  <si>
    <t>F74371</t>
  </si>
  <si>
    <t>F74372</t>
  </si>
  <si>
    <t>F74373</t>
  </si>
  <si>
    <t>F74375</t>
  </si>
  <si>
    <t>F74374</t>
  </si>
  <si>
    <t>eliye inne hwasa gannam wisthara danna</t>
  </si>
  <si>
    <t>F74376</t>
  </si>
  <si>
    <t>F74377</t>
  </si>
  <si>
    <t>F74378</t>
  </si>
  <si>
    <t>F74379</t>
  </si>
  <si>
    <t>wadaka inne passe gannam</t>
  </si>
  <si>
    <t>F74380</t>
  </si>
  <si>
    <t>kathakrnne</t>
  </si>
  <si>
    <t>F74381</t>
  </si>
  <si>
    <t>F74382</t>
  </si>
  <si>
    <t>F74383</t>
  </si>
  <si>
    <t>F74384</t>
  </si>
  <si>
    <t>F74385</t>
  </si>
  <si>
    <t>eng..join wela balannam</t>
  </si>
  <si>
    <t>F74386</t>
  </si>
  <si>
    <t>F74387</t>
  </si>
  <si>
    <t>F74388</t>
  </si>
  <si>
    <t>F74389</t>
  </si>
  <si>
    <t>F74390</t>
  </si>
  <si>
    <t>F74391</t>
  </si>
  <si>
    <t>F74392</t>
  </si>
  <si>
    <t>F74393</t>
  </si>
  <si>
    <t>F74394</t>
  </si>
  <si>
    <t>duwa awama kiyannam</t>
  </si>
  <si>
    <t>F74395</t>
  </si>
  <si>
    <t>F74396</t>
  </si>
  <si>
    <t>F74397</t>
  </si>
  <si>
    <t>F74398</t>
  </si>
  <si>
    <t>F74399</t>
  </si>
  <si>
    <t>F74400</t>
  </si>
  <si>
    <t>F74401</t>
  </si>
  <si>
    <t>F74402</t>
  </si>
  <si>
    <t>F74403</t>
  </si>
  <si>
    <t>F74404</t>
  </si>
  <si>
    <t>F74405</t>
  </si>
  <si>
    <t>F74406</t>
  </si>
  <si>
    <t>ada pymt krnw</t>
  </si>
  <si>
    <t>F74409</t>
  </si>
  <si>
    <t>F74407</t>
  </si>
  <si>
    <t>Duva avam gnnm</t>
  </si>
  <si>
    <t>F74408</t>
  </si>
  <si>
    <t>ammata ganna kiyannam</t>
  </si>
  <si>
    <t>F74410</t>
  </si>
  <si>
    <t>F74411</t>
  </si>
  <si>
    <t>F74412</t>
  </si>
  <si>
    <t>F74413</t>
  </si>
  <si>
    <t>F74414</t>
  </si>
  <si>
    <t>F74415</t>
  </si>
  <si>
    <t>F74417</t>
  </si>
  <si>
    <t>F74416</t>
  </si>
  <si>
    <t>F74418</t>
  </si>
  <si>
    <t>F74419</t>
  </si>
  <si>
    <t>F74420</t>
  </si>
  <si>
    <t>F74421</t>
  </si>
  <si>
    <t>F74422</t>
  </si>
  <si>
    <t>F74423</t>
  </si>
  <si>
    <t>puthat kiynnm kiuva</t>
  </si>
  <si>
    <t>F74424</t>
  </si>
  <si>
    <t>F74425</t>
  </si>
  <si>
    <t>F74426</t>
  </si>
  <si>
    <t>thav tikkin gnnm</t>
  </si>
  <si>
    <t>F74427</t>
  </si>
  <si>
    <t>F74428</t>
  </si>
  <si>
    <t>F74429</t>
  </si>
  <si>
    <t>F74430</t>
  </si>
  <si>
    <t>F74431</t>
  </si>
  <si>
    <t>F74432</t>
  </si>
  <si>
    <t>F74433</t>
  </si>
  <si>
    <t>F74434</t>
  </si>
  <si>
    <t>F74435</t>
  </si>
  <si>
    <t>F74436</t>
  </si>
  <si>
    <t>F74437</t>
  </si>
  <si>
    <t>F74438</t>
  </si>
  <si>
    <t>F74439</t>
  </si>
  <si>
    <t xml:space="preserve">passe gnnm </t>
  </si>
  <si>
    <t>F74440</t>
  </si>
  <si>
    <t>Balala kiynnm</t>
  </si>
  <si>
    <t>F74441</t>
  </si>
  <si>
    <t>F74442</t>
  </si>
  <si>
    <t>F74443</t>
  </si>
  <si>
    <t>F74444</t>
  </si>
  <si>
    <t>F74445</t>
  </si>
  <si>
    <t>F74446</t>
  </si>
  <si>
    <t>F74447</t>
  </si>
  <si>
    <t>F74451</t>
  </si>
  <si>
    <t>F74448</t>
  </si>
  <si>
    <t>veradillu</t>
  </si>
  <si>
    <t>F74449</t>
  </si>
  <si>
    <t>F74450</t>
  </si>
  <si>
    <t>English m</t>
  </si>
  <si>
    <t>F74452</t>
  </si>
  <si>
    <t>F74453</t>
  </si>
  <si>
    <t>F74454</t>
  </si>
  <si>
    <t>F74455</t>
  </si>
  <si>
    <t>F74456</t>
  </si>
  <si>
    <t>F74457</t>
  </si>
  <si>
    <t>F74458</t>
  </si>
  <si>
    <t>F74459</t>
  </si>
  <si>
    <t>F74460</t>
  </si>
  <si>
    <t>F74461</t>
  </si>
  <si>
    <t>gedara gihin gannam</t>
  </si>
  <si>
    <t>F74462</t>
  </si>
  <si>
    <t>F74463</t>
  </si>
  <si>
    <t>F74464</t>
  </si>
  <si>
    <t>F74465</t>
  </si>
  <si>
    <t>dn clz ekak thiyanawa wisthara dala thiyanna</t>
  </si>
  <si>
    <t>F74466</t>
  </si>
  <si>
    <t>F74467</t>
  </si>
  <si>
    <t>F74468</t>
  </si>
  <si>
    <t>F74469</t>
  </si>
  <si>
    <t>F74470</t>
  </si>
  <si>
    <t>F74471</t>
  </si>
  <si>
    <t>F74472</t>
  </si>
  <si>
    <t>F74473</t>
  </si>
  <si>
    <t>F74474</t>
  </si>
  <si>
    <t>F74475</t>
  </si>
  <si>
    <t>F74476</t>
  </si>
  <si>
    <t>F74477</t>
  </si>
  <si>
    <t>F74478</t>
  </si>
  <si>
    <t>F74479</t>
  </si>
  <si>
    <t>F74480</t>
  </si>
  <si>
    <t>F74481</t>
  </si>
  <si>
    <t>F74482</t>
  </si>
  <si>
    <t>F74483</t>
  </si>
  <si>
    <t>F74485</t>
  </si>
  <si>
    <t>F74484</t>
  </si>
  <si>
    <t>F74486</t>
  </si>
  <si>
    <t>F74487</t>
  </si>
  <si>
    <t>F74488</t>
  </si>
  <si>
    <t>F74489</t>
  </si>
  <si>
    <t>F74490</t>
  </si>
  <si>
    <t>F74491</t>
  </si>
  <si>
    <t>F74492</t>
  </si>
  <si>
    <t>F74493</t>
  </si>
  <si>
    <t>F74494</t>
  </si>
  <si>
    <t>F74495</t>
  </si>
  <si>
    <t>F74496</t>
  </si>
  <si>
    <t>F74497</t>
  </si>
  <si>
    <t>F74498</t>
  </si>
  <si>
    <t>F74499</t>
  </si>
  <si>
    <t>F74500</t>
  </si>
  <si>
    <t>F74501</t>
  </si>
  <si>
    <t>F74502</t>
  </si>
  <si>
    <t>F74503</t>
  </si>
  <si>
    <t>F74504</t>
  </si>
  <si>
    <t>F74505</t>
  </si>
  <si>
    <t xml:space="preserve">waradila </t>
  </si>
  <si>
    <t>F74506</t>
  </si>
  <si>
    <t>F74507</t>
  </si>
  <si>
    <t>F74508</t>
  </si>
  <si>
    <t>F74509</t>
  </si>
  <si>
    <t>F74510</t>
  </si>
  <si>
    <t>F74511</t>
  </si>
  <si>
    <t>F74512</t>
  </si>
  <si>
    <t>F74513</t>
  </si>
  <si>
    <t>F74514</t>
  </si>
  <si>
    <t>F74515</t>
  </si>
  <si>
    <t>F74516</t>
  </si>
  <si>
    <t>F74517</t>
  </si>
  <si>
    <t>F74518</t>
  </si>
  <si>
    <t>F74519</t>
  </si>
  <si>
    <t>F74520</t>
  </si>
  <si>
    <t>F74521</t>
  </si>
  <si>
    <t>F74522</t>
  </si>
  <si>
    <t>F74523</t>
  </si>
  <si>
    <t>F74524</t>
  </si>
  <si>
    <t>F74525</t>
  </si>
  <si>
    <t>F74526</t>
  </si>
  <si>
    <t>F74527</t>
  </si>
  <si>
    <t>F74528</t>
  </si>
  <si>
    <t>thawa tikkin gannam</t>
  </si>
  <si>
    <t>F74529</t>
  </si>
  <si>
    <t>F74530</t>
  </si>
  <si>
    <t>F74531</t>
  </si>
  <si>
    <t>F74532</t>
  </si>
  <si>
    <t>F74533</t>
  </si>
  <si>
    <t>F74534</t>
  </si>
  <si>
    <t>F74535</t>
  </si>
  <si>
    <t>F74536</t>
  </si>
  <si>
    <t>F74537</t>
  </si>
  <si>
    <t xml:space="preserve">wisthara dala thiyanna </t>
  </si>
  <si>
    <t>F74538</t>
  </si>
  <si>
    <t>F74539</t>
  </si>
  <si>
    <t>F74540</t>
  </si>
  <si>
    <t>F74541</t>
  </si>
  <si>
    <t>F74542</t>
  </si>
  <si>
    <t>wisthara dala thiyanna</t>
  </si>
  <si>
    <t>F74543</t>
  </si>
  <si>
    <t>daruva avama balamu kiuv</t>
  </si>
  <si>
    <t>F74544</t>
  </si>
  <si>
    <t>F74545</t>
  </si>
  <si>
    <t>F74546</t>
  </si>
  <si>
    <t>F74547</t>
  </si>
  <si>
    <t>F74548</t>
  </si>
  <si>
    <t>F74549</t>
  </si>
  <si>
    <t>passe gannam wisthara danna</t>
  </si>
  <si>
    <t>F74550</t>
  </si>
  <si>
    <t>F74552</t>
  </si>
  <si>
    <t>labana awrudde idl enw</t>
  </si>
  <si>
    <t>F74551</t>
  </si>
  <si>
    <t>F74555</t>
  </si>
  <si>
    <t>balala kiyannam</t>
  </si>
  <si>
    <t>F74553</t>
  </si>
  <si>
    <t>F74554</t>
  </si>
  <si>
    <t>F74556</t>
  </si>
  <si>
    <t>F74557</t>
  </si>
  <si>
    <t>F74558</t>
  </si>
  <si>
    <t>F74559</t>
  </si>
  <si>
    <t>velv be</t>
  </si>
  <si>
    <t>F74560</t>
  </si>
  <si>
    <t>F74561</t>
  </si>
  <si>
    <t>F74562</t>
  </si>
  <si>
    <t>F74563</t>
  </si>
  <si>
    <t>F74564</t>
  </si>
  <si>
    <t>F74565</t>
  </si>
  <si>
    <t>F74566</t>
  </si>
  <si>
    <t>F74567</t>
  </si>
  <si>
    <t>F74568</t>
  </si>
  <si>
    <t>F74569</t>
  </si>
  <si>
    <t>amma dala thiyenne eya na</t>
  </si>
  <si>
    <t>F74570</t>
  </si>
  <si>
    <t>F74573</t>
  </si>
  <si>
    <t>F74571</t>
  </si>
  <si>
    <t>F74572</t>
  </si>
  <si>
    <t>F74574</t>
  </si>
  <si>
    <t>F74575</t>
  </si>
  <si>
    <t>F74576</t>
  </si>
  <si>
    <t>F74577</t>
  </si>
  <si>
    <t>F74578</t>
  </si>
  <si>
    <t>F74579</t>
  </si>
  <si>
    <t>F74580</t>
  </si>
  <si>
    <t>F74586</t>
  </si>
  <si>
    <t>F74581</t>
  </si>
  <si>
    <t>F74582</t>
  </si>
  <si>
    <t>F74583</t>
  </si>
  <si>
    <t>F74584</t>
  </si>
  <si>
    <t>F74585</t>
  </si>
  <si>
    <t>wisthara hambunalu</t>
  </si>
  <si>
    <t>F74587</t>
  </si>
  <si>
    <t>F74588</t>
  </si>
  <si>
    <t>F74589</t>
  </si>
  <si>
    <t>F74590</t>
  </si>
  <si>
    <t>putha danne eya na awama kiyannam</t>
  </si>
  <si>
    <t>F74591</t>
  </si>
  <si>
    <t>F74592</t>
  </si>
  <si>
    <t>F74593</t>
  </si>
  <si>
    <t>F74594</t>
  </si>
  <si>
    <t>eng...link eka danna</t>
  </si>
  <si>
    <t>F74595</t>
  </si>
  <si>
    <t>F74596</t>
  </si>
  <si>
    <t>F74597</t>
  </si>
  <si>
    <t>F74598</t>
  </si>
  <si>
    <t>F74599</t>
  </si>
  <si>
    <t>F74600</t>
  </si>
  <si>
    <t>F74601</t>
  </si>
  <si>
    <t>F74602</t>
  </si>
  <si>
    <t>F74603</t>
  </si>
  <si>
    <t>F74604</t>
  </si>
  <si>
    <t>F74605</t>
  </si>
  <si>
    <t>F74606</t>
  </si>
  <si>
    <t>F74607</t>
  </si>
  <si>
    <t>husbund ekka kathakarala kiyannam</t>
  </si>
  <si>
    <t>F74608</t>
  </si>
  <si>
    <t>F74609</t>
  </si>
  <si>
    <t>faild</t>
  </si>
  <si>
    <t>F74610</t>
  </si>
  <si>
    <t>F74611</t>
  </si>
  <si>
    <t>F74612</t>
  </si>
  <si>
    <t>F74613</t>
  </si>
  <si>
    <t>F74614</t>
  </si>
  <si>
    <t>F74615</t>
  </si>
  <si>
    <t>F74616</t>
  </si>
  <si>
    <t>F74617</t>
  </si>
  <si>
    <t>F74618</t>
  </si>
  <si>
    <t>F74619</t>
  </si>
  <si>
    <t>F74620</t>
  </si>
  <si>
    <t>F74621</t>
  </si>
  <si>
    <t>F74622</t>
  </si>
  <si>
    <t>F74623</t>
  </si>
  <si>
    <t>F74624</t>
  </si>
  <si>
    <t>F74625</t>
  </si>
  <si>
    <t>F74626</t>
  </si>
  <si>
    <t>F74627</t>
  </si>
  <si>
    <t>F74628</t>
  </si>
  <si>
    <t>F74629</t>
  </si>
  <si>
    <t>F74630</t>
  </si>
  <si>
    <t>F74631</t>
  </si>
  <si>
    <t>F74632</t>
  </si>
  <si>
    <t>F74633</t>
  </si>
  <si>
    <t>F74634</t>
  </si>
  <si>
    <t>recording eka blalama join wennam</t>
  </si>
  <si>
    <t>F74635</t>
  </si>
  <si>
    <t>F74636</t>
  </si>
  <si>
    <t>F74637</t>
  </si>
  <si>
    <t>F74638</t>
  </si>
  <si>
    <t>wisthara danna ada ekata join wela balannam</t>
  </si>
  <si>
    <t>F74639</t>
  </si>
  <si>
    <t>9,7</t>
  </si>
  <si>
    <t>F74640</t>
  </si>
  <si>
    <t>F74641</t>
  </si>
  <si>
    <t>F74642</t>
  </si>
  <si>
    <t>F74643</t>
  </si>
  <si>
    <t>10 kin gnna</t>
  </si>
  <si>
    <t>F74644</t>
  </si>
  <si>
    <t>wed kara gmnn tikakin gnnm</t>
  </si>
  <si>
    <t>F74645</t>
  </si>
  <si>
    <t>F74646</t>
  </si>
  <si>
    <t>dennek innawa awama kathakarala kiyannam wisthara danna</t>
  </si>
  <si>
    <t>grp ekt add wel inne</t>
  </si>
  <si>
    <t>F74647</t>
  </si>
  <si>
    <t>F74648</t>
  </si>
  <si>
    <t>F74649</t>
  </si>
  <si>
    <t>F74650</t>
  </si>
  <si>
    <t>F74651</t>
  </si>
  <si>
    <t>F74652</t>
  </si>
  <si>
    <t>F74653</t>
  </si>
  <si>
    <t>F74654</t>
  </si>
  <si>
    <t>F74655</t>
  </si>
  <si>
    <t>F74656</t>
  </si>
  <si>
    <t>F74657</t>
  </si>
  <si>
    <t>F74658</t>
  </si>
  <si>
    <t>F74659</t>
  </si>
  <si>
    <t>F74660</t>
  </si>
  <si>
    <t xml:space="preserve">cut kra </t>
  </si>
  <si>
    <t>F74661</t>
  </si>
  <si>
    <t>F74662</t>
  </si>
  <si>
    <t>F74663</t>
  </si>
  <si>
    <t>F74664</t>
  </si>
  <si>
    <t>F74665</t>
  </si>
  <si>
    <t>F74666</t>
  </si>
  <si>
    <t>F74667</t>
  </si>
  <si>
    <t>F74682</t>
  </si>
  <si>
    <t>F74668</t>
  </si>
  <si>
    <t>F74669</t>
  </si>
  <si>
    <t>F74670</t>
  </si>
  <si>
    <t>F74671</t>
  </si>
  <si>
    <t>F74672</t>
  </si>
  <si>
    <t>F74673</t>
  </si>
  <si>
    <t>F74674</t>
  </si>
  <si>
    <t>F74675</t>
  </si>
  <si>
    <t>wena class ekak e time ekt thiyenw blala msg ekk dannmn</t>
  </si>
  <si>
    <t>F74676</t>
  </si>
  <si>
    <t>F74677</t>
  </si>
  <si>
    <t>putha thamai danna aththe wisthara dala thiyanna</t>
  </si>
  <si>
    <t>F74678</t>
  </si>
  <si>
    <t>F74679</t>
  </si>
  <si>
    <t>F74680</t>
  </si>
  <si>
    <t>F74681</t>
  </si>
  <si>
    <t>F74683</t>
  </si>
  <si>
    <t>F74684</t>
  </si>
  <si>
    <t>F74685</t>
  </si>
  <si>
    <t>F74686</t>
  </si>
  <si>
    <t>F74688</t>
  </si>
  <si>
    <t>F74687</t>
  </si>
  <si>
    <t>F74689</t>
  </si>
  <si>
    <t>F74690</t>
  </si>
  <si>
    <t>F74691</t>
  </si>
  <si>
    <t>F74692</t>
  </si>
  <si>
    <t>F74693</t>
  </si>
  <si>
    <t>F74694</t>
  </si>
  <si>
    <t>77 675 2816</t>
  </si>
  <si>
    <t>F74695</t>
  </si>
  <si>
    <t>F74696</t>
  </si>
  <si>
    <t>F74697</t>
  </si>
  <si>
    <t>F74698</t>
  </si>
  <si>
    <t>heta payment eka karala join wennam</t>
  </si>
  <si>
    <t>F74699</t>
  </si>
  <si>
    <t>F74700</t>
  </si>
  <si>
    <t>F74701</t>
  </si>
  <si>
    <t>F74702</t>
  </si>
  <si>
    <t>zoom app ek gnn ba</t>
  </si>
  <si>
    <t>F74703</t>
  </si>
  <si>
    <t>F74704</t>
  </si>
  <si>
    <t>F74705</t>
  </si>
  <si>
    <t>F74706</t>
  </si>
  <si>
    <t>F74707</t>
  </si>
  <si>
    <t xml:space="preserve">ahennet na hariyata methana </t>
  </si>
  <si>
    <t>F74708</t>
  </si>
  <si>
    <t>F74709</t>
  </si>
  <si>
    <t>F74710</t>
  </si>
  <si>
    <t>F74711</t>
  </si>
  <si>
    <t>F74712</t>
  </si>
  <si>
    <t>පොඩි එකා වැරදිලා දාල</t>
  </si>
  <si>
    <t>F74713</t>
  </si>
  <si>
    <t>wisthara dala thiyanna balannam</t>
  </si>
  <si>
    <t>F74716</t>
  </si>
  <si>
    <t>F74714</t>
  </si>
  <si>
    <t>F74715</t>
  </si>
  <si>
    <t>F74717</t>
  </si>
  <si>
    <t>F74718</t>
  </si>
  <si>
    <t>F74719</t>
  </si>
  <si>
    <t>putha dala thiyenne wisthara dala thiyanna</t>
  </si>
  <si>
    <t>F74720</t>
  </si>
  <si>
    <t>F74721</t>
  </si>
  <si>
    <t>F74722</t>
  </si>
  <si>
    <t>F74723</t>
  </si>
  <si>
    <t>F74724</t>
  </si>
  <si>
    <t>puhta danna aththe awama kiyannam</t>
  </si>
  <si>
    <t>F74725</t>
  </si>
  <si>
    <t>F74726</t>
  </si>
  <si>
    <t>F74727</t>
  </si>
  <si>
    <t xml:space="preserve">eng..recording ekk balala therenawanam ennam </t>
  </si>
  <si>
    <t>F74728</t>
  </si>
  <si>
    <t>free unama gnnm</t>
  </si>
  <si>
    <t>F74729</t>
  </si>
  <si>
    <t>F74730</t>
  </si>
  <si>
    <t>F74731</t>
  </si>
  <si>
    <t>F74732</t>
  </si>
  <si>
    <t>F74733</t>
  </si>
  <si>
    <t>F74734</t>
  </si>
  <si>
    <t>F74735</t>
  </si>
  <si>
    <t>F74736</t>
  </si>
  <si>
    <t>F74737</t>
  </si>
  <si>
    <t>F74738</t>
  </si>
  <si>
    <t>theory witharak baluwe ada join wela balala payment eka karannam</t>
  </si>
  <si>
    <t>F74739</t>
  </si>
  <si>
    <t>F74740</t>
  </si>
  <si>
    <t>F74742</t>
  </si>
  <si>
    <t>F74741</t>
  </si>
  <si>
    <t>F74743</t>
  </si>
  <si>
    <t>F74744</t>
  </si>
  <si>
    <t>F74745</t>
  </si>
  <si>
    <t xml:space="preserve">link eka dala thiyanna </t>
  </si>
  <si>
    <t>F74746</t>
  </si>
  <si>
    <t>F74747</t>
  </si>
  <si>
    <t>msg ekak danme nethilu</t>
  </si>
  <si>
    <t>F74748</t>
  </si>
  <si>
    <t>ktha krn na</t>
  </si>
  <si>
    <t>F74749</t>
  </si>
  <si>
    <t>F74750</t>
  </si>
  <si>
    <t>F74751</t>
  </si>
  <si>
    <t>F74752</t>
  </si>
  <si>
    <t>F74753</t>
  </si>
  <si>
    <t>baba awama kiyannam eya na</t>
  </si>
  <si>
    <t>F74754</t>
  </si>
  <si>
    <t>F74755</t>
  </si>
  <si>
    <t>F74756</t>
  </si>
  <si>
    <t>F74757</t>
  </si>
  <si>
    <t>F74758</t>
  </si>
  <si>
    <t>niknlu dnme</t>
  </si>
  <si>
    <t>F74759</t>
  </si>
  <si>
    <t>F74760</t>
  </si>
  <si>
    <t>gdr kawruth ne eyl awam cl krnnm</t>
  </si>
  <si>
    <t>F74761</t>
  </si>
  <si>
    <t>F74762</t>
  </si>
  <si>
    <t>F74763</t>
  </si>
  <si>
    <t>F74764</t>
  </si>
  <si>
    <t>F74765</t>
  </si>
  <si>
    <t>F74766</t>
  </si>
  <si>
    <t>F74767</t>
  </si>
  <si>
    <t>F74768</t>
  </si>
  <si>
    <t>F74769</t>
  </si>
  <si>
    <t>F74770</t>
  </si>
  <si>
    <t>F74771</t>
  </si>
  <si>
    <t>F74772</t>
  </si>
  <si>
    <t>F74812</t>
  </si>
  <si>
    <t>F74773</t>
  </si>
  <si>
    <t>F74774</t>
  </si>
  <si>
    <t>Time be</t>
  </si>
  <si>
    <t>F74775</t>
  </si>
  <si>
    <t>F74776</t>
  </si>
  <si>
    <t>F74777</t>
  </si>
  <si>
    <t>F74778</t>
  </si>
  <si>
    <t>F74779</t>
  </si>
  <si>
    <t>F74780</t>
  </si>
  <si>
    <t>F74781</t>
  </si>
  <si>
    <t>link eka danna balanna</t>
  </si>
  <si>
    <t>F74782</t>
  </si>
  <si>
    <t>F74783</t>
  </si>
  <si>
    <t>F74784</t>
  </si>
  <si>
    <t>F74785</t>
  </si>
  <si>
    <t>F74786</t>
  </si>
  <si>
    <t>F74787</t>
  </si>
  <si>
    <t>F74788</t>
  </si>
  <si>
    <t>F74789</t>
  </si>
  <si>
    <t>F74790</t>
  </si>
  <si>
    <t>F74791</t>
  </si>
  <si>
    <t>F74792</t>
  </si>
  <si>
    <t>F74793</t>
  </si>
  <si>
    <t>signal na cut kara</t>
  </si>
  <si>
    <t>F74794</t>
  </si>
  <si>
    <t>F74795</t>
  </si>
  <si>
    <t>F74796</t>
  </si>
  <si>
    <t>ada join wela payment eka karannam</t>
  </si>
  <si>
    <t>F74797</t>
  </si>
  <si>
    <t>F74798</t>
  </si>
  <si>
    <t>F74799</t>
  </si>
  <si>
    <t>F74800</t>
  </si>
  <si>
    <t>F74801</t>
  </si>
  <si>
    <t>amma na</t>
  </si>
  <si>
    <t>F74802</t>
  </si>
  <si>
    <t>F74803</t>
  </si>
  <si>
    <t>F74804</t>
  </si>
  <si>
    <t>F74805</t>
  </si>
  <si>
    <t>F74806</t>
  </si>
  <si>
    <t>F74807</t>
  </si>
  <si>
    <t>F74808</t>
  </si>
  <si>
    <t>kalin 10 wasr</t>
  </si>
  <si>
    <t>F74809</t>
  </si>
  <si>
    <t>recording ekk balanna.ada ekata bari wei baba hostel inne</t>
  </si>
  <si>
    <t>F74810</t>
  </si>
  <si>
    <t>F74811</t>
  </si>
  <si>
    <t>F74813</t>
  </si>
  <si>
    <t>F74814</t>
  </si>
  <si>
    <t>F74815</t>
  </si>
  <si>
    <t>F74816</t>
  </si>
  <si>
    <t>eng</t>
  </si>
  <si>
    <t>kathakaralu ada link eka damma</t>
  </si>
  <si>
    <t>F74817</t>
  </si>
  <si>
    <t>F74818</t>
  </si>
  <si>
    <t>F74819</t>
  </si>
  <si>
    <t>F74820</t>
  </si>
  <si>
    <t>F74821</t>
  </si>
  <si>
    <t>F74822</t>
  </si>
  <si>
    <t>F74823</t>
  </si>
  <si>
    <t>F74824</t>
  </si>
  <si>
    <t>F74825</t>
  </si>
  <si>
    <t>F74829</t>
  </si>
  <si>
    <t>F74826</t>
  </si>
  <si>
    <t>ada class ekt inn blnnm</t>
  </si>
  <si>
    <t>F74827</t>
  </si>
  <si>
    <t>F74828</t>
  </si>
  <si>
    <t>F74830</t>
  </si>
  <si>
    <t>F74831</t>
  </si>
  <si>
    <t>F74832</t>
  </si>
  <si>
    <t>F74833</t>
  </si>
  <si>
    <t>tamil m..link eka danna join wela balannam</t>
  </si>
  <si>
    <t>F74834</t>
  </si>
  <si>
    <t>F74835</t>
  </si>
  <si>
    <t>F74836</t>
  </si>
  <si>
    <t>F74837</t>
  </si>
  <si>
    <t>F74838</t>
  </si>
  <si>
    <t>F74839</t>
  </si>
  <si>
    <t>F74840</t>
  </si>
  <si>
    <t>F74841</t>
  </si>
  <si>
    <t>F74842</t>
  </si>
  <si>
    <t>ada join wela balalama kiyannam</t>
  </si>
  <si>
    <t>F74843</t>
  </si>
  <si>
    <t>F74844</t>
  </si>
  <si>
    <t>F74845</t>
  </si>
  <si>
    <t>F74846</t>
  </si>
  <si>
    <t>F74847</t>
  </si>
  <si>
    <t>F74848</t>
  </si>
  <si>
    <t>F74849</t>
  </si>
  <si>
    <t>F74850</t>
  </si>
  <si>
    <t>F74851</t>
  </si>
  <si>
    <t>F74852</t>
  </si>
  <si>
    <t>F74854</t>
  </si>
  <si>
    <t>F74853</t>
  </si>
  <si>
    <t>F74855</t>
  </si>
  <si>
    <t>F74856</t>
  </si>
  <si>
    <t>F74857</t>
  </si>
  <si>
    <t>F74858</t>
  </si>
  <si>
    <t>F74859</t>
  </si>
  <si>
    <t>F74860</t>
  </si>
  <si>
    <t>F74861</t>
  </si>
  <si>
    <t>F74862</t>
  </si>
  <si>
    <t>F74863</t>
  </si>
  <si>
    <t>F74864</t>
  </si>
  <si>
    <t>F74865</t>
  </si>
  <si>
    <t>F74866</t>
  </si>
  <si>
    <t>wisthara danna duwata kiyannam</t>
  </si>
  <si>
    <t>F74867</t>
  </si>
  <si>
    <t>F74868</t>
  </si>
  <si>
    <t>F74869</t>
  </si>
  <si>
    <t>F74870</t>
  </si>
  <si>
    <t>F74871</t>
  </si>
  <si>
    <t>F74872</t>
  </si>
  <si>
    <t>F74873</t>
  </si>
  <si>
    <t>F74874</t>
  </si>
  <si>
    <t>F74875</t>
  </si>
  <si>
    <t>F74876</t>
  </si>
  <si>
    <t>F74877</t>
  </si>
  <si>
    <t>F74878</t>
  </si>
  <si>
    <t>F74879</t>
  </si>
  <si>
    <t>wena clz ekak thiyanawa balannamko</t>
  </si>
  <si>
    <t>F74881</t>
  </si>
  <si>
    <t>F74880</t>
  </si>
  <si>
    <t>F74882</t>
  </si>
  <si>
    <t>F74883</t>
  </si>
  <si>
    <t>F74884</t>
  </si>
  <si>
    <t>F74885</t>
  </si>
  <si>
    <t>F74886</t>
  </si>
  <si>
    <t>F74888</t>
  </si>
  <si>
    <t>F74887</t>
  </si>
  <si>
    <t>F74889</t>
  </si>
  <si>
    <t>F74890</t>
  </si>
  <si>
    <t>F74891</t>
  </si>
  <si>
    <t>F74892</t>
  </si>
  <si>
    <t>F74893</t>
  </si>
  <si>
    <t>F74894</t>
  </si>
  <si>
    <t>F74895</t>
  </si>
  <si>
    <t>F74896</t>
  </si>
  <si>
    <t xml:space="preserve">blala kiynnm </t>
  </si>
  <si>
    <t>F74897</t>
  </si>
  <si>
    <t>wahane yanagaman ahenne na wisthara dala thiyanna</t>
  </si>
  <si>
    <t>F74898</t>
  </si>
  <si>
    <t>puthagen ahala kiyannam</t>
  </si>
  <si>
    <t>F74899</t>
  </si>
  <si>
    <t>pansale inne wisthara dala thiyanawada</t>
  </si>
  <si>
    <t>F74900</t>
  </si>
  <si>
    <t>F74901</t>
  </si>
  <si>
    <t>F74902</t>
  </si>
  <si>
    <t>F74903</t>
  </si>
  <si>
    <t>hostel inna nisa amarui recording ekak danna</t>
  </si>
  <si>
    <t>F74904</t>
  </si>
  <si>
    <t>F74905</t>
  </si>
  <si>
    <t>F74906</t>
  </si>
  <si>
    <t>F74907</t>
  </si>
  <si>
    <t>F74908</t>
  </si>
  <si>
    <t>F74909</t>
  </si>
  <si>
    <t>F74910</t>
  </si>
  <si>
    <t>F74911</t>
  </si>
  <si>
    <t>F74912</t>
  </si>
  <si>
    <t>F74913</t>
  </si>
  <si>
    <t>theory witharak danata</t>
  </si>
  <si>
    <t>F74914</t>
  </si>
  <si>
    <t>F74915</t>
  </si>
  <si>
    <t>F74917</t>
  </si>
  <si>
    <t>F74916</t>
  </si>
  <si>
    <t>F74918</t>
  </si>
  <si>
    <t>F74919</t>
  </si>
  <si>
    <t>F74920</t>
  </si>
  <si>
    <t>F74921</t>
  </si>
  <si>
    <t>F74922</t>
  </si>
  <si>
    <t>F74923</t>
  </si>
  <si>
    <t>F74924</t>
  </si>
  <si>
    <t>F74925</t>
  </si>
  <si>
    <t>F74926</t>
  </si>
  <si>
    <t>F74927</t>
  </si>
  <si>
    <t>F74928</t>
  </si>
  <si>
    <t>F74929</t>
  </si>
  <si>
    <t>F74930</t>
  </si>
  <si>
    <t>F74931</t>
  </si>
  <si>
    <t>F74932</t>
  </si>
  <si>
    <t>ada balalama join wennam payment karala</t>
  </si>
  <si>
    <t>F74933</t>
  </si>
  <si>
    <t xml:space="preserve">2nd </t>
  </si>
  <si>
    <t>F74934</t>
  </si>
  <si>
    <t>F74935</t>
  </si>
  <si>
    <t>tikkin gnnm</t>
  </si>
  <si>
    <t>F74936</t>
  </si>
  <si>
    <t>F74937</t>
  </si>
  <si>
    <t>wife thama dala thiyenne balala kiyannam</t>
  </si>
  <si>
    <t>class join une ne</t>
  </si>
  <si>
    <t>F74938</t>
  </si>
  <si>
    <t xml:space="preserve">ada class innw </t>
  </si>
  <si>
    <t>F74939</t>
  </si>
  <si>
    <t>F74940</t>
  </si>
  <si>
    <t>graphic page ekak</t>
  </si>
  <si>
    <t>F74941</t>
  </si>
  <si>
    <t>F74942</t>
  </si>
  <si>
    <t>F74943</t>
  </si>
  <si>
    <t>F74944</t>
  </si>
  <si>
    <t>F74945</t>
  </si>
  <si>
    <t>F74946</t>
  </si>
  <si>
    <t>F74947</t>
  </si>
  <si>
    <t>F74948</t>
  </si>
  <si>
    <t>kathakaranne na</t>
  </si>
  <si>
    <t>F74949</t>
  </si>
  <si>
    <t>F74950</t>
  </si>
  <si>
    <t>me welawalwalata clz thiyanawa ada join wela balannam</t>
  </si>
  <si>
    <t>F74951</t>
  </si>
  <si>
    <t>F74952</t>
  </si>
  <si>
    <t>F74953</t>
  </si>
  <si>
    <t>F74954</t>
  </si>
  <si>
    <t>puth ekk kth krl blnnm</t>
  </si>
  <si>
    <t>F74955</t>
  </si>
  <si>
    <t>F74956</t>
  </si>
  <si>
    <t>wife dala thiyenne eyata ganna kiyannam</t>
  </si>
  <si>
    <t>F74957</t>
  </si>
  <si>
    <t>F74958</t>
  </si>
  <si>
    <t>join una payment eka karanawa</t>
  </si>
  <si>
    <t>F74959</t>
  </si>
  <si>
    <t>F74960</t>
  </si>
  <si>
    <t>rec ewanna 9</t>
  </si>
  <si>
    <t>F74961</t>
  </si>
  <si>
    <t>school eke inne passe gannam</t>
  </si>
  <si>
    <t>F74962</t>
  </si>
  <si>
    <t>balala kiynnam time ne</t>
  </si>
  <si>
    <t>F74963</t>
  </si>
  <si>
    <t xml:space="preserve">iye join wenna bari una babata asanipa nisa recording </t>
  </si>
  <si>
    <t>F74964</t>
  </si>
  <si>
    <t>F74965</t>
  </si>
  <si>
    <t>F74966</t>
  </si>
  <si>
    <t>F74967</t>
  </si>
  <si>
    <t>F74968</t>
  </si>
  <si>
    <t>F74969</t>
  </si>
  <si>
    <t>F74970</t>
  </si>
  <si>
    <t>F74971</t>
  </si>
  <si>
    <t>F74972</t>
  </si>
  <si>
    <t>F74973</t>
  </si>
  <si>
    <t>F74974</t>
  </si>
  <si>
    <t>F74975</t>
  </si>
  <si>
    <t>F74976</t>
  </si>
  <si>
    <t>F74977</t>
  </si>
  <si>
    <t>F74978</t>
  </si>
  <si>
    <t>F74979</t>
  </si>
  <si>
    <t>F74980</t>
  </si>
  <si>
    <t>F74981</t>
  </si>
  <si>
    <t>F74982</t>
  </si>
  <si>
    <t>F74983</t>
  </si>
  <si>
    <t>F74984</t>
  </si>
  <si>
    <t>F74985</t>
  </si>
  <si>
    <t>F74986</t>
  </si>
  <si>
    <t>F74987</t>
  </si>
  <si>
    <t>F74988</t>
  </si>
  <si>
    <t>F74989</t>
  </si>
  <si>
    <t>F74990</t>
  </si>
  <si>
    <t>F74991</t>
  </si>
  <si>
    <t>F74992</t>
  </si>
  <si>
    <t>F74993</t>
  </si>
  <si>
    <t>daruwa awama gannam</t>
  </si>
  <si>
    <t>F74994</t>
  </si>
  <si>
    <t xml:space="preserve">cl ekak gannam ada eke link ekath danna </t>
  </si>
  <si>
    <t>F74995</t>
  </si>
  <si>
    <t>F74996</t>
  </si>
  <si>
    <t>F74997</t>
  </si>
  <si>
    <t>F74998</t>
  </si>
  <si>
    <t>F75000</t>
  </si>
  <si>
    <t>F74999</t>
  </si>
  <si>
    <t>F75001</t>
  </si>
  <si>
    <t>F75002</t>
  </si>
  <si>
    <t>F75003</t>
  </si>
  <si>
    <t>F75004</t>
  </si>
  <si>
    <t>F75005</t>
  </si>
  <si>
    <t>F75006</t>
  </si>
  <si>
    <t>F75008</t>
  </si>
  <si>
    <t>putha awam gnnm</t>
  </si>
  <si>
    <t>F75007</t>
  </si>
  <si>
    <t>duwa dala thiyenne ada link eka danna eka balala join wennam</t>
  </si>
  <si>
    <t>F75009</t>
  </si>
  <si>
    <t>F75010</t>
  </si>
  <si>
    <t>F75011</t>
  </si>
  <si>
    <t>F75012</t>
  </si>
  <si>
    <t>F75013</t>
  </si>
  <si>
    <t>F75014</t>
  </si>
  <si>
    <t>F75016</t>
  </si>
  <si>
    <t>F75015</t>
  </si>
  <si>
    <t>F75017</t>
  </si>
  <si>
    <t>F75018</t>
  </si>
  <si>
    <t>F75019</t>
  </si>
  <si>
    <t>F75020</t>
  </si>
  <si>
    <t>F75021</t>
  </si>
  <si>
    <t>F75025</t>
  </si>
  <si>
    <t>F75022</t>
  </si>
  <si>
    <t>F75023</t>
  </si>
  <si>
    <t>F75024</t>
  </si>
  <si>
    <t>F75026</t>
  </si>
  <si>
    <t>puthagen ahala kiynnm</t>
  </si>
  <si>
    <t>F75027</t>
  </si>
  <si>
    <t>F75028</t>
  </si>
  <si>
    <t>F75029</t>
  </si>
  <si>
    <t>F75030</t>
  </si>
  <si>
    <t>F75031</t>
  </si>
  <si>
    <t>F75032</t>
  </si>
  <si>
    <t>F75033</t>
  </si>
  <si>
    <t>F75034</t>
  </si>
  <si>
    <t>F75035</t>
  </si>
  <si>
    <t>F75036</t>
  </si>
  <si>
    <t>F75037</t>
  </si>
  <si>
    <t>F75038</t>
  </si>
  <si>
    <t>F75039</t>
  </si>
  <si>
    <t>F75040</t>
  </si>
  <si>
    <t>F75041</t>
  </si>
  <si>
    <t>F75042</t>
  </si>
  <si>
    <t>F75043</t>
  </si>
  <si>
    <t>F75044</t>
  </si>
  <si>
    <t>F75045</t>
  </si>
  <si>
    <t xml:space="preserve">kadeta awa passe gannm ehenne </t>
  </si>
  <si>
    <t>F75046</t>
  </si>
  <si>
    <t>F75047</t>
  </si>
  <si>
    <t>F75048</t>
  </si>
  <si>
    <t xml:space="preserve">ahala kiyannam hariyata </t>
  </si>
  <si>
    <t>putha avama gnnm</t>
  </si>
  <si>
    <t>F75049</t>
  </si>
  <si>
    <t>F75050</t>
  </si>
  <si>
    <t>putha awama ganna kiyannam</t>
  </si>
  <si>
    <t>F75051</t>
  </si>
  <si>
    <t>F75052</t>
  </si>
  <si>
    <t>dala thiyanna ada eka balala payment karannam</t>
  </si>
  <si>
    <t>F75053</t>
  </si>
  <si>
    <t>F75054</t>
  </si>
  <si>
    <t>tikkin gannam</t>
  </si>
  <si>
    <t>F75055</t>
  </si>
  <si>
    <t>F75058</t>
  </si>
  <si>
    <t>F75056</t>
  </si>
  <si>
    <t>school eke inne passe kathakarannam</t>
  </si>
  <si>
    <t>F75057</t>
  </si>
  <si>
    <t>F75059</t>
  </si>
  <si>
    <t>F75060</t>
  </si>
  <si>
    <t>passe gnnam</t>
  </si>
  <si>
    <t>F75061</t>
  </si>
  <si>
    <t>ada join wela balala kiyannam</t>
  </si>
  <si>
    <t>F75062</t>
  </si>
  <si>
    <t>F75063</t>
  </si>
  <si>
    <t>F75064</t>
  </si>
  <si>
    <t>F75065</t>
  </si>
  <si>
    <t>F75066</t>
  </si>
  <si>
    <t>F75067</t>
  </si>
  <si>
    <t>F75068</t>
  </si>
  <si>
    <t>tim be</t>
  </si>
  <si>
    <t>F75069</t>
  </si>
  <si>
    <t>F75070</t>
  </si>
  <si>
    <t>F75071</t>
  </si>
  <si>
    <t>F75072</t>
  </si>
  <si>
    <t>F75073</t>
  </si>
  <si>
    <t>F75074</t>
  </si>
  <si>
    <t>F75075</t>
  </si>
  <si>
    <t>F75076</t>
  </si>
  <si>
    <t>F75077</t>
  </si>
  <si>
    <t>F75078</t>
  </si>
  <si>
    <t>duv avm gnnm</t>
  </si>
  <si>
    <t>F75079</t>
  </si>
  <si>
    <t>recording eka balala join wennam</t>
  </si>
  <si>
    <t>F75080</t>
  </si>
  <si>
    <t>F75081</t>
  </si>
  <si>
    <t>F75082</t>
  </si>
  <si>
    <t>daruv avm blnnm</t>
  </si>
  <si>
    <t>F75083</t>
  </si>
  <si>
    <t>F75084</t>
  </si>
  <si>
    <t>F75085</t>
  </si>
  <si>
    <t>F75086</t>
  </si>
  <si>
    <t>F75087</t>
  </si>
  <si>
    <t>jamithiya class eke rec ek one iye class</t>
  </si>
  <si>
    <t>F75088</t>
  </si>
  <si>
    <t>F75089</t>
  </si>
  <si>
    <t>F75090</t>
  </si>
  <si>
    <t>F75091</t>
  </si>
  <si>
    <t>F75092</t>
  </si>
  <si>
    <t>F75093</t>
  </si>
  <si>
    <t>F75094</t>
  </si>
  <si>
    <t>F75095</t>
  </si>
  <si>
    <t>F75096</t>
  </si>
  <si>
    <t>F75097</t>
  </si>
  <si>
    <t>F75098</t>
  </si>
  <si>
    <t>F75099</t>
  </si>
  <si>
    <t>msg dnme nethilu</t>
  </si>
  <si>
    <t>F75100</t>
  </si>
  <si>
    <t xml:space="preserve">Waradila </t>
  </si>
  <si>
    <t>F75101</t>
  </si>
  <si>
    <t>F75103</t>
  </si>
  <si>
    <t>F75102</t>
  </si>
  <si>
    <t>F75104</t>
  </si>
  <si>
    <t>F75105</t>
  </si>
  <si>
    <t>F75106</t>
  </si>
  <si>
    <t>F75107</t>
  </si>
  <si>
    <t>F75108</t>
  </si>
  <si>
    <t>F75109</t>
  </si>
  <si>
    <t>F75110</t>
  </si>
  <si>
    <t>F75111</t>
  </si>
  <si>
    <t>F75112</t>
  </si>
  <si>
    <t>F75113</t>
  </si>
  <si>
    <t>e time ekt class thiyenwa</t>
  </si>
  <si>
    <t>F75114</t>
  </si>
  <si>
    <t>ada join wenna ba irida idan ennam payment karala</t>
  </si>
  <si>
    <t>F75115</t>
  </si>
  <si>
    <t>F75116</t>
  </si>
  <si>
    <t>payment eka karannam</t>
  </si>
  <si>
    <t>F75117</t>
  </si>
  <si>
    <t>F75118</t>
  </si>
  <si>
    <t>F75119</t>
  </si>
  <si>
    <t>balannam time prashna</t>
  </si>
  <si>
    <t>F75121</t>
  </si>
  <si>
    <t>F75120</t>
  </si>
  <si>
    <t>F75122</t>
  </si>
  <si>
    <t>F75123</t>
  </si>
  <si>
    <t>F75124</t>
  </si>
  <si>
    <t>F75125</t>
  </si>
  <si>
    <t>F75126</t>
  </si>
  <si>
    <t>F75127</t>
  </si>
  <si>
    <t>F75128</t>
  </si>
  <si>
    <t xml:space="preserve">english medium blnne </t>
  </si>
  <si>
    <t>F75129</t>
  </si>
  <si>
    <t>me time walt class enna be</t>
  </si>
  <si>
    <t>F75130</t>
  </si>
  <si>
    <t>payment eka kara recording ganna</t>
  </si>
  <si>
    <t>F75131</t>
  </si>
  <si>
    <t>F75132</t>
  </si>
  <si>
    <t>F75133</t>
  </si>
  <si>
    <t>ktha karanne</t>
  </si>
  <si>
    <t>F75134</t>
  </si>
  <si>
    <t>F75136</t>
  </si>
  <si>
    <t>F75135</t>
  </si>
  <si>
    <t>F75137</t>
  </si>
  <si>
    <t>F75138</t>
  </si>
  <si>
    <t>time ek thibunoth join wennm</t>
  </si>
  <si>
    <t xml:space="preserve">eng m </t>
  </si>
  <si>
    <t>F75139</t>
  </si>
  <si>
    <t>F75140</t>
  </si>
  <si>
    <t>ahrnne</t>
  </si>
  <si>
    <t>8,7</t>
  </si>
  <si>
    <t>F75141</t>
  </si>
  <si>
    <t>F75143</t>
  </si>
  <si>
    <t>F75142</t>
  </si>
  <si>
    <t>F75144</t>
  </si>
  <si>
    <t>F75145</t>
  </si>
  <si>
    <t>F75146</t>
  </si>
  <si>
    <t>F75147</t>
  </si>
  <si>
    <t>F75148</t>
  </si>
  <si>
    <t>F75149</t>
  </si>
  <si>
    <t>F75150</t>
  </si>
  <si>
    <t>F75151</t>
  </si>
  <si>
    <t>F75152</t>
  </si>
  <si>
    <t>F75153</t>
  </si>
  <si>
    <t>danata inne 5 wasare</t>
  </si>
  <si>
    <t>F75154</t>
  </si>
  <si>
    <t>F75155</t>
  </si>
  <si>
    <t>F75160</t>
  </si>
  <si>
    <t>F75156</t>
  </si>
  <si>
    <t>verdillu</t>
  </si>
  <si>
    <t>F75157</t>
  </si>
  <si>
    <t>F75158</t>
  </si>
  <si>
    <t>F75159</t>
  </si>
  <si>
    <t>online clz inne na putha</t>
  </si>
  <si>
    <t>F75161</t>
  </si>
  <si>
    <t>F75162</t>
  </si>
  <si>
    <t>F75163</t>
  </si>
  <si>
    <t>F75164</t>
  </si>
  <si>
    <t>F75166</t>
  </si>
  <si>
    <t>F75167</t>
  </si>
  <si>
    <t>F75168</t>
  </si>
  <si>
    <t>labana awrudde idan ennam</t>
  </si>
  <si>
    <t>F75169</t>
  </si>
  <si>
    <t>F75170</t>
  </si>
  <si>
    <t>scool eke inne passe gnnm</t>
  </si>
  <si>
    <t>F75171</t>
  </si>
  <si>
    <t>F75172</t>
  </si>
  <si>
    <t xml:space="preserve">me welawe busy </t>
  </si>
  <si>
    <t>F75173</t>
  </si>
  <si>
    <t>F75174</t>
  </si>
  <si>
    <t>F75175</t>
  </si>
  <si>
    <t>F75176</t>
  </si>
  <si>
    <t>F75177</t>
  </si>
  <si>
    <t>F75178</t>
  </si>
  <si>
    <t>F75180</t>
  </si>
  <si>
    <t>F75179</t>
  </si>
  <si>
    <t>F75181</t>
  </si>
  <si>
    <t>F75182</t>
  </si>
  <si>
    <t>F75183</t>
  </si>
  <si>
    <t>payment karala join wennam</t>
  </si>
  <si>
    <t>F75184</t>
  </si>
  <si>
    <t>F75185</t>
  </si>
  <si>
    <t>F75186</t>
  </si>
  <si>
    <t>F75187</t>
  </si>
  <si>
    <t>putha awama kathakarannam</t>
  </si>
  <si>
    <t>F75188</t>
  </si>
  <si>
    <t>F75189</t>
  </si>
  <si>
    <t>F75190</t>
  </si>
  <si>
    <t>F75191</t>
  </si>
  <si>
    <t>F75192</t>
  </si>
  <si>
    <t>F75193</t>
  </si>
  <si>
    <t>e me</t>
  </si>
  <si>
    <t>F75194</t>
  </si>
  <si>
    <t>F75195</t>
  </si>
  <si>
    <t>wisthara danna ada eka balala payment karannam</t>
  </si>
  <si>
    <t>F75196</t>
  </si>
  <si>
    <t>F75198</t>
  </si>
  <si>
    <t>psse gnnm dn kth kranna be</t>
  </si>
  <si>
    <t>F75197</t>
  </si>
  <si>
    <t>F75199</t>
  </si>
  <si>
    <t>F75200</t>
  </si>
  <si>
    <t>F75201</t>
  </si>
  <si>
    <t>F75202</t>
  </si>
  <si>
    <t>wen nu 1 j wnne</t>
  </si>
  <si>
    <t>F75203</t>
  </si>
  <si>
    <t>F75204</t>
  </si>
  <si>
    <t>baba awama pennannam eya na dn</t>
  </si>
  <si>
    <t>F75206</t>
  </si>
  <si>
    <t>F75205</t>
  </si>
  <si>
    <t>Gedra gihin gnnm</t>
  </si>
  <si>
    <t>F75207</t>
  </si>
  <si>
    <t>F75208</t>
  </si>
  <si>
    <t>F75209</t>
  </si>
  <si>
    <t>F75210</t>
  </si>
  <si>
    <t>F75211</t>
  </si>
  <si>
    <t>F75212</t>
  </si>
  <si>
    <t>weradila msg eka awe</t>
  </si>
  <si>
    <t>F75213</t>
  </si>
  <si>
    <t>F75214</t>
  </si>
  <si>
    <t>payment karala inne recording ganna</t>
  </si>
  <si>
    <t>F75215</t>
  </si>
  <si>
    <t>F75216</t>
  </si>
  <si>
    <t>F75217</t>
  </si>
  <si>
    <t>F75218</t>
  </si>
  <si>
    <t>F75219</t>
  </si>
  <si>
    <t>F75220</t>
  </si>
  <si>
    <t>F75221</t>
  </si>
  <si>
    <t>keti prashna pothata payment kara</t>
  </si>
  <si>
    <t>F75222</t>
  </si>
  <si>
    <t>F75223</t>
  </si>
  <si>
    <t>F75224</t>
  </si>
  <si>
    <t>F75225</t>
  </si>
  <si>
    <t>F75226</t>
  </si>
  <si>
    <t>F75227</t>
  </si>
  <si>
    <t>F75228</t>
  </si>
  <si>
    <t>F75229</t>
  </si>
  <si>
    <t>F75230</t>
  </si>
  <si>
    <t>passe kth krnnm hospitel eke inne</t>
  </si>
  <si>
    <t>F75231</t>
  </si>
  <si>
    <t>F75232</t>
  </si>
  <si>
    <t>F75233</t>
  </si>
  <si>
    <t>F75234</t>
  </si>
  <si>
    <t>F75235</t>
  </si>
  <si>
    <t>wisthara dala thiyanna cut kara</t>
  </si>
  <si>
    <t>F75236</t>
  </si>
  <si>
    <t>6,7</t>
  </si>
  <si>
    <t>F75237</t>
  </si>
  <si>
    <t>F75238</t>
  </si>
  <si>
    <t>F75239</t>
  </si>
  <si>
    <t>F75240</t>
  </si>
  <si>
    <t>F75241</t>
  </si>
  <si>
    <t>F75242</t>
  </si>
  <si>
    <t>F75243</t>
  </si>
  <si>
    <t>F75244</t>
  </si>
  <si>
    <t>F75245</t>
  </si>
  <si>
    <t>F75246</t>
  </si>
  <si>
    <t>F75247</t>
  </si>
  <si>
    <t>F75248</t>
  </si>
  <si>
    <t>F75249</t>
  </si>
  <si>
    <t>F75250</t>
  </si>
  <si>
    <t>F75251</t>
  </si>
  <si>
    <t>F75255</t>
  </si>
  <si>
    <t>F75252</t>
  </si>
  <si>
    <t>F75253</t>
  </si>
  <si>
    <t>F75254</t>
  </si>
  <si>
    <t>F75256</t>
  </si>
  <si>
    <t>F75257</t>
  </si>
  <si>
    <t>F75258</t>
  </si>
  <si>
    <t>duwata wena clz ekak thiyanawa e welawata balannam</t>
  </si>
  <si>
    <t>F75259</t>
  </si>
  <si>
    <t>F75260</t>
  </si>
  <si>
    <t>F75261</t>
  </si>
  <si>
    <t>F75262</t>
  </si>
  <si>
    <t>F75263</t>
  </si>
  <si>
    <t>F75264</t>
  </si>
  <si>
    <t>wisthara danna busy me welawe</t>
  </si>
  <si>
    <t>F75265</t>
  </si>
  <si>
    <t>F75266</t>
  </si>
  <si>
    <t>F75267</t>
  </si>
  <si>
    <t>F75268</t>
  </si>
  <si>
    <t>F75269</t>
  </si>
  <si>
    <t>F75270</t>
  </si>
  <si>
    <t>F75276</t>
  </si>
  <si>
    <t>F75271</t>
  </si>
  <si>
    <t>F75272</t>
  </si>
  <si>
    <t>F75273</t>
  </si>
  <si>
    <t>F75274</t>
  </si>
  <si>
    <t>F75275</t>
  </si>
  <si>
    <t>F75277</t>
  </si>
  <si>
    <t>F75278</t>
  </si>
  <si>
    <t>F75279</t>
  </si>
  <si>
    <t>F75280</t>
  </si>
  <si>
    <t>F75281</t>
  </si>
  <si>
    <t>F75283</t>
  </si>
  <si>
    <t>eng m karanne recording eka dala thiyannako balanna</t>
  </si>
  <si>
    <t>F75282</t>
  </si>
  <si>
    <t>F75284</t>
  </si>
  <si>
    <t>F75285</t>
  </si>
  <si>
    <t>F75286</t>
  </si>
  <si>
    <t>F75287</t>
  </si>
  <si>
    <t>wen nu 1 join wnne</t>
  </si>
  <si>
    <t>F75288</t>
  </si>
  <si>
    <t>scl eke inne psse gannam</t>
  </si>
  <si>
    <t>F75289</t>
  </si>
  <si>
    <t>payment karannam awith wisthara danna</t>
  </si>
  <si>
    <t>F75290</t>
  </si>
  <si>
    <t>F75292</t>
  </si>
  <si>
    <t>F75291</t>
  </si>
  <si>
    <t>F75297</t>
  </si>
  <si>
    <t>F75293</t>
  </si>
  <si>
    <t>F75294</t>
  </si>
  <si>
    <t>F75295</t>
  </si>
  <si>
    <t>F75296</t>
  </si>
  <si>
    <t>F75298</t>
  </si>
  <si>
    <t>F75299</t>
  </si>
  <si>
    <t>F75300</t>
  </si>
  <si>
    <t>F75301</t>
  </si>
  <si>
    <t>F75302</t>
  </si>
  <si>
    <t>F75306</t>
  </si>
  <si>
    <t>F75303</t>
  </si>
  <si>
    <t>F75304</t>
  </si>
  <si>
    <t>F75305</t>
  </si>
  <si>
    <t>F75308</t>
  </si>
  <si>
    <t>F75307</t>
  </si>
  <si>
    <t>F75309</t>
  </si>
  <si>
    <t>F75310</t>
  </si>
  <si>
    <t>F75311</t>
  </si>
  <si>
    <t>amma na kathakaranna</t>
  </si>
  <si>
    <t>F75312</t>
  </si>
  <si>
    <t>F75314</t>
  </si>
  <si>
    <t>F75316</t>
  </si>
  <si>
    <t>wifegen ahl gnnm</t>
  </si>
  <si>
    <t>F75313</t>
  </si>
  <si>
    <t>F75315</t>
  </si>
  <si>
    <t>F75317</t>
  </si>
  <si>
    <t>F75318</t>
  </si>
  <si>
    <t>F75319</t>
  </si>
  <si>
    <t>F75320</t>
  </si>
  <si>
    <t>F75321</t>
  </si>
  <si>
    <t>F75323</t>
  </si>
  <si>
    <t>F75322</t>
  </si>
  <si>
    <t>wisthara danna</t>
  </si>
  <si>
    <t>F75324</t>
  </si>
  <si>
    <t>F75325</t>
  </si>
  <si>
    <t>F75326</t>
  </si>
  <si>
    <t>F75327</t>
  </si>
  <si>
    <t>F75328</t>
  </si>
  <si>
    <t>F75329</t>
  </si>
  <si>
    <t>F75330</t>
  </si>
  <si>
    <t xml:space="preserve">eng </t>
  </si>
  <si>
    <t>F75331</t>
  </si>
  <si>
    <t>F75332</t>
  </si>
  <si>
    <t>F75333</t>
  </si>
  <si>
    <t>F77918</t>
  </si>
  <si>
    <t>F75334</t>
  </si>
  <si>
    <t>F75335</t>
  </si>
  <si>
    <t>F75336</t>
  </si>
  <si>
    <t>F75337</t>
  </si>
  <si>
    <t>F75338</t>
  </si>
  <si>
    <t>F75339</t>
  </si>
  <si>
    <t>F75340</t>
  </si>
  <si>
    <t>F75341</t>
  </si>
  <si>
    <t>F75342</t>
  </si>
  <si>
    <t>F75343</t>
  </si>
  <si>
    <t>F75344</t>
  </si>
  <si>
    <t>F75345</t>
  </si>
  <si>
    <t>F75346</t>
  </si>
  <si>
    <t>F75348</t>
  </si>
  <si>
    <t>F75347</t>
  </si>
  <si>
    <t xml:space="preserve">psse gannam </t>
  </si>
  <si>
    <t>F75349</t>
  </si>
  <si>
    <t>F75350</t>
  </si>
  <si>
    <t>F75351</t>
  </si>
  <si>
    <t>F75352</t>
  </si>
  <si>
    <t>F75353</t>
  </si>
  <si>
    <t>F75354</t>
  </si>
  <si>
    <t>F75355</t>
  </si>
  <si>
    <t>F75356</t>
  </si>
  <si>
    <t>F75357</t>
  </si>
  <si>
    <t>F75358</t>
  </si>
  <si>
    <t>F75359</t>
  </si>
  <si>
    <t>e time ekt wena class ekk thiynw</t>
  </si>
  <si>
    <t>F75360</t>
  </si>
  <si>
    <t>F75361</t>
  </si>
  <si>
    <t>F75362</t>
  </si>
  <si>
    <t>F75363</t>
  </si>
  <si>
    <t>F75364</t>
  </si>
  <si>
    <t>F75365</t>
  </si>
  <si>
    <t>F75366</t>
  </si>
  <si>
    <t>F75367</t>
  </si>
  <si>
    <t>F75369</t>
  </si>
  <si>
    <t>F75368</t>
  </si>
  <si>
    <t>F75370</t>
  </si>
  <si>
    <t>F75372</t>
  </si>
  <si>
    <t>F75371</t>
  </si>
  <si>
    <t>F75373</t>
  </si>
  <si>
    <t>F75374</t>
  </si>
  <si>
    <t>F75375</t>
  </si>
  <si>
    <t>amma awama gannam</t>
  </si>
  <si>
    <t>F75376</t>
  </si>
  <si>
    <t>F75377</t>
  </si>
  <si>
    <t>F75378</t>
  </si>
  <si>
    <t>F75380</t>
  </si>
  <si>
    <t>F75379</t>
  </si>
  <si>
    <t>drive karana gaman hawasa ganna</t>
  </si>
  <si>
    <t>F75381</t>
  </si>
  <si>
    <t>F75382</t>
  </si>
  <si>
    <t>F75383</t>
  </si>
  <si>
    <t>F75385</t>
  </si>
  <si>
    <t>F75384</t>
  </si>
  <si>
    <t>F75386</t>
  </si>
  <si>
    <t>F75387</t>
  </si>
  <si>
    <t>F75388</t>
  </si>
  <si>
    <t>F75389</t>
  </si>
  <si>
    <t>F75390</t>
  </si>
  <si>
    <t>F75391</t>
  </si>
  <si>
    <t>F75392</t>
  </si>
  <si>
    <t>F75393</t>
  </si>
  <si>
    <t xml:space="preserve">eng..ehema hriyanne na  </t>
  </si>
  <si>
    <t>F75398</t>
  </si>
  <si>
    <t>F75394</t>
  </si>
  <si>
    <t>F75395</t>
  </si>
  <si>
    <t>F75396</t>
  </si>
  <si>
    <t>F75397</t>
  </si>
  <si>
    <t>F75399</t>
  </si>
  <si>
    <t>kathakaranne na cut kara</t>
  </si>
  <si>
    <t>F75400</t>
  </si>
  <si>
    <t>F75401</t>
  </si>
  <si>
    <t>F75402</t>
  </si>
  <si>
    <t>F75403</t>
  </si>
  <si>
    <t>e time ekt class thiynw</t>
  </si>
  <si>
    <t>F75404</t>
  </si>
  <si>
    <t>F75405</t>
  </si>
  <si>
    <t>F75406</t>
  </si>
  <si>
    <t>F75407</t>
  </si>
  <si>
    <t>eliye inne class gena danne gdrin ahl kiynnm</t>
  </si>
  <si>
    <t>F75408</t>
  </si>
  <si>
    <t>F75409</t>
  </si>
  <si>
    <t>F75410</t>
  </si>
  <si>
    <t>next year 6</t>
  </si>
  <si>
    <t>F75411</t>
  </si>
  <si>
    <t>F75412</t>
  </si>
  <si>
    <t>2027 class</t>
  </si>
  <si>
    <t>F75414</t>
  </si>
  <si>
    <t>F75413</t>
  </si>
  <si>
    <t>F75415</t>
  </si>
  <si>
    <t>F75416</t>
  </si>
  <si>
    <t>F75417</t>
  </si>
  <si>
    <t>F75418</t>
  </si>
  <si>
    <t>F75419</t>
  </si>
  <si>
    <t>F75420</t>
  </si>
  <si>
    <t>F75421</t>
  </si>
  <si>
    <t>F75422</t>
  </si>
  <si>
    <t>F75423</t>
  </si>
  <si>
    <t>F75424</t>
  </si>
  <si>
    <t>F75425</t>
  </si>
  <si>
    <t>F75426</t>
  </si>
  <si>
    <t>F75427</t>
  </si>
  <si>
    <t>F75428</t>
  </si>
  <si>
    <t>F75429</t>
  </si>
  <si>
    <t>time prsn</t>
  </si>
  <si>
    <t>F75430</t>
  </si>
  <si>
    <t>F75431</t>
  </si>
  <si>
    <t>F75432</t>
  </si>
  <si>
    <t xml:space="preserve">time prashna </t>
  </si>
  <si>
    <t>F75433</t>
  </si>
  <si>
    <t>F75434</t>
  </si>
  <si>
    <t>F75435</t>
  </si>
  <si>
    <t>F75439</t>
  </si>
  <si>
    <t>kth ne</t>
  </si>
  <si>
    <t>F75436</t>
  </si>
  <si>
    <t>duwa gedara na dn awama gannam</t>
  </si>
  <si>
    <t>F75437</t>
  </si>
  <si>
    <t>F75438</t>
  </si>
  <si>
    <t>F75440</t>
  </si>
  <si>
    <t>F75441</t>
  </si>
  <si>
    <t>F75442</t>
  </si>
  <si>
    <t>F75443</t>
  </si>
  <si>
    <t>F75444</t>
  </si>
  <si>
    <t>F75445</t>
  </si>
  <si>
    <t>F75446</t>
  </si>
  <si>
    <t>F75447</t>
  </si>
  <si>
    <t>F75448</t>
  </si>
  <si>
    <t>F75449</t>
  </si>
  <si>
    <t>veradil</t>
  </si>
  <si>
    <t>F75450</t>
  </si>
  <si>
    <t>F75451</t>
  </si>
  <si>
    <t>F75452</t>
  </si>
  <si>
    <t>F75453</t>
  </si>
  <si>
    <t>F75454</t>
  </si>
  <si>
    <t>F75457</t>
  </si>
  <si>
    <t>F75455</t>
  </si>
  <si>
    <t>F75456</t>
  </si>
  <si>
    <t>F75458</t>
  </si>
  <si>
    <t>F75459</t>
  </si>
  <si>
    <t>F75460</t>
  </si>
  <si>
    <t>F75461</t>
  </si>
  <si>
    <t>F75462</t>
  </si>
  <si>
    <t>F75463</t>
  </si>
  <si>
    <t>F75464</t>
  </si>
  <si>
    <t>F75465</t>
  </si>
  <si>
    <t>F75466</t>
  </si>
  <si>
    <t>F75467</t>
  </si>
  <si>
    <t>F75468</t>
  </si>
  <si>
    <t xml:space="preserve">                                                                                                                                                                                                                 </t>
  </si>
  <si>
    <t>F75469</t>
  </si>
  <si>
    <t>F75471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</si>
  <si>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</si>
  <si>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>F75472</t>
  </si>
  <si>
    <t>F75473</t>
  </si>
  <si>
    <t>gedara aya ekka kathakaranna oni wisthara danna</t>
  </si>
  <si>
    <t>F75474</t>
  </si>
  <si>
    <t>F75475</t>
  </si>
  <si>
    <t>F75476</t>
  </si>
  <si>
    <t>F75477</t>
  </si>
  <si>
    <t>F75478</t>
  </si>
  <si>
    <t>F75479</t>
  </si>
  <si>
    <t>F75480</t>
  </si>
  <si>
    <t>F75481</t>
  </si>
  <si>
    <t>F75484</t>
  </si>
  <si>
    <t>F75483</t>
  </si>
  <si>
    <t>F75485</t>
  </si>
  <si>
    <t>F75486</t>
  </si>
  <si>
    <t>F75487</t>
  </si>
  <si>
    <t>F75491</t>
  </si>
  <si>
    <t>F75488</t>
  </si>
  <si>
    <t>F75489</t>
  </si>
  <si>
    <t>F75504</t>
  </si>
  <si>
    <t>F75490</t>
  </si>
  <si>
    <t>F75492</t>
  </si>
  <si>
    <t>F75493</t>
  </si>
  <si>
    <t>F75494</t>
  </si>
  <si>
    <t>ct kr</t>
  </si>
  <si>
    <t>F75495</t>
  </si>
  <si>
    <t>F75496</t>
  </si>
  <si>
    <t>F75497</t>
  </si>
  <si>
    <t>F75498</t>
  </si>
  <si>
    <t>F75499</t>
  </si>
  <si>
    <t>F75500</t>
  </si>
  <si>
    <t>F75502</t>
  </si>
  <si>
    <t>F75501</t>
  </si>
  <si>
    <t>F75503</t>
  </si>
  <si>
    <t>F75505</t>
  </si>
  <si>
    <t>F75506</t>
  </si>
  <si>
    <t>F75507</t>
  </si>
  <si>
    <t>F75508</t>
  </si>
  <si>
    <t>F75509</t>
  </si>
  <si>
    <t>F75510</t>
  </si>
  <si>
    <t>F75511</t>
  </si>
  <si>
    <t>F75512</t>
  </si>
  <si>
    <t>F75513</t>
  </si>
  <si>
    <t>F75514</t>
  </si>
  <si>
    <t>F75516</t>
  </si>
  <si>
    <t>F75515</t>
  </si>
  <si>
    <t>F75517</t>
  </si>
  <si>
    <t>F75518</t>
  </si>
  <si>
    <t>F75519</t>
  </si>
  <si>
    <t>F75520</t>
  </si>
  <si>
    <t>F75521</t>
  </si>
  <si>
    <t>F75522</t>
  </si>
  <si>
    <t>group eke innwa recording eka balala ennam</t>
  </si>
  <si>
    <t>F75523</t>
  </si>
  <si>
    <t>F75524</t>
  </si>
  <si>
    <t>F75525</t>
  </si>
  <si>
    <t>F75526</t>
  </si>
  <si>
    <t>F75527</t>
  </si>
  <si>
    <t>F75528</t>
  </si>
  <si>
    <t>F75529</t>
  </si>
  <si>
    <t>F75530</t>
  </si>
  <si>
    <t>F75531</t>
  </si>
  <si>
    <t>F75532</t>
  </si>
  <si>
    <t>F75533</t>
  </si>
  <si>
    <t>F75534</t>
  </si>
  <si>
    <t>F75535</t>
  </si>
  <si>
    <t>F75536</t>
  </si>
  <si>
    <t>F75537</t>
  </si>
  <si>
    <t>F75538</t>
  </si>
  <si>
    <t>F75539</t>
  </si>
  <si>
    <t>F75540</t>
  </si>
  <si>
    <t>F75541</t>
  </si>
  <si>
    <t>F75542</t>
  </si>
  <si>
    <t>F75543</t>
  </si>
  <si>
    <t>F75544</t>
  </si>
  <si>
    <t>amma gedara na</t>
  </si>
  <si>
    <t>F75545</t>
  </si>
  <si>
    <t>F75546</t>
  </si>
  <si>
    <t>F75547</t>
  </si>
  <si>
    <t>F75548</t>
  </si>
  <si>
    <t>F75549</t>
  </si>
  <si>
    <t>F75550</t>
  </si>
  <si>
    <t>F75551</t>
  </si>
  <si>
    <t>labana awrudde idan join wena kenek</t>
  </si>
  <si>
    <t>F75552</t>
  </si>
  <si>
    <t>wrong nu</t>
  </si>
  <si>
    <t>F75553</t>
  </si>
  <si>
    <t>F75554</t>
  </si>
  <si>
    <t>F75555</t>
  </si>
  <si>
    <t>F75556</t>
  </si>
  <si>
    <t xml:space="preserve">duwata clz thiyanawa </t>
  </si>
  <si>
    <t>F75557</t>
  </si>
  <si>
    <t>F75558</t>
  </si>
  <si>
    <t>F75559</t>
  </si>
  <si>
    <t>F75560</t>
  </si>
  <si>
    <t>F75561</t>
  </si>
  <si>
    <t>F75562</t>
  </si>
  <si>
    <t>F75563</t>
  </si>
  <si>
    <t>puth avm gnnm</t>
  </si>
  <si>
    <t>F75564</t>
  </si>
  <si>
    <t>F75565</t>
  </si>
  <si>
    <t>F75566</t>
  </si>
  <si>
    <t>F75567</t>
  </si>
  <si>
    <t>F75568</t>
  </si>
  <si>
    <t>F75569</t>
  </si>
  <si>
    <t>F75570</t>
  </si>
  <si>
    <t>F75571</t>
  </si>
  <si>
    <t>F75572</t>
  </si>
  <si>
    <t>F75573</t>
  </si>
  <si>
    <t>F75574</t>
  </si>
  <si>
    <t>F75575</t>
  </si>
  <si>
    <t>F75576</t>
  </si>
  <si>
    <t>F75577</t>
  </si>
  <si>
    <t>eng recording eka dannako</t>
  </si>
  <si>
    <t>F75578</t>
  </si>
  <si>
    <t>F75579</t>
  </si>
  <si>
    <t>F75580</t>
  </si>
  <si>
    <t>physical beluwe</t>
  </si>
  <si>
    <t>F75581</t>
  </si>
  <si>
    <t>F75582</t>
  </si>
  <si>
    <t>F75583</t>
  </si>
  <si>
    <t>e time walt class thiyenwa</t>
  </si>
  <si>
    <t>F75584</t>
  </si>
  <si>
    <t>F75585</t>
  </si>
  <si>
    <t>F75586</t>
  </si>
  <si>
    <t>F75587</t>
  </si>
  <si>
    <t>15min gannm</t>
  </si>
  <si>
    <t>F75588</t>
  </si>
  <si>
    <t>F75589</t>
  </si>
  <si>
    <t>F75590</t>
  </si>
  <si>
    <t>F75591</t>
  </si>
  <si>
    <t>F75592</t>
  </si>
  <si>
    <t>F75593</t>
  </si>
  <si>
    <t>F75594</t>
  </si>
  <si>
    <t>F75595</t>
  </si>
  <si>
    <t>wisthara dala thiyanna busy</t>
  </si>
  <si>
    <t>F75596</t>
  </si>
  <si>
    <t>F75597</t>
  </si>
  <si>
    <t>F75598</t>
  </si>
  <si>
    <t>physicle</t>
  </si>
  <si>
    <t>F75599</t>
  </si>
  <si>
    <t>details hambuna recording danna</t>
  </si>
  <si>
    <t>F75600</t>
  </si>
  <si>
    <t>F75601</t>
  </si>
  <si>
    <t>F75602</t>
  </si>
  <si>
    <t>F75603</t>
  </si>
  <si>
    <t>eng kranne balannam</t>
  </si>
  <si>
    <t>F75605</t>
  </si>
  <si>
    <t>F75604</t>
  </si>
  <si>
    <t>F75606</t>
  </si>
  <si>
    <t>payment karanna inne</t>
  </si>
  <si>
    <t>F75607</t>
  </si>
  <si>
    <t>F75608</t>
  </si>
  <si>
    <t>F75609</t>
  </si>
  <si>
    <t>F75610</t>
  </si>
  <si>
    <t>F75611</t>
  </si>
  <si>
    <t>F75612</t>
  </si>
  <si>
    <t>F75613</t>
  </si>
  <si>
    <t>wen clz 1 ynw</t>
  </si>
  <si>
    <t>F75614</t>
  </si>
  <si>
    <t>F75615</t>
  </si>
  <si>
    <t>F75616</t>
  </si>
  <si>
    <t>F75617</t>
  </si>
  <si>
    <t>F75618</t>
  </si>
  <si>
    <t>F75619</t>
  </si>
  <si>
    <t>F75620</t>
  </si>
  <si>
    <t>F75621</t>
  </si>
  <si>
    <t>F75622</t>
  </si>
  <si>
    <t>F75623</t>
  </si>
  <si>
    <t>F75624</t>
  </si>
  <si>
    <t>F75625</t>
  </si>
  <si>
    <t>F75626</t>
  </si>
  <si>
    <t>F75627</t>
  </si>
  <si>
    <t xml:space="preserve">eng m krnne wradila dmme </t>
  </si>
  <si>
    <t>F75628</t>
  </si>
  <si>
    <t>F75629</t>
  </si>
  <si>
    <t>F75630</t>
  </si>
  <si>
    <t>potha</t>
  </si>
  <si>
    <t>F75631</t>
  </si>
  <si>
    <t>F75632</t>
  </si>
  <si>
    <t>F75633</t>
  </si>
  <si>
    <t>F75634</t>
  </si>
  <si>
    <t>F75635</t>
  </si>
  <si>
    <t>F75636</t>
  </si>
  <si>
    <t>F75637</t>
  </si>
  <si>
    <t>F75639</t>
  </si>
  <si>
    <t>Physical baluwe</t>
  </si>
  <si>
    <t>F75638</t>
  </si>
  <si>
    <t>F75640</t>
  </si>
  <si>
    <t>F75641</t>
  </si>
  <si>
    <t>F75642</t>
  </si>
  <si>
    <t>F75643</t>
  </si>
  <si>
    <t>76 800 2160</t>
  </si>
  <si>
    <t>F75644</t>
  </si>
  <si>
    <t xml:space="preserve">payment karapu knek </t>
  </si>
  <si>
    <t>76 388 4546</t>
  </si>
  <si>
    <t>F75645</t>
  </si>
  <si>
    <t>76 358 7157</t>
  </si>
  <si>
    <t>class enn venne</t>
  </si>
  <si>
    <t>76 691 3988</t>
  </si>
  <si>
    <t>F75646</t>
  </si>
  <si>
    <t>76 888 7554</t>
  </si>
  <si>
    <t>F75647</t>
  </si>
  <si>
    <t xml:space="preserve"> 74 302 0542</t>
  </si>
  <si>
    <t>F75648</t>
  </si>
  <si>
    <t>70 257 3739</t>
  </si>
  <si>
    <t>F75649</t>
  </si>
  <si>
    <t>details danna</t>
  </si>
  <si>
    <t>78 586 2112</t>
  </si>
  <si>
    <t>F75650</t>
  </si>
  <si>
    <t>wisthr dnn</t>
  </si>
  <si>
    <t>74 208 0866</t>
  </si>
  <si>
    <t>F75651</t>
  </si>
  <si>
    <t xml:space="preserve"> 78 927 9504</t>
  </si>
  <si>
    <t>F75652</t>
  </si>
  <si>
    <t>70 194 3472</t>
  </si>
  <si>
    <t>F75653</t>
  </si>
  <si>
    <t>77 960 9871</t>
  </si>
  <si>
    <t>F75654</t>
  </si>
  <si>
    <t>77 469 5011</t>
  </si>
  <si>
    <t>F75655</t>
  </si>
  <si>
    <t>77 465 4503</t>
  </si>
  <si>
    <t>F75656</t>
  </si>
  <si>
    <t>76 031 2264</t>
  </si>
  <si>
    <t>72 062 0108</t>
  </si>
  <si>
    <t>76 827 9044</t>
  </si>
  <si>
    <t>F75657</t>
  </si>
  <si>
    <t>70 130 8230</t>
  </si>
  <si>
    <t>F75658</t>
  </si>
  <si>
    <t>76 828 2363</t>
  </si>
  <si>
    <t>F75659</t>
  </si>
  <si>
    <t>77 055 3363</t>
  </si>
  <si>
    <t>F75660</t>
  </si>
  <si>
    <t>7,8</t>
  </si>
  <si>
    <t>77 672 6544</t>
  </si>
  <si>
    <t>F75661</t>
  </si>
  <si>
    <t>76 867 3841</t>
  </si>
  <si>
    <t>F75662</t>
  </si>
  <si>
    <t>77 417 2976</t>
  </si>
  <si>
    <t>F75663</t>
  </si>
  <si>
    <t>74 257 6797</t>
  </si>
  <si>
    <t>F75664</t>
  </si>
  <si>
    <t>71 151 0973</t>
  </si>
  <si>
    <t>F75665</t>
  </si>
  <si>
    <t>71 628 2237</t>
  </si>
  <si>
    <t>F75666</t>
  </si>
  <si>
    <t>76 608 6291</t>
  </si>
  <si>
    <t>F75667</t>
  </si>
  <si>
    <t>class walt join wenwa</t>
  </si>
  <si>
    <t>77 485 0390</t>
  </si>
  <si>
    <t>F75668</t>
  </si>
  <si>
    <t>72 841 6579</t>
  </si>
  <si>
    <t>F75669</t>
  </si>
  <si>
    <t>76 738 1187</t>
  </si>
  <si>
    <t>F75670</t>
  </si>
  <si>
    <t>76 436 5808</t>
  </si>
  <si>
    <t>F75671</t>
  </si>
  <si>
    <t>71 974 0480</t>
  </si>
  <si>
    <t>F75672</t>
  </si>
  <si>
    <t>76 719 6494</t>
  </si>
  <si>
    <t>F75673</t>
  </si>
  <si>
    <t>wistra danna</t>
  </si>
  <si>
    <t>76 413 4507</t>
  </si>
  <si>
    <t>F75674</t>
  </si>
  <si>
    <t>76 130 9594</t>
  </si>
  <si>
    <t>F75675</t>
  </si>
  <si>
    <t>77 802 3380</t>
  </si>
  <si>
    <t>F75676</t>
  </si>
  <si>
    <t>77 066 5284</t>
  </si>
  <si>
    <t>F75677</t>
  </si>
  <si>
    <t>class join wel</t>
  </si>
  <si>
    <t>75 563 4468</t>
  </si>
  <si>
    <t>F75678</t>
  </si>
  <si>
    <t>76 627 0571</t>
  </si>
  <si>
    <t>F75679</t>
  </si>
  <si>
    <t>76 886 4711</t>
  </si>
  <si>
    <t>F75680</t>
  </si>
  <si>
    <t>74 282 3648</t>
  </si>
  <si>
    <t>F75681</t>
  </si>
  <si>
    <t>visthr dnn</t>
  </si>
  <si>
    <t>78 613 0267</t>
  </si>
  <si>
    <t>F75682</t>
  </si>
  <si>
    <t xml:space="preserve"> 71 477 7544</t>
  </si>
  <si>
    <t>F75683</t>
  </si>
  <si>
    <t>visthra dnn</t>
  </si>
  <si>
    <t>76 124 6200</t>
  </si>
  <si>
    <t>F75684</t>
  </si>
  <si>
    <t>76 549 3380</t>
  </si>
  <si>
    <t>F75685</t>
  </si>
  <si>
    <t xml:space="preserve">712269930 wd </t>
  </si>
  <si>
    <t>74 270 6328</t>
  </si>
  <si>
    <t>F75686</t>
  </si>
  <si>
    <t xml:space="preserve">wisthara danna </t>
  </si>
  <si>
    <t>74 002 2732</t>
  </si>
  <si>
    <t>F75687</t>
  </si>
  <si>
    <t>78 577 8681</t>
  </si>
  <si>
    <t xml:space="preserve">wisthara whatsapp kranna </t>
  </si>
  <si>
    <t xml:space="preserve"> 76 336 7565</t>
  </si>
  <si>
    <t>F75688</t>
  </si>
  <si>
    <t>join vel</t>
  </si>
  <si>
    <t xml:space="preserve"> 76 965 7646</t>
  </si>
  <si>
    <t>f44444</t>
  </si>
  <si>
    <t xml:space="preserve"> 77 869 0150</t>
  </si>
  <si>
    <t>F75689</t>
  </si>
  <si>
    <t>70 495 3873</t>
  </si>
  <si>
    <t>F75690</t>
  </si>
  <si>
    <t>77 338 6591</t>
  </si>
  <si>
    <t>wisthara danna call back</t>
  </si>
  <si>
    <t>71 821 0243</t>
  </si>
  <si>
    <t>F75691</t>
  </si>
  <si>
    <t>77 668 0480</t>
  </si>
  <si>
    <t>f 11111</t>
  </si>
  <si>
    <t xml:space="preserve"> 77 454 3886</t>
  </si>
  <si>
    <t>f33333</t>
  </si>
  <si>
    <t>77 548 5131</t>
  </si>
  <si>
    <t>F75692</t>
  </si>
  <si>
    <t>70 520 2027</t>
  </si>
  <si>
    <t>F75693</t>
  </si>
  <si>
    <t>76 843 9503</t>
  </si>
  <si>
    <t>f22222</t>
  </si>
  <si>
    <t>78 522 7362</t>
  </si>
  <si>
    <t>F75694</t>
  </si>
  <si>
    <t>76 639 7984</t>
  </si>
  <si>
    <t>F75695</t>
  </si>
  <si>
    <t xml:space="preserve"> 74 215 7264</t>
  </si>
  <si>
    <t>F75696</t>
  </si>
  <si>
    <t>wisththra dnna</t>
  </si>
  <si>
    <t>78 110 0019</t>
  </si>
  <si>
    <t>F75697</t>
  </si>
  <si>
    <t>70 494 5435</t>
  </si>
  <si>
    <t>74 120 9714</t>
  </si>
  <si>
    <t>71 227 5074</t>
  </si>
  <si>
    <t>F75698</t>
  </si>
  <si>
    <t xml:space="preserve">wisthra dann </t>
  </si>
  <si>
    <t xml:space="preserve"> 75 654 4788</t>
  </si>
  <si>
    <t>F75699</t>
  </si>
  <si>
    <t xml:space="preserve"> 77 391 3305</t>
  </si>
  <si>
    <t>77 206 1260</t>
  </si>
  <si>
    <t>F75700</t>
  </si>
  <si>
    <t xml:space="preserve"> 78 691 4180</t>
  </si>
  <si>
    <t>F75701</t>
  </si>
  <si>
    <t>71 046 8182</t>
  </si>
  <si>
    <t>70 420 4640</t>
  </si>
  <si>
    <t>71 258 5907</t>
  </si>
  <si>
    <t>F75702</t>
  </si>
  <si>
    <t>76 922 4948</t>
  </si>
  <si>
    <t>F75703</t>
  </si>
  <si>
    <t>76 858 8563</t>
  </si>
  <si>
    <t>71 534 0911</t>
  </si>
  <si>
    <t>F75704</t>
  </si>
  <si>
    <t>time ba recording ekk dnna blnna</t>
  </si>
  <si>
    <t>77 434 5960</t>
  </si>
  <si>
    <t>F75705</t>
  </si>
  <si>
    <t xml:space="preserve"> 77 842 9325</t>
  </si>
  <si>
    <t>F75706</t>
  </si>
  <si>
    <t>71 184 8311</t>
  </si>
  <si>
    <t>F75707</t>
  </si>
  <si>
    <t>msg ekk dannm</t>
  </si>
  <si>
    <t xml:space="preserve"> 77 874 1186</t>
  </si>
  <si>
    <t>F75708</t>
  </si>
  <si>
    <t xml:space="preserve"> 71 226 9930</t>
  </si>
  <si>
    <t>F75709</t>
  </si>
  <si>
    <t>74 071 0415</t>
  </si>
  <si>
    <t>74 031 5452</t>
  </si>
  <si>
    <t>F75710</t>
  </si>
  <si>
    <t xml:space="preserve"> 70 538 9445</t>
  </si>
  <si>
    <t>F75711</t>
  </si>
  <si>
    <t>w dnna</t>
  </si>
  <si>
    <t>70 326 8909</t>
  </si>
  <si>
    <t>F75712</t>
  </si>
  <si>
    <t>78 586 5494</t>
  </si>
  <si>
    <t>F75713</t>
  </si>
  <si>
    <t xml:space="preserve"> 74 062 7933</t>
  </si>
  <si>
    <t>F75714</t>
  </si>
  <si>
    <t>70 414 3162</t>
  </si>
  <si>
    <t>70 608 6224</t>
  </si>
  <si>
    <t>F75715</t>
  </si>
  <si>
    <t>71 325 8390</t>
  </si>
  <si>
    <t>F75716</t>
  </si>
  <si>
    <t>77 611 9916</t>
  </si>
  <si>
    <t>F75717</t>
  </si>
  <si>
    <t>71 910 5482</t>
  </si>
  <si>
    <t>F75718</t>
  </si>
  <si>
    <t>wisthara danna duwa ekka ktkrla kynnm</t>
  </si>
  <si>
    <t>70 182 4036</t>
  </si>
  <si>
    <t>F75719</t>
  </si>
  <si>
    <t>71 697 7570</t>
  </si>
  <si>
    <t>F75720</t>
  </si>
  <si>
    <t>w danna</t>
  </si>
  <si>
    <t>77 950 0093</t>
  </si>
  <si>
    <t>F75721</t>
  </si>
  <si>
    <t>71 871 1911</t>
  </si>
  <si>
    <t>F75722</t>
  </si>
  <si>
    <t xml:space="preserve"> 77 678 0238</t>
  </si>
  <si>
    <t>F75723</t>
  </si>
  <si>
    <t>77 143 3728</t>
  </si>
  <si>
    <t>F75724</t>
  </si>
  <si>
    <t>ada pymnt krnwa</t>
  </si>
  <si>
    <t>72 967 0162</t>
  </si>
  <si>
    <t>F75725</t>
  </si>
  <si>
    <t>puth awama gnnm</t>
  </si>
  <si>
    <t>74 335 9845</t>
  </si>
  <si>
    <t>F75726</t>
  </si>
  <si>
    <t>77 679 0871</t>
  </si>
  <si>
    <t>F75727</t>
  </si>
  <si>
    <t>74 340 4661</t>
  </si>
  <si>
    <t>F75728</t>
  </si>
  <si>
    <t>weradilalu</t>
  </si>
  <si>
    <t>76 678 4997</t>
  </si>
  <si>
    <t>F75729</t>
  </si>
  <si>
    <t>77 603 3596</t>
  </si>
  <si>
    <t>F75730</t>
  </si>
  <si>
    <t>76 637 0980</t>
  </si>
  <si>
    <t>F75731</t>
  </si>
  <si>
    <t>70 244 9630</t>
  </si>
  <si>
    <t>F75732</t>
  </si>
  <si>
    <t>77 248 4624</t>
  </si>
  <si>
    <t>F75733</t>
  </si>
  <si>
    <t>77 117 0437</t>
  </si>
  <si>
    <t xml:space="preserve"> 77 303 7341</t>
  </si>
  <si>
    <t>F75734</t>
  </si>
  <si>
    <t>wdaka inne wisthara danna</t>
  </si>
  <si>
    <t>76 843 5773</t>
  </si>
  <si>
    <t>F75735</t>
  </si>
  <si>
    <t>76 526 2963</t>
  </si>
  <si>
    <t>F75736</t>
  </si>
  <si>
    <t xml:space="preserve"> 72 603 9813</t>
  </si>
  <si>
    <t>76 728 6116</t>
  </si>
  <si>
    <t>eng m beluwe eth wisthra ewann</t>
  </si>
  <si>
    <t>78 603 1396</t>
  </si>
  <si>
    <t>F75737</t>
  </si>
  <si>
    <t>76 796 9804</t>
  </si>
  <si>
    <t>F75738</t>
  </si>
  <si>
    <t>78 746 2525</t>
  </si>
  <si>
    <t>F75739</t>
  </si>
  <si>
    <t>72 281 1911</t>
  </si>
  <si>
    <t>F75740</t>
  </si>
  <si>
    <t>76 612 4842</t>
  </si>
  <si>
    <t>F75741</t>
  </si>
  <si>
    <t>wife ta gann kiynnm</t>
  </si>
  <si>
    <t>71 444 3723</t>
  </si>
  <si>
    <t>70 167 6371</t>
  </si>
  <si>
    <t>F75742</t>
  </si>
  <si>
    <t>71 301 3540</t>
  </si>
  <si>
    <t>visthr dnn psse gnnm</t>
  </si>
  <si>
    <t>71 586 0946</t>
  </si>
  <si>
    <t>payment kr</t>
  </si>
  <si>
    <t>76 324 5853</t>
  </si>
  <si>
    <t>F75743</t>
  </si>
  <si>
    <t>71 383 7096</t>
  </si>
  <si>
    <t>F75744</t>
  </si>
  <si>
    <t>76 713 3301</t>
  </si>
  <si>
    <t>F75745</t>
  </si>
  <si>
    <t>77 274 7038</t>
  </si>
  <si>
    <t>F75746</t>
  </si>
  <si>
    <t>70 373 4910</t>
  </si>
  <si>
    <t>F75747</t>
  </si>
  <si>
    <t>waradilalu</t>
  </si>
  <si>
    <t>75 477 7013</t>
  </si>
  <si>
    <t>F75748</t>
  </si>
  <si>
    <t>wisthra ewanna</t>
  </si>
  <si>
    <t>72 490 0118</t>
  </si>
  <si>
    <t>F75749</t>
  </si>
  <si>
    <t>77 551 3770</t>
  </si>
  <si>
    <t>F75750</t>
  </si>
  <si>
    <t>wistra dnna ktakrla kynnm</t>
  </si>
  <si>
    <t>74 223 1349</t>
  </si>
  <si>
    <t>F75751</t>
  </si>
  <si>
    <t>w dnna ahen na</t>
  </si>
  <si>
    <t>76 207 4138</t>
  </si>
  <si>
    <t>F75752</t>
  </si>
  <si>
    <t>visthara dnna</t>
  </si>
  <si>
    <t>77 854 4697</t>
  </si>
  <si>
    <t>F75753</t>
  </si>
  <si>
    <t xml:space="preserve"> 74 327 8401</t>
  </si>
  <si>
    <t>74 013 1535</t>
  </si>
  <si>
    <t>F75754</t>
  </si>
  <si>
    <t>77 215 1296</t>
  </si>
  <si>
    <t>class join wel inne</t>
  </si>
  <si>
    <t>76 972 2836</t>
  </si>
  <si>
    <t>F75755</t>
  </si>
  <si>
    <t>72 583 3494</t>
  </si>
  <si>
    <t>F75756</t>
  </si>
  <si>
    <t>74 343 2534</t>
  </si>
  <si>
    <t>76 296 2891</t>
  </si>
  <si>
    <t>F75757</t>
  </si>
  <si>
    <t>class wata join una</t>
  </si>
  <si>
    <t xml:space="preserve"> 77 919 8818</t>
  </si>
  <si>
    <t>71 442 3443</t>
  </si>
  <si>
    <t>75 802 7160</t>
  </si>
  <si>
    <t>F75758</t>
  </si>
  <si>
    <t>77 307 6125</t>
  </si>
  <si>
    <t xml:space="preserve"> 77 458 6854</t>
  </si>
  <si>
    <t>F75759</t>
  </si>
  <si>
    <t xml:space="preserve"> 75 440 2640</t>
  </si>
  <si>
    <t>F75760</t>
  </si>
  <si>
    <t xml:space="preserve"> 77 494 3931</t>
  </si>
  <si>
    <t>77 684 1680</t>
  </si>
  <si>
    <t>F75761</t>
  </si>
  <si>
    <t>71 567 6220</t>
  </si>
  <si>
    <t>F75762</t>
  </si>
  <si>
    <t>71 190 2124</t>
  </si>
  <si>
    <t xml:space="preserve">mt kth krnn ep mn owata enne </t>
  </si>
  <si>
    <t>72 069 6946</t>
  </si>
  <si>
    <t>F75763</t>
  </si>
  <si>
    <t>75 012 6974</t>
  </si>
  <si>
    <t>F75764</t>
  </si>
  <si>
    <t>77 513 4023</t>
  </si>
  <si>
    <t>F75765</t>
  </si>
  <si>
    <t>76 637 2126</t>
  </si>
  <si>
    <t>77 022 1298</t>
  </si>
  <si>
    <t>76 467 4781</t>
  </si>
  <si>
    <t>F75766</t>
  </si>
  <si>
    <t>70 206 2924</t>
  </si>
  <si>
    <t>F75767</t>
  </si>
  <si>
    <t xml:space="preserve"> 76 450 4190</t>
  </si>
  <si>
    <t>70 350 0309</t>
  </si>
  <si>
    <t>F75768</t>
  </si>
  <si>
    <t>71 978 2889</t>
  </si>
  <si>
    <t>F75769</t>
  </si>
  <si>
    <t>gnnm kiw</t>
  </si>
  <si>
    <t>71 716 2674</t>
  </si>
  <si>
    <t>77 541 9510</t>
  </si>
  <si>
    <t>F75770</t>
  </si>
  <si>
    <t>71 554 0471</t>
  </si>
  <si>
    <t>74 331 6901</t>
  </si>
  <si>
    <t>F75771</t>
  </si>
  <si>
    <t>77 431 2009</t>
  </si>
  <si>
    <t>F75772</t>
  </si>
  <si>
    <t>71 541 1739</t>
  </si>
  <si>
    <t>F75773</t>
  </si>
  <si>
    <t>77 916 5036</t>
  </si>
  <si>
    <t>F75774</t>
  </si>
  <si>
    <t>71 923 8695</t>
  </si>
  <si>
    <t xml:space="preserve"> 76 646 9675</t>
  </si>
  <si>
    <t>F75775</t>
  </si>
  <si>
    <t>72 104 8709</t>
  </si>
  <si>
    <t>F75776</t>
  </si>
  <si>
    <t>76 681 0706</t>
  </si>
  <si>
    <t>F75777</t>
  </si>
  <si>
    <t>77 957 0100</t>
  </si>
  <si>
    <t>71 371 4272</t>
  </si>
  <si>
    <t>F75778</t>
  </si>
  <si>
    <t>71 524 0660</t>
  </si>
  <si>
    <t xml:space="preserve"> 71 916 7156</t>
  </si>
  <si>
    <t>F75779</t>
  </si>
  <si>
    <t xml:space="preserve"> 72 942 1712</t>
  </si>
  <si>
    <t>F75780</t>
  </si>
  <si>
    <t>74 310 0428</t>
  </si>
  <si>
    <t>F75781</t>
  </si>
  <si>
    <t>71 175 3266</t>
  </si>
  <si>
    <t>F75782</t>
  </si>
  <si>
    <t>76 121 7564</t>
  </si>
  <si>
    <t>76 604 4973</t>
  </si>
  <si>
    <t>F75783</t>
  </si>
  <si>
    <t>wisthara dann</t>
  </si>
  <si>
    <t>71 547 6821</t>
  </si>
  <si>
    <t>class goin vel</t>
  </si>
  <si>
    <t xml:space="preserve"> 75 520 9085</t>
  </si>
  <si>
    <t xml:space="preserve"> 76 682 7261</t>
  </si>
  <si>
    <t>enna wen na</t>
  </si>
  <si>
    <t>70 579 9989</t>
  </si>
  <si>
    <t>76 340 3956</t>
  </si>
  <si>
    <t>F75784</t>
  </si>
  <si>
    <t>77 164 2745</t>
  </si>
  <si>
    <t>77 660 1845</t>
  </si>
  <si>
    <t>F75785</t>
  </si>
  <si>
    <t>72 452 4228</t>
  </si>
  <si>
    <t>F75786</t>
  </si>
  <si>
    <t>76 856 6758</t>
  </si>
  <si>
    <t>F75787</t>
  </si>
  <si>
    <t>74 196 1531</t>
  </si>
  <si>
    <t>F75788</t>
  </si>
  <si>
    <t>baba avanma gannmlu</t>
  </si>
  <si>
    <t>77 236 5910</t>
  </si>
  <si>
    <t>F75789</t>
  </si>
  <si>
    <t>70 191 9150</t>
  </si>
  <si>
    <t>75 238 5053</t>
  </si>
  <si>
    <t>76 161 2501</t>
  </si>
  <si>
    <t>F75790</t>
  </si>
  <si>
    <t xml:space="preserve"> 76 089 0264</t>
  </si>
  <si>
    <t>F75791</t>
  </si>
  <si>
    <t>71 491 3715</t>
  </si>
  <si>
    <t>F75792</t>
  </si>
  <si>
    <t>76 113 1452</t>
  </si>
  <si>
    <t>78 122 4280</t>
  </si>
  <si>
    <t>70 465 5411</t>
  </si>
  <si>
    <t>F75793</t>
  </si>
  <si>
    <t>Beluve nelu</t>
  </si>
  <si>
    <t>78 480 1356</t>
  </si>
  <si>
    <t>71 295 9910</t>
  </si>
  <si>
    <t>76 872 6859</t>
  </si>
  <si>
    <t>75 621 7643</t>
  </si>
  <si>
    <t>F75794</t>
  </si>
  <si>
    <t>77 143 5851</t>
  </si>
  <si>
    <t>F75795</t>
  </si>
  <si>
    <t>76 226 9929</t>
  </si>
  <si>
    <t>76 569 3645</t>
  </si>
  <si>
    <t>F75796</t>
  </si>
  <si>
    <t>77 912 1276</t>
  </si>
  <si>
    <t>F75797</t>
  </si>
  <si>
    <t>77 532 7382</t>
  </si>
  <si>
    <t>F75798</t>
  </si>
  <si>
    <t xml:space="preserve"> 77 159 4873</t>
  </si>
  <si>
    <t>76 357 7259</t>
  </si>
  <si>
    <t>77 585 3597</t>
  </si>
  <si>
    <t>F75799</t>
  </si>
  <si>
    <t>ims clz</t>
  </si>
  <si>
    <t xml:space="preserve"> 76 053 1099</t>
  </si>
  <si>
    <t>F75800</t>
  </si>
  <si>
    <t>77 235 2943</t>
  </si>
  <si>
    <t>F75801</t>
  </si>
  <si>
    <t xml:space="preserve"> 71 954 1411</t>
  </si>
  <si>
    <t>70 396 7151</t>
  </si>
  <si>
    <t>76 439 2504</t>
  </si>
  <si>
    <t>74 350 5204</t>
  </si>
  <si>
    <t>F75802</t>
  </si>
  <si>
    <t>77 507 7589</t>
  </si>
  <si>
    <t>71 490 9090</t>
  </si>
  <si>
    <t>class join wela inne</t>
  </si>
  <si>
    <t>71 340 4888</t>
  </si>
  <si>
    <t>F75803</t>
  </si>
  <si>
    <t>husband avama gannm</t>
  </si>
  <si>
    <t>76 926 4880</t>
  </si>
  <si>
    <t>F75804</t>
  </si>
  <si>
    <t>77 649 1402</t>
  </si>
  <si>
    <t xml:space="preserve"> 71 957 9352</t>
  </si>
  <si>
    <t>F75805</t>
  </si>
  <si>
    <t>72 193 2044</t>
  </si>
  <si>
    <t>F75806</t>
  </si>
  <si>
    <t>71 520 3680</t>
  </si>
  <si>
    <t>F75807</t>
  </si>
  <si>
    <t>72 075 6164</t>
  </si>
  <si>
    <t>F75808</t>
  </si>
  <si>
    <t xml:space="preserve"> 77 631 3995</t>
  </si>
  <si>
    <t>71 520 5702</t>
  </si>
  <si>
    <t>F75809</t>
  </si>
  <si>
    <t>76 794 1049</t>
  </si>
  <si>
    <t>F75810</t>
  </si>
  <si>
    <t>74 318 0535</t>
  </si>
  <si>
    <t>F75811</t>
  </si>
  <si>
    <t>balala kiyannm</t>
  </si>
  <si>
    <t>75 213 5522</t>
  </si>
  <si>
    <t>teren na</t>
  </si>
  <si>
    <t xml:space="preserve"> 71 970 9085</t>
  </si>
  <si>
    <t>F75812</t>
  </si>
  <si>
    <t>visthara danna</t>
  </si>
  <si>
    <t>77 883 2558</t>
  </si>
  <si>
    <t>F75813</t>
  </si>
  <si>
    <t>76 226 8918</t>
  </si>
  <si>
    <t>F75814</t>
  </si>
  <si>
    <t>75 337 9738</t>
  </si>
  <si>
    <t>F75815</t>
  </si>
  <si>
    <t>77 044 5103</t>
  </si>
  <si>
    <t>rec ekk denna</t>
  </si>
  <si>
    <t>77 948 0582</t>
  </si>
  <si>
    <t>F75816</t>
  </si>
  <si>
    <t>76 793 1370</t>
  </si>
  <si>
    <t>F75817</t>
  </si>
  <si>
    <t>78 294 6306</t>
  </si>
  <si>
    <t>F75818</t>
  </si>
  <si>
    <t>78 820 5343</t>
  </si>
  <si>
    <t>F75819</t>
  </si>
  <si>
    <t>70 245 0517</t>
  </si>
  <si>
    <t>F75820</t>
  </si>
  <si>
    <t>rec ekak ewann</t>
  </si>
  <si>
    <t>76 125 5692</t>
  </si>
  <si>
    <t>F75821</t>
  </si>
  <si>
    <t>71 991 4089</t>
  </si>
  <si>
    <t>F75822</t>
  </si>
  <si>
    <t>76 076 6805</t>
  </si>
  <si>
    <t xml:space="preserve"> 72 591 9391</t>
  </si>
  <si>
    <t>76 028 8382</t>
  </si>
  <si>
    <t>F75823</t>
  </si>
  <si>
    <t>payment krnnm</t>
  </si>
  <si>
    <t>77 645 6500</t>
  </si>
  <si>
    <t>F75824</t>
  </si>
  <si>
    <t>74 079 0430</t>
  </si>
  <si>
    <t>F75825</t>
  </si>
  <si>
    <t>wisthra dann</t>
  </si>
  <si>
    <t>76 374 2147</t>
  </si>
  <si>
    <t>F75826</t>
  </si>
  <si>
    <t>70 153 6550</t>
  </si>
  <si>
    <t>F75827</t>
  </si>
  <si>
    <t>77 393 5852</t>
  </si>
  <si>
    <t>F75828</t>
  </si>
  <si>
    <t>77 982 4366</t>
  </si>
  <si>
    <t>F75829</t>
  </si>
  <si>
    <t>77 302 4840</t>
  </si>
  <si>
    <t>F75830</t>
  </si>
  <si>
    <t>71 208 1371</t>
  </si>
  <si>
    <t>F75831</t>
  </si>
  <si>
    <t xml:space="preserve">revision ekta recording dnna </t>
  </si>
  <si>
    <t xml:space="preserve"> 74 187 1726</t>
  </si>
  <si>
    <t>77 969 5055</t>
  </si>
  <si>
    <t>F75832</t>
  </si>
  <si>
    <t>71 361 2695</t>
  </si>
  <si>
    <t>71 333 1621</t>
  </si>
  <si>
    <t>F75833</t>
  </si>
  <si>
    <t>78 665 7610</t>
  </si>
  <si>
    <t>76 726 7692</t>
  </si>
  <si>
    <t>F75834</t>
  </si>
  <si>
    <t>w danna p krnw</t>
  </si>
  <si>
    <t>71 991 4917</t>
  </si>
  <si>
    <t>payment karannm</t>
  </si>
  <si>
    <t>78 129 5686</t>
  </si>
  <si>
    <t>F75835</t>
  </si>
  <si>
    <t>71 891 0707</t>
  </si>
  <si>
    <t>F75836</t>
  </si>
  <si>
    <t>77 241 6030</t>
  </si>
  <si>
    <t>F75837</t>
  </si>
  <si>
    <t xml:space="preserve"> 78 707 0095</t>
  </si>
  <si>
    <t>F75838</t>
  </si>
  <si>
    <t>74 296 6749</t>
  </si>
  <si>
    <t>F75839</t>
  </si>
  <si>
    <t>akkt gnn kiynnm</t>
  </si>
  <si>
    <t>71 464 5416</t>
  </si>
  <si>
    <t>F75840</t>
  </si>
  <si>
    <t>wisthara ewanna</t>
  </si>
  <si>
    <t>78 757 7290</t>
  </si>
  <si>
    <t>F75841</t>
  </si>
  <si>
    <t>74 037 0305</t>
  </si>
  <si>
    <t>F75842</t>
  </si>
  <si>
    <t>payment visthrak ahnn</t>
  </si>
  <si>
    <t>70 504 7491</t>
  </si>
  <si>
    <t>F75843</t>
  </si>
  <si>
    <t>74 315 7535</t>
  </si>
  <si>
    <t>F75844</t>
  </si>
  <si>
    <t>70 584 5357</t>
  </si>
  <si>
    <t>withthara ewanna</t>
  </si>
  <si>
    <t>77 869 5926</t>
  </si>
  <si>
    <t>F75845</t>
  </si>
  <si>
    <t>74 152 6792</t>
  </si>
  <si>
    <t>F75846</t>
  </si>
  <si>
    <t>77 235 0878</t>
  </si>
  <si>
    <t>F75847</t>
  </si>
  <si>
    <t>71 357 5861</t>
  </si>
  <si>
    <t>F75848</t>
  </si>
  <si>
    <t xml:space="preserve"> 74 052 1948</t>
  </si>
  <si>
    <t>F75849</t>
  </si>
  <si>
    <t>70 585 1965</t>
  </si>
  <si>
    <t>F75850</t>
  </si>
  <si>
    <t>76 103 5323</t>
  </si>
  <si>
    <t>F75851</t>
  </si>
  <si>
    <t>wisthara ewann</t>
  </si>
  <si>
    <t>71 922 2003</t>
  </si>
  <si>
    <t>F75852</t>
  </si>
  <si>
    <t xml:space="preserve"> 77 437 9136</t>
  </si>
  <si>
    <t>F75853</t>
  </si>
  <si>
    <t>72 195 7712</t>
  </si>
  <si>
    <t>F75854</t>
  </si>
  <si>
    <t>70 179 2925</t>
  </si>
  <si>
    <t>F75855</t>
  </si>
  <si>
    <t>77 378 1330</t>
  </si>
  <si>
    <t>F75856</t>
  </si>
  <si>
    <t xml:space="preserve"> 77 088 1148</t>
  </si>
  <si>
    <t>F75857</t>
  </si>
  <si>
    <t>76 227 8078</t>
  </si>
  <si>
    <t>F75858</t>
  </si>
  <si>
    <t>78 106 0304</t>
  </si>
  <si>
    <t>F75859</t>
  </si>
  <si>
    <t>76 235 3714</t>
  </si>
  <si>
    <t>F75860</t>
  </si>
  <si>
    <t>78 563 4135</t>
  </si>
  <si>
    <t>F75861</t>
  </si>
  <si>
    <t xml:space="preserve"> 77 948 6182</t>
  </si>
  <si>
    <t>F75862</t>
  </si>
  <si>
    <t>physical</t>
  </si>
  <si>
    <t>F75863</t>
  </si>
  <si>
    <t>77 874 1234</t>
  </si>
  <si>
    <t>F75864</t>
  </si>
  <si>
    <t>F75865</t>
  </si>
  <si>
    <t>F75866</t>
  </si>
  <si>
    <t>F75867</t>
  </si>
  <si>
    <t>ada pymt kranawa</t>
  </si>
  <si>
    <t>F75868</t>
  </si>
  <si>
    <t>F75869</t>
  </si>
  <si>
    <t>F75870</t>
  </si>
  <si>
    <t>het pymt krnw</t>
  </si>
  <si>
    <t>F75871</t>
  </si>
  <si>
    <t>pymt krnw</t>
  </si>
  <si>
    <t>F75872</t>
  </si>
  <si>
    <t>F75873</t>
  </si>
  <si>
    <t>F75874</t>
  </si>
  <si>
    <t>F75875</t>
  </si>
  <si>
    <t>wisthara labuna</t>
  </si>
  <si>
    <t>F75876</t>
  </si>
  <si>
    <t>F75877</t>
  </si>
  <si>
    <t>F75878</t>
  </si>
  <si>
    <t>F75879</t>
  </si>
  <si>
    <t>F75880</t>
  </si>
  <si>
    <t>F75881</t>
  </si>
  <si>
    <t>keti p potha</t>
  </si>
  <si>
    <t>F75882</t>
  </si>
  <si>
    <t>physicl clz</t>
  </si>
  <si>
    <t>F75883</t>
  </si>
  <si>
    <t>labana mase enne</t>
  </si>
  <si>
    <t>F75884</t>
  </si>
  <si>
    <t>payment krannm recording ekk dnna</t>
  </si>
  <si>
    <t>F75885</t>
  </si>
  <si>
    <t>F75886</t>
  </si>
  <si>
    <t>F75888</t>
  </si>
  <si>
    <t>F75889</t>
  </si>
  <si>
    <t xml:space="preserve"> 70 461 8665</t>
  </si>
  <si>
    <t>F75887</t>
  </si>
  <si>
    <t>F75890</t>
  </si>
  <si>
    <t>F75891</t>
  </si>
  <si>
    <t>F75892</t>
  </si>
  <si>
    <t>76 092 1156</t>
  </si>
  <si>
    <t>F75893</t>
  </si>
  <si>
    <t>F75894</t>
  </si>
  <si>
    <t>paper clz ekata</t>
  </si>
  <si>
    <t>F75895</t>
  </si>
  <si>
    <t>76 428 6898</t>
  </si>
  <si>
    <t>F75896</t>
  </si>
  <si>
    <t xml:space="preserve"> 76 069 1383</t>
  </si>
  <si>
    <t>76 349 4078</t>
  </si>
  <si>
    <t>F75897</t>
  </si>
  <si>
    <t>77 439 3204</t>
  </si>
  <si>
    <t>77 928 3041</t>
  </si>
  <si>
    <t>71 101 9345</t>
  </si>
  <si>
    <t>F75898</t>
  </si>
  <si>
    <t xml:space="preserve"> 76 776 9661</t>
  </si>
  <si>
    <t>F75899</t>
  </si>
  <si>
    <t>76 916 3119</t>
  </si>
  <si>
    <t>F75900</t>
  </si>
  <si>
    <t>wisthara danna link ekt dnna</t>
  </si>
  <si>
    <t xml:space="preserve"> 77 506 7879</t>
  </si>
  <si>
    <t>F75901</t>
  </si>
  <si>
    <t xml:space="preserve"> 76 232 1440</t>
  </si>
  <si>
    <t>F75902</t>
  </si>
  <si>
    <t>76 920 7558</t>
  </si>
  <si>
    <t>F75903</t>
  </si>
  <si>
    <t xml:space="preserve"> 74 244 9129</t>
  </si>
  <si>
    <t>F75904</t>
  </si>
  <si>
    <t>76 205 8818</t>
  </si>
  <si>
    <t>F75905</t>
  </si>
  <si>
    <t>75 070 1599</t>
  </si>
  <si>
    <t>F75906</t>
  </si>
  <si>
    <t>77 935 9123</t>
  </si>
  <si>
    <t>F75907</t>
  </si>
  <si>
    <t>link 1 dnna h pymt kranw</t>
  </si>
  <si>
    <t xml:space="preserve"> 75 578 2752</t>
  </si>
  <si>
    <t>F75908</t>
  </si>
  <si>
    <t>w dnn link ekath dnn</t>
  </si>
  <si>
    <t>70 214 6520</t>
  </si>
  <si>
    <t>F75909</t>
  </si>
  <si>
    <t>71 949 8095</t>
  </si>
  <si>
    <t>F75910</t>
  </si>
  <si>
    <t>71 425 5324</t>
  </si>
  <si>
    <t>F75911</t>
  </si>
  <si>
    <t>78 319 6510</t>
  </si>
  <si>
    <t>F75912</t>
  </si>
  <si>
    <t>78 780 8644</t>
  </si>
  <si>
    <t>F75913</t>
  </si>
  <si>
    <t>w dnn link dnn</t>
  </si>
  <si>
    <t>70 110 8200</t>
  </si>
  <si>
    <t>w danna pymt krnw</t>
  </si>
  <si>
    <t>77 457 7634</t>
  </si>
  <si>
    <t>link wistra okkoma</t>
  </si>
  <si>
    <t xml:space="preserve"> 76 076 6805</t>
  </si>
  <si>
    <t>74 340 2327</t>
  </si>
  <si>
    <t>F75914</t>
  </si>
  <si>
    <t>76 574 9567</t>
  </si>
  <si>
    <t>F75915</t>
  </si>
  <si>
    <t>76 313 8977</t>
  </si>
  <si>
    <t>F75916</t>
  </si>
  <si>
    <t>74 337 4800</t>
  </si>
  <si>
    <t>F75917</t>
  </si>
  <si>
    <t>F75918</t>
  </si>
  <si>
    <t>F77919</t>
  </si>
  <si>
    <t>aluth 6</t>
  </si>
  <si>
    <t>F77920</t>
  </si>
  <si>
    <t>F75919</t>
  </si>
  <si>
    <t>76 424 3276</t>
  </si>
  <si>
    <t>F75920</t>
  </si>
  <si>
    <t>F75921</t>
  </si>
  <si>
    <t>F75922</t>
  </si>
  <si>
    <t>join wel inne</t>
  </si>
  <si>
    <t>F75923</t>
  </si>
  <si>
    <t>2027 jan join wennm</t>
  </si>
  <si>
    <t>F75924</t>
  </si>
  <si>
    <t>F75925</t>
  </si>
  <si>
    <t>F75926</t>
  </si>
  <si>
    <t>F75927</t>
  </si>
  <si>
    <t>F75928</t>
  </si>
  <si>
    <t>F75929</t>
  </si>
  <si>
    <t>10 inne 9 theory ekta heta join wenna ona</t>
  </si>
  <si>
    <t>F75930</t>
  </si>
  <si>
    <t>F75934</t>
  </si>
  <si>
    <t>F75931</t>
  </si>
  <si>
    <t>F75932</t>
  </si>
  <si>
    <t>F75933</t>
  </si>
  <si>
    <t>F75935</t>
  </si>
  <si>
    <t>F75936</t>
  </si>
  <si>
    <t>time prashna</t>
  </si>
  <si>
    <t>F75937</t>
  </si>
  <si>
    <t>F75938</t>
  </si>
  <si>
    <t>F75939</t>
  </si>
  <si>
    <t>F75940</t>
  </si>
  <si>
    <t>F75941</t>
  </si>
  <si>
    <t>F75942</t>
  </si>
  <si>
    <t>F75943</t>
  </si>
  <si>
    <t>F75944</t>
  </si>
  <si>
    <t>F75945</t>
  </si>
  <si>
    <t>F75946</t>
  </si>
  <si>
    <t>F75947</t>
  </si>
  <si>
    <t>F75950</t>
  </si>
  <si>
    <t xml:space="preserve">payment </t>
  </si>
  <si>
    <t>F75948</t>
  </si>
  <si>
    <t>76 773 4893</t>
  </si>
  <si>
    <t>F75949</t>
  </si>
  <si>
    <t>F75951</t>
  </si>
  <si>
    <t xml:space="preserve"> 70 584 5357</t>
  </si>
  <si>
    <t>geometry book</t>
  </si>
  <si>
    <t>F75952</t>
  </si>
  <si>
    <t>F75953</t>
  </si>
  <si>
    <t>F75954</t>
  </si>
  <si>
    <t>74 134 5950</t>
  </si>
  <si>
    <t>F75955</t>
  </si>
  <si>
    <t>F75956</t>
  </si>
  <si>
    <t>F75957</t>
  </si>
  <si>
    <t>F75958</t>
  </si>
  <si>
    <t>F75959</t>
  </si>
  <si>
    <t>F75960</t>
  </si>
  <si>
    <t>76 100 9959</t>
  </si>
  <si>
    <t>F75961</t>
  </si>
  <si>
    <t>F75962</t>
  </si>
  <si>
    <t>F75963</t>
  </si>
  <si>
    <t>F75964</t>
  </si>
  <si>
    <t>F75968</t>
  </si>
  <si>
    <t>F75965</t>
  </si>
  <si>
    <t>F75966</t>
  </si>
  <si>
    <t>F75967</t>
  </si>
  <si>
    <t>F75969</t>
  </si>
  <si>
    <t>F75970</t>
  </si>
  <si>
    <t>F75971</t>
  </si>
  <si>
    <t>F75972</t>
  </si>
  <si>
    <t>F75973</t>
  </si>
  <si>
    <t>F75974</t>
  </si>
  <si>
    <t>F75975</t>
  </si>
  <si>
    <t>71 517 6052</t>
  </si>
  <si>
    <t>F75976</t>
  </si>
  <si>
    <t>F75977</t>
  </si>
  <si>
    <t>F75978</t>
  </si>
  <si>
    <t>F75979</t>
  </si>
  <si>
    <t>77 290 7798</t>
  </si>
  <si>
    <t>F75980</t>
  </si>
  <si>
    <t>F75981</t>
  </si>
  <si>
    <t>F75982</t>
  </si>
  <si>
    <t>F75983</t>
  </si>
  <si>
    <t xml:space="preserve"> 70 713 1251</t>
  </si>
  <si>
    <t>F75984</t>
  </si>
  <si>
    <t>F75985</t>
  </si>
  <si>
    <t>F75986</t>
  </si>
  <si>
    <t>F75987</t>
  </si>
  <si>
    <t>F75988</t>
  </si>
  <si>
    <t>F75989</t>
  </si>
  <si>
    <t xml:space="preserve"> 75 842 8287</t>
  </si>
  <si>
    <t>F75990</t>
  </si>
  <si>
    <t>F75991</t>
  </si>
  <si>
    <t>76 346 5190</t>
  </si>
  <si>
    <t>F75992</t>
  </si>
  <si>
    <t>F75993</t>
  </si>
  <si>
    <t>F75994</t>
  </si>
  <si>
    <t>F75997</t>
  </si>
  <si>
    <t>F75996</t>
  </si>
  <si>
    <t>F75999</t>
  </si>
  <si>
    <t>F75998</t>
  </si>
  <si>
    <t>F76000</t>
  </si>
  <si>
    <t>9,6</t>
  </si>
  <si>
    <t>F76001</t>
  </si>
  <si>
    <t>F76002</t>
  </si>
  <si>
    <t>F76003</t>
  </si>
  <si>
    <t>F76004</t>
  </si>
  <si>
    <t>උ katha krnne nh</t>
  </si>
  <si>
    <t>F76005</t>
  </si>
  <si>
    <t>F76006</t>
  </si>
  <si>
    <t>F76007</t>
  </si>
  <si>
    <t>F76008</t>
  </si>
  <si>
    <t>F76010</t>
  </si>
  <si>
    <t>duwa awama gannam</t>
  </si>
  <si>
    <t>F76009</t>
  </si>
  <si>
    <t>F76011</t>
  </si>
  <si>
    <t>F76012</t>
  </si>
  <si>
    <t>F76013</t>
  </si>
  <si>
    <t>F76014</t>
  </si>
  <si>
    <t>F76015</t>
  </si>
  <si>
    <t>F76016</t>
  </si>
  <si>
    <t>F76017</t>
  </si>
  <si>
    <t>F76018</t>
  </si>
  <si>
    <t>F76019</t>
  </si>
  <si>
    <t>F76020</t>
  </si>
  <si>
    <t>F76021</t>
  </si>
  <si>
    <t>F76022</t>
  </si>
  <si>
    <t>F76023</t>
  </si>
  <si>
    <t>F76024</t>
  </si>
  <si>
    <t>F76025</t>
  </si>
  <si>
    <t>F76026</t>
  </si>
  <si>
    <t>F76027</t>
  </si>
  <si>
    <t>F76028</t>
  </si>
  <si>
    <t>F76029</t>
  </si>
  <si>
    <t>wisthra danna blala kiynnm</t>
  </si>
  <si>
    <t>F76030</t>
  </si>
  <si>
    <t>F76031</t>
  </si>
  <si>
    <t>F76032</t>
  </si>
  <si>
    <t>F76033</t>
  </si>
  <si>
    <t>F76034</t>
  </si>
  <si>
    <t>F76035</t>
  </si>
  <si>
    <t>F76036</t>
  </si>
  <si>
    <t>F76038</t>
  </si>
  <si>
    <t>gdr ay ekk kth krl cl ekk dennm</t>
  </si>
  <si>
    <t>F76040</t>
  </si>
  <si>
    <t>F76037</t>
  </si>
  <si>
    <t>F76039</t>
  </si>
  <si>
    <t>F76041</t>
  </si>
  <si>
    <t>F76042</t>
  </si>
  <si>
    <t>F76043</t>
  </si>
  <si>
    <t>kalin masa deke recording gnna ona</t>
  </si>
  <si>
    <t>F76044</t>
  </si>
  <si>
    <t>F76045</t>
  </si>
  <si>
    <t>F76046</t>
  </si>
  <si>
    <t>F76047</t>
  </si>
  <si>
    <t>F76048</t>
  </si>
  <si>
    <t>F76049</t>
  </si>
  <si>
    <t>F76050</t>
  </si>
  <si>
    <t>F76051</t>
  </si>
  <si>
    <t>balamuko</t>
  </si>
  <si>
    <t>F76052</t>
  </si>
  <si>
    <t>F76053</t>
  </si>
  <si>
    <t>F76054</t>
  </si>
  <si>
    <t>F76055</t>
  </si>
  <si>
    <t>u katha karanne nh</t>
  </si>
  <si>
    <t>F76056</t>
  </si>
  <si>
    <t>putha awama ktha krl cl ekk dennm</t>
  </si>
  <si>
    <t>F76057</t>
  </si>
  <si>
    <t>F76058</t>
  </si>
  <si>
    <t>F76059</t>
  </si>
  <si>
    <t>F76060</t>
  </si>
  <si>
    <t>F76061</t>
  </si>
  <si>
    <t>F76062</t>
  </si>
  <si>
    <t>F76064</t>
  </si>
  <si>
    <t>F76063</t>
  </si>
  <si>
    <t>F76065</t>
  </si>
  <si>
    <t>F76066</t>
  </si>
  <si>
    <t>F76067</t>
  </si>
  <si>
    <t>F76068</t>
  </si>
  <si>
    <t>F76069</t>
  </si>
  <si>
    <t>F76072</t>
  </si>
  <si>
    <t>F76073</t>
  </si>
  <si>
    <t>F76070</t>
  </si>
  <si>
    <t>F76071</t>
  </si>
  <si>
    <t>F76074</t>
  </si>
  <si>
    <t>F76075</t>
  </si>
  <si>
    <t>F76076</t>
  </si>
  <si>
    <t>F76077</t>
  </si>
  <si>
    <t>F76078</t>
  </si>
  <si>
    <t>F76079</t>
  </si>
  <si>
    <t>F76080</t>
  </si>
  <si>
    <t>F76081</t>
  </si>
  <si>
    <t>tawa tikkin gannam</t>
  </si>
  <si>
    <t>77 991 6685</t>
  </si>
  <si>
    <t>F76082</t>
  </si>
  <si>
    <t>F76083</t>
  </si>
  <si>
    <t>F76084</t>
  </si>
  <si>
    <t>F76085</t>
  </si>
  <si>
    <t>F76086</t>
  </si>
  <si>
    <t>F76087</t>
  </si>
  <si>
    <t>F76088</t>
  </si>
  <si>
    <t>wisthara dmma</t>
  </si>
  <si>
    <t>F76089</t>
  </si>
  <si>
    <t>F76090</t>
  </si>
  <si>
    <t>F76091</t>
  </si>
  <si>
    <t>F76092</t>
  </si>
  <si>
    <t>F76097</t>
  </si>
  <si>
    <t>F76095</t>
  </si>
  <si>
    <t>F76093</t>
  </si>
  <si>
    <t>F76094</t>
  </si>
  <si>
    <t>F76096</t>
  </si>
  <si>
    <t>F76098</t>
  </si>
  <si>
    <t>F76099</t>
  </si>
  <si>
    <t>F76100</t>
  </si>
  <si>
    <t>F76101</t>
  </si>
  <si>
    <t>F76102</t>
  </si>
  <si>
    <t>F76103</t>
  </si>
  <si>
    <t>passe gannm</t>
  </si>
  <si>
    <t>F76106</t>
  </si>
  <si>
    <t>F76104</t>
  </si>
  <si>
    <t>F76105</t>
  </si>
  <si>
    <t>F76107</t>
  </si>
  <si>
    <t>F76108</t>
  </si>
  <si>
    <t>F76109</t>
  </si>
  <si>
    <t>F76110</t>
  </si>
  <si>
    <t xml:space="preserve">semina walata clzut tynwlu </t>
  </si>
  <si>
    <t>F76111</t>
  </si>
  <si>
    <t>F76112</t>
  </si>
  <si>
    <t>F76113</t>
  </si>
  <si>
    <t>F76114</t>
  </si>
  <si>
    <t>F76117</t>
  </si>
  <si>
    <t>F76115</t>
  </si>
  <si>
    <t>F76116</t>
  </si>
  <si>
    <t>F76118</t>
  </si>
  <si>
    <t>F76119</t>
  </si>
  <si>
    <t>F76120</t>
  </si>
  <si>
    <t xml:space="preserve">english class </t>
  </si>
  <si>
    <t>F76121</t>
  </si>
  <si>
    <t>F76122</t>
  </si>
  <si>
    <t>gedara aya ekka ktakarannm wisthara danna</t>
  </si>
  <si>
    <t>F76123</t>
  </si>
  <si>
    <t>F76125</t>
  </si>
  <si>
    <t>F76124</t>
  </si>
  <si>
    <t>F76126</t>
  </si>
  <si>
    <t>F76127</t>
  </si>
  <si>
    <t>F76128</t>
  </si>
  <si>
    <t>F76129</t>
  </si>
  <si>
    <t>gdrta kiynnm gnn kiyl</t>
  </si>
  <si>
    <t>F76130</t>
  </si>
  <si>
    <t>F76131</t>
  </si>
  <si>
    <t>F76132</t>
  </si>
  <si>
    <t>F76133</t>
  </si>
  <si>
    <t>F76134</t>
  </si>
  <si>
    <t>F76135</t>
  </si>
  <si>
    <t>F76136</t>
  </si>
  <si>
    <t>F76137</t>
  </si>
  <si>
    <t>F76138</t>
  </si>
  <si>
    <t>F76139</t>
  </si>
  <si>
    <t>F76140</t>
  </si>
  <si>
    <t>F76141</t>
  </si>
  <si>
    <t>F76142</t>
  </si>
  <si>
    <t>F76143</t>
  </si>
  <si>
    <t>F76144</t>
  </si>
  <si>
    <t>F76145</t>
  </si>
  <si>
    <t>F76146</t>
  </si>
  <si>
    <t>F76147</t>
  </si>
  <si>
    <t>F76148</t>
  </si>
  <si>
    <t>F76149</t>
  </si>
  <si>
    <t>F76150</t>
  </si>
  <si>
    <t>F76151</t>
  </si>
  <si>
    <t>F76152</t>
  </si>
  <si>
    <t>F76153</t>
  </si>
  <si>
    <t>F76155</t>
  </si>
  <si>
    <t>F76154</t>
  </si>
  <si>
    <t>F76156</t>
  </si>
  <si>
    <t>F76157</t>
  </si>
  <si>
    <t>F76158</t>
  </si>
  <si>
    <t>jamithiya</t>
  </si>
  <si>
    <t>F76159</t>
  </si>
  <si>
    <t>F76160</t>
  </si>
  <si>
    <t>F76161</t>
  </si>
  <si>
    <t>F76162</t>
  </si>
  <si>
    <t>F76163</t>
  </si>
  <si>
    <t>F76164</t>
  </si>
  <si>
    <t>F76165</t>
  </si>
  <si>
    <t>group ekata join unalu</t>
  </si>
  <si>
    <t>F76166</t>
  </si>
  <si>
    <t>F76167</t>
  </si>
  <si>
    <t>F76168</t>
  </si>
  <si>
    <t>F76169</t>
  </si>
  <si>
    <t>wisthara dannako</t>
  </si>
  <si>
    <t>F76170</t>
  </si>
  <si>
    <t>yana gmn inne ahl kiynnm</t>
  </si>
  <si>
    <t>F76171</t>
  </si>
  <si>
    <t>F76172</t>
  </si>
  <si>
    <t>F76173</t>
  </si>
  <si>
    <t>F76174</t>
  </si>
  <si>
    <t xml:space="preserve">duwa awama kiyannam </t>
  </si>
  <si>
    <t>F76175</t>
  </si>
  <si>
    <t>F76176</t>
  </si>
  <si>
    <t>F76177</t>
  </si>
  <si>
    <t>F76178</t>
  </si>
  <si>
    <t>F76179</t>
  </si>
  <si>
    <t>F76180</t>
  </si>
  <si>
    <t>F76181</t>
  </si>
  <si>
    <t>F76182</t>
  </si>
  <si>
    <t>F76183</t>
  </si>
  <si>
    <t>F76184</t>
  </si>
  <si>
    <t>passe gnnm kw</t>
  </si>
  <si>
    <t>F76185</t>
  </si>
  <si>
    <t>F76186</t>
  </si>
  <si>
    <t>F76187</t>
  </si>
  <si>
    <t>F76190</t>
  </si>
  <si>
    <t>F76188</t>
  </si>
  <si>
    <t>F76189</t>
  </si>
  <si>
    <t>F76191</t>
  </si>
  <si>
    <t>F76192</t>
  </si>
  <si>
    <t>F76193</t>
  </si>
  <si>
    <t>F76194</t>
  </si>
  <si>
    <t>F76195</t>
  </si>
  <si>
    <t>F76196</t>
  </si>
  <si>
    <t>F76197</t>
  </si>
  <si>
    <t>F76198</t>
  </si>
  <si>
    <t>F76199</t>
  </si>
  <si>
    <t>F76200</t>
  </si>
  <si>
    <t>F76201</t>
  </si>
  <si>
    <t>F76202</t>
  </si>
  <si>
    <t>F76203</t>
  </si>
  <si>
    <t>F76204</t>
  </si>
  <si>
    <t>F76205</t>
  </si>
  <si>
    <t>F76206</t>
  </si>
  <si>
    <t>F76207</t>
  </si>
  <si>
    <t>F76208</t>
  </si>
  <si>
    <t>F76209</t>
  </si>
  <si>
    <t>F76212</t>
  </si>
  <si>
    <t>F76210</t>
  </si>
  <si>
    <t>F76211</t>
  </si>
  <si>
    <t>F76213</t>
  </si>
  <si>
    <t>F76214</t>
  </si>
  <si>
    <t>F76215</t>
  </si>
  <si>
    <t>F76216</t>
  </si>
  <si>
    <t>F76217</t>
  </si>
  <si>
    <t>F76218</t>
  </si>
  <si>
    <t>time prashnath thiyanawa balamu</t>
  </si>
  <si>
    <t>F76219</t>
  </si>
  <si>
    <t>F76222</t>
  </si>
  <si>
    <t>F76220</t>
  </si>
  <si>
    <t>F76221</t>
  </si>
  <si>
    <t>F76223</t>
  </si>
  <si>
    <t>F76224</t>
  </si>
  <si>
    <t>F76225</t>
  </si>
  <si>
    <t>F76226</t>
  </si>
  <si>
    <t>F76227</t>
  </si>
  <si>
    <t>F76231</t>
  </si>
  <si>
    <t>class eka one unoth ktha karannam</t>
  </si>
  <si>
    <t>F76228</t>
  </si>
  <si>
    <t>F76229</t>
  </si>
  <si>
    <t>wisthara labunalu link eka danna</t>
  </si>
  <si>
    <t>F76230</t>
  </si>
  <si>
    <t>F76232</t>
  </si>
  <si>
    <t>F76233</t>
  </si>
  <si>
    <t>wisthara danna balala gannam</t>
  </si>
  <si>
    <t>F76234</t>
  </si>
  <si>
    <t>F76235</t>
  </si>
  <si>
    <t>F76236</t>
  </si>
  <si>
    <t>F76237</t>
  </si>
  <si>
    <t>F76238</t>
  </si>
  <si>
    <t>F76239</t>
  </si>
  <si>
    <t>F76240</t>
  </si>
  <si>
    <t>F76241</t>
  </si>
  <si>
    <t>F76242</t>
  </si>
  <si>
    <t>F76243</t>
  </si>
  <si>
    <t>F76244</t>
  </si>
  <si>
    <t>F76245</t>
  </si>
  <si>
    <t>F76246</t>
  </si>
  <si>
    <t>F76247</t>
  </si>
  <si>
    <t>F76248</t>
  </si>
  <si>
    <t>class eheka inne psse kth krnnm</t>
  </si>
  <si>
    <t>F76249</t>
  </si>
  <si>
    <t xml:space="preserve">wisthara danna wada </t>
  </si>
  <si>
    <t>F76250</t>
  </si>
  <si>
    <t>F76251</t>
  </si>
  <si>
    <t>F76252</t>
  </si>
  <si>
    <t>F76253</t>
  </si>
  <si>
    <t>F76254</t>
  </si>
  <si>
    <t>lbana para 6 asarata join wenna</t>
  </si>
  <si>
    <t>F76255</t>
  </si>
  <si>
    <t>F76256</t>
  </si>
  <si>
    <t>F76257</t>
  </si>
  <si>
    <t>F76258</t>
  </si>
  <si>
    <t>F76259</t>
  </si>
  <si>
    <t>F76260</t>
  </si>
  <si>
    <t>F76261</t>
  </si>
  <si>
    <t>F76262</t>
  </si>
  <si>
    <t>F76263</t>
  </si>
  <si>
    <t>F76264</t>
  </si>
  <si>
    <t>F76265</t>
  </si>
  <si>
    <t>F76266</t>
  </si>
  <si>
    <t>F76267</t>
  </si>
  <si>
    <t>F76268</t>
  </si>
  <si>
    <t>F76269</t>
  </si>
  <si>
    <t>F76270</t>
  </si>
  <si>
    <t>F76271</t>
  </si>
  <si>
    <t>F76272</t>
  </si>
  <si>
    <t>F76275</t>
  </si>
  <si>
    <t>F76273</t>
  </si>
  <si>
    <t>F76274</t>
  </si>
  <si>
    <t>F76276</t>
  </si>
  <si>
    <t>F76277</t>
  </si>
  <si>
    <t>F76278</t>
  </si>
  <si>
    <t>F76279</t>
  </si>
  <si>
    <t>F76280</t>
  </si>
  <si>
    <t>F76281</t>
  </si>
  <si>
    <t>p kranw</t>
  </si>
  <si>
    <t>F76282</t>
  </si>
  <si>
    <t>F76283</t>
  </si>
  <si>
    <t>putha avma gnnm</t>
  </si>
  <si>
    <t>F76284</t>
  </si>
  <si>
    <t>F76285</t>
  </si>
  <si>
    <t>F76286</t>
  </si>
  <si>
    <t>77 897 1748</t>
  </si>
  <si>
    <t>F76287</t>
  </si>
  <si>
    <t>F76288</t>
  </si>
  <si>
    <t>F76289</t>
  </si>
  <si>
    <t>F76290</t>
  </si>
  <si>
    <t>F76291</t>
  </si>
  <si>
    <t>F76292</t>
  </si>
  <si>
    <t>F76293</t>
  </si>
  <si>
    <t>F76294</t>
  </si>
  <si>
    <t>F76295</t>
  </si>
  <si>
    <t>F76296</t>
  </si>
  <si>
    <t>F76297</t>
  </si>
  <si>
    <t>F76298</t>
  </si>
  <si>
    <t>F76299</t>
  </si>
  <si>
    <t>F76300</t>
  </si>
  <si>
    <t>F76301</t>
  </si>
  <si>
    <t>F76302</t>
  </si>
  <si>
    <t>F76303</t>
  </si>
  <si>
    <t>F76304</t>
  </si>
  <si>
    <t>F76305</t>
  </si>
  <si>
    <t>F76306</t>
  </si>
  <si>
    <t>F76307</t>
  </si>
  <si>
    <t>F76308</t>
  </si>
  <si>
    <t>F76309</t>
  </si>
  <si>
    <t>F76310</t>
  </si>
  <si>
    <t>F76311</t>
  </si>
  <si>
    <t>F76312</t>
  </si>
  <si>
    <t>F76313</t>
  </si>
  <si>
    <t>F76314</t>
  </si>
  <si>
    <t>F76315</t>
  </si>
  <si>
    <t>F76316</t>
  </si>
  <si>
    <t>F76317</t>
  </si>
  <si>
    <t>F76318</t>
  </si>
  <si>
    <t>F76319</t>
  </si>
  <si>
    <t>F76320</t>
  </si>
  <si>
    <t>F76321</t>
  </si>
  <si>
    <t>F76322</t>
  </si>
  <si>
    <t>F76323</t>
  </si>
  <si>
    <t>F76324</t>
  </si>
  <si>
    <t>F76325</t>
  </si>
  <si>
    <t>F76326</t>
  </si>
  <si>
    <t>F76327</t>
  </si>
  <si>
    <t>F76328</t>
  </si>
  <si>
    <t>F76329</t>
  </si>
  <si>
    <t>F76330</t>
  </si>
  <si>
    <t>F76331</t>
  </si>
  <si>
    <t>F76332</t>
  </si>
  <si>
    <t>class walt join wenw</t>
  </si>
  <si>
    <t>F76333</t>
  </si>
  <si>
    <t>F76334</t>
  </si>
  <si>
    <t>F76335</t>
  </si>
  <si>
    <t>F76336</t>
  </si>
  <si>
    <t>F76337</t>
  </si>
  <si>
    <t>F76338</t>
  </si>
  <si>
    <t>F76339</t>
  </si>
  <si>
    <t>F76340</t>
  </si>
  <si>
    <t>F76341</t>
  </si>
  <si>
    <t>F76342</t>
  </si>
  <si>
    <t>thma 5 inne aluth 6ta</t>
  </si>
  <si>
    <t>F76343</t>
  </si>
  <si>
    <t>F76344</t>
  </si>
  <si>
    <t>F76345</t>
  </si>
  <si>
    <t>F76346</t>
  </si>
  <si>
    <t>F76347</t>
  </si>
  <si>
    <t>class ekk inne passe gnnm</t>
  </si>
  <si>
    <t>F76348</t>
  </si>
  <si>
    <t>F76349</t>
  </si>
  <si>
    <t>F76350</t>
  </si>
  <si>
    <t>F76351</t>
  </si>
  <si>
    <t>F76357</t>
  </si>
  <si>
    <t>F76352</t>
  </si>
  <si>
    <t>F76353</t>
  </si>
  <si>
    <t>F76354</t>
  </si>
  <si>
    <t>F76355</t>
  </si>
  <si>
    <t>F76356</t>
  </si>
  <si>
    <t>ada class eke rec ek danna</t>
  </si>
  <si>
    <t>F76358</t>
  </si>
  <si>
    <t>F76359</t>
  </si>
  <si>
    <t>F76360</t>
  </si>
  <si>
    <t>F76361</t>
  </si>
  <si>
    <t>pymt kral</t>
  </si>
  <si>
    <t>F76362</t>
  </si>
  <si>
    <t>F76363</t>
  </si>
  <si>
    <t>F76364</t>
  </si>
  <si>
    <t>F76365</t>
  </si>
  <si>
    <t>jamithiya link ek one</t>
  </si>
  <si>
    <t>9 wisthara dala thiyenne kalin</t>
  </si>
  <si>
    <t>F76366</t>
  </si>
  <si>
    <t>F76367</t>
  </si>
  <si>
    <t>F76368</t>
  </si>
  <si>
    <t>F76369</t>
  </si>
  <si>
    <t>F76370</t>
  </si>
  <si>
    <t>F76371</t>
  </si>
  <si>
    <t>F76372</t>
  </si>
  <si>
    <t>F76373</t>
  </si>
  <si>
    <t>F76376</t>
  </si>
  <si>
    <t>F76374</t>
  </si>
  <si>
    <t>F76375</t>
  </si>
  <si>
    <t>F76377</t>
  </si>
  <si>
    <t>wisthara hambunalu heta eke link eka danna</t>
  </si>
  <si>
    <t>F76378</t>
  </si>
  <si>
    <t>F76379</t>
  </si>
  <si>
    <t>F76380</t>
  </si>
  <si>
    <t>F76381</t>
  </si>
  <si>
    <t>F76382</t>
  </si>
  <si>
    <t>F76383</t>
  </si>
  <si>
    <t>F76384</t>
  </si>
  <si>
    <t>F76385</t>
  </si>
  <si>
    <t xml:space="preserve"> 74 086 6195</t>
  </si>
  <si>
    <t>F76386</t>
  </si>
  <si>
    <t>F76388</t>
  </si>
  <si>
    <t>F76387</t>
  </si>
  <si>
    <t>76 717 0221</t>
  </si>
  <si>
    <t>F76389</t>
  </si>
  <si>
    <t>F76390</t>
  </si>
  <si>
    <t>F76391</t>
  </si>
  <si>
    <t>78 528 8792</t>
  </si>
  <si>
    <t>F76392</t>
  </si>
  <si>
    <t>F76393</t>
  </si>
  <si>
    <t>F76394</t>
  </si>
  <si>
    <t>77 318 5455</t>
  </si>
  <si>
    <t>F76395</t>
  </si>
  <si>
    <t>F76396</t>
  </si>
  <si>
    <t>F76397</t>
  </si>
  <si>
    <t>74 330 1786</t>
  </si>
  <si>
    <t>F76398</t>
  </si>
  <si>
    <t>F76399</t>
  </si>
  <si>
    <t>F76400</t>
  </si>
  <si>
    <t xml:space="preserve">ilaga awrudde 6 wasarata </t>
  </si>
  <si>
    <t>F76401</t>
  </si>
  <si>
    <t>F76402</t>
  </si>
  <si>
    <t>F76403</t>
  </si>
  <si>
    <t>76 611 7041</t>
  </si>
  <si>
    <t>F76404</t>
  </si>
  <si>
    <t>F76405</t>
  </si>
  <si>
    <t>F76406</t>
  </si>
  <si>
    <t>F76407</t>
  </si>
  <si>
    <t>9,5</t>
  </si>
  <si>
    <t>F76408</t>
  </si>
  <si>
    <t>F76409</t>
  </si>
  <si>
    <t>gdr ghin gnnm</t>
  </si>
  <si>
    <t>70 117 3744</t>
  </si>
  <si>
    <t>F76410</t>
  </si>
  <si>
    <t>F76411</t>
  </si>
  <si>
    <t>F76412</t>
  </si>
  <si>
    <t xml:space="preserve"> 71 263 3840</t>
  </si>
  <si>
    <t>F76413</t>
  </si>
  <si>
    <t>F76415</t>
  </si>
  <si>
    <t>katha krala sir</t>
  </si>
  <si>
    <t>F76414</t>
  </si>
  <si>
    <t>F76416</t>
  </si>
  <si>
    <t>78 612 1244</t>
  </si>
  <si>
    <t>F76417</t>
  </si>
  <si>
    <t>F76418</t>
  </si>
  <si>
    <t>F76419</t>
  </si>
  <si>
    <t>F76420</t>
  </si>
  <si>
    <t>kathakranne</t>
  </si>
  <si>
    <t>71 305 8197</t>
  </si>
  <si>
    <t>F76421</t>
  </si>
  <si>
    <t>F76422</t>
  </si>
  <si>
    <t>F76423</t>
  </si>
  <si>
    <t>F76424</t>
  </si>
  <si>
    <t>F76425</t>
  </si>
  <si>
    <t>F76426</t>
  </si>
  <si>
    <t>F76427</t>
  </si>
  <si>
    <t>71 118 0684</t>
  </si>
  <si>
    <t>F76428</t>
  </si>
  <si>
    <t>F76429</t>
  </si>
  <si>
    <t>duva amava gnnm</t>
  </si>
  <si>
    <t>F76430</t>
  </si>
  <si>
    <t>F76431</t>
  </si>
  <si>
    <t>F76432</t>
  </si>
  <si>
    <t>F76433</t>
  </si>
  <si>
    <t>F76434</t>
  </si>
  <si>
    <t>F76435</t>
  </si>
  <si>
    <t>F76436</t>
  </si>
  <si>
    <t>F76437</t>
  </si>
  <si>
    <t>F76438</t>
  </si>
  <si>
    <t>77 183 4078</t>
  </si>
  <si>
    <t>F76439</t>
  </si>
  <si>
    <t>F76440</t>
  </si>
  <si>
    <t>F76441</t>
  </si>
  <si>
    <t>F76442</t>
  </si>
  <si>
    <t>77 997 6110</t>
  </si>
  <si>
    <t>F76443</t>
  </si>
  <si>
    <t>F76444</t>
  </si>
  <si>
    <t>wisthara danna duwa ekka kathakarala kiyannam</t>
  </si>
  <si>
    <t>F76445</t>
  </si>
  <si>
    <t>F76446</t>
  </si>
  <si>
    <t>english m beluwe</t>
  </si>
  <si>
    <t>F76448</t>
  </si>
  <si>
    <t>F76447</t>
  </si>
  <si>
    <t>F76449</t>
  </si>
  <si>
    <t xml:space="preserve">putha ekka kthakaranna oni </t>
  </si>
  <si>
    <t>F76450</t>
  </si>
  <si>
    <t>F76451</t>
  </si>
  <si>
    <t>join wel</t>
  </si>
  <si>
    <t>F76452</t>
  </si>
  <si>
    <t>F76453</t>
  </si>
  <si>
    <t>F76455</t>
  </si>
  <si>
    <t>F76454</t>
  </si>
  <si>
    <t>putha awama gannam</t>
  </si>
  <si>
    <t>F76456</t>
  </si>
  <si>
    <t>F76457</t>
  </si>
  <si>
    <t>F76458</t>
  </si>
  <si>
    <t>class walta join wel inne</t>
  </si>
  <si>
    <t>F76459</t>
  </si>
  <si>
    <t>F76460</t>
  </si>
  <si>
    <t>F76461</t>
  </si>
  <si>
    <t>F76462</t>
  </si>
  <si>
    <t>hariyata mathaka na baba 9 wisthara danna</t>
  </si>
  <si>
    <t>F76463</t>
  </si>
  <si>
    <t>F76464</t>
  </si>
  <si>
    <t>F76465</t>
  </si>
  <si>
    <t>F76466</t>
  </si>
  <si>
    <t>F76467</t>
  </si>
  <si>
    <t>tik welawakin gnnm wedaka inne</t>
  </si>
  <si>
    <t>F76468</t>
  </si>
  <si>
    <t>salli thama prashne duwata therenwanam join krawannam</t>
  </si>
  <si>
    <t>F76469</t>
  </si>
  <si>
    <t>F76470</t>
  </si>
  <si>
    <t>F76471</t>
  </si>
  <si>
    <t>visthra dnnlu</t>
  </si>
  <si>
    <t>F76472</t>
  </si>
  <si>
    <t xml:space="preserve"> 76 119 2254</t>
  </si>
  <si>
    <t>F76473</t>
  </si>
  <si>
    <t>F76474</t>
  </si>
  <si>
    <t>F76475</t>
  </si>
  <si>
    <t>F76476</t>
  </si>
  <si>
    <t>payabagen gannm</t>
  </si>
  <si>
    <t>F76477</t>
  </si>
  <si>
    <t>F76480</t>
  </si>
  <si>
    <t>F76478</t>
  </si>
  <si>
    <t>F76479</t>
  </si>
  <si>
    <t>puthata cl ekak denna kiyannam</t>
  </si>
  <si>
    <t>F76481</t>
  </si>
  <si>
    <t>F76482</t>
  </si>
  <si>
    <t>F76483</t>
  </si>
  <si>
    <t>F76484</t>
  </si>
  <si>
    <t>F76485</t>
  </si>
  <si>
    <t>F76486</t>
  </si>
  <si>
    <t>F76487</t>
  </si>
  <si>
    <t>F76488</t>
  </si>
  <si>
    <t>F76489</t>
  </si>
  <si>
    <t>F76490</t>
  </si>
  <si>
    <t>F76491</t>
  </si>
  <si>
    <t>F76492</t>
  </si>
  <si>
    <t>F76493</t>
  </si>
  <si>
    <t>eliyt ewith inned gnnm</t>
  </si>
  <si>
    <t>F76494</t>
  </si>
  <si>
    <t>F76495</t>
  </si>
  <si>
    <t>F76496</t>
  </si>
  <si>
    <t>F76497</t>
  </si>
  <si>
    <t>pyakin withara gannam</t>
  </si>
  <si>
    <t>F76498</t>
  </si>
  <si>
    <t>F76499</t>
  </si>
  <si>
    <t>F76500</t>
  </si>
  <si>
    <t>F76501</t>
  </si>
  <si>
    <t>F76502</t>
  </si>
  <si>
    <t>F76503</t>
  </si>
  <si>
    <t>F76506</t>
  </si>
  <si>
    <t>waradila dmme</t>
  </si>
  <si>
    <t>F76504</t>
  </si>
  <si>
    <t>F76505</t>
  </si>
  <si>
    <t>F76507</t>
  </si>
  <si>
    <t>F76508</t>
  </si>
  <si>
    <t>clz ekaka inne passe gannam</t>
  </si>
  <si>
    <t>F76509</t>
  </si>
  <si>
    <t>F76510</t>
  </si>
  <si>
    <t>F76511</t>
  </si>
  <si>
    <t>F76512</t>
  </si>
  <si>
    <t>enne</t>
  </si>
  <si>
    <t>F76515</t>
  </si>
  <si>
    <t>F76513</t>
  </si>
  <si>
    <t>F76514</t>
  </si>
  <si>
    <t>F76516</t>
  </si>
  <si>
    <t>F76517</t>
  </si>
  <si>
    <t>F76518</t>
  </si>
  <si>
    <t>F76519</t>
  </si>
  <si>
    <t>F76520</t>
  </si>
  <si>
    <t>F76521</t>
  </si>
  <si>
    <t>F76522</t>
  </si>
  <si>
    <t>F76523</t>
  </si>
  <si>
    <t>F76524</t>
  </si>
  <si>
    <t>F76525</t>
  </si>
  <si>
    <t>F76529</t>
  </si>
  <si>
    <t>F76526</t>
  </si>
  <si>
    <t>F76527</t>
  </si>
  <si>
    <t>F76528</t>
  </si>
  <si>
    <t>F76530</t>
  </si>
  <si>
    <t>F76531</t>
  </si>
  <si>
    <t>F76532</t>
  </si>
  <si>
    <t>F76533</t>
  </si>
  <si>
    <t>F76534</t>
  </si>
  <si>
    <t>F76535</t>
  </si>
  <si>
    <t>F76536</t>
  </si>
  <si>
    <t>F76537</t>
  </si>
  <si>
    <t>F76542</t>
  </si>
  <si>
    <t>F76538</t>
  </si>
  <si>
    <t>F76539</t>
  </si>
  <si>
    <t>wisthara blala kiynnm</t>
  </si>
  <si>
    <t>F76540</t>
  </si>
  <si>
    <t>F76541</t>
  </si>
  <si>
    <t>labana awrudde 6 wasarata</t>
  </si>
  <si>
    <t>F76543</t>
  </si>
  <si>
    <t>F76544</t>
  </si>
  <si>
    <t>F76545</t>
  </si>
  <si>
    <t>F76550</t>
  </si>
  <si>
    <t>F76546</t>
  </si>
  <si>
    <t>F76547</t>
  </si>
  <si>
    <t>F76548</t>
  </si>
  <si>
    <t>F76549</t>
  </si>
  <si>
    <t>F76551</t>
  </si>
  <si>
    <t>F76552</t>
  </si>
  <si>
    <t>ct kara</t>
  </si>
  <si>
    <t>F76554</t>
  </si>
  <si>
    <t>F76553</t>
  </si>
  <si>
    <t>F76555</t>
  </si>
  <si>
    <t>F76556</t>
  </si>
  <si>
    <t>F76559</t>
  </si>
  <si>
    <t>F76557</t>
  </si>
  <si>
    <t>F76558</t>
  </si>
  <si>
    <t>F76560</t>
  </si>
  <si>
    <t>F76561</t>
  </si>
  <si>
    <t>F76562</t>
  </si>
  <si>
    <t>F76563</t>
  </si>
  <si>
    <t>F76564</t>
  </si>
  <si>
    <t>F76565</t>
  </si>
  <si>
    <t>F76566</t>
  </si>
  <si>
    <t>F76567</t>
  </si>
  <si>
    <t>F76568</t>
  </si>
  <si>
    <t>F76569</t>
  </si>
  <si>
    <t>F76570</t>
  </si>
  <si>
    <t>F76571</t>
  </si>
  <si>
    <t>F76572</t>
  </si>
  <si>
    <t>F76573</t>
  </si>
  <si>
    <t>F76574</t>
  </si>
  <si>
    <t>F76575</t>
  </si>
  <si>
    <t>F76576</t>
  </si>
  <si>
    <t>F76578</t>
  </si>
  <si>
    <t>paper witharai enne</t>
  </si>
  <si>
    <t>F76577</t>
  </si>
  <si>
    <t>F76579</t>
  </si>
  <si>
    <t>F76580</t>
  </si>
  <si>
    <t>F76581</t>
  </si>
  <si>
    <t>F76582</t>
  </si>
  <si>
    <t>F76583</t>
  </si>
  <si>
    <t>F76584</t>
  </si>
  <si>
    <t>F76585</t>
  </si>
  <si>
    <t>F76587</t>
  </si>
  <si>
    <t>F76586</t>
  </si>
  <si>
    <t>F76588</t>
  </si>
  <si>
    <t>F76589</t>
  </si>
  <si>
    <t xml:space="preserve">husband awama gnnm </t>
  </si>
  <si>
    <t>F76593</t>
  </si>
  <si>
    <t>wisthara damma</t>
  </si>
  <si>
    <t>F76590</t>
  </si>
  <si>
    <t>F76591</t>
  </si>
  <si>
    <t>F76592</t>
  </si>
  <si>
    <t>F76594</t>
  </si>
  <si>
    <t>F76595</t>
  </si>
  <si>
    <t>F76596</t>
  </si>
  <si>
    <t>F76597</t>
  </si>
  <si>
    <t>F76601</t>
  </si>
  <si>
    <t>F76598</t>
  </si>
  <si>
    <t>F76599</t>
  </si>
  <si>
    <t>F76600</t>
  </si>
  <si>
    <t>F76602</t>
  </si>
  <si>
    <t>F76603</t>
  </si>
  <si>
    <t>F76604</t>
  </si>
  <si>
    <t>amma awama gnnm</t>
  </si>
  <si>
    <t>F76609</t>
  </si>
  <si>
    <t>F76605</t>
  </si>
  <si>
    <t>F76606</t>
  </si>
  <si>
    <t>F76607</t>
  </si>
  <si>
    <t>F76608</t>
  </si>
  <si>
    <t xml:space="preserve">answer krl kth krnne </t>
  </si>
  <si>
    <t>F76610</t>
  </si>
  <si>
    <t>F76611</t>
  </si>
  <si>
    <t>F76612</t>
  </si>
  <si>
    <t>F76613</t>
  </si>
  <si>
    <t>F76614</t>
  </si>
  <si>
    <t>F76615</t>
  </si>
  <si>
    <t>F76616</t>
  </si>
  <si>
    <t>F76617</t>
  </si>
  <si>
    <t>F76618</t>
  </si>
  <si>
    <t>F76621</t>
  </si>
  <si>
    <t>F76619</t>
  </si>
  <si>
    <t>F76620</t>
  </si>
  <si>
    <t>F76622</t>
  </si>
  <si>
    <t>F76623</t>
  </si>
  <si>
    <t>F76624</t>
  </si>
  <si>
    <t>F76625</t>
  </si>
  <si>
    <t>F76626</t>
  </si>
  <si>
    <t>F76627</t>
  </si>
  <si>
    <t>F76628</t>
  </si>
  <si>
    <t>F76629</t>
  </si>
  <si>
    <t>F76632</t>
  </si>
  <si>
    <t>F76630</t>
  </si>
  <si>
    <t>F76631</t>
  </si>
  <si>
    <t>F76633</t>
  </si>
  <si>
    <t>F76635</t>
  </si>
  <si>
    <t>F76634</t>
  </si>
  <si>
    <t>F76636</t>
  </si>
  <si>
    <t>F76637</t>
  </si>
  <si>
    <t>F76639</t>
  </si>
  <si>
    <t>F76638</t>
  </si>
  <si>
    <t>F76640</t>
  </si>
  <si>
    <t>F76641</t>
  </si>
  <si>
    <t>F76642</t>
  </si>
  <si>
    <t>F76643</t>
  </si>
  <si>
    <t>F76644</t>
  </si>
  <si>
    <t>F76645</t>
  </si>
  <si>
    <t>F76646</t>
  </si>
  <si>
    <t>F76648</t>
  </si>
  <si>
    <t>F76647</t>
  </si>
  <si>
    <t>F76649</t>
  </si>
  <si>
    <t>F76650</t>
  </si>
  <si>
    <t>F76651</t>
  </si>
  <si>
    <t>F76652</t>
  </si>
  <si>
    <t>F76653</t>
  </si>
  <si>
    <t>F76655</t>
  </si>
  <si>
    <t>F76656</t>
  </si>
  <si>
    <t>F76658</t>
  </si>
  <si>
    <t>F76659</t>
  </si>
  <si>
    <t>F76660</t>
  </si>
  <si>
    <t>76 623 4452</t>
  </si>
  <si>
    <t>F76661</t>
  </si>
  <si>
    <t>F76662</t>
  </si>
  <si>
    <t>F76663</t>
  </si>
  <si>
    <t>F76665</t>
  </si>
  <si>
    <t>F76666</t>
  </si>
  <si>
    <t>F76667</t>
  </si>
  <si>
    <t>F76669</t>
  </si>
  <si>
    <t xml:space="preserve">duwa danna aththe </t>
  </si>
  <si>
    <t>F76670</t>
  </si>
  <si>
    <t>F76671</t>
  </si>
  <si>
    <t>F76672</t>
  </si>
  <si>
    <t>F76673</t>
  </si>
  <si>
    <t>wisthara dala thiyanna link ekath ekka</t>
  </si>
  <si>
    <t>F76674</t>
  </si>
  <si>
    <t>F76675</t>
  </si>
  <si>
    <t>F76676</t>
  </si>
  <si>
    <t>F76677</t>
  </si>
  <si>
    <t>F76678</t>
  </si>
  <si>
    <t>F76679</t>
  </si>
  <si>
    <t>F76680</t>
  </si>
  <si>
    <t>F76683</t>
  </si>
  <si>
    <t>keti p booster</t>
  </si>
  <si>
    <t>F76682</t>
  </si>
  <si>
    <t>baba awama balala gannam</t>
  </si>
  <si>
    <t>F76681</t>
  </si>
  <si>
    <t>F76685</t>
  </si>
  <si>
    <t>F76687</t>
  </si>
  <si>
    <t>F76688</t>
  </si>
  <si>
    <t>F76689</t>
  </si>
  <si>
    <t>F76690</t>
  </si>
  <si>
    <t>F76691</t>
  </si>
  <si>
    <t>F76692</t>
  </si>
  <si>
    <t>F76693</t>
  </si>
  <si>
    <t>F76694</t>
  </si>
  <si>
    <t>dn pare inne wisthara danna</t>
  </si>
  <si>
    <t>F76695</t>
  </si>
  <si>
    <t>F76696</t>
  </si>
  <si>
    <t>F76697</t>
  </si>
  <si>
    <t>free class</t>
  </si>
  <si>
    <t>F76698</t>
  </si>
  <si>
    <t>F76699</t>
  </si>
  <si>
    <t>F76700</t>
  </si>
  <si>
    <t>F76703</t>
  </si>
  <si>
    <t>F76701</t>
  </si>
  <si>
    <t>F76702</t>
  </si>
  <si>
    <t>F76704</t>
  </si>
  <si>
    <t>F76705</t>
  </si>
  <si>
    <t>F76707</t>
  </si>
  <si>
    <t>F76708</t>
  </si>
  <si>
    <t>F76709</t>
  </si>
  <si>
    <t>F76710</t>
  </si>
  <si>
    <t>F76711</t>
  </si>
  <si>
    <t>F76712</t>
  </si>
  <si>
    <t>F76713</t>
  </si>
  <si>
    <t>F76715</t>
  </si>
  <si>
    <t>eng m uta sinhala therenna</t>
  </si>
  <si>
    <t>F76716</t>
  </si>
  <si>
    <t>F76717</t>
  </si>
  <si>
    <t>F76720</t>
  </si>
  <si>
    <t>F76721</t>
  </si>
  <si>
    <t>F76722</t>
  </si>
  <si>
    <t>F76723</t>
  </si>
  <si>
    <t>F76724</t>
  </si>
  <si>
    <t>F76725</t>
  </si>
  <si>
    <t>F76726</t>
  </si>
  <si>
    <t>F76727</t>
  </si>
  <si>
    <t>F76729</t>
  </si>
  <si>
    <t>F76730</t>
  </si>
  <si>
    <t>F76731</t>
  </si>
  <si>
    <t>F76732</t>
  </si>
  <si>
    <t>kathja krn na</t>
  </si>
  <si>
    <t>F76733</t>
  </si>
  <si>
    <t>F76734</t>
  </si>
  <si>
    <t>F76735</t>
  </si>
  <si>
    <t>F76736</t>
  </si>
  <si>
    <t>F76740</t>
  </si>
  <si>
    <t>F76737</t>
  </si>
  <si>
    <t>F76738</t>
  </si>
  <si>
    <t>F76741</t>
  </si>
  <si>
    <t>F76743</t>
  </si>
  <si>
    <t>F76744</t>
  </si>
  <si>
    <t>F76746</t>
  </si>
  <si>
    <t>ada payment karalu</t>
  </si>
  <si>
    <t>F76747</t>
  </si>
  <si>
    <t>F76748</t>
  </si>
  <si>
    <t>F76749</t>
  </si>
  <si>
    <t>clz thiyana time eka balaganna mg eka damme</t>
  </si>
  <si>
    <t>F76751</t>
  </si>
  <si>
    <t>F76752</t>
  </si>
  <si>
    <t>F76753</t>
  </si>
  <si>
    <t>F76754</t>
  </si>
  <si>
    <t>F76755</t>
  </si>
  <si>
    <t xml:space="preserve">english cl karannam </t>
  </si>
  <si>
    <t>F76757</t>
  </si>
  <si>
    <t>F76759</t>
  </si>
  <si>
    <t>F76760</t>
  </si>
  <si>
    <t>F76761</t>
  </si>
  <si>
    <t>F76762</t>
  </si>
  <si>
    <t>F76763</t>
  </si>
  <si>
    <t xml:space="preserve">wisthara danna cl karannam </t>
  </si>
  <si>
    <t>F76764</t>
  </si>
  <si>
    <t>k  p boostr</t>
  </si>
  <si>
    <t>F76766</t>
  </si>
  <si>
    <t>F76768</t>
  </si>
  <si>
    <t>F76769</t>
  </si>
  <si>
    <t>F76771</t>
  </si>
  <si>
    <t>F76772</t>
  </si>
  <si>
    <t>F76773</t>
  </si>
  <si>
    <t>F76775</t>
  </si>
  <si>
    <t>F76776</t>
  </si>
  <si>
    <t>F76778</t>
  </si>
  <si>
    <t>F76779</t>
  </si>
  <si>
    <t xml:space="preserve">kathakarala kiyannam </t>
  </si>
  <si>
    <t>F76781</t>
  </si>
  <si>
    <t>F76782</t>
  </si>
  <si>
    <t>8 wasarata keti prashna potha</t>
  </si>
  <si>
    <t>F76783</t>
  </si>
  <si>
    <t>join wenna bari una</t>
  </si>
  <si>
    <t>F76785</t>
  </si>
  <si>
    <t>F76784</t>
  </si>
  <si>
    <t>duwath ekka kathakarala kiyannam</t>
  </si>
  <si>
    <t>F76786</t>
  </si>
  <si>
    <t>F76787</t>
  </si>
  <si>
    <t>F76788</t>
  </si>
  <si>
    <t>cut  kra</t>
  </si>
  <si>
    <t>F76789</t>
  </si>
  <si>
    <t>join wenna bri unalu</t>
  </si>
  <si>
    <t>F76790</t>
  </si>
  <si>
    <t>F76791</t>
  </si>
  <si>
    <t>F76792</t>
  </si>
  <si>
    <t>F76793</t>
  </si>
  <si>
    <t>F76795</t>
  </si>
  <si>
    <t>F76796</t>
  </si>
  <si>
    <t>F76797</t>
  </si>
  <si>
    <t>F76798</t>
  </si>
  <si>
    <t>F76799</t>
  </si>
  <si>
    <t>F76802</t>
  </si>
  <si>
    <t>F76800</t>
  </si>
  <si>
    <t>F76801</t>
  </si>
  <si>
    <t>6,09</t>
  </si>
  <si>
    <t>F76803</t>
  </si>
  <si>
    <t>F76804</t>
  </si>
  <si>
    <t>passe gannam busy</t>
  </si>
  <si>
    <t>F76805</t>
  </si>
  <si>
    <t>F76806</t>
  </si>
  <si>
    <t>F76807</t>
  </si>
  <si>
    <t>F76809</t>
  </si>
  <si>
    <t>F76808</t>
  </si>
  <si>
    <t>F76810</t>
  </si>
  <si>
    <t>F76812</t>
  </si>
  <si>
    <t>F76811</t>
  </si>
  <si>
    <t>F76813</t>
  </si>
  <si>
    <t>F76814</t>
  </si>
  <si>
    <t>70 303 6695</t>
  </si>
  <si>
    <t>F76817</t>
  </si>
  <si>
    <t>74 150 5878</t>
  </si>
  <si>
    <t>F76819</t>
  </si>
  <si>
    <t>74 188 5828</t>
  </si>
  <si>
    <t>F76831</t>
  </si>
  <si>
    <t>super revision</t>
  </si>
  <si>
    <t>75 272 8534</t>
  </si>
  <si>
    <t>F76833</t>
  </si>
  <si>
    <t xml:space="preserve"> 77 825 3355</t>
  </si>
  <si>
    <t>F76834</t>
  </si>
  <si>
    <t>F76835</t>
  </si>
  <si>
    <t>77 196 8625</t>
  </si>
  <si>
    <t>F76836</t>
  </si>
  <si>
    <t>k pr boost</t>
  </si>
  <si>
    <t>76 676 8655</t>
  </si>
  <si>
    <t>77 318 1467</t>
  </si>
  <si>
    <t>F76837</t>
  </si>
  <si>
    <t>F76838</t>
  </si>
  <si>
    <t>76 688 7228</t>
  </si>
  <si>
    <t>F76840</t>
  </si>
  <si>
    <t xml:space="preserve"> 74 211 4195</t>
  </si>
  <si>
    <t>F76842</t>
  </si>
  <si>
    <t>74 096 1098</t>
  </si>
  <si>
    <t>F76843</t>
  </si>
  <si>
    <t>F76844</t>
  </si>
  <si>
    <t>F76845</t>
  </si>
  <si>
    <t>iye kathakaralu wisthara hambunalu</t>
  </si>
  <si>
    <t>76 709 9342</t>
  </si>
  <si>
    <t>F76848</t>
  </si>
  <si>
    <t>F76849</t>
  </si>
  <si>
    <t xml:space="preserve"> 77 145 0741</t>
  </si>
  <si>
    <t>F76850</t>
  </si>
  <si>
    <t>F76852</t>
  </si>
  <si>
    <t>putha na awama gannam</t>
  </si>
  <si>
    <t xml:space="preserve"> 77 892 3265</t>
  </si>
  <si>
    <t>F76853</t>
  </si>
  <si>
    <t>F76854</t>
  </si>
  <si>
    <t>76 454 2437</t>
  </si>
  <si>
    <t>F76856</t>
  </si>
  <si>
    <t>77 883 9301</t>
  </si>
  <si>
    <t>F76857</t>
  </si>
  <si>
    <t>F76858</t>
  </si>
  <si>
    <t>70 566 6565</t>
  </si>
  <si>
    <t>F76859</t>
  </si>
  <si>
    <t>join wenawa clz ekata wisthara labuna</t>
  </si>
  <si>
    <t>F76860</t>
  </si>
  <si>
    <t>78 670 4789</t>
  </si>
  <si>
    <t>F76862</t>
  </si>
  <si>
    <t>77 226 8781</t>
  </si>
  <si>
    <t>F76863</t>
  </si>
  <si>
    <t>F76864</t>
  </si>
  <si>
    <t>F76866</t>
  </si>
  <si>
    <t>tute labune nalu</t>
  </si>
  <si>
    <t>75 139 8579</t>
  </si>
  <si>
    <t>F76868</t>
  </si>
  <si>
    <t>78 785 3065</t>
  </si>
  <si>
    <t>F76870</t>
  </si>
  <si>
    <t>76 194 1794</t>
  </si>
  <si>
    <t>F76871</t>
  </si>
  <si>
    <t>F76873</t>
  </si>
  <si>
    <t>F76874</t>
  </si>
  <si>
    <t>F76876</t>
  </si>
  <si>
    <t>F76879</t>
  </si>
  <si>
    <t>F76882</t>
  </si>
  <si>
    <t>amma awama thama kiyanna wenne</t>
  </si>
  <si>
    <t>F76885</t>
  </si>
  <si>
    <t>F76889</t>
  </si>
  <si>
    <t>F76891</t>
  </si>
  <si>
    <t>F76892</t>
  </si>
  <si>
    <t>F76897</t>
  </si>
  <si>
    <t>F76900</t>
  </si>
  <si>
    <t>F76901</t>
  </si>
  <si>
    <t>F76904</t>
  </si>
  <si>
    <t>k p booster</t>
  </si>
  <si>
    <t>F76909</t>
  </si>
  <si>
    <t>wisthara danna balala kiyannam</t>
  </si>
  <si>
    <t>F76654</t>
  </si>
  <si>
    <t>F76657</t>
  </si>
  <si>
    <t>F76664</t>
  </si>
  <si>
    <t>F76668</t>
  </si>
  <si>
    <t>F76684</t>
  </si>
  <si>
    <t>class ekk inne gannm</t>
  </si>
  <si>
    <t>F76686</t>
  </si>
  <si>
    <t>F76706</t>
  </si>
  <si>
    <t>F76714</t>
  </si>
  <si>
    <t>F76718</t>
  </si>
  <si>
    <t>F76719</t>
  </si>
  <si>
    <t>husband awama gnnm</t>
  </si>
  <si>
    <t>F76728</t>
  </si>
  <si>
    <t>F76739</t>
  </si>
  <si>
    <t>F76742</t>
  </si>
  <si>
    <t>F76745</t>
  </si>
  <si>
    <t>F76750</t>
  </si>
  <si>
    <t>F76756</t>
  </si>
  <si>
    <t>F76758</t>
  </si>
  <si>
    <t>ct</t>
  </si>
  <si>
    <t>F76765</t>
  </si>
  <si>
    <t>F76767</t>
  </si>
  <si>
    <t>F76770</t>
  </si>
  <si>
    <t>F76774</t>
  </si>
  <si>
    <t>F76777</t>
  </si>
  <si>
    <t>F76780</t>
  </si>
  <si>
    <t>F76794</t>
  </si>
  <si>
    <t>F76815</t>
  </si>
  <si>
    <t>F76816</t>
  </si>
  <si>
    <t>potha ewith gnnm</t>
  </si>
  <si>
    <t>F76818</t>
  </si>
  <si>
    <t>F76820</t>
  </si>
  <si>
    <t>F76821</t>
  </si>
  <si>
    <t>F76822</t>
  </si>
  <si>
    <t>F76823</t>
  </si>
  <si>
    <t>F76824</t>
  </si>
  <si>
    <t>F76825</t>
  </si>
  <si>
    <t>F76826</t>
  </si>
  <si>
    <t>wed krn gmn inne gnnam ay</t>
  </si>
  <si>
    <t>F76827</t>
  </si>
  <si>
    <t>F76828</t>
  </si>
  <si>
    <t>ay gnnm</t>
  </si>
  <si>
    <t>F76829</t>
  </si>
  <si>
    <t>F76830</t>
  </si>
  <si>
    <t>F76832</t>
  </si>
  <si>
    <t>F76839</t>
  </si>
  <si>
    <t>F76841</t>
  </si>
  <si>
    <t>busy ay gnm</t>
  </si>
  <si>
    <t>F76846</t>
  </si>
  <si>
    <t>F76847</t>
  </si>
  <si>
    <t>F76851</t>
  </si>
  <si>
    <t>F76855</t>
  </si>
  <si>
    <t>amma awa gnnm</t>
  </si>
  <si>
    <t>F76861</t>
  </si>
  <si>
    <t>F76865</t>
  </si>
  <si>
    <t>F76867</t>
  </si>
  <si>
    <t>Blala kiynnm</t>
  </si>
  <si>
    <t>F76869</t>
  </si>
  <si>
    <t>F76872</t>
  </si>
  <si>
    <t>F76875</t>
  </si>
  <si>
    <t>F76877</t>
  </si>
  <si>
    <t>F76878</t>
  </si>
  <si>
    <t>class</t>
  </si>
  <si>
    <t>F76881</t>
  </si>
  <si>
    <t>F76880</t>
  </si>
  <si>
    <t>F76883</t>
  </si>
  <si>
    <t>F76884</t>
  </si>
  <si>
    <t>F76886</t>
  </si>
  <si>
    <t>F76887</t>
  </si>
  <si>
    <t>F76888</t>
  </si>
  <si>
    <t>F76890</t>
  </si>
  <si>
    <t>ewith gannm potha</t>
  </si>
  <si>
    <t>F76893</t>
  </si>
  <si>
    <t>F76894</t>
  </si>
  <si>
    <t>F76895</t>
  </si>
  <si>
    <t>psse cl krnnm</t>
  </si>
  <si>
    <t>F76896</t>
  </si>
  <si>
    <t>F76898</t>
  </si>
  <si>
    <t>dekatama enna beluwe</t>
  </si>
  <si>
    <t>F76899</t>
  </si>
  <si>
    <t>F76902</t>
  </si>
  <si>
    <t>F76903</t>
  </si>
  <si>
    <t>F76905</t>
  </si>
  <si>
    <t>F76906</t>
  </si>
  <si>
    <t>F76907</t>
  </si>
  <si>
    <t>F76908</t>
  </si>
  <si>
    <t>F76910</t>
  </si>
  <si>
    <t>F76912</t>
  </si>
  <si>
    <t>wife call karannm kiwa</t>
  </si>
  <si>
    <t>F76914</t>
  </si>
  <si>
    <t>F76916</t>
  </si>
  <si>
    <t>F76917</t>
  </si>
  <si>
    <t>F76919</t>
  </si>
  <si>
    <t>F76920</t>
  </si>
  <si>
    <t>උ පොතේ සාම්පල් ඉල්ලනවා</t>
  </si>
  <si>
    <t>F76921</t>
  </si>
  <si>
    <t>F76922</t>
  </si>
  <si>
    <t>F76923</t>
  </si>
  <si>
    <t>amma awama gnn kiynnm</t>
  </si>
  <si>
    <t>F76926</t>
  </si>
  <si>
    <t>F76927</t>
  </si>
  <si>
    <t>F76928</t>
  </si>
  <si>
    <t>F76931</t>
  </si>
  <si>
    <t>msg ekk dnme nethilu</t>
  </si>
  <si>
    <t>F76930</t>
  </si>
  <si>
    <t>F76932</t>
  </si>
  <si>
    <t>F76933</t>
  </si>
  <si>
    <t>F76935</t>
  </si>
  <si>
    <t>F76936</t>
  </si>
  <si>
    <t>F76939</t>
  </si>
  <si>
    <t>F76941</t>
  </si>
  <si>
    <t>F76942</t>
  </si>
  <si>
    <t>F76945</t>
  </si>
  <si>
    <t>daruwa ekk kth krl oder krnnm</t>
  </si>
  <si>
    <t>F76946</t>
  </si>
  <si>
    <t>F76947</t>
  </si>
  <si>
    <t>F76949</t>
  </si>
  <si>
    <t>F76950</t>
  </si>
  <si>
    <t>F76951</t>
  </si>
  <si>
    <t>F76952</t>
  </si>
  <si>
    <t>F76953</t>
  </si>
  <si>
    <t>F76954</t>
  </si>
  <si>
    <t>F76955</t>
  </si>
  <si>
    <t>F76956</t>
  </si>
  <si>
    <t>F76957</t>
  </si>
  <si>
    <t>F76958</t>
  </si>
  <si>
    <t>F76959</t>
  </si>
  <si>
    <t>F76960</t>
  </si>
  <si>
    <t>F76961</t>
  </si>
  <si>
    <t>F76964</t>
  </si>
  <si>
    <t>F76962</t>
  </si>
  <si>
    <t>payment eka kara</t>
  </si>
  <si>
    <t>F76963</t>
  </si>
  <si>
    <t>office eke inne gannm</t>
  </si>
  <si>
    <t>F76965</t>
  </si>
  <si>
    <t>F76966</t>
  </si>
  <si>
    <t>F76967</t>
  </si>
  <si>
    <t>F76968</t>
  </si>
  <si>
    <t>F76969</t>
  </si>
  <si>
    <t>u katha krne na</t>
  </si>
  <si>
    <t>F76970</t>
  </si>
  <si>
    <t>F76973</t>
  </si>
  <si>
    <t>F76971</t>
  </si>
  <si>
    <t>F76972</t>
  </si>
  <si>
    <t>F76974</t>
  </si>
  <si>
    <t>76 943 5463</t>
  </si>
  <si>
    <t>F76975</t>
  </si>
  <si>
    <t>F76976</t>
  </si>
  <si>
    <t xml:space="preserve"> K P B</t>
  </si>
  <si>
    <t>71 5969643</t>
  </si>
  <si>
    <t>F76977</t>
  </si>
  <si>
    <t>keti prashna pothata</t>
  </si>
  <si>
    <t>F76978</t>
  </si>
  <si>
    <t>F76979</t>
  </si>
  <si>
    <t>yana gaman inne gnnm</t>
  </si>
  <si>
    <t>F76980</t>
  </si>
  <si>
    <t>duwa awama gnnm</t>
  </si>
  <si>
    <t>F76981</t>
  </si>
  <si>
    <t>keti prashna pymnt krla gannam</t>
  </si>
  <si>
    <t>F76982</t>
  </si>
  <si>
    <t>F76983</t>
  </si>
  <si>
    <t>F76984</t>
  </si>
  <si>
    <t>F76985</t>
  </si>
  <si>
    <t>F76986</t>
  </si>
  <si>
    <t>F76987</t>
  </si>
  <si>
    <t>F76988</t>
  </si>
  <si>
    <t>F76989</t>
  </si>
  <si>
    <t>F76990</t>
  </si>
  <si>
    <t>F76991</t>
  </si>
  <si>
    <t>F76992</t>
  </si>
  <si>
    <t>F76993</t>
  </si>
  <si>
    <t>F76994</t>
  </si>
  <si>
    <t>F76995</t>
  </si>
  <si>
    <t>උගෙ කන ඇහෙන්නෑ</t>
  </si>
  <si>
    <t>F76996</t>
  </si>
  <si>
    <t>F76997</t>
  </si>
  <si>
    <t>kandy class ekn potha gnnm</t>
  </si>
  <si>
    <t>F77000</t>
  </si>
  <si>
    <t>F76998</t>
  </si>
  <si>
    <t>F76999</t>
  </si>
  <si>
    <t>F77001</t>
  </si>
  <si>
    <t>F77002</t>
  </si>
  <si>
    <t>F77003</t>
  </si>
  <si>
    <t>F77004</t>
  </si>
  <si>
    <t>F77005</t>
  </si>
  <si>
    <t>F77006</t>
  </si>
  <si>
    <t>ada payment krnw</t>
  </si>
  <si>
    <t>F77007</t>
  </si>
  <si>
    <t>K P B</t>
  </si>
  <si>
    <t>F77012</t>
  </si>
  <si>
    <t>F77008</t>
  </si>
  <si>
    <t>F77009</t>
  </si>
  <si>
    <t>F77010</t>
  </si>
  <si>
    <t>F77011</t>
  </si>
  <si>
    <t>F77013</t>
  </si>
  <si>
    <t>F77014</t>
  </si>
  <si>
    <t>F77015</t>
  </si>
  <si>
    <t>F77016</t>
  </si>
  <si>
    <t>2nd shy karanne</t>
  </si>
  <si>
    <t>F77017</t>
  </si>
  <si>
    <t>F77018</t>
  </si>
  <si>
    <t>F77019</t>
  </si>
  <si>
    <t>F77020</t>
  </si>
  <si>
    <t>F77021</t>
  </si>
  <si>
    <t>F77022</t>
  </si>
  <si>
    <t>F77023</t>
  </si>
  <si>
    <t>F77024</t>
  </si>
  <si>
    <t>F77025</t>
  </si>
  <si>
    <t>F77026</t>
  </si>
  <si>
    <t>F77027</t>
  </si>
  <si>
    <t>F77028</t>
  </si>
  <si>
    <t>F77029</t>
  </si>
  <si>
    <t>F77030</t>
  </si>
  <si>
    <t>F77031</t>
  </si>
  <si>
    <t>F77032</t>
  </si>
  <si>
    <t>F77033</t>
  </si>
  <si>
    <t>F77034</t>
  </si>
  <si>
    <t>F77035</t>
  </si>
  <si>
    <t>F77036</t>
  </si>
  <si>
    <t xml:space="preserve">gdr ghin pennannam </t>
  </si>
  <si>
    <t>F77037</t>
  </si>
  <si>
    <t>F77038</t>
  </si>
  <si>
    <t>F77039</t>
  </si>
  <si>
    <t>pymt kra</t>
  </si>
  <si>
    <t>F77040</t>
  </si>
  <si>
    <t>F77041</t>
  </si>
  <si>
    <t>F77042</t>
  </si>
  <si>
    <t>k p b</t>
  </si>
  <si>
    <t>F77043</t>
  </si>
  <si>
    <t>eng m beluwe</t>
  </si>
  <si>
    <t>F77044</t>
  </si>
  <si>
    <t>F77045</t>
  </si>
  <si>
    <t>F77046</t>
  </si>
  <si>
    <t>F77047</t>
  </si>
  <si>
    <t>F77048</t>
  </si>
  <si>
    <t>F77049</t>
  </si>
  <si>
    <t>F77050</t>
  </si>
  <si>
    <t>F77051</t>
  </si>
  <si>
    <t>F77052</t>
  </si>
  <si>
    <t>F77053</t>
  </si>
  <si>
    <t>F77054</t>
  </si>
  <si>
    <t>F77055</t>
  </si>
  <si>
    <t>F77056</t>
  </si>
  <si>
    <t>F77057</t>
  </si>
  <si>
    <t>F77058</t>
  </si>
  <si>
    <t>F77059</t>
  </si>
  <si>
    <t>F77060</t>
  </si>
  <si>
    <t>F77061</t>
  </si>
  <si>
    <t>F77062</t>
  </si>
  <si>
    <t>F77063</t>
  </si>
  <si>
    <t>F77064</t>
  </si>
  <si>
    <t>F77065</t>
  </si>
  <si>
    <t>F77066</t>
  </si>
  <si>
    <t>F77067</t>
  </si>
  <si>
    <t>F77068</t>
  </si>
  <si>
    <t>F77069</t>
  </si>
  <si>
    <t>F77070</t>
  </si>
  <si>
    <t>F76911</t>
  </si>
  <si>
    <t>F76913</t>
  </si>
  <si>
    <t>F76915</t>
  </si>
  <si>
    <t>F76918</t>
  </si>
  <si>
    <t>F76924</t>
  </si>
  <si>
    <t>F76925</t>
  </si>
  <si>
    <t>payment karala ada clz eke link eka gana</t>
  </si>
  <si>
    <t>F76929</t>
  </si>
  <si>
    <t>F76934</t>
  </si>
  <si>
    <t>keti prashna pothata paymnet karalu</t>
  </si>
  <si>
    <t>F76937</t>
  </si>
  <si>
    <t>F76938</t>
  </si>
  <si>
    <t>F76940</t>
  </si>
  <si>
    <t>F76943</t>
  </si>
  <si>
    <t>F76944</t>
  </si>
  <si>
    <t>aluth 6 wasarata wisthara hambunalu</t>
  </si>
  <si>
    <t>F76948</t>
  </si>
  <si>
    <t>F77071</t>
  </si>
  <si>
    <t>F77072</t>
  </si>
  <si>
    <t>F77073</t>
  </si>
  <si>
    <t>F77074</t>
  </si>
  <si>
    <t>F77075</t>
  </si>
  <si>
    <t>F77076</t>
  </si>
  <si>
    <t>F77077</t>
  </si>
  <si>
    <t>F77078</t>
  </si>
  <si>
    <t>F77079</t>
  </si>
  <si>
    <t>F77080</t>
  </si>
  <si>
    <t>F77082</t>
  </si>
  <si>
    <t>F77081</t>
  </si>
  <si>
    <t>F77083</t>
  </si>
  <si>
    <t>labana mase idala class enava</t>
  </si>
  <si>
    <t>T psd</t>
  </si>
  <si>
    <t>F77084</t>
  </si>
  <si>
    <t>F77085</t>
  </si>
  <si>
    <t>F77086</t>
  </si>
  <si>
    <t>F77087</t>
  </si>
  <si>
    <t>F77088</t>
  </si>
  <si>
    <t>F77089</t>
  </si>
  <si>
    <t>F77090</t>
  </si>
  <si>
    <t>77 450 8665</t>
  </si>
  <si>
    <t>F77091</t>
  </si>
  <si>
    <t>F77092</t>
  </si>
  <si>
    <t>F77093</t>
  </si>
  <si>
    <t>F77094</t>
  </si>
  <si>
    <t>F77095</t>
  </si>
  <si>
    <t>F77096</t>
  </si>
  <si>
    <t>F77097</t>
  </si>
  <si>
    <t>F77098</t>
  </si>
  <si>
    <t>F77099</t>
  </si>
  <si>
    <t>F77100</t>
  </si>
  <si>
    <t>F77101</t>
  </si>
  <si>
    <t>F77102</t>
  </si>
  <si>
    <t>F77103</t>
  </si>
  <si>
    <t>F77104</t>
  </si>
  <si>
    <t>F77105</t>
  </si>
  <si>
    <t>F77106</t>
  </si>
  <si>
    <t>F77107</t>
  </si>
  <si>
    <t>bank eke inne gnnm</t>
  </si>
  <si>
    <t>F77108</t>
  </si>
  <si>
    <t>F77110</t>
  </si>
  <si>
    <t xml:space="preserve"> 77 577 2256</t>
  </si>
  <si>
    <t>F77109</t>
  </si>
  <si>
    <t>F77111</t>
  </si>
  <si>
    <t>veradila</t>
  </si>
  <si>
    <t>78 372 9607</t>
  </si>
  <si>
    <t>F77112</t>
  </si>
  <si>
    <t>F77113</t>
  </si>
  <si>
    <t>F77114</t>
  </si>
  <si>
    <t>F77115</t>
  </si>
  <si>
    <t>F77116</t>
  </si>
  <si>
    <t>76 310 3209</t>
  </si>
  <si>
    <t>F77117</t>
  </si>
  <si>
    <t>F77118</t>
  </si>
  <si>
    <t>F77119</t>
  </si>
  <si>
    <t>F77120</t>
  </si>
  <si>
    <t>office eke inne gnnm</t>
  </si>
  <si>
    <t>F77121</t>
  </si>
  <si>
    <t>F77122</t>
  </si>
  <si>
    <t>F77124</t>
  </si>
  <si>
    <t>F77123</t>
  </si>
  <si>
    <t>baba avm gnnm</t>
  </si>
  <si>
    <t>F77125</t>
  </si>
  <si>
    <t>F77126</t>
  </si>
  <si>
    <t>F77127</t>
  </si>
  <si>
    <t>71 238 9085</t>
  </si>
  <si>
    <t>F77128</t>
  </si>
  <si>
    <t>F77129</t>
  </si>
  <si>
    <t>F77130</t>
  </si>
  <si>
    <t>F77131</t>
  </si>
  <si>
    <t>65 8463 2234</t>
  </si>
  <si>
    <t>F77132</t>
  </si>
  <si>
    <t>F77133</t>
  </si>
  <si>
    <t>F77134</t>
  </si>
  <si>
    <t>msg ekk dnme ne</t>
  </si>
  <si>
    <t>F77135</t>
  </si>
  <si>
    <t>F77136</t>
  </si>
  <si>
    <t>F77137</t>
  </si>
  <si>
    <t>F77138</t>
  </si>
  <si>
    <t>F77139</t>
  </si>
  <si>
    <t>71 405 6467</t>
  </si>
  <si>
    <t>F77140</t>
  </si>
  <si>
    <t xml:space="preserve">keti prashna </t>
  </si>
  <si>
    <t>F77141</t>
  </si>
  <si>
    <t xml:space="preserve"> 70 210 0621</t>
  </si>
  <si>
    <t>F77142</t>
  </si>
  <si>
    <t>F77143</t>
  </si>
  <si>
    <t>74 057 9986</t>
  </si>
  <si>
    <t>F77144</t>
  </si>
  <si>
    <t>F77145</t>
  </si>
  <si>
    <t>F77146</t>
  </si>
  <si>
    <t>77 414 0485</t>
  </si>
  <si>
    <t>F77147</t>
  </si>
  <si>
    <t>F77148</t>
  </si>
  <si>
    <t>F77149</t>
  </si>
  <si>
    <t>74 284 5854</t>
  </si>
  <si>
    <t>F77150</t>
  </si>
  <si>
    <t>F77151</t>
  </si>
  <si>
    <t>F77152</t>
  </si>
  <si>
    <t>class epaluu</t>
  </si>
  <si>
    <t>70 208 6442</t>
  </si>
  <si>
    <t>F77153</t>
  </si>
  <si>
    <t>F77154</t>
  </si>
  <si>
    <t>72 432 2823</t>
  </si>
  <si>
    <t>F77155</t>
  </si>
  <si>
    <t>F77156</t>
  </si>
  <si>
    <t>F77157</t>
  </si>
  <si>
    <t>F77158</t>
  </si>
  <si>
    <t>F77159</t>
  </si>
  <si>
    <t>F77160</t>
  </si>
  <si>
    <t>F77161</t>
  </si>
  <si>
    <t>F77162</t>
  </si>
  <si>
    <t>F77163</t>
  </si>
  <si>
    <t>70 477 9820</t>
  </si>
  <si>
    <t>F77164</t>
  </si>
  <si>
    <t>F77165</t>
  </si>
  <si>
    <t>F77166</t>
  </si>
  <si>
    <t>F77167</t>
  </si>
  <si>
    <t>F77168</t>
  </si>
  <si>
    <t>F77169</t>
  </si>
  <si>
    <t>74 062 8680</t>
  </si>
  <si>
    <t>F77170</t>
  </si>
  <si>
    <t>F77171</t>
  </si>
  <si>
    <t>74 267 2842</t>
  </si>
  <si>
    <t>F77172</t>
  </si>
  <si>
    <t>F77173</t>
  </si>
  <si>
    <t>F77175</t>
  </si>
  <si>
    <t>F77176</t>
  </si>
  <si>
    <t>putha awama gnnm</t>
  </si>
  <si>
    <t>F77177</t>
  </si>
  <si>
    <t>F77178</t>
  </si>
  <si>
    <t>F77179</t>
  </si>
  <si>
    <t>gedara ghin ganna kiyannam puthata</t>
  </si>
  <si>
    <t>F77180</t>
  </si>
  <si>
    <t>passe gnnmlu mathak nelu</t>
  </si>
  <si>
    <t>F77184</t>
  </si>
  <si>
    <t>F77181</t>
  </si>
  <si>
    <t>F77182</t>
  </si>
  <si>
    <t>F77183</t>
  </si>
  <si>
    <t>F77185</t>
  </si>
  <si>
    <t>F77186</t>
  </si>
  <si>
    <t>F77187</t>
  </si>
  <si>
    <t>F77188</t>
  </si>
  <si>
    <t>F77189</t>
  </si>
  <si>
    <t>F77191</t>
  </si>
  <si>
    <t>F77190</t>
  </si>
  <si>
    <t>yn gmn inne</t>
  </si>
  <si>
    <t>F77192</t>
  </si>
  <si>
    <t>F77193</t>
  </si>
  <si>
    <t>F77194</t>
  </si>
  <si>
    <t>F77195</t>
  </si>
  <si>
    <t>F77196</t>
  </si>
  <si>
    <t>kpb</t>
  </si>
  <si>
    <t>F77199</t>
  </si>
  <si>
    <t>F77197</t>
  </si>
  <si>
    <t>F77198</t>
  </si>
  <si>
    <t>F77200</t>
  </si>
  <si>
    <t>F77201</t>
  </si>
  <si>
    <t>F77202</t>
  </si>
  <si>
    <t>F77203</t>
  </si>
  <si>
    <t>11,8</t>
  </si>
  <si>
    <t>F77204</t>
  </si>
  <si>
    <t>F77205</t>
  </si>
  <si>
    <t>F77206</t>
  </si>
  <si>
    <t>F77207</t>
  </si>
  <si>
    <t>F77208</t>
  </si>
  <si>
    <t>F77209</t>
  </si>
  <si>
    <t>F77210</t>
  </si>
  <si>
    <t>winadi 10n gnnm</t>
  </si>
  <si>
    <t>F77211</t>
  </si>
  <si>
    <t>F77212</t>
  </si>
  <si>
    <t>F77213</t>
  </si>
  <si>
    <t>F77214</t>
  </si>
  <si>
    <t>F77216</t>
  </si>
  <si>
    <t>F77215</t>
  </si>
  <si>
    <t>F77217</t>
  </si>
  <si>
    <t>F77218</t>
  </si>
  <si>
    <t>F77219</t>
  </si>
  <si>
    <t>F77221</t>
  </si>
  <si>
    <t>aiyage puthata baluwe mkuth qwe nathawa</t>
  </si>
  <si>
    <t>F77222</t>
  </si>
  <si>
    <t>F77223</t>
  </si>
  <si>
    <t>F77224</t>
  </si>
  <si>
    <t>F77225</t>
  </si>
  <si>
    <t>F77226</t>
  </si>
  <si>
    <t>F77227</t>
  </si>
  <si>
    <t>F77228</t>
  </si>
  <si>
    <t>F77229</t>
  </si>
  <si>
    <t>F77230</t>
  </si>
  <si>
    <t>F77232</t>
  </si>
  <si>
    <t>F77234</t>
  </si>
  <si>
    <t>F77235</t>
  </si>
  <si>
    <t>F77236</t>
  </si>
  <si>
    <t>F77238</t>
  </si>
  <si>
    <t>F77239</t>
  </si>
  <si>
    <t>KPB</t>
  </si>
  <si>
    <t>F77240</t>
  </si>
  <si>
    <t>ktha ne</t>
  </si>
  <si>
    <t>F77241</t>
  </si>
  <si>
    <t>F77242</t>
  </si>
  <si>
    <t>F77243</t>
  </si>
  <si>
    <t>F77244</t>
  </si>
  <si>
    <t>F77245</t>
  </si>
  <si>
    <t>F77246</t>
  </si>
  <si>
    <t>F77247</t>
  </si>
  <si>
    <t>F77248</t>
  </si>
  <si>
    <t>F77249</t>
  </si>
  <si>
    <t>F77250</t>
  </si>
  <si>
    <t>F77251</t>
  </si>
  <si>
    <t>Eya na awama ganna kiyannam</t>
  </si>
  <si>
    <t>F77253</t>
  </si>
  <si>
    <t>F77254</t>
  </si>
  <si>
    <t>F77255</t>
  </si>
  <si>
    <t>F77256</t>
  </si>
  <si>
    <t>F77257</t>
  </si>
  <si>
    <t>F77258</t>
  </si>
  <si>
    <t>F77259</t>
  </si>
  <si>
    <t>F77260</t>
  </si>
  <si>
    <t>F77261</t>
  </si>
  <si>
    <t>F77262</t>
  </si>
  <si>
    <t>F77263</t>
  </si>
  <si>
    <t>F77265</t>
  </si>
  <si>
    <t>F77267</t>
  </si>
  <si>
    <t>ada paymnet karanawa</t>
  </si>
  <si>
    <t>F77266</t>
  </si>
  <si>
    <t>F77268</t>
  </si>
  <si>
    <t>F77274</t>
  </si>
  <si>
    <t>F77270</t>
  </si>
  <si>
    <t>F77271</t>
  </si>
  <si>
    <t>F77272</t>
  </si>
  <si>
    <t>F77273</t>
  </si>
  <si>
    <t>F77275</t>
  </si>
  <si>
    <t>F77279</t>
  </si>
  <si>
    <t>F77276</t>
  </si>
  <si>
    <t>F77277</t>
  </si>
  <si>
    <t>F77280</t>
  </si>
  <si>
    <t>F77282</t>
  </si>
  <si>
    <t>F77283</t>
  </si>
  <si>
    <t>F77284</t>
  </si>
  <si>
    <t>F77285</t>
  </si>
  <si>
    <t>F77286</t>
  </si>
  <si>
    <t>F77287</t>
  </si>
  <si>
    <t>F77288</t>
  </si>
  <si>
    <t>F77289</t>
  </si>
  <si>
    <t>F77290</t>
  </si>
  <si>
    <t>F77291</t>
  </si>
  <si>
    <t>F77292</t>
  </si>
  <si>
    <t>F77293</t>
  </si>
  <si>
    <t>keti prashna potha</t>
  </si>
  <si>
    <t>F77294</t>
  </si>
  <si>
    <t>F77295</t>
  </si>
  <si>
    <t>F77296</t>
  </si>
  <si>
    <t>F77298</t>
  </si>
  <si>
    <t>F77299</t>
  </si>
  <si>
    <t>F77300</t>
  </si>
  <si>
    <t>F77302</t>
  </si>
  <si>
    <t>F77301</t>
  </si>
  <si>
    <t>F77303</t>
  </si>
  <si>
    <t>F77304</t>
  </si>
  <si>
    <t>F77305</t>
  </si>
  <si>
    <t>F77306</t>
  </si>
  <si>
    <t>F77307</t>
  </si>
  <si>
    <t>F77308</t>
  </si>
  <si>
    <t>F77309</t>
  </si>
  <si>
    <t>F77310</t>
  </si>
  <si>
    <t>F77311</t>
  </si>
  <si>
    <t>u ktha krnne na</t>
  </si>
  <si>
    <t>F77312</t>
  </si>
  <si>
    <t>F77313</t>
  </si>
  <si>
    <t>F77314</t>
  </si>
  <si>
    <t>F77316</t>
  </si>
  <si>
    <t>duva avm gnnm</t>
  </si>
  <si>
    <t>F77318</t>
  </si>
  <si>
    <t>F77320</t>
  </si>
  <si>
    <t>F77321</t>
  </si>
  <si>
    <t>F77322</t>
  </si>
  <si>
    <t>F77323</t>
  </si>
  <si>
    <t>F77324</t>
  </si>
  <si>
    <t>F77325</t>
  </si>
  <si>
    <t>kpd</t>
  </si>
  <si>
    <t>F77326</t>
  </si>
  <si>
    <t>F77327</t>
  </si>
  <si>
    <t>F77328</t>
  </si>
  <si>
    <t>F77329</t>
  </si>
  <si>
    <t>F77330</t>
  </si>
  <si>
    <t>F77331</t>
  </si>
  <si>
    <t>F77333</t>
  </si>
  <si>
    <t>F77334</t>
  </si>
  <si>
    <t>F77335</t>
  </si>
  <si>
    <t>passe gnnmlu</t>
  </si>
  <si>
    <t>F77336</t>
  </si>
  <si>
    <t>F77338</t>
  </si>
  <si>
    <t>F77339</t>
  </si>
  <si>
    <t>F77341</t>
  </si>
  <si>
    <t>F77342</t>
  </si>
  <si>
    <t>F77344</t>
  </si>
  <si>
    <t>F77345</t>
  </si>
  <si>
    <t>class epalu</t>
  </si>
  <si>
    <t>F77347</t>
  </si>
  <si>
    <t>F77348</t>
  </si>
  <si>
    <t>F77352</t>
  </si>
  <si>
    <t>F77350</t>
  </si>
  <si>
    <t>F77351</t>
  </si>
  <si>
    <t>F77354</t>
  </si>
  <si>
    <t>F77355</t>
  </si>
  <si>
    <t>F77356</t>
  </si>
  <si>
    <t>pare inne gnnm</t>
  </si>
  <si>
    <t>F77357</t>
  </si>
  <si>
    <t>F77358</t>
  </si>
  <si>
    <t>F77359</t>
  </si>
  <si>
    <t>F77360</t>
  </si>
  <si>
    <t>F77361</t>
  </si>
  <si>
    <t>F77362</t>
  </si>
  <si>
    <t>F77363</t>
  </si>
  <si>
    <t>F77364</t>
  </si>
  <si>
    <t>F77366</t>
  </si>
  <si>
    <t>අලුත් 6ට</t>
  </si>
  <si>
    <t>F77367</t>
  </si>
  <si>
    <t>F77369</t>
  </si>
  <si>
    <t>F77370</t>
  </si>
  <si>
    <t>F77371</t>
  </si>
  <si>
    <t>F77372</t>
  </si>
  <si>
    <t>F77373</t>
  </si>
  <si>
    <t>F77374</t>
  </si>
  <si>
    <t>F77376</t>
  </si>
  <si>
    <t>F77377</t>
  </si>
  <si>
    <t>F77379</t>
  </si>
  <si>
    <t>F77381</t>
  </si>
  <si>
    <t>F77382</t>
  </si>
  <si>
    <t>F77383</t>
  </si>
  <si>
    <t>F77384</t>
  </si>
  <si>
    <t>F77387</t>
  </si>
  <si>
    <t>F77385</t>
  </si>
  <si>
    <t>keti potha</t>
  </si>
  <si>
    <t>F77386</t>
  </si>
  <si>
    <t>F77388</t>
  </si>
  <si>
    <t>F77389</t>
  </si>
  <si>
    <t>F77390</t>
  </si>
  <si>
    <t>class wata</t>
  </si>
  <si>
    <t>F77391</t>
  </si>
  <si>
    <t>F77392</t>
  </si>
  <si>
    <t>F77394</t>
  </si>
  <si>
    <t>F77393</t>
  </si>
  <si>
    <t>F77395</t>
  </si>
  <si>
    <t>F77396</t>
  </si>
  <si>
    <t>payment</t>
  </si>
  <si>
    <t>F77397</t>
  </si>
  <si>
    <t>F77398</t>
  </si>
  <si>
    <t>balala paymnet karannam</t>
  </si>
  <si>
    <t>F77399</t>
  </si>
  <si>
    <t>F77400</t>
  </si>
  <si>
    <t>gdr ay thma danne wisthara ewal thiynn</t>
  </si>
  <si>
    <t>F77401</t>
  </si>
  <si>
    <t>F77402</t>
  </si>
  <si>
    <t>F77403</t>
  </si>
  <si>
    <t>F77404</t>
  </si>
  <si>
    <t>F77405</t>
  </si>
  <si>
    <t>F77406</t>
  </si>
  <si>
    <t>F77407</t>
  </si>
  <si>
    <t>eng m thm one</t>
  </si>
  <si>
    <t>F77409</t>
  </si>
  <si>
    <t>F77411</t>
  </si>
  <si>
    <t>F77410</t>
  </si>
  <si>
    <t>F77412</t>
  </si>
  <si>
    <t>bus ekt yn gmn</t>
  </si>
  <si>
    <t>F77413</t>
  </si>
  <si>
    <t>F77414</t>
  </si>
  <si>
    <t>F77415</t>
  </si>
  <si>
    <t>F77416</t>
  </si>
  <si>
    <t>F77417</t>
  </si>
  <si>
    <t>F77418</t>
  </si>
  <si>
    <t>F77419</t>
  </si>
  <si>
    <t>F77420</t>
  </si>
  <si>
    <t>F77421</t>
  </si>
  <si>
    <t>F77422</t>
  </si>
  <si>
    <t>F77423</t>
  </si>
  <si>
    <t>F77424</t>
  </si>
  <si>
    <t>F77425</t>
  </si>
  <si>
    <t>F77426</t>
  </si>
  <si>
    <t>passe gannamlu</t>
  </si>
  <si>
    <t>F77427</t>
  </si>
  <si>
    <t>F77428</t>
  </si>
  <si>
    <t>F77429</t>
  </si>
  <si>
    <t>F77430</t>
  </si>
  <si>
    <t>F77432</t>
  </si>
  <si>
    <t>F77431</t>
  </si>
  <si>
    <t>F77433</t>
  </si>
  <si>
    <t>F77434</t>
  </si>
  <si>
    <t>F77437</t>
  </si>
  <si>
    <t>F77435</t>
  </si>
  <si>
    <t>F77436</t>
  </si>
  <si>
    <t>ktha kran na</t>
  </si>
  <si>
    <t>F77438</t>
  </si>
  <si>
    <t>F77439</t>
  </si>
  <si>
    <t>F77440</t>
  </si>
  <si>
    <t>science ekk kiyl dmme</t>
  </si>
  <si>
    <t>F77441</t>
  </si>
  <si>
    <t>F77442</t>
  </si>
  <si>
    <t>dn kth krnn be</t>
  </si>
  <si>
    <t>F77443</t>
  </si>
  <si>
    <t>F77444</t>
  </si>
  <si>
    <t>F77445</t>
  </si>
  <si>
    <t>F77446</t>
  </si>
  <si>
    <t>F77448</t>
  </si>
  <si>
    <t>F77450</t>
  </si>
  <si>
    <t>eng m only</t>
  </si>
  <si>
    <t>F77451</t>
  </si>
  <si>
    <t xml:space="preserve"> 71 274 4217</t>
  </si>
  <si>
    <t>F77452</t>
  </si>
  <si>
    <t>F77453</t>
  </si>
  <si>
    <t xml:space="preserve"> 75 515 7205</t>
  </si>
  <si>
    <t>F77454</t>
  </si>
  <si>
    <t>geometry b</t>
  </si>
  <si>
    <t>71 540 5653</t>
  </si>
  <si>
    <t>F77455</t>
  </si>
  <si>
    <t>F77456</t>
  </si>
  <si>
    <t>F77457</t>
  </si>
  <si>
    <t>F77459</t>
  </si>
  <si>
    <t>mn danne nona thma dnne.</t>
  </si>
  <si>
    <t>F77462</t>
  </si>
  <si>
    <t>F77464</t>
  </si>
  <si>
    <t>F77465</t>
  </si>
  <si>
    <t>F77466</t>
  </si>
  <si>
    <t>F77468</t>
  </si>
  <si>
    <t>F77469</t>
  </si>
  <si>
    <t>F77471</t>
  </si>
  <si>
    <t>F77473</t>
  </si>
  <si>
    <t>F77474</t>
  </si>
  <si>
    <t>F77475</t>
  </si>
  <si>
    <t xml:space="preserve">balala kiyannam </t>
  </si>
  <si>
    <t>class/kpb</t>
  </si>
  <si>
    <t>F77480</t>
  </si>
  <si>
    <t>F77482</t>
  </si>
  <si>
    <t>F77484</t>
  </si>
  <si>
    <t>F77486</t>
  </si>
  <si>
    <t>F77485</t>
  </si>
  <si>
    <t>F77487</t>
  </si>
  <si>
    <t>F77488</t>
  </si>
  <si>
    <t>F77490</t>
  </si>
  <si>
    <t>F77492</t>
  </si>
  <si>
    <t>F77493</t>
  </si>
  <si>
    <t>F77494</t>
  </si>
  <si>
    <t>F77495</t>
  </si>
  <si>
    <t>F77497</t>
  </si>
  <si>
    <t>F77496</t>
  </si>
  <si>
    <t>F77498</t>
  </si>
  <si>
    <t>F77499</t>
  </si>
  <si>
    <t>duva avama gannm</t>
  </si>
  <si>
    <t>F77500</t>
  </si>
  <si>
    <t>F77501</t>
  </si>
  <si>
    <t>F77502</t>
  </si>
  <si>
    <t>F77504</t>
  </si>
  <si>
    <t>F77505</t>
  </si>
  <si>
    <t>F77507</t>
  </si>
  <si>
    <t>F77506</t>
  </si>
  <si>
    <t>nikan baluwe</t>
  </si>
  <si>
    <t>F77508</t>
  </si>
  <si>
    <t>F77509</t>
  </si>
  <si>
    <t>F77510</t>
  </si>
  <si>
    <t>F77511</t>
  </si>
  <si>
    <t>F77512</t>
  </si>
  <si>
    <t>F77513</t>
  </si>
  <si>
    <t>F77514</t>
  </si>
  <si>
    <t>F77515</t>
  </si>
  <si>
    <t>put awam gnnm</t>
  </si>
  <si>
    <t>F77220</t>
  </si>
  <si>
    <t>ktha kra</t>
  </si>
  <si>
    <t>F77233</t>
  </si>
  <si>
    <t>F77237</t>
  </si>
  <si>
    <t>F77252</t>
  </si>
  <si>
    <t>F77264</t>
  </si>
  <si>
    <t>F77269</t>
  </si>
  <si>
    <t>9 call kra</t>
  </si>
  <si>
    <t>F77297</t>
  </si>
  <si>
    <t>F77278</t>
  </si>
  <si>
    <t>F77921</t>
  </si>
  <si>
    <t>F77281</t>
  </si>
  <si>
    <t>ktha kralu</t>
  </si>
  <si>
    <t>F77315</t>
  </si>
  <si>
    <t>F77317</t>
  </si>
  <si>
    <t>wistr danna</t>
  </si>
  <si>
    <t>F77319</t>
  </si>
  <si>
    <t>F77332</t>
  </si>
  <si>
    <t>kalin ktha kra</t>
  </si>
  <si>
    <t>F77337</t>
  </si>
  <si>
    <t>F77340</t>
  </si>
  <si>
    <t>F77343</t>
  </si>
  <si>
    <t>F77346</t>
  </si>
  <si>
    <t>F77349</t>
  </si>
  <si>
    <t>F77353</t>
  </si>
  <si>
    <t>kurunegala</t>
  </si>
  <si>
    <t>F77365</t>
  </si>
  <si>
    <t>F77368</t>
  </si>
  <si>
    <t>F77375</t>
  </si>
  <si>
    <t>F77378</t>
  </si>
  <si>
    <t>F77380</t>
  </si>
  <si>
    <t>F77408</t>
  </si>
  <si>
    <t>F77447</t>
  </si>
  <si>
    <t>F77449</t>
  </si>
  <si>
    <t>F77458</t>
  </si>
  <si>
    <t>F77460</t>
  </si>
  <si>
    <t>F77463</t>
  </si>
  <si>
    <t>F77472</t>
  </si>
  <si>
    <t>F77477</t>
  </si>
  <si>
    <t>F77478</t>
  </si>
  <si>
    <t>F77479</t>
  </si>
  <si>
    <t>F77483</t>
  </si>
  <si>
    <t>F77653</t>
  </si>
  <si>
    <t>F77654</t>
  </si>
  <si>
    <t>F77660</t>
  </si>
  <si>
    <t>F77671</t>
  </si>
  <si>
    <t>F77673</t>
  </si>
  <si>
    <t>F77674</t>
  </si>
  <si>
    <t>time prsna</t>
  </si>
  <si>
    <t>ona unoth gnnm</t>
  </si>
  <si>
    <t>F77676</t>
  </si>
  <si>
    <t>F77677</t>
  </si>
  <si>
    <t>kpb waradil awe</t>
  </si>
  <si>
    <t>F77679</t>
  </si>
  <si>
    <t>wis danna</t>
  </si>
  <si>
    <t>F77681</t>
  </si>
  <si>
    <t>F77685</t>
  </si>
  <si>
    <t>F77687</t>
  </si>
  <si>
    <t>F77690</t>
  </si>
  <si>
    <t>F77693</t>
  </si>
  <si>
    <t>F77694</t>
  </si>
  <si>
    <t>F77839</t>
  </si>
  <si>
    <t>F77840</t>
  </si>
  <si>
    <t>link dennas</t>
  </si>
  <si>
    <t>F77841</t>
  </si>
  <si>
    <t>F77842</t>
  </si>
  <si>
    <t>F77847</t>
  </si>
  <si>
    <t>71 696 3318</t>
  </si>
  <si>
    <t>F77461</t>
  </si>
  <si>
    <t>english class</t>
  </si>
  <si>
    <t>71 203 1898</t>
  </si>
  <si>
    <t>F77467</t>
  </si>
  <si>
    <t>71 204 8906</t>
  </si>
  <si>
    <t>F77470</t>
  </si>
  <si>
    <t xml:space="preserve"> 76 310 3209</t>
  </si>
  <si>
    <t>1000ta join wenn balapu kena</t>
  </si>
  <si>
    <t>71 155 7819</t>
  </si>
  <si>
    <t>F77476</t>
  </si>
  <si>
    <t>77 257 7694</t>
  </si>
  <si>
    <t>F77481</t>
  </si>
  <si>
    <t>තත්ත නිදි</t>
  </si>
  <si>
    <t>77 549 0409</t>
  </si>
  <si>
    <t>F77489</t>
  </si>
  <si>
    <t>77 961 5277</t>
  </si>
  <si>
    <t>F77491</t>
  </si>
  <si>
    <t xml:space="preserve"> 76 021 1070</t>
  </si>
  <si>
    <t>F77597</t>
  </si>
  <si>
    <t>ktha kraa</t>
  </si>
  <si>
    <t>F77602</t>
  </si>
  <si>
    <t>F77610</t>
  </si>
  <si>
    <t>F77612</t>
  </si>
  <si>
    <t>F77613</t>
  </si>
  <si>
    <t>76 578 3687</t>
  </si>
  <si>
    <t>F77618</t>
  </si>
  <si>
    <t>70 127 2538</t>
  </si>
  <si>
    <t>F77620</t>
  </si>
  <si>
    <t>71 704 6591</t>
  </si>
  <si>
    <t>F77621</t>
  </si>
  <si>
    <t xml:space="preserve"> 77 322 8298</t>
  </si>
  <si>
    <t>F77642</t>
  </si>
  <si>
    <t>F77661</t>
  </si>
  <si>
    <t>F77675</t>
  </si>
  <si>
    <t>බලමු ims</t>
  </si>
  <si>
    <t>74 206 3737</t>
  </si>
  <si>
    <t>F77678</t>
  </si>
  <si>
    <t>2nd shy</t>
  </si>
  <si>
    <t xml:space="preserve"> 76 461 8500</t>
  </si>
  <si>
    <t>F77682</t>
  </si>
  <si>
    <t>71 049 2194</t>
  </si>
  <si>
    <t>F77707</t>
  </si>
  <si>
    <t>F77516</t>
  </si>
  <si>
    <t>F77518</t>
  </si>
  <si>
    <t>malli avam kiyannm</t>
  </si>
  <si>
    <t>F77519</t>
  </si>
  <si>
    <t>F77517</t>
  </si>
  <si>
    <t>F77520</t>
  </si>
  <si>
    <t>F77521</t>
  </si>
  <si>
    <t>F77522</t>
  </si>
  <si>
    <t>F77523</t>
  </si>
  <si>
    <t>F77524</t>
  </si>
  <si>
    <t>F77525</t>
  </si>
  <si>
    <t>F77528</t>
  </si>
  <si>
    <t>F77526</t>
  </si>
  <si>
    <t>F77527</t>
  </si>
  <si>
    <t>F77529</t>
  </si>
  <si>
    <t>F77530</t>
  </si>
  <si>
    <t>F77531</t>
  </si>
  <si>
    <t>F77532</t>
  </si>
  <si>
    <t>payment krl</t>
  </si>
  <si>
    <t>F77533</t>
  </si>
  <si>
    <t>F77536</t>
  </si>
  <si>
    <t>F77534</t>
  </si>
  <si>
    <t>F77535</t>
  </si>
  <si>
    <t>F77537</t>
  </si>
  <si>
    <t>F77538</t>
  </si>
  <si>
    <t>F77539</t>
  </si>
  <si>
    <t>vedaka inne passe gnnm</t>
  </si>
  <si>
    <t>F77540</t>
  </si>
  <si>
    <t>F77541</t>
  </si>
  <si>
    <t>F77542</t>
  </si>
  <si>
    <t>F77543</t>
  </si>
  <si>
    <t>F77544</t>
  </si>
  <si>
    <t>F77545</t>
  </si>
  <si>
    <t>F77546</t>
  </si>
  <si>
    <t>F77547</t>
  </si>
  <si>
    <t>F77548</t>
  </si>
  <si>
    <t>F77549</t>
  </si>
  <si>
    <t>F77550</t>
  </si>
  <si>
    <t>F77551</t>
  </si>
  <si>
    <t>F77552</t>
  </si>
  <si>
    <t>F77553</t>
  </si>
  <si>
    <t>F77556</t>
  </si>
  <si>
    <t>F77555</t>
  </si>
  <si>
    <t>F77554</t>
  </si>
  <si>
    <t xml:space="preserve">kpb </t>
  </si>
  <si>
    <t>F77557</t>
  </si>
  <si>
    <t>passe gamu kiuva</t>
  </si>
  <si>
    <t>F77558</t>
  </si>
  <si>
    <t>F77559</t>
  </si>
  <si>
    <t>F77560</t>
  </si>
  <si>
    <t>puth awama ahl kiynnm</t>
  </si>
  <si>
    <t>F77561</t>
  </si>
  <si>
    <t>F77562</t>
  </si>
  <si>
    <t>F77563</t>
  </si>
  <si>
    <t>F77564</t>
  </si>
  <si>
    <t>F77565</t>
  </si>
  <si>
    <t>F77566</t>
  </si>
  <si>
    <t>F77567</t>
  </si>
  <si>
    <t>F77568</t>
  </si>
  <si>
    <t>F77569</t>
  </si>
  <si>
    <t>F77571</t>
  </si>
  <si>
    <t>F77570</t>
  </si>
  <si>
    <t>F77572</t>
  </si>
  <si>
    <t>F77573</t>
  </si>
  <si>
    <t>epalu</t>
  </si>
  <si>
    <t>F77574</t>
  </si>
  <si>
    <t>keti prashna potha 9wasart</t>
  </si>
  <si>
    <t>F77575</t>
  </si>
  <si>
    <t>F77576</t>
  </si>
  <si>
    <t>F77577</t>
  </si>
  <si>
    <t>F77578</t>
  </si>
  <si>
    <t>F77579</t>
  </si>
  <si>
    <t>F77580</t>
  </si>
  <si>
    <t>F77582</t>
  </si>
  <si>
    <t>F77581</t>
  </si>
  <si>
    <t>F77583</t>
  </si>
  <si>
    <t>F77584</t>
  </si>
  <si>
    <t>F77585</t>
  </si>
  <si>
    <t>F77586</t>
  </si>
  <si>
    <t>puthagen ahl kiynnm</t>
  </si>
  <si>
    <t>F77587</t>
  </si>
  <si>
    <t>F77588</t>
  </si>
  <si>
    <t>F77591</t>
  </si>
  <si>
    <t>F77590</t>
  </si>
  <si>
    <t>F77592</t>
  </si>
  <si>
    <t>F77593</t>
  </si>
  <si>
    <t>F77594</t>
  </si>
  <si>
    <t>F77595</t>
  </si>
  <si>
    <t>F77596</t>
  </si>
  <si>
    <t>F77598</t>
  </si>
  <si>
    <t>F77599</t>
  </si>
  <si>
    <t>F77600</t>
  </si>
  <si>
    <t>F77601</t>
  </si>
  <si>
    <t>F77603</t>
  </si>
  <si>
    <t>F77604</t>
  </si>
  <si>
    <t>F77605</t>
  </si>
  <si>
    <t>F77606</t>
  </si>
  <si>
    <t>F77607</t>
  </si>
  <si>
    <t>F77608</t>
  </si>
  <si>
    <t>F77609</t>
  </si>
  <si>
    <t>F77611</t>
  </si>
  <si>
    <t>F77614</t>
  </si>
  <si>
    <t>F77615</t>
  </si>
  <si>
    <t>F77616</t>
  </si>
  <si>
    <t>F77617</t>
  </si>
  <si>
    <t>F77619</t>
  </si>
  <si>
    <t>F77622</t>
  </si>
  <si>
    <t>F77627</t>
  </si>
  <si>
    <t>F77623</t>
  </si>
  <si>
    <t>F77624</t>
  </si>
  <si>
    <t>F77625</t>
  </si>
  <si>
    <t>F77626</t>
  </si>
  <si>
    <t>F77628</t>
  </si>
  <si>
    <t>F77629</t>
  </si>
  <si>
    <t>F77630</t>
  </si>
  <si>
    <t>F77631</t>
  </si>
  <si>
    <t>F77632</t>
  </si>
  <si>
    <t>F77633</t>
  </si>
  <si>
    <t>F77634</t>
  </si>
  <si>
    <t>F77635</t>
  </si>
  <si>
    <t>F77636</t>
  </si>
  <si>
    <t>F77637</t>
  </si>
  <si>
    <t>F77638</t>
  </si>
  <si>
    <t>F77641</t>
  </si>
  <si>
    <t>F77639</t>
  </si>
  <si>
    <t>F77640</t>
  </si>
  <si>
    <t>F77643</t>
  </si>
  <si>
    <t>F77644</t>
  </si>
  <si>
    <t>F77645</t>
  </si>
  <si>
    <t>F77646</t>
  </si>
  <si>
    <t>F77647</t>
  </si>
  <si>
    <t>F77648</t>
  </si>
  <si>
    <t>F77651</t>
  </si>
  <si>
    <t>F77649</t>
  </si>
  <si>
    <t>F77650</t>
  </si>
  <si>
    <t>F77652</t>
  </si>
  <si>
    <t>F77655</t>
  </si>
  <si>
    <t xml:space="preserve">උට අමතකයී </t>
  </si>
  <si>
    <t>F77656</t>
  </si>
  <si>
    <t>F77657</t>
  </si>
  <si>
    <t>F77658</t>
  </si>
  <si>
    <t>F77659</t>
  </si>
  <si>
    <t>F77662</t>
  </si>
  <si>
    <t>F77665</t>
  </si>
  <si>
    <t>F77663</t>
  </si>
  <si>
    <t>F77664</t>
  </si>
  <si>
    <t>F77666</t>
  </si>
  <si>
    <t>baba me welawe gdr ne</t>
  </si>
  <si>
    <t>F77667</t>
  </si>
  <si>
    <t>duwa ekk kth krl cl ekk gnnm</t>
  </si>
  <si>
    <t>F77668</t>
  </si>
  <si>
    <t>F77669</t>
  </si>
  <si>
    <t>F77670</t>
  </si>
  <si>
    <t>F77672</t>
  </si>
  <si>
    <t>F77680</t>
  </si>
  <si>
    <t>F77683</t>
  </si>
  <si>
    <t>F77684</t>
  </si>
  <si>
    <t>F77686</t>
  </si>
  <si>
    <t>amma avama gnnm</t>
  </si>
  <si>
    <t>F77688</t>
  </si>
  <si>
    <t xml:space="preserve">kathakaranne </t>
  </si>
  <si>
    <t>F77689</t>
  </si>
  <si>
    <t>F77691</t>
  </si>
  <si>
    <t>F77692</t>
  </si>
  <si>
    <t>F77695</t>
  </si>
  <si>
    <t>F77696</t>
  </si>
  <si>
    <t>F77697</t>
  </si>
  <si>
    <t>F77698</t>
  </si>
  <si>
    <t>F77699</t>
  </si>
  <si>
    <t>F77700</t>
  </si>
  <si>
    <t>englisah m</t>
  </si>
  <si>
    <t>F77701</t>
  </si>
  <si>
    <t>F77702</t>
  </si>
  <si>
    <t>F77703</t>
  </si>
  <si>
    <t>F77704</t>
  </si>
  <si>
    <t>F77705</t>
  </si>
  <si>
    <t>F77706</t>
  </si>
  <si>
    <t>F77708</t>
  </si>
  <si>
    <t>F77711</t>
  </si>
  <si>
    <t>F77712</t>
  </si>
  <si>
    <t>F77713</t>
  </si>
  <si>
    <t>vedka inne passe gnnm</t>
  </si>
  <si>
    <t>F77715</t>
  </si>
  <si>
    <t>F77717</t>
  </si>
  <si>
    <t>F77718</t>
  </si>
  <si>
    <t>F77719</t>
  </si>
  <si>
    <t>eng m pothak one</t>
  </si>
  <si>
    <t>F77720</t>
  </si>
  <si>
    <t>F77721</t>
  </si>
  <si>
    <t>F77722</t>
  </si>
  <si>
    <t>F77723</t>
  </si>
  <si>
    <t>F77724</t>
  </si>
  <si>
    <t>F77725</t>
  </si>
  <si>
    <t>F77726</t>
  </si>
  <si>
    <t>F77727</t>
  </si>
  <si>
    <t>F77728</t>
  </si>
  <si>
    <t>F77729</t>
  </si>
  <si>
    <t>F77730</t>
  </si>
  <si>
    <t>F77731</t>
  </si>
  <si>
    <t xml:space="preserve"> 77 829 4099</t>
  </si>
  <si>
    <t>F77709</t>
  </si>
  <si>
    <t>77 183 8675</t>
  </si>
  <si>
    <t>F77710</t>
  </si>
  <si>
    <t>74 270 8201</t>
  </si>
  <si>
    <t>F77714</t>
  </si>
  <si>
    <t>71 668 5932</t>
  </si>
  <si>
    <t>F77716</t>
  </si>
  <si>
    <t>74 130 7581</t>
  </si>
  <si>
    <t>F77732</t>
  </si>
  <si>
    <t>77 928 0802</t>
  </si>
  <si>
    <t>F77764</t>
  </si>
  <si>
    <t>74 169 3851</t>
  </si>
  <si>
    <t>F77769</t>
  </si>
  <si>
    <t>F77819</t>
  </si>
  <si>
    <t>F77797</t>
  </si>
  <si>
    <t>F77807</t>
  </si>
  <si>
    <t>F77820</t>
  </si>
  <si>
    <t>l ink dmma</t>
  </si>
  <si>
    <t>F77821</t>
  </si>
  <si>
    <t>75 039 3461</t>
  </si>
  <si>
    <t>F77823</t>
  </si>
  <si>
    <t>76 119 7669</t>
  </si>
  <si>
    <t>F77837</t>
  </si>
  <si>
    <t>74 300 5187</t>
  </si>
  <si>
    <t>F77838</t>
  </si>
  <si>
    <t>74 145 8325</t>
  </si>
  <si>
    <t>71 549 1021</t>
  </si>
  <si>
    <t>F77861</t>
  </si>
  <si>
    <t>76 978 8415</t>
  </si>
  <si>
    <t>76 084 5903</t>
  </si>
  <si>
    <t>F77862</t>
  </si>
  <si>
    <t>කෙටි ප්‍රශ්න පොත</t>
  </si>
  <si>
    <t>74 117 4658</t>
  </si>
  <si>
    <t>F77867</t>
  </si>
  <si>
    <t>76 157 9090</t>
  </si>
  <si>
    <t>F77886</t>
  </si>
  <si>
    <t>75 365 7020</t>
  </si>
  <si>
    <t>F77889</t>
  </si>
  <si>
    <t>77 644 3057</t>
  </si>
  <si>
    <t>කට් කරා</t>
  </si>
  <si>
    <t>74 128 6136</t>
  </si>
  <si>
    <t>F77891</t>
  </si>
  <si>
    <t>71 195 7481</t>
  </si>
  <si>
    <t>F77893</t>
  </si>
  <si>
    <t>75 450 5868</t>
  </si>
  <si>
    <t>F77894</t>
  </si>
  <si>
    <t>78 572 5270</t>
  </si>
  <si>
    <t>F77896</t>
  </si>
  <si>
    <t>71 187 9450</t>
  </si>
  <si>
    <t>F77897</t>
  </si>
  <si>
    <t xml:space="preserve"> 70 328 1594</t>
  </si>
  <si>
    <t>F77898</t>
  </si>
  <si>
    <t xml:space="preserve"> 71 106 4783</t>
  </si>
  <si>
    <t>F77899</t>
  </si>
  <si>
    <t>76 763 9123</t>
  </si>
  <si>
    <t>75 804 8842</t>
  </si>
  <si>
    <t>F77900</t>
  </si>
  <si>
    <t>76 767 5005</t>
  </si>
  <si>
    <t>F77901</t>
  </si>
  <si>
    <t>76 883 6994</t>
  </si>
  <si>
    <t>F77902</t>
  </si>
  <si>
    <t>77 218 5666</t>
  </si>
  <si>
    <t>F77903</t>
  </si>
  <si>
    <t>71 765 1184</t>
  </si>
  <si>
    <t>F77881</t>
  </si>
  <si>
    <t>78 603 7411</t>
  </si>
  <si>
    <t>F77906</t>
  </si>
  <si>
    <t>77 605 7341</t>
  </si>
  <si>
    <t>F77907</t>
  </si>
  <si>
    <t>70 183 2661</t>
  </si>
  <si>
    <t>F77908</t>
  </si>
  <si>
    <t>77 534 2856</t>
  </si>
  <si>
    <t>F77909</t>
  </si>
  <si>
    <t>77 632 3606</t>
  </si>
  <si>
    <t>F77911</t>
  </si>
  <si>
    <t xml:space="preserve"> 74 323 2949</t>
  </si>
  <si>
    <t>F77912</t>
  </si>
  <si>
    <t>77 066 4349</t>
  </si>
  <si>
    <t>F77924</t>
  </si>
  <si>
    <t>70 160 3628</t>
  </si>
  <si>
    <t>F77925</t>
  </si>
  <si>
    <t>76 372 1486</t>
  </si>
  <si>
    <t>F77930</t>
  </si>
  <si>
    <t xml:space="preserve"> 71 665 7729</t>
  </si>
  <si>
    <t>F77938</t>
  </si>
  <si>
    <t>76 573 4407</t>
  </si>
  <si>
    <t>72 490 7009</t>
  </si>
  <si>
    <t>F77939</t>
  </si>
  <si>
    <t>70 558 3692</t>
  </si>
  <si>
    <t>F77940</t>
  </si>
  <si>
    <t>70 135 9054</t>
  </si>
  <si>
    <t>F77941</t>
  </si>
  <si>
    <t>අලුත් 11</t>
  </si>
  <si>
    <t>78 842 7999</t>
  </si>
  <si>
    <t>F77942</t>
  </si>
  <si>
    <t>75 696 4911</t>
  </si>
  <si>
    <t>F77945</t>
  </si>
  <si>
    <t>77 483 0248</t>
  </si>
  <si>
    <t>F77947</t>
  </si>
  <si>
    <t>71 462 3042</t>
  </si>
  <si>
    <t>F77948</t>
  </si>
  <si>
    <t>F77733</t>
  </si>
  <si>
    <t>F77734</t>
  </si>
  <si>
    <t>U dannalu</t>
  </si>
  <si>
    <t>F77735</t>
  </si>
  <si>
    <t>F77736</t>
  </si>
  <si>
    <t>F77737</t>
  </si>
  <si>
    <t>F77738</t>
  </si>
  <si>
    <t>putha qavm gnnm</t>
  </si>
  <si>
    <t>F77739</t>
  </si>
  <si>
    <t>F77740</t>
  </si>
  <si>
    <t>F77742</t>
  </si>
  <si>
    <t>F77741</t>
  </si>
  <si>
    <t>F77743</t>
  </si>
  <si>
    <t>F77744</t>
  </si>
  <si>
    <t>F77745</t>
  </si>
  <si>
    <t>F77746</t>
  </si>
  <si>
    <t>F77747</t>
  </si>
  <si>
    <t>F77748</t>
  </si>
  <si>
    <t>6 wasara</t>
  </si>
  <si>
    <t>keti p B</t>
  </si>
  <si>
    <t>F77749</t>
  </si>
  <si>
    <t>F77750</t>
  </si>
  <si>
    <t>F77752</t>
  </si>
  <si>
    <t>F77751</t>
  </si>
  <si>
    <t>F77753</t>
  </si>
  <si>
    <t>F77754</t>
  </si>
  <si>
    <t>F77755</t>
  </si>
  <si>
    <t>F77757</t>
  </si>
  <si>
    <t>F77758</t>
  </si>
  <si>
    <t>F77756</t>
  </si>
  <si>
    <t>F77760</t>
  </si>
  <si>
    <t>F77759</t>
  </si>
  <si>
    <t>amma dnne na</t>
  </si>
  <si>
    <t>F77761</t>
  </si>
  <si>
    <t>F77762</t>
  </si>
  <si>
    <t>F77763</t>
  </si>
  <si>
    <t>F77765</t>
  </si>
  <si>
    <t>F77766</t>
  </si>
  <si>
    <t>F77767</t>
  </si>
  <si>
    <t>F77768</t>
  </si>
  <si>
    <t>F77770</t>
  </si>
  <si>
    <t>F77771</t>
  </si>
  <si>
    <t>F77772</t>
  </si>
  <si>
    <t>F77773</t>
  </si>
  <si>
    <t>F77774</t>
  </si>
  <si>
    <t>F77776</t>
  </si>
  <si>
    <t>F77777</t>
  </si>
  <si>
    <t>F77775</t>
  </si>
  <si>
    <t>F77778</t>
  </si>
  <si>
    <t>F77779</t>
  </si>
  <si>
    <t>F77780</t>
  </si>
  <si>
    <t>F77781</t>
  </si>
  <si>
    <t>F77782</t>
  </si>
  <si>
    <t>vedata avith inne passe gnnm</t>
  </si>
  <si>
    <t>F77783</t>
  </si>
  <si>
    <t>F77784</t>
  </si>
  <si>
    <t>F77785</t>
  </si>
  <si>
    <t>F77786</t>
  </si>
  <si>
    <t>F77787</t>
  </si>
  <si>
    <t>F77789</t>
  </si>
  <si>
    <t>paper book eka blanne</t>
  </si>
  <si>
    <t>F77790</t>
  </si>
  <si>
    <t>amma gedara ne</t>
  </si>
  <si>
    <t>F77791</t>
  </si>
  <si>
    <t>F77792</t>
  </si>
  <si>
    <t>F77793</t>
  </si>
  <si>
    <t>F77794</t>
  </si>
  <si>
    <t>F77795</t>
  </si>
  <si>
    <t>F77796</t>
  </si>
  <si>
    <t>F77798</t>
  </si>
  <si>
    <t>F77799</t>
  </si>
  <si>
    <t>F77800</t>
  </si>
  <si>
    <t>F77801</t>
  </si>
  <si>
    <t>F77802</t>
  </si>
  <si>
    <t>F77803</t>
  </si>
  <si>
    <t>F77804</t>
  </si>
  <si>
    <t>F77805</t>
  </si>
  <si>
    <t>F77806</t>
  </si>
  <si>
    <t>F77808</t>
  </si>
  <si>
    <t>F77809</t>
  </si>
  <si>
    <t>F77810</t>
  </si>
  <si>
    <t>F77811</t>
  </si>
  <si>
    <t>F77812</t>
  </si>
  <si>
    <t>busylu</t>
  </si>
  <si>
    <t>wif avm gnnm</t>
  </si>
  <si>
    <t>F77813</t>
  </si>
  <si>
    <t>F77814</t>
  </si>
  <si>
    <t>F77815</t>
  </si>
  <si>
    <t>F77816</t>
  </si>
  <si>
    <t>F77817</t>
  </si>
  <si>
    <t>F77818</t>
  </si>
  <si>
    <t>F77822</t>
  </si>
  <si>
    <t>F77824</t>
  </si>
  <si>
    <t>F77826</t>
  </si>
  <si>
    <t>F77825</t>
  </si>
  <si>
    <t>F77827</t>
  </si>
  <si>
    <t>F77828</t>
  </si>
  <si>
    <t>F77829</t>
  </si>
  <si>
    <t>F77830</t>
  </si>
  <si>
    <t>F77831</t>
  </si>
  <si>
    <t>F77832</t>
  </si>
  <si>
    <t>F77833</t>
  </si>
  <si>
    <t>F77834</t>
  </si>
  <si>
    <t>F77835</t>
  </si>
  <si>
    <t>F77836</t>
  </si>
  <si>
    <t>wisthara labunalu</t>
  </si>
  <si>
    <t>F77843</t>
  </si>
  <si>
    <t>F77844</t>
  </si>
  <si>
    <t>F77845</t>
  </si>
  <si>
    <t>hawasa gannam</t>
  </si>
  <si>
    <t>F77846</t>
  </si>
  <si>
    <t>F77848</t>
  </si>
  <si>
    <t>F77849</t>
  </si>
  <si>
    <t>F77850</t>
  </si>
  <si>
    <t>F77851</t>
  </si>
  <si>
    <t>F77852</t>
  </si>
  <si>
    <t>awashya nalu</t>
  </si>
  <si>
    <t>F77854</t>
  </si>
  <si>
    <t>join wenne nalu</t>
  </si>
  <si>
    <t>F77855</t>
  </si>
  <si>
    <t>F77857</t>
  </si>
  <si>
    <t>F77856</t>
  </si>
  <si>
    <t>F77858</t>
  </si>
  <si>
    <t>F77863</t>
  </si>
  <si>
    <t>F77864</t>
  </si>
  <si>
    <t>F77869</t>
  </si>
  <si>
    <t>F77870</t>
  </si>
  <si>
    <t>F77877</t>
  </si>
  <si>
    <t>online clz walata putha innenam nalu</t>
  </si>
  <si>
    <t>F77905</t>
  </si>
  <si>
    <t>F77926</t>
  </si>
  <si>
    <t>F77927</t>
  </si>
  <si>
    <t>F77929</t>
  </si>
  <si>
    <t>KPB/CLZ</t>
  </si>
  <si>
    <t>F77932</t>
  </si>
  <si>
    <t>F77934</t>
  </si>
  <si>
    <t>F77935</t>
  </si>
  <si>
    <t>F77937</t>
  </si>
  <si>
    <t>l</t>
  </si>
  <si>
    <t>F77943</t>
  </si>
  <si>
    <t>KPB/CLZ Paymnt eka gana</t>
  </si>
  <si>
    <t>F77955</t>
  </si>
  <si>
    <t>F77968</t>
  </si>
  <si>
    <t>F77853</t>
  </si>
  <si>
    <t>phicl awth inne</t>
  </si>
  <si>
    <t>F77859</t>
  </si>
  <si>
    <t>F77860</t>
  </si>
  <si>
    <t>normal msge</t>
  </si>
  <si>
    <t>F77865</t>
  </si>
  <si>
    <t>F77866</t>
  </si>
  <si>
    <t>F77868</t>
  </si>
  <si>
    <t>F77871</t>
  </si>
  <si>
    <t xml:space="preserve">join wel </t>
  </si>
  <si>
    <t>F77872</t>
  </si>
  <si>
    <t>F77873</t>
  </si>
  <si>
    <t>F77874</t>
  </si>
  <si>
    <t>F77875</t>
  </si>
  <si>
    <t>F77876</t>
  </si>
  <si>
    <t>F77878</t>
  </si>
  <si>
    <t>F77879</t>
  </si>
  <si>
    <t>F77880</t>
  </si>
  <si>
    <t>F77882</t>
  </si>
  <si>
    <t>F77883</t>
  </si>
  <si>
    <t>F77884</t>
  </si>
  <si>
    <t>F77885</t>
  </si>
  <si>
    <t xml:space="preserve">KPB Tute awe nalu </t>
  </si>
  <si>
    <t>F77887</t>
  </si>
  <si>
    <t>F77888</t>
  </si>
  <si>
    <t>F77890</t>
  </si>
  <si>
    <t>F77892</t>
  </si>
  <si>
    <t>tute tika awe nalu</t>
  </si>
  <si>
    <t>F77895</t>
  </si>
  <si>
    <t>clz eke link eka sambandawa</t>
  </si>
  <si>
    <t>F77910</t>
  </si>
  <si>
    <t>payment karala recording ganna</t>
  </si>
  <si>
    <t xml:space="preserve">putha avama gnnm </t>
  </si>
  <si>
    <t>akkata join wenna</t>
  </si>
  <si>
    <t>kawruth na awama gannam</t>
  </si>
  <si>
    <t>F77914</t>
  </si>
  <si>
    <t>KPB recording</t>
  </si>
  <si>
    <t>F77913</t>
  </si>
  <si>
    <t>link awe nalu</t>
  </si>
  <si>
    <t>english m..wisthara hambuna</t>
  </si>
  <si>
    <t>F77922</t>
  </si>
  <si>
    <t>F77923</t>
  </si>
  <si>
    <t>kpb/class</t>
  </si>
  <si>
    <t>recording ganna</t>
  </si>
  <si>
    <t>F77928</t>
  </si>
  <si>
    <t>F77931</t>
  </si>
  <si>
    <t>F77933</t>
  </si>
  <si>
    <t>F77936</t>
  </si>
  <si>
    <t>kpb,jamitiya book</t>
  </si>
  <si>
    <t>F77944</t>
  </si>
  <si>
    <t>duw ekk kta kral gnnm</t>
  </si>
  <si>
    <t>F77946</t>
  </si>
  <si>
    <t xml:space="preserve"> 74 105 6930</t>
  </si>
  <si>
    <t>F77949</t>
  </si>
  <si>
    <t>71 686 6696</t>
  </si>
  <si>
    <t>F77950</t>
  </si>
  <si>
    <t>74 372 5173</t>
  </si>
  <si>
    <t>F77951</t>
  </si>
  <si>
    <t>F77952</t>
  </si>
  <si>
    <t>F77953</t>
  </si>
  <si>
    <t>F77954</t>
  </si>
  <si>
    <t>F77956</t>
  </si>
  <si>
    <t>F77957</t>
  </si>
  <si>
    <t>71 791 9713</t>
  </si>
  <si>
    <t>F77958</t>
  </si>
  <si>
    <t>F77959</t>
  </si>
  <si>
    <t xml:space="preserve"> 77 897 8888</t>
  </si>
  <si>
    <t>F77960</t>
  </si>
  <si>
    <t>F77962</t>
  </si>
  <si>
    <t>F77967</t>
  </si>
  <si>
    <t>F77969</t>
  </si>
  <si>
    <t>class ekat avlu</t>
  </si>
  <si>
    <t>F77970</t>
  </si>
  <si>
    <t>F77971</t>
  </si>
  <si>
    <t>F77972</t>
  </si>
  <si>
    <t>F77973</t>
  </si>
  <si>
    <t>70 473 4317</t>
  </si>
  <si>
    <t>F77961</t>
  </si>
  <si>
    <t>KPB Payment karanna</t>
  </si>
  <si>
    <t>75 547 7698</t>
  </si>
  <si>
    <t>IMS Clz ekata</t>
  </si>
  <si>
    <t>70 389 4351</t>
  </si>
  <si>
    <t>F77963</t>
  </si>
  <si>
    <t>cl karannam wisthara danna</t>
  </si>
  <si>
    <t>77 607 1355</t>
  </si>
  <si>
    <t>F77964</t>
  </si>
  <si>
    <t>76 978 9764</t>
  </si>
  <si>
    <t>F77965</t>
  </si>
  <si>
    <t>recording eka ganna</t>
  </si>
  <si>
    <t>72 194 2825</t>
  </si>
  <si>
    <t>F77966</t>
  </si>
  <si>
    <t xml:space="preserve"> 76 218 1781</t>
  </si>
  <si>
    <t>F77974</t>
  </si>
  <si>
    <t>74 016 2174</t>
  </si>
  <si>
    <t>F77975</t>
  </si>
  <si>
    <t xml:space="preserve"> 76 877 1502</t>
  </si>
  <si>
    <t>F77976</t>
  </si>
  <si>
    <t>71 729 2667</t>
  </si>
  <si>
    <t>F77977</t>
  </si>
  <si>
    <t>74 046 4200</t>
  </si>
  <si>
    <t>F77978</t>
  </si>
  <si>
    <t>77 925 2467</t>
  </si>
  <si>
    <t>F77979</t>
  </si>
  <si>
    <t>74 159 5236</t>
  </si>
  <si>
    <t>75 356 3519</t>
  </si>
  <si>
    <t>F77980</t>
  </si>
  <si>
    <t>76 277 7301</t>
  </si>
  <si>
    <t>F77981</t>
  </si>
  <si>
    <t>71 434 4060</t>
  </si>
  <si>
    <t>F77982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</si>
</sst>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%"/>
    <numFmt numFmtId="166" formatCode="YYYY-MM-DD"/>
    <numFmt numFmtId="167" formatCode="m/d"/>
    <numFmt numFmtId="168" formatCode="mm/dd"/>
    <numFmt numFmtId="169" formatCode="m/d/yy"/>
  </numFmts>
  <fonts count="42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6.0"/>
      <color rgb="FFFFFFFF"/>
      <name val="Calibri"/>
      <scheme val="minor"/>
    </font>
    <font>
      <sz val="9.0"/>
      <color rgb="FFBFDBFE"/>
      <name val="Calibri"/>
      <scheme val="minor"/>
    </font>
    <font>
      <b/>
      <color rgb="FF312E81"/>
      <name val="Calibri"/>
      <scheme val="minor"/>
    </font>
    <font>
      <b/>
      <color rgb="FF1E293B"/>
      <name val="Calibri"/>
      <scheme val="minor"/>
    </font>
    <font>
      <b/>
      <sz val="10.0"/>
      <color rgb="FF0D2744"/>
      <name val="Calibri"/>
    </font>
    <font>
      <i/>
      <sz val="9.0"/>
      <color rgb="FF64748B"/>
      <name val="Calibri"/>
      <scheme val="minor"/>
    </font>
    <font>
      <b/>
      <sz val="11.0"/>
      <color rgb="FF0D2744"/>
      <name val="Calibri"/>
      <scheme val="minor"/>
    </font>
    <font>
      <b/>
      <sz val="9.0"/>
      <color rgb="FFFFFFFF"/>
      <name val="Calibri"/>
      <scheme val="minor"/>
    </font>
    <font>
      <b/>
      <sz val="10.0"/>
      <color rgb="FF1E293B"/>
      <name val="Calibri"/>
    </font>
    <font>
      <b/>
      <sz val="10.0"/>
      <color rgb="FF166534"/>
      <name val="Calibri"/>
    </font>
    <font>
      <sz val="10.0"/>
      <color rgb="FFC2410C"/>
      <name val="Calibri"/>
    </font>
    <font>
      <color rgb="FF1E293B"/>
      <name val="Calibri"/>
      <scheme val="minor"/>
    </font>
    <font>
      <sz val="10.0"/>
      <color rgb="FF1E293B"/>
      <name val="Calibri"/>
    </font>
    <font>
      <sz val="11.0"/>
      <color theme="1"/>
      <name val="Calibri"/>
    </font>
    <font>
      <sz val="11.0"/>
      <color rgb="FF1D1D1F"/>
      <name val="Inter"/>
    </font>
    <font>
      <b/>
      <color rgb="FF1565C0"/>
      <name val="Calibri"/>
      <scheme val="minor"/>
    </font>
    <font>
      <sz val="9.0"/>
      <color rgb="FF111B21"/>
      <name val="Inter"/>
    </font>
    <font>
      <sz val="11.0"/>
      <color rgb="FF606576"/>
      <name val="Inter"/>
    </font>
    <font>
      <color theme="1"/>
      <name val="Inter"/>
    </font>
    <font>
      <sz val="8.0"/>
      <color rgb="FFA16207"/>
      <name val="-apple-system"/>
    </font>
    <font>
      <sz val="8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166534"/>
      <name val="Calibri"/>
      <scheme val="minor"/>
    </font>
    <font>
      <b/>
      <color rgb="FF166534"/>
      <name val="Calibri"/>
      <scheme val="minor"/>
    </font>
    <font>
      <b/>
      <color rgb="FF134E4A"/>
      <name val="Calibri"/>
      <scheme val="minor"/>
    </font>
    <font>
      <sz val="11.0"/>
      <color rgb="FF000000"/>
      <name val="Calibri"/>
    </font>
    <font>
      <b/>
      <sz val="11.0"/>
      <color rgb="FFC2410C"/>
      <name val="Calibri"/>
      <scheme val="minor"/>
    </font>
    <font>
      <b/>
      <color rgb="FFC2410C"/>
      <name val="Calibri"/>
      <scheme val="minor"/>
    </font>
    <font>
      <b/>
      <color rgb="FFEA580C"/>
      <name val="Calibri"/>
      <scheme val="minor"/>
    </font>
    <font>
      <b/>
      <sz val="11.0"/>
      <color rgb="FF312E81"/>
      <name val="Calibri"/>
      <scheme val="minor"/>
    </font>
    <font>
      <sz val="6.0"/>
      <color theme="1"/>
      <name val="Calibri"/>
      <scheme val="minor"/>
    </font>
    <font>
      <sz val="9.0"/>
      <color theme="1"/>
      <name val="Calibri"/>
      <scheme val="minor"/>
    </font>
    <font>
      <sz val="10.0"/>
      <color theme="1"/>
      <name val="Calibri"/>
      <scheme val="minor"/>
    </font>
    <font>
      <sz val="7.0"/>
      <color theme="1"/>
      <name val="Calibri"/>
      <scheme val="minor"/>
    </font>
    <font>
      <color rgb="FF35463E"/>
      <name val="Arial"/>
    </font>
    <font>
      <b/>
      <color theme="1"/>
      <name val="Calibri"/>
      <scheme val="minor"/>
    </font>
    <font>
      <sz val="11.0"/>
      <color rgb="FF000000"/>
      <name val="&quot;Roboto Variable&quot;"/>
    </font>
    <font>
      <sz val="12.0"/>
      <color rgb="FF111B21"/>
      <name val="-apple-system"/>
    </font>
  </fonts>
  <fills count="26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0D2744"/>
        <bgColor rgb="FF0D2744"/>
      </patternFill>
    </fill>
    <fill>
      <patternFill patternType="solid">
        <fgColor rgb="FF1976D2"/>
        <bgColor rgb="FF1976D2"/>
      </patternFill>
    </fill>
    <fill>
      <patternFill patternType="solid">
        <fgColor rgb="FF1E40AF"/>
        <bgColor rgb="FF1E40AF"/>
      </patternFill>
    </fill>
    <fill>
      <patternFill patternType="solid">
        <fgColor rgb="FF166534"/>
        <bgColor rgb="FF166534"/>
      </patternFill>
    </fill>
    <fill>
      <patternFill patternType="solid">
        <fgColor rgb="FF475569"/>
        <bgColor rgb="FF475569"/>
      </patternFill>
    </fill>
    <fill>
      <patternFill patternType="solid">
        <fgColor rgb="FFD97706"/>
        <bgColor rgb="FFD97706"/>
      </patternFill>
    </fill>
    <fill>
      <patternFill patternType="solid">
        <fgColor rgb="FFC2410C"/>
        <bgColor rgb="FFC2410C"/>
      </patternFill>
    </fill>
    <fill>
      <patternFill patternType="solid">
        <fgColor rgb="FFB91C1C"/>
        <bgColor rgb="FFB91C1C"/>
      </patternFill>
    </fill>
    <fill>
      <patternFill patternType="solid">
        <fgColor rgb="FFE0E7FF"/>
        <bgColor rgb="FFE0E7FF"/>
      </patternFill>
    </fill>
    <fill>
      <patternFill patternType="solid">
        <fgColor rgb="FF134E4A"/>
        <bgColor rgb="FF134E4A"/>
      </patternFill>
    </fill>
    <fill>
      <patternFill patternType="solid">
        <fgColor rgb="FF0369A1"/>
        <bgColor rgb="FF0369A1"/>
      </patternFill>
    </fill>
    <fill>
      <patternFill patternType="solid">
        <fgColor rgb="FFFFFFFF"/>
        <bgColor rgb="FFFFFFFF"/>
      </patternFill>
    </fill>
    <fill>
      <patternFill patternType="solid">
        <fgColor rgb="FF64748B"/>
        <bgColor rgb="FF64748B"/>
      </patternFill>
    </fill>
    <fill>
      <patternFill patternType="solid">
        <fgColor rgb="FFDCFCE7"/>
        <bgColor rgb="FFDCFCE7"/>
      </patternFill>
    </fill>
    <fill>
      <patternFill patternType="solid">
        <fgColor rgb="FF1565C0"/>
        <bgColor rgb="FF1565C0"/>
      </patternFill>
    </fill>
    <fill>
      <patternFill patternType="solid">
        <fgColor rgb="FFF8F9FA"/>
        <bgColor rgb="FFF8F9FA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EA580C"/>
        <bgColor rgb="FFEA580C"/>
      </patternFill>
    </fill>
    <fill>
      <patternFill patternType="solid">
        <fgColor rgb="FF312E81"/>
        <bgColor rgb="FF312E81"/>
      </patternFill>
    </fill>
    <fill>
      <patternFill patternType="solid">
        <fgColor rgb="FF0284C7"/>
        <bgColor rgb="FF0284C7"/>
      </patternFill>
    </fill>
  </fills>
  <borders count="8">
    <border/>
    <border>
      <bottom style="medium">
        <color rgb="FF000000"/>
      </bottom>
    </border>
    <border>
      <left style="medium">
        <color rgb="FF0D2744"/>
      </left>
      <right style="medium">
        <color rgb="FF0D2744"/>
      </right>
      <top style="medium">
        <color rgb="FF0D2744"/>
      </top>
      <bottom style="medium">
        <color rgb="FF0D2744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D2744"/>
      </left>
      <right style="medium">
        <color rgb="FF0D2744"/>
      </right>
      <top style="medium">
        <color rgb="FF0D2744"/>
      </top>
    </border>
    <border>
      <left style="medium">
        <color rgb="FF166534"/>
      </left>
      <right style="medium">
        <color rgb="FF166534"/>
      </right>
      <top style="medium">
        <color rgb="FF166534"/>
      </top>
    </border>
    <border>
      <left style="medium">
        <color rgb="FFC2410C"/>
      </left>
      <right style="medium">
        <color rgb="FFC2410C"/>
      </right>
      <top style="medium">
        <color rgb="FFC2410C"/>
      </top>
    </border>
    <border>
      <left style="medium">
        <color rgb="FF312E81"/>
      </left>
      <right style="medium">
        <color rgb="FF312E81"/>
      </right>
      <top style="medium">
        <color rgb="FF312E81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left" readingOrder="0" vertical="center"/>
    </xf>
    <xf borderId="2" fillId="4" fontId="3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horizontal="left" readingOrder="0" vertical="center"/>
    </xf>
    <xf borderId="2" fillId="6" fontId="3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shrinkToFit="0" vertical="center" wrapText="1"/>
    </xf>
    <xf borderId="0" fillId="11" fontId="6" numFmtId="0" xfId="0" applyAlignment="1" applyFill="1" applyFont="1">
      <alignment horizontal="left" readingOrder="0" vertical="center"/>
    </xf>
    <xf borderId="1" fillId="6" fontId="2" numFmtId="0" xfId="0" applyAlignment="1" applyBorder="1" applyFill="1" applyFont="1">
      <alignment horizontal="center" shrinkToFit="0" vertical="center" wrapText="1"/>
    </xf>
    <xf borderId="2" fillId="12" fontId="3" numFmtId="0" xfId="0" applyAlignment="1" applyBorder="1" applyFill="1" applyFont="1">
      <alignment horizontal="center" vertical="center"/>
    </xf>
    <xf borderId="1" fillId="13" fontId="2" numFmtId="0" xfId="0" applyAlignment="1" applyBorder="1" applyFill="1" applyFont="1">
      <alignment horizontal="center" shrinkToFit="0" vertical="center" wrapText="1"/>
    </xf>
    <xf borderId="2" fillId="14" fontId="7" numFmtId="164" xfId="0" applyAlignment="1" applyBorder="1" applyFill="1" applyFont="1" applyNumberFormat="1">
      <alignment horizontal="center" vertical="center"/>
    </xf>
    <xf borderId="2" fillId="15" fontId="3" numFmtId="0" xfId="0" applyAlignment="1" applyBorder="1" applyFill="1" applyFont="1">
      <alignment horizontal="center" vertical="center"/>
    </xf>
    <xf borderId="0" fillId="11" fontId="6" numFmtId="0" xfId="0" applyAlignment="1" applyFill="1" applyFont="1">
      <alignment horizontal="right" readingOrder="0" vertical="center"/>
    </xf>
    <xf borderId="1" fillId="13" fontId="2" numFmtId="0" xfId="0" applyAlignment="1" applyBorder="1" applyFill="1" applyFont="1">
      <alignment horizontal="center" readingOrder="0" shrinkToFit="0" vertical="center" wrapText="1"/>
    </xf>
    <xf borderId="3" fillId="16" fontId="8" numFmtId="0" xfId="0" applyBorder="1" applyFill="1" applyFont="1"/>
    <xf borderId="0" fillId="11" fontId="9" numFmtId="0" xfId="0" applyAlignment="1" applyFill="1" applyFont="1">
      <alignment horizontal="left" readingOrder="0" vertical="center"/>
    </xf>
    <xf borderId="0" fillId="2" fontId="10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4" fillId="3" fontId="1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4" fillId="17" fontId="11" numFmtId="0" xfId="0" applyAlignment="1" applyBorder="1" applyFill="1" applyFont="1">
      <alignment horizontal="center" readingOrder="0" vertical="center"/>
    </xf>
    <xf borderId="3" fillId="16" fontId="12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readingOrder="0"/>
    </xf>
    <xf borderId="3" fillId="16" fontId="13" numFmtId="0" xfId="0" applyAlignment="1" applyBorder="1" applyFill="1" applyFont="1">
      <alignment horizontal="center" vertical="center"/>
    </xf>
    <xf borderId="3" fillId="14" fontId="7" numFmtId="0" xfId="0" applyAlignment="1" applyBorder="1" applyFill="1" applyFont="1">
      <alignment horizontal="left" vertical="center"/>
    </xf>
    <xf borderId="3" fillId="16" fontId="14" numFmtId="0" xfId="0" applyAlignment="1" applyBorder="1" applyFill="1" applyFont="1">
      <alignment horizontal="center" vertical="center"/>
    </xf>
    <xf borderId="3" fillId="14" fontId="15" numFmtId="0" xfId="0" applyAlignment="1" applyBorder="1" applyFill="1" applyFont="1">
      <alignment horizontal="center" vertical="center"/>
    </xf>
    <xf borderId="3" fillId="16" fontId="16" numFmtId="165" xfId="0" applyAlignment="1" applyBorder="1" applyFill="1" applyFont="1" applyNumberFormat="1">
      <alignment horizontal="center" vertical="center"/>
    </xf>
    <xf borderId="3" fillId="16" fontId="17" numFmtId="166" xfId="0" applyBorder="1" applyFill="1" applyFont="1" applyNumberFormat="1"/>
    <xf borderId="3" fillId="16" fontId="17" numFmtId="0" xfId="0" applyBorder="1" applyFill="1" applyFont="1"/>
    <xf borderId="3" fillId="14" fontId="8" numFmtId="0" xfId="0" applyBorder="1" applyFill="1" applyFont="1"/>
    <xf borderId="3" fillId="14" fontId="12" numFmtId="0" xfId="0" applyAlignment="1" applyBorder="1" applyFill="1" applyFont="1">
      <alignment horizontal="center" vertical="center"/>
    </xf>
    <xf borderId="3" fillId="14" fontId="13" numFmtId="0" xfId="0" applyAlignment="1" applyBorder="1" applyFill="1" applyFont="1">
      <alignment horizontal="center" vertical="center"/>
    </xf>
    <xf borderId="3" fillId="14" fontId="14" numFmtId="0" xfId="0" applyAlignment="1" applyBorder="1" applyFill="1" applyFont="1">
      <alignment horizontal="center" vertical="center"/>
    </xf>
    <xf borderId="3" fillId="14" fontId="16" numFmtId="165" xfId="0" applyAlignment="1" applyBorder="1" applyFill="1" applyFont="1" applyNumberFormat="1">
      <alignment horizontal="center" vertical="center"/>
    </xf>
    <xf borderId="3" fillId="14" fontId="17" numFmtId="166" xfId="0" applyBorder="1" applyFill="1" applyFont="1" applyNumberFormat="1"/>
    <xf borderId="3" fillId="14" fontId="17" numFmtId="0" xfId="0" applyBorder="1" applyFill="1" applyFont="1"/>
    <xf borderId="0" fillId="0" fontId="1" numFmtId="0" xfId="0" applyAlignment="1" applyFont="1">
      <alignment horizontal="center"/>
    </xf>
    <xf borderId="0" fillId="18" fontId="18" numFmtId="0" xfId="0" applyAlignment="1" applyFill="1" applyFont="1">
      <alignment readingOrder="0"/>
    </xf>
    <xf borderId="3" fillId="14" fontId="13" numFmtId="0" xfId="0" applyAlignment="1" applyBorder="1" applyFill="1" applyFont="1">
      <alignment horizontal="center" readingOrder="0" vertical="center"/>
    </xf>
    <xf borderId="3" fillId="14" fontId="19" numFmtId="0" xfId="0" applyAlignment="1" applyBorder="1" applyFill="1" applyFont="1">
      <alignment horizontal="center" vertical="center"/>
    </xf>
    <xf borderId="3" fillId="14" fontId="15" numFmtId="165" xfId="0" applyAlignment="1" applyBorder="1" applyFill="1" applyFont="1" applyNumberFormat="1">
      <alignment horizontal="center" vertical="center"/>
    </xf>
    <xf borderId="3" fillId="19" fontId="7" numFmtId="0" xfId="0" applyAlignment="1" applyBorder="1" applyFill="1" applyFont="1">
      <alignment horizontal="left" vertical="center"/>
    </xf>
    <xf borderId="0" fillId="14" fontId="20" numFmtId="0" xfId="0" applyAlignment="1" applyFill="1" applyFont="1">
      <alignment readingOrder="0"/>
    </xf>
    <xf borderId="3" fillId="19" fontId="15" numFmtId="0" xfId="0" applyAlignment="1" applyBorder="1" applyFill="1" applyFont="1">
      <alignment horizontal="center" vertical="center"/>
    </xf>
    <xf borderId="0" fillId="18" fontId="18" numFmtId="0" xfId="0" applyAlignment="1" applyFill="1" applyFont="1">
      <alignment readingOrder="0"/>
    </xf>
    <xf borderId="3" fillId="14" fontId="8" numFmtId="0" xfId="0" applyAlignment="1" applyBorder="1" applyFill="1" applyFont="1">
      <alignment readingOrder="0"/>
    </xf>
    <xf borderId="3" fillId="14" fontId="16" numFmtId="165" xfId="0" applyAlignment="1" applyBorder="1" applyFill="1" applyFont="1" applyNumberFormat="1">
      <alignment horizontal="center" vertical="center"/>
    </xf>
    <xf borderId="3" fillId="19" fontId="19" numFmtId="0" xfId="0" applyAlignment="1" applyBorder="1" applyFill="1" applyFont="1">
      <alignment horizontal="center" vertical="center"/>
    </xf>
    <xf borderId="3" fillId="19" fontId="15" numFmtId="165" xfId="0" applyAlignment="1" applyBorder="1" applyFill="1" applyFont="1" applyNumberForma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17" numFmtId="0" xfId="0" applyBorder="1" applyFill="1" applyFont="1"/>
    <xf borderId="0" fillId="0" fontId="1" numFmtId="3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14" fontId="22" numFmtId="0" xfId="0" applyAlignment="1" applyFill="1" applyFont="1">
      <alignment readingOrder="0"/>
    </xf>
    <xf borderId="0" fillId="18" fontId="18" numFmtId="0" xfId="0" applyFill="1" applyFont="1"/>
    <xf borderId="0" fillId="14" fontId="23" numFmtId="0" xfId="0" applyAlignment="1" applyFill="1" applyFont="1">
      <alignment shrinkToFit="0" wrapText="0"/>
    </xf>
    <xf borderId="0" fillId="20" fontId="23" numFmtId="0" xfId="0" applyAlignment="1" applyFill="1" applyFont="1">
      <alignment shrinkToFit="0" wrapText="0"/>
    </xf>
    <xf borderId="0" fillId="20" fontId="23" numFmtId="0" xfId="0" applyAlignment="1" applyFill="1" applyFont="1">
      <alignment shrinkToFit="0" wrapText="0"/>
    </xf>
    <xf borderId="0" fillId="21" fontId="1" numFmtId="0" xfId="0" applyFill="1" applyFont="1"/>
    <xf borderId="0" fillId="21" fontId="1" numFmtId="0" xfId="0" applyAlignment="1" applyFill="1" applyFont="1">
      <alignment horizontal="center"/>
    </xf>
    <xf borderId="0" fillId="21" fontId="1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22" fontId="20" numFmtId="0" xfId="0" applyAlignment="1" applyFill="1" applyFont="1">
      <alignment readingOrder="0"/>
    </xf>
    <xf borderId="3" fillId="3" fontId="25" numFmtId="0" xfId="0" applyAlignment="1" applyBorder="1" applyFill="1" applyFont="1">
      <alignment horizontal="center" readingOrder="0" vertical="center"/>
    </xf>
    <xf borderId="3" fillId="3" fontId="25" numFmtId="0" xfId="0" applyAlignment="1" applyBorder="1" applyFill="1" applyFont="1">
      <alignment horizontal="center" vertical="center"/>
    </xf>
    <xf borderId="3" fillId="3" fontId="25" numFmtId="165" xfId="0" applyAlignment="1" applyBorder="1" applyFill="1" applyFont="1" applyNumberFormat="1">
      <alignment horizontal="center" readingOrder="0" vertical="center"/>
    </xf>
    <xf borderId="0" fillId="2" fontId="26" numFmtId="0" xfId="0" applyAlignment="1" applyFill="1" applyFont="1">
      <alignment readingOrder="0"/>
    </xf>
    <xf borderId="5" fillId="6" fontId="11" numFmtId="0" xfId="0" applyAlignment="1" applyBorder="1" applyFill="1" applyFont="1">
      <alignment horizontal="center" readingOrder="0" vertical="center"/>
    </xf>
    <xf borderId="5" fillId="12" fontId="11" numFmtId="0" xfId="0" applyAlignment="1" applyBorder="1" applyFill="1" applyFont="1">
      <alignment horizontal="center" readingOrder="0" vertical="center"/>
    </xf>
    <xf borderId="3" fillId="14" fontId="27" numFmtId="0" xfId="0" applyAlignment="1" applyBorder="1" applyFill="1" applyFont="1">
      <alignment horizontal="center" vertical="center"/>
    </xf>
    <xf borderId="3" fillId="14" fontId="28" numFmtId="165" xfId="0" applyAlignment="1" applyBorder="1" applyFill="1" applyFont="1" applyNumberFormat="1">
      <alignment horizontal="center" vertical="center"/>
    </xf>
    <xf borderId="3" fillId="19" fontId="27" numFmtId="0" xfId="0" applyAlignment="1" applyBorder="1" applyFill="1" applyFont="1">
      <alignment horizontal="center" vertical="center"/>
    </xf>
    <xf borderId="3" fillId="19" fontId="28" numFmtId="165" xfId="0" applyAlignment="1" applyBorder="1" applyFill="1" applyFont="1" applyNumberFormat="1">
      <alignment horizontal="center" vertical="center"/>
    </xf>
    <xf borderId="0" fillId="14" fontId="29" numFmtId="0" xfId="0" applyAlignment="1" applyFill="1" applyFont="1">
      <alignment readingOrder="0"/>
    </xf>
    <xf borderId="3" fillId="6" fontId="25" numFmtId="0" xfId="0" applyAlignment="1" applyBorder="1" applyFill="1" applyFont="1">
      <alignment horizontal="center" readingOrder="0" vertical="center"/>
    </xf>
    <xf borderId="3" fillId="6" fontId="25" numFmtId="0" xfId="0" applyAlignment="1" applyBorder="1" applyFill="1" applyFont="1">
      <alignment horizontal="center" vertical="center"/>
    </xf>
    <xf borderId="3" fillId="6" fontId="25" numFmtId="165" xfId="0" applyAlignment="1" applyBorder="1" applyFill="1" applyFont="1" applyNumberFormat="1">
      <alignment horizontal="center" readingOrder="0" vertical="center"/>
    </xf>
    <xf borderId="3" fillId="6" fontId="25" numFmtId="165" xfId="0" applyAlignment="1" applyBorder="1" applyFill="1" applyFont="1" applyNumberFormat="1">
      <alignment horizontal="center" vertical="center"/>
    </xf>
    <xf borderId="0" fillId="2" fontId="30" numFmtId="0" xfId="0" applyAlignment="1" applyFill="1" applyFont="1">
      <alignment readingOrder="0"/>
    </xf>
    <xf borderId="6" fillId="9" fontId="11" numFmtId="0" xfId="0" applyAlignment="1" applyBorder="1" applyFill="1" applyFont="1">
      <alignment horizontal="center" readingOrder="0" vertical="center"/>
    </xf>
    <xf borderId="6" fillId="23" fontId="11" numFmtId="0" xfId="0" applyAlignment="1" applyBorder="1" applyFill="1" applyFont="1">
      <alignment horizontal="center" readingOrder="0" vertical="center"/>
    </xf>
    <xf borderId="3" fillId="14" fontId="31" numFmtId="0" xfId="0" applyAlignment="1" applyBorder="1" applyFill="1" applyFont="1">
      <alignment horizontal="center" vertical="center"/>
    </xf>
    <xf borderId="3" fillId="14" fontId="32" numFmtId="165" xfId="0" applyAlignment="1" applyBorder="1" applyFill="1" applyFont="1" applyNumberFormat="1">
      <alignment horizontal="center" vertical="center"/>
    </xf>
    <xf borderId="3" fillId="19" fontId="31" numFmtId="0" xfId="0" applyAlignment="1" applyBorder="1" applyFill="1" applyFont="1">
      <alignment horizontal="center" vertical="center"/>
    </xf>
    <xf borderId="3" fillId="19" fontId="32" numFmtId="165" xfId="0" applyAlignment="1" applyBorder="1" applyFill="1" applyFont="1" applyNumberFormat="1">
      <alignment horizontal="center" vertical="center"/>
    </xf>
    <xf borderId="0" fillId="0" fontId="1" numFmtId="167" xfId="0" applyAlignment="1" applyFont="1" applyNumberFormat="1">
      <alignment readingOrder="0"/>
    </xf>
    <xf borderId="3" fillId="9" fontId="25" numFmtId="0" xfId="0" applyAlignment="1" applyBorder="1" applyFill="1" applyFont="1">
      <alignment horizontal="center" readingOrder="0" vertical="center"/>
    </xf>
    <xf borderId="3" fillId="9" fontId="25" numFmtId="0" xfId="0" applyAlignment="1" applyBorder="1" applyFill="1" applyFont="1">
      <alignment horizontal="center" vertical="center"/>
    </xf>
    <xf borderId="3" fillId="9" fontId="25" numFmtId="165" xfId="0" applyAlignment="1" applyBorder="1" applyFill="1" applyFont="1" applyNumberFormat="1">
      <alignment horizontal="center" vertical="center"/>
    </xf>
    <xf borderId="0" fillId="2" fontId="33" numFmtId="0" xfId="0" applyAlignment="1" applyFill="1" applyFont="1">
      <alignment readingOrder="0"/>
    </xf>
    <xf borderId="7" fillId="24" fontId="11" numFmtId="0" xfId="0" applyAlignment="1" applyBorder="1" applyFill="1" applyFont="1">
      <alignment horizontal="center" readingOrder="0" vertical="center"/>
    </xf>
    <xf borderId="7" fillId="25" fontId="11" numFmtId="0" xfId="0" applyAlignment="1" applyBorder="1" applyFill="1" applyFont="1">
      <alignment horizontal="center" readingOrder="0" vertical="center"/>
    </xf>
    <xf borderId="3" fillId="14" fontId="7" numFmtId="0" xfId="0" applyAlignment="1" applyBorder="1" applyFill="1" applyFont="1">
      <alignment horizontal="center" readingOrder="0" vertical="center"/>
    </xf>
    <xf borderId="3" fillId="19" fontId="7" numFmtId="0" xfId="0" applyAlignment="1" applyBorder="1" applyFill="1" applyFont="1">
      <alignment horizontal="center" readingOrder="0" vertical="center"/>
    </xf>
    <xf borderId="3" fillId="24" fontId="25" numFmtId="0" xfId="0" applyAlignment="1" applyBorder="1" applyFill="1" applyFont="1">
      <alignment horizontal="center" readingOrder="0" vertical="center"/>
    </xf>
    <xf borderId="3" fillId="24" fontId="25" numFmtId="0" xfId="0" applyAlignment="1" applyBorder="1" applyFill="1" applyFont="1">
      <alignment horizontal="center" vertical="center"/>
    </xf>
    <xf borderId="3" fillId="24" fontId="25" numFmtId="165" xfId="0" applyAlignment="1" applyBorder="1" applyFill="1" applyFont="1" applyNumberFormat="1">
      <alignment horizontal="center" vertical="center"/>
    </xf>
    <xf borderId="3" fillId="24" fontId="25" numFmtId="165" xfId="0" applyAlignment="1" applyBorder="1" applyFill="1" applyFont="1" applyNumberFormat="1">
      <alignment horizontal="center" readingOrder="0" vertical="center"/>
    </xf>
    <xf borderId="0" fillId="0" fontId="1" numFmtId="168" xfId="0" applyAlignment="1" applyFont="1" applyNumberFormat="1">
      <alignment readingOrder="0"/>
    </xf>
    <xf borderId="0" fillId="14" fontId="1" numFmtId="0" xfId="0" applyAlignment="1" applyFill="1" applyFont="1">
      <alignment readingOrder="0"/>
    </xf>
    <xf borderId="0" fillId="21" fontId="20" numFmtId="0" xfId="0" applyAlignment="1" applyFill="1" applyFont="1">
      <alignment readingOrder="0"/>
    </xf>
    <xf borderId="0" fillId="21" fontId="1" numFmtId="0" xfId="0" applyAlignment="1" applyFill="1" applyFont="1">
      <alignment horizontal="center" readingOrder="0"/>
    </xf>
    <xf borderId="0" fillId="21" fontId="1" numFmtId="164" xfId="0" applyAlignment="1" applyFill="1" applyFont="1" applyNumberFormat="1">
      <alignment readingOrder="0"/>
    </xf>
    <xf borderId="0" fillId="14" fontId="20" numFmtId="0" xfId="0" applyAlignment="1" applyFill="1" applyFont="1">
      <alignment horizontal="right" readingOrder="0"/>
    </xf>
    <xf borderId="0" fillId="0" fontId="34" numFmtId="0" xfId="0" applyAlignment="1" applyFont="1">
      <alignment readingOrder="0"/>
    </xf>
    <xf borderId="0" fillId="14" fontId="20" numFmtId="0" xfId="0" applyAlignment="1" applyFill="1" applyFont="1">
      <alignment horizontal="center"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horizontal="right" readingOrder="0" shrinkToFit="0" vertical="bottom" wrapText="0"/>
    </xf>
    <xf borderId="0" fillId="0" fontId="39" numFmtId="0" xfId="0" applyFont="1"/>
    <xf borderId="0" fillId="14" fontId="40" numFmtId="0" xfId="0" applyAlignment="1" applyFill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14" fontId="4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9C4"/>
          <bgColor rgb="FFFFF9C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74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9.86"/>
    <col customWidth="1" min="3" max="3" width="15.86"/>
    <col customWidth="1" min="4" max="4" width="18.14"/>
    <col customWidth="1" min="5" max="5" width="15.71"/>
    <col customWidth="1" min="6" max="6" width="17.29"/>
    <col customWidth="1" min="7" max="7" width="10.57"/>
    <col customWidth="1" min="8" max="8" width="18.57"/>
    <col customWidth="1" min="9" max="9" width="14.0"/>
    <col customWidth="1" min="10" max="10" width="23.71"/>
    <col customWidth="1" min="11" max="11" width="14.29"/>
    <col customWidth="1" min="12" max="12" width="18.0"/>
    <col customWidth="1" min="13" max="13" width="12.0"/>
    <col customWidth="1" min="14" max="14" width="12.71"/>
    <col customWidth="1" min="15" max="15" width="11.0"/>
    <col customWidth="1" min="16" max="16" width="13.57"/>
    <col customWidth="1" min="17" max="26" width="8.71"/>
  </cols>
  <sheetData>
    <row r="1" ht="27.75" customHeight="1">
      <c r="A1" s="2" t="s">
        <v>1</v>
      </c>
      <c r="B1" s="4" t="s">
        <v>2</v>
      </c>
      <c r="C1" s="2" t="s">
        <v>4</v>
      </c>
      <c r="D1" s="7" t="s">
        <v>6</v>
      </c>
      <c r="E1" s="7" t="s">
        <v>8</v>
      </c>
      <c r="F1" s="7" t="s">
        <v>10</v>
      </c>
      <c r="G1" s="10" t="s">
        <v>11</v>
      </c>
      <c r="H1" s="10" t="s">
        <v>13</v>
      </c>
      <c r="I1" s="11" t="s">
        <v>14</v>
      </c>
      <c r="J1" s="11" t="s">
        <v>17</v>
      </c>
      <c r="K1" s="13" t="s">
        <v>18</v>
      </c>
      <c r="L1" s="13" t="s">
        <v>19</v>
      </c>
      <c r="M1" s="15" t="s">
        <v>20</v>
      </c>
      <c r="N1" s="15" t="s">
        <v>22</v>
      </c>
      <c r="O1" s="17" t="s">
        <v>23</v>
      </c>
      <c r="P1" s="21">
        <v>0.0</v>
      </c>
    </row>
    <row r="2" ht="19.5" customHeight="1">
      <c r="A2" s="25" t="str">
        <f>IFERROR(__xludf.DUMMYFUNCTION("IF(B2="""","""",RIGHT(REGEXREPLACE(B2&amp;"""",""[^0-9]"",""""),9))"),"714423443")</f>
        <v>714423443</v>
      </c>
      <c r="B2" s="26">
        <v>7.14423443E8</v>
      </c>
      <c r="C2" s="28" t="s">
        <v>31</v>
      </c>
      <c r="D2" s="26" t="s">
        <v>37</v>
      </c>
      <c r="E2" s="31">
        <v>46226.0</v>
      </c>
      <c r="F2" s="26" t="s">
        <v>41</v>
      </c>
      <c r="I2" s="26" t="s">
        <v>42</v>
      </c>
      <c r="J2" s="26" t="s">
        <v>43</v>
      </c>
      <c r="K2" s="25" t="str">
        <f t="shared" ref="K2:K13" si="1">IF(COUNTIFS($A$2:A2,A2,$I$2:I2,I2)&gt;1,"DUPLICATE - CHECK","")</f>
        <v/>
      </c>
      <c r="M2" s="25"/>
      <c r="O2" s="26"/>
      <c r="P2" s="26"/>
    </row>
    <row r="3" ht="19.5" customHeight="1">
      <c r="A3" s="25" t="str">
        <f>IFERROR(__xludf.DUMMYFUNCTION("IF(B3="""","""",RIGHT(REGEXREPLACE(B3&amp;"""",""[^0-9]"",""""),9))"),"778959239")</f>
        <v>778959239</v>
      </c>
      <c r="B3" s="26">
        <v>7.78959239E8</v>
      </c>
      <c r="C3" s="28" t="s">
        <v>44</v>
      </c>
      <c r="D3" s="26" t="s">
        <v>45</v>
      </c>
      <c r="E3" s="31">
        <v>46226.0</v>
      </c>
      <c r="F3" s="26" t="s">
        <v>46</v>
      </c>
      <c r="G3" s="26">
        <v>11.0</v>
      </c>
      <c r="I3" s="26" t="s">
        <v>42</v>
      </c>
      <c r="J3" s="25" t="str">
        <f t="shared" ref="J3:J13" si="2">IF(COUNTIF($A$2:A2,A3)&gt;0,"Yes - see Previous F-Code","No")</f>
        <v>No</v>
      </c>
      <c r="K3" s="25" t="str">
        <f t="shared" si="1"/>
        <v/>
      </c>
      <c r="L3" s="25" t="str">
        <f t="shared" ref="L3:L13" si="3">IF(COUNTIF($A$2:A2,A3)&gt;0,INDEX($C$2:C2,MATCH(A3,$A$2:A2,0)),"")</f>
        <v/>
      </c>
      <c r="M3" s="26" t="s">
        <v>43</v>
      </c>
      <c r="N3" s="26" t="s">
        <v>47</v>
      </c>
      <c r="O3" s="25"/>
    </row>
    <row r="4" ht="19.5" customHeight="1">
      <c r="A4" s="25" t="str">
        <f>IFERROR(__xludf.DUMMYFUNCTION("IF(B4="""","""",RIGHT(REGEXREPLACE(B4&amp;"""",""[^0-9]"",""""),9))"),"769195778")</f>
        <v>769195778</v>
      </c>
      <c r="B4" s="26">
        <v>7.69195778E8</v>
      </c>
      <c r="C4" s="28" t="s">
        <v>48</v>
      </c>
      <c r="D4" s="26" t="s">
        <v>49</v>
      </c>
      <c r="E4" s="31">
        <v>46226.0</v>
      </c>
      <c r="F4" s="26" t="s">
        <v>46</v>
      </c>
      <c r="G4" s="26">
        <v>11.0</v>
      </c>
      <c r="I4" s="26" t="s">
        <v>42</v>
      </c>
      <c r="J4" s="25" t="str">
        <f t="shared" si="2"/>
        <v>No</v>
      </c>
      <c r="K4" s="25" t="str">
        <f t="shared" si="1"/>
        <v/>
      </c>
      <c r="L4" s="25" t="str">
        <f t="shared" si="3"/>
        <v/>
      </c>
      <c r="M4" s="26" t="s">
        <v>51</v>
      </c>
      <c r="N4" s="26" t="s">
        <v>52</v>
      </c>
      <c r="O4" s="25"/>
    </row>
    <row r="5" ht="19.5" customHeight="1">
      <c r="A5" s="25" t="str">
        <f>IFERROR(__xludf.DUMMYFUNCTION("IF(B5="""","""",RIGHT(REGEXREPLACE(B5&amp;"""",""[^0-9]"",""""),9))"),"765471585")</f>
        <v>765471585</v>
      </c>
      <c r="B5" s="26">
        <v>7.65471585E8</v>
      </c>
      <c r="C5" s="28" t="s">
        <v>53</v>
      </c>
      <c r="D5" s="26" t="s">
        <v>45</v>
      </c>
      <c r="E5" s="31">
        <v>46226.0</v>
      </c>
      <c r="F5" s="26" t="s">
        <v>41</v>
      </c>
      <c r="I5" s="26" t="s">
        <v>42</v>
      </c>
      <c r="J5" s="25" t="str">
        <f t="shared" si="2"/>
        <v>No</v>
      </c>
      <c r="K5" s="25" t="str">
        <f t="shared" si="1"/>
        <v/>
      </c>
      <c r="L5" s="25" t="str">
        <f t="shared" si="3"/>
        <v/>
      </c>
      <c r="M5" s="26" t="s">
        <v>43</v>
      </c>
      <c r="N5" s="26" t="s">
        <v>54</v>
      </c>
      <c r="O5" s="25"/>
    </row>
    <row r="6" ht="19.5" customHeight="1">
      <c r="A6" s="25" t="str">
        <f>IFERROR(__xludf.DUMMYFUNCTION("IF(B6="""","""",RIGHT(REGEXREPLACE(B6&amp;"""",""[^0-9]"",""""),9))"),"779810385")</f>
        <v>779810385</v>
      </c>
      <c r="B6" s="26">
        <v>7.79810385E8</v>
      </c>
      <c r="C6" s="28" t="s">
        <v>55</v>
      </c>
      <c r="D6" s="26" t="s">
        <v>56</v>
      </c>
      <c r="E6" s="31">
        <v>46226.0</v>
      </c>
      <c r="F6" s="26" t="s">
        <v>46</v>
      </c>
      <c r="G6" s="26">
        <v>11.0</v>
      </c>
      <c r="I6" s="26" t="s">
        <v>42</v>
      </c>
      <c r="J6" s="25" t="str">
        <f t="shared" si="2"/>
        <v>No</v>
      </c>
      <c r="K6" s="25" t="str">
        <f t="shared" si="1"/>
        <v/>
      </c>
      <c r="L6" s="25" t="str">
        <f t="shared" si="3"/>
        <v/>
      </c>
      <c r="M6" s="26" t="s">
        <v>51</v>
      </c>
      <c r="N6" s="26" t="s">
        <v>57</v>
      </c>
      <c r="O6" s="25"/>
    </row>
    <row r="7" ht="19.5" customHeight="1">
      <c r="A7" s="25" t="str">
        <f>IFERROR(__xludf.DUMMYFUNCTION("IF(B7="""","""",RIGHT(REGEXREPLACE(B7&amp;"""",""[^0-9]"",""""),9))"),"741738779")</f>
        <v>741738779</v>
      </c>
      <c r="B7" s="26">
        <v>7.41738779E8</v>
      </c>
      <c r="C7" s="28" t="s">
        <v>58</v>
      </c>
      <c r="D7" s="26" t="s">
        <v>49</v>
      </c>
      <c r="E7" s="31">
        <v>46226.0</v>
      </c>
      <c r="F7" s="26" t="s">
        <v>46</v>
      </c>
      <c r="G7" s="26">
        <v>11.0</v>
      </c>
      <c r="I7" s="26" t="s">
        <v>42</v>
      </c>
      <c r="J7" s="25" t="str">
        <f t="shared" si="2"/>
        <v>No</v>
      </c>
      <c r="K7" s="25" t="str">
        <f t="shared" si="1"/>
        <v/>
      </c>
      <c r="L7" s="25" t="str">
        <f t="shared" si="3"/>
        <v/>
      </c>
      <c r="M7" s="26" t="s">
        <v>51</v>
      </c>
      <c r="N7" s="26" t="s">
        <v>59</v>
      </c>
      <c r="O7" s="25"/>
    </row>
    <row r="8" ht="19.5" customHeight="1">
      <c r="A8" s="25" t="str">
        <f>IFERROR(__xludf.DUMMYFUNCTION("IF(B8="""","""",RIGHT(REGEXREPLACE(B8&amp;"""",""[^0-9]"",""""),9))"),"762721575")</f>
        <v>762721575</v>
      </c>
      <c r="B8" s="26">
        <v>7.62721575E8</v>
      </c>
      <c r="C8" s="28" t="s">
        <v>60</v>
      </c>
      <c r="D8" s="26" t="s">
        <v>56</v>
      </c>
      <c r="E8" s="31">
        <v>46226.0</v>
      </c>
      <c r="F8" s="26" t="s">
        <v>41</v>
      </c>
      <c r="I8" s="26" t="s">
        <v>42</v>
      </c>
      <c r="J8" s="25" t="str">
        <f t="shared" si="2"/>
        <v>No</v>
      </c>
      <c r="K8" s="25" t="str">
        <f t="shared" si="1"/>
        <v/>
      </c>
      <c r="L8" s="25" t="str">
        <f t="shared" si="3"/>
        <v/>
      </c>
      <c r="M8" s="26" t="s">
        <v>43</v>
      </c>
      <c r="N8" s="26" t="s">
        <v>61</v>
      </c>
      <c r="O8" s="25"/>
    </row>
    <row r="9" ht="19.5" customHeight="1">
      <c r="A9" s="25" t="str">
        <f>IFERROR(__xludf.DUMMYFUNCTION("IF(B9="""","""",RIGHT(REGEXREPLACE(B9&amp;"""",""[^0-9]"",""""),9))"),"760581038")</f>
        <v>760581038</v>
      </c>
      <c r="B9" s="26">
        <v>7.60581038E8</v>
      </c>
      <c r="C9" s="28" t="s">
        <v>62</v>
      </c>
      <c r="D9" s="26" t="s">
        <v>45</v>
      </c>
      <c r="E9" s="31">
        <v>46226.0</v>
      </c>
      <c r="F9" s="26" t="s">
        <v>46</v>
      </c>
      <c r="I9" s="26" t="s">
        <v>42</v>
      </c>
      <c r="J9" s="25" t="str">
        <f t="shared" si="2"/>
        <v>No</v>
      </c>
      <c r="K9" s="25" t="str">
        <f t="shared" si="1"/>
        <v/>
      </c>
      <c r="L9" s="25" t="str">
        <f t="shared" si="3"/>
        <v/>
      </c>
      <c r="M9" s="26" t="s">
        <v>43</v>
      </c>
      <c r="N9" s="26" t="s">
        <v>61</v>
      </c>
      <c r="O9" s="25"/>
    </row>
    <row r="10" ht="19.5" customHeight="1">
      <c r="A10" s="25" t="str">
        <f>IFERROR(__xludf.DUMMYFUNCTION("IF(B10="""","""",RIGHT(REGEXREPLACE(B10&amp;"""",""[^0-9]"",""""),9))"),"712370010")</f>
        <v>712370010</v>
      </c>
      <c r="B10" s="26">
        <v>7.1237001E8</v>
      </c>
      <c r="C10" s="28" t="s">
        <v>63</v>
      </c>
      <c r="D10" s="26" t="s">
        <v>64</v>
      </c>
      <c r="E10" s="31">
        <v>46226.0</v>
      </c>
      <c r="F10" s="26" t="s">
        <v>41</v>
      </c>
      <c r="I10" s="26" t="s">
        <v>42</v>
      </c>
      <c r="J10" s="25" t="str">
        <f t="shared" si="2"/>
        <v>No</v>
      </c>
      <c r="K10" s="25" t="str">
        <f t="shared" si="1"/>
        <v/>
      </c>
      <c r="L10" s="25" t="str">
        <f t="shared" si="3"/>
        <v/>
      </c>
      <c r="M10" s="26" t="s">
        <v>43</v>
      </c>
      <c r="N10" s="26" t="s">
        <v>61</v>
      </c>
      <c r="O10" s="25"/>
    </row>
    <row r="11" ht="19.5" customHeight="1">
      <c r="A11" s="25" t="str">
        <f>IFERROR(__xludf.DUMMYFUNCTION("IF(B11="""","""",RIGHT(REGEXREPLACE(B11&amp;"""",""[^0-9]"",""""),9))"),"712694935")</f>
        <v>712694935</v>
      </c>
      <c r="B11" s="26">
        <v>7.12694935E8</v>
      </c>
      <c r="C11" s="28" t="s">
        <v>65</v>
      </c>
      <c r="D11" s="26" t="s">
        <v>56</v>
      </c>
      <c r="E11" s="31">
        <v>46226.0</v>
      </c>
      <c r="F11" s="26" t="s">
        <v>46</v>
      </c>
      <c r="G11" s="26">
        <v>10.0</v>
      </c>
      <c r="I11" s="26" t="s">
        <v>42</v>
      </c>
      <c r="J11" s="25" t="str">
        <f t="shared" si="2"/>
        <v>No</v>
      </c>
      <c r="K11" s="25" t="str">
        <f t="shared" si="1"/>
        <v/>
      </c>
      <c r="L11" s="25" t="str">
        <f t="shared" si="3"/>
        <v/>
      </c>
      <c r="M11" s="26" t="s">
        <v>43</v>
      </c>
      <c r="N11" s="26" t="s">
        <v>61</v>
      </c>
      <c r="O11" s="25"/>
    </row>
    <row r="12">
      <c r="A12" s="25" t="str">
        <f>IFERROR(__xludf.DUMMYFUNCTION("IF(B12="""","""",RIGHT(REGEXREPLACE(B12&amp;"""",""[^0-9]"",""""),9))"),"717444140")</f>
        <v>717444140</v>
      </c>
      <c r="B12" s="26">
        <v>7.1744414E8</v>
      </c>
      <c r="C12" s="28" t="s">
        <v>66</v>
      </c>
      <c r="D12" s="26" t="s">
        <v>45</v>
      </c>
      <c r="E12" s="31">
        <v>46226.0</v>
      </c>
      <c r="F12" s="26" t="s">
        <v>41</v>
      </c>
      <c r="I12" s="26" t="s">
        <v>42</v>
      </c>
      <c r="J12" s="25" t="str">
        <f t="shared" si="2"/>
        <v>No</v>
      </c>
      <c r="K12" s="25" t="str">
        <f t="shared" si="1"/>
        <v/>
      </c>
      <c r="L12" s="25" t="str">
        <f t="shared" si="3"/>
        <v/>
      </c>
      <c r="M12" s="26" t="s">
        <v>43</v>
      </c>
      <c r="N12" s="26" t="s">
        <v>54</v>
      </c>
      <c r="O12" s="25"/>
    </row>
    <row r="13">
      <c r="A13" s="25" t="str">
        <f>IFERROR(__xludf.DUMMYFUNCTION("IF(B13="""","""",RIGHT(REGEXREPLACE(B13&amp;"""",""[^0-9]"",""""),9))"),"768299308")</f>
        <v>768299308</v>
      </c>
      <c r="B13" s="26">
        <v>7.68299308E8</v>
      </c>
      <c r="C13" s="28" t="s">
        <v>66</v>
      </c>
      <c r="D13" s="26" t="s">
        <v>45</v>
      </c>
      <c r="E13" s="31">
        <v>46226.0</v>
      </c>
      <c r="F13" s="26" t="s">
        <v>41</v>
      </c>
      <c r="I13" s="26" t="s">
        <v>42</v>
      </c>
      <c r="J13" s="25" t="str">
        <f t="shared" si="2"/>
        <v>No</v>
      </c>
      <c r="K13" s="25" t="str">
        <f t="shared" si="1"/>
        <v/>
      </c>
      <c r="L13" s="25" t="str">
        <f t="shared" si="3"/>
        <v/>
      </c>
      <c r="M13" s="26" t="s">
        <v>43</v>
      </c>
      <c r="N13" s="26" t="s">
        <v>61</v>
      </c>
      <c r="O13" s="25"/>
    </row>
    <row r="14">
      <c r="A14" s="26" t="s">
        <v>67</v>
      </c>
      <c r="C14" s="46"/>
      <c r="D14" s="25"/>
      <c r="F14" s="25"/>
      <c r="M14" s="25"/>
      <c r="O14" s="25"/>
    </row>
    <row r="15">
      <c r="A15" s="25" t="str">
        <f>IFERROR(__xludf.DUMMYFUNCTION("IF(B15="""","""",RIGHT(REGEXREPLACE(B15&amp;"""",""[^0-9]"",""""),9))"),"711821851")</f>
        <v>711821851</v>
      </c>
      <c r="B15" s="47">
        <v>7.11821851E8</v>
      </c>
      <c r="C15" s="28" t="s">
        <v>68</v>
      </c>
      <c r="D15" s="26" t="s">
        <v>49</v>
      </c>
      <c r="E15" s="31">
        <v>46226.0</v>
      </c>
      <c r="F15" s="26" t="s">
        <v>41</v>
      </c>
      <c r="I15" s="26" t="s">
        <v>42</v>
      </c>
      <c r="J15" s="25" t="str">
        <f t="shared" ref="J15:J29" si="4">IF(COUNTIF($A$2:A14,A15)&gt;0,"Yes - see Previous F-Code","No")</f>
        <v>No</v>
      </c>
      <c r="K15" s="25" t="str">
        <f t="shared" ref="K15:K29" si="5">IF(COUNTIFS($A$2:A15,A15,$I$2:I15,I15)&gt;1,"DUPLICATE - CHECK","")</f>
        <v/>
      </c>
      <c r="L15" s="25" t="str">
        <f t="shared" ref="L15:L29" si="6">IF(COUNTIF($A$2:A14,A15)&gt;0,INDEX($C$2:C14,MATCH(A15,$A$2:A14,0)),"")</f>
        <v/>
      </c>
      <c r="M15" s="26" t="s">
        <v>51</v>
      </c>
      <c r="N15" s="26" t="s">
        <v>70</v>
      </c>
      <c r="O15" s="25"/>
    </row>
    <row r="16">
      <c r="A16" s="25" t="str">
        <f>IFERROR(__xludf.DUMMYFUNCTION("IF(B16="""","""",RIGHT(REGEXREPLACE(B16&amp;"""",""[^0-9]"",""""),9))"),"719322000")</f>
        <v>719322000</v>
      </c>
      <c r="B16" s="47">
        <v>7.19322E8</v>
      </c>
      <c r="C16" s="28" t="s">
        <v>71</v>
      </c>
      <c r="D16" s="26" t="s">
        <v>56</v>
      </c>
      <c r="E16" s="31">
        <v>46226.0</v>
      </c>
      <c r="F16" s="26" t="s">
        <v>41</v>
      </c>
      <c r="I16" s="26" t="s">
        <v>42</v>
      </c>
      <c r="J16" s="25" t="str">
        <f t="shared" si="4"/>
        <v>No</v>
      </c>
      <c r="K16" s="25" t="str">
        <f t="shared" si="5"/>
        <v/>
      </c>
      <c r="L16" s="25" t="str">
        <f t="shared" si="6"/>
        <v/>
      </c>
      <c r="M16" s="26" t="s">
        <v>43</v>
      </c>
      <c r="N16" s="26" t="s">
        <v>61</v>
      </c>
      <c r="O16" s="25"/>
    </row>
    <row r="17">
      <c r="A17" s="25" t="str">
        <f>IFERROR(__xludf.DUMMYFUNCTION("IF(B17="""","""",RIGHT(REGEXREPLACE(B17&amp;"""",""[^0-9]"",""""),9))"),"777471118")</f>
        <v>777471118</v>
      </c>
      <c r="B17" s="47">
        <v>7.77471118E8</v>
      </c>
      <c r="C17" s="28" t="s">
        <v>73</v>
      </c>
      <c r="D17" s="26" t="s">
        <v>49</v>
      </c>
      <c r="E17" s="31">
        <v>46226.0</v>
      </c>
      <c r="F17" s="26" t="s">
        <v>41</v>
      </c>
      <c r="G17" s="26">
        <v>11.0</v>
      </c>
      <c r="H17" s="25"/>
      <c r="I17" s="25"/>
      <c r="J17" s="25" t="str">
        <f t="shared" si="4"/>
        <v>No</v>
      </c>
      <c r="K17" s="25" t="str">
        <f t="shared" si="5"/>
        <v/>
      </c>
      <c r="L17" s="25" t="str">
        <f t="shared" si="6"/>
        <v/>
      </c>
      <c r="M17" s="26" t="s">
        <v>43</v>
      </c>
      <c r="N17" s="26" t="s">
        <v>61</v>
      </c>
      <c r="O17" s="25"/>
      <c r="P17" s="25"/>
    </row>
    <row r="18">
      <c r="A18" s="25" t="str">
        <f>IFERROR(__xludf.DUMMYFUNCTION("IF(B18="""","""",RIGHT(REGEXREPLACE(B18&amp;"""",""[^0-9]"",""""),9))"),"705238969")</f>
        <v>705238969</v>
      </c>
      <c r="B18" s="47">
        <v>7.05238969E8</v>
      </c>
      <c r="C18" s="28" t="s">
        <v>74</v>
      </c>
      <c r="D18" s="26" t="s">
        <v>49</v>
      </c>
      <c r="E18" s="31">
        <v>46226.0</v>
      </c>
      <c r="F18" s="26" t="s">
        <v>46</v>
      </c>
      <c r="G18" s="26">
        <v>11.0</v>
      </c>
      <c r="H18" s="25"/>
      <c r="I18" s="25"/>
      <c r="J18" s="25" t="str">
        <f t="shared" si="4"/>
        <v>No</v>
      </c>
      <c r="K18" s="25" t="str">
        <f t="shared" si="5"/>
        <v/>
      </c>
      <c r="L18" s="25" t="str">
        <f t="shared" si="6"/>
        <v/>
      </c>
      <c r="M18" s="26" t="s">
        <v>51</v>
      </c>
      <c r="N18" s="26" t="s">
        <v>59</v>
      </c>
      <c r="O18" s="25"/>
      <c r="P18" s="25"/>
    </row>
    <row r="19">
      <c r="A19" s="25" t="str">
        <f>IFERROR(__xludf.DUMMYFUNCTION("IF(B19="""","""",RIGHT(REGEXREPLACE(B19&amp;"""",""[^0-9]"",""""),9))"),"773981644")</f>
        <v>773981644</v>
      </c>
      <c r="B19" s="52">
        <v>7.73981644E8</v>
      </c>
      <c r="C19" s="28" t="s">
        <v>75</v>
      </c>
      <c r="D19" s="26" t="s">
        <v>45</v>
      </c>
      <c r="E19" s="31">
        <v>46226.0</v>
      </c>
      <c r="F19" s="26" t="s">
        <v>46</v>
      </c>
      <c r="G19" s="26">
        <v>11.0</v>
      </c>
      <c r="I19" s="26" t="s">
        <v>42</v>
      </c>
      <c r="J19" s="25" t="str">
        <f t="shared" si="4"/>
        <v>No</v>
      </c>
      <c r="K19" s="25" t="str">
        <f t="shared" si="5"/>
        <v/>
      </c>
      <c r="L19" s="25" t="str">
        <f t="shared" si="6"/>
        <v/>
      </c>
      <c r="M19" s="26" t="s">
        <v>51</v>
      </c>
      <c r="N19" s="26" t="s">
        <v>76</v>
      </c>
      <c r="O19" s="25"/>
    </row>
    <row r="20">
      <c r="A20" s="25" t="str">
        <f>IFERROR(__xludf.DUMMYFUNCTION("IF(B20="""","""",RIGHT(REGEXREPLACE(B20&amp;"""",""[^0-9]"",""""),9))"),"716747001")</f>
        <v>716747001</v>
      </c>
      <c r="B20" s="54">
        <v>7.16747001E8</v>
      </c>
      <c r="C20" s="28" t="s">
        <v>77</v>
      </c>
      <c r="D20" s="26" t="s">
        <v>56</v>
      </c>
      <c r="E20" s="31">
        <v>46226.0</v>
      </c>
      <c r="F20" s="25"/>
      <c r="G20" s="25"/>
      <c r="H20" s="25"/>
      <c r="I20" s="26" t="s">
        <v>42</v>
      </c>
      <c r="J20" s="25" t="str">
        <f t="shared" si="4"/>
        <v>No</v>
      </c>
      <c r="K20" s="25" t="str">
        <f t="shared" si="5"/>
        <v/>
      </c>
      <c r="L20" s="25" t="str">
        <f t="shared" si="6"/>
        <v/>
      </c>
      <c r="M20" s="26" t="s">
        <v>51</v>
      </c>
      <c r="N20" s="26" t="s">
        <v>78</v>
      </c>
      <c r="O20" s="25"/>
      <c r="P20" s="25"/>
    </row>
    <row r="21" ht="15.75" customHeight="1">
      <c r="A21" s="25" t="str">
        <f>IFERROR(__xludf.DUMMYFUNCTION("IF(B21="""","""",RIGHT(REGEXREPLACE(B21&amp;"""",""[^0-9]"",""""),9))"),"763945570")</f>
        <v>763945570</v>
      </c>
      <c r="B21" s="52">
        <v>7.6394557E8</v>
      </c>
      <c r="C21" s="28" t="s">
        <v>79</v>
      </c>
      <c r="D21" s="26" t="s">
        <v>45</v>
      </c>
      <c r="E21" s="31">
        <v>46226.0</v>
      </c>
      <c r="F21" s="26" t="s">
        <v>46</v>
      </c>
      <c r="G21" s="26">
        <v>11.0</v>
      </c>
      <c r="I21" s="26" t="s">
        <v>42</v>
      </c>
      <c r="J21" s="25" t="str">
        <f t="shared" si="4"/>
        <v>No</v>
      </c>
      <c r="K21" s="25" t="str">
        <f t="shared" si="5"/>
        <v/>
      </c>
      <c r="L21" s="25" t="str">
        <f t="shared" si="6"/>
        <v/>
      </c>
      <c r="M21" s="26" t="s">
        <v>51</v>
      </c>
      <c r="N21" s="26" t="s">
        <v>80</v>
      </c>
      <c r="O21" s="25"/>
    </row>
    <row r="22" ht="15.75" customHeight="1">
      <c r="A22" s="25" t="str">
        <f>IFERROR(__xludf.DUMMYFUNCTION("IF(B22="""","""",RIGHT(REGEXREPLACE(B22&amp;"""",""[^0-9]"",""""),9))"),"703936681")</f>
        <v>703936681</v>
      </c>
      <c r="B22" s="54">
        <v>7.03936681E8</v>
      </c>
      <c r="C22" s="28" t="s">
        <v>81</v>
      </c>
      <c r="D22" s="26" t="s">
        <v>49</v>
      </c>
      <c r="E22" s="31">
        <v>46226.0</v>
      </c>
      <c r="F22" s="26" t="s">
        <v>46</v>
      </c>
      <c r="G22" s="26">
        <v>11.0</v>
      </c>
      <c r="H22" s="25"/>
      <c r="I22" s="25"/>
      <c r="J22" s="25" t="str">
        <f t="shared" si="4"/>
        <v>No</v>
      </c>
      <c r="K22" s="25" t="str">
        <f t="shared" si="5"/>
        <v/>
      </c>
      <c r="L22" s="25" t="str">
        <f t="shared" si="6"/>
        <v/>
      </c>
      <c r="M22" s="26" t="s">
        <v>51</v>
      </c>
      <c r="N22" s="26" t="s">
        <v>70</v>
      </c>
      <c r="O22" s="25"/>
      <c r="P22" s="25"/>
    </row>
    <row r="23" ht="15.75" customHeight="1">
      <c r="A23" s="25" t="str">
        <f>IFERROR(__xludf.DUMMYFUNCTION("IF(B23="""","""",RIGHT(REGEXREPLACE(B23&amp;"""",""[^0-9]"",""""),9))"),"784501127")</f>
        <v>784501127</v>
      </c>
      <c r="B23" s="52">
        <v>7.84501127E8</v>
      </c>
      <c r="C23" s="28" t="s">
        <v>83</v>
      </c>
      <c r="D23" s="26" t="s">
        <v>45</v>
      </c>
      <c r="E23" s="31">
        <v>46226.0</v>
      </c>
      <c r="F23" s="26" t="s">
        <v>84</v>
      </c>
      <c r="I23" s="26" t="s">
        <v>42</v>
      </c>
      <c r="J23" s="25" t="str">
        <f t="shared" si="4"/>
        <v>No</v>
      </c>
      <c r="K23" s="25" t="str">
        <f t="shared" si="5"/>
        <v/>
      </c>
      <c r="L23" s="25" t="str">
        <f t="shared" si="6"/>
        <v/>
      </c>
      <c r="M23" s="25"/>
      <c r="O23" s="25"/>
    </row>
    <row r="24" ht="15.75" customHeight="1">
      <c r="A24" s="25" t="str">
        <f>IFERROR(__xludf.DUMMYFUNCTION("IF(B24="""","""",RIGHT(REGEXREPLACE(B24&amp;"""",""[^0-9]"",""""),9))"),"766323831")</f>
        <v>766323831</v>
      </c>
      <c r="B24" s="52">
        <v>7.66323831E8</v>
      </c>
      <c r="C24" s="28" t="s">
        <v>85</v>
      </c>
      <c r="D24" s="26" t="s">
        <v>45</v>
      </c>
      <c r="E24" s="31">
        <v>46226.0</v>
      </c>
      <c r="F24" s="26" t="s">
        <v>41</v>
      </c>
      <c r="G24" s="26">
        <v>10.0</v>
      </c>
      <c r="I24" s="26" t="s">
        <v>42</v>
      </c>
      <c r="J24" s="25" t="str">
        <f t="shared" si="4"/>
        <v>No</v>
      </c>
      <c r="K24" s="25" t="str">
        <f t="shared" si="5"/>
        <v/>
      </c>
      <c r="L24" s="25" t="str">
        <f t="shared" si="6"/>
        <v/>
      </c>
      <c r="M24" s="26" t="s">
        <v>43</v>
      </c>
      <c r="N24" s="26" t="s">
        <v>61</v>
      </c>
      <c r="O24" s="25"/>
    </row>
    <row r="25" ht="15.75" customHeight="1">
      <c r="A25" s="25" t="str">
        <f>IFERROR(__xludf.DUMMYFUNCTION("IF(B25="""","""",RIGHT(REGEXREPLACE(B25&amp;"""",""[^0-9]"",""""),9))"),"703577703")</f>
        <v>703577703</v>
      </c>
      <c r="B25" s="47">
        <v>7.03577703E8</v>
      </c>
      <c r="C25" s="28" t="s">
        <v>86</v>
      </c>
      <c r="D25" s="26" t="s">
        <v>49</v>
      </c>
      <c r="E25" s="31">
        <v>46226.0</v>
      </c>
      <c r="F25" s="26" t="s">
        <v>41</v>
      </c>
      <c r="G25" s="25"/>
      <c r="H25" s="25"/>
      <c r="I25" s="25"/>
      <c r="J25" s="25" t="str">
        <f t="shared" si="4"/>
        <v>No</v>
      </c>
      <c r="K25" s="25" t="str">
        <f t="shared" si="5"/>
        <v/>
      </c>
      <c r="L25" s="25" t="str">
        <f t="shared" si="6"/>
        <v/>
      </c>
      <c r="M25" s="26" t="s">
        <v>51</v>
      </c>
      <c r="N25" s="26" t="s">
        <v>87</v>
      </c>
      <c r="O25" s="25"/>
      <c r="P25" s="25"/>
    </row>
    <row r="26" ht="15.75" customHeight="1">
      <c r="A26" s="25" t="str">
        <f>IFERROR(__xludf.DUMMYFUNCTION("IF(B26="""","""",RIGHT(REGEXREPLACE(B26&amp;"""",""[^0-9]"",""""),9))"),"727009037")</f>
        <v>727009037</v>
      </c>
      <c r="B26" s="47">
        <v>7.27009037E8</v>
      </c>
      <c r="C26" s="28" t="s">
        <v>88</v>
      </c>
      <c r="D26" s="26" t="s">
        <v>56</v>
      </c>
      <c r="E26" s="31">
        <v>46226.0</v>
      </c>
      <c r="F26" s="26" t="s">
        <v>41</v>
      </c>
      <c r="I26" s="26" t="s">
        <v>42</v>
      </c>
      <c r="J26" s="25" t="str">
        <f t="shared" si="4"/>
        <v>No</v>
      </c>
      <c r="K26" s="25" t="str">
        <f t="shared" si="5"/>
        <v/>
      </c>
      <c r="L26" s="25" t="str">
        <f t="shared" si="6"/>
        <v/>
      </c>
      <c r="M26" s="26" t="s">
        <v>51</v>
      </c>
      <c r="N26" s="26" t="s">
        <v>89</v>
      </c>
      <c r="O26" s="25"/>
    </row>
    <row r="27" ht="15.75" customHeight="1">
      <c r="A27" s="25" t="str">
        <f>IFERROR(__xludf.DUMMYFUNCTION("IF(B27="""","""",RIGHT(REGEXREPLACE(B27&amp;"""",""[^0-9]"",""""),9))"),"774435357")</f>
        <v>774435357</v>
      </c>
      <c r="B27" s="52">
        <v>7.74435357E8</v>
      </c>
      <c r="C27" s="28" t="s">
        <v>90</v>
      </c>
      <c r="D27" s="26" t="s">
        <v>45</v>
      </c>
      <c r="E27" s="31">
        <v>46226.0</v>
      </c>
      <c r="F27" s="26" t="s">
        <v>46</v>
      </c>
      <c r="G27" s="26">
        <v>11.0</v>
      </c>
      <c r="I27" s="26" t="s">
        <v>42</v>
      </c>
      <c r="J27" s="25" t="str">
        <f t="shared" si="4"/>
        <v>No</v>
      </c>
      <c r="K27" s="25" t="str">
        <f t="shared" si="5"/>
        <v/>
      </c>
      <c r="L27" s="25" t="str">
        <f t="shared" si="6"/>
        <v/>
      </c>
      <c r="M27" s="26" t="s">
        <v>43</v>
      </c>
      <c r="N27" s="26" t="s">
        <v>61</v>
      </c>
      <c r="O27" s="25"/>
    </row>
    <row r="28" ht="15.75" customHeight="1">
      <c r="A28" s="25" t="str">
        <f>IFERROR(__xludf.DUMMYFUNCTION("IF(B28="""","""",RIGHT(REGEXREPLACE(B28&amp;"""",""[^0-9]"",""""),9))"),"718066694")</f>
        <v>718066694</v>
      </c>
      <c r="B28" s="47">
        <v>7.18066694E8</v>
      </c>
      <c r="C28" s="28" t="s">
        <v>91</v>
      </c>
      <c r="D28" s="25"/>
      <c r="E28" s="31">
        <v>46226.0</v>
      </c>
      <c r="F28" s="25"/>
      <c r="G28" s="25"/>
      <c r="H28" s="25"/>
      <c r="I28" s="25"/>
      <c r="J28" s="25" t="str">
        <f t="shared" si="4"/>
        <v>No</v>
      </c>
      <c r="K28" s="25" t="str">
        <f t="shared" si="5"/>
        <v/>
      </c>
      <c r="L28" s="25" t="str">
        <f t="shared" si="6"/>
        <v/>
      </c>
      <c r="M28" s="25"/>
      <c r="N28" s="25"/>
      <c r="O28" s="25"/>
      <c r="P28" s="25"/>
    </row>
    <row r="29" ht="15.75" customHeight="1">
      <c r="A29" s="25" t="str">
        <f>IFERROR(__xludf.DUMMYFUNCTION("IF(B29="""","""",RIGHT(REGEXREPLACE(B29&amp;"""",""[^0-9]"",""""),9))"),"710165336")</f>
        <v>710165336</v>
      </c>
      <c r="B29" s="47">
        <v>7.10165336E8</v>
      </c>
      <c r="C29" s="28" t="s">
        <v>93</v>
      </c>
      <c r="D29" s="26" t="s">
        <v>49</v>
      </c>
      <c r="E29" s="31">
        <v>46226.0</v>
      </c>
      <c r="F29" s="26" t="s">
        <v>41</v>
      </c>
      <c r="G29" s="26">
        <v>11.0</v>
      </c>
      <c r="H29" s="25"/>
      <c r="I29" s="25"/>
      <c r="J29" s="25" t="str">
        <f t="shared" si="4"/>
        <v>No</v>
      </c>
      <c r="K29" s="25" t="str">
        <f t="shared" si="5"/>
        <v/>
      </c>
      <c r="L29" s="25" t="str">
        <f t="shared" si="6"/>
        <v/>
      </c>
      <c r="M29" s="26" t="s">
        <v>51</v>
      </c>
      <c r="N29" s="26" t="s">
        <v>94</v>
      </c>
      <c r="O29" s="25"/>
      <c r="P29" s="25"/>
    </row>
    <row r="30" ht="15.75" customHeight="1">
      <c r="C30" s="46"/>
      <c r="D30" s="25"/>
      <c r="F30" s="25"/>
      <c r="M30" s="25"/>
      <c r="O30" s="25"/>
    </row>
    <row r="31" ht="15.75" customHeight="1">
      <c r="A31" s="25" t="str">
        <f>IFERROR(__xludf.DUMMYFUNCTION("IF(B31="""","""",RIGHT(REGEXREPLACE(B31&amp;"""",""[^0-9]"",""""),9))"),"769365683")</f>
        <v>769365683</v>
      </c>
      <c r="B31" s="47">
        <v>7.69365683E8</v>
      </c>
      <c r="C31" s="28" t="s">
        <v>95</v>
      </c>
      <c r="D31" s="26" t="s">
        <v>49</v>
      </c>
      <c r="E31" s="31">
        <v>46226.0</v>
      </c>
      <c r="F31" s="26" t="s">
        <v>46</v>
      </c>
      <c r="G31" s="26">
        <v>11.0</v>
      </c>
      <c r="H31" s="25"/>
      <c r="I31" s="25"/>
      <c r="J31" s="25" t="str">
        <f t="shared" ref="J31:J32" si="7">IF(COUNTIF($A$2:A30,A31)&gt;0,"Yes - see Previous F-Code","No")</f>
        <v>No</v>
      </c>
      <c r="K31" s="25" t="str">
        <f t="shared" ref="K31:K34" si="8">IF(COUNTIFS($A$2:A31,A31,$I$2:I31,I31)&gt;1,"DUPLICATE - CHECK","")</f>
        <v/>
      </c>
      <c r="L31" s="25" t="str">
        <f t="shared" ref="L31:L32" si="9">IF(COUNTIF($A$2:A30,A31)&gt;0,INDEX($C$2:C30,MATCH(A31,$A$2:A30,0)),"")</f>
        <v/>
      </c>
      <c r="M31" s="26" t="s">
        <v>51</v>
      </c>
      <c r="N31" s="26" t="s">
        <v>96</v>
      </c>
      <c r="O31" s="25"/>
      <c r="P31" s="25"/>
    </row>
    <row r="32" ht="15.75" customHeight="1">
      <c r="A32" s="25" t="str">
        <f>IFERROR(__xludf.DUMMYFUNCTION("IF(B32="""","""",RIGHT(REGEXREPLACE(B32&amp;"""",""[^0-9]"",""""),9))"),"711993176")</f>
        <v>711993176</v>
      </c>
      <c r="B32" s="52">
        <v>9.4711993176E10</v>
      </c>
      <c r="C32" s="28" t="s">
        <v>97</v>
      </c>
      <c r="D32" s="26" t="s">
        <v>82</v>
      </c>
      <c r="E32" s="31">
        <v>46226.0</v>
      </c>
      <c r="F32" s="26" t="s">
        <v>46</v>
      </c>
      <c r="G32" s="26">
        <v>9.0</v>
      </c>
      <c r="I32" s="26" t="s">
        <v>42</v>
      </c>
      <c r="J32" s="25" t="str">
        <f t="shared" si="7"/>
        <v>No</v>
      </c>
      <c r="K32" s="25" t="str">
        <f t="shared" si="8"/>
        <v/>
      </c>
      <c r="L32" s="25" t="str">
        <f t="shared" si="9"/>
        <v/>
      </c>
      <c r="M32" s="26" t="s">
        <v>51</v>
      </c>
      <c r="N32" s="26" t="s">
        <v>98</v>
      </c>
      <c r="O32" s="25"/>
    </row>
    <row r="33" ht="15.75" customHeight="1">
      <c r="A33" s="25" t="str">
        <f>IFERROR(__xludf.DUMMYFUNCTION("IF(B33="""","""",RIGHT(REGEXREPLACE(B33&amp;"""",""[^0-9]"",""""),9))"),"")</f>
        <v/>
      </c>
      <c r="B33" s="47"/>
      <c r="C33" s="46"/>
      <c r="D33" s="25"/>
      <c r="E33" s="31"/>
      <c r="F33" s="25"/>
      <c r="K33" s="25" t="str">
        <f t="shared" si="8"/>
        <v/>
      </c>
      <c r="M33" s="25"/>
      <c r="O33" s="25"/>
    </row>
    <row r="34" ht="15.75" customHeight="1">
      <c r="A34" s="25" t="str">
        <f>IFERROR(__xludf.DUMMYFUNCTION("IF(B34="""","""",RIGHT(REGEXREPLACE(B34&amp;"""",""[^0-9]"",""""),9))"),"765254282")</f>
        <v>765254282</v>
      </c>
      <c r="B34" s="47">
        <v>7.65254282E8</v>
      </c>
      <c r="C34" s="28" t="s">
        <v>99</v>
      </c>
      <c r="D34" s="26" t="s">
        <v>56</v>
      </c>
      <c r="E34" s="31">
        <v>46226.0</v>
      </c>
      <c r="F34" s="26" t="s">
        <v>46</v>
      </c>
      <c r="G34" s="62" t="s">
        <v>100</v>
      </c>
      <c r="I34" s="26" t="s">
        <v>42</v>
      </c>
      <c r="J34" s="25" t="str">
        <f>IF(COUNTIF($A$2:A33,A34)&gt;0,"Yes - see Previous F-Code","No")</f>
        <v>No</v>
      </c>
      <c r="K34" s="25" t="str">
        <f t="shared" si="8"/>
        <v/>
      </c>
      <c r="L34" s="25" t="str">
        <f t="array" ref="L34">IF(COUNTIF($A$2:A33,A34)&gt;0,INDEX($C$2:C33,MATCH(A34,$A$2:A33,0)),"")</f>
        <v/>
      </c>
      <c r="M34" s="26" t="s">
        <v>51</v>
      </c>
      <c r="N34" s="26" t="s">
        <v>101</v>
      </c>
      <c r="O34" s="25"/>
    </row>
    <row r="35" ht="15.75" customHeight="1">
      <c r="C35" s="46"/>
      <c r="D35" s="25"/>
      <c r="F35" s="25"/>
      <c r="M35" s="25"/>
      <c r="O35" s="25"/>
    </row>
    <row r="36" ht="15.75" customHeight="1">
      <c r="A36" s="25" t="str">
        <f>IFERROR(__xludf.DUMMYFUNCTION("IF(B36="""","""",RIGHT(REGEXREPLACE(B36&amp;"""",""[^0-9]"",""""),9))"),"701026904")</f>
        <v>701026904</v>
      </c>
      <c r="B36" s="52">
        <v>7.01026904E8</v>
      </c>
      <c r="C36" s="28" t="s">
        <v>102</v>
      </c>
      <c r="D36" s="26" t="s">
        <v>45</v>
      </c>
      <c r="E36" s="31">
        <v>46226.0</v>
      </c>
      <c r="F36" s="26" t="s">
        <v>41</v>
      </c>
      <c r="G36" s="26">
        <v>8.0</v>
      </c>
      <c r="I36" s="26" t="s">
        <v>42</v>
      </c>
      <c r="J36" s="25" t="str">
        <f t="shared" ref="J36:J66" si="10">IF(COUNTIF($A$2:A35,A36)&gt;0,"Yes - see Previous F-Code","No")</f>
        <v>No</v>
      </c>
      <c r="K36" s="25" t="str">
        <f t="shared" ref="K36:K66" si="11">IF(COUNTIFS($A$2:A36,A36,$I$2:I36,I36)&gt;1,"DUPLICATE - CHECK","")</f>
        <v/>
      </c>
      <c r="L36" s="25" t="str">
        <f t="shared" ref="L36:L66" si="12">IF(COUNTIF($A$2:A35,A36)&gt;0,INDEX($C$2:C35,MATCH(A36,$A$2:A35,0)),"")</f>
        <v/>
      </c>
      <c r="M36" s="26" t="s">
        <v>43</v>
      </c>
      <c r="N36" s="26" t="s">
        <v>61</v>
      </c>
      <c r="O36" s="25"/>
    </row>
    <row r="37" ht="15.75" customHeight="1">
      <c r="A37" s="25" t="str">
        <f>IFERROR(__xludf.DUMMYFUNCTION("IF(B37="""","""",RIGHT(REGEXREPLACE(B37&amp;"""",""[^0-9]"",""""),9))"),"702580544")</f>
        <v>702580544</v>
      </c>
      <c r="B37" s="47">
        <v>7.02580544E8</v>
      </c>
      <c r="C37" s="28" t="s">
        <v>103</v>
      </c>
      <c r="D37" s="26" t="s">
        <v>56</v>
      </c>
      <c r="E37" s="31">
        <v>46226.0</v>
      </c>
      <c r="F37" s="26" t="s">
        <v>46</v>
      </c>
      <c r="G37" s="26">
        <v>11.0</v>
      </c>
      <c r="I37" s="26" t="s">
        <v>42</v>
      </c>
      <c r="J37" s="25" t="str">
        <f t="shared" si="10"/>
        <v>No</v>
      </c>
      <c r="K37" s="25" t="str">
        <f t="shared" si="11"/>
        <v/>
      </c>
      <c r="L37" s="25" t="str">
        <f t="shared" si="12"/>
        <v/>
      </c>
      <c r="M37" s="26" t="s">
        <v>51</v>
      </c>
      <c r="N37" s="26" t="s">
        <v>104</v>
      </c>
      <c r="O37" s="25"/>
    </row>
    <row r="38" ht="15.75" customHeight="1">
      <c r="A38" s="25" t="str">
        <f>IFERROR(__xludf.DUMMYFUNCTION("IF(B38="""","""",RIGHT(REGEXREPLACE(B38&amp;"""",""[^0-9]"",""""),9))"),"772732100")</f>
        <v>772732100</v>
      </c>
      <c r="B38" s="47">
        <v>7.727321E8</v>
      </c>
      <c r="C38" s="28" t="s">
        <v>105</v>
      </c>
      <c r="D38" s="26" t="s">
        <v>56</v>
      </c>
      <c r="E38" s="31">
        <v>46226.0</v>
      </c>
      <c r="F38" s="26" t="s">
        <v>84</v>
      </c>
      <c r="I38" s="26" t="s">
        <v>42</v>
      </c>
      <c r="J38" s="25" t="str">
        <f t="shared" si="10"/>
        <v>No</v>
      </c>
      <c r="K38" s="25" t="str">
        <f t="shared" si="11"/>
        <v/>
      </c>
      <c r="L38" s="25" t="str">
        <f t="shared" si="12"/>
        <v/>
      </c>
      <c r="M38" s="26" t="s">
        <v>43</v>
      </c>
      <c r="N38" s="26" t="s">
        <v>47</v>
      </c>
      <c r="O38" s="25"/>
    </row>
    <row r="39" ht="15.75" customHeight="1">
      <c r="A39" s="25" t="str">
        <f>IFERROR(__xludf.DUMMYFUNCTION("IF(B39="""","""",RIGHT(REGEXREPLACE(B39&amp;"""",""[^0-9]"",""""),9))"),"777007650")</f>
        <v>777007650</v>
      </c>
      <c r="B39" s="47">
        <v>7.7700765E8</v>
      </c>
      <c r="C39" s="28" t="s">
        <v>106</v>
      </c>
      <c r="D39" s="26" t="s">
        <v>82</v>
      </c>
      <c r="E39" s="31">
        <v>46226.0</v>
      </c>
      <c r="F39" s="26" t="s">
        <v>41</v>
      </c>
      <c r="I39" s="26" t="s">
        <v>42</v>
      </c>
      <c r="J39" s="25" t="str">
        <f t="shared" si="10"/>
        <v>No</v>
      </c>
      <c r="K39" s="25" t="str">
        <f t="shared" si="11"/>
        <v/>
      </c>
      <c r="L39" s="25" t="str">
        <f t="shared" si="12"/>
        <v/>
      </c>
      <c r="M39" s="26" t="s">
        <v>43</v>
      </c>
      <c r="N39" s="26" t="s">
        <v>47</v>
      </c>
      <c r="O39" s="25"/>
    </row>
    <row r="40" ht="15.75" customHeight="1">
      <c r="A40" s="25" t="str">
        <f>IFERROR(__xludf.DUMMYFUNCTION("IF(B40="""","""",RIGHT(REGEXREPLACE(B40&amp;"""",""[^0-9]"",""""),9))"),"764519540")</f>
        <v>764519540</v>
      </c>
      <c r="B40" s="52">
        <v>7.6451954E8</v>
      </c>
      <c r="C40" s="28" t="s">
        <v>107</v>
      </c>
      <c r="D40" s="26" t="s">
        <v>45</v>
      </c>
      <c r="E40" s="31">
        <v>46226.0</v>
      </c>
      <c r="F40" s="26" t="s">
        <v>46</v>
      </c>
      <c r="G40" s="26">
        <v>11.0</v>
      </c>
      <c r="I40" s="26" t="s">
        <v>42</v>
      </c>
      <c r="J40" s="25" t="str">
        <f t="shared" si="10"/>
        <v>No</v>
      </c>
      <c r="K40" s="25" t="str">
        <f t="shared" si="11"/>
        <v/>
      </c>
      <c r="L40" s="25" t="str">
        <f t="shared" si="12"/>
        <v/>
      </c>
      <c r="M40" s="26" t="s">
        <v>43</v>
      </c>
      <c r="N40" s="26" t="s">
        <v>61</v>
      </c>
      <c r="O40" s="25"/>
    </row>
    <row r="41" ht="15.75" customHeight="1">
      <c r="A41" s="25" t="str">
        <f>IFERROR(__xludf.DUMMYFUNCTION("IF(B41="""","""",RIGHT(REGEXREPLACE(B41&amp;"""",""[^0-9]"",""""),9))"),"779890412")</f>
        <v>779890412</v>
      </c>
      <c r="B41" s="47">
        <v>7.79890412E8</v>
      </c>
      <c r="C41" s="28" t="s">
        <v>108</v>
      </c>
      <c r="D41" s="26" t="s">
        <v>49</v>
      </c>
      <c r="E41" s="31">
        <v>46226.0</v>
      </c>
      <c r="F41" s="26" t="s">
        <v>41</v>
      </c>
      <c r="G41" s="26">
        <v>10.0</v>
      </c>
      <c r="I41" s="26" t="s">
        <v>42</v>
      </c>
      <c r="J41" s="25" t="str">
        <f t="shared" si="10"/>
        <v>No</v>
      </c>
      <c r="K41" s="25" t="str">
        <f t="shared" si="11"/>
        <v/>
      </c>
      <c r="L41" s="25" t="str">
        <f t="shared" si="12"/>
        <v/>
      </c>
      <c r="M41" s="26" t="s">
        <v>43</v>
      </c>
      <c r="N41" s="26" t="s">
        <v>61</v>
      </c>
      <c r="O41" s="25"/>
    </row>
    <row r="42" ht="15.75" customHeight="1">
      <c r="A42" s="25" t="str">
        <f>IFERROR(__xludf.DUMMYFUNCTION("IF(B42="""","""",RIGHT(REGEXREPLACE(B42&amp;"""",""[^0-9]"",""""),9))"),"768369790")</f>
        <v>768369790</v>
      </c>
      <c r="B42" s="47">
        <v>9.476836979E10</v>
      </c>
      <c r="C42" s="28" t="s">
        <v>109</v>
      </c>
      <c r="D42" s="26" t="s">
        <v>37</v>
      </c>
      <c r="E42" s="31">
        <v>46226.0</v>
      </c>
      <c r="F42" s="26" t="s">
        <v>41</v>
      </c>
      <c r="I42" s="26" t="s">
        <v>42</v>
      </c>
      <c r="J42" s="25" t="str">
        <f t="shared" si="10"/>
        <v>No</v>
      </c>
      <c r="K42" s="25" t="str">
        <f t="shared" si="11"/>
        <v/>
      </c>
      <c r="L42" s="25" t="str">
        <f t="shared" si="12"/>
        <v/>
      </c>
      <c r="M42" s="25"/>
      <c r="O42" s="25"/>
    </row>
    <row r="43" ht="15.75" customHeight="1">
      <c r="A43" s="25" t="str">
        <f>IFERROR(__xludf.DUMMYFUNCTION("IF(B43="""","""",RIGHT(REGEXREPLACE(B43&amp;"""",""[^0-9]"",""""),9))"),"767287836")</f>
        <v>767287836</v>
      </c>
      <c r="B43" s="47">
        <v>7.67287836E8</v>
      </c>
      <c r="C43" s="28" t="s">
        <v>110</v>
      </c>
      <c r="D43" s="26" t="s">
        <v>49</v>
      </c>
      <c r="E43" s="31">
        <v>46226.0</v>
      </c>
      <c r="F43" s="26" t="s">
        <v>46</v>
      </c>
      <c r="G43" s="26">
        <v>11.0</v>
      </c>
      <c r="I43" s="26" t="s">
        <v>42</v>
      </c>
      <c r="J43" s="25" t="str">
        <f t="shared" si="10"/>
        <v>No</v>
      </c>
      <c r="K43" s="25" t="str">
        <f t="shared" si="11"/>
        <v/>
      </c>
      <c r="L43" s="25" t="str">
        <f t="shared" si="12"/>
        <v/>
      </c>
      <c r="M43" s="26" t="s">
        <v>43</v>
      </c>
      <c r="N43" s="26" t="s">
        <v>54</v>
      </c>
      <c r="O43" s="25"/>
    </row>
    <row r="44" ht="15.75" customHeight="1">
      <c r="A44" s="25" t="str">
        <f>IFERROR(__xludf.DUMMYFUNCTION("IF(B44="""","""",RIGHT(REGEXREPLACE(B44&amp;"""",""[^0-9]"",""""),9))"),"772577091")</f>
        <v>772577091</v>
      </c>
      <c r="B44" s="47">
        <v>9.4772577091E10</v>
      </c>
      <c r="C44" s="28" t="s">
        <v>111</v>
      </c>
      <c r="D44" s="26" t="s">
        <v>37</v>
      </c>
      <c r="E44" s="31">
        <v>46226.0</v>
      </c>
      <c r="F44" s="26" t="s">
        <v>41</v>
      </c>
      <c r="I44" s="26" t="s">
        <v>42</v>
      </c>
      <c r="J44" s="25" t="str">
        <f t="shared" si="10"/>
        <v>No</v>
      </c>
      <c r="K44" s="25" t="str">
        <f t="shared" si="11"/>
        <v/>
      </c>
      <c r="L44" s="25" t="str">
        <f t="shared" si="12"/>
        <v/>
      </c>
      <c r="M44" s="25"/>
      <c r="O44" s="25"/>
    </row>
    <row r="45" ht="15.75" customHeight="1">
      <c r="A45" s="25" t="str">
        <f>IFERROR(__xludf.DUMMYFUNCTION("IF(B45="""","""",RIGHT(REGEXREPLACE(B45&amp;"""",""[^0-9]"",""""),9))"),"741558418")</f>
        <v>741558418</v>
      </c>
      <c r="B45" s="47">
        <v>7.41558418E8</v>
      </c>
      <c r="C45" s="28" t="s">
        <v>112</v>
      </c>
      <c r="D45" s="26" t="s">
        <v>82</v>
      </c>
      <c r="E45" s="31">
        <v>46226.0</v>
      </c>
      <c r="F45" s="26" t="s">
        <v>41</v>
      </c>
      <c r="I45" s="26" t="s">
        <v>42</v>
      </c>
      <c r="J45" s="25" t="str">
        <f t="shared" si="10"/>
        <v>No</v>
      </c>
      <c r="K45" s="25" t="str">
        <f t="shared" si="11"/>
        <v/>
      </c>
      <c r="L45" s="25" t="str">
        <f t="shared" si="12"/>
        <v/>
      </c>
      <c r="M45" s="26" t="s">
        <v>43</v>
      </c>
      <c r="N45" s="26" t="s">
        <v>54</v>
      </c>
      <c r="O45" s="25"/>
    </row>
    <row r="46" ht="15.75" customHeight="1">
      <c r="A46" s="25" t="str">
        <f>IFERROR(__xludf.DUMMYFUNCTION("IF(B46="""","""",RIGHT(REGEXREPLACE(B46&amp;"""",""[^0-9]"",""""),9))"),"717490051")</f>
        <v>717490051</v>
      </c>
      <c r="B46" s="52">
        <v>7.17490051E8</v>
      </c>
      <c r="C46" s="28" t="s">
        <v>113</v>
      </c>
      <c r="D46" s="26" t="s">
        <v>45</v>
      </c>
      <c r="E46" s="31">
        <v>46226.0</v>
      </c>
      <c r="F46" s="26" t="s">
        <v>41</v>
      </c>
      <c r="I46" s="26" t="s">
        <v>42</v>
      </c>
      <c r="J46" s="25" t="str">
        <f t="shared" si="10"/>
        <v>No</v>
      </c>
      <c r="K46" s="25" t="str">
        <f t="shared" si="11"/>
        <v/>
      </c>
      <c r="L46" s="25" t="str">
        <f t="shared" si="12"/>
        <v/>
      </c>
      <c r="M46" s="26" t="s">
        <v>51</v>
      </c>
      <c r="N46" s="26" t="s">
        <v>114</v>
      </c>
      <c r="O46" s="25"/>
    </row>
    <row r="47" ht="15.75" customHeight="1">
      <c r="A47" s="25" t="str">
        <f>IFERROR(__xludf.DUMMYFUNCTION("IF(B47="""","""",RIGHT(REGEXREPLACE(B47&amp;"""",""[^0-9]"",""""),9))"),"741603448")</f>
        <v>741603448</v>
      </c>
      <c r="B47" s="47">
        <v>7.41603448E8</v>
      </c>
      <c r="C47" s="28" t="s">
        <v>115</v>
      </c>
      <c r="D47" s="26" t="s">
        <v>49</v>
      </c>
      <c r="E47" s="31">
        <v>46226.0</v>
      </c>
      <c r="F47" s="26" t="s">
        <v>46</v>
      </c>
      <c r="G47" s="26">
        <v>11.0</v>
      </c>
      <c r="I47" s="26" t="s">
        <v>42</v>
      </c>
      <c r="J47" s="25" t="str">
        <f t="shared" si="10"/>
        <v>No</v>
      </c>
      <c r="K47" s="25" t="str">
        <f t="shared" si="11"/>
        <v/>
      </c>
      <c r="L47" s="25" t="str">
        <f t="shared" si="12"/>
        <v/>
      </c>
      <c r="M47" s="26" t="s">
        <v>51</v>
      </c>
      <c r="N47" s="26" t="s">
        <v>116</v>
      </c>
      <c r="O47" s="25"/>
    </row>
    <row r="48" ht="15.75" customHeight="1">
      <c r="A48" s="25" t="str">
        <f>IFERROR(__xludf.DUMMYFUNCTION("IF(B48="""","""",RIGHT(REGEXREPLACE(B48&amp;"""",""[^0-9]"",""""),9))"),"718248235")</f>
        <v>718248235</v>
      </c>
      <c r="B48" s="63">
        <v>7.18248235E8</v>
      </c>
      <c r="C48" s="28" t="s">
        <v>117</v>
      </c>
      <c r="D48" s="26" t="s">
        <v>82</v>
      </c>
      <c r="E48" s="31">
        <v>46226.0</v>
      </c>
      <c r="F48" s="26" t="s">
        <v>46</v>
      </c>
      <c r="G48" s="26">
        <v>10.0</v>
      </c>
      <c r="I48" s="26" t="s">
        <v>42</v>
      </c>
      <c r="J48" s="25" t="str">
        <f t="shared" si="10"/>
        <v>No</v>
      </c>
      <c r="K48" s="25" t="str">
        <f t="shared" si="11"/>
        <v/>
      </c>
      <c r="L48" s="25" t="str">
        <f t="shared" si="12"/>
        <v/>
      </c>
      <c r="M48" s="26" t="s">
        <v>51</v>
      </c>
      <c r="N48" s="26" t="s">
        <v>118</v>
      </c>
      <c r="O48" s="25"/>
    </row>
    <row r="49" ht="15.75" customHeight="1">
      <c r="A49" s="25" t="str">
        <f>IFERROR(__xludf.DUMMYFUNCTION("IF(B49="""","""",RIGHT(REGEXREPLACE(B49&amp;"""",""[^0-9]"",""""),9))"),"775802531")</f>
        <v>775802531</v>
      </c>
      <c r="B49" s="52">
        <v>7.75802531E8</v>
      </c>
      <c r="C49" s="28" t="s">
        <v>119</v>
      </c>
      <c r="D49" s="26" t="s">
        <v>45</v>
      </c>
      <c r="E49" s="31">
        <v>46226.0</v>
      </c>
      <c r="F49" s="26" t="s">
        <v>46</v>
      </c>
      <c r="G49" s="26">
        <v>11.0</v>
      </c>
      <c r="I49" s="26" t="s">
        <v>42</v>
      </c>
      <c r="J49" s="25" t="str">
        <f t="shared" si="10"/>
        <v>No</v>
      </c>
      <c r="K49" s="25" t="str">
        <f t="shared" si="11"/>
        <v/>
      </c>
      <c r="L49" s="25" t="str">
        <f t="shared" si="12"/>
        <v/>
      </c>
      <c r="M49" s="26" t="s">
        <v>43</v>
      </c>
      <c r="N49" s="26" t="s">
        <v>54</v>
      </c>
      <c r="O49" s="25"/>
    </row>
    <row r="50" ht="15.75" customHeight="1">
      <c r="A50" s="25" t="str">
        <f>IFERROR(__xludf.DUMMYFUNCTION("IF(B50="""","""",RIGHT(REGEXREPLACE(B50&amp;"""",""[^0-9]"",""""),9))"),"763279075")</f>
        <v>763279075</v>
      </c>
      <c r="B50" s="64">
        <v>9.4763279075E10</v>
      </c>
      <c r="C50" s="28" t="s">
        <v>120</v>
      </c>
      <c r="D50" s="26" t="s">
        <v>37</v>
      </c>
      <c r="E50" s="31">
        <v>46226.0</v>
      </c>
      <c r="F50" s="26" t="s">
        <v>41</v>
      </c>
      <c r="I50" s="26" t="s">
        <v>42</v>
      </c>
      <c r="J50" s="25" t="str">
        <f t="shared" si="10"/>
        <v>No</v>
      </c>
      <c r="K50" s="25" t="str">
        <f t="shared" si="11"/>
        <v/>
      </c>
      <c r="L50" s="25" t="str">
        <f t="shared" si="12"/>
        <v/>
      </c>
      <c r="M50" s="25"/>
      <c r="O50" s="25"/>
    </row>
    <row r="51" ht="15.75" customHeight="1">
      <c r="A51" s="25" t="str">
        <f>IFERROR(__xludf.DUMMYFUNCTION("IF(B51="""","""",RIGHT(REGEXREPLACE(B51&amp;"""",""[^0-9]"",""""),9))"),"772508309")</f>
        <v>772508309</v>
      </c>
      <c r="B51" s="65">
        <f>+94772508309</f>
        <v>94772508309</v>
      </c>
      <c r="C51" s="28" t="s">
        <v>121</v>
      </c>
      <c r="D51" s="26" t="s">
        <v>37</v>
      </c>
      <c r="E51" s="31">
        <v>46226.0</v>
      </c>
      <c r="F51" s="26" t="s">
        <v>46</v>
      </c>
      <c r="G51" s="26">
        <v>11.0</v>
      </c>
      <c r="I51" s="26" t="s">
        <v>42</v>
      </c>
      <c r="J51" s="25" t="str">
        <f t="shared" si="10"/>
        <v>No</v>
      </c>
      <c r="K51" s="25" t="str">
        <f t="shared" si="11"/>
        <v/>
      </c>
      <c r="L51" s="25" t="str">
        <f t="shared" si="12"/>
        <v/>
      </c>
      <c r="M51" s="25"/>
      <c r="O51" s="25"/>
    </row>
    <row r="52" ht="15.75" customHeight="1">
      <c r="A52" s="25" t="str">
        <f>IFERROR(__xludf.DUMMYFUNCTION("IF(B52="""","""",RIGHT(REGEXREPLACE(B52&amp;"""",""[^0-9]"",""""),9))"),"779994616")</f>
        <v>779994616</v>
      </c>
      <c r="B52" s="63">
        <v>9.4779994616E10</v>
      </c>
      <c r="C52" s="28" t="s">
        <v>122</v>
      </c>
      <c r="D52" s="26" t="s">
        <v>37</v>
      </c>
      <c r="E52" s="31">
        <v>46226.0</v>
      </c>
      <c r="F52" s="26" t="s">
        <v>41</v>
      </c>
      <c r="I52" s="26" t="s">
        <v>42</v>
      </c>
      <c r="J52" s="25" t="str">
        <f t="shared" si="10"/>
        <v>No</v>
      </c>
      <c r="K52" s="25" t="str">
        <f t="shared" si="11"/>
        <v/>
      </c>
      <c r="L52" s="25" t="str">
        <f t="shared" si="12"/>
        <v/>
      </c>
      <c r="M52" s="25"/>
      <c r="O52" s="25"/>
    </row>
    <row r="53" ht="15.75" customHeight="1">
      <c r="A53" s="25" t="str">
        <f>IFERROR(__xludf.DUMMYFUNCTION("IF(B53="""","""",RIGHT(REGEXREPLACE(B53&amp;"""",""[^0-9]"",""""),9))"),"784731796")</f>
        <v>784731796</v>
      </c>
      <c r="B53" s="47">
        <v>7.84731796E8</v>
      </c>
      <c r="C53" s="28" t="s">
        <v>123</v>
      </c>
      <c r="D53" s="26" t="s">
        <v>49</v>
      </c>
      <c r="E53" s="31">
        <v>46226.0</v>
      </c>
      <c r="F53" s="25"/>
      <c r="G53" s="26">
        <v>11.0</v>
      </c>
      <c r="H53" s="25"/>
      <c r="I53" s="26" t="s">
        <v>42</v>
      </c>
      <c r="J53" s="25" t="str">
        <f t="shared" si="10"/>
        <v>No</v>
      </c>
      <c r="K53" s="25" t="str">
        <f t="shared" si="11"/>
        <v/>
      </c>
      <c r="L53" s="25" t="str">
        <f t="shared" si="12"/>
        <v/>
      </c>
      <c r="M53" s="26" t="s">
        <v>43</v>
      </c>
      <c r="N53" s="26" t="s">
        <v>54</v>
      </c>
      <c r="O53" s="25"/>
      <c r="P53" s="25"/>
    </row>
    <row r="54" ht="15.75" customHeight="1">
      <c r="A54" s="25" t="str">
        <f>IFERROR(__xludf.DUMMYFUNCTION("IF(B54="""","""",RIGHT(REGEXREPLACE(B54&amp;"""",""[^0-9]"",""""),9))"),"762502362")</f>
        <v>762502362</v>
      </c>
      <c r="B54" s="54">
        <v>7.62502362E8</v>
      </c>
      <c r="C54" s="28" t="s">
        <v>124</v>
      </c>
      <c r="D54" s="26" t="s">
        <v>82</v>
      </c>
      <c r="E54" s="31">
        <v>46226.0</v>
      </c>
      <c r="F54" s="26" t="s">
        <v>125</v>
      </c>
      <c r="I54" s="26" t="s">
        <v>42</v>
      </c>
      <c r="J54" s="25" t="str">
        <f t="shared" si="10"/>
        <v>No</v>
      </c>
      <c r="K54" s="25" t="str">
        <f t="shared" si="11"/>
        <v/>
      </c>
      <c r="L54" s="25" t="str">
        <f t="shared" si="12"/>
        <v/>
      </c>
      <c r="M54" s="26" t="s">
        <v>43</v>
      </c>
      <c r="N54" s="26" t="s">
        <v>61</v>
      </c>
      <c r="O54" s="25"/>
    </row>
    <row r="55" ht="15.75" customHeight="1">
      <c r="A55" s="25" t="str">
        <f>IFERROR(__xludf.DUMMYFUNCTION("IF(B55="""","""",RIGHT(REGEXREPLACE(B55&amp;"""",""[^0-9]"",""""),9))"),"729578807")</f>
        <v>729578807</v>
      </c>
      <c r="B55" s="52">
        <v>7.29578807E8</v>
      </c>
      <c r="C55" s="28" t="s">
        <v>126</v>
      </c>
      <c r="D55" s="26" t="s">
        <v>45</v>
      </c>
      <c r="E55" s="31">
        <v>46226.0</v>
      </c>
      <c r="F55" s="26" t="s">
        <v>46</v>
      </c>
      <c r="G55" s="26">
        <v>11.0</v>
      </c>
      <c r="I55" s="26" t="s">
        <v>42</v>
      </c>
      <c r="J55" s="25" t="str">
        <f t="shared" si="10"/>
        <v>No</v>
      </c>
      <c r="K55" s="25" t="str">
        <f t="shared" si="11"/>
        <v/>
      </c>
      <c r="L55" s="25" t="str">
        <f t="shared" si="12"/>
        <v/>
      </c>
      <c r="M55" s="26" t="s">
        <v>51</v>
      </c>
      <c r="N55" s="26" t="s">
        <v>127</v>
      </c>
      <c r="O55" s="25"/>
    </row>
    <row r="56" ht="15.75" customHeight="1">
      <c r="A56" s="25" t="str">
        <f>IFERROR(__xludf.DUMMYFUNCTION("IF(B56="""","""",RIGHT(REGEXREPLACE(B56&amp;"""",""[^0-9]"",""""),9))"),"774750880")</f>
        <v>774750880</v>
      </c>
      <c r="B56" s="47">
        <v>7.7475088E8</v>
      </c>
      <c r="C56" s="28" t="s">
        <v>128</v>
      </c>
      <c r="D56" s="26" t="s">
        <v>56</v>
      </c>
      <c r="E56" s="31">
        <v>46226.0</v>
      </c>
      <c r="F56" s="26" t="s">
        <v>46</v>
      </c>
      <c r="G56" s="26">
        <v>11.0</v>
      </c>
      <c r="H56" s="26" t="s">
        <v>129</v>
      </c>
      <c r="I56" s="26" t="s">
        <v>42</v>
      </c>
      <c r="J56" s="25" t="str">
        <f t="shared" si="10"/>
        <v>No</v>
      </c>
      <c r="K56" s="25" t="str">
        <f t="shared" si="11"/>
        <v/>
      </c>
      <c r="L56" s="25" t="str">
        <f t="shared" si="12"/>
        <v/>
      </c>
      <c r="M56" s="26" t="s">
        <v>51</v>
      </c>
      <c r="N56" s="26" t="s">
        <v>130</v>
      </c>
      <c r="O56" s="25"/>
    </row>
    <row r="57" ht="15.75" customHeight="1">
      <c r="A57" s="25" t="str">
        <f>IFERROR(__xludf.DUMMYFUNCTION("IF(B57="""","""",RIGHT(REGEXREPLACE(B57&amp;"""",""[^0-9]"",""""),9))"),"719245094")</f>
        <v>719245094</v>
      </c>
      <c r="B57" s="47">
        <v>7.19245094E8</v>
      </c>
      <c r="C57" s="28" t="s">
        <v>131</v>
      </c>
      <c r="D57" s="26" t="s">
        <v>49</v>
      </c>
      <c r="E57" s="31">
        <v>46226.0</v>
      </c>
      <c r="F57" s="26" t="s">
        <v>41</v>
      </c>
      <c r="G57" s="26">
        <v>11.0</v>
      </c>
      <c r="I57" s="26" t="s">
        <v>42</v>
      </c>
      <c r="J57" s="25" t="str">
        <f t="shared" si="10"/>
        <v>No</v>
      </c>
      <c r="K57" s="25" t="str">
        <f t="shared" si="11"/>
        <v/>
      </c>
      <c r="L57" s="25" t="str">
        <f t="shared" si="12"/>
        <v/>
      </c>
      <c r="M57" s="26" t="s">
        <v>43</v>
      </c>
      <c r="N57" s="26" t="s">
        <v>61</v>
      </c>
      <c r="O57" s="25"/>
    </row>
    <row r="58" ht="15.75" customHeight="1">
      <c r="A58" s="25" t="str">
        <f>IFERROR(__xludf.DUMMYFUNCTION("IF(B58="""","""",RIGHT(REGEXREPLACE(B58&amp;"""",""[^0-9]"",""""),9))"),"719381931")</f>
        <v>719381931</v>
      </c>
      <c r="B58" s="47">
        <v>7.19381931E8</v>
      </c>
      <c r="C58" s="28" t="s">
        <v>132</v>
      </c>
      <c r="D58" s="26" t="s">
        <v>56</v>
      </c>
      <c r="E58" s="31">
        <v>46226.0</v>
      </c>
      <c r="F58" s="26" t="s">
        <v>46</v>
      </c>
      <c r="G58" s="26">
        <v>11.0</v>
      </c>
      <c r="I58" s="26" t="s">
        <v>42</v>
      </c>
      <c r="J58" s="25" t="str">
        <f t="shared" si="10"/>
        <v>No</v>
      </c>
      <c r="K58" s="25" t="str">
        <f t="shared" si="11"/>
        <v/>
      </c>
      <c r="L58" s="25" t="str">
        <f t="shared" si="12"/>
        <v/>
      </c>
      <c r="M58" s="26" t="s">
        <v>51</v>
      </c>
      <c r="N58" s="26" t="s">
        <v>133</v>
      </c>
      <c r="O58" s="25"/>
    </row>
    <row r="59" ht="15.75" customHeight="1">
      <c r="A59" s="25" t="str">
        <f>IFERROR(__xludf.DUMMYFUNCTION("IF(B59="""","""",RIGHT(REGEXREPLACE(B59&amp;"""",""[^0-9]"",""""),9))"),"763596088")</f>
        <v>763596088</v>
      </c>
      <c r="B59" s="47">
        <v>7.63596088E8</v>
      </c>
      <c r="C59" s="28" t="s">
        <v>134</v>
      </c>
      <c r="D59" s="26" t="s">
        <v>49</v>
      </c>
      <c r="E59" s="31">
        <v>46226.0</v>
      </c>
      <c r="F59" s="26" t="s">
        <v>46</v>
      </c>
      <c r="G59" s="26">
        <v>11.0</v>
      </c>
      <c r="I59" s="26" t="s">
        <v>42</v>
      </c>
      <c r="J59" s="25" t="str">
        <f t="shared" si="10"/>
        <v>No</v>
      </c>
      <c r="K59" s="25" t="str">
        <f t="shared" si="11"/>
        <v/>
      </c>
      <c r="L59" s="25" t="str">
        <f t="shared" si="12"/>
        <v/>
      </c>
      <c r="M59" s="26" t="s">
        <v>51</v>
      </c>
      <c r="N59" s="26" t="s">
        <v>59</v>
      </c>
      <c r="O59" s="25"/>
    </row>
    <row r="60" ht="15.75" customHeight="1">
      <c r="A60" s="25" t="str">
        <f>IFERROR(__xludf.DUMMYFUNCTION("IF(B60="""","""",RIGHT(REGEXREPLACE(B60&amp;"""",""[^0-9]"",""""),9))"),"716427267")</f>
        <v>716427267</v>
      </c>
      <c r="B60" s="52">
        <v>7.16427267E8</v>
      </c>
      <c r="C60" s="28" t="s">
        <v>135</v>
      </c>
      <c r="D60" s="26" t="s">
        <v>45</v>
      </c>
      <c r="E60" s="31">
        <v>46226.0</v>
      </c>
      <c r="F60" s="26" t="s">
        <v>41</v>
      </c>
      <c r="I60" s="26" t="s">
        <v>42</v>
      </c>
      <c r="J60" s="25" t="str">
        <f t="shared" si="10"/>
        <v>No</v>
      </c>
      <c r="K60" s="25" t="str">
        <f t="shared" si="11"/>
        <v/>
      </c>
      <c r="L60" s="25" t="str">
        <f t="shared" si="12"/>
        <v/>
      </c>
      <c r="M60" s="26" t="s">
        <v>51</v>
      </c>
      <c r="N60" s="26" t="s">
        <v>136</v>
      </c>
      <c r="O60" s="25"/>
    </row>
    <row r="61" ht="15.75" customHeight="1">
      <c r="A61" s="25" t="str">
        <f>IFERROR(__xludf.DUMMYFUNCTION("IF(B61="""","""",RIGHT(REGEXREPLACE(B61&amp;"""",""[^0-9]"",""""),9))"),"754205669")</f>
        <v>754205669</v>
      </c>
      <c r="B61" s="47">
        <v>4.754205669E9</v>
      </c>
      <c r="C61" s="28" t="s">
        <v>137</v>
      </c>
      <c r="D61" s="26" t="s">
        <v>82</v>
      </c>
      <c r="E61" s="31">
        <v>46226.0</v>
      </c>
      <c r="F61" s="26" t="s">
        <v>46</v>
      </c>
      <c r="G61" s="26">
        <v>11.0</v>
      </c>
      <c r="I61" s="26" t="s">
        <v>42</v>
      </c>
      <c r="J61" s="25" t="str">
        <f t="shared" si="10"/>
        <v>No</v>
      </c>
      <c r="K61" s="25" t="str">
        <f t="shared" si="11"/>
        <v/>
      </c>
      <c r="L61" s="25" t="str">
        <f t="shared" si="12"/>
        <v/>
      </c>
      <c r="M61" s="26" t="s">
        <v>51</v>
      </c>
      <c r="N61" s="26" t="s">
        <v>138</v>
      </c>
      <c r="O61" s="25"/>
    </row>
    <row r="62" ht="15.75" customHeight="1">
      <c r="A62" s="25" t="str">
        <f>IFERROR(__xludf.DUMMYFUNCTION("IF(B62="""","""",RIGHT(REGEXREPLACE(B62&amp;"""",""[^0-9]"",""""),9))"),"765786831")</f>
        <v>765786831</v>
      </c>
      <c r="B62" s="63">
        <v>7.65786831E8</v>
      </c>
      <c r="C62" s="28" t="s">
        <v>139</v>
      </c>
      <c r="D62" s="26" t="s">
        <v>49</v>
      </c>
      <c r="E62" s="31">
        <v>46226.0</v>
      </c>
      <c r="F62" s="26" t="s">
        <v>41</v>
      </c>
      <c r="I62" s="26" t="s">
        <v>42</v>
      </c>
      <c r="J62" s="25" t="str">
        <f t="shared" si="10"/>
        <v>No</v>
      </c>
      <c r="K62" s="25" t="str">
        <f t="shared" si="11"/>
        <v/>
      </c>
      <c r="L62" s="25" t="str">
        <f t="shared" si="12"/>
        <v/>
      </c>
      <c r="M62" s="26" t="s">
        <v>51</v>
      </c>
      <c r="N62" s="26" t="s">
        <v>140</v>
      </c>
      <c r="O62" s="25"/>
    </row>
    <row r="63" ht="15.75" customHeight="1">
      <c r="A63" s="25" t="str">
        <f>IFERROR(__xludf.DUMMYFUNCTION("IF(B63="""","""",RIGHT(REGEXREPLACE(B63&amp;"""",""[^0-9]"",""""),9))"),"715626139")</f>
        <v>715626139</v>
      </c>
      <c r="B63" s="63">
        <v>7.15626139E8</v>
      </c>
      <c r="C63" s="28" t="s">
        <v>141</v>
      </c>
      <c r="D63" s="26" t="s">
        <v>56</v>
      </c>
      <c r="E63" s="31">
        <v>46226.0</v>
      </c>
      <c r="F63" s="26" t="s">
        <v>46</v>
      </c>
      <c r="G63" s="26">
        <v>11.0</v>
      </c>
      <c r="I63" s="26" t="s">
        <v>42</v>
      </c>
      <c r="J63" s="25" t="str">
        <f t="shared" si="10"/>
        <v>No</v>
      </c>
      <c r="K63" s="25" t="str">
        <f t="shared" si="11"/>
        <v/>
      </c>
      <c r="L63" s="25" t="str">
        <f t="shared" si="12"/>
        <v/>
      </c>
      <c r="M63" s="26" t="s">
        <v>51</v>
      </c>
      <c r="N63" s="26" t="s">
        <v>142</v>
      </c>
      <c r="O63" s="25"/>
    </row>
    <row r="64" ht="15.75" customHeight="1">
      <c r="A64" s="25" t="str">
        <f>IFERROR(__xludf.DUMMYFUNCTION("IF(B64="""","""",RIGHT(REGEXREPLACE(B64&amp;"""",""[^0-9]"",""""),9))"),"727370793")</f>
        <v>727370793</v>
      </c>
      <c r="B64" s="54">
        <v>7.27370793E8</v>
      </c>
      <c r="C64" s="28" t="s">
        <v>143</v>
      </c>
      <c r="D64" s="26" t="s">
        <v>82</v>
      </c>
      <c r="E64" s="31">
        <v>46226.0</v>
      </c>
      <c r="F64" s="26" t="s">
        <v>41</v>
      </c>
      <c r="G64" s="26">
        <v>11.0</v>
      </c>
      <c r="I64" s="26" t="s">
        <v>42</v>
      </c>
      <c r="J64" s="25" t="str">
        <f t="shared" si="10"/>
        <v>No</v>
      </c>
      <c r="K64" s="25" t="str">
        <f t="shared" si="11"/>
        <v/>
      </c>
      <c r="L64" s="25" t="str">
        <f t="shared" si="12"/>
        <v/>
      </c>
      <c r="M64" s="26" t="s">
        <v>51</v>
      </c>
      <c r="N64" s="26" t="s">
        <v>70</v>
      </c>
      <c r="O64" s="25"/>
    </row>
    <row r="65" ht="15.75" customHeight="1">
      <c r="A65" s="25" t="str">
        <f>IFERROR(__xludf.DUMMYFUNCTION("IF(B65="""","""",RIGHT(REGEXREPLACE(B65&amp;"""",""[^0-9]"",""""),9))"),"")</f>
        <v/>
      </c>
      <c r="B65" s="66"/>
      <c r="C65" s="28" t="s">
        <v>144</v>
      </c>
      <c r="D65" s="26" t="s">
        <v>49</v>
      </c>
      <c r="E65" s="31">
        <v>46226.0</v>
      </c>
      <c r="F65" s="26" t="s">
        <v>41</v>
      </c>
      <c r="I65" s="26" t="s">
        <v>42</v>
      </c>
      <c r="J65" s="25" t="str">
        <f t="shared" si="10"/>
        <v>Yes - see Previous F-Code</v>
      </c>
      <c r="K65" s="25" t="str">
        <f t="shared" si="11"/>
        <v/>
      </c>
      <c r="L65" s="25" t="str">
        <f t="shared" si="12"/>
        <v/>
      </c>
      <c r="M65" s="25"/>
      <c r="O65" s="25"/>
    </row>
    <row r="66" ht="15.75" customHeight="1">
      <c r="A66" s="25" t="str">
        <f>IFERROR(__xludf.DUMMYFUNCTION("IF(B66="""","""",RIGHT(REGEXREPLACE(B66&amp;"""",""[^0-9]"",""""),9))"),"705506939")</f>
        <v>705506939</v>
      </c>
      <c r="B66" s="52">
        <v>7.05506939E8</v>
      </c>
      <c r="C66" s="28" t="s">
        <v>145</v>
      </c>
      <c r="D66" s="26" t="s">
        <v>45</v>
      </c>
      <c r="E66" s="31">
        <v>46226.0</v>
      </c>
      <c r="F66" s="26" t="s">
        <v>84</v>
      </c>
      <c r="I66" s="26" t="s">
        <v>42</v>
      </c>
      <c r="J66" s="25" t="str">
        <f t="shared" si="10"/>
        <v>No</v>
      </c>
      <c r="K66" s="25" t="str">
        <f t="shared" si="11"/>
        <v/>
      </c>
      <c r="L66" s="25" t="str">
        <f t="shared" si="12"/>
        <v/>
      </c>
      <c r="M66" s="25"/>
      <c r="O66" s="25"/>
    </row>
    <row r="67" ht="15.75" customHeight="1">
      <c r="C67" s="46"/>
      <c r="D67" s="25"/>
      <c r="F67" s="25"/>
      <c r="I67" s="26" t="s">
        <v>42</v>
      </c>
      <c r="M67" s="25"/>
      <c r="O67" s="25"/>
    </row>
    <row r="68" ht="15.75" customHeight="1">
      <c r="A68" s="25" t="str">
        <f>IFERROR(__xludf.DUMMYFUNCTION("IF(B68="""","""",RIGHT(REGEXREPLACE(B68&amp;"""",""[^0-9]"",""""),9))"),"762992915")</f>
        <v>762992915</v>
      </c>
      <c r="B68" s="47">
        <v>7.62992915E8</v>
      </c>
      <c r="C68" s="28" t="s">
        <v>146</v>
      </c>
      <c r="D68" s="26" t="s">
        <v>49</v>
      </c>
      <c r="E68" s="31">
        <v>46226.0</v>
      </c>
      <c r="F68" s="26" t="s">
        <v>41</v>
      </c>
      <c r="I68" s="26" t="s">
        <v>42</v>
      </c>
      <c r="J68" s="25" t="str">
        <f t="shared" ref="J68:J81" si="13">IF(COUNTIF($A$2:A67,A68)&gt;0,"Yes - see Previous F-Code","No")</f>
        <v>No</v>
      </c>
      <c r="K68" s="25" t="str">
        <f t="shared" ref="K68:K81" si="14">IF(COUNTIFS($A$2:A68,A68,$I$2:I68,I68)&gt;1,"DUPLICATE - CHECK","")</f>
        <v/>
      </c>
      <c r="L68" s="25" t="str">
        <f t="shared" ref="L68:L81" si="15">IF(COUNTIF($A$2:A67,A68)&gt;0,INDEX($C$2:C67,MATCH(A68,$A$2:A67,0)),"")</f>
        <v/>
      </c>
      <c r="M68" s="26" t="s">
        <v>51</v>
      </c>
      <c r="N68" s="26" t="s">
        <v>147</v>
      </c>
      <c r="O68" s="25"/>
    </row>
    <row r="69" ht="15.75" customHeight="1">
      <c r="A69" s="25" t="str">
        <f>IFERROR(__xludf.DUMMYFUNCTION("IF(B69="""","""",RIGHT(REGEXREPLACE(B69&amp;"""",""[^0-9]"",""""),9))"),"767370474")</f>
        <v>767370474</v>
      </c>
      <c r="B69" s="47">
        <v>7.67370474E8</v>
      </c>
      <c r="C69" s="28" t="s">
        <v>148</v>
      </c>
      <c r="D69" s="26" t="s">
        <v>56</v>
      </c>
      <c r="E69" s="31">
        <v>46226.0</v>
      </c>
      <c r="F69" s="26" t="s">
        <v>46</v>
      </c>
      <c r="G69" s="26">
        <v>10.0</v>
      </c>
      <c r="I69" s="26" t="s">
        <v>42</v>
      </c>
      <c r="J69" s="25" t="str">
        <f t="shared" si="13"/>
        <v>No</v>
      </c>
      <c r="K69" s="25" t="str">
        <f t="shared" si="14"/>
        <v/>
      </c>
      <c r="L69" s="25" t="str">
        <f t="shared" si="15"/>
        <v/>
      </c>
      <c r="M69" s="26" t="s">
        <v>51</v>
      </c>
      <c r="N69" s="26" t="s">
        <v>149</v>
      </c>
      <c r="O69" s="25"/>
    </row>
    <row r="70" ht="15.75" customHeight="1">
      <c r="A70" s="25" t="str">
        <f>IFERROR(__xludf.DUMMYFUNCTION("IF(B70="""","""",RIGHT(REGEXREPLACE(B70&amp;"""",""[^0-9]"",""""),9))"),"774132822")</f>
        <v>774132822</v>
      </c>
      <c r="B70" s="47">
        <v>7.74132822E8</v>
      </c>
      <c r="C70" s="28" t="s">
        <v>150</v>
      </c>
      <c r="D70" s="26" t="s">
        <v>49</v>
      </c>
      <c r="E70" s="31">
        <v>46226.0</v>
      </c>
      <c r="F70" s="26" t="s">
        <v>46</v>
      </c>
      <c r="G70" s="26" t="s">
        <v>151</v>
      </c>
      <c r="I70" s="26" t="s">
        <v>42</v>
      </c>
      <c r="J70" s="25" t="str">
        <f t="shared" si="13"/>
        <v>No</v>
      </c>
      <c r="K70" s="25" t="str">
        <f t="shared" si="14"/>
        <v/>
      </c>
      <c r="L70" s="25" t="str">
        <f t="shared" si="15"/>
        <v/>
      </c>
      <c r="M70" s="26" t="s">
        <v>51</v>
      </c>
      <c r="N70" s="26" t="s">
        <v>152</v>
      </c>
      <c r="O70" s="25"/>
    </row>
    <row r="71" ht="15.75" customHeight="1">
      <c r="A71" s="25" t="str">
        <f>IFERROR(__xludf.DUMMYFUNCTION("IF(B71="""","""",RIGHT(REGEXREPLACE(B71&amp;"""",""[^0-9]"",""""),9))"),"718088305")</f>
        <v>718088305</v>
      </c>
      <c r="B71" s="54">
        <v>7.18088305E8</v>
      </c>
      <c r="C71" s="28" t="s">
        <v>153</v>
      </c>
      <c r="D71" s="26" t="s">
        <v>82</v>
      </c>
      <c r="E71" s="31">
        <v>46226.0</v>
      </c>
      <c r="F71" s="26" t="s">
        <v>46</v>
      </c>
      <c r="G71" s="26">
        <v>11.0</v>
      </c>
      <c r="I71" s="26" t="s">
        <v>42</v>
      </c>
      <c r="J71" s="25" t="str">
        <f t="shared" si="13"/>
        <v>No</v>
      </c>
      <c r="K71" s="25" t="str">
        <f t="shared" si="14"/>
        <v/>
      </c>
      <c r="L71" s="25" t="str">
        <f t="shared" si="15"/>
        <v/>
      </c>
      <c r="M71" s="26" t="s">
        <v>51</v>
      </c>
      <c r="N71" s="26" t="s">
        <v>154</v>
      </c>
      <c r="O71" s="25"/>
    </row>
    <row r="72" ht="15.75" customHeight="1">
      <c r="A72" s="25" t="str">
        <f>IFERROR(__xludf.DUMMYFUNCTION("IF(B72="""","""",RIGHT(REGEXREPLACE(B72&amp;"""",""[^0-9]"",""""),9))"),"771106271")</f>
        <v>771106271</v>
      </c>
      <c r="B72" s="54">
        <v>7.71106271E8</v>
      </c>
      <c r="C72" s="28" t="s">
        <v>155</v>
      </c>
      <c r="D72" s="25"/>
      <c r="E72" s="31">
        <v>46226.0</v>
      </c>
      <c r="F72" s="25"/>
      <c r="G72" s="25"/>
      <c r="H72" s="25"/>
      <c r="I72" s="26" t="s">
        <v>42</v>
      </c>
      <c r="J72" s="25" t="str">
        <f t="shared" si="13"/>
        <v>No</v>
      </c>
      <c r="K72" s="25" t="str">
        <f t="shared" si="14"/>
        <v/>
      </c>
      <c r="L72" s="25" t="str">
        <f t="shared" si="15"/>
        <v/>
      </c>
      <c r="M72" s="25"/>
      <c r="N72" s="25"/>
      <c r="O72" s="25"/>
      <c r="P72" s="25"/>
    </row>
    <row r="73" ht="15.75" customHeight="1">
      <c r="A73" s="25" t="str">
        <f>IFERROR(__xludf.DUMMYFUNCTION("IF(B73="""","""",RIGHT(REGEXREPLACE(B73&amp;"""",""[^0-9]"",""""),9))"),"")</f>
        <v/>
      </c>
      <c r="B73" s="67"/>
      <c r="C73" s="28" t="s">
        <v>156</v>
      </c>
      <c r="D73" s="26"/>
      <c r="E73" s="31">
        <v>46226.0</v>
      </c>
      <c r="F73" s="26" t="s">
        <v>46</v>
      </c>
      <c r="G73" s="26">
        <v>9.0</v>
      </c>
      <c r="I73" s="26" t="s">
        <v>42</v>
      </c>
      <c r="J73" s="25" t="str">
        <f t="shared" si="13"/>
        <v>Yes - see Previous F-Code</v>
      </c>
      <c r="K73" s="25" t="str">
        <f t="shared" si="14"/>
        <v>DUPLICATE - CHECK</v>
      </c>
      <c r="L73" s="25" t="str">
        <f t="shared" si="15"/>
        <v/>
      </c>
      <c r="M73" s="25"/>
      <c r="O73" s="25"/>
    </row>
    <row r="74" ht="15.75" customHeight="1">
      <c r="A74" s="25" t="str">
        <f>IFERROR(__xludf.DUMMYFUNCTION("IF(B74="""","""",RIGHT(REGEXREPLACE(B74&amp;"""",""[^0-9]"",""""),9))"),"783813395")</f>
        <v>783813395</v>
      </c>
      <c r="B74" s="47">
        <v>7.83813395E8</v>
      </c>
      <c r="C74" s="28" t="s">
        <v>157</v>
      </c>
      <c r="D74" s="26" t="s">
        <v>82</v>
      </c>
      <c r="E74" s="31">
        <v>46226.0</v>
      </c>
      <c r="F74" s="26" t="s">
        <v>46</v>
      </c>
      <c r="I74" s="26" t="s">
        <v>42</v>
      </c>
      <c r="J74" s="25" t="str">
        <f t="shared" si="13"/>
        <v>No</v>
      </c>
      <c r="K74" s="25" t="str">
        <f t="shared" si="14"/>
        <v/>
      </c>
      <c r="L74" s="25" t="str">
        <f t="shared" si="15"/>
        <v/>
      </c>
      <c r="M74" s="26" t="s">
        <v>51</v>
      </c>
      <c r="N74" s="26" t="s">
        <v>158</v>
      </c>
      <c r="O74" s="25"/>
    </row>
    <row r="75" ht="15.75" customHeight="1">
      <c r="A75" s="25" t="str">
        <f>IFERROR(__xludf.DUMMYFUNCTION("IF(B75="""","""",RIGHT(REGEXREPLACE(B75&amp;"""",""[^0-9]"",""""),9))"),"717301396")</f>
        <v>717301396</v>
      </c>
      <c r="B75" s="47">
        <v>7.17301396E8</v>
      </c>
      <c r="C75" s="28" t="s">
        <v>159</v>
      </c>
      <c r="D75" s="26" t="s">
        <v>49</v>
      </c>
      <c r="E75" s="31">
        <v>46226.0</v>
      </c>
      <c r="F75" s="26" t="s">
        <v>41</v>
      </c>
      <c r="G75" s="26">
        <v>11.0</v>
      </c>
      <c r="I75" s="26" t="s">
        <v>42</v>
      </c>
      <c r="J75" s="25" t="str">
        <f t="shared" si="13"/>
        <v>No</v>
      </c>
      <c r="K75" s="25" t="str">
        <f t="shared" si="14"/>
        <v/>
      </c>
      <c r="L75" s="25" t="str">
        <f t="shared" si="15"/>
        <v/>
      </c>
      <c r="M75" s="26" t="s">
        <v>43</v>
      </c>
      <c r="N75" s="26" t="s">
        <v>61</v>
      </c>
      <c r="O75" s="25"/>
    </row>
    <row r="76" ht="15.75" customHeight="1">
      <c r="A76" s="25" t="str">
        <f>IFERROR(__xludf.DUMMYFUNCTION("IF(B76="""","""",RIGHT(REGEXREPLACE(B76&amp;"""",""[^0-9]"",""""),9))"),"771679093")</f>
        <v>771679093</v>
      </c>
      <c r="B76" s="52">
        <v>7.71679093E8</v>
      </c>
      <c r="C76" s="28" t="s">
        <v>160</v>
      </c>
      <c r="D76" s="26" t="s">
        <v>45</v>
      </c>
      <c r="E76" s="31">
        <v>46226.0</v>
      </c>
      <c r="F76" s="26" t="s">
        <v>41</v>
      </c>
      <c r="I76" s="26" t="s">
        <v>42</v>
      </c>
      <c r="J76" s="25" t="str">
        <f t="shared" si="13"/>
        <v>No</v>
      </c>
      <c r="K76" s="25" t="str">
        <f t="shared" si="14"/>
        <v/>
      </c>
      <c r="L76" s="25" t="str">
        <f t="shared" si="15"/>
        <v/>
      </c>
      <c r="M76" s="26" t="s">
        <v>43</v>
      </c>
      <c r="N76" s="26" t="s">
        <v>61</v>
      </c>
      <c r="O76" s="25"/>
    </row>
    <row r="77" ht="15.75" customHeight="1">
      <c r="A77" s="25" t="str">
        <f>IFERROR(__xludf.DUMMYFUNCTION("IF(B77="""","""",RIGHT(REGEXREPLACE(B77&amp;"""",""[^0-9]"",""""),9))"),"704945435")</f>
        <v>704945435</v>
      </c>
      <c r="B77" s="52">
        <v>7.04945435E8</v>
      </c>
      <c r="C77" s="28" t="s">
        <v>161</v>
      </c>
      <c r="D77" s="26" t="s">
        <v>45</v>
      </c>
      <c r="E77" s="31">
        <v>46226.0</v>
      </c>
      <c r="F77" s="26" t="s">
        <v>46</v>
      </c>
      <c r="G77" s="26">
        <v>10.0</v>
      </c>
      <c r="I77" s="26" t="s">
        <v>42</v>
      </c>
      <c r="J77" s="25" t="str">
        <f t="shared" si="13"/>
        <v>No</v>
      </c>
      <c r="K77" s="25" t="str">
        <f t="shared" si="14"/>
        <v/>
      </c>
      <c r="L77" s="25" t="str">
        <f t="shared" si="15"/>
        <v/>
      </c>
      <c r="M77" s="26" t="s">
        <v>51</v>
      </c>
      <c r="N77" s="26" t="s">
        <v>162</v>
      </c>
      <c r="O77" s="25"/>
    </row>
    <row r="78" ht="15.75" customHeight="1">
      <c r="A78" s="25" t="str">
        <f>IFERROR(__xludf.DUMMYFUNCTION("IF(B78="""","""",RIGHT(REGEXREPLACE(B78&amp;"""",""[^0-9]"",""""),9))"),"760366274")</f>
        <v>760366274</v>
      </c>
      <c r="B78" s="47">
        <v>7.60366274E8</v>
      </c>
      <c r="C78" s="28" t="s">
        <v>163</v>
      </c>
      <c r="D78" s="26" t="s">
        <v>56</v>
      </c>
      <c r="E78" s="31">
        <v>46226.0</v>
      </c>
      <c r="F78" s="26" t="s">
        <v>164</v>
      </c>
      <c r="I78" s="26" t="s">
        <v>42</v>
      </c>
      <c r="J78" s="25" t="str">
        <f t="shared" si="13"/>
        <v>No</v>
      </c>
      <c r="K78" s="25" t="str">
        <f t="shared" si="14"/>
        <v/>
      </c>
      <c r="L78" s="25" t="str">
        <f t="shared" si="15"/>
        <v/>
      </c>
      <c r="M78" s="26" t="s">
        <v>43</v>
      </c>
      <c r="N78" s="26" t="s">
        <v>165</v>
      </c>
      <c r="O78" s="25"/>
    </row>
    <row r="79" ht="15.75" customHeight="1">
      <c r="A79" s="25" t="str">
        <f>IFERROR(__xludf.DUMMYFUNCTION("IF(B79="""","""",RIGHT(REGEXREPLACE(B79&amp;"""",""[^0-9]"",""""),9))"),"717302940")</f>
        <v>717302940</v>
      </c>
      <c r="B79" s="47">
        <v>7.1730294E8</v>
      </c>
      <c r="C79" s="28" t="s">
        <v>166</v>
      </c>
      <c r="D79" s="26" t="s">
        <v>82</v>
      </c>
      <c r="E79" s="31">
        <v>46226.0</v>
      </c>
      <c r="F79" s="26" t="s">
        <v>167</v>
      </c>
      <c r="G79" s="26">
        <v>11.0</v>
      </c>
      <c r="I79" s="26" t="s">
        <v>42</v>
      </c>
      <c r="J79" s="25" t="str">
        <f t="shared" si="13"/>
        <v>No</v>
      </c>
      <c r="K79" s="25" t="str">
        <f t="shared" si="14"/>
        <v/>
      </c>
      <c r="L79" s="25" t="str">
        <f t="shared" si="15"/>
        <v/>
      </c>
      <c r="M79" s="26" t="s">
        <v>51</v>
      </c>
      <c r="N79" s="26" t="s">
        <v>168</v>
      </c>
      <c r="O79" s="25"/>
    </row>
    <row r="80" ht="15.75" customHeight="1">
      <c r="A80" s="25" t="str">
        <f>IFERROR(__xludf.DUMMYFUNCTION("IF(B80="""","""",RIGHT(REGEXREPLACE(B80&amp;"""",""[^0-9]"",""""),9))"),"765444245")</f>
        <v>765444245</v>
      </c>
      <c r="B80" s="47">
        <v>7.65444245E8</v>
      </c>
      <c r="C80" s="28" t="s">
        <v>169</v>
      </c>
      <c r="D80" s="26" t="s">
        <v>49</v>
      </c>
      <c r="E80" s="31">
        <v>46226.0</v>
      </c>
      <c r="F80" s="25"/>
      <c r="G80" s="26">
        <v>11.0</v>
      </c>
      <c r="H80" s="25"/>
      <c r="I80" s="26" t="s">
        <v>42</v>
      </c>
      <c r="J80" s="25" t="str">
        <f t="shared" si="13"/>
        <v>No</v>
      </c>
      <c r="K80" s="25" t="str">
        <f t="shared" si="14"/>
        <v/>
      </c>
      <c r="L80" s="25" t="str">
        <f t="shared" si="15"/>
        <v/>
      </c>
      <c r="M80" s="26" t="s">
        <v>51</v>
      </c>
      <c r="N80" s="26" t="s">
        <v>170</v>
      </c>
      <c r="O80" s="25"/>
      <c r="P80" s="25"/>
    </row>
    <row r="81" ht="15.75" customHeight="1">
      <c r="A81" s="25" t="str">
        <f>IFERROR(__xludf.DUMMYFUNCTION("IF(B81="""","""",RIGHT(REGEXREPLACE(B81&amp;"""",""[^0-9]"",""""),9))"),"771106271")</f>
        <v>771106271</v>
      </c>
      <c r="B81" s="54">
        <v>7.71106271E8</v>
      </c>
      <c r="C81" s="28" t="s">
        <v>155</v>
      </c>
      <c r="D81" s="25"/>
      <c r="E81" s="31">
        <v>46226.0</v>
      </c>
      <c r="F81" s="25"/>
      <c r="G81" s="25"/>
      <c r="H81" s="25"/>
      <c r="I81" s="26" t="s">
        <v>42</v>
      </c>
      <c r="J81" s="25" t="str">
        <f t="shared" si="13"/>
        <v>Yes - see Previous F-Code</v>
      </c>
      <c r="K81" s="25" t="str">
        <f t="shared" si="14"/>
        <v>DUPLICATE - CHECK</v>
      </c>
      <c r="L81" s="25" t="str">
        <f t="shared" si="15"/>
        <v>F70071</v>
      </c>
      <c r="M81" s="25"/>
      <c r="N81" s="25"/>
      <c r="O81" s="25"/>
      <c r="P81" s="25"/>
    </row>
    <row r="82" ht="15.75" customHeight="1">
      <c r="B82" s="68"/>
      <c r="C82" s="46"/>
      <c r="D82" s="25"/>
      <c r="F82" s="25"/>
      <c r="I82" s="26" t="s">
        <v>42</v>
      </c>
      <c r="M82" s="25"/>
      <c r="O82" s="25"/>
    </row>
    <row r="83" ht="15.75" customHeight="1">
      <c r="B83" s="68"/>
      <c r="C83" s="46"/>
      <c r="D83" s="25"/>
      <c r="F83" s="25"/>
      <c r="I83" s="26" t="s">
        <v>42</v>
      </c>
      <c r="M83" s="25"/>
      <c r="O83" s="25"/>
    </row>
    <row r="84" ht="15.75" customHeight="1">
      <c r="A84" s="25" t="str">
        <f>IFERROR(__xludf.DUMMYFUNCTION("IF(B84="""","""",RIGHT(REGEXREPLACE(B84&amp;"""",""[^0-9]"",""""),9))"),"778426619")</f>
        <v>778426619</v>
      </c>
      <c r="B84" s="47">
        <v>7.78426619E8</v>
      </c>
      <c r="C84" s="28" t="s">
        <v>171</v>
      </c>
      <c r="D84" s="26" t="s">
        <v>49</v>
      </c>
      <c r="E84" s="31">
        <v>46226.0</v>
      </c>
      <c r="F84" s="26" t="s">
        <v>46</v>
      </c>
      <c r="G84" s="26">
        <v>11.0</v>
      </c>
      <c r="I84" s="26" t="s">
        <v>42</v>
      </c>
      <c r="J84" s="25" t="str">
        <f t="shared" ref="J84:J85" si="16">IF(COUNTIF($A$2:A83,A84)&gt;0,"Yes - see Previous F-Code","No")</f>
        <v>No</v>
      </c>
      <c r="K84" s="25" t="str">
        <f t="shared" ref="K84:K85" si="17">IF(COUNTIFS($A$2:A84,A84,$I$2:I84,I84)&gt;1,"DUPLICATE - CHECK","")</f>
        <v/>
      </c>
      <c r="L84" s="25" t="str">
        <f t="shared" ref="L84:L85" si="18">IF(COUNTIF($A$2:A83,A84)&gt;0,INDEX($C$2:C83,MATCH(A84,$A$2:A83,0)),"")</f>
        <v/>
      </c>
      <c r="M84" s="26" t="s">
        <v>51</v>
      </c>
      <c r="N84" s="26" t="s">
        <v>172</v>
      </c>
      <c r="O84" s="25"/>
    </row>
    <row r="85" ht="15.75" customHeight="1">
      <c r="A85" s="25" t="str">
        <f>IFERROR(__xludf.DUMMYFUNCTION("IF(B85="""","""",RIGHT(REGEXREPLACE(B85&amp;"""",""[^0-9]"",""""),9))"),"711342417")</f>
        <v>711342417</v>
      </c>
      <c r="B85" s="47">
        <v>7.11342417E8</v>
      </c>
      <c r="C85" s="28" t="s">
        <v>173</v>
      </c>
      <c r="D85" s="26" t="s">
        <v>49</v>
      </c>
      <c r="E85" s="31">
        <v>46226.0</v>
      </c>
      <c r="F85" s="26" t="s">
        <v>46</v>
      </c>
      <c r="G85" s="26">
        <v>10.0</v>
      </c>
      <c r="I85" s="26" t="s">
        <v>42</v>
      </c>
      <c r="J85" s="25" t="str">
        <f t="shared" si="16"/>
        <v>No</v>
      </c>
      <c r="K85" s="25" t="str">
        <f t="shared" si="17"/>
        <v/>
      </c>
      <c r="L85" s="25" t="str">
        <f t="shared" si="18"/>
        <v/>
      </c>
      <c r="M85" s="26" t="s">
        <v>51</v>
      </c>
      <c r="N85" s="26" t="s">
        <v>174</v>
      </c>
      <c r="O85" s="25"/>
    </row>
    <row r="86" ht="15.75" customHeight="1">
      <c r="C86" s="46"/>
      <c r="D86" s="25"/>
      <c r="F86" s="25"/>
      <c r="I86" s="26" t="s">
        <v>42</v>
      </c>
      <c r="M86" s="25"/>
      <c r="O86" s="25"/>
    </row>
    <row r="87" ht="15.75" customHeight="1">
      <c r="C87" s="46"/>
      <c r="D87" s="25"/>
      <c r="F87" s="25"/>
      <c r="I87" s="26" t="s">
        <v>42</v>
      </c>
      <c r="M87" s="25"/>
      <c r="O87" s="25"/>
    </row>
    <row r="88" ht="15.75" customHeight="1">
      <c r="C88" s="46"/>
      <c r="D88" s="25"/>
      <c r="F88" s="25"/>
      <c r="I88" s="26" t="s">
        <v>42</v>
      </c>
      <c r="M88" s="25"/>
      <c r="O88" s="25"/>
    </row>
    <row r="89" ht="15.75" customHeight="1">
      <c r="A89" s="25" t="str">
        <f>IFERROR(__xludf.DUMMYFUNCTION("IF(B89="""","""",RIGHT(REGEXREPLACE(B89&amp;"""",""[^0-9]"",""""),9))"),"771106271")</f>
        <v>771106271</v>
      </c>
      <c r="B89" s="54">
        <v>7.71106271E8</v>
      </c>
      <c r="C89" s="28" t="s">
        <v>155</v>
      </c>
      <c r="D89" s="26" t="s">
        <v>56</v>
      </c>
      <c r="E89" s="31">
        <v>46226.0</v>
      </c>
      <c r="F89" s="25"/>
      <c r="G89" s="25"/>
      <c r="H89" s="25"/>
      <c r="I89" s="26" t="s">
        <v>42</v>
      </c>
      <c r="J89" s="25" t="str">
        <f>IF(COUNTIF($A$2:A88,A89)&gt;0,"Yes - see Previous F-Code","No")</f>
        <v>Yes - see Previous F-Code</v>
      </c>
      <c r="K89" s="25" t="str">
        <f>IF(COUNTIFS($A$2:A89,A89,$I$2:I89,I89)&gt;1,"DUPLICATE - CHECK","")</f>
        <v>DUPLICATE - CHECK</v>
      </c>
      <c r="L89" s="25" t="str">
        <f t="array" ref="L89">IF(COUNTIF($A$2:A88,A89)&gt;0,INDEX($C$2:C88,MATCH(A89,$A$2:A88,0)),"")</f>
        <v>F70071</v>
      </c>
      <c r="M89" s="26" t="s">
        <v>43</v>
      </c>
      <c r="N89" s="26" t="s">
        <v>61</v>
      </c>
      <c r="O89" s="25"/>
      <c r="P89" s="25"/>
    </row>
    <row r="90" ht="15.75" customHeight="1">
      <c r="B90" s="68"/>
      <c r="C90" s="46"/>
      <c r="D90" s="25"/>
      <c r="F90" s="25"/>
      <c r="I90" s="26" t="s">
        <v>42</v>
      </c>
      <c r="M90" s="25"/>
      <c r="O90" s="25"/>
    </row>
    <row r="91" ht="15.75" customHeight="1">
      <c r="B91" s="68"/>
      <c r="C91" s="46"/>
      <c r="D91" s="25"/>
      <c r="F91" s="25"/>
      <c r="I91" s="26" t="s">
        <v>42</v>
      </c>
      <c r="M91" s="25"/>
      <c r="O91" s="25"/>
    </row>
    <row r="92" ht="15.75" customHeight="1">
      <c r="A92" s="69"/>
      <c r="B92" s="69"/>
      <c r="C92" s="70"/>
      <c r="D92" s="69"/>
      <c r="E92" s="69"/>
      <c r="F92" s="69"/>
      <c r="G92" s="69"/>
      <c r="H92" s="69"/>
      <c r="I92" s="71" t="s">
        <v>42</v>
      </c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25" t="str">
        <f>IFERROR(__xludf.DUMMYFUNCTION("IF(B93="""","""",RIGHT(REGEXREPLACE(B93&amp;"""",""[^0-9]"",""""),9))"),"")</f>
        <v/>
      </c>
      <c r="C93" s="46"/>
      <c r="D93" s="25"/>
      <c r="E93" s="31"/>
      <c r="F93" s="25"/>
      <c r="I93" s="26" t="s">
        <v>42</v>
      </c>
      <c r="L93" s="25" t="str">
        <f t="shared" ref="L93:L115" si="19">IF(COUNTIF($A$2:A92,A93)&gt;0,INDEX($C$2:C92,MATCH(A93,$A$2:A92,0)),"")</f>
        <v/>
      </c>
      <c r="M93" s="25"/>
      <c r="O93" s="25"/>
    </row>
    <row r="94" ht="15.75" customHeight="1">
      <c r="A94" s="25" t="str">
        <f>IFERROR(__xludf.DUMMYFUNCTION("IF(B94="""","""",RIGHT(REGEXREPLACE(B94&amp;"""",""[^0-9]"",""""),9))"),"718558435")</f>
        <v>718558435</v>
      </c>
      <c r="B94" s="52">
        <v>7.18558435E8</v>
      </c>
      <c r="C94" s="28" t="s">
        <v>175</v>
      </c>
      <c r="D94" s="26" t="s">
        <v>45</v>
      </c>
      <c r="E94" s="31">
        <v>46226.0</v>
      </c>
      <c r="F94" s="26" t="s">
        <v>84</v>
      </c>
      <c r="G94" s="26">
        <v>10.0</v>
      </c>
      <c r="I94" s="26" t="s">
        <v>42</v>
      </c>
      <c r="J94" s="25" t="str">
        <f t="shared" ref="J94:J115" si="20">IF(COUNTIF($A$2:A93,A94)&gt;0,"Yes - see Previous F-Code","No")</f>
        <v>No</v>
      </c>
      <c r="K94" s="25" t="str">
        <f t="shared" ref="K94:K115" si="21">IF(COUNTIFS($A$2:A94,A94,$I$2:I94,I94)&gt;1,"DUPLICATE - CHECK","")</f>
        <v/>
      </c>
      <c r="L94" s="25" t="str">
        <f t="shared" si="19"/>
        <v/>
      </c>
      <c r="M94" s="25"/>
      <c r="O94" s="25"/>
    </row>
    <row r="95" ht="15.75" customHeight="1">
      <c r="A95" s="25" t="str">
        <f>IFERROR(__xludf.DUMMYFUNCTION("IF(B95="""","""",RIGHT(REGEXREPLACE(B95&amp;"""",""[^0-9]"",""""),9))"),"765410059")</f>
        <v>765410059</v>
      </c>
      <c r="B95" s="52">
        <v>7.65410059E8</v>
      </c>
      <c r="C95" s="28" t="s">
        <v>176</v>
      </c>
      <c r="D95" s="26" t="s">
        <v>45</v>
      </c>
      <c r="E95" s="31">
        <v>46226.0</v>
      </c>
      <c r="F95" s="26" t="s">
        <v>46</v>
      </c>
      <c r="G95" s="26" t="s">
        <v>177</v>
      </c>
      <c r="I95" s="26" t="s">
        <v>42</v>
      </c>
      <c r="J95" s="25" t="str">
        <f t="shared" si="20"/>
        <v>No</v>
      </c>
      <c r="K95" s="25" t="str">
        <f t="shared" si="21"/>
        <v/>
      </c>
      <c r="L95" s="25" t="str">
        <f t="shared" si="19"/>
        <v/>
      </c>
      <c r="M95" s="26" t="s">
        <v>43</v>
      </c>
      <c r="N95" s="26" t="s">
        <v>61</v>
      </c>
      <c r="O95" s="25"/>
    </row>
    <row r="96" ht="15.75" customHeight="1">
      <c r="A96" s="25" t="str">
        <f>IFERROR(__xludf.DUMMYFUNCTION("IF(B96="""","""",RIGHT(REGEXREPLACE(B96&amp;"""",""[^0-9]"",""""),9))"),"778422145")</f>
        <v>778422145</v>
      </c>
      <c r="B96" s="52">
        <v>7.78422145E8</v>
      </c>
      <c r="C96" s="28" t="s">
        <v>178</v>
      </c>
      <c r="D96" s="26" t="s">
        <v>56</v>
      </c>
      <c r="E96" s="31">
        <v>46226.0</v>
      </c>
      <c r="F96" s="26" t="s">
        <v>46</v>
      </c>
      <c r="G96" s="26">
        <v>11.0</v>
      </c>
      <c r="I96" s="26" t="s">
        <v>42</v>
      </c>
      <c r="J96" s="25" t="str">
        <f t="shared" si="20"/>
        <v>No</v>
      </c>
      <c r="K96" s="25" t="str">
        <f t="shared" si="21"/>
        <v/>
      </c>
      <c r="L96" s="25" t="str">
        <f t="shared" si="19"/>
        <v/>
      </c>
      <c r="M96" s="26" t="s">
        <v>51</v>
      </c>
      <c r="N96" s="26" t="s">
        <v>179</v>
      </c>
      <c r="O96" s="25"/>
    </row>
    <row r="97" ht="15.75" customHeight="1">
      <c r="A97" s="25" t="str">
        <f>IFERROR(__xludf.DUMMYFUNCTION("IF(B97="""","""",RIGHT(REGEXREPLACE(B97&amp;"""",""[^0-9]"",""""),9))"),"")</f>
        <v/>
      </c>
      <c r="B97" s="52"/>
      <c r="C97" s="46"/>
      <c r="D97" s="25"/>
      <c r="E97" s="31">
        <v>46226.0</v>
      </c>
      <c r="F97" s="25"/>
      <c r="I97" s="26" t="s">
        <v>42</v>
      </c>
      <c r="J97" s="25" t="str">
        <f t="shared" si="20"/>
        <v>Yes - see Previous F-Code</v>
      </c>
      <c r="K97" s="25" t="str">
        <f t="shared" si="21"/>
        <v>DUPLICATE - CHECK</v>
      </c>
      <c r="L97" s="25" t="str">
        <f t="shared" si="19"/>
        <v/>
      </c>
      <c r="M97" s="25"/>
      <c r="O97" s="25"/>
    </row>
    <row r="98" ht="15.75" customHeight="1">
      <c r="A98" s="25" t="str">
        <f>IFERROR(__xludf.DUMMYFUNCTION("IF(B98="""","""",RIGHT(REGEXREPLACE(B98&amp;"""",""[^0-9]"",""""),9))"),"717915938")</f>
        <v>717915938</v>
      </c>
      <c r="B98" s="47">
        <v>7.17915938E8</v>
      </c>
      <c r="C98" s="28" t="s">
        <v>180</v>
      </c>
      <c r="D98" s="26" t="s">
        <v>82</v>
      </c>
      <c r="E98" s="31">
        <v>46226.0</v>
      </c>
      <c r="F98" s="26" t="s">
        <v>41</v>
      </c>
      <c r="G98" s="26">
        <v>11.0</v>
      </c>
      <c r="I98" s="26" t="s">
        <v>42</v>
      </c>
      <c r="J98" s="25" t="str">
        <f t="shared" si="20"/>
        <v>No</v>
      </c>
      <c r="K98" s="25" t="str">
        <f t="shared" si="21"/>
        <v/>
      </c>
      <c r="L98" s="25" t="str">
        <f t="shared" si="19"/>
        <v/>
      </c>
      <c r="M98" s="26" t="s">
        <v>51</v>
      </c>
      <c r="N98" s="26" t="s">
        <v>181</v>
      </c>
      <c r="O98" s="25"/>
    </row>
    <row r="99" ht="15.75" customHeight="1">
      <c r="A99" s="25" t="str">
        <f>IFERROR(__xludf.DUMMYFUNCTION("IF(B99="""","""",RIGHT(REGEXREPLACE(B99&amp;"""",""[^0-9]"",""""),9))"),"764034255")</f>
        <v>764034255</v>
      </c>
      <c r="B99" s="52">
        <v>7.64034255E8</v>
      </c>
      <c r="C99" s="28" t="s">
        <v>182</v>
      </c>
      <c r="D99" s="26" t="s">
        <v>49</v>
      </c>
      <c r="E99" s="31">
        <v>46226.0</v>
      </c>
      <c r="F99" s="26" t="s">
        <v>46</v>
      </c>
      <c r="G99" s="26">
        <v>11.0</v>
      </c>
      <c r="I99" s="26" t="s">
        <v>42</v>
      </c>
      <c r="J99" s="25" t="str">
        <f t="shared" si="20"/>
        <v>No</v>
      </c>
      <c r="K99" s="25" t="str">
        <f t="shared" si="21"/>
        <v/>
      </c>
      <c r="L99" s="25" t="str">
        <f t="shared" si="19"/>
        <v/>
      </c>
      <c r="M99" s="26" t="s">
        <v>43</v>
      </c>
      <c r="N99" s="26" t="s">
        <v>61</v>
      </c>
      <c r="O99" s="25"/>
    </row>
    <row r="100" ht="15.75" customHeight="1">
      <c r="A100" s="25" t="str">
        <f>IFERROR(__xludf.DUMMYFUNCTION("IF(B100="""","""",RIGHT(REGEXREPLACE(B100&amp;"""",""[^0-9]"",""""),9))"),"779091786")</f>
        <v>779091786</v>
      </c>
      <c r="B100" s="52">
        <v>7.79091786E8</v>
      </c>
      <c r="C100" s="28" t="s">
        <v>183</v>
      </c>
      <c r="D100" s="26" t="s">
        <v>49</v>
      </c>
      <c r="E100" s="31">
        <v>46226.0</v>
      </c>
      <c r="F100" s="26" t="s">
        <v>46</v>
      </c>
      <c r="G100" s="26">
        <v>11.0</v>
      </c>
      <c r="I100" s="26" t="s">
        <v>42</v>
      </c>
      <c r="J100" s="25" t="str">
        <f t="shared" si="20"/>
        <v>No</v>
      </c>
      <c r="K100" s="25" t="str">
        <f t="shared" si="21"/>
        <v/>
      </c>
      <c r="L100" s="25" t="str">
        <f t="shared" si="19"/>
        <v/>
      </c>
      <c r="M100" s="26" t="s">
        <v>51</v>
      </c>
      <c r="N100" s="26" t="s">
        <v>184</v>
      </c>
      <c r="O100" s="25"/>
    </row>
    <row r="101" ht="15.75" customHeight="1">
      <c r="A101" s="25" t="str">
        <f>IFERROR(__xludf.DUMMYFUNCTION("IF(B101="""","""",RIGHT(REGEXREPLACE(B101&amp;"""",""[^0-9]"",""""),9))"),"763627921")</f>
        <v>763627921</v>
      </c>
      <c r="B101" s="52">
        <v>7.63627921E8</v>
      </c>
      <c r="C101" s="28" t="s">
        <v>185</v>
      </c>
      <c r="D101" s="26" t="s">
        <v>82</v>
      </c>
      <c r="E101" s="31">
        <v>46226.0</v>
      </c>
      <c r="F101" s="26" t="s">
        <v>41</v>
      </c>
      <c r="I101" s="26" t="s">
        <v>42</v>
      </c>
      <c r="J101" s="25" t="str">
        <f t="shared" si="20"/>
        <v>No</v>
      </c>
      <c r="K101" s="25" t="str">
        <f t="shared" si="21"/>
        <v/>
      </c>
      <c r="L101" s="25" t="str">
        <f t="shared" si="19"/>
        <v/>
      </c>
      <c r="M101" s="26" t="s">
        <v>51</v>
      </c>
      <c r="N101" s="26" t="s">
        <v>186</v>
      </c>
      <c r="O101" s="25"/>
    </row>
    <row r="102" ht="15.75" customHeight="1">
      <c r="A102" s="25" t="str">
        <f>IFERROR(__xludf.DUMMYFUNCTION("IF(B102="""","""",RIGHT(REGEXREPLACE(B102&amp;"""",""[^0-9]"",""""),9))"),"785362936")</f>
        <v>785362936</v>
      </c>
      <c r="B102" s="52">
        <v>7.85362936E8</v>
      </c>
      <c r="C102" s="28" t="s">
        <v>187</v>
      </c>
      <c r="D102" s="26" t="s">
        <v>56</v>
      </c>
      <c r="E102" s="31">
        <v>46226.0</v>
      </c>
      <c r="F102" s="26" t="s">
        <v>46</v>
      </c>
      <c r="G102" s="26">
        <v>11.0</v>
      </c>
      <c r="I102" s="26" t="s">
        <v>42</v>
      </c>
      <c r="J102" s="25" t="str">
        <f t="shared" si="20"/>
        <v>No</v>
      </c>
      <c r="K102" s="25" t="str">
        <f t="shared" si="21"/>
        <v/>
      </c>
      <c r="L102" s="25" t="str">
        <f t="shared" si="19"/>
        <v/>
      </c>
      <c r="M102" s="26" t="s">
        <v>51</v>
      </c>
      <c r="N102" s="26" t="s">
        <v>188</v>
      </c>
      <c r="O102" s="25"/>
    </row>
    <row r="103" ht="15.75" customHeight="1">
      <c r="A103" s="25" t="str">
        <f>IFERROR(__xludf.DUMMYFUNCTION("IF(B103="""","""",RIGHT(REGEXREPLACE(B103&amp;"""",""[^0-9]"",""""),9))"),"768057433")</f>
        <v>768057433</v>
      </c>
      <c r="B103" s="52">
        <v>7.68057433E8</v>
      </c>
      <c r="C103" s="28" t="s">
        <v>189</v>
      </c>
      <c r="D103" s="26" t="s">
        <v>49</v>
      </c>
      <c r="E103" s="31">
        <v>46226.0</v>
      </c>
      <c r="F103" s="26" t="s">
        <v>46</v>
      </c>
      <c r="G103" s="26">
        <v>11.0</v>
      </c>
      <c r="I103" s="26" t="s">
        <v>42</v>
      </c>
      <c r="J103" s="25" t="str">
        <f t="shared" si="20"/>
        <v>No</v>
      </c>
      <c r="K103" s="25" t="str">
        <f t="shared" si="21"/>
        <v/>
      </c>
      <c r="L103" s="25" t="str">
        <f t="shared" si="19"/>
        <v/>
      </c>
      <c r="M103" s="26" t="s">
        <v>43</v>
      </c>
      <c r="N103" s="26" t="s">
        <v>54</v>
      </c>
      <c r="O103" s="25"/>
    </row>
    <row r="104" ht="15.75" customHeight="1">
      <c r="A104" s="25" t="str">
        <f>IFERROR(__xludf.DUMMYFUNCTION("IF(B104="""","""",RIGHT(REGEXREPLACE(B104&amp;"""",""[^0-9]"",""""),9))"),"713088136")</f>
        <v>713088136</v>
      </c>
      <c r="B104" s="52">
        <v>7.13088136E8</v>
      </c>
      <c r="C104" s="28" t="s">
        <v>190</v>
      </c>
      <c r="D104" s="26" t="s">
        <v>45</v>
      </c>
      <c r="E104" s="31">
        <v>46226.0</v>
      </c>
      <c r="F104" s="26" t="s">
        <v>46</v>
      </c>
      <c r="G104" s="26">
        <v>11.0</v>
      </c>
      <c r="H104" s="26" t="s">
        <v>191</v>
      </c>
      <c r="I104" s="26" t="s">
        <v>42</v>
      </c>
      <c r="J104" s="25" t="str">
        <f t="shared" si="20"/>
        <v>No</v>
      </c>
      <c r="K104" s="25" t="str">
        <f t="shared" si="21"/>
        <v/>
      </c>
      <c r="L104" s="25" t="str">
        <f t="shared" si="19"/>
        <v/>
      </c>
      <c r="M104" s="26" t="s">
        <v>51</v>
      </c>
      <c r="N104" s="26" t="s">
        <v>192</v>
      </c>
      <c r="O104" s="25"/>
    </row>
    <row r="105" ht="15.75" customHeight="1">
      <c r="A105" s="25" t="str">
        <f>IFERROR(__xludf.DUMMYFUNCTION("IF(B105="""","""",RIGHT(REGEXREPLACE(B105&amp;"""",""[^0-9]"",""""),9))"),"776664805")</f>
        <v>776664805</v>
      </c>
      <c r="B105" s="52">
        <v>7.76664805E8</v>
      </c>
      <c r="C105" s="28" t="s">
        <v>193</v>
      </c>
      <c r="D105" s="26" t="s">
        <v>82</v>
      </c>
      <c r="E105" s="31">
        <v>46226.0</v>
      </c>
      <c r="F105" s="26" t="s">
        <v>46</v>
      </c>
      <c r="G105" s="26">
        <v>11.0</v>
      </c>
      <c r="I105" s="26" t="s">
        <v>42</v>
      </c>
      <c r="J105" s="25" t="str">
        <f t="shared" si="20"/>
        <v>No</v>
      </c>
      <c r="K105" s="25" t="str">
        <f t="shared" si="21"/>
        <v/>
      </c>
      <c r="L105" s="25" t="str">
        <f t="shared" si="19"/>
        <v/>
      </c>
      <c r="M105" s="26" t="s">
        <v>43</v>
      </c>
      <c r="N105" s="26" t="s">
        <v>47</v>
      </c>
      <c r="O105" s="25"/>
    </row>
    <row r="106" ht="15.75" customHeight="1">
      <c r="A106" s="25" t="str">
        <f>IFERROR(__xludf.DUMMYFUNCTION("IF(B106="""","""",RIGHT(REGEXREPLACE(B106&amp;"""",""[^0-9]"",""""),9))"),"772662812")</f>
        <v>772662812</v>
      </c>
      <c r="B106" s="52">
        <v>7.72662812E8</v>
      </c>
      <c r="C106" s="28" t="s">
        <v>194</v>
      </c>
      <c r="D106" s="26" t="s">
        <v>56</v>
      </c>
      <c r="E106" s="31">
        <v>46226.0</v>
      </c>
      <c r="F106" s="26" t="s">
        <v>46</v>
      </c>
      <c r="G106" s="26">
        <v>11.0</v>
      </c>
      <c r="I106" s="26" t="s">
        <v>42</v>
      </c>
      <c r="J106" s="25" t="str">
        <f t="shared" si="20"/>
        <v>No</v>
      </c>
      <c r="K106" s="25" t="str">
        <f t="shared" si="21"/>
        <v/>
      </c>
      <c r="L106" s="25" t="str">
        <f t="shared" si="19"/>
        <v/>
      </c>
      <c r="M106" s="26" t="s">
        <v>51</v>
      </c>
      <c r="N106" s="26" t="s">
        <v>89</v>
      </c>
      <c r="O106" s="25"/>
    </row>
    <row r="107" ht="15.75" customHeight="1">
      <c r="A107" s="25" t="str">
        <f>IFERROR(__xludf.DUMMYFUNCTION("IF(B107="""","""",RIGHT(REGEXREPLACE(B107&amp;"""",""[^0-9]"",""""),9))"),"762073988")</f>
        <v>762073988</v>
      </c>
      <c r="B107" s="52">
        <v>7.62073988E8</v>
      </c>
      <c r="C107" s="28" t="s">
        <v>195</v>
      </c>
      <c r="D107" s="26" t="s">
        <v>45</v>
      </c>
      <c r="E107" s="31">
        <v>46226.0</v>
      </c>
      <c r="F107" s="26" t="s">
        <v>46</v>
      </c>
      <c r="G107" s="26">
        <v>11.0</v>
      </c>
      <c r="I107" s="26" t="s">
        <v>42</v>
      </c>
      <c r="J107" s="25" t="str">
        <f t="shared" si="20"/>
        <v>No</v>
      </c>
      <c r="K107" s="25" t="str">
        <f t="shared" si="21"/>
        <v/>
      </c>
      <c r="L107" s="25" t="str">
        <f t="shared" si="19"/>
        <v/>
      </c>
      <c r="M107" s="26" t="s">
        <v>51</v>
      </c>
      <c r="N107" s="26" t="s">
        <v>196</v>
      </c>
      <c r="O107" s="25"/>
    </row>
    <row r="108" ht="15.75" customHeight="1">
      <c r="A108" s="25" t="str">
        <f>IFERROR(__xludf.DUMMYFUNCTION("IF(B108="""","""",RIGHT(REGEXREPLACE(B108&amp;"""",""[^0-9]"",""""),9))"),"767328798")</f>
        <v>767328798</v>
      </c>
      <c r="B108" s="52">
        <v>7.67328798E8</v>
      </c>
      <c r="C108" s="28" t="s">
        <v>197</v>
      </c>
      <c r="D108" s="26" t="s">
        <v>56</v>
      </c>
      <c r="E108" s="31">
        <v>46226.0</v>
      </c>
      <c r="F108" s="26" t="s">
        <v>46</v>
      </c>
      <c r="G108" s="26">
        <v>11.0</v>
      </c>
      <c r="I108" s="26" t="s">
        <v>42</v>
      </c>
      <c r="J108" s="25" t="str">
        <f t="shared" si="20"/>
        <v>No</v>
      </c>
      <c r="K108" s="25" t="str">
        <f t="shared" si="21"/>
        <v/>
      </c>
      <c r="L108" s="25" t="str">
        <f t="shared" si="19"/>
        <v/>
      </c>
      <c r="M108" s="26" t="s">
        <v>43</v>
      </c>
      <c r="N108" s="26" t="s">
        <v>61</v>
      </c>
      <c r="O108" s="25"/>
    </row>
    <row r="109" ht="15.75" customHeight="1">
      <c r="A109" s="25" t="str">
        <f>IFERROR(__xludf.DUMMYFUNCTION("IF(B109="""","""",RIGHT(REGEXREPLACE(B109&amp;"""",""[^0-9]"",""""),9))"),"778929102")</f>
        <v>778929102</v>
      </c>
      <c r="B109" s="52">
        <v>7.78929102E8</v>
      </c>
      <c r="C109" s="28" t="s">
        <v>198</v>
      </c>
      <c r="D109" s="26" t="s">
        <v>49</v>
      </c>
      <c r="E109" s="31">
        <v>46226.0</v>
      </c>
      <c r="F109" s="26" t="s">
        <v>46</v>
      </c>
      <c r="G109" s="26">
        <v>11.0</v>
      </c>
      <c r="I109" s="26" t="s">
        <v>42</v>
      </c>
      <c r="J109" s="25" t="str">
        <f t="shared" si="20"/>
        <v>No</v>
      </c>
      <c r="K109" s="25" t="str">
        <f t="shared" si="21"/>
        <v/>
      </c>
      <c r="L109" s="25" t="str">
        <f t="shared" si="19"/>
        <v/>
      </c>
      <c r="M109" s="26" t="s">
        <v>51</v>
      </c>
      <c r="N109" s="26" t="s">
        <v>199</v>
      </c>
      <c r="O109" s="25"/>
    </row>
    <row r="110" ht="15.75" customHeight="1">
      <c r="A110" s="25" t="str">
        <f>IFERROR(__xludf.DUMMYFUNCTION("IF(B110="""","""",RIGHT(REGEXREPLACE(B110&amp;"""",""[^0-9]"",""""),9))"),"711207160")</f>
        <v>711207160</v>
      </c>
      <c r="B110" s="52">
        <v>7.1120716E8</v>
      </c>
      <c r="C110" s="28" t="s">
        <v>200</v>
      </c>
      <c r="D110" s="26" t="s">
        <v>82</v>
      </c>
      <c r="E110" s="31">
        <v>46226.0</v>
      </c>
      <c r="F110" s="26" t="s">
        <v>46</v>
      </c>
      <c r="G110" s="26">
        <v>11.0</v>
      </c>
      <c r="H110" s="26" t="s">
        <v>201</v>
      </c>
      <c r="I110" s="26" t="s">
        <v>42</v>
      </c>
      <c r="J110" s="25" t="str">
        <f t="shared" si="20"/>
        <v>No</v>
      </c>
      <c r="K110" s="25" t="str">
        <f t="shared" si="21"/>
        <v/>
      </c>
      <c r="L110" s="25" t="str">
        <f t="shared" si="19"/>
        <v/>
      </c>
      <c r="M110" s="26" t="s">
        <v>51</v>
      </c>
      <c r="N110" s="26" t="s">
        <v>202</v>
      </c>
      <c r="O110" s="25"/>
    </row>
    <row r="111" ht="15.75" customHeight="1">
      <c r="A111" s="25" t="str">
        <f>IFERROR(__xludf.DUMMYFUNCTION("IF(B111="""","""",RIGHT(REGEXREPLACE(B111&amp;"""",""[^0-9]"",""""),9))"),"772679780")</f>
        <v>772679780</v>
      </c>
      <c r="B111" s="52">
        <v>7.7267978E8</v>
      </c>
      <c r="C111" s="28" t="s">
        <v>203</v>
      </c>
      <c r="D111" s="26" t="s">
        <v>49</v>
      </c>
      <c r="E111" s="31">
        <v>46226.0</v>
      </c>
      <c r="F111" s="26" t="s">
        <v>46</v>
      </c>
      <c r="G111" s="26">
        <v>11.0</v>
      </c>
      <c r="I111" s="26" t="s">
        <v>42</v>
      </c>
      <c r="J111" s="25" t="str">
        <f t="shared" si="20"/>
        <v>No</v>
      </c>
      <c r="K111" s="25" t="str">
        <f t="shared" si="21"/>
        <v/>
      </c>
      <c r="L111" s="25" t="str">
        <f t="shared" si="19"/>
        <v/>
      </c>
      <c r="M111" s="26" t="s">
        <v>51</v>
      </c>
      <c r="N111" s="26" t="s">
        <v>59</v>
      </c>
      <c r="O111" s="25"/>
    </row>
    <row r="112" ht="15.75" customHeight="1">
      <c r="A112" s="25" t="str">
        <f>IFERROR(__xludf.DUMMYFUNCTION("IF(B112="""","""",RIGHT(REGEXREPLACE(B112&amp;"""",""[^0-9]"",""""),9))"),"776580719")</f>
        <v>776580719</v>
      </c>
      <c r="B112" s="52">
        <v>7.76580719E8</v>
      </c>
      <c r="C112" s="28" t="s">
        <v>204</v>
      </c>
      <c r="D112" s="26" t="s">
        <v>56</v>
      </c>
      <c r="E112" s="31">
        <v>46226.0</v>
      </c>
      <c r="F112" s="26" t="s">
        <v>205</v>
      </c>
      <c r="G112" s="26">
        <v>11.0</v>
      </c>
      <c r="I112" s="26" t="s">
        <v>42</v>
      </c>
      <c r="J112" s="25" t="str">
        <f t="shared" si="20"/>
        <v>No</v>
      </c>
      <c r="K112" s="25" t="str">
        <f t="shared" si="21"/>
        <v/>
      </c>
      <c r="L112" s="25" t="str">
        <f t="shared" si="19"/>
        <v/>
      </c>
      <c r="M112" s="26" t="s">
        <v>43</v>
      </c>
      <c r="N112" s="26" t="s">
        <v>165</v>
      </c>
      <c r="O112" s="25"/>
    </row>
    <row r="113" ht="15.75" customHeight="1">
      <c r="A113" s="25" t="str">
        <f>IFERROR(__xludf.DUMMYFUNCTION("IF(B113="""","""",RIGHT(REGEXREPLACE(B113&amp;"""",""[^0-9]"",""""),9))"),"779815426")</f>
        <v>779815426</v>
      </c>
      <c r="B113" s="52">
        <v>7.79815426E8</v>
      </c>
      <c r="C113" s="28" t="s">
        <v>206</v>
      </c>
      <c r="D113" s="26" t="s">
        <v>82</v>
      </c>
      <c r="E113" s="31">
        <v>46226.0</v>
      </c>
      <c r="F113" s="26" t="s">
        <v>46</v>
      </c>
      <c r="I113" s="26" t="s">
        <v>42</v>
      </c>
      <c r="J113" s="25" t="str">
        <f t="shared" si="20"/>
        <v>No</v>
      </c>
      <c r="K113" s="25" t="str">
        <f t="shared" si="21"/>
        <v/>
      </c>
      <c r="L113" s="25" t="str">
        <f t="shared" si="19"/>
        <v/>
      </c>
      <c r="M113" s="26" t="s">
        <v>43</v>
      </c>
      <c r="N113" s="26" t="s">
        <v>61</v>
      </c>
      <c r="O113" s="25"/>
    </row>
    <row r="114" ht="15.75" customHeight="1">
      <c r="A114" s="25" t="str">
        <f>IFERROR(__xludf.DUMMYFUNCTION("IF(B114="""","""",RIGHT(REGEXREPLACE(B114&amp;"""",""[^0-9]"",""""),9))"),"714966622")</f>
        <v>714966622</v>
      </c>
      <c r="B114" s="52">
        <v>7.14966622E8</v>
      </c>
      <c r="C114" s="28" t="s">
        <v>207</v>
      </c>
      <c r="D114" s="26" t="s">
        <v>82</v>
      </c>
      <c r="E114" s="31">
        <v>46226.0</v>
      </c>
      <c r="F114" s="26" t="s">
        <v>46</v>
      </c>
      <c r="G114" s="26">
        <v>11.0</v>
      </c>
      <c r="I114" s="26" t="s">
        <v>42</v>
      </c>
      <c r="J114" s="25" t="str">
        <f t="shared" si="20"/>
        <v>No</v>
      </c>
      <c r="K114" s="25" t="str">
        <f t="shared" si="21"/>
        <v/>
      </c>
      <c r="L114" s="25" t="str">
        <f t="shared" si="19"/>
        <v/>
      </c>
      <c r="M114" s="26" t="s">
        <v>51</v>
      </c>
      <c r="N114" s="26" t="s">
        <v>202</v>
      </c>
      <c r="O114" s="25"/>
    </row>
    <row r="115" ht="15.75" customHeight="1">
      <c r="A115" s="25" t="str">
        <f>IFERROR(__xludf.DUMMYFUNCTION("IF(B115="""","""",RIGHT(REGEXREPLACE(B115&amp;"""",""[^0-9]"",""""),9))"),"779166676")</f>
        <v>779166676</v>
      </c>
      <c r="B115" s="52">
        <v>7.79166676E8</v>
      </c>
      <c r="C115" s="28" t="s">
        <v>208</v>
      </c>
      <c r="D115" s="26" t="s">
        <v>56</v>
      </c>
      <c r="E115" s="31">
        <v>46226.0</v>
      </c>
      <c r="F115" s="26" t="s">
        <v>46</v>
      </c>
      <c r="G115" s="26">
        <v>11.0</v>
      </c>
      <c r="I115" s="26" t="s">
        <v>42</v>
      </c>
      <c r="J115" s="25" t="str">
        <f t="shared" si="20"/>
        <v>No</v>
      </c>
      <c r="K115" s="25" t="str">
        <f t="shared" si="21"/>
        <v/>
      </c>
      <c r="L115" s="25" t="str">
        <f t="shared" si="19"/>
        <v/>
      </c>
      <c r="M115" s="25"/>
      <c r="O115" s="25"/>
    </row>
    <row r="116" ht="15.75" customHeight="1">
      <c r="C116" s="46"/>
      <c r="D116" s="25"/>
      <c r="F116" s="25"/>
      <c r="I116" s="26" t="s">
        <v>42</v>
      </c>
      <c r="M116" s="25"/>
      <c r="O116" s="25"/>
    </row>
    <row r="117" ht="15.75" customHeight="1">
      <c r="A117" s="25" t="str">
        <f>IFERROR(__xludf.DUMMYFUNCTION("IF(B117="""","""",RIGHT(REGEXREPLACE(B117&amp;"""",""[^0-9]"",""""),9))"),"773812515")</f>
        <v>773812515</v>
      </c>
      <c r="B117" s="52">
        <v>7.73812515E8</v>
      </c>
      <c r="C117" s="28" t="s">
        <v>209</v>
      </c>
      <c r="D117" s="26" t="s">
        <v>56</v>
      </c>
      <c r="E117" s="31">
        <v>46226.0</v>
      </c>
      <c r="F117" s="26" t="s">
        <v>84</v>
      </c>
      <c r="I117" s="26" t="s">
        <v>42</v>
      </c>
      <c r="J117" s="25" t="str">
        <f t="shared" ref="J117:J132" si="22">IF(COUNTIF($A$2:A116,A117)&gt;0,"Yes - see Previous F-Code","No")</f>
        <v>No</v>
      </c>
      <c r="K117" s="25" t="str">
        <f t="shared" ref="K117:K132" si="23">IF(COUNTIFS($A$2:A117,A117,$I$2:I117,I117)&gt;1,"DUPLICATE - CHECK","")</f>
        <v/>
      </c>
      <c r="L117" s="25" t="str">
        <f t="shared" ref="L117:L132" si="24">IF(COUNTIF($A$2:A116,A117)&gt;0,INDEX($C$2:C116,MATCH(A117,$A$2:A116,0)),"")</f>
        <v/>
      </c>
      <c r="M117" s="25"/>
      <c r="O117" s="25"/>
    </row>
    <row r="118" ht="15.75" customHeight="1">
      <c r="A118" s="25" t="str">
        <f>IFERROR(__xludf.DUMMYFUNCTION("IF(B118="""","""",RIGHT(REGEXREPLACE(B118&amp;"""",""[^0-9]"",""""),9))"),"778235374")</f>
        <v>778235374</v>
      </c>
      <c r="B118" s="52">
        <v>7.78235374E8</v>
      </c>
      <c r="C118" s="28" t="s">
        <v>210</v>
      </c>
      <c r="D118" s="26" t="s">
        <v>82</v>
      </c>
      <c r="E118" s="31">
        <v>46226.0</v>
      </c>
      <c r="F118" s="26" t="s">
        <v>205</v>
      </c>
      <c r="I118" s="26" t="s">
        <v>42</v>
      </c>
      <c r="J118" s="25" t="str">
        <f t="shared" si="22"/>
        <v>No</v>
      </c>
      <c r="K118" s="25" t="str">
        <f t="shared" si="23"/>
        <v/>
      </c>
      <c r="L118" s="25" t="str">
        <f t="shared" si="24"/>
        <v/>
      </c>
      <c r="M118" s="26" t="s">
        <v>43</v>
      </c>
      <c r="N118" s="26" t="s">
        <v>54</v>
      </c>
      <c r="O118" s="25"/>
    </row>
    <row r="119" ht="15.75" customHeight="1">
      <c r="A119" s="25" t="str">
        <f>IFERROR(__xludf.DUMMYFUNCTION("IF(B119="""","""",RIGHT(REGEXREPLACE(B119&amp;"""",""[^0-9]"",""""),9))"),"762503820")</f>
        <v>762503820</v>
      </c>
      <c r="B119" s="52">
        <v>7.6250382E8</v>
      </c>
      <c r="C119" s="28" t="s">
        <v>211</v>
      </c>
      <c r="D119" s="26" t="s">
        <v>82</v>
      </c>
      <c r="E119" s="31">
        <v>46226.0</v>
      </c>
      <c r="F119" s="26" t="s">
        <v>46</v>
      </c>
      <c r="G119" s="26">
        <v>11.0</v>
      </c>
      <c r="I119" s="26" t="s">
        <v>42</v>
      </c>
      <c r="J119" s="25" t="str">
        <f t="shared" si="22"/>
        <v>No</v>
      </c>
      <c r="K119" s="25" t="str">
        <f t="shared" si="23"/>
        <v/>
      </c>
      <c r="L119" s="25" t="str">
        <f t="shared" si="24"/>
        <v/>
      </c>
      <c r="M119" s="26" t="s">
        <v>51</v>
      </c>
      <c r="N119" s="26" t="s">
        <v>212</v>
      </c>
      <c r="O119" s="25"/>
    </row>
    <row r="120" ht="15.75" customHeight="1">
      <c r="A120" s="25" t="str">
        <f>IFERROR(__xludf.DUMMYFUNCTION("IF(B120="""","""",RIGHT(REGEXREPLACE(B120&amp;"""",""[^0-9]"",""""),9))"),"719398419")</f>
        <v>719398419</v>
      </c>
      <c r="B120" s="52">
        <v>7.19398419E8</v>
      </c>
      <c r="C120" s="28" t="s">
        <v>213</v>
      </c>
      <c r="D120" s="26" t="s">
        <v>56</v>
      </c>
      <c r="E120" s="31">
        <v>46226.0</v>
      </c>
      <c r="F120" s="26" t="s">
        <v>46</v>
      </c>
      <c r="G120" s="26">
        <v>11.0</v>
      </c>
      <c r="I120" s="26" t="s">
        <v>42</v>
      </c>
      <c r="J120" s="25" t="str">
        <f t="shared" si="22"/>
        <v>No</v>
      </c>
      <c r="K120" s="25" t="str">
        <f t="shared" si="23"/>
        <v/>
      </c>
      <c r="L120" s="25" t="str">
        <f t="shared" si="24"/>
        <v/>
      </c>
      <c r="M120" s="25"/>
      <c r="O120" s="25"/>
    </row>
    <row r="121" ht="15.75" customHeight="1">
      <c r="A121" s="25" t="str">
        <f>IFERROR(__xludf.DUMMYFUNCTION("IF(B121="""","""",RIGHT(REGEXREPLACE(B121&amp;"""",""[^0-9]"",""""),9))"),"770025018")</f>
        <v>770025018</v>
      </c>
      <c r="B121" s="52">
        <v>7.70025018E8</v>
      </c>
      <c r="C121" s="28" t="s">
        <v>214</v>
      </c>
      <c r="D121" s="26" t="s">
        <v>56</v>
      </c>
      <c r="E121" s="31">
        <v>46226.0</v>
      </c>
      <c r="F121" s="26" t="s">
        <v>84</v>
      </c>
      <c r="I121" s="26" t="s">
        <v>42</v>
      </c>
      <c r="J121" s="25" t="str">
        <f t="shared" si="22"/>
        <v>No</v>
      </c>
      <c r="K121" s="25" t="str">
        <f t="shared" si="23"/>
        <v/>
      </c>
      <c r="L121" s="25" t="str">
        <f t="shared" si="24"/>
        <v/>
      </c>
      <c r="M121" s="25"/>
      <c r="O121" s="25"/>
    </row>
    <row r="122" ht="15.75" customHeight="1">
      <c r="A122" s="25" t="str">
        <f>IFERROR(__xludf.DUMMYFUNCTION("IF(B122="""","""",RIGHT(REGEXREPLACE(B122&amp;"""",""[^0-9]"",""""),9))"),"740771105")</f>
        <v>740771105</v>
      </c>
      <c r="B122" s="52">
        <v>7.40771105E8</v>
      </c>
      <c r="C122" s="28" t="s">
        <v>215</v>
      </c>
      <c r="D122" s="26" t="s">
        <v>56</v>
      </c>
      <c r="E122" s="31">
        <v>46226.0</v>
      </c>
      <c r="F122" s="26" t="s">
        <v>46</v>
      </c>
      <c r="G122" s="26">
        <v>11.0</v>
      </c>
      <c r="I122" s="26" t="s">
        <v>42</v>
      </c>
      <c r="J122" s="25" t="str">
        <f t="shared" si="22"/>
        <v>No</v>
      </c>
      <c r="K122" s="25" t="str">
        <f t="shared" si="23"/>
        <v/>
      </c>
      <c r="L122" s="25" t="str">
        <f t="shared" si="24"/>
        <v/>
      </c>
      <c r="M122" s="25"/>
      <c r="O122" s="25"/>
    </row>
    <row r="123" ht="15.75" customHeight="1">
      <c r="A123" s="25" t="str">
        <f>IFERROR(__xludf.DUMMYFUNCTION("IF(B123="""","""",RIGHT(REGEXREPLACE(B123&amp;"""",""[^0-9]"",""""),9))"),"773073300")</f>
        <v>773073300</v>
      </c>
      <c r="B123" s="52">
        <v>7.730733E8</v>
      </c>
      <c r="C123" s="28" t="s">
        <v>216</v>
      </c>
      <c r="D123" s="26" t="s">
        <v>49</v>
      </c>
      <c r="E123" s="31">
        <v>46226.0</v>
      </c>
      <c r="F123" s="26" t="s">
        <v>41</v>
      </c>
      <c r="I123" s="26" t="s">
        <v>42</v>
      </c>
      <c r="J123" s="25" t="str">
        <f t="shared" si="22"/>
        <v>No</v>
      </c>
      <c r="K123" s="25" t="str">
        <f t="shared" si="23"/>
        <v/>
      </c>
      <c r="L123" s="25" t="str">
        <f t="shared" si="24"/>
        <v/>
      </c>
      <c r="M123" s="26" t="s">
        <v>43</v>
      </c>
      <c r="N123" s="26" t="s">
        <v>61</v>
      </c>
      <c r="O123" s="25"/>
    </row>
    <row r="124" ht="15.75" customHeight="1">
      <c r="A124" s="25" t="str">
        <f>IFERROR(__xludf.DUMMYFUNCTION("IF(B124="""","""",RIGHT(REGEXREPLACE(B124&amp;"""",""[^0-9]"",""""),9))"),"715174439")</f>
        <v>715174439</v>
      </c>
      <c r="B124" s="52">
        <v>7.15174439E8</v>
      </c>
      <c r="C124" s="28" t="s">
        <v>217</v>
      </c>
      <c r="D124" s="26" t="s">
        <v>49</v>
      </c>
      <c r="E124" s="31">
        <v>46226.0</v>
      </c>
      <c r="F124" s="26" t="s">
        <v>41</v>
      </c>
      <c r="G124" s="26">
        <v>10.0</v>
      </c>
      <c r="I124" s="26" t="s">
        <v>42</v>
      </c>
      <c r="J124" s="25" t="str">
        <f t="shared" si="22"/>
        <v>No</v>
      </c>
      <c r="K124" s="25" t="str">
        <f t="shared" si="23"/>
        <v/>
      </c>
      <c r="L124" s="25" t="str">
        <f t="shared" si="24"/>
        <v/>
      </c>
      <c r="M124" s="26" t="s">
        <v>43</v>
      </c>
      <c r="N124" s="26" t="s">
        <v>61</v>
      </c>
      <c r="O124" s="25"/>
    </row>
    <row r="125" ht="15.75" customHeight="1">
      <c r="A125" s="25" t="str">
        <f>IFERROR(__xludf.DUMMYFUNCTION("IF(B125="""","""",RIGHT(REGEXREPLACE(B125&amp;"""",""[^0-9]"",""""),9))"),"703708138")</f>
        <v>703708138</v>
      </c>
      <c r="B125" s="52">
        <v>7.03708138E8</v>
      </c>
      <c r="C125" s="28" t="s">
        <v>218</v>
      </c>
      <c r="D125" s="26" t="s">
        <v>82</v>
      </c>
      <c r="E125" s="31">
        <v>46226.0</v>
      </c>
      <c r="F125" s="26" t="s">
        <v>46</v>
      </c>
      <c r="G125" s="26">
        <v>11.0</v>
      </c>
      <c r="I125" s="26" t="s">
        <v>42</v>
      </c>
      <c r="J125" s="25" t="str">
        <f t="shared" si="22"/>
        <v>No</v>
      </c>
      <c r="K125" s="25" t="str">
        <f t="shared" si="23"/>
        <v/>
      </c>
      <c r="L125" s="25" t="str">
        <f t="shared" si="24"/>
        <v/>
      </c>
      <c r="M125" s="26" t="s">
        <v>51</v>
      </c>
      <c r="N125" s="26" t="s">
        <v>94</v>
      </c>
      <c r="O125" s="25"/>
    </row>
    <row r="126" ht="15.75" customHeight="1">
      <c r="A126" s="25" t="str">
        <f>IFERROR(__xludf.DUMMYFUNCTION("IF(B126="""","""",RIGHT(REGEXREPLACE(B126&amp;"""",""[^0-9]"",""""),9))"),"772726987")</f>
        <v>772726987</v>
      </c>
      <c r="B126" s="52">
        <v>7.72726987E8</v>
      </c>
      <c r="C126" s="28" t="s">
        <v>219</v>
      </c>
      <c r="D126" s="26" t="s">
        <v>49</v>
      </c>
      <c r="E126" s="31">
        <v>46226.0</v>
      </c>
      <c r="F126" s="26" t="s">
        <v>205</v>
      </c>
      <c r="I126" s="26" t="s">
        <v>42</v>
      </c>
      <c r="J126" s="25" t="str">
        <f t="shared" si="22"/>
        <v>No</v>
      </c>
      <c r="K126" s="25" t="str">
        <f t="shared" si="23"/>
        <v/>
      </c>
      <c r="L126" s="25" t="str">
        <f t="shared" si="24"/>
        <v/>
      </c>
      <c r="M126" s="26" t="s">
        <v>43</v>
      </c>
      <c r="N126" s="26" t="s">
        <v>54</v>
      </c>
      <c r="O126" s="25"/>
    </row>
    <row r="127" ht="15.75" customHeight="1">
      <c r="A127" s="25" t="str">
        <f>IFERROR(__xludf.DUMMYFUNCTION("IF(B127="""","""",RIGHT(REGEXREPLACE(B127&amp;"""",""[^0-9]"",""""),9))"),"777488291")</f>
        <v>777488291</v>
      </c>
      <c r="B127" s="52">
        <v>7.77488291E8</v>
      </c>
      <c r="C127" s="28" t="s">
        <v>220</v>
      </c>
      <c r="D127" s="26" t="s">
        <v>49</v>
      </c>
      <c r="E127" s="31">
        <v>46226.0</v>
      </c>
      <c r="F127" s="26" t="s">
        <v>41</v>
      </c>
      <c r="I127" s="26" t="s">
        <v>42</v>
      </c>
      <c r="J127" s="25" t="str">
        <f t="shared" si="22"/>
        <v>No</v>
      </c>
      <c r="K127" s="25" t="str">
        <f t="shared" si="23"/>
        <v/>
      </c>
      <c r="L127" s="25" t="str">
        <f t="shared" si="24"/>
        <v/>
      </c>
      <c r="M127" s="26" t="s">
        <v>51</v>
      </c>
      <c r="N127" s="26" t="s">
        <v>221</v>
      </c>
      <c r="O127" s="25"/>
    </row>
    <row r="128" ht="15.75" customHeight="1">
      <c r="A128" s="25" t="str">
        <f>IFERROR(__xludf.DUMMYFUNCTION("IF(B128="""","""",RIGHT(REGEXREPLACE(B128&amp;"""",""[^0-9]"",""""),9))"),"705975827")</f>
        <v>705975827</v>
      </c>
      <c r="B128" s="52">
        <v>7.05975827E8</v>
      </c>
      <c r="C128" s="28" t="s">
        <v>222</v>
      </c>
      <c r="D128" s="26" t="s">
        <v>82</v>
      </c>
      <c r="E128" s="31">
        <v>46226.0</v>
      </c>
      <c r="F128" s="26" t="s">
        <v>41</v>
      </c>
      <c r="G128" s="26">
        <v>9.0</v>
      </c>
      <c r="I128" s="26" t="s">
        <v>42</v>
      </c>
      <c r="J128" s="25" t="str">
        <f t="shared" si="22"/>
        <v>No</v>
      </c>
      <c r="K128" s="25" t="str">
        <f t="shared" si="23"/>
        <v/>
      </c>
      <c r="L128" s="25" t="str">
        <f t="shared" si="24"/>
        <v/>
      </c>
      <c r="M128" s="26" t="s">
        <v>43</v>
      </c>
      <c r="N128" s="26" t="s">
        <v>61</v>
      </c>
      <c r="O128" s="25"/>
    </row>
    <row r="129" ht="15.75" customHeight="1">
      <c r="A129" s="25" t="str">
        <f>IFERROR(__xludf.DUMMYFUNCTION("IF(B129="""","""",RIGHT(REGEXREPLACE(B129&amp;"""",""[^0-9]"",""""),9))"),"767173553")</f>
        <v>767173553</v>
      </c>
      <c r="B129" s="52">
        <v>7.67173553E8</v>
      </c>
      <c r="C129" s="28" t="s">
        <v>223</v>
      </c>
      <c r="D129" s="26" t="s">
        <v>45</v>
      </c>
      <c r="E129" s="31">
        <v>46226.0</v>
      </c>
      <c r="F129" s="26" t="s">
        <v>46</v>
      </c>
      <c r="G129" s="26">
        <v>11.0</v>
      </c>
      <c r="I129" s="26" t="s">
        <v>42</v>
      </c>
      <c r="J129" s="25" t="str">
        <f t="shared" si="22"/>
        <v>No</v>
      </c>
      <c r="K129" s="25" t="str">
        <f t="shared" si="23"/>
        <v/>
      </c>
      <c r="L129" s="25" t="str">
        <f t="shared" si="24"/>
        <v/>
      </c>
      <c r="M129" s="26" t="s">
        <v>51</v>
      </c>
      <c r="N129" s="26" t="s">
        <v>224</v>
      </c>
      <c r="O129" s="25"/>
    </row>
    <row r="130" ht="15.75" customHeight="1">
      <c r="A130" s="25" t="str">
        <f>IFERROR(__xludf.DUMMYFUNCTION("IF(B130="""","""",RIGHT(REGEXREPLACE(B130&amp;"""",""[^0-9]"",""""),9))"),"769781873")</f>
        <v>769781873</v>
      </c>
      <c r="B130" s="52">
        <v>7.69781873E8</v>
      </c>
      <c r="C130" s="28" t="s">
        <v>225</v>
      </c>
      <c r="D130" s="26" t="s">
        <v>49</v>
      </c>
      <c r="E130" s="31">
        <v>46226.0</v>
      </c>
      <c r="F130" s="26" t="s">
        <v>46</v>
      </c>
      <c r="G130" s="26">
        <v>11.0</v>
      </c>
      <c r="I130" s="26" t="s">
        <v>42</v>
      </c>
      <c r="J130" s="25" t="str">
        <f t="shared" si="22"/>
        <v>No</v>
      </c>
      <c r="K130" s="25" t="str">
        <f t="shared" si="23"/>
        <v/>
      </c>
      <c r="L130" s="25" t="str">
        <f t="shared" si="24"/>
        <v/>
      </c>
      <c r="M130" s="26" t="s">
        <v>51</v>
      </c>
      <c r="N130" s="26" t="s">
        <v>199</v>
      </c>
      <c r="O130" s="25"/>
    </row>
    <row r="131" ht="15.75" customHeight="1">
      <c r="A131" s="25" t="str">
        <f>IFERROR(__xludf.DUMMYFUNCTION("IF(B131="""","""",RIGHT(REGEXREPLACE(B131&amp;"""",""[^0-9]"",""""),9))"),"772416964")</f>
        <v>772416964</v>
      </c>
      <c r="B131" s="52">
        <v>7.72416964E8</v>
      </c>
      <c r="C131" s="28" t="s">
        <v>226</v>
      </c>
      <c r="D131" s="26" t="s">
        <v>56</v>
      </c>
      <c r="E131" s="31">
        <v>46226.0</v>
      </c>
      <c r="F131" s="26" t="s">
        <v>41</v>
      </c>
      <c r="G131" s="26">
        <v>11.0</v>
      </c>
      <c r="I131" s="26" t="s">
        <v>42</v>
      </c>
      <c r="J131" s="25" t="str">
        <f t="shared" si="22"/>
        <v>No</v>
      </c>
      <c r="K131" s="25" t="str">
        <f t="shared" si="23"/>
        <v/>
      </c>
      <c r="L131" s="25" t="str">
        <f t="shared" si="24"/>
        <v/>
      </c>
      <c r="M131" s="26" t="s">
        <v>43</v>
      </c>
      <c r="N131" s="26" t="s">
        <v>61</v>
      </c>
      <c r="O131" s="25"/>
    </row>
    <row r="132" ht="15.75" customHeight="1">
      <c r="A132" s="25" t="str">
        <f>IFERROR(__xludf.DUMMYFUNCTION("IF(B132="""","""",RIGHT(REGEXREPLACE(B132&amp;"""",""[^0-9]"",""""),9))"),"742786875")</f>
        <v>742786875</v>
      </c>
      <c r="B132" s="52">
        <v>7.42786875E8</v>
      </c>
      <c r="C132" s="28" t="s">
        <v>227</v>
      </c>
      <c r="D132" s="26" t="s">
        <v>82</v>
      </c>
      <c r="E132" s="31">
        <v>46226.0</v>
      </c>
      <c r="F132" s="26" t="s">
        <v>41</v>
      </c>
      <c r="G132" s="26">
        <v>10.0</v>
      </c>
      <c r="I132" s="26" t="s">
        <v>42</v>
      </c>
      <c r="J132" s="25" t="str">
        <f t="shared" si="22"/>
        <v>No</v>
      </c>
      <c r="K132" s="25" t="str">
        <f t="shared" si="23"/>
        <v/>
      </c>
      <c r="L132" s="25" t="str">
        <f t="shared" si="24"/>
        <v/>
      </c>
      <c r="M132" s="26" t="s">
        <v>51</v>
      </c>
      <c r="N132" s="26" t="s">
        <v>228</v>
      </c>
      <c r="O132" s="25"/>
    </row>
    <row r="133" ht="15.75" customHeight="1">
      <c r="C133" s="46"/>
      <c r="D133" s="25"/>
      <c r="F133" s="25"/>
      <c r="I133" s="26" t="s">
        <v>42</v>
      </c>
      <c r="M133" s="25"/>
      <c r="O133" s="25"/>
    </row>
    <row r="134" ht="15.75" customHeight="1">
      <c r="A134" s="25" t="str">
        <f>IFERROR(__xludf.DUMMYFUNCTION("IF(B134="""","""",RIGHT(REGEXREPLACE(B134&amp;"""",""[^0-9]"",""""),9))"),"761440753")</f>
        <v>761440753</v>
      </c>
      <c r="B134" s="52">
        <v>9.4761440753E10</v>
      </c>
      <c r="C134" s="28" t="s">
        <v>229</v>
      </c>
      <c r="D134" s="26" t="s">
        <v>37</v>
      </c>
      <c r="E134" s="31">
        <v>46226.0</v>
      </c>
      <c r="F134" s="26" t="s">
        <v>84</v>
      </c>
      <c r="I134" s="26" t="s">
        <v>42</v>
      </c>
      <c r="J134" s="25" t="str">
        <f t="shared" ref="J134:J412" si="25">IF(COUNTIF($A$2:A133,A134)&gt;0,"Yes - see Previous F-Code","No")</f>
        <v>No</v>
      </c>
      <c r="K134" s="25" t="str">
        <f t="shared" ref="K134:K412" si="26">IF(COUNTIFS($A$2:A134,A134,$I$2:I134,I134)&gt;1,"DUPLICATE - CHECK","")</f>
        <v/>
      </c>
      <c r="L134" s="25" t="str">
        <f t="shared" ref="L134:L412" si="27">IF(COUNTIF($A$2:A133,A134)&gt;0,INDEX($C$2:C133,MATCH(A134,$A$2:A133,0)),"")</f>
        <v/>
      </c>
      <c r="M134" s="25"/>
      <c r="O134" s="25"/>
    </row>
    <row r="135" ht="15.75" customHeight="1">
      <c r="A135" s="25" t="str">
        <f>IFERROR(__xludf.DUMMYFUNCTION("IF(B135="""","""",RIGHT(REGEXREPLACE(B135&amp;"""",""[^0-9]"",""""),9))"),"702307329")</f>
        <v>702307329</v>
      </c>
      <c r="B135" s="52">
        <v>7.02307329E8</v>
      </c>
      <c r="C135" s="28" t="s">
        <v>230</v>
      </c>
      <c r="D135" s="26" t="s">
        <v>56</v>
      </c>
      <c r="E135" s="31">
        <v>46226.0</v>
      </c>
      <c r="F135" s="26" t="s">
        <v>41</v>
      </c>
      <c r="I135" s="26" t="s">
        <v>42</v>
      </c>
      <c r="J135" s="25" t="str">
        <f t="shared" si="25"/>
        <v>No</v>
      </c>
      <c r="K135" s="25" t="str">
        <f t="shared" si="26"/>
        <v/>
      </c>
      <c r="L135" s="25" t="str">
        <f t="shared" si="27"/>
        <v/>
      </c>
      <c r="M135" s="26" t="s">
        <v>43</v>
      </c>
      <c r="N135" s="26" t="s">
        <v>231</v>
      </c>
      <c r="O135" s="25"/>
    </row>
    <row r="136" ht="15.75" customHeight="1">
      <c r="A136" s="25" t="str">
        <f>IFERROR(__xludf.DUMMYFUNCTION("IF(B136="""","""",RIGHT(REGEXREPLACE(B136&amp;"""",""[^0-9]"",""""),9))"),"775855991")</f>
        <v>775855991</v>
      </c>
      <c r="B136" s="52">
        <v>7.75855991E8</v>
      </c>
      <c r="C136" s="28" t="s">
        <v>232</v>
      </c>
      <c r="D136" s="26" t="s">
        <v>45</v>
      </c>
      <c r="E136" s="31">
        <v>46226.0</v>
      </c>
      <c r="F136" s="26" t="s">
        <v>46</v>
      </c>
      <c r="G136" s="26">
        <v>11.0</v>
      </c>
      <c r="H136" s="26" t="s">
        <v>233</v>
      </c>
      <c r="I136" s="26" t="s">
        <v>42</v>
      </c>
      <c r="J136" s="25" t="str">
        <f t="shared" si="25"/>
        <v>No</v>
      </c>
      <c r="K136" s="25" t="str">
        <f t="shared" si="26"/>
        <v/>
      </c>
      <c r="L136" s="25" t="str">
        <f t="shared" si="27"/>
        <v/>
      </c>
      <c r="M136" s="26" t="s">
        <v>43</v>
      </c>
      <c r="N136" s="26" t="s">
        <v>61</v>
      </c>
      <c r="O136" s="25"/>
    </row>
    <row r="137" ht="15.75" customHeight="1">
      <c r="A137" s="25" t="str">
        <f>IFERROR(__xludf.DUMMYFUNCTION("IF(B137="""","""",RIGHT(REGEXREPLACE(B137&amp;"""",""[^0-9]"",""""),9))"),"772427569")</f>
        <v>772427569</v>
      </c>
      <c r="B137" s="52">
        <v>7.72427569E8</v>
      </c>
      <c r="C137" s="28" t="s">
        <v>234</v>
      </c>
      <c r="D137" s="26" t="s">
        <v>82</v>
      </c>
      <c r="E137" s="31">
        <v>46226.0</v>
      </c>
      <c r="F137" s="26" t="s">
        <v>46</v>
      </c>
      <c r="G137" s="26">
        <v>10.0</v>
      </c>
      <c r="I137" s="26" t="s">
        <v>42</v>
      </c>
      <c r="J137" s="25" t="str">
        <f t="shared" si="25"/>
        <v>No</v>
      </c>
      <c r="K137" s="25" t="str">
        <f t="shared" si="26"/>
        <v/>
      </c>
      <c r="L137" s="25" t="str">
        <f t="shared" si="27"/>
        <v/>
      </c>
      <c r="M137" s="26" t="s">
        <v>51</v>
      </c>
      <c r="N137" s="26" t="s">
        <v>235</v>
      </c>
      <c r="O137" s="25"/>
    </row>
    <row r="138" ht="15.75" customHeight="1">
      <c r="A138" s="25" t="str">
        <f>IFERROR(__xludf.DUMMYFUNCTION("IF(B138="""","""",RIGHT(REGEXREPLACE(B138&amp;"""",""[^0-9]"",""""),9))"),"723287278")</f>
        <v>723287278</v>
      </c>
      <c r="B138" s="52">
        <v>7.23287278E8</v>
      </c>
      <c r="C138" s="28" t="s">
        <v>236</v>
      </c>
      <c r="D138" s="26" t="s">
        <v>56</v>
      </c>
      <c r="E138" s="31">
        <v>46226.0</v>
      </c>
      <c r="F138" s="26" t="s">
        <v>84</v>
      </c>
      <c r="I138" s="26" t="s">
        <v>42</v>
      </c>
      <c r="J138" s="25" t="str">
        <f t="shared" si="25"/>
        <v>No</v>
      </c>
      <c r="K138" s="25" t="str">
        <f t="shared" si="26"/>
        <v/>
      </c>
      <c r="L138" s="25" t="str">
        <f t="shared" si="27"/>
        <v/>
      </c>
      <c r="M138" s="26" t="s">
        <v>43</v>
      </c>
      <c r="N138" s="26" t="s">
        <v>47</v>
      </c>
      <c r="O138" s="25"/>
    </row>
    <row r="139" ht="15.75" customHeight="1">
      <c r="A139" s="25" t="str">
        <f>IFERROR(__xludf.DUMMYFUNCTION("IF(B139="""","""",RIGHT(REGEXREPLACE(B139&amp;"""",""[^0-9]"",""""),9))"),"702966822")</f>
        <v>702966822</v>
      </c>
      <c r="B139" s="52">
        <v>9.4702966822E10</v>
      </c>
      <c r="C139" s="28" t="s">
        <v>237</v>
      </c>
      <c r="D139" s="26" t="s">
        <v>37</v>
      </c>
      <c r="E139" s="31">
        <v>46226.0</v>
      </c>
      <c r="F139" s="26" t="s">
        <v>46</v>
      </c>
      <c r="I139" s="26" t="s">
        <v>42</v>
      </c>
      <c r="J139" s="25" t="str">
        <f t="shared" si="25"/>
        <v>No</v>
      </c>
      <c r="K139" s="25" t="str">
        <f t="shared" si="26"/>
        <v/>
      </c>
      <c r="L139" s="25" t="str">
        <f t="shared" si="27"/>
        <v/>
      </c>
      <c r="M139" s="25"/>
      <c r="O139" s="25"/>
    </row>
    <row r="140" ht="15.75" customHeight="1">
      <c r="A140" s="25" t="str">
        <f>IFERROR(__xludf.DUMMYFUNCTION("IF(B140="""","""",RIGHT(REGEXREPLACE(B140&amp;"""",""[^0-9]"",""""),9))"),"781751520")</f>
        <v>781751520</v>
      </c>
      <c r="B140" s="52">
        <v>9.478175152E10</v>
      </c>
      <c r="C140" s="28" t="s">
        <v>238</v>
      </c>
      <c r="D140" s="26" t="s">
        <v>37</v>
      </c>
      <c r="E140" s="31">
        <v>46226.0</v>
      </c>
      <c r="F140" s="26" t="s">
        <v>41</v>
      </c>
      <c r="I140" s="26" t="s">
        <v>42</v>
      </c>
      <c r="J140" s="25" t="str">
        <f t="shared" si="25"/>
        <v>No</v>
      </c>
      <c r="K140" s="25" t="str">
        <f t="shared" si="26"/>
        <v/>
      </c>
      <c r="L140" s="25" t="str">
        <f t="shared" si="27"/>
        <v/>
      </c>
      <c r="M140" s="25"/>
      <c r="O140" s="25"/>
    </row>
    <row r="141" ht="15.75" customHeight="1">
      <c r="A141" s="25" t="str">
        <f>IFERROR(__xludf.DUMMYFUNCTION("IF(B141="""","""",RIGHT(REGEXREPLACE(B141&amp;"""",""[^0-9]"",""""),9))"),"789767742")</f>
        <v>789767742</v>
      </c>
      <c r="B141" s="52">
        <v>7.89767742E8</v>
      </c>
      <c r="C141" s="28" t="s">
        <v>239</v>
      </c>
      <c r="D141" s="26" t="s">
        <v>49</v>
      </c>
      <c r="E141" s="31">
        <v>46226.0</v>
      </c>
      <c r="F141" s="26" t="s">
        <v>46</v>
      </c>
      <c r="G141" s="26">
        <v>10.0</v>
      </c>
      <c r="I141" s="26" t="s">
        <v>42</v>
      </c>
      <c r="J141" s="25" t="str">
        <f t="shared" si="25"/>
        <v>No</v>
      </c>
      <c r="K141" s="25" t="str">
        <f t="shared" si="26"/>
        <v/>
      </c>
      <c r="L141" s="25" t="str">
        <f t="shared" si="27"/>
        <v/>
      </c>
      <c r="M141" s="26" t="s">
        <v>43</v>
      </c>
      <c r="N141" s="26" t="s">
        <v>61</v>
      </c>
      <c r="O141" s="25"/>
    </row>
    <row r="142" ht="15.75" customHeight="1">
      <c r="A142" s="25" t="str">
        <f>IFERROR(__xludf.DUMMYFUNCTION("IF(B142="""","""",RIGHT(REGEXREPLACE(B142&amp;"""",""[^0-9]"",""""),9))"),"718221696")</f>
        <v>718221696</v>
      </c>
      <c r="B142" s="52">
        <v>7.18221696E8</v>
      </c>
      <c r="C142" s="28" t="s">
        <v>240</v>
      </c>
      <c r="D142" s="26" t="s">
        <v>56</v>
      </c>
      <c r="E142" s="31">
        <v>46226.0</v>
      </c>
      <c r="F142" s="26" t="s">
        <v>46</v>
      </c>
      <c r="G142" s="26">
        <v>11.0</v>
      </c>
      <c r="I142" s="26" t="s">
        <v>42</v>
      </c>
      <c r="J142" s="25" t="str">
        <f t="shared" si="25"/>
        <v>No</v>
      </c>
      <c r="K142" s="25" t="str">
        <f t="shared" si="26"/>
        <v/>
      </c>
      <c r="L142" s="25" t="str">
        <f t="shared" si="27"/>
        <v/>
      </c>
      <c r="M142" s="26" t="s">
        <v>43</v>
      </c>
      <c r="N142" s="26" t="s">
        <v>61</v>
      </c>
      <c r="O142" s="25"/>
    </row>
    <row r="143" ht="15.75" customHeight="1">
      <c r="A143" s="25" t="str">
        <f>IFERROR(__xludf.DUMMYFUNCTION("IF(B143="""","""",RIGHT(REGEXREPLACE(B143&amp;"""",""[^0-9]"",""""),9))"),"789657104")</f>
        <v>789657104</v>
      </c>
      <c r="B143" s="52">
        <v>7.89657104E8</v>
      </c>
      <c r="C143" s="28" t="s">
        <v>241</v>
      </c>
      <c r="D143" s="26" t="s">
        <v>56</v>
      </c>
      <c r="E143" s="31">
        <v>46226.0</v>
      </c>
      <c r="F143" s="26" t="s">
        <v>46</v>
      </c>
      <c r="G143" s="26">
        <v>11.0</v>
      </c>
      <c r="I143" s="26" t="s">
        <v>42</v>
      </c>
      <c r="J143" s="25" t="str">
        <f t="shared" si="25"/>
        <v>No</v>
      </c>
      <c r="K143" s="25" t="str">
        <f t="shared" si="26"/>
        <v/>
      </c>
      <c r="L143" s="25" t="str">
        <f t="shared" si="27"/>
        <v/>
      </c>
      <c r="M143" s="26" t="s">
        <v>43</v>
      </c>
      <c r="N143" s="26" t="s">
        <v>61</v>
      </c>
      <c r="O143" s="25"/>
    </row>
    <row r="144" ht="15.75" customHeight="1">
      <c r="A144" s="25" t="str">
        <f>IFERROR(__xludf.DUMMYFUNCTION("IF(B144="""","""",RIGHT(REGEXREPLACE(B144&amp;"""",""[^0-9]"",""""),9))"),"784146451")</f>
        <v>784146451</v>
      </c>
      <c r="B144" s="52">
        <v>7.84146451E8</v>
      </c>
      <c r="C144" s="28" t="s">
        <v>242</v>
      </c>
      <c r="D144" s="26" t="s">
        <v>45</v>
      </c>
      <c r="E144" s="31">
        <v>46226.0</v>
      </c>
      <c r="F144" s="26" t="s">
        <v>41</v>
      </c>
      <c r="I144" s="26" t="s">
        <v>42</v>
      </c>
      <c r="J144" s="25" t="str">
        <f t="shared" si="25"/>
        <v>No</v>
      </c>
      <c r="K144" s="25" t="str">
        <f t="shared" si="26"/>
        <v/>
      </c>
      <c r="L144" s="25" t="str">
        <f t="shared" si="27"/>
        <v/>
      </c>
      <c r="M144" s="26" t="s">
        <v>51</v>
      </c>
      <c r="N144" s="26" t="s">
        <v>243</v>
      </c>
      <c r="O144" s="25"/>
    </row>
    <row r="145" ht="15.75" customHeight="1">
      <c r="A145" s="25" t="str">
        <f>IFERROR(__xludf.DUMMYFUNCTION("IF(B145="""","""",RIGHT(REGEXREPLACE(B145&amp;"""",""[^0-9]"",""""),9))"),"715664942")</f>
        <v>715664942</v>
      </c>
      <c r="B145" s="52">
        <v>7.15664942E8</v>
      </c>
      <c r="C145" s="28" t="s">
        <v>244</v>
      </c>
      <c r="D145" s="26" t="s">
        <v>82</v>
      </c>
      <c r="E145" s="31">
        <v>46226.0</v>
      </c>
      <c r="F145" s="26" t="s">
        <v>46</v>
      </c>
      <c r="G145" s="26">
        <v>11.0</v>
      </c>
      <c r="I145" s="26" t="s">
        <v>42</v>
      </c>
      <c r="J145" s="25" t="str">
        <f t="shared" si="25"/>
        <v>No</v>
      </c>
      <c r="K145" s="25" t="str">
        <f t="shared" si="26"/>
        <v/>
      </c>
      <c r="L145" s="25" t="str">
        <f t="shared" si="27"/>
        <v/>
      </c>
      <c r="M145" s="26" t="s">
        <v>43</v>
      </c>
      <c r="N145" s="26" t="s">
        <v>61</v>
      </c>
      <c r="O145" s="25"/>
    </row>
    <row r="146" ht="15.75" customHeight="1">
      <c r="A146" s="25" t="str">
        <f>IFERROR(__xludf.DUMMYFUNCTION("IF(B146="""","""",RIGHT(REGEXREPLACE(B146&amp;"""",""[^0-9]"",""""),9))"),"718738868")</f>
        <v>718738868</v>
      </c>
      <c r="B146" s="26">
        <v>7.18738868E8</v>
      </c>
      <c r="C146" s="28" t="s">
        <v>245</v>
      </c>
      <c r="D146" s="26" t="s">
        <v>37</v>
      </c>
      <c r="E146" s="31">
        <v>46226.0</v>
      </c>
      <c r="F146" s="26" t="s">
        <v>84</v>
      </c>
      <c r="H146" s="26" t="s">
        <v>246</v>
      </c>
      <c r="I146" s="26" t="s">
        <v>42</v>
      </c>
      <c r="J146" s="25" t="str">
        <f t="shared" si="25"/>
        <v>No</v>
      </c>
      <c r="K146" s="25" t="str">
        <f t="shared" si="26"/>
        <v/>
      </c>
      <c r="L146" s="25" t="str">
        <f t="shared" si="27"/>
        <v/>
      </c>
      <c r="M146" s="25"/>
      <c r="O146" s="25"/>
    </row>
    <row r="147" ht="15.75" customHeight="1">
      <c r="A147" s="25" t="str">
        <f>IFERROR(__xludf.DUMMYFUNCTION("IF(B147="""","""",RIGHT(REGEXREPLACE(B147&amp;"""",""[^0-9]"",""""),9))"),"783468973")</f>
        <v>783468973</v>
      </c>
      <c r="B147" s="52">
        <v>7.83468973E8</v>
      </c>
      <c r="C147" s="28" t="s">
        <v>247</v>
      </c>
      <c r="D147" s="26" t="s">
        <v>49</v>
      </c>
      <c r="E147" s="31">
        <v>46226.0</v>
      </c>
      <c r="F147" s="25"/>
      <c r="G147" s="26">
        <v>11.0</v>
      </c>
      <c r="H147" s="25"/>
      <c r="I147" s="26" t="s">
        <v>42</v>
      </c>
      <c r="J147" s="25" t="str">
        <f t="shared" si="25"/>
        <v>No</v>
      </c>
      <c r="K147" s="25" t="str">
        <f t="shared" si="26"/>
        <v/>
      </c>
      <c r="L147" s="25" t="str">
        <f t="shared" si="27"/>
        <v/>
      </c>
      <c r="M147" s="26" t="s">
        <v>43</v>
      </c>
      <c r="N147" s="26" t="s">
        <v>61</v>
      </c>
      <c r="O147" s="25"/>
      <c r="P147" s="25"/>
    </row>
    <row r="148" ht="15.75" customHeight="1">
      <c r="A148" s="25" t="str">
        <f>IFERROR(__xludf.DUMMYFUNCTION("IF(B148="""","""",RIGHT(REGEXREPLACE(B148&amp;"""",""[^0-9]"",""""),9))"),"705597335")</f>
        <v>705597335</v>
      </c>
      <c r="B148" s="52">
        <v>7.05597335E8</v>
      </c>
      <c r="C148" s="28" t="s">
        <v>248</v>
      </c>
      <c r="D148" s="26" t="s">
        <v>45</v>
      </c>
      <c r="E148" s="31">
        <v>46226.0</v>
      </c>
      <c r="F148" s="26" t="s">
        <v>41</v>
      </c>
      <c r="G148" s="26">
        <v>11.0</v>
      </c>
      <c r="I148" s="26" t="s">
        <v>42</v>
      </c>
      <c r="J148" s="25" t="str">
        <f t="shared" si="25"/>
        <v>No</v>
      </c>
      <c r="K148" s="25" t="str">
        <f t="shared" si="26"/>
        <v/>
      </c>
      <c r="L148" s="25" t="str">
        <f t="shared" si="27"/>
        <v/>
      </c>
      <c r="M148" s="26" t="s">
        <v>43</v>
      </c>
      <c r="N148" s="26" t="s">
        <v>249</v>
      </c>
      <c r="O148" s="25"/>
    </row>
    <row r="149" ht="15.75" customHeight="1">
      <c r="A149" s="25" t="str">
        <f>IFERROR(__xludf.DUMMYFUNCTION("IF(B149="""","""",RIGHT(REGEXREPLACE(B149&amp;"""",""[^0-9]"",""""),9))"),"766434339")</f>
        <v>766434339</v>
      </c>
      <c r="B149" s="52">
        <v>7.66434339E8</v>
      </c>
      <c r="C149" s="28" t="s">
        <v>250</v>
      </c>
      <c r="D149" s="26" t="s">
        <v>82</v>
      </c>
      <c r="E149" s="31">
        <v>46226.0</v>
      </c>
      <c r="F149" s="26" t="s">
        <v>46</v>
      </c>
      <c r="G149" s="26">
        <v>11.0</v>
      </c>
      <c r="I149" s="26" t="s">
        <v>42</v>
      </c>
      <c r="J149" s="25" t="str">
        <f t="shared" si="25"/>
        <v>No</v>
      </c>
      <c r="K149" s="25" t="str">
        <f t="shared" si="26"/>
        <v/>
      </c>
      <c r="L149" s="25" t="str">
        <f t="shared" si="27"/>
        <v/>
      </c>
      <c r="M149" s="26" t="s">
        <v>43</v>
      </c>
      <c r="N149" s="26" t="s">
        <v>61</v>
      </c>
      <c r="O149" s="25"/>
    </row>
    <row r="150" ht="15.75" customHeight="1">
      <c r="A150" s="25" t="str">
        <f>IFERROR(__xludf.DUMMYFUNCTION("IF(B150="""","""",RIGHT(REGEXREPLACE(B150&amp;"""",""[^0-9]"",""""),9))"),"767970597")</f>
        <v>767970597</v>
      </c>
      <c r="B150" s="52">
        <v>7.67970597E8</v>
      </c>
      <c r="C150" s="28" t="s">
        <v>251</v>
      </c>
      <c r="D150" s="26" t="s">
        <v>56</v>
      </c>
      <c r="E150" s="31">
        <v>46226.0</v>
      </c>
      <c r="F150" s="26" t="s">
        <v>205</v>
      </c>
      <c r="I150" s="26" t="s">
        <v>42</v>
      </c>
      <c r="J150" s="25" t="str">
        <f t="shared" si="25"/>
        <v>No</v>
      </c>
      <c r="K150" s="25" t="str">
        <f t="shared" si="26"/>
        <v/>
      </c>
      <c r="L150" s="25" t="str">
        <f t="shared" si="27"/>
        <v/>
      </c>
      <c r="M150" s="26" t="s">
        <v>43</v>
      </c>
      <c r="N150" s="26" t="s">
        <v>47</v>
      </c>
      <c r="O150" s="25"/>
    </row>
    <row r="151" ht="15.75" customHeight="1">
      <c r="A151" s="25" t="str">
        <f>IFERROR(__xludf.DUMMYFUNCTION("IF(B151="""","""",RIGHT(REGEXREPLACE(B151&amp;"""",""[^0-9]"",""""),9))"),"778954287")</f>
        <v>778954287</v>
      </c>
      <c r="B151" s="26">
        <v>7.78954287E8</v>
      </c>
      <c r="C151" s="28" t="s">
        <v>252</v>
      </c>
      <c r="D151" s="26" t="s">
        <v>37</v>
      </c>
      <c r="E151" s="31">
        <v>46226.0</v>
      </c>
      <c r="F151" s="26" t="s">
        <v>84</v>
      </c>
      <c r="H151" s="26" t="s">
        <v>253</v>
      </c>
      <c r="I151" s="26" t="s">
        <v>42</v>
      </c>
      <c r="J151" s="25" t="str">
        <f t="shared" si="25"/>
        <v>No</v>
      </c>
      <c r="K151" s="25" t="str">
        <f t="shared" si="26"/>
        <v/>
      </c>
      <c r="L151" s="25" t="str">
        <f t="shared" si="27"/>
        <v/>
      </c>
      <c r="M151" s="25"/>
      <c r="O151" s="25"/>
    </row>
    <row r="152" ht="15.75" customHeight="1">
      <c r="A152" s="25" t="str">
        <f>IFERROR(__xludf.DUMMYFUNCTION("IF(B152="""","""",RIGHT(REGEXREPLACE(B152&amp;"""",""[^0-9]"",""""),9))"),"718206457")</f>
        <v>718206457</v>
      </c>
      <c r="B152" s="52">
        <v>7.18206457E8</v>
      </c>
      <c r="C152" s="28" t="s">
        <v>254</v>
      </c>
      <c r="D152" s="26" t="s">
        <v>49</v>
      </c>
      <c r="E152" s="31">
        <v>46226.0</v>
      </c>
      <c r="F152" s="26" t="s">
        <v>205</v>
      </c>
      <c r="I152" s="26" t="s">
        <v>42</v>
      </c>
      <c r="J152" s="25" t="str">
        <f t="shared" si="25"/>
        <v>No</v>
      </c>
      <c r="K152" s="25" t="str">
        <f t="shared" si="26"/>
        <v/>
      </c>
      <c r="L152" s="25" t="str">
        <f t="shared" si="27"/>
        <v/>
      </c>
      <c r="M152" s="26" t="s">
        <v>43</v>
      </c>
      <c r="N152" s="26" t="s">
        <v>61</v>
      </c>
      <c r="O152" s="25"/>
    </row>
    <row r="153" ht="15.75" customHeight="1">
      <c r="A153" s="25" t="str">
        <f>IFERROR(__xludf.DUMMYFUNCTION("IF(B153="""","""",RIGHT(REGEXREPLACE(B153&amp;"""",""[^0-9]"",""""),9))"),"701179517")</f>
        <v>701179517</v>
      </c>
      <c r="B153" s="64">
        <v>9.4701179517E10</v>
      </c>
      <c r="C153" s="28" t="s">
        <v>255</v>
      </c>
      <c r="D153" s="26" t="s">
        <v>37</v>
      </c>
      <c r="E153" s="31">
        <v>46226.0</v>
      </c>
      <c r="F153" s="26" t="s">
        <v>205</v>
      </c>
      <c r="I153" s="26" t="s">
        <v>42</v>
      </c>
      <c r="J153" s="25" t="str">
        <f t="shared" si="25"/>
        <v>No</v>
      </c>
      <c r="K153" s="25" t="str">
        <f t="shared" si="26"/>
        <v/>
      </c>
      <c r="L153" s="25" t="str">
        <f t="shared" si="27"/>
        <v/>
      </c>
      <c r="M153" s="25"/>
      <c r="O153" s="25"/>
    </row>
    <row r="154" ht="15.75" customHeight="1">
      <c r="A154" s="25" t="str">
        <f>IFERROR(__xludf.DUMMYFUNCTION("IF(B154="""","""",RIGHT(REGEXREPLACE(B154&amp;"""",""[^0-9]"",""""),9))"),"726158641")</f>
        <v>726158641</v>
      </c>
      <c r="B154" s="52">
        <v>9.4726158641E10</v>
      </c>
      <c r="C154" s="28" t="s">
        <v>256</v>
      </c>
      <c r="D154" s="26" t="s">
        <v>37</v>
      </c>
      <c r="E154" s="31">
        <v>46226.0</v>
      </c>
      <c r="F154" s="26" t="s">
        <v>46</v>
      </c>
      <c r="G154" s="26">
        <v>10.0</v>
      </c>
      <c r="H154" s="26" t="s">
        <v>257</v>
      </c>
      <c r="I154" s="26" t="s">
        <v>42</v>
      </c>
      <c r="J154" s="25" t="str">
        <f t="shared" si="25"/>
        <v>No</v>
      </c>
      <c r="K154" s="25" t="str">
        <f t="shared" si="26"/>
        <v/>
      </c>
      <c r="L154" s="25" t="str">
        <f t="shared" si="27"/>
        <v/>
      </c>
      <c r="M154" s="25"/>
      <c r="O154" s="25"/>
    </row>
    <row r="155" ht="15.75" customHeight="1">
      <c r="A155" s="25" t="str">
        <f>IFERROR(__xludf.DUMMYFUNCTION("IF(B155="""","""",RIGHT(REGEXREPLACE(B155&amp;"""",""[^0-9]"",""""),9))"),"770063790")</f>
        <v>770063790</v>
      </c>
      <c r="B155" s="52">
        <v>7.7006379E8</v>
      </c>
      <c r="C155" s="28" t="s">
        <v>258</v>
      </c>
      <c r="D155" s="26" t="s">
        <v>49</v>
      </c>
      <c r="E155" s="31">
        <v>46226.0</v>
      </c>
      <c r="F155" s="26" t="s">
        <v>46</v>
      </c>
      <c r="G155" s="26">
        <v>11.0</v>
      </c>
      <c r="I155" s="26" t="s">
        <v>42</v>
      </c>
      <c r="J155" s="25" t="str">
        <f t="shared" si="25"/>
        <v>No</v>
      </c>
      <c r="K155" s="25" t="str">
        <f t="shared" si="26"/>
        <v/>
      </c>
      <c r="L155" s="25" t="str">
        <f t="shared" si="27"/>
        <v/>
      </c>
      <c r="M155" s="26" t="s">
        <v>51</v>
      </c>
      <c r="N155" s="26" t="s">
        <v>140</v>
      </c>
      <c r="O155" s="25"/>
    </row>
    <row r="156" ht="15.75" customHeight="1">
      <c r="A156" s="25" t="str">
        <f>IFERROR(__xludf.DUMMYFUNCTION("IF(B156="""","""",RIGHT(REGEXREPLACE(B156&amp;"""",""[^0-9]"",""""),9))"),"765897723")</f>
        <v>765897723</v>
      </c>
      <c r="B156" s="52">
        <v>7.65897723E8</v>
      </c>
      <c r="C156" s="28" t="s">
        <v>259</v>
      </c>
      <c r="D156" s="26" t="s">
        <v>82</v>
      </c>
      <c r="E156" s="31">
        <v>46226.0</v>
      </c>
      <c r="F156" s="26" t="s">
        <v>205</v>
      </c>
      <c r="I156" s="26" t="s">
        <v>42</v>
      </c>
      <c r="J156" s="25" t="str">
        <f t="shared" si="25"/>
        <v>No</v>
      </c>
      <c r="K156" s="25" t="str">
        <f t="shared" si="26"/>
        <v/>
      </c>
      <c r="L156" s="25" t="str">
        <f t="shared" si="27"/>
        <v/>
      </c>
      <c r="M156" s="26" t="s">
        <v>43</v>
      </c>
      <c r="N156" s="26" t="s">
        <v>61</v>
      </c>
      <c r="O156" s="25"/>
    </row>
    <row r="157" ht="15.75" customHeight="1">
      <c r="A157" s="25" t="str">
        <f>IFERROR(__xludf.DUMMYFUNCTION("IF(B157="""","""",RIGHT(REGEXREPLACE(B157&amp;"""",""[^0-9]"",""""),9))"),"767054036")</f>
        <v>767054036</v>
      </c>
      <c r="B157" s="52">
        <v>7.67054036E8</v>
      </c>
      <c r="C157" s="28" t="s">
        <v>260</v>
      </c>
      <c r="D157" s="26" t="s">
        <v>82</v>
      </c>
      <c r="E157" s="31">
        <v>46226.0</v>
      </c>
      <c r="F157" s="26" t="s">
        <v>205</v>
      </c>
      <c r="G157" s="26">
        <v>11.0</v>
      </c>
      <c r="I157" s="26" t="s">
        <v>42</v>
      </c>
      <c r="J157" s="25" t="str">
        <f t="shared" si="25"/>
        <v>No</v>
      </c>
      <c r="K157" s="25" t="str">
        <f t="shared" si="26"/>
        <v/>
      </c>
      <c r="L157" s="25" t="str">
        <f t="shared" si="27"/>
        <v/>
      </c>
      <c r="M157" s="26" t="s">
        <v>43</v>
      </c>
      <c r="N157" s="26" t="s">
        <v>261</v>
      </c>
      <c r="O157" s="25"/>
    </row>
    <row r="158" ht="15.75" customHeight="1">
      <c r="A158" s="25" t="str">
        <f>IFERROR(__xludf.DUMMYFUNCTION("IF(B158="""","""",RIGHT(REGEXREPLACE(B158&amp;"""",""[^0-9]"",""""),9))"),"779262113")</f>
        <v>779262113</v>
      </c>
      <c r="B158" s="52">
        <v>7.79262113E8</v>
      </c>
      <c r="C158" s="28" t="s">
        <v>262</v>
      </c>
      <c r="D158" s="26" t="s">
        <v>49</v>
      </c>
      <c r="E158" s="31">
        <v>46226.0</v>
      </c>
      <c r="F158" s="26" t="s">
        <v>46</v>
      </c>
      <c r="G158" s="26">
        <v>10.0</v>
      </c>
      <c r="I158" s="26" t="s">
        <v>42</v>
      </c>
      <c r="J158" s="25" t="str">
        <f t="shared" si="25"/>
        <v>No</v>
      </c>
      <c r="K158" s="25" t="str">
        <f t="shared" si="26"/>
        <v/>
      </c>
      <c r="L158" s="25" t="str">
        <f t="shared" si="27"/>
        <v/>
      </c>
      <c r="M158" s="26" t="s">
        <v>51</v>
      </c>
      <c r="N158" s="26" t="s">
        <v>263</v>
      </c>
      <c r="O158" s="25"/>
    </row>
    <row r="159" ht="15.75" customHeight="1">
      <c r="A159" s="25" t="str">
        <f>IFERROR(__xludf.DUMMYFUNCTION("IF(B159="""","""",RIGHT(REGEXREPLACE(B159&amp;"""",""[^0-9]"",""""),9))"),"777350553")</f>
        <v>777350553</v>
      </c>
      <c r="B159" s="52">
        <v>7.77350553E8</v>
      </c>
      <c r="C159" s="28" t="s">
        <v>264</v>
      </c>
      <c r="D159" s="26" t="s">
        <v>45</v>
      </c>
      <c r="E159" s="31">
        <v>46226.0</v>
      </c>
      <c r="F159" s="26" t="s">
        <v>46</v>
      </c>
      <c r="G159" s="26">
        <v>6.0</v>
      </c>
      <c r="I159" s="26" t="s">
        <v>42</v>
      </c>
      <c r="J159" s="25" t="str">
        <f t="shared" si="25"/>
        <v>No</v>
      </c>
      <c r="K159" s="25" t="str">
        <f t="shared" si="26"/>
        <v/>
      </c>
      <c r="L159" s="25" t="str">
        <f t="shared" si="27"/>
        <v/>
      </c>
      <c r="M159" s="26" t="s">
        <v>51</v>
      </c>
      <c r="N159" s="26" t="s">
        <v>265</v>
      </c>
      <c r="O159" s="25"/>
    </row>
    <row r="160" ht="15.75" customHeight="1">
      <c r="A160" s="25" t="str">
        <f>IFERROR(__xludf.DUMMYFUNCTION("IF(B160="""","""",RIGHT(REGEXREPLACE(B160&amp;"""",""[^0-9]"",""""),9))"),"706458686")</f>
        <v>706458686</v>
      </c>
      <c r="B160" s="52">
        <v>7.06458686E8</v>
      </c>
      <c r="C160" s="28" t="s">
        <v>266</v>
      </c>
      <c r="D160" s="26" t="s">
        <v>56</v>
      </c>
      <c r="E160" s="31">
        <v>46226.0</v>
      </c>
      <c r="F160" s="26" t="s">
        <v>46</v>
      </c>
      <c r="G160" s="26">
        <v>11.0</v>
      </c>
      <c r="I160" s="26" t="s">
        <v>42</v>
      </c>
      <c r="J160" s="25" t="str">
        <f t="shared" si="25"/>
        <v>No</v>
      </c>
      <c r="K160" s="25" t="str">
        <f t="shared" si="26"/>
        <v/>
      </c>
      <c r="L160" s="25" t="str">
        <f t="shared" si="27"/>
        <v/>
      </c>
      <c r="M160" s="26" t="s">
        <v>43</v>
      </c>
      <c r="N160" s="26" t="s">
        <v>54</v>
      </c>
      <c r="O160" s="25"/>
    </row>
    <row r="161" ht="15.75" customHeight="1">
      <c r="A161" s="25" t="str">
        <f>IFERROR(__xludf.DUMMYFUNCTION("IF(B161="""","""",RIGHT(REGEXREPLACE(B161&amp;"""",""[^0-9]"",""""),9))"),"766704837")</f>
        <v>766704837</v>
      </c>
      <c r="B161" s="52">
        <v>7.66704837E8</v>
      </c>
      <c r="C161" s="28" t="s">
        <v>267</v>
      </c>
      <c r="D161" s="26" t="s">
        <v>82</v>
      </c>
      <c r="E161" s="31">
        <v>46226.0</v>
      </c>
      <c r="F161" s="26" t="s">
        <v>125</v>
      </c>
      <c r="G161" s="26">
        <v>11.0</v>
      </c>
      <c r="I161" s="26" t="s">
        <v>42</v>
      </c>
      <c r="J161" s="25" t="str">
        <f t="shared" si="25"/>
        <v>No</v>
      </c>
      <c r="K161" s="25" t="str">
        <f t="shared" si="26"/>
        <v/>
      </c>
      <c r="L161" s="25" t="str">
        <f t="shared" si="27"/>
        <v/>
      </c>
      <c r="M161" s="26" t="s">
        <v>51</v>
      </c>
      <c r="N161" s="26" t="s">
        <v>70</v>
      </c>
      <c r="O161" s="25"/>
    </row>
    <row r="162" ht="15.75" customHeight="1">
      <c r="A162" s="25" t="str">
        <f>IFERROR(__xludf.DUMMYFUNCTION("IF(B162="""","""",RIGHT(REGEXREPLACE(B162&amp;"""",""[^0-9]"",""""),9))"),"706435653")</f>
        <v>706435653</v>
      </c>
      <c r="B162" s="52">
        <v>7.06435653E8</v>
      </c>
      <c r="C162" s="28" t="s">
        <v>268</v>
      </c>
      <c r="D162" s="26" t="s">
        <v>45</v>
      </c>
      <c r="E162" s="31">
        <v>46226.0</v>
      </c>
      <c r="F162" s="26" t="s">
        <v>41</v>
      </c>
      <c r="I162" s="26" t="s">
        <v>42</v>
      </c>
      <c r="J162" s="25" t="str">
        <f t="shared" si="25"/>
        <v>No</v>
      </c>
      <c r="K162" s="25" t="str">
        <f t="shared" si="26"/>
        <v/>
      </c>
      <c r="L162" s="25" t="str">
        <f t="shared" si="27"/>
        <v/>
      </c>
      <c r="M162" s="26" t="s">
        <v>51</v>
      </c>
      <c r="N162" s="26" t="s">
        <v>196</v>
      </c>
      <c r="O162" s="25"/>
    </row>
    <row r="163" ht="15.75" customHeight="1">
      <c r="A163" s="25" t="str">
        <f>IFERROR(__xludf.DUMMYFUNCTION("IF(B163="""","""",RIGHT(REGEXREPLACE(B163&amp;"""",""[^0-9]"",""""),9))"),"759321962")</f>
        <v>759321962</v>
      </c>
      <c r="B163" s="52">
        <v>7.59321962E8</v>
      </c>
      <c r="C163" s="28" t="s">
        <v>269</v>
      </c>
      <c r="D163" s="26" t="s">
        <v>49</v>
      </c>
      <c r="E163" s="31">
        <v>46226.0</v>
      </c>
      <c r="F163" s="26" t="s">
        <v>46</v>
      </c>
      <c r="G163" s="26">
        <v>11.0</v>
      </c>
      <c r="I163" s="26" t="s">
        <v>42</v>
      </c>
      <c r="J163" s="25" t="str">
        <f t="shared" si="25"/>
        <v>No</v>
      </c>
      <c r="K163" s="25" t="str">
        <f t="shared" si="26"/>
        <v/>
      </c>
      <c r="L163" s="25" t="str">
        <f t="shared" si="27"/>
        <v/>
      </c>
      <c r="M163" s="26" t="s">
        <v>51</v>
      </c>
      <c r="N163" s="26" t="s">
        <v>199</v>
      </c>
      <c r="O163" s="25"/>
    </row>
    <row r="164" ht="15.75" customHeight="1">
      <c r="A164" s="25" t="str">
        <f>IFERROR(__xludf.DUMMYFUNCTION("IF(B164="""","""",RIGHT(REGEXREPLACE(B164&amp;"""",""[^0-9]"",""""),9))"),"767503436")</f>
        <v>767503436</v>
      </c>
      <c r="B164" s="26">
        <v>7.67503436E8</v>
      </c>
      <c r="C164" s="28" t="s">
        <v>270</v>
      </c>
      <c r="D164" s="26" t="s">
        <v>37</v>
      </c>
      <c r="E164" s="31">
        <v>46226.0</v>
      </c>
      <c r="F164" s="26" t="s">
        <v>125</v>
      </c>
      <c r="I164" s="26" t="s">
        <v>42</v>
      </c>
      <c r="J164" s="25" t="str">
        <f t="shared" si="25"/>
        <v>No</v>
      </c>
      <c r="K164" s="25" t="str">
        <f t="shared" si="26"/>
        <v/>
      </c>
      <c r="L164" s="25" t="str">
        <f t="shared" si="27"/>
        <v/>
      </c>
      <c r="M164" s="25"/>
      <c r="O164" s="25"/>
    </row>
    <row r="165" ht="15.75" customHeight="1">
      <c r="A165" s="25" t="str">
        <f>IFERROR(__xludf.DUMMYFUNCTION("IF(B165="""","""",RIGHT(REGEXREPLACE(B165&amp;"""",""[^0-9]"",""""),9))"),"764575543")</f>
        <v>764575543</v>
      </c>
      <c r="B165" s="26">
        <v>7.64575543E8</v>
      </c>
      <c r="C165" s="28" t="s">
        <v>271</v>
      </c>
      <c r="D165" s="26" t="s">
        <v>37</v>
      </c>
      <c r="E165" s="31">
        <v>46226.0</v>
      </c>
      <c r="F165" s="26" t="s">
        <v>46</v>
      </c>
      <c r="G165" s="26">
        <v>7.0</v>
      </c>
      <c r="I165" s="26" t="s">
        <v>42</v>
      </c>
      <c r="J165" s="25" t="str">
        <f t="shared" si="25"/>
        <v>No</v>
      </c>
      <c r="K165" s="25" t="str">
        <f t="shared" si="26"/>
        <v/>
      </c>
      <c r="L165" s="25" t="str">
        <f t="shared" si="27"/>
        <v/>
      </c>
      <c r="M165" s="25"/>
      <c r="O165" s="25"/>
    </row>
    <row r="166" ht="15.75" customHeight="1">
      <c r="A166" s="25" t="str">
        <f>IFERROR(__xludf.DUMMYFUNCTION("IF(B166="""","""",RIGHT(REGEXREPLACE(B166&amp;"""",""[^0-9]"",""""),9))"),"762396757")</f>
        <v>762396757</v>
      </c>
      <c r="B166" s="52">
        <v>7.62396757E8</v>
      </c>
      <c r="C166" s="28" t="s">
        <v>272</v>
      </c>
      <c r="D166" s="26" t="s">
        <v>45</v>
      </c>
      <c r="E166" s="31">
        <v>46226.0</v>
      </c>
      <c r="F166" s="26" t="s">
        <v>84</v>
      </c>
      <c r="I166" s="26" t="s">
        <v>42</v>
      </c>
      <c r="J166" s="25" t="str">
        <f t="shared" si="25"/>
        <v>No</v>
      </c>
      <c r="K166" s="25" t="str">
        <f t="shared" si="26"/>
        <v/>
      </c>
      <c r="L166" s="25" t="str">
        <f t="shared" si="27"/>
        <v/>
      </c>
      <c r="M166" s="25"/>
      <c r="O166" s="25"/>
    </row>
    <row r="167" ht="15.75" customHeight="1">
      <c r="A167" s="25" t="str">
        <f>IFERROR(__xludf.DUMMYFUNCTION("IF(B167="""","""",RIGHT(REGEXREPLACE(B167&amp;"""",""[^0-9]"",""""),9))"),"771148779")</f>
        <v>771148779</v>
      </c>
      <c r="B167" s="52">
        <v>7.71148779E8</v>
      </c>
      <c r="C167" s="28" t="s">
        <v>273</v>
      </c>
      <c r="D167" s="26" t="s">
        <v>56</v>
      </c>
      <c r="E167" s="31">
        <v>46226.0</v>
      </c>
      <c r="F167" s="26" t="s">
        <v>46</v>
      </c>
      <c r="G167" s="26">
        <v>9.0</v>
      </c>
      <c r="I167" s="26" t="s">
        <v>42</v>
      </c>
      <c r="J167" s="25" t="str">
        <f t="shared" si="25"/>
        <v>No</v>
      </c>
      <c r="K167" s="25" t="str">
        <f t="shared" si="26"/>
        <v/>
      </c>
      <c r="L167" s="25" t="str">
        <f t="shared" si="27"/>
        <v/>
      </c>
      <c r="M167" s="26" t="s">
        <v>51</v>
      </c>
      <c r="N167" s="26" t="s">
        <v>274</v>
      </c>
      <c r="O167" s="25"/>
    </row>
    <row r="168" ht="15.75" customHeight="1">
      <c r="A168" s="25" t="str">
        <f>IFERROR(__xludf.DUMMYFUNCTION("IF(B168="""","""",RIGHT(REGEXREPLACE(B168&amp;"""",""[^0-9]"",""""),9))"),"777572552")</f>
        <v>777572552</v>
      </c>
      <c r="B168" s="52">
        <v>7.77572552E8</v>
      </c>
      <c r="C168" s="28" t="s">
        <v>275</v>
      </c>
      <c r="D168" s="26" t="s">
        <v>82</v>
      </c>
      <c r="E168" s="31">
        <v>46226.0</v>
      </c>
      <c r="F168" s="26" t="s">
        <v>125</v>
      </c>
      <c r="G168" s="26">
        <v>11.0</v>
      </c>
      <c r="I168" s="26" t="s">
        <v>42</v>
      </c>
      <c r="J168" s="25" t="str">
        <f t="shared" si="25"/>
        <v>No</v>
      </c>
      <c r="K168" s="25" t="str">
        <f t="shared" si="26"/>
        <v/>
      </c>
      <c r="L168" s="25" t="str">
        <f t="shared" si="27"/>
        <v/>
      </c>
      <c r="M168" s="26" t="s">
        <v>51</v>
      </c>
      <c r="N168" s="26" t="s">
        <v>276</v>
      </c>
      <c r="O168" s="25"/>
    </row>
    <row r="169" ht="15.75" customHeight="1">
      <c r="A169" s="25" t="str">
        <f>IFERROR(__xludf.DUMMYFUNCTION("IF(B169="""","""",RIGHT(REGEXREPLACE(B169&amp;"""",""[^0-9]"",""""),9))"),"715511820")</f>
        <v>715511820</v>
      </c>
      <c r="B169" s="52">
        <v>7.1551182E8</v>
      </c>
      <c r="C169" s="28" t="s">
        <v>277</v>
      </c>
      <c r="D169" s="26" t="s">
        <v>49</v>
      </c>
      <c r="E169" s="31">
        <v>46226.0</v>
      </c>
      <c r="F169" s="26" t="s">
        <v>41</v>
      </c>
      <c r="I169" s="26" t="s">
        <v>42</v>
      </c>
      <c r="J169" s="25" t="str">
        <f t="shared" si="25"/>
        <v>No</v>
      </c>
      <c r="K169" s="25" t="str">
        <f t="shared" si="26"/>
        <v/>
      </c>
      <c r="L169" s="25" t="str">
        <f t="shared" si="27"/>
        <v/>
      </c>
      <c r="M169" s="26" t="s">
        <v>51</v>
      </c>
      <c r="N169" s="26" t="s">
        <v>278</v>
      </c>
      <c r="O169" s="25"/>
    </row>
    <row r="170" ht="15.75" customHeight="1">
      <c r="A170" s="25" t="str">
        <f>IFERROR(__xludf.DUMMYFUNCTION("IF(B170="""","""",RIGHT(REGEXREPLACE(B170&amp;"""",""[^0-9]"",""""),9))"),"774415086")</f>
        <v>774415086</v>
      </c>
      <c r="B170" s="52">
        <v>7.74415086E8</v>
      </c>
      <c r="C170" s="28" t="s">
        <v>279</v>
      </c>
      <c r="D170" s="26" t="s">
        <v>45</v>
      </c>
      <c r="E170" s="31">
        <v>46226.0</v>
      </c>
      <c r="F170" s="26" t="s">
        <v>41</v>
      </c>
      <c r="G170" s="26">
        <v>11.0</v>
      </c>
      <c r="I170" s="26" t="s">
        <v>42</v>
      </c>
      <c r="J170" s="25" t="str">
        <f t="shared" si="25"/>
        <v>No</v>
      </c>
      <c r="K170" s="25" t="str">
        <f t="shared" si="26"/>
        <v/>
      </c>
      <c r="L170" s="25" t="str">
        <f t="shared" si="27"/>
        <v/>
      </c>
      <c r="M170" s="26" t="s">
        <v>51</v>
      </c>
      <c r="N170" s="26" t="s">
        <v>280</v>
      </c>
      <c r="O170" s="25"/>
    </row>
    <row r="171" ht="15.75" customHeight="1">
      <c r="A171" s="25" t="str">
        <f>IFERROR(__xludf.DUMMYFUNCTION("IF(B171="""","""",RIGHT(REGEXREPLACE(B171&amp;"""",""[^0-9]"",""""),9))"),"715837393")</f>
        <v>715837393</v>
      </c>
      <c r="B171" s="52">
        <v>7.15837393E8</v>
      </c>
      <c r="C171" s="28" t="s">
        <v>281</v>
      </c>
      <c r="D171" s="26" t="s">
        <v>45</v>
      </c>
      <c r="E171" s="31">
        <v>46226.0</v>
      </c>
      <c r="F171" s="26" t="s">
        <v>46</v>
      </c>
      <c r="G171" s="26">
        <v>11.0</v>
      </c>
      <c r="I171" s="26" t="s">
        <v>42</v>
      </c>
      <c r="J171" s="25" t="str">
        <f t="shared" si="25"/>
        <v>No</v>
      </c>
      <c r="K171" s="25" t="str">
        <f t="shared" si="26"/>
        <v/>
      </c>
      <c r="L171" s="25" t="str">
        <f t="shared" si="27"/>
        <v/>
      </c>
      <c r="M171" s="26" t="s">
        <v>43</v>
      </c>
      <c r="N171" s="26" t="s">
        <v>47</v>
      </c>
      <c r="O171" s="25"/>
    </row>
    <row r="172" ht="15.75" customHeight="1">
      <c r="A172" s="25" t="str">
        <f>IFERROR(__xludf.DUMMYFUNCTION("IF(B172="""","""",RIGHT(REGEXREPLACE(B172&amp;"""",""[^0-9]"",""""),9))"),"781862376")</f>
        <v>781862376</v>
      </c>
      <c r="B172" s="26">
        <v>7.81862376E8</v>
      </c>
      <c r="C172" s="28" t="s">
        <v>282</v>
      </c>
      <c r="D172" s="26" t="s">
        <v>37</v>
      </c>
      <c r="E172" s="31">
        <v>46226.0</v>
      </c>
      <c r="F172" s="26" t="s">
        <v>205</v>
      </c>
      <c r="I172" s="26" t="s">
        <v>42</v>
      </c>
      <c r="J172" s="25" t="str">
        <f t="shared" si="25"/>
        <v>No</v>
      </c>
      <c r="K172" s="25" t="str">
        <f t="shared" si="26"/>
        <v/>
      </c>
      <c r="L172" s="25" t="str">
        <f t="shared" si="27"/>
        <v/>
      </c>
      <c r="M172" s="25"/>
      <c r="O172" s="25"/>
    </row>
    <row r="173" ht="15.75" customHeight="1">
      <c r="A173" s="25" t="str">
        <f>IFERROR(__xludf.DUMMYFUNCTION("IF(B173="""","""",RIGHT(REGEXREPLACE(B173&amp;"""",""[^0-9]"",""""),9))"),"761261484")</f>
        <v>761261484</v>
      </c>
      <c r="B173" s="52">
        <v>7.61261484E8</v>
      </c>
      <c r="C173" s="28" t="s">
        <v>283</v>
      </c>
      <c r="D173" s="26" t="s">
        <v>82</v>
      </c>
      <c r="E173" s="31">
        <v>46226.0</v>
      </c>
      <c r="F173" s="26" t="s">
        <v>205</v>
      </c>
      <c r="I173" s="26" t="s">
        <v>42</v>
      </c>
      <c r="J173" s="25" t="str">
        <f t="shared" si="25"/>
        <v>No</v>
      </c>
      <c r="K173" s="25" t="str">
        <f t="shared" si="26"/>
        <v/>
      </c>
      <c r="L173" s="25" t="str">
        <f t="shared" si="27"/>
        <v/>
      </c>
      <c r="M173" s="26" t="s">
        <v>43</v>
      </c>
      <c r="N173" s="26" t="s">
        <v>284</v>
      </c>
      <c r="O173" s="25"/>
    </row>
    <row r="174" ht="15.75" customHeight="1">
      <c r="A174" s="25" t="str">
        <f>IFERROR(__xludf.DUMMYFUNCTION("IF(B174="""","""",RIGHT(REGEXREPLACE(B174&amp;"""",""[^0-9]"",""""),9))"),"717270425")</f>
        <v>717270425</v>
      </c>
      <c r="B174" s="52">
        <v>7.17270425E8</v>
      </c>
      <c r="C174" s="28" t="s">
        <v>285</v>
      </c>
      <c r="D174" s="26" t="s">
        <v>56</v>
      </c>
      <c r="E174" s="31">
        <v>46226.0</v>
      </c>
      <c r="F174" s="26" t="s">
        <v>46</v>
      </c>
      <c r="G174" s="26">
        <v>11.0</v>
      </c>
      <c r="I174" s="26" t="s">
        <v>42</v>
      </c>
      <c r="J174" s="25" t="str">
        <f t="shared" si="25"/>
        <v>No</v>
      </c>
      <c r="K174" s="25" t="str">
        <f t="shared" si="26"/>
        <v/>
      </c>
      <c r="L174" s="25" t="str">
        <f t="shared" si="27"/>
        <v/>
      </c>
      <c r="M174" s="26" t="s">
        <v>51</v>
      </c>
      <c r="N174" s="26" t="s">
        <v>286</v>
      </c>
      <c r="O174" s="25"/>
    </row>
    <row r="175" ht="15.75" customHeight="1">
      <c r="A175" s="25" t="str">
        <f>IFERROR(__xludf.DUMMYFUNCTION("IF(B175="""","""",RIGHT(REGEXREPLACE(B175&amp;"""",""[^0-9]"",""""),9))"),"762003575")</f>
        <v>762003575</v>
      </c>
      <c r="B175" s="26">
        <v>7.62003575E8</v>
      </c>
      <c r="C175" s="28" t="s">
        <v>287</v>
      </c>
      <c r="D175" s="26" t="s">
        <v>37</v>
      </c>
      <c r="E175" s="31">
        <v>46226.0</v>
      </c>
      <c r="F175" s="26" t="s">
        <v>205</v>
      </c>
      <c r="I175" s="26" t="s">
        <v>42</v>
      </c>
      <c r="J175" s="25" t="str">
        <f t="shared" si="25"/>
        <v>No</v>
      </c>
      <c r="K175" s="25" t="str">
        <f t="shared" si="26"/>
        <v/>
      </c>
      <c r="L175" s="25" t="str">
        <f t="shared" si="27"/>
        <v/>
      </c>
      <c r="M175" s="25"/>
      <c r="O175" s="25"/>
    </row>
    <row r="176" ht="15.75" customHeight="1">
      <c r="A176" s="25" t="str">
        <f>IFERROR(__xludf.DUMMYFUNCTION("IF(B176="""","""",RIGHT(REGEXREPLACE(B176&amp;"""",""[^0-9]"",""""),9))"),"764155893")</f>
        <v>764155893</v>
      </c>
      <c r="B176" s="52">
        <v>7.64155893E8</v>
      </c>
      <c r="C176" s="28" t="s">
        <v>288</v>
      </c>
      <c r="D176" s="26" t="s">
        <v>49</v>
      </c>
      <c r="E176" s="31">
        <v>46226.0</v>
      </c>
      <c r="F176" s="26" t="s">
        <v>46</v>
      </c>
      <c r="G176" s="26">
        <v>11.0</v>
      </c>
      <c r="I176" s="26" t="s">
        <v>42</v>
      </c>
      <c r="J176" s="25" t="str">
        <f t="shared" si="25"/>
        <v>No</v>
      </c>
      <c r="K176" s="25" t="str">
        <f t="shared" si="26"/>
        <v/>
      </c>
      <c r="L176" s="25" t="str">
        <f t="shared" si="27"/>
        <v/>
      </c>
      <c r="M176" s="26" t="s">
        <v>51</v>
      </c>
      <c r="N176" s="26" t="s">
        <v>289</v>
      </c>
      <c r="O176" s="25"/>
    </row>
    <row r="177" ht="15.75" customHeight="1">
      <c r="A177" s="25" t="str">
        <f>IFERROR(__xludf.DUMMYFUNCTION("IF(B177="""","""",RIGHT(REGEXREPLACE(B177&amp;"""",""[^0-9]"",""""),9))"),"711607344")</f>
        <v>711607344</v>
      </c>
      <c r="B177" s="52">
        <v>7.11607344E8</v>
      </c>
      <c r="C177" s="28" t="s">
        <v>290</v>
      </c>
      <c r="D177" s="26" t="s">
        <v>45</v>
      </c>
      <c r="E177" s="31">
        <v>46226.0</v>
      </c>
      <c r="F177" s="26" t="s">
        <v>46</v>
      </c>
      <c r="G177" s="26">
        <v>11.0</v>
      </c>
      <c r="I177" s="26" t="s">
        <v>42</v>
      </c>
      <c r="J177" s="25" t="str">
        <f t="shared" si="25"/>
        <v>No</v>
      </c>
      <c r="K177" s="25" t="str">
        <f t="shared" si="26"/>
        <v/>
      </c>
      <c r="L177" s="25" t="str">
        <f t="shared" si="27"/>
        <v/>
      </c>
      <c r="M177" s="26" t="s">
        <v>51</v>
      </c>
      <c r="N177" s="26" t="s">
        <v>291</v>
      </c>
      <c r="O177" s="25"/>
    </row>
    <row r="178" ht="15.75" customHeight="1">
      <c r="A178" s="25" t="str">
        <f>IFERROR(__xludf.DUMMYFUNCTION("IF(B178="""","""",RIGHT(REGEXREPLACE(B178&amp;"""",""[^0-9]"",""""),9))"),"763533015")</f>
        <v>763533015</v>
      </c>
      <c r="B178" s="52">
        <v>7.63533015E8</v>
      </c>
      <c r="C178" s="28" t="s">
        <v>292</v>
      </c>
      <c r="D178" s="26" t="s">
        <v>82</v>
      </c>
      <c r="E178" s="31">
        <v>46226.0</v>
      </c>
      <c r="F178" s="26" t="s">
        <v>41</v>
      </c>
      <c r="I178" s="26" t="s">
        <v>42</v>
      </c>
      <c r="J178" s="25" t="str">
        <f t="shared" si="25"/>
        <v>No</v>
      </c>
      <c r="K178" s="25" t="str">
        <f t="shared" si="26"/>
        <v/>
      </c>
      <c r="L178" s="25" t="str">
        <f t="shared" si="27"/>
        <v/>
      </c>
      <c r="M178" s="26" t="s">
        <v>43</v>
      </c>
      <c r="N178" s="26" t="s">
        <v>61</v>
      </c>
      <c r="O178" s="25"/>
    </row>
    <row r="179" ht="15.75" customHeight="1">
      <c r="A179" s="25" t="str">
        <f>IFERROR(__xludf.DUMMYFUNCTION("IF(B179="""","""",RIGHT(REGEXREPLACE(B179&amp;"""",""[^0-9]"",""""),9))"),"718641850")</f>
        <v>718641850</v>
      </c>
      <c r="B179" s="52">
        <v>7.1864185E8</v>
      </c>
      <c r="C179" s="28" t="s">
        <v>293</v>
      </c>
      <c r="D179" s="26" t="s">
        <v>56</v>
      </c>
      <c r="E179" s="31">
        <v>46226.0</v>
      </c>
      <c r="F179" s="26" t="s">
        <v>46</v>
      </c>
      <c r="G179" s="26">
        <v>11.0</v>
      </c>
      <c r="I179" s="26" t="s">
        <v>42</v>
      </c>
      <c r="J179" s="25" t="str">
        <f t="shared" si="25"/>
        <v>No</v>
      </c>
      <c r="K179" s="25" t="str">
        <f t="shared" si="26"/>
        <v/>
      </c>
      <c r="L179" s="25" t="str">
        <f t="shared" si="27"/>
        <v/>
      </c>
      <c r="M179" s="26" t="s">
        <v>51</v>
      </c>
      <c r="N179" s="26" t="s">
        <v>274</v>
      </c>
      <c r="O179" s="25"/>
    </row>
    <row r="180" ht="15.75" customHeight="1">
      <c r="A180" s="25" t="str">
        <f>IFERROR(__xludf.DUMMYFUNCTION("IF(B180="""","""",RIGHT(REGEXREPLACE(B180&amp;"""",""[^0-9]"",""""),9))"),"711432353")</f>
        <v>711432353</v>
      </c>
      <c r="B180" s="52">
        <v>7.11432353E8</v>
      </c>
      <c r="C180" s="28" t="s">
        <v>294</v>
      </c>
      <c r="D180" s="26" t="s">
        <v>45</v>
      </c>
      <c r="E180" s="31">
        <v>46226.0</v>
      </c>
      <c r="F180" s="26" t="s">
        <v>41</v>
      </c>
      <c r="I180" s="26" t="s">
        <v>42</v>
      </c>
      <c r="J180" s="26" t="str">
        <f t="shared" si="25"/>
        <v>No</v>
      </c>
      <c r="K180" s="25" t="str">
        <f t="shared" si="26"/>
        <v/>
      </c>
      <c r="L180" s="25" t="str">
        <f t="shared" si="27"/>
        <v/>
      </c>
      <c r="M180" s="26" t="s">
        <v>43</v>
      </c>
      <c r="N180" s="26" t="s">
        <v>61</v>
      </c>
      <c r="O180" s="25"/>
    </row>
    <row r="181" ht="15.75" customHeight="1">
      <c r="A181" s="25" t="str">
        <f>IFERROR(__xludf.DUMMYFUNCTION("IF(B181="""","""",RIGHT(REGEXREPLACE(B181&amp;"""",""[^0-9]"",""""),9))"),"712519240")</f>
        <v>712519240</v>
      </c>
      <c r="B181" s="52">
        <v>7.1251924E8</v>
      </c>
      <c r="C181" s="28" t="s">
        <v>295</v>
      </c>
      <c r="D181" s="26" t="s">
        <v>82</v>
      </c>
      <c r="E181" s="31">
        <v>46226.0</v>
      </c>
      <c r="F181" s="26" t="s">
        <v>41</v>
      </c>
      <c r="G181" s="26">
        <v>11.0</v>
      </c>
      <c r="I181" s="26" t="s">
        <v>42</v>
      </c>
      <c r="J181" s="25" t="str">
        <f t="shared" si="25"/>
        <v>No</v>
      </c>
      <c r="K181" s="25" t="str">
        <f t="shared" si="26"/>
        <v/>
      </c>
      <c r="L181" s="25" t="str">
        <f t="shared" si="27"/>
        <v/>
      </c>
      <c r="M181" s="26" t="s">
        <v>51</v>
      </c>
      <c r="N181" s="26" t="s">
        <v>296</v>
      </c>
      <c r="O181" s="25"/>
    </row>
    <row r="182" ht="15.75" customHeight="1">
      <c r="A182" s="25" t="str">
        <f>IFERROR(__xludf.DUMMYFUNCTION("IF(B182="""","""",RIGHT(REGEXREPLACE(B182&amp;"""",""[^0-9]"",""""),9))"),"741082212")</f>
        <v>741082212</v>
      </c>
      <c r="B182" s="52">
        <v>7.41082212E8</v>
      </c>
      <c r="C182" s="28" t="s">
        <v>297</v>
      </c>
      <c r="D182" s="26" t="s">
        <v>49</v>
      </c>
      <c r="E182" s="31">
        <v>46226.0</v>
      </c>
      <c r="F182" s="26" t="s">
        <v>205</v>
      </c>
      <c r="I182" s="26" t="s">
        <v>42</v>
      </c>
      <c r="J182" s="25" t="str">
        <f t="shared" si="25"/>
        <v>No</v>
      </c>
      <c r="K182" s="25" t="str">
        <f t="shared" si="26"/>
        <v/>
      </c>
      <c r="L182" s="25" t="str">
        <f t="shared" si="27"/>
        <v/>
      </c>
      <c r="M182" s="26" t="s">
        <v>43</v>
      </c>
      <c r="N182" s="26" t="s">
        <v>298</v>
      </c>
      <c r="O182" s="25"/>
    </row>
    <row r="183" ht="15.75" customHeight="1">
      <c r="A183" s="25" t="str">
        <f>IFERROR(__xludf.DUMMYFUNCTION("IF(B183="""","""",RIGHT(REGEXREPLACE(B183&amp;"""",""[^0-9]"",""""),9))"),"760232501")</f>
        <v>760232501</v>
      </c>
      <c r="B183" s="52">
        <v>7.60232501E8</v>
      </c>
      <c r="C183" s="28" t="s">
        <v>299</v>
      </c>
      <c r="D183" s="26" t="s">
        <v>56</v>
      </c>
      <c r="E183" s="31">
        <v>46226.0</v>
      </c>
      <c r="F183" s="26" t="s">
        <v>46</v>
      </c>
      <c r="G183" s="26">
        <v>11.0</v>
      </c>
      <c r="I183" s="26" t="s">
        <v>42</v>
      </c>
      <c r="J183" s="25" t="str">
        <f t="shared" si="25"/>
        <v>No</v>
      </c>
      <c r="K183" s="25" t="str">
        <f t="shared" si="26"/>
        <v/>
      </c>
      <c r="L183" s="25" t="str">
        <f t="shared" si="27"/>
        <v/>
      </c>
      <c r="M183" s="26" t="s">
        <v>43</v>
      </c>
      <c r="N183" s="26" t="s">
        <v>47</v>
      </c>
      <c r="O183" s="25"/>
    </row>
    <row r="184" ht="15.75" customHeight="1">
      <c r="A184" s="25" t="str">
        <f>IFERROR(__xludf.DUMMYFUNCTION("IF(B184="""","""",RIGHT(REGEXREPLACE(B184&amp;"""",""[^0-9]"",""""),9))"),"771976831")</f>
        <v>771976831</v>
      </c>
      <c r="B184" s="52">
        <v>7.71976831E8</v>
      </c>
      <c r="C184" s="28" t="s">
        <v>300</v>
      </c>
      <c r="D184" s="26" t="s">
        <v>49</v>
      </c>
      <c r="E184" s="31">
        <v>46226.0</v>
      </c>
      <c r="F184" s="26" t="s">
        <v>41</v>
      </c>
      <c r="I184" s="26" t="s">
        <v>42</v>
      </c>
      <c r="J184" s="25" t="str">
        <f t="shared" si="25"/>
        <v>No</v>
      </c>
      <c r="K184" s="25" t="str">
        <f t="shared" si="26"/>
        <v/>
      </c>
      <c r="L184" s="25" t="str">
        <f t="shared" si="27"/>
        <v/>
      </c>
      <c r="M184" s="26" t="s">
        <v>51</v>
      </c>
      <c r="N184" s="26" t="s">
        <v>301</v>
      </c>
      <c r="O184" s="25"/>
    </row>
    <row r="185" ht="15.75" customHeight="1">
      <c r="A185" s="25" t="str">
        <f>IFERROR(__xludf.DUMMYFUNCTION("IF(B185="""","""",RIGHT(REGEXREPLACE(B185&amp;"""",""[^0-9]"",""""),9))"),"703286575")</f>
        <v>703286575</v>
      </c>
      <c r="B185" s="52">
        <v>7.03286575E8</v>
      </c>
      <c r="C185" s="28" t="s">
        <v>302</v>
      </c>
      <c r="D185" s="26" t="s">
        <v>45</v>
      </c>
      <c r="E185" s="31">
        <v>46226.0</v>
      </c>
      <c r="F185" s="26" t="s">
        <v>205</v>
      </c>
      <c r="G185" s="26">
        <v>10.0</v>
      </c>
      <c r="I185" s="26" t="s">
        <v>42</v>
      </c>
      <c r="J185" s="25" t="str">
        <f t="shared" si="25"/>
        <v>No</v>
      </c>
      <c r="K185" s="25" t="str">
        <f t="shared" si="26"/>
        <v/>
      </c>
      <c r="L185" s="25" t="str">
        <f t="shared" si="27"/>
        <v/>
      </c>
      <c r="M185" s="26" t="s">
        <v>43</v>
      </c>
      <c r="N185" s="26" t="s">
        <v>61</v>
      </c>
      <c r="O185" s="25"/>
    </row>
    <row r="186" ht="15.75" customHeight="1">
      <c r="A186" s="25" t="str">
        <f>IFERROR(__xludf.DUMMYFUNCTION("IF(B186="""","""",RIGHT(REGEXREPLACE(B186&amp;"""",""[^0-9]"",""""),9))"),"740416255")</f>
        <v>740416255</v>
      </c>
      <c r="B186" s="52">
        <v>7.40416255E8</v>
      </c>
      <c r="C186" s="28" t="s">
        <v>303</v>
      </c>
      <c r="D186" s="26" t="s">
        <v>49</v>
      </c>
      <c r="E186" s="31">
        <v>46226.0</v>
      </c>
      <c r="F186" s="26" t="s">
        <v>41</v>
      </c>
      <c r="G186" s="26">
        <v>9.0</v>
      </c>
      <c r="I186" s="26" t="s">
        <v>42</v>
      </c>
      <c r="J186" s="25" t="str">
        <f t="shared" si="25"/>
        <v>No</v>
      </c>
      <c r="K186" s="25" t="str">
        <f t="shared" si="26"/>
        <v/>
      </c>
      <c r="L186" s="25" t="str">
        <f t="shared" si="27"/>
        <v/>
      </c>
      <c r="M186" s="26" t="s">
        <v>43</v>
      </c>
      <c r="N186" s="26" t="s">
        <v>47</v>
      </c>
      <c r="O186" s="25"/>
    </row>
    <row r="187" ht="15.75" customHeight="1">
      <c r="A187" s="25" t="str">
        <f>IFERROR(__xludf.DUMMYFUNCTION("IF(B187="""","""",RIGHT(REGEXREPLACE(B187&amp;"""",""[^0-9]"",""""),9))"),"771626501")</f>
        <v>771626501</v>
      </c>
      <c r="B187" s="52">
        <v>7.71626501E8</v>
      </c>
      <c r="C187" s="28" t="s">
        <v>304</v>
      </c>
      <c r="D187" s="26" t="s">
        <v>82</v>
      </c>
      <c r="E187" s="31">
        <v>46226.0</v>
      </c>
      <c r="F187" s="26" t="s">
        <v>46</v>
      </c>
      <c r="G187" s="26">
        <v>11.0</v>
      </c>
      <c r="I187" s="26" t="s">
        <v>42</v>
      </c>
      <c r="J187" s="25" t="str">
        <f t="shared" si="25"/>
        <v>No</v>
      </c>
      <c r="K187" s="25" t="str">
        <f t="shared" si="26"/>
        <v/>
      </c>
      <c r="L187" s="25" t="str">
        <f t="shared" si="27"/>
        <v/>
      </c>
      <c r="M187" s="26" t="s">
        <v>51</v>
      </c>
      <c r="N187" s="26" t="s">
        <v>305</v>
      </c>
      <c r="O187" s="25"/>
    </row>
    <row r="188" ht="15.75" customHeight="1">
      <c r="A188" s="25" t="str">
        <f>IFERROR(__xludf.DUMMYFUNCTION("IF(B188="""","""",RIGHT(REGEXREPLACE(B188&amp;"""",""[^0-9]"",""""),9))"),"719393550")</f>
        <v>719393550</v>
      </c>
      <c r="B188" s="52">
        <v>7.1939355E8</v>
      </c>
      <c r="C188" s="28" t="s">
        <v>306</v>
      </c>
      <c r="D188" s="26" t="s">
        <v>45</v>
      </c>
      <c r="E188" s="31">
        <v>46226.0</v>
      </c>
      <c r="F188" s="26" t="s">
        <v>46</v>
      </c>
      <c r="G188" s="26">
        <v>11.0</v>
      </c>
      <c r="I188" s="26" t="s">
        <v>42</v>
      </c>
      <c r="J188" s="25" t="str">
        <f t="shared" si="25"/>
        <v>No</v>
      </c>
      <c r="K188" s="25" t="str">
        <f t="shared" si="26"/>
        <v/>
      </c>
      <c r="L188" s="25" t="str">
        <f t="shared" si="27"/>
        <v/>
      </c>
      <c r="M188" s="26" t="s">
        <v>43</v>
      </c>
      <c r="N188" s="26" t="s">
        <v>61</v>
      </c>
      <c r="O188" s="25"/>
    </row>
    <row r="189" ht="15.75" customHeight="1">
      <c r="A189" s="25" t="str">
        <f>IFERROR(__xludf.DUMMYFUNCTION("IF(B189="""","""",RIGHT(REGEXREPLACE(B189&amp;"""",""[^0-9]"",""""),9))"),"719720930")</f>
        <v>719720930</v>
      </c>
      <c r="B189" s="52">
        <v>7.1972093E8</v>
      </c>
      <c r="C189" s="28" t="s">
        <v>307</v>
      </c>
      <c r="D189" s="26" t="s">
        <v>45</v>
      </c>
      <c r="E189" s="31">
        <v>46226.0</v>
      </c>
      <c r="F189" s="26" t="s">
        <v>46</v>
      </c>
      <c r="G189" s="26">
        <v>11.0</v>
      </c>
      <c r="I189" s="26" t="s">
        <v>42</v>
      </c>
      <c r="J189" s="25" t="str">
        <f t="shared" si="25"/>
        <v>No</v>
      </c>
      <c r="K189" s="25" t="str">
        <f t="shared" si="26"/>
        <v/>
      </c>
      <c r="L189" s="25" t="str">
        <f t="shared" si="27"/>
        <v/>
      </c>
      <c r="M189" s="26" t="s">
        <v>43</v>
      </c>
      <c r="N189" s="26" t="s">
        <v>61</v>
      </c>
      <c r="O189" s="25"/>
    </row>
    <row r="190" ht="15.75" customHeight="1">
      <c r="A190" s="25" t="str">
        <f>IFERROR(__xludf.DUMMYFUNCTION("IF(B190="""","""",RIGHT(REGEXREPLACE(B190&amp;"""",""[^0-9]"",""""),9))"),"719244123")</f>
        <v>719244123</v>
      </c>
      <c r="B190" s="52">
        <v>7.19244123E8</v>
      </c>
      <c r="C190" s="28" t="s">
        <v>308</v>
      </c>
      <c r="D190" s="26" t="s">
        <v>56</v>
      </c>
      <c r="E190" s="31">
        <v>46226.0</v>
      </c>
      <c r="F190" s="26" t="s">
        <v>41</v>
      </c>
      <c r="I190" s="26" t="s">
        <v>42</v>
      </c>
      <c r="J190" s="25" t="str">
        <f t="shared" si="25"/>
        <v>No</v>
      </c>
      <c r="K190" s="25" t="str">
        <f t="shared" si="26"/>
        <v/>
      </c>
      <c r="L190" s="25" t="str">
        <f t="shared" si="27"/>
        <v/>
      </c>
      <c r="M190" s="26" t="s">
        <v>51</v>
      </c>
      <c r="N190" s="26" t="s">
        <v>309</v>
      </c>
      <c r="O190" s="25"/>
    </row>
    <row r="191" ht="15.75" customHeight="1">
      <c r="A191" s="25" t="str">
        <f>IFERROR(__xludf.DUMMYFUNCTION("IF(B191="""","""",RIGHT(REGEXREPLACE(B191&amp;"""",""[^0-9]"",""""),9))"),"759736155")</f>
        <v>759736155</v>
      </c>
      <c r="B191" s="52">
        <v>7.59736155E8</v>
      </c>
      <c r="C191" s="28" t="s">
        <v>310</v>
      </c>
      <c r="D191" s="26" t="s">
        <v>82</v>
      </c>
      <c r="E191" s="31">
        <v>46226.0</v>
      </c>
      <c r="F191" s="26" t="s">
        <v>41</v>
      </c>
      <c r="G191" s="26">
        <v>11.0</v>
      </c>
      <c r="I191" s="26" t="s">
        <v>42</v>
      </c>
      <c r="J191" s="25" t="str">
        <f t="shared" si="25"/>
        <v>No</v>
      </c>
      <c r="K191" s="25" t="str">
        <f t="shared" si="26"/>
        <v/>
      </c>
      <c r="L191" s="25" t="str">
        <f t="shared" si="27"/>
        <v/>
      </c>
      <c r="M191" s="26" t="s">
        <v>43</v>
      </c>
      <c r="N191" s="26" t="s">
        <v>47</v>
      </c>
      <c r="O191" s="25"/>
    </row>
    <row r="192" ht="15.75" customHeight="1">
      <c r="A192" s="25" t="str">
        <f>IFERROR(__xludf.DUMMYFUNCTION("IF(B192="""","""",RIGHT(REGEXREPLACE(B192&amp;"""",""[^0-9]"",""""),9))"),"785065192")</f>
        <v>785065192</v>
      </c>
      <c r="B192" s="52">
        <v>7.85065192E8</v>
      </c>
      <c r="C192" s="28" t="s">
        <v>311</v>
      </c>
      <c r="D192" s="26" t="s">
        <v>56</v>
      </c>
      <c r="E192" s="31">
        <v>46226.0</v>
      </c>
      <c r="F192" s="26" t="s">
        <v>41</v>
      </c>
      <c r="I192" s="26" t="s">
        <v>42</v>
      </c>
      <c r="J192" s="25" t="str">
        <f t="shared" si="25"/>
        <v>No</v>
      </c>
      <c r="K192" s="25" t="str">
        <f t="shared" si="26"/>
        <v/>
      </c>
      <c r="L192" s="25" t="str">
        <f t="shared" si="27"/>
        <v/>
      </c>
      <c r="M192" s="26" t="s">
        <v>51</v>
      </c>
      <c r="N192" s="72" t="s">
        <v>312</v>
      </c>
      <c r="O192" s="25"/>
    </row>
    <row r="193" ht="15.75" customHeight="1">
      <c r="A193" s="25" t="str">
        <f>IFERROR(__xludf.DUMMYFUNCTION("IF(B193="""","""",RIGHT(REGEXREPLACE(B193&amp;"""",""[^0-9]"",""""),9))"),"704593769")</f>
        <v>704593769</v>
      </c>
      <c r="B193" s="52">
        <v>7.04593769E8</v>
      </c>
      <c r="C193" s="28" t="s">
        <v>313</v>
      </c>
      <c r="D193" s="26" t="s">
        <v>82</v>
      </c>
      <c r="E193" s="31">
        <v>46226.0</v>
      </c>
      <c r="F193" s="26" t="s">
        <v>41</v>
      </c>
      <c r="I193" s="26" t="s">
        <v>42</v>
      </c>
      <c r="J193" s="25" t="str">
        <f t="shared" si="25"/>
        <v>No</v>
      </c>
      <c r="K193" s="25" t="str">
        <f t="shared" si="26"/>
        <v/>
      </c>
      <c r="L193" s="25" t="str">
        <f t="shared" si="27"/>
        <v/>
      </c>
      <c r="M193" s="26" t="s">
        <v>43</v>
      </c>
      <c r="N193" s="26" t="s">
        <v>61</v>
      </c>
      <c r="O193" s="25"/>
    </row>
    <row r="194" ht="15.75" customHeight="1">
      <c r="A194" s="25" t="str">
        <f>IFERROR(__xludf.DUMMYFUNCTION("IF(B194="""","""",RIGHT(REGEXREPLACE(B194&amp;"""",""[^0-9]"",""""),9))"),"760300127")</f>
        <v>760300127</v>
      </c>
      <c r="B194" s="52">
        <v>7.60300127E8</v>
      </c>
      <c r="C194" s="28" t="s">
        <v>314</v>
      </c>
      <c r="D194" s="26" t="s">
        <v>56</v>
      </c>
      <c r="E194" s="31">
        <v>46226.0</v>
      </c>
      <c r="F194" s="26" t="s">
        <v>41</v>
      </c>
      <c r="G194" s="26">
        <v>11.0</v>
      </c>
      <c r="I194" s="26" t="s">
        <v>42</v>
      </c>
      <c r="J194" s="25" t="str">
        <f t="shared" si="25"/>
        <v>No</v>
      </c>
      <c r="K194" s="25" t="str">
        <f t="shared" si="26"/>
        <v/>
      </c>
      <c r="L194" s="25" t="str">
        <f t="shared" si="27"/>
        <v/>
      </c>
      <c r="M194" s="26" t="s">
        <v>51</v>
      </c>
      <c r="N194" s="26" t="s">
        <v>315</v>
      </c>
      <c r="O194" s="25"/>
    </row>
    <row r="195" ht="15.75" customHeight="1">
      <c r="A195" s="25" t="str">
        <f>IFERROR(__xludf.DUMMYFUNCTION("IF(B195="""","""",RIGHT(REGEXREPLACE(B195&amp;"""",""[^0-9]"",""""),9))"),"777421422")</f>
        <v>777421422</v>
      </c>
      <c r="B195" s="52">
        <v>7.77421422E8</v>
      </c>
      <c r="C195" s="28" t="s">
        <v>316</v>
      </c>
      <c r="D195" s="26" t="s">
        <v>45</v>
      </c>
      <c r="E195" s="31">
        <v>46226.0</v>
      </c>
      <c r="F195" s="26" t="s">
        <v>41</v>
      </c>
      <c r="G195" s="26">
        <v>10.0</v>
      </c>
      <c r="I195" s="26" t="s">
        <v>42</v>
      </c>
      <c r="J195" s="25" t="str">
        <f t="shared" si="25"/>
        <v>No</v>
      </c>
      <c r="K195" s="25" t="str">
        <f t="shared" si="26"/>
        <v/>
      </c>
      <c r="L195" s="25" t="str">
        <f t="shared" si="27"/>
        <v/>
      </c>
      <c r="M195" s="26" t="s">
        <v>43</v>
      </c>
      <c r="N195" s="26" t="s">
        <v>61</v>
      </c>
      <c r="O195" s="25"/>
    </row>
    <row r="196" ht="15.75" customHeight="1">
      <c r="A196" s="25" t="str">
        <f>IFERROR(__xludf.DUMMYFUNCTION("IF(B196="""","""",RIGHT(REGEXREPLACE(B196&amp;"""",""[^0-9]"",""""),9))"),"761648403")</f>
        <v>761648403</v>
      </c>
      <c r="B196" s="52">
        <v>7.61648403E8</v>
      </c>
      <c r="C196" s="28" t="s">
        <v>317</v>
      </c>
      <c r="D196" s="26" t="s">
        <v>49</v>
      </c>
      <c r="E196" s="31">
        <v>46226.0</v>
      </c>
      <c r="F196" s="26" t="s">
        <v>46</v>
      </c>
      <c r="G196" s="26">
        <v>11.0</v>
      </c>
      <c r="I196" s="26" t="s">
        <v>42</v>
      </c>
      <c r="J196" s="25" t="str">
        <f t="shared" si="25"/>
        <v>No</v>
      </c>
      <c r="K196" s="25" t="str">
        <f t="shared" si="26"/>
        <v/>
      </c>
      <c r="L196" s="25" t="str">
        <f t="shared" si="27"/>
        <v/>
      </c>
      <c r="M196" s="26" t="s">
        <v>43</v>
      </c>
      <c r="N196" s="26" t="s">
        <v>61</v>
      </c>
      <c r="O196" s="25"/>
    </row>
    <row r="197" ht="15.75" customHeight="1">
      <c r="A197" s="25" t="str">
        <f>IFERROR(__xludf.DUMMYFUNCTION("IF(B197="""","""",RIGHT(REGEXREPLACE(B197&amp;"""",""[^0-9]"",""""),9))"),"772228575")</f>
        <v>772228575</v>
      </c>
      <c r="B197" s="52">
        <v>7.72228575E8</v>
      </c>
      <c r="C197" s="28" t="s">
        <v>318</v>
      </c>
      <c r="D197" s="26" t="s">
        <v>45</v>
      </c>
      <c r="E197" s="31">
        <v>46226.0</v>
      </c>
      <c r="F197" s="26" t="s">
        <v>46</v>
      </c>
      <c r="G197" s="26">
        <v>11.0</v>
      </c>
      <c r="I197" s="26" t="s">
        <v>42</v>
      </c>
      <c r="J197" s="25" t="str">
        <f t="shared" si="25"/>
        <v>No</v>
      </c>
      <c r="K197" s="25" t="str">
        <f t="shared" si="26"/>
        <v/>
      </c>
      <c r="L197" s="25" t="str">
        <f t="shared" si="27"/>
        <v/>
      </c>
      <c r="M197" s="26" t="s">
        <v>51</v>
      </c>
      <c r="N197" s="26" t="s">
        <v>319</v>
      </c>
      <c r="O197" s="25"/>
    </row>
    <row r="198" ht="15.75" customHeight="1">
      <c r="A198" s="25" t="str">
        <f>IFERROR(__xludf.DUMMYFUNCTION("IF(B198="""","""",RIGHT(REGEXREPLACE(B198&amp;"""",""[^0-9]"",""""),9))"),"770739220")</f>
        <v>770739220</v>
      </c>
      <c r="B198" s="52">
        <v>7.7073922E8</v>
      </c>
      <c r="C198" s="28" t="s">
        <v>320</v>
      </c>
      <c r="D198" s="26" t="s">
        <v>82</v>
      </c>
      <c r="E198" s="31">
        <v>46226.0</v>
      </c>
      <c r="F198" s="26" t="s">
        <v>205</v>
      </c>
      <c r="G198" s="26">
        <v>11.0</v>
      </c>
      <c r="I198" s="26" t="s">
        <v>42</v>
      </c>
      <c r="J198" s="25" t="str">
        <f t="shared" si="25"/>
        <v>No</v>
      </c>
      <c r="K198" s="25" t="str">
        <f t="shared" si="26"/>
        <v/>
      </c>
      <c r="L198" s="25" t="str">
        <f t="shared" si="27"/>
        <v/>
      </c>
      <c r="M198" s="26" t="s">
        <v>51</v>
      </c>
      <c r="N198" s="26" t="s">
        <v>57</v>
      </c>
      <c r="O198" s="25"/>
    </row>
    <row r="199" ht="15.75" customHeight="1">
      <c r="A199" s="25" t="str">
        <f>IFERROR(__xludf.DUMMYFUNCTION("IF(B199="""","""",RIGHT(REGEXREPLACE(B199&amp;"""",""[^0-9]"",""""),9))"),"761139956")</f>
        <v>761139956</v>
      </c>
      <c r="B199" s="52">
        <v>7.61139956E8</v>
      </c>
      <c r="C199" s="28" t="s">
        <v>321</v>
      </c>
      <c r="D199" s="26" t="s">
        <v>56</v>
      </c>
      <c r="E199" s="31">
        <v>46226.0</v>
      </c>
      <c r="F199" s="26" t="s">
        <v>125</v>
      </c>
      <c r="G199" s="26">
        <v>11.0</v>
      </c>
      <c r="I199" s="26" t="s">
        <v>42</v>
      </c>
      <c r="J199" s="25" t="str">
        <f t="shared" si="25"/>
        <v>No</v>
      </c>
      <c r="K199" s="25" t="str">
        <f t="shared" si="26"/>
        <v/>
      </c>
      <c r="L199" s="25" t="str">
        <f t="shared" si="27"/>
        <v/>
      </c>
      <c r="M199" s="26" t="s">
        <v>51</v>
      </c>
      <c r="N199" s="26" t="s">
        <v>322</v>
      </c>
      <c r="O199" s="25"/>
    </row>
    <row r="200" ht="15.75" customHeight="1">
      <c r="A200" s="25" t="str">
        <f>IFERROR(__xludf.DUMMYFUNCTION("IF(B200="""","""",RIGHT(REGEXREPLACE(B200&amp;"""",""[^0-9]"",""""),9))"),"767273472")</f>
        <v>767273472</v>
      </c>
      <c r="B200" s="52">
        <v>7.67273472E8</v>
      </c>
      <c r="C200" s="28" t="s">
        <v>323</v>
      </c>
      <c r="D200" s="26" t="s">
        <v>49</v>
      </c>
      <c r="E200" s="31">
        <v>46226.0</v>
      </c>
      <c r="F200" s="26" t="s">
        <v>41</v>
      </c>
      <c r="I200" s="26" t="s">
        <v>42</v>
      </c>
      <c r="J200" s="25" t="str">
        <f t="shared" si="25"/>
        <v>No</v>
      </c>
      <c r="K200" s="25" t="str">
        <f t="shared" si="26"/>
        <v/>
      </c>
      <c r="L200" s="25" t="str">
        <f t="shared" si="27"/>
        <v/>
      </c>
      <c r="M200" s="26" t="s">
        <v>43</v>
      </c>
      <c r="N200" s="26" t="s">
        <v>61</v>
      </c>
      <c r="O200" s="25"/>
    </row>
    <row r="201" ht="15.75" customHeight="1">
      <c r="A201" s="25" t="str">
        <f>IFERROR(__xludf.DUMMYFUNCTION("IF(B201="""","""",RIGHT(REGEXREPLACE(B201&amp;"""",""[^0-9]"",""""),9))"),"776075807")</f>
        <v>776075807</v>
      </c>
      <c r="B201" s="26">
        <v>7.76075807E8</v>
      </c>
      <c r="C201" s="28" t="s">
        <v>324</v>
      </c>
      <c r="D201" s="26" t="s">
        <v>37</v>
      </c>
      <c r="E201" s="31">
        <v>46226.0</v>
      </c>
      <c r="F201" s="26" t="s">
        <v>46</v>
      </c>
      <c r="G201" s="26">
        <v>11.0</v>
      </c>
      <c r="I201" s="26" t="s">
        <v>42</v>
      </c>
      <c r="J201" s="25" t="str">
        <f t="shared" si="25"/>
        <v>No</v>
      </c>
      <c r="K201" s="25" t="str">
        <f t="shared" si="26"/>
        <v/>
      </c>
      <c r="L201" s="25" t="str">
        <f t="shared" si="27"/>
        <v/>
      </c>
      <c r="M201" s="25"/>
      <c r="O201" s="25"/>
    </row>
    <row r="202" ht="15.75" customHeight="1">
      <c r="A202" s="25" t="str">
        <f>IFERROR(__xludf.DUMMYFUNCTION("IF(B202="""","""",RIGHT(REGEXREPLACE(B202&amp;"""",""[^0-9]"",""""),9))"),"718761737")</f>
        <v>718761737</v>
      </c>
      <c r="B202" s="52">
        <v>7.18761737E8</v>
      </c>
      <c r="C202" s="28" t="s">
        <v>325</v>
      </c>
      <c r="D202" s="26" t="s">
        <v>82</v>
      </c>
      <c r="E202" s="31">
        <v>46226.0</v>
      </c>
      <c r="F202" s="26" t="s">
        <v>46</v>
      </c>
      <c r="G202" s="26">
        <v>11.0</v>
      </c>
      <c r="I202" s="26" t="s">
        <v>42</v>
      </c>
      <c r="J202" s="25" t="str">
        <f t="shared" si="25"/>
        <v>No</v>
      </c>
      <c r="K202" s="25" t="str">
        <f t="shared" si="26"/>
        <v/>
      </c>
      <c r="L202" s="25" t="str">
        <f t="shared" si="27"/>
        <v/>
      </c>
      <c r="M202" s="26" t="s">
        <v>43</v>
      </c>
      <c r="N202" s="26" t="s">
        <v>61</v>
      </c>
      <c r="O202" s="25"/>
    </row>
    <row r="203" ht="15.75" customHeight="1">
      <c r="A203" s="25" t="str">
        <f>IFERROR(__xludf.DUMMYFUNCTION("IF(B203="""","""",RIGHT(REGEXREPLACE(B203&amp;"""",""[^0-9]"",""""),9))"),"777184852")</f>
        <v>777184852</v>
      </c>
      <c r="B203" s="52">
        <v>7.77184852E8</v>
      </c>
      <c r="C203" s="28" t="s">
        <v>326</v>
      </c>
      <c r="D203" s="26" t="s">
        <v>45</v>
      </c>
      <c r="E203" s="31">
        <v>46226.0</v>
      </c>
      <c r="F203" s="26" t="s">
        <v>41</v>
      </c>
      <c r="I203" s="26" t="s">
        <v>42</v>
      </c>
      <c r="J203" s="25" t="str">
        <f t="shared" si="25"/>
        <v>No</v>
      </c>
      <c r="K203" s="25" t="str">
        <f t="shared" si="26"/>
        <v/>
      </c>
      <c r="L203" s="25" t="str">
        <f t="shared" si="27"/>
        <v/>
      </c>
      <c r="M203" s="26" t="s">
        <v>43</v>
      </c>
      <c r="N203" s="26" t="s">
        <v>61</v>
      </c>
      <c r="O203" s="25"/>
    </row>
    <row r="204" ht="15.75" customHeight="1">
      <c r="A204" s="25" t="str">
        <f>IFERROR(__xludf.DUMMYFUNCTION("IF(B204="""","""",RIGHT(REGEXREPLACE(B204&amp;"""",""[^0-9]"",""""),9))"),"758431888")</f>
        <v>758431888</v>
      </c>
      <c r="B204" s="52">
        <v>7.58431888E8</v>
      </c>
      <c r="C204" s="28" t="s">
        <v>327</v>
      </c>
      <c r="D204" s="26" t="s">
        <v>49</v>
      </c>
      <c r="E204" s="31">
        <v>46226.0</v>
      </c>
      <c r="F204" s="26" t="s">
        <v>41</v>
      </c>
      <c r="I204" s="26" t="s">
        <v>42</v>
      </c>
      <c r="J204" s="25" t="str">
        <f t="shared" si="25"/>
        <v>No</v>
      </c>
      <c r="K204" s="25" t="str">
        <f t="shared" si="26"/>
        <v/>
      </c>
      <c r="L204" s="25" t="str">
        <f t="shared" si="27"/>
        <v/>
      </c>
      <c r="M204" s="26" t="s">
        <v>43</v>
      </c>
      <c r="N204" s="26" t="s">
        <v>47</v>
      </c>
      <c r="O204" s="25"/>
    </row>
    <row r="205" ht="15.75" customHeight="1">
      <c r="A205" s="25" t="str">
        <f>IFERROR(__xludf.DUMMYFUNCTION("IF(B205="""","""",RIGHT(REGEXREPLACE(B205&amp;"""",""[^0-9]"",""""),9))"),"775631519")</f>
        <v>775631519</v>
      </c>
      <c r="B205" s="52">
        <v>7.75631519E8</v>
      </c>
      <c r="C205" s="28" t="s">
        <v>328</v>
      </c>
      <c r="D205" s="26" t="s">
        <v>45</v>
      </c>
      <c r="E205" s="31">
        <v>46226.0</v>
      </c>
      <c r="F205" s="26" t="s">
        <v>125</v>
      </c>
      <c r="G205" s="26">
        <v>11.0</v>
      </c>
      <c r="I205" s="26" t="s">
        <v>42</v>
      </c>
      <c r="J205" s="25" t="str">
        <f t="shared" si="25"/>
        <v>No</v>
      </c>
      <c r="K205" s="25" t="str">
        <f t="shared" si="26"/>
        <v/>
      </c>
      <c r="L205" s="25" t="str">
        <f t="shared" si="27"/>
        <v/>
      </c>
      <c r="M205" s="26" t="s">
        <v>43</v>
      </c>
      <c r="N205" s="26" t="s">
        <v>54</v>
      </c>
      <c r="O205" s="25"/>
    </row>
    <row r="206" ht="15.75" customHeight="1">
      <c r="A206" s="25" t="str">
        <f>IFERROR(__xludf.DUMMYFUNCTION("IF(B206="""","""",RIGHT(REGEXREPLACE(B206&amp;"""",""[^0-9]"",""""),9))"),"760400346")</f>
        <v>760400346</v>
      </c>
      <c r="B206" s="52">
        <v>7.60400346E8</v>
      </c>
      <c r="C206" s="28" t="s">
        <v>329</v>
      </c>
      <c r="D206" s="26" t="s">
        <v>56</v>
      </c>
      <c r="E206" s="31">
        <v>46226.0</v>
      </c>
      <c r="F206" s="26" t="s">
        <v>41</v>
      </c>
      <c r="G206" s="26">
        <v>11.0</v>
      </c>
      <c r="I206" s="26" t="s">
        <v>42</v>
      </c>
      <c r="J206" s="25" t="str">
        <f t="shared" si="25"/>
        <v>No</v>
      </c>
      <c r="K206" s="25" t="str">
        <f t="shared" si="26"/>
        <v/>
      </c>
      <c r="L206" s="25" t="str">
        <f t="shared" si="27"/>
        <v/>
      </c>
      <c r="M206" s="26" t="s">
        <v>51</v>
      </c>
      <c r="N206" s="26" t="s">
        <v>286</v>
      </c>
      <c r="O206" s="25"/>
    </row>
    <row r="207" ht="15.75" customHeight="1">
      <c r="A207" s="25" t="str">
        <f>IFERROR(__xludf.DUMMYFUNCTION("IF(B207="""","""",RIGHT(REGEXREPLACE(B207&amp;"""",""[^0-9]"",""""),9))"),"757316247")</f>
        <v>757316247</v>
      </c>
      <c r="B207" s="52">
        <v>9.4757316247E10</v>
      </c>
      <c r="C207" s="28" t="s">
        <v>330</v>
      </c>
      <c r="D207" s="26" t="s">
        <v>37</v>
      </c>
      <c r="E207" s="31">
        <v>46226.0</v>
      </c>
      <c r="F207" s="26" t="s">
        <v>46</v>
      </c>
      <c r="I207" s="26" t="s">
        <v>42</v>
      </c>
      <c r="J207" s="25" t="str">
        <f t="shared" si="25"/>
        <v>No</v>
      </c>
      <c r="K207" s="25" t="str">
        <f t="shared" si="26"/>
        <v/>
      </c>
      <c r="L207" s="25" t="str">
        <f t="shared" si="27"/>
        <v/>
      </c>
      <c r="M207" s="25"/>
      <c r="O207" s="25"/>
    </row>
    <row r="208" ht="15.75" customHeight="1">
      <c r="A208" s="25" t="str">
        <f>IFERROR(__xludf.DUMMYFUNCTION("IF(B208="""","""",RIGHT(REGEXREPLACE(B208&amp;"""",""[^0-9]"",""""),9))"),"714460479")</f>
        <v>714460479</v>
      </c>
      <c r="B208" s="52">
        <v>7.14460479E8</v>
      </c>
      <c r="C208" s="28" t="s">
        <v>331</v>
      </c>
      <c r="D208" s="26" t="s">
        <v>49</v>
      </c>
      <c r="E208" s="31">
        <v>46226.0</v>
      </c>
      <c r="F208" s="26" t="s">
        <v>125</v>
      </c>
      <c r="G208" s="26">
        <v>11.0</v>
      </c>
      <c r="I208" s="26" t="s">
        <v>42</v>
      </c>
      <c r="J208" s="25" t="str">
        <f t="shared" si="25"/>
        <v>No</v>
      </c>
      <c r="K208" s="25" t="str">
        <f t="shared" si="26"/>
        <v/>
      </c>
      <c r="L208" s="25" t="str">
        <f t="shared" si="27"/>
        <v/>
      </c>
      <c r="M208" s="26" t="s">
        <v>51</v>
      </c>
      <c r="N208" s="26" t="s">
        <v>332</v>
      </c>
      <c r="O208" s="25"/>
    </row>
    <row r="209" ht="15.75" customHeight="1">
      <c r="A209" s="25" t="str">
        <f>IFERROR(__xludf.DUMMYFUNCTION("IF(B209="""","""",RIGHT(REGEXREPLACE(B209&amp;"""",""[^0-9]"",""""),9))"),"774007032")</f>
        <v>774007032</v>
      </c>
      <c r="B209" s="52">
        <v>7.74007032E8</v>
      </c>
      <c r="C209" s="28" t="s">
        <v>333</v>
      </c>
      <c r="D209" s="26" t="s">
        <v>82</v>
      </c>
      <c r="E209" s="31">
        <v>46226.0</v>
      </c>
      <c r="F209" s="26" t="s">
        <v>41</v>
      </c>
      <c r="G209" s="26">
        <v>11.0</v>
      </c>
      <c r="I209" s="26" t="s">
        <v>42</v>
      </c>
      <c r="J209" s="25" t="str">
        <f t="shared" si="25"/>
        <v>No</v>
      </c>
      <c r="K209" s="25" t="str">
        <f t="shared" si="26"/>
        <v/>
      </c>
      <c r="L209" s="25" t="str">
        <f t="shared" si="27"/>
        <v/>
      </c>
      <c r="M209" s="26" t="s">
        <v>51</v>
      </c>
      <c r="N209" s="26" t="s">
        <v>334</v>
      </c>
      <c r="O209" s="25"/>
    </row>
    <row r="210" ht="15.75" customHeight="1">
      <c r="A210" s="25" t="str">
        <f>IFERROR(__xludf.DUMMYFUNCTION("IF(B210="""","""",RIGHT(REGEXREPLACE(B210&amp;"""",""[^0-9]"",""""),9))"),"751337964")</f>
        <v>751337964</v>
      </c>
      <c r="B210" s="52">
        <v>7.51337964E8</v>
      </c>
      <c r="C210" s="28" t="s">
        <v>335</v>
      </c>
      <c r="D210" s="26" t="s">
        <v>49</v>
      </c>
      <c r="E210" s="31">
        <v>46226.0</v>
      </c>
      <c r="F210" s="26" t="s">
        <v>46</v>
      </c>
      <c r="G210" s="26">
        <v>11.0</v>
      </c>
      <c r="I210" s="26" t="s">
        <v>42</v>
      </c>
      <c r="J210" s="25" t="str">
        <f t="shared" si="25"/>
        <v>No</v>
      </c>
      <c r="K210" s="25" t="str">
        <f t="shared" si="26"/>
        <v/>
      </c>
      <c r="L210" s="25" t="str">
        <f t="shared" si="27"/>
        <v/>
      </c>
      <c r="M210" s="26" t="s">
        <v>43</v>
      </c>
      <c r="N210" s="26" t="s">
        <v>298</v>
      </c>
      <c r="O210" s="25"/>
    </row>
    <row r="211" ht="15.75" customHeight="1">
      <c r="A211" s="25" t="str">
        <f>IFERROR(__xludf.DUMMYFUNCTION("IF(B211="""","""",RIGHT(REGEXREPLACE(B211&amp;"""",""[^0-9]"",""""),9))"),"758605937")</f>
        <v>758605937</v>
      </c>
      <c r="B211" s="52">
        <v>7.58605937E8</v>
      </c>
      <c r="C211" s="28" t="s">
        <v>336</v>
      </c>
      <c r="D211" s="26" t="s">
        <v>45</v>
      </c>
      <c r="E211" s="31">
        <v>46226.0</v>
      </c>
      <c r="F211" s="26" t="s">
        <v>46</v>
      </c>
      <c r="G211" s="26">
        <v>11.0</v>
      </c>
      <c r="I211" s="26" t="s">
        <v>42</v>
      </c>
      <c r="J211" s="25" t="str">
        <f t="shared" si="25"/>
        <v>No</v>
      </c>
      <c r="K211" s="25" t="str">
        <f t="shared" si="26"/>
        <v/>
      </c>
      <c r="L211" s="25" t="str">
        <f t="shared" si="27"/>
        <v/>
      </c>
      <c r="M211" s="26" t="s">
        <v>51</v>
      </c>
      <c r="N211" s="26" t="s">
        <v>253</v>
      </c>
      <c r="O211" s="25"/>
    </row>
    <row r="212" ht="15.75" customHeight="1">
      <c r="A212" s="25" t="str">
        <f>IFERROR(__xludf.DUMMYFUNCTION("IF(B212="""","""",RIGHT(REGEXREPLACE(B212&amp;"""",""[^0-9]"",""""),9))"),"783996815")</f>
        <v>783996815</v>
      </c>
      <c r="B212" s="52">
        <v>7.83996815E8</v>
      </c>
      <c r="C212" s="28" t="s">
        <v>337</v>
      </c>
      <c r="D212" s="26" t="s">
        <v>45</v>
      </c>
      <c r="E212" s="31">
        <v>46226.0</v>
      </c>
      <c r="F212" s="26" t="s">
        <v>164</v>
      </c>
      <c r="I212" s="26" t="s">
        <v>42</v>
      </c>
      <c r="J212" s="25" t="str">
        <f t="shared" si="25"/>
        <v>No</v>
      </c>
      <c r="K212" s="25" t="str">
        <f t="shared" si="26"/>
        <v/>
      </c>
      <c r="L212" s="25" t="str">
        <f t="shared" si="27"/>
        <v/>
      </c>
      <c r="M212" s="26" t="s">
        <v>43</v>
      </c>
      <c r="N212" s="26" t="s">
        <v>338</v>
      </c>
      <c r="O212" s="25"/>
    </row>
    <row r="213" ht="15.75" customHeight="1">
      <c r="A213" s="25" t="str">
        <f>IFERROR(__xludf.DUMMYFUNCTION("IF(B213="""","""",RIGHT(REGEXREPLACE(B213&amp;"""",""[^0-9]"",""""),9))"),"713656883")</f>
        <v>713656883</v>
      </c>
      <c r="B213" s="52">
        <v>7.13656883E8</v>
      </c>
      <c r="C213" s="28" t="s">
        <v>339</v>
      </c>
      <c r="D213" s="26" t="s">
        <v>82</v>
      </c>
      <c r="E213" s="31">
        <v>46226.0</v>
      </c>
      <c r="F213" s="26" t="s">
        <v>205</v>
      </c>
      <c r="I213" s="26" t="s">
        <v>42</v>
      </c>
      <c r="J213" s="25" t="str">
        <f t="shared" si="25"/>
        <v>No</v>
      </c>
      <c r="K213" s="25" t="str">
        <f t="shared" si="26"/>
        <v/>
      </c>
      <c r="L213" s="25" t="str">
        <f t="shared" si="27"/>
        <v/>
      </c>
      <c r="M213" s="25"/>
      <c r="O213" s="25"/>
    </row>
    <row r="214" ht="15.75" customHeight="1">
      <c r="A214" s="25" t="str">
        <f>IFERROR(__xludf.DUMMYFUNCTION("IF(B214="""","""",RIGHT(REGEXREPLACE(B214&amp;"""",""[^0-9]"",""""),9))"),"773782021")</f>
        <v>773782021</v>
      </c>
      <c r="B214" s="26">
        <v>7.73782021E8</v>
      </c>
      <c r="C214" s="28" t="s">
        <v>340</v>
      </c>
      <c r="D214" s="26" t="s">
        <v>56</v>
      </c>
      <c r="E214" s="31">
        <v>46226.0</v>
      </c>
      <c r="F214" s="26" t="s">
        <v>46</v>
      </c>
      <c r="G214" s="26">
        <v>7.0</v>
      </c>
      <c r="H214" s="26" t="s">
        <v>341</v>
      </c>
      <c r="I214" s="26" t="s">
        <v>42</v>
      </c>
      <c r="J214" s="25" t="str">
        <f t="shared" si="25"/>
        <v>No</v>
      </c>
      <c r="K214" s="25" t="str">
        <f t="shared" si="26"/>
        <v/>
      </c>
      <c r="L214" s="25" t="str">
        <f t="shared" si="27"/>
        <v/>
      </c>
      <c r="M214" s="26" t="s">
        <v>51</v>
      </c>
      <c r="N214" s="26" t="s">
        <v>342</v>
      </c>
      <c r="O214" s="25"/>
    </row>
    <row r="215" ht="15.75" customHeight="1">
      <c r="A215" s="25" t="str">
        <f>IFERROR(__xludf.DUMMYFUNCTION("IF(B215="""","""",RIGHT(REGEXREPLACE(B215&amp;"""",""[^0-9]"",""""),9))"),"787289206")</f>
        <v>787289206</v>
      </c>
      <c r="B215" s="52">
        <v>7.87289206E8</v>
      </c>
      <c r="C215" s="28" t="s">
        <v>343</v>
      </c>
      <c r="D215" s="26" t="s">
        <v>49</v>
      </c>
      <c r="E215" s="31">
        <v>46226.0</v>
      </c>
      <c r="F215" s="26" t="s">
        <v>84</v>
      </c>
      <c r="G215" s="26">
        <v>11.0</v>
      </c>
      <c r="H215" s="26" t="s">
        <v>253</v>
      </c>
      <c r="I215" s="26" t="s">
        <v>42</v>
      </c>
      <c r="J215" s="25" t="str">
        <f t="shared" si="25"/>
        <v>No</v>
      </c>
      <c r="K215" s="25" t="str">
        <f t="shared" si="26"/>
        <v/>
      </c>
      <c r="L215" s="25" t="str">
        <f t="shared" si="27"/>
        <v/>
      </c>
      <c r="M215" s="26" t="s">
        <v>51</v>
      </c>
      <c r="N215" s="26" t="s">
        <v>344</v>
      </c>
      <c r="O215" s="25"/>
    </row>
    <row r="216" ht="15.75" customHeight="1">
      <c r="A216" s="25" t="str">
        <f>IFERROR(__xludf.DUMMYFUNCTION("IF(B216="""","""",RIGHT(REGEXREPLACE(B216&amp;"""",""[^0-9]"",""""),9))"),"776395498")</f>
        <v>776395498</v>
      </c>
      <c r="B216" s="52">
        <v>7.76395498E8</v>
      </c>
      <c r="C216" s="28" t="s">
        <v>345</v>
      </c>
      <c r="D216" s="26" t="s">
        <v>82</v>
      </c>
      <c r="E216" s="31">
        <v>46226.0</v>
      </c>
      <c r="F216" s="26" t="s">
        <v>41</v>
      </c>
      <c r="I216" s="26" t="s">
        <v>42</v>
      </c>
      <c r="J216" s="25" t="str">
        <f t="shared" si="25"/>
        <v>No</v>
      </c>
      <c r="K216" s="25" t="str">
        <f t="shared" si="26"/>
        <v/>
      </c>
      <c r="L216" s="25" t="str">
        <f t="shared" si="27"/>
        <v/>
      </c>
      <c r="M216" s="25"/>
      <c r="O216" s="25"/>
    </row>
    <row r="217" ht="15.75" customHeight="1">
      <c r="A217" s="25" t="str">
        <f>IFERROR(__xludf.DUMMYFUNCTION("IF(B217="""","""",RIGHT(REGEXREPLACE(B217&amp;"""",""[^0-9]"",""""),9))"),"715150088")</f>
        <v>715150088</v>
      </c>
      <c r="B217" s="26">
        <v>7.15150088E8</v>
      </c>
      <c r="C217" s="28" t="s">
        <v>346</v>
      </c>
      <c r="D217" s="26" t="s">
        <v>37</v>
      </c>
      <c r="E217" s="31">
        <v>46226.0</v>
      </c>
      <c r="F217" s="26" t="s">
        <v>46</v>
      </c>
      <c r="G217" s="26">
        <v>11.0</v>
      </c>
      <c r="I217" s="26" t="s">
        <v>42</v>
      </c>
      <c r="J217" s="25" t="str">
        <f t="shared" si="25"/>
        <v>No</v>
      </c>
      <c r="K217" s="25" t="str">
        <f t="shared" si="26"/>
        <v/>
      </c>
      <c r="L217" s="25" t="str">
        <f t="shared" si="27"/>
        <v/>
      </c>
      <c r="M217" s="25"/>
      <c r="O217" s="25"/>
    </row>
    <row r="218" ht="15.75" customHeight="1">
      <c r="A218" s="25" t="str">
        <f>IFERROR(__xludf.DUMMYFUNCTION("IF(B218="""","""",RIGHT(REGEXREPLACE(B218&amp;"""",""[^0-9]"",""""),9))"),"762291347")</f>
        <v>762291347</v>
      </c>
      <c r="B218" s="52">
        <v>7.62291347E8</v>
      </c>
      <c r="C218" s="28" t="s">
        <v>347</v>
      </c>
      <c r="D218" s="26" t="s">
        <v>45</v>
      </c>
      <c r="E218" s="31">
        <v>46226.0</v>
      </c>
      <c r="F218" s="26" t="s">
        <v>84</v>
      </c>
      <c r="I218" s="26" t="s">
        <v>42</v>
      </c>
      <c r="J218" s="25" t="str">
        <f t="shared" si="25"/>
        <v>No</v>
      </c>
      <c r="K218" s="25" t="str">
        <f t="shared" si="26"/>
        <v/>
      </c>
      <c r="L218" s="25" t="str">
        <f t="shared" si="27"/>
        <v/>
      </c>
      <c r="M218" s="26" t="s">
        <v>51</v>
      </c>
      <c r="N218" s="26" t="s">
        <v>342</v>
      </c>
      <c r="O218" s="25"/>
    </row>
    <row r="219" ht="15.75" customHeight="1">
      <c r="A219" s="25" t="str">
        <f>IFERROR(__xludf.DUMMYFUNCTION("IF(B219="""","""",RIGHT(REGEXREPLACE(B219&amp;"""",""[^0-9]"",""""),9))"),"771093199")</f>
        <v>771093199</v>
      </c>
      <c r="B219" s="52">
        <v>7.71093199E8</v>
      </c>
      <c r="C219" s="28" t="s">
        <v>348</v>
      </c>
      <c r="D219" s="26" t="s">
        <v>49</v>
      </c>
      <c r="E219" s="31">
        <v>46226.0</v>
      </c>
      <c r="F219" s="26" t="s">
        <v>41</v>
      </c>
      <c r="I219" s="26" t="s">
        <v>42</v>
      </c>
      <c r="J219" s="25" t="str">
        <f t="shared" si="25"/>
        <v>No</v>
      </c>
      <c r="K219" s="25" t="str">
        <f t="shared" si="26"/>
        <v/>
      </c>
      <c r="L219" s="25" t="str">
        <f t="shared" si="27"/>
        <v/>
      </c>
      <c r="M219" s="26" t="s">
        <v>43</v>
      </c>
      <c r="N219" s="26" t="s">
        <v>61</v>
      </c>
      <c r="O219" s="25"/>
    </row>
    <row r="220" ht="15.75" customHeight="1">
      <c r="A220" s="25" t="str">
        <f>IFERROR(__xludf.DUMMYFUNCTION("IF(B220="""","""",RIGHT(REGEXREPLACE(B220&amp;"""",""[^0-9]"",""""),9))"),"775177162")</f>
        <v>775177162</v>
      </c>
      <c r="B220" s="26">
        <v>7.75177162E8</v>
      </c>
      <c r="C220" s="28" t="s">
        <v>349</v>
      </c>
      <c r="D220" s="26" t="s">
        <v>37</v>
      </c>
      <c r="E220" s="31">
        <v>46226.0</v>
      </c>
      <c r="F220" s="26" t="s">
        <v>46</v>
      </c>
      <c r="G220" s="26">
        <v>11.0</v>
      </c>
      <c r="I220" s="26" t="s">
        <v>42</v>
      </c>
      <c r="J220" s="25" t="str">
        <f t="shared" si="25"/>
        <v>No</v>
      </c>
      <c r="K220" s="25" t="str">
        <f t="shared" si="26"/>
        <v/>
      </c>
      <c r="L220" s="25" t="str">
        <f t="shared" si="27"/>
        <v/>
      </c>
      <c r="M220" s="25"/>
      <c r="O220" s="25"/>
    </row>
    <row r="221" ht="15.75" customHeight="1">
      <c r="A221" s="25" t="str">
        <f>IFERROR(__xludf.DUMMYFUNCTION("IF(B221="""","""",RIGHT(REGEXREPLACE(B221&amp;"""",""[^0-9]"",""""),9))"),"770880788")</f>
        <v>770880788</v>
      </c>
      <c r="B221" s="52">
        <v>7.70880788E8</v>
      </c>
      <c r="C221" s="28" t="s">
        <v>350</v>
      </c>
      <c r="D221" s="26" t="s">
        <v>82</v>
      </c>
      <c r="E221" s="31">
        <v>46226.0</v>
      </c>
      <c r="F221" s="26" t="s">
        <v>84</v>
      </c>
      <c r="I221" s="26" t="s">
        <v>42</v>
      </c>
      <c r="J221" s="25" t="str">
        <f t="shared" si="25"/>
        <v>No</v>
      </c>
      <c r="K221" s="25" t="str">
        <f t="shared" si="26"/>
        <v/>
      </c>
      <c r="L221" s="25" t="str">
        <f t="shared" si="27"/>
        <v/>
      </c>
      <c r="M221" s="25"/>
      <c r="O221" s="25"/>
    </row>
    <row r="222" ht="15.75" customHeight="1">
      <c r="A222" s="25" t="str">
        <f>IFERROR(__xludf.DUMMYFUNCTION("IF(B222="""","""",RIGHT(REGEXREPLACE(B222&amp;"""",""[^0-9]"",""""),9))"),"713376942")</f>
        <v>713376942</v>
      </c>
      <c r="B222" s="52">
        <v>9.4713376942E10</v>
      </c>
      <c r="C222" s="28" t="s">
        <v>351</v>
      </c>
      <c r="D222" s="26" t="s">
        <v>37</v>
      </c>
      <c r="E222" s="31">
        <v>46226.0</v>
      </c>
      <c r="F222" s="26" t="s">
        <v>46</v>
      </c>
      <c r="G222" s="26">
        <v>11.0</v>
      </c>
      <c r="I222" s="26" t="s">
        <v>42</v>
      </c>
      <c r="J222" s="25" t="str">
        <f t="shared" si="25"/>
        <v>No</v>
      </c>
      <c r="K222" s="25" t="str">
        <f t="shared" si="26"/>
        <v/>
      </c>
      <c r="L222" s="25" t="str">
        <f t="shared" si="27"/>
        <v/>
      </c>
      <c r="M222" s="25"/>
      <c r="O222" s="25"/>
    </row>
    <row r="223" ht="15.75" customHeight="1">
      <c r="A223" s="25" t="str">
        <f>IFERROR(__xludf.DUMMYFUNCTION("IF(B223="""","""",RIGHT(REGEXREPLACE(B223&amp;"""",""[^0-9]"",""""),9))"),"775241969")</f>
        <v>775241969</v>
      </c>
      <c r="B223" s="52">
        <v>7.75241969E8</v>
      </c>
      <c r="C223" s="28" t="s">
        <v>352</v>
      </c>
      <c r="D223" s="26" t="s">
        <v>49</v>
      </c>
      <c r="E223" s="31">
        <v>46226.0</v>
      </c>
      <c r="F223" s="26" t="s">
        <v>46</v>
      </c>
      <c r="G223" s="26">
        <v>11.0</v>
      </c>
      <c r="I223" s="26" t="s">
        <v>42</v>
      </c>
      <c r="J223" s="25" t="str">
        <f t="shared" si="25"/>
        <v>No</v>
      </c>
      <c r="K223" s="25" t="str">
        <f t="shared" si="26"/>
        <v/>
      </c>
      <c r="L223" s="25" t="str">
        <f t="shared" si="27"/>
        <v/>
      </c>
      <c r="M223" s="26" t="s">
        <v>43</v>
      </c>
      <c r="N223" s="26" t="s">
        <v>61</v>
      </c>
      <c r="O223" s="25"/>
    </row>
    <row r="224" ht="15.75" customHeight="1">
      <c r="A224" s="25" t="str">
        <f>IFERROR(__xludf.DUMMYFUNCTION("IF(B224="""","""",RIGHT(REGEXREPLACE(B224&amp;"""",""[^0-9]"",""""),9))"),"775536017")</f>
        <v>775536017</v>
      </c>
      <c r="B224" s="52">
        <v>7.75536017E8</v>
      </c>
      <c r="C224" s="28" t="s">
        <v>353</v>
      </c>
      <c r="D224" s="26" t="s">
        <v>56</v>
      </c>
      <c r="E224" s="31">
        <v>46226.0</v>
      </c>
      <c r="F224" s="26" t="s">
        <v>46</v>
      </c>
      <c r="G224" s="26">
        <v>11.0</v>
      </c>
      <c r="H224" s="26" t="s">
        <v>140</v>
      </c>
      <c r="I224" s="26" t="s">
        <v>42</v>
      </c>
      <c r="J224" s="25" t="str">
        <f t="shared" si="25"/>
        <v>No</v>
      </c>
      <c r="K224" s="25" t="str">
        <f t="shared" si="26"/>
        <v/>
      </c>
      <c r="L224" s="25" t="str">
        <f t="shared" si="27"/>
        <v/>
      </c>
      <c r="M224" s="26" t="s">
        <v>51</v>
      </c>
      <c r="N224" s="26" t="s">
        <v>78</v>
      </c>
      <c r="O224" s="25"/>
    </row>
    <row r="225" ht="15.75" customHeight="1">
      <c r="A225" s="25" t="str">
        <f>IFERROR(__xludf.DUMMYFUNCTION("IF(B225="""","""",RIGHT(REGEXREPLACE(B225&amp;"""",""[^0-9]"",""""),9))"),"716864504")</f>
        <v>716864504</v>
      </c>
      <c r="B225" s="52">
        <v>7.16864504E8</v>
      </c>
      <c r="C225" s="28" t="s">
        <v>354</v>
      </c>
      <c r="D225" s="26" t="s">
        <v>82</v>
      </c>
      <c r="E225" s="31">
        <v>46226.0</v>
      </c>
      <c r="F225" s="26" t="s">
        <v>41</v>
      </c>
      <c r="I225" s="26" t="s">
        <v>42</v>
      </c>
      <c r="J225" s="25" t="str">
        <f t="shared" si="25"/>
        <v>No</v>
      </c>
      <c r="K225" s="25" t="str">
        <f t="shared" si="26"/>
        <v/>
      </c>
      <c r="L225" s="25" t="str">
        <f t="shared" si="27"/>
        <v/>
      </c>
      <c r="M225" s="26" t="s">
        <v>43</v>
      </c>
      <c r="N225" s="26" t="s">
        <v>61</v>
      </c>
      <c r="O225" s="25"/>
    </row>
    <row r="226" ht="15.75" customHeight="1">
      <c r="A226" s="25" t="str">
        <f>IFERROR(__xludf.DUMMYFUNCTION("IF(B226="""","""",RIGHT(REGEXREPLACE(B226&amp;"""",""[^0-9]"",""""),9))"),"762860874")</f>
        <v>762860874</v>
      </c>
      <c r="B226" s="73">
        <v>7.62860874E8</v>
      </c>
      <c r="C226" s="28" t="s">
        <v>355</v>
      </c>
      <c r="D226" s="26" t="s">
        <v>45</v>
      </c>
      <c r="E226" s="31">
        <v>46226.0</v>
      </c>
      <c r="F226" s="26" t="s">
        <v>46</v>
      </c>
      <c r="G226" s="26">
        <v>11.0</v>
      </c>
      <c r="I226" s="26" t="s">
        <v>42</v>
      </c>
      <c r="J226" s="25" t="str">
        <f t="shared" si="25"/>
        <v>No</v>
      </c>
      <c r="K226" s="25" t="str">
        <f t="shared" si="26"/>
        <v/>
      </c>
      <c r="L226" s="25" t="str">
        <f t="shared" si="27"/>
        <v/>
      </c>
      <c r="M226" s="25"/>
      <c r="O226" s="25"/>
    </row>
    <row r="227" ht="15.75" customHeight="1">
      <c r="A227" s="25" t="str">
        <f>IFERROR(__xludf.DUMMYFUNCTION("IF(B227="""","""",RIGHT(REGEXREPLACE(B227&amp;"""",""[^0-9]"",""""),9))"),"710633233")</f>
        <v>710633233</v>
      </c>
      <c r="B227" s="52">
        <v>7.10633233E8</v>
      </c>
      <c r="C227" s="28" t="s">
        <v>356</v>
      </c>
      <c r="D227" s="26" t="s">
        <v>49</v>
      </c>
      <c r="E227" s="31">
        <v>46226.0</v>
      </c>
      <c r="F227" s="26" t="s">
        <v>84</v>
      </c>
      <c r="H227" s="26" t="s">
        <v>253</v>
      </c>
      <c r="I227" s="26" t="s">
        <v>42</v>
      </c>
      <c r="J227" s="25" t="str">
        <f t="shared" si="25"/>
        <v>No</v>
      </c>
      <c r="K227" s="25" t="str">
        <f t="shared" si="26"/>
        <v/>
      </c>
      <c r="L227" s="25" t="str">
        <f t="shared" si="27"/>
        <v/>
      </c>
      <c r="M227" s="26" t="s">
        <v>51</v>
      </c>
      <c r="N227" s="26" t="s">
        <v>357</v>
      </c>
      <c r="O227" s="25"/>
    </row>
    <row r="228" ht="15.75" customHeight="1">
      <c r="A228" s="25" t="str">
        <f>IFERROR(__xludf.DUMMYFUNCTION("IF(B228="""","""",RIGHT(REGEXREPLACE(B228&amp;"""",""[^0-9]"",""""),9))"),"760745576")</f>
        <v>760745576</v>
      </c>
      <c r="B228" s="52">
        <v>7.60745576E8</v>
      </c>
      <c r="C228" s="28" t="s">
        <v>358</v>
      </c>
      <c r="D228" s="26" t="s">
        <v>56</v>
      </c>
      <c r="E228" s="31">
        <v>46226.0</v>
      </c>
      <c r="F228" s="26" t="s">
        <v>41</v>
      </c>
      <c r="I228" s="26" t="s">
        <v>42</v>
      </c>
      <c r="J228" s="25" t="str">
        <f t="shared" si="25"/>
        <v>No</v>
      </c>
      <c r="K228" s="25" t="str">
        <f t="shared" si="26"/>
        <v/>
      </c>
      <c r="L228" s="25" t="str">
        <f t="shared" si="27"/>
        <v/>
      </c>
      <c r="M228" s="26" t="s">
        <v>51</v>
      </c>
      <c r="N228" s="26" t="s">
        <v>140</v>
      </c>
      <c r="O228" s="25"/>
    </row>
    <row r="229" ht="15.75" customHeight="1">
      <c r="A229" s="25" t="str">
        <f>IFERROR(__xludf.DUMMYFUNCTION("IF(B229="""","""",RIGHT(REGEXREPLACE(B229&amp;"""",""[^0-9]"",""""),9))"),"752260224")</f>
        <v>752260224</v>
      </c>
      <c r="B229" s="52">
        <v>7.52260224E8</v>
      </c>
      <c r="C229" s="28" t="s">
        <v>359</v>
      </c>
      <c r="D229" s="26" t="s">
        <v>82</v>
      </c>
      <c r="E229" s="31">
        <v>46226.0</v>
      </c>
      <c r="F229" s="26" t="s">
        <v>125</v>
      </c>
      <c r="G229" s="26">
        <v>11.0</v>
      </c>
      <c r="I229" s="26" t="s">
        <v>42</v>
      </c>
      <c r="J229" s="25" t="str">
        <f t="shared" si="25"/>
        <v>No</v>
      </c>
      <c r="K229" s="25" t="str">
        <f t="shared" si="26"/>
        <v/>
      </c>
      <c r="L229" s="25" t="str">
        <f t="shared" si="27"/>
        <v/>
      </c>
      <c r="M229" s="26" t="s">
        <v>51</v>
      </c>
      <c r="N229" s="26" t="s">
        <v>360</v>
      </c>
      <c r="O229" s="25"/>
    </row>
    <row r="230" ht="15.75" customHeight="1">
      <c r="A230" s="25" t="str">
        <f>IFERROR(__xludf.DUMMYFUNCTION("IF(B230="""","""",RIGHT(REGEXREPLACE(B230&amp;"""",""[^0-9]"",""""),9))"),"714131921")</f>
        <v>714131921</v>
      </c>
      <c r="B230" s="52">
        <v>7.14131921E8</v>
      </c>
      <c r="C230" s="28" t="s">
        <v>361</v>
      </c>
      <c r="D230" s="26" t="s">
        <v>45</v>
      </c>
      <c r="E230" s="31">
        <v>46226.0</v>
      </c>
      <c r="F230" s="26" t="s">
        <v>41</v>
      </c>
      <c r="I230" s="26" t="s">
        <v>42</v>
      </c>
      <c r="J230" s="25" t="str">
        <f t="shared" si="25"/>
        <v>No</v>
      </c>
      <c r="K230" s="25" t="str">
        <f t="shared" si="26"/>
        <v/>
      </c>
      <c r="L230" s="25" t="str">
        <f t="shared" si="27"/>
        <v/>
      </c>
      <c r="M230" s="25"/>
      <c r="O230" s="25"/>
    </row>
    <row r="231" ht="15.75" customHeight="1">
      <c r="A231" s="25" t="str">
        <f>IFERROR(__xludf.DUMMYFUNCTION("IF(B231="""","""",RIGHT(REGEXREPLACE(B231&amp;"""",""[^0-9]"",""""),9))"),"715131183")</f>
        <v>715131183</v>
      </c>
      <c r="B231" s="52">
        <v>7.15131183E8</v>
      </c>
      <c r="C231" s="28" t="s">
        <v>362</v>
      </c>
      <c r="D231" s="26" t="s">
        <v>49</v>
      </c>
      <c r="E231" s="31">
        <v>46226.0</v>
      </c>
      <c r="F231" s="26" t="s">
        <v>84</v>
      </c>
      <c r="H231" s="26" t="s">
        <v>253</v>
      </c>
      <c r="I231" s="26" t="s">
        <v>42</v>
      </c>
      <c r="J231" s="25" t="str">
        <f t="shared" si="25"/>
        <v>No</v>
      </c>
      <c r="K231" s="25" t="str">
        <f t="shared" si="26"/>
        <v/>
      </c>
      <c r="L231" s="25" t="str">
        <f t="shared" si="27"/>
        <v/>
      </c>
      <c r="M231" s="26" t="s">
        <v>51</v>
      </c>
      <c r="N231" s="26" t="s">
        <v>363</v>
      </c>
      <c r="O231" s="25"/>
    </row>
    <row r="232" ht="15.75" customHeight="1">
      <c r="A232" s="25" t="str">
        <f>IFERROR(__xludf.DUMMYFUNCTION("IF(B232="""","""",RIGHT(REGEXREPLACE(B232&amp;"""",""[^0-9]"",""""),9))"),"763512675")</f>
        <v>763512675</v>
      </c>
      <c r="B232" s="52">
        <v>7.63512675E8</v>
      </c>
      <c r="C232" s="28" t="s">
        <v>364</v>
      </c>
      <c r="D232" s="26" t="s">
        <v>49</v>
      </c>
      <c r="E232" s="31">
        <v>46226.0</v>
      </c>
      <c r="F232" s="26" t="s">
        <v>46</v>
      </c>
      <c r="G232" s="26">
        <v>11.0</v>
      </c>
      <c r="I232" s="26" t="s">
        <v>42</v>
      </c>
      <c r="J232" s="25" t="str">
        <f t="shared" si="25"/>
        <v>No</v>
      </c>
      <c r="K232" s="25" t="str">
        <f t="shared" si="26"/>
        <v/>
      </c>
      <c r="L232" s="25" t="str">
        <f t="shared" si="27"/>
        <v/>
      </c>
      <c r="M232" s="26" t="s">
        <v>51</v>
      </c>
      <c r="N232" s="26" t="s">
        <v>365</v>
      </c>
      <c r="O232" s="25"/>
    </row>
    <row r="233" ht="15.75" customHeight="1">
      <c r="A233" s="25" t="str">
        <f>IFERROR(__xludf.DUMMYFUNCTION("IF(B233="""","""",RIGHT(REGEXREPLACE(B233&amp;"""",""[^0-9]"",""""),9))"),"775609838")</f>
        <v>775609838</v>
      </c>
      <c r="B233" s="52">
        <v>7.75609838E8</v>
      </c>
      <c r="C233" s="28" t="s">
        <v>366</v>
      </c>
      <c r="D233" s="26" t="s">
        <v>45</v>
      </c>
      <c r="E233" s="31">
        <v>46226.0</v>
      </c>
      <c r="F233" s="26" t="s">
        <v>46</v>
      </c>
      <c r="G233" s="26">
        <v>11.0</v>
      </c>
      <c r="I233" s="26" t="s">
        <v>42</v>
      </c>
      <c r="J233" s="25" t="str">
        <f t="shared" si="25"/>
        <v>No</v>
      </c>
      <c r="K233" s="25" t="str">
        <f t="shared" si="26"/>
        <v/>
      </c>
      <c r="L233" s="25" t="str">
        <f t="shared" si="27"/>
        <v/>
      </c>
      <c r="M233" s="25"/>
      <c r="O233" s="25"/>
    </row>
    <row r="234" ht="15.75" customHeight="1">
      <c r="A234" s="25" t="str">
        <f>IFERROR(__xludf.DUMMYFUNCTION("IF(B234="""","""",RIGHT(REGEXREPLACE(B234&amp;"""",""[^0-9]"",""""),9))"),"760403702")</f>
        <v>760403702</v>
      </c>
      <c r="B234" s="52">
        <v>7.60403702E8</v>
      </c>
      <c r="C234" s="28" t="s">
        <v>367</v>
      </c>
      <c r="D234" s="26" t="s">
        <v>82</v>
      </c>
      <c r="E234" s="31">
        <v>46226.0</v>
      </c>
      <c r="F234" s="26" t="s">
        <v>205</v>
      </c>
      <c r="G234" s="26">
        <v>11.0</v>
      </c>
      <c r="I234" s="26" t="s">
        <v>42</v>
      </c>
      <c r="J234" s="25" t="str">
        <f t="shared" si="25"/>
        <v>No</v>
      </c>
      <c r="K234" s="25" t="str">
        <f t="shared" si="26"/>
        <v/>
      </c>
      <c r="L234" s="25" t="str">
        <f t="shared" si="27"/>
        <v/>
      </c>
      <c r="M234" s="26" t="s">
        <v>51</v>
      </c>
      <c r="N234" s="26" t="s">
        <v>368</v>
      </c>
      <c r="O234" s="25"/>
    </row>
    <row r="235" ht="15.75" customHeight="1">
      <c r="A235" s="25" t="str">
        <f>IFERROR(__xludf.DUMMYFUNCTION("IF(B235="""","""",RIGHT(REGEXREPLACE(B235&amp;"""",""[^0-9]"",""""),9))"),"753325779")</f>
        <v>753325779</v>
      </c>
      <c r="B235" s="52">
        <v>9.4753325779E10</v>
      </c>
      <c r="C235" s="28" t="s">
        <v>369</v>
      </c>
      <c r="D235" s="26" t="s">
        <v>37</v>
      </c>
      <c r="E235" s="31">
        <v>46226.0</v>
      </c>
      <c r="F235" s="26" t="s">
        <v>46</v>
      </c>
      <c r="G235" s="26">
        <v>11.0</v>
      </c>
      <c r="I235" s="26" t="s">
        <v>42</v>
      </c>
      <c r="J235" s="25" t="str">
        <f t="shared" si="25"/>
        <v>No</v>
      </c>
      <c r="K235" s="25" t="str">
        <f t="shared" si="26"/>
        <v/>
      </c>
      <c r="L235" s="25" t="str">
        <f t="shared" si="27"/>
        <v/>
      </c>
      <c r="M235" s="25"/>
      <c r="O235" s="25"/>
    </row>
    <row r="236" ht="15.75" customHeight="1">
      <c r="A236" s="25" t="str">
        <f>IFERROR(__xludf.DUMMYFUNCTION("IF(B236="""","""",RIGHT(REGEXREPLACE(B236&amp;"""",""[^0-9]"",""""),9))"),"771931698")</f>
        <v>771931698</v>
      </c>
      <c r="B236" s="52">
        <v>7.71931698E8</v>
      </c>
      <c r="C236" s="28" t="s">
        <v>370</v>
      </c>
      <c r="D236" s="26" t="s">
        <v>56</v>
      </c>
      <c r="E236" s="31">
        <v>46226.0</v>
      </c>
      <c r="F236" s="25"/>
      <c r="G236" s="26">
        <v>5.0</v>
      </c>
      <c r="H236" s="25"/>
      <c r="I236" s="26" t="s">
        <v>42</v>
      </c>
      <c r="J236" s="25" t="str">
        <f t="shared" si="25"/>
        <v>No</v>
      </c>
      <c r="K236" s="25" t="str">
        <f t="shared" si="26"/>
        <v/>
      </c>
      <c r="L236" s="25" t="str">
        <f t="shared" si="27"/>
        <v/>
      </c>
      <c r="M236" s="25"/>
      <c r="N236" s="26" t="s">
        <v>371</v>
      </c>
      <c r="O236" s="25"/>
      <c r="P236" s="25"/>
    </row>
    <row r="237" ht="15.75" customHeight="1">
      <c r="A237" s="25" t="str">
        <f>IFERROR(__xludf.DUMMYFUNCTION("IF(B237="""","""",RIGHT(REGEXREPLACE(B237&amp;"""",""[^0-9]"",""""),9))"),"771137532")</f>
        <v>771137532</v>
      </c>
      <c r="B237" s="52">
        <v>7.71137532E8</v>
      </c>
      <c r="C237" s="28" t="s">
        <v>372</v>
      </c>
      <c r="D237" s="26" t="s">
        <v>49</v>
      </c>
      <c r="E237" s="31">
        <v>46226.0</v>
      </c>
      <c r="F237" s="26" t="s">
        <v>46</v>
      </c>
      <c r="G237" s="26">
        <v>10.0</v>
      </c>
      <c r="I237" s="26" t="s">
        <v>42</v>
      </c>
      <c r="J237" s="25" t="str">
        <f t="shared" si="25"/>
        <v>No</v>
      </c>
      <c r="K237" s="25" t="str">
        <f t="shared" si="26"/>
        <v/>
      </c>
      <c r="L237" s="25" t="str">
        <f t="shared" si="27"/>
        <v/>
      </c>
      <c r="M237" s="26" t="s">
        <v>51</v>
      </c>
      <c r="N237" s="26" t="s">
        <v>373</v>
      </c>
      <c r="O237" s="25"/>
    </row>
    <row r="238" ht="15.75" customHeight="1">
      <c r="A238" s="25" t="str">
        <f>IFERROR(__xludf.DUMMYFUNCTION("IF(B238="""","""",RIGHT(REGEXREPLACE(B238&amp;"""",""[^0-9]"",""""),9))"),"774003014")</f>
        <v>774003014</v>
      </c>
      <c r="B238" s="52">
        <v>7.74003014E8</v>
      </c>
      <c r="C238" s="28" t="s">
        <v>374</v>
      </c>
      <c r="D238" s="26" t="s">
        <v>45</v>
      </c>
      <c r="E238" s="31">
        <v>46226.0</v>
      </c>
      <c r="F238" s="26" t="s">
        <v>41</v>
      </c>
      <c r="I238" s="26" t="s">
        <v>42</v>
      </c>
      <c r="J238" s="25" t="str">
        <f t="shared" si="25"/>
        <v>No</v>
      </c>
      <c r="K238" s="25" t="str">
        <f t="shared" si="26"/>
        <v/>
      </c>
      <c r="L238" s="25" t="str">
        <f t="shared" si="27"/>
        <v/>
      </c>
      <c r="M238" s="25"/>
      <c r="O238" s="25"/>
    </row>
    <row r="239" ht="15.75" customHeight="1">
      <c r="A239" s="25" t="str">
        <f>IFERROR(__xludf.DUMMYFUNCTION("IF(B239="""","""",RIGHT(REGEXREPLACE(B239&amp;"""",""[^0-9]"",""""),9))"),"769165220")</f>
        <v>769165220</v>
      </c>
      <c r="B239" s="52">
        <v>7.6916522E8</v>
      </c>
      <c r="C239" s="28" t="s">
        <v>375</v>
      </c>
      <c r="D239" s="26" t="s">
        <v>82</v>
      </c>
      <c r="E239" s="31">
        <v>46226.0</v>
      </c>
      <c r="F239" s="26" t="s">
        <v>205</v>
      </c>
      <c r="I239" s="26" t="s">
        <v>42</v>
      </c>
      <c r="J239" s="25" t="str">
        <f t="shared" si="25"/>
        <v>No</v>
      </c>
      <c r="K239" s="25" t="str">
        <f t="shared" si="26"/>
        <v/>
      </c>
      <c r="L239" s="25" t="str">
        <f t="shared" si="27"/>
        <v/>
      </c>
      <c r="M239" s="26" t="s">
        <v>43</v>
      </c>
      <c r="N239" s="26" t="s">
        <v>61</v>
      </c>
      <c r="O239" s="25"/>
    </row>
    <row r="240" ht="15.75" customHeight="1">
      <c r="A240" s="25" t="str">
        <f>IFERROR(__xludf.DUMMYFUNCTION("IF(B240="""","""",RIGHT(REGEXREPLACE(B240&amp;"""",""[^0-9]"",""""),9))"),"774960552")</f>
        <v>774960552</v>
      </c>
      <c r="B240" s="52">
        <v>7.74960552E8</v>
      </c>
      <c r="C240" s="28" t="s">
        <v>376</v>
      </c>
      <c r="D240" s="26" t="s">
        <v>56</v>
      </c>
      <c r="E240" s="31">
        <v>46226.0</v>
      </c>
      <c r="F240" s="26" t="s">
        <v>41</v>
      </c>
      <c r="G240" s="26">
        <v>11.0</v>
      </c>
      <c r="I240" s="26" t="s">
        <v>42</v>
      </c>
      <c r="J240" s="25" t="str">
        <f t="shared" si="25"/>
        <v>No</v>
      </c>
      <c r="K240" s="25" t="str">
        <f t="shared" si="26"/>
        <v/>
      </c>
      <c r="L240" s="25" t="str">
        <f t="shared" si="27"/>
        <v/>
      </c>
      <c r="M240" s="26" t="s">
        <v>43</v>
      </c>
      <c r="N240" s="26" t="s">
        <v>61</v>
      </c>
      <c r="O240" s="25"/>
    </row>
    <row r="241" ht="15.75" customHeight="1">
      <c r="A241" s="25" t="str">
        <f>IFERROR(__xludf.DUMMYFUNCTION("IF(B241="""","""",RIGHT(REGEXREPLACE(B241&amp;"""",""[^0-9]"",""""),9))"),"719025054")</f>
        <v>719025054</v>
      </c>
      <c r="B241" s="52">
        <v>7.19025054E8</v>
      </c>
      <c r="C241" s="28" t="s">
        <v>377</v>
      </c>
      <c r="D241" s="26" t="s">
        <v>45</v>
      </c>
      <c r="E241" s="31">
        <v>46226.0</v>
      </c>
      <c r="F241" s="26" t="s">
        <v>46</v>
      </c>
      <c r="G241" s="26">
        <v>11.0</v>
      </c>
      <c r="I241" s="26" t="s">
        <v>42</v>
      </c>
      <c r="J241" s="25" t="str">
        <f t="shared" si="25"/>
        <v>No</v>
      </c>
      <c r="K241" s="25" t="str">
        <f t="shared" si="26"/>
        <v/>
      </c>
      <c r="L241" s="25" t="str">
        <f t="shared" si="27"/>
        <v/>
      </c>
      <c r="M241" s="25"/>
      <c r="O241" s="25"/>
    </row>
    <row r="242" ht="15.75" customHeight="1">
      <c r="A242" s="25" t="str">
        <f>IFERROR(__xludf.DUMMYFUNCTION("IF(B242="""","""",RIGHT(REGEXREPLACE(B242&amp;"""",""[^0-9]"",""""),9))"),"751188604")</f>
        <v>751188604</v>
      </c>
      <c r="B242" s="52">
        <v>7.51188604E8</v>
      </c>
      <c r="C242" s="28" t="s">
        <v>378</v>
      </c>
      <c r="D242" s="26" t="s">
        <v>82</v>
      </c>
      <c r="E242" s="31">
        <v>46226.0</v>
      </c>
      <c r="F242" s="26" t="s">
        <v>46</v>
      </c>
      <c r="G242" s="26">
        <v>11.0</v>
      </c>
      <c r="I242" s="26" t="s">
        <v>42</v>
      </c>
      <c r="J242" s="25" t="str">
        <f t="shared" si="25"/>
        <v>No</v>
      </c>
      <c r="K242" s="25" t="str">
        <f t="shared" si="26"/>
        <v/>
      </c>
      <c r="L242" s="25" t="str">
        <f t="shared" si="27"/>
        <v/>
      </c>
      <c r="M242" s="26" t="s">
        <v>51</v>
      </c>
      <c r="N242" s="26" t="s">
        <v>379</v>
      </c>
      <c r="O242" s="25"/>
    </row>
    <row r="243" ht="15.75" customHeight="1">
      <c r="A243" s="25" t="str">
        <f>IFERROR(__xludf.DUMMYFUNCTION("IF(B243="""","""",RIGHT(REGEXREPLACE(B243&amp;"""",""[^0-9]"",""""),9))"),"777113260")</f>
        <v>777113260</v>
      </c>
      <c r="B243" s="52">
        <v>7.7711326E8</v>
      </c>
      <c r="C243" s="28" t="s">
        <v>380</v>
      </c>
      <c r="D243" s="26" t="s">
        <v>49</v>
      </c>
      <c r="E243" s="31">
        <v>46226.0</v>
      </c>
      <c r="F243" s="26" t="s">
        <v>41</v>
      </c>
      <c r="I243" s="26" t="s">
        <v>42</v>
      </c>
      <c r="J243" s="25" t="str">
        <f t="shared" si="25"/>
        <v>No</v>
      </c>
      <c r="K243" s="25" t="str">
        <f t="shared" si="26"/>
        <v/>
      </c>
      <c r="L243" s="25" t="str">
        <f t="shared" si="27"/>
        <v/>
      </c>
      <c r="M243" s="26" t="s">
        <v>51</v>
      </c>
      <c r="N243" s="26" t="s">
        <v>381</v>
      </c>
      <c r="O243" s="25"/>
    </row>
    <row r="244" ht="15.75" customHeight="1">
      <c r="A244" s="25" t="str">
        <f>IFERROR(__xludf.DUMMYFUNCTION("IF(B244="""","""",RIGHT(REGEXREPLACE(B244&amp;"""",""[^0-9]"",""""),9))"),"771837312")</f>
        <v>771837312</v>
      </c>
      <c r="B244" s="52">
        <v>7.71837312E8</v>
      </c>
      <c r="C244" s="28" t="s">
        <v>382</v>
      </c>
      <c r="D244" s="26" t="s">
        <v>56</v>
      </c>
      <c r="E244" s="31">
        <v>46226.0</v>
      </c>
      <c r="F244" s="26" t="s">
        <v>41</v>
      </c>
      <c r="I244" s="26" t="s">
        <v>42</v>
      </c>
      <c r="J244" s="25" t="str">
        <f t="shared" si="25"/>
        <v>No</v>
      </c>
      <c r="K244" s="25" t="str">
        <f t="shared" si="26"/>
        <v/>
      </c>
      <c r="L244" s="25" t="str">
        <f t="shared" si="27"/>
        <v/>
      </c>
      <c r="M244" s="26" t="s">
        <v>51</v>
      </c>
      <c r="N244" s="26" t="s">
        <v>274</v>
      </c>
      <c r="O244" s="25"/>
    </row>
    <row r="245" ht="15.75" customHeight="1">
      <c r="A245" s="25" t="str">
        <f>IFERROR(__xludf.DUMMYFUNCTION("IF(B245="""","""",RIGHT(REGEXREPLACE(B245&amp;"""",""[^0-9]"",""""),9))"),"772971608")</f>
        <v>772971608</v>
      </c>
      <c r="B245" s="52">
        <v>7.72971608E8</v>
      </c>
      <c r="C245" s="28" t="s">
        <v>383</v>
      </c>
      <c r="D245" s="26" t="s">
        <v>49</v>
      </c>
      <c r="E245" s="31">
        <v>46226.0</v>
      </c>
      <c r="F245" s="26" t="s">
        <v>46</v>
      </c>
      <c r="G245" s="26">
        <v>11.0</v>
      </c>
      <c r="I245" s="26" t="s">
        <v>42</v>
      </c>
      <c r="J245" s="25" t="str">
        <f t="shared" si="25"/>
        <v>No</v>
      </c>
      <c r="K245" s="25" t="str">
        <f t="shared" si="26"/>
        <v/>
      </c>
      <c r="L245" s="25" t="str">
        <f t="shared" si="27"/>
        <v/>
      </c>
      <c r="M245" s="26" t="s">
        <v>51</v>
      </c>
      <c r="N245" s="26" t="s">
        <v>384</v>
      </c>
      <c r="O245" s="25"/>
    </row>
    <row r="246" ht="15.75" customHeight="1">
      <c r="A246" s="25" t="str">
        <f>IFERROR(__xludf.DUMMYFUNCTION("IF(B246="""","""",RIGHT(REGEXREPLACE(B246&amp;"""",""[^0-9]"",""""),9))"),"772748742")</f>
        <v>772748742</v>
      </c>
      <c r="B246" s="52">
        <v>9.4772748742E10</v>
      </c>
      <c r="C246" s="28" t="s">
        <v>385</v>
      </c>
      <c r="D246" s="26" t="s">
        <v>29</v>
      </c>
      <c r="E246" s="31">
        <v>46226.0</v>
      </c>
      <c r="F246" s="26" t="s">
        <v>41</v>
      </c>
      <c r="G246" s="26">
        <v>11.0</v>
      </c>
      <c r="I246" s="26" t="s">
        <v>42</v>
      </c>
      <c r="J246" s="25" t="str">
        <f t="shared" si="25"/>
        <v>No</v>
      </c>
      <c r="K246" s="25" t="str">
        <f t="shared" si="26"/>
        <v/>
      </c>
      <c r="L246" s="25" t="str">
        <f t="shared" si="27"/>
        <v/>
      </c>
      <c r="M246" s="25"/>
      <c r="O246" s="25"/>
    </row>
    <row r="247" ht="15.75" customHeight="1">
      <c r="A247" s="25" t="str">
        <f>IFERROR(__xludf.DUMMYFUNCTION("IF(B247="""","""",RIGHT(REGEXREPLACE(B247&amp;"""",""[^0-9]"",""""),9))"),"715124888")</f>
        <v>715124888</v>
      </c>
      <c r="B247" s="52">
        <v>7.15124888E8</v>
      </c>
      <c r="C247" s="28" t="s">
        <v>386</v>
      </c>
      <c r="D247" s="26" t="s">
        <v>45</v>
      </c>
      <c r="E247" s="31">
        <v>46226.0</v>
      </c>
      <c r="F247" s="26" t="s">
        <v>84</v>
      </c>
      <c r="H247" s="26" t="s">
        <v>387</v>
      </c>
      <c r="I247" s="26" t="s">
        <v>42</v>
      </c>
      <c r="J247" s="25" t="str">
        <f t="shared" si="25"/>
        <v>No</v>
      </c>
      <c r="K247" s="25" t="str">
        <f t="shared" si="26"/>
        <v/>
      </c>
      <c r="L247" s="25" t="str">
        <f t="shared" si="27"/>
        <v/>
      </c>
      <c r="M247" s="25"/>
      <c r="O247" s="25"/>
    </row>
    <row r="248" ht="15.75" customHeight="1">
      <c r="A248" s="25" t="str">
        <f>IFERROR(__xludf.DUMMYFUNCTION("IF(B248="""","""",RIGHT(REGEXREPLACE(B248&amp;"""",""[^0-9]"",""""),9))"),"772295961")</f>
        <v>772295961</v>
      </c>
      <c r="B248" s="52">
        <v>7.72295961E8</v>
      </c>
      <c r="C248" s="28" t="s">
        <v>388</v>
      </c>
      <c r="D248" s="26" t="s">
        <v>82</v>
      </c>
      <c r="E248" s="31">
        <v>46226.0</v>
      </c>
      <c r="F248" s="26" t="s">
        <v>46</v>
      </c>
      <c r="G248" s="26">
        <v>10.0</v>
      </c>
      <c r="I248" s="26" t="s">
        <v>42</v>
      </c>
      <c r="J248" s="25" t="str">
        <f t="shared" si="25"/>
        <v>No</v>
      </c>
      <c r="K248" s="25" t="str">
        <f t="shared" si="26"/>
        <v/>
      </c>
      <c r="L248" s="25" t="str">
        <f t="shared" si="27"/>
        <v/>
      </c>
      <c r="M248" s="26" t="s">
        <v>43</v>
      </c>
      <c r="N248" s="26" t="s">
        <v>61</v>
      </c>
      <c r="O248" s="25"/>
    </row>
    <row r="249" ht="15.75" customHeight="1">
      <c r="A249" s="25" t="str">
        <f>IFERROR(__xludf.DUMMYFUNCTION("IF(B249="""","""",RIGHT(REGEXREPLACE(B249&amp;"""",""[^0-9]"",""""),9))"),"769414175")</f>
        <v>769414175</v>
      </c>
      <c r="B249" s="52">
        <v>7.69414175E8</v>
      </c>
      <c r="C249" s="28" t="s">
        <v>389</v>
      </c>
      <c r="D249" s="26" t="s">
        <v>56</v>
      </c>
      <c r="E249" s="31">
        <v>46226.0</v>
      </c>
      <c r="F249" s="26" t="s">
        <v>46</v>
      </c>
      <c r="G249" s="26">
        <v>8.0</v>
      </c>
      <c r="I249" s="26" t="s">
        <v>42</v>
      </c>
      <c r="J249" s="25" t="str">
        <f t="shared" si="25"/>
        <v>No</v>
      </c>
      <c r="K249" s="25" t="str">
        <f t="shared" si="26"/>
        <v/>
      </c>
      <c r="L249" s="25" t="str">
        <f t="shared" si="27"/>
        <v/>
      </c>
      <c r="M249" s="26" t="s">
        <v>51</v>
      </c>
      <c r="N249" s="26" t="s">
        <v>274</v>
      </c>
      <c r="O249" s="25"/>
    </row>
    <row r="250" ht="15.75" customHeight="1">
      <c r="A250" s="25" t="str">
        <f>IFERROR(__xludf.DUMMYFUNCTION("IF(B250="""","""",RIGHT(REGEXREPLACE(B250&amp;"""",""[^0-9]"",""""),9))"),"753325779")</f>
        <v>753325779</v>
      </c>
      <c r="B250" s="26">
        <v>9.4753325779E10</v>
      </c>
      <c r="C250" s="28" t="s">
        <v>369</v>
      </c>
      <c r="D250" s="26" t="s">
        <v>37</v>
      </c>
      <c r="E250" s="31">
        <v>46226.0</v>
      </c>
      <c r="F250" s="25"/>
      <c r="G250" s="25"/>
      <c r="H250" s="25"/>
      <c r="I250" s="26" t="s">
        <v>42</v>
      </c>
      <c r="J250" s="25" t="str">
        <f t="shared" si="25"/>
        <v>Yes - see Previous F-Code</v>
      </c>
      <c r="K250" s="25" t="str">
        <f t="shared" si="26"/>
        <v>DUPLICATE - CHECK</v>
      </c>
      <c r="L250" s="25" t="str">
        <f t="shared" si="27"/>
        <v>F70214</v>
      </c>
      <c r="M250" s="25"/>
      <c r="N250" s="25"/>
      <c r="O250" s="25"/>
      <c r="P250" s="25"/>
    </row>
    <row r="251" ht="15.75" customHeight="1">
      <c r="A251" s="25" t="str">
        <f>IFERROR(__xludf.DUMMYFUNCTION("IF(B251="""","""",RIGHT(REGEXREPLACE(B251&amp;"""",""[^0-9]"",""""),9))"),"788436709")</f>
        <v>788436709</v>
      </c>
      <c r="B251" s="52">
        <v>7.88436709E8</v>
      </c>
      <c r="C251" s="28" t="s">
        <v>390</v>
      </c>
      <c r="D251" s="26" t="s">
        <v>45</v>
      </c>
      <c r="E251" s="31">
        <v>46226.0</v>
      </c>
      <c r="F251" s="26" t="s">
        <v>41</v>
      </c>
      <c r="I251" s="26" t="s">
        <v>42</v>
      </c>
      <c r="J251" s="25" t="str">
        <f t="shared" si="25"/>
        <v>No</v>
      </c>
      <c r="K251" s="25" t="str">
        <f t="shared" si="26"/>
        <v/>
      </c>
      <c r="L251" s="25" t="str">
        <f t="shared" si="27"/>
        <v/>
      </c>
      <c r="M251" s="25"/>
      <c r="O251" s="25"/>
    </row>
    <row r="252" ht="15.75" customHeight="1">
      <c r="A252" s="25" t="str">
        <f>IFERROR(__xludf.DUMMYFUNCTION("IF(B252="""","""",RIGHT(REGEXREPLACE(B252&amp;"""",""[^0-9]"",""""),9))"),"768023174")</f>
        <v>768023174</v>
      </c>
      <c r="B252" s="26">
        <v>7.68023174E8</v>
      </c>
      <c r="C252" s="28" t="s">
        <v>391</v>
      </c>
      <c r="D252" s="26" t="s">
        <v>29</v>
      </c>
      <c r="E252" s="31">
        <v>46226.0</v>
      </c>
      <c r="F252" s="26" t="s">
        <v>41</v>
      </c>
      <c r="I252" s="26" t="s">
        <v>42</v>
      </c>
      <c r="J252" s="25" t="str">
        <f t="shared" si="25"/>
        <v>No</v>
      </c>
      <c r="K252" s="25" t="str">
        <f t="shared" si="26"/>
        <v/>
      </c>
      <c r="L252" s="25" t="str">
        <f t="shared" si="27"/>
        <v/>
      </c>
      <c r="M252" s="25"/>
      <c r="O252" s="25"/>
    </row>
    <row r="253" ht="15.75" customHeight="1">
      <c r="A253" s="25" t="str">
        <f>IFERROR(__xludf.DUMMYFUNCTION("IF(B253="""","""",RIGHT(REGEXREPLACE(B253&amp;"""",""[^0-9]"",""""),9))"),"713291642")</f>
        <v>713291642</v>
      </c>
      <c r="B253" s="52">
        <v>7.13291642E8</v>
      </c>
      <c r="C253" s="28" t="s">
        <v>392</v>
      </c>
      <c r="D253" s="26" t="s">
        <v>49</v>
      </c>
      <c r="E253" s="31">
        <v>46226.0</v>
      </c>
      <c r="F253" s="26" t="s">
        <v>46</v>
      </c>
      <c r="G253" s="26">
        <v>11.0</v>
      </c>
      <c r="I253" s="26" t="s">
        <v>42</v>
      </c>
      <c r="J253" s="25" t="str">
        <f t="shared" si="25"/>
        <v>No</v>
      </c>
      <c r="K253" s="25" t="str">
        <f t="shared" si="26"/>
        <v/>
      </c>
      <c r="L253" s="25" t="str">
        <f t="shared" si="27"/>
        <v/>
      </c>
      <c r="M253" s="26" t="s">
        <v>43</v>
      </c>
      <c r="N253" s="26" t="s">
        <v>54</v>
      </c>
      <c r="O253" s="25"/>
    </row>
    <row r="254" ht="15.75" customHeight="1">
      <c r="A254" s="25" t="str">
        <f>IFERROR(__xludf.DUMMYFUNCTION("IF(B254="""","""",RIGHT(REGEXREPLACE(B254&amp;"""",""[^0-9]"",""""),9))"),"703617976")</f>
        <v>703617976</v>
      </c>
      <c r="B254" s="26">
        <v>7.03617976E8</v>
      </c>
      <c r="C254" s="28" t="s">
        <v>393</v>
      </c>
      <c r="D254" s="26" t="s">
        <v>37</v>
      </c>
      <c r="E254" s="31">
        <v>46226.0</v>
      </c>
      <c r="F254" s="26" t="s">
        <v>46</v>
      </c>
      <c r="G254" s="26">
        <v>8.0</v>
      </c>
      <c r="I254" s="26" t="s">
        <v>42</v>
      </c>
      <c r="J254" s="25" t="str">
        <f t="shared" si="25"/>
        <v>No</v>
      </c>
      <c r="K254" s="25" t="str">
        <f t="shared" si="26"/>
        <v/>
      </c>
      <c r="L254" s="25" t="str">
        <f t="shared" si="27"/>
        <v/>
      </c>
      <c r="M254" s="25"/>
      <c r="O254" s="25"/>
    </row>
    <row r="255" ht="15.75" customHeight="1">
      <c r="A255" s="25" t="str">
        <f>IFERROR(__xludf.DUMMYFUNCTION("IF(B255="""","""",RIGHT(REGEXREPLACE(B255&amp;"""",""[^0-9]"",""""),9))"),"766144471")</f>
        <v>766144471</v>
      </c>
      <c r="B255" s="52">
        <v>7.66144471E8</v>
      </c>
      <c r="C255" s="28" t="s">
        <v>394</v>
      </c>
      <c r="D255" s="26" t="s">
        <v>56</v>
      </c>
      <c r="E255" s="31">
        <v>46226.0</v>
      </c>
      <c r="F255" s="26" t="s">
        <v>46</v>
      </c>
      <c r="G255" s="26">
        <v>11.0</v>
      </c>
      <c r="I255" s="26" t="s">
        <v>42</v>
      </c>
      <c r="J255" s="25" t="str">
        <f t="shared" si="25"/>
        <v>No</v>
      </c>
      <c r="K255" s="25" t="str">
        <f t="shared" si="26"/>
        <v/>
      </c>
      <c r="L255" s="25" t="str">
        <f t="shared" si="27"/>
        <v/>
      </c>
      <c r="M255" s="26" t="s">
        <v>51</v>
      </c>
      <c r="N255" s="26" t="s">
        <v>395</v>
      </c>
      <c r="O255" s="25"/>
    </row>
    <row r="256" ht="15.75" customHeight="1">
      <c r="A256" s="25" t="str">
        <f>IFERROR(__xludf.DUMMYFUNCTION("IF(B256="""","""",RIGHT(REGEXREPLACE(B256&amp;"""",""[^0-9]"",""""),9))"),"789506216")</f>
        <v>789506216</v>
      </c>
      <c r="B256" s="52">
        <v>7.89506216E8</v>
      </c>
      <c r="C256" s="28" t="s">
        <v>396</v>
      </c>
      <c r="D256" s="26" t="s">
        <v>45</v>
      </c>
      <c r="E256" s="31">
        <v>46226.0</v>
      </c>
      <c r="F256" s="26" t="s">
        <v>46</v>
      </c>
      <c r="G256" s="26">
        <v>11.0</v>
      </c>
      <c r="I256" s="26" t="s">
        <v>42</v>
      </c>
      <c r="J256" s="25" t="str">
        <f t="shared" si="25"/>
        <v>No</v>
      </c>
      <c r="K256" s="25" t="str">
        <f t="shared" si="26"/>
        <v/>
      </c>
      <c r="L256" s="25" t="str">
        <f t="shared" si="27"/>
        <v/>
      </c>
      <c r="M256" s="25"/>
      <c r="O256" s="25"/>
    </row>
    <row r="257" ht="15.75" customHeight="1">
      <c r="A257" s="25" t="str">
        <f>IFERROR(__xludf.DUMMYFUNCTION("IF(B257="""","""",RIGHT(REGEXREPLACE(B257&amp;"""",""[^0-9]"",""""),9))"),"702362873")</f>
        <v>702362873</v>
      </c>
      <c r="B257" s="52">
        <v>7.02362873E8</v>
      </c>
      <c r="C257" s="28" t="s">
        <v>397</v>
      </c>
      <c r="D257" s="26" t="s">
        <v>49</v>
      </c>
      <c r="E257" s="31">
        <v>46226.0</v>
      </c>
      <c r="F257" s="26" t="s">
        <v>46</v>
      </c>
      <c r="G257" s="26">
        <v>11.0</v>
      </c>
      <c r="I257" s="26" t="s">
        <v>42</v>
      </c>
      <c r="J257" s="25" t="str">
        <f t="shared" si="25"/>
        <v>No</v>
      </c>
      <c r="K257" s="25" t="str">
        <f t="shared" si="26"/>
        <v/>
      </c>
      <c r="L257" s="25" t="str">
        <f t="shared" si="27"/>
        <v/>
      </c>
      <c r="M257" s="25"/>
      <c r="O257" s="25"/>
    </row>
    <row r="258" ht="15.75" customHeight="1">
      <c r="A258" s="25" t="str">
        <f>IFERROR(__xludf.DUMMYFUNCTION("IF(B258="""","""",RIGHT(REGEXREPLACE(B258&amp;"""",""[^0-9]"",""""),9))"),"781109561")</f>
        <v>781109561</v>
      </c>
      <c r="B258" s="52">
        <v>7.81109561E8</v>
      </c>
      <c r="C258" s="28" t="s">
        <v>398</v>
      </c>
      <c r="D258" s="26" t="s">
        <v>82</v>
      </c>
      <c r="E258" s="31">
        <v>46226.0</v>
      </c>
      <c r="F258" s="26" t="s">
        <v>46</v>
      </c>
      <c r="G258" s="26">
        <v>10.0</v>
      </c>
      <c r="I258" s="26" t="s">
        <v>42</v>
      </c>
      <c r="J258" s="25" t="str">
        <f t="shared" si="25"/>
        <v>No</v>
      </c>
      <c r="K258" s="25" t="str">
        <f t="shared" si="26"/>
        <v/>
      </c>
      <c r="L258" s="25" t="str">
        <f t="shared" si="27"/>
        <v/>
      </c>
      <c r="M258" s="25"/>
      <c r="O258" s="25"/>
    </row>
    <row r="259" ht="15.75" customHeight="1">
      <c r="A259" s="25" t="str">
        <f>IFERROR(__xludf.DUMMYFUNCTION("IF(B259="""","""",RIGHT(REGEXREPLACE(B259&amp;"""",""[^0-9]"",""""),9))"),"703447831")</f>
        <v>703447831</v>
      </c>
      <c r="B259" s="52">
        <v>7.03447831E8</v>
      </c>
      <c r="C259" s="28" t="s">
        <v>399</v>
      </c>
      <c r="D259" s="26" t="s">
        <v>56</v>
      </c>
      <c r="E259" s="31">
        <v>46226.0</v>
      </c>
      <c r="F259" s="26" t="s">
        <v>41</v>
      </c>
      <c r="G259" s="26">
        <v>11.0</v>
      </c>
      <c r="I259" s="26" t="s">
        <v>42</v>
      </c>
      <c r="J259" s="25" t="str">
        <f t="shared" si="25"/>
        <v>No</v>
      </c>
      <c r="K259" s="25" t="str">
        <f t="shared" si="26"/>
        <v/>
      </c>
      <c r="L259" s="25" t="str">
        <f t="shared" si="27"/>
        <v/>
      </c>
      <c r="M259" s="26" t="s">
        <v>43</v>
      </c>
      <c r="O259" s="25"/>
    </row>
    <row r="260" ht="15.75" customHeight="1">
      <c r="A260" s="25" t="str">
        <f>IFERROR(__xludf.DUMMYFUNCTION("IF(B260="""","""",RIGHT(REGEXREPLACE(B260&amp;"""",""[^0-9]"",""""),9))"),"712149713")</f>
        <v>712149713</v>
      </c>
      <c r="B260" s="26">
        <v>7.12149713E8</v>
      </c>
      <c r="C260" s="28" t="s">
        <v>400</v>
      </c>
      <c r="D260" s="26" t="s">
        <v>37</v>
      </c>
      <c r="E260" s="31">
        <v>46226.0</v>
      </c>
      <c r="F260" s="26" t="s">
        <v>41</v>
      </c>
      <c r="I260" s="26" t="s">
        <v>42</v>
      </c>
      <c r="J260" s="25" t="str">
        <f t="shared" si="25"/>
        <v>No</v>
      </c>
      <c r="K260" s="25" t="str">
        <f t="shared" si="26"/>
        <v/>
      </c>
      <c r="L260" s="25" t="str">
        <f t="shared" si="27"/>
        <v/>
      </c>
      <c r="M260" s="25"/>
      <c r="O260" s="25"/>
    </row>
    <row r="261" ht="15.75" customHeight="1">
      <c r="A261" s="25" t="str">
        <f>IFERROR(__xludf.DUMMYFUNCTION("IF(B261="""","""",RIGHT(REGEXREPLACE(B261&amp;"""",""[^0-9]"",""""),9))"),"771650119")</f>
        <v>771650119</v>
      </c>
      <c r="B261" s="26">
        <v>7.71650119E8</v>
      </c>
      <c r="C261" s="28" t="s">
        <v>401</v>
      </c>
      <c r="D261" s="26" t="s">
        <v>37</v>
      </c>
      <c r="E261" s="31">
        <v>46226.0</v>
      </c>
      <c r="F261" s="26" t="s">
        <v>46</v>
      </c>
      <c r="G261" s="26">
        <v>11.0</v>
      </c>
      <c r="I261" s="26" t="s">
        <v>42</v>
      </c>
      <c r="J261" s="25" t="str">
        <f t="shared" si="25"/>
        <v>No</v>
      </c>
      <c r="K261" s="25" t="str">
        <f t="shared" si="26"/>
        <v/>
      </c>
      <c r="L261" s="25" t="str">
        <f t="shared" si="27"/>
        <v/>
      </c>
      <c r="M261" s="25"/>
      <c r="O261" s="25"/>
    </row>
    <row r="262" ht="15.75" customHeight="1">
      <c r="A262" s="25" t="str">
        <f>IFERROR(__xludf.DUMMYFUNCTION("IF(B262="""","""",RIGHT(REGEXREPLACE(B262&amp;"""",""[^0-9]"",""""),9))"),"750119409")</f>
        <v>750119409</v>
      </c>
      <c r="B262" s="26">
        <v>7.50119409E8</v>
      </c>
      <c r="C262" s="28" t="s">
        <v>402</v>
      </c>
      <c r="D262" s="26" t="s">
        <v>29</v>
      </c>
      <c r="E262" s="31">
        <v>46226.0</v>
      </c>
      <c r="F262" s="26" t="s">
        <v>41</v>
      </c>
      <c r="I262" s="26" t="s">
        <v>42</v>
      </c>
      <c r="J262" s="25" t="str">
        <f t="shared" si="25"/>
        <v>No</v>
      </c>
      <c r="K262" s="25" t="str">
        <f t="shared" si="26"/>
        <v/>
      </c>
      <c r="L262" s="25" t="str">
        <f t="shared" si="27"/>
        <v/>
      </c>
      <c r="M262" s="25"/>
      <c r="O262" s="25"/>
    </row>
    <row r="263" ht="15.75" customHeight="1">
      <c r="A263" s="25" t="str">
        <f>IFERROR(__xludf.DUMMYFUNCTION("IF(B263="""","""",RIGHT(REGEXREPLACE(B263&amp;"""",""[^0-9]"",""""),9))"),"717566424")</f>
        <v>717566424</v>
      </c>
      <c r="B263" s="52">
        <v>7.17566424E8</v>
      </c>
      <c r="C263" s="28" t="s">
        <v>403</v>
      </c>
      <c r="D263" s="26" t="s">
        <v>49</v>
      </c>
      <c r="E263" s="31">
        <v>46226.0</v>
      </c>
      <c r="F263" s="26" t="s">
        <v>41</v>
      </c>
      <c r="G263" s="26">
        <v>10.0</v>
      </c>
      <c r="I263" s="26" t="s">
        <v>42</v>
      </c>
      <c r="J263" s="25" t="str">
        <f t="shared" si="25"/>
        <v>No</v>
      </c>
      <c r="K263" s="25" t="str">
        <f t="shared" si="26"/>
        <v/>
      </c>
      <c r="L263" s="25" t="str">
        <f t="shared" si="27"/>
        <v/>
      </c>
      <c r="M263" s="25"/>
      <c r="O263" s="25"/>
    </row>
    <row r="264" ht="15.75" customHeight="1">
      <c r="A264" s="25" t="str">
        <f>IFERROR(__xludf.DUMMYFUNCTION("IF(B264="""","""",RIGHT(REGEXREPLACE(B264&amp;"""",""[^0-9]"",""""),9))"),"716321203")</f>
        <v>716321203</v>
      </c>
      <c r="B264" s="52">
        <v>7.16321203E8</v>
      </c>
      <c r="C264" s="28" t="s">
        <v>404</v>
      </c>
      <c r="D264" s="26" t="s">
        <v>45</v>
      </c>
      <c r="E264" s="31">
        <v>46226.0</v>
      </c>
      <c r="F264" s="26" t="s">
        <v>46</v>
      </c>
      <c r="G264" s="26">
        <v>10.0</v>
      </c>
      <c r="I264" s="26" t="s">
        <v>42</v>
      </c>
      <c r="J264" s="25" t="str">
        <f t="shared" si="25"/>
        <v>No</v>
      </c>
      <c r="K264" s="25" t="str">
        <f t="shared" si="26"/>
        <v/>
      </c>
      <c r="L264" s="25" t="str">
        <f t="shared" si="27"/>
        <v/>
      </c>
      <c r="M264" s="25"/>
      <c r="O264" s="25"/>
    </row>
    <row r="265" ht="15.75" customHeight="1">
      <c r="A265" s="25" t="str">
        <f>IFERROR(__xludf.DUMMYFUNCTION("IF(B265="""","""",RIGHT(REGEXREPLACE(B265&amp;"""",""[^0-9]"",""""),9))"),"766677055")</f>
        <v>766677055</v>
      </c>
      <c r="B265" s="52">
        <v>7.66677055E8</v>
      </c>
      <c r="C265" s="28" t="s">
        <v>405</v>
      </c>
      <c r="D265" s="26" t="s">
        <v>56</v>
      </c>
      <c r="E265" s="31">
        <v>46226.0</v>
      </c>
      <c r="F265" s="26" t="s">
        <v>46</v>
      </c>
      <c r="G265" s="26">
        <v>11.0</v>
      </c>
      <c r="I265" s="26" t="s">
        <v>42</v>
      </c>
      <c r="J265" s="25" t="str">
        <f t="shared" si="25"/>
        <v>No</v>
      </c>
      <c r="K265" s="25" t="str">
        <f t="shared" si="26"/>
        <v/>
      </c>
      <c r="L265" s="25" t="str">
        <f t="shared" si="27"/>
        <v/>
      </c>
      <c r="M265" s="26" t="s">
        <v>51</v>
      </c>
      <c r="N265" s="26" t="s">
        <v>406</v>
      </c>
      <c r="O265" s="25"/>
    </row>
    <row r="266" ht="15.75" customHeight="1">
      <c r="A266" s="25" t="str">
        <f>IFERROR(__xludf.DUMMYFUNCTION("IF(B266="""","""",RIGHT(REGEXREPLACE(B266&amp;"""",""[^0-9]"",""""),9))"),"741970631")</f>
        <v>741970631</v>
      </c>
      <c r="B266" s="52">
        <v>7.41970631E8</v>
      </c>
      <c r="C266" s="28" t="s">
        <v>407</v>
      </c>
      <c r="D266" s="26" t="s">
        <v>82</v>
      </c>
      <c r="E266" s="31">
        <v>46226.0</v>
      </c>
      <c r="F266" s="26" t="s">
        <v>41</v>
      </c>
      <c r="I266" s="26" t="s">
        <v>42</v>
      </c>
      <c r="J266" s="25" t="str">
        <f t="shared" si="25"/>
        <v>No</v>
      </c>
      <c r="K266" s="25" t="str">
        <f t="shared" si="26"/>
        <v/>
      </c>
      <c r="L266" s="25" t="str">
        <f t="shared" si="27"/>
        <v/>
      </c>
      <c r="M266" s="25"/>
      <c r="O266" s="25"/>
    </row>
    <row r="267" ht="15.75" customHeight="1">
      <c r="A267" s="25" t="str">
        <f>IFERROR(__xludf.DUMMYFUNCTION("IF(B267="""","""",RIGHT(REGEXREPLACE(B267&amp;"""",""[^0-9]"",""""),9))"),"771815100")</f>
        <v>771815100</v>
      </c>
      <c r="B267" s="26">
        <v>7.718151E8</v>
      </c>
      <c r="C267" s="28" t="s">
        <v>408</v>
      </c>
      <c r="D267" s="26" t="s">
        <v>37</v>
      </c>
      <c r="E267" s="31">
        <v>46226.0</v>
      </c>
      <c r="F267" s="26" t="s">
        <v>46</v>
      </c>
      <c r="G267" s="26">
        <v>11.0</v>
      </c>
      <c r="I267" s="26" t="s">
        <v>42</v>
      </c>
      <c r="J267" s="25" t="str">
        <f t="shared" si="25"/>
        <v>No</v>
      </c>
      <c r="K267" s="25" t="str">
        <f t="shared" si="26"/>
        <v/>
      </c>
      <c r="L267" s="25" t="str">
        <f t="shared" si="27"/>
        <v/>
      </c>
      <c r="M267" s="25"/>
      <c r="O267" s="25"/>
    </row>
    <row r="268" ht="15.75" customHeight="1">
      <c r="A268" s="25" t="str">
        <f>IFERROR(__xludf.DUMMYFUNCTION("IF(B268="""","""",RIGHT(REGEXREPLACE(B268&amp;"""",""[^0-9]"",""""),9))"),"769643880")</f>
        <v>769643880</v>
      </c>
      <c r="B268" s="52">
        <v>7.6964388E8</v>
      </c>
      <c r="C268" s="28" t="s">
        <v>409</v>
      </c>
      <c r="D268" s="26" t="s">
        <v>49</v>
      </c>
      <c r="E268" s="31">
        <v>46226.0</v>
      </c>
      <c r="F268" s="26" t="s">
        <v>46</v>
      </c>
      <c r="G268" s="26">
        <v>11.0</v>
      </c>
      <c r="I268" s="26" t="s">
        <v>42</v>
      </c>
      <c r="J268" s="25" t="str">
        <f t="shared" si="25"/>
        <v>No</v>
      </c>
      <c r="K268" s="25" t="str">
        <f t="shared" si="26"/>
        <v/>
      </c>
      <c r="L268" s="25" t="str">
        <f t="shared" si="27"/>
        <v/>
      </c>
      <c r="M268" s="25"/>
      <c r="O268" s="25"/>
    </row>
    <row r="269" ht="15.75" customHeight="1">
      <c r="A269" s="25" t="str">
        <f>IFERROR(__xludf.DUMMYFUNCTION("IF(B269="""","""",RIGHT(REGEXREPLACE(B269&amp;"""",""[^0-9]"",""""),9))"),"718053527")</f>
        <v>718053527</v>
      </c>
      <c r="B269" s="52">
        <v>7.18053527E8</v>
      </c>
      <c r="C269" s="28" t="s">
        <v>410</v>
      </c>
      <c r="D269" s="26" t="s">
        <v>29</v>
      </c>
      <c r="E269" s="31">
        <v>46226.0</v>
      </c>
      <c r="F269" s="26" t="s">
        <v>41</v>
      </c>
      <c r="G269" s="26">
        <v>11.0</v>
      </c>
      <c r="I269" s="26" t="s">
        <v>42</v>
      </c>
      <c r="J269" s="25" t="str">
        <f t="shared" si="25"/>
        <v>No</v>
      </c>
      <c r="K269" s="25" t="str">
        <f t="shared" si="26"/>
        <v/>
      </c>
      <c r="L269" s="25" t="str">
        <f t="shared" si="27"/>
        <v/>
      </c>
      <c r="M269" s="25"/>
      <c r="O269" s="25"/>
    </row>
    <row r="270" ht="15.75" customHeight="1">
      <c r="A270" s="25" t="str">
        <f>IFERROR(__xludf.DUMMYFUNCTION("IF(B270="""","""",RIGHT(REGEXREPLACE(B270&amp;"""",""[^0-9]"",""""),9))"),"727817036")</f>
        <v>727817036</v>
      </c>
      <c r="B270" s="52">
        <v>7.27817036E8</v>
      </c>
      <c r="C270" s="28" t="s">
        <v>411</v>
      </c>
      <c r="D270" s="26" t="s">
        <v>82</v>
      </c>
      <c r="E270" s="31">
        <v>46226.0</v>
      </c>
      <c r="F270" s="26" t="s">
        <v>205</v>
      </c>
      <c r="I270" s="26" t="s">
        <v>42</v>
      </c>
      <c r="J270" s="25" t="str">
        <f t="shared" si="25"/>
        <v>No</v>
      </c>
      <c r="K270" s="25" t="str">
        <f t="shared" si="26"/>
        <v/>
      </c>
      <c r="L270" s="25" t="str">
        <f t="shared" si="27"/>
        <v/>
      </c>
      <c r="M270" s="25"/>
      <c r="O270" s="25"/>
    </row>
    <row r="271" ht="15.75" customHeight="1">
      <c r="A271" s="25" t="str">
        <f>IFERROR(__xludf.DUMMYFUNCTION("IF(B271="""","""",RIGHT(REGEXREPLACE(B271&amp;"""",""[^0-9]"",""""),9))"),"778221376")</f>
        <v>778221376</v>
      </c>
      <c r="B271" s="52">
        <v>7.78221376E8</v>
      </c>
      <c r="C271" s="28" t="s">
        <v>412</v>
      </c>
      <c r="D271" s="26" t="s">
        <v>45</v>
      </c>
      <c r="E271" s="31">
        <v>46226.0</v>
      </c>
      <c r="F271" s="26" t="s">
        <v>46</v>
      </c>
      <c r="G271" s="26">
        <v>11.0</v>
      </c>
      <c r="I271" s="26" t="s">
        <v>42</v>
      </c>
      <c r="J271" s="25" t="str">
        <f t="shared" si="25"/>
        <v>No</v>
      </c>
      <c r="K271" s="25" t="str">
        <f t="shared" si="26"/>
        <v/>
      </c>
      <c r="L271" s="25" t="str">
        <f t="shared" si="27"/>
        <v/>
      </c>
      <c r="M271" s="25"/>
      <c r="O271" s="25"/>
    </row>
    <row r="272" ht="15.75" customHeight="1">
      <c r="A272" s="25" t="str">
        <f>IFERROR(__xludf.DUMMYFUNCTION("IF(B272="""","""",RIGHT(REGEXREPLACE(B272&amp;"""",""[^0-9]"",""""),9))"),"779517401")</f>
        <v>779517401</v>
      </c>
      <c r="B272" s="52">
        <v>7.79517401E8</v>
      </c>
      <c r="C272" s="28" t="s">
        <v>413</v>
      </c>
      <c r="D272" s="26" t="s">
        <v>56</v>
      </c>
      <c r="E272" s="31">
        <v>46226.0</v>
      </c>
      <c r="F272" s="26" t="s">
        <v>205</v>
      </c>
      <c r="G272" s="26">
        <v>11.0</v>
      </c>
      <c r="I272" s="26" t="s">
        <v>42</v>
      </c>
      <c r="J272" s="25" t="str">
        <f t="shared" si="25"/>
        <v>No</v>
      </c>
      <c r="K272" s="25" t="str">
        <f t="shared" si="26"/>
        <v/>
      </c>
      <c r="L272" s="25" t="str">
        <f t="shared" si="27"/>
        <v/>
      </c>
      <c r="M272" s="26" t="s">
        <v>43</v>
      </c>
      <c r="N272" s="26" t="s">
        <v>61</v>
      </c>
      <c r="O272" s="25"/>
    </row>
    <row r="273" ht="15.75" customHeight="1">
      <c r="A273" s="25" t="str">
        <f>IFERROR(__xludf.DUMMYFUNCTION("IF(B273="""","""",RIGHT(REGEXREPLACE(B273&amp;"""",""[^0-9]"",""""),9))"),"715873024")</f>
        <v>715873024</v>
      </c>
      <c r="B273" s="52">
        <v>7.15873024E8</v>
      </c>
      <c r="C273" s="28" t="s">
        <v>414</v>
      </c>
      <c r="D273" s="26" t="s">
        <v>82</v>
      </c>
      <c r="E273" s="31">
        <v>46226.0</v>
      </c>
      <c r="F273" s="26" t="s">
        <v>167</v>
      </c>
      <c r="G273" s="26">
        <v>10.0</v>
      </c>
      <c r="I273" s="26" t="s">
        <v>42</v>
      </c>
      <c r="J273" s="25" t="str">
        <f t="shared" si="25"/>
        <v>No</v>
      </c>
      <c r="K273" s="25" t="str">
        <f t="shared" si="26"/>
        <v/>
      </c>
      <c r="L273" s="25" t="str">
        <f t="shared" si="27"/>
        <v/>
      </c>
      <c r="M273" s="25"/>
      <c r="O273" s="26" t="s">
        <v>51</v>
      </c>
    </row>
    <row r="274" ht="15.75" customHeight="1">
      <c r="A274" s="25" t="str">
        <f>IFERROR(__xludf.DUMMYFUNCTION("IF(B274="""","""",RIGHT(REGEXREPLACE(B274&amp;"""",""[^0-9]"",""""),9))"),"704080323")</f>
        <v>704080323</v>
      </c>
      <c r="B274" s="54">
        <v>7.04080323E8</v>
      </c>
      <c r="C274" s="28" t="s">
        <v>415</v>
      </c>
      <c r="D274" s="26" t="s">
        <v>29</v>
      </c>
      <c r="E274" s="31">
        <v>46226.0</v>
      </c>
      <c r="F274" s="26" t="s">
        <v>46</v>
      </c>
      <c r="G274" s="26">
        <v>11.0</v>
      </c>
      <c r="I274" s="26" t="s">
        <v>42</v>
      </c>
      <c r="J274" s="25" t="str">
        <f t="shared" si="25"/>
        <v>No</v>
      </c>
      <c r="K274" s="25" t="str">
        <f t="shared" si="26"/>
        <v/>
      </c>
      <c r="L274" s="25" t="str">
        <f t="shared" si="27"/>
        <v/>
      </c>
      <c r="M274" s="25"/>
      <c r="O274" s="25"/>
    </row>
    <row r="275" ht="15.75" customHeight="1">
      <c r="A275" s="25" t="str">
        <f>IFERROR(__xludf.DUMMYFUNCTION("IF(B275="""","""",RIGHT(REGEXREPLACE(B275&amp;"""",""[^0-9]"",""""),9))"),"777327854")</f>
        <v>777327854</v>
      </c>
      <c r="B275" s="52">
        <v>7.77327854E8</v>
      </c>
      <c r="C275" s="28" t="s">
        <v>416</v>
      </c>
      <c r="D275" s="26" t="s">
        <v>56</v>
      </c>
      <c r="E275" s="31">
        <v>46226.0</v>
      </c>
      <c r="F275" s="26" t="s">
        <v>46</v>
      </c>
      <c r="G275" s="26">
        <v>10.0</v>
      </c>
      <c r="I275" s="26" t="s">
        <v>42</v>
      </c>
      <c r="J275" s="25" t="str">
        <f t="shared" si="25"/>
        <v>No</v>
      </c>
      <c r="K275" s="25" t="str">
        <f t="shared" si="26"/>
        <v/>
      </c>
      <c r="L275" s="25" t="str">
        <f t="shared" si="27"/>
        <v/>
      </c>
      <c r="M275" s="26" t="s">
        <v>43</v>
      </c>
      <c r="N275" s="26" t="s">
        <v>61</v>
      </c>
      <c r="O275" s="25"/>
    </row>
    <row r="276" ht="15.75" customHeight="1">
      <c r="A276" s="25" t="str">
        <f>IFERROR(__xludf.DUMMYFUNCTION("IF(B276="""","""",RIGHT(REGEXREPLACE(B276&amp;"""",""[^0-9]"",""""),9))"),"775280091")</f>
        <v>775280091</v>
      </c>
      <c r="B276" s="52">
        <v>7.75280091E8</v>
      </c>
      <c r="C276" s="28" t="s">
        <v>417</v>
      </c>
      <c r="D276" s="26" t="s">
        <v>49</v>
      </c>
      <c r="E276" s="31">
        <v>46226.0</v>
      </c>
      <c r="F276" s="26" t="s">
        <v>41</v>
      </c>
      <c r="G276" s="26">
        <v>11.0</v>
      </c>
      <c r="I276" s="26" t="s">
        <v>42</v>
      </c>
      <c r="J276" s="25" t="str">
        <f t="shared" si="25"/>
        <v>No</v>
      </c>
      <c r="K276" s="25" t="str">
        <f t="shared" si="26"/>
        <v/>
      </c>
      <c r="L276" s="25" t="str">
        <f t="shared" si="27"/>
        <v/>
      </c>
      <c r="M276" s="25"/>
      <c r="O276" s="25"/>
    </row>
    <row r="277" ht="15.75" customHeight="1">
      <c r="A277" s="25" t="str">
        <f>IFERROR(__xludf.DUMMYFUNCTION("IF(B277="""","""",RIGHT(REGEXREPLACE(B277&amp;"""",""[^0-9]"",""""),9))"),"760039503")</f>
        <v>760039503</v>
      </c>
      <c r="B277" s="26">
        <v>7.60039503E8</v>
      </c>
      <c r="C277" s="28" t="s">
        <v>418</v>
      </c>
      <c r="D277" s="26" t="s">
        <v>37</v>
      </c>
      <c r="E277" s="31">
        <v>46226.0</v>
      </c>
      <c r="F277" s="26" t="s">
        <v>46</v>
      </c>
      <c r="G277" s="26">
        <v>11.0</v>
      </c>
      <c r="I277" s="26" t="s">
        <v>42</v>
      </c>
      <c r="J277" s="25" t="str">
        <f t="shared" si="25"/>
        <v>No</v>
      </c>
      <c r="K277" s="25" t="str">
        <f t="shared" si="26"/>
        <v/>
      </c>
      <c r="L277" s="25" t="str">
        <f t="shared" si="27"/>
        <v/>
      </c>
      <c r="M277" s="25"/>
      <c r="O277" s="25"/>
    </row>
    <row r="278" ht="15.75" customHeight="1">
      <c r="A278" s="25" t="str">
        <f>IFERROR(__xludf.DUMMYFUNCTION("IF(B278="""","""",RIGHT(REGEXREPLACE(B278&amp;"""",""[^0-9]"",""""),9))"),"766989691")</f>
        <v>766989691</v>
      </c>
      <c r="B278" s="52">
        <v>7.66989691E8</v>
      </c>
      <c r="C278" s="28" t="s">
        <v>419</v>
      </c>
      <c r="D278" s="26" t="s">
        <v>45</v>
      </c>
      <c r="E278" s="31">
        <v>46226.0</v>
      </c>
      <c r="F278" s="26" t="s">
        <v>46</v>
      </c>
      <c r="G278" s="26">
        <v>11.0</v>
      </c>
      <c r="I278" s="26" t="s">
        <v>42</v>
      </c>
      <c r="J278" s="25" t="str">
        <f t="shared" si="25"/>
        <v>No</v>
      </c>
      <c r="K278" s="25" t="str">
        <f t="shared" si="26"/>
        <v/>
      </c>
      <c r="L278" s="25" t="str">
        <f t="shared" si="27"/>
        <v/>
      </c>
      <c r="M278" s="25"/>
      <c r="O278" s="25"/>
    </row>
    <row r="279" ht="15.75" customHeight="1">
      <c r="A279" s="25" t="str">
        <f>IFERROR(__xludf.DUMMYFUNCTION("IF(B279="""","""",RIGHT(REGEXREPLACE(B279&amp;"""",""[^0-9]"",""""),9))"),"778241843")</f>
        <v>778241843</v>
      </c>
      <c r="B279" s="52">
        <v>9.4778241843E10</v>
      </c>
      <c r="C279" s="28" t="s">
        <v>420</v>
      </c>
      <c r="D279" s="26" t="s">
        <v>37</v>
      </c>
      <c r="E279" s="31">
        <v>46226.0</v>
      </c>
      <c r="F279" s="26" t="s">
        <v>41</v>
      </c>
      <c r="G279" s="26">
        <v>11.0</v>
      </c>
      <c r="H279" s="26" t="s">
        <v>253</v>
      </c>
      <c r="I279" s="26" t="s">
        <v>42</v>
      </c>
      <c r="J279" s="25" t="str">
        <f t="shared" si="25"/>
        <v>No</v>
      </c>
      <c r="K279" s="25" t="str">
        <f t="shared" si="26"/>
        <v/>
      </c>
      <c r="L279" s="25" t="str">
        <f t="shared" si="27"/>
        <v/>
      </c>
      <c r="M279" s="25"/>
      <c r="O279" s="25"/>
    </row>
    <row r="280" ht="15.75" customHeight="1">
      <c r="A280" s="25" t="str">
        <f>IFERROR(__xludf.DUMMYFUNCTION("IF(B280="""","""",RIGHT(REGEXREPLACE(B280&amp;"""",""[^0-9]"",""""),9))"),"778145494")</f>
        <v>778145494</v>
      </c>
      <c r="B280" s="52">
        <v>7.78145494E8</v>
      </c>
      <c r="C280" s="28" t="s">
        <v>421</v>
      </c>
      <c r="D280" s="26" t="s">
        <v>49</v>
      </c>
      <c r="E280" s="31">
        <v>46226.0</v>
      </c>
      <c r="F280" s="26" t="s">
        <v>46</v>
      </c>
      <c r="G280" s="26">
        <v>11.0</v>
      </c>
      <c r="H280" s="26" t="s">
        <v>253</v>
      </c>
      <c r="I280" s="26" t="s">
        <v>42</v>
      </c>
      <c r="J280" s="25" t="str">
        <f t="shared" si="25"/>
        <v>No</v>
      </c>
      <c r="K280" s="25" t="str">
        <f t="shared" si="26"/>
        <v/>
      </c>
      <c r="L280" s="25" t="str">
        <f t="shared" si="27"/>
        <v/>
      </c>
      <c r="M280" s="25"/>
      <c r="O280" s="25"/>
    </row>
    <row r="281" ht="15.75" customHeight="1">
      <c r="A281" s="25" t="str">
        <f>IFERROR(__xludf.DUMMYFUNCTION("IF(B281="""","""",RIGHT(REGEXREPLACE(B281&amp;"""",""[^0-9]"",""""),9))"),"713777306")</f>
        <v>713777306</v>
      </c>
      <c r="B281" s="52">
        <v>7.13777306E8</v>
      </c>
      <c r="C281" s="28" t="s">
        <v>422</v>
      </c>
      <c r="D281" s="26" t="s">
        <v>82</v>
      </c>
      <c r="E281" s="31">
        <v>46226.0</v>
      </c>
      <c r="F281" s="26" t="s">
        <v>167</v>
      </c>
      <c r="G281" s="26">
        <v>9.0</v>
      </c>
      <c r="I281" s="26" t="s">
        <v>42</v>
      </c>
      <c r="J281" s="25" t="str">
        <f t="shared" si="25"/>
        <v>No</v>
      </c>
      <c r="K281" s="25" t="str">
        <f t="shared" si="26"/>
        <v/>
      </c>
      <c r="L281" s="25" t="str">
        <f t="shared" si="27"/>
        <v/>
      </c>
      <c r="M281" s="25"/>
      <c r="O281" s="25"/>
    </row>
    <row r="282" ht="15.75" customHeight="1">
      <c r="A282" s="25" t="str">
        <f>IFERROR(__xludf.DUMMYFUNCTION("IF(B282="""","""",RIGHT(REGEXREPLACE(B282&amp;"""",""[^0-9]"",""""),9))"),"779469628")</f>
        <v>779469628</v>
      </c>
      <c r="B282" s="52">
        <v>7.79469628E8</v>
      </c>
      <c r="C282" s="28" t="s">
        <v>423</v>
      </c>
      <c r="D282" s="26" t="s">
        <v>29</v>
      </c>
      <c r="E282" s="31">
        <v>46226.0</v>
      </c>
      <c r="F282" s="26" t="s">
        <v>46</v>
      </c>
      <c r="G282" s="26">
        <v>11.0</v>
      </c>
      <c r="I282" s="26" t="s">
        <v>42</v>
      </c>
      <c r="J282" s="25" t="str">
        <f t="shared" si="25"/>
        <v>No</v>
      </c>
      <c r="K282" s="25" t="str">
        <f t="shared" si="26"/>
        <v/>
      </c>
      <c r="L282" s="25" t="str">
        <f t="shared" si="27"/>
        <v/>
      </c>
      <c r="M282" s="25"/>
      <c r="O282" s="25"/>
    </row>
    <row r="283" ht="15.75" customHeight="1">
      <c r="A283" s="25" t="str">
        <f>IFERROR(__xludf.DUMMYFUNCTION("IF(B283="""","""",RIGHT(REGEXREPLACE(B283&amp;"""",""[^0-9]"",""""),9))"),"719403140")</f>
        <v>719403140</v>
      </c>
      <c r="B283" s="52">
        <v>9.471940314E10</v>
      </c>
      <c r="C283" s="28" t="s">
        <v>424</v>
      </c>
      <c r="D283" s="26" t="s">
        <v>37</v>
      </c>
      <c r="E283" s="31">
        <v>46226.0</v>
      </c>
      <c r="F283" s="26" t="s">
        <v>46</v>
      </c>
      <c r="G283" s="26">
        <v>11.0</v>
      </c>
      <c r="I283" s="26" t="s">
        <v>42</v>
      </c>
      <c r="J283" s="25" t="str">
        <f t="shared" si="25"/>
        <v>No</v>
      </c>
      <c r="K283" s="25" t="str">
        <f t="shared" si="26"/>
        <v/>
      </c>
      <c r="L283" s="25" t="str">
        <f t="shared" si="27"/>
        <v/>
      </c>
      <c r="M283" s="25"/>
      <c r="O283" s="25"/>
    </row>
    <row r="284" ht="15.75" customHeight="1">
      <c r="A284" s="25" t="str">
        <f>IFERROR(__xludf.DUMMYFUNCTION("IF(B284="""","""",RIGHT(REGEXREPLACE(B284&amp;"""",""[^0-9]"",""""),9))"),"715989562")</f>
        <v>715989562</v>
      </c>
      <c r="B284" s="52">
        <v>7.15989562E8</v>
      </c>
      <c r="C284" s="28" t="s">
        <v>425</v>
      </c>
      <c r="D284" s="26" t="s">
        <v>45</v>
      </c>
      <c r="E284" s="31">
        <v>46226.0</v>
      </c>
      <c r="F284" s="26" t="s">
        <v>46</v>
      </c>
      <c r="G284" s="26">
        <v>11.0</v>
      </c>
      <c r="I284" s="26" t="s">
        <v>42</v>
      </c>
      <c r="J284" s="25" t="str">
        <f t="shared" si="25"/>
        <v>No</v>
      </c>
      <c r="K284" s="25" t="str">
        <f t="shared" si="26"/>
        <v/>
      </c>
      <c r="L284" s="25" t="str">
        <f t="shared" si="27"/>
        <v/>
      </c>
      <c r="M284" s="25"/>
      <c r="O284" s="25"/>
    </row>
    <row r="285" ht="15.75" customHeight="1">
      <c r="A285" s="25" t="str">
        <f>IFERROR(__xludf.DUMMYFUNCTION("IF(B285="""","""",RIGHT(REGEXREPLACE(B285&amp;"""",""[^0-9]"",""""),9))"),"763208767")</f>
        <v>763208767</v>
      </c>
      <c r="B285" s="52">
        <v>9.4763208767E10</v>
      </c>
      <c r="C285" s="28" t="s">
        <v>426</v>
      </c>
      <c r="D285" s="26" t="s">
        <v>37</v>
      </c>
      <c r="E285" s="31">
        <v>46226.0</v>
      </c>
      <c r="F285" s="26" t="s">
        <v>46</v>
      </c>
      <c r="G285" s="26">
        <v>11.0</v>
      </c>
      <c r="I285" s="26" t="s">
        <v>42</v>
      </c>
      <c r="J285" s="25" t="str">
        <f t="shared" si="25"/>
        <v>No</v>
      </c>
      <c r="K285" s="25" t="str">
        <f t="shared" si="26"/>
        <v/>
      </c>
      <c r="L285" s="25" t="str">
        <f t="shared" si="27"/>
        <v/>
      </c>
      <c r="M285" s="25"/>
      <c r="O285" s="25"/>
    </row>
    <row r="286" ht="15.75" customHeight="1">
      <c r="A286" s="25" t="str">
        <f>IFERROR(__xludf.DUMMYFUNCTION("IF(B286="""","""",RIGHT(REGEXREPLACE(B286&amp;"""",""[^0-9]"",""""),9))"),"741381348")</f>
        <v>741381348</v>
      </c>
      <c r="B286" s="52">
        <v>7.41381348E8</v>
      </c>
      <c r="C286" s="28" t="s">
        <v>427</v>
      </c>
      <c r="D286" s="26" t="s">
        <v>49</v>
      </c>
      <c r="E286" s="31">
        <v>46226.0</v>
      </c>
      <c r="F286" s="26" t="s">
        <v>205</v>
      </c>
      <c r="I286" s="26" t="s">
        <v>42</v>
      </c>
      <c r="J286" s="25" t="str">
        <f t="shared" si="25"/>
        <v>No</v>
      </c>
      <c r="K286" s="25" t="str">
        <f t="shared" si="26"/>
        <v/>
      </c>
      <c r="L286" s="25" t="str">
        <f t="shared" si="27"/>
        <v/>
      </c>
      <c r="M286" s="25"/>
      <c r="O286" s="25"/>
    </row>
    <row r="287" ht="15.75" customHeight="1">
      <c r="A287" s="25" t="str">
        <f>IFERROR(__xludf.DUMMYFUNCTION("IF(B287="""","""",RIGHT(REGEXREPLACE(B287&amp;"""",""[^0-9]"",""""),9))"),"705589657")</f>
        <v>705589657</v>
      </c>
      <c r="B287" s="52">
        <v>7.05589657E8</v>
      </c>
      <c r="C287" s="28" t="s">
        <v>428</v>
      </c>
      <c r="D287" s="26" t="s">
        <v>29</v>
      </c>
      <c r="E287" s="31">
        <v>46226.0</v>
      </c>
      <c r="F287" s="26" t="s">
        <v>46</v>
      </c>
      <c r="G287" s="26">
        <v>11.0</v>
      </c>
      <c r="I287" s="26" t="s">
        <v>42</v>
      </c>
      <c r="J287" s="25" t="str">
        <f t="shared" si="25"/>
        <v>No</v>
      </c>
      <c r="K287" s="25" t="str">
        <f t="shared" si="26"/>
        <v/>
      </c>
      <c r="L287" s="25" t="str">
        <f t="shared" si="27"/>
        <v/>
      </c>
      <c r="M287" s="25"/>
      <c r="O287" s="25"/>
    </row>
    <row r="288" ht="15.75" customHeight="1">
      <c r="A288" s="25" t="str">
        <f>IFERROR(__xludf.DUMMYFUNCTION("IF(B288="""","""",RIGHT(REGEXREPLACE(B288&amp;"""",""[^0-9]"",""""),9))"),"770023853")</f>
        <v>770023853</v>
      </c>
      <c r="B288" s="52">
        <v>7.70023853E8</v>
      </c>
      <c r="C288" s="28" t="s">
        <v>429</v>
      </c>
      <c r="D288" s="26" t="s">
        <v>45</v>
      </c>
      <c r="E288" s="31">
        <v>46226.0</v>
      </c>
      <c r="F288" s="26" t="s">
        <v>84</v>
      </c>
      <c r="I288" s="26" t="s">
        <v>42</v>
      </c>
      <c r="J288" s="25" t="str">
        <f t="shared" si="25"/>
        <v>No</v>
      </c>
      <c r="K288" s="25" t="str">
        <f t="shared" si="26"/>
        <v/>
      </c>
      <c r="L288" s="25" t="str">
        <f t="shared" si="27"/>
        <v/>
      </c>
      <c r="M288" s="25"/>
      <c r="O288" s="25"/>
    </row>
    <row r="289" ht="15.75" customHeight="1">
      <c r="A289" s="25" t="str">
        <f>IFERROR(__xludf.DUMMYFUNCTION("IF(B289="""","""",RIGHT(REGEXREPLACE(B289&amp;"""",""[^0-9]"",""""),9))"),"788588397")</f>
        <v>788588397</v>
      </c>
      <c r="B289" s="52">
        <v>7.88588397E8</v>
      </c>
      <c r="C289" s="28" t="s">
        <v>430</v>
      </c>
      <c r="D289" s="26" t="s">
        <v>56</v>
      </c>
      <c r="E289" s="31">
        <v>46226.0</v>
      </c>
      <c r="F289" s="26" t="s">
        <v>46</v>
      </c>
      <c r="G289" s="26">
        <v>10.0</v>
      </c>
      <c r="I289" s="26" t="s">
        <v>42</v>
      </c>
      <c r="J289" s="25" t="str">
        <f t="shared" si="25"/>
        <v>No</v>
      </c>
      <c r="K289" s="25" t="str">
        <f t="shared" si="26"/>
        <v/>
      </c>
      <c r="L289" s="25" t="str">
        <f t="shared" si="27"/>
        <v/>
      </c>
      <c r="M289" s="26" t="s">
        <v>51</v>
      </c>
      <c r="N289" s="26" t="s">
        <v>431</v>
      </c>
      <c r="O289" s="25"/>
    </row>
    <row r="290" ht="15.75" customHeight="1">
      <c r="A290" s="25" t="str">
        <f>IFERROR(__xludf.DUMMYFUNCTION("IF(B290="""","""",RIGHT(REGEXREPLACE(B290&amp;"""",""[^0-9]"",""""),9))"),"711567300")</f>
        <v>711567300</v>
      </c>
      <c r="B290" s="52">
        <v>7.115673E8</v>
      </c>
      <c r="C290" s="28" t="s">
        <v>432</v>
      </c>
      <c r="D290" s="26" t="s">
        <v>49</v>
      </c>
      <c r="E290" s="31">
        <v>46226.0</v>
      </c>
      <c r="F290" s="26" t="s">
        <v>46</v>
      </c>
      <c r="G290" s="26">
        <v>11.0</v>
      </c>
      <c r="I290" s="26" t="s">
        <v>42</v>
      </c>
      <c r="J290" s="25" t="str">
        <f t="shared" si="25"/>
        <v>No</v>
      </c>
      <c r="K290" s="25" t="str">
        <f t="shared" si="26"/>
        <v/>
      </c>
      <c r="L290" s="25" t="str">
        <f t="shared" si="27"/>
        <v/>
      </c>
      <c r="M290" s="25"/>
      <c r="O290" s="25"/>
    </row>
    <row r="291" ht="15.75" customHeight="1">
      <c r="A291" s="25" t="str">
        <f>IFERROR(__xludf.DUMMYFUNCTION("IF(B291="""","""",RIGHT(REGEXREPLACE(B291&amp;"""",""[^0-9]"",""""),9))"),"776466821")</f>
        <v>776466821</v>
      </c>
      <c r="B291" s="52">
        <v>7.76466821E8</v>
      </c>
      <c r="C291" s="28" t="s">
        <v>433</v>
      </c>
      <c r="D291" s="26" t="s">
        <v>45</v>
      </c>
      <c r="E291" s="31">
        <v>46226.0</v>
      </c>
      <c r="F291" s="26" t="s">
        <v>41</v>
      </c>
      <c r="I291" s="26" t="s">
        <v>42</v>
      </c>
      <c r="J291" s="25" t="str">
        <f t="shared" si="25"/>
        <v>No</v>
      </c>
      <c r="K291" s="25" t="str">
        <f t="shared" si="26"/>
        <v/>
      </c>
      <c r="L291" s="25" t="str">
        <f t="shared" si="27"/>
        <v/>
      </c>
      <c r="M291" s="25"/>
      <c r="O291" s="25"/>
    </row>
    <row r="292" ht="15.75" customHeight="1">
      <c r="A292" s="25" t="str">
        <f>IFERROR(__xludf.DUMMYFUNCTION("IF(B292="""","""",RIGHT(REGEXREPLACE(B292&amp;"""",""[^0-9]"",""""),9))"),"777173771")</f>
        <v>777173771</v>
      </c>
      <c r="B292" s="52">
        <v>7.77173771E8</v>
      </c>
      <c r="C292" s="28" t="s">
        <v>434</v>
      </c>
      <c r="D292" s="26" t="s">
        <v>82</v>
      </c>
      <c r="E292" s="31">
        <v>46226.0</v>
      </c>
      <c r="F292" s="26" t="s">
        <v>41</v>
      </c>
      <c r="I292" s="26" t="s">
        <v>42</v>
      </c>
      <c r="J292" s="25" t="str">
        <f t="shared" si="25"/>
        <v>No</v>
      </c>
      <c r="K292" s="25" t="str">
        <f t="shared" si="26"/>
        <v/>
      </c>
      <c r="L292" s="25" t="str">
        <f t="shared" si="27"/>
        <v/>
      </c>
      <c r="M292" s="25"/>
      <c r="O292" s="25"/>
    </row>
    <row r="293" ht="15.75" customHeight="1">
      <c r="A293" s="25" t="str">
        <f>IFERROR(__xludf.DUMMYFUNCTION("IF(B293="""","""",RIGHT(REGEXREPLACE(B293&amp;"""",""[^0-9]"",""""),9))"),"726969558")</f>
        <v>726969558</v>
      </c>
      <c r="B293" s="26">
        <v>9.4726969558E10</v>
      </c>
      <c r="C293" s="28" t="s">
        <v>435</v>
      </c>
      <c r="D293" s="26" t="s">
        <v>37</v>
      </c>
      <c r="E293" s="31">
        <v>46226.0</v>
      </c>
      <c r="F293" s="26" t="s">
        <v>205</v>
      </c>
      <c r="I293" s="26" t="s">
        <v>42</v>
      </c>
      <c r="J293" s="25" t="str">
        <f t="shared" si="25"/>
        <v>No</v>
      </c>
      <c r="K293" s="25" t="str">
        <f t="shared" si="26"/>
        <v/>
      </c>
      <c r="L293" s="25" t="str">
        <f t="shared" si="27"/>
        <v/>
      </c>
      <c r="M293" s="25"/>
      <c r="O293" s="25"/>
    </row>
    <row r="294" ht="15.75" customHeight="1">
      <c r="A294" s="25" t="str">
        <f>IFERROR(__xludf.DUMMYFUNCTION("IF(B294="""","""",RIGHT(REGEXREPLACE(B294&amp;"""",""[^0-9]"",""""),9))"),"778636753")</f>
        <v>778636753</v>
      </c>
      <c r="B294" s="52">
        <v>7.78636753E8</v>
      </c>
      <c r="C294" s="28" t="s">
        <v>436</v>
      </c>
      <c r="D294" s="26" t="s">
        <v>29</v>
      </c>
      <c r="E294" s="31">
        <v>46226.0</v>
      </c>
      <c r="F294" s="26" t="s">
        <v>46</v>
      </c>
      <c r="G294" s="26">
        <v>11.0</v>
      </c>
      <c r="I294" s="26" t="s">
        <v>42</v>
      </c>
      <c r="J294" s="25" t="str">
        <f t="shared" si="25"/>
        <v>No</v>
      </c>
      <c r="K294" s="25" t="str">
        <f t="shared" si="26"/>
        <v/>
      </c>
      <c r="L294" s="25" t="str">
        <f t="shared" si="27"/>
        <v/>
      </c>
      <c r="M294" s="25"/>
      <c r="O294" s="25"/>
    </row>
    <row r="295" ht="15.75" customHeight="1">
      <c r="A295" s="25" t="str">
        <f>IFERROR(__xludf.DUMMYFUNCTION("IF(B295="""","""",RIGHT(REGEXREPLACE(B295&amp;"""",""[^0-9]"",""""),9))"),"721906613")</f>
        <v>721906613</v>
      </c>
      <c r="B295" s="26">
        <v>7.21906613E8</v>
      </c>
      <c r="C295" s="28" t="s">
        <v>437</v>
      </c>
      <c r="D295" s="26" t="s">
        <v>37</v>
      </c>
      <c r="E295" s="31">
        <v>46226.0</v>
      </c>
      <c r="F295" s="26" t="s">
        <v>46</v>
      </c>
      <c r="G295" s="26">
        <v>11.0</v>
      </c>
      <c r="I295" s="26" t="s">
        <v>42</v>
      </c>
      <c r="J295" s="25" t="str">
        <f t="shared" si="25"/>
        <v>No</v>
      </c>
      <c r="K295" s="25" t="str">
        <f t="shared" si="26"/>
        <v/>
      </c>
      <c r="L295" s="25" t="str">
        <f t="shared" si="27"/>
        <v/>
      </c>
      <c r="M295" s="25"/>
      <c r="O295" s="25"/>
    </row>
    <row r="296" ht="15.75" customHeight="1">
      <c r="A296" s="25" t="str">
        <f>IFERROR(__xludf.DUMMYFUNCTION("IF(B296="""","""",RIGHT(REGEXREPLACE(B296&amp;"""",""[^0-9]"",""""),9))"),"716363463")</f>
        <v>716363463</v>
      </c>
      <c r="B296" s="52">
        <v>7.16363463E8</v>
      </c>
      <c r="C296" s="28" t="s">
        <v>438</v>
      </c>
      <c r="D296" s="26" t="s">
        <v>45</v>
      </c>
      <c r="E296" s="31">
        <v>46226.0</v>
      </c>
      <c r="F296" s="26" t="s">
        <v>125</v>
      </c>
      <c r="I296" s="26" t="s">
        <v>42</v>
      </c>
      <c r="J296" s="25" t="str">
        <f t="shared" si="25"/>
        <v>No</v>
      </c>
      <c r="K296" s="25" t="str">
        <f t="shared" si="26"/>
        <v/>
      </c>
      <c r="L296" s="25" t="str">
        <f t="shared" si="27"/>
        <v/>
      </c>
      <c r="M296" s="25"/>
      <c r="O296" s="25"/>
    </row>
    <row r="297" ht="15.75" customHeight="1">
      <c r="A297" s="25" t="str">
        <f>IFERROR(__xludf.DUMMYFUNCTION("IF(B297="""","""",RIGHT(REGEXREPLACE(B297&amp;"""",""[^0-9]"",""""),9))"),"777622815")</f>
        <v>777622815</v>
      </c>
      <c r="B297" s="52">
        <v>7.77622815E8</v>
      </c>
      <c r="C297" s="28" t="s">
        <v>439</v>
      </c>
      <c r="D297" s="26" t="s">
        <v>82</v>
      </c>
      <c r="E297" s="31">
        <v>46226.0</v>
      </c>
      <c r="F297" s="26" t="s">
        <v>41</v>
      </c>
      <c r="I297" s="26" t="s">
        <v>42</v>
      </c>
      <c r="J297" s="25" t="str">
        <f t="shared" si="25"/>
        <v>No</v>
      </c>
      <c r="K297" s="25" t="str">
        <f t="shared" si="26"/>
        <v/>
      </c>
      <c r="L297" s="25" t="str">
        <f t="shared" si="27"/>
        <v/>
      </c>
      <c r="M297" s="25"/>
      <c r="O297" s="25"/>
    </row>
    <row r="298" ht="15.75" customHeight="1">
      <c r="A298" s="25" t="str">
        <f>IFERROR(__xludf.DUMMYFUNCTION("IF(B298="""","""",RIGHT(REGEXREPLACE(B298&amp;"""",""[^0-9]"",""""),9))"),"701583509")</f>
        <v>701583509</v>
      </c>
      <c r="B298" s="26">
        <v>7.01583509E8</v>
      </c>
      <c r="C298" s="28" t="s">
        <v>440</v>
      </c>
      <c r="D298" s="26" t="s">
        <v>37</v>
      </c>
      <c r="E298" s="31">
        <v>46226.0</v>
      </c>
      <c r="F298" s="26" t="s">
        <v>205</v>
      </c>
      <c r="I298" s="26" t="s">
        <v>42</v>
      </c>
      <c r="J298" s="25" t="str">
        <f t="shared" si="25"/>
        <v>No</v>
      </c>
      <c r="K298" s="25" t="str">
        <f t="shared" si="26"/>
        <v/>
      </c>
      <c r="L298" s="25" t="str">
        <f t="shared" si="27"/>
        <v/>
      </c>
      <c r="M298" s="25"/>
      <c r="O298" s="25"/>
    </row>
    <row r="299" ht="15.75" customHeight="1">
      <c r="A299" s="25" t="str">
        <f>IFERROR(__xludf.DUMMYFUNCTION("IF(B299="""","""",RIGHT(REGEXREPLACE(B299&amp;"""",""[^0-9]"",""""),9))"),"764341617")</f>
        <v>764341617</v>
      </c>
      <c r="B299" s="52">
        <v>7.64341617E8</v>
      </c>
      <c r="C299" s="28" t="s">
        <v>441</v>
      </c>
      <c r="D299" s="26" t="s">
        <v>49</v>
      </c>
      <c r="E299" s="31">
        <v>46226.0</v>
      </c>
      <c r="F299" s="26" t="s">
        <v>41</v>
      </c>
      <c r="I299" s="26" t="s">
        <v>42</v>
      </c>
      <c r="J299" s="25" t="str">
        <f t="shared" si="25"/>
        <v>No</v>
      </c>
      <c r="K299" s="25" t="str">
        <f t="shared" si="26"/>
        <v/>
      </c>
      <c r="L299" s="25" t="str">
        <f t="shared" si="27"/>
        <v/>
      </c>
      <c r="M299" s="25"/>
      <c r="O299" s="25"/>
    </row>
    <row r="300" ht="15.75" customHeight="1">
      <c r="A300" s="25" t="str">
        <f>IFERROR(__xludf.DUMMYFUNCTION("IF(B300="""","""",RIGHT(REGEXREPLACE(B300&amp;"""",""[^0-9]"",""""),9))"),"705615315")</f>
        <v>705615315</v>
      </c>
      <c r="B300" s="52">
        <v>7.05615315E8</v>
      </c>
      <c r="C300" s="28" t="s">
        <v>442</v>
      </c>
      <c r="D300" s="26" t="s">
        <v>56</v>
      </c>
      <c r="E300" s="31">
        <v>46226.0</v>
      </c>
      <c r="F300" s="25"/>
      <c r="G300" s="26">
        <v>11.0</v>
      </c>
      <c r="H300" s="25"/>
      <c r="I300" s="26" t="s">
        <v>42</v>
      </c>
      <c r="J300" s="25" t="str">
        <f t="shared" si="25"/>
        <v>No</v>
      </c>
      <c r="K300" s="25" t="str">
        <f t="shared" si="26"/>
        <v/>
      </c>
      <c r="L300" s="25" t="str">
        <f t="shared" si="27"/>
        <v/>
      </c>
      <c r="M300" s="25"/>
      <c r="N300" s="25"/>
      <c r="O300" s="25"/>
      <c r="P300" s="25"/>
    </row>
    <row r="301" ht="15.75" customHeight="1">
      <c r="A301" s="25" t="str">
        <f>IFERROR(__xludf.DUMMYFUNCTION("IF(B301="""","""",RIGHT(REGEXREPLACE(B301&amp;"""",""[^0-9]"",""""),9))"),"779088721")</f>
        <v>779088721</v>
      </c>
      <c r="B301" s="52">
        <v>7.79088721E8</v>
      </c>
      <c r="C301" s="28" t="s">
        <v>443</v>
      </c>
      <c r="D301" s="26" t="s">
        <v>45</v>
      </c>
      <c r="E301" s="31">
        <v>46226.0</v>
      </c>
      <c r="F301" s="26" t="s">
        <v>41</v>
      </c>
      <c r="G301" s="26">
        <v>11.0</v>
      </c>
      <c r="I301" s="26" t="s">
        <v>42</v>
      </c>
      <c r="J301" s="25" t="str">
        <f t="shared" si="25"/>
        <v>No</v>
      </c>
      <c r="K301" s="25" t="str">
        <f t="shared" si="26"/>
        <v/>
      </c>
      <c r="L301" s="25" t="str">
        <f t="shared" si="27"/>
        <v/>
      </c>
      <c r="M301" s="25"/>
      <c r="O301" s="25"/>
    </row>
    <row r="302" ht="15.75" customHeight="1">
      <c r="A302" s="25" t="str">
        <f>IFERROR(__xludf.DUMMYFUNCTION("IF(B302="""","""",RIGHT(REGEXREPLACE(B302&amp;"""",""[^0-9]"",""""),9))"),"706965476")</f>
        <v>706965476</v>
      </c>
      <c r="B302" s="52">
        <v>7.06965476E8</v>
      </c>
      <c r="C302" s="28" t="s">
        <v>444</v>
      </c>
      <c r="D302" s="26" t="s">
        <v>49</v>
      </c>
      <c r="E302" s="31">
        <v>46226.0</v>
      </c>
      <c r="F302" s="26" t="s">
        <v>46</v>
      </c>
      <c r="G302" s="26">
        <v>11.0</v>
      </c>
      <c r="I302" s="26" t="s">
        <v>42</v>
      </c>
      <c r="J302" s="25" t="str">
        <f t="shared" si="25"/>
        <v>No</v>
      </c>
      <c r="K302" s="25" t="str">
        <f t="shared" si="26"/>
        <v/>
      </c>
      <c r="L302" s="25" t="str">
        <f t="shared" si="27"/>
        <v/>
      </c>
      <c r="M302" s="25"/>
      <c r="O302" s="25"/>
    </row>
    <row r="303" ht="15.75" customHeight="1">
      <c r="A303" s="25" t="str">
        <f>IFERROR(__xludf.DUMMYFUNCTION("IF(B303="""","""",RIGHT(REGEXREPLACE(B303&amp;"""",""[^0-9]"",""""),9))"),"712612026")</f>
        <v>712612026</v>
      </c>
      <c r="B303" s="26">
        <v>7.12612026E8</v>
      </c>
      <c r="C303" s="28" t="s">
        <v>445</v>
      </c>
      <c r="D303" s="26" t="s">
        <v>37</v>
      </c>
      <c r="E303" s="31">
        <v>46226.0</v>
      </c>
      <c r="F303" s="26" t="s">
        <v>46</v>
      </c>
      <c r="G303" s="26">
        <v>7.0</v>
      </c>
      <c r="I303" s="26" t="s">
        <v>42</v>
      </c>
      <c r="J303" s="25" t="str">
        <f t="shared" si="25"/>
        <v>No</v>
      </c>
      <c r="K303" s="25" t="str">
        <f t="shared" si="26"/>
        <v/>
      </c>
      <c r="L303" s="25" t="str">
        <f t="shared" si="27"/>
        <v/>
      </c>
      <c r="M303" s="25"/>
      <c r="O303" s="25"/>
    </row>
    <row r="304" ht="15.75" customHeight="1">
      <c r="A304" s="25" t="str">
        <f>IFERROR(__xludf.DUMMYFUNCTION("IF(B304="""","""",RIGHT(REGEXREPLACE(B304&amp;"""",""[^0-9]"",""""),9))"),"715300896")</f>
        <v>715300896</v>
      </c>
      <c r="B304" s="52">
        <v>7.15300896E8</v>
      </c>
      <c r="C304" s="28" t="s">
        <v>447</v>
      </c>
      <c r="D304" s="26" t="s">
        <v>82</v>
      </c>
      <c r="E304" s="31">
        <v>46226.0</v>
      </c>
      <c r="F304" s="26" t="s">
        <v>46</v>
      </c>
      <c r="G304" s="26">
        <v>11.0</v>
      </c>
      <c r="I304" s="26" t="s">
        <v>42</v>
      </c>
      <c r="J304" s="25" t="str">
        <f t="shared" si="25"/>
        <v>No</v>
      </c>
      <c r="K304" s="25" t="str">
        <f t="shared" si="26"/>
        <v/>
      </c>
      <c r="L304" s="25" t="str">
        <f t="shared" si="27"/>
        <v/>
      </c>
      <c r="M304" s="25"/>
      <c r="O304" s="25"/>
    </row>
    <row r="305" ht="15.75" customHeight="1">
      <c r="A305" s="25" t="str">
        <f>IFERROR(__xludf.DUMMYFUNCTION("IF(B305="""","""",RIGHT(REGEXREPLACE(B305&amp;"""",""[^0-9]"",""""),9))"),"756363380")</f>
        <v>756363380</v>
      </c>
      <c r="B305" s="26">
        <v>7.5636338E8</v>
      </c>
      <c r="C305" s="28" t="s">
        <v>448</v>
      </c>
      <c r="D305" s="26" t="s">
        <v>29</v>
      </c>
      <c r="E305" s="31">
        <v>46226.0</v>
      </c>
      <c r="F305" s="26" t="s">
        <v>41</v>
      </c>
      <c r="G305" s="26">
        <v>11.0</v>
      </c>
      <c r="I305" s="26" t="s">
        <v>42</v>
      </c>
      <c r="J305" s="25" t="str">
        <f t="shared" si="25"/>
        <v>No</v>
      </c>
      <c r="K305" s="25" t="str">
        <f t="shared" si="26"/>
        <v/>
      </c>
      <c r="L305" s="25" t="str">
        <f t="shared" si="27"/>
        <v/>
      </c>
      <c r="M305" s="25"/>
      <c r="O305" s="25"/>
    </row>
    <row r="306" ht="15.75" customHeight="1">
      <c r="A306" s="25" t="str">
        <f>IFERROR(__xludf.DUMMYFUNCTION("IF(B306="""","""",RIGHT(REGEXREPLACE(B306&amp;"""",""[^0-9]"",""""),9))"),"778174188")</f>
        <v>778174188</v>
      </c>
      <c r="B306" s="52">
        <v>7.78174188E8</v>
      </c>
      <c r="C306" s="28" t="s">
        <v>452</v>
      </c>
      <c r="D306" s="26" t="s">
        <v>45</v>
      </c>
      <c r="E306" s="31">
        <v>46226.0</v>
      </c>
      <c r="F306" s="26" t="s">
        <v>41</v>
      </c>
      <c r="G306" s="26">
        <v>11.0</v>
      </c>
      <c r="I306" s="26" t="s">
        <v>42</v>
      </c>
      <c r="J306" s="25" t="str">
        <f t="shared" si="25"/>
        <v>No</v>
      </c>
      <c r="K306" s="25" t="str">
        <f t="shared" si="26"/>
        <v/>
      </c>
      <c r="L306" s="25" t="str">
        <f t="shared" si="27"/>
        <v/>
      </c>
      <c r="M306" s="25"/>
      <c r="O306" s="25"/>
    </row>
    <row r="307" ht="15.75" customHeight="1">
      <c r="A307" s="25" t="str">
        <f>IFERROR(__xludf.DUMMYFUNCTION("IF(B307="""","""",RIGHT(REGEXREPLACE(B307&amp;"""",""[^0-9]"",""""),9))"),"715988021")</f>
        <v>715988021</v>
      </c>
      <c r="B307" s="52">
        <v>7.15988021E8</v>
      </c>
      <c r="C307" s="28" t="s">
        <v>453</v>
      </c>
      <c r="D307" s="26" t="s">
        <v>56</v>
      </c>
      <c r="E307" s="31">
        <v>46226.0</v>
      </c>
      <c r="F307" s="26" t="s">
        <v>205</v>
      </c>
      <c r="G307" s="26">
        <v>11.0</v>
      </c>
      <c r="I307" s="26" t="s">
        <v>42</v>
      </c>
      <c r="J307" s="25" t="str">
        <f t="shared" si="25"/>
        <v>No</v>
      </c>
      <c r="K307" s="25" t="str">
        <f t="shared" si="26"/>
        <v/>
      </c>
      <c r="L307" s="25" t="str">
        <f t="shared" si="27"/>
        <v/>
      </c>
      <c r="M307" s="25"/>
      <c r="O307" s="25"/>
    </row>
    <row r="308" ht="15.75" customHeight="1">
      <c r="A308" s="25" t="str">
        <f>IFERROR(__xludf.DUMMYFUNCTION("IF(B308="""","""",RIGHT(REGEXREPLACE(B308&amp;"""",""[^0-9]"",""""),9))"),"767648885")</f>
        <v>767648885</v>
      </c>
      <c r="B308" s="52">
        <v>7.67648885E8</v>
      </c>
      <c r="C308" s="28" t="s">
        <v>454</v>
      </c>
      <c r="D308" s="26" t="s">
        <v>49</v>
      </c>
      <c r="E308" s="31">
        <v>46226.0</v>
      </c>
      <c r="F308" s="26" t="s">
        <v>41</v>
      </c>
      <c r="G308" s="26">
        <v>10.0</v>
      </c>
      <c r="I308" s="26" t="s">
        <v>42</v>
      </c>
      <c r="J308" s="25" t="str">
        <f t="shared" si="25"/>
        <v>No</v>
      </c>
      <c r="K308" s="25" t="str">
        <f t="shared" si="26"/>
        <v/>
      </c>
      <c r="L308" s="25" t="str">
        <f t="shared" si="27"/>
        <v/>
      </c>
      <c r="M308" s="25"/>
      <c r="O308" s="25"/>
    </row>
    <row r="309" ht="15.75" customHeight="1">
      <c r="A309" s="25" t="str">
        <f>IFERROR(__xludf.DUMMYFUNCTION("IF(B309="""","""",RIGHT(REGEXREPLACE(B309&amp;"""",""[^0-9]"",""""),9))"),"711528934")</f>
        <v>711528934</v>
      </c>
      <c r="B309" s="52">
        <v>7.11528934E8</v>
      </c>
      <c r="C309" s="28" t="s">
        <v>455</v>
      </c>
      <c r="D309" s="26" t="s">
        <v>29</v>
      </c>
      <c r="E309" s="31">
        <v>46226.0</v>
      </c>
      <c r="F309" s="26" t="s">
        <v>46</v>
      </c>
      <c r="G309" s="26">
        <v>10.0</v>
      </c>
      <c r="I309" s="26" t="s">
        <v>42</v>
      </c>
      <c r="J309" s="25" t="str">
        <f t="shared" si="25"/>
        <v>No</v>
      </c>
      <c r="K309" s="25" t="str">
        <f t="shared" si="26"/>
        <v/>
      </c>
      <c r="L309" s="25" t="str">
        <f t="shared" si="27"/>
        <v/>
      </c>
      <c r="M309" s="25"/>
      <c r="O309" s="25"/>
    </row>
    <row r="310" ht="15.75" customHeight="1">
      <c r="A310" s="25" t="str">
        <f>IFERROR(__xludf.DUMMYFUNCTION("IF(B310="""","""",RIGHT(REGEXREPLACE(B310&amp;"""",""[^0-9]"",""""),9))"),"771309810")</f>
        <v>771309810</v>
      </c>
      <c r="B310" s="52">
        <v>7.7130981E8</v>
      </c>
      <c r="C310" s="28" t="s">
        <v>456</v>
      </c>
      <c r="D310" s="26" t="s">
        <v>45</v>
      </c>
      <c r="E310" s="31">
        <v>46226.0</v>
      </c>
      <c r="F310" s="26" t="s">
        <v>41</v>
      </c>
      <c r="G310" s="26">
        <v>9.0</v>
      </c>
      <c r="I310" s="26" t="s">
        <v>42</v>
      </c>
      <c r="J310" s="25" t="str">
        <f t="shared" si="25"/>
        <v>No</v>
      </c>
      <c r="K310" s="25" t="str">
        <f t="shared" si="26"/>
        <v/>
      </c>
      <c r="L310" s="25" t="str">
        <f t="shared" si="27"/>
        <v/>
      </c>
      <c r="M310" s="25"/>
      <c r="O310" s="25"/>
    </row>
    <row r="311" ht="15.75" customHeight="1">
      <c r="A311" s="25" t="str">
        <f>IFERROR(__xludf.DUMMYFUNCTION("IF(B311="""","""",RIGHT(REGEXREPLACE(B311&amp;"""",""[^0-9]"",""""),9))"),"778347522")</f>
        <v>778347522</v>
      </c>
      <c r="B311" s="52">
        <v>7.78347522E8</v>
      </c>
      <c r="C311" s="28" t="s">
        <v>457</v>
      </c>
      <c r="D311" s="26" t="s">
        <v>49</v>
      </c>
      <c r="E311" s="31">
        <v>46226.0</v>
      </c>
      <c r="F311" s="26" t="s">
        <v>46</v>
      </c>
      <c r="G311" s="26">
        <v>11.0</v>
      </c>
      <c r="I311" s="26" t="s">
        <v>42</v>
      </c>
      <c r="J311" s="25" t="str">
        <f t="shared" si="25"/>
        <v>No</v>
      </c>
      <c r="K311" s="25" t="str">
        <f t="shared" si="26"/>
        <v/>
      </c>
      <c r="L311" s="25" t="str">
        <f t="shared" si="27"/>
        <v/>
      </c>
      <c r="M311" s="25"/>
      <c r="O311" s="25"/>
    </row>
    <row r="312" ht="15.75" customHeight="1">
      <c r="A312" s="25" t="str">
        <f>IFERROR(__xludf.DUMMYFUNCTION("IF(B312="""","""",RIGHT(REGEXREPLACE(B312&amp;"""",""[^0-9]"",""""),9))"),"779754160")</f>
        <v>779754160</v>
      </c>
      <c r="B312" s="52">
        <v>7.7975416E8</v>
      </c>
      <c r="C312" s="28" t="s">
        <v>458</v>
      </c>
      <c r="D312" s="26" t="s">
        <v>56</v>
      </c>
      <c r="E312" s="31">
        <v>46226.0</v>
      </c>
      <c r="F312" s="26" t="s">
        <v>205</v>
      </c>
      <c r="G312" s="26">
        <v>10.0</v>
      </c>
      <c r="I312" s="26" t="s">
        <v>42</v>
      </c>
      <c r="J312" s="25" t="str">
        <f t="shared" si="25"/>
        <v>No</v>
      </c>
      <c r="K312" s="25" t="str">
        <f t="shared" si="26"/>
        <v/>
      </c>
      <c r="L312" s="25" t="str">
        <f t="shared" si="27"/>
        <v/>
      </c>
      <c r="M312" s="25"/>
      <c r="O312" s="25"/>
    </row>
    <row r="313" ht="15.75" customHeight="1">
      <c r="A313" s="25" t="str">
        <f>IFERROR(__xludf.DUMMYFUNCTION("IF(B313="""","""",RIGHT(REGEXREPLACE(B313&amp;"""",""[^0-9]"",""""),9))"),"774445188")</f>
        <v>774445188</v>
      </c>
      <c r="B313" s="52">
        <v>9.4774445188E10</v>
      </c>
      <c r="C313" s="28" t="s">
        <v>459</v>
      </c>
      <c r="D313" s="26" t="s">
        <v>37</v>
      </c>
      <c r="E313" s="31">
        <v>46226.0</v>
      </c>
      <c r="F313" s="26" t="s">
        <v>41</v>
      </c>
      <c r="I313" s="26" t="s">
        <v>42</v>
      </c>
      <c r="J313" s="25" t="str">
        <f t="shared" si="25"/>
        <v>No</v>
      </c>
      <c r="K313" s="25" t="str">
        <f t="shared" si="26"/>
        <v/>
      </c>
      <c r="L313" s="25" t="str">
        <f t="shared" si="27"/>
        <v/>
      </c>
      <c r="M313" s="25"/>
      <c r="O313" s="25"/>
    </row>
    <row r="314" ht="15.75" customHeight="1">
      <c r="A314" s="25" t="str">
        <f>IFERROR(__xludf.DUMMYFUNCTION("IF(B314="""","""",RIGHT(REGEXREPLACE(B314&amp;"""",""[^0-9]"",""""),9))"),"763897803")</f>
        <v>763897803</v>
      </c>
      <c r="B314" s="52">
        <v>7.63897803E8</v>
      </c>
      <c r="C314" s="28" t="s">
        <v>460</v>
      </c>
      <c r="D314" s="26" t="s">
        <v>45</v>
      </c>
      <c r="E314" s="31">
        <v>46226.0</v>
      </c>
      <c r="F314" s="26" t="s">
        <v>41</v>
      </c>
      <c r="I314" s="26" t="s">
        <v>42</v>
      </c>
      <c r="J314" s="25" t="str">
        <f t="shared" si="25"/>
        <v>No</v>
      </c>
      <c r="K314" s="25" t="str">
        <f t="shared" si="26"/>
        <v/>
      </c>
      <c r="L314" s="25" t="str">
        <f t="shared" si="27"/>
        <v/>
      </c>
      <c r="M314" s="25"/>
      <c r="O314" s="25"/>
    </row>
    <row r="315" ht="15.75" customHeight="1">
      <c r="A315" s="25" t="str">
        <f>IFERROR(__xludf.DUMMYFUNCTION("IF(B315="""","""",RIGHT(REGEXREPLACE(B315&amp;"""",""[^0-9]"",""""),9))"),"776000497")</f>
        <v>776000497</v>
      </c>
      <c r="B315" s="52">
        <v>7.76000497E8</v>
      </c>
      <c r="C315" s="28" t="s">
        <v>461</v>
      </c>
      <c r="D315" s="26" t="s">
        <v>29</v>
      </c>
      <c r="E315" s="31">
        <v>46226.0</v>
      </c>
      <c r="F315" s="26" t="s">
        <v>41</v>
      </c>
      <c r="G315" s="26">
        <v>11.0</v>
      </c>
      <c r="I315" s="26" t="s">
        <v>42</v>
      </c>
      <c r="J315" s="25" t="str">
        <f t="shared" si="25"/>
        <v>No</v>
      </c>
      <c r="K315" s="25" t="str">
        <f t="shared" si="26"/>
        <v/>
      </c>
      <c r="L315" s="25" t="str">
        <f t="shared" si="27"/>
        <v/>
      </c>
      <c r="M315" s="25"/>
      <c r="O315" s="25"/>
    </row>
    <row r="316" ht="15.75" customHeight="1">
      <c r="A316" s="25" t="str">
        <f>IFERROR(__xludf.DUMMYFUNCTION("IF(B316="""","""",RIGHT(REGEXREPLACE(B316&amp;"""",""[^0-9]"",""""),9))"),"707569558")</f>
        <v>707569558</v>
      </c>
      <c r="B316" s="52">
        <v>7.07569558E8</v>
      </c>
      <c r="C316" s="28" t="s">
        <v>462</v>
      </c>
      <c r="D316" s="26" t="s">
        <v>82</v>
      </c>
      <c r="E316" s="31">
        <v>46226.0</v>
      </c>
      <c r="F316" s="26" t="s">
        <v>46</v>
      </c>
      <c r="G316" s="26">
        <v>10.0</v>
      </c>
      <c r="H316" s="26" t="s">
        <v>463</v>
      </c>
      <c r="I316" s="26" t="s">
        <v>42</v>
      </c>
      <c r="J316" s="25" t="str">
        <f t="shared" si="25"/>
        <v>No</v>
      </c>
      <c r="K316" s="25" t="str">
        <f t="shared" si="26"/>
        <v/>
      </c>
      <c r="L316" s="25" t="str">
        <f t="shared" si="27"/>
        <v/>
      </c>
      <c r="M316" s="25"/>
      <c r="O316" s="25"/>
    </row>
    <row r="317" ht="15.75" customHeight="1">
      <c r="A317" s="25" t="str">
        <f>IFERROR(__xludf.DUMMYFUNCTION("IF(B317="""","""",RIGHT(REGEXREPLACE(B317&amp;"""",""[^0-9]"",""""),9))"),"770715119")</f>
        <v>770715119</v>
      </c>
      <c r="B317" s="52">
        <v>9.4770715119E10</v>
      </c>
      <c r="C317" s="28" t="s">
        <v>464</v>
      </c>
      <c r="D317" s="26" t="s">
        <v>37</v>
      </c>
      <c r="E317" s="31">
        <v>46226.0</v>
      </c>
      <c r="F317" s="26" t="s">
        <v>46</v>
      </c>
      <c r="G317" s="26">
        <v>11.0</v>
      </c>
      <c r="H317" s="26" t="s">
        <v>465</v>
      </c>
      <c r="I317" s="26" t="s">
        <v>42</v>
      </c>
      <c r="J317" s="25" t="str">
        <f t="shared" si="25"/>
        <v>No</v>
      </c>
      <c r="K317" s="25" t="str">
        <f t="shared" si="26"/>
        <v/>
      </c>
      <c r="L317" s="25" t="str">
        <f t="shared" si="27"/>
        <v/>
      </c>
      <c r="M317" s="25"/>
      <c r="O317" s="25"/>
    </row>
    <row r="318" ht="15.75" customHeight="1">
      <c r="A318" s="25" t="str">
        <f>IFERROR(__xludf.DUMMYFUNCTION("IF(B318="""","""",RIGHT(REGEXREPLACE(B318&amp;"""",""[^0-9]"",""""),9))"),"773968629")</f>
        <v>773968629</v>
      </c>
      <c r="B318" s="52">
        <v>7.73968629E8</v>
      </c>
      <c r="C318" s="28" t="s">
        <v>466</v>
      </c>
      <c r="D318" s="26" t="s">
        <v>56</v>
      </c>
      <c r="E318" s="31">
        <v>46226.0</v>
      </c>
      <c r="F318" s="26" t="s">
        <v>41</v>
      </c>
      <c r="G318" s="26">
        <v>11.0</v>
      </c>
      <c r="I318" s="26" t="s">
        <v>42</v>
      </c>
      <c r="J318" s="25" t="str">
        <f t="shared" si="25"/>
        <v>No</v>
      </c>
      <c r="K318" s="25" t="str">
        <f t="shared" si="26"/>
        <v/>
      </c>
      <c r="L318" s="25" t="str">
        <f t="shared" si="27"/>
        <v/>
      </c>
      <c r="M318" s="25"/>
      <c r="O318" s="25"/>
    </row>
    <row r="319" ht="15.75" customHeight="1">
      <c r="A319" s="25" t="str">
        <f>IFERROR(__xludf.DUMMYFUNCTION("IF(B319="""","""",RIGHT(REGEXREPLACE(B319&amp;"""",""[^0-9]"",""""),9))"),"710674755")</f>
        <v>710674755</v>
      </c>
      <c r="B319" s="52">
        <v>7.10674755E8</v>
      </c>
      <c r="C319" s="28" t="s">
        <v>467</v>
      </c>
      <c r="D319" s="26" t="s">
        <v>45</v>
      </c>
      <c r="E319" s="31">
        <v>46226.0</v>
      </c>
      <c r="F319" s="26" t="s">
        <v>41</v>
      </c>
      <c r="I319" s="26" t="s">
        <v>42</v>
      </c>
      <c r="J319" s="25" t="str">
        <f t="shared" si="25"/>
        <v>No</v>
      </c>
      <c r="K319" s="25" t="str">
        <f t="shared" si="26"/>
        <v/>
      </c>
      <c r="L319" s="25" t="str">
        <f t="shared" si="27"/>
        <v/>
      </c>
      <c r="M319" s="25"/>
      <c r="O319" s="25"/>
    </row>
    <row r="320" ht="15.75" customHeight="1">
      <c r="A320" s="25" t="str">
        <f>IFERROR(__xludf.DUMMYFUNCTION("IF(B320="""","""",RIGHT(REGEXREPLACE(B320&amp;"""",""[^0-9]"",""""),9))"),"762315192")</f>
        <v>762315192</v>
      </c>
      <c r="B320" s="52">
        <v>7.62315192E8</v>
      </c>
      <c r="C320" s="28" t="s">
        <v>468</v>
      </c>
      <c r="D320" s="26" t="s">
        <v>49</v>
      </c>
      <c r="E320" s="31">
        <v>46226.0</v>
      </c>
      <c r="F320" s="26" t="s">
        <v>46</v>
      </c>
      <c r="G320" s="26">
        <v>11.0</v>
      </c>
      <c r="I320" s="26" t="s">
        <v>42</v>
      </c>
      <c r="J320" s="25" t="str">
        <f t="shared" si="25"/>
        <v>No</v>
      </c>
      <c r="K320" s="25" t="str">
        <f t="shared" si="26"/>
        <v/>
      </c>
      <c r="L320" s="25" t="str">
        <f t="shared" si="27"/>
        <v/>
      </c>
      <c r="M320" s="25"/>
      <c r="O320" s="25"/>
    </row>
    <row r="321" ht="15.75" customHeight="1">
      <c r="A321" s="25" t="str">
        <f>IFERROR(__xludf.DUMMYFUNCTION("IF(B321="""","""",RIGHT(REGEXREPLACE(B321&amp;"""",""[^0-9]"",""""),9))"),"701913717")</f>
        <v>701913717</v>
      </c>
      <c r="B321" s="52">
        <v>9.4701913717E10</v>
      </c>
      <c r="C321" s="28" t="s">
        <v>469</v>
      </c>
      <c r="D321" s="26" t="s">
        <v>29</v>
      </c>
      <c r="E321" s="31">
        <v>46226.0</v>
      </c>
      <c r="F321" s="26" t="s">
        <v>46</v>
      </c>
      <c r="G321" s="26">
        <v>11.0</v>
      </c>
      <c r="H321" s="26" t="s">
        <v>470</v>
      </c>
      <c r="I321" s="26" t="s">
        <v>42</v>
      </c>
      <c r="J321" s="25" t="str">
        <f t="shared" si="25"/>
        <v>No</v>
      </c>
      <c r="K321" s="25" t="str">
        <f t="shared" si="26"/>
        <v/>
      </c>
      <c r="L321" s="25" t="str">
        <f t="shared" si="27"/>
        <v/>
      </c>
      <c r="M321" s="25"/>
      <c r="O321" s="25"/>
    </row>
    <row r="322" ht="15.75" customHeight="1">
      <c r="A322" s="25" t="str">
        <f>IFERROR(__xludf.DUMMYFUNCTION("IF(B322="""","""",RIGHT(REGEXREPLACE(B322&amp;"""",""[^0-9]"",""""),9))"),"707600064")</f>
        <v>707600064</v>
      </c>
      <c r="B322" s="52">
        <v>7.07600064E8</v>
      </c>
      <c r="C322" s="28" t="s">
        <v>471</v>
      </c>
      <c r="D322" s="26" t="s">
        <v>45</v>
      </c>
      <c r="E322" s="31">
        <v>46226.0</v>
      </c>
      <c r="F322" s="26" t="s">
        <v>41</v>
      </c>
      <c r="I322" s="26" t="s">
        <v>42</v>
      </c>
      <c r="J322" s="25" t="str">
        <f t="shared" si="25"/>
        <v>No</v>
      </c>
      <c r="K322" s="25" t="str">
        <f t="shared" si="26"/>
        <v/>
      </c>
      <c r="L322" s="25" t="str">
        <f t="shared" si="27"/>
        <v/>
      </c>
      <c r="M322" s="25"/>
      <c r="O322" s="25"/>
    </row>
    <row r="323" ht="15.75" customHeight="1">
      <c r="A323" s="25" t="str">
        <f>IFERROR(__xludf.DUMMYFUNCTION("IF(B323="""","""",RIGHT(REGEXREPLACE(B323&amp;"""",""[^0-9]"",""""),9))"),"701013169")</f>
        <v>701013169</v>
      </c>
      <c r="B323" s="52">
        <v>9.4701013169E10</v>
      </c>
      <c r="C323" s="28" t="s">
        <v>472</v>
      </c>
      <c r="D323" s="26" t="s">
        <v>37</v>
      </c>
      <c r="E323" s="31">
        <v>46226.0</v>
      </c>
      <c r="F323" s="26" t="s">
        <v>46</v>
      </c>
      <c r="G323" s="26">
        <v>6.0</v>
      </c>
      <c r="I323" s="26" t="s">
        <v>42</v>
      </c>
      <c r="J323" s="25" t="str">
        <f t="shared" si="25"/>
        <v>No</v>
      </c>
      <c r="K323" s="25" t="str">
        <f t="shared" si="26"/>
        <v/>
      </c>
      <c r="L323" s="25" t="str">
        <f t="shared" si="27"/>
        <v/>
      </c>
      <c r="M323" s="25"/>
      <c r="O323" s="26" t="s">
        <v>51</v>
      </c>
    </row>
    <row r="324" ht="15.75" customHeight="1">
      <c r="A324" s="25" t="str">
        <f>IFERROR(__xludf.DUMMYFUNCTION("IF(B324="""","""",RIGHT(REGEXREPLACE(B324&amp;"""",""[^0-9]"",""""),9))"),"766433982")</f>
        <v>766433982</v>
      </c>
      <c r="B324" s="52">
        <v>9.4766433982E10</v>
      </c>
      <c r="C324" s="28" t="s">
        <v>473</v>
      </c>
      <c r="D324" s="26" t="s">
        <v>29</v>
      </c>
      <c r="E324" s="31">
        <v>46226.0</v>
      </c>
      <c r="F324" s="26" t="s">
        <v>46</v>
      </c>
      <c r="G324" s="26">
        <v>11.0</v>
      </c>
      <c r="I324" s="26" t="s">
        <v>42</v>
      </c>
      <c r="J324" s="25" t="str">
        <f t="shared" si="25"/>
        <v>No</v>
      </c>
      <c r="K324" s="25" t="str">
        <f t="shared" si="26"/>
        <v/>
      </c>
      <c r="L324" s="25" t="str">
        <f t="shared" si="27"/>
        <v/>
      </c>
      <c r="M324" s="25"/>
      <c r="O324" s="25"/>
    </row>
    <row r="325" ht="15.75" customHeight="1">
      <c r="A325" s="25" t="str">
        <f>IFERROR(__xludf.DUMMYFUNCTION("IF(B325="""","""",RIGHT(REGEXREPLACE(B325&amp;"""",""[^0-9]"",""""),9))"),"761741259")</f>
        <v>761741259</v>
      </c>
      <c r="B325" s="52">
        <v>7.61741259E8</v>
      </c>
      <c r="C325" s="28" t="s">
        <v>474</v>
      </c>
      <c r="D325" s="26" t="s">
        <v>56</v>
      </c>
      <c r="E325" s="31">
        <v>46226.0</v>
      </c>
      <c r="F325" s="26" t="s">
        <v>46</v>
      </c>
      <c r="G325" s="26" t="s">
        <v>475</v>
      </c>
      <c r="I325" s="26" t="s">
        <v>42</v>
      </c>
      <c r="J325" s="25" t="str">
        <f t="shared" si="25"/>
        <v>No</v>
      </c>
      <c r="K325" s="25" t="str">
        <f t="shared" si="26"/>
        <v/>
      </c>
      <c r="L325" s="25" t="str">
        <f t="shared" si="27"/>
        <v/>
      </c>
      <c r="M325" s="25"/>
      <c r="O325" s="25"/>
    </row>
    <row r="326" ht="15.75" customHeight="1">
      <c r="A326" s="25" t="str">
        <f>IFERROR(__xludf.DUMMYFUNCTION("IF(B326="""","""",RIGHT(REGEXREPLACE(B326&amp;"""",""[^0-9]"",""""),9))"),"778743154")</f>
        <v>778743154</v>
      </c>
      <c r="B326" s="52">
        <v>7.78743154E8</v>
      </c>
      <c r="C326" s="28" t="s">
        <v>476</v>
      </c>
      <c r="D326" s="26" t="s">
        <v>82</v>
      </c>
      <c r="E326" s="31">
        <v>46226.0</v>
      </c>
      <c r="F326" s="26" t="s">
        <v>46</v>
      </c>
      <c r="G326" s="26">
        <v>11.0</v>
      </c>
      <c r="I326" s="26" t="s">
        <v>42</v>
      </c>
      <c r="J326" s="25" t="str">
        <f t="shared" si="25"/>
        <v>No</v>
      </c>
      <c r="K326" s="25" t="str">
        <f t="shared" si="26"/>
        <v/>
      </c>
      <c r="L326" s="25" t="str">
        <f t="shared" si="27"/>
        <v/>
      </c>
      <c r="M326" s="25"/>
      <c r="O326" s="25"/>
    </row>
    <row r="327" ht="15.75" customHeight="1">
      <c r="A327" s="25" t="str">
        <f>IFERROR(__xludf.DUMMYFUNCTION("IF(B327="""","""",RIGHT(REGEXREPLACE(B327&amp;"""",""[^0-9]"",""""),9))"),"776329422")</f>
        <v>776329422</v>
      </c>
      <c r="B327" s="52">
        <v>7.76329422E8</v>
      </c>
      <c r="C327" s="28" t="s">
        <v>477</v>
      </c>
      <c r="D327" s="26" t="s">
        <v>45</v>
      </c>
      <c r="E327" s="31">
        <v>46226.0</v>
      </c>
      <c r="F327" s="26" t="s">
        <v>46</v>
      </c>
      <c r="G327" s="26">
        <v>11.0</v>
      </c>
      <c r="I327" s="26" t="s">
        <v>42</v>
      </c>
      <c r="J327" s="25" t="str">
        <f t="shared" si="25"/>
        <v>No</v>
      </c>
      <c r="K327" s="25" t="str">
        <f t="shared" si="26"/>
        <v/>
      </c>
      <c r="L327" s="25" t="str">
        <f t="shared" si="27"/>
        <v/>
      </c>
      <c r="M327" s="25"/>
      <c r="O327" s="25"/>
    </row>
    <row r="328" ht="15.75" customHeight="1">
      <c r="A328" s="25" t="str">
        <f>IFERROR(__xludf.DUMMYFUNCTION("IF(B328="""","""",RIGHT(REGEXREPLACE(B328&amp;"""",""[^0-9]"",""""),9))"),"779535568")</f>
        <v>779535568</v>
      </c>
      <c r="B328" s="52">
        <v>7.79535568E8</v>
      </c>
      <c r="C328" s="28" t="s">
        <v>478</v>
      </c>
      <c r="D328" s="26" t="s">
        <v>49</v>
      </c>
      <c r="E328" s="31">
        <v>46226.0</v>
      </c>
      <c r="F328" s="26" t="s">
        <v>46</v>
      </c>
      <c r="G328" s="26">
        <v>9.0</v>
      </c>
      <c r="I328" s="26" t="s">
        <v>42</v>
      </c>
      <c r="J328" s="25" t="str">
        <f t="shared" si="25"/>
        <v>No</v>
      </c>
      <c r="K328" s="25" t="str">
        <f t="shared" si="26"/>
        <v/>
      </c>
      <c r="L328" s="25" t="str">
        <f t="shared" si="27"/>
        <v/>
      </c>
      <c r="M328" s="25"/>
      <c r="O328" s="25"/>
    </row>
    <row r="329" ht="15.75" customHeight="1">
      <c r="A329" s="25" t="str">
        <f>IFERROR(__xludf.DUMMYFUNCTION("IF(B329="""","""",RIGHT(REGEXREPLACE(B329&amp;"""",""[^0-9]"",""""),9))"),"741691504")</f>
        <v>741691504</v>
      </c>
      <c r="B329" s="52">
        <v>9.4741691504E10</v>
      </c>
      <c r="C329" s="28" t="s">
        <v>479</v>
      </c>
      <c r="D329" s="26" t="s">
        <v>29</v>
      </c>
      <c r="E329" s="31">
        <v>46226.0</v>
      </c>
      <c r="F329" s="26" t="s">
        <v>46</v>
      </c>
      <c r="G329" s="26">
        <v>11.0</v>
      </c>
      <c r="I329" s="26" t="s">
        <v>42</v>
      </c>
      <c r="J329" s="25" t="str">
        <f t="shared" si="25"/>
        <v>No</v>
      </c>
      <c r="K329" s="25" t="str">
        <f t="shared" si="26"/>
        <v/>
      </c>
      <c r="L329" s="25" t="str">
        <f t="shared" si="27"/>
        <v/>
      </c>
      <c r="M329" s="25"/>
      <c r="O329" s="25"/>
    </row>
    <row r="330" ht="15.75" customHeight="1">
      <c r="A330" s="25" t="str">
        <f>IFERROR(__xludf.DUMMYFUNCTION("IF(B330="""","""",RIGHT(REGEXREPLACE(B330&amp;"""",""[^0-9]"",""""),9))"),"784485814")</f>
        <v>784485814</v>
      </c>
      <c r="B330" s="52">
        <v>7.84485814E8</v>
      </c>
      <c r="C330" s="28" t="s">
        <v>480</v>
      </c>
      <c r="D330" s="26" t="s">
        <v>49</v>
      </c>
      <c r="E330" s="31">
        <v>46226.0</v>
      </c>
      <c r="F330" s="26" t="s">
        <v>46</v>
      </c>
      <c r="G330" s="26">
        <v>11.0</v>
      </c>
      <c r="I330" s="26" t="s">
        <v>42</v>
      </c>
      <c r="J330" s="25" t="str">
        <f t="shared" si="25"/>
        <v>No</v>
      </c>
      <c r="K330" s="25" t="str">
        <f t="shared" si="26"/>
        <v/>
      </c>
      <c r="L330" s="25" t="str">
        <f t="shared" si="27"/>
        <v/>
      </c>
      <c r="M330" s="25"/>
      <c r="O330" s="25"/>
    </row>
    <row r="331" ht="15.75" customHeight="1">
      <c r="A331" s="25" t="str">
        <f>IFERROR(__xludf.DUMMYFUNCTION("IF(B331="""","""",RIGHT(REGEXREPLACE(B331&amp;"""",""[^0-9]"",""""),9))"),"763133249")</f>
        <v>763133249</v>
      </c>
      <c r="B331" s="52">
        <v>7.63133249E8</v>
      </c>
      <c r="C331" s="28" t="s">
        <v>481</v>
      </c>
      <c r="D331" s="26" t="s">
        <v>45</v>
      </c>
      <c r="E331" s="31">
        <v>46226.0</v>
      </c>
      <c r="F331" s="26" t="s">
        <v>46</v>
      </c>
      <c r="G331" s="26">
        <v>11.0</v>
      </c>
      <c r="I331" s="26" t="s">
        <v>42</v>
      </c>
      <c r="J331" s="25" t="str">
        <f t="shared" si="25"/>
        <v>No</v>
      </c>
      <c r="K331" s="25" t="str">
        <f t="shared" si="26"/>
        <v/>
      </c>
      <c r="L331" s="25" t="str">
        <f t="shared" si="27"/>
        <v/>
      </c>
      <c r="M331" s="25"/>
      <c r="O331" s="25"/>
    </row>
    <row r="332" ht="15.75" customHeight="1">
      <c r="A332" s="25" t="str">
        <f>IFERROR(__xludf.DUMMYFUNCTION("IF(B332="""","""",RIGHT(REGEXREPLACE(B332&amp;"""",""[^0-9]"",""""),9))"),"761555250")</f>
        <v>761555250</v>
      </c>
      <c r="B332" s="52">
        <v>9.476155525E10</v>
      </c>
      <c r="C332" s="28" t="s">
        <v>482</v>
      </c>
      <c r="D332" s="26" t="s">
        <v>37</v>
      </c>
      <c r="E332" s="31">
        <v>46226.0</v>
      </c>
      <c r="F332" s="26" t="s">
        <v>46</v>
      </c>
      <c r="G332" s="26">
        <v>11.0</v>
      </c>
      <c r="H332" s="26" t="s">
        <v>483</v>
      </c>
      <c r="I332" s="26" t="s">
        <v>42</v>
      </c>
      <c r="J332" s="25" t="str">
        <f t="shared" si="25"/>
        <v>No</v>
      </c>
      <c r="K332" s="25" t="str">
        <f t="shared" si="26"/>
        <v/>
      </c>
      <c r="L332" s="25" t="str">
        <f t="shared" si="27"/>
        <v/>
      </c>
      <c r="M332" s="25"/>
      <c r="O332" s="25"/>
    </row>
    <row r="333" ht="15.75" customHeight="1">
      <c r="A333" s="25" t="str">
        <f>IFERROR(__xludf.DUMMYFUNCTION("IF(B333="""","""",RIGHT(REGEXREPLACE(B333&amp;"""",""[^0-9]"",""""),9))"),"710956158")</f>
        <v>710956158</v>
      </c>
      <c r="B333" s="52">
        <v>7.10956158E8</v>
      </c>
      <c r="C333" s="28" t="s">
        <v>484</v>
      </c>
      <c r="D333" s="26" t="s">
        <v>56</v>
      </c>
      <c r="E333" s="31">
        <v>46226.0</v>
      </c>
      <c r="F333" s="26" t="s">
        <v>46</v>
      </c>
      <c r="G333" s="26">
        <v>10.0</v>
      </c>
      <c r="I333" s="26" t="s">
        <v>42</v>
      </c>
      <c r="J333" s="25" t="str">
        <f t="shared" si="25"/>
        <v>No</v>
      </c>
      <c r="K333" s="25" t="str">
        <f t="shared" si="26"/>
        <v/>
      </c>
      <c r="L333" s="25" t="str">
        <f t="shared" si="27"/>
        <v/>
      </c>
      <c r="M333" s="25"/>
      <c r="O333" s="25"/>
    </row>
    <row r="334" ht="15.75" customHeight="1">
      <c r="A334" s="25" t="str">
        <f>IFERROR(__xludf.DUMMYFUNCTION("IF(B334="""","""",RIGHT(REGEXREPLACE(B334&amp;"""",""[^0-9]"",""""),9))"),"764975276")</f>
        <v>764975276</v>
      </c>
      <c r="B334" s="52">
        <v>7.64975276E8</v>
      </c>
      <c r="C334" s="28" t="s">
        <v>485</v>
      </c>
      <c r="D334" s="26" t="s">
        <v>82</v>
      </c>
      <c r="E334" s="31">
        <v>46226.0</v>
      </c>
      <c r="F334" s="26" t="s">
        <v>41</v>
      </c>
      <c r="G334" s="26">
        <v>11.0</v>
      </c>
      <c r="I334" s="26" t="s">
        <v>42</v>
      </c>
      <c r="J334" s="25" t="str">
        <f t="shared" si="25"/>
        <v>No</v>
      </c>
      <c r="K334" s="25" t="str">
        <f t="shared" si="26"/>
        <v/>
      </c>
      <c r="L334" s="25" t="str">
        <f t="shared" si="27"/>
        <v/>
      </c>
      <c r="M334" s="25"/>
      <c r="O334" s="25"/>
    </row>
    <row r="335" ht="15.75" customHeight="1">
      <c r="A335" s="25" t="str">
        <f>IFERROR(__xludf.DUMMYFUNCTION("IF(B335="""","""",RIGHT(REGEXREPLACE(B335&amp;"""",""[^0-9]"",""""),9))"),"703076540")</f>
        <v>703076540</v>
      </c>
      <c r="B335" s="52">
        <v>7.0307654E8</v>
      </c>
      <c r="C335" s="28" t="s">
        <v>486</v>
      </c>
      <c r="D335" s="26" t="s">
        <v>49</v>
      </c>
      <c r="E335" s="31">
        <v>46226.0</v>
      </c>
      <c r="F335" s="26" t="s">
        <v>164</v>
      </c>
      <c r="I335" s="26" t="s">
        <v>42</v>
      </c>
      <c r="J335" s="25" t="str">
        <f t="shared" si="25"/>
        <v>No</v>
      </c>
      <c r="K335" s="25" t="str">
        <f t="shared" si="26"/>
        <v/>
      </c>
      <c r="L335" s="25" t="str">
        <f t="shared" si="27"/>
        <v/>
      </c>
      <c r="M335" s="25"/>
      <c r="O335" s="25"/>
    </row>
    <row r="336" ht="15.75" customHeight="1">
      <c r="A336" s="25" t="str">
        <f>IFERROR(__xludf.DUMMYFUNCTION("IF(B336="""","""",RIGHT(REGEXREPLACE(B336&amp;"""",""[^0-9]"",""""),9))"),"762110416")</f>
        <v>762110416</v>
      </c>
      <c r="B336" s="52">
        <v>9.4762110416E10</v>
      </c>
      <c r="C336" s="28" t="s">
        <v>487</v>
      </c>
      <c r="D336" s="26" t="s">
        <v>37</v>
      </c>
      <c r="E336" s="31">
        <v>46226.0</v>
      </c>
      <c r="F336" s="26" t="s">
        <v>46</v>
      </c>
      <c r="G336" s="26">
        <v>11.0</v>
      </c>
      <c r="I336" s="26" t="s">
        <v>42</v>
      </c>
      <c r="J336" s="25" t="str">
        <f t="shared" si="25"/>
        <v>No</v>
      </c>
      <c r="K336" s="25" t="str">
        <f t="shared" si="26"/>
        <v/>
      </c>
      <c r="L336" s="25" t="str">
        <f t="shared" si="27"/>
        <v/>
      </c>
      <c r="M336" s="25"/>
      <c r="O336" s="25"/>
    </row>
    <row r="337" ht="15.75" customHeight="1">
      <c r="A337" s="25" t="str">
        <f>IFERROR(__xludf.DUMMYFUNCTION("IF(B337="""","""",RIGHT(REGEXREPLACE(B337&amp;"""",""[^0-9]"",""""),9))"),"766077996")</f>
        <v>766077996</v>
      </c>
      <c r="B337" s="52">
        <v>7.66077996E8</v>
      </c>
      <c r="C337" s="28" t="s">
        <v>488</v>
      </c>
      <c r="D337" s="26" t="s">
        <v>49</v>
      </c>
      <c r="E337" s="31">
        <v>46226.0</v>
      </c>
      <c r="F337" s="26" t="s">
        <v>46</v>
      </c>
      <c r="G337" s="26">
        <v>11.0</v>
      </c>
      <c r="I337" s="26" t="s">
        <v>42</v>
      </c>
      <c r="J337" s="25" t="str">
        <f t="shared" si="25"/>
        <v>No</v>
      </c>
      <c r="K337" s="25" t="str">
        <f t="shared" si="26"/>
        <v/>
      </c>
      <c r="L337" s="25" t="str">
        <f t="shared" si="27"/>
        <v/>
      </c>
      <c r="M337" s="25"/>
      <c r="O337" s="25"/>
    </row>
    <row r="338" ht="15.75" customHeight="1">
      <c r="A338" s="25" t="str">
        <f>IFERROR(__xludf.DUMMYFUNCTION("IF(B338="""","""",RIGHT(REGEXREPLACE(B338&amp;"""",""[^0-9]"",""""),9))"),"743890845")</f>
        <v>743890845</v>
      </c>
      <c r="B338" s="52">
        <v>7.43890845E8</v>
      </c>
      <c r="C338" s="28" t="s">
        <v>489</v>
      </c>
      <c r="D338" s="26" t="s">
        <v>45</v>
      </c>
      <c r="E338" s="31">
        <v>46226.0</v>
      </c>
      <c r="F338" s="26" t="s">
        <v>41</v>
      </c>
      <c r="I338" s="26" t="s">
        <v>42</v>
      </c>
      <c r="J338" s="25" t="str">
        <f t="shared" si="25"/>
        <v>No</v>
      </c>
      <c r="K338" s="25" t="str">
        <f t="shared" si="26"/>
        <v/>
      </c>
      <c r="L338" s="25" t="str">
        <f t="shared" si="27"/>
        <v/>
      </c>
      <c r="M338" s="25"/>
      <c r="O338" s="25"/>
    </row>
    <row r="339" ht="15.75" customHeight="1">
      <c r="A339" s="25" t="str">
        <f>IFERROR(__xludf.DUMMYFUNCTION("IF(B339="""","""",RIGHT(REGEXREPLACE(B339&amp;"""",""[^0-9]"",""""),9))"),"717783036")</f>
        <v>717783036</v>
      </c>
      <c r="B339" s="52">
        <v>7.17783036E8</v>
      </c>
      <c r="C339" s="28" t="s">
        <v>490</v>
      </c>
      <c r="D339" s="26" t="s">
        <v>56</v>
      </c>
      <c r="E339" s="31">
        <v>46226.0</v>
      </c>
      <c r="F339" s="26" t="s">
        <v>205</v>
      </c>
      <c r="I339" s="26" t="s">
        <v>42</v>
      </c>
      <c r="J339" s="25" t="str">
        <f t="shared" si="25"/>
        <v>No</v>
      </c>
      <c r="K339" s="25" t="str">
        <f t="shared" si="26"/>
        <v/>
      </c>
      <c r="L339" s="25" t="str">
        <f t="shared" si="27"/>
        <v/>
      </c>
      <c r="M339" s="25"/>
      <c r="O339" s="25"/>
    </row>
    <row r="340" ht="15.75" customHeight="1">
      <c r="A340" s="25" t="str">
        <f>IFERROR(__xludf.DUMMYFUNCTION("IF(B340="""","""",RIGHT(REGEXREPLACE(B340&amp;"""",""[^0-9]"",""""),9))"),"775074236")</f>
        <v>775074236</v>
      </c>
      <c r="B340" s="52">
        <v>9.4775074236E10</v>
      </c>
      <c r="C340" s="28" t="s">
        <v>491</v>
      </c>
      <c r="D340" s="26" t="s">
        <v>37</v>
      </c>
      <c r="E340" s="31">
        <v>46226.0</v>
      </c>
      <c r="F340" s="26" t="s">
        <v>84</v>
      </c>
      <c r="G340" s="26">
        <v>10.0</v>
      </c>
      <c r="I340" s="26" t="s">
        <v>42</v>
      </c>
      <c r="J340" s="25" t="str">
        <f t="shared" si="25"/>
        <v>No</v>
      </c>
      <c r="K340" s="25" t="str">
        <f t="shared" si="26"/>
        <v/>
      </c>
      <c r="L340" s="25" t="str">
        <f t="shared" si="27"/>
        <v/>
      </c>
      <c r="M340" s="25"/>
      <c r="O340" s="25"/>
    </row>
    <row r="341" ht="15.75" customHeight="1">
      <c r="A341" s="25" t="str">
        <f>IFERROR(__xludf.DUMMYFUNCTION("IF(B341="""","""",RIGHT(REGEXREPLACE(B341&amp;"""",""[^0-9]"",""""),9))"),"768724892")</f>
        <v>768724892</v>
      </c>
      <c r="B341" s="52">
        <v>7.68724892E8</v>
      </c>
      <c r="C341" s="28" t="s">
        <v>492</v>
      </c>
      <c r="D341" s="26" t="s">
        <v>82</v>
      </c>
      <c r="E341" s="31">
        <v>46226.0</v>
      </c>
      <c r="F341" s="26" t="s">
        <v>84</v>
      </c>
      <c r="I341" s="26" t="s">
        <v>42</v>
      </c>
      <c r="J341" s="25" t="str">
        <f t="shared" si="25"/>
        <v>No</v>
      </c>
      <c r="K341" s="25" t="str">
        <f t="shared" si="26"/>
        <v/>
      </c>
      <c r="L341" s="25" t="str">
        <f t="shared" si="27"/>
        <v/>
      </c>
      <c r="M341" s="25"/>
      <c r="O341" s="25"/>
    </row>
    <row r="342" ht="15.75" customHeight="1">
      <c r="A342" s="25" t="str">
        <f>IFERROR(__xludf.DUMMYFUNCTION("IF(B342="""","""",RIGHT(REGEXREPLACE(B342&amp;"""",""[^0-9]"",""""),9))"),"768978537")</f>
        <v>768978537</v>
      </c>
      <c r="B342" s="52">
        <v>9.4768978537E10</v>
      </c>
      <c r="C342" s="28" t="s">
        <v>493</v>
      </c>
      <c r="D342" s="26" t="s">
        <v>29</v>
      </c>
      <c r="E342" s="31">
        <v>46226.0</v>
      </c>
      <c r="F342" s="26" t="s">
        <v>46</v>
      </c>
      <c r="G342" s="26">
        <v>11.0</v>
      </c>
      <c r="I342" s="26" t="s">
        <v>42</v>
      </c>
      <c r="J342" s="25" t="str">
        <f t="shared" si="25"/>
        <v>No</v>
      </c>
      <c r="K342" s="25" t="str">
        <f t="shared" si="26"/>
        <v/>
      </c>
      <c r="L342" s="25" t="str">
        <f t="shared" si="27"/>
        <v/>
      </c>
      <c r="M342" s="25"/>
      <c r="O342" s="25"/>
    </row>
    <row r="343" ht="15.75" customHeight="1">
      <c r="A343" s="25" t="str">
        <f>IFERROR(__xludf.DUMMYFUNCTION("IF(B343="""","""",RIGHT(REGEXREPLACE(B343&amp;"""",""[^0-9]"",""""),9))"),"702580064")</f>
        <v>702580064</v>
      </c>
      <c r="B343" s="52">
        <v>7.02580064E8</v>
      </c>
      <c r="C343" s="28" t="s">
        <v>494</v>
      </c>
      <c r="D343" s="26" t="s">
        <v>45</v>
      </c>
      <c r="E343" s="31">
        <v>46226.0</v>
      </c>
      <c r="F343" s="26" t="s">
        <v>125</v>
      </c>
      <c r="G343" s="26">
        <v>11.0</v>
      </c>
      <c r="I343" s="26" t="s">
        <v>42</v>
      </c>
      <c r="J343" s="25" t="str">
        <f t="shared" si="25"/>
        <v>No</v>
      </c>
      <c r="K343" s="25" t="str">
        <f t="shared" si="26"/>
        <v/>
      </c>
      <c r="L343" s="25" t="str">
        <f t="shared" si="27"/>
        <v/>
      </c>
      <c r="M343" s="25"/>
      <c r="O343" s="25"/>
    </row>
    <row r="344" ht="15.75" customHeight="1">
      <c r="A344" s="25" t="str">
        <f>IFERROR(__xludf.DUMMYFUNCTION("IF(B344="""","""",RIGHT(REGEXREPLACE(B344&amp;"""",""[^0-9]"",""""),9))"),"719434806")</f>
        <v>719434806</v>
      </c>
      <c r="B344" s="52">
        <v>9.4719434806E10</v>
      </c>
      <c r="C344" s="28" t="s">
        <v>495</v>
      </c>
      <c r="D344" s="26" t="s">
        <v>37</v>
      </c>
      <c r="E344" s="31">
        <v>46226.0</v>
      </c>
      <c r="F344" s="26" t="s">
        <v>41</v>
      </c>
      <c r="I344" s="26" t="s">
        <v>42</v>
      </c>
      <c r="J344" s="25" t="str">
        <f t="shared" si="25"/>
        <v>No</v>
      </c>
      <c r="K344" s="25" t="str">
        <f t="shared" si="26"/>
        <v/>
      </c>
      <c r="L344" s="25" t="str">
        <f t="shared" si="27"/>
        <v/>
      </c>
      <c r="M344" s="25"/>
      <c r="O344" s="25"/>
    </row>
    <row r="345" ht="15.75" customHeight="1">
      <c r="A345" s="25" t="str">
        <f>IFERROR(__xludf.DUMMYFUNCTION("IF(B345="""","""",RIGHT(REGEXREPLACE(B345&amp;"""",""[^0-9]"",""""),9))"),"776195346")</f>
        <v>776195346</v>
      </c>
      <c r="B345" s="52">
        <v>7.76195346E8</v>
      </c>
      <c r="C345" s="28" t="s">
        <v>496</v>
      </c>
      <c r="D345" s="26" t="s">
        <v>56</v>
      </c>
      <c r="E345" s="31">
        <v>46226.0</v>
      </c>
      <c r="F345" s="26" t="s">
        <v>84</v>
      </c>
      <c r="G345" s="26">
        <v>11.0</v>
      </c>
      <c r="I345" s="26" t="s">
        <v>42</v>
      </c>
      <c r="J345" s="25" t="str">
        <f t="shared" si="25"/>
        <v>No</v>
      </c>
      <c r="K345" s="25" t="str">
        <f t="shared" si="26"/>
        <v/>
      </c>
      <c r="L345" s="25" t="str">
        <f t="shared" si="27"/>
        <v/>
      </c>
      <c r="M345" s="25"/>
      <c r="O345" s="25"/>
    </row>
    <row r="346" ht="15.75" customHeight="1">
      <c r="A346" s="25" t="str">
        <f>IFERROR(__xludf.DUMMYFUNCTION("IF(B346="""","""",RIGHT(REGEXREPLACE(B346&amp;"""",""[^0-9]"",""""),9))"),"769403839")</f>
        <v>769403839</v>
      </c>
      <c r="B346" s="52">
        <v>7.69403839E8</v>
      </c>
      <c r="C346" s="28" t="s">
        <v>497</v>
      </c>
      <c r="D346" s="26" t="s">
        <v>82</v>
      </c>
      <c r="E346" s="31">
        <v>46226.0</v>
      </c>
      <c r="F346" s="26" t="s">
        <v>46</v>
      </c>
      <c r="G346" s="26">
        <v>11.0</v>
      </c>
      <c r="I346" s="26" t="s">
        <v>42</v>
      </c>
      <c r="J346" s="25" t="str">
        <f t="shared" si="25"/>
        <v>No</v>
      </c>
      <c r="K346" s="25" t="str">
        <f t="shared" si="26"/>
        <v/>
      </c>
      <c r="L346" s="25" t="str">
        <f t="shared" si="27"/>
        <v/>
      </c>
      <c r="M346" s="25"/>
      <c r="O346" s="25"/>
    </row>
    <row r="347" ht="15.75" customHeight="1">
      <c r="A347" s="25" t="str">
        <f>IFERROR(__xludf.DUMMYFUNCTION("IF(B347="""","""",RIGHT(REGEXREPLACE(B347&amp;"""",""[^0-9]"",""""),9))"),"766052655")</f>
        <v>766052655</v>
      </c>
      <c r="B347" s="52">
        <v>9.4766052655E10</v>
      </c>
      <c r="C347" s="28" t="s">
        <v>498</v>
      </c>
      <c r="D347" s="26" t="s">
        <v>29</v>
      </c>
      <c r="E347" s="31">
        <v>46226.0</v>
      </c>
      <c r="F347" s="26" t="s">
        <v>46</v>
      </c>
      <c r="G347" s="26">
        <v>11.0</v>
      </c>
      <c r="I347" s="26" t="s">
        <v>42</v>
      </c>
      <c r="J347" s="25" t="str">
        <f t="shared" si="25"/>
        <v>No</v>
      </c>
      <c r="K347" s="25" t="str">
        <f t="shared" si="26"/>
        <v/>
      </c>
      <c r="L347" s="25" t="str">
        <f t="shared" si="27"/>
        <v/>
      </c>
      <c r="M347" s="25"/>
      <c r="O347" s="25"/>
    </row>
    <row r="348" ht="15.75" customHeight="1">
      <c r="A348" s="25" t="str">
        <f>IFERROR(__xludf.DUMMYFUNCTION("IF(B348="""","""",RIGHT(REGEXREPLACE(B348&amp;"""",""[^0-9]"",""""),9))"),"775892364")</f>
        <v>775892364</v>
      </c>
      <c r="B348" s="52">
        <v>7.75892364E8</v>
      </c>
      <c r="C348" s="28" t="s">
        <v>499</v>
      </c>
      <c r="D348" s="26" t="s">
        <v>45</v>
      </c>
      <c r="E348" s="31">
        <v>46226.0</v>
      </c>
      <c r="F348" s="26" t="s">
        <v>46</v>
      </c>
      <c r="G348" s="26">
        <v>11.0</v>
      </c>
      <c r="I348" s="26" t="s">
        <v>42</v>
      </c>
      <c r="J348" s="25" t="str">
        <f t="shared" si="25"/>
        <v>No</v>
      </c>
      <c r="K348" s="25" t="str">
        <f t="shared" si="26"/>
        <v/>
      </c>
      <c r="L348" s="25" t="str">
        <f t="shared" si="27"/>
        <v/>
      </c>
      <c r="M348" s="25"/>
      <c r="O348" s="25"/>
    </row>
    <row r="349" ht="15.75" customHeight="1">
      <c r="A349" s="25" t="str">
        <f>IFERROR(__xludf.DUMMYFUNCTION("IF(B349="""","""",RIGHT(REGEXREPLACE(B349&amp;"""",""[^0-9]"",""""),9))"),"762492800")</f>
        <v>762492800</v>
      </c>
      <c r="B349" s="52">
        <v>7.624928E8</v>
      </c>
      <c r="C349" s="28" t="s">
        <v>500</v>
      </c>
      <c r="D349" s="26" t="s">
        <v>56</v>
      </c>
      <c r="E349" s="31">
        <v>46226.0</v>
      </c>
      <c r="F349" s="26" t="s">
        <v>84</v>
      </c>
      <c r="I349" s="26" t="s">
        <v>42</v>
      </c>
      <c r="J349" s="25" t="str">
        <f t="shared" si="25"/>
        <v>No</v>
      </c>
      <c r="K349" s="25" t="str">
        <f t="shared" si="26"/>
        <v/>
      </c>
      <c r="L349" s="25" t="str">
        <f t="shared" si="27"/>
        <v/>
      </c>
      <c r="M349" s="25"/>
      <c r="O349" s="25"/>
    </row>
    <row r="350" ht="15.75" customHeight="1">
      <c r="A350" s="25" t="str">
        <f>IFERROR(__xludf.DUMMYFUNCTION("IF(B350="""","""",RIGHT(REGEXREPLACE(B350&amp;"""",""[^0-9]"",""""),9))"),"712309746")</f>
        <v>712309746</v>
      </c>
      <c r="B350" s="52">
        <v>7.12309746E8</v>
      </c>
      <c r="C350" s="28" t="s">
        <v>501</v>
      </c>
      <c r="D350" s="26" t="s">
        <v>45</v>
      </c>
      <c r="E350" s="31">
        <v>46226.0</v>
      </c>
      <c r="F350" s="26" t="s">
        <v>46</v>
      </c>
      <c r="G350" s="26">
        <v>11.0</v>
      </c>
      <c r="I350" s="26" t="s">
        <v>42</v>
      </c>
      <c r="J350" s="25" t="str">
        <f t="shared" si="25"/>
        <v>No</v>
      </c>
      <c r="K350" s="25" t="str">
        <f t="shared" si="26"/>
        <v/>
      </c>
      <c r="L350" s="25" t="str">
        <f t="shared" si="27"/>
        <v/>
      </c>
      <c r="M350" s="25"/>
      <c r="O350" s="25"/>
    </row>
    <row r="351" ht="15.75" customHeight="1">
      <c r="A351" s="25" t="str">
        <f>IFERROR(__xludf.DUMMYFUNCTION("IF(B351="""","""",RIGHT(REGEXREPLACE(B351&amp;"""",""[^0-9]"",""""),9))"),"750146632")</f>
        <v>750146632</v>
      </c>
      <c r="B351" s="52">
        <v>9.4750146632E10</v>
      </c>
      <c r="C351" s="28" t="s">
        <v>502</v>
      </c>
      <c r="D351" s="26" t="s">
        <v>29</v>
      </c>
      <c r="E351" s="31">
        <v>46226.0</v>
      </c>
      <c r="F351" s="26" t="s">
        <v>46</v>
      </c>
      <c r="G351" s="26">
        <v>11.0</v>
      </c>
      <c r="I351" s="26" t="s">
        <v>42</v>
      </c>
      <c r="J351" s="25" t="str">
        <f t="shared" si="25"/>
        <v>No</v>
      </c>
      <c r="K351" s="25" t="str">
        <f t="shared" si="26"/>
        <v/>
      </c>
      <c r="L351" s="25" t="str">
        <f t="shared" si="27"/>
        <v/>
      </c>
      <c r="M351" s="25"/>
      <c r="O351" s="25"/>
    </row>
    <row r="352" ht="15.75" customHeight="1">
      <c r="A352" s="25" t="str">
        <f>IFERROR(__xludf.DUMMYFUNCTION("IF(B352="""","""",RIGHT(REGEXREPLACE(B352&amp;"""",""[^0-9]"",""""),9))"),"768787847")</f>
        <v>768787847</v>
      </c>
      <c r="B352" s="52">
        <v>9.4768787847E10</v>
      </c>
      <c r="C352" s="28" t="s">
        <v>503</v>
      </c>
      <c r="D352" s="26" t="s">
        <v>37</v>
      </c>
      <c r="E352" s="31">
        <v>46226.0</v>
      </c>
      <c r="F352" s="26" t="s">
        <v>46</v>
      </c>
      <c r="G352" s="26">
        <v>11.0</v>
      </c>
      <c r="H352" s="26" t="s">
        <v>504</v>
      </c>
      <c r="I352" s="26" t="s">
        <v>42</v>
      </c>
      <c r="J352" s="25" t="str">
        <f t="shared" si="25"/>
        <v>No</v>
      </c>
      <c r="K352" s="25" t="str">
        <f t="shared" si="26"/>
        <v/>
      </c>
      <c r="L352" s="25" t="str">
        <f t="shared" si="27"/>
        <v/>
      </c>
      <c r="M352" s="25"/>
      <c r="O352" s="25"/>
    </row>
    <row r="353" ht="15.75" customHeight="1">
      <c r="A353" s="25" t="str">
        <f>IFERROR(__xludf.DUMMYFUNCTION("IF(B353="""","""",RIGHT(REGEXREPLACE(B353&amp;"""",""[^0-9]"",""""),9))"),"783623694")</f>
        <v>783623694</v>
      </c>
      <c r="B353" s="52">
        <v>7.83623694E8</v>
      </c>
      <c r="C353" s="28" t="s">
        <v>505</v>
      </c>
      <c r="D353" s="26" t="s">
        <v>82</v>
      </c>
      <c r="E353" s="31">
        <v>46226.0</v>
      </c>
      <c r="F353" s="26" t="s">
        <v>46</v>
      </c>
      <c r="G353" s="26">
        <v>10.0</v>
      </c>
      <c r="I353" s="26" t="s">
        <v>42</v>
      </c>
      <c r="J353" s="25" t="str">
        <f t="shared" si="25"/>
        <v>No</v>
      </c>
      <c r="K353" s="25" t="str">
        <f t="shared" si="26"/>
        <v/>
      </c>
      <c r="L353" s="25" t="str">
        <f t="shared" si="27"/>
        <v/>
      </c>
      <c r="M353" s="25"/>
      <c r="O353" s="25"/>
    </row>
    <row r="354" ht="15.75" customHeight="1">
      <c r="A354" s="25" t="str">
        <f>IFERROR(__xludf.DUMMYFUNCTION("IF(B354="""","""",RIGHT(REGEXREPLACE(B354&amp;"""",""[^0-9]"",""""),9))"),"776548531")</f>
        <v>776548531</v>
      </c>
      <c r="B354" s="52">
        <v>7.76548531E8</v>
      </c>
      <c r="C354" s="28" t="s">
        <v>506</v>
      </c>
      <c r="D354" s="26" t="s">
        <v>49</v>
      </c>
      <c r="E354" s="31">
        <v>46226.0</v>
      </c>
      <c r="F354" s="26" t="s">
        <v>41</v>
      </c>
      <c r="G354" s="26">
        <v>11.0</v>
      </c>
      <c r="I354" s="26" t="s">
        <v>42</v>
      </c>
      <c r="J354" s="25" t="str">
        <f t="shared" si="25"/>
        <v>No</v>
      </c>
      <c r="K354" s="25" t="str">
        <f t="shared" si="26"/>
        <v/>
      </c>
      <c r="L354" s="25" t="str">
        <f t="shared" si="27"/>
        <v/>
      </c>
      <c r="M354" s="25"/>
      <c r="O354" s="25"/>
    </row>
    <row r="355" ht="15.75" customHeight="1">
      <c r="A355" s="25" t="str">
        <f>IFERROR(__xludf.DUMMYFUNCTION("IF(B355="""","""",RIGHT(REGEXREPLACE(B355&amp;"""",""[^0-9]"",""""),9))"),"770727099")</f>
        <v>770727099</v>
      </c>
      <c r="B355" s="52">
        <v>7.70727099E8</v>
      </c>
      <c r="C355" s="28" t="s">
        <v>507</v>
      </c>
      <c r="D355" s="26" t="s">
        <v>56</v>
      </c>
      <c r="E355" s="31">
        <v>46226.0</v>
      </c>
      <c r="F355" s="26" t="s">
        <v>46</v>
      </c>
      <c r="G355" s="26">
        <v>11.0</v>
      </c>
      <c r="I355" s="26" t="s">
        <v>42</v>
      </c>
      <c r="J355" s="25" t="str">
        <f t="shared" si="25"/>
        <v>No</v>
      </c>
      <c r="K355" s="25" t="str">
        <f t="shared" si="26"/>
        <v/>
      </c>
      <c r="L355" s="25" t="str">
        <f t="shared" si="27"/>
        <v/>
      </c>
      <c r="M355" s="25"/>
      <c r="O355" s="25"/>
    </row>
    <row r="356" ht="15.75" customHeight="1">
      <c r="A356" s="25" t="str">
        <f>IFERROR(__xludf.DUMMYFUNCTION("IF(B356="""","""",RIGHT(REGEXREPLACE(B356&amp;"""",""[^0-9]"",""""),9))"),"777870412")</f>
        <v>777870412</v>
      </c>
      <c r="B356" s="52">
        <v>7.77870412E8</v>
      </c>
      <c r="C356" s="28" t="s">
        <v>508</v>
      </c>
      <c r="D356" s="26" t="s">
        <v>49</v>
      </c>
      <c r="E356" s="31">
        <v>46226.0</v>
      </c>
      <c r="F356" s="26" t="s">
        <v>164</v>
      </c>
      <c r="I356" s="26" t="s">
        <v>42</v>
      </c>
      <c r="J356" s="25" t="str">
        <f t="shared" si="25"/>
        <v>No</v>
      </c>
      <c r="K356" s="25" t="str">
        <f t="shared" si="26"/>
        <v/>
      </c>
      <c r="L356" s="25" t="str">
        <f t="shared" si="27"/>
        <v/>
      </c>
      <c r="M356" s="25"/>
      <c r="O356" s="25"/>
    </row>
    <row r="357" ht="15.75" customHeight="1">
      <c r="A357" s="25" t="str">
        <f>IFERROR(__xludf.DUMMYFUNCTION("IF(B357="""","""",RIGHT(REGEXREPLACE(B357&amp;"""",""[^0-9]"",""""),9))"),"773361531")</f>
        <v>773361531</v>
      </c>
      <c r="B357" s="52">
        <v>7.73361531E8</v>
      </c>
      <c r="C357" s="28" t="s">
        <v>509</v>
      </c>
      <c r="D357" s="26" t="s">
        <v>45</v>
      </c>
      <c r="E357" s="31">
        <v>46226.0</v>
      </c>
      <c r="F357" s="26" t="s">
        <v>46</v>
      </c>
      <c r="G357" s="26">
        <v>11.0</v>
      </c>
      <c r="I357" s="26" t="s">
        <v>42</v>
      </c>
      <c r="J357" s="25" t="str">
        <f t="shared" si="25"/>
        <v>No</v>
      </c>
      <c r="K357" s="25" t="str">
        <f t="shared" si="26"/>
        <v/>
      </c>
      <c r="L357" s="25" t="str">
        <f t="shared" si="27"/>
        <v/>
      </c>
      <c r="M357" s="25"/>
      <c r="O357" s="25"/>
    </row>
    <row r="358" ht="15.75" customHeight="1">
      <c r="A358" s="25" t="str">
        <f>IFERROR(__xludf.DUMMYFUNCTION("IF(B358="""","""",RIGHT(REGEXREPLACE(B358&amp;"""",""[^0-9]"",""""),9))"),"717262325")</f>
        <v>717262325</v>
      </c>
      <c r="B358" s="52">
        <v>7.17262325E8</v>
      </c>
      <c r="C358" s="28" t="s">
        <v>510</v>
      </c>
      <c r="D358" s="26" t="s">
        <v>49</v>
      </c>
      <c r="E358" s="31">
        <v>46226.0</v>
      </c>
      <c r="F358" s="26" t="s">
        <v>46</v>
      </c>
      <c r="G358" s="26">
        <v>11.0</v>
      </c>
      <c r="I358" s="26" t="s">
        <v>42</v>
      </c>
      <c r="J358" s="25" t="str">
        <f t="shared" si="25"/>
        <v>No</v>
      </c>
      <c r="K358" s="25" t="str">
        <f t="shared" si="26"/>
        <v/>
      </c>
      <c r="L358" s="25" t="str">
        <f t="shared" si="27"/>
        <v/>
      </c>
      <c r="M358" s="25"/>
      <c r="O358" s="25"/>
    </row>
    <row r="359" ht="15.75" customHeight="1">
      <c r="A359" s="25" t="str">
        <f>IFERROR(__xludf.DUMMYFUNCTION("IF(B359="""","""",RIGHT(REGEXREPLACE(B359&amp;"""",""[^0-9]"",""""),9))"),"761908893")</f>
        <v>761908893</v>
      </c>
      <c r="B359" s="52">
        <v>9.4761908893E10</v>
      </c>
      <c r="C359" s="28" t="s">
        <v>511</v>
      </c>
      <c r="D359" s="26" t="s">
        <v>37</v>
      </c>
      <c r="E359" s="31">
        <v>46226.0</v>
      </c>
      <c r="F359" s="26" t="s">
        <v>41</v>
      </c>
      <c r="H359" s="26" t="s">
        <v>253</v>
      </c>
      <c r="I359" s="26" t="s">
        <v>42</v>
      </c>
      <c r="J359" s="25" t="str">
        <f t="shared" si="25"/>
        <v>No</v>
      </c>
      <c r="K359" s="25" t="str">
        <f t="shared" si="26"/>
        <v/>
      </c>
      <c r="L359" s="25" t="str">
        <f t="shared" si="27"/>
        <v/>
      </c>
      <c r="M359" s="25"/>
      <c r="O359" s="25"/>
    </row>
    <row r="360" ht="15.75" customHeight="1">
      <c r="A360" s="25" t="str">
        <f>IFERROR(__xludf.DUMMYFUNCTION("IF(B360="""","""",RIGHT(REGEXREPLACE(B360&amp;"""",""[^0-9]"",""""),9))"),"776058848")</f>
        <v>776058848</v>
      </c>
      <c r="B360" s="52">
        <v>7.76058848E8</v>
      </c>
      <c r="C360" s="28" t="s">
        <v>512</v>
      </c>
      <c r="D360" s="26" t="s">
        <v>82</v>
      </c>
      <c r="E360" s="31">
        <v>46226.0</v>
      </c>
      <c r="F360" s="26" t="s">
        <v>46</v>
      </c>
      <c r="I360" s="26" t="s">
        <v>42</v>
      </c>
      <c r="J360" s="25" t="str">
        <f t="shared" si="25"/>
        <v>No</v>
      </c>
      <c r="K360" s="25" t="str">
        <f t="shared" si="26"/>
        <v/>
      </c>
      <c r="L360" s="25" t="str">
        <f t="shared" si="27"/>
        <v/>
      </c>
      <c r="M360" s="25"/>
      <c r="O360" s="25"/>
    </row>
    <row r="361" ht="15.75" customHeight="1">
      <c r="A361" s="25" t="str">
        <f>IFERROR(__xludf.DUMMYFUNCTION("IF(B361="""","""",RIGHT(REGEXREPLACE(B361&amp;"""",""[^0-9]"",""""),9))"),"778191622")</f>
        <v>778191622</v>
      </c>
      <c r="B361" s="52">
        <v>9.4778191622E10</v>
      </c>
      <c r="C361" s="28" t="s">
        <v>513</v>
      </c>
      <c r="D361" s="26" t="s">
        <v>29</v>
      </c>
      <c r="E361" s="31">
        <v>46226.0</v>
      </c>
      <c r="F361" s="26" t="s">
        <v>46</v>
      </c>
      <c r="G361" s="26">
        <v>11.0</v>
      </c>
      <c r="I361" s="26" t="s">
        <v>42</v>
      </c>
      <c r="J361" s="25" t="str">
        <f t="shared" si="25"/>
        <v>No</v>
      </c>
      <c r="K361" s="25" t="str">
        <f t="shared" si="26"/>
        <v/>
      </c>
      <c r="L361" s="25" t="str">
        <f t="shared" si="27"/>
        <v/>
      </c>
      <c r="M361" s="25"/>
      <c r="O361" s="25"/>
    </row>
    <row r="362" ht="15.75" customHeight="1">
      <c r="A362" s="25" t="str">
        <f>IFERROR(__xludf.DUMMYFUNCTION("IF(B362="""","""",RIGHT(REGEXREPLACE(B362&amp;"""",""[^0-9]"",""""),9))"),"766567161")</f>
        <v>766567161</v>
      </c>
      <c r="B362" s="84">
        <v>7.66567161E8</v>
      </c>
      <c r="C362" s="28" t="s">
        <v>514</v>
      </c>
      <c r="D362" s="26" t="s">
        <v>45</v>
      </c>
      <c r="E362" s="31">
        <v>46226.0</v>
      </c>
      <c r="F362" s="26" t="s">
        <v>125</v>
      </c>
      <c r="I362" s="26" t="s">
        <v>42</v>
      </c>
      <c r="J362" s="25" t="str">
        <f t="shared" si="25"/>
        <v>No</v>
      </c>
      <c r="K362" s="25" t="str">
        <f t="shared" si="26"/>
        <v/>
      </c>
      <c r="L362" s="25" t="str">
        <f t="shared" si="27"/>
        <v/>
      </c>
      <c r="M362" s="25"/>
      <c r="O362" s="25"/>
    </row>
    <row r="363" ht="15.75" customHeight="1">
      <c r="A363" s="25" t="str">
        <f>IFERROR(__xludf.DUMMYFUNCTION("IF(B363="""","""",RIGHT(REGEXREPLACE(B363&amp;"""",""[^0-9]"",""""),9))"),"719607513")</f>
        <v>719607513</v>
      </c>
      <c r="B363" s="52">
        <v>7.19607513E8</v>
      </c>
      <c r="C363" s="28" t="s">
        <v>515</v>
      </c>
      <c r="D363" s="26" t="s">
        <v>56</v>
      </c>
      <c r="E363" s="31">
        <v>46226.0</v>
      </c>
      <c r="F363" s="26" t="s">
        <v>46</v>
      </c>
      <c r="G363" s="26">
        <v>11.0</v>
      </c>
      <c r="I363" s="26" t="s">
        <v>42</v>
      </c>
      <c r="J363" s="25" t="str">
        <f t="shared" si="25"/>
        <v>No</v>
      </c>
      <c r="K363" s="25" t="str">
        <f t="shared" si="26"/>
        <v/>
      </c>
      <c r="L363" s="25" t="str">
        <f t="shared" si="27"/>
        <v/>
      </c>
      <c r="M363" s="25"/>
      <c r="O363" s="25"/>
    </row>
    <row r="364" ht="15.75" customHeight="1">
      <c r="A364" s="25" t="str">
        <f>IFERROR(__xludf.DUMMYFUNCTION("IF(B364="""","""",RIGHT(REGEXREPLACE(B364&amp;"""",""[^0-9]"",""""),9))"),"770808129")</f>
        <v>770808129</v>
      </c>
      <c r="B364" s="52">
        <v>7.70808129E8</v>
      </c>
      <c r="C364" s="28" t="s">
        <v>516</v>
      </c>
      <c r="D364" s="26" t="s">
        <v>49</v>
      </c>
      <c r="E364" s="31">
        <v>46226.0</v>
      </c>
      <c r="F364" s="26" t="s">
        <v>164</v>
      </c>
      <c r="I364" s="26" t="s">
        <v>42</v>
      </c>
      <c r="J364" s="25" t="str">
        <f t="shared" si="25"/>
        <v>No</v>
      </c>
      <c r="K364" s="25" t="str">
        <f t="shared" si="26"/>
        <v/>
      </c>
      <c r="L364" s="25" t="str">
        <f t="shared" si="27"/>
        <v/>
      </c>
      <c r="M364" s="25"/>
      <c r="O364" s="25"/>
    </row>
    <row r="365" ht="15.75" customHeight="1">
      <c r="A365" s="25" t="str">
        <f>IFERROR(__xludf.DUMMYFUNCTION("IF(B365="""","""",RIGHT(REGEXREPLACE(B365&amp;"""",""[^0-9]"",""""),9))"),"771821551")</f>
        <v>771821551</v>
      </c>
      <c r="B365" s="52">
        <v>7.71821551E8</v>
      </c>
      <c r="C365" s="28" t="s">
        <v>517</v>
      </c>
      <c r="D365" s="26" t="s">
        <v>82</v>
      </c>
      <c r="E365" s="31">
        <v>46226.0</v>
      </c>
      <c r="F365" s="26" t="s">
        <v>46</v>
      </c>
      <c r="H365" s="26" t="s">
        <v>518</v>
      </c>
      <c r="I365" s="26" t="s">
        <v>42</v>
      </c>
      <c r="J365" s="25" t="str">
        <f t="shared" si="25"/>
        <v>No</v>
      </c>
      <c r="K365" s="25" t="str">
        <f t="shared" si="26"/>
        <v/>
      </c>
      <c r="L365" s="25" t="str">
        <f t="shared" si="27"/>
        <v/>
      </c>
      <c r="M365" s="25"/>
      <c r="O365" s="25"/>
    </row>
    <row r="366" ht="15.75" customHeight="1">
      <c r="A366" s="25" t="str">
        <f>IFERROR(__xludf.DUMMYFUNCTION("IF(B366="""","""",RIGHT(REGEXREPLACE(B366&amp;"""",""[^0-9]"",""""),9))"),"766570925")</f>
        <v>766570925</v>
      </c>
      <c r="B366" s="52">
        <v>7.66570925E8</v>
      </c>
      <c r="C366" s="28" t="s">
        <v>519</v>
      </c>
      <c r="D366" s="26" t="s">
        <v>45</v>
      </c>
      <c r="E366" s="31">
        <v>46226.0</v>
      </c>
      <c r="F366" s="26" t="s">
        <v>46</v>
      </c>
      <c r="G366" s="26">
        <v>11.0</v>
      </c>
      <c r="I366" s="26" t="s">
        <v>42</v>
      </c>
      <c r="J366" s="25" t="str">
        <f t="shared" si="25"/>
        <v>No</v>
      </c>
      <c r="K366" s="25" t="str">
        <f t="shared" si="26"/>
        <v/>
      </c>
      <c r="L366" s="25" t="str">
        <f t="shared" si="27"/>
        <v/>
      </c>
      <c r="M366" s="25"/>
      <c r="O366" s="25"/>
    </row>
    <row r="367" ht="15.75" customHeight="1">
      <c r="A367" s="25" t="str">
        <f>IFERROR(__xludf.DUMMYFUNCTION("IF(B367="""","""",RIGHT(REGEXREPLACE(B367&amp;"""",""[^0-9]"",""""),9))"),"707434255")</f>
        <v>707434255</v>
      </c>
      <c r="B367" s="52">
        <v>7.07434255E8</v>
      </c>
      <c r="C367" s="28" t="s">
        <v>520</v>
      </c>
      <c r="D367" s="26" t="s">
        <v>49</v>
      </c>
      <c r="E367" s="31">
        <v>46226.0</v>
      </c>
      <c r="F367" s="26" t="s">
        <v>46</v>
      </c>
      <c r="G367" s="26">
        <v>11.0</v>
      </c>
      <c r="I367" s="26" t="s">
        <v>42</v>
      </c>
      <c r="J367" s="25" t="str">
        <f t="shared" si="25"/>
        <v>No</v>
      </c>
      <c r="K367" s="25" t="str">
        <f t="shared" si="26"/>
        <v/>
      </c>
      <c r="L367" s="25" t="str">
        <f t="shared" si="27"/>
        <v/>
      </c>
      <c r="M367" s="25"/>
      <c r="O367" s="25"/>
    </row>
    <row r="368" ht="15.75" customHeight="1">
      <c r="A368" s="25" t="str">
        <f>IFERROR(__xludf.DUMMYFUNCTION("IF(B368="""","""",RIGHT(REGEXREPLACE(B368&amp;"""",""[^0-9]"",""""),9))"),"781376330")</f>
        <v>781376330</v>
      </c>
      <c r="B368" s="52">
        <v>9.478137633E10</v>
      </c>
      <c r="C368" s="28" t="s">
        <v>521</v>
      </c>
      <c r="D368" s="26" t="s">
        <v>37</v>
      </c>
      <c r="E368" s="31">
        <v>46226.0</v>
      </c>
      <c r="F368" s="26" t="s">
        <v>205</v>
      </c>
      <c r="I368" s="26" t="s">
        <v>42</v>
      </c>
      <c r="J368" s="25" t="str">
        <f t="shared" si="25"/>
        <v>No</v>
      </c>
      <c r="K368" s="25" t="str">
        <f t="shared" si="26"/>
        <v/>
      </c>
      <c r="L368" s="25" t="str">
        <f t="shared" si="27"/>
        <v/>
      </c>
      <c r="M368" s="25"/>
      <c r="O368" s="25"/>
    </row>
    <row r="369" ht="15.75" customHeight="1">
      <c r="A369" s="25" t="str">
        <f>IFERROR(__xludf.DUMMYFUNCTION("IF(B369="""","""",RIGHT(REGEXREPLACE(B369&amp;"""",""[^0-9]"",""""),9))"),"714303627")</f>
        <v>714303627</v>
      </c>
      <c r="B369" s="52">
        <v>7.14303627E8</v>
      </c>
      <c r="C369" s="28" t="s">
        <v>522</v>
      </c>
      <c r="D369" s="26" t="s">
        <v>56</v>
      </c>
      <c r="E369" s="31">
        <v>46226.0</v>
      </c>
      <c r="F369" s="26" t="s">
        <v>84</v>
      </c>
      <c r="G369" s="26">
        <v>11.0</v>
      </c>
      <c r="I369" s="26" t="s">
        <v>42</v>
      </c>
      <c r="J369" s="25" t="str">
        <f t="shared" si="25"/>
        <v>No</v>
      </c>
      <c r="K369" s="25" t="str">
        <f t="shared" si="26"/>
        <v/>
      </c>
      <c r="L369" s="25" t="str">
        <f t="shared" si="27"/>
        <v/>
      </c>
      <c r="M369" s="25"/>
      <c r="O369" s="25"/>
    </row>
    <row r="370" ht="15.75" customHeight="1">
      <c r="A370" s="25" t="str">
        <f>IFERROR(__xludf.DUMMYFUNCTION("IF(B370="""","""",RIGHT(REGEXREPLACE(B370&amp;"""",""[^0-9]"",""""),9))"),"771377883")</f>
        <v>771377883</v>
      </c>
      <c r="B370" s="52">
        <v>9.4771377883E10</v>
      </c>
      <c r="C370" s="28" t="s">
        <v>523</v>
      </c>
      <c r="D370" s="26" t="s">
        <v>29</v>
      </c>
      <c r="E370" s="31">
        <v>46226.0</v>
      </c>
      <c r="F370" s="26" t="s">
        <v>46</v>
      </c>
      <c r="G370" s="26">
        <v>11.0</v>
      </c>
      <c r="I370" s="26" t="s">
        <v>42</v>
      </c>
      <c r="J370" s="25" t="str">
        <f t="shared" si="25"/>
        <v>No</v>
      </c>
      <c r="K370" s="25" t="str">
        <f t="shared" si="26"/>
        <v/>
      </c>
      <c r="L370" s="25" t="str">
        <f t="shared" si="27"/>
        <v/>
      </c>
      <c r="M370" s="25"/>
      <c r="O370" s="25"/>
    </row>
    <row r="371" ht="15.75" customHeight="1">
      <c r="A371" s="25" t="str">
        <f>IFERROR(__xludf.DUMMYFUNCTION("IF(B371="""","""",RIGHT(REGEXREPLACE(B371&amp;"""",""[^0-9]"",""""),9))"),"782017268")</f>
        <v>782017268</v>
      </c>
      <c r="B371" s="52">
        <v>9.4782017268E10</v>
      </c>
      <c r="C371" s="28" t="s">
        <v>524</v>
      </c>
      <c r="D371" s="26" t="s">
        <v>37</v>
      </c>
      <c r="E371" s="31">
        <v>46226.0</v>
      </c>
      <c r="F371" s="26" t="s">
        <v>84</v>
      </c>
      <c r="H371" s="26" t="s">
        <v>253</v>
      </c>
      <c r="I371" s="26" t="s">
        <v>42</v>
      </c>
      <c r="J371" s="25" t="str">
        <f t="shared" si="25"/>
        <v>No</v>
      </c>
      <c r="K371" s="25" t="str">
        <f t="shared" si="26"/>
        <v/>
      </c>
      <c r="L371" s="25" t="str">
        <f t="shared" si="27"/>
        <v/>
      </c>
      <c r="M371" s="25"/>
      <c r="O371" s="25"/>
    </row>
    <row r="372" ht="15.75" customHeight="1">
      <c r="A372" s="25" t="str">
        <f>IFERROR(__xludf.DUMMYFUNCTION("IF(B372="""","""",RIGHT(REGEXREPLACE(B372&amp;"""",""[^0-9]"",""""),9))"),"740692522")</f>
        <v>740692522</v>
      </c>
      <c r="B372" s="52">
        <v>7.40692522E8</v>
      </c>
      <c r="C372" s="28" t="s">
        <v>525</v>
      </c>
      <c r="D372" s="26" t="s">
        <v>45</v>
      </c>
      <c r="E372" s="31">
        <v>46226.0</v>
      </c>
      <c r="F372" s="26" t="s">
        <v>125</v>
      </c>
      <c r="I372" s="26" t="s">
        <v>42</v>
      </c>
      <c r="J372" s="25" t="str">
        <f t="shared" si="25"/>
        <v>No</v>
      </c>
      <c r="K372" s="25" t="str">
        <f t="shared" si="26"/>
        <v/>
      </c>
      <c r="L372" s="25" t="str">
        <f t="shared" si="27"/>
        <v/>
      </c>
      <c r="M372" s="25"/>
      <c r="O372" s="25"/>
    </row>
    <row r="373" ht="15.75" customHeight="1">
      <c r="A373" s="25" t="str">
        <f>IFERROR(__xludf.DUMMYFUNCTION("IF(B373="""","""",RIGHT(REGEXREPLACE(B373&amp;"""",""[^0-9]"",""""),9))"),"770376560")</f>
        <v>770376560</v>
      </c>
      <c r="B373" s="52">
        <v>7.7037656E8</v>
      </c>
      <c r="C373" s="28" t="s">
        <v>526</v>
      </c>
      <c r="D373" s="26" t="s">
        <v>49</v>
      </c>
      <c r="E373" s="31">
        <v>46226.0</v>
      </c>
      <c r="F373" s="26" t="s">
        <v>46</v>
      </c>
      <c r="G373" s="26">
        <v>11.0</v>
      </c>
      <c r="I373" s="26" t="s">
        <v>42</v>
      </c>
      <c r="J373" s="25" t="str">
        <f t="shared" si="25"/>
        <v>No</v>
      </c>
      <c r="K373" s="25" t="str">
        <f t="shared" si="26"/>
        <v/>
      </c>
      <c r="L373" s="25" t="str">
        <f t="shared" si="27"/>
        <v/>
      </c>
      <c r="M373" s="25"/>
      <c r="O373" s="25"/>
    </row>
    <row r="374" ht="15.75" customHeight="1">
      <c r="A374" s="25" t="str">
        <f>IFERROR(__xludf.DUMMYFUNCTION("IF(B374="""","""",RIGHT(REGEXREPLACE(B374&amp;"""",""[^0-9]"",""""),9))"),"773225097")</f>
        <v>773225097</v>
      </c>
      <c r="B374" s="52">
        <v>7.73225097E8</v>
      </c>
      <c r="C374" s="28" t="s">
        <v>527</v>
      </c>
      <c r="D374" s="26" t="s">
        <v>56</v>
      </c>
      <c r="E374" s="31">
        <v>46226.0</v>
      </c>
      <c r="F374" s="26" t="s">
        <v>46</v>
      </c>
      <c r="G374" s="26">
        <v>11.0</v>
      </c>
      <c r="I374" s="26" t="s">
        <v>42</v>
      </c>
      <c r="J374" s="25" t="str">
        <f t="shared" si="25"/>
        <v>No</v>
      </c>
      <c r="K374" s="25" t="str">
        <f t="shared" si="26"/>
        <v/>
      </c>
      <c r="L374" s="25" t="str">
        <f t="shared" si="27"/>
        <v/>
      </c>
      <c r="M374" s="25"/>
      <c r="O374" s="25"/>
    </row>
    <row r="375" ht="15.75" customHeight="1">
      <c r="A375" s="25" t="str">
        <f>IFERROR(__xludf.DUMMYFUNCTION("IF(B375="""","""",RIGHT(REGEXREPLACE(B375&amp;"""",""[^0-9]"",""""),9))"),"779729776")</f>
        <v>779729776</v>
      </c>
      <c r="B375" s="52">
        <v>7.79729776E8</v>
      </c>
      <c r="C375" s="28" t="s">
        <v>528</v>
      </c>
      <c r="D375" s="26" t="s">
        <v>82</v>
      </c>
      <c r="E375" s="31">
        <v>46226.0</v>
      </c>
      <c r="F375" s="26" t="s">
        <v>46</v>
      </c>
      <c r="G375" s="26">
        <v>11.0</v>
      </c>
      <c r="I375" s="26" t="s">
        <v>42</v>
      </c>
      <c r="J375" s="25" t="str">
        <f t="shared" si="25"/>
        <v>No</v>
      </c>
      <c r="K375" s="25" t="str">
        <f t="shared" si="26"/>
        <v/>
      </c>
      <c r="L375" s="25" t="str">
        <f t="shared" si="27"/>
        <v/>
      </c>
      <c r="M375" s="25"/>
      <c r="O375" s="25"/>
    </row>
    <row r="376" ht="15.75" customHeight="1">
      <c r="A376" s="25" t="str">
        <f>IFERROR(__xludf.DUMMYFUNCTION("IF(B376="""","""",RIGHT(REGEXREPLACE(B376&amp;"""",""[^0-9]"",""""),9))"),"779403219")</f>
        <v>779403219</v>
      </c>
      <c r="B376" s="26">
        <v>7.79403219E8</v>
      </c>
      <c r="C376" s="28" t="s">
        <v>529</v>
      </c>
      <c r="D376" s="26" t="s">
        <v>37</v>
      </c>
      <c r="E376" s="31">
        <v>46226.0</v>
      </c>
      <c r="F376" s="26" t="s">
        <v>41</v>
      </c>
      <c r="I376" s="26" t="s">
        <v>42</v>
      </c>
      <c r="J376" s="25" t="str">
        <f t="shared" si="25"/>
        <v>No</v>
      </c>
      <c r="K376" s="25" t="str">
        <f t="shared" si="26"/>
        <v/>
      </c>
      <c r="L376" s="25" t="str">
        <f t="shared" si="27"/>
        <v/>
      </c>
      <c r="M376" s="25"/>
      <c r="O376" s="25"/>
    </row>
    <row r="377" ht="15.75" customHeight="1">
      <c r="A377" s="25" t="str">
        <f>IFERROR(__xludf.DUMMYFUNCTION("IF(B377="""","""",RIGHT(REGEXREPLACE(B377&amp;"""",""[^0-9]"",""""),9))"),"770207984")</f>
        <v>770207984</v>
      </c>
      <c r="B377" s="52">
        <v>7.70207984E8</v>
      </c>
      <c r="C377" s="28" t="s">
        <v>530</v>
      </c>
      <c r="D377" s="26" t="s">
        <v>45</v>
      </c>
      <c r="E377" s="31">
        <v>46226.0</v>
      </c>
      <c r="F377" s="26" t="s">
        <v>46</v>
      </c>
      <c r="G377" s="26">
        <v>11.0</v>
      </c>
      <c r="I377" s="26" t="s">
        <v>42</v>
      </c>
      <c r="J377" s="25" t="str">
        <f t="shared" si="25"/>
        <v>No</v>
      </c>
      <c r="K377" s="25" t="str">
        <f t="shared" si="26"/>
        <v/>
      </c>
      <c r="L377" s="25" t="str">
        <f t="shared" si="27"/>
        <v/>
      </c>
      <c r="M377" s="25"/>
      <c r="O377" s="25"/>
    </row>
    <row r="378" ht="15.75" customHeight="1">
      <c r="A378" s="25" t="str">
        <f>IFERROR(__xludf.DUMMYFUNCTION("IF(B378="""","""",RIGHT(REGEXREPLACE(B378&amp;"""",""[^0-9]"",""""),9))"),"713494825")</f>
        <v>713494825</v>
      </c>
      <c r="B378" s="52">
        <v>7.13494825E8</v>
      </c>
      <c r="C378" s="28" t="s">
        <v>531</v>
      </c>
      <c r="D378" s="26" t="s">
        <v>49</v>
      </c>
      <c r="E378" s="31">
        <v>46226.0</v>
      </c>
      <c r="F378" s="26" t="s">
        <v>46</v>
      </c>
      <c r="G378" s="26">
        <v>11.0</v>
      </c>
      <c r="I378" s="26" t="s">
        <v>42</v>
      </c>
      <c r="J378" s="25" t="str">
        <f t="shared" si="25"/>
        <v>No</v>
      </c>
      <c r="K378" s="25" t="str">
        <f t="shared" si="26"/>
        <v/>
      </c>
      <c r="L378" s="25" t="str">
        <f t="shared" si="27"/>
        <v/>
      </c>
      <c r="M378" s="25"/>
      <c r="O378" s="25"/>
    </row>
    <row r="379" ht="15.75" customHeight="1">
      <c r="A379" s="25" t="str">
        <f>IFERROR(__xludf.DUMMYFUNCTION("IF(B379="""","""",RIGHT(REGEXREPLACE(B379&amp;"""",""[^0-9]"",""""),9))"),"714252917")</f>
        <v>714252917</v>
      </c>
      <c r="B379" s="52">
        <v>9.4714252917E10</v>
      </c>
      <c r="C379" s="28" t="s">
        <v>532</v>
      </c>
      <c r="D379" s="26" t="s">
        <v>29</v>
      </c>
      <c r="E379" s="31">
        <v>46226.0</v>
      </c>
      <c r="F379" s="26" t="s">
        <v>46</v>
      </c>
      <c r="G379" s="26">
        <v>11.0</v>
      </c>
      <c r="H379" s="26" t="s">
        <v>470</v>
      </c>
      <c r="I379" s="26" t="s">
        <v>42</v>
      </c>
      <c r="J379" s="25" t="str">
        <f t="shared" si="25"/>
        <v>No</v>
      </c>
      <c r="K379" s="25" t="str">
        <f t="shared" si="26"/>
        <v/>
      </c>
      <c r="L379" s="25" t="str">
        <f t="shared" si="27"/>
        <v/>
      </c>
      <c r="M379" s="25"/>
      <c r="O379" s="25"/>
    </row>
    <row r="380" ht="15.75" customHeight="1">
      <c r="A380" s="25" t="str">
        <f>IFERROR(__xludf.DUMMYFUNCTION("IF(B380="""","""",RIGHT(REGEXREPLACE(B380&amp;"""",""[^0-9]"",""""),9))"),"713489044")</f>
        <v>713489044</v>
      </c>
      <c r="B380" s="52">
        <v>7.13489044E8</v>
      </c>
      <c r="C380" s="28" t="s">
        <v>533</v>
      </c>
      <c r="D380" s="26" t="s">
        <v>45</v>
      </c>
      <c r="E380" s="31">
        <v>46226.0</v>
      </c>
      <c r="F380" s="26" t="s">
        <v>41</v>
      </c>
      <c r="I380" s="26" t="s">
        <v>42</v>
      </c>
      <c r="J380" s="25" t="str">
        <f t="shared" si="25"/>
        <v>No</v>
      </c>
      <c r="K380" s="25" t="str">
        <f t="shared" si="26"/>
        <v/>
      </c>
      <c r="L380" s="25" t="str">
        <f t="shared" si="27"/>
        <v/>
      </c>
      <c r="M380" s="25"/>
      <c r="O380" s="25"/>
    </row>
    <row r="381" ht="15.75" customHeight="1">
      <c r="A381" s="25" t="str">
        <f>IFERROR(__xludf.DUMMYFUNCTION("IF(B381="""","""",RIGHT(REGEXREPLACE(B381&amp;"""",""[^0-9]"",""""),9))"),"707771787")</f>
        <v>707771787</v>
      </c>
      <c r="B381" s="52">
        <v>7.07771787E8</v>
      </c>
      <c r="C381" s="28" t="s">
        <v>534</v>
      </c>
      <c r="D381" s="26" t="s">
        <v>56</v>
      </c>
      <c r="E381" s="31">
        <v>46226.0</v>
      </c>
      <c r="F381" s="26" t="s">
        <v>46</v>
      </c>
      <c r="G381" s="26">
        <v>11.0</v>
      </c>
      <c r="I381" s="26" t="s">
        <v>42</v>
      </c>
      <c r="J381" s="25" t="str">
        <f t="shared" si="25"/>
        <v>No</v>
      </c>
      <c r="K381" s="25" t="str">
        <f t="shared" si="26"/>
        <v/>
      </c>
      <c r="L381" s="25" t="str">
        <f t="shared" si="27"/>
        <v/>
      </c>
      <c r="M381" s="25"/>
      <c r="O381" s="25"/>
    </row>
    <row r="382" ht="15.75" customHeight="1">
      <c r="A382" s="25" t="str">
        <f>IFERROR(__xludf.DUMMYFUNCTION("IF(B382="""","""",RIGHT(REGEXREPLACE(B382&amp;"""",""[^0-9]"",""""),9))"),"763517312")</f>
        <v>763517312</v>
      </c>
      <c r="B382" s="52">
        <v>7.63517312E8</v>
      </c>
      <c r="C382" s="28" t="s">
        <v>535</v>
      </c>
      <c r="D382" s="26" t="s">
        <v>49</v>
      </c>
      <c r="E382" s="31">
        <v>46226.0</v>
      </c>
      <c r="F382" s="26" t="s">
        <v>46</v>
      </c>
      <c r="G382" s="26">
        <v>11.0</v>
      </c>
      <c r="H382" s="26" t="s">
        <v>253</v>
      </c>
      <c r="I382" s="26" t="s">
        <v>42</v>
      </c>
      <c r="J382" s="25" t="str">
        <f t="shared" si="25"/>
        <v>No</v>
      </c>
      <c r="K382" s="25" t="str">
        <f t="shared" si="26"/>
        <v/>
      </c>
      <c r="L382" s="25" t="str">
        <f t="shared" si="27"/>
        <v/>
      </c>
      <c r="M382" s="25"/>
      <c r="O382" s="25"/>
    </row>
    <row r="383" ht="15.75" customHeight="1">
      <c r="A383" s="25" t="str">
        <f>IFERROR(__xludf.DUMMYFUNCTION("IF(B383="""","""",RIGHT(REGEXREPLACE(B383&amp;"""",""[^0-9]"",""""),9))"),"712089901")</f>
        <v>712089901</v>
      </c>
      <c r="B383" s="52">
        <v>7.12089901E8</v>
      </c>
      <c r="C383" s="28" t="s">
        <v>536</v>
      </c>
      <c r="D383" s="26" t="s">
        <v>82</v>
      </c>
      <c r="E383" s="31">
        <v>46226.0</v>
      </c>
      <c r="F383" s="26" t="s">
        <v>46</v>
      </c>
      <c r="G383" s="26">
        <v>10.0</v>
      </c>
      <c r="I383" s="26" t="s">
        <v>42</v>
      </c>
      <c r="J383" s="25" t="str">
        <f t="shared" si="25"/>
        <v>No</v>
      </c>
      <c r="K383" s="25" t="str">
        <f t="shared" si="26"/>
        <v/>
      </c>
      <c r="L383" s="25" t="str">
        <f t="shared" si="27"/>
        <v/>
      </c>
      <c r="M383" s="25"/>
      <c r="O383" s="25"/>
    </row>
    <row r="384" ht="15.75" customHeight="1">
      <c r="A384" s="25" t="str">
        <f>IFERROR(__xludf.DUMMYFUNCTION("IF(B384="""","""",RIGHT(REGEXREPLACE(B384&amp;"""",""[^0-9]"",""""),9))"),"777676527")</f>
        <v>777676527</v>
      </c>
      <c r="B384" s="52">
        <v>7.77676527E8</v>
      </c>
      <c r="C384" s="28" t="s">
        <v>537</v>
      </c>
      <c r="D384" s="26" t="s">
        <v>49</v>
      </c>
      <c r="E384" s="31">
        <v>46226.0</v>
      </c>
      <c r="F384" s="26" t="s">
        <v>41</v>
      </c>
      <c r="G384" s="26">
        <v>11.0</v>
      </c>
      <c r="I384" s="26" t="s">
        <v>42</v>
      </c>
      <c r="J384" s="25" t="str">
        <f t="shared" si="25"/>
        <v>No</v>
      </c>
      <c r="K384" s="25" t="str">
        <f t="shared" si="26"/>
        <v/>
      </c>
      <c r="L384" s="25" t="str">
        <f t="shared" si="27"/>
        <v/>
      </c>
      <c r="M384" s="25"/>
      <c r="O384" s="25"/>
    </row>
    <row r="385" ht="15.75" customHeight="1">
      <c r="A385" s="25" t="str">
        <f>IFERROR(__xludf.DUMMYFUNCTION("IF(B385="""","""",RIGHT(REGEXREPLACE(B385&amp;"""",""[^0-9]"",""""),9))"),"779212577")</f>
        <v>779212577</v>
      </c>
      <c r="B385" s="52">
        <v>7.79212577E8</v>
      </c>
      <c r="C385" s="28" t="s">
        <v>538</v>
      </c>
      <c r="D385" s="26" t="s">
        <v>45</v>
      </c>
      <c r="E385" s="31">
        <v>46226.0</v>
      </c>
      <c r="F385" s="26" t="s">
        <v>46</v>
      </c>
      <c r="G385" s="26">
        <v>11.0</v>
      </c>
      <c r="I385" s="26" t="s">
        <v>42</v>
      </c>
      <c r="J385" s="25" t="str">
        <f t="shared" si="25"/>
        <v>No</v>
      </c>
      <c r="K385" s="25" t="str">
        <f t="shared" si="26"/>
        <v/>
      </c>
      <c r="L385" s="25" t="str">
        <f t="shared" si="27"/>
        <v/>
      </c>
      <c r="M385" s="25"/>
      <c r="O385" s="25"/>
    </row>
    <row r="386" ht="15.75" customHeight="1">
      <c r="A386" s="25" t="str">
        <f>IFERROR(__xludf.DUMMYFUNCTION("IF(B386="""","""",RIGHT(REGEXREPLACE(B386&amp;"""",""[^0-9]"",""""),9))"),"768300014")</f>
        <v>768300014</v>
      </c>
      <c r="B386" s="52">
        <v>7.68300014E8</v>
      </c>
      <c r="C386" s="28" t="s">
        <v>539</v>
      </c>
      <c r="D386" s="26" t="s">
        <v>49</v>
      </c>
      <c r="E386" s="31">
        <v>46226.0</v>
      </c>
      <c r="F386" s="26" t="s">
        <v>46</v>
      </c>
      <c r="G386" s="26">
        <v>11.0</v>
      </c>
      <c r="I386" s="26" t="s">
        <v>42</v>
      </c>
      <c r="J386" s="25" t="str">
        <f t="shared" si="25"/>
        <v>No</v>
      </c>
      <c r="K386" s="25" t="str">
        <f t="shared" si="26"/>
        <v/>
      </c>
      <c r="L386" s="25" t="str">
        <f t="shared" si="27"/>
        <v/>
      </c>
      <c r="M386" s="25"/>
      <c r="O386" s="25"/>
    </row>
    <row r="387" ht="15.75" customHeight="1">
      <c r="A387" s="25" t="str">
        <f>IFERROR(__xludf.DUMMYFUNCTION("IF(B387="""","""",RIGHT(REGEXREPLACE(B387&amp;"""",""[^0-9]"",""""),9))"),"713520304")</f>
        <v>713520304</v>
      </c>
      <c r="B387" s="26">
        <v>7.13520304E8</v>
      </c>
      <c r="C387" s="28" t="s">
        <v>540</v>
      </c>
      <c r="D387" s="26" t="s">
        <v>37</v>
      </c>
      <c r="E387" s="31">
        <v>46226.0</v>
      </c>
      <c r="F387" s="26" t="s">
        <v>46</v>
      </c>
      <c r="G387" s="26">
        <v>11.0</v>
      </c>
      <c r="I387" s="26" t="s">
        <v>42</v>
      </c>
      <c r="J387" s="25" t="str">
        <f t="shared" si="25"/>
        <v>No</v>
      </c>
      <c r="K387" s="25" t="str">
        <f t="shared" si="26"/>
        <v/>
      </c>
      <c r="L387" s="25" t="str">
        <f t="shared" si="27"/>
        <v/>
      </c>
      <c r="M387" s="25"/>
      <c r="O387" s="25"/>
    </row>
    <row r="388" ht="15.75" customHeight="1">
      <c r="A388" s="25" t="str">
        <f>IFERROR(__xludf.DUMMYFUNCTION("IF(B388="""","""",RIGHT(REGEXREPLACE(B388&amp;"""",""[^0-9]"",""""),9))"),"768733012")</f>
        <v>768733012</v>
      </c>
      <c r="B388" s="52">
        <v>7.68733012E8</v>
      </c>
      <c r="C388" s="28" t="s">
        <v>541</v>
      </c>
      <c r="D388" s="26" t="s">
        <v>56</v>
      </c>
      <c r="E388" s="31">
        <v>46226.0</v>
      </c>
      <c r="F388" s="26" t="s">
        <v>46</v>
      </c>
      <c r="G388" s="26">
        <v>11.0</v>
      </c>
      <c r="I388" s="26" t="s">
        <v>42</v>
      </c>
      <c r="J388" s="25" t="str">
        <f t="shared" si="25"/>
        <v>No</v>
      </c>
      <c r="K388" s="25" t="str">
        <f t="shared" si="26"/>
        <v/>
      </c>
      <c r="L388" s="25" t="str">
        <f t="shared" si="27"/>
        <v/>
      </c>
      <c r="M388" s="25"/>
      <c r="O388" s="25"/>
    </row>
    <row r="389" ht="15.75" customHeight="1">
      <c r="A389" s="25" t="str">
        <f>IFERROR(__xludf.DUMMYFUNCTION("IF(B389="""","""",RIGHT(REGEXREPLACE(B389&amp;"""",""[^0-9]"",""""),9))"),"779735045")</f>
        <v>779735045</v>
      </c>
      <c r="B389" s="52">
        <v>7.79735045E8</v>
      </c>
      <c r="C389" s="28" t="s">
        <v>542</v>
      </c>
      <c r="D389" s="26" t="s">
        <v>29</v>
      </c>
      <c r="E389" s="31">
        <v>46226.0</v>
      </c>
      <c r="F389" s="26" t="s">
        <v>41</v>
      </c>
      <c r="I389" s="26" t="s">
        <v>42</v>
      </c>
      <c r="J389" s="25" t="str">
        <f t="shared" si="25"/>
        <v>No</v>
      </c>
      <c r="K389" s="25" t="str">
        <f t="shared" si="26"/>
        <v/>
      </c>
      <c r="L389" s="25" t="str">
        <f t="shared" si="27"/>
        <v/>
      </c>
      <c r="M389" s="25"/>
      <c r="O389" s="25"/>
    </row>
    <row r="390" ht="15.75" customHeight="1">
      <c r="A390" s="25" t="str">
        <f>IFERROR(__xludf.DUMMYFUNCTION("IF(B390="""","""",RIGHT(REGEXREPLACE(B390&amp;"""",""[^0-9]"",""""),9))"),"769099487")</f>
        <v>769099487</v>
      </c>
      <c r="B390" s="52">
        <v>7.69099487E8</v>
      </c>
      <c r="C390" s="28" t="s">
        <v>543</v>
      </c>
      <c r="D390" s="26" t="s">
        <v>45</v>
      </c>
      <c r="E390" s="31">
        <v>46226.0</v>
      </c>
      <c r="F390" s="26" t="s">
        <v>41</v>
      </c>
      <c r="G390" s="26">
        <v>11.0</v>
      </c>
      <c r="I390" s="26" t="s">
        <v>42</v>
      </c>
      <c r="J390" s="25" t="str">
        <f t="shared" si="25"/>
        <v>No</v>
      </c>
      <c r="K390" s="25" t="str">
        <f t="shared" si="26"/>
        <v/>
      </c>
      <c r="L390" s="25" t="str">
        <f t="shared" si="27"/>
        <v/>
      </c>
      <c r="M390" s="25"/>
      <c r="O390" s="25"/>
    </row>
    <row r="391" ht="15.75" customHeight="1">
      <c r="A391" s="25" t="str">
        <f>IFERROR(__xludf.DUMMYFUNCTION("IF(B391="""","""",RIGHT(REGEXREPLACE(B391&amp;"""",""[^0-9]"",""""),9))"),"725518976")</f>
        <v>725518976</v>
      </c>
      <c r="B391" s="52">
        <v>7.25518976E8</v>
      </c>
      <c r="C391" s="28" t="s">
        <v>544</v>
      </c>
      <c r="D391" s="26" t="s">
        <v>82</v>
      </c>
      <c r="E391" s="31">
        <v>46226.0</v>
      </c>
      <c r="F391" s="26" t="s">
        <v>125</v>
      </c>
      <c r="I391" s="26" t="s">
        <v>42</v>
      </c>
      <c r="J391" s="25" t="str">
        <f t="shared" si="25"/>
        <v>No</v>
      </c>
      <c r="K391" s="25" t="str">
        <f t="shared" si="26"/>
        <v/>
      </c>
      <c r="L391" s="25" t="str">
        <f t="shared" si="27"/>
        <v/>
      </c>
      <c r="M391" s="25"/>
      <c r="O391" s="25"/>
    </row>
    <row r="392" ht="15.75" customHeight="1">
      <c r="A392" s="25" t="str">
        <f>IFERROR(__xludf.DUMMYFUNCTION("IF(B392="""","""",RIGHT(REGEXREPLACE(B392&amp;"""",""[^0-9]"",""""),9))"),"782017268")</f>
        <v>782017268</v>
      </c>
      <c r="B392" s="52">
        <v>9.4782017268E10</v>
      </c>
      <c r="C392" s="28" t="s">
        <v>524</v>
      </c>
      <c r="D392" s="26" t="s">
        <v>37</v>
      </c>
      <c r="E392" s="31">
        <v>46226.0</v>
      </c>
      <c r="F392" s="26" t="s">
        <v>41</v>
      </c>
      <c r="I392" s="26" t="s">
        <v>42</v>
      </c>
      <c r="J392" s="25" t="str">
        <f t="shared" si="25"/>
        <v>Yes - see Previous F-Code</v>
      </c>
      <c r="K392" s="25" t="str">
        <f t="shared" si="26"/>
        <v>DUPLICATE - CHECK</v>
      </c>
      <c r="L392" s="25" t="str">
        <f t="shared" si="27"/>
        <v>F70344</v>
      </c>
      <c r="M392" s="25"/>
      <c r="O392" s="25"/>
    </row>
    <row r="393" ht="15.75" customHeight="1">
      <c r="A393" s="25" t="str">
        <f>IFERROR(__xludf.DUMMYFUNCTION("IF(B393="""","""",RIGHT(REGEXREPLACE(B393&amp;"""",""[^0-9]"",""""),9))"),"778605773")</f>
        <v>778605773</v>
      </c>
      <c r="B393" s="52">
        <v>9.4778605773E10</v>
      </c>
      <c r="C393" s="28" t="s">
        <v>545</v>
      </c>
      <c r="D393" s="26" t="s">
        <v>29</v>
      </c>
      <c r="E393" s="31">
        <v>46226.0</v>
      </c>
      <c r="F393" s="26" t="s">
        <v>46</v>
      </c>
      <c r="G393" s="26">
        <v>11.0</v>
      </c>
      <c r="H393" s="26" t="s">
        <v>546</v>
      </c>
      <c r="I393" s="26" t="s">
        <v>42</v>
      </c>
      <c r="J393" s="25" t="str">
        <f t="shared" si="25"/>
        <v>No</v>
      </c>
      <c r="K393" s="25" t="str">
        <f t="shared" si="26"/>
        <v/>
      </c>
      <c r="L393" s="25" t="str">
        <f t="shared" si="27"/>
        <v/>
      </c>
      <c r="M393" s="25"/>
      <c r="O393" s="25"/>
    </row>
    <row r="394" ht="15.75" customHeight="1">
      <c r="A394" s="25" t="str">
        <f>IFERROR(__xludf.DUMMYFUNCTION("IF(B394="""","""",RIGHT(REGEXREPLACE(B394&amp;"""",""[^0-9]"",""""),9))"),"776970776")</f>
        <v>776970776</v>
      </c>
      <c r="B394" s="52">
        <v>7.76970776E8</v>
      </c>
      <c r="C394" s="28" t="s">
        <v>547</v>
      </c>
      <c r="D394" s="26" t="s">
        <v>49</v>
      </c>
      <c r="E394" s="31">
        <v>46226.0</v>
      </c>
      <c r="F394" s="26" t="s">
        <v>46</v>
      </c>
      <c r="G394" s="26">
        <v>11.0</v>
      </c>
      <c r="I394" s="26" t="s">
        <v>42</v>
      </c>
      <c r="J394" s="25" t="str">
        <f t="shared" si="25"/>
        <v>No</v>
      </c>
      <c r="K394" s="25" t="str">
        <f t="shared" si="26"/>
        <v/>
      </c>
      <c r="L394" s="25" t="str">
        <f t="shared" si="27"/>
        <v/>
      </c>
      <c r="M394" s="25"/>
      <c r="O394" s="25"/>
    </row>
    <row r="395" ht="15.75" customHeight="1">
      <c r="A395" s="25" t="str">
        <f>IFERROR(__xludf.DUMMYFUNCTION("IF(B395="""","""",RIGHT(REGEXREPLACE(B395&amp;"""",""[^0-9]"",""""),9))"),"775331326")</f>
        <v>775331326</v>
      </c>
      <c r="B395" s="52">
        <v>7.75331326E8</v>
      </c>
      <c r="C395" s="28" t="s">
        <v>548</v>
      </c>
      <c r="D395" s="26" t="s">
        <v>45</v>
      </c>
      <c r="E395" s="31">
        <v>46226.0</v>
      </c>
      <c r="F395" s="26" t="s">
        <v>41</v>
      </c>
      <c r="I395" s="26" t="s">
        <v>42</v>
      </c>
      <c r="J395" s="25" t="str">
        <f t="shared" si="25"/>
        <v>No</v>
      </c>
      <c r="K395" s="25" t="str">
        <f t="shared" si="26"/>
        <v/>
      </c>
      <c r="L395" s="25" t="str">
        <f t="shared" si="27"/>
        <v/>
      </c>
      <c r="M395" s="25"/>
      <c r="O395" s="25"/>
    </row>
    <row r="396" ht="15.75" customHeight="1">
      <c r="A396" s="25" t="str">
        <f>IFERROR(__xludf.DUMMYFUNCTION("IF(B396="""","""",RIGHT(REGEXREPLACE(B396&amp;"""",""[^0-9]"",""""),9))"),"778338974")</f>
        <v>778338974</v>
      </c>
      <c r="B396" s="52">
        <v>7.78338974E8</v>
      </c>
      <c r="C396" s="28" t="s">
        <v>549</v>
      </c>
      <c r="D396" s="26" t="s">
        <v>56</v>
      </c>
      <c r="E396" s="31">
        <v>46226.0</v>
      </c>
      <c r="F396" s="26" t="s">
        <v>46</v>
      </c>
      <c r="G396" s="26">
        <v>11.0</v>
      </c>
      <c r="I396" s="26" t="s">
        <v>42</v>
      </c>
      <c r="J396" s="25" t="str">
        <f t="shared" si="25"/>
        <v>No</v>
      </c>
      <c r="K396" s="25" t="str">
        <f t="shared" si="26"/>
        <v/>
      </c>
      <c r="L396" s="25" t="str">
        <f t="shared" si="27"/>
        <v/>
      </c>
      <c r="M396" s="25"/>
      <c r="O396" s="25"/>
    </row>
    <row r="397" ht="15.75" customHeight="1">
      <c r="A397" s="25" t="str">
        <f>IFERROR(__xludf.DUMMYFUNCTION("IF(B397="""","""",RIGHT(REGEXREPLACE(B397&amp;"""",""[^0-9]"",""""),9))"),"716841067")</f>
        <v>716841067</v>
      </c>
      <c r="B397" s="52">
        <v>7.16841067E8</v>
      </c>
      <c r="C397" s="28" t="s">
        <v>550</v>
      </c>
      <c r="D397" s="26" t="s">
        <v>82</v>
      </c>
      <c r="E397" s="31">
        <v>46226.0</v>
      </c>
      <c r="F397" s="26" t="s">
        <v>41</v>
      </c>
      <c r="I397" s="26" t="s">
        <v>42</v>
      </c>
      <c r="J397" s="25" t="str">
        <f t="shared" si="25"/>
        <v>No</v>
      </c>
      <c r="K397" s="25" t="str">
        <f t="shared" si="26"/>
        <v/>
      </c>
      <c r="L397" s="25" t="str">
        <f t="shared" si="27"/>
        <v/>
      </c>
      <c r="M397" s="25"/>
      <c r="O397" s="25"/>
    </row>
    <row r="398" ht="15.75" customHeight="1">
      <c r="A398" s="25" t="str">
        <f>IFERROR(__xludf.DUMMYFUNCTION("IF(B398="""","""",RIGHT(REGEXREPLACE(B398&amp;"""",""[^0-9]"",""""),9))"),"777542136")</f>
        <v>777542136</v>
      </c>
      <c r="B398" s="52">
        <v>9.4777542136E10</v>
      </c>
      <c r="C398" s="28" t="s">
        <v>551</v>
      </c>
      <c r="D398" s="26" t="s">
        <v>29</v>
      </c>
      <c r="E398" s="31">
        <v>46226.0</v>
      </c>
      <c r="F398" s="26" t="s">
        <v>205</v>
      </c>
      <c r="G398" s="26">
        <v>11.0</v>
      </c>
      <c r="I398" s="26" t="s">
        <v>42</v>
      </c>
      <c r="J398" s="25" t="str">
        <f t="shared" si="25"/>
        <v>No</v>
      </c>
      <c r="K398" s="25" t="str">
        <f t="shared" si="26"/>
        <v/>
      </c>
      <c r="L398" s="25" t="str">
        <f t="shared" si="27"/>
        <v/>
      </c>
      <c r="M398" s="25"/>
      <c r="O398" s="25"/>
    </row>
    <row r="399" ht="15.75" customHeight="1">
      <c r="A399" s="25" t="str">
        <f>IFERROR(__xludf.DUMMYFUNCTION("IF(B399="""","""",RIGHT(REGEXREPLACE(B399&amp;"""",""[^0-9]"",""""),9))"),"768516096")</f>
        <v>768516096</v>
      </c>
      <c r="B399" s="52">
        <v>9.4768516096E10</v>
      </c>
      <c r="C399" s="28" t="s">
        <v>552</v>
      </c>
      <c r="D399" s="26" t="s">
        <v>37</v>
      </c>
      <c r="E399" s="31">
        <v>46226.0</v>
      </c>
      <c r="F399" s="26" t="s">
        <v>46</v>
      </c>
      <c r="G399" s="26">
        <v>11.0</v>
      </c>
      <c r="I399" s="26" t="s">
        <v>42</v>
      </c>
      <c r="J399" s="25" t="str">
        <f t="shared" si="25"/>
        <v>No</v>
      </c>
      <c r="K399" s="25" t="str">
        <f t="shared" si="26"/>
        <v/>
      </c>
      <c r="L399" s="25" t="str">
        <f t="shared" si="27"/>
        <v/>
      </c>
      <c r="M399" s="25"/>
      <c r="O399" s="25"/>
    </row>
    <row r="400" ht="15.75" customHeight="1">
      <c r="A400" s="25" t="str">
        <f>IFERROR(__xludf.DUMMYFUNCTION("IF(B400="""","""",RIGHT(REGEXREPLACE(B400&amp;"""",""[^0-9]"",""""),9))"),"779017088")</f>
        <v>779017088</v>
      </c>
      <c r="B400" s="52">
        <v>7.79017088E8</v>
      </c>
      <c r="C400" s="28" t="s">
        <v>553</v>
      </c>
      <c r="D400" s="26" t="s">
        <v>49</v>
      </c>
      <c r="E400" s="31">
        <v>46226.0</v>
      </c>
      <c r="F400" s="26" t="s">
        <v>41</v>
      </c>
      <c r="G400" s="26">
        <v>11.0</v>
      </c>
      <c r="I400" s="26" t="s">
        <v>42</v>
      </c>
      <c r="J400" s="25" t="str">
        <f t="shared" si="25"/>
        <v>No</v>
      </c>
      <c r="K400" s="25" t="str">
        <f t="shared" si="26"/>
        <v/>
      </c>
      <c r="L400" s="25" t="str">
        <f t="shared" si="27"/>
        <v/>
      </c>
      <c r="M400" s="25"/>
      <c r="O400" s="25"/>
    </row>
    <row r="401" ht="15.75" customHeight="1">
      <c r="A401" s="25" t="str">
        <f>IFERROR(__xludf.DUMMYFUNCTION("IF(B401="""","""",RIGHT(REGEXREPLACE(B401&amp;"""",""[^0-9]"",""""),9))"),"703353321")</f>
        <v>703353321</v>
      </c>
      <c r="B401" s="52">
        <v>7.03353321E8</v>
      </c>
      <c r="C401" s="28" t="s">
        <v>554</v>
      </c>
      <c r="D401" s="26" t="s">
        <v>82</v>
      </c>
      <c r="E401" s="31">
        <v>46226.0</v>
      </c>
      <c r="F401" s="26" t="s">
        <v>41</v>
      </c>
      <c r="I401" s="26" t="s">
        <v>42</v>
      </c>
      <c r="J401" s="25" t="str">
        <f t="shared" si="25"/>
        <v>No</v>
      </c>
      <c r="K401" s="25" t="str">
        <f t="shared" si="26"/>
        <v/>
      </c>
      <c r="L401" s="25" t="str">
        <f t="shared" si="27"/>
        <v/>
      </c>
      <c r="M401" s="25"/>
      <c r="O401" s="25"/>
    </row>
    <row r="402" ht="15.75" customHeight="1">
      <c r="A402" s="25" t="str">
        <f>IFERROR(__xludf.DUMMYFUNCTION("IF(B402="""","""",RIGHT(REGEXREPLACE(B402&amp;"""",""[^0-9]"",""""),9))"),"759054472")</f>
        <v>759054472</v>
      </c>
      <c r="B402" s="52">
        <v>7.59054472E8</v>
      </c>
      <c r="C402" s="28" t="s">
        <v>555</v>
      </c>
      <c r="D402" s="26" t="s">
        <v>56</v>
      </c>
      <c r="E402" s="31">
        <v>46226.0</v>
      </c>
      <c r="F402" s="26" t="s">
        <v>46</v>
      </c>
      <c r="G402" s="26">
        <v>11.0</v>
      </c>
      <c r="I402" s="26" t="s">
        <v>42</v>
      </c>
      <c r="J402" s="25" t="str">
        <f t="shared" si="25"/>
        <v>No</v>
      </c>
      <c r="K402" s="25" t="str">
        <f t="shared" si="26"/>
        <v/>
      </c>
      <c r="L402" s="25" t="str">
        <f t="shared" si="27"/>
        <v/>
      </c>
      <c r="M402" s="25"/>
      <c r="O402" s="25"/>
    </row>
    <row r="403" ht="15.75" customHeight="1">
      <c r="A403" s="25" t="str">
        <f>IFERROR(__xludf.DUMMYFUNCTION("IF(B403="""","""",RIGHT(REGEXREPLACE(B403&amp;"""",""[^0-9]"",""""),9))"),"757496859")</f>
        <v>757496859</v>
      </c>
      <c r="B403" s="52">
        <v>9.4757496859E10</v>
      </c>
      <c r="C403" s="28" t="s">
        <v>556</v>
      </c>
      <c r="D403" s="26" t="s">
        <v>37</v>
      </c>
      <c r="E403" s="31">
        <v>46226.0</v>
      </c>
      <c r="F403" s="26" t="s">
        <v>46</v>
      </c>
      <c r="G403" s="26">
        <v>11.0</v>
      </c>
      <c r="I403" s="26" t="s">
        <v>42</v>
      </c>
      <c r="J403" s="25" t="str">
        <f t="shared" si="25"/>
        <v>No</v>
      </c>
      <c r="K403" s="25" t="str">
        <f t="shared" si="26"/>
        <v/>
      </c>
      <c r="L403" s="25" t="str">
        <f t="shared" si="27"/>
        <v/>
      </c>
      <c r="M403" s="25"/>
      <c r="O403" s="25"/>
    </row>
    <row r="404" ht="15.75" customHeight="1">
      <c r="A404" s="25" t="str">
        <f>IFERROR(__xludf.DUMMYFUNCTION("IF(B404="""","""",RIGHT(REGEXREPLACE(B404&amp;"""",""[^0-9]"",""""),9))"),"778241121")</f>
        <v>778241121</v>
      </c>
      <c r="B404" s="52">
        <v>7.78241121E8</v>
      </c>
      <c r="C404" s="28" t="s">
        <v>557</v>
      </c>
      <c r="D404" s="26" t="s">
        <v>49</v>
      </c>
      <c r="E404" s="31">
        <v>46226.0</v>
      </c>
      <c r="F404" s="26" t="s">
        <v>46</v>
      </c>
      <c r="G404" s="26">
        <v>11.0</v>
      </c>
      <c r="I404" s="26" t="s">
        <v>42</v>
      </c>
      <c r="J404" s="25" t="str">
        <f t="shared" si="25"/>
        <v>No</v>
      </c>
      <c r="K404" s="25" t="str">
        <f t="shared" si="26"/>
        <v/>
      </c>
      <c r="L404" s="25" t="str">
        <f t="shared" si="27"/>
        <v/>
      </c>
      <c r="M404" s="25"/>
      <c r="O404" s="25"/>
    </row>
    <row r="405" ht="15.75" customHeight="1">
      <c r="A405" s="25" t="str">
        <f>IFERROR(__xludf.DUMMYFUNCTION("IF(B405="""","""",RIGHT(REGEXREPLACE(B405&amp;"""",""[^0-9]"",""""),9))"),"775617240")</f>
        <v>775617240</v>
      </c>
      <c r="B405" s="52">
        <v>7.7561724E8</v>
      </c>
      <c r="C405" s="28" t="s">
        <v>558</v>
      </c>
      <c r="D405" s="26" t="s">
        <v>56</v>
      </c>
      <c r="E405" s="31">
        <v>46226.0</v>
      </c>
      <c r="F405" s="26" t="s">
        <v>84</v>
      </c>
      <c r="G405" s="26">
        <v>11.0</v>
      </c>
      <c r="I405" s="26" t="s">
        <v>42</v>
      </c>
      <c r="J405" s="25" t="str">
        <f t="shared" si="25"/>
        <v>No</v>
      </c>
      <c r="K405" s="25" t="str">
        <f t="shared" si="26"/>
        <v/>
      </c>
      <c r="L405" s="25" t="str">
        <f t="shared" si="27"/>
        <v/>
      </c>
      <c r="M405" s="25"/>
      <c r="O405" s="25"/>
    </row>
    <row r="406" ht="15.75" customHeight="1">
      <c r="A406" s="25" t="str">
        <f>IFERROR(__xludf.DUMMYFUNCTION("IF(B406="""","""",RIGHT(REGEXREPLACE(B406&amp;"""",""[^0-9]"",""""),9))"),"775244883")</f>
        <v>775244883</v>
      </c>
      <c r="B406" s="52">
        <v>9.4775244883E10</v>
      </c>
      <c r="C406" s="28" t="s">
        <v>558</v>
      </c>
      <c r="D406" s="26" t="s">
        <v>37</v>
      </c>
      <c r="E406" s="31">
        <v>46226.0</v>
      </c>
      <c r="F406" s="26" t="s">
        <v>205</v>
      </c>
      <c r="I406" s="26" t="s">
        <v>42</v>
      </c>
      <c r="J406" s="25" t="str">
        <f t="shared" si="25"/>
        <v>No</v>
      </c>
      <c r="K406" s="25" t="str">
        <f t="shared" si="26"/>
        <v/>
      </c>
      <c r="L406" s="25" t="str">
        <f t="shared" si="27"/>
        <v/>
      </c>
      <c r="M406" s="25"/>
      <c r="O406" s="25"/>
    </row>
    <row r="407" ht="15.75" customHeight="1">
      <c r="A407" s="25" t="str">
        <f>IFERROR(__xludf.DUMMYFUNCTION("IF(B407="""","""",RIGHT(REGEXREPLACE(B407&amp;"""",""[^0-9]"",""""),9))"),"761863777")</f>
        <v>761863777</v>
      </c>
      <c r="B407" s="52">
        <v>7.61863777E8</v>
      </c>
      <c r="C407" s="28" t="s">
        <v>559</v>
      </c>
      <c r="D407" s="26" t="s">
        <v>82</v>
      </c>
      <c r="E407" s="31">
        <v>46226.0</v>
      </c>
      <c r="F407" s="26" t="s">
        <v>205</v>
      </c>
      <c r="I407" s="26" t="s">
        <v>42</v>
      </c>
      <c r="J407" s="25" t="str">
        <f t="shared" si="25"/>
        <v>No</v>
      </c>
      <c r="K407" s="25" t="str">
        <f t="shared" si="26"/>
        <v/>
      </c>
      <c r="L407" s="25" t="str">
        <f t="shared" si="27"/>
        <v/>
      </c>
      <c r="M407" s="25"/>
      <c r="O407" s="25"/>
    </row>
    <row r="408" ht="15.75" customHeight="1">
      <c r="A408" s="25" t="str">
        <f>IFERROR(__xludf.DUMMYFUNCTION("IF(B408="""","""",RIGHT(REGEXREPLACE(B408&amp;"""",""[^0-9]"",""""),9))"),"775041165")</f>
        <v>775041165</v>
      </c>
      <c r="B408" s="52">
        <v>7.75041165E8</v>
      </c>
      <c r="C408" s="28" t="s">
        <v>560</v>
      </c>
      <c r="D408" s="26" t="s">
        <v>49</v>
      </c>
      <c r="E408" s="31">
        <v>46226.0</v>
      </c>
      <c r="F408" s="26" t="s">
        <v>41</v>
      </c>
      <c r="G408" s="26">
        <v>11.0</v>
      </c>
      <c r="I408" s="26" t="s">
        <v>42</v>
      </c>
      <c r="J408" s="25" t="str">
        <f t="shared" si="25"/>
        <v>No</v>
      </c>
      <c r="K408" s="25" t="str">
        <f t="shared" si="26"/>
        <v/>
      </c>
      <c r="L408" s="25" t="str">
        <f t="shared" si="27"/>
        <v/>
      </c>
      <c r="M408" s="25"/>
      <c r="O408" s="25"/>
    </row>
    <row r="409" ht="15.75" customHeight="1">
      <c r="A409" s="25" t="str">
        <f>IFERROR(__xludf.DUMMYFUNCTION("IF(B409="""","""",RIGHT(REGEXREPLACE(B409&amp;"""",""[^0-9]"",""""),9))"),"765268413")</f>
        <v>765268413</v>
      </c>
      <c r="B409" s="52">
        <v>9.4765268413E10</v>
      </c>
      <c r="C409" s="28" t="s">
        <v>561</v>
      </c>
      <c r="D409" s="26" t="s">
        <v>29</v>
      </c>
      <c r="E409" s="31">
        <v>46226.0</v>
      </c>
      <c r="F409" s="26" t="s">
        <v>46</v>
      </c>
      <c r="G409" s="26">
        <v>11.0</v>
      </c>
      <c r="I409" s="26" t="s">
        <v>42</v>
      </c>
      <c r="J409" s="25" t="str">
        <f t="shared" si="25"/>
        <v>No</v>
      </c>
      <c r="K409" s="25" t="str">
        <f t="shared" si="26"/>
        <v/>
      </c>
      <c r="L409" s="25" t="str">
        <f t="shared" si="27"/>
        <v/>
      </c>
      <c r="M409" s="25"/>
      <c r="O409" s="25"/>
    </row>
    <row r="410" ht="15.75" customHeight="1">
      <c r="A410" s="25" t="str">
        <f>IFERROR(__xludf.DUMMYFUNCTION("IF(B410="""","""",RIGHT(REGEXREPLACE(B410&amp;"""",""[^0-9]"",""""),9))"),"741945023")</f>
        <v>741945023</v>
      </c>
      <c r="B410" s="52">
        <v>7.41945023E8</v>
      </c>
      <c r="C410" s="28" t="s">
        <v>562</v>
      </c>
      <c r="D410" s="26" t="s">
        <v>45</v>
      </c>
      <c r="E410" s="31">
        <v>46226.0</v>
      </c>
      <c r="F410" s="26" t="s">
        <v>46</v>
      </c>
      <c r="G410" s="26">
        <v>11.0</v>
      </c>
      <c r="I410" s="26" t="s">
        <v>42</v>
      </c>
      <c r="J410" s="25" t="str">
        <f t="shared" si="25"/>
        <v>No</v>
      </c>
      <c r="K410" s="25" t="str">
        <f t="shared" si="26"/>
        <v/>
      </c>
      <c r="L410" s="25" t="str">
        <f t="shared" si="27"/>
        <v/>
      </c>
      <c r="M410" s="25"/>
      <c r="O410" s="25"/>
    </row>
    <row r="411" ht="15.75" customHeight="1">
      <c r="A411" s="25" t="str">
        <f>IFERROR(__xludf.DUMMYFUNCTION("IF(B411="""","""",RIGHT(REGEXREPLACE(B411&amp;"""",""[^0-9]"",""""),9))"),"775258370")</f>
        <v>775258370</v>
      </c>
      <c r="B411" s="52">
        <v>7.7525837E8</v>
      </c>
      <c r="C411" s="28" t="s">
        <v>563</v>
      </c>
      <c r="D411" s="26" t="s">
        <v>49</v>
      </c>
      <c r="E411" s="31">
        <v>46226.0</v>
      </c>
      <c r="F411" s="26" t="s">
        <v>46</v>
      </c>
      <c r="G411" s="26">
        <v>10.0</v>
      </c>
      <c r="I411" s="26" t="s">
        <v>42</v>
      </c>
      <c r="J411" s="25" t="str">
        <f t="shared" si="25"/>
        <v>No</v>
      </c>
      <c r="K411" s="25" t="str">
        <f t="shared" si="26"/>
        <v/>
      </c>
      <c r="L411" s="25" t="str">
        <f t="shared" si="27"/>
        <v/>
      </c>
      <c r="M411" s="25"/>
      <c r="O411" s="25"/>
    </row>
    <row r="412" ht="15.75" customHeight="1">
      <c r="A412" s="25" t="str">
        <f>IFERROR(__xludf.DUMMYFUNCTION("IF(B412="""","""",RIGHT(REGEXREPLACE(B412&amp;"""",""[^0-9]"",""""),9))"),"778353137")</f>
        <v>778353137</v>
      </c>
      <c r="B412" s="52">
        <v>7.78353137E8</v>
      </c>
      <c r="C412" s="28" t="s">
        <v>564</v>
      </c>
      <c r="D412" s="26" t="s">
        <v>56</v>
      </c>
      <c r="E412" s="31">
        <v>46226.0</v>
      </c>
      <c r="F412" s="26" t="s">
        <v>46</v>
      </c>
      <c r="G412" s="26">
        <v>11.0</v>
      </c>
      <c r="I412" s="26" t="s">
        <v>42</v>
      </c>
      <c r="J412" s="25" t="str">
        <f t="shared" si="25"/>
        <v>No</v>
      </c>
      <c r="K412" s="25" t="str">
        <f t="shared" si="26"/>
        <v/>
      </c>
      <c r="L412" s="25" t="str">
        <f t="shared" si="27"/>
        <v/>
      </c>
      <c r="M412" s="25"/>
      <c r="O412" s="25"/>
    </row>
    <row r="413" ht="15.75" customHeight="1">
      <c r="C413" s="46"/>
      <c r="D413" s="25"/>
      <c r="F413" s="25"/>
      <c r="I413" s="26" t="s">
        <v>42</v>
      </c>
      <c r="M413" s="25"/>
      <c r="O413" s="25"/>
    </row>
    <row r="414" ht="15.75" customHeight="1">
      <c r="A414" s="25" t="str">
        <f>IFERROR(__xludf.DUMMYFUNCTION("IF(B414="""","""",RIGHT(REGEXREPLACE(B414&amp;"""",""[^0-9]"",""""),9))"),"770349567")</f>
        <v>770349567</v>
      </c>
      <c r="B414" s="52">
        <v>7.70349567E8</v>
      </c>
      <c r="C414" s="28" t="s">
        <v>565</v>
      </c>
      <c r="D414" s="26" t="s">
        <v>45</v>
      </c>
      <c r="E414" s="31">
        <v>46226.0</v>
      </c>
      <c r="F414" s="26" t="s">
        <v>46</v>
      </c>
      <c r="G414" s="26">
        <v>11.0</v>
      </c>
      <c r="I414" s="26" t="s">
        <v>42</v>
      </c>
      <c r="J414" s="25" t="str">
        <f t="shared" ref="J414:J1280" si="28">IF(COUNTIF($A$2:A413,A414)&gt;0,"Yes - see Previous F-Code","No")</f>
        <v>No</v>
      </c>
      <c r="K414" s="25" t="str">
        <f t="shared" ref="K414:K1280" si="29">IF(COUNTIFS($A$2:A414,A414,$I$2:I414,I414)&gt;1,"DUPLICATE - CHECK","")</f>
        <v/>
      </c>
      <c r="L414" s="25" t="str">
        <f t="shared" ref="L414:L1280" si="30">IF(COUNTIF($A$2:A413,A414)&gt;0,INDEX($C$2:C413,MATCH(A414,$A$2:A413,0)),"")</f>
        <v/>
      </c>
      <c r="M414" s="25"/>
      <c r="O414" s="25"/>
    </row>
    <row r="415" ht="15.75" customHeight="1">
      <c r="A415" s="25" t="str">
        <f>IFERROR(__xludf.DUMMYFUNCTION("IF(B415="""","""",RIGHT(REGEXREPLACE(B415&amp;"""",""[^0-9]"",""""),9))"),"779342802")</f>
        <v>779342802</v>
      </c>
      <c r="B415" s="52">
        <v>7.79342802E8</v>
      </c>
      <c r="C415" s="28" t="s">
        <v>566</v>
      </c>
      <c r="D415" s="26" t="s">
        <v>49</v>
      </c>
      <c r="E415" s="31">
        <v>46226.0</v>
      </c>
      <c r="F415" s="26" t="s">
        <v>46</v>
      </c>
      <c r="G415" s="26">
        <v>11.0</v>
      </c>
      <c r="I415" s="26" t="s">
        <v>42</v>
      </c>
      <c r="J415" s="25" t="str">
        <f t="shared" si="28"/>
        <v>No</v>
      </c>
      <c r="K415" s="25" t="str">
        <f t="shared" si="29"/>
        <v/>
      </c>
      <c r="L415" s="25" t="str">
        <f t="shared" si="30"/>
        <v/>
      </c>
      <c r="M415" s="25"/>
      <c r="O415" s="25"/>
    </row>
    <row r="416" ht="15.75" customHeight="1">
      <c r="A416" s="25" t="str">
        <f>IFERROR(__xludf.DUMMYFUNCTION("IF(B416="""","""",RIGHT(REGEXREPLACE(B416&amp;"""",""[^0-9]"",""""),9))"),"771818236")</f>
        <v>771818236</v>
      </c>
      <c r="B416" s="52">
        <v>7.71818236E8</v>
      </c>
      <c r="C416" s="28" t="s">
        <v>567</v>
      </c>
      <c r="D416" s="26" t="s">
        <v>45</v>
      </c>
      <c r="E416" s="31">
        <v>46226.0</v>
      </c>
      <c r="F416" s="26" t="s">
        <v>46</v>
      </c>
      <c r="G416" s="26">
        <v>11.0</v>
      </c>
      <c r="I416" s="26" t="s">
        <v>42</v>
      </c>
      <c r="J416" s="25" t="str">
        <f t="shared" si="28"/>
        <v>No</v>
      </c>
      <c r="K416" s="25" t="str">
        <f t="shared" si="29"/>
        <v/>
      </c>
      <c r="L416" s="25" t="str">
        <f t="shared" si="30"/>
        <v/>
      </c>
      <c r="M416" s="25"/>
      <c r="O416" s="25"/>
    </row>
    <row r="417" ht="15.75" customHeight="1">
      <c r="A417" s="25" t="str">
        <f>IFERROR(__xludf.DUMMYFUNCTION("IF(B417="""","""",RIGHT(REGEXREPLACE(B417&amp;"""",""[^0-9]"",""""),9))"),"714792920")</f>
        <v>714792920</v>
      </c>
      <c r="B417" s="52">
        <v>9.471479292E10</v>
      </c>
      <c r="C417" s="28" t="s">
        <v>568</v>
      </c>
      <c r="D417" s="26" t="s">
        <v>37</v>
      </c>
      <c r="E417" s="31">
        <v>46226.0</v>
      </c>
      <c r="F417" s="26" t="s">
        <v>205</v>
      </c>
      <c r="I417" s="26" t="s">
        <v>42</v>
      </c>
      <c r="J417" s="25" t="str">
        <f t="shared" si="28"/>
        <v>No</v>
      </c>
      <c r="K417" s="25" t="str">
        <f t="shared" si="29"/>
        <v/>
      </c>
      <c r="L417" s="25" t="str">
        <f t="shared" si="30"/>
        <v/>
      </c>
      <c r="M417" s="25"/>
      <c r="O417" s="25"/>
    </row>
    <row r="418" ht="15.75" customHeight="1">
      <c r="A418" s="25" t="str">
        <f>IFERROR(__xludf.DUMMYFUNCTION("IF(B418="""","""",RIGHT(REGEXREPLACE(B418&amp;"""",""[^0-9]"",""""),9))"),"701515926")</f>
        <v>701515926</v>
      </c>
      <c r="B418" s="52">
        <v>7.01515926E8</v>
      </c>
      <c r="C418" s="28" t="s">
        <v>569</v>
      </c>
      <c r="D418" s="26" t="s">
        <v>49</v>
      </c>
      <c r="E418" s="31">
        <v>46226.0</v>
      </c>
      <c r="F418" s="26" t="s">
        <v>46</v>
      </c>
      <c r="G418" s="26">
        <v>11.0</v>
      </c>
      <c r="I418" s="26" t="s">
        <v>42</v>
      </c>
      <c r="J418" s="25" t="str">
        <f t="shared" si="28"/>
        <v>No</v>
      </c>
      <c r="K418" s="25" t="str">
        <f t="shared" si="29"/>
        <v/>
      </c>
      <c r="L418" s="25" t="str">
        <f t="shared" si="30"/>
        <v/>
      </c>
      <c r="M418" s="25"/>
      <c r="O418" s="25"/>
    </row>
    <row r="419" ht="15.75" customHeight="1">
      <c r="A419" s="25" t="str">
        <f>IFERROR(__xludf.DUMMYFUNCTION("IF(B419="""","""",RIGHT(REGEXREPLACE(B419&amp;"""",""[^0-9]"",""""),9))"),"702012336")</f>
        <v>702012336</v>
      </c>
      <c r="B419" s="52">
        <v>9.4702012336E10</v>
      </c>
      <c r="C419" s="28" t="s">
        <v>570</v>
      </c>
      <c r="D419" s="26" t="s">
        <v>29</v>
      </c>
      <c r="E419" s="31">
        <v>46226.0</v>
      </c>
      <c r="F419" s="26" t="s">
        <v>46</v>
      </c>
      <c r="G419" s="26">
        <v>8.0</v>
      </c>
      <c r="I419" s="26" t="s">
        <v>42</v>
      </c>
      <c r="J419" s="25" t="str">
        <f t="shared" si="28"/>
        <v>No</v>
      </c>
      <c r="K419" s="25" t="str">
        <f t="shared" si="29"/>
        <v/>
      </c>
      <c r="L419" s="25" t="str">
        <f t="shared" si="30"/>
        <v/>
      </c>
      <c r="M419" s="25"/>
      <c r="O419" s="26" t="s">
        <v>51</v>
      </c>
    </row>
    <row r="420" ht="15.75" customHeight="1">
      <c r="A420" s="25" t="str">
        <f>IFERROR(__xludf.DUMMYFUNCTION("IF(B420="""","""",RIGHT(REGEXREPLACE(B420&amp;"""",""[^0-9]"",""""),9))"),"779858209")</f>
        <v>779858209</v>
      </c>
      <c r="B420" s="52">
        <v>7.79858209E8</v>
      </c>
      <c r="C420" s="28" t="s">
        <v>571</v>
      </c>
      <c r="D420" s="26" t="s">
        <v>49</v>
      </c>
      <c r="E420" s="31">
        <v>46226.0</v>
      </c>
      <c r="F420" s="26" t="s">
        <v>46</v>
      </c>
      <c r="G420" s="26">
        <v>11.0</v>
      </c>
      <c r="I420" s="26" t="s">
        <v>42</v>
      </c>
      <c r="J420" s="25" t="str">
        <f t="shared" si="28"/>
        <v>No</v>
      </c>
      <c r="K420" s="25" t="str">
        <f t="shared" si="29"/>
        <v/>
      </c>
      <c r="L420" s="25" t="str">
        <f t="shared" si="30"/>
        <v/>
      </c>
      <c r="M420" s="25"/>
      <c r="O420" s="25"/>
    </row>
    <row r="421" ht="15.75" customHeight="1">
      <c r="A421" s="25" t="str">
        <f>IFERROR(__xludf.DUMMYFUNCTION("IF(B421="""","""",RIGHT(REGEXREPLACE(B421&amp;"""",""[^0-9]"",""""),9))"),"716474758")</f>
        <v>716474758</v>
      </c>
      <c r="B421" s="52">
        <v>7.16474758E8</v>
      </c>
      <c r="C421" s="28" t="s">
        <v>572</v>
      </c>
      <c r="D421" s="26" t="s">
        <v>82</v>
      </c>
      <c r="E421" s="31">
        <v>46226.0</v>
      </c>
      <c r="F421" s="26" t="s">
        <v>46</v>
      </c>
      <c r="I421" s="26" t="s">
        <v>42</v>
      </c>
      <c r="J421" s="25" t="str">
        <f t="shared" si="28"/>
        <v>No</v>
      </c>
      <c r="K421" s="25" t="str">
        <f t="shared" si="29"/>
        <v/>
      </c>
      <c r="L421" s="25" t="str">
        <f t="shared" si="30"/>
        <v/>
      </c>
      <c r="M421" s="25"/>
      <c r="O421" s="25"/>
    </row>
    <row r="422" ht="15.75" customHeight="1">
      <c r="A422" s="25" t="str">
        <f>IFERROR(__xludf.DUMMYFUNCTION("IF(B422="""","""",RIGHT(REGEXREPLACE(B422&amp;"""",""[^0-9]"",""""),9))"),"704071219")</f>
        <v>704071219</v>
      </c>
      <c r="B422" s="52">
        <v>7.04071219E8</v>
      </c>
      <c r="C422" s="28" t="s">
        <v>573</v>
      </c>
      <c r="D422" s="26" t="s">
        <v>49</v>
      </c>
      <c r="E422" s="31">
        <v>46226.0</v>
      </c>
      <c r="F422" s="26" t="s">
        <v>205</v>
      </c>
      <c r="G422" s="26">
        <v>11.0</v>
      </c>
      <c r="I422" s="26" t="s">
        <v>42</v>
      </c>
      <c r="J422" s="25" t="str">
        <f t="shared" si="28"/>
        <v>No</v>
      </c>
      <c r="K422" s="25" t="str">
        <f t="shared" si="29"/>
        <v/>
      </c>
      <c r="L422" s="25" t="str">
        <f t="shared" si="30"/>
        <v/>
      </c>
      <c r="M422" s="25"/>
      <c r="O422" s="25"/>
    </row>
    <row r="423" ht="15.75" customHeight="1">
      <c r="A423" s="25" t="str">
        <f>IFERROR(__xludf.DUMMYFUNCTION("IF(B423="""","""",RIGHT(REGEXREPLACE(B423&amp;"""",""[^0-9]"",""""),9))"),"711390610")</f>
        <v>711390610</v>
      </c>
      <c r="B423" s="52">
        <v>7.1139061E8</v>
      </c>
      <c r="C423" s="28" t="s">
        <v>574</v>
      </c>
      <c r="D423" s="26" t="s">
        <v>45</v>
      </c>
      <c r="E423" s="31">
        <v>46226.0</v>
      </c>
      <c r="F423" s="26" t="s">
        <v>46</v>
      </c>
      <c r="G423" s="26">
        <v>10.0</v>
      </c>
      <c r="I423" s="26" t="s">
        <v>42</v>
      </c>
      <c r="J423" s="25" t="str">
        <f t="shared" si="28"/>
        <v>No</v>
      </c>
      <c r="K423" s="25" t="str">
        <f t="shared" si="29"/>
        <v/>
      </c>
      <c r="L423" s="25" t="str">
        <f t="shared" si="30"/>
        <v/>
      </c>
      <c r="M423" s="25"/>
      <c r="O423" s="25"/>
    </row>
    <row r="424" ht="15.75" customHeight="1">
      <c r="A424" s="25" t="str">
        <f>IFERROR(__xludf.DUMMYFUNCTION("IF(B424="""","""",RIGHT(REGEXREPLACE(B424&amp;"""",""[^0-9]"",""""),9))"),"779793448")</f>
        <v>779793448</v>
      </c>
      <c r="B424" s="52">
        <v>7.79793448E8</v>
      </c>
      <c r="C424" s="28" t="s">
        <v>575</v>
      </c>
      <c r="D424" s="26" t="s">
        <v>56</v>
      </c>
      <c r="E424" s="31">
        <v>46226.0</v>
      </c>
      <c r="F424" s="26" t="s">
        <v>46</v>
      </c>
      <c r="G424" s="26">
        <v>10.0</v>
      </c>
      <c r="I424" s="26" t="s">
        <v>42</v>
      </c>
      <c r="J424" s="25" t="str">
        <f t="shared" si="28"/>
        <v>No</v>
      </c>
      <c r="K424" s="25" t="str">
        <f t="shared" si="29"/>
        <v/>
      </c>
      <c r="L424" s="25" t="str">
        <f t="shared" si="30"/>
        <v/>
      </c>
      <c r="M424" s="25"/>
      <c r="O424" s="25"/>
    </row>
    <row r="425" ht="15.75" customHeight="1">
      <c r="A425" s="25" t="str">
        <f>IFERROR(__xludf.DUMMYFUNCTION("IF(B425="""","""",RIGHT(REGEXREPLACE(B425&amp;"""",""[^0-9]"",""""),9))"),"716861424")</f>
        <v>716861424</v>
      </c>
      <c r="B425" s="52">
        <v>7.16861424E8</v>
      </c>
      <c r="C425" s="28" t="s">
        <v>575</v>
      </c>
      <c r="D425" s="26" t="s">
        <v>56</v>
      </c>
      <c r="E425" s="31">
        <v>46226.0</v>
      </c>
      <c r="F425" s="26" t="s">
        <v>41</v>
      </c>
      <c r="G425" s="26">
        <v>11.0</v>
      </c>
      <c r="I425" s="26" t="s">
        <v>42</v>
      </c>
      <c r="J425" s="25" t="str">
        <f t="shared" si="28"/>
        <v>No</v>
      </c>
      <c r="K425" s="25" t="str">
        <f t="shared" si="29"/>
        <v/>
      </c>
      <c r="L425" s="25" t="str">
        <f t="shared" si="30"/>
        <v/>
      </c>
      <c r="M425" s="25"/>
      <c r="O425" s="25"/>
    </row>
    <row r="426" ht="15.75" customHeight="1">
      <c r="A426" s="25" t="str">
        <f>IFERROR(__xludf.DUMMYFUNCTION("IF(B426="""","""",RIGHT(REGEXREPLACE(B426&amp;"""",""[^0-9]"",""""),9))"),"717985191")</f>
        <v>717985191</v>
      </c>
      <c r="B426" s="52">
        <v>9.4717985191E10</v>
      </c>
      <c r="C426" s="28" t="s">
        <v>576</v>
      </c>
      <c r="D426" s="26" t="s">
        <v>37</v>
      </c>
      <c r="E426" s="31">
        <v>46226.0</v>
      </c>
      <c r="F426" s="26" t="s">
        <v>41</v>
      </c>
      <c r="I426" s="26" t="s">
        <v>42</v>
      </c>
      <c r="J426" s="25" t="str">
        <f t="shared" si="28"/>
        <v>No</v>
      </c>
      <c r="K426" s="25" t="str">
        <f t="shared" si="29"/>
        <v/>
      </c>
      <c r="L426" s="25" t="str">
        <f t="shared" si="30"/>
        <v/>
      </c>
      <c r="M426" s="25"/>
      <c r="O426" s="25"/>
    </row>
    <row r="427" ht="15.75" customHeight="1">
      <c r="A427" s="25" t="str">
        <f>IFERROR(__xludf.DUMMYFUNCTION("IF(B427="""","""",RIGHT(REGEXREPLACE(B427&amp;"""",""[^0-9]"",""""),9))"),"740143038")</f>
        <v>740143038</v>
      </c>
      <c r="B427" s="52">
        <v>9.4740143038E10</v>
      </c>
      <c r="C427" s="28" t="s">
        <v>577</v>
      </c>
      <c r="D427" s="26" t="s">
        <v>37</v>
      </c>
      <c r="E427" s="31">
        <v>46226.0</v>
      </c>
      <c r="F427" s="26" t="s">
        <v>41</v>
      </c>
      <c r="I427" s="26" t="s">
        <v>42</v>
      </c>
      <c r="J427" s="25" t="str">
        <f t="shared" si="28"/>
        <v>No</v>
      </c>
      <c r="K427" s="25" t="str">
        <f t="shared" si="29"/>
        <v/>
      </c>
      <c r="L427" s="25" t="str">
        <f t="shared" si="30"/>
        <v/>
      </c>
      <c r="M427" s="25"/>
      <c r="O427" s="25"/>
    </row>
    <row r="428" ht="15.75" customHeight="1">
      <c r="A428" s="25" t="str">
        <f>IFERROR(__xludf.DUMMYFUNCTION("IF(B428="""","""",RIGHT(REGEXREPLACE(B428&amp;"""",""[^0-9]"",""""),9))"),"718227840")</f>
        <v>718227840</v>
      </c>
      <c r="B428" s="52">
        <v>7.1822784E8</v>
      </c>
      <c r="C428" s="28" t="s">
        <v>578</v>
      </c>
      <c r="D428" s="26" t="s">
        <v>49</v>
      </c>
      <c r="E428" s="31">
        <v>46226.0</v>
      </c>
      <c r="F428" s="26" t="s">
        <v>46</v>
      </c>
      <c r="G428" s="26">
        <v>11.0</v>
      </c>
      <c r="I428" s="26" t="s">
        <v>42</v>
      </c>
      <c r="J428" s="25" t="str">
        <f t="shared" si="28"/>
        <v>No</v>
      </c>
      <c r="K428" s="25" t="str">
        <f t="shared" si="29"/>
        <v/>
      </c>
      <c r="L428" s="25" t="str">
        <f t="shared" si="30"/>
        <v/>
      </c>
      <c r="M428" s="25"/>
      <c r="O428" s="25"/>
    </row>
    <row r="429" ht="15.75" customHeight="1">
      <c r="A429" s="25" t="str">
        <f>IFERROR(__xludf.DUMMYFUNCTION("IF(B429="""","""",RIGHT(REGEXREPLACE(B429&amp;"""",""[^0-9]"",""""),9))"),"772724935")</f>
        <v>772724935</v>
      </c>
      <c r="B429" s="52">
        <v>7.72724935E8</v>
      </c>
      <c r="C429" s="28" t="s">
        <v>579</v>
      </c>
      <c r="D429" s="26" t="s">
        <v>49</v>
      </c>
      <c r="E429" s="31">
        <v>46226.0</v>
      </c>
      <c r="F429" s="26" t="s">
        <v>46</v>
      </c>
      <c r="G429" s="26">
        <v>11.0</v>
      </c>
      <c r="I429" s="26" t="s">
        <v>42</v>
      </c>
      <c r="J429" s="25" t="str">
        <f t="shared" si="28"/>
        <v>No</v>
      </c>
      <c r="K429" s="25" t="str">
        <f t="shared" si="29"/>
        <v/>
      </c>
      <c r="L429" s="25" t="str">
        <f t="shared" si="30"/>
        <v/>
      </c>
      <c r="M429" s="25"/>
      <c r="O429" s="25"/>
    </row>
    <row r="430" ht="15.75" customHeight="1">
      <c r="A430" s="25" t="str">
        <f>IFERROR(__xludf.DUMMYFUNCTION("IF(B430="""","""",RIGHT(REGEXREPLACE(B430&amp;"""",""[^0-9]"",""""),9))"),"718672769")</f>
        <v>718672769</v>
      </c>
      <c r="B430" s="52">
        <v>7.18672769E8</v>
      </c>
      <c r="C430" s="28" t="s">
        <v>580</v>
      </c>
      <c r="D430" s="26" t="s">
        <v>45</v>
      </c>
      <c r="E430" s="31">
        <v>46226.0</v>
      </c>
      <c r="F430" s="26" t="s">
        <v>41</v>
      </c>
      <c r="I430" s="26" t="s">
        <v>42</v>
      </c>
      <c r="J430" s="25" t="str">
        <f t="shared" si="28"/>
        <v>No</v>
      </c>
      <c r="K430" s="25" t="str">
        <f t="shared" si="29"/>
        <v/>
      </c>
      <c r="L430" s="25" t="str">
        <f t="shared" si="30"/>
        <v/>
      </c>
      <c r="M430" s="25"/>
      <c r="O430" s="25"/>
    </row>
    <row r="431" ht="15.75" customHeight="1">
      <c r="A431" s="25" t="str">
        <f>IFERROR(__xludf.DUMMYFUNCTION("IF(B431="""","""",RIGHT(REGEXREPLACE(B431&amp;"""",""[^0-9]"",""""),9))"),"778985748")</f>
        <v>778985748</v>
      </c>
      <c r="B431" s="52">
        <v>9.4778985748E10</v>
      </c>
      <c r="C431" s="28" t="s">
        <v>581</v>
      </c>
      <c r="D431" s="26" t="s">
        <v>37</v>
      </c>
      <c r="E431" s="31">
        <v>46226.0</v>
      </c>
      <c r="F431" s="26" t="s">
        <v>41</v>
      </c>
      <c r="I431" s="26" t="s">
        <v>42</v>
      </c>
      <c r="J431" s="25" t="str">
        <f t="shared" si="28"/>
        <v>No</v>
      </c>
      <c r="K431" s="25" t="str">
        <f t="shared" si="29"/>
        <v/>
      </c>
      <c r="L431" s="25" t="str">
        <f t="shared" si="30"/>
        <v/>
      </c>
      <c r="M431" s="25"/>
      <c r="O431" s="25"/>
    </row>
    <row r="432" ht="15.75" customHeight="1">
      <c r="A432" s="25" t="str">
        <f>IFERROR(__xludf.DUMMYFUNCTION("IF(B432="""","""",RIGHT(REGEXREPLACE(B432&amp;"""",""[^0-9]"",""""),9))"),"703550792")</f>
        <v>703550792</v>
      </c>
      <c r="B432" s="52">
        <v>9.4703550792E10</v>
      </c>
      <c r="C432" s="28" t="s">
        <v>582</v>
      </c>
      <c r="D432" s="26" t="s">
        <v>37</v>
      </c>
      <c r="E432" s="31">
        <v>46226.0</v>
      </c>
      <c r="F432" s="26" t="s">
        <v>46</v>
      </c>
      <c r="G432" s="26">
        <v>10.0</v>
      </c>
      <c r="H432" s="26" t="s">
        <v>583</v>
      </c>
      <c r="I432" s="26" t="s">
        <v>42</v>
      </c>
      <c r="J432" s="25" t="str">
        <f t="shared" si="28"/>
        <v>No</v>
      </c>
      <c r="K432" s="25" t="str">
        <f t="shared" si="29"/>
        <v/>
      </c>
      <c r="L432" s="25" t="str">
        <f t="shared" si="30"/>
        <v/>
      </c>
      <c r="M432" s="25"/>
      <c r="O432" s="25"/>
    </row>
    <row r="433" ht="15.75" customHeight="1">
      <c r="A433" s="25" t="str">
        <f>IFERROR(__xludf.DUMMYFUNCTION("IF(B433="""","""",RIGHT(REGEXREPLACE(B433&amp;"""",""[^0-9]"",""""),9))"),"763806614")</f>
        <v>763806614</v>
      </c>
      <c r="B433" s="52">
        <v>7.63806614E8</v>
      </c>
      <c r="C433" s="28" t="s">
        <v>584</v>
      </c>
      <c r="D433" s="26" t="s">
        <v>49</v>
      </c>
      <c r="E433" s="31">
        <v>46226.0</v>
      </c>
      <c r="F433" s="26" t="s">
        <v>46</v>
      </c>
      <c r="G433" s="26">
        <v>11.0</v>
      </c>
      <c r="I433" s="26" t="s">
        <v>42</v>
      </c>
      <c r="J433" s="25" t="str">
        <f t="shared" si="28"/>
        <v>No</v>
      </c>
      <c r="K433" s="25" t="str">
        <f t="shared" si="29"/>
        <v/>
      </c>
      <c r="L433" s="25" t="str">
        <f t="shared" si="30"/>
        <v/>
      </c>
      <c r="M433" s="25"/>
      <c r="O433" s="25"/>
    </row>
    <row r="434" ht="15.75" customHeight="1">
      <c r="A434" s="25" t="str">
        <f>IFERROR(__xludf.DUMMYFUNCTION("IF(B434="""","""",RIGHT(REGEXREPLACE(B434&amp;"""",""[^0-9]"",""""),9))"),"751556264")</f>
        <v>751556264</v>
      </c>
      <c r="B434" s="52">
        <v>7.51556264E8</v>
      </c>
      <c r="C434" s="28" t="s">
        <v>585</v>
      </c>
      <c r="D434" s="26" t="s">
        <v>45</v>
      </c>
      <c r="E434" s="31">
        <v>46226.0</v>
      </c>
      <c r="F434" s="26" t="s">
        <v>164</v>
      </c>
      <c r="H434" s="26" t="s">
        <v>586</v>
      </c>
      <c r="I434" s="26" t="s">
        <v>42</v>
      </c>
      <c r="J434" s="25" t="str">
        <f t="shared" si="28"/>
        <v>No</v>
      </c>
      <c r="K434" s="25" t="str">
        <f t="shared" si="29"/>
        <v/>
      </c>
      <c r="L434" s="25" t="str">
        <f t="shared" si="30"/>
        <v/>
      </c>
      <c r="M434" s="25"/>
      <c r="O434" s="25"/>
    </row>
    <row r="435" ht="15.75" customHeight="1">
      <c r="A435" s="25" t="str">
        <f>IFERROR(__xludf.DUMMYFUNCTION("IF(B435="""","""",RIGHT(REGEXREPLACE(B435&amp;"""",""[^0-9]"",""""),9))"),"779401791")</f>
        <v>779401791</v>
      </c>
      <c r="B435" s="52">
        <v>7.79401791E8</v>
      </c>
      <c r="C435" s="28" t="s">
        <v>587</v>
      </c>
      <c r="D435" s="26" t="s">
        <v>56</v>
      </c>
      <c r="E435" s="31">
        <v>46226.0</v>
      </c>
      <c r="F435" s="26" t="s">
        <v>41</v>
      </c>
      <c r="I435" s="26" t="s">
        <v>42</v>
      </c>
      <c r="J435" s="25" t="str">
        <f t="shared" si="28"/>
        <v>No</v>
      </c>
      <c r="K435" s="25" t="str">
        <f t="shared" si="29"/>
        <v/>
      </c>
      <c r="L435" s="25" t="str">
        <f t="shared" si="30"/>
        <v/>
      </c>
      <c r="M435" s="25"/>
      <c r="O435" s="25"/>
    </row>
    <row r="436" ht="15.75" customHeight="1">
      <c r="A436" s="25" t="str">
        <f>IFERROR(__xludf.DUMMYFUNCTION("IF(B436="""","""",RIGHT(REGEXREPLACE(B436&amp;"""",""[^0-9]"",""""),9))"),"769995215")</f>
        <v>769995215</v>
      </c>
      <c r="B436" s="26">
        <v>9.4769995215E10</v>
      </c>
      <c r="C436" s="28" t="s">
        <v>588</v>
      </c>
      <c r="D436" s="26" t="s">
        <v>29</v>
      </c>
      <c r="E436" s="31">
        <v>46226.0</v>
      </c>
      <c r="F436" s="26" t="s">
        <v>41</v>
      </c>
      <c r="G436" s="26">
        <v>11.0</v>
      </c>
      <c r="I436" s="26" t="s">
        <v>42</v>
      </c>
      <c r="J436" s="25" t="str">
        <f t="shared" si="28"/>
        <v>No</v>
      </c>
      <c r="K436" s="25" t="str">
        <f t="shared" si="29"/>
        <v/>
      </c>
      <c r="L436" s="25" t="str">
        <f t="shared" si="30"/>
        <v/>
      </c>
      <c r="M436" s="25"/>
      <c r="O436" s="25"/>
    </row>
    <row r="437" ht="15.75" customHeight="1">
      <c r="A437" s="25" t="str">
        <f>IFERROR(__xludf.DUMMYFUNCTION("IF(B437="""","""",RIGHT(REGEXREPLACE(B437&amp;"""",""[^0-9]"",""""),9))"),"783136223")</f>
        <v>783136223</v>
      </c>
      <c r="B437" s="52">
        <v>9.4783136223E10</v>
      </c>
      <c r="C437" s="28" t="s">
        <v>589</v>
      </c>
      <c r="D437" s="26" t="s">
        <v>37</v>
      </c>
      <c r="E437" s="31">
        <v>46226.0</v>
      </c>
      <c r="F437" s="26" t="s">
        <v>46</v>
      </c>
      <c r="G437" s="26">
        <v>11.0</v>
      </c>
      <c r="H437" s="26" t="s">
        <v>590</v>
      </c>
      <c r="I437" s="26" t="s">
        <v>42</v>
      </c>
      <c r="J437" s="25" t="str">
        <f t="shared" si="28"/>
        <v>No</v>
      </c>
      <c r="K437" s="25" t="str">
        <f t="shared" si="29"/>
        <v/>
      </c>
      <c r="L437" s="25" t="str">
        <f t="shared" si="30"/>
        <v/>
      </c>
      <c r="M437" s="25"/>
      <c r="O437" s="25"/>
    </row>
    <row r="438" ht="15.75" customHeight="1">
      <c r="A438" s="25" t="str">
        <f>IFERROR(__xludf.DUMMYFUNCTION("IF(B438="""","""",RIGHT(REGEXREPLACE(B438&amp;"""",""[^0-9]"",""""),9))"),"756009959")</f>
        <v>756009959</v>
      </c>
      <c r="B438" s="26">
        <v>7.56009959E8</v>
      </c>
      <c r="C438" s="28" t="s">
        <v>591</v>
      </c>
      <c r="D438" s="26" t="s">
        <v>82</v>
      </c>
      <c r="E438" s="31">
        <v>46226.0</v>
      </c>
      <c r="F438" s="26" t="s">
        <v>46</v>
      </c>
      <c r="H438" s="26" t="s">
        <v>592</v>
      </c>
      <c r="I438" s="26" t="s">
        <v>42</v>
      </c>
      <c r="J438" s="25" t="str">
        <f t="shared" si="28"/>
        <v>No</v>
      </c>
      <c r="K438" s="25" t="str">
        <f t="shared" si="29"/>
        <v/>
      </c>
      <c r="L438" s="25" t="str">
        <f t="shared" si="30"/>
        <v/>
      </c>
      <c r="M438" s="25"/>
      <c r="O438" s="25"/>
    </row>
    <row r="439" ht="15.75" customHeight="1">
      <c r="A439" s="25" t="str">
        <f>IFERROR(__xludf.DUMMYFUNCTION("IF(B439="""","""",RIGHT(REGEXREPLACE(B439&amp;"""",""[^0-9]"",""""),9))"),"776812432")</f>
        <v>776812432</v>
      </c>
      <c r="B439" s="52">
        <v>7.76812432E8</v>
      </c>
      <c r="C439" s="28" t="s">
        <v>593</v>
      </c>
      <c r="D439" s="26" t="s">
        <v>45</v>
      </c>
      <c r="E439" s="31">
        <v>46226.0</v>
      </c>
      <c r="F439" s="26" t="s">
        <v>41</v>
      </c>
      <c r="I439" s="26" t="s">
        <v>42</v>
      </c>
      <c r="J439" s="25" t="str">
        <f t="shared" si="28"/>
        <v>No</v>
      </c>
      <c r="K439" s="25" t="str">
        <f t="shared" si="29"/>
        <v/>
      </c>
      <c r="L439" s="25" t="str">
        <f t="shared" si="30"/>
        <v/>
      </c>
      <c r="M439" s="25"/>
      <c r="O439" s="25"/>
    </row>
    <row r="440" ht="15.75" customHeight="1">
      <c r="A440" s="25" t="str">
        <f>IFERROR(__xludf.DUMMYFUNCTION("IF(B440="""","""",RIGHT(REGEXREPLACE(B440&amp;"""",""[^0-9]"",""""),9))"),"759071029")</f>
        <v>759071029</v>
      </c>
      <c r="B440" s="52">
        <v>7.59071029E8</v>
      </c>
      <c r="C440" s="28" t="s">
        <v>594</v>
      </c>
      <c r="D440" s="26" t="s">
        <v>56</v>
      </c>
      <c r="E440" s="31">
        <v>46226.0</v>
      </c>
      <c r="F440" s="26" t="s">
        <v>41</v>
      </c>
      <c r="G440" s="26">
        <v>11.0</v>
      </c>
      <c r="I440" s="26" t="s">
        <v>42</v>
      </c>
      <c r="J440" s="25" t="str">
        <f t="shared" si="28"/>
        <v>No</v>
      </c>
      <c r="K440" s="25" t="str">
        <f t="shared" si="29"/>
        <v/>
      </c>
      <c r="L440" s="25" t="str">
        <f t="shared" si="30"/>
        <v/>
      </c>
      <c r="M440" s="25"/>
      <c r="O440" s="25"/>
    </row>
    <row r="441" ht="15.75" customHeight="1">
      <c r="A441" s="25" t="str">
        <f>IFERROR(__xludf.DUMMYFUNCTION("IF(B441="""","""",RIGHT(REGEXREPLACE(B441&amp;"""",""[^0-9]"",""""),9))"),"769995215")</f>
        <v>769995215</v>
      </c>
      <c r="B441" s="52">
        <v>9.4769995215E10</v>
      </c>
      <c r="C441" s="28" t="s">
        <v>588</v>
      </c>
      <c r="D441" s="26" t="s">
        <v>37</v>
      </c>
      <c r="E441" s="31">
        <v>46226.0</v>
      </c>
      <c r="F441" s="26" t="s">
        <v>595</v>
      </c>
      <c r="I441" s="26" t="s">
        <v>42</v>
      </c>
      <c r="J441" s="25" t="str">
        <f t="shared" si="28"/>
        <v>Yes - see Previous F-Code</v>
      </c>
      <c r="K441" s="25" t="str">
        <f t="shared" si="29"/>
        <v>DUPLICATE - CHECK</v>
      </c>
      <c r="L441" s="25" t="str">
        <f t="shared" si="30"/>
        <v>F70405</v>
      </c>
      <c r="M441" s="25"/>
      <c r="O441" s="25"/>
    </row>
    <row r="442" ht="15.75" customHeight="1">
      <c r="A442" s="25" t="str">
        <f>IFERROR(__xludf.DUMMYFUNCTION("IF(B442="""","""",RIGHT(REGEXREPLACE(B442&amp;"""",""[^0-9]"",""""),9))"),"779404497")</f>
        <v>779404497</v>
      </c>
      <c r="B442" s="52">
        <v>7.79404497E8</v>
      </c>
      <c r="C442" s="28" t="s">
        <v>596</v>
      </c>
      <c r="D442" s="26" t="s">
        <v>82</v>
      </c>
      <c r="E442" s="31">
        <v>46226.0</v>
      </c>
      <c r="F442" s="26" t="s">
        <v>125</v>
      </c>
      <c r="I442" s="26" t="s">
        <v>42</v>
      </c>
      <c r="J442" s="25" t="str">
        <f t="shared" si="28"/>
        <v>No</v>
      </c>
      <c r="K442" s="25" t="str">
        <f t="shared" si="29"/>
        <v/>
      </c>
      <c r="L442" s="25" t="str">
        <f t="shared" si="30"/>
        <v/>
      </c>
      <c r="M442" s="25"/>
      <c r="O442" s="25"/>
    </row>
    <row r="443" ht="15.75" customHeight="1">
      <c r="A443" s="25" t="str">
        <f>IFERROR(__xludf.DUMMYFUNCTION("IF(B443="""","""",RIGHT(REGEXREPLACE(B443&amp;"""",""[^0-9]"",""""),9))"),"725068358")</f>
        <v>725068358</v>
      </c>
      <c r="B443" s="52">
        <v>7.25068358E8</v>
      </c>
      <c r="C443" s="28" t="s">
        <v>597</v>
      </c>
      <c r="D443" s="26" t="s">
        <v>49</v>
      </c>
      <c r="E443" s="31">
        <v>46226.0</v>
      </c>
      <c r="F443" s="26" t="s">
        <v>46</v>
      </c>
      <c r="G443" s="26">
        <v>11.0</v>
      </c>
      <c r="I443" s="26" t="s">
        <v>42</v>
      </c>
      <c r="J443" s="25" t="str">
        <f t="shared" si="28"/>
        <v>No</v>
      </c>
      <c r="K443" s="25" t="str">
        <f t="shared" si="29"/>
        <v/>
      </c>
      <c r="L443" s="25" t="str">
        <f t="shared" si="30"/>
        <v/>
      </c>
      <c r="M443" s="25"/>
      <c r="O443" s="25"/>
    </row>
    <row r="444" ht="15.75" customHeight="1">
      <c r="A444" s="25" t="str">
        <f>IFERROR(__xludf.DUMMYFUNCTION("IF(B444="""","""",RIGHT(REGEXREPLACE(B444&amp;"""",""[^0-9]"",""""),9))"),"725667338")</f>
        <v>725667338</v>
      </c>
      <c r="B444" s="52">
        <v>7.25667338E8</v>
      </c>
      <c r="C444" s="28" t="s">
        <v>598</v>
      </c>
      <c r="D444" s="26" t="s">
        <v>56</v>
      </c>
      <c r="E444" s="31">
        <v>46226.0</v>
      </c>
      <c r="F444" s="26" t="s">
        <v>41</v>
      </c>
      <c r="I444" s="26" t="s">
        <v>42</v>
      </c>
      <c r="J444" s="25" t="str">
        <f t="shared" si="28"/>
        <v>No</v>
      </c>
      <c r="K444" s="25" t="str">
        <f t="shared" si="29"/>
        <v/>
      </c>
      <c r="L444" s="25" t="str">
        <f t="shared" si="30"/>
        <v/>
      </c>
      <c r="M444" s="25"/>
      <c r="O444" s="25"/>
    </row>
    <row r="445" ht="15.75" customHeight="1">
      <c r="A445" s="25" t="str">
        <f>IFERROR(__xludf.DUMMYFUNCTION("IF(B445="""","""",RIGHT(REGEXREPLACE(B445&amp;"""",""[^0-9]"",""""),9))"),"770707114")</f>
        <v>770707114</v>
      </c>
      <c r="B445" s="52">
        <v>7.70707114E8</v>
      </c>
      <c r="C445" s="28" t="s">
        <v>599</v>
      </c>
      <c r="D445" s="26" t="s">
        <v>45</v>
      </c>
      <c r="E445" s="31">
        <v>46226.0</v>
      </c>
      <c r="F445" s="26" t="s">
        <v>125</v>
      </c>
      <c r="I445" s="26" t="s">
        <v>42</v>
      </c>
      <c r="J445" s="25" t="str">
        <f t="shared" si="28"/>
        <v>No</v>
      </c>
      <c r="K445" s="25" t="str">
        <f t="shared" si="29"/>
        <v/>
      </c>
      <c r="L445" s="25" t="str">
        <f t="shared" si="30"/>
        <v/>
      </c>
      <c r="M445" s="25"/>
      <c r="O445" s="25"/>
    </row>
    <row r="446" ht="15.75" customHeight="1">
      <c r="A446" s="25" t="str">
        <f>IFERROR(__xludf.DUMMYFUNCTION("IF(B446="""","""",RIGHT(REGEXREPLACE(B446&amp;"""",""[^0-9]"",""""),9))"),"726893988")</f>
        <v>726893988</v>
      </c>
      <c r="B446" s="52">
        <v>9.4726893988E10</v>
      </c>
      <c r="C446" s="28" t="s">
        <v>600</v>
      </c>
      <c r="D446" s="26" t="s">
        <v>29</v>
      </c>
      <c r="E446" s="31">
        <v>46226.0</v>
      </c>
      <c r="F446" s="26" t="s">
        <v>46</v>
      </c>
      <c r="G446" s="26">
        <v>11.0</v>
      </c>
      <c r="I446" s="26" t="s">
        <v>42</v>
      </c>
      <c r="J446" s="25" t="str">
        <f t="shared" si="28"/>
        <v>No</v>
      </c>
      <c r="K446" s="25" t="str">
        <f t="shared" si="29"/>
        <v/>
      </c>
      <c r="L446" s="25" t="str">
        <f t="shared" si="30"/>
        <v/>
      </c>
      <c r="M446" s="25"/>
      <c r="O446" s="25"/>
    </row>
    <row r="447" ht="15.75" customHeight="1">
      <c r="A447" s="25" t="str">
        <f>IFERROR(__xludf.DUMMYFUNCTION("IF(B447="""","""",RIGHT(REGEXREPLACE(B447&amp;"""",""[^0-9]"",""""),9))"),"779169207")</f>
        <v>779169207</v>
      </c>
      <c r="B447" s="52">
        <v>9.4779169207E10</v>
      </c>
      <c r="C447" s="28" t="s">
        <v>601</v>
      </c>
      <c r="D447" s="26" t="s">
        <v>37</v>
      </c>
      <c r="E447" s="31">
        <v>46226.0</v>
      </c>
      <c r="F447" s="26" t="s">
        <v>84</v>
      </c>
      <c r="I447" s="26" t="s">
        <v>42</v>
      </c>
      <c r="J447" s="25" t="str">
        <f t="shared" si="28"/>
        <v>No</v>
      </c>
      <c r="K447" s="25" t="str">
        <f t="shared" si="29"/>
        <v/>
      </c>
      <c r="L447" s="25" t="str">
        <f t="shared" si="30"/>
        <v/>
      </c>
      <c r="M447" s="25"/>
      <c r="O447" s="25"/>
    </row>
    <row r="448" ht="15.75" customHeight="1">
      <c r="A448" s="25" t="str">
        <f>IFERROR(__xludf.DUMMYFUNCTION("IF(B448="""","""",RIGHT(REGEXREPLACE(B448&amp;"""",""[^0-9]"",""""),9))"),"778647036")</f>
        <v>778647036</v>
      </c>
      <c r="B448" s="52">
        <v>9.4778647036E10</v>
      </c>
      <c r="C448" s="28" t="s">
        <v>602</v>
      </c>
      <c r="D448" s="26" t="s">
        <v>37</v>
      </c>
      <c r="E448" s="31">
        <v>46226.0</v>
      </c>
      <c r="F448" s="26" t="s">
        <v>41</v>
      </c>
      <c r="I448" s="26" t="s">
        <v>42</v>
      </c>
      <c r="J448" s="25" t="str">
        <f t="shared" si="28"/>
        <v>No</v>
      </c>
      <c r="K448" s="25" t="str">
        <f t="shared" si="29"/>
        <v/>
      </c>
      <c r="L448" s="25" t="str">
        <f t="shared" si="30"/>
        <v/>
      </c>
      <c r="M448" s="25"/>
      <c r="O448" s="25"/>
    </row>
    <row r="449" ht="15.75" customHeight="1">
      <c r="A449" s="25" t="str">
        <f>IFERROR(__xludf.DUMMYFUNCTION("IF(B449="""","""",RIGHT(REGEXREPLACE(B449&amp;"""",""[^0-9]"",""""),9))"),"742275029")</f>
        <v>742275029</v>
      </c>
      <c r="B449" s="52">
        <v>7.42275029E8</v>
      </c>
      <c r="C449" s="28" t="s">
        <v>603</v>
      </c>
      <c r="D449" s="26" t="s">
        <v>82</v>
      </c>
      <c r="E449" s="31">
        <v>46226.0</v>
      </c>
      <c r="F449" s="26" t="s">
        <v>41</v>
      </c>
      <c r="I449" s="26" t="s">
        <v>42</v>
      </c>
      <c r="J449" s="25" t="str">
        <f t="shared" si="28"/>
        <v>No</v>
      </c>
      <c r="K449" s="25" t="str">
        <f t="shared" si="29"/>
        <v/>
      </c>
      <c r="L449" s="25" t="str">
        <f t="shared" si="30"/>
        <v/>
      </c>
      <c r="M449" s="25"/>
      <c r="O449" s="25"/>
    </row>
    <row r="450" ht="15.75" customHeight="1">
      <c r="A450" s="25" t="str">
        <f>IFERROR(__xludf.DUMMYFUNCTION("IF(B450="""","""",RIGHT(REGEXREPLACE(B450&amp;"""",""[^0-9]"",""""),9))"),"719145037")</f>
        <v>719145037</v>
      </c>
      <c r="B450" s="52">
        <v>7.19145037E8</v>
      </c>
      <c r="C450" s="28" t="s">
        <v>604</v>
      </c>
      <c r="D450" s="26" t="s">
        <v>49</v>
      </c>
      <c r="E450" s="31">
        <v>46226.0</v>
      </c>
      <c r="F450" s="26" t="s">
        <v>46</v>
      </c>
      <c r="G450" s="26">
        <v>11.0</v>
      </c>
      <c r="I450" s="26" t="s">
        <v>42</v>
      </c>
      <c r="J450" s="25" t="str">
        <f t="shared" si="28"/>
        <v>No</v>
      </c>
      <c r="K450" s="25" t="str">
        <f t="shared" si="29"/>
        <v/>
      </c>
      <c r="L450" s="25" t="str">
        <f t="shared" si="30"/>
        <v/>
      </c>
      <c r="M450" s="25"/>
      <c r="O450" s="25"/>
    </row>
    <row r="451" ht="15.75" customHeight="1">
      <c r="A451" s="25" t="str">
        <f>IFERROR(__xludf.DUMMYFUNCTION("IF(B451="""","""",RIGHT(REGEXREPLACE(B451&amp;"""",""[^0-9]"",""""),9))"),"776850249")</f>
        <v>776850249</v>
      </c>
      <c r="B451" s="52">
        <v>7.76850249E8</v>
      </c>
      <c r="C451" s="28" t="s">
        <v>605</v>
      </c>
      <c r="D451" s="26" t="s">
        <v>45</v>
      </c>
      <c r="E451" s="31">
        <v>46226.0</v>
      </c>
      <c r="F451" s="26" t="s">
        <v>46</v>
      </c>
      <c r="G451" s="26">
        <v>11.0</v>
      </c>
      <c r="I451" s="26" t="s">
        <v>42</v>
      </c>
      <c r="J451" s="25" t="str">
        <f t="shared" si="28"/>
        <v>No</v>
      </c>
      <c r="K451" s="25" t="str">
        <f t="shared" si="29"/>
        <v/>
      </c>
      <c r="L451" s="25" t="str">
        <f t="shared" si="30"/>
        <v/>
      </c>
      <c r="M451" s="25"/>
      <c r="O451" s="25"/>
    </row>
    <row r="452" ht="15.75" customHeight="1">
      <c r="A452" s="25" t="str">
        <f>IFERROR(__xludf.DUMMYFUNCTION("IF(B452="""","""",RIGHT(REGEXREPLACE(B452&amp;"""",""[^0-9]"",""""),9))"),"778760848")</f>
        <v>778760848</v>
      </c>
      <c r="B452" s="52">
        <v>9.4778760848E10</v>
      </c>
      <c r="C452" s="28" t="s">
        <v>606</v>
      </c>
      <c r="D452" s="26" t="s">
        <v>37</v>
      </c>
      <c r="E452" s="31">
        <v>46226.0</v>
      </c>
      <c r="F452" s="26" t="s">
        <v>41</v>
      </c>
      <c r="I452" s="26" t="s">
        <v>42</v>
      </c>
      <c r="J452" s="25" t="str">
        <f t="shared" si="28"/>
        <v>No</v>
      </c>
      <c r="K452" s="25" t="str">
        <f t="shared" si="29"/>
        <v/>
      </c>
      <c r="L452" s="25" t="str">
        <f t="shared" si="30"/>
        <v/>
      </c>
      <c r="M452" s="25"/>
      <c r="O452" s="25"/>
    </row>
    <row r="453" ht="15.75" customHeight="1">
      <c r="A453" s="25" t="str">
        <f>IFERROR(__xludf.DUMMYFUNCTION("IF(B453="""","""",RIGHT(REGEXREPLACE(B453&amp;"""",""[^0-9]"",""""),9))"),"711104009")</f>
        <v>711104009</v>
      </c>
      <c r="B453" s="52">
        <v>9.4711104009E10</v>
      </c>
      <c r="C453" s="28" t="s">
        <v>607</v>
      </c>
      <c r="D453" s="26" t="s">
        <v>29</v>
      </c>
      <c r="E453" s="31">
        <v>46226.0</v>
      </c>
      <c r="F453" s="26" t="s">
        <v>205</v>
      </c>
      <c r="I453" s="26" t="s">
        <v>42</v>
      </c>
      <c r="J453" s="25" t="str">
        <f t="shared" si="28"/>
        <v>No</v>
      </c>
      <c r="K453" s="25" t="str">
        <f t="shared" si="29"/>
        <v/>
      </c>
      <c r="L453" s="25" t="str">
        <f t="shared" si="30"/>
        <v/>
      </c>
      <c r="M453" s="25"/>
      <c r="O453" s="25"/>
    </row>
    <row r="454" ht="15.75" customHeight="1">
      <c r="A454" s="25" t="str">
        <f>IFERROR(__xludf.DUMMYFUNCTION("IF(B454="""","""",RIGHT(REGEXREPLACE(B454&amp;"""",""[^0-9]"",""""),9))"),"753349574")</f>
        <v>753349574</v>
      </c>
      <c r="B454" s="52">
        <v>7.53349574E8</v>
      </c>
      <c r="C454" s="28" t="s">
        <v>608</v>
      </c>
      <c r="D454" s="26" t="s">
        <v>56</v>
      </c>
      <c r="E454" s="31">
        <v>46226.0</v>
      </c>
      <c r="F454" s="26" t="s">
        <v>205</v>
      </c>
      <c r="I454" s="26" t="s">
        <v>42</v>
      </c>
      <c r="J454" s="25" t="str">
        <f t="shared" si="28"/>
        <v>No</v>
      </c>
      <c r="K454" s="25" t="str">
        <f t="shared" si="29"/>
        <v/>
      </c>
      <c r="L454" s="25" t="str">
        <f t="shared" si="30"/>
        <v/>
      </c>
      <c r="M454" s="25"/>
      <c r="O454" s="25"/>
    </row>
    <row r="455" ht="15.75" customHeight="1">
      <c r="A455" s="25" t="str">
        <f>IFERROR(__xludf.DUMMYFUNCTION("IF(B455="""","""",RIGHT(REGEXREPLACE(B455&amp;"""",""[^0-9]"",""""),9))"),"714297973")</f>
        <v>714297973</v>
      </c>
      <c r="B455" s="52">
        <v>7.14297973E8</v>
      </c>
      <c r="C455" s="28" t="s">
        <v>609</v>
      </c>
      <c r="D455" s="26" t="s">
        <v>82</v>
      </c>
      <c r="E455" s="31">
        <v>46226.0</v>
      </c>
      <c r="F455" s="26" t="s">
        <v>205</v>
      </c>
      <c r="I455" s="26" t="s">
        <v>42</v>
      </c>
      <c r="J455" s="25" t="str">
        <f t="shared" si="28"/>
        <v>No</v>
      </c>
      <c r="K455" s="25" t="str">
        <f t="shared" si="29"/>
        <v/>
      </c>
      <c r="L455" s="25" t="str">
        <f t="shared" si="30"/>
        <v/>
      </c>
      <c r="M455" s="25"/>
      <c r="O455" s="25"/>
    </row>
    <row r="456" ht="15.75" customHeight="1">
      <c r="A456" s="25" t="str">
        <f>IFERROR(__xludf.DUMMYFUNCTION("IF(B456="""","""",RIGHT(REGEXREPLACE(B456&amp;"""",""[^0-9]"",""""),9))"),"752847157")</f>
        <v>752847157</v>
      </c>
      <c r="B456" s="52">
        <v>9.4752847157E10</v>
      </c>
      <c r="C456" s="28" t="s">
        <v>610</v>
      </c>
      <c r="D456" s="26" t="s">
        <v>37</v>
      </c>
      <c r="E456" s="31">
        <v>46226.0</v>
      </c>
      <c r="F456" s="26" t="s">
        <v>84</v>
      </c>
      <c r="G456" s="26">
        <v>11.0</v>
      </c>
      <c r="H456" s="26" t="s">
        <v>611</v>
      </c>
      <c r="I456" s="26" t="s">
        <v>42</v>
      </c>
      <c r="J456" s="25" t="str">
        <f t="shared" si="28"/>
        <v>No</v>
      </c>
      <c r="K456" s="25" t="str">
        <f t="shared" si="29"/>
        <v/>
      </c>
      <c r="L456" s="25" t="str">
        <f t="shared" si="30"/>
        <v/>
      </c>
      <c r="M456" s="25"/>
      <c r="O456" s="25"/>
    </row>
    <row r="457" ht="15.75" customHeight="1">
      <c r="A457" s="25" t="str">
        <f>IFERROR(__xludf.DUMMYFUNCTION("IF(B457="""","""",RIGHT(REGEXREPLACE(B457&amp;"""",""[^0-9]"",""""),9))"),"714235597")</f>
        <v>714235597</v>
      </c>
      <c r="B457" s="52">
        <v>7.14235597E8</v>
      </c>
      <c r="C457" s="28" t="s">
        <v>612</v>
      </c>
      <c r="D457" s="26" t="s">
        <v>49</v>
      </c>
      <c r="E457" s="31">
        <v>46226.0</v>
      </c>
      <c r="F457" s="26" t="s">
        <v>46</v>
      </c>
      <c r="G457" s="26">
        <v>11.0</v>
      </c>
      <c r="I457" s="26" t="s">
        <v>42</v>
      </c>
      <c r="J457" s="25" t="str">
        <f t="shared" si="28"/>
        <v>No</v>
      </c>
      <c r="K457" s="25" t="str">
        <f t="shared" si="29"/>
        <v/>
      </c>
      <c r="L457" s="25" t="str">
        <f t="shared" si="30"/>
        <v/>
      </c>
      <c r="M457" s="25"/>
      <c r="O457" s="25"/>
    </row>
    <row r="458" ht="15.75" customHeight="1">
      <c r="A458" s="25" t="str">
        <f>IFERROR(__xludf.DUMMYFUNCTION("IF(B458="""","""",RIGHT(REGEXREPLACE(B458&amp;"""",""[^0-9]"",""""),9))"),"750227065")</f>
        <v>750227065</v>
      </c>
      <c r="B458" s="52">
        <v>9.4750227065E10</v>
      </c>
      <c r="C458" s="28" t="s">
        <v>614</v>
      </c>
      <c r="D458" s="26" t="s">
        <v>29</v>
      </c>
      <c r="E458" s="31">
        <v>46226.0</v>
      </c>
      <c r="F458" s="26" t="s">
        <v>41</v>
      </c>
      <c r="I458" s="26" t="s">
        <v>42</v>
      </c>
      <c r="J458" s="25" t="str">
        <f t="shared" si="28"/>
        <v>No</v>
      </c>
      <c r="K458" s="25" t="str">
        <f t="shared" si="29"/>
        <v/>
      </c>
      <c r="L458" s="25" t="str">
        <f t="shared" si="30"/>
        <v/>
      </c>
      <c r="M458" s="25"/>
      <c r="O458" s="25"/>
    </row>
    <row r="459" ht="15.75" customHeight="1">
      <c r="A459" s="25" t="str">
        <f>IFERROR(__xludf.DUMMYFUNCTION("IF(B459="""","""",RIGHT(REGEXREPLACE(B459&amp;"""",""[^0-9]"",""""),9))"),"767032441")</f>
        <v>767032441</v>
      </c>
      <c r="B459" s="52">
        <v>7.67032441E8</v>
      </c>
      <c r="C459" s="28" t="s">
        <v>615</v>
      </c>
      <c r="D459" s="26" t="s">
        <v>56</v>
      </c>
      <c r="E459" s="31">
        <v>46226.0</v>
      </c>
      <c r="F459" s="26" t="s">
        <v>125</v>
      </c>
      <c r="G459" s="26">
        <v>11.0</v>
      </c>
      <c r="I459" s="26" t="s">
        <v>42</v>
      </c>
      <c r="J459" s="25" t="str">
        <f t="shared" si="28"/>
        <v>No</v>
      </c>
      <c r="K459" s="25" t="str">
        <f t="shared" si="29"/>
        <v/>
      </c>
      <c r="L459" s="25" t="str">
        <f t="shared" si="30"/>
        <v/>
      </c>
      <c r="M459" s="25"/>
      <c r="O459" s="25"/>
    </row>
    <row r="460" ht="15.75" customHeight="1">
      <c r="A460" s="25" t="str">
        <f>IFERROR(__xludf.DUMMYFUNCTION("IF(B460="""","""",RIGHT(REGEXREPLACE(B460&amp;"""",""[^0-9]"",""""),9))"),"774200314")</f>
        <v>774200314</v>
      </c>
      <c r="B460" s="52">
        <v>9.4774200314E10</v>
      </c>
      <c r="C460" s="28" t="s">
        <v>616</v>
      </c>
      <c r="D460" s="26" t="s">
        <v>37</v>
      </c>
      <c r="E460" s="31">
        <v>46226.0</v>
      </c>
      <c r="F460" s="26" t="s">
        <v>617</v>
      </c>
      <c r="H460" s="26" t="s">
        <v>618</v>
      </c>
      <c r="I460" s="26" t="s">
        <v>42</v>
      </c>
      <c r="J460" s="25" t="str">
        <f t="shared" si="28"/>
        <v>No</v>
      </c>
      <c r="K460" s="25" t="str">
        <f t="shared" si="29"/>
        <v/>
      </c>
      <c r="L460" s="25" t="str">
        <f t="shared" si="30"/>
        <v/>
      </c>
      <c r="M460" s="25"/>
      <c r="O460" s="25"/>
    </row>
    <row r="461" ht="15.75" customHeight="1">
      <c r="A461" s="25" t="str">
        <f>IFERROR(__xludf.DUMMYFUNCTION("IF(B461="""","""",RIGHT(REGEXREPLACE(B461&amp;"""",""[^0-9]"",""""),9))"),"761368326")</f>
        <v>761368326</v>
      </c>
      <c r="B461" s="52">
        <v>7.61368326E8</v>
      </c>
      <c r="C461" s="28" t="s">
        <v>619</v>
      </c>
      <c r="D461" s="26" t="s">
        <v>45</v>
      </c>
      <c r="E461" s="31">
        <v>46226.0</v>
      </c>
      <c r="F461" s="26" t="s">
        <v>46</v>
      </c>
      <c r="G461" s="26">
        <v>11.0</v>
      </c>
      <c r="I461" s="26" t="s">
        <v>42</v>
      </c>
      <c r="J461" s="25" t="str">
        <f t="shared" si="28"/>
        <v>No</v>
      </c>
      <c r="K461" s="25" t="str">
        <f t="shared" si="29"/>
        <v/>
      </c>
      <c r="L461" s="25" t="str">
        <f t="shared" si="30"/>
        <v/>
      </c>
      <c r="M461" s="25"/>
      <c r="O461" s="25"/>
    </row>
    <row r="462" ht="15.75" customHeight="1">
      <c r="A462" s="25" t="str">
        <f>IFERROR(__xludf.DUMMYFUNCTION("IF(B462="""","""",RIGHT(REGEXREPLACE(B462&amp;"""",""[^0-9]"",""""),9))"),"714563956")</f>
        <v>714563956</v>
      </c>
      <c r="B462" s="52">
        <v>7.14563956E8</v>
      </c>
      <c r="C462" s="28" t="s">
        <v>620</v>
      </c>
      <c r="D462" s="26" t="s">
        <v>49</v>
      </c>
      <c r="E462" s="31">
        <v>46226.0</v>
      </c>
      <c r="F462" s="26" t="s">
        <v>46</v>
      </c>
      <c r="G462" s="26">
        <v>6.0</v>
      </c>
      <c r="I462" s="26" t="s">
        <v>42</v>
      </c>
      <c r="J462" s="25" t="str">
        <f t="shared" si="28"/>
        <v>No</v>
      </c>
      <c r="K462" s="25" t="str">
        <f t="shared" si="29"/>
        <v/>
      </c>
      <c r="L462" s="25" t="str">
        <f t="shared" si="30"/>
        <v/>
      </c>
      <c r="M462" s="25"/>
      <c r="O462" s="25"/>
    </row>
    <row r="463" ht="15.75" customHeight="1">
      <c r="A463" s="25" t="str">
        <f>IFERROR(__xludf.DUMMYFUNCTION("IF(B463="""","""",RIGHT(REGEXREPLACE(B463&amp;"""",""[^0-9]"",""""),9))"),"787164247")</f>
        <v>787164247</v>
      </c>
      <c r="B463" s="52">
        <v>9.4787164247E10</v>
      </c>
      <c r="C463" s="28" t="s">
        <v>621</v>
      </c>
      <c r="D463" s="26" t="s">
        <v>37</v>
      </c>
      <c r="E463" s="31">
        <v>46226.0</v>
      </c>
      <c r="F463" s="26" t="s">
        <v>205</v>
      </c>
      <c r="I463" s="26" t="s">
        <v>42</v>
      </c>
      <c r="J463" s="25" t="str">
        <f t="shared" si="28"/>
        <v>No</v>
      </c>
      <c r="K463" s="25" t="str">
        <f t="shared" si="29"/>
        <v/>
      </c>
      <c r="L463" s="25" t="str">
        <f t="shared" si="30"/>
        <v/>
      </c>
      <c r="M463" s="25"/>
      <c r="O463" s="25"/>
    </row>
    <row r="464" ht="15.75" customHeight="1">
      <c r="A464" s="25" t="str">
        <f>IFERROR(__xludf.DUMMYFUNCTION("IF(B464="""","""",RIGHT(REGEXREPLACE(B464&amp;"""",""[^0-9]"",""""),9))"),"774040016")</f>
        <v>774040016</v>
      </c>
      <c r="B464" s="52">
        <v>7.74040016E8</v>
      </c>
      <c r="C464" s="28" t="s">
        <v>622</v>
      </c>
      <c r="D464" s="26" t="s">
        <v>82</v>
      </c>
      <c r="E464" s="31">
        <v>46226.0</v>
      </c>
      <c r="F464" s="26" t="s">
        <v>46</v>
      </c>
      <c r="G464" s="26">
        <v>11.0</v>
      </c>
      <c r="I464" s="26" t="s">
        <v>42</v>
      </c>
      <c r="J464" s="25" t="str">
        <f t="shared" si="28"/>
        <v>No</v>
      </c>
      <c r="K464" s="25" t="str">
        <f t="shared" si="29"/>
        <v/>
      </c>
      <c r="L464" s="25" t="str">
        <f t="shared" si="30"/>
        <v/>
      </c>
      <c r="M464" s="25"/>
      <c r="O464" s="25"/>
    </row>
    <row r="465" ht="15.75" customHeight="1">
      <c r="A465" s="25" t="str">
        <f>IFERROR(__xludf.DUMMYFUNCTION("IF(B465="""","""",RIGHT(REGEXREPLACE(B465&amp;"""",""[^0-9]"",""""),9))"),"718300939")</f>
        <v>718300939</v>
      </c>
      <c r="B465" s="52">
        <v>7.18300939E8</v>
      </c>
      <c r="C465" s="28" t="s">
        <v>623</v>
      </c>
      <c r="D465" s="26" t="s">
        <v>56</v>
      </c>
      <c r="E465" s="31">
        <v>46226.0</v>
      </c>
      <c r="F465" s="26" t="s">
        <v>41</v>
      </c>
      <c r="G465" s="26">
        <v>10.0</v>
      </c>
      <c r="I465" s="26" t="s">
        <v>42</v>
      </c>
      <c r="J465" s="25" t="str">
        <f t="shared" si="28"/>
        <v>No</v>
      </c>
      <c r="K465" s="25" t="str">
        <f t="shared" si="29"/>
        <v/>
      </c>
      <c r="L465" s="25" t="str">
        <f t="shared" si="30"/>
        <v/>
      </c>
      <c r="M465" s="25"/>
      <c r="O465" s="25"/>
    </row>
    <row r="466" ht="15.75" customHeight="1">
      <c r="A466" s="25" t="str">
        <f>IFERROR(__xludf.DUMMYFUNCTION("IF(B466="""","""",RIGHT(REGEXREPLACE(B466&amp;"""",""[^0-9]"",""""),9))"),"712744217")</f>
        <v>712744217</v>
      </c>
      <c r="B466" s="26">
        <v>7.12744217E8</v>
      </c>
      <c r="C466" s="28" t="s">
        <v>624</v>
      </c>
      <c r="D466" s="26" t="s">
        <v>56</v>
      </c>
      <c r="E466" s="31">
        <v>46226.0</v>
      </c>
      <c r="F466" s="26" t="s">
        <v>125</v>
      </c>
      <c r="G466" s="26">
        <v>10.0</v>
      </c>
      <c r="I466" s="26" t="s">
        <v>42</v>
      </c>
      <c r="J466" s="25" t="str">
        <f t="shared" si="28"/>
        <v>No</v>
      </c>
      <c r="K466" s="25" t="str">
        <f t="shared" si="29"/>
        <v/>
      </c>
      <c r="L466" s="25" t="str">
        <f t="shared" si="30"/>
        <v/>
      </c>
      <c r="M466" s="25"/>
      <c r="O466" s="25"/>
    </row>
    <row r="467" ht="15.75" customHeight="1">
      <c r="A467" s="25" t="str">
        <f>IFERROR(__xludf.DUMMYFUNCTION("IF(B467="""","""",RIGHT(REGEXREPLACE(B467&amp;"""",""[^0-9]"",""""),9))"),"775948574")</f>
        <v>775948574</v>
      </c>
      <c r="B467" s="52">
        <v>7.75948574E8</v>
      </c>
      <c r="C467" s="28" t="s">
        <v>625</v>
      </c>
      <c r="D467" s="26" t="s">
        <v>49</v>
      </c>
      <c r="E467" s="31">
        <v>46226.0</v>
      </c>
      <c r="F467" s="26" t="s">
        <v>46</v>
      </c>
      <c r="G467" s="26">
        <v>11.0</v>
      </c>
      <c r="I467" s="26" t="s">
        <v>42</v>
      </c>
      <c r="J467" s="25" t="str">
        <f t="shared" si="28"/>
        <v>No</v>
      </c>
      <c r="K467" s="25" t="str">
        <f t="shared" si="29"/>
        <v/>
      </c>
      <c r="L467" s="25" t="str">
        <f t="shared" si="30"/>
        <v/>
      </c>
      <c r="M467" s="25"/>
      <c r="O467" s="25"/>
    </row>
    <row r="468" ht="15.75" customHeight="1">
      <c r="A468" s="25" t="str">
        <f>IFERROR(__xludf.DUMMYFUNCTION("IF(B468="""","""",RIGHT(REGEXREPLACE(B468&amp;"""",""[^0-9]"",""""),9))"),"765906507")</f>
        <v>765906507</v>
      </c>
      <c r="B468" s="52">
        <v>9.4765906507E10</v>
      </c>
      <c r="C468" s="28" t="s">
        <v>626</v>
      </c>
      <c r="D468" s="26" t="s">
        <v>37</v>
      </c>
      <c r="E468" s="31">
        <v>46226.0</v>
      </c>
      <c r="F468" s="26" t="s">
        <v>41</v>
      </c>
      <c r="I468" s="26" t="s">
        <v>42</v>
      </c>
      <c r="J468" s="25" t="str">
        <f t="shared" si="28"/>
        <v>No</v>
      </c>
      <c r="K468" s="25" t="str">
        <f t="shared" si="29"/>
        <v/>
      </c>
      <c r="L468" s="25" t="str">
        <f t="shared" si="30"/>
        <v/>
      </c>
      <c r="M468" s="25"/>
      <c r="O468" s="25"/>
    </row>
    <row r="469" ht="15.75" customHeight="1">
      <c r="A469" s="25" t="str">
        <f>IFERROR(__xludf.DUMMYFUNCTION("IF(B469="""","""",RIGHT(REGEXREPLACE(B469&amp;"""",""[^0-9]"",""""),9))"),"713974312")</f>
        <v>713974312</v>
      </c>
      <c r="B469" s="52">
        <v>7.13974312E8</v>
      </c>
      <c r="C469" s="28" t="s">
        <v>627</v>
      </c>
      <c r="D469" s="26" t="s">
        <v>45</v>
      </c>
      <c r="E469" s="31">
        <v>46226.0</v>
      </c>
      <c r="F469" s="26" t="s">
        <v>46</v>
      </c>
      <c r="G469" s="26">
        <v>10.0</v>
      </c>
      <c r="I469" s="26" t="s">
        <v>42</v>
      </c>
      <c r="J469" s="25" t="str">
        <f t="shared" si="28"/>
        <v>No</v>
      </c>
      <c r="K469" s="25" t="str">
        <f t="shared" si="29"/>
        <v/>
      </c>
      <c r="L469" s="25" t="str">
        <f t="shared" si="30"/>
        <v/>
      </c>
      <c r="M469" s="25"/>
      <c r="O469" s="25"/>
    </row>
    <row r="470" ht="15.75" customHeight="1">
      <c r="A470" s="25" t="str">
        <f>IFERROR(__xludf.DUMMYFUNCTION("IF(B470="""","""",RIGHT(REGEXREPLACE(B470&amp;"""",""[^0-9]"",""""),9))"),"716338169")</f>
        <v>716338169</v>
      </c>
      <c r="B470" s="52">
        <v>7.16338169E8</v>
      </c>
      <c r="C470" s="28" t="s">
        <v>629</v>
      </c>
      <c r="D470" s="26" t="s">
        <v>49</v>
      </c>
      <c r="E470" s="31">
        <v>46226.0</v>
      </c>
      <c r="F470" s="26" t="s">
        <v>205</v>
      </c>
      <c r="G470" s="26">
        <v>11.0</v>
      </c>
      <c r="I470" s="26" t="s">
        <v>42</v>
      </c>
      <c r="J470" s="25" t="str">
        <f t="shared" si="28"/>
        <v>No</v>
      </c>
      <c r="K470" s="25" t="str">
        <f t="shared" si="29"/>
        <v/>
      </c>
      <c r="L470" s="25" t="str">
        <f t="shared" si="30"/>
        <v/>
      </c>
      <c r="M470" s="25"/>
      <c r="O470" s="25"/>
    </row>
    <row r="471" ht="15.75" customHeight="1">
      <c r="A471" s="25" t="str">
        <f>IFERROR(__xludf.DUMMYFUNCTION("IF(B471="""","""",RIGHT(REGEXREPLACE(B471&amp;"""",""[^0-9]"",""""),9))"),"761515622")</f>
        <v>761515622</v>
      </c>
      <c r="B471" s="52">
        <v>9.4761515622E10</v>
      </c>
      <c r="C471" s="28" t="s">
        <v>636</v>
      </c>
      <c r="D471" s="26" t="s">
        <v>37</v>
      </c>
      <c r="E471" s="31">
        <v>46226.0</v>
      </c>
      <c r="F471" s="26" t="s">
        <v>41</v>
      </c>
      <c r="I471" s="26" t="s">
        <v>42</v>
      </c>
      <c r="J471" s="25" t="str">
        <f t="shared" si="28"/>
        <v>No</v>
      </c>
      <c r="K471" s="25" t="str">
        <f t="shared" si="29"/>
        <v/>
      </c>
      <c r="L471" s="25" t="str">
        <f t="shared" si="30"/>
        <v/>
      </c>
      <c r="M471" s="25"/>
      <c r="O471" s="25"/>
    </row>
    <row r="472" ht="15.75" customHeight="1">
      <c r="A472" s="25" t="str">
        <f>IFERROR(__xludf.DUMMYFUNCTION("IF(B472="""","""",RIGHT(REGEXREPLACE(B472&amp;"""",""[^0-9]"",""""),9))"),"714433948")</f>
        <v>714433948</v>
      </c>
      <c r="B472" s="52">
        <v>7.14433948E8</v>
      </c>
      <c r="C472" s="28" t="s">
        <v>637</v>
      </c>
      <c r="D472" s="26" t="s">
        <v>82</v>
      </c>
      <c r="E472" s="31">
        <v>46226.0</v>
      </c>
      <c r="F472" s="26" t="s">
        <v>41</v>
      </c>
      <c r="I472" s="26" t="s">
        <v>42</v>
      </c>
      <c r="J472" s="25" t="str">
        <f t="shared" si="28"/>
        <v>No</v>
      </c>
      <c r="K472" s="25" t="str">
        <f t="shared" si="29"/>
        <v/>
      </c>
      <c r="L472" s="25" t="str">
        <f t="shared" si="30"/>
        <v/>
      </c>
      <c r="M472" s="25"/>
      <c r="O472" s="25"/>
    </row>
    <row r="473" ht="15.75" customHeight="1">
      <c r="A473" s="25" t="str">
        <f>IFERROR(__xludf.DUMMYFUNCTION("IF(B473="""","""",RIGHT(REGEXREPLACE(B473&amp;"""",""[^0-9]"",""""),9))"),"777993494")</f>
        <v>777993494</v>
      </c>
      <c r="B473" s="52">
        <v>7.77993494E8</v>
      </c>
      <c r="C473" s="28" t="s">
        <v>638</v>
      </c>
      <c r="D473" s="26" t="s">
        <v>56</v>
      </c>
      <c r="E473" s="31">
        <v>46226.0</v>
      </c>
      <c r="F473" s="26" t="s">
        <v>46</v>
      </c>
      <c r="G473" s="26">
        <v>11.0</v>
      </c>
      <c r="I473" s="26" t="s">
        <v>42</v>
      </c>
      <c r="J473" s="25" t="str">
        <f t="shared" si="28"/>
        <v>No</v>
      </c>
      <c r="K473" s="25" t="str">
        <f t="shared" si="29"/>
        <v/>
      </c>
      <c r="L473" s="25" t="str">
        <f t="shared" si="30"/>
        <v/>
      </c>
      <c r="M473" s="25"/>
      <c r="O473" s="25"/>
    </row>
    <row r="474" ht="15.75" customHeight="1">
      <c r="A474" s="25" t="str">
        <f>IFERROR(__xludf.DUMMYFUNCTION("IF(B474="""","""",RIGHT(REGEXREPLACE(B474&amp;"""",""[^0-9]"",""""),9))"),"705605666")</f>
        <v>705605666</v>
      </c>
      <c r="B474" s="52">
        <v>7.05605666E8</v>
      </c>
      <c r="C474" s="28" t="s">
        <v>639</v>
      </c>
      <c r="D474" s="26" t="s">
        <v>45</v>
      </c>
      <c r="E474" s="31">
        <v>46226.0</v>
      </c>
      <c r="F474" s="26" t="s">
        <v>41</v>
      </c>
      <c r="I474" s="26" t="s">
        <v>42</v>
      </c>
      <c r="J474" s="25" t="str">
        <f t="shared" si="28"/>
        <v>No</v>
      </c>
      <c r="K474" s="25" t="str">
        <f t="shared" si="29"/>
        <v/>
      </c>
      <c r="L474" s="25" t="str">
        <f t="shared" si="30"/>
        <v/>
      </c>
      <c r="M474" s="25"/>
      <c r="O474" s="25"/>
    </row>
    <row r="475" ht="15.75" customHeight="1">
      <c r="A475" s="25" t="str">
        <f>IFERROR(__xludf.DUMMYFUNCTION("IF(B475="""","""",RIGHT(REGEXREPLACE(B475&amp;"""",""[^0-9]"",""""),9))"),"716361471")</f>
        <v>716361471</v>
      </c>
      <c r="B475" s="52">
        <v>7.16361471E8</v>
      </c>
      <c r="C475" s="28" t="s">
        <v>640</v>
      </c>
      <c r="D475" s="26" t="s">
        <v>45</v>
      </c>
      <c r="E475" s="31">
        <v>46226.0</v>
      </c>
      <c r="F475" s="26" t="s">
        <v>46</v>
      </c>
      <c r="G475" s="26">
        <v>11.0</v>
      </c>
      <c r="I475" s="26" t="s">
        <v>42</v>
      </c>
      <c r="J475" s="25" t="str">
        <f t="shared" si="28"/>
        <v>No</v>
      </c>
      <c r="K475" s="25" t="str">
        <f t="shared" si="29"/>
        <v/>
      </c>
      <c r="L475" s="25" t="str">
        <f t="shared" si="30"/>
        <v/>
      </c>
      <c r="M475" s="25"/>
      <c r="O475" s="25"/>
    </row>
    <row r="476" ht="15.75" customHeight="1">
      <c r="A476" s="25" t="str">
        <f>IFERROR(__xludf.DUMMYFUNCTION("IF(B476="""","""",RIGHT(REGEXREPLACE(B476&amp;"""",""[^0-9]"",""""),9))"),"771008110")</f>
        <v>771008110</v>
      </c>
      <c r="B476" s="52">
        <v>9.477100811E10</v>
      </c>
      <c r="C476" s="28" t="s">
        <v>641</v>
      </c>
      <c r="D476" s="26" t="s">
        <v>37</v>
      </c>
      <c r="E476" s="31">
        <v>46226.0</v>
      </c>
      <c r="F476" s="26" t="s">
        <v>46</v>
      </c>
      <c r="G476" s="26">
        <v>11.0</v>
      </c>
      <c r="I476" s="26" t="s">
        <v>42</v>
      </c>
      <c r="J476" s="25" t="str">
        <f t="shared" si="28"/>
        <v>No</v>
      </c>
      <c r="K476" s="25" t="str">
        <f t="shared" si="29"/>
        <v/>
      </c>
      <c r="L476" s="25" t="str">
        <f t="shared" si="30"/>
        <v/>
      </c>
      <c r="M476" s="25"/>
      <c r="O476" s="25"/>
    </row>
    <row r="477" ht="15.75" customHeight="1">
      <c r="A477" s="25" t="str">
        <f>IFERROR(__xludf.DUMMYFUNCTION("IF(B477="""","""",RIGHT(REGEXREPLACE(B477&amp;"""",""[^0-9]"",""""),9))"),"761059088")</f>
        <v>761059088</v>
      </c>
      <c r="B477" s="52">
        <v>7.61059088E8</v>
      </c>
      <c r="C477" s="28" t="s">
        <v>642</v>
      </c>
      <c r="D477" s="26" t="s">
        <v>82</v>
      </c>
      <c r="E477" s="31">
        <v>46226.0</v>
      </c>
      <c r="F477" s="26" t="s">
        <v>46</v>
      </c>
      <c r="G477" s="26">
        <v>11.0</v>
      </c>
      <c r="I477" s="26" t="s">
        <v>42</v>
      </c>
      <c r="J477" s="25" t="str">
        <f t="shared" si="28"/>
        <v>No</v>
      </c>
      <c r="K477" s="25" t="str">
        <f t="shared" si="29"/>
        <v/>
      </c>
      <c r="L477" s="25" t="str">
        <f t="shared" si="30"/>
        <v/>
      </c>
      <c r="M477" s="25"/>
      <c r="O477" s="25"/>
    </row>
    <row r="478" ht="15.75" customHeight="1">
      <c r="A478" s="25" t="str">
        <f>IFERROR(__xludf.DUMMYFUNCTION("IF(B478="""","""",RIGHT(REGEXREPLACE(B478&amp;"""",""[^0-9]"",""""),9))"),"779556690")</f>
        <v>779556690</v>
      </c>
      <c r="B478" s="52">
        <v>7.7955669E8</v>
      </c>
      <c r="C478" s="28" t="s">
        <v>643</v>
      </c>
      <c r="D478" s="26" t="s">
        <v>56</v>
      </c>
      <c r="E478" s="31">
        <v>46227.0</v>
      </c>
      <c r="F478" s="26" t="s">
        <v>41</v>
      </c>
      <c r="G478" s="26">
        <v>11.0</v>
      </c>
      <c r="H478" s="26" t="s">
        <v>644</v>
      </c>
      <c r="I478" s="26" t="s">
        <v>42</v>
      </c>
      <c r="J478" s="25" t="str">
        <f t="shared" si="28"/>
        <v>No</v>
      </c>
      <c r="K478" s="25" t="str">
        <f t="shared" si="29"/>
        <v/>
      </c>
      <c r="L478" s="25" t="str">
        <f t="shared" si="30"/>
        <v/>
      </c>
      <c r="M478" s="25"/>
      <c r="O478" s="25"/>
    </row>
    <row r="479" ht="15.75" customHeight="1">
      <c r="A479" s="25" t="str">
        <f>IFERROR(__xludf.DUMMYFUNCTION("IF(B479="""","""",RIGHT(REGEXREPLACE(B479&amp;"""",""[^0-9]"",""""),9))"),"703615126")</f>
        <v>703615126</v>
      </c>
      <c r="B479" s="52">
        <v>7.03615126E8</v>
      </c>
      <c r="C479" s="28" t="s">
        <v>645</v>
      </c>
      <c r="D479" s="26" t="s">
        <v>49</v>
      </c>
      <c r="E479" s="31">
        <v>46227.0</v>
      </c>
      <c r="F479" s="26" t="s">
        <v>46</v>
      </c>
      <c r="G479" s="26">
        <v>9.0</v>
      </c>
      <c r="H479" s="26" t="s">
        <v>646</v>
      </c>
      <c r="I479" s="26" t="s">
        <v>42</v>
      </c>
      <c r="J479" s="25" t="str">
        <f t="shared" si="28"/>
        <v>No</v>
      </c>
      <c r="K479" s="25" t="str">
        <f t="shared" si="29"/>
        <v/>
      </c>
      <c r="L479" s="25" t="str">
        <f t="shared" si="30"/>
        <v/>
      </c>
      <c r="M479" s="25"/>
      <c r="O479" s="25"/>
    </row>
    <row r="480" ht="15.75" customHeight="1">
      <c r="A480" s="25" t="str">
        <f>IFERROR(__xludf.DUMMYFUNCTION("IF(B480="""","""",RIGHT(REGEXREPLACE(B480&amp;"""",""[^0-9]"",""""),9))"),"720358476")</f>
        <v>720358476</v>
      </c>
      <c r="B480" s="52">
        <v>7.20358476E8</v>
      </c>
      <c r="C480" s="28" t="s">
        <v>647</v>
      </c>
      <c r="D480" s="26" t="s">
        <v>64</v>
      </c>
      <c r="E480" s="31">
        <v>46227.0</v>
      </c>
      <c r="F480" s="26" t="s">
        <v>46</v>
      </c>
      <c r="G480" s="26">
        <v>10.0</v>
      </c>
      <c r="I480" s="26" t="s">
        <v>42</v>
      </c>
      <c r="J480" s="25" t="str">
        <f t="shared" si="28"/>
        <v>No</v>
      </c>
      <c r="K480" s="25" t="str">
        <f t="shared" si="29"/>
        <v/>
      </c>
      <c r="L480" s="25" t="str">
        <f t="shared" si="30"/>
        <v/>
      </c>
      <c r="M480" s="25"/>
      <c r="O480" s="25"/>
    </row>
    <row r="481" ht="15.75" customHeight="1">
      <c r="A481" s="25" t="str">
        <f>IFERROR(__xludf.DUMMYFUNCTION("IF(B481="""","""",RIGHT(REGEXREPLACE(B481&amp;"""",""[^0-9]"",""""),9))"),"762071537")</f>
        <v>762071537</v>
      </c>
      <c r="B481" s="52">
        <v>7.62071537E8</v>
      </c>
      <c r="C481" s="28" t="s">
        <v>648</v>
      </c>
      <c r="D481" s="26" t="s">
        <v>56</v>
      </c>
      <c r="E481" s="31">
        <v>46227.0</v>
      </c>
      <c r="F481" s="26" t="s">
        <v>46</v>
      </c>
      <c r="G481" s="26">
        <v>11.0</v>
      </c>
      <c r="I481" s="26" t="s">
        <v>42</v>
      </c>
      <c r="J481" s="25" t="str">
        <f t="shared" si="28"/>
        <v>No</v>
      </c>
      <c r="K481" s="25" t="str">
        <f t="shared" si="29"/>
        <v/>
      </c>
      <c r="L481" s="25" t="str">
        <f t="shared" si="30"/>
        <v/>
      </c>
      <c r="M481" s="25"/>
      <c r="O481" s="25"/>
    </row>
    <row r="482" ht="15.75" customHeight="1">
      <c r="A482" s="25" t="str">
        <f>IFERROR(__xludf.DUMMYFUNCTION("IF(B482="""","""",RIGHT(REGEXREPLACE(B482&amp;"""",""[^0-9]"",""""),9))"),"782926132")</f>
        <v>782926132</v>
      </c>
      <c r="B482" s="52">
        <v>7.82926132E8</v>
      </c>
      <c r="C482" s="28" t="s">
        <v>649</v>
      </c>
      <c r="D482" s="26" t="s">
        <v>49</v>
      </c>
      <c r="E482" s="31">
        <v>46227.0</v>
      </c>
      <c r="F482" s="26" t="s">
        <v>46</v>
      </c>
      <c r="G482" s="26">
        <v>11.0</v>
      </c>
      <c r="H482" s="26" t="s">
        <v>253</v>
      </c>
      <c r="I482" s="26" t="s">
        <v>42</v>
      </c>
      <c r="J482" s="25" t="str">
        <f t="shared" si="28"/>
        <v>No</v>
      </c>
      <c r="K482" s="25" t="str">
        <f t="shared" si="29"/>
        <v/>
      </c>
      <c r="L482" s="25" t="str">
        <f t="shared" si="30"/>
        <v/>
      </c>
      <c r="M482" s="25"/>
      <c r="O482" s="25"/>
    </row>
    <row r="483" ht="15.75" customHeight="1">
      <c r="A483" s="25" t="str">
        <f>IFERROR(__xludf.DUMMYFUNCTION("IF(B483="""","""",RIGHT(REGEXREPLACE(B483&amp;"""",""[^0-9]"",""""),9))"),"752343649")</f>
        <v>752343649</v>
      </c>
      <c r="B483" s="52">
        <v>7.52343649E8</v>
      </c>
      <c r="C483" s="28" t="s">
        <v>650</v>
      </c>
      <c r="D483" s="26" t="s">
        <v>64</v>
      </c>
      <c r="E483" s="31">
        <v>46227.0</v>
      </c>
      <c r="F483" s="26" t="s">
        <v>46</v>
      </c>
      <c r="G483" s="26">
        <v>11.0</v>
      </c>
      <c r="I483" s="26" t="s">
        <v>42</v>
      </c>
      <c r="J483" s="25" t="str">
        <f t="shared" si="28"/>
        <v>No</v>
      </c>
      <c r="K483" s="25" t="str">
        <f t="shared" si="29"/>
        <v/>
      </c>
      <c r="L483" s="25" t="str">
        <f t="shared" si="30"/>
        <v/>
      </c>
      <c r="M483" s="26" t="s">
        <v>51</v>
      </c>
      <c r="N483" s="26" t="s">
        <v>651</v>
      </c>
      <c r="O483" s="25"/>
    </row>
    <row r="484" ht="15.75" customHeight="1">
      <c r="A484" s="25" t="str">
        <f>IFERROR(__xludf.DUMMYFUNCTION("IF(B484="""","""",RIGHT(REGEXREPLACE(B484&amp;"""",""[^0-9]"",""""),9))"),"712849376")</f>
        <v>712849376</v>
      </c>
      <c r="B484" s="52">
        <v>7.12849376E8</v>
      </c>
      <c r="C484" s="28" t="s">
        <v>652</v>
      </c>
      <c r="D484" s="26" t="s">
        <v>56</v>
      </c>
      <c r="E484" s="31">
        <v>46227.0</v>
      </c>
      <c r="F484" s="26" t="s">
        <v>46</v>
      </c>
      <c r="G484" s="26">
        <v>10.0</v>
      </c>
      <c r="H484" s="26" t="s">
        <v>653</v>
      </c>
      <c r="I484" s="26" t="s">
        <v>42</v>
      </c>
      <c r="J484" s="25" t="str">
        <f t="shared" si="28"/>
        <v>No</v>
      </c>
      <c r="K484" s="25" t="str">
        <f t="shared" si="29"/>
        <v/>
      </c>
      <c r="L484" s="25" t="str">
        <f t="shared" si="30"/>
        <v/>
      </c>
      <c r="M484" s="25"/>
      <c r="O484" s="25"/>
    </row>
    <row r="485" ht="15.75" customHeight="1">
      <c r="A485" s="25" t="str">
        <f>IFERROR(__xludf.DUMMYFUNCTION("IF(B485="""","""",RIGHT(REGEXREPLACE(B485&amp;"""",""[^0-9]"",""""),9))"),"772309296")</f>
        <v>772309296</v>
      </c>
      <c r="B485" s="52">
        <v>7.72309296E8</v>
      </c>
      <c r="C485" s="28" t="s">
        <v>654</v>
      </c>
      <c r="D485" s="26" t="s">
        <v>82</v>
      </c>
      <c r="E485" s="31">
        <v>46227.0</v>
      </c>
      <c r="F485" s="26" t="s">
        <v>46</v>
      </c>
      <c r="G485" s="26">
        <v>11.0</v>
      </c>
      <c r="I485" s="26" t="s">
        <v>42</v>
      </c>
      <c r="J485" s="25" t="str">
        <f t="shared" si="28"/>
        <v>No</v>
      </c>
      <c r="K485" s="25" t="str">
        <f t="shared" si="29"/>
        <v/>
      </c>
      <c r="L485" s="25" t="str">
        <f t="shared" si="30"/>
        <v/>
      </c>
      <c r="M485" s="26" t="s">
        <v>51</v>
      </c>
      <c r="N485" s="26" t="s">
        <v>655</v>
      </c>
      <c r="O485" s="25"/>
    </row>
    <row r="486" ht="15.75" customHeight="1">
      <c r="A486" s="25" t="str">
        <f>IFERROR(__xludf.DUMMYFUNCTION("IF(B486="""","""",RIGHT(REGEXREPLACE(B486&amp;"""",""[^0-9]"",""""),9))"),"701239633")</f>
        <v>701239633</v>
      </c>
      <c r="B486" s="52">
        <v>7.01239633E8</v>
      </c>
      <c r="C486" s="28" t="s">
        <v>656</v>
      </c>
      <c r="D486" s="26" t="s">
        <v>49</v>
      </c>
      <c r="E486" s="31">
        <v>46227.0</v>
      </c>
      <c r="F486" s="26" t="s">
        <v>46</v>
      </c>
      <c r="G486" s="26">
        <v>11.0</v>
      </c>
      <c r="I486" s="26" t="s">
        <v>42</v>
      </c>
      <c r="J486" s="25" t="str">
        <f t="shared" si="28"/>
        <v>No</v>
      </c>
      <c r="K486" s="25" t="str">
        <f t="shared" si="29"/>
        <v/>
      </c>
      <c r="L486" s="25" t="str">
        <f t="shared" si="30"/>
        <v/>
      </c>
      <c r="M486" s="26" t="s">
        <v>51</v>
      </c>
      <c r="N486" s="26" t="s">
        <v>657</v>
      </c>
      <c r="O486" s="25"/>
    </row>
    <row r="487" ht="15.75" customHeight="1">
      <c r="A487" s="25" t="str">
        <f>IFERROR(__xludf.DUMMYFUNCTION("IF(B487="""","""",RIGHT(REGEXREPLACE(B487&amp;"""",""[^0-9]"",""""),9))"),"771984875")</f>
        <v>771984875</v>
      </c>
      <c r="B487" s="52">
        <v>7.71984875E8</v>
      </c>
      <c r="C487" s="28" t="s">
        <v>658</v>
      </c>
      <c r="D487" s="26" t="s">
        <v>82</v>
      </c>
      <c r="E487" s="31">
        <v>46227.0</v>
      </c>
      <c r="F487" s="26" t="s">
        <v>659</v>
      </c>
      <c r="G487" s="26">
        <v>10.0</v>
      </c>
      <c r="I487" s="26" t="s">
        <v>42</v>
      </c>
      <c r="J487" s="25" t="str">
        <f t="shared" si="28"/>
        <v>No</v>
      </c>
      <c r="K487" s="25" t="str">
        <f t="shared" si="29"/>
        <v/>
      </c>
      <c r="L487" s="25" t="str">
        <f t="shared" si="30"/>
        <v/>
      </c>
      <c r="M487" s="25"/>
      <c r="O487" s="25"/>
    </row>
    <row r="488" ht="15.75" customHeight="1">
      <c r="A488" s="25" t="str">
        <f>IFERROR(__xludf.DUMMYFUNCTION("IF(B488="""","""",RIGHT(REGEXREPLACE(B488&amp;"""",""[^0-9]"",""""),9))"),"753239466")</f>
        <v>753239466</v>
      </c>
      <c r="B488" s="52">
        <v>7.53239466E8</v>
      </c>
      <c r="C488" s="28" t="s">
        <v>660</v>
      </c>
      <c r="D488" s="26" t="s">
        <v>56</v>
      </c>
      <c r="E488" s="31">
        <v>46227.0</v>
      </c>
      <c r="F488" s="26" t="s">
        <v>41</v>
      </c>
      <c r="H488" s="26" t="s">
        <v>661</v>
      </c>
      <c r="I488" s="26" t="s">
        <v>42</v>
      </c>
      <c r="J488" s="25" t="str">
        <f t="shared" si="28"/>
        <v>No</v>
      </c>
      <c r="K488" s="25" t="str">
        <f t="shared" si="29"/>
        <v/>
      </c>
      <c r="L488" s="25" t="str">
        <f t="shared" si="30"/>
        <v/>
      </c>
      <c r="M488" s="26" t="s">
        <v>51</v>
      </c>
      <c r="N488" s="26" t="s">
        <v>59</v>
      </c>
      <c r="O488" s="25"/>
    </row>
    <row r="489" ht="15.75" customHeight="1">
      <c r="A489" s="25" t="str">
        <f>IFERROR(__xludf.DUMMYFUNCTION("IF(B489="""","""",RIGHT(REGEXREPLACE(B489&amp;"""",""[^0-9]"",""""),9))"),"717383926")</f>
        <v>717383926</v>
      </c>
      <c r="B489" s="52">
        <v>7.17383926E8</v>
      </c>
      <c r="C489" s="28" t="s">
        <v>662</v>
      </c>
      <c r="D489" s="26" t="s">
        <v>64</v>
      </c>
      <c r="E489" s="31">
        <v>46227.0</v>
      </c>
      <c r="F489" s="26" t="s">
        <v>41</v>
      </c>
      <c r="I489" s="26" t="s">
        <v>42</v>
      </c>
      <c r="J489" s="25" t="str">
        <f t="shared" si="28"/>
        <v>No</v>
      </c>
      <c r="K489" s="25" t="str">
        <f t="shared" si="29"/>
        <v/>
      </c>
      <c r="L489" s="25" t="str">
        <f t="shared" si="30"/>
        <v/>
      </c>
      <c r="M489" s="26" t="s">
        <v>51</v>
      </c>
      <c r="N489" s="26" t="s">
        <v>59</v>
      </c>
      <c r="O489" s="25"/>
    </row>
    <row r="490" ht="15.75" customHeight="1">
      <c r="A490" s="25" t="str">
        <f>IFERROR(__xludf.DUMMYFUNCTION("IF(B490="""","""",RIGHT(REGEXREPLACE(B490&amp;"""",""[^0-9]"",""""),9))"),"753435220")</f>
        <v>753435220</v>
      </c>
      <c r="B490" s="52">
        <v>7.5343522E8</v>
      </c>
      <c r="C490" s="28" t="s">
        <v>663</v>
      </c>
      <c r="D490" s="26" t="s">
        <v>82</v>
      </c>
      <c r="E490" s="31">
        <v>46227.0</v>
      </c>
      <c r="F490" s="26" t="s">
        <v>46</v>
      </c>
      <c r="G490" s="26">
        <v>11.0</v>
      </c>
      <c r="I490" s="26" t="s">
        <v>42</v>
      </c>
      <c r="J490" s="25" t="str">
        <f t="shared" si="28"/>
        <v>No</v>
      </c>
      <c r="K490" s="25" t="str">
        <f t="shared" si="29"/>
        <v/>
      </c>
      <c r="L490" s="25" t="str">
        <f t="shared" si="30"/>
        <v/>
      </c>
      <c r="M490" s="25"/>
      <c r="O490" s="25"/>
    </row>
    <row r="491" ht="15.75" customHeight="1">
      <c r="A491" s="25" t="str">
        <f>IFERROR(__xludf.DUMMYFUNCTION("IF(B491="""","""",RIGHT(REGEXREPLACE(B491&amp;"""",""[^0-9]"",""""),9))"),"702188879")</f>
        <v>702188879</v>
      </c>
      <c r="B491" s="52">
        <v>7.02188879E8</v>
      </c>
      <c r="C491" s="28" t="s">
        <v>664</v>
      </c>
      <c r="D491" s="26" t="s">
        <v>49</v>
      </c>
      <c r="E491" s="31">
        <v>46227.0</v>
      </c>
      <c r="F491" s="26" t="s">
        <v>125</v>
      </c>
      <c r="I491" s="26" t="s">
        <v>42</v>
      </c>
      <c r="J491" s="25" t="str">
        <f t="shared" si="28"/>
        <v>No</v>
      </c>
      <c r="K491" s="25" t="str">
        <f t="shared" si="29"/>
        <v/>
      </c>
      <c r="L491" s="25" t="str">
        <f t="shared" si="30"/>
        <v/>
      </c>
      <c r="M491" s="25"/>
      <c r="O491" s="25"/>
    </row>
    <row r="492" ht="15.75" customHeight="1">
      <c r="A492" s="25" t="str">
        <f>IFERROR(__xludf.DUMMYFUNCTION("IF(B492="""","""",RIGHT(REGEXREPLACE(B492&amp;"""",""[^0-9]"",""""),9))"),"771617046")</f>
        <v>771617046</v>
      </c>
      <c r="B492" s="52">
        <v>7.71617046E8</v>
      </c>
      <c r="C492" s="28" t="s">
        <v>665</v>
      </c>
      <c r="D492" s="26" t="s">
        <v>56</v>
      </c>
      <c r="E492" s="31">
        <v>46227.0</v>
      </c>
      <c r="F492" s="26" t="s">
        <v>46</v>
      </c>
      <c r="G492" s="26">
        <v>10.0</v>
      </c>
      <c r="H492" s="26" t="s">
        <v>666</v>
      </c>
      <c r="I492" s="26" t="s">
        <v>42</v>
      </c>
      <c r="J492" s="25" t="str">
        <f t="shared" si="28"/>
        <v>No</v>
      </c>
      <c r="K492" s="25" t="str">
        <f t="shared" si="29"/>
        <v/>
      </c>
      <c r="L492" s="25" t="str">
        <f t="shared" si="30"/>
        <v/>
      </c>
      <c r="M492" s="25"/>
      <c r="O492" s="25"/>
    </row>
    <row r="493" ht="15.75" customHeight="1">
      <c r="A493" s="25" t="str">
        <f>IFERROR(__xludf.DUMMYFUNCTION("IF(B493="""","""",RIGHT(REGEXREPLACE(B493&amp;"""",""[^0-9]"",""""),9))"),"774463476")</f>
        <v>774463476</v>
      </c>
      <c r="B493" s="52">
        <v>7.74463476E8</v>
      </c>
      <c r="C493" s="28" t="s">
        <v>667</v>
      </c>
      <c r="D493" s="26" t="s">
        <v>49</v>
      </c>
      <c r="E493" s="31">
        <v>46227.0</v>
      </c>
      <c r="F493" s="26" t="s">
        <v>41</v>
      </c>
      <c r="I493" s="26" t="s">
        <v>42</v>
      </c>
      <c r="J493" s="25" t="str">
        <f t="shared" si="28"/>
        <v>No</v>
      </c>
      <c r="K493" s="25" t="str">
        <f t="shared" si="29"/>
        <v/>
      </c>
      <c r="L493" s="25" t="str">
        <f t="shared" si="30"/>
        <v/>
      </c>
      <c r="M493" s="25"/>
      <c r="O493" s="25"/>
    </row>
    <row r="494" ht="15.75" customHeight="1">
      <c r="A494" s="25" t="str">
        <f>IFERROR(__xludf.DUMMYFUNCTION("IF(B494="""","""",RIGHT(REGEXREPLACE(B494&amp;"""",""[^0-9]"",""""),9))"),"767033760")</f>
        <v>767033760</v>
      </c>
      <c r="B494" s="52">
        <v>7.6703376E8</v>
      </c>
      <c r="C494" s="28" t="s">
        <v>668</v>
      </c>
      <c r="D494" s="26" t="s">
        <v>45</v>
      </c>
      <c r="E494" s="31">
        <v>46227.0</v>
      </c>
      <c r="F494" s="26" t="s">
        <v>46</v>
      </c>
      <c r="G494" s="26">
        <v>11.0</v>
      </c>
      <c r="I494" s="26" t="s">
        <v>42</v>
      </c>
      <c r="J494" s="25" t="str">
        <f t="shared" si="28"/>
        <v>No</v>
      </c>
      <c r="K494" s="25" t="str">
        <f t="shared" si="29"/>
        <v/>
      </c>
      <c r="L494" s="25" t="str">
        <f t="shared" si="30"/>
        <v/>
      </c>
      <c r="M494" s="25"/>
      <c r="O494" s="25"/>
    </row>
    <row r="495" ht="15.75" customHeight="1">
      <c r="A495" s="25" t="str">
        <f>IFERROR(__xludf.DUMMYFUNCTION("IF(B495="""","""",RIGHT(REGEXREPLACE(B495&amp;"""",""[^0-9]"",""""),9))"),"783497899")</f>
        <v>783497899</v>
      </c>
      <c r="B495" s="52">
        <v>7.83497899E8</v>
      </c>
      <c r="C495" s="28" t="s">
        <v>669</v>
      </c>
      <c r="D495" s="26" t="s">
        <v>64</v>
      </c>
      <c r="E495" s="31">
        <v>46227.0</v>
      </c>
      <c r="F495" s="26" t="s">
        <v>167</v>
      </c>
      <c r="G495" s="26">
        <v>9.0</v>
      </c>
      <c r="I495" s="26" t="s">
        <v>42</v>
      </c>
      <c r="J495" s="25" t="str">
        <f t="shared" si="28"/>
        <v>No</v>
      </c>
      <c r="K495" s="25" t="str">
        <f t="shared" si="29"/>
        <v/>
      </c>
      <c r="L495" s="25" t="str">
        <f t="shared" si="30"/>
        <v/>
      </c>
      <c r="M495" s="26" t="s">
        <v>51</v>
      </c>
      <c r="N495" s="26" t="s">
        <v>670</v>
      </c>
      <c r="O495" s="25"/>
    </row>
    <row r="496" ht="15.75" customHeight="1">
      <c r="A496" s="25" t="str">
        <f>IFERROR(__xludf.DUMMYFUNCTION("IF(B496="""","""",RIGHT(REGEXREPLACE(B496&amp;"""",""[^0-9]"",""""),9))"),"706459034")</f>
        <v>706459034</v>
      </c>
      <c r="B496" s="26">
        <v>7.06459034E8</v>
      </c>
      <c r="C496" s="28" t="s">
        <v>671</v>
      </c>
      <c r="D496" s="26" t="s">
        <v>37</v>
      </c>
      <c r="E496" s="31">
        <v>46227.0</v>
      </c>
      <c r="F496" s="26" t="s">
        <v>41</v>
      </c>
      <c r="I496" s="26" t="s">
        <v>42</v>
      </c>
      <c r="J496" s="25" t="str">
        <f t="shared" si="28"/>
        <v>No</v>
      </c>
      <c r="K496" s="25" t="str">
        <f t="shared" si="29"/>
        <v/>
      </c>
      <c r="L496" s="25" t="str">
        <f t="shared" si="30"/>
        <v/>
      </c>
      <c r="M496" s="25"/>
      <c r="O496" s="25"/>
    </row>
    <row r="497" ht="15.75" customHeight="1">
      <c r="A497" s="25" t="str">
        <f>IFERROR(__xludf.DUMMYFUNCTION("IF(B497="""","""",RIGHT(REGEXREPLACE(B497&amp;"""",""[^0-9]"",""""),9))"),"715511820")</f>
        <v>715511820</v>
      </c>
      <c r="B497" s="52">
        <v>7.1551182E8</v>
      </c>
      <c r="C497" s="28" t="s">
        <v>277</v>
      </c>
      <c r="D497" s="26" t="s">
        <v>82</v>
      </c>
      <c r="E497" s="31">
        <v>46227.0</v>
      </c>
      <c r="F497" s="26" t="s">
        <v>125</v>
      </c>
      <c r="G497" s="26">
        <v>11.0</v>
      </c>
      <c r="I497" s="26" t="s">
        <v>42</v>
      </c>
      <c r="J497" s="25" t="str">
        <f t="shared" si="28"/>
        <v>Yes - see Previous F-Code</v>
      </c>
      <c r="K497" s="25" t="str">
        <f t="shared" si="29"/>
        <v>DUPLICATE - CHECK</v>
      </c>
      <c r="L497" s="25" t="str">
        <f t="shared" si="30"/>
        <v>F70148</v>
      </c>
      <c r="M497" s="25"/>
      <c r="O497" s="25"/>
    </row>
    <row r="498" ht="15.75" customHeight="1">
      <c r="A498" s="25" t="str">
        <f>IFERROR(__xludf.DUMMYFUNCTION("IF(B498="""","""",RIGHT(REGEXREPLACE(B498&amp;"""",""[^0-9]"",""""),9))"),"742974596")</f>
        <v>742974596</v>
      </c>
      <c r="B498" s="52">
        <v>7.42974596E8</v>
      </c>
      <c r="C498" s="28" t="s">
        <v>672</v>
      </c>
      <c r="D498" s="26" t="s">
        <v>49</v>
      </c>
      <c r="E498" s="31">
        <v>46227.0</v>
      </c>
      <c r="F498" s="26" t="s">
        <v>46</v>
      </c>
      <c r="G498" s="26">
        <v>7.0</v>
      </c>
      <c r="H498" s="26" t="s">
        <v>646</v>
      </c>
      <c r="I498" s="26" t="s">
        <v>42</v>
      </c>
      <c r="J498" s="25" t="str">
        <f t="shared" si="28"/>
        <v>No</v>
      </c>
      <c r="K498" s="25" t="str">
        <f t="shared" si="29"/>
        <v/>
      </c>
      <c r="L498" s="25" t="str">
        <f t="shared" si="30"/>
        <v/>
      </c>
      <c r="M498" s="25"/>
      <c r="O498" s="25"/>
    </row>
    <row r="499" ht="15.75" customHeight="1">
      <c r="A499" s="25" t="str">
        <f>IFERROR(__xludf.DUMMYFUNCTION("IF(B499="""","""",RIGHT(REGEXREPLACE(B499&amp;"""",""[^0-9]"",""""),9))"),"742260910")</f>
        <v>742260910</v>
      </c>
      <c r="B499" s="52">
        <v>7.4226091E8</v>
      </c>
      <c r="C499" s="28" t="s">
        <v>673</v>
      </c>
      <c r="D499" s="26" t="s">
        <v>82</v>
      </c>
      <c r="E499" s="31">
        <v>46227.0</v>
      </c>
      <c r="F499" s="26" t="s">
        <v>46</v>
      </c>
      <c r="I499" s="26" t="s">
        <v>42</v>
      </c>
      <c r="J499" s="25" t="str">
        <f t="shared" si="28"/>
        <v>No</v>
      </c>
      <c r="K499" s="25" t="str">
        <f t="shared" si="29"/>
        <v/>
      </c>
      <c r="L499" s="25" t="str">
        <f t="shared" si="30"/>
        <v/>
      </c>
      <c r="M499" s="25"/>
      <c r="O499" s="25"/>
    </row>
    <row r="500" ht="15.75" customHeight="1">
      <c r="A500" s="25" t="str">
        <f>IFERROR(__xludf.DUMMYFUNCTION("IF(B500="""","""",RIGHT(REGEXREPLACE(B500&amp;"""",""[^0-9]"",""""),9))"),"742837013")</f>
        <v>742837013</v>
      </c>
      <c r="B500" s="52">
        <v>7.42837013E8</v>
      </c>
      <c r="C500" s="28" t="s">
        <v>674</v>
      </c>
      <c r="D500" s="26" t="s">
        <v>56</v>
      </c>
      <c r="E500" s="31">
        <v>46227.0</v>
      </c>
      <c r="F500" s="26" t="s">
        <v>46</v>
      </c>
      <c r="G500" s="26">
        <v>10.0</v>
      </c>
      <c r="H500" s="26" t="s">
        <v>666</v>
      </c>
      <c r="I500" s="26" t="s">
        <v>42</v>
      </c>
      <c r="J500" s="25" t="str">
        <f t="shared" si="28"/>
        <v>No</v>
      </c>
      <c r="K500" s="25" t="str">
        <f t="shared" si="29"/>
        <v/>
      </c>
      <c r="L500" s="25" t="str">
        <f t="shared" si="30"/>
        <v/>
      </c>
      <c r="M500" s="25"/>
      <c r="O500" s="25"/>
    </row>
    <row r="501" ht="15.75" customHeight="1">
      <c r="A501" s="25" t="str">
        <f>IFERROR(__xludf.DUMMYFUNCTION("IF(B501="""","""",RIGHT(REGEXREPLACE(B501&amp;"""",""[^0-9]"",""""),9))"),"713150740")</f>
        <v>713150740</v>
      </c>
      <c r="B501" s="26">
        <v>7.1315074E8</v>
      </c>
      <c r="C501" s="28" t="s">
        <v>675</v>
      </c>
      <c r="D501" s="26" t="s">
        <v>37</v>
      </c>
      <c r="E501" s="31">
        <v>46227.0</v>
      </c>
      <c r="F501" s="26" t="s">
        <v>205</v>
      </c>
      <c r="I501" s="26" t="s">
        <v>42</v>
      </c>
      <c r="J501" s="25" t="str">
        <f t="shared" si="28"/>
        <v>No</v>
      </c>
      <c r="K501" s="25" t="str">
        <f t="shared" si="29"/>
        <v/>
      </c>
      <c r="L501" s="25" t="str">
        <f t="shared" si="30"/>
        <v/>
      </c>
      <c r="M501" s="25"/>
      <c r="O501" s="25"/>
    </row>
    <row r="502" ht="15.75" customHeight="1">
      <c r="A502" s="25" t="str">
        <f>IFERROR(__xludf.DUMMYFUNCTION("IF(B502="""","""",RIGHT(REGEXREPLACE(B502&amp;"""",""[^0-9]"",""""),9))"),"702241127")</f>
        <v>702241127</v>
      </c>
      <c r="B502" s="52">
        <v>7.02241127E8</v>
      </c>
      <c r="C502" s="28" t="s">
        <v>676</v>
      </c>
      <c r="D502" s="26" t="s">
        <v>45</v>
      </c>
      <c r="E502" s="31">
        <v>46227.0</v>
      </c>
      <c r="F502" s="26" t="s">
        <v>205</v>
      </c>
      <c r="G502" s="26">
        <v>10.0</v>
      </c>
      <c r="H502" s="26" t="s">
        <v>677</v>
      </c>
      <c r="I502" s="26" t="s">
        <v>42</v>
      </c>
      <c r="J502" s="25" t="str">
        <f t="shared" si="28"/>
        <v>No</v>
      </c>
      <c r="K502" s="25" t="str">
        <f t="shared" si="29"/>
        <v/>
      </c>
      <c r="L502" s="25" t="str">
        <f t="shared" si="30"/>
        <v/>
      </c>
      <c r="M502" s="25"/>
      <c r="O502" s="25"/>
    </row>
    <row r="503" ht="15.75" customHeight="1">
      <c r="A503" s="25" t="str">
        <f>IFERROR(__xludf.DUMMYFUNCTION("IF(B503="""","""",RIGHT(REGEXREPLACE(B503&amp;"""",""[^0-9]"",""""),9))"),"719779858")</f>
        <v>719779858</v>
      </c>
      <c r="B503" s="52">
        <v>7.19779858E8</v>
      </c>
      <c r="C503" s="28" t="s">
        <v>678</v>
      </c>
      <c r="D503" s="26" t="s">
        <v>64</v>
      </c>
      <c r="E503" s="31">
        <v>46227.0</v>
      </c>
      <c r="F503" s="26" t="s">
        <v>46</v>
      </c>
      <c r="G503" s="26">
        <v>10.0</v>
      </c>
      <c r="I503" s="26" t="s">
        <v>42</v>
      </c>
      <c r="J503" s="25" t="str">
        <f t="shared" si="28"/>
        <v>No</v>
      </c>
      <c r="K503" s="25" t="str">
        <f t="shared" si="29"/>
        <v/>
      </c>
      <c r="L503" s="25" t="str">
        <f t="shared" si="30"/>
        <v/>
      </c>
      <c r="M503" s="26" t="s">
        <v>43</v>
      </c>
      <c r="N503" s="26" t="s">
        <v>61</v>
      </c>
      <c r="O503" s="25"/>
    </row>
    <row r="504" ht="15.75" customHeight="1">
      <c r="A504" s="25" t="str">
        <f>IFERROR(__xludf.DUMMYFUNCTION("IF(B504="""","""",RIGHT(REGEXREPLACE(B504&amp;"""",""[^0-9]"",""""),9))"),"763829582")</f>
        <v>763829582</v>
      </c>
      <c r="B504" s="52">
        <v>7.63829582E8</v>
      </c>
      <c r="C504" s="28" t="s">
        <v>679</v>
      </c>
      <c r="D504" s="26" t="s">
        <v>49</v>
      </c>
      <c r="E504" s="31">
        <v>46227.0</v>
      </c>
      <c r="F504" s="26" t="s">
        <v>84</v>
      </c>
      <c r="H504" s="26" t="s">
        <v>253</v>
      </c>
      <c r="I504" s="26" t="s">
        <v>42</v>
      </c>
      <c r="J504" s="25" t="str">
        <f t="shared" si="28"/>
        <v>No</v>
      </c>
      <c r="K504" s="25" t="str">
        <f t="shared" si="29"/>
        <v/>
      </c>
      <c r="L504" s="25" t="str">
        <f t="shared" si="30"/>
        <v/>
      </c>
      <c r="M504" s="25"/>
      <c r="O504" s="25"/>
    </row>
    <row r="505" ht="15.75" customHeight="1">
      <c r="A505" s="25" t="str">
        <f>IFERROR(__xludf.DUMMYFUNCTION("IF(B505="""","""",RIGHT(REGEXREPLACE(B505&amp;"""",""[^0-9]"",""""),9))"),"760340246")</f>
        <v>760340246</v>
      </c>
      <c r="B505" s="52">
        <v>7.60340246E8</v>
      </c>
      <c r="C505" s="28" t="s">
        <v>680</v>
      </c>
      <c r="D505" s="26" t="s">
        <v>82</v>
      </c>
      <c r="E505" s="31">
        <v>46227.0</v>
      </c>
      <c r="F505" s="26" t="s">
        <v>41</v>
      </c>
      <c r="I505" s="26" t="s">
        <v>42</v>
      </c>
      <c r="J505" s="25" t="str">
        <f t="shared" si="28"/>
        <v>No</v>
      </c>
      <c r="K505" s="25" t="str">
        <f t="shared" si="29"/>
        <v/>
      </c>
      <c r="L505" s="25" t="str">
        <f t="shared" si="30"/>
        <v/>
      </c>
      <c r="M505" s="25"/>
      <c r="O505" s="25"/>
    </row>
    <row r="506" ht="15.75" customHeight="1">
      <c r="A506" s="25" t="str">
        <f>IFERROR(__xludf.DUMMYFUNCTION("IF(B506="""","""",RIGHT(REGEXREPLACE(B506&amp;"""",""[^0-9]"",""""),9))"),"704011922")</f>
        <v>704011922</v>
      </c>
      <c r="B506" s="52">
        <v>7.04011922E8</v>
      </c>
      <c r="C506" s="28" t="s">
        <v>681</v>
      </c>
      <c r="D506" s="26" t="s">
        <v>45</v>
      </c>
      <c r="E506" s="31">
        <v>46227.0</v>
      </c>
      <c r="F506" s="26" t="s">
        <v>46</v>
      </c>
      <c r="G506" s="26">
        <v>9.0</v>
      </c>
      <c r="I506" s="26" t="s">
        <v>42</v>
      </c>
      <c r="J506" s="25" t="str">
        <f t="shared" si="28"/>
        <v>No</v>
      </c>
      <c r="K506" s="25" t="str">
        <f t="shared" si="29"/>
        <v/>
      </c>
      <c r="L506" s="25" t="str">
        <f t="shared" si="30"/>
        <v/>
      </c>
      <c r="M506" s="25"/>
      <c r="O506" s="25"/>
    </row>
    <row r="507" ht="15.75" customHeight="1">
      <c r="A507" s="25" t="str">
        <f>IFERROR(__xludf.DUMMYFUNCTION("IF(B507="""","""",RIGHT(REGEXREPLACE(B507&amp;"""",""[^0-9]"",""""),9))"),"741340108")</f>
        <v>741340108</v>
      </c>
      <c r="B507" s="52">
        <v>7.41340108E8</v>
      </c>
      <c r="C507" s="28" t="s">
        <v>682</v>
      </c>
      <c r="D507" s="26" t="s">
        <v>56</v>
      </c>
      <c r="E507" s="31">
        <v>46227.0</v>
      </c>
      <c r="F507" s="26" t="s">
        <v>125</v>
      </c>
      <c r="I507" s="26" t="s">
        <v>42</v>
      </c>
      <c r="J507" s="25" t="str">
        <f t="shared" si="28"/>
        <v>No</v>
      </c>
      <c r="K507" s="25" t="str">
        <f t="shared" si="29"/>
        <v/>
      </c>
      <c r="L507" s="25" t="str">
        <f t="shared" si="30"/>
        <v/>
      </c>
      <c r="M507" s="25"/>
      <c r="O507" s="25"/>
    </row>
    <row r="508" ht="15.75" customHeight="1">
      <c r="A508" s="25" t="str">
        <f>IFERROR(__xludf.DUMMYFUNCTION("IF(B508="""","""",RIGHT(REGEXREPLACE(B508&amp;"""",""[^0-9]"",""""),9))"),"770402448")</f>
        <v>770402448</v>
      </c>
      <c r="B508" s="52">
        <v>7.70402448E8</v>
      </c>
      <c r="C508" s="28" t="s">
        <v>683</v>
      </c>
      <c r="D508" s="26" t="s">
        <v>49</v>
      </c>
      <c r="E508" s="31">
        <v>46227.0</v>
      </c>
      <c r="F508" s="26" t="s">
        <v>46</v>
      </c>
      <c r="G508" s="26">
        <v>11.0</v>
      </c>
      <c r="I508" s="26" t="s">
        <v>42</v>
      </c>
      <c r="J508" s="25" t="str">
        <f t="shared" si="28"/>
        <v>No</v>
      </c>
      <c r="K508" s="25" t="str">
        <f t="shared" si="29"/>
        <v/>
      </c>
      <c r="L508" s="25" t="str">
        <f t="shared" si="30"/>
        <v/>
      </c>
      <c r="M508" s="25"/>
      <c r="O508" s="25"/>
    </row>
    <row r="509" ht="15.75" customHeight="1">
      <c r="A509" s="25" t="str">
        <f>IFERROR(__xludf.DUMMYFUNCTION("IF(B509="""","""",RIGHT(REGEXREPLACE(B509&amp;"""",""[^0-9]"",""""),9))"),"754474176")</f>
        <v>754474176</v>
      </c>
      <c r="B509" s="52">
        <v>7.54474176E8</v>
      </c>
      <c r="C509" s="28" t="s">
        <v>684</v>
      </c>
      <c r="D509" s="26" t="s">
        <v>64</v>
      </c>
      <c r="E509" s="31">
        <v>46227.0</v>
      </c>
      <c r="F509" s="26" t="s">
        <v>46</v>
      </c>
      <c r="I509" s="26" t="s">
        <v>42</v>
      </c>
      <c r="J509" s="25" t="str">
        <f t="shared" si="28"/>
        <v>No</v>
      </c>
      <c r="K509" s="25" t="str">
        <f t="shared" si="29"/>
        <v/>
      </c>
      <c r="L509" s="25" t="str">
        <f t="shared" si="30"/>
        <v/>
      </c>
      <c r="M509" s="26" t="s">
        <v>51</v>
      </c>
      <c r="N509" s="26" t="s">
        <v>685</v>
      </c>
      <c r="O509" s="25"/>
    </row>
    <row r="510" ht="15.75" customHeight="1">
      <c r="A510" s="25" t="str">
        <f>IFERROR(__xludf.DUMMYFUNCTION("IF(B510="""","""",RIGHT(REGEXREPLACE(B510&amp;"""",""[^0-9]"",""""),9))"),"706241794")</f>
        <v>706241794</v>
      </c>
      <c r="B510" s="52">
        <v>7.06241794E8</v>
      </c>
      <c r="C510" s="28" t="s">
        <v>686</v>
      </c>
      <c r="D510" s="26" t="s">
        <v>82</v>
      </c>
      <c r="E510" s="31">
        <v>46227.0</v>
      </c>
      <c r="F510" s="26" t="s">
        <v>46</v>
      </c>
      <c r="G510" s="96">
        <v>46275.0</v>
      </c>
      <c r="I510" s="26" t="s">
        <v>42</v>
      </c>
      <c r="J510" s="25" t="str">
        <f t="shared" si="28"/>
        <v>No</v>
      </c>
      <c r="K510" s="25" t="str">
        <f t="shared" si="29"/>
        <v/>
      </c>
      <c r="L510" s="25" t="str">
        <f t="shared" si="30"/>
        <v/>
      </c>
      <c r="M510" s="25"/>
      <c r="O510" s="25"/>
    </row>
    <row r="511" ht="15.75" customHeight="1">
      <c r="A511" s="25" t="str">
        <f>IFERROR(__xludf.DUMMYFUNCTION("IF(B511="""","""",RIGHT(REGEXREPLACE(B511&amp;"""",""[^0-9]"",""""),9))"),"712075669")</f>
        <v>712075669</v>
      </c>
      <c r="B511" s="52">
        <v>7.12075669E8</v>
      </c>
      <c r="C511" s="28" t="s">
        <v>687</v>
      </c>
      <c r="D511" s="26" t="s">
        <v>56</v>
      </c>
      <c r="E511" s="31">
        <v>46227.0</v>
      </c>
      <c r="F511" s="26" t="s">
        <v>46</v>
      </c>
      <c r="G511" s="26">
        <v>11.0</v>
      </c>
      <c r="H511" s="26" t="s">
        <v>688</v>
      </c>
      <c r="I511" s="26" t="s">
        <v>42</v>
      </c>
      <c r="J511" s="25" t="str">
        <f t="shared" si="28"/>
        <v>No</v>
      </c>
      <c r="K511" s="25" t="str">
        <f t="shared" si="29"/>
        <v/>
      </c>
      <c r="L511" s="25" t="str">
        <f t="shared" si="30"/>
        <v/>
      </c>
      <c r="M511" s="25"/>
      <c r="O511" s="25"/>
    </row>
    <row r="512" ht="15.75" customHeight="1">
      <c r="A512" s="25" t="str">
        <f>IFERROR(__xludf.DUMMYFUNCTION("IF(B512="""","""",RIGHT(REGEXREPLACE(B512&amp;"""",""[^0-9]"",""""),9))"),"776900455")</f>
        <v>776900455</v>
      </c>
      <c r="B512" s="52">
        <v>7.76900455E8</v>
      </c>
      <c r="C512" s="28" t="s">
        <v>689</v>
      </c>
      <c r="D512" s="26" t="s">
        <v>45</v>
      </c>
      <c r="E512" s="31">
        <v>46227.0</v>
      </c>
      <c r="F512" s="26" t="s">
        <v>41</v>
      </c>
      <c r="G512" s="26">
        <v>11.0</v>
      </c>
      <c r="H512" s="26" t="s">
        <v>677</v>
      </c>
      <c r="I512" s="26" t="s">
        <v>42</v>
      </c>
      <c r="J512" s="25" t="str">
        <f t="shared" si="28"/>
        <v>No</v>
      </c>
      <c r="K512" s="25" t="str">
        <f t="shared" si="29"/>
        <v/>
      </c>
      <c r="L512" s="25" t="str">
        <f t="shared" si="30"/>
        <v/>
      </c>
      <c r="M512" s="25"/>
      <c r="O512" s="25"/>
    </row>
    <row r="513" ht="15.75" customHeight="1">
      <c r="A513" s="25" t="str">
        <f>IFERROR(__xludf.DUMMYFUNCTION("IF(B513="""","""",RIGHT(REGEXREPLACE(B513&amp;"""",""[^0-9]"",""""),9))"),"765750917")</f>
        <v>765750917</v>
      </c>
      <c r="B513" s="26">
        <v>7.65750917E8</v>
      </c>
      <c r="C513" s="28" t="s">
        <v>690</v>
      </c>
      <c r="D513" s="26" t="s">
        <v>37</v>
      </c>
      <c r="E513" s="31">
        <v>46227.0</v>
      </c>
      <c r="F513" s="26" t="s">
        <v>41</v>
      </c>
      <c r="I513" s="26" t="s">
        <v>42</v>
      </c>
      <c r="J513" s="25" t="str">
        <f t="shared" si="28"/>
        <v>No</v>
      </c>
      <c r="K513" s="25" t="str">
        <f t="shared" si="29"/>
        <v/>
      </c>
      <c r="L513" s="25" t="str">
        <f t="shared" si="30"/>
        <v/>
      </c>
      <c r="M513" s="25"/>
      <c r="O513" s="25"/>
    </row>
    <row r="514" ht="15.75" customHeight="1">
      <c r="A514" s="25" t="str">
        <f>IFERROR(__xludf.DUMMYFUNCTION("IF(B514="""","""",RIGHT(REGEXREPLACE(B514&amp;"""",""[^0-9]"",""""),9))"),"752284659")</f>
        <v>752284659</v>
      </c>
      <c r="B514" s="52">
        <v>7.52284659E8</v>
      </c>
      <c r="C514" s="28" t="s">
        <v>691</v>
      </c>
      <c r="D514" s="26" t="s">
        <v>82</v>
      </c>
      <c r="E514" s="31">
        <v>46227.0</v>
      </c>
      <c r="F514" s="26" t="s">
        <v>46</v>
      </c>
      <c r="G514" s="26">
        <v>11.0</v>
      </c>
      <c r="I514" s="26" t="s">
        <v>42</v>
      </c>
      <c r="J514" s="25" t="str">
        <f t="shared" si="28"/>
        <v>No</v>
      </c>
      <c r="K514" s="25" t="str">
        <f t="shared" si="29"/>
        <v/>
      </c>
      <c r="L514" s="25" t="str">
        <f t="shared" si="30"/>
        <v/>
      </c>
      <c r="M514" s="25"/>
      <c r="O514" s="25"/>
    </row>
    <row r="515" ht="15.75" customHeight="1">
      <c r="A515" s="25" t="str">
        <f>IFERROR(__xludf.DUMMYFUNCTION("IF(B515="""","""",RIGHT(REGEXREPLACE(B515&amp;"""",""[^0-9]"",""""),9))"),"710170897")</f>
        <v>710170897</v>
      </c>
      <c r="B515" s="52">
        <v>7.10170897E8</v>
      </c>
      <c r="C515" s="28" t="s">
        <v>692</v>
      </c>
      <c r="D515" s="26" t="s">
        <v>49</v>
      </c>
      <c r="E515" s="31">
        <v>46227.0</v>
      </c>
      <c r="F515" s="26" t="s">
        <v>46</v>
      </c>
      <c r="G515" s="26">
        <v>11.0</v>
      </c>
      <c r="I515" s="26" t="s">
        <v>42</v>
      </c>
      <c r="J515" s="25" t="str">
        <f t="shared" si="28"/>
        <v>No</v>
      </c>
      <c r="K515" s="25" t="str">
        <f t="shared" si="29"/>
        <v/>
      </c>
      <c r="L515" s="25" t="str">
        <f t="shared" si="30"/>
        <v/>
      </c>
      <c r="M515" s="25"/>
      <c r="O515" s="25"/>
    </row>
    <row r="516" ht="15.75" customHeight="1">
      <c r="A516" s="25" t="str">
        <f>IFERROR(__xludf.DUMMYFUNCTION("IF(B516="""","""",RIGHT(REGEXREPLACE(B516&amp;"""",""[^0-9]"",""""),9))"),"762361156")</f>
        <v>762361156</v>
      </c>
      <c r="B516" s="52">
        <v>7.62361156E8</v>
      </c>
      <c r="C516" s="28" t="s">
        <v>693</v>
      </c>
      <c r="D516" s="26" t="s">
        <v>56</v>
      </c>
      <c r="E516" s="31">
        <v>46227.0</v>
      </c>
      <c r="F516" s="26" t="s">
        <v>205</v>
      </c>
      <c r="H516" s="26" t="s">
        <v>661</v>
      </c>
      <c r="I516" s="26" t="s">
        <v>42</v>
      </c>
      <c r="J516" s="25" t="str">
        <f t="shared" si="28"/>
        <v>No</v>
      </c>
      <c r="K516" s="25" t="str">
        <f t="shared" si="29"/>
        <v/>
      </c>
      <c r="L516" s="25" t="str">
        <f t="shared" si="30"/>
        <v/>
      </c>
      <c r="M516" s="25"/>
      <c r="O516" s="25"/>
    </row>
    <row r="517" ht="15.75" customHeight="1">
      <c r="A517" s="25" t="str">
        <f>IFERROR(__xludf.DUMMYFUNCTION("IF(B517="""","""",RIGHT(REGEXREPLACE(B517&amp;"""",""[^0-9]"",""""),9))"),"755526715")</f>
        <v>755526715</v>
      </c>
      <c r="B517" s="26">
        <v>7.55526715E8</v>
      </c>
      <c r="C517" s="28" t="s">
        <v>694</v>
      </c>
      <c r="D517" s="26" t="s">
        <v>37</v>
      </c>
      <c r="E517" s="31">
        <v>46227.0</v>
      </c>
      <c r="F517" s="26" t="s">
        <v>46</v>
      </c>
      <c r="G517" s="26">
        <v>11.0</v>
      </c>
      <c r="I517" s="26" t="s">
        <v>42</v>
      </c>
      <c r="J517" s="25" t="str">
        <f t="shared" si="28"/>
        <v>No</v>
      </c>
      <c r="K517" s="25" t="str">
        <f t="shared" si="29"/>
        <v/>
      </c>
      <c r="L517" s="25" t="str">
        <f t="shared" si="30"/>
        <v/>
      </c>
      <c r="M517" s="25"/>
      <c r="O517" s="25"/>
    </row>
    <row r="518" ht="15.75" customHeight="1">
      <c r="A518" s="25" t="str">
        <f>IFERROR(__xludf.DUMMYFUNCTION("IF(B518="""","""",RIGHT(REGEXREPLACE(B518&amp;"""",""[^0-9]"",""""),9))"),"710100739")</f>
        <v>710100739</v>
      </c>
      <c r="B518" s="52">
        <v>7.10100739E8</v>
      </c>
      <c r="C518" s="28" t="s">
        <v>695</v>
      </c>
      <c r="D518" s="26" t="s">
        <v>82</v>
      </c>
      <c r="E518" s="31">
        <v>46227.0</v>
      </c>
      <c r="F518" s="26" t="s">
        <v>41</v>
      </c>
      <c r="I518" s="26" t="s">
        <v>42</v>
      </c>
      <c r="J518" s="25" t="str">
        <f t="shared" si="28"/>
        <v>No</v>
      </c>
      <c r="K518" s="25" t="str">
        <f t="shared" si="29"/>
        <v/>
      </c>
      <c r="L518" s="25" t="str">
        <f t="shared" si="30"/>
        <v/>
      </c>
      <c r="M518" s="25"/>
      <c r="O518" s="25"/>
    </row>
    <row r="519" ht="15.75" customHeight="1">
      <c r="A519" s="25" t="str">
        <f>IFERROR(__xludf.DUMMYFUNCTION("IF(B519="""","""",RIGHT(REGEXREPLACE(B519&amp;"""",""[^0-9]"",""""),9))"),"724921995")</f>
        <v>724921995</v>
      </c>
      <c r="B519" s="52">
        <v>7.24921995E8</v>
      </c>
      <c r="C519" s="28" t="s">
        <v>696</v>
      </c>
      <c r="D519" s="26" t="s">
        <v>49</v>
      </c>
      <c r="E519" s="31">
        <v>46227.0</v>
      </c>
      <c r="F519" s="26" t="s">
        <v>41</v>
      </c>
      <c r="I519" s="26" t="s">
        <v>42</v>
      </c>
      <c r="J519" s="25" t="str">
        <f t="shared" si="28"/>
        <v>No</v>
      </c>
      <c r="K519" s="25" t="str">
        <f t="shared" si="29"/>
        <v/>
      </c>
      <c r="L519" s="25" t="str">
        <f t="shared" si="30"/>
        <v/>
      </c>
      <c r="M519" s="25"/>
      <c r="O519" s="25"/>
    </row>
    <row r="520" ht="15.75" customHeight="1">
      <c r="A520" s="25" t="str">
        <f>IFERROR(__xludf.DUMMYFUNCTION("IF(B520="""","""",RIGHT(REGEXREPLACE(B520&amp;"""",""[^0-9]"",""""),9))"),"773751921")</f>
        <v>773751921</v>
      </c>
      <c r="B520" s="26">
        <v>7.73751921E8</v>
      </c>
      <c r="C520" s="28" t="s">
        <v>697</v>
      </c>
      <c r="D520" s="26" t="s">
        <v>37</v>
      </c>
      <c r="E520" s="31">
        <v>46227.0</v>
      </c>
      <c r="F520" s="26" t="s">
        <v>46</v>
      </c>
      <c r="G520" s="26">
        <v>11.0</v>
      </c>
      <c r="I520" s="26" t="s">
        <v>42</v>
      </c>
      <c r="J520" s="25" t="str">
        <f t="shared" si="28"/>
        <v>No</v>
      </c>
      <c r="K520" s="25" t="str">
        <f t="shared" si="29"/>
        <v/>
      </c>
      <c r="L520" s="25" t="str">
        <f t="shared" si="30"/>
        <v/>
      </c>
      <c r="M520" s="25"/>
      <c r="O520" s="25"/>
    </row>
    <row r="521" ht="15.75" customHeight="1">
      <c r="A521" s="25" t="str">
        <f>IFERROR(__xludf.DUMMYFUNCTION("IF(B521="""","""",RIGHT(REGEXREPLACE(B521&amp;"""",""[^0-9]"",""""),9))"),"716812585")</f>
        <v>716812585</v>
      </c>
      <c r="B521" s="52">
        <v>7.16812585E8</v>
      </c>
      <c r="C521" s="28" t="s">
        <v>698</v>
      </c>
      <c r="D521" s="26" t="s">
        <v>45</v>
      </c>
      <c r="E521" s="31">
        <v>46227.0</v>
      </c>
      <c r="F521" s="26" t="s">
        <v>46</v>
      </c>
      <c r="G521" s="26">
        <v>11.0</v>
      </c>
      <c r="I521" s="26" t="s">
        <v>42</v>
      </c>
      <c r="J521" s="25" t="str">
        <f t="shared" si="28"/>
        <v>No</v>
      </c>
      <c r="K521" s="25" t="str">
        <f t="shared" si="29"/>
        <v/>
      </c>
      <c r="L521" s="25" t="str">
        <f t="shared" si="30"/>
        <v/>
      </c>
      <c r="M521" s="25"/>
      <c r="O521" s="25"/>
    </row>
    <row r="522" ht="15.75" customHeight="1">
      <c r="A522" s="25" t="str">
        <f>IFERROR(__xludf.DUMMYFUNCTION("IF(B522="""","""",RIGHT(REGEXREPLACE(B522&amp;"""",""[^0-9]"",""""),9))"),"724607607")</f>
        <v>724607607</v>
      </c>
      <c r="B522" s="52">
        <v>7.24607607E8</v>
      </c>
      <c r="C522" s="28" t="s">
        <v>699</v>
      </c>
      <c r="D522" s="26" t="s">
        <v>82</v>
      </c>
      <c r="E522" s="31">
        <v>46227.0</v>
      </c>
      <c r="F522" s="26" t="s">
        <v>205</v>
      </c>
      <c r="I522" s="26" t="s">
        <v>42</v>
      </c>
      <c r="J522" s="25" t="str">
        <f t="shared" si="28"/>
        <v>No</v>
      </c>
      <c r="K522" s="25" t="str">
        <f t="shared" si="29"/>
        <v/>
      </c>
      <c r="L522" s="25" t="str">
        <f t="shared" si="30"/>
        <v/>
      </c>
      <c r="M522" s="25"/>
      <c r="O522" s="25"/>
    </row>
    <row r="523" ht="15.75" customHeight="1">
      <c r="A523" s="25" t="str">
        <f>IFERROR(__xludf.DUMMYFUNCTION("IF(B523="""","""",RIGHT(REGEXREPLACE(B523&amp;"""",""[^0-9]"",""""),9))"),"771252758")</f>
        <v>771252758</v>
      </c>
      <c r="B523" s="52">
        <v>7.71252758E8</v>
      </c>
      <c r="C523" s="28" t="s">
        <v>700</v>
      </c>
      <c r="D523" s="26" t="s">
        <v>56</v>
      </c>
      <c r="E523" s="31">
        <v>46227.0</v>
      </c>
      <c r="F523" s="26" t="s">
        <v>46</v>
      </c>
      <c r="G523" s="26">
        <v>11.0</v>
      </c>
      <c r="H523" s="26" t="s">
        <v>653</v>
      </c>
      <c r="I523" s="26" t="s">
        <v>42</v>
      </c>
      <c r="J523" s="25" t="str">
        <f t="shared" si="28"/>
        <v>No</v>
      </c>
      <c r="K523" s="25" t="str">
        <f t="shared" si="29"/>
        <v/>
      </c>
      <c r="L523" s="25" t="str">
        <f t="shared" si="30"/>
        <v/>
      </c>
      <c r="M523" s="25"/>
      <c r="O523" s="25"/>
    </row>
    <row r="524" ht="15.75" customHeight="1">
      <c r="A524" s="25" t="str">
        <f>IFERROR(__xludf.DUMMYFUNCTION("IF(B524="""","""",RIGHT(REGEXREPLACE(B524&amp;"""",""[^0-9]"",""""),9))"),"761560913")</f>
        <v>761560913</v>
      </c>
      <c r="B524" s="52">
        <v>7.61560913E8</v>
      </c>
      <c r="C524" s="28" t="s">
        <v>701</v>
      </c>
      <c r="D524" s="26" t="s">
        <v>49</v>
      </c>
      <c r="E524" s="31">
        <v>46227.0</v>
      </c>
      <c r="F524" s="26" t="s">
        <v>46</v>
      </c>
      <c r="G524" s="26">
        <v>6.0</v>
      </c>
      <c r="I524" s="26" t="s">
        <v>42</v>
      </c>
      <c r="J524" s="25" t="str">
        <f t="shared" si="28"/>
        <v>No</v>
      </c>
      <c r="K524" s="25" t="str">
        <f t="shared" si="29"/>
        <v/>
      </c>
      <c r="L524" s="25" t="str">
        <f t="shared" si="30"/>
        <v/>
      </c>
      <c r="M524" s="25"/>
      <c r="O524" s="25"/>
    </row>
    <row r="525" ht="15.75" customHeight="1">
      <c r="A525" s="25" t="str">
        <f>IFERROR(__xludf.DUMMYFUNCTION("IF(B525="""","""",RIGHT(REGEXREPLACE(B525&amp;"""",""[^0-9]"",""""),9))"),"713205604")</f>
        <v>713205604</v>
      </c>
      <c r="B525" s="52">
        <v>7.13205604E8</v>
      </c>
      <c r="C525" s="28" t="s">
        <v>702</v>
      </c>
      <c r="D525" s="26" t="s">
        <v>82</v>
      </c>
      <c r="E525" s="31">
        <v>46227.0</v>
      </c>
      <c r="F525" s="26" t="s">
        <v>46</v>
      </c>
      <c r="G525" s="26">
        <v>10.0</v>
      </c>
      <c r="I525" s="26" t="s">
        <v>42</v>
      </c>
      <c r="J525" s="25" t="str">
        <f t="shared" si="28"/>
        <v>No</v>
      </c>
      <c r="K525" s="25" t="str">
        <f t="shared" si="29"/>
        <v/>
      </c>
      <c r="L525" s="25" t="str">
        <f t="shared" si="30"/>
        <v/>
      </c>
      <c r="M525" s="25"/>
      <c r="O525" s="25"/>
    </row>
    <row r="526" ht="15.75" customHeight="1">
      <c r="A526" s="25" t="str">
        <f>IFERROR(__xludf.DUMMYFUNCTION("IF(B526="""","""",RIGHT(REGEXREPLACE(B526&amp;"""",""[^0-9]"",""""),9))"),"719012092")</f>
        <v>719012092</v>
      </c>
      <c r="B526" s="26">
        <v>7.19012092E8</v>
      </c>
      <c r="C526" s="28" t="s">
        <v>703</v>
      </c>
      <c r="D526" s="26" t="s">
        <v>37</v>
      </c>
      <c r="E526" s="31">
        <v>46227.0</v>
      </c>
      <c r="F526" s="26" t="s">
        <v>704</v>
      </c>
      <c r="I526" s="26" t="s">
        <v>42</v>
      </c>
      <c r="J526" s="25" t="str">
        <f t="shared" si="28"/>
        <v>No</v>
      </c>
      <c r="K526" s="25" t="str">
        <f t="shared" si="29"/>
        <v/>
      </c>
      <c r="L526" s="25" t="str">
        <f t="shared" si="30"/>
        <v/>
      </c>
      <c r="M526" s="25"/>
      <c r="O526" s="25"/>
    </row>
    <row r="527" ht="15.75" customHeight="1">
      <c r="A527" s="25" t="str">
        <f>IFERROR(__xludf.DUMMYFUNCTION("IF(B527="""","""",RIGHT(REGEXREPLACE(B527&amp;"""",""[^0-9]"",""""),9))"),"777147617")</f>
        <v>777147617</v>
      </c>
      <c r="B527" s="52">
        <v>7.77147617E8</v>
      </c>
      <c r="C527" s="28" t="s">
        <v>705</v>
      </c>
      <c r="D527" s="26" t="s">
        <v>45</v>
      </c>
      <c r="E527" s="31">
        <v>46227.0</v>
      </c>
      <c r="F527" s="26" t="s">
        <v>205</v>
      </c>
      <c r="G527" s="26">
        <v>11.0</v>
      </c>
      <c r="H527" s="26" t="s">
        <v>706</v>
      </c>
      <c r="I527" s="26" t="s">
        <v>42</v>
      </c>
      <c r="J527" s="25" t="str">
        <f t="shared" si="28"/>
        <v>No</v>
      </c>
      <c r="K527" s="25" t="str">
        <f t="shared" si="29"/>
        <v/>
      </c>
      <c r="L527" s="25" t="str">
        <f t="shared" si="30"/>
        <v/>
      </c>
      <c r="M527" s="25"/>
      <c r="O527" s="25"/>
    </row>
    <row r="528" ht="15.75" customHeight="1">
      <c r="A528" s="25" t="str">
        <f>IFERROR(__xludf.DUMMYFUNCTION("IF(B528="""","""",RIGHT(REGEXREPLACE(B528&amp;"""",""[^0-9]"",""""),9))"),"778726062")</f>
        <v>778726062</v>
      </c>
      <c r="B528" s="52">
        <v>7.78726062E8</v>
      </c>
      <c r="C528" s="28" t="s">
        <v>707</v>
      </c>
      <c r="D528" s="26" t="s">
        <v>45</v>
      </c>
      <c r="E528" s="31">
        <v>46227.0</v>
      </c>
      <c r="F528" s="26" t="s">
        <v>46</v>
      </c>
      <c r="G528" s="26">
        <v>11.0</v>
      </c>
      <c r="I528" s="26" t="s">
        <v>42</v>
      </c>
      <c r="J528" s="25" t="str">
        <f t="shared" si="28"/>
        <v>No</v>
      </c>
      <c r="K528" s="25" t="str">
        <f t="shared" si="29"/>
        <v/>
      </c>
      <c r="L528" s="25" t="str">
        <f t="shared" si="30"/>
        <v/>
      </c>
      <c r="M528" s="25"/>
      <c r="O528" s="25"/>
    </row>
    <row r="529" ht="15.75" customHeight="1">
      <c r="A529" s="25" t="str">
        <f>IFERROR(__xludf.DUMMYFUNCTION("IF(B529="""","""",RIGHT(REGEXREPLACE(B529&amp;"""",""[^0-9]"",""""),9))"),"771772318")</f>
        <v>771772318</v>
      </c>
      <c r="B529" s="52">
        <v>7.71772318E8</v>
      </c>
      <c r="C529" s="28" t="s">
        <v>708</v>
      </c>
      <c r="D529" s="26" t="s">
        <v>49</v>
      </c>
      <c r="E529" s="31">
        <v>46227.0</v>
      </c>
      <c r="F529" s="26" t="s">
        <v>164</v>
      </c>
      <c r="I529" s="26" t="s">
        <v>42</v>
      </c>
      <c r="J529" s="25" t="str">
        <f t="shared" si="28"/>
        <v>No</v>
      </c>
      <c r="K529" s="25" t="str">
        <f t="shared" si="29"/>
        <v/>
      </c>
      <c r="L529" s="25" t="str">
        <f t="shared" si="30"/>
        <v/>
      </c>
      <c r="M529" s="25"/>
      <c r="O529" s="25"/>
    </row>
    <row r="530" ht="15.75" customHeight="1">
      <c r="A530" s="25" t="str">
        <f>IFERROR(__xludf.DUMMYFUNCTION("IF(B530="""","""",RIGHT(REGEXREPLACE(B530&amp;"""",""[^0-9]"",""""),9))"),"703861968")</f>
        <v>703861968</v>
      </c>
      <c r="B530" s="52">
        <v>7.03861968E8</v>
      </c>
      <c r="C530" s="28" t="s">
        <v>709</v>
      </c>
      <c r="D530" s="26" t="s">
        <v>56</v>
      </c>
      <c r="E530" s="31">
        <v>46227.0</v>
      </c>
      <c r="F530" s="26" t="s">
        <v>205</v>
      </c>
      <c r="G530" s="26">
        <v>11.0</v>
      </c>
      <c r="I530" s="26" t="s">
        <v>42</v>
      </c>
      <c r="J530" s="25" t="str">
        <f t="shared" si="28"/>
        <v>No</v>
      </c>
      <c r="K530" s="25" t="str">
        <f t="shared" si="29"/>
        <v/>
      </c>
      <c r="L530" s="25" t="str">
        <f t="shared" si="30"/>
        <v/>
      </c>
      <c r="M530" s="25"/>
      <c r="O530" s="25"/>
    </row>
    <row r="531" ht="15.75" customHeight="1">
      <c r="A531" s="25" t="str">
        <f>IFERROR(__xludf.DUMMYFUNCTION("IF(B531="""","""",RIGHT(REGEXREPLACE(B531&amp;"""",""[^0-9]"",""""),9))"),"767868412")</f>
        <v>767868412</v>
      </c>
      <c r="B531" s="52">
        <v>7.67868412E8</v>
      </c>
      <c r="C531" s="28" t="s">
        <v>710</v>
      </c>
      <c r="D531" s="26" t="s">
        <v>82</v>
      </c>
      <c r="E531" s="31">
        <v>46227.0</v>
      </c>
      <c r="F531" s="26" t="s">
        <v>41</v>
      </c>
      <c r="I531" s="26" t="s">
        <v>42</v>
      </c>
      <c r="J531" s="25" t="str">
        <f t="shared" si="28"/>
        <v>No</v>
      </c>
      <c r="K531" s="25" t="str">
        <f t="shared" si="29"/>
        <v/>
      </c>
      <c r="L531" s="25" t="str">
        <f t="shared" si="30"/>
        <v/>
      </c>
      <c r="M531" s="25"/>
      <c r="O531" s="25"/>
    </row>
    <row r="532" ht="15.75" customHeight="1">
      <c r="A532" s="25" t="str">
        <f>IFERROR(__xludf.DUMMYFUNCTION("IF(B532="""","""",RIGHT(REGEXREPLACE(B532&amp;"""",""[^0-9]"",""""),9))"),"718203104")</f>
        <v>718203104</v>
      </c>
      <c r="B532" s="26">
        <v>7.18203104E8</v>
      </c>
      <c r="C532" s="28" t="s">
        <v>711</v>
      </c>
      <c r="D532" s="26" t="s">
        <v>37</v>
      </c>
      <c r="E532" s="31">
        <v>46227.0</v>
      </c>
      <c r="F532" s="26" t="s">
        <v>41</v>
      </c>
      <c r="I532" s="26" t="s">
        <v>42</v>
      </c>
      <c r="J532" s="25" t="str">
        <f t="shared" si="28"/>
        <v>No</v>
      </c>
      <c r="K532" s="25" t="str">
        <f t="shared" si="29"/>
        <v/>
      </c>
      <c r="L532" s="25" t="str">
        <f t="shared" si="30"/>
        <v/>
      </c>
      <c r="M532" s="25"/>
      <c r="O532" s="25"/>
    </row>
    <row r="533" ht="15.75" customHeight="1">
      <c r="A533" s="25" t="str">
        <f>IFERROR(__xludf.DUMMYFUNCTION("IF(B533="""","""",RIGHT(REGEXREPLACE(B533&amp;"""",""[^0-9]"",""""),9))"),"764126014")</f>
        <v>764126014</v>
      </c>
      <c r="B533" s="52">
        <v>7.64126014E8</v>
      </c>
      <c r="C533" s="28" t="s">
        <v>712</v>
      </c>
      <c r="D533" s="26" t="s">
        <v>49</v>
      </c>
      <c r="E533" s="31">
        <v>46227.0</v>
      </c>
      <c r="F533" s="26" t="s">
        <v>205</v>
      </c>
      <c r="I533" s="26" t="s">
        <v>42</v>
      </c>
      <c r="J533" s="25" t="str">
        <f t="shared" si="28"/>
        <v>No</v>
      </c>
      <c r="K533" s="25" t="str">
        <f t="shared" si="29"/>
        <v/>
      </c>
      <c r="L533" s="25" t="str">
        <f t="shared" si="30"/>
        <v/>
      </c>
      <c r="M533" s="25"/>
      <c r="O533" s="25"/>
    </row>
    <row r="534" ht="15.75" customHeight="1">
      <c r="A534" s="25" t="str">
        <f>IFERROR(__xludf.DUMMYFUNCTION("IF(B534="""","""",RIGHT(REGEXREPLACE(B534&amp;"""",""[^0-9]"",""""),9))"),"702394393")</f>
        <v>702394393</v>
      </c>
      <c r="B534" s="26">
        <v>7.02394393E8</v>
      </c>
      <c r="C534" s="28" t="s">
        <v>713</v>
      </c>
      <c r="D534" s="26" t="s">
        <v>37</v>
      </c>
      <c r="E534" s="31">
        <v>46227.0</v>
      </c>
      <c r="F534" s="26" t="s">
        <v>205</v>
      </c>
      <c r="I534" s="26" t="s">
        <v>42</v>
      </c>
      <c r="J534" s="25" t="str">
        <f t="shared" si="28"/>
        <v>No</v>
      </c>
      <c r="K534" s="25" t="str">
        <f t="shared" si="29"/>
        <v/>
      </c>
      <c r="L534" s="25" t="str">
        <f t="shared" si="30"/>
        <v/>
      </c>
      <c r="M534" s="25"/>
      <c r="O534" s="25"/>
    </row>
    <row r="535" ht="15.75" customHeight="1">
      <c r="A535" s="25" t="str">
        <f>IFERROR(__xludf.DUMMYFUNCTION("IF(B535="""","""",RIGHT(REGEXREPLACE(B535&amp;"""",""[^0-9]"",""""),9))"),"710346663")</f>
        <v>710346663</v>
      </c>
      <c r="B535" s="52">
        <v>7.10346663E8</v>
      </c>
      <c r="C535" s="28" t="s">
        <v>714</v>
      </c>
      <c r="D535" s="26" t="s">
        <v>56</v>
      </c>
      <c r="E535" s="31">
        <v>46227.0</v>
      </c>
      <c r="F535" s="26" t="s">
        <v>46</v>
      </c>
      <c r="G535" s="26">
        <v>11.0</v>
      </c>
      <c r="H535" s="26" t="s">
        <v>688</v>
      </c>
      <c r="I535" s="26" t="s">
        <v>42</v>
      </c>
      <c r="J535" s="25" t="str">
        <f t="shared" si="28"/>
        <v>No</v>
      </c>
      <c r="K535" s="25" t="str">
        <f t="shared" si="29"/>
        <v/>
      </c>
      <c r="L535" s="25" t="str">
        <f t="shared" si="30"/>
        <v/>
      </c>
      <c r="M535" s="25"/>
      <c r="O535" s="25"/>
    </row>
    <row r="536" ht="15.75" customHeight="1">
      <c r="A536" s="25" t="str">
        <f>IFERROR(__xludf.DUMMYFUNCTION("IF(B536="""","""",RIGHT(REGEXREPLACE(B536&amp;"""",""[^0-9]"",""""),9))"),"759772122")</f>
        <v>759772122</v>
      </c>
      <c r="B536" s="52">
        <v>7.59772122E8</v>
      </c>
      <c r="C536" s="28" t="s">
        <v>715</v>
      </c>
      <c r="D536" s="26" t="s">
        <v>82</v>
      </c>
      <c r="E536" s="31">
        <v>46227.0</v>
      </c>
      <c r="F536" s="26" t="s">
        <v>41</v>
      </c>
      <c r="G536" s="26">
        <v>11.0</v>
      </c>
      <c r="I536" s="26" t="s">
        <v>42</v>
      </c>
      <c r="J536" s="25" t="str">
        <f t="shared" si="28"/>
        <v>No</v>
      </c>
      <c r="K536" s="25" t="str">
        <f t="shared" si="29"/>
        <v/>
      </c>
      <c r="L536" s="25" t="str">
        <f t="shared" si="30"/>
        <v/>
      </c>
      <c r="M536" s="25"/>
      <c r="O536" s="25"/>
    </row>
    <row r="537" ht="15.75" customHeight="1">
      <c r="A537" s="25" t="str">
        <f>IFERROR(__xludf.DUMMYFUNCTION("IF(B537="""","""",RIGHT(REGEXREPLACE(B537&amp;"""",""[^0-9]"",""""),9))"),"765769272")</f>
        <v>765769272</v>
      </c>
      <c r="B537" s="26">
        <v>7.65769272E8</v>
      </c>
      <c r="C537" s="28" t="s">
        <v>716</v>
      </c>
      <c r="D537" s="26" t="s">
        <v>37</v>
      </c>
      <c r="E537" s="31">
        <v>46227.0</v>
      </c>
      <c r="F537" s="26" t="s">
        <v>41</v>
      </c>
      <c r="I537" s="26" t="s">
        <v>42</v>
      </c>
      <c r="J537" s="25" t="str">
        <f t="shared" si="28"/>
        <v>No</v>
      </c>
      <c r="K537" s="25" t="str">
        <f t="shared" si="29"/>
        <v/>
      </c>
      <c r="L537" s="25" t="str">
        <f t="shared" si="30"/>
        <v/>
      </c>
      <c r="M537" s="25"/>
      <c r="O537" s="25"/>
    </row>
    <row r="538" ht="15.75" customHeight="1">
      <c r="A538" s="25" t="str">
        <f>IFERROR(__xludf.DUMMYFUNCTION("IF(B538="""","""",RIGHT(REGEXREPLACE(B538&amp;"""",""[^0-9]"",""""),9))"),"786573859")</f>
        <v>786573859</v>
      </c>
      <c r="B538" s="26">
        <v>7.86573859E8</v>
      </c>
      <c r="C538" s="28" t="s">
        <v>717</v>
      </c>
      <c r="D538" s="26" t="s">
        <v>37</v>
      </c>
      <c r="E538" s="31">
        <v>46227.0</v>
      </c>
      <c r="F538" s="26" t="s">
        <v>164</v>
      </c>
      <c r="I538" s="26" t="s">
        <v>42</v>
      </c>
      <c r="J538" s="25" t="str">
        <f t="shared" si="28"/>
        <v>No</v>
      </c>
      <c r="K538" s="25" t="str">
        <f t="shared" si="29"/>
        <v/>
      </c>
      <c r="L538" s="25" t="str">
        <f t="shared" si="30"/>
        <v/>
      </c>
      <c r="M538" s="25"/>
      <c r="O538" s="25"/>
    </row>
    <row r="539" ht="15.75" customHeight="1">
      <c r="A539" s="25" t="str">
        <f>IFERROR(__xludf.DUMMYFUNCTION("IF(B539="""","""",RIGHT(REGEXREPLACE(B539&amp;"""",""[^0-9]"",""""),9))"),"783465213")</f>
        <v>783465213</v>
      </c>
      <c r="B539" s="52">
        <v>7.83465213E8</v>
      </c>
      <c r="C539" s="28" t="s">
        <v>718</v>
      </c>
      <c r="D539" s="26" t="s">
        <v>49</v>
      </c>
      <c r="E539" s="31">
        <v>46227.0</v>
      </c>
      <c r="F539" s="26" t="s">
        <v>46</v>
      </c>
      <c r="G539" s="26">
        <v>11.0</v>
      </c>
      <c r="I539" s="26" t="s">
        <v>42</v>
      </c>
      <c r="J539" s="25" t="str">
        <f t="shared" si="28"/>
        <v>No</v>
      </c>
      <c r="K539" s="25" t="str">
        <f t="shared" si="29"/>
        <v/>
      </c>
      <c r="L539" s="25" t="str">
        <f t="shared" si="30"/>
        <v/>
      </c>
      <c r="M539" s="25"/>
      <c r="O539" s="25"/>
    </row>
    <row r="540" ht="15.75" customHeight="1">
      <c r="A540" s="25" t="str">
        <f>IFERROR(__xludf.DUMMYFUNCTION("IF(B540="""","""",RIGHT(REGEXREPLACE(B540&amp;"""",""[^0-9]"",""""),9))"),"779448268")</f>
        <v>779448268</v>
      </c>
      <c r="B540" s="52">
        <v>7.79448268E8</v>
      </c>
      <c r="C540" s="28" t="s">
        <v>719</v>
      </c>
      <c r="D540" s="26" t="s">
        <v>45</v>
      </c>
      <c r="E540" s="31">
        <v>46227.0</v>
      </c>
      <c r="F540" s="26" t="s">
        <v>46</v>
      </c>
      <c r="G540" s="26">
        <v>10.0</v>
      </c>
      <c r="H540" s="26" t="s">
        <v>720</v>
      </c>
      <c r="I540" s="26" t="s">
        <v>42</v>
      </c>
      <c r="J540" s="25" t="str">
        <f t="shared" si="28"/>
        <v>No</v>
      </c>
      <c r="K540" s="25" t="str">
        <f t="shared" si="29"/>
        <v/>
      </c>
      <c r="L540" s="25" t="str">
        <f t="shared" si="30"/>
        <v/>
      </c>
      <c r="M540" s="25"/>
      <c r="O540" s="25"/>
    </row>
    <row r="541" ht="15.75" customHeight="1">
      <c r="A541" s="25" t="str">
        <f>IFERROR(__xludf.DUMMYFUNCTION("IF(B541="""","""",RIGHT(REGEXREPLACE(B541&amp;"""",""[^0-9]"",""""),9))"),"703253905")</f>
        <v>703253905</v>
      </c>
      <c r="B541" s="52">
        <v>7.03253905E8</v>
      </c>
      <c r="C541" s="28" t="s">
        <v>721</v>
      </c>
      <c r="D541" s="26" t="s">
        <v>82</v>
      </c>
      <c r="E541" s="31">
        <v>46227.0</v>
      </c>
      <c r="F541" s="26" t="s">
        <v>205</v>
      </c>
      <c r="I541" s="26" t="s">
        <v>42</v>
      </c>
      <c r="J541" s="25" t="str">
        <f t="shared" si="28"/>
        <v>No</v>
      </c>
      <c r="K541" s="25" t="str">
        <f t="shared" si="29"/>
        <v/>
      </c>
      <c r="L541" s="25" t="str">
        <f t="shared" si="30"/>
        <v/>
      </c>
      <c r="M541" s="25"/>
      <c r="O541" s="25"/>
    </row>
    <row r="542" ht="15.75" customHeight="1">
      <c r="A542" s="25" t="str">
        <f>IFERROR(__xludf.DUMMYFUNCTION("IF(B542="""","""",RIGHT(REGEXREPLACE(B542&amp;"""",""[^0-9]"",""""),9))"),"767217814")</f>
        <v>767217814</v>
      </c>
      <c r="B542" s="26">
        <v>7.67217814E8</v>
      </c>
      <c r="C542" s="28" t="s">
        <v>722</v>
      </c>
      <c r="D542" s="26" t="s">
        <v>37</v>
      </c>
      <c r="E542" s="31">
        <v>46227.0</v>
      </c>
      <c r="F542" s="26" t="s">
        <v>205</v>
      </c>
      <c r="I542" s="26" t="s">
        <v>42</v>
      </c>
      <c r="J542" s="25" t="str">
        <f t="shared" si="28"/>
        <v>No</v>
      </c>
      <c r="K542" s="25" t="str">
        <f t="shared" si="29"/>
        <v/>
      </c>
      <c r="L542" s="25" t="str">
        <f t="shared" si="30"/>
        <v/>
      </c>
      <c r="M542" s="25"/>
      <c r="O542" s="25"/>
    </row>
    <row r="543" ht="15.75" customHeight="1">
      <c r="A543" s="25" t="str">
        <f>IFERROR(__xludf.DUMMYFUNCTION("IF(B543="""","""",RIGHT(REGEXREPLACE(B543&amp;"""",""[^0-9]"",""""),9))"),"763533015")</f>
        <v>763533015</v>
      </c>
      <c r="B543" s="52">
        <v>7.63533015E8</v>
      </c>
      <c r="C543" s="28" t="s">
        <v>292</v>
      </c>
      <c r="D543" s="26" t="s">
        <v>64</v>
      </c>
      <c r="E543" s="31">
        <v>46227.0</v>
      </c>
      <c r="F543" s="26" t="s">
        <v>46</v>
      </c>
      <c r="G543" s="26">
        <v>11.0</v>
      </c>
      <c r="I543" s="26" t="s">
        <v>42</v>
      </c>
      <c r="J543" s="25" t="str">
        <f t="shared" si="28"/>
        <v>Yes - see Previous F-Code</v>
      </c>
      <c r="K543" s="25" t="str">
        <f t="shared" si="29"/>
        <v>DUPLICATE - CHECK</v>
      </c>
      <c r="L543" s="25" t="str">
        <f t="shared" si="30"/>
        <v>F70157</v>
      </c>
      <c r="M543" s="26" t="s">
        <v>51</v>
      </c>
      <c r="N543" s="26" t="s">
        <v>655</v>
      </c>
      <c r="O543" s="25"/>
    </row>
    <row r="544" ht="15.75" customHeight="1">
      <c r="A544" s="25" t="str">
        <f>IFERROR(__xludf.DUMMYFUNCTION("IF(B544="""","""",RIGHT(REGEXREPLACE(B544&amp;"""",""[^0-9]"",""""),9))"),"741802751")</f>
        <v>741802751</v>
      </c>
      <c r="B544" s="52">
        <v>7.41802751E8</v>
      </c>
      <c r="C544" s="28" t="s">
        <v>723</v>
      </c>
      <c r="D544" s="26" t="s">
        <v>82</v>
      </c>
      <c r="E544" s="31">
        <v>46227.0</v>
      </c>
      <c r="F544" s="26" t="s">
        <v>46</v>
      </c>
      <c r="G544" s="26">
        <v>11.0</v>
      </c>
      <c r="I544" s="26" t="s">
        <v>42</v>
      </c>
      <c r="J544" s="25" t="str">
        <f t="shared" si="28"/>
        <v>No</v>
      </c>
      <c r="K544" s="25" t="str">
        <f t="shared" si="29"/>
        <v/>
      </c>
      <c r="L544" s="25" t="str">
        <f t="shared" si="30"/>
        <v/>
      </c>
      <c r="M544" s="25"/>
      <c r="O544" s="25"/>
    </row>
    <row r="545" ht="15.75" customHeight="1">
      <c r="A545" s="25" t="str">
        <f>IFERROR(__xludf.DUMMYFUNCTION("IF(B545="""","""",RIGHT(REGEXREPLACE(B545&amp;"""",""[^0-9]"",""""),9))"),"765911053")</f>
        <v>765911053</v>
      </c>
      <c r="B545" s="52">
        <v>7.65911053E8</v>
      </c>
      <c r="C545" s="28" t="s">
        <v>724</v>
      </c>
      <c r="D545" s="26" t="s">
        <v>56</v>
      </c>
      <c r="E545" s="31">
        <v>46227.0</v>
      </c>
      <c r="F545" s="26" t="s">
        <v>46</v>
      </c>
      <c r="G545" s="26">
        <v>11.0</v>
      </c>
      <c r="H545" s="26" t="s">
        <v>725</v>
      </c>
      <c r="I545" s="26" t="s">
        <v>42</v>
      </c>
      <c r="J545" s="25" t="str">
        <f t="shared" si="28"/>
        <v>No</v>
      </c>
      <c r="K545" s="25" t="str">
        <f t="shared" si="29"/>
        <v/>
      </c>
      <c r="L545" s="25" t="str">
        <f t="shared" si="30"/>
        <v/>
      </c>
      <c r="M545" s="25"/>
      <c r="O545" s="25"/>
    </row>
    <row r="546" ht="15.75" customHeight="1">
      <c r="A546" s="25" t="str">
        <f>IFERROR(__xludf.DUMMYFUNCTION("IF(B546="""","""",RIGHT(REGEXREPLACE(B546&amp;"""",""[^0-9]"",""""),9))"),"767744534")</f>
        <v>767744534</v>
      </c>
      <c r="B546" s="52">
        <v>7.67744534E8</v>
      </c>
      <c r="C546" s="28" t="s">
        <v>726</v>
      </c>
      <c r="D546" s="26" t="s">
        <v>49</v>
      </c>
      <c r="E546" s="31">
        <v>46227.0</v>
      </c>
      <c r="F546" s="26" t="s">
        <v>41</v>
      </c>
      <c r="I546" s="26" t="s">
        <v>42</v>
      </c>
      <c r="J546" s="25" t="str">
        <f t="shared" si="28"/>
        <v>No</v>
      </c>
      <c r="K546" s="25" t="str">
        <f t="shared" si="29"/>
        <v/>
      </c>
      <c r="L546" s="25" t="str">
        <f t="shared" si="30"/>
        <v/>
      </c>
      <c r="M546" s="25"/>
      <c r="O546" s="25"/>
    </row>
    <row r="547" ht="15.75" customHeight="1">
      <c r="A547" s="25" t="str">
        <f>IFERROR(__xludf.DUMMYFUNCTION("IF(B547="""","""",RIGHT(REGEXREPLACE(B547&amp;"""",""[^0-9]"",""""),9))"),"763018197")</f>
        <v>763018197</v>
      </c>
      <c r="B547" s="52">
        <v>7.63018197E8</v>
      </c>
      <c r="C547" s="28" t="s">
        <v>727</v>
      </c>
      <c r="D547" s="26" t="s">
        <v>64</v>
      </c>
      <c r="E547" s="31">
        <v>46227.0</v>
      </c>
      <c r="F547" s="26" t="s">
        <v>46</v>
      </c>
      <c r="G547" s="26">
        <v>11.0</v>
      </c>
      <c r="I547" s="26" t="s">
        <v>42</v>
      </c>
      <c r="J547" s="25" t="str">
        <f t="shared" si="28"/>
        <v>No</v>
      </c>
      <c r="K547" s="25" t="str">
        <f t="shared" si="29"/>
        <v/>
      </c>
      <c r="L547" s="25" t="str">
        <f t="shared" si="30"/>
        <v/>
      </c>
      <c r="M547" s="26" t="s">
        <v>51</v>
      </c>
      <c r="N547" s="26" t="s">
        <v>655</v>
      </c>
      <c r="O547" s="25"/>
    </row>
    <row r="548" ht="15.75" customHeight="1">
      <c r="A548" s="25" t="str">
        <f>IFERROR(__xludf.DUMMYFUNCTION("IF(B548="""","""",RIGHT(REGEXREPLACE(B548&amp;"""",""[^0-9]"",""""),9))"),"701477470")</f>
        <v>701477470</v>
      </c>
      <c r="B548" s="52">
        <v>7.0147747E8</v>
      </c>
      <c r="C548" s="28" t="s">
        <v>728</v>
      </c>
      <c r="D548" s="26" t="s">
        <v>45</v>
      </c>
      <c r="E548" s="31">
        <v>46227.0</v>
      </c>
      <c r="F548" s="26" t="s">
        <v>46</v>
      </c>
      <c r="G548" s="26">
        <v>11.0</v>
      </c>
      <c r="I548" s="26" t="s">
        <v>42</v>
      </c>
      <c r="J548" s="25" t="str">
        <f t="shared" si="28"/>
        <v>No</v>
      </c>
      <c r="K548" s="25" t="str">
        <f t="shared" si="29"/>
        <v/>
      </c>
      <c r="L548" s="25" t="str">
        <f t="shared" si="30"/>
        <v/>
      </c>
      <c r="M548" s="25"/>
      <c r="O548" s="25"/>
    </row>
    <row r="549" ht="15.75" customHeight="1">
      <c r="A549" s="25" t="str">
        <f>IFERROR(__xludf.DUMMYFUNCTION("IF(B549="""","""",RIGHT(REGEXREPLACE(B549&amp;"""",""[^0-9]"",""""),9))"),"740602447")</f>
        <v>740602447</v>
      </c>
      <c r="B549" s="52">
        <v>7.40602447E8</v>
      </c>
      <c r="C549" s="28" t="s">
        <v>729</v>
      </c>
      <c r="D549" s="26" t="s">
        <v>49</v>
      </c>
      <c r="E549" s="31">
        <v>46227.0</v>
      </c>
      <c r="F549" s="26" t="s">
        <v>46</v>
      </c>
      <c r="G549" s="26">
        <v>11.0</v>
      </c>
      <c r="I549" s="26" t="s">
        <v>42</v>
      </c>
      <c r="J549" s="25" t="str">
        <f t="shared" si="28"/>
        <v>No</v>
      </c>
      <c r="K549" s="25" t="str">
        <f t="shared" si="29"/>
        <v/>
      </c>
      <c r="L549" s="25" t="str">
        <f t="shared" si="30"/>
        <v/>
      </c>
      <c r="M549" s="25"/>
      <c r="O549" s="25"/>
    </row>
    <row r="550" ht="15.75" customHeight="1">
      <c r="A550" s="25" t="str">
        <f>IFERROR(__xludf.DUMMYFUNCTION("IF(B550="""","""",RIGHT(REGEXREPLACE(B550&amp;"""",""[^0-9]"",""""),9))"),"740535883")</f>
        <v>740535883</v>
      </c>
      <c r="B550" s="52">
        <v>7.40535883E8</v>
      </c>
      <c r="C550" s="28" t="s">
        <v>730</v>
      </c>
      <c r="D550" s="26" t="s">
        <v>82</v>
      </c>
      <c r="E550" s="31">
        <v>46227.0</v>
      </c>
      <c r="F550" s="26" t="s">
        <v>41</v>
      </c>
      <c r="G550" s="26">
        <v>9.0</v>
      </c>
      <c r="I550" s="26" t="s">
        <v>42</v>
      </c>
      <c r="J550" s="25" t="str">
        <f t="shared" si="28"/>
        <v>No</v>
      </c>
      <c r="K550" s="25" t="str">
        <f t="shared" si="29"/>
        <v/>
      </c>
      <c r="L550" s="25" t="str">
        <f t="shared" si="30"/>
        <v/>
      </c>
      <c r="M550" s="25"/>
      <c r="O550" s="25"/>
    </row>
    <row r="551" ht="15.75" customHeight="1">
      <c r="A551" s="25" t="str">
        <f>IFERROR(__xludf.DUMMYFUNCTION("IF(B551="""","""",RIGHT(REGEXREPLACE(B551&amp;"""",""[^0-9]"",""""),9))"),"766951669")</f>
        <v>766951669</v>
      </c>
      <c r="B551" s="52">
        <v>7.66951669E8</v>
      </c>
      <c r="C551" s="28" t="s">
        <v>731</v>
      </c>
      <c r="D551" s="26" t="s">
        <v>82</v>
      </c>
      <c r="E551" s="31">
        <v>46227.0</v>
      </c>
      <c r="F551" s="26" t="s">
        <v>125</v>
      </c>
      <c r="G551" s="26">
        <v>11.0</v>
      </c>
      <c r="I551" s="26" t="s">
        <v>42</v>
      </c>
      <c r="J551" s="25" t="str">
        <f t="shared" si="28"/>
        <v>No</v>
      </c>
      <c r="K551" s="25" t="str">
        <f t="shared" si="29"/>
        <v/>
      </c>
      <c r="L551" s="25" t="str">
        <f t="shared" si="30"/>
        <v/>
      </c>
      <c r="M551" s="25"/>
      <c r="O551" s="25"/>
    </row>
    <row r="552" ht="15.75" customHeight="1">
      <c r="A552" s="25" t="str">
        <f>IFERROR(__xludf.DUMMYFUNCTION("IF(B552="""","""",RIGHT(REGEXREPLACE(B552&amp;"""",""[^0-9]"",""""),9))"),"775426434")</f>
        <v>775426434</v>
      </c>
      <c r="B552" s="52">
        <v>7.75426434E8</v>
      </c>
      <c r="C552" s="28" t="s">
        <v>732</v>
      </c>
      <c r="D552" s="26" t="s">
        <v>49</v>
      </c>
      <c r="E552" s="31">
        <v>46227.0</v>
      </c>
      <c r="F552" s="26" t="s">
        <v>46</v>
      </c>
      <c r="G552" s="26">
        <v>11.0</v>
      </c>
      <c r="I552" s="26" t="s">
        <v>42</v>
      </c>
      <c r="J552" s="25" t="str">
        <f t="shared" si="28"/>
        <v>No</v>
      </c>
      <c r="K552" s="25" t="str">
        <f t="shared" si="29"/>
        <v/>
      </c>
      <c r="L552" s="25" t="str">
        <f t="shared" si="30"/>
        <v/>
      </c>
      <c r="M552" s="25"/>
      <c r="O552" s="25"/>
    </row>
    <row r="553" ht="15.75" customHeight="1">
      <c r="A553" s="25" t="str">
        <f>IFERROR(__xludf.DUMMYFUNCTION("IF(B553="""","""",RIGHT(REGEXREPLACE(B553&amp;"""",""[^0-9]"",""""),9))"),"742350065")</f>
        <v>742350065</v>
      </c>
      <c r="B553" s="52">
        <v>7.42350065E8</v>
      </c>
      <c r="C553" s="28" t="s">
        <v>733</v>
      </c>
      <c r="D553" s="26" t="s">
        <v>64</v>
      </c>
      <c r="E553" s="31">
        <v>46227.0</v>
      </c>
      <c r="F553" s="26" t="s">
        <v>205</v>
      </c>
      <c r="I553" s="26" t="s">
        <v>42</v>
      </c>
      <c r="J553" s="25" t="str">
        <f t="shared" si="28"/>
        <v>No</v>
      </c>
      <c r="K553" s="25" t="str">
        <f t="shared" si="29"/>
        <v/>
      </c>
      <c r="L553" s="25" t="str">
        <f t="shared" si="30"/>
        <v/>
      </c>
      <c r="M553" s="26" t="s">
        <v>51</v>
      </c>
      <c r="N553" s="26" t="s">
        <v>54</v>
      </c>
      <c r="O553" s="25"/>
    </row>
    <row r="554" ht="15.75" customHeight="1">
      <c r="A554" s="25" t="str">
        <f>IFERROR(__xludf.DUMMYFUNCTION("IF(B554="""","""",RIGHT(REGEXREPLACE(B554&amp;"""",""[^0-9]"",""""),9))"),"717923063")</f>
        <v>717923063</v>
      </c>
      <c r="B554" s="52">
        <v>7.17923063E8</v>
      </c>
      <c r="C554" s="28" t="s">
        <v>734</v>
      </c>
      <c r="D554" s="26" t="s">
        <v>56</v>
      </c>
      <c r="E554" s="31">
        <v>46227.0</v>
      </c>
      <c r="F554" s="26" t="s">
        <v>125</v>
      </c>
      <c r="G554" s="26">
        <v>11.0</v>
      </c>
      <c r="I554" s="26" t="s">
        <v>42</v>
      </c>
      <c r="J554" s="25" t="str">
        <f t="shared" si="28"/>
        <v>No</v>
      </c>
      <c r="K554" s="25" t="str">
        <f t="shared" si="29"/>
        <v/>
      </c>
      <c r="L554" s="25" t="str">
        <f t="shared" si="30"/>
        <v/>
      </c>
      <c r="M554" s="25"/>
      <c r="O554" s="25"/>
    </row>
    <row r="555" ht="15.75" customHeight="1">
      <c r="A555" s="25" t="str">
        <f>IFERROR(__xludf.DUMMYFUNCTION("IF(B555="""","""",RIGHT(REGEXREPLACE(B555&amp;"""",""[^0-9]"",""""),9))"),"765982258")</f>
        <v>765982258</v>
      </c>
      <c r="B555" s="26">
        <v>7.65982258E8</v>
      </c>
      <c r="C555" s="28" t="s">
        <v>735</v>
      </c>
      <c r="D555" s="26" t="s">
        <v>37</v>
      </c>
      <c r="E555" s="31">
        <v>46227.0</v>
      </c>
      <c r="F555" s="26" t="s">
        <v>41</v>
      </c>
      <c r="I555" s="26" t="s">
        <v>42</v>
      </c>
      <c r="J555" s="25" t="str">
        <f t="shared" si="28"/>
        <v>No</v>
      </c>
      <c r="K555" s="25" t="str">
        <f t="shared" si="29"/>
        <v/>
      </c>
      <c r="L555" s="25" t="str">
        <f t="shared" si="30"/>
        <v/>
      </c>
      <c r="M555" s="25"/>
      <c r="O555" s="25"/>
    </row>
    <row r="556" ht="15.75" customHeight="1">
      <c r="A556" s="25" t="str">
        <f>IFERROR(__xludf.DUMMYFUNCTION("IF(B556="""","""",RIGHT(REGEXREPLACE(B556&amp;"""",""[^0-9]"",""""),9))"),"766343884")</f>
        <v>766343884</v>
      </c>
      <c r="B556" s="52">
        <v>7.66343884E8</v>
      </c>
      <c r="C556" s="28" t="s">
        <v>736</v>
      </c>
      <c r="D556" s="26" t="s">
        <v>82</v>
      </c>
      <c r="E556" s="31">
        <v>46227.0</v>
      </c>
      <c r="F556" s="26" t="s">
        <v>125</v>
      </c>
      <c r="G556" s="26">
        <v>11.0</v>
      </c>
      <c r="I556" s="26" t="s">
        <v>42</v>
      </c>
      <c r="J556" s="25" t="str">
        <f t="shared" si="28"/>
        <v>No</v>
      </c>
      <c r="K556" s="25" t="str">
        <f t="shared" si="29"/>
        <v/>
      </c>
      <c r="L556" s="25" t="str">
        <f t="shared" si="30"/>
        <v/>
      </c>
      <c r="M556" s="25"/>
      <c r="O556" s="25"/>
    </row>
    <row r="557" ht="15.75" customHeight="1">
      <c r="A557" s="25" t="str">
        <f>IFERROR(__xludf.DUMMYFUNCTION("IF(B557="""","""",RIGHT(REGEXREPLACE(B557&amp;"""",""[^0-9]"",""""),9))"),"761177154")</f>
        <v>761177154</v>
      </c>
      <c r="B557" s="26">
        <v>7.61177154E8</v>
      </c>
      <c r="C557" s="28" t="s">
        <v>737</v>
      </c>
      <c r="D557" s="26" t="s">
        <v>37</v>
      </c>
      <c r="E557" s="31">
        <v>46227.0</v>
      </c>
      <c r="F557" s="26" t="s">
        <v>46</v>
      </c>
      <c r="G557" s="26">
        <v>11.0</v>
      </c>
      <c r="H557" s="26" t="s">
        <v>738</v>
      </c>
      <c r="I557" s="26" t="s">
        <v>42</v>
      </c>
      <c r="J557" s="25" t="str">
        <f t="shared" si="28"/>
        <v>No</v>
      </c>
      <c r="K557" s="25" t="str">
        <f t="shared" si="29"/>
        <v/>
      </c>
      <c r="L557" s="25" t="str">
        <f t="shared" si="30"/>
        <v/>
      </c>
      <c r="M557" s="25"/>
      <c r="O557" s="25"/>
    </row>
    <row r="558" ht="15.75" customHeight="1">
      <c r="A558" s="25" t="str">
        <f>IFERROR(__xludf.DUMMYFUNCTION("IF(B558="""","""",RIGHT(REGEXREPLACE(B558&amp;"""",""[^0-9]"",""""),9))"),"777371936")</f>
        <v>777371936</v>
      </c>
      <c r="B558" s="52">
        <v>7.77371936E8</v>
      </c>
      <c r="C558" s="28" t="s">
        <v>739</v>
      </c>
      <c r="D558" s="26" t="s">
        <v>56</v>
      </c>
      <c r="E558" s="31">
        <v>46227.0</v>
      </c>
      <c r="F558" s="26" t="s">
        <v>41</v>
      </c>
      <c r="G558" s="26">
        <v>11.0</v>
      </c>
      <c r="H558" s="26" t="s">
        <v>661</v>
      </c>
      <c r="I558" s="26" t="s">
        <v>42</v>
      </c>
      <c r="J558" s="25" t="str">
        <f t="shared" si="28"/>
        <v>No</v>
      </c>
      <c r="K558" s="25" t="str">
        <f t="shared" si="29"/>
        <v/>
      </c>
      <c r="L558" s="25" t="str">
        <f t="shared" si="30"/>
        <v/>
      </c>
      <c r="M558" s="25"/>
      <c r="O558" s="25"/>
    </row>
    <row r="559" ht="15.75" customHeight="1">
      <c r="A559" s="25" t="str">
        <f>IFERROR(__xludf.DUMMYFUNCTION("IF(B559="""","""",RIGHT(REGEXREPLACE(B559&amp;"""",""[^0-9]"",""""),9))"),"770496685")</f>
        <v>770496685</v>
      </c>
      <c r="B559" s="52">
        <v>7.70496685E8</v>
      </c>
      <c r="C559" s="28" t="s">
        <v>740</v>
      </c>
      <c r="D559" s="26" t="s">
        <v>45</v>
      </c>
      <c r="E559" s="31">
        <v>46227.0</v>
      </c>
      <c r="F559" s="26" t="s">
        <v>125</v>
      </c>
      <c r="G559" s="26">
        <v>11.0</v>
      </c>
      <c r="I559" s="26" t="s">
        <v>42</v>
      </c>
      <c r="J559" s="25" t="str">
        <f t="shared" si="28"/>
        <v>No</v>
      </c>
      <c r="K559" s="25" t="str">
        <f t="shared" si="29"/>
        <v/>
      </c>
      <c r="L559" s="25" t="str">
        <f t="shared" si="30"/>
        <v/>
      </c>
      <c r="M559" s="25"/>
      <c r="O559" s="25"/>
    </row>
    <row r="560" ht="15.75" customHeight="1">
      <c r="A560" s="25" t="str">
        <f>IFERROR(__xludf.DUMMYFUNCTION("IF(B560="""","""",RIGHT(REGEXREPLACE(B560&amp;"""",""[^0-9]"",""""),9))"),"718957607")</f>
        <v>718957607</v>
      </c>
      <c r="B560" s="52">
        <v>7.18957607E8</v>
      </c>
      <c r="C560" s="28" t="s">
        <v>741</v>
      </c>
      <c r="D560" s="26" t="s">
        <v>64</v>
      </c>
      <c r="E560" s="31">
        <v>46227.0</v>
      </c>
      <c r="F560" s="26" t="s">
        <v>46</v>
      </c>
      <c r="G560" s="26">
        <v>11.0</v>
      </c>
      <c r="I560" s="26" t="s">
        <v>42</v>
      </c>
      <c r="J560" s="25" t="str">
        <f t="shared" si="28"/>
        <v>No</v>
      </c>
      <c r="K560" s="25" t="str">
        <f t="shared" si="29"/>
        <v/>
      </c>
      <c r="L560" s="25" t="str">
        <f t="shared" si="30"/>
        <v/>
      </c>
      <c r="M560" s="26" t="s">
        <v>51</v>
      </c>
      <c r="N560" s="26" t="s">
        <v>47</v>
      </c>
      <c r="O560" s="25"/>
    </row>
    <row r="561" ht="15.75" customHeight="1">
      <c r="A561" s="25" t="str">
        <f>IFERROR(__xludf.DUMMYFUNCTION("IF(B561="""","""",RIGHT(REGEXREPLACE(B561&amp;"""",""[^0-9]"",""""),9))"),"789900717")</f>
        <v>789900717</v>
      </c>
      <c r="B561" s="52">
        <v>7.89900717E8</v>
      </c>
      <c r="C561" s="28" t="s">
        <v>742</v>
      </c>
      <c r="D561" s="26" t="s">
        <v>49</v>
      </c>
      <c r="E561" s="31">
        <v>46227.0</v>
      </c>
      <c r="F561" s="26" t="s">
        <v>205</v>
      </c>
      <c r="I561" s="26" t="s">
        <v>42</v>
      </c>
      <c r="J561" s="25" t="str">
        <f t="shared" si="28"/>
        <v>No</v>
      </c>
      <c r="K561" s="25" t="str">
        <f t="shared" si="29"/>
        <v/>
      </c>
      <c r="L561" s="25" t="str">
        <f t="shared" si="30"/>
        <v/>
      </c>
      <c r="M561" s="25"/>
      <c r="O561" s="25"/>
    </row>
    <row r="562" ht="15.75" customHeight="1">
      <c r="A562" s="25" t="str">
        <f>IFERROR(__xludf.DUMMYFUNCTION("IF(B562="""","""",RIGHT(REGEXREPLACE(B562&amp;"""",""[^0-9]"",""""),9))"),"718266404")</f>
        <v>718266404</v>
      </c>
      <c r="B562" s="52">
        <v>7.18266404E8</v>
      </c>
      <c r="C562" s="28" t="s">
        <v>743</v>
      </c>
      <c r="D562" s="26" t="s">
        <v>82</v>
      </c>
      <c r="E562" s="31">
        <v>46227.0</v>
      </c>
      <c r="F562" s="26" t="s">
        <v>46</v>
      </c>
      <c r="G562" s="26">
        <v>11.0</v>
      </c>
      <c r="I562" s="26" t="s">
        <v>42</v>
      </c>
      <c r="J562" s="25" t="str">
        <f t="shared" si="28"/>
        <v>No</v>
      </c>
      <c r="K562" s="25" t="str">
        <f t="shared" si="29"/>
        <v/>
      </c>
      <c r="L562" s="25" t="str">
        <f t="shared" si="30"/>
        <v/>
      </c>
      <c r="M562" s="25"/>
      <c r="O562" s="25"/>
    </row>
    <row r="563" ht="15.75" customHeight="1">
      <c r="A563" s="25" t="str">
        <f>IFERROR(__xludf.DUMMYFUNCTION("IF(B563="""","""",RIGHT(REGEXREPLACE(B563&amp;"""",""[^0-9]"",""""),9))"),"711124406")</f>
        <v>711124406</v>
      </c>
      <c r="B563" s="52">
        <v>7.11124406E8</v>
      </c>
      <c r="C563" s="28" t="s">
        <v>744</v>
      </c>
      <c r="D563" s="26" t="s">
        <v>45</v>
      </c>
      <c r="E563" s="31">
        <v>46227.0</v>
      </c>
      <c r="F563" s="26" t="s">
        <v>41</v>
      </c>
      <c r="G563" s="26">
        <v>11.0</v>
      </c>
      <c r="H563" s="26" t="s">
        <v>677</v>
      </c>
      <c r="I563" s="26" t="s">
        <v>42</v>
      </c>
      <c r="J563" s="25" t="str">
        <f t="shared" si="28"/>
        <v>No</v>
      </c>
      <c r="K563" s="25" t="str">
        <f t="shared" si="29"/>
        <v/>
      </c>
      <c r="L563" s="25" t="str">
        <f t="shared" si="30"/>
        <v/>
      </c>
      <c r="M563" s="25"/>
      <c r="O563" s="25"/>
    </row>
    <row r="564" ht="15.75" customHeight="1">
      <c r="A564" s="25" t="str">
        <f>IFERROR(__xludf.DUMMYFUNCTION("IF(B564="""","""",RIGHT(REGEXREPLACE(B564&amp;"""",""[^0-9]"",""""),9))"),"758993403")</f>
        <v>758993403</v>
      </c>
      <c r="B564" s="52">
        <v>7.58993403E8</v>
      </c>
      <c r="C564" s="28" t="s">
        <v>745</v>
      </c>
      <c r="D564" s="26" t="s">
        <v>49</v>
      </c>
      <c r="E564" s="31">
        <v>46227.0</v>
      </c>
      <c r="F564" s="26" t="s">
        <v>125</v>
      </c>
      <c r="I564" s="26" t="s">
        <v>42</v>
      </c>
      <c r="J564" s="25" t="str">
        <f t="shared" si="28"/>
        <v>No</v>
      </c>
      <c r="K564" s="25" t="str">
        <f t="shared" si="29"/>
        <v/>
      </c>
      <c r="L564" s="25" t="str">
        <f t="shared" si="30"/>
        <v/>
      </c>
      <c r="M564" s="25"/>
      <c r="O564" s="25"/>
    </row>
    <row r="565" ht="15.75" customHeight="1">
      <c r="A565" s="25" t="str">
        <f>IFERROR(__xludf.DUMMYFUNCTION("IF(B565="""","""",RIGHT(REGEXREPLACE(B565&amp;"""",""[^0-9]"",""""),9))"),"778636894")</f>
        <v>778636894</v>
      </c>
      <c r="B565" s="52">
        <v>7.78636894E8</v>
      </c>
      <c r="C565" s="28" t="s">
        <v>746</v>
      </c>
      <c r="D565" s="26" t="s">
        <v>64</v>
      </c>
      <c r="E565" s="31">
        <v>46227.0</v>
      </c>
      <c r="F565" s="26" t="s">
        <v>41</v>
      </c>
      <c r="I565" s="26" t="s">
        <v>42</v>
      </c>
      <c r="J565" s="25" t="str">
        <f t="shared" si="28"/>
        <v>No</v>
      </c>
      <c r="K565" s="25" t="str">
        <f t="shared" si="29"/>
        <v/>
      </c>
      <c r="L565" s="25" t="str">
        <f t="shared" si="30"/>
        <v/>
      </c>
      <c r="M565" s="26" t="s">
        <v>51</v>
      </c>
      <c r="N565" s="26" t="s">
        <v>747</v>
      </c>
      <c r="O565" s="25"/>
    </row>
    <row r="566" ht="15.75" customHeight="1">
      <c r="A566" s="25" t="str">
        <f>IFERROR(__xludf.DUMMYFUNCTION("IF(B566="""","""",RIGHT(REGEXREPLACE(B566&amp;"""",""[^0-9]"",""""),9))"),"777455996")</f>
        <v>777455996</v>
      </c>
      <c r="B566" s="52">
        <v>7.77455996E8</v>
      </c>
      <c r="C566" s="28" t="s">
        <v>748</v>
      </c>
      <c r="D566" s="26" t="s">
        <v>45</v>
      </c>
      <c r="E566" s="31">
        <v>46227.0</v>
      </c>
      <c r="F566" s="26" t="s">
        <v>46</v>
      </c>
      <c r="G566" s="26">
        <v>11.0</v>
      </c>
      <c r="I566" s="26" t="s">
        <v>42</v>
      </c>
      <c r="J566" s="25" t="str">
        <f t="shared" si="28"/>
        <v>No</v>
      </c>
      <c r="K566" s="25" t="str">
        <f t="shared" si="29"/>
        <v/>
      </c>
      <c r="L566" s="25" t="str">
        <f t="shared" si="30"/>
        <v/>
      </c>
      <c r="M566" s="25"/>
      <c r="O566" s="25"/>
    </row>
    <row r="567" ht="15.75" customHeight="1">
      <c r="A567" s="25" t="str">
        <f>IFERROR(__xludf.DUMMYFUNCTION("IF(B567="""","""",RIGHT(REGEXREPLACE(B567&amp;"""",""[^0-9]"",""""),9))"),"772720735")</f>
        <v>772720735</v>
      </c>
      <c r="B567" s="52">
        <v>7.72720735E8</v>
      </c>
      <c r="C567" s="28" t="s">
        <v>749</v>
      </c>
      <c r="D567" s="26" t="s">
        <v>49</v>
      </c>
      <c r="E567" s="31">
        <v>46227.0</v>
      </c>
      <c r="F567" s="26" t="s">
        <v>46</v>
      </c>
      <c r="I567" s="26" t="s">
        <v>42</v>
      </c>
      <c r="J567" s="25" t="str">
        <f t="shared" si="28"/>
        <v>No</v>
      </c>
      <c r="K567" s="25" t="str">
        <f t="shared" si="29"/>
        <v/>
      </c>
      <c r="L567" s="25" t="str">
        <f t="shared" si="30"/>
        <v/>
      </c>
      <c r="M567" s="25"/>
      <c r="O567" s="25"/>
    </row>
    <row r="568" ht="15.75" customHeight="1">
      <c r="A568" s="25" t="str">
        <f>IFERROR(__xludf.DUMMYFUNCTION("IF(B568="""","""",RIGHT(REGEXREPLACE(B568&amp;"""",""[^0-9]"",""""),9))"),"701604266")</f>
        <v>701604266</v>
      </c>
      <c r="B568" s="52">
        <v>7.01604266E8</v>
      </c>
      <c r="C568" s="28" t="s">
        <v>750</v>
      </c>
      <c r="D568" s="26" t="s">
        <v>64</v>
      </c>
      <c r="E568" s="31">
        <v>46227.0</v>
      </c>
      <c r="F568" s="26" t="s">
        <v>41</v>
      </c>
      <c r="G568" s="26">
        <v>11.0</v>
      </c>
      <c r="I568" s="26" t="s">
        <v>42</v>
      </c>
      <c r="J568" s="25" t="str">
        <f t="shared" si="28"/>
        <v>No</v>
      </c>
      <c r="K568" s="25" t="str">
        <f t="shared" si="29"/>
        <v/>
      </c>
      <c r="L568" s="25" t="str">
        <f t="shared" si="30"/>
        <v/>
      </c>
      <c r="M568" s="26" t="s">
        <v>43</v>
      </c>
      <c r="N568" s="26" t="s">
        <v>61</v>
      </c>
      <c r="O568" s="25"/>
    </row>
    <row r="569" ht="15.75" customHeight="1">
      <c r="A569" s="25" t="str">
        <f>IFERROR(__xludf.DUMMYFUNCTION("IF(B569="""","""",RIGHT(REGEXREPLACE(B569&amp;"""",""[^0-9]"",""""),9))"),"778915393")</f>
        <v>778915393</v>
      </c>
      <c r="B569" s="52">
        <v>7.78915393E8</v>
      </c>
      <c r="C569" s="28" t="s">
        <v>751</v>
      </c>
      <c r="D569" s="26" t="s">
        <v>82</v>
      </c>
      <c r="E569" s="31">
        <v>46227.0</v>
      </c>
      <c r="F569" s="26" t="s">
        <v>41</v>
      </c>
      <c r="G569" s="26">
        <v>11.0</v>
      </c>
      <c r="I569" s="26" t="s">
        <v>42</v>
      </c>
      <c r="J569" s="25" t="str">
        <f t="shared" si="28"/>
        <v>No</v>
      </c>
      <c r="K569" s="25" t="str">
        <f t="shared" si="29"/>
        <v/>
      </c>
      <c r="L569" s="25" t="str">
        <f t="shared" si="30"/>
        <v/>
      </c>
      <c r="M569" s="25"/>
      <c r="O569" s="25"/>
    </row>
    <row r="570" ht="15.75" customHeight="1">
      <c r="A570" s="25" t="str">
        <f>IFERROR(__xludf.DUMMYFUNCTION("IF(B570="""","""",RIGHT(REGEXREPLACE(B570&amp;"""",""[^0-9]"",""""),9))"),"726930489")</f>
        <v>726930489</v>
      </c>
      <c r="B570" s="52">
        <v>7.26930489E8</v>
      </c>
      <c r="C570" s="28" t="s">
        <v>752</v>
      </c>
      <c r="D570" s="26" t="s">
        <v>56</v>
      </c>
      <c r="E570" s="31">
        <v>46227.0</v>
      </c>
      <c r="F570" s="26" t="s">
        <v>41</v>
      </c>
      <c r="G570" s="26" t="s">
        <v>661</v>
      </c>
      <c r="I570" s="26" t="s">
        <v>42</v>
      </c>
      <c r="J570" s="25" t="str">
        <f t="shared" si="28"/>
        <v>No</v>
      </c>
      <c r="K570" s="25" t="str">
        <f t="shared" si="29"/>
        <v/>
      </c>
      <c r="L570" s="25" t="str">
        <f t="shared" si="30"/>
        <v/>
      </c>
      <c r="M570" s="25"/>
      <c r="O570" s="25"/>
    </row>
    <row r="571" ht="15.75" customHeight="1">
      <c r="A571" s="25" t="str">
        <f>IFERROR(__xludf.DUMMYFUNCTION("IF(B571="""","""",RIGHT(REGEXREPLACE(B571&amp;"""",""[^0-9]"",""""),9))"),"761389967")</f>
        <v>761389967</v>
      </c>
      <c r="B571" s="52">
        <v>7.61389967E8</v>
      </c>
      <c r="C571" s="28" t="s">
        <v>753</v>
      </c>
      <c r="D571" s="26" t="s">
        <v>49</v>
      </c>
      <c r="E571" s="31">
        <v>46227.0</v>
      </c>
      <c r="F571" s="26" t="s">
        <v>125</v>
      </c>
      <c r="I571" s="26" t="s">
        <v>42</v>
      </c>
      <c r="J571" s="25" t="str">
        <f t="shared" si="28"/>
        <v>No</v>
      </c>
      <c r="K571" s="25" t="str">
        <f t="shared" si="29"/>
        <v/>
      </c>
      <c r="L571" s="25" t="str">
        <f t="shared" si="30"/>
        <v/>
      </c>
      <c r="M571" s="25"/>
      <c r="O571" s="25"/>
    </row>
    <row r="572" ht="15.75" customHeight="1">
      <c r="A572" s="25" t="str">
        <f>IFERROR(__xludf.DUMMYFUNCTION("IF(B572="""","""",RIGHT(REGEXREPLACE(B572&amp;"""",""[^0-9]"",""""),9))"),"761344062")</f>
        <v>761344062</v>
      </c>
      <c r="B572" s="52">
        <v>7.61344062E8</v>
      </c>
      <c r="C572" s="28" t="s">
        <v>754</v>
      </c>
      <c r="D572" s="26" t="s">
        <v>82</v>
      </c>
      <c r="E572" s="31">
        <v>46227.0</v>
      </c>
      <c r="F572" s="26" t="s">
        <v>41</v>
      </c>
      <c r="I572" s="26" t="s">
        <v>42</v>
      </c>
      <c r="J572" s="25" t="str">
        <f t="shared" si="28"/>
        <v>No</v>
      </c>
      <c r="K572" s="25" t="str">
        <f t="shared" si="29"/>
        <v/>
      </c>
      <c r="L572" s="25" t="str">
        <f t="shared" si="30"/>
        <v/>
      </c>
      <c r="M572" s="25"/>
      <c r="O572" s="25"/>
    </row>
    <row r="573" ht="15.75" customHeight="1">
      <c r="A573" s="25" t="str">
        <f>IFERROR(__xludf.DUMMYFUNCTION("IF(B573="""","""",RIGHT(REGEXREPLACE(B573&amp;"""",""[^0-9]"",""""),9))"),"712734762")</f>
        <v>712734762</v>
      </c>
      <c r="B573" s="52">
        <v>7.12734762E8</v>
      </c>
      <c r="C573" s="28" t="s">
        <v>755</v>
      </c>
      <c r="D573" s="26" t="s">
        <v>64</v>
      </c>
      <c r="E573" s="31">
        <v>46227.0</v>
      </c>
      <c r="F573" s="26" t="s">
        <v>46</v>
      </c>
      <c r="G573" s="26">
        <v>11.0</v>
      </c>
      <c r="I573" s="26" t="s">
        <v>42</v>
      </c>
      <c r="J573" s="25" t="str">
        <f t="shared" si="28"/>
        <v>No</v>
      </c>
      <c r="K573" s="25" t="str">
        <f t="shared" si="29"/>
        <v/>
      </c>
      <c r="L573" s="25" t="str">
        <f t="shared" si="30"/>
        <v/>
      </c>
      <c r="M573" s="26" t="s">
        <v>51</v>
      </c>
      <c r="N573" s="26" t="s">
        <v>756</v>
      </c>
      <c r="O573" s="25"/>
    </row>
    <row r="574" ht="15.75" customHeight="1">
      <c r="A574" s="25" t="str">
        <f>IFERROR(__xludf.DUMMYFUNCTION("IF(B574="""","""",RIGHT(REGEXREPLACE(B574&amp;"""",""[^0-9]"",""""),9))"),"774088817")</f>
        <v>774088817</v>
      </c>
      <c r="B574" s="52">
        <v>7.74088817E8</v>
      </c>
      <c r="C574" s="28" t="s">
        <v>757</v>
      </c>
      <c r="D574" s="26" t="s">
        <v>45</v>
      </c>
      <c r="E574" s="31">
        <v>46227.0</v>
      </c>
      <c r="F574" s="26" t="s">
        <v>41</v>
      </c>
      <c r="H574" s="26" t="s">
        <v>758</v>
      </c>
      <c r="I574" s="26" t="s">
        <v>42</v>
      </c>
      <c r="J574" s="25" t="str">
        <f t="shared" si="28"/>
        <v>No</v>
      </c>
      <c r="K574" s="25" t="str">
        <f t="shared" si="29"/>
        <v/>
      </c>
      <c r="L574" s="25" t="str">
        <f t="shared" si="30"/>
        <v/>
      </c>
      <c r="M574" s="25"/>
      <c r="O574" s="25"/>
    </row>
    <row r="575" ht="15.75" customHeight="1">
      <c r="A575" s="25" t="str">
        <f>IFERROR(__xludf.DUMMYFUNCTION("IF(B575="""","""",RIGHT(REGEXREPLACE(B575&amp;"""",""[^0-9]"",""""),9))"),"740247592")</f>
        <v>740247592</v>
      </c>
      <c r="B575" s="52">
        <v>7.40247592E8</v>
      </c>
      <c r="C575" s="28" t="s">
        <v>759</v>
      </c>
      <c r="D575" s="26" t="s">
        <v>56</v>
      </c>
      <c r="E575" s="31">
        <v>46227.0</v>
      </c>
      <c r="F575" s="26" t="s">
        <v>46</v>
      </c>
      <c r="H575" s="26" t="s">
        <v>253</v>
      </c>
      <c r="I575" s="26" t="s">
        <v>42</v>
      </c>
      <c r="J575" s="25" t="str">
        <f t="shared" si="28"/>
        <v>No</v>
      </c>
      <c r="K575" s="25" t="str">
        <f t="shared" si="29"/>
        <v/>
      </c>
      <c r="L575" s="25" t="str">
        <f t="shared" si="30"/>
        <v/>
      </c>
      <c r="M575" s="25"/>
      <c r="O575" s="25"/>
    </row>
    <row r="576" ht="15.75" customHeight="1">
      <c r="A576" s="25" t="str">
        <f>IFERROR(__xludf.DUMMYFUNCTION("IF(B576="""","""",RIGHT(REGEXREPLACE(B576&amp;"""",""[^0-9]"",""""),9))"),"710642795")</f>
        <v>710642795</v>
      </c>
      <c r="B576" s="52">
        <v>7.10642795E8</v>
      </c>
      <c r="C576" s="28" t="s">
        <v>760</v>
      </c>
      <c r="D576" s="26" t="s">
        <v>82</v>
      </c>
      <c r="E576" s="31">
        <v>46227.0</v>
      </c>
      <c r="F576" s="26" t="s">
        <v>41</v>
      </c>
      <c r="G576" s="26">
        <v>11.0</v>
      </c>
      <c r="I576" s="26" t="s">
        <v>42</v>
      </c>
      <c r="J576" s="25" t="str">
        <f t="shared" si="28"/>
        <v>No</v>
      </c>
      <c r="K576" s="25" t="str">
        <f t="shared" si="29"/>
        <v/>
      </c>
      <c r="L576" s="25" t="str">
        <f t="shared" si="30"/>
        <v/>
      </c>
      <c r="M576" s="25"/>
      <c r="O576" s="25"/>
    </row>
    <row r="577" ht="15.75" customHeight="1">
      <c r="A577" s="25" t="str">
        <f>IFERROR(__xludf.DUMMYFUNCTION("IF(B577="""","""",RIGHT(REGEXREPLACE(B577&amp;"""",""[^0-9]"",""""),9))"),"768747697")</f>
        <v>768747697</v>
      </c>
      <c r="B577" s="52">
        <v>7.68747697E8</v>
      </c>
      <c r="C577" s="28" t="s">
        <v>761</v>
      </c>
      <c r="D577" s="26" t="s">
        <v>49</v>
      </c>
      <c r="E577" s="31">
        <v>46227.0</v>
      </c>
      <c r="F577" s="26" t="s">
        <v>659</v>
      </c>
      <c r="I577" s="26" t="s">
        <v>42</v>
      </c>
      <c r="J577" s="25" t="str">
        <f t="shared" si="28"/>
        <v>No</v>
      </c>
      <c r="K577" s="25" t="str">
        <f t="shared" si="29"/>
        <v/>
      </c>
      <c r="L577" s="25" t="str">
        <f t="shared" si="30"/>
        <v/>
      </c>
      <c r="M577" s="25"/>
      <c r="O577" s="25"/>
    </row>
    <row r="578" ht="15.75" customHeight="1">
      <c r="A578" s="25" t="str">
        <f>IFERROR(__xludf.DUMMYFUNCTION("IF(B578="""","""",RIGHT(REGEXREPLACE(B578&amp;"""",""[^0-9]"",""""),9))"),"773763779")</f>
        <v>773763779</v>
      </c>
      <c r="B578" s="52">
        <v>7.73763779E8</v>
      </c>
      <c r="C578" s="28" t="s">
        <v>762</v>
      </c>
      <c r="D578" s="26" t="s">
        <v>64</v>
      </c>
      <c r="E578" s="31">
        <v>46227.0</v>
      </c>
      <c r="F578" s="26" t="s">
        <v>46</v>
      </c>
      <c r="I578" s="26" t="s">
        <v>42</v>
      </c>
      <c r="J578" s="25" t="str">
        <f t="shared" si="28"/>
        <v>No</v>
      </c>
      <c r="K578" s="25" t="str">
        <f t="shared" si="29"/>
        <v/>
      </c>
      <c r="L578" s="25" t="str">
        <f t="shared" si="30"/>
        <v/>
      </c>
      <c r="M578" s="26" t="s">
        <v>51</v>
      </c>
      <c r="N578" s="26" t="s">
        <v>763</v>
      </c>
      <c r="O578" s="25"/>
    </row>
    <row r="579" ht="15.75" customHeight="1">
      <c r="A579" s="25" t="str">
        <f>IFERROR(__xludf.DUMMYFUNCTION("IF(B579="""","""",RIGHT(REGEXREPLACE(B579&amp;"""",""[^0-9]"",""""),9))"),"704896658")</f>
        <v>704896658</v>
      </c>
      <c r="B579" s="52">
        <v>7.04896658E8</v>
      </c>
      <c r="C579" s="28" t="s">
        <v>764</v>
      </c>
      <c r="D579" s="26" t="s">
        <v>45</v>
      </c>
      <c r="E579" s="31">
        <v>46227.0</v>
      </c>
      <c r="F579" s="26" t="s">
        <v>125</v>
      </c>
      <c r="H579" s="26" t="s">
        <v>677</v>
      </c>
      <c r="I579" s="26" t="s">
        <v>42</v>
      </c>
      <c r="J579" s="25" t="str">
        <f t="shared" si="28"/>
        <v>No</v>
      </c>
      <c r="K579" s="25" t="str">
        <f t="shared" si="29"/>
        <v/>
      </c>
      <c r="L579" s="25" t="str">
        <f t="shared" si="30"/>
        <v/>
      </c>
      <c r="M579" s="25"/>
      <c r="O579" s="25"/>
    </row>
    <row r="580" ht="15.75" customHeight="1">
      <c r="A580" s="25" t="str">
        <f>IFERROR(__xludf.DUMMYFUNCTION("IF(B580="""","""",RIGHT(REGEXREPLACE(B580&amp;"""",""[^0-9]"",""""),9))"),"779840555")</f>
        <v>779840555</v>
      </c>
      <c r="B580" s="52">
        <v>7.79840555E8</v>
      </c>
      <c r="C580" s="28" t="s">
        <v>765</v>
      </c>
      <c r="D580" s="26" t="s">
        <v>49</v>
      </c>
      <c r="E580" s="31">
        <v>46227.0</v>
      </c>
      <c r="F580" s="26" t="s">
        <v>41</v>
      </c>
      <c r="I580" s="26" t="s">
        <v>42</v>
      </c>
      <c r="J580" s="25" t="str">
        <f t="shared" si="28"/>
        <v>No</v>
      </c>
      <c r="K580" s="25" t="str">
        <f t="shared" si="29"/>
        <v/>
      </c>
      <c r="L580" s="25" t="str">
        <f t="shared" si="30"/>
        <v/>
      </c>
      <c r="M580" s="25"/>
      <c r="O580" s="25"/>
    </row>
    <row r="581" ht="15.75" customHeight="1">
      <c r="A581" s="25" t="str">
        <f>IFERROR(__xludf.DUMMYFUNCTION("IF(B581="""","""",RIGHT(REGEXREPLACE(B581&amp;"""",""[^0-9]"",""""),9))"),"778808662")</f>
        <v>778808662</v>
      </c>
      <c r="B581" s="52">
        <v>7.78808662E8</v>
      </c>
      <c r="C581" s="28" t="s">
        <v>766</v>
      </c>
      <c r="D581" s="26" t="s">
        <v>56</v>
      </c>
      <c r="E581" s="31">
        <v>46227.0</v>
      </c>
      <c r="F581" s="26" t="s">
        <v>46</v>
      </c>
      <c r="G581" s="26">
        <v>11.0</v>
      </c>
      <c r="H581" s="26" t="s">
        <v>89</v>
      </c>
      <c r="I581" s="26" t="s">
        <v>42</v>
      </c>
      <c r="J581" s="25" t="str">
        <f t="shared" si="28"/>
        <v>No</v>
      </c>
      <c r="K581" s="25" t="str">
        <f t="shared" si="29"/>
        <v/>
      </c>
      <c r="L581" s="25" t="str">
        <f t="shared" si="30"/>
        <v/>
      </c>
      <c r="M581" s="25"/>
      <c r="O581" s="25"/>
    </row>
    <row r="582" ht="15.75" customHeight="1">
      <c r="A582" s="25" t="str">
        <f>IFERROR(__xludf.DUMMYFUNCTION("IF(B582="""","""",RIGHT(REGEXREPLACE(B582&amp;"""",""[^0-9]"",""""),9))"),"741070995")</f>
        <v>741070995</v>
      </c>
      <c r="B582" s="52">
        <v>7.41070995E8</v>
      </c>
      <c r="C582" s="28" t="s">
        <v>767</v>
      </c>
      <c r="D582" s="26" t="s">
        <v>45</v>
      </c>
      <c r="E582" s="31">
        <v>46227.0</v>
      </c>
      <c r="F582" s="26" t="s">
        <v>46</v>
      </c>
      <c r="G582" s="26">
        <v>11.0</v>
      </c>
      <c r="I582" s="26" t="s">
        <v>42</v>
      </c>
      <c r="J582" s="25" t="str">
        <f t="shared" si="28"/>
        <v>No</v>
      </c>
      <c r="K582" s="25" t="str">
        <f t="shared" si="29"/>
        <v/>
      </c>
      <c r="L582" s="25" t="str">
        <f t="shared" si="30"/>
        <v/>
      </c>
      <c r="M582" s="25"/>
      <c r="O582" s="25"/>
    </row>
    <row r="583" ht="15.75" customHeight="1">
      <c r="A583" s="25" t="str">
        <f>IFERROR(__xludf.DUMMYFUNCTION("IF(B583="""","""",RIGHT(REGEXREPLACE(B583&amp;"""",""[^0-9]"",""""),9))"),"779734719")</f>
        <v>779734719</v>
      </c>
      <c r="B583" s="52">
        <v>7.79734719E8</v>
      </c>
      <c r="C583" s="28" t="s">
        <v>768</v>
      </c>
      <c r="D583" s="26" t="s">
        <v>82</v>
      </c>
      <c r="E583" s="31">
        <v>46227.0</v>
      </c>
      <c r="F583" s="26" t="s">
        <v>125</v>
      </c>
      <c r="I583" s="26" t="s">
        <v>42</v>
      </c>
      <c r="J583" s="25" t="str">
        <f t="shared" si="28"/>
        <v>No</v>
      </c>
      <c r="K583" s="25" t="str">
        <f t="shared" si="29"/>
        <v/>
      </c>
      <c r="L583" s="25" t="str">
        <f t="shared" si="30"/>
        <v/>
      </c>
      <c r="M583" s="25"/>
      <c r="O583" s="25"/>
    </row>
    <row r="584" ht="15.75" customHeight="1">
      <c r="A584" s="25" t="str">
        <f>IFERROR(__xludf.DUMMYFUNCTION("IF(B584="""","""",RIGHT(REGEXREPLACE(B584&amp;"""",""[^0-9]"",""""),9))"),"703639428")</f>
        <v>703639428</v>
      </c>
      <c r="B584" s="52">
        <v>7.03639428E8</v>
      </c>
      <c r="C584" s="28" t="s">
        <v>769</v>
      </c>
      <c r="D584" s="26" t="s">
        <v>64</v>
      </c>
      <c r="E584" s="31">
        <v>46227.0</v>
      </c>
      <c r="F584" s="26" t="s">
        <v>205</v>
      </c>
      <c r="I584" s="26" t="s">
        <v>42</v>
      </c>
      <c r="J584" s="25" t="str">
        <f t="shared" si="28"/>
        <v>No</v>
      </c>
      <c r="K584" s="25" t="str">
        <f t="shared" si="29"/>
        <v/>
      </c>
      <c r="L584" s="25" t="str">
        <f t="shared" si="30"/>
        <v/>
      </c>
      <c r="M584" s="26" t="s">
        <v>43</v>
      </c>
      <c r="N584" s="26" t="s">
        <v>54</v>
      </c>
      <c r="O584" s="25"/>
    </row>
    <row r="585" ht="15.75" customHeight="1">
      <c r="A585" s="25" t="str">
        <f>IFERROR(__xludf.DUMMYFUNCTION("IF(B585="""","""",RIGHT(REGEXREPLACE(B585&amp;"""",""[^0-9]"",""""),9))"),"771421900")</f>
        <v>771421900</v>
      </c>
      <c r="B585" s="52">
        <v>7.714219E8</v>
      </c>
      <c r="C585" s="28" t="s">
        <v>770</v>
      </c>
      <c r="D585" s="26" t="s">
        <v>49</v>
      </c>
      <c r="E585" s="31">
        <v>46227.0</v>
      </c>
      <c r="F585" s="26" t="s">
        <v>46</v>
      </c>
      <c r="G585" s="26">
        <v>11.0</v>
      </c>
      <c r="H585" s="26" t="s">
        <v>677</v>
      </c>
      <c r="I585" s="26" t="s">
        <v>42</v>
      </c>
      <c r="J585" s="25" t="str">
        <f t="shared" si="28"/>
        <v>No</v>
      </c>
      <c r="K585" s="25" t="str">
        <f t="shared" si="29"/>
        <v/>
      </c>
      <c r="L585" s="25" t="str">
        <f t="shared" si="30"/>
        <v/>
      </c>
      <c r="M585" s="25"/>
      <c r="O585" s="25"/>
    </row>
    <row r="586" ht="15.75" customHeight="1">
      <c r="A586" s="25" t="str">
        <f>IFERROR(__xludf.DUMMYFUNCTION("IF(B586="""","""",RIGHT(REGEXREPLACE(B586&amp;"""",""[^0-9]"",""""),9))"),"773494216")</f>
        <v>773494216</v>
      </c>
      <c r="B586" s="52">
        <v>7.73494216E8</v>
      </c>
      <c r="C586" s="28" t="s">
        <v>771</v>
      </c>
      <c r="D586" s="26" t="s">
        <v>45</v>
      </c>
      <c r="E586" s="31">
        <v>46227.0</v>
      </c>
      <c r="F586" s="26" t="s">
        <v>84</v>
      </c>
      <c r="H586" s="26" t="s">
        <v>677</v>
      </c>
      <c r="I586" s="26" t="s">
        <v>42</v>
      </c>
      <c r="J586" s="25" t="str">
        <f t="shared" si="28"/>
        <v>No</v>
      </c>
      <c r="K586" s="25" t="str">
        <f t="shared" si="29"/>
        <v/>
      </c>
      <c r="L586" s="25" t="str">
        <f t="shared" si="30"/>
        <v/>
      </c>
      <c r="M586" s="25"/>
      <c r="O586" s="25"/>
    </row>
    <row r="587" ht="15.75" customHeight="1">
      <c r="A587" s="25" t="str">
        <f>IFERROR(__xludf.DUMMYFUNCTION("IF(B587="""","""",RIGHT(REGEXREPLACE(B587&amp;"""",""[^0-9]"",""""),9))"),"717899705")</f>
        <v>717899705</v>
      </c>
      <c r="B587" s="52">
        <v>7.17899705E8</v>
      </c>
      <c r="C587" s="28" t="s">
        <v>772</v>
      </c>
      <c r="D587" s="26" t="s">
        <v>82</v>
      </c>
      <c r="E587" s="31">
        <v>46227.0</v>
      </c>
      <c r="F587" s="26" t="s">
        <v>631</v>
      </c>
      <c r="I587" s="26" t="s">
        <v>42</v>
      </c>
      <c r="J587" s="25" t="str">
        <f t="shared" si="28"/>
        <v>No</v>
      </c>
      <c r="K587" s="25" t="str">
        <f t="shared" si="29"/>
        <v/>
      </c>
      <c r="L587" s="25" t="str">
        <f t="shared" si="30"/>
        <v/>
      </c>
      <c r="M587" s="25"/>
      <c r="O587" s="25"/>
    </row>
    <row r="588" ht="15.75" customHeight="1">
      <c r="A588" s="25" t="str">
        <f>IFERROR(__xludf.DUMMYFUNCTION("IF(B588="""","""",RIGHT(REGEXREPLACE(B588&amp;"""",""[^0-9]"",""""),9))"),"710467142")</f>
        <v>710467142</v>
      </c>
      <c r="B588" s="52">
        <v>7.10467142E8</v>
      </c>
      <c r="C588" s="28" t="s">
        <v>773</v>
      </c>
      <c r="D588" s="26" t="s">
        <v>56</v>
      </c>
      <c r="E588" s="31">
        <v>46227.0</v>
      </c>
      <c r="F588" s="26" t="s">
        <v>46</v>
      </c>
      <c r="G588" s="26">
        <v>10.0</v>
      </c>
      <c r="H588" s="26" t="s">
        <v>774</v>
      </c>
      <c r="I588" s="26" t="s">
        <v>42</v>
      </c>
      <c r="J588" s="25" t="str">
        <f t="shared" si="28"/>
        <v>No</v>
      </c>
      <c r="K588" s="25" t="str">
        <f t="shared" si="29"/>
        <v/>
      </c>
      <c r="L588" s="25" t="str">
        <f t="shared" si="30"/>
        <v/>
      </c>
      <c r="M588" s="25"/>
      <c r="O588" s="25"/>
    </row>
    <row r="589" ht="15.75" customHeight="1">
      <c r="A589" s="25" t="str">
        <f>IFERROR(__xludf.DUMMYFUNCTION("IF(B589="""","""",RIGHT(REGEXREPLACE(B589&amp;"""",""[^0-9]"",""""),9))"),"703508849")</f>
        <v>703508849</v>
      </c>
      <c r="B589" s="52">
        <v>7.03508849E8</v>
      </c>
      <c r="C589" s="28" t="s">
        <v>775</v>
      </c>
      <c r="D589" s="26" t="s">
        <v>45</v>
      </c>
      <c r="E589" s="31">
        <v>46227.0</v>
      </c>
      <c r="F589" s="26" t="s">
        <v>205</v>
      </c>
      <c r="H589" s="26" t="s">
        <v>677</v>
      </c>
      <c r="I589" s="26" t="s">
        <v>42</v>
      </c>
      <c r="J589" s="25" t="str">
        <f t="shared" si="28"/>
        <v>No</v>
      </c>
      <c r="K589" s="25" t="str">
        <f t="shared" si="29"/>
        <v/>
      </c>
      <c r="L589" s="25" t="str">
        <f t="shared" si="30"/>
        <v/>
      </c>
      <c r="M589" s="25"/>
      <c r="O589" s="25"/>
    </row>
    <row r="590" ht="15.75" customHeight="1">
      <c r="A590" s="25" t="str">
        <f>IFERROR(__xludf.DUMMYFUNCTION("IF(B590="""","""",RIGHT(REGEXREPLACE(B590&amp;"""",""[^0-9]"",""""),9))"),"760103297")</f>
        <v>760103297</v>
      </c>
      <c r="B590" s="52">
        <v>7.60103297E8</v>
      </c>
      <c r="C590" s="28" t="s">
        <v>776</v>
      </c>
      <c r="D590" s="26" t="s">
        <v>64</v>
      </c>
      <c r="E590" s="31">
        <v>46227.0</v>
      </c>
      <c r="F590" s="26" t="s">
        <v>84</v>
      </c>
      <c r="I590" s="26" t="s">
        <v>42</v>
      </c>
      <c r="J590" s="25" t="str">
        <f t="shared" si="28"/>
        <v>No</v>
      </c>
      <c r="K590" s="25" t="str">
        <f t="shared" si="29"/>
        <v/>
      </c>
      <c r="L590" s="25" t="str">
        <f t="shared" si="30"/>
        <v/>
      </c>
      <c r="M590" s="25"/>
      <c r="O590" s="25"/>
    </row>
    <row r="591" ht="15.75" customHeight="1">
      <c r="A591" s="25" t="str">
        <f>IFERROR(__xludf.DUMMYFUNCTION("IF(B591="""","""",RIGHT(REGEXREPLACE(B591&amp;"""",""[^0-9]"",""""),9))"),"785480479")</f>
        <v>785480479</v>
      </c>
      <c r="B591" s="52">
        <v>7.85480479E8</v>
      </c>
      <c r="C591" s="28" t="s">
        <v>777</v>
      </c>
      <c r="D591" s="26" t="s">
        <v>82</v>
      </c>
      <c r="E591" s="31">
        <v>46227.0</v>
      </c>
      <c r="F591" s="26" t="s">
        <v>46</v>
      </c>
      <c r="G591" s="26">
        <v>11.0</v>
      </c>
      <c r="I591" s="26" t="s">
        <v>42</v>
      </c>
      <c r="J591" s="25" t="str">
        <f t="shared" si="28"/>
        <v>No</v>
      </c>
      <c r="K591" s="25" t="str">
        <f t="shared" si="29"/>
        <v/>
      </c>
      <c r="L591" s="25" t="str">
        <f t="shared" si="30"/>
        <v/>
      </c>
      <c r="M591" s="25"/>
      <c r="O591" s="25"/>
    </row>
    <row r="592" ht="15.75" customHeight="1">
      <c r="A592" s="25" t="str">
        <f>IFERROR(__xludf.DUMMYFUNCTION("IF(B592="""","""",RIGHT(REGEXREPLACE(B592&amp;"""",""[^0-9]"",""""),9))"),"767775940")</f>
        <v>767775940</v>
      </c>
      <c r="B592" s="52">
        <v>7.6777594E8</v>
      </c>
      <c r="C592" s="28" t="s">
        <v>778</v>
      </c>
      <c r="D592" s="26" t="s">
        <v>45</v>
      </c>
      <c r="E592" s="31">
        <v>46227.0</v>
      </c>
      <c r="F592" s="26" t="s">
        <v>125</v>
      </c>
      <c r="G592" s="26">
        <v>11.0</v>
      </c>
      <c r="I592" s="26" t="s">
        <v>42</v>
      </c>
      <c r="J592" s="25" t="str">
        <f t="shared" si="28"/>
        <v>No</v>
      </c>
      <c r="K592" s="25" t="str">
        <f t="shared" si="29"/>
        <v/>
      </c>
      <c r="L592" s="25" t="str">
        <f t="shared" si="30"/>
        <v/>
      </c>
      <c r="M592" s="25"/>
      <c r="O592" s="25"/>
    </row>
    <row r="593" ht="15.75" customHeight="1">
      <c r="A593" s="25" t="str">
        <f>IFERROR(__xludf.DUMMYFUNCTION("IF(B593="""","""",RIGHT(REGEXREPLACE(B593&amp;"""",""[^0-9]"",""""),9))"),"741294418")</f>
        <v>741294418</v>
      </c>
      <c r="B593" s="52">
        <v>7.41294418E8</v>
      </c>
      <c r="C593" s="28" t="s">
        <v>779</v>
      </c>
      <c r="D593" s="26" t="s">
        <v>49</v>
      </c>
      <c r="E593" s="31">
        <v>46227.0</v>
      </c>
      <c r="F593" s="26" t="s">
        <v>41</v>
      </c>
      <c r="I593" s="26" t="s">
        <v>42</v>
      </c>
      <c r="J593" s="25" t="str">
        <f t="shared" si="28"/>
        <v>No</v>
      </c>
      <c r="K593" s="25" t="str">
        <f t="shared" si="29"/>
        <v/>
      </c>
      <c r="L593" s="25" t="str">
        <f t="shared" si="30"/>
        <v/>
      </c>
      <c r="M593" s="25"/>
      <c r="O593" s="25"/>
    </row>
    <row r="594" ht="15.75" customHeight="1">
      <c r="A594" s="25" t="str">
        <f>IFERROR(__xludf.DUMMYFUNCTION("IF(B594="""","""",RIGHT(REGEXREPLACE(B594&amp;"""",""[^0-9]"",""""),9))"),"750678821")</f>
        <v>750678821</v>
      </c>
      <c r="B594" s="52">
        <v>7.50678821E8</v>
      </c>
      <c r="C594" s="28" t="s">
        <v>780</v>
      </c>
      <c r="D594" s="26" t="s">
        <v>49</v>
      </c>
      <c r="E594" s="31">
        <v>46227.0</v>
      </c>
      <c r="F594" s="26" t="s">
        <v>41</v>
      </c>
      <c r="G594" s="26">
        <v>11.0</v>
      </c>
      <c r="H594" s="26" t="s">
        <v>677</v>
      </c>
      <c r="I594" s="26" t="s">
        <v>42</v>
      </c>
      <c r="J594" s="25" t="str">
        <f t="shared" si="28"/>
        <v>No</v>
      </c>
      <c r="K594" s="25" t="str">
        <f t="shared" si="29"/>
        <v/>
      </c>
      <c r="L594" s="25" t="str">
        <f t="shared" si="30"/>
        <v/>
      </c>
      <c r="M594" s="25"/>
      <c r="O594" s="25"/>
    </row>
    <row r="595" ht="15.75" customHeight="1">
      <c r="A595" s="25" t="str">
        <f>IFERROR(__xludf.DUMMYFUNCTION("IF(B595="""","""",RIGHT(REGEXREPLACE(B595&amp;"""",""[^0-9]"",""""),9))"),"715363020")</f>
        <v>715363020</v>
      </c>
      <c r="B595" s="52">
        <v>7.1536302E8</v>
      </c>
      <c r="C595" s="28" t="s">
        <v>781</v>
      </c>
      <c r="D595" s="26" t="s">
        <v>64</v>
      </c>
      <c r="E595" s="31">
        <v>46227.0</v>
      </c>
      <c r="F595" s="26" t="s">
        <v>84</v>
      </c>
      <c r="I595" s="26" t="s">
        <v>42</v>
      </c>
      <c r="J595" s="25" t="str">
        <f t="shared" si="28"/>
        <v>No</v>
      </c>
      <c r="K595" s="25" t="str">
        <f t="shared" si="29"/>
        <v/>
      </c>
      <c r="L595" s="25" t="str">
        <f t="shared" si="30"/>
        <v/>
      </c>
      <c r="M595" s="26" t="s">
        <v>43</v>
      </c>
      <c r="N595" s="26" t="s">
        <v>54</v>
      </c>
      <c r="O595" s="25"/>
    </row>
    <row r="596" ht="15.75" customHeight="1">
      <c r="A596" s="25" t="str">
        <f>IFERROR(__xludf.DUMMYFUNCTION("IF(B596="""","""",RIGHT(REGEXREPLACE(B596&amp;"""",""[^0-9]"",""""),9))"),"740879100")</f>
        <v>740879100</v>
      </c>
      <c r="B596" s="52">
        <v>7.408791E8</v>
      </c>
      <c r="C596" s="28" t="s">
        <v>782</v>
      </c>
      <c r="D596" s="26" t="s">
        <v>82</v>
      </c>
      <c r="E596" s="31">
        <v>46227.0</v>
      </c>
      <c r="F596" s="26" t="s">
        <v>46</v>
      </c>
      <c r="G596" s="26">
        <v>11.0</v>
      </c>
      <c r="I596" s="26" t="s">
        <v>42</v>
      </c>
      <c r="J596" s="25" t="str">
        <f t="shared" si="28"/>
        <v>No</v>
      </c>
      <c r="K596" s="25" t="str">
        <f t="shared" si="29"/>
        <v/>
      </c>
      <c r="L596" s="25" t="str">
        <f t="shared" si="30"/>
        <v/>
      </c>
      <c r="M596" s="25"/>
      <c r="O596" s="25"/>
    </row>
    <row r="597" ht="15.75" customHeight="1">
      <c r="A597" s="25" t="str">
        <f>IFERROR(__xludf.DUMMYFUNCTION("IF(B597="""","""",RIGHT(REGEXREPLACE(B597&amp;"""",""[^0-9]"",""""),9))"),"762336680")</f>
        <v>762336680</v>
      </c>
      <c r="B597" s="52">
        <v>7.6233668E8</v>
      </c>
      <c r="C597" s="28" t="s">
        <v>783</v>
      </c>
      <c r="D597" s="26" t="s">
        <v>56</v>
      </c>
      <c r="E597" s="31">
        <v>46227.0</v>
      </c>
      <c r="F597" s="26" t="s">
        <v>46</v>
      </c>
      <c r="G597" s="26">
        <v>11.0</v>
      </c>
      <c r="H597" s="26" t="s">
        <v>784</v>
      </c>
      <c r="I597" s="26" t="s">
        <v>42</v>
      </c>
      <c r="J597" s="25" t="str">
        <f t="shared" si="28"/>
        <v>No</v>
      </c>
      <c r="K597" s="25" t="str">
        <f t="shared" si="29"/>
        <v/>
      </c>
      <c r="L597" s="25" t="str">
        <f t="shared" si="30"/>
        <v/>
      </c>
      <c r="M597" s="25"/>
      <c r="O597" s="25"/>
    </row>
    <row r="598" ht="15.75" customHeight="1">
      <c r="A598" s="25" t="str">
        <f>IFERROR(__xludf.DUMMYFUNCTION("IF(B598="""","""",RIGHT(REGEXREPLACE(B598&amp;"""",""[^0-9]"",""""),9))"),"779322575")</f>
        <v>779322575</v>
      </c>
      <c r="B598" s="26">
        <v>7.79322575E8</v>
      </c>
      <c r="C598" s="28" t="s">
        <v>785</v>
      </c>
      <c r="D598" s="26" t="s">
        <v>37</v>
      </c>
      <c r="E598" s="31">
        <v>46227.0</v>
      </c>
      <c r="F598" s="26" t="s">
        <v>704</v>
      </c>
      <c r="I598" s="26" t="s">
        <v>42</v>
      </c>
      <c r="J598" s="25" t="str">
        <f t="shared" si="28"/>
        <v>No</v>
      </c>
      <c r="K598" s="25" t="str">
        <f t="shared" si="29"/>
        <v/>
      </c>
      <c r="L598" s="25" t="str">
        <f t="shared" si="30"/>
        <v/>
      </c>
      <c r="M598" s="25"/>
      <c r="O598" s="25"/>
    </row>
    <row r="599" ht="15.75" customHeight="1">
      <c r="A599" s="25" t="str">
        <f>IFERROR(__xludf.DUMMYFUNCTION("IF(B599="""","""",RIGHT(REGEXREPLACE(B599&amp;"""",""[^0-9]"",""""),9))"),"740570280")</f>
        <v>740570280</v>
      </c>
      <c r="B599" s="52">
        <v>7.4057028E8</v>
      </c>
      <c r="C599" s="28" t="s">
        <v>786</v>
      </c>
      <c r="D599" s="26" t="s">
        <v>49</v>
      </c>
      <c r="E599" s="31">
        <v>46227.0</v>
      </c>
      <c r="F599" s="26" t="s">
        <v>41</v>
      </c>
      <c r="G599" s="26">
        <v>11.0</v>
      </c>
      <c r="H599" s="26" t="s">
        <v>677</v>
      </c>
      <c r="I599" s="26" t="s">
        <v>42</v>
      </c>
      <c r="J599" s="25" t="str">
        <f t="shared" si="28"/>
        <v>No</v>
      </c>
      <c r="K599" s="25" t="str">
        <f t="shared" si="29"/>
        <v/>
      </c>
      <c r="L599" s="25" t="str">
        <f t="shared" si="30"/>
        <v/>
      </c>
      <c r="M599" s="25"/>
      <c r="O599" s="25"/>
    </row>
    <row r="600" ht="15.75" customHeight="1">
      <c r="A600" s="25" t="str">
        <f>IFERROR(__xludf.DUMMYFUNCTION("IF(B600="""","""",RIGHT(REGEXREPLACE(B600&amp;"""",""[^0-9]"",""""),9))"),"717659762")</f>
        <v>717659762</v>
      </c>
      <c r="B600" s="52">
        <v>7.17659762E8</v>
      </c>
      <c r="C600" s="28" t="s">
        <v>787</v>
      </c>
      <c r="D600" s="26" t="s">
        <v>64</v>
      </c>
      <c r="E600" s="31">
        <v>46227.0</v>
      </c>
      <c r="F600" s="26" t="s">
        <v>46</v>
      </c>
      <c r="G600" s="26">
        <v>11.0</v>
      </c>
      <c r="I600" s="26" t="s">
        <v>42</v>
      </c>
      <c r="J600" s="25" t="str">
        <f t="shared" si="28"/>
        <v>No</v>
      </c>
      <c r="K600" s="25" t="str">
        <f t="shared" si="29"/>
        <v/>
      </c>
      <c r="L600" s="25" t="str">
        <f t="shared" si="30"/>
        <v/>
      </c>
      <c r="M600" s="26" t="s">
        <v>51</v>
      </c>
      <c r="N600" s="26" t="s">
        <v>788</v>
      </c>
      <c r="O600" s="25"/>
    </row>
    <row r="601" ht="15.75" customHeight="1">
      <c r="A601" s="25" t="str">
        <f>IFERROR(__xludf.DUMMYFUNCTION("IF(B601="""","""",RIGHT(REGEXREPLACE(B601&amp;"""",""[^0-9]"",""""),9))"),"750544805")</f>
        <v>750544805</v>
      </c>
      <c r="B601" s="52">
        <v>7.50544805E8</v>
      </c>
      <c r="C601" s="28" t="s">
        <v>789</v>
      </c>
      <c r="D601" s="26" t="s">
        <v>49</v>
      </c>
      <c r="E601" s="31">
        <v>46227.0</v>
      </c>
      <c r="F601" s="26" t="s">
        <v>46</v>
      </c>
      <c r="G601" s="26">
        <v>11.0</v>
      </c>
      <c r="H601" s="26" t="s">
        <v>677</v>
      </c>
      <c r="I601" s="26" t="s">
        <v>42</v>
      </c>
      <c r="J601" s="25" t="str">
        <f t="shared" si="28"/>
        <v>No</v>
      </c>
      <c r="K601" s="25" t="str">
        <f t="shared" si="29"/>
        <v/>
      </c>
      <c r="L601" s="25" t="str">
        <f t="shared" si="30"/>
        <v/>
      </c>
      <c r="M601" s="25"/>
      <c r="O601" s="25"/>
    </row>
    <row r="602" ht="15.75" customHeight="1">
      <c r="A602" s="25" t="str">
        <f>IFERROR(__xludf.DUMMYFUNCTION("IF(B602="""","""",RIGHT(REGEXREPLACE(B602&amp;"""",""[^0-9]"",""""),9))"),"750903541")</f>
        <v>750903541</v>
      </c>
      <c r="B602" s="52">
        <v>7.50903541E8</v>
      </c>
      <c r="C602" s="28" t="s">
        <v>790</v>
      </c>
      <c r="D602" s="26" t="s">
        <v>45</v>
      </c>
      <c r="E602" s="31">
        <v>46227.0</v>
      </c>
      <c r="F602" s="26" t="s">
        <v>46</v>
      </c>
      <c r="G602" s="26">
        <v>11.0</v>
      </c>
      <c r="H602" s="26" t="s">
        <v>720</v>
      </c>
      <c r="I602" s="26" t="s">
        <v>42</v>
      </c>
      <c r="J602" s="25" t="str">
        <f t="shared" si="28"/>
        <v>No</v>
      </c>
      <c r="K602" s="25" t="str">
        <f t="shared" si="29"/>
        <v/>
      </c>
      <c r="L602" s="25" t="str">
        <f t="shared" si="30"/>
        <v/>
      </c>
      <c r="M602" s="25"/>
      <c r="O602" s="25"/>
    </row>
    <row r="603" ht="15.75" customHeight="1">
      <c r="A603" s="25" t="str">
        <f>IFERROR(__xludf.DUMMYFUNCTION("IF(B603="""","""",RIGHT(REGEXREPLACE(B603&amp;"""",""[^0-9]"",""""),9))"),"714069268")</f>
        <v>714069268</v>
      </c>
      <c r="B603" s="26">
        <v>7.14069268E8</v>
      </c>
      <c r="C603" s="28" t="s">
        <v>791</v>
      </c>
      <c r="D603" s="26" t="s">
        <v>37</v>
      </c>
      <c r="E603" s="31">
        <v>46227.0</v>
      </c>
      <c r="F603" s="26" t="s">
        <v>41</v>
      </c>
      <c r="I603" s="26" t="s">
        <v>42</v>
      </c>
      <c r="J603" s="25" t="str">
        <f t="shared" si="28"/>
        <v>No</v>
      </c>
      <c r="K603" s="25" t="str">
        <f t="shared" si="29"/>
        <v/>
      </c>
      <c r="L603" s="25" t="str">
        <f t="shared" si="30"/>
        <v/>
      </c>
      <c r="M603" s="25"/>
      <c r="O603" s="25"/>
    </row>
    <row r="604" ht="15.75" customHeight="1">
      <c r="A604" s="25" t="str">
        <f>IFERROR(__xludf.DUMMYFUNCTION("IF(B604="""","""",RIGHT(REGEXREPLACE(B604&amp;"""",""[^0-9]"",""""),9))"),"710949880")</f>
        <v>710949880</v>
      </c>
      <c r="B604" s="26">
        <v>7.1094988E8</v>
      </c>
      <c r="C604" s="28" t="s">
        <v>792</v>
      </c>
      <c r="D604" s="26" t="s">
        <v>37</v>
      </c>
      <c r="E604" s="31">
        <v>46227.0</v>
      </c>
      <c r="F604" s="26" t="s">
        <v>46</v>
      </c>
      <c r="G604" s="26">
        <v>11.0</v>
      </c>
      <c r="I604" s="26" t="s">
        <v>42</v>
      </c>
      <c r="J604" s="25" t="str">
        <f t="shared" si="28"/>
        <v>No</v>
      </c>
      <c r="K604" s="25" t="str">
        <f t="shared" si="29"/>
        <v/>
      </c>
      <c r="L604" s="25" t="str">
        <f t="shared" si="30"/>
        <v/>
      </c>
      <c r="M604" s="25"/>
      <c r="O604" s="25"/>
    </row>
    <row r="605" ht="15.75" customHeight="1">
      <c r="A605" s="25" t="str">
        <f>IFERROR(__xludf.DUMMYFUNCTION("IF(B605="""","""",RIGHT(REGEXREPLACE(B605&amp;"""",""[^0-9]"",""""),9))"),"772656299")</f>
        <v>772656299</v>
      </c>
      <c r="B605" s="52">
        <v>7.72656299E8</v>
      </c>
      <c r="C605" s="28" t="s">
        <v>793</v>
      </c>
      <c r="D605" s="26" t="s">
        <v>64</v>
      </c>
      <c r="E605" s="31">
        <v>46227.0</v>
      </c>
      <c r="F605" s="26" t="s">
        <v>205</v>
      </c>
      <c r="I605" s="26" t="s">
        <v>42</v>
      </c>
      <c r="J605" s="25" t="str">
        <f t="shared" si="28"/>
        <v>No</v>
      </c>
      <c r="K605" s="25" t="str">
        <f t="shared" si="29"/>
        <v/>
      </c>
      <c r="L605" s="25" t="str">
        <f t="shared" si="30"/>
        <v/>
      </c>
      <c r="M605" s="26" t="s">
        <v>43</v>
      </c>
      <c r="N605" s="26" t="s">
        <v>54</v>
      </c>
      <c r="O605" s="25"/>
    </row>
    <row r="606" ht="15.75" customHeight="1">
      <c r="A606" s="25" t="str">
        <f>IFERROR(__xludf.DUMMYFUNCTION("IF(B606="""","""",RIGHT(REGEXREPLACE(B606&amp;"""",""[^0-9]"",""""),9))"),"761705363")</f>
        <v>761705363</v>
      </c>
      <c r="B606" s="26">
        <v>7.61705363E8</v>
      </c>
      <c r="C606" s="28" t="s">
        <v>794</v>
      </c>
      <c r="D606" s="26" t="s">
        <v>37</v>
      </c>
      <c r="E606" s="31">
        <v>46227.0</v>
      </c>
      <c r="F606" s="26" t="s">
        <v>46</v>
      </c>
      <c r="G606" s="26">
        <v>11.0</v>
      </c>
      <c r="I606" s="26" t="s">
        <v>42</v>
      </c>
      <c r="J606" s="25" t="str">
        <f t="shared" si="28"/>
        <v>No</v>
      </c>
      <c r="K606" s="25" t="str">
        <f t="shared" si="29"/>
        <v/>
      </c>
      <c r="L606" s="25" t="str">
        <f t="shared" si="30"/>
        <v/>
      </c>
      <c r="M606" s="25"/>
      <c r="O606" s="25"/>
    </row>
    <row r="607" ht="15.75" customHeight="1">
      <c r="A607" s="25" t="str">
        <f>IFERROR(__xludf.DUMMYFUNCTION("IF(B607="""","""",RIGHT(REGEXREPLACE(B607&amp;"""",""[^0-9]"",""""),9))"),"720973423")</f>
        <v>720973423</v>
      </c>
      <c r="B607" s="52">
        <v>7.20973423E8</v>
      </c>
      <c r="C607" s="28" t="s">
        <v>795</v>
      </c>
      <c r="D607" s="26" t="s">
        <v>56</v>
      </c>
      <c r="E607" s="31">
        <v>46227.0</v>
      </c>
      <c r="F607" s="26" t="s">
        <v>205</v>
      </c>
      <c r="G607" s="26" t="s">
        <v>796</v>
      </c>
      <c r="I607" s="26" t="s">
        <v>42</v>
      </c>
      <c r="J607" s="25" t="str">
        <f t="shared" si="28"/>
        <v>No</v>
      </c>
      <c r="K607" s="25" t="str">
        <f t="shared" si="29"/>
        <v/>
      </c>
      <c r="L607" s="25" t="str">
        <f t="shared" si="30"/>
        <v/>
      </c>
      <c r="M607" s="25"/>
      <c r="O607" s="25"/>
    </row>
    <row r="608" ht="15.75" customHeight="1">
      <c r="A608" s="25" t="str">
        <f>IFERROR(__xludf.DUMMYFUNCTION("IF(B608="""","""",RIGHT(REGEXREPLACE(B608&amp;"""",""[^0-9]"",""""),9))"),"703112489")</f>
        <v>703112489</v>
      </c>
      <c r="B608" s="52">
        <v>7.03112489E8</v>
      </c>
      <c r="C608" s="28" t="s">
        <v>797</v>
      </c>
      <c r="D608" s="26" t="s">
        <v>45</v>
      </c>
      <c r="E608" s="31">
        <v>46227.0</v>
      </c>
      <c r="F608" s="26" t="s">
        <v>46</v>
      </c>
      <c r="G608" s="26">
        <v>11.0</v>
      </c>
      <c r="I608" s="26" t="s">
        <v>42</v>
      </c>
      <c r="J608" s="25" t="str">
        <f t="shared" si="28"/>
        <v>No</v>
      </c>
      <c r="K608" s="25" t="str">
        <f t="shared" si="29"/>
        <v/>
      </c>
      <c r="L608" s="25" t="str">
        <f t="shared" si="30"/>
        <v/>
      </c>
      <c r="M608" s="25"/>
      <c r="O608" s="25"/>
    </row>
    <row r="609" ht="15.75" customHeight="1">
      <c r="A609" s="25" t="str">
        <f>IFERROR(__xludf.DUMMYFUNCTION("IF(B609="""","""",RIGHT(REGEXREPLACE(B609&amp;"""",""[^0-9]"",""""),9))"),"715631475")</f>
        <v>715631475</v>
      </c>
      <c r="B609" s="52">
        <v>7.15631475E8</v>
      </c>
      <c r="C609" s="28" t="s">
        <v>798</v>
      </c>
      <c r="D609" s="26" t="s">
        <v>82</v>
      </c>
      <c r="E609" s="31">
        <v>46227.0</v>
      </c>
      <c r="F609" s="26" t="s">
        <v>46</v>
      </c>
      <c r="G609" s="26">
        <v>11.0</v>
      </c>
      <c r="I609" s="26" t="s">
        <v>42</v>
      </c>
      <c r="J609" s="25" t="str">
        <f t="shared" si="28"/>
        <v>No</v>
      </c>
      <c r="K609" s="25" t="str">
        <f t="shared" si="29"/>
        <v/>
      </c>
      <c r="L609" s="25" t="str">
        <f t="shared" si="30"/>
        <v/>
      </c>
      <c r="M609" s="25"/>
      <c r="O609" s="25"/>
    </row>
    <row r="610" ht="15.75" customHeight="1">
      <c r="A610" s="25" t="str">
        <f>IFERROR(__xludf.DUMMYFUNCTION("IF(B610="""","""",RIGHT(REGEXREPLACE(B610&amp;"""",""[^0-9]"",""""),9))"),"714254324")</f>
        <v>714254324</v>
      </c>
      <c r="B610" s="52">
        <v>7.14254324E8</v>
      </c>
      <c r="C610" s="28" t="s">
        <v>799</v>
      </c>
      <c r="D610" s="26" t="s">
        <v>64</v>
      </c>
      <c r="E610" s="31">
        <v>46227.0</v>
      </c>
      <c r="F610" s="26" t="s">
        <v>205</v>
      </c>
      <c r="I610" s="26" t="s">
        <v>42</v>
      </c>
      <c r="J610" s="25" t="str">
        <f t="shared" si="28"/>
        <v>No</v>
      </c>
      <c r="K610" s="25" t="str">
        <f t="shared" si="29"/>
        <v/>
      </c>
      <c r="L610" s="25" t="str">
        <f t="shared" si="30"/>
        <v/>
      </c>
      <c r="M610" s="26" t="s">
        <v>43</v>
      </c>
      <c r="N610" s="26" t="s">
        <v>54</v>
      </c>
      <c r="O610" s="25"/>
    </row>
    <row r="611" ht="15.75" customHeight="1">
      <c r="A611" s="25" t="str">
        <f>IFERROR(__xludf.DUMMYFUNCTION("IF(B611="""","""",RIGHT(REGEXREPLACE(B611&amp;"""",""[^0-9]"",""""),9))"),"718218324")</f>
        <v>718218324</v>
      </c>
      <c r="B611" s="52">
        <v>7.18218324E8</v>
      </c>
      <c r="C611" s="28" t="s">
        <v>800</v>
      </c>
      <c r="D611" s="26" t="s">
        <v>49</v>
      </c>
      <c r="E611" s="31">
        <v>46227.0</v>
      </c>
      <c r="F611" s="26" t="s">
        <v>41</v>
      </c>
      <c r="I611" s="26" t="s">
        <v>42</v>
      </c>
      <c r="J611" s="25" t="str">
        <f t="shared" si="28"/>
        <v>No</v>
      </c>
      <c r="K611" s="25" t="str">
        <f t="shared" si="29"/>
        <v/>
      </c>
      <c r="L611" s="25" t="str">
        <f t="shared" si="30"/>
        <v/>
      </c>
      <c r="M611" s="25"/>
      <c r="O611" s="26" t="s">
        <v>51</v>
      </c>
    </row>
    <row r="612" ht="15.75" customHeight="1">
      <c r="A612" s="25" t="str">
        <f>IFERROR(__xludf.DUMMYFUNCTION("IF(B612="""","""",RIGHT(REGEXREPLACE(B612&amp;"""",""[^0-9]"",""""),9))"),"740214616")</f>
        <v>740214616</v>
      </c>
      <c r="B612" s="26">
        <v>7.40214616E8</v>
      </c>
      <c r="C612" s="28" t="s">
        <v>801</v>
      </c>
      <c r="D612" s="26" t="s">
        <v>37</v>
      </c>
      <c r="E612" s="31">
        <v>46227.0</v>
      </c>
      <c r="F612" s="26" t="s">
        <v>704</v>
      </c>
      <c r="G612" s="26">
        <v>8.0</v>
      </c>
      <c r="I612" s="26" t="s">
        <v>42</v>
      </c>
      <c r="J612" s="25" t="str">
        <f t="shared" si="28"/>
        <v>No</v>
      </c>
      <c r="K612" s="25" t="str">
        <f t="shared" si="29"/>
        <v/>
      </c>
      <c r="L612" s="25" t="str">
        <f t="shared" si="30"/>
        <v/>
      </c>
      <c r="M612" s="25"/>
      <c r="O612" s="25"/>
    </row>
    <row r="613" ht="15.75" customHeight="1">
      <c r="A613" s="25" t="str">
        <f>IFERROR(__xludf.DUMMYFUNCTION("IF(B613="""","""",RIGHT(REGEXREPLACE(B613&amp;"""",""[^0-9]"",""""),9))"),"769425758")</f>
        <v>769425758</v>
      </c>
      <c r="B613" s="52">
        <v>7.69425758E8</v>
      </c>
      <c r="C613" s="28" t="s">
        <v>802</v>
      </c>
      <c r="D613" s="26" t="s">
        <v>56</v>
      </c>
      <c r="E613" s="31">
        <v>46227.0</v>
      </c>
      <c r="F613" s="26" t="s">
        <v>205</v>
      </c>
      <c r="I613" s="26" t="s">
        <v>42</v>
      </c>
      <c r="J613" s="25" t="str">
        <f t="shared" si="28"/>
        <v>No</v>
      </c>
      <c r="K613" s="25" t="str">
        <f t="shared" si="29"/>
        <v/>
      </c>
      <c r="L613" s="25" t="str">
        <f t="shared" si="30"/>
        <v/>
      </c>
      <c r="M613" s="25"/>
      <c r="O613" s="25"/>
    </row>
    <row r="614" ht="15.75" customHeight="1">
      <c r="A614" s="25" t="str">
        <f>IFERROR(__xludf.DUMMYFUNCTION("IF(B614="""","""",RIGHT(REGEXREPLACE(B614&amp;"""",""[^0-9]"",""""),9))"),"756090349")</f>
        <v>756090349</v>
      </c>
      <c r="B614" s="52">
        <v>7.56090349E8</v>
      </c>
      <c r="C614" s="28" t="s">
        <v>803</v>
      </c>
      <c r="D614" s="26" t="s">
        <v>82</v>
      </c>
      <c r="E614" s="31">
        <v>46227.0</v>
      </c>
      <c r="F614" s="26" t="s">
        <v>46</v>
      </c>
      <c r="I614" s="26" t="s">
        <v>42</v>
      </c>
      <c r="J614" s="25" t="str">
        <f t="shared" si="28"/>
        <v>No</v>
      </c>
      <c r="K614" s="25" t="str">
        <f t="shared" si="29"/>
        <v/>
      </c>
      <c r="L614" s="25" t="str">
        <f t="shared" si="30"/>
        <v/>
      </c>
      <c r="M614" s="25"/>
      <c r="O614" s="25"/>
    </row>
    <row r="615" ht="15.75" customHeight="1">
      <c r="A615" s="25" t="str">
        <f>IFERROR(__xludf.DUMMYFUNCTION("IF(B615="""","""",RIGHT(REGEXREPLACE(B615&amp;"""",""[^0-9]"",""""),9))"),"778363889")</f>
        <v>778363889</v>
      </c>
      <c r="B615" s="26">
        <v>7.78363889E8</v>
      </c>
      <c r="C615" s="28" t="s">
        <v>804</v>
      </c>
      <c r="D615" s="26" t="s">
        <v>37</v>
      </c>
      <c r="E615" s="31">
        <v>46227.0</v>
      </c>
      <c r="F615" s="26" t="s">
        <v>46</v>
      </c>
      <c r="G615" s="26">
        <v>10.0</v>
      </c>
      <c r="I615" s="26" t="s">
        <v>42</v>
      </c>
      <c r="J615" s="25" t="str">
        <f t="shared" si="28"/>
        <v>No</v>
      </c>
      <c r="K615" s="25" t="str">
        <f t="shared" si="29"/>
        <v/>
      </c>
      <c r="L615" s="25" t="str">
        <f t="shared" si="30"/>
        <v/>
      </c>
      <c r="M615" s="25"/>
      <c r="O615" s="25"/>
    </row>
    <row r="616" ht="15.75" customHeight="1">
      <c r="A616" s="25" t="str">
        <f>IFERROR(__xludf.DUMMYFUNCTION("IF(B616="""","""",RIGHT(REGEXREPLACE(B616&amp;"""",""[^0-9]"",""""),9))"),"774723121")</f>
        <v>774723121</v>
      </c>
      <c r="B616" s="26">
        <v>7.74723121E8</v>
      </c>
      <c r="C616" s="28" t="s">
        <v>68</v>
      </c>
      <c r="D616" s="26" t="s">
        <v>37</v>
      </c>
      <c r="E616" s="31">
        <v>46227.0</v>
      </c>
      <c r="F616" s="26" t="s">
        <v>46</v>
      </c>
      <c r="G616" s="26">
        <v>10.0</v>
      </c>
      <c r="I616" s="26" t="s">
        <v>42</v>
      </c>
      <c r="J616" s="25" t="str">
        <f t="shared" si="28"/>
        <v>No</v>
      </c>
      <c r="K616" s="25" t="str">
        <f t="shared" si="29"/>
        <v/>
      </c>
      <c r="L616" s="25" t="str">
        <f t="shared" si="30"/>
        <v/>
      </c>
      <c r="M616" s="25"/>
      <c r="O616" s="25"/>
    </row>
    <row r="617" ht="15.75" customHeight="1">
      <c r="A617" s="25" t="str">
        <f>IFERROR(__xludf.DUMMYFUNCTION("IF(B617="""","""",RIGHT(REGEXREPLACE(B617&amp;"""",""[^0-9]"",""""),9))"),"766415042")</f>
        <v>766415042</v>
      </c>
      <c r="B617" s="52">
        <v>7.66415042E8</v>
      </c>
      <c r="C617" s="28" t="s">
        <v>805</v>
      </c>
      <c r="D617" s="26" t="s">
        <v>64</v>
      </c>
      <c r="E617" s="31">
        <v>46227.0</v>
      </c>
      <c r="F617" s="26" t="s">
        <v>41</v>
      </c>
      <c r="G617" s="26">
        <v>10.0</v>
      </c>
      <c r="I617" s="26" t="s">
        <v>42</v>
      </c>
      <c r="J617" s="25" t="str">
        <f t="shared" si="28"/>
        <v>No</v>
      </c>
      <c r="K617" s="25" t="str">
        <f t="shared" si="29"/>
        <v/>
      </c>
      <c r="L617" s="25" t="str">
        <f t="shared" si="30"/>
        <v/>
      </c>
      <c r="M617" s="26" t="s">
        <v>43</v>
      </c>
      <c r="N617" s="26" t="s">
        <v>61</v>
      </c>
      <c r="O617" s="25"/>
    </row>
    <row r="618" ht="15.75" customHeight="1">
      <c r="A618" s="25" t="str">
        <f>IFERROR(__xludf.DUMMYFUNCTION("IF(B618="""","""",RIGHT(REGEXREPLACE(B618&amp;"""",""[^0-9]"",""""),9))"),"779898948")</f>
        <v>779898948</v>
      </c>
      <c r="B618" s="52">
        <v>7.79898948E8</v>
      </c>
      <c r="C618" s="28" t="s">
        <v>806</v>
      </c>
      <c r="D618" s="26" t="s">
        <v>45</v>
      </c>
      <c r="E618" s="31">
        <v>46227.0</v>
      </c>
      <c r="F618" s="26" t="s">
        <v>46</v>
      </c>
      <c r="G618" s="26">
        <v>10.0</v>
      </c>
      <c r="I618" s="26" t="s">
        <v>42</v>
      </c>
      <c r="J618" s="25" t="str">
        <f t="shared" si="28"/>
        <v>No</v>
      </c>
      <c r="K618" s="25" t="str">
        <f t="shared" si="29"/>
        <v/>
      </c>
      <c r="L618" s="25" t="str">
        <f t="shared" si="30"/>
        <v/>
      </c>
      <c r="M618" s="25"/>
      <c r="O618" s="25"/>
    </row>
    <row r="619" ht="15.75" customHeight="1">
      <c r="A619" s="25" t="str">
        <f>IFERROR(__xludf.DUMMYFUNCTION("IF(B619="""","""",RIGHT(REGEXREPLACE(B619&amp;"""",""[^0-9]"",""""),9))"),"776783358")</f>
        <v>776783358</v>
      </c>
      <c r="B619" s="52">
        <v>7.76783358E8</v>
      </c>
      <c r="C619" s="28" t="s">
        <v>807</v>
      </c>
      <c r="D619" s="26" t="s">
        <v>56</v>
      </c>
      <c r="E619" s="31">
        <v>46227.0</v>
      </c>
      <c r="F619" s="26" t="s">
        <v>46</v>
      </c>
      <c r="H619" s="26" t="s">
        <v>140</v>
      </c>
      <c r="I619" s="26" t="s">
        <v>42</v>
      </c>
      <c r="J619" s="25" t="str">
        <f t="shared" si="28"/>
        <v>No</v>
      </c>
      <c r="K619" s="25" t="str">
        <f t="shared" si="29"/>
        <v/>
      </c>
      <c r="L619" s="25" t="str">
        <f t="shared" si="30"/>
        <v/>
      </c>
      <c r="M619" s="25"/>
      <c r="O619" s="25"/>
    </row>
    <row r="620" ht="15.75" customHeight="1">
      <c r="A620" s="25" t="str">
        <f>IFERROR(__xludf.DUMMYFUNCTION("IF(B620="""","""",RIGHT(REGEXREPLACE(B620&amp;"""",""[^0-9]"",""""),9))"),"760141226")</f>
        <v>760141226</v>
      </c>
      <c r="B620" s="52">
        <v>7.60141226E8</v>
      </c>
      <c r="C620" s="28" t="s">
        <v>808</v>
      </c>
      <c r="D620" s="26" t="s">
        <v>49</v>
      </c>
      <c r="E620" s="31">
        <v>46227.0</v>
      </c>
      <c r="F620" s="26" t="s">
        <v>46</v>
      </c>
      <c r="G620" s="26">
        <v>11.0</v>
      </c>
      <c r="I620" s="26" t="s">
        <v>42</v>
      </c>
      <c r="J620" s="25" t="str">
        <f t="shared" si="28"/>
        <v>No</v>
      </c>
      <c r="K620" s="25" t="str">
        <f t="shared" si="29"/>
        <v/>
      </c>
      <c r="L620" s="25" t="str">
        <f t="shared" si="30"/>
        <v/>
      </c>
      <c r="M620" s="25"/>
      <c r="O620" s="25"/>
    </row>
    <row r="621" ht="15.75" customHeight="1">
      <c r="A621" s="25" t="str">
        <f>IFERROR(__xludf.DUMMYFUNCTION("IF(B621="""","""",RIGHT(REGEXREPLACE(B621&amp;"""",""[^0-9]"",""""),9))"),"770825608")</f>
        <v>770825608</v>
      </c>
      <c r="B621" s="52">
        <v>7.70825608E8</v>
      </c>
      <c r="C621" s="28" t="s">
        <v>809</v>
      </c>
      <c r="D621" s="26" t="s">
        <v>64</v>
      </c>
      <c r="E621" s="31">
        <v>46227.0</v>
      </c>
      <c r="F621" s="26" t="s">
        <v>205</v>
      </c>
      <c r="G621" s="26">
        <v>11.0</v>
      </c>
      <c r="I621" s="26" t="s">
        <v>42</v>
      </c>
      <c r="J621" s="25" t="str">
        <f t="shared" si="28"/>
        <v>No</v>
      </c>
      <c r="K621" s="25" t="str">
        <f t="shared" si="29"/>
        <v/>
      </c>
      <c r="L621" s="25" t="str">
        <f t="shared" si="30"/>
        <v/>
      </c>
      <c r="M621" s="26" t="s">
        <v>43</v>
      </c>
      <c r="N621" s="26" t="s">
        <v>54</v>
      </c>
      <c r="O621" s="25"/>
    </row>
    <row r="622" ht="15.75" customHeight="1">
      <c r="A622" s="25" t="str">
        <f>IFERROR(__xludf.DUMMYFUNCTION("IF(B622="""","""",RIGHT(REGEXREPLACE(B622&amp;"""",""[^0-9]"",""""),9))"),"701046338")</f>
        <v>701046338</v>
      </c>
      <c r="B622" s="52">
        <v>7.01046338E8</v>
      </c>
      <c r="C622" s="28" t="s">
        <v>810</v>
      </c>
      <c r="D622" s="26" t="s">
        <v>82</v>
      </c>
      <c r="E622" s="31">
        <v>46227.0</v>
      </c>
      <c r="F622" s="26" t="s">
        <v>704</v>
      </c>
      <c r="G622" s="26">
        <v>11.0</v>
      </c>
      <c r="I622" s="26" t="s">
        <v>42</v>
      </c>
      <c r="J622" s="25" t="str">
        <f t="shared" si="28"/>
        <v>No</v>
      </c>
      <c r="K622" s="25" t="str">
        <f t="shared" si="29"/>
        <v/>
      </c>
      <c r="L622" s="25" t="str">
        <f t="shared" si="30"/>
        <v/>
      </c>
      <c r="M622" s="25"/>
      <c r="O622" s="25"/>
    </row>
    <row r="623" ht="15.75" customHeight="1">
      <c r="A623" s="25" t="str">
        <f>IFERROR(__xludf.DUMMYFUNCTION("IF(B623="""","""",RIGHT(REGEXREPLACE(B623&amp;"""",""[^0-9]"",""""),9))"),"764248757")</f>
        <v>764248757</v>
      </c>
      <c r="B623" s="26">
        <v>7.64248757E8</v>
      </c>
      <c r="C623" s="28" t="s">
        <v>811</v>
      </c>
      <c r="D623" s="26" t="s">
        <v>37</v>
      </c>
      <c r="E623" s="31">
        <v>46227.0</v>
      </c>
      <c r="F623" s="26" t="s">
        <v>46</v>
      </c>
      <c r="G623" s="26">
        <v>11.0</v>
      </c>
      <c r="I623" s="26" t="s">
        <v>42</v>
      </c>
      <c r="J623" s="25" t="str">
        <f t="shared" si="28"/>
        <v>No</v>
      </c>
      <c r="K623" s="25" t="str">
        <f t="shared" si="29"/>
        <v/>
      </c>
      <c r="L623" s="25" t="str">
        <f t="shared" si="30"/>
        <v/>
      </c>
      <c r="M623" s="25"/>
      <c r="O623" s="25"/>
    </row>
    <row r="624" ht="15.75" customHeight="1">
      <c r="A624" s="25" t="str">
        <f>IFERROR(__xludf.DUMMYFUNCTION("IF(B624="""","""",RIGHT(REGEXREPLACE(B624&amp;"""",""[^0-9]"",""""),9))"),"776930379")</f>
        <v>776930379</v>
      </c>
      <c r="B624" s="52">
        <v>7.76930379E8</v>
      </c>
      <c r="C624" s="28" t="s">
        <v>812</v>
      </c>
      <c r="D624" s="26" t="s">
        <v>56</v>
      </c>
      <c r="E624" s="31">
        <v>46227.0</v>
      </c>
      <c r="F624" s="26" t="s">
        <v>46</v>
      </c>
      <c r="G624" s="26">
        <v>10.0</v>
      </c>
      <c r="H624" s="26" t="s">
        <v>140</v>
      </c>
      <c r="I624" s="26" t="s">
        <v>42</v>
      </c>
      <c r="J624" s="25" t="str">
        <f t="shared" si="28"/>
        <v>No</v>
      </c>
      <c r="K624" s="25" t="str">
        <f t="shared" si="29"/>
        <v/>
      </c>
      <c r="L624" s="25" t="str">
        <f t="shared" si="30"/>
        <v/>
      </c>
      <c r="M624" s="25"/>
      <c r="O624" s="25"/>
    </row>
    <row r="625" ht="15.75" customHeight="1">
      <c r="A625" s="25" t="str">
        <f>IFERROR(__xludf.DUMMYFUNCTION("IF(B625="""","""",RIGHT(REGEXREPLACE(B625&amp;"""",""[^0-9]"",""""),9))"),"777372349")</f>
        <v>777372349</v>
      </c>
      <c r="B625" s="52">
        <v>7.77372349E8</v>
      </c>
      <c r="C625" s="28" t="s">
        <v>813</v>
      </c>
      <c r="D625" s="26" t="s">
        <v>82</v>
      </c>
      <c r="E625" s="31">
        <v>46227.0</v>
      </c>
      <c r="F625" s="26" t="s">
        <v>814</v>
      </c>
      <c r="G625" s="26">
        <v>11.0</v>
      </c>
      <c r="H625" s="26">
        <v>7.7528088E7</v>
      </c>
      <c r="I625" s="26" t="s">
        <v>42</v>
      </c>
      <c r="J625" s="25" t="str">
        <f t="shared" si="28"/>
        <v>No</v>
      </c>
      <c r="K625" s="25" t="str">
        <f t="shared" si="29"/>
        <v/>
      </c>
      <c r="L625" s="25" t="str">
        <f t="shared" si="30"/>
        <v/>
      </c>
      <c r="M625" s="25"/>
      <c r="O625" s="25"/>
    </row>
    <row r="626" ht="15.75" customHeight="1">
      <c r="A626" s="25" t="str">
        <f>IFERROR(__xludf.DUMMYFUNCTION("IF(B626="""","""",RIGHT(REGEXREPLACE(B626&amp;"""",""[^0-9]"",""""),9))"),"778187548")</f>
        <v>778187548</v>
      </c>
      <c r="B626" s="52">
        <v>7.78187548E8</v>
      </c>
      <c r="C626" s="28" t="s">
        <v>815</v>
      </c>
      <c r="D626" s="26" t="s">
        <v>49</v>
      </c>
      <c r="E626" s="31">
        <v>46227.0</v>
      </c>
      <c r="F626" s="26" t="s">
        <v>41</v>
      </c>
      <c r="G626" s="26">
        <v>11.0</v>
      </c>
      <c r="H626" s="26" t="s">
        <v>677</v>
      </c>
      <c r="I626" s="26" t="s">
        <v>42</v>
      </c>
      <c r="J626" s="25" t="str">
        <f t="shared" si="28"/>
        <v>No</v>
      </c>
      <c r="K626" s="25" t="str">
        <f t="shared" si="29"/>
        <v/>
      </c>
      <c r="L626" s="25" t="str">
        <f t="shared" si="30"/>
        <v/>
      </c>
      <c r="M626" s="25"/>
      <c r="O626" s="25"/>
    </row>
    <row r="627" ht="15.75" customHeight="1">
      <c r="A627" s="25" t="str">
        <f>IFERROR(__xludf.DUMMYFUNCTION("IF(B627="""","""",RIGHT(REGEXREPLACE(B627&amp;"""",""[^0-9]"",""""),9))"),"760283199")</f>
        <v>760283199</v>
      </c>
      <c r="B627" s="52">
        <v>7.60283199E8</v>
      </c>
      <c r="C627" s="28" t="s">
        <v>816</v>
      </c>
      <c r="D627" s="26" t="s">
        <v>45</v>
      </c>
      <c r="E627" s="31">
        <v>46227.0</v>
      </c>
      <c r="F627" s="26" t="s">
        <v>41</v>
      </c>
      <c r="H627" s="26" t="s">
        <v>677</v>
      </c>
      <c r="I627" s="26" t="s">
        <v>42</v>
      </c>
      <c r="J627" s="25" t="str">
        <f t="shared" si="28"/>
        <v>No</v>
      </c>
      <c r="K627" s="25" t="str">
        <f t="shared" si="29"/>
        <v/>
      </c>
      <c r="L627" s="25" t="str">
        <f t="shared" si="30"/>
        <v/>
      </c>
      <c r="M627" s="25"/>
      <c r="O627" s="25"/>
    </row>
    <row r="628" ht="15.75" customHeight="1">
      <c r="A628" s="25" t="str">
        <f>IFERROR(__xludf.DUMMYFUNCTION("IF(B628="""","""",RIGHT(REGEXREPLACE(B628&amp;"""",""[^0-9]"",""""),9))"),"760604666")</f>
        <v>760604666</v>
      </c>
      <c r="B628" s="26">
        <v>7.60604666E8</v>
      </c>
      <c r="C628" s="28" t="s">
        <v>817</v>
      </c>
      <c r="D628" s="26" t="s">
        <v>37</v>
      </c>
      <c r="E628" s="31">
        <v>46227.0</v>
      </c>
      <c r="F628" s="26" t="s">
        <v>164</v>
      </c>
      <c r="I628" s="26" t="s">
        <v>42</v>
      </c>
      <c r="J628" s="25" t="str">
        <f t="shared" si="28"/>
        <v>No</v>
      </c>
      <c r="K628" s="25" t="str">
        <f t="shared" si="29"/>
        <v/>
      </c>
      <c r="L628" s="25" t="str">
        <f t="shared" si="30"/>
        <v/>
      </c>
      <c r="M628" s="25"/>
      <c r="O628" s="25"/>
    </row>
    <row r="629" ht="15.75" customHeight="1">
      <c r="A629" s="25" t="str">
        <f>IFERROR(__xludf.DUMMYFUNCTION("IF(B629="""","""",RIGHT(REGEXREPLACE(B629&amp;"""",""[^0-9]"",""""),9))"),"770477857")</f>
        <v>770477857</v>
      </c>
      <c r="B629" s="52">
        <v>7.70477857E8</v>
      </c>
      <c r="C629" s="28" t="s">
        <v>818</v>
      </c>
      <c r="D629" s="26" t="s">
        <v>45</v>
      </c>
      <c r="E629" s="31">
        <v>46227.0</v>
      </c>
      <c r="F629" s="26" t="s">
        <v>46</v>
      </c>
      <c r="G629" s="26">
        <v>10.0</v>
      </c>
      <c r="H629" s="26" t="s">
        <v>819</v>
      </c>
      <c r="I629" s="26" t="s">
        <v>42</v>
      </c>
      <c r="J629" s="25" t="str">
        <f t="shared" si="28"/>
        <v>No</v>
      </c>
      <c r="K629" s="25" t="str">
        <f t="shared" si="29"/>
        <v/>
      </c>
      <c r="L629" s="25" t="str">
        <f t="shared" si="30"/>
        <v/>
      </c>
      <c r="M629" s="25"/>
      <c r="O629" s="25"/>
    </row>
    <row r="630" ht="15.75" customHeight="1">
      <c r="A630" s="25" t="str">
        <f>IFERROR(__xludf.DUMMYFUNCTION("IF(B630="""","""",RIGHT(REGEXREPLACE(B630&amp;"""",""[^0-9]"",""""),9))"),"752599068")</f>
        <v>752599068</v>
      </c>
      <c r="B630" s="52">
        <v>7.52599068E8</v>
      </c>
      <c r="C630" s="28" t="s">
        <v>820</v>
      </c>
      <c r="D630" s="26" t="s">
        <v>64</v>
      </c>
      <c r="E630" s="31">
        <v>46227.0</v>
      </c>
      <c r="F630" s="26" t="s">
        <v>41</v>
      </c>
      <c r="I630" s="26" t="s">
        <v>42</v>
      </c>
      <c r="J630" s="25" t="str">
        <f t="shared" si="28"/>
        <v>No</v>
      </c>
      <c r="K630" s="25" t="str">
        <f t="shared" si="29"/>
        <v/>
      </c>
      <c r="L630" s="25" t="str">
        <f t="shared" si="30"/>
        <v/>
      </c>
      <c r="M630" s="26" t="s">
        <v>43</v>
      </c>
      <c r="N630" s="26" t="s">
        <v>61</v>
      </c>
      <c r="O630" s="25"/>
    </row>
    <row r="631" ht="15.75" customHeight="1">
      <c r="A631" s="25" t="str">
        <f>IFERROR(__xludf.DUMMYFUNCTION("IF(B631="""","""",RIGHT(REGEXREPLACE(B631&amp;"""",""[^0-9]"",""""),9))"),"713051985")</f>
        <v>713051985</v>
      </c>
      <c r="B631" s="52">
        <v>7.13051985E8</v>
      </c>
      <c r="C631" s="28" t="s">
        <v>821</v>
      </c>
      <c r="D631" s="26" t="s">
        <v>49</v>
      </c>
      <c r="E631" s="31">
        <v>46227.0</v>
      </c>
      <c r="F631" s="26" t="s">
        <v>46</v>
      </c>
      <c r="G631" s="26">
        <v>11.0</v>
      </c>
      <c r="H631" s="26" t="s">
        <v>677</v>
      </c>
      <c r="I631" s="26" t="s">
        <v>42</v>
      </c>
      <c r="J631" s="25" t="str">
        <f t="shared" si="28"/>
        <v>No</v>
      </c>
      <c r="K631" s="25" t="str">
        <f t="shared" si="29"/>
        <v/>
      </c>
      <c r="L631" s="25" t="str">
        <f t="shared" si="30"/>
        <v/>
      </c>
      <c r="M631" s="25"/>
      <c r="O631" s="25"/>
    </row>
    <row r="632" ht="15.75" customHeight="1">
      <c r="A632" s="25" t="str">
        <f>IFERROR(__xludf.DUMMYFUNCTION("IF(B632="""","""",RIGHT(REGEXREPLACE(B632&amp;"""",""[^0-9]"",""""),9))"),"771574079")</f>
        <v>771574079</v>
      </c>
      <c r="B632" s="26">
        <v>7.71574079E8</v>
      </c>
      <c r="C632" s="28" t="s">
        <v>818</v>
      </c>
      <c r="D632" s="26" t="s">
        <v>37</v>
      </c>
      <c r="E632" s="31">
        <v>46227.0</v>
      </c>
      <c r="F632" s="26" t="s">
        <v>46</v>
      </c>
      <c r="G632" s="26">
        <v>10.0</v>
      </c>
      <c r="I632" s="26" t="s">
        <v>42</v>
      </c>
      <c r="J632" s="25" t="str">
        <f t="shared" si="28"/>
        <v>No</v>
      </c>
      <c r="K632" s="25" t="str">
        <f t="shared" si="29"/>
        <v/>
      </c>
      <c r="L632" s="25" t="str">
        <f t="shared" si="30"/>
        <v/>
      </c>
      <c r="M632" s="25"/>
      <c r="O632" s="25"/>
    </row>
    <row r="633" ht="15.75" customHeight="1">
      <c r="A633" s="25" t="str">
        <f>IFERROR(__xludf.DUMMYFUNCTION("IF(B633="""","""",RIGHT(REGEXREPLACE(B633&amp;"""",""[^0-9]"",""""),9))"),"756742007")</f>
        <v>756742007</v>
      </c>
      <c r="B633" s="52">
        <v>7.56742007E8</v>
      </c>
      <c r="C633" s="28" t="s">
        <v>822</v>
      </c>
      <c r="D633" s="26" t="s">
        <v>64</v>
      </c>
      <c r="E633" s="31">
        <v>46227.0</v>
      </c>
      <c r="F633" s="26" t="s">
        <v>46</v>
      </c>
      <c r="G633" s="26">
        <v>11.0</v>
      </c>
      <c r="I633" s="26" t="s">
        <v>42</v>
      </c>
      <c r="J633" s="25" t="str">
        <f t="shared" si="28"/>
        <v>No</v>
      </c>
      <c r="K633" s="25" t="str">
        <f t="shared" si="29"/>
        <v/>
      </c>
      <c r="L633" s="25" t="str">
        <f t="shared" si="30"/>
        <v/>
      </c>
      <c r="M633" s="26" t="s">
        <v>51</v>
      </c>
      <c r="N633" s="26" t="s">
        <v>756</v>
      </c>
      <c r="O633" s="25"/>
    </row>
    <row r="634" ht="15.75" customHeight="1">
      <c r="A634" s="25" t="str">
        <f>IFERROR(__xludf.DUMMYFUNCTION("IF(B634="""","""",RIGHT(REGEXREPLACE(B634&amp;"""",""[^0-9]"",""""),9))"),"768342155")</f>
        <v>768342155</v>
      </c>
      <c r="B634" s="52">
        <v>7.68342155E8</v>
      </c>
      <c r="C634" s="28" t="s">
        <v>823</v>
      </c>
      <c r="D634" s="26" t="s">
        <v>45</v>
      </c>
      <c r="E634" s="31">
        <v>46227.0</v>
      </c>
      <c r="F634" s="26" t="s">
        <v>46</v>
      </c>
      <c r="G634" s="26">
        <v>10.0</v>
      </c>
      <c r="I634" s="26" t="s">
        <v>42</v>
      </c>
      <c r="J634" s="25" t="str">
        <f t="shared" si="28"/>
        <v>No</v>
      </c>
      <c r="K634" s="25" t="str">
        <f t="shared" si="29"/>
        <v/>
      </c>
      <c r="L634" s="25" t="str">
        <f t="shared" si="30"/>
        <v/>
      </c>
      <c r="M634" s="25"/>
      <c r="O634" s="25"/>
    </row>
    <row r="635" ht="15.75" customHeight="1">
      <c r="A635" s="25" t="str">
        <f>IFERROR(__xludf.DUMMYFUNCTION("IF(B635="""","""",RIGHT(REGEXREPLACE(B635&amp;"""",""[^0-9]"",""""),9))"),"763156606")</f>
        <v>763156606</v>
      </c>
      <c r="B635" s="52">
        <v>7.63156606E8</v>
      </c>
      <c r="C635" s="28" t="s">
        <v>824</v>
      </c>
      <c r="D635" s="26" t="s">
        <v>49</v>
      </c>
      <c r="E635" s="31">
        <v>46227.0</v>
      </c>
      <c r="F635" s="26" t="s">
        <v>46</v>
      </c>
      <c r="G635" s="26">
        <v>11.0</v>
      </c>
      <c r="H635" s="26" t="s">
        <v>677</v>
      </c>
      <c r="I635" s="26" t="s">
        <v>42</v>
      </c>
      <c r="J635" s="25" t="str">
        <f t="shared" si="28"/>
        <v>No</v>
      </c>
      <c r="K635" s="25" t="str">
        <f t="shared" si="29"/>
        <v/>
      </c>
      <c r="L635" s="25" t="str">
        <f t="shared" si="30"/>
        <v/>
      </c>
      <c r="M635" s="25"/>
      <c r="O635" s="25"/>
    </row>
    <row r="636" ht="15.75" customHeight="1">
      <c r="A636" s="25" t="str">
        <f>IFERROR(__xludf.DUMMYFUNCTION("IF(B636="""","""",RIGHT(REGEXREPLACE(B636&amp;"""",""[^0-9]"",""""),9))"),"761647028")</f>
        <v>761647028</v>
      </c>
      <c r="B636" s="52">
        <v>7.61647028E8</v>
      </c>
      <c r="C636" s="28" t="s">
        <v>825</v>
      </c>
      <c r="D636" s="26" t="s">
        <v>82</v>
      </c>
      <c r="E636" s="31">
        <v>46227.0</v>
      </c>
      <c r="F636" s="26" t="s">
        <v>46</v>
      </c>
      <c r="G636" s="26">
        <v>11.0</v>
      </c>
      <c r="I636" s="26" t="s">
        <v>42</v>
      </c>
      <c r="J636" s="25" t="str">
        <f t="shared" si="28"/>
        <v>No</v>
      </c>
      <c r="K636" s="25" t="str">
        <f t="shared" si="29"/>
        <v/>
      </c>
      <c r="L636" s="25" t="str">
        <f t="shared" si="30"/>
        <v/>
      </c>
      <c r="M636" s="25"/>
      <c r="O636" s="25"/>
    </row>
    <row r="637" ht="15.75" customHeight="1">
      <c r="A637" s="25" t="str">
        <f>IFERROR(__xludf.DUMMYFUNCTION("IF(B637="""","""",RIGHT(REGEXREPLACE(B637&amp;"""",""[^0-9]"",""""),9))"),"725189766")</f>
        <v>725189766</v>
      </c>
      <c r="B637" s="26">
        <v>7.25189766E8</v>
      </c>
      <c r="C637" s="28" t="s">
        <v>826</v>
      </c>
      <c r="D637" s="26" t="s">
        <v>37</v>
      </c>
      <c r="E637" s="31">
        <v>46227.0</v>
      </c>
      <c r="F637" s="26" t="s">
        <v>46</v>
      </c>
      <c r="G637" s="26">
        <v>11.0</v>
      </c>
      <c r="I637" s="26" t="s">
        <v>42</v>
      </c>
      <c r="J637" s="25" t="str">
        <f t="shared" si="28"/>
        <v>No</v>
      </c>
      <c r="K637" s="25" t="str">
        <f t="shared" si="29"/>
        <v/>
      </c>
      <c r="L637" s="25" t="str">
        <f t="shared" si="30"/>
        <v/>
      </c>
      <c r="M637" s="25"/>
      <c r="O637" s="25"/>
    </row>
    <row r="638" ht="15.75" customHeight="1">
      <c r="A638" s="25" t="str">
        <f>IFERROR(__xludf.DUMMYFUNCTION("IF(B638="""","""",RIGHT(REGEXREPLACE(B638&amp;"""",""[^0-9]"",""""),9))"),"787335333")</f>
        <v>787335333</v>
      </c>
      <c r="B638" s="26">
        <v>7.87335333E8</v>
      </c>
      <c r="C638" s="28" t="s">
        <v>827</v>
      </c>
      <c r="D638" s="26" t="s">
        <v>37</v>
      </c>
      <c r="E638" s="31">
        <v>46227.0</v>
      </c>
      <c r="F638" s="26" t="s">
        <v>46</v>
      </c>
      <c r="G638" s="26">
        <v>11.0</v>
      </c>
      <c r="I638" s="26" t="s">
        <v>42</v>
      </c>
      <c r="J638" s="25" t="str">
        <f t="shared" si="28"/>
        <v>No</v>
      </c>
      <c r="K638" s="25" t="str">
        <f t="shared" si="29"/>
        <v/>
      </c>
      <c r="L638" s="25" t="str">
        <f t="shared" si="30"/>
        <v/>
      </c>
      <c r="M638" s="25"/>
      <c r="O638" s="25"/>
    </row>
    <row r="639" ht="15.75" customHeight="1">
      <c r="A639" s="25" t="str">
        <f>IFERROR(__xludf.DUMMYFUNCTION("IF(B639="""","""",RIGHT(REGEXREPLACE(B639&amp;"""",""[^0-9]"",""""),9))"),"714497791")</f>
        <v>714497791</v>
      </c>
      <c r="B639" s="52">
        <v>7.14497791E8</v>
      </c>
      <c r="C639" s="28" t="s">
        <v>828</v>
      </c>
      <c r="D639" s="26" t="s">
        <v>64</v>
      </c>
      <c r="E639" s="31">
        <v>46227.0</v>
      </c>
      <c r="F639" s="26" t="s">
        <v>41</v>
      </c>
      <c r="I639" s="26" t="s">
        <v>42</v>
      </c>
      <c r="J639" s="25" t="str">
        <f t="shared" si="28"/>
        <v>No</v>
      </c>
      <c r="K639" s="25" t="str">
        <f t="shared" si="29"/>
        <v/>
      </c>
      <c r="L639" s="25" t="str">
        <f t="shared" si="30"/>
        <v/>
      </c>
      <c r="M639" s="26" t="s">
        <v>51</v>
      </c>
      <c r="N639" s="26" t="s">
        <v>829</v>
      </c>
      <c r="O639" s="25"/>
    </row>
    <row r="640" ht="15.75" customHeight="1">
      <c r="A640" s="25" t="str">
        <f>IFERROR(__xludf.DUMMYFUNCTION("IF(B640="""","""",RIGHT(REGEXREPLACE(B640&amp;"""",""[^0-9]"",""""),9))"),"760236984")</f>
        <v>760236984</v>
      </c>
      <c r="B640" s="26">
        <v>7.60236984E8</v>
      </c>
      <c r="C640" s="28" t="s">
        <v>830</v>
      </c>
      <c r="D640" s="26" t="s">
        <v>37</v>
      </c>
      <c r="E640" s="31">
        <v>46227.0</v>
      </c>
      <c r="F640" s="26" t="s">
        <v>205</v>
      </c>
      <c r="G640" s="26">
        <v>11.0</v>
      </c>
      <c r="I640" s="26" t="s">
        <v>42</v>
      </c>
      <c r="J640" s="25" t="str">
        <f t="shared" si="28"/>
        <v>No</v>
      </c>
      <c r="K640" s="25" t="str">
        <f t="shared" si="29"/>
        <v/>
      </c>
      <c r="L640" s="25" t="str">
        <f t="shared" si="30"/>
        <v/>
      </c>
      <c r="M640" s="25"/>
      <c r="O640" s="25"/>
    </row>
    <row r="641" ht="15.75" customHeight="1">
      <c r="A641" s="25" t="str">
        <f>IFERROR(__xludf.DUMMYFUNCTION("IF(B641="""","""",RIGHT(REGEXREPLACE(B641&amp;"""",""[^0-9]"",""""),9))"),"779873693")</f>
        <v>779873693</v>
      </c>
      <c r="B641" s="52">
        <v>7.79873693E8</v>
      </c>
      <c r="C641" s="28" t="s">
        <v>831</v>
      </c>
      <c r="D641" s="26" t="s">
        <v>56</v>
      </c>
      <c r="E641" s="31">
        <v>46227.0</v>
      </c>
      <c r="F641" s="26" t="s">
        <v>205</v>
      </c>
      <c r="H641" s="26" t="s">
        <v>796</v>
      </c>
      <c r="I641" s="26" t="s">
        <v>42</v>
      </c>
      <c r="J641" s="25" t="str">
        <f t="shared" si="28"/>
        <v>No</v>
      </c>
      <c r="K641" s="25" t="str">
        <f t="shared" si="29"/>
        <v/>
      </c>
      <c r="L641" s="25" t="str">
        <f t="shared" si="30"/>
        <v/>
      </c>
      <c r="M641" s="25"/>
      <c r="O641" s="25"/>
    </row>
    <row r="642" ht="15.75" customHeight="1">
      <c r="A642" s="25" t="str">
        <f>IFERROR(__xludf.DUMMYFUNCTION("IF(B642="""","""",RIGHT(REGEXREPLACE(B642&amp;"""",""[^0-9]"",""""),9))"),"773181918")</f>
        <v>773181918</v>
      </c>
      <c r="B642" s="52">
        <v>7.73181918E8</v>
      </c>
      <c r="C642" s="28" t="s">
        <v>833</v>
      </c>
      <c r="D642" s="26" t="s">
        <v>45</v>
      </c>
      <c r="E642" s="31">
        <v>46227.0</v>
      </c>
      <c r="F642" s="26" t="s">
        <v>46</v>
      </c>
      <c r="G642" s="26">
        <v>11.0</v>
      </c>
      <c r="I642" s="26" t="s">
        <v>42</v>
      </c>
      <c r="J642" s="25" t="str">
        <f t="shared" si="28"/>
        <v>No</v>
      </c>
      <c r="K642" s="25" t="str">
        <f t="shared" si="29"/>
        <v/>
      </c>
      <c r="L642" s="25" t="str">
        <f t="shared" si="30"/>
        <v/>
      </c>
      <c r="M642" s="25"/>
      <c r="O642" s="25"/>
    </row>
    <row r="643" ht="15.75" customHeight="1">
      <c r="A643" s="25" t="str">
        <f>IFERROR(__xludf.DUMMYFUNCTION("IF(B643="""","""",RIGHT(REGEXREPLACE(B643&amp;"""",""[^0-9]"",""""),9))"),"702201686")</f>
        <v>702201686</v>
      </c>
      <c r="B643" s="52">
        <v>7.02201686E8</v>
      </c>
      <c r="C643" s="28" t="s">
        <v>834</v>
      </c>
      <c r="D643" s="26" t="s">
        <v>82</v>
      </c>
      <c r="E643" s="31">
        <v>46227.0</v>
      </c>
      <c r="F643" s="26" t="s">
        <v>41</v>
      </c>
      <c r="G643" s="26">
        <v>11.0</v>
      </c>
      <c r="I643" s="26" t="s">
        <v>42</v>
      </c>
      <c r="J643" s="25" t="str">
        <f t="shared" si="28"/>
        <v>No</v>
      </c>
      <c r="K643" s="25" t="str">
        <f t="shared" si="29"/>
        <v/>
      </c>
      <c r="L643" s="25" t="str">
        <f t="shared" si="30"/>
        <v/>
      </c>
      <c r="M643" s="25"/>
      <c r="O643" s="25"/>
    </row>
    <row r="644" ht="15.75" customHeight="1">
      <c r="A644" s="25" t="str">
        <f>IFERROR(__xludf.DUMMYFUNCTION("IF(B644="""","""",RIGHT(REGEXREPLACE(B644&amp;"""",""[^0-9]"",""""),9))"),"772245715")</f>
        <v>772245715</v>
      </c>
      <c r="B644" s="52">
        <v>7.72245715E8</v>
      </c>
      <c r="C644" s="28" t="s">
        <v>835</v>
      </c>
      <c r="D644" s="26" t="s">
        <v>45</v>
      </c>
      <c r="E644" s="31">
        <v>46227.0</v>
      </c>
      <c r="F644" s="26" t="s">
        <v>46</v>
      </c>
      <c r="G644" s="26">
        <v>10.0</v>
      </c>
      <c r="I644" s="26" t="s">
        <v>42</v>
      </c>
      <c r="J644" s="25" t="str">
        <f t="shared" si="28"/>
        <v>No</v>
      </c>
      <c r="K644" s="25" t="str">
        <f t="shared" si="29"/>
        <v/>
      </c>
      <c r="L644" s="25" t="str">
        <f t="shared" si="30"/>
        <v/>
      </c>
      <c r="M644" s="25"/>
      <c r="O644" s="25"/>
    </row>
    <row r="645" ht="15.75" customHeight="1">
      <c r="A645" s="25" t="str">
        <f>IFERROR(__xludf.DUMMYFUNCTION("IF(B645="""","""",RIGHT(REGEXREPLACE(B645&amp;"""",""[^0-9]"",""""),9))"),"778002833")</f>
        <v>778002833</v>
      </c>
      <c r="B645" s="52">
        <v>7.78002833E8</v>
      </c>
      <c r="C645" s="28" t="s">
        <v>836</v>
      </c>
      <c r="D645" s="26" t="s">
        <v>56</v>
      </c>
      <c r="E645" s="31">
        <v>46227.0</v>
      </c>
      <c r="F645" s="26" t="s">
        <v>46</v>
      </c>
      <c r="G645" s="26">
        <v>10.0</v>
      </c>
      <c r="H645" s="26" t="s">
        <v>837</v>
      </c>
      <c r="I645" s="26" t="s">
        <v>42</v>
      </c>
      <c r="J645" s="25" t="str">
        <f t="shared" si="28"/>
        <v>No</v>
      </c>
      <c r="K645" s="25" t="str">
        <f t="shared" si="29"/>
        <v/>
      </c>
      <c r="L645" s="25" t="str">
        <f t="shared" si="30"/>
        <v/>
      </c>
      <c r="M645" s="25"/>
      <c r="O645" s="25"/>
    </row>
    <row r="646" ht="15.75" customHeight="1">
      <c r="A646" s="25" t="str">
        <f>IFERROR(__xludf.DUMMYFUNCTION("IF(B646="""","""",RIGHT(REGEXREPLACE(B646&amp;"""",""[^0-9]"",""""),9))"),"704188535")</f>
        <v>704188535</v>
      </c>
      <c r="B646" s="26">
        <v>7.04188535E8</v>
      </c>
      <c r="C646" s="28" t="s">
        <v>838</v>
      </c>
      <c r="D646" s="26" t="s">
        <v>37</v>
      </c>
      <c r="E646" s="31">
        <v>46227.0</v>
      </c>
      <c r="F646" s="26" t="s">
        <v>205</v>
      </c>
      <c r="I646" s="26" t="s">
        <v>42</v>
      </c>
      <c r="J646" s="25" t="str">
        <f t="shared" si="28"/>
        <v>No</v>
      </c>
      <c r="K646" s="25" t="str">
        <f t="shared" si="29"/>
        <v/>
      </c>
      <c r="L646" s="25" t="str">
        <f t="shared" si="30"/>
        <v/>
      </c>
      <c r="M646" s="25"/>
      <c r="O646" s="25"/>
    </row>
    <row r="647" ht="15.75" customHeight="1">
      <c r="A647" s="25" t="str">
        <f>IFERROR(__xludf.DUMMYFUNCTION("IF(B647="""","""",RIGHT(REGEXREPLACE(B647&amp;"""",""[^0-9]"",""""),9))"),"772689846")</f>
        <v>772689846</v>
      </c>
      <c r="B647" s="52">
        <v>7.72689846E8</v>
      </c>
      <c r="C647" s="28" t="s">
        <v>839</v>
      </c>
      <c r="D647" s="26" t="s">
        <v>82</v>
      </c>
      <c r="E647" s="31">
        <v>46227.0</v>
      </c>
      <c r="F647" s="26" t="s">
        <v>46</v>
      </c>
      <c r="G647" s="26">
        <v>11.0</v>
      </c>
      <c r="I647" s="26" t="s">
        <v>42</v>
      </c>
      <c r="J647" s="25" t="str">
        <f t="shared" si="28"/>
        <v>No</v>
      </c>
      <c r="K647" s="25" t="str">
        <f t="shared" si="29"/>
        <v/>
      </c>
      <c r="L647" s="25" t="str">
        <f t="shared" si="30"/>
        <v/>
      </c>
      <c r="M647" s="25"/>
      <c r="O647" s="25"/>
    </row>
    <row r="648" ht="15.75" customHeight="1">
      <c r="A648" s="25" t="str">
        <f>IFERROR(__xludf.DUMMYFUNCTION("IF(B648="""","""",RIGHT(REGEXREPLACE(B648&amp;"""",""[^0-9]"",""""),9))"),"720120001")</f>
        <v>720120001</v>
      </c>
      <c r="B648" s="52">
        <v>7.20120001E8</v>
      </c>
      <c r="C648" s="28" t="s">
        <v>840</v>
      </c>
      <c r="D648" s="26" t="s">
        <v>64</v>
      </c>
      <c r="E648" s="31">
        <v>46227.0</v>
      </c>
      <c r="F648" s="26" t="s">
        <v>205</v>
      </c>
      <c r="I648" s="26" t="s">
        <v>42</v>
      </c>
      <c r="J648" s="25" t="str">
        <f t="shared" si="28"/>
        <v>No</v>
      </c>
      <c r="K648" s="25" t="str">
        <f t="shared" si="29"/>
        <v/>
      </c>
      <c r="L648" s="25" t="str">
        <f t="shared" si="30"/>
        <v/>
      </c>
      <c r="M648" s="26" t="s">
        <v>43</v>
      </c>
      <c r="N648" s="26" t="s">
        <v>54</v>
      </c>
      <c r="O648" s="25"/>
    </row>
    <row r="649" ht="15.75" customHeight="1">
      <c r="A649" s="25" t="str">
        <f>IFERROR(__xludf.DUMMYFUNCTION("IF(B649="""","""",RIGHT(REGEXREPLACE(B649&amp;"""",""[^0-9]"",""""),9))"),"712972717")</f>
        <v>712972717</v>
      </c>
      <c r="B649" s="52">
        <v>7.12972717E8</v>
      </c>
      <c r="C649" s="28" t="s">
        <v>841</v>
      </c>
      <c r="D649" s="26" t="s">
        <v>49</v>
      </c>
      <c r="E649" s="31">
        <v>46227.0</v>
      </c>
      <c r="F649" s="26" t="s">
        <v>46</v>
      </c>
      <c r="G649" s="26">
        <v>11.0</v>
      </c>
      <c r="H649" s="26" t="s">
        <v>677</v>
      </c>
      <c r="I649" s="26" t="s">
        <v>42</v>
      </c>
      <c r="J649" s="25" t="str">
        <f t="shared" si="28"/>
        <v>No</v>
      </c>
      <c r="K649" s="25" t="str">
        <f t="shared" si="29"/>
        <v/>
      </c>
      <c r="L649" s="25" t="str">
        <f t="shared" si="30"/>
        <v/>
      </c>
      <c r="M649" s="25"/>
      <c r="O649" s="25"/>
    </row>
    <row r="650" ht="15.75" customHeight="1">
      <c r="A650" s="25" t="str">
        <f>IFERROR(__xludf.DUMMYFUNCTION("IF(B650="""","""",RIGHT(REGEXREPLACE(B650&amp;"""",""[^0-9]"",""""),9))"),"705609947")</f>
        <v>705609947</v>
      </c>
      <c r="B650" s="52">
        <v>7.05609947E8</v>
      </c>
      <c r="C650" s="28" t="s">
        <v>842</v>
      </c>
      <c r="D650" s="26" t="s">
        <v>82</v>
      </c>
      <c r="E650" s="31">
        <v>46227.0</v>
      </c>
      <c r="F650" s="26" t="s">
        <v>46</v>
      </c>
      <c r="G650" s="26">
        <v>11.0</v>
      </c>
      <c r="I650" s="26" t="s">
        <v>42</v>
      </c>
      <c r="J650" s="25" t="str">
        <f t="shared" si="28"/>
        <v>No</v>
      </c>
      <c r="K650" s="25" t="str">
        <f t="shared" si="29"/>
        <v/>
      </c>
      <c r="L650" s="25" t="str">
        <f t="shared" si="30"/>
        <v/>
      </c>
      <c r="M650" s="25"/>
      <c r="O650" s="25"/>
    </row>
    <row r="651" ht="15.75" customHeight="1">
      <c r="A651" s="25" t="str">
        <f>IFERROR(__xludf.DUMMYFUNCTION("IF(B651="""","""",RIGHT(REGEXREPLACE(B651&amp;"""",""[^0-9]"",""""),9))"),"779725783")</f>
        <v>779725783</v>
      </c>
      <c r="B651" s="52">
        <v>7.79725783E8</v>
      </c>
      <c r="C651" s="28" t="s">
        <v>843</v>
      </c>
      <c r="D651" s="26" t="s">
        <v>64</v>
      </c>
      <c r="E651" s="31">
        <v>46227.0</v>
      </c>
      <c r="F651" s="26" t="s">
        <v>41</v>
      </c>
      <c r="I651" s="26" t="s">
        <v>42</v>
      </c>
      <c r="J651" s="25" t="str">
        <f t="shared" si="28"/>
        <v>No</v>
      </c>
      <c r="K651" s="25" t="str">
        <f t="shared" si="29"/>
        <v/>
      </c>
      <c r="L651" s="25" t="str">
        <f t="shared" si="30"/>
        <v/>
      </c>
      <c r="M651" s="26" t="s">
        <v>43</v>
      </c>
      <c r="N651" s="26" t="s">
        <v>54</v>
      </c>
      <c r="O651" s="25"/>
    </row>
    <row r="652" ht="15.75" customHeight="1">
      <c r="A652" s="25" t="str">
        <f>IFERROR(__xludf.DUMMYFUNCTION("IF(B652="""","""",RIGHT(REGEXREPLACE(B652&amp;"""",""[^0-9]"",""""),9))"),"762399603")</f>
        <v>762399603</v>
      </c>
      <c r="B652" s="52">
        <v>7.62399603E8</v>
      </c>
      <c r="C652" s="28" t="s">
        <v>844</v>
      </c>
      <c r="D652" s="26" t="s">
        <v>56</v>
      </c>
      <c r="E652" s="31">
        <v>46227.0</v>
      </c>
      <c r="F652" s="26" t="s">
        <v>125</v>
      </c>
      <c r="G652" s="26">
        <v>11.0</v>
      </c>
      <c r="H652" s="26" t="s">
        <v>796</v>
      </c>
      <c r="I652" s="26" t="s">
        <v>42</v>
      </c>
      <c r="J652" s="25" t="str">
        <f t="shared" si="28"/>
        <v>No</v>
      </c>
      <c r="K652" s="25" t="str">
        <f t="shared" si="29"/>
        <v/>
      </c>
      <c r="L652" s="25" t="str">
        <f t="shared" si="30"/>
        <v/>
      </c>
      <c r="M652" s="25"/>
      <c r="O652" s="25"/>
    </row>
    <row r="653" ht="15.75" customHeight="1">
      <c r="A653" s="25" t="str">
        <f>IFERROR(__xludf.DUMMYFUNCTION("IF(B653="""","""",RIGHT(REGEXREPLACE(B653&amp;"""",""[^0-9]"",""""),9))"),"724140618")</f>
        <v>724140618</v>
      </c>
      <c r="B653" s="26">
        <v>7.24140618E8</v>
      </c>
      <c r="C653" s="28" t="s">
        <v>845</v>
      </c>
      <c r="D653" s="26" t="s">
        <v>37</v>
      </c>
      <c r="E653" s="31">
        <v>46227.0</v>
      </c>
      <c r="F653" s="26" t="s">
        <v>41</v>
      </c>
      <c r="I653" s="26" t="s">
        <v>42</v>
      </c>
      <c r="J653" s="25" t="str">
        <f t="shared" si="28"/>
        <v>No</v>
      </c>
      <c r="K653" s="25" t="str">
        <f t="shared" si="29"/>
        <v/>
      </c>
      <c r="L653" s="25" t="str">
        <f t="shared" si="30"/>
        <v/>
      </c>
      <c r="M653" s="25"/>
      <c r="O653" s="25"/>
    </row>
    <row r="654" ht="15.75" customHeight="1">
      <c r="A654" s="25" t="str">
        <f>IFERROR(__xludf.DUMMYFUNCTION("IF(B654="""","""",RIGHT(REGEXREPLACE(B654&amp;"""",""[^0-9]"",""""),9))"),"756369381")</f>
        <v>756369381</v>
      </c>
      <c r="B654" s="26">
        <v>7.56369381E8</v>
      </c>
      <c r="C654" s="28" t="s">
        <v>846</v>
      </c>
      <c r="D654" s="26" t="s">
        <v>37</v>
      </c>
      <c r="E654" s="31">
        <v>46227.0</v>
      </c>
      <c r="F654" s="26" t="s">
        <v>167</v>
      </c>
      <c r="G654" s="26">
        <v>11.0</v>
      </c>
      <c r="I654" s="26" t="s">
        <v>42</v>
      </c>
      <c r="J654" s="25" t="str">
        <f t="shared" si="28"/>
        <v>No</v>
      </c>
      <c r="K654" s="25" t="str">
        <f t="shared" si="29"/>
        <v/>
      </c>
      <c r="L654" s="25" t="str">
        <f t="shared" si="30"/>
        <v/>
      </c>
      <c r="M654" s="25"/>
      <c r="O654" s="25"/>
    </row>
    <row r="655" ht="15.75" customHeight="1">
      <c r="A655" s="25" t="str">
        <f>IFERROR(__xludf.DUMMYFUNCTION("IF(B655="""","""",RIGHT(REGEXREPLACE(B655&amp;"""",""[^0-9]"",""""),9))"),"718939074")</f>
        <v>718939074</v>
      </c>
      <c r="B655" s="52">
        <v>7.18939074E8</v>
      </c>
      <c r="C655" s="28" t="s">
        <v>847</v>
      </c>
      <c r="D655" s="26" t="s">
        <v>49</v>
      </c>
      <c r="E655" s="31">
        <v>46227.0</v>
      </c>
      <c r="F655" s="26" t="s">
        <v>46</v>
      </c>
      <c r="G655" s="26">
        <v>11.0</v>
      </c>
      <c r="H655" s="26" t="s">
        <v>677</v>
      </c>
      <c r="I655" s="26" t="s">
        <v>42</v>
      </c>
      <c r="J655" s="25" t="str">
        <f t="shared" si="28"/>
        <v>No</v>
      </c>
      <c r="K655" s="25" t="str">
        <f t="shared" si="29"/>
        <v/>
      </c>
      <c r="L655" s="25" t="str">
        <f t="shared" si="30"/>
        <v/>
      </c>
      <c r="M655" s="25"/>
      <c r="O655" s="25"/>
    </row>
    <row r="656" ht="15.75" customHeight="1">
      <c r="A656" s="25" t="str">
        <f>IFERROR(__xludf.DUMMYFUNCTION("IF(B656="""","""",RIGHT(REGEXREPLACE(B656&amp;"""",""[^0-9]"",""""),9))"),"779526965")</f>
        <v>779526965</v>
      </c>
      <c r="B656" s="52">
        <v>7.79526965E8</v>
      </c>
      <c r="C656" s="28" t="s">
        <v>848</v>
      </c>
      <c r="D656" s="26" t="s">
        <v>82</v>
      </c>
      <c r="E656" s="31">
        <v>46227.0</v>
      </c>
      <c r="F656" s="26" t="s">
        <v>41</v>
      </c>
      <c r="G656" s="26">
        <v>11.0</v>
      </c>
      <c r="I656" s="26" t="s">
        <v>42</v>
      </c>
      <c r="J656" s="25" t="str">
        <f t="shared" si="28"/>
        <v>No</v>
      </c>
      <c r="K656" s="25" t="str">
        <f t="shared" si="29"/>
        <v/>
      </c>
      <c r="L656" s="25" t="str">
        <f t="shared" si="30"/>
        <v/>
      </c>
      <c r="M656" s="25"/>
      <c r="O656" s="25"/>
    </row>
    <row r="657" ht="15.75" customHeight="1">
      <c r="A657" s="25" t="str">
        <f>IFERROR(__xludf.DUMMYFUNCTION("IF(B657="""","""",RIGHT(REGEXREPLACE(B657&amp;"""",""[^0-9]"",""""),9))"),"755041232")</f>
        <v>755041232</v>
      </c>
      <c r="B657" s="26">
        <v>7.55041232E8</v>
      </c>
      <c r="C657" s="28" t="s">
        <v>849</v>
      </c>
      <c r="D657" s="26" t="s">
        <v>37</v>
      </c>
      <c r="E657" s="31">
        <v>46227.0</v>
      </c>
      <c r="F657" s="26" t="s">
        <v>46</v>
      </c>
      <c r="G657" s="26">
        <v>11.0</v>
      </c>
      <c r="I657" s="26" t="s">
        <v>42</v>
      </c>
      <c r="J657" s="25" t="str">
        <f t="shared" si="28"/>
        <v>No</v>
      </c>
      <c r="K657" s="25" t="str">
        <f t="shared" si="29"/>
        <v/>
      </c>
      <c r="L657" s="25" t="str">
        <f t="shared" si="30"/>
        <v/>
      </c>
      <c r="M657" s="25"/>
      <c r="O657" s="25"/>
    </row>
    <row r="658" ht="15.75" customHeight="1">
      <c r="A658" s="25" t="str">
        <f>IFERROR(__xludf.DUMMYFUNCTION("IF(B658="""","""",RIGHT(REGEXREPLACE(B658&amp;"""",""[^0-9]"",""""),9))"),"715936902")</f>
        <v>715936902</v>
      </c>
      <c r="B658" s="52">
        <v>7.15936902E8</v>
      </c>
      <c r="C658" s="28" t="s">
        <v>850</v>
      </c>
      <c r="D658" s="26" t="s">
        <v>45</v>
      </c>
      <c r="E658" s="31">
        <v>46227.0</v>
      </c>
      <c r="F658" s="26" t="s">
        <v>125</v>
      </c>
      <c r="H658" s="26" t="s">
        <v>677</v>
      </c>
      <c r="I658" s="26" t="s">
        <v>42</v>
      </c>
      <c r="J658" s="25" t="str">
        <f t="shared" si="28"/>
        <v>No</v>
      </c>
      <c r="K658" s="25" t="str">
        <f t="shared" si="29"/>
        <v/>
      </c>
      <c r="L658" s="25" t="str">
        <f t="shared" si="30"/>
        <v/>
      </c>
      <c r="M658" s="25"/>
      <c r="O658" s="25"/>
    </row>
    <row r="659" ht="15.75" customHeight="1">
      <c r="A659" s="25" t="str">
        <f>IFERROR(__xludf.DUMMYFUNCTION("IF(B659="""","""",RIGHT(REGEXREPLACE(B659&amp;"""",""[^0-9]"",""""),9))"),"741765705")</f>
        <v>741765705</v>
      </c>
      <c r="B659" s="26">
        <v>7.41765705E8</v>
      </c>
      <c r="C659" s="28" t="s">
        <v>851</v>
      </c>
      <c r="D659" s="26" t="s">
        <v>37</v>
      </c>
      <c r="E659" s="31">
        <v>46227.0</v>
      </c>
      <c r="F659" s="26" t="s">
        <v>164</v>
      </c>
      <c r="I659" s="26" t="s">
        <v>42</v>
      </c>
      <c r="J659" s="25" t="str">
        <f t="shared" si="28"/>
        <v>No</v>
      </c>
      <c r="K659" s="25" t="str">
        <f t="shared" si="29"/>
        <v/>
      </c>
      <c r="L659" s="25" t="str">
        <f t="shared" si="30"/>
        <v/>
      </c>
      <c r="M659" s="25"/>
      <c r="O659" s="25"/>
    </row>
    <row r="660" ht="15.75" customHeight="1">
      <c r="A660" s="25" t="str">
        <f>IFERROR(__xludf.DUMMYFUNCTION("IF(B660="""","""",RIGHT(REGEXREPLACE(B660&amp;"""",""[^0-9]"",""""),9))"),"718082486")</f>
        <v>718082486</v>
      </c>
      <c r="B660" s="52">
        <v>7.18082486E8</v>
      </c>
      <c r="C660" s="28" t="s">
        <v>852</v>
      </c>
      <c r="D660" s="26" t="s">
        <v>45</v>
      </c>
      <c r="E660" s="31">
        <v>46227.0</v>
      </c>
      <c r="F660" s="26" t="s">
        <v>46</v>
      </c>
      <c r="G660" s="26">
        <v>11.0</v>
      </c>
      <c r="H660" s="26" t="s">
        <v>677</v>
      </c>
      <c r="I660" s="26" t="s">
        <v>42</v>
      </c>
      <c r="J660" s="25" t="str">
        <f t="shared" si="28"/>
        <v>No</v>
      </c>
      <c r="K660" s="25" t="str">
        <f t="shared" si="29"/>
        <v/>
      </c>
      <c r="L660" s="25" t="str">
        <f t="shared" si="30"/>
        <v/>
      </c>
      <c r="M660" s="25"/>
      <c r="O660" s="25"/>
    </row>
    <row r="661" ht="15.75" customHeight="1">
      <c r="A661" s="25" t="str">
        <f>IFERROR(__xludf.DUMMYFUNCTION("IF(B661="""","""",RIGHT(REGEXREPLACE(B661&amp;"""",""[^0-9]"",""""),9))"),"761494143")</f>
        <v>761494143</v>
      </c>
      <c r="B661" s="52">
        <v>7.61494143E8</v>
      </c>
      <c r="C661" s="28" t="s">
        <v>853</v>
      </c>
      <c r="D661" s="26" t="s">
        <v>82</v>
      </c>
      <c r="E661" s="31">
        <v>46227.0</v>
      </c>
      <c r="F661" s="26" t="s">
        <v>125</v>
      </c>
      <c r="G661" s="26">
        <v>11.0</v>
      </c>
      <c r="I661" s="26" t="s">
        <v>42</v>
      </c>
      <c r="J661" s="25" t="str">
        <f t="shared" si="28"/>
        <v>No</v>
      </c>
      <c r="K661" s="25" t="str">
        <f t="shared" si="29"/>
        <v/>
      </c>
      <c r="L661" s="25" t="str">
        <f t="shared" si="30"/>
        <v/>
      </c>
      <c r="M661" s="25"/>
      <c r="O661" s="25"/>
    </row>
    <row r="662" ht="15.75" customHeight="1">
      <c r="A662" s="25" t="str">
        <f>IFERROR(__xludf.DUMMYFUNCTION("IF(B662="""","""",RIGHT(REGEXREPLACE(B662&amp;"""",""[^0-9]"",""""),9))"),"717079009")</f>
        <v>717079009</v>
      </c>
      <c r="B662" s="26">
        <v>7.17079009E8</v>
      </c>
      <c r="C662" s="28" t="s">
        <v>854</v>
      </c>
      <c r="D662" s="26" t="s">
        <v>37</v>
      </c>
      <c r="E662" s="31">
        <v>46227.0</v>
      </c>
      <c r="F662" s="26" t="s">
        <v>704</v>
      </c>
      <c r="I662" s="26" t="s">
        <v>42</v>
      </c>
      <c r="J662" s="25" t="str">
        <f t="shared" si="28"/>
        <v>No</v>
      </c>
      <c r="K662" s="25" t="str">
        <f t="shared" si="29"/>
        <v/>
      </c>
      <c r="L662" s="25" t="str">
        <f t="shared" si="30"/>
        <v/>
      </c>
      <c r="M662" s="25"/>
      <c r="O662" s="25"/>
    </row>
    <row r="663" ht="15.75" customHeight="1">
      <c r="A663" s="25" t="str">
        <f>IFERROR(__xludf.DUMMYFUNCTION("IF(B663="""","""",RIGHT(REGEXREPLACE(B663&amp;"""",""[^0-9]"",""""),9))"),"764667182")</f>
        <v>764667182</v>
      </c>
      <c r="B663" s="52">
        <v>7.64667182E8</v>
      </c>
      <c r="C663" s="28" t="s">
        <v>856</v>
      </c>
      <c r="D663" s="26" t="s">
        <v>56</v>
      </c>
      <c r="E663" s="31">
        <v>46227.0</v>
      </c>
      <c r="F663" s="26" t="s">
        <v>125</v>
      </c>
      <c r="G663" s="26">
        <v>10.0</v>
      </c>
      <c r="H663" s="26" t="s">
        <v>796</v>
      </c>
      <c r="I663" s="26" t="s">
        <v>42</v>
      </c>
      <c r="J663" s="25" t="str">
        <f t="shared" si="28"/>
        <v>No</v>
      </c>
      <c r="K663" s="25" t="str">
        <f t="shared" si="29"/>
        <v/>
      </c>
      <c r="L663" s="25" t="str">
        <f t="shared" si="30"/>
        <v/>
      </c>
      <c r="M663" s="25"/>
      <c r="O663" s="25"/>
    </row>
    <row r="664" ht="15.75" customHeight="1">
      <c r="A664" s="25" t="str">
        <f>IFERROR(__xludf.DUMMYFUNCTION("IF(B664="""","""",RIGHT(REGEXREPLACE(B664&amp;"""",""[^0-9]"",""""),9))"),"785721455")</f>
        <v>785721455</v>
      </c>
      <c r="B664" s="26">
        <v>7.85721455E8</v>
      </c>
      <c r="C664" s="28" t="s">
        <v>857</v>
      </c>
      <c r="D664" s="26" t="s">
        <v>37</v>
      </c>
      <c r="E664" s="31">
        <v>46227.0</v>
      </c>
      <c r="F664" s="26" t="s">
        <v>167</v>
      </c>
      <c r="G664" s="26">
        <v>10.0</v>
      </c>
      <c r="I664" s="26" t="s">
        <v>42</v>
      </c>
      <c r="J664" s="25" t="str">
        <f t="shared" si="28"/>
        <v>No</v>
      </c>
      <c r="K664" s="25" t="str">
        <f t="shared" si="29"/>
        <v/>
      </c>
      <c r="L664" s="25" t="str">
        <f t="shared" si="30"/>
        <v/>
      </c>
      <c r="M664" s="25"/>
      <c r="O664" s="25"/>
    </row>
    <row r="665" ht="15.75" customHeight="1">
      <c r="A665" s="25" t="str">
        <f>IFERROR(__xludf.DUMMYFUNCTION("IF(B665="""","""",RIGHT(REGEXREPLACE(B665&amp;"""",""[^0-9]"",""""),9))"),"701330123")</f>
        <v>701330123</v>
      </c>
      <c r="B665" s="52">
        <v>7.01330123E8</v>
      </c>
      <c r="C665" s="28" t="s">
        <v>859</v>
      </c>
      <c r="D665" s="26" t="s">
        <v>64</v>
      </c>
      <c r="E665" s="31">
        <v>46227.0</v>
      </c>
      <c r="F665" s="26" t="s">
        <v>46</v>
      </c>
      <c r="G665" s="96">
        <v>46301.0</v>
      </c>
      <c r="I665" s="26" t="s">
        <v>42</v>
      </c>
      <c r="J665" s="25" t="str">
        <f t="shared" si="28"/>
        <v>No</v>
      </c>
      <c r="K665" s="25" t="str">
        <f t="shared" si="29"/>
        <v/>
      </c>
      <c r="L665" s="25" t="str">
        <f t="shared" si="30"/>
        <v/>
      </c>
      <c r="M665" s="26" t="s">
        <v>51</v>
      </c>
      <c r="N665" s="26" t="s">
        <v>862</v>
      </c>
      <c r="O665" s="25"/>
    </row>
    <row r="666" ht="15.75" customHeight="1">
      <c r="A666" s="25" t="str">
        <f>IFERROR(__xludf.DUMMYFUNCTION("IF(B666="""","""",RIGHT(REGEXREPLACE(B666&amp;"""",""[^0-9]"",""""),9))"),"713687955")</f>
        <v>713687955</v>
      </c>
      <c r="B666" s="52">
        <v>7.13687955E8</v>
      </c>
      <c r="C666" s="28" t="s">
        <v>864</v>
      </c>
      <c r="D666" s="26" t="s">
        <v>82</v>
      </c>
      <c r="E666" s="31">
        <v>46227.0</v>
      </c>
      <c r="F666" s="26" t="s">
        <v>125</v>
      </c>
      <c r="G666" s="26">
        <v>11.0</v>
      </c>
      <c r="I666" s="26" t="s">
        <v>42</v>
      </c>
      <c r="J666" s="25" t="str">
        <f t="shared" si="28"/>
        <v>No</v>
      </c>
      <c r="K666" s="25" t="str">
        <f t="shared" si="29"/>
        <v/>
      </c>
      <c r="L666" s="25" t="str">
        <f t="shared" si="30"/>
        <v/>
      </c>
      <c r="M666" s="25"/>
      <c r="O666" s="25"/>
    </row>
    <row r="667" ht="15.75" customHeight="1">
      <c r="A667" s="25" t="str">
        <f>IFERROR(__xludf.DUMMYFUNCTION("IF(B667="""","""",RIGHT(REGEXREPLACE(B667&amp;"""",""[^0-9]"",""""),9))"),"740323622")</f>
        <v>740323622</v>
      </c>
      <c r="B667" s="52">
        <v>7.40323622E8</v>
      </c>
      <c r="C667" s="28" t="s">
        <v>865</v>
      </c>
      <c r="D667" s="26" t="s">
        <v>45</v>
      </c>
      <c r="E667" s="31">
        <v>46227.0</v>
      </c>
      <c r="F667" s="26" t="s">
        <v>46</v>
      </c>
      <c r="G667" s="26">
        <v>11.0</v>
      </c>
      <c r="H667" s="26" t="s">
        <v>677</v>
      </c>
      <c r="I667" s="26" t="s">
        <v>42</v>
      </c>
      <c r="J667" s="25" t="str">
        <f t="shared" si="28"/>
        <v>No</v>
      </c>
      <c r="K667" s="25" t="str">
        <f t="shared" si="29"/>
        <v/>
      </c>
      <c r="L667" s="25" t="str">
        <f t="shared" si="30"/>
        <v/>
      </c>
      <c r="M667" s="25"/>
      <c r="O667" s="25"/>
    </row>
    <row r="668" ht="15.75" customHeight="1">
      <c r="A668" s="25" t="str">
        <f>IFERROR(__xludf.DUMMYFUNCTION("IF(B668="""","""",RIGHT(REGEXREPLACE(B668&amp;"""",""[^0-9]"",""""),9))"),"740050641")</f>
        <v>740050641</v>
      </c>
      <c r="B668" s="52">
        <v>7.40050641E8</v>
      </c>
      <c r="C668" s="28" t="s">
        <v>866</v>
      </c>
      <c r="D668" s="26" t="s">
        <v>49</v>
      </c>
      <c r="E668" s="31">
        <v>46227.0</v>
      </c>
      <c r="F668" s="26" t="s">
        <v>46</v>
      </c>
      <c r="G668" s="26">
        <v>11.0</v>
      </c>
      <c r="H668" s="26" t="s">
        <v>677</v>
      </c>
      <c r="I668" s="26" t="s">
        <v>42</v>
      </c>
      <c r="J668" s="25" t="str">
        <f t="shared" si="28"/>
        <v>No</v>
      </c>
      <c r="K668" s="25" t="str">
        <f t="shared" si="29"/>
        <v/>
      </c>
      <c r="L668" s="25" t="str">
        <f t="shared" si="30"/>
        <v/>
      </c>
      <c r="M668" s="25"/>
      <c r="O668" s="25"/>
    </row>
    <row r="669" ht="15.75" customHeight="1">
      <c r="A669" s="25" t="str">
        <f>IFERROR(__xludf.DUMMYFUNCTION("IF(B669="""","""",RIGHT(REGEXREPLACE(B669&amp;"""",""[^0-9]"",""""),9))"),"703638029")</f>
        <v>703638029</v>
      </c>
      <c r="B669" s="26">
        <v>7.03638029E8</v>
      </c>
      <c r="C669" s="28" t="s">
        <v>867</v>
      </c>
      <c r="D669" s="26" t="s">
        <v>37</v>
      </c>
      <c r="E669" s="31">
        <v>46227.0</v>
      </c>
      <c r="F669" s="26" t="s">
        <v>41</v>
      </c>
      <c r="G669" s="26">
        <v>10.0</v>
      </c>
      <c r="I669" s="26" t="s">
        <v>42</v>
      </c>
      <c r="J669" s="25" t="str">
        <f t="shared" si="28"/>
        <v>No</v>
      </c>
      <c r="K669" s="25" t="str">
        <f t="shared" si="29"/>
        <v/>
      </c>
      <c r="L669" s="25" t="str">
        <f t="shared" si="30"/>
        <v/>
      </c>
      <c r="M669" s="25"/>
      <c r="O669" s="25"/>
    </row>
    <row r="670" ht="15.75" customHeight="1">
      <c r="A670" s="25" t="str">
        <f>IFERROR(__xludf.DUMMYFUNCTION("IF(B670="""","""",RIGHT(REGEXREPLACE(B670&amp;"""",""[^0-9]"",""""),9))"),"789182592")</f>
        <v>789182592</v>
      </c>
      <c r="B670" s="52">
        <v>7.89182592E8</v>
      </c>
      <c r="C670" s="28" t="s">
        <v>868</v>
      </c>
      <c r="D670" s="26" t="s">
        <v>82</v>
      </c>
      <c r="E670" s="31">
        <v>46227.0</v>
      </c>
      <c r="F670" s="26" t="s">
        <v>205</v>
      </c>
      <c r="G670" s="26">
        <v>11.0</v>
      </c>
      <c r="I670" s="26" t="s">
        <v>42</v>
      </c>
      <c r="J670" s="25" t="str">
        <f t="shared" si="28"/>
        <v>No</v>
      </c>
      <c r="K670" s="25" t="str">
        <f t="shared" si="29"/>
        <v/>
      </c>
      <c r="L670" s="25" t="str">
        <f t="shared" si="30"/>
        <v/>
      </c>
      <c r="M670" s="25"/>
      <c r="O670" s="25"/>
    </row>
    <row r="671" ht="15.75" customHeight="1">
      <c r="A671" s="25" t="str">
        <f>IFERROR(__xludf.DUMMYFUNCTION("IF(B671="""","""",RIGHT(REGEXREPLACE(B671&amp;"""",""[^0-9]"",""""),9))"),"775794756")</f>
        <v>775794756</v>
      </c>
      <c r="B671" s="52">
        <v>7.75794756E8</v>
      </c>
      <c r="C671" s="28" t="s">
        <v>869</v>
      </c>
      <c r="D671" s="26" t="s">
        <v>56</v>
      </c>
      <c r="E671" s="31">
        <v>46227.0</v>
      </c>
      <c r="F671" s="26" t="s">
        <v>46</v>
      </c>
      <c r="G671" s="26">
        <v>11.0</v>
      </c>
      <c r="H671" s="26" t="s">
        <v>774</v>
      </c>
      <c r="I671" s="26" t="s">
        <v>42</v>
      </c>
      <c r="J671" s="25" t="str">
        <f t="shared" si="28"/>
        <v>No</v>
      </c>
      <c r="K671" s="25" t="str">
        <f t="shared" si="29"/>
        <v/>
      </c>
      <c r="L671" s="25" t="str">
        <f t="shared" si="30"/>
        <v/>
      </c>
      <c r="M671" s="25"/>
      <c r="O671" s="25"/>
    </row>
    <row r="672" ht="15.75" customHeight="1">
      <c r="A672" s="25" t="str">
        <f>IFERROR(__xludf.DUMMYFUNCTION("IF(B672="""","""",RIGHT(REGEXREPLACE(B672&amp;"""",""[^0-9]"",""""),9))"),"774661161")</f>
        <v>774661161</v>
      </c>
      <c r="B672" s="52">
        <v>7.74661161E8</v>
      </c>
      <c r="C672" s="28" t="s">
        <v>870</v>
      </c>
      <c r="D672" s="26" t="s">
        <v>45</v>
      </c>
      <c r="E672" s="31">
        <v>46227.0</v>
      </c>
      <c r="F672" s="26" t="s">
        <v>164</v>
      </c>
      <c r="I672" s="26" t="s">
        <v>42</v>
      </c>
      <c r="J672" s="25" t="str">
        <f t="shared" si="28"/>
        <v>No</v>
      </c>
      <c r="K672" s="25" t="str">
        <f t="shared" si="29"/>
        <v/>
      </c>
      <c r="L672" s="25" t="str">
        <f t="shared" si="30"/>
        <v/>
      </c>
      <c r="M672" s="25"/>
      <c r="O672" s="25"/>
    </row>
    <row r="673" ht="15.75" customHeight="1">
      <c r="A673" s="25" t="str">
        <f>IFERROR(__xludf.DUMMYFUNCTION("IF(B673="""","""",RIGHT(REGEXREPLACE(B673&amp;"""",""[^0-9]"",""""),9))"),"728773862")</f>
        <v>728773862</v>
      </c>
      <c r="B673" s="52">
        <v>7.28773862E8</v>
      </c>
      <c r="C673" s="28" t="s">
        <v>871</v>
      </c>
      <c r="D673" s="26" t="s">
        <v>64</v>
      </c>
      <c r="E673" s="31">
        <v>46227.0</v>
      </c>
      <c r="F673" s="26" t="s">
        <v>84</v>
      </c>
      <c r="I673" s="26" t="s">
        <v>42</v>
      </c>
      <c r="J673" s="25" t="str">
        <f t="shared" si="28"/>
        <v>No</v>
      </c>
      <c r="K673" s="25" t="str">
        <f t="shared" si="29"/>
        <v/>
      </c>
      <c r="L673" s="25" t="str">
        <f t="shared" si="30"/>
        <v/>
      </c>
      <c r="M673" s="26" t="s">
        <v>51</v>
      </c>
      <c r="N673" s="26" t="s">
        <v>873</v>
      </c>
      <c r="O673" s="25"/>
    </row>
    <row r="674" ht="15.75" customHeight="1">
      <c r="A674" s="25" t="str">
        <f>IFERROR(__xludf.DUMMYFUNCTION("IF(B674="""","""",RIGHT(REGEXREPLACE(B674&amp;"""",""[^0-9]"",""""),9))"),"783823851")</f>
        <v>783823851</v>
      </c>
      <c r="B674" s="52">
        <v>7.83823851E8</v>
      </c>
      <c r="C674" s="28" t="s">
        <v>874</v>
      </c>
      <c r="D674" s="26" t="s">
        <v>82</v>
      </c>
      <c r="E674" s="31">
        <v>46227.0</v>
      </c>
      <c r="F674" s="26" t="s">
        <v>46</v>
      </c>
      <c r="G674" s="26">
        <v>11.0</v>
      </c>
      <c r="I674" s="26" t="s">
        <v>42</v>
      </c>
      <c r="J674" s="25" t="str">
        <f t="shared" si="28"/>
        <v>No</v>
      </c>
      <c r="K674" s="25" t="str">
        <f t="shared" si="29"/>
        <v/>
      </c>
      <c r="L674" s="25" t="str">
        <f t="shared" si="30"/>
        <v/>
      </c>
      <c r="M674" s="25"/>
      <c r="O674" s="25"/>
    </row>
    <row r="675" ht="15.75" customHeight="1">
      <c r="A675" s="25" t="str">
        <f>IFERROR(__xludf.DUMMYFUNCTION("IF(B675="""","""",RIGHT(REGEXREPLACE(B675&amp;"""",""[^0-9]"",""""),9))"),"701088802")</f>
        <v>701088802</v>
      </c>
      <c r="B675" s="52">
        <v>7.01088802E8</v>
      </c>
      <c r="C675" s="28" t="s">
        <v>875</v>
      </c>
      <c r="D675" s="26" t="s">
        <v>49</v>
      </c>
      <c r="E675" s="31">
        <v>46227.0</v>
      </c>
      <c r="F675" s="26" t="s">
        <v>41</v>
      </c>
      <c r="H675" s="26" t="s">
        <v>677</v>
      </c>
      <c r="I675" s="26" t="s">
        <v>42</v>
      </c>
      <c r="J675" s="25" t="str">
        <f t="shared" si="28"/>
        <v>No</v>
      </c>
      <c r="K675" s="25" t="str">
        <f t="shared" si="29"/>
        <v/>
      </c>
      <c r="L675" s="25" t="str">
        <f t="shared" si="30"/>
        <v/>
      </c>
      <c r="M675" s="25"/>
      <c r="O675" s="25"/>
    </row>
    <row r="676" ht="15.75" customHeight="1">
      <c r="A676" s="25" t="str">
        <f>IFERROR(__xludf.DUMMYFUNCTION("IF(B676="""","""",RIGHT(REGEXREPLACE(B676&amp;"""",""[^0-9]"",""""),9))"),"773211879")</f>
        <v>773211879</v>
      </c>
      <c r="B676" s="52">
        <v>7.73211879E8</v>
      </c>
      <c r="C676" s="28" t="s">
        <v>876</v>
      </c>
      <c r="D676" s="26" t="s">
        <v>45</v>
      </c>
      <c r="E676" s="31">
        <v>46227.0</v>
      </c>
      <c r="F676" s="26" t="s">
        <v>125</v>
      </c>
      <c r="G676" s="26">
        <v>11.0</v>
      </c>
      <c r="I676" s="26" t="s">
        <v>42</v>
      </c>
      <c r="J676" s="25" t="str">
        <f t="shared" si="28"/>
        <v>No</v>
      </c>
      <c r="K676" s="25" t="str">
        <f t="shared" si="29"/>
        <v/>
      </c>
      <c r="L676" s="25" t="str">
        <f t="shared" si="30"/>
        <v/>
      </c>
      <c r="M676" s="25"/>
      <c r="O676" s="25"/>
    </row>
    <row r="677" ht="15.75" customHeight="1">
      <c r="A677" s="25" t="str">
        <f>IFERROR(__xludf.DUMMYFUNCTION("IF(B677="""","""",RIGHT(REGEXREPLACE(B677&amp;"""",""[^0-9]"",""""),9))"),"714839393")</f>
        <v>714839393</v>
      </c>
      <c r="B677" s="52">
        <v>7.14839393E8</v>
      </c>
      <c r="C677" s="28" t="s">
        <v>877</v>
      </c>
      <c r="D677" s="26" t="s">
        <v>49</v>
      </c>
      <c r="E677" s="31">
        <v>46227.0</v>
      </c>
      <c r="F677" s="26" t="s">
        <v>46</v>
      </c>
      <c r="G677" s="26">
        <v>11.0</v>
      </c>
      <c r="H677" s="26" t="s">
        <v>677</v>
      </c>
      <c r="I677" s="26" t="s">
        <v>42</v>
      </c>
      <c r="J677" s="25" t="str">
        <f t="shared" si="28"/>
        <v>No</v>
      </c>
      <c r="K677" s="25" t="str">
        <f t="shared" si="29"/>
        <v/>
      </c>
      <c r="L677" s="25" t="str">
        <f t="shared" si="30"/>
        <v/>
      </c>
      <c r="M677" s="25"/>
      <c r="O677" s="25"/>
    </row>
    <row r="678" ht="15.75" customHeight="1">
      <c r="A678" s="25" t="str">
        <f>IFERROR(__xludf.DUMMYFUNCTION("IF(B678="""","""",RIGHT(REGEXREPLACE(B678&amp;"""",""[^0-9]"",""""),9))"),"769437134")</f>
        <v>769437134</v>
      </c>
      <c r="B678" s="52">
        <v>7.69437134E8</v>
      </c>
      <c r="C678" s="28" t="s">
        <v>878</v>
      </c>
      <c r="D678" s="26" t="s">
        <v>64</v>
      </c>
      <c r="E678" s="31">
        <v>46227.0</v>
      </c>
      <c r="F678" s="26" t="s">
        <v>205</v>
      </c>
      <c r="I678" s="26" t="s">
        <v>42</v>
      </c>
      <c r="J678" s="25" t="str">
        <f t="shared" si="28"/>
        <v>No</v>
      </c>
      <c r="K678" s="25" t="str">
        <f t="shared" si="29"/>
        <v/>
      </c>
      <c r="L678" s="25" t="str">
        <f t="shared" si="30"/>
        <v/>
      </c>
      <c r="M678" s="26" t="s">
        <v>51</v>
      </c>
      <c r="N678" s="26" t="s">
        <v>879</v>
      </c>
      <c r="O678" s="25"/>
    </row>
    <row r="679" ht="15.75" customHeight="1">
      <c r="A679" s="25" t="str">
        <f>IFERROR(__xludf.DUMMYFUNCTION("IF(B679="""","""",RIGHT(REGEXREPLACE(B679&amp;"""",""[^0-9]"",""""),9))"),"741952907")</f>
        <v>741952907</v>
      </c>
      <c r="B679" s="52">
        <v>7.41952907E8</v>
      </c>
      <c r="C679" s="28" t="s">
        <v>880</v>
      </c>
      <c r="D679" s="26" t="s">
        <v>45</v>
      </c>
      <c r="E679" s="31">
        <v>46227.0</v>
      </c>
      <c r="F679" s="26" t="s">
        <v>46</v>
      </c>
      <c r="G679" s="26">
        <v>10.0</v>
      </c>
      <c r="I679" s="26" t="s">
        <v>42</v>
      </c>
      <c r="J679" s="25" t="str">
        <f t="shared" si="28"/>
        <v>No</v>
      </c>
      <c r="K679" s="25" t="str">
        <f t="shared" si="29"/>
        <v/>
      </c>
      <c r="L679" s="25" t="str">
        <f t="shared" si="30"/>
        <v/>
      </c>
      <c r="M679" s="25"/>
      <c r="O679" s="25"/>
    </row>
    <row r="680" ht="15.75" customHeight="1">
      <c r="A680" s="25" t="str">
        <f>IFERROR(__xludf.DUMMYFUNCTION("IF(B680="""","""",RIGHT(REGEXREPLACE(B680&amp;"""",""[^0-9]"",""""),9))"),"777619738")</f>
        <v>777619738</v>
      </c>
      <c r="B680" s="52">
        <v>7.77619738E8</v>
      </c>
      <c r="C680" s="28" t="s">
        <v>881</v>
      </c>
      <c r="D680" s="26" t="s">
        <v>82</v>
      </c>
      <c r="E680" s="31">
        <v>46227.0</v>
      </c>
      <c r="F680" s="26" t="s">
        <v>46</v>
      </c>
      <c r="G680" s="26">
        <v>11.0</v>
      </c>
      <c r="I680" s="26" t="s">
        <v>42</v>
      </c>
      <c r="J680" s="25" t="str">
        <f t="shared" si="28"/>
        <v>No</v>
      </c>
      <c r="K680" s="25" t="str">
        <f t="shared" si="29"/>
        <v/>
      </c>
      <c r="L680" s="25" t="str">
        <f t="shared" si="30"/>
        <v/>
      </c>
      <c r="M680" s="25"/>
      <c r="O680" s="25"/>
    </row>
    <row r="681" ht="15.75" customHeight="1">
      <c r="A681" s="25" t="str">
        <f>IFERROR(__xludf.DUMMYFUNCTION("IF(B681="""","""",RIGHT(REGEXREPLACE(B681&amp;"""",""[^0-9]"",""""),9))"),"769280326")</f>
        <v>769280326</v>
      </c>
      <c r="B681" s="52">
        <v>7.69280326E8</v>
      </c>
      <c r="C681" s="28" t="s">
        <v>882</v>
      </c>
      <c r="D681" s="26" t="s">
        <v>56</v>
      </c>
      <c r="E681" s="31">
        <v>46227.0</v>
      </c>
      <c r="F681" s="26" t="s">
        <v>205</v>
      </c>
      <c r="G681" s="26">
        <v>11.0</v>
      </c>
      <c r="H681" s="26" t="s">
        <v>796</v>
      </c>
      <c r="I681" s="26" t="s">
        <v>42</v>
      </c>
      <c r="J681" s="25" t="str">
        <f t="shared" si="28"/>
        <v>No</v>
      </c>
      <c r="K681" s="25" t="str">
        <f t="shared" si="29"/>
        <v/>
      </c>
      <c r="L681" s="25" t="str">
        <f t="shared" si="30"/>
        <v/>
      </c>
      <c r="M681" s="25"/>
      <c r="O681" s="25"/>
    </row>
    <row r="682" ht="15.75" customHeight="1">
      <c r="A682" s="25" t="str">
        <f>IFERROR(__xludf.DUMMYFUNCTION("IF(B682="""","""",RIGHT(REGEXREPLACE(B682&amp;"""",""[^0-9]"",""""),9))"),"769137494")</f>
        <v>769137494</v>
      </c>
      <c r="B682" s="26">
        <v>7.69137494E8</v>
      </c>
      <c r="C682" s="28" t="s">
        <v>884</v>
      </c>
      <c r="D682" s="26" t="s">
        <v>37</v>
      </c>
      <c r="E682" s="31">
        <v>46227.0</v>
      </c>
      <c r="F682" s="26" t="s">
        <v>46</v>
      </c>
      <c r="G682" s="26">
        <v>11.0</v>
      </c>
      <c r="I682" s="26" t="s">
        <v>42</v>
      </c>
      <c r="J682" s="25" t="str">
        <f t="shared" si="28"/>
        <v>No</v>
      </c>
      <c r="K682" s="25" t="str">
        <f t="shared" si="29"/>
        <v/>
      </c>
      <c r="L682" s="25" t="str">
        <f t="shared" si="30"/>
        <v/>
      </c>
      <c r="M682" s="25"/>
      <c r="O682" s="25"/>
    </row>
    <row r="683" ht="15.75" customHeight="1">
      <c r="A683" s="25" t="str">
        <f>IFERROR(__xludf.DUMMYFUNCTION("IF(B683="""","""",RIGHT(REGEXREPLACE(B683&amp;"""",""[^0-9]"",""""),9))"),"764132991")</f>
        <v>764132991</v>
      </c>
      <c r="B683" s="52">
        <v>7.64132991E8</v>
      </c>
      <c r="C683" s="28" t="s">
        <v>885</v>
      </c>
      <c r="D683" s="26" t="s">
        <v>64</v>
      </c>
      <c r="E683" s="31">
        <v>46227.0</v>
      </c>
      <c r="F683" s="26" t="s">
        <v>205</v>
      </c>
      <c r="G683" s="26">
        <v>10.0</v>
      </c>
      <c r="I683" s="26" t="s">
        <v>42</v>
      </c>
      <c r="J683" s="25" t="str">
        <f t="shared" si="28"/>
        <v>No</v>
      </c>
      <c r="K683" s="25" t="str">
        <f t="shared" si="29"/>
        <v/>
      </c>
      <c r="L683" s="25" t="str">
        <f t="shared" si="30"/>
        <v/>
      </c>
      <c r="M683" s="26" t="s">
        <v>43</v>
      </c>
      <c r="N683" s="26" t="s">
        <v>54</v>
      </c>
      <c r="O683" s="25"/>
    </row>
    <row r="684" ht="15.75" customHeight="1">
      <c r="A684" s="25" t="str">
        <f>IFERROR(__xludf.DUMMYFUNCTION("IF(B684="""","""",RIGHT(REGEXREPLACE(B684&amp;"""",""[^0-9]"",""""),9))"),"778998295")</f>
        <v>778998295</v>
      </c>
      <c r="B684" s="52">
        <v>7.78998295E8</v>
      </c>
      <c r="C684" s="28" t="s">
        <v>886</v>
      </c>
      <c r="D684" s="26" t="s">
        <v>49</v>
      </c>
      <c r="E684" s="31">
        <v>46227.0</v>
      </c>
      <c r="F684" s="26" t="s">
        <v>41</v>
      </c>
      <c r="H684" s="26" t="s">
        <v>677</v>
      </c>
      <c r="I684" s="26" t="s">
        <v>42</v>
      </c>
      <c r="J684" s="25" t="str">
        <f t="shared" si="28"/>
        <v>No</v>
      </c>
      <c r="K684" s="25" t="str">
        <f t="shared" si="29"/>
        <v/>
      </c>
      <c r="L684" s="25" t="str">
        <f t="shared" si="30"/>
        <v/>
      </c>
      <c r="M684" s="25"/>
      <c r="O684" s="25"/>
    </row>
    <row r="685" ht="15.75" customHeight="1">
      <c r="A685" s="25" t="str">
        <f>IFERROR(__xludf.DUMMYFUNCTION("IF(B685="""","""",RIGHT(REGEXREPLACE(B685&amp;"""",""[^0-9]"",""""),9))"),"779139567")</f>
        <v>779139567</v>
      </c>
      <c r="B685" s="52">
        <v>7.79139567E8</v>
      </c>
      <c r="C685" s="28" t="s">
        <v>887</v>
      </c>
      <c r="D685" s="26" t="s">
        <v>56</v>
      </c>
      <c r="E685" s="31">
        <v>46227.0</v>
      </c>
      <c r="F685" s="26" t="s">
        <v>205</v>
      </c>
      <c r="G685" s="26">
        <v>11.0</v>
      </c>
      <c r="H685" s="26" t="s">
        <v>796</v>
      </c>
      <c r="I685" s="26" t="s">
        <v>42</v>
      </c>
      <c r="J685" s="25" t="str">
        <f t="shared" si="28"/>
        <v>No</v>
      </c>
      <c r="K685" s="25" t="str">
        <f t="shared" si="29"/>
        <v/>
      </c>
      <c r="L685" s="25" t="str">
        <f t="shared" si="30"/>
        <v/>
      </c>
      <c r="M685" s="25"/>
      <c r="O685" s="25"/>
    </row>
    <row r="686" ht="15.75" customHeight="1">
      <c r="A686" s="25" t="str">
        <f>IFERROR(__xludf.DUMMYFUNCTION("IF(B686="""","""",RIGHT(REGEXREPLACE(B686&amp;"""",""[^0-9]"",""""),9))"),"766662353")</f>
        <v>766662353</v>
      </c>
      <c r="B686" s="26">
        <v>7.66662353E8</v>
      </c>
      <c r="C686" s="28" t="s">
        <v>888</v>
      </c>
      <c r="D686" s="26" t="s">
        <v>37</v>
      </c>
      <c r="E686" s="31">
        <v>46227.0</v>
      </c>
      <c r="F686" s="26" t="s">
        <v>46</v>
      </c>
      <c r="G686" s="26">
        <v>11.0</v>
      </c>
      <c r="I686" s="26" t="s">
        <v>42</v>
      </c>
      <c r="J686" s="25" t="str">
        <f t="shared" si="28"/>
        <v>No</v>
      </c>
      <c r="K686" s="25" t="str">
        <f t="shared" si="29"/>
        <v/>
      </c>
      <c r="L686" s="25" t="str">
        <f t="shared" si="30"/>
        <v/>
      </c>
      <c r="M686" s="25"/>
      <c r="O686" s="25"/>
    </row>
    <row r="687" ht="15.75" customHeight="1">
      <c r="A687" s="25" t="str">
        <f>IFERROR(__xludf.DUMMYFUNCTION("IF(B687="""","""",RIGHT(REGEXREPLACE(B687&amp;"""",""[^0-9]"",""""),9))"),"776700732")</f>
        <v>776700732</v>
      </c>
      <c r="B687" s="52">
        <v>7.76700732E8</v>
      </c>
      <c r="C687" s="28" t="s">
        <v>889</v>
      </c>
      <c r="D687" s="26" t="s">
        <v>82</v>
      </c>
      <c r="E687" s="31">
        <v>46227.0</v>
      </c>
      <c r="F687" s="26" t="s">
        <v>46</v>
      </c>
      <c r="G687" s="26">
        <v>7.0</v>
      </c>
      <c r="I687" s="26" t="s">
        <v>42</v>
      </c>
      <c r="J687" s="25" t="str">
        <f t="shared" si="28"/>
        <v>No</v>
      </c>
      <c r="K687" s="25" t="str">
        <f t="shared" si="29"/>
        <v/>
      </c>
      <c r="L687" s="25" t="str">
        <f t="shared" si="30"/>
        <v/>
      </c>
      <c r="M687" s="25"/>
      <c r="O687" s="25"/>
    </row>
    <row r="688" ht="15.75" customHeight="1">
      <c r="A688" s="25" t="str">
        <f>IFERROR(__xludf.DUMMYFUNCTION("IF(B688="""","""",RIGHT(REGEXREPLACE(B688&amp;"""",""[^0-9]"",""""),9))"),"765462193")</f>
        <v>765462193</v>
      </c>
      <c r="B688" s="26">
        <v>7.65462193E8</v>
      </c>
      <c r="C688" s="28" t="s">
        <v>890</v>
      </c>
      <c r="D688" s="26" t="s">
        <v>37</v>
      </c>
      <c r="E688" s="31">
        <v>46227.0</v>
      </c>
      <c r="F688" s="26" t="s">
        <v>46</v>
      </c>
      <c r="G688" s="26">
        <v>11.0</v>
      </c>
      <c r="I688" s="26" t="s">
        <v>42</v>
      </c>
      <c r="J688" s="25" t="str">
        <f t="shared" si="28"/>
        <v>No</v>
      </c>
      <c r="K688" s="25" t="str">
        <f t="shared" si="29"/>
        <v/>
      </c>
      <c r="L688" s="25" t="str">
        <f t="shared" si="30"/>
        <v/>
      </c>
      <c r="M688" s="25"/>
      <c r="O688" s="25"/>
    </row>
    <row r="689" ht="15.75" customHeight="1">
      <c r="A689" s="25" t="str">
        <f>IFERROR(__xludf.DUMMYFUNCTION("IF(B689="""","""",RIGHT(REGEXREPLACE(B689&amp;"""",""[^0-9]"",""""),9))"),"767609737")</f>
        <v>767609737</v>
      </c>
      <c r="B689" s="52">
        <v>7.67609737E8</v>
      </c>
      <c r="C689" s="28" t="s">
        <v>891</v>
      </c>
      <c r="D689" s="26" t="s">
        <v>64</v>
      </c>
      <c r="E689" s="31">
        <v>46227.0</v>
      </c>
      <c r="F689" s="26" t="s">
        <v>41</v>
      </c>
      <c r="I689" s="26" t="s">
        <v>42</v>
      </c>
      <c r="J689" s="25" t="str">
        <f t="shared" si="28"/>
        <v>No</v>
      </c>
      <c r="K689" s="25" t="str">
        <f t="shared" si="29"/>
        <v/>
      </c>
      <c r="L689" s="25" t="str">
        <f t="shared" si="30"/>
        <v/>
      </c>
      <c r="M689" s="26" t="s">
        <v>43</v>
      </c>
      <c r="N689" s="26" t="s">
        <v>61</v>
      </c>
      <c r="O689" s="25"/>
    </row>
    <row r="690" ht="15.75" customHeight="1">
      <c r="A690" s="25" t="str">
        <f>IFERROR(__xludf.DUMMYFUNCTION("IF(B690="""","""",RIGHT(REGEXREPLACE(B690&amp;"""",""[^0-9]"",""""),9))"),"743091317")</f>
        <v>743091317</v>
      </c>
      <c r="B690" s="26">
        <v>7.43091317E8</v>
      </c>
      <c r="C690" s="28" t="s">
        <v>893</v>
      </c>
      <c r="D690" s="26" t="s">
        <v>37</v>
      </c>
      <c r="E690" s="31">
        <v>46227.0</v>
      </c>
      <c r="F690" s="26" t="s">
        <v>41</v>
      </c>
      <c r="G690" s="26">
        <v>10.0</v>
      </c>
      <c r="I690" s="26" t="s">
        <v>42</v>
      </c>
      <c r="J690" s="25" t="str">
        <f t="shared" si="28"/>
        <v>No</v>
      </c>
      <c r="K690" s="25" t="str">
        <f t="shared" si="29"/>
        <v/>
      </c>
      <c r="L690" s="25" t="str">
        <f t="shared" si="30"/>
        <v/>
      </c>
      <c r="M690" s="25"/>
      <c r="O690" s="25"/>
    </row>
    <row r="691" ht="15.75" customHeight="1">
      <c r="A691" s="25" t="str">
        <f>IFERROR(__xludf.DUMMYFUNCTION("IF(B691="""","""",RIGHT(REGEXREPLACE(B691&amp;"""",""[^0-9]"",""""),9))"),"714443869")</f>
        <v>714443869</v>
      </c>
      <c r="B691" s="52">
        <v>7.14443869E8</v>
      </c>
      <c r="C691" s="28" t="s">
        <v>894</v>
      </c>
      <c r="D691" s="26" t="s">
        <v>82</v>
      </c>
      <c r="E691" s="31">
        <v>46227.0</v>
      </c>
      <c r="F691" s="26" t="s">
        <v>46</v>
      </c>
      <c r="G691" s="26">
        <v>11.0</v>
      </c>
      <c r="I691" s="26" t="s">
        <v>42</v>
      </c>
      <c r="J691" s="25" t="str">
        <f t="shared" si="28"/>
        <v>No</v>
      </c>
      <c r="K691" s="25" t="str">
        <f t="shared" si="29"/>
        <v/>
      </c>
      <c r="L691" s="25" t="str">
        <f t="shared" si="30"/>
        <v/>
      </c>
      <c r="M691" s="25"/>
      <c r="O691" s="25"/>
    </row>
    <row r="692" ht="15.75" customHeight="1">
      <c r="A692" s="25" t="str">
        <f>IFERROR(__xludf.DUMMYFUNCTION("IF(B692="""","""",RIGHT(REGEXREPLACE(B692&amp;"""",""[^0-9]"",""""),9))"),"707637327")</f>
        <v>707637327</v>
      </c>
      <c r="B692" s="52">
        <v>7.07637327E8</v>
      </c>
      <c r="C692" s="28" t="s">
        <v>895</v>
      </c>
      <c r="D692" s="26" t="s">
        <v>45</v>
      </c>
      <c r="E692" s="31">
        <v>46227.0</v>
      </c>
      <c r="F692" s="26" t="s">
        <v>84</v>
      </c>
      <c r="H692" s="26" t="s">
        <v>677</v>
      </c>
      <c r="I692" s="26" t="s">
        <v>42</v>
      </c>
      <c r="J692" s="25" t="str">
        <f t="shared" si="28"/>
        <v>No</v>
      </c>
      <c r="K692" s="25" t="str">
        <f t="shared" si="29"/>
        <v/>
      </c>
      <c r="L692" s="25" t="str">
        <f t="shared" si="30"/>
        <v/>
      </c>
      <c r="M692" s="25"/>
      <c r="O692" s="25"/>
    </row>
    <row r="693" ht="15.75" customHeight="1">
      <c r="A693" s="25" t="str">
        <f>IFERROR(__xludf.DUMMYFUNCTION("IF(B693="""","""",RIGHT(REGEXREPLACE(B693&amp;"""",""[^0-9]"",""""),9))"),"714650808")</f>
        <v>714650808</v>
      </c>
      <c r="B693" s="26">
        <v>7.14650808E8</v>
      </c>
      <c r="C693" s="28" t="s">
        <v>896</v>
      </c>
      <c r="D693" s="26" t="s">
        <v>56</v>
      </c>
      <c r="E693" s="31">
        <v>46227.0</v>
      </c>
      <c r="F693" s="26" t="s">
        <v>46</v>
      </c>
      <c r="G693" s="26">
        <v>11.0</v>
      </c>
      <c r="H693" s="26" t="s">
        <v>796</v>
      </c>
      <c r="I693" s="26" t="s">
        <v>42</v>
      </c>
      <c r="J693" s="25" t="str">
        <f t="shared" si="28"/>
        <v>No</v>
      </c>
      <c r="K693" s="25" t="str">
        <f t="shared" si="29"/>
        <v/>
      </c>
      <c r="L693" s="25" t="str">
        <f t="shared" si="30"/>
        <v/>
      </c>
      <c r="M693" s="25"/>
      <c r="O693" s="25"/>
    </row>
    <row r="694" ht="15.75" customHeight="1">
      <c r="A694" s="25" t="str">
        <f>IFERROR(__xludf.DUMMYFUNCTION("IF(B694="""","""",RIGHT(REGEXREPLACE(B694&amp;"""",""[^0-9]"",""""),9))"),"767879986")</f>
        <v>767879986</v>
      </c>
      <c r="B694" s="52">
        <v>7.67879986E8</v>
      </c>
      <c r="C694" s="28" t="s">
        <v>897</v>
      </c>
      <c r="D694" s="26" t="s">
        <v>49</v>
      </c>
      <c r="E694" s="31">
        <v>46227.0</v>
      </c>
      <c r="F694" s="26" t="s">
        <v>41</v>
      </c>
      <c r="G694" s="26">
        <v>11.0</v>
      </c>
      <c r="H694" s="26" t="s">
        <v>677</v>
      </c>
      <c r="I694" s="26" t="s">
        <v>42</v>
      </c>
      <c r="J694" s="25" t="str">
        <f t="shared" si="28"/>
        <v>No</v>
      </c>
      <c r="K694" s="25" t="str">
        <f t="shared" si="29"/>
        <v/>
      </c>
      <c r="L694" s="25" t="str">
        <f t="shared" si="30"/>
        <v/>
      </c>
      <c r="M694" s="25"/>
      <c r="O694" s="25"/>
    </row>
    <row r="695" ht="15.75" customHeight="1">
      <c r="A695" s="25" t="str">
        <f>IFERROR(__xludf.DUMMYFUNCTION("IF(B695="""","""",RIGHT(REGEXREPLACE(B695&amp;"""",""[^0-9]"",""""),9))"),"775443645")</f>
        <v>775443645</v>
      </c>
      <c r="B695" s="52">
        <v>7.75443645E8</v>
      </c>
      <c r="C695" s="28" t="s">
        <v>898</v>
      </c>
      <c r="D695" s="26" t="s">
        <v>64</v>
      </c>
      <c r="E695" s="31">
        <v>46227.0</v>
      </c>
      <c r="F695" s="26" t="s">
        <v>41</v>
      </c>
      <c r="I695" s="26" t="s">
        <v>42</v>
      </c>
      <c r="J695" s="25" t="str">
        <f t="shared" si="28"/>
        <v>No</v>
      </c>
      <c r="K695" s="25" t="str">
        <f t="shared" si="29"/>
        <v/>
      </c>
      <c r="L695" s="25" t="str">
        <f t="shared" si="30"/>
        <v/>
      </c>
      <c r="M695" s="26" t="s">
        <v>43</v>
      </c>
      <c r="N695" s="26" t="s">
        <v>61</v>
      </c>
      <c r="O695" s="25"/>
    </row>
    <row r="696" ht="15.75" customHeight="1">
      <c r="A696" s="25" t="str">
        <f>IFERROR(__xludf.DUMMYFUNCTION("IF(B696="""","""",RIGHT(REGEXREPLACE(B696&amp;"""",""[^0-9]"",""""),9))"),"760233178")</f>
        <v>760233178</v>
      </c>
      <c r="B696" s="52">
        <v>7.60233178E8</v>
      </c>
      <c r="C696" s="28" t="s">
        <v>899</v>
      </c>
      <c r="D696" s="26" t="s">
        <v>45</v>
      </c>
      <c r="E696" s="31">
        <v>46227.0</v>
      </c>
      <c r="F696" s="26" t="s">
        <v>46</v>
      </c>
      <c r="G696" s="26">
        <v>11.0</v>
      </c>
      <c r="I696" s="26" t="s">
        <v>42</v>
      </c>
      <c r="J696" s="25" t="str">
        <f t="shared" si="28"/>
        <v>No</v>
      </c>
      <c r="K696" s="25" t="str">
        <f t="shared" si="29"/>
        <v/>
      </c>
      <c r="L696" s="25" t="str">
        <f t="shared" si="30"/>
        <v/>
      </c>
      <c r="M696" s="25"/>
      <c r="O696" s="25"/>
    </row>
    <row r="697" ht="15.75" customHeight="1">
      <c r="A697" s="25" t="str">
        <f>IFERROR(__xludf.DUMMYFUNCTION("IF(B697="""","""",RIGHT(REGEXREPLACE(B697&amp;"""",""[^0-9]"",""""),9))"),"773120686")</f>
        <v>773120686</v>
      </c>
      <c r="B697" s="52">
        <v>7.73120686E8</v>
      </c>
      <c r="C697" s="28" t="s">
        <v>900</v>
      </c>
      <c r="D697" s="26" t="s">
        <v>82</v>
      </c>
      <c r="E697" s="31">
        <v>46227.0</v>
      </c>
      <c r="F697" s="26" t="s">
        <v>46</v>
      </c>
      <c r="G697" s="26">
        <v>10.0</v>
      </c>
      <c r="I697" s="26" t="s">
        <v>42</v>
      </c>
      <c r="J697" s="25" t="str">
        <f t="shared" si="28"/>
        <v>No</v>
      </c>
      <c r="K697" s="25" t="str">
        <f t="shared" si="29"/>
        <v/>
      </c>
      <c r="L697" s="25" t="str">
        <f t="shared" si="30"/>
        <v/>
      </c>
      <c r="M697" s="25"/>
      <c r="O697" s="25"/>
    </row>
    <row r="698" ht="15.75" customHeight="1">
      <c r="A698" s="25" t="str">
        <f>IFERROR(__xludf.DUMMYFUNCTION("IF(B698="""","""",RIGHT(REGEXREPLACE(B698&amp;"""",""[^0-9]"",""""),9))"),"702251863")</f>
        <v>702251863</v>
      </c>
      <c r="B698" s="52">
        <v>7.02251863E8</v>
      </c>
      <c r="C698" s="28" t="s">
        <v>901</v>
      </c>
      <c r="D698" s="26" t="s">
        <v>49</v>
      </c>
      <c r="E698" s="31">
        <v>46227.0</v>
      </c>
      <c r="F698" s="26" t="s">
        <v>46</v>
      </c>
      <c r="G698" s="26">
        <v>6.0</v>
      </c>
      <c r="H698" s="26" t="s">
        <v>677</v>
      </c>
      <c r="I698" s="26" t="s">
        <v>42</v>
      </c>
      <c r="J698" s="25" t="str">
        <f t="shared" si="28"/>
        <v>No</v>
      </c>
      <c r="K698" s="25" t="str">
        <f t="shared" si="29"/>
        <v/>
      </c>
      <c r="L698" s="25" t="str">
        <f t="shared" si="30"/>
        <v/>
      </c>
      <c r="M698" s="25"/>
      <c r="O698" s="25"/>
    </row>
    <row r="699" ht="15.75" customHeight="1">
      <c r="A699" s="25" t="str">
        <f>IFERROR(__xludf.DUMMYFUNCTION("IF(B699="""","""",RIGHT(REGEXREPLACE(B699&amp;"""",""[^0-9]"",""""),9))"),"778274541")</f>
        <v>778274541</v>
      </c>
      <c r="B699" s="52">
        <v>7.78274541E8</v>
      </c>
      <c r="C699" s="28" t="s">
        <v>903</v>
      </c>
      <c r="D699" s="26" t="s">
        <v>64</v>
      </c>
      <c r="E699" s="31">
        <v>46227.0</v>
      </c>
      <c r="F699" s="26" t="s">
        <v>41</v>
      </c>
      <c r="G699" s="26">
        <v>11.0</v>
      </c>
      <c r="I699" s="26" t="s">
        <v>42</v>
      </c>
      <c r="J699" s="25" t="str">
        <f t="shared" si="28"/>
        <v>No</v>
      </c>
      <c r="K699" s="25" t="str">
        <f t="shared" si="29"/>
        <v/>
      </c>
      <c r="L699" s="25" t="str">
        <f t="shared" si="30"/>
        <v/>
      </c>
      <c r="M699" s="26" t="s">
        <v>51</v>
      </c>
      <c r="N699" s="26" t="s">
        <v>904</v>
      </c>
      <c r="O699" s="25"/>
    </row>
    <row r="700" ht="15.75" customHeight="1">
      <c r="A700" s="25" t="str">
        <f>IFERROR(__xludf.DUMMYFUNCTION("IF(B700="""","""",RIGHT(REGEXREPLACE(B700&amp;"""",""[^0-9]"",""""),9))"),"779198818")</f>
        <v>779198818</v>
      </c>
      <c r="B700" s="52">
        <v>7.79198818E8</v>
      </c>
      <c r="C700" s="28" t="s">
        <v>905</v>
      </c>
      <c r="D700" s="26" t="s">
        <v>45</v>
      </c>
      <c r="E700" s="31">
        <v>46227.0</v>
      </c>
      <c r="F700" s="26" t="s">
        <v>46</v>
      </c>
      <c r="G700" s="26">
        <v>11.0</v>
      </c>
      <c r="I700" s="26" t="s">
        <v>42</v>
      </c>
      <c r="J700" s="25" t="str">
        <f t="shared" si="28"/>
        <v>No</v>
      </c>
      <c r="K700" s="25" t="str">
        <f t="shared" si="29"/>
        <v/>
      </c>
      <c r="L700" s="25" t="str">
        <f t="shared" si="30"/>
        <v/>
      </c>
      <c r="M700" s="25"/>
      <c r="O700" s="25"/>
    </row>
    <row r="701" ht="15.75" customHeight="1">
      <c r="A701" s="25" t="str">
        <f>IFERROR(__xludf.DUMMYFUNCTION("IF(B701="""","""",RIGHT(REGEXREPLACE(B701&amp;"""",""[^0-9]"",""""),9))"),"751252193")</f>
        <v>751252193</v>
      </c>
      <c r="B701" s="52">
        <v>7.51252193E8</v>
      </c>
      <c r="C701" s="28" t="s">
        <v>906</v>
      </c>
      <c r="D701" s="26" t="s">
        <v>56</v>
      </c>
      <c r="E701" s="31">
        <v>46227.0</v>
      </c>
      <c r="F701" s="26" t="s">
        <v>46</v>
      </c>
      <c r="G701" s="26">
        <v>11.0</v>
      </c>
      <c r="H701" s="26" t="s">
        <v>774</v>
      </c>
      <c r="I701" s="26" t="s">
        <v>42</v>
      </c>
      <c r="J701" s="25" t="str">
        <f t="shared" si="28"/>
        <v>No</v>
      </c>
      <c r="K701" s="25" t="str">
        <f t="shared" si="29"/>
        <v/>
      </c>
      <c r="L701" s="25" t="str">
        <f t="shared" si="30"/>
        <v/>
      </c>
      <c r="M701" s="25"/>
      <c r="O701" s="25"/>
    </row>
    <row r="702" ht="15.75" customHeight="1">
      <c r="A702" s="25" t="str">
        <f>IFERROR(__xludf.DUMMYFUNCTION("IF(B702="""","""",RIGHT(REGEXREPLACE(B702&amp;"""",""[^0-9]"",""""),9))"),"781327535")</f>
        <v>781327535</v>
      </c>
      <c r="B702" s="52">
        <v>7.81327535E8</v>
      </c>
      <c r="C702" s="28" t="s">
        <v>907</v>
      </c>
      <c r="D702" s="26" t="s">
        <v>64</v>
      </c>
      <c r="E702" s="31">
        <v>46227.0</v>
      </c>
      <c r="F702" s="26" t="s">
        <v>41</v>
      </c>
      <c r="I702" s="26" t="s">
        <v>42</v>
      </c>
      <c r="J702" s="25" t="str">
        <f t="shared" si="28"/>
        <v>No</v>
      </c>
      <c r="K702" s="25" t="str">
        <f t="shared" si="29"/>
        <v/>
      </c>
      <c r="L702" s="25" t="str">
        <f t="shared" si="30"/>
        <v/>
      </c>
      <c r="M702" s="26" t="s">
        <v>51</v>
      </c>
      <c r="N702" s="26" t="s">
        <v>763</v>
      </c>
      <c r="O702" s="25"/>
    </row>
    <row r="703" ht="15.75" customHeight="1">
      <c r="A703" s="25" t="str">
        <f>IFERROR(__xludf.DUMMYFUNCTION("IF(B703="""","""",RIGHT(REGEXREPLACE(B703&amp;"""",""[^0-9]"",""""),9))"),"773749695")</f>
        <v>773749695</v>
      </c>
      <c r="B703" s="52">
        <v>7.73749695E8</v>
      </c>
      <c r="C703" s="28" t="s">
        <v>908</v>
      </c>
      <c r="D703" s="26" t="s">
        <v>49</v>
      </c>
      <c r="E703" s="31">
        <v>46227.0</v>
      </c>
      <c r="F703" s="26" t="s">
        <v>46</v>
      </c>
      <c r="G703" s="26">
        <v>11.0</v>
      </c>
      <c r="H703" s="26" t="s">
        <v>677</v>
      </c>
      <c r="I703" s="26" t="s">
        <v>42</v>
      </c>
      <c r="J703" s="25" t="str">
        <f t="shared" si="28"/>
        <v>No</v>
      </c>
      <c r="K703" s="25" t="str">
        <f t="shared" si="29"/>
        <v/>
      </c>
      <c r="L703" s="25" t="str">
        <f t="shared" si="30"/>
        <v/>
      </c>
      <c r="M703" s="25"/>
      <c r="O703" s="25"/>
    </row>
    <row r="704" ht="15.75" customHeight="1">
      <c r="A704" s="25" t="str">
        <f>IFERROR(__xludf.DUMMYFUNCTION("IF(B704="""","""",RIGHT(REGEXREPLACE(B704&amp;"""",""[^0-9]"",""""),9))"),"714661017")</f>
        <v>714661017</v>
      </c>
      <c r="B704" s="52">
        <v>7.14661017E8</v>
      </c>
      <c r="C704" s="28" t="s">
        <v>909</v>
      </c>
      <c r="D704" s="26" t="s">
        <v>82</v>
      </c>
      <c r="E704" s="31">
        <v>46227.0</v>
      </c>
      <c r="F704" s="26" t="s">
        <v>704</v>
      </c>
      <c r="G704" s="26">
        <v>11.0</v>
      </c>
      <c r="I704" s="26" t="s">
        <v>42</v>
      </c>
      <c r="J704" s="25" t="str">
        <f t="shared" si="28"/>
        <v>No</v>
      </c>
      <c r="K704" s="25" t="str">
        <f t="shared" si="29"/>
        <v/>
      </c>
      <c r="L704" s="25" t="str">
        <f t="shared" si="30"/>
        <v/>
      </c>
      <c r="M704" s="25"/>
      <c r="O704" s="25"/>
    </row>
    <row r="705" ht="15.75" customHeight="1">
      <c r="A705" s="25" t="str">
        <f>IFERROR(__xludf.DUMMYFUNCTION("IF(B705="""","""",RIGHT(REGEXREPLACE(B705&amp;"""",""[^0-9]"",""""),9))"),"776523305")</f>
        <v>776523305</v>
      </c>
      <c r="B705" s="52">
        <v>7.76523305E8</v>
      </c>
      <c r="C705" s="28" t="s">
        <v>910</v>
      </c>
      <c r="D705" s="26" t="s">
        <v>82</v>
      </c>
      <c r="E705" s="31">
        <v>46227.0</v>
      </c>
      <c r="F705" s="26" t="s">
        <v>84</v>
      </c>
      <c r="I705" s="26" t="s">
        <v>42</v>
      </c>
      <c r="J705" s="25" t="str">
        <f t="shared" si="28"/>
        <v>No</v>
      </c>
      <c r="K705" s="25" t="str">
        <f t="shared" si="29"/>
        <v/>
      </c>
      <c r="L705" s="25" t="str">
        <f t="shared" si="30"/>
        <v/>
      </c>
      <c r="M705" s="25"/>
      <c r="O705" s="25"/>
    </row>
    <row r="706" ht="15.75" customHeight="1">
      <c r="A706" s="25" t="str">
        <f>IFERROR(__xludf.DUMMYFUNCTION("IF(B706="""","""",RIGHT(REGEXREPLACE(B706&amp;"""",""[^0-9]"",""""),9))"),"742966030")</f>
        <v>742966030</v>
      </c>
      <c r="B706" s="52">
        <v>7.4296603E8</v>
      </c>
      <c r="C706" s="28" t="s">
        <v>912</v>
      </c>
      <c r="D706" s="26" t="s">
        <v>64</v>
      </c>
      <c r="E706" s="31">
        <v>46227.0</v>
      </c>
      <c r="F706" s="26" t="s">
        <v>205</v>
      </c>
      <c r="G706" s="26">
        <v>9.0</v>
      </c>
      <c r="I706" s="26" t="s">
        <v>42</v>
      </c>
      <c r="J706" s="25" t="str">
        <f t="shared" si="28"/>
        <v>No</v>
      </c>
      <c r="K706" s="25" t="str">
        <f t="shared" si="29"/>
        <v/>
      </c>
      <c r="L706" s="25" t="str">
        <f t="shared" si="30"/>
        <v/>
      </c>
      <c r="M706" s="26" t="s">
        <v>51</v>
      </c>
      <c r="N706" s="26" t="s">
        <v>655</v>
      </c>
      <c r="O706" s="25"/>
    </row>
    <row r="707" ht="15.75" customHeight="1">
      <c r="A707" s="25" t="str">
        <f>IFERROR(__xludf.DUMMYFUNCTION("IF(B707="""","""",RIGHT(REGEXREPLACE(B707&amp;"""",""[^0-9]"",""""),9))"),"740333275")</f>
        <v>740333275</v>
      </c>
      <c r="B707" s="52">
        <v>7.40333275E8</v>
      </c>
      <c r="C707" s="28" t="s">
        <v>913</v>
      </c>
      <c r="D707" s="26" t="s">
        <v>56</v>
      </c>
      <c r="E707" s="31">
        <v>46227.0</v>
      </c>
      <c r="F707" s="26" t="s">
        <v>46</v>
      </c>
      <c r="G707" s="26">
        <v>11.0</v>
      </c>
      <c r="H707" s="26" t="s">
        <v>140</v>
      </c>
      <c r="I707" s="26" t="s">
        <v>42</v>
      </c>
      <c r="J707" s="25" t="str">
        <f t="shared" si="28"/>
        <v>No</v>
      </c>
      <c r="K707" s="25" t="str">
        <f t="shared" si="29"/>
        <v/>
      </c>
      <c r="L707" s="25" t="str">
        <f t="shared" si="30"/>
        <v/>
      </c>
      <c r="M707" s="25"/>
      <c r="O707" s="25"/>
    </row>
    <row r="708" ht="15.75" customHeight="1">
      <c r="A708" s="25" t="str">
        <f>IFERROR(__xludf.DUMMYFUNCTION("IF(B708="""","""",RIGHT(REGEXREPLACE(B708&amp;"""",""[^0-9]"",""""),9))"),"762872790")</f>
        <v>762872790</v>
      </c>
      <c r="B708" s="52">
        <v>7.6287279E8</v>
      </c>
      <c r="C708" s="28" t="s">
        <v>914</v>
      </c>
      <c r="D708" s="26" t="s">
        <v>49</v>
      </c>
      <c r="E708" s="31">
        <v>46227.0</v>
      </c>
      <c r="F708" s="26" t="s">
        <v>46</v>
      </c>
      <c r="G708" s="26">
        <v>6.0</v>
      </c>
      <c r="H708" s="26" t="s">
        <v>677</v>
      </c>
      <c r="I708" s="26" t="s">
        <v>42</v>
      </c>
      <c r="J708" s="25" t="str">
        <f t="shared" si="28"/>
        <v>No</v>
      </c>
      <c r="K708" s="25" t="str">
        <f t="shared" si="29"/>
        <v/>
      </c>
      <c r="L708" s="25" t="str">
        <f t="shared" si="30"/>
        <v/>
      </c>
      <c r="M708" s="25"/>
      <c r="O708" s="25"/>
    </row>
    <row r="709" ht="15.75" customHeight="1">
      <c r="A709" s="25" t="str">
        <f>IFERROR(__xludf.DUMMYFUNCTION("IF(B709="""","""",RIGHT(REGEXREPLACE(B709&amp;"""",""[^0-9]"",""""),9))"),"773577271")</f>
        <v>773577271</v>
      </c>
      <c r="B709" s="52">
        <v>7.73577271E8</v>
      </c>
      <c r="C709" s="28" t="s">
        <v>915</v>
      </c>
      <c r="D709" s="26" t="s">
        <v>45</v>
      </c>
      <c r="E709" s="31">
        <v>46227.0</v>
      </c>
      <c r="F709" s="26" t="s">
        <v>46</v>
      </c>
      <c r="G709" s="26">
        <v>11.0</v>
      </c>
      <c r="I709" s="26" t="s">
        <v>42</v>
      </c>
      <c r="J709" s="25" t="str">
        <f t="shared" si="28"/>
        <v>No</v>
      </c>
      <c r="K709" s="25" t="str">
        <f t="shared" si="29"/>
        <v/>
      </c>
      <c r="L709" s="25" t="str">
        <f t="shared" si="30"/>
        <v/>
      </c>
      <c r="M709" s="25"/>
      <c r="O709" s="25"/>
    </row>
    <row r="710" ht="15.75" customHeight="1">
      <c r="A710" s="25" t="str">
        <f>IFERROR(__xludf.DUMMYFUNCTION("IF(B710="""","""",RIGHT(REGEXREPLACE(B710&amp;"""",""[^0-9]"",""""),9))"),"769911267")</f>
        <v>769911267</v>
      </c>
      <c r="B710" s="52">
        <v>7.69911267E8</v>
      </c>
      <c r="C710" s="28" t="s">
        <v>916</v>
      </c>
      <c r="D710" s="26" t="s">
        <v>82</v>
      </c>
      <c r="E710" s="31">
        <v>46227.0</v>
      </c>
      <c r="F710" s="26" t="s">
        <v>41</v>
      </c>
      <c r="G710" s="26">
        <v>10.0</v>
      </c>
      <c r="I710" s="26" t="s">
        <v>42</v>
      </c>
      <c r="J710" s="25" t="str">
        <f t="shared" si="28"/>
        <v>No</v>
      </c>
      <c r="K710" s="25" t="str">
        <f t="shared" si="29"/>
        <v/>
      </c>
      <c r="L710" s="25" t="str">
        <f t="shared" si="30"/>
        <v/>
      </c>
      <c r="M710" s="25"/>
      <c r="O710" s="25"/>
    </row>
    <row r="711" ht="15.75" customHeight="1">
      <c r="A711" s="25" t="str">
        <f>IFERROR(__xludf.DUMMYFUNCTION("IF(B711="""","""",RIGHT(REGEXREPLACE(B711&amp;"""",""[^0-9]"",""""),9))"),"776941201")</f>
        <v>776941201</v>
      </c>
      <c r="B711" s="52">
        <v>7.76941201E8</v>
      </c>
      <c r="C711" s="28" t="s">
        <v>917</v>
      </c>
      <c r="D711" s="26" t="s">
        <v>64</v>
      </c>
      <c r="E711" s="31">
        <v>46227.0</v>
      </c>
      <c r="F711" s="26" t="s">
        <v>46</v>
      </c>
      <c r="G711" s="26">
        <v>11.0</v>
      </c>
      <c r="I711" s="26" t="s">
        <v>42</v>
      </c>
      <c r="J711" s="25" t="str">
        <f t="shared" si="28"/>
        <v>No</v>
      </c>
      <c r="K711" s="25" t="str">
        <f t="shared" si="29"/>
        <v/>
      </c>
      <c r="L711" s="25" t="str">
        <f t="shared" si="30"/>
        <v/>
      </c>
      <c r="M711" s="26" t="s">
        <v>51</v>
      </c>
      <c r="N711" s="26" t="s">
        <v>918</v>
      </c>
      <c r="O711" s="25"/>
    </row>
    <row r="712" ht="15.75" customHeight="1">
      <c r="A712" s="25" t="str">
        <f>IFERROR(__xludf.DUMMYFUNCTION("IF(B712="""","""",RIGHT(REGEXREPLACE(B712&amp;"""",""[^0-9]"",""""),9))"),"717260862")</f>
        <v>717260862</v>
      </c>
      <c r="B712" s="52">
        <v>7.17260862E8</v>
      </c>
      <c r="C712" s="28" t="s">
        <v>919</v>
      </c>
      <c r="D712" s="26" t="s">
        <v>82</v>
      </c>
      <c r="E712" s="31">
        <v>46227.0</v>
      </c>
      <c r="F712" s="26" t="s">
        <v>46</v>
      </c>
      <c r="G712" s="26">
        <v>9.0</v>
      </c>
      <c r="I712" s="26" t="s">
        <v>42</v>
      </c>
      <c r="J712" s="25" t="str">
        <f t="shared" si="28"/>
        <v>No</v>
      </c>
      <c r="K712" s="25" t="str">
        <f t="shared" si="29"/>
        <v/>
      </c>
      <c r="L712" s="25" t="str">
        <f t="shared" si="30"/>
        <v/>
      </c>
      <c r="M712" s="25"/>
      <c r="O712" s="25"/>
    </row>
    <row r="713" ht="15.75" customHeight="1">
      <c r="A713" s="25" t="str">
        <f>IFERROR(__xludf.DUMMYFUNCTION("IF(B713="""","""",RIGHT(REGEXREPLACE(B713&amp;"""",""[^0-9]"",""""),9))"),"718044316")</f>
        <v>718044316</v>
      </c>
      <c r="B713" s="52">
        <v>7.18044316E8</v>
      </c>
      <c r="C713" s="28" t="s">
        <v>920</v>
      </c>
      <c r="D713" s="26" t="s">
        <v>56</v>
      </c>
      <c r="E713" s="31">
        <v>46227.0</v>
      </c>
      <c r="F713" s="26" t="s">
        <v>125</v>
      </c>
      <c r="G713" s="26">
        <v>10.0</v>
      </c>
      <c r="H713" s="26" t="s">
        <v>796</v>
      </c>
      <c r="I713" s="26" t="s">
        <v>42</v>
      </c>
      <c r="J713" s="25" t="str">
        <f t="shared" si="28"/>
        <v>No</v>
      </c>
      <c r="K713" s="25" t="str">
        <f t="shared" si="29"/>
        <v/>
      </c>
      <c r="L713" s="25" t="str">
        <f t="shared" si="30"/>
        <v/>
      </c>
      <c r="M713" s="25"/>
      <c r="O713" s="25"/>
    </row>
    <row r="714" ht="15.75" customHeight="1">
      <c r="A714" s="25" t="str">
        <f>IFERROR(__xludf.DUMMYFUNCTION("IF(B714="""","""",RIGHT(REGEXREPLACE(B714&amp;"""",""[^0-9]"",""""),9))"),"772829331")</f>
        <v>772829331</v>
      </c>
      <c r="B714" s="52">
        <v>9.4772829331E10</v>
      </c>
      <c r="C714" s="28" t="s">
        <v>922</v>
      </c>
      <c r="D714" s="26" t="s">
        <v>37</v>
      </c>
      <c r="E714" s="31">
        <v>46227.0</v>
      </c>
      <c r="F714" s="26" t="s">
        <v>46</v>
      </c>
      <c r="G714" s="26">
        <v>10.0</v>
      </c>
      <c r="I714" s="26" t="s">
        <v>42</v>
      </c>
      <c r="J714" s="25" t="str">
        <f t="shared" si="28"/>
        <v>No</v>
      </c>
      <c r="K714" s="25" t="str">
        <f t="shared" si="29"/>
        <v/>
      </c>
      <c r="L714" s="25" t="str">
        <f t="shared" si="30"/>
        <v/>
      </c>
      <c r="M714" s="25"/>
      <c r="O714" s="25"/>
    </row>
    <row r="715" ht="15.75" customHeight="1">
      <c r="A715" s="25" t="str">
        <f>IFERROR(__xludf.DUMMYFUNCTION("IF(B715="""","""",RIGHT(REGEXREPLACE(B715&amp;"""",""[^0-9]"",""""),9))"),"762242410")</f>
        <v>762242410</v>
      </c>
      <c r="B715" s="52">
        <v>7.6224241E8</v>
      </c>
      <c r="C715" s="28" t="s">
        <v>923</v>
      </c>
      <c r="D715" s="26" t="s">
        <v>64</v>
      </c>
      <c r="E715" s="31">
        <v>46227.0</v>
      </c>
      <c r="F715" s="26" t="s">
        <v>41</v>
      </c>
      <c r="G715" s="26">
        <v>11.0</v>
      </c>
      <c r="I715" s="26" t="s">
        <v>42</v>
      </c>
      <c r="J715" s="25" t="str">
        <f t="shared" si="28"/>
        <v>No</v>
      </c>
      <c r="K715" s="25" t="str">
        <f t="shared" si="29"/>
        <v/>
      </c>
      <c r="L715" s="25" t="str">
        <f t="shared" si="30"/>
        <v/>
      </c>
      <c r="M715" s="26" t="s">
        <v>51</v>
      </c>
      <c r="N715" s="26" t="s">
        <v>924</v>
      </c>
      <c r="O715" s="25"/>
    </row>
    <row r="716" ht="15.75" customHeight="1">
      <c r="A716" s="25" t="str">
        <f>IFERROR(__xludf.DUMMYFUNCTION("IF(B716="""","""",RIGHT(REGEXREPLACE(B716&amp;"""",""[^0-9]"",""""),9))"),"715860946")</f>
        <v>715860946</v>
      </c>
      <c r="B716" s="52">
        <v>7.15860946E8</v>
      </c>
      <c r="C716" s="28" t="s">
        <v>925</v>
      </c>
      <c r="D716" s="26" t="s">
        <v>49</v>
      </c>
      <c r="E716" s="31">
        <v>46227.0</v>
      </c>
      <c r="F716" s="26" t="s">
        <v>41</v>
      </c>
      <c r="G716" s="26">
        <v>7.0</v>
      </c>
      <c r="I716" s="26" t="s">
        <v>42</v>
      </c>
      <c r="J716" s="25" t="str">
        <f t="shared" si="28"/>
        <v>No</v>
      </c>
      <c r="K716" s="25" t="str">
        <f t="shared" si="29"/>
        <v/>
      </c>
      <c r="L716" s="25" t="str">
        <f t="shared" si="30"/>
        <v/>
      </c>
      <c r="M716" s="25"/>
      <c r="O716" s="25"/>
    </row>
    <row r="717" ht="15.75" customHeight="1">
      <c r="A717" s="25" t="str">
        <f>IFERROR(__xludf.DUMMYFUNCTION("IF(B717="""","""",RIGHT(REGEXREPLACE(B717&amp;"""",""[^0-9]"",""""),9))"),"768176811")</f>
        <v>768176811</v>
      </c>
      <c r="B717" s="52">
        <v>7.68176811E8</v>
      </c>
      <c r="C717" s="28" t="s">
        <v>926</v>
      </c>
      <c r="D717" s="26" t="s">
        <v>64</v>
      </c>
      <c r="E717" s="31">
        <v>46227.0</v>
      </c>
      <c r="F717" s="26" t="s">
        <v>167</v>
      </c>
      <c r="G717" s="26">
        <v>11.0</v>
      </c>
      <c r="I717" s="26" t="s">
        <v>42</v>
      </c>
      <c r="J717" s="25" t="str">
        <f t="shared" si="28"/>
        <v>No</v>
      </c>
      <c r="K717" s="25" t="str">
        <f t="shared" si="29"/>
        <v/>
      </c>
      <c r="L717" s="25" t="str">
        <f t="shared" si="30"/>
        <v/>
      </c>
      <c r="M717" s="26" t="s">
        <v>43</v>
      </c>
      <c r="N717" s="26" t="s">
        <v>61</v>
      </c>
      <c r="O717" s="25"/>
    </row>
    <row r="718" ht="15.75" customHeight="1">
      <c r="A718" s="25" t="str">
        <f>IFERROR(__xludf.DUMMYFUNCTION("IF(B718="""","""",RIGHT(REGEXREPLACE(B718&amp;"""",""[^0-9]"",""""),9))"),"776950073")</f>
        <v>776950073</v>
      </c>
      <c r="B718" s="52">
        <v>7.76950073E8</v>
      </c>
      <c r="C718" s="28" t="s">
        <v>927</v>
      </c>
      <c r="D718" s="26" t="s">
        <v>56</v>
      </c>
      <c r="E718" s="31">
        <v>46227.0</v>
      </c>
      <c r="F718" s="26" t="s">
        <v>46</v>
      </c>
      <c r="G718" s="26">
        <v>11.0</v>
      </c>
      <c r="H718" s="26" t="s">
        <v>774</v>
      </c>
      <c r="I718" s="26" t="s">
        <v>42</v>
      </c>
      <c r="J718" s="25" t="str">
        <f t="shared" si="28"/>
        <v>No</v>
      </c>
      <c r="K718" s="25" t="str">
        <f t="shared" si="29"/>
        <v/>
      </c>
      <c r="L718" s="25" t="str">
        <f t="shared" si="30"/>
        <v/>
      </c>
      <c r="M718" s="25"/>
      <c r="O718" s="25"/>
    </row>
    <row r="719" ht="15.75" customHeight="1">
      <c r="A719" s="25" t="str">
        <f>IFERROR(__xludf.DUMMYFUNCTION("IF(B719="""","""",RIGHT(REGEXREPLACE(B719&amp;"""",""[^0-9]"",""""),9))"),"760310078")</f>
        <v>760310078</v>
      </c>
      <c r="B719" s="52">
        <v>7.60310078E8</v>
      </c>
      <c r="C719" s="28" t="s">
        <v>928</v>
      </c>
      <c r="D719" s="26" t="s">
        <v>49</v>
      </c>
      <c r="E719" s="31">
        <v>46227.0</v>
      </c>
      <c r="F719" s="26" t="s">
        <v>46</v>
      </c>
      <c r="G719" s="26">
        <v>11.0</v>
      </c>
      <c r="H719" s="26" t="s">
        <v>677</v>
      </c>
      <c r="I719" s="26" t="s">
        <v>42</v>
      </c>
      <c r="J719" s="25" t="str">
        <f t="shared" si="28"/>
        <v>No</v>
      </c>
      <c r="K719" s="25" t="str">
        <f t="shared" si="29"/>
        <v/>
      </c>
      <c r="L719" s="25" t="str">
        <f t="shared" si="30"/>
        <v/>
      </c>
      <c r="M719" s="25"/>
      <c r="O719" s="25"/>
    </row>
    <row r="720" ht="15.75" customHeight="1">
      <c r="A720" s="25" t="str">
        <f>IFERROR(__xludf.DUMMYFUNCTION("IF(B720="""","""",RIGHT(REGEXREPLACE(B720&amp;"""",""[^0-9]"",""""),9))"),"765510067")</f>
        <v>765510067</v>
      </c>
      <c r="B720" s="52">
        <v>7.65510067E8</v>
      </c>
      <c r="C720" s="28" t="s">
        <v>929</v>
      </c>
      <c r="D720" s="26" t="s">
        <v>82</v>
      </c>
      <c r="E720" s="31">
        <v>46227.0</v>
      </c>
      <c r="F720" s="26" t="s">
        <v>46</v>
      </c>
      <c r="G720" s="26">
        <v>11.0</v>
      </c>
      <c r="I720" s="26" t="s">
        <v>42</v>
      </c>
      <c r="J720" s="25" t="str">
        <f t="shared" si="28"/>
        <v>No</v>
      </c>
      <c r="K720" s="25" t="str">
        <f t="shared" si="29"/>
        <v/>
      </c>
      <c r="L720" s="25" t="str">
        <f t="shared" si="30"/>
        <v/>
      </c>
      <c r="M720" s="25"/>
      <c r="O720" s="25"/>
    </row>
    <row r="721" ht="15.75" customHeight="1">
      <c r="A721" s="25" t="str">
        <f>IFERROR(__xludf.DUMMYFUNCTION("IF(B721="""","""",RIGHT(REGEXREPLACE(B721&amp;"""",""[^0-9]"",""""),9))"),"720907734")</f>
        <v>720907734</v>
      </c>
      <c r="B721" s="52">
        <v>7.20907734E8</v>
      </c>
      <c r="C721" s="28" t="s">
        <v>930</v>
      </c>
      <c r="D721" s="26" t="s">
        <v>45</v>
      </c>
      <c r="E721" s="31">
        <v>46227.0</v>
      </c>
      <c r="F721" s="26" t="s">
        <v>46</v>
      </c>
      <c r="G721" s="26">
        <v>11.0</v>
      </c>
      <c r="I721" s="26" t="s">
        <v>42</v>
      </c>
      <c r="J721" s="25" t="str">
        <f t="shared" si="28"/>
        <v>No</v>
      </c>
      <c r="K721" s="25" t="str">
        <f t="shared" si="29"/>
        <v/>
      </c>
      <c r="L721" s="25" t="str">
        <f t="shared" si="30"/>
        <v/>
      </c>
      <c r="M721" s="25"/>
      <c r="O721" s="25"/>
    </row>
    <row r="722" ht="15.75" customHeight="1">
      <c r="A722" s="25" t="str">
        <f>IFERROR(__xludf.DUMMYFUNCTION("IF(B722="""","""",RIGHT(REGEXREPLACE(B722&amp;"""",""[^0-9]"",""""),9))"),"775248088")</f>
        <v>775248088</v>
      </c>
      <c r="B722" s="52">
        <v>7.75248088E8</v>
      </c>
      <c r="C722" s="28" t="s">
        <v>932</v>
      </c>
      <c r="D722" s="26" t="s">
        <v>64</v>
      </c>
      <c r="E722" s="31">
        <v>46227.0</v>
      </c>
      <c r="F722" s="26" t="s">
        <v>46</v>
      </c>
      <c r="G722" s="26">
        <v>11.0</v>
      </c>
      <c r="I722" s="26" t="s">
        <v>42</v>
      </c>
      <c r="J722" s="25" t="str">
        <f t="shared" si="28"/>
        <v>No</v>
      </c>
      <c r="K722" s="25" t="str">
        <f t="shared" si="29"/>
        <v/>
      </c>
      <c r="L722" s="25" t="str">
        <f t="shared" si="30"/>
        <v/>
      </c>
      <c r="M722" s="26" t="s">
        <v>43</v>
      </c>
      <c r="N722" s="26" t="s">
        <v>54</v>
      </c>
      <c r="O722" s="25"/>
    </row>
    <row r="723" ht="15.75" customHeight="1">
      <c r="A723" s="25" t="str">
        <f>IFERROR(__xludf.DUMMYFUNCTION("IF(B723="""","""",RIGHT(REGEXREPLACE(B723&amp;"""",""[^0-9]"",""""),9))"),"741640259")</f>
        <v>741640259</v>
      </c>
      <c r="B723" s="52">
        <v>7.41640259E8</v>
      </c>
      <c r="C723" s="28" t="s">
        <v>933</v>
      </c>
      <c r="D723" s="26" t="s">
        <v>49</v>
      </c>
      <c r="E723" s="31">
        <v>46227.0</v>
      </c>
      <c r="F723" s="26" t="s">
        <v>41</v>
      </c>
      <c r="G723" s="26">
        <v>11.0</v>
      </c>
      <c r="I723" s="26" t="s">
        <v>42</v>
      </c>
      <c r="J723" s="25" t="str">
        <f t="shared" si="28"/>
        <v>No</v>
      </c>
      <c r="K723" s="25" t="str">
        <f t="shared" si="29"/>
        <v/>
      </c>
      <c r="L723" s="25" t="str">
        <f t="shared" si="30"/>
        <v/>
      </c>
      <c r="M723" s="25"/>
      <c r="O723" s="25"/>
    </row>
    <row r="724" ht="15.75" customHeight="1">
      <c r="A724" s="25" t="str">
        <f>IFERROR(__xludf.DUMMYFUNCTION("IF(B724="""","""",RIGHT(REGEXREPLACE(B724&amp;"""",""[^0-9]"",""""),9))"),"775809049")</f>
        <v>775809049</v>
      </c>
      <c r="B724" s="52">
        <v>7.75809049E8</v>
      </c>
      <c r="C724" s="28" t="s">
        <v>934</v>
      </c>
      <c r="D724" s="26" t="s">
        <v>56</v>
      </c>
      <c r="E724" s="31">
        <v>46227.0</v>
      </c>
      <c r="F724" s="26" t="s">
        <v>46</v>
      </c>
      <c r="G724" s="26">
        <v>11.0</v>
      </c>
      <c r="H724" s="26" t="s">
        <v>774</v>
      </c>
      <c r="I724" s="26" t="s">
        <v>42</v>
      </c>
      <c r="J724" s="25" t="str">
        <f t="shared" si="28"/>
        <v>No</v>
      </c>
      <c r="K724" s="25" t="str">
        <f t="shared" si="29"/>
        <v/>
      </c>
      <c r="L724" s="25" t="str">
        <f t="shared" si="30"/>
        <v/>
      </c>
      <c r="M724" s="25"/>
      <c r="O724" s="25"/>
    </row>
    <row r="725" ht="15.75" customHeight="1">
      <c r="A725" s="25" t="str">
        <f>IFERROR(__xludf.DUMMYFUNCTION("IF(B725="""","""",RIGHT(REGEXREPLACE(B725&amp;"""",""[^0-9]"",""""),9))"),"772448570")</f>
        <v>772448570</v>
      </c>
      <c r="B725" s="52">
        <v>9.477244857E10</v>
      </c>
      <c r="C725" s="28" t="s">
        <v>935</v>
      </c>
      <c r="D725" s="26" t="s">
        <v>37</v>
      </c>
      <c r="E725" s="31">
        <v>46227.0</v>
      </c>
      <c r="F725" s="26" t="s">
        <v>41</v>
      </c>
      <c r="I725" s="26" t="s">
        <v>42</v>
      </c>
      <c r="J725" s="25" t="str">
        <f t="shared" si="28"/>
        <v>No</v>
      </c>
      <c r="K725" s="25" t="str">
        <f t="shared" si="29"/>
        <v/>
      </c>
      <c r="L725" s="25" t="str">
        <f t="shared" si="30"/>
        <v/>
      </c>
      <c r="M725" s="25"/>
      <c r="O725" s="25"/>
    </row>
    <row r="726" ht="15.75" customHeight="1">
      <c r="A726" s="25" t="str">
        <f>IFERROR(__xludf.DUMMYFUNCTION("IF(B726="""","""",RIGHT(REGEXREPLACE(B726&amp;"""",""[^0-9]"",""""),9))"),"707358535")</f>
        <v>707358535</v>
      </c>
      <c r="B726" s="52">
        <v>9.4707358535E10</v>
      </c>
      <c r="C726" s="28" t="s">
        <v>936</v>
      </c>
      <c r="D726" s="26" t="s">
        <v>37</v>
      </c>
      <c r="E726" s="31">
        <v>46227.0</v>
      </c>
      <c r="F726" s="26" t="s">
        <v>46</v>
      </c>
      <c r="G726" s="26">
        <v>11.0</v>
      </c>
      <c r="I726" s="26" t="s">
        <v>937</v>
      </c>
      <c r="J726" s="25" t="str">
        <f t="shared" si="28"/>
        <v>No</v>
      </c>
      <c r="K726" s="25" t="str">
        <f t="shared" si="29"/>
        <v/>
      </c>
      <c r="L726" s="25" t="str">
        <f t="shared" si="30"/>
        <v/>
      </c>
      <c r="M726" s="25"/>
      <c r="O726" s="25"/>
    </row>
    <row r="727" ht="15.75" customHeight="1">
      <c r="A727" s="25" t="str">
        <f>IFERROR(__xludf.DUMMYFUNCTION("IF(B727="""","""",RIGHT(REGEXREPLACE(B727&amp;"""",""[^0-9]"",""""),9))"),"773702767")</f>
        <v>773702767</v>
      </c>
      <c r="B727" s="52">
        <v>7.73702767E8</v>
      </c>
      <c r="C727" s="28" t="s">
        <v>938</v>
      </c>
      <c r="D727" s="26" t="s">
        <v>45</v>
      </c>
      <c r="E727" s="31">
        <v>46227.0</v>
      </c>
      <c r="F727" s="26" t="s">
        <v>704</v>
      </c>
      <c r="H727" s="26" t="s">
        <v>677</v>
      </c>
      <c r="I727" s="26" t="s">
        <v>42</v>
      </c>
      <c r="J727" s="25" t="str">
        <f t="shared" si="28"/>
        <v>No</v>
      </c>
      <c r="K727" s="25" t="str">
        <f t="shared" si="29"/>
        <v/>
      </c>
      <c r="L727" s="25" t="str">
        <f t="shared" si="30"/>
        <v/>
      </c>
      <c r="M727" s="25"/>
      <c r="O727" s="25"/>
    </row>
    <row r="728" ht="15.75" customHeight="1">
      <c r="A728" s="25" t="str">
        <f>IFERROR(__xludf.DUMMYFUNCTION("IF(B728="""","""",RIGHT(REGEXREPLACE(B728&amp;"""",""[^0-9]"",""""),9))"),"774858658")</f>
        <v>774858658</v>
      </c>
      <c r="B728" s="52">
        <v>7.74858658E8</v>
      </c>
      <c r="C728" s="28" t="s">
        <v>939</v>
      </c>
      <c r="D728" s="26" t="s">
        <v>64</v>
      </c>
      <c r="E728" s="31">
        <v>46227.0</v>
      </c>
      <c r="F728" s="26" t="s">
        <v>205</v>
      </c>
      <c r="I728" s="26" t="s">
        <v>42</v>
      </c>
      <c r="J728" s="25" t="str">
        <f t="shared" si="28"/>
        <v>No</v>
      </c>
      <c r="K728" s="25" t="str">
        <f t="shared" si="29"/>
        <v/>
      </c>
      <c r="L728" s="25" t="str">
        <f t="shared" si="30"/>
        <v/>
      </c>
      <c r="M728" s="26" t="s">
        <v>51</v>
      </c>
      <c r="N728" s="26" t="s">
        <v>763</v>
      </c>
      <c r="O728" s="25"/>
    </row>
    <row r="729" ht="15.75" customHeight="1">
      <c r="A729" s="25" t="str">
        <f>IFERROR(__xludf.DUMMYFUNCTION("IF(B729="""","""",RIGHT(REGEXREPLACE(B729&amp;"""",""[^0-9]"",""""),9))"),"716022623")</f>
        <v>716022623</v>
      </c>
      <c r="B729" s="52">
        <v>7.16022623E8</v>
      </c>
      <c r="C729" s="28" t="s">
        <v>940</v>
      </c>
      <c r="D729" s="26" t="s">
        <v>49</v>
      </c>
      <c r="E729" s="31">
        <v>46227.0</v>
      </c>
      <c r="F729" s="26" t="s">
        <v>46</v>
      </c>
      <c r="G729" s="26">
        <v>11.0</v>
      </c>
      <c r="I729" s="26" t="s">
        <v>42</v>
      </c>
      <c r="J729" s="25" t="str">
        <f t="shared" si="28"/>
        <v>No</v>
      </c>
      <c r="K729" s="25" t="str">
        <f t="shared" si="29"/>
        <v/>
      </c>
      <c r="L729" s="25" t="str">
        <f t="shared" si="30"/>
        <v/>
      </c>
      <c r="M729" s="25"/>
      <c r="O729" s="25"/>
    </row>
    <row r="730" ht="15.75" customHeight="1">
      <c r="A730" s="25" t="str">
        <f>IFERROR(__xludf.DUMMYFUNCTION("IF(B730="""","""",RIGHT(REGEXREPLACE(B730&amp;"""",""[^0-9]"",""""),9))"),"772070239")</f>
        <v>772070239</v>
      </c>
      <c r="B730" s="52">
        <v>7.72070239E8</v>
      </c>
      <c r="C730" s="28" t="s">
        <v>941</v>
      </c>
      <c r="D730" s="26" t="s">
        <v>82</v>
      </c>
      <c r="E730" s="31">
        <v>46227.0</v>
      </c>
      <c r="F730" s="26" t="s">
        <v>46</v>
      </c>
      <c r="G730" s="26">
        <v>11.0</v>
      </c>
      <c r="I730" s="26" t="s">
        <v>42</v>
      </c>
      <c r="J730" s="25" t="str">
        <f t="shared" si="28"/>
        <v>No</v>
      </c>
      <c r="K730" s="25" t="str">
        <f t="shared" si="29"/>
        <v/>
      </c>
      <c r="L730" s="25" t="str">
        <f t="shared" si="30"/>
        <v/>
      </c>
      <c r="M730" s="25"/>
      <c r="O730" s="25"/>
    </row>
    <row r="731" ht="15.75" customHeight="1">
      <c r="A731" s="25" t="str">
        <f>IFERROR(__xludf.DUMMYFUNCTION("IF(B731="""","""",RIGHT(REGEXREPLACE(B731&amp;"""",""[^0-9]"",""""),9))"),"776142689")</f>
        <v>776142689</v>
      </c>
      <c r="B731" s="52">
        <v>7.76142689E8</v>
      </c>
      <c r="C731" s="28" t="s">
        <v>943</v>
      </c>
      <c r="D731" s="26" t="s">
        <v>45</v>
      </c>
      <c r="E731" s="31">
        <v>46227.0</v>
      </c>
      <c r="F731" s="26" t="s">
        <v>46</v>
      </c>
      <c r="G731" s="26">
        <v>11.0</v>
      </c>
      <c r="H731" s="26" t="s">
        <v>720</v>
      </c>
      <c r="I731" s="26" t="s">
        <v>42</v>
      </c>
      <c r="J731" s="25" t="str">
        <f t="shared" si="28"/>
        <v>No</v>
      </c>
      <c r="K731" s="25" t="str">
        <f t="shared" si="29"/>
        <v/>
      </c>
      <c r="L731" s="25" t="str">
        <f t="shared" si="30"/>
        <v/>
      </c>
      <c r="M731" s="25"/>
      <c r="O731" s="25"/>
    </row>
    <row r="732" ht="15.75" customHeight="1">
      <c r="A732" s="25" t="str">
        <f>IFERROR(__xludf.DUMMYFUNCTION("IF(B732="""","""",RIGHT(REGEXREPLACE(B732&amp;"""",""[^0-9]"",""""),9))"),"770434300")</f>
        <v>770434300</v>
      </c>
      <c r="B732" s="52">
        <v>7.704343E8</v>
      </c>
      <c r="C732" s="28" t="s">
        <v>944</v>
      </c>
      <c r="D732" s="26" t="s">
        <v>56</v>
      </c>
      <c r="E732" s="31">
        <v>46227.0</v>
      </c>
      <c r="F732" s="26" t="s">
        <v>125</v>
      </c>
      <c r="G732" s="26">
        <v>11.0</v>
      </c>
      <c r="H732" s="26" t="s">
        <v>796</v>
      </c>
      <c r="I732" s="26" t="s">
        <v>42</v>
      </c>
      <c r="J732" s="25" t="str">
        <f t="shared" si="28"/>
        <v>No</v>
      </c>
      <c r="K732" s="25" t="str">
        <f t="shared" si="29"/>
        <v/>
      </c>
      <c r="L732" s="25" t="str">
        <f t="shared" si="30"/>
        <v/>
      </c>
      <c r="M732" s="25"/>
      <c r="O732" s="25"/>
    </row>
    <row r="733" ht="15.75" customHeight="1">
      <c r="A733" s="25" t="str">
        <f>IFERROR(__xludf.DUMMYFUNCTION("IF(B733="""","""",RIGHT(REGEXREPLACE(B733&amp;"""",""[^0-9]"",""""),9))"),"777148300")</f>
        <v>777148300</v>
      </c>
      <c r="B733" s="52">
        <v>7.771483E8</v>
      </c>
      <c r="C733" s="28" t="s">
        <v>945</v>
      </c>
      <c r="D733" s="26" t="s">
        <v>64</v>
      </c>
      <c r="E733" s="31">
        <v>46227.0</v>
      </c>
      <c r="F733" s="26" t="s">
        <v>46</v>
      </c>
      <c r="G733" s="26">
        <v>11.0</v>
      </c>
      <c r="I733" s="26" t="s">
        <v>42</v>
      </c>
      <c r="J733" s="25" t="str">
        <f t="shared" si="28"/>
        <v>No</v>
      </c>
      <c r="K733" s="25" t="str">
        <f t="shared" si="29"/>
        <v/>
      </c>
      <c r="L733" s="25" t="str">
        <f t="shared" si="30"/>
        <v/>
      </c>
      <c r="M733" s="26" t="s">
        <v>51</v>
      </c>
      <c r="N733" s="26" t="s">
        <v>199</v>
      </c>
      <c r="O733" s="25"/>
    </row>
    <row r="734" ht="15.75" customHeight="1">
      <c r="A734" s="25" t="str">
        <f>IFERROR(__xludf.DUMMYFUNCTION("IF(B734="""","""",RIGHT(REGEXREPLACE(B734&amp;"""",""[^0-9]"",""""),9))"),"767733450")</f>
        <v>767733450</v>
      </c>
      <c r="B734" s="52">
        <v>7.6773345E8</v>
      </c>
      <c r="C734" s="28" t="s">
        <v>946</v>
      </c>
      <c r="D734" s="26" t="s">
        <v>45</v>
      </c>
      <c r="E734" s="31">
        <v>46227.0</v>
      </c>
      <c r="F734" s="26" t="s">
        <v>46</v>
      </c>
      <c r="G734" s="26">
        <v>11.0</v>
      </c>
      <c r="I734" s="26" t="s">
        <v>42</v>
      </c>
      <c r="J734" s="25" t="str">
        <f t="shared" si="28"/>
        <v>No</v>
      </c>
      <c r="K734" s="25" t="str">
        <f t="shared" si="29"/>
        <v/>
      </c>
      <c r="L734" s="25" t="str">
        <f t="shared" si="30"/>
        <v/>
      </c>
      <c r="M734" s="25"/>
      <c r="O734" s="25"/>
    </row>
    <row r="735" ht="15.75" customHeight="1">
      <c r="A735" s="25" t="str">
        <f>IFERROR(__xludf.DUMMYFUNCTION("IF(B735="""","""",RIGHT(REGEXREPLACE(B735&amp;"""",""[^0-9]"",""""),9))"),"763169143")</f>
        <v>763169143</v>
      </c>
      <c r="B735" s="52">
        <v>7.63169143E8</v>
      </c>
      <c r="C735" s="28" t="s">
        <v>947</v>
      </c>
      <c r="D735" s="26" t="s">
        <v>82</v>
      </c>
      <c r="E735" s="31">
        <v>46227.0</v>
      </c>
      <c r="F735" s="26" t="s">
        <v>41</v>
      </c>
      <c r="G735" s="26">
        <v>11.0</v>
      </c>
      <c r="I735" s="26" t="s">
        <v>42</v>
      </c>
      <c r="J735" s="25" t="str">
        <f t="shared" si="28"/>
        <v>No</v>
      </c>
      <c r="K735" s="25" t="str">
        <f t="shared" si="29"/>
        <v/>
      </c>
      <c r="L735" s="25" t="str">
        <f t="shared" si="30"/>
        <v/>
      </c>
      <c r="M735" s="25"/>
      <c r="O735" s="25"/>
    </row>
    <row r="736" ht="15.75" customHeight="1">
      <c r="A736" s="25" t="str">
        <f>IFERROR(__xludf.DUMMYFUNCTION("IF(B736="""","""",RIGHT(REGEXREPLACE(B736&amp;"""",""[^0-9]"",""""),9))"),"765288707")</f>
        <v>765288707</v>
      </c>
      <c r="B736" s="52">
        <v>7.65288707E8</v>
      </c>
      <c r="C736" s="28" t="s">
        <v>948</v>
      </c>
      <c r="D736" s="26" t="s">
        <v>49</v>
      </c>
      <c r="E736" s="31">
        <v>46227.0</v>
      </c>
      <c r="F736" s="26" t="s">
        <v>46</v>
      </c>
      <c r="G736" s="26">
        <v>10.0</v>
      </c>
      <c r="I736" s="26" t="s">
        <v>42</v>
      </c>
      <c r="J736" s="25" t="str">
        <f t="shared" si="28"/>
        <v>No</v>
      </c>
      <c r="K736" s="25" t="str">
        <f t="shared" si="29"/>
        <v/>
      </c>
      <c r="L736" s="25" t="str">
        <f t="shared" si="30"/>
        <v/>
      </c>
      <c r="M736" s="25"/>
      <c r="O736" s="25"/>
    </row>
    <row r="737" ht="15.75" customHeight="1">
      <c r="A737" s="25" t="str">
        <f>IFERROR(__xludf.DUMMYFUNCTION("IF(B737="""","""",RIGHT(REGEXREPLACE(B737&amp;"""",""[^0-9]"",""""),9))"),"774800081")</f>
        <v>774800081</v>
      </c>
      <c r="B737" s="52">
        <v>7.74800081E8</v>
      </c>
      <c r="C737" s="28" t="s">
        <v>949</v>
      </c>
      <c r="D737" s="26" t="s">
        <v>56</v>
      </c>
      <c r="E737" s="31">
        <v>46227.0</v>
      </c>
      <c r="F737" s="26" t="s">
        <v>46</v>
      </c>
      <c r="G737" s="26">
        <v>11.0</v>
      </c>
      <c r="H737" s="26" t="s">
        <v>950</v>
      </c>
      <c r="I737" s="26" t="s">
        <v>42</v>
      </c>
      <c r="J737" s="25" t="str">
        <f t="shared" si="28"/>
        <v>No</v>
      </c>
      <c r="K737" s="25" t="str">
        <f t="shared" si="29"/>
        <v/>
      </c>
      <c r="L737" s="25" t="str">
        <f t="shared" si="30"/>
        <v/>
      </c>
      <c r="M737" s="25"/>
      <c r="O737" s="25"/>
    </row>
    <row r="738" ht="15.75" customHeight="1">
      <c r="A738" s="25" t="str">
        <f>IFERROR(__xludf.DUMMYFUNCTION("IF(B738="""","""",RIGHT(REGEXREPLACE(B738&amp;"""",""[^0-9]"",""""),9))"),"772675824")</f>
        <v>772675824</v>
      </c>
      <c r="B738" s="52">
        <v>7.72675824E8</v>
      </c>
      <c r="C738" s="28" t="s">
        <v>952</v>
      </c>
      <c r="D738" s="26" t="s">
        <v>64</v>
      </c>
      <c r="E738" s="31">
        <v>46227.0</v>
      </c>
      <c r="F738" s="26" t="s">
        <v>167</v>
      </c>
      <c r="G738" s="26">
        <v>11.0</v>
      </c>
      <c r="I738" s="26" t="s">
        <v>42</v>
      </c>
      <c r="J738" s="25" t="str">
        <f t="shared" si="28"/>
        <v>No</v>
      </c>
      <c r="K738" s="25" t="str">
        <f t="shared" si="29"/>
        <v/>
      </c>
      <c r="L738" s="25" t="str">
        <f t="shared" si="30"/>
        <v/>
      </c>
      <c r="M738" s="26" t="s">
        <v>43</v>
      </c>
      <c r="N738" s="26" t="s">
        <v>61</v>
      </c>
      <c r="O738" s="25"/>
    </row>
    <row r="739" ht="15.75" customHeight="1">
      <c r="A739" s="25" t="str">
        <f>IFERROR(__xludf.DUMMYFUNCTION("IF(B739="""","""",RIGHT(REGEXREPLACE(B739&amp;"""",""[^0-9]"",""""),9))"),"779131632")</f>
        <v>779131632</v>
      </c>
      <c r="B739" s="52">
        <v>7.79131632E8</v>
      </c>
      <c r="C739" s="28" t="s">
        <v>953</v>
      </c>
      <c r="D739" s="26" t="s">
        <v>82</v>
      </c>
      <c r="E739" s="31">
        <v>46227.0</v>
      </c>
      <c r="F739" s="26" t="s">
        <v>41</v>
      </c>
      <c r="I739" s="26" t="s">
        <v>42</v>
      </c>
      <c r="J739" s="25" t="str">
        <f t="shared" si="28"/>
        <v>No</v>
      </c>
      <c r="K739" s="25" t="str">
        <f t="shared" si="29"/>
        <v/>
      </c>
      <c r="L739" s="25" t="str">
        <f t="shared" si="30"/>
        <v/>
      </c>
      <c r="M739" s="25"/>
      <c r="O739" s="25"/>
    </row>
    <row r="740" ht="15.75" customHeight="1">
      <c r="A740" s="25" t="str">
        <f>IFERROR(__xludf.DUMMYFUNCTION("IF(B740="""","""",RIGHT(REGEXREPLACE(B740&amp;"""",""[^0-9]"",""""),9))"),"769481197")</f>
        <v>769481197</v>
      </c>
      <c r="B740" s="52">
        <v>7.69481197E8</v>
      </c>
      <c r="C740" s="28" t="s">
        <v>954</v>
      </c>
      <c r="D740" s="26" t="s">
        <v>45</v>
      </c>
      <c r="E740" s="31">
        <v>46227.0</v>
      </c>
      <c r="F740" s="26" t="s">
        <v>46</v>
      </c>
      <c r="G740" s="26">
        <v>11.0</v>
      </c>
      <c r="H740" s="26" t="s">
        <v>677</v>
      </c>
      <c r="I740" s="26" t="s">
        <v>42</v>
      </c>
      <c r="J740" s="25" t="str">
        <f t="shared" si="28"/>
        <v>No</v>
      </c>
      <c r="K740" s="25" t="str">
        <f t="shared" si="29"/>
        <v/>
      </c>
      <c r="L740" s="25" t="str">
        <f t="shared" si="30"/>
        <v/>
      </c>
      <c r="M740" s="25"/>
      <c r="O740" s="25"/>
    </row>
    <row r="741" ht="15.75" customHeight="1">
      <c r="A741" s="25" t="str">
        <f>IFERROR(__xludf.DUMMYFUNCTION("IF(B741="""","""",RIGHT(REGEXREPLACE(B741&amp;"""",""[^0-9]"",""""),9))"),"716638803")</f>
        <v>716638803</v>
      </c>
      <c r="B741" s="52">
        <v>7.16638803E8</v>
      </c>
      <c r="C741" s="28" t="s">
        <v>955</v>
      </c>
      <c r="D741" s="26" t="s">
        <v>49</v>
      </c>
      <c r="E741" s="31">
        <v>46227.0</v>
      </c>
      <c r="F741" s="26" t="s">
        <v>46</v>
      </c>
      <c r="G741" s="26">
        <v>10.0</v>
      </c>
      <c r="I741" s="26" t="s">
        <v>42</v>
      </c>
      <c r="J741" s="25" t="str">
        <f t="shared" si="28"/>
        <v>No</v>
      </c>
      <c r="K741" s="25" t="str">
        <f t="shared" si="29"/>
        <v/>
      </c>
      <c r="L741" s="25" t="str">
        <f t="shared" si="30"/>
        <v/>
      </c>
      <c r="M741" s="25"/>
      <c r="O741" s="25"/>
    </row>
    <row r="742" ht="15.75" customHeight="1">
      <c r="A742" s="25" t="str">
        <f>IFERROR(__xludf.DUMMYFUNCTION("IF(B742="""","""",RIGHT(REGEXREPLACE(B742&amp;"""",""[^0-9]"",""""),9))"),"716483330")</f>
        <v>716483330</v>
      </c>
      <c r="B742" s="52">
        <v>7.1648333E8</v>
      </c>
      <c r="C742" s="28" t="s">
        <v>956</v>
      </c>
      <c r="D742" s="26" t="s">
        <v>56</v>
      </c>
      <c r="E742" s="31">
        <v>46227.0</v>
      </c>
      <c r="F742" s="26" t="s">
        <v>46</v>
      </c>
      <c r="G742" s="26">
        <v>9.0</v>
      </c>
      <c r="H742" s="26" t="s">
        <v>774</v>
      </c>
      <c r="I742" s="26" t="s">
        <v>42</v>
      </c>
      <c r="J742" s="25" t="str">
        <f t="shared" si="28"/>
        <v>No</v>
      </c>
      <c r="K742" s="25" t="str">
        <f t="shared" si="29"/>
        <v/>
      </c>
      <c r="L742" s="25" t="str">
        <f t="shared" si="30"/>
        <v/>
      </c>
      <c r="M742" s="25"/>
      <c r="O742" s="25"/>
    </row>
    <row r="743" ht="15.75" customHeight="1">
      <c r="A743" s="25" t="str">
        <f>IFERROR(__xludf.DUMMYFUNCTION("IF(B743="""","""",RIGHT(REGEXREPLACE(B743&amp;"""",""[^0-9]"",""""),9))"),"763994614")</f>
        <v>763994614</v>
      </c>
      <c r="B743" s="52">
        <v>7.63994614E8</v>
      </c>
      <c r="C743" s="28" t="s">
        <v>957</v>
      </c>
      <c r="D743" s="26" t="s">
        <v>82</v>
      </c>
      <c r="E743" s="31">
        <v>46227.0</v>
      </c>
      <c r="F743" s="26" t="s">
        <v>46</v>
      </c>
      <c r="G743" s="26">
        <v>11.0</v>
      </c>
      <c r="I743" s="26" t="s">
        <v>42</v>
      </c>
      <c r="J743" s="25" t="str">
        <f t="shared" si="28"/>
        <v>No</v>
      </c>
      <c r="K743" s="25" t="str">
        <f t="shared" si="29"/>
        <v/>
      </c>
      <c r="L743" s="25" t="str">
        <f t="shared" si="30"/>
        <v/>
      </c>
      <c r="M743" s="25"/>
      <c r="O743" s="25"/>
    </row>
    <row r="744" ht="15.75" customHeight="1">
      <c r="A744" s="25" t="str">
        <f>IFERROR(__xludf.DUMMYFUNCTION("IF(B744="""","""",RIGHT(REGEXREPLACE(B744&amp;"""",""[^0-9]"",""""),9))"),"764050586")</f>
        <v>764050586</v>
      </c>
      <c r="B744" s="52">
        <v>7.64050586E8</v>
      </c>
      <c r="C744" s="28" t="s">
        <v>958</v>
      </c>
      <c r="D744" s="26" t="s">
        <v>64</v>
      </c>
      <c r="E744" s="31">
        <v>46227.0</v>
      </c>
      <c r="F744" s="26" t="s">
        <v>46</v>
      </c>
      <c r="G744" s="26">
        <v>11.0</v>
      </c>
      <c r="I744" s="26" t="s">
        <v>42</v>
      </c>
      <c r="J744" s="25" t="str">
        <f t="shared" si="28"/>
        <v>No</v>
      </c>
      <c r="K744" s="25" t="str">
        <f t="shared" si="29"/>
        <v/>
      </c>
      <c r="L744" s="25" t="str">
        <f t="shared" si="30"/>
        <v/>
      </c>
      <c r="M744" s="26" t="s">
        <v>43</v>
      </c>
      <c r="N744" s="26" t="s">
        <v>61</v>
      </c>
      <c r="O744" s="25"/>
    </row>
    <row r="745" ht="15.75" customHeight="1">
      <c r="A745" s="25" t="str">
        <f>IFERROR(__xludf.DUMMYFUNCTION("IF(B745="""","""",RIGHT(REGEXREPLACE(B745&amp;"""",""[^0-9]"",""""),9))"),"716721011")</f>
        <v>716721011</v>
      </c>
      <c r="B745" s="52">
        <v>7.16721011E8</v>
      </c>
      <c r="C745" s="28" t="s">
        <v>959</v>
      </c>
      <c r="D745" s="26" t="s">
        <v>45</v>
      </c>
      <c r="E745" s="31">
        <v>46227.0</v>
      </c>
      <c r="F745" s="26" t="s">
        <v>46</v>
      </c>
      <c r="G745" s="26">
        <v>8.0</v>
      </c>
      <c r="I745" s="26" t="s">
        <v>42</v>
      </c>
      <c r="J745" s="25" t="str">
        <f t="shared" si="28"/>
        <v>No</v>
      </c>
      <c r="K745" s="25" t="str">
        <f t="shared" si="29"/>
        <v/>
      </c>
      <c r="L745" s="25" t="str">
        <f t="shared" si="30"/>
        <v/>
      </c>
      <c r="M745" s="25"/>
      <c r="O745" s="25"/>
    </row>
    <row r="746" ht="15.75" customHeight="1">
      <c r="A746" s="25" t="str">
        <f>IFERROR(__xludf.DUMMYFUNCTION("IF(B746="""","""",RIGHT(REGEXREPLACE(B746&amp;"""",""[^0-9]"",""""),9))"),"786383721")</f>
        <v>786383721</v>
      </c>
      <c r="B746" s="52">
        <v>7.86383721E8</v>
      </c>
      <c r="C746" s="28" t="s">
        <v>960</v>
      </c>
      <c r="D746" s="26" t="s">
        <v>49</v>
      </c>
      <c r="E746" s="31">
        <v>46227.0</v>
      </c>
      <c r="F746" s="26" t="s">
        <v>46</v>
      </c>
      <c r="G746" s="26">
        <v>11.0</v>
      </c>
      <c r="I746" s="26" t="s">
        <v>42</v>
      </c>
      <c r="J746" s="25" t="str">
        <f t="shared" si="28"/>
        <v>No</v>
      </c>
      <c r="K746" s="25" t="str">
        <f t="shared" si="29"/>
        <v/>
      </c>
      <c r="L746" s="25" t="str">
        <f t="shared" si="30"/>
        <v/>
      </c>
      <c r="M746" s="25"/>
      <c r="O746" s="25"/>
    </row>
    <row r="747" ht="15.75" customHeight="1">
      <c r="A747" s="25" t="str">
        <f>IFERROR(__xludf.DUMMYFUNCTION("IF(B747="""","""",RIGHT(REGEXREPLACE(B747&amp;"""",""[^0-9]"",""""),9))"),"762760447")</f>
        <v>762760447</v>
      </c>
      <c r="B747" s="52">
        <v>7.62760447E8</v>
      </c>
      <c r="C747" s="28" t="s">
        <v>962</v>
      </c>
      <c r="D747" s="26" t="s">
        <v>82</v>
      </c>
      <c r="E747" s="31">
        <v>46227.0</v>
      </c>
      <c r="F747" s="26" t="s">
        <v>46</v>
      </c>
      <c r="G747" s="26">
        <v>11.0</v>
      </c>
      <c r="I747" s="26" t="s">
        <v>42</v>
      </c>
      <c r="J747" s="25" t="str">
        <f t="shared" si="28"/>
        <v>No</v>
      </c>
      <c r="K747" s="25" t="str">
        <f t="shared" si="29"/>
        <v/>
      </c>
      <c r="L747" s="25" t="str">
        <f t="shared" si="30"/>
        <v/>
      </c>
      <c r="M747" s="25"/>
      <c r="O747" s="25"/>
    </row>
    <row r="748" ht="15.75" customHeight="1">
      <c r="A748" s="25" t="str">
        <f>IFERROR(__xludf.DUMMYFUNCTION("IF(B748="""","""",RIGHT(REGEXREPLACE(B748&amp;"""",""[^0-9]"",""""),9))"),"761506264")</f>
        <v>761506264</v>
      </c>
      <c r="B748" s="52">
        <v>9.4761506264E10</v>
      </c>
      <c r="C748" s="28" t="s">
        <v>963</v>
      </c>
      <c r="D748" s="26" t="s">
        <v>37</v>
      </c>
      <c r="E748" s="31">
        <v>46227.0</v>
      </c>
      <c r="F748" s="26" t="s">
        <v>46</v>
      </c>
      <c r="G748" s="26">
        <v>11.0</v>
      </c>
      <c r="I748" s="26" t="s">
        <v>42</v>
      </c>
      <c r="J748" s="25" t="str">
        <f t="shared" si="28"/>
        <v>No</v>
      </c>
      <c r="K748" s="25" t="str">
        <f t="shared" si="29"/>
        <v/>
      </c>
      <c r="L748" s="25" t="str">
        <f t="shared" si="30"/>
        <v/>
      </c>
      <c r="M748" s="25"/>
      <c r="O748" s="25"/>
    </row>
    <row r="749" ht="15.75" customHeight="1">
      <c r="A749" s="25" t="str">
        <f>IFERROR(__xludf.DUMMYFUNCTION("IF(B749="""","""",RIGHT(REGEXREPLACE(B749&amp;"""",""[^0-9]"",""""),9))"),"705333976")</f>
        <v>705333976</v>
      </c>
      <c r="B749" s="52">
        <v>7.05333976E8</v>
      </c>
      <c r="C749" s="28" t="s">
        <v>964</v>
      </c>
      <c r="D749" s="26" t="s">
        <v>45</v>
      </c>
      <c r="E749" s="31">
        <v>46227.0</v>
      </c>
      <c r="F749" s="26" t="s">
        <v>46</v>
      </c>
      <c r="G749" s="26">
        <v>11.0</v>
      </c>
      <c r="I749" s="26" t="s">
        <v>42</v>
      </c>
      <c r="J749" s="25" t="str">
        <f t="shared" si="28"/>
        <v>No</v>
      </c>
      <c r="K749" s="25" t="str">
        <f t="shared" si="29"/>
        <v/>
      </c>
      <c r="L749" s="25" t="str">
        <f t="shared" si="30"/>
        <v/>
      </c>
      <c r="M749" s="25"/>
      <c r="O749" s="25"/>
    </row>
    <row r="750" ht="15.75" customHeight="1">
      <c r="A750" s="25" t="str">
        <f>IFERROR(__xludf.DUMMYFUNCTION("IF(B750="""","""",RIGHT(REGEXREPLACE(B750&amp;"""",""[^0-9]"",""""),9))"),"723501042")</f>
        <v>723501042</v>
      </c>
      <c r="B750" s="52">
        <v>7.23501042E8</v>
      </c>
      <c r="C750" s="28" t="s">
        <v>965</v>
      </c>
      <c r="D750" s="26" t="s">
        <v>56</v>
      </c>
      <c r="E750" s="31">
        <v>46227.0</v>
      </c>
      <c r="F750" s="26" t="s">
        <v>125</v>
      </c>
      <c r="H750" s="26" t="s">
        <v>796</v>
      </c>
      <c r="I750" s="26" t="s">
        <v>42</v>
      </c>
      <c r="J750" s="25" t="str">
        <f t="shared" si="28"/>
        <v>No</v>
      </c>
      <c r="K750" s="25" t="str">
        <f t="shared" si="29"/>
        <v/>
      </c>
      <c r="L750" s="25" t="str">
        <f t="shared" si="30"/>
        <v/>
      </c>
      <c r="M750" s="25"/>
      <c r="O750" s="25"/>
    </row>
    <row r="751" ht="15.75" customHeight="1">
      <c r="A751" s="25" t="str">
        <f>IFERROR(__xludf.DUMMYFUNCTION("IF(B751="""","""",RIGHT(REGEXREPLACE(B751&amp;"""",""[^0-9]"",""""),9))"),"741131914")</f>
        <v>741131914</v>
      </c>
      <c r="B751" s="52">
        <v>9.4741131914E10</v>
      </c>
      <c r="C751" s="28" t="s">
        <v>966</v>
      </c>
      <c r="D751" s="26" t="s">
        <v>37</v>
      </c>
      <c r="E751" s="31">
        <v>46227.0</v>
      </c>
      <c r="F751" s="26" t="s">
        <v>46</v>
      </c>
      <c r="G751" s="26">
        <v>11.0</v>
      </c>
      <c r="I751" s="26" t="s">
        <v>42</v>
      </c>
      <c r="J751" s="25" t="str">
        <f t="shared" si="28"/>
        <v>No</v>
      </c>
      <c r="K751" s="25" t="str">
        <f t="shared" si="29"/>
        <v/>
      </c>
      <c r="L751" s="25" t="str">
        <f t="shared" si="30"/>
        <v/>
      </c>
      <c r="M751" s="25"/>
      <c r="O751" s="25"/>
    </row>
    <row r="752" ht="15.75" customHeight="1">
      <c r="A752" s="25" t="str">
        <f>IFERROR(__xludf.DUMMYFUNCTION("IF(B752="""","""",RIGHT(REGEXREPLACE(B752&amp;"""",""[^0-9]"",""""),9))"),"767489876")</f>
        <v>767489876</v>
      </c>
      <c r="B752" s="52">
        <v>7.67489876E8</v>
      </c>
      <c r="C752" s="28" t="s">
        <v>967</v>
      </c>
      <c r="D752" s="26" t="s">
        <v>64</v>
      </c>
      <c r="E752" s="31">
        <v>46227.0</v>
      </c>
      <c r="F752" s="26" t="s">
        <v>41</v>
      </c>
      <c r="I752" s="26" t="s">
        <v>42</v>
      </c>
      <c r="J752" s="25" t="str">
        <f t="shared" si="28"/>
        <v>No</v>
      </c>
      <c r="K752" s="25" t="str">
        <f t="shared" si="29"/>
        <v/>
      </c>
      <c r="L752" s="25" t="str">
        <f t="shared" si="30"/>
        <v/>
      </c>
      <c r="M752" s="26" t="s">
        <v>51</v>
      </c>
      <c r="N752" s="26" t="s">
        <v>968</v>
      </c>
      <c r="O752" s="25"/>
    </row>
    <row r="753" ht="15.75" customHeight="1">
      <c r="A753" s="25" t="str">
        <f>IFERROR(__xludf.DUMMYFUNCTION("IF(B753="""","""",RIGHT(REGEXREPLACE(B753&amp;"""",""[^0-9]"",""""),9))"),"762898845")</f>
        <v>762898845</v>
      </c>
      <c r="B753" s="52">
        <v>7.62898845E8</v>
      </c>
      <c r="C753" s="28" t="s">
        <v>969</v>
      </c>
      <c r="D753" s="26" t="s">
        <v>82</v>
      </c>
      <c r="E753" s="31">
        <v>46227.0</v>
      </c>
      <c r="F753" s="26" t="s">
        <v>125</v>
      </c>
      <c r="G753" s="26">
        <v>11.0</v>
      </c>
      <c r="I753" s="26" t="s">
        <v>42</v>
      </c>
      <c r="J753" s="25" t="str">
        <f t="shared" si="28"/>
        <v>No</v>
      </c>
      <c r="K753" s="25" t="str">
        <f t="shared" si="29"/>
        <v/>
      </c>
      <c r="L753" s="25" t="str">
        <f t="shared" si="30"/>
        <v/>
      </c>
      <c r="M753" s="25"/>
      <c r="O753" s="25"/>
    </row>
    <row r="754" ht="15.75" customHeight="1">
      <c r="A754" s="25" t="str">
        <f>IFERROR(__xludf.DUMMYFUNCTION("IF(B754="""","""",RIGHT(REGEXREPLACE(B754&amp;"""",""[^0-9]"",""""),9))"),"775399961")</f>
        <v>775399961</v>
      </c>
      <c r="B754" s="52">
        <v>7.75399961E8</v>
      </c>
      <c r="C754" s="28" t="s">
        <v>971</v>
      </c>
      <c r="D754" s="26" t="s">
        <v>56</v>
      </c>
      <c r="E754" s="31">
        <v>46227.0</v>
      </c>
      <c r="F754" s="26" t="s">
        <v>205</v>
      </c>
      <c r="H754" s="26" t="s">
        <v>796</v>
      </c>
      <c r="I754" s="26" t="s">
        <v>42</v>
      </c>
      <c r="J754" s="25" t="str">
        <f t="shared" si="28"/>
        <v>No</v>
      </c>
      <c r="K754" s="25" t="str">
        <f t="shared" si="29"/>
        <v/>
      </c>
      <c r="L754" s="25" t="str">
        <f t="shared" si="30"/>
        <v/>
      </c>
      <c r="M754" s="25"/>
      <c r="O754" s="25"/>
    </row>
    <row r="755" ht="15.75" customHeight="1">
      <c r="A755" s="25" t="str">
        <f>IFERROR(__xludf.DUMMYFUNCTION("IF(B755="""","""",RIGHT(REGEXREPLACE(B755&amp;"""",""[^0-9]"",""""),9))"),"713118101")</f>
        <v>713118101</v>
      </c>
      <c r="B755" s="52">
        <v>7.13118101E8</v>
      </c>
      <c r="C755" s="28" t="s">
        <v>972</v>
      </c>
      <c r="D755" s="26" t="s">
        <v>49</v>
      </c>
      <c r="E755" s="31">
        <v>46227.0</v>
      </c>
      <c r="F755" s="26" t="s">
        <v>46</v>
      </c>
      <c r="G755" s="26">
        <v>11.0</v>
      </c>
      <c r="I755" s="26" t="s">
        <v>42</v>
      </c>
      <c r="J755" s="25" t="str">
        <f t="shared" si="28"/>
        <v>No</v>
      </c>
      <c r="K755" s="25" t="str">
        <f t="shared" si="29"/>
        <v/>
      </c>
      <c r="L755" s="25" t="str">
        <f t="shared" si="30"/>
        <v/>
      </c>
      <c r="M755" s="25"/>
      <c r="O755" s="25"/>
    </row>
    <row r="756" ht="15.75" customHeight="1">
      <c r="A756" s="25" t="str">
        <f>IFERROR(__xludf.DUMMYFUNCTION("IF(B756="""","""",RIGHT(REGEXREPLACE(B756&amp;"""",""[^0-9]"",""""),9))"),"714423443")</f>
        <v>714423443</v>
      </c>
      <c r="B756" s="52">
        <v>7.14423443E8</v>
      </c>
      <c r="C756" s="28" t="s">
        <v>31</v>
      </c>
      <c r="D756" s="26" t="s">
        <v>56</v>
      </c>
      <c r="E756" s="31">
        <v>46227.0</v>
      </c>
      <c r="F756" s="26" t="s">
        <v>84</v>
      </c>
      <c r="G756" s="26">
        <v>10.0</v>
      </c>
      <c r="H756" s="26" t="s">
        <v>796</v>
      </c>
      <c r="I756" s="26" t="s">
        <v>42</v>
      </c>
      <c r="J756" s="25" t="str">
        <f t="shared" si="28"/>
        <v>Yes - see Previous F-Code</v>
      </c>
      <c r="K756" s="25" t="str">
        <f t="shared" si="29"/>
        <v>DUPLICATE - CHECK</v>
      </c>
      <c r="L756" s="25" t="str">
        <f t="shared" si="30"/>
        <v>F70000</v>
      </c>
      <c r="M756" s="25"/>
      <c r="O756" s="25"/>
    </row>
    <row r="757" ht="15.75" customHeight="1">
      <c r="A757" s="25" t="str">
        <f>IFERROR(__xludf.DUMMYFUNCTION("IF(B757="""","""",RIGHT(REGEXREPLACE(B757&amp;"""",""[^0-9]"",""""),9))"),"772123776")</f>
        <v>772123776</v>
      </c>
      <c r="B757" s="52">
        <v>7.72123776E8</v>
      </c>
      <c r="C757" s="28" t="s">
        <v>973</v>
      </c>
      <c r="D757" s="26" t="s">
        <v>45</v>
      </c>
      <c r="E757" s="31">
        <v>46227.0</v>
      </c>
      <c r="F757" s="26" t="s">
        <v>46</v>
      </c>
      <c r="G757" s="26">
        <v>11.0</v>
      </c>
      <c r="I757" s="26" t="s">
        <v>42</v>
      </c>
      <c r="J757" s="25" t="str">
        <f t="shared" si="28"/>
        <v>No</v>
      </c>
      <c r="K757" s="25" t="str">
        <f t="shared" si="29"/>
        <v/>
      </c>
      <c r="L757" s="25" t="str">
        <f t="shared" si="30"/>
        <v/>
      </c>
      <c r="M757" s="25"/>
      <c r="O757" s="25"/>
    </row>
    <row r="758" ht="15.75" customHeight="1">
      <c r="A758" s="25" t="str">
        <f>IFERROR(__xludf.DUMMYFUNCTION("IF(B758="""","""",RIGHT(REGEXREPLACE(B758&amp;"""",""[^0-9]"",""""),9))"),"742307452")</f>
        <v>742307452</v>
      </c>
      <c r="B758" s="52">
        <v>7.42307452E8</v>
      </c>
      <c r="C758" s="28" t="s">
        <v>974</v>
      </c>
      <c r="D758" s="26" t="s">
        <v>64</v>
      </c>
      <c r="E758" s="31">
        <v>46227.0</v>
      </c>
      <c r="F758" s="26" t="s">
        <v>46</v>
      </c>
      <c r="G758" s="26">
        <v>11.0</v>
      </c>
      <c r="I758" s="26" t="s">
        <v>42</v>
      </c>
      <c r="J758" s="25" t="str">
        <f t="shared" si="28"/>
        <v>No</v>
      </c>
      <c r="K758" s="25" t="str">
        <f t="shared" si="29"/>
        <v/>
      </c>
      <c r="L758" s="25" t="str">
        <f t="shared" si="30"/>
        <v/>
      </c>
      <c r="M758" s="25"/>
      <c r="O758" s="25"/>
    </row>
    <row r="759" ht="15.75" customHeight="1">
      <c r="A759" s="25" t="str">
        <f>IFERROR(__xludf.DUMMYFUNCTION("IF(B759="""","""",RIGHT(REGEXREPLACE(B759&amp;"""",""[^0-9]"",""""),9))"),"766534640")</f>
        <v>766534640</v>
      </c>
      <c r="B759" s="52">
        <v>9.476653464E10</v>
      </c>
      <c r="C759" s="28" t="s">
        <v>975</v>
      </c>
      <c r="D759" s="26" t="s">
        <v>37</v>
      </c>
      <c r="E759" s="31">
        <v>46227.0</v>
      </c>
      <c r="F759" s="26" t="s">
        <v>46</v>
      </c>
      <c r="G759" s="26">
        <v>10.0</v>
      </c>
      <c r="I759" s="26" t="s">
        <v>42</v>
      </c>
      <c r="J759" s="25" t="str">
        <f t="shared" si="28"/>
        <v>No</v>
      </c>
      <c r="K759" s="25" t="str">
        <f t="shared" si="29"/>
        <v/>
      </c>
      <c r="L759" s="25" t="str">
        <f t="shared" si="30"/>
        <v/>
      </c>
      <c r="M759" s="25"/>
      <c r="O759" s="25"/>
    </row>
    <row r="760" ht="15.75" customHeight="1">
      <c r="A760" s="25" t="str">
        <f>IFERROR(__xludf.DUMMYFUNCTION("IF(B760="""","""",RIGHT(REGEXREPLACE(B760&amp;"""",""[^0-9]"",""""),9))"),"702761194")</f>
        <v>702761194</v>
      </c>
      <c r="B760" s="52">
        <v>7.02761194E8</v>
      </c>
      <c r="C760" s="28" t="s">
        <v>976</v>
      </c>
      <c r="D760" s="26" t="s">
        <v>49</v>
      </c>
      <c r="E760" s="31">
        <v>46227.0</v>
      </c>
      <c r="F760" s="26" t="s">
        <v>41</v>
      </c>
      <c r="I760" s="26" t="s">
        <v>42</v>
      </c>
      <c r="J760" s="25" t="str">
        <f t="shared" si="28"/>
        <v>No</v>
      </c>
      <c r="K760" s="25" t="str">
        <f t="shared" si="29"/>
        <v/>
      </c>
      <c r="L760" s="25" t="str">
        <f t="shared" si="30"/>
        <v/>
      </c>
      <c r="M760" s="25"/>
      <c r="O760" s="25"/>
    </row>
    <row r="761" ht="15.75" customHeight="1">
      <c r="A761" s="25" t="str">
        <f>IFERROR(__xludf.DUMMYFUNCTION("IF(B761="""","""",RIGHT(REGEXREPLACE(B761&amp;"""",""[^0-9]"",""""),9))"),"743579768")</f>
        <v>743579768</v>
      </c>
      <c r="B761" s="52">
        <v>7.43579768E8</v>
      </c>
      <c r="C761" s="28" t="s">
        <v>977</v>
      </c>
      <c r="D761" s="26" t="s">
        <v>64</v>
      </c>
      <c r="E761" s="31">
        <v>46227.0</v>
      </c>
      <c r="F761" s="26" t="s">
        <v>46</v>
      </c>
      <c r="G761" s="26">
        <v>11.0</v>
      </c>
      <c r="I761" s="26" t="s">
        <v>42</v>
      </c>
      <c r="J761" s="25" t="str">
        <f t="shared" si="28"/>
        <v>No</v>
      </c>
      <c r="K761" s="25" t="str">
        <f t="shared" si="29"/>
        <v/>
      </c>
      <c r="L761" s="25" t="str">
        <f t="shared" si="30"/>
        <v/>
      </c>
      <c r="M761" s="25"/>
      <c r="O761" s="25"/>
    </row>
    <row r="762" ht="15.75" customHeight="1">
      <c r="A762" s="25" t="str">
        <f>IFERROR(__xludf.DUMMYFUNCTION("IF(B762="""","""",RIGHT(REGEXREPLACE(B762&amp;"""",""[^0-9]"",""""),9))"),"752337914")</f>
        <v>752337914</v>
      </c>
      <c r="B762" s="52">
        <v>7.52337914E8</v>
      </c>
      <c r="C762" s="28" t="s">
        <v>978</v>
      </c>
      <c r="D762" s="26" t="s">
        <v>82</v>
      </c>
      <c r="E762" s="31">
        <v>46227.0</v>
      </c>
      <c r="F762" s="26" t="s">
        <v>46</v>
      </c>
      <c r="G762" s="26">
        <v>11.0</v>
      </c>
      <c r="I762" s="26" t="s">
        <v>42</v>
      </c>
      <c r="J762" s="25" t="str">
        <f t="shared" si="28"/>
        <v>No</v>
      </c>
      <c r="K762" s="25" t="str">
        <f t="shared" si="29"/>
        <v/>
      </c>
      <c r="L762" s="25" t="str">
        <f t="shared" si="30"/>
        <v/>
      </c>
      <c r="M762" s="25"/>
      <c r="O762" s="25"/>
    </row>
    <row r="763" ht="15.75" customHeight="1">
      <c r="A763" s="25" t="str">
        <f>IFERROR(__xludf.DUMMYFUNCTION("IF(B763="""","""",RIGHT(REGEXREPLACE(B763&amp;"""",""[^0-9]"",""""),9))"),"755378220")</f>
        <v>755378220</v>
      </c>
      <c r="B763" s="52">
        <v>7.5537822E8</v>
      </c>
      <c r="C763" s="28" t="s">
        <v>979</v>
      </c>
      <c r="D763" s="26" t="s">
        <v>64</v>
      </c>
      <c r="E763" s="31">
        <v>46227.0</v>
      </c>
      <c r="F763" s="26" t="s">
        <v>205</v>
      </c>
      <c r="G763" s="26">
        <v>11.0</v>
      </c>
      <c r="I763" s="26" t="s">
        <v>42</v>
      </c>
      <c r="J763" s="25" t="str">
        <f t="shared" si="28"/>
        <v>No</v>
      </c>
      <c r="K763" s="25" t="str">
        <f t="shared" si="29"/>
        <v/>
      </c>
      <c r="L763" s="25" t="str">
        <f t="shared" si="30"/>
        <v/>
      </c>
      <c r="M763" s="25"/>
      <c r="O763" s="25"/>
    </row>
    <row r="764" ht="15.75" customHeight="1">
      <c r="A764" s="25" t="str">
        <f>IFERROR(__xludf.DUMMYFUNCTION("IF(B764="""","""",RIGHT(REGEXREPLACE(B764&amp;"""",""[^0-9]"",""""),9))"),"754951038")</f>
        <v>754951038</v>
      </c>
      <c r="B764" s="52">
        <v>7.54951038E8</v>
      </c>
      <c r="C764" s="28" t="s">
        <v>980</v>
      </c>
      <c r="D764" s="26" t="s">
        <v>45</v>
      </c>
      <c r="E764" s="31">
        <v>46227.0</v>
      </c>
      <c r="F764" s="26" t="s">
        <v>84</v>
      </c>
      <c r="H764" s="26" t="s">
        <v>677</v>
      </c>
      <c r="I764" s="26" t="s">
        <v>42</v>
      </c>
      <c r="J764" s="25" t="str">
        <f t="shared" si="28"/>
        <v>No</v>
      </c>
      <c r="K764" s="25" t="str">
        <f t="shared" si="29"/>
        <v/>
      </c>
      <c r="L764" s="25" t="str">
        <f t="shared" si="30"/>
        <v/>
      </c>
      <c r="M764" s="25"/>
      <c r="O764" s="25"/>
    </row>
    <row r="765" ht="15.75" customHeight="1">
      <c r="A765" s="25" t="str">
        <f>IFERROR(__xludf.DUMMYFUNCTION("IF(B765="""","""",RIGHT(REGEXREPLACE(B765&amp;"""",""[^0-9]"",""""),9))"),"765662830")</f>
        <v>765662830</v>
      </c>
      <c r="B765" s="52">
        <v>7.6566283E8</v>
      </c>
      <c r="C765" s="28" t="s">
        <v>981</v>
      </c>
      <c r="D765" s="26" t="s">
        <v>56</v>
      </c>
      <c r="E765" s="31">
        <v>46227.0</v>
      </c>
      <c r="F765" s="26" t="s">
        <v>41</v>
      </c>
      <c r="G765" s="26">
        <v>11.0</v>
      </c>
      <c r="H765" s="26" t="s">
        <v>796</v>
      </c>
      <c r="I765" s="26" t="s">
        <v>42</v>
      </c>
      <c r="J765" s="25" t="str">
        <f t="shared" si="28"/>
        <v>No</v>
      </c>
      <c r="K765" s="25" t="str">
        <f t="shared" si="29"/>
        <v/>
      </c>
      <c r="L765" s="25" t="str">
        <f t="shared" si="30"/>
        <v/>
      </c>
      <c r="M765" s="25"/>
      <c r="O765" s="25"/>
    </row>
    <row r="766" ht="15.75" customHeight="1">
      <c r="A766" s="25" t="str">
        <f>IFERROR(__xludf.DUMMYFUNCTION("IF(B766="""","""",RIGHT(REGEXREPLACE(B766&amp;"""",""[^0-9]"",""""),9))"),"705633291")</f>
        <v>705633291</v>
      </c>
      <c r="B766" s="52">
        <v>9.4705633291E10</v>
      </c>
      <c r="C766" s="28" t="s">
        <v>982</v>
      </c>
      <c r="D766" s="26" t="s">
        <v>37</v>
      </c>
      <c r="E766" s="31">
        <v>46227.0</v>
      </c>
      <c r="F766" s="26" t="s">
        <v>84</v>
      </c>
      <c r="I766" s="26" t="s">
        <v>42</v>
      </c>
      <c r="J766" s="25" t="str">
        <f t="shared" si="28"/>
        <v>No</v>
      </c>
      <c r="K766" s="25" t="str">
        <f t="shared" si="29"/>
        <v/>
      </c>
      <c r="L766" s="25" t="str">
        <f t="shared" si="30"/>
        <v/>
      </c>
      <c r="M766" s="25"/>
      <c r="O766" s="25"/>
    </row>
    <row r="767" ht="15.75" customHeight="1">
      <c r="A767" s="25" t="str">
        <f>IFERROR(__xludf.DUMMYFUNCTION("IF(B767="""","""",RIGHT(REGEXREPLACE(B767&amp;"""",""[^0-9]"",""""),9))"),"725587036")</f>
        <v>725587036</v>
      </c>
      <c r="B767" s="52">
        <v>7.25587036E8</v>
      </c>
      <c r="C767" s="28" t="s">
        <v>983</v>
      </c>
      <c r="D767" s="26" t="s">
        <v>49</v>
      </c>
      <c r="E767" s="31">
        <v>46227.0</v>
      </c>
      <c r="F767" s="26" t="s">
        <v>46</v>
      </c>
      <c r="G767" s="26">
        <v>11.0</v>
      </c>
      <c r="I767" s="26" t="s">
        <v>42</v>
      </c>
      <c r="J767" s="25" t="str">
        <f t="shared" si="28"/>
        <v>No</v>
      </c>
      <c r="K767" s="25" t="str">
        <f t="shared" si="29"/>
        <v/>
      </c>
      <c r="L767" s="25" t="str">
        <f t="shared" si="30"/>
        <v/>
      </c>
      <c r="M767" s="25"/>
      <c r="O767" s="25"/>
    </row>
    <row r="768" ht="15.75" customHeight="1">
      <c r="A768" s="25" t="str">
        <f>IFERROR(__xludf.DUMMYFUNCTION("IF(B768="""","""",RIGHT(REGEXREPLACE(B768&amp;"""",""[^0-9]"",""""),9))"),"716671576")</f>
        <v>716671576</v>
      </c>
      <c r="B768" s="52">
        <v>7.16671576E8</v>
      </c>
      <c r="C768" s="28" t="s">
        <v>984</v>
      </c>
      <c r="D768" s="26" t="s">
        <v>82</v>
      </c>
      <c r="E768" s="31">
        <v>46227.0</v>
      </c>
      <c r="F768" s="26" t="s">
        <v>704</v>
      </c>
      <c r="I768" s="26" t="s">
        <v>42</v>
      </c>
      <c r="J768" s="25" t="str">
        <f t="shared" si="28"/>
        <v>No</v>
      </c>
      <c r="K768" s="25" t="str">
        <f t="shared" si="29"/>
        <v/>
      </c>
      <c r="L768" s="25" t="str">
        <f t="shared" si="30"/>
        <v/>
      </c>
      <c r="M768" s="25"/>
      <c r="O768" s="25"/>
    </row>
    <row r="769" ht="15.75" customHeight="1">
      <c r="A769" s="25" t="str">
        <f>IFERROR(__xludf.DUMMYFUNCTION("IF(B769="""","""",RIGHT(REGEXREPLACE(B769&amp;"""",""[^0-9]"",""""),9))"),"754951038")</f>
        <v>754951038</v>
      </c>
      <c r="B769" s="52">
        <v>7.54951038E8</v>
      </c>
      <c r="C769" s="28" t="s">
        <v>980</v>
      </c>
      <c r="D769" s="26" t="s">
        <v>45</v>
      </c>
      <c r="E769" s="31">
        <v>46227.0</v>
      </c>
      <c r="F769" s="26" t="s">
        <v>84</v>
      </c>
      <c r="G769" s="26">
        <v>8.0</v>
      </c>
      <c r="H769" s="26" t="s">
        <v>677</v>
      </c>
      <c r="I769" s="26" t="s">
        <v>42</v>
      </c>
      <c r="J769" s="25" t="str">
        <f t="shared" si="28"/>
        <v>Yes - see Previous F-Code</v>
      </c>
      <c r="K769" s="25" t="str">
        <f t="shared" si="29"/>
        <v>DUPLICATE - CHECK</v>
      </c>
      <c r="L769" s="25" t="str">
        <f t="shared" si="30"/>
        <v>F70727</v>
      </c>
      <c r="M769" s="25"/>
      <c r="O769" s="25"/>
    </row>
    <row r="770" ht="15.75" customHeight="1">
      <c r="A770" s="25" t="str">
        <f>IFERROR(__xludf.DUMMYFUNCTION("IF(B770="""","""",RIGHT(REGEXREPLACE(B770&amp;"""",""[^0-9]"",""""),9))"),"768764898")</f>
        <v>768764898</v>
      </c>
      <c r="B770" s="52">
        <v>7.68764898E8</v>
      </c>
      <c r="C770" s="28" t="s">
        <v>985</v>
      </c>
      <c r="D770" s="26" t="s">
        <v>64</v>
      </c>
      <c r="E770" s="31">
        <v>46227.0</v>
      </c>
      <c r="F770" s="26" t="s">
        <v>125</v>
      </c>
      <c r="G770" s="26">
        <v>10.0</v>
      </c>
      <c r="I770" s="26" t="s">
        <v>42</v>
      </c>
      <c r="J770" s="25" t="str">
        <f t="shared" si="28"/>
        <v>No</v>
      </c>
      <c r="K770" s="25" t="str">
        <f t="shared" si="29"/>
        <v/>
      </c>
      <c r="L770" s="25" t="str">
        <f t="shared" si="30"/>
        <v/>
      </c>
      <c r="M770" s="25"/>
      <c r="O770" s="25"/>
    </row>
    <row r="771" ht="15.75" customHeight="1">
      <c r="A771" s="25" t="str">
        <f>IFERROR(__xludf.DUMMYFUNCTION("IF(B771="""","""",RIGHT(REGEXREPLACE(B771&amp;"""",""[^0-9]"",""""),9))"),"718883330")</f>
        <v>718883330</v>
      </c>
      <c r="B771" s="52">
        <v>7.1888333E8</v>
      </c>
      <c r="C771" s="28" t="s">
        <v>986</v>
      </c>
      <c r="D771" s="26" t="s">
        <v>56</v>
      </c>
      <c r="E771" s="31">
        <v>46227.0</v>
      </c>
      <c r="F771" s="26" t="s">
        <v>41</v>
      </c>
      <c r="H771" s="26" t="s">
        <v>796</v>
      </c>
      <c r="I771" s="26" t="s">
        <v>42</v>
      </c>
      <c r="J771" s="25" t="str">
        <f t="shared" si="28"/>
        <v>No</v>
      </c>
      <c r="K771" s="25" t="str">
        <f t="shared" si="29"/>
        <v/>
      </c>
      <c r="L771" s="25" t="str">
        <f t="shared" si="30"/>
        <v/>
      </c>
      <c r="M771" s="25"/>
      <c r="O771" s="25"/>
    </row>
    <row r="772" ht="15.75" customHeight="1">
      <c r="A772" s="25" t="str">
        <f>IFERROR(__xludf.DUMMYFUNCTION("IF(B772="""","""",RIGHT(REGEXREPLACE(B772&amp;"""",""[^0-9]"",""""),9))"),"769318492")</f>
        <v>769318492</v>
      </c>
      <c r="B772" s="52">
        <v>9.4769318492E10</v>
      </c>
      <c r="C772" s="28" t="s">
        <v>987</v>
      </c>
      <c r="D772" s="26" t="s">
        <v>37</v>
      </c>
      <c r="E772" s="31">
        <v>46227.0</v>
      </c>
      <c r="F772" s="26" t="s">
        <v>164</v>
      </c>
      <c r="I772" s="26" t="s">
        <v>42</v>
      </c>
      <c r="J772" s="25" t="str">
        <f t="shared" si="28"/>
        <v>No</v>
      </c>
      <c r="K772" s="25" t="str">
        <f t="shared" si="29"/>
        <v/>
      </c>
      <c r="L772" s="25" t="str">
        <f t="shared" si="30"/>
        <v/>
      </c>
      <c r="M772" s="25"/>
      <c r="O772" s="25"/>
    </row>
    <row r="773" ht="15.75" customHeight="1">
      <c r="A773" s="25" t="str">
        <f>IFERROR(__xludf.DUMMYFUNCTION("IF(B773="""","""",RIGHT(REGEXREPLACE(B773&amp;"""",""[^0-9]"",""""),9))"),"763579620")</f>
        <v>763579620</v>
      </c>
      <c r="B773" s="52">
        <v>7.6357962E8</v>
      </c>
      <c r="C773" s="28" t="s">
        <v>988</v>
      </c>
      <c r="D773" s="26" t="s">
        <v>82</v>
      </c>
      <c r="E773" s="31">
        <v>46227.0</v>
      </c>
      <c r="F773" s="26" t="s">
        <v>46</v>
      </c>
      <c r="G773" s="26">
        <v>11.0</v>
      </c>
      <c r="I773" s="26" t="s">
        <v>42</v>
      </c>
      <c r="J773" s="25" t="str">
        <f t="shared" si="28"/>
        <v>No</v>
      </c>
      <c r="K773" s="25" t="str">
        <f t="shared" si="29"/>
        <v/>
      </c>
      <c r="L773" s="25" t="str">
        <f t="shared" si="30"/>
        <v/>
      </c>
      <c r="M773" s="25"/>
      <c r="O773" s="25"/>
    </row>
    <row r="774" ht="15.75" customHeight="1">
      <c r="A774" s="25" t="str">
        <f>IFERROR(__xludf.DUMMYFUNCTION("IF(B774="""","""",RIGHT(REGEXREPLACE(B774&amp;"""",""[^0-9]"",""""),9))"),"774359975")</f>
        <v>774359975</v>
      </c>
      <c r="B774" s="52">
        <v>7.74359975E8</v>
      </c>
      <c r="C774" s="28" t="s">
        <v>989</v>
      </c>
      <c r="D774" s="26" t="s">
        <v>45</v>
      </c>
      <c r="E774" s="31">
        <v>46227.0</v>
      </c>
      <c r="F774" s="26" t="s">
        <v>41</v>
      </c>
      <c r="H774" s="26" t="s">
        <v>677</v>
      </c>
      <c r="I774" s="26" t="s">
        <v>42</v>
      </c>
      <c r="J774" s="25" t="str">
        <f t="shared" si="28"/>
        <v>No</v>
      </c>
      <c r="K774" s="25" t="str">
        <f t="shared" si="29"/>
        <v/>
      </c>
      <c r="L774" s="25" t="str">
        <f t="shared" si="30"/>
        <v/>
      </c>
      <c r="M774" s="25"/>
      <c r="O774" s="25"/>
    </row>
    <row r="775" ht="15.75" customHeight="1">
      <c r="A775" s="25" t="str">
        <f>IFERROR(__xludf.DUMMYFUNCTION("IF(B775="""","""",RIGHT(REGEXREPLACE(B775&amp;"""",""[^0-9]"",""""),9))"),"768386634")</f>
        <v>768386634</v>
      </c>
      <c r="B775" s="52">
        <v>7.68386634E8</v>
      </c>
      <c r="C775" s="28" t="s">
        <v>991</v>
      </c>
      <c r="D775" s="26" t="s">
        <v>49</v>
      </c>
      <c r="E775" s="31">
        <v>46227.0</v>
      </c>
      <c r="F775" s="26" t="s">
        <v>205</v>
      </c>
      <c r="G775" s="26">
        <v>10.0</v>
      </c>
      <c r="I775" s="26" t="s">
        <v>42</v>
      </c>
      <c r="J775" s="25" t="str">
        <f t="shared" si="28"/>
        <v>No</v>
      </c>
      <c r="K775" s="25" t="str">
        <f t="shared" si="29"/>
        <v/>
      </c>
      <c r="L775" s="25" t="str">
        <f t="shared" si="30"/>
        <v/>
      </c>
      <c r="M775" s="25"/>
      <c r="O775" s="25"/>
    </row>
    <row r="776" ht="15.75" customHeight="1">
      <c r="A776" s="25" t="str">
        <f>IFERROR(__xludf.DUMMYFUNCTION("IF(B776="""","""",RIGHT(REGEXREPLACE(B776&amp;"""",""[^0-9]"",""""),9))"),"768764898")</f>
        <v>768764898</v>
      </c>
      <c r="B776" s="52">
        <v>7.68764898E8</v>
      </c>
      <c r="C776" s="28" t="s">
        <v>985</v>
      </c>
      <c r="D776" s="26" t="s">
        <v>64</v>
      </c>
      <c r="E776" s="31">
        <v>46227.0</v>
      </c>
      <c r="F776" s="26" t="s">
        <v>41</v>
      </c>
      <c r="I776" s="26" t="s">
        <v>42</v>
      </c>
      <c r="J776" s="25" t="str">
        <f t="shared" si="28"/>
        <v>Yes - see Previous F-Code</v>
      </c>
      <c r="K776" s="25" t="str">
        <f t="shared" si="29"/>
        <v>DUPLICATE - CHECK</v>
      </c>
      <c r="L776" s="25" t="str">
        <f t="shared" si="30"/>
        <v>F70733</v>
      </c>
      <c r="M776" s="25"/>
      <c r="O776" s="25"/>
    </row>
    <row r="777" ht="15.75" customHeight="1">
      <c r="A777" s="25" t="str">
        <f>IFERROR(__xludf.DUMMYFUNCTION("IF(B777="""","""",RIGHT(REGEXREPLACE(B777&amp;"""",""[^0-9]"",""""),9))"),"770435414")</f>
        <v>770435414</v>
      </c>
      <c r="B777" s="52">
        <v>7.70435414E8</v>
      </c>
      <c r="C777" s="28" t="s">
        <v>992</v>
      </c>
      <c r="D777" s="26" t="s">
        <v>45</v>
      </c>
      <c r="E777" s="31">
        <v>46227.0</v>
      </c>
      <c r="F777" s="26" t="s">
        <v>41</v>
      </c>
      <c r="H777" s="26" t="s">
        <v>677</v>
      </c>
      <c r="I777" s="26" t="s">
        <v>42</v>
      </c>
      <c r="J777" s="25" t="str">
        <f t="shared" si="28"/>
        <v>No</v>
      </c>
      <c r="K777" s="25" t="str">
        <f t="shared" si="29"/>
        <v/>
      </c>
      <c r="L777" s="25" t="str">
        <f t="shared" si="30"/>
        <v/>
      </c>
      <c r="M777" s="25"/>
      <c r="O777" s="25"/>
    </row>
    <row r="778" ht="15.75" customHeight="1">
      <c r="A778" s="25" t="str">
        <f>IFERROR(__xludf.DUMMYFUNCTION("IF(B778="""","""",RIGHT(REGEXREPLACE(B778&amp;"""",""[^0-9]"",""""),9))"),"760251086")</f>
        <v>760251086</v>
      </c>
      <c r="B778" s="52">
        <v>7.60251086E8</v>
      </c>
      <c r="C778" s="28" t="s">
        <v>993</v>
      </c>
      <c r="D778" s="26" t="s">
        <v>56</v>
      </c>
      <c r="E778" s="31">
        <v>46227.0</v>
      </c>
      <c r="F778" s="26" t="s">
        <v>46</v>
      </c>
      <c r="G778" s="26">
        <v>11.0</v>
      </c>
      <c r="I778" s="26" t="s">
        <v>42</v>
      </c>
      <c r="J778" s="25" t="str">
        <f t="shared" si="28"/>
        <v>No</v>
      </c>
      <c r="K778" s="25" t="str">
        <f t="shared" si="29"/>
        <v/>
      </c>
      <c r="L778" s="25" t="str">
        <f t="shared" si="30"/>
        <v/>
      </c>
      <c r="M778" s="25"/>
      <c r="O778" s="25"/>
    </row>
    <row r="779" ht="15.75" customHeight="1">
      <c r="A779" s="25" t="str">
        <f>IFERROR(__xludf.DUMMYFUNCTION("IF(B779="""","""",RIGHT(REGEXREPLACE(B779&amp;"""",""[^0-9]"",""""),9))"),"760046295")</f>
        <v>760046295</v>
      </c>
      <c r="B779" s="52">
        <v>7.60046295E8</v>
      </c>
      <c r="C779" s="28" t="s">
        <v>994</v>
      </c>
      <c r="D779" s="26" t="s">
        <v>45</v>
      </c>
      <c r="E779" s="31">
        <v>46227.0</v>
      </c>
      <c r="F779" s="26" t="s">
        <v>46</v>
      </c>
      <c r="G779" s="26">
        <v>11.0</v>
      </c>
      <c r="I779" s="26" t="s">
        <v>42</v>
      </c>
      <c r="J779" s="25" t="str">
        <f t="shared" si="28"/>
        <v>No</v>
      </c>
      <c r="K779" s="25" t="str">
        <f t="shared" si="29"/>
        <v/>
      </c>
      <c r="L779" s="25" t="str">
        <f t="shared" si="30"/>
        <v/>
      </c>
      <c r="M779" s="25"/>
      <c r="O779" s="25"/>
    </row>
    <row r="780" ht="15.75" customHeight="1">
      <c r="A780" s="25" t="str">
        <f>IFERROR(__xludf.DUMMYFUNCTION("IF(B780="""","""",RIGHT(REGEXREPLACE(B780&amp;"""",""[^0-9]"",""""),9))"),"768968221")</f>
        <v>768968221</v>
      </c>
      <c r="B780" s="52">
        <v>7.68968221E8</v>
      </c>
      <c r="C780" s="28" t="s">
        <v>995</v>
      </c>
      <c r="D780" s="26" t="s">
        <v>49</v>
      </c>
      <c r="E780" s="31">
        <v>46227.0</v>
      </c>
      <c r="F780" s="26" t="s">
        <v>46</v>
      </c>
      <c r="G780" s="26">
        <v>11.0</v>
      </c>
      <c r="I780" s="26" t="s">
        <v>42</v>
      </c>
      <c r="J780" s="25" t="str">
        <f t="shared" si="28"/>
        <v>No</v>
      </c>
      <c r="K780" s="25" t="str">
        <f t="shared" si="29"/>
        <v/>
      </c>
      <c r="L780" s="25" t="str">
        <f t="shared" si="30"/>
        <v/>
      </c>
      <c r="M780" s="25"/>
      <c r="O780" s="25"/>
    </row>
    <row r="781" ht="15.75" customHeight="1">
      <c r="A781" s="25" t="str">
        <f>IFERROR(__xludf.DUMMYFUNCTION("IF(B781="""","""",RIGHT(REGEXREPLACE(B781&amp;"""",""[^0-9]"",""""),9))"),"777333226")</f>
        <v>777333226</v>
      </c>
      <c r="B781" s="52">
        <v>7.77333226E8</v>
      </c>
      <c r="C781" s="28" t="s">
        <v>996</v>
      </c>
      <c r="D781" s="26" t="s">
        <v>82</v>
      </c>
      <c r="E781" s="31">
        <v>46227.0</v>
      </c>
      <c r="F781" s="26" t="s">
        <v>46</v>
      </c>
      <c r="G781" s="26">
        <v>11.0</v>
      </c>
      <c r="I781" s="26" t="s">
        <v>42</v>
      </c>
      <c r="J781" s="25" t="str">
        <f t="shared" si="28"/>
        <v>No</v>
      </c>
      <c r="K781" s="25" t="str">
        <f t="shared" si="29"/>
        <v/>
      </c>
      <c r="L781" s="25" t="str">
        <f t="shared" si="30"/>
        <v/>
      </c>
      <c r="M781" s="25"/>
      <c r="O781" s="25"/>
    </row>
    <row r="782" ht="15.75" customHeight="1">
      <c r="A782" s="25" t="str">
        <f>IFERROR(__xludf.DUMMYFUNCTION("IF(B782="""","""",RIGHT(REGEXREPLACE(B782&amp;"""",""[^0-9]"",""""),9))"),"703274262")</f>
        <v>703274262</v>
      </c>
      <c r="B782" s="52">
        <v>7.03274262E8</v>
      </c>
      <c r="C782" s="28" t="s">
        <v>997</v>
      </c>
      <c r="D782" s="26" t="s">
        <v>56</v>
      </c>
      <c r="E782" s="31">
        <v>46227.0</v>
      </c>
      <c r="F782" s="26" t="s">
        <v>46</v>
      </c>
      <c r="G782" s="26">
        <v>7.0</v>
      </c>
      <c r="H782" s="26" t="s">
        <v>774</v>
      </c>
      <c r="I782" s="26" t="s">
        <v>42</v>
      </c>
      <c r="J782" s="25" t="str">
        <f t="shared" si="28"/>
        <v>No</v>
      </c>
      <c r="K782" s="25" t="str">
        <f t="shared" si="29"/>
        <v/>
      </c>
      <c r="L782" s="25" t="str">
        <f t="shared" si="30"/>
        <v/>
      </c>
      <c r="M782" s="25"/>
      <c r="O782" s="25"/>
    </row>
    <row r="783" ht="15.75" customHeight="1">
      <c r="A783" s="25" t="str">
        <f>IFERROR(__xludf.DUMMYFUNCTION("IF(B783="""","""",RIGHT(REGEXREPLACE(B783&amp;"""",""[^0-9]"",""""),9))"),"768207143")</f>
        <v>768207143</v>
      </c>
      <c r="B783" s="52">
        <v>7.68207143E8</v>
      </c>
      <c r="C783" s="28" t="s">
        <v>998</v>
      </c>
      <c r="D783" s="26" t="s">
        <v>64</v>
      </c>
      <c r="E783" s="31">
        <v>46227.0</v>
      </c>
      <c r="F783" s="26" t="s">
        <v>205</v>
      </c>
      <c r="G783" s="26">
        <v>11.0</v>
      </c>
      <c r="I783" s="26" t="s">
        <v>42</v>
      </c>
      <c r="J783" s="25" t="str">
        <f t="shared" si="28"/>
        <v>No</v>
      </c>
      <c r="K783" s="25" t="str">
        <f t="shared" si="29"/>
        <v/>
      </c>
      <c r="L783" s="25" t="str">
        <f t="shared" si="30"/>
        <v/>
      </c>
      <c r="M783" s="25"/>
      <c r="O783" s="25"/>
    </row>
    <row r="784" ht="15.75" customHeight="1">
      <c r="A784" s="25" t="str">
        <f>IFERROR(__xludf.DUMMYFUNCTION("IF(B784="""","""",RIGHT(REGEXREPLACE(B784&amp;"""",""[^0-9]"",""""),9))"),"774609934")</f>
        <v>774609934</v>
      </c>
      <c r="B784" s="52">
        <v>7.74609934E8</v>
      </c>
      <c r="C784" s="28" t="s">
        <v>999</v>
      </c>
      <c r="D784" s="26" t="s">
        <v>82</v>
      </c>
      <c r="E784" s="31">
        <v>46227.0</v>
      </c>
      <c r="F784" s="26" t="s">
        <v>659</v>
      </c>
      <c r="G784" s="26">
        <v>11.0</v>
      </c>
      <c r="I784" s="26" t="s">
        <v>42</v>
      </c>
      <c r="J784" s="25" t="str">
        <f t="shared" si="28"/>
        <v>No</v>
      </c>
      <c r="K784" s="25" t="str">
        <f t="shared" si="29"/>
        <v/>
      </c>
      <c r="L784" s="25" t="str">
        <f t="shared" si="30"/>
        <v/>
      </c>
      <c r="M784" s="25"/>
      <c r="O784" s="25"/>
    </row>
    <row r="785" ht="15.75" customHeight="1">
      <c r="A785" s="25" t="str">
        <f>IFERROR(__xludf.DUMMYFUNCTION("IF(B785="""","""",RIGHT(REGEXREPLACE(B785&amp;"""",""[^0-9]"",""""),9))"),"784993976")</f>
        <v>784993976</v>
      </c>
      <c r="B785" s="52">
        <v>7.84993976E8</v>
      </c>
      <c r="C785" s="28" t="s">
        <v>1000</v>
      </c>
      <c r="D785" s="26" t="s">
        <v>49</v>
      </c>
      <c r="E785" s="31">
        <v>46227.0</v>
      </c>
      <c r="F785" s="26" t="s">
        <v>125</v>
      </c>
      <c r="G785" s="26">
        <v>7.0</v>
      </c>
      <c r="I785" s="26" t="s">
        <v>42</v>
      </c>
      <c r="J785" s="25" t="str">
        <f t="shared" si="28"/>
        <v>No</v>
      </c>
      <c r="K785" s="25" t="str">
        <f t="shared" si="29"/>
        <v/>
      </c>
      <c r="L785" s="25" t="str">
        <f t="shared" si="30"/>
        <v/>
      </c>
      <c r="M785" s="25"/>
      <c r="O785" s="25"/>
    </row>
    <row r="786" ht="15.75" customHeight="1">
      <c r="A786" s="25" t="str">
        <f>IFERROR(__xludf.DUMMYFUNCTION("IF(B786="""","""",RIGHT(REGEXREPLACE(B786&amp;"""",""[^0-9]"",""""),9))"),"761937536")</f>
        <v>761937536</v>
      </c>
      <c r="B786" s="52">
        <v>7.61937536E8</v>
      </c>
      <c r="C786" s="28" t="s">
        <v>1001</v>
      </c>
      <c r="D786" s="26" t="s">
        <v>64</v>
      </c>
      <c r="E786" s="31">
        <v>46227.0</v>
      </c>
      <c r="F786" s="26" t="s">
        <v>704</v>
      </c>
      <c r="I786" s="26" t="s">
        <v>42</v>
      </c>
      <c r="J786" s="25" t="str">
        <f t="shared" si="28"/>
        <v>No</v>
      </c>
      <c r="K786" s="25" t="str">
        <f t="shared" si="29"/>
        <v/>
      </c>
      <c r="L786" s="25" t="str">
        <f t="shared" si="30"/>
        <v/>
      </c>
      <c r="M786" s="25"/>
      <c r="O786" s="25"/>
    </row>
    <row r="787" ht="15.75" customHeight="1">
      <c r="A787" s="25" t="str">
        <f>IFERROR(__xludf.DUMMYFUNCTION("IF(B787="""","""",RIGHT(REGEXREPLACE(B787&amp;"""",""[^0-9]"",""""),9))"),"703642100")</f>
        <v>703642100</v>
      </c>
      <c r="B787" s="52">
        <v>7.036421E8</v>
      </c>
      <c r="C787" s="28" t="s">
        <v>1002</v>
      </c>
      <c r="D787" s="26" t="s">
        <v>56</v>
      </c>
      <c r="E787" s="31">
        <v>46227.0</v>
      </c>
      <c r="F787" s="26" t="s">
        <v>595</v>
      </c>
      <c r="G787" s="26">
        <v>11.0</v>
      </c>
      <c r="H787" s="26" t="s">
        <v>774</v>
      </c>
      <c r="I787" s="26" t="s">
        <v>42</v>
      </c>
      <c r="J787" s="25" t="str">
        <f t="shared" si="28"/>
        <v>No</v>
      </c>
      <c r="K787" s="25" t="str">
        <f t="shared" si="29"/>
        <v/>
      </c>
      <c r="L787" s="25" t="str">
        <f t="shared" si="30"/>
        <v/>
      </c>
      <c r="M787" s="25"/>
      <c r="O787" s="25"/>
    </row>
    <row r="788" ht="15.75" customHeight="1">
      <c r="A788" s="25" t="str">
        <f>IFERROR(__xludf.DUMMYFUNCTION("IF(B788="""","""",RIGHT(REGEXREPLACE(B788&amp;"""",""[^0-9]"",""""),9))"),"707571710")</f>
        <v>707571710</v>
      </c>
      <c r="B788" s="52">
        <v>7.0757171E8</v>
      </c>
      <c r="C788" s="28" t="s">
        <v>1003</v>
      </c>
      <c r="D788" s="26" t="s">
        <v>49</v>
      </c>
      <c r="E788" s="31">
        <v>46227.0</v>
      </c>
      <c r="F788" s="26" t="s">
        <v>41</v>
      </c>
      <c r="G788" s="26">
        <v>10.0</v>
      </c>
      <c r="I788" s="26" t="s">
        <v>42</v>
      </c>
      <c r="J788" s="25" t="str">
        <f t="shared" si="28"/>
        <v>No</v>
      </c>
      <c r="K788" s="25" t="str">
        <f t="shared" si="29"/>
        <v/>
      </c>
      <c r="L788" s="25" t="str">
        <f t="shared" si="30"/>
        <v/>
      </c>
      <c r="M788" s="25"/>
      <c r="O788" s="25"/>
    </row>
    <row r="789" ht="15.75" customHeight="1">
      <c r="A789" s="25" t="str">
        <f>IFERROR(__xludf.DUMMYFUNCTION("IF(B789="""","""",RIGHT(REGEXREPLACE(B789&amp;"""",""[^0-9]"",""""),9))"),"770865623")</f>
        <v>770865623</v>
      </c>
      <c r="B789" s="52">
        <v>7.70865623E8</v>
      </c>
      <c r="C789" s="28" t="s">
        <v>1004</v>
      </c>
      <c r="D789" s="26" t="s">
        <v>82</v>
      </c>
      <c r="E789" s="31">
        <v>46227.0</v>
      </c>
      <c r="F789" s="26" t="s">
        <v>46</v>
      </c>
      <c r="G789" s="26">
        <v>11.0</v>
      </c>
      <c r="I789" s="26" t="s">
        <v>42</v>
      </c>
      <c r="J789" s="25" t="str">
        <f t="shared" si="28"/>
        <v>No</v>
      </c>
      <c r="K789" s="25" t="str">
        <f t="shared" si="29"/>
        <v/>
      </c>
      <c r="L789" s="25" t="str">
        <f t="shared" si="30"/>
        <v/>
      </c>
      <c r="M789" s="25"/>
      <c r="O789" s="25"/>
    </row>
    <row r="790" ht="15.75" customHeight="1">
      <c r="A790" s="25" t="str">
        <f>IFERROR(__xludf.DUMMYFUNCTION("IF(B790="""","""",RIGHT(REGEXREPLACE(B790&amp;"""",""[^0-9]"",""""),9))"),"741082212")</f>
        <v>741082212</v>
      </c>
      <c r="B790" s="52">
        <v>7.41082212E8</v>
      </c>
      <c r="C790" s="28" t="s">
        <v>297</v>
      </c>
      <c r="D790" s="26" t="s">
        <v>64</v>
      </c>
      <c r="E790" s="31">
        <v>46227.0</v>
      </c>
      <c r="F790" s="26" t="s">
        <v>205</v>
      </c>
      <c r="G790" s="26">
        <v>11.0</v>
      </c>
      <c r="I790" s="26" t="s">
        <v>42</v>
      </c>
      <c r="J790" s="25" t="str">
        <f t="shared" si="28"/>
        <v>Yes - see Previous F-Code</v>
      </c>
      <c r="K790" s="25" t="str">
        <f t="shared" si="29"/>
        <v>DUPLICATE - CHECK</v>
      </c>
      <c r="L790" s="25" t="str">
        <f t="shared" si="30"/>
        <v>F70160</v>
      </c>
      <c r="M790" s="25"/>
      <c r="O790" s="25"/>
    </row>
    <row r="791" ht="15.75" customHeight="1">
      <c r="A791" s="25" t="str">
        <f>IFERROR(__xludf.DUMMYFUNCTION("IF(B791="""","""",RIGHT(REGEXREPLACE(B791&amp;"""",""[^0-9]"",""""),9))"),"771924936")</f>
        <v>771924936</v>
      </c>
      <c r="B791" s="52">
        <v>7.71924936E8</v>
      </c>
      <c r="C791" s="28" t="s">
        <v>1005</v>
      </c>
      <c r="D791" s="26" t="s">
        <v>56</v>
      </c>
      <c r="E791" s="31">
        <v>46227.0</v>
      </c>
      <c r="F791" s="26" t="s">
        <v>46</v>
      </c>
      <c r="G791" s="26">
        <v>10.0</v>
      </c>
      <c r="H791" s="26" t="s">
        <v>774</v>
      </c>
      <c r="I791" s="26" t="s">
        <v>42</v>
      </c>
      <c r="J791" s="25" t="str">
        <f t="shared" si="28"/>
        <v>No</v>
      </c>
      <c r="K791" s="25" t="str">
        <f t="shared" si="29"/>
        <v/>
      </c>
      <c r="L791" s="25" t="str">
        <f t="shared" si="30"/>
        <v/>
      </c>
      <c r="M791" s="25"/>
      <c r="O791" s="25"/>
    </row>
    <row r="792" ht="15.75" customHeight="1">
      <c r="A792" s="25" t="str">
        <f>IFERROR(__xludf.DUMMYFUNCTION("IF(B792="""","""",RIGHT(REGEXREPLACE(B792&amp;"""",""[^0-9]"",""""),9))"),"718359955")</f>
        <v>718359955</v>
      </c>
      <c r="B792" s="52">
        <v>7.18359955E8</v>
      </c>
      <c r="C792" s="28" t="s">
        <v>1006</v>
      </c>
      <c r="D792" s="26" t="s">
        <v>49</v>
      </c>
      <c r="E792" s="31">
        <v>46227.0</v>
      </c>
      <c r="F792" s="26" t="s">
        <v>84</v>
      </c>
      <c r="I792" s="26" t="s">
        <v>42</v>
      </c>
      <c r="J792" s="25" t="str">
        <f t="shared" si="28"/>
        <v>No</v>
      </c>
      <c r="K792" s="25" t="str">
        <f t="shared" si="29"/>
        <v/>
      </c>
      <c r="L792" s="25" t="str">
        <f t="shared" si="30"/>
        <v/>
      </c>
      <c r="M792" s="25"/>
      <c r="O792" s="25"/>
    </row>
    <row r="793" ht="15.75" customHeight="1">
      <c r="A793" s="25" t="str">
        <f>IFERROR(__xludf.DUMMYFUNCTION("IF(B793="""","""",RIGHT(REGEXREPLACE(B793&amp;"""",""[^0-9]"",""""),9))"),"778044238")</f>
        <v>778044238</v>
      </c>
      <c r="B793" s="52">
        <v>7.78044238E8</v>
      </c>
      <c r="C793" s="28" t="s">
        <v>1007</v>
      </c>
      <c r="D793" s="26" t="s">
        <v>64</v>
      </c>
      <c r="E793" s="31">
        <v>46227.0</v>
      </c>
      <c r="F793" s="26" t="s">
        <v>125</v>
      </c>
      <c r="I793" s="26" t="s">
        <v>42</v>
      </c>
      <c r="J793" s="25" t="str">
        <f t="shared" si="28"/>
        <v>No</v>
      </c>
      <c r="K793" s="25" t="str">
        <f t="shared" si="29"/>
        <v/>
      </c>
      <c r="L793" s="25" t="str">
        <f t="shared" si="30"/>
        <v/>
      </c>
      <c r="M793" s="25"/>
      <c r="O793" s="25"/>
    </row>
    <row r="794" ht="15.75" customHeight="1">
      <c r="A794" s="25" t="str">
        <f>IFERROR(__xludf.DUMMYFUNCTION("IF(B794="""","""",RIGHT(REGEXREPLACE(B794&amp;"""",""[^0-9]"",""""),9))"),"778770685")</f>
        <v>778770685</v>
      </c>
      <c r="B794" s="52">
        <v>7.78770685E8</v>
      </c>
      <c r="C794" s="28" t="s">
        <v>1008</v>
      </c>
      <c r="D794" s="26" t="s">
        <v>82</v>
      </c>
      <c r="E794" s="31">
        <v>46227.0</v>
      </c>
      <c r="F794" s="26" t="s">
        <v>41</v>
      </c>
      <c r="I794" s="26" t="s">
        <v>42</v>
      </c>
      <c r="J794" s="25" t="str">
        <f t="shared" si="28"/>
        <v>No</v>
      </c>
      <c r="K794" s="25" t="str">
        <f t="shared" si="29"/>
        <v/>
      </c>
      <c r="L794" s="25" t="str">
        <f t="shared" si="30"/>
        <v/>
      </c>
      <c r="M794" s="25"/>
      <c r="O794" s="25"/>
    </row>
    <row r="795" ht="15.75" customHeight="1">
      <c r="A795" s="25" t="str">
        <f>IFERROR(__xludf.DUMMYFUNCTION("IF(B795="""","""",RIGHT(REGEXREPLACE(B795&amp;"""",""[^0-9]"",""""),9))"),"776118669")</f>
        <v>776118669</v>
      </c>
      <c r="B795" s="52">
        <v>7.76118669E8</v>
      </c>
      <c r="C795" s="28" t="s">
        <v>1009</v>
      </c>
      <c r="D795" s="26" t="s">
        <v>49</v>
      </c>
      <c r="E795" s="31">
        <v>46227.0</v>
      </c>
      <c r="F795" s="26" t="s">
        <v>46</v>
      </c>
      <c r="G795" s="26">
        <v>11.0</v>
      </c>
      <c r="I795" s="26" t="s">
        <v>42</v>
      </c>
      <c r="J795" s="25" t="str">
        <f t="shared" si="28"/>
        <v>No</v>
      </c>
      <c r="K795" s="25" t="str">
        <f t="shared" si="29"/>
        <v/>
      </c>
      <c r="L795" s="25" t="str">
        <f t="shared" si="30"/>
        <v/>
      </c>
      <c r="M795" s="25"/>
      <c r="O795" s="25"/>
    </row>
    <row r="796" ht="15.75" customHeight="1">
      <c r="A796" s="25" t="str">
        <f>IFERROR(__xludf.DUMMYFUNCTION("IF(B796="""","""",RIGHT(REGEXREPLACE(B796&amp;"""",""[^0-9]"",""""),9))"),"714699079")</f>
        <v>714699079</v>
      </c>
      <c r="B796" s="52">
        <v>7.14699079E8</v>
      </c>
      <c r="C796" s="28" t="s">
        <v>1010</v>
      </c>
      <c r="D796" s="26" t="s">
        <v>82</v>
      </c>
      <c r="E796" s="31">
        <v>46227.0</v>
      </c>
      <c r="F796" s="26" t="s">
        <v>46</v>
      </c>
      <c r="G796" s="26">
        <v>11.0</v>
      </c>
      <c r="I796" s="26" t="s">
        <v>42</v>
      </c>
      <c r="J796" s="25" t="str">
        <f t="shared" si="28"/>
        <v>No</v>
      </c>
      <c r="K796" s="25" t="str">
        <f t="shared" si="29"/>
        <v/>
      </c>
      <c r="L796" s="25" t="str">
        <f t="shared" si="30"/>
        <v/>
      </c>
      <c r="M796" s="25"/>
      <c r="O796" s="25"/>
    </row>
    <row r="797" ht="15.75" customHeight="1">
      <c r="A797" s="25" t="str">
        <f>IFERROR(__xludf.DUMMYFUNCTION("IF(B797="""","""",RIGHT(REGEXREPLACE(B797&amp;"""",""[^0-9]"",""""),9))"),"715666886")</f>
        <v>715666886</v>
      </c>
      <c r="B797" s="52">
        <v>7.15666886E8</v>
      </c>
      <c r="C797" s="28" t="s">
        <v>1011</v>
      </c>
      <c r="D797" s="26" t="s">
        <v>56</v>
      </c>
      <c r="E797" s="31">
        <v>46227.0</v>
      </c>
      <c r="F797" s="26" t="s">
        <v>164</v>
      </c>
      <c r="H797" s="26" t="s">
        <v>796</v>
      </c>
      <c r="I797" s="26" t="s">
        <v>42</v>
      </c>
      <c r="J797" s="25" t="str">
        <f t="shared" si="28"/>
        <v>No</v>
      </c>
      <c r="K797" s="25" t="str">
        <f t="shared" si="29"/>
        <v/>
      </c>
      <c r="L797" s="25" t="str">
        <f t="shared" si="30"/>
        <v/>
      </c>
      <c r="M797" s="25"/>
      <c r="O797" s="25"/>
    </row>
    <row r="798" ht="15.75" customHeight="1">
      <c r="A798" s="25" t="str">
        <f>IFERROR(__xludf.DUMMYFUNCTION("IF(B798="""","""",RIGHT(REGEXREPLACE(B798&amp;"""",""[^0-9]"",""""),9))"),"715765133")</f>
        <v>715765133</v>
      </c>
      <c r="B798" s="52">
        <v>7.15765133E8</v>
      </c>
      <c r="C798" s="28" t="s">
        <v>1012</v>
      </c>
      <c r="D798" s="26" t="s">
        <v>64</v>
      </c>
      <c r="E798" s="31">
        <v>46227.0</v>
      </c>
      <c r="F798" s="26" t="s">
        <v>41</v>
      </c>
      <c r="I798" s="26" t="s">
        <v>42</v>
      </c>
      <c r="J798" s="25" t="str">
        <f t="shared" si="28"/>
        <v>No</v>
      </c>
      <c r="K798" s="25" t="str">
        <f t="shared" si="29"/>
        <v/>
      </c>
      <c r="L798" s="25" t="str">
        <f t="shared" si="30"/>
        <v/>
      </c>
      <c r="M798" s="25"/>
      <c r="O798" s="25"/>
    </row>
    <row r="799" ht="15.75" customHeight="1">
      <c r="A799" s="25" t="str">
        <f>IFERROR(__xludf.DUMMYFUNCTION("IF(B799="""","""",RIGHT(REGEXREPLACE(B799&amp;"""",""[^0-9]"",""""),9))"),"772112466")</f>
        <v>772112466</v>
      </c>
      <c r="B799" s="52">
        <v>7.72112466E8</v>
      </c>
      <c r="C799" s="28" t="s">
        <v>1013</v>
      </c>
      <c r="D799" s="26" t="s">
        <v>49</v>
      </c>
      <c r="E799" s="31">
        <v>46227.0</v>
      </c>
      <c r="F799" s="26" t="s">
        <v>46</v>
      </c>
      <c r="G799" s="26">
        <v>11.0</v>
      </c>
      <c r="I799" s="26" t="s">
        <v>42</v>
      </c>
      <c r="J799" s="25" t="str">
        <f t="shared" si="28"/>
        <v>No</v>
      </c>
      <c r="K799" s="25" t="str">
        <f t="shared" si="29"/>
        <v/>
      </c>
      <c r="L799" s="25" t="str">
        <f t="shared" si="30"/>
        <v/>
      </c>
      <c r="M799" s="25"/>
      <c r="O799" s="25"/>
    </row>
    <row r="800" ht="15.75" customHeight="1">
      <c r="A800" s="25" t="str">
        <f>IFERROR(__xludf.DUMMYFUNCTION("IF(B800="""","""",RIGHT(REGEXREPLACE(B800&amp;"""",""[^0-9]"",""""),9))"),"768484819")</f>
        <v>768484819</v>
      </c>
      <c r="B800" s="52">
        <v>7.68484819E8</v>
      </c>
      <c r="C800" s="28" t="s">
        <v>1014</v>
      </c>
      <c r="D800" s="26" t="s">
        <v>56</v>
      </c>
      <c r="E800" s="31">
        <v>46227.0</v>
      </c>
      <c r="F800" s="26" t="s">
        <v>46</v>
      </c>
      <c r="G800" s="26">
        <v>11.0</v>
      </c>
      <c r="H800" s="26" t="s">
        <v>796</v>
      </c>
      <c r="I800" s="26" t="s">
        <v>42</v>
      </c>
      <c r="J800" s="25" t="str">
        <f t="shared" si="28"/>
        <v>No</v>
      </c>
      <c r="K800" s="25" t="str">
        <f t="shared" si="29"/>
        <v/>
      </c>
      <c r="L800" s="25" t="str">
        <f t="shared" si="30"/>
        <v/>
      </c>
      <c r="M800" s="25"/>
      <c r="O800" s="25"/>
    </row>
    <row r="801" ht="15.75" customHeight="1">
      <c r="A801" s="25" t="str">
        <f>IFERROR(__xludf.DUMMYFUNCTION("IF(B801="""","""",RIGHT(REGEXREPLACE(B801&amp;"""",""[^0-9]"",""""),9))"),"777561020")</f>
        <v>777561020</v>
      </c>
      <c r="B801" s="52">
        <v>7.7756102E8</v>
      </c>
      <c r="C801" s="28" t="s">
        <v>1015</v>
      </c>
      <c r="D801" s="26" t="s">
        <v>64</v>
      </c>
      <c r="E801" s="31">
        <v>46227.0</v>
      </c>
      <c r="F801" s="26" t="s">
        <v>41</v>
      </c>
      <c r="I801" s="26" t="s">
        <v>42</v>
      </c>
      <c r="J801" s="25" t="str">
        <f t="shared" si="28"/>
        <v>No</v>
      </c>
      <c r="K801" s="25" t="str">
        <f t="shared" si="29"/>
        <v/>
      </c>
      <c r="L801" s="25" t="str">
        <f t="shared" si="30"/>
        <v/>
      </c>
      <c r="M801" s="25"/>
      <c r="O801" s="25"/>
    </row>
    <row r="802" ht="15.75" customHeight="1">
      <c r="A802" s="25" t="str">
        <f>IFERROR(__xludf.DUMMYFUNCTION("IF(B802="""","""",RIGHT(REGEXREPLACE(B802&amp;"""",""[^0-9]"",""""),9))"),"742838227")</f>
        <v>742838227</v>
      </c>
      <c r="B802" s="52">
        <v>7.42838227E8</v>
      </c>
      <c r="C802" s="28" t="s">
        <v>1016</v>
      </c>
      <c r="D802" s="26" t="s">
        <v>49</v>
      </c>
      <c r="E802" s="31">
        <v>46227.0</v>
      </c>
      <c r="F802" s="26" t="s">
        <v>46</v>
      </c>
      <c r="G802" s="26">
        <v>11.0</v>
      </c>
      <c r="I802" s="26" t="s">
        <v>42</v>
      </c>
      <c r="J802" s="25" t="str">
        <f t="shared" si="28"/>
        <v>No</v>
      </c>
      <c r="K802" s="25" t="str">
        <f t="shared" si="29"/>
        <v/>
      </c>
      <c r="L802" s="25" t="str">
        <f t="shared" si="30"/>
        <v/>
      </c>
      <c r="M802" s="25"/>
      <c r="O802" s="25"/>
    </row>
    <row r="803" ht="15.75" customHeight="1">
      <c r="A803" s="25" t="str">
        <f>IFERROR(__xludf.DUMMYFUNCTION("IF(B803="""","""",RIGHT(REGEXREPLACE(B803&amp;"""",""[^0-9]"",""""),9))"),"778437675")</f>
        <v>778437675</v>
      </c>
      <c r="B803" s="52">
        <v>7.78437675E8</v>
      </c>
      <c r="C803" s="28" t="s">
        <v>1017</v>
      </c>
      <c r="D803" s="26" t="s">
        <v>82</v>
      </c>
      <c r="E803" s="31">
        <v>46227.0</v>
      </c>
      <c r="F803" s="26" t="s">
        <v>46</v>
      </c>
      <c r="G803" s="26">
        <v>11.0</v>
      </c>
      <c r="I803" s="26" t="s">
        <v>42</v>
      </c>
      <c r="J803" s="25" t="str">
        <f t="shared" si="28"/>
        <v>No</v>
      </c>
      <c r="K803" s="25" t="str">
        <f t="shared" si="29"/>
        <v/>
      </c>
      <c r="L803" s="25" t="str">
        <f t="shared" si="30"/>
        <v/>
      </c>
      <c r="M803" s="25"/>
      <c r="O803" s="25"/>
    </row>
    <row r="804" ht="15.75" customHeight="1">
      <c r="A804" s="25" t="str">
        <f>IFERROR(__xludf.DUMMYFUNCTION("IF(B804="""","""",RIGHT(REGEXREPLACE(B804&amp;"""",""[^0-9]"",""""),9))"),"779171927")</f>
        <v>779171927</v>
      </c>
      <c r="B804" s="52">
        <v>7.79171927E8</v>
      </c>
      <c r="C804" s="28" t="s">
        <v>1018</v>
      </c>
      <c r="D804" s="26" t="s">
        <v>64</v>
      </c>
      <c r="E804" s="31">
        <v>46227.0</v>
      </c>
      <c r="F804" s="26" t="s">
        <v>41</v>
      </c>
      <c r="I804" s="26" t="s">
        <v>42</v>
      </c>
      <c r="J804" s="25" t="str">
        <f t="shared" si="28"/>
        <v>No</v>
      </c>
      <c r="K804" s="25" t="str">
        <f t="shared" si="29"/>
        <v/>
      </c>
      <c r="L804" s="25" t="str">
        <f t="shared" si="30"/>
        <v/>
      </c>
      <c r="M804" s="25"/>
      <c r="O804" s="25"/>
    </row>
    <row r="805" ht="15.75" customHeight="1">
      <c r="A805" s="25" t="str">
        <f>IFERROR(__xludf.DUMMYFUNCTION("IF(B805="""","""",RIGHT(REGEXREPLACE(B805&amp;"""",""[^0-9]"",""""),9))"),"715451651")</f>
        <v>715451651</v>
      </c>
      <c r="B805" s="52">
        <v>7.15451651E8</v>
      </c>
      <c r="C805" s="28" t="s">
        <v>1019</v>
      </c>
      <c r="D805" s="26" t="s">
        <v>45</v>
      </c>
      <c r="E805" s="31">
        <v>46227.0</v>
      </c>
      <c r="F805" s="26" t="s">
        <v>164</v>
      </c>
      <c r="H805" s="26" t="s">
        <v>677</v>
      </c>
      <c r="I805" s="26" t="s">
        <v>42</v>
      </c>
      <c r="J805" s="25" t="str">
        <f t="shared" si="28"/>
        <v>No</v>
      </c>
      <c r="K805" s="25" t="str">
        <f t="shared" si="29"/>
        <v/>
      </c>
      <c r="L805" s="25" t="str">
        <f t="shared" si="30"/>
        <v/>
      </c>
      <c r="M805" s="25"/>
      <c r="O805" s="25"/>
    </row>
    <row r="806" ht="15.75" customHeight="1">
      <c r="A806" s="25" t="str">
        <f>IFERROR(__xludf.DUMMYFUNCTION("IF(B806="""","""",RIGHT(REGEXREPLACE(B806&amp;"""",""[^0-9]"",""""),9))"),"778873713")</f>
        <v>778873713</v>
      </c>
      <c r="B806" s="52">
        <v>7.78873713E8</v>
      </c>
      <c r="C806" s="28" t="s">
        <v>1020</v>
      </c>
      <c r="D806" s="26" t="s">
        <v>56</v>
      </c>
      <c r="E806" s="31">
        <v>46227.0</v>
      </c>
      <c r="F806" s="26" t="s">
        <v>631</v>
      </c>
      <c r="G806" s="26">
        <v>9.0</v>
      </c>
      <c r="H806" s="26" t="s">
        <v>653</v>
      </c>
      <c r="I806" s="26" t="s">
        <v>42</v>
      </c>
      <c r="J806" s="25" t="str">
        <f t="shared" si="28"/>
        <v>No</v>
      </c>
      <c r="K806" s="25" t="str">
        <f t="shared" si="29"/>
        <v/>
      </c>
      <c r="L806" s="25" t="str">
        <f t="shared" si="30"/>
        <v/>
      </c>
      <c r="M806" s="25"/>
      <c r="O806" s="25"/>
    </row>
    <row r="807" ht="15.75" customHeight="1">
      <c r="A807" s="25" t="str">
        <f>IFERROR(__xludf.DUMMYFUNCTION("IF(B807="""","""",RIGHT(REGEXREPLACE(B807&amp;"""",""[^0-9]"",""""),9))"),"767790020")</f>
        <v>767790020</v>
      </c>
      <c r="B807" s="52">
        <v>7.6779002E8</v>
      </c>
      <c r="C807" s="28" t="s">
        <v>1021</v>
      </c>
      <c r="D807" s="26" t="s">
        <v>45</v>
      </c>
      <c r="E807" s="31">
        <v>46227.0</v>
      </c>
      <c r="F807" s="26" t="s">
        <v>46</v>
      </c>
      <c r="G807" s="26">
        <v>11.0</v>
      </c>
      <c r="I807" s="26" t="s">
        <v>42</v>
      </c>
      <c r="J807" s="25" t="str">
        <f t="shared" si="28"/>
        <v>No</v>
      </c>
      <c r="K807" s="25" t="str">
        <f t="shared" si="29"/>
        <v/>
      </c>
      <c r="L807" s="25" t="str">
        <f t="shared" si="30"/>
        <v/>
      </c>
      <c r="M807" s="25"/>
      <c r="O807" s="25"/>
    </row>
    <row r="808" ht="15.75" customHeight="1">
      <c r="A808" s="25" t="str">
        <f>IFERROR(__xludf.DUMMYFUNCTION("IF(B808="""","""",RIGHT(REGEXREPLACE(B808&amp;"""",""[^0-9]"",""""),9))"),"711407494")</f>
        <v>711407494</v>
      </c>
      <c r="B808" s="52">
        <v>7.11407494E8</v>
      </c>
      <c r="C808" s="28" t="s">
        <v>1022</v>
      </c>
      <c r="D808" s="26" t="s">
        <v>64</v>
      </c>
      <c r="E808" s="31">
        <v>46227.0</v>
      </c>
      <c r="F808" s="26" t="s">
        <v>205</v>
      </c>
      <c r="I808" s="26" t="s">
        <v>42</v>
      </c>
      <c r="J808" s="25" t="str">
        <f t="shared" si="28"/>
        <v>No</v>
      </c>
      <c r="K808" s="25" t="str">
        <f t="shared" si="29"/>
        <v/>
      </c>
      <c r="L808" s="25" t="str">
        <f t="shared" si="30"/>
        <v/>
      </c>
      <c r="M808" s="25"/>
      <c r="O808" s="25"/>
    </row>
    <row r="809" ht="15.75" customHeight="1">
      <c r="A809" s="25" t="str">
        <f>IFERROR(__xludf.DUMMYFUNCTION("IF(B809="""","""",RIGHT(REGEXREPLACE(B809&amp;"""",""[^0-9]"",""""),9))"),"777035567")</f>
        <v>777035567</v>
      </c>
      <c r="B809" s="52">
        <v>7.77035567E8</v>
      </c>
      <c r="C809" s="28" t="s">
        <v>1023</v>
      </c>
      <c r="D809" s="26" t="s">
        <v>49</v>
      </c>
      <c r="E809" s="31">
        <v>46227.0</v>
      </c>
      <c r="F809" s="26" t="s">
        <v>46</v>
      </c>
      <c r="G809" s="26">
        <v>9.0</v>
      </c>
      <c r="I809" s="26" t="s">
        <v>42</v>
      </c>
      <c r="J809" s="25" t="str">
        <f t="shared" si="28"/>
        <v>No</v>
      </c>
      <c r="K809" s="25" t="str">
        <f t="shared" si="29"/>
        <v/>
      </c>
      <c r="L809" s="25" t="str">
        <f t="shared" si="30"/>
        <v/>
      </c>
      <c r="M809" s="25"/>
      <c r="O809" s="25"/>
    </row>
    <row r="810" ht="15.75" customHeight="1">
      <c r="A810" s="25" t="str">
        <f>IFERROR(__xludf.DUMMYFUNCTION("IF(B810="""","""",RIGHT(REGEXREPLACE(B810&amp;"""",""[^0-9]"",""""),9))"),"779196928")</f>
        <v>779196928</v>
      </c>
      <c r="B810" s="52">
        <v>7.79196928E8</v>
      </c>
      <c r="C810" s="28" t="s">
        <v>1024</v>
      </c>
      <c r="D810" s="26" t="s">
        <v>82</v>
      </c>
      <c r="E810" s="31">
        <v>46227.0</v>
      </c>
      <c r="F810" s="26" t="s">
        <v>46</v>
      </c>
      <c r="G810" s="26">
        <v>11.0</v>
      </c>
      <c r="I810" s="26" t="s">
        <v>42</v>
      </c>
      <c r="J810" s="25" t="str">
        <f t="shared" si="28"/>
        <v>No</v>
      </c>
      <c r="K810" s="25" t="str">
        <f t="shared" si="29"/>
        <v/>
      </c>
      <c r="L810" s="25" t="str">
        <f t="shared" si="30"/>
        <v/>
      </c>
      <c r="M810" s="25"/>
      <c r="O810" s="25"/>
    </row>
    <row r="811" ht="15.75" customHeight="1">
      <c r="A811" s="25" t="str">
        <f>IFERROR(__xludf.DUMMYFUNCTION("IF(B811="""","""",RIGHT(REGEXREPLACE(B811&amp;"""",""[^0-9]"",""""),9))"),"767641702")</f>
        <v>767641702</v>
      </c>
      <c r="B811" s="52">
        <v>7.67641702E8</v>
      </c>
      <c r="C811" s="28" t="s">
        <v>1025</v>
      </c>
      <c r="D811" s="26" t="s">
        <v>64</v>
      </c>
      <c r="E811" s="31">
        <v>46227.0</v>
      </c>
      <c r="F811" s="26" t="s">
        <v>41</v>
      </c>
      <c r="G811" s="26">
        <v>11.0</v>
      </c>
      <c r="I811" s="26" t="s">
        <v>42</v>
      </c>
      <c r="J811" s="25" t="str">
        <f t="shared" si="28"/>
        <v>No</v>
      </c>
      <c r="K811" s="25" t="str">
        <f t="shared" si="29"/>
        <v/>
      </c>
      <c r="L811" s="25" t="str">
        <f t="shared" si="30"/>
        <v/>
      </c>
      <c r="M811" s="25"/>
      <c r="O811" s="25"/>
    </row>
    <row r="812" ht="15.75" customHeight="1">
      <c r="A812" s="25" t="str">
        <f>IFERROR(__xludf.DUMMYFUNCTION("IF(B812="""","""",RIGHT(REGEXREPLACE(B812&amp;"""",""[^0-9]"",""""),9))"),"777143113")</f>
        <v>777143113</v>
      </c>
      <c r="B812" s="52">
        <v>7.77143113E8</v>
      </c>
      <c r="C812" s="28" t="s">
        <v>1026</v>
      </c>
      <c r="D812" s="26" t="s">
        <v>49</v>
      </c>
      <c r="E812" s="31">
        <v>46227.0</v>
      </c>
      <c r="F812" s="26" t="s">
        <v>46</v>
      </c>
      <c r="G812" s="26">
        <v>11.0</v>
      </c>
      <c r="I812" s="26" t="s">
        <v>42</v>
      </c>
      <c r="J812" s="25" t="str">
        <f t="shared" si="28"/>
        <v>No</v>
      </c>
      <c r="K812" s="25" t="str">
        <f t="shared" si="29"/>
        <v/>
      </c>
      <c r="L812" s="25" t="str">
        <f t="shared" si="30"/>
        <v/>
      </c>
      <c r="M812" s="25"/>
      <c r="O812" s="25"/>
    </row>
    <row r="813" ht="15.75" customHeight="1">
      <c r="A813" s="25" t="str">
        <f>IFERROR(__xludf.DUMMYFUNCTION("IF(B813="""","""",RIGHT(REGEXREPLACE(B813&amp;"""",""[^0-9]"",""""),9))"),"715921571")</f>
        <v>715921571</v>
      </c>
      <c r="B813" s="52">
        <v>7.15921571E8</v>
      </c>
      <c r="C813" s="28" t="s">
        <v>1027</v>
      </c>
      <c r="D813" s="26" t="s">
        <v>56</v>
      </c>
      <c r="E813" s="31">
        <v>46227.0</v>
      </c>
      <c r="F813" s="26" t="s">
        <v>631</v>
      </c>
      <c r="G813" s="26">
        <v>11.0</v>
      </c>
      <c r="H813" s="26" t="s">
        <v>796</v>
      </c>
      <c r="I813" s="26" t="s">
        <v>42</v>
      </c>
      <c r="J813" s="25" t="str">
        <f t="shared" si="28"/>
        <v>No</v>
      </c>
      <c r="K813" s="25" t="str">
        <f t="shared" si="29"/>
        <v/>
      </c>
      <c r="L813" s="25" t="str">
        <f t="shared" si="30"/>
        <v/>
      </c>
      <c r="M813" s="25"/>
      <c r="O813" s="25"/>
    </row>
    <row r="814" ht="15.75" customHeight="1">
      <c r="A814" s="25" t="str">
        <f>IFERROR(__xludf.DUMMYFUNCTION("IF(B814="""","""",RIGHT(REGEXREPLACE(B814&amp;"""",""[^0-9]"",""""),9))"),"774367162")</f>
        <v>774367162</v>
      </c>
      <c r="B814" s="52">
        <v>7.74367162E8</v>
      </c>
      <c r="C814" s="28" t="s">
        <v>1028</v>
      </c>
      <c r="D814" s="26" t="s">
        <v>45</v>
      </c>
      <c r="E814" s="31">
        <v>46227.0</v>
      </c>
      <c r="F814" s="26" t="s">
        <v>41</v>
      </c>
      <c r="H814" s="26" t="s">
        <v>677</v>
      </c>
      <c r="I814" s="26" t="s">
        <v>42</v>
      </c>
      <c r="J814" s="25" t="str">
        <f t="shared" si="28"/>
        <v>No</v>
      </c>
      <c r="K814" s="25" t="str">
        <f t="shared" si="29"/>
        <v/>
      </c>
      <c r="L814" s="25" t="str">
        <f t="shared" si="30"/>
        <v/>
      </c>
      <c r="M814" s="25"/>
      <c r="O814" s="25"/>
    </row>
    <row r="815" ht="15.75" customHeight="1">
      <c r="A815" s="25" t="str">
        <f>IFERROR(__xludf.DUMMYFUNCTION("IF(B815="""","""",RIGHT(REGEXREPLACE(B815&amp;"""",""[^0-9]"",""""),9))"),"742512935")</f>
        <v>742512935</v>
      </c>
      <c r="B815" s="52">
        <v>7.42512935E8</v>
      </c>
      <c r="C815" s="28" t="s">
        <v>1029</v>
      </c>
      <c r="D815" s="26" t="s">
        <v>82</v>
      </c>
      <c r="E815" s="31">
        <v>46227.0</v>
      </c>
      <c r="F815" s="26" t="s">
        <v>46</v>
      </c>
      <c r="G815" s="26">
        <v>11.0</v>
      </c>
      <c r="I815" s="26" t="s">
        <v>42</v>
      </c>
      <c r="J815" s="25" t="str">
        <f t="shared" si="28"/>
        <v>No</v>
      </c>
      <c r="K815" s="25" t="str">
        <f t="shared" si="29"/>
        <v/>
      </c>
      <c r="L815" s="25" t="str">
        <f t="shared" si="30"/>
        <v/>
      </c>
      <c r="M815" s="25"/>
      <c r="O815" s="25"/>
    </row>
    <row r="816" ht="15.75" customHeight="1">
      <c r="A816" s="25" t="str">
        <f>IFERROR(__xludf.DUMMYFUNCTION("IF(B816="""","""",RIGHT(REGEXREPLACE(B816&amp;"""",""[^0-9]"",""""),9))"),"760473817")</f>
        <v>760473817</v>
      </c>
      <c r="B816" s="52">
        <v>7.60473817E8</v>
      </c>
      <c r="C816" s="28" t="s">
        <v>1030</v>
      </c>
      <c r="D816" s="26" t="s">
        <v>45</v>
      </c>
      <c r="E816" s="31">
        <v>46227.0</v>
      </c>
      <c r="F816" s="26" t="s">
        <v>46</v>
      </c>
      <c r="G816" s="26">
        <v>10.0</v>
      </c>
      <c r="I816" s="26" t="s">
        <v>42</v>
      </c>
      <c r="J816" s="25" t="str">
        <f t="shared" si="28"/>
        <v>No</v>
      </c>
      <c r="K816" s="25" t="str">
        <f t="shared" si="29"/>
        <v/>
      </c>
      <c r="L816" s="25" t="str">
        <f t="shared" si="30"/>
        <v/>
      </c>
      <c r="M816" s="25"/>
      <c r="O816" s="25"/>
    </row>
    <row r="817" ht="15.75" customHeight="1">
      <c r="A817" s="25" t="str">
        <f>IFERROR(__xludf.DUMMYFUNCTION("IF(B817="""","""",RIGHT(REGEXREPLACE(B817&amp;"""",""[^0-9]"",""""),9))"),"766072409")</f>
        <v>766072409</v>
      </c>
      <c r="B817" s="52">
        <v>7.66072409E8</v>
      </c>
      <c r="C817" s="28" t="s">
        <v>1031</v>
      </c>
      <c r="D817" s="26" t="s">
        <v>64</v>
      </c>
      <c r="E817" s="31">
        <v>46227.0</v>
      </c>
      <c r="F817" s="26" t="s">
        <v>125</v>
      </c>
      <c r="G817" s="26">
        <v>11.0</v>
      </c>
      <c r="I817" s="26" t="s">
        <v>42</v>
      </c>
      <c r="J817" s="25" t="str">
        <f t="shared" si="28"/>
        <v>No</v>
      </c>
      <c r="K817" s="25" t="str">
        <f t="shared" si="29"/>
        <v/>
      </c>
      <c r="L817" s="25" t="str">
        <f t="shared" si="30"/>
        <v/>
      </c>
      <c r="M817" s="25"/>
      <c r="O817" s="25"/>
    </row>
    <row r="818" ht="15.75" customHeight="1">
      <c r="A818" s="25" t="str">
        <f>IFERROR(__xludf.DUMMYFUNCTION("IF(B818="""","""",RIGHT(REGEXREPLACE(B818&amp;"""",""[^0-9]"",""""),9))"),"773580914")</f>
        <v>773580914</v>
      </c>
      <c r="B818" s="52">
        <v>7.73580914E8</v>
      </c>
      <c r="C818" s="28" t="s">
        <v>1032</v>
      </c>
      <c r="D818" s="26" t="s">
        <v>49</v>
      </c>
      <c r="E818" s="31">
        <v>46227.0</v>
      </c>
      <c r="F818" s="26" t="s">
        <v>46</v>
      </c>
      <c r="G818" s="26">
        <v>11.0</v>
      </c>
      <c r="I818" s="26" t="s">
        <v>42</v>
      </c>
      <c r="J818" s="25" t="str">
        <f t="shared" si="28"/>
        <v>No</v>
      </c>
      <c r="K818" s="25" t="str">
        <f t="shared" si="29"/>
        <v/>
      </c>
      <c r="L818" s="25" t="str">
        <f t="shared" si="30"/>
        <v/>
      </c>
      <c r="M818" s="25"/>
      <c r="O818" s="25"/>
    </row>
    <row r="819" ht="15.75" customHeight="1">
      <c r="A819" s="25" t="str">
        <f>IFERROR(__xludf.DUMMYFUNCTION("IF(B819="""","""",RIGHT(REGEXREPLACE(B819&amp;"""",""[^0-9]"",""""),9))"),"775894433")</f>
        <v>775894433</v>
      </c>
      <c r="B819" s="52">
        <v>7.75894433E8</v>
      </c>
      <c r="C819" s="28" t="s">
        <v>1033</v>
      </c>
      <c r="D819" s="26" t="s">
        <v>45</v>
      </c>
      <c r="E819" s="31">
        <v>46227.0</v>
      </c>
      <c r="F819" s="26" t="s">
        <v>41</v>
      </c>
      <c r="H819" s="26" t="s">
        <v>677</v>
      </c>
      <c r="I819" s="26" t="s">
        <v>42</v>
      </c>
      <c r="J819" s="25" t="str">
        <f t="shared" si="28"/>
        <v>No</v>
      </c>
      <c r="K819" s="25" t="str">
        <f t="shared" si="29"/>
        <v/>
      </c>
      <c r="L819" s="25" t="str">
        <f t="shared" si="30"/>
        <v/>
      </c>
      <c r="M819" s="25"/>
      <c r="O819" s="25"/>
    </row>
    <row r="820" ht="15.75" customHeight="1">
      <c r="A820" s="25" t="str">
        <f>IFERROR(__xludf.DUMMYFUNCTION("IF(B820="""","""",RIGHT(REGEXREPLACE(B820&amp;"""",""[^0-9]"",""""),9))"),"779540275")</f>
        <v>779540275</v>
      </c>
      <c r="B820" s="26">
        <v>7.79540275E8</v>
      </c>
      <c r="C820" s="28" t="s">
        <v>1034</v>
      </c>
      <c r="D820" s="26" t="s">
        <v>37</v>
      </c>
      <c r="E820" s="31">
        <v>46227.0</v>
      </c>
      <c r="F820" s="26" t="s">
        <v>46</v>
      </c>
      <c r="G820" s="26">
        <v>11.0</v>
      </c>
      <c r="I820" s="26" t="s">
        <v>42</v>
      </c>
      <c r="J820" s="25" t="str">
        <f t="shared" si="28"/>
        <v>No</v>
      </c>
      <c r="K820" s="25" t="str">
        <f t="shared" si="29"/>
        <v/>
      </c>
      <c r="L820" s="25" t="str">
        <f t="shared" si="30"/>
        <v/>
      </c>
      <c r="M820" s="25"/>
      <c r="O820" s="25"/>
    </row>
    <row r="821" ht="15.75" customHeight="1">
      <c r="A821" s="25" t="str">
        <f>IFERROR(__xludf.DUMMYFUNCTION("IF(B821="""","""",RIGHT(REGEXREPLACE(B821&amp;"""",""[^0-9]"",""""),9))"),"772581629")</f>
        <v>772581629</v>
      </c>
      <c r="B821" s="52">
        <v>7.72581629E8</v>
      </c>
      <c r="C821" s="28" t="s">
        <v>1035</v>
      </c>
      <c r="D821" s="26" t="s">
        <v>82</v>
      </c>
      <c r="E821" s="31">
        <v>46227.0</v>
      </c>
      <c r="F821" s="26" t="s">
        <v>46</v>
      </c>
      <c r="G821" s="26">
        <v>11.0</v>
      </c>
      <c r="I821" s="26" t="s">
        <v>42</v>
      </c>
      <c r="J821" s="25" t="str">
        <f t="shared" si="28"/>
        <v>No</v>
      </c>
      <c r="K821" s="25" t="str">
        <f t="shared" si="29"/>
        <v/>
      </c>
      <c r="L821" s="25" t="str">
        <f t="shared" si="30"/>
        <v/>
      </c>
      <c r="M821" s="25"/>
      <c r="O821" s="25"/>
    </row>
    <row r="822" ht="15.75" customHeight="1">
      <c r="A822" s="25" t="str">
        <f>IFERROR(__xludf.DUMMYFUNCTION("IF(B822="""","""",RIGHT(REGEXREPLACE(B822&amp;"""",""[^0-9]"",""""),9))"),"771580302")</f>
        <v>771580302</v>
      </c>
      <c r="B822" s="52">
        <v>7.71580302E8</v>
      </c>
      <c r="C822" s="28" t="s">
        <v>1036</v>
      </c>
      <c r="D822" s="26" t="s">
        <v>64</v>
      </c>
      <c r="E822" s="31">
        <v>46227.0</v>
      </c>
      <c r="F822" s="26" t="s">
        <v>41</v>
      </c>
      <c r="G822" s="26">
        <v>8.0</v>
      </c>
      <c r="I822" s="26" t="s">
        <v>42</v>
      </c>
      <c r="J822" s="25" t="str">
        <f t="shared" si="28"/>
        <v>No</v>
      </c>
      <c r="K822" s="25" t="str">
        <f t="shared" si="29"/>
        <v/>
      </c>
      <c r="L822" s="25" t="str">
        <f t="shared" si="30"/>
        <v/>
      </c>
      <c r="M822" s="25"/>
      <c r="O822" s="25"/>
    </row>
    <row r="823" ht="15.75" customHeight="1">
      <c r="A823" s="25" t="str">
        <f>IFERROR(__xludf.DUMMYFUNCTION("IF(B823="""","""",RIGHT(REGEXREPLACE(B823&amp;"""",""[^0-9]"",""""),9))"),"778217337")</f>
        <v>778217337</v>
      </c>
      <c r="B823" s="52">
        <v>7.78217337E8</v>
      </c>
      <c r="C823" s="28" t="s">
        <v>1037</v>
      </c>
      <c r="D823" s="26" t="s">
        <v>45</v>
      </c>
      <c r="E823" s="31">
        <v>46227.0</v>
      </c>
      <c r="F823" s="26" t="s">
        <v>41</v>
      </c>
      <c r="H823" s="26" t="s">
        <v>677</v>
      </c>
      <c r="I823" s="26" t="s">
        <v>42</v>
      </c>
      <c r="J823" s="25" t="str">
        <f t="shared" si="28"/>
        <v>No</v>
      </c>
      <c r="K823" s="25" t="str">
        <f t="shared" si="29"/>
        <v/>
      </c>
      <c r="L823" s="25" t="str">
        <f t="shared" si="30"/>
        <v/>
      </c>
      <c r="M823" s="25"/>
      <c r="O823" s="25"/>
    </row>
    <row r="824" ht="15.75" customHeight="1">
      <c r="A824" s="25" t="str">
        <f>IFERROR(__xludf.DUMMYFUNCTION("IF(B824="""","""",RIGHT(REGEXREPLACE(B824&amp;"""",""[^0-9]"",""""),9))"),"777776386")</f>
        <v>777776386</v>
      </c>
      <c r="B824" s="26">
        <v>7.77776386E8</v>
      </c>
      <c r="C824" s="28" t="s">
        <v>1038</v>
      </c>
      <c r="D824" s="26" t="s">
        <v>37</v>
      </c>
      <c r="E824" s="31">
        <v>46227.0</v>
      </c>
      <c r="F824" s="26" t="s">
        <v>704</v>
      </c>
      <c r="I824" s="26" t="s">
        <v>42</v>
      </c>
      <c r="J824" s="25" t="str">
        <f t="shared" si="28"/>
        <v>No</v>
      </c>
      <c r="K824" s="25" t="str">
        <f t="shared" si="29"/>
        <v/>
      </c>
      <c r="L824" s="25" t="str">
        <f t="shared" si="30"/>
        <v/>
      </c>
      <c r="M824" s="25"/>
      <c r="O824" s="25"/>
    </row>
    <row r="825" ht="15.75" customHeight="1">
      <c r="A825" s="25" t="str">
        <f>IFERROR(__xludf.DUMMYFUNCTION("IF(B825="""","""",RIGHT(REGEXREPLACE(B825&amp;"""",""[^0-9]"",""""),9))"),"717117728")</f>
        <v>717117728</v>
      </c>
      <c r="B825" s="52">
        <v>7.17117728E8</v>
      </c>
      <c r="C825" s="28" t="s">
        <v>1039</v>
      </c>
      <c r="D825" s="26" t="s">
        <v>49</v>
      </c>
      <c r="E825" s="31">
        <v>46227.0</v>
      </c>
      <c r="F825" s="26" t="s">
        <v>46</v>
      </c>
      <c r="G825" s="26" t="s">
        <v>151</v>
      </c>
      <c r="I825" s="26" t="s">
        <v>42</v>
      </c>
      <c r="J825" s="25" t="str">
        <f t="shared" si="28"/>
        <v>No</v>
      </c>
      <c r="K825" s="25" t="str">
        <f t="shared" si="29"/>
        <v/>
      </c>
      <c r="L825" s="25" t="str">
        <f t="shared" si="30"/>
        <v/>
      </c>
      <c r="M825" s="25"/>
      <c r="O825" s="25"/>
    </row>
    <row r="826" ht="15.75" customHeight="1">
      <c r="A826" s="25" t="str">
        <f>IFERROR(__xludf.DUMMYFUNCTION("IF(B826="""","""",RIGHT(REGEXREPLACE(B826&amp;"""",""[^0-9]"",""""),9))"),"703209403")</f>
        <v>703209403</v>
      </c>
      <c r="B826" s="26">
        <v>7.03209403E8</v>
      </c>
      <c r="C826" s="28" t="s">
        <v>1040</v>
      </c>
      <c r="D826" s="26" t="s">
        <v>37</v>
      </c>
      <c r="E826" s="31">
        <v>46227.0</v>
      </c>
      <c r="F826" s="26" t="s">
        <v>704</v>
      </c>
      <c r="H826" s="26" t="s">
        <v>1041</v>
      </c>
      <c r="I826" s="26" t="s">
        <v>42</v>
      </c>
      <c r="J826" s="25" t="str">
        <f t="shared" si="28"/>
        <v>No</v>
      </c>
      <c r="K826" s="25" t="str">
        <f t="shared" si="29"/>
        <v/>
      </c>
      <c r="L826" s="25" t="str">
        <f t="shared" si="30"/>
        <v/>
      </c>
      <c r="M826" s="25"/>
      <c r="O826" s="25"/>
    </row>
    <row r="827" ht="15.75" customHeight="1">
      <c r="A827" s="25" t="str">
        <f>IFERROR(__xludf.DUMMYFUNCTION("IF(B827="""","""",RIGHT(REGEXREPLACE(B827&amp;"""",""[^0-9]"",""""),9))"),"712487345")</f>
        <v>712487345</v>
      </c>
      <c r="B827" s="52">
        <v>7.12487345E8</v>
      </c>
      <c r="C827" s="28" t="s">
        <v>1040</v>
      </c>
      <c r="D827" s="26" t="s">
        <v>56</v>
      </c>
      <c r="E827" s="31">
        <v>46227.0</v>
      </c>
      <c r="F827" s="26" t="s">
        <v>84</v>
      </c>
      <c r="H827" s="26" t="s">
        <v>140</v>
      </c>
      <c r="I827" s="26" t="s">
        <v>42</v>
      </c>
      <c r="J827" s="25" t="str">
        <f t="shared" si="28"/>
        <v>No</v>
      </c>
      <c r="K827" s="25" t="str">
        <f t="shared" si="29"/>
        <v/>
      </c>
      <c r="L827" s="25" t="str">
        <f t="shared" si="30"/>
        <v/>
      </c>
      <c r="M827" s="25"/>
      <c r="O827" s="25"/>
    </row>
    <row r="828" ht="15.75" customHeight="1">
      <c r="A828" s="25" t="str">
        <f>IFERROR(__xludf.DUMMYFUNCTION("IF(B828="""","""",RIGHT(REGEXREPLACE(B828&amp;"""",""[^0-9]"",""""),9))"),"786949242")</f>
        <v>786949242</v>
      </c>
      <c r="B828" s="26">
        <v>7.86949242E8</v>
      </c>
      <c r="C828" s="28" t="s">
        <v>1042</v>
      </c>
      <c r="D828" s="26" t="s">
        <v>37</v>
      </c>
      <c r="E828" s="31">
        <v>46227.0</v>
      </c>
      <c r="F828" s="26" t="s">
        <v>46</v>
      </c>
      <c r="G828" s="26">
        <v>10.0</v>
      </c>
      <c r="H828" s="26" t="s">
        <v>1041</v>
      </c>
      <c r="I828" s="26" t="s">
        <v>42</v>
      </c>
      <c r="J828" s="25" t="str">
        <f t="shared" si="28"/>
        <v>No</v>
      </c>
      <c r="K828" s="25" t="str">
        <f t="shared" si="29"/>
        <v/>
      </c>
      <c r="L828" s="25" t="str">
        <f t="shared" si="30"/>
        <v/>
      </c>
      <c r="M828" s="25"/>
      <c r="O828" s="25"/>
    </row>
    <row r="829" ht="15.75" customHeight="1">
      <c r="A829" s="25" t="str">
        <f>IFERROR(__xludf.DUMMYFUNCTION("IF(B829="""","""",RIGHT(REGEXREPLACE(B829&amp;"""",""[^0-9]"",""""),9))"),"705605666")</f>
        <v>705605666</v>
      </c>
      <c r="B829" s="52">
        <v>7.05605666E8</v>
      </c>
      <c r="C829" s="28" t="s">
        <v>639</v>
      </c>
      <c r="D829" s="26" t="s">
        <v>64</v>
      </c>
      <c r="E829" s="31">
        <v>46227.0</v>
      </c>
      <c r="F829" s="26" t="s">
        <v>84</v>
      </c>
      <c r="H829" s="26" t="s">
        <v>140</v>
      </c>
      <c r="I829" s="26" t="s">
        <v>42</v>
      </c>
      <c r="J829" s="25" t="str">
        <f t="shared" si="28"/>
        <v>Yes - see Previous F-Code</v>
      </c>
      <c r="K829" s="25" t="str">
        <f t="shared" si="29"/>
        <v>DUPLICATE - CHECK</v>
      </c>
      <c r="L829" s="25" t="str">
        <f t="shared" si="30"/>
        <v>F70441</v>
      </c>
      <c r="M829" s="25"/>
      <c r="O829" s="25"/>
    </row>
    <row r="830" ht="15.75" customHeight="1">
      <c r="A830" s="25" t="str">
        <f>IFERROR(__xludf.DUMMYFUNCTION("IF(B830="""","""",RIGHT(REGEXREPLACE(B830&amp;"""",""[^0-9]"",""""),9))"),"704254718")</f>
        <v>704254718</v>
      </c>
      <c r="B830" s="52">
        <v>7.04254718E8</v>
      </c>
      <c r="C830" s="28" t="s">
        <v>1043</v>
      </c>
      <c r="D830" s="26" t="s">
        <v>56</v>
      </c>
      <c r="E830" s="31">
        <v>46227.0</v>
      </c>
      <c r="F830" s="26" t="s">
        <v>46</v>
      </c>
      <c r="G830" s="26">
        <v>11.0</v>
      </c>
      <c r="I830" s="26" t="s">
        <v>42</v>
      </c>
      <c r="J830" s="25" t="str">
        <f t="shared" si="28"/>
        <v>No</v>
      </c>
      <c r="K830" s="25" t="str">
        <f t="shared" si="29"/>
        <v/>
      </c>
      <c r="L830" s="25" t="str">
        <f t="shared" si="30"/>
        <v/>
      </c>
      <c r="M830" s="25"/>
      <c r="O830" s="25"/>
    </row>
    <row r="831" ht="15.75" customHeight="1">
      <c r="A831" s="25" t="str">
        <f>IFERROR(__xludf.DUMMYFUNCTION("IF(B831="""","""",RIGHT(REGEXREPLACE(B831&amp;"""",""[^0-9]"",""""),9))"),"769406204")</f>
        <v>769406204</v>
      </c>
      <c r="B831" s="52">
        <v>7.69406204E8</v>
      </c>
      <c r="C831" s="28" t="s">
        <v>1044</v>
      </c>
      <c r="D831" s="26" t="s">
        <v>82</v>
      </c>
      <c r="E831" s="31">
        <v>46227.0</v>
      </c>
      <c r="F831" s="26" t="s">
        <v>46</v>
      </c>
      <c r="G831" s="26">
        <v>11.0</v>
      </c>
      <c r="I831" s="26" t="s">
        <v>42</v>
      </c>
      <c r="J831" s="25" t="str">
        <f t="shared" si="28"/>
        <v>No</v>
      </c>
      <c r="K831" s="25" t="str">
        <f t="shared" si="29"/>
        <v/>
      </c>
      <c r="L831" s="25" t="str">
        <f t="shared" si="30"/>
        <v/>
      </c>
      <c r="M831" s="25"/>
      <c r="O831" s="25"/>
    </row>
    <row r="832" ht="15.75" customHeight="1">
      <c r="A832" s="25" t="str">
        <f>IFERROR(__xludf.DUMMYFUNCTION("IF(B832="""","""",RIGHT(REGEXREPLACE(B832&amp;"""",""[^0-9]"",""""),9))"),"775661545")</f>
        <v>775661545</v>
      </c>
      <c r="B832" s="26">
        <v>7.75661545E8</v>
      </c>
      <c r="C832" s="28" t="s">
        <v>1045</v>
      </c>
      <c r="D832" s="26" t="s">
        <v>37</v>
      </c>
      <c r="E832" s="31">
        <v>46227.0</v>
      </c>
      <c r="F832" s="26" t="s">
        <v>46</v>
      </c>
      <c r="G832" s="26">
        <v>11.0</v>
      </c>
      <c r="I832" s="26" t="s">
        <v>42</v>
      </c>
      <c r="J832" s="25" t="str">
        <f t="shared" si="28"/>
        <v>No</v>
      </c>
      <c r="K832" s="25" t="str">
        <f t="shared" si="29"/>
        <v/>
      </c>
      <c r="L832" s="25" t="str">
        <f t="shared" si="30"/>
        <v/>
      </c>
      <c r="M832" s="25"/>
      <c r="O832" s="25"/>
    </row>
    <row r="833" ht="15.75" customHeight="1">
      <c r="A833" s="25" t="str">
        <f>IFERROR(__xludf.DUMMYFUNCTION("IF(B833="""","""",RIGHT(REGEXREPLACE(B833&amp;"""",""[^0-9]"",""""),9))"),"761736790")</f>
        <v>761736790</v>
      </c>
      <c r="B833" s="52">
        <v>7.6173679E8</v>
      </c>
      <c r="C833" s="28" t="s">
        <v>1046</v>
      </c>
      <c r="D833" s="26" t="s">
        <v>45</v>
      </c>
      <c r="E833" s="31">
        <v>46227.0</v>
      </c>
      <c r="F833" s="26" t="s">
        <v>46</v>
      </c>
      <c r="G833" s="26">
        <v>11.0</v>
      </c>
      <c r="I833" s="26" t="s">
        <v>42</v>
      </c>
      <c r="J833" s="25" t="str">
        <f t="shared" si="28"/>
        <v>No</v>
      </c>
      <c r="K833" s="25" t="str">
        <f t="shared" si="29"/>
        <v/>
      </c>
      <c r="L833" s="25" t="str">
        <f t="shared" si="30"/>
        <v/>
      </c>
      <c r="M833" s="25"/>
      <c r="O833" s="25"/>
    </row>
    <row r="834" ht="15.75" customHeight="1">
      <c r="A834" s="25" t="str">
        <f>IFERROR(__xludf.DUMMYFUNCTION("IF(B834="""","""",RIGHT(REGEXREPLACE(B834&amp;"""",""[^0-9]"",""""),9))"),"702771048")</f>
        <v>702771048</v>
      </c>
      <c r="B834" s="52">
        <v>7.02771048E8</v>
      </c>
      <c r="C834" s="28" t="s">
        <v>1047</v>
      </c>
      <c r="D834" s="26" t="s">
        <v>49</v>
      </c>
      <c r="E834" s="31">
        <v>46227.0</v>
      </c>
      <c r="F834" s="26" t="s">
        <v>41</v>
      </c>
      <c r="G834" s="26">
        <v>10.0</v>
      </c>
      <c r="I834" s="26" t="s">
        <v>42</v>
      </c>
      <c r="J834" s="25" t="str">
        <f t="shared" si="28"/>
        <v>No</v>
      </c>
      <c r="K834" s="25" t="str">
        <f t="shared" si="29"/>
        <v/>
      </c>
      <c r="L834" s="25" t="str">
        <f t="shared" si="30"/>
        <v/>
      </c>
      <c r="M834" s="25"/>
      <c r="O834" s="25"/>
    </row>
    <row r="835" ht="15.75" customHeight="1">
      <c r="A835" s="25" t="str">
        <f>IFERROR(__xludf.DUMMYFUNCTION("IF(B835="""","""",RIGHT(REGEXREPLACE(B835&amp;"""",""[^0-9]"",""""),9))"),"702679587")</f>
        <v>702679587</v>
      </c>
      <c r="B835" s="52">
        <v>7.02679587E8</v>
      </c>
      <c r="C835" s="28" t="s">
        <v>1048</v>
      </c>
      <c r="D835" s="26" t="s">
        <v>64</v>
      </c>
      <c r="E835" s="31">
        <v>46227.0</v>
      </c>
      <c r="F835" s="26" t="s">
        <v>205</v>
      </c>
      <c r="I835" s="26" t="s">
        <v>42</v>
      </c>
      <c r="J835" s="25" t="str">
        <f t="shared" si="28"/>
        <v>No</v>
      </c>
      <c r="K835" s="25" t="str">
        <f t="shared" si="29"/>
        <v/>
      </c>
      <c r="L835" s="25" t="str">
        <f t="shared" si="30"/>
        <v/>
      </c>
      <c r="M835" s="25"/>
      <c r="O835" s="25"/>
    </row>
    <row r="836" ht="15.75" customHeight="1">
      <c r="A836" s="25" t="str">
        <f>IFERROR(__xludf.DUMMYFUNCTION("IF(B836="""","""",RIGHT(REGEXREPLACE(B836&amp;"""",""[^0-9]"",""""),9))"),"772757255")</f>
        <v>772757255</v>
      </c>
      <c r="B836" s="52">
        <v>7.72757255E8</v>
      </c>
      <c r="C836" s="28" t="s">
        <v>1049</v>
      </c>
      <c r="D836" s="26" t="s">
        <v>56</v>
      </c>
      <c r="E836" s="31">
        <v>46227.0</v>
      </c>
      <c r="F836" s="26" t="s">
        <v>631</v>
      </c>
      <c r="G836" s="26">
        <v>11.0</v>
      </c>
      <c r="H836" s="26" t="s">
        <v>796</v>
      </c>
      <c r="I836" s="26" t="s">
        <v>42</v>
      </c>
      <c r="J836" s="25" t="str">
        <f t="shared" si="28"/>
        <v>No</v>
      </c>
      <c r="K836" s="25" t="str">
        <f t="shared" si="29"/>
        <v/>
      </c>
      <c r="L836" s="25" t="str">
        <f t="shared" si="30"/>
        <v/>
      </c>
      <c r="M836" s="25"/>
      <c r="O836" s="25"/>
    </row>
    <row r="837" ht="15.75" customHeight="1">
      <c r="A837" s="25" t="str">
        <f>IFERROR(__xludf.DUMMYFUNCTION("IF(B837="""","""",RIGHT(REGEXREPLACE(B837&amp;"""",""[^0-9]"",""""),9))"),"710434499")</f>
        <v>710434499</v>
      </c>
      <c r="B837" s="52">
        <v>7.10434499E8</v>
      </c>
      <c r="C837" s="28" t="s">
        <v>1050</v>
      </c>
      <c r="D837" s="26" t="s">
        <v>82</v>
      </c>
      <c r="E837" s="31">
        <v>46227.0</v>
      </c>
      <c r="F837" s="26" t="s">
        <v>46</v>
      </c>
      <c r="G837" s="26">
        <v>11.0</v>
      </c>
      <c r="I837" s="26" t="s">
        <v>42</v>
      </c>
      <c r="J837" s="25" t="str">
        <f t="shared" si="28"/>
        <v>No</v>
      </c>
      <c r="K837" s="25" t="str">
        <f t="shared" si="29"/>
        <v/>
      </c>
      <c r="L837" s="25" t="str">
        <f t="shared" si="30"/>
        <v/>
      </c>
      <c r="M837" s="25"/>
      <c r="O837" s="25"/>
    </row>
    <row r="838" ht="15.75" customHeight="1">
      <c r="A838" s="25" t="str">
        <f>IFERROR(__xludf.DUMMYFUNCTION("IF(B838="""","""",RIGHT(REGEXREPLACE(B838&amp;"""",""[^0-9]"",""""),9))"),"777316638")</f>
        <v>777316638</v>
      </c>
      <c r="B838" s="52">
        <v>7.77316638E8</v>
      </c>
      <c r="C838" s="28" t="s">
        <v>1051</v>
      </c>
      <c r="D838" s="26" t="s">
        <v>49</v>
      </c>
      <c r="E838" s="31">
        <v>46227.0</v>
      </c>
      <c r="F838" s="26" t="s">
        <v>41</v>
      </c>
      <c r="G838" s="26">
        <v>11.0</v>
      </c>
      <c r="I838" s="26" t="s">
        <v>42</v>
      </c>
      <c r="J838" s="25" t="str">
        <f t="shared" si="28"/>
        <v>No</v>
      </c>
      <c r="K838" s="25" t="str">
        <f t="shared" si="29"/>
        <v/>
      </c>
      <c r="L838" s="25" t="str">
        <f t="shared" si="30"/>
        <v/>
      </c>
      <c r="M838" s="25"/>
      <c r="O838" s="25"/>
    </row>
    <row r="839" ht="15.75" customHeight="1">
      <c r="A839" s="25" t="str">
        <f>IFERROR(__xludf.DUMMYFUNCTION("IF(B839="""","""",RIGHT(REGEXREPLACE(B839&amp;"""",""[^0-9]"",""""),9))"),"713092019")</f>
        <v>713092019</v>
      </c>
      <c r="B839" s="26">
        <v>7.13092019E8</v>
      </c>
      <c r="C839" s="28" t="s">
        <v>1052</v>
      </c>
      <c r="D839" s="26" t="s">
        <v>37</v>
      </c>
      <c r="E839" s="31">
        <v>46227.0</v>
      </c>
      <c r="F839" s="26" t="s">
        <v>46</v>
      </c>
      <c r="G839" s="26">
        <v>9.0</v>
      </c>
      <c r="H839" s="26" t="s">
        <v>1053</v>
      </c>
      <c r="I839" s="26" t="s">
        <v>42</v>
      </c>
      <c r="J839" s="25" t="str">
        <f t="shared" si="28"/>
        <v>No</v>
      </c>
      <c r="K839" s="25" t="str">
        <f t="shared" si="29"/>
        <v/>
      </c>
      <c r="L839" s="25" t="str">
        <f t="shared" si="30"/>
        <v/>
      </c>
      <c r="M839" s="25"/>
      <c r="O839" s="25"/>
    </row>
    <row r="840" ht="15.75" customHeight="1">
      <c r="A840" s="25" t="str">
        <f>IFERROR(__xludf.DUMMYFUNCTION("IF(B840="""","""",RIGHT(REGEXREPLACE(B840&amp;"""",""[^0-9]"",""""),9))"),"773605233")</f>
        <v>773605233</v>
      </c>
      <c r="B840" s="52">
        <v>7.73605233E8</v>
      </c>
      <c r="C840" s="28" t="s">
        <v>1054</v>
      </c>
      <c r="D840" s="26" t="s">
        <v>64</v>
      </c>
      <c r="E840" s="31">
        <v>46227.0</v>
      </c>
      <c r="F840" s="26" t="s">
        <v>125</v>
      </c>
      <c r="G840" s="26" t="s">
        <v>151</v>
      </c>
      <c r="I840" s="26" t="s">
        <v>42</v>
      </c>
      <c r="J840" s="25" t="str">
        <f t="shared" si="28"/>
        <v>No</v>
      </c>
      <c r="K840" s="25" t="str">
        <f t="shared" si="29"/>
        <v/>
      </c>
      <c r="L840" s="25" t="str">
        <f t="shared" si="30"/>
        <v/>
      </c>
      <c r="M840" s="25"/>
      <c r="O840" s="25"/>
    </row>
    <row r="841" ht="15.75" customHeight="1">
      <c r="A841" s="25" t="str">
        <f>IFERROR(__xludf.DUMMYFUNCTION("IF(B841="""","""",RIGHT(REGEXREPLACE(B841&amp;"""",""[^0-9]"",""""),9))"),"701593997")</f>
        <v>701593997</v>
      </c>
      <c r="B841" s="52">
        <v>7.01593997E8</v>
      </c>
      <c r="C841" s="28" t="s">
        <v>1055</v>
      </c>
      <c r="D841" s="26" t="s">
        <v>49</v>
      </c>
      <c r="E841" s="31">
        <v>46227.0</v>
      </c>
      <c r="F841" s="26" t="s">
        <v>46</v>
      </c>
      <c r="G841" s="26">
        <v>11.0</v>
      </c>
      <c r="I841" s="26" t="s">
        <v>42</v>
      </c>
      <c r="J841" s="25" t="str">
        <f t="shared" si="28"/>
        <v>No</v>
      </c>
      <c r="K841" s="25" t="str">
        <f t="shared" si="29"/>
        <v/>
      </c>
      <c r="L841" s="25" t="str">
        <f t="shared" si="30"/>
        <v/>
      </c>
      <c r="M841" s="25"/>
      <c r="O841" s="25"/>
    </row>
    <row r="842" ht="15.75" customHeight="1">
      <c r="A842" s="25" t="str">
        <f>IFERROR(__xludf.DUMMYFUNCTION("IF(B842="""","""",RIGHT(REGEXREPLACE(B842&amp;"""",""[^0-9]"",""""),9))"),"766186527")</f>
        <v>766186527</v>
      </c>
      <c r="B842" s="26">
        <v>7.66186527E8</v>
      </c>
      <c r="C842" s="28" t="s">
        <v>1056</v>
      </c>
      <c r="D842" s="26" t="s">
        <v>37</v>
      </c>
      <c r="E842" s="31">
        <v>46227.0</v>
      </c>
      <c r="F842" s="26" t="s">
        <v>41</v>
      </c>
      <c r="I842" s="26" t="s">
        <v>42</v>
      </c>
      <c r="J842" s="25" t="str">
        <f t="shared" si="28"/>
        <v>No</v>
      </c>
      <c r="K842" s="25" t="str">
        <f t="shared" si="29"/>
        <v/>
      </c>
      <c r="L842" s="25" t="str">
        <f t="shared" si="30"/>
        <v/>
      </c>
      <c r="M842" s="25"/>
      <c r="O842" s="25"/>
    </row>
    <row r="843" ht="15.75" customHeight="1">
      <c r="A843" s="25" t="str">
        <f>IFERROR(__xludf.DUMMYFUNCTION("IF(B843="""","""",RIGHT(REGEXREPLACE(B843&amp;"""",""[^0-9]"",""""),9))"),"765230025")</f>
        <v>765230025</v>
      </c>
      <c r="B843" s="52">
        <v>7.65230025E8</v>
      </c>
      <c r="C843" s="28" t="s">
        <v>1057</v>
      </c>
      <c r="D843" s="26" t="s">
        <v>45</v>
      </c>
      <c r="E843" s="31">
        <v>46227.0</v>
      </c>
      <c r="F843" s="26" t="s">
        <v>41</v>
      </c>
      <c r="H843" s="26" t="s">
        <v>677</v>
      </c>
      <c r="I843" s="26" t="s">
        <v>42</v>
      </c>
      <c r="J843" s="25" t="str">
        <f t="shared" si="28"/>
        <v>No</v>
      </c>
      <c r="K843" s="25" t="str">
        <f t="shared" si="29"/>
        <v/>
      </c>
      <c r="L843" s="25" t="str">
        <f t="shared" si="30"/>
        <v/>
      </c>
      <c r="M843" s="25"/>
      <c r="O843" s="25"/>
    </row>
    <row r="844" ht="15.75" customHeight="1">
      <c r="A844" s="25" t="str">
        <f>IFERROR(__xludf.DUMMYFUNCTION("IF(B844="""","""",RIGHT(REGEXREPLACE(B844&amp;"""",""[^0-9]"",""""),9))"),"741988182")</f>
        <v>741988182</v>
      </c>
      <c r="B844" s="26">
        <v>7.41988182E8</v>
      </c>
      <c r="C844" s="28" t="s">
        <v>1058</v>
      </c>
      <c r="D844" s="26" t="s">
        <v>56</v>
      </c>
      <c r="E844" s="31">
        <v>46227.0</v>
      </c>
      <c r="F844" s="26" t="s">
        <v>84</v>
      </c>
      <c r="G844" s="26">
        <v>11.0</v>
      </c>
      <c r="H844" s="26" t="s">
        <v>796</v>
      </c>
      <c r="I844" s="26" t="s">
        <v>42</v>
      </c>
      <c r="J844" s="25" t="str">
        <f t="shared" si="28"/>
        <v>No</v>
      </c>
      <c r="K844" s="25" t="str">
        <f t="shared" si="29"/>
        <v/>
      </c>
      <c r="L844" s="25" t="str">
        <f t="shared" si="30"/>
        <v/>
      </c>
      <c r="M844" s="25"/>
      <c r="O844" s="25"/>
    </row>
    <row r="845" ht="15.75" customHeight="1">
      <c r="A845" s="25" t="str">
        <f>IFERROR(__xludf.DUMMYFUNCTION("IF(B845="""","""",RIGHT(REGEXREPLACE(B845&amp;"""",""[^0-9]"",""""),9))"),"724736823")</f>
        <v>724736823</v>
      </c>
      <c r="B845" s="52">
        <v>7.24736823E8</v>
      </c>
      <c r="C845" s="28" t="s">
        <v>1059</v>
      </c>
      <c r="D845" s="26" t="s">
        <v>82</v>
      </c>
      <c r="E845" s="31">
        <v>46227.0</v>
      </c>
      <c r="F845" s="26" t="s">
        <v>41</v>
      </c>
      <c r="I845" s="26" t="s">
        <v>42</v>
      </c>
      <c r="J845" s="25" t="str">
        <f t="shared" si="28"/>
        <v>No</v>
      </c>
      <c r="K845" s="25" t="str">
        <f t="shared" si="29"/>
        <v/>
      </c>
      <c r="L845" s="25" t="str">
        <f t="shared" si="30"/>
        <v/>
      </c>
      <c r="M845" s="25"/>
      <c r="O845" s="25"/>
    </row>
    <row r="846" ht="15.75" customHeight="1">
      <c r="A846" s="25" t="str">
        <f>IFERROR(__xludf.DUMMYFUNCTION("IF(B846="""","""",RIGHT(REGEXREPLACE(B846&amp;"""",""[^0-9]"",""""),9))"),"771715937")</f>
        <v>771715937</v>
      </c>
      <c r="B846" s="26">
        <v>7.71715937E8</v>
      </c>
      <c r="C846" s="28" t="s">
        <v>1060</v>
      </c>
      <c r="D846" s="26" t="s">
        <v>37</v>
      </c>
      <c r="E846" s="31">
        <v>46227.0</v>
      </c>
      <c r="F846" s="26" t="s">
        <v>84</v>
      </c>
      <c r="G846" s="26">
        <v>11.0</v>
      </c>
      <c r="H846" s="26" t="s">
        <v>1061</v>
      </c>
      <c r="I846" s="26" t="s">
        <v>42</v>
      </c>
      <c r="J846" s="25" t="str">
        <f t="shared" si="28"/>
        <v>No</v>
      </c>
      <c r="K846" s="25" t="str">
        <f t="shared" si="29"/>
        <v/>
      </c>
      <c r="L846" s="25" t="str">
        <f t="shared" si="30"/>
        <v/>
      </c>
      <c r="M846" s="25"/>
      <c r="O846" s="25"/>
    </row>
    <row r="847" ht="15.75" customHeight="1">
      <c r="A847" s="25" t="str">
        <f>IFERROR(__xludf.DUMMYFUNCTION("IF(B847="""","""",RIGHT(REGEXREPLACE(B847&amp;"""",""[^0-9]"",""""),9))"),"703871787")</f>
        <v>703871787</v>
      </c>
      <c r="B847" s="52">
        <v>7.03871787E8</v>
      </c>
      <c r="C847" s="28" t="s">
        <v>1062</v>
      </c>
      <c r="D847" s="26" t="s">
        <v>64</v>
      </c>
      <c r="E847" s="31">
        <v>46227.0</v>
      </c>
      <c r="F847" s="26" t="s">
        <v>41</v>
      </c>
      <c r="G847" s="26">
        <v>11.0</v>
      </c>
      <c r="I847" s="26" t="s">
        <v>42</v>
      </c>
      <c r="J847" s="25" t="str">
        <f t="shared" si="28"/>
        <v>No</v>
      </c>
      <c r="K847" s="25" t="str">
        <f t="shared" si="29"/>
        <v/>
      </c>
      <c r="L847" s="25" t="str">
        <f t="shared" si="30"/>
        <v/>
      </c>
      <c r="M847" s="25"/>
      <c r="O847" s="25"/>
    </row>
    <row r="848" ht="15.75" customHeight="1">
      <c r="A848" s="25" t="str">
        <f>IFERROR(__xludf.DUMMYFUNCTION("IF(B848="""","""",RIGHT(REGEXREPLACE(B848&amp;"""",""[^0-9]"",""""),9))"),"767041558")</f>
        <v>767041558</v>
      </c>
      <c r="B848" s="52">
        <v>7.67041558E8</v>
      </c>
      <c r="C848" s="28" t="s">
        <v>1063</v>
      </c>
      <c r="D848" s="26" t="s">
        <v>45</v>
      </c>
      <c r="E848" s="31">
        <v>46227.0</v>
      </c>
      <c r="F848" s="26" t="s">
        <v>41</v>
      </c>
      <c r="H848" s="26" t="s">
        <v>677</v>
      </c>
      <c r="I848" s="26" t="s">
        <v>42</v>
      </c>
      <c r="J848" s="25" t="str">
        <f t="shared" si="28"/>
        <v>No</v>
      </c>
      <c r="K848" s="25" t="str">
        <f t="shared" si="29"/>
        <v/>
      </c>
      <c r="L848" s="25" t="str">
        <f t="shared" si="30"/>
        <v/>
      </c>
      <c r="M848" s="25"/>
      <c r="O848" s="25"/>
    </row>
    <row r="849" ht="15.75" customHeight="1">
      <c r="A849" s="25" t="str">
        <f>IFERROR(__xludf.DUMMYFUNCTION("IF(B849="""","""",RIGHT(REGEXREPLACE(B849&amp;"""",""[^0-9]"",""""),9))"),"776535654")</f>
        <v>776535654</v>
      </c>
      <c r="B849" s="52">
        <v>7.76535654E8</v>
      </c>
      <c r="C849" s="28" t="s">
        <v>1064</v>
      </c>
      <c r="D849" s="26" t="s">
        <v>56</v>
      </c>
      <c r="E849" s="31">
        <v>46227.0</v>
      </c>
      <c r="F849" s="26" t="s">
        <v>41</v>
      </c>
      <c r="H849" s="26" t="s">
        <v>796</v>
      </c>
      <c r="I849" s="26" t="s">
        <v>42</v>
      </c>
      <c r="J849" s="25" t="str">
        <f t="shared" si="28"/>
        <v>No</v>
      </c>
      <c r="K849" s="25" t="str">
        <f t="shared" si="29"/>
        <v/>
      </c>
      <c r="L849" s="25" t="str">
        <f t="shared" si="30"/>
        <v/>
      </c>
      <c r="M849" s="25"/>
      <c r="O849" s="25"/>
    </row>
    <row r="850" ht="15.75" customHeight="1">
      <c r="A850" s="25" t="str">
        <f>IFERROR(__xludf.DUMMYFUNCTION("IF(B850="""","""",RIGHT(REGEXREPLACE(B850&amp;"""",""[^0-9]"",""""),9))"),"717846077")</f>
        <v>717846077</v>
      </c>
      <c r="B850" s="52">
        <v>7.17846077E8</v>
      </c>
      <c r="C850" s="28" t="s">
        <v>1065</v>
      </c>
      <c r="D850" s="26" t="s">
        <v>82</v>
      </c>
      <c r="E850" s="31">
        <v>46227.0</v>
      </c>
      <c r="F850" s="26" t="s">
        <v>205</v>
      </c>
      <c r="I850" s="26" t="s">
        <v>42</v>
      </c>
      <c r="J850" s="25" t="str">
        <f t="shared" si="28"/>
        <v>No</v>
      </c>
      <c r="K850" s="25" t="str">
        <f t="shared" si="29"/>
        <v/>
      </c>
      <c r="L850" s="25" t="str">
        <f t="shared" si="30"/>
        <v/>
      </c>
      <c r="M850" s="25"/>
      <c r="O850" s="25"/>
    </row>
    <row r="851" ht="15.75" customHeight="1">
      <c r="A851" s="25" t="str">
        <f>IFERROR(__xludf.DUMMYFUNCTION("IF(B851="""","""",RIGHT(REGEXREPLACE(B851&amp;"""",""[^0-9]"",""""),9))"),"779215559")</f>
        <v>779215559</v>
      </c>
      <c r="B851" s="52">
        <v>7.79215559E8</v>
      </c>
      <c r="C851" s="28" t="s">
        <v>1066</v>
      </c>
      <c r="D851" s="26" t="s">
        <v>45</v>
      </c>
      <c r="E851" s="31">
        <v>46227.0</v>
      </c>
      <c r="F851" s="26" t="s">
        <v>84</v>
      </c>
      <c r="H851" s="26" t="s">
        <v>677</v>
      </c>
      <c r="I851" s="26" t="s">
        <v>42</v>
      </c>
      <c r="J851" s="25" t="str">
        <f t="shared" si="28"/>
        <v>No</v>
      </c>
      <c r="K851" s="25" t="str">
        <f t="shared" si="29"/>
        <v/>
      </c>
      <c r="L851" s="25" t="str">
        <f t="shared" si="30"/>
        <v/>
      </c>
      <c r="M851" s="25"/>
      <c r="O851" s="25"/>
    </row>
    <row r="852" ht="15.75" customHeight="1">
      <c r="A852" s="25" t="str">
        <f>IFERROR(__xludf.DUMMYFUNCTION("IF(B852="""","""",RIGHT(REGEXREPLACE(B852&amp;"""",""[^0-9]"",""""),9))"),"769211470")</f>
        <v>769211470</v>
      </c>
      <c r="B852" s="52">
        <v>7.6921147E8</v>
      </c>
      <c r="C852" s="28" t="s">
        <v>1067</v>
      </c>
      <c r="D852" s="26" t="s">
        <v>64</v>
      </c>
      <c r="E852" s="31">
        <v>46227.0</v>
      </c>
      <c r="F852" s="26" t="s">
        <v>46</v>
      </c>
      <c r="G852" s="26">
        <v>11.0</v>
      </c>
      <c r="I852" s="26" t="s">
        <v>42</v>
      </c>
      <c r="J852" s="25" t="str">
        <f t="shared" si="28"/>
        <v>No</v>
      </c>
      <c r="K852" s="25" t="str">
        <f t="shared" si="29"/>
        <v/>
      </c>
      <c r="L852" s="25" t="str">
        <f t="shared" si="30"/>
        <v/>
      </c>
      <c r="M852" s="25"/>
      <c r="O852" s="25"/>
    </row>
    <row r="853" ht="15.75" customHeight="1">
      <c r="A853" s="25" t="str">
        <f>IFERROR(__xludf.DUMMYFUNCTION("IF(B853="""","""",RIGHT(REGEXREPLACE(B853&amp;"""",""[^0-9]"",""""),9))"),"711968171")</f>
        <v>711968171</v>
      </c>
      <c r="B853" s="52">
        <v>7.11968171E8</v>
      </c>
      <c r="C853" s="28" t="s">
        <v>1068</v>
      </c>
      <c r="D853" s="26" t="s">
        <v>49</v>
      </c>
      <c r="E853" s="31">
        <v>46227.0</v>
      </c>
      <c r="F853" s="26" t="s">
        <v>46</v>
      </c>
      <c r="G853" s="26">
        <v>11.0</v>
      </c>
      <c r="I853" s="26" t="s">
        <v>42</v>
      </c>
      <c r="J853" s="25" t="str">
        <f t="shared" si="28"/>
        <v>No</v>
      </c>
      <c r="K853" s="25" t="str">
        <f t="shared" si="29"/>
        <v/>
      </c>
      <c r="L853" s="25" t="str">
        <f t="shared" si="30"/>
        <v/>
      </c>
      <c r="M853" s="25"/>
      <c r="O853" s="25"/>
    </row>
    <row r="854" ht="15.75" customHeight="1">
      <c r="A854" s="25" t="str">
        <f>IFERROR(__xludf.DUMMYFUNCTION("IF(B854="""","""",RIGHT(REGEXREPLACE(B854&amp;"""",""[^0-9]"",""""),9))"),"771465009")</f>
        <v>771465009</v>
      </c>
      <c r="B854" s="52">
        <v>7.71465009E8</v>
      </c>
      <c r="C854" s="28" t="s">
        <v>1069</v>
      </c>
      <c r="D854" s="26" t="s">
        <v>82</v>
      </c>
      <c r="E854" s="31">
        <v>46227.0</v>
      </c>
      <c r="F854" s="26" t="s">
        <v>46</v>
      </c>
      <c r="G854" s="26">
        <v>11.0</v>
      </c>
      <c r="I854" s="26" t="s">
        <v>42</v>
      </c>
      <c r="J854" s="25" t="str">
        <f t="shared" si="28"/>
        <v>No</v>
      </c>
      <c r="K854" s="25" t="str">
        <f t="shared" si="29"/>
        <v/>
      </c>
      <c r="L854" s="25" t="str">
        <f t="shared" si="30"/>
        <v/>
      </c>
      <c r="M854" s="25"/>
      <c r="O854" s="25"/>
    </row>
    <row r="855" ht="15.75" customHeight="1">
      <c r="A855" s="25" t="str">
        <f>IFERROR(__xludf.DUMMYFUNCTION("IF(B855="""","""",RIGHT(REGEXREPLACE(B855&amp;"""",""[^0-9]"",""""),9))"),"714443723")</f>
        <v>714443723</v>
      </c>
      <c r="B855" s="52">
        <v>7.14443723E8</v>
      </c>
      <c r="C855" s="28" t="s">
        <v>1070</v>
      </c>
      <c r="D855" s="26" t="s">
        <v>45</v>
      </c>
      <c r="E855" s="31">
        <v>46227.0</v>
      </c>
      <c r="F855" s="26" t="s">
        <v>41</v>
      </c>
      <c r="H855" s="26" t="s">
        <v>677</v>
      </c>
      <c r="I855" s="26" t="s">
        <v>42</v>
      </c>
      <c r="J855" s="25" t="str">
        <f t="shared" si="28"/>
        <v>No</v>
      </c>
      <c r="K855" s="25" t="str">
        <f t="shared" si="29"/>
        <v/>
      </c>
      <c r="L855" s="25" t="str">
        <f t="shared" si="30"/>
        <v/>
      </c>
      <c r="M855" s="25"/>
      <c r="O855" s="25"/>
    </row>
    <row r="856" ht="15.75" customHeight="1">
      <c r="A856" s="25" t="str">
        <f>IFERROR(__xludf.DUMMYFUNCTION("IF(B856="""","""",RIGHT(REGEXREPLACE(B856&amp;"""",""[^0-9]"",""""),9))"),"753354789")</f>
        <v>753354789</v>
      </c>
      <c r="B856" s="26">
        <v>7.53354789E8</v>
      </c>
      <c r="C856" s="28" t="s">
        <v>1071</v>
      </c>
      <c r="D856" s="26" t="s">
        <v>56</v>
      </c>
      <c r="E856" s="31">
        <v>46227.0</v>
      </c>
      <c r="F856" s="26" t="s">
        <v>46</v>
      </c>
      <c r="G856" s="26">
        <v>11.0</v>
      </c>
      <c r="H856" s="26" t="s">
        <v>796</v>
      </c>
      <c r="I856" s="26" t="s">
        <v>42</v>
      </c>
      <c r="J856" s="25" t="str">
        <f t="shared" si="28"/>
        <v>No</v>
      </c>
      <c r="K856" s="25" t="str">
        <f t="shared" si="29"/>
        <v/>
      </c>
      <c r="L856" s="25" t="str">
        <f t="shared" si="30"/>
        <v/>
      </c>
      <c r="M856" s="25"/>
      <c r="O856" s="25"/>
    </row>
    <row r="857" ht="15.75" customHeight="1">
      <c r="A857" s="25" t="str">
        <f>IFERROR(__xludf.DUMMYFUNCTION("IF(B857="""","""",RIGHT(REGEXREPLACE(B857&amp;"""",""[^0-9]"",""""),9))"),"771830463")</f>
        <v>771830463</v>
      </c>
      <c r="B857" s="52">
        <v>7.71830463E8</v>
      </c>
      <c r="C857" s="28" t="s">
        <v>1072</v>
      </c>
      <c r="D857" s="26" t="s">
        <v>45</v>
      </c>
      <c r="E857" s="31">
        <v>46227.0</v>
      </c>
      <c r="F857" s="26" t="s">
        <v>46</v>
      </c>
      <c r="G857" s="26">
        <v>11.0</v>
      </c>
      <c r="I857" s="26" t="s">
        <v>42</v>
      </c>
      <c r="J857" s="25" t="str">
        <f t="shared" si="28"/>
        <v>No</v>
      </c>
      <c r="K857" s="25" t="str">
        <f t="shared" si="29"/>
        <v/>
      </c>
      <c r="L857" s="25" t="str">
        <f t="shared" si="30"/>
        <v/>
      </c>
      <c r="M857" s="25"/>
      <c r="O857" s="25"/>
    </row>
    <row r="858" ht="15.75" customHeight="1">
      <c r="A858" s="25" t="str">
        <f>IFERROR(__xludf.DUMMYFUNCTION("IF(B858="""","""",RIGHT(REGEXREPLACE(B858&amp;"""",""[^0-9]"",""""),9))"),"717759394")</f>
        <v>717759394</v>
      </c>
      <c r="B858" s="52">
        <v>7.17759394E8</v>
      </c>
      <c r="C858" s="28" t="s">
        <v>1073</v>
      </c>
      <c r="D858" s="26" t="s">
        <v>64</v>
      </c>
      <c r="E858" s="31">
        <v>46227.0</v>
      </c>
      <c r="F858" s="26" t="s">
        <v>205</v>
      </c>
      <c r="I858" s="26" t="s">
        <v>42</v>
      </c>
      <c r="J858" s="25" t="str">
        <f t="shared" si="28"/>
        <v>No</v>
      </c>
      <c r="K858" s="25" t="str">
        <f t="shared" si="29"/>
        <v/>
      </c>
      <c r="L858" s="25" t="str">
        <f t="shared" si="30"/>
        <v/>
      </c>
      <c r="M858" s="25"/>
      <c r="O858" s="25"/>
    </row>
    <row r="859" ht="15.75" customHeight="1">
      <c r="A859" s="25" t="str">
        <f>IFERROR(__xludf.DUMMYFUNCTION("IF(B859="""","""",RIGHT(REGEXREPLACE(B859&amp;"""",""[^0-9]"",""""),9))"),"701565363")</f>
        <v>701565363</v>
      </c>
      <c r="B859" s="52">
        <v>7.01565363E8</v>
      </c>
      <c r="C859" s="28" t="s">
        <v>1074</v>
      </c>
      <c r="D859" s="26" t="s">
        <v>49</v>
      </c>
      <c r="E859" s="31">
        <v>46227.0</v>
      </c>
      <c r="F859" s="26" t="s">
        <v>46</v>
      </c>
      <c r="G859" s="26">
        <v>11.0</v>
      </c>
      <c r="I859" s="26" t="s">
        <v>42</v>
      </c>
      <c r="J859" s="25" t="str">
        <f t="shared" si="28"/>
        <v>No</v>
      </c>
      <c r="K859" s="25" t="str">
        <f t="shared" si="29"/>
        <v/>
      </c>
      <c r="L859" s="25" t="str">
        <f t="shared" si="30"/>
        <v/>
      </c>
      <c r="M859" s="25"/>
      <c r="O859" s="25"/>
    </row>
    <row r="860" ht="15.75" customHeight="1">
      <c r="A860" s="25" t="str">
        <f>IFERROR(__xludf.DUMMYFUNCTION("IF(B860="""","""",RIGHT(REGEXREPLACE(B860&amp;"""",""[^0-9]"",""""),9))"),"775253519")</f>
        <v>775253519</v>
      </c>
      <c r="B860" s="52">
        <v>7.75253519E8</v>
      </c>
      <c r="C860" s="28" t="s">
        <v>1075</v>
      </c>
      <c r="D860" s="26" t="s">
        <v>64</v>
      </c>
      <c r="E860" s="31">
        <v>46227.0</v>
      </c>
      <c r="F860" s="26" t="s">
        <v>704</v>
      </c>
      <c r="H860" s="26" t="s">
        <v>1076</v>
      </c>
      <c r="I860" s="26" t="s">
        <v>42</v>
      </c>
      <c r="J860" s="25" t="str">
        <f t="shared" si="28"/>
        <v>No</v>
      </c>
      <c r="K860" s="25" t="str">
        <f t="shared" si="29"/>
        <v/>
      </c>
      <c r="L860" s="25" t="str">
        <f t="shared" si="30"/>
        <v/>
      </c>
      <c r="M860" s="25"/>
      <c r="O860" s="25"/>
    </row>
    <row r="861" ht="15.75" customHeight="1">
      <c r="A861" s="25" t="str">
        <f>IFERROR(__xludf.DUMMYFUNCTION("IF(B861="""","""",RIGHT(REGEXREPLACE(B861&amp;"""",""[^0-9]"",""""),9))"),"773896506")</f>
        <v>773896506</v>
      </c>
      <c r="B861" s="52">
        <v>7.73896506E8</v>
      </c>
      <c r="C861" s="28" t="s">
        <v>1077</v>
      </c>
      <c r="D861" s="26" t="s">
        <v>82</v>
      </c>
      <c r="E861" s="31">
        <v>46227.0</v>
      </c>
      <c r="F861" s="26" t="s">
        <v>46</v>
      </c>
      <c r="G861" s="26">
        <v>10.0</v>
      </c>
      <c r="I861" s="26" t="s">
        <v>42</v>
      </c>
      <c r="J861" s="25" t="str">
        <f t="shared" si="28"/>
        <v>No</v>
      </c>
      <c r="K861" s="25" t="str">
        <f t="shared" si="29"/>
        <v/>
      </c>
      <c r="L861" s="25" t="str">
        <f t="shared" si="30"/>
        <v/>
      </c>
      <c r="M861" s="25"/>
      <c r="O861" s="25"/>
    </row>
    <row r="862" ht="15.75" customHeight="1">
      <c r="A862" s="25" t="str">
        <f>IFERROR(__xludf.DUMMYFUNCTION("IF(B862="""","""",RIGHT(REGEXREPLACE(B862&amp;"""",""[^0-9]"",""""),9))"),"740467218")</f>
        <v>740467218</v>
      </c>
      <c r="B862" s="26">
        <v>7.40467218E8</v>
      </c>
      <c r="C862" s="28" t="s">
        <v>1078</v>
      </c>
      <c r="D862" s="26" t="s">
        <v>37</v>
      </c>
      <c r="E862" s="31">
        <v>46227.0</v>
      </c>
      <c r="F862" s="26" t="s">
        <v>46</v>
      </c>
      <c r="G862" s="26">
        <v>8.0</v>
      </c>
      <c r="I862" s="26" t="s">
        <v>42</v>
      </c>
      <c r="J862" s="25" t="str">
        <f t="shared" si="28"/>
        <v>No</v>
      </c>
      <c r="K862" s="25" t="str">
        <f t="shared" si="29"/>
        <v/>
      </c>
      <c r="L862" s="25" t="str">
        <f t="shared" si="30"/>
        <v/>
      </c>
      <c r="M862" s="25"/>
      <c r="O862" s="25"/>
    </row>
    <row r="863" ht="15.75" customHeight="1">
      <c r="A863" s="25" t="str">
        <f>IFERROR(__xludf.DUMMYFUNCTION("IF(B863="""","""",RIGHT(REGEXREPLACE(B863&amp;"""",""[^0-9]"",""""),9))"),"718029606")</f>
        <v>718029606</v>
      </c>
      <c r="B863" s="52">
        <v>7.18029606E8</v>
      </c>
      <c r="C863" s="28" t="s">
        <v>1079</v>
      </c>
      <c r="D863" s="26" t="s">
        <v>49</v>
      </c>
      <c r="E863" s="31">
        <v>46227.0</v>
      </c>
      <c r="F863" s="26" t="s">
        <v>46</v>
      </c>
      <c r="G863" s="26">
        <v>11.0</v>
      </c>
      <c r="I863" s="26" t="s">
        <v>42</v>
      </c>
      <c r="J863" s="25" t="str">
        <f t="shared" si="28"/>
        <v>No</v>
      </c>
      <c r="K863" s="25" t="str">
        <f t="shared" si="29"/>
        <v/>
      </c>
      <c r="L863" s="25" t="str">
        <f t="shared" si="30"/>
        <v/>
      </c>
      <c r="M863" s="25"/>
      <c r="O863" s="25"/>
    </row>
    <row r="864" ht="15.75" customHeight="1">
      <c r="A864" s="25" t="str">
        <f>IFERROR(__xludf.DUMMYFUNCTION("IF(B864="""","""",RIGHT(REGEXREPLACE(B864&amp;"""",""[^0-9]"",""""),9))"),"723781602")</f>
        <v>723781602</v>
      </c>
      <c r="B864" s="52">
        <v>7.23781602E8</v>
      </c>
      <c r="C864" s="28" t="s">
        <v>1080</v>
      </c>
      <c r="D864" s="26" t="s">
        <v>56</v>
      </c>
      <c r="E864" s="31">
        <v>46227.0</v>
      </c>
      <c r="F864" s="26" t="s">
        <v>205</v>
      </c>
      <c r="G864" s="26">
        <v>11.0</v>
      </c>
      <c r="H864" s="26" t="s">
        <v>796</v>
      </c>
      <c r="I864" s="26" t="s">
        <v>42</v>
      </c>
      <c r="J864" s="25" t="str">
        <f t="shared" si="28"/>
        <v>No</v>
      </c>
      <c r="K864" s="25" t="str">
        <f t="shared" si="29"/>
        <v/>
      </c>
      <c r="L864" s="25" t="str">
        <f t="shared" si="30"/>
        <v/>
      </c>
      <c r="M864" s="25"/>
      <c r="O864" s="25"/>
    </row>
    <row r="865" ht="15.75" customHeight="1">
      <c r="A865" s="25" t="str">
        <f>IFERROR(__xludf.DUMMYFUNCTION("IF(B865="""","""",RIGHT(REGEXREPLACE(B865&amp;"""",""[^0-9]"",""""),9))"),"704930156")</f>
        <v>704930156</v>
      </c>
      <c r="B865" s="52">
        <v>7.04930156E8</v>
      </c>
      <c r="C865" s="28" t="s">
        <v>1081</v>
      </c>
      <c r="D865" s="26" t="s">
        <v>64</v>
      </c>
      <c r="E865" s="31">
        <v>46227.0</v>
      </c>
      <c r="F865" s="26" t="s">
        <v>205</v>
      </c>
      <c r="G865" s="26">
        <v>8.0</v>
      </c>
      <c r="I865" s="26" t="s">
        <v>42</v>
      </c>
      <c r="J865" s="25" t="str">
        <f t="shared" si="28"/>
        <v>No</v>
      </c>
      <c r="K865" s="25" t="str">
        <f t="shared" si="29"/>
        <v/>
      </c>
      <c r="L865" s="25" t="str">
        <f t="shared" si="30"/>
        <v/>
      </c>
      <c r="M865" s="25"/>
      <c r="O865" s="25"/>
    </row>
    <row r="866" ht="15.75" customHeight="1">
      <c r="A866" s="25" t="str">
        <f>IFERROR(__xludf.DUMMYFUNCTION("IF(B866="""","""",RIGHT(REGEXREPLACE(B866&amp;"""",""[^0-9]"",""""),9))"),"716064935")</f>
        <v>716064935</v>
      </c>
      <c r="B866" s="26">
        <v>7.16064935E8</v>
      </c>
      <c r="C866" s="28" t="s">
        <v>1082</v>
      </c>
      <c r="D866" s="26" t="s">
        <v>37</v>
      </c>
      <c r="E866" s="31">
        <v>46227.0</v>
      </c>
      <c r="F866" s="26" t="s">
        <v>164</v>
      </c>
      <c r="I866" s="26" t="s">
        <v>42</v>
      </c>
      <c r="J866" s="25" t="str">
        <f t="shared" si="28"/>
        <v>No</v>
      </c>
      <c r="K866" s="25" t="str">
        <f t="shared" si="29"/>
        <v/>
      </c>
      <c r="L866" s="25" t="str">
        <f t="shared" si="30"/>
        <v/>
      </c>
      <c r="M866" s="25"/>
      <c r="O866" s="25"/>
    </row>
    <row r="867" ht="15.75" customHeight="1">
      <c r="A867" s="25" t="str">
        <f>IFERROR(__xludf.DUMMYFUNCTION("IF(B867="""","""",RIGHT(REGEXREPLACE(B867&amp;"""",""[^0-9]"",""""),9))"),"773764890")</f>
        <v>773764890</v>
      </c>
      <c r="B867" s="52">
        <v>7.7376489E8</v>
      </c>
      <c r="C867" s="28" t="s">
        <v>1083</v>
      </c>
      <c r="D867" s="26" t="s">
        <v>82</v>
      </c>
      <c r="E867" s="31">
        <v>46227.0</v>
      </c>
      <c r="F867" s="26" t="s">
        <v>46</v>
      </c>
      <c r="G867" s="26">
        <v>11.0</v>
      </c>
      <c r="I867" s="26" t="s">
        <v>42</v>
      </c>
      <c r="J867" s="25" t="str">
        <f t="shared" si="28"/>
        <v>No</v>
      </c>
      <c r="K867" s="25" t="str">
        <f t="shared" si="29"/>
        <v/>
      </c>
      <c r="L867" s="25" t="str">
        <f t="shared" si="30"/>
        <v/>
      </c>
      <c r="M867" s="25"/>
      <c r="O867" s="25"/>
    </row>
    <row r="868" ht="15.75" customHeight="1">
      <c r="A868" s="25" t="str">
        <f>IFERROR(__xludf.DUMMYFUNCTION("IF(B868="""","""",RIGHT(REGEXREPLACE(B868&amp;"""",""[^0-9]"",""""),9))"),"765909766")</f>
        <v>765909766</v>
      </c>
      <c r="B868" s="26">
        <v>7.65909766E8</v>
      </c>
      <c r="C868" s="28" t="s">
        <v>1082</v>
      </c>
      <c r="D868" s="26" t="s">
        <v>37</v>
      </c>
      <c r="E868" s="31">
        <v>46227.0</v>
      </c>
      <c r="F868" s="26" t="s">
        <v>84</v>
      </c>
      <c r="G868" s="26">
        <v>11.0</v>
      </c>
      <c r="H868" s="26" t="s">
        <v>1084</v>
      </c>
      <c r="I868" s="26" t="s">
        <v>42</v>
      </c>
      <c r="J868" s="25" t="str">
        <f t="shared" si="28"/>
        <v>No</v>
      </c>
      <c r="K868" s="25" t="str">
        <f t="shared" si="29"/>
        <v/>
      </c>
      <c r="L868" s="25" t="str">
        <f t="shared" si="30"/>
        <v/>
      </c>
      <c r="M868" s="25"/>
      <c r="O868" s="25"/>
    </row>
    <row r="869" ht="15.75" customHeight="1">
      <c r="A869" s="25" t="str">
        <f>IFERROR(__xludf.DUMMYFUNCTION("IF(B869="""","""",RIGHT(REGEXREPLACE(B869&amp;"""",""[^0-9]"",""""),9))"),"770433130")</f>
        <v>770433130</v>
      </c>
      <c r="B869" s="52">
        <v>7.7043313E8</v>
      </c>
      <c r="C869" s="28" t="s">
        <v>1085</v>
      </c>
      <c r="D869" s="26" t="s">
        <v>49</v>
      </c>
      <c r="E869" s="31">
        <v>46227.0</v>
      </c>
      <c r="F869" s="26" t="s">
        <v>46</v>
      </c>
      <c r="G869" s="26">
        <v>11.0</v>
      </c>
      <c r="I869" s="26" t="s">
        <v>42</v>
      </c>
      <c r="J869" s="25" t="str">
        <f t="shared" si="28"/>
        <v>No</v>
      </c>
      <c r="K869" s="25" t="str">
        <f t="shared" si="29"/>
        <v/>
      </c>
      <c r="L869" s="25" t="str">
        <f t="shared" si="30"/>
        <v/>
      </c>
      <c r="M869" s="25"/>
      <c r="O869" s="25"/>
    </row>
    <row r="870" ht="15.75" customHeight="1">
      <c r="A870" s="25" t="str">
        <f>IFERROR(__xludf.DUMMYFUNCTION("IF(B870="""","""",RIGHT(REGEXREPLACE(B870&amp;"""",""[^0-9]"",""""),9))"),"782000062")</f>
        <v>782000062</v>
      </c>
      <c r="B870" s="52">
        <v>7.82000062E8</v>
      </c>
      <c r="C870" s="28" t="s">
        <v>1086</v>
      </c>
      <c r="D870" s="26" t="s">
        <v>56</v>
      </c>
      <c r="E870" s="31">
        <v>46227.0</v>
      </c>
      <c r="F870" s="26" t="s">
        <v>164</v>
      </c>
      <c r="G870" s="26">
        <v>11.0</v>
      </c>
      <c r="H870" s="26" t="s">
        <v>796</v>
      </c>
      <c r="I870" s="26" t="s">
        <v>42</v>
      </c>
      <c r="J870" s="25" t="str">
        <f t="shared" si="28"/>
        <v>No</v>
      </c>
      <c r="K870" s="25" t="str">
        <f t="shared" si="29"/>
        <v/>
      </c>
      <c r="L870" s="25" t="str">
        <f t="shared" si="30"/>
        <v/>
      </c>
      <c r="M870" s="25"/>
      <c r="O870" s="25"/>
    </row>
    <row r="871" ht="15.75" customHeight="1">
      <c r="A871" s="25" t="str">
        <f>IFERROR(__xludf.DUMMYFUNCTION("IF(B871="""","""",RIGHT(REGEXREPLACE(B871&amp;"""",""[^0-9]"",""""),9))"),"762647722")</f>
        <v>762647722</v>
      </c>
      <c r="B871" s="52">
        <v>7.62647722E8</v>
      </c>
      <c r="C871" s="28" t="s">
        <v>1087</v>
      </c>
      <c r="D871" s="26" t="s">
        <v>45</v>
      </c>
      <c r="E871" s="31">
        <v>46227.0</v>
      </c>
      <c r="F871" s="26" t="s">
        <v>41</v>
      </c>
      <c r="H871" s="26" t="s">
        <v>677</v>
      </c>
      <c r="I871" s="26" t="s">
        <v>42</v>
      </c>
      <c r="J871" s="25" t="str">
        <f t="shared" si="28"/>
        <v>No</v>
      </c>
      <c r="K871" s="25" t="str">
        <f t="shared" si="29"/>
        <v/>
      </c>
      <c r="L871" s="25" t="str">
        <f t="shared" si="30"/>
        <v/>
      </c>
      <c r="M871" s="25"/>
      <c r="O871" s="25"/>
    </row>
    <row r="872" ht="15.75" customHeight="1">
      <c r="A872" s="25" t="str">
        <f>IFERROR(__xludf.DUMMYFUNCTION("IF(B872="""","""",RIGHT(REGEXREPLACE(B872&amp;"""",""[^0-9]"",""""),9))"),"760581656")</f>
        <v>760581656</v>
      </c>
      <c r="B872" s="26">
        <v>7.60581656E8</v>
      </c>
      <c r="C872" s="28" t="s">
        <v>1088</v>
      </c>
      <c r="D872" s="26" t="s">
        <v>37</v>
      </c>
      <c r="E872" s="31">
        <v>46227.0</v>
      </c>
      <c r="F872" s="26" t="s">
        <v>84</v>
      </c>
      <c r="I872" s="26" t="s">
        <v>42</v>
      </c>
      <c r="J872" s="25" t="str">
        <f t="shared" si="28"/>
        <v>No</v>
      </c>
      <c r="K872" s="25" t="str">
        <f t="shared" si="29"/>
        <v/>
      </c>
      <c r="L872" s="25" t="str">
        <f t="shared" si="30"/>
        <v/>
      </c>
      <c r="M872" s="25"/>
      <c r="O872" s="25"/>
    </row>
    <row r="873" ht="15.75" customHeight="1">
      <c r="A873" s="25" t="str">
        <f>IFERROR(__xludf.DUMMYFUNCTION("IF(B873="""","""",RIGHT(REGEXREPLACE(B873&amp;"""",""[^0-9]"",""""),9))"),"775411574")</f>
        <v>775411574</v>
      </c>
      <c r="B873" s="52">
        <v>7.75411574E8</v>
      </c>
      <c r="C873" s="28" t="s">
        <v>1089</v>
      </c>
      <c r="D873" s="26" t="s">
        <v>64</v>
      </c>
      <c r="E873" s="31">
        <v>46227.0</v>
      </c>
      <c r="F873" s="26" t="s">
        <v>41</v>
      </c>
      <c r="G873" s="26">
        <v>11.0</v>
      </c>
      <c r="I873" s="26" t="s">
        <v>42</v>
      </c>
      <c r="J873" s="25" t="str">
        <f t="shared" si="28"/>
        <v>No</v>
      </c>
      <c r="K873" s="25" t="str">
        <f t="shared" si="29"/>
        <v/>
      </c>
      <c r="L873" s="25" t="str">
        <f t="shared" si="30"/>
        <v/>
      </c>
      <c r="M873" s="25"/>
      <c r="O873" s="25"/>
    </row>
    <row r="874" ht="15.75" customHeight="1">
      <c r="A874" s="25" t="str">
        <f>IFERROR(__xludf.DUMMYFUNCTION("IF(B874="""","""",RIGHT(REGEXREPLACE(B874&amp;"""",""[^0-9]"",""""),9))"),"771170437")</f>
        <v>771170437</v>
      </c>
      <c r="B874" s="52">
        <v>7.71170437E8</v>
      </c>
      <c r="C874" s="28" t="s">
        <v>1090</v>
      </c>
      <c r="D874" s="26" t="s">
        <v>49</v>
      </c>
      <c r="E874" s="31">
        <v>46227.0</v>
      </c>
      <c r="F874" s="26" t="s">
        <v>46</v>
      </c>
      <c r="G874" s="26">
        <v>9.0</v>
      </c>
      <c r="I874" s="26" t="s">
        <v>42</v>
      </c>
      <c r="J874" s="25" t="str">
        <f t="shared" si="28"/>
        <v>No</v>
      </c>
      <c r="K874" s="25" t="str">
        <f t="shared" si="29"/>
        <v/>
      </c>
      <c r="L874" s="25" t="str">
        <f t="shared" si="30"/>
        <v/>
      </c>
      <c r="M874" s="25"/>
      <c r="O874" s="25"/>
    </row>
    <row r="875" ht="15.75" customHeight="1">
      <c r="A875" s="25" t="str">
        <f>IFERROR(__xludf.DUMMYFUNCTION("IF(B875="""","""",RIGHT(REGEXREPLACE(B875&amp;"""",""[^0-9]"",""""),9))"),"768627215")</f>
        <v>768627215</v>
      </c>
      <c r="B875" s="26">
        <v>7.68627215E8</v>
      </c>
      <c r="C875" s="28" t="s">
        <v>1091</v>
      </c>
      <c r="D875" s="26" t="s">
        <v>37</v>
      </c>
      <c r="E875" s="31">
        <v>46227.0</v>
      </c>
      <c r="F875" s="26" t="s">
        <v>41</v>
      </c>
      <c r="I875" s="26" t="s">
        <v>42</v>
      </c>
      <c r="J875" s="25" t="str">
        <f t="shared" si="28"/>
        <v>No</v>
      </c>
      <c r="K875" s="25" t="str">
        <f t="shared" si="29"/>
        <v/>
      </c>
      <c r="L875" s="25" t="str">
        <f t="shared" si="30"/>
        <v/>
      </c>
      <c r="M875" s="25"/>
      <c r="O875" s="25"/>
    </row>
    <row r="876" ht="15.75" customHeight="1">
      <c r="A876" s="25" t="str">
        <f>IFERROR(__xludf.DUMMYFUNCTION("IF(B876="""","""",RIGHT(REGEXREPLACE(B876&amp;"""",""[^0-9]"",""""),9))"),"770367849")</f>
        <v>770367849</v>
      </c>
      <c r="B876" s="52">
        <v>7.70367849E8</v>
      </c>
      <c r="C876" s="28" t="s">
        <v>1092</v>
      </c>
      <c r="D876" s="26" t="s">
        <v>45</v>
      </c>
      <c r="E876" s="31">
        <v>46227.0</v>
      </c>
      <c r="F876" s="26" t="s">
        <v>164</v>
      </c>
      <c r="H876" s="26" t="s">
        <v>677</v>
      </c>
      <c r="I876" s="26" t="s">
        <v>42</v>
      </c>
      <c r="J876" s="25" t="str">
        <f t="shared" si="28"/>
        <v>No</v>
      </c>
      <c r="K876" s="25" t="str">
        <f t="shared" si="29"/>
        <v/>
      </c>
      <c r="L876" s="25" t="str">
        <f t="shared" si="30"/>
        <v/>
      </c>
      <c r="M876" s="25"/>
      <c r="O876" s="25"/>
    </row>
    <row r="877" ht="15.75" customHeight="1">
      <c r="A877" s="25" t="str">
        <f>IFERROR(__xludf.DUMMYFUNCTION("IF(B877="""","""",RIGHT(REGEXREPLACE(B877&amp;"""",""[^0-9]"",""""),9))"),"769681260")</f>
        <v>769681260</v>
      </c>
      <c r="B877" s="52">
        <v>7.6968126E8</v>
      </c>
      <c r="C877" s="28" t="s">
        <v>1093</v>
      </c>
      <c r="D877" s="26" t="s">
        <v>56</v>
      </c>
      <c r="E877" s="31">
        <v>46227.0</v>
      </c>
      <c r="F877" s="26" t="s">
        <v>631</v>
      </c>
      <c r="G877" s="26">
        <v>11.0</v>
      </c>
      <c r="H877" s="26" t="s">
        <v>796</v>
      </c>
      <c r="I877" s="26" t="s">
        <v>42</v>
      </c>
      <c r="J877" s="25" t="str">
        <f t="shared" si="28"/>
        <v>No</v>
      </c>
      <c r="K877" s="25" t="str">
        <f t="shared" si="29"/>
        <v/>
      </c>
      <c r="L877" s="25" t="str">
        <f t="shared" si="30"/>
        <v/>
      </c>
      <c r="M877" s="25"/>
      <c r="O877" s="25"/>
    </row>
    <row r="878" ht="15.75" customHeight="1">
      <c r="A878" s="25" t="str">
        <f>IFERROR(__xludf.DUMMYFUNCTION("IF(B878="""","""",RIGHT(REGEXREPLACE(B878&amp;"""",""[^0-9]"",""""),9))"),"770622577")</f>
        <v>770622577</v>
      </c>
      <c r="B878" s="52">
        <v>7.70622577E8</v>
      </c>
      <c r="C878" s="28" t="s">
        <v>1094</v>
      </c>
      <c r="D878" s="26" t="s">
        <v>64</v>
      </c>
      <c r="E878" s="31">
        <v>46227.0</v>
      </c>
      <c r="F878" s="26" t="s">
        <v>46</v>
      </c>
      <c r="G878" s="26">
        <v>11.0</v>
      </c>
      <c r="I878" s="26" t="s">
        <v>42</v>
      </c>
      <c r="J878" s="25" t="str">
        <f t="shared" si="28"/>
        <v>No</v>
      </c>
      <c r="K878" s="25" t="str">
        <f t="shared" si="29"/>
        <v/>
      </c>
      <c r="L878" s="25" t="str">
        <f t="shared" si="30"/>
        <v/>
      </c>
      <c r="M878" s="25"/>
      <c r="O878" s="25"/>
    </row>
    <row r="879" ht="15.75" customHeight="1">
      <c r="A879" s="25" t="str">
        <f>IFERROR(__xludf.DUMMYFUNCTION("IF(B879="""","""",RIGHT(REGEXREPLACE(B879&amp;"""",""[^0-9]"",""""),9))"),"716779140")</f>
        <v>716779140</v>
      </c>
      <c r="B879" s="52">
        <v>7.1677914E8</v>
      </c>
      <c r="C879" s="28" t="s">
        <v>1095</v>
      </c>
      <c r="D879" s="26" t="s">
        <v>82</v>
      </c>
      <c r="E879" s="31">
        <v>46227.0</v>
      </c>
      <c r="F879" s="26" t="s">
        <v>46</v>
      </c>
      <c r="G879" s="26">
        <v>11.0</v>
      </c>
      <c r="I879" s="26" t="s">
        <v>42</v>
      </c>
      <c r="J879" s="25" t="str">
        <f t="shared" si="28"/>
        <v>No</v>
      </c>
      <c r="K879" s="25" t="str">
        <f t="shared" si="29"/>
        <v/>
      </c>
      <c r="L879" s="25" t="str">
        <f t="shared" si="30"/>
        <v/>
      </c>
      <c r="M879" s="25"/>
      <c r="O879" s="25"/>
    </row>
    <row r="880" ht="15.75" customHeight="1">
      <c r="A880" s="25" t="str">
        <f>IFERROR(__xludf.DUMMYFUNCTION("IF(B880="""","""",RIGHT(REGEXREPLACE(B880&amp;"""",""[^0-9]"",""""),9))"),"767334916")</f>
        <v>767334916</v>
      </c>
      <c r="B880" s="52">
        <v>7.67334916E8</v>
      </c>
      <c r="C880" s="28" t="s">
        <v>1096</v>
      </c>
      <c r="D880" s="26" t="s">
        <v>49</v>
      </c>
      <c r="E880" s="31">
        <v>46227.0</v>
      </c>
      <c r="F880" s="26" t="s">
        <v>41</v>
      </c>
      <c r="G880" s="26">
        <v>11.0</v>
      </c>
      <c r="I880" s="26" t="s">
        <v>42</v>
      </c>
      <c r="J880" s="25" t="str">
        <f t="shared" si="28"/>
        <v>No</v>
      </c>
      <c r="K880" s="25" t="str">
        <f t="shared" si="29"/>
        <v/>
      </c>
      <c r="L880" s="25" t="str">
        <f t="shared" si="30"/>
        <v/>
      </c>
      <c r="M880" s="25"/>
      <c r="O880" s="25"/>
    </row>
    <row r="881" ht="15.75" customHeight="1">
      <c r="A881" s="25" t="str">
        <f>IFERROR(__xludf.DUMMYFUNCTION("IF(B881="""","""",RIGHT(REGEXREPLACE(B881&amp;"""",""[^0-9]"",""""),9))"),"779501701")</f>
        <v>779501701</v>
      </c>
      <c r="B881" s="52">
        <v>7.79501701E8</v>
      </c>
      <c r="C881" s="28" t="s">
        <v>1097</v>
      </c>
      <c r="D881" s="26" t="s">
        <v>45</v>
      </c>
      <c r="E881" s="31">
        <v>46227.0</v>
      </c>
      <c r="F881" s="26" t="s">
        <v>46</v>
      </c>
      <c r="G881" s="26">
        <v>11.0</v>
      </c>
      <c r="I881" s="26" t="s">
        <v>42</v>
      </c>
      <c r="J881" s="25" t="str">
        <f t="shared" si="28"/>
        <v>No</v>
      </c>
      <c r="K881" s="25" t="str">
        <f t="shared" si="29"/>
        <v/>
      </c>
      <c r="L881" s="25" t="str">
        <f t="shared" si="30"/>
        <v/>
      </c>
      <c r="M881" s="25"/>
      <c r="O881" s="25"/>
    </row>
    <row r="882" ht="15.75" customHeight="1">
      <c r="A882" s="25" t="str">
        <f>IFERROR(__xludf.DUMMYFUNCTION("IF(B882="""","""",RIGHT(REGEXREPLACE(B882&amp;"""",""[^0-9]"",""""),9))"),"763829353")</f>
        <v>763829353</v>
      </c>
      <c r="B882" s="52">
        <v>7.63829353E8</v>
      </c>
      <c r="C882" s="28" t="s">
        <v>1098</v>
      </c>
      <c r="D882" s="26" t="s">
        <v>49</v>
      </c>
      <c r="E882" s="31">
        <v>46227.0</v>
      </c>
      <c r="F882" s="26" t="s">
        <v>46</v>
      </c>
      <c r="G882" s="26">
        <v>11.0</v>
      </c>
      <c r="I882" s="26" t="s">
        <v>42</v>
      </c>
      <c r="J882" s="25" t="str">
        <f t="shared" si="28"/>
        <v>No</v>
      </c>
      <c r="K882" s="25" t="str">
        <f t="shared" si="29"/>
        <v/>
      </c>
      <c r="L882" s="25" t="str">
        <f t="shared" si="30"/>
        <v/>
      </c>
      <c r="M882" s="25"/>
      <c r="O882" s="25"/>
    </row>
    <row r="883" ht="15.75" customHeight="1">
      <c r="A883" s="25" t="str">
        <f>IFERROR(__xludf.DUMMYFUNCTION("IF(B883="""","""",RIGHT(REGEXREPLACE(B883&amp;"""",""[^0-9]"",""""),9))"),"771522764")</f>
        <v>771522764</v>
      </c>
      <c r="B883" s="52">
        <v>7.71522764E8</v>
      </c>
      <c r="C883" s="28" t="s">
        <v>1099</v>
      </c>
      <c r="D883" s="26" t="s">
        <v>82</v>
      </c>
      <c r="E883" s="31">
        <v>46227.0</v>
      </c>
      <c r="F883" s="26" t="s">
        <v>46</v>
      </c>
      <c r="G883" s="96">
        <v>46306.0</v>
      </c>
      <c r="I883" s="26" t="s">
        <v>42</v>
      </c>
      <c r="J883" s="25" t="str">
        <f t="shared" si="28"/>
        <v>No</v>
      </c>
      <c r="K883" s="25" t="str">
        <f t="shared" si="29"/>
        <v/>
      </c>
      <c r="L883" s="25" t="str">
        <f t="shared" si="30"/>
        <v/>
      </c>
      <c r="M883" s="25"/>
      <c r="O883" s="25"/>
    </row>
    <row r="884" ht="15.75" customHeight="1">
      <c r="A884" s="25" t="str">
        <f>IFERROR(__xludf.DUMMYFUNCTION("IF(B884="""","""",RIGHT(REGEXREPLACE(B884&amp;"""",""[^0-9]"",""""),9))"),"777572655")</f>
        <v>777572655</v>
      </c>
      <c r="B884" s="52">
        <v>7.77572655E8</v>
      </c>
      <c r="C884" s="28" t="s">
        <v>1100</v>
      </c>
      <c r="D884" s="26" t="s">
        <v>56</v>
      </c>
      <c r="E884" s="31">
        <v>46227.0</v>
      </c>
      <c r="F884" s="26" t="s">
        <v>46</v>
      </c>
      <c r="G884" s="26">
        <v>10.0</v>
      </c>
      <c r="H884" s="26" t="s">
        <v>796</v>
      </c>
      <c r="I884" s="26" t="s">
        <v>42</v>
      </c>
      <c r="J884" s="25" t="str">
        <f t="shared" si="28"/>
        <v>No</v>
      </c>
      <c r="K884" s="25" t="str">
        <f t="shared" si="29"/>
        <v/>
      </c>
      <c r="L884" s="25" t="str">
        <f t="shared" si="30"/>
        <v/>
      </c>
      <c r="M884" s="25"/>
      <c r="O884" s="25"/>
    </row>
    <row r="885" ht="15.75" customHeight="1">
      <c r="A885" s="25" t="str">
        <f>IFERROR(__xludf.DUMMYFUNCTION("IF(B885="""","""",RIGHT(REGEXREPLACE(B885&amp;"""",""[^0-9]"",""""),9))"),"717988774")</f>
        <v>717988774</v>
      </c>
      <c r="B885" s="52">
        <v>7.17988774E8</v>
      </c>
      <c r="C885" s="28" t="s">
        <v>1101</v>
      </c>
      <c r="D885" s="26" t="s">
        <v>64</v>
      </c>
      <c r="E885" s="31">
        <v>46227.0</v>
      </c>
      <c r="F885" s="26" t="s">
        <v>125</v>
      </c>
      <c r="G885" s="26" t="s">
        <v>1102</v>
      </c>
      <c r="I885" s="26" t="s">
        <v>42</v>
      </c>
      <c r="J885" s="25" t="str">
        <f t="shared" si="28"/>
        <v>No</v>
      </c>
      <c r="K885" s="25" t="str">
        <f t="shared" si="29"/>
        <v/>
      </c>
      <c r="L885" s="25" t="str">
        <f t="shared" si="30"/>
        <v/>
      </c>
      <c r="M885" s="25"/>
      <c r="O885" s="25"/>
    </row>
    <row r="886" ht="15.75" customHeight="1">
      <c r="A886" s="25" t="str">
        <f>IFERROR(__xludf.DUMMYFUNCTION("IF(B886="""","""",RIGHT(REGEXREPLACE(B886&amp;"""",""[^0-9]"",""""),9))"),"714465993")</f>
        <v>714465993</v>
      </c>
      <c r="B886" s="52">
        <v>7.14465993E8</v>
      </c>
      <c r="C886" s="28" t="s">
        <v>1103</v>
      </c>
      <c r="D886" s="26" t="s">
        <v>49</v>
      </c>
      <c r="E886" s="31">
        <v>46227.0</v>
      </c>
      <c r="F886" s="26" t="s">
        <v>46</v>
      </c>
      <c r="G886" s="26">
        <v>10.0</v>
      </c>
      <c r="I886" s="26" t="s">
        <v>42</v>
      </c>
      <c r="J886" s="25" t="str">
        <f t="shared" si="28"/>
        <v>No</v>
      </c>
      <c r="K886" s="25" t="str">
        <f t="shared" si="29"/>
        <v/>
      </c>
      <c r="L886" s="25" t="str">
        <f t="shared" si="30"/>
        <v/>
      </c>
      <c r="M886" s="25"/>
      <c r="O886" s="25"/>
    </row>
    <row r="887" ht="15.75" customHeight="1">
      <c r="A887" s="25" t="str">
        <f>IFERROR(__xludf.DUMMYFUNCTION("IF(B887="""","""",RIGHT(REGEXREPLACE(B887&amp;"""",""[^0-9]"",""""),9))"),"768914051")</f>
        <v>768914051</v>
      </c>
      <c r="B887" s="52">
        <v>7.68914051E8</v>
      </c>
      <c r="C887" s="28" t="s">
        <v>1104</v>
      </c>
      <c r="D887" s="26" t="s">
        <v>45</v>
      </c>
      <c r="E887" s="31">
        <v>46227.0</v>
      </c>
      <c r="F887" s="26" t="s">
        <v>46</v>
      </c>
      <c r="G887" s="26" t="s">
        <v>1105</v>
      </c>
      <c r="I887" s="26" t="s">
        <v>42</v>
      </c>
      <c r="J887" s="25" t="str">
        <f t="shared" si="28"/>
        <v>No</v>
      </c>
      <c r="K887" s="25" t="str">
        <f t="shared" si="29"/>
        <v/>
      </c>
      <c r="L887" s="25" t="str">
        <f t="shared" si="30"/>
        <v/>
      </c>
      <c r="M887" s="25"/>
      <c r="O887" s="25"/>
    </row>
    <row r="888" ht="15.75" customHeight="1">
      <c r="A888" s="25" t="str">
        <f>IFERROR(__xludf.DUMMYFUNCTION("IF(B888="""","""",RIGHT(REGEXREPLACE(B888&amp;"""",""[^0-9]"",""""),9))"),"717750002")</f>
        <v>717750002</v>
      </c>
      <c r="B888" s="52">
        <v>7.17750002E8</v>
      </c>
      <c r="C888" s="28" t="s">
        <v>1106</v>
      </c>
      <c r="D888" s="26" t="s">
        <v>56</v>
      </c>
      <c r="E888" s="31">
        <v>46227.0</v>
      </c>
      <c r="F888" s="26" t="s">
        <v>631</v>
      </c>
      <c r="G888" s="26">
        <v>11.0</v>
      </c>
      <c r="H888" s="26" t="s">
        <v>796</v>
      </c>
      <c r="I888" s="26" t="s">
        <v>42</v>
      </c>
      <c r="J888" s="25" t="str">
        <f t="shared" si="28"/>
        <v>No</v>
      </c>
      <c r="K888" s="25" t="str">
        <f t="shared" si="29"/>
        <v/>
      </c>
      <c r="L888" s="25" t="str">
        <f t="shared" si="30"/>
        <v/>
      </c>
      <c r="M888" s="25"/>
      <c r="O888" s="25"/>
    </row>
    <row r="889" ht="15.75" customHeight="1">
      <c r="A889" s="25" t="str">
        <f>IFERROR(__xludf.DUMMYFUNCTION("IF(B889="""","""",RIGHT(REGEXREPLACE(B889&amp;"""",""[^0-9]"",""""),9))"),"718820378")</f>
        <v>718820378</v>
      </c>
      <c r="B889" s="52">
        <v>7.18820378E8</v>
      </c>
      <c r="C889" s="28" t="s">
        <v>1107</v>
      </c>
      <c r="D889" s="26" t="s">
        <v>82</v>
      </c>
      <c r="E889" s="31">
        <v>46227.0</v>
      </c>
      <c r="F889" s="26" t="s">
        <v>46</v>
      </c>
      <c r="G889" s="26">
        <v>11.0</v>
      </c>
      <c r="I889" s="26" t="s">
        <v>42</v>
      </c>
      <c r="J889" s="25" t="str">
        <f t="shared" si="28"/>
        <v>No</v>
      </c>
      <c r="K889" s="25" t="str">
        <f t="shared" si="29"/>
        <v/>
      </c>
      <c r="L889" s="25" t="str">
        <f t="shared" si="30"/>
        <v/>
      </c>
      <c r="M889" s="25"/>
      <c r="O889" s="25"/>
    </row>
    <row r="890" ht="15.75" customHeight="1">
      <c r="A890" s="25" t="str">
        <f>IFERROR(__xludf.DUMMYFUNCTION("IF(B890="""","""",RIGHT(REGEXREPLACE(B890&amp;"""",""[^0-9]"",""""),9))"),"763050097")</f>
        <v>763050097</v>
      </c>
      <c r="B890" s="52">
        <v>7.63050097E8</v>
      </c>
      <c r="C890" s="28" t="s">
        <v>1108</v>
      </c>
      <c r="D890" s="26" t="s">
        <v>64</v>
      </c>
      <c r="E890" s="31">
        <v>46227.0</v>
      </c>
      <c r="F890" s="26" t="s">
        <v>46</v>
      </c>
      <c r="G890" s="26">
        <v>11.0</v>
      </c>
      <c r="I890" s="26" t="s">
        <v>42</v>
      </c>
      <c r="J890" s="25" t="str">
        <f t="shared" si="28"/>
        <v>No</v>
      </c>
      <c r="K890" s="25" t="str">
        <f t="shared" si="29"/>
        <v/>
      </c>
      <c r="L890" s="25" t="str">
        <f t="shared" si="30"/>
        <v/>
      </c>
      <c r="M890" s="25"/>
      <c r="O890" s="25"/>
    </row>
    <row r="891" ht="15.75" customHeight="1">
      <c r="A891" s="25" t="str">
        <f>IFERROR(__xludf.DUMMYFUNCTION("IF(B891="""","""",RIGHT(REGEXREPLACE(B891&amp;"""",""[^0-9]"",""""),9))"),"771756601")</f>
        <v>771756601</v>
      </c>
      <c r="B891" s="52">
        <v>7.71756601E8</v>
      </c>
      <c r="C891" s="28" t="s">
        <v>1109</v>
      </c>
      <c r="D891" s="26" t="s">
        <v>49</v>
      </c>
      <c r="E891" s="31">
        <v>46227.0</v>
      </c>
      <c r="F891" s="26" t="s">
        <v>41</v>
      </c>
      <c r="I891" s="26" t="s">
        <v>42</v>
      </c>
      <c r="J891" s="25" t="str">
        <f t="shared" si="28"/>
        <v>No</v>
      </c>
      <c r="K891" s="25" t="str">
        <f t="shared" si="29"/>
        <v/>
      </c>
      <c r="L891" s="25" t="str">
        <f t="shared" si="30"/>
        <v/>
      </c>
      <c r="M891" s="25"/>
      <c r="O891" s="25"/>
    </row>
    <row r="892" ht="15.75" customHeight="1">
      <c r="A892" s="25" t="str">
        <f>IFERROR(__xludf.DUMMYFUNCTION("IF(B892="""","""",RIGHT(REGEXREPLACE(B892&amp;"""",""[^0-9]"",""""),9))"),"762629964")</f>
        <v>762629964</v>
      </c>
      <c r="B892" s="52">
        <v>7.62629964E8</v>
      </c>
      <c r="C892" s="28" t="s">
        <v>1110</v>
      </c>
      <c r="D892" s="26" t="s">
        <v>45</v>
      </c>
      <c r="E892" s="31">
        <v>46227.0</v>
      </c>
      <c r="F892" s="26" t="s">
        <v>205</v>
      </c>
      <c r="H892" s="26" t="s">
        <v>677</v>
      </c>
      <c r="I892" s="26" t="s">
        <v>42</v>
      </c>
      <c r="J892" s="25" t="str">
        <f t="shared" si="28"/>
        <v>No</v>
      </c>
      <c r="K892" s="25" t="str">
        <f t="shared" si="29"/>
        <v/>
      </c>
      <c r="L892" s="25" t="str">
        <f t="shared" si="30"/>
        <v/>
      </c>
      <c r="M892" s="25"/>
      <c r="O892" s="25"/>
    </row>
    <row r="893" ht="15.75" customHeight="1">
      <c r="A893" s="25" t="str">
        <f>IFERROR(__xludf.DUMMYFUNCTION("IF(B893="""","""",RIGHT(REGEXREPLACE(B893&amp;"""",""[^0-9]"",""""),9))"),"786790804")</f>
        <v>786790804</v>
      </c>
      <c r="B893" s="52">
        <v>7.86790804E8</v>
      </c>
      <c r="C893" s="28" t="s">
        <v>1111</v>
      </c>
      <c r="D893" s="26" t="s">
        <v>49</v>
      </c>
      <c r="E893" s="31">
        <v>46227.0</v>
      </c>
      <c r="F893" s="26" t="s">
        <v>46</v>
      </c>
      <c r="G893" s="26">
        <v>11.0</v>
      </c>
      <c r="I893" s="26" t="s">
        <v>42</v>
      </c>
      <c r="J893" s="25" t="str">
        <f t="shared" si="28"/>
        <v>No</v>
      </c>
      <c r="K893" s="25" t="str">
        <f t="shared" si="29"/>
        <v/>
      </c>
      <c r="L893" s="25" t="str">
        <f t="shared" si="30"/>
        <v/>
      </c>
      <c r="M893" s="25"/>
      <c r="O893" s="25"/>
    </row>
    <row r="894" ht="15.75" customHeight="1">
      <c r="A894" s="25" t="str">
        <f>IFERROR(__xludf.DUMMYFUNCTION("IF(B894="""","""",RIGHT(REGEXREPLACE(B894&amp;"""",""[^0-9]"",""""),9))"),"762813565")</f>
        <v>762813565</v>
      </c>
      <c r="B894" s="52">
        <v>7.62813565E8</v>
      </c>
      <c r="C894" s="28" t="s">
        <v>1112</v>
      </c>
      <c r="D894" s="26" t="s">
        <v>82</v>
      </c>
      <c r="E894" s="31">
        <v>46227.0</v>
      </c>
      <c r="F894" s="26" t="s">
        <v>41</v>
      </c>
      <c r="G894" s="26">
        <v>11.0</v>
      </c>
      <c r="I894" s="26" t="s">
        <v>42</v>
      </c>
      <c r="J894" s="25" t="str">
        <f t="shared" si="28"/>
        <v>No</v>
      </c>
      <c r="K894" s="25" t="str">
        <f t="shared" si="29"/>
        <v/>
      </c>
      <c r="L894" s="25" t="str">
        <f t="shared" si="30"/>
        <v/>
      </c>
      <c r="M894" s="25"/>
      <c r="O894" s="25"/>
    </row>
    <row r="895" ht="15.75" customHeight="1">
      <c r="A895" s="25" t="str">
        <f>IFERROR(__xludf.DUMMYFUNCTION("IF(B895="""","""",RIGHT(REGEXREPLACE(B895&amp;"""",""[^0-9]"",""""),9))"),"716715322")</f>
        <v>716715322</v>
      </c>
      <c r="B895" s="52">
        <v>7.16715322E8</v>
      </c>
      <c r="C895" s="28" t="s">
        <v>1113</v>
      </c>
      <c r="D895" s="26" t="s">
        <v>45</v>
      </c>
      <c r="E895" s="31">
        <v>46227.0</v>
      </c>
      <c r="F895" s="26" t="s">
        <v>46</v>
      </c>
      <c r="G895" s="26">
        <v>10.0</v>
      </c>
      <c r="I895" s="26" t="s">
        <v>42</v>
      </c>
      <c r="J895" s="25" t="str">
        <f t="shared" si="28"/>
        <v>No</v>
      </c>
      <c r="K895" s="25" t="str">
        <f t="shared" si="29"/>
        <v/>
      </c>
      <c r="L895" s="25" t="str">
        <f t="shared" si="30"/>
        <v/>
      </c>
      <c r="M895" s="25"/>
      <c r="O895" s="25"/>
    </row>
    <row r="896" ht="15.75" customHeight="1">
      <c r="A896" s="25" t="str">
        <f>IFERROR(__xludf.DUMMYFUNCTION("IF(B896="""","""",RIGHT(REGEXREPLACE(B896&amp;"""",""[^0-9]"",""""),9))"),"707296831")</f>
        <v>707296831</v>
      </c>
      <c r="B896" s="52">
        <v>7.07296831E8</v>
      </c>
      <c r="C896" s="28" t="s">
        <v>1114</v>
      </c>
      <c r="D896" s="26" t="s">
        <v>64</v>
      </c>
      <c r="E896" s="31">
        <v>46227.0</v>
      </c>
      <c r="F896" s="26" t="s">
        <v>205</v>
      </c>
      <c r="G896" s="26">
        <v>11.0</v>
      </c>
      <c r="I896" s="26" t="s">
        <v>42</v>
      </c>
      <c r="J896" s="25" t="str">
        <f t="shared" si="28"/>
        <v>No</v>
      </c>
      <c r="K896" s="25" t="str">
        <f t="shared" si="29"/>
        <v/>
      </c>
      <c r="L896" s="25" t="str">
        <f t="shared" si="30"/>
        <v/>
      </c>
      <c r="M896" s="25"/>
      <c r="O896" s="25"/>
    </row>
    <row r="897" ht="15.75" customHeight="1">
      <c r="A897" s="25" t="str">
        <f>IFERROR(__xludf.DUMMYFUNCTION("IF(B897="""","""",RIGHT(REGEXREPLACE(B897&amp;"""",""[^0-9]"",""""),9))"),"771035237")</f>
        <v>771035237</v>
      </c>
      <c r="B897" s="52">
        <v>7.71035237E8</v>
      </c>
      <c r="C897" s="28" t="s">
        <v>1115</v>
      </c>
      <c r="D897" s="26" t="s">
        <v>56</v>
      </c>
      <c r="E897" s="31">
        <v>46227.0</v>
      </c>
      <c r="F897" s="26" t="s">
        <v>46</v>
      </c>
      <c r="G897" s="26">
        <v>11.0</v>
      </c>
      <c r="H897" s="26" t="s">
        <v>796</v>
      </c>
      <c r="I897" s="26" t="s">
        <v>42</v>
      </c>
      <c r="J897" s="25" t="str">
        <f t="shared" si="28"/>
        <v>No</v>
      </c>
      <c r="K897" s="25" t="str">
        <f t="shared" si="29"/>
        <v/>
      </c>
      <c r="L897" s="25" t="str">
        <f t="shared" si="30"/>
        <v/>
      </c>
      <c r="M897" s="25"/>
      <c r="O897" s="25"/>
    </row>
    <row r="898" ht="15.75" customHeight="1">
      <c r="A898" s="25" t="str">
        <f>IFERROR(__xludf.DUMMYFUNCTION("IF(B898="""","""",RIGHT(REGEXREPLACE(B898&amp;"""",""[^0-9]"",""""),9))"),"718003260")</f>
        <v>718003260</v>
      </c>
      <c r="B898" s="52">
        <v>7.1800326E8</v>
      </c>
      <c r="C898" s="28" t="s">
        <v>1116</v>
      </c>
      <c r="D898" s="26" t="s">
        <v>49</v>
      </c>
      <c r="E898" s="31">
        <v>46227.0</v>
      </c>
      <c r="F898" s="26" t="s">
        <v>46</v>
      </c>
      <c r="G898" s="26">
        <v>11.0</v>
      </c>
      <c r="I898" s="26" t="s">
        <v>42</v>
      </c>
      <c r="J898" s="25" t="str">
        <f t="shared" si="28"/>
        <v>No</v>
      </c>
      <c r="K898" s="25" t="str">
        <f t="shared" si="29"/>
        <v/>
      </c>
      <c r="L898" s="25" t="str">
        <f t="shared" si="30"/>
        <v/>
      </c>
      <c r="M898" s="25"/>
      <c r="O898" s="25"/>
    </row>
    <row r="899" ht="15.75" customHeight="1">
      <c r="A899" s="25" t="str">
        <f>IFERROR(__xludf.DUMMYFUNCTION("IF(B899="""","""",RIGHT(REGEXREPLACE(B899&amp;"""",""[^0-9]"",""""),9))"),"752755957")</f>
        <v>752755957</v>
      </c>
      <c r="B899" s="52">
        <v>7.52755957E8</v>
      </c>
      <c r="C899" s="28" t="s">
        <v>1117</v>
      </c>
      <c r="D899" s="26" t="s">
        <v>82</v>
      </c>
      <c r="E899" s="31">
        <v>46227.0</v>
      </c>
      <c r="F899" s="26" t="s">
        <v>704</v>
      </c>
      <c r="I899" s="26" t="s">
        <v>42</v>
      </c>
      <c r="J899" s="25" t="str">
        <f t="shared" si="28"/>
        <v>No</v>
      </c>
      <c r="K899" s="25" t="str">
        <f t="shared" si="29"/>
        <v/>
      </c>
      <c r="L899" s="25" t="str">
        <f t="shared" si="30"/>
        <v/>
      </c>
      <c r="M899" s="25"/>
      <c r="O899" s="25"/>
    </row>
    <row r="900" ht="15.75" customHeight="1">
      <c r="A900" s="25" t="str">
        <f>IFERROR(__xludf.DUMMYFUNCTION("IF(B900="""","""",RIGHT(REGEXREPLACE(B900&amp;"""",""[^0-9]"",""""),9))"),"770646123")</f>
        <v>770646123</v>
      </c>
      <c r="B900" s="26">
        <v>7.770646123E9</v>
      </c>
      <c r="C900" s="28" t="s">
        <v>1118</v>
      </c>
      <c r="D900" s="26" t="s">
        <v>37</v>
      </c>
      <c r="E900" s="31">
        <v>46227.0</v>
      </c>
      <c r="F900" s="26" t="s">
        <v>46</v>
      </c>
      <c r="G900" s="26">
        <v>11.0</v>
      </c>
      <c r="I900" s="26" t="s">
        <v>42</v>
      </c>
      <c r="J900" s="25" t="str">
        <f t="shared" si="28"/>
        <v>No</v>
      </c>
      <c r="K900" s="25" t="str">
        <f t="shared" si="29"/>
        <v/>
      </c>
      <c r="L900" s="25" t="str">
        <f t="shared" si="30"/>
        <v/>
      </c>
      <c r="M900" s="25"/>
      <c r="O900" s="25"/>
    </row>
    <row r="901" ht="15.75" customHeight="1">
      <c r="A901" s="25" t="str">
        <f>IFERROR(__xludf.DUMMYFUNCTION("IF(B901="""","""",RIGHT(REGEXREPLACE(B901&amp;"""",""[^0-9]"",""""),9))"),"777969977")</f>
        <v>777969977</v>
      </c>
      <c r="B901" s="52">
        <v>7.77969977E8</v>
      </c>
      <c r="C901" s="28" t="s">
        <v>1119</v>
      </c>
      <c r="D901" s="26" t="s">
        <v>45</v>
      </c>
      <c r="E901" s="31">
        <v>46227.0</v>
      </c>
      <c r="F901" s="26" t="s">
        <v>46</v>
      </c>
      <c r="G901" s="26">
        <v>10.0</v>
      </c>
      <c r="H901" s="26" t="s">
        <v>819</v>
      </c>
      <c r="I901" s="26" t="s">
        <v>42</v>
      </c>
      <c r="J901" s="25" t="str">
        <f t="shared" si="28"/>
        <v>No</v>
      </c>
      <c r="K901" s="25" t="str">
        <f t="shared" si="29"/>
        <v/>
      </c>
      <c r="L901" s="25" t="str">
        <f t="shared" si="30"/>
        <v/>
      </c>
      <c r="M901" s="25"/>
      <c r="O901" s="25"/>
    </row>
    <row r="902" ht="15.75" customHeight="1">
      <c r="A902" s="25" t="str">
        <f>IFERROR(__xludf.DUMMYFUNCTION("IF(B902="""","""",RIGHT(REGEXREPLACE(B902&amp;"""",""[^0-9]"",""""),9))"),"760837263")</f>
        <v>760837263</v>
      </c>
      <c r="B902" s="52">
        <v>7.60837263E8</v>
      </c>
      <c r="C902" s="28" t="s">
        <v>1120</v>
      </c>
      <c r="D902" s="26" t="s">
        <v>64</v>
      </c>
      <c r="E902" s="31">
        <v>46227.0</v>
      </c>
      <c r="F902" s="26" t="s">
        <v>41</v>
      </c>
      <c r="I902" s="26" t="s">
        <v>42</v>
      </c>
      <c r="J902" s="25" t="str">
        <f t="shared" si="28"/>
        <v>No</v>
      </c>
      <c r="K902" s="25" t="str">
        <f t="shared" si="29"/>
        <v/>
      </c>
      <c r="L902" s="25" t="str">
        <f t="shared" si="30"/>
        <v/>
      </c>
      <c r="M902" s="25"/>
      <c r="O902" s="25"/>
    </row>
    <row r="903" ht="15.75" customHeight="1">
      <c r="A903" s="25" t="str">
        <f>IFERROR(__xludf.DUMMYFUNCTION("IF(B903="""","""",RIGHT(REGEXREPLACE(B903&amp;"""",""[^0-9]"",""""),9))"),"766435267")</f>
        <v>766435267</v>
      </c>
      <c r="B903" s="52">
        <v>7.66435267E8</v>
      </c>
      <c r="C903" s="28" t="s">
        <v>1121</v>
      </c>
      <c r="D903" s="26" t="s">
        <v>82</v>
      </c>
      <c r="E903" s="31">
        <v>46227.0</v>
      </c>
      <c r="F903" s="26" t="s">
        <v>659</v>
      </c>
      <c r="G903" s="26">
        <v>11.0</v>
      </c>
      <c r="I903" s="26" t="s">
        <v>42</v>
      </c>
      <c r="J903" s="25" t="str">
        <f t="shared" si="28"/>
        <v>No</v>
      </c>
      <c r="K903" s="25" t="str">
        <f t="shared" si="29"/>
        <v/>
      </c>
      <c r="L903" s="25" t="str">
        <f t="shared" si="30"/>
        <v/>
      </c>
      <c r="M903" s="25"/>
      <c r="O903" s="25"/>
    </row>
    <row r="904" ht="15.75" customHeight="1">
      <c r="A904" s="25" t="str">
        <f>IFERROR(__xludf.DUMMYFUNCTION("IF(B904="""","""",RIGHT(REGEXREPLACE(B904&amp;"""",""[^0-9]"",""""),9))"),"717028258")</f>
        <v>717028258</v>
      </c>
      <c r="B904" s="52">
        <v>7.17028258E8</v>
      </c>
      <c r="C904" s="28" t="s">
        <v>1122</v>
      </c>
      <c r="D904" s="26" t="s">
        <v>49</v>
      </c>
      <c r="E904" s="31">
        <v>46227.0</v>
      </c>
      <c r="F904" s="26" t="s">
        <v>41</v>
      </c>
      <c r="I904" s="26" t="s">
        <v>42</v>
      </c>
      <c r="J904" s="25" t="str">
        <f t="shared" si="28"/>
        <v>No</v>
      </c>
      <c r="K904" s="25" t="str">
        <f t="shared" si="29"/>
        <v/>
      </c>
      <c r="L904" s="25" t="str">
        <f t="shared" si="30"/>
        <v/>
      </c>
      <c r="M904" s="25"/>
      <c r="O904" s="25"/>
    </row>
    <row r="905" ht="15.75" customHeight="1">
      <c r="A905" s="25" t="str">
        <f>IFERROR(__xludf.DUMMYFUNCTION("IF(B905="""","""",RIGHT(REGEXREPLACE(B905&amp;"""",""[^0-9]"",""""),9))"),"773124214")</f>
        <v>773124214</v>
      </c>
      <c r="B905" s="26">
        <v>7.73124214E8</v>
      </c>
      <c r="C905" s="28" t="s">
        <v>1123</v>
      </c>
      <c r="D905" s="26" t="s">
        <v>37</v>
      </c>
      <c r="E905" s="31">
        <v>46227.0</v>
      </c>
      <c r="F905" s="26" t="s">
        <v>41</v>
      </c>
      <c r="I905" s="26" t="s">
        <v>42</v>
      </c>
      <c r="J905" s="25" t="str">
        <f t="shared" si="28"/>
        <v>No</v>
      </c>
      <c r="K905" s="25" t="str">
        <f t="shared" si="29"/>
        <v/>
      </c>
      <c r="L905" s="25" t="str">
        <f t="shared" si="30"/>
        <v/>
      </c>
      <c r="M905" s="25"/>
      <c r="O905" s="25"/>
    </row>
    <row r="906" ht="15.75" customHeight="1">
      <c r="A906" s="25" t="str">
        <f>IFERROR(__xludf.DUMMYFUNCTION("IF(B906="""","""",RIGHT(REGEXREPLACE(B906&amp;"""",""[^0-9]"",""""),9))"),"768333800")</f>
        <v>768333800</v>
      </c>
      <c r="B906" s="52">
        <v>7.683338E8</v>
      </c>
      <c r="C906" s="28" t="s">
        <v>1124</v>
      </c>
      <c r="D906" s="26" t="s">
        <v>56</v>
      </c>
      <c r="E906" s="31">
        <v>46227.0</v>
      </c>
      <c r="F906" s="26" t="s">
        <v>41</v>
      </c>
      <c r="G906" s="26">
        <v>9.0</v>
      </c>
      <c r="H906" s="26" t="s">
        <v>796</v>
      </c>
      <c r="I906" s="26" t="s">
        <v>42</v>
      </c>
      <c r="J906" s="25" t="str">
        <f t="shared" si="28"/>
        <v>No</v>
      </c>
      <c r="K906" s="25" t="str">
        <f t="shared" si="29"/>
        <v/>
      </c>
      <c r="L906" s="25" t="str">
        <f t="shared" si="30"/>
        <v/>
      </c>
      <c r="M906" s="25"/>
      <c r="O906" s="25"/>
    </row>
    <row r="907" ht="15.75" customHeight="1">
      <c r="A907" s="25" t="str">
        <f>IFERROR(__xludf.DUMMYFUNCTION("IF(B907="""","""",RIGHT(REGEXREPLACE(B907&amp;"""",""[^0-9]"",""""),9))"),"773454155")</f>
        <v>773454155</v>
      </c>
      <c r="B907" s="52">
        <v>7.73454155E8</v>
      </c>
      <c r="C907" s="28" t="s">
        <v>1125</v>
      </c>
      <c r="D907" s="26" t="s">
        <v>45</v>
      </c>
      <c r="E907" s="31">
        <v>46227.0</v>
      </c>
      <c r="F907" s="26" t="s">
        <v>41</v>
      </c>
      <c r="I907" s="26" t="s">
        <v>42</v>
      </c>
      <c r="J907" s="25" t="str">
        <f t="shared" si="28"/>
        <v>No</v>
      </c>
      <c r="K907" s="25" t="str">
        <f t="shared" si="29"/>
        <v/>
      </c>
      <c r="L907" s="25" t="str">
        <f t="shared" si="30"/>
        <v/>
      </c>
      <c r="M907" s="25"/>
      <c r="O907" s="25"/>
    </row>
    <row r="908" ht="15.75" customHeight="1">
      <c r="A908" s="25" t="str">
        <f>IFERROR(__xludf.DUMMYFUNCTION("IF(B908="""","""",RIGHT(REGEXREPLACE(B908&amp;"""",""[^0-9]"",""""),9))"),"766586554")</f>
        <v>766586554</v>
      </c>
      <c r="B908" s="26">
        <v>7.66586554E8</v>
      </c>
      <c r="C908" s="28" t="s">
        <v>1126</v>
      </c>
      <c r="D908" s="26" t="s">
        <v>37</v>
      </c>
      <c r="E908" s="31">
        <v>46227.0</v>
      </c>
      <c r="F908" s="26" t="s">
        <v>84</v>
      </c>
      <c r="I908" s="26" t="s">
        <v>42</v>
      </c>
      <c r="J908" s="25" t="str">
        <f t="shared" si="28"/>
        <v>No</v>
      </c>
      <c r="K908" s="25" t="str">
        <f t="shared" si="29"/>
        <v/>
      </c>
      <c r="L908" s="25" t="str">
        <f t="shared" si="30"/>
        <v/>
      </c>
      <c r="M908" s="25"/>
      <c r="O908" s="25"/>
    </row>
    <row r="909" ht="15.75" customHeight="1">
      <c r="A909" s="25" t="str">
        <f>IFERROR(__xludf.DUMMYFUNCTION("IF(B909="""","""",RIGHT(REGEXREPLACE(B909&amp;"""",""[^0-9]"",""""),9))"),"771629720")</f>
        <v>771629720</v>
      </c>
      <c r="B909" s="52">
        <v>7.7162972E8</v>
      </c>
      <c r="C909" s="28" t="s">
        <v>1127</v>
      </c>
      <c r="D909" s="26" t="s">
        <v>64</v>
      </c>
      <c r="E909" s="31">
        <v>46227.0</v>
      </c>
      <c r="F909" s="26" t="s">
        <v>41</v>
      </c>
      <c r="I909" s="26" t="s">
        <v>42</v>
      </c>
      <c r="J909" s="25" t="str">
        <f t="shared" si="28"/>
        <v>No</v>
      </c>
      <c r="K909" s="25" t="str">
        <f t="shared" si="29"/>
        <v/>
      </c>
      <c r="L909" s="25" t="str">
        <f t="shared" si="30"/>
        <v/>
      </c>
      <c r="M909" s="25"/>
      <c r="O909" s="25"/>
    </row>
    <row r="910" ht="15.75" customHeight="1">
      <c r="A910" s="25" t="str">
        <f>IFERROR(__xludf.DUMMYFUNCTION("IF(B910="""","""",RIGHT(REGEXREPLACE(B910&amp;"""",""[^0-9]"",""""),9))"),"702894929")</f>
        <v>702894929</v>
      </c>
      <c r="B910" s="52">
        <v>7.02894929E8</v>
      </c>
      <c r="C910" s="28" t="s">
        <v>1128</v>
      </c>
      <c r="D910" s="26" t="s">
        <v>49</v>
      </c>
      <c r="E910" s="31">
        <v>46227.0</v>
      </c>
      <c r="F910" s="26" t="s">
        <v>41</v>
      </c>
      <c r="G910" s="26">
        <v>11.0</v>
      </c>
      <c r="I910" s="26" t="s">
        <v>42</v>
      </c>
      <c r="J910" s="25" t="str">
        <f t="shared" si="28"/>
        <v>No</v>
      </c>
      <c r="K910" s="25" t="str">
        <f t="shared" si="29"/>
        <v/>
      </c>
      <c r="L910" s="25" t="str">
        <f t="shared" si="30"/>
        <v/>
      </c>
      <c r="M910" s="25"/>
      <c r="O910" s="25"/>
    </row>
    <row r="911" ht="15.75" customHeight="1">
      <c r="A911" s="25" t="str">
        <f>IFERROR(__xludf.DUMMYFUNCTION("IF(B911="""","""",RIGHT(REGEXREPLACE(B911&amp;"""",""[^0-9]"",""""),9))"),"779293531")</f>
        <v>779293531</v>
      </c>
      <c r="B911" s="52">
        <v>4.779293531E9</v>
      </c>
      <c r="C911" s="28" t="s">
        <v>1129</v>
      </c>
      <c r="D911" s="26" t="s">
        <v>82</v>
      </c>
      <c r="E911" s="31">
        <v>46227.0</v>
      </c>
      <c r="F911" s="26" t="s">
        <v>46</v>
      </c>
      <c r="G911" s="26">
        <v>11.0</v>
      </c>
      <c r="I911" s="26" t="s">
        <v>42</v>
      </c>
      <c r="J911" s="25" t="str">
        <f t="shared" si="28"/>
        <v>No</v>
      </c>
      <c r="K911" s="25" t="str">
        <f t="shared" si="29"/>
        <v/>
      </c>
      <c r="L911" s="25" t="str">
        <f t="shared" si="30"/>
        <v/>
      </c>
      <c r="M911" s="25"/>
      <c r="O911" s="25"/>
    </row>
    <row r="912" ht="15.75" customHeight="1">
      <c r="A912" s="25" t="str">
        <f>IFERROR(__xludf.DUMMYFUNCTION("IF(B912="""","""",RIGHT(REGEXREPLACE(B912&amp;"""",""[^0-9]"",""""),9))"),"743628274")</f>
        <v>743628274</v>
      </c>
      <c r="B912" s="26">
        <v>7.43628274E8</v>
      </c>
      <c r="C912" s="28" t="s">
        <v>1130</v>
      </c>
      <c r="D912" s="26" t="s">
        <v>37</v>
      </c>
      <c r="E912" s="31">
        <v>46227.0</v>
      </c>
      <c r="F912" s="26" t="s">
        <v>164</v>
      </c>
      <c r="I912" s="26" t="s">
        <v>42</v>
      </c>
      <c r="J912" s="25" t="str">
        <f t="shared" si="28"/>
        <v>No</v>
      </c>
      <c r="K912" s="25" t="str">
        <f t="shared" si="29"/>
        <v/>
      </c>
      <c r="L912" s="25" t="str">
        <f t="shared" si="30"/>
        <v/>
      </c>
      <c r="M912" s="25"/>
      <c r="O912" s="25"/>
    </row>
    <row r="913" ht="15.75" customHeight="1">
      <c r="A913" s="25" t="str">
        <f>IFERROR(__xludf.DUMMYFUNCTION("IF(B913="""","""",RIGHT(REGEXREPLACE(B913&amp;"""",""[^0-9]"",""""),9))"),"761508884")</f>
        <v>761508884</v>
      </c>
      <c r="B913" s="26">
        <v>7.61508884E8</v>
      </c>
      <c r="C913" s="28" t="s">
        <v>1131</v>
      </c>
      <c r="D913" s="26" t="s">
        <v>37</v>
      </c>
      <c r="E913" s="31">
        <v>46227.0</v>
      </c>
      <c r="F913" s="26" t="s">
        <v>125</v>
      </c>
      <c r="I913" s="26" t="s">
        <v>42</v>
      </c>
      <c r="J913" s="25" t="str">
        <f t="shared" si="28"/>
        <v>No</v>
      </c>
      <c r="K913" s="25" t="str">
        <f t="shared" si="29"/>
        <v/>
      </c>
      <c r="L913" s="25" t="str">
        <f t="shared" si="30"/>
        <v/>
      </c>
      <c r="M913" s="25"/>
      <c r="O913" s="25"/>
    </row>
    <row r="914" ht="15.75" customHeight="1">
      <c r="A914" s="25" t="str">
        <f>IFERROR(__xludf.DUMMYFUNCTION("IF(B914="""","""",RIGHT(REGEXREPLACE(B914&amp;"""",""[^0-9]"",""""),9))"),"761802581")</f>
        <v>761802581</v>
      </c>
      <c r="B914" s="52">
        <v>7.61802581E8</v>
      </c>
      <c r="C914" s="28" t="s">
        <v>1132</v>
      </c>
      <c r="D914" s="26" t="s">
        <v>45</v>
      </c>
      <c r="E914" s="31">
        <v>46227.0</v>
      </c>
      <c r="F914" s="26" t="s">
        <v>46</v>
      </c>
      <c r="G914" s="26">
        <v>11.0</v>
      </c>
      <c r="I914" s="26" t="s">
        <v>42</v>
      </c>
      <c r="J914" s="25" t="str">
        <f t="shared" si="28"/>
        <v>No</v>
      </c>
      <c r="K914" s="25" t="str">
        <f t="shared" si="29"/>
        <v/>
      </c>
      <c r="L914" s="25" t="str">
        <f t="shared" si="30"/>
        <v/>
      </c>
      <c r="M914" s="25"/>
      <c r="O914" s="25"/>
    </row>
    <row r="915" ht="15.75" customHeight="1">
      <c r="A915" s="25" t="str">
        <f>IFERROR(__xludf.DUMMYFUNCTION("IF(B915="""","""",RIGHT(REGEXREPLACE(B915&amp;"""",""[^0-9]"",""""),9))"),"786770286")</f>
        <v>786770286</v>
      </c>
      <c r="B915" s="52">
        <v>7.86770286E8</v>
      </c>
      <c r="C915" s="28" t="s">
        <v>1133</v>
      </c>
      <c r="D915" s="26" t="s">
        <v>56</v>
      </c>
      <c r="E915" s="31">
        <v>46227.0</v>
      </c>
      <c r="F915" s="26" t="s">
        <v>205</v>
      </c>
      <c r="G915" s="26">
        <v>10.0</v>
      </c>
      <c r="I915" s="26" t="s">
        <v>42</v>
      </c>
      <c r="J915" s="25" t="str">
        <f t="shared" si="28"/>
        <v>No</v>
      </c>
      <c r="K915" s="25" t="str">
        <f t="shared" si="29"/>
        <v/>
      </c>
      <c r="L915" s="25" t="str">
        <f t="shared" si="30"/>
        <v/>
      </c>
      <c r="M915" s="25"/>
      <c r="O915" s="25"/>
    </row>
    <row r="916" ht="15.75" customHeight="1">
      <c r="A916" s="25" t="str">
        <f>IFERROR(__xludf.DUMMYFUNCTION("IF(B916="""","""",RIGHT(REGEXREPLACE(B916&amp;"""",""[^0-9]"",""""),9))"),"711234868")</f>
        <v>711234868</v>
      </c>
      <c r="B916" s="52">
        <v>7.11234868E8</v>
      </c>
      <c r="C916" s="28" t="s">
        <v>1134</v>
      </c>
      <c r="D916" s="26" t="s">
        <v>64</v>
      </c>
      <c r="E916" s="31">
        <v>46227.0</v>
      </c>
      <c r="F916" s="26" t="s">
        <v>46</v>
      </c>
      <c r="G916" s="26">
        <v>11.0</v>
      </c>
      <c r="I916" s="26" t="s">
        <v>42</v>
      </c>
      <c r="J916" s="25" t="str">
        <f t="shared" si="28"/>
        <v>No</v>
      </c>
      <c r="K916" s="25" t="str">
        <f t="shared" si="29"/>
        <v/>
      </c>
      <c r="L916" s="25" t="str">
        <f t="shared" si="30"/>
        <v/>
      </c>
      <c r="M916" s="25"/>
      <c r="O916" s="25"/>
    </row>
    <row r="917" ht="15.75" customHeight="1">
      <c r="A917" s="25" t="str">
        <f>IFERROR(__xludf.DUMMYFUNCTION("IF(B917="""","""",RIGHT(REGEXREPLACE(B917&amp;"""",""[^0-9]"",""""),9))"),"769795321")</f>
        <v>769795321</v>
      </c>
      <c r="B917" s="52">
        <v>7.69795321E8</v>
      </c>
      <c r="C917" s="28" t="s">
        <v>1135</v>
      </c>
      <c r="D917" s="26" t="s">
        <v>49</v>
      </c>
      <c r="E917" s="31">
        <v>46227.0</v>
      </c>
      <c r="F917" s="26" t="s">
        <v>46</v>
      </c>
      <c r="G917" s="26">
        <v>11.0</v>
      </c>
      <c r="I917" s="26" t="s">
        <v>42</v>
      </c>
      <c r="J917" s="25" t="str">
        <f t="shared" si="28"/>
        <v>No</v>
      </c>
      <c r="K917" s="25" t="str">
        <f t="shared" si="29"/>
        <v/>
      </c>
      <c r="L917" s="25" t="str">
        <f t="shared" si="30"/>
        <v/>
      </c>
      <c r="M917" s="25"/>
      <c r="O917" s="25"/>
    </row>
    <row r="918" ht="15.75" customHeight="1">
      <c r="A918" s="25" t="str">
        <f>IFERROR(__xludf.DUMMYFUNCTION("IF(B918="""","""",RIGHT(REGEXREPLACE(B918&amp;"""",""[^0-9]"",""""),9))"),"779892476")</f>
        <v>779892476</v>
      </c>
      <c r="B918" s="26">
        <v>7.79892476E8</v>
      </c>
      <c r="C918" s="28" t="s">
        <v>1136</v>
      </c>
      <c r="D918" s="26" t="s">
        <v>37</v>
      </c>
      <c r="E918" s="31">
        <v>46227.0</v>
      </c>
      <c r="F918" s="26" t="s">
        <v>46</v>
      </c>
      <c r="G918" s="26">
        <v>11.0</v>
      </c>
      <c r="I918" s="26" t="s">
        <v>42</v>
      </c>
      <c r="J918" s="25" t="str">
        <f t="shared" si="28"/>
        <v>No</v>
      </c>
      <c r="K918" s="25" t="str">
        <f t="shared" si="29"/>
        <v/>
      </c>
      <c r="L918" s="25" t="str">
        <f t="shared" si="30"/>
        <v/>
      </c>
      <c r="M918" s="25"/>
      <c r="O918" s="25"/>
    </row>
    <row r="919" ht="15.75" customHeight="1">
      <c r="A919" s="25" t="str">
        <f>IFERROR(__xludf.DUMMYFUNCTION("IF(B919="""","""",RIGHT(REGEXREPLACE(B919&amp;"""",""[^0-9]"",""""),9))"),"779416081")</f>
        <v>779416081</v>
      </c>
      <c r="B919" s="26">
        <v>7.79416081E8</v>
      </c>
      <c r="C919" s="28" t="s">
        <v>1137</v>
      </c>
      <c r="D919" s="26" t="s">
        <v>37</v>
      </c>
      <c r="E919" s="31">
        <v>46227.0</v>
      </c>
      <c r="F919" s="26" t="s">
        <v>631</v>
      </c>
      <c r="G919" s="26">
        <v>11.0</v>
      </c>
      <c r="I919" s="26" t="s">
        <v>42</v>
      </c>
      <c r="J919" s="25" t="str">
        <f t="shared" si="28"/>
        <v>No</v>
      </c>
      <c r="K919" s="25" t="str">
        <f t="shared" si="29"/>
        <v/>
      </c>
      <c r="L919" s="25" t="str">
        <f t="shared" si="30"/>
        <v/>
      </c>
      <c r="M919" s="25"/>
      <c r="O919" s="25"/>
    </row>
    <row r="920" ht="15.75" customHeight="1">
      <c r="A920" s="25" t="str">
        <f>IFERROR(__xludf.DUMMYFUNCTION("IF(B920="""","""",RIGHT(REGEXREPLACE(B920&amp;"""",""[^0-9]"",""""),9))"),"751510091")</f>
        <v>751510091</v>
      </c>
      <c r="B920" s="52">
        <v>7.51510091E8</v>
      </c>
      <c r="C920" s="28" t="s">
        <v>1138</v>
      </c>
      <c r="D920" s="26" t="s">
        <v>82</v>
      </c>
      <c r="E920" s="31">
        <v>46227.0</v>
      </c>
      <c r="F920" s="26" t="s">
        <v>46</v>
      </c>
      <c r="G920" s="26">
        <v>11.0</v>
      </c>
      <c r="I920" s="26" t="s">
        <v>42</v>
      </c>
      <c r="J920" s="25" t="str">
        <f t="shared" si="28"/>
        <v>No</v>
      </c>
      <c r="K920" s="25" t="str">
        <f t="shared" si="29"/>
        <v/>
      </c>
      <c r="L920" s="25" t="str">
        <f t="shared" si="30"/>
        <v/>
      </c>
      <c r="M920" s="25"/>
      <c r="O920" s="25"/>
    </row>
    <row r="921" ht="15.75" customHeight="1">
      <c r="A921" s="25" t="str">
        <f>IFERROR(__xludf.DUMMYFUNCTION("IF(B921="""","""",RIGHT(REGEXREPLACE(B921&amp;"""",""[^0-9]"",""""),9))"),"763436579")</f>
        <v>763436579</v>
      </c>
      <c r="B921" s="52">
        <v>7.63436579E8</v>
      </c>
      <c r="C921" s="28" t="s">
        <v>1139</v>
      </c>
      <c r="D921" s="26" t="s">
        <v>56</v>
      </c>
      <c r="E921" s="31">
        <v>46227.0</v>
      </c>
      <c r="F921" s="26" t="s">
        <v>41</v>
      </c>
      <c r="G921" s="26">
        <v>11.0</v>
      </c>
      <c r="I921" s="26" t="s">
        <v>42</v>
      </c>
      <c r="J921" s="25" t="str">
        <f t="shared" si="28"/>
        <v>No</v>
      </c>
      <c r="K921" s="25" t="str">
        <f t="shared" si="29"/>
        <v/>
      </c>
      <c r="L921" s="25" t="str">
        <f t="shared" si="30"/>
        <v/>
      </c>
      <c r="M921" s="25"/>
      <c r="O921" s="25"/>
    </row>
    <row r="922" ht="15.75" customHeight="1">
      <c r="A922" s="25" t="str">
        <f>IFERROR(__xludf.DUMMYFUNCTION("IF(B922="""","""",RIGHT(REGEXREPLACE(B922&amp;"""",""[^0-9]"",""""),9))"),"763837360")</f>
        <v>763837360</v>
      </c>
      <c r="B922" s="26">
        <v>7.6383736E8</v>
      </c>
      <c r="C922" s="28" t="s">
        <v>1140</v>
      </c>
      <c r="D922" s="26" t="s">
        <v>37</v>
      </c>
      <c r="E922" s="31">
        <v>46227.0</v>
      </c>
      <c r="F922" s="26" t="s">
        <v>631</v>
      </c>
      <c r="G922" s="26">
        <v>11.0</v>
      </c>
      <c r="I922" s="26" t="s">
        <v>42</v>
      </c>
      <c r="J922" s="25" t="str">
        <f t="shared" si="28"/>
        <v>No</v>
      </c>
      <c r="K922" s="25" t="str">
        <f t="shared" si="29"/>
        <v/>
      </c>
      <c r="L922" s="25" t="str">
        <f t="shared" si="30"/>
        <v/>
      </c>
      <c r="M922" s="25"/>
      <c r="O922" s="25"/>
    </row>
    <row r="923" ht="15.75" customHeight="1">
      <c r="A923" s="25" t="str">
        <f>IFERROR(__xludf.DUMMYFUNCTION("IF(B923="""","""",RIGHT(REGEXREPLACE(B923&amp;"""",""[^0-9]"",""""),9))"),"705190395")</f>
        <v>705190395</v>
      </c>
      <c r="B923" s="52">
        <v>7.05190395E8</v>
      </c>
      <c r="C923" s="28" t="s">
        <v>1141</v>
      </c>
      <c r="D923" s="26" t="s">
        <v>49</v>
      </c>
      <c r="E923" s="31">
        <v>46227.0</v>
      </c>
      <c r="F923" s="26" t="s">
        <v>46</v>
      </c>
      <c r="G923" s="26">
        <v>11.0</v>
      </c>
      <c r="I923" s="26" t="s">
        <v>42</v>
      </c>
      <c r="J923" s="25" t="str">
        <f t="shared" si="28"/>
        <v>No</v>
      </c>
      <c r="K923" s="25" t="str">
        <f t="shared" si="29"/>
        <v/>
      </c>
      <c r="L923" s="25" t="str">
        <f t="shared" si="30"/>
        <v/>
      </c>
      <c r="M923" s="25"/>
      <c r="O923" s="25"/>
    </row>
    <row r="924" ht="15.75" customHeight="1">
      <c r="A924" s="25" t="str">
        <f>IFERROR(__xludf.DUMMYFUNCTION("IF(B924="""","""",RIGHT(REGEXREPLACE(B924&amp;"""",""[^0-9]"",""""),9))"),"703559549")</f>
        <v>703559549</v>
      </c>
      <c r="B924" s="26">
        <v>7.03559549E8</v>
      </c>
      <c r="C924" s="28" t="s">
        <v>1142</v>
      </c>
      <c r="D924" s="26" t="s">
        <v>37</v>
      </c>
      <c r="E924" s="31">
        <v>46227.0</v>
      </c>
      <c r="F924" s="26" t="s">
        <v>46</v>
      </c>
      <c r="G924" s="26">
        <v>10.0</v>
      </c>
      <c r="I924" s="26" t="s">
        <v>42</v>
      </c>
      <c r="J924" s="25" t="str">
        <f t="shared" si="28"/>
        <v>No</v>
      </c>
      <c r="K924" s="25" t="str">
        <f t="shared" si="29"/>
        <v/>
      </c>
      <c r="L924" s="25" t="str">
        <f t="shared" si="30"/>
        <v/>
      </c>
      <c r="M924" s="25"/>
      <c r="O924" s="25"/>
    </row>
    <row r="925" ht="15.75" customHeight="1">
      <c r="A925" s="25" t="str">
        <f>IFERROR(__xludf.DUMMYFUNCTION("IF(B925="""","""",RIGHT(REGEXREPLACE(B925&amp;"""",""[^0-9]"",""""),9))"),"767212683")</f>
        <v>767212683</v>
      </c>
      <c r="B925" s="52">
        <v>7.67212683E8</v>
      </c>
      <c r="C925" s="28" t="s">
        <v>1143</v>
      </c>
      <c r="D925" s="26" t="s">
        <v>45</v>
      </c>
      <c r="E925" s="31">
        <v>46227.0</v>
      </c>
      <c r="F925" s="26" t="s">
        <v>46</v>
      </c>
      <c r="G925" s="26">
        <v>11.0</v>
      </c>
      <c r="I925" s="26" t="s">
        <v>42</v>
      </c>
      <c r="J925" s="25" t="str">
        <f t="shared" si="28"/>
        <v>No</v>
      </c>
      <c r="K925" s="25" t="str">
        <f t="shared" si="29"/>
        <v/>
      </c>
      <c r="L925" s="25" t="str">
        <f t="shared" si="30"/>
        <v/>
      </c>
      <c r="M925" s="25"/>
      <c r="O925" s="25"/>
    </row>
    <row r="926" ht="15.75" customHeight="1">
      <c r="A926" s="25" t="str">
        <f>IFERROR(__xludf.DUMMYFUNCTION("IF(B926="""","""",RIGHT(REGEXREPLACE(B926&amp;"""",""[^0-9]"",""""),9))"),"756976844")</f>
        <v>756976844</v>
      </c>
      <c r="B926" s="52">
        <v>7.56976844E8</v>
      </c>
      <c r="C926" s="28" t="s">
        <v>1144</v>
      </c>
      <c r="D926" s="26" t="s">
        <v>56</v>
      </c>
      <c r="E926" s="31">
        <v>46227.0</v>
      </c>
      <c r="F926" s="26" t="s">
        <v>46</v>
      </c>
      <c r="G926" s="26">
        <v>11.0</v>
      </c>
      <c r="I926" s="26" t="s">
        <v>42</v>
      </c>
      <c r="J926" s="25" t="str">
        <f t="shared" si="28"/>
        <v>No</v>
      </c>
      <c r="K926" s="25" t="str">
        <f t="shared" si="29"/>
        <v/>
      </c>
      <c r="L926" s="25" t="str">
        <f t="shared" si="30"/>
        <v/>
      </c>
      <c r="M926" s="25"/>
      <c r="O926" s="25"/>
    </row>
    <row r="927" ht="15.75" customHeight="1">
      <c r="A927" s="25" t="str">
        <f>IFERROR(__xludf.DUMMYFUNCTION("IF(B927="""","""",RIGHT(REGEXREPLACE(B927&amp;"""",""[^0-9]"",""""),9))"),"771422789")</f>
        <v>771422789</v>
      </c>
      <c r="B927" s="52">
        <v>7.71422789E8</v>
      </c>
      <c r="C927" s="28" t="s">
        <v>1145</v>
      </c>
      <c r="D927" s="26" t="s">
        <v>64</v>
      </c>
      <c r="E927" s="31">
        <v>46227.0</v>
      </c>
      <c r="F927" s="26" t="s">
        <v>41</v>
      </c>
      <c r="G927" s="26">
        <v>11.0</v>
      </c>
      <c r="I927" s="26" t="s">
        <v>42</v>
      </c>
      <c r="J927" s="25" t="str">
        <f t="shared" si="28"/>
        <v>No</v>
      </c>
      <c r="K927" s="25" t="str">
        <f t="shared" si="29"/>
        <v/>
      </c>
      <c r="L927" s="25" t="str">
        <f t="shared" si="30"/>
        <v/>
      </c>
      <c r="M927" s="25"/>
      <c r="O927" s="25"/>
    </row>
    <row r="928" ht="15.75" customHeight="1">
      <c r="A928" s="25" t="str">
        <f>IFERROR(__xludf.DUMMYFUNCTION("IF(B928="""","""",RIGHT(REGEXREPLACE(B928&amp;"""",""[^0-9]"",""""),9))"),"714132104")</f>
        <v>714132104</v>
      </c>
      <c r="B928" s="26">
        <v>7.14132104E8</v>
      </c>
      <c r="C928" s="28" t="s">
        <v>1146</v>
      </c>
      <c r="D928" s="26" t="s">
        <v>37</v>
      </c>
      <c r="E928" s="31">
        <v>46227.0</v>
      </c>
      <c r="F928" s="26" t="s">
        <v>704</v>
      </c>
      <c r="I928" s="26" t="s">
        <v>42</v>
      </c>
      <c r="J928" s="25" t="str">
        <f t="shared" si="28"/>
        <v>No</v>
      </c>
      <c r="K928" s="25" t="str">
        <f t="shared" si="29"/>
        <v/>
      </c>
      <c r="L928" s="25" t="str">
        <f t="shared" si="30"/>
        <v/>
      </c>
      <c r="M928" s="25"/>
      <c r="O928" s="25"/>
    </row>
    <row r="929" ht="15.75" customHeight="1">
      <c r="A929" s="25" t="str">
        <f>IFERROR(__xludf.DUMMYFUNCTION("IF(B929="""","""",RIGHT(REGEXREPLACE(B929&amp;"""",""[^0-9]"",""""),9))"),"763896553")</f>
        <v>763896553</v>
      </c>
      <c r="B929" s="52">
        <v>7.63896553E8</v>
      </c>
      <c r="C929" s="28" t="s">
        <v>1147</v>
      </c>
      <c r="D929" s="26" t="s">
        <v>82</v>
      </c>
      <c r="E929" s="31">
        <v>46227.0</v>
      </c>
      <c r="F929" s="26" t="s">
        <v>41</v>
      </c>
      <c r="G929" s="26">
        <v>11.0</v>
      </c>
      <c r="I929" s="26" t="s">
        <v>42</v>
      </c>
      <c r="J929" s="25" t="str">
        <f t="shared" si="28"/>
        <v>No</v>
      </c>
      <c r="K929" s="25" t="str">
        <f t="shared" si="29"/>
        <v/>
      </c>
      <c r="L929" s="25" t="str">
        <f t="shared" si="30"/>
        <v/>
      </c>
      <c r="M929" s="25"/>
      <c r="O929" s="25"/>
    </row>
    <row r="930" ht="15.75" customHeight="1">
      <c r="A930" s="25" t="str">
        <f>IFERROR(__xludf.DUMMYFUNCTION("IF(B930="""","""",RIGHT(REGEXREPLACE(B930&amp;"""",""[^0-9]"",""""),9))"),"762987524")</f>
        <v>762987524</v>
      </c>
      <c r="B930" s="52">
        <v>7.62987524E8</v>
      </c>
      <c r="C930" s="28" t="s">
        <v>1148</v>
      </c>
      <c r="D930" s="26" t="s">
        <v>49</v>
      </c>
      <c r="E930" s="31">
        <v>46227.0</v>
      </c>
      <c r="F930" s="26" t="s">
        <v>46</v>
      </c>
      <c r="G930" s="26">
        <v>11.0</v>
      </c>
      <c r="I930" s="26" t="s">
        <v>42</v>
      </c>
      <c r="J930" s="25" t="str">
        <f t="shared" si="28"/>
        <v>No</v>
      </c>
      <c r="K930" s="25" t="str">
        <f t="shared" si="29"/>
        <v/>
      </c>
      <c r="L930" s="25" t="str">
        <f t="shared" si="30"/>
        <v/>
      </c>
      <c r="M930" s="25"/>
      <c r="O930" s="25"/>
    </row>
    <row r="931" ht="15.75" customHeight="1">
      <c r="A931" s="25" t="str">
        <f>IFERROR(__xludf.DUMMYFUNCTION("IF(B931="""","""",RIGHT(REGEXREPLACE(B931&amp;"""",""[^0-9]"",""""),9))"),"787006004")</f>
        <v>787006004</v>
      </c>
      <c r="B931" s="26">
        <v>7.87006004E8</v>
      </c>
      <c r="C931" s="28" t="s">
        <v>1149</v>
      </c>
      <c r="D931" s="26" t="s">
        <v>37</v>
      </c>
      <c r="E931" s="31">
        <v>46227.0</v>
      </c>
      <c r="F931" s="26" t="s">
        <v>41</v>
      </c>
      <c r="G931" s="26">
        <v>11.0</v>
      </c>
      <c r="I931" s="26" t="s">
        <v>42</v>
      </c>
      <c r="J931" s="25" t="str">
        <f t="shared" si="28"/>
        <v>No</v>
      </c>
      <c r="K931" s="25" t="str">
        <f t="shared" si="29"/>
        <v/>
      </c>
      <c r="L931" s="25" t="str">
        <f t="shared" si="30"/>
        <v/>
      </c>
      <c r="M931" s="25"/>
      <c r="O931" s="25"/>
    </row>
    <row r="932" ht="15.75" customHeight="1">
      <c r="A932" s="25" t="str">
        <f>IFERROR(__xludf.DUMMYFUNCTION("IF(B932="""","""",RIGHT(REGEXREPLACE(B932&amp;"""",""[^0-9]"",""""),9))"),"777787558")</f>
        <v>777787558</v>
      </c>
      <c r="B932" s="52">
        <v>7.77787558E8</v>
      </c>
      <c r="C932" s="28" t="s">
        <v>1150</v>
      </c>
      <c r="D932" s="26" t="s">
        <v>64</v>
      </c>
      <c r="E932" s="31">
        <v>46227.0</v>
      </c>
      <c r="F932" s="26" t="s">
        <v>41</v>
      </c>
      <c r="G932" s="26">
        <v>11.0</v>
      </c>
      <c r="I932" s="26" t="s">
        <v>42</v>
      </c>
      <c r="J932" s="25" t="str">
        <f t="shared" si="28"/>
        <v>No</v>
      </c>
      <c r="K932" s="25" t="str">
        <f t="shared" si="29"/>
        <v/>
      </c>
      <c r="L932" s="25" t="str">
        <f t="shared" si="30"/>
        <v/>
      </c>
      <c r="M932" s="25"/>
      <c r="O932" s="25"/>
    </row>
    <row r="933" ht="15.75" customHeight="1">
      <c r="A933" s="25" t="str">
        <f>IFERROR(__xludf.DUMMYFUNCTION("IF(B933="""","""",RIGHT(REGEXREPLACE(B933&amp;"""",""[^0-9]"",""""),9))"),"771355719")</f>
        <v>771355719</v>
      </c>
      <c r="B933" s="52">
        <v>7.71355719E8</v>
      </c>
      <c r="C933" s="28" t="s">
        <v>1151</v>
      </c>
      <c r="D933" s="26" t="s">
        <v>45</v>
      </c>
      <c r="E933" s="31">
        <v>46227.0</v>
      </c>
      <c r="F933" s="26" t="s">
        <v>46</v>
      </c>
      <c r="G933" s="26">
        <v>11.0</v>
      </c>
      <c r="I933" s="26" t="s">
        <v>42</v>
      </c>
      <c r="J933" s="25" t="str">
        <f t="shared" si="28"/>
        <v>No</v>
      </c>
      <c r="K933" s="25" t="str">
        <f t="shared" si="29"/>
        <v/>
      </c>
      <c r="L933" s="25" t="str">
        <f t="shared" si="30"/>
        <v/>
      </c>
      <c r="M933" s="25"/>
      <c r="O933" s="25"/>
    </row>
    <row r="934" ht="15.75" customHeight="1">
      <c r="A934" s="25" t="str">
        <f>IFERROR(__xludf.DUMMYFUNCTION("IF(B934="""","""",RIGHT(REGEXREPLACE(B934&amp;"""",""[^0-9]"",""""),9))"),"773832160")</f>
        <v>773832160</v>
      </c>
      <c r="B934" s="52">
        <v>7.7383216E8</v>
      </c>
      <c r="C934" s="28" t="s">
        <v>1152</v>
      </c>
      <c r="D934" s="26" t="s">
        <v>56</v>
      </c>
      <c r="E934" s="31">
        <v>46227.0</v>
      </c>
      <c r="F934" s="26" t="s">
        <v>41</v>
      </c>
      <c r="I934" s="26" t="s">
        <v>42</v>
      </c>
      <c r="J934" s="25" t="str">
        <f t="shared" si="28"/>
        <v>No</v>
      </c>
      <c r="K934" s="25" t="str">
        <f t="shared" si="29"/>
        <v/>
      </c>
      <c r="L934" s="25" t="str">
        <f t="shared" si="30"/>
        <v/>
      </c>
      <c r="M934" s="25"/>
      <c r="O934" s="25"/>
    </row>
    <row r="935" ht="15.75" customHeight="1">
      <c r="A935" s="25" t="str">
        <f>IFERROR(__xludf.DUMMYFUNCTION("IF(B935="""","""",RIGHT(REGEXREPLACE(B935&amp;"""",""[^0-9]"",""""),9))"),"711228937")</f>
        <v>711228937</v>
      </c>
      <c r="B935" s="52">
        <v>7.11228937E8</v>
      </c>
      <c r="C935" s="28" t="s">
        <v>1153</v>
      </c>
      <c r="D935" s="26" t="s">
        <v>49</v>
      </c>
      <c r="E935" s="31">
        <v>46227.0</v>
      </c>
      <c r="F935" s="26" t="s">
        <v>46</v>
      </c>
      <c r="G935" s="26">
        <v>11.0</v>
      </c>
      <c r="I935" s="26" t="s">
        <v>42</v>
      </c>
      <c r="J935" s="25" t="str">
        <f t="shared" si="28"/>
        <v>No</v>
      </c>
      <c r="K935" s="25" t="str">
        <f t="shared" si="29"/>
        <v/>
      </c>
      <c r="L935" s="25" t="str">
        <f t="shared" si="30"/>
        <v/>
      </c>
      <c r="M935" s="25"/>
      <c r="O935" s="25"/>
    </row>
    <row r="936" ht="15.75" customHeight="1">
      <c r="A936" s="25" t="str">
        <f>IFERROR(__xludf.DUMMYFUNCTION("IF(B936="""","""",RIGHT(REGEXREPLACE(B936&amp;"""",""[^0-9]"",""""),9))"),"758810644")</f>
        <v>758810644</v>
      </c>
      <c r="B936" s="52">
        <v>7.58810644E8</v>
      </c>
      <c r="C936" s="28" t="s">
        <v>1154</v>
      </c>
      <c r="D936" s="26" t="s">
        <v>64</v>
      </c>
      <c r="E936" s="31">
        <v>46227.0</v>
      </c>
      <c r="F936" s="26" t="s">
        <v>46</v>
      </c>
      <c r="G936" s="26">
        <v>11.0</v>
      </c>
      <c r="I936" s="26" t="s">
        <v>42</v>
      </c>
      <c r="J936" s="25" t="str">
        <f t="shared" si="28"/>
        <v>No</v>
      </c>
      <c r="K936" s="25" t="str">
        <f t="shared" si="29"/>
        <v/>
      </c>
      <c r="L936" s="25" t="str">
        <f t="shared" si="30"/>
        <v/>
      </c>
      <c r="M936" s="25"/>
      <c r="O936" s="25"/>
    </row>
    <row r="937" ht="15.75" customHeight="1">
      <c r="A937" s="25" t="str">
        <f>IFERROR(__xludf.DUMMYFUNCTION("IF(B937="""","""",RIGHT(REGEXREPLACE(B937&amp;"""",""[^0-9]"",""""),9))"),"778668009")</f>
        <v>778668009</v>
      </c>
      <c r="B937" s="26">
        <v>7.78668009E8</v>
      </c>
      <c r="C937" s="28" t="s">
        <v>1155</v>
      </c>
      <c r="D937" s="26" t="s">
        <v>37</v>
      </c>
      <c r="E937" s="31">
        <v>46227.0</v>
      </c>
      <c r="F937" s="26" t="s">
        <v>46</v>
      </c>
      <c r="G937" s="26">
        <v>11.0</v>
      </c>
      <c r="I937" s="26" t="s">
        <v>42</v>
      </c>
      <c r="J937" s="25" t="str">
        <f t="shared" si="28"/>
        <v>No</v>
      </c>
      <c r="K937" s="25" t="str">
        <f t="shared" si="29"/>
        <v/>
      </c>
      <c r="L937" s="25" t="str">
        <f t="shared" si="30"/>
        <v/>
      </c>
      <c r="M937" s="25"/>
      <c r="O937" s="25"/>
    </row>
    <row r="938" ht="15.75" customHeight="1">
      <c r="A938" s="25" t="str">
        <f>IFERROR(__xludf.DUMMYFUNCTION("IF(B938="""","""",RIGHT(REGEXREPLACE(B938&amp;"""",""[^0-9]"",""""),9))"),"778004311")</f>
        <v>778004311</v>
      </c>
      <c r="B938" s="52">
        <v>7.78004311E8</v>
      </c>
      <c r="C938" s="28" t="s">
        <v>1156</v>
      </c>
      <c r="D938" s="26" t="s">
        <v>56</v>
      </c>
      <c r="E938" s="31">
        <v>46227.0</v>
      </c>
      <c r="F938" s="26" t="s">
        <v>46</v>
      </c>
      <c r="G938" s="26">
        <v>11.0</v>
      </c>
      <c r="I938" s="26" t="s">
        <v>42</v>
      </c>
      <c r="J938" s="25" t="str">
        <f t="shared" si="28"/>
        <v>No</v>
      </c>
      <c r="K938" s="25" t="str">
        <f t="shared" si="29"/>
        <v/>
      </c>
      <c r="L938" s="25" t="str">
        <f t="shared" si="30"/>
        <v/>
      </c>
      <c r="M938" s="25"/>
      <c r="O938" s="25"/>
    </row>
    <row r="939" ht="15.75" customHeight="1">
      <c r="A939" s="25" t="str">
        <f>IFERROR(__xludf.DUMMYFUNCTION("IF(B939="""","""",RIGHT(REGEXREPLACE(B939&amp;"""",""[^0-9]"",""""),9))"),"775135507")</f>
        <v>775135507</v>
      </c>
      <c r="B939" s="52">
        <v>7.75135507E8</v>
      </c>
      <c r="C939" s="28" t="s">
        <v>1157</v>
      </c>
      <c r="D939" s="26" t="s">
        <v>82</v>
      </c>
      <c r="E939" s="31">
        <v>46227.0</v>
      </c>
      <c r="F939" s="26" t="s">
        <v>46</v>
      </c>
      <c r="G939" s="26">
        <v>11.0</v>
      </c>
      <c r="I939" s="26" t="s">
        <v>42</v>
      </c>
      <c r="J939" s="25" t="str">
        <f t="shared" si="28"/>
        <v>No</v>
      </c>
      <c r="K939" s="25" t="str">
        <f t="shared" si="29"/>
        <v/>
      </c>
      <c r="L939" s="25" t="str">
        <f t="shared" si="30"/>
        <v/>
      </c>
      <c r="M939" s="25"/>
      <c r="O939" s="25"/>
    </row>
    <row r="940" ht="15.75" customHeight="1">
      <c r="A940" s="25" t="str">
        <f>IFERROR(__xludf.DUMMYFUNCTION("IF(B940="""","""",RIGHT(REGEXREPLACE(B940&amp;"""",""[^0-9]"",""""),9))"),"722311955")</f>
        <v>722311955</v>
      </c>
      <c r="B940" s="26">
        <v>7.22311955E8</v>
      </c>
      <c r="C940" s="28" t="s">
        <v>1158</v>
      </c>
      <c r="D940" s="26" t="s">
        <v>37</v>
      </c>
      <c r="E940" s="31">
        <v>46227.0</v>
      </c>
      <c r="F940" s="26" t="s">
        <v>46</v>
      </c>
      <c r="H940" s="26" t="s">
        <v>1159</v>
      </c>
      <c r="I940" s="26" t="s">
        <v>42</v>
      </c>
      <c r="J940" s="25" t="str">
        <f t="shared" si="28"/>
        <v>No</v>
      </c>
      <c r="K940" s="25" t="str">
        <f t="shared" si="29"/>
        <v/>
      </c>
      <c r="L940" s="25" t="str">
        <f t="shared" si="30"/>
        <v/>
      </c>
      <c r="M940" s="25"/>
      <c r="O940" s="25"/>
    </row>
    <row r="941" ht="15.75" customHeight="1">
      <c r="A941" s="25" t="str">
        <f>IFERROR(__xludf.DUMMYFUNCTION("IF(B941="""","""",RIGHT(REGEXREPLACE(B941&amp;"""",""[^0-9]"",""""),9))"),"773892928")</f>
        <v>773892928</v>
      </c>
      <c r="B941" s="52">
        <v>7.73892928E8</v>
      </c>
      <c r="C941" s="28" t="s">
        <v>1160</v>
      </c>
      <c r="D941" s="26" t="s">
        <v>45</v>
      </c>
      <c r="E941" s="31">
        <v>46227.0</v>
      </c>
      <c r="F941" s="26" t="s">
        <v>46</v>
      </c>
      <c r="G941" s="26">
        <v>10.0</v>
      </c>
      <c r="I941" s="26" t="s">
        <v>42</v>
      </c>
      <c r="J941" s="25" t="str">
        <f t="shared" si="28"/>
        <v>No</v>
      </c>
      <c r="K941" s="25" t="str">
        <f t="shared" si="29"/>
        <v/>
      </c>
      <c r="L941" s="25" t="str">
        <f t="shared" si="30"/>
        <v/>
      </c>
      <c r="M941" s="25"/>
      <c r="O941" s="25"/>
    </row>
    <row r="942" ht="15.75" customHeight="1">
      <c r="A942" s="25" t="str">
        <f>IFERROR(__xludf.DUMMYFUNCTION("IF(B942="""","""",RIGHT(REGEXREPLACE(B942&amp;"""",""[^0-9]"",""""),9))"),"773356494")</f>
        <v>773356494</v>
      </c>
      <c r="B942" s="52">
        <v>7.73356494E8</v>
      </c>
      <c r="C942" s="28" t="s">
        <v>1161</v>
      </c>
      <c r="D942" s="26" t="s">
        <v>49</v>
      </c>
      <c r="E942" s="31">
        <v>46227.0</v>
      </c>
      <c r="F942" s="26" t="s">
        <v>41</v>
      </c>
      <c r="I942" s="26" t="s">
        <v>42</v>
      </c>
      <c r="J942" s="25" t="str">
        <f t="shared" si="28"/>
        <v>No</v>
      </c>
      <c r="K942" s="25" t="str">
        <f t="shared" si="29"/>
        <v/>
      </c>
      <c r="L942" s="25" t="str">
        <f t="shared" si="30"/>
        <v/>
      </c>
      <c r="M942" s="25"/>
      <c r="O942" s="25"/>
    </row>
    <row r="943" ht="15.75" customHeight="1">
      <c r="A943" s="25" t="str">
        <f>IFERROR(__xludf.DUMMYFUNCTION("IF(B943="""","""",RIGHT(REGEXREPLACE(B943&amp;"""",""[^0-9]"",""""),9))"),"761239472")</f>
        <v>761239472</v>
      </c>
      <c r="B943" s="52">
        <v>7.61239472E8</v>
      </c>
      <c r="C943" s="28" t="s">
        <v>1162</v>
      </c>
      <c r="D943" s="26" t="s">
        <v>64</v>
      </c>
      <c r="E943" s="31">
        <v>46227.0</v>
      </c>
      <c r="F943" s="26" t="s">
        <v>704</v>
      </c>
      <c r="I943" s="26" t="s">
        <v>42</v>
      </c>
      <c r="J943" s="25" t="str">
        <f t="shared" si="28"/>
        <v>No</v>
      </c>
      <c r="K943" s="25" t="str">
        <f t="shared" si="29"/>
        <v/>
      </c>
      <c r="L943" s="25" t="str">
        <f t="shared" si="30"/>
        <v/>
      </c>
      <c r="M943" s="25"/>
      <c r="O943" s="25"/>
    </row>
    <row r="944" ht="15.75" customHeight="1">
      <c r="A944" s="25" t="str">
        <f>IFERROR(__xludf.DUMMYFUNCTION("IF(B944="""","""",RIGHT(REGEXREPLACE(B944&amp;"""",""[^0-9]"",""""),9))"),"727020092")</f>
        <v>727020092</v>
      </c>
      <c r="B944" s="26">
        <v>7.27020092E8</v>
      </c>
      <c r="C944" s="28" t="s">
        <v>1163</v>
      </c>
      <c r="D944" s="26" t="s">
        <v>37</v>
      </c>
      <c r="E944" s="31">
        <v>46227.0</v>
      </c>
      <c r="F944" s="26" t="s">
        <v>41</v>
      </c>
      <c r="I944" s="26" t="s">
        <v>42</v>
      </c>
      <c r="J944" s="25" t="str">
        <f t="shared" si="28"/>
        <v>No</v>
      </c>
      <c r="K944" s="25" t="str">
        <f t="shared" si="29"/>
        <v/>
      </c>
      <c r="L944" s="25" t="str">
        <f t="shared" si="30"/>
        <v/>
      </c>
      <c r="M944" s="25"/>
      <c r="O944" s="25"/>
    </row>
    <row r="945" ht="15.75" customHeight="1">
      <c r="A945" s="25" t="str">
        <f>IFERROR(__xludf.DUMMYFUNCTION("IF(B945="""","""",RIGHT(REGEXREPLACE(B945&amp;"""",""[^0-9]"",""""),9))"),"742943512")</f>
        <v>742943512</v>
      </c>
      <c r="B945" s="52">
        <v>7.42943512E8</v>
      </c>
      <c r="C945" s="28" t="s">
        <v>1164</v>
      </c>
      <c r="D945" s="26" t="s">
        <v>49</v>
      </c>
      <c r="E945" s="31">
        <v>46227.0</v>
      </c>
      <c r="F945" s="26" t="s">
        <v>41</v>
      </c>
      <c r="G945" s="26">
        <v>11.0</v>
      </c>
      <c r="I945" s="26" t="s">
        <v>42</v>
      </c>
      <c r="J945" s="25" t="str">
        <f t="shared" si="28"/>
        <v>No</v>
      </c>
      <c r="K945" s="25" t="str">
        <f t="shared" si="29"/>
        <v/>
      </c>
      <c r="L945" s="25" t="str">
        <f t="shared" si="30"/>
        <v/>
      </c>
      <c r="M945" s="25"/>
      <c r="O945" s="25"/>
    </row>
    <row r="946" ht="15.75" customHeight="1">
      <c r="A946" s="25" t="str">
        <f>IFERROR(__xludf.DUMMYFUNCTION("IF(B946="""","""",RIGHT(REGEXREPLACE(B946&amp;"""",""[^0-9]"",""""),9))"),"776502272")</f>
        <v>776502272</v>
      </c>
      <c r="B946" s="26">
        <v>7.76502272E8</v>
      </c>
      <c r="C946" s="28" t="s">
        <v>1165</v>
      </c>
      <c r="D946" s="26" t="s">
        <v>37</v>
      </c>
      <c r="E946" s="31">
        <v>46227.0</v>
      </c>
      <c r="F946" s="26" t="s">
        <v>41</v>
      </c>
      <c r="G946" s="26">
        <v>10.0</v>
      </c>
      <c r="I946" s="26" t="s">
        <v>42</v>
      </c>
      <c r="J946" s="25" t="str">
        <f t="shared" si="28"/>
        <v>No</v>
      </c>
      <c r="K946" s="25" t="str">
        <f t="shared" si="29"/>
        <v/>
      </c>
      <c r="L946" s="25" t="str">
        <f t="shared" si="30"/>
        <v/>
      </c>
      <c r="M946" s="25"/>
      <c r="O946" s="25"/>
    </row>
    <row r="947" ht="15.75" customHeight="1">
      <c r="A947" s="25" t="str">
        <f>IFERROR(__xludf.DUMMYFUNCTION("IF(B947="""","""",RIGHT(REGEXREPLACE(B947&amp;"""",""[^0-9]"",""""),9))"),"771760171")</f>
        <v>771760171</v>
      </c>
      <c r="B947" s="52">
        <v>7.71760171E8</v>
      </c>
      <c r="C947" s="28" t="s">
        <v>1166</v>
      </c>
      <c r="D947" s="26" t="s">
        <v>64</v>
      </c>
      <c r="E947" s="31">
        <v>46227.0</v>
      </c>
      <c r="F947" s="26" t="s">
        <v>41</v>
      </c>
      <c r="I947" s="26" t="s">
        <v>42</v>
      </c>
      <c r="J947" s="25" t="str">
        <f t="shared" si="28"/>
        <v>No</v>
      </c>
      <c r="K947" s="25" t="str">
        <f t="shared" si="29"/>
        <v/>
      </c>
      <c r="L947" s="25" t="str">
        <f t="shared" si="30"/>
        <v/>
      </c>
      <c r="M947" s="25"/>
      <c r="O947" s="25"/>
    </row>
    <row r="948" ht="15.75" customHeight="1">
      <c r="A948" s="25" t="str">
        <f>IFERROR(__xludf.DUMMYFUNCTION("IF(B948="""","""",RIGHT(REGEXREPLACE(B948&amp;"""",""[^0-9]"",""""),9))"),"729663227")</f>
        <v>729663227</v>
      </c>
      <c r="B948" s="26">
        <v>7.29663227E8</v>
      </c>
      <c r="C948" s="28" t="s">
        <v>1167</v>
      </c>
      <c r="D948" s="26" t="s">
        <v>56</v>
      </c>
      <c r="E948" s="31">
        <v>46227.0</v>
      </c>
      <c r="F948" s="26" t="s">
        <v>41</v>
      </c>
      <c r="G948" s="26">
        <v>11.0</v>
      </c>
      <c r="I948" s="26" t="s">
        <v>42</v>
      </c>
      <c r="J948" s="25" t="str">
        <f t="shared" si="28"/>
        <v>No</v>
      </c>
      <c r="K948" s="25" t="str">
        <f t="shared" si="29"/>
        <v/>
      </c>
      <c r="L948" s="25" t="str">
        <f t="shared" si="30"/>
        <v/>
      </c>
      <c r="M948" s="25"/>
      <c r="O948" s="25"/>
    </row>
    <row r="949" ht="15.75" customHeight="1">
      <c r="A949" s="25" t="str">
        <f>IFERROR(__xludf.DUMMYFUNCTION("IF(B949="""","""",RIGHT(REGEXREPLACE(B949&amp;"""",""[^0-9]"",""""),9))"),"768650055")</f>
        <v>768650055</v>
      </c>
      <c r="B949" s="26">
        <v>7.68650055E8</v>
      </c>
      <c r="C949" s="28" t="s">
        <v>1168</v>
      </c>
      <c r="D949" s="26" t="s">
        <v>37</v>
      </c>
      <c r="E949" s="31">
        <v>46227.0</v>
      </c>
      <c r="F949" s="26" t="s">
        <v>167</v>
      </c>
      <c r="G949" s="26">
        <v>11.0</v>
      </c>
      <c r="I949" s="26" t="s">
        <v>42</v>
      </c>
      <c r="J949" s="25" t="str">
        <f t="shared" si="28"/>
        <v>No</v>
      </c>
      <c r="K949" s="25" t="str">
        <f t="shared" si="29"/>
        <v/>
      </c>
      <c r="L949" s="25" t="str">
        <f t="shared" si="30"/>
        <v/>
      </c>
      <c r="M949" s="25"/>
      <c r="O949" s="25"/>
    </row>
    <row r="950" ht="15.75" customHeight="1">
      <c r="A950" s="25" t="str">
        <f>IFERROR(__xludf.DUMMYFUNCTION("IF(B950="""","""",RIGHT(REGEXREPLACE(B950&amp;"""",""[^0-9]"",""""),9))"),"767368399")</f>
        <v>767368399</v>
      </c>
      <c r="B950" s="52">
        <v>7.67368399E8</v>
      </c>
      <c r="C950" s="28" t="s">
        <v>1169</v>
      </c>
      <c r="D950" s="26" t="s">
        <v>82</v>
      </c>
      <c r="E950" s="31">
        <v>46227.0</v>
      </c>
      <c r="F950" s="26" t="s">
        <v>125</v>
      </c>
      <c r="G950" s="26">
        <v>11.0</v>
      </c>
      <c r="I950" s="26" t="s">
        <v>42</v>
      </c>
      <c r="J950" s="25" t="str">
        <f t="shared" si="28"/>
        <v>No</v>
      </c>
      <c r="K950" s="25" t="str">
        <f t="shared" si="29"/>
        <v/>
      </c>
      <c r="L950" s="25" t="str">
        <f t="shared" si="30"/>
        <v/>
      </c>
      <c r="M950" s="25"/>
      <c r="O950" s="25"/>
    </row>
    <row r="951" ht="15.75" customHeight="1">
      <c r="A951" s="25" t="str">
        <f>IFERROR(__xludf.DUMMYFUNCTION("IF(B951="""","""",RIGHT(REGEXREPLACE(B951&amp;"""",""[^0-9]"",""""),9))"),"787078333")</f>
        <v>787078333</v>
      </c>
      <c r="B951" s="52">
        <v>7.87078333E8</v>
      </c>
      <c r="C951" s="28" t="s">
        <v>1170</v>
      </c>
      <c r="D951" s="26" t="s">
        <v>45</v>
      </c>
      <c r="E951" s="31">
        <v>46227.0</v>
      </c>
      <c r="F951" s="26" t="s">
        <v>46</v>
      </c>
      <c r="G951" s="26">
        <v>11.0</v>
      </c>
      <c r="I951" s="26" t="s">
        <v>42</v>
      </c>
      <c r="J951" s="25" t="str">
        <f t="shared" si="28"/>
        <v>No</v>
      </c>
      <c r="K951" s="25" t="str">
        <f t="shared" si="29"/>
        <v/>
      </c>
      <c r="L951" s="25" t="str">
        <f t="shared" si="30"/>
        <v/>
      </c>
      <c r="M951" s="25"/>
      <c r="O951" s="25"/>
    </row>
    <row r="952" ht="15.75" customHeight="1">
      <c r="A952" s="25" t="str">
        <f>IFERROR(__xludf.DUMMYFUNCTION("IF(B952="""","""",RIGHT(REGEXREPLACE(B952&amp;"""",""[^0-9]"",""""),9))"),"760281495")</f>
        <v>760281495</v>
      </c>
      <c r="B952" s="52">
        <v>7.60281495E8</v>
      </c>
      <c r="C952" s="28" t="s">
        <v>1171</v>
      </c>
      <c r="D952" s="26" t="s">
        <v>49</v>
      </c>
      <c r="E952" s="31">
        <v>46227.0</v>
      </c>
      <c r="F952" s="26" t="s">
        <v>46</v>
      </c>
      <c r="G952" s="26">
        <v>9.0</v>
      </c>
      <c r="I952" s="26" t="s">
        <v>42</v>
      </c>
      <c r="J952" s="25" t="str">
        <f t="shared" si="28"/>
        <v>No</v>
      </c>
      <c r="K952" s="25" t="str">
        <f t="shared" si="29"/>
        <v/>
      </c>
      <c r="L952" s="25" t="str">
        <f t="shared" si="30"/>
        <v/>
      </c>
      <c r="M952" s="25"/>
      <c r="O952" s="25"/>
    </row>
    <row r="953" ht="15.75" customHeight="1">
      <c r="A953" s="25" t="str">
        <f>IFERROR(__xludf.DUMMYFUNCTION("IF(B953="""","""",RIGHT(REGEXREPLACE(B953&amp;"""",""[^0-9]"",""""),9))"),"715748092")</f>
        <v>715748092</v>
      </c>
      <c r="B953" s="52">
        <v>7.15748092E8</v>
      </c>
      <c r="C953" s="28" t="s">
        <v>1172</v>
      </c>
      <c r="D953" s="26" t="s">
        <v>64</v>
      </c>
      <c r="E953" s="31">
        <v>46227.0</v>
      </c>
      <c r="F953" s="26" t="s">
        <v>46</v>
      </c>
      <c r="G953" s="26">
        <v>11.0</v>
      </c>
      <c r="I953" s="26" t="s">
        <v>42</v>
      </c>
      <c r="J953" s="25" t="str">
        <f t="shared" si="28"/>
        <v>No</v>
      </c>
      <c r="K953" s="25" t="str">
        <f t="shared" si="29"/>
        <v/>
      </c>
      <c r="L953" s="25" t="str">
        <f t="shared" si="30"/>
        <v/>
      </c>
      <c r="M953" s="25"/>
      <c r="O953" s="25"/>
    </row>
    <row r="954" ht="15.75" customHeight="1">
      <c r="A954" s="25" t="str">
        <f>IFERROR(__xludf.DUMMYFUNCTION("IF(B954="""","""",RIGHT(REGEXREPLACE(B954&amp;"""",""[^0-9]"",""""),9))"),"761807450")</f>
        <v>761807450</v>
      </c>
      <c r="B954" s="26">
        <v>7.6180745E8</v>
      </c>
      <c r="C954" s="28" t="s">
        <v>1173</v>
      </c>
      <c r="D954" s="26" t="s">
        <v>37</v>
      </c>
      <c r="E954" s="31">
        <v>46227.0</v>
      </c>
      <c r="F954" s="26" t="s">
        <v>46</v>
      </c>
      <c r="G954" s="26">
        <v>11.0</v>
      </c>
      <c r="I954" s="26" t="s">
        <v>42</v>
      </c>
      <c r="J954" s="25" t="str">
        <f t="shared" si="28"/>
        <v>No</v>
      </c>
      <c r="K954" s="25" t="str">
        <f t="shared" si="29"/>
        <v/>
      </c>
      <c r="L954" s="25" t="str">
        <f t="shared" si="30"/>
        <v/>
      </c>
      <c r="M954" s="25"/>
      <c r="O954" s="25"/>
    </row>
    <row r="955" ht="15.75" customHeight="1">
      <c r="A955" s="25" t="str">
        <f>IFERROR(__xludf.DUMMYFUNCTION("IF(B955="""","""",RIGHT(REGEXREPLACE(B955&amp;"""",""[^0-9]"",""""),9))"),"711918797")</f>
        <v>711918797</v>
      </c>
      <c r="B955" s="52">
        <v>7.11918797E8</v>
      </c>
      <c r="C955" s="28" t="s">
        <v>1174</v>
      </c>
      <c r="D955" s="26" t="s">
        <v>82</v>
      </c>
      <c r="E955" s="31">
        <v>46227.0</v>
      </c>
      <c r="F955" s="26" t="s">
        <v>41</v>
      </c>
      <c r="G955" s="26">
        <v>11.0</v>
      </c>
      <c r="I955" s="26" t="s">
        <v>42</v>
      </c>
      <c r="J955" s="25" t="str">
        <f t="shared" si="28"/>
        <v>No</v>
      </c>
      <c r="K955" s="25" t="str">
        <f t="shared" si="29"/>
        <v/>
      </c>
      <c r="L955" s="25" t="str">
        <f t="shared" si="30"/>
        <v/>
      </c>
      <c r="M955" s="25"/>
      <c r="O955" s="25"/>
    </row>
    <row r="956" ht="15.75" customHeight="1">
      <c r="A956" s="25" t="str">
        <f>IFERROR(__xludf.DUMMYFUNCTION("IF(B956="""","""",RIGHT(REGEXREPLACE(B956&amp;"""",""[^0-9]"",""""),9))"),"769624269")</f>
        <v>769624269</v>
      </c>
      <c r="B956" s="26">
        <v>7.69624269E8</v>
      </c>
      <c r="C956" s="28" t="s">
        <v>1175</v>
      </c>
      <c r="D956" s="26" t="s">
        <v>37</v>
      </c>
      <c r="E956" s="31">
        <v>46227.0</v>
      </c>
      <c r="F956" s="26" t="s">
        <v>704</v>
      </c>
      <c r="G956" s="26">
        <v>11.0</v>
      </c>
      <c r="H956" s="26" t="s">
        <v>483</v>
      </c>
      <c r="I956" s="26" t="s">
        <v>42</v>
      </c>
      <c r="J956" s="25" t="str">
        <f t="shared" si="28"/>
        <v>No</v>
      </c>
      <c r="K956" s="25" t="str">
        <f t="shared" si="29"/>
        <v/>
      </c>
      <c r="L956" s="25" t="str">
        <f t="shared" si="30"/>
        <v/>
      </c>
      <c r="M956" s="25"/>
      <c r="O956" s="25"/>
    </row>
    <row r="957" ht="15.75" customHeight="1">
      <c r="A957" s="25" t="str">
        <f>IFERROR(__xludf.DUMMYFUNCTION("IF(B957="""","""",RIGHT(REGEXREPLACE(B957&amp;"""",""[^0-9]"",""""),9))"),"778765081")</f>
        <v>778765081</v>
      </c>
      <c r="B957" s="52">
        <v>7.78765081E8</v>
      </c>
      <c r="C957" s="28" t="s">
        <v>1176</v>
      </c>
      <c r="D957" s="26" t="s">
        <v>56</v>
      </c>
      <c r="E957" s="31">
        <v>46227.0</v>
      </c>
      <c r="F957" s="26" t="s">
        <v>41</v>
      </c>
      <c r="G957" s="26">
        <v>10.0</v>
      </c>
      <c r="I957" s="26" t="s">
        <v>42</v>
      </c>
      <c r="J957" s="25" t="str">
        <f t="shared" si="28"/>
        <v>No</v>
      </c>
      <c r="K957" s="25" t="str">
        <f t="shared" si="29"/>
        <v/>
      </c>
      <c r="L957" s="25" t="str">
        <f t="shared" si="30"/>
        <v/>
      </c>
      <c r="M957" s="25"/>
      <c r="O957" s="25"/>
    </row>
    <row r="958" ht="15.75" customHeight="1">
      <c r="A958" s="25" t="str">
        <f>IFERROR(__xludf.DUMMYFUNCTION("IF(B958="""","""",RIGHT(REGEXREPLACE(B958&amp;"""",""[^0-9]"",""""),9))"),"710754717")</f>
        <v>710754717</v>
      </c>
      <c r="B958" s="52">
        <v>7.10754717E8</v>
      </c>
      <c r="C958" s="28" t="s">
        <v>1177</v>
      </c>
      <c r="D958" s="26" t="s">
        <v>45</v>
      </c>
      <c r="E958" s="31">
        <v>46227.0</v>
      </c>
      <c r="F958" s="26" t="s">
        <v>704</v>
      </c>
      <c r="H958" s="26" t="s">
        <v>280</v>
      </c>
      <c r="I958" s="26" t="s">
        <v>42</v>
      </c>
      <c r="J958" s="25" t="str">
        <f t="shared" si="28"/>
        <v>No</v>
      </c>
      <c r="K958" s="25" t="str">
        <f t="shared" si="29"/>
        <v/>
      </c>
      <c r="L958" s="25" t="str">
        <f t="shared" si="30"/>
        <v/>
      </c>
      <c r="M958" s="25"/>
      <c r="O958" s="25"/>
    </row>
    <row r="959" ht="15.75" customHeight="1">
      <c r="A959" s="25" t="str">
        <f>IFERROR(__xludf.DUMMYFUNCTION("IF(B959="""","""",RIGHT(REGEXREPLACE(B959&amp;"""",""[^0-9]"",""""),9))"),"774580007")</f>
        <v>774580007</v>
      </c>
      <c r="B959" s="52">
        <v>7.74580007E8</v>
      </c>
      <c r="C959" s="28" t="s">
        <v>1178</v>
      </c>
      <c r="D959" s="26" t="s">
        <v>49</v>
      </c>
      <c r="E959" s="31">
        <v>46227.0</v>
      </c>
      <c r="F959" s="26" t="s">
        <v>41</v>
      </c>
      <c r="G959" s="26">
        <v>11.0</v>
      </c>
      <c r="I959" s="26" t="s">
        <v>42</v>
      </c>
      <c r="J959" s="25" t="str">
        <f t="shared" si="28"/>
        <v>No</v>
      </c>
      <c r="K959" s="25" t="str">
        <f t="shared" si="29"/>
        <v/>
      </c>
      <c r="L959" s="25" t="str">
        <f t="shared" si="30"/>
        <v/>
      </c>
      <c r="M959" s="25"/>
      <c r="O959" s="25"/>
    </row>
    <row r="960" ht="15.75" customHeight="1">
      <c r="A960" s="25" t="str">
        <f>IFERROR(__xludf.DUMMYFUNCTION("IF(B960="""","""",RIGHT(REGEXREPLACE(B960&amp;"""",""[^0-9]"",""""),9))"),"761160680")</f>
        <v>761160680</v>
      </c>
      <c r="B960" s="26">
        <v>7.6116068E8</v>
      </c>
      <c r="C960" s="28" t="s">
        <v>1179</v>
      </c>
      <c r="D960" s="26" t="s">
        <v>37</v>
      </c>
      <c r="E960" s="31">
        <v>46227.0</v>
      </c>
      <c r="F960" s="26" t="s">
        <v>46</v>
      </c>
      <c r="G960" s="26">
        <v>11.0</v>
      </c>
      <c r="I960" s="26" t="s">
        <v>42</v>
      </c>
      <c r="J960" s="25" t="str">
        <f t="shared" si="28"/>
        <v>No</v>
      </c>
      <c r="K960" s="25" t="str">
        <f t="shared" si="29"/>
        <v/>
      </c>
      <c r="L960" s="25" t="str">
        <f t="shared" si="30"/>
        <v/>
      </c>
      <c r="M960" s="25"/>
      <c r="O960" s="25"/>
    </row>
    <row r="961" ht="15.75" customHeight="1">
      <c r="A961" s="25" t="str">
        <f>IFERROR(__xludf.DUMMYFUNCTION("IF(B961="""","""",RIGHT(REGEXREPLACE(B961&amp;"""",""[^0-9]"",""""),9))"),"762365863")</f>
        <v>762365863</v>
      </c>
      <c r="B961" s="52">
        <v>7.62365863E8</v>
      </c>
      <c r="C961" s="28" t="s">
        <v>1180</v>
      </c>
      <c r="D961" s="26" t="s">
        <v>56</v>
      </c>
      <c r="E961" s="31">
        <v>46227.0</v>
      </c>
      <c r="F961" s="26" t="s">
        <v>46</v>
      </c>
      <c r="G961" s="26">
        <v>11.0</v>
      </c>
      <c r="I961" s="26" t="s">
        <v>42</v>
      </c>
      <c r="J961" s="25" t="str">
        <f t="shared" si="28"/>
        <v>No</v>
      </c>
      <c r="K961" s="25" t="str">
        <f t="shared" si="29"/>
        <v/>
      </c>
      <c r="L961" s="25" t="str">
        <f t="shared" si="30"/>
        <v/>
      </c>
      <c r="M961" s="25"/>
      <c r="O961" s="25"/>
    </row>
    <row r="962" ht="15.75" customHeight="1">
      <c r="A962" s="25" t="str">
        <f>IFERROR(__xludf.DUMMYFUNCTION("IF(B962="""","""",RIGHT(REGEXREPLACE(B962&amp;"""",""[^0-9]"",""""),9))"),"761708411")</f>
        <v>761708411</v>
      </c>
      <c r="B962" s="52">
        <v>7.61708411E8</v>
      </c>
      <c r="C962" s="28" t="s">
        <v>1181</v>
      </c>
      <c r="D962" s="26" t="s">
        <v>64</v>
      </c>
      <c r="E962" s="31">
        <v>46227.0</v>
      </c>
      <c r="F962" s="26" t="s">
        <v>205</v>
      </c>
      <c r="I962" s="26" t="s">
        <v>42</v>
      </c>
      <c r="J962" s="25" t="str">
        <f t="shared" si="28"/>
        <v>No</v>
      </c>
      <c r="K962" s="25" t="str">
        <f t="shared" si="29"/>
        <v/>
      </c>
      <c r="L962" s="25" t="str">
        <f t="shared" si="30"/>
        <v/>
      </c>
      <c r="M962" s="25"/>
      <c r="O962" s="25"/>
    </row>
    <row r="963" ht="15.75" customHeight="1">
      <c r="A963" s="25" t="str">
        <f>IFERROR(__xludf.DUMMYFUNCTION("IF(B963="""","""",RIGHT(REGEXREPLACE(B963&amp;"""",""[^0-9]"",""""),9))"),"701236290")</f>
        <v>701236290</v>
      </c>
      <c r="B963" s="26">
        <v>7.0123629E8</v>
      </c>
      <c r="C963" s="28" t="s">
        <v>1182</v>
      </c>
      <c r="D963" s="26" t="s">
        <v>37</v>
      </c>
      <c r="E963" s="31">
        <v>46227.0</v>
      </c>
      <c r="F963" s="26" t="s">
        <v>205</v>
      </c>
      <c r="I963" s="26" t="s">
        <v>42</v>
      </c>
      <c r="J963" s="25" t="str">
        <f t="shared" si="28"/>
        <v>No</v>
      </c>
      <c r="K963" s="25" t="str">
        <f t="shared" si="29"/>
        <v/>
      </c>
      <c r="L963" s="25" t="str">
        <f t="shared" si="30"/>
        <v/>
      </c>
      <c r="M963" s="25"/>
      <c r="O963" s="25"/>
    </row>
    <row r="964" ht="15.75" customHeight="1">
      <c r="A964" s="25" t="str">
        <f>IFERROR(__xludf.DUMMYFUNCTION("IF(B964="""","""",RIGHT(REGEXREPLACE(B964&amp;"""",""[^0-9]"",""""),9))"),"718550330")</f>
        <v>718550330</v>
      </c>
      <c r="B964" s="52">
        <v>7.1855033E8</v>
      </c>
      <c r="C964" s="28" t="s">
        <v>1183</v>
      </c>
      <c r="D964" s="26" t="s">
        <v>82</v>
      </c>
      <c r="E964" s="31">
        <v>46227.0</v>
      </c>
      <c r="F964" s="26" t="s">
        <v>41</v>
      </c>
      <c r="G964" s="26">
        <v>10.0</v>
      </c>
      <c r="I964" s="26" t="s">
        <v>42</v>
      </c>
      <c r="J964" s="25" t="str">
        <f t="shared" si="28"/>
        <v>No</v>
      </c>
      <c r="K964" s="25" t="str">
        <f t="shared" si="29"/>
        <v/>
      </c>
      <c r="L964" s="25" t="str">
        <f t="shared" si="30"/>
        <v/>
      </c>
      <c r="M964" s="25"/>
      <c r="O964" s="25"/>
    </row>
    <row r="965" ht="15.75" customHeight="1">
      <c r="A965" s="25" t="str">
        <f>IFERROR(__xludf.DUMMYFUNCTION("IF(B965="""","""",RIGHT(REGEXREPLACE(B965&amp;"""",""[^0-9]"",""""),9))"),"760198393")</f>
        <v>760198393</v>
      </c>
      <c r="B965" s="52">
        <v>7.60198393E8</v>
      </c>
      <c r="C965" s="28" t="s">
        <v>1184</v>
      </c>
      <c r="D965" s="26" t="s">
        <v>45</v>
      </c>
      <c r="E965" s="31">
        <v>46227.0</v>
      </c>
      <c r="F965" s="26" t="s">
        <v>46</v>
      </c>
      <c r="G965" s="26">
        <v>11.0</v>
      </c>
      <c r="I965" s="26" t="s">
        <v>42</v>
      </c>
      <c r="J965" s="25" t="str">
        <f t="shared" si="28"/>
        <v>No</v>
      </c>
      <c r="K965" s="25" t="str">
        <f t="shared" si="29"/>
        <v/>
      </c>
      <c r="L965" s="25" t="str">
        <f t="shared" si="30"/>
        <v/>
      </c>
      <c r="M965" s="25"/>
      <c r="O965" s="25"/>
    </row>
    <row r="966" ht="15.75" customHeight="1">
      <c r="A966" s="25" t="str">
        <f>IFERROR(__xludf.DUMMYFUNCTION("IF(B966="""","""",RIGHT(REGEXREPLACE(B966&amp;"""",""[^0-9]"",""""),9))"),"774430413")</f>
        <v>774430413</v>
      </c>
      <c r="B966" s="52">
        <v>7.74430413E8</v>
      </c>
      <c r="C966" s="28" t="s">
        <v>1185</v>
      </c>
      <c r="D966" s="26" t="s">
        <v>49</v>
      </c>
      <c r="E966" s="31">
        <v>46227.0</v>
      </c>
      <c r="F966" s="26" t="s">
        <v>46</v>
      </c>
      <c r="G966" s="26">
        <v>11.0</v>
      </c>
      <c r="I966" s="26" t="s">
        <v>42</v>
      </c>
      <c r="J966" s="25" t="str">
        <f t="shared" si="28"/>
        <v>No</v>
      </c>
      <c r="K966" s="25" t="str">
        <f t="shared" si="29"/>
        <v/>
      </c>
      <c r="L966" s="25" t="str">
        <f t="shared" si="30"/>
        <v/>
      </c>
      <c r="M966" s="25"/>
      <c r="O966" s="25"/>
    </row>
    <row r="967" ht="15.75" customHeight="1">
      <c r="A967" s="25" t="str">
        <f>IFERROR(__xludf.DUMMYFUNCTION("IF(B967="""","""",RIGHT(REGEXREPLACE(B967&amp;"""",""[^0-9]"",""""),9))"),"771032641")</f>
        <v>771032641</v>
      </c>
      <c r="B967" s="26">
        <v>7.71032641E8</v>
      </c>
      <c r="C967" s="28" t="s">
        <v>1186</v>
      </c>
      <c r="D967" s="26" t="s">
        <v>37</v>
      </c>
      <c r="E967" s="31">
        <v>46227.0</v>
      </c>
      <c r="F967" s="26" t="s">
        <v>205</v>
      </c>
      <c r="I967" s="26" t="s">
        <v>42</v>
      </c>
      <c r="J967" s="25" t="str">
        <f t="shared" si="28"/>
        <v>No</v>
      </c>
      <c r="K967" s="25" t="str">
        <f t="shared" si="29"/>
        <v/>
      </c>
      <c r="L967" s="25" t="str">
        <f t="shared" si="30"/>
        <v/>
      </c>
      <c r="M967" s="25"/>
      <c r="O967" s="25"/>
    </row>
    <row r="968" ht="15.75" customHeight="1">
      <c r="A968" s="25" t="str">
        <f>IFERROR(__xludf.DUMMYFUNCTION("IF(B968="""","""",RIGHT(REGEXREPLACE(B968&amp;"""",""[^0-9]"",""""),9))"),"771056350")</f>
        <v>771056350</v>
      </c>
      <c r="B968" s="26">
        <v>7.7105635E8</v>
      </c>
      <c r="C968" s="28" t="s">
        <v>1187</v>
      </c>
      <c r="D968" s="26" t="s">
        <v>37</v>
      </c>
      <c r="E968" s="31">
        <v>46227.0</v>
      </c>
      <c r="F968" s="26" t="s">
        <v>46</v>
      </c>
      <c r="G968" s="26">
        <v>11.0</v>
      </c>
      <c r="I968" s="26" t="s">
        <v>42</v>
      </c>
      <c r="J968" s="25" t="str">
        <f t="shared" si="28"/>
        <v>No</v>
      </c>
      <c r="K968" s="25" t="str">
        <f t="shared" si="29"/>
        <v/>
      </c>
      <c r="L968" s="25" t="str">
        <f t="shared" si="30"/>
        <v/>
      </c>
      <c r="M968" s="25"/>
      <c r="O968" s="25"/>
    </row>
    <row r="969" ht="15.75" customHeight="1">
      <c r="A969" s="25" t="str">
        <f>IFERROR(__xludf.DUMMYFUNCTION("IF(B969="""","""",RIGHT(REGEXREPLACE(B969&amp;"""",""[^0-9]"",""""),9))"),"723146156")</f>
        <v>723146156</v>
      </c>
      <c r="B969" s="52">
        <v>7.23146156E8</v>
      </c>
      <c r="C969" s="28" t="s">
        <v>1188</v>
      </c>
      <c r="D969" s="26" t="s">
        <v>82</v>
      </c>
      <c r="E969" s="31">
        <v>46227.0</v>
      </c>
      <c r="F969" s="26" t="s">
        <v>125</v>
      </c>
      <c r="I969" s="26" t="s">
        <v>42</v>
      </c>
      <c r="J969" s="25" t="str">
        <f t="shared" si="28"/>
        <v>No</v>
      </c>
      <c r="K969" s="25" t="str">
        <f t="shared" si="29"/>
        <v/>
      </c>
      <c r="L969" s="25" t="str">
        <f t="shared" si="30"/>
        <v/>
      </c>
      <c r="M969" s="25"/>
      <c r="O969" s="25"/>
    </row>
    <row r="970" ht="15.75" customHeight="1">
      <c r="A970" s="25" t="str">
        <f>IFERROR(__xludf.DUMMYFUNCTION("IF(B970="""","""",RIGHT(REGEXREPLACE(B970&amp;"""",""[^0-9]"",""""),9))"),"779749907")</f>
        <v>779749907</v>
      </c>
      <c r="B970" s="26">
        <v>7.79749907E8</v>
      </c>
      <c r="C970" s="28" t="s">
        <v>1189</v>
      </c>
      <c r="D970" s="26" t="s">
        <v>56</v>
      </c>
      <c r="E970" s="31">
        <v>46227.0</v>
      </c>
      <c r="F970" s="26" t="s">
        <v>205</v>
      </c>
      <c r="I970" s="26" t="s">
        <v>42</v>
      </c>
      <c r="J970" s="25" t="str">
        <f t="shared" si="28"/>
        <v>No</v>
      </c>
      <c r="K970" s="25" t="str">
        <f t="shared" si="29"/>
        <v/>
      </c>
      <c r="L970" s="25" t="str">
        <f t="shared" si="30"/>
        <v/>
      </c>
      <c r="M970" s="25"/>
      <c r="O970" s="25"/>
    </row>
    <row r="971" ht="15.75" customHeight="1">
      <c r="A971" s="25" t="str">
        <f>IFERROR(__xludf.DUMMYFUNCTION("IF(B971="""","""",RIGHT(REGEXREPLACE(B971&amp;"""",""[^0-9]"",""""),9))"),"779797057")</f>
        <v>779797057</v>
      </c>
      <c r="B971" s="52">
        <v>7.79797057E8</v>
      </c>
      <c r="C971" s="28" t="s">
        <v>1190</v>
      </c>
      <c r="D971" s="26" t="s">
        <v>64</v>
      </c>
      <c r="E971" s="31">
        <v>46227.0</v>
      </c>
      <c r="F971" s="26" t="s">
        <v>46</v>
      </c>
      <c r="G971" s="26">
        <v>9.0</v>
      </c>
      <c r="I971" s="26" t="s">
        <v>42</v>
      </c>
      <c r="J971" s="25" t="str">
        <f t="shared" si="28"/>
        <v>No</v>
      </c>
      <c r="K971" s="25" t="str">
        <f t="shared" si="29"/>
        <v/>
      </c>
      <c r="L971" s="25" t="str">
        <f t="shared" si="30"/>
        <v/>
      </c>
      <c r="M971" s="25"/>
      <c r="O971" s="25"/>
    </row>
    <row r="972" ht="15.75" customHeight="1">
      <c r="A972" s="25" t="str">
        <f>IFERROR(__xludf.DUMMYFUNCTION("IF(B972="""","""",RIGHT(REGEXREPLACE(B972&amp;"""",""[^0-9]"",""""),9))"),"765532178")</f>
        <v>765532178</v>
      </c>
      <c r="B972" s="52">
        <v>7.65532178E8</v>
      </c>
      <c r="C972" s="28" t="s">
        <v>1191</v>
      </c>
      <c r="D972" s="26" t="s">
        <v>49</v>
      </c>
      <c r="E972" s="31">
        <v>46227.0</v>
      </c>
      <c r="F972" s="26" t="s">
        <v>46</v>
      </c>
      <c r="G972" s="26">
        <v>11.0</v>
      </c>
      <c r="I972" s="26" t="s">
        <v>42</v>
      </c>
      <c r="J972" s="25" t="str">
        <f t="shared" si="28"/>
        <v>No</v>
      </c>
      <c r="K972" s="25" t="str">
        <f t="shared" si="29"/>
        <v/>
      </c>
      <c r="L972" s="25" t="str">
        <f t="shared" si="30"/>
        <v/>
      </c>
      <c r="M972" s="25"/>
      <c r="O972" s="25"/>
    </row>
    <row r="973" ht="15.75" customHeight="1">
      <c r="A973" s="25" t="str">
        <f>IFERROR(__xludf.DUMMYFUNCTION("IF(B973="""","""",RIGHT(REGEXREPLACE(B973&amp;"""",""[^0-9]"",""""),9))"),"779716436")</f>
        <v>779716436</v>
      </c>
      <c r="B973" s="26">
        <v>7.79716436E8</v>
      </c>
      <c r="C973" s="28" t="s">
        <v>1192</v>
      </c>
      <c r="D973" s="26" t="s">
        <v>37</v>
      </c>
      <c r="E973" s="31">
        <v>46227.0</v>
      </c>
      <c r="F973" s="26" t="s">
        <v>704</v>
      </c>
      <c r="I973" s="26" t="s">
        <v>42</v>
      </c>
      <c r="J973" s="25" t="str">
        <f t="shared" si="28"/>
        <v>No</v>
      </c>
      <c r="K973" s="25" t="str">
        <f t="shared" si="29"/>
        <v/>
      </c>
      <c r="L973" s="25" t="str">
        <f t="shared" si="30"/>
        <v/>
      </c>
      <c r="M973" s="25"/>
      <c r="O973" s="25"/>
    </row>
    <row r="974" ht="15.75" customHeight="1">
      <c r="A974" s="25" t="str">
        <f>IFERROR(__xludf.DUMMYFUNCTION("IF(B974="""","""",RIGHT(REGEXREPLACE(B974&amp;"""",""[^0-9]"",""""),9))"),"785328353")</f>
        <v>785328353</v>
      </c>
      <c r="B974" s="52">
        <v>7.85328353E8</v>
      </c>
      <c r="C974" s="28" t="s">
        <v>1193</v>
      </c>
      <c r="D974" s="26" t="s">
        <v>82</v>
      </c>
      <c r="E974" s="31">
        <v>46227.0</v>
      </c>
      <c r="F974" s="26" t="s">
        <v>125</v>
      </c>
      <c r="G974" s="109">
        <v>46334.0</v>
      </c>
      <c r="I974" s="26" t="s">
        <v>42</v>
      </c>
      <c r="J974" s="25" t="str">
        <f t="shared" si="28"/>
        <v>No</v>
      </c>
      <c r="K974" s="25" t="str">
        <f t="shared" si="29"/>
        <v/>
      </c>
      <c r="L974" s="25" t="str">
        <f t="shared" si="30"/>
        <v/>
      </c>
      <c r="M974" s="25"/>
      <c r="O974" s="25"/>
    </row>
    <row r="975" ht="15.75" customHeight="1">
      <c r="A975" s="25" t="str">
        <f>IFERROR(__xludf.DUMMYFUNCTION("IF(B975="""","""",RIGHT(REGEXREPLACE(B975&amp;"""",""[^0-9]"",""""),9))"),"774533509")</f>
        <v>774533509</v>
      </c>
      <c r="B975" s="52">
        <v>7.74533509E8</v>
      </c>
      <c r="C975" s="28" t="s">
        <v>1194</v>
      </c>
      <c r="D975" s="26" t="s">
        <v>49</v>
      </c>
      <c r="E975" s="31">
        <v>46227.0</v>
      </c>
      <c r="F975" s="26" t="s">
        <v>41</v>
      </c>
      <c r="G975" s="26">
        <v>11.0</v>
      </c>
      <c r="I975" s="26" t="s">
        <v>42</v>
      </c>
      <c r="J975" s="25" t="str">
        <f t="shared" si="28"/>
        <v>No</v>
      </c>
      <c r="K975" s="25" t="str">
        <f t="shared" si="29"/>
        <v/>
      </c>
      <c r="L975" s="25" t="str">
        <f t="shared" si="30"/>
        <v/>
      </c>
      <c r="M975" s="25"/>
      <c r="O975" s="25"/>
    </row>
    <row r="976" ht="15.75" customHeight="1">
      <c r="A976" s="25" t="str">
        <f>IFERROR(__xludf.DUMMYFUNCTION("IF(B976="""","""",RIGHT(REGEXREPLACE(B976&amp;"""",""[^0-9]"",""""),9))"),"717219051")</f>
        <v>717219051</v>
      </c>
      <c r="B976" s="52">
        <v>7.17219051E8</v>
      </c>
      <c r="C976" s="28" t="s">
        <v>1195</v>
      </c>
      <c r="D976" s="26" t="s">
        <v>45</v>
      </c>
      <c r="E976" s="31">
        <v>46227.0</v>
      </c>
      <c r="F976" s="26" t="s">
        <v>46</v>
      </c>
      <c r="G976" s="26">
        <v>11.0</v>
      </c>
      <c r="I976" s="26" t="s">
        <v>42</v>
      </c>
      <c r="J976" s="25" t="str">
        <f t="shared" si="28"/>
        <v>No</v>
      </c>
      <c r="K976" s="25" t="str">
        <f t="shared" si="29"/>
        <v/>
      </c>
      <c r="L976" s="25" t="str">
        <f t="shared" si="30"/>
        <v/>
      </c>
      <c r="M976" s="25"/>
      <c r="O976" s="25"/>
    </row>
    <row r="977" ht="15.75" customHeight="1">
      <c r="A977" s="25" t="str">
        <f>IFERROR(__xludf.DUMMYFUNCTION("IF(B977="""","""",RIGHT(REGEXREPLACE(B977&amp;"""",""[^0-9]"",""""),9))"),"770518148")</f>
        <v>770518148</v>
      </c>
      <c r="B977" s="52">
        <v>7.70518148E8</v>
      </c>
      <c r="C977" s="28" t="s">
        <v>1196</v>
      </c>
      <c r="D977" s="26" t="s">
        <v>56</v>
      </c>
      <c r="E977" s="31">
        <v>46227.0</v>
      </c>
      <c r="F977" s="26" t="s">
        <v>46</v>
      </c>
      <c r="H977" s="26" t="s">
        <v>1197</v>
      </c>
      <c r="I977" s="26" t="s">
        <v>42</v>
      </c>
      <c r="J977" s="25" t="str">
        <f t="shared" si="28"/>
        <v>No</v>
      </c>
      <c r="K977" s="25" t="str">
        <f t="shared" si="29"/>
        <v/>
      </c>
      <c r="L977" s="25" t="str">
        <f t="shared" si="30"/>
        <v/>
      </c>
      <c r="M977" s="25"/>
      <c r="O977" s="25"/>
    </row>
    <row r="978" ht="15.75" customHeight="1">
      <c r="A978" s="25" t="str">
        <f>IFERROR(__xludf.DUMMYFUNCTION("IF(B978="""","""",RIGHT(REGEXREPLACE(B978&amp;"""",""[^0-9]"",""""),9))"),"777513880")</f>
        <v>777513880</v>
      </c>
      <c r="B978" s="52">
        <v>7.7751388E8</v>
      </c>
      <c r="C978" s="28" t="s">
        <v>1198</v>
      </c>
      <c r="D978" s="26" t="s">
        <v>64</v>
      </c>
      <c r="E978" s="31">
        <v>46227.0</v>
      </c>
      <c r="F978" s="26" t="s">
        <v>84</v>
      </c>
      <c r="I978" s="26" t="s">
        <v>42</v>
      </c>
      <c r="J978" s="25" t="str">
        <f t="shared" si="28"/>
        <v>No</v>
      </c>
      <c r="K978" s="25" t="str">
        <f t="shared" si="29"/>
        <v/>
      </c>
      <c r="L978" s="25" t="str">
        <f t="shared" si="30"/>
        <v/>
      </c>
      <c r="M978" s="25"/>
      <c r="O978" s="25"/>
    </row>
    <row r="979" ht="15.75" customHeight="1">
      <c r="A979" s="25" t="str">
        <f>IFERROR(__xludf.DUMMYFUNCTION("IF(B979="""","""",RIGHT(REGEXREPLACE(B979&amp;"""",""[^0-9]"",""""),9))"),"773028602")</f>
        <v>773028602</v>
      </c>
      <c r="B979" s="52">
        <v>7.73028602E8</v>
      </c>
      <c r="C979" s="28" t="s">
        <v>1199</v>
      </c>
      <c r="D979" s="26" t="s">
        <v>82</v>
      </c>
      <c r="E979" s="31">
        <v>46227.0</v>
      </c>
      <c r="F979" s="26" t="s">
        <v>46</v>
      </c>
      <c r="G979" s="26">
        <v>9.0</v>
      </c>
      <c r="I979" s="26" t="s">
        <v>42</v>
      </c>
      <c r="J979" s="25" t="str">
        <f t="shared" si="28"/>
        <v>No</v>
      </c>
      <c r="K979" s="25" t="str">
        <f t="shared" si="29"/>
        <v/>
      </c>
      <c r="L979" s="25" t="str">
        <f t="shared" si="30"/>
        <v/>
      </c>
      <c r="M979" s="25"/>
      <c r="O979" s="25"/>
    </row>
    <row r="980" ht="15.75" customHeight="1">
      <c r="A980" s="25" t="str">
        <f>IFERROR(__xludf.DUMMYFUNCTION("IF(B980="""","""",RIGHT(REGEXREPLACE(B980&amp;"""",""[^0-9]"",""""),9))"),"717633005")</f>
        <v>717633005</v>
      </c>
      <c r="B980" s="52">
        <v>7.17633005E8</v>
      </c>
      <c r="C980" s="28" t="s">
        <v>1200</v>
      </c>
      <c r="D980" s="26" t="s">
        <v>82</v>
      </c>
      <c r="E980" s="31">
        <v>46227.0</v>
      </c>
      <c r="F980" s="26" t="s">
        <v>46</v>
      </c>
      <c r="G980" s="26">
        <v>11.0</v>
      </c>
      <c r="I980" s="26" t="s">
        <v>42</v>
      </c>
      <c r="J980" s="25" t="str">
        <f t="shared" si="28"/>
        <v>No</v>
      </c>
      <c r="K980" s="25" t="str">
        <f t="shared" si="29"/>
        <v/>
      </c>
      <c r="L980" s="25" t="str">
        <f t="shared" si="30"/>
        <v/>
      </c>
      <c r="M980" s="25"/>
      <c r="O980" s="25"/>
    </row>
    <row r="981" ht="15.75" customHeight="1">
      <c r="A981" s="25" t="str">
        <f>IFERROR(__xludf.DUMMYFUNCTION("IF(B981="""","""",RIGHT(REGEXREPLACE(B981&amp;"""",""[^0-9]"",""""),9))"),"769097039")</f>
        <v>769097039</v>
      </c>
      <c r="B981" s="52">
        <v>7.69097039E8</v>
      </c>
      <c r="C981" s="28" t="s">
        <v>1201</v>
      </c>
      <c r="D981" s="26" t="s">
        <v>49</v>
      </c>
      <c r="E981" s="31">
        <v>46227.0</v>
      </c>
      <c r="F981" s="26" t="s">
        <v>46</v>
      </c>
      <c r="G981" s="26">
        <v>11.0</v>
      </c>
      <c r="I981" s="26" t="s">
        <v>42</v>
      </c>
      <c r="J981" s="25" t="str">
        <f t="shared" si="28"/>
        <v>No</v>
      </c>
      <c r="K981" s="25" t="str">
        <f t="shared" si="29"/>
        <v/>
      </c>
      <c r="L981" s="25" t="str">
        <f t="shared" si="30"/>
        <v/>
      </c>
      <c r="M981" s="25"/>
      <c r="O981" s="25"/>
    </row>
    <row r="982" ht="15.75" customHeight="1">
      <c r="A982" s="25" t="str">
        <f>IFERROR(__xludf.DUMMYFUNCTION("IF(B982="""","""",RIGHT(REGEXREPLACE(B982&amp;"""",""[^0-9]"",""""),9))"),"762711774")</f>
        <v>762711774</v>
      </c>
      <c r="B982" s="52">
        <v>7.62711774E8</v>
      </c>
      <c r="C982" s="28" t="s">
        <v>290</v>
      </c>
      <c r="D982" s="26" t="s">
        <v>56</v>
      </c>
      <c r="E982" s="31">
        <v>46227.0</v>
      </c>
      <c r="F982" s="26" t="s">
        <v>41</v>
      </c>
      <c r="G982" s="26">
        <v>11.0</v>
      </c>
      <c r="I982" s="26" t="s">
        <v>42</v>
      </c>
      <c r="J982" s="25" t="str">
        <f t="shared" si="28"/>
        <v>No</v>
      </c>
      <c r="K982" s="25" t="str">
        <f t="shared" si="29"/>
        <v/>
      </c>
      <c r="L982" s="25" t="str">
        <f t="shared" si="30"/>
        <v/>
      </c>
      <c r="M982" s="25"/>
      <c r="O982" s="25"/>
    </row>
    <row r="983" ht="15.75" customHeight="1">
      <c r="A983" s="25" t="str">
        <f>IFERROR(__xludf.DUMMYFUNCTION("IF(B983="""","""",RIGHT(REGEXREPLACE(B983&amp;"""",""[^0-9]"",""""),9))"),"775886395")</f>
        <v>775886395</v>
      </c>
      <c r="B983" s="52">
        <v>7.75886395E8</v>
      </c>
      <c r="C983" s="28" t="s">
        <v>1202</v>
      </c>
      <c r="D983" s="26" t="s">
        <v>64</v>
      </c>
      <c r="E983" s="31">
        <v>46227.0</v>
      </c>
      <c r="F983" s="26" t="s">
        <v>41</v>
      </c>
      <c r="G983" s="26">
        <v>11.0</v>
      </c>
      <c r="I983" s="26" t="s">
        <v>42</v>
      </c>
      <c r="J983" s="25" t="str">
        <f t="shared" si="28"/>
        <v>No</v>
      </c>
      <c r="K983" s="25" t="str">
        <f t="shared" si="29"/>
        <v/>
      </c>
      <c r="L983" s="25" t="str">
        <f t="shared" si="30"/>
        <v/>
      </c>
      <c r="M983" s="25"/>
      <c r="O983" s="25"/>
    </row>
    <row r="984" ht="15.75" customHeight="1">
      <c r="A984" s="25" t="str">
        <f>IFERROR(__xludf.DUMMYFUNCTION("IF(B984="""","""",RIGHT(REGEXREPLACE(B984&amp;"""",""[^0-9]"",""""),9))"),"726600479")</f>
        <v>726600479</v>
      </c>
      <c r="B984" s="52">
        <v>7.26600479E8</v>
      </c>
      <c r="C984" s="28" t="s">
        <v>1203</v>
      </c>
      <c r="D984" s="26" t="s">
        <v>49</v>
      </c>
      <c r="E984" s="31">
        <v>46227.0</v>
      </c>
      <c r="F984" s="26" t="s">
        <v>41</v>
      </c>
      <c r="I984" s="26" t="s">
        <v>42</v>
      </c>
      <c r="J984" s="25" t="str">
        <f t="shared" si="28"/>
        <v>No</v>
      </c>
      <c r="K984" s="25" t="str">
        <f t="shared" si="29"/>
        <v/>
      </c>
      <c r="L984" s="25" t="str">
        <f t="shared" si="30"/>
        <v/>
      </c>
      <c r="M984" s="25"/>
      <c r="O984" s="25"/>
    </row>
    <row r="985" ht="15.75" customHeight="1">
      <c r="A985" s="25" t="str">
        <f>IFERROR(__xludf.DUMMYFUNCTION("IF(B985="""","""",RIGHT(REGEXREPLACE(B985&amp;"""",""[^0-9]"",""""),9))"),"759537720")</f>
        <v>759537720</v>
      </c>
      <c r="B985" s="52">
        <v>7.5953772E8</v>
      </c>
      <c r="C985" s="28" t="s">
        <v>1204</v>
      </c>
      <c r="D985" s="26" t="s">
        <v>64</v>
      </c>
      <c r="E985" s="31">
        <v>46227.0</v>
      </c>
      <c r="F985" s="26" t="s">
        <v>41</v>
      </c>
      <c r="I985" s="26" t="s">
        <v>42</v>
      </c>
      <c r="J985" s="25" t="str">
        <f t="shared" si="28"/>
        <v>No</v>
      </c>
      <c r="K985" s="25" t="str">
        <f t="shared" si="29"/>
        <v/>
      </c>
      <c r="L985" s="25" t="str">
        <f t="shared" si="30"/>
        <v/>
      </c>
      <c r="M985" s="25"/>
      <c r="O985" s="25"/>
    </row>
    <row r="986" ht="15.75" customHeight="1">
      <c r="A986" s="25" t="str">
        <f>IFERROR(__xludf.DUMMYFUNCTION("IF(B986="""","""",RIGHT(REGEXREPLACE(B986&amp;"""",""[^0-9]"",""""),9))"),"761363824")</f>
        <v>761363824</v>
      </c>
      <c r="B986" s="52">
        <v>7.61363824E8</v>
      </c>
      <c r="C986" s="28" t="s">
        <v>1205</v>
      </c>
      <c r="D986" s="26" t="s">
        <v>49</v>
      </c>
      <c r="E986" s="31">
        <v>46227.0</v>
      </c>
      <c r="F986" s="26" t="s">
        <v>46</v>
      </c>
      <c r="G986" s="26">
        <v>11.0</v>
      </c>
      <c r="I986" s="26" t="s">
        <v>42</v>
      </c>
      <c r="J986" s="25" t="str">
        <f t="shared" si="28"/>
        <v>No</v>
      </c>
      <c r="K986" s="25" t="str">
        <f t="shared" si="29"/>
        <v/>
      </c>
      <c r="L986" s="25" t="str">
        <f t="shared" si="30"/>
        <v/>
      </c>
      <c r="M986" s="25"/>
      <c r="O986" s="25"/>
    </row>
    <row r="987" ht="15.75" customHeight="1">
      <c r="A987" s="25" t="str">
        <f>IFERROR(__xludf.DUMMYFUNCTION("IF(B987="""","""",RIGHT(REGEXREPLACE(B987&amp;"""",""[^0-9]"",""""),9))"),"766704837")</f>
        <v>766704837</v>
      </c>
      <c r="B987" s="52">
        <v>7.66704837E8</v>
      </c>
      <c r="C987" s="28" t="s">
        <v>267</v>
      </c>
      <c r="D987" s="26" t="s">
        <v>56</v>
      </c>
      <c r="E987" s="31">
        <v>46227.0</v>
      </c>
      <c r="F987" s="26" t="s">
        <v>205</v>
      </c>
      <c r="G987" s="26">
        <v>11.0</v>
      </c>
      <c r="I987" s="26" t="s">
        <v>42</v>
      </c>
      <c r="J987" s="25" t="str">
        <f t="shared" si="28"/>
        <v>Yes - see Previous F-Code</v>
      </c>
      <c r="K987" s="25" t="str">
        <f t="shared" si="29"/>
        <v>DUPLICATE - CHECK</v>
      </c>
      <c r="L987" s="25" t="str">
        <f t="shared" si="30"/>
        <v>F70140</v>
      </c>
      <c r="M987" s="25"/>
      <c r="O987" s="25"/>
    </row>
    <row r="988" ht="15.75" customHeight="1">
      <c r="A988" s="25" t="str">
        <f>IFERROR(__xludf.DUMMYFUNCTION("IF(B988="""","""",RIGHT(REGEXREPLACE(B988&amp;"""",""[^0-9]"",""""),9))"),"772050967")</f>
        <v>772050967</v>
      </c>
      <c r="B988" s="52">
        <v>7.72050967E8</v>
      </c>
      <c r="C988" s="28" t="s">
        <v>1206</v>
      </c>
      <c r="D988" s="26" t="s">
        <v>45</v>
      </c>
      <c r="E988" s="31">
        <v>46227.0</v>
      </c>
      <c r="F988" s="26" t="s">
        <v>46</v>
      </c>
      <c r="G988" s="26">
        <v>11.0</v>
      </c>
      <c r="I988" s="26" t="s">
        <v>42</v>
      </c>
      <c r="J988" s="25" t="str">
        <f t="shared" si="28"/>
        <v>No</v>
      </c>
      <c r="K988" s="25" t="str">
        <f t="shared" si="29"/>
        <v/>
      </c>
      <c r="L988" s="25" t="str">
        <f t="shared" si="30"/>
        <v/>
      </c>
      <c r="M988" s="25"/>
      <c r="O988" s="25"/>
    </row>
    <row r="989" ht="15.75" customHeight="1">
      <c r="A989" s="25" t="str">
        <f>IFERROR(__xludf.DUMMYFUNCTION("IF(B989="""","""",RIGHT(REGEXREPLACE(B989&amp;"""",""[^0-9]"",""""),9))"),"765826272")</f>
        <v>765826272</v>
      </c>
      <c r="B989" s="52">
        <v>4.765826272E9</v>
      </c>
      <c r="C989" s="28" t="s">
        <v>1207</v>
      </c>
      <c r="D989" s="26" t="s">
        <v>64</v>
      </c>
      <c r="E989" s="31">
        <v>46227.0</v>
      </c>
      <c r="F989" s="26" t="s">
        <v>41</v>
      </c>
      <c r="I989" s="26" t="s">
        <v>42</v>
      </c>
      <c r="J989" s="25" t="str">
        <f t="shared" si="28"/>
        <v>No</v>
      </c>
      <c r="K989" s="25" t="str">
        <f t="shared" si="29"/>
        <v/>
      </c>
      <c r="L989" s="25" t="str">
        <f t="shared" si="30"/>
        <v/>
      </c>
      <c r="M989" s="25"/>
      <c r="O989" s="25"/>
    </row>
    <row r="990" ht="15.75" customHeight="1">
      <c r="A990" s="25" t="str">
        <f>IFERROR(__xludf.DUMMYFUNCTION("IF(B990="""","""",RIGHT(REGEXREPLACE(B990&amp;"""",""[^0-9]"",""""),9))"),"701816201")</f>
        <v>701816201</v>
      </c>
      <c r="B990" s="52">
        <v>7.01816201E8</v>
      </c>
      <c r="C990" s="28" t="s">
        <v>1208</v>
      </c>
      <c r="D990" s="26" t="s">
        <v>82</v>
      </c>
      <c r="E990" s="31">
        <v>46227.0</v>
      </c>
      <c r="F990" s="26" t="s">
        <v>46</v>
      </c>
      <c r="G990" s="26">
        <v>11.0</v>
      </c>
      <c r="I990" s="26" t="s">
        <v>42</v>
      </c>
      <c r="J990" s="25" t="str">
        <f t="shared" si="28"/>
        <v>No</v>
      </c>
      <c r="K990" s="25" t="str">
        <f t="shared" si="29"/>
        <v/>
      </c>
      <c r="L990" s="25" t="str">
        <f t="shared" si="30"/>
        <v/>
      </c>
      <c r="M990" s="25"/>
      <c r="O990" s="25"/>
    </row>
    <row r="991" ht="15.75" customHeight="1">
      <c r="A991" s="25" t="str">
        <f>IFERROR(__xludf.DUMMYFUNCTION("IF(B991="""","""",RIGHT(REGEXREPLACE(B991&amp;"""",""[^0-9]"",""""),9))"),"768137338")</f>
        <v>768137338</v>
      </c>
      <c r="B991" s="52">
        <v>7.68137338E8</v>
      </c>
      <c r="C991" s="28" t="s">
        <v>1209</v>
      </c>
      <c r="D991" s="26" t="s">
        <v>49</v>
      </c>
      <c r="E991" s="31">
        <v>46227.0</v>
      </c>
      <c r="F991" s="26" t="s">
        <v>41</v>
      </c>
      <c r="G991" s="26">
        <v>11.0</v>
      </c>
      <c r="I991" s="26" t="s">
        <v>42</v>
      </c>
      <c r="J991" s="25" t="str">
        <f t="shared" si="28"/>
        <v>No</v>
      </c>
      <c r="K991" s="25" t="str">
        <f t="shared" si="29"/>
        <v/>
      </c>
      <c r="L991" s="25" t="str">
        <f t="shared" si="30"/>
        <v/>
      </c>
      <c r="M991" s="25"/>
      <c r="O991" s="25"/>
    </row>
    <row r="992" ht="15.75" customHeight="1">
      <c r="A992" s="25" t="str">
        <f>IFERROR(__xludf.DUMMYFUNCTION("IF(B992="""","""",RIGHT(REGEXREPLACE(B992&amp;"""",""[^0-9]"",""""),9))"),"718087900")</f>
        <v>718087900</v>
      </c>
      <c r="B992" s="52">
        <v>7.180879E8</v>
      </c>
      <c r="C992" s="28" t="s">
        <v>1210</v>
      </c>
      <c r="D992" s="26" t="s">
        <v>56</v>
      </c>
      <c r="E992" s="31">
        <v>46227.0</v>
      </c>
      <c r="F992" s="26" t="s">
        <v>205</v>
      </c>
      <c r="G992" s="26">
        <v>11.0</v>
      </c>
      <c r="I992" s="26" t="s">
        <v>42</v>
      </c>
      <c r="J992" s="25" t="str">
        <f t="shared" si="28"/>
        <v>No</v>
      </c>
      <c r="K992" s="25" t="str">
        <f t="shared" si="29"/>
        <v/>
      </c>
      <c r="L992" s="25" t="str">
        <f t="shared" si="30"/>
        <v/>
      </c>
      <c r="M992" s="25"/>
      <c r="O992" s="25"/>
    </row>
    <row r="993" ht="15.75" customHeight="1">
      <c r="A993" s="25" t="str">
        <f>IFERROR(__xludf.DUMMYFUNCTION("IF(B993="""","""",RIGHT(REGEXREPLACE(B993&amp;"""",""[^0-9]"",""""),9))"),"774716363")</f>
        <v>774716363</v>
      </c>
      <c r="B993" s="52">
        <v>7.74716363E8</v>
      </c>
      <c r="C993" s="28" t="s">
        <v>414</v>
      </c>
      <c r="D993" s="26" t="s">
        <v>64</v>
      </c>
      <c r="E993" s="31">
        <v>46227.0</v>
      </c>
      <c r="F993" s="26" t="s">
        <v>125</v>
      </c>
      <c r="I993" s="26" t="s">
        <v>42</v>
      </c>
      <c r="J993" s="25" t="str">
        <f t="shared" si="28"/>
        <v>No</v>
      </c>
      <c r="K993" s="25" t="str">
        <f t="shared" si="29"/>
        <v/>
      </c>
      <c r="L993" s="25" t="str">
        <f t="shared" si="30"/>
        <v/>
      </c>
      <c r="M993" s="25"/>
      <c r="O993" s="25"/>
    </row>
    <row r="994" ht="15.75" customHeight="1">
      <c r="A994" s="25" t="str">
        <f>IFERROR(__xludf.DUMMYFUNCTION("IF(B994="""","""",RIGHT(REGEXREPLACE(B994&amp;"""",""[^0-9]"",""""),9))"),"774619322")</f>
        <v>774619322</v>
      </c>
      <c r="B994" s="52">
        <v>7.74619322E8</v>
      </c>
      <c r="C994" s="28" t="s">
        <v>1211</v>
      </c>
      <c r="D994" s="26" t="s">
        <v>45</v>
      </c>
      <c r="E994" s="31">
        <v>46227.0</v>
      </c>
      <c r="F994" s="26" t="s">
        <v>46</v>
      </c>
      <c r="G994" s="26">
        <v>11.0</v>
      </c>
      <c r="H994" s="26" t="s">
        <v>819</v>
      </c>
      <c r="I994" s="26" t="s">
        <v>42</v>
      </c>
      <c r="J994" s="25" t="str">
        <f t="shared" si="28"/>
        <v>No</v>
      </c>
      <c r="K994" s="25" t="str">
        <f t="shared" si="29"/>
        <v/>
      </c>
      <c r="L994" s="25" t="str">
        <f t="shared" si="30"/>
        <v/>
      </c>
      <c r="M994" s="25"/>
      <c r="O994" s="25"/>
    </row>
    <row r="995" ht="15.75" customHeight="1">
      <c r="A995" s="25" t="str">
        <f>IFERROR(__xludf.DUMMYFUNCTION("IF(B995="""","""",RIGHT(REGEXREPLACE(B995&amp;"""",""[^0-9]"",""""),9))"),"765946121")</f>
        <v>765946121</v>
      </c>
      <c r="B995" s="52">
        <v>7.65946121E8</v>
      </c>
      <c r="C995" s="28" t="s">
        <v>1212</v>
      </c>
      <c r="D995" s="26" t="s">
        <v>82</v>
      </c>
      <c r="E995" s="31">
        <v>46227.0</v>
      </c>
      <c r="F995" s="26" t="s">
        <v>84</v>
      </c>
      <c r="I995" s="26" t="s">
        <v>42</v>
      </c>
      <c r="J995" s="25" t="str">
        <f t="shared" si="28"/>
        <v>No</v>
      </c>
      <c r="K995" s="25" t="str">
        <f t="shared" si="29"/>
        <v/>
      </c>
      <c r="L995" s="25" t="str">
        <f t="shared" si="30"/>
        <v/>
      </c>
      <c r="M995" s="25"/>
      <c r="O995" s="25"/>
    </row>
    <row r="996" ht="15.75" customHeight="1">
      <c r="A996" s="25" t="str">
        <f>IFERROR(__xludf.DUMMYFUNCTION("IF(B996="""","""",RIGHT(REGEXREPLACE(B996&amp;"""",""[^0-9]"",""""),9))"),"775551863")</f>
        <v>775551863</v>
      </c>
      <c r="B996" s="52">
        <v>7.75551863E8</v>
      </c>
      <c r="C996" s="28" t="s">
        <v>1213</v>
      </c>
      <c r="D996" s="26" t="s">
        <v>45</v>
      </c>
      <c r="E996" s="31">
        <v>46227.0</v>
      </c>
      <c r="F996" s="26" t="s">
        <v>46</v>
      </c>
      <c r="G996" s="26">
        <v>11.0</v>
      </c>
      <c r="I996" s="26" t="s">
        <v>42</v>
      </c>
      <c r="J996" s="25" t="str">
        <f t="shared" si="28"/>
        <v>No</v>
      </c>
      <c r="K996" s="25" t="str">
        <f t="shared" si="29"/>
        <v/>
      </c>
      <c r="L996" s="25" t="str">
        <f t="shared" si="30"/>
        <v/>
      </c>
      <c r="M996" s="25"/>
      <c r="O996" s="25"/>
    </row>
    <row r="997" ht="15.75" customHeight="1">
      <c r="A997" s="25" t="str">
        <f>IFERROR(__xludf.DUMMYFUNCTION("IF(B997="""","""",RIGHT(REGEXREPLACE(B997&amp;"""",""[^0-9]"",""""),9))"),"715309061")</f>
        <v>715309061</v>
      </c>
      <c r="B997" s="26">
        <v>7.15309061E8</v>
      </c>
      <c r="C997" s="28" t="s">
        <v>1214</v>
      </c>
      <c r="D997" s="26" t="s">
        <v>37</v>
      </c>
      <c r="E997" s="31">
        <v>46227.0</v>
      </c>
      <c r="F997" s="26" t="s">
        <v>41</v>
      </c>
      <c r="I997" s="26" t="s">
        <v>42</v>
      </c>
      <c r="J997" s="25" t="str">
        <f t="shared" si="28"/>
        <v>No</v>
      </c>
      <c r="K997" s="25" t="str">
        <f t="shared" si="29"/>
        <v/>
      </c>
      <c r="L997" s="25" t="str">
        <f t="shared" si="30"/>
        <v/>
      </c>
      <c r="M997" s="25"/>
      <c r="O997" s="25"/>
    </row>
    <row r="998" ht="15.75" customHeight="1">
      <c r="A998" s="25" t="str">
        <f>IFERROR(__xludf.DUMMYFUNCTION("IF(B998="""","""",RIGHT(REGEXREPLACE(B998&amp;"""",""[^0-9]"",""""),9))"),"764248741")</f>
        <v>764248741</v>
      </c>
      <c r="B998" s="52">
        <v>7.64248741E8</v>
      </c>
      <c r="C998" s="28" t="s">
        <v>1215</v>
      </c>
      <c r="D998" s="26" t="s">
        <v>49</v>
      </c>
      <c r="E998" s="31">
        <v>46227.0</v>
      </c>
      <c r="F998" s="26" t="s">
        <v>41</v>
      </c>
      <c r="G998" s="26">
        <v>11.0</v>
      </c>
      <c r="I998" s="26" t="s">
        <v>42</v>
      </c>
      <c r="J998" s="25" t="str">
        <f t="shared" si="28"/>
        <v>No</v>
      </c>
      <c r="K998" s="25" t="str">
        <f t="shared" si="29"/>
        <v/>
      </c>
      <c r="L998" s="25" t="str">
        <f t="shared" si="30"/>
        <v/>
      </c>
      <c r="M998" s="25"/>
      <c r="O998" s="25"/>
    </row>
    <row r="999" ht="15.75" customHeight="1">
      <c r="A999" s="25" t="str">
        <f>IFERROR(__xludf.DUMMYFUNCTION("IF(B999="""","""",RIGHT(REGEXREPLACE(B999&amp;"""",""[^0-9]"",""""),9))"),"763897803")</f>
        <v>763897803</v>
      </c>
      <c r="B999" s="52">
        <v>7.63897803E8</v>
      </c>
      <c r="C999" s="28" t="s">
        <v>460</v>
      </c>
      <c r="D999" s="26" t="s">
        <v>64</v>
      </c>
      <c r="E999" s="31">
        <v>46227.0</v>
      </c>
      <c r="F999" s="26" t="s">
        <v>205</v>
      </c>
      <c r="G999" s="26">
        <v>11.0</v>
      </c>
      <c r="I999" s="26" t="s">
        <v>42</v>
      </c>
      <c r="J999" s="25" t="str">
        <f t="shared" si="28"/>
        <v>Yes - see Previous F-Code</v>
      </c>
      <c r="K999" s="25" t="str">
        <f t="shared" si="29"/>
        <v>DUPLICATE - CHECK</v>
      </c>
      <c r="L999" s="25" t="str">
        <f t="shared" si="30"/>
        <v>F70290</v>
      </c>
      <c r="M999" s="25"/>
      <c r="O999" s="25"/>
    </row>
    <row r="1000" ht="15.75" customHeight="1">
      <c r="A1000" s="25" t="str">
        <f>IFERROR(__xludf.DUMMYFUNCTION("IF(B1000="""","""",RIGHT(REGEXREPLACE(B1000&amp;"""",""[^0-9]"",""""),9))"),"774054931")</f>
        <v>774054931</v>
      </c>
      <c r="B1000" s="26">
        <v>7.74054931E8</v>
      </c>
      <c r="C1000" s="28" t="s">
        <v>1216</v>
      </c>
      <c r="D1000" s="26" t="s">
        <v>37</v>
      </c>
      <c r="E1000" s="31">
        <v>46227.0</v>
      </c>
      <c r="F1000" s="26" t="s">
        <v>164</v>
      </c>
      <c r="G1000" s="26">
        <v>9.0</v>
      </c>
      <c r="I1000" s="26" t="s">
        <v>42</v>
      </c>
      <c r="J1000" s="25" t="str">
        <f t="shared" si="28"/>
        <v>No</v>
      </c>
      <c r="K1000" s="25" t="str">
        <f t="shared" si="29"/>
        <v/>
      </c>
      <c r="L1000" s="25" t="str">
        <f t="shared" si="30"/>
        <v/>
      </c>
      <c r="M1000" s="25"/>
      <c r="O1000" s="25"/>
    </row>
    <row r="1001" ht="15.75" customHeight="1">
      <c r="A1001" s="25" t="str">
        <f>IFERROR(__xludf.DUMMYFUNCTION("IF(B1001="""","""",RIGHT(REGEXREPLACE(B1001&amp;"""",""[^0-9]"",""""),9))"),"740316587")</f>
        <v>740316587</v>
      </c>
      <c r="B1001" s="52">
        <v>7.40316587E8</v>
      </c>
      <c r="C1001" s="28" t="s">
        <v>1217</v>
      </c>
      <c r="D1001" s="26" t="s">
        <v>82</v>
      </c>
      <c r="E1001" s="31">
        <v>46227.0</v>
      </c>
      <c r="F1001" s="26" t="s">
        <v>41</v>
      </c>
      <c r="I1001" s="26" t="s">
        <v>42</v>
      </c>
      <c r="J1001" s="25" t="str">
        <f t="shared" si="28"/>
        <v>No</v>
      </c>
      <c r="K1001" s="25" t="str">
        <f t="shared" si="29"/>
        <v/>
      </c>
      <c r="L1001" s="25" t="str">
        <f t="shared" si="30"/>
        <v/>
      </c>
      <c r="M1001" s="25"/>
      <c r="O1001" s="25"/>
    </row>
    <row r="1002" ht="15.75" customHeight="1">
      <c r="A1002" s="25" t="str">
        <f>IFERROR(__xludf.DUMMYFUNCTION("IF(B1002="""","""",RIGHT(REGEXREPLACE(B1002&amp;"""",""[^0-9]"",""""),9))"),"741958883")</f>
        <v>741958883</v>
      </c>
      <c r="B1002" s="52">
        <v>7.41958883E8</v>
      </c>
      <c r="C1002" s="28" t="s">
        <v>1218</v>
      </c>
      <c r="D1002" s="26" t="s">
        <v>56</v>
      </c>
      <c r="E1002" s="31">
        <v>46227.0</v>
      </c>
      <c r="F1002" s="26" t="s">
        <v>46</v>
      </c>
      <c r="G1002" s="26">
        <v>9.0</v>
      </c>
      <c r="H1002" s="26" t="s">
        <v>1219</v>
      </c>
      <c r="I1002" s="26" t="s">
        <v>42</v>
      </c>
      <c r="J1002" s="25" t="str">
        <f t="shared" si="28"/>
        <v>No</v>
      </c>
      <c r="K1002" s="25" t="str">
        <f t="shared" si="29"/>
        <v/>
      </c>
      <c r="L1002" s="25" t="str">
        <f t="shared" si="30"/>
        <v/>
      </c>
      <c r="M1002" s="25"/>
      <c r="O1002" s="25"/>
    </row>
    <row r="1003" ht="15.75" customHeight="1">
      <c r="A1003" s="25" t="str">
        <f>IFERROR(__xludf.DUMMYFUNCTION("IF(B1003="""","""",RIGHT(REGEXREPLACE(B1003&amp;"""",""[^0-9]"",""""),9))"),"763993075")</f>
        <v>763993075</v>
      </c>
      <c r="B1003" s="52">
        <v>7.63993075E8</v>
      </c>
      <c r="C1003" s="28" t="s">
        <v>1220</v>
      </c>
      <c r="D1003" s="26" t="s">
        <v>45</v>
      </c>
      <c r="E1003" s="31">
        <v>46227.0</v>
      </c>
      <c r="F1003" s="26" t="s">
        <v>46</v>
      </c>
      <c r="G1003" s="26">
        <v>11.0</v>
      </c>
      <c r="I1003" s="26" t="s">
        <v>42</v>
      </c>
      <c r="J1003" s="25" t="str">
        <f t="shared" si="28"/>
        <v>No</v>
      </c>
      <c r="K1003" s="25" t="str">
        <f t="shared" si="29"/>
        <v/>
      </c>
      <c r="L1003" s="25" t="str">
        <f t="shared" si="30"/>
        <v/>
      </c>
      <c r="M1003" s="25"/>
      <c r="O1003" s="25"/>
    </row>
    <row r="1004" ht="15.75" customHeight="1">
      <c r="A1004" s="25" t="str">
        <f>IFERROR(__xludf.DUMMYFUNCTION("IF(B1004="""","""",RIGHT(REGEXREPLACE(B1004&amp;"""",""[^0-9]"",""""),9))"),"786198723")</f>
        <v>786198723</v>
      </c>
      <c r="B1004" s="26">
        <v>7.86198723E8</v>
      </c>
      <c r="C1004" s="28" t="s">
        <v>1221</v>
      </c>
      <c r="D1004" s="26" t="s">
        <v>37</v>
      </c>
      <c r="E1004" s="31">
        <v>46227.0</v>
      </c>
      <c r="F1004" s="26" t="s">
        <v>46</v>
      </c>
      <c r="G1004" s="26">
        <v>11.0</v>
      </c>
      <c r="H1004" s="26" t="s">
        <v>1222</v>
      </c>
      <c r="I1004" s="26" t="s">
        <v>42</v>
      </c>
      <c r="J1004" s="25" t="str">
        <f t="shared" si="28"/>
        <v>No</v>
      </c>
      <c r="K1004" s="25" t="str">
        <f t="shared" si="29"/>
        <v/>
      </c>
      <c r="L1004" s="25" t="str">
        <f t="shared" si="30"/>
        <v/>
      </c>
      <c r="M1004" s="25"/>
      <c r="O1004" s="25"/>
    </row>
    <row r="1005" ht="15.75" customHeight="1">
      <c r="A1005" s="25" t="str">
        <f>IFERROR(__xludf.DUMMYFUNCTION("IF(B1005="""","""",RIGHT(REGEXREPLACE(B1005&amp;"""",""[^0-9]"",""""),9))"),"766088248")</f>
        <v>766088248</v>
      </c>
      <c r="B1005" s="52">
        <v>7.66088248E8</v>
      </c>
      <c r="C1005" s="28" t="s">
        <v>1223</v>
      </c>
      <c r="D1005" s="26" t="s">
        <v>49</v>
      </c>
      <c r="E1005" s="31">
        <v>46227.0</v>
      </c>
      <c r="F1005" s="26" t="s">
        <v>46</v>
      </c>
      <c r="G1005" s="26">
        <v>11.0</v>
      </c>
      <c r="I1005" s="26" t="s">
        <v>42</v>
      </c>
      <c r="J1005" s="25" t="str">
        <f t="shared" si="28"/>
        <v>No</v>
      </c>
      <c r="K1005" s="25" t="str">
        <f t="shared" si="29"/>
        <v/>
      </c>
      <c r="L1005" s="25" t="str">
        <f t="shared" si="30"/>
        <v/>
      </c>
      <c r="M1005" s="25"/>
      <c r="O1005" s="25"/>
    </row>
    <row r="1006" ht="15.75" customHeight="1">
      <c r="A1006" s="25" t="str">
        <f>IFERROR(__xludf.DUMMYFUNCTION("IF(B1006="""","""",RIGHT(REGEXREPLACE(B1006&amp;"""",""[^0-9]"",""""),9))"),"703227791")</f>
        <v>703227791</v>
      </c>
      <c r="B1006" s="26">
        <v>7.03227791E8</v>
      </c>
      <c r="C1006" s="28" t="s">
        <v>1224</v>
      </c>
      <c r="D1006" s="26" t="s">
        <v>37</v>
      </c>
      <c r="E1006" s="31">
        <v>46227.0</v>
      </c>
      <c r="F1006" s="26" t="s">
        <v>41</v>
      </c>
      <c r="I1006" s="26" t="s">
        <v>42</v>
      </c>
      <c r="J1006" s="25" t="str">
        <f t="shared" si="28"/>
        <v>No</v>
      </c>
      <c r="K1006" s="25" t="str">
        <f t="shared" si="29"/>
        <v/>
      </c>
      <c r="L1006" s="25" t="str">
        <f t="shared" si="30"/>
        <v/>
      </c>
      <c r="M1006" s="25"/>
      <c r="O1006" s="25"/>
    </row>
    <row r="1007" ht="15.75" customHeight="1">
      <c r="A1007" s="25" t="str">
        <f>IFERROR(__xludf.DUMMYFUNCTION("IF(B1007="""","""",RIGHT(REGEXREPLACE(B1007&amp;"""",""[^0-9]"",""""),9))"),"767286116")</f>
        <v>767286116</v>
      </c>
      <c r="B1007" s="52">
        <v>7.67286116E8</v>
      </c>
      <c r="C1007" s="28" t="s">
        <v>1225</v>
      </c>
      <c r="D1007" s="26" t="s">
        <v>56</v>
      </c>
      <c r="E1007" s="31">
        <v>46227.0</v>
      </c>
      <c r="F1007" s="26" t="s">
        <v>41</v>
      </c>
      <c r="G1007" s="26">
        <v>7.0</v>
      </c>
      <c r="I1007" s="26" t="s">
        <v>42</v>
      </c>
      <c r="J1007" s="25" t="str">
        <f t="shared" si="28"/>
        <v>No</v>
      </c>
      <c r="K1007" s="25" t="str">
        <f t="shared" si="29"/>
        <v/>
      </c>
      <c r="L1007" s="25" t="str">
        <f t="shared" si="30"/>
        <v/>
      </c>
      <c r="M1007" s="25"/>
      <c r="O1007" s="25"/>
    </row>
    <row r="1008" ht="15.75" customHeight="1">
      <c r="A1008" s="25" t="str">
        <f>IFERROR(__xludf.DUMMYFUNCTION("IF(B1008="""","""",RIGHT(REGEXREPLACE(B1008&amp;"""",""[^0-9]"",""""),9))"),"760914424")</f>
        <v>760914424</v>
      </c>
      <c r="B1008" s="52">
        <v>7.60914424E8</v>
      </c>
      <c r="C1008" s="28" t="s">
        <v>1226</v>
      </c>
      <c r="D1008" s="26" t="s">
        <v>64</v>
      </c>
      <c r="E1008" s="31">
        <v>46227.0</v>
      </c>
      <c r="F1008" s="26" t="s">
        <v>41</v>
      </c>
      <c r="I1008" s="26" t="s">
        <v>42</v>
      </c>
      <c r="J1008" s="25" t="str">
        <f t="shared" si="28"/>
        <v>No</v>
      </c>
      <c r="K1008" s="25" t="str">
        <f t="shared" si="29"/>
        <v/>
      </c>
      <c r="L1008" s="25" t="str">
        <f t="shared" si="30"/>
        <v/>
      </c>
      <c r="M1008" s="25"/>
      <c r="O1008" s="25"/>
    </row>
    <row r="1009" ht="15.75" customHeight="1">
      <c r="A1009" s="25" t="str">
        <f>IFERROR(__xludf.DUMMYFUNCTION("IF(B1009="""","""",RIGHT(REGEXREPLACE(B1009&amp;"""",""[^0-9]"",""""),9))"),"757183909")</f>
        <v>757183909</v>
      </c>
      <c r="B1009" s="52">
        <v>7.57183909E8</v>
      </c>
      <c r="C1009" s="28" t="s">
        <v>1227</v>
      </c>
      <c r="D1009" s="26" t="s">
        <v>45</v>
      </c>
      <c r="E1009" s="31">
        <v>46227.0</v>
      </c>
      <c r="F1009" s="26" t="s">
        <v>46</v>
      </c>
      <c r="G1009" s="110">
        <v>11.0</v>
      </c>
      <c r="I1009" s="26" t="s">
        <v>42</v>
      </c>
      <c r="J1009" s="25" t="str">
        <f t="shared" si="28"/>
        <v>No</v>
      </c>
      <c r="K1009" s="25" t="str">
        <f t="shared" si="29"/>
        <v/>
      </c>
      <c r="L1009" s="25" t="str">
        <f t="shared" si="30"/>
        <v/>
      </c>
      <c r="M1009" s="25"/>
      <c r="O1009" s="25"/>
    </row>
    <row r="1010" ht="15.75" customHeight="1">
      <c r="A1010" s="25" t="str">
        <f>IFERROR(__xludf.DUMMYFUNCTION("IF(B1010="""","""",RIGHT(REGEXREPLACE(B1010&amp;"""",""[^0-9]"",""""),9))"),"706529309")</f>
        <v>706529309</v>
      </c>
      <c r="B1010" s="52">
        <v>7.06529309E8</v>
      </c>
      <c r="C1010" s="28" t="s">
        <v>1228</v>
      </c>
      <c r="D1010" s="26" t="s">
        <v>49</v>
      </c>
      <c r="E1010" s="31">
        <v>46227.0</v>
      </c>
      <c r="F1010" s="26" t="s">
        <v>41</v>
      </c>
      <c r="I1010" s="26" t="s">
        <v>42</v>
      </c>
      <c r="J1010" s="25" t="str">
        <f t="shared" si="28"/>
        <v>No</v>
      </c>
      <c r="K1010" s="25" t="str">
        <f t="shared" si="29"/>
        <v/>
      </c>
      <c r="L1010" s="25" t="str">
        <f t="shared" si="30"/>
        <v/>
      </c>
      <c r="M1010" s="25"/>
      <c r="O1010" s="25"/>
    </row>
    <row r="1011" ht="15.75" customHeight="1">
      <c r="A1011" s="25" t="str">
        <f>IFERROR(__xludf.DUMMYFUNCTION("IF(B1011="""","""",RIGHT(REGEXREPLACE(B1011&amp;"""",""[^0-9]"",""""),9))"),"765344916")</f>
        <v>765344916</v>
      </c>
      <c r="B1011" s="26">
        <v>7.65344916E8</v>
      </c>
      <c r="C1011" s="28" t="s">
        <v>1229</v>
      </c>
      <c r="D1011" s="26" t="s">
        <v>37</v>
      </c>
      <c r="E1011" s="31">
        <v>46227.0</v>
      </c>
      <c r="F1011" s="26" t="s">
        <v>704</v>
      </c>
      <c r="G1011" s="26">
        <v>11.0</v>
      </c>
      <c r="I1011" s="26" t="s">
        <v>42</v>
      </c>
      <c r="J1011" s="25" t="str">
        <f t="shared" si="28"/>
        <v>No</v>
      </c>
      <c r="K1011" s="25" t="str">
        <f t="shared" si="29"/>
        <v/>
      </c>
      <c r="L1011" s="25" t="str">
        <f t="shared" si="30"/>
        <v/>
      </c>
      <c r="M1011" s="25"/>
      <c r="O1011" s="25"/>
    </row>
    <row r="1012" ht="15.75" customHeight="1">
      <c r="A1012" s="25" t="str">
        <f>IFERROR(__xludf.DUMMYFUNCTION("IF(B1012="""","""",RIGHT(REGEXREPLACE(B1012&amp;"""",""[^0-9]"",""""),9))"),"783270702")</f>
        <v>783270702</v>
      </c>
      <c r="B1012" s="52">
        <v>7.83270702E8</v>
      </c>
      <c r="C1012" s="28" t="s">
        <v>1230</v>
      </c>
      <c r="D1012" s="26" t="s">
        <v>64</v>
      </c>
      <c r="E1012" s="31">
        <v>46227.0</v>
      </c>
      <c r="F1012" s="26" t="s">
        <v>46</v>
      </c>
      <c r="G1012" s="26">
        <v>11.0</v>
      </c>
      <c r="I1012" s="26" t="s">
        <v>42</v>
      </c>
      <c r="J1012" s="25" t="str">
        <f t="shared" si="28"/>
        <v>No</v>
      </c>
      <c r="K1012" s="25" t="str">
        <f t="shared" si="29"/>
        <v/>
      </c>
      <c r="L1012" s="25" t="str">
        <f t="shared" si="30"/>
        <v/>
      </c>
      <c r="M1012" s="25"/>
      <c r="O1012" s="25"/>
    </row>
    <row r="1013" ht="15.75" customHeight="1">
      <c r="A1013" s="25" t="str">
        <f>IFERROR(__xludf.DUMMYFUNCTION("IF(B1013="""","""",RIGHT(REGEXREPLACE(B1013&amp;"""",""[^0-9]"",""""),9))"),"723635690")</f>
        <v>723635690</v>
      </c>
      <c r="B1013" s="26">
        <v>7.2363569E8</v>
      </c>
      <c r="C1013" s="28" t="s">
        <v>1231</v>
      </c>
      <c r="D1013" s="26" t="s">
        <v>37</v>
      </c>
      <c r="E1013" s="31">
        <v>46227.0</v>
      </c>
      <c r="F1013" s="26" t="s">
        <v>205</v>
      </c>
      <c r="G1013" s="26">
        <v>10.0</v>
      </c>
      <c r="I1013" s="26" t="s">
        <v>42</v>
      </c>
      <c r="J1013" s="25" t="str">
        <f t="shared" si="28"/>
        <v>No</v>
      </c>
      <c r="K1013" s="25" t="str">
        <f t="shared" si="29"/>
        <v/>
      </c>
      <c r="L1013" s="25" t="str">
        <f t="shared" si="30"/>
        <v/>
      </c>
      <c r="M1013" s="25"/>
      <c r="O1013" s="25"/>
    </row>
    <row r="1014" ht="15.75" customHeight="1">
      <c r="A1014" s="25" t="str">
        <f>IFERROR(__xludf.DUMMYFUNCTION("IF(B1014="""","""",RIGHT(REGEXREPLACE(B1014&amp;"""",""[^0-9]"",""""),9))"),"722154737")</f>
        <v>722154737</v>
      </c>
      <c r="B1014" s="52">
        <v>7.22154737E8</v>
      </c>
      <c r="C1014" s="28" t="s">
        <v>1227</v>
      </c>
      <c r="D1014" s="26" t="s">
        <v>45</v>
      </c>
      <c r="E1014" s="31">
        <v>46227.0</v>
      </c>
      <c r="F1014" s="26" t="s">
        <v>46</v>
      </c>
      <c r="G1014" s="26">
        <v>10.0</v>
      </c>
      <c r="I1014" s="26" t="s">
        <v>42</v>
      </c>
      <c r="J1014" s="25" t="str">
        <f t="shared" si="28"/>
        <v>No</v>
      </c>
      <c r="K1014" s="25" t="str">
        <f t="shared" si="29"/>
        <v/>
      </c>
      <c r="L1014" s="25" t="str">
        <f t="shared" si="30"/>
        <v/>
      </c>
      <c r="M1014" s="25"/>
      <c r="O1014" s="25"/>
    </row>
    <row r="1015" ht="15.75" customHeight="1">
      <c r="A1015" s="25" t="str">
        <f>IFERROR(__xludf.DUMMYFUNCTION("IF(B1015="""","""",RIGHT(REGEXREPLACE(B1015&amp;"""",""[^0-9]"",""""),9))"),"766591621")</f>
        <v>766591621</v>
      </c>
      <c r="B1015" s="52">
        <v>7.66591621E8</v>
      </c>
      <c r="C1015" s="28" t="s">
        <v>1232</v>
      </c>
      <c r="D1015" s="26" t="s">
        <v>56</v>
      </c>
      <c r="E1015" s="31">
        <v>46227.0</v>
      </c>
      <c r="F1015" s="26" t="s">
        <v>125</v>
      </c>
      <c r="G1015" s="26">
        <v>10.0</v>
      </c>
      <c r="I1015" s="26" t="s">
        <v>42</v>
      </c>
      <c r="J1015" s="25" t="str">
        <f t="shared" si="28"/>
        <v>No</v>
      </c>
      <c r="K1015" s="25" t="str">
        <f t="shared" si="29"/>
        <v/>
      </c>
      <c r="L1015" s="25" t="str">
        <f t="shared" si="30"/>
        <v/>
      </c>
      <c r="M1015" s="25"/>
      <c r="O1015" s="25"/>
    </row>
    <row r="1016" ht="15.75" customHeight="1">
      <c r="A1016" s="25" t="str">
        <f>IFERROR(__xludf.DUMMYFUNCTION("IF(B1016="""","""",RIGHT(REGEXREPLACE(B1016&amp;"""",""[^0-9]"",""""),9))"),"778402308")</f>
        <v>778402308</v>
      </c>
      <c r="B1016" s="52">
        <v>7.78402308E8</v>
      </c>
      <c r="C1016" s="28" t="s">
        <v>1233</v>
      </c>
      <c r="D1016" s="26" t="s">
        <v>49</v>
      </c>
      <c r="E1016" s="31">
        <v>46227.0</v>
      </c>
      <c r="F1016" s="26" t="s">
        <v>46</v>
      </c>
      <c r="G1016" s="26">
        <v>11.0</v>
      </c>
      <c r="I1016" s="26" t="s">
        <v>42</v>
      </c>
      <c r="J1016" s="25" t="str">
        <f t="shared" si="28"/>
        <v>No</v>
      </c>
      <c r="K1016" s="25" t="str">
        <f t="shared" si="29"/>
        <v/>
      </c>
      <c r="L1016" s="25" t="str">
        <f t="shared" si="30"/>
        <v/>
      </c>
      <c r="M1016" s="25"/>
      <c r="O1016" s="25"/>
    </row>
    <row r="1017" ht="15.75" customHeight="1">
      <c r="A1017" s="25" t="str">
        <f>IFERROR(__xludf.DUMMYFUNCTION("IF(B1017="""","""",RIGHT(REGEXREPLACE(B1017&amp;"""",""[^0-9]"",""""),9))"),"766074479")</f>
        <v>766074479</v>
      </c>
      <c r="B1017" s="26">
        <v>7.66074479E8</v>
      </c>
      <c r="C1017" s="28" t="s">
        <v>1234</v>
      </c>
      <c r="D1017" s="26" t="s">
        <v>37</v>
      </c>
      <c r="E1017" s="31">
        <v>46227.0</v>
      </c>
      <c r="F1017" s="26" t="s">
        <v>46</v>
      </c>
      <c r="G1017" s="26">
        <v>11.0</v>
      </c>
      <c r="H1017" s="26" t="s">
        <v>1235</v>
      </c>
      <c r="I1017" s="26" t="s">
        <v>42</v>
      </c>
      <c r="J1017" s="25" t="str">
        <f t="shared" si="28"/>
        <v>No</v>
      </c>
      <c r="K1017" s="25" t="str">
        <f t="shared" si="29"/>
        <v/>
      </c>
      <c r="L1017" s="25" t="str">
        <f t="shared" si="30"/>
        <v/>
      </c>
      <c r="M1017" s="25"/>
      <c r="O1017" s="25"/>
    </row>
    <row r="1018" ht="15.75" customHeight="1">
      <c r="A1018" s="25" t="str">
        <f>IFERROR(__xludf.DUMMYFUNCTION("IF(B1018="""","""",RIGHT(REGEXREPLACE(B1018&amp;"""",""[^0-9]"",""""),9))"),"774991369")</f>
        <v>774991369</v>
      </c>
      <c r="B1018" s="52">
        <v>7.74991369E8</v>
      </c>
      <c r="C1018" s="28" t="s">
        <v>1236</v>
      </c>
      <c r="D1018" s="26" t="s">
        <v>82</v>
      </c>
      <c r="E1018" s="31">
        <v>46227.0</v>
      </c>
      <c r="F1018" s="26" t="s">
        <v>46</v>
      </c>
      <c r="G1018" s="26">
        <v>10.0</v>
      </c>
      <c r="I1018" s="26" t="s">
        <v>42</v>
      </c>
      <c r="J1018" s="25" t="str">
        <f t="shared" si="28"/>
        <v>No</v>
      </c>
      <c r="K1018" s="25" t="str">
        <f t="shared" si="29"/>
        <v/>
      </c>
      <c r="L1018" s="25" t="str">
        <f t="shared" si="30"/>
        <v/>
      </c>
      <c r="M1018" s="25"/>
      <c r="O1018" s="25"/>
    </row>
    <row r="1019" ht="15.75" customHeight="1">
      <c r="A1019" s="25" t="str">
        <f>IFERROR(__xludf.DUMMYFUNCTION("IF(B1019="""","""",RIGHT(REGEXREPLACE(B1019&amp;"""",""[^0-9]"",""""),9))"),"761513765")</f>
        <v>761513765</v>
      </c>
      <c r="B1019" s="26">
        <v>7.61513765E8</v>
      </c>
      <c r="C1019" s="28" t="s">
        <v>1237</v>
      </c>
      <c r="D1019" s="26" t="s">
        <v>37</v>
      </c>
      <c r="E1019" s="31">
        <v>46227.0</v>
      </c>
      <c r="F1019" s="26" t="s">
        <v>205</v>
      </c>
      <c r="G1019" s="26">
        <v>11.0</v>
      </c>
      <c r="I1019" s="26" t="s">
        <v>42</v>
      </c>
      <c r="J1019" s="25" t="str">
        <f t="shared" si="28"/>
        <v>No</v>
      </c>
      <c r="K1019" s="25" t="str">
        <f t="shared" si="29"/>
        <v/>
      </c>
      <c r="L1019" s="25" t="str">
        <f t="shared" si="30"/>
        <v/>
      </c>
      <c r="M1019" s="25"/>
      <c r="O1019" s="25"/>
    </row>
    <row r="1020" ht="15.75" customHeight="1">
      <c r="A1020" s="25" t="str">
        <f>IFERROR(__xludf.DUMMYFUNCTION("IF(B1020="""","""",RIGHT(REGEXREPLACE(B1020&amp;"""",""[^0-9]"",""""),9))"),"716082203")</f>
        <v>716082203</v>
      </c>
      <c r="B1020" s="26">
        <v>7.16082203E8</v>
      </c>
      <c r="C1020" s="28" t="s">
        <v>1238</v>
      </c>
      <c r="D1020" s="26" t="s">
        <v>37</v>
      </c>
      <c r="E1020" s="31">
        <v>46227.0</v>
      </c>
      <c r="F1020" s="26" t="s">
        <v>46</v>
      </c>
      <c r="G1020" s="26">
        <v>11.0</v>
      </c>
      <c r="I1020" s="26" t="s">
        <v>42</v>
      </c>
      <c r="J1020" s="25" t="str">
        <f t="shared" si="28"/>
        <v>No</v>
      </c>
      <c r="K1020" s="25" t="str">
        <f t="shared" si="29"/>
        <v/>
      </c>
      <c r="L1020" s="25" t="str">
        <f t="shared" si="30"/>
        <v/>
      </c>
      <c r="M1020" s="25"/>
      <c r="O1020" s="25"/>
    </row>
    <row r="1021" ht="15.75" customHeight="1">
      <c r="A1021" s="25" t="str">
        <f>IFERROR(__xludf.DUMMYFUNCTION("IF(B1021="""","""",RIGHT(REGEXREPLACE(B1021&amp;"""",""[^0-9]"",""""),9))"),"787878084")</f>
        <v>787878084</v>
      </c>
      <c r="B1021" s="52">
        <v>7.87878084E8</v>
      </c>
      <c r="C1021" s="28" t="s">
        <v>1239</v>
      </c>
      <c r="D1021" s="26" t="s">
        <v>49</v>
      </c>
      <c r="E1021" s="31">
        <v>46227.0</v>
      </c>
      <c r="F1021" s="26" t="s">
        <v>41</v>
      </c>
      <c r="G1021" s="26">
        <v>10.0</v>
      </c>
      <c r="I1021" s="26" t="s">
        <v>42</v>
      </c>
      <c r="J1021" s="25" t="str">
        <f t="shared" si="28"/>
        <v>No</v>
      </c>
      <c r="K1021" s="25" t="str">
        <f t="shared" si="29"/>
        <v/>
      </c>
      <c r="L1021" s="25" t="str">
        <f t="shared" si="30"/>
        <v/>
      </c>
      <c r="M1021" s="25"/>
      <c r="O1021" s="25"/>
    </row>
    <row r="1022" ht="15.75" customHeight="1">
      <c r="A1022" s="25" t="str">
        <f>IFERROR(__xludf.DUMMYFUNCTION("IF(B1022="""","""",RIGHT(REGEXREPLACE(B1022&amp;"""",""[^0-9]"",""""),9))"),"773835786")</f>
        <v>773835786</v>
      </c>
      <c r="B1022" s="26">
        <v>7.73835786E8</v>
      </c>
      <c r="C1022" s="28" t="s">
        <v>1240</v>
      </c>
      <c r="D1022" s="26" t="s">
        <v>37</v>
      </c>
      <c r="E1022" s="31">
        <v>46227.0</v>
      </c>
      <c r="F1022" s="26" t="s">
        <v>46</v>
      </c>
      <c r="G1022" s="26">
        <v>11.0</v>
      </c>
      <c r="I1022" s="26" t="s">
        <v>42</v>
      </c>
      <c r="J1022" s="25" t="str">
        <f t="shared" si="28"/>
        <v>No</v>
      </c>
      <c r="K1022" s="25" t="str">
        <f t="shared" si="29"/>
        <v/>
      </c>
      <c r="L1022" s="25" t="str">
        <f t="shared" si="30"/>
        <v/>
      </c>
      <c r="M1022" s="25"/>
      <c r="O1022" s="25"/>
    </row>
    <row r="1023" ht="15.75" customHeight="1">
      <c r="A1023" s="25" t="str">
        <f>IFERROR(__xludf.DUMMYFUNCTION("IF(B1023="""","""",RIGHT(REGEXREPLACE(B1023&amp;"""",""[^0-9]"",""""),9))"),"775558406")</f>
        <v>775558406</v>
      </c>
      <c r="B1023" s="26">
        <v>7.75558406E8</v>
      </c>
      <c r="C1023" s="28" t="s">
        <v>1241</v>
      </c>
      <c r="D1023" s="26" t="s">
        <v>37</v>
      </c>
      <c r="E1023" s="31">
        <v>46227.0</v>
      </c>
      <c r="F1023" s="26" t="s">
        <v>46</v>
      </c>
      <c r="G1023" s="26">
        <v>11.0</v>
      </c>
      <c r="I1023" s="26" t="s">
        <v>42</v>
      </c>
      <c r="J1023" s="25" t="str">
        <f t="shared" si="28"/>
        <v>No</v>
      </c>
      <c r="K1023" s="25" t="str">
        <f t="shared" si="29"/>
        <v/>
      </c>
      <c r="L1023" s="25" t="str">
        <f t="shared" si="30"/>
        <v/>
      </c>
      <c r="M1023" s="25"/>
      <c r="O1023" s="25"/>
    </row>
    <row r="1024" ht="15.75" customHeight="1">
      <c r="A1024" s="25" t="str">
        <f>IFERROR(__xludf.DUMMYFUNCTION("IF(B1024="""","""",RIGHT(REGEXREPLACE(B1024&amp;"""",""[^0-9]"",""""),9))"),"783626550")</f>
        <v>783626550</v>
      </c>
      <c r="B1024" s="52">
        <v>7.8362655E8</v>
      </c>
      <c r="C1024" s="28" t="s">
        <v>1242</v>
      </c>
      <c r="D1024" s="26" t="s">
        <v>56</v>
      </c>
      <c r="E1024" s="31">
        <v>46227.0</v>
      </c>
      <c r="F1024" s="26" t="s">
        <v>41</v>
      </c>
      <c r="G1024" s="26">
        <v>11.0</v>
      </c>
      <c r="I1024" s="26" t="s">
        <v>42</v>
      </c>
      <c r="J1024" s="25" t="str">
        <f t="shared" si="28"/>
        <v>No</v>
      </c>
      <c r="K1024" s="25" t="str">
        <f t="shared" si="29"/>
        <v/>
      </c>
      <c r="L1024" s="25" t="str">
        <f t="shared" si="30"/>
        <v/>
      </c>
      <c r="M1024" s="25"/>
      <c r="O1024" s="25"/>
    </row>
    <row r="1025" ht="15.75" customHeight="1">
      <c r="A1025" s="25" t="str">
        <f>IFERROR(__xludf.DUMMYFUNCTION("IF(B1025="""","""",RIGHT(REGEXREPLACE(B1025&amp;"""",""[^0-9]"",""""),9))"),"775485002")</f>
        <v>775485002</v>
      </c>
      <c r="B1025" s="52">
        <v>7.75485002E8</v>
      </c>
      <c r="C1025" s="28" t="s">
        <v>1243</v>
      </c>
      <c r="D1025" s="26" t="s">
        <v>64</v>
      </c>
      <c r="E1025" s="31">
        <v>46227.0</v>
      </c>
      <c r="F1025" s="26" t="s">
        <v>46</v>
      </c>
      <c r="G1025" s="26">
        <v>11.0</v>
      </c>
      <c r="I1025" s="26" t="s">
        <v>42</v>
      </c>
      <c r="J1025" s="25" t="str">
        <f t="shared" si="28"/>
        <v>No</v>
      </c>
      <c r="K1025" s="25" t="str">
        <f t="shared" si="29"/>
        <v/>
      </c>
      <c r="L1025" s="25" t="str">
        <f t="shared" si="30"/>
        <v/>
      </c>
      <c r="M1025" s="25"/>
      <c r="O1025" s="25"/>
    </row>
    <row r="1026" ht="15.75" customHeight="1">
      <c r="A1026" s="25" t="str">
        <f>IFERROR(__xludf.DUMMYFUNCTION("IF(B1026="""","""",RIGHT(REGEXREPLACE(B1026&amp;"""",""[^0-9]"",""""),9))"),"705202895")</f>
        <v>705202895</v>
      </c>
      <c r="B1026" s="26">
        <v>7.05202895E8</v>
      </c>
      <c r="C1026" s="28" t="s">
        <v>1244</v>
      </c>
      <c r="D1026" s="26" t="s">
        <v>37</v>
      </c>
      <c r="E1026" s="31">
        <v>46227.0</v>
      </c>
      <c r="F1026" s="26" t="s">
        <v>41</v>
      </c>
      <c r="I1026" s="26" t="s">
        <v>42</v>
      </c>
      <c r="J1026" s="25" t="str">
        <f t="shared" si="28"/>
        <v>No</v>
      </c>
      <c r="K1026" s="25" t="str">
        <f t="shared" si="29"/>
        <v/>
      </c>
      <c r="L1026" s="25" t="str">
        <f t="shared" si="30"/>
        <v/>
      </c>
      <c r="M1026" s="25"/>
      <c r="O1026" s="25"/>
    </row>
    <row r="1027" ht="15.75" customHeight="1">
      <c r="A1027" s="25" t="str">
        <f>IFERROR(__xludf.DUMMYFUNCTION("IF(B1027="""","""",RIGHT(REGEXREPLACE(B1027&amp;"""",""[^0-9]"",""""),9))"),"716898071")</f>
        <v>716898071</v>
      </c>
      <c r="B1027" s="52">
        <v>7.16898071E8</v>
      </c>
      <c r="C1027" s="28" t="s">
        <v>1245</v>
      </c>
      <c r="D1027" s="26" t="s">
        <v>82</v>
      </c>
      <c r="E1027" s="31">
        <v>46227.0</v>
      </c>
      <c r="F1027" s="26" t="s">
        <v>125</v>
      </c>
      <c r="I1027" s="26" t="s">
        <v>42</v>
      </c>
      <c r="J1027" s="25" t="str">
        <f t="shared" si="28"/>
        <v>No</v>
      </c>
      <c r="K1027" s="25" t="str">
        <f t="shared" si="29"/>
        <v/>
      </c>
      <c r="L1027" s="25" t="str">
        <f t="shared" si="30"/>
        <v/>
      </c>
      <c r="M1027" s="25"/>
      <c r="O1027" s="25"/>
    </row>
    <row r="1028" ht="15.75" customHeight="1">
      <c r="A1028" s="25" t="str">
        <f>IFERROR(__xludf.DUMMYFUNCTION("IF(B1028="""","""",RIGHT(REGEXREPLACE(B1028&amp;"""",""[^0-9]"",""""),9))"),"777526506")</f>
        <v>777526506</v>
      </c>
      <c r="B1028" s="52">
        <v>7.77526506E8</v>
      </c>
      <c r="C1028" s="28" t="s">
        <v>1246</v>
      </c>
      <c r="D1028" s="26" t="s">
        <v>49</v>
      </c>
      <c r="E1028" s="31">
        <v>46227.0</v>
      </c>
      <c r="F1028" s="26" t="s">
        <v>46</v>
      </c>
      <c r="G1028" s="26">
        <v>11.0</v>
      </c>
      <c r="I1028" s="26" t="s">
        <v>42</v>
      </c>
      <c r="J1028" s="25" t="str">
        <f t="shared" si="28"/>
        <v>No</v>
      </c>
      <c r="K1028" s="25" t="str">
        <f t="shared" si="29"/>
        <v/>
      </c>
      <c r="L1028" s="25" t="str">
        <f t="shared" si="30"/>
        <v/>
      </c>
      <c r="M1028" s="25"/>
      <c r="O1028" s="25"/>
    </row>
    <row r="1029" ht="15.75" customHeight="1">
      <c r="A1029" s="25" t="str">
        <f>IFERROR(__xludf.DUMMYFUNCTION("IF(B1029="""","""",RIGHT(REGEXREPLACE(B1029&amp;"""",""[^0-9]"",""""),9))"),"755082225")</f>
        <v>755082225</v>
      </c>
      <c r="B1029" s="52">
        <v>7.55082225E8</v>
      </c>
      <c r="C1029" s="28" t="s">
        <v>1247</v>
      </c>
      <c r="D1029" s="26" t="s">
        <v>56</v>
      </c>
      <c r="E1029" s="31">
        <v>46227.0</v>
      </c>
      <c r="F1029" s="26" t="s">
        <v>41</v>
      </c>
      <c r="G1029" s="26">
        <v>11.0</v>
      </c>
      <c r="I1029" s="26" t="s">
        <v>42</v>
      </c>
      <c r="J1029" s="25" t="str">
        <f t="shared" si="28"/>
        <v>No</v>
      </c>
      <c r="K1029" s="25" t="str">
        <f t="shared" si="29"/>
        <v/>
      </c>
      <c r="L1029" s="25" t="str">
        <f t="shared" si="30"/>
        <v/>
      </c>
      <c r="M1029" s="25"/>
      <c r="O1029" s="25"/>
    </row>
    <row r="1030" ht="15.75" customHeight="1">
      <c r="A1030" s="25" t="str">
        <f>IFERROR(__xludf.DUMMYFUNCTION("IF(B1030="""","""",RIGHT(REGEXREPLACE(B1030&amp;"""",""[^0-9]"",""""),9))"),"762505191")</f>
        <v>762505191</v>
      </c>
      <c r="B1030" s="26">
        <v>7.62505191E8</v>
      </c>
      <c r="C1030" s="28" t="s">
        <v>1248</v>
      </c>
      <c r="D1030" s="26" t="s">
        <v>37</v>
      </c>
      <c r="E1030" s="31">
        <v>46227.0</v>
      </c>
      <c r="F1030" s="26" t="s">
        <v>164</v>
      </c>
      <c r="I1030" s="26" t="s">
        <v>42</v>
      </c>
      <c r="J1030" s="25" t="str">
        <f t="shared" si="28"/>
        <v>No</v>
      </c>
      <c r="K1030" s="25" t="str">
        <f t="shared" si="29"/>
        <v/>
      </c>
      <c r="L1030" s="25" t="str">
        <f t="shared" si="30"/>
        <v/>
      </c>
      <c r="M1030" s="25"/>
      <c r="O1030" s="25"/>
    </row>
    <row r="1031" ht="15.75" customHeight="1">
      <c r="A1031" s="25" t="str">
        <f>IFERROR(__xludf.DUMMYFUNCTION("IF(B1031="""","""",RIGHT(REGEXREPLACE(B1031&amp;"""",""[^0-9]"",""""),9))"),"777201405")</f>
        <v>777201405</v>
      </c>
      <c r="B1031" s="52">
        <v>7.77201405E8</v>
      </c>
      <c r="C1031" s="28" t="s">
        <v>1249</v>
      </c>
      <c r="D1031" s="26" t="s">
        <v>82</v>
      </c>
      <c r="E1031" s="31">
        <v>46227.0</v>
      </c>
      <c r="F1031" s="26" t="s">
        <v>41</v>
      </c>
      <c r="I1031" s="26" t="s">
        <v>42</v>
      </c>
      <c r="J1031" s="25" t="str">
        <f t="shared" si="28"/>
        <v>No</v>
      </c>
      <c r="K1031" s="25" t="str">
        <f t="shared" si="29"/>
        <v/>
      </c>
      <c r="L1031" s="25" t="str">
        <f t="shared" si="30"/>
        <v/>
      </c>
      <c r="M1031" s="25"/>
      <c r="O1031" s="25"/>
    </row>
    <row r="1032" ht="15.75" customHeight="1">
      <c r="A1032" s="25" t="str">
        <f>IFERROR(__xludf.DUMMYFUNCTION("IF(B1032="""","""",RIGHT(REGEXREPLACE(B1032&amp;"""",""[^0-9]"",""""),9))"),"779348336")</f>
        <v>779348336</v>
      </c>
      <c r="B1032" s="26">
        <v>7.79348336E8</v>
      </c>
      <c r="C1032" s="28" t="s">
        <v>1250</v>
      </c>
      <c r="D1032" s="26" t="s">
        <v>37</v>
      </c>
      <c r="E1032" s="31">
        <v>46227.0</v>
      </c>
      <c r="F1032" s="26" t="s">
        <v>41</v>
      </c>
      <c r="I1032" s="26" t="s">
        <v>42</v>
      </c>
      <c r="J1032" s="25" t="str">
        <f t="shared" si="28"/>
        <v>No</v>
      </c>
      <c r="K1032" s="25" t="str">
        <f t="shared" si="29"/>
        <v/>
      </c>
      <c r="L1032" s="25" t="str">
        <f t="shared" si="30"/>
        <v/>
      </c>
      <c r="M1032" s="25"/>
      <c r="O1032" s="25"/>
    </row>
    <row r="1033" ht="15.75" customHeight="1">
      <c r="A1033" s="25" t="str">
        <f>IFERROR(__xludf.DUMMYFUNCTION("IF(B1033="""","""",RIGHT(REGEXREPLACE(B1033&amp;"""",""[^0-9]"",""""),9))"),"715420316")</f>
        <v>715420316</v>
      </c>
      <c r="B1033" s="52">
        <v>7.15420316E8</v>
      </c>
      <c r="C1033" s="28" t="s">
        <v>1251</v>
      </c>
      <c r="D1033" s="26" t="s">
        <v>45</v>
      </c>
      <c r="E1033" s="31">
        <v>46227.0</v>
      </c>
      <c r="F1033" s="26" t="s">
        <v>41</v>
      </c>
      <c r="I1033" s="26" t="s">
        <v>42</v>
      </c>
      <c r="J1033" s="25" t="str">
        <f t="shared" si="28"/>
        <v>No</v>
      </c>
      <c r="K1033" s="25" t="str">
        <f t="shared" si="29"/>
        <v/>
      </c>
      <c r="L1033" s="25" t="str">
        <f t="shared" si="30"/>
        <v/>
      </c>
      <c r="M1033" s="25"/>
      <c r="O1033" s="25"/>
    </row>
    <row r="1034" ht="15.75" customHeight="1">
      <c r="A1034" s="25" t="str">
        <f>IFERROR(__xludf.DUMMYFUNCTION("IF(B1034="""","""",RIGHT(REGEXREPLACE(B1034&amp;"""",""[^0-9]"",""""),9))"),"765744971")</f>
        <v>765744971</v>
      </c>
      <c r="B1034" s="52">
        <v>7.65744971E8</v>
      </c>
      <c r="C1034" s="28" t="s">
        <v>1252</v>
      </c>
      <c r="D1034" s="26" t="s">
        <v>49</v>
      </c>
      <c r="E1034" s="31">
        <v>46227.0</v>
      </c>
      <c r="F1034" s="26" t="s">
        <v>46</v>
      </c>
      <c r="G1034" s="26">
        <v>11.0</v>
      </c>
      <c r="I1034" s="26" t="s">
        <v>42</v>
      </c>
      <c r="J1034" s="25" t="str">
        <f t="shared" si="28"/>
        <v>No</v>
      </c>
      <c r="K1034" s="25" t="str">
        <f t="shared" si="29"/>
        <v/>
      </c>
      <c r="L1034" s="25" t="str">
        <f t="shared" si="30"/>
        <v/>
      </c>
      <c r="M1034" s="25"/>
      <c r="O1034" s="25"/>
    </row>
    <row r="1035" ht="15.75" customHeight="1">
      <c r="A1035" s="25" t="str">
        <f>IFERROR(__xludf.DUMMYFUNCTION("IF(B1035="""","""",RIGHT(REGEXREPLACE(B1035&amp;"""",""[^0-9]"",""""),9))"),"776678616")</f>
        <v>776678616</v>
      </c>
      <c r="B1035" s="52">
        <v>7.76678616E8</v>
      </c>
      <c r="C1035" s="28" t="s">
        <v>1253</v>
      </c>
      <c r="D1035" s="26" t="s">
        <v>56</v>
      </c>
      <c r="E1035" s="31">
        <v>46227.0</v>
      </c>
      <c r="F1035" s="26" t="s">
        <v>631</v>
      </c>
      <c r="G1035" s="26">
        <v>10.0</v>
      </c>
      <c r="I1035" s="26" t="s">
        <v>42</v>
      </c>
      <c r="J1035" s="25" t="str">
        <f t="shared" si="28"/>
        <v>No</v>
      </c>
      <c r="K1035" s="25" t="str">
        <f t="shared" si="29"/>
        <v/>
      </c>
      <c r="L1035" s="25" t="str">
        <f t="shared" si="30"/>
        <v/>
      </c>
      <c r="M1035" s="25"/>
      <c r="O1035" s="25"/>
    </row>
    <row r="1036" ht="15.75" customHeight="1">
      <c r="A1036" s="25" t="str">
        <f>IFERROR(__xludf.DUMMYFUNCTION("IF(B1036="""","""",RIGHT(REGEXREPLACE(B1036&amp;"""",""[^0-9]"",""""),9))"),"766499659")</f>
        <v>766499659</v>
      </c>
      <c r="B1036" s="26">
        <v>7.66499659E8</v>
      </c>
      <c r="C1036" s="28" t="s">
        <v>1254</v>
      </c>
      <c r="D1036" s="26" t="s">
        <v>37</v>
      </c>
      <c r="E1036" s="31">
        <v>46227.0</v>
      </c>
      <c r="F1036" s="26" t="s">
        <v>41</v>
      </c>
      <c r="I1036" s="26" t="s">
        <v>42</v>
      </c>
      <c r="J1036" s="25" t="str">
        <f t="shared" si="28"/>
        <v>No</v>
      </c>
      <c r="K1036" s="25" t="str">
        <f t="shared" si="29"/>
        <v/>
      </c>
      <c r="L1036" s="25" t="str">
        <f t="shared" si="30"/>
        <v/>
      </c>
      <c r="M1036" s="25"/>
      <c r="O1036" s="25"/>
    </row>
    <row r="1037" ht="15.75" customHeight="1">
      <c r="A1037" s="25" t="str">
        <f>IFERROR(__xludf.DUMMYFUNCTION("IF(B1037="""","""",RIGHT(REGEXREPLACE(B1037&amp;"""",""[^0-9]"",""""),9))"),"773239198")</f>
        <v>773239198</v>
      </c>
      <c r="B1037" s="52">
        <v>7.73239198E8</v>
      </c>
      <c r="C1037" s="28" t="s">
        <v>1255</v>
      </c>
      <c r="D1037" s="26" t="s">
        <v>82</v>
      </c>
      <c r="E1037" s="31">
        <v>46227.0</v>
      </c>
      <c r="F1037" s="26" t="s">
        <v>46</v>
      </c>
      <c r="G1037" s="26">
        <v>11.0</v>
      </c>
      <c r="I1037" s="26" t="s">
        <v>42</v>
      </c>
      <c r="J1037" s="25" t="str">
        <f t="shared" si="28"/>
        <v>No</v>
      </c>
      <c r="K1037" s="25" t="str">
        <f t="shared" si="29"/>
        <v/>
      </c>
      <c r="L1037" s="25" t="str">
        <f t="shared" si="30"/>
        <v/>
      </c>
      <c r="M1037" s="25"/>
      <c r="O1037" s="25"/>
    </row>
    <row r="1038" ht="15.75" customHeight="1">
      <c r="A1038" s="25" t="str">
        <f>IFERROR(__xludf.DUMMYFUNCTION("IF(B1038="""","""",RIGHT(REGEXREPLACE(B1038&amp;"""",""[^0-9]"",""""),9))"),"760656858")</f>
        <v>760656858</v>
      </c>
      <c r="B1038" s="52">
        <v>7.60656858E8</v>
      </c>
      <c r="C1038" s="28" t="s">
        <v>1256</v>
      </c>
      <c r="D1038" s="26" t="s">
        <v>64</v>
      </c>
      <c r="E1038" s="31">
        <v>46227.0</v>
      </c>
      <c r="F1038" s="26" t="s">
        <v>125</v>
      </c>
      <c r="G1038" s="26">
        <v>10.0</v>
      </c>
      <c r="I1038" s="26" t="s">
        <v>42</v>
      </c>
      <c r="J1038" s="25" t="str">
        <f t="shared" si="28"/>
        <v>No</v>
      </c>
      <c r="K1038" s="25" t="str">
        <f t="shared" si="29"/>
        <v/>
      </c>
      <c r="L1038" s="25" t="str">
        <f t="shared" si="30"/>
        <v/>
      </c>
      <c r="M1038" s="25"/>
      <c r="O1038" s="25"/>
    </row>
    <row r="1039" ht="15.75" customHeight="1">
      <c r="A1039" s="25" t="str">
        <f>IFERROR(__xludf.DUMMYFUNCTION("IF(B1039="""","""",RIGHT(REGEXREPLACE(B1039&amp;"""",""[^0-9]"",""""),9))"),"760684435")</f>
        <v>760684435</v>
      </c>
      <c r="B1039" s="52">
        <v>7.60684435E8</v>
      </c>
      <c r="C1039" s="28" t="s">
        <v>1257</v>
      </c>
      <c r="D1039" s="26" t="s">
        <v>45</v>
      </c>
      <c r="E1039" s="31">
        <v>46227.0</v>
      </c>
      <c r="F1039" s="26" t="s">
        <v>46</v>
      </c>
      <c r="H1039" s="72" t="s">
        <v>1258</v>
      </c>
      <c r="I1039" s="26" t="s">
        <v>42</v>
      </c>
      <c r="J1039" s="25" t="str">
        <f t="shared" si="28"/>
        <v>No</v>
      </c>
      <c r="K1039" s="25" t="str">
        <f t="shared" si="29"/>
        <v/>
      </c>
      <c r="L1039" s="25" t="str">
        <f t="shared" si="30"/>
        <v/>
      </c>
      <c r="M1039" s="25"/>
      <c r="O1039" s="25"/>
    </row>
    <row r="1040" ht="15.75" customHeight="1">
      <c r="A1040" s="25" t="str">
        <f>IFERROR(__xludf.DUMMYFUNCTION("IF(B1040="""","""",RIGHT(REGEXREPLACE(B1040&amp;"""",""[^0-9]"",""""),9))"),"769433973")</f>
        <v>769433973</v>
      </c>
      <c r="B1040" s="26">
        <v>7.69433973E8</v>
      </c>
      <c r="C1040" s="28" t="s">
        <v>1259</v>
      </c>
      <c r="D1040" s="26" t="s">
        <v>37</v>
      </c>
      <c r="E1040" s="31">
        <v>46227.0</v>
      </c>
      <c r="F1040" s="26" t="s">
        <v>46</v>
      </c>
      <c r="G1040" s="26">
        <v>11.0</v>
      </c>
      <c r="I1040" s="26" t="s">
        <v>42</v>
      </c>
      <c r="J1040" s="25" t="str">
        <f t="shared" si="28"/>
        <v>No</v>
      </c>
      <c r="K1040" s="25" t="str">
        <f t="shared" si="29"/>
        <v/>
      </c>
      <c r="L1040" s="25" t="str">
        <f t="shared" si="30"/>
        <v/>
      </c>
      <c r="M1040" s="25"/>
      <c r="O1040" s="25"/>
    </row>
    <row r="1041" ht="15.75" customHeight="1">
      <c r="A1041" s="25" t="str">
        <f>IFERROR(__xludf.DUMMYFUNCTION("IF(B1041="""","""",RIGHT(REGEXREPLACE(B1041&amp;"""",""[^0-9]"",""""),9))"),"726875365")</f>
        <v>726875365</v>
      </c>
      <c r="B1041" s="26">
        <v>7.26875365E8</v>
      </c>
      <c r="C1041" s="28" t="s">
        <v>1260</v>
      </c>
      <c r="D1041" s="26" t="s">
        <v>37</v>
      </c>
      <c r="E1041" s="31">
        <v>46227.0</v>
      </c>
      <c r="F1041" s="26" t="s">
        <v>41</v>
      </c>
      <c r="G1041" s="26">
        <v>11.0</v>
      </c>
      <c r="I1041" s="26" t="s">
        <v>42</v>
      </c>
      <c r="J1041" s="25" t="str">
        <f t="shared" si="28"/>
        <v>No</v>
      </c>
      <c r="K1041" s="25" t="str">
        <f t="shared" si="29"/>
        <v/>
      </c>
      <c r="L1041" s="25" t="str">
        <f t="shared" si="30"/>
        <v/>
      </c>
      <c r="M1041" s="25"/>
      <c r="O1041" s="25"/>
    </row>
    <row r="1042" ht="15.75" customHeight="1">
      <c r="A1042" s="25" t="str">
        <f>IFERROR(__xludf.DUMMYFUNCTION("IF(B1042="""","""",RIGHT(REGEXREPLACE(B1042&amp;"""",""[^0-9]"",""""),9))"),"770876099")</f>
        <v>770876099</v>
      </c>
      <c r="B1042" s="52">
        <v>7.70876099E8</v>
      </c>
      <c r="C1042" s="28" t="s">
        <v>1261</v>
      </c>
      <c r="D1042" s="26" t="s">
        <v>49</v>
      </c>
      <c r="E1042" s="31">
        <v>46227.0</v>
      </c>
      <c r="F1042" s="26" t="s">
        <v>659</v>
      </c>
      <c r="G1042" s="26">
        <v>11.0</v>
      </c>
      <c r="I1042" s="26" t="s">
        <v>42</v>
      </c>
      <c r="J1042" s="25" t="str">
        <f t="shared" si="28"/>
        <v>No</v>
      </c>
      <c r="K1042" s="25" t="str">
        <f t="shared" si="29"/>
        <v/>
      </c>
      <c r="L1042" s="25" t="str">
        <f t="shared" si="30"/>
        <v/>
      </c>
      <c r="M1042" s="25"/>
      <c r="O1042" s="25"/>
    </row>
    <row r="1043" ht="15.75" customHeight="1">
      <c r="A1043" s="25" t="str">
        <f>IFERROR(__xludf.DUMMYFUNCTION("IF(B1043="""","""",RIGHT(REGEXREPLACE(B1043&amp;"""",""[^0-9]"",""""),9))"),"764138738")</f>
        <v>764138738</v>
      </c>
      <c r="B1043" s="52">
        <v>7.64138738E8</v>
      </c>
      <c r="C1043" s="28" t="s">
        <v>1262</v>
      </c>
      <c r="D1043" s="26" t="s">
        <v>45</v>
      </c>
      <c r="E1043" s="31">
        <v>46227.0</v>
      </c>
      <c r="F1043" s="26" t="s">
        <v>46</v>
      </c>
      <c r="G1043" s="26">
        <v>10.0</v>
      </c>
      <c r="I1043" s="26" t="s">
        <v>42</v>
      </c>
      <c r="J1043" s="25" t="str">
        <f t="shared" si="28"/>
        <v>No</v>
      </c>
      <c r="K1043" s="25" t="str">
        <f t="shared" si="29"/>
        <v/>
      </c>
      <c r="L1043" s="25" t="str">
        <f t="shared" si="30"/>
        <v/>
      </c>
      <c r="M1043" s="25"/>
      <c r="O1043" s="25"/>
    </row>
    <row r="1044" ht="15.75" customHeight="1">
      <c r="A1044" s="25" t="str">
        <f>IFERROR(__xludf.DUMMYFUNCTION("IF(B1044="""","""",RIGHT(REGEXREPLACE(B1044&amp;"""",""[^0-9]"",""""),9))"),"721463500")</f>
        <v>721463500</v>
      </c>
      <c r="B1044" s="52">
        <v>7.214635E8</v>
      </c>
      <c r="C1044" s="28" t="s">
        <v>1263</v>
      </c>
      <c r="D1044" s="26" t="s">
        <v>64</v>
      </c>
      <c r="E1044" s="31">
        <v>46227.0</v>
      </c>
      <c r="F1044" s="26" t="s">
        <v>41</v>
      </c>
      <c r="G1044" s="26">
        <v>11.0</v>
      </c>
      <c r="I1044" s="26" t="s">
        <v>42</v>
      </c>
      <c r="J1044" s="25" t="str">
        <f t="shared" si="28"/>
        <v>No</v>
      </c>
      <c r="K1044" s="25" t="str">
        <f t="shared" si="29"/>
        <v/>
      </c>
      <c r="L1044" s="25" t="str">
        <f t="shared" si="30"/>
        <v/>
      </c>
      <c r="M1044" s="25"/>
      <c r="O1044" s="25"/>
    </row>
    <row r="1045" ht="15.75" customHeight="1">
      <c r="A1045" s="25" t="str">
        <f>IFERROR(__xludf.DUMMYFUNCTION("IF(B1045="""","""",RIGHT(REGEXREPLACE(B1045&amp;"""",""[^0-9]"",""""),9))"),"742314378")</f>
        <v>742314378</v>
      </c>
      <c r="B1045" s="52">
        <v>7.42314378E8</v>
      </c>
      <c r="C1045" s="28" t="s">
        <v>1264</v>
      </c>
      <c r="D1045" s="26" t="s">
        <v>49</v>
      </c>
      <c r="E1045" s="31">
        <v>46227.0</v>
      </c>
      <c r="F1045" s="26" t="s">
        <v>46</v>
      </c>
      <c r="G1045" s="26">
        <v>11.0</v>
      </c>
      <c r="I1045" s="26" t="s">
        <v>42</v>
      </c>
      <c r="J1045" s="25" t="str">
        <f t="shared" si="28"/>
        <v>No</v>
      </c>
      <c r="K1045" s="25" t="str">
        <f t="shared" si="29"/>
        <v/>
      </c>
      <c r="L1045" s="25" t="str">
        <f t="shared" si="30"/>
        <v/>
      </c>
      <c r="M1045" s="25"/>
      <c r="O1045" s="25"/>
    </row>
    <row r="1046" ht="15.75" customHeight="1">
      <c r="A1046" s="25" t="str">
        <f>IFERROR(__xludf.DUMMYFUNCTION("IF(B1046="""","""",RIGHT(REGEXREPLACE(B1046&amp;"""",""[^0-9]"",""""),9))"),"787013132")</f>
        <v>787013132</v>
      </c>
      <c r="B1046" s="52">
        <v>7.87013132E8</v>
      </c>
      <c r="C1046" s="28" t="s">
        <v>1265</v>
      </c>
      <c r="D1046" s="26" t="s">
        <v>56</v>
      </c>
      <c r="E1046" s="31">
        <v>46227.0</v>
      </c>
      <c r="F1046" s="26" t="s">
        <v>205</v>
      </c>
      <c r="I1046" s="26" t="s">
        <v>42</v>
      </c>
      <c r="J1046" s="25" t="str">
        <f t="shared" si="28"/>
        <v>No</v>
      </c>
      <c r="K1046" s="25" t="str">
        <f t="shared" si="29"/>
        <v/>
      </c>
      <c r="L1046" s="25" t="str">
        <f t="shared" si="30"/>
        <v/>
      </c>
      <c r="M1046" s="25"/>
      <c r="O1046" s="25"/>
    </row>
    <row r="1047" ht="15.75" customHeight="1">
      <c r="A1047" s="25" t="str">
        <f>IFERROR(__xludf.DUMMYFUNCTION("IF(B1047="""","""",RIGHT(REGEXREPLACE(B1047&amp;"""",""[^0-9]"",""""),9))"),"772027895")</f>
        <v>772027895</v>
      </c>
      <c r="B1047" s="52">
        <v>7.72027895E8</v>
      </c>
      <c r="C1047" s="28" t="s">
        <v>1266</v>
      </c>
      <c r="D1047" s="26" t="s">
        <v>45</v>
      </c>
      <c r="E1047" s="31">
        <v>46227.0</v>
      </c>
      <c r="F1047" s="26" t="s">
        <v>164</v>
      </c>
      <c r="G1047" s="26">
        <v>10.0</v>
      </c>
      <c r="I1047" s="26" t="s">
        <v>42</v>
      </c>
      <c r="J1047" s="25" t="str">
        <f t="shared" si="28"/>
        <v>No</v>
      </c>
      <c r="K1047" s="25" t="str">
        <f t="shared" si="29"/>
        <v/>
      </c>
      <c r="L1047" s="25" t="str">
        <f t="shared" si="30"/>
        <v/>
      </c>
      <c r="M1047" s="25"/>
      <c r="O1047" s="25"/>
    </row>
    <row r="1048" ht="15.75" customHeight="1">
      <c r="A1048" s="25" t="str">
        <f>IFERROR(__xludf.DUMMYFUNCTION("IF(B1048="""","""",RIGHT(REGEXREPLACE(B1048&amp;"""",""[^0-9]"",""""),9))"),"704220209")</f>
        <v>704220209</v>
      </c>
      <c r="B1048" s="52">
        <v>7.04220209E8</v>
      </c>
      <c r="C1048" s="28" t="s">
        <v>1267</v>
      </c>
      <c r="D1048" s="26" t="s">
        <v>56</v>
      </c>
      <c r="E1048" s="31">
        <v>46227.0</v>
      </c>
      <c r="F1048" s="26" t="s">
        <v>205</v>
      </c>
      <c r="G1048" s="26">
        <v>11.0</v>
      </c>
      <c r="I1048" s="26" t="s">
        <v>42</v>
      </c>
      <c r="J1048" s="25" t="str">
        <f t="shared" si="28"/>
        <v>No</v>
      </c>
      <c r="K1048" s="25" t="str">
        <f t="shared" si="29"/>
        <v/>
      </c>
      <c r="L1048" s="25" t="str">
        <f t="shared" si="30"/>
        <v/>
      </c>
      <c r="M1048" s="25"/>
      <c r="O1048" s="25"/>
    </row>
    <row r="1049" ht="15.75" customHeight="1">
      <c r="A1049" s="25" t="str">
        <f>IFERROR(__xludf.DUMMYFUNCTION("IF(B1049="""","""",RIGHT(REGEXREPLACE(B1049&amp;"""",""[^0-9]"",""""),9))"),"774585457")</f>
        <v>774585457</v>
      </c>
      <c r="B1049" s="26">
        <v>7.74585457E8</v>
      </c>
      <c r="C1049" s="28" t="s">
        <v>1268</v>
      </c>
      <c r="D1049" s="26" t="s">
        <v>37</v>
      </c>
      <c r="E1049" s="31">
        <v>46227.0</v>
      </c>
      <c r="F1049" s="26" t="s">
        <v>41</v>
      </c>
      <c r="I1049" s="26" t="s">
        <v>42</v>
      </c>
      <c r="J1049" s="25" t="str">
        <f t="shared" si="28"/>
        <v>No</v>
      </c>
      <c r="K1049" s="25" t="str">
        <f t="shared" si="29"/>
        <v/>
      </c>
      <c r="L1049" s="25" t="str">
        <f t="shared" si="30"/>
        <v/>
      </c>
      <c r="M1049" s="25"/>
      <c r="O1049" s="25"/>
    </row>
    <row r="1050" ht="15.75" customHeight="1">
      <c r="A1050" s="25" t="str">
        <f>IFERROR(__xludf.DUMMYFUNCTION("IF(B1050="""","""",RIGHT(REGEXREPLACE(B1050&amp;"""",""[^0-9]"",""""),9))"),"763514884")</f>
        <v>763514884</v>
      </c>
      <c r="B1050" s="52">
        <v>7.63514884E8</v>
      </c>
      <c r="C1050" s="28" t="s">
        <v>1269</v>
      </c>
      <c r="D1050" s="26" t="s">
        <v>49</v>
      </c>
      <c r="E1050" s="31">
        <v>46227.0</v>
      </c>
      <c r="F1050" s="26" t="s">
        <v>46</v>
      </c>
      <c r="G1050" s="26">
        <v>11.0</v>
      </c>
      <c r="I1050" s="26" t="s">
        <v>42</v>
      </c>
      <c r="J1050" s="25" t="str">
        <f t="shared" si="28"/>
        <v>No</v>
      </c>
      <c r="K1050" s="25" t="str">
        <f t="shared" si="29"/>
        <v/>
      </c>
      <c r="L1050" s="25" t="str">
        <f t="shared" si="30"/>
        <v/>
      </c>
      <c r="M1050" s="25"/>
      <c r="O1050" s="25"/>
    </row>
    <row r="1051" ht="15.75" customHeight="1">
      <c r="A1051" s="25" t="str">
        <f>IFERROR(__xludf.DUMMYFUNCTION("IF(B1051="""","""",RIGHT(REGEXREPLACE(B1051&amp;"""",""[^0-9]"",""""),9))"),"761648211")</f>
        <v>761648211</v>
      </c>
      <c r="B1051" s="52">
        <v>7.61648211E8</v>
      </c>
      <c r="C1051" s="28" t="s">
        <v>1270</v>
      </c>
      <c r="D1051" s="26" t="s">
        <v>64</v>
      </c>
      <c r="E1051" s="31">
        <v>46227.0</v>
      </c>
      <c r="F1051" s="26" t="s">
        <v>84</v>
      </c>
      <c r="G1051" s="26">
        <v>11.0</v>
      </c>
      <c r="I1051" s="26" t="s">
        <v>42</v>
      </c>
      <c r="J1051" s="25" t="str">
        <f t="shared" si="28"/>
        <v>No</v>
      </c>
      <c r="K1051" s="25" t="str">
        <f t="shared" si="29"/>
        <v/>
      </c>
      <c r="L1051" s="25" t="str">
        <f t="shared" si="30"/>
        <v/>
      </c>
      <c r="M1051" s="25"/>
      <c r="O1051" s="25"/>
    </row>
    <row r="1052" ht="15.75" customHeight="1">
      <c r="A1052" s="25" t="str">
        <f>IFERROR(__xludf.DUMMYFUNCTION("IF(B1052="""","""",RIGHT(REGEXREPLACE(B1052&amp;"""",""[^0-9]"",""""),9))"),"714810249")</f>
        <v>714810249</v>
      </c>
      <c r="B1052" s="52">
        <v>7.14810249E8</v>
      </c>
      <c r="C1052" s="28" t="s">
        <v>1271</v>
      </c>
      <c r="D1052" s="26" t="s">
        <v>45</v>
      </c>
      <c r="E1052" s="31">
        <v>46227.0</v>
      </c>
      <c r="F1052" s="26" t="s">
        <v>205</v>
      </c>
      <c r="I1052" s="26" t="s">
        <v>42</v>
      </c>
      <c r="J1052" s="25" t="str">
        <f t="shared" si="28"/>
        <v>No</v>
      </c>
      <c r="K1052" s="25" t="str">
        <f t="shared" si="29"/>
        <v/>
      </c>
      <c r="L1052" s="25" t="str">
        <f t="shared" si="30"/>
        <v/>
      </c>
      <c r="M1052" s="25"/>
      <c r="O1052" s="25"/>
    </row>
    <row r="1053" ht="15.75" customHeight="1">
      <c r="A1053" s="25" t="str">
        <f>IFERROR(__xludf.DUMMYFUNCTION("IF(B1053="""","""",RIGHT(REGEXREPLACE(B1053&amp;"""",""[^0-9]"",""""),9))"),"776271969")</f>
        <v>776271969</v>
      </c>
      <c r="B1053" s="26">
        <v>7.76271969E8</v>
      </c>
      <c r="C1053" s="28" t="s">
        <v>1272</v>
      </c>
      <c r="D1053" s="26" t="s">
        <v>37</v>
      </c>
      <c r="E1053" s="31">
        <v>46227.0</v>
      </c>
      <c r="F1053" s="26" t="s">
        <v>46</v>
      </c>
      <c r="G1053" s="26">
        <v>8.0</v>
      </c>
      <c r="H1053" s="26" t="s">
        <v>618</v>
      </c>
      <c r="I1053" s="26" t="s">
        <v>42</v>
      </c>
      <c r="J1053" s="25" t="str">
        <f t="shared" si="28"/>
        <v>No</v>
      </c>
      <c r="K1053" s="25" t="str">
        <f t="shared" si="29"/>
        <v/>
      </c>
      <c r="L1053" s="25" t="str">
        <f t="shared" si="30"/>
        <v/>
      </c>
      <c r="M1053" s="25"/>
      <c r="O1053" s="25"/>
    </row>
    <row r="1054" ht="15.75" customHeight="1">
      <c r="A1054" s="25" t="str">
        <f>IFERROR(__xludf.DUMMYFUNCTION("IF(B1054="""","""",RIGHT(REGEXREPLACE(B1054&amp;"""",""[^0-9]"",""""),9))"),"783264917")</f>
        <v>783264917</v>
      </c>
      <c r="B1054" s="52">
        <v>7.83264917E8</v>
      </c>
      <c r="C1054" s="28" t="s">
        <v>1273</v>
      </c>
      <c r="D1054" s="26" t="s">
        <v>45</v>
      </c>
      <c r="E1054" s="31">
        <v>46227.0</v>
      </c>
      <c r="F1054" s="26" t="s">
        <v>205</v>
      </c>
      <c r="G1054" s="26">
        <v>11.0</v>
      </c>
      <c r="I1054" s="26" t="s">
        <v>42</v>
      </c>
      <c r="J1054" s="25" t="str">
        <f t="shared" si="28"/>
        <v>No</v>
      </c>
      <c r="K1054" s="25" t="str">
        <f t="shared" si="29"/>
        <v/>
      </c>
      <c r="L1054" s="25" t="str">
        <f t="shared" si="30"/>
        <v/>
      </c>
      <c r="M1054" s="25"/>
      <c r="O1054" s="25"/>
    </row>
    <row r="1055" ht="15.75" customHeight="1">
      <c r="A1055" s="25" t="str">
        <f>IFERROR(__xludf.DUMMYFUNCTION("IF(B1055="""","""",RIGHT(REGEXREPLACE(B1055&amp;"""",""[^0-9]"",""""),9))"),"703994643")</f>
        <v>703994643</v>
      </c>
      <c r="B1055" s="52">
        <v>7.03994643E8</v>
      </c>
      <c r="C1055" s="28" t="s">
        <v>1274</v>
      </c>
      <c r="D1055" s="26" t="s">
        <v>56</v>
      </c>
      <c r="E1055" s="31">
        <v>46227.0</v>
      </c>
      <c r="F1055" s="26" t="s">
        <v>205</v>
      </c>
      <c r="G1055" s="26">
        <v>8.0</v>
      </c>
      <c r="I1055" s="26" t="s">
        <v>42</v>
      </c>
      <c r="J1055" s="25" t="str">
        <f t="shared" si="28"/>
        <v>No</v>
      </c>
      <c r="K1055" s="25" t="str">
        <f t="shared" si="29"/>
        <v/>
      </c>
      <c r="L1055" s="25" t="str">
        <f t="shared" si="30"/>
        <v/>
      </c>
      <c r="M1055" s="25"/>
      <c r="O1055" s="25"/>
    </row>
    <row r="1056" ht="15.75" customHeight="1">
      <c r="A1056" s="25" t="str">
        <f>IFERROR(__xludf.DUMMYFUNCTION("IF(B1056="""","""",RIGHT(REGEXREPLACE(B1056&amp;"""",""[^0-9]"",""""),9))"),"767212545")</f>
        <v>767212545</v>
      </c>
      <c r="B1056" s="52">
        <v>7.67212545E8</v>
      </c>
      <c r="C1056" s="28" t="s">
        <v>1275</v>
      </c>
      <c r="D1056" s="26" t="s">
        <v>82</v>
      </c>
      <c r="E1056" s="31">
        <v>46227.0</v>
      </c>
      <c r="F1056" s="26" t="s">
        <v>46</v>
      </c>
      <c r="G1056" s="26">
        <v>11.0</v>
      </c>
      <c r="I1056" s="26" t="s">
        <v>42</v>
      </c>
      <c r="J1056" s="25" t="str">
        <f t="shared" si="28"/>
        <v>No</v>
      </c>
      <c r="K1056" s="25" t="str">
        <f t="shared" si="29"/>
        <v/>
      </c>
      <c r="L1056" s="25" t="str">
        <f t="shared" si="30"/>
        <v/>
      </c>
      <c r="M1056" s="25"/>
      <c r="O1056" s="25"/>
    </row>
    <row r="1057" ht="15.75" customHeight="1">
      <c r="A1057" s="25" t="str">
        <f>IFERROR(__xludf.DUMMYFUNCTION("IF(B1057="""","""",RIGHT(REGEXREPLACE(B1057&amp;"""",""[^0-9]"",""""),9))"),"743832546")</f>
        <v>743832546</v>
      </c>
      <c r="B1057" s="52">
        <v>7.43832546E8</v>
      </c>
      <c r="C1057" s="28" t="s">
        <v>1276</v>
      </c>
      <c r="D1057" s="26" t="s">
        <v>64</v>
      </c>
      <c r="E1057" s="31">
        <v>46227.0</v>
      </c>
      <c r="F1057" s="26" t="s">
        <v>125</v>
      </c>
      <c r="I1057" s="26" t="s">
        <v>42</v>
      </c>
      <c r="J1057" s="25" t="str">
        <f t="shared" si="28"/>
        <v>No</v>
      </c>
      <c r="K1057" s="25" t="str">
        <f t="shared" si="29"/>
        <v/>
      </c>
      <c r="L1057" s="25" t="str">
        <f t="shared" si="30"/>
        <v/>
      </c>
      <c r="M1057" s="25"/>
      <c r="O1057" s="25"/>
    </row>
    <row r="1058" ht="15.75" customHeight="1">
      <c r="A1058" s="25" t="str">
        <f>IFERROR(__xludf.DUMMYFUNCTION("IF(B1058="""","""",RIGHT(REGEXREPLACE(B1058&amp;"""",""[^0-9]"",""""),9))"),"762182434")</f>
        <v>762182434</v>
      </c>
      <c r="B1058" s="26">
        <v>7.62182434E8</v>
      </c>
      <c r="C1058" s="28" t="s">
        <v>1277</v>
      </c>
      <c r="D1058" s="26" t="s">
        <v>37</v>
      </c>
      <c r="E1058" s="31">
        <v>46227.0</v>
      </c>
      <c r="F1058" s="26" t="s">
        <v>164</v>
      </c>
      <c r="G1058" s="26">
        <v>11.0</v>
      </c>
      <c r="I1058" s="26" t="s">
        <v>42</v>
      </c>
      <c r="J1058" s="25" t="str">
        <f t="shared" si="28"/>
        <v>No</v>
      </c>
      <c r="K1058" s="25" t="str">
        <f t="shared" si="29"/>
        <v/>
      </c>
      <c r="L1058" s="25" t="str">
        <f t="shared" si="30"/>
        <v/>
      </c>
      <c r="M1058" s="25"/>
      <c r="O1058" s="25"/>
    </row>
    <row r="1059" ht="15.75" customHeight="1">
      <c r="A1059" s="25" t="str">
        <f>IFERROR(__xludf.DUMMYFUNCTION("IF(B1059="""","""",RIGHT(REGEXREPLACE(B1059&amp;"""",""[^0-9]"",""""),9))"),"774030393")</f>
        <v>774030393</v>
      </c>
      <c r="B1059" s="52">
        <v>7.74030393E8</v>
      </c>
      <c r="C1059" s="28" t="s">
        <v>1278</v>
      </c>
      <c r="D1059" s="26" t="s">
        <v>49</v>
      </c>
      <c r="E1059" s="31">
        <v>46227.0</v>
      </c>
      <c r="F1059" s="26" t="s">
        <v>704</v>
      </c>
      <c r="I1059" s="26" t="s">
        <v>42</v>
      </c>
      <c r="J1059" s="25" t="str">
        <f t="shared" si="28"/>
        <v>No</v>
      </c>
      <c r="K1059" s="25" t="str">
        <f t="shared" si="29"/>
        <v/>
      </c>
      <c r="L1059" s="25" t="str">
        <f t="shared" si="30"/>
        <v/>
      </c>
      <c r="M1059" s="25"/>
      <c r="O1059" s="25"/>
    </row>
    <row r="1060" ht="15.75" customHeight="1">
      <c r="A1060" s="25" t="str">
        <f>IFERROR(__xludf.DUMMYFUNCTION("IF(B1060="""","""",RIGHT(REGEXREPLACE(B1060&amp;"""",""[^0-9]"",""""),9))"),"775203945")</f>
        <v>775203945</v>
      </c>
      <c r="B1060" s="52">
        <v>7.75203945E8</v>
      </c>
      <c r="C1060" s="28" t="s">
        <v>1279</v>
      </c>
      <c r="D1060" s="26" t="s">
        <v>56</v>
      </c>
      <c r="E1060" s="31">
        <v>46227.0</v>
      </c>
      <c r="F1060" s="26" t="s">
        <v>46</v>
      </c>
      <c r="G1060" s="26">
        <v>11.0</v>
      </c>
      <c r="I1060" s="26" t="s">
        <v>42</v>
      </c>
      <c r="J1060" s="25" t="str">
        <f t="shared" si="28"/>
        <v>No</v>
      </c>
      <c r="K1060" s="25" t="str">
        <f t="shared" si="29"/>
        <v/>
      </c>
      <c r="L1060" s="25" t="str">
        <f t="shared" si="30"/>
        <v/>
      </c>
      <c r="M1060" s="25"/>
      <c r="O1060" s="25"/>
    </row>
    <row r="1061" ht="15.75" customHeight="1">
      <c r="A1061" s="25" t="str">
        <f>IFERROR(__xludf.DUMMYFUNCTION("IF(B1061="""","""",RIGHT(REGEXREPLACE(B1061&amp;"""",""[^0-9]"",""""),9))"),"716882802")</f>
        <v>716882802</v>
      </c>
      <c r="B1061" s="26">
        <v>7.16882802E8</v>
      </c>
      <c r="C1061" s="28" t="s">
        <v>1280</v>
      </c>
      <c r="D1061" s="26" t="s">
        <v>37</v>
      </c>
      <c r="E1061" s="31">
        <v>46227.0</v>
      </c>
      <c r="F1061" s="26" t="s">
        <v>41</v>
      </c>
      <c r="I1061" s="26" t="s">
        <v>42</v>
      </c>
      <c r="J1061" s="25" t="str">
        <f t="shared" si="28"/>
        <v>No</v>
      </c>
      <c r="K1061" s="25" t="str">
        <f t="shared" si="29"/>
        <v/>
      </c>
      <c r="L1061" s="25" t="str">
        <f t="shared" si="30"/>
        <v/>
      </c>
      <c r="M1061" s="25"/>
      <c r="O1061" s="25"/>
    </row>
    <row r="1062" ht="15.75" customHeight="1">
      <c r="A1062" s="25" t="str">
        <f>IFERROR(__xludf.DUMMYFUNCTION("IF(B1062="""","""",RIGHT(REGEXREPLACE(B1062&amp;"""",""[^0-9]"",""""),9))"),"763245533")</f>
        <v>763245533</v>
      </c>
      <c r="B1062" s="26">
        <v>7.63245533E8</v>
      </c>
      <c r="C1062" s="28" t="s">
        <v>1281</v>
      </c>
      <c r="D1062" s="26" t="s">
        <v>37</v>
      </c>
      <c r="E1062" s="31">
        <v>46227.0</v>
      </c>
      <c r="F1062" s="26" t="s">
        <v>46</v>
      </c>
      <c r="G1062" s="26">
        <v>11.0</v>
      </c>
      <c r="H1062" s="26" t="s">
        <v>1282</v>
      </c>
      <c r="I1062" s="26" t="s">
        <v>42</v>
      </c>
      <c r="J1062" s="25" t="str">
        <f t="shared" si="28"/>
        <v>No</v>
      </c>
      <c r="K1062" s="25" t="str">
        <f t="shared" si="29"/>
        <v/>
      </c>
      <c r="L1062" s="25" t="str">
        <f t="shared" si="30"/>
        <v/>
      </c>
      <c r="M1062" s="25"/>
      <c r="O1062" s="25"/>
    </row>
    <row r="1063" ht="15.75" customHeight="1">
      <c r="A1063" s="25" t="str">
        <f>IFERROR(__xludf.DUMMYFUNCTION("IF(B1063="""","""",RIGHT(REGEXREPLACE(B1063&amp;"""",""[^0-9]"",""""),9))"),"771051814")</f>
        <v>771051814</v>
      </c>
      <c r="B1063" s="52">
        <v>7.71051814E8</v>
      </c>
      <c r="C1063" s="28" t="s">
        <v>1283</v>
      </c>
      <c r="D1063" s="26" t="s">
        <v>49</v>
      </c>
      <c r="E1063" s="31">
        <v>46227.0</v>
      </c>
      <c r="F1063" s="26" t="s">
        <v>46</v>
      </c>
      <c r="G1063" s="26">
        <v>10.0</v>
      </c>
      <c r="I1063" s="26" t="s">
        <v>42</v>
      </c>
      <c r="J1063" s="25" t="str">
        <f t="shared" si="28"/>
        <v>No</v>
      </c>
      <c r="K1063" s="25" t="str">
        <f t="shared" si="29"/>
        <v/>
      </c>
      <c r="L1063" s="25" t="str">
        <f t="shared" si="30"/>
        <v/>
      </c>
      <c r="M1063" s="25"/>
      <c r="O1063" s="25"/>
    </row>
    <row r="1064" ht="15.75" customHeight="1">
      <c r="A1064" s="25" t="str">
        <f>IFERROR(__xludf.DUMMYFUNCTION("IF(B1064="""","""",RIGHT(REGEXREPLACE(B1064&amp;"""",""[^0-9]"",""""),9))"),"705005700")</f>
        <v>705005700</v>
      </c>
      <c r="B1064" s="52">
        <v>7.050057E8</v>
      </c>
      <c r="C1064" s="28" t="s">
        <v>1284</v>
      </c>
      <c r="D1064" s="26" t="s">
        <v>64</v>
      </c>
      <c r="E1064" s="31">
        <v>46227.0</v>
      </c>
      <c r="F1064" s="26" t="s">
        <v>125</v>
      </c>
      <c r="G1064" s="26">
        <v>11.0</v>
      </c>
      <c r="I1064" s="26" t="s">
        <v>42</v>
      </c>
      <c r="J1064" s="25" t="str">
        <f t="shared" si="28"/>
        <v>No</v>
      </c>
      <c r="K1064" s="25" t="str">
        <f t="shared" si="29"/>
        <v/>
      </c>
      <c r="L1064" s="25" t="str">
        <f t="shared" si="30"/>
        <v/>
      </c>
      <c r="M1064" s="25"/>
      <c r="O1064" s="25"/>
    </row>
    <row r="1065" ht="15.75" customHeight="1">
      <c r="A1065" s="25" t="str">
        <f>IFERROR(__xludf.DUMMYFUNCTION("IF(B1065="""","""",RIGHT(REGEXREPLACE(B1065&amp;"""",""[^0-9]"",""""),9))"),"778262446")</f>
        <v>778262446</v>
      </c>
      <c r="B1065" s="52">
        <v>7.78262446E8</v>
      </c>
      <c r="C1065" s="28" t="s">
        <v>1285</v>
      </c>
      <c r="D1065" s="26" t="s">
        <v>45</v>
      </c>
      <c r="E1065" s="31">
        <v>46227.0</v>
      </c>
      <c r="F1065" s="26" t="s">
        <v>205</v>
      </c>
      <c r="I1065" s="26" t="s">
        <v>42</v>
      </c>
      <c r="J1065" s="25" t="str">
        <f t="shared" si="28"/>
        <v>No</v>
      </c>
      <c r="K1065" s="25" t="str">
        <f t="shared" si="29"/>
        <v/>
      </c>
      <c r="L1065" s="25" t="str">
        <f t="shared" si="30"/>
        <v/>
      </c>
      <c r="M1065" s="25"/>
      <c r="O1065" s="25"/>
    </row>
    <row r="1066" ht="15.75" customHeight="1">
      <c r="A1066" s="25" t="str">
        <f>IFERROR(__xludf.DUMMYFUNCTION("IF(B1066="""","""",RIGHT(REGEXREPLACE(B1066&amp;"""",""[^0-9]"",""""),9))"),"776076147")</f>
        <v>776076147</v>
      </c>
      <c r="B1066" s="52">
        <v>7.76076147E8</v>
      </c>
      <c r="C1066" s="28" t="s">
        <v>1286</v>
      </c>
      <c r="D1066" s="26" t="s">
        <v>82</v>
      </c>
      <c r="E1066" s="31">
        <v>46227.0</v>
      </c>
      <c r="F1066" s="26" t="s">
        <v>46</v>
      </c>
      <c r="G1066" s="26">
        <v>11.0</v>
      </c>
      <c r="I1066" s="26" t="s">
        <v>42</v>
      </c>
      <c r="J1066" s="25" t="str">
        <f t="shared" si="28"/>
        <v>No</v>
      </c>
      <c r="K1066" s="25" t="str">
        <f t="shared" si="29"/>
        <v/>
      </c>
      <c r="L1066" s="25" t="str">
        <f t="shared" si="30"/>
        <v/>
      </c>
      <c r="M1066" s="25"/>
      <c r="O1066" s="25"/>
    </row>
    <row r="1067" ht="15.75" customHeight="1">
      <c r="A1067" s="25" t="str">
        <f>IFERROR(__xludf.DUMMYFUNCTION("IF(B1067="""","""",RIGHT(REGEXREPLACE(B1067&amp;"""",""[^0-9]"",""""),9))"),"767996222")</f>
        <v>767996222</v>
      </c>
      <c r="B1067" s="52">
        <v>7.67996222E8</v>
      </c>
      <c r="C1067" s="28" t="s">
        <v>1287</v>
      </c>
      <c r="D1067" s="26" t="s">
        <v>56</v>
      </c>
      <c r="E1067" s="31">
        <v>46227.0</v>
      </c>
      <c r="F1067" s="26" t="s">
        <v>46</v>
      </c>
      <c r="G1067" s="26">
        <v>11.0</v>
      </c>
      <c r="I1067" s="26" t="s">
        <v>42</v>
      </c>
      <c r="J1067" s="25" t="str">
        <f t="shared" si="28"/>
        <v>No</v>
      </c>
      <c r="K1067" s="25" t="str">
        <f t="shared" si="29"/>
        <v/>
      </c>
      <c r="L1067" s="25" t="str">
        <f t="shared" si="30"/>
        <v/>
      </c>
      <c r="M1067" s="25"/>
      <c r="O1067" s="25"/>
    </row>
    <row r="1068" ht="15.75" customHeight="1">
      <c r="A1068" s="25" t="str">
        <f>IFERROR(__xludf.DUMMYFUNCTION("IF(B1068="""","""",RIGHT(REGEXREPLACE(B1068&amp;"""",""[^0-9]"",""""),9))"),"702476959")</f>
        <v>702476959</v>
      </c>
      <c r="B1068" s="26">
        <v>7.02476959E8</v>
      </c>
      <c r="C1068" s="28" t="s">
        <v>1288</v>
      </c>
      <c r="D1068" s="26" t="s">
        <v>37</v>
      </c>
      <c r="E1068" s="31">
        <v>46227.0</v>
      </c>
      <c r="F1068" s="26" t="s">
        <v>41</v>
      </c>
      <c r="I1068" s="26" t="s">
        <v>42</v>
      </c>
      <c r="J1068" s="25" t="str">
        <f t="shared" si="28"/>
        <v>No</v>
      </c>
      <c r="K1068" s="25" t="str">
        <f t="shared" si="29"/>
        <v/>
      </c>
      <c r="L1068" s="25" t="str">
        <f t="shared" si="30"/>
        <v/>
      </c>
      <c r="M1068" s="25"/>
      <c r="O1068" s="25"/>
    </row>
    <row r="1069" ht="15.75" customHeight="1">
      <c r="A1069" s="25" t="str">
        <f>IFERROR(__xludf.DUMMYFUNCTION("IF(B1069="""","""",RIGHT(REGEXREPLACE(B1069&amp;"""",""[^0-9]"",""""),9))"),"741505656")</f>
        <v>741505656</v>
      </c>
      <c r="B1069" s="52">
        <v>7.41505656E8</v>
      </c>
      <c r="C1069" s="28" t="s">
        <v>1289</v>
      </c>
      <c r="D1069" s="26" t="s">
        <v>45</v>
      </c>
      <c r="E1069" s="31">
        <v>46227.0</v>
      </c>
      <c r="F1069" s="26" t="s">
        <v>704</v>
      </c>
      <c r="H1069" s="26" t="s">
        <v>280</v>
      </c>
      <c r="I1069" s="26" t="s">
        <v>42</v>
      </c>
      <c r="J1069" s="25" t="str">
        <f t="shared" si="28"/>
        <v>No</v>
      </c>
      <c r="K1069" s="25" t="str">
        <f t="shared" si="29"/>
        <v/>
      </c>
      <c r="L1069" s="25" t="str">
        <f t="shared" si="30"/>
        <v/>
      </c>
      <c r="M1069" s="25"/>
      <c r="O1069" s="25"/>
    </row>
    <row r="1070" ht="15.75" customHeight="1">
      <c r="A1070" s="25" t="str">
        <f>IFERROR(__xludf.DUMMYFUNCTION("IF(B1070="""","""",RIGHT(REGEXREPLACE(B1070&amp;"""",""[^0-9]"",""""),9))"),"769986930")</f>
        <v>769986930</v>
      </c>
      <c r="B1070" s="26">
        <v>7.6998693E8</v>
      </c>
      <c r="C1070" s="28" t="s">
        <v>1290</v>
      </c>
      <c r="D1070" s="26" t="s">
        <v>37</v>
      </c>
      <c r="E1070" s="31">
        <v>46227.0</v>
      </c>
      <c r="F1070" s="26" t="s">
        <v>46</v>
      </c>
      <c r="G1070" s="26">
        <v>11.0</v>
      </c>
      <c r="I1070" s="26" t="s">
        <v>42</v>
      </c>
      <c r="J1070" s="25" t="str">
        <f t="shared" si="28"/>
        <v>No</v>
      </c>
      <c r="K1070" s="25" t="str">
        <f t="shared" si="29"/>
        <v/>
      </c>
      <c r="L1070" s="25" t="str">
        <f t="shared" si="30"/>
        <v/>
      </c>
      <c r="M1070" s="25"/>
      <c r="O1070" s="25"/>
    </row>
    <row r="1071" ht="15.75" customHeight="1">
      <c r="A1071" s="25" t="str">
        <f>IFERROR(__xludf.DUMMYFUNCTION("IF(B1071="""","""",RIGHT(REGEXREPLACE(B1071&amp;"""",""[^0-9]"",""""),9))"),"770035223")</f>
        <v>770035223</v>
      </c>
      <c r="B1071" s="52">
        <v>7.70035223E8</v>
      </c>
      <c r="C1071" s="28" t="s">
        <v>1291</v>
      </c>
      <c r="D1071" s="26" t="s">
        <v>64</v>
      </c>
      <c r="E1071" s="31">
        <v>46227.0</v>
      </c>
      <c r="F1071" s="26" t="s">
        <v>46</v>
      </c>
      <c r="G1071" s="26">
        <v>11.0</v>
      </c>
      <c r="I1071" s="26" t="s">
        <v>42</v>
      </c>
      <c r="J1071" s="25" t="str">
        <f t="shared" si="28"/>
        <v>No</v>
      </c>
      <c r="K1071" s="25" t="str">
        <f t="shared" si="29"/>
        <v/>
      </c>
      <c r="L1071" s="25" t="str">
        <f t="shared" si="30"/>
        <v/>
      </c>
      <c r="M1071" s="25"/>
      <c r="O1071" s="25"/>
    </row>
    <row r="1072" ht="15.75" customHeight="1">
      <c r="A1072" s="25" t="str">
        <f>IFERROR(__xludf.DUMMYFUNCTION("IF(B1072="""","""",RIGHT(REGEXREPLACE(B1072&amp;"""",""[^0-9]"",""""),9))"),"710738575")</f>
        <v>710738575</v>
      </c>
      <c r="B1072" s="26">
        <v>7.10738575E8</v>
      </c>
      <c r="C1072" s="28" t="s">
        <v>1292</v>
      </c>
      <c r="D1072" s="26" t="s">
        <v>37</v>
      </c>
      <c r="E1072" s="31">
        <v>46227.0</v>
      </c>
      <c r="F1072" s="26" t="s">
        <v>46</v>
      </c>
      <c r="G1072" s="26">
        <v>6.0</v>
      </c>
      <c r="I1072" s="26" t="s">
        <v>42</v>
      </c>
      <c r="J1072" s="25" t="str">
        <f t="shared" si="28"/>
        <v>No</v>
      </c>
      <c r="K1072" s="25" t="str">
        <f t="shared" si="29"/>
        <v/>
      </c>
      <c r="L1072" s="25" t="str">
        <f t="shared" si="30"/>
        <v/>
      </c>
      <c r="M1072" s="25"/>
      <c r="O1072" s="25"/>
    </row>
    <row r="1073" ht="15.75" customHeight="1">
      <c r="A1073" s="25" t="str">
        <f>IFERROR(__xludf.DUMMYFUNCTION("IF(B1073="""","""",RIGHT(REGEXREPLACE(B1073&amp;"""",""[^0-9]"",""""),9))"),"715306378")</f>
        <v>715306378</v>
      </c>
      <c r="B1073" s="52">
        <v>7.15306378E8</v>
      </c>
      <c r="C1073" s="28" t="s">
        <v>1293</v>
      </c>
      <c r="D1073" s="26" t="s">
        <v>45</v>
      </c>
      <c r="E1073" s="31">
        <v>46227.0</v>
      </c>
      <c r="F1073" s="26" t="s">
        <v>41</v>
      </c>
      <c r="I1073" s="26" t="s">
        <v>42</v>
      </c>
      <c r="J1073" s="25" t="str">
        <f t="shared" si="28"/>
        <v>No</v>
      </c>
      <c r="K1073" s="25" t="str">
        <f t="shared" si="29"/>
        <v/>
      </c>
      <c r="L1073" s="25" t="str">
        <f t="shared" si="30"/>
        <v/>
      </c>
      <c r="M1073" s="25"/>
      <c r="O1073" s="25"/>
    </row>
    <row r="1074" ht="15.75" customHeight="1">
      <c r="A1074" s="25" t="str">
        <f>IFERROR(__xludf.DUMMYFUNCTION("IF(B1074="""","""",RIGHT(REGEXREPLACE(B1074&amp;"""",""[^0-9]"",""""),9))"),"741689167")</f>
        <v>741689167</v>
      </c>
      <c r="B1074" s="52">
        <v>7.41689167E8</v>
      </c>
      <c r="C1074" s="28" t="s">
        <v>1294</v>
      </c>
      <c r="D1074" s="26" t="s">
        <v>56</v>
      </c>
      <c r="E1074" s="31">
        <v>46227.0</v>
      </c>
      <c r="F1074" s="26" t="s">
        <v>41</v>
      </c>
      <c r="I1074" s="26" t="s">
        <v>42</v>
      </c>
      <c r="J1074" s="25" t="str">
        <f t="shared" si="28"/>
        <v>No</v>
      </c>
      <c r="K1074" s="25" t="str">
        <f t="shared" si="29"/>
        <v/>
      </c>
      <c r="L1074" s="25" t="str">
        <f t="shared" si="30"/>
        <v/>
      </c>
      <c r="M1074" s="25"/>
      <c r="O1074" s="25"/>
    </row>
    <row r="1075" ht="15.75" customHeight="1">
      <c r="A1075" s="25" t="str">
        <f>IFERROR(__xludf.DUMMYFUNCTION("IF(B1075="""","""",RIGHT(REGEXREPLACE(B1075&amp;"""",""[^0-9]"",""""),9))"),"760632164")</f>
        <v>760632164</v>
      </c>
      <c r="B1075" s="26">
        <v>7.60632164E8</v>
      </c>
      <c r="C1075" s="28" t="s">
        <v>1295</v>
      </c>
      <c r="D1075" s="26" t="s">
        <v>37</v>
      </c>
      <c r="E1075" s="31">
        <v>46227.0</v>
      </c>
      <c r="F1075" s="26" t="s">
        <v>205</v>
      </c>
      <c r="G1075" s="26">
        <v>11.0</v>
      </c>
      <c r="I1075" s="26" t="s">
        <v>42</v>
      </c>
      <c r="J1075" s="25" t="str">
        <f t="shared" si="28"/>
        <v>No</v>
      </c>
      <c r="K1075" s="25" t="str">
        <f t="shared" si="29"/>
        <v/>
      </c>
      <c r="L1075" s="25" t="str">
        <f t="shared" si="30"/>
        <v/>
      </c>
      <c r="M1075" s="25"/>
      <c r="O1075" s="25"/>
    </row>
    <row r="1076" ht="15.75" customHeight="1">
      <c r="A1076" s="25" t="str">
        <f>IFERROR(__xludf.DUMMYFUNCTION("IF(B1076="""","""",RIGHT(REGEXREPLACE(B1076&amp;"""",""[^0-9]"",""""),9))"),"764166943")</f>
        <v>764166943</v>
      </c>
      <c r="B1076" s="52">
        <v>7.64166943E8</v>
      </c>
      <c r="C1076" s="28" t="s">
        <v>1296</v>
      </c>
      <c r="D1076" s="26" t="s">
        <v>49</v>
      </c>
      <c r="E1076" s="31">
        <v>46227.0</v>
      </c>
      <c r="F1076" s="26" t="s">
        <v>46</v>
      </c>
      <c r="G1076" s="26">
        <v>11.0</v>
      </c>
      <c r="I1076" s="26" t="s">
        <v>42</v>
      </c>
      <c r="J1076" s="25" t="str">
        <f t="shared" si="28"/>
        <v>No</v>
      </c>
      <c r="K1076" s="25" t="str">
        <f t="shared" si="29"/>
        <v/>
      </c>
      <c r="L1076" s="25" t="str">
        <f t="shared" si="30"/>
        <v/>
      </c>
      <c r="M1076" s="25"/>
      <c r="O1076" s="25"/>
    </row>
    <row r="1077" ht="15.75" customHeight="1">
      <c r="A1077" s="25" t="str">
        <f>IFERROR(__xludf.DUMMYFUNCTION("IF(B1077="""","""",RIGHT(REGEXREPLACE(B1077&amp;"""",""[^0-9]"",""""),9))"),"787928863")</f>
        <v>787928863</v>
      </c>
      <c r="B1077" s="52">
        <v>7.87928863E8</v>
      </c>
      <c r="C1077" s="28" t="s">
        <v>1297</v>
      </c>
      <c r="D1077" s="26" t="s">
        <v>82</v>
      </c>
      <c r="E1077" s="31">
        <v>46227.0</v>
      </c>
      <c r="F1077" s="26" t="s">
        <v>41</v>
      </c>
      <c r="I1077" s="26" t="s">
        <v>42</v>
      </c>
      <c r="J1077" s="25" t="str">
        <f t="shared" si="28"/>
        <v>No</v>
      </c>
      <c r="K1077" s="25" t="str">
        <f t="shared" si="29"/>
        <v/>
      </c>
      <c r="L1077" s="25" t="str">
        <f t="shared" si="30"/>
        <v/>
      </c>
      <c r="M1077" s="25"/>
      <c r="O1077" s="25"/>
    </row>
    <row r="1078" ht="15.75" customHeight="1">
      <c r="A1078" s="25" t="str">
        <f>IFERROR(__xludf.DUMMYFUNCTION("IF(B1078="""","""",RIGHT(REGEXREPLACE(B1078&amp;"""",""[^0-9]"",""""),9))"),"701972947")</f>
        <v>701972947</v>
      </c>
      <c r="B1078" s="26">
        <v>7.01972947E8</v>
      </c>
      <c r="C1078" s="28" t="s">
        <v>1298</v>
      </c>
      <c r="D1078" s="26" t="s">
        <v>37</v>
      </c>
      <c r="E1078" s="31">
        <v>46227.0</v>
      </c>
      <c r="F1078" s="26" t="s">
        <v>704</v>
      </c>
      <c r="G1078" s="26">
        <v>11.0</v>
      </c>
      <c r="H1078" s="26" t="s">
        <v>253</v>
      </c>
      <c r="I1078" s="26" t="s">
        <v>42</v>
      </c>
      <c r="J1078" s="25" t="str">
        <f t="shared" si="28"/>
        <v>No</v>
      </c>
      <c r="K1078" s="25" t="str">
        <f t="shared" si="29"/>
        <v/>
      </c>
      <c r="L1078" s="25" t="str">
        <f t="shared" si="30"/>
        <v/>
      </c>
      <c r="M1078" s="25"/>
      <c r="O1078" s="25"/>
    </row>
    <row r="1079" ht="15.75" customHeight="1">
      <c r="A1079" s="25" t="str">
        <f>IFERROR(__xludf.DUMMYFUNCTION("IF(B1079="""","""",RIGHT(REGEXREPLACE(B1079&amp;"""",""[^0-9]"",""""),9))"),"764757842")</f>
        <v>764757842</v>
      </c>
      <c r="B1079" s="52">
        <v>7.64757842E8</v>
      </c>
      <c r="C1079" s="28" t="s">
        <v>1299</v>
      </c>
      <c r="D1079" s="26" t="s">
        <v>56</v>
      </c>
      <c r="E1079" s="31">
        <v>46227.0</v>
      </c>
      <c r="F1079" s="26" t="s">
        <v>46</v>
      </c>
      <c r="G1079" s="26">
        <v>11.0</v>
      </c>
      <c r="I1079" s="26" t="s">
        <v>42</v>
      </c>
      <c r="J1079" s="25" t="str">
        <f t="shared" si="28"/>
        <v>No</v>
      </c>
      <c r="K1079" s="25" t="str">
        <f t="shared" si="29"/>
        <v/>
      </c>
      <c r="L1079" s="25" t="str">
        <f t="shared" si="30"/>
        <v/>
      </c>
      <c r="M1079" s="25"/>
      <c r="O1079" s="25"/>
    </row>
    <row r="1080" ht="15.75" customHeight="1">
      <c r="A1080" s="25" t="str">
        <f>IFERROR(__xludf.DUMMYFUNCTION("IF(B1080="""","""",RIGHT(REGEXREPLACE(B1080&amp;"""",""[^0-9]"",""""),9))"),"773859686")</f>
        <v>773859686</v>
      </c>
      <c r="B1080" s="26">
        <v>7.73859686E8</v>
      </c>
      <c r="C1080" s="28" t="s">
        <v>1300</v>
      </c>
      <c r="D1080" s="26" t="s">
        <v>37</v>
      </c>
      <c r="E1080" s="31">
        <v>46227.0</v>
      </c>
      <c r="F1080" s="26" t="s">
        <v>46</v>
      </c>
      <c r="G1080" s="26">
        <v>11.0</v>
      </c>
      <c r="I1080" s="26" t="s">
        <v>42</v>
      </c>
      <c r="J1080" s="25" t="str">
        <f t="shared" si="28"/>
        <v>No</v>
      </c>
      <c r="K1080" s="25" t="str">
        <f t="shared" si="29"/>
        <v/>
      </c>
      <c r="L1080" s="25" t="str">
        <f t="shared" si="30"/>
        <v/>
      </c>
      <c r="M1080" s="25"/>
      <c r="O1080" s="25"/>
    </row>
    <row r="1081" ht="15.75" customHeight="1">
      <c r="A1081" s="25" t="str">
        <f>IFERROR(__xludf.DUMMYFUNCTION("IF(B1081="""","""",RIGHT(REGEXREPLACE(B1081&amp;"""",""[^0-9]"",""""),9))"),"704571004")</f>
        <v>704571004</v>
      </c>
      <c r="B1081" s="26">
        <v>7.04571004E8</v>
      </c>
      <c r="C1081" s="28" t="s">
        <v>1301</v>
      </c>
      <c r="D1081" s="26" t="s">
        <v>37</v>
      </c>
      <c r="E1081" s="31">
        <v>46227.0</v>
      </c>
      <c r="F1081" s="26" t="s">
        <v>46</v>
      </c>
      <c r="G1081" s="26">
        <v>11.0</v>
      </c>
      <c r="I1081" s="26" t="s">
        <v>42</v>
      </c>
      <c r="J1081" s="25" t="str">
        <f t="shared" si="28"/>
        <v>No</v>
      </c>
      <c r="K1081" s="25" t="str">
        <f t="shared" si="29"/>
        <v/>
      </c>
      <c r="L1081" s="25" t="str">
        <f t="shared" si="30"/>
        <v/>
      </c>
      <c r="M1081" s="25"/>
      <c r="O1081" s="25"/>
    </row>
    <row r="1082" ht="15.75" customHeight="1">
      <c r="A1082" s="25" t="str">
        <f>IFERROR(__xludf.DUMMYFUNCTION("IF(B1082="""","""",RIGHT(REGEXREPLACE(B1082&amp;"""",""[^0-9]"",""""),9))"),"715564569")</f>
        <v>715564569</v>
      </c>
      <c r="B1082" s="52">
        <v>7.15564569E8</v>
      </c>
      <c r="C1082" s="28" t="s">
        <v>1302</v>
      </c>
      <c r="D1082" s="26" t="s">
        <v>82</v>
      </c>
      <c r="E1082" s="31">
        <v>46227.0</v>
      </c>
      <c r="F1082" s="26" t="s">
        <v>125</v>
      </c>
      <c r="G1082" s="26">
        <v>11.0</v>
      </c>
      <c r="I1082" s="26" t="s">
        <v>42</v>
      </c>
      <c r="J1082" s="25" t="str">
        <f t="shared" si="28"/>
        <v>No</v>
      </c>
      <c r="K1082" s="25" t="str">
        <f t="shared" si="29"/>
        <v/>
      </c>
      <c r="L1082" s="25" t="str">
        <f t="shared" si="30"/>
        <v/>
      </c>
      <c r="M1082" s="25"/>
      <c r="O1082" s="25"/>
    </row>
    <row r="1083" ht="15.75" customHeight="1">
      <c r="A1083" s="25" t="str">
        <f>IFERROR(__xludf.DUMMYFUNCTION("IF(B1083="""","""",RIGHT(REGEXREPLACE(B1083&amp;"""",""[^0-9]"",""""),9))"),"741598249")</f>
        <v>741598249</v>
      </c>
      <c r="B1083" s="52">
        <v>4.741598249E9</v>
      </c>
      <c r="C1083" s="28" t="s">
        <v>1303</v>
      </c>
      <c r="D1083" s="26" t="s">
        <v>49</v>
      </c>
      <c r="E1083" s="31">
        <v>46227.0</v>
      </c>
      <c r="F1083" s="26" t="s">
        <v>46</v>
      </c>
      <c r="G1083" s="26">
        <v>11.0</v>
      </c>
      <c r="I1083" s="26" t="s">
        <v>42</v>
      </c>
      <c r="J1083" s="25" t="str">
        <f t="shared" si="28"/>
        <v>No</v>
      </c>
      <c r="K1083" s="25" t="str">
        <f t="shared" si="29"/>
        <v/>
      </c>
      <c r="L1083" s="25" t="str">
        <f t="shared" si="30"/>
        <v/>
      </c>
      <c r="M1083" s="25"/>
      <c r="O1083" s="25"/>
    </row>
    <row r="1084" ht="15.75" customHeight="1">
      <c r="A1084" s="25" t="str">
        <f>IFERROR(__xludf.DUMMYFUNCTION("IF(B1084="""","""",RIGHT(REGEXREPLACE(B1084&amp;"""",""[^0-9]"",""""),9))"),"717132982")</f>
        <v>717132982</v>
      </c>
      <c r="B1084" s="52">
        <v>7.17132982E8</v>
      </c>
      <c r="C1084" s="28" t="s">
        <v>1304</v>
      </c>
      <c r="D1084" s="26" t="s">
        <v>56</v>
      </c>
      <c r="E1084" s="31">
        <v>46227.0</v>
      </c>
      <c r="F1084" s="26" t="s">
        <v>631</v>
      </c>
      <c r="G1084" s="26">
        <v>11.0</v>
      </c>
      <c r="I1084" s="26" t="s">
        <v>42</v>
      </c>
      <c r="J1084" s="25" t="str">
        <f t="shared" si="28"/>
        <v>No</v>
      </c>
      <c r="K1084" s="25" t="str">
        <f t="shared" si="29"/>
        <v/>
      </c>
      <c r="L1084" s="25" t="str">
        <f t="shared" si="30"/>
        <v/>
      </c>
      <c r="M1084" s="25"/>
      <c r="O1084" s="25"/>
    </row>
    <row r="1085" ht="15.75" customHeight="1">
      <c r="A1085" s="25" t="str">
        <f>IFERROR(__xludf.DUMMYFUNCTION("IF(B1085="""","""",RIGHT(REGEXREPLACE(B1085&amp;"""",""[^0-9]"",""""),9))"),"771081382")</f>
        <v>771081382</v>
      </c>
      <c r="B1085" s="26">
        <v>7.71081382E8</v>
      </c>
      <c r="C1085" s="28" t="s">
        <v>1305</v>
      </c>
      <c r="D1085" s="26" t="s">
        <v>37</v>
      </c>
      <c r="E1085" s="31">
        <v>46227.0</v>
      </c>
      <c r="F1085" s="26" t="s">
        <v>205</v>
      </c>
      <c r="G1085" s="26">
        <v>11.0</v>
      </c>
      <c r="I1085" s="26" t="s">
        <v>42</v>
      </c>
      <c r="J1085" s="25" t="str">
        <f t="shared" si="28"/>
        <v>No</v>
      </c>
      <c r="K1085" s="25" t="str">
        <f t="shared" si="29"/>
        <v/>
      </c>
      <c r="L1085" s="25" t="str">
        <f t="shared" si="30"/>
        <v/>
      </c>
      <c r="M1085" s="25"/>
      <c r="O1085" s="25"/>
    </row>
    <row r="1086" ht="15.75" customHeight="1">
      <c r="A1086" s="25" t="str">
        <f>IFERROR(__xludf.DUMMYFUNCTION("IF(B1086="""","""",RIGHT(REGEXREPLACE(B1086&amp;"""",""[^0-9]"",""""),9))"),"778495795")</f>
        <v>778495795</v>
      </c>
      <c r="B1086" s="26">
        <v>7.78495795E8</v>
      </c>
      <c r="C1086" s="28" t="s">
        <v>1306</v>
      </c>
      <c r="D1086" s="26" t="s">
        <v>45</v>
      </c>
      <c r="E1086" s="31">
        <v>46227.0</v>
      </c>
      <c r="F1086" s="26" t="s">
        <v>46</v>
      </c>
      <c r="G1086" s="26">
        <v>11.0</v>
      </c>
      <c r="I1086" s="26" t="s">
        <v>42</v>
      </c>
      <c r="J1086" s="25" t="str">
        <f t="shared" si="28"/>
        <v>No</v>
      </c>
      <c r="K1086" s="25" t="str">
        <f t="shared" si="29"/>
        <v/>
      </c>
      <c r="L1086" s="25" t="str">
        <f t="shared" si="30"/>
        <v/>
      </c>
      <c r="M1086" s="25"/>
      <c r="O1086" s="25"/>
    </row>
    <row r="1087" ht="15.75" customHeight="1">
      <c r="A1087" s="25" t="str">
        <f>IFERROR(__xludf.DUMMYFUNCTION("IF(B1087="""","""",RIGHT(REGEXREPLACE(B1087&amp;"""",""[^0-9]"",""""),9))"),"743065113")</f>
        <v>743065113</v>
      </c>
      <c r="B1087" s="26">
        <v>7.43065113E8</v>
      </c>
      <c r="C1087" s="28" t="s">
        <v>1307</v>
      </c>
      <c r="D1087" s="26" t="s">
        <v>37</v>
      </c>
      <c r="E1087" s="31">
        <v>46227.0</v>
      </c>
      <c r="F1087" s="26" t="s">
        <v>46</v>
      </c>
      <c r="G1087" s="26">
        <v>11.0</v>
      </c>
      <c r="H1087" s="26" t="s">
        <v>1308</v>
      </c>
      <c r="I1087" s="26" t="s">
        <v>42</v>
      </c>
      <c r="J1087" s="25" t="str">
        <f t="shared" si="28"/>
        <v>No</v>
      </c>
      <c r="K1087" s="25" t="str">
        <f t="shared" si="29"/>
        <v/>
      </c>
      <c r="L1087" s="25" t="str">
        <f t="shared" si="30"/>
        <v/>
      </c>
      <c r="M1087" s="25"/>
      <c r="O1087" s="25"/>
    </row>
    <row r="1088" ht="15.75" customHeight="1">
      <c r="A1088" s="25" t="str">
        <f>IFERROR(__xludf.DUMMYFUNCTION("IF(B1088="""","""",RIGHT(REGEXREPLACE(B1088&amp;"""",""[^0-9]"",""""),9))"),"713331979")</f>
        <v>713331979</v>
      </c>
      <c r="B1088" s="52">
        <v>7.13331979E8</v>
      </c>
      <c r="C1088" s="28" t="s">
        <v>1309</v>
      </c>
      <c r="D1088" s="26" t="s">
        <v>82</v>
      </c>
      <c r="E1088" s="31">
        <v>46227.0</v>
      </c>
      <c r="F1088" s="26" t="s">
        <v>46</v>
      </c>
      <c r="G1088" s="26">
        <v>11.0</v>
      </c>
      <c r="I1088" s="26" t="s">
        <v>42</v>
      </c>
      <c r="J1088" s="25" t="str">
        <f t="shared" si="28"/>
        <v>No</v>
      </c>
      <c r="K1088" s="25" t="str">
        <f t="shared" si="29"/>
        <v/>
      </c>
      <c r="L1088" s="25" t="str">
        <f t="shared" si="30"/>
        <v/>
      </c>
      <c r="M1088" s="25"/>
      <c r="O1088" s="25"/>
    </row>
    <row r="1089" ht="15.75" customHeight="1">
      <c r="A1089" s="25" t="str">
        <f>IFERROR(__xludf.DUMMYFUNCTION("IF(B1089="""","""",RIGHT(REGEXREPLACE(B1089&amp;"""",""[^0-9]"",""""),9))"),"760454800")</f>
        <v>760454800</v>
      </c>
      <c r="B1089" s="26">
        <v>7.604548E8</v>
      </c>
      <c r="C1089" s="28" t="s">
        <v>1310</v>
      </c>
      <c r="D1089" s="26" t="s">
        <v>37</v>
      </c>
      <c r="E1089" s="31">
        <v>46227.0</v>
      </c>
      <c r="F1089" s="26" t="s">
        <v>46</v>
      </c>
      <c r="G1089" s="26">
        <v>11.0</v>
      </c>
      <c r="H1089" s="26" t="s">
        <v>1311</v>
      </c>
      <c r="I1089" s="26" t="s">
        <v>42</v>
      </c>
      <c r="J1089" s="25" t="str">
        <f t="shared" si="28"/>
        <v>No</v>
      </c>
      <c r="K1089" s="25" t="str">
        <f t="shared" si="29"/>
        <v/>
      </c>
      <c r="L1089" s="25" t="str">
        <f t="shared" si="30"/>
        <v/>
      </c>
      <c r="M1089" s="25"/>
      <c r="O1089" s="25"/>
    </row>
    <row r="1090" ht="15.75" customHeight="1">
      <c r="A1090" s="25" t="str">
        <f>IFERROR(__xludf.DUMMYFUNCTION("IF(B1090="""","""",RIGHT(REGEXREPLACE(B1090&amp;"""",""[^0-9]"",""""),9))"),"712760515")</f>
        <v>712760515</v>
      </c>
      <c r="B1090" s="52">
        <v>7.12760515E8</v>
      </c>
      <c r="C1090" s="28" t="s">
        <v>1312</v>
      </c>
      <c r="D1090" s="26" t="s">
        <v>49</v>
      </c>
      <c r="E1090" s="31">
        <v>46227.0</v>
      </c>
      <c r="F1090" s="26" t="s">
        <v>41</v>
      </c>
      <c r="G1090" s="26">
        <v>11.0</v>
      </c>
      <c r="I1090" s="26" t="s">
        <v>42</v>
      </c>
      <c r="J1090" s="25" t="str">
        <f t="shared" si="28"/>
        <v>No</v>
      </c>
      <c r="K1090" s="25" t="str">
        <f t="shared" si="29"/>
        <v/>
      </c>
      <c r="L1090" s="25" t="str">
        <f t="shared" si="30"/>
        <v/>
      </c>
      <c r="M1090" s="25"/>
      <c r="O1090" s="25"/>
    </row>
    <row r="1091" ht="15.75" customHeight="1">
      <c r="A1091" s="25" t="str">
        <f>IFERROR(__xludf.DUMMYFUNCTION("IF(B1091="""","""",RIGHT(REGEXREPLACE(B1091&amp;"""",""[^0-9]"",""""),9))"),"772061243")</f>
        <v>772061243</v>
      </c>
      <c r="B1091" s="52">
        <v>7.72061243E8</v>
      </c>
      <c r="C1091" s="28" t="s">
        <v>1313</v>
      </c>
      <c r="D1091" s="26" t="s">
        <v>45</v>
      </c>
      <c r="E1091" s="31">
        <v>46227.0</v>
      </c>
      <c r="F1091" s="26" t="s">
        <v>46</v>
      </c>
      <c r="G1091" s="26">
        <v>11.0</v>
      </c>
      <c r="I1091" s="26" t="s">
        <v>42</v>
      </c>
      <c r="J1091" s="25" t="str">
        <f t="shared" si="28"/>
        <v>No</v>
      </c>
      <c r="K1091" s="25" t="str">
        <f t="shared" si="29"/>
        <v/>
      </c>
      <c r="L1091" s="25" t="str">
        <f t="shared" si="30"/>
        <v/>
      </c>
      <c r="M1091" s="25"/>
      <c r="O1091" s="25"/>
    </row>
    <row r="1092" ht="15.75" customHeight="1">
      <c r="A1092" s="25" t="str">
        <f>IFERROR(__xludf.DUMMYFUNCTION("IF(B1092="""","""",RIGHT(REGEXREPLACE(B1092&amp;"""",""[^0-9]"",""""),9))"),"755954915")</f>
        <v>755954915</v>
      </c>
      <c r="B1092" s="26">
        <v>7.55954915E8</v>
      </c>
      <c r="C1092" s="28" t="s">
        <v>1314</v>
      </c>
      <c r="D1092" s="26" t="s">
        <v>37</v>
      </c>
      <c r="E1092" s="31">
        <v>46227.0</v>
      </c>
      <c r="F1092" s="26" t="s">
        <v>205</v>
      </c>
      <c r="G1092" s="26">
        <v>11.0</v>
      </c>
      <c r="I1092" s="26" t="s">
        <v>42</v>
      </c>
      <c r="J1092" s="25" t="str">
        <f t="shared" si="28"/>
        <v>No</v>
      </c>
      <c r="K1092" s="25" t="str">
        <f t="shared" si="29"/>
        <v/>
      </c>
      <c r="L1092" s="25" t="str">
        <f t="shared" si="30"/>
        <v/>
      </c>
      <c r="M1092" s="25"/>
      <c r="O1092" s="25"/>
    </row>
    <row r="1093" ht="15.75" customHeight="1">
      <c r="A1093" s="25" t="str">
        <f>IFERROR(__xludf.DUMMYFUNCTION("IF(B1093="""","""",RIGHT(REGEXREPLACE(B1093&amp;"""",""[^0-9]"",""""),9))"),"761684926")</f>
        <v>761684926</v>
      </c>
      <c r="B1093" s="52">
        <v>7.61684926E8</v>
      </c>
      <c r="C1093" s="28" t="s">
        <v>1315</v>
      </c>
      <c r="D1093" s="26" t="s">
        <v>56</v>
      </c>
      <c r="E1093" s="31">
        <v>46227.0</v>
      </c>
      <c r="F1093" s="26" t="s">
        <v>205</v>
      </c>
      <c r="G1093" s="26">
        <v>11.0</v>
      </c>
      <c r="I1093" s="26" t="s">
        <v>42</v>
      </c>
      <c r="J1093" s="25" t="str">
        <f t="shared" si="28"/>
        <v>No</v>
      </c>
      <c r="K1093" s="25" t="str">
        <f t="shared" si="29"/>
        <v/>
      </c>
      <c r="L1093" s="25" t="str">
        <f t="shared" si="30"/>
        <v/>
      </c>
      <c r="M1093" s="25"/>
      <c r="O1093" s="25"/>
    </row>
    <row r="1094" ht="15.75" customHeight="1">
      <c r="A1094" s="25" t="str">
        <f>IFERROR(__xludf.DUMMYFUNCTION("IF(B1094="""","""",RIGHT(REGEXREPLACE(B1094&amp;"""",""[^0-9]"",""""),9))"),"763618539")</f>
        <v>763618539</v>
      </c>
      <c r="B1094" s="26">
        <v>7.63618539E8</v>
      </c>
      <c r="C1094" s="28" t="s">
        <v>1316</v>
      </c>
      <c r="D1094" s="26" t="s">
        <v>37</v>
      </c>
      <c r="E1094" s="31">
        <v>46227.0</v>
      </c>
      <c r="F1094" s="26" t="s">
        <v>46</v>
      </c>
      <c r="G1094" s="26">
        <v>11.0</v>
      </c>
      <c r="I1094" s="26" t="s">
        <v>42</v>
      </c>
      <c r="J1094" s="25" t="str">
        <f t="shared" si="28"/>
        <v>No</v>
      </c>
      <c r="K1094" s="25" t="str">
        <f t="shared" si="29"/>
        <v/>
      </c>
      <c r="L1094" s="25" t="str">
        <f t="shared" si="30"/>
        <v/>
      </c>
      <c r="M1094" s="25"/>
      <c r="O1094" s="25"/>
    </row>
    <row r="1095" ht="15.75" customHeight="1">
      <c r="A1095" s="25" t="str">
        <f>IFERROR(__xludf.DUMMYFUNCTION("IF(B1095="""","""",RIGHT(REGEXREPLACE(B1095&amp;"""",""[^0-9]"",""""),9))"),"703033001")</f>
        <v>703033001</v>
      </c>
      <c r="B1095" s="52">
        <v>7.03033001E8</v>
      </c>
      <c r="C1095" s="28" t="s">
        <v>1317</v>
      </c>
      <c r="D1095" s="26" t="s">
        <v>49</v>
      </c>
      <c r="E1095" s="31">
        <v>46227.0</v>
      </c>
      <c r="F1095" s="26" t="s">
        <v>41</v>
      </c>
      <c r="G1095" s="26">
        <v>11.0</v>
      </c>
      <c r="I1095" s="26" t="s">
        <v>42</v>
      </c>
      <c r="J1095" s="25" t="str">
        <f t="shared" si="28"/>
        <v>No</v>
      </c>
      <c r="K1095" s="25" t="str">
        <f t="shared" si="29"/>
        <v/>
      </c>
      <c r="L1095" s="25" t="str">
        <f t="shared" si="30"/>
        <v/>
      </c>
      <c r="M1095" s="25"/>
      <c r="O1095" s="25"/>
    </row>
    <row r="1096" ht="15.75" customHeight="1">
      <c r="A1096" s="25" t="str">
        <f>IFERROR(__xludf.DUMMYFUNCTION("IF(B1096="""","""",RIGHT(REGEXREPLACE(B1096&amp;"""",""[^0-9]"",""""),9))"),"768774623")</f>
        <v>768774623</v>
      </c>
      <c r="B1096" s="52">
        <v>7.68774623E8</v>
      </c>
      <c r="C1096" s="28" t="s">
        <v>1318</v>
      </c>
      <c r="D1096" s="26" t="s">
        <v>56</v>
      </c>
      <c r="E1096" s="31">
        <v>46227.0</v>
      </c>
      <c r="F1096" s="26" t="s">
        <v>41</v>
      </c>
      <c r="G1096" s="26">
        <v>11.0</v>
      </c>
      <c r="I1096" s="26" t="s">
        <v>42</v>
      </c>
      <c r="J1096" s="25" t="str">
        <f t="shared" si="28"/>
        <v>No</v>
      </c>
      <c r="K1096" s="25" t="str">
        <f t="shared" si="29"/>
        <v/>
      </c>
      <c r="L1096" s="25" t="str">
        <f t="shared" si="30"/>
        <v/>
      </c>
      <c r="M1096" s="25"/>
      <c r="O1096" s="25"/>
    </row>
    <row r="1097" ht="15.75" customHeight="1">
      <c r="A1097" s="25" t="str">
        <f>IFERROR(__xludf.DUMMYFUNCTION("IF(B1097="""","""",RIGHT(REGEXREPLACE(B1097&amp;"""",""[^0-9]"",""""),9))"),"711416533")</f>
        <v>711416533</v>
      </c>
      <c r="B1097" s="52">
        <v>7.11416533E8</v>
      </c>
      <c r="C1097" s="28" t="s">
        <v>1319</v>
      </c>
      <c r="D1097" s="26" t="s">
        <v>45</v>
      </c>
      <c r="E1097" s="31">
        <v>46227.0</v>
      </c>
      <c r="F1097" s="26" t="s">
        <v>46</v>
      </c>
      <c r="G1097" s="26">
        <v>11.0</v>
      </c>
      <c r="I1097" s="26" t="s">
        <v>42</v>
      </c>
      <c r="J1097" s="25" t="str">
        <f t="shared" si="28"/>
        <v>No</v>
      </c>
      <c r="K1097" s="25" t="str">
        <f t="shared" si="29"/>
        <v/>
      </c>
      <c r="L1097" s="25" t="str">
        <f t="shared" si="30"/>
        <v/>
      </c>
      <c r="M1097" s="25"/>
      <c r="O1097" s="25"/>
    </row>
    <row r="1098" ht="15.75" customHeight="1">
      <c r="A1098" s="25" t="str">
        <f>IFERROR(__xludf.DUMMYFUNCTION("IF(B1098="""","""",RIGHT(REGEXREPLACE(B1098&amp;"""",""[^0-9]"",""""),9))"),"767510514")</f>
        <v>767510514</v>
      </c>
      <c r="B1098" s="26">
        <v>7.67510514E8</v>
      </c>
      <c r="C1098" s="28" t="s">
        <v>1320</v>
      </c>
      <c r="D1098" s="26" t="s">
        <v>37</v>
      </c>
      <c r="E1098" s="31">
        <v>46227.0</v>
      </c>
      <c r="F1098" s="26" t="s">
        <v>41</v>
      </c>
      <c r="G1098" s="26">
        <v>9.0</v>
      </c>
      <c r="I1098" s="26" t="s">
        <v>42</v>
      </c>
      <c r="J1098" s="25" t="str">
        <f t="shared" si="28"/>
        <v>No</v>
      </c>
      <c r="K1098" s="25" t="str">
        <f t="shared" si="29"/>
        <v/>
      </c>
      <c r="L1098" s="25" t="str">
        <f t="shared" si="30"/>
        <v/>
      </c>
      <c r="M1098" s="25"/>
      <c r="O1098" s="25"/>
    </row>
    <row r="1099" ht="15.75" customHeight="1">
      <c r="A1099" s="25" t="str">
        <f>IFERROR(__xludf.DUMMYFUNCTION("IF(B1099="""","""",RIGHT(REGEXREPLACE(B1099&amp;"""",""[^0-9]"",""""),9))"),"718258496")</f>
        <v>718258496</v>
      </c>
      <c r="B1099" s="52">
        <v>7.18258496E8</v>
      </c>
      <c r="C1099" s="28" t="s">
        <v>1321</v>
      </c>
      <c r="D1099" s="26" t="s">
        <v>56</v>
      </c>
      <c r="E1099" s="31">
        <v>46227.0</v>
      </c>
      <c r="F1099" s="26" t="s">
        <v>46</v>
      </c>
      <c r="G1099" s="26">
        <v>10.0</v>
      </c>
      <c r="I1099" s="26" t="s">
        <v>42</v>
      </c>
      <c r="J1099" s="25" t="str">
        <f t="shared" si="28"/>
        <v>No</v>
      </c>
      <c r="K1099" s="25" t="str">
        <f t="shared" si="29"/>
        <v/>
      </c>
      <c r="L1099" s="25" t="str">
        <f t="shared" si="30"/>
        <v/>
      </c>
      <c r="M1099" s="25"/>
      <c r="O1099" s="25"/>
    </row>
    <row r="1100" ht="15.75" customHeight="1">
      <c r="A1100" s="25" t="str">
        <f>IFERROR(__xludf.DUMMYFUNCTION("IF(B1100="""","""",RIGHT(REGEXREPLACE(B1100&amp;"""",""[^0-9]"",""""),9))"),"719446262")</f>
        <v>719446262</v>
      </c>
      <c r="B1100" s="52">
        <v>7.19446262E8</v>
      </c>
      <c r="C1100" s="28" t="s">
        <v>1322</v>
      </c>
      <c r="D1100" s="26" t="s">
        <v>82</v>
      </c>
      <c r="E1100" s="31">
        <v>46227.0</v>
      </c>
      <c r="F1100" s="26" t="s">
        <v>46</v>
      </c>
      <c r="G1100" s="26">
        <v>11.0</v>
      </c>
      <c r="I1100" s="26" t="s">
        <v>42</v>
      </c>
      <c r="J1100" s="25" t="str">
        <f t="shared" si="28"/>
        <v>No</v>
      </c>
      <c r="K1100" s="25" t="str">
        <f t="shared" si="29"/>
        <v/>
      </c>
      <c r="L1100" s="25" t="str">
        <f t="shared" si="30"/>
        <v/>
      </c>
      <c r="M1100" s="25"/>
      <c r="O1100" s="25"/>
    </row>
    <row r="1101" ht="15.75" customHeight="1">
      <c r="A1101" s="25" t="str">
        <f>IFERROR(__xludf.DUMMYFUNCTION("IF(B1101="""","""",RIGHT(REGEXREPLACE(B1101&amp;"""",""[^0-9]"",""""),9))"),"767867665")</f>
        <v>767867665</v>
      </c>
      <c r="B1101" s="52">
        <v>7.67867665E8</v>
      </c>
      <c r="C1101" s="28" t="s">
        <v>1323</v>
      </c>
      <c r="D1101" s="26" t="s">
        <v>49</v>
      </c>
      <c r="E1101" s="31">
        <v>46227.0</v>
      </c>
      <c r="F1101" s="26" t="s">
        <v>41</v>
      </c>
      <c r="G1101" s="26">
        <v>11.0</v>
      </c>
      <c r="I1101" s="26" t="s">
        <v>42</v>
      </c>
      <c r="J1101" s="25" t="str">
        <f t="shared" si="28"/>
        <v>No</v>
      </c>
      <c r="K1101" s="25" t="str">
        <f t="shared" si="29"/>
        <v/>
      </c>
      <c r="L1101" s="25" t="str">
        <f t="shared" si="30"/>
        <v/>
      </c>
      <c r="M1101" s="25"/>
      <c r="O1101" s="25"/>
    </row>
    <row r="1102" ht="15.75" customHeight="1">
      <c r="A1102" s="25" t="str">
        <f>IFERROR(__xludf.DUMMYFUNCTION("IF(B1102="""","""",RIGHT(REGEXREPLACE(B1102&amp;"""",""[^0-9]"",""""),9))"),"713856219")</f>
        <v>713856219</v>
      </c>
      <c r="B1102" s="26">
        <v>7.13856219E8</v>
      </c>
      <c r="C1102" s="28" t="s">
        <v>1324</v>
      </c>
      <c r="D1102" s="26" t="s">
        <v>37</v>
      </c>
      <c r="E1102" s="31">
        <v>46227.0</v>
      </c>
      <c r="F1102" s="26" t="s">
        <v>41</v>
      </c>
      <c r="I1102" s="26" t="s">
        <v>42</v>
      </c>
      <c r="J1102" s="25" t="str">
        <f t="shared" si="28"/>
        <v>No</v>
      </c>
      <c r="K1102" s="25" t="str">
        <f t="shared" si="29"/>
        <v/>
      </c>
      <c r="L1102" s="25" t="str">
        <f t="shared" si="30"/>
        <v/>
      </c>
      <c r="M1102" s="25"/>
      <c r="O1102" s="25"/>
    </row>
    <row r="1103" ht="15.75" customHeight="1">
      <c r="A1103" s="25" t="str">
        <f>IFERROR(__xludf.DUMMYFUNCTION("IF(B1103="""","""",RIGHT(REGEXREPLACE(B1103&amp;"""",""[^0-9]"",""""),9))"),"702166912")</f>
        <v>702166912</v>
      </c>
      <c r="B1103" s="52">
        <v>7.02166912E8</v>
      </c>
      <c r="C1103" s="28" t="s">
        <v>1325</v>
      </c>
      <c r="D1103" s="26" t="s">
        <v>45</v>
      </c>
      <c r="E1103" s="31">
        <v>46227.0</v>
      </c>
      <c r="F1103" s="26" t="s">
        <v>205</v>
      </c>
      <c r="I1103" s="26" t="s">
        <v>42</v>
      </c>
      <c r="J1103" s="25" t="str">
        <f t="shared" si="28"/>
        <v>No</v>
      </c>
      <c r="K1103" s="25" t="str">
        <f t="shared" si="29"/>
        <v/>
      </c>
      <c r="L1103" s="25" t="str">
        <f t="shared" si="30"/>
        <v/>
      </c>
      <c r="M1103" s="25"/>
      <c r="O1103" s="25"/>
    </row>
    <row r="1104" ht="15.75" customHeight="1">
      <c r="A1104" s="25" t="str">
        <f>IFERROR(__xludf.DUMMYFUNCTION("IF(B1104="""","""",RIGHT(REGEXREPLACE(B1104&amp;"""",""[^0-9]"",""""),9))"),"763699569")</f>
        <v>763699569</v>
      </c>
      <c r="B1104" s="26">
        <v>7.63699569E8</v>
      </c>
      <c r="C1104" s="28" t="s">
        <v>1326</v>
      </c>
      <c r="D1104" s="26" t="s">
        <v>37</v>
      </c>
      <c r="E1104" s="31">
        <v>46227.0</v>
      </c>
      <c r="F1104" s="26" t="s">
        <v>46</v>
      </c>
      <c r="G1104" s="26">
        <v>11.0</v>
      </c>
      <c r="I1104" s="26" t="s">
        <v>42</v>
      </c>
      <c r="J1104" s="25" t="str">
        <f t="shared" si="28"/>
        <v>No</v>
      </c>
      <c r="K1104" s="25" t="str">
        <f t="shared" si="29"/>
        <v/>
      </c>
      <c r="L1104" s="25" t="str">
        <f t="shared" si="30"/>
        <v/>
      </c>
      <c r="M1104" s="25"/>
      <c r="O1104" s="25"/>
    </row>
    <row r="1105" ht="15.75" customHeight="1">
      <c r="A1105" s="25" t="str">
        <f>IFERROR(__xludf.DUMMYFUNCTION("IF(B1105="""","""",RIGHT(REGEXREPLACE(B1105&amp;"""",""[^0-9]"",""""),9))"),"788113829")</f>
        <v>788113829</v>
      </c>
      <c r="B1105" s="26">
        <v>7.88113829E8</v>
      </c>
      <c r="C1105" s="28" t="s">
        <v>1327</v>
      </c>
      <c r="D1105" s="26" t="s">
        <v>37</v>
      </c>
      <c r="E1105" s="31">
        <v>46227.0</v>
      </c>
      <c r="F1105" s="26" t="s">
        <v>205</v>
      </c>
      <c r="G1105" s="26">
        <v>11.0</v>
      </c>
      <c r="I1105" s="26" t="s">
        <v>42</v>
      </c>
      <c r="J1105" s="25" t="str">
        <f t="shared" si="28"/>
        <v>No</v>
      </c>
      <c r="K1105" s="25" t="str">
        <f t="shared" si="29"/>
        <v/>
      </c>
      <c r="L1105" s="25" t="str">
        <f t="shared" si="30"/>
        <v/>
      </c>
      <c r="M1105" s="25"/>
      <c r="O1105" s="25"/>
    </row>
    <row r="1106" ht="15.75" customHeight="1">
      <c r="A1106" s="25" t="str">
        <f>IFERROR(__xludf.DUMMYFUNCTION("IF(B1106="""","""",RIGHT(REGEXREPLACE(B1106&amp;"""",""[^0-9]"",""""),9))"),"717856274")</f>
        <v>717856274</v>
      </c>
      <c r="B1106" s="52">
        <v>7.17856274E8</v>
      </c>
      <c r="C1106" s="28" t="s">
        <v>1328</v>
      </c>
      <c r="D1106" s="26" t="s">
        <v>45</v>
      </c>
      <c r="E1106" s="31">
        <v>46227.0</v>
      </c>
      <c r="F1106" s="26" t="s">
        <v>41</v>
      </c>
      <c r="I1106" s="26" t="s">
        <v>42</v>
      </c>
      <c r="J1106" s="25" t="str">
        <f t="shared" si="28"/>
        <v>No</v>
      </c>
      <c r="K1106" s="25" t="str">
        <f t="shared" si="29"/>
        <v/>
      </c>
      <c r="L1106" s="25" t="str">
        <f t="shared" si="30"/>
        <v/>
      </c>
      <c r="M1106" s="25"/>
      <c r="O1106" s="25"/>
    </row>
    <row r="1107" ht="15.75" customHeight="1">
      <c r="A1107" s="25" t="str">
        <f>IFERROR(__xludf.DUMMYFUNCTION("IF(B1107="""","""",RIGHT(REGEXREPLACE(B1107&amp;"""",""[^0-9]"",""""),9))"),"771494596")</f>
        <v>771494596</v>
      </c>
      <c r="B1107" s="52">
        <v>7.71494596E8</v>
      </c>
      <c r="C1107" s="28" t="s">
        <v>1329</v>
      </c>
      <c r="D1107" s="26" t="s">
        <v>49</v>
      </c>
      <c r="E1107" s="31">
        <v>46227.0</v>
      </c>
      <c r="F1107" s="26" t="s">
        <v>46</v>
      </c>
      <c r="G1107" s="26">
        <v>11.0</v>
      </c>
      <c r="I1107" s="26" t="s">
        <v>42</v>
      </c>
      <c r="J1107" s="25" t="str">
        <f t="shared" si="28"/>
        <v>No</v>
      </c>
      <c r="K1107" s="25" t="str">
        <f t="shared" si="29"/>
        <v/>
      </c>
      <c r="L1107" s="25" t="str">
        <f t="shared" si="30"/>
        <v/>
      </c>
      <c r="M1107" s="25"/>
      <c r="O1107" s="25"/>
    </row>
    <row r="1108" ht="15.75" customHeight="1">
      <c r="A1108" s="25" t="str">
        <f>IFERROR(__xludf.DUMMYFUNCTION("IF(B1108="""","""",RIGHT(REGEXREPLACE(B1108&amp;"""",""[^0-9]"",""""),9))"),"751495480")</f>
        <v>751495480</v>
      </c>
      <c r="B1108" s="52">
        <v>7.5149548E8</v>
      </c>
      <c r="C1108" s="28" t="s">
        <v>1330</v>
      </c>
      <c r="D1108" s="26" t="s">
        <v>56</v>
      </c>
      <c r="E1108" s="31">
        <v>46227.0</v>
      </c>
      <c r="F1108" s="26" t="s">
        <v>46</v>
      </c>
      <c r="G1108" s="26">
        <v>11.0</v>
      </c>
      <c r="I1108" s="26" t="s">
        <v>42</v>
      </c>
      <c r="J1108" s="25" t="str">
        <f t="shared" si="28"/>
        <v>No</v>
      </c>
      <c r="K1108" s="25" t="str">
        <f t="shared" si="29"/>
        <v/>
      </c>
      <c r="L1108" s="25" t="str">
        <f t="shared" si="30"/>
        <v/>
      </c>
      <c r="M1108" s="25"/>
      <c r="O1108" s="25"/>
    </row>
    <row r="1109" ht="15.75" customHeight="1">
      <c r="A1109" s="25" t="str">
        <f>IFERROR(__xludf.DUMMYFUNCTION("IF(B1109="""","""",RIGHT(REGEXREPLACE(B1109&amp;"""",""[^0-9]"",""""),9))"),"701352978")</f>
        <v>701352978</v>
      </c>
      <c r="B1109" s="52">
        <v>7.01352978E8</v>
      </c>
      <c r="C1109" s="28" t="s">
        <v>1331</v>
      </c>
      <c r="D1109" s="26" t="s">
        <v>82</v>
      </c>
      <c r="E1109" s="31">
        <v>46227.0</v>
      </c>
      <c r="F1109" s="26" t="s">
        <v>41</v>
      </c>
      <c r="I1109" s="26" t="s">
        <v>42</v>
      </c>
      <c r="J1109" s="25" t="str">
        <f t="shared" si="28"/>
        <v>No</v>
      </c>
      <c r="K1109" s="25" t="str">
        <f t="shared" si="29"/>
        <v/>
      </c>
      <c r="L1109" s="25" t="str">
        <f t="shared" si="30"/>
        <v/>
      </c>
      <c r="M1109" s="25"/>
      <c r="O1109" s="25"/>
    </row>
    <row r="1110" ht="15.75" customHeight="1">
      <c r="A1110" s="25" t="str">
        <f>IFERROR(__xludf.DUMMYFUNCTION("IF(B1110="""","""",RIGHT(REGEXREPLACE(B1110&amp;"""",""[^0-9]"",""""),9))"),"754105620")</f>
        <v>754105620</v>
      </c>
      <c r="B1110" s="26">
        <v>7.5410562E8</v>
      </c>
      <c r="C1110" s="28" t="s">
        <v>1332</v>
      </c>
      <c r="D1110" s="26" t="s">
        <v>37</v>
      </c>
      <c r="E1110" s="31">
        <v>46227.0</v>
      </c>
      <c r="F1110" s="26" t="s">
        <v>205</v>
      </c>
      <c r="I1110" s="26" t="s">
        <v>42</v>
      </c>
      <c r="J1110" s="25" t="str">
        <f t="shared" si="28"/>
        <v>No</v>
      </c>
      <c r="K1110" s="25" t="str">
        <f t="shared" si="29"/>
        <v/>
      </c>
      <c r="L1110" s="25" t="str">
        <f t="shared" si="30"/>
        <v/>
      </c>
      <c r="M1110" s="25"/>
      <c r="O1110" s="25"/>
    </row>
    <row r="1111" ht="15.75" customHeight="1">
      <c r="A1111" s="25" t="str">
        <f>IFERROR(__xludf.DUMMYFUNCTION("IF(B1111="""","""",RIGHT(REGEXREPLACE(B1111&amp;"""",""[^0-9]"",""""),9))"),"773487726")</f>
        <v>773487726</v>
      </c>
      <c r="B1111" s="52">
        <v>7.73487726E8</v>
      </c>
      <c r="C1111" s="28" t="s">
        <v>1333</v>
      </c>
      <c r="D1111" s="26" t="s">
        <v>45</v>
      </c>
      <c r="E1111" s="31">
        <v>46227.0</v>
      </c>
      <c r="F1111" s="26" t="s">
        <v>46</v>
      </c>
      <c r="G1111" s="26">
        <v>11.0</v>
      </c>
      <c r="I1111" s="26" t="s">
        <v>42</v>
      </c>
      <c r="J1111" s="25" t="str">
        <f t="shared" si="28"/>
        <v>No</v>
      </c>
      <c r="K1111" s="25" t="str">
        <f t="shared" si="29"/>
        <v/>
      </c>
      <c r="L1111" s="25" t="str">
        <f t="shared" si="30"/>
        <v/>
      </c>
      <c r="M1111" s="25"/>
      <c r="O1111" s="25"/>
    </row>
    <row r="1112" ht="15.75" customHeight="1">
      <c r="A1112" s="25" t="str">
        <f>IFERROR(__xludf.DUMMYFUNCTION("IF(B1112="""","""",RIGHT(REGEXREPLACE(B1112&amp;"""",""[^0-9]"",""""),9))"),"703873253")</f>
        <v>703873253</v>
      </c>
      <c r="B1112" s="26">
        <v>7.03873253E8</v>
      </c>
      <c r="C1112" s="28" t="s">
        <v>1334</v>
      </c>
      <c r="D1112" s="26" t="s">
        <v>37</v>
      </c>
      <c r="E1112" s="31">
        <v>46227.0</v>
      </c>
      <c r="F1112" s="26" t="s">
        <v>205</v>
      </c>
      <c r="I1112" s="26" t="s">
        <v>42</v>
      </c>
      <c r="J1112" s="25" t="str">
        <f t="shared" si="28"/>
        <v>No</v>
      </c>
      <c r="K1112" s="25" t="str">
        <f t="shared" si="29"/>
        <v/>
      </c>
      <c r="L1112" s="25" t="str">
        <f t="shared" si="30"/>
        <v/>
      </c>
      <c r="M1112" s="25"/>
      <c r="O1112" s="25"/>
    </row>
    <row r="1113" ht="15.75" customHeight="1">
      <c r="A1113" s="25" t="str">
        <f>IFERROR(__xludf.DUMMYFUNCTION("IF(B1113="""","""",RIGHT(REGEXREPLACE(B1113&amp;"""",""[^0-9]"",""""),9))"),"703102509")</f>
        <v>703102509</v>
      </c>
      <c r="B1113" s="52">
        <v>7.03102509E8</v>
      </c>
      <c r="C1113" s="28" t="s">
        <v>1335</v>
      </c>
      <c r="D1113" s="26" t="s">
        <v>49</v>
      </c>
      <c r="E1113" s="31">
        <v>46227.0</v>
      </c>
      <c r="F1113" s="26" t="s">
        <v>41</v>
      </c>
      <c r="G1113" s="26">
        <v>11.0</v>
      </c>
      <c r="I1113" s="26" t="s">
        <v>42</v>
      </c>
      <c r="J1113" s="25" t="str">
        <f t="shared" si="28"/>
        <v>No</v>
      </c>
      <c r="K1113" s="25" t="str">
        <f t="shared" si="29"/>
        <v/>
      </c>
      <c r="L1113" s="25" t="str">
        <f t="shared" si="30"/>
        <v/>
      </c>
      <c r="M1113" s="25"/>
      <c r="O1113" s="25"/>
    </row>
    <row r="1114" ht="15.75" customHeight="1">
      <c r="A1114" s="25" t="str">
        <f>IFERROR(__xludf.DUMMYFUNCTION("IF(B1114="""","""",RIGHT(REGEXREPLACE(B1114&amp;"""",""[^0-9]"",""""),9))"),"719236429")</f>
        <v>719236429</v>
      </c>
      <c r="B1114" s="26">
        <v>7.19236429E8</v>
      </c>
      <c r="C1114" s="28" t="s">
        <v>1336</v>
      </c>
      <c r="D1114" s="26" t="s">
        <v>37</v>
      </c>
      <c r="E1114" s="31">
        <v>46227.0</v>
      </c>
      <c r="F1114" s="26" t="s">
        <v>41</v>
      </c>
      <c r="I1114" s="26" t="s">
        <v>42</v>
      </c>
      <c r="J1114" s="25" t="str">
        <f t="shared" si="28"/>
        <v>No</v>
      </c>
      <c r="K1114" s="25" t="str">
        <f t="shared" si="29"/>
        <v/>
      </c>
      <c r="L1114" s="25" t="str">
        <f t="shared" si="30"/>
        <v/>
      </c>
      <c r="M1114" s="25"/>
      <c r="O1114" s="25"/>
    </row>
    <row r="1115" ht="15.75" customHeight="1">
      <c r="A1115" s="25" t="str">
        <f>IFERROR(__xludf.DUMMYFUNCTION("IF(B1115="""","""",RIGHT(REGEXREPLACE(B1115&amp;"""",""[^0-9]"",""""),9))"),"760785003")</f>
        <v>760785003</v>
      </c>
      <c r="B1115" s="52">
        <v>7.60785003E8</v>
      </c>
      <c r="C1115" s="28" t="s">
        <v>1337</v>
      </c>
      <c r="D1115" s="26" t="s">
        <v>56</v>
      </c>
      <c r="E1115" s="31">
        <v>46227.0</v>
      </c>
      <c r="F1115" s="26" t="s">
        <v>41</v>
      </c>
      <c r="G1115" s="26">
        <v>11.0</v>
      </c>
      <c r="I1115" s="26" t="s">
        <v>42</v>
      </c>
      <c r="J1115" s="25" t="str">
        <f t="shared" si="28"/>
        <v>No</v>
      </c>
      <c r="K1115" s="25" t="str">
        <f t="shared" si="29"/>
        <v/>
      </c>
      <c r="L1115" s="25" t="str">
        <f t="shared" si="30"/>
        <v/>
      </c>
      <c r="M1115" s="25"/>
      <c r="O1115" s="25"/>
    </row>
    <row r="1116" ht="15.75" customHeight="1">
      <c r="A1116" s="25" t="str">
        <f>IFERROR(__xludf.DUMMYFUNCTION("IF(B1116="""","""",RIGHT(REGEXREPLACE(B1116&amp;"""",""[^0-9]"",""""),9))"),"769354283")</f>
        <v>769354283</v>
      </c>
      <c r="B1116" s="52">
        <v>7.69354283E8</v>
      </c>
      <c r="C1116" s="28" t="s">
        <v>1338</v>
      </c>
      <c r="D1116" s="26" t="s">
        <v>82</v>
      </c>
      <c r="E1116" s="31">
        <v>46227.0</v>
      </c>
      <c r="F1116" s="26" t="s">
        <v>125</v>
      </c>
      <c r="G1116" s="26">
        <v>11.0</v>
      </c>
      <c r="I1116" s="26" t="s">
        <v>42</v>
      </c>
      <c r="J1116" s="25" t="str">
        <f t="shared" si="28"/>
        <v>No</v>
      </c>
      <c r="K1116" s="25" t="str">
        <f t="shared" si="29"/>
        <v/>
      </c>
      <c r="L1116" s="25" t="str">
        <f t="shared" si="30"/>
        <v/>
      </c>
      <c r="M1116" s="25"/>
      <c r="O1116" s="25"/>
    </row>
    <row r="1117" ht="15.75" customHeight="1">
      <c r="A1117" s="25" t="str">
        <f>IFERROR(__xludf.DUMMYFUNCTION("IF(B1117="""","""",RIGHT(REGEXREPLACE(B1117&amp;"""",""[^0-9]"",""""),9))"),"767587553")</f>
        <v>767587553</v>
      </c>
      <c r="B1117" s="52">
        <v>7.67587553E8</v>
      </c>
      <c r="C1117" s="28" t="s">
        <v>1339</v>
      </c>
      <c r="D1117" s="26" t="s">
        <v>45</v>
      </c>
      <c r="E1117" s="31">
        <v>46227.0</v>
      </c>
      <c r="F1117" s="26" t="s">
        <v>84</v>
      </c>
      <c r="I1117" s="26" t="s">
        <v>42</v>
      </c>
      <c r="J1117" s="25" t="str">
        <f t="shared" si="28"/>
        <v>No</v>
      </c>
      <c r="K1117" s="25" t="str">
        <f t="shared" si="29"/>
        <v/>
      </c>
      <c r="L1117" s="25" t="str">
        <f t="shared" si="30"/>
        <v/>
      </c>
      <c r="M1117" s="25"/>
      <c r="O1117" s="25"/>
    </row>
    <row r="1118" ht="15.75" customHeight="1">
      <c r="A1118" s="25" t="str">
        <f>IFERROR(__xludf.DUMMYFUNCTION("IF(B1118="""","""",RIGHT(REGEXREPLACE(B1118&amp;"""",""[^0-9]"",""""),9))"),"718358292")</f>
        <v>718358292</v>
      </c>
      <c r="B1118" s="26">
        <v>7.18358292E8</v>
      </c>
      <c r="C1118" s="28" t="s">
        <v>1340</v>
      </c>
      <c r="D1118" s="26" t="s">
        <v>37</v>
      </c>
      <c r="E1118" s="31">
        <v>46227.0</v>
      </c>
      <c r="F1118" s="26" t="s">
        <v>46</v>
      </c>
      <c r="G1118" s="26">
        <v>11.0</v>
      </c>
      <c r="I1118" s="26" t="s">
        <v>42</v>
      </c>
      <c r="J1118" s="25" t="str">
        <f t="shared" si="28"/>
        <v>No</v>
      </c>
      <c r="K1118" s="25" t="str">
        <f t="shared" si="29"/>
        <v/>
      </c>
      <c r="L1118" s="25" t="str">
        <f t="shared" si="30"/>
        <v/>
      </c>
      <c r="M1118" s="25"/>
      <c r="O1118" s="25"/>
    </row>
    <row r="1119" ht="15.75" customHeight="1">
      <c r="A1119" s="25" t="str">
        <f>IFERROR(__xludf.DUMMYFUNCTION("IF(B1119="""","""",RIGHT(REGEXREPLACE(B1119&amp;"""",""[^0-9]"",""""),9))"),"768249157")</f>
        <v>768249157</v>
      </c>
      <c r="B1119" s="52">
        <v>7.68249157E8</v>
      </c>
      <c r="C1119" s="28" t="s">
        <v>1341</v>
      </c>
      <c r="D1119" s="26" t="s">
        <v>49</v>
      </c>
      <c r="E1119" s="31">
        <v>46227.0</v>
      </c>
      <c r="F1119" s="26" t="s">
        <v>46</v>
      </c>
      <c r="G1119" s="26">
        <v>11.0</v>
      </c>
      <c r="I1119" s="26" t="s">
        <v>42</v>
      </c>
      <c r="J1119" s="25" t="str">
        <f t="shared" si="28"/>
        <v>No</v>
      </c>
      <c r="K1119" s="25" t="str">
        <f t="shared" si="29"/>
        <v/>
      </c>
      <c r="L1119" s="25" t="str">
        <f t="shared" si="30"/>
        <v/>
      </c>
      <c r="M1119" s="25"/>
      <c r="O1119" s="25"/>
    </row>
    <row r="1120" ht="15.75" customHeight="1">
      <c r="A1120" s="25" t="str">
        <f>IFERROR(__xludf.DUMMYFUNCTION("IF(B1120="""","""",RIGHT(REGEXREPLACE(B1120&amp;"""",""[^0-9]"",""""),9))"),"706627673")</f>
        <v>706627673</v>
      </c>
      <c r="B1120" s="52">
        <v>7.06627673E8</v>
      </c>
      <c r="C1120" s="28" t="s">
        <v>1342</v>
      </c>
      <c r="D1120" s="26" t="s">
        <v>56</v>
      </c>
      <c r="E1120" s="31">
        <v>46227.0</v>
      </c>
      <c r="F1120" s="26" t="s">
        <v>167</v>
      </c>
      <c r="G1120" s="26">
        <v>11.0</v>
      </c>
      <c r="I1120" s="26" t="s">
        <v>42</v>
      </c>
      <c r="J1120" s="25" t="str">
        <f t="shared" si="28"/>
        <v>No</v>
      </c>
      <c r="K1120" s="25" t="str">
        <f t="shared" si="29"/>
        <v/>
      </c>
      <c r="L1120" s="25" t="str">
        <f t="shared" si="30"/>
        <v/>
      </c>
      <c r="M1120" s="25"/>
      <c r="O1120" s="25"/>
    </row>
    <row r="1121" ht="15.75" customHeight="1">
      <c r="A1121" s="25" t="str">
        <f>IFERROR(__xludf.DUMMYFUNCTION("IF(B1121="""","""",RIGHT(REGEXREPLACE(B1121&amp;"""",""[^0-9]"",""""),9))"),"740874318")</f>
        <v>740874318</v>
      </c>
      <c r="B1121" s="26">
        <v>7.40874318E8</v>
      </c>
      <c r="C1121" s="28" t="s">
        <v>1343</v>
      </c>
      <c r="D1121" s="26" t="s">
        <v>37</v>
      </c>
      <c r="E1121" s="31">
        <v>46227.0</v>
      </c>
      <c r="F1121" s="26" t="s">
        <v>46</v>
      </c>
      <c r="G1121" s="26">
        <v>11.0</v>
      </c>
      <c r="I1121" s="26" t="s">
        <v>42</v>
      </c>
      <c r="J1121" s="25" t="str">
        <f t="shared" si="28"/>
        <v>No</v>
      </c>
      <c r="K1121" s="25" t="str">
        <f t="shared" si="29"/>
        <v/>
      </c>
      <c r="L1121" s="25" t="str">
        <f t="shared" si="30"/>
        <v/>
      </c>
      <c r="M1121" s="25"/>
      <c r="O1121" s="25"/>
    </row>
    <row r="1122" ht="15.75" customHeight="1">
      <c r="A1122" s="25" t="str">
        <f>IFERROR(__xludf.DUMMYFUNCTION("IF(B1122="""","""",RIGHT(REGEXREPLACE(B1122&amp;"""",""[^0-9]"",""""),9))"),"772633563")</f>
        <v>772633563</v>
      </c>
      <c r="B1122" s="26">
        <v>7.72633563E8</v>
      </c>
      <c r="C1122" s="28" t="s">
        <v>1344</v>
      </c>
      <c r="D1122" s="26" t="s">
        <v>37</v>
      </c>
      <c r="E1122" s="31">
        <v>46227.0</v>
      </c>
      <c r="F1122" s="26" t="s">
        <v>46</v>
      </c>
      <c r="G1122" s="26">
        <v>11.0</v>
      </c>
      <c r="H1122" s="26" t="s">
        <v>1345</v>
      </c>
      <c r="I1122" s="26" t="s">
        <v>42</v>
      </c>
      <c r="J1122" s="25" t="str">
        <f t="shared" si="28"/>
        <v>No</v>
      </c>
      <c r="K1122" s="25" t="str">
        <f t="shared" si="29"/>
        <v/>
      </c>
      <c r="L1122" s="25" t="str">
        <f t="shared" si="30"/>
        <v/>
      </c>
      <c r="M1122" s="25"/>
      <c r="O1122" s="25"/>
    </row>
    <row r="1123" ht="15.75" customHeight="1">
      <c r="A1123" s="25" t="str">
        <f>IFERROR(__xludf.DUMMYFUNCTION("IF(B1123="""","""",RIGHT(REGEXREPLACE(B1123&amp;"""",""[^0-9]"",""""),9))"),"772992069")</f>
        <v>772992069</v>
      </c>
      <c r="B1123" s="52">
        <v>7.72992069E8</v>
      </c>
      <c r="C1123" s="28" t="s">
        <v>1346</v>
      </c>
      <c r="D1123" s="26" t="s">
        <v>82</v>
      </c>
      <c r="E1123" s="31">
        <v>46227.0</v>
      </c>
      <c r="F1123" s="26" t="s">
        <v>41</v>
      </c>
      <c r="G1123" s="26">
        <v>11.0</v>
      </c>
      <c r="I1123" s="26" t="s">
        <v>42</v>
      </c>
      <c r="J1123" s="25" t="str">
        <f t="shared" si="28"/>
        <v>No</v>
      </c>
      <c r="K1123" s="25" t="str">
        <f t="shared" si="29"/>
        <v/>
      </c>
      <c r="L1123" s="25" t="str">
        <f t="shared" si="30"/>
        <v/>
      </c>
      <c r="M1123" s="25"/>
      <c r="O1123" s="25"/>
    </row>
    <row r="1124" ht="15.75" customHeight="1">
      <c r="A1124" s="25" t="str">
        <f>IFERROR(__xludf.DUMMYFUNCTION("IF(B1124="""","""",RIGHT(REGEXREPLACE(B1124&amp;"""",""[^0-9]"",""""),9))"),"725919391")</f>
        <v>725919391</v>
      </c>
      <c r="B1124" s="52">
        <v>7.25919391E8</v>
      </c>
      <c r="C1124" s="28" t="s">
        <v>1347</v>
      </c>
      <c r="D1124" s="26" t="s">
        <v>45</v>
      </c>
      <c r="E1124" s="31">
        <v>46227.0</v>
      </c>
      <c r="F1124" s="26" t="s">
        <v>46</v>
      </c>
      <c r="G1124" s="26">
        <v>8.0</v>
      </c>
      <c r="I1124" s="26" t="s">
        <v>42</v>
      </c>
      <c r="J1124" s="25" t="str">
        <f t="shared" si="28"/>
        <v>No</v>
      </c>
      <c r="K1124" s="25" t="str">
        <f t="shared" si="29"/>
        <v/>
      </c>
      <c r="L1124" s="25" t="str">
        <f t="shared" si="30"/>
        <v/>
      </c>
      <c r="M1124" s="25"/>
      <c r="O1124" s="25"/>
    </row>
    <row r="1125" ht="15.75" customHeight="1">
      <c r="A1125" s="25" t="str">
        <f>IFERROR(__xludf.DUMMYFUNCTION("IF(B1125="""","""",RIGHT(REGEXREPLACE(B1125&amp;"""",""[^0-9]"",""""),9))"),"715253654")</f>
        <v>715253654</v>
      </c>
      <c r="B1125" s="52">
        <v>7.15253654E8</v>
      </c>
      <c r="C1125" s="28" t="s">
        <v>1348</v>
      </c>
      <c r="D1125" s="26" t="s">
        <v>49</v>
      </c>
      <c r="E1125" s="31">
        <v>46227.0</v>
      </c>
      <c r="F1125" s="26" t="s">
        <v>46</v>
      </c>
      <c r="I1125" s="26" t="s">
        <v>42</v>
      </c>
      <c r="J1125" s="25" t="str">
        <f t="shared" si="28"/>
        <v>No</v>
      </c>
      <c r="K1125" s="25" t="str">
        <f t="shared" si="29"/>
        <v/>
      </c>
      <c r="L1125" s="25" t="str">
        <f t="shared" si="30"/>
        <v/>
      </c>
      <c r="M1125" s="25"/>
      <c r="O1125" s="25"/>
    </row>
    <row r="1126" ht="15.75" customHeight="1">
      <c r="A1126" s="25" t="str">
        <f>IFERROR(__xludf.DUMMYFUNCTION("IF(B1126="""","""",RIGHT(REGEXREPLACE(B1126&amp;"""",""[^0-9]"",""""),9))"),"713442915")</f>
        <v>713442915</v>
      </c>
      <c r="B1126" s="26">
        <v>7.13442915E8</v>
      </c>
      <c r="C1126" s="28" t="s">
        <v>1349</v>
      </c>
      <c r="D1126" s="26" t="s">
        <v>37</v>
      </c>
      <c r="E1126" s="31">
        <v>46227.0</v>
      </c>
      <c r="F1126" s="26" t="s">
        <v>46</v>
      </c>
      <c r="G1126" s="26">
        <v>11.0</v>
      </c>
      <c r="H1126" s="26" t="s">
        <v>253</v>
      </c>
      <c r="I1126" s="26" t="s">
        <v>42</v>
      </c>
      <c r="J1126" s="25" t="str">
        <f t="shared" si="28"/>
        <v>No</v>
      </c>
      <c r="K1126" s="25" t="str">
        <f t="shared" si="29"/>
        <v/>
      </c>
      <c r="L1126" s="25" t="str">
        <f t="shared" si="30"/>
        <v/>
      </c>
      <c r="M1126" s="25"/>
      <c r="O1126" s="25"/>
    </row>
    <row r="1127" ht="15.75" customHeight="1">
      <c r="A1127" s="25" t="str">
        <f>IFERROR(__xludf.DUMMYFUNCTION("IF(B1127="""","""",RIGHT(REGEXREPLACE(B1127&amp;"""",""[^0-9]"",""""),9))"),"713738928")</f>
        <v>713738928</v>
      </c>
      <c r="B1127" s="52">
        <v>7.13738928E8</v>
      </c>
      <c r="C1127" s="28" t="s">
        <v>1350</v>
      </c>
      <c r="D1127" s="26" t="s">
        <v>56</v>
      </c>
      <c r="E1127" s="31">
        <v>46227.0</v>
      </c>
      <c r="F1127" s="26" t="s">
        <v>46</v>
      </c>
      <c r="G1127" s="26">
        <v>11.0</v>
      </c>
      <c r="I1127" s="26" t="s">
        <v>42</v>
      </c>
      <c r="J1127" s="25" t="str">
        <f t="shared" si="28"/>
        <v>No</v>
      </c>
      <c r="K1127" s="25" t="str">
        <f t="shared" si="29"/>
        <v/>
      </c>
      <c r="L1127" s="25" t="str">
        <f t="shared" si="30"/>
        <v/>
      </c>
      <c r="M1127" s="25"/>
      <c r="O1127" s="25"/>
    </row>
    <row r="1128" ht="15.75" customHeight="1">
      <c r="A1128" s="25" t="str">
        <f>IFERROR(__xludf.DUMMYFUNCTION("IF(B1128="""","""",RIGHT(REGEXREPLACE(B1128&amp;"""",""[^0-9]"",""""),9))"),"776467898")</f>
        <v>776467898</v>
      </c>
      <c r="B1128" s="26">
        <v>7.76467898E8</v>
      </c>
      <c r="C1128" s="28" t="s">
        <v>1351</v>
      </c>
      <c r="D1128" s="26" t="s">
        <v>37</v>
      </c>
      <c r="E1128" s="31">
        <v>46227.0</v>
      </c>
      <c r="F1128" s="26" t="s">
        <v>46</v>
      </c>
      <c r="G1128" s="26">
        <v>10.0</v>
      </c>
      <c r="H1128" s="26" t="s">
        <v>1352</v>
      </c>
      <c r="I1128" s="26" t="s">
        <v>42</v>
      </c>
      <c r="J1128" s="25" t="str">
        <f t="shared" si="28"/>
        <v>No</v>
      </c>
      <c r="K1128" s="25" t="str">
        <f t="shared" si="29"/>
        <v/>
      </c>
      <c r="L1128" s="25" t="str">
        <f t="shared" si="30"/>
        <v/>
      </c>
      <c r="M1128" s="25"/>
      <c r="O1128" s="25"/>
    </row>
    <row r="1129" ht="15.75" customHeight="1">
      <c r="A1129" s="25" t="str">
        <f>IFERROR(__xludf.DUMMYFUNCTION("IF(B1129="""","""",RIGHT(REGEXREPLACE(B1129&amp;"""",""[^0-9]"",""""),9))"),"766858984")</f>
        <v>766858984</v>
      </c>
      <c r="B1129" s="52">
        <v>7.66858984E8</v>
      </c>
      <c r="C1129" s="28" t="s">
        <v>1353</v>
      </c>
      <c r="D1129" s="26" t="s">
        <v>82</v>
      </c>
      <c r="E1129" s="31">
        <v>46227.0</v>
      </c>
      <c r="F1129" s="26" t="s">
        <v>41</v>
      </c>
      <c r="I1129" s="26" t="s">
        <v>42</v>
      </c>
      <c r="J1129" s="25" t="str">
        <f t="shared" si="28"/>
        <v>No</v>
      </c>
      <c r="K1129" s="25" t="str">
        <f t="shared" si="29"/>
        <v/>
      </c>
      <c r="L1129" s="25" t="str">
        <f t="shared" si="30"/>
        <v/>
      </c>
      <c r="M1129" s="25"/>
      <c r="O1129" s="25"/>
    </row>
    <row r="1130" ht="15.75" customHeight="1">
      <c r="A1130" s="25" t="str">
        <f>IFERROR(__xludf.DUMMYFUNCTION("IF(B1130="""","""",RIGHT(REGEXREPLACE(B1130&amp;"""",""[^0-9]"",""""),9))"),"775386169")</f>
        <v>775386169</v>
      </c>
      <c r="B1130" s="52">
        <v>7.75386169E8</v>
      </c>
      <c r="C1130" s="28" t="s">
        <v>1354</v>
      </c>
      <c r="D1130" s="26" t="s">
        <v>49</v>
      </c>
      <c r="E1130" s="31">
        <v>46227.0</v>
      </c>
      <c r="F1130" s="26" t="s">
        <v>46</v>
      </c>
      <c r="G1130" s="26">
        <v>11.0</v>
      </c>
      <c r="I1130" s="26" t="s">
        <v>42</v>
      </c>
      <c r="J1130" s="25" t="str">
        <f t="shared" si="28"/>
        <v>No</v>
      </c>
      <c r="K1130" s="25" t="str">
        <f t="shared" si="29"/>
        <v/>
      </c>
      <c r="L1130" s="25" t="str">
        <f t="shared" si="30"/>
        <v/>
      </c>
      <c r="M1130" s="25"/>
      <c r="O1130" s="25"/>
    </row>
    <row r="1131" ht="15.75" customHeight="1">
      <c r="A1131" s="25" t="str">
        <f>IFERROR(__xludf.DUMMYFUNCTION("IF(B1131="""","""",RIGHT(REGEXREPLACE(B1131&amp;"""",""[^0-9]"",""""),9))"),"787237367")</f>
        <v>787237367</v>
      </c>
      <c r="B1131" s="26">
        <v>7.87237367E8</v>
      </c>
      <c r="C1131" s="28" t="s">
        <v>1355</v>
      </c>
      <c r="D1131" s="26" t="s">
        <v>37</v>
      </c>
      <c r="E1131" s="31">
        <v>46227.0</v>
      </c>
      <c r="F1131" s="26" t="s">
        <v>41</v>
      </c>
      <c r="H1131" s="26" t="s">
        <v>1356</v>
      </c>
      <c r="I1131" s="26" t="s">
        <v>42</v>
      </c>
      <c r="J1131" s="25" t="str">
        <f t="shared" si="28"/>
        <v>No</v>
      </c>
      <c r="K1131" s="25" t="str">
        <f t="shared" si="29"/>
        <v/>
      </c>
      <c r="L1131" s="25" t="str">
        <f t="shared" si="30"/>
        <v/>
      </c>
      <c r="M1131" s="25"/>
      <c r="O1131" s="25"/>
    </row>
    <row r="1132" ht="15.75" customHeight="1">
      <c r="A1132" s="25" t="str">
        <f>IFERROR(__xludf.DUMMYFUNCTION("IF(B1132="""","""",RIGHT(REGEXREPLACE(B1132&amp;"""",""[^0-9]"",""""),9))"),"770760606")</f>
        <v>770760606</v>
      </c>
      <c r="B1132" s="52">
        <v>7.70760606E8</v>
      </c>
      <c r="C1132" s="28" t="s">
        <v>1357</v>
      </c>
      <c r="D1132" s="26" t="s">
        <v>45</v>
      </c>
      <c r="E1132" s="31">
        <v>46227.0</v>
      </c>
      <c r="F1132" s="26" t="s">
        <v>41</v>
      </c>
      <c r="I1132" s="26" t="s">
        <v>42</v>
      </c>
      <c r="J1132" s="25" t="str">
        <f t="shared" si="28"/>
        <v>No</v>
      </c>
      <c r="K1132" s="25" t="str">
        <f t="shared" si="29"/>
        <v/>
      </c>
      <c r="L1132" s="25" t="str">
        <f t="shared" si="30"/>
        <v/>
      </c>
      <c r="M1132" s="25"/>
      <c r="O1132" s="25"/>
    </row>
    <row r="1133" ht="15.75" customHeight="1">
      <c r="A1133" s="25" t="str">
        <f>IFERROR(__xludf.DUMMYFUNCTION("IF(B1133="""","""",RIGHT(REGEXREPLACE(B1133&amp;"""",""[^0-9]"",""""),9))"),"729558230")</f>
        <v>729558230</v>
      </c>
      <c r="B1133" s="52">
        <v>7.2955823E8</v>
      </c>
      <c r="C1133" s="28" t="s">
        <v>1358</v>
      </c>
      <c r="D1133" s="26" t="s">
        <v>56</v>
      </c>
      <c r="E1133" s="31">
        <v>46227.0</v>
      </c>
      <c r="F1133" s="26" t="s">
        <v>41</v>
      </c>
      <c r="G1133" s="26">
        <v>11.0</v>
      </c>
      <c r="I1133" s="26" t="s">
        <v>42</v>
      </c>
      <c r="J1133" s="25" t="str">
        <f t="shared" si="28"/>
        <v>No</v>
      </c>
      <c r="K1133" s="25" t="str">
        <f t="shared" si="29"/>
        <v/>
      </c>
      <c r="L1133" s="25" t="str">
        <f t="shared" si="30"/>
        <v/>
      </c>
      <c r="M1133" s="25"/>
      <c r="O1133" s="25"/>
    </row>
    <row r="1134" ht="15.75" customHeight="1">
      <c r="A1134" s="25" t="str">
        <f>IFERROR(__xludf.DUMMYFUNCTION("IF(B1134="""","""",RIGHT(REGEXREPLACE(B1134&amp;"""",""[^0-9]"",""""),9))"),"765417150")</f>
        <v>765417150</v>
      </c>
      <c r="B1134" s="26">
        <v>7.6541715E8</v>
      </c>
      <c r="C1134" s="28" t="s">
        <v>1359</v>
      </c>
      <c r="D1134" s="26" t="s">
        <v>37</v>
      </c>
      <c r="E1134" s="31">
        <v>46227.0</v>
      </c>
      <c r="F1134" s="26" t="s">
        <v>704</v>
      </c>
      <c r="H1134" s="26" t="s">
        <v>1360</v>
      </c>
      <c r="I1134" s="26" t="s">
        <v>42</v>
      </c>
      <c r="J1134" s="25" t="str">
        <f t="shared" si="28"/>
        <v>No</v>
      </c>
      <c r="K1134" s="25" t="str">
        <f t="shared" si="29"/>
        <v/>
      </c>
      <c r="L1134" s="25" t="str">
        <f t="shared" si="30"/>
        <v/>
      </c>
      <c r="M1134" s="25"/>
      <c r="O1134" s="25"/>
    </row>
    <row r="1135" ht="15.75" customHeight="1">
      <c r="A1135" s="25" t="str">
        <f>IFERROR(__xludf.DUMMYFUNCTION("IF(B1135="""","""",RIGHT(REGEXREPLACE(B1135&amp;"""",""[^0-9]"",""""),9))"),"779926539")</f>
        <v>779926539</v>
      </c>
      <c r="B1135" s="52">
        <v>7.79926539E8</v>
      </c>
      <c r="C1135" s="28" t="s">
        <v>1361</v>
      </c>
      <c r="D1135" s="26" t="s">
        <v>45</v>
      </c>
      <c r="E1135" s="31">
        <v>46227.0</v>
      </c>
      <c r="F1135" s="26" t="s">
        <v>205</v>
      </c>
      <c r="G1135" s="26">
        <v>10.0</v>
      </c>
      <c r="I1135" s="26" t="s">
        <v>42</v>
      </c>
      <c r="J1135" s="25" t="str">
        <f t="shared" si="28"/>
        <v>No</v>
      </c>
      <c r="K1135" s="25" t="str">
        <f t="shared" si="29"/>
        <v/>
      </c>
      <c r="L1135" s="25" t="str">
        <f t="shared" si="30"/>
        <v/>
      </c>
      <c r="M1135" s="25"/>
      <c r="O1135" s="25"/>
    </row>
    <row r="1136" ht="15.75" customHeight="1">
      <c r="A1136" s="25" t="str">
        <f>IFERROR(__xludf.DUMMYFUNCTION("IF(B1136="""","""",RIGHT(REGEXREPLACE(B1136&amp;"""",""[^0-9]"",""""),9))"),"766496588")</f>
        <v>766496588</v>
      </c>
      <c r="B1136" s="52">
        <v>7.66496588E8</v>
      </c>
      <c r="C1136" s="28" t="s">
        <v>1362</v>
      </c>
      <c r="D1136" s="26" t="s">
        <v>49</v>
      </c>
      <c r="E1136" s="31">
        <v>46227.0</v>
      </c>
      <c r="F1136" s="26" t="s">
        <v>46</v>
      </c>
      <c r="G1136" s="26">
        <v>11.0</v>
      </c>
      <c r="H1136" s="26" t="s">
        <v>253</v>
      </c>
      <c r="I1136" s="26" t="s">
        <v>42</v>
      </c>
      <c r="J1136" s="25" t="str">
        <f t="shared" si="28"/>
        <v>No</v>
      </c>
      <c r="K1136" s="25" t="str">
        <f t="shared" si="29"/>
        <v/>
      </c>
      <c r="L1136" s="25" t="str">
        <f t="shared" si="30"/>
        <v/>
      </c>
      <c r="M1136" s="25"/>
      <c r="O1136" s="25"/>
    </row>
    <row r="1137" ht="15.75" customHeight="1">
      <c r="A1137" s="25" t="str">
        <f>IFERROR(__xludf.DUMMYFUNCTION("IF(B1137="""","""",RIGHT(REGEXREPLACE(B1137&amp;"""",""[^0-9]"",""""),9))"),"784927931")</f>
        <v>784927931</v>
      </c>
      <c r="B1137" s="26">
        <v>7.84927931E8</v>
      </c>
      <c r="C1137" s="28" t="s">
        <v>1363</v>
      </c>
      <c r="D1137" s="26" t="s">
        <v>37</v>
      </c>
      <c r="E1137" s="31">
        <v>46227.0</v>
      </c>
      <c r="F1137" s="26" t="s">
        <v>41</v>
      </c>
      <c r="G1137" s="26">
        <v>9.0</v>
      </c>
      <c r="I1137" s="26" t="s">
        <v>42</v>
      </c>
      <c r="J1137" s="25" t="str">
        <f t="shared" si="28"/>
        <v>No</v>
      </c>
      <c r="K1137" s="25" t="str">
        <f t="shared" si="29"/>
        <v/>
      </c>
      <c r="L1137" s="25" t="str">
        <f t="shared" si="30"/>
        <v/>
      </c>
      <c r="M1137" s="25"/>
      <c r="O1137" s="25"/>
    </row>
    <row r="1138" ht="15.75" customHeight="1">
      <c r="A1138" s="25" t="str">
        <f>IFERROR(__xludf.DUMMYFUNCTION("IF(B1138="""","""",RIGHT(REGEXREPLACE(B1138&amp;"""",""[^0-9]"",""""),9))"),"741361640")</f>
        <v>741361640</v>
      </c>
      <c r="B1138" s="52">
        <v>7.4136164E8</v>
      </c>
      <c r="C1138" s="28" t="s">
        <v>1364</v>
      </c>
      <c r="D1138" s="26" t="s">
        <v>45</v>
      </c>
      <c r="E1138" s="31">
        <v>46227.0</v>
      </c>
      <c r="F1138" s="26" t="s">
        <v>41</v>
      </c>
      <c r="I1138" s="26" t="s">
        <v>42</v>
      </c>
      <c r="J1138" s="25" t="str">
        <f t="shared" si="28"/>
        <v>No</v>
      </c>
      <c r="K1138" s="25" t="str">
        <f t="shared" si="29"/>
        <v/>
      </c>
      <c r="L1138" s="25" t="str">
        <f t="shared" si="30"/>
        <v/>
      </c>
      <c r="M1138" s="25"/>
      <c r="O1138" s="25"/>
    </row>
    <row r="1139" ht="15.75" customHeight="1">
      <c r="A1139" s="25" t="str">
        <f>IFERROR(__xludf.DUMMYFUNCTION("IF(B1139="""","""",RIGHT(REGEXREPLACE(B1139&amp;"""",""[^0-9]"",""""),9))"),"716475621")</f>
        <v>716475621</v>
      </c>
      <c r="B1139" s="52">
        <v>7.16475621E8</v>
      </c>
      <c r="C1139" s="28" t="s">
        <v>1365</v>
      </c>
      <c r="D1139" s="26" t="s">
        <v>56</v>
      </c>
      <c r="E1139" s="31">
        <v>46227.0</v>
      </c>
      <c r="F1139" s="26" t="s">
        <v>46</v>
      </c>
      <c r="G1139" s="26">
        <v>11.0</v>
      </c>
      <c r="I1139" s="26" t="s">
        <v>42</v>
      </c>
      <c r="J1139" s="25" t="str">
        <f t="shared" si="28"/>
        <v>No</v>
      </c>
      <c r="K1139" s="25" t="str">
        <f t="shared" si="29"/>
        <v/>
      </c>
      <c r="L1139" s="25" t="str">
        <f t="shared" si="30"/>
        <v/>
      </c>
      <c r="M1139" s="25"/>
      <c r="O1139" s="25"/>
    </row>
    <row r="1140" ht="15.75" customHeight="1">
      <c r="A1140" s="25" t="str">
        <f>IFERROR(__xludf.DUMMYFUNCTION("IF(B1140="""","""",RIGHT(REGEXREPLACE(B1140&amp;"""",""[^0-9]"",""""),9))"),"774479138")</f>
        <v>774479138</v>
      </c>
      <c r="B1140" s="26">
        <v>7.74479138E8</v>
      </c>
      <c r="C1140" s="28" t="s">
        <v>1366</v>
      </c>
      <c r="D1140" s="26" t="s">
        <v>37</v>
      </c>
      <c r="E1140" s="31">
        <v>46227.0</v>
      </c>
      <c r="F1140" s="26" t="s">
        <v>41</v>
      </c>
      <c r="G1140" s="26">
        <v>11.0</v>
      </c>
      <c r="I1140" s="26" t="s">
        <v>42</v>
      </c>
      <c r="J1140" s="25" t="str">
        <f t="shared" si="28"/>
        <v>No</v>
      </c>
      <c r="K1140" s="25" t="str">
        <f t="shared" si="29"/>
        <v/>
      </c>
      <c r="L1140" s="25" t="str">
        <f t="shared" si="30"/>
        <v/>
      </c>
      <c r="M1140" s="25"/>
      <c r="O1140" s="25"/>
    </row>
    <row r="1141" ht="15.75" customHeight="1">
      <c r="A1141" s="25" t="str">
        <f>IFERROR(__xludf.DUMMYFUNCTION("IF(B1141="""","""",RIGHT(REGEXREPLACE(B1141&amp;"""",""[^0-9]"",""""),9))"),"776245806")</f>
        <v>776245806</v>
      </c>
      <c r="B1141" s="52">
        <v>7.76245806E8</v>
      </c>
      <c r="C1141" s="28" t="s">
        <v>1367</v>
      </c>
      <c r="D1141" s="26" t="s">
        <v>45</v>
      </c>
      <c r="E1141" s="31">
        <v>46227.0</v>
      </c>
      <c r="F1141" s="26" t="s">
        <v>41</v>
      </c>
      <c r="I1141" s="26" t="s">
        <v>42</v>
      </c>
      <c r="J1141" s="25" t="str">
        <f t="shared" si="28"/>
        <v>No</v>
      </c>
      <c r="K1141" s="25" t="str">
        <f t="shared" si="29"/>
        <v/>
      </c>
      <c r="L1141" s="25" t="str">
        <f t="shared" si="30"/>
        <v/>
      </c>
      <c r="M1141" s="25"/>
      <c r="O1141" s="25"/>
    </row>
    <row r="1142" ht="15.75" customHeight="1">
      <c r="A1142" s="25" t="str">
        <f>IFERROR(__xludf.DUMMYFUNCTION("IF(B1142="""","""",RIGHT(REGEXREPLACE(B1142&amp;"""",""[^0-9]"",""""),9))"),"701217854")</f>
        <v>701217854</v>
      </c>
      <c r="B1142" s="26">
        <v>7.01217854E8</v>
      </c>
      <c r="C1142" s="28" t="s">
        <v>1368</v>
      </c>
      <c r="D1142" s="26" t="s">
        <v>37</v>
      </c>
      <c r="E1142" s="31">
        <v>46227.0</v>
      </c>
      <c r="F1142" s="26" t="s">
        <v>46</v>
      </c>
      <c r="G1142" s="26">
        <v>6.0</v>
      </c>
      <c r="H1142" s="26" t="s">
        <v>1369</v>
      </c>
      <c r="I1142" s="26" t="s">
        <v>42</v>
      </c>
      <c r="J1142" s="25" t="str">
        <f t="shared" si="28"/>
        <v>No</v>
      </c>
      <c r="K1142" s="25" t="str">
        <f t="shared" si="29"/>
        <v/>
      </c>
      <c r="L1142" s="25" t="str">
        <f t="shared" si="30"/>
        <v/>
      </c>
      <c r="M1142" s="25"/>
      <c r="O1142" s="25"/>
    </row>
    <row r="1143" ht="15.75" customHeight="1">
      <c r="A1143" s="25" t="str">
        <f>IFERROR(__xludf.DUMMYFUNCTION("IF(B1143="""","""",RIGHT(REGEXREPLACE(B1143&amp;"""",""[^0-9]"",""""),9))"),"775295052")</f>
        <v>775295052</v>
      </c>
      <c r="B1143" s="52">
        <v>7.75295052E8</v>
      </c>
      <c r="C1143" s="28" t="s">
        <v>1370</v>
      </c>
      <c r="D1143" s="26" t="s">
        <v>45</v>
      </c>
      <c r="E1143" s="31">
        <v>46227.0</v>
      </c>
      <c r="F1143" s="26" t="s">
        <v>46</v>
      </c>
      <c r="G1143" s="26">
        <v>11.0</v>
      </c>
      <c r="I1143" s="26" t="s">
        <v>42</v>
      </c>
      <c r="J1143" s="25" t="str">
        <f t="shared" si="28"/>
        <v>No</v>
      </c>
      <c r="K1143" s="25" t="str">
        <f t="shared" si="29"/>
        <v/>
      </c>
      <c r="L1143" s="25" t="str">
        <f t="shared" si="30"/>
        <v/>
      </c>
      <c r="M1143" s="25"/>
      <c r="O1143" s="25"/>
    </row>
    <row r="1144" ht="15.75" customHeight="1">
      <c r="A1144" s="25" t="str">
        <f>IFERROR(__xludf.DUMMYFUNCTION("IF(B1144="""","""",RIGHT(REGEXREPLACE(B1144&amp;"""",""[^0-9]"",""""),9))"),"765600695")</f>
        <v>765600695</v>
      </c>
      <c r="B1144" s="52">
        <v>7.65600695E8</v>
      </c>
      <c r="C1144" s="28" t="s">
        <v>1371</v>
      </c>
      <c r="D1144" s="26" t="s">
        <v>49</v>
      </c>
      <c r="E1144" s="31">
        <v>46227.0</v>
      </c>
      <c r="F1144" s="26" t="s">
        <v>46</v>
      </c>
      <c r="G1144" s="26">
        <v>11.0</v>
      </c>
      <c r="I1144" s="26" t="s">
        <v>42</v>
      </c>
      <c r="J1144" s="25" t="str">
        <f t="shared" si="28"/>
        <v>No</v>
      </c>
      <c r="K1144" s="25" t="str">
        <f t="shared" si="29"/>
        <v/>
      </c>
      <c r="L1144" s="25" t="str">
        <f t="shared" si="30"/>
        <v/>
      </c>
      <c r="M1144" s="25"/>
      <c r="O1144" s="25"/>
    </row>
    <row r="1145" ht="15.75" customHeight="1">
      <c r="A1145" s="25" t="str">
        <f>IFERROR(__xludf.DUMMYFUNCTION("IF(B1145="""","""",RIGHT(REGEXREPLACE(B1145&amp;"""",""[^0-9]"",""""),9))"),"714181348")</f>
        <v>714181348</v>
      </c>
      <c r="B1145" s="26">
        <v>7.14181348E8</v>
      </c>
      <c r="C1145" s="28" t="s">
        <v>1372</v>
      </c>
      <c r="D1145" s="26" t="s">
        <v>37</v>
      </c>
      <c r="E1145" s="31">
        <v>46227.0</v>
      </c>
      <c r="F1145" s="26" t="s">
        <v>41</v>
      </c>
      <c r="I1145" s="26" t="s">
        <v>42</v>
      </c>
      <c r="J1145" s="25" t="str">
        <f t="shared" si="28"/>
        <v>No</v>
      </c>
      <c r="K1145" s="25" t="str">
        <f t="shared" si="29"/>
        <v/>
      </c>
      <c r="L1145" s="25" t="str">
        <f t="shared" si="30"/>
        <v/>
      </c>
      <c r="M1145" s="25"/>
      <c r="O1145" s="25"/>
    </row>
    <row r="1146" ht="15.75" customHeight="1">
      <c r="A1146" s="25" t="str">
        <f>IFERROR(__xludf.DUMMYFUNCTION("IF(B1146="""","""",RIGHT(REGEXREPLACE(B1146&amp;"""",""[^0-9]"",""""),9))"),"774479621")</f>
        <v>774479621</v>
      </c>
      <c r="B1146" s="52">
        <v>7.74479621E8</v>
      </c>
      <c r="C1146" s="28" t="s">
        <v>1373</v>
      </c>
      <c r="D1146" s="26" t="s">
        <v>56</v>
      </c>
      <c r="E1146" s="31">
        <v>46227.0</v>
      </c>
      <c r="F1146" s="26" t="s">
        <v>631</v>
      </c>
      <c r="G1146" s="26">
        <v>10.0</v>
      </c>
      <c r="I1146" s="26" t="s">
        <v>42</v>
      </c>
      <c r="J1146" s="25" t="str">
        <f t="shared" si="28"/>
        <v>No</v>
      </c>
      <c r="K1146" s="25" t="str">
        <f t="shared" si="29"/>
        <v/>
      </c>
      <c r="L1146" s="25" t="str">
        <f t="shared" si="30"/>
        <v/>
      </c>
      <c r="M1146" s="25"/>
      <c r="O1146" s="25"/>
    </row>
    <row r="1147" ht="15.75" customHeight="1">
      <c r="A1147" s="25" t="str">
        <f>IFERROR(__xludf.DUMMYFUNCTION("IF(B1147="""","""",RIGHT(REGEXREPLACE(B1147&amp;"""",""[^0-9]"",""""),9))"),"757551778")</f>
        <v>757551778</v>
      </c>
      <c r="B1147" s="26">
        <v>7.57551778E8</v>
      </c>
      <c r="C1147" s="28" t="s">
        <v>1374</v>
      </c>
      <c r="D1147" s="26" t="s">
        <v>37</v>
      </c>
      <c r="E1147" s="31">
        <v>46227.0</v>
      </c>
      <c r="F1147" s="26" t="s">
        <v>41</v>
      </c>
      <c r="G1147" s="26">
        <v>11.0</v>
      </c>
      <c r="I1147" s="26" t="s">
        <v>42</v>
      </c>
      <c r="J1147" s="25" t="str">
        <f t="shared" si="28"/>
        <v>No</v>
      </c>
      <c r="K1147" s="25" t="str">
        <f t="shared" si="29"/>
        <v/>
      </c>
      <c r="L1147" s="25" t="str">
        <f t="shared" si="30"/>
        <v/>
      </c>
      <c r="M1147" s="25"/>
      <c r="O1147" s="25"/>
    </row>
    <row r="1148" ht="15.75" customHeight="1">
      <c r="A1148" s="25" t="str">
        <f>IFERROR(__xludf.DUMMYFUNCTION("IF(B1148="""","""",RIGHT(REGEXREPLACE(B1148&amp;"""",""[^0-9]"",""""),9))"),"714445820")</f>
        <v>714445820</v>
      </c>
      <c r="B1148" s="52">
        <v>7.1444582E8</v>
      </c>
      <c r="C1148" s="28" t="s">
        <v>1375</v>
      </c>
      <c r="D1148" s="26" t="s">
        <v>45</v>
      </c>
      <c r="E1148" s="31">
        <v>46227.0</v>
      </c>
      <c r="F1148" s="26" t="s">
        <v>46</v>
      </c>
      <c r="G1148" s="26">
        <v>11.0</v>
      </c>
      <c r="I1148" s="26" t="s">
        <v>42</v>
      </c>
      <c r="J1148" s="25" t="str">
        <f t="shared" si="28"/>
        <v>No</v>
      </c>
      <c r="K1148" s="25" t="str">
        <f t="shared" si="29"/>
        <v/>
      </c>
      <c r="L1148" s="25" t="str">
        <f t="shared" si="30"/>
        <v/>
      </c>
      <c r="M1148" s="25"/>
      <c r="O1148" s="25"/>
    </row>
    <row r="1149" ht="15.75" customHeight="1">
      <c r="A1149" s="25" t="str">
        <f>IFERROR(__xludf.DUMMYFUNCTION("IF(B1149="""","""",RIGHT(REGEXREPLACE(B1149&amp;"""",""[^0-9]"",""""),9))"),"774969141")</f>
        <v>774969141</v>
      </c>
      <c r="B1149" s="52">
        <v>7.74969141E8</v>
      </c>
      <c r="C1149" s="28" t="s">
        <v>1376</v>
      </c>
      <c r="D1149" s="26" t="s">
        <v>82</v>
      </c>
      <c r="E1149" s="31">
        <v>46227.0</v>
      </c>
      <c r="F1149" s="26" t="s">
        <v>704</v>
      </c>
      <c r="I1149" s="26" t="s">
        <v>42</v>
      </c>
      <c r="J1149" s="25" t="str">
        <f t="shared" si="28"/>
        <v>No</v>
      </c>
      <c r="K1149" s="25" t="str">
        <f t="shared" si="29"/>
        <v/>
      </c>
      <c r="L1149" s="25" t="str">
        <f t="shared" si="30"/>
        <v/>
      </c>
      <c r="M1149" s="25"/>
      <c r="O1149" s="25"/>
    </row>
    <row r="1150" ht="15.75" customHeight="1">
      <c r="A1150" s="25" t="str">
        <f>IFERROR(__xludf.DUMMYFUNCTION("IF(B1150="""","""",RIGHT(REGEXREPLACE(B1150&amp;"""",""[^0-9]"",""""),9))"),"770321330")</f>
        <v>770321330</v>
      </c>
      <c r="B1150" s="26">
        <v>7.7032133E8</v>
      </c>
      <c r="C1150" s="28" t="s">
        <v>1377</v>
      </c>
      <c r="D1150" s="26" t="s">
        <v>37</v>
      </c>
      <c r="E1150" s="31">
        <v>46227.0</v>
      </c>
      <c r="F1150" s="26" t="s">
        <v>125</v>
      </c>
      <c r="I1150" s="26" t="s">
        <v>42</v>
      </c>
      <c r="J1150" s="25" t="str">
        <f t="shared" si="28"/>
        <v>No</v>
      </c>
      <c r="K1150" s="25" t="str">
        <f t="shared" si="29"/>
        <v/>
      </c>
      <c r="L1150" s="25" t="str">
        <f t="shared" si="30"/>
        <v/>
      </c>
      <c r="M1150" s="25"/>
      <c r="O1150" s="25"/>
    </row>
    <row r="1151" ht="15.75" customHeight="1">
      <c r="A1151" s="25" t="str">
        <f>IFERROR(__xludf.DUMMYFUNCTION("IF(B1151="""","""",RIGHT(REGEXREPLACE(B1151&amp;"""",""[^0-9]"",""""),9))"),"774416354")</f>
        <v>774416354</v>
      </c>
      <c r="B1151" s="52">
        <v>7.74416354E8</v>
      </c>
      <c r="C1151" s="28" t="s">
        <v>1378</v>
      </c>
      <c r="D1151" s="26" t="s">
        <v>49</v>
      </c>
      <c r="E1151" s="31">
        <v>46227.0</v>
      </c>
      <c r="F1151" s="26" t="s">
        <v>46</v>
      </c>
      <c r="G1151" s="26">
        <v>11.0</v>
      </c>
      <c r="I1151" s="26" t="s">
        <v>42</v>
      </c>
      <c r="J1151" s="25" t="str">
        <f t="shared" si="28"/>
        <v>No</v>
      </c>
      <c r="K1151" s="25" t="str">
        <f t="shared" si="29"/>
        <v/>
      </c>
      <c r="L1151" s="25" t="str">
        <f t="shared" si="30"/>
        <v/>
      </c>
      <c r="M1151" s="25"/>
      <c r="O1151" s="25"/>
    </row>
    <row r="1152" ht="15.75" customHeight="1">
      <c r="A1152" s="25" t="str">
        <f>IFERROR(__xludf.DUMMYFUNCTION("IF(B1152="""","""",RIGHT(REGEXREPLACE(B1152&amp;"""",""[^0-9]"",""""),9))"),"761707939")</f>
        <v>761707939</v>
      </c>
      <c r="B1152" s="26">
        <v>7.61707939E8</v>
      </c>
      <c r="C1152" s="28" t="s">
        <v>1379</v>
      </c>
      <c r="D1152" s="26" t="s">
        <v>37</v>
      </c>
      <c r="E1152" s="31">
        <v>46227.0</v>
      </c>
      <c r="F1152" s="26" t="s">
        <v>46</v>
      </c>
      <c r="G1152" s="26">
        <v>11.0</v>
      </c>
      <c r="I1152" s="26" t="s">
        <v>42</v>
      </c>
      <c r="J1152" s="25" t="str">
        <f t="shared" si="28"/>
        <v>No</v>
      </c>
      <c r="K1152" s="25" t="str">
        <f t="shared" si="29"/>
        <v/>
      </c>
      <c r="L1152" s="25" t="str">
        <f t="shared" si="30"/>
        <v/>
      </c>
      <c r="M1152" s="25"/>
      <c r="O1152" s="25"/>
    </row>
    <row r="1153" ht="15.75" customHeight="1">
      <c r="A1153" s="25" t="str">
        <f>IFERROR(__xludf.DUMMYFUNCTION("IF(B1153="""","""",RIGHT(REGEXREPLACE(B1153&amp;"""",""[^0-9]"",""""),9))"),"779635139")</f>
        <v>779635139</v>
      </c>
      <c r="B1153" s="26">
        <v>7.79635139E8</v>
      </c>
      <c r="C1153" s="28" t="s">
        <v>1380</v>
      </c>
      <c r="D1153" s="26" t="s">
        <v>37</v>
      </c>
      <c r="E1153" s="31">
        <v>46227.0</v>
      </c>
      <c r="F1153" s="26" t="s">
        <v>205</v>
      </c>
      <c r="G1153" s="26">
        <v>11.0</v>
      </c>
      <c r="I1153" s="26" t="s">
        <v>42</v>
      </c>
      <c r="J1153" s="25" t="str">
        <f t="shared" si="28"/>
        <v>No</v>
      </c>
      <c r="K1153" s="25" t="str">
        <f t="shared" si="29"/>
        <v/>
      </c>
      <c r="L1153" s="25" t="str">
        <f t="shared" si="30"/>
        <v/>
      </c>
      <c r="M1153" s="25"/>
      <c r="O1153" s="25"/>
    </row>
    <row r="1154" ht="15.75" customHeight="1">
      <c r="A1154" s="25" t="str">
        <f>IFERROR(__xludf.DUMMYFUNCTION("IF(B1154="""","""",RIGHT(REGEXREPLACE(B1154&amp;"""",""[^0-9]"",""""),9))"),"779735045")</f>
        <v>779735045</v>
      </c>
      <c r="B1154" s="52">
        <v>7.79735045E8</v>
      </c>
      <c r="C1154" s="28" t="s">
        <v>542</v>
      </c>
      <c r="D1154" s="26" t="s">
        <v>45</v>
      </c>
      <c r="E1154" s="31">
        <v>46227.0</v>
      </c>
      <c r="F1154" s="26" t="s">
        <v>41</v>
      </c>
      <c r="I1154" s="26" t="s">
        <v>42</v>
      </c>
      <c r="J1154" s="25" t="str">
        <f t="shared" si="28"/>
        <v>Yes - see Previous F-Code</v>
      </c>
      <c r="K1154" s="25" t="str">
        <f t="shared" si="29"/>
        <v>DUPLICATE - CHECK</v>
      </c>
      <c r="L1154" s="25" t="str">
        <f t="shared" si="30"/>
        <v>F70364</v>
      </c>
      <c r="M1154" s="25"/>
      <c r="O1154" s="25"/>
    </row>
    <row r="1155" ht="15.75" customHeight="1">
      <c r="A1155" s="25" t="str">
        <f>IFERROR(__xludf.DUMMYFUNCTION("IF(B1155="""","""",RIGHT(REGEXREPLACE(B1155&amp;"""",""[^0-9]"",""""),9))"),"715924401")</f>
        <v>715924401</v>
      </c>
      <c r="B1155" s="52">
        <v>7.15924401E8</v>
      </c>
      <c r="C1155" s="28" t="s">
        <v>1381</v>
      </c>
      <c r="D1155" s="26" t="s">
        <v>56</v>
      </c>
      <c r="E1155" s="31">
        <v>46227.0</v>
      </c>
      <c r="F1155" s="26" t="s">
        <v>631</v>
      </c>
      <c r="G1155" s="26">
        <v>11.0</v>
      </c>
      <c r="I1155" s="26" t="s">
        <v>42</v>
      </c>
      <c r="J1155" s="25" t="str">
        <f t="shared" si="28"/>
        <v>No</v>
      </c>
      <c r="K1155" s="25" t="str">
        <f t="shared" si="29"/>
        <v/>
      </c>
      <c r="L1155" s="25" t="str">
        <f t="shared" si="30"/>
        <v/>
      </c>
      <c r="M1155" s="25"/>
      <c r="O1155" s="25"/>
    </row>
    <row r="1156" ht="15.75" customHeight="1">
      <c r="A1156" s="25" t="str">
        <f>IFERROR(__xludf.DUMMYFUNCTION("IF(B1156="""","""",RIGHT(REGEXREPLACE(B1156&amp;"""",""[^0-9]"",""""),9))"),"750109508")</f>
        <v>750109508</v>
      </c>
      <c r="B1156" s="52">
        <v>7.50109508E8</v>
      </c>
      <c r="C1156" s="28" t="s">
        <v>1382</v>
      </c>
      <c r="D1156" s="26" t="s">
        <v>49</v>
      </c>
      <c r="E1156" s="31">
        <v>46227.0</v>
      </c>
      <c r="F1156" s="26" t="s">
        <v>46</v>
      </c>
      <c r="G1156" s="26">
        <v>9.0</v>
      </c>
      <c r="I1156" s="26" t="s">
        <v>42</v>
      </c>
      <c r="J1156" s="25" t="str">
        <f t="shared" si="28"/>
        <v>No</v>
      </c>
      <c r="K1156" s="25" t="str">
        <f t="shared" si="29"/>
        <v/>
      </c>
      <c r="L1156" s="25" t="str">
        <f t="shared" si="30"/>
        <v/>
      </c>
      <c r="M1156" s="25"/>
      <c r="O1156" s="25"/>
    </row>
    <row r="1157" ht="15.75" customHeight="1">
      <c r="A1157" s="25" t="str">
        <f>IFERROR(__xludf.DUMMYFUNCTION("IF(B1157="""","""",RIGHT(REGEXREPLACE(B1157&amp;"""",""[^0-9]"",""""),9))"),"760329164")</f>
        <v>760329164</v>
      </c>
      <c r="B1157" s="52">
        <v>7.60329164E8</v>
      </c>
      <c r="C1157" s="28" t="s">
        <v>1383</v>
      </c>
      <c r="D1157" s="26" t="s">
        <v>45</v>
      </c>
      <c r="E1157" s="31">
        <v>46227.0</v>
      </c>
      <c r="F1157" s="26" t="s">
        <v>41</v>
      </c>
      <c r="I1157" s="26" t="s">
        <v>42</v>
      </c>
      <c r="J1157" s="25" t="str">
        <f t="shared" si="28"/>
        <v>No</v>
      </c>
      <c r="K1157" s="25" t="str">
        <f t="shared" si="29"/>
        <v/>
      </c>
      <c r="L1157" s="25" t="str">
        <f t="shared" si="30"/>
        <v/>
      </c>
      <c r="M1157" s="25"/>
      <c r="O1157" s="25"/>
    </row>
    <row r="1158" ht="15.75" customHeight="1">
      <c r="A1158" s="25" t="str">
        <f>IFERROR(__xludf.DUMMYFUNCTION("IF(B1158="""","""",RIGHT(REGEXREPLACE(B1158&amp;"""",""[^0-9]"",""""),9))"),"719721574")</f>
        <v>719721574</v>
      </c>
      <c r="B1158" s="26">
        <v>7.19721574E8</v>
      </c>
      <c r="C1158" s="28" t="s">
        <v>160</v>
      </c>
      <c r="D1158" s="26" t="s">
        <v>37</v>
      </c>
      <c r="E1158" s="31">
        <v>46227.0</v>
      </c>
      <c r="F1158" s="26" t="s">
        <v>41</v>
      </c>
      <c r="G1158" s="26">
        <v>11.0</v>
      </c>
      <c r="I1158" s="26" t="s">
        <v>42</v>
      </c>
      <c r="J1158" s="25" t="str">
        <f t="shared" si="28"/>
        <v>No</v>
      </c>
      <c r="K1158" s="25" t="str">
        <f t="shared" si="29"/>
        <v/>
      </c>
      <c r="L1158" s="25" t="str">
        <f t="shared" si="30"/>
        <v/>
      </c>
      <c r="M1158" s="25"/>
      <c r="O1158" s="25"/>
    </row>
    <row r="1159" ht="15.75" customHeight="1">
      <c r="A1159" s="25" t="str">
        <f>IFERROR(__xludf.DUMMYFUNCTION("IF(B1159="""","""",RIGHT(REGEXREPLACE(B1159&amp;"""",""[^0-9]"",""""),9))"),"768650814")</f>
        <v>768650814</v>
      </c>
      <c r="B1159" s="26">
        <v>7.68650814E8</v>
      </c>
      <c r="C1159" s="28" t="s">
        <v>1384</v>
      </c>
      <c r="D1159" s="26" t="s">
        <v>37</v>
      </c>
      <c r="E1159" s="31">
        <v>46227.0</v>
      </c>
      <c r="F1159" s="26" t="s">
        <v>46</v>
      </c>
      <c r="G1159" s="26">
        <v>11.0</v>
      </c>
      <c r="I1159" s="26" t="s">
        <v>42</v>
      </c>
      <c r="J1159" s="25" t="str">
        <f t="shared" si="28"/>
        <v>No</v>
      </c>
      <c r="K1159" s="25" t="str">
        <f t="shared" si="29"/>
        <v/>
      </c>
      <c r="L1159" s="25" t="str">
        <f t="shared" si="30"/>
        <v/>
      </c>
      <c r="M1159" s="25"/>
      <c r="O1159" s="25"/>
    </row>
    <row r="1160" ht="15.75" customHeight="1">
      <c r="A1160" s="25" t="str">
        <f>IFERROR(__xludf.DUMMYFUNCTION("IF(B1160="""","""",RIGHT(REGEXREPLACE(B1160&amp;"""",""[^0-9]"",""""),9))"),"719403140")</f>
        <v>719403140</v>
      </c>
      <c r="B1160" s="52">
        <v>7.1940314E8</v>
      </c>
      <c r="C1160" s="28" t="s">
        <v>424</v>
      </c>
      <c r="D1160" s="26" t="s">
        <v>56</v>
      </c>
      <c r="E1160" s="31">
        <v>46227.0</v>
      </c>
      <c r="F1160" s="26" t="s">
        <v>41</v>
      </c>
      <c r="G1160" s="26">
        <v>11.0</v>
      </c>
      <c r="I1160" s="26" t="s">
        <v>42</v>
      </c>
      <c r="J1160" s="25" t="str">
        <f t="shared" si="28"/>
        <v>Yes - see Previous F-Code</v>
      </c>
      <c r="K1160" s="25" t="str">
        <f t="shared" si="29"/>
        <v>DUPLICATE - CHECK</v>
      </c>
      <c r="L1160" s="25" t="str">
        <f t="shared" si="30"/>
        <v>F70260</v>
      </c>
      <c r="M1160" s="25"/>
      <c r="O1160" s="25"/>
    </row>
    <row r="1161" ht="15.75" customHeight="1">
      <c r="A1161" s="25" t="str">
        <f>IFERROR(__xludf.DUMMYFUNCTION("IF(B1161="""","""",RIGHT(REGEXREPLACE(B1161&amp;"""",""[^0-9]"",""""),9))"),"767807551")</f>
        <v>767807551</v>
      </c>
      <c r="B1161" s="52">
        <v>7.67807551E8</v>
      </c>
      <c r="C1161" s="28" t="s">
        <v>1385</v>
      </c>
      <c r="D1161" s="26" t="s">
        <v>45</v>
      </c>
      <c r="E1161" s="31">
        <v>46227.0</v>
      </c>
      <c r="F1161" s="26" t="s">
        <v>205</v>
      </c>
      <c r="I1161" s="26" t="s">
        <v>42</v>
      </c>
      <c r="J1161" s="25" t="str">
        <f t="shared" si="28"/>
        <v>No</v>
      </c>
      <c r="K1161" s="25" t="str">
        <f t="shared" si="29"/>
        <v/>
      </c>
      <c r="L1161" s="25" t="str">
        <f t="shared" si="30"/>
        <v/>
      </c>
      <c r="M1161" s="25"/>
      <c r="O1161" s="25"/>
    </row>
    <row r="1162" ht="15.75" customHeight="1">
      <c r="A1162" s="25" t="str">
        <f>IFERROR(__xludf.DUMMYFUNCTION("IF(B1162="""","""",RIGHT(REGEXREPLACE(B1162&amp;"""",""[^0-9]"",""""),9))"),"765564678")</f>
        <v>765564678</v>
      </c>
      <c r="B1162" s="52">
        <v>7.65564678E8</v>
      </c>
      <c r="C1162" s="28" t="s">
        <v>1386</v>
      </c>
      <c r="D1162" s="26" t="s">
        <v>82</v>
      </c>
      <c r="E1162" s="31">
        <v>46227.0</v>
      </c>
      <c r="F1162" s="26" t="s">
        <v>46</v>
      </c>
      <c r="G1162" s="26">
        <v>11.0</v>
      </c>
      <c r="I1162" s="26" t="s">
        <v>42</v>
      </c>
      <c r="J1162" s="25" t="str">
        <f t="shared" si="28"/>
        <v>No</v>
      </c>
      <c r="K1162" s="25" t="str">
        <f t="shared" si="29"/>
        <v/>
      </c>
      <c r="L1162" s="25" t="str">
        <f t="shared" si="30"/>
        <v/>
      </c>
      <c r="M1162" s="25"/>
      <c r="O1162" s="25"/>
    </row>
    <row r="1163" ht="15.75" customHeight="1">
      <c r="A1163" s="25" t="str">
        <f>IFERROR(__xludf.DUMMYFUNCTION("IF(B1163="""","""",RIGHT(REGEXREPLACE(B1163&amp;"""",""[^0-9]"",""""),9))"),"766816864")</f>
        <v>766816864</v>
      </c>
      <c r="B1163" s="52">
        <v>7.66816864E8</v>
      </c>
      <c r="C1163" s="28" t="s">
        <v>1387</v>
      </c>
      <c r="D1163" s="26" t="s">
        <v>45</v>
      </c>
      <c r="E1163" s="31">
        <v>46227.0</v>
      </c>
      <c r="F1163" s="26" t="s">
        <v>41</v>
      </c>
      <c r="I1163" s="26" t="s">
        <v>42</v>
      </c>
      <c r="J1163" s="25" t="str">
        <f t="shared" si="28"/>
        <v>No</v>
      </c>
      <c r="K1163" s="25" t="str">
        <f t="shared" si="29"/>
        <v/>
      </c>
      <c r="L1163" s="25" t="str">
        <f t="shared" si="30"/>
        <v/>
      </c>
      <c r="M1163" s="25"/>
      <c r="O1163" s="25"/>
    </row>
    <row r="1164" ht="15.75" customHeight="1">
      <c r="A1164" s="25" t="str">
        <f>IFERROR(__xludf.DUMMYFUNCTION("IF(B1164="""","""",RIGHT(REGEXREPLACE(B1164&amp;"""",""[^0-9]"",""""),9))"),"779012940")</f>
        <v>779012940</v>
      </c>
      <c r="B1164" s="52">
        <v>7.7901294E8</v>
      </c>
      <c r="C1164" s="28" t="s">
        <v>1388</v>
      </c>
      <c r="D1164" s="26" t="s">
        <v>49</v>
      </c>
      <c r="E1164" s="31">
        <v>46227.0</v>
      </c>
      <c r="F1164" s="26" t="s">
        <v>41</v>
      </c>
      <c r="G1164" s="26">
        <v>11.0</v>
      </c>
      <c r="I1164" s="26" t="s">
        <v>42</v>
      </c>
      <c r="J1164" s="25" t="str">
        <f t="shared" si="28"/>
        <v>No</v>
      </c>
      <c r="K1164" s="25" t="str">
        <f t="shared" si="29"/>
        <v/>
      </c>
      <c r="L1164" s="25" t="str">
        <f t="shared" si="30"/>
        <v/>
      </c>
      <c r="M1164" s="25"/>
      <c r="O1164" s="25"/>
    </row>
    <row r="1165" ht="15.75" customHeight="1">
      <c r="A1165" s="25" t="str">
        <f>IFERROR(__xludf.DUMMYFUNCTION("IF(B1165="""","""",RIGHT(REGEXREPLACE(B1165&amp;"""",""[^0-9]"",""""),9))"),"714891683")</f>
        <v>714891683</v>
      </c>
      <c r="B1165" s="52">
        <v>7.14891683E8</v>
      </c>
      <c r="C1165" s="28" t="s">
        <v>1389</v>
      </c>
      <c r="D1165" s="26" t="s">
        <v>56</v>
      </c>
      <c r="E1165" s="31">
        <v>46227.0</v>
      </c>
      <c r="F1165" s="26" t="s">
        <v>631</v>
      </c>
      <c r="G1165" s="26">
        <v>11.0</v>
      </c>
      <c r="I1165" s="26" t="s">
        <v>42</v>
      </c>
      <c r="J1165" s="25" t="str">
        <f t="shared" si="28"/>
        <v>No</v>
      </c>
      <c r="K1165" s="25" t="str">
        <f t="shared" si="29"/>
        <v/>
      </c>
      <c r="L1165" s="25" t="str">
        <f t="shared" si="30"/>
        <v/>
      </c>
      <c r="M1165" s="25"/>
      <c r="O1165" s="25"/>
    </row>
    <row r="1166" ht="15.75" customHeight="1">
      <c r="A1166" s="25" t="str">
        <f>IFERROR(__xludf.DUMMYFUNCTION("IF(B1166="""","""",RIGHT(REGEXREPLACE(B1166&amp;"""",""[^0-9]"",""""),9))"),"755791951")</f>
        <v>755791951</v>
      </c>
      <c r="B1166" s="52">
        <v>7.55791951E8</v>
      </c>
      <c r="C1166" s="28" t="s">
        <v>1390</v>
      </c>
      <c r="D1166" s="26" t="s">
        <v>45</v>
      </c>
      <c r="E1166" s="31">
        <v>46227.0</v>
      </c>
      <c r="F1166" s="26" t="s">
        <v>41</v>
      </c>
      <c r="I1166" s="26" t="s">
        <v>42</v>
      </c>
      <c r="J1166" s="25" t="str">
        <f t="shared" si="28"/>
        <v>No</v>
      </c>
      <c r="K1166" s="25" t="str">
        <f t="shared" si="29"/>
        <v/>
      </c>
      <c r="L1166" s="25" t="str">
        <f t="shared" si="30"/>
        <v/>
      </c>
      <c r="M1166" s="25"/>
      <c r="O1166" s="25"/>
    </row>
    <row r="1167" ht="15.75" customHeight="1">
      <c r="A1167" s="25" t="str">
        <f>IFERROR(__xludf.DUMMYFUNCTION("IF(B1167="""","""",RIGHT(REGEXREPLACE(B1167&amp;"""",""[^0-9]"",""""),9))"),"702183521")</f>
        <v>702183521</v>
      </c>
      <c r="B1167" s="26">
        <v>7.02183521E8</v>
      </c>
      <c r="C1167" s="28" t="s">
        <v>1391</v>
      </c>
      <c r="D1167" s="26" t="s">
        <v>37</v>
      </c>
      <c r="E1167" s="31">
        <v>46227.0</v>
      </c>
      <c r="F1167" s="26" t="s">
        <v>46</v>
      </c>
      <c r="G1167" s="26">
        <v>11.0</v>
      </c>
      <c r="I1167" s="26" t="s">
        <v>42</v>
      </c>
      <c r="J1167" s="25" t="str">
        <f t="shared" si="28"/>
        <v>No</v>
      </c>
      <c r="K1167" s="25" t="str">
        <f t="shared" si="29"/>
        <v/>
      </c>
      <c r="L1167" s="25" t="str">
        <f t="shared" si="30"/>
        <v/>
      </c>
      <c r="M1167" s="25"/>
      <c r="O1167" s="25"/>
    </row>
    <row r="1168" ht="15.75" customHeight="1">
      <c r="A1168" s="25" t="str">
        <f>IFERROR(__xludf.DUMMYFUNCTION("IF(B1168="""","""",RIGHT(REGEXREPLACE(B1168&amp;"""",""[^0-9]"",""""),9))"),"763365799")</f>
        <v>763365799</v>
      </c>
      <c r="B1168" s="52">
        <v>7.63365799E8</v>
      </c>
      <c r="C1168" s="28" t="s">
        <v>1392</v>
      </c>
      <c r="D1168" s="26" t="s">
        <v>82</v>
      </c>
      <c r="E1168" s="31">
        <v>46227.0</v>
      </c>
      <c r="F1168" s="26" t="s">
        <v>46</v>
      </c>
      <c r="G1168" s="26">
        <v>11.0</v>
      </c>
      <c r="I1168" s="26" t="s">
        <v>42</v>
      </c>
      <c r="J1168" s="25" t="str">
        <f t="shared" si="28"/>
        <v>No</v>
      </c>
      <c r="K1168" s="25" t="str">
        <f t="shared" si="29"/>
        <v/>
      </c>
      <c r="L1168" s="25" t="str">
        <f t="shared" si="30"/>
        <v/>
      </c>
      <c r="M1168" s="25"/>
      <c r="O1168" s="25"/>
    </row>
    <row r="1169" ht="15.75" customHeight="1">
      <c r="A1169" s="25" t="str">
        <f>IFERROR(__xludf.DUMMYFUNCTION("IF(B1169="""","""",RIGHT(REGEXREPLACE(B1169&amp;"""",""[^0-9]"",""""),9))"),"727793006")</f>
        <v>727793006</v>
      </c>
      <c r="B1169" s="52">
        <v>7.27793006E8</v>
      </c>
      <c r="C1169" s="28" t="s">
        <v>1393</v>
      </c>
      <c r="D1169" s="26" t="s">
        <v>45</v>
      </c>
      <c r="E1169" s="31">
        <v>46227.0</v>
      </c>
      <c r="F1169" s="26" t="s">
        <v>205</v>
      </c>
      <c r="I1169" s="26" t="s">
        <v>42</v>
      </c>
      <c r="J1169" s="25" t="str">
        <f t="shared" si="28"/>
        <v>No</v>
      </c>
      <c r="K1169" s="25" t="str">
        <f t="shared" si="29"/>
        <v/>
      </c>
      <c r="L1169" s="25" t="str">
        <f t="shared" si="30"/>
        <v/>
      </c>
      <c r="M1169" s="25"/>
      <c r="O1169" s="25"/>
    </row>
    <row r="1170" ht="15.75" customHeight="1">
      <c r="A1170" s="25" t="str">
        <f>IFERROR(__xludf.DUMMYFUNCTION("IF(B1170="""","""",RIGHT(REGEXREPLACE(B1170&amp;"""",""[^0-9]"",""""),9))"),"710420752")</f>
        <v>710420752</v>
      </c>
      <c r="B1170" s="52">
        <v>7.10420752E8</v>
      </c>
      <c r="C1170" s="28" t="s">
        <v>1394</v>
      </c>
      <c r="D1170" s="26" t="s">
        <v>49</v>
      </c>
      <c r="E1170" s="31">
        <v>46227.0</v>
      </c>
      <c r="F1170" s="26" t="s">
        <v>46</v>
      </c>
      <c r="G1170" s="26">
        <v>11.0</v>
      </c>
      <c r="I1170" s="26" t="s">
        <v>42</v>
      </c>
      <c r="J1170" s="25" t="str">
        <f t="shared" si="28"/>
        <v>No</v>
      </c>
      <c r="K1170" s="25" t="str">
        <f t="shared" si="29"/>
        <v/>
      </c>
      <c r="L1170" s="25" t="str">
        <f t="shared" si="30"/>
        <v/>
      </c>
      <c r="M1170" s="25"/>
      <c r="O1170" s="25"/>
    </row>
    <row r="1171" ht="15.75" customHeight="1">
      <c r="A1171" s="25" t="str">
        <f>IFERROR(__xludf.DUMMYFUNCTION("IF(B1171="""","""",RIGHT(REGEXREPLACE(B1171&amp;"""",""[^0-9]"",""""),9))"),"710112006")</f>
        <v>710112006</v>
      </c>
      <c r="B1171" s="52">
        <v>7.10112006E8</v>
      </c>
      <c r="C1171" s="28" t="s">
        <v>1395</v>
      </c>
      <c r="D1171" s="26" t="s">
        <v>45</v>
      </c>
      <c r="E1171" s="31">
        <v>46227.0</v>
      </c>
      <c r="F1171" s="26" t="s">
        <v>205</v>
      </c>
      <c r="I1171" s="26" t="s">
        <v>42</v>
      </c>
      <c r="J1171" s="25" t="str">
        <f t="shared" si="28"/>
        <v>No</v>
      </c>
      <c r="K1171" s="25" t="str">
        <f t="shared" si="29"/>
        <v/>
      </c>
      <c r="L1171" s="25" t="str">
        <f t="shared" si="30"/>
        <v/>
      </c>
      <c r="M1171" s="25"/>
      <c r="O1171" s="25"/>
    </row>
    <row r="1172" ht="15.75" customHeight="1">
      <c r="A1172" s="25" t="str">
        <f>IFERROR(__xludf.DUMMYFUNCTION("IF(B1172="""","""",RIGHT(REGEXREPLACE(B1172&amp;"""",""[^0-9]"",""""),9))"),"740950133")</f>
        <v>740950133</v>
      </c>
      <c r="B1172" s="26">
        <v>7.40950133E8</v>
      </c>
      <c r="C1172" s="28" t="s">
        <v>1396</v>
      </c>
      <c r="D1172" s="26" t="s">
        <v>37</v>
      </c>
      <c r="E1172" s="31">
        <v>46227.0</v>
      </c>
      <c r="F1172" s="26" t="s">
        <v>205</v>
      </c>
      <c r="G1172" s="26">
        <v>11.0</v>
      </c>
      <c r="I1172" s="26" t="s">
        <v>42</v>
      </c>
      <c r="J1172" s="25" t="str">
        <f t="shared" si="28"/>
        <v>No</v>
      </c>
      <c r="K1172" s="25" t="str">
        <f t="shared" si="29"/>
        <v/>
      </c>
      <c r="L1172" s="25" t="str">
        <f t="shared" si="30"/>
        <v/>
      </c>
      <c r="M1172" s="25"/>
      <c r="O1172" s="25"/>
    </row>
    <row r="1173" ht="15.75" customHeight="1">
      <c r="A1173" s="25" t="str">
        <f>IFERROR(__xludf.DUMMYFUNCTION("IF(B1173="""","""",RIGHT(REGEXREPLACE(B1173&amp;"""",""[^0-9]"",""""),9))"),"740509676")</f>
        <v>740509676</v>
      </c>
      <c r="B1173" s="52">
        <v>7.40509676E8</v>
      </c>
      <c r="C1173" s="28" t="s">
        <v>1397</v>
      </c>
      <c r="D1173" s="26" t="s">
        <v>49</v>
      </c>
      <c r="E1173" s="31">
        <v>46227.0</v>
      </c>
      <c r="F1173" s="26" t="s">
        <v>164</v>
      </c>
      <c r="I1173" s="26" t="s">
        <v>42</v>
      </c>
      <c r="J1173" s="25" t="str">
        <f t="shared" si="28"/>
        <v>No</v>
      </c>
      <c r="K1173" s="25" t="str">
        <f t="shared" si="29"/>
        <v/>
      </c>
      <c r="L1173" s="25" t="str">
        <f t="shared" si="30"/>
        <v/>
      </c>
      <c r="M1173" s="25"/>
      <c r="O1173" s="25"/>
    </row>
    <row r="1174" ht="15.75" customHeight="1">
      <c r="A1174" s="25" t="str">
        <f>IFERROR(__xludf.DUMMYFUNCTION("IF(B1174="""","""",RIGHT(REGEXREPLACE(B1174&amp;"""",""[^0-9]"",""""),9))"),"783835751")</f>
        <v>783835751</v>
      </c>
      <c r="B1174" s="52">
        <v>7.83835751E8</v>
      </c>
      <c r="C1174" s="28" t="s">
        <v>1398</v>
      </c>
      <c r="D1174" s="26" t="s">
        <v>45</v>
      </c>
      <c r="E1174" s="31">
        <v>46227.0</v>
      </c>
      <c r="F1174" s="26" t="s">
        <v>125</v>
      </c>
      <c r="I1174" s="26" t="s">
        <v>42</v>
      </c>
      <c r="J1174" s="25" t="str">
        <f t="shared" si="28"/>
        <v>No</v>
      </c>
      <c r="K1174" s="25" t="str">
        <f t="shared" si="29"/>
        <v/>
      </c>
      <c r="L1174" s="25" t="str">
        <f t="shared" si="30"/>
        <v/>
      </c>
      <c r="M1174" s="25"/>
      <c r="O1174" s="25"/>
    </row>
    <row r="1175" ht="15.75" customHeight="1">
      <c r="A1175" s="25" t="str">
        <f>IFERROR(__xludf.DUMMYFUNCTION("IF(B1175="""","""",RIGHT(REGEXREPLACE(B1175&amp;"""",""[^0-9]"",""""),9))"),"782009446")</f>
        <v>782009446</v>
      </c>
      <c r="B1175" s="26">
        <v>7.82009446E8</v>
      </c>
      <c r="C1175" s="28" t="s">
        <v>1399</v>
      </c>
      <c r="D1175" s="26" t="s">
        <v>37</v>
      </c>
      <c r="E1175" s="31">
        <v>46227.0</v>
      </c>
      <c r="F1175" s="26" t="s">
        <v>205</v>
      </c>
      <c r="G1175" s="26">
        <v>11.0</v>
      </c>
      <c r="I1175" s="26" t="s">
        <v>42</v>
      </c>
      <c r="J1175" s="25" t="str">
        <f t="shared" si="28"/>
        <v>No</v>
      </c>
      <c r="K1175" s="25" t="str">
        <f t="shared" si="29"/>
        <v/>
      </c>
      <c r="L1175" s="25" t="str">
        <f t="shared" si="30"/>
        <v/>
      </c>
      <c r="M1175" s="25"/>
      <c r="O1175" s="25"/>
    </row>
    <row r="1176" ht="15.75" customHeight="1">
      <c r="A1176" s="25" t="str">
        <f>IFERROR(__xludf.DUMMYFUNCTION("IF(B1176="""","""",RIGHT(REGEXREPLACE(B1176&amp;"""",""[^0-9]"",""""),9))"),"711994303")</f>
        <v>711994303</v>
      </c>
      <c r="B1176" s="26">
        <v>7.11994303E8</v>
      </c>
      <c r="C1176" s="28" t="s">
        <v>1400</v>
      </c>
      <c r="D1176" s="26" t="s">
        <v>37</v>
      </c>
      <c r="E1176" s="31">
        <v>46227.0</v>
      </c>
      <c r="F1176" s="26" t="s">
        <v>205</v>
      </c>
      <c r="G1176" s="26">
        <v>11.0</v>
      </c>
      <c r="I1176" s="26" t="s">
        <v>42</v>
      </c>
      <c r="J1176" s="25" t="str">
        <f t="shared" si="28"/>
        <v>No</v>
      </c>
      <c r="K1176" s="25" t="str">
        <f t="shared" si="29"/>
        <v/>
      </c>
      <c r="L1176" s="25" t="str">
        <f t="shared" si="30"/>
        <v/>
      </c>
      <c r="M1176" s="25"/>
      <c r="O1176" s="25"/>
    </row>
    <row r="1177" ht="15.75" customHeight="1">
      <c r="A1177" s="25" t="str">
        <f>IFERROR(__xludf.DUMMYFUNCTION("IF(B1177="""","""",RIGHT(REGEXREPLACE(B1177&amp;"""",""[^0-9]"",""""),9))"),"711650754")</f>
        <v>711650754</v>
      </c>
      <c r="B1177" s="26">
        <v>7.11650754E8</v>
      </c>
      <c r="C1177" s="28" t="s">
        <v>1401</v>
      </c>
      <c r="D1177" s="26" t="s">
        <v>37</v>
      </c>
      <c r="E1177" s="31">
        <v>46227.0</v>
      </c>
      <c r="F1177" s="26" t="s">
        <v>704</v>
      </c>
      <c r="G1177" s="26">
        <v>11.0</v>
      </c>
      <c r="I1177" s="26" t="s">
        <v>42</v>
      </c>
      <c r="J1177" s="25" t="str">
        <f t="shared" si="28"/>
        <v>No</v>
      </c>
      <c r="K1177" s="25" t="str">
        <f t="shared" si="29"/>
        <v/>
      </c>
      <c r="L1177" s="25" t="str">
        <f t="shared" si="30"/>
        <v/>
      </c>
      <c r="M1177" s="25"/>
      <c r="O1177" s="25"/>
    </row>
    <row r="1178" ht="15.75" customHeight="1">
      <c r="A1178" s="25" t="str">
        <f>IFERROR(__xludf.DUMMYFUNCTION("IF(B1178="""","""",RIGHT(REGEXREPLACE(B1178&amp;"""",""[^0-9]"",""""),9))"),"705234198")</f>
        <v>705234198</v>
      </c>
      <c r="B1178" s="52">
        <v>7.05234198E8</v>
      </c>
      <c r="C1178" s="28" t="s">
        <v>1402</v>
      </c>
      <c r="D1178" s="26" t="s">
        <v>49</v>
      </c>
      <c r="E1178" s="31">
        <v>46227.0</v>
      </c>
      <c r="F1178" s="26" t="s">
        <v>46</v>
      </c>
      <c r="G1178" s="26">
        <v>11.0</v>
      </c>
      <c r="H1178" s="26" t="s">
        <v>253</v>
      </c>
      <c r="I1178" s="26" t="s">
        <v>42</v>
      </c>
      <c r="J1178" s="25" t="str">
        <f t="shared" si="28"/>
        <v>No</v>
      </c>
      <c r="K1178" s="25" t="str">
        <f t="shared" si="29"/>
        <v/>
      </c>
      <c r="L1178" s="25" t="str">
        <f t="shared" si="30"/>
        <v/>
      </c>
      <c r="M1178" s="25"/>
      <c r="O1178" s="25"/>
    </row>
    <row r="1179" ht="15.75" customHeight="1">
      <c r="A1179" s="25" t="str">
        <f>IFERROR(__xludf.DUMMYFUNCTION("IF(B1179="""","""",RIGHT(REGEXREPLACE(B1179&amp;"""",""[^0-9]"",""""),9))"),"782009446")</f>
        <v>782009446</v>
      </c>
      <c r="B1179" s="52">
        <v>7.82009446E8</v>
      </c>
      <c r="C1179" s="28" t="s">
        <v>1399</v>
      </c>
      <c r="D1179" s="26" t="s">
        <v>56</v>
      </c>
      <c r="E1179" s="31">
        <v>46227.0</v>
      </c>
      <c r="F1179" s="26" t="s">
        <v>205</v>
      </c>
      <c r="G1179" s="26">
        <v>11.0</v>
      </c>
      <c r="I1179" s="26" t="s">
        <v>42</v>
      </c>
      <c r="J1179" s="25" t="str">
        <f t="shared" si="28"/>
        <v>Yes - see Previous F-Code</v>
      </c>
      <c r="K1179" s="25" t="str">
        <f t="shared" si="29"/>
        <v>DUPLICATE - CHECK</v>
      </c>
      <c r="L1179" s="25" t="str">
        <f t="shared" si="30"/>
        <v>F71128</v>
      </c>
      <c r="M1179" s="25"/>
      <c r="O1179" s="25"/>
    </row>
    <row r="1180" ht="15.75" customHeight="1">
      <c r="A1180" s="25" t="str">
        <f>IFERROR(__xludf.DUMMYFUNCTION("IF(B1180="""","""",RIGHT(REGEXREPLACE(B1180&amp;"""",""[^0-9]"",""""),9))"),"713287369")</f>
        <v>713287369</v>
      </c>
      <c r="B1180" s="52">
        <v>7.13287369E8</v>
      </c>
      <c r="C1180" s="28" t="s">
        <v>1403</v>
      </c>
      <c r="D1180" s="26" t="s">
        <v>45</v>
      </c>
      <c r="E1180" s="31">
        <v>46227.0</v>
      </c>
      <c r="F1180" s="26" t="s">
        <v>205</v>
      </c>
      <c r="I1180" s="26" t="s">
        <v>42</v>
      </c>
      <c r="J1180" s="25" t="str">
        <f t="shared" si="28"/>
        <v>No</v>
      </c>
      <c r="K1180" s="25" t="str">
        <f t="shared" si="29"/>
        <v/>
      </c>
      <c r="L1180" s="25" t="str">
        <f t="shared" si="30"/>
        <v/>
      </c>
      <c r="M1180" s="25"/>
      <c r="O1180" s="25"/>
    </row>
    <row r="1181" ht="15.75" customHeight="1">
      <c r="A1181" s="25" t="str">
        <f>IFERROR(__xludf.DUMMYFUNCTION("IF(B1181="""","""",RIGHT(REGEXREPLACE(B1181&amp;"""",""[^0-9]"",""""),9))"),"722010562")</f>
        <v>722010562</v>
      </c>
      <c r="B1181" s="52">
        <v>7.22010562E8</v>
      </c>
      <c r="C1181" s="28" t="s">
        <v>1404</v>
      </c>
      <c r="D1181" s="26" t="s">
        <v>45</v>
      </c>
      <c r="E1181" s="31">
        <v>46227.0</v>
      </c>
      <c r="F1181" s="26" t="s">
        <v>46</v>
      </c>
      <c r="G1181" s="26">
        <v>11.0</v>
      </c>
      <c r="I1181" s="26" t="s">
        <v>42</v>
      </c>
      <c r="J1181" s="25" t="str">
        <f t="shared" si="28"/>
        <v>No</v>
      </c>
      <c r="K1181" s="25" t="str">
        <f t="shared" si="29"/>
        <v/>
      </c>
      <c r="L1181" s="25" t="str">
        <f t="shared" si="30"/>
        <v/>
      </c>
      <c r="M1181" s="25"/>
      <c r="O1181" s="25"/>
    </row>
    <row r="1182" ht="15.75" customHeight="1">
      <c r="A1182" s="25" t="str">
        <f>IFERROR(__xludf.DUMMYFUNCTION("IF(B1182="""","""",RIGHT(REGEXREPLACE(B1182&amp;"""",""[^0-9]"",""""),9))"),"718511766")</f>
        <v>718511766</v>
      </c>
      <c r="B1182" s="26">
        <v>7.18511766E8</v>
      </c>
      <c r="C1182" s="28" t="s">
        <v>1405</v>
      </c>
      <c r="D1182" s="26" t="s">
        <v>37</v>
      </c>
      <c r="E1182" s="31">
        <v>46227.0</v>
      </c>
      <c r="F1182" s="26" t="s">
        <v>41</v>
      </c>
      <c r="G1182" s="26">
        <v>11.0</v>
      </c>
      <c r="I1182" s="26" t="s">
        <v>42</v>
      </c>
      <c r="J1182" s="25" t="str">
        <f t="shared" si="28"/>
        <v>No</v>
      </c>
      <c r="K1182" s="25" t="str">
        <f t="shared" si="29"/>
        <v/>
      </c>
      <c r="L1182" s="25" t="str">
        <f t="shared" si="30"/>
        <v/>
      </c>
      <c r="M1182" s="25"/>
      <c r="O1182" s="25"/>
    </row>
    <row r="1183" ht="15.75" customHeight="1">
      <c r="A1183" s="25" t="str">
        <f>IFERROR(__xludf.DUMMYFUNCTION("IF(B1183="""","""",RIGHT(REGEXREPLACE(B1183&amp;"""",""[^0-9]"",""""),9))"),"776740105")</f>
        <v>776740105</v>
      </c>
      <c r="B1183" s="26">
        <v>7.76740105E8</v>
      </c>
      <c r="C1183" s="28" t="s">
        <v>1406</v>
      </c>
      <c r="D1183" s="26" t="s">
        <v>37</v>
      </c>
      <c r="E1183" s="31">
        <v>46227.0</v>
      </c>
      <c r="F1183" s="26" t="s">
        <v>46</v>
      </c>
      <c r="G1183" s="26">
        <v>11.0</v>
      </c>
      <c r="I1183" s="26" t="s">
        <v>42</v>
      </c>
      <c r="J1183" s="25" t="str">
        <f t="shared" si="28"/>
        <v>No</v>
      </c>
      <c r="K1183" s="25" t="str">
        <f t="shared" si="29"/>
        <v/>
      </c>
      <c r="L1183" s="25" t="str">
        <f t="shared" si="30"/>
        <v/>
      </c>
      <c r="M1183" s="25"/>
      <c r="O1183" s="25"/>
    </row>
    <row r="1184" ht="15.75" customHeight="1">
      <c r="A1184" s="25" t="str">
        <f>IFERROR(__xludf.DUMMYFUNCTION("IF(B1184="""","""",RIGHT(REGEXREPLACE(B1184&amp;"""",""[^0-9]"",""""),9))"),"779561063")</f>
        <v>779561063</v>
      </c>
      <c r="B1184" s="52">
        <v>7.79561063E8</v>
      </c>
      <c r="C1184" s="28" t="s">
        <v>1407</v>
      </c>
      <c r="D1184" s="26" t="s">
        <v>45</v>
      </c>
      <c r="E1184" s="31">
        <v>46227.0</v>
      </c>
      <c r="F1184" s="26" t="s">
        <v>41</v>
      </c>
      <c r="I1184" s="26" t="s">
        <v>42</v>
      </c>
      <c r="J1184" s="25" t="str">
        <f t="shared" si="28"/>
        <v>No</v>
      </c>
      <c r="K1184" s="25" t="str">
        <f t="shared" si="29"/>
        <v/>
      </c>
      <c r="L1184" s="25" t="str">
        <f t="shared" si="30"/>
        <v/>
      </c>
      <c r="M1184" s="25"/>
      <c r="O1184" s="25"/>
    </row>
    <row r="1185" ht="15.75" customHeight="1">
      <c r="A1185" s="25" t="str">
        <f>IFERROR(__xludf.DUMMYFUNCTION("IF(B1185="""","""",RIGHT(REGEXREPLACE(B1185&amp;"""",""[^0-9]"",""""),9))"),"740637367")</f>
        <v>740637367</v>
      </c>
      <c r="B1185" s="52">
        <v>7.40637367E8</v>
      </c>
      <c r="C1185" s="28" t="s">
        <v>1408</v>
      </c>
      <c r="D1185" s="26" t="s">
        <v>49</v>
      </c>
      <c r="E1185" s="31">
        <v>46227.0</v>
      </c>
      <c r="F1185" s="26" t="s">
        <v>41</v>
      </c>
      <c r="G1185" s="26">
        <v>11.0</v>
      </c>
      <c r="I1185" s="26" t="s">
        <v>42</v>
      </c>
      <c r="J1185" s="25" t="str">
        <f t="shared" si="28"/>
        <v>No</v>
      </c>
      <c r="K1185" s="25" t="str">
        <f t="shared" si="29"/>
        <v/>
      </c>
      <c r="L1185" s="25" t="str">
        <f t="shared" si="30"/>
        <v/>
      </c>
      <c r="M1185" s="25"/>
      <c r="O1185" s="25"/>
    </row>
    <row r="1186" ht="15.75" customHeight="1">
      <c r="A1186" s="25" t="str">
        <f>IFERROR(__xludf.DUMMYFUNCTION("IF(B1186="""","""",RIGHT(REGEXREPLACE(B1186&amp;"""",""[^0-9]"",""""),9))"),"761585147")</f>
        <v>761585147</v>
      </c>
      <c r="B1186" s="26">
        <v>7.61585147E8</v>
      </c>
      <c r="C1186" s="28" t="s">
        <v>1409</v>
      </c>
      <c r="D1186" s="26" t="s">
        <v>37</v>
      </c>
      <c r="E1186" s="31">
        <v>46227.0</v>
      </c>
      <c r="F1186" s="26" t="s">
        <v>84</v>
      </c>
      <c r="G1186" s="26">
        <v>11.0</v>
      </c>
      <c r="I1186" s="26" t="s">
        <v>42</v>
      </c>
      <c r="J1186" s="25" t="str">
        <f t="shared" si="28"/>
        <v>No</v>
      </c>
      <c r="K1186" s="25" t="str">
        <f t="shared" si="29"/>
        <v/>
      </c>
      <c r="L1186" s="25" t="str">
        <f t="shared" si="30"/>
        <v/>
      </c>
      <c r="M1186" s="25"/>
      <c r="O1186" s="25"/>
    </row>
    <row r="1187" ht="15.75" customHeight="1">
      <c r="A1187" s="25" t="str">
        <f>IFERROR(__xludf.DUMMYFUNCTION("IF(B1187="""","""",RIGHT(REGEXREPLACE(B1187&amp;"""",""[^0-9]"",""""),9))"),"761585147")</f>
        <v>761585147</v>
      </c>
      <c r="B1187" s="52">
        <v>7.61585147E8</v>
      </c>
      <c r="C1187" s="28" t="s">
        <v>1409</v>
      </c>
      <c r="D1187" s="26" t="s">
        <v>56</v>
      </c>
      <c r="E1187" s="31">
        <v>46227.0</v>
      </c>
      <c r="F1187" s="26" t="s">
        <v>46</v>
      </c>
      <c r="G1187" s="26">
        <v>11.0</v>
      </c>
      <c r="I1187" s="26" t="s">
        <v>42</v>
      </c>
      <c r="J1187" s="25" t="str">
        <f t="shared" si="28"/>
        <v>Yes - see Previous F-Code</v>
      </c>
      <c r="K1187" s="25" t="str">
        <f t="shared" si="29"/>
        <v>DUPLICATE - CHECK</v>
      </c>
      <c r="L1187" s="25" t="str">
        <f t="shared" si="30"/>
        <v>F71137</v>
      </c>
      <c r="M1187" s="25"/>
      <c r="O1187" s="25"/>
    </row>
    <row r="1188" ht="15.75" customHeight="1">
      <c r="A1188" s="25" t="str">
        <f>IFERROR(__xludf.DUMMYFUNCTION("IF(B1188="""","""",RIGHT(REGEXREPLACE(B1188&amp;"""",""[^0-9]"",""""),9))"),"718033778")</f>
        <v>718033778</v>
      </c>
      <c r="B1188" s="52">
        <v>7.18033778E8</v>
      </c>
      <c r="C1188" s="28" t="s">
        <v>1410</v>
      </c>
      <c r="D1188" s="26" t="s">
        <v>82</v>
      </c>
      <c r="E1188" s="31">
        <v>46227.0</v>
      </c>
      <c r="F1188" s="26" t="s">
        <v>46</v>
      </c>
      <c r="G1188" s="26">
        <v>11.0</v>
      </c>
      <c r="I1188" s="26" t="s">
        <v>42</v>
      </c>
      <c r="J1188" s="25" t="str">
        <f t="shared" si="28"/>
        <v>No</v>
      </c>
      <c r="K1188" s="25" t="str">
        <f t="shared" si="29"/>
        <v/>
      </c>
      <c r="L1188" s="25" t="str">
        <f t="shared" si="30"/>
        <v/>
      </c>
      <c r="M1188" s="25"/>
      <c r="O1188" s="25"/>
    </row>
    <row r="1189" ht="15.75" customHeight="1">
      <c r="A1189" s="25" t="str">
        <f>IFERROR(__xludf.DUMMYFUNCTION("IF(B1189="""","""",RIGHT(REGEXREPLACE(B1189&amp;"""",""[^0-9]"",""""),9))"),"788453392")</f>
        <v>788453392</v>
      </c>
      <c r="B1189" s="52">
        <v>7.88453392E8</v>
      </c>
      <c r="C1189" s="28" t="s">
        <v>1411</v>
      </c>
      <c r="D1189" s="26" t="s">
        <v>45</v>
      </c>
      <c r="E1189" s="31">
        <v>46227.0</v>
      </c>
      <c r="F1189" s="26" t="s">
        <v>164</v>
      </c>
      <c r="I1189" s="26" t="s">
        <v>42</v>
      </c>
      <c r="J1189" s="25" t="str">
        <f t="shared" si="28"/>
        <v>No</v>
      </c>
      <c r="K1189" s="25" t="str">
        <f t="shared" si="29"/>
        <v/>
      </c>
      <c r="L1189" s="25" t="str">
        <f t="shared" si="30"/>
        <v/>
      </c>
      <c r="M1189" s="25"/>
      <c r="O1189" s="25"/>
    </row>
    <row r="1190" ht="15.75" customHeight="1">
      <c r="A1190" s="25" t="str">
        <f>IFERROR(__xludf.DUMMYFUNCTION("IF(B1190="""","""",RIGHT(REGEXREPLACE(B1190&amp;"""",""[^0-9]"",""""),9))"),"762084882")</f>
        <v>762084882</v>
      </c>
      <c r="B1190" s="52">
        <v>7.62084882E8</v>
      </c>
      <c r="C1190" s="28" t="s">
        <v>1412</v>
      </c>
      <c r="D1190" s="26" t="s">
        <v>45</v>
      </c>
      <c r="E1190" s="31">
        <v>46227.0</v>
      </c>
      <c r="F1190" s="26" t="s">
        <v>41</v>
      </c>
      <c r="I1190" s="26" t="s">
        <v>42</v>
      </c>
      <c r="J1190" s="25" t="str">
        <f t="shared" si="28"/>
        <v>No</v>
      </c>
      <c r="K1190" s="25" t="str">
        <f t="shared" si="29"/>
        <v/>
      </c>
      <c r="L1190" s="25" t="str">
        <f t="shared" si="30"/>
        <v/>
      </c>
      <c r="M1190" s="25"/>
      <c r="O1190" s="25"/>
    </row>
    <row r="1191" ht="15.75" customHeight="1">
      <c r="A1191" s="25" t="str">
        <f>IFERROR(__xludf.DUMMYFUNCTION("IF(B1191="""","""",RIGHT(REGEXREPLACE(B1191&amp;"""",""[^0-9]"",""""),9))"),"775778376")</f>
        <v>775778376</v>
      </c>
      <c r="B1191" s="52">
        <v>7.75778376E8</v>
      </c>
      <c r="C1191" s="28" t="s">
        <v>1413</v>
      </c>
      <c r="D1191" s="26" t="s">
        <v>49</v>
      </c>
      <c r="E1191" s="31">
        <v>46227.0</v>
      </c>
      <c r="F1191" s="26" t="s">
        <v>46</v>
      </c>
      <c r="G1191" s="26">
        <v>11.0</v>
      </c>
      <c r="I1191" s="26" t="s">
        <v>42</v>
      </c>
      <c r="J1191" s="25" t="str">
        <f t="shared" si="28"/>
        <v>No</v>
      </c>
      <c r="K1191" s="25" t="str">
        <f t="shared" si="29"/>
        <v/>
      </c>
      <c r="L1191" s="25" t="str">
        <f t="shared" si="30"/>
        <v/>
      </c>
      <c r="M1191" s="25"/>
      <c r="O1191" s="25"/>
    </row>
    <row r="1192" ht="15.75" customHeight="1">
      <c r="A1192" s="25" t="str">
        <f>IFERROR(__xludf.DUMMYFUNCTION("IF(B1192="""","""",RIGHT(REGEXREPLACE(B1192&amp;"""",""[^0-9]"",""""),9))"),"742395922")</f>
        <v>742395922</v>
      </c>
      <c r="B1192" s="26">
        <v>7.42395922E8</v>
      </c>
      <c r="C1192" s="28" t="s">
        <v>1414</v>
      </c>
      <c r="D1192" s="26" t="s">
        <v>37</v>
      </c>
      <c r="E1192" s="31">
        <v>46227.0</v>
      </c>
      <c r="F1192" s="26" t="s">
        <v>46</v>
      </c>
      <c r="G1192" s="26">
        <v>11.0</v>
      </c>
      <c r="H1192" s="26" t="s">
        <v>1415</v>
      </c>
      <c r="I1192" s="26" t="s">
        <v>42</v>
      </c>
      <c r="J1192" s="25" t="str">
        <f t="shared" si="28"/>
        <v>No</v>
      </c>
      <c r="K1192" s="25" t="str">
        <f t="shared" si="29"/>
        <v/>
      </c>
      <c r="L1192" s="25" t="str">
        <f t="shared" si="30"/>
        <v/>
      </c>
      <c r="M1192" s="25"/>
      <c r="O1192" s="25"/>
    </row>
    <row r="1193" ht="15.75" customHeight="1">
      <c r="A1193" s="25" t="str">
        <f>IFERROR(__xludf.DUMMYFUNCTION("IF(B1193="""","""",RIGHT(REGEXREPLACE(B1193&amp;"""",""[^0-9]"",""""),9))"),"770387644")</f>
        <v>770387644</v>
      </c>
      <c r="B1193" s="52">
        <v>7.70387644E8</v>
      </c>
      <c r="C1193" s="28" t="s">
        <v>1416</v>
      </c>
      <c r="D1193" s="26" t="s">
        <v>56</v>
      </c>
      <c r="E1193" s="31">
        <v>46227.0</v>
      </c>
      <c r="F1193" s="26" t="s">
        <v>46</v>
      </c>
      <c r="G1193" s="26">
        <v>11.0</v>
      </c>
      <c r="I1193" s="26" t="s">
        <v>42</v>
      </c>
      <c r="J1193" s="25" t="str">
        <f t="shared" si="28"/>
        <v>No</v>
      </c>
      <c r="K1193" s="25" t="str">
        <f t="shared" si="29"/>
        <v/>
      </c>
      <c r="L1193" s="25" t="str">
        <f t="shared" si="30"/>
        <v/>
      </c>
      <c r="M1193" s="25"/>
      <c r="O1193" s="25"/>
    </row>
    <row r="1194" ht="15.75" customHeight="1">
      <c r="A1194" s="25" t="str">
        <f>IFERROR(__xludf.DUMMYFUNCTION("IF(B1194="""","""",RIGHT(REGEXREPLACE(B1194&amp;"""",""[^0-9]"",""""),9))"),"741154287")</f>
        <v>741154287</v>
      </c>
      <c r="B1194" s="52">
        <v>7.41154287E8</v>
      </c>
      <c r="C1194" s="28" t="s">
        <v>1417</v>
      </c>
      <c r="D1194" s="26" t="s">
        <v>82</v>
      </c>
      <c r="E1194" s="31">
        <v>46227.0</v>
      </c>
      <c r="F1194" s="26" t="s">
        <v>41</v>
      </c>
      <c r="I1194" s="26" t="s">
        <v>42</v>
      </c>
      <c r="J1194" s="25" t="str">
        <f t="shared" si="28"/>
        <v>No</v>
      </c>
      <c r="K1194" s="25" t="str">
        <f t="shared" si="29"/>
        <v/>
      </c>
      <c r="L1194" s="25" t="str">
        <f t="shared" si="30"/>
        <v/>
      </c>
      <c r="M1194" s="25"/>
      <c r="O1194" s="25"/>
    </row>
    <row r="1195" ht="15.75" customHeight="1">
      <c r="A1195" s="25" t="str">
        <f>IFERROR(__xludf.DUMMYFUNCTION("IF(B1195="""","""",RIGHT(REGEXREPLACE(B1195&amp;"""",""[^0-9]"",""""),9))"),"776152814")</f>
        <v>776152814</v>
      </c>
      <c r="B1195" s="52">
        <v>7.76152814E8</v>
      </c>
      <c r="C1195" s="28" t="s">
        <v>1418</v>
      </c>
      <c r="D1195" s="26" t="s">
        <v>49</v>
      </c>
      <c r="E1195" s="31">
        <v>46227.0</v>
      </c>
      <c r="F1195" s="26" t="s">
        <v>41</v>
      </c>
      <c r="G1195" s="26">
        <v>11.0</v>
      </c>
      <c r="I1195" s="26" t="s">
        <v>42</v>
      </c>
      <c r="J1195" s="25" t="str">
        <f t="shared" si="28"/>
        <v>No</v>
      </c>
      <c r="K1195" s="25" t="str">
        <f t="shared" si="29"/>
        <v/>
      </c>
      <c r="L1195" s="25" t="str">
        <f t="shared" si="30"/>
        <v/>
      </c>
      <c r="M1195" s="25"/>
      <c r="O1195" s="25"/>
    </row>
    <row r="1196" ht="15.75" customHeight="1">
      <c r="A1196" s="25" t="str">
        <f>IFERROR(__xludf.DUMMYFUNCTION("IF(B1196="""","""",RIGHT(REGEXREPLACE(B1196&amp;"""",""[^0-9]"",""""),9))"),"762992915")</f>
        <v>762992915</v>
      </c>
      <c r="B1196" s="52">
        <v>7.62992915E8</v>
      </c>
      <c r="C1196" s="28" t="s">
        <v>146</v>
      </c>
      <c r="D1196" s="26" t="s">
        <v>45</v>
      </c>
      <c r="E1196" s="31">
        <v>46227.0</v>
      </c>
      <c r="F1196" s="26" t="s">
        <v>46</v>
      </c>
      <c r="G1196" s="26">
        <v>11.0</v>
      </c>
      <c r="I1196" s="26" t="s">
        <v>42</v>
      </c>
      <c r="J1196" s="25" t="str">
        <f t="shared" si="28"/>
        <v>Yes - see Previous F-Code</v>
      </c>
      <c r="K1196" s="25" t="str">
        <f t="shared" si="29"/>
        <v>DUPLICATE - CHECK</v>
      </c>
      <c r="L1196" s="25" t="str">
        <f t="shared" si="30"/>
        <v>F70061</v>
      </c>
      <c r="M1196" s="25"/>
      <c r="O1196" s="25"/>
    </row>
    <row r="1197" ht="15.75" customHeight="1">
      <c r="A1197" s="25" t="str">
        <f>IFERROR(__xludf.DUMMYFUNCTION("IF(B1197="""","""",RIGHT(REGEXREPLACE(B1197&amp;"""",""[^0-9]"",""""),9))"),"778241843")</f>
        <v>778241843</v>
      </c>
      <c r="B1197" s="52">
        <v>7.78241843E8</v>
      </c>
      <c r="C1197" s="28" t="s">
        <v>420</v>
      </c>
      <c r="D1197" s="26" t="s">
        <v>56</v>
      </c>
      <c r="E1197" s="31">
        <v>46227.0</v>
      </c>
      <c r="F1197" s="26" t="s">
        <v>46</v>
      </c>
      <c r="G1197" s="26">
        <v>11.0</v>
      </c>
      <c r="I1197" s="26" t="s">
        <v>42</v>
      </c>
      <c r="J1197" s="25" t="str">
        <f t="shared" si="28"/>
        <v>Yes - see Previous F-Code</v>
      </c>
      <c r="K1197" s="25" t="str">
        <f t="shared" si="29"/>
        <v>DUPLICATE - CHECK</v>
      </c>
      <c r="L1197" s="25" t="str">
        <f t="shared" si="30"/>
        <v>F70258</v>
      </c>
      <c r="M1197" s="25"/>
      <c r="O1197" s="25"/>
    </row>
    <row r="1198" ht="15.75" customHeight="1">
      <c r="A1198" s="25" t="str">
        <f>IFERROR(__xludf.DUMMYFUNCTION("IF(B1198="""","""",RIGHT(REGEXREPLACE(B1198&amp;"""",""[^0-9]"",""""),9))"),"760180630")</f>
        <v>760180630</v>
      </c>
      <c r="B1198" s="52">
        <v>7.6018063E8</v>
      </c>
      <c r="C1198" s="28" t="s">
        <v>1419</v>
      </c>
      <c r="D1198" s="26" t="s">
        <v>56</v>
      </c>
      <c r="E1198" s="31">
        <v>46227.0</v>
      </c>
      <c r="F1198" s="26" t="s">
        <v>41</v>
      </c>
      <c r="I1198" s="26" t="s">
        <v>42</v>
      </c>
      <c r="J1198" s="25" t="str">
        <f t="shared" si="28"/>
        <v>No</v>
      </c>
      <c r="K1198" s="25" t="str">
        <f t="shared" si="29"/>
        <v/>
      </c>
      <c r="L1198" s="25" t="str">
        <f t="shared" si="30"/>
        <v/>
      </c>
      <c r="M1198" s="25"/>
      <c r="O1198" s="25"/>
    </row>
    <row r="1199" ht="15.75" customHeight="1">
      <c r="A1199" s="25" t="str">
        <f>IFERROR(__xludf.DUMMYFUNCTION("IF(B1199="""","""",RIGHT(REGEXREPLACE(B1199&amp;"""",""[^0-9]"",""""),9))"),"767676457")</f>
        <v>767676457</v>
      </c>
      <c r="B1199" s="52">
        <v>7.67676457E8</v>
      </c>
      <c r="C1199" s="28" t="s">
        <v>1420</v>
      </c>
      <c r="D1199" s="26" t="s">
        <v>49</v>
      </c>
      <c r="E1199" s="31">
        <v>46227.0</v>
      </c>
      <c r="F1199" s="26" t="s">
        <v>164</v>
      </c>
      <c r="G1199" s="26">
        <v>11.0</v>
      </c>
      <c r="I1199" s="26" t="s">
        <v>42</v>
      </c>
      <c r="J1199" s="25" t="str">
        <f t="shared" si="28"/>
        <v>No</v>
      </c>
      <c r="K1199" s="25" t="str">
        <f t="shared" si="29"/>
        <v/>
      </c>
      <c r="L1199" s="25" t="str">
        <f t="shared" si="30"/>
        <v/>
      </c>
      <c r="M1199" s="25"/>
      <c r="O1199" s="25"/>
    </row>
    <row r="1200" ht="15.75" customHeight="1">
      <c r="A1200" s="25" t="str">
        <f>IFERROR(__xludf.DUMMYFUNCTION("IF(B1200="""","""",RIGHT(REGEXREPLACE(B1200&amp;"""",""[^0-9]"",""""),9))"),"718270195")</f>
        <v>718270195</v>
      </c>
      <c r="B1200" s="26">
        <v>7.18270195E8</v>
      </c>
      <c r="C1200" s="28" t="s">
        <v>1419</v>
      </c>
      <c r="D1200" s="26" t="s">
        <v>37</v>
      </c>
      <c r="E1200" s="31">
        <v>46227.0</v>
      </c>
      <c r="F1200" s="26" t="s">
        <v>46</v>
      </c>
      <c r="G1200" s="26">
        <v>11.0</v>
      </c>
      <c r="I1200" s="26" t="s">
        <v>42</v>
      </c>
      <c r="J1200" s="25" t="str">
        <f t="shared" si="28"/>
        <v>No</v>
      </c>
      <c r="K1200" s="25" t="str">
        <f t="shared" si="29"/>
        <v/>
      </c>
      <c r="L1200" s="25" t="str">
        <f t="shared" si="30"/>
        <v/>
      </c>
      <c r="M1200" s="25"/>
      <c r="O1200" s="25"/>
    </row>
    <row r="1201" ht="15.75" customHeight="1">
      <c r="A1201" s="25" t="str">
        <f>IFERROR(__xludf.DUMMYFUNCTION("IF(B1201="""","""",RIGHT(REGEXREPLACE(B1201&amp;"""",""[^0-9]"",""""),9))"),"702463275")</f>
        <v>702463275</v>
      </c>
      <c r="B1201" s="52">
        <v>7.02463275E8</v>
      </c>
      <c r="C1201" s="28" t="s">
        <v>1421</v>
      </c>
      <c r="D1201" s="26" t="s">
        <v>82</v>
      </c>
      <c r="E1201" s="31">
        <v>46227.0</v>
      </c>
      <c r="F1201" s="26" t="s">
        <v>125</v>
      </c>
      <c r="G1201" s="26">
        <v>11.0</v>
      </c>
      <c r="I1201" s="26" t="s">
        <v>42</v>
      </c>
      <c r="J1201" s="25" t="str">
        <f t="shared" si="28"/>
        <v>No</v>
      </c>
      <c r="K1201" s="25" t="str">
        <f t="shared" si="29"/>
        <v/>
      </c>
      <c r="L1201" s="25" t="str">
        <f t="shared" si="30"/>
        <v/>
      </c>
      <c r="M1201" s="25"/>
      <c r="O1201" s="25"/>
    </row>
    <row r="1202" ht="15.75" customHeight="1">
      <c r="A1202" s="25" t="str">
        <f>IFERROR(__xludf.DUMMYFUNCTION("IF(B1202="""","""",RIGHT(REGEXREPLACE(B1202&amp;"""",""[^0-9]"",""""),9))"),"717416550")</f>
        <v>717416550</v>
      </c>
      <c r="B1202" s="52">
        <v>7.1741655E8</v>
      </c>
      <c r="C1202" s="28" t="s">
        <v>1422</v>
      </c>
      <c r="D1202" s="26" t="s">
        <v>45</v>
      </c>
      <c r="E1202" s="31">
        <v>46227.0</v>
      </c>
      <c r="F1202" s="26" t="s">
        <v>41</v>
      </c>
      <c r="I1202" s="26" t="s">
        <v>42</v>
      </c>
      <c r="J1202" s="25" t="str">
        <f t="shared" si="28"/>
        <v>No</v>
      </c>
      <c r="K1202" s="25" t="str">
        <f t="shared" si="29"/>
        <v/>
      </c>
      <c r="L1202" s="25" t="str">
        <f t="shared" si="30"/>
        <v/>
      </c>
      <c r="M1202" s="25"/>
      <c r="O1202" s="25"/>
    </row>
    <row r="1203" ht="15.75" customHeight="1">
      <c r="A1203" s="25" t="str">
        <f>IFERROR(__xludf.DUMMYFUNCTION("IF(B1203="""","""",RIGHT(REGEXREPLACE(B1203&amp;"""",""[^0-9]"",""""),9))"),"776254224")</f>
        <v>776254224</v>
      </c>
      <c r="B1203" s="26">
        <v>7.76254224E8</v>
      </c>
      <c r="C1203" s="28" t="s">
        <v>1423</v>
      </c>
      <c r="D1203" s="26" t="s">
        <v>37</v>
      </c>
      <c r="E1203" s="31">
        <v>46227.0</v>
      </c>
      <c r="F1203" s="26" t="s">
        <v>84</v>
      </c>
      <c r="I1203" s="26" t="s">
        <v>42</v>
      </c>
      <c r="J1203" s="25" t="str">
        <f t="shared" si="28"/>
        <v>No</v>
      </c>
      <c r="K1203" s="25" t="str">
        <f t="shared" si="29"/>
        <v/>
      </c>
      <c r="L1203" s="25" t="str">
        <f t="shared" si="30"/>
        <v/>
      </c>
      <c r="M1203" s="25"/>
      <c r="O1203" s="25"/>
    </row>
    <row r="1204" ht="15.75" customHeight="1">
      <c r="A1204" s="25" t="str">
        <f>IFERROR(__xludf.DUMMYFUNCTION("IF(B1204="""","""",RIGHT(REGEXREPLACE(B1204&amp;"""",""[^0-9]"",""""),9))"),"760180630")</f>
        <v>760180630</v>
      </c>
      <c r="B1204" s="52">
        <v>7.6018063E8</v>
      </c>
      <c r="C1204" s="28" t="s">
        <v>1424</v>
      </c>
      <c r="D1204" s="26" t="s">
        <v>49</v>
      </c>
      <c r="E1204" s="31">
        <v>46227.0</v>
      </c>
      <c r="F1204" s="26" t="s">
        <v>46</v>
      </c>
      <c r="G1204" s="26">
        <v>10.0</v>
      </c>
      <c r="I1204" s="26" t="s">
        <v>42</v>
      </c>
      <c r="J1204" s="25" t="str">
        <f t="shared" si="28"/>
        <v>Yes - see Previous F-Code</v>
      </c>
      <c r="K1204" s="25" t="str">
        <f t="shared" si="29"/>
        <v>DUPLICATE - CHECK</v>
      </c>
      <c r="L1204" s="25" t="str">
        <f t="shared" si="30"/>
        <v>F71146</v>
      </c>
      <c r="M1204" s="25"/>
      <c r="O1204" s="25"/>
    </row>
    <row r="1205" ht="15.75" customHeight="1">
      <c r="A1205" s="25" t="str">
        <f>IFERROR(__xludf.DUMMYFUNCTION("IF(B1205="""","""",RIGHT(REGEXREPLACE(B1205&amp;"""",""[^0-9]"",""""),9))"),"724994253")</f>
        <v>724994253</v>
      </c>
      <c r="B1205" s="52">
        <v>7.24994253E8</v>
      </c>
      <c r="C1205" s="28" t="s">
        <v>1425</v>
      </c>
      <c r="D1205" s="26" t="s">
        <v>45</v>
      </c>
      <c r="E1205" s="31">
        <v>46227.0</v>
      </c>
      <c r="F1205" s="26" t="s">
        <v>46</v>
      </c>
      <c r="G1205" s="26" t="s">
        <v>1426</v>
      </c>
      <c r="I1205" s="26" t="s">
        <v>42</v>
      </c>
      <c r="J1205" s="25" t="str">
        <f t="shared" si="28"/>
        <v>No</v>
      </c>
      <c r="K1205" s="25" t="str">
        <f t="shared" si="29"/>
        <v/>
      </c>
      <c r="L1205" s="25" t="str">
        <f t="shared" si="30"/>
        <v/>
      </c>
      <c r="M1205" s="25"/>
      <c r="O1205" s="25"/>
    </row>
    <row r="1206" ht="15.75" customHeight="1">
      <c r="A1206" s="25" t="str">
        <f>IFERROR(__xludf.DUMMYFUNCTION("IF(B1206="""","""",RIGHT(REGEXREPLACE(B1206&amp;"""",""[^0-9]"",""""),9))"),"768096234")</f>
        <v>768096234</v>
      </c>
      <c r="B1206" s="26">
        <v>7.68096234E8</v>
      </c>
      <c r="C1206" s="28" t="s">
        <v>1427</v>
      </c>
      <c r="D1206" s="26" t="s">
        <v>37</v>
      </c>
      <c r="E1206" s="31">
        <v>46227.0</v>
      </c>
      <c r="F1206" s="26" t="s">
        <v>704</v>
      </c>
      <c r="G1206" s="26">
        <v>11.0</v>
      </c>
      <c r="H1206" s="26" t="s">
        <v>1428</v>
      </c>
      <c r="I1206" s="26" t="s">
        <v>42</v>
      </c>
      <c r="J1206" s="25" t="str">
        <f t="shared" si="28"/>
        <v>No</v>
      </c>
      <c r="K1206" s="25" t="str">
        <f t="shared" si="29"/>
        <v/>
      </c>
      <c r="L1206" s="25" t="str">
        <f t="shared" si="30"/>
        <v/>
      </c>
      <c r="M1206" s="25"/>
      <c r="O1206" s="25"/>
    </row>
    <row r="1207" ht="15.75" customHeight="1">
      <c r="A1207" s="25" t="str">
        <f>IFERROR(__xludf.DUMMYFUNCTION("IF(B1207="""","""",RIGHT(REGEXREPLACE(B1207&amp;"""",""[^0-9]"",""""),9))"),"776417284")</f>
        <v>776417284</v>
      </c>
      <c r="B1207" s="52">
        <v>7.76417284E8</v>
      </c>
      <c r="C1207" s="28" t="s">
        <v>1429</v>
      </c>
      <c r="D1207" s="26" t="s">
        <v>82</v>
      </c>
      <c r="E1207" s="31">
        <v>46227.0</v>
      </c>
      <c r="F1207" s="26" t="s">
        <v>46</v>
      </c>
      <c r="G1207" s="26">
        <v>11.0</v>
      </c>
      <c r="I1207" s="26" t="s">
        <v>42</v>
      </c>
      <c r="J1207" s="25" t="str">
        <f t="shared" si="28"/>
        <v>No</v>
      </c>
      <c r="K1207" s="25" t="str">
        <f t="shared" si="29"/>
        <v/>
      </c>
      <c r="L1207" s="25" t="str">
        <f t="shared" si="30"/>
        <v/>
      </c>
      <c r="M1207" s="25"/>
      <c r="O1207" s="25"/>
    </row>
    <row r="1208" ht="15.75" customHeight="1">
      <c r="A1208" s="25" t="str">
        <f>IFERROR(__xludf.DUMMYFUNCTION("IF(B1208="""","""",RIGHT(REGEXREPLACE(B1208&amp;"""",""[^0-9]"",""""),9))"),"763740886")</f>
        <v>763740886</v>
      </c>
      <c r="B1208" s="26">
        <v>7.63740886E8</v>
      </c>
      <c r="C1208" s="28" t="s">
        <v>1430</v>
      </c>
      <c r="D1208" s="26" t="s">
        <v>37</v>
      </c>
      <c r="E1208" s="31">
        <v>46227.0</v>
      </c>
      <c r="F1208" s="26" t="s">
        <v>164</v>
      </c>
      <c r="G1208" s="26">
        <v>11.0</v>
      </c>
      <c r="I1208" s="26" t="s">
        <v>42</v>
      </c>
      <c r="J1208" s="25" t="str">
        <f t="shared" si="28"/>
        <v>No</v>
      </c>
      <c r="K1208" s="25" t="str">
        <f t="shared" si="29"/>
        <v/>
      </c>
      <c r="L1208" s="25" t="str">
        <f t="shared" si="30"/>
        <v/>
      </c>
      <c r="M1208" s="25"/>
      <c r="O1208" s="25"/>
    </row>
    <row r="1209" ht="15.75" customHeight="1">
      <c r="A1209" s="25" t="str">
        <f>IFERROR(__xludf.DUMMYFUNCTION("IF(B1209="""","""",RIGHT(REGEXREPLACE(B1209&amp;"""",""[^0-9]"",""""),9))"),"712067205")</f>
        <v>712067205</v>
      </c>
      <c r="B1209" s="52">
        <v>7.12067205E8</v>
      </c>
      <c r="C1209" s="28" t="s">
        <v>1431</v>
      </c>
      <c r="D1209" s="26" t="s">
        <v>49</v>
      </c>
      <c r="E1209" s="31">
        <v>46227.0</v>
      </c>
      <c r="F1209" s="26" t="s">
        <v>46</v>
      </c>
      <c r="G1209" s="26">
        <v>11.0</v>
      </c>
      <c r="I1209" s="26" t="s">
        <v>42</v>
      </c>
      <c r="J1209" s="25" t="str">
        <f t="shared" si="28"/>
        <v>No</v>
      </c>
      <c r="K1209" s="25" t="str">
        <f t="shared" si="29"/>
        <v/>
      </c>
      <c r="L1209" s="25" t="str">
        <f t="shared" si="30"/>
        <v/>
      </c>
      <c r="M1209" s="25"/>
      <c r="O1209" s="25"/>
    </row>
    <row r="1210" ht="15.75" customHeight="1">
      <c r="A1210" s="25" t="str">
        <f>IFERROR(__xludf.DUMMYFUNCTION("IF(B1210="""","""",RIGHT(REGEXREPLACE(B1210&amp;"""",""[^0-9]"",""""),9))"),"719601930")</f>
        <v>719601930</v>
      </c>
      <c r="B1210" s="26">
        <v>7.1960193E8</v>
      </c>
      <c r="C1210" s="28" t="s">
        <v>1432</v>
      </c>
      <c r="D1210" s="26" t="s">
        <v>37</v>
      </c>
      <c r="E1210" s="31">
        <v>46227.0</v>
      </c>
      <c r="F1210" s="26" t="s">
        <v>205</v>
      </c>
      <c r="G1210" s="26">
        <v>9.0</v>
      </c>
      <c r="I1210" s="26" t="s">
        <v>42</v>
      </c>
      <c r="J1210" s="25" t="str">
        <f t="shared" si="28"/>
        <v>No</v>
      </c>
      <c r="K1210" s="25" t="str">
        <f t="shared" si="29"/>
        <v/>
      </c>
      <c r="L1210" s="25" t="str">
        <f t="shared" si="30"/>
        <v/>
      </c>
      <c r="M1210" s="25"/>
      <c r="O1210" s="25"/>
    </row>
    <row r="1211" ht="15.75" customHeight="1">
      <c r="A1211" s="25" t="str">
        <f>IFERROR(__xludf.DUMMYFUNCTION("IF(B1211="""","""",RIGHT(REGEXREPLACE(B1211&amp;"""",""[^0-9]"",""""),9))"),"763901436")</f>
        <v>763901436</v>
      </c>
      <c r="B1211" s="52">
        <v>7.63901436E8</v>
      </c>
      <c r="C1211" s="28" t="s">
        <v>1433</v>
      </c>
      <c r="D1211" s="26" t="s">
        <v>45</v>
      </c>
      <c r="E1211" s="31">
        <v>46227.0</v>
      </c>
      <c r="F1211" s="26" t="s">
        <v>46</v>
      </c>
      <c r="G1211" s="26">
        <v>11.0</v>
      </c>
      <c r="I1211" s="26" t="s">
        <v>42</v>
      </c>
      <c r="J1211" s="25" t="str">
        <f t="shared" si="28"/>
        <v>No</v>
      </c>
      <c r="K1211" s="25" t="str">
        <f t="shared" si="29"/>
        <v/>
      </c>
      <c r="L1211" s="25" t="str">
        <f t="shared" si="30"/>
        <v/>
      </c>
      <c r="M1211" s="25"/>
      <c r="O1211" s="25"/>
    </row>
    <row r="1212" ht="15.75" customHeight="1">
      <c r="A1212" s="25" t="str">
        <f>IFERROR(__xludf.DUMMYFUNCTION("IF(B1212="""","""",RIGHT(REGEXREPLACE(B1212&amp;"""",""[^0-9]"",""""),9))"),"761699669")</f>
        <v>761699669</v>
      </c>
      <c r="B1212" s="52">
        <v>7.61699669E8</v>
      </c>
      <c r="C1212" s="28" t="s">
        <v>1434</v>
      </c>
      <c r="D1212" s="26" t="s">
        <v>56</v>
      </c>
      <c r="E1212" s="31">
        <v>46227.0</v>
      </c>
      <c r="F1212" s="26" t="s">
        <v>41</v>
      </c>
      <c r="I1212" s="26" t="s">
        <v>42</v>
      </c>
      <c r="J1212" s="25" t="str">
        <f t="shared" si="28"/>
        <v>No</v>
      </c>
      <c r="K1212" s="25" t="str">
        <f t="shared" si="29"/>
        <v/>
      </c>
      <c r="L1212" s="25" t="str">
        <f t="shared" si="30"/>
        <v/>
      </c>
      <c r="M1212" s="25"/>
      <c r="O1212" s="25"/>
    </row>
    <row r="1213" ht="15.75" customHeight="1">
      <c r="A1213" s="25" t="str">
        <f>IFERROR(__xludf.DUMMYFUNCTION("IF(B1213="""","""",RIGHT(REGEXREPLACE(B1213&amp;"""",""[^0-9]"",""""),9))"),"714466598")</f>
        <v>714466598</v>
      </c>
      <c r="B1213" s="52">
        <v>7.14466598E8</v>
      </c>
      <c r="C1213" s="28" t="s">
        <v>1435</v>
      </c>
      <c r="D1213" s="26" t="s">
        <v>82</v>
      </c>
      <c r="E1213" s="31">
        <v>46227.0</v>
      </c>
      <c r="F1213" s="26" t="s">
        <v>41</v>
      </c>
      <c r="G1213" s="26">
        <v>11.0</v>
      </c>
      <c r="I1213" s="26" t="s">
        <v>42</v>
      </c>
      <c r="J1213" s="25" t="str">
        <f t="shared" si="28"/>
        <v>No</v>
      </c>
      <c r="K1213" s="25" t="str">
        <f t="shared" si="29"/>
        <v/>
      </c>
      <c r="L1213" s="25" t="str">
        <f t="shared" si="30"/>
        <v/>
      </c>
      <c r="M1213" s="25"/>
      <c r="O1213" s="25"/>
    </row>
    <row r="1214" ht="15.75" customHeight="1">
      <c r="A1214" s="25" t="str">
        <f>IFERROR(__xludf.DUMMYFUNCTION("IF(B1214="""","""",RIGHT(REGEXREPLACE(B1214&amp;"""",""[^0-9]"",""""),9))"),"714111266")</f>
        <v>714111266</v>
      </c>
      <c r="B1214" s="26">
        <v>7.14111266E8</v>
      </c>
      <c r="C1214" s="28" t="s">
        <v>1436</v>
      </c>
      <c r="D1214" s="26" t="s">
        <v>37</v>
      </c>
      <c r="E1214" s="31">
        <v>46227.0</v>
      </c>
      <c r="F1214" s="26" t="s">
        <v>46</v>
      </c>
      <c r="G1214" s="26">
        <v>11.0</v>
      </c>
      <c r="H1214" s="26" t="s">
        <v>611</v>
      </c>
      <c r="I1214" s="26" t="s">
        <v>42</v>
      </c>
      <c r="J1214" s="25" t="str">
        <f t="shared" si="28"/>
        <v>No</v>
      </c>
      <c r="K1214" s="25" t="str">
        <f t="shared" si="29"/>
        <v/>
      </c>
      <c r="L1214" s="25" t="str">
        <f t="shared" si="30"/>
        <v/>
      </c>
      <c r="M1214" s="25"/>
      <c r="O1214" s="25"/>
    </row>
    <row r="1215" ht="15.75" customHeight="1">
      <c r="A1215" s="25" t="str">
        <f>IFERROR(__xludf.DUMMYFUNCTION("IF(B1215="""","""",RIGHT(REGEXREPLACE(B1215&amp;"""",""[^0-9]"",""""),9))"),"742078756")</f>
        <v>742078756</v>
      </c>
      <c r="B1215" s="26">
        <v>7.42078756E8</v>
      </c>
      <c r="C1215" s="28" t="s">
        <v>1437</v>
      </c>
      <c r="D1215" s="26" t="s">
        <v>37</v>
      </c>
      <c r="E1215" s="31">
        <v>46227.0</v>
      </c>
      <c r="F1215" s="26" t="s">
        <v>41</v>
      </c>
      <c r="G1215" s="26">
        <v>11.0</v>
      </c>
      <c r="I1215" s="26" t="s">
        <v>42</v>
      </c>
      <c r="J1215" s="25" t="str">
        <f t="shared" si="28"/>
        <v>No</v>
      </c>
      <c r="K1215" s="25" t="str">
        <f t="shared" si="29"/>
        <v/>
      </c>
      <c r="L1215" s="25" t="str">
        <f t="shared" si="30"/>
        <v/>
      </c>
      <c r="M1215" s="25"/>
      <c r="O1215" s="25"/>
    </row>
    <row r="1216" ht="15.75" customHeight="1">
      <c r="A1216" s="25" t="str">
        <f>IFERROR(__xludf.DUMMYFUNCTION("IF(B1216="""","""",RIGHT(REGEXREPLACE(B1216&amp;"""",""[^0-9]"",""""),9))"),"777789581")</f>
        <v>777789581</v>
      </c>
      <c r="B1216" s="52">
        <v>7.77789581E8</v>
      </c>
      <c r="C1216" s="28" t="s">
        <v>1438</v>
      </c>
      <c r="D1216" s="26" t="s">
        <v>45</v>
      </c>
      <c r="E1216" s="31">
        <v>46227.0</v>
      </c>
      <c r="F1216" s="26" t="s">
        <v>41</v>
      </c>
      <c r="I1216" s="26" t="s">
        <v>42</v>
      </c>
      <c r="J1216" s="25" t="str">
        <f t="shared" si="28"/>
        <v>No</v>
      </c>
      <c r="K1216" s="25" t="str">
        <f t="shared" si="29"/>
        <v/>
      </c>
      <c r="L1216" s="25" t="str">
        <f t="shared" si="30"/>
        <v/>
      </c>
      <c r="M1216" s="25"/>
      <c r="O1216" s="25"/>
    </row>
    <row r="1217" ht="15.75" customHeight="1">
      <c r="A1217" s="25" t="str">
        <f>IFERROR(__xludf.DUMMYFUNCTION("IF(B1217="""","""",RIGHT(REGEXREPLACE(B1217&amp;"""",""[^0-9]"",""""),9))"),"766272844")</f>
        <v>766272844</v>
      </c>
      <c r="B1217" s="52">
        <v>7.66272844E8</v>
      </c>
      <c r="C1217" s="28" t="s">
        <v>1439</v>
      </c>
      <c r="D1217" s="26" t="s">
        <v>49</v>
      </c>
      <c r="E1217" s="31">
        <v>46227.0</v>
      </c>
      <c r="F1217" s="26" t="s">
        <v>41</v>
      </c>
      <c r="G1217" s="26">
        <v>11.0</v>
      </c>
      <c r="I1217" s="26" t="s">
        <v>42</v>
      </c>
      <c r="J1217" s="25" t="str">
        <f t="shared" si="28"/>
        <v>No</v>
      </c>
      <c r="K1217" s="25" t="str">
        <f t="shared" si="29"/>
        <v/>
      </c>
      <c r="L1217" s="25" t="str">
        <f t="shared" si="30"/>
        <v/>
      </c>
      <c r="M1217" s="25"/>
      <c r="O1217" s="25"/>
    </row>
    <row r="1218" ht="15.75" customHeight="1">
      <c r="A1218" s="25" t="str">
        <f>IFERROR(__xludf.DUMMYFUNCTION("IF(B1218="""","""",RIGHT(REGEXREPLACE(B1218&amp;"""",""[^0-9]"",""""),9))"),"754313233")</f>
        <v>754313233</v>
      </c>
      <c r="B1218" s="26">
        <v>7.54313233E8</v>
      </c>
      <c r="C1218" s="28" t="s">
        <v>1440</v>
      </c>
      <c r="D1218" s="26" t="s">
        <v>37</v>
      </c>
      <c r="E1218" s="31">
        <v>46227.0</v>
      </c>
      <c r="F1218" s="26" t="s">
        <v>46</v>
      </c>
      <c r="G1218" s="26">
        <v>11.0</v>
      </c>
      <c r="I1218" s="26" t="s">
        <v>42</v>
      </c>
      <c r="J1218" s="25" t="str">
        <f t="shared" si="28"/>
        <v>No</v>
      </c>
      <c r="K1218" s="25" t="str">
        <f t="shared" si="29"/>
        <v/>
      </c>
      <c r="L1218" s="25" t="str">
        <f t="shared" si="30"/>
        <v/>
      </c>
      <c r="M1218" s="25"/>
      <c r="O1218" s="25"/>
    </row>
    <row r="1219" ht="15.75" customHeight="1">
      <c r="A1219" s="25" t="str">
        <f>IFERROR(__xludf.DUMMYFUNCTION("IF(B1219="""","""",RIGHT(REGEXREPLACE(B1219&amp;"""",""[^0-9]"",""""),9))"),"760157514")</f>
        <v>760157514</v>
      </c>
      <c r="B1219" s="52">
        <v>7.60157514E8</v>
      </c>
      <c r="C1219" s="28" t="s">
        <v>1441</v>
      </c>
      <c r="D1219" s="26" t="s">
        <v>82</v>
      </c>
      <c r="E1219" s="31">
        <v>46227.0</v>
      </c>
      <c r="F1219" s="26" t="s">
        <v>205</v>
      </c>
      <c r="I1219" s="26" t="s">
        <v>42</v>
      </c>
      <c r="J1219" s="25" t="str">
        <f t="shared" si="28"/>
        <v>No</v>
      </c>
      <c r="K1219" s="25" t="str">
        <f t="shared" si="29"/>
        <v/>
      </c>
      <c r="L1219" s="25" t="str">
        <f t="shared" si="30"/>
        <v/>
      </c>
      <c r="M1219" s="25"/>
      <c r="O1219" s="25"/>
    </row>
    <row r="1220" ht="15.75" customHeight="1">
      <c r="A1220" s="25" t="str">
        <f>IFERROR(__xludf.DUMMYFUNCTION("IF(B1220="""","""",RIGHT(REGEXREPLACE(B1220&amp;"""",""[^0-9]"",""""),9))"),"741604283")</f>
        <v>741604283</v>
      </c>
      <c r="B1220" s="52">
        <v>7.41604283E8</v>
      </c>
      <c r="C1220" s="28" t="s">
        <v>1442</v>
      </c>
      <c r="D1220" s="26" t="s">
        <v>56</v>
      </c>
      <c r="E1220" s="31">
        <v>46227.0</v>
      </c>
      <c r="F1220" s="26" t="s">
        <v>46</v>
      </c>
      <c r="G1220" s="26">
        <v>11.0</v>
      </c>
      <c r="I1220" s="26" t="s">
        <v>42</v>
      </c>
      <c r="J1220" s="25" t="str">
        <f t="shared" si="28"/>
        <v>No</v>
      </c>
      <c r="K1220" s="25" t="str">
        <f t="shared" si="29"/>
        <v/>
      </c>
      <c r="L1220" s="25" t="str">
        <f t="shared" si="30"/>
        <v/>
      </c>
      <c r="M1220" s="25"/>
      <c r="O1220" s="25"/>
    </row>
    <row r="1221" ht="15.75" customHeight="1">
      <c r="A1221" s="25" t="str">
        <f>IFERROR(__xludf.DUMMYFUNCTION("IF(B1221="""","""",RIGHT(REGEXREPLACE(B1221&amp;"""",""[^0-9]"",""""),9))"),"713324305")</f>
        <v>713324305</v>
      </c>
      <c r="B1221" s="26">
        <v>7.13324305E8</v>
      </c>
      <c r="C1221" s="28" t="s">
        <v>1443</v>
      </c>
      <c r="D1221" s="26" t="s">
        <v>37</v>
      </c>
      <c r="E1221" s="31">
        <v>46227.0</v>
      </c>
      <c r="F1221" s="26" t="s">
        <v>41</v>
      </c>
      <c r="G1221" s="26">
        <v>11.0</v>
      </c>
      <c r="I1221" s="26" t="s">
        <v>42</v>
      </c>
      <c r="J1221" s="25" t="str">
        <f t="shared" si="28"/>
        <v>No</v>
      </c>
      <c r="K1221" s="25" t="str">
        <f t="shared" si="29"/>
        <v/>
      </c>
      <c r="L1221" s="25" t="str">
        <f t="shared" si="30"/>
        <v/>
      </c>
      <c r="M1221" s="25"/>
      <c r="O1221" s="25"/>
    </row>
    <row r="1222" ht="15.75" customHeight="1">
      <c r="A1222" s="25" t="str">
        <f>IFERROR(__xludf.DUMMYFUNCTION("IF(B1222="""","""",RIGHT(REGEXREPLACE(B1222&amp;"""",""[^0-9]"",""""),9))"),"764020892")</f>
        <v>764020892</v>
      </c>
      <c r="B1222" s="52">
        <v>7.64020892E8</v>
      </c>
      <c r="C1222" s="28" t="s">
        <v>1444</v>
      </c>
      <c r="D1222" s="26" t="s">
        <v>45</v>
      </c>
      <c r="E1222" s="31">
        <v>46227.0</v>
      </c>
      <c r="F1222" s="26" t="s">
        <v>46</v>
      </c>
      <c r="G1222" s="26">
        <v>11.0</v>
      </c>
      <c r="I1222" s="26" t="s">
        <v>42</v>
      </c>
      <c r="J1222" s="25" t="str">
        <f t="shared" si="28"/>
        <v>No</v>
      </c>
      <c r="K1222" s="25" t="str">
        <f t="shared" si="29"/>
        <v/>
      </c>
      <c r="L1222" s="25" t="str">
        <f t="shared" si="30"/>
        <v/>
      </c>
      <c r="M1222" s="25"/>
      <c r="O1222" s="25"/>
    </row>
    <row r="1223" ht="15.75" customHeight="1">
      <c r="A1223" s="25" t="str">
        <f>IFERROR(__xludf.DUMMYFUNCTION("IF(B1223="""","""",RIGHT(REGEXREPLACE(B1223&amp;"""",""[^0-9]"",""""),9))"),"717278505")</f>
        <v>717278505</v>
      </c>
      <c r="B1223" s="52">
        <v>7.17278505E8</v>
      </c>
      <c r="C1223" s="28" t="s">
        <v>1445</v>
      </c>
      <c r="D1223" s="26" t="s">
        <v>82</v>
      </c>
      <c r="E1223" s="31">
        <v>46227.0</v>
      </c>
      <c r="F1223" s="26" t="s">
        <v>41</v>
      </c>
      <c r="G1223" s="26">
        <v>11.0</v>
      </c>
      <c r="I1223" s="26" t="s">
        <v>42</v>
      </c>
      <c r="J1223" s="25" t="str">
        <f t="shared" si="28"/>
        <v>No</v>
      </c>
      <c r="K1223" s="25" t="str">
        <f t="shared" si="29"/>
        <v/>
      </c>
      <c r="L1223" s="25" t="str">
        <f t="shared" si="30"/>
        <v/>
      </c>
      <c r="M1223" s="25"/>
      <c r="O1223" s="25"/>
    </row>
    <row r="1224" ht="15.75" customHeight="1">
      <c r="A1224" s="25" t="str">
        <f>IFERROR(__xludf.DUMMYFUNCTION("IF(B1224="""","""",RIGHT(REGEXREPLACE(B1224&amp;"""",""[^0-9]"",""""),9))"),"762236145")</f>
        <v>762236145</v>
      </c>
      <c r="B1224" s="26">
        <v>7.62236145E8</v>
      </c>
      <c r="C1224" s="28" t="s">
        <v>1446</v>
      </c>
      <c r="D1224" s="26" t="s">
        <v>37</v>
      </c>
      <c r="E1224" s="31">
        <v>46227.0</v>
      </c>
      <c r="F1224" s="26" t="s">
        <v>46</v>
      </c>
      <c r="G1224" s="26">
        <v>11.0</v>
      </c>
      <c r="H1224" s="26" t="s">
        <v>1447</v>
      </c>
      <c r="I1224" s="26" t="s">
        <v>42</v>
      </c>
      <c r="J1224" s="25" t="str">
        <f t="shared" si="28"/>
        <v>No</v>
      </c>
      <c r="K1224" s="25" t="str">
        <f t="shared" si="29"/>
        <v/>
      </c>
      <c r="L1224" s="25" t="str">
        <f t="shared" si="30"/>
        <v/>
      </c>
      <c r="M1224" s="25"/>
      <c r="O1224" s="25"/>
    </row>
    <row r="1225" ht="15.75" customHeight="1">
      <c r="A1225" s="25" t="str">
        <f>IFERROR(__xludf.DUMMYFUNCTION("IF(B1225="""","""",RIGHT(REGEXREPLACE(B1225&amp;"""",""[^0-9]"",""""),9))"),"716718790")</f>
        <v>716718790</v>
      </c>
      <c r="B1225" s="52">
        <v>7.1671879E8</v>
      </c>
      <c r="C1225" s="28" t="s">
        <v>1448</v>
      </c>
      <c r="D1225" s="26" t="s">
        <v>56</v>
      </c>
      <c r="E1225" s="31">
        <v>46227.0</v>
      </c>
      <c r="F1225" s="26" t="s">
        <v>46</v>
      </c>
      <c r="G1225" s="26">
        <v>11.0</v>
      </c>
      <c r="I1225" s="26" t="s">
        <v>42</v>
      </c>
      <c r="J1225" s="25" t="str">
        <f t="shared" si="28"/>
        <v>No</v>
      </c>
      <c r="K1225" s="25" t="str">
        <f t="shared" si="29"/>
        <v/>
      </c>
      <c r="L1225" s="25" t="str">
        <f t="shared" si="30"/>
        <v/>
      </c>
      <c r="M1225" s="25"/>
      <c r="O1225" s="25"/>
    </row>
    <row r="1226" ht="15.75" customHeight="1">
      <c r="A1226" s="25" t="str">
        <f>IFERROR(__xludf.DUMMYFUNCTION("IF(B1226="""","""",RIGHT(REGEXREPLACE(B1226&amp;"""",""[^0-9]"",""""),9))"),"712330887")</f>
        <v>712330887</v>
      </c>
      <c r="B1226" s="52">
        <v>7.12330887E8</v>
      </c>
      <c r="C1226" s="28" t="s">
        <v>1449</v>
      </c>
      <c r="D1226" s="26" t="s">
        <v>49</v>
      </c>
      <c r="E1226" s="31">
        <v>46227.0</v>
      </c>
      <c r="F1226" s="26" t="s">
        <v>46</v>
      </c>
      <c r="G1226" s="26">
        <v>11.0</v>
      </c>
      <c r="I1226" s="26" t="s">
        <v>42</v>
      </c>
      <c r="J1226" s="25" t="str">
        <f t="shared" si="28"/>
        <v>No</v>
      </c>
      <c r="K1226" s="25" t="str">
        <f t="shared" si="29"/>
        <v/>
      </c>
      <c r="L1226" s="25" t="str">
        <f t="shared" si="30"/>
        <v/>
      </c>
      <c r="M1226" s="25"/>
      <c r="O1226" s="25"/>
    </row>
    <row r="1227" ht="15.75" customHeight="1">
      <c r="A1227" s="25" t="str">
        <f>IFERROR(__xludf.DUMMYFUNCTION("IF(B1227="""","""",RIGHT(REGEXREPLACE(B1227&amp;"""",""[^0-9]"",""""),9))"),"712211418")</f>
        <v>712211418</v>
      </c>
      <c r="B1227" s="26">
        <v>7.12211418E8</v>
      </c>
      <c r="C1227" s="28" t="s">
        <v>1450</v>
      </c>
      <c r="D1227" s="26" t="s">
        <v>37</v>
      </c>
      <c r="E1227" s="31">
        <v>46227.0</v>
      </c>
      <c r="F1227" s="26" t="s">
        <v>41</v>
      </c>
      <c r="G1227" s="26">
        <v>11.0</v>
      </c>
      <c r="I1227" s="26" t="s">
        <v>42</v>
      </c>
      <c r="J1227" s="25" t="str">
        <f t="shared" si="28"/>
        <v>No</v>
      </c>
      <c r="K1227" s="25" t="str">
        <f t="shared" si="29"/>
        <v/>
      </c>
      <c r="L1227" s="25" t="str">
        <f t="shared" si="30"/>
        <v/>
      </c>
      <c r="M1227" s="25"/>
      <c r="O1227" s="25"/>
    </row>
    <row r="1228" ht="15.75" customHeight="1">
      <c r="A1228" s="25" t="str">
        <f>IFERROR(__xludf.DUMMYFUNCTION("IF(B1228="""","""",RIGHT(REGEXREPLACE(B1228&amp;"""",""[^0-9]"",""""),9))"),"761742307")</f>
        <v>761742307</v>
      </c>
      <c r="B1228" s="52">
        <v>7.61742307E8</v>
      </c>
      <c r="C1228" s="28" t="s">
        <v>1451</v>
      </c>
      <c r="D1228" s="26" t="s">
        <v>45</v>
      </c>
      <c r="E1228" s="31">
        <v>46227.0</v>
      </c>
      <c r="F1228" s="26" t="s">
        <v>46</v>
      </c>
      <c r="G1228" s="26">
        <v>10.0</v>
      </c>
      <c r="I1228" s="26" t="s">
        <v>42</v>
      </c>
      <c r="J1228" s="25" t="str">
        <f t="shared" si="28"/>
        <v>No</v>
      </c>
      <c r="K1228" s="25" t="str">
        <f t="shared" si="29"/>
        <v/>
      </c>
      <c r="L1228" s="25" t="str">
        <f t="shared" si="30"/>
        <v/>
      </c>
      <c r="M1228" s="25"/>
      <c r="O1228" s="25"/>
    </row>
    <row r="1229" ht="15.75" customHeight="1">
      <c r="A1229" s="25" t="str">
        <f>IFERROR(__xludf.DUMMYFUNCTION("IF(B1229="""","""",RIGHT(REGEXREPLACE(B1229&amp;"""",""[^0-9]"",""""),9))"),"702575286")</f>
        <v>702575286</v>
      </c>
      <c r="B1229" s="26">
        <v>7.02575286E8</v>
      </c>
      <c r="C1229" s="28" t="s">
        <v>1452</v>
      </c>
      <c r="D1229" s="26" t="s">
        <v>37</v>
      </c>
      <c r="E1229" s="31">
        <v>46227.0</v>
      </c>
      <c r="F1229" s="26" t="s">
        <v>46</v>
      </c>
      <c r="G1229" s="26">
        <v>11.0</v>
      </c>
      <c r="I1229" s="26" t="s">
        <v>42</v>
      </c>
      <c r="J1229" s="25" t="str">
        <f t="shared" si="28"/>
        <v>No</v>
      </c>
      <c r="K1229" s="25" t="str">
        <f t="shared" si="29"/>
        <v/>
      </c>
      <c r="L1229" s="25" t="str">
        <f t="shared" si="30"/>
        <v/>
      </c>
      <c r="M1229" s="25"/>
      <c r="O1229" s="25"/>
    </row>
    <row r="1230" ht="15.75" customHeight="1">
      <c r="A1230" s="25" t="str">
        <f>IFERROR(__xludf.DUMMYFUNCTION("IF(B1230="""","""",RIGHT(REGEXREPLACE(B1230&amp;"""",""[^0-9]"",""""),9))"),"765594619")</f>
        <v>765594619</v>
      </c>
      <c r="B1230" s="52">
        <v>7.65594619E8</v>
      </c>
      <c r="C1230" s="28" t="s">
        <v>1453</v>
      </c>
      <c r="D1230" s="26" t="s">
        <v>49</v>
      </c>
      <c r="E1230" s="31">
        <v>46227.0</v>
      </c>
      <c r="F1230" s="26" t="s">
        <v>205</v>
      </c>
      <c r="G1230" s="26">
        <v>11.0</v>
      </c>
      <c r="I1230" s="26" t="s">
        <v>42</v>
      </c>
      <c r="J1230" s="25" t="str">
        <f t="shared" si="28"/>
        <v>No</v>
      </c>
      <c r="K1230" s="25" t="str">
        <f t="shared" si="29"/>
        <v/>
      </c>
      <c r="L1230" s="25" t="str">
        <f t="shared" si="30"/>
        <v/>
      </c>
      <c r="M1230" s="25"/>
      <c r="O1230" s="25"/>
    </row>
    <row r="1231" ht="15.75" customHeight="1">
      <c r="A1231" s="25" t="str">
        <f>IFERROR(__xludf.DUMMYFUNCTION("IF(B1231="""","""",RIGHT(REGEXREPLACE(B1231&amp;"""",""[^0-9]"",""""),9))"),"771840794")</f>
        <v>771840794</v>
      </c>
      <c r="B1231" s="26">
        <v>7.71840794E8</v>
      </c>
      <c r="C1231" s="28" t="s">
        <v>1454</v>
      </c>
      <c r="D1231" s="26" t="s">
        <v>37</v>
      </c>
      <c r="E1231" s="31">
        <v>46227.0</v>
      </c>
      <c r="F1231" s="26" t="s">
        <v>205</v>
      </c>
      <c r="G1231" s="26">
        <v>11.0</v>
      </c>
      <c r="I1231" s="26" t="s">
        <v>42</v>
      </c>
      <c r="J1231" s="25" t="str">
        <f t="shared" si="28"/>
        <v>No</v>
      </c>
      <c r="K1231" s="25" t="str">
        <f t="shared" si="29"/>
        <v/>
      </c>
      <c r="L1231" s="25" t="str">
        <f t="shared" si="30"/>
        <v/>
      </c>
      <c r="M1231" s="25"/>
      <c r="O1231" s="25"/>
    </row>
    <row r="1232" ht="15.75" customHeight="1">
      <c r="A1232" s="25" t="str">
        <f>IFERROR(__xludf.DUMMYFUNCTION("IF(B1232="""","""",RIGHT(REGEXREPLACE(B1232&amp;"""",""[^0-9]"",""""),9))"),"774785340")</f>
        <v>774785340</v>
      </c>
      <c r="B1232" s="52">
        <v>7.7478534E8</v>
      </c>
      <c r="C1232" s="28" t="s">
        <v>1455</v>
      </c>
      <c r="D1232" s="26" t="s">
        <v>45</v>
      </c>
      <c r="E1232" s="31">
        <v>46227.0</v>
      </c>
      <c r="F1232" s="26" t="s">
        <v>41</v>
      </c>
      <c r="I1232" s="26" t="s">
        <v>42</v>
      </c>
      <c r="J1232" s="25" t="str">
        <f t="shared" si="28"/>
        <v>No</v>
      </c>
      <c r="K1232" s="25" t="str">
        <f t="shared" si="29"/>
        <v/>
      </c>
      <c r="L1232" s="25" t="str">
        <f t="shared" si="30"/>
        <v/>
      </c>
      <c r="M1232" s="25"/>
      <c r="O1232" s="25"/>
    </row>
    <row r="1233" ht="15.75" customHeight="1">
      <c r="A1233" s="25" t="str">
        <f>IFERROR(__xludf.DUMMYFUNCTION("IF(B1233="""","""",RIGHT(REGEXREPLACE(B1233&amp;"""",""[^0-9]"",""""),9))"),"762541070")</f>
        <v>762541070</v>
      </c>
      <c r="B1233" s="52">
        <v>7.6254107E8</v>
      </c>
      <c r="C1233" s="28" t="s">
        <v>1456</v>
      </c>
      <c r="D1233" s="26" t="s">
        <v>56</v>
      </c>
      <c r="E1233" s="31">
        <v>46227.0</v>
      </c>
      <c r="F1233" s="26" t="s">
        <v>46</v>
      </c>
      <c r="G1233" s="26">
        <v>11.0</v>
      </c>
      <c r="I1233" s="26" t="s">
        <v>42</v>
      </c>
      <c r="J1233" s="25" t="str">
        <f t="shared" si="28"/>
        <v>No</v>
      </c>
      <c r="K1233" s="25" t="str">
        <f t="shared" si="29"/>
        <v/>
      </c>
      <c r="L1233" s="25" t="str">
        <f t="shared" si="30"/>
        <v/>
      </c>
      <c r="M1233" s="25"/>
      <c r="O1233" s="25"/>
    </row>
    <row r="1234" ht="15.75" customHeight="1">
      <c r="A1234" s="25" t="str">
        <f>IFERROR(__xludf.DUMMYFUNCTION("IF(B1234="""","""",RIGHT(REGEXREPLACE(B1234&amp;"""",""[^0-9]"",""""),9))"),"774322625")</f>
        <v>774322625</v>
      </c>
      <c r="B1234" s="52">
        <v>7.74322625E8</v>
      </c>
      <c r="C1234" s="28" t="s">
        <v>1457</v>
      </c>
      <c r="D1234" s="26" t="s">
        <v>45</v>
      </c>
      <c r="E1234" s="31">
        <v>46227.0</v>
      </c>
      <c r="F1234" s="26" t="s">
        <v>46</v>
      </c>
      <c r="G1234" s="26">
        <v>11.0</v>
      </c>
      <c r="I1234" s="26" t="s">
        <v>42</v>
      </c>
      <c r="J1234" s="25" t="str">
        <f t="shared" si="28"/>
        <v>No</v>
      </c>
      <c r="K1234" s="25" t="str">
        <f t="shared" si="29"/>
        <v/>
      </c>
      <c r="L1234" s="25" t="str">
        <f t="shared" si="30"/>
        <v/>
      </c>
      <c r="M1234" s="25"/>
      <c r="O1234" s="25"/>
    </row>
    <row r="1235" ht="15.75" customHeight="1">
      <c r="A1235" s="25" t="str">
        <f>IFERROR(__xludf.DUMMYFUNCTION("IF(B1235="""","""",RIGHT(REGEXREPLACE(B1235&amp;"""",""[^0-9]"",""""),9))"),"758745909")</f>
        <v>758745909</v>
      </c>
      <c r="B1235" s="26">
        <v>7.58745909E8</v>
      </c>
      <c r="C1235" s="28" t="s">
        <v>1458</v>
      </c>
      <c r="D1235" s="26" t="s">
        <v>37</v>
      </c>
      <c r="E1235" s="31">
        <v>46227.0</v>
      </c>
      <c r="F1235" s="26" t="s">
        <v>205</v>
      </c>
      <c r="G1235" s="26">
        <v>11.0</v>
      </c>
      <c r="I1235" s="26" t="s">
        <v>42</v>
      </c>
      <c r="J1235" s="25" t="str">
        <f t="shared" si="28"/>
        <v>No</v>
      </c>
      <c r="K1235" s="25" t="str">
        <f t="shared" si="29"/>
        <v/>
      </c>
      <c r="L1235" s="25" t="str">
        <f t="shared" si="30"/>
        <v/>
      </c>
      <c r="M1235" s="25"/>
      <c r="O1235" s="25"/>
    </row>
    <row r="1236" ht="15.75" customHeight="1">
      <c r="A1236" s="25" t="str">
        <f>IFERROR(__xludf.DUMMYFUNCTION("IF(B1236="""","""",RIGHT(REGEXREPLACE(B1236&amp;"""",""[^0-9]"",""""),9))"),"777499695")</f>
        <v>777499695</v>
      </c>
      <c r="B1236" s="52">
        <v>7.77499695E8</v>
      </c>
      <c r="C1236" s="28" t="s">
        <v>1459</v>
      </c>
      <c r="D1236" s="26" t="s">
        <v>49</v>
      </c>
      <c r="E1236" s="31">
        <v>46227.0</v>
      </c>
      <c r="F1236" s="26" t="s">
        <v>46</v>
      </c>
      <c r="G1236" s="26">
        <v>11.0</v>
      </c>
      <c r="I1236" s="26" t="s">
        <v>42</v>
      </c>
      <c r="J1236" s="25" t="str">
        <f t="shared" si="28"/>
        <v>No</v>
      </c>
      <c r="K1236" s="25" t="str">
        <f t="shared" si="29"/>
        <v/>
      </c>
      <c r="L1236" s="25" t="str">
        <f t="shared" si="30"/>
        <v/>
      </c>
      <c r="M1236" s="25"/>
      <c r="O1236" s="25"/>
    </row>
    <row r="1237" ht="15.75" customHeight="1">
      <c r="A1237" s="25" t="str">
        <f>IFERROR(__xludf.DUMMYFUNCTION("IF(B1237="""","""",RIGHT(REGEXREPLACE(B1237&amp;"""",""[^0-9]"",""""),9))"),"711594770")</f>
        <v>711594770</v>
      </c>
      <c r="B1237" s="52">
        <v>7.1159477E8</v>
      </c>
      <c r="C1237" s="28" t="s">
        <v>1460</v>
      </c>
      <c r="D1237" s="26" t="s">
        <v>82</v>
      </c>
      <c r="E1237" s="31">
        <v>46227.0</v>
      </c>
      <c r="F1237" s="26" t="s">
        <v>41</v>
      </c>
      <c r="G1237" s="26">
        <v>11.0</v>
      </c>
      <c r="I1237" s="26" t="s">
        <v>42</v>
      </c>
      <c r="J1237" s="25" t="str">
        <f t="shared" si="28"/>
        <v>No</v>
      </c>
      <c r="K1237" s="25" t="str">
        <f t="shared" si="29"/>
        <v/>
      </c>
      <c r="L1237" s="25" t="str">
        <f t="shared" si="30"/>
        <v/>
      </c>
      <c r="M1237" s="25"/>
      <c r="O1237" s="25"/>
    </row>
    <row r="1238" ht="15.75" customHeight="1">
      <c r="A1238" s="25" t="str">
        <f>IFERROR(__xludf.DUMMYFUNCTION("IF(B1238="""","""",RIGHT(REGEXREPLACE(B1238&amp;"""",""[^0-9]"",""""),9))"),"773991213")</f>
        <v>773991213</v>
      </c>
      <c r="B1238" s="26">
        <v>7.73991213E8</v>
      </c>
      <c r="C1238" s="28" t="s">
        <v>1461</v>
      </c>
      <c r="D1238" s="26" t="s">
        <v>37</v>
      </c>
      <c r="E1238" s="31">
        <v>46227.0</v>
      </c>
      <c r="F1238" s="26" t="s">
        <v>46</v>
      </c>
      <c r="G1238" s="26">
        <v>11.0</v>
      </c>
      <c r="H1238" s="26" t="s">
        <v>1462</v>
      </c>
      <c r="I1238" s="26" t="s">
        <v>42</v>
      </c>
      <c r="J1238" s="25" t="str">
        <f t="shared" si="28"/>
        <v>No</v>
      </c>
      <c r="K1238" s="25" t="str">
        <f t="shared" si="29"/>
        <v/>
      </c>
      <c r="L1238" s="25" t="str">
        <f t="shared" si="30"/>
        <v/>
      </c>
      <c r="M1238" s="25"/>
      <c r="O1238" s="25"/>
    </row>
    <row r="1239" ht="15.75" customHeight="1">
      <c r="A1239" s="25" t="str">
        <f>IFERROR(__xludf.DUMMYFUNCTION("IF(B1239="""","""",RIGHT(REGEXREPLACE(B1239&amp;"""",""[^0-9]"",""""),9))"),"766541130")</f>
        <v>766541130</v>
      </c>
      <c r="B1239" s="52">
        <v>7.6654113E8</v>
      </c>
      <c r="C1239" s="28" t="s">
        <v>1463</v>
      </c>
      <c r="D1239" s="26" t="s">
        <v>45</v>
      </c>
      <c r="E1239" s="31">
        <v>46227.0</v>
      </c>
      <c r="F1239" s="26" t="s">
        <v>46</v>
      </c>
      <c r="G1239" s="26">
        <v>11.0</v>
      </c>
      <c r="I1239" s="26" t="s">
        <v>42</v>
      </c>
      <c r="J1239" s="25" t="str">
        <f t="shared" si="28"/>
        <v>No</v>
      </c>
      <c r="K1239" s="25" t="str">
        <f t="shared" si="29"/>
        <v/>
      </c>
      <c r="L1239" s="25" t="str">
        <f t="shared" si="30"/>
        <v/>
      </c>
      <c r="M1239" s="25"/>
      <c r="O1239" s="25"/>
    </row>
    <row r="1240" ht="15.75" customHeight="1">
      <c r="A1240" s="25" t="str">
        <f>IFERROR(__xludf.DUMMYFUNCTION("IF(B1240="""","""",RIGHT(REGEXREPLACE(B1240&amp;"""",""[^0-9]"",""""),9))"),"710542638")</f>
        <v>710542638</v>
      </c>
      <c r="B1240" s="26">
        <v>7.10542638E8</v>
      </c>
      <c r="C1240" s="28" t="s">
        <v>1464</v>
      </c>
      <c r="D1240" s="26" t="s">
        <v>37</v>
      </c>
      <c r="E1240" s="31">
        <v>46227.0</v>
      </c>
      <c r="F1240" s="26" t="s">
        <v>41</v>
      </c>
      <c r="G1240" s="26">
        <v>10.0</v>
      </c>
      <c r="I1240" s="26" t="s">
        <v>42</v>
      </c>
      <c r="J1240" s="25" t="str">
        <f t="shared" si="28"/>
        <v>No</v>
      </c>
      <c r="K1240" s="25" t="str">
        <f t="shared" si="29"/>
        <v/>
      </c>
      <c r="L1240" s="25" t="str">
        <f t="shared" si="30"/>
        <v/>
      </c>
      <c r="M1240" s="25"/>
      <c r="O1240" s="25"/>
    </row>
    <row r="1241" ht="15.75" customHeight="1">
      <c r="A1241" s="25" t="str">
        <f>IFERROR(__xludf.DUMMYFUNCTION("IF(B1241="""","""",RIGHT(REGEXREPLACE(B1241&amp;"""",""[^0-9]"",""""),9))"),"775771549")</f>
        <v>775771549</v>
      </c>
      <c r="B1241" s="52">
        <v>7.75771549E8</v>
      </c>
      <c r="C1241" s="28" t="s">
        <v>1465</v>
      </c>
      <c r="D1241" s="26" t="s">
        <v>82</v>
      </c>
      <c r="E1241" s="31">
        <v>46227.0</v>
      </c>
      <c r="F1241" s="26" t="s">
        <v>46</v>
      </c>
      <c r="G1241" s="26">
        <v>11.0</v>
      </c>
      <c r="I1241" s="26" t="s">
        <v>42</v>
      </c>
      <c r="J1241" s="25" t="str">
        <f t="shared" si="28"/>
        <v>No</v>
      </c>
      <c r="K1241" s="25" t="str">
        <f t="shared" si="29"/>
        <v/>
      </c>
      <c r="L1241" s="25" t="str">
        <f t="shared" si="30"/>
        <v/>
      </c>
      <c r="M1241" s="25"/>
      <c r="O1241" s="25"/>
    </row>
    <row r="1242" ht="15.75" customHeight="1">
      <c r="A1242" s="25" t="str">
        <f>IFERROR(__xludf.DUMMYFUNCTION("IF(B1242="""","""",RIGHT(REGEXREPLACE(B1242&amp;"""",""[^0-9]"",""""),9))"),"750885071")</f>
        <v>750885071</v>
      </c>
      <c r="B1242" s="52">
        <v>7.50885071E8</v>
      </c>
      <c r="C1242" s="28" t="s">
        <v>1466</v>
      </c>
      <c r="D1242" s="26" t="s">
        <v>56</v>
      </c>
      <c r="E1242" s="31">
        <v>46227.0</v>
      </c>
      <c r="F1242" s="26" t="s">
        <v>205</v>
      </c>
      <c r="I1242" s="26" t="s">
        <v>42</v>
      </c>
      <c r="J1242" s="25" t="str">
        <f t="shared" si="28"/>
        <v>No</v>
      </c>
      <c r="K1242" s="25" t="str">
        <f t="shared" si="29"/>
        <v/>
      </c>
      <c r="L1242" s="25" t="str">
        <f t="shared" si="30"/>
        <v/>
      </c>
      <c r="M1242" s="25"/>
      <c r="O1242" s="25"/>
    </row>
    <row r="1243" ht="15.75" customHeight="1">
      <c r="A1243" s="25" t="str">
        <f>IFERROR(__xludf.DUMMYFUNCTION("IF(B1243="""","""",RIGHT(REGEXREPLACE(B1243&amp;"""",""[^0-9]"",""""),9))"),"764040372")</f>
        <v>764040372</v>
      </c>
      <c r="B1243" s="26">
        <v>7.64040372E8</v>
      </c>
      <c r="C1243" s="28" t="s">
        <v>1467</v>
      </c>
      <c r="D1243" s="26" t="s">
        <v>37</v>
      </c>
      <c r="E1243" s="31">
        <v>46227.0</v>
      </c>
      <c r="F1243" s="26" t="s">
        <v>41</v>
      </c>
      <c r="G1243" s="26">
        <v>10.0</v>
      </c>
      <c r="I1243" s="26" t="s">
        <v>42</v>
      </c>
      <c r="J1243" s="25" t="str">
        <f t="shared" si="28"/>
        <v>No</v>
      </c>
      <c r="K1243" s="25" t="str">
        <f t="shared" si="29"/>
        <v/>
      </c>
      <c r="L1243" s="25" t="str">
        <f t="shared" si="30"/>
        <v/>
      </c>
      <c r="M1243" s="25"/>
      <c r="O1243" s="25"/>
    </row>
    <row r="1244" ht="15.75" customHeight="1">
      <c r="A1244" s="25" t="str">
        <f>IFERROR(__xludf.DUMMYFUNCTION("IF(B1244="""","""",RIGHT(REGEXREPLACE(B1244&amp;"""",""[^0-9]"",""""),9))"),"767538018")</f>
        <v>767538018</v>
      </c>
      <c r="B1244" s="52">
        <v>7.67538018E8</v>
      </c>
      <c r="C1244" s="28" t="s">
        <v>1468</v>
      </c>
      <c r="D1244" s="26" t="s">
        <v>49</v>
      </c>
      <c r="E1244" s="31">
        <v>46227.0</v>
      </c>
      <c r="F1244" s="26" t="s">
        <v>46</v>
      </c>
      <c r="G1244" s="26">
        <v>11.0</v>
      </c>
      <c r="I1244" s="26" t="s">
        <v>42</v>
      </c>
      <c r="J1244" s="25" t="str">
        <f t="shared" si="28"/>
        <v>No</v>
      </c>
      <c r="K1244" s="25" t="str">
        <f t="shared" si="29"/>
        <v/>
      </c>
      <c r="L1244" s="25" t="str">
        <f t="shared" si="30"/>
        <v/>
      </c>
      <c r="M1244" s="25"/>
      <c r="O1244" s="25"/>
    </row>
    <row r="1245" ht="15.75" customHeight="1">
      <c r="A1245" s="25" t="str">
        <f>IFERROR(__xludf.DUMMYFUNCTION("IF(B1245="""","""",RIGHT(REGEXREPLACE(B1245&amp;"""",""[^0-9]"",""""),9))"),"728776510")</f>
        <v>728776510</v>
      </c>
      <c r="B1245" s="52">
        <v>7.2877651E8</v>
      </c>
      <c r="C1245" s="28" t="s">
        <v>1469</v>
      </c>
      <c r="D1245" s="26" t="s">
        <v>45</v>
      </c>
      <c r="E1245" s="31">
        <v>46227.0</v>
      </c>
      <c r="F1245" s="26" t="s">
        <v>46</v>
      </c>
      <c r="G1245" s="26">
        <v>11.0</v>
      </c>
      <c r="I1245" s="26" t="s">
        <v>42</v>
      </c>
      <c r="J1245" s="25" t="str">
        <f t="shared" si="28"/>
        <v>No</v>
      </c>
      <c r="K1245" s="25" t="str">
        <f t="shared" si="29"/>
        <v/>
      </c>
      <c r="L1245" s="25" t="str">
        <f t="shared" si="30"/>
        <v/>
      </c>
      <c r="M1245" s="25"/>
      <c r="O1245" s="25"/>
    </row>
    <row r="1246" ht="15.75" customHeight="1">
      <c r="A1246" s="25" t="str">
        <f>IFERROR(__xludf.DUMMYFUNCTION("IF(B1246="""","""",RIGHT(REGEXREPLACE(B1246&amp;"""",""[^0-9]"",""""),9))"),"778468163")</f>
        <v>778468163</v>
      </c>
      <c r="B1246" s="26">
        <v>7.78468163E8</v>
      </c>
      <c r="C1246" s="28" t="s">
        <v>1470</v>
      </c>
      <c r="D1246" s="26" t="s">
        <v>37</v>
      </c>
      <c r="E1246" s="31">
        <v>46227.0</v>
      </c>
      <c r="F1246" s="26" t="s">
        <v>46</v>
      </c>
      <c r="G1246" s="26">
        <v>11.0</v>
      </c>
      <c r="I1246" s="26" t="s">
        <v>42</v>
      </c>
      <c r="J1246" s="25" t="str">
        <f t="shared" si="28"/>
        <v>No</v>
      </c>
      <c r="K1246" s="25" t="str">
        <f t="shared" si="29"/>
        <v/>
      </c>
      <c r="L1246" s="25" t="str">
        <f t="shared" si="30"/>
        <v/>
      </c>
      <c r="M1246" s="25"/>
      <c r="O1246" s="25"/>
    </row>
    <row r="1247" ht="15.75" customHeight="1">
      <c r="A1247" s="25" t="str">
        <f>IFERROR(__xludf.DUMMYFUNCTION("IF(B1247="""","""",RIGHT(REGEXREPLACE(B1247&amp;"""",""[^0-9]"",""""),9))"),"769435463")</f>
        <v>769435463</v>
      </c>
      <c r="B1247" s="52">
        <v>7.69435463E8</v>
      </c>
      <c r="C1247" s="28" t="s">
        <v>1471</v>
      </c>
      <c r="D1247" s="26" t="s">
        <v>56</v>
      </c>
      <c r="E1247" s="31">
        <v>46227.0</v>
      </c>
      <c r="F1247" s="26" t="s">
        <v>205</v>
      </c>
      <c r="I1247" s="26" t="s">
        <v>42</v>
      </c>
      <c r="J1247" s="25" t="str">
        <f t="shared" si="28"/>
        <v>No</v>
      </c>
      <c r="K1247" s="25" t="str">
        <f t="shared" si="29"/>
        <v/>
      </c>
      <c r="L1247" s="25" t="str">
        <f t="shared" si="30"/>
        <v/>
      </c>
      <c r="M1247" s="25"/>
      <c r="O1247" s="25"/>
    </row>
    <row r="1248" ht="15.75" customHeight="1">
      <c r="A1248" s="25" t="str">
        <f>IFERROR(__xludf.DUMMYFUNCTION("IF(B1248="""","""",RIGHT(REGEXREPLACE(B1248&amp;"""",""[^0-9]"",""""),9))"),"754014701")</f>
        <v>754014701</v>
      </c>
      <c r="B1248" s="52">
        <v>7.54014701E8</v>
      </c>
      <c r="C1248" s="28" t="s">
        <v>1472</v>
      </c>
      <c r="D1248" s="26" t="s">
        <v>49</v>
      </c>
      <c r="E1248" s="31">
        <v>46227.0</v>
      </c>
      <c r="F1248" s="26" t="s">
        <v>659</v>
      </c>
      <c r="G1248" s="26">
        <v>11.0</v>
      </c>
      <c r="I1248" s="26" t="s">
        <v>42</v>
      </c>
      <c r="J1248" s="25" t="str">
        <f t="shared" si="28"/>
        <v>No</v>
      </c>
      <c r="K1248" s="25" t="str">
        <f t="shared" si="29"/>
        <v/>
      </c>
      <c r="L1248" s="25" t="str">
        <f t="shared" si="30"/>
        <v/>
      </c>
      <c r="M1248" s="25"/>
      <c r="O1248" s="25"/>
    </row>
    <row r="1249" ht="15.75" customHeight="1">
      <c r="A1249" s="25" t="str">
        <f>IFERROR(__xludf.DUMMYFUNCTION("IF(B1249="""","""",RIGHT(REGEXREPLACE(B1249&amp;"""",""[^0-9]"",""""),9))"),"753294213")</f>
        <v>753294213</v>
      </c>
      <c r="B1249" s="52">
        <v>7.53294213E8</v>
      </c>
      <c r="C1249" s="28" t="s">
        <v>1473</v>
      </c>
      <c r="D1249" s="26" t="s">
        <v>82</v>
      </c>
      <c r="E1249" s="31">
        <v>46227.0</v>
      </c>
      <c r="F1249" s="26" t="s">
        <v>41</v>
      </c>
      <c r="G1249" s="26">
        <v>11.0</v>
      </c>
      <c r="I1249" s="26" t="s">
        <v>42</v>
      </c>
      <c r="J1249" s="25" t="str">
        <f t="shared" si="28"/>
        <v>No</v>
      </c>
      <c r="K1249" s="25" t="str">
        <f t="shared" si="29"/>
        <v/>
      </c>
      <c r="L1249" s="25" t="str">
        <f t="shared" si="30"/>
        <v/>
      </c>
      <c r="M1249" s="25"/>
      <c r="O1249" s="25"/>
    </row>
    <row r="1250" ht="15.75" customHeight="1">
      <c r="A1250" s="25" t="str">
        <f>IFERROR(__xludf.DUMMYFUNCTION("IF(B1250="""","""",RIGHT(REGEXREPLACE(B1250&amp;"""",""[^0-9]"",""""),9))"),"771586358")</f>
        <v>771586358</v>
      </c>
      <c r="B1250" s="26">
        <v>7.71586358E8</v>
      </c>
      <c r="C1250" s="28" t="s">
        <v>1474</v>
      </c>
      <c r="D1250" s="26" t="s">
        <v>37</v>
      </c>
      <c r="E1250" s="31">
        <v>46227.0</v>
      </c>
      <c r="F1250" s="26" t="s">
        <v>46</v>
      </c>
      <c r="G1250" s="26">
        <v>9.0</v>
      </c>
      <c r="H1250" s="26" t="s">
        <v>1235</v>
      </c>
      <c r="I1250" s="26" t="s">
        <v>42</v>
      </c>
      <c r="J1250" s="25" t="str">
        <f t="shared" si="28"/>
        <v>No</v>
      </c>
      <c r="K1250" s="25" t="str">
        <f t="shared" si="29"/>
        <v/>
      </c>
      <c r="L1250" s="25" t="str">
        <f t="shared" si="30"/>
        <v/>
      </c>
      <c r="M1250" s="25"/>
      <c r="O1250" s="25"/>
    </row>
    <row r="1251" ht="15.75" customHeight="1">
      <c r="A1251" s="25" t="str">
        <f>IFERROR(__xludf.DUMMYFUNCTION("IF(B1251="""","""",RIGHT(REGEXREPLACE(B1251&amp;"""",""[^0-9]"",""""),9))"),"774617254")</f>
        <v>774617254</v>
      </c>
      <c r="B1251" s="52">
        <v>7.74617254E8</v>
      </c>
      <c r="C1251" s="28" t="s">
        <v>1475</v>
      </c>
      <c r="D1251" s="26" t="s">
        <v>49</v>
      </c>
      <c r="E1251" s="31">
        <v>46227.0</v>
      </c>
      <c r="F1251" s="26" t="s">
        <v>41</v>
      </c>
      <c r="G1251" s="26">
        <v>11.0</v>
      </c>
      <c r="I1251" s="26" t="s">
        <v>42</v>
      </c>
      <c r="J1251" s="25" t="str">
        <f t="shared" si="28"/>
        <v>No</v>
      </c>
      <c r="K1251" s="25" t="str">
        <f t="shared" si="29"/>
        <v/>
      </c>
      <c r="L1251" s="25" t="str">
        <f t="shared" si="30"/>
        <v/>
      </c>
      <c r="M1251" s="25"/>
      <c r="O1251" s="25"/>
    </row>
    <row r="1252" ht="15.75" customHeight="1">
      <c r="A1252" s="25" t="str">
        <f>IFERROR(__xludf.DUMMYFUNCTION("IF(B1252="""","""",RIGHT(REGEXREPLACE(B1252&amp;"""",""[^0-9]"",""""),9))"),"772789098")</f>
        <v>772789098</v>
      </c>
      <c r="B1252" s="52">
        <v>7.72789098E8</v>
      </c>
      <c r="C1252" s="28" t="s">
        <v>1476</v>
      </c>
      <c r="D1252" s="26" t="s">
        <v>45</v>
      </c>
      <c r="E1252" s="31">
        <v>46227.0</v>
      </c>
      <c r="F1252" s="26" t="s">
        <v>46</v>
      </c>
      <c r="G1252" s="26">
        <v>11.0</v>
      </c>
      <c r="I1252" s="26" t="s">
        <v>42</v>
      </c>
      <c r="J1252" s="25" t="str">
        <f t="shared" si="28"/>
        <v>No</v>
      </c>
      <c r="K1252" s="25" t="str">
        <f t="shared" si="29"/>
        <v/>
      </c>
      <c r="L1252" s="25" t="str">
        <f t="shared" si="30"/>
        <v/>
      </c>
      <c r="M1252" s="25"/>
      <c r="O1252" s="25"/>
    </row>
    <row r="1253" ht="15.75" customHeight="1">
      <c r="A1253" s="25" t="str">
        <f>IFERROR(__xludf.DUMMYFUNCTION("IF(B1253="""","""",RIGHT(REGEXREPLACE(B1253&amp;"""",""[^0-9]"",""""),9))"),"763251178")</f>
        <v>763251178</v>
      </c>
      <c r="B1253" s="52">
        <v>7.63251178E8</v>
      </c>
      <c r="C1253" s="28" t="s">
        <v>1477</v>
      </c>
      <c r="D1253" s="26" t="s">
        <v>56</v>
      </c>
      <c r="E1253" s="31">
        <v>46227.0</v>
      </c>
      <c r="F1253" s="26" t="s">
        <v>46</v>
      </c>
      <c r="H1253" s="26" t="s">
        <v>140</v>
      </c>
      <c r="I1253" s="26" t="s">
        <v>42</v>
      </c>
      <c r="J1253" s="25" t="str">
        <f t="shared" si="28"/>
        <v>No</v>
      </c>
      <c r="K1253" s="25" t="str">
        <f t="shared" si="29"/>
        <v/>
      </c>
      <c r="L1253" s="25" t="str">
        <f t="shared" si="30"/>
        <v/>
      </c>
      <c r="M1253" s="25"/>
      <c r="O1253" s="25"/>
    </row>
    <row r="1254" ht="15.75" customHeight="1">
      <c r="A1254" s="25" t="str">
        <f>IFERROR(__xludf.DUMMYFUNCTION("IF(B1254="""","""",RIGHT(REGEXREPLACE(B1254&amp;"""",""[^0-9]"",""""),9))"),"761562397")</f>
        <v>761562397</v>
      </c>
      <c r="B1254" s="52">
        <v>7.61562397E8</v>
      </c>
      <c r="C1254" s="28" t="s">
        <v>1478</v>
      </c>
      <c r="D1254" s="26" t="s">
        <v>82</v>
      </c>
      <c r="E1254" s="31">
        <v>46227.0</v>
      </c>
      <c r="F1254" s="26" t="s">
        <v>46</v>
      </c>
      <c r="G1254" s="26">
        <v>11.0</v>
      </c>
      <c r="I1254" s="26" t="s">
        <v>42</v>
      </c>
      <c r="J1254" s="25" t="str">
        <f t="shared" si="28"/>
        <v>No</v>
      </c>
      <c r="K1254" s="25" t="str">
        <f t="shared" si="29"/>
        <v/>
      </c>
      <c r="L1254" s="25" t="str">
        <f t="shared" si="30"/>
        <v/>
      </c>
      <c r="M1254" s="25"/>
      <c r="O1254" s="25"/>
    </row>
    <row r="1255" ht="15.75" customHeight="1">
      <c r="A1255" s="25" t="str">
        <f>IFERROR(__xludf.DUMMYFUNCTION("IF(B1255="""","""",RIGHT(REGEXREPLACE(B1255&amp;"""",""[^0-9]"",""""),9))"),"779126503")</f>
        <v>779126503</v>
      </c>
      <c r="B1255" s="26">
        <v>7.79126503E8</v>
      </c>
      <c r="C1255" s="28" t="s">
        <v>1479</v>
      </c>
      <c r="D1255" s="26" t="s">
        <v>37</v>
      </c>
      <c r="E1255" s="31">
        <v>46227.0</v>
      </c>
      <c r="F1255" s="26" t="s">
        <v>41</v>
      </c>
      <c r="G1255" s="26">
        <v>11.0</v>
      </c>
      <c r="I1255" s="26" t="s">
        <v>42</v>
      </c>
      <c r="J1255" s="25" t="str">
        <f t="shared" si="28"/>
        <v>No</v>
      </c>
      <c r="K1255" s="25" t="str">
        <f t="shared" si="29"/>
        <v/>
      </c>
      <c r="L1255" s="25" t="str">
        <f t="shared" si="30"/>
        <v/>
      </c>
      <c r="M1255" s="25"/>
      <c r="O1255" s="25"/>
    </row>
    <row r="1256" ht="15.75" customHeight="1">
      <c r="A1256" s="25" t="str">
        <f>IFERROR(__xludf.DUMMYFUNCTION("IF(B1256="""","""",RIGHT(REGEXREPLACE(B1256&amp;"""",""[^0-9]"",""""),9))"),"741559613")</f>
        <v>741559613</v>
      </c>
      <c r="B1256" s="52">
        <v>7.41559613E8</v>
      </c>
      <c r="C1256" s="28" t="s">
        <v>1480</v>
      </c>
      <c r="D1256" s="26" t="s">
        <v>45</v>
      </c>
      <c r="E1256" s="31">
        <v>46227.0</v>
      </c>
      <c r="F1256" s="26" t="s">
        <v>46</v>
      </c>
      <c r="G1256" s="26">
        <v>11.0</v>
      </c>
      <c r="I1256" s="26" t="s">
        <v>42</v>
      </c>
      <c r="J1256" s="25" t="str">
        <f t="shared" si="28"/>
        <v>No</v>
      </c>
      <c r="K1256" s="25" t="str">
        <f t="shared" si="29"/>
        <v/>
      </c>
      <c r="L1256" s="25" t="str">
        <f t="shared" si="30"/>
        <v/>
      </c>
      <c r="M1256" s="25"/>
      <c r="O1256" s="25"/>
    </row>
    <row r="1257" ht="15.75" customHeight="1">
      <c r="A1257" s="25" t="str">
        <f>IFERROR(__xludf.DUMMYFUNCTION("IF(B1257="""","""",RIGHT(REGEXREPLACE(B1257&amp;"""",""[^0-9]"",""""),9))"),"788460887")</f>
        <v>788460887</v>
      </c>
      <c r="B1257" s="52">
        <v>7.88460887E8</v>
      </c>
      <c r="C1257" s="28" t="s">
        <v>1481</v>
      </c>
      <c r="D1257" s="26" t="s">
        <v>56</v>
      </c>
      <c r="E1257" s="31">
        <v>46227.0</v>
      </c>
      <c r="F1257" s="26" t="s">
        <v>46</v>
      </c>
      <c r="G1257" s="26">
        <v>11.0</v>
      </c>
      <c r="I1257" s="26" t="s">
        <v>42</v>
      </c>
      <c r="J1257" s="25" t="str">
        <f t="shared" si="28"/>
        <v>No</v>
      </c>
      <c r="K1257" s="25" t="str">
        <f t="shared" si="29"/>
        <v/>
      </c>
      <c r="L1257" s="25" t="str">
        <f t="shared" si="30"/>
        <v/>
      </c>
      <c r="M1257" s="25"/>
      <c r="O1257" s="25"/>
    </row>
    <row r="1258" ht="15.75" customHeight="1">
      <c r="A1258" s="25" t="str">
        <f>IFERROR(__xludf.DUMMYFUNCTION("IF(B1258="""","""",RIGHT(REGEXREPLACE(B1258&amp;"""",""[^0-9]"",""""),9))"),"759614906")</f>
        <v>759614906</v>
      </c>
      <c r="B1258" s="52">
        <v>7.59614906E8</v>
      </c>
      <c r="C1258" s="28" t="s">
        <v>1482</v>
      </c>
      <c r="D1258" s="26" t="s">
        <v>49</v>
      </c>
      <c r="E1258" s="31">
        <v>46227.0</v>
      </c>
      <c r="F1258" s="26" t="s">
        <v>46</v>
      </c>
      <c r="G1258" s="26">
        <v>11.0</v>
      </c>
      <c r="I1258" s="26" t="s">
        <v>42</v>
      </c>
      <c r="J1258" s="25" t="str">
        <f t="shared" si="28"/>
        <v>No</v>
      </c>
      <c r="K1258" s="25" t="str">
        <f t="shared" si="29"/>
        <v/>
      </c>
      <c r="L1258" s="25" t="str">
        <f t="shared" si="30"/>
        <v/>
      </c>
      <c r="M1258" s="25"/>
      <c r="O1258" s="25"/>
    </row>
    <row r="1259" ht="15.75" customHeight="1">
      <c r="A1259" s="25" t="str">
        <f>IFERROR(__xludf.DUMMYFUNCTION("IF(B1259="""","""",RIGHT(REGEXREPLACE(B1259&amp;"""",""[^0-9]"",""""),9))"),"740388389")</f>
        <v>740388389</v>
      </c>
      <c r="B1259" s="26">
        <v>7.40388389E8</v>
      </c>
      <c r="C1259" s="28" t="s">
        <v>1483</v>
      </c>
      <c r="D1259" s="26" t="s">
        <v>37</v>
      </c>
      <c r="E1259" s="31">
        <v>46227.0</v>
      </c>
      <c r="F1259" s="26" t="s">
        <v>46</v>
      </c>
      <c r="G1259" s="26">
        <v>10.0</v>
      </c>
      <c r="I1259" s="26" t="s">
        <v>42</v>
      </c>
      <c r="J1259" s="25" t="str">
        <f t="shared" si="28"/>
        <v>No</v>
      </c>
      <c r="K1259" s="25" t="str">
        <f t="shared" si="29"/>
        <v/>
      </c>
      <c r="L1259" s="25" t="str">
        <f t="shared" si="30"/>
        <v/>
      </c>
      <c r="M1259" s="25"/>
      <c r="O1259" s="25"/>
    </row>
    <row r="1260" ht="15.75" customHeight="1">
      <c r="A1260" s="25" t="str">
        <f>IFERROR(__xludf.DUMMYFUNCTION("IF(B1260="""","""",RIGHT(REGEXREPLACE(B1260&amp;"""",""[^0-9]"",""""),9))"),"774379498")</f>
        <v>774379498</v>
      </c>
      <c r="B1260" s="52">
        <v>4.774379498E9</v>
      </c>
      <c r="C1260" s="28" t="s">
        <v>1484</v>
      </c>
      <c r="D1260" s="26" t="s">
        <v>82</v>
      </c>
      <c r="E1260" s="31">
        <v>46227.0</v>
      </c>
      <c r="F1260" s="26" t="s">
        <v>46</v>
      </c>
      <c r="G1260" s="26">
        <v>11.0</v>
      </c>
      <c r="I1260" s="26" t="s">
        <v>42</v>
      </c>
      <c r="J1260" s="25" t="str">
        <f t="shared" si="28"/>
        <v>No</v>
      </c>
      <c r="K1260" s="25" t="str">
        <f t="shared" si="29"/>
        <v/>
      </c>
      <c r="L1260" s="25" t="str">
        <f t="shared" si="30"/>
        <v/>
      </c>
      <c r="M1260" s="25"/>
      <c r="O1260" s="25"/>
    </row>
    <row r="1261" ht="15.75" customHeight="1">
      <c r="A1261" s="25" t="str">
        <f>IFERROR(__xludf.DUMMYFUNCTION("IF(B1261="""","""",RIGHT(REGEXREPLACE(B1261&amp;"""",""[^0-9]"",""""),9))"),"775928690")</f>
        <v>775928690</v>
      </c>
      <c r="B1261" s="52">
        <v>7.7592869E8</v>
      </c>
      <c r="C1261" s="28" t="s">
        <v>1485</v>
      </c>
      <c r="D1261" s="26" t="s">
        <v>56</v>
      </c>
      <c r="E1261" s="31">
        <v>46227.0</v>
      </c>
      <c r="F1261" s="26" t="s">
        <v>46</v>
      </c>
      <c r="G1261" s="26">
        <v>11.0</v>
      </c>
      <c r="I1261" s="26" t="s">
        <v>42</v>
      </c>
      <c r="J1261" s="25" t="str">
        <f t="shared" si="28"/>
        <v>No</v>
      </c>
      <c r="K1261" s="25" t="str">
        <f t="shared" si="29"/>
        <v/>
      </c>
      <c r="L1261" s="25" t="str">
        <f t="shared" si="30"/>
        <v/>
      </c>
      <c r="M1261" s="25"/>
      <c r="O1261" s="25"/>
    </row>
    <row r="1262" ht="15.75" customHeight="1">
      <c r="A1262" s="25" t="str">
        <f>IFERROR(__xludf.DUMMYFUNCTION("IF(B1262="""","""",RIGHT(REGEXREPLACE(B1262&amp;"""",""[^0-9]"",""""),9))"),"778840388")</f>
        <v>778840388</v>
      </c>
      <c r="B1262" s="26">
        <v>7.78840388E8</v>
      </c>
      <c r="C1262" s="28" t="s">
        <v>1486</v>
      </c>
      <c r="D1262" s="26" t="s">
        <v>37</v>
      </c>
      <c r="E1262" s="31">
        <v>46227.0</v>
      </c>
      <c r="F1262" s="26" t="s">
        <v>41</v>
      </c>
      <c r="G1262" s="26">
        <v>11.0</v>
      </c>
      <c r="I1262" s="26" t="s">
        <v>42</v>
      </c>
      <c r="J1262" s="25" t="str">
        <f t="shared" si="28"/>
        <v>No</v>
      </c>
      <c r="K1262" s="25" t="str">
        <f t="shared" si="29"/>
        <v/>
      </c>
      <c r="L1262" s="25" t="str">
        <f t="shared" si="30"/>
        <v/>
      </c>
      <c r="M1262" s="25"/>
      <c r="O1262" s="25"/>
    </row>
    <row r="1263" ht="15.75" customHeight="1">
      <c r="A1263" s="25" t="str">
        <f>IFERROR(__xludf.DUMMYFUNCTION("IF(B1263="""","""",RIGHT(REGEXREPLACE(B1263&amp;"""",""[^0-9]"",""""),9))"),"718198245")</f>
        <v>718198245</v>
      </c>
      <c r="B1263" s="26">
        <v>7.18198245E8</v>
      </c>
      <c r="C1263" s="28" t="s">
        <v>1487</v>
      </c>
      <c r="D1263" s="26" t="s">
        <v>37</v>
      </c>
      <c r="E1263" s="31">
        <v>46227.0</v>
      </c>
      <c r="F1263" s="26" t="s">
        <v>205</v>
      </c>
      <c r="G1263" s="26">
        <v>10.0</v>
      </c>
      <c r="I1263" s="26" t="s">
        <v>42</v>
      </c>
      <c r="J1263" s="25" t="str">
        <f t="shared" si="28"/>
        <v>No</v>
      </c>
      <c r="K1263" s="25" t="str">
        <f t="shared" si="29"/>
        <v/>
      </c>
      <c r="L1263" s="25" t="str">
        <f t="shared" si="30"/>
        <v/>
      </c>
      <c r="M1263" s="25"/>
      <c r="O1263" s="25"/>
    </row>
    <row r="1264" ht="15.75" customHeight="1">
      <c r="A1264" s="25" t="str">
        <f>IFERROR(__xludf.DUMMYFUNCTION("IF(B1264="""","""",RIGHT(REGEXREPLACE(B1264&amp;"""",""[^0-9]"",""""),9))"),"769103605")</f>
        <v>769103605</v>
      </c>
      <c r="B1264" s="52">
        <v>7.69103605E8</v>
      </c>
      <c r="C1264" s="28" t="s">
        <v>1488</v>
      </c>
      <c r="D1264" s="26" t="s">
        <v>45</v>
      </c>
      <c r="E1264" s="31">
        <v>46227.0</v>
      </c>
      <c r="F1264" s="26" t="s">
        <v>41</v>
      </c>
      <c r="I1264" s="26" t="s">
        <v>42</v>
      </c>
      <c r="J1264" s="25" t="str">
        <f t="shared" si="28"/>
        <v>No</v>
      </c>
      <c r="K1264" s="25" t="str">
        <f t="shared" si="29"/>
        <v/>
      </c>
      <c r="L1264" s="25" t="str">
        <f t="shared" si="30"/>
        <v/>
      </c>
      <c r="M1264" s="25"/>
      <c r="O1264" s="25"/>
    </row>
    <row r="1265" ht="15.75" customHeight="1">
      <c r="A1265" s="25" t="str">
        <f>IFERROR(__xludf.DUMMYFUNCTION("IF(B1265="""","""",RIGHT(REGEXREPLACE(B1265&amp;"""",""[^0-9]"",""""),9))"),"777217176")</f>
        <v>777217176</v>
      </c>
      <c r="B1265" s="26">
        <v>7.77217176E8</v>
      </c>
      <c r="C1265" s="28" t="s">
        <v>1489</v>
      </c>
      <c r="D1265" s="26" t="s">
        <v>37</v>
      </c>
      <c r="E1265" s="31">
        <v>46227.0</v>
      </c>
      <c r="F1265" s="26" t="s">
        <v>704</v>
      </c>
      <c r="I1265" s="26" t="s">
        <v>42</v>
      </c>
      <c r="J1265" s="25" t="str">
        <f t="shared" si="28"/>
        <v>No</v>
      </c>
      <c r="K1265" s="25" t="str">
        <f t="shared" si="29"/>
        <v/>
      </c>
      <c r="L1265" s="25" t="str">
        <f t="shared" si="30"/>
        <v/>
      </c>
      <c r="M1265" s="25"/>
      <c r="O1265" s="25"/>
    </row>
    <row r="1266" ht="15.75" customHeight="1">
      <c r="A1266" s="25" t="str">
        <f>IFERROR(__xludf.DUMMYFUNCTION("IF(B1266="""","""",RIGHT(REGEXREPLACE(B1266&amp;"""",""[^0-9]"",""""),9))"),"703163550")</f>
        <v>703163550</v>
      </c>
      <c r="B1266" s="52">
        <v>7.0316355E8</v>
      </c>
      <c r="C1266" s="28" t="s">
        <v>1490</v>
      </c>
      <c r="D1266" s="26" t="s">
        <v>56</v>
      </c>
      <c r="E1266" s="31">
        <v>46227.0</v>
      </c>
      <c r="F1266" s="26" t="s">
        <v>46</v>
      </c>
      <c r="I1266" s="26" t="s">
        <v>42</v>
      </c>
      <c r="J1266" s="25" t="str">
        <f t="shared" si="28"/>
        <v>No</v>
      </c>
      <c r="K1266" s="25" t="str">
        <f t="shared" si="29"/>
        <v/>
      </c>
      <c r="L1266" s="25" t="str">
        <f t="shared" si="30"/>
        <v/>
      </c>
      <c r="M1266" s="25"/>
      <c r="O1266" s="25"/>
    </row>
    <row r="1267" ht="15.75" customHeight="1">
      <c r="A1267" s="25" t="str">
        <f>IFERROR(__xludf.DUMMYFUNCTION("IF(B1267="""","""",RIGHT(REGEXREPLACE(B1267&amp;"""",""[^0-9]"",""""),9))"),"776171542")</f>
        <v>776171542</v>
      </c>
      <c r="B1267" s="52">
        <v>7.76171542E8</v>
      </c>
      <c r="C1267" s="28" t="s">
        <v>1491</v>
      </c>
      <c r="D1267" s="26" t="s">
        <v>45</v>
      </c>
      <c r="E1267" s="31">
        <v>46227.0</v>
      </c>
      <c r="F1267" s="26" t="s">
        <v>205</v>
      </c>
      <c r="I1267" s="26" t="s">
        <v>42</v>
      </c>
      <c r="J1267" s="25" t="str">
        <f t="shared" si="28"/>
        <v>No</v>
      </c>
      <c r="K1267" s="25" t="str">
        <f t="shared" si="29"/>
        <v/>
      </c>
      <c r="L1267" s="25" t="str">
        <f t="shared" si="30"/>
        <v/>
      </c>
      <c r="M1267" s="25"/>
      <c r="O1267" s="25"/>
    </row>
    <row r="1268" ht="15.75" customHeight="1">
      <c r="A1268" s="25" t="str">
        <f>IFERROR(__xludf.DUMMYFUNCTION("IF(B1268="""","""",RIGHT(REGEXREPLACE(B1268&amp;"""",""[^0-9]"",""""),9))"),"740898967")</f>
        <v>740898967</v>
      </c>
      <c r="B1268" s="26">
        <v>7.40898967E8</v>
      </c>
      <c r="C1268" s="28" t="s">
        <v>1492</v>
      </c>
      <c r="D1268" s="26" t="s">
        <v>37</v>
      </c>
      <c r="E1268" s="31">
        <v>46227.0</v>
      </c>
      <c r="F1268" s="26" t="s">
        <v>164</v>
      </c>
      <c r="G1268" s="26">
        <v>11.0</v>
      </c>
      <c r="I1268" s="26" t="s">
        <v>42</v>
      </c>
      <c r="J1268" s="25" t="str">
        <f t="shared" si="28"/>
        <v>No</v>
      </c>
      <c r="K1268" s="25" t="str">
        <f t="shared" si="29"/>
        <v/>
      </c>
      <c r="L1268" s="25" t="str">
        <f t="shared" si="30"/>
        <v/>
      </c>
      <c r="M1268" s="25"/>
      <c r="O1268" s="25"/>
    </row>
    <row r="1269" ht="15.75" customHeight="1">
      <c r="A1269" s="25" t="str">
        <f>IFERROR(__xludf.DUMMYFUNCTION("IF(B1269="""","""",RIGHT(REGEXREPLACE(B1269&amp;"""",""[^0-9]"",""""),9))"),"774557589")</f>
        <v>774557589</v>
      </c>
      <c r="B1269" s="26">
        <v>7.74557589E8</v>
      </c>
      <c r="C1269" s="28" t="s">
        <v>1493</v>
      </c>
      <c r="D1269" s="26" t="s">
        <v>37</v>
      </c>
      <c r="E1269" s="31">
        <v>46227.0</v>
      </c>
      <c r="F1269" s="26" t="s">
        <v>205</v>
      </c>
      <c r="I1269" s="26" t="s">
        <v>42</v>
      </c>
      <c r="J1269" s="25" t="str">
        <f t="shared" si="28"/>
        <v>No</v>
      </c>
      <c r="K1269" s="25" t="str">
        <f t="shared" si="29"/>
        <v/>
      </c>
      <c r="L1269" s="25" t="str">
        <f t="shared" si="30"/>
        <v/>
      </c>
      <c r="M1269" s="25"/>
      <c r="O1269" s="25"/>
    </row>
    <row r="1270" ht="15.75" customHeight="1">
      <c r="A1270" s="25" t="str">
        <f>IFERROR(__xludf.DUMMYFUNCTION("IF(B1270="""","""",RIGHT(REGEXREPLACE(B1270&amp;"""",""[^0-9]"",""""),9))"),"763755173")</f>
        <v>763755173</v>
      </c>
      <c r="B1270" s="26">
        <v>7.63755173E8</v>
      </c>
      <c r="C1270" s="28" t="s">
        <v>1494</v>
      </c>
      <c r="D1270" s="26" t="s">
        <v>37</v>
      </c>
      <c r="E1270" s="31">
        <v>46227.0</v>
      </c>
      <c r="F1270" s="26" t="s">
        <v>46</v>
      </c>
      <c r="G1270" s="26">
        <v>11.0</v>
      </c>
      <c r="I1270" s="26" t="s">
        <v>42</v>
      </c>
      <c r="J1270" s="25" t="str">
        <f t="shared" si="28"/>
        <v>No</v>
      </c>
      <c r="K1270" s="25" t="str">
        <f t="shared" si="29"/>
        <v/>
      </c>
      <c r="L1270" s="25" t="str">
        <f t="shared" si="30"/>
        <v/>
      </c>
      <c r="M1270" s="25"/>
      <c r="O1270" s="25"/>
    </row>
    <row r="1271" ht="15.75" customHeight="1">
      <c r="A1271" s="25" t="str">
        <f>IFERROR(__xludf.DUMMYFUNCTION("IF(B1271="""","""",RIGHT(REGEXREPLACE(B1271&amp;"""",""[^0-9]"",""""),9))"),"775319879")</f>
        <v>775319879</v>
      </c>
      <c r="B1271" s="52">
        <v>7.75319879E8</v>
      </c>
      <c r="C1271" s="28" t="s">
        <v>1495</v>
      </c>
      <c r="D1271" s="26" t="s">
        <v>45</v>
      </c>
      <c r="E1271" s="31">
        <v>46227.0</v>
      </c>
      <c r="F1271" s="26" t="s">
        <v>41</v>
      </c>
      <c r="I1271" s="26" t="s">
        <v>42</v>
      </c>
      <c r="J1271" s="25" t="str">
        <f t="shared" si="28"/>
        <v>No</v>
      </c>
      <c r="K1271" s="25" t="str">
        <f t="shared" si="29"/>
        <v/>
      </c>
      <c r="L1271" s="25" t="str">
        <f t="shared" si="30"/>
        <v/>
      </c>
      <c r="M1271" s="25"/>
      <c r="O1271" s="25"/>
    </row>
    <row r="1272" ht="15.75" customHeight="1">
      <c r="A1272" s="25" t="str">
        <f>IFERROR(__xludf.DUMMYFUNCTION("IF(B1272="""","""",RIGHT(REGEXREPLACE(B1272&amp;"""",""[^0-9]"",""""),9))"),"721065749")</f>
        <v>721065749</v>
      </c>
      <c r="B1272" s="52">
        <v>7.21065749E8</v>
      </c>
      <c r="C1272" s="28" t="s">
        <v>1496</v>
      </c>
      <c r="D1272" s="26" t="s">
        <v>45</v>
      </c>
      <c r="E1272" s="31">
        <v>46227.0</v>
      </c>
      <c r="F1272" s="26" t="s">
        <v>46</v>
      </c>
      <c r="G1272" s="26">
        <v>11.0</v>
      </c>
      <c r="I1272" s="26" t="s">
        <v>42</v>
      </c>
      <c r="J1272" s="25" t="str">
        <f t="shared" si="28"/>
        <v>No</v>
      </c>
      <c r="K1272" s="25" t="str">
        <f t="shared" si="29"/>
        <v/>
      </c>
      <c r="L1272" s="25" t="str">
        <f t="shared" si="30"/>
        <v/>
      </c>
      <c r="M1272" s="25"/>
      <c r="O1272" s="25"/>
    </row>
    <row r="1273" ht="15.75" customHeight="1">
      <c r="A1273" s="25" t="str">
        <f>IFERROR(__xludf.DUMMYFUNCTION("IF(B1273="""","""",RIGHT(REGEXREPLACE(B1273&amp;"""",""[^0-9]"",""""),9))"),"743048151")</f>
        <v>743048151</v>
      </c>
      <c r="B1273" s="26">
        <v>7.43048151E8</v>
      </c>
      <c r="C1273" s="28" t="s">
        <v>1497</v>
      </c>
      <c r="D1273" s="26" t="s">
        <v>37</v>
      </c>
      <c r="E1273" s="31">
        <v>46227.0</v>
      </c>
      <c r="F1273" s="26" t="s">
        <v>205</v>
      </c>
      <c r="G1273" s="26">
        <v>11.0</v>
      </c>
      <c r="I1273" s="26" t="s">
        <v>42</v>
      </c>
      <c r="J1273" s="25" t="str">
        <f t="shared" si="28"/>
        <v>No</v>
      </c>
      <c r="K1273" s="25" t="str">
        <f t="shared" si="29"/>
        <v/>
      </c>
      <c r="L1273" s="25" t="str">
        <f t="shared" si="30"/>
        <v/>
      </c>
      <c r="M1273" s="25"/>
      <c r="O1273" s="25"/>
    </row>
    <row r="1274" ht="15.75" customHeight="1">
      <c r="A1274" s="25" t="str">
        <f>IFERROR(__xludf.DUMMYFUNCTION("IF(B1274="""","""",RIGHT(REGEXREPLACE(B1274&amp;"""",""[^0-9]"",""""),9))"),"707787350")</f>
        <v>707787350</v>
      </c>
      <c r="B1274" s="26">
        <v>7.0778735E8</v>
      </c>
      <c r="C1274" s="28" t="s">
        <v>1498</v>
      </c>
      <c r="D1274" s="26" t="s">
        <v>37</v>
      </c>
      <c r="E1274" s="31">
        <v>46227.0</v>
      </c>
      <c r="F1274" s="26" t="s">
        <v>46</v>
      </c>
      <c r="G1274" s="26">
        <v>11.0</v>
      </c>
      <c r="I1274" s="26" t="s">
        <v>42</v>
      </c>
      <c r="J1274" s="25" t="str">
        <f t="shared" si="28"/>
        <v>No</v>
      </c>
      <c r="K1274" s="25" t="str">
        <f t="shared" si="29"/>
        <v/>
      </c>
      <c r="L1274" s="25" t="str">
        <f t="shared" si="30"/>
        <v/>
      </c>
      <c r="M1274" s="25"/>
      <c r="O1274" s="25"/>
    </row>
    <row r="1275" ht="15.75" customHeight="1">
      <c r="A1275" s="25" t="str">
        <f>IFERROR(__xludf.DUMMYFUNCTION("IF(B1275="""","""",RIGHT(REGEXREPLACE(B1275&amp;"""",""[^0-9]"",""""),9))"),"761217564")</f>
        <v>761217564</v>
      </c>
      <c r="B1275" s="26">
        <v>7.61217564E8</v>
      </c>
      <c r="C1275" s="28" t="s">
        <v>1499</v>
      </c>
      <c r="D1275" s="26" t="s">
        <v>37</v>
      </c>
      <c r="E1275" s="31">
        <v>46227.0</v>
      </c>
      <c r="F1275" s="26" t="s">
        <v>46</v>
      </c>
      <c r="G1275" s="26">
        <v>11.0</v>
      </c>
      <c r="H1275" s="26" t="s">
        <v>1500</v>
      </c>
      <c r="I1275" s="26" t="s">
        <v>42</v>
      </c>
      <c r="J1275" s="25" t="str">
        <f t="shared" si="28"/>
        <v>No</v>
      </c>
      <c r="K1275" s="25" t="str">
        <f t="shared" si="29"/>
        <v/>
      </c>
      <c r="L1275" s="25" t="str">
        <f t="shared" si="30"/>
        <v/>
      </c>
      <c r="M1275" s="25"/>
      <c r="O1275" s="25"/>
    </row>
    <row r="1276" ht="15.75" customHeight="1">
      <c r="A1276" s="25" t="str">
        <f>IFERROR(__xludf.DUMMYFUNCTION("IF(B1276="""","""",RIGHT(REGEXREPLACE(B1276&amp;"""",""[^0-9]"",""""),9))"),"743718001")</f>
        <v>743718001</v>
      </c>
      <c r="B1276" s="52">
        <v>7.43718001E8</v>
      </c>
      <c r="C1276" s="28" t="s">
        <v>1501</v>
      </c>
      <c r="D1276" s="26" t="s">
        <v>45</v>
      </c>
      <c r="E1276" s="31">
        <v>46227.0</v>
      </c>
      <c r="F1276" s="26" t="s">
        <v>41</v>
      </c>
      <c r="I1276" s="26" t="s">
        <v>42</v>
      </c>
      <c r="J1276" s="25" t="str">
        <f t="shared" si="28"/>
        <v>No</v>
      </c>
      <c r="K1276" s="25" t="str">
        <f t="shared" si="29"/>
        <v/>
      </c>
      <c r="L1276" s="25" t="str">
        <f t="shared" si="30"/>
        <v/>
      </c>
      <c r="M1276" s="25"/>
      <c r="O1276" s="25"/>
    </row>
    <row r="1277" ht="15.75" customHeight="1">
      <c r="A1277" s="25" t="str">
        <f>IFERROR(__xludf.DUMMYFUNCTION("IF(B1277="""","""",RIGHT(REGEXREPLACE(B1277&amp;"""",""[^0-9]"",""""),9))"),"778107099")</f>
        <v>778107099</v>
      </c>
      <c r="B1277" s="26">
        <v>7.78107099E8</v>
      </c>
      <c r="C1277" s="28" t="s">
        <v>1502</v>
      </c>
      <c r="D1277" s="26" t="s">
        <v>37</v>
      </c>
      <c r="E1277" s="31">
        <v>46227.0</v>
      </c>
      <c r="F1277" s="26" t="s">
        <v>167</v>
      </c>
      <c r="H1277" s="26" t="s">
        <v>253</v>
      </c>
      <c r="I1277" s="26" t="s">
        <v>42</v>
      </c>
      <c r="J1277" s="25" t="str">
        <f t="shared" si="28"/>
        <v>No</v>
      </c>
      <c r="K1277" s="25" t="str">
        <f t="shared" si="29"/>
        <v/>
      </c>
      <c r="L1277" s="25" t="str">
        <f t="shared" si="30"/>
        <v/>
      </c>
      <c r="M1277" s="25"/>
      <c r="O1277" s="25"/>
    </row>
    <row r="1278" ht="15.75" customHeight="1">
      <c r="A1278" s="25" t="str">
        <f>IFERROR(__xludf.DUMMYFUNCTION("IF(B1278="""","""",RIGHT(REGEXREPLACE(B1278&amp;"""",""[^0-9]"",""""),9))"),"703712142")</f>
        <v>703712142</v>
      </c>
      <c r="B1278" s="52">
        <v>7.03712142E8</v>
      </c>
      <c r="C1278" s="28" t="s">
        <v>1503</v>
      </c>
      <c r="D1278" s="26" t="s">
        <v>45</v>
      </c>
      <c r="E1278" s="31">
        <v>46227.0</v>
      </c>
      <c r="F1278" s="26" t="s">
        <v>41</v>
      </c>
      <c r="G1278" s="26">
        <v>11.0</v>
      </c>
      <c r="I1278" s="26" t="s">
        <v>42</v>
      </c>
      <c r="J1278" s="25" t="str">
        <f t="shared" si="28"/>
        <v>No</v>
      </c>
      <c r="K1278" s="25" t="str">
        <f t="shared" si="29"/>
        <v/>
      </c>
      <c r="L1278" s="25" t="str">
        <f t="shared" si="30"/>
        <v/>
      </c>
      <c r="M1278" s="25"/>
      <c r="O1278" s="25"/>
    </row>
    <row r="1279" ht="15.75" customHeight="1">
      <c r="A1279" s="25" t="str">
        <f>IFERROR(__xludf.DUMMYFUNCTION("IF(B1279="""","""",RIGHT(REGEXREPLACE(B1279&amp;"""",""[^0-9]"",""""),9))"),"703618480")</f>
        <v>703618480</v>
      </c>
      <c r="B1279" s="52">
        <v>7.0361848E8</v>
      </c>
      <c r="C1279" s="28" t="s">
        <v>1504</v>
      </c>
      <c r="D1279" s="26" t="s">
        <v>45</v>
      </c>
      <c r="E1279" s="31">
        <v>46227.0</v>
      </c>
      <c r="F1279" s="26" t="s">
        <v>205</v>
      </c>
      <c r="I1279" s="26" t="s">
        <v>42</v>
      </c>
      <c r="J1279" s="25" t="str">
        <f t="shared" si="28"/>
        <v>No</v>
      </c>
      <c r="K1279" s="25" t="str">
        <f t="shared" si="29"/>
        <v/>
      </c>
      <c r="L1279" s="25" t="str">
        <f t="shared" si="30"/>
        <v/>
      </c>
      <c r="M1279" s="25"/>
      <c r="O1279" s="25"/>
    </row>
    <row r="1280" ht="15.75" customHeight="1">
      <c r="A1280" s="25" t="str">
        <f>IFERROR(__xludf.DUMMYFUNCTION("IF(B1280="""","""",RIGHT(REGEXREPLACE(B1280&amp;"""",""[^0-9]"",""""),9))"),"776354669")</f>
        <v>776354669</v>
      </c>
      <c r="B1280" s="26">
        <v>7.76354669E8</v>
      </c>
      <c r="C1280" s="28" t="s">
        <v>1505</v>
      </c>
      <c r="D1280" s="26" t="s">
        <v>37</v>
      </c>
      <c r="E1280" s="31">
        <v>46227.0</v>
      </c>
      <c r="F1280" s="26" t="s">
        <v>41</v>
      </c>
      <c r="G1280" s="26">
        <v>11.0</v>
      </c>
      <c r="I1280" s="26" t="s">
        <v>42</v>
      </c>
      <c r="J1280" s="25" t="str">
        <f t="shared" si="28"/>
        <v>No</v>
      </c>
      <c r="K1280" s="25" t="str">
        <f t="shared" si="29"/>
        <v/>
      </c>
      <c r="L1280" s="25" t="str">
        <f t="shared" si="30"/>
        <v/>
      </c>
      <c r="M1280" s="25"/>
      <c r="O1280" s="25"/>
    </row>
    <row r="1281" ht="15.75" customHeight="1">
      <c r="A1281" s="69"/>
      <c r="B1281" s="111"/>
      <c r="C1281" s="112"/>
      <c r="D1281" s="71"/>
      <c r="E1281" s="113"/>
      <c r="F1281" s="71"/>
      <c r="G1281" s="71"/>
      <c r="H1281" s="71"/>
      <c r="I1281" s="71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</row>
    <row r="1282" ht="15.75" customHeight="1">
      <c r="A1282" s="25" t="str">
        <f>IFERROR(__xludf.DUMMYFUNCTION("IF(B1282="""","""",RIGHT(REGEXREPLACE(B1282&amp;"""",""[^0-9]"",""""),9))"),"769038917")</f>
        <v>769038917</v>
      </c>
      <c r="B1282" s="52">
        <v>7.69038917E8</v>
      </c>
      <c r="C1282" s="28" t="s">
        <v>1506</v>
      </c>
      <c r="D1282" s="26" t="s">
        <v>56</v>
      </c>
      <c r="E1282" s="31">
        <v>46228.0</v>
      </c>
      <c r="F1282" s="26" t="s">
        <v>46</v>
      </c>
      <c r="G1282" s="26">
        <v>10.0</v>
      </c>
      <c r="H1282" s="26" t="s">
        <v>796</v>
      </c>
      <c r="I1282" s="26" t="s">
        <v>42</v>
      </c>
      <c r="J1282" s="25" t="str">
        <f t="shared" ref="J1282:J1821" si="31">IF(COUNTIF($A$2:A1281,A1282)&gt;0,"Yes - see Previous F-Code","No")</f>
        <v>No</v>
      </c>
      <c r="K1282" s="25" t="str">
        <f t="shared" ref="K1282:K1821" si="32">IF(COUNTIFS($A$2:A1282,A1282,$I$2:I1282,I1282)&gt;1,"DUPLICATE - CHECK","")</f>
        <v/>
      </c>
      <c r="L1282" s="25" t="str">
        <f t="shared" ref="L1282:L1821" si="33">IF(COUNTIF($A$2:A1281,A1282)&gt;0,INDEX($C$2:C1281,MATCH(A1282,$A$2:A1281,0)),"")</f>
        <v/>
      </c>
      <c r="M1282" s="25"/>
      <c r="O1282" s="25"/>
    </row>
    <row r="1283" ht="15.75" customHeight="1">
      <c r="A1283" s="25" t="str">
        <f>IFERROR(__xludf.DUMMYFUNCTION("IF(B1283="""","""",RIGHT(REGEXREPLACE(B1283&amp;"""",""[^0-9]"",""""),9))"),"775076571")</f>
        <v>775076571</v>
      </c>
      <c r="B1283" s="52">
        <v>7.75076571E8</v>
      </c>
      <c r="C1283" s="28" t="s">
        <v>1507</v>
      </c>
      <c r="D1283" s="26" t="s">
        <v>56</v>
      </c>
      <c r="E1283" s="31">
        <v>46228.0</v>
      </c>
      <c r="F1283" s="26" t="s">
        <v>46</v>
      </c>
      <c r="G1283" s="26">
        <v>11.0</v>
      </c>
      <c r="H1283" s="26" t="s">
        <v>796</v>
      </c>
      <c r="I1283" s="26" t="s">
        <v>42</v>
      </c>
      <c r="J1283" s="25" t="str">
        <f t="shared" si="31"/>
        <v>No</v>
      </c>
      <c r="K1283" s="25" t="str">
        <f t="shared" si="32"/>
        <v/>
      </c>
      <c r="L1283" s="25" t="str">
        <f t="shared" si="33"/>
        <v/>
      </c>
      <c r="M1283" s="25"/>
      <c r="O1283" s="25"/>
    </row>
    <row r="1284" ht="15.75" customHeight="1">
      <c r="A1284" s="25" t="str">
        <f>IFERROR(__xludf.DUMMYFUNCTION("IF(B1284="""","""",RIGHT(REGEXREPLACE(B1284&amp;"""",""[^0-9]"",""""),9))"),"718227840")</f>
        <v>718227840</v>
      </c>
      <c r="B1284" s="52">
        <v>7.1822784E8</v>
      </c>
      <c r="C1284" s="28" t="s">
        <v>578</v>
      </c>
      <c r="D1284" s="26" t="s">
        <v>56</v>
      </c>
      <c r="E1284" s="31">
        <v>46228.0</v>
      </c>
      <c r="F1284" s="26" t="s">
        <v>205</v>
      </c>
      <c r="H1284" s="26" t="s">
        <v>796</v>
      </c>
      <c r="I1284" s="26" t="s">
        <v>42</v>
      </c>
      <c r="J1284" s="25" t="str">
        <f t="shared" si="31"/>
        <v>Yes - see Previous F-Code</v>
      </c>
      <c r="K1284" s="25" t="str">
        <f t="shared" si="32"/>
        <v>DUPLICATE - CHECK</v>
      </c>
      <c r="L1284" s="25" t="str">
        <f t="shared" si="33"/>
        <v>F70396</v>
      </c>
      <c r="M1284" s="25"/>
      <c r="O1284" s="25"/>
    </row>
    <row r="1285" ht="15.75" customHeight="1">
      <c r="A1285" s="25" t="str">
        <f>IFERROR(__xludf.DUMMYFUNCTION("IF(B1285="""","""",RIGHT(REGEXREPLACE(B1285&amp;"""",""[^0-9]"",""""),9))"),"775138501")</f>
        <v>775138501</v>
      </c>
      <c r="B1285" s="52">
        <v>7.75138501E8</v>
      </c>
      <c r="C1285" s="28" t="s">
        <v>1508</v>
      </c>
      <c r="D1285" s="26" t="s">
        <v>49</v>
      </c>
      <c r="E1285" s="31">
        <v>46228.0</v>
      </c>
      <c r="F1285" s="26" t="s">
        <v>46</v>
      </c>
      <c r="G1285" s="26">
        <v>11.0</v>
      </c>
      <c r="H1285" s="26" t="s">
        <v>677</v>
      </c>
      <c r="I1285" s="26" t="s">
        <v>42</v>
      </c>
      <c r="J1285" s="25" t="str">
        <f t="shared" si="31"/>
        <v>No</v>
      </c>
      <c r="K1285" s="25" t="str">
        <f t="shared" si="32"/>
        <v/>
      </c>
      <c r="L1285" s="25" t="str">
        <f t="shared" si="33"/>
        <v/>
      </c>
      <c r="M1285" s="25"/>
      <c r="O1285" s="25"/>
    </row>
    <row r="1286" ht="15.75" customHeight="1">
      <c r="A1286" s="25" t="str">
        <f>IFERROR(__xludf.DUMMYFUNCTION("IF(B1286="""","""",RIGHT(REGEXREPLACE(B1286&amp;"""",""[^0-9]"",""""),9))"),"773839153")</f>
        <v>773839153</v>
      </c>
      <c r="B1286" s="52">
        <v>7.73839153E8</v>
      </c>
      <c r="C1286" s="28" t="s">
        <v>1509</v>
      </c>
      <c r="D1286" s="26" t="s">
        <v>56</v>
      </c>
      <c r="E1286" s="31">
        <v>46228.0</v>
      </c>
      <c r="F1286" s="26" t="s">
        <v>46</v>
      </c>
      <c r="G1286" s="26">
        <v>11.0</v>
      </c>
      <c r="H1286" s="26" t="s">
        <v>653</v>
      </c>
      <c r="I1286" s="26" t="s">
        <v>42</v>
      </c>
      <c r="J1286" s="25" t="str">
        <f t="shared" si="31"/>
        <v>No</v>
      </c>
      <c r="K1286" s="25" t="str">
        <f t="shared" si="32"/>
        <v/>
      </c>
      <c r="L1286" s="25" t="str">
        <f t="shared" si="33"/>
        <v/>
      </c>
      <c r="M1286" s="25"/>
      <c r="O1286" s="25"/>
    </row>
    <row r="1287" ht="15.75" customHeight="1">
      <c r="A1287" s="25" t="str">
        <f>IFERROR(__xludf.DUMMYFUNCTION("IF(B1287="""","""",RIGHT(REGEXREPLACE(B1287&amp;"""",""[^0-9]"",""""),9))"),"769929574")</f>
        <v>769929574</v>
      </c>
      <c r="B1287" s="52">
        <v>7.69929574E8</v>
      </c>
      <c r="C1287" s="28" t="s">
        <v>1510</v>
      </c>
      <c r="D1287" s="26" t="s">
        <v>49</v>
      </c>
      <c r="E1287" s="31">
        <v>46228.0</v>
      </c>
      <c r="F1287" s="26" t="s">
        <v>46</v>
      </c>
      <c r="G1287" s="26">
        <v>11.0</v>
      </c>
      <c r="I1287" s="26" t="s">
        <v>42</v>
      </c>
      <c r="J1287" s="25" t="str">
        <f t="shared" si="31"/>
        <v>No</v>
      </c>
      <c r="K1287" s="25" t="str">
        <f t="shared" si="32"/>
        <v/>
      </c>
      <c r="L1287" s="25" t="str">
        <f t="shared" si="33"/>
        <v/>
      </c>
      <c r="M1287" s="25"/>
      <c r="O1287" s="25"/>
    </row>
    <row r="1288" ht="15.75" customHeight="1">
      <c r="A1288" s="25" t="str">
        <f>IFERROR(__xludf.DUMMYFUNCTION("IF(B1288="""","""",RIGHT(REGEXREPLACE(B1288&amp;"""",""[^0-9]"",""""),9))"),"770279156")</f>
        <v>770279156</v>
      </c>
      <c r="B1288" s="52">
        <v>7.70279156E8</v>
      </c>
      <c r="C1288" s="28" t="s">
        <v>1511</v>
      </c>
      <c r="D1288" s="26" t="s">
        <v>82</v>
      </c>
      <c r="E1288" s="31">
        <v>46228.0</v>
      </c>
      <c r="F1288" s="26" t="s">
        <v>205</v>
      </c>
      <c r="H1288" s="26" t="s">
        <v>1512</v>
      </c>
      <c r="I1288" s="26" t="s">
        <v>42</v>
      </c>
      <c r="J1288" s="25" t="str">
        <f t="shared" si="31"/>
        <v>No</v>
      </c>
      <c r="K1288" s="25" t="str">
        <f t="shared" si="32"/>
        <v/>
      </c>
      <c r="L1288" s="25" t="str">
        <f t="shared" si="33"/>
        <v/>
      </c>
      <c r="M1288" s="25"/>
      <c r="O1288" s="25"/>
    </row>
    <row r="1289" ht="15.75" customHeight="1">
      <c r="A1289" s="25" t="str">
        <f>IFERROR(__xludf.DUMMYFUNCTION("IF(B1289="""","""",RIGHT(REGEXREPLACE(B1289&amp;"""",""[^0-9]"",""""),9))"),"741356058")</f>
        <v>741356058</v>
      </c>
      <c r="B1289" s="52">
        <v>7.41356058E8</v>
      </c>
      <c r="C1289" s="28" t="s">
        <v>1513</v>
      </c>
      <c r="D1289" s="26" t="s">
        <v>56</v>
      </c>
      <c r="E1289" s="31">
        <v>46228.0</v>
      </c>
      <c r="F1289" s="26" t="s">
        <v>205</v>
      </c>
      <c r="G1289" s="26">
        <v>11.0</v>
      </c>
      <c r="H1289" s="26" t="s">
        <v>796</v>
      </c>
      <c r="I1289" s="26" t="s">
        <v>42</v>
      </c>
      <c r="J1289" s="25" t="str">
        <f t="shared" si="31"/>
        <v>No</v>
      </c>
      <c r="K1289" s="25" t="str">
        <f t="shared" si="32"/>
        <v/>
      </c>
      <c r="L1289" s="25" t="str">
        <f t="shared" si="33"/>
        <v/>
      </c>
      <c r="M1289" s="25"/>
      <c r="O1289" s="25"/>
    </row>
    <row r="1290" ht="15.75" customHeight="1">
      <c r="A1290" s="25" t="str">
        <f>IFERROR(__xludf.DUMMYFUNCTION("IF(B1290="""","""",RIGHT(REGEXREPLACE(B1290&amp;"""",""[^0-9]"",""""),9))"),"750778501")</f>
        <v>750778501</v>
      </c>
      <c r="B1290" s="26">
        <v>7.50778501E8</v>
      </c>
      <c r="C1290" s="28" t="s">
        <v>1514</v>
      </c>
      <c r="D1290" s="26" t="s">
        <v>45</v>
      </c>
      <c r="E1290" s="31">
        <v>46228.0</v>
      </c>
      <c r="F1290" s="26" t="s">
        <v>46</v>
      </c>
      <c r="G1290" s="26">
        <v>10.0</v>
      </c>
      <c r="I1290" s="26" t="s">
        <v>42</v>
      </c>
      <c r="J1290" s="25" t="str">
        <f t="shared" si="31"/>
        <v>No</v>
      </c>
      <c r="K1290" s="25" t="str">
        <f t="shared" si="32"/>
        <v/>
      </c>
      <c r="L1290" s="25" t="str">
        <f t="shared" si="33"/>
        <v/>
      </c>
      <c r="M1290" s="25"/>
      <c r="O1290" s="25"/>
    </row>
    <row r="1291" ht="15.75" customHeight="1">
      <c r="A1291" s="25" t="str">
        <f>IFERROR(__xludf.DUMMYFUNCTION("IF(B1291="""","""",RIGHT(REGEXREPLACE(B1291&amp;"""",""[^0-9]"",""""),9))"),"702659201")</f>
        <v>702659201</v>
      </c>
      <c r="B1291" s="52">
        <v>7.02659201E8</v>
      </c>
      <c r="C1291" s="28" t="s">
        <v>1515</v>
      </c>
      <c r="D1291" s="26" t="s">
        <v>49</v>
      </c>
      <c r="E1291" s="31">
        <v>46228.0</v>
      </c>
      <c r="F1291" s="26" t="s">
        <v>41</v>
      </c>
      <c r="G1291" s="26">
        <v>11.0</v>
      </c>
      <c r="I1291" s="26" t="s">
        <v>42</v>
      </c>
      <c r="J1291" s="25" t="str">
        <f t="shared" si="31"/>
        <v>No</v>
      </c>
      <c r="K1291" s="25" t="str">
        <f t="shared" si="32"/>
        <v/>
      </c>
      <c r="L1291" s="25" t="str">
        <f t="shared" si="33"/>
        <v/>
      </c>
      <c r="M1291" s="25"/>
      <c r="O1291" s="25"/>
    </row>
    <row r="1292" ht="15.75" customHeight="1">
      <c r="A1292" s="25" t="str">
        <f>IFERROR(__xludf.DUMMYFUNCTION("IF(B1292="""","""",RIGHT(REGEXREPLACE(B1292&amp;"""",""[^0-9]"",""""),9))"),"704177195")</f>
        <v>704177195</v>
      </c>
      <c r="B1292" s="52">
        <v>7.04177195E8</v>
      </c>
      <c r="C1292" s="28" t="s">
        <v>1516</v>
      </c>
      <c r="D1292" s="26" t="s">
        <v>82</v>
      </c>
      <c r="E1292" s="31">
        <v>46228.0</v>
      </c>
      <c r="F1292" s="26" t="s">
        <v>46</v>
      </c>
      <c r="G1292" s="26">
        <v>11.0</v>
      </c>
      <c r="H1292" s="26" t="s">
        <v>1517</v>
      </c>
      <c r="I1292" s="26" t="s">
        <v>42</v>
      </c>
      <c r="J1292" s="25" t="str">
        <f t="shared" si="31"/>
        <v>No</v>
      </c>
      <c r="K1292" s="25" t="str">
        <f t="shared" si="32"/>
        <v/>
      </c>
      <c r="L1292" s="25" t="str">
        <f t="shared" si="33"/>
        <v/>
      </c>
      <c r="M1292" s="25"/>
      <c r="O1292" s="25"/>
    </row>
    <row r="1293" ht="15.75" customHeight="1">
      <c r="A1293" s="25" t="str">
        <f>IFERROR(__xludf.DUMMYFUNCTION("IF(B1293="""","""",RIGHT(REGEXREPLACE(B1293&amp;"""",""[^0-9]"",""""),9))"),"770509031")</f>
        <v>770509031</v>
      </c>
      <c r="B1293" s="52">
        <v>7.70509031E8</v>
      </c>
      <c r="C1293" s="28" t="s">
        <v>1518</v>
      </c>
      <c r="D1293" s="26" t="s">
        <v>49</v>
      </c>
      <c r="E1293" s="31">
        <v>46228.0</v>
      </c>
      <c r="F1293" s="26" t="s">
        <v>46</v>
      </c>
      <c r="G1293" s="26">
        <v>11.0</v>
      </c>
      <c r="H1293" s="26" t="s">
        <v>677</v>
      </c>
      <c r="I1293" s="26" t="s">
        <v>42</v>
      </c>
      <c r="J1293" s="25" t="str">
        <f t="shared" si="31"/>
        <v>No</v>
      </c>
      <c r="K1293" s="25" t="str">
        <f t="shared" si="32"/>
        <v/>
      </c>
      <c r="L1293" s="25" t="str">
        <f t="shared" si="33"/>
        <v/>
      </c>
      <c r="M1293" s="25"/>
      <c r="O1293" s="25"/>
    </row>
    <row r="1294" ht="15.75" customHeight="1">
      <c r="A1294" s="25" t="str">
        <f>IFERROR(__xludf.DUMMYFUNCTION("IF(B1294="""","""",RIGHT(REGEXREPLACE(B1294&amp;"""",""[^0-9]"",""""),9))"),"769064817")</f>
        <v>769064817</v>
      </c>
      <c r="B1294" s="52">
        <v>7.69064817E8</v>
      </c>
      <c r="C1294" s="28" t="s">
        <v>1519</v>
      </c>
      <c r="D1294" s="26" t="s">
        <v>49</v>
      </c>
      <c r="E1294" s="31">
        <v>46228.0</v>
      </c>
      <c r="F1294" s="26" t="s">
        <v>46</v>
      </c>
      <c r="G1294" s="26">
        <v>11.0</v>
      </c>
      <c r="H1294" s="26" t="s">
        <v>677</v>
      </c>
      <c r="I1294" s="26" t="s">
        <v>42</v>
      </c>
      <c r="J1294" s="25" t="str">
        <f t="shared" si="31"/>
        <v>No</v>
      </c>
      <c r="K1294" s="25" t="str">
        <f t="shared" si="32"/>
        <v/>
      </c>
      <c r="L1294" s="25" t="str">
        <f t="shared" si="33"/>
        <v/>
      </c>
      <c r="M1294" s="25"/>
      <c r="O1294" s="25"/>
    </row>
    <row r="1295" ht="15.75" customHeight="1">
      <c r="A1295" s="25" t="str">
        <f>IFERROR(__xludf.DUMMYFUNCTION("IF(B1295="""","""",RIGHT(REGEXREPLACE(B1295&amp;"""",""[^0-9]"",""""),9))"),"768814311")</f>
        <v>768814311</v>
      </c>
      <c r="B1295" s="52">
        <v>7.68814311E8</v>
      </c>
      <c r="C1295" s="28" t="s">
        <v>1520</v>
      </c>
      <c r="D1295" s="26" t="s">
        <v>56</v>
      </c>
      <c r="E1295" s="31">
        <v>46228.0</v>
      </c>
      <c r="F1295" s="26" t="s">
        <v>46</v>
      </c>
      <c r="H1295" s="26" t="s">
        <v>796</v>
      </c>
      <c r="I1295" s="26" t="s">
        <v>42</v>
      </c>
      <c r="J1295" s="25" t="str">
        <f t="shared" si="31"/>
        <v>No</v>
      </c>
      <c r="K1295" s="25" t="str">
        <f t="shared" si="32"/>
        <v/>
      </c>
      <c r="L1295" s="25" t="str">
        <f t="shared" si="33"/>
        <v/>
      </c>
      <c r="M1295" s="25"/>
      <c r="O1295" s="25"/>
    </row>
    <row r="1296" ht="15.75" customHeight="1">
      <c r="A1296" s="25" t="str">
        <f>IFERROR(__xludf.DUMMYFUNCTION("IF(B1296="""","""",RIGHT(REGEXREPLACE(B1296&amp;"""",""[^0-9]"",""""),9))"),"714813035")</f>
        <v>714813035</v>
      </c>
      <c r="B1296" s="52">
        <v>7.14813035E8</v>
      </c>
      <c r="C1296" s="28" t="s">
        <v>1521</v>
      </c>
      <c r="D1296" s="26" t="s">
        <v>82</v>
      </c>
      <c r="E1296" s="31">
        <v>46228.0</v>
      </c>
      <c r="F1296" s="26" t="s">
        <v>205</v>
      </c>
      <c r="H1296" s="26" t="s">
        <v>1512</v>
      </c>
      <c r="I1296" s="26" t="s">
        <v>42</v>
      </c>
      <c r="J1296" s="25" t="str">
        <f t="shared" si="31"/>
        <v>No</v>
      </c>
      <c r="K1296" s="25" t="str">
        <f t="shared" si="32"/>
        <v/>
      </c>
      <c r="L1296" s="25" t="str">
        <f t="shared" si="33"/>
        <v/>
      </c>
      <c r="M1296" s="25"/>
      <c r="O1296" s="25"/>
    </row>
    <row r="1297" ht="15.75" customHeight="1">
      <c r="A1297" s="25" t="str">
        <f>IFERROR(__xludf.DUMMYFUNCTION("IF(B1297="""","""",RIGHT(REGEXREPLACE(B1297&amp;"""",""[^0-9]"",""""),9))"),"767539674")</f>
        <v>767539674</v>
      </c>
      <c r="B1297" s="52">
        <v>7.67539674E8</v>
      </c>
      <c r="C1297" s="28" t="s">
        <v>1522</v>
      </c>
      <c r="D1297" s="26" t="s">
        <v>56</v>
      </c>
      <c r="E1297" s="31">
        <v>46228.0</v>
      </c>
      <c r="F1297" s="26" t="s">
        <v>41</v>
      </c>
      <c r="G1297" s="26">
        <v>10.0</v>
      </c>
      <c r="H1297" s="26" t="s">
        <v>796</v>
      </c>
      <c r="I1297" s="26" t="s">
        <v>42</v>
      </c>
      <c r="J1297" s="25" t="str">
        <f t="shared" si="31"/>
        <v>No</v>
      </c>
      <c r="K1297" s="25" t="str">
        <f t="shared" si="32"/>
        <v/>
      </c>
      <c r="L1297" s="25" t="str">
        <f t="shared" si="33"/>
        <v/>
      </c>
      <c r="M1297" s="25"/>
      <c r="O1297" s="25"/>
    </row>
    <row r="1298" ht="15.75" customHeight="1">
      <c r="A1298" s="25" t="str">
        <f>IFERROR(__xludf.DUMMYFUNCTION("IF(B1298="""","""",RIGHT(REGEXREPLACE(B1298&amp;"""",""[^0-9]"",""""),9))"),"705089407")</f>
        <v>705089407</v>
      </c>
      <c r="B1298" s="52">
        <v>7.05089407E8</v>
      </c>
      <c r="C1298" s="28" t="s">
        <v>1523</v>
      </c>
      <c r="D1298" s="26" t="s">
        <v>45</v>
      </c>
      <c r="E1298" s="31">
        <v>46228.0</v>
      </c>
      <c r="F1298" s="26" t="s">
        <v>41</v>
      </c>
      <c r="G1298" s="26">
        <v>10.0</v>
      </c>
      <c r="I1298" s="26" t="s">
        <v>42</v>
      </c>
      <c r="J1298" s="25" t="str">
        <f t="shared" si="31"/>
        <v>No</v>
      </c>
      <c r="K1298" s="25" t="str">
        <f t="shared" si="32"/>
        <v/>
      </c>
      <c r="L1298" s="25" t="str">
        <f t="shared" si="33"/>
        <v/>
      </c>
      <c r="M1298" s="25"/>
      <c r="O1298" s="25"/>
    </row>
    <row r="1299" ht="15.75" customHeight="1">
      <c r="A1299" s="25" t="str">
        <f>IFERROR(__xludf.DUMMYFUNCTION("IF(B1299="""","""",RIGHT(REGEXREPLACE(B1299&amp;"""",""[^0-9]"",""""),9))"),"703189399")</f>
        <v>703189399</v>
      </c>
      <c r="B1299" s="52">
        <v>7.03189399E8</v>
      </c>
      <c r="C1299" s="28" t="s">
        <v>1524</v>
      </c>
      <c r="D1299" s="26" t="s">
        <v>49</v>
      </c>
      <c r="E1299" s="31">
        <v>46228.0</v>
      </c>
      <c r="F1299" s="26" t="s">
        <v>46</v>
      </c>
      <c r="G1299" s="26">
        <v>11.0</v>
      </c>
      <c r="I1299" s="26" t="s">
        <v>42</v>
      </c>
      <c r="J1299" s="25" t="str">
        <f t="shared" si="31"/>
        <v>No</v>
      </c>
      <c r="K1299" s="25" t="str">
        <f t="shared" si="32"/>
        <v/>
      </c>
      <c r="L1299" s="25" t="str">
        <f t="shared" si="33"/>
        <v/>
      </c>
      <c r="M1299" s="25"/>
      <c r="O1299" s="25"/>
    </row>
    <row r="1300" ht="15.75" customHeight="1">
      <c r="A1300" s="25" t="str">
        <f>IFERROR(__xludf.DUMMYFUNCTION("IF(B1300="""","""",RIGHT(REGEXREPLACE(B1300&amp;"""",""[^0-9]"",""""),9))"),"703119110")</f>
        <v>703119110</v>
      </c>
      <c r="B1300" s="52">
        <v>7.0311911E8</v>
      </c>
      <c r="C1300" s="28" t="s">
        <v>1525</v>
      </c>
      <c r="D1300" s="26" t="s">
        <v>82</v>
      </c>
      <c r="E1300" s="31">
        <v>46228.0</v>
      </c>
      <c r="F1300" s="26" t="s">
        <v>46</v>
      </c>
      <c r="G1300" s="26">
        <v>7.0</v>
      </c>
      <c r="H1300" s="26" t="s">
        <v>1526</v>
      </c>
      <c r="I1300" s="26" t="s">
        <v>42</v>
      </c>
      <c r="J1300" s="25" t="str">
        <f t="shared" si="31"/>
        <v>No</v>
      </c>
      <c r="K1300" s="25" t="str">
        <f t="shared" si="32"/>
        <v/>
      </c>
      <c r="L1300" s="25" t="str">
        <f t="shared" si="33"/>
        <v/>
      </c>
      <c r="M1300" s="25"/>
      <c r="O1300" s="25"/>
    </row>
    <row r="1301" ht="15.75" customHeight="1">
      <c r="A1301" s="25" t="str">
        <f>IFERROR(__xludf.DUMMYFUNCTION("IF(B1301="""","""",RIGHT(REGEXREPLACE(B1301&amp;"""",""[^0-9]"",""""),9))"),"742579877")</f>
        <v>742579877</v>
      </c>
      <c r="B1301" s="52">
        <v>7.42579877E8</v>
      </c>
      <c r="C1301" s="28" t="s">
        <v>1527</v>
      </c>
      <c r="D1301" s="26" t="s">
        <v>45</v>
      </c>
      <c r="E1301" s="31">
        <v>46228.0</v>
      </c>
      <c r="F1301" s="26" t="s">
        <v>41</v>
      </c>
      <c r="I1301" s="26" t="s">
        <v>42</v>
      </c>
      <c r="J1301" s="25" t="str">
        <f t="shared" si="31"/>
        <v>No</v>
      </c>
      <c r="K1301" s="25" t="str">
        <f t="shared" si="32"/>
        <v/>
      </c>
      <c r="L1301" s="25" t="str">
        <f t="shared" si="33"/>
        <v/>
      </c>
      <c r="M1301" s="25"/>
      <c r="O1301" s="25"/>
    </row>
    <row r="1302" ht="15.75" customHeight="1">
      <c r="A1302" s="25" t="str">
        <f>IFERROR(__xludf.DUMMYFUNCTION("IF(B1302="""","""",RIGHT(REGEXREPLACE(B1302&amp;"""",""[^0-9]"",""""),9))"),"761732227")</f>
        <v>761732227</v>
      </c>
      <c r="B1302" s="52">
        <v>7.61732227E8</v>
      </c>
      <c r="C1302" s="28" t="s">
        <v>1528</v>
      </c>
      <c r="D1302" s="26" t="s">
        <v>56</v>
      </c>
      <c r="E1302" s="31">
        <v>46228.0</v>
      </c>
      <c r="F1302" s="26" t="s">
        <v>41</v>
      </c>
      <c r="G1302" s="26">
        <v>11.0</v>
      </c>
      <c r="I1302" s="26" t="s">
        <v>42</v>
      </c>
      <c r="J1302" s="25" t="str">
        <f t="shared" si="31"/>
        <v>No</v>
      </c>
      <c r="K1302" s="25" t="str">
        <f t="shared" si="32"/>
        <v/>
      </c>
      <c r="L1302" s="25" t="str">
        <f t="shared" si="33"/>
        <v/>
      </c>
      <c r="M1302" s="25"/>
      <c r="O1302" s="25"/>
    </row>
    <row r="1303" ht="15.75" customHeight="1">
      <c r="A1303" s="25" t="str">
        <f>IFERROR(__xludf.DUMMYFUNCTION("IF(B1303="""","""",RIGHT(REGEXREPLACE(B1303&amp;"""",""[^0-9]"",""""),9))"),"750550812")</f>
        <v>750550812</v>
      </c>
      <c r="B1303" s="52">
        <v>7.50550812E8</v>
      </c>
      <c r="C1303" s="28" t="s">
        <v>1529</v>
      </c>
      <c r="D1303" s="26" t="s">
        <v>49</v>
      </c>
      <c r="E1303" s="31">
        <v>46228.0</v>
      </c>
      <c r="F1303" s="26" t="s">
        <v>46</v>
      </c>
      <c r="G1303" s="26">
        <v>11.0</v>
      </c>
      <c r="H1303" s="26" t="s">
        <v>253</v>
      </c>
      <c r="I1303" s="26" t="s">
        <v>42</v>
      </c>
      <c r="J1303" s="25" t="str">
        <f t="shared" si="31"/>
        <v>No</v>
      </c>
      <c r="K1303" s="25" t="str">
        <f t="shared" si="32"/>
        <v/>
      </c>
      <c r="L1303" s="25" t="str">
        <f t="shared" si="33"/>
        <v/>
      </c>
      <c r="M1303" s="25"/>
      <c r="O1303" s="25"/>
    </row>
    <row r="1304" ht="15.75" customHeight="1">
      <c r="A1304" s="25" t="str">
        <f>IFERROR(__xludf.DUMMYFUNCTION("IF(B1304="""","""",RIGHT(REGEXREPLACE(B1304&amp;"""",""[^0-9]"",""""),9))"),"769284210")</f>
        <v>769284210</v>
      </c>
      <c r="B1304" s="52">
        <v>7.6928421E8</v>
      </c>
      <c r="C1304" s="28" t="s">
        <v>1530</v>
      </c>
      <c r="D1304" s="26" t="s">
        <v>45</v>
      </c>
      <c r="E1304" s="31">
        <v>46228.0</v>
      </c>
      <c r="F1304" s="26" t="s">
        <v>46</v>
      </c>
      <c r="G1304" s="26">
        <v>10.0</v>
      </c>
      <c r="I1304" s="26" t="s">
        <v>42</v>
      </c>
      <c r="J1304" s="25" t="str">
        <f t="shared" si="31"/>
        <v>No</v>
      </c>
      <c r="K1304" s="25" t="str">
        <f t="shared" si="32"/>
        <v/>
      </c>
      <c r="L1304" s="25" t="str">
        <f t="shared" si="33"/>
        <v/>
      </c>
      <c r="M1304" s="25"/>
      <c r="O1304" s="25"/>
    </row>
    <row r="1305" ht="15.75" customHeight="1">
      <c r="A1305" s="25" t="str">
        <f>IFERROR(__xludf.DUMMYFUNCTION("IF(B1305="""","""",RIGHT(REGEXREPLACE(B1305&amp;"""",""[^0-9]"",""""),9))"),"770415757")</f>
        <v>770415757</v>
      </c>
      <c r="B1305" s="52">
        <v>7.70415757E8</v>
      </c>
      <c r="C1305" s="28" t="s">
        <v>1531</v>
      </c>
      <c r="D1305" s="26" t="s">
        <v>82</v>
      </c>
      <c r="E1305" s="31">
        <v>46228.0</v>
      </c>
      <c r="F1305" s="26" t="s">
        <v>41</v>
      </c>
      <c r="G1305" s="26">
        <v>11.0</v>
      </c>
      <c r="I1305" s="26" t="s">
        <v>42</v>
      </c>
      <c r="J1305" s="25" t="str">
        <f t="shared" si="31"/>
        <v>No</v>
      </c>
      <c r="K1305" s="25" t="str">
        <f t="shared" si="32"/>
        <v/>
      </c>
      <c r="L1305" s="25" t="str">
        <f t="shared" si="33"/>
        <v/>
      </c>
      <c r="M1305" s="25"/>
      <c r="O1305" s="25"/>
    </row>
    <row r="1306" ht="15.75" customHeight="1">
      <c r="A1306" s="25" t="str">
        <f>IFERROR(__xludf.DUMMYFUNCTION("IF(B1306="""","""",RIGHT(REGEXREPLACE(B1306&amp;"""",""[^0-9]"",""""),9))"),"776909521")</f>
        <v>776909521</v>
      </c>
      <c r="B1306" s="26">
        <v>7.76909521E8</v>
      </c>
      <c r="C1306" s="28" t="s">
        <v>1532</v>
      </c>
      <c r="D1306" s="26" t="s">
        <v>37</v>
      </c>
      <c r="E1306" s="31">
        <v>46228.0</v>
      </c>
      <c r="F1306" s="26" t="s">
        <v>41</v>
      </c>
      <c r="I1306" s="26" t="s">
        <v>42</v>
      </c>
      <c r="J1306" s="25" t="str">
        <f t="shared" si="31"/>
        <v>No</v>
      </c>
      <c r="K1306" s="25" t="str">
        <f t="shared" si="32"/>
        <v/>
      </c>
      <c r="L1306" s="25" t="str">
        <f t="shared" si="33"/>
        <v/>
      </c>
      <c r="M1306" s="25"/>
      <c r="O1306" s="25"/>
    </row>
    <row r="1307" ht="15.75" customHeight="1">
      <c r="A1307" s="25" t="str">
        <f>IFERROR(__xludf.DUMMYFUNCTION("IF(B1307="""","""",RIGHT(REGEXREPLACE(B1307&amp;"""",""[^0-9]"",""""),9))"),"783582488")</f>
        <v>783582488</v>
      </c>
      <c r="B1307" s="52">
        <v>7.83582488E8</v>
      </c>
      <c r="C1307" s="28" t="s">
        <v>1533</v>
      </c>
      <c r="D1307" s="26" t="s">
        <v>56</v>
      </c>
      <c r="E1307" s="31">
        <v>46228.0</v>
      </c>
      <c r="F1307" s="26" t="s">
        <v>205</v>
      </c>
      <c r="I1307" s="26" t="s">
        <v>42</v>
      </c>
      <c r="J1307" s="25" t="str">
        <f t="shared" si="31"/>
        <v>No</v>
      </c>
      <c r="K1307" s="25" t="str">
        <f t="shared" si="32"/>
        <v/>
      </c>
      <c r="L1307" s="25" t="str">
        <f t="shared" si="33"/>
        <v/>
      </c>
      <c r="M1307" s="25"/>
      <c r="O1307" s="25"/>
    </row>
    <row r="1308" ht="15.75" customHeight="1">
      <c r="A1308" s="25" t="str">
        <f>IFERROR(__xludf.DUMMYFUNCTION("IF(B1308="""","""",RIGHT(REGEXREPLACE(B1308&amp;"""",""[^0-9]"",""""),9))"),"776731723")</f>
        <v>776731723</v>
      </c>
      <c r="B1308" s="26">
        <v>7.76731723E8</v>
      </c>
      <c r="C1308" s="28" t="s">
        <v>1534</v>
      </c>
      <c r="D1308" s="26" t="s">
        <v>37</v>
      </c>
      <c r="E1308" s="31">
        <v>46228.0</v>
      </c>
      <c r="F1308" s="26" t="s">
        <v>205</v>
      </c>
      <c r="I1308" s="26" t="s">
        <v>42</v>
      </c>
      <c r="J1308" s="25" t="str">
        <f t="shared" si="31"/>
        <v>No</v>
      </c>
      <c r="K1308" s="25" t="str">
        <f t="shared" si="32"/>
        <v/>
      </c>
      <c r="L1308" s="25" t="str">
        <f t="shared" si="33"/>
        <v/>
      </c>
      <c r="M1308" s="25"/>
      <c r="O1308" s="25"/>
    </row>
    <row r="1309" ht="15.75" customHeight="1">
      <c r="A1309" s="25" t="str">
        <f>IFERROR(__xludf.DUMMYFUNCTION("IF(B1309="""","""",RIGHT(REGEXREPLACE(B1309&amp;"""",""[^0-9]"",""""),9))"),"761435065")</f>
        <v>761435065</v>
      </c>
      <c r="B1309" s="52">
        <v>7.61435065E8</v>
      </c>
      <c r="C1309" s="28" t="s">
        <v>1535</v>
      </c>
      <c r="D1309" s="26" t="s">
        <v>45</v>
      </c>
      <c r="E1309" s="31">
        <v>46228.0</v>
      </c>
      <c r="F1309" s="26" t="s">
        <v>84</v>
      </c>
      <c r="I1309" s="26" t="s">
        <v>42</v>
      </c>
      <c r="J1309" s="25" t="str">
        <f t="shared" si="31"/>
        <v>No</v>
      </c>
      <c r="K1309" s="25" t="str">
        <f t="shared" si="32"/>
        <v/>
      </c>
      <c r="L1309" s="25" t="str">
        <f t="shared" si="33"/>
        <v/>
      </c>
      <c r="M1309" s="25"/>
      <c r="O1309" s="25"/>
    </row>
    <row r="1310" ht="15.75" customHeight="1">
      <c r="A1310" s="25" t="str">
        <f>IFERROR(__xludf.DUMMYFUNCTION("IF(B1310="""","""",RIGHT(REGEXREPLACE(B1310&amp;"""",""[^0-9]"",""""),9))"),"711507285")</f>
        <v>711507285</v>
      </c>
      <c r="B1310" s="52">
        <v>7.11507285E8</v>
      </c>
      <c r="C1310" s="28" t="s">
        <v>1536</v>
      </c>
      <c r="D1310" s="26" t="s">
        <v>56</v>
      </c>
      <c r="E1310" s="31">
        <v>46228.0</v>
      </c>
      <c r="F1310" s="26" t="s">
        <v>46</v>
      </c>
      <c r="G1310" s="26" t="s">
        <v>151</v>
      </c>
      <c r="I1310" s="26" t="s">
        <v>42</v>
      </c>
      <c r="J1310" s="25" t="str">
        <f t="shared" si="31"/>
        <v>No</v>
      </c>
      <c r="K1310" s="25" t="str">
        <f t="shared" si="32"/>
        <v/>
      </c>
      <c r="L1310" s="25" t="str">
        <f t="shared" si="33"/>
        <v/>
      </c>
      <c r="M1310" s="25"/>
      <c r="O1310" s="25"/>
    </row>
    <row r="1311" ht="15.75" customHeight="1">
      <c r="A1311" s="25" t="str">
        <f>IFERROR(__xludf.DUMMYFUNCTION("IF(B1311="""","""",RIGHT(REGEXREPLACE(B1311&amp;"""",""[^0-9]"",""""),9))"),"774322746")</f>
        <v>774322746</v>
      </c>
      <c r="B1311" s="26">
        <v>7.74322746E8</v>
      </c>
      <c r="C1311" s="28" t="s">
        <v>1537</v>
      </c>
      <c r="D1311" s="26" t="s">
        <v>37</v>
      </c>
      <c r="E1311" s="31">
        <v>46228.0</v>
      </c>
      <c r="F1311" s="26" t="s">
        <v>46</v>
      </c>
      <c r="G1311" s="26">
        <v>11.0</v>
      </c>
      <c r="H1311" s="26" t="s">
        <v>1538</v>
      </c>
      <c r="I1311" s="26" t="s">
        <v>42</v>
      </c>
      <c r="J1311" s="25" t="str">
        <f t="shared" si="31"/>
        <v>No</v>
      </c>
      <c r="K1311" s="25" t="str">
        <f t="shared" si="32"/>
        <v/>
      </c>
      <c r="L1311" s="25" t="str">
        <f t="shared" si="33"/>
        <v/>
      </c>
      <c r="M1311" s="25"/>
      <c r="O1311" s="25"/>
    </row>
    <row r="1312" ht="15.75" customHeight="1">
      <c r="A1312" s="25" t="str">
        <f>IFERROR(__xludf.DUMMYFUNCTION("IF(B1312="""","""",RIGHT(REGEXREPLACE(B1312&amp;"""",""[^0-9]"",""""),9))"),"711507285")</f>
        <v>711507285</v>
      </c>
      <c r="B1312" s="52">
        <v>7.11507285E8</v>
      </c>
      <c r="C1312" s="28" t="s">
        <v>1536</v>
      </c>
      <c r="D1312" s="26" t="s">
        <v>82</v>
      </c>
      <c r="E1312" s="31">
        <v>46228.0</v>
      </c>
      <c r="F1312" s="26" t="s">
        <v>205</v>
      </c>
      <c r="I1312" s="26" t="s">
        <v>42</v>
      </c>
      <c r="J1312" s="25" t="str">
        <f t="shared" si="31"/>
        <v>Yes - see Previous F-Code</v>
      </c>
      <c r="K1312" s="25" t="str">
        <f t="shared" si="32"/>
        <v>DUPLICATE - CHECK</v>
      </c>
      <c r="L1312" s="25" t="str">
        <f t="shared" si="33"/>
        <v>F71257</v>
      </c>
      <c r="M1312" s="25"/>
      <c r="O1312" s="25"/>
    </row>
    <row r="1313" ht="15.75" customHeight="1">
      <c r="A1313" s="25" t="str">
        <f>IFERROR(__xludf.DUMMYFUNCTION("IF(B1313="""","""",RIGHT(REGEXREPLACE(B1313&amp;"""",""[^0-9]"",""""),9))"),"763904011")</f>
        <v>763904011</v>
      </c>
      <c r="B1313" s="52">
        <v>7.63904011E8</v>
      </c>
      <c r="C1313" s="28" t="s">
        <v>1539</v>
      </c>
      <c r="D1313" s="26" t="s">
        <v>49</v>
      </c>
      <c r="E1313" s="31">
        <v>46228.0</v>
      </c>
      <c r="F1313" s="26" t="s">
        <v>46</v>
      </c>
      <c r="G1313" s="26">
        <v>11.0</v>
      </c>
      <c r="I1313" s="26" t="s">
        <v>42</v>
      </c>
      <c r="J1313" s="25" t="str">
        <f t="shared" si="31"/>
        <v>No</v>
      </c>
      <c r="K1313" s="25" t="str">
        <f t="shared" si="32"/>
        <v/>
      </c>
      <c r="L1313" s="25" t="str">
        <f t="shared" si="33"/>
        <v/>
      </c>
      <c r="M1313" s="25"/>
      <c r="O1313" s="25"/>
    </row>
    <row r="1314" ht="15.75" customHeight="1">
      <c r="A1314" s="25" t="str">
        <f>IFERROR(__xludf.DUMMYFUNCTION("IF(B1314="""","""",RIGHT(REGEXREPLACE(B1314&amp;"""",""[^0-9]"",""""),9))"),"779284315")</f>
        <v>779284315</v>
      </c>
      <c r="B1314" s="52">
        <v>7.79284315E8</v>
      </c>
      <c r="C1314" s="28" t="s">
        <v>1540</v>
      </c>
      <c r="D1314" s="26" t="s">
        <v>45</v>
      </c>
      <c r="E1314" s="31">
        <v>46228.0</v>
      </c>
      <c r="F1314" s="26" t="s">
        <v>41</v>
      </c>
      <c r="G1314" s="26">
        <v>11.0</v>
      </c>
      <c r="I1314" s="26" t="s">
        <v>42</v>
      </c>
      <c r="J1314" s="25" t="str">
        <f t="shared" si="31"/>
        <v>No</v>
      </c>
      <c r="K1314" s="25" t="str">
        <f t="shared" si="32"/>
        <v/>
      </c>
      <c r="L1314" s="25" t="str">
        <f t="shared" si="33"/>
        <v/>
      </c>
      <c r="M1314" s="25"/>
      <c r="O1314" s="25"/>
    </row>
    <row r="1315" ht="15.75" customHeight="1">
      <c r="A1315" s="25" t="str">
        <f>IFERROR(__xludf.DUMMYFUNCTION("IF(B1315="""","""",RIGHT(REGEXREPLACE(B1315&amp;"""",""[^0-9]"",""""),9))"),"773514173")</f>
        <v>773514173</v>
      </c>
      <c r="B1315" s="52">
        <v>7.73514173E8</v>
      </c>
      <c r="C1315" s="28" t="s">
        <v>1541</v>
      </c>
      <c r="D1315" s="26" t="s">
        <v>82</v>
      </c>
      <c r="E1315" s="31">
        <v>46228.0</v>
      </c>
      <c r="F1315" s="26" t="s">
        <v>46</v>
      </c>
      <c r="G1315" s="26">
        <v>11.0</v>
      </c>
      <c r="I1315" s="26" t="s">
        <v>42</v>
      </c>
      <c r="J1315" s="25" t="str">
        <f t="shared" si="31"/>
        <v>No</v>
      </c>
      <c r="K1315" s="25" t="str">
        <f t="shared" si="32"/>
        <v/>
      </c>
      <c r="L1315" s="25" t="str">
        <f t="shared" si="33"/>
        <v/>
      </c>
      <c r="M1315" s="25"/>
      <c r="O1315" s="25"/>
    </row>
    <row r="1316" ht="15.75" customHeight="1">
      <c r="A1316" s="25" t="str">
        <f>IFERROR(__xludf.DUMMYFUNCTION("IF(B1316="""","""",RIGHT(REGEXREPLACE(B1316&amp;"""",""[^0-9]"",""""),9))"),"103666135")</f>
        <v>103666135</v>
      </c>
      <c r="B1316" s="26">
        <v>7.103666135E9</v>
      </c>
      <c r="C1316" s="28" t="s">
        <v>1542</v>
      </c>
      <c r="D1316" s="26" t="s">
        <v>37</v>
      </c>
      <c r="E1316" s="31">
        <v>46228.0</v>
      </c>
      <c r="F1316" s="26" t="s">
        <v>46</v>
      </c>
      <c r="G1316" s="26">
        <v>10.0</v>
      </c>
      <c r="I1316" s="26" t="s">
        <v>42</v>
      </c>
      <c r="J1316" s="25" t="str">
        <f t="shared" si="31"/>
        <v>No</v>
      </c>
      <c r="K1316" s="25" t="str">
        <f t="shared" si="32"/>
        <v/>
      </c>
      <c r="L1316" s="25" t="str">
        <f t="shared" si="33"/>
        <v/>
      </c>
      <c r="M1316" s="25"/>
      <c r="O1316" s="25"/>
    </row>
    <row r="1317" ht="15.75" customHeight="1">
      <c r="A1317" s="25" t="str">
        <f>IFERROR(__xludf.DUMMYFUNCTION("IF(B1317="""","""",RIGHT(REGEXREPLACE(B1317&amp;"""",""[^0-9]"",""""),9))"),"718988335")</f>
        <v>718988335</v>
      </c>
      <c r="B1317" s="52">
        <v>7.18988335E8</v>
      </c>
      <c r="C1317" s="28" t="s">
        <v>1543</v>
      </c>
      <c r="D1317" s="26" t="s">
        <v>49</v>
      </c>
      <c r="E1317" s="31">
        <v>46228.0</v>
      </c>
      <c r="F1317" s="26" t="s">
        <v>46</v>
      </c>
      <c r="G1317" s="26">
        <v>11.0</v>
      </c>
      <c r="I1317" s="26" t="s">
        <v>42</v>
      </c>
      <c r="J1317" s="25" t="str">
        <f t="shared" si="31"/>
        <v>No</v>
      </c>
      <c r="K1317" s="25" t="str">
        <f t="shared" si="32"/>
        <v/>
      </c>
      <c r="L1317" s="25" t="str">
        <f t="shared" si="33"/>
        <v/>
      </c>
      <c r="M1317" s="25"/>
      <c r="O1317" s="25"/>
    </row>
    <row r="1318" ht="15.75" customHeight="1">
      <c r="A1318" s="25" t="str">
        <f>IFERROR(__xludf.DUMMYFUNCTION("IF(B1318="""","""",RIGHT(REGEXREPLACE(B1318&amp;"""",""[^0-9]"",""""),9))"),"705184550")</f>
        <v>705184550</v>
      </c>
      <c r="B1318" s="52">
        <v>7.0518455E8</v>
      </c>
      <c r="C1318" s="28" t="s">
        <v>1544</v>
      </c>
      <c r="D1318" s="26" t="s">
        <v>56</v>
      </c>
      <c r="E1318" s="31">
        <v>46228.0</v>
      </c>
      <c r="F1318" s="26" t="s">
        <v>41</v>
      </c>
      <c r="G1318" s="26" t="s">
        <v>177</v>
      </c>
      <c r="I1318" s="26" t="s">
        <v>42</v>
      </c>
      <c r="J1318" s="25" t="str">
        <f t="shared" si="31"/>
        <v>No</v>
      </c>
      <c r="K1318" s="25" t="str">
        <f t="shared" si="32"/>
        <v/>
      </c>
      <c r="L1318" s="25" t="str">
        <f t="shared" si="33"/>
        <v/>
      </c>
      <c r="M1318" s="25"/>
      <c r="O1318" s="25"/>
    </row>
    <row r="1319" ht="15.75" customHeight="1">
      <c r="A1319" s="25" t="str">
        <f>IFERROR(__xludf.DUMMYFUNCTION("IF(B1319="""","""",RIGHT(REGEXREPLACE(B1319&amp;"""",""[^0-9]"",""""),9))"),"777260312")</f>
        <v>777260312</v>
      </c>
      <c r="B1319" s="52">
        <v>7.77260312E8</v>
      </c>
      <c r="C1319" s="28" t="s">
        <v>1545</v>
      </c>
      <c r="D1319" s="26" t="s">
        <v>45</v>
      </c>
      <c r="E1319" s="31">
        <v>46228.0</v>
      </c>
      <c r="F1319" s="26" t="s">
        <v>125</v>
      </c>
      <c r="G1319" s="26">
        <v>11.0</v>
      </c>
      <c r="I1319" s="26" t="s">
        <v>42</v>
      </c>
      <c r="J1319" s="25" t="str">
        <f t="shared" si="31"/>
        <v>No</v>
      </c>
      <c r="K1319" s="25" t="str">
        <f t="shared" si="32"/>
        <v/>
      </c>
      <c r="L1319" s="25" t="str">
        <f t="shared" si="33"/>
        <v/>
      </c>
      <c r="M1319" s="25"/>
      <c r="O1319" s="25"/>
    </row>
    <row r="1320" ht="15.75" customHeight="1">
      <c r="A1320" s="25" t="str">
        <f>IFERROR(__xludf.DUMMYFUNCTION("IF(B1320="""","""",RIGHT(REGEXREPLACE(B1320&amp;"""",""[^0-9]"",""""),9))"),"717149151")</f>
        <v>717149151</v>
      </c>
      <c r="B1320" s="52">
        <v>7.17149151E8</v>
      </c>
      <c r="C1320" s="28" t="s">
        <v>1546</v>
      </c>
      <c r="D1320" s="26" t="s">
        <v>82</v>
      </c>
      <c r="E1320" s="31">
        <v>46228.0</v>
      </c>
      <c r="F1320" s="26" t="s">
        <v>46</v>
      </c>
      <c r="G1320" s="26">
        <v>11.0</v>
      </c>
      <c r="I1320" s="26" t="s">
        <v>42</v>
      </c>
      <c r="J1320" s="25" t="str">
        <f t="shared" si="31"/>
        <v>No</v>
      </c>
      <c r="K1320" s="25" t="str">
        <f t="shared" si="32"/>
        <v/>
      </c>
      <c r="L1320" s="25" t="str">
        <f t="shared" si="33"/>
        <v/>
      </c>
      <c r="M1320" s="25"/>
      <c r="O1320" s="25"/>
    </row>
    <row r="1321" ht="15.75" customHeight="1">
      <c r="A1321" s="25" t="str">
        <f>IFERROR(__xludf.DUMMYFUNCTION("IF(B1321="""","""",RIGHT(REGEXREPLACE(B1321&amp;"""",""[^0-9]"",""""),9))"),"769425758")</f>
        <v>769425758</v>
      </c>
      <c r="B1321" s="26">
        <v>7.69425758E8</v>
      </c>
      <c r="C1321" s="28" t="s">
        <v>802</v>
      </c>
      <c r="D1321" s="26" t="s">
        <v>37</v>
      </c>
      <c r="E1321" s="31">
        <v>46228.0</v>
      </c>
      <c r="F1321" s="26" t="s">
        <v>46</v>
      </c>
      <c r="H1321" s="26" t="s">
        <v>1547</v>
      </c>
      <c r="I1321" s="26" t="s">
        <v>42</v>
      </c>
      <c r="J1321" s="25" t="str">
        <f t="shared" si="31"/>
        <v>Yes - see Previous F-Code</v>
      </c>
      <c r="K1321" s="25" t="str">
        <f t="shared" si="32"/>
        <v>DUPLICATE - CHECK</v>
      </c>
      <c r="L1321" s="25" t="str">
        <f t="shared" si="33"/>
        <v>F70579</v>
      </c>
      <c r="M1321" s="25"/>
      <c r="O1321" s="25"/>
    </row>
    <row r="1322" ht="15.75" customHeight="1">
      <c r="A1322" s="25" t="str">
        <f>IFERROR(__xludf.DUMMYFUNCTION("IF(B1322="""","""",RIGHT(REGEXREPLACE(B1322&amp;"""",""[^0-9]"",""""),9))"),"775243499")</f>
        <v>775243499</v>
      </c>
      <c r="B1322" s="52">
        <v>7.75243499E8</v>
      </c>
      <c r="C1322" s="28" t="s">
        <v>1548</v>
      </c>
      <c r="D1322" s="26" t="s">
        <v>49</v>
      </c>
      <c r="E1322" s="31">
        <v>46228.0</v>
      </c>
      <c r="F1322" s="26" t="s">
        <v>46</v>
      </c>
      <c r="G1322" s="26">
        <v>10.0</v>
      </c>
      <c r="I1322" s="26" t="s">
        <v>42</v>
      </c>
      <c r="J1322" s="25" t="str">
        <f t="shared" si="31"/>
        <v>No</v>
      </c>
      <c r="K1322" s="25" t="str">
        <f t="shared" si="32"/>
        <v/>
      </c>
      <c r="L1322" s="25" t="str">
        <f t="shared" si="33"/>
        <v/>
      </c>
      <c r="M1322" s="25"/>
      <c r="O1322" s="25"/>
    </row>
    <row r="1323" ht="15.75" customHeight="1">
      <c r="A1323" s="25" t="str">
        <f>IFERROR(__xludf.DUMMYFUNCTION("IF(B1323="""","""",RIGHT(REGEXREPLACE(B1323&amp;"""",""[^0-9]"",""""),9))"),"760173976")</f>
        <v>760173976</v>
      </c>
      <c r="B1323" s="26">
        <v>7.60173976E8</v>
      </c>
      <c r="C1323" s="28" t="s">
        <v>1549</v>
      </c>
      <c r="D1323" s="26" t="s">
        <v>37</v>
      </c>
      <c r="E1323" s="31">
        <v>46228.0</v>
      </c>
      <c r="F1323" s="25"/>
      <c r="G1323" s="25"/>
      <c r="H1323" s="25"/>
      <c r="I1323" s="26" t="s">
        <v>42</v>
      </c>
      <c r="J1323" s="25" t="str">
        <f t="shared" si="31"/>
        <v>No</v>
      </c>
      <c r="K1323" s="25" t="str">
        <f t="shared" si="32"/>
        <v/>
      </c>
      <c r="L1323" s="25" t="str">
        <f t="shared" si="33"/>
        <v/>
      </c>
      <c r="M1323" s="25"/>
      <c r="N1323" s="25"/>
      <c r="O1323" s="25"/>
      <c r="P1323" s="25"/>
    </row>
    <row r="1324" ht="15.75" customHeight="1">
      <c r="A1324" s="25" t="str">
        <f>IFERROR(__xludf.DUMMYFUNCTION("IF(B1324="""","""",RIGHT(REGEXREPLACE(B1324&amp;"""",""[^0-9]"",""""),9))"),"726317041")</f>
        <v>726317041</v>
      </c>
      <c r="B1324" s="52">
        <v>7.26317041E8</v>
      </c>
      <c r="C1324" s="28" t="s">
        <v>1550</v>
      </c>
      <c r="D1324" s="26" t="s">
        <v>82</v>
      </c>
      <c r="E1324" s="31">
        <v>46228.0</v>
      </c>
      <c r="F1324" s="26" t="s">
        <v>46</v>
      </c>
      <c r="G1324" s="26">
        <v>11.0</v>
      </c>
      <c r="I1324" s="26" t="s">
        <v>42</v>
      </c>
      <c r="J1324" s="25" t="str">
        <f t="shared" si="31"/>
        <v>No</v>
      </c>
      <c r="K1324" s="25" t="str">
        <f t="shared" si="32"/>
        <v/>
      </c>
      <c r="L1324" s="25" t="str">
        <f t="shared" si="33"/>
        <v/>
      </c>
      <c r="M1324" s="25"/>
      <c r="O1324" s="25"/>
    </row>
    <row r="1325" ht="15.75" customHeight="1">
      <c r="A1325" s="25" t="str">
        <f>IFERROR(__xludf.DUMMYFUNCTION("IF(B1325="""","""",RIGHT(REGEXREPLACE(B1325&amp;"""",""[^0-9]"",""""),9))"),"712341644")</f>
        <v>712341644</v>
      </c>
      <c r="B1325" s="52">
        <v>7.12341644E8</v>
      </c>
      <c r="C1325" s="28" t="s">
        <v>1551</v>
      </c>
      <c r="D1325" s="26" t="s">
        <v>56</v>
      </c>
      <c r="E1325" s="31">
        <v>46228.0</v>
      </c>
      <c r="F1325" s="26" t="s">
        <v>46</v>
      </c>
      <c r="G1325" s="26">
        <v>6.0</v>
      </c>
      <c r="H1325" s="26" t="s">
        <v>140</v>
      </c>
      <c r="I1325" s="26" t="s">
        <v>42</v>
      </c>
      <c r="J1325" s="25" t="str">
        <f t="shared" si="31"/>
        <v>No</v>
      </c>
      <c r="K1325" s="25" t="str">
        <f t="shared" si="32"/>
        <v/>
      </c>
      <c r="L1325" s="25" t="str">
        <f t="shared" si="33"/>
        <v/>
      </c>
      <c r="M1325" s="25"/>
      <c r="O1325" s="25"/>
    </row>
    <row r="1326" ht="15.75" customHeight="1">
      <c r="A1326" s="25" t="str">
        <f>IFERROR(__xludf.DUMMYFUNCTION("IF(B1326="""","""",RIGHT(REGEXREPLACE(B1326&amp;"""",""[^0-9]"",""""),9))"),"761246353")</f>
        <v>761246353</v>
      </c>
      <c r="B1326" s="52">
        <v>7.61246353E8</v>
      </c>
      <c r="C1326" s="28" t="s">
        <v>1552</v>
      </c>
      <c r="D1326" s="26" t="s">
        <v>49</v>
      </c>
      <c r="E1326" s="31">
        <v>46228.0</v>
      </c>
      <c r="F1326" s="26" t="s">
        <v>46</v>
      </c>
      <c r="G1326" s="26">
        <v>11.0</v>
      </c>
      <c r="I1326" s="26" t="s">
        <v>42</v>
      </c>
      <c r="J1326" s="25" t="str">
        <f t="shared" si="31"/>
        <v>No</v>
      </c>
      <c r="K1326" s="25" t="str">
        <f t="shared" si="32"/>
        <v/>
      </c>
      <c r="L1326" s="25" t="str">
        <f t="shared" si="33"/>
        <v/>
      </c>
      <c r="M1326" s="25"/>
      <c r="O1326" s="25"/>
    </row>
    <row r="1327" ht="15.75" customHeight="1">
      <c r="A1327" s="25" t="str">
        <f>IFERROR(__xludf.DUMMYFUNCTION("IF(B1327="""","""",RIGHT(REGEXREPLACE(B1327&amp;"""",""[^0-9]"",""""),9))"),"767145916")</f>
        <v>767145916</v>
      </c>
      <c r="B1327" s="52">
        <v>7.67145916E8</v>
      </c>
      <c r="C1327" s="28" t="s">
        <v>1553</v>
      </c>
      <c r="D1327" s="26" t="s">
        <v>56</v>
      </c>
      <c r="E1327" s="31">
        <v>46228.0</v>
      </c>
      <c r="F1327" s="26" t="s">
        <v>164</v>
      </c>
      <c r="I1327" s="26" t="s">
        <v>42</v>
      </c>
      <c r="J1327" s="25" t="str">
        <f t="shared" si="31"/>
        <v>No</v>
      </c>
      <c r="K1327" s="25" t="str">
        <f t="shared" si="32"/>
        <v/>
      </c>
      <c r="L1327" s="25" t="str">
        <f t="shared" si="33"/>
        <v/>
      </c>
      <c r="M1327" s="25"/>
      <c r="O1327" s="25"/>
    </row>
    <row r="1328" ht="15.75" customHeight="1">
      <c r="A1328" s="25" t="str">
        <f>IFERROR(__xludf.DUMMYFUNCTION("IF(B1328="""","""",RIGHT(REGEXREPLACE(B1328&amp;"""",""[^0-9]"",""""),9))"),"768277518")</f>
        <v>768277518</v>
      </c>
      <c r="B1328" s="52">
        <v>7.68277518E8</v>
      </c>
      <c r="C1328" s="28" t="s">
        <v>1554</v>
      </c>
      <c r="D1328" s="26" t="s">
        <v>82</v>
      </c>
      <c r="E1328" s="31">
        <v>46228.0</v>
      </c>
      <c r="F1328" s="26" t="s">
        <v>41</v>
      </c>
      <c r="I1328" s="26" t="s">
        <v>42</v>
      </c>
      <c r="J1328" s="25" t="str">
        <f t="shared" si="31"/>
        <v>No</v>
      </c>
      <c r="K1328" s="25" t="str">
        <f t="shared" si="32"/>
        <v/>
      </c>
      <c r="L1328" s="25" t="str">
        <f t="shared" si="33"/>
        <v/>
      </c>
      <c r="M1328" s="25"/>
      <c r="O1328" s="25"/>
    </row>
    <row r="1329" ht="15.75" customHeight="1">
      <c r="A1329" s="25" t="str">
        <f>IFERROR(__xludf.DUMMYFUNCTION("IF(B1329="""","""",RIGHT(REGEXREPLACE(B1329&amp;"""",""[^0-9]"",""""),9))"),"769720266")</f>
        <v>769720266</v>
      </c>
      <c r="B1329" s="52">
        <v>7.69720266E8</v>
      </c>
      <c r="C1329" s="28" t="s">
        <v>1555</v>
      </c>
      <c r="D1329" s="26" t="s">
        <v>45</v>
      </c>
      <c r="E1329" s="31">
        <v>46228.0</v>
      </c>
      <c r="F1329" s="26" t="s">
        <v>46</v>
      </c>
      <c r="G1329" s="26">
        <v>11.0</v>
      </c>
      <c r="I1329" s="26" t="s">
        <v>42</v>
      </c>
      <c r="J1329" s="25" t="str">
        <f t="shared" si="31"/>
        <v>No</v>
      </c>
      <c r="K1329" s="25" t="str">
        <f t="shared" si="32"/>
        <v/>
      </c>
      <c r="L1329" s="25" t="str">
        <f t="shared" si="33"/>
        <v/>
      </c>
      <c r="M1329" s="25"/>
      <c r="O1329" s="25"/>
    </row>
    <row r="1330" ht="15.75" customHeight="1">
      <c r="A1330" s="25" t="str">
        <f>IFERROR(__xludf.DUMMYFUNCTION("IF(B1330="""","""",RIGHT(REGEXREPLACE(B1330&amp;"""",""[^0-9]"",""""),9))"),"764399350")</f>
        <v>764399350</v>
      </c>
      <c r="B1330" s="52">
        <v>7.6439935E8</v>
      </c>
      <c r="C1330" s="28" t="s">
        <v>1556</v>
      </c>
      <c r="D1330" s="26" t="s">
        <v>49</v>
      </c>
      <c r="E1330" s="31">
        <v>46228.0</v>
      </c>
      <c r="F1330" s="26" t="s">
        <v>46</v>
      </c>
      <c r="G1330" s="26">
        <v>11.0</v>
      </c>
      <c r="I1330" s="26" t="s">
        <v>42</v>
      </c>
      <c r="J1330" s="25" t="str">
        <f t="shared" si="31"/>
        <v>No</v>
      </c>
      <c r="K1330" s="25" t="str">
        <f t="shared" si="32"/>
        <v/>
      </c>
      <c r="L1330" s="25" t="str">
        <f t="shared" si="33"/>
        <v/>
      </c>
      <c r="M1330" s="25"/>
      <c r="O1330" s="25"/>
    </row>
    <row r="1331" ht="15.75" customHeight="1">
      <c r="A1331" s="25" t="str">
        <f>IFERROR(__xludf.DUMMYFUNCTION("IF(B1331="""","""",RIGHT(REGEXREPLACE(B1331&amp;"""",""[^0-9]"",""""),9))"),"769788086")</f>
        <v>769788086</v>
      </c>
      <c r="B1331" s="52">
        <v>7.69788086E8</v>
      </c>
      <c r="C1331" s="28" t="s">
        <v>1557</v>
      </c>
      <c r="D1331" s="26" t="s">
        <v>56</v>
      </c>
      <c r="E1331" s="31">
        <v>46228.0</v>
      </c>
      <c r="F1331" s="26" t="s">
        <v>631</v>
      </c>
      <c r="G1331" s="26">
        <v>11.0</v>
      </c>
      <c r="I1331" s="26" t="s">
        <v>42</v>
      </c>
      <c r="J1331" s="25" t="str">
        <f t="shared" si="31"/>
        <v>No</v>
      </c>
      <c r="K1331" s="25" t="str">
        <f t="shared" si="32"/>
        <v/>
      </c>
      <c r="L1331" s="25" t="str">
        <f t="shared" si="33"/>
        <v/>
      </c>
      <c r="M1331" s="25"/>
      <c r="O1331" s="25"/>
    </row>
    <row r="1332" ht="15.75" customHeight="1">
      <c r="A1332" s="25" t="str">
        <f>IFERROR(__xludf.DUMMYFUNCTION("IF(B1332="""","""",RIGHT(REGEXREPLACE(B1332&amp;"""",""[^0-9]"",""""),9))"),"711758604")</f>
        <v>711758604</v>
      </c>
      <c r="B1332" s="52">
        <v>7.11758604E8</v>
      </c>
      <c r="C1332" s="28" t="s">
        <v>1558</v>
      </c>
      <c r="D1332" s="26" t="s">
        <v>82</v>
      </c>
      <c r="E1332" s="31">
        <v>46228.0</v>
      </c>
      <c r="F1332" s="26" t="s">
        <v>46</v>
      </c>
      <c r="G1332" s="26">
        <v>11.0</v>
      </c>
      <c r="I1332" s="26" t="s">
        <v>42</v>
      </c>
      <c r="J1332" s="25" t="str">
        <f t="shared" si="31"/>
        <v>No</v>
      </c>
      <c r="K1332" s="25" t="str">
        <f t="shared" si="32"/>
        <v/>
      </c>
      <c r="L1332" s="25" t="str">
        <f t="shared" si="33"/>
        <v/>
      </c>
      <c r="M1332" s="25"/>
      <c r="O1332" s="25"/>
    </row>
    <row r="1333" ht="15.75" customHeight="1">
      <c r="A1333" s="25" t="str">
        <f>IFERROR(__xludf.DUMMYFUNCTION("IF(B1333="""","""",RIGHT(REGEXREPLACE(B1333&amp;"""",""[^0-9]"",""""),9))"),"764958501")</f>
        <v>764958501</v>
      </c>
      <c r="B1333" s="52">
        <v>7.64958501E8</v>
      </c>
      <c r="C1333" s="28" t="s">
        <v>1559</v>
      </c>
      <c r="D1333" s="26" t="s">
        <v>45</v>
      </c>
      <c r="E1333" s="31">
        <v>46228.0</v>
      </c>
      <c r="F1333" s="26" t="s">
        <v>41</v>
      </c>
      <c r="I1333" s="26" t="s">
        <v>42</v>
      </c>
      <c r="J1333" s="25" t="str">
        <f t="shared" si="31"/>
        <v>No</v>
      </c>
      <c r="K1333" s="25" t="str">
        <f t="shared" si="32"/>
        <v/>
      </c>
      <c r="L1333" s="25" t="str">
        <f t="shared" si="33"/>
        <v/>
      </c>
      <c r="M1333" s="25"/>
      <c r="O1333" s="25"/>
    </row>
    <row r="1334" ht="15.75" customHeight="1">
      <c r="A1334" s="25" t="str">
        <f>IFERROR(__xludf.DUMMYFUNCTION("IF(B1334="""","""",RIGHT(REGEXREPLACE(B1334&amp;"""",""[^0-9]"",""""),9))"),"771467028")</f>
        <v>771467028</v>
      </c>
      <c r="B1334" s="52">
        <v>7.71467028E8</v>
      </c>
      <c r="C1334" s="28" t="s">
        <v>1560</v>
      </c>
      <c r="D1334" s="26" t="s">
        <v>49</v>
      </c>
      <c r="E1334" s="31">
        <v>46228.0</v>
      </c>
      <c r="F1334" s="26" t="s">
        <v>46</v>
      </c>
      <c r="G1334" s="26">
        <v>11.0</v>
      </c>
      <c r="I1334" s="26" t="s">
        <v>42</v>
      </c>
      <c r="J1334" s="25" t="str">
        <f t="shared" si="31"/>
        <v>No</v>
      </c>
      <c r="K1334" s="25" t="str">
        <f t="shared" si="32"/>
        <v/>
      </c>
      <c r="L1334" s="25" t="str">
        <f t="shared" si="33"/>
        <v/>
      </c>
      <c r="M1334" s="25"/>
      <c r="O1334" s="25"/>
    </row>
    <row r="1335" ht="15.75" customHeight="1">
      <c r="A1335" s="25" t="str">
        <f>IFERROR(__xludf.DUMMYFUNCTION("IF(B1335="""","""",RIGHT(REGEXREPLACE(B1335&amp;"""",""[^0-9]"",""""),9))"),"713522929")</f>
        <v>713522929</v>
      </c>
      <c r="B1335" s="52">
        <v>7.13522929E8</v>
      </c>
      <c r="C1335" s="28" t="s">
        <v>1561</v>
      </c>
      <c r="D1335" s="26" t="s">
        <v>56</v>
      </c>
      <c r="E1335" s="31">
        <v>46228.0</v>
      </c>
      <c r="F1335" s="25"/>
      <c r="G1335" s="25"/>
      <c r="H1335" s="25"/>
      <c r="I1335" s="26" t="s">
        <v>42</v>
      </c>
      <c r="J1335" s="25" t="str">
        <f t="shared" si="31"/>
        <v>No</v>
      </c>
      <c r="K1335" s="25" t="str">
        <f t="shared" si="32"/>
        <v/>
      </c>
      <c r="L1335" s="25" t="str">
        <f t="shared" si="33"/>
        <v/>
      </c>
      <c r="M1335" s="25"/>
      <c r="N1335" s="25"/>
      <c r="O1335" s="25"/>
      <c r="P1335" s="25"/>
    </row>
    <row r="1336" ht="15.75" customHeight="1">
      <c r="A1336" s="25" t="str">
        <f>IFERROR(__xludf.DUMMYFUNCTION("IF(B1336="""","""",RIGHT(REGEXREPLACE(B1336&amp;"""",""[^0-9]"",""""),9))"),"776829531")</f>
        <v>776829531</v>
      </c>
      <c r="B1336" s="52">
        <v>7.76829531E8</v>
      </c>
      <c r="C1336" s="28" t="s">
        <v>1562</v>
      </c>
      <c r="D1336" s="26" t="s">
        <v>45</v>
      </c>
      <c r="E1336" s="31">
        <v>46228.0</v>
      </c>
      <c r="F1336" s="26" t="s">
        <v>41</v>
      </c>
      <c r="I1336" s="26" t="s">
        <v>42</v>
      </c>
      <c r="J1336" s="25" t="str">
        <f t="shared" si="31"/>
        <v>No</v>
      </c>
      <c r="K1336" s="25" t="str">
        <f t="shared" si="32"/>
        <v/>
      </c>
      <c r="L1336" s="25" t="str">
        <f t="shared" si="33"/>
        <v/>
      </c>
      <c r="M1336" s="25"/>
      <c r="O1336" s="25"/>
    </row>
    <row r="1337" ht="15.75" customHeight="1">
      <c r="A1337" s="25" t="str">
        <f>IFERROR(__xludf.DUMMYFUNCTION("IF(B1337="""","""",RIGHT(REGEXREPLACE(B1337&amp;"""",""[^0-9]"",""""),9))"),"778642426")</f>
        <v>778642426</v>
      </c>
      <c r="B1337" s="52">
        <v>7.78642426E8</v>
      </c>
      <c r="C1337" s="28" t="s">
        <v>1563</v>
      </c>
      <c r="D1337" s="26" t="s">
        <v>82</v>
      </c>
      <c r="E1337" s="31">
        <v>46228.0</v>
      </c>
      <c r="F1337" s="26" t="s">
        <v>46</v>
      </c>
      <c r="G1337" s="26">
        <v>11.0</v>
      </c>
      <c r="I1337" s="26" t="s">
        <v>42</v>
      </c>
      <c r="J1337" s="25" t="str">
        <f t="shared" si="31"/>
        <v>No</v>
      </c>
      <c r="K1337" s="25" t="str">
        <f t="shared" si="32"/>
        <v/>
      </c>
      <c r="L1337" s="25" t="str">
        <f t="shared" si="33"/>
        <v/>
      </c>
      <c r="M1337" s="25"/>
      <c r="O1337" s="25"/>
    </row>
    <row r="1338" ht="15.75" customHeight="1">
      <c r="A1338" s="25" t="str">
        <f>IFERROR(__xludf.DUMMYFUNCTION("IF(B1338="""","""",RIGHT(REGEXREPLACE(B1338&amp;"""",""[^0-9]"",""""),9))"),"775770868")</f>
        <v>775770868</v>
      </c>
      <c r="B1338" s="52">
        <v>7.75770868E8</v>
      </c>
      <c r="C1338" s="28" t="s">
        <v>1564</v>
      </c>
      <c r="D1338" s="26" t="s">
        <v>49</v>
      </c>
      <c r="E1338" s="31">
        <v>46228.0</v>
      </c>
      <c r="F1338" s="26" t="s">
        <v>46</v>
      </c>
      <c r="G1338" s="26">
        <v>11.0</v>
      </c>
      <c r="I1338" s="26" t="s">
        <v>42</v>
      </c>
      <c r="J1338" s="25" t="str">
        <f t="shared" si="31"/>
        <v>No</v>
      </c>
      <c r="K1338" s="25" t="str">
        <f t="shared" si="32"/>
        <v/>
      </c>
      <c r="L1338" s="25" t="str">
        <f t="shared" si="33"/>
        <v/>
      </c>
      <c r="M1338" s="25"/>
      <c r="O1338" s="25"/>
    </row>
    <row r="1339" ht="15.75" customHeight="1">
      <c r="A1339" s="25" t="str">
        <f>IFERROR(__xludf.DUMMYFUNCTION("IF(B1339="""","""",RIGHT(REGEXREPLACE(B1339&amp;"""",""[^0-9]"",""""),9))"),"766429430")</f>
        <v>766429430</v>
      </c>
      <c r="B1339" s="52">
        <v>7.6642943E8</v>
      </c>
      <c r="C1339" s="28" t="s">
        <v>1565</v>
      </c>
      <c r="D1339" s="26" t="s">
        <v>45</v>
      </c>
      <c r="E1339" s="31">
        <v>46228.0</v>
      </c>
      <c r="F1339" s="26" t="s">
        <v>125</v>
      </c>
      <c r="I1339" s="26" t="s">
        <v>42</v>
      </c>
      <c r="J1339" s="25" t="str">
        <f t="shared" si="31"/>
        <v>No</v>
      </c>
      <c r="K1339" s="25" t="str">
        <f t="shared" si="32"/>
        <v/>
      </c>
      <c r="L1339" s="25" t="str">
        <f t="shared" si="33"/>
        <v/>
      </c>
      <c r="M1339" s="25"/>
      <c r="O1339" s="25"/>
    </row>
    <row r="1340" ht="15.75" customHeight="1">
      <c r="A1340" s="25" t="str">
        <f>IFERROR(__xludf.DUMMYFUNCTION("IF(B1340="""","""",RIGHT(REGEXREPLACE(B1340&amp;"""",""[^0-9]"",""""),9))"),"777252752")</f>
        <v>777252752</v>
      </c>
      <c r="B1340" s="52">
        <v>7.77252752E8</v>
      </c>
      <c r="C1340" s="28" t="s">
        <v>1566</v>
      </c>
      <c r="D1340" s="26" t="s">
        <v>56</v>
      </c>
      <c r="E1340" s="31">
        <v>46228.0</v>
      </c>
      <c r="F1340" s="26" t="s">
        <v>46</v>
      </c>
      <c r="G1340" s="26">
        <v>10.0</v>
      </c>
      <c r="H1340" s="26" t="s">
        <v>1567</v>
      </c>
      <c r="I1340" s="26" t="s">
        <v>42</v>
      </c>
      <c r="J1340" s="25" t="str">
        <f t="shared" si="31"/>
        <v>No</v>
      </c>
      <c r="K1340" s="25" t="str">
        <f t="shared" si="32"/>
        <v/>
      </c>
      <c r="L1340" s="25" t="str">
        <f t="shared" si="33"/>
        <v/>
      </c>
      <c r="M1340" s="25"/>
      <c r="O1340" s="25"/>
    </row>
    <row r="1341" ht="15.75" customHeight="1">
      <c r="A1341" s="25" t="str">
        <f>IFERROR(__xludf.DUMMYFUNCTION("IF(B1341="""","""",RIGHT(REGEXREPLACE(B1341&amp;"""",""[^0-9]"",""""),9))"),"726406234")</f>
        <v>726406234</v>
      </c>
      <c r="B1341" s="52">
        <v>7.26406234E8</v>
      </c>
      <c r="C1341" s="28" t="s">
        <v>1568</v>
      </c>
      <c r="D1341" s="26" t="s">
        <v>49</v>
      </c>
      <c r="E1341" s="31">
        <v>46228.0</v>
      </c>
      <c r="F1341" s="26" t="s">
        <v>205</v>
      </c>
      <c r="G1341" s="26">
        <v>11.0</v>
      </c>
      <c r="I1341" s="26" t="s">
        <v>42</v>
      </c>
      <c r="J1341" s="25" t="str">
        <f t="shared" si="31"/>
        <v>No</v>
      </c>
      <c r="K1341" s="25" t="str">
        <f t="shared" si="32"/>
        <v/>
      </c>
      <c r="L1341" s="25" t="str">
        <f t="shared" si="33"/>
        <v/>
      </c>
      <c r="M1341" s="25"/>
      <c r="O1341" s="25"/>
    </row>
    <row r="1342" ht="15.75" customHeight="1">
      <c r="A1342" s="25" t="str">
        <f>IFERROR(__xludf.DUMMYFUNCTION("IF(B1342="""","""",RIGHT(REGEXREPLACE(B1342&amp;"""",""[^0-9]"",""""),9))"),"719818445")</f>
        <v>719818445</v>
      </c>
      <c r="B1342" s="52">
        <v>7.19818445E8</v>
      </c>
      <c r="C1342" s="28" t="s">
        <v>1569</v>
      </c>
      <c r="D1342" s="26" t="s">
        <v>82</v>
      </c>
      <c r="E1342" s="31">
        <v>46228.0</v>
      </c>
      <c r="F1342" s="26" t="s">
        <v>41</v>
      </c>
      <c r="G1342" s="26">
        <v>11.0</v>
      </c>
      <c r="I1342" s="26" t="s">
        <v>42</v>
      </c>
      <c r="J1342" s="25" t="str">
        <f t="shared" si="31"/>
        <v>No</v>
      </c>
      <c r="K1342" s="25" t="str">
        <f t="shared" si="32"/>
        <v/>
      </c>
      <c r="L1342" s="25" t="str">
        <f t="shared" si="33"/>
        <v/>
      </c>
      <c r="M1342" s="25"/>
      <c r="O1342" s="25"/>
    </row>
    <row r="1343" ht="15.75" customHeight="1">
      <c r="A1343" s="25" t="str">
        <f>IFERROR(__xludf.DUMMYFUNCTION("IF(B1343="""","""",RIGHT(REGEXREPLACE(B1343&amp;"""",""[^0-9]"",""""),9))"),"767592556")</f>
        <v>767592556</v>
      </c>
      <c r="B1343" s="52">
        <v>7.67592556E8</v>
      </c>
      <c r="C1343" s="28" t="s">
        <v>1570</v>
      </c>
      <c r="D1343" s="26" t="s">
        <v>49</v>
      </c>
      <c r="E1343" s="31">
        <v>46228.0</v>
      </c>
      <c r="F1343" s="26" t="s">
        <v>46</v>
      </c>
      <c r="G1343" s="26">
        <v>11.0</v>
      </c>
      <c r="I1343" s="26" t="s">
        <v>42</v>
      </c>
      <c r="J1343" s="25" t="str">
        <f t="shared" si="31"/>
        <v>No</v>
      </c>
      <c r="K1343" s="25" t="str">
        <f t="shared" si="32"/>
        <v/>
      </c>
      <c r="L1343" s="25" t="str">
        <f t="shared" si="33"/>
        <v/>
      </c>
      <c r="M1343" s="25"/>
      <c r="O1343" s="25"/>
    </row>
    <row r="1344" ht="15.75" customHeight="1">
      <c r="A1344" s="25" t="str">
        <f>IFERROR(__xludf.DUMMYFUNCTION("IF(B1344="""","""",RIGHT(REGEXREPLACE(B1344&amp;"""",""[^0-9]"",""""),9))"),"719918176")</f>
        <v>719918176</v>
      </c>
      <c r="B1344" s="26">
        <v>7.19918176E8</v>
      </c>
      <c r="C1344" s="28" t="s">
        <v>1571</v>
      </c>
      <c r="D1344" s="26" t="s">
        <v>45</v>
      </c>
      <c r="E1344" s="31">
        <v>46228.0</v>
      </c>
      <c r="F1344" s="26" t="s">
        <v>46</v>
      </c>
      <c r="G1344" s="26">
        <v>11.0</v>
      </c>
      <c r="I1344" s="26" t="s">
        <v>42</v>
      </c>
      <c r="J1344" s="25" t="str">
        <f t="shared" si="31"/>
        <v>No</v>
      </c>
      <c r="K1344" s="25" t="str">
        <f t="shared" si="32"/>
        <v/>
      </c>
      <c r="L1344" s="25" t="str">
        <f t="shared" si="33"/>
        <v/>
      </c>
      <c r="M1344" s="25"/>
      <c r="O1344" s="25"/>
    </row>
    <row r="1345" ht="15.75" customHeight="1">
      <c r="A1345" s="25" t="str">
        <f>IFERROR(__xludf.DUMMYFUNCTION("IF(B1345="""","""",RIGHT(REGEXREPLACE(B1345&amp;"""",""[^0-9]"",""""),9))"),"777789581")</f>
        <v>777789581</v>
      </c>
      <c r="B1345" s="52">
        <v>7.77789581E8</v>
      </c>
      <c r="C1345" s="28" t="s">
        <v>1438</v>
      </c>
      <c r="D1345" s="26" t="s">
        <v>82</v>
      </c>
      <c r="E1345" s="31">
        <v>46228.0</v>
      </c>
      <c r="F1345" s="26" t="s">
        <v>46</v>
      </c>
      <c r="G1345" s="26">
        <v>11.0</v>
      </c>
      <c r="I1345" s="26" t="s">
        <v>42</v>
      </c>
      <c r="J1345" s="25" t="str">
        <f t="shared" si="31"/>
        <v>Yes - see Previous F-Code</v>
      </c>
      <c r="K1345" s="25" t="str">
        <f t="shared" si="32"/>
        <v>DUPLICATE - CHECK</v>
      </c>
      <c r="L1345" s="25" t="str">
        <f t="shared" si="33"/>
        <v>F71163</v>
      </c>
      <c r="M1345" s="25"/>
      <c r="O1345" s="25"/>
    </row>
    <row r="1346" ht="15.75" customHeight="1">
      <c r="A1346" s="25" t="str">
        <f>IFERROR(__xludf.DUMMYFUNCTION("IF(B1346="""","""",RIGHT(REGEXREPLACE(B1346&amp;"""",""[^0-9]"",""""),9))"),"714966257")</f>
        <v>714966257</v>
      </c>
      <c r="B1346" s="52">
        <v>7.14966257E8</v>
      </c>
      <c r="C1346" s="28" t="s">
        <v>1572</v>
      </c>
      <c r="D1346" s="26" t="s">
        <v>82</v>
      </c>
      <c r="E1346" s="31">
        <v>46228.0</v>
      </c>
      <c r="F1346" s="26" t="s">
        <v>46</v>
      </c>
      <c r="G1346" s="26">
        <v>11.0</v>
      </c>
      <c r="I1346" s="26" t="s">
        <v>42</v>
      </c>
      <c r="J1346" s="25" t="str">
        <f t="shared" si="31"/>
        <v>No</v>
      </c>
      <c r="K1346" s="25" t="str">
        <f t="shared" si="32"/>
        <v/>
      </c>
      <c r="L1346" s="25" t="str">
        <f t="shared" si="33"/>
        <v/>
      </c>
      <c r="M1346" s="25"/>
      <c r="O1346" s="25"/>
    </row>
    <row r="1347" ht="15.75" customHeight="1">
      <c r="A1347" s="25" t="str">
        <f>IFERROR(__xludf.DUMMYFUNCTION("IF(B1347="""","""",RIGHT(REGEXREPLACE(B1347&amp;"""",""[^0-9]"",""""),9))"),"775314955")</f>
        <v>775314955</v>
      </c>
      <c r="B1347" s="52">
        <v>7.75314955E8</v>
      </c>
      <c r="C1347" s="28" t="s">
        <v>1573</v>
      </c>
      <c r="D1347" s="26" t="s">
        <v>56</v>
      </c>
      <c r="E1347" s="31">
        <v>46228.0</v>
      </c>
      <c r="F1347" s="26" t="s">
        <v>205</v>
      </c>
      <c r="G1347" s="26">
        <v>11.0</v>
      </c>
      <c r="I1347" s="26" t="s">
        <v>42</v>
      </c>
      <c r="J1347" s="25" t="str">
        <f t="shared" si="31"/>
        <v>No</v>
      </c>
      <c r="K1347" s="25" t="str">
        <f t="shared" si="32"/>
        <v/>
      </c>
      <c r="L1347" s="25" t="str">
        <f t="shared" si="33"/>
        <v/>
      </c>
      <c r="M1347" s="25"/>
      <c r="O1347" s="25"/>
    </row>
    <row r="1348" ht="15.75" customHeight="1">
      <c r="A1348" s="25" t="str">
        <f>IFERROR(__xludf.DUMMYFUNCTION("IF(B1348="""","""",RIGHT(REGEXREPLACE(B1348&amp;"""",""[^0-9]"",""""),9))"),"753759615")</f>
        <v>753759615</v>
      </c>
      <c r="B1348" s="52">
        <v>7.53759615E8</v>
      </c>
      <c r="C1348" s="28" t="s">
        <v>1574</v>
      </c>
      <c r="D1348" s="26" t="s">
        <v>49</v>
      </c>
      <c r="E1348" s="31">
        <v>46228.0</v>
      </c>
      <c r="F1348" s="26" t="s">
        <v>205</v>
      </c>
      <c r="G1348" s="26">
        <v>11.0</v>
      </c>
      <c r="I1348" s="26" t="s">
        <v>42</v>
      </c>
      <c r="J1348" s="25" t="str">
        <f t="shared" si="31"/>
        <v>No</v>
      </c>
      <c r="K1348" s="25" t="str">
        <f t="shared" si="32"/>
        <v/>
      </c>
      <c r="L1348" s="25" t="str">
        <f t="shared" si="33"/>
        <v/>
      </c>
      <c r="M1348" s="25"/>
      <c r="O1348" s="25"/>
    </row>
    <row r="1349" ht="15.75" customHeight="1">
      <c r="A1349" s="25" t="str">
        <f>IFERROR(__xludf.DUMMYFUNCTION("IF(B1349="""","""",RIGHT(REGEXREPLACE(B1349&amp;"""",""[^0-9]"",""""),9))"),"715423405")</f>
        <v>715423405</v>
      </c>
      <c r="B1349" s="52">
        <v>7.15423405E8</v>
      </c>
      <c r="C1349" s="28" t="s">
        <v>1575</v>
      </c>
      <c r="D1349" s="26" t="s">
        <v>45</v>
      </c>
      <c r="E1349" s="31">
        <v>46228.0</v>
      </c>
      <c r="F1349" s="26" t="s">
        <v>46</v>
      </c>
      <c r="G1349" s="26">
        <v>11.0</v>
      </c>
      <c r="I1349" s="26" t="s">
        <v>42</v>
      </c>
      <c r="J1349" s="25" t="str">
        <f t="shared" si="31"/>
        <v>No</v>
      </c>
      <c r="K1349" s="25" t="str">
        <f t="shared" si="32"/>
        <v/>
      </c>
      <c r="L1349" s="25" t="str">
        <f t="shared" si="33"/>
        <v/>
      </c>
      <c r="M1349" s="25"/>
      <c r="O1349" s="25"/>
    </row>
    <row r="1350" ht="15.75" customHeight="1">
      <c r="A1350" s="25" t="str">
        <f>IFERROR(__xludf.DUMMYFUNCTION("IF(B1350="""","""",RIGHT(REGEXREPLACE(B1350&amp;"""",""[^0-9]"",""""),9))"),"772823078")</f>
        <v>772823078</v>
      </c>
      <c r="B1350" s="52">
        <v>7.72823078E8</v>
      </c>
      <c r="C1350" s="28" t="s">
        <v>1576</v>
      </c>
      <c r="D1350" s="26" t="s">
        <v>56</v>
      </c>
      <c r="E1350" s="31">
        <v>46228.0</v>
      </c>
      <c r="F1350" s="26" t="s">
        <v>41</v>
      </c>
      <c r="I1350" s="26" t="s">
        <v>42</v>
      </c>
      <c r="J1350" s="25" t="str">
        <f t="shared" si="31"/>
        <v>No</v>
      </c>
      <c r="K1350" s="25" t="str">
        <f t="shared" si="32"/>
        <v/>
      </c>
      <c r="L1350" s="25" t="str">
        <f t="shared" si="33"/>
        <v/>
      </c>
      <c r="M1350" s="25"/>
      <c r="O1350" s="25"/>
    </row>
    <row r="1351" ht="15.75" customHeight="1">
      <c r="A1351" s="25" t="str">
        <f>IFERROR(__xludf.DUMMYFUNCTION("IF(B1351="""","""",RIGHT(REGEXREPLACE(B1351&amp;"""",""[^0-9]"",""""),9))"),"776509956")</f>
        <v>776509956</v>
      </c>
      <c r="B1351" s="52">
        <v>7.76509956E8</v>
      </c>
      <c r="C1351" s="28" t="s">
        <v>1577</v>
      </c>
      <c r="D1351" s="26" t="s">
        <v>49</v>
      </c>
      <c r="E1351" s="31">
        <v>46228.0</v>
      </c>
      <c r="F1351" s="26" t="s">
        <v>46</v>
      </c>
      <c r="G1351" s="26">
        <v>11.0</v>
      </c>
      <c r="I1351" s="26" t="s">
        <v>42</v>
      </c>
      <c r="J1351" s="25" t="str">
        <f t="shared" si="31"/>
        <v>No</v>
      </c>
      <c r="K1351" s="25" t="str">
        <f t="shared" si="32"/>
        <v/>
      </c>
      <c r="L1351" s="25" t="str">
        <f t="shared" si="33"/>
        <v/>
      </c>
      <c r="M1351" s="25"/>
      <c r="O1351" s="25"/>
    </row>
    <row r="1352" ht="15.75" customHeight="1">
      <c r="A1352" s="25" t="str">
        <f>IFERROR(__xludf.DUMMYFUNCTION("IF(B1352="""","""",RIGHT(REGEXREPLACE(B1352&amp;"""",""[^0-9]"",""""),9))"),"701432749")</f>
        <v>701432749</v>
      </c>
      <c r="B1352" s="52">
        <v>7.01432749E8</v>
      </c>
      <c r="C1352" s="28" t="s">
        <v>1578</v>
      </c>
      <c r="D1352" s="26" t="s">
        <v>45</v>
      </c>
      <c r="E1352" s="31">
        <v>46228.0</v>
      </c>
      <c r="F1352" s="26" t="s">
        <v>46</v>
      </c>
      <c r="G1352" s="26">
        <v>11.0</v>
      </c>
      <c r="I1352" s="26" t="s">
        <v>42</v>
      </c>
      <c r="J1352" s="25" t="str">
        <f t="shared" si="31"/>
        <v>No</v>
      </c>
      <c r="K1352" s="25" t="str">
        <f t="shared" si="32"/>
        <v/>
      </c>
      <c r="L1352" s="25" t="str">
        <f t="shared" si="33"/>
        <v/>
      </c>
      <c r="M1352" s="25"/>
      <c r="O1352" s="25"/>
    </row>
    <row r="1353" ht="15.75" customHeight="1">
      <c r="A1353" s="25" t="str">
        <f>IFERROR(__xludf.DUMMYFUNCTION("IF(B1353="""","""",RIGHT(REGEXREPLACE(B1353&amp;"""",""[^0-9]"",""""),9))"),"774051179")</f>
        <v>774051179</v>
      </c>
      <c r="B1353" s="26">
        <v>7.74051179E8</v>
      </c>
      <c r="C1353" s="28" t="s">
        <v>1579</v>
      </c>
      <c r="D1353" s="26" t="s">
        <v>56</v>
      </c>
      <c r="E1353" s="31">
        <v>46228.0</v>
      </c>
      <c r="F1353" s="26" t="s">
        <v>46</v>
      </c>
      <c r="G1353" s="26">
        <v>10.0</v>
      </c>
      <c r="I1353" s="26" t="s">
        <v>42</v>
      </c>
      <c r="J1353" s="25" t="str">
        <f t="shared" si="31"/>
        <v>No</v>
      </c>
      <c r="K1353" s="25" t="str">
        <f t="shared" si="32"/>
        <v/>
      </c>
      <c r="L1353" s="25" t="str">
        <f t="shared" si="33"/>
        <v/>
      </c>
      <c r="M1353" s="25"/>
      <c r="O1353" s="25"/>
    </row>
    <row r="1354" ht="15.75" customHeight="1">
      <c r="A1354" s="25" t="str">
        <f>IFERROR(__xludf.DUMMYFUNCTION("IF(B1354="""","""",RIGHT(REGEXREPLACE(B1354&amp;"""",""[^0-9]"",""""),9))"),"715874881")</f>
        <v>715874881</v>
      </c>
      <c r="B1354" s="52">
        <v>7.15874881E8</v>
      </c>
      <c r="C1354" s="28" t="s">
        <v>1580</v>
      </c>
      <c r="D1354" s="26" t="s">
        <v>49</v>
      </c>
      <c r="E1354" s="31">
        <v>46228.0</v>
      </c>
      <c r="F1354" s="26" t="s">
        <v>46</v>
      </c>
      <c r="G1354" s="26">
        <v>11.0</v>
      </c>
      <c r="I1354" s="26" t="s">
        <v>42</v>
      </c>
      <c r="J1354" s="25" t="str">
        <f t="shared" si="31"/>
        <v>No</v>
      </c>
      <c r="K1354" s="25" t="str">
        <f t="shared" si="32"/>
        <v/>
      </c>
      <c r="L1354" s="25" t="str">
        <f t="shared" si="33"/>
        <v/>
      </c>
      <c r="M1354" s="25"/>
      <c r="O1354" s="25"/>
    </row>
    <row r="1355" ht="15.75" customHeight="1">
      <c r="A1355" s="25" t="str">
        <f>IFERROR(__xludf.DUMMYFUNCTION("IF(B1355="""","""",RIGHT(REGEXREPLACE(B1355&amp;"""",""[^0-9]"",""""),9))"),"765917160")</f>
        <v>765917160</v>
      </c>
      <c r="B1355" s="52">
        <v>7.6591716E8</v>
      </c>
      <c r="C1355" s="28" t="s">
        <v>1581</v>
      </c>
      <c r="D1355" s="26" t="s">
        <v>45</v>
      </c>
      <c r="E1355" s="31">
        <v>46228.0</v>
      </c>
      <c r="F1355" s="26"/>
      <c r="G1355" s="25"/>
      <c r="H1355" s="25"/>
      <c r="I1355" s="26" t="s">
        <v>42</v>
      </c>
      <c r="J1355" s="25" t="str">
        <f t="shared" si="31"/>
        <v>No</v>
      </c>
      <c r="K1355" s="25" t="str">
        <f t="shared" si="32"/>
        <v/>
      </c>
      <c r="L1355" s="25" t="str">
        <f t="shared" si="33"/>
        <v/>
      </c>
      <c r="M1355" s="25"/>
      <c r="N1355" s="25"/>
      <c r="O1355" s="25"/>
      <c r="P1355" s="25"/>
    </row>
    <row r="1356" ht="15.75" customHeight="1">
      <c r="A1356" s="25" t="str">
        <f>IFERROR(__xludf.DUMMYFUNCTION("IF(B1356="""","""",RIGHT(REGEXREPLACE(B1356&amp;"""",""[^0-9]"",""""),9))"),"714319874")</f>
        <v>714319874</v>
      </c>
      <c r="B1356" s="52">
        <v>7.14319874E8</v>
      </c>
      <c r="C1356" s="28" t="s">
        <v>1582</v>
      </c>
      <c r="D1356" s="26" t="s">
        <v>82</v>
      </c>
      <c r="E1356" s="31">
        <v>46228.0</v>
      </c>
      <c r="F1356" s="26" t="s">
        <v>41</v>
      </c>
      <c r="I1356" s="26" t="s">
        <v>42</v>
      </c>
      <c r="J1356" s="25" t="str">
        <f t="shared" si="31"/>
        <v>No</v>
      </c>
      <c r="K1356" s="25" t="str">
        <f t="shared" si="32"/>
        <v/>
      </c>
      <c r="L1356" s="25" t="str">
        <f t="shared" si="33"/>
        <v/>
      </c>
      <c r="M1356" s="25"/>
      <c r="O1356" s="25"/>
    </row>
    <row r="1357" ht="15.75" customHeight="1">
      <c r="A1357" s="25" t="str">
        <f>IFERROR(__xludf.DUMMYFUNCTION("IF(B1357="""","""",RIGHT(REGEXREPLACE(B1357&amp;"""",""[^0-9]"",""""),9))"),"757843705")</f>
        <v>757843705</v>
      </c>
      <c r="B1357" s="52">
        <v>7.57843705E8</v>
      </c>
      <c r="C1357" s="28" t="s">
        <v>1583</v>
      </c>
      <c r="D1357" s="26" t="s">
        <v>56</v>
      </c>
      <c r="E1357" s="31">
        <v>46228.0</v>
      </c>
      <c r="F1357" s="26" t="s">
        <v>164</v>
      </c>
      <c r="G1357" s="26">
        <v>11.0</v>
      </c>
      <c r="I1357" s="26" t="s">
        <v>42</v>
      </c>
      <c r="J1357" s="25" t="str">
        <f t="shared" si="31"/>
        <v>No</v>
      </c>
      <c r="K1357" s="25" t="str">
        <f t="shared" si="32"/>
        <v/>
      </c>
      <c r="L1357" s="25" t="str">
        <f t="shared" si="33"/>
        <v/>
      </c>
      <c r="M1357" s="25"/>
      <c r="O1357" s="25"/>
    </row>
    <row r="1358" ht="15.75" customHeight="1">
      <c r="A1358" s="25" t="str">
        <f>IFERROR(__xludf.DUMMYFUNCTION("IF(B1358="""","""",RIGHT(REGEXREPLACE(B1358&amp;"""",""[^0-9]"",""""),9))"),"788639227")</f>
        <v>788639227</v>
      </c>
      <c r="B1358" s="52">
        <v>7.88639227E8</v>
      </c>
      <c r="C1358" s="28" t="s">
        <v>1584</v>
      </c>
      <c r="D1358" s="26" t="s">
        <v>49</v>
      </c>
      <c r="E1358" s="31">
        <v>46228.0</v>
      </c>
      <c r="F1358" s="26" t="s">
        <v>659</v>
      </c>
      <c r="G1358" s="26">
        <v>11.0</v>
      </c>
      <c r="I1358" s="26" t="s">
        <v>42</v>
      </c>
      <c r="J1358" s="25" t="str">
        <f t="shared" si="31"/>
        <v>No</v>
      </c>
      <c r="K1358" s="25" t="str">
        <f t="shared" si="32"/>
        <v/>
      </c>
      <c r="L1358" s="25" t="str">
        <f t="shared" si="33"/>
        <v/>
      </c>
      <c r="M1358" s="25"/>
      <c r="O1358" s="25"/>
    </row>
    <row r="1359" ht="15.75" customHeight="1">
      <c r="A1359" s="25" t="str">
        <f>IFERROR(__xludf.DUMMYFUNCTION("IF(B1359="""","""",RIGHT(REGEXREPLACE(B1359&amp;"""",""[^0-9]"",""""),9))"),"773205102")</f>
        <v>773205102</v>
      </c>
      <c r="B1359" s="52">
        <v>7.73205102E8</v>
      </c>
      <c r="C1359" s="28" t="s">
        <v>1585</v>
      </c>
      <c r="D1359" s="26" t="s">
        <v>45</v>
      </c>
      <c r="E1359" s="31">
        <v>46228.0</v>
      </c>
      <c r="F1359" s="26" t="s">
        <v>125</v>
      </c>
      <c r="I1359" s="26" t="s">
        <v>42</v>
      </c>
      <c r="J1359" s="25" t="str">
        <f t="shared" si="31"/>
        <v>No</v>
      </c>
      <c r="K1359" s="25" t="str">
        <f t="shared" si="32"/>
        <v/>
      </c>
      <c r="L1359" s="25" t="str">
        <f t="shared" si="33"/>
        <v/>
      </c>
      <c r="M1359" s="25"/>
      <c r="O1359" s="25"/>
    </row>
    <row r="1360" ht="15.75" customHeight="1">
      <c r="A1360" s="25" t="str">
        <f>IFERROR(__xludf.DUMMYFUNCTION("IF(B1360="""","""",RIGHT(REGEXREPLACE(B1360&amp;"""",""[^0-9]"",""""),9))"),"715616488")</f>
        <v>715616488</v>
      </c>
      <c r="B1360" s="52">
        <v>7.15616488E8</v>
      </c>
      <c r="C1360" s="28" t="s">
        <v>1586</v>
      </c>
      <c r="D1360" s="26" t="s">
        <v>82</v>
      </c>
      <c r="E1360" s="31">
        <v>46228.0</v>
      </c>
      <c r="F1360" s="26" t="s">
        <v>46</v>
      </c>
      <c r="G1360" s="26">
        <v>11.0</v>
      </c>
      <c r="I1360" s="26" t="s">
        <v>42</v>
      </c>
      <c r="J1360" s="25" t="str">
        <f t="shared" si="31"/>
        <v>No</v>
      </c>
      <c r="K1360" s="25" t="str">
        <f t="shared" si="32"/>
        <v/>
      </c>
      <c r="L1360" s="25" t="str">
        <f t="shared" si="33"/>
        <v/>
      </c>
      <c r="M1360" s="25"/>
      <c r="O1360" s="25"/>
    </row>
    <row r="1361" ht="15.75" customHeight="1">
      <c r="A1361" s="25" t="str">
        <f>IFERROR(__xludf.DUMMYFUNCTION("IF(B1361="""","""",RIGHT(REGEXREPLACE(B1361&amp;"""",""[^0-9]"",""""),9))"),"767448684")</f>
        <v>767448684</v>
      </c>
      <c r="B1361" s="52">
        <v>7.67448684E8</v>
      </c>
      <c r="C1361" s="28" t="s">
        <v>1587</v>
      </c>
      <c r="D1361" s="26" t="s">
        <v>49</v>
      </c>
      <c r="E1361" s="31">
        <v>46228.0</v>
      </c>
      <c r="F1361" s="26" t="s">
        <v>164</v>
      </c>
      <c r="I1361" s="26" t="s">
        <v>42</v>
      </c>
      <c r="J1361" s="25" t="str">
        <f t="shared" si="31"/>
        <v>No</v>
      </c>
      <c r="K1361" s="25" t="str">
        <f t="shared" si="32"/>
        <v/>
      </c>
      <c r="L1361" s="25" t="str">
        <f t="shared" si="33"/>
        <v/>
      </c>
      <c r="M1361" s="25"/>
      <c r="O1361" s="25"/>
    </row>
    <row r="1362" ht="15.75" customHeight="1">
      <c r="A1362" s="25" t="str">
        <f>IFERROR(__xludf.DUMMYFUNCTION("IF(B1362="""","""",RIGHT(REGEXREPLACE(B1362&amp;"""",""[^0-9]"",""""),9))"),"785747432")</f>
        <v>785747432</v>
      </c>
      <c r="B1362" s="52">
        <v>7.85747432E8</v>
      </c>
      <c r="C1362" s="28" t="s">
        <v>1588</v>
      </c>
      <c r="D1362" s="26" t="s">
        <v>45</v>
      </c>
      <c r="E1362" s="31">
        <v>46228.0</v>
      </c>
      <c r="F1362" s="26" t="s">
        <v>46</v>
      </c>
      <c r="G1362" s="26">
        <v>9.0</v>
      </c>
      <c r="I1362" s="26" t="s">
        <v>42</v>
      </c>
      <c r="J1362" s="25" t="str">
        <f t="shared" si="31"/>
        <v>No</v>
      </c>
      <c r="K1362" s="25" t="str">
        <f t="shared" si="32"/>
        <v/>
      </c>
      <c r="L1362" s="25" t="str">
        <f t="shared" si="33"/>
        <v/>
      </c>
      <c r="M1362" s="25"/>
      <c r="O1362" s="25"/>
    </row>
    <row r="1363" ht="15.75" customHeight="1">
      <c r="A1363" s="25" t="str">
        <f>IFERROR(__xludf.DUMMYFUNCTION("IF(B1363="""","""",RIGHT(REGEXREPLACE(B1363&amp;"""",""[^0-9]"",""""),9))"),"741345644")</f>
        <v>741345644</v>
      </c>
      <c r="B1363" s="52">
        <v>7.41345644E8</v>
      </c>
      <c r="C1363" s="28" t="s">
        <v>1589</v>
      </c>
      <c r="D1363" s="26" t="s">
        <v>56</v>
      </c>
      <c r="E1363" s="31">
        <v>46228.0</v>
      </c>
      <c r="F1363" s="26" t="s">
        <v>46</v>
      </c>
      <c r="G1363" s="26">
        <v>11.0</v>
      </c>
      <c r="I1363" s="26" t="s">
        <v>42</v>
      </c>
      <c r="J1363" s="25" t="str">
        <f t="shared" si="31"/>
        <v>No</v>
      </c>
      <c r="K1363" s="25" t="str">
        <f t="shared" si="32"/>
        <v/>
      </c>
      <c r="L1363" s="25" t="str">
        <f t="shared" si="33"/>
        <v/>
      </c>
      <c r="M1363" s="25"/>
      <c r="O1363" s="25"/>
    </row>
    <row r="1364" ht="15.75" customHeight="1">
      <c r="A1364" s="25" t="str">
        <f>IFERROR(__xludf.DUMMYFUNCTION("IF(B1364="""","""",RIGHT(REGEXREPLACE(B1364&amp;"""",""[^0-9]"",""""),9))"),"776552508")</f>
        <v>776552508</v>
      </c>
      <c r="B1364" s="52">
        <v>7.76552508E8</v>
      </c>
      <c r="C1364" s="28" t="s">
        <v>1590</v>
      </c>
      <c r="D1364" s="26" t="s">
        <v>49</v>
      </c>
      <c r="E1364" s="31">
        <v>46228.0</v>
      </c>
      <c r="F1364" s="26" t="s">
        <v>46</v>
      </c>
      <c r="G1364" s="26">
        <v>11.0</v>
      </c>
      <c r="I1364" s="26" t="s">
        <v>42</v>
      </c>
      <c r="J1364" s="25" t="str">
        <f t="shared" si="31"/>
        <v>No</v>
      </c>
      <c r="K1364" s="25" t="str">
        <f t="shared" si="32"/>
        <v/>
      </c>
      <c r="L1364" s="25" t="str">
        <f t="shared" si="33"/>
        <v/>
      </c>
      <c r="M1364" s="25"/>
      <c r="O1364" s="25"/>
    </row>
    <row r="1365" ht="15.75" customHeight="1">
      <c r="A1365" s="25" t="str">
        <f>IFERROR(__xludf.DUMMYFUNCTION("IF(B1365="""","""",RIGHT(REGEXREPLACE(B1365&amp;"""",""[^0-9]"",""""),9))"),"765628452")</f>
        <v>765628452</v>
      </c>
      <c r="B1365" s="52">
        <v>7.65628452E8</v>
      </c>
      <c r="C1365" s="28" t="s">
        <v>1591</v>
      </c>
      <c r="D1365" s="26" t="s">
        <v>82</v>
      </c>
      <c r="E1365" s="31">
        <v>46228.0</v>
      </c>
      <c r="F1365" s="26" t="s">
        <v>41</v>
      </c>
      <c r="I1365" s="26" t="s">
        <v>42</v>
      </c>
      <c r="J1365" s="25" t="str">
        <f t="shared" si="31"/>
        <v>No</v>
      </c>
      <c r="K1365" s="25" t="str">
        <f t="shared" si="32"/>
        <v/>
      </c>
      <c r="L1365" s="25" t="str">
        <f t="shared" si="33"/>
        <v/>
      </c>
      <c r="M1365" s="25"/>
      <c r="O1365" s="25"/>
    </row>
    <row r="1366" ht="15.75" customHeight="1">
      <c r="A1366" s="25" t="str">
        <f>IFERROR(__xludf.DUMMYFUNCTION("IF(B1366="""","""",RIGHT(REGEXREPLACE(B1366&amp;"""",""[^0-9]"",""""),9))"),"710343543")</f>
        <v>710343543</v>
      </c>
      <c r="B1366" s="52">
        <v>7.10343543E8</v>
      </c>
      <c r="C1366" s="28" t="s">
        <v>1592</v>
      </c>
      <c r="D1366" s="26" t="s">
        <v>45</v>
      </c>
      <c r="E1366" s="31">
        <v>46228.0</v>
      </c>
      <c r="F1366" s="26" t="s">
        <v>46</v>
      </c>
      <c r="G1366" s="26">
        <v>11.0</v>
      </c>
      <c r="I1366" s="26" t="s">
        <v>42</v>
      </c>
      <c r="J1366" s="25" t="str">
        <f t="shared" si="31"/>
        <v>No</v>
      </c>
      <c r="K1366" s="25" t="str">
        <f t="shared" si="32"/>
        <v/>
      </c>
      <c r="L1366" s="25" t="str">
        <f t="shared" si="33"/>
        <v/>
      </c>
      <c r="M1366" s="25"/>
      <c r="O1366" s="25"/>
    </row>
    <row r="1367" ht="15.75" customHeight="1">
      <c r="A1367" s="25" t="str">
        <f>IFERROR(__xludf.DUMMYFUNCTION("IF(B1367="""","""",RIGHT(REGEXREPLACE(B1367&amp;"""",""[^0-9]"",""""),9))"),"704226687")</f>
        <v>704226687</v>
      </c>
      <c r="B1367" s="52">
        <v>7.04226687E8</v>
      </c>
      <c r="C1367" s="28" t="s">
        <v>1593</v>
      </c>
      <c r="D1367" s="26" t="s">
        <v>82</v>
      </c>
      <c r="E1367" s="31">
        <v>46228.0</v>
      </c>
      <c r="F1367" s="26" t="s">
        <v>205</v>
      </c>
      <c r="I1367" s="26" t="s">
        <v>42</v>
      </c>
      <c r="J1367" s="25" t="str">
        <f t="shared" si="31"/>
        <v>No</v>
      </c>
      <c r="K1367" s="25" t="str">
        <f t="shared" si="32"/>
        <v/>
      </c>
      <c r="L1367" s="25" t="str">
        <f t="shared" si="33"/>
        <v/>
      </c>
      <c r="M1367" s="25"/>
      <c r="O1367" s="25"/>
    </row>
    <row r="1368" ht="15.75" customHeight="1">
      <c r="A1368" s="25" t="str">
        <f>IFERROR(__xludf.DUMMYFUNCTION("IF(B1368="""","""",RIGHT(REGEXREPLACE(B1368&amp;"""",""[^0-9]"",""""),9))"),"717965318")</f>
        <v>717965318</v>
      </c>
      <c r="B1368" s="52">
        <v>7.17965318E8</v>
      </c>
      <c r="C1368" s="28" t="s">
        <v>1594</v>
      </c>
      <c r="D1368" s="26" t="s">
        <v>56</v>
      </c>
      <c r="E1368" s="31">
        <v>46228.0</v>
      </c>
      <c r="F1368" s="26" t="s">
        <v>46</v>
      </c>
      <c r="H1368" s="26" t="s">
        <v>1595</v>
      </c>
      <c r="I1368" s="26" t="s">
        <v>42</v>
      </c>
      <c r="J1368" s="25" t="str">
        <f t="shared" si="31"/>
        <v>No</v>
      </c>
      <c r="K1368" s="25" t="str">
        <f t="shared" si="32"/>
        <v/>
      </c>
      <c r="L1368" s="25" t="str">
        <f t="shared" si="33"/>
        <v/>
      </c>
      <c r="M1368" s="25"/>
      <c r="O1368" s="25"/>
    </row>
    <row r="1369" ht="15.75" customHeight="1">
      <c r="A1369" s="25" t="str">
        <f>IFERROR(__xludf.DUMMYFUNCTION("IF(B1369="""","""",RIGHT(REGEXREPLACE(B1369&amp;"""",""[^0-9]"",""""),9))"),"768735674")</f>
        <v>768735674</v>
      </c>
      <c r="B1369" s="52">
        <v>7.68735674E8</v>
      </c>
      <c r="C1369" s="28" t="s">
        <v>1596</v>
      </c>
      <c r="D1369" s="26" t="s">
        <v>49</v>
      </c>
      <c r="E1369" s="31">
        <v>46228.0</v>
      </c>
      <c r="F1369" s="26" t="s">
        <v>164</v>
      </c>
      <c r="G1369" s="26">
        <v>10.0</v>
      </c>
      <c r="I1369" s="26" t="s">
        <v>42</v>
      </c>
      <c r="J1369" s="25" t="str">
        <f t="shared" si="31"/>
        <v>No</v>
      </c>
      <c r="K1369" s="25" t="str">
        <f t="shared" si="32"/>
        <v/>
      </c>
      <c r="L1369" s="25" t="str">
        <f t="shared" si="33"/>
        <v/>
      </c>
      <c r="M1369" s="25"/>
      <c r="O1369" s="25"/>
    </row>
    <row r="1370" ht="15.75" customHeight="1">
      <c r="A1370" s="25" t="str">
        <f>IFERROR(__xludf.DUMMYFUNCTION("IF(B1370="""","""",RIGHT(REGEXREPLACE(B1370&amp;"""",""[^0-9]"",""""),9))"),"762262598")</f>
        <v>762262598</v>
      </c>
      <c r="B1370" s="52">
        <v>7.62262598E8</v>
      </c>
      <c r="C1370" s="28" t="s">
        <v>1597</v>
      </c>
      <c r="D1370" s="26" t="s">
        <v>45</v>
      </c>
      <c r="E1370" s="31">
        <v>46228.0</v>
      </c>
      <c r="F1370" s="26" t="s">
        <v>46</v>
      </c>
      <c r="G1370" s="26">
        <v>11.0</v>
      </c>
      <c r="I1370" s="26" t="s">
        <v>42</v>
      </c>
      <c r="J1370" s="25" t="str">
        <f t="shared" si="31"/>
        <v>No</v>
      </c>
      <c r="K1370" s="25" t="str">
        <f t="shared" si="32"/>
        <v/>
      </c>
      <c r="L1370" s="25" t="str">
        <f t="shared" si="33"/>
        <v/>
      </c>
      <c r="M1370" s="25"/>
      <c r="O1370" s="25"/>
    </row>
    <row r="1371" ht="15.75" customHeight="1">
      <c r="A1371" s="25" t="str">
        <f>IFERROR(__xludf.DUMMYFUNCTION("IF(B1371="""","""",RIGHT(REGEXREPLACE(B1371&amp;"""",""[^0-9]"",""""),9))"),"710555349")</f>
        <v>710555349</v>
      </c>
      <c r="B1371" s="52">
        <v>7.10555349E8</v>
      </c>
      <c r="C1371" s="28" t="s">
        <v>1598</v>
      </c>
      <c r="D1371" s="26" t="s">
        <v>82</v>
      </c>
      <c r="E1371" s="31">
        <v>46228.0</v>
      </c>
      <c r="F1371" s="26" t="s">
        <v>46</v>
      </c>
      <c r="G1371" s="26">
        <v>11.0</v>
      </c>
      <c r="I1371" s="26" t="s">
        <v>42</v>
      </c>
      <c r="J1371" s="25" t="str">
        <f t="shared" si="31"/>
        <v>No</v>
      </c>
      <c r="K1371" s="25" t="str">
        <f t="shared" si="32"/>
        <v/>
      </c>
      <c r="L1371" s="25" t="str">
        <f t="shared" si="33"/>
        <v/>
      </c>
      <c r="M1371" s="25"/>
      <c r="O1371" s="25"/>
    </row>
    <row r="1372" ht="15.75" customHeight="1">
      <c r="A1372" s="25" t="str">
        <f>IFERROR(__xludf.DUMMYFUNCTION("IF(B1372="""","""",RIGHT(REGEXREPLACE(B1372&amp;"""",""[^0-9]"",""""),9))"),"719003875")</f>
        <v>719003875</v>
      </c>
      <c r="B1372" s="52">
        <v>7.19003875E8</v>
      </c>
      <c r="C1372" s="28" t="s">
        <v>1599</v>
      </c>
      <c r="D1372" s="26" t="s">
        <v>49</v>
      </c>
      <c r="E1372" s="31">
        <v>46228.0</v>
      </c>
      <c r="F1372" s="26" t="s">
        <v>205</v>
      </c>
      <c r="G1372" s="26">
        <v>11.0</v>
      </c>
      <c r="I1372" s="26" t="s">
        <v>42</v>
      </c>
      <c r="J1372" s="25" t="str">
        <f t="shared" si="31"/>
        <v>No</v>
      </c>
      <c r="K1372" s="25" t="str">
        <f t="shared" si="32"/>
        <v/>
      </c>
      <c r="L1372" s="25" t="str">
        <f t="shared" si="33"/>
        <v/>
      </c>
      <c r="M1372" s="25"/>
      <c r="O1372" s="25"/>
    </row>
    <row r="1373" ht="15.75" customHeight="1">
      <c r="A1373" s="25" t="str">
        <f>IFERROR(__xludf.DUMMYFUNCTION("IF(B1373="""","""",RIGHT(REGEXREPLACE(B1373&amp;"""",""[^0-9]"",""""),9))"),"768330270")</f>
        <v>768330270</v>
      </c>
      <c r="B1373" s="52">
        <v>7.6833027E8</v>
      </c>
      <c r="C1373" s="28" t="s">
        <v>658</v>
      </c>
      <c r="D1373" s="26" t="s">
        <v>56</v>
      </c>
      <c r="E1373" s="31">
        <v>46228.0</v>
      </c>
      <c r="F1373" s="26" t="s">
        <v>41</v>
      </c>
      <c r="I1373" s="26" t="s">
        <v>42</v>
      </c>
      <c r="J1373" s="25" t="str">
        <f t="shared" si="31"/>
        <v>No</v>
      </c>
      <c r="K1373" s="25" t="str">
        <f t="shared" si="32"/>
        <v/>
      </c>
      <c r="L1373" s="25" t="str">
        <f t="shared" si="33"/>
        <v/>
      </c>
      <c r="M1373" s="25"/>
      <c r="O1373" s="25"/>
    </row>
    <row r="1374" ht="15.75" customHeight="1">
      <c r="A1374" s="25" t="str">
        <f>IFERROR(__xludf.DUMMYFUNCTION("IF(B1374="""","""",RIGHT(REGEXREPLACE(B1374&amp;"""",""[^0-9]"",""""),9))"),"742227664")</f>
        <v>742227664</v>
      </c>
      <c r="B1374" s="52">
        <v>7.42227664E8</v>
      </c>
      <c r="C1374" s="28" t="s">
        <v>1600</v>
      </c>
      <c r="D1374" s="26" t="s">
        <v>49</v>
      </c>
      <c r="E1374" s="31">
        <v>46228.0</v>
      </c>
      <c r="F1374" s="26" t="s">
        <v>41</v>
      </c>
      <c r="G1374" s="26">
        <v>11.0</v>
      </c>
      <c r="I1374" s="26" t="s">
        <v>42</v>
      </c>
      <c r="J1374" s="25" t="str">
        <f t="shared" si="31"/>
        <v>No</v>
      </c>
      <c r="K1374" s="25" t="str">
        <f t="shared" si="32"/>
        <v/>
      </c>
      <c r="L1374" s="25" t="str">
        <f t="shared" si="33"/>
        <v/>
      </c>
      <c r="M1374" s="25"/>
      <c r="O1374" s="25"/>
    </row>
    <row r="1375" ht="15.75" customHeight="1">
      <c r="A1375" s="25" t="str">
        <f>IFERROR(__xludf.DUMMYFUNCTION("IF(B1375="""","""",RIGHT(REGEXREPLACE(B1375&amp;"""",""[^0-9]"",""""),9))"),"741756371")</f>
        <v>741756371</v>
      </c>
      <c r="B1375" s="52">
        <v>7.41756371E8</v>
      </c>
      <c r="C1375" s="28" t="s">
        <v>1601</v>
      </c>
      <c r="D1375" s="26" t="s">
        <v>45</v>
      </c>
      <c r="E1375" s="31">
        <v>46228.0</v>
      </c>
      <c r="F1375" s="26" t="s">
        <v>46</v>
      </c>
      <c r="G1375" s="26">
        <v>11.0</v>
      </c>
      <c r="I1375" s="26" t="s">
        <v>42</v>
      </c>
      <c r="J1375" s="25" t="str">
        <f t="shared" si="31"/>
        <v>No</v>
      </c>
      <c r="K1375" s="25" t="str">
        <f t="shared" si="32"/>
        <v/>
      </c>
      <c r="L1375" s="25" t="str">
        <f t="shared" si="33"/>
        <v/>
      </c>
      <c r="M1375" s="25"/>
      <c r="O1375" s="25"/>
    </row>
    <row r="1376" ht="15.75" customHeight="1">
      <c r="A1376" s="25" t="str">
        <f>IFERROR(__xludf.DUMMYFUNCTION("IF(B1376="""","""",RIGHT(REGEXREPLACE(B1376&amp;"""",""[^0-9]"",""""),9))"),"713478138")</f>
        <v>713478138</v>
      </c>
      <c r="B1376" s="52">
        <v>7.13478138E8</v>
      </c>
      <c r="C1376" s="28" t="s">
        <v>1602</v>
      </c>
      <c r="D1376" s="26" t="s">
        <v>82</v>
      </c>
      <c r="E1376" s="31">
        <v>46228.0</v>
      </c>
      <c r="F1376" s="26" t="s">
        <v>46</v>
      </c>
      <c r="G1376" s="26">
        <v>11.0</v>
      </c>
      <c r="I1376" s="26" t="s">
        <v>42</v>
      </c>
      <c r="J1376" s="25" t="str">
        <f t="shared" si="31"/>
        <v>No</v>
      </c>
      <c r="K1376" s="25" t="str">
        <f t="shared" si="32"/>
        <v/>
      </c>
      <c r="L1376" s="25" t="str">
        <f t="shared" si="33"/>
        <v/>
      </c>
      <c r="M1376" s="25"/>
      <c r="O1376" s="25"/>
    </row>
    <row r="1377" ht="15.75" customHeight="1">
      <c r="A1377" s="25" t="str">
        <f>IFERROR(__xludf.DUMMYFUNCTION("IF(B1377="""","""",RIGHT(REGEXREPLACE(B1377&amp;"""",""[^0-9]"",""""),9))"),"766648286")</f>
        <v>766648286</v>
      </c>
      <c r="B1377" s="52">
        <v>7.66648286E8</v>
      </c>
      <c r="C1377" s="28" t="s">
        <v>1603</v>
      </c>
      <c r="D1377" s="26" t="s">
        <v>49</v>
      </c>
      <c r="E1377" s="31">
        <v>46228.0</v>
      </c>
      <c r="F1377" s="26" t="s">
        <v>46</v>
      </c>
      <c r="G1377" s="26">
        <v>11.0</v>
      </c>
      <c r="I1377" s="26" t="s">
        <v>42</v>
      </c>
      <c r="J1377" s="25" t="str">
        <f t="shared" si="31"/>
        <v>No</v>
      </c>
      <c r="K1377" s="25" t="str">
        <f t="shared" si="32"/>
        <v/>
      </c>
      <c r="L1377" s="25" t="str">
        <f t="shared" si="33"/>
        <v/>
      </c>
      <c r="M1377" s="25"/>
      <c r="O1377" s="25"/>
    </row>
    <row r="1378" ht="15.75" customHeight="1">
      <c r="A1378" s="25" t="str">
        <f>IFERROR(__xludf.DUMMYFUNCTION("IF(B1378="""","""",RIGHT(REGEXREPLACE(B1378&amp;"""",""[^0-9]"",""""),9))"),"777452034")</f>
        <v>777452034</v>
      </c>
      <c r="B1378" s="52">
        <v>7.77452034E8</v>
      </c>
      <c r="C1378" s="28" t="s">
        <v>1604</v>
      </c>
      <c r="D1378" s="26" t="s">
        <v>56</v>
      </c>
      <c r="E1378" s="31">
        <v>46228.0</v>
      </c>
      <c r="F1378" s="26" t="s">
        <v>41</v>
      </c>
      <c r="G1378" s="26">
        <v>11.0</v>
      </c>
      <c r="I1378" s="26" t="s">
        <v>42</v>
      </c>
      <c r="J1378" s="25" t="str">
        <f t="shared" si="31"/>
        <v>No</v>
      </c>
      <c r="K1378" s="25" t="str">
        <f t="shared" si="32"/>
        <v/>
      </c>
      <c r="L1378" s="25" t="str">
        <f t="shared" si="33"/>
        <v/>
      </c>
      <c r="M1378" s="25"/>
      <c r="O1378" s="25"/>
    </row>
    <row r="1379" ht="15.75" customHeight="1">
      <c r="A1379" s="25" t="str">
        <f>IFERROR(__xludf.DUMMYFUNCTION("IF(B1379="""","""",RIGHT(REGEXREPLACE(B1379&amp;"""",""[^0-9]"",""""),9))"),"701249439")</f>
        <v>701249439</v>
      </c>
      <c r="B1379" s="52">
        <v>7.01249439E8</v>
      </c>
      <c r="C1379" s="28" t="s">
        <v>1605</v>
      </c>
      <c r="D1379" s="26" t="s">
        <v>82</v>
      </c>
      <c r="E1379" s="31">
        <v>46228.0</v>
      </c>
      <c r="F1379" s="26" t="s">
        <v>41</v>
      </c>
      <c r="G1379" s="26">
        <v>11.0</v>
      </c>
      <c r="I1379" s="26" t="s">
        <v>42</v>
      </c>
      <c r="J1379" s="25" t="str">
        <f t="shared" si="31"/>
        <v>No</v>
      </c>
      <c r="K1379" s="25" t="str">
        <f t="shared" si="32"/>
        <v/>
      </c>
      <c r="L1379" s="25" t="str">
        <f t="shared" si="33"/>
        <v/>
      </c>
      <c r="M1379" s="25"/>
      <c r="O1379" s="25"/>
    </row>
    <row r="1380" ht="15.75" customHeight="1">
      <c r="A1380" s="25" t="str">
        <f>IFERROR(__xludf.DUMMYFUNCTION("IF(B1380="""","""",RIGHT(REGEXREPLACE(B1380&amp;"""",""[^0-9]"",""""),9))"),"778361616")</f>
        <v>778361616</v>
      </c>
      <c r="B1380" s="52">
        <v>7.78361616E8</v>
      </c>
      <c r="C1380" s="28" t="s">
        <v>1606</v>
      </c>
      <c r="D1380" s="26" t="s">
        <v>49</v>
      </c>
      <c r="E1380" s="31">
        <v>46228.0</v>
      </c>
      <c r="F1380" s="26" t="s">
        <v>46</v>
      </c>
      <c r="G1380" s="26">
        <v>11.0</v>
      </c>
      <c r="I1380" s="26" t="s">
        <v>42</v>
      </c>
      <c r="J1380" s="25" t="str">
        <f t="shared" si="31"/>
        <v>No</v>
      </c>
      <c r="K1380" s="25" t="str">
        <f t="shared" si="32"/>
        <v/>
      </c>
      <c r="L1380" s="25" t="str">
        <f t="shared" si="33"/>
        <v/>
      </c>
      <c r="M1380" s="25"/>
      <c r="O1380" s="25"/>
    </row>
    <row r="1381" ht="15.75" customHeight="1">
      <c r="A1381" s="25" t="str">
        <f>IFERROR(__xludf.DUMMYFUNCTION("IF(B1381="""","""",RIGHT(REGEXREPLACE(B1381&amp;"""",""[^0-9]"",""""),9))"),"714475274")</f>
        <v>714475274</v>
      </c>
      <c r="B1381" s="52">
        <v>7.14475274E8</v>
      </c>
      <c r="C1381" s="28" t="s">
        <v>1607</v>
      </c>
      <c r="D1381" s="26" t="s">
        <v>82</v>
      </c>
      <c r="E1381" s="31">
        <v>46228.0</v>
      </c>
      <c r="F1381" s="26" t="s">
        <v>41</v>
      </c>
      <c r="I1381" s="26" t="s">
        <v>42</v>
      </c>
      <c r="J1381" s="25" t="str">
        <f t="shared" si="31"/>
        <v>No</v>
      </c>
      <c r="K1381" s="25" t="str">
        <f t="shared" si="32"/>
        <v/>
      </c>
      <c r="L1381" s="25" t="str">
        <f t="shared" si="33"/>
        <v/>
      </c>
      <c r="M1381" s="25"/>
      <c r="O1381" s="25"/>
    </row>
    <row r="1382" ht="15.75" customHeight="1">
      <c r="A1382" s="25" t="str">
        <f>IFERROR(__xludf.DUMMYFUNCTION("IF(B1382="""","""",RIGHT(REGEXREPLACE(B1382&amp;"""",""[^0-9]"",""""),9))"),"768457001")</f>
        <v>768457001</v>
      </c>
      <c r="B1382" s="52">
        <v>7.68457001E8</v>
      </c>
      <c r="C1382" s="28" t="s">
        <v>1608</v>
      </c>
      <c r="D1382" s="26" t="s">
        <v>56</v>
      </c>
      <c r="E1382" s="31">
        <v>46228.0</v>
      </c>
      <c r="F1382" s="26" t="s">
        <v>205</v>
      </c>
      <c r="I1382" s="26" t="s">
        <v>42</v>
      </c>
      <c r="J1382" s="25" t="str">
        <f t="shared" si="31"/>
        <v>No</v>
      </c>
      <c r="K1382" s="25" t="str">
        <f t="shared" si="32"/>
        <v/>
      </c>
      <c r="L1382" s="25" t="str">
        <f t="shared" si="33"/>
        <v/>
      </c>
      <c r="M1382" s="25"/>
      <c r="O1382" s="25"/>
    </row>
    <row r="1383" ht="15.75" customHeight="1">
      <c r="A1383" s="25" t="str">
        <f>IFERROR(__xludf.DUMMYFUNCTION("IF(B1383="""","""",RIGHT(REGEXREPLACE(B1383&amp;"""",""[^0-9]"",""""),9))"),"774007476")</f>
        <v>774007476</v>
      </c>
      <c r="B1383" s="52">
        <v>7.74007476E8</v>
      </c>
      <c r="C1383" s="28" t="s">
        <v>1609</v>
      </c>
      <c r="D1383" s="26" t="s">
        <v>45</v>
      </c>
      <c r="E1383" s="31">
        <v>46228.0</v>
      </c>
      <c r="F1383" s="26" t="s">
        <v>46</v>
      </c>
      <c r="G1383" s="26">
        <v>9.0</v>
      </c>
      <c r="I1383" s="26" t="s">
        <v>42</v>
      </c>
      <c r="J1383" s="25" t="str">
        <f t="shared" si="31"/>
        <v>No</v>
      </c>
      <c r="K1383" s="25" t="str">
        <f t="shared" si="32"/>
        <v/>
      </c>
      <c r="L1383" s="25" t="str">
        <f t="shared" si="33"/>
        <v/>
      </c>
      <c r="M1383" s="25"/>
      <c r="O1383" s="25"/>
    </row>
    <row r="1384" ht="15.75" customHeight="1">
      <c r="A1384" s="25" t="str">
        <f>IFERROR(__xludf.DUMMYFUNCTION("IF(B1384="""","""",RIGHT(REGEXREPLACE(B1384&amp;"""",""[^0-9]"",""""),9))"),"712509471")</f>
        <v>712509471</v>
      </c>
      <c r="B1384" s="114" t="s">
        <v>1610</v>
      </c>
      <c r="C1384" s="28" t="s">
        <v>1611</v>
      </c>
      <c r="D1384" s="26" t="s">
        <v>82</v>
      </c>
      <c r="E1384" s="31">
        <v>46228.0</v>
      </c>
      <c r="F1384" s="26" t="s">
        <v>46</v>
      </c>
      <c r="G1384" s="26">
        <v>11.0</v>
      </c>
      <c r="I1384" s="26" t="s">
        <v>42</v>
      </c>
      <c r="J1384" s="25" t="str">
        <f t="shared" si="31"/>
        <v>No</v>
      </c>
      <c r="K1384" s="25" t="str">
        <f t="shared" si="32"/>
        <v/>
      </c>
      <c r="L1384" s="25" t="str">
        <f t="shared" si="33"/>
        <v/>
      </c>
      <c r="M1384" s="25"/>
      <c r="O1384" s="25"/>
    </row>
    <row r="1385" ht="15.75" customHeight="1">
      <c r="A1385" s="25" t="str">
        <f>IFERROR(__xludf.DUMMYFUNCTION("IF(B1385="""","""",RIGHT(REGEXREPLACE(B1385&amp;"""",""[^0-9]"",""""),9))"),"773383860")</f>
        <v>773383860</v>
      </c>
      <c r="B1385" s="52">
        <v>7.7338386E8</v>
      </c>
      <c r="C1385" s="28" t="s">
        <v>1612</v>
      </c>
      <c r="D1385" s="26" t="s">
        <v>49</v>
      </c>
      <c r="E1385" s="31">
        <v>46228.0</v>
      </c>
      <c r="F1385" s="26" t="s">
        <v>46</v>
      </c>
      <c r="G1385" s="26">
        <v>11.0</v>
      </c>
      <c r="H1385" s="26" t="s">
        <v>253</v>
      </c>
      <c r="I1385" s="26" t="s">
        <v>42</v>
      </c>
      <c r="J1385" s="25" t="str">
        <f t="shared" si="31"/>
        <v>No</v>
      </c>
      <c r="K1385" s="25" t="str">
        <f t="shared" si="32"/>
        <v/>
      </c>
      <c r="L1385" s="25" t="str">
        <f t="shared" si="33"/>
        <v/>
      </c>
      <c r="M1385" s="25"/>
      <c r="O1385" s="25"/>
    </row>
    <row r="1386" ht="15.75" customHeight="1">
      <c r="A1386" s="25" t="str">
        <f>IFERROR(__xludf.DUMMYFUNCTION("IF(B1386="""","""",RIGHT(REGEXREPLACE(B1386&amp;"""",""[^0-9]"",""""),9))"),"721292671")</f>
        <v>721292671</v>
      </c>
      <c r="B1386" s="52">
        <v>7.21292671E8</v>
      </c>
      <c r="C1386" s="28" t="s">
        <v>1612</v>
      </c>
      <c r="D1386" s="26" t="s">
        <v>56</v>
      </c>
      <c r="E1386" s="31">
        <v>46228.0</v>
      </c>
      <c r="F1386" s="26" t="s">
        <v>631</v>
      </c>
      <c r="G1386" s="26">
        <v>11.0</v>
      </c>
      <c r="I1386" s="26" t="s">
        <v>42</v>
      </c>
      <c r="J1386" s="25" t="str">
        <f t="shared" si="31"/>
        <v>No</v>
      </c>
      <c r="K1386" s="25" t="str">
        <f t="shared" si="32"/>
        <v/>
      </c>
      <c r="L1386" s="25" t="str">
        <f t="shared" si="33"/>
        <v/>
      </c>
      <c r="M1386" s="25"/>
      <c r="O1386" s="25"/>
    </row>
    <row r="1387" ht="15.75" customHeight="1">
      <c r="A1387" s="25" t="str">
        <f>IFERROR(__xludf.DUMMYFUNCTION("IF(B1387="""","""",RIGHT(REGEXREPLACE(B1387&amp;"""",""[^0-9]"",""""),9))"),"775265935")</f>
        <v>775265935</v>
      </c>
      <c r="B1387" s="52">
        <v>7.75265935E8</v>
      </c>
      <c r="C1387" s="28" t="s">
        <v>1613</v>
      </c>
      <c r="D1387" s="26" t="s">
        <v>45</v>
      </c>
      <c r="E1387" s="31">
        <v>46228.0</v>
      </c>
      <c r="F1387" s="26" t="s">
        <v>46</v>
      </c>
      <c r="G1387" s="26">
        <v>11.0</v>
      </c>
      <c r="I1387" s="26" t="s">
        <v>42</v>
      </c>
      <c r="J1387" s="25" t="str">
        <f t="shared" si="31"/>
        <v>No</v>
      </c>
      <c r="K1387" s="25" t="str">
        <f t="shared" si="32"/>
        <v/>
      </c>
      <c r="L1387" s="25" t="str">
        <f t="shared" si="33"/>
        <v/>
      </c>
      <c r="M1387" s="25"/>
      <c r="O1387" s="25"/>
    </row>
    <row r="1388" ht="15.75" customHeight="1">
      <c r="A1388" s="25" t="str">
        <f>IFERROR(__xludf.DUMMYFUNCTION("IF(B1388="""","""",RIGHT(REGEXREPLACE(B1388&amp;"""",""[^0-9]"",""""),9))"),"706025552")</f>
        <v>706025552</v>
      </c>
      <c r="B1388" s="52">
        <v>7.06025552E8</v>
      </c>
      <c r="C1388" s="28" t="s">
        <v>1614</v>
      </c>
      <c r="D1388" s="26" t="s">
        <v>49</v>
      </c>
      <c r="E1388" s="31">
        <v>46228.0</v>
      </c>
      <c r="F1388" s="26" t="s">
        <v>41</v>
      </c>
      <c r="G1388" s="26">
        <v>11.0</v>
      </c>
      <c r="I1388" s="26" t="s">
        <v>42</v>
      </c>
      <c r="J1388" s="25" t="str">
        <f t="shared" si="31"/>
        <v>No</v>
      </c>
      <c r="K1388" s="25" t="str">
        <f t="shared" si="32"/>
        <v/>
      </c>
      <c r="L1388" s="25" t="str">
        <f t="shared" si="33"/>
        <v/>
      </c>
      <c r="M1388" s="25"/>
      <c r="O1388" s="25"/>
    </row>
    <row r="1389" ht="15.75" customHeight="1">
      <c r="A1389" s="25" t="str">
        <f>IFERROR(__xludf.DUMMYFUNCTION("IF(B1389="""","""",RIGHT(REGEXREPLACE(B1389&amp;"""",""[^0-9]"",""""),9))"),"703499723")</f>
        <v>703499723</v>
      </c>
      <c r="B1389" s="52">
        <v>7.03499723E8</v>
      </c>
      <c r="C1389" s="28" t="s">
        <v>1615</v>
      </c>
      <c r="D1389" s="26" t="s">
        <v>45</v>
      </c>
      <c r="E1389" s="31">
        <v>46228.0</v>
      </c>
      <c r="F1389" s="26" t="s">
        <v>659</v>
      </c>
      <c r="G1389" s="26">
        <v>11.0</v>
      </c>
      <c r="I1389" s="26" t="s">
        <v>42</v>
      </c>
      <c r="J1389" s="25" t="str">
        <f t="shared" si="31"/>
        <v>No</v>
      </c>
      <c r="K1389" s="25" t="str">
        <f t="shared" si="32"/>
        <v/>
      </c>
      <c r="L1389" s="25" t="str">
        <f t="shared" si="33"/>
        <v/>
      </c>
      <c r="M1389" s="25"/>
      <c r="O1389" s="25"/>
    </row>
    <row r="1390" ht="15.75" customHeight="1">
      <c r="A1390" s="25" t="str">
        <f>IFERROR(__xludf.DUMMYFUNCTION("IF(B1390="""","""",RIGHT(REGEXREPLACE(B1390&amp;"""",""[^0-9]"",""""),9))"),"719167164")</f>
        <v>719167164</v>
      </c>
      <c r="B1390" s="52">
        <v>7.19167164E8</v>
      </c>
      <c r="C1390" s="28" t="s">
        <v>1616</v>
      </c>
      <c r="D1390" s="26" t="s">
        <v>45</v>
      </c>
      <c r="E1390" s="31">
        <v>46228.0</v>
      </c>
      <c r="F1390" s="26" t="s">
        <v>46</v>
      </c>
      <c r="G1390" s="26">
        <v>11.0</v>
      </c>
      <c r="I1390" s="26" t="s">
        <v>42</v>
      </c>
      <c r="J1390" s="25" t="str">
        <f t="shared" si="31"/>
        <v>No</v>
      </c>
      <c r="K1390" s="25" t="str">
        <f t="shared" si="32"/>
        <v/>
      </c>
      <c r="L1390" s="25" t="str">
        <f t="shared" si="33"/>
        <v/>
      </c>
      <c r="M1390" s="25"/>
      <c r="O1390" s="25"/>
    </row>
    <row r="1391" ht="15.75" customHeight="1">
      <c r="A1391" s="25" t="str">
        <f>IFERROR(__xludf.DUMMYFUNCTION("IF(B1391="""","""",RIGHT(REGEXREPLACE(B1391&amp;"""",""[^0-9]"",""""),9))"),"760686093")</f>
        <v>760686093</v>
      </c>
      <c r="B1391" s="52">
        <v>7.60686093E8</v>
      </c>
      <c r="C1391" s="28" t="s">
        <v>1617</v>
      </c>
      <c r="D1391" s="26" t="s">
        <v>82</v>
      </c>
      <c r="E1391" s="31">
        <v>46228.0</v>
      </c>
      <c r="F1391" s="26" t="s">
        <v>41</v>
      </c>
      <c r="I1391" s="26" t="s">
        <v>42</v>
      </c>
      <c r="J1391" s="25" t="str">
        <f t="shared" si="31"/>
        <v>No</v>
      </c>
      <c r="K1391" s="25" t="str">
        <f t="shared" si="32"/>
        <v/>
      </c>
      <c r="L1391" s="25" t="str">
        <f t="shared" si="33"/>
        <v/>
      </c>
      <c r="M1391" s="25"/>
      <c r="O1391" s="25"/>
    </row>
    <row r="1392" ht="15.75" customHeight="1">
      <c r="A1392" s="25" t="str">
        <f>IFERROR(__xludf.DUMMYFUNCTION("IF(B1392="""","""",RIGHT(REGEXREPLACE(B1392&amp;"""",""[^0-9]"",""""),9))"),"763593183")</f>
        <v>763593183</v>
      </c>
      <c r="B1392" s="52">
        <v>7.63593183E8</v>
      </c>
      <c r="C1392" s="28" t="s">
        <v>1618</v>
      </c>
      <c r="D1392" s="26" t="s">
        <v>49</v>
      </c>
      <c r="E1392" s="31">
        <v>46228.0</v>
      </c>
      <c r="F1392" s="26" t="s">
        <v>205</v>
      </c>
      <c r="G1392" s="26">
        <v>11.0</v>
      </c>
      <c r="I1392" s="26" t="s">
        <v>42</v>
      </c>
      <c r="J1392" s="25" t="str">
        <f t="shared" si="31"/>
        <v>No</v>
      </c>
      <c r="K1392" s="25" t="str">
        <f t="shared" si="32"/>
        <v/>
      </c>
      <c r="L1392" s="25" t="str">
        <f t="shared" si="33"/>
        <v/>
      </c>
      <c r="M1392" s="25"/>
      <c r="O1392" s="25"/>
    </row>
    <row r="1393" ht="15.75" customHeight="1">
      <c r="A1393" s="25" t="str">
        <f>IFERROR(__xludf.DUMMYFUNCTION("IF(B1393="""","""",RIGHT(REGEXREPLACE(B1393&amp;"""",""[^0-9]"",""""),9))"),"710776796")</f>
        <v>710776796</v>
      </c>
      <c r="B1393" s="52">
        <v>7.10776796E8</v>
      </c>
      <c r="C1393" s="28" t="s">
        <v>1619</v>
      </c>
      <c r="D1393" s="26" t="s">
        <v>45</v>
      </c>
      <c r="E1393" s="31">
        <v>46228.0</v>
      </c>
      <c r="F1393" s="26" t="s">
        <v>41</v>
      </c>
      <c r="I1393" s="26" t="s">
        <v>42</v>
      </c>
      <c r="J1393" s="25" t="str">
        <f t="shared" si="31"/>
        <v>No</v>
      </c>
      <c r="K1393" s="25" t="str">
        <f t="shared" si="32"/>
        <v/>
      </c>
      <c r="L1393" s="25" t="str">
        <f t="shared" si="33"/>
        <v/>
      </c>
      <c r="M1393" s="25"/>
      <c r="O1393" s="25"/>
    </row>
    <row r="1394" ht="15.75" customHeight="1">
      <c r="A1394" s="25" t="str">
        <f>IFERROR(__xludf.DUMMYFUNCTION("IF(B1394="""","""",RIGHT(REGEXREPLACE(B1394&amp;"""",""[^0-9]"",""""),9))"),"740669379")</f>
        <v>740669379</v>
      </c>
      <c r="B1394" s="52">
        <v>7.40669379E8</v>
      </c>
      <c r="C1394" s="28" t="s">
        <v>1620</v>
      </c>
      <c r="D1394" s="26" t="s">
        <v>82</v>
      </c>
      <c r="E1394" s="31">
        <v>46228.0</v>
      </c>
      <c r="F1394" s="26" t="s">
        <v>46</v>
      </c>
      <c r="G1394" s="26">
        <v>11.0</v>
      </c>
      <c r="I1394" s="26" t="s">
        <v>42</v>
      </c>
      <c r="J1394" s="25" t="str">
        <f t="shared" si="31"/>
        <v>No</v>
      </c>
      <c r="K1394" s="25" t="str">
        <f t="shared" si="32"/>
        <v/>
      </c>
      <c r="L1394" s="25" t="str">
        <f t="shared" si="33"/>
        <v/>
      </c>
      <c r="M1394" s="25"/>
      <c r="O1394" s="25"/>
    </row>
    <row r="1395" ht="15.75" customHeight="1">
      <c r="A1395" s="25" t="str">
        <f>IFERROR(__xludf.DUMMYFUNCTION("IF(B1395="""","""",RIGHT(REGEXREPLACE(B1395&amp;"""",""[^0-9]"",""""),9))"),"702249144")</f>
        <v>702249144</v>
      </c>
      <c r="B1395" s="52">
        <v>7.02249144E8</v>
      </c>
      <c r="C1395" s="28" t="s">
        <v>1621</v>
      </c>
      <c r="D1395" s="26" t="s">
        <v>56</v>
      </c>
      <c r="E1395" s="31">
        <v>46228.0</v>
      </c>
      <c r="F1395" s="26" t="s">
        <v>164</v>
      </c>
      <c r="G1395" s="26">
        <v>11.0</v>
      </c>
      <c r="I1395" s="26" t="s">
        <v>42</v>
      </c>
      <c r="J1395" s="25" t="str">
        <f t="shared" si="31"/>
        <v>No</v>
      </c>
      <c r="K1395" s="25" t="str">
        <f t="shared" si="32"/>
        <v/>
      </c>
      <c r="L1395" s="25" t="str">
        <f t="shared" si="33"/>
        <v/>
      </c>
      <c r="M1395" s="25"/>
      <c r="O1395" s="25"/>
    </row>
    <row r="1396" ht="15.75" customHeight="1">
      <c r="A1396" s="25" t="str">
        <f>IFERROR(__xludf.DUMMYFUNCTION("IF(B1396="""","""",RIGHT(REGEXREPLACE(B1396&amp;"""",""[^0-9]"",""""),9))"),"764327766")</f>
        <v>764327766</v>
      </c>
      <c r="B1396" s="52">
        <v>7.64327766E8</v>
      </c>
      <c r="C1396" s="28" t="s">
        <v>1622</v>
      </c>
      <c r="D1396" s="26" t="s">
        <v>49</v>
      </c>
      <c r="E1396" s="31">
        <v>46228.0</v>
      </c>
      <c r="F1396" s="26" t="s">
        <v>41</v>
      </c>
      <c r="G1396" s="26">
        <v>11.0</v>
      </c>
      <c r="I1396" s="26" t="s">
        <v>42</v>
      </c>
      <c r="J1396" s="25" t="str">
        <f t="shared" si="31"/>
        <v>No</v>
      </c>
      <c r="K1396" s="25" t="str">
        <f t="shared" si="32"/>
        <v/>
      </c>
      <c r="L1396" s="25" t="str">
        <f t="shared" si="33"/>
        <v/>
      </c>
      <c r="M1396" s="25"/>
      <c r="O1396" s="25"/>
    </row>
    <row r="1397" ht="15.75" customHeight="1">
      <c r="A1397" s="25" t="str">
        <f>IFERROR(__xludf.DUMMYFUNCTION("IF(B1397="""","""",RIGHT(REGEXREPLACE(B1397&amp;"""",""[^0-9]"",""""),9))"),"711619833")</f>
        <v>711619833</v>
      </c>
      <c r="B1397" s="52">
        <v>7.11619833E8</v>
      </c>
      <c r="C1397" s="28" t="s">
        <v>1623</v>
      </c>
      <c r="D1397" s="26" t="s">
        <v>45</v>
      </c>
      <c r="E1397" s="31">
        <v>46228.0</v>
      </c>
      <c r="F1397" s="26" t="s">
        <v>46</v>
      </c>
      <c r="G1397" s="26">
        <v>11.0</v>
      </c>
      <c r="I1397" s="26" t="s">
        <v>42</v>
      </c>
      <c r="J1397" s="25" t="str">
        <f t="shared" si="31"/>
        <v>No</v>
      </c>
      <c r="K1397" s="25" t="str">
        <f t="shared" si="32"/>
        <v/>
      </c>
      <c r="L1397" s="25" t="str">
        <f t="shared" si="33"/>
        <v/>
      </c>
      <c r="M1397" s="25"/>
      <c r="O1397" s="25"/>
    </row>
    <row r="1398" ht="15.75" customHeight="1">
      <c r="A1398" s="25" t="str">
        <f>IFERROR(__xludf.DUMMYFUNCTION("IF(B1398="""","""",RIGHT(REGEXREPLACE(B1398&amp;"""",""[^0-9]"",""""),9))"),"773983064")</f>
        <v>773983064</v>
      </c>
      <c r="B1398" s="52">
        <v>7.73983064E8</v>
      </c>
      <c r="C1398" s="28" t="s">
        <v>1624</v>
      </c>
      <c r="D1398" s="26" t="s">
        <v>56</v>
      </c>
      <c r="E1398" s="31">
        <v>46228.0</v>
      </c>
      <c r="F1398" s="26" t="s">
        <v>631</v>
      </c>
      <c r="G1398" s="26">
        <v>9.0</v>
      </c>
      <c r="I1398" s="26" t="s">
        <v>42</v>
      </c>
      <c r="J1398" s="25" t="str">
        <f t="shared" si="31"/>
        <v>No</v>
      </c>
      <c r="K1398" s="25" t="str">
        <f t="shared" si="32"/>
        <v/>
      </c>
      <c r="L1398" s="25" t="str">
        <f t="shared" si="33"/>
        <v/>
      </c>
      <c r="M1398" s="25"/>
      <c r="O1398" s="26" t="s">
        <v>51</v>
      </c>
    </row>
    <row r="1399" ht="15.75" customHeight="1">
      <c r="A1399" s="25" t="str">
        <f>IFERROR(__xludf.DUMMYFUNCTION("IF(B1399="""","""",RIGHT(REGEXREPLACE(B1399&amp;"""",""[^0-9]"",""""),9))"),"785947772")</f>
        <v>785947772</v>
      </c>
      <c r="B1399" s="26">
        <v>7.85947772E8</v>
      </c>
      <c r="C1399" s="28" t="s">
        <v>1625</v>
      </c>
      <c r="D1399" s="26" t="s">
        <v>37</v>
      </c>
      <c r="E1399" s="31">
        <v>46228.0</v>
      </c>
      <c r="F1399" s="26" t="s">
        <v>41</v>
      </c>
      <c r="I1399" s="26" t="s">
        <v>42</v>
      </c>
      <c r="J1399" s="25" t="str">
        <f t="shared" si="31"/>
        <v>No</v>
      </c>
      <c r="K1399" s="25" t="str">
        <f t="shared" si="32"/>
        <v/>
      </c>
      <c r="L1399" s="25" t="str">
        <f t="shared" si="33"/>
        <v/>
      </c>
      <c r="M1399" s="25"/>
      <c r="O1399" s="25"/>
    </row>
    <row r="1400" ht="15.75" customHeight="1">
      <c r="A1400" s="25" t="str">
        <f>IFERROR(__xludf.DUMMYFUNCTION("IF(B1400="""","""",RIGHT(REGEXREPLACE(B1400&amp;"""",""[^0-9]"",""""),9))"),"762281887")</f>
        <v>762281887</v>
      </c>
      <c r="B1400" s="52">
        <v>7.62281887E8</v>
      </c>
      <c r="C1400" s="28" t="s">
        <v>1626</v>
      </c>
      <c r="D1400" s="26" t="s">
        <v>82</v>
      </c>
      <c r="E1400" s="31">
        <v>46228.0</v>
      </c>
      <c r="F1400" s="26" t="s">
        <v>46</v>
      </c>
      <c r="G1400" s="26">
        <v>11.0</v>
      </c>
      <c r="I1400" s="26" t="s">
        <v>42</v>
      </c>
      <c r="J1400" s="25" t="str">
        <f t="shared" si="31"/>
        <v>No</v>
      </c>
      <c r="K1400" s="25" t="str">
        <f t="shared" si="32"/>
        <v/>
      </c>
      <c r="L1400" s="25" t="str">
        <f t="shared" si="33"/>
        <v/>
      </c>
      <c r="M1400" s="25"/>
      <c r="O1400" s="25"/>
    </row>
    <row r="1401" ht="15.75" customHeight="1">
      <c r="A1401" s="25" t="str">
        <f>IFERROR(__xludf.DUMMYFUNCTION("IF(B1401="""","""",RIGHT(REGEXREPLACE(B1401&amp;"""",""[^0-9]"",""""),9))"),"779958978")</f>
        <v>779958978</v>
      </c>
      <c r="B1401" s="52">
        <v>7.79958978E8</v>
      </c>
      <c r="C1401" s="28" t="s">
        <v>1627</v>
      </c>
      <c r="D1401" s="26" t="s">
        <v>49</v>
      </c>
      <c r="E1401" s="31">
        <v>46228.0</v>
      </c>
      <c r="F1401" s="26" t="s">
        <v>46</v>
      </c>
      <c r="G1401" s="26">
        <v>11.0</v>
      </c>
      <c r="I1401" s="26" t="s">
        <v>42</v>
      </c>
      <c r="J1401" s="25" t="str">
        <f t="shared" si="31"/>
        <v>No</v>
      </c>
      <c r="K1401" s="25" t="str">
        <f t="shared" si="32"/>
        <v/>
      </c>
      <c r="L1401" s="25" t="str">
        <f t="shared" si="33"/>
        <v/>
      </c>
      <c r="M1401" s="25"/>
      <c r="O1401" s="25"/>
    </row>
    <row r="1402" ht="15.75" customHeight="1">
      <c r="A1402" s="25" t="str">
        <f>IFERROR(__xludf.DUMMYFUNCTION("IF(B1402="""","""",RIGHT(REGEXREPLACE(B1402&amp;"""",""[^0-9]"",""""),9))"),"702831331")</f>
        <v>702831331</v>
      </c>
      <c r="B1402" s="52">
        <v>7.02831331E8</v>
      </c>
      <c r="C1402" s="28" t="s">
        <v>1628</v>
      </c>
      <c r="D1402" s="26" t="s">
        <v>45</v>
      </c>
      <c r="E1402" s="31">
        <v>46228.0</v>
      </c>
      <c r="F1402" s="26" t="s">
        <v>41</v>
      </c>
      <c r="G1402" s="26">
        <v>10.0</v>
      </c>
      <c r="I1402" s="26" t="s">
        <v>42</v>
      </c>
      <c r="J1402" s="25" t="str">
        <f t="shared" si="31"/>
        <v>No</v>
      </c>
      <c r="K1402" s="25" t="str">
        <f t="shared" si="32"/>
        <v/>
      </c>
      <c r="L1402" s="25" t="str">
        <f t="shared" si="33"/>
        <v/>
      </c>
      <c r="M1402" s="25"/>
      <c r="O1402" s="25"/>
    </row>
    <row r="1403" ht="15.75" customHeight="1">
      <c r="A1403" s="25" t="str">
        <f>IFERROR(__xludf.DUMMYFUNCTION("IF(B1403="""","""",RIGHT(REGEXREPLACE(B1403&amp;"""",""[^0-9]"",""""),9))"),"702605363")</f>
        <v>702605363</v>
      </c>
      <c r="B1403" s="52">
        <v>7.02605363E8</v>
      </c>
      <c r="C1403" s="28" t="s">
        <v>1629</v>
      </c>
      <c r="D1403" s="26" t="s">
        <v>49</v>
      </c>
      <c r="E1403" s="31">
        <v>46228.0</v>
      </c>
      <c r="F1403" s="26" t="s">
        <v>46</v>
      </c>
      <c r="G1403" s="26">
        <v>11.0</v>
      </c>
      <c r="I1403" s="26" t="s">
        <v>42</v>
      </c>
      <c r="J1403" s="25" t="str">
        <f t="shared" si="31"/>
        <v>No</v>
      </c>
      <c r="K1403" s="25" t="str">
        <f t="shared" si="32"/>
        <v/>
      </c>
      <c r="L1403" s="25" t="str">
        <f t="shared" si="33"/>
        <v/>
      </c>
      <c r="M1403" s="25"/>
      <c r="O1403" s="25"/>
    </row>
    <row r="1404" ht="15.75" customHeight="1">
      <c r="A1404" s="25" t="str">
        <f>IFERROR(__xludf.DUMMYFUNCTION("IF(B1404="""","""",RIGHT(REGEXREPLACE(B1404&amp;"""",""[^0-9]"",""""),9))"),"772245715")</f>
        <v>772245715</v>
      </c>
      <c r="B1404" s="52">
        <v>7.72245715E8</v>
      </c>
      <c r="C1404" s="28" t="s">
        <v>835</v>
      </c>
      <c r="D1404" s="26" t="s">
        <v>82</v>
      </c>
      <c r="E1404" s="31">
        <v>46228.0</v>
      </c>
      <c r="F1404" s="26" t="s">
        <v>46</v>
      </c>
      <c r="G1404" s="26">
        <v>10.0</v>
      </c>
      <c r="I1404" s="26" t="s">
        <v>42</v>
      </c>
      <c r="J1404" s="25" t="str">
        <f t="shared" si="31"/>
        <v>Yes - see Previous F-Code</v>
      </c>
      <c r="K1404" s="25" t="str">
        <f t="shared" si="32"/>
        <v>DUPLICATE - CHECK</v>
      </c>
      <c r="L1404" s="25" t="str">
        <f t="shared" si="33"/>
        <v>F70610</v>
      </c>
      <c r="M1404" s="25"/>
      <c r="O1404" s="25"/>
    </row>
    <row r="1405" ht="15.75" customHeight="1">
      <c r="A1405" s="25" t="str">
        <f>IFERROR(__xludf.DUMMYFUNCTION("IF(B1405="""","""",RIGHT(REGEXREPLACE(B1405&amp;"""",""[^0-9]"",""""),9))"),"705908876")</f>
        <v>705908876</v>
      </c>
      <c r="B1405" s="52">
        <v>7.05908876E8</v>
      </c>
      <c r="C1405" s="28" t="s">
        <v>1630</v>
      </c>
      <c r="D1405" s="26" t="s">
        <v>45</v>
      </c>
      <c r="E1405" s="31">
        <v>46228.0</v>
      </c>
      <c r="F1405" s="26" t="s">
        <v>41</v>
      </c>
      <c r="G1405" s="26">
        <v>11.0</v>
      </c>
      <c r="I1405" s="26" t="s">
        <v>42</v>
      </c>
      <c r="J1405" s="25" t="str">
        <f t="shared" si="31"/>
        <v>No</v>
      </c>
      <c r="K1405" s="25" t="str">
        <f t="shared" si="32"/>
        <v/>
      </c>
      <c r="L1405" s="25" t="str">
        <f t="shared" si="33"/>
        <v/>
      </c>
      <c r="M1405" s="25"/>
      <c r="O1405" s="25"/>
    </row>
    <row r="1406" ht="15.75" customHeight="1">
      <c r="A1406" s="25" t="str">
        <f>IFERROR(__xludf.DUMMYFUNCTION("IF(B1406="""","""",RIGHT(REGEXREPLACE(B1406&amp;"""",""[^0-9]"",""""),9))"),"775804749")</f>
        <v>775804749</v>
      </c>
      <c r="B1406" s="52">
        <v>7.75804749E8</v>
      </c>
      <c r="C1406" s="28" t="s">
        <v>1631</v>
      </c>
      <c r="D1406" s="26" t="s">
        <v>56</v>
      </c>
      <c r="E1406" s="31">
        <v>46228.0</v>
      </c>
      <c r="F1406" s="26" t="s">
        <v>205</v>
      </c>
      <c r="G1406" s="26">
        <v>10.0</v>
      </c>
      <c r="I1406" s="26" t="s">
        <v>42</v>
      </c>
      <c r="J1406" s="25" t="str">
        <f t="shared" si="31"/>
        <v>No</v>
      </c>
      <c r="K1406" s="25" t="str">
        <f t="shared" si="32"/>
        <v/>
      </c>
      <c r="L1406" s="25" t="str">
        <f t="shared" si="33"/>
        <v/>
      </c>
      <c r="M1406" s="25"/>
      <c r="O1406" s="25"/>
    </row>
    <row r="1407" ht="15.75" customHeight="1">
      <c r="A1407" s="25" t="str">
        <f>IFERROR(__xludf.DUMMYFUNCTION("IF(B1407="""","""",RIGHT(REGEXREPLACE(B1407&amp;"""",""[^0-9]"",""""),9))"),"763729067")</f>
        <v>763729067</v>
      </c>
      <c r="B1407" s="52">
        <v>7.63729067E8</v>
      </c>
      <c r="C1407" s="28" t="s">
        <v>1632</v>
      </c>
      <c r="D1407" s="26" t="s">
        <v>82</v>
      </c>
      <c r="E1407" s="31">
        <v>46228.0</v>
      </c>
      <c r="F1407" s="26" t="s">
        <v>46</v>
      </c>
      <c r="G1407" s="26">
        <v>11.0</v>
      </c>
      <c r="I1407" s="26" t="s">
        <v>42</v>
      </c>
      <c r="J1407" s="25" t="str">
        <f t="shared" si="31"/>
        <v>No</v>
      </c>
      <c r="K1407" s="25" t="str">
        <f t="shared" si="32"/>
        <v/>
      </c>
      <c r="L1407" s="25" t="str">
        <f t="shared" si="33"/>
        <v/>
      </c>
      <c r="M1407" s="25"/>
      <c r="O1407" s="25"/>
    </row>
    <row r="1408" ht="15.75" customHeight="1">
      <c r="A1408" s="25" t="str">
        <f>IFERROR(__xludf.DUMMYFUNCTION("IF(B1408="""","""",RIGHT(REGEXREPLACE(B1408&amp;"""",""[^0-9]"",""""),9))"),"767035512")</f>
        <v>767035512</v>
      </c>
      <c r="B1408" s="52">
        <v>7.67035512E8</v>
      </c>
      <c r="C1408" s="28" t="s">
        <v>1633</v>
      </c>
      <c r="D1408" s="26" t="s">
        <v>56</v>
      </c>
      <c r="E1408" s="31">
        <v>46228.0</v>
      </c>
      <c r="F1408" s="26" t="s">
        <v>41</v>
      </c>
      <c r="G1408" s="26">
        <v>11.0</v>
      </c>
      <c r="I1408" s="26" t="s">
        <v>42</v>
      </c>
      <c r="J1408" s="25" t="str">
        <f t="shared" si="31"/>
        <v>No</v>
      </c>
      <c r="K1408" s="25" t="str">
        <f t="shared" si="32"/>
        <v/>
      </c>
      <c r="L1408" s="25" t="str">
        <f t="shared" si="33"/>
        <v/>
      </c>
      <c r="M1408" s="25"/>
      <c r="O1408" s="25"/>
    </row>
    <row r="1409" ht="15.75" customHeight="1">
      <c r="A1409" s="25" t="str">
        <f>IFERROR(__xludf.DUMMYFUNCTION("IF(B1409="""","""",RIGHT(REGEXREPLACE(B1409&amp;"""",""[^0-9]"",""""),9))"),"763971813")</f>
        <v>763971813</v>
      </c>
      <c r="B1409" s="52">
        <v>7.63971813E8</v>
      </c>
      <c r="C1409" s="28" t="s">
        <v>1634</v>
      </c>
      <c r="D1409" s="26" t="s">
        <v>45</v>
      </c>
      <c r="E1409" s="31">
        <v>46228.0</v>
      </c>
      <c r="F1409" s="26" t="s">
        <v>205</v>
      </c>
      <c r="I1409" s="26" t="s">
        <v>42</v>
      </c>
      <c r="J1409" s="25" t="str">
        <f t="shared" si="31"/>
        <v>No</v>
      </c>
      <c r="K1409" s="25" t="str">
        <f t="shared" si="32"/>
        <v/>
      </c>
      <c r="L1409" s="25" t="str">
        <f t="shared" si="33"/>
        <v/>
      </c>
      <c r="M1409" s="25"/>
      <c r="O1409" s="25"/>
    </row>
    <row r="1410" ht="15.75" customHeight="1">
      <c r="A1410" s="25" t="str">
        <f>IFERROR(__xludf.DUMMYFUNCTION("IF(B1410="""","""",RIGHT(REGEXREPLACE(B1410&amp;"""",""[^0-9]"",""""),9))"),"777498353")</f>
        <v>777498353</v>
      </c>
      <c r="B1410" s="52">
        <v>7.77498353E8</v>
      </c>
      <c r="C1410" s="28" t="s">
        <v>1635</v>
      </c>
      <c r="D1410" s="26" t="s">
        <v>49</v>
      </c>
      <c r="E1410" s="31">
        <v>46228.0</v>
      </c>
      <c r="F1410" s="26" t="s">
        <v>46</v>
      </c>
      <c r="G1410" s="26">
        <v>11.0</v>
      </c>
      <c r="I1410" s="26" t="s">
        <v>42</v>
      </c>
      <c r="J1410" s="25" t="str">
        <f t="shared" si="31"/>
        <v>No</v>
      </c>
      <c r="K1410" s="25" t="str">
        <f t="shared" si="32"/>
        <v/>
      </c>
      <c r="L1410" s="25" t="str">
        <f t="shared" si="33"/>
        <v/>
      </c>
      <c r="M1410" s="25"/>
      <c r="O1410" s="25"/>
    </row>
    <row r="1411" ht="15.75" customHeight="1">
      <c r="A1411" s="25" t="str">
        <f>IFERROR(__xludf.DUMMYFUNCTION("IF(B1411="""","""",RIGHT(REGEXREPLACE(B1411&amp;"""",""[^0-9]"",""""),9))"),"755135335")</f>
        <v>755135335</v>
      </c>
      <c r="B1411" s="52">
        <v>7.55135335E8</v>
      </c>
      <c r="C1411" s="28" t="s">
        <v>1636</v>
      </c>
      <c r="D1411" s="26" t="s">
        <v>45</v>
      </c>
      <c r="E1411" s="31">
        <v>46228.0</v>
      </c>
      <c r="F1411" s="26" t="s">
        <v>84</v>
      </c>
      <c r="G1411" s="26">
        <v>10.0</v>
      </c>
      <c r="I1411" s="26" t="s">
        <v>42</v>
      </c>
      <c r="J1411" s="25" t="str">
        <f t="shared" si="31"/>
        <v>No</v>
      </c>
      <c r="K1411" s="25" t="str">
        <f t="shared" si="32"/>
        <v/>
      </c>
      <c r="L1411" s="25" t="str">
        <f t="shared" si="33"/>
        <v/>
      </c>
      <c r="M1411" s="25"/>
      <c r="O1411" s="25"/>
    </row>
    <row r="1412" ht="15.75" customHeight="1">
      <c r="A1412" s="25" t="str">
        <f>IFERROR(__xludf.DUMMYFUNCTION("IF(B1412="""","""",RIGHT(REGEXREPLACE(B1412&amp;"""",""[^0-9]"",""""),9))"),"769979482")</f>
        <v>769979482</v>
      </c>
      <c r="B1412" s="52">
        <v>7.69979482E8</v>
      </c>
      <c r="C1412" s="28" t="s">
        <v>1637</v>
      </c>
      <c r="D1412" s="26" t="s">
        <v>82</v>
      </c>
      <c r="E1412" s="31">
        <v>46228.0</v>
      </c>
      <c r="F1412" s="26" t="s">
        <v>84</v>
      </c>
      <c r="I1412" s="26" t="s">
        <v>42</v>
      </c>
      <c r="J1412" s="25" t="str">
        <f t="shared" si="31"/>
        <v>No</v>
      </c>
      <c r="K1412" s="25" t="str">
        <f t="shared" si="32"/>
        <v/>
      </c>
      <c r="L1412" s="25" t="str">
        <f t="shared" si="33"/>
        <v/>
      </c>
      <c r="M1412" s="25"/>
      <c r="O1412" s="25"/>
    </row>
    <row r="1413" ht="15.75" customHeight="1">
      <c r="A1413" s="25" t="str">
        <f>IFERROR(__xludf.DUMMYFUNCTION("IF(B1413="""","""",RIGHT(REGEXREPLACE(B1413&amp;"""",""[^0-9]"",""""),9))"),"763540731")</f>
        <v>763540731</v>
      </c>
      <c r="B1413" s="52">
        <v>7.63540731E8</v>
      </c>
      <c r="C1413" s="28" t="s">
        <v>1638</v>
      </c>
      <c r="D1413" s="26" t="s">
        <v>56</v>
      </c>
      <c r="E1413" s="31">
        <v>46228.0</v>
      </c>
      <c r="F1413" s="26" t="s">
        <v>46</v>
      </c>
      <c r="G1413" s="26">
        <v>11.0</v>
      </c>
      <c r="I1413" s="26" t="s">
        <v>42</v>
      </c>
      <c r="J1413" s="25" t="str">
        <f t="shared" si="31"/>
        <v>No</v>
      </c>
      <c r="K1413" s="25" t="str">
        <f t="shared" si="32"/>
        <v/>
      </c>
      <c r="L1413" s="25" t="str">
        <f t="shared" si="33"/>
        <v/>
      </c>
      <c r="M1413" s="25"/>
      <c r="O1413" s="25"/>
    </row>
    <row r="1414" ht="15.75" customHeight="1">
      <c r="A1414" s="25" t="str">
        <f>IFERROR(__xludf.DUMMYFUNCTION("IF(B1414="""","""",RIGHT(REGEXREPLACE(B1414&amp;"""",""[^0-9]"",""""),9))"),"723133154")</f>
        <v>723133154</v>
      </c>
      <c r="B1414" s="52">
        <v>7.23133154E8</v>
      </c>
      <c r="C1414" s="28" t="s">
        <v>1639</v>
      </c>
      <c r="D1414" s="26" t="s">
        <v>49</v>
      </c>
      <c r="E1414" s="31">
        <v>46228.0</v>
      </c>
      <c r="F1414" s="26" t="s">
        <v>46</v>
      </c>
      <c r="G1414" s="26">
        <v>11.0</v>
      </c>
      <c r="I1414" s="26" t="s">
        <v>42</v>
      </c>
      <c r="J1414" s="25" t="str">
        <f t="shared" si="31"/>
        <v>No</v>
      </c>
      <c r="K1414" s="25" t="str">
        <f t="shared" si="32"/>
        <v/>
      </c>
      <c r="L1414" s="25" t="str">
        <f t="shared" si="33"/>
        <v/>
      </c>
      <c r="M1414" s="25"/>
      <c r="O1414" s="25"/>
    </row>
    <row r="1415" ht="15.75" customHeight="1">
      <c r="A1415" s="25" t="str">
        <f>IFERROR(__xludf.DUMMYFUNCTION("IF(B1415="""","""",RIGHT(REGEXREPLACE(B1415&amp;"""",""[^0-9]"",""""),9))"),"774943931")</f>
        <v>774943931</v>
      </c>
      <c r="B1415" s="52">
        <v>7.74943931E8</v>
      </c>
      <c r="C1415" s="28" t="s">
        <v>1461</v>
      </c>
      <c r="D1415" s="26" t="s">
        <v>82</v>
      </c>
      <c r="E1415" s="31">
        <v>46228.0</v>
      </c>
      <c r="F1415" s="26" t="s">
        <v>46</v>
      </c>
      <c r="G1415" s="26">
        <v>11.0</v>
      </c>
      <c r="I1415" s="26" t="s">
        <v>42</v>
      </c>
      <c r="J1415" s="25" t="str">
        <f t="shared" si="31"/>
        <v>No</v>
      </c>
      <c r="K1415" s="25" t="str">
        <f t="shared" si="32"/>
        <v/>
      </c>
      <c r="L1415" s="25" t="str">
        <f t="shared" si="33"/>
        <v/>
      </c>
      <c r="M1415" s="25"/>
      <c r="O1415" s="25"/>
    </row>
    <row r="1416" ht="15.75" customHeight="1">
      <c r="A1416" s="25" t="str">
        <f>IFERROR(__xludf.DUMMYFUNCTION("IF(B1416="""","""",RIGHT(REGEXREPLACE(B1416&amp;"""",""[^0-9]"",""""),9))"),"761298982")</f>
        <v>761298982</v>
      </c>
      <c r="B1416" s="52">
        <v>7.61298982E8</v>
      </c>
      <c r="C1416" s="28" t="s">
        <v>1640</v>
      </c>
      <c r="D1416" s="26" t="s">
        <v>45</v>
      </c>
      <c r="E1416" s="31">
        <v>46228.0</v>
      </c>
      <c r="F1416" s="26" t="s">
        <v>46</v>
      </c>
      <c r="G1416" s="26">
        <v>11.0</v>
      </c>
      <c r="I1416" s="26" t="s">
        <v>42</v>
      </c>
      <c r="J1416" s="25" t="str">
        <f t="shared" si="31"/>
        <v>No</v>
      </c>
      <c r="K1416" s="25" t="str">
        <f t="shared" si="32"/>
        <v/>
      </c>
      <c r="L1416" s="25" t="str">
        <f t="shared" si="33"/>
        <v/>
      </c>
      <c r="M1416" s="25"/>
      <c r="O1416" s="25"/>
    </row>
    <row r="1417" ht="15.75" customHeight="1">
      <c r="A1417" s="25" t="str">
        <f>IFERROR(__xludf.DUMMYFUNCTION("IF(B1417="""","""",RIGHT(REGEXREPLACE(B1417&amp;"""",""[^0-9]"",""""),9))"),"719473081")</f>
        <v>719473081</v>
      </c>
      <c r="B1417" s="52">
        <v>7.19473081E8</v>
      </c>
      <c r="C1417" s="28" t="s">
        <v>1641</v>
      </c>
      <c r="D1417" s="26" t="s">
        <v>56</v>
      </c>
      <c r="E1417" s="31">
        <v>46228.0</v>
      </c>
      <c r="F1417" s="26" t="s">
        <v>46</v>
      </c>
      <c r="G1417" s="26">
        <v>11.0</v>
      </c>
      <c r="I1417" s="26" t="s">
        <v>42</v>
      </c>
      <c r="J1417" s="25" t="str">
        <f t="shared" si="31"/>
        <v>No</v>
      </c>
      <c r="K1417" s="25" t="str">
        <f t="shared" si="32"/>
        <v/>
      </c>
      <c r="L1417" s="25" t="str">
        <f t="shared" si="33"/>
        <v/>
      </c>
      <c r="M1417" s="25"/>
      <c r="O1417" s="25"/>
    </row>
    <row r="1418" ht="15.75" customHeight="1">
      <c r="A1418" s="25" t="str">
        <f>IFERROR(__xludf.DUMMYFUNCTION("IF(B1418="""","""",RIGHT(REGEXREPLACE(B1418&amp;"""",""[^0-9]"",""""),9))"),"740177670")</f>
        <v>740177670</v>
      </c>
      <c r="B1418" s="52">
        <v>7.4017767E8</v>
      </c>
      <c r="C1418" s="28" t="s">
        <v>1642</v>
      </c>
      <c r="D1418" s="26" t="s">
        <v>49</v>
      </c>
      <c r="E1418" s="31">
        <v>46228.0</v>
      </c>
      <c r="F1418" s="26" t="s">
        <v>46</v>
      </c>
      <c r="G1418" s="26">
        <v>11.0</v>
      </c>
      <c r="I1418" s="26" t="s">
        <v>42</v>
      </c>
      <c r="J1418" s="25" t="str">
        <f t="shared" si="31"/>
        <v>No</v>
      </c>
      <c r="K1418" s="25" t="str">
        <f t="shared" si="32"/>
        <v/>
      </c>
      <c r="L1418" s="25" t="str">
        <f t="shared" si="33"/>
        <v/>
      </c>
      <c r="M1418" s="25"/>
      <c r="O1418" s="25"/>
    </row>
    <row r="1419" ht="15.75" customHeight="1">
      <c r="A1419" s="25" t="str">
        <f>IFERROR(__xludf.DUMMYFUNCTION("IF(B1419="""","""",RIGHT(REGEXREPLACE(B1419&amp;"""",""[^0-9]"",""""),9))"),"771893510")</f>
        <v>771893510</v>
      </c>
      <c r="B1419" s="26">
        <v>7.7189351E8</v>
      </c>
      <c r="C1419" s="28" t="s">
        <v>1643</v>
      </c>
      <c r="D1419" s="26" t="s">
        <v>45</v>
      </c>
      <c r="E1419" s="31">
        <v>46228.0</v>
      </c>
      <c r="F1419" s="26" t="s">
        <v>46</v>
      </c>
      <c r="G1419" s="26">
        <v>11.0</v>
      </c>
      <c r="I1419" s="26" t="s">
        <v>42</v>
      </c>
      <c r="J1419" s="25" t="str">
        <f t="shared" si="31"/>
        <v>No</v>
      </c>
      <c r="K1419" s="25" t="str">
        <f t="shared" si="32"/>
        <v/>
      </c>
      <c r="L1419" s="25" t="str">
        <f t="shared" si="33"/>
        <v/>
      </c>
      <c r="M1419" s="25"/>
      <c r="O1419" s="25"/>
    </row>
    <row r="1420" ht="15.75" customHeight="1">
      <c r="A1420" s="25" t="str">
        <f>IFERROR(__xludf.DUMMYFUNCTION("IF(B1420="""","""",RIGHT(REGEXREPLACE(B1420&amp;"""",""[^0-9]"",""""),9))"),"767569514")</f>
        <v>767569514</v>
      </c>
      <c r="B1420" s="52">
        <v>7.67569514E8</v>
      </c>
      <c r="C1420" s="28" t="s">
        <v>1644</v>
      </c>
      <c r="D1420" s="26" t="s">
        <v>56</v>
      </c>
      <c r="E1420" s="31">
        <v>46228.0</v>
      </c>
      <c r="F1420" s="26" t="s">
        <v>659</v>
      </c>
      <c r="I1420" s="26" t="s">
        <v>42</v>
      </c>
      <c r="J1420" s="25" t="str">
        <f t="shared" si="31"/>
        <v>No</v>
      </c>
      <c r="K1420" s="25" t="str">
        <f t="shared" si="32"/>
        <v/>
      </c>
      <c r="L1420" s="25" t="str">
        <f t="shared" si="33"/>
        <v/>
      </c>
      <c r="M1420" s="25"/>
      <c r="O1420" s="25"/>
    </row>
    <row r="1421" ht="15.75" customHeight="1">
      <c r="A1421" s="25" t="str">
        <f>IFERROR(__xludf.DUMMYFUNCTION("IF(B1421="""","""",RIGHT(REGEXREPLACE(B1421&amp;"""",""[^0-9]"",""""),9))"),"741413841")</f>
        <v>741413841</v>
      </c>
      <c r="B1421" s="52">
        <v>7.41413841E8</v>
      </c>
      <c r="C1421" s="28" t="s">
        <v>1645</v>
      </c>
      <c r="D1421" s="26" t="s">
        <v>49</v>
      </c>
      <c r="E1421" s="31">
        <v>46228.0</v>
      </c>
      <c r="F1421" s="26" t="s">
        <v>205</v>
      </c>
      <c r="G1421" s="26">
        <v>11.0</v>
      </c>
      <c r="I1421" s="26" t="s">
        <v>42</v>
      </c>
      <c r="J1421" s="25" t="str">
        <f t="shared" si="31"/>
        <v>No</v>
      </c>
      <c r="K1421" s="25" t="str">
        <f t="shared" si="32"/>
        <v/>
      </c>
      <c r="L1421" s="25" t="str">
        <f t="shared" si="33"/>
        <v/>
      </c>
      <c r="M1421" s="25"/>
      <c r="O1421" s="25"/>
    </row>
    <row r="1422" ht="15.75" customHeight="1">
      <c r="A1422" s="25" t="str">
        <f>IFERROR(__xludf.DUMMYFUNCTION("IF(B1422="""","""",RIGHT(REGEXREPLACE(B1422&amp;"""",""[^0-9]"",""""),9))"),"741293699")</f>
        <v>741293699</v>
      </c>
      <c r="B1422" s="52">
        <v>7.41293699E8</v>
      </c>
      <c r="C1422" s="28" t="s">
        <v>1646</v>
      </c>
      <c r="D1422" s="26" t="s">
        <v>82</v>
      </c>
      <c r="E1422" s="31">
        <v>46228.0</v>
      </c>
      <c r="F1422" s="26" t="s">
        <v>46</v>
      </c>
      <c r="G1422" s="26">
        <v>11.0</v>
      </c>
      <c r="I1422" s="26" t="s">
        <v>42</v>
      </c>
      <c r="J1422" s="25" t="str">
        <f t="shared" si="31"/>
        <v>No</v>
      </c>
      <c r="K1422" s="25" t="str">
        <f t="shared" si="32"/>
        <v/>
      </c>
      <c r="L1422" s="25" t="str">
        <f t="shared" si="33"/>
        <v/>
      </c>
      <c r="M1422" s="25"/>
      <c r="O1422" s="25"/>
    </row>
    <row r="1423" ht="15.75" customHeight="1">
      <c r="A1423" s="25" t="str">
        <f>IFERROR(__xludf.DUMMYFUNCTION("IF(B1423="""","""",RIGHT(REGEXREPLACE(B1423&amp;"""",""[^0-9]"",""""),9))"),"716206057")</f>
        <v>716206057</v>
      </c>
      <c r="B1423" s="52">
        <v>7.16206057E8</v>
      </c>
      <c r="C1423" s="28" t="s">
        <v>1647</v>
      </c>
      <c r="D1423" s="26" t="s">
        <v>56</v>
      </c>
      <c r="E1423" s="31">
        <v>46228.0</v>
      </c>
      <c r="F1423" s="26" t="s">
        <v>46</v>
      </c>
      <c r="G1423" s="26">
        <v>11.0</v>
      </c>
      <c r="H1423" s="26" t="s">
        <v>1648</v>
      </c>
      <c r="I1423" s="26" t="s">
        <v>42</v>
      </c>
      <c r="J1423" s="25" t="str">
        <f t="shared" si="31"/>
        <v>No</v>
      </c>
      <c r="K1423" s="25" t="str">
        <f t="shared" si="32"/>
        <v/>
      </c>
      <c r="L1423" s="25" t="str">
        <f t="shared" si="33"/>
        <v/>
      </c>
      <c r="M1423" s="25"/>
      <c r="O1423" s="25"/>
    </row>
    <row r="1424" ht="15.75" customHeight="1">
      <c r="A1424" s="25" t="str">
        <f>IFERROR(__xludf.DUMMYFUNCTION("IF(B1424="""","""",RIGHT(REGEXREPLACE(B1424&amp;"""",""[^0-9]"",""""),9))"),"769960434")</f>
        <v>769960434</v>
      </c>
      <c r="B1424" s="52">
        <v>7.69960434E8</v>
      </c>
      <c r="C1424" s="28" t="s">
        <v>1649</v>
      </c>
      <c r="D1424" s="26" t="s">
        <v>49</v>
      </c>
      <c r="E1424" s="31">
        <v>46228.0</v>
      </c>
      <c r="F1424" s="26" t="s">
        <v>46</v>
      </c>
      <c r="G1424" s="26">
        <v>11.0</v>
      </c>
      <c r="I1424" s="26" t="s">
        <v>42</v>
      </c>
      <c r="J1424" s="25" t="str">
        <f t="shared" si="31"/>
        <v>No</v>
      </c>
      <c r="K1424" s="25" t="str">
        <f t="shared" si="32"/>
        <v/>
      </c>
      <c r="L1424" s="25" t="str">
        <f t="shared" si="33"/>
        <v/>
      </c>
      <c r="M1424" s="25"/>
      <c r="O1424" s="25"/>
    </row>
    <row r="1425" ht="15.75" customHeight="1">
      <c r="A1425" s="25" t="str">
        <f>IFERROR(__xludf.DUMMYFUNCTION("IF(B1425="""","""",RIGHT(REGEXREPLACE(B1425&amp;"""",""[^0-9]"",""""),9))"),"763735820")</f>
        <v>763735820</v>
      </c>
      <c r="B1425" s="52">
        <v>7.6373582E8</v>
      </c>
      <c r="C1425" s="28" t="s">
        <v>1650</v>
      </c>
      <c r="D1425" s="26" t="s">
        <v>49</v>
      </c>
      <c r="E1425" s="31">
        <v>46228.0</v>
      </c>
      <c r="F1425" s="26" t="s">
        <v>41</v>
      </c>
      <c r="G1425" s="26">
        <v>11.0</v>
      </c>
      <c r="I1425" s="26" t="s">
        <v>42</v>
      </c>
      <c r="J1425" s="25" t="str">
        <f t="shared" si="31"/>
        <v>No</v>
      </c>
      <c r="K1425" s="25" t="str">
        <f t="shared" si="32"/>
        <v/>
      </c>
      <c r="L1425" s="25" t="str">
        <f t="shared" si="33"/>
        <v/>
      </c>
      <c r="M1425" s="25"/>
      <c r="O1425" s="25"/>
    </row>
    <row r="1426" ht="15.75" customHeight="1">
      <c r="A1426" s="25" t="str">
        <f>IFERROR(__xludf.DUMMYFUNCTION("IF(B1426="""","""",RIGHT(REGEXREPLACE(B1426&amp;"""",""[^0-9]"",""""),9))"),"767651627")</f>
        <v>767651627</v>
      </c>
      <c r="B1426" s="26">
        <v>7.67651627E8</v>
      </c>
      <c r="C1426" s="28" t="s">
        <v>1651</v>
      </c>
      <c r="D1426" s="26" t="s">
        <v>37</v>
      </c>
      <c r="E1426" s="31">
        <v>46228.0</v>
      </c>
      <c r="F1426" s="26" t="s">
        <v>205</v>
      </c>
      <c r="I1426" s="26" t="s">
        <v>42</v>
      </c>
      <c r="J1426" s="25" t="str">
        <f t="shared" si="31"/>
        <v>No</v>
      </c>
      <c r="K1426" s="25" t="str">
        <f t="shared" si="32"/>
        <v/>
      </c>
      <c r="L1426" s="25" t="str">
        <f t="shared" si="33"/>
        <v/>
      </c>
      <c r="M1426" s="25"/>
      <c r="O1426" s="25"/>
    </row>
    <row r="1427" ht="15.75" customHeight="1">
      <c r="A1427" s="25" t="str">
        <f>IFERROR(__xludf.DUMMYFUNCTION("IF(B1427="""","""",RIGHT(REGEXREPLACE(B1427&amp;"""",""[^0-9]"",""""),9))"),"768871877")</f>
        <v>768871877</v>
      </c>
      <c r="B1427" s="52">
        <v>7.68871877E8</v>
      </c>
      <c r="C1427" s="28" t="s">
        <v>1652</v>
      </c>
      <c r="D1427" s="26" t="s">
        <v>45</v>
      </c>
      <c r="E1427" s="31">
        <v>46228.0</v>
      </c>
      <c r="F1427" s="26" t="s">
        <v>125</v>
      </c>
      <c r="G1427" s="26">
        <v>11.0</v>
      </c>
      <c r="I1427" s="26" t="s">
        <v>42</v>
      </c>
      <c r="J1427" s="25" t="str">
        <f t="shared" si="31"/>
        <v>No</v>
      </c>
      <c r="K1427" s="25" t="str">
        <f t="shared" si="32"/>
        <v/>
      </c>
      <c r="L1427" s="25" t="str">
        <f t="shared" si="33"/>
        <v/>
      </c>
      <c r="M1427" s="25"/>
      <c r="O1427" s="25"/>
    </row>
    <row r="1428" ht="15.75" customHeight="1">
      <c r="A1428" s="25" t="str">
        <f>IFERROR(__xludf.DUMMYFUNCTION("IF(B1428="""","""",RIGHT(REGEXREPLACE(B1428&amp;"""",""[^0-9]"",""""),9))"),"714762997")</f>
        <v>714762997</v>
      </c>
      <c r="B1428" s="26">
        <v>7.14762997E8</v>
      </c>
      <c r="C1428" s="28" t="s">
        <v>1653</v>
      </c>
      <c r="D1428" s="26" t="s">
        <v>37</v>
      </c>
      <c r="E1428" s="31">
        <v>46228.0</v>
      </c>
      <c r="F1428" s="26" t="s">
        <v>631</v>
      </c>
      <c r="G1428" s="26">
        <v>11.0</v>
      </c>
      <c r="H1428" s="26" t="s">
        <v>1311</v>
      </c>
      <c r="I1428" s="26" t="s">
        <v>42</v>
      </c>
      <c r="J1428" s="25" t="str">
        <f t="shared" si="31"/>
        <v>No</v>
      </c>
      <c r="K1428" s="25" t="str">
        <f t="shared" si="32"/>
        <v/>
      </c>
      <c r="L1428" s="25" t="str">
        <f t="shared" si="33"/>
        <v/>
      </c>
      <c r="M1428" s="25"/>
      <c r="O1428" s="25"/>
    </row>
    <row r="1429" ht="15.75" customHeight="1">
      <c r="A1429" s="25" t="str">
        <f>IFERROR(__xludf.DUMMYFUNCTION("IF(B1429="""","""",RIGHT(REGEXREPLACE(B1429&amp;"""",""[^0-9]"",""""),9))"),"712777001")</f>
        <v>712777001</v>
      </c>
      <c r="B1429" s="52">
        <v>7.12777001E8</v>
      </c>
      <c r="C1429" s="28" t="s">
        <v>1654</v>
      </c>
      <c r="D1429" s="26" t="s">
        <v>49</v>
      </c>
      <c r="E1429" s="31">
        <v>46228.0</v>
      </c>
      <c r="F1429" s="26" t="s">
        <v>46</v>
      </c>
      <c r="G1429" s="26">
        <v>11.0</v>
      </c>
      <c r="I1429" s="26" t="s">
        <v>42</v>
      </c>
      <c r="J1429" s="25" t="str">
        <f t="shared" si="31"/>
        <v>No</v>
      </c>
      <c r="K1429" s="25" t="str">
        <f t="shared" si="32"/>
        <v/>
      </c>
      <c r="L1429" s="25" t="str">
        <f t="shared" si="33"/>
        <v/>
      </c>
      <c r="M1429" s="25"/>
      <c r="O1429" s="25"/>
    </row>
    <row r="1430" ht="15.75" customHeight="1">
      <c r="A1430" s="25" t="str">
        <f>IFERROR(__xludf.DUMMYFUNCTION("IF(B1430="""","""",RIGHT(REGEXREPLACE(B1430&amp;"""",""[^0-9]"",""""),9))"),"719547434")</f>
        <v>719547434</v>
      </c>
      <c r="B1430" s="26">
        <v>7.19547434E8</v>
      </c>
      <c r="C1430" s="28" t="s">
        <v>1655</v>
      </c>
      <c r="D1430" s="26" t="s">
        <v>56</v>
      </c>
      <c r="E1430" s="31">
        <v>46228.0</v>
      </c>
      <c r="F1430" s="26" t="s">
        <v>46</v>
      </c>
      <c r="G1430" s="26">
        <v>11.0</v>
      </c>
      <c r="I1430" s="26" t="s">
        <v>42</v>
      </c>
      <c r="J1430" s="25" t="str">
        <f t="shared" si="31"/>
        <v>No</v>
      </c>
      <c r="K1430" s="25" t="str">
        <f t="shared" si="32"/>
        <v/>
      </c>
      <c r="L1430" s="25" t="str">
        <f t="shared" si="33"/>
        <v/>
      </c>
      <c r="M1430" s="25"/>
      <c r="O1430" s="25"/>
    </row>
    <row r="1431" ht="15.75" customHeight="1">
      <c r="A1431" s="25" t="str">
        <f>IFERROR(__xludf.DUMMYFUNCTION("IF(B1431="""","""",RIGHT(REGEXREPLACE(B1431&amp;"""",""[^0-9]"",""""),9))"),"740701337")</f>
        <v>740701337</v>
      </c>
      <c r="B1431" s="26">
        <v>7.40701337E8</v>
      </c>
      <c r="C1431" s="28" t="s">
        <v>1656</v>
      </c>
      <c r="D1431" s="26" t="s">
        <v>37</v>
      </c>
      <c r="E1431" s="31">
        <v>46228.0</v>
      </c>
      <c r="F1431" s="26" t="s">
        <v>46</v>
      </c>
      <c r="G1431" s="26">
        <v>11.0</v>
      </c>
      <c r="H1431" s="26" t="s">
        <v>483</v>
      </c>
      <c r="I1431" s="26" t="s">
        <v>42</v>
      </c>
      <c r="J1431" s="25" t="str">
        <f t="shared" si="31"/>
        <v>No</v>
      </c>
      <c r="K1431" s="25" t="str">
        <f t="shared" si="32"/>
        <v/>
      </c>
      <c r="L1431" s="25" t="str">
        <f t="shared" si="33"/>
        <v/>
      </c>
      <c r="M1431" s="25"/>
      <c r="O1431" s="25"/>
    </row>
    <row r="1432" ht="15.75" customHeight="1">
      <c r="A1432" s="25" t="str">
        <f>IFERROR(__xludf.DUMMYFUNCTION("IF(B1432="""","""",RIGHT(REGEXREPLACE(B1432&amp;"""",""[^0-9]"",""""),9))"),"717892132")</f>
        <v>717892132</v>
      </c>
      <c r="B1432" s="52">
        <v>7.17892132E8</v>
      </c>
      <c r="C1432" s="28" t="s">
        <v>1657</v>
      </c>
      <c r="D1432" s="26" t="s">
        <v>45</v>
      </c>
      <c r="E1432" s="31">
        <v>46228.0</v>
      </c>
      <c r="F1432" s="26" t="s">
        <v>46</v>
      </c>
      <c r="G1432" s="26">
        <v>10.0</v>
      </c>
      <c r="I1432" s="26" t="s">
        <v>42</v>
      </c>
      <c r="J1432" s="25" t="str">
        <f t="shared" si="31"/>
        <v>No</v>
      </c>
      <c r="K1432" s="25" t="str">
        <f t="shared" si="32"/>
        <v/>
      </c>
      <c r="L1432" s="25" t="str">
        <f t="shared" si="33"/>
        <v/>
      </c>
      <c r="M1432" s="25"/>
      <c r="O1432" s="25"/>
    </row>
    <row r="1433" ht="15.75" customHeight="1">
      <c r="A1433" s="25" t="str">
        <f>IFERROR(__xludf.DUMMYFUNCTION("IF(B1433="""","""",RIGHT(REGEXREPLACE(B1433&amp;"""",""[^0-9]"",""""),9))"),"770239660")</f>
        <v>770239660</v>
      </c>
      <c r="B1433" s="26">
        <v>7.7023966E8</v>
      </c>
      <c r="C1433" s="28" t="s">
        <v>1658</v>
      </c>
      <c r="D1433" s="26" t="s">
        <v>37</v>
      </c>
      <c r="E1433" s="31">
        <v>46228.0</v>
      </c>
      <c r="F1433" s="26" t="s">
        <v>46</v>
      </c>
      <c r="G1433" s="26">
        <v>11.0</v>
      </c>
      <c r="I1433" s="26" t="s">
        <v>42</v>
      </c>
      <c r="J1433" s="25" t="str">
        <f t="shared" si="31"/>
        <v>No</v>
      </c>
      <c r="K1433" s="25" t="str">
        <f t="shared" si="32"/>
        <v/>
      </c>
      <c r="L1433" s="25" t="str">
        <f t="shared" si="33"/>
        <v/>
      </c>
      <c r="M1433" s="25"/>
      <c r="O1433" s="25"/>
    </row>
    <row r="1434" ht="15.75" customHeight="1">
      <c r="A1434" s="25" t="str">
        <f>IFERROR(__xludf.DUMMYFUNCTION("IF(B1434="""","""",RIGHT(REGEXREPLACE(B1434&amp;"""",""[^0-9]"",""""),9))"),"760368354")</f>
        <v>760368354</v>
      </c>
      <c r="B1434" s="52">
        <v>7.60368354E8</v>
      </c>
      <c r="C1434" s="28" t="s">
        <v>1659</v>
      </c>
      <c r="D1434" s="26" t="s">
        <v>82</v>
      </c>
      <c r="E1434" s="31">
        <v>46228.0</v>
      </c>
      <c r="F1434" s="26" t="s">
        <v>46</v>
      </c>
      <c r="G1434" s="26">
        <v>11.0</v>
      </c>
      <c r="I1434" s="26" t="s">
        <v>42</v>
      </c>
      <c r="J1434" s="25" t="str">
        <f t="shared" si="31"/>
        <v>No</v>
      </c>
      <c r="K1434" s="25" t="str">
        <f t="shared" si="32"/>
        <v/>
      </c>
      <c r="L1434" s="25" t="str">
        <f t="shared" si="33"/>
        <v/>
      </c>
      <c r="M1434" s="25"/>
      <c r="O1434" s="25"/>
    </row>
    <row r="1435" ht="15.75" customHeight="1">
      <c r="A1435" s="25" t="str">
        <f>IFERROR(__xludf.DUMMYFUNCTION("IF(B1435="""","""",RIGHT(REGEXREPLACE(B1435&amp;"""",""[^0-9]"",""""),9))"),"767327743")</f>
        <v>767327743</v>
      </c>
      <c r="B1435" s="26">
        <v>7.67327743E8</v>
      </c>
      <c r="C1435" s="28" t="s">
        <v>1660</v>
      </c>
      <c r="D1435" s="26" t="s">
        <v>37</v>
      </c>
      <c r="E1435" s="31">
        <v>46228.0</v>
      </c>
      <c r="F1435" s="26" t="s">
        <v>164</v>
      </c>
      <c r="I1435" s="26" t="s">
        <v>42</v>
      </c>
      <c r="J1435" s="25" t="str">
        <f t="shared" si="31"/>
        <v>No</v>
      </c>
      <c r="K1435" s="25" t="str">
        <f t="shared" si="32"/>
        <v/>
      </c>
      <c r="L1435" s="25" t="str">
        <f t="shared" si="33"/>
        <v/>
      </c>
      <c r="M1435" s="25"/>
      <c r="O1435" s="25"/>
    </row>
    <row r="1436" ht="15.75" customHeight="1">
      <c r="A1436" s="25" t="str">
        <f>IFERROR(__xludf.DUMMYFUNCTION("IF(B1436="""","""",RIGHT(REGEXREPLACE(B1436&amp;"""",""[^0-9]"",""""),9))"),"761068237")</f>
        <v>761068237</v>
      </c>
      <c r="B1436" s="52">
        <v>7.61068237E8</v>
      </c>
      <c r="C1436" s="28" t="s">
        <v>1661</v>
      </c>
      <c r="D1436" s="26" t="s">
        <v>45</v>
      </c>
      <c r="E1436" s="31">
        <v>46228.0</v>
      </c>
      <c r="F1436" s="26" t="s">
        <v>46</v>
      </c>
      <c r="G1436" s="26">
        <v>11.0</v>
      </c>
      <c r="I1436" s="26" t="s">
        <v>42</v>
      </c>
      <c r="J1436" s="25" t="str">
        <f t="shared" si="31"/>
        <v>No</v>
      </c>
      <c r="K1436" s="25" t="str">
        <f t="shared" si="32"/>
        <v/>
      </c>
      <c r="L1436" s="25" t="str">
        <f t="shared" si="33"/>
        <v/>
      </c>
      <c r="M1436" s="25"/>
      <c r="O1436" s="25"/>
    </row>
    <row r="1437" ht="15.75" customHeight="1">
      <c r="A1437" s="25" t="str">
        <f>IFERROR(__xludf.DUMMYFUNCTION("IF(B1437="""","""",RIGHT(REGEXREPLACE(B1437&amp;"""",""[^0-9]"",""""),9))"),"705833320")</f>
        <v>705833320</v>
      </c>
      <c r="B1437" s="52">
        <v>7.0583332E8</v>
      </c>
      <c r="C1437" s="28" t="s">
        <v>1662</v>
      </c>
      <c r="D1437" s="26" t="s">
        <v>49</v>
      </c>
      <c r="E1437" s="31">
        <v>46228.0</v>
      </c>
      <c r="F1437" s="26" t="s">
        <v>164</v>
      </c>
      <c r="G1437" s="26">
        <v>11.0</v>
      </c>
      <c r="I1437" s="26" t="s">
        <v>42</v>
      </c>
      <c r="J1437" s="25" t="str">
        <f t="shared" si="31"/>
        <v>No</v>
      </c>
      <c r="K1437" s="25" t="str">
        <f t="shared" si="32"/>
        <v/>
      </c>
      <c r="L1437" s="25" t="str">
        <f t="shared" si="33"/>
        <v/>
      </c>
      <c r="M1437" s="25"/>
      <c r="O1437" s="25"/>
    </row>
    <row r="1438" ht="15.75" customHeight="1">
      <c r="A1438" s="25" t="str">
        <f>IFERROR(__xludf.DUMMYFUNCTION("IF(B1438="""","""",RIGHT(REGEXREPLACE(B1438&amp;"""",""[^0-9]"",""""),9))"),"741508161")</f>
        <v>741508161</v>
      </c>
      <c r="B1438" s="26">
        <v>7.41508161E8</v>
      </c>
      <c r="C1438" s="28" t="s">
        <v>1663</v>
      </c>
      <c r="D1438" s="26" t="s">
        <v>37</v>
      </c>
      <c r="E1438" s="31">
        <v>46228.0</v>
      </c>
      <c r="F1438" s="26" t="s">
        <v>46</v>
      </c>
      <c r="G1438" s="26">
        <v>10.0</v>
      </c>
      <c r="I1438" s="26" t="s">
        <v>42</v>
      </c>
      <c r="J1438" s="25" t="str">
        <f t="shared" si="31"/>
        <v>No</v>
      </c>
      <c r="K1438" s="25" t="str">
        <f t="shared" si="32"/>
        <v/>
      </c>
      <c r="L1438" s="25" t="str">
        <f t="shared" si="33"/>
        <v/>
      </c>
      <c r="M1438" s="25"/>
      <c r="O1438" s="25"/>
    </row>
    <row r="1439" ht="15.75" customHeight="1">
      <c r="A1439" s="25" t="str">
        <f>IFERROR(__xludf.DUMMYFUNCTION("IF(B1439="""","""",RIGHT(REGEXREPLACE(B1439&amp;"""",""[^0-9]"",""""),9))"),"766449601")</f>
        <v>766449601</v>
      </c>
      <c r="B1439" s="26">
        <v>7.66449601E8</v>
      </c>
      <c r="C1439" s="28" t="s">
        <v>828</v>
      </c>
      <c r="D1439" s="26" t="s">
        <v>37</v>
      </c>
      <c r="E1439" s="31">
        <v>46228.0</v>
      </c>
      <c r="F1439" s="26" t="s">
        <v>41</v>
      </c>
      <c r="G1439" s="26">
        <v>11.0</v>
      </c>
      <c r="I1439" s="26" t="s">
        <v>42</v>
      </c>
      <c r="J1439" s="25" t="str">
        <f t="shared" si="31"/>
        <v>No</v>
      </c>
      <c r="K1439" s="25" t="str">
        <f t="shared" si="32"/>
        <v/>
      </c>
      <c r="L1439" s="25" t="str">
        <f t="shared" si="33"/>
        <v/>
      </c>
      <c r="M1439" s="25"/>
      <c r="O1439" s="25"/>
    </row>
    <row r="1440" ht="15.75" customHeight="1">
      <c r="A1440" s="25" t="str">
        <f>IFERROR(__xludf.DUMMYFUNCTION("IF(B1440="""","""",RIGHT(REGEXREPLACE(B1440&amp;"""",""[^0-9]"",""""),9))"),"710359321")</f>
        <v>710359321</v>
      </c>
      <c r="B1440" s="52">
        <v>7.10359321E8</v>
      </c>
      <c r="C1440" s="28" t="s">
        <v>1664</v>
      </c>
      <c r="D1440" s="26" t="s">
        <v>56</v>
      </c>
      <c r="E1440" s="31">
        <v>46228.0</v>
      </c>
      <c r="F1440" s="26" t="s">
        <v>46</v>
      </c>
      <c r="G1440" s="26">
        <v>10.0</v>
      </c>
      <c r="I1440" s="26" t="s">
        <v>42</v>
      </c>
      <c r="J1440" s="25" t="str">
        <f t="shared" si="31"/>
        <v>No</v>
      </c>
      <c r="K1440" s="25" t="str">
        <f t="shared" si="32"/>
        <v/>
      </c>
      <c r="L1440" s="25" t="str">
        <f t="shared" si="33"/>
        <v/>
      </c>
      <c r="M1440" s="25"/>
      <c r="O1440" s="25"/>
    </row>
    <row r="1441" ht="15.75" customHeight="1">
      <c r="A1441" s="25" t="str">
        <f>IFERROR(__xludf.DUMMYFUNCTION("IF(B1441="""","""",RIGHT(REGEXREPLACE(B1441&amp;"""",""[^0-9]"",""""),9))"),"766626882")</f>
        <v>766626882</v>
      </c>
      <c r="B1441" s="52">
        <v>7.66626882E8</v>
      </c>
      <c r="C1441" s="28" t="s">
        <v>1665</v>
      </c>
      <c r="D1441" s="26" t="s">
        <v>49</v>
      </c>
      <c r="E1441" s="31">
        <v>46228.0</v>
      </c>
      <c r="F1441" s="26" t="s">
        <v>41</v>
      </c>
      <c r="G1441" s="26">
        <v>11.0</v>
      </c>
      <c r="I1441" s="26" t="s">
        <v>42</v>
      </c>
      <c r="J1441" s="25" t="str">
        <f t="shared" si="31"/>
        <v>No</v>
      </c>
      <c r="K1441" s="25" t="str">
        <f t="shared" si="32"/>
        <v/>
      </c>
      <c r="L1441" s="25" t="str">
        <f t="shared" si="33"/>
        <v/>
      </c>
      <c r="M1441" s="25"/>
      <c r="O1441" s="25"/>
    </row>
    <row r="1442" ht="15.75" customHeight="1">
      <c r="A1442" s="25" t="str">
        <f>IFERROR(__xludf.DUMMYFUNCTION("IF(B1442="""","""",RIGHT(REGEXREPLACE(B1442&amp;"""",""[^0-9]"",""""),9))"),"772283360")</f>
        <v>772283360</v>
      </c>
      <c r="B1442" s="52">
        <v>7.7228336E8</v>
      </c>
      <c r="C1442" s="28" t="s">
        <v>1666</v>
      </c>
      <c r="D1442" s="26" t="s">
        <v>45</v>
      </c>
      <c r="E1442" s="31">
        <v>46228.0</v>
      </c>
      <c r="F1442" s="26" t="s">
        <v>46</v>
      </c>
      <c r="G1442" s="26">
        <v>11.0</v>
      </c>
      <c r="I1442" s="26" t="s">
        <v>42</v>
      </c>
      <c r="J1442" s="25" t="str">
        <f t="shared" si="31"/>
        <v>No</v>
      </c>
      <c r="K1442" s="25" t="str">
        <f t="shared" si="32"/>
        <v/>
      </c>
      <c r="L1442" s="25" t="str">
        <f t="shared" si="33"/>
        <v/>
      </c>
      <c r="M1442" s="25"/>
      <c r="O1442" s="25"/>
    </row>
    <row r="1443" ht="15.75" customHeight="1">
      <c r="A1443" s="25" t="str">
        <f>IFERROR(__xludf.DUMMYFUNCTION("IF(B1443="""","""",RIGHT(REGEXREPLACE(B1443&amp;"""",""[^0-9]"",""""),9))"),"784330343")</f>
        <v>784330343</v>
      </c>
      <c r="B1443" s="26">
        <v>7.84330343E8</v>
      </c>
      <c r="C1443" s="28" t="s">
        <v>1667</v>
      </c>
      <c r="D1443" s="26" t="s">
        <v>37</v>
      </c>
      <c r="E1443" s="31">
        <v>46228.0</v>
      </c>
      <c r="F1443" s="26" t="s">
        <v>205</v>
      </c>
      <c r="I1443" s="26" t="s">
        <v>42</v>
      </c>
      <c r="J1443" s="25" t="str">
        <f t="shared" si="31"/>
        <v>No</v>
      </c>
      <c r="K1443" s="25" t="str">
        <f t="shared" si="32"/>
        <v/>
      </c>
      <c r="L1443" s="25" t="str">
        <f t="shared" si="33"/>
        <v/>
      </c>
      <c r="M1443" s="25"/>
      <c r="O1443" s="25"/>
    </row>
    <row r="1444" ht="15.75" customHeight="1">
      <c r="A1444" s="25" t="str">
        <f>IFERROR(__xludf.DUMMYFUNCTION("IF(B1444="""","""",RIGHT(REGEXREPLACE(B1444&amp;"""",""[^0-9]"",""""),9))"),"765336845")</f>
        <v>765336845</v>
      </c>
      <c r="B1444" s="52">
        <v>7.65336845E8</v>
      </c>
      <c r="C1444" s="28" t="s">
        <v>1668</v>
      </c>
      <c r="D1444" s="26" t="s">
        <v>49</v>
      </c>
      <c r="E1444" s="31">
        <v>46228.0</v>
      </c>
      <c r="F1444" s="26" t="s">
        <v>164</v>
      </c>
      <c r="I1444" s="26" t="s">
        <v>42</v>
      </c>
      <c r="J1444" s="25" t="str">
        <f t="shared" si="31"/>
        <v>No</v>
      </c>
      <c r="K1444" s="25" t="str">
        <f t="shared" si="32"/>
        <v/>
      </c>
      <c r="L1444" s="25" t="str">
        <f t="shared" si="33"/>
        <v/>
      </c>
      <c r="M1444" s="25"/>
      <c r="O1444" s="25"/>
    </row>
    <row r="1445" ht="15.75" customHeight="1">
      <c r="A1445" s="25" t="str">
        <f>IFERROR(__xludf.DUMMYFUNCTION("IF(B1445="""","""",RIGHT(REGEXREPLACE(B1445&amp;"""",""[^0-9]"",""""),9))"),"773864791")</f>
        <v>773864791</v>
      </c>
      <c r="B1445" s="52">
        <v>7.73864791E8</v>
      </c>
      <c r="C1445" s="28" t="s">
        <v>1669</v>
      </c>
      <c r="D1445" s="26" t="s">
        <v>45</v>
      </c>
      <c r="E1445" s="31">
        <v>46228.0</v>
      </c>
      <c r="F1445" s="26" t="s">
        <v>46</v>
      </c>
      <c r="G1445" s="26">
        <v>11.0</v>
      </c>
      <c r="I1445" s="26" t="s">
        <v>42</v>
      </c>
      <c r="J1445" s="25" t="str">
        <f t="shared" si="31"/>
        <v>No</v>
      </c>
      <c r="K1445" s="25" t="str">
        <f t="shared" si="32"/>
        <v/>
      </c>
      <c r="L1445" s="25" t="str">
        <f t="shared" si="33"/>
        <v/>
      </c>
      <c r="M1445" s="25"/>
      <c r="O1445" s="25"/>
    </row>
    <row r="1446" ht="15.75" customHeight="1">
      <c r="A1446" s="25" t="str">
        <f>IFERROR(__xludf.DUMMYFUNCTION("IF(B1446="""","""",RIGHT(REGEXREPLACE(B1446&amp;"""",""[^0-9]"",""""),9))"),"715179384")</f>
        <v>715179384</v>
      </c>
      <c r="B1446" s="26">
        <v>7.15179384E8</v>
      </c>
      <c r="C1446" s="28" t="s">
        <v>1670</v>
      </c>
      <c r="D1446" s="26" t="s">
        <v>37</v>
      </c>
      <c r="E1446" s="31">
        <v>46228.0</v>
      </c>
      <c r="F1446" s="26" t="s">
        <v>46</v>
      </c>
      <c r="G1446" s="26">
        <v>11.0</v>
      </c>
      <c r="H1446" s="26" t="s">
        <v>1671</v>
      </c>
      <c r="I1446" s="26" t="s">
        <v>42</v>
      </c>
      <c r="J1446" s="25" t="str">
        <f t="shared" si="31"/>
        <v>No</v>
      </c>
      <c r="K1446" s="25" t="str">
        <f t="shared" si="32"/>
        <v/>
      </c>
      <c r="L1446" s="25" t="str">
        <f t="shared" si="33"/>
        <v/>
      </c>
      <c r="M1446" s="25"/>
      <c r="O1446" s="25"/>
    </row>
    <row r="1447" ht="15.75" customHeight="1">
      <c r="A1447" s="25" t="str">
        <f>IFERROR(__xludf.DUMMYFUNCTION("IF(B1447="""","""",RIGHT(REGEXREPLACE(B1447&amp;"""",""[^0-9]"",""""),9))"),"776879841")</f>
        <v>776879841</v>
      </c>
      <c r="B1447" s="52">
        <v>7.76879841E8</v>
      </c>
      <c r="C1447" s="28" t="s">
        <v>1672</v>
      </c>
      <c r="D1447" s="26" t="s">
        <v>49</v>
      </c>
      <c r="E1447" s="31">
        <v>46228.0</v>
      </c>
      <c r="F1447" s="26" t="s">
        <v>46</v>
      </c>
      <c r="G1447" s="26">
        <v>11.0</v>
      </c>
      <c r="I1447" s="26" t="s">
        <v>42</v>
      </c>
      <c r="J1447" s="25" t="str">
        <f t="shared" si="31"/>
        <v>No</v>
      </c>
      <c r="K1447" s="25" t="str">
        <f t="shared" si="32"/>
        <v/>
      </c>
      <c r="L1447" s="25" t="str">
        <f t="shared" si="33"/>
        <v/>
      </c>
      <c r="M1447" s="25"/>
      <c r="O1447" s="25"/>
    </row>
    <row r="1448" ht="15.75" customHeight="1">
      <c r="A1448" s="25" t="str">
        <f>IFERROR(__xludf.DUMMYFUNCTION("IF(B1448="""","""",RIGHT(REGEXREPLACE(B1448&amp;"""",""[^0-9]"",""""),9))"),"713197550")</f>
        <v>713197550</v>
      </c>
      <c r="B1448" s="26">
        <v>7.1319755E8</v>
      </c>
      <c r="C1448" s="28" t="s">
        <v>1673</v>
      </c>
      <c r="D1448" s="26" t="s">
        <v>37</v>
      </c>
      <c r="E1448" s="31">
        <v>46228.0</v>
      </c>
      <c r="F1448" s="26" t="s">
        <v>164</v>
      </c>
      <c r="I1448" s="26" t="s">
        <v>42</v>
      </c>
      <c r="J1448" s="25" t="str">
        <f t="shared" si="31"/>
        <v>No</v>
      </c>
      <c r="K1448" s="25" t="str">
        <f t="shared" si="32"/>
        <v/>
      </c>
      <c r="L1448" s="25" t="str">
        <f t="shared" si="33"/>
        <v/>
      </c>
      <c r="M1448" s="25"/>
      <c r="O1448" s="25"/>
    </row>
    <row r="1449" ht="15.75" customHeight="1">
      <c r="A1449" s="25" t="str">
        <f>IFERROR(__xludf.DUMMYFUNCTION("IF(B1449="""","""",RIGHT(REGEXREPLACE(B1449&amp;"""",""[^0-9]"",""""),9))"),"772887211")</f>
        <v>772887211</v>
      </c>
      <c r="B1449" s="52">
        <v>7.72887211E8</v>
      </c>
      <c r="C1449" s="28" t="s">
        <v>1674</v>
      </c>
      <c r="D1449" s="26" t="s">
        <v>82</v>
      </c>
      <c r="E1449" s="31">
        <v>46228.0</v>
      </c>
      <c r="F1449" s="26" t="s">
        <v>46</v>
      </c>
      <c r="G1449" s="26">
        <v>11.0</v>
      </c>
      <c r="I1449" s="26" t="s">
        <v>42</v>
      </c>
      <c r="J1449" s="25" t="str">
        <f t="shared" si="31"/>
        <v>No</v>
      </c>
      <c r="K1449" s="25" t="str">
        <f t="shared" si="32"/>
        <v/>
      </c>
      <c r="L1449" s="25" t="str">
        <f t="shared" si="33"/>
        <v/>
      </c>
      <c r="M1449" s="25"/>
      <c r="O1449" s="25"/>
    </row>
    <row r="1450" ht="15.75" customHeight="1">
      <c r="A1450" s="25" t="str">
        <f>IFERROR(__xludf.DUMMYFUNCTION("IF(B1450="""","""",RIGHT(REGEXREPLACE(B1450&amp;"""",""[^0-9]"",""""),9))"),"773386591")</f>
        <v>773386591</v>
      </c>
      <c r="B1450" s="52">
        <v>7.73386591E8</v>
      </c>
      <c r="C1450" s="28" t="s">
        <v>1675</v>
      </c>
      <c r="D1450" s="26" t="s">
        <v>56</v>
      </c>
      <c r="E1450" s="31">
        <v>46228.0</v>
      </c>
      <c r="F1450" s="26" t="s">
        <v>46</v>
      </c>
      <c r="G1450" s="26">
        <v>10.0</v>
      </c>
      <c r="I1450" s="26" t="s">
        <v>42</v>
      </c>
      <c r="J1450" s="25" t="str">
        <f t="shared" si="31"/>
        <v>No</v>
      </c>
      <c r="K1450" s="25" t="str">
        <f t="shared" si="32"/>
        <v/>
      </c>
      <c r="L1450" s="25" t="str">
        <f t="shared" si="33"/>
        <v/>
      </c>
      <c r="M1450" s="25"/>
      <c r="O1450" s="25"/>
    </row>
    <row r="1451" ht="15.75" customHeight="1">
      <c r="A1451" s="25" t="str">
        <f>IFERROR(__xludf.DUMMYFUNCTION("IF(B1451="""","""",RIGHT(REGEXREPLACE(B1451&amp;"""",""[^0-9]"",""""),9))"),"768063516")</f>
        <v>768063516</v>
      </c>
      <c r="B1451" s="52">
        <v>7.68063516E8</v>
      </c>
      <c r="C1451" s="28" t="s">
        <v>1676</v>
      </c>
      <c r="D1451" s="26" t="s">
        <v>45</v>
      </c>
      <c r="E1451" s="31">
        <v>46228.0</v>
      </c>
      <c r="F1451" s="26" t="s">
        <v>46</v>
      </c>
      <c r="G1451" s="26">
        <v>11.0</v>
      </c>
      <c r="I1451" s="26" t="s">
        <v>42</v>
      </c>
      <c r="J1451" s="25" t="str">
        <f t="shared" si="31"/>
        <v>No</v>
      </c>
      <c r="K1451" s="25" t="str">
        <f t="shared" si="32"/>
        <v/>
      </c>
      <c r="L1451" s="25" t="str">
        <f t="shared" si="33"/>
        <v/>
      </c>
      <c r="M1451" s="25"/>
      <c r="O1451" s="25"/>
    </row>
    <row r="1452" ht="15.75" customHeight="1">
      <c r="A1452" s="25" t="str">
        <f>IFERROR(__xludf.DUMMYFUNCTION("IF(B1452="""","""",RIGHT(REGEXREPLACE(B1452&amp;"""",""[^0-9]"",""""),9))"),"741947344")</f>
        <v>741947344</v>
      </c>
      <c r="B1452" s="26">
        <v>7.41947344E8</v>
      </c>
      <c r="C1452" s="28" t="s">
        <v>1677</v>
      </c>
      <c r="D1452" s="26" t="s">
        <v>37</v>
      </c>
      <c r="E1452" s="31">
        <v>46228.0</v>
      </c>
      <c r="F1452" s="26" t="s">
        <v>167</v>
      </c>
      <c r="G1452" s="26">
        <v>11.0</v>
      </c>
      <c r="H1452" s="26" t="s">
        <v>1447</v>
      </c>
      <c r="I1452" s="26" t="s">
        <v>42</v>
      </c>
      <c r="J1452" s="25" t="str">
        <f t="shared" si="31"/>
        <v>No</v>
      </c>
      <c r="K1452" s="25" t="str">
        <f t="shared" si="32"/>
        <v/>
      </c>
      <c r="L1452" s="25" t="str">
        <f t="shared" si="33"/>
        <v/>
      </c>
      <c r="M1452" s="25"/>
      <c r="O1452" s="25"/>
    </row>
    <row r="1453" ht="15.75" customHeight="1">
      <c r="A1453" s="25" t="str">
        <f>IFERROR(__xludf.DUMMYFUNCTION("IF(B1453="""","""",RIGHT(REGEXREPLACE(B1453&amp;"""",""[^0-9]"",""""),9))"),"777209180")</f>
        <v>777209180</v>
      </c>
      <c r="B1453" s="26">
        <v>7.7720918E8</v>
      </c>
      <c r="C1453" s="28" t="s">
        <v>1678</v>
      </c>
      <c r="D1453" s="26" t="s">
        <v>37</v>
      </c>
      <c r="E1453" s="31">
        <v>46228.0</v>
      </c>
      <c r="F1453" s="26" t="s">
        <v>167</v>
      </c>
      <c r="G1453" s="26">
        <v>10.0</v>
      </c>
      <c r="I1453" s="26" t="s">
        <v>42</v>
      </c>
      <c r="J1453" s="25" t="str">
        <f t="shared" si="31"/>
        <v>No</v>
      </c>
      <c r="K1453" s="25" t="str">
        <f t="shared" si="32"/>
        <v/>
      </c>
      <c r="L1453" s="25" t="str">
        <f t="shared" si="33"/>
        <v/>
      </c>
      <c r="M1453" s="25"/>
      <c r="O1453" s="25"/>
    </row>
    <row r="1454" ht="15.75" customHeight="1">
      <c r="A1454" s="25" t="str">
        <f>IFERROR(__xludf.DUMMYFUNCTION("IF(B1454="""","""",RIGHT(REGEXREPLACE(B1454&amp;"""",""[^0-9]"",""""),9))"),"776781356")</f>
        <v>776781356</v>
      </c>
      <c r="B1454" s="26">
        <v>7.76781356E8</v>
      </c>
      <c r="C1454" s="28" t="s">
        <v>1679</v>
      </c>
      <c r="D1454" s="26" t="s">
        <v>37</v>
      </c>
      <c r="E1454" s="31">
        <v>46228.0</v>
      </c>
      <c r="F1454" s="26" t="s">
        <v>46</v>
      </c>
      <c r="G1454" s="26">
        <v>10.0</v>
      </c>
      <c r="H1454" s="26" t="s">
        <v>1680</v>
      </c>
      <c r="I1454" s="26" t="s">
        <v>42</v>
      </c>
      <c r="J1454" s="25" t="str">
        <f t="shared" si="31"/>
        <v>No</v>
      </c>
      <c r="K1454" s="25" t="str">
        <f t="shared" si="32"/>
        <v/>
      </c>
      <c r="L1454" s="25" t="str">
        <f t="shared" si="33"/>
        <v/>
      </c>
      <c r="M1454" s="25"/>
      <c r="O1454" s="25"/>
    </row>
    <row r="1455" ht="15.75" customHeight="1">
      <c r="A1455" s="25" t="str">
        <f>IFERROR(__xludf.DUMMYFUNCTION("IF(B1455="""","""",RIGHT(REGEXREPLACE(B1455&amp;"""",""[^0-9]"",""""),9))"),"779101522")</f>
        <v>779101522</v>
      </c>
      <c r="B1455" s="52">
        <v>7.79101522E8</v>
      </c>
      <c r="C1455" s="28" t="s">
        <v>1681</v>
      </c>
      <c r="D1455" s="26" t="s">
        <v>45</v>
      </c>
      <c r="E1455" s="31">
        <v>46228.0</v>
      </c>
      <c r="F1455" s="26" t="s">
        <v>41</v>
      </c>
      <c r="G1455" s="26">
        <v>9.0</v>
      </c>
      <c r="I1455" s="26" t="s">
        <v>42</v>
      </c>
      <c r="J1455" s="25" t="str">
        <f t="shared" si="31"/>
        <v>No</v>
      </c>
      <c r="K1455" s="25" t="str">
        <f t="shared" si="32"/>
        <v/>
      </c>
      <c r="L1455" s="25" t="str">
        <f t="shared" si="33"/>
        <v/>
      </c>
      <c r="M1455" s="25"/>
      <c r="O1455" s="25"/>
    </row>
    <row r="1456" ht="15.75" customHeight="1">
      <c r="A1456" s="25" t="str">
        <f>IFERROR(__xludf.DUMMYFUNCTION("IF(B1456="""","""",RIGHT(REGEXREPLACE(B1456&amp;"""",""[^0-9]"",""""),9))"),"768804893")</f>
        <v>768804893</v>
      </c>
      <c r="B1456" s="26">
        <v>7.68804893E8</v>
      </c>
      <c r="C1456" s="28" t="s">
        <v>1682</v>
      </c>
      <c r="D1456" s="26" t="s">
        <v>37</v>
      </c>
      <c r="E1456" s="31">
        <v>46228.0</v>
      </c>
      <c r="F1456" s="26" t="s">
        <v>659</v>
      </c>
      <c r="G1456" s="26">
        <v>11.0</v>
      </c>
      <c r="I1456" s="26" t="s">
        <v>42</v>
      </c>
      <c r="J1456" s="25" t="str">
        <f t="shared" si="31"/>
        <v>No</v>
      </c>
      <c r="K1456" s="25" t="str">
        <f t="shared" si="32"/>
        <v/>
      </c>
      <c r="L1456" s="25" t="str">
        <f t="shared" si="33"/>
        <v/>
      </c>
      <c r="M1456" s="25"/>
      <c r="O1456" s="25"/>
    </row>
    <row r="1457" ht="15.75" customHeight="1">
      <c r="A1457" s="25" t="str">
        <f>IFERROR(__xludf.DUMMYFUNCTION("IF(B1457="""","""",RIGHT(REGEXREPLACE(B1457&amp;"""",""[^0-9]"",""""),9))"),"775798058")</f>
        <v>775798058</v>
      </c>
      <c r="B1457" s="52">
        <v>7.75798058E8</v>
      </c>
      <c r="C1457" s="28" t="s">
        <v>1683</v>
      </c>
      <c r="D1457" s="26" t="s">
        <v>56</v>
      </c>
      <c r="E1457" s="31">
        <v>46228.0</v>
      </c>
      <c r="F1457" s="26" t="s">
        <v>46</v>
      </c>
      <c r="G1457" s="26">
        <v>10.0</v>
      </c>
      <c r="I1457" s="26" t="s">
        <v>42</v>
      </c>
      <c r="J1457" s="25" t="str">
        <f t="shared" si="31"/>
        <v>No</v>
      </c>
      <c r="K1457" s="25" t="str">
        <f t="shared" si="32"/>
        <v/>
      </c>
      <c r="L1457" s="25" t="str">
        <f t="shared" si="33"/>
        <v/>
      </c>
      <c r="M1457" s="25"/>
      <c r="O1457" s="25"/>
    </row>
    <row r="1458" ht="15.75" customHeight="1">
      <c r="A1458" s="25" t="str">
        <f>IFERROR(__xludf.DUMMYFUNCTION("IF(B1458="""","""",RIGHT(REGEXREPLACE(B1458&amp;"""",""[^0-9]"",""""),9))"),"789100067")</f>
        <v>789100067</v>
      </c>
      <c r="B1458" s="26">
        <v>7.89100067E8</v>
      </c>
      <c r="C1458" s="28" t="s">
        <v>1684</v>
      </c>
      <c r="D1458" s="26" t="s">
        <v>37</v>
      </c>
      <c r="E1458" s="31">
        <v>46228.0</v>
      </c>
      <c r="F1458" s="26" t="s">
        <v>704</v>
      </c>
      <c r="H1458" s="26" t="s">
        <v>1447</v>
      </c>
      <c r="I1458" s="26" t="s">
        <v>42</v>
      </c>
      <c r="J1458" s="25" t="str">
        <f t="shared" si="31"/>
        <v>No</v>
      </c>
      <c r="K1458" s="25" t="str">
        <f t="shared" si="32"/>
        <v/>
      </c>
      <c r="L1458" s="25" t="str">
        <f t="shared" si="33"/>
        <v/>
      </c>
      <c r="M1458" s="25"/>
      <c r="O1458" s="25"/>
    </row>
    <row r="1459" ht="15.75" customHeight="1">
      <c r="A1459" s="25" t="str">
        <f>IFERROR(__xludf.DUMMYFUNCTION("IF(B1459="""","""",RIGHT(REGEXREPLACE(B1459&amp;"""",""[^0-9]"",""""),9))"),"779198818")</f>
        <v>779198818</v>
      </c>
      <c r="B1459" s="52">
        <v>7.79198818E8</v>
      </c>
      <c r="C1459" s="28" t="s">
        <v>905</v>
      </c>
      <c r="D1459" s="26" t="s">
        <v>45</v>
      </c>
      <c r="E1459" s="31">
        <v>46228.0</v>
      </c>
      <c r="F1459" s="26" t="s">
        <v>41</v>
      </c>
      <c r="G1459" s="26">
        <v>11.0</v>
      </c>
      <c r="I1459" s="26" t="s">
        <v>42</v>
      </c>
      <c r="J1459" s="25" t="str">
        <f t="shared" si="31"/>
        <v>Yes - see Previous F-Code</v>
      </c>
      <c r="K1459" s="25" t="str">
        <f t="shared" si="32"/>
        <v>DUPLICATE - CHECK</v>
      </c>
      <c r="L1459" s="25" t="str">
        <f t="shared" si="33"/>
        <v>F70668</v>
      </c>
      <c r="M1459" s="25"/>
      <c r="O1459" s="25"/>
    </row>
    <row r="1460" ht="15.75" customHeight="1">
      <c r="A1460" s="25" t="str">
        <f>IFERROR(__xludf.DUMMYFUNCTION("IF(B1460="""","""",RIGHT(REGEXREPLACE(B1460&amp;"""",""[^0-9]"",""""),9))"),"712432658")</f>
        <v>712432658</v>
      </c>
      <c r="B1460" s="52">
        <v>7.12432658E8</v>
      </c>
      <c r="C1460" s="28" t="s">
        <v>1685</v>
      </c>
      <c r="D1460" s="26" t="s">
        <v>45</v>
      </c>
      <c r="E1460" s="31">
        <v>46228.0</v>
      </c>
      <c r="F1460" s="26" t="s">
        <v>84</v>
      </c>
      <c r="I1460" s="26" t="s">
        <v>42</v>
      </c>
      <c r="J1460" s="25" t="str">
        <f t="shared" si="31"/>
        <v>No</v>
      </c>
      <c r="K1460" s="25" t="str">
        <f t="shared" si="32"/>
        <v/>
      </c>
      <c r="L1460" s="25" t="str">
        <f t="shared" si="33"/>
        <v/>
      </c>
      <c r="M1460" s="25"/>
      <c r="O1460" s="25"/>
    </row>
    <row r="1461" ht="15.75" customHeight="1">
      <c r="A1461" s="25" t="str">
        <f>IFERROR(__xludf.DUMMYFUNCTION("IF(B1461="""","""",RIGHT(REGEXREPLACE(B1461&amp;"""",""[^0-9]"",""""),9))"),"742235100")</f>
        <v>742235100</v>
      </c>
      <c r="B1461" s="52">
        <v>7.422351E8</v>
      </c>
      <c r="C1461" s="28" t="s">
        <v>1686</v>
      </c>
      <c r="D1461" s="26" t="s">
        <v>56</v>
      </c>
      <c r="E1461" s="31">
        <v>46228.0</v>
      </c>
      <c r="F1461" s="26" t="s">
        <v>46</v>
      </c>
      <c r="G1461" s="26">
        <v>10.0</v>
      </c>
      <c r="I1461" s="26" t="s">
        <v>42</v>
      </c>
      <c r="J1461" s="25" t="str">
        <f t="shared" si="31"/>
        <v>No</v>
      </c>
      <c r="K1461" s="25" t="str">
        <f t="shared" si="32"/>
        <v/>
      </c>
      <c r="L1461" s="25" t="str">
        <f t="shared" si="33"/>
        <v/>
      </c>
      <c r="M1461" s="25"/>
      <c r="O1461" s="25"/>
    </row>
    <row r="1462" ht="15.75" customHeight="1">
      <c r="A1462" s="25" t="str">
        <f>IFERROR(__xludf.DUMMYFUNCTION("IF(B1462="""","""",RIGHT(REGEXREPLACE(B1462&amp;"""",""[^0-9]"",""""),9))"),"712182426")</f>
        <v>712182426</v>
      </c>
      <c r="B1462" s="52">
        <v>7.12182426E8</v>
      </c>
      <c r="C1462" s="28" t="s">
        <v>1687</v>
      </c>
      <c r="D1462" s="26" t="s">
        <v>49</v>
      </c>
      <c r="E1462" s="31">
        <v>46228.0</v>
      </c>
      <c r="F1462" s="26" t="s">
        <v>46</v>
      </c>
      <c r="G1462" s="26">
        <v>11.0</v>
      </c>
      <c r="I1462" s="26" t="s">
        <v>42</v>
      </c>
      <c r="J1462" s="25" t="str">
        <f t="shared" si="31"/>
        <v>No</v>
      </c>
      <c r="K1462" s="25" t="str">
        <f t="shared" si="32"/>
        <v/>
      </c>
      <c r="L1462" s="25" t="str">
        <f t="shared" si="33"/>
        <v/>
      </c>
      <c r="M1462" s="25"/>
      <c r="O1462" s="25"/>
    </row>
    <row r="1463" ht="15.75" customHeight="1">
      <c r="A1463" s="25" t="str">
        <f>IFERROR(__xludf.DUMMYFUNCTION("IF(B1463="""","""",RIGHT(REGEXREPLACE(B1463&amp;"""",""[^0-9]"",""""),9))"),"714036396")</f>
        <v>714036396</v>
      </c>
      <c r="B1463" s="26">
        <v>7.14036396E8</v>
      </c>
      <c r="C1463" s="28" t="s">
        <v>1688</v>
      </c>
      <c r="D1463" s="26" t="s">
        <v>37</v>
      </c>
      <c r="E1463" s="31">
        <v>46228.0</v>
      </c>
      <c r="F1463" s="26" t="s">
        <v>46</v>
      </c>
      <c r="I1463" s="26" t="s">
        <v>42</v>
      </c>
      <c r="J1463" s="25" t="str">
        <f t="shared" si="31"/>
        <v>No</v>
      </c>
      <c r="K1463" s="25" t="str">
        <f t="shared" si="32"/>
        <v/>
      </c>
      <c r="L1463" s="25" t="str">
        <f t="shared" si="33"/>
        <v/>
      </c>
      <c r="M1463" s="25"/>
      <c r="O1463" s="25"/>
    </row>
    <row r="1464" ht="15.75" customHeight="1">
      <c r="A1464" s="25" t="str">
        <f>IFERROR(__xludf.DUMMYFUNCTION("IF(B1464="""","""",RIGHT(REGEXREPLACE(B1464&amp;"""",""[^0-9]"",""""),9))"),"704131981")</f>
        <v>704131981</v>
      </c>
      <c r="B1464" s="52">
        <v>7.04131981E8</v>
      </c>
      <c r="C1464" s="28" t="s">
        <v>1689</v>
      </c>
      <c r="D1464" s="26" t="s">
        <v>45</v>
      </c>
      <c r="E1464" s="31">
        <v>46228.0</v>
      </c>
      <c r="F1464" s="26" t="s">
        <v>167</v>
      </c>
      <c r="G1464" s="26">
        <v>10.0</v>
      </c>
      <c r="I1464" s="26" t="s">
        <v>42</v>
      </c>
      <c r="J1464" s="25" t="str">
        <f t="shared" si="31"/>
        <v>No</v>
      </c>
      <c r="K1464" s="25" t="str">
        <f t="shared" si="32"/>
        <v/>
      </c>
      <c r="L1464" s="25" t="str">
        <f t="shared" si="33"/>
        <v/>
      </c>
      <c r="M1464" s="25"/>
      <c r="O1464" s="25"/>
    </row>
    <row r="1465" ht="15.75" customHeight="1">
      <c r="A1465" s="25" t="str">
        <f>IFERROR(__xludf.DUMMYFUNCTION("IF(B1465="""","""",RIGHT(REGEXREPLACE(B1465&amp;"""",""[^0-9]"",""""),9))"),"777531017")</f>
        <v>777531017</v>
      </c>
      <c r="B1465" s="52">
        <v>7.77531017E8</v>
      </c>
      <c r="C1465" s="28" t="s">
        <v>1690</v>
      </c>
      <c r="D1465" s="26" t="s">
        <v>82</v>
      </c>
      <c r="E1465" s="31">
        <v>46228.0</v>
      </c>
      <c r="F1465" s="26" t="s">
        <v>41</v>
      </c>
      <c r="G1465" s="26">
        <v>11.0</v>
      </c>
      <c r="I1465" s="26" t="s">
        <v>42</v>
      </c>
      <c r="J1465" s="25" t="str">
        <f t="shared" si="31"/>
        <v>No</v>
      </c>
      <c r="K1465" s="25" t="str">
        <f t="shared" si="32"/>
        <v/>
      </c>
      <c r="L1465" s="25" t="str">
        <f t="shared" si="33"/>
        <v/>
      </c>
      <c r="M1465" s="25"/>
      <c r="O1465" s="25"/>
    </row>
    <row r="1466" ht="15.75" customHeight="1">
      <c r="A1466" s="25" t="str">
        <f>IFERROR(__xludf.DUMMYFUNCTION("IF(B1466="""","""",RIGHT(REGEXREPLACE(B1466&amp;"""",""[^0-9]"",""""),9))"),"779287383")</f>
        <v>779287383</v>
      </c>
      <c r="B1466" s="26">
        <v>7.79287383E8</v>
      </c>
      <c r="C1466" s="28" t="s">
        <v>1691</v>
      </c>
      <c r="D1466" s="26" t="s">
        <v>37</v>
      </c>
      <c r="E1466" s="31">
        <v>46228.0</v>
      </c>
      <c r="F1466" s="26" t="s">
        <v>46</v>
      </c>
      <c r="G1466" s="26">
        <v>10.0</v>
      </c>
      <c r="I1466" s="26" t="s">
        <v>42</v>
      </c>
      <c r="J1466" s="25" t="str">
        <f t="shared" si="31"/>
        <v>No</v>
      </c>
      <c r="K1466" s="25" t="str">
        <f t="shared" si="32"/>
        <v/>
      </c>
      <c r="L1466" s="25" t="str">
        <f t="shared" si="33"/>
        <v/>
      </c>
      <c r="M1466" s="25"/>
      <c r="O1466" s="25"/>
    </row>
    <row r="1467" ht="15.75" customHeight="1">
      <c r="A1467" s="25" t="str">
        <f>IFERROR(__xludf.DUMMYFUNCTION("IF(B1467="""","""",RIGHT(REGEXREPLACE(B1467&amp;"""",""[^0-9]"",""""),9))"),"776499058")</f>
        <v>776499058</v>
      </c>
      <c r="B1467" s="52">
        <v>7.76499058E8</v>
      </c>
      <c r="C1467" s="28" t="s">
        <v>1692</v>
      </c>
      <c r="D1467" s="26" t="s">
        <v>45</v>
      </c>
      <c r="E1467" s="31">
        <v>46228.0</v>
      </c>
      <c r="F1467" s="26" t="s">
        <v>46</v>
      </c>
      <c r="G1467" s="26">
        <v>11.0</v>
      </c>
      <c r="I1467" s="26" t="s">
        <v>42</v>
      </c>
      <c r="J1467" s="25" t="str">
        <f t="shared" si="31"/>
        <v>No</v>
      </c>
      <c r="K1467" s="25" t="str">
        <f t="shared" si="32"/>
        <v/>
      </c>
      <c r="L1467" s="25" t="str">
        <f t="shared" si="33"/>
        <v/>
      </c>
      <c r="M1467" s="25"/>
      <c r="O1467" s="25"/>
    </row>
    <row r="1468" ht="15.75" customHeight="1">
      <c r="A1468" s="25" t="str">
        <f>IFERROR(__xludf.DUMMYFUNCTION("IF(B1468="""","""",RIGHT(REGEXREPLACE(B1468&amp;"""",""[^0-9]"",""""),9))"),"764634250")</f>
        <v>764634250</v>
      </c>
      <c r="B1468" s="52">
        <v>7.6463425E8</v>
      </c>
      <c r="C1468" s="28" t="s">
        <v>1693</v>
      </c>
      <c r="D1468" s="26" t="s">
        <v>82</v>
      </c>
      <c r="E1468" s="31">
        <v>46228.0</v>
      </c>
      <c r="F1468" s="26" t="s">
        <v>205</v>
      </c>
      <c r="G1468" s="26">
        <v>9.0</v>
      </c>
      <c r="I1468" s="26" t="s">
        <v>42</v>
      </c>
      <c r="J1468" s="25" t="str">
        <f t="shared" si="31"/>
        <v>No</v>
      </c>
      <c r="K1468" s="25" t="str">
        <f t="shared" si="32"/>
        <v/>
      </c>
      <c r="L1468" s="25" t="str">
        <f t="shared" si="33"/>
        <v/>
      </c>
      <c r="M1468" s="25"/>
      <c r="O1468" s="25"/>
    </row>
    <row r="1469" ht="15.75" customHeight="1">
      <c r="A1469" s="25" t="str">
        <f>IFERROR(__xludf.DUMMYFUNCTION("IF(B1469="""","""",RIGHT(REGEXREPLACE(B1469&amp;"""",""[^0-9]"",""""),9))"),"768839790")</f>
        <v>768839790</v>
      </c>
      <c r="B1469" s="26">
        <v>7.6883979E8</v>
      </c>
      <c r="C1469" s="28" t="s">
        <v>1694</v>
      </c>
      <c r="D1469" s="26" t="s">
        <v>37</v>
      </c>
      <c r="E1469" s="31">
        <v>46228.0</v>
      </c>
      <c r="F1469" s="26" t="s">
        <v>205</v>
      </c>
      <c r="G1469" s="26">
        <v>11.0</v>
      </c>
      <c r="I1469" s="26" t="s">
        <v>42</v>
      </c>
      <c r="J1469" s="25" t="str">
        <f t="shared" si="31"/>
        <v>No</v>
      </c>
      <c r="K1469" s="25" t="str">
        <f t="shared" si="32"/>
        <v/>
      </c>
      <c r="L1469" s="25" t="str">
        <f t="shared" si="33"/>
        <v/>
      </c>
      <c r="M1469" s="25"/>
      <c r="O1469" s="25"/>
    </row>
    <row r="1470" ht="15.75" customHeight="1">
      <c r="A1470" s="25" t="str">
        <f>IFERROR(__xludf.DUMMYFUNCTION("IF(B1470="""","""",RIGHT(REGEXREPLACE(B1470&amp;"""",""[^0-9]"",""""),9))"),"766277405")</f>
        <v>766277405</v>
      </c>
      <c r="B1470" s="52">
        <v>7.66277405E8</v>
      </c>
      <c r="C1470" s="28" t="s">
        <v>1695</v>
      </c>
      <c r="D1470" s="26" t="s">
        <v>49</v>
      </c>
      <c r="E1470" s="31">
        <v>46228.0</v>
      </c>
      <c r="F1470" s="26" t="s">
        <v>41</v>
      </c>
      <c r="G1470" s="26">
        <v>11.0</v>
      </c>
      <c r="I1470" s="26" t="s">
        <v>42</v>
      </c>
      <c r="J1470" s="25" t="str">
        <f t="shared" si="31"/>
        <v>No</v>
      </c>
      <c r="K1470" s="25" t="str">
        <f t="shared" si="32"/>
        <v/>
      </c>
      <c r="L1470" s="25" t="str">
        <f t="shared" si="33"/>
        <v/>
      </c>
      <c r="M1470" s="25"/>
      <c r="O1470" s="25"/>
    </row>
    <row r="1471" ht="15.75" customHeight="1">
      <c r="A1471" s="25" t="str">
        <f>IFERROR(__xludf.DUMMYFUNCTION("IF(B1471="""","""",RIGHT(REGEXREPLACE(B1471&amp;"""",""[^0-9]"",""""),9))"),"743898387")</f>
        <v>743898387</v>
      </c>
      <c r="B1471" s="52">
        <v>7.43898387E8</v>
      </c>
      <c r="C1471" s="28" t="s">
        <v>1696</v>
      </c>
      <c r="D1471" s="26" t="s">
        <v>56</v>
      </c>
      <c r="E1471" s="31">
        <v>46228.0</v>
      </c>
      <c r="F1471" s="26" t="s">
        <v>631</v>
      </c>
      <c r="G1471" s="26">
        <v>11.0</v>
      </c>
      <c r="I1471" s="26" t="s">
        <v>42</v>
      </c>
      <c r="J1471" s="25" t="str">
        <f t="shared" si="31"/>
        <v>No</v>
      </c>
      <c r="K1471" s="25" t="str">
        <f t="shared" si="32"/>
        <v/>
      </c>
      <c r="L1471" s="25" t="str">
        <f t="shared" si="33"/>
        <v/>
      </c>
      <c r="M1471" s="25"/>
      <c r="O1471" s="25"/>
    </row>
    <row r="1472" ht="15.75" customHeight="1">
      <c r="A1472" s="25" t="str">
        <f>IFERROR(__xludf.DUMMYFUNCTION("IF(B1472="""","""",RIGHT(REGEXREPLACE(B1472&amp;"""",""[^0-9]"",""""),9))"),"742830094")</f>
        <v>742830094</v>
      </c>
      <c r="B1472" s="52">
        <v>7.42830094E8</v>
      </c>
      <c r="C1472" s="28" t="s">
        <v>1697</v>
      </c>
      <c r="D1472" s="26" t="s">
        <v>82</v>
      </c>
      <c r="E1472" s="31">
        <v>46228.0</v>
      </c>
      <c r="F1472" s="26" t="s">
        <v>41</v>
      </c>
      <c r="I1472" s="26" t="s">
        <v>42</v>
      </c>
      <c r="J1472" s="25" t="str">
        <f t="shared" si="31"/>
        <v>No</v>
      </c>
      <c r="K1472" s="25" t="str">
        <f t="shared" si="32"/>
        <v/>
      </c>
      <c r="L1472" s="25" t="str">
        <f t="shared" si="33"/>
        <v/>
      </c>
      <c r="M1472" s="25"/>
      <c r="O1472" s="25"/>
    </row>
    <row r="1473" ht="15.75" customHeight="1">
      <c r="A1473" s="25" t="str">
        <f>IFERROR(__xludf.DUMMYFUNCTION("IF(B1473="""","""",RIGHT(REGEXREPLACE(B1473&amp;"""",""[^0-9]"",""""),9))"),"713311457")</f>
        <v>713311457</v>
      </c>
      <c r="B1473" s="26">
        <v>7.13311457E8</v>
      </c>
      <c r="C1473" s="28" t="s">
        <v>1698</v>
      </c>
      <c r="D1473" s="26" t="s">
        <v>37</v>
      </c>
      <c r="E1473" s="31">
        <v>46228.0</v>
      </c>
      <c r="F1473" s="26" t="s">
        <v>41</v>
      </c>
      <c r="G1473" s="26">
        <v>11.0</v>
      </c>
      <c r="I1473" s="26" t="s">
        <v>42</v>
      </c>
      <c r="J1473" s="25" t="str">
        <f t="shared" si="31"/>
        <v>No</v>
      </c>
      <c r="K1473" s="25" t="str">
        <f t="shared" si="32"/>
        <v/>
      </c>
      <c r="L1473" s="25" t="str">
        <f t="shared" si="33"/>
        <v/>
      </c>
      <c r="M1473" s="25"/>
      <c r="O1473" s="25"/>
    </row>
    <row r="1474" ht="15.75" customHeight="1">
      <c r="A1474" s="25" t="str">
        <f>IFERROR(__xludf.DUMMYFUNCTION("IF(B1474="""","""",RIGHT(REGEXREPLACE(B1474&amp;"""",""[^0-9]"",""""),9))"),"718022135")</f>
        <v>718022135</v>
      </c>
      <c r="B1474" s="52">
        <v>7.18022135E8</v>
      </c>
      <c r="C1474" s="28" t="s">
        <v>1699</v>
      </c>
      <c r="D1474" s="26" t="s">
        <v>49</v>
      </c>
      <c r="E1474" s="31">
        <v>46228.0</v>
      </c>
      <c r="F1474" s="26" t="s">
        <v>41</v>
      </c>
      <c r="G1474" s="26">
        <v>11.0</v>
      </c>
      <c r="I1474" s="26" t="s">
        <v>42</v>
      </c>
      <c r="J1474" s="25" t="str">
        <f t="shared" si="31"/>
        <v>No</v>
      </c>
      <c r="K1474" s="25" t="str">
        <f t="shared" si="32"/>
        <v/>
      </c>
      <c r="L1474" s="25" t="str">
        <f t="shared" si="33"/>
        <v/>
      </c>
      <c r="M1474" s="25"/>
      <c r="O1474" s="25"/>
    </row>
    <row r="1475" ht="15.75" customHeight="1">
      <c r="A1475" s="25" t="str">
        <f>IFERROR(__xludf.DUMMYFUNCTION("IF(B1475="""","""",RIGHT(REGEXREPLACE(B1475&amp;"""",""[^0-9]"",""""),9))"),"765353059")</f>
        <v>765353059</v>
      </c>
      <c r="B1475" s="52">
        <v>7.65353059E8</v>
      </c>
      <c r="C1475" s="28" t="s">
        <v>1700</v>
      </c>
      <c r="D1475" s="26" t="s">
        <v>45</v>
      </c>
      <c r="E1475" s="31">
        <v>46228.0</v>
      </c>
      <c r="F1475" s="26" t="s">
        <v>46</v>
      </c>
      <c r="G1475" s="26">
        <v>11.0</v>
      </c>
      <c r="I1475" s="26" t="s">
        <v>42</v>
      </c>
      <c r="J1475" s="25" t="str">
        <f t="shared" si="31"/>
        <v>No</v>
      </c>
      <c r="K1475" s="25" t="str">
        <f t="shared" si="32"/>
        <v/>
      </c>
      <c r="L1475" s="25" t="str">
        <f t="shared" si="33"/>
        <v/>
      </c>
      <c r="M1475" s="25"/>
      <c r="O1475" s="25"/>
    </row>
    <row r="1476" ht="15.75" customHeight="1">
      <c r="A1476" s="25" t="str">
        <f>IFERROR(__xludf.DUMMYFUNCTION("IF(B1476="""","""",RIGHT(REGEXREPLACE(B1476&amp;"""",""[^0-9]"",""""),9))"),"741239973")</f>
        <v>741239973</v>
      </c>
      <c r="B1476" s="26">
        <v>7.41239973E8</v>
      </c>
      <c r="C1476" s="28" t="s">
        <v>1701</v>
      </c>
      <c r="D1476" s="26" t="s">
        <v>37</v>
      </c>
      <c r="E1476" s="31">
        <v>46228.0</v>
      </c>
      <c r="F1476" s="26" t="s">
        <v>167</v>
      </c>
      <c r="G1476" s="26">
        <v>11.0</v>
      </c>
      <c r="I1476" s="26" t="s">
        <v>42</v>
      </c>
      <c r="J1476" s="25" t="str">
        <f t="shared" si="31"/>
        <v>No</v>
      </c>
      <c r="K1476" s="25" t="str">
        <f t="shared" si="32"/>
        <v/>
      </c>
      <c r="L1476" s="25" t="str">
        <f t="shared" si="33"/>
        <v/>
      </c>
      <c r="M1476" s="25"/>
      <c r="O1476" s="25"/>
    </row>
    <row r="1477" ht="15.75" customHeight="1">
      <c r="A1477" s="25" t="str">
        <f>IFERROR(__xludf.DUMMYFUNCTION("IF(B1477="""","""",RIGHT(REGEXREPLACE(B1477&amp;"""",""[^0-9]"",""""),9))"),"712350485")</f>
        <v>712350485</v>
      </c>
      <c r="B1477" s="26">
        <v>7.12350485E8</v>
      </c>
      <c r="C1477" s="28" t="s">
        <v>1702</v>
      </c>
      <c r="D1477" s="26" t="s">
        <v>37</v>
      </c>
      <c r="E1477" s="31">
        <v>46228.0</v>
      </c>
      <c r="F1477" s="26" t="s">
        <v>205</v>
      </c>
      <c r="I1477" s="26" t="s">
        <v>42</v>
      </c>
      <c r="J1477" s="25" t="str">
        <f t="shared" si="31"/>
        <v>No</v>
      </c>
      <c r="K1477" s="25" t="str">
        <f t="shared" si="32"/>
        <v/>
      </c>
      <c r="L1477" s="25" t="str">
        <f t="shared" si="33"/>
        <v/>
      </c>
      <c r="M1477" s="25"/>
      <c r="O1477" s="25"/>
    </row>
    <row r="1478" ht="15.75" customHeight="1">
      <c r="A1478" s="25" t="str">
        <f>IFERROR(__xludf.DUMMYFUNCTION("IF(B1478="""","""",RIGHT(REGEXREPLACE(B1478&amp;"""",""[^0-9]"",""""),9))"),"773740574")</f>
        <v>773740574</v>
      </c>
      <c r="B1478" s="52">
        <v>7.73740574E8</v>
      </c>
      <c r="C1478" s="28" t="s">
        <v>1703</v>
      </c>
      <c r="D1478" s="26" t="s">
        <v>82</v>
      </c>
      <c r="E1478" s="31">
        <v>46228.0</v>
      </c>
      <c r="F1478" s="26" t="s">
        <v>46</v>
      </c>
      <c r="G1478" s="26">
        <v>11.0</v>
      </c>
      <c r="I1478" s="26" t="s">
        <v>42</v>
      </c>
      <c r="J1478" s="25" t="str">
        <f t="shared" si="31"/>
        <v>No</v>
      </c>
      <c r="K1478" s="25" t="str">
        <f t="shared" si="32"/>
        <v/>
      </c>
      <c r="L1478" s="25" t="str">
        <f t="shared" si="33"/>
        <v/>
      </c>
      <c r="M1478" s="25"/>
      <c r="O1478" s="25"/>
    </row>
    <row r="1479" ht="15.75" customHeight="1">
      <c r="A1479" s="25" t="str">
        <f>IFERROR(__xludf.DUMMYFUNCTION("IF(B1479="""","""",RIGHT(REGEXREPLACE(B1479&amp;"""",""[^0-9]"",""""),9))"),"718173193")</f>
        <v>718173193</v>
      </c>
      <c r="B1479" s="52">
        <v>7.18173193E8</v>
      </c>
      <c r="C1479" s="28" t="s">
        <v>1704</v>
      </c>
      <c r="D1479" s="26" t="s">
        <v>49</v>
      </c>
      <c r="E1479" s="31">
        <v>46228.0</v>
      </c>
      <c r="F1479" s="26" t="s">
        <v>46</v>
      </c>
      <c r="G1479" s="26">
        <v>11.0</v>
      </c>
      <c r="I1479" s="26" t="s">
        <v>42</v>
      </c>
      <c r="J1479" s="25" t="str">
        <f t="shared" si="31"/>
        <v>No</v>
      </c>
      <c r="K1479" s="25" t="str">
        <f t="shared" si="32"/>
        <v/>
      </c>
      <c r="L1479" s="25" t="str">
        <f t="shared" si="33"/>
        <v/>
      </c>
      <c r="M1479" s="25"/>
      <c r="O1479" s="25"/>
    </row>
    <row r="1480" ht="15.75" customHeight="1">
      <c r="A1480" s="25" t="str">
        <f>IFERROR(__xludf.DUMMYFUNCTION("IF(B1480="""","""",RIGHT(REGEXREPLACE(B1480&amp;"""",""[^0-9]"",""""),9))"),"765313808")</f>
        <v>765313808</v>
      </c>
      <c r="B1480" s="52">
        <v>7.65313808E8</v>
      </c>
      <c r="C1480" s="28" t="s">
        <v>1705</v>
      </c>
      <c r="D1480" s="26" t="s">
        <v>45</v>
      </c>
      <c r="E1480" s="31">
        <v>46228.0</v>
      </c>
      <c r="F1480" s="26" t="s">
        <v>84</v>
      </c>
      <c r="I1480" s="26" t="s">
        <v>42</v>
      </c>
      <c r="J1480" s="25" t="str">
        <f t="shared" si="31"/>
        <v>No</v>
      </c>
      <c r="K1480" s="25" t="str">
        <f t="shared" si="32"/>
        <v/>
      </c>
      <c r="L1480" s="25" t="str">
        <f t="shared" si="33"/>
        <v/>
      </c>
      <c r="M1480" s="25"/>
      <c r="O1480" s="25"/>
    </row>
    <row r="1481" ht="15.75" customHeight="1">
      <c r="A1481" s="25" t="str">
        <f>IFERROR(__xludf.DUMMYFUNCTION("IF(B1481="""","""",RIGHT(REGEXREPLACE(B1481&amp;"""",""[^0-9]"",""""),9))"),"717018911")</f>
        <v>717018911</v>
      </c>
      <c r="B1481" s="26">
        <v>7.17018911E8</v>
      </c>
      <c r="C1481" s="28" t="s">
        <v>1706</v>
      </c>
      <c r="D1481" s="26" t="s">
        <v>37</v>
      </c>
      <c r="E1481" s="31">
        <v>46228.0</v>
      </c>
      <c r="F1481" s="26" t="s">
        <v>46</v>
      </c>
      <c r="G1481" s="26">
        <v>11.0</v>
      </c>
      <c r="H1481" s="26" t="s">
        <v>1707</v>
      </c>
      <c r="I1481" s="26" t="s">
        <v>42</v>
      </c>
      <c r="J1481" s="25" t="str">
        <f t="shared" si="31"/>
        <v>No</v>
      </c>
      <c r="K1481" s="25" t="str">
        <f t="shared" si="32"/>
        <v/>
      </c>
      <c r="L1481" s="25" t="str">
        <f t="shared" si="33"/>
        <v/>
      </c>
      <c r="M1481" s="25"/>
      <c r="O1481" s="25"/>
    </row>
    <row r="1482" ht="15.75" customHeight="1">
      <c r="A1482" s="25" t="str">
        <f>IFERROR(__xludf.DUMMYFUNCTION("IF(B1482="""","""",RIGHT(REGEXREPLACE(B1482&amp;"""",""[^0-9]"",""""),9))"),"779980104")</f>
        <v>779980104</v>
      </c>
      <c r="B1482" s="52">
        <v>7.79980104E8</v>
      </c>
      <c r="C1482" s="28" t="s">
        <v>1708</v>
      </c>
      <c r="D1482" s="26" t="s">
        <v>56</v>
      </c>
      <c r="E1482" s="31">
        <v>46228.0</v>
      </c>
      <c r="F1482" s="26" t="s">
        <v>46</v>
      </c>
      <c r="G1482" s="26">
        <v>10.0</v>
      </c>
      <c r="I1482" s="26" t="s">
        <v>42</v>
      </c>
      <c r="J1482" s="25" t="str">
        <f t="shared" si="31"/>
        <v>No</v>
      </c>
      <c r="K1482" s="25" t="str">
        <f t="shared" si="32"/>
        <v/>
      </c>
      <c r="L1482" s="25" t="str">
        <f t="shared" si="33"/>
        <v/>
      </c>
      <c r="M1482" s="25"/>
      <c r="O1482" s="25"/>
    </row>
    <row r="1483" ht="15.75" customHeight="1">
      <c r="A1483" s="25" t="str">
        <f>IFERROR(__xludf.DUMMYFUNCTION("IF(B1483="""","""",RIGHT(REGEXREPLACE(B1483&amp;"""",""[^0-9]"",""""),9))"),"769377458")</f>
        <v>769377458</v>
      </c>
      <c r="B1483" s="52">
        <v>7.69377458E8</v>
      </c>
      <c r="C1483" s="28" t="s">
        <v>1709</v>
      </c>
      <c r="D1483" s="26" t="s">
        <v>56</v>
      </c>
      <c r="E1483" s="31">
        <v>46228.0</v>
      </c>
      <c r="F1483" s="26" t="s">
        <v>41</v>
      </c>
      <c r="G1483" s="26">
        <v>11.0</v>
      </c>
      <c r="I1483" s="26" t="s">
        <v>42</v>
      </c>
      <c r="J1483" s="25" t="str">
        <f t="shared" si="31"/>
        <v>No</v>
      </c>
      <c r="K1483" s="25" t="str">
        <f t="shared" si="32"/>
        <v/>
      </c>
      <c r="L1483" s="25" t="str">
        <f t="shared" si="33"/>
        <v/>
      </c>
      <c r="M1483" s="25"/>
      <c r="O1483" s="25"/>
    </row>
    <row r="1484" ht="15.75" customHeight="1">
      <c r="A1484" s="25" t="str">
        <f>IFERROR(__xludf.DUMMYFUNCTION("IF(B1484="""","""",RIGHT(REGEXREPLACE(B1484&amp;"""",""[^0-9]"",""""),9))"),"718080287")</f>
        <v>718080287</v>
      </c>
      <c r="B1484" s="26">
        <v>7.18080287E8</v>
      </c>
      <c r="C1484" s="28" t="s">
        <v>1710</v>
      </c>
      <c r="D1484" s="26" t="s">
        <v>37</v>
      </c>
      <c r="E1484" s="31">
        <v>46228.0</v>
      </c>
      <c r="F1484" s="26" t="s">
        <v>205</v>
      </c>
      <c r="G1484" s="26">
        <v>11.0</v>
      </c>
      <c r="I1484" s="26" t="s">
        <v>42</v>
      </c>
      <c r="J1484" s="25" t="str">
        <f t="shared" si="31"/>
        <v>No</v>
      </c>
      <c r="K1484" s="25" t="str">
        <f t="shared" si="32"/>
        <v/>
      </c>
      <c r="L1484" s="25" t="str">
        <f t="shared" si="33"/>
        <v/>
      </c>
      <c r="M1484" s="25"/>
      <c r="O1484" s="25"/>
    </row>
    <row r="1485" ht="15.75" customHeight="1">
      <c r="A1485" s="25" t="str">
        <f>IFERROR(__xludf.DUMMYFUNCTION("IF(B1485="""","""",RIGHT(REGEXREPLACE(B1485&amp;"""",""[^0-9]"",""""),9))"),"781779526")</f>
        <v>781779526</v>
      </c>
      <c r="B1485" s="52">
        <v>7.81779526E8</v>
      </c>
      <c r="C1485" s="28" t="s">
        <v>1711</v>
      </c>
      <c r="D1485" s="26" t="s">
        <v>49</v>
      </c>
      <c r="E1485" s="31">
        <v>46228.0</v>
      </c>
      <c r="F1485" s="26" t="s">
        <v>41</v>
      </c>
      <c r="G1485" s="26">
        <v>11.0</v>
      </c>
      <c r="I1485" s="26" t="s">
        <v>42</v>
      </c>
      <c r="J1485" s="25" t="str">
        <f t="shared" si="31"/>
        <v>No</v>
      </c>
      <c r="K1485" s="25" t="str">
        <f t="shared" si="32"/>
        <v/>
      </c>
      <c r="L1485" s="25" t="str">
        <f t="shared" si="33"/>
        <v/>
      </c>
      <c r="M1485" s="25"/>
      <c r="O1485" s="25"/>
    </row>
    <row r="1486" ht="15.75" customHeight="1">
      <c r="A1486" s="25" t="str">
        <f>IFERROR(__xludf.DUMMYFUNCTION("IF(B1486="""","""",RIGHT(REGEXREPLACE(B1486&amp;"""",""[^0-9]"",""""),9))"),"769175247")</f>
        <v>769175247</v>
      </c>
      <c r="B1486" s="52">
        <v>7.69175247E8</v>
      </c>
      <c r="C1486" s="28" t="s">
        <v>1712</v>
      </c>
      <c r="D1486" s="26" t="s">
        <v>45</v>
      </c>
      <c r="E1486" s="31">
        <v>46228.0</v>
      </c>
      <c r="F1486" s="26" t="s">
        <v>46</v>
      </c>
      <c r="G1486" s="26">
        <v>11.0</v>
      </c>
      <c r="I1486" s="26" t="s">
        <v>42</v>
      </c>
      <c r="J1486" s="25" t="str">
        <f t="shared" si="31"/>
        <v>No</v>
      </c>
      <c r="K1486" s="25" t="str">
        <f t="shared" si="32"/>
        <v/>
      </c>
      <c r="L1486" s="25" t="str">
        <f t="shared" si="33"/>
        <v/>
      </c>
      <c r="M1486" s="25"/>
      <c r="O1486" s="25"/>
    </row>
    <row r="1487" ht="15.75" customHeight="1">
      <c r="A1487" s="25" t="str">
        <f>IFERROR(__xludf.DUMMYFUNCTION("IF(B1487="""","""",RIGHT(REGEXREPLACE(B1487&amp;"""",""[^0-9]"",""""),9))"),"761421561")</f>
        <v>761421561</v>
      </c>
      <c r="B1487" s="52">
        <v>7.61421561E8</v>
      </c>
      <c r="C1487" s="28" t="s">
        <v>1713</v>
      </c>
      <c r="D1487" s="26" t="s">
        <v>49</v>
      </c>
      <c r="E1487" s="31">
        <v>46228.0</v>
      </c>
      <c r="F1487" s="26" t="s">
        <v>41</v>
      </c>
      <c r="G1487" s="26">
        <v>11.0</v>
      </c>
      <c r="I1487" s="26" t="s">
        <v>42</v>
      </c>
      <c r="J1487" s="25" t="str">
        <f t="shared" si="31"/>
        <v>No</v>
      </c>
      <c r="K1487" s="25" t="str">
        <f t="shared" si="32"/>
        <v/>
      </c>
      <c r="L1487" s="25" t="str">
        <f t="shared" si="33"/>
        <v/>
      </c>
      <c r="M1487" s="25"/>
      <c r="O1487" s="25"/>
    </row>
    <row r="1488" ht="15.75" customHeight="1">
      <c r="A1488" s="25" t="str">
        <f>IFERROR(__xludf.DUMMYFUNCTION("IF(B1488="""","""",RIGHT(REGEXREPLACE(B1488&amp;"""",""[^0-9]"",""""),9))"),"762113413")</f>
        <v>762113413</v>
      </c>
      <c r="B1488" s="52">
        <v>7.62113413E8</v>
      </c>
      <c r="C1488" s="28" t="s">
        <v>1714</v>
      </c>
      <c r="D1488" s="26" t="s">
        <v>82</v>
      </c>
      <c r="E1488" s="31">
        <v>46228.0</v>
      </c>
      <c r="F1488" s="26" t="s">
        <v>41</v>
      </c>
      <c r="G1488" s="26">
        <v>6.0</v>
      </c>
      <c r="I1488" s="26" t="s">
        <v>42</v>
      </c>
      <c r="J1488" s="25" t="str">
        <f t="shared" si="31"/>
        <v>No</v>
      </c>
      <c r="K1488" s="25" t="str">
        <f t="shared" si="32"/>
        <v/>
      </c>
      <c r="L1488" s="25" t="str">
        <f t="shared" si="33"/>
        <v/>
      </c>
      <c r="M1488" s="25"/>
      <c r="O1488" s="26" t="s">
        <v>51</v>
      </c>
    </row>
    <row r="1489" ht="15.75" customHeight="1">
      <c r="A1489" s="25" t="str">
        <f>IFERROR(__xludf.DUMMYFUNCTION("IF(B1489="""","""",RIGHT(REGEXREPLACE(B1489&amp;"""",""[^0-9]"",""""),9))"),"768348903")</f>
        <v>768348903</v>
      </c>
      <c r="B1489" s="26">
        <v>7.68348903E8</v>
      </c>
      <c r="C1489" s="28" t="s">
        <v>1715</v>
      </c>
      <c r="D1489" s="26" t="s">
        <v>37</v>
      </c>
      <c r="E1489" s="31">
        <v>46228.0</v>
      </c>
      <c r="F1489" s="26" t="s">
        <v>41</v>
      </c>
      <c r="I1489" s="26" t="s">
        <v>42</v>
      </c>
      <c r="J1489" s="25" t="str">
        <f t="shared" si="31"/>
        <v>No</v>
      </c>
      <c r="K1489" s="25" t="str">
        <f t="shared" si="32"/>
        <v/>
      </c>
      <c r="L1489" s="25" t="str">
        <f t="shared" si="33"/>
        <v/>
      </c>
      <c r="M1489" s="25"/>
      <c r="O1489" s="25"/>
    </row>
    <row r="1490" ht="15.75" customHeight="1">
      <c r="A1490" s="25" t="str">
        <f>IFERROR(__xludf.DUMMYFUNCTION("IF(B1490="""","""",RIGHT(REGEXREPLACE(B1490&amp;"""",""[^0-9]"",""""),9))"),"789913589")</f>
        <v>789913589</v>
      </c>
      <c r="B1490" s="52">
        <v>7.89913589E8</v>
      </c>
      <c r="C1490" s="28" t="s">
        <v>1716</v>
      </c>
      <c r="D1490" s="26" t="s">
        <v>49</v>
      </c>
      <c r="E1490" s="31">
        <v>46228.0</v>
      </c>
      <c r="F1490" s="26" t="s">
        <v>205</v>
      </c>
      <c r="G1490" s="26">
        <v>10.0</v>
      </c>
      <c r="I1490" s="26" t="s">
        <v>42</v>
      </c>
      <c r="J1490" s="25" t="str">
        <f t="shared" si="31"/>
        <v>No</v>
      </c>
      <c r="K1490" s="25" t="str">
        <f t="shared" si="32"/>
        <v/>
      </c>
      <c r="L1490" s="25" t="str">
        <f t="shared" si="33"/>
        <v/>
      </c>
      <c r="M1490" s="25"/>
      <c r="O1490" s="25"/>
    </row>
    <row r="1491" ht="15.75" customHeight="1">
      <c r="A1491" s="25" t="str">
        <f>IFERROR(__xludf.DUMMYFUNCTION("IF(B1491="""","""",RIGHT(REGEXREPLACE(B1491&amp;"""",""[^0-9]"",""""),9))"),"741883536")</f>
        <v>741883536</v>
      </c>
      <c r="B1491" s="52">
        <v>7.41883536E8</v>
      </c>
      <c r="C1491" s="28" t="s">
        <v>1717</v>
      </c>
      <c r="D1491" s="26" t="s">
        <v>45</v>
      </c>
      <c r="E1491" s="31">
        <v>46228.0</v>
      </c>
      <c r="F1491" s="26" t="s">
        <v>46</v>
      </c>
      <c r="G1491" s="26">
        <v>9.0</v>
      </c>
      <c r="H1491" s="26" t="s">
        <v>1718</v>
      </c>
      <c r="I1491" s="26" t="s">
        <v>42</v>
      </c>
      <c r="J1491" s="25" t="str">
        <f t="shared" si="31"/>
        <v>No</v>
      </c>
      <c r="K1491" s="25" t="str">
        <f t="shared" si="32"/>
        <v/>
      </c>
      <c r="L1491" s="25" t="str">
        <f t="shared" si="33"/>
        <v/>
      </c>
      <c r="M1491" s="25"/>
      <c r="O1491" s="25"/>
    </row>
    <row r="1492" ht="15.75" customHeight="1">
      <c r="A1492" s="25" t="str">
        <f>IFERROR(__xludf.DUMMYFUNCTION("IF(B1492="""","""",RIGHT(REGEXREPLACE(B1492&amp;"""",""[^0-9]"",""""),9))"),"702446085")</f>
        <v>702446085</v>
      </c>
      <c r="B1492" s="52">
        <v>7.02446085E8</v>
      </c>
      <c r="C1492" s="28" t="s">
        <v>984</v>
      </c>
      <c r="D1492" s="26" t="s">
        <v>56</v>
      </c>
      <c r="E1492" s="31">
        <v>46228.0</v>
      </c>
      <c r="F1492" s="26" t="s">
        <v>46</v>
      </c>
      <c r="G1492" s="26">
        <v>10.0</v>
      </c>
      <c r="I1492" s="26" t="s">
        <v>42</v>
      </c>
      <c r="J1492" s="25" t="str">
        <f t="shared" si="31"/>
        <v>No</v>
      </c>
      <c r="K1492" s="25" t="str">
        <f t="shared" si="32"/>
        <v/>
      </c>
      <c r="L1492" s="25" t="str">
        <f t="shared" si="33"/>
        <v/>
      </c>
      <c r="M1492" s="25"/>
      <c r="O1492" s="25"/>
    </row>
    <row r="1493" ht="15.75" customHeight="1">
      <c r="A1493" s="25" t="str">
        <f>IFERROR(__xludf.DUMMYFUNCTION("IF(B1493="""","""",RIGHT(REGEXREPLACE(B1493&amp;"""",""[^0-9]"",""""),9))"),"717086676")</f>
        <v>717086676</v>
      </c>
      <c r="B1493" s="52">
        <v>7.17086676E8</v>
      </c>
      <c r="C1493" s="28" t="s">
        <v>1719</v>
      </c>
      <c r="D1493" s="26" t="s">
        <v>82</v>
      </c>
      <c r="E1493" s="31">
        <v>46228.0</v>
      </c>
      <c r="F1493" s="26" t="s">
        <v>41</v>
      </c>
      <c r="I1493" s="26" t="s">
        <v>42</v>
      </c>
      <c r="J1493" s="25" t="str">
        <f t="shared" si="31"/>
        <v>No</v>
      </c>
      <c r="K1493" s="25" t="str">
        <f t="shared" si="32"/>
        <v/>
      </c>
      <c r="L1493" s="25" t="str">
        <f t="shared" si="33"/>
        <v/>
      </c>
      <c r="M1493" s="25"/>
      <c r="O1493" s="25"/>
    </row>
    <row r="1494" ht="15.75" customHeight="1">
      <c r="A1494" s="25" t="str">
        <f>IFERROR(__xludf.DUMMYFUNCTION("IF(B1494="""","""",RIGHT(REGEXREPLACE(B1494&amp;"""",""[^0-9]"",""""),9))"),"742142639")</f>
        <v>742142639</v>
      </c>
      <c r="B1494" s="52">
        <v>7.42142639E8</v>
      </c>
      <c r="C1494" s="28" t="s">
        <v>1720</v>
      </c>
      <c r="D1494" s="26" t="s">
        <v>49</v>
      </c>
      <c r="E1494" s="31">
        <v>46228.0</v>
      </c>
      <c r="F1494" s="26" t="s">
        <v>46</v>
      </c>
      <c r="G1494" s="26">
        <v>11.0</v>
      </c>
      <c r="I1494" s="26" t="s">
        <v>42</v>
      </c>
      <c r="J1494" s="25" t="str">
        <f t="shared" si="31"/>
        <v>No</v>
      </c>
      <c r="K1494" s="25" t="str">
        <f t="shared" si="32"/>
        <v/>
      </c>
      <c r="L1494" s="25" t="str">
        <f t="shared" si="33"/>
        <v/>
      </c>
      <c r="M1494" s="25"/>
      <c r="O1494" s="25"/>
    </row>
    <row r="1495" ht="15.75" customHeight="1">
      <c r="A1495" s="25" t="str">
        <f>IFERROR(__xludf.DUMMYFUNCTION("IF(B1495="""","""",RIGHT(REGEXREPLACE(B1495&amp;"""",""[^0-9]"",""""),9))"),"714968595")</f>
        <v>714968595</v>
      </c>
      <c r="B1495" s="52">
        <v>7.14968595E8</v>
      </c>
      <c r="C1495" s="28" t="s">
        <v>1721</v>
      </c>
      <c r="D1495" s="26" t="s">
        <v>45</v>
      </c>
      <c r="E1495" s="31">
        <v>46228.0</v>
      </c>
      <c r="F1495" s="26" t="s">
        <v>46</v>
      </c>
      <c r="H1495" s="26" t="s">
        <v>1722</v>
      </c>
      <c r="I1495" s="26" t="s">
        <v>42</v>
      </c>
      <c r="J1495" s="25" t="str">
        <f t="shared" si="31"/>
        <v>No</v>
      </c>
      <c r="K1495" s="25" t="str">
        <f t="shared" si="32"/>
        <v/>
      </c>
      <c r="L1495" s="25" t="str">
        <f t="shared" si="33"/>
        <v/>
      </c>
      <c r="M1495" s="25"/>
      <c r="O1495" s="25"/>
    </row>
    <row r="1496" ht="15.75" customHeight="1">
      <c r="A1496" s="25" t="str">
        <f>IFERROR(__xludf.DUMMYFUNCTION("IF(B1496="""","""",RIGHT(REGEXREPLACE(B1496&amp;"""",""[^0-9]"",""""),9))"),"761573600")</f>
        <v>761573600</v>
      </c>
      <c r="B1496" s="52">
        <v>7.615736E8</v>
      </c>
      <c r="C1496" s="28" t="s">
        <v>1723</v>
      </c>
      <c r="D1496" s="26" t="s">
        <v>82</v>
      </c>
      <c r="E1496" s="31">
        <v>46228.0</v>
      </c>
      <c r="F1496" s="26" t="s">
        <v>46</v>
      </c>
      <c r="G1496" s="26">
        <v>11.0</v>
      </c>
      <c r="I1496" s="26" t="s">
        <v>42</v>
      </c>
      <c r="J1496" s="25" t="str">
        <f t="shared" si="31"/>
        <v>No</v>
      </c>
      <c r="K1496" s="25" t="str">
        <f t="shared" si="32"/>
        <v/>
      </c>
      <c r="L1496" s="25" t="str">
        <f t="shared" si="33"/>
        <v/>
      </c>
      <c r="M1496" s="25"/>
      <c r="O1496" s="25"/>
    </row>
    <row r="1497" ht="15.75" customHeight="1">
      <c r="A1497" s="25" t="str">
        <f>IFERROR(__xludf.DUMMYFUNCTION("IF(B1497="""","""",RIGHT(REGEXREPLACE(B1497&amp;"""",""[^0-9]"",""""),9))"),"704249205")</f>
        <v>704249205</v>
      </c>
      <c r="B1497" s="52">
        <v>7.04249205E8</v>
      </c>
      <c r="C1497" s="28" t="s">
        <v>1724</v>
      </c>
      <c r="D1497" s="26" t="s">
        <v>49</v>
      </c>
      <c r="E1497" s="31">
        <v>46228.0</v>
      </c>
      <c r="F1497" s="26" t="s">
        <v>46</v>
      </c>
      <c r="G1497" s="26">
        <v>11.0</v>
      </c>
      <c r="I1497" s="26" t="s">
        <v>42</v>
      </c>
      <c r="J1497" s="25" t="str">
        <f t="shared" si="31"/>
        <v>No</v>
      </c>
      <c r="K1497" s="25" t="str">
        <f t="shared" si="32"/>
        <v/>
      </c>
      <c r="L1497" s="25" t="str">
        <f t="shared" si="33"/>
        <v/>
      </c>
      <c r="M1497" s="25"/>
      <c r="O1497" s="25"/>
    </row>
    <row r="1498" ht="15.75" customHeight="1">
      <c r="A1498" s="25" t="str">
        <f>IFERROR(__xludf.DUMMYFUNCTION("IF(B1498="""","""",RIGHT(REGEXREPLACE(B1498&amp;"""",""[^0-9]"",""""),9))"),"719424421")</f>
        <v>719424421</v>
      </c>
      <c r="B1498" s="52">
        <v>7.19424421E8</v>
      </c>
      <c r="C1498" s="28" t="s">
        <v>1725</v>
      </c>
      <c r="D1498" s="26" t="s">
        <v>45</v>
      </c>
      <c r="E1498" s="31">
        <v>46228.0</v>
      </c>
      <c r="F1498" s="26" t="s">
        <v>46</v>
      </c>
      <c r="G1498" s="26">
        <v>10.0</v>
      </c>
      <c r="H1498" s="26" t="s">
        <v>720</v>
      </c>
      <c r="I1498" s="26" t="s">
        <v>42</v>
      </c>
      <c r="J1498" s="25" t="str">
        <f t="shared" si="31"/>
        <v>No</v>
      </c>
      <c r="K1498" s="25" t="str">
        <f t="shared" si="32"/>
        <v/>
      </c>
      <c r="L1498" s="25" t="str">
        <f t="shared" si="33"/>
        <v/>
      </c>
      <c r="M1498" s="25"/>
      <c r="O1498" s="25"/>
    </row>
    <row r="1499" ht="15.75" customHeight="1">
      <c r="A1499" s="25" t="str">
        <f>IFERROR(__xludf.DUMMYFUNCTION("IF(B1499="""","""",RIGHT(REGEXREPLACE(B1499&amp;"""",""[^0-9]"",""""),9))"),"712490060")</f>
        <v>712490060</v>
      </c>
      <c r="B1499" s="52">
        <v>7.1249006E8</v>
      </c>
      <c r="C1499" s="28" t="s">
        <v>1726</v>
      </c>
      <c r="D1499" s="26" t="s">
        <v>56</v>
      </c>
      <c r="E1499" s="31">
        <v>46228.0</v>
      </c>
      <c r="F1499" s="26" t="s">
        <v>41</v>
      </c>
      <c r="G1499" s="26">
        <v>10.0</v>
      </c>
      <c r="I1499" s="26" t="s">
        <v>42</v>
      </c>
      <c r="J1499" s="25" t="str">
        <f t="shared" si="31"/>
        <v>No</v>
      </c>
      <c r="K1499" s="25" t="str">
        <f t="shared" si="32"/>
        <v/>
      </c>
      <c r="L1499" s="25" t="str">
        <f t="shared" si="33"/>
        <v/>
      </c>
      <c r="M1499" s="25"/>
      <c r="O1499" s="25"/>
    </row>
    <row r="1500" ht="15.75" customHeight="1">
      <c r="A1500" s="25" t="str">
        <f>IFERROR(__xludf.DUMMYFUNCTION("IF(B1500="""","""",RIGHT(REGEXREPLACE(B1500&amp;"""",""[^0-9]"",""""),9))"),"740881457")</f>
        <v>740881457</v>
      </c>
      <c r="B1500" s="52">
        <v>7.40881457E8</v>
      </c>
      <c r="C1500" s="28" t="s">
        <v>1727</v>
      </c>
      <c r="D1500" s="26" t="s">
        <v>49</v>
      </c>
      <c r="E1500" s="31">
        <v>46228.0</v>
      </c>
      <c r="F1500" s="26" t="s">
        <v>41</v>
      </c>
      <c r="G1500" s="26">
        <v>11.0</v>
      </c>
      <c r="I1500" s="26" t="s">
        <v>42</v>
      </c>
      <c r="J1500" s="25" t="str">
        <f t="shared" si="31"/>
        <v>No</v>
      </c>
      <c r="K1500" s="25" t="str">
        <f t="shared" si="32"/>
        <v/>
      </c>
      <c r="L1500" s="25" t="str">
        <f t="shared" si="33"/>
        <v/>
      </c>
      <c r="M1500" s="25"/>
      <c r="O1500" s="25"/>
    </row>
    <row r="1501" ht="15.75" customHeight="1">
      <c r="A1501" s="25" t="str">
        <f>IFERROR(__xludf.DUMMYFUNCTION("IF(B1501="""","""",RIGHT(REGEXREPLACE(B1501&amp;"""",""[^0-9]"",""""),9))"),"771658273")</f>
        <v>771658273</v>
      </c>
      <c r="B1501" s="52">
        <v>7.71658273E8</v>
      </c>
      <c r="C1501" s="28" t="s">
        <v>1728</v>
      </c>
      <c r="D1501" s="26" t="s">
        <v>56</v>
      </c>
      <c r="E1501" s="31">
        <v>46228.0</v>
      </c>
      <c r="F1501" s="26" t="s">
        <v>125</v>
      </c>
      <c r="G1501" s="26">
        <v>11.0</v>
      </c>
      <c r="I1501" s="26" t="s">
        <v>42</v>
      </c>
      <c r="J1501" s="25" t="str">
        <f t="shared" si="31"/>
        <v>No</v>
      </c>
      <c r="K1501" s="25" t="str">
        <f t="shared" si="32"/>
        <v/>
      </c>
      <c r="L1501" s="25" t="str">
        <f t="shared" si="33"/>
        <v/>
      </c>
      <c r="M1501" s="25"/>
      <c r="O1501" s="25"/>
    </row>
    <row r="1502" ht="15.75" customHeight="1">
      <c r="A1502" s="25" t="str">
        <f>IFERROR(__xludf.DUMMYFUNCTION("IF(B1502="""","""",RIGHT(REGEXREPLACE(B1502&amp;"""",""[^0-9]"",""""),9))"),"714014413")</f>
        <v>714014413</v>
      </c>
      <c r="B1502" s="52">
        <v>7.14014413E8</v>
      </c>
      <c r="C1502" s="28" t="s">
        <v>1729</v>
      </c>
      <c r="D1502" s="26" t="s">
        <v>45</v>
      </c>
      <c r="E1502" s="31">
        <v>46228.0</v>
      </c>
      <c r="F1502" s="26" t="s">
        <v>46</v>
      </c>
      <c r="G1502" s="26">
        <v>11.0</v>
      </c>
      <c r="I1502" s="26" t="s">
        <v>42</v>
      </c>
      <c r="J1502" s="25" t="str">
        <f t="shared" si="31"/>
        <v>No</v>
      </c>
      <c r="K1502" s="25" t="str">
        <f t="shared" si="32"/>
        <v/>
      </c>
      <c r="L1502" s="25" t="str">
        <f t="shared" si="33"/>
        <v/>
      </c>
      <c r="M1502" s="25"/>
      <c r="O1502" s="25"/>
    </row>
    <row r="1503" ht="15.75" customHeight="1">
      <c r="A1503" s="25" t="str">
        <f>IFERROR(__xludf.DUMMYFUNCTION("IF(B1503="""","""",RIGHT(REGEXREPLACE(B1503&amp;"""",""[^0-9]"",""""),9))"),"760226208")</f>
        <v>760226208</v>
      </c>
      <c r="B1503" s="52">
        <v>7.60226208E8</v>
      </c>
      <c r="C1503" s="28" t="s">
        <v>1730</v>
      </c>
      <c r="D1503" s="26" t="s">
        <v>49</v>
      </c>
      <c r="E1503" s="31">
        <v>46228.0</v>
      </c>
      <c r="F1503" s="26" t="s">
        <v>205</v>
      </c>
      <c r="G1503" s="26">
        <v>11.0</v>
      </c>
      <c r="I1503" s="26" t="s">
        <v>42</v>
      </c>
      <c r="J1503" s="25" t="str">
        <f t="shared" si="31"/>
        <v>No</v>
      </c>
      <c r="K1503" s="25" t="str">
        <f t="shared" si="32"/>
        <v/>
      </c>
      <c r="L1503" s="25" t="str">
        <f t="shared" si="33"/>
        <v/>
      </c>
      <c r="M1503" s="25"/>
      <c r="O1503" s="25"/>
    </row>
    <row r="1504" ht="15.75" customHeight="1">
      <c r="A1504" s="25" t="str">
        <f>IFERROR(__xludf.DUMMYFUNCTION("IF(B1504="""","""",RIGHT(REGEXREPLACE(B1504&amp;"""",""[^0-9]"",""""),9))"),"763201105")</f>
        <v>763201105</v>
      </c>
      <c r="B1504" s="52">
        <v>7.63201105E8</v>
      </c>
      <c r="C1504" s="28" t="s">
        <v>1371</v>
      </c>
      <c r="D1504" s="26" t="s">
        <v>82</v>
      </c>
      <c r="E1504" s="31">
        <v>46228.0</v>
      </c>
      <c r="F1504" s="26" t="s">
        <v>41</v>
      </c>
      <c r="I1504" s="26" t="s">
        <v>42</v>
      </c>
      <c r="J1504" s="25" t="str">
        <f t="shared" si="31"/>
        <v>No</v>
      </c>
      <c r="K1504" s="25" t="str">
        <f t="shared" si="32"/>
        <v/>
      </c>
      <c r="L1504" s="25" t="str">
        <f t="shared" si="33"/>
        <v/>
      </c>
      <c r="M1504" s="25"/>
      <c r="O1504" s="25"/>
    </row>
    <row r="1505" ht="15.75" customHeight="1">
      <c r="A1505" s="25" t="str">
        <f>IFERROR(__xludf.DUMMYFUNCTION("IF(B1505="""","""",RIGHT(REGEXREPLACE(B1505&amp;"""",""[^0-9]"",""""),9))"),"776547495")</f>
        <v>776547495</v>
      </c>
      <c r="B1505" s="26">
        <v>7.76547495E8</v>
      </c>
      <c r="C1505" s="28" t="s">
        <v>1731</v>
      </c>
      <c r="D1505" s="26" t="s">
        <v>37</v>
      </c>
      <c r="E1505" s="31">
        <v>46228.0</v>
      </c>
      <c r="F1505" s="26" t="s">
        <v>46</v>
      </c>
      <c r="G1505" s="26">
        <v>11.0</v>
      </c>
      <c r="I1505" s="26" t="s">
        <v>42</v>
      </c>
      <c r="J1505" s="25" t="str">
        <f t="shared" si="31"/>
        <v>No</v>
      </c>
      <c r="K1505" s="25" t="str">
        <f t="shared" si="32"/>
        <v/>
      </c>
      <c r="L1505" s="25" t="str">
        <f t="shared" si="33"/>
        <v/>
      </c>
      <c r="M1505" s="25"/>
      <c r="O1505" s="25"/>
    </row>
    <row r="1506" ht="15.75" customHeight="1">
      <c r="A1506" s="25" t="str">
        <f>IFERROR(__xludf.DUMMYFUNCTION("IF(B1506="""","""",RIGHT(REGEXREPLACE(B1506&amp;"""",""[^0-9]"",""""),9))"),"742968183")</f>
        <v>742968183</v>
      </c>
      <c r="B1506" s="52">
        <v>7.42968183E8</v>
      </c>
      <c r="C1506" s="28" t="s">
        <v>1732</v>
      </c>
      <c r="D1506" s="26" t="s">
        <v>45</v>
      </c>
      <c r="E1506" s="31">
        <v>46228.0</v>
      </c>
      <c r="F1506" s="26" t="s">
        <v>41</v>
      </c>
      <c r="I1506" s="26" t="s">
        <v>42</v>
      </c>
      <c r="J1506" s="25" t="str">
        <f t="shared" si="31"/>
        <v>No</v>
      </c>
      <c r="K1506" s="25" t="str">
        <f t="shared" si="32"/>
        <v/>
      </c>
      <c r="L1506" s="25" t="str">
        <f t="shared" si="33"/>
        <v/>
      </c>
      <c r="M1506" s="25"/>
      <c r="O1506" s="25"/>
    </row>
    <row r="1507" ht="15.75" customHeight="1">
      <c r="A1507" s="25" t="str">
        <f>IFERROR(__xludf.DUMMYFUNCTION("IF(B1507="""","""",RIGHT(REGEXREPLACE(B1507&amp;"""",""[^0-9]"",""""),9))"),"741687161")</f>
        <v>741687161</v>
      </c>
      <c r="B1507" s="52">
        <v>7.41687161E8</v>
      </c>
      <c r="C1507" s="28" t="s">
        <v>1733</v>
      </c>
      <c r="D1507" s="26" t="s">
        <v>49</v>
      </c>
      <c r="E1507" s="31">
        <v>46228.0</v>
      </c>
      <c r="F1507" s="26" t="s">
        <v>46</v>
      </c>
      <c r="G1507" s="26">
        <v>11.0</v>
      </c>
      <c r="I1507" s="26" t="s">
        <v>42</v>
      </c>
      <c r="J1507" s="25" t="str">
        <f t="shared" si="31"/>
        <v>No</v>
      </c>
      <c r="K1507" s="25" t="str">
        <f t="shared" si="32"/>
        <v/>
      </c>
      <c r="L1507" s="25" t="str">
        <f t="shared" si="33"/>
        <v/>
      </c>
      <c r="M1507" s="25"/>
      <c r="O1507" s="25"/>
    </row>
    <row r="1508" ht="15.75" customHeight="1">
      <c r="A1508" s="25" t="str">
        <f>IFERROR(__xludf.DUMMYFUNCTION("IF(B1508="""","""",RIGHT(REGEXREPLACE(B1508&amp;"""",""[^0-9]"",""""),9))"),"717171534")</f>
        <v>717171534</v>
      </c>
      <c r="B1508" s="26">
        <v>7.17171534E8</v>
      </c>
      <c r="C1508" s="28" t="s">
        <v>1734</v>
      </c>
      <c r="D1508" s="26" t="s">
        <v>37</v>
      </c>
      <c r="E1508" s="31">
        <v>46228.0</v>
      </c>
      <c r="F1508" s="26" t="s">
        <v>46</v>
      </c>
      <c r="G1508" s="26">
        <v>11.0</v>
      </c>
      <c r="I1508" s="26" t="s">
        <v>42</v>
      </c>
      <c r="J1508" s="25" t="str">
        <f t="shared" si="31"/>
        <v>No</v>
      </c>
      <c r="K1508" s="25" t="str">
        <f t="shared" si="32"/>
        <v/>
      </c>
      <c r="L1508" s="25" t="str">
        <f t="shared" si="33"/>
        <v/>
      </c>
      <c r="M1508" s="25"/>
      <c r="O1508" s="25"/>
    </row>
    <row r="1509" ht="15.75" customHeight="1">
      <c r="A1509" s="25" t="str">
        <f>IFERROR(__xludf.DUMMYFUNCTION("IF(B1509="""","""",RIGHT(REGEXREPLACE(B1509&amp;"""",""[^0-9]"",""""),9))"),"727884200")</f>
        <v>727884200</v>
      </c>
      <c r="B1509" s="52">
        <v>7.278842E8</v>
      </c>
      <c r="C1509" s="28" t="s">
        <v>1735</v>
      </c>
      <c r="D1509" s="26" t="s">
        <v>45</v>
      </c>
      <c r="E1509" s="31">
        <v>46228.0</v>
      </c>
      <c r="F1509" s="26" t="s">
        <v>46</v>
      </c>
      <c r="G1509" s="26">
        <v>11.0</v>
      </c>
      <c r="I1509" s="26" t="s">
        <v>42</v>
      </c>
      <c r="J1509" s="25" t="str">
        <f t="shared" si="31"/>
        <v>No</v>
      </c>
      <c r="K1509" s="25" t="str">
        <f t="shared" si="32"/>
        <v/>
      </c>
      <c r="L1509" s="25" t="str">
        <f t="shared" si="33"/>
        <v/>
      </c>
      <c r="M1509" s="25"/>
      <c r="O1509" s="25"/>
    </row>
    <row r="1510" ht="15.75" customHeight="1">
      <c r="A1510" s="25" t="str">
        <f>IFERROR(__xludf.DUMMYFUNCTION("IF(B1510="""","""",RIGHT(REGEXREPLACE(B1510&amp;"""",""[^0-9]"",""""),9))"),"767919448")</f>
        <v>767919448</v>
      </c>
      <c r="B1510" s="52">
        <v>7.67919448E8</v>
      </c>
      <c r="C1510" s="28" t="s">
        <v>1736</v>
      </c>
      <c r="D1510" s="26" t="s">
        <v>49</v>
      </c>
      <c r="E1510" s="31">
        <v>46228.0</v>
      </c>
      <c r="F1510" s="26" t="s">
        <v>46</v>
      </c>
      <c r="G1510" s="26">
        <v>11.0</v>
      </c>
      <c r="I1510" s="26" t="s">
        <v>42</v>
      </c>
      <c r="J1510" s="25" t="str">
        <f t="shared" si="31"/>
        <v>No</v>
      </c>
      <c r="K1510" s="25" t="str">
        <f t="shared" si="32"/>
        <v/>
      </c>
      <c r="L1510" s="25" t="str">
        <f t="shared" si="33"/>
        <v/>
      </c>
      <c r="M1510" s="25"/>
      <c r="O1510" s="25"/>
    </row>
    <row r="1511" ht="15.75" customHeight="1">
      <c r="A1511" s="25" t="str">
        <f>IFERROR(__xludf.DUMMYFUNCTION("IF(B1511="""","""",RIGHT(REGEXREPLACE(B1511&amp;"""",""[^0-9]"",""""),9))"),"714584113")</f>
        <v>714584113</v>
      </c>
      <c r="B1511" s="26">
        <v>7.14584113E8</v>
      </c>
      <c r="C1511" s="28" t="s">
        <v>1737</v>
      </c>
      <c r="D1511" s="26" t="s">
        <v>37</v>
      </c>
      <c r="E1511" s="31">
        <v>46228.0</v>
      </c>
      <c r="F1511" s="26" t="s">
        <v>205</v>
      </c>
      <c r="G1511" s="26">
        <v>9.0</v>
      </c>
      <c r="I1511" s="26" t="s">
        <v>42</v>
      </c>
      <c r="J1511" s="25" t="str">
        <f t="shared" si="31"/>
        <v>No</v>
      </c>
      <c r="K1511" s="25" t="str">
        <f t="shared" si="32"/>
        <v/>
      </c>
      <c r="L1511" s="25" t="str">
        <f t="shared" si="33"/>
        <v/>
      </c>
      <c r="M1511" s="25"/>
      <c r="O1511" s="25"/>
    </row>
    <row r="1512" ht="15.75" customHeight="1">
      <c r="A1512" s="25" t="str">
        <f>IFERROR(__xludf.DUMMYFUNCTION("IF(B1512="""","""",RIGHT(REGEXREPLACE(B1512&amp;"""",""[^0-9]"",""""),9))"),"718102686")</f>
        <v>718102686</v>
      </c>
      <c r="B1512" s="26">
        <v>7.18102686E8</v>
      </c>
      <c r="C1512" s="28" t="s">
        <v>1738</v>
      </c>
      <c r="D1512" s="26" t="s">
        <v>37</v>
      </c>
      <c r="E1512" s="31">
        <v>46228.0</v>
      </c>
      <c r="F1512" s="26" t="s">
        <v>205</v>
      </c>
      <c r="I1512" s="26" t="s">
        <v>42</v>
      </c>
      <c r="J1512" s="25" t="str">
        <f t="shared" si="31"/>
        <v>No</v>
      </c>
      <c r="K1512" s="25" t="str">
        <f t="shared" si="32"/>
        <v/>
      </c>
      <c r="L1512" s="25" t="str">
        <f t="shared" si="33"/>
        <v/>
      </c>
      <c r="M1512" s="25"/>
      <c r="O1512" s="25"/>
    </row>
    <row r="1513" ht="15.75" customHeight="1">
      <c r="A1513" s="25" t="str">
        <f>IFERROR(__xludf.DUMMYFUNCTION("IF(B1513="""","""",RIGHT(REGEXREPLACE(B1513&amp;"""",""[^0-9]"",""""),9))"),"770758505")</f>
        <v>770758505</v>
      </c>
      <c r="B1513" s="52">
        <v>7.70758505E8</v>
      </c>
      <c r="C1513" s="28" t="s">
        <v>1739</v>
      </c>
      <c r="D1513" s="26" t="s">
        <v>82</v>
      </c>
      <c r="E1513" s="31">
        <v>46228.0</v>
      </c>
      <c r="F1513" s="26" t="s">
        <v>46</v>
      </c>
      <c r="G1513" s="26">
        <v>10.0</v>
      </c>
      <c r="I1513" s="26" t="s">
        <v>42</v>
      </c>
      <c r="J1513" s="25" t="str">
        <f t="shared" si="31"/>
        <v>No</v>
      </c>
      <c r="K1513" s="25" t="str">
        <f t="shared" si="32"/>
        <v/>
      </c>
      <c r="L1513" s="25" t="str">
        <f t="shared" si="33"/>
        <v/>
      </c>
      <c r="M1513" s="25"/>
      <c r="O1513" s="25"/>
    </row>
    <row r="1514" ht="15.75" customHeight="1">
      <c r="A1514" s="25" t="str">
        <f>IFERROR(__xludf.DUMMYFUNCTION("IF(B1514="""","""",RIGHT(REGEXREPLACE(B1514&amp;"""",""[^0-9]"",""""),9))"),"769369329")</f>
        <v>769369329</v>
      </c>
      <c r="B1514" s="52">
        <v>7.69369329E8</v>
      </c>
      <c r="C1514" s="28" t="s">
        <v>1740</v>
      </c>
      <c r="D1514" s="26" t="s">
        <v>45</v>
      </c>
      <c r="E1514" s="31">
        <v>46228.0</v>
      </c>
      <c r="F1514" s="26" t="s">
        <v>41</v>
      </c>
      <c r="I1514" s="26" t="s">
        <v>42</v>
      </c>
      <c r="J1514" s="25" t="str">
        <f t="shared" si="31"/>
        <v>No</v>
      </c>
      <c r="K1514" s="25" t="str">
        <f t="shared" si="32"/>
        <v/>
      </c>
      <c r="L1514" s="25" t="str">
        <f t="shared" si="33"/>
        <v/>
      </c>
      <c r="M1514" s="25"/>
      <c r="O1514" s="25"/>
    </row>
    <row r="1515" ht="15.75" customHeight="1">
      <c r="A1515" s="25" t="str">
        <f>IFERROR(__xludf.DUMMYFUNCTION("IF(B1515="""","""",RIGHT(REGEXREPLACE(B1515&amp;"""",""[^0-9]"",""""),9))"),"705904338")</f>
        <v>705904338</v>
      </c>
      <c r="B1515" s="26">
        <v>7.05904338E8</v>
      </c>
      <c r="C1515" s="28" t="s">
        <v>1741</v>
      </c>
      <c r="D1515" s="26" t="s">
        <v>37</v>
      </c>
      <c r="E1515" s="31">
        <v>46228.0</v>
      </c>
      <c r="F1515" s="26" t="s">
        <v>46</v>
      </c>
      <c r="G1515" s="26">
        <v>11.0</v>
      </c>
      <c r="H1515" s="26" t="s">
        <v>1308</v>
      </c>
      <c r="I1515" s="26" t="s">
        <v>42</v>
      </c>
      <c r="J1515" s="25" t="str">
        <f t="shared" si="31"/>
        <v>No</v>
      </c>
      <c r="K1515" s="25" t="str">
        <f t="shared" si="32"/>
        <v/>
      </c>
      <c r="L1515" s="25" t="str">
        <f t="shared" si="33"/>
        <v/>
      </c>
      <c r="M1515" s="25"/>
      <c r="O1515" s="25"/>
    </row>
    <row r="1516" ht="15.75" customHeight="1">
      <c r="A1516" s="25" t="str">
        <f>IFERROR(__xludf.DUMMYFUNCTION("IF(B1516="""","""",RIGHT(REGEXREPLACE(B1516&amp;"""",""[^0-9]"",""""),9))"),"768719834")</f>
        <v>768719834</v>
      </c>
      <c r="B1516" s="26">
        <v>7.68719834E8</v>
      </c>
      <c r="C1516" s="28" t="s">
        <v>1742</v>
      </c>
      <c r="D1516" s="26" t="s">
        <v>37</v>
      </c>
      <c r="E1516" s="31">
        <v>46228.0</v>
      </c>
      <c r="F1516" s="26" t="s">
        <v>205</v>
      </c>
      <c r="G1516" s="26">
        <v>11.0</v>
      </c>
      <c r="I1516" s="26" t="s">
        <v>42</v>
      </c>
      <c r="J1516" s="25" t="str">
        <f t="shared" si="31"/>
        <v>No</v>
      </c>
      <c r="K1516" s="25" t="str">
        <f t="shared" si="32"/>
        <v/>
      </c>
      <c r="L1516" s="25" t="str">
        <f t="shared" si="33"/>
        <v/>
      </c>
      <c r="M1516" s="25"/>
      <c r="O1516" s="25"/>
    </row>
    <row r="1517" ht="15.75" customHeight="1">
      <c r="A1517" s="25" t="str">
        <f>IFERROR(__xludf.DUMMYFUNCTION("IF(B1517="""","""",RIGHT(REGEXREPLACE(B1517&amp;"""",""[^0-9]"",""""),9))"),"712064602")</f>
        <v>712064602</v>
      </c>
      <c r="B1517" s="52">
        <v>7.12064602E8</v>
      </c>
      <c r="C1517" s="28" t="s">
        <v>1743</v>
      </c>
      <c r="D1517" s="26" t="s">
        <v>49</v>
      </c>
      <c r="E1517" s="31">
        <v>46228.0</v>
      </c>
      <c r="F1517" s="26" t="s">
        <v>41</v>
      </c>
      <c r="G1517" s="26">
        <v>11.0</v>
      </c>
      <c r="I1517" s="26" t="s">
        <v>42</v>
      </c>
      <c r="J1517" s="25" t="str">
        <f t="shared" si="31"/>
        <v>No</v>
      </c>
      <c r="K1517" s="25" t="str">
        <f t="shared" si="32"/>
        <v/>
      </c>
      <c r="L1517" s="25" t="str">
        <f t="shared" si="33"/>
        <v/>
      </c>
      <c r="M1517" s="25"/>
      <c r="O1517" s="25"/>
    </row>
    <row r="1518" ht="15.75" customHeight="1">
      <c r="A1518" s="25" t="str">
        <f>IFERROR(__xludf.DUMMYFUNCTION("IF(B1518="""","""",RIGHT(REGEXREPLACE(B1518&amp;"""",""[^0-9]"",""""),9))"),"778442955")</f>
        <v>778442955</v>
      </c>
      <c r="B1518" s="52">
        <v>7.78442955E8</v>
      </c>
      <c r="C1518" s="28" t="s">
        <v>1744</v>
      </c>
      <c r="D1518" s="26" t="s">
        <v>82</v>
      </c>
      <c r="E1518" s="31">
        <v>46228.0</v>
      </c>
      <c r="F1518" s="26" t="s">
        <v>41</v>
      </c>
      <c r="I1518" s="26" t="s">
        <v>42</v>
      </c>
      <c r="J1518" s="25" t="str">
        <f t="shared" si="31"/>
        <v>No</v>
      </c>
      <c r="K1518" s="25" t="str">
        <f t="shared" si="32"/>
        <v/>
      </c>
      <c r="L1518" s="25" t="str">
        <f t="shared" si="33"/>
        <v/>
      </c>
      <c r="M1518" s="25"/>
      <c r="O1518" s="25"/>
    </row>
    <row r="1519" ht="15.75" customHeight="1">
      <c r="A1519" s="25" t="str">
        <f>IFERROR(__xludf.DUMMYFUNCTION("IF(B1519="""","""",RIGHT(REGEXREPLACE(B1519&amp;"""",""[^0-9]"",""""),9))"),"710189894")</f>
        <v>710189894</v>
      </c>
      <c r="B1519" s="52">
        <v>7.10189894E8</v>
      </c>
      <c r="C1519" s="28" t="s">
        <v>1745</v>
      </c>
      <c r="D1519" s="26" t="s">
        <v>56</v>
      </c>
      <c r="E1519" s="31">
        <v>46228.0</v>
      </c>
      <c r="F1519" s="26" t="s">
        <v>84</v>
      </c>
      <c r="H1519" s="26" t="s">
        <v>140</v>
      </c>
      <c r="I1519" s="26" t="s">
        <v>42</v>
      </c>
      <c r="J1519" s="25" t="str">
        <f t="shared" si="31"/>
        <v>No</v>
      </c>
      <c r="K1519" s="25" t="str">
        <f t="shared" si="32"/>
        <v/>
      </c>
      <c r="L1519" s="25" t="str">
        <f t="shared" si="33"/>
        <v/>
      </c>
      <c r="M1519" s="25"/>
      <c r="O1519" s="25"/>
    </row>
    <row r="1520" ht="15.75" customHeight="1">
      <c r="A1520" s="25" t="str">
        <f>IFERROR(__xludf.DUMMYFUNCTION("IF(B1520="""","""",RIGHT(REGEXREPLACE(B1520&amp;"""",""[^0-9]"",""""),9))"),"768202088")</f>
        <v>768202088</v>
      </c>
      <c r="B1520" s="52">
        <v>7.68202088E8</v>
      </c>
      <c r="C1520" s="28" t="s">
        <v>1746</v>
      </c>
      <c r="D1520" s="26" t="s">
        <v>49</v>
      </c>
      <c r="E1520" s="31">
        <v>46228.0</v>
      </c>
      <c r="F1520" s="26" t="s">
        <v>46</v>
      </c>
      <c r="G1520" s="26">
        <v>11.0</v>
      </c>
      <c r="I1520" s="26" t="s">
        <v>42</v>
      </c>
      <c r="J1520" s="25" t="str">
        <f t="shared" si="31"/>
        <v>No</v>
      </c>
      <c r="K1520" s="25" t="str">
        <f t="shared" si="32"/>
        <v/>
      </c>
      <c r="L1520" s="25" t="str">
        <f t="shared" si="33"/>
        <v/>
      </c>
      <c r="M1520" s="25"/>
      <c r="O1520" s="25"/>
    </row>
    <row r="1521" ht="15.75" customHeight="1">
      <c r="A1521" s="25" t="str">
        <f>IFERROR(__xludf.DUMMYFUNCTION("IF(B1521="""","""",RIGHT(REGEXREPLACE(B1521&amp;"""",""[^0-9]"",""""),9))"),"775115237")</f>
        <v>775115237</v>
      </c>
      <c r="B1521" s="26">
        <v>7.75115237E8</v>
      </c>
      <c r="C1521" s="28" t="s">
        <v>1747</v>
      </c>
      <c r="D1521" s="26" t="s">
        <v>37</v>
      </c>
      <c r="E1521" s="31">
        <v>46228.0</v>
      </c>
      <c r="F1521" s="26" t="s">
        <v>46</v>
      </c>
      <c r="G1521" s="26">
        <v>11.0</v>
      </c>
      <c r="I1521" s="26" t="s">
        <v>42</v>
      </c>
      <c r="J1521" s="25" t="str">
        <f t="shared" si="31"/>
        <v>No</v>
      </c>
      <c r="K1521" s="25" t="str">
        <f t="shared" si="32"/>
        <v/>
      </c>
      <c r="L1521" s="25" t="str">
        <f t="shared" si="33"/>
        <v/>
      </c>
      <c r="M1521" s="25"/>
      <c r="O1521" s="25"/>
    </row>
    <row r="1522" ht="15.75" customHeight="1">
      <c r="A1522" s="25" t="str">
        <f>IFERROR(__xludf.DUMMYFUNCTION("IF(B1522="""","""",RIGHT(REGEXREPLACE(B1522&amp;"""",""[^0-9]"",""""),9))"),"718408722")</f>
        <v>718408722</v>
      </c>
      <c r="B1522" s="52">
        <v>7.18408722E8</v>
      </c>
      <c r="C1522" s="28" t="s">
        <v>1748</v>
      </c>
      <c r="D1522" s="26" t="s">
        <v>82</v>
      </c>
      <c r="E1522" s="31">
        <v>46228.0</v>
      </c>
      <c r="F1522" s="26" t="s">
        <v>704</v>
      </c>
      <c r="I1522" s="26" t="s">
        <v>42</v>
      </c>
      <c r="J1522" s="25" t="str">
        <f t="shared" si="31"/>
        <v>No</v>
      </c>
      <c r="K1522" s="25" t="str">
        <f t="shared" si="32"/>
        <v/>
      </c>
      <c r="L1522" s="25" t="str">
        <f t="shared" si="33"/>
        <v/>
      </c>
      <c r="M1522" s="25"/>
      <c r="O1522" s="25"/>
    </row>
    <row r="1523" ht="15.75" customHeight="1">
      <c r="A1523" s="25" t="str">
        <f>IFERROR(__xludf.DUMMYFUNCTION("IF(B1523="""","""",RIGHT(REGEXREPLACE(B1523&amp;"""",""[^0-9]"",""""),9))"),"776283338")</f>
        <v>776283338</v>
      </c>
      <c r="B1523" s="52">
        <v>7.76283338E8</v>
      </c>
      <c r="C1523" s="28" t="s">
        <v>1749</v>
      </c>
      <c r="D1523" s="26" t="s">
        <v>45</v>
      </c>
      <c r="E1523" s="31">
        <v>46228.0</v>
      </c>
      <c r="F1523" s="26" t="s">
        <v>46</v>
      </c>
      <c r="G1523" s="26">
        <v>11.0</v>
      </c>
      <c r="I1523" s="26" t="s">
        <v>42</v>
      </c>
      <c r="J1523" s="25" t="str">
        <f t="shared" si="31"/>
        <v>No</v>
      </c>
      <c r="K1523" s="25" t="str">
        <f t="shared" si="32"/>
        <v/>
      </c>
      <c r="L1523" s="25" t="str">
        <f t="shared" si="33"/>
        <v/>
      </c>
      <c r="M1523" s="25"/>
      <c r="O1523" s="25"/>
    </row>
    <row r="1524" ht="15.75" customHeight="1">
      <c r="A1524" s="25" t="str">
        <f>IFERROR(__xludf.DUMMYFUNCTION("IF(B1524="""","""",RIGHT(REGEXREPLACE(B1524&amp;"""",""[^0-9]"",""""),9))"),"717301568")</f>
        <v>717301568</v>
      </c>
      <c r="B1524" s="26">
        <v>7.17301568E8</v>
      </c>
      <c r="C1524" s="28" t="s">
        <v>1750</v>
      </c>
      <c r="D1524" s="26" t="s">
        <v>37</v>
      </c>
      <c r="E1524" s="31">
        <v>46228.0</v>
      </c>
      <c r="F1524" s="26" t="s">
        <v>164</v>
      </c>
      <c r="I1524" s="26" t="s">
        <v>42</v>
      </c>
      <c r="J1524" s="25" t="str">
        <f t="shared" si="31"/>
        <v>No</v>
      </c>
      <c r="K1524" s="25" t="str">
        <f t="shared" si="32"/>
        <v/>
      </c>
      <c r="L1524" s="25" t="str">
        <f t="shared" si="33"/>
        <v/>
      </c>
      <c r="M1524" s="25"/>
      <c r="O1524" s="25"/>
    </row>
    <row r="1525" ht="15.75" customHeight="1">
      <c r="A1525" s="25" t="str">
        <f>IFERROR(__xludf.DUMMYFUNCTION("IF(B1525="""","""",RIGHT(REGEXREPLACE(B1525&amp;"""",""[^0-9]"",""""),9))"),"713082660")</f>
        <v>713082660</v>
      </c>
      <c r="B1525" s="52">
        <v>7.1308266E8</v>
      </c>
      <c r="C1525" s="28" t="s">
        <v>1751</v>
      </c>
      <c r="D1525" s="26" t="s">
        <v>82</v>
      </c>
      <c r="E1525" s="31">
        <v>46228.0</v>
      </c>
      <c r="F1525" s="26" t="s">
        <v>41</v>
      </c>
      <c r="G1525" s="26">
        <v>11.0</v>
      </c>
      <c r="I1525" s="26" t="s">
        <v>42</v>
      </c>
      <c r="J1525" s="25" t="str">
        <f t="shared" si="31"/>
        <v>No</v>
      </c>
      <c r="K1525" s="25" t="str">
        <f t="shared" si="32"/>
        <v/>
      </c>
      <c r="L1525" s="25" t="str">
        <f t="shared" si="33"/>
        <v/>
      </c>
      <c r="M1525" s="25"/>
      <c r="O1525" s="25"/>
    </row>
    <row r="1526" ht="15.75" customHeight="1">
      <c r="A1526" s="25" t="str">
        <f>IFERROR(__xludf.DUMMYFUNCTION("IF(B1526="""","""",RIGHT(REGEXREPLACE(B1526&amp;"""",""[^0-9]"",""""),9))"),"768802260")</f>
        <v>768802260</v>
      </c>
      <c r="B1526" s="52">
        <v>7.6880226E8</v>
      </c>
      <c r="C1526" s="28" t="s">
        <v>1752</v>
      </c>
      <c r="D1526" s="26" t="s">
        <v>56</v>
      </c>
      <c r="E1526" s="31">
        <v>46228.0</v>
      </c>
      <c r="F1526" s="26" t="s">
        <v>46</v>
      </c>
      <c r="G1526" s="26">
        <v>11.0</v>
      </c>
      <c r="H1526" s="26" t="s">
        <v>1648</v>
      </c>
      <c r="I1526" s="26" t="s">
        <v>42</v>
      </c>
      <c r="J1526" s="25" t="str">
        <f t="shared" si="31"/>
        <v>No</v>
      </c>
      <c r="K1526" s="25" t="str">
        <f t="shared" si="32"/>
        <v/>
      </c>
      <c r="L1526" s="25" t="str">
        <f t="shared" si="33"/>
        <v/>
      </c>
      <c r="M1526" s="25"/>
      <c r="O1526" s="25"/>
    </row>
    <row r="1527" ht="15.75" customHeight="1">
      <c r="A1527" s="25" t="str">
        <f>IFERROR(__xludf.DUMMYFUNCTION("IF(B1527="""","""",RIGHT(REGEXREPLACE(B1527&amp;"""",""[^0-9]"",""""),9))"),"741531021")</f>
        <v>741531021</v>
      </c>
      <c r="B1527" s="26">
        <v>7.41531021E8</v>
      </c>
      <c r="C1527" s="28" t="s">
        <v>1192</v>
      </c>
      <c r="D1527" s="26" t="s">
        <v>37</v>
      </c>
      <c r="E1527" s="31">
        <v>46228.0</v>
      </c>
      <c r="F1527" s="26" t="s">
        <v>46</v>
      </c>
      <c r="G1527" s="26">
        <v>11.0</v>
      </c>
      <c r="I1527" s="26" t="s">
        <v>42</v>
      </c>
      <c r="J1527" s="25" t="str">
        <f t="shared" si="31"/>
        <v>No</v>
      </c>
      <c r="K1527" s="25" t="str">
        <f t="shared" si="32"/>
        <v/>
      </c>
      <c r="L1527" s="25" t="str">
        <f t="shared" si="33"/>
        <v/>
      </c>
      <c r="M1527" s="25"/>
      <c r="O1527" s="25"/>
    </row>
    <row r="1528" ht="15.75" customHeight="1">
      <c r="A1528" s="25" t="str">
        <f>IFERROR(__xludf.DUMMYFUNCTION("IF(B1528="""","""",RIGHT(REGEXREPLACE(B1528&amp;"""",""[^0-9]"",""""),9))"),"717779324")</f>
        <v>717779324</v>
      </c>
      <c r="B1528" s="52">
        <v>7.17779324E8</v>
      </c>
      <c r="C1528" s="28" t="s">
        <v>1753</v>
      </c>
      <c r="D1528" s="26" t="s">
        <v>49</v>
      </c>
      <c r="E1528" s="31">
        <v>46228.0</v>
      </c>
      <c r="F1528" s="26" t="s">
        <v>41</v>
      </c>
      <c r="I1528" s="26" t="s">
        <v>42</v>
      </c>
      <c r="J1528" s="25" t="str">
        <f t="shared" si="31"/>
        <v>No</v>
      </c>
      <c r="K1528" s="25" t="str">
        <f t="shared" si="32"/>
        <v/>
      </c>
      <c r="L1528" s="25" t="str">
        <f t="shared" si="33"/>
        <v/>
      </c>
      <c r="M1528" s="25"/>
      <c r="O1528" s="25"/>
    </row>
    <row r="1529" ht="15.75" customHeight="1">
      <c r="A1529" s="25" t="str">
        <f>IFERROR(__xludf.DUMMYFUNCTION("IF(B1529="""","""",RIGHT(REGEXREPLACE(B1529&amp;"""",""[^0-9]"",""""),9))"),"762071742")</f>
        <v>762071742</v>
      </c>
      <c r="B1529" s="52">
        <v>7.62071742E8</v>
      </c>
      <c r="C1529" s="28" t="s">
        <v>1754</v>
      </c>
      <c r="D1529" s="26" t="s">
        <v>82</v>
      </c>
      <c r="E1529" s="31">
        <v>46228.0</v>
      </c>
      <c r="F1529" s="26" t="s">
        <v>41</v>
      </c>
      <c r="I1529" s="26" t="s">
        <v>42</v>
      </c>
      <c r="J1529" s="25" t="str">
        <f t="shared" si="31"/>
        <v>No</v>
      </c>
      <c r="K1529" s="25" t="str">
        <f t="shared" si="32"/>
        <v/>
      </c>
      <c r="L1529" s="25" t="str">
        <f t="shared" si="33"/>
        <v/>
      </c>
      <c r="M1529" s="25"/>
      <c r="O1529" s="25"/>
    </row>
    <row r="1530" ht="15.75" customHeight="1">
      <c r="A1530" s="25" t="str">
        <f>IFERROR(__xludf.DUMMYFUNCTION("IF(B1530="""","""",RIGHT(REGEXREPLACE(B1530&amp;"""",""[^0-9]"",""""),9))"),"715299009")</f>
        <v>715299009</v>
      </c>
      <c r="B1530" s="52">
        <v>7.15299009E8</v>
      </c>
      <c r="C1530" s="28" t="s">
        <v>1755</v>
      </c>
      <c r="D1530" s="26" t="s">
        <v>45</v>
      </c>
      <c r="E1530" s="31">
        <v>46228.0</v>
      </c>
      <c r="F1530" s="26" t="s">
        <v>46</v>
      </c>
      <c r="G1530" s="26">
        <v>11.0</v>
      </c>
      <c r="I1530" s="26" t="s">
        <v>42</v>
      </c>
      <c r="J1530" s="25" t="str">
        <f t="shared" si="31"/>
        <v>No</v>
      </c>
      <c r="K1530" s="25" t="str">
        <f t="shared" si="32"/>
        <v/>
      </c>
      <c r="L1530" s="25" t="str">
        <f t="shared" si="33"/>
        <v/>
      </c>
      <c r="M1530" s="25"/>
      <c r="O1530" s="25"/>
    </row>
    <row r="1531" ht="15.75" customHeight="1">
      <c r="A1531" s="25" t="str">
        <f>IFERROR(__xludf.DUMMYFUNCTION("IF(B1531="""","""",RIGHT(REGEXREPLACE(B1531&amp;"""",""[^0-9]"",""""),9))"),"741105017")</f>
        <v>741105017</v>
      </c>
      <c r="B1531" s="52">
        <v>7.41105017E8</v>
      </c>
      <c r="C1531" s="28" t="s">
        <v>1756</v>
      </c>
      <c r="D1531" s="26" t="s">
        <v>49</v>
      </c>
      <c r="E1531" s="31">
        <v>46228.0</v>
      </c>
      <c r="F1531" s="26" t="s">
        <v>46</v>
      </c>
      <c r="G1531" s="26">
        <v>11.0</v>
      </c>
      <c r="I1531" s="26" t="s">
        <v>42</v>
      </c>
      <c r="J1531" s="25" t="str">
        <f t="shared" si="31"/>
        <v>No</v>
      </c>
      <c r="K1531" s="25" t="str">
        <f t="shared" si="32"/>
        <v/>
      </c>
      <c r="L1531" s="25" t="str">
        <f t="shared" si="33"/>
        <v/>
      </c>
      <c r="M1531" s="25"/>
      <c r="O1531" s="25"/>
    </row>
    <row r="1532" ht="15.75" customHeight="1">
      <c r="A1532" s="25" t="str">
        <f>IFERROR(__xludf.DUMMYFUNCTION("IF(B1532="""","""",RIGHT(REGEXREPLACE(B1532&amp;"""",""[^0-9]"",""""),9))"),"718937493")</f>
        <v>718937493</v>
      </c>
      <c r="B1532" s="52">
        <v>7.18937493E8</v>
      </c>
      <c r="C1532" s="28" t="s">
        <v>1757</v>
      </c>
      <c r="D1532" s="26" t="s">
        <v>56</v>
      </c>
      <c r="E1532" s="31">
        <v>46228.0</v>
      </c>
      <c r="F1532" s="26" t="s">
        <v>46</v>
      </c>
      <c r="G1532" s="26">
        <v>11.0</v>
      </c>
      <c r="I1532" s="26" t="s">
        <v>42</v>
      </c>
      <c r="J1532" s="25" t="str">
        <f t="shared" si="31"/>
        <v>No</v>
      </c>
      <c r="K1532" s="25" t="str">
        <f t="shared" si="32"/>
        <v/>
      </c>
      <c r="L1532" s="25" t="str">
        <f t="shared" si="33"/>
        <v/>
      </c>
      <c r="M1532" s="25"/>
      <c r="O1532" s="25"/>
    </row>
    <row r="1533" ht="15.75" customHeight="1">
      <c r="A1533" s="25" t="str">
        <f>IFERROR(__xludf.DUMMYFUNCTION("IF(B1533="""","""",RIGHT(REGEXREPLACE(B1533&amp;"""",""[^0-9]"",""""),9))"),"775006073")</f>
        <v>775006073</v>
      </c>
      <c r="B1533" s="52">
        <v>7.75006073E8</v>
      </c>
      <c r="C1533" s="28" t="s">
        <v>1758</v>
      </c>
      <c r="D1533" s="26" t="s">
        <v>82</v>
      </c>
      <c r="E1533" s="31">
        <v>46228.0</v>
      </c>
      <c r="F1533" s="26" t="s">
        <v>46</v>
      </c>
      <c r="G1533" s="26">
        <v>11.0</v>
      </c>
      <c r="I1533" s="26" t="s">
        <v>42</v>
      </c>
      <c r="J1533" s="25" t="str">
        <f t="shared" si="31"/>
        <v>No</v>
      </c>
      <c r="K1533" s="25" t="str">
        <f t="shared" si="32"/>
        <v/>
      </c>
      <c r="L1533" s="25" t="str">
        <f t="shared" si="33"/>
        <v/>
      </c>
      <c r="M1533" s="25"/>
      <c r="O1533" s="25"/>
    </row>
    <row r="1534" ht="15.75" customHeight="1">
      <c r="A1534" s="25" t="str">
        <f>IFERROR(__xludf.DUMMYFUNCTION("IF(B1534="""","""",RIGHT(REGEXREPLACE(B1534&amp;"""",""[^0-9]"",""""),9))"),"774380171")</f>
        <v>774380171</v>
      </c>
      <c r="B1534" s="26">
        <v>7.74380171E8</v>
      </c>
      <c r="C1534" s="28" t="s">
        <v>1759</v>
      </c>
      <c r="D1534" s="26" t="s">
        <v>37</v>
      </c>
      <c r="E1534" s="31">
        <v>46228.0</v>
      </c>
      <c r="F1534" s="26" t="s">
        <v>46</v>
      </c>
      <c r="G1534" s="26">
        <v>10.0</v>
      </c>
      <c r="I1534" s="26" t="s">
        <v>42</v>
      </c>
      <c r="J1534" s="25" t="str">
        <f t="shared" si="31"/>
        <v>No</v>
      </c>
      <c r="K1534" s="25" t="str">
        <f t="shared" si="32"/>
        <v/>
      </c>
      <c r="L1534" s="25" t="str">
        <f t="shared" si="33"/>
        <v/>
      </c>
      <c r="M1534" s="25"/>
      <c r="O1534" s="25"/>
    </row>
    <row r="1535" ht="15.75" customHeight="1">
      <c r="A1535" s="25" t="str">
        <f>IFERROR(__xludf.DUMMYFUNCTION("IF(B1535="""","""",RIGHT(REGEXREPLACE(B1535&amp;"""",""[^0-9]"",""""),9))"),"706407097")</f>
        <v>706407097</v>
      </c>
      <c r="B1535" s="52">
        <v>7.06407097E8</v>
      </c>
      <c r="C1535" s="28" t="s">
        <v>1759</v>
      </c>
      <c r="D1535" s="26" t="s">
        <v>45</v>
      </c>
      <c r="E1535" s="31">
        <v>46228.0</v>
      </c>
      <c r="F1535" s="26" t="s">
        <v>164</v>
      </c>
      <c r="I1535" s="26" t="s">
        <v>42</v>
      </c>
      <c r="J1535" s="25" t="str">
        <f t="shared" si="31"/>
        <v>No</v>
      </c>
      <c r="K1535" s="25" t="str">
        <f t="shared" si="32"/>
        <v/>
      </c>
      <c r="L1535" s="25" t="str">
        <f t="shared" si="33"/>
        <v/>
      </c>
      <c r="M1535" s="25"/>
      <c r="O1535" s="25"/>
    </row>
    <row r="1536" ht="15.75" customHeight="1">
      <c r="A1536" s="25" t="str">
        <f>IFERROR(__xludf.DUMMYFUNCTION("IF(B1536="""","""",RIGHT(REGEXREPLACE(B1536&amp;"""",""[^0-9]"",""""),9))"),"770412119")</f>
        <v>770412119</v>
      </c>
      <c r="B1536" s="26">
        <v>7.70412119E8</v>
      </c>
      <c r="C1536" s="28" t="s">
        <v>1760</v>
      </c>
      <c r="D1536" s="26" t="s">
        <v>37</v>
      </c>
      <c r="E1536" s="31">
        <v>46228.0</v>
      </c>
      <c r="F1536" s="26" t="s">
        <v>46</v>
      </c>
      <c r="G1536" s="26">
        <v>11.0</v>
      </c>
      <c r="I1536" s="26" t="s">
        <v>42</v>
      </c>
      <c r="J1536" s="25" t="str">
        <f t="shared" si="31"/>
        <v>No</v>
      </c>
      <c r="K1536" s="25" t="str">
        <f t="shared" si="32"/>
        <v/>
      </c>
      <c r="L1536" s="25" t="str">
        <f t="shared" si="33"/>
        <v/>
      </c>
      <c r="M1536" s="25"/>
      <c r="O1536" s="25"/>
    </row>
    <row r="1537" ht="15.75" customHeight="1">
      <c r="A1537" s="25" t="str">
        <f>IFERROR(__xludf.DUMMYFUNCTION("IF(B1537="""","""",RIGHT(REGEXREPLACE(B1537&amp;"""",""[^0-9]"",""""),9))"),"762309944")</f>
        <v>762309944</v>
      </c>
      <c r="B1537" s="52">
        <v>7.62309944E8</v>
      </c>
      <c r="C1537" s="28" t="s">
        <v>1761</v>
      </c>
      <c r="D1537" s="26" t="s">
        <v>45</v>
      </c>
      <c r="E1537" s="31">
        <v>46228.0</v>
      </c>
      <c r="F1537" s="26" t="s">
        <v>46</v>
      </c>
      <c r="G1537" s="26">
        <v>11.0</v>
      </c>
      <c r="I1537" s="26" t="s">
        <v>42</v>
      </c>
      <c r="J1537" s="25" t="str">
        <f t="shared" si="31"/>
        <v>No</v>
      </c>
      <c r="K1537" s="25" t="str">
        <f t="shared" si="32"/>
        <v/>
      </c>
      <c r="L1537" s="25" t="str">
        <f t="shared" si="33"/>
        <v/>
      </c>
      <c r="M1537" s="25"/>
      <c r="O1537" s="25"/>
    </row>
    <row r="1538" ht="15.75" customHeight="1">
      <c r="A1538" s="25" t="str">
        <f>IFERROR(__xludf.DUMMYFUNCTION("IF(B1538="""","""",RIGHT(REGEXREPLACE(B1538&amp;"""",""[^0-9]"",""""),9))"),"714878914")</f>
        <v>714878914</v>
      </c>
      <c r="B1538" s="52">
        <v>7.14878914E8</v>
      </c>
      <c r="C1538" s="28" t="s">
        <v>1762</v>
      </c>
      <c r="D1538" s="26" t="s">
        <v>49</v>
      </c>
      <c r="E1538" s="31">
        <v>46228.0</v>
      </c>
      <c r="F1538" s="26" t="s">
        <v>46</v>
      </c>
      <c r="G1538" s="26">
        <v>11.0</v>
      </c>
      <c r="H1538" s="26" t="s">
        <v>253</v>
      </c>
      <c r="I1538" s="26" t="s">
        <v>42</v>
      </c>
      <c r="J1538" s="25" t="str">
        <f t="shared" si="31"/>
        <v>No</v>
      </c>
      <c r="K1538" s="25" t="str">
        <f t="shared" si="32"/>
        <v/>
      </c>
      <c r="L1538" s="25" t="str">
        <f t="shared" si="33"/>
        <v/>
      </c>
      <c r="M1538" s="25"/>
      <c r="O1538" s="25"/>
    </row>
    <row r="1539" ht="15.75" customHeight="1">
      <c r="A1539" s="25" t="str">
        <f>IFERROR(__xludf.DUMMYFUNCTION("IF(B1539="""","""",RIGHT(REGEXREPLACE(B1539&amp;"""",""[^0-9]"",""""),9))"),"711154934")</f>
        <v>711154934</v>
      </c>
      <c r="B1539" s="26">
        <v>7.11154934E8</v>
      </c>
      <c r="C1539" s="28" t="s">
        <v>1763</v>
      </c>
      <c r="D1539" s="26" t="s">
        <v>37</v>
      </c>
      <c r="E1539" s="31">
        <v>46228.0</v>
      </c>
      <c r="F1539" s="26" t="s">
        <v>46</v>
      </c>
      <c r="H1539" s="26" t="s">
        <v>253</v>
      </c>
      <c r="I1539" s="26" t="s">
        <v>42</v>
      </c>
      <c r="J1539" s="25" t="str">
        <f t="shared" si="31"/>
        <v>No</v>
      </c>
      <c r="K1539" s="25" t="str">
        <f t="shared" si="32"/>
        <v/>
      </c>
      <c r="L1539" s="25" t="str">
        <f t="shared" si="33"/>
        <v/>
      </c>
      <c r="M1539" s="25"/>
      <c r="O1539" s="25"/>
    </row>
    <row r="1540" ht="15.75" customHeight="1">
      <c r="A1540" s="25" t="str">
        <f>IFERROR(__xludf.DUMMYFUNCTION("IF(B1540="""","""",RIGHT(REGEXREPLACE(B1540&amp;"""",""[^0-9]"",""""),9))"),"775263849")</f>
        <v>775263849</v>
      </c>
      <c r="B1540" s="26">
        <v>7.75263849E8</v>
      </c>
      <c r="C1540" s="28" t="s">
        <v>1764</v>
      </c>
      <c r="D1540" s="26" t="s">
        <v>37</v>
      </c>
      <c r="E1540" s="31">
        <v>46228.0</v>
      </c>
      <c r="F1540" s="26" t="s">
        <v>205</v>
      </c>
      <c r="I1540" s="26" t="s">
        <v>42</v>
      </c>
      <c r="J1540" s="25" t="str">
        <f t="shared" si="31"/>
        <v>No</v>
      </c>
      <c r="K1540" s="25" t="str">
        <f t="shared" si="32"/>
        <v/>
      </c>
      <c r="L1540" s="25" t="str">
        <f t="shared" si="33"/>
        <v/>
      </c>
      <c r="M1540" s="25"/>
      <c r="O1540" s="25"/>
    </row>
    <row r="1541" ht="15.75" customHeight="1">
      <c r="A1541" s="25" t="str">
        <f>IFERROR(__xludf.DUMMYFUNCTION("IF(B1541="""","""",RIGHT(REGEXREPLACE(B1541&amp;"""",""[^0-9]"",""""),9))"),"766164730")</f>
        <v>766164730</v>
      </c>
      <c r="B1541" s="52">
        <v>7.6616473E8</v>
      </c>
      <c r="C1541" s="28" t="s">
        <v>1765</v>
      </c>
      <c r="D1541" s="26" t="s">
        <v>45</v>
      </c>
      <c r="E1541" s="31">
        <v>46228.0</v>
      </c>
      <c r="F1541" s="26" t="s">
        <v>46</v>
      </c>
      <c r="G1541" s="26">
        <v>10.0</v>
      </c>
      <c r="I1541" s="26" t="s">
        <v>42</v>
      </c>
      <c r="J1541" s="25" t="str">
        <f t="shared" si="31"/>
        <v>No</v>
      </c>
      <c r="K1541" s="25" t="str">
        <f t="shared" si="32"/>
        <v/>
      </c>
      <c r="L1541" s="25" t="str">
        <f t="shared" si="33"/>
        <v/>
      </c>
      <c r="M1541" s="25"/>
      <c r="O1541" s="25"/>
    </row>
    <row r="1542" ht="15.75" customHeight="1">
      <c r="A1542" s="25" t="str">
        <f>IFERROR(__xludf.DUMMYFUNCTION("IF(B1542="""","""",RIGHT(REGEXREPLACE(B1542&amp;"""",""[^0-9]"",""""),9))"),"787339110")</f>
        <v>787339110</v>
      </c>
      <c r="B1542" s="26">
        <v>7.8733911E8</v>
      </c>
      <c r="C1542" s="28" t="s">
        <v>1766</v>
      </c>
      <c r="D1542" s="26" t="s">
        <v>37</v>
      </c>
      <c r="E1542" s="31">
        <v>46228.0</v>
      </c>
      <c r="F1542" s="26" t="s">
        <v>46</v>
      </c>
      <c r="I1542" s="26" t="s">
        <v>42</v>
      </c>
      <c r="J1542" s="25" t="str">
        <f t="shared" si="31"/>
        <v>No</v>
      </c>
      <c r="K1542" s="25" t="str">
        <f t="shared" si="32"/>
        <v/>
      </c>
      <c r="L1542" s="25" t="str">
        <f t="shared" si="33"/>
        <v/>
      </c>
      <c r="M1542" s="25"/>
      <c r="O1542" s="25"/>
    </row>
    <row r="1543" ht="15.75" customHeight="1">
      <c r="A1543" s="25" t="str">
        <f>IFERROR(__xludf.DUMMYFUNCTION("IF(B1543="""","""",RIGHT(REGEXREPLACE(B1543&amp;"""",""[^0-9]"",""""),9))"),"775701084")</f>
        <v>775701084</v>
      </c>
      <c r="B1543" s="26">
        <v>7.75701084E8</v>
      </c>
      <c r="C1543" s="28" t="s">
        <v>1767</v>
      </c>
      <c r="D1543" s="26" t="s">
        <v>37</v>
      </c>
      <c r="E1543" s="31">
        <v>46228.0</v>
      </c>
      <c r="F1543" s="26" t="s">
        <v>41</v>
      </c>
      <c r="I1543" s="26" t="s">
        <v>42</v>
      </c>
      <c r="J1543" s="25" t="str">
        <f t="shared" si="31"/>
        <v>No</v>
      </c>
      <c r="K1543" s="25" t="str">
        <f t="shared" si="32"/>
        <v/>
      </c>
      <c r="L1543" s="25" t="str">
        <f t="shared" si="33"/>
        <v/>
      </c>
      <c r="M1543" s="25"/>
      <c r="O1543" s="25"/>
    </row>
    <row r="1544" ht="15.75" customHeight="1">
      <c r="A1544" s="25" t="str">
        <f>IFERROR(__xludf.DUMMYFUNCTION("IF(B1544="""","""",RIGHT(REGEXREPLACE(B1544&amp;"""",""[^0-9]"",""""),9))"),"741074389")</f>
        <v>741074389</v>
      </c>
      <c r="B1544" s="26">
        <v>7.41074389E8</v>
      </c>
      <c r="C1544" s="28" t="s">
        <v>1768</v>
      </c>
      <c r="D1544" s="26" t="s">
        <v>37</v>
      </c>
      <c r="E1544" s="31">
        <v>46228.0</v>
      </c>
      <c r="F1544" s="26" t="s">
        <v>164</v>
      </c>
      <c r="I1544" s="26" t="s">
        <v>42</v>
      </c>
      <c r="J1544" s="25" t="str">
        <f t="shared" si="31"/>
        <v>No</v>
      </c>
      <c r="K1544" s="25" t="str">
        <f t="shared" si="32"/>
        <v/>
      </c>
      <c r="L1544" s="25" t="str">
        <f t="shared" si="33"/>
        <v/>
      </c>
      <c r="M1544" s="25"/>
      <c r="O1544" s="25"/>
    </row>
    <row r="1545" ht="15.75" customHeight="1">
      <c r="A1545" s="25" t="str">
        <f>IFERROR(__xludf.DUMMYFUNCTION("IF(B1545="""","""",RIGHT(REGEXREPLACE(B1545&amp;"""",""[^0-9]"",""""),9))"),"759065394")</f>
        <v>759065394</v>
      </c>
      <c r="B1545" s="26">
        <v>7.59065394E8</v>
      </c>
      <c r="C1545" s="28" t="s">
        <v>1769</v>
      </c>
      <c r="D1545" s="26" t="s">
        <v>37</v>
      </c>
      <c r="E1545" s="31">
        <v>46228.0</v>
      </c>
      <c r="F1545" s="26" t="s">
        <v>41</v>
      </c>
      <c r="G1545" s="26">
        <v>11.0</v>
      </c>
      <c r="I1545" s="26" t="s">
        <v>42</v>
      </c>
      <c r="J1545" s="25" t="str">
        <f t="shared" si="31"/>
        <v>No</v>
      </c>
      <c r="K1545" s="25" t="str">
        <f t="shared" si="32"/>
        <v/>
      </c>
      <c r="L1545" s="25" t="str">
        <f t="shared" si="33"/>
        <v/>
      </c>
      <c r="M1545" s="25"/>
      <c r="O1545" s="25"/>
    </row>
    <row r="1546" ht="15.75" customHeight="1">
      <c r="A1546" s="25" t="str">
        <f>IFERROR(__xludf.DUMMYFUNCTION("IF(B1546="""","""",RIGHT(REGEXREPLACE(B1546&amp;"""",""[^0-9]"",""""),9))"),"773656577")</f>
        <v>773656577</v>
      </c>
      <c r="B1546" s="52">
        <v>7.73656577E8</v>
      </c>
      <c r="C1546" s="28" t="s">
        <v>1770</v>
      </c>
      <c r="D1546" s="26" t="s">
        <v>49</v>
      </c>
      <c r="E1546" s="31">
        <v>46228.0</v>
      </c>
      <c r="F1546" s="26" t="s">
        <v>46</v>
      </c>
      <c r="G1546" s="26">
        <v>11.0</v>
      </c>
      <c r="H1546" s="26" t="s">
        <v>1771</v>
      </c>
      <c r="I1546" s="26" t="s">
        <v>42</v>
      </c>
      <c r="J1546" s="25" t="str">
        <f t="shared" si="31"/>
        <v>No</v>
      </c>
      <c r="K1546" s="25" t="str">
        <f t="shared" si="32"/>
        <v/>
      </c>
      <c r="L1546" s="25" t="str">
        <f t="shared" si="33"/>
        <v/>
      </c>
      <c r="M1546" s="25"/>
      <c r="O1546" s="25"/>
    </row>
    <row r="1547" ht="15.75" customHeight="1">
      <c r="A1547" s="25" t="str">
        <f>IFERROR(__xludf.DUMMYFUNCTION("IF(B1547="""","""",RIGHT(REGEXREPLACE(B1547&amp;"""",""[^0-9]"",""""),9))"),"777114368")</f>
        <v>777114368</v>
      </c>
      <c r="B1547" s="52">
        <v>7.77114368E8</v>
      </c>
      <c r="C1547" s="28" t="s">
        <v>1772</v>
      </c>
      <c r="D1547" s="26" t="s">
        <v>49</v>
      </c>
      <c r="E1547" s="31">
        <v>46228.0</v>
      </c>
      <c r="F1547" s="26" t="s">
        <v>46</v>
      </c>
      <c r="G1547" s="26">
        <v>11.0</v>
      </c>
      <c r="I1547" s="26" t="s">
        <v>42</v>
      </c>
      <c r="J1547" s="25" t="str">
        <f t="shared" si="31"/>
        <v>No</v>
      </c>
      <c r="K1547" s="25" t="str">
        <f t="shared" si="32"/>
        <v/>
      </c>
      <c r="L1547" s="25" t="str">
        <f t="shared" si="33"/>
        <v/>
      </c>
      <c r="M1547" s="25"/>
      <c r="O1547" s="25"/>
    </row>
    <row r="1548" ht="15.75" customHeight="1">
      <c r="A1548" s="25" t="str">
        <f>IFERROR(__xludf.DUMMYFUNCTION("IF(B1548="""","""",RIGHT(REGEXREPLACE(B1548&amp;"""",""[^0-9]"",""""),9))"),"702830046")</f>
        <v>702830046</v>
      </c>
      <c r="B1548" s="52">
        <v>7.02830046E8</v>
      </c>
      <c r="C1548" s="28" t="s">
        <v>1773</v>
      </c>
      <c r="D1548" s="26" t="s">
        <v>56</v>
      </c>
      <c r="E1548" s="31">
        <v>46228.0</v>
      </c>
      <c r="F1548" s="26" t="s">
        <v>631</v>
      </c>
      <c r="G1548" s="26">
        <v>9.0</v>
      </c>
      <c r="I1548" s="26" t="s">
        <v>42</v>
      </c>
      <c r="J1548" s="25" t="str">
        <f t="shared" si="31"/>
        <v>No</v>
      </c>
      <c r="K1548" s="25" t="str">
        <f t="shared" si="32"/>
        <v/>
      </c>
      <c r="L1548" s="25" t="str">
        <f t="shared" si="33"/>
        <v/>
      </c>
      <c r="M1548" s="25"/>
      <c r="O1548" s="26" t="s">
        <v>51</v>
      </c>
    </row>
    <row r="1549" ht="15.75" customHeight="1">
      <c r="A1549" s="25" t="str">
        <f>IFERROR(__xludf.DUMMYFUNCTION("IF(B1549="""","""",RIGHT(REGEXREPLACE(B1549&amp;"""",""[^0-9]"",""""),9))"),"761057547")</f>
        <v>761057547</v>
      </c>
      <c r="B1549" s="52">
        <v>7.61057547E8</v>
      </c>
      <c r="C1549" s="28" t="s">
        <v>1774</v>
      </c>
      <c r="D1549" s="26" t="s">
        <v>82</v>
      </c>
      <c r="E1549" s="31">
        <v>46228.0</v>
      </c>
      <c r="F1549" s="26" t="s">
        <v>41</v>
      </c>
      <c r="I1549" s="26" t="s">
        <v>42</v>
      </c>
      <c r="J1549" s="25" t="str">
        <f t="shared" si="31"/>
        <v>No</v>
      </c>
      <c r="K1549" s="25" t="str">
        <f t="shared" si="32"/>
        <v/>
      </c>
      <c r="L1549" s="25" t="str">
        <f t="shared" si="33"/>
        <v/>
      </c>
      <c r="M1549" s="25"/>
      <c r="O1549" s="25"/>
    </row>
    <row r="1550" ht="15.75" customHeight="1">
      <c r="A1550" s="25" t="str">
        <f>IFERROR(__xludf.DUMMYFUNCTION("IF(B1550="""","""",RIGHT(REGEXREPLACE(B1550&amp;"""",""[^0-9]"",""""),9))"),"741209714")</f>
        <v>741209714</v>
      </c>
      <c r="B1550" s="52">
        <v>7.41209714E8</v>
      </c>
      <c r="C1550" s="28" t="s">
        <v>1775</v>
      </c>
      <c r="D1550" s="26" t="s">
        <v>49</v>
      </c>
      <c r="E1550" s="31">
        <v>46228.0</v>
      </c>
      <c r="F1550" s="26" t="s">
        <v>46</v>
      </c>
      <c r="G1550" s="26">
        <v>9.0</v>
      </c>
      <c r="I1550" s="26" t="s">
        <v>42</v>
      </c>
      <c r="J1550" s="25" t="str">
        <f t="shared" si="31"/>
        <v>No</v>
      </c>
      <c r="K1550" s="25" t="str">
        <f t="shared" si="32"/>
        <v/>
      </c>
      <c r="L1550" s="25" t="str">
        <f t="shared" si="33"/>
        <v/>
      </c>
      <c r="M1550" s="25"/>
      <c r="O1550" s="26" t="s">
        <v>51</v>
      </c>
    </row>
    <row r="1551" ht="15.75" customHeight="1">
      <c r="A1551" s="25" t="str">
        <f>IFERROR(__xludf.DUMMYFUNCTION("IF(B1551="""","""",RIGHT(REGEXREPLACE(B1551&amp;"""",""[^0-9]"",""""),9))"),"771345162")</f>
        <v>771345162</v>
      </c>
      <c r="B1551" s="52">
        <v>7.71345162E8</v>
      </c>
      <c r="C1551" s="28" t="s">
        <v>1776</v>
      </c>
      <c r="D1551" s="26">
        <v>6.0</v>
      </c>
      <c r="E1551" s="31">
        <v>46228.0</v>
      </c>
      <c r="F1551" s="26" t="s">
        <v>46</v>
      </c>
      <c r="G1551" s="26">
        <v>6.0</v>
      </c>
      <c r="I1551" s="26" t="s">
        <v>42</v>
      </c>
      <c r="J1551" s="25" t="str">
        <f t="shared" si="31"/>
        <v>No</v>
      </c>
      <c r="K1551" s="25" t="str">
        <f t="shared" si="32"/>
        <v/>
      </c>
      <c r="L1551" s="25" t="str">
        <f t="shared" si="33"/>
        <v/>
      </c>
      <c r="M1551" s="25"/>
      <c r="O1551" s="25"/>
    </row>
    <row r="1552" ht="15.75" customHeight="1">
      <c r="A1552" s="25" t="str">
        <f>IFERROR(__xludf.DUMMYFUNCTION("IF(B1552="""","""",RIGHT(REGEXREPLACE(B1552&amp;"""",""[^0-9]"",""""),9))"),"751379892")</f>
        <v>751379892</v>
      </c>
      <c r="B1552" s="52">
        <v>7.51379892E8</v>
      </c>
      <c r="C1552" s="28" t="s">
        <v>1777</v>
      </c>
      <c r="D1552" s="26" t="s">
        <v>49</v>
      </c>
      <c r="E1552" s="31">
        <v>46228.0</v>
      </c>
      <c r="F1552" s="26" t="s">
        <v>41</v>
      </c>
      <c r="G1552" s="26">
        <v>11.0</v>
      </c>
      <c r="I1552" s="26" t="s">
        <v>42</v>
      </c>
      <c r="J1552" s="25" t="str">
        <f t="shared" si="31"/>
        <v>No</v>
      </c>
      <c r="K1552" s="25" t="str">
        <f t="shared" si="32"/>
        <v/>
      </c>
      <c r="L1552" s="25" t="str">
        <f t="shared" si="33"/>
        <v/>
      </c>
      <c r="M1552" s="25"/>
      <c r="O1552" s="25"/>
    </row>
    <row r="1553" ht="15.75" customHeight="1">
      <c r="A1553" s="25" t="str">
        <f>IFERROR(__xludf.DUMMYFUNCTION("IF(B1553="""","""",RIGHT(REGEXREPLACE(B1553&amp;"""",""[^0-9]"",""""),9))"),"741201855")</f>
        <v>741201855</v>
      </c>
      <c r="B1553" s="52">
        <v>7.41201855E8</v>
      </c>
      <c r="C1553" s="28" t="s">
        <v>1778</v>
      </c>
      <c r="D1553" s="26" t="s">
        <v>49</v>
      </c>
      <c r="E1553" s="31">
        <v>46228.0</v>
      </c>
      <c r="F1553" s="26" t="s">
        <v>41</v>
      </c>
      <c r="G1553" s="26">
        <v>11.0</v>
      </c>
      <c r="I1553" s="26" t="s">
        <v>42</v>
      </c>
      <c r="J1553" s="25" t="str">
        <f t="shared" si="31"/>
        <v>No</v>
      </c>
      <c r="K1553" s="25" t="str">
        <f t="shared" si="32"/>
        <v/>
      </c>
      <c r="L1553" s="25" t="str">
        <f t="shared" si="33"/>
        <v/>
      </c>
      <c r="M1553" s="25"/>
      <c r="O1553" s="25"/>
    </row>
    <row r="1554" ht="15.75" customHeight="1">
      <c r="A1554" s="25" t="str">
        <f>IFERROR(__xludf.DUMMYFUNCTION("IF(B1554="""","""",RIGHT(REGEXREPLACE(B1554&amp;"""",""[^0-9]"",""""),9))"),"777742129")</f>
        <v>777742129</v>
      </c>
      <c r="B1554" s="52">
        <v>7.77742129E8</v>
      </c>
      <c r="C1554" s="28" t="s">
        <v>1779</v>
      </c>
      <c r="D1554" s="26" t="s">
        <v>56</v>
      </c>
      <c r="E1554" s="31">
        <v>46228.0</v>
      </c>
      <c r="F1554" s="26" t="s">
        <v>41</v>
      </c>
      <c r="G1554" s="26">
        <v>11.0</v>
      </c>
      <c r="I1554" s="26" t="s">
        <v>42</v>
      </c>
      <c r="J1554" s="25" t="str">
        <f t="shared" si="31"/>
        <v>No</v>
      </c>
      <c r="K1554" s="25" t="str">
        <f t="shared" si="32"/>
        <v/>
      </c>
      <c r="L1554" s="25" t="str">
        <f t="shared" si="33"/>
        <v/>
      </c>
      <c r="M1554" s="25"/>
      <c r="O1554" s="25"/>
    </row>
    <row r="1555" ht="15.75" customHeight="1">
      <c r="A1555" s="25" t="str">
        <f>IFERROR(__xludf.DUMMYFUNCTION("IF(B1555="""","""",RIGHT(REGEXREPLACE(B1555&amp;"""",""[^0-9]"",""""),9))"),"779142164")</f>
        <v>779142164</v>
      </c>
      <c r="B1555" s="52">
        <v>7.79142164E8</v>
      </c>
      <c r="C1555" s="28" t="s">
        <v>1780</v>
      </c>
      <c r="D1555" s="26" t="s">
        <v>82</v>
      </c>
      <c r="E1555" s="31">
        <v>46228.0</v>
      </c>
      <c r="F1555" s="26" t="s">
        <v>46</v>
      </c>
      <c r="G1555" s="26">
        <v>10.0</v>
      </c>
      <c r="I1555" s="26" t="s">
        <v>42</v>
      </c>
      <c r="J1555" s="25" t="str">
        <f t="shared" si="31"/>
        <v>No</v>
      </c>
      <c r="K1555" s="25" t="str">
        <f t="shared" si="32"/>
        <v/>
      </c>
      <c r="L1555" s="25" t="str">
        <f t="shared" si="33"/>
        <v/>
      </c>
      <c r="M1555" s="25"/>
      <c r="O1555" s="25"/>
    </row>
    <row r="1556" ht="15.75" customHeight="1">
      <c r="A1556" s="25" t="str">
        <f>IFERROR(__xludf.DUMMYFUNCTION("IF(B1556="""","""",RIGHT(REGEXREPLACE(B1556&amp;"""",""[^0-9]"",""""),9))"),"775937826")</f>
        <v>775937826</v>
      </c>
      <c r="B1556" s="52">
        <v>7.75937826E8</v>
      </c>
      <c r="C1556" s="28" t="s">
        <v>1781</v>
      </c>
      <c r="D1556" s="26" t="s">
        <v>56</v>
      </c>
      <c r="E1556" s="31">
        <v>46228.0</v>
      </c>
      <c r="F1556" s="26" t="s">
        <v>46</v>
      </c>
      <c r="G1556" s="26">
        <v>11.0</v>
      </c>
      <c r="I1556" s="26" t="s">
        <v>42</v>
      </c>
      <c r="J1556" s="25" t="str">
        <f t="shared" si="31"/>
        <v>No</v>
      </c>
      <c r="K1556" s="25" t="str">
        <f t="shared" si="32"/>
        <v/>
      </c>
      <c r="L1556" s="25" t="str">
        <f t="shared" si="33"/>
        <v/>
      </c>
      <c r="M1556" s="25"/>
      <c r="O1556" s="25"/>
    </row>
    <row r="1557" ht="15.75" customHeight="1">
      <c r="A1557" s="25" t="str">
        <f>IFERROR(__xludf.DUMMYFUNCTION("IF(B1557="""","""",RIGHT(REGEXREPLACE(B1557&amp;"""",""[^0-9]"",""""),9))"),"768045877")</f>
        <v>768045877</v>
      </c>
      <c r="B1557" s="52">
        <v>7.68045877E8</v>
      </c>
      <c r="C1557" s="28" t="s">
        <v>1782</v>
      </c>
      <c r="D1557" s="26" t="s">
        <v>82</v>
      </c>
      <c r="E1557" s="31">
        <v>46228.0</v>
      </c>
      <c r="F1557" s="26" t="s">
        <v>46</v>
      </c>
      <c r="G1557" s="26">
        <v>11.0</v>
      </c>
      <c r="I1557" s="26" t="s">
        <v>42</v>
      </c>
      <c r="J1557" s="25" t="str">
        <f t="shared" si="31"/>
        <v>No</v>
      </c>
      <c r="K1557" s="25" t="str">
        <f t="shared" si="32"/>
        <v/>
      </c>
      <c r="L1557" s="25" t="str">
        <f t="shared" si="33"/>
        <v/>
      </c>
      <c r="M1557" s="25"/>
      <c r="O1557" s="25"/>
    </row>
    <row r="1558" ht="15.75" customHeight="1">
      <c r="A1558" s="25" t="str">
        <f>IFERROR(__xludf.DUMMYFUNCTION("IF(B1558="""","""",RIGHT(REGEXREPLACE(B1558&amp;"""",""[^0-9]"",""""),9))"),"761217564")</f>
        <v>761217564</v>
      </c>
      <c r="B1558" s="26">
        <v>7.61217564E8</v>
      </c>
      <c r="C1558" s="28" t="s">
        <v>1499</v>
      </c>
      <c r="D1558" s="26" t="s">
        <v>45</v>
      </c>
      <c r="E1558" s="31">
        <v>46228.0</v>
      </c>
      <c r="F1558" s="26" t="s">
        <v>46</v>
      </c>
      <c r="G1558" s="26">
        <v>11.0</v>
      </c>
      <c r="I1558" s="26" t="s">
        <v>42</v>
      </c>
      <c r="J1558" s="25" t="str">
        <f t="shared" si="31"/>
        <v>Yes - see Previous F-Code</v>
      </c>
      <c r="K1558" s="25" t="str">
        <f t="shared" si="32"/>
        <v>DUPLICATE - CHECK</v>
      </c>
      <c r="L1558" s="25" t="str">
        <f t="shared" si="33"/>
        <v>F71224</v>
      </c>
      <c r="M1558" s="25"/>
      <c r="O1558" s="25"/>
    </row>
    <row r="1559" ht="15.75" customHeight="1">
      <c r="A1559" s="25" t="str">
        <f>IFERROR(__xludf.DUMMYFUNCTION("IF(B1559="""","""",RIGHT(REGEXREPLACE(B1559&amp;"""",""[^0-9]"",""""),9))"),"725089094")</f>
        <v>725089094</v>
      </c>
      <c r="B1559" s="52">
        <v>7.25089094E8</v>
      </c>
      <c r="C1559" s="28" t="s">
        <v>1783</v>
      </c>
      <c r="D1559" s="26" t="s">
        <v>49</v>
      </c>
      <c r="E1559" s="31">
        <v>46228.0</v>
      </c>
      <c r="F1559" s="26" t="s">
        <v>41</v>
      </c>
      <c r="G1559" s="26">
        <v>11.0</v>
      </c>
      <c r="I1559" s="26" t="s">
        <v>42</v>
      </c>
      <c r="J1559" s="25" t="str">
        <f t="shared" si="31"/>
        <v>No</v>
      </c>
      <c r="K1559" s="25" t="str">
        <f t="shared" si="32"/>
        <v/>
      </c>
      <c r="L1559" s="25" t="str">
        <f t="shared" si="33"/>
        <v/>
      </c>
      <c r="M1559" s="25"/>
      <c r="O1559" s="25"/>
    </row>
    <row r="1560" ht="15.75" customHeight="1">
      <c r="A1560" s="25" t="str">
        <f>IFERROR(__xludf.DUMMYFUNCTION("IF(B1560="""","""",RIGHT(REGEXREPLACE(B1560&amp;"""",""[^0-9]"",""""),9))"),"765480676")</f>
        <v>765480676</v>
      </c>
      <c r="B1560" s="52">
        <v>7.65480676E8</v>
      </c>
      <c r="C1560" s="28" t="s">
        <v>1784</v>
      </c>
      <c r="D1560" s="26" t="s">
        <v>82</v>
      </c>
      <c r="E1560" s="31">
        <v>46228.0</v>
      </c>
      <c r="F1560" s="26" t="s">
        <v>41</v>
      </c>
      <c r="G1560" s="26">
        <v>10.0</v>
      </c>
      <c r="I1560" s="26" t="s">
        <v>42</v>
      </c>
      <c r="J1560" s="25" t="str">
        <f t="shared" si="31"/>
        <v>No</v>
      </c>
      <c r="K1560" s="25" t="str">
        <f t="shared" si="32"/>
        <v/>
      </c>
      <c r="L1560" s="25" t="str">
        <f t="shared" si="33"/>
        <v/>
      </c>
      <c r="M1560" s="25"/>
      <c r="O1560" s="25"/>
    </row>
    <row r="1561" ht="15.75" customHeight="1">
      <c r="A1561" s="25" t="str">
        <f>IFERROR(__xludf.DUMMYFUNCTION("IF(B1561="""","""",RIGHT(REGEXREPLACE(B1561&amp;"""",""[^0-9]"",""""),9))"),"762485287")</f>
        <v>762485287</v>
      </c>
      <c r="B1561" s="52">
        <v>7.62485287E8</v>
      </c>
      <c r="C1561" s="28" t="s">
        <v>1785</v>
      </c>
      <c r="D1561" s="26" t="s">
        <v>56</v>
      </c>
      <c r="E1561" s="31">
        <v>46228.0</v>
      </c>
      <c r="F1561" s="26" t="s">
        <v>46</v>
      </c>
      <c r="G1561" s="26">
        <v>10.0</v>
      </c>
      <c r="I1561" s="26" t="s">
        <v>42</v>
      </c>
      <c r="J1561" s="25" t="str">
        <f t="shared" si="31"/>
        <v>No</v>
      </c>
      <c r="K1561" s="25" t="str">
        <f t="shared" si="32"/>
        <v/>
      </c>
      <c r="L1561" s="25" t="str">
        <f t="shared" si="33"/>
        <v/>
      </c>
      <c r="M1561" s="25"/>
      <c r="O1561" s="25"/>
    </row>
    <row r="1562" ht="15.75" customHeight="1">
      <c r="A1562" s="25" t="str">
        <f>IFERROR(__xludf.DUMMYFUNCTION("IF(B1562="""","""",RIGHT(REGEXREPLACE(B1562&amp;"""",""[^0-9]"",""""),9))"),"764914885")</f>
        <v>764914885</v>
      </c>
      <c r="B1562" s="52">
        <v>7.64914885E8</v>
      </c>
      <c r="C1562" s="28" t="s">
        <v>1786</v>
      </c>
      <c r="D1562" s="26" t="s">
        <v>82</v>
      </c>
      <c r="E1562" s="31">
        <v>46228.0</v>
      </c>
      <c r="F1562" s="26" t="s">
        <v>205</v>
      </c>
      <c r="I1562" s="26" t="s">
        <v>42</v>
      </c>
      <c r="J1562" s="25" t="str">
        <f t="shared" si="31"/>
        <v>No</v>
      </c>
      <c r="K1562" s="25" t="str">
        <f t="shared" si="32"/>
        <v/>
      </c>
      <c r="L1562" s="25" t="str">
        <f t="shared" si="33"/>
        <v/>
      </c>
      <c r="M1562" s="25"/>
      <c r="O1562" s="25"/>
    </row>
    <row r="1563" ht="15.75" customHeight="1">
      <c r="A1563" s="25" t="str">
        <f>IFERROR(__xludf.DUMMYFUNCTION("IF(B1563="""","""",RIGHT(REGEXREPLACE(B1563&amp;"""",""[^0-9]"",""""),9))"),"714601321")</f>
        <v>714601321</v>
      </c>
      <c r="B1563" s="52">
        <v>7.14601321E8</v>
      </c>
      <c r="C1563" s="28" t="s">
        <v>1787</v>
      </c>
      <c r="D1563" s="26" t="s">
        <v>82</v>
      </c>
      <c r="E1563" s="31">
        <v>46228.0</v>
      </c>
      <c r="F1563" s="26" t="s">
        <v>205</v>
      </c>
      <c r="I1563" s="26" t="s">
        <v>42</v>
      </c>
      <c r="J1563" s="25" t="str">
        <f t="shared" si="31"/>
        <v>No</v>
      </c>
      <c r="K1563" s="25" t="str">
        <f t="shared" si="32"/>
        <v/>
      </c>
      <c r="L1563" s="25" t="str">
        <f t="shared" si="33"/>
        <v/>
      </c>
      <c r="M1563" s="25"/>
      <c r="O1563" s="25"/>
    </row>
    <row r="1564" ht="15.75" customHeight="1">
      <c r="A1564" s="25" t="str">
        <f>IFERROR(__xludf.DUMMYFUNCTION("IF(B1564="""","""",RIGHT(REGEXREPLACE(B1564&amp;"""",""[^0-9]"",""""),9))"),"777394259")</f>
        <v>777394259</v>
      </c>
      <c r="B1564" s="52">
        <v>7.77394259E8</v>
      </c>
      <c r="C1564" s="28" t="s">
        <v>1788</v>
      </c>
      <c r="D1564" s="26" t="s">
        <v>45</v>
      </c>
      <c r="E1564" s="31">
        <v>46228.0</v>
      </c>
      <c r="F1564" s="26" t="s">
        <v>41</v>
      </c>
      <c r="G1564" s="26">
        <v>9.0</v>
      </c>
      <c r="I1564" s="26" t="s">
        <v>42</v>
      </c>
      <c r="J1564" s="25" t="str">
        <f t="shared" si="31"/>
        <v>No</v>
      </c>
      <c r="K1564" s="25" t="str">
        <f t="shared" si="32"/>
        <v/>
      </c>
      <c r="L1564" s="25" t="str">
        <f t="shared" si="33"/>
        <v/>
      </c>
      <c r="M1564" s="25"/>
      <c r="O1564" s="25"/>
    </row>
    <row r="1565" ht="15.75" customHeight="1">
      <c r="A1565" s="25" t="str">
        <f>IFERROR(__xludf.DUMMYFUNCTION("IF(B1565="""","""",RIGHT(REGEXREPLACE(B1565&amp;"""",""[^0-9]"",""""),9))"),"772123104")</f>
        <v>772123104</v>
      </c>
      <c r="B1565" s="52">
        <v>7.72123104E8</v>
      </c>
      <c r="C1565" s="28" t="s">
        <v>976</v>
      </c>
      <c r="D1565" s="26" t="s">
        <v>56</v>
      </c>
      <c r="E1565" s="31">
        <v>46228.0</v>
      </c>
      <c r="F1565" s="26" t="s">
        <v>46</v>
      </c>
      <c r="G1565" s="26">
        <v>11.0</v>
      </c>
      <c r="I1565" s="26" t="s">
        <v>42</v>
      </c>
      <c r="J1565" s="25" t="str">
        <f t="shared" si="31"/>
        <v>No</v>
      </c>
      <c r="K1565" s="25" t="str">
        <f t="shared" si="32"/>
        <v/>
      </c>
      <c r="L1565" s="25" t="str">
        <f t="shared" si="33"/>
        <v/>
      </c>
      <c r="M1565" s="25"/>
      <c r="O1565" s="25"/>
    </row>
    <row r="1566" ht="15.75" customHeight="1">
      <c r="A1566" s="25" t="str">
        <f>IFERROR(__xludf.DUMMYFUNCTION("IF(B1566="""","""",RIGHT(REGEXREPLACE(B1566&amp;"""",""[^0-9]"",""""),9))"),"713000060")</f>
        <v>713000060</v>
      </c>
      <c r="B1566" s="52">
        <v>7.1300006E8</v>
      </c>
      <c r="C1566" s="28" t="s">
        <v>1789</v>
      </c>
      <c r="D1566" s="26" t="s">
        <v>49</v>
      </c>
      <c r="E1566" s="31">
        <v>46228.0</v>
      </c>
      <c r="F1566" s="26" t="s">
        <v>46</v>
      </c>
      <c r="G1566" s="26">
        <v>11.0</v>
      </c>
      <c r="I1566" s="26" t="s">
        <v>42</v>
      </c>
      <c r="J1566" s="25" t="str">
        <f t="shared" si="31"/>
        <v>No</v>
      </c>
      <c r="K1566" s="25" t="str">
        <f t="shared" si="32"/>
        <v/>
      </c>
      <c r="L1566" s="25" t="str">
        <f t="shared" si="33"/>
        <v/>
      </c>
      <c r="M1566" s="25"/>
      <c r="O1566" s="25"/>
    </row>
    <row r="1567" ht="15.75" customHeight="1">
      <c r="A1567" s="25" t="str">
        <f>IFERROR(__xludf.DUMMYFUNCTION("IF(B1567="""","""",RIGHT(REGEXREPLACE(B1567&amp;"""",""[^0-9]"",""""),9))"),"774845357")</f>
        <v>774845357</v>
      </c>
      <c r="B1567" s="52">
        <v>7.74845357E8</v>
      </c>
      <c r="C1567" s="28" t="s">
        <v>1790</v>
      </c>
      <c r="D1567" s="26" t="s">
        <v>45</v>
      </c>
      <c r="E1567" s="31">
        <v>46228.0</v>
      </c>
      <c r="F1567" s="26" t="s">
        <v>41</v>
      </c>
      <c r="G1567" s="26">
        <v>11.0</v>
      </c>
      <c r="I1567" s="26" t="s">
        <v>42</v>
      </c>
      <c r="J1567" s="25" t="str">
        <f t="shared" si="31"/>
        <v>No</v>
      </c>
      <c r="K1567" s="25" t="str">
        <f t="shared" si="32"/>
        <v/>
      </c>
      <c r="L1567" s="25" t="str">
        <f t="shared" si="33"/>
        <v/>
      </c>
      <c r="M1567" s="25"/>
      <c r="O1567" s="25"/>
    </row>
    <row r="1568" ht="15.75" customHeight="1">
      <c r="A1568" s="25" t="str">
        <f>IFERROR(__xludf.DUMMYFUNCTION("IF(B1568="""","""",RIGHT(REGEXREPLACE(B1568&amp;"""",""[^0-9]"",""""),9))"),"753402357")</f>
        <v>753402357</v>
      </c>
      <c r="B1568" s="52">
        <v>7.53402357E8</v>
      </c>
      <c r="C1568" s="28" t="s">
        <v>1791</v>
      </c>
      <c r="D1568" s="26" t="s">
        <v>82</v>
      </c>
      <c r="E1568" s="31">
        <v>46228.0</v>
      </c>
      <c r="F1568" s="26" t="s">
        <v>125</v>
      </c>
      <c r="I1568" s="26" t="s">
        <v>42</v>
      </c>
      <c r="J1568" s="25" t="str">
        <f t="shared" si="31"/>
        <v>No</v>
      </c>
      <c r="K1568" s="25" t="str">
        <f t="shared" si="32"/>
        <v/>
      </c>
      <c r="L1568" s="25" t="str">
        <f t="shared" si="33"/>
        <v/>
      </c>
      <c r="M1568" s="25"/>
      <c r="O1568" s="25"/>
    </row>
    <row r="1569" ht="15.75" customHeight="1">
      <c r="A1569" s="25" t="str">
        <f>IFERROR(__xludf.DUMMYFUNCTION("IF(B1569="""","""",RIGHT(REGEXREPLACE(B1569&amp;"""",""[^0-9]"",""""),9))"),"769044253")</f>
        <v>769044253</v>
      </c>
      <c r="B1569" s="52">
        <v>7.69044253E8</v>
      </c>
      <c r="C1569" s="28" t="s">
        <v>1792</v>
      </c>
      <c r="D1569" s="26" t="s">
        <v>49</v>
      </c>
      <c r="E1569" s="31">
        <v>46228.0</v>
      </c>
      <c r="F1569" s="26" t="s">
        <v>46</v>
      </c>
      <c r="G1569" s="26">
        <v>11.0</v>
      </c>
      <c r="I1569" s="26" t="s">
        <v>42</v>
      </c>
      <c r="J1569" s="25" t="str">
        <f t="shared" si="31"/>
        <v>No</v>
      </c>
      <c r="K1569" s="25" t="str">
        <f t="shared" si="32"/>
        <v/>
      </c>
      <c r="L1569" s="25" t="str">
        <f t="shared" si="33"/>
        <v/>
      </c>
      <c r="M1569" s="25"/>
      <c r="O1569" s="25"/>
    </row>
    <row r="1570" ht="15.75" customHeight="1">
      <c r="A1570" s="25" t="str">
        <f>IFERROR(__xludf.DUMMYFUNCTION("IF(B1570="""","""",RIGHT(REGEXREPLACE(B1570&amp;"""",""[^0-9]"",""""),9))"),"718041324")</f>
        <v>718041324</v>
      </c>
      <c r="B1570" s="52">
        <v>7.18041324E8</v>
      </c>
      <c r="C1570" s="28" t="s">
        <v>1793</v>
      </c>
      <c r="D1570" s="26" t="s">
        <v>56</v>
      </c>
      <c r="E1570" s="31">
        <v>46228.0</v>
      </c>
      <c r="F1570" s="26" t="s">
        <v>125</v>
      </c>
      <c r="G1570" s="26">
        <v>11.0</v>
      </c>
      <c r="I1570" s="26" t="s">
        <v>42</v>
      </c>
      <c r="J1570" s="25" t="str">
        <f t="shared" si="31"/>
        <v>No</v>
      </c>
      <c r="K1570" s="25" t="str">
        <f t="shared" si="32"/>
        <v/>
      </c>
      <c r="L1570" s="25" t="str">
        <f t="shared" si="33"/>
        <v/>
      </c>
      <c r="M1570" s="25"/>
      <c r="O1570" s="25"/>
    </row>
    <row r="1571" ht="15.75" customHeight="1">
      <c r="A1571" s="25" t="str">
        <f>IFERROR(__xludf.DUMMYFUNCTION("IF(B1571="""","""",RIGHT(REGEXREPLACE(B1571&amp;"""",""[^0-9]"",""""),9))"),"761676446")</f>
        <v>761676446</v>
      </c>
      <c r="B1571" s="52">
        <v>7.61676446E8</v>
      </c>
      <c r="C1571" s="28" t="s">
        <v>1794</v>
      </c>
      <c r="D1571" s="26" t="s">
        <v>45</v>
      </c>
      <c r="E1571" s="31">
        <v>46228.0</v>
      </c>
      <c r="F1571" s="26" t="s">
        <v>205</v>
      </c>
      <c r="I1571" s="26" t="s">
        <v>42</v>
      </c>
      <c r="J1571" s="25" t="str">
        <f t="shared" si="31"/>
        <v>No</v>
      </c>
      <c r="K1571" s="25" t="str">
        <f t="shared" si="32"/>
        <v/>
      </c>
      <c r="L1571" s="25" t="str">
        <f t="shared" si="33"/>
        <v/>
      </c>
      <c r="M1571" s="25"/>
      <c r="O1571" s="25"/>
    </row>
    <row r="1572" ht="15.75" customHeight="1">
      <c r="A1572" s="25" t="str">
        <f>IFERROR(__xludf.DUMMYFUNCTION("IF(B1572="""","""",RIGHT(REGEXREPLACE(B1572&amp;"""",""[^0-9]"",""""),9))"),"765498192")</f>
        <v>765498192</v>
      </c>
      <c r="B1572" s="52">
        <v>7.65498192E8</v>
      </c>
      <c r="C1572" s="28" t="s">
        <v>1795</v>
      </c>
      <c r="D1572" s="26" t="s">
        <v>45</v>
      </c>
      <c r="E1572" s="31">
        <v>46228.0</v>
      </c>
      <c r="F1572" s="26" t="s">
        <v>41</v>
      </c>
      <c r="I1572" s="26" t="s">
        <v>42</v>
      </c>
      <c r="J1572" s="25" t="str">
        <f t="shared" si="31"/>
        <v>No</v>
      </c>
      <c r="K1572" s="25" t="str">
        <f t="shared" si="32"/>
        <v/>
      </c>
      <c r="L1572" s="25" t="str">
        <f t="shared" si="33"/>
        <v/>
      </c>
      <c r="M1572" s="25"/>
      <c r="O1572" s="25"/>
    </row>
    <row r="1573" ht="15.75" customHeight="1">
      <c r="A1573" s="25" t="str">
        <f>IFERROR(__xludf.DUMMYFUNCTION("IF(B1573="""","""",RIGHT(REGEXREPLACE(B1573&amp;"""",""[^0-9]"",""""),9))"),"702917470")</f>
        <v>702917470</v>
      </c>
      <c r="B1573" s="52">
        <v>7.0291747E8</v>
      </c>
      <c r="C1573" s="28" t="s">
        <v>1796</v>
      </c>
      <c r="D1573" s="26" t="s">
        <v>82</v>
      </c>
      <c r="E1573" s="31">
        <v>46228.0</v>
      </c>
      <c r="F1573" s="26" t="s">
        <v>46</v>
      </c>
      <c r="G1573" s="26">
        <v>11.0</v>
      </c>
      <c r="I1573" s="26" t="s">
        <v>42</v>
      </c>
      <c r="J1573" s="25" t="str">
        <f t="shared" si="31"/>
        <v>No</v>
      </c>
      <c r="K1573" s="25" t="str">
        <f t="shared" si="32"/>
        <v/>
      </c>
      <c r="L1573" s="25" t="str">
        <f t="shared" si="33"/>
        <v/>
      </c>
      <c r="M1573" s="25"/>
      <c r="O1573" s="25"/>
    </row>
    <row r="1574" ht="15.75" customHeight="1">
      <c r="A1574" s="25" t="str">
        <f>IFERROR(__xludf.DUMMYFUNCTION("IF(B1574="""","""",RIGHT(REGEXREPLACE(B1574&amp;"""",""[^0-9]"",""""),9))"),"714944583")</f>
        <v>714944583</v>
      </c>
      <c r="B1574" s="52">
        <v>7.14944583E8</v>
      </c>
      <c r="C1574" s="28" t="s">
        <v>1797</v>
      </c>
      <c r="D1574" s="26" t="s">
        <v>49</v>
      </c>
      <c r="E1574" s="31">
        <v>46228.0</v>
      </c>
      <c r="F1574" s="26" t="s">
        <v>46</v>
      </c>
      <c r="G1574" s="26">
        <v>11.0</v>
      </c>
      <c r="I1574" s="26" t="s">
        <v>42</v>
      </c>
      <c r="J1574" s="25" t="str">
        <f t="shared" si="31"/>
        <v>No</v>
      </c>
      <c r="K1574" s="25" t="str">
        <f t="shared" si="32"/>
        <v/>
      </c>
      <c r="L1574" s="25" t="str">
        <f t="shared" si="33"/>
        <v/>
      </c>
      <c r="M1574" s="25"/>
      <c r="O1574" s="25"/>
    </row>
    <row r="1575" ht="15.75" customHeight="1">
      <c r="A1575" s="25" t="str">
        <f>IFERROR(__xludf.DUMMYFUNCTION("IF(B1575="""","""",RIGHT(REGEXREPLACE(B1575&amp;"""",""[^0-9]"",""""),9))"),"766669376")</f>
        <v>766669376</v>
      </c>
      <c r="B1575" s="52">
        <v>7.66669376E8</v>
      </c>
      <c r="C1575" s="28" t="s">
        <v>1798</v>
      </c>
      <c r="D1575" s="26" t="s">
        <v>45</v>
      </c>
      <c r="E1575" s="31">
        <v>46228.0</v>
      </c>
      <c r="F1575" s="26" t="s">
        <v>46</v>
      </c>
      <c r="G1575" s="26">
        <v>11.0</v>
      </c>
      <c r="I1575" s="26" t="s">
        <v>42</v>
      </c>
      <c r="J1575" s="25" t="str">
        <f t="shared" si="31"/>
        <v>No</v>
      </c>
      <c r="K1575" s="25" t="str">
        <f t="shared" si="32"/>
        <v/>
      </c>
      <c r="L1575" s="25" t="str">
        <f t="shared" si="33"/>
        <v/>
      </c>
      <c r="M1575" s="25"/>
      <c r="O1575" s="25"/>
    </row>
    <row r="1576" ht="15.75" customHeight="1">
      <c r="A1576" s="25" t="str">
        <f>IFERROR(__xludf.DUMMYFUNCTION("IF(B1576="""","""",RIGHT(REGEXREPLACE(B1576&amp;"""",""[^0-9]"",""""),9))"),"752780995")</f>
        <v>752780995</v>
      </c>
      <c r="B1576" s="52">
        <v>7.52780995E8</v>
      </c>
      <c r="C1576" s="28" t="s">
        <v>1799</v>
      </c>
      <c r="D1576" s="26" t="s">
        <v>56</v>
      </c>
      <c r="E1576" s="31">
        <v>46228.0</v>
      </c>
      <c r="F1576" s="26" t="s">
        <v>41</v>
      </c>
      <c r="G1576" s="26">
        <v>11.0</v>
      </c>
      <c r="I1576" s="26" t="s">
        <v>42</v>
      </c>
      <c r="J1576" s="25" t="str">
        <f t="shared" si="31"/>
        <v>No</v>
      </c>
      <c r="K1576" s="25" t="str">
        <f t="shared" si="32"/>
        <v/>
      </c>
      <c r="L1576" s="25" t="str">
        <f t="shared" si="33"/>
        <v/>
      </c>
      <c r="M1576" s="25"/>
      <c r="O1576" s="25"/>
    </row>
    <row r="1577" ht="15.75" customHeight="1">
      <c r="A1577" s="25" t="str">
        <f>IFERROR(__xludf.DUMMYFUNCTION("IF(B1577="""","""",RIGHT(REGEXREPLACE(B1577&amp;"""",""[^0-9]"",""""),9))"),"767773181")</f>
        <v>767773181</v>
      </c>
      <c r="B1577" s="52">
        <v>7.67773181E8</v>
      </c>
      <c r="C1577" s="28" t="s">
        <v>1800</v>
      </c>
      <c r="D1577" s="26" t="s">
        <v>49</v>
      </c>
      <c r="E1577" s="31">
        <v>46228.0</v>
      </c>
      <c r="F1577" s="26" t="s">
        <v>46</v>
      </c>
      <c r="G1577" s="26">
        <v>11.0</v>
      </c>
      <c r="I1577" s="26" t="s">
        <v>42</v>
      </c>
      <c r="J1577" s="25" t="str">
        <f t="shared" si="31"/>
        <v>No</v>
      </c>
      <c r="K1577" s="25" t="str">
        <f t="shared" si="32"/>
        <v/>
      </c>
      <c r="L1577" s="25" t="str">
        <f t="shared" si="33"/>
        <v/>
      </c>
      <c r="M1577" s="25"/>
      <c r="O1577" s="25"/>
    </row>
    <row r="1578" ht="15.75" customHeight="1">
      <c r="A1578" s="25" t="str">
        <f>IFERROR(__xludf.DUMMYFUNCTION("IF(B1578="""","""",RIGHT(REGEXREPLACE(B1578&amp;"""",""[^0-9]"",""""),9))"),"776661275")</f>
        <v>776661275</v>
      </c>
      <c r="B1578" s="52">
        <v>7.76661275E8</v>
      </c>
      <c r="C1578" s="28" t="s">
        <v>1801</v>
      </c>
      <c r="D1578" s="26" t="s">
        <v>45</v>
      </c>
      <c r="E1578" s="31">
        <v>46228.0</v>
      </c>
      <c r="F1578" s="26" t="s">
        <v>41</v>
      </c>
      <c r="I1578" s="26" t="s">
        <v>42</v>
      </c>
      <c r="J1578" s="25" t="str">
        <f t="shared" si="31"/>
        <v>No</v>
      </c>
      <c r="K1578" s="25" t="str">
        <f t="shared" si="32"/>
        <v/>
      </c>
      <c r="L1578" s="25" t="str">
        <f t="shared" si="33"/>
        <v/>
      </c>
      <c r="M1578" s="25"/>
      <c r="O1578" s="25"/>
    </row>
    <row r="1579" ht="15.75" customHeight="1">
      <c r="A1579" s="25" t="str">
        <f>IFERROR(__xludf.DUMMYFUNCTION("IF(B1579="""","""",RIGHT(REGEXREPLACE(B1579&amp;"""",""[^0-9]"",""""),9))"),"761257621")</f>
        <v>761257621</v>
      </c>
      <c r="B1579" s="52">
        <v>7.61257621E8</v>
      </c>
      <c r="C1579" s="28" t="s">
        <v>1802</v>
      </c>
      <c r="D1579" s="26" t="s">
        <v>56</v>
      </c>
      <c r="E1579" s="31">
        <v>46228.0</v>
      </c>
      <c r="F1579" s="26" t="s">
        <v>46</v>
      </c>
      <c r="G1579" s="26">
        <v>11.0</v>
      </c>
      <c r="I1579" s="26" t="s">
        <v>42</v>
      </c>
      <c r="J1579" s="25" t="str">
        <f t="shared" si="31"/>
        <v>No</v>
      </c>
      <c r="K1579" s="25" t="str">
        <f t="shared" si="32"/>
        <v/>
      </c>
      <c r="L1579" s="25" t="str">
        <f t="shared" si="33"/>
        <v/>
      </c>
      <c r="M1579" s="25"/>
      <c r="O1579" s="25"/>
    </row>
    <row r="1580" ht="15.75" customHeight="1">
      <c r="A1580" s="25" t="str">
        <f>IFERROR(__xludf.DUMMYFUNCTION("IF(B1580="""","""",RIGHT(REGEXREPLACE(B1580&amp;"""",""[^0-9]"",""""),9))"),"742195240")</f>
        <v>742195240</v>
      </c>
      <c r="B1580" s="52">
        <v>7.4219524E8</v>
      </c>
      <c r="C1580" s="28" t="s">
        <v>1803</v>
      </c>
      <c r="D1580" s="26" t="s">
        <v>45</v>
      </c>
      <c r="E1580" s="31">
        <v>46228.0</v>
      </c>
      <c r="F1580" s="26" t="s">
        <v>41</v>
      </c>
      <c r="I1580" s="26" t="s">
        <v>42</v>
      </c>
      <c r="J1580" s="25" t="str">
        <f t="shared" si="31"/>
        <v>No</v>
      </c>
      <c r="K1580" s="25" t="str">
        <f t="shared" si="32"/>
        <v/>
      </c>
      <c r="L1580" s="25" t="str">
        <f t="shared" si="33"/>
        <v/>
      </c>
      <c r="M1580" s="25"/>
      <c r="O1580" s="25"/>
    </row>
    <row r="1581" ht="15.75" customHeight="1">
      <c r="A1581" s="25" t="str">
        <f>IFERROR(__xludf.DUMMYFUNCTION("IF(B1581="""","""",RIGHT(REGEXREPLACE(B1581&amp;"""",""[^0-9]"",""""),9))"),"716731413")</f>
        <v>716731413</v>
      </c>
      <c r="B1581" s="26">
        <v>7.16731413E8</v>
      </c>
      <c r="C1581" s="28" t="s">
        <v>1804</v>
      </c>
      <c r="D1581" s="26" t="s">
        <v>37</v>
      </c>
      <c r="E1581" s="31">
        <v>46228.0</v>
      </c>
      <c r="F1581" s="26" t="s">
        <v>41</v>
      </c>
      <c r="I1581" s="26" t="s">
        <v>42</v>
      </c>
      <c r="J1581" s="25" t="str">
        <f t="shared" si="31"/>
        <v>No</v>
      </c>
      <c r="K1581" s="25" t="str">
        <f t="shared" si="32"/>
        <v/>
      </c>
      <c r="L1581" s="25" t="str">
        <f t="shared" si="33"/>
        <v/>
      </c>
      <c r="M1581" s="25"/>
      <c r="O1581" s="25"/>
    </row>
    <row r="1582" ht="15.75" customHeight="1">
      <c r="A1582" s="25" t="str">
        <f>IFERROR(__xludf.DUMMYFUNCTION("IF(B1582="""","""",RIGHT(REGEXREPLACE(B1582&amp;"""",""[^0-9]"",""""),9))"),"713391108")</f>
        <v>713391108</v>
      </c>
      <c r="B1582" s="52">
        <v>7.13391108E8</v>
      </c>
      <c r="C1582" s="28" t="s">
        <v>1805</v>
      </c>
      <c r="D1582" s="26" t="s">
        <v>82</v>
      </c>
      <c r="E1582" s="31">
        <v>46228.0</v>
      </c>
      <c r="F1582" s="26" t="s">
        <v>659</v>
      </c>
      <c r="I1582" s="26" t="s">
        <v>42</v>
      </c>
      <c r="J1582" s="25" t="str">
        <f t="shared" si="31"/>
        <v>No</v>
      </c>
      <c r="K1582" s="25" t="str">
        <f t="shared" si="32"/>
        <v/>
      </c>
      <c r="L1582" s="25" t="str">
        <f t="shared" si="33"/>
        <v/>
      </c>
      <c r="M1582" s="25"/>
      <c r="O1582" s="25"/>
    </row>
    <row r="1583" ht="15.75" customHeight="1">
      <c r="A1583" s="25" t="str">
        <f>IFERROR(__xludf.DUMMYFUNCTION("IF(B1583="""","""",RIGHT(REGEXREPLACE(B1583&amp;"""",""[^0-9]"",""""),9))"),"761608828")</f>
        <v>761608828</v>
      </c>
      <c r="B1583" s="26">
        <v>7.61608828E8</v>
      </c>
      <c r="C1583" s="28" t="s">
        <v>1806</v>
      </c>
      <c r="D1583" s="26" t="s">
        <v>37</v>
      </c>
      <c r="E1583" s="31">
        <v>46228.0</v>
      </c>
      <c r="F1583" s="26" t="s">
        <v>41</v>
      </c>
      <c r="G1583" s="26">
        <v>11.0</v>
      </c>
      <c r="I1583" s="26" t="s">
        <v>42</v>
      </c>
      <c r="J1583" s="25" t="str">
        <f t="shared" si="31"/>
        <v>No</v>
      </c>
      <c r="K1583" s="25" t="str">
        <f t="shared" si="32"/>
        <v/>
      </c>
      <c r="L1583" s="25" t="str">
        <f t="shared" si="33"/>
        <v/>
      </c>
      <c r="M1583" s="25"/>
      <c r="O1583" s="25"/>
    </row>
    <row r="1584" ht="15.75" customHeight="1">
      <c r="A1584" s="25" t="str">
        <f>IFERROR(__xludf.DUMMYFUNCTION("IF(B1584="""","""",RIGHT(REGEXREPLACE(B1584&amp;"""",""[^0-9]"",""""),9))"),"741095858")</f>
        <v>741095858</v>
      </c>
      <c r="B1584" s="52">
        <v>7.41095858E8</v>
      </c>
      <c r="C1584" s="28" t="s">
        <v>1807</v>
      </c>
      <c r="D1584" s="26" t="s">
        <v>49</v>
      </c>
      <c r="E1584" s="31">
        <v>46228.0</v>
      </c>
      <c r="F1584" s="26" t="s">
        <v>205</v>
      </c>
      <c r="I1584" s="26" t="s">
        <v>42</v>
      </c>
      <c r="J1584" s="25" t="str">
        <f t="shared" si="31"/>
        <v>No</v>
      </c>
      <c r="K1584" s="25" t="str">
        <f t="shared" si="32"/>
        <v/>
      </c>
      <c r="L1584" s="25" t="str">
        <f t="shared" si="33"/>
        <v/>
      </c>
      <c r="M1584" s="25"/>
      <c r="O1584" s="25"/>
    </row>
    <row r="1585" ht="15.75" customHeight="1">
      <c r="A1585" s="25" t="str">
        <f>IFERROR(__xludf.DUMMYFUNCTION("IF(B1585="""","""",RIGHT(REGEXREPLACE(B1585&amp;"""",""[^0-9]"",""""),9))"),"760724399")</f>
        <v>760724399</v>
      </c>
      <c r="B1585" s="26">
        <v>7.60724399E8</v>
      </c>
      <c r="C1585" s="28" t="s">
        <v>1808</v>
      </c>
      <c r="D1585" s="26" t="s">
        <v>37</v>
      </c>
      <c r="E1585" s="31">
        <v>46228.0</v>
      </c>
      <c r="F1585" s="26" t="s">
        <v>46</v>
      </c>
      <c r="G1585" s="26">
        <v>11.0</v>
      </c>
      <c r="H1585" s="26" t="s">
        <v>1447</v>
      </c>
      <c r="I1585" s="26" t="s">
        <v>42</v>
      </c>
      <c r="J1585" s="25" t="str">
        <f t="shared" si="31"/>
        <v>No</v>
      </c>
      <c r="K1585" s="25" t="str">
        <f t="shared" si="32"/>
        <v/>
      </c>
      <c r="L1585" s="25" t="str">
        <f t="shared" si="33"/>
        <v/>
      </c>
      <c r="M1585" s="25"/>
      <c r="O1585" s="25"/>
    </row>
    <row r="1586" ht="15.75" customHeight="1">
      <c r="A1586" s="25" t="str">
        <f>IFERROR(__xludf.DUMMYFUNCTION("IF(B1586="""","""",RIGHT(REGEXREPLACE(B1586&amp;"""",""[^0-9]"",""""),9))"),"741565095")</f>
        <v>741565095</v>
      </c>
      <c r="B1586" s="52">
        <v>7.41565095E8</v>
      </c>
      <c r="C1586" s="28" t="s">
        <v>1809</v>
      </c>
      <c r="D1586" s="26" t="s">
        <v>45</v>
      </c>
      <c r="E1586" s="31">
        <v>46228.0</v>
      </c>
      <c r="F1586" s="26" t="s">
        <v>46</v>
      </c>
      <c r="G1586" s="26">
        <v>10.0</v>
      </c>
      <c r="I1586" s="26" t="s">
        <v>42</v>
      </c>
      <c r="J1586" s="25" t="str">
        <f t="shared" si="31"/>
        <v>No</v>
      </c>
      <c r="K1586" s="25" t="str">
        <f t="shared" si="32"/>
        <v/>
      </c>
      <c r="L1586" s="25" t="str">
        <f t="shared" si="33"/>
        <v/>
      </c>
      <c r="M1586" s="25"/>
      <c r="O1586" s="25"/>
    </row>
    <row r="1587" ht="15.75" customHeight="1">
      <c r="A1587" s="25" t="str">
        <f>IFERROR(__xludf.DUMMYFUNCTION("IF(B1587="""","""",RIGHT(REGEXREPLACE(B1587&amp;"""",""[^0-9]"",""""),9))"),"766629933")</f>
        <v>766629933</v>
      </c>
      <c r="B1587" s="52">
        <v>7.66629933E8</v>
      </c>
      <c r="C1587" s="28" t="s">
        <v>1810</v>
      </c>
      <c r="D1587" s="26" t="s">
        <v>56</v>
      </c>
      <c r="E1587" s="31">
        <v>46228.0</v>
      </c>
      <c r="F1587" s="26" t="s">
        <v>631</v>
      </c>
      <c r="G1587" s="26">
        <v>11.0</v>
      </c>
      <c r="I1587" s="26" t="s">
        <v>42</v>
      </c>
      <c r="J1587" s="25" t="str">
        <f t="shared" si="31"/>
        <v>No</v>
      </c>
      <c r="K1587" s="25" t="str">
        <f t="shared" si="32"/>
        <v/>
      </c>
      <c r="L1587" s="25" t="str">
        <f t="shared" si="33"/>
        <v/>
      </c>
      <c r="M1587" s="25"/>
      <c r="O1587" s="25"/>
    </row>
    <row r="1588" ht="15.75" customHeight="1">
      <c r="A1588" s="25" t="str">
        <f>IFERROR(__xludf.DUMMYFUNCTION("IF(B1588="""","""",RIGHT(REGEXREPLACE(B1588&amp;"""",""[^0-9]"",""""),9))"),"763690947")</f>
        <v>763690947</v>
      </c>
      <c r="B1588" s="26">
        <v>7.63690947E8</v>
      </c>
      <c r="C1588" s="28" t="s">
        <v>1811</v>
      </c>
      <c r="D1588" s="26" t="s">
        <v>37</v>
      </c>
      <c r="E1588" s="31">
        <v>46228.0</v>
      </c>
      <c r="F1588" s="26" t="s">
        <v>46</v>
      </c>
      <c r="G1588" s="26">
        <v>11.0</v>
      </c>
      <c r="I1588" s="26" t="s">
        <v>42</v>
      </c>
      <c r="J1588" s="25" t="str">
        <f t="shared" si="31"/>
        <v>No</v>
      </c>
      <c r="K1588" s="25" t="str">
        <f t="shared" si="32"/>
        <v/>
      </c>
      <c r="L1588" s="25" t="str">
        <f t="shared" si="33"/>
        <v/>
      </c>
      <c r="M1588" s="25"/>
      <c r="O1588" s="25"/>
    </row>
    <row r="1589" ht="15.75" customHeight="1">
      <c r="A1589" s="25" t="str">
        <f>IFERROR(__xludf.DUMMYFUNCTION("IF(B1589="""","""",RIGHT(REGEXREPLACE(B1589&amp;"""",""[^0-9]"",""""),9))"),"775348390")</f>
        <v>775348390</v>
      </c>
      <c r="B1589" s="52">
        <v>7.7534839E8</v>
      </c>
      <c r="C1589" s="28" t="s">
        <v>1812</v>
      </c>
      <c r="D1589" s="26" t="s">
        <v>49</v>
      </c>
      <c r="E1589" s="31">
        <v>46228.0</v>
      </c>
      <c r="F1589" s="26" t="s">
        <v>46</v>
      </c>
      <c r="G1589" s="26">
        <v>11.0</v>
      </c>
      <c r="I1589" s="26" t="s">
        <v>42</v>
      </c>
      <c r="J1589" s="25" t="str">
        <f t="shared" si="31"/>
        <v>No</v>
      </c>
      <c r="K1589" s="25" t="str">
        <f t="shared" si="32"/>
        <v/>
      </c>
      <c r="L1589" s="25" t="str">
        <f t="shared" si="33"/>
        <v/>
      </c>
      <c r="M1589" s="25"/>
      <c r="O1589" s="25"/>
    </row>
    <row r="1590" ht="15.75" customHeight="1">
      <c r="A1590" s="25" t="str">
        <f>IFERROR(__xludf.DUMMYFUNCTION("IF(B1590="""","""",RIGHT(REGEXREPLACE(B1590&amp;"""",""[^0-9]"",""""),9))"),"768090550")</f>
        <v>768090550</v>
      </c>
      <c r="B1590" s="52">
        <v>7.6809055E8</v>
      </c>
      <c r="C1590" s="28" t="s">
        <v>1813</v>
      </c>
      <c r="D1590" s="26" t="s">
        <v>82</v>
      </c>
      <c r="E1590" s="31">
        <v>46228.0</v>
      </c>
      <c r="F1590" s="26" t="s">
        <v>205</v>
      </c>
      <c r="G1590" s="26">
        <v>11.0</v>
      </c>
      <c r="I1590" s="26" t="s">
        <v>42</v>
      </c>
      <c r="J1590" s="25" t="str">
        <f t="shared" si="31"/>
        <v>No</v>
      </c>
      <c r="K1590" s="25" t="str">
        <f t="shared" si="32"/>
        <v/>
      </c>
      <c r="L1590" s="25" t="str">
        <f t="shared" si="33"/>
        <v/>
      </c>
      <c r="M1590" s="25"/>
      <c r="O1590" s="25"/>
    </row>
    <row r="1591" ht="15.75" customHeight="1">
      <c r="A1591" s="25" t="str">
        <f>IFERROR(__xludf.DUMMYFUNCTION("IF(B1591="""","""",RIGHT(REGEXREPLACE(B1591&amp;"""",""[^0-9]"",""""),9))"),"712527000")</f>
        <v>712527000</v>
      </c>
      <c r="B1591" s="26">
        <v>7.12527E8</v>
      </c>
      <c r="C1591" s="28" t="s">
        <v>1814</v>
      </c>
      <c r="D1591" s="26" t="s">
        <v>37</v>
      </c>
      <c r="E1591" s="31">
        <v>46228.0</v>
      </c>
      <c r="F1591" s="26" t="s">
        <v>46</v>
      </c>
      <c r="G1591" s="26">
        <v>11.0</v>
      </c>
      <c r="I1591" s="26" t="s">
        <v>42</v>
      </c>
      <c r="J1591" s="25" t="str">
        <f t="shared" si="31"/>
        <v>No</v>
      </c>
      <c r="K1591" s="25" t="str">
        <f t="shared" si="32"/>
        <v/>
      </c>
      <c r="L1591" s="25" t="str">
        <f t="shared" si="33"/>
        <v/>
      </c>
      <c r="M1591" s="25"/>
      <c r="O1591" s="25"/>
    </row>
    <row r="1592" ht="15.75" customHeight="1">
      <c r="A1592" s="25" t="str">
        <f>IFERROR(__xludf.DUMMYFUNCTION("IF(B1592="""","""",RIGHT(REGEXREPLACE(B1592&amp;"""",""[^0-9]"",""""),9))"),"768459715")</f>
        <v>768459715</v>
      </c>
      <c r="B1592" s="52">
        <v>7.68459715E8</v>
      </c>
      <c r="C1592" s="28" t="s">
        <v>1815</v>
      </c>
      <c r="D1592" s="26" t="s">
        <v>45</v>
      </c>
      <c r="E1592" s="31">
        <v>46228.0</v>
      </c>
      <c r="F1592" s="26" t="s">
        <v>46</v>
      </c>
      <c r="G1592" s="26">
        <v>11.0</v>
      </c>
      <c r="I1592" s="26" t="s">
        <v>42</v>
      </c>
      <c r="J1592" s="25" t="str">
        <f t="shared" si="31"/>
        <v>No</v>
      </c>
      <c r="K1592" s="25" t="str">
        <f t="shared" si="32"/>
        <v/>
      </c>
      <c r="L1592" s="25" t="str">
        <f t="shared" si="33"/>
        <v/>
      </c>
      <c r="M1592" s="25"/>
      <c r="O1592" s="25"/>
    </row>
    <row r="1593" ht="15.75" customHeight="1">
      <c r="A1593" s="25" t="str">
        <f>IFERROR(__xludf.DUMMYFUNCTION("IF(B1593="""","""",RIGHT(REGEXREPLACE(B1593&amp;"""",""[^0-9]"",""""),9))"),"772852510")</f>
        <v>772852510</v>
      </c>
      <c r="B1593" s="52">
        <v>7.7285251E8</v>
      </c>
      <c r="C1593" s="28" t="s">
        <v>1816</v>
      </c>
      <c r="D1593" s="26" t="s">
        <v>82</v>
      </c>
      <c r="E1593" s="31">
        <v>46228.0</v>
      </c>
      <c r="F1593" s="26" t="s">
        <v>46</v>
      </c>
      <c r="G1593" s="26">
        <v>11.0</v>
      </c>
      <c r="I1593" s="26" t="s">
        <v>42</v>
      </c>
      <c r="J1593" s="25" t="str">
        <f t="shared" si="31"/>
        <v>No</v>
      </c>
      <c r="K1593" s="25" t="str">
        <f t="shared" si="32"/>
        <v/>
      </c>
      <c r="L1593" s="25" t="str">
        <f t="shared" si="33"/>
        <v/>
      </c>
      <c r="M1593" s="25"/>
      <c r="O1593" s="25"/>
    </row>
    <row r="1594" ht="15.75" customHeight="1">
      <c r="A1594" s="25" t="str">
        <f>IFERROR(__xludf.DUMMYFUNCTION("IF(B1594="""","""",RIGHT(REGEXREPLACE(B1594&amp;"""",""[^0-9]"",""""),9))"),"754452438")</f>
        <v>754452438</v>
      </c>
      <c r="B1594" s="26">
        <v>7.54452438E8</v>
      </c>
      <c r="C1594" s="28" t="s">
        <v>1817</v>
      </c>
      <c r="D1594" s="26" t="s">
        <v>37</v>
      </c>
      <c r="E1594" s="31">
        <v>46228.0</v>
      </c>
      <c r="F1594" s="26" t="s">
        <v>41</v>
      </c>
      <c r="G1594" s="26">
        <v>11.0</v>
      </c>
      <c r="I1594" s="26" t="s">
        <v>42</v>
      </c>
      <c r="J1594" s="25" t="str">
        <f t="shared" si="31"/>
        <v>No</v>
      </c>
      <c r="K1594" s="25" t="str">
        <f t="shared" si="32"/>
        <v/>
      </c>
      <c r="L1594" s="25" t="str">
        <f t="shared" si="33"/>
        <v/>
      </c>
      <c r="M1594" s="25"/>
      <c r="O1594" s="25"/>
    </row>
    <row r="1595" ht="15.75" customHeight="1">
      <c r="A1595" s="25" t="str">
        <f>IFERROR(__xludf.DUMMYFUNCTION("IF(B1595="""","""",RIGHT(REGEXREPLACE(B1595&amp;"""",""[^0-9]"",""""),9))"),"774859627")</f>
        <v>774859627</v>
      </c>
      <c r="B1595" s="52">
        <v>7.74859627E8</v>
      </c>
      <c r="C1595" s="28" t="s">
        <v>1818</v>
      </c>
      <c r="D1595" s="26" t="s">
        <v>49</v>
      </c>
      <c r="E1595" s="31">
        <v>46228.0</v>
      </c>
      <c r="F1595" s="26" t="s">
        <v>46</v>
      </c>
      <c r="G1595" s="26">
        <v>10.0</v>
      </c>
      <c r="I1595" s="26" t="s">
        <v>42</v>
      </c>
      <c r="J1595" s="25" t="str">
        <f t="shared" si="31"/>
        <v>No</v>
      </c>
      <c r="K1595" s="25" t="str">
        <f t="shared" si="32"/>
        <v/>
      </c>
      <c r="L1595" s="25" t="str">
        <f t="shared" si="33"/>
        <v/>
      </c>
      <c r="M1595" s="25"/>
      <c r="O1595" s="25"/>
    </row>
    <row r="1596" ht="15.75" customHeight="1">
      <c r="A1596" s="25" t="str">
        <f>IFERROR(__xludf.DUMMYFUNCTION("IF(B1596="""","""",RIGHT(REGEXREPLACE(B1596&amp;"""",""[^0-9]"",""""),9))"),"703724660")</f>
        <v>703724660</v>
      </c>
      <c r="B1596" s="52">
        <v>7.0372466E8</v>
      </c>
      <c r="C1596" s="28" t="s">
        <v>1819</v>
      </c>
      <c r="D1596" s="26" t="s">
        <v>56</v>
      </c>
      <c r="E1596" s="31">
        <v>46228.0</v>
      </c>
      <c r="F1596" s="26" t="s">
        <v>164</v>
      </c>
      <c r="I1596" s="26" t="s">
        <v>42</v>
      </c>
      <c r="J1596" s="25" t="str">
        <f t="shared" si="31"/>
        <v>No</v>
      </c>
      <c r="K1596" s="25" t="str">
        <f t="shared" si="32"/>
        <v/>
      </c>
      <c r="L1596" s="25" t="str">
        <f t="shared" si="33"/>
        <v/>
      </c>
      <c r="M1596" s="25"/>
      <c r="O1596" s="25"/>
    </row>
    <row r="1597" ht="15.75" customHeight="1">
      <c r="A1597" s="25" t="str">
        <f>IFERROR(__xludf.DUMMYFUNCTION("IF(B1597="""","""",RIGHT(REGEXREPLACE(B1597&amp;"""",""[^0-9]"",""""),9))"),"719741120")</f>
        <v>719741120</v>
      </c>
      <c r="B1597" s="52">
        <v>7.1974112E8</v>
      </c>
      <c r="C1597" s="28" t="s">
        <v>1820</v>
      </c>
      <c r="D1597" s="26" t="s">
        <v>45</v>
      </c>
      <c r="E1597" s="31">
        <v>46228.0</v>
      </c>
      <c r="F1597" s="26" t="s">
        <v>46</v>
      </c>
      <c r="G1597" s="26">
        <v>11.0</v>
      </c>
      <c r="I1597" s="26" t="s">
        <v>42</v>
      </c>
      <c r="J1597" s="25" t="str">
        <f t="shared" si="31"/>
        <v>No</v>
      </c>
      <c r="K1597" s="25" t="str">
        <f t="shared" si="32"/>
        <v/>
      </c>
      <c r="L1597" s="25" t="str">
        <f t="shared" si="33"/>
        <v/>
      </c>
      <c r="M1597" s="25"/>
      <c r="O1597" s="25"/>
    </row>
    <row r="1598" ht="15.75" customHeight="1">
      <c r="A1598" s="25" t="str">
        <f>IFERROR(__xludf.DUMMYFUNCTION("IF(B1598="""","""",RIGHT(REGEXREPLACE(B1598&amp;"""",""[^0-9]"",""""),9))"),"707405283")</f>
        <v>707405283</v>
      </c>
      <c r="B1598" s="26">
        <v>7.07405283E8</v>
      </c>
      <c r="C1598" s="28" t="s">
        <v>1821</v>
      </c>
      <c r="D1598" s="26" t="s">
        <v>56</v>
      </c>
      <c r="E1598" s="31">
        <v>46228.0</v>
      </c>
      <c r="F1598" s="26" t="s">
        <v>659</v>
      </c>
      <c r="I1598" s="26" t="s">
        <v>42</v>
      </c>
      <c r="J1598" s="25" t="str">
        <f t="shared" si="31"/>
        <v>No</v>
      </c>
      <c r="K1598" s="25" t="str">
        <f t="shared" si="32"/>
        <v/>
      </c>
      <c r="L1598" s="25" t="str">
        <f t="shared" si="33"/>
        <v/>
      </c>
      <c r="M1598" s="25"/>
      <c r="O1598" s="25"/>
    </row>
    <row r="1599" ht="15.75" customHeight="1">
      <c r="A1599" s="25" t="str">
        <f>IFERROR(__xludf.DUMMYFUNCTION("IF(B1599="""","""",RIGHT(REGEXREPLACE(B1599&amp;"""",""[^0-9]"",""""),9))"),"779653520")</f>
        <v>779653520</v>
      </c>
      <c r="B1599" s="26">
        <v>7.7965352E8</v>
      </c>
      <c r="C1599" s="28" t="s">
        <v>766</v>
      </c>
      <c r="D1599" s="26" t="s">
        <v>37</v>
      </c>
      <c r="E1599" s="31">
        <v>46228.0</v>
      </c>
      <c r="F1599" s="26" t="s">
        <v>704</v>
      </c>
      <c r="I1599" s="26" t="s">
        <v>42</v>
      </c>
      <c r="J1599" s="25" t="str">
        <f t="shared" si="31"/>
        <v>No</v>
      </c>
      <c r="K1599" s="25" t="str">
        <f t="shared" si="32"/>
        <v/>
      </c>
      <c r="L1599" s="25" t="str">
        <f t="shared" si="33"/>
        <v/>
      </c>
      <c r="M1599" s="25"/>
      <c r="O1599" s="25"/>
    </row>
    <row r="1600" ht="15.75" customHeight="1">
      <c r="A1600" s="25" t="str">
        <f>IFERROR(__xludf.DUMMYFUNCTION("IF(B1600="""","""",RIGHT(REGEXREPLACE(B1600&amp;"""",""[^0-9]"",""""),9))"),"742292104")</f>
        <v>742292104</v>
      </c>
      <c r="B1600" s="52">
        <v>7.42292104E8</v>
      </c>
      <c r="C1600" s="28" t="s">
        <v>1822</v>
      </c>
      <c r="D1600" s="26" t="s">
        <v>82</v>
      </c>
      <c r="E1600" s="31">
        <v>46228.0</v>
      </c>
      <c r="F1600" s="26" t="s">
        <v>205</v>
      </c>
      <c r="I1600" s="26" t="s">
        <v>42</v>
      </c>
      <c r="J1600" s="25" t="str">
        <f t="shared" si="31"/>
        <v>No</v>
      </c>
      <c r="K1600" s="25" t="str">
        <f t="shared" si="32"/>
        <v/>
      </c>
      <c r="L1600" s="25" t="str">
        <f t="shared" si="33"/>
        <v/>
      </c>
      <c r="M1600" s="25"/>
      <c r="O1600" s="25"/>
    </row>
    <row r="1601" ht="15.75" customHeight="1">
      <c r="A1601" s="25" t="str">
        <f>IFERROR(__xludf.DUMMYFUNCTION("IF(B1601="""","""",RIGHT(REGEXREPLACE(B1601&amp;"""",""[^0-9]"",""""),9))"),"776102266")</f>
        <v>776102266</v>
      </c>
      <c r="B1601" s="26">
        <v>7.76102266E8</v>
      </c>
      <c r="C1601" s="28" t="s">
        <v>1823</v>
      </c>
      <c r="D1601" s="26" t="s">
        <v>37</v>
      </c>
      <c r="E1601" s="31">
        <v>46228.0</v>
      </c>
      <c r="F1601" s="26" t="s">
        <v>205</v>
      </c>
      <c r="G1601" s="26">
        <v>11.0</v>
      </c>
      <c r="I1601" s="26" t="s">
        <v>42</v>
      </c>
      <c r="J1601" s="25" t="str">
        <f t="shared" si="31"/>
        <v>No</v>
      </c>
      <c r="K1601" s="25" t="str">
        <f t="shared" si="32"/>
        <v/>
      </c>
      <c r="L1601" s="25" t="str">
        <f t="shared" si="33"/>
        <v/>
      </c>
      <c r="M1601" s="25"/>
      <c r="O1601" s="25"/>
    </row>
    <row r="1602" ht="15.75" customHeight="1">
      <c r="A1602" s="25" t="str">
        <f>IFERROR(__xludf.DUMMYFUNCTION("IF(B1602="""","""",RIGHT(REGEXREPLACE(B1602&amp;"""",""[^0-9]"",""""),9))"),"763778461")</f>
        <v>763778461</v>
      </c>
      <c r="B1602" s="52">
        <v>7.63778461E8</v>
      </c>
      <c r="C1602" s="28" t="s">
        <v>1824</v>
      </c>
      <c r="D1602" s="26" t="s">
        <v>49</v>
      </c>
      <c r="E1602" s="31">
        <v>46228.0</v>
      </c>
      <c r="F1602" s="26" t="s">
        <v>46</v>
      </c>
      <c r="G1602" s="26">
        <v>11.0</v>
      </c>
      <c r="I1602" s="26" t="s">
        <v>42</v>
      </c>
      <c r="J1602" s="25" t="str">
        <f t="shared" si="31"/>
        <v>No</v>
      </c>
      <c r="K1602" s="25" t="str">
        <f t="shared" si="32"/>
        <v/>
      </c>
      <c r="L1602" s="25" t="str">
        <f t="shared" si="33"/>
        <v/>
      </c>
      <c r="M1602" s="25"/>
      <c r="O1602" s="25"/>
    </row>
    <row r="1603" ht="15.75" customHeight="1">
      <c r="A1603" s="25" t="str">
        <f>IFERROR(__xludf.DUMMYFUNCTION("IF(B1603="""","""",RIGHT(REGEXREPLACE(B1603&amp;"""",""[^0-9]"",""""),9))"),"763939737")</f>
        <v>763939737</v>
      </c>
      <c r="B1603" s="52">
        <v>7.63939737E8</v>
      </c>
      <c r="C1603" s="28" t="s">
        <v>1825</v>
      </c>
      <c r="D1603" s="26" t="s">
        <v>45</v>
      </c>
      <c r="E1603" s="31">
        <v>46228.0</v>
      </c>
      <c r="F1603" s="26" t="s">
        <v>46</v>
      </c>
      <c r="G1603" s="26">
        <v>11.0</v>
      </c>
      <c r="I1603" s="26" t="s">
        <v>42</v>
      </c>
      <c r="J1603" s="25" t="str">
        <f t="shared" si="31"/>
        <v>No</v>
      </c>
      <c r="K1603" s="25" t="str">
        <f t="shared" si="32"/>
        <v/>
      </c>
      <c r="L1603" s="25" t="str">
        <f t="shared" si="33"/>
        <v/>
      </c>
      <c r="M1603" s="25"/>
      <c r="O1603" s="25"/>
    </row>
    <row r="1604" ht="15.75" customHeight="1">
      <c r="A1604" s="25" t="str">
        <f>IFERROR(__xludf.DUMMYFUNCTION("IF(B1604="""","""",RIGHT(REGEXREPLACE(B1604&amp;"""",""[^0-9]"",""""),9))"),"718023110")</f>
        <v>718023110</v>
      </c>
      <c r="B1604" s="52">
        <v>7.1802311E8</v>
      </c>
      <c r="C1604" s="28" t="s">
        <v>1826</v>
      </c>
      <c r="D1604" s="26" t="s">
        <v>56</v>
      </c>
      <c r="E1604" s="31">
        <v>46228.0</v>
      </c>
      <c r="F1604" s="26" t="s">
        <v>631</v>
      </c>
      <c r="G1604" s="26" t="s">
        <v>1827</v>
      </c>
      <c r="I1604" s="26" t="s">
        <v>42</v>
      </c>
      <c r="J1604" s="25" t="str">
        <f t="shared" si="31"/>
        <v>No</v>
      </c>
      <c r="K1604" s="25" t="str">
        <f t="shared" si="32"/>
        <v/>
      </c>
      <c r="L1604" s="25" t="str">
        <f t="shared" si="33"/>
        <v/>
      </c>
      <c r="M1604" s="25"/>
      <c r="O1604" s="25"/>
    </row>
    <row r="1605" ht="15.75" customHeight="1">
      <c r="A1605" s="25" t="str">
        <f>IFERROR(__xludf.DUMMYFUNCTION("IF(B1605="""","""",RIGHT(REGEXREPLACE(B1605&amp;"""",""[^0-9]"",""""),9))"),"761563361")</f>
        <v>761563361</v>
      </c>
      <c r="B1605" s="52">
        <v>7.61563361E8</v>
      </c>
      <c r="C1605" s="28" t="s">
        <v>1828</v>
      </c>
      <c r="D1605" s="26" t="s">
        <v>82</v>
      </c>
      <c r="E1605" s="31">
        <v>46228.0</v>
      </c>
      <c r="F1605" s="26" t="s">
        <v>125</v>
      </c>
      <c r="I1605" s="26" t="s">
        <v>42</v>
      </c>
      <c r="J1605" s="25" t="str">
        <f t="shared" si="31"/>
        <v>No</v>
      </c>
      <c r="K1605" s="25" t="str">
        <f t="shared" si="32"/>
        <v/>
      </c>
      <c r="L1605" s="25" t="str">
        <f t="shared" si="33"/>
        <v/>
      </c>
      <c r="M1605" s="25"/>
      <c r="O1605" s="25"/>
    </row>
    <row r="1606" ht="15.75" customHeight="1">
      <c r="A1606" s="25" t="str">
        <f>IFERROR(__xludf.DUMMYFUNCTION("IF(B1606="""","""",RIGHT(REGEXREPLACE(B1606&amp;"""",""[^0-9]"",""""),9))"),"718081444")</f>
        <v>718081444</v>
      </c>
      <c r="B1606" s="26">
        <v>7.18081444E8</v>
      </c>
      <c r="C1606" s="28" t="s">
        <v>1829</v>
      </c>
      <c r="D1606" s="26" t="s">
        <v>37</v>
      </c>
      <c r="E1606" s="31">
        <v>46228.0</v>
      </c>
      <c r="F1606" s="26" t="s">
        <v>205</v>
      </c>
      <c r="G1606" s="26">
        <v>11.0</v>
      </c>
      <c r="I1606" s="26" t="s">
        <v>42</v>
      </c>
      <c r="J1606" s="25" t="str">
        <f t="shared" si="31"/>
        <v>No</v>
      </c>
      <c r="K1606" s="25" t="str">
        <f t="shared" si="32"/>
        <v/>
      </c>
      <c r="L1606" s="25" t="str">
        <f t="shared" si="33"/>
        <v/>
      </c>
      <c r="M1606" s="25"/>
      <c r="O1606" s="25"/>
    </row>
    <row r="1607" ht="15.75" customHeight="1">
      <c r="A1607" s="25" t="str">
        <f>IFERROR(__xludf.DUMMYFUNCTION("IF(B1607="""","""",RIGHT(REGEXREPLACE(B1607&amp;"""",""[^0-9]"",""""),9))"),"743466536")</f>
        <v>743466536</v>
      </c>
      <c r="B1607" s="52">
        <v>7.43466536E8</v>
      </c>
      <c r="C1607" s="28" t="s">
        <v>1830</v>
      </c>
      <c r="D1607" s="26" t="s">
        <v>49</v>
      </c>
      <c r="E1607" s="31">
        <v>46228.0</v>
      </c>
      <c r="F1607" s="26" t="s">
        <v>46</v>
      </c>
      <c r="G1607" s="26">
        <v>10.0</v>
      </c>
      <c r="H1607" s="26" t="s">
        <v>253</v>
      </c>
      <c r="I1607" s="26" t="s">
        <v>42</v>
      </c>
      <c r="J1607" s="25" t="str">
        <f t="shared" si="31"/>
        <v>No</v>
      </c>
      <c r="K1607" s="25" t="str">
        <f t="shared" si="32"/>
        <v/>
      </c>
      <c r="L1607" s="25" t="str">
        <f t="shared" si="33"/>
        <v/>
      </c>
      <c r="M1607" s="25"/>
      <c r="O1607" s="25"/>
    </row>
    <row r="1608" ht="15.75" customHeight="1">
      <c r="A1608" s="25" t="str">
        <f>IFERROR(__xludf.DUMMYFUNCTION("IF(B1608="""","""",RIGHT(REGEXREPLACE(B1608&amp;"""",""[^0-9]"",""""),9))"),"705141940")</f>
        <v>705141940</v>
      </c>
      <c r="B1608" s="26">
        <v>7.0514194E8</v>
      </c>
      <c r="C1608" s="28" t="s">
        <v>1831</v>
      </c>
      <c r="D1608" s="26" t="s">
        <v>37</v>
      </c>
      <c r="E1608" s="31">
        <v>46228.0</v>
      </c>
      <c r="F1608" s="26" t="s">
        <v>205</v>
      </c>
      <c r="G1608" s="26">
        <v>11.0</v>
      </c>
      <c r="I1608" s="26" t="s">
        <v>42</v>
      </c>
      <c r="J1608" s="25" t="str">
        <f t="shared" si="31"/>
        <v>No</v>
      </c>
      <c r="K1608" s="25" t="str">
        <f t="shared" si="32"/>
        <v/>
      </c>
      <c r="L1608" s="25" t="str">
        <f t="shared" si="33"/>
        <v/>
      </c>
      <c r="M1608" s="25"/>
      <c r="O1608" s="25"/>
    </row>
    <row r="1609" ht="15.75" customHeight="1">
      <c r="A1609" s="25" t="str">
        <f>IFERROR(__xludf.DUMMYFUNCTION("IF(B1609="""","""",RIGHT(REGEXREPLACE(B1609&amp;"""",""[^0-9]"",""""),9))"),"715974060")</f>
        <v>715974060</v>
      </c>
      <c r="B1609" s="26">
        <v>7.1597406E8</v>
      </c>
      <c r="C1609" s="28" t="s">
        <v>1832</v>
      </c>
      <c r="D1609" s="26" t="s">
        <v>37</v>
      </c>
      <c r="E1609" s="31">
        <v>46228.0</v>
      </c>
      <c r="F1609" s="26" t="s">
        <v>46</v>
      </c>
      <c r="G1609" s="26">
        <v>11.0</v>
      </c>
      <c r="I1609" s="26" t="s">
        <v>42</v>
      </c>
      <c r="J1609" s="25" t="str">
        <f t="shared" si="31"/>
        <v>No</v>
      </c>
      <c r="K1609" s="25" t="str">
        <f t="shared" si="32"/>
        <v/>
      </c>
      <c r="L1609" s="25" t="str">
        <f t="shared" si="33"/>
        <v/>
      </c>
      <c r="M1609" s="25"/>
      <c r="O1609" s="25"/>
    </row>
    <row r="1610" ht="15.75" customHeight="1">
      <c r="A1610" s="25" t="str">
        <f>IFERROR(__xludf.DUMMYFUNCTION("IF(B1610="""","""",RIGHT(REGEXREPLACE(B1610&amp;"""",""[^0-9]"",""""),9))"),"713255185")</f>
        <v>713255185</v>
      </c>
      <c r="B1610" s="52">
        <v>7.13255185E8</v>
      </c>
      <c r="C1610" s="28" t="s">
        <v>1833</v>
      </c>
      <c r="D1610" s="26" t="s">
        <v>45</v>
      </c>
      <c r="E1610" s="31">
        <v>46228.0</v>
      </c>
      <c r="F1610" s="26" t="s">
        <v>46</v>
      </c>
      <c r="G1610" s="26">
        <v>11.0</v>
      </c>
      <c r="I1610" s="26" t="s">
        <v>42</v>
      </c>
      <c r="J1610" s="25" t="str">
        <f t="shared" si="31"/>
        <v>No</v>
      </c>
      <c r="K1610" s="25" t="str">
        <f t="shared" si="32"/>
        <v/>
      </c>
      <c r="L1610" s="25" t="str">
        <f t="shared" si="33"/>
        <v/>
      </c>
      <c r="M1610" s="25"/>
      <c r="O1610" s="25"/>
    </row>
    <row r="1611" ht="15.75" customHeight="1">
      <c r="A1611" s="25" t="str">
        <f>IFERROR(__xludf.DUMMYFUNCTION("IF(B1611="""","""",RIGHT(REGEXREPLACE(B1611&amp;"""",""[^0-9]"",""""),9))"),"704084085")</f>
        <v>704084085</v>
      </c>
      <c r="B1611" s="26">
        <v>7.04084085E8</v>
      </c>
      <c r="C1611" s="28" t="s">
        <v>1834</v>
      </c>
      <c r="D1611" s="26" t="s">
        <v>37</v>
      </c>
      <c r="E1611" s="31">
        <v>46228.0</v>
      </c>
      <c r="F1611" s="26" t="s">
        <v>46</v>
      </c>
      <c r="G1611" s="26">
        <v>11.0</v>
      </c>
      <c r="I1611" s="26" t="s">
        <v>42</v>
      </c>
      <c r="J1611" s="25" t="str">
        <f t="shared" si="31"/>
        <v>No</v>
      </c>
      <c r="K1611" s="25" t="str">
        <f t="shared" si="32"/>
        <v/>
      </c>
      <c r="L1611" s="25" t="str">
        <f t="shared" si="33"/>
        <v/>
      </c>
      <c r="M1611" s="25"/>
      <c r="O1611" s="25"/>
    </row>
    <row r="1612" ht="15.75" customHeight="1">
      <c r="A1612" s="25" t="str">
        <f>IFERROR(__xludf.DUMMYFUNCTION("IF(B1612="""","""",RIGHT(REGEXREPLACE(B1612&amp;"""",""[^0-9]"",""""),9))"),"778636465")</f>
        <v>778636465</v>
      </c>
      <c r="B1612" s="52">
        <v>7.78636465E8</v>
      </c>
      <c r="C1612" s="28" t="s">
        <v>1835</v>
      </c>
      <c r="D1612" s="26" t="s">
        <v>82</v>
      </c>
      <c r="E1612" s="31">
        <v>46228.0</v>
      </c>
      <c r="F1612" s="26" t="s">
        <v>46</v>
      </c>
      <c r="G1612" s="26">
        <v>11.0</v>
      </c>
      <c r="I1612" s="26" t="s">
        <v>42</v>
      </c>
      <c r="J1612" s="25" t="str">
        <f t="shared" si="31"/>
        <v>No</v>
      </c>
      <c r="K1612" s="25" t="str">
        <f t="shared" si="32"/>
        <v/>
      </c>
      <c r="L1612" s="25" t="str">
        <f t="shared" si="33"/>
        <v/>
      </c>
      <c r="M1612" s="25"/>
      <c r="O1612" s="25"/>
    </row>
    <row r="1613" ht="15.75" customHeight="1">
      <c r="A1613" s="25" t="str">
        <f>IFERROR(__xludf.DUMMYFUNCTION("IF(B1613="""","""",RIGHT(REGEXREPLACE(B1613&amp;"""",""[^0-9]"",""""),9))"),"768921607")</f>
        <v>768921607</v>
      </c>
      <c r="B1613" s="26">
        <v>7.68921607E8</v>
      </c>
      <c r="C1613" s="28" t="s">
        <v>1836</v>
      </c>
      <c r="D1613" s="26" t="s">
        <v>37</v>
      </c>
      <c r="E1613" s="31">
        <v>46228.0</v>
      </c>
      <c r="F1613" s="26" t="s">
        <v>46</v>
      </c>
      <c r="G1613" s="26">
        <v>11.0</v>
      </c>
      <c r="H1613" s="26" t="s">
        <v>1837</v>
      </c>
      <c r="I1613" s="26" t="s">
        <v>42</v>
      </c>
      <c r="J1613" s="25" t="str">
        <f t="shared" si="31"/>
        <v>No</v>
      </c>
      <c r="K1613" s="25" t="str">
        <f t="shared" si="32"/>
        <v/>
      </c>
      <c r="L1613" s="25" t="str">
        <f t="shared" si="33"/>
        <v/>
      </c>
      <c r="M1613" s="25"/>
      <c r="O1613" s="25"/>
    </row>
    <row r="1614" ht="15.75" customHeight="1">
      <c r="A1614" s="25" t="str">
        <f>IFERROR(__xludf.DUMMYFUNCTION("IF(B1614="""","""",RIGHT(REGEXREPLACE(B1614&amp;"""",""[^0-9]"",""""),9))"),"763165169")</f>
        <v>763165169</v>
      </c>
      <c r="B1614" s="52">
        <v>7.63165169E8</v>
      </c>
      <c r="C1614" s="28" t="s">
        <v>1838</v>
      </c>
      <c r="D1614" s="26" t="s">
        <v>56</v>
      </c>
      <c r="E1614" s="31">
        <v>46228.0</v>
      </c>
      <c r="F1614" s="26" t="s">
        <v>46</v>
      </c>
      <c r="G1614" s="26">
        <v>7.0</v>
      </c>
      <c r="I1614" s="26" t="s">
        <v>42</v>
      </c>
      <c r="J1614" s="25" t="str">
        <f t="shared" si="31"/>
        <v>No</v>
      </c>
      <c r="K1614" s="25" t="str">
        <f t="shared" si="32"/>
        <v/>
      </c>
      <c r="L1614" s="25" t="str">
        <f t="shared" si="33"/>
        <v/>
      </c>
      <c r="M1614" s="25"/>
      <c r="O1614" s="25"/>
    </row>
    <row r="1615" ht="15.75" customHeight="1">
      <c r="A1615" s="25" t="str">
        <f>IFERROR(__xludf.DUMMYFUNCTION("IF(B1615="""","""",RIGHT(REGEXREPLACE(B1615&amp;"""",""[^0-9]"",""""),9))"),"765411032")</f>
        <v>765411032</v>
      </c>
      <c r="B1615" s="52">
        <v>7.65411032E8</v>
      </c>
      <c r="C1615" s="28" t="s">
        <v>1839</v>
      </c>
      <c r="D1615" s="26" t="s">
        <v>49</v>
      </c>
      <c r="E1615" s="31">
        <v>46228.0</v>
      </c>
      <c r="F1615" s="26" t="s">
        <v>46</v>
      </c>
      <c r="G1615" s="26">
        <v>11.0</v>
      </c>
      <c r="I1615" s="26" t="s">
        <v>42</v>
      </c>
      <c r="J1615" s="25" t="str">
        <f t="shared" si="31"/>
        <v>No</v>
      </c>
      <c r="K1615" s="25" t="str">
        <f t="shared" si="32"/>
        <v/>
      </c>
      <c r="L1615" s="25" t="str">
        <f t="shared" si="33"/>
        <v/>
      </c>
      <c r="M1615" s="25"/>
      <c r="O1615" s="25"/>
    </row>
    <row r="1616" ht="15.75" customHeight="1">
      <c r="A1616" s="25" t="str">
        <f>IFERROR(__xludf.DUMMYFUNCTION("IF(B1616="""","""",RIGHT(REGEXREPLACE(B1616&amp;"""",""[^0-9]"",""""),9))"),"710584648")</f>
        <v>710584648</v>
      </c>
      <c r="B1616" s="52">
        <v>7.10584648E8</v>
      </c>
      <c r="C1616" s="28" t="s">
        <v>1840</v>
      </c>
      <c r="D1616" s="26" t="s">
        <v>45</v>
      </c>
      <c r="E1616" s="31">
        <v>46228.0</v>
      </c>
      <c r="F1616" s="26" t="s">
        <v>41</v>
      </c>
      <c r="I1616" s="26" t="s">
        <v>42</v>
      </c>
      <c r="J1616" s="25" t="str">
        <f t="shared" si="31"/>
        <v>No</v>
      </c>
      <c r="K1616" s="25" t="str">
        <f t="shared" si="32"/>
        <v/>
      </c>
      <c r="L1616" s="25" t="str">
        <f t="shared" si="33"/>
        <v/>
      </c>
      <c r="M1616" s="25"/>
      <c r="O1616" s="25"/>
    </row>
    <row r="1617" ht="15.75" customHeight="1">
      <c r="A1617" s="25" t="str">
        <f>IFERROR(__xludf.DUMMYFUNCTION("IF(B1617="""","""",RIGHT(REGEXREPLACE(B1617&amp;"""",""[^0-9]"",""""),9))"),"722634034")</f>
        <v>722634034</v>
      </c>
      <c r="B1617" s="26">
        <v>7.22634034E8</v>
      </c>
      <c r="C1617" s="28" t="s">
        <v>1841</v>
      </c>
      <c r="D1617" s="26" t="s">
        <v>37</v>
      </c>
      <c r="E1617" s="31">
        <v>46228.0</v>
      </c>
      <c r="F1617" s="26" t="s">
        <v>46</v>
      </c>
      <c r="G1617" s="26">
        <v>7.0</v>
      </c>
      <c r="H1617" s="26" t="s">
        <v>1842</v>
      </c>
      <c r="I1617" s="26" t="s">
        <v>42</v>
      </c>
      <c r="J1617" s="25" t="str">
        <f t="shared" si="31"/>
        <v>No</v>
      </c>
      <c r="K1617" s="25" t="str">
        <f t="shared" si="32"/>
        <v/>
      </c>
      <c r="L1617" s="25" t="str">
        <f t="shared" si="33"/>
        <v/>
      </c>
      <c r="M1617" s="25"/>
      <c r="O1617" s="25"/>
    </row>
    <row r="1618" ht="15.75" customHeight="1">
      <c r="A1618" s="25" t="str">
        <f>IFERROR(__xludf.DUMMYFUNCTION("IF(B1618="""","""",RIGHT(REGEXREPLACE(B1618&amp;"""",""[^0-9]"",""""),9))"),"716383834")</f>
        <v>716383834</v>
      </c>
      <c r="B1618" s="52">
        <v>7.16383834E8</v>
      </c>
      <c r="C1618" s="28" t="s">
        <v>1843</v>
      </c>
      <c r="D1618" s="26" t="s">
        <v>49</v>
      </c>
      <c r="E1618" s="31">
        <v>46228.0</v>
      </c>
      <c r="F1618" s="26" t="s">
        <v>205</v>
      </c>
      <c r="G1618" s="26">
        <v>11.0</v>
      </c>
      <c r="I1618" s="26" t="s">
        <v>42</v>
      </c>
      <c r="J1618" s="25" t="str">
        <f t="shared" si="31"/>
        <v>No</v>
      </c>
      <c r="K1618" s="25" t="str">
        <f t="shared" si="32"/>
        <v/>
      </c>
      <c r="L1618" s="25" t="str">
        <f t="shared" si="33"/>
        <v/>
      </c>
      <c r="M1618" s="25"/>
      <c r="O1618" s="25"/>
    </row>
    <row r="1619" ht="15.75" customHeight="1">
      <c r="A1619" s="25" t="str">
        <f>IFERROR(__xludf.DUMMYFUNCTION("IF(B1619="""","""",RIGHT(REGEXREPLACE(B1619&amp;"""",""[^0-9]"",""""),9))"),"715575540")</f>
        <v>715575540</v>
      </c>
      <c r="B1619" s="52">
        <v>7.1557554E8</v>
      </c>
      <c r="C1619" s="28" t="s">
        <v>1844</v>
      </c>
      <c r="D1619" s="26" t="s">
        <v>45</v>
      </c>
      <c r="E1619" s="31">
        <v>46228.0</v>
      </c>
      <c r="F1619" s="26" t="s">
        <v>46</v>
      </c>
      <c r="G1619" s="26">
        <v>11.0</v>
      </c>
      <c r="I1619" s="26" t="s">
        <v>42</v>
      </c>
      <c r="J1619" s="25" t="str">
        <f t="shared" si="31"/>
        <v>No</v>
      </c>
      <c r="K1619" s="25" t="str">
        <f t="shared" si="32"/>
        <v/>
      </c>
      <c r="L1619" s="25" t="str">
        <f t="shared" si="33"/>
        <v/>
      </c>
      <c r="M1619" s="25"/>
      <c r="O1619" s="25"/>
    </row>
    <row r="1620" ht="15.75" customHeight="1">
      <c r="A1620" s="25" t="str">
        <f>IFERROR(__xludf.DUMMYFUNCTION("IF(B1620="""","""",RIGHT(REGEXREPLACE(B1620&amp;"""",""[^0-9]"",""""),9))"),"715651572")</f>
        <v>715651572</v>
      </c>
      <c r="B1620" s="52">
        <v>7.15651572E8</v>
      </c>
      <c r="C1620" s="28" t="s">
        <v>1845</v>
      </c>
      <c r="D1620" s="26" t="s">
        <v>56</v>
      </c>
      <c r="E1620" s="31">
        <v>46228.0</v>
      </c>
      <c r="F1620" s="26" t="s">
        <v>631</v>
      </c>
      <c r="G1620" s="26">
        <v>10.0</v>
      </c>
      <c r="I1620" s="26" t="s">
        <v>42</v>
      </c>
      <c r="J1620" s="25" t="str">
        <f t="shared" si="31"/>
        <v>No</v>
      </c>
      <c r="K1620" s="25" t="str">
        <f t="shared" si="32"/>
        <v/>
      </c>
      <c r="L1620" s="25" t="str">
        <f t="shared" si="33"/>
        <v/>
      </c>
      <c r="M1620" s="25"/>
      <c r="O1620" s="25"/>
    </row>
    <row r="1621" ht="15.75" customHeight="1">
      <c r="A1621" s="25" t="str">
        <f>IFERROR(__xludf.DUMMYFUNCTION("IF(B1621="""","""",RIGHT(REGEXREPLACE(B1621&amp;"""",""[^0-9]"",""""),9))"),"773676203")</f>
        <v>773676203</v>
      </c>
      <c r="B1621" s="52">
        <v>4.773676203E9</v>
      </c>
      <c r="C1621" s="28" t="s">
        <v>1846</v>
      </c>
      <c r="D1621" s="26" t="s">
        <v>82</v>
      </c>
      <c r="E1621" s="31">
        <v>46228.0</v>
      </c>
      <c r="F1621" s="26" t="s">
        <v>41</v>
      </c>
      <c r="I1621" s="26" t="s">
        <v>42</v>
      </c>
      <c r="J1621" s="25" t="str">
        <f t="shared" si="31"/>
        <v>No</v>
      </c>
      <c r="K1621" s="25" t="str">
        <f t="shared" si="32"/>
        <v/>
      </c>
      <c r="L1621" s="25" t="str">
        <f t="shared" si="33"/>
        <v/>
      </c>
      <c r="M1621" s="25"/>
      <c r="O1621" s="25"/>
    </row>
    <row r="1622" ht="15.75" customHeight="1">
      <c r="A1622" s="25" t="str">
        <f>IFERROR(__xludf.DUMMYFUNCTION("IF(B1622="""","""",RIGHT(REGEXREPLACE(B1622&amp;"""",""[^0-9]"",""""),9))"),"767063657")</f>
        <v>767063657</v>
      </c>
      <c r="B1622" s="52">
        <v>7.67063657E8</v>
      </c>
      <c r="C1622" s="28" t="s">
        <v>1847</v>
      </c>
      <c r="D1622" s="26" t="s">
        <v>49</v>
      </c>
      <c r="E1622" s="31">
        <v>46228.0</v>
      </c>
      <c r="F1622" s="26" t="s">
        <v>46</v>
      </c>
      <c r="G1622" s="26">
        <v>11.0</v>
      </c>
      <c r="I1622" s="26" t="s">
        <v>42</v>
      </c>
      <c r="J1622" s="25" t="str">
        <f t="shared" si="31"/>
        <v>No</v>
      </c>
      <c r="K1622" s="25" t="str">
        <f t="shared" si="32"/>
        <v/>
      </c>
      <c r="L1622" s="25" t="str">
        <f t="shared" si="33"/>
        <v/>
      </c>
      <c r="M1622" s="25"/>
      <c r="O1622" s="25"/>
    </row>
    <row r="1623" ht="15.75" customHeight="1">
      <c r="A1623" s="25" t="str">
        <f>IFERROR(__xludf.DUMMYFUNCTION("IF(B1623="""","""",RIGHT(REGEXREPLACE(B1623&amp;"""",""[^0-9]"",""""),9))"),"771747345")</f>
        <v>771747345</v>
      </c>
      <c r="B1623" s="26">
        <v>7.71747345E8</v>
      </c>
      <c r="C1623" s="28" t="s">
        <v>1848</v>
      </c>
      <c r="D1623" s="26" t="s">
        <v>37</v>
      </c>
      <c r="E1623" s="31">
        <v>46228.0</v>
      </c>
      <c r="F1623" s="26" t="s">
        <v>659</v>
      </c>
      <c r="I1623" s="26" t="s">
        <v>42</v>
      </c>
      <c r="J1623" s="25" t="str">
        <f t="shared" si="31"/>
        <v>No</v>
      </c>
      <c r="K1623" s="25" t="str">
        <f t="shared" si="32"/>
        <v/>
      </c>
      <c r="L1623" s="25" t="str">
        <f t="shared" si="33"/>
        <v/>
      </c>
      <c r="M1623" s="25"/>
      <c r="O1623" s="25"/>
    </row>
    <row r="1624" ht="15.75" customHeight="1">
      <c r="A1624" s="25" t="str">
        <f>IFERROR(__xludf.DUMMYFUNCTION("IF(B1624="""","""",RIGHT(REGEXREPLACE(B1624&amp;"""",""[^0-9]"",""""),9))"),"713682458")</f>
        <v>713682458</v>
      </c>
      <c r="B1624" s="52">
        <v>7.13682458E8</v>
      </c>
      <c r="C1624" s="28" t="s">
        <v>1849</v>
      </c>
      <c r="D1624" s="26" t="s">
        <v>45</v>
      </c>
      <c r="E1624" s="31">
        <v>46228.0</v>
      </c>
      <c r="F1624" s="26" t="s">
        <v>46</v>
      </c>
      <c r="G1624" s="26">
        <v>10.0</v>
      </c>
      <c r="I1624" s="26" t="s">
        <v>42</v>
      </c>
      <c r="J1624" s="25" t="str">
        <f t="shared" si="31"/>
        <v>No</v>
      </c>
      <c r="K1624" s="25" t="str">
        <f t="shared" si="32"/>
        <v/>
      </c>
      <c r="L1624" s="25" t="str">
        <f t="shared" si="33"/>
        <v/>
      </c>
      <c r="M1624" s="25"/>
      <c r="O1624" s="25"/>
    </row>
    <row r="1625" ht="15.75" customHeight="1">
      <c r="A1625" s="25" t="str">
        <f>IFERROR(__xludf.DUMMYFUNCTION("IF(B1625="""","""",RIGHT(REGEXREPLACE(B1625&amp;"""",""[^0-9]"",""""),9))"),"743682419")</f>
        <v>743682419</v>
      </c>
      <c r="B1625" s="52">
        <v>7.43682419E8</v>
      </c>
      <c r="C1625" s="28" t="s">
        <v>1850</v>
      </c>
      <c r="D1625" s="26" t="s">
        <v>82</v>
      </c>
      <c r="E1625" s="31">
        <v>46228.0</v>
      </c>
      <c r="F1625" s="26" t="s">
        <v>46</v>
      </c>
      <c r="G1625" s="26">
        <v>11.0</v>
      </c>
      <c r="I1625" s="26" t="s">
        <v>42</v>
      </c>
      <c r="J1625" s="25" t="str">
        <f t="shared" si="31"/>
        <v>No</v>
      </c>
      <c r="K1625" s="25" t="str">
        <f t="shared" si="32"/>
        <v/>
      </c>
      <c r="L1625" s="25" t="str">
        <f t="shared" si="33"/>
        <v/>
      </c>
      <c r="M1625" s="25"/>
      <c r="O1625" s="25"/>
    </row>
    <row r="1626" ht="15.75" customHeight="1">
      <c r="A1626" s="25" t="str">
        <f>IFERROR(__xludf.DUMMYFUNCTION("IF(B1626="""","""",RIGHT(REGEXREPLACE(B1626&amp;"""",""[^0-9]"",""""),9))"),"760838862")</f>
        <v>760838862</v>
      </c>
      <c r="B1626" s="26">
        <v>7.60838862E8</v>
      </c>
      <c r="C1626" s="28" t="s">
        <v>1851</v>
      </c>
      <c r="D1626" s="26" t="s">
        <v>37</v>
      </c>
      <c r="E1626" s="31">
        <v>46228.0</v>
      </c>
      <c r="F1626" s="26" t="s">
        <v>46</v>
      </c>
      <c r="G1626" s="26">
        <v>10.0</v>
      </c>
      <c r="I1626" s="26" t="s">
        <v>42</v>
      </c>
      <c r="J1626" s="25" t="str">
        <f t="shared" si="31"/>
        <v>No</v>
      </c>
      <c r="K1626" s="25" t="str">
        <f t="shared" si="32"/>
        <v/>
      </c>
      <c r="L1626" s="25" t="str">
        <f t="shared" si="33"/>
        <v/>
      </c>
      <c r="M1626" s="25"/>
      <c r="O1626" s="25"/>
    </row>
    <row r="1627" ht="15.75" customHeight="1">
      <c r="A1627" s="25" t="str">
        <f>IFERROR(__xludf.DUMMYFUNCTION("IF(B1627="""","""",RIGHT(REGEXREPLACE(B1627&amp;"""",""[^0-9]"",""""),9))"),"765756488")</f>
        <v>765756488</v>
      </c>
      <c r="B1627" s="52">
        <v>7.65756488E8</v>
      </c>
      <c r="C1627" s="28" t="s">
        <v>1851</v>
      </c>
      <c r="D1627" s="26" t="s">
        <v>49</v>
      </c>
      <c r="E1627" s="31">
        <v>46228.0</v>
      </c>
      <c r="F1627" s="26" t="s">
        <v>41</v>
      </c>
      <c r="G1627" s="26">
        <v>11.0</v>
      </c>
      <c r="I1627" s="26" t="s">
        <v>42</v>
      </c>
      <c r="J1627" s="25" t="str">
        <f t="shared" si="31"/>
        <v>No</v>
      </c>
      <c r="K1627" s="25" t="str">
        <f t="shared" si="32"/>
        <v/>
      </c>
      <c r="L1627" s="25" t="str">
        <f t="shared" si="33"/>
        <v/>
      </c>
      <c r="M1627" s="25"/>
      <c r="O1627" s="25"/>
    </row>
    <row r="1628" ht="15.75" customHeight="1">
      <c r="A1628" s="25" t="str">
        <f>IFERROR(__xludf.DUMMYFUNCTION("IF(B1628="""","""",RIGHT(REGEXREPLACE(B1628&amp;"""",""[^0-9]"",""""),9))"),"773367530")</f>
        <v>773367530</v>
      </c>
      <c r="B1628" s="26">
        <v>7.7336753E8</v>
      </c>
      <c r="C1628" s="28" t="s">
        <v>1852</v>
      </c>
      <c r="D1628" s="26" t="s">
        <v>37</v>
      </c>
      <c r="E1628" s="31">
        <v>46228.0</v>
      </c>
      <c r="F1628" s="26" t="s">
        <v>41</v>
      </c>
      <c r="I1628" s="26" t="s">
        <v>42</v>
      </c>
      <c r="J1628" s="25" t="str">
        <f t="shared" si="31"/>
        <v>No</v>
      </c>
      <c r="K1628" s="25" t="str">
        <f t="shared" si="32"/>
        <v/>
      </c>
      <c r="L1628" s="25" t="str">
        <f t="shared" si="33"/>
        <v/>
      </c>
      <c r="M1628" s="25"/>
      <c r="O1628" s="25"/>
    </row>
    <row r="1629" ht="15.75" customHeight="1">
      <c r="A1629" s="25" t="str">
        <f>IFERROR(__xludf.DUMMYFUNCTION("IF(B1629="""","""",RIGHT(REGEXREPLACE(B1629&amp;"""",""[^0-9]"",""""),9))"),"729762185")</f>
        <v>729762185</v>
      </c>
      <c r="B1629" s="52">
        <v>7.29762185E8</v>
      </c>
      <c r="C1629" s="28" t="s">
        <v>1853</v>
      </c>
      <c r="D1629" s="26" t="s">
        <v>56</v>
      </c>
      <c r="E1629" s="31">
        <v>46228.0</v>
      </c>
      <c r="F1629" s="26" t="s">
        <v>41</v>
      </c>
      <c r="G1629" s="26">
        <v>10.0</v>
      </c>
      <c r="I1629" s="26" t="s">
        <v>42</v>
      </c>
      <c r="J1629" s="25" t="str">
        <f t="shared" si="31"/>
        <v>No</v>
      </c>
      <c r="K1629" s="25" t="str">
        <f t="shared" si="32"/>
        <v/>
      </c>
      <c r="L1629" s="25" t="str">
        <f t="shared" si="33"/>
        <v/>
      </c>
      <c r="M1629" s="25"/>
      <c r="O1629" s="25"/>
    </row>
    <row r="1630" ht="15.75" customHeight="1">
      <c r="A1630" s="25" t="str">
        <f>IFERROR(__xludf.DUMMYFUNCTION("IF(B1630="""","""",RIGHT(REGEXREPLACE(B1630&amp;"""",""[^0-9]"",""""),9))"),"788520046")</f>
        <v>788520046</v>
      </c>
      <c r="B1630" s="52">
        <v>7.88520046E8</v>
      </c>
      <c r="C1630" s="28" t="s">
        <v>1854</v>
      </c>
      <c r="D1630" s="26" t="s">
        <v>49</v>
      </c>
      <c r="E1630" s="31">
        <v>46228.0</v>
      </c>
      <c r="F1630" s="26" t="s">
        <v>46</v>
      </c>
      <c r="G1630" s="26">
        <v>10.0</v>
      </c>
      <c r="I1630" s="26" t="s">
        <v>42</v>
      </c>
      <c r="J1630" s="25" t="str">
        <f t="shared" si="31"/>
        <v>No</v>
      </c>
      <c r="K1630" s="25" t="str">
        <f t="shared" si="32"/>
        <v/>
      </c>
      <c r="L1630" s="25" t="str">
        <f t="shared" si="33"/>
        <v/>
      </c>
      <c r="M1630" s="25"/>
      <c r="O1630" s="25"/>
    </row>
    <row r="1631" ht="15.75" customHeight="1">
      <c r="A1631" s="25" t="str">
        <f>IFERROR(__xludf.DUMMYFUNCTION("IF(B1631="""","""",RIGHT(REGEXREPLACE(B1631&amp;"""",""[^0-9]"",""""),9))"),"719804488")</f>
        <v>719804488</v>
      </c>
      <c r="B1631" s="52">
        <v>7.19804488E8</v>
      </c>
      <c r="C1631" s="28" t="s">
        <v>1855</v>
      </c>
      <c r="D1631" s="26" t="s">
        <v>82</v>
      </c>
      <c r="E1631" s="31">
        <v>46228.0</v>
      </c>
      <c r="F1631" s="26" t="s">
        <v>84</v>
      </c>
      <c r="I1631" s="26" t="s">
        <v>42</v>
      </c>
      <c r="J1631" s="25" t="str">
        <f t="shared" si="31"/>
        <v>No</v>
      </c>
      <c r="K1631" s="25" t="str">
        <f t="shared" si="32"/>
        <v/>
      </c>
      <c r="L1631" s="25" t="str">
        <f t="shared" si="33"/>
        <v/>
      </c>
      <c r="M1631" s="25"/>
      <c r="O1631" s="25"/>
    </row>
    <row r="1632" ht="15.75" customHeight="1">
      <c r="A1632" s="25" t="str">
        <f>IFERROR(__xludf.DUMMYFUNCTION("IF(B1632="""","""",RIGHT(REGEXREPLACE(B1632&amp;"""",""[^0-9]"",""""),9))"),"717702469")</f>
        <v>717702469</v>
      </c>
      <c r="B1632" s="52">
        <v>7.17702469E8</v>
      </c>
      <c r="C1632" s="28" t="s">
        <v>1856</v>
      </c>
      <c r="D1632" s="26" t="s">
        <v>45</v>
      </c>
      <c r="E1632" s="31">
        <v>46228.0</v>
      </c>
      <c r="F1632" s="26" t="s">
        <v>205</v>
      </c>
      <c r="I1632" s="26" t="s">
        <v>42</v>
      </c>
      <c r="J1632" s="25" t="str">
        <f t="shared" si="31"/>
        <v>No</v>
      </c>
      <c r="K1632" s="25" t="str">
        <f t="shared" si="32"/>
        <v/>
      </c>
      <c r="L1632" s="25" t="str">
        <f t="shared" si="33"/>
        <v/>
      </c>
      <c r="M1632" s="25"/>
      <c r="O1632" s="25"/>
    </row>
    <row r="1633" ht="15.75" customHeight="1">
      <c r="A1633" s="25" t="str">
        <f>IFERROR(__xludf.DUMMYFUNCTION("IF(B1633="""","""",RIGHT(REGEXREPLACE(B1633&amp;"""",""[^0-9]"",""""),9))"),"711928210")</f>
        <v>711928210</v>
      </c>
      <c r="B1633" s="26">
        <v>7.1192821E8</v>
      </c>
      <c r="C1633" s="28" t="s">
        <v>1857</v>
      </c>
      <c r="D1633" s="26" t="s">
        <v>37</v>
      </c>
      <c r="E1633" s="31">
        <v>46228.0</v>
      </c>
      <c r="F1633" s="26" t="s">
        <v>205</v>
      </c>
      <c r="G1633" s="26">
        <v>11.0</v>
      </c>
      <c r="I1633" s="26" t="s">
        <v>42</v>
      </c>
      <c r="J1633" s="25" t="str">
        <f t="shared" si="31"/>
        <v>No</v>
      </c>
      <c r="K1633" s="25" t="str">
        <f t="shared" si="32"/>
        <v/>
      </c>
      <c r="L1633" s="25" t="str">
        <f t="shared" si="33"/>
        <v/>
      </c>
      <c r="M1633" s="25"/>
      <c r="O1633" s="25"/>
    </row>
    <row r="1634" ht="15.75" customHeight="1">
      <c r="A1634" s="25" t="str">
        <f>IFERROR(__xludf.DUMMYFUNCTION("IF(B1634="""","""",RIGHT(REGEXREPLACE(B1634&amp;"""",""[^0-9]"",""""),9))"),"710182558")</f>
        <v>710182558</v>
      </c>
      <c r="B1634" s="52">
        <v>7.10182558E8</v>
      </c>
      <c r="C1634" s="28" t="s">
        <v>1858</v>
      </c>
      <c r="D1634" s="26" t="s">
        <v>45</v>
      </c>
      <c r="E1634" s="31">
        <v>46228.0</v>
      </c>
      <c r="F1634" s="26" t="s">
        <v>205</v>
      </c>
      <c r="I1634" s="26" t="s">
        <v>42</v>
      </c>
      <c r="J1634" s="25" t="str">
        <f t="shared" si="31"/>
        <v>No</v>
      </c>
      <c r="K1634" s="25" t="str">
        <f t="shared" si="32"/>
        <v/>
      </c>
      <c r="L1634" s="25" t="str">
        <f t="shared" si="33"/>
        <v/>
      </c>
      <c r="M1634" s="25"/>
      <c r="O1634" s="25"/>
    </row>
    <row r="1635" ht="15.75" customHeight="1">
      <c r="A1635" s="25" t="str">
        <f>IFERROR(__xludf.DUMMYFUNCTION("IF(B1635="""","""",RIGHT(REGEXREPLACE(B1635&amp;"""",""[^0-9]"",""""),9))"),"753174005")</f>
        <v>753174005</v>
      </c>
      <c r="B1635" s="52">
        <v>7.53174005E8</v>
      </c>
      <c r="C1635" s="28" t="s">
        <v>1859</v>
      </c>
      <c r="D1635" s="26" t="s">
        <v>49</v>
      </c>
      <c r="E1635" s="31">
        <v>46228.0</v>
      </c>
      <c r="F1635" s="26" t="s">
        <v>46</v>
      </c>
      <c r="G1635" s="26">
        <v>11.0</v>
      </c>
      <c r="I1635" s="26" t="s">
        <v>42</v>
      </c>
      <c r="J1635" s="25" t="str">
        <f t="shared" si="31"/>
        <v>No</v>
      </c>
      <c r="K1635" s="25" t="str">
        <f t="shared" si="32"/>
        <v/>
      </c>
      <c r="L1635" s="25" t="str">
        <f t="shared" si="33"/>
        <v/>
      </c>
      <c r="M1635" s="25"/>
      <c r="O1635" s="25"/>
    </row>
    <row r="1636" ht="15.75" customHeight="1">
      <c r="A1636" s="25" t="str">
        <f>IFERROR(__xludf.DUMMYFUNCTION("IF(B1636="""","""",RIGHT(REGEXREPLACE(B1636&amp;"""",""[^0-9]"",""""),9))"),"715780001")</f>
        <v>715780001</v>
      </c>
      <c r="B1636" s="52">
        <v>7.15780001E8</v>
      </c>
      <c r="C1636" s="28" t="s">
        <v>1860</v>
      </c>
      <c r="D1636" s="26" t="s">
        <v>56</v>
      </c>
      <c r="E1636" s="31">
        <v>46228.0</v>
      </c>
      <c r="F1636" s="26" t="s">
        <v>41</v>
      </c>
      <c r="G1636" s="26">
        <v>11.0</v>
      </c>
      <c r="I1636" s="26" t="s">
        <v>42</v>
      </c>
      <c r="J1636" s="25" t="str">
        <f t="shared" si="31"/>
        <v>No</v>
      </c>
      <c r="K1636" s="25" t="str">
        <f t="shared" si="32"/>
        <v/>
      </c>
      <c r="L1636" s="25" t="str">
        <f t="shared" si="33"/>
        <v/>
      </c>
      <c r="M1636" s="25"/>
      <c r="O1636" s="25"/>
    </row>
    <row r="1637" ht="15.75" customHeight="1">
      <c r="A1637" s="25" t="str">
        <f>IFERROR(__xludf.DUMMYFUNCTION("IF(B1637="""","""",RIGHT(REGEXREPLACE(B1637&amp;"""",""[^0-9]"",""""),9))"),"752319557")</f>
        <v>752319557</v>
      </c>
      <c r="B1637" s="52">
        <v>7.52319557E8</v>
      </c>
      <c r="C1637" s="28" t="s">
        <v>1861</v>
      </c>
      <c r="D1637" s="26" t="s">
        <v>82</v>
      </c>
      <c r="E1637" s="31">
        <v>46228.0</v>
      </c>
      <c r="F1637" s="26" t="s">
        <v>46</v>
      </c>
      <c r="G1637" s="26">
        <v>11.0</v>
      </c>
      <c r="I1637" s="26" t="s">
        <v>42</v>
      </c>
      <c r="J1637" s="25" t="str">
        <f t="shared" si="31"/>
        <v>No</v>
      </c>
      <c r="K1637" s="25" t="str">
        <f t="shared" si="32"/>
        <v/>
      </c>
      <c r="L1637" s="25" t="str">
        <f t="shared" si="33"/>
        <v/>
      </c>
      <c r="M1637" s="25"/>
      <c r="O1637" s="25"/>
    </row>
    <row r="1638" ht="15.75" customHeight="1">
      <c r="A1638" s="25" t="str">
        <f>IFERROR(__xludf.DUMMYFUNCTION("IF(B1638="""","""",RIGHT(REGEXREPLACE(B1638&amp;"""",""[^0-9]"",""""),9))"),"718648494")</f>
        <v>718648494</v>
      </c>
      <c r="B1638" s="52">
        <v>7.18648494E8</v>
      </c>
      <c r="C1638" s="28" t="s">
        <v>1862</v>
      </c>
      <c r="D1638" s="26" t="s">
        <v>45</v>
      </c>
      <c r="E1638" s="31">
        <v>46228.0</v>
      </c>
      <c r="F1638" s="26" t="s">
        <v>205</v>
      </c>
      <c r="I1638" s="26" t="s">
        <v>42</v>
      </c>
      <c r="J1638" s="25" t="str">
        <f t="shared" si="31"/>
        <v>No</v>
      </c>
      <c r="K1638" s="25" t="str">
        <f t="shared" si="32"/>
        <v/>
      </c>
      <c r="L1638" s="25" t="str">
        <f t="shared" si="33"/>
        <v/>
      </c>
      <c r="M1638" s="25"/>
      <c r="O1638" s="25"/>
    </row>
    <row r="1639" ht="15.75" customHeight="1">
      <c r="A1639" s="25" t="str">
        <f>IFERROR(__xludf.DUMMYFUNCTION("IF(B1639="""","""",RIGHT(REGEXREPLACE(B1639&amp;"""",""[^0-9]"",""""),9))"),"717404587")</f>
        <v>717404587</v>
      </c>
      <c r="B1639" s="26">
        <v>7.17404587E8</v>
      </c>
      <c r="C1639" s="28" t="s">
        <v>1861</v>
      </c>
      <c r="D1639" s="26" t="s">
        <v>37</v>
      </c>
      <c r="E1639" s="31">
        <v>46228.0</v>
      </c>
      <c r="F1639" s="26" t="s">
        <v>46</v>
      </c>
      <c r="G1639" s="26">
        <v>11.0</v>
      </c>
      <c r="H1639" s="26" t="s">
        <v>1369</v>
      </c>
      <c r="I1639" s="26" t="s">
        <v>42</v>
      </c>
      <c r="J1639" s="25" t="str">
        <f t="shared" si="31"/>
        <v>No</v>
      </c>
      <c r="K1639" s="25" t="str">
        <f t="shared" si="32"/>
        <v/>
      </c>
      <c r="L1639" s="25" t="str">
        <f t="shared" si="33"/>
        <v/>
      </c>
      <c r="M1639" s="25"/>
      <c r="O1639" s="25"/>
    </row>
    <row r="1640" ht="15.75" customHeight="1">
      <c r="A1640" s="25" t="str">
        <f>IFERROR(__xludf.DUMMYFUNCTION("IF(B1640="""","""",RIGHT(REGEXREPLACE(B1640&amp;"""",""[^0-9]"",""""),9))"),"766966444")</f>
        <v>766966444</v>
      </c>
      <c r="B1640" s="52">
        <v>7.66966444E8</v>
      </c>
      <c r="C1640" s="28" t="s">
        <v>1863</v>
      </c>
      <c r="D1640" s="26" t="s">
        <v>49</v>
      </c>
      <c r="E1640" s="31">
        <v>46228.0</v>
      </c>
      <c r="F1640" s="26" t="s">
        <v>164</v>
      </c>
      <c r="G1640" s="26">
        <v>11.0</v>
      </c>
      <c r="I1640" s="26" t="s">
        <v>42</v>
      </c>
      <c r="J1640" s="25" t="str">
        <f t="shared" si="31"/>
        <v>No</v>
      </c>
      <c r="K1640" s="25" t="str">
        <f t="shared" si="32"/>
        <v/>
      </c>
      <c r="L1640" s="25" t="str">
        <f t="shared" si="33"/>
        <v/>
      </c>
      <c r="M1640" s="25"/>
      <c r="O1640" s="25"/>
    </row>
    <row r="1641" ht="15.75" customHeight="1">
      <c r="A1641" s="25" t="str">
        <f>IFERROR(__xludf.DUMMYFUNCTION("IF(B1641="""","""",RIGHT(REGEXREPLACE(B1641&amp;"""",""[^0-9]"",""""),9))"),"718045774")</f>
        <v>718045774</v>
      </c>
      <c r="B1641" s="52">
        <v>7.18045774E8</v>
      </c>
      <c r="C1641" s="28" t="s">
        <v>1864</v>
      </c>
      <c r="D1641" s="26" t="s">
        <v>45</v>
      </c>
      <c r="E1641" s="31">
        <v>46228.0</v>
      </c>
      <c r="F1641" s="26" t="s">
        <v>46</v>
      </c>
      <c r="G1641" s="26">
        <v>11.0</v>
      </c>
      <c r="I1641" s="26" t="s">
        <v>42</v>
      </c>
      <c r="J1641" s="25" t="str">
        <f t="shared" si="31"/>
        <v>No</v>
      </c>
      <c r="K1641" s="25" t="str">
        <f t="shared" si="32"/>
        <v/>
      </c>
      <c r="L1641" s="25" t="str">
        <f t="shared" si="33"/>
        <v/>
      </c>
      <c r="M1641" s="25"/>
      <c r="O1641" s="25"/>
    </row>
    <row r="1642" ht="15.75" customHeight="1">
      <c r="A1642" s="25" t="str">
        <f>IFERROR(__xludf.DUMMYFUNCTION("IF(B1642="""","""",RIGHT(REGEXREPLACE(B1642&amp;"""",""[^0-9]"",""""),9))"),"768656708")</f>
        <v>768656708</v>
      </c>
      <c r="B1642" s="26">
        <v>7.68656708E8</v>
      </c>
      <c r="C1642" s="28" t="s">
        <v>1865</v>
      </c>
      <c r="D1642" s="26" t="s">
        <v>37</v>
      </c>
      <c r="E1642" s="31">
        <v>46228.0</v>
      </c>
      <c r="F1642" s="26" t="s">
        <v>84</v>
      </c>
      <c r="I1642" s="26" t="s">
        <v>42</v>
      </c>
      <c r="J1642" s="25" t="str">
        <f t="shared" si="31"/>
        <v>No</v>
      </c>
      <c r="K1642" s="25" t="str">
        <f t="shared" si="32"/>
        <v/>
      </c>
      <c r="L1642" s="25" t="str">
        <f t="shared" si="33"/>
        <v/>
      </c>
      <c r="M1642" s="25"/>
      <c r="O1642" s="25"/>
    </row>
    <row r="1643" ht="15.75" customHeight="1">
      <c r="A1643" s="25" t="str">
        <f>IFERROR(__xludf.DUMMYFUNCTION("IF(B1643="""","""",RIGHT(REGEXREPLACE(B1643&amp;"""",""[^0-9]"",""""),9))"),"756090349")</f>
        <v>756090349</v>
      </c>
      <c r="B1643" s="52">
        <v>7.56090349E8</v>
      </c>
      <c r="C1643" s="28" t="s">
        <v>803</v>
      </c>
      <c r="D1643" s="26" t="s">
        <v>56</v>
      </c>
      <c r="E1643" s="31">
        <v>46228.0</v>
      </c>
      <c r="F1643" s="26" t="s">
        <v>84</v>
      </c>
      <c r="G1643" s="26">
        <v>11.0</v>
      </c>
      <c r="I1643" s="26" t="s">
        <v>42</v>
      </c>
      <c r="J1643" s="25" t="str">
        <f t="shared" si="31"/>
        <v>Yes - see Previous F-Code</v>
      </c>
      <c r="K1643" s="25" t="str">
        <f t="shared" si="32"/>
        <v>DUPLICATE - CHECK</v>
      </c>
      <c r="L1643" s="25" t="str">
        <f t="shared" si="33"/>
        <v>F70580</v>
      </c>
      <c r="M1643" s="25"/>
      <c r="O1643" s="25"/>
    </row>
    <row r="1644" ht="15.75" customHeight="1">
      <c r="A1644" s="25" t="str">
        <f>IFERROR(__xludf.DUMMYFUNCTION("IF(B1644="""","""",RIGHT(REGEXREPLACE(B1644&amp;"""",""[^0-9]"",""""),9))"),"777395222")</f>
        <v>777395222</v>
      </c>
      <c r="B1644" s="52">
        <v>7.77395222E8</v>
      </c>
      <c r="C1644" s="28" t="s">
        <v>1866</v>
      </c>
      <c r="D1644" s="26" t="s">
        <v>49</v>
      </c>
      <c r="E1644" s="31">
        <v>46228.0</v>
      </c>
      <c r="F1644" s="26" t="s">
        <v>46</v>
      </c>
      <c r="G1644" s="26">
        <v>11.0</v>
      </c>
      <c r="I1644" s="26" t="s">
        <v>42</v>
      </c>
      <c r="J1644" s="25" t="str">
        <f t="shared" si="31"/>
        <v>No</v>
      </c>
      <c r="K1644" s="25" t="str">
        <f t="shared" si="32"/>
        <v/>
      </c>
      <c r="L1644" s="25" t="str">
        <f t="shared" si="33"/>
        <v/>
      </c>
      <c r="M1644" s="25"/>
      <c r="O1644" s="25"/>
    </row>
    <row r="1645" ht="15.75" customHeight="1">
      <c r="A1645" s="25" t="str">
        <f>IFERROR(__xludf.DUMMYFUNCTION("IF(B1645="""","""",RIGHT(REGEXREPLACE(B1645&amp;"""",""[^0-9]"",""""),9))"),"762434996")</f>
        <v>762434996</v>
      </c>
      <c r="B1645" s="52">
        <v>7.62434996E8</v>
      </c>
      <c r="C1645" s="28" t="s">
        <v>1867</v>
      </c>
      <c r="D1645" s="26" t="s">
        <v>56</v>
      </c>
      <c r="E1645" s="31">
        <v>46228.0</v>
      </c>
      <c r="F1645" s="26" t="s">
        <v>46</v>
      </c>
      <c r="G1645" s="26">
        <v>11.0</v>
      </c>
      <c r="I1645" s="26" t="s">
        <v>42</v>
      </c>
      <c r="J1645" s="25" t="str">
        <f t="shared" si="31"/>
        <v>No</v>
      </c>
      <c r="K1645" s="25" t="str">
        <f t="shared" si="32"/>
        <v/>
      </c>
      <c r="L1645" s="25" t="str">
        <f t="shared" si="33"/>
        <v/>
      </c>
      <c r="M1645" s="25"/>
      <c r="O1645" s="25"/>
    </row>
    <row r="1646" ht="15.75" customHeight="1">
      <c r="A1646" s="25" t="str">
        <f>IFERROR(__xludf.DUMMYFUNCTION("IF(B1646="""","""",RIGHT(REGEXREPLACE(B1646&amp;"""",""[^0-9]"",""""),9))"),"778188495")</f>
        <v>778188495</v>
      </c>
      <c r="B1646" s="26">
        <v>7.78188495E8</v>
      </c>
      <c r="C1646" s="28" t="s">
        <v>1868</v>
      </c>
      <c r="D1646" s="26" t="s">
        <v>37</v>
      </c>
      <c r="E1646" s="31">
        <v>46228.0</v>
      </c>
      <c r="F1646" s="26" t="s">
        <v>46</v>
      </c>
      <c r="G1646" s="26">
        <v>11.0</v>
      </c>
      <c r="H1646" s="26" t="s">
        <v>1842</v>
      </c>
      <c r="I1646" s="26" t="s">
        <v>42</v>
      </c>
      <c r="J1646" s="25" t="str">
        <f t="shared" si="31"/>
        <v>No</v>
      </c>
      <c r="K1646" s="25" t="str">
        <f t="shared" si="32"/>
        <v/>
      </c>
      <c r="L1646" s="25" t="str">
        <f t="shared" si="33"/>
        <v/>
      </c>
      <c r="M1646" s="25"/>
      <c r="O1646" s="25"/>
    </row>
    <row r="1647" ht="15.75" customHeight="1">
      <c r="A1647" s="25" t="str">
        <f>IFERROR(__xludf.DUMMYFUNCTION("IF(B1647="""","""",RIGHT(REGEXREPLACE(B1647&amp;"""",""[^0-9]"",""""),9))"),"719612861")</f>
        <v>719612861</v>
      </c>
      <c r="B1647" s="52">
        <v>7.19612861E8</v>
      </c>
      <c r="C1647" s="28" t="s">
        <v>1869</v>
      </c>
      <c r="D1647" s="26" t="s">
        <v>49</v>
      </c>
      <c r="E1647" s="31">
        <v>46228.0</v>
      </c>
      <c r="F1647" s="26" t="s">
        <v>46</v>
      </c>
      <c r="G1647" s="26">
        <v>11.0</v>
      </c>
      <c r="I1647" s="26" t="s">
        <v>42</v>
      </c>
      <c r="J1647" s="25" t="str">
        <f t="shared" si="31"/>
        <v>No</v>
      </c>
      <c r="K1647" s="25" t="str">
        <f t="shared" si="32"/>
        <v/>
      </c>
      <c r="L1647" s="25" t="str">
        <f t="shared" si="33"/>
        <v/>
      </c>
      <c r="M1647" s="25"/>
      <c r="O1647" s="25"/>
    </row>
    <row r="1648" ht="15.75" customHeight="1">
      <c r="A1648" s="25" t="str">
        <f>IFERROR(__xludf.DUMMYFUNCTION("IF(B1648="""","""",RIGHT(REGEXREPLACE(B1648&amp;"""",""[^0-9]"",""""),9))"),"718116506")</f>
        <v>718116506</v>
      </c>
      <c r="B1648" s="52">
        <v>7.18116506E8</v>
      </c>
      <c r="C1648" s="28" t="s">
        <v>1870</v>
      </c>
      <c r="D1648" s="26" t="s">
        <v>82</v>
      </c>
      <c r="E1648" s="31">
        <v>46228.0</v>
      </c>
      <c r="F1648" s="26" t="s">
        <v>205</v>
      </c>
      <c r="I1648" s="26" t="s">
        <v>42</v>
      </c>
      <c r="J1648" s="25" t="str">
        <f t="shared" si="31"/>
        <v>No</v>
      </c>
      <c r="K1648" s="25" t="str">
        <f t="shared" si="32"/>
        <v/>
      </c>
      <c r="L1648" s="25" t="str">
        <f t="shared" si="33"/>
        <v/>
      </c>
      <c r="M1648" s="25"/>
      <c r="O1648" s="25"/>
    </row>
    <row r="1649" ht="15.75" customHeight="1">
      <c r="A1649" s="25" t="str">
        <f>IFERROR(__xludf.DUMMYFUNCTION("IF(B1649="""","""",RIGHT(REGEXREPLACE(B1649&amp;"""",""[^0-9]"",""""),9))"),"776331962")</f>
        <v>776331962</v>
      </c>
      <c r="B1649" s="52">
        <v>7.76331962E8</v>
      </c>
      <c r="C1649" s="28" t="s">
        <v>1871</v>
      </c>
      <c r="D1649" s="26" t="s">
        <v>45</v>
      </c>
      <c r="E1649" s="31">
        <v>46228.0</v>
      </c>
      <c r="F1649" s="26" t="s">
        <v>46</v>
      </c>
      <c r="G1649" s="26">
        <v>11.0</v>
      </c>
      <c r="I1649" s="26" t="s">
        <v>42</v>
      </c>
      <c r="J1649" s="25" t="str">
        <f t="shared" si="31"/>
        <v>No</v>
      </c>
      <c r="K1649" s="25" t="str">
        <f t="shared" si="32"/>
        <v/>
      </c>
      <c r="L1649" s="25" t="str">
        <f t="shared" si="33"/>
        <v/>
      </c>
      <c r="M1649" s="25"/>
      <c r="O1649" s="25"/>
    </row>
    <row r="1650" ht="15.75" customHeight="1">
      <c r="A1650" s="25" t="str">
        <f>IFERROR(__xludf.DUMMYFUNCTION("IF(B1650="""","""",RIGHT(REGEXREPLACE(B1650&amp;"""",""[^0-9]"",""""),9))"),"714915828")</f>
        <v>714915828</v>
      </c>
      <c r="B1650" s="26">
        <v>7.14915828E8</v>
      </c>
      <c r="C1650" s="28" t="s">
        <v>1872</v>
      </c>
      <c r="D1650" s="26" t="s">
        <v>37</v>
      </c>
      <c r="E1650" s="31">
        <v>46228.0</v>
      </c>
      <c r="F1650" s="26" t="s">
        <v>704</v>
      </c>
      <c r="I1650" s="26" t="s">
        <v>42</v>
      </c>
      <c r="J1650" s="25" t="str">
        <f t="shared" si="31"/>
        <v>No</v>
      </c>
      <c r="K1650" s="25" t="str">
        <f t="shared" si="32"/>
        <v/>
      </c>
      <c r="L1650" s="25" t="str">
        <f t="shared" si="33"/>
        <v/>
      </c>
      <c r="M1650" s="25"/>
      <c r="O1650" s="25"/>
    </row>
    <row r="1651" ht="15.75" customHeight="1">
      <c r="A1651" s="25" t="str">
        <f>IFERROR(__xludf.DUMMYFUNCTION("IF(B1651="""","""",RIGHT(REGEXREPLACE(B1651&amp;"""",""[^0-9]"",""""),9))"),"714064780")</f>
        <v>714064780</v>
      </c>
      <c r="B1651" s="52">
        <v>7.1406478E8</v>
      </c>
      <c r="C1651" s="28" t="s">
        <v>1873</v>
      </c>
      <c r="D1651" s="26" t="s">
        <v>82</v>
      </c>
      <c r="E1651" s="31">
        <v>46228.0</v>
      </c>
      <c r="F1651" s="26" t="s">
        <v>46</v>
      </c>
      <c r="G1651" s="26">
        <v>10.0</v>
      </c>
      <c r="I1651" s="26" t="s">
        <v>42</v>
      </c>
      <c r="J1651" s="25" t="str">
        <f t="shared" si="31"/>
        <v>No</v>
      </c>
      <c r="K1651" s="25" t="str">
        <f t="shared" si="32"/>
        <v/>
      </c>
      <c r="L1651" s="25" t="str">
        <f t="shared" si="33"/>
        <v/>
      </c>
      <c r="M1651" s="25"/>
      <c r="O1651" s="25"/>
    </row>
    <row r="1652" ht="15.75" customHeight="1">
      <c r="A1652" s="25" t="str">
        <f>IFERROR(__xludf.DUMMYFUNCTION("IF(B1652="""","""",RIGHT(REGEXREPLACE(B1652&amp;"""",""[^0-9]"",""""),9))"),"719414621")</f>
        <v>719414621</v>
      </c>
      <c r="B1652" s="52">
        <v>7.19414621E8</v>
      </c>
      <c r="C1652" s="28" t="s">
        <v>1874</v>
      </c>
      <c r="D1652" s="26" t="s">
        <v>49</v>
      </c>
      <c r="E1652" s="31">
        <v>46228.0</v>
      </c>
      <c r="F1652" s="26" t="s">
        <v>46</v>
      </c>
      <c r="G1652" s="26">
        <v>11.0</v>
      </c>
      <c r="I1652" s="26" t="s">
        <v>42</v>
      </c>
      <c r="J1652" s="25" t="str">
        <f t="shared" si="31"/>
        <v>No</v>
      </c>
      <c r="K1652" s="25" t="str">
        <f t="shared" si="32"/>
        <v/>
      </c>
      <c r="L1652" s="25" t="str">
        <f t="shared" si="33"/>
        <v/>
      </c>
      <c r="M1652" s="25"/>
      <c r="O1652" s="25"/>
    </row>
    <row r="1653" ht="15.75" customHeight="1">
      <c r="A1653" s="25" t="str">
        <f>IFERROR(__xludf.DUMMYFUNCTION("IF(B1653="""","""",RIGHT(REGEXREPLACE(B1653&amp;"""",""[^0-9]"",""""),9))"),"716270639")</f>
        <v>716270639</v>
      </c>
      <c r="B1653" s="52">
        <v>7.16270639E8</v>
      </c>
      <c r="C1653" s="28" t="s">
        <v>1875</v>
      </c>
      <c r="D1653" s="26" t="s">
        <v>56</v>
      </c>
      <c r="E1653" s="31">
        <v>46228.0</v>
      </c>
      <c r="F1653" s="26" t="s">
        <v>41</v>
      </c>
      <c r="G1653" s="26">
        <v>11.0</v>
      </c>
      <c r="I1653" s="26" t="s">
        <v>42</v>
      </c>
      <c r="J1653" s="25" t="str">
        <f t="shared" si="31"/>
        <v>No</v>
      </c>
      <c r="K1653" s="25" t="str">
        <f t="shared" si="32"/>
        <v/>
      </c>
      <c r="L1653" s="25" t="str">
        <f t="shared" si="33"/>
        <v/>
      </c>
      <c r="M1653" s="25"/>
      <c r="O1653" s="25"/>
    </row>
    <row r="1654" ht="15.75" customHeight="1">
      <c r="A1654" s="25" t="str">
        <f>IFERROR(__xludf.DUMMYFUNCTION("IF(B1654="""","""",RIGHT(REGEXREPLACE(B1654&amp;"""",""[^0-9]"",""""),9))"),"711899002")</f>
        <v>711899002</v>
      </c>
      <c r="B1654" s="52">
        <v>7.11899002E8</v>
      </c>
      <c r="C1654" s="28" t="s">
        <v>1876</v>
      </c>
      <c r="D1654" s="26" t="s">
        <v>49</v>
      </c>
      <c r="E1654" s="31">
        <v>46228.0</v>
      </c>
      <c r="F1654" s="26" t="s">
        <v>46</v>
      </c>
      <c r="G1654" s="26">
        <v>11.0</v>
      </c>
      <c r="I1654" s="26" t="s">
        <v>42</v>
      </c>
      <c r="J1654" s="25" t="str">
        <f t="shared" si="31"/>
        <v>No</v>
      </c>
      <c r="K1654" s="25" t="str">
        <f t="shared" si="32"/>
        <v/>
      </c>
      <c r="L1654" s="25" t="str">
        <f t="shared" si="33"/>
        <v/>
      </c>
      <c r="M1654" s="25"/>
      <c r="O1654" s="25"/>
    </row>
    <row r="1655" ht="15.75" customHeight="1">
      <c r="A1655" s="25" t="str">
        <f>IFERROR(__xludf.DUMMYFUNCTION("IF(B1655="""","""",RIGHT(REGEXREPLACE(B1655&amp;"""",""[^0-9]"",""""),9))"),"711693368")</f>
        <v>711693368</v>
      </c>
      <c r="B1655" s="52">
        <v>7.11693368E8</v>
      </c>
      <c r="C1655" s="28" t="s">
        <v>1877</v>
      </c>
      <c r="D1655" s="26" t="s">
        <v>45</v>
      </c>
      <c r="E1655" s="31">
        <v>46228.0</v>
      </c>
      <c r="F1655" s="26" t="s">
        <v>41</v>
      </c>
      <c r="I1655" s="26" t="s">
        <v>42</v>
      </c>
      <c r="J1655" s="25" t="str">
        <f t="shared" si="31"/>
        <v>No</v>
      </c>
      <c r="K1655" s="25" t="str">
        <f t="shared" si="32"/>
        <v/>
      </c>
      <c r="L1655" s="25" t="str">
        <f t="shared" si="33"/>
        <v/>
      </c>
      <c r="M1655" s="25"/>
      <c r="O1655" s="25"/>
    </row>
    <row r="1656" ht="15.75" customHeight="1">
      <c r="A1656" s="25" t="str">
        <f>IFERROR(__xludf.DUMMYFUNCTION("IF(B1656="""","""",RIGHT(REGEXREPLACE(B1656&amp;"""",""[^0-9]"",""""),9))"),"778839635")</f>
        <v>778839635</v>
      </c>
      <c r="B1656" s="52">
        <v>7.78839635E8</v>
      </c>
      <c r="C1656" s="28" t="s">
        <v>1248</v>
      </c>
      <c r="D1656" s="26" t="s">
        <v>56</v>
      </c>
      <c r="E1656" s="31">
        <v>46228.0</v>
      </c>
      <c r="F1656" s="26" t="s">
        <v>46</v>
      </c>
      <c r="G1656" s="26">
        <v>11.0</v>
      </c>
      <c r="I1656" s="26" t="s">
        <v>42</v>
      </c>
      <c r="J1656" s="25" t="str">
        <f t="shared" si="31"/>
        <v>No</v>
      </c>
      <c r="K1656" s="25" t="str">
        <f t="shared" si="32"/>
        <v/>
      </c>
      <c r="L1656" s="25" t="str">
        <f t="shared" si="33"/>
        <v/>
      </c>
      <c r="M1656" s="25"/>
      <c r="O1656" s="25"/>
    </row>
    <row r="1657" ht="15.75" customHeight="1">
      <c r="A1657" s="25" t="str">
        <f>IFERROR(__xludf.DUMMYFUNCTION("IF(B1657="""","""",RIGHT(REGEXREPLACE(B1657&amp;"""",""[^0-9]"",""""),9))"),"776318270")</f>
        <v>776318270</v>
      </c>
      <c r="B1657" s="52">
        <v>7.7631827E8</v>
      </c>
      <c r="C1657" s="28" t="s">
        <v>1878</v>
      </c>
      <c r="D1657" s="26" t="s">
        <v>49</v>
      </c>
      <c r="E1657" s="31">
        <v>46228.0</v>
      </c>
      <c r="F1657" s="26" t="s">
        <v>46</v>
      </c>
      <c r="G1657" s="26">
        <v>11.0</v>
      </c>
      <c r="I1657" s="26" t="s">
        <v>42</v>
      </c>
      <c r="J1657" s="25" t="str">
        <f t="shared" si="31"/>
        <v>No</v>
      </c>
      <c r="K1657" s="25" t="str">
        <f t="shared" si="32"/>
        <v/>
      </c>
      <c r="L1657" s="25" t="str">
        <f t="shared" si="33"/>
        <v/>
      </c>
      <c r="M1657" s="25"/>
      <c r="O1657" s="25"/>
    </row>
    <row r="1658" ht="15.75" customHeight="1">
      <c r="A1658" s="25" t="str">
        <f>IFERROR(__xludf.DUMMYFUNCTION("IF(B1658="""","""",RIGHT(REGEXREPLACE(B1658&amp;"""",""[^0-9]"",""""),9))"),"711402139")</f>
        <v>711402139</v>
      </c>
      <c r="B1658" s="52">
        <v>7.11402139E8</v>
      </c>
      <c r="C1658" s="28" t="s">
        <v>1879</v>
      </c>
      <c r="D1658" s="26" t="s">
        <v>82</v>
      </c>
      <c r="E1658" s="31">
        <v>46228.0</v>
      </c>
      <c r="F1658" s="26" t="s">
        <v>46</v>
      </c>
      <c r="G1658" s="26">
        <v>11.0</v>
      </c>
      <c r="I1658" s="26" t="s">
        <v>42</v>
      </c>
      <c r="J1658" s="25" t="str">
        <f t="shared" si="31"/>
        <v>No</v>
      </c>
      <c r="K1658" s="25" t="str">
        <f t="shared" si="32"/>
        <v/>
      </c>
      <c r="L1658" s="25" t="str">
        <f t="shared" si="33"/>
        <v/>
      </c>
      <c r="M1658" s="25"/>
      <c r="O1658" s="25"/>
    </row>
    <row r="1659" ht="15.75" customHeight="1">
      <c r="A1659" s="25" t="str">
        <f>IFERROR(__xludf.DUMMYFUNCTION("IF(B1659="""","""",RIGHT(REGEXREPLACE(B1659&amp;"""",""[^0-9]"",""""),9))"),"701561135")</f>
        <v>701561135</v>
      </c>
      <c r="B1659" s="26">
        <v>7.01561135E8</v>
      </c>
      <c r="C1659" s="28" t="s">
        <v>1880</v>
      </c>
      <c r="D1659" s="26" t="s">
        <v>37</v>
      </c>
      <c r="E1659" s="31">
        <v>46228.0</v>
      </c>
      <c r="F1659" s="26" t="s">
        <v>205</v>
      </c>
      <c r="I1659" s="26" t="s">
        <v>42</v>
      </c>
      <c r="J1659" s="25" t="str">
        <f t="shared" si="31"/>
        <v>No</v>
      </c>
      <c r="K1659" s="25" t="str">
        <f t="shared" si="32"/>
        <v/>
      </c>
      <c r="L1659" s="25" t="str">
        <f t="shared" si="33"/>
        <v/>
      </c>
      <c r="M1659" s="25"/>
      <c r="O1659" s="25"/>
    </row>
    <row r="1660" ht="15.75" customHeight="1">
      <c r="A1660" s="25" t="str">
        <f>IFERROR(__xludf.DUMMYFUNCTION("IF(B1660="""","""",RIGHT(REGEXREPLACE(B1660&amp;"""",""[^0-9]"",""""),9))"),"775253220")</f>
        <v>775253220</v>
      </c>
      <c r="B1660" s="52">
        <v>7.7525322E8</v>
      </c>
      <c r="C1660" s="28" t="s">
        <v>1881</v>
      </c>
      <c r="D1660" s="26" t="s">
        <v>45</v>
      </c>
      <c r="E1660" s="31">
        <v>46228.0</v>
      </c>
      <c r="F1660" s="26" t="s">
        <v>41</v>
      </c>
      <c r="G1660" s="26">
        <v>7.0</v>
      </c>
      <c r="I1660" s="26" t="s">
        <v>42</v>
      </c>
      <c r="J1660" s="25" t="str">
        <f t="shared" si="31"/>
        <v>No</v>
      </c>
      <c r="K1660" s="25" t="str">
        <f t="shared" si="32"/>
        <v/>
      </c>
      <c r="L1660" s="25" t="str">
        <f t="shared" si="33"/>
        <v/>
      </c>
      <c r="M1660" s="25"/>
      <c r="O1660" s="25"/>
    </row>
    <row r="1661" ht="15.75" customHeight="1">
      <c r="A1661" s="25" t="str">
        <f>IFERROR(__xludf.DUMMYFUNCTION("IF(B1661="""","""",RIGHT(REGEXREPLACE(B1661&amp;"""",""[^0-9]"",""""),9))"),"703282629")</f>
        <v>703282629</v>
      </c>
      <c r="B1661" s="26">
        <v>7.03282629E8</v>
      </c>
      <c r="C1661" s="28" t="s">
        <v>1882</v>
      </c>
      <c r="D1661" s="26" t="s">
        <v>37</v>
      </c>
      <c r="E1661" s="31">
        <v>46228.0</v>
      </c>
      <c r="F1661" s="26" t="s">
        <v>46</v>
      </c>
      <c r="G1661" s="26">
        <v>10.0</v>
      </c>
      <c r="I1661" s="26" t="s">
        <v>42</v>
      </c>
      <c r="J1661" s="25" t="str">
        <f t="shared" si="31"/>
        <v>No</v>
      </c>
      <c r="K1661" s="25" t="str">
        <f t="shared" si="32"/>
        <v/>
      </c>
      <c r="L1661" s="25" t="str">
        <f t="shared" si="33"/>
        <v/>
      </c>
      <c r="M1661" s="25"/>
      <c r="O1661" s="25"/>
    </row>
    <row r="1662" ht="15.75" customHeight="1">
      <c r="A1662" s="25" t="str">
        <f>IFERROR(__xludf.DUMMYFUNCTION("IF(B1662="""","""",RIGHT(REGEXREPLACE(B1662&amp;"""",""[^0-9]"",""""),9))"),"740964609")</f>
        <v>740964609</v>
      </c>
      <c r="B1662" s="52">
        <v>7.40964609E8</v>
      </c>
      <c r="C1662" s="28" t="s">
        <v>1883</v>
      </c>
      <c r="D1662" s="26" t="s">
        <v>49</v>
      </c>
      <c r="E1662" s="31">
        <v>46228.0</v>
      </c>
      <c r="F1662" s="26" t="s">
        <v>41</v>
      </c>
      <c r="G1662" s="26">
        <v>10.0</v>
      </c>
      <c r="I1662" s="26" t="s">
        <v>42</v>
      </c>
      <c r="J1662" s="25" t="str">
        <f t="shared" si="31"/>
        <v>No</v>
      </c>
      <c r="K1662" s="25" t="str">
        <f t="shared" si="32"/>
        <v/>
      </c>
      <c r="L1662" s="25" t="str">
        <f t="shared" si="33"/>
        <v/>
      </c>
      <c r="M1662" s="25"/>
      <c r="O1662" s="25"/>
    </row>
    <row r="1663" ht="15.75" customHeight="1">
      <c r="A1663" s="25" t="str">
        <f>IFERROR(__xludf.DUMMYFUNCTION("IF(B1663="""","""",RIGHT(REGEXREPLACE(B1663&amp;"""",""[^0-9]"",""""),9))"),"773798498")</f>
        <v>773798498</v>
      </c>
      <c r="B1663" s="26">
        <v>7.73798498E8</v>
      </c>
      <c r="C1663" s="28" t="s">
        <v>1884</v>
      </c>
      <c r="D1663" s="26" t="s">
        <v>37</v>
      </c>
      <c r="E1663" s="31">
        <v>46228.0</v>
      </c>
      <c r="F1663" s="26" t="s">
        <v>46</v>
      </c>
      <c r="G1663" s="26">
        <v>11.0</v>
      </c>
      <c r="H1663" s="26" t="s">
        <v>1308</v>
      </c>
      <c r="I1663" s="26" t="s">
        <v>42</v>
      </c>
      <c r="J1663" s="25" t="str">
        <f t="shared" si="31"/>
        <v>No</v>
      </c>
      <c r="K1663" s="25" t="str">
        <f t="shared" si="32"/>
        <v/>
      </c>
      <c r="L1663" s="25" t="str">
        <f t="shared" si="33"/>
        <v/>
      </c>
      <c r="M1663" s="25"/>
      <c r="O1663" s="25"/>
    </row>
    <row r="1664" ht="15.75" customHeight="1">
      <c r="A1664" s="25" t="str">
        <f>IFERROR(__xludf.DUMMYFUNCTION("IF(B1664="""","""",RIGHT(REGEXREPLACE(B1664&amp;"""",""[^0-9]"",""""),9))"),"778648865")</f>
        <v>778648865</v>
      </c>
      <c r="B1664" s="26">
        <v>7.78648865E8</v>
      </c>
      <c r="C1664" s="28" t="s">
        <v>1885</v>
      </c>
      <c r="D1664" s="26" t="s">
        <v>56</v>
      </c>
      <c r="E1664" s="31">
        <v>46228.0</v>
      </c>
      <c r="F1664" s="26" t="s">
        <v>46</v>
      </c>
      <c r="G1664" s="26">
        <v>11.0</v>
      </c>
      <c r="I1664" s="26" t="s">
        <v>42</v>
      </c>
      <c r="J1664" s="25" t="str">
        <f t="shared" si="31"/>
        <v>No</v>
      </c>
      <c r="K1664" s="25" t="str">
        <f t="shared" si="32"/>
        <v/>
      </c>
      <c r="L1664" s="25" t="str">
        <f t="shared" si="33"/>
        <v/>
      </c>
      <c r="M1664" s="25"/>
      <c r="O1664" s="25"/>
    </row>
    <row r="1665" ht="15.75" customHeight="1">
      <c r="A1665" s="25" t="str">
        <f>IFERROR(__xludf.DUMMYFUNCTION("IF(B1665="""","""",RIGHT(REGEXREPLACE(B1665&amp;"""",""[^0-9]"",""""),9))"),"772918987")</f>
        <v>772918987</v>
      </c>
      <c r="B1665" s="52">
        <v>7.72918987E8</v>
      </c>
      <c r="C1665" s="28" t="s">
        <v>1886</v>
      </c>
      <c r="D1665" s="26" t="s">
        <v>82</v>
      </c>
      <c r="E1665" s="31">
        <v>46228.0</v>
      </c>
      <c r="F1665" s="26" t="s">
        <v>46</v>
      </c>
      <c r="G1665" s="26">
        <v>11.0</v>
      </c>
      <c r="I1665" s="26" t="s">
        <v>42</v>
      </c>
      <c r="J1665" s="25" t="str">
        <f t="shared" si="31"/>
        <v>No</v>
      </c>
      <c r="K1665" s="25" t="str">
        <f t="shared" si="32"/>
        <v/>
      </c>
      <c r="L1665" s="25" t="str">
        <f t="shared" si="33"/>
        <v/>
      </c>
      <c r="M1665" s="25"/>
      <c r="O1665" s="25"/>
    </row>
    <row r="1666" ht="15.75" customHeight="1">
      <c r="A1666" s="25" t="str">
        <f>IFERROR(__xludf.DUMMYFUNCTION("IF(B1666="""","""",RIGHT(REGEXREPLACE(B1666&amp;"""",""[^0-9]"",""""),9))"),"766336907")</f>
        <v>766336907</v>
      </c>
      <c r="B1666" s="52">
        <v>7.66336907E8</v>
      </c>
      <c r="C1666" s="28" t="s">
        <v>1887</v>
      </c>
      <c r="D1666" s="26" t="s">
        <v>45</v>
      </c>
      <c r="E1666" s="31">
        <v>46228.0</v>
      </c>
      <c r="F1666" s="26" t="s">
        <v>46</v>
      </c>
      <c r="G1666" s="26">
        <v>10.0</v>
      </c>
      <c r="I1666" s="26" t="s">
        <v>42</v>
      </c>
      <c r="J1666" s="25" t="str">
        <f t="shared" si="31"/>
        <v>No</v>
      </c>
      <c r="K1666" s="25" t="str">
        <f t="shared" si="32"/>
        <v/>
      </c>
      <c r="L1666" s="25" t="str">
        <f t="shared" si="33"/>
        <v/>
      </c>
      <c r="M1666" s="25"/>
      <c r="O1666" s="25"/>
    </row>
    <row r="1667" ht="15.75" customHeight="1">
      <c r="A1667" s="25" t="str">
        <f>IFERROR(__xludf.DUMMYFUNCTION("IF(B1667="""","""",RIGHT(REGEXREPLACE(B1667&amp;"""",""[^0-9]"",""""),9))"),"716360653")</f>
        <v>716360653</v>
      </c>
      <c r="B1667" s="52">
        <v>7.16360653E8</v>
      </c>
      <c r="C1667" s="28" t="s">
        <v>1888</v>
      </c>
      <c r="D1667" s="26" t="s">
        <v>49</v>
      </c>
      <c r="E1667" s="31">
        <v>46228.0</v>
      </c>
      <c r="F1667" s="26" t="s">
        <v>704</v>
      </c>
      <c r="I1667" s="26" t="s">
        <v>42</v>
      </c>
      <c r="J1667" s="25" t="str">
        <f t="shared" si="31"/>
        <v>No</v>
      </c>
      <c r="K1667" s="25" t="str">
        <f t="shared" si="32"/>
        <v/>
      </c>
      <c r="L1667" s="25" t="str">
        <f t="shared" si="33"/>
        <v/>
      </c>
      <c r="M1667" s="25"/>
      <c r="O1667" s="25"/>
    </row>
    <row r="1668" ht="15.75" customHeight="1">
      <c r="A1668" s="25" t="str">
        <f>IFERROR(__xludf.DUMMYFUNCTION("IF(B1668="""","""",RIGHT(REGEXREPLACE(B1668&amp;"""",""[^0-9]"",""""),9))"),"760148166")</f>
        <v>760148166</v>
      </c>
      <c r="B1668" s="26">
        <v>7.60148166E8</v>
      </c>
      <c r="C1668" s="28" t="s">
        <v>1889</v>
      </c>
      <c r="D1668" s="26" t="s">
        <v>37</v>
      </c>
      <c r="E1668" s="31">
        <v>46228.0</v>
      </c>
      <c r="F1668" s="26" t="s">
        <v>205</v>
      </c>
      <c r="G1668" s="26">
        <v>11.0</v>
      </c>
      <c r="I1668" s="26" t="s">
        <v>42</v>
      </c>
      <c r="J1668" s="25" t="str">
        <f t="shared" si="31"/>
        <v>No</v>
      </c>
      <c r="K1668" s="25" t="str">
        <f t="shared" si="32"/>
        <v/>
      </c>
      <c r="L1668" s="25" t="str">
        <f t="shared" si="33"/>
        <v/>
      </c>
      <c r="M1668" s="25"/>
      <c r="O1668" s="25"/>
    </row>
    <row r="1669" ht="15.75" customHeight="1">
      <c r="A1669" s="25" t="str">
        <f>IFERROR(__xludf.DUMMYFUNCTION("IF(B1669="""","""",RIGHT(REGEXREPLACE(B1669&amp;"""",""[^0-9]"",""""),9))"),"774415052")</f>
        <v>774415052</v>
      </c>
      <c r="B1669" s="26">
        <v>7.74415052E8</v>
      </c>
      <c r="C1669" s="28" t="s">
        <v>1890</v>
      </c>
      <c r="D1669" s="26" t="s">
        <v>37</v>
      </c>
      <c r="E1669" s="31">
        <v>46228.0</v>
      </c>
      <c r="F1669" s="26" t="s">
        <v>84</v>
      </c>
      <c r="I1669" s="26" t="s">
        <v>42</v>
      </c>
      <c r="J1669" s="25" t="str">
        <f t="shared" si="31"/>
        <v>No</v>
      </c>
      <c r="K1669" s="25" t="str">
        <f t="shared" si="32"/>
        <v/>
      </c>
      <c r="L1669" s="25" t="str">
        <f t="shared" si="33"/>
        <v/>
      </c>
      <c r="M1669" s="25"/>
      <c r="O1669" s="25"/>
    </row>
    <row r="1670" ht="15.75" customHeight="1">
      <c r="A1670" s="25" t="str">
        <f>IFERROR(__xludf.DUMMYFUNCTION("IF(B1670="""","""",RIGHT(REGEXREPLACE(B1670&amp;"""",""[^0-9]"",""""),9))"),"741180356")</f>
        <v>741180356</v>
      </c>
      <c r="B1670" s="52">
        <v>7.41180356E8</v>
      </c>
      <c r="C1670" s="28" t="s">
        <v>1891</v>
      </c>
      <c r="D1670" s="26" t="s">
        <v>56</v>
      </c>
      <c r="E1670" s="31">
        <v>46228.0</v>
      </c>
      <c r="F1670" s="26" t="s">
        <v>41</v>
      </c>
      <c r="G1670" s="26">
        <v>11.0</v>
      </c>
      <c r="I1670" s="26" t="s">
        <v>42</v>
      </c>
      <c r="J1670" s="25" t="str">
        <f t="shared" si="31"/>
        <v>No</v>
      </c>
      <c r="K1670" s="25" t="str">
        <f t="shared" si="32"/>
        <v/>
      </c>
      <c r="L1670" s="25" t="str">
        <f t="shared" si="33"/>
        <v/>
      </c>
      <c r="M1670" s="25"/>
      <c r="O1670" s="25"/>
    </row>
    <row r="1671" ht="15.75" customHeight="1">
      <c r="A1671" s="25" t="str">
        <f>IFERROR(__xludf.DUMMYFUNCTION("IF(B1671="""","""",RIGHT(REGEXREPLACE(B1671&amp;"""",""[^0-9]"",""""),9))"),"776675856")</f>
        <v>776675856</v>
      </c>
      <c r="B1671" s="52">
        <v>7.76675856E8</v>
      </c>
      <c r="C1671" s="28" t="s">
        <v>1892</v>
      </c>
      <c r="D1671" s="26" t="s">
        <v>49</v>
      </c>
      <c r="E1671" s="31">
        <v>46228.0</v>
      </c>
      <c r="F1671" s="26" t="s">
        <v>46</v>
      </c>
      <c r="G1671" s="26">
        <v>11.0</v>
      </c>
      <c r="I1671" s="26" t="s">
        <v>42</v>
      </c>
      <c r="J1671" s="25" t="str">
        <f t="shared" si="31"/>
        <v>No</v>
      </c>
      <c r="K1671" s="25" t="str">
        <f t="shared" si="32"/>
        <v/>
      </c>
      <c r="L1671" s="25" t="str">
        <f t="shared" si="33"/>
        <v/>
      </c>
      <c r="M1671" s="25"/>
      <c r="O1671" s="25"/>
    </row>
    <row r="1672" ht="15.75" customHeight="1">
      <c r="A1672" s="25" t="str">
        <f>IFERROR(__xludf.DUMMYFUNCTION("IF(B1672="""","""",RIGHT(REGEXREPLACE(B1672&amp;"""",""[^0-9]"",""""),9))"),"714420757")</f>
        <v>714420757</v>
      </c>
      <c r="B1672" s="52">
        <v>7.14420757E8</v>
      </c>
      <c r="C1672" s="28" t="s">
        <v>1893</v>
      </c>
      <c r="D1672" s="26" t="s">
        <v>82</v>
      </c>
      <c r="E1672" s="31">
        <v>46228.0</v>
      </c>
      <c r="F1672" s="26" t="s">
        <v>46</v>
      </c>
      <c r="G1672" s="26">
        <v>11.0</v>
      </c>
      <c r="I1672" s="26" t="s">
        <v>42</v>
      </c>
      <c r="J1672" s="25" t="str">
        <f t="shared" si="31"/>
        <v>No</v>
      </c>
      <c r="K1672" s="25" t="str">
        <f t="shared" si="32"/>
        <v/>
      </c>
      <c r="L1672" s="25" t="str">
        <f t="shared" si="33"/>
        <v/>
      </c>
      <c r="M1672" s="25"/>
      <c r="O1672" s="25"/>
    </row>
    <row r="1673" ht="15.75" customHeight="1">
      <c r="A1673" s="25" t="str">
        <f>IFERROR(__xludf.DUMMYFUNCTION("IF(B1673="""","""",RIGHT(REGEXREPLACE(B1673&amp;"""",""[^0-9]"",""""),9))"),"743434217")</f>
        <v>743434217</v>
      </c>
      <c r="B1673" s="52">
        <v>7.43434217E8</v>
      </c>
      <c r="C1673" s="28" t="s">
        <v>1894</v>
      </c>
      <c r="D1673" s="26" t="s">
        <v>45</v>
      </c>
      <c r="E1673" s="31">
        <v>46228.0</v>
      </c>
      <c r="F1673" s="26" t="s">
        <v>659</v>
      </c>
      <c r="I1673" s="26" t="s">
        <v>42</v>
      </c>
      <c r="J1673" s="25" t="str">
        <f t="shared" si="31"/>
        <v>No</v>
      </c>
      <c r="K1673" s="25" t="str">
        <f t="shared" si="32"/>
        <v/>
      </c>
      <c r="L1673" s="25" t="str">
        <f t="shared" si="33"/>
        <v/>
      </c>
      <c r="M1673" s="25"/>
      <c r="O1673" s="25"/>
    </row>
    <row r="1674" ht="15.75" customHeight="1">
      <c r="A1674" s="25" t="str">
        <f>IFERROR(__xludf.DUMMYFUNCTION("IF(B1674="""","""",RIGHT(REGEXREPLACE(B1674&amp;"""",""[^0-9]"",""""),9))"),"768730807")</f>
        <v>768730807</v>
      </c>
      <c r="B1674" s="26">
        <v>7.68730807E8</v>
      </c>
      <c r="C1674" s="28" t="s">
        <v>1895</v>
      </c>
      <c r="D1674" s="26" t="s">
        <v>37</v>
      </c>
      <c r="E1674" s="31">
        <v>46228.0</v>
      </c>
      <c r="F1674" s="26" t="s">
        <v>46</v>
      </c>
      <c r="G1674" s="26">
        <v>10.0</v>
      </c>
      <c r="I1674" s="26" t="s">
        <v>42</v>
      </c>
      <c r="J1674" s="25" t="str">
        <f t="shared" si="31"/>
        <v>No</v>
      </c>
      <c r="K1674" s="25" t="str">
        <f t="shared" si="32"/>
        <v/>
      </c>
      <c r="L1674" s="25" t="str">
        <f t="shared" si="33"/>
        <v/>
      </c>
      <c r="M1674" s="25"/>
      <c r="O1674" s="25"/>
    </row>
    <row r="1675" ht="15.75" customHeight="1">
      <c r="A1675" s="25" t="str">
        <f>IFERROR(__xludf.DUMMYFUNCTION("IF(B1675="""","""",RIGHT(REGEXREPLACE(B1675&amp;"""",""[^0-9]"",""""),9))"),"770616061")</f>
        <v>770616061</v>
      </c>
      <c r="B1675" s="52">
        <v>7.70616061E8</v>
      </c>
      <c r="C1675" s="28" t="s">
        <v>1896</v>
      </c>
      <c r="D1675" s="26" t="s">
        <v>49</v>
      </c>
      <c r="E1675" s="31">
        <v>46228.0</v>
      </c>
      <c r="F1675" s="26" t="s">
        <v>41</v>
      </c>
      <c r="G1675" s="26">
        <v>11.0</v>
      </c>
      <c r="I1675" s="26" t="s">
        <v>42</v>
      </c>
      <c r="J1675" s="25" t="str">
        <f t="shared" si="31"/>
        <v>No</v>
      </c>
      <c r="K1675" s="25" t="str">
        <f t="shared" si="32"/>
        <v/>
      </c>
      <c r="L1675" s="25" t="str">
        <f t="shared" si="33"/>
        <v/>
      </c>
      <c r="M1675" s="25"/>
      <c r="O1675" s="25"/>
    </row>
    <row r="1676" ht="15.75" customHeight="1">
      <c r="A1676" s="25" t="str">
        <f>IFERROR(__xludf.DUMMYFUNCTION("IF(B1676="""","""",RIGHT(REGEXREPLACE(B1676&amp;"""",""[^0-9]"",""""),9))"),"718430887")</f>
        <v>718430887</v>
      </c>
      <c r="B1676" s="52">
        <v>7.18430887E8</v>
      </c>
      <c r="C1676" s="28" t="s">
        <v>1896</v>
      </c>
      <c r="D1676" s="26" t="s">
        <v>45</v>
      </c>
      <c r="E1676" s="31">
        <v>46228.0</v>
      </c>
      <c r="F1676" s="26" t="s">
        <v>46</v>
      </c>
      <c r="G1676" s="26">
        <v>11.0</v>
      </c>
      <c r="I1676" s="26" t="s">
        <v>42</v>
      </c>
      <c r="J1676" s="25" t="str">
        <f t="shared" si="31"/>
        <v>No</v>
      </c>
      <c r="K1676" s="25" t="str">
        <f t="shared" si="32"/>
        <v/>
      </c>
      <c r="L1676" s="25" t="str">
        <f t="shared" si="33"/>
        <v/>
      </c>
      <c r="M1676" s="25"/>
      <c r="O1676" s="25"/>
    </row>
    <row r="1677" ht="15.75" customHeight="1">
      <c r="A1677" s="25" t="str">
        <f>IFERROR(__xludf.DUMMYFUNCTION("IF(B1677="""","""",RIGHT(REGEXREPLACE(B1677&amp;"""",""[^0-9]"",""""),9))"),"766321349")</f>
        <v>766321349</v>
      </c>
      <c r="B1677" s="26">
        <v>7.66321349E8</v>
      </c>
      <c r="C1677" s="28" t="s">
        <v>1897</v>
      </c>
      <c r="D1677" s="26" t="s">
        <v>37</v>
      </c>
      <c r="E1677" s="31">
        <v>46228.0</v>
      </c>
      <c r="F1677" s="26" t="s">
        <v>46</v>
      </c>
      <c r="H1677" s="26" t="s">
        <v>1447</v>
      </c>
      <c r="I1677" s="26" t="s">
        <v>42</v>
      </c>
      <c r="J1677" s="25" t="str">
        <f t="shared" si="31"/>
        <v>No</v>
      </c>
      <c r="K1677" s="25" t="str">
        <f t="shared" si="32"/>
        <v/>
      </c>
      <c r="L1677" s="25" t="str">
        <f t="shared" si="33"/>
        <v/>
      </c>
      <c r="M1677" s="25"/>
      <c r="O1677" s="25"/>
    </row>
    <row r="1678" ht="15.75" customHeight="1">
      <c r="A1678" s="25" t="str">
        <f>IFERROR(__xludf.DUMMYFUNCTION("IF(B1678="""","""",RIGHT(REGEXREPLACE(B1678&amp;"""",""[^0-9]"",""""),9))"),"715551099")</f>
        <v>715551099</v>
      </c>
      <c r="B1678" s="52">
        <v>7.15551099E8</v>
      </c>
      <c r="C1678" s="28" t="s">
        <v>1898</v>
      </c>
      <c r="D1678" s="26" t="s">
        <v>56</v>
      </c>
      <c r="E1678" s="31">
        <v>46228.0</v>
      </c>
      <c r="F1678" s="26" t="s">
        <v>659</v>
      </c>
      <c r="G1678" s="26">
        <v>10.0</v>
      </c>
      <c r="I1678" s="26" t="s">
        <v>42</v>
      </c>
      <c r="J1678" s="25" t="str">
        <f t="shared" si="31"/>
        <v>No</v>
      </c>
      <c r="K1678" s="25" t="str">
        <f t="shared" si="32"/>
        <v/>
      </c>
      <c r="L1678" s="25" t="str">
        <f t="shared" si="33"/>
        <v/>
      </c>
      <c r="M1678" s="25"/>
      <c r="O1678" s="25"/>
    </row>
    <row r="1679" ht="15.75" customHeight="1">
      <c r="A1679" s="25" t="str">
        <f>IFERROR(__xludf.DUMMYFUNCTION("IF(B1679="""","""",RIGHT(REGEXREPLACE(B1679&amp;"""",""[^0-9]"",""""),9))"),"770657015")</f>
        <v>770657015</v>
      </c>
      <c r="B1679" s="26">
        <v>7.70657015E8</v>
      </c>
      <c r="C1679" s="28" t="s">
        <v>1899</v>
      </c>
      <c r="D1679" s="26" t="s">
        <v>37</v>
      </c>
      <c r="E1679" s="31">
        <v>46228.0</v>
      </c>
      <c r="F1679" s="26" t="s">
        <v>46</v>
      </c>
      <c r="G1679" s="26">
        <v>11.0</v>
      </c>
      <c r="I1679" s="26" t="s">
        <v>42</v>
      </c>
      <c r="J1679" s="25" t="str">
        <f t="shared" si="31"/>
        <v>No</v>
      </c>
      <c r="K1679" s="25" t="str">
        <f t="shared" si="32"/>
        <v/>
      </c>
      <c r="L1679" s="25" t="str">
        <f t="shared" si="33"/>
        <v/>
      </c>
      <c r="M1679" s="25"/>
      <c r="O1679" s="25"/>
    </row>
    <row r="1680" ht="15.75" customHeight="1">
      <c r="A1680" s="25" t="str">
        <f>IFERROR(__xludf.DUMMYFUNCTION("IF(B1680="""","""",RIGHT(REGEXREPLACE(B1680&amp;"""",""[^0-9]"",""""),9))"),"718569719")</f>
        <v>718569719</v>
      </c>
      <c r="B1680" s="52">
        <v>7.18569719E8</v>
      </c>
      <c r="C1680" s="28" t="s">
        <v>1900</v>
      </c>
      <c r="D1680" s="26" t="s">
        <v>49</v>
      </c>
      <c r="E1680" s="31">
        <v>46228.0</v>
      </c>
      <c r="F1680" s="26" t="s">
        <v>46</v>
      </c>
      <c r="G1680" s="26">
        <v>11.0</v>
      </c>
      <c r="I1680" s="26" t="s">
        <v>42</v>
      </c>
      <c r="J1680" s="25" t="str">
        <f t="shared" si="31"/>
        <v>No</v>
      </c>
      <c r="K1680" s="25" t="str">
        <f t="shared" si="32"/>
        <v/>
      </c>
      <c r="L1680" s="25" t="str">
        <f t="shared" si="33"/>
        <v/>
      </c>
      <c r="M1680" s="25"/>
      <c r="O1680" s="25"/>
    </row>
    <row r="1681" ht="15.75" customHeight="1">
      <c r="A1681" s="25" t="str">
        <f>IFERROR(__xludf.DUMMYFUNCTION("IF(B1681="""","""",RIGHT(REGEXREPLACE(B1681&amp;"""",""[^0-9]"",""""),9))"),"759958356")</f>
        <v>759958356</v>
      </c>
      <c r="B1681" s="52">
        <v>7.59958356E8</v>
      </c>
      <c r="C1681" s="28" t="s">
        <v>1901</v>
      </c>
      <c r="D1681" s="26" t="s">
        <v>45</v>
      </c>
      <c r="E1681" s="31">
        <v>46228.0</v>
      </c>
      <c r="F1681" s="26" t="s">
        <v>46</v>
      </c>
      <c r="G1681" s="26">
        <v>11.0</v>
      </c>
      <c r="I1681" s="26" t="s">
        <v>42</v>
      </c>
      <c r="J1681" s="25" t="str">
        <f t="shared" si="31"/>
        <v>No</v>
      </c>
      <c r="K1681" s="25" t="str">
        <f t="shared" si="32"/>
        <v/>
      </c>
      <c r="L1681" s="25" t="str">
        <f t="shared" si="33"/>
        <v/>
      </c>
      <c r="M1681" s="25"/>
      <c r="O1681" s="25"/>
    </row>
    <row r="1682" ht="15.75" customHeight="1">
      <c r="A1682" s="25" t="str">
        <f>IFERROR(__xludf.DUMMYFUNCTION("IF(B1682="""","""",RIGHT(REGEXREPLACE(B1682&amp;"""",""[^0-9]"",""""),9))"),"741513015")</f>
        <v>741513015</v>
      </c>
      <c r="B1682" s="52">
        <v>7.41513015E8</v>
      </c>
      <c r="C1682" s="28" t="s">
        <v>1902</v>
      </c>
      <c r="D1682" s="26" t="s">
        <v>56</v>
      </c>
      <c r="E1682" s="31">
        <v>46228.0</v>
      </c>
      <c r="F1682" s="26" t="s">
        <v>41</v>
      </c>
      <c r="G1682" s="26">
        <v>11.0</v>
      </c>
      <c r="I1682" s="26" t="s">
        <v>42</v>
      </c>
      <c r="J1682" s="25" t="str">
        <f t="shared" si="31"/>
        <v>No</v>
      </c>
      <c r="K1682" s="25" t="str">
        <f t="shared" si="32"/>
        <v/>
      </c>
      <c r="L1682" s="25" t="str">
        <f t="shared" si="33"/>
        <v/>
      </c>
      <c r="M1682" s="25"/>
      <c r="O1682" s="25"/>
    </row>
    <row r="1683" ht="15.75" customHeight="1">
      <c r="A1683" s="25" t="str">
        <f>IFERROR(__xludf.DUMMYFUNCTION("IF(B1683="""","""",RIGHT(REGEXREPLACE(B1683&amp;"""",""[^0-9]"",""""),9))"),"779309533")</f>
        <v>779309533</v>
      </c>
      <c r="B1683" s="26">
        <v>7.79309533E8</v>
      </c>
      <c r="C1683" s="28" t="s">
        <v>1903</v>
      </c>
      <c r="D1683" s="26" t="s">
        <v>37</v>
      </c>
      <c r="E1683" s="31">
        <v>46228.0</v>
      </c>
      <c r="F1683" s="26" t="s">
        <v>205</v>
      </c>
      <c r="G1683" s="26">
        <v>11.0</v>
      </c>
      <c r="I1683" s="26" t="s">
        <v>42</v>
      </c>
      <c r="J1683" s="25" t="str">
        <f t="shared" si="31"/>
        <v>No</v>
      </c>
      <c r="K1683" s="25" t="str">
        <f t="shared" si="32"/>
        <v/>
      </c>
      <c r="L1683" s="25" t="str">
        <f t="shared" si="33"/>
        <v/>
      </c>
      <c r="M1683" s="25"/>
      <c r="O1683" s="25"/>
    </row>
    <row r="1684" ht="15.75" customHeight="1">
      <c r="A1684" s="25" t="str">
        <f>IFERROR(__xludf.DUMMYFUNCTION("IF(B1684="""","""",RIGHT(REGEXREPLACE(B1684&amp;"""",""[^0-9]"",""""),9))"),"754111302")</f>
        <v>754111302</v>
      </c>
      <c r="B1684" s="52">
        <v>7.54111302E8</v>
      </c>
      <c r="C1684" s="28" t="s">
        <v>1904</v>
      </c>
      <c r="D1684" s="26" t="s">
        <v>82</v>
      </c>
      <c r="E1684" s="31">
        <v>46228.0</v>
      </c>
      <c r="F1684" s="26" t="s">
        <v>41</v>
      </c>
      <c r="G1684" s="26">
        <v>11.0</v>
      </c>
      <c r="I1684" s="26" t="s">
        <v>42</v>
      </c>
      <c r="J1684" s="25" t="str">
        <f t="shared" si="31"/>
        <v>No</v>
      </c>
      <c r="K1684" s="25" t="str">
        <f t="shared" si="32"/>
        <v/>
      </c>
      <c r="L1684" s="25" t="str">
        <f t="shared" si="33"/>
        <v/>
      </c>
      <c r="M1684" s="25"/>
      <c r="O1684" s="25"/>
    </row>
    <row r="1685" ht="15.75" customHeight="1">
      <c r="A1685" s="25" t="str">
        <f>IFERROR(__xludf.DUMMYFUNCTION("IF(B1685="""","""",RIGHT(REGEXREPLACE(B1685&amp;"""",""[^0-9]"",""""),9))"),"769940642")</f>
        <v>769940642</v>
      </c>
      <c r="B1685" s="52">
        <v>7.69940642E8</v>
      </c>
      <c r="C1685" s="28" t="s">
        <v>1905</v>
      </c>
      <c r="D1685" s="26" t="s">
        <v>49</v>
      </c>
      <c r="E1685" s="31">
        <v>46228.0</v>
      </c>
      <c r="F1685" s="26" t="s">
        <v>41</v>
      </c>
      <c r="G1685" s="26">
        <v>11.0</v>
      </c>
      <c r="I1685" s="26" t="s">
        <v>42</v>
      </c>
      <c r="J1685" s="25" t="str">
        <f t="shared" si="31"/>
        <v>No</v>
      </c>
      <c r="K1685" s="25" t="str">
        <f t="shared" si="32"/>
        <v/>
      </c>
      <c r="L1685" s="25" t="str">
        <f t="shared" si="33"/>
        <v/>
      </c>
      <c r="M1685" s="25"/>
      <c r="O1685" s="25"/>
    </row>
    <row r="1686" ht="15.75" customHeight="1">
      <c r="A1686" s="25" t="str">
        <f>IFERROR(__xludf.DUMMYFUNCTION("IF(B1686="""","""",RIGHT(REGEXREPLACE(B1686&amp;"""",""[^0-9]"",""""),9))"),"767613380")</f>
        <v>767613380</v>
      </c>
      <c r="B1686" s="52">
        <v>7.6761338E8</v>
      </c>
      <c r="C1686" s="28" t="s">
        <v>1906</v>
      </c>
      <c r="D1686" s="26" t="s">
        <v>56</v>
      </c>
      <c r="E1686" s="31">
        <v>46228.0</v>
      </c>
      <c r="F1686" s="26" t="s">
        <v>164</v>
      </c>
      <c r="G1686" s="26">
        <v>11.0</v>
      </c>
      <c r="I1686" s="26" t="s">
        <v>42</v>
      </c>
      <c r="J1686" s="25" t="str">
        <f t="shared" si="31"/>
        <v>No</v>
      </c>
      <c r="K1686" s="25" t="str">
        <f t="shared" si="32"/>
        <v/>
      </c>
      <c r="L1686" s="25" t="str">
        <f t="shared" si="33"/>
        <v/>
      </c>
      <c r="M1686" s="25"/>
      <c r="O1686" s="25"/>
    </row>
    <row r="1687" ht="15.75" customHeight="1">
      <c r="A1687" s="25" t="str">
        <f>IFERROR(__xludf.DUMMYFUNCTION("IF(B1687="""","""",RIGHT(REGEXREPLACE(B1687&amp;"""",""[^0-9]"",""""),9))"),"775697363")</f>
        <v>775697363</v>
      </c>
      <c r="B1687" s="52">
        <v>7.75697363E8</v>
      </c>
      <c r="C1687" s="28" t="s">
        <v>1907</v>
      </c>
      <c r="D1687" s="26" t="s">
        <v>45</v>
      </c>
      <c r="E1687" s="31">
        <v>46228.0</v>
      </c>
      <c r="F1687" s="26" t="s">
        <v>46</v>
      </c>
      <c r="G1687" s="26">
        <v>11.0</v>
      </c>
      <c r="I1687" s="26" t="s">
        <v>42</v>
      </c>
      <c r="J1687" s="25" t="str">
        <f t="shared" si="31"/>
        <v>No</v>
      </c>
      <c r="K1687" s="25" t="str">
        <f t="shared" si="32"/>
        <v/>
      </c>
      <c r="L1687" s="25" t="str">
        <f t="shared" si="33"/>
        <v/>
      </c>
      <c r="M1687" s="25"/>
      <c r="O1687" s="25"/>
    </row>
    <row r="1688" ht="15.75" customHeight="1">
      <c r="A1688" s="25" t="str">
        <f>IFERROR(__xludf.DUMMYFUNCTION("IF(B1688="""","""",RIGHT(REGEXREPLACE(B1688&amp;"""",""[^0-9]"",""""),9))"),"763735513")</f>
        <v>763735513</v>
      </c>
      <c r="B1688" s="52">
        <v>7.63735513E8</v>
      </c>
      <c r="C1688" s="28" t="s">
        <v>1908</v>
      </c>
      <c r="D1688" s="26" t="s">
        <v>82</v>
      </c>
      <c r="E1688" s="31">
        <v>46228.0</v>
      </c>
      <c r="F1688" s="26" t="s">
        <v>46</v>
      </c>
      <c r="G1688" s="26">
        <v>11.0</v>
      </c>
      <c r="I1688" s="26" t="s">
        <v>42</v>
      </c>
      <c r="J1688" s="25" t="str">
        <f t="shared" si="31"/>
        <v>No</v>
      </c>
      <c r="K1688" s="25" t="str">
        <f t="shared" si="32"/>
        <v/>
      </c>
      <c r="L1688" s="25" t="str">
        <f t="shared" si="33"/>
        <v/>
      </c>
      <c r="M1688" s="25"/>
      <c r="O1688" s="25"/>
    </row>
    <row r="1689" ht="15.75" customHeight="1">
      <c r="A1689" s="25" t="str">
        <f>IFERROR(__xludf.DUMMYFUNCTION("IF(B1689="""","""",RIGHT(REGEXREPLACE(B1689&amp;"""",""[^0-9]"",""""),9))"),"767951545")</f>
        <v>767951545</v>
      </c>
      <c r="B1689" s="26">
        <v>7.67951545E8</v>
      </c>
      <c r="C1689" s="28" t="s">
        <v>1909</v>
      </c>
      <c r="D1689" s="26" t="s">
        <v>37</v>
      </c>
      <c r="E1689" s="31">
        <v>46228.0</v>
      </c>
      <c r="F1689" s="26" t="s">
        <v>46</v>
      </c>
      <c r="G1689" s="26">
        <v>11.0</v>
      </c>
      <c r="H1689" s="26" t="s">
        <v>611</v>
      </c>
      <c r="I1689" s="26" t="s">
        <v>42</v>
      </c>
      <c r="J1689" s="25" t="str">
        <f t="shared" si="31"/>
        <v>No</v>
      </c>
      <c r="K1689" s="25" t="str">
        <f t="shared" si="32"/>
        <v/>
      </c>
      <c r="L1689" s="25" t="str">
        <f t="shared" si="33"/>
        <v/>
      </c>
      <c r="M1689" s="25"/>
      <c r="O1689" s="25"/>
    </row>
    <row r="1690" ht="15.75" customHeight="1">
      <c r="A1690" s="25" t="str">
        <f>IFERROR(__xludf.DUMMYFUNCTION("IF(B1690="""","""",RIGHT(REGEXREPLACE(B1690&amp;"""",""[^0-9]"",""""),9))"),"714981756")</f>
        <v>714981756</v>
      </c>
      <c r="B1690" s="52">
        <v>7.14981756E8</v>
      </c>
      <c r="C1690" s="28" t="s">
        <v>1910</v>
      </c>
      <c r="D1690" s="26" t="s">
        <v>56</v>
      </c>
      <c r="E1690" s="31">
        <v>46228.0</v>
      </c>
      <c r="F1690" s="26" t="s">
        <v>41</v>
      </c>
      <c r="G1690" s="26">
        <v>11.0</v>
      </c>
      <c r="I1690" s="26" t="s">
        <v>42</v>
      </c>
      <c r="J1690" s="25" t="str">
        <f t="shared" si="31"/>
        <v>No</v>
      </c>
      <c r="K1690" s="25" t="str">
        <f t="shared" si="32"/>
        <v/>
      </c>
      <c r="L1690" s="25" t="str">
        <f t="shared" si="33"/>
        <v/>
      </c>
      <c r="M1690" s="25"/>
      <c r="O1690" s="25"/>
    </row>
    <row r="1691" ht="15.75" customHeight="1">
      <c r="A1691" s="25" t="str">
        <f>IFERROR(__xludf.DUMMYFUNCTION("IF(B1691="""","""",RIGHT(REGEXREPLACE(B1691&amp;"""",""[^0-9]"",""""),9))"),"741414636")</f>
        <v>741414636</v>
      </c>
      <c r="B1691" s="52">
        <v>7.41414636E8</v>
      </c>
      <c r="C1691" s="28" t="s">
        <v>1911</v>
      </c>
      <c r="D1691" s="26" t="s">
        <v>49</v>
      </c>
      <c r="E1691" s="31">
        <v>46228.0</v>
      </c>
      <c r="F1691" s="26" t="s">
        <v>46</v>
      </c>
      <c r="G1691" s="26">
        <v>11.0</v>
      </c>
      <c r="I1691" s="26" t="s">
        <v>42</v>
      </c>
      <c r="J1691" s="25" t="str">
        <f t="shared" si="31"/>
        <v>No</v>
      </c>
      <c r="K1691" s="25" t="str">
        <f t="shared" si="32"/>
        <v/>
      </c>
      <c r="L1691" s="25" t="str">
        <f t="shared" si="33"/>
        <v/>
      </c>
      <c r="M1691" s="25"/>
      <c r="O1691" s="25"/>
    </row>
    <row r="1692" ht="15.75" customHeight="1">
      <c r="A1692" s="25" t="str">
        <f>IFERROR(__xludf.DUMMYFUNCTION("IF(B1692="""","""",RIGHT(REGEXREPLACE(B1692&amp;"""",""[^0-9]"",""""),9))"),"765781021")</f>
        <v>765781021</v>
      </c>
      <c r="B1692" s="26">
        <v>7.65781021E8</v>
      </c>
      <c r="C1692" s="28" t="s">
        <v>1912</v>
      </c>
      <c r="D1692" s="26" t="s">
        <v>37</v>
      </c>
      <c r="E1692" s="31">
        <v>46228.0</v>
      </c>
      <c r="F1692" s="26" t="s">
        <v>46</v>
      </c>
      <c r="G1692" s="26">
        <v>11.0</v>
      </c>
      <c r="I1692" s="26" t="s">
        <v>42</v>
      </c>
      <c r="J1692" s="25" t="str">
        <f t="shared" si="31"/>
        <v>No</v>
      </c>
      <c r="K1692" s="25" t="str">
        <f t="shared" si="32"/>
        <v/>
      </c>
      <c r="L1692" s="25" t="str">
        <f t="shared" si="33"/>
        <v/>
      </c>
      <c r="M1692" s="25"/>
      <c r="O1692" s="25"/>
    </row>
    <row r="1693" ht="15.75" customHeight="1">
      <c r="A1693" s="25" t="str">
        <f>IFERROR(__xludf.DUMMYFUNCTION("IF(B1693="""","""",RIGHT(REGEXREPLACE(B1693&amp;"""",""[^0-9]"",""""),9))"),"767862059")</f>
        <v>767862059</v>
      </c>
      <c r="B1693" s="52">
        <v>7.67862059E8</v>
      </c>
      <c r="C1693" s="28" t="s">
        <v>1913</v>
      </c>
      <c r="D1693" s="26" t="s">
        <v>45</v>
      </c>
      <c r="E1693" s="31">
        <v>46228.0</v>
      </c>
      <c r="F1693" s="26" t="s">
        <v>46</v>
      </c>
      <c r="G1693" s="26">
        <v>11.0</v>
      </c>
      <c r="I1693" s="26" t="s">
        <v>42</v>
      </c>
      <c r="J1693" s="25" t="str">
        <f t="shared" si="31"/>
        <v>No</v>
      </c>
      <c r="K1693" s="25" t="str">
        <f t="shared" si="32"/>
        <v/>
      </c>
      <c r="L1693" s="25" t="str">
        <f t="shared" si="33"/>
        <v/>
      </c>
      <c r="M1693" s="25"/>
      <c r="O1693" s="25"/>
    </row>
    <row r="1694" ht="15.75" customHeight="1">
      <c r="A1694" s="25" t="str">
        <f>IFERROR(__xludf.DUMMYFUNCTION("IF(B1694="""","""",RIGHT(REGEXREPLACE(B1694&amp;"""",""[^0-9]"",""""),9))"),"726039813")</f>
        <v>726039813</v>
      </c>
      <c r="B1694" s="52">
        <v>7.26039813E8</v>
      </c>
      <c r="C1694" s="28" t="s">
        <v>1914</v>
      </c>
      <c r="D1694" s="26" t="s">
        <v>82</v>
      </c>
      <c r="E1694" s="31">
        <v>46228.0</v>
      </c>
      <c r="F1694" s="26" t="s">
        <v>46</v>
      </c>
      <c r="G1694" s="26">
        <v>11.0</v>
      </c>
      <c r="I1694" s="26" t="s">
        <v>42</v>
      </c>
      <c r="J1694" s="25" t="str">
        <f t="shared" si="31"/>
        <v>No</v>
      </c>
      <c r="K1694" s="25" t="str">
        <f t="shared" si="32"/>
        <v/>
      </c>
      <c r="L1694" s="25" t="str">
        <f t="shared" si="33"/>
        <v/>
      </c>
      <c r="M1694" s="25"/>
      <c r="O1694" s="25"/>
    </row>
    <row r="1695" ht="15.75" customHeight="1">
      <c r="A1695" s="25" t="str">
        <f>IFERROR(__xludf.DUMMYFUNCTION("IF(B1695="""","""",RIGHT(REGEXREPLACE(B1695&amp;"""",""[^0-9]"",""""),9))"),"715297871")</f>
        <v>715297871</v>
      </c>
      <c r="B1695" s="52">
        <v>7.15297871E8</v>
      </c>
      <c r="C1695" s="28" t="s">
        <v>1915</v>
      </c>
      <c r="D1695" s="26" t="s">
        <v>56</v>
      </c>
      <c r="E1695" s="31">
        <v>46228.0</v>
      </c>
      <c r="F1695" s="26" t="s">
        <v>164</v>
      </c>
      <c r="I1695" s="26" t="s">
        <v>42</v>
      </c>
      <c r="J1695" s="25" t="str">
        <f t="shared" si="31"/>
        <v>No</v>
      </c>
      <c r="K1695" s="25" t="str">
        <f t="shared" si="32"/>
        <v/>
      </c>
      <c r="L1695" s="25" t="str">
        <f t="shared" si="33"/>
        <v/>
      </c>
      <c r="M1695" s="25"/>
      <c r="O1695" s="25"/>
    </row>
    <row r="1696" ht="15.75" customHeight="1">
      <c r="A1696" s="25" t="str">
        <f>IFERROR(__xludf.DUMMYFUNCTION("IF(B1696="""","""",RIGHT(REGEXREPLACE(B1696&amp;"""",""[^0-9]"",""""),9))"),"716218834")</f>
        <v>716218834</v>
      </c>
      <c r="B1696" s="52">
        <v>7.16218834E8</v>
      </c>
      <c r="C1696" s="28" t="s">
        <v>1916</v>
      </c>
      <c r="D1696" s="26" t="s">
        <v>45</v>
      </c>
      <c r="E1696" s="31">
        <v>46228.0</v>
      </c>
      <c r="F1696" s="26" t="s">
        <v>84</v>
      </c>
      <c r="I1696" s="26" t="s">
        <v>42</v>
      </c>
      <c r="J1696" s="25" t="str">
        <f t="shared" si="31"/>
        <v>No</v>
      </c>
      <c r="K1696" s="25" t="str">
        <f t="shared" si="32"/>
        <v/>
      </c>
      <c r="L1696" s="25" t="str">
        <f t="shared" si="33"/>
        <v/>
      </c>
      <c r="M1696" s="25"/>
      <c r="O1696" s="25"/>
    </row>
    <row r="1697" ht="15.75" customHeight="1">
      <c r="A1697" s="25" t="str">
        <f>IFERROR(__xludf.DUMMYFUNCTION("IF(B1697="""","""",RIGHT(REGEXREPLACE(B1697&amp;"""",""[^0-9]"",""""),9))"),"772869876")</f>
        <v>772869876</v>
      </c>
      <c r="B1697" s="52">
        <v>7.72869876E8</v>
      </c>
      <c r="C1697" s="28" t="s">
        <v>1917</v>
      </c>
      <c r="D1697" s="26" t="s">
        <v>49</v>
      </c>
      <c r="E1697" s="31">
        <v>46228.0</v>
      </c>
      <c r="F1697" s="26" t="s">
        <v>205</v>
      </c>
      <c r="G1697" s="26">
        <v>11.0</v>
      </c>
      <c r="I1697" s="26" t="s">
        <v>42</v>
      </c>
      <c r="J1697" s="25" t="str">
        <f t="shared" si="31"/>
        <v>No</v>
      </c>
      <c r="K1697" s="25" t="str">
        <f t="shared" si="32"/>
        <v/>
      </c>
      <c r="L1697" s="25" t="str">
        <f t="shared" si="33"/>
        <v/>
      </c>
      <c r="M1697" s="25"/>
      <c r="O1697" s="25"/>
    </row>
    <row r="1698" ht="15.75" customHeight="1">
      <c r="A1698" s="25" t="str">
        <f>IFERROR(__xludf.DUMMYFUNCTION("IF(B1698="""","""",RIGHT(REGEXREPLACE(B1698&amp;"""",""[^0-9]"",""""),9))"),"760730190")</f>
        <v>760730190</v>
      </c>
      <c r="B1698" s="26">
        <v>7.6073019E8</v>
      </c>
      <c r="C1698" s="28" t="s">
        <v>1918</v>
      </c>
      <c r="D1698" s="26" t="s">
        <v>37</v>
      </c>
      <c r="E1698" s="31">
        <v>46228.0</v>
      </c>
      <c r="F1698" s="26" t="s">
        <v>205</v>
      </c>
      <c r="I1698" s="26" t="s">
        <v>42</v>
      </c>
      <c r="J1698" s="25" t="str">
        <f t="shared" si="31"/>
        <v>No</v>
      </c>
      <c r="K1698" s="25" t="str">
        <f t="shared" si="32"/>
        <v/>
      </c>
      <c r="L1698" s="25" t="str">
        <f t="shared" si="33"/>
        <v/>
      </c>
      <c r="M1698" s="25"/>
      <c r="O1698" s="25"/>
    </row>
    <row r="1699" ht="15.75" customHeight="1">
      <c r="A1699" s="25" t="str">
        <f>IFERROR(__xludf.DUMMYFUNCTION("IF(B1699="""","""",RIGHT(REGEXREPLACE(B1699&amp;"""",""[^0-9]"",""""),9))"),"711191776")</f>
        <v>711191776</v>
      </c>
      <c r="B1699" s="52">
        <v>7.11191776E8</v>
      </c>
      <c r="C1699" s="28" t="s">
        <v>1919</v>
      </c>
      <c r="D1699" s="26" t="s">
        <v>45</v>
      </c>
      <c r="E1699" s="31">
        <v>46228.0</v>
      </c>
      <c r="F1699" s="26" t="s">
        <v>46</v>
      </c>
      <c r="G1699" s="26">
        <v>11.0</v>
      </c>
      <c r="I1699" s="26" t="s">
        <v>42</v>
      </c>
      <c r="J1699" s="25" t="str">
        <f t="shared" si="31"/>
        <v>No</v>
      </c>
      <c r="K1699" s="25" t="str">
        <f t="shared" si="32"/>
        <v/>
      </c>
      <c r="L1699" s="25" t="str">
        <f t="shared" si="33"/>
        <v/>
      </c>
      <c r="M1699" s="25"/>
      <c r="O1699" s="25"/>
    </row>
    <row r="1700" ht="15.75" customHeight="1">
      <c r="A1700" s="25" t="str">
        <f>IFERROR(__xludf.DUMMYFUNCTION("IF(B1700="""","""",RIGHT(REGEXREPLACE(B1700&amp;"""",""[^0-9]"",""""),9))"),"702377470")</f>
        <v>702377470</v>
      </c>
      <c r="B1700" s="52">
        <v>7.0237747E8</v>
      </c>
      <c r="C1700" s="28" t="s">
        <v>1920</v>
      </c>
      <c r="D1700" s="26" t="s">
        <v>49</v>
      </c>
      <c r="E1700" s="31">
        <v>46228.0</v>
      </c>
      <c r="F1700" s="26" t="s">
        <v>46</v>
      </c>
      <c r="G1700" s="26">
        <v>11.0</v>
      </c>
      <c r="I1700" s="26" t="s">
        <v>42</v>
      </c>
      <c r="J1700" s="25" t="str">
        <f t="shared" si="31"/>
        <v>No</v>
      </c>
      <c r="K1700" s="25" t="str">
        <f t="shared" si="32"/>
        <v/>
      </c>
      <c r="L1700" s="25" t="str">
        <f t="shared" si="33"/>
        <v/>
      </c>
      <c r="M1700" s="25"/>
      <c r="O1700" s="25"/>
    </row>
    <row r="1701" ht="15.75" customHeight="1">
      <c r="A1701" s="25" t="str">
        <f>IFERROR(__xludf.DUMMYFUNCTION("IF(B1701="""","""",RIGHT(REGEXREPLACE(B1701&amp;"""",""[^0-9]"",""""),9))"),"779136356")</f>
        <v>779136356</v>
      </c>
      <c r="B1701" s="26">
        <v>7.79136356E8</v>
      </c>
      <c r="C1701" s="28" t="s">
        <v>1921</v>
      </c>
      <c r="D1701" s="26" t="s">
        <v>37</v>
      </c>
      <c r="E1701" s="31">
        <v>46228.0</v>
      </c>
      <c r="F1701" s="26" t="s">
        <v>46</v>
      </c>
      <c r="G1701" s="26">
        <v>10.0</v>
      </c>
      <c r="I1701" s="26" t="s">
        <v>42</v>
      </c>
      <c r="J1701" s="25" t="str">
        <f t="shared" si="31"/>
        <v>No</v>
      </c>
      <c r="K1701" s="25" t="str">
        <f t="shared" si="32"/>
        <v/>
      </c>
      <c r="L1701" s="25" t="str">
        <f t="shared" si="33"/>
        <v/>
      </c>
      <c r="M1701" s="25"/>
      <c r="O1701" s="25"/>
    </row>
    <row r="1702" ht="15.75" customHeight="1">
      <c r="A1702" s="25" t="str">
        <f>IFERROR(__xludf.DUMMYFUNCTION("IF(B1702="""","""",RIGHT(REGEXREPLACE(B1702&amp;"""",""[^0-9]"",""""),9))"),"777831488")</f>
        <v>777831488</v>
      </c>
      <c r="B1702" s="52">
        <v>7.77831488E8</v>
      </c>
      <c r="C1702" s="28" t="s">
        <v>1922</v>
      </c>
      <c r="D1702" s="26" t="s">
        <v>56</v>
      </c>
      <c r="E1702" s="31">
        <v>46228.0</v>
      </c>
      <c r="F1702" s="26" t="s">
        <v>41</v>
      </c>
      <c r="I1702" s="26" t="s">
        <v>42</v>
      </c>
      <c r="J1702" s="25" t="str">
        <f t="shared" si="31"/>
        <v>No</v>
      </c>
      <c r="K1702" s="25" t="str">
        <f t="shared" si="32"/>
        <v/>
      </c>
      <c r="L1702" s="25" t="str">
        <f t="shared" si="33"/>
        <v/>
      </c>
      <c r="M1702" s="25"/>
      <c r="O1702" s="25"/>
    </row>
    <row r="1703" ht="15.75" customHeight="1">
      <c r="A1703" s="25" t="str">
        <f>IFERROR(__xludf.DUMMYFUNCTION("IF(B1703="""","""",RIGHT(REGEXREPLACE(B1703&amp;"""",""[^0-9]"",""""),9))"),"775906629")</f>
        <v>775906629</v>
      </c>
      <c r="B1703" s="52">
        <v>7.75906629E8</v>
      </c>
      <c r="C1703" s="28" t="s">
        <v>1923</v>
      </c>
      <c r="D1703" s="26" t="s">
        <v>45</v>
      </c>
      <c r="E1703" s="31">
        <v>46228.0</v>
      </c>
      <c r="F1703" s="26" t="s">
        <v>46</v>
      </c>
      <c r="G1703" s="26">
        <v>11.0</v>
      </c>
      <c r="I1703" s="26" t="s">
        <v>42</v>
      </c>
      <c r="J1703" s="25" t="str">
        <f t="shared" si="31"/>
        <v>No</v>
      </c>
      <c r="K1703" s="25" t="str">
        <f t="shared" si="32"/>
        <v/>
      </c>
      <c r="L1703" s="25" t="str">
        <f t="shared" si="33"/>
        <v/>
      </c>
      <c r="M1703" s="25"/>
      <c r="O1703" s="25"/>
    </row>
    <row r="1704" ht="15.75" customHeight="1">
      <c r="A1704" s="25" t="str">
        <f>IFERROR(__xludf.DUMMYFUNCTION("IF(B1704="""","""",RIGHT(REGEXREPLACE(B1704&amp;"""",""[^0-9]"",""""),9))"),"705213029")</f>
        <v>705213029</v>
      </c>
      <c r="B1704" s="52">
        <v>7.05213029E8</v>
      </c>
      <c r="C1704" s="28" t="s">
        <v>1924</v>
      </c>
      <c r="D1704" s="26" t="s">
        <v>82</v>
      </c>
      <c r="E1704" s="31">
        <v>46228.0</v>
      </c>
      <c r="F1704" s="26" t="s">
        <v>659</v>
      </c>
      <c r="I1704" s="26" t="s">
        <v>42</v>
      </c>
      <c r="J1704" s="25" t="str">
        <f t="shared" si="31"/>
        <v>No</v>
      </c>
      <c r="K1704" s="25" t="str">
        <f t="shared" si="32"/>
        <v/>
      </c>
      <c r="L1704" s="25" t="str">
        <f t="shared" si="33"/>
        <v/>
      </c>
      <c r="M1704" s="25"/>
      <c r="O1704" s="25"/>
    </row>
    <row r="1705" ht="15.75" customHeight="1">
      <c r="A1705" s="25" t="str">
        <f>IFERROR(__xludf.DUMMYFUNCTION("IF(B1705="""","""",RIGHT(REGEXREPLACE(B1705&amp;"""",""[^0-9]"",""""),9))"),"713954939")</f>
        <v>713954939</v>
      </c>
      <c r="B1705" s="52">
        <v>7.13954939E8</v>
      </c>
      <c r="C1705" s="28" t="s">
        <v>1925</v>
      </c>
      <c r="D1705" s="26" t="s">
        <v>49</v>
      </c>
      <c r="E1705" s="31">
        <v>46228.0</v>
      </c>
      <c r="F1705" s="26" t="s">
        <v>46</v>
      </c>
      <c r="G1705" s="26">
        <v>10.0</v>
      </c>
      <c r="I1705" s="26" t="s">
        <v>42</v>
      </c>
      <c r="J1705" s="25" t="str">
        <f t="shared" si="31"/>
        <v>No</v>
      </c>
      <c r="K1705" s="25" t="str">
        <f t="shared" si="32"/>
        <v/>
      </c>
      <c r="L1705" s="25" t="str">
        <f t="shared" si="33"/>
        <v/>
      </c>
      <c r="M1705" s="25"/>
      <c r="O1705" s="25"/>
    </row>
    <row r="1706" ht="15.75" customHeight="1">
      <c r="A1706" s="25" t="str">
        <f>IFERROR(__xludf.DUMMYFUNCTION("IF(B1706="""","""",RIGHT(REGEXREPLACE(B1706&amp;"""",""[^0-9]"",""""),9))"),"767719978")</f>
        <v>767719978</v>
      </c>
      <c r="B1706" s="52">
        <v>7.67719978E8</v>
      </c>
      <c r="C1706" s="28" t="s">
        <v>1048</v>
      </c>
      <c r="D1706" s="26" t="s">
        <v>56</v>
      </c>
      <c r="E1706" s="31">
        <v>46228.0</v>
      </c>
      <c r="F1706" s="26" t="s">
        <v>631</v>
      </c>
      <c r="G1706" s="26">
        <v>11.0</v>
      </c>
      <c r="I1706" s="26" t="s">
        <v>42</v>
      </c>
      <c r="J1706" s="25" t="str">
        <f t="shared" si="31"/>
        <v>No</v>
      </c>
      <c r="K1706" s="25" t="str">
        <f t="shared" si="32"/>
        <v/>
      </c>
      <c r="L1706" s="25" t="str">
        <f t="shared" si="33"/>
        <v/>
      </c>
      <c r="M1706" s="25"/>
      <c r="O1706" s="25"/>
    </row>
    <row r="1707" ht="15.75" customHeight="1">
      <c r="A1707" s="25" t="str">
        <f>IFERROR(__xludf.DUMMYFUNCTION("IF(B1707="""","""",RIGHT(REGEXREPLACE(B1707&amp;"""",""[^0-9]"",""""),9))"),"773862969")</f>
        <v>773862969</v>
      </c>
      <c r="B1707" s="52">
        <v>7.73862969E8</v>
      </c>
      <c r="C1707" s="28" t="s">
        <v>1926</v>
      </c>
      <c r="D1707" s="26" t="s">
        <v>82</v>
      </c>
      <c r="E1707" s="31">
        <v>46228.0</v>
      </c>
      <c r="F1707" s="26" t="s">
        <v>205</v>
      </c>
      <c r="I1707" s="26" t="s">
        <v>42</v>
      </c>
      <c r="J1707" s="25" t="str">
        <f t="shared" si="31"/>
        <v>No</v>
      </c>
      <c r="K1707" s="25" t="str">
        <f t="shared" si="32"/>
        <v/>
      </c>
      <c r="L1707" s="25" t="str">
        <f t="shared" si="33"/>
        <v/>
      </c>
      <c r="M1707" s="25"/>
      <c r="O1707" s="25"/>
    </row>
    <row r="1708" ht="15.75" customHeight="1">
      <c r="A1708" s="25" t="str">
        <f>IFERROR(__xludf.DUMMYFUNCTION("IF(B1708="""","""",RIGHT(REGEXREPLACE(B1708&amp;"""",""[^0-9]"",""""),9))"),"775214627")</f>
        <v>775214627</v>
      </c>
      <c r="B1708" s="52">
        <v>7.75214627E8</v>
      </c>
      <c r="C1708" s="28" t="s">
        <v>1927</v>
      </c>
      <c r="D1708" s="26" t="s">
        <v>49</v>
      </c>
      <c r="E1708" s="31">
        <v>46228.0</v>
      </c>
      <c r="F1708" s="26" t="s">
        <v>41</v>
      </c>
      <c r="G1708" s="26">
        <v>10.0</v>
      </c>
      <c r="I1708" s="26" t="s">
        <v>42</v>
      </c>
      <c r="J1708" s="25" t="str">
        <f t="shared" si="31"/>
        <v>No</v>
      </c>
      <c r="K1708" s="25" t="str">
        <f t="shared" si="32"/>
        <v/>
      </c>
      <c r="L1708" s="25" t="str">
        <f t="shared" si="33"/>
        <v/>
      </c>
      <c r="M1708" s="25"/>
      <c r="O1708" s="25"/>
    </row>
    <row r="1709" ht="15.75" customHeight="1">
      <c r="A1709" s="25" t="str">
        <f>IFERROR(__xludf.DUMMYFUNCTION("IF(B1709="""","""",RIGHT(REGEXREPLACE(B1709&amp;"""",""[^0-9]"",""""),9))"),"772697922")</f>
        <v>772697922</v>
      </c>
      <c r="B1709" s="52">
        <v>7.72697922E8</v>
      </c>
      <c r="C1709" s="28" t="s">
        <v>1928</v>
      </c>
      <c r="D1709" s="26" t="s">
        <v>49</v>
      </c>
      <c r="E1709" s="31">
        <v>46228.0</v>
      </c>
      <c r="F1709" s="26" t="s">
        <v>205</v>
      </c>
      <c r="G1709" s="26">
        <v>11.0</v>
      </c>
      <c r="I1709" s="26" t="s">
        <v>42</v>
      </c>
      <c r="J1709" s="25" t="str">
        <f t="shared" si="31"/>
        <v>No</v>
      </c>
      <c r="K1709" s="25" t="str">
        <f t="shared" si="32"/>
        <v/>
      </c>
      <c r="L1709" s="25" t="str">
        <f t="shared" si="33"/>
        <v/>
      </c>
      <c r="M1709" s="25"/>
      <c r="O1709" s="25"/>
    </row>
    <row r="1710" ht="15.75" customHeight="1">
      <c r="A1710" s="25" t="str">
        <f>IFERROR(__xludf.DUMMYFUNCTION("IF(B1710="""","""",RIGHT(REGEXREPLACE(B1710&amp;"""",""[^0-9]"",""""),9))"),"742123792")</f>
        <v>742123792</v>
      </c>
      <c r="B1710" s="52">
        <v>7.42123792E8</v>
      </c>
      <c r="C1710" s="28" t="s">
        <v>1929</v>
      </c>
      <c r="D1710" s="26" t="s">
        <v>45</v>
      </c>
      <c r="E1710" s="31">
        <v>46228.0</v>
      </c>
      <c r="F1710" s="26" t="s">
        <v>84</v>
      </c>
      <c r="I1710" s="26" t="s">
        <v>42</v>
      </c>
      <c r="J1710" s="25" t="str">
        <f t="shared" si="31"/>
        <v>No</v>
      </c>
      <c r="K1710" s="25" t="str">
        <f t="shared" si="32"/>
        <v/>
      </c>
      <c r="L1710" s="25" t="str">
        <f t="shared" si="33"/>
        <v/>
      </c>
      <c r="M1710" s="25"/>
      <c r="O1710" s="25"/>
    </row>
    <row r="1711" ht="15.75" customHeight="1">
      <c r="A1711" s="25" t="str">
        <f>IFERROR(__xludf.DUMMYFUNCTION("IF(B1711="""","""",RIGHT(REGEXREPLACE(B1711&amp;"""",""[^0-9]"",""""),9))"),"772697922")</f>
        <v>772697922</v>
      </c>
      <c r="B1711" s="52">
        <v>7.72697922E8</v>
      </c>
      <c r="C1711" s="28" t="s">
        <v>1928</v>
      </c>
      <c r="D1711" s="26" t="s">
        <v>82</v>
      </c>
      <c r="E1711" s="31">
        <v>46228.0</v>
      </c>
      <c r="F1711" s="26" t="s">
        <v>205</v>
      </c>
      <c r="G1711" s="26">
        <v>11.0</v>
      </c>
      <c r="I1711" s="26" t="s">
        <v>42</v>
      </c>
      <c r="J1711" s="25" t="str">
        <f t="shared" si="31"/>
        <v>Yes - see Previous F-Code</v>
      </c>
      <c r="K1711" s="25" t="str">
        <f t="shared" si="32"/>
        <v>DUPLICATE - CHECK</v>
      </c>
      <c r="L1711" s="25" t="str">
        <f t="shared" si="33"/>
        <v>F71634</v>
      </c>
      <c r="M1711" s="25"/>
      <c r="O1711" s="25"/>
    </row>
    <row r="1712" ht="15.75" customHeight="1">
      <c r="A1712" s="25" t="str">
        <f>IFERROR(__xludf.DUMMYFUNCTION("IF(B1712="""","""",RIGHT(REGEXREPLACE(B1712&amp;"""",""[^0-9]"",""""),9))"),"778074233")</f>
        <v>778074233</v>
      </c>
      <c r="B1712" s="26">
        <v>7.78074233E8</v>
      </c>
      <c r="C1712" s="28" t="s">
        <v>1930</v>
      </c>
      <c r="D1712" s="26" t="s">
        <v>37</v>
      </c>
      <c r="E1712" s="31">
        <v>46228.0</v>
      </c>
      <c r="F1712" s="26" t="s">
        <v>46</v>
      </c>
      <c r="G1712" s="26">
        <v>11.0</v>
      </c>
      <c r="I1712" s="26" t="s">
        <v>42</v>
      </c>
      <c r="J1712" s="25" t="str">
        <f t="shared" si="31"/>
        <v>No</v>
      </c>
      <c r="K1712" s="25" t="str">
        <f t="shared" si="32"/>
        <v/>
      </c>
      <c r="L1712" s="25" t="str">
        <f t="shared" si="33"/>
        <v/>
      </c>
      <c r="M1712" s="25"/>
      <c r="O1712" s="25"/>
    </row>
    <row r="1713" ht="15.75" customHeight="1">
      <c r="A1713" s="25" t="str">
        <f>IFERROR(__xludf.DUMMYFUNCTION("IF(B1713="""","""",RIGHT(REGEXREPLACE(B1713&amp;"""",""[^0-9]"",""""),9))"),"770038652")</f>
        <v>770038652</v>
      </c>
      <c r="B1713" s="52">
        <v>7.70038652E8</v>
      </c>
      <c r="C1713" s="28" t="s">
        <v>1931</v>
      </c>
      <c r="D1713" s="26" t="s">
        <v>49</v>
      </c>
      <c r="E1713" s="31">
        <v>46228.0</v>
      </c>
      <c r="F1713" s="26" t="s">
        <v>41</v>
      </c>
      <c r="G1713" s="26">
        <v>11.0</v>
      </c>
      <c r="I1713" s="26" t="s">
        <v>42</v>
      </c>
      <c r="J1713" s="25" t="str">
        <f t="shared" si="31"/>
        <v>No</v>
      </c>
      <c r="K1713" s="25" t="str">
        <f t="shared" si="32"/>
        <v/>
      </c>
      <c r="L1713" s="25" t="str">
        <f t="shared" si="33"/>
        <v/>
      </c>
      <c r="M1713" s="25"/>
      <c r="O1713" s="25"/>
    </row>
    <row r="1714" ht="15.75" customHeight="1">
      <c r="A1714" s="25" t="str">
        <f>IFERROR(__xludf.DUMMYFUNCTION("IF(B1714="""","""",RIGHT(REGEXREPLACE(B1714&amp;"""",""[^0-9]"",""""),9))"),"715485919")</f>
        <v>715485919</v>
      </c>
      <c r="B1714" s="26">
        <v>7.15485919E8</v>
      </c>
      <c r="C1714" s="28" t="s">
        <v>1932</v>
      </c>
      <c r="D1714" s="26" t="s">
        <v>37</v>
      </c>
      <c r="E1714" s="31">
        <v>46228.0</v>
      </c>
      <c r="F1714" s="26" t="s">
        <v>205</v>
      </c>
      <c r="G1714" s="26">
        <v>10.0</v>
      </c>
      <c r="I1714" s="26" t="s">
        <v>42</v>
      </c>
      <c r="J1714" s="25" t="str">
        <f t="shared" si="31"/>
        <v>No</v>
      </c>
      <c r="K1714" s="25" t="str">
        <f t="shared" si="32"/>
        <v/>
      </c>
      <c r="L1714" s="25" t="str">
        <f t="shared" si="33"/>
        <v/>
      </c>
      <c r="M1714" s="25"/>
      <c r="O1714" s="25"/>
    </row>
    <row r="1715" ht="15.75" customHeight="1">
      <c r="A1715" s="25" t="str">
        <f>IFERROR(__xludf.DUMMYFUNCTION("IF(B1715="""","""",RIGHT(REGEXREPLACE(B1715&amp;"""",""[^0-9]"",""""),9))"),"702786621")</f>
        <v>702786621</v>
      </c>
      <c r="B1715" s="52">
        <v>7.02786621E8</v>
      </c>
      <c r="C1715" s="28" t="s">
        <v>1933</v>
      </c>
      <c r="D1715" s="26" t="s">
        <v>82</v>
      </c>
      <c r="E1715" s="31">
        <v>46228.0</v>
      </c>
      <c r="F1715" s="26" t="s">
        <v>46</v>
      </c>
      <c r="G1715" s="26">
        <v>11.0</v>
      </c>
      <c r="I1715" s="26" t="s">
        <v>42</v>
      </c>
      <c r="J1715" s="25" t="str">
        <f t="shared" si="31"/>
        <v>No</v>
      </c>
      <c r="K1715" s="25" t="str">
        <f t="shared" si="32"/>
        <v/>
      </c>
      <c r="L1715" s="25" t="str">
        <f t="shared" si="33"/>
        <v/>
      </c>
      <c r="M1715" s="25"/>
      <c r="O1715" s="25"/>
    </row>
    <row r="1716" ht="15.75" customHeight="1">
      <c r="A1716" s="25" t="str">
        <f>IFERROR(__xludf.DUMMYFUNCTION("IF(B1716="""","""",RIGHT(REGEXREPLACE(B1716&amp;"""",""[^0-9]"",""""),9))"),"761962899")</f>
        <v>761962899</v>
      </c>
      <c r="B1716" s="52">
        <v>7.61962899E8</v>
      </c>
      <c r="C1716" s="28" t="s">
        <v>1934</v>
      </c>
      <c r="D1716" s="26" t="s">
        <v>45</v>
      </c>
      <c r="E1716" s="31">
        <v>46228.0</v>
      </c>
      <c r="F1716" s="26" t="s">
        <v>41</v>
      </c>
      <c r="G1716" s="26">
        <v>11.0</v>
      </c>
      <c r="I1716" s="26" t="s">
        <v>42</v>
      </c>
      <c r="J1716" s="25" t="str">
        <f t="shared" si="31"/>
        <v>No</v>
      </c>
      <c r="K1716" s="25" t="str">
        <f t="shared" si="32"/>
        <v/>
      </c>
      <c r="L1716" s="25" t="str">
        <f t="shared" si="33"/>
        <v/>
      </c>
      <c r="M1716" s="25"/>
      <c r="O1716" s="25"/>
    </row>
    <row r="1717" ht="15.75" customHeight="1">
      <c r="A1717" s="25" t="str">
        <f>IFERROR(__xludf.DUMMYFUNCTION("IF(B1717="""","""",RIGHT(REGEXREPLACE(B1717&amp;"""",""[^0-9]"",""""),9))"),"740890957")</f>
        <v>740890957</v>
      </c>
      <c r="B1717" s="52">
        <v>7.40890957E8</v>
      </c>
      <c r="C1717" s="28" t="s">
        <v>1935</v>
      </c>
      <c r="D1717" s="26" t="s">
        <v>49</v>
      </c>
      <c r="E1717" s="31">
        <v>46228.0</v>
      </c>
      <c r="F1717" s="26" t="s">
        <v>46</v>
      </c>
      <c r="G1717" s="26">
        <v>11.0</v>
      </c>
      <c r="I1717" s="26" t="s">
        <v>42</v>
      </c>
      <c r="J1717" s="25" t="str">
        <f t="shared" si="31"/>
        <v>No</v>
      </c>
      <c r="K1717" s="25" t="str">
        <f t="shared" si="32"/>
        <v/>
      </c>
      <c r="L1717" s="25" t="str">
        <f t="shared" si="33"/>
        <v/>
      </c>
      <c r="M1717" s="25"/>
      <c r="O1717" s="25"/>
    </row>
    <row r="1718" ht="15.75" customHeight="1">
      <c r="A1718" s="25" t="str">
        <f>IFERROR(__xludf.DUMMYFUNCTION("IF(B1718="""","""",RIGHT(REGEXREPLACE(B1718&amp;"""",""[^0-9]"",""""),9))"),"775727415")</f>
        <v>775727415</v>
      </c>
      <c r="B1718" s="26">
        <v>7.75727415E8</v>
      </c>
      <c r="C1718" s="28" t="s">
        <v>1936</v>
      </c>
      <c r="D1718" s="26" t="s">
        <v>37</v>
      </c>
      <c r="E1718" s="31">
        <v>46228.0</v>
      </c>
      <c r="F1718" s="26" t="s">
        <v>164</v>
      </c>
      <c r="I1718" s="26" t="s">
        <v>42</v>
      </c>
      <c r="J1718" s="25" t="str">
        <f t="shared" si="31"/>
        <v>No</v>
      </c>
      <c r="K1718" s="25" t="str">
        <f t="shared" si="32"/>
        <v/>
      </c>
      <c r="L1718" s="25" t="str">
        <f t="shared" si="33"/>
        <v/>
      </c>
      <c r="M1718" s="25"/>
      <c r="O1718" s="25"/>
    </row>
    <row r="1719" ht="15.75" customHeight="1">
      <c r="A1719" s="25" t="str">
        <f>IFERROR(__xludf.DUMMYFUNCTION("IF(B1719="""","""",RIGHT(REGEXREPLACE(B1719&amp;"""",""[^0-9]"",""""),9))"),"767672843")</f>
        <v>767672843</v>
      </c>
      <c r="B1719" s="26">
        <v>7.67672843E8</v>
      </c>
      <c r="C1719" s="28" t="s">
        <v>1937</v>
      </c>
      <c r="D1719" s="26" t="s">
        <v>37</v>
      </c>
      <c r="E1719" s="31">
        <v>46228.0</v>
      </c>
      <c r="F1719" s="26" t="s">
        <v>46</v>
      </c>
      <c r="G1719" s="26">
        <v>11.0</v>
      </c>
      <c r="I1719" s="26" t="s">
        <v>42</v>
      </c>
      <c r="J1719" s="25" t="str">
        <f t="shared" si="31"/>
        <v>No</v>
      </c>
      <c r="K1719" s="25" t="str">
        <f t="shared" si="32"/>
        <v/>
      </c>
      <c r="L1719" s="25" t="str">
        <f t="shared" si="33"/>
        <v/>
      </c>
      <c r="M1719" s="25"/>
      <c r="O1719" s="25"/>
    </row>
    <row r="1720" ht="15.75" customHeight="1">
      <c r="A1720" s="25" t="str">
        <f>IFERROR(__xludf.DUMMYFUNCTION("IF(B1720="""","""",RIGHT(REGEXREPLACE(B1720&amp;"""",""[^0-9]"",""""),9))"),"771556007")</f>
        <v>771556007</v>
      </c>
      <c r="B1720" s="26">
        <v>7.71556007E8</v>
      </c>
      <c r="C1720" s="28" t="s">
        <v>1938</v>
      </c>
      <c r="D1720" s="26" t="s">
        <v>56</v>
      </c>
      <c r="E1720" s="31">
        <v>46228.0</v>
      </c>
      <c r="F1720" s="26" t="s">
        <v>46</v>
      </c>
      <c r="G1720" s="26">
        <v>11.0</v>
      </c>
      <c r="I1720" s="26" t="s">
        <v>42</v>
      </c>
      <c r="J1720" s="25" t="str">
        <f t="shared" si="31"/>
        <v>No</v>
      </c>
      <c r="K1720" s="25" t="str">
        <f t="shared" si="32"/>
        <v/>
      </c>
      <c r="L1720" s="25" t="str">
        <f t="shared" si="33"/>
        <v/>
      </c>
      <c r="M1720" s="25"/>
      <c r="O1720" s="25"/>
    </row>
    <row r="1721" ht="15.75" customHeight="1">
      <c r="A1721" s="25" t="str">
        <f>IFERROR(__xludf.DUMMYFUNCTION("IF(B1721="""","""",RIGHT(REGEXREPLACE(B1721&amp;"""",""[^0-9]"",""""),9))"),"750625630")</f>
        <v>750625630</v>
      </c>
      <c r="B1721" s="52">
        <v>7.5062563E8</v>
      </c>
      <c r="C1721" s="28" t="s">
        <v>1939</v>
      </c>
      <c r="D1721" s="26" t="s">
        <v>82</v>
      </c>
      <c r="E1721" s="31">
        <v>46228.0</v>
      </c>
      <c r="F1721" s="26" t="s">
        <v>84</v>
      </c>
      <c r="I1721" s="26" t="s">
        <v>42</v>
      </c>
      <c r="J1721" s="25" t="str">
        <f t="shared" si="31"/>
        <v>No</v>
      </c>
      <c r="K1721" s="25" t="str">
        <f t="shared" si="32"/>
        <v/>
      </c>
      <c r="L1721" s="25" t="str">
        <f t="shared" si="33"/>
        <v/>
      </c>
      <c r="M1721" s="25"/>
      <c r="O1721" s="25"/>
    </row>
    <row r="1722" ht="15.75" customHeight="1">
      <c r="A1722" s="25" t="str">
        <f>IFERROR(__xludf.DUMMYFUNCTION("IF(B1722="""","""",RIGHT(REGEXREPLACE(B1722&amp;"""",""[^0-9]"",""""),9))"),"784404488")</f>
        <v>784404488</v>
      </c>
      <c r="B1722" s="26">
        <v>7.84404488E8</v>
      </c>
      <c r="C1722" s="28" t="s">
        <v>1940</v>
      </c>
      <c r="D1722" s="26" t="s">
        <v>37</v>
      </c>
      <c r="E1722" s="31">
        <v>46228.0</v>
      </c>
      <c r="F1722" s="26" t="s">
        <v>84</v>
      </c>
      <c r="I1722" s="26" t="s">
        <v>42</v>
      </c>
      <c r="J1722" s="25" t="str">
        <f t="shared" si="31"/>
        <v>No</v>
      </c>
      <c r="K1722" s="25" t="str">
        <f t="shared" si="32"/>
        <v/>
      </c>
      <c r="L1722" s="25" t="str">
        <f t="shared" si="33"/>
        <v/>
      </c>
      <c r="M1722" s="25"/>
      <c r="O1722" s="25"/>
    </row>
    <row r="1723" ht="15.75" customHeight="1">
      <c r="A1723" s="25" t="str">
        <f>IFERROR(__xludf.DUMMYFUNCTION("IF(B1723="""","""",RIGHT(REGEXREPLACE(B1723&amp;"""",""[^0-9]"",""""),9))"),"774379620")</f>
        <v>774379620</v>
      </c>
      <c r="B1723" s="52">
        <v>7.7437962E8</v>
      </c>
      <c r="C1723" s="28" t="s">
        <v>1941</v>
      </c>
      <c r="D1723" s="26" t="s">
        <v>49</v>
      </c>
      <c r="E1723" s="31">
        <v>46228.0</v>
      </c>
      <c r="F1723" s="26" t="s">
        <v>46</v>
      </c>
      <c r="G1723" s="26">
        <v>11.0</v>
      </c>
      <c r="I1723" s="26" t="s">
        <v>42</v>
      </c>
      <c r="J1723" s="25" t="str">
        <f t="shared" si="31"/>
        <v>No</v>
      </c>
      <c r="K1723" s="25" t="str">
        <f t="shared" si="32"/>
        <v/>
      </c>
      <c r="L1723" s="25" t="str">
        <f t="shared" si="33"/>
        <v/>
      </c>
      <c r="M1723" s="25"/>
      <c r="O1723" s="25"/>
    </row>
    <row r="1724" ht="15.75" customHeight="1">
      <c r="A1724" s="25" t="str">
        <f>IFERROR(__xludf.DUMMYFUNCTION("IF(B1724="""","""",RIGHT(REGEXREPLACE(B1724&amp;"""",""[^0-9]"",""""),9))"),"767142050")</f>
        <v>767142050</v>
      </c>
      <c r="B1724" s="52">
        <v>7.6714205E8</v>
      </c>
      <c r="C1724" s="28" t="s">
        <v>1942</v>
      </c>
      <c r="D1724" s="26" t="s">
        <v>82</v>
      </c>
      <c r="E1724" s="31">
        <v>46228.0</v>
      </c>
      <c r="F1724" s="26" t="s">
        <v>46</v>
      </c>
      <c r="G1724" s="26">
        <v>11.0</v>
      </c>
      <c r="I1724" s="26" t="s">
        <v>42</v>
      </c>
      <c r="J1724" s="25" t="str">
        <f t="shared" si="31"/>
        <v>No</v>
      </c>
      <c r="K1724" s="25" t="str">
        <f t="shared" si="32"/>
        <v/>
      </c>
      <c r="L1724" s="25" t="str">
        <f t="shared" si="33"/>
        <v/>
      </c>
      <c r="M1724" s="25"/>
      <c r="O1724" s="25"/>
    </row>
    <row r="1725" ht="15.75" customHeight="1">
      <c r="A1725" s="25" t="str">
        <f>IFERROR(__xludf.DUMMYFUNCTION("IF(B1725="""","""",RIGHT(REGEXREPLACE(B1725&amp;"""",""[^0-9]"",""""),9))"),"775971208")</f>
        <v>775971208</v>
      </c>
      <c r="B1725" s="26">
        <v>7.75971208E8</v>
      </c>
      <c r="C1725" s="28" t="s">
        <v>1014</v>
      </c>
      <c r="D1725" s="26" t="s">
        <v>37</v>
      </c>
      <c r="E1725" s="31">
        <v>46228.0</v>
      </c>
      <c r="F1725" s="26" t="s">
        <v>41</v>
      </c>
      <c r="G1725" s="26">
        <v>11.0</v>
      </c>
      <c r="I1725" s="26" t="s">
        <v>42</v>
      </c>
      <c r="J1725" s="25" t="str">
        <f t="shared" si="31"/>
        <v>No</v>
      </c>
      <c r="K1725" s="25" t="str">
        <f t="shared" si="32"/>
        <v/>
      </c>
      <c r="L1725" s="25" t="str">
        <f t="shared" si="33"/>
        <v/>
      </c>
      <c r="M1725" s="25"/>
      <c r="O1725" s="25"/>
    </row>
    <row r="1726" ht="15.75" customHeight="1">
      <c r="A1726" s="25" t="str">
        <f>IFERROR(__xludf.DUMMYFUNCTION("IF(B1726="""","""",RIGHT(REGEXREPLACE(B1726&amp;"""",""[^0-9]"",""""),9))"),"776239958")</f>
        <v>776239958</v>
      </c>
      <c r="B1726" s="52">
        <v>7.76239958E8</v>
      </c>
      <c r="C1726" s="28" t="s">
        <v>1943</v>
      </c>
      <c r="D1726" s="26" t="s">
        <v>49</v>
      </c>
      <c r="E1726" s="31">
        <v>46228.0</v>
      </c>
      <c r="F1726" s="26" t="s">
        <v>46</v>
      </c>
      <c r="G1726" s="26">
        <v>11.0</v>
      </c>
      <c r="I1726" s="26" t="s">
        <v>42</v>
      </c>
      <c r="J1726" s="25" t="str">
        <f t="shared" si="31"/>
        <v>No</v>
      </c>
      <c r="K1726" s="25" t="str">
        <f t="shared" si="32"/>
        <v/>
      </c>
      <c r="L1726" s="25" t="str">
        <f t="shared" si="33"/>
        <v/>
      </c>
      <c r="M1726" s="25"/>
      <c r="O1726" s="25"/>
    </row>
    <row r="1727" ht="15.75" customHeight="1">
      <c r="A1727" s="25" t="str">
        <f>IFERROR(__xludf.DUMMYFUNCTION("IF(B1727="""","""",RIGHT(REGEXREPLACE(B1727&amp;"""",""[^0-9]"",""""),9))"),"775534316")</f>
        <v>775534316</v>
      </c>
      <c r="B1727" s="52">
        <v>7.75534316E8</v>
      </c>
      <c r="C1727" s="28" t="s">
        <v>1944</v>
      </c>
      <c r="D1727" s="26" t="s">
        <v>45</v>
      </c>
      <c r="E1727" s="31">
        <v>46228.0</v>
      </c>
      <c r="F1727" s="26" t="s">
        <v>46</v>
      </c>
      <c r="G1727" s="26">
        <v>10.0</v>
      </c>
      <c r="I1727" s="26" t="s">
        <v>42</v>
      </c>
      <c r="J1727" s="25" t="str">
        <f t="shared" si="31"/>
        <v>No</v>
      </c>
      <c r="K1727" s="25" t="str">
        <f t="shared" si="32"/>
        <v/>
      </c>
      <c r="L1727" s="25" t="str">
        <f t="shared" si="33"/>
        <v/>
      </c>
      <c r="M1727" s="25"/>
      <c r="O1727" s="25"/>
    </row>
    <row r="1728" ht="15.75" customHeight="1">
      <c r="A1728" s="25" t="str">
        <f>IFERROR(__xludf.DUMMYFUNCTION("IF(B1728="""","""",RIGHT(REGEXREPLACE(B1728&amp;"""",""[^0-9]"",""""),9))"),"740320539")</f>
        <v>740320539</v>
      </c>
      <c r="B1728" s="52">
        <v>7.40320539E8</v>
      </c>
      <c r="C1728" s="28" t="s">
        <v>1945</v>
      </c>
      <c r="D1728" s="26" t="s">
        <v>56</v>
      </c>
      <c r="E1728" s="31">
        <v>46228.0</v>
      </c>
      <c r="F1728" s="26" t="s">
        <v>41</v>
      </c>
      <c r="I1728" s="26" t="s">
        <v>42</v>
      </c>
      <c r="J1728" s="25" t="str">
        <f t="shared" si="31"/>
        <v>No</v>
      </c>
      <c r="K1728" s="25" t="str">
        <f t="shared" si="32"/>
        <v/>
      </c>
      <c r="L1728" s="25" t="str">
        <f t="shared" si="33"/>
        <v/>
      </c>
      <c r="M1728" s="25"/>
      <c r="O1728" s="25"/>
    </row>
    <row r="1729" ht="15.75" customHeight="1">
      <c r="A1729" s="25" t="str">
        <f>IFERROR(__xludf.DUMMYFUNCTION("IF(B1729="""","""",RIGHT(REGEXREPLACE(B1729&amp;"""",""[^0-9]"",""""),9))"),"711879931")</f>
        <v>711879931</v>
      </c>
      <c r="B1729" s="52">
        <v>7.11879931E8</v>
      </c>
      <c r="C1729" s="28" t="s">
        <v>1946</v>
      </c>
      <c r="D1729" s="26" t="s">
        <v>82</v>
      </c>
      <c r="E1729" s="31">
        <v>46228.0</v>
      </c>
      <c r="F1729" s="26" t="s">
        <v>46</v>
      </c>
      <c r="G1729" s="26">
        <v>10.0</v>
      </c>
      <c r="I1729" s="26" t="s">
        <v>42</v>
      </c>
      <c r="J1729" s="25" t="str">
        <f t="shared" si="31"/>
        <v>No</v>
      </c>
      <c r="K1729" s="25" t="str">
        <f t="shared" si="32"/>
        <v/>
      </c>
      <c r="L1729" s="25" t="str">
        <f t="shared" si="33"/>
        <v/>
      </c>
      <c r="M1729" s="25"/>
      <c r="O1729" s="25"/>
    </row>
    <row r="1730" ht="15.75" customHeight="1">
      <c r="A1730" s="25" t="str">
        <f>IFERROR(__xludf.DUMMYFUNCTION("IF(B1730="""","""",RIGHT(REGEXREPLACE(B1730&amp;"""",""[^0-9]"",""""),9))"),"704962047")</f>
        <v>704962047</v>
      </c>
      <c r="B1730" s="26">
        <v>7.04962047E8</v>
      </c>
      <c r="C1730" s="28" t="s">
        <v>1947</v>
      </c>
      <c r="D1730" s="26" t="s">
        <v>37</v>
      </c>
      <c r="E1730" s="31">
        <v>46228.0</v>
      </c>
      <c r="F1730" s="26" t="s">
        <v>167</v>
      </c>
      <c r="G1730" s="26">
        <v>11.0</v>
      </c>
      <c r="I1730" s="26" t="s">
        <v>42</v>
      </c>
      <c r="J1730" s="25" t="str">
        <f t="shared" si="31"/>
        <v>No</v>
      </c>
      <c r="K1730" s="25" t="str">
        <f t="shared" si="32"/>
        <v/>
      </c>
      <c r="L1730" s="25" t="str">
        <f t="shared" si="33"/>
        <v/>
      </c>
      <c r="M1730" s="25"/>
      <c r="O1730" s="25"/>
    </row>
    <row r="1731" ht="15.75" customHeight="1">
      <c r="A1731" s="25" t="str">
        <f>IFERROR(__xludf.DUMMYFUNCTION("IF(B1731="""","""",RIGHT(REGEXREPLACE(B1731&amp;"""",""[^0-9]"",""""),9))"),"770822819")</f>
        <v>770822819</v>
      </c>
      <c r="B1731" s="52">
        <v>7.70822819E8</v>
      </c>
      <c r="C1731" s="28" t="s">
        <v>1948</v>
      </c>
      <c r="D1731" s="26" t="s">
        <v>49</v>
      </c>
      <c r="E1731" s="31">
        <v>46228.0</v>
      </c>
      <c r="F1731" s="26" t="s">
        <v>46</v>
      </c>
      <c r="G1731" s="26">
        <v>11.0</v>
      </c>
      <c r="I1731" s="26" t="s">
        <v>42</v>
      </c>
      <c r="J1731" s="25" t="str">
        <f t="shared" si="31"/>
        <v>No</v>
      </c>
      <c r="K1731" s="25" t="str">
        <f t="shared" si="32"/>
        <v/>
      </c>
      <c r="L1731" s="25" t="str">
        <f t="shared" si="33"/>
        <v/>
      </c>
      <c r="M1731" s="25"/>
      <c r="O1731" s="25"/>
    </row>
    <row r="1732" ht="15.75" customHeight="1">
      <c r="A1732" s="25" t="str">
        <f>IFERROR(__xludf.DUMMYFUNCTION("IF(B1732="""","""",RIGHT(REGEXREPLACE(B1732&amp;"""",""[^0-9]"",""""),9))"),"754233267")</f>
        <v>754233267</v>
      </c>
      <c r="B1732" s="26">
        <v>7.54233267E8</v>
      </c>
      <c r="C1732" s="28" t="s">
        <v>1949</v>
      </c>
      <c r="D1732" s="26" t="s">
        <v>37</v>
      </c>
      <c r="E1732" s="31">
        <v>46228.0</v>
      </c>
      <c r="F1732" s="26" t="s">
        <v>659</v>
      </c>
      <c r="I1732" s="26" t="s">
        <v>42</v>
      </c>
      <c r="J1732" s="25" t="str">
        <f t="shared" si="31"/>
        <v>No</v>
      </c>
      <c r="K1732" s="25" t="str">
        <f t="shared" si="32"/>
        <v/>
      </c>
      <c r="L1732" s="25" t="str">
        <f t="shared" si="33"/>
        <v/>
      </c>
      <c r="M1732" s="25"/>
      <c r="O1732" s="25"/>
    </row>
    <row r="1733" ht="15.75" customHeight="1">
      <c r="A1733" s="25" t="str">
        <f>IFERROR(__xludf.DUMMYFUNCTION("IF(B1733="""","""",RIGHT(REGEXREPLACE(B1733&amp;"""",""[^0-9]"",""""),9))"),"764803861")</f>
        <v>764803861</v>
      </c>
      <c r="B1733" s="52">
        <v>7.64803861E8</v>
      </c>
      <c r="C1733" s="28" t="s">
        <v>1950</v>
      </c>
      <c r="D1733" s="26" t="s">
        <v>56</v>
      </c>
      <c r="E1733" s="31">
        <v>46228.0</v>
      </c>
      <c r="F1733" s="26" t="s">
        <v>46</v>
      </c>
      <c r="G1733" s="26">
        <v>11.0</v>
      </c>
      <c r="I1733" s="26" t="s">
        <v>42</v>
      </c>
      <c r="J1733" s="25" t="str">
        <f t="shared" si="31"/>
        <v>No</v>
      </c>
      <c r="K1733" s="25" t="str">
        <f t="shared" si="32"/>
        <v/>
      </c>
      <c r="L1733" s="25" t="str">
        <f t="shared" si="33"/>
        <v/>
      </c>
      <c r="M1733" s="25"/>
      <c r="O1733" s="25"/>
    </row>
    <row r="1734" ht="15.75" customHeight="1">
      <c r="A1734" s="25" t="str">
        <f>IFERROR(__xludf.DUMMYFUNCTION("IF(B1734="""","""",RIGHT(REGEXREPLACE(B1734&amp;"""",""[^0-9]"",""""),9))"),"762395369")</f>
        <v>762395369</v>
      </c>
      <c r="B1734" s="26">
        <v>7.62395369E8</v>
      </c>
      <c r="C1734" s="28" t="s">
        <v>1951</v>
      </c>
      <c r="D1734" s="26" t="s">
        <v>37</v>
      </c>
      <c r="E1734" s="31">
        <v>46228.0</v>
      </c>
      <c r="F1734" s="26" t="s">
        <v>659</v>
      </c>
      <c r="I1734" s="26" t="s">
        <v>42</v>
      </c>
      <c r="J1734" s="25" t="str">
        <f t="shared" si="31"/>
        <v>No</v>
      </c>
      <c r="K1734" s="25" t="str">
        <f t="shared" si="32"/>
        <v/>
      </c>
      <c r="L1734" s="25" t="str">
        <f t="shared" si="33"/>
        <v/>
      </c>
      <c r="M1734" s="25"/>
      <c r="O1734" s="25"/>
    </row>
    <row r="1735" ht="15.75" customHeight="1">
      <c r="A1735" s="25" t="str">
        <f>IFERROR(__xludf.DUMMYFUNCTION("IF(B1735="""","""",RIGHT(REGEXREPLACE(B1735&amp;"""",""[^0-9]"",""""),9))"),"776742548")</f>
        <v>776742548</v>
      </c>
      <c r="B1735" s="52">
        <v>7.76742548E8</v>
      </c>
      <c r="C1735" s="28" t="s">
        <v>1952</v>
      </c>
      <c r="D1735" s="26" t="s">
        <v>49</v>
      </c>
      <c r="E1735" s="31">
        <v>46228.0</v>
      </c>
      <c r="F1735" s="26" t="s">
        <v>46</v>
      </c>
      <c r="G1735" s="26">
        <v>10.0</v>
      </c>
      <c r="I1735" s="26" t="s">
        <v>42</v>
      </c>
      <c r="J1735" s="25" t="str">
        <f t="shared" si="31"/>
        <v>No</v>
      </c>
      <c r="K1735" s="25" t="str">
        <f t="shared" si="32"/>
        <v/>
      </c>
      <c r="L1735" s="25" t="str">
        <f t="shared" si="33"/>
        <v/>
      </c>
      <c r="M1735" s="25"/>
      <c r="O1735" s="25"/>
    </row>
    <row r="1736" ht="15.75" customHeight="1">
      <c r="A1736" s="25" t="str">
        <f>IFERROR(__xludf.DUMMYFUNCTION("IF(B1736="""","""",RIGHT(REGEXREPLACE(B1736&amp;"""",""[^0-9]"",""""),9))"),"718241693")</f>
        <v>718241693</v>
      </c>
      <c r="B1736" s="26">
        <v>7.18241693E8</v>
      </c>
      <c r="C1736" s="28" t="s">
        <v>1953</v>
      </c>
      <c r="D1736" s="26" t="s">
        <v>37</v>
      </c>
      <c r="E1736" s="31">
        <v>46228.0</v>
      </c>
      <c r="F1736" s="26" t="s">
        <v>46</v>
      </c>
      <c r="G1736" s="26">
        <v>9.0</v>
      </c>
      <c r="I1736" s="26" t="s">
        <v>42</v>
      </c>
      <c r="J1736" s="25" t="str">
        <f t="shared" si="31"/>
        <v>No</v>
      </c>
      <c r="K1736" s="25" t="str">
        <f t="shared" si="32"/>
        <v/>
      </c>
      <c r="L1736" s="25" t="str">
        <f t="shared" si="33"/>
        <v/>
      </c>
      <c r="M1736" s="25"/>
      <c r="O1736" s="26" t="s">
        <v>51</v>
      </c>
    </row>
    <row r="1737" ht="15.75" customHeight="1">
      <c r="A1737" s="25" t="str">
        <f>IFERROR(__xludf.DUMMYFUNCTION("IF(B1737="""","""",RIGHT(REGEXREPLACE(B1737&amp;"""",""[^0-9]"",""""),9))"),"764410117")</f>
        <v>764410117</v>
      </c>
      <c r="B1737" s="52">
        <v>7.64410117E8</v>
      </c>
      <c r="C1737" s="28" t="s">
        <v>1954</v>
      </c>
      <c r="D1737" s="26" t="s">
        <v>45</v>
      </c>
      <c r="E1737" s="31">
        <v>46228.0</v>
      </c>
      <c r="F1737" s="26" t="s">
        <v>46</v>
      </c>
      <c r="G1737" s="26">
        <v>6.0</v>
      </c>
      <c r="I1737" s="26" t="s">
        <v>42</v>
      </c>
      <c r="J1737" s="25" t="str">
        <f t="shared" si="31"/>
        <v>No</v>
      </c>
      <c r="K1737" s="25" t="str">
        <f t="shared" si="32"/>
        <v/>
      </c>
      <c r="L1737" s="25" t="str">
        <f t="shared" si="33"/>
        <v/>
      </c>
      <c r="M1737" s="25"/>
      <c r="O1737" s="25"/>
    </row>
    <row r="1738" ht="15.75" customHeight="1">
      <c r="A1738" s="25" t="str">
        <f>IFERROR(__xludf.DUMMYFUNCTION("IF(B1738="""","""",RIGHT(REGEXREPLACE(B1738&amp;"""",""[^0-9]"",""""),9))"),"764726964")</f>
        <v>764726964</v>
      </c>
      <c r="B1738" s="52">
        <v>7.64726964E8</v>
      </c>
      <c r="C1738" s="28" t="s">
        <v>1955</v>
      </c>
      <c r="D1738" s="26" t="s">
        <v>45</v>
      </c>
      <c r="E1738" s="31">
        <v>46228.0</v>
      </c>
      <c r="F1738" s="26" t="s">
        <v>41</v>
      </c>
      <c r="I1738" s="26" t="s">
        <v>42</v>
      </c>
      <c r="J1738" s="25" t="str">
        <f t="shared" si="31"/>
        <v>No</v>
      </c>
      <c r="K1738" s="25" t="str">
        <f t="shared" si="32"/>
        <v/>
      </c>
      <c r="L1738" s="25" t="str">
        <f t="shared" si="33"/>
        <v/>
      </c>
      <c r="M1738" s="25"/>
      <c r="O1738" s="25"/>
    </row>
    <row r="1739" ht="15.75" customHeight="1">
      <c r="A1739" s="25" t="str">
        <f>IFERROR(__xludf.DUMMYFUNCTION("IF(B1739="""","""",RIGHT(REGEXREPLACE(B1739&amp;"""",""[^0-9]"",""""),9))"),"705617122")</f>
        <v>705617122</v>
      </c>
      <c r="B1739" s="52">
        <v>7.05617122E8</v>
      </c>
      <c r="C1739" s="28" t="s">
        <v>1956</v>
      </c>
      <c r="D1739" s="26" t="s">
        <v>82</v>
      </c>
      <c r="E1739" s="31">
        <v>46228.0</v>
      </c>
      <c r="F1739" s="26" t="s">
        <v>659</v>
      </c>
      <c r="I1739" s="26" t="s">
        <v>42</v>
      </c>
      <c r="J1739" s="25" t="str">
        <f t="shared" si="31"/>
        <v>No</v>
      </c>
      <c r="K1739" s="25" t="str">
        <f t="shared" si="32"/>
        <v/>
      </c>
      <c r="L1739" s="25" t="str">
        <f t="shared" si="33"/>
        <v/>
      </c>
      <c r="M1739" s="25"/>
      <c r="O1739" s="25"/>
    </row>
    <row r="1740" ht="15.75" customHeight="1">
      <c r="A1740" s="25" t="str">
        <f>IFERROR(__xludf.DUMMYFUNCTION("IF(B1740="""","""",RIGHT(REGEXREPLACE(B1740&amp;"""",""[^0-9]"",""""),9))"),"716115160")</f>
        <v>716115160</v>
      </c>
      <c r="B1740" s="26">
        <v>7.1611516E8</v>
      </c>
      <c r="C1740" s="28" t="s">
        <v>1957</v>
      </c>
      <c r="D1740" s="26" t="s">
        <v>37</v>
      </c>
      <c r="E1740" s="31">
        <v>46228.0</v>
      </c>
      <c r="F1740" s="26" t="s">
        <v>46</v>
      </c>
      <c r="G1740" s="26">
        <v>11.0</v>
      </c>
      <c r="I1740" s="26" t="s">
        <v>42</v>
      </c>
      <c r="J1740" s="25" t="str">
        <f t="shared" si="31"/>
        <v>No</v>
      </c>
      <c r="K1740" s="25" t="str">
        <f t="shared" si="32"/>
        <v/>
      </c>
      <c r="L1740" s="25" t="str">
        <f t="shared" si="33"/>
        <v/>
      </c>
      <c r="M1740" s="25"/>
      <c r="O1740" s="25"/>
    </row>
    <row r="1741" ht="15.75" customHeight="1">
      <c r="A1741" s="25" t="str">
        <f>IFERROR(__xludf.DUMMYFUNCTION("IF(B1741="""","""",RIGHT(REGEXREPLACE(B1741&amp;"""",""[^0-9]"",""""),9))"),"766708760")</f>
        <v>766708760</v>
      </c>
      <c r="B1741" s="52">
        <v>7.6670876E8</v>
      </c>
      <c r="C1741" s="28" t="s">
        <v>1958</v>
      </c>
      <c r="D1741" s="26" t="s">
        <v>49</v>
      </c>
      <c r="E1741" s="31">
        <v>46228.0</v>
      </c>
      <c r="F1741" s="26" t="s">
        <v>46</v>
      </c>
      <c r="G1741" s="26">
        <v>8.0</v>
      </c>
      <c r="I1741" s="26" t="s">
        <v>42</v>
      </c>
      <c r="J1741" s="25" t="str">
        <f t="shared" si="31"/>
        <v>No</v>
      </c>
      <c r="K1741" s="25" t="str">
        <f t="shared" si="32"/>
        <v/>
      </c>
      <c r="L1741" s="25" t="str">
        <f t="shared" si="33"/>
        <v/>
      </c>
      <c r="M1741" s="25"/>
      <c r="O1741" s="25"/>
    </row>
    <row r="1742" ht="15.75" customHeight="1">
      <c r="A1742" s="25" t="str">
        <f>IFERROR(__xludf.DUMMYFUNCTION("IF(B1742="""","""",RIGHT(REGEXREPLACE(B1742&amp;"""",""[^0-9]"",""""),9))"),"742525426")</f>
        <v>742525426</v>
      </c>
      <c r="B1742" s="52">
        <v>7.42525426E8</v>
      </c>
      <c r="C1742" s="28" t="s">
        <v>1959</v>
      </c>
      <c r="D1742" s="26" t="s">
        <v>45</v>
      </c>
      <c r="E1742" s="31">
        <v>46228.0</v>
      </c>
      <c r="F1742" s="26" t="s">
        <v>46</v>
      </c>
      <c r="G1742" s="26">
        <v>11.0</v>
      </c>
      <c r="I1742" s="26" t="s">
        <v>42</v>
      </c>
      <c r="J1742" s="25" t="str">
        <f t="shared" si="31"/>
        <v>No</v>
      </c>
      <c r="K1742" s="25" t="str">
        <f t="shared" si="32"/>
        <v/>
      </c>
      <c r="L1742" s="25" t="str">
        <f t="shared" si="33"/>
        <v/>
      </c>
      <c r="M1742" s="25"/>
      <c r="O1742" s="25"/>
    </row>
    <row r="1743" ht="15.75" customHeight="1">
      <c r="A1743" s="25" t="str">
        <f>IFERROR(__xludf.DUMMYFUNCTION("IF(B1743="""","""",RIGHT(REGEXREPLACE(B1743&amp;"""",""[^0-9]"",""""),9))"),"741339476")</f>
        <v>741339476</v>
      </c>
      <c r="B1743" s="52">
        <v>7.41339476E8</v>
      </c>
      <c r="C1743" s="28" t="s">
        <v>1960</v>
      </c>
      <c r="D1743" s="26" t="s">
        <v>56</v>
      </c>
      <c r="E1743" s="31">
        <v>46228.0</v>
      </c>
      <c r="F1743" s="26" t="s">
        <v>46</v>
      </c>
      <c r="G1743" s="26">
        <v>11.0</v>
      </c>
      <c r="I1743" s="26" t="s">
        <v>42</v>
      </c>
      <c r="J1743" s="25" t="str">
        <f t="shared" si="31"/>
        <v>No</v>
      </c>
      <c r="K1743" s="25" t="str">
        <f t="shared" si="32"/>
        <v/>
      </c>
      <c r="L1743" s="25" t="str">
        <f t="shared" si="33"/>
        <v/>
      </c>
      <c r="M1743" s="25"/>
      <c r="O1743" s="25"/>
    </row>
    <row r="1744" ht="15.75" customHeight="1">
      <c r="A1744" s="25" t="str">
        <f>IFERROR(__xludf.DUMMYFUNCTION("IF(B1744="""","""",RIGHT(REGEXREPLACE(B1744&amp;"""",""[^0-9]"",""""),9))"),"768449723")</f>
        <v>768449723</v>
      </c>
      <c r="B1744" s="52">
        <v>7.68449723E8</v>
      </c>
      <c r="C1744" s="28" t="s">
        <v>1961</v>
      </c>
      <c r="D1744" s="26" t="s">
        <v>82</v>
      </c>
      <c r="E1744" s="31">
        <v>46228.0</v>
      </c>
      <c r="F1744" s="26" t="s">
        <v>41</v>
      </c>
      <c r="I1744" s="26" t="s">
        <v>42</v>
      </c>
      <c r="J1744" s="25" t="str">
        <f t="shared" si="31"/>
        <v>No</v>
      </c>
      <c r="K1744" s="25" t="str">
        <f t="shared" si="32"/>
        <v/>
      </c>
      <c r="L1744" s="25" t="str">
        <f t="shared" si="33"/>
        <v/>
      </c>
      <c r="M1744" s="25"/>
      <c r="O1744" s="25"/>
    </row>
    <row r="1745" ht="15.75" customHeight="1">
      <c r="A1745" s="25" t="str">
        <f>IFERROR(__xludf.DUMMYFUNCTION("IF(B1745="""","""",RIGHT(REGEXREPLACE(B1745&amp;"""",""[^0-9]"",""""),9))"),"771136640")</f>
        <v>771136640</v>
      </c>
      <c r="B1745" s="52">
        <v>7.7113664E8</v>
      </c>
      <c r="C1745" s="28" t="s">
        <v>1962</v>
      </c>
      <c r="D1745" s="26" t="s">
        <v>49</v>
      </c>
      <c r="E1745" s="31">
        <v>46228.0</v>
      </c>
      <c r="F1745" s="26" t="s">
        <v>46</v>
      </c>
      <c r="G1745" s="26">
        <v>11.0</v>
      </c>
      <c r="I1745" s="26" t="s">
        <v>42</v>
      </c>
      <c r="J1745" s="25" t="str">
        <f t="shared" si="31"/>
        <v>No</v>
      </c>
      <c r="K1745" s="25" t="str">
        <f t="shared" si="32"/>
        <v/>
      </c>
      <c r="L1745" s="25" t="str">
        <f t="shared" si="33"/>
        <v/>
      </c>
      <c r="M1745" s="25"/>
      <c r="O1745" s="25"/>
    </row>
    <row r="1746" ht="15.75" customHeight="1">
      <c r="A1746" s="25" t="str">
        <f>IFERROR(__xludf.DUMMYFUNCTION("IF(B1746="""","""",RIGHT(REGEXREPLACE(B1746&amp;"""",""[^0-9]"",""""),9))"),"714733098")</f>
        <v>714733098</v>
      </c>
      <c r="B1746" s="52">
        <v>7.14733098E8</v>
      </c>
      <c r="C1746" s="28" t="s">
        <v>1963</v>
      </c>
      <c r="D1746" s="26" t="s">
        <v>45</v>
      </c>
      <c r="E1746" s="31">
        <v>46228.0</v>
      </c>
      <c r="F1746" s="26" t="s">
        <v>46</v>
      </c>
      <c r="G1746" s="26">
        <v>11.0</v>
      </c>
      <c r="I1746" s="26" t="s">
        <v>42</v>
      </c>
      <c r="J1746" s="25" t="str">
        <f t="shared" si="31"/>
        <v>No</v>
      </c>
      <c r="K1746" s="25" t="str">
        <f t="shared" si="32"/>
        <v/>
      </c>
      <c r="L1746" s="25" t="str">
        <f t="shared" si="33"/>
        <v/>
      </c>
      <c r="M1746" s="25"/>
      <c r="O1746" s="25"/>
    </row>
    <row r="1747" ht="15.75" customHeight="1">
      <c r="A1747" s="25" t="str">
        <f>IFERROR(__xludf.DUMMYFUNCTION("IF(B1747="""","""",RIGHT(REGEXREPLACE(B1747&amp;"""",""[^0-9]"",""""),9))"),"775562617")</f>
        <v>775562617</v>
      </c>
      <c r="B1747" s="26">
        <v>7.75562617E8</v>
      </c>
      <c r="C1747" s="28" t="s">
        <v>1964</v>
      </c>
      <c r="D1747" s="26" t="s">
        <v>37</v>
      </c>
      <c r="E1747" s="31">
        <v>46228.0</v>
      </c>
      <c r="F1747" s="26" t="s">
        <v>41</v>
      </c>
      <c r="G1747" s="26">
        <v>7.0</v>
      </c>
      <c r="I1747" s="26" t="s">
        <v>42</v>
      </c>
      <c r="J1747" s="25" t="str">
        <f t="shared" si="31"/>
        <v>No</v>
      </c>
      <c r="K1747" s="25" t="str">
        <f t="shared" si="32"/>
        <v/>
      </c>
      <c r="L1747" s="25" t="str">
        <f t="shared" si="33"/>
        <v/>
      </c>
      <c r="M1747" s="25"/>
      <c r="O1747" s="25"/>
    </row>
    <row r="1748" ht="15.75" customHeight="1">
      <c r="A1748" s="25" t="str">
        <f>IFERROR(__xludf.DUMMYFUNCTION("IF(B1748="""","""",RIGHT(REGEXREPLACE(B1748&amp;"""",""[^0-9]"",""""),9))"),"777848084")</f>
        <v>777848084</v>
      </c>
      <c r="B1748" s="26">
        <v>7.77848084E8</v>
      </c>
      <c r="C1748" s="28" t="s">
        <v>1965</v>
      </c>
      <c r="D1748" s="26" t="s">
        <v>37</v>
      </c>
      <c r="E1748" s="31">
        <v>46228.0</v>
      </c>
      <c r="F1748" s="26" t="s">
        <v>164</v>
      </c>
      <c r="H1748" s="26" t="s">
        <v>1966</v>
      </c>
      <c r="I1748" s="26" t="s">
        <v>42</v>
      </c>
      <c r="J1748" s="25" t="str">
        <f t="shared" si="31"/>
        <v>No</v>
      </c>
      <c r="K1748" s="25" t="str">
        <f t="shared" si="32"/>
        <v/>
      </c>
      <c r="L1748" s="25" t="str">
        <f t="shared" si="33"/>
        <v/>
      </c>
      <c r="M1748" s="25"/>
      <c r="O1748" s="25"/>
    </row>
    <row r="1749" ht="15.75" customHeight="1">
      <c r="A1749" s="25" t="str">
        <f>IFERROR(__xludf.DUMMYFUNCTION("IF(B1749="""","""",RIGHT(REGEXREPLACE(B1749&amp;"""",""[^0-9]"",""""),9))"),"760557289")</f>
        <v>760557289</v>
      </c>
      <c r="B1749" s="52">
        <v>7.60557289E8</v>
      </c>
      <c r="C1749" s="28" t="s">
        <v>1967</v>
      </c>
      <c r="D1749" s="26" t="s">
        <v>56</v>
      </c>
      <c r="E1749" s="31">
        <v>46228.0</v>
      </c>
      <c r="F1749" s="26" t="s">
        <v>41</v>
      </c>
      <c r="G1749" s="26">
        <v>11.0</v>
      </c>
      <c r="I1749" s="26" t="s">
        <v>42</v>
      </c>
      <c r="J1749" s="25" t="str">
        <f t="shared" si="31"/>
        <v>No</v>
      </c>
      <c r="K1749" s="25" t="str">
        <f t="shared" si="32"/>
        <v/>
      </c>
      <c r="L1749" s="25" t="str">
        <f t="shared" si="33"/>
        <v/>
      </c>
      <c r="M1749" s="25"/>
      <c r="O1749" s="25"/>
    </row>
    <row r="1750" ht="15.75" customHeight="1">
      <c r="A1750" s="25" t="str">
        <f>IFERROR(__xludf.DUMMYFUNCTION("IF(B1750="""","""",RIGHT(REGEXREPLACE(B1750&amp;"""",""[^0-9]"",""""),9))"),"712562009")</f>
        <v>712562009</v>
      </c>
      <c r="B1750" s="26">
        <v>7.12562009E8</v>
      </c>
      <c r="C1750" s="28" t="s">
        <v>1968</v>
      </c>
      <c r="D1750" s="26" t="s">
        <v>37</v>
      </c>
      <c r="E1750" s="31">
        <v>46228.0</v>
      </c>
      <c r="F1750" s="26" t="s">
        <v>41</v>
      </c>
      <c r="G1750" s="26">
        <v>11.0</v>
      </c>
      <c r="I1750" s="26" t="s">
        <v>42</v>
      </c>
      <c r="J1750" s="25" t="str">
        <f t="shared" si="31"/>
        <v>No</v>
      </c>
      <c r="K1750" s="25" t="str">
        <f t="shared" si="32"/>
        <v/>
      </c>
      <c r="L1750" s="25" t="str">
        <f t="shared" si="33"/>
        <v/>
      </c>
      <c r="M1750" s="25"/>
      <c r="O1750" s="25"/>
    </row>
    <row r="1751" ht="15.75" customHeight="1">
      <c r="A1751" s="25" t="str">
        <f>IFERROR(__xludf.DUMMYFUNCTION("IF(B1751="""","""",RIGHT(REGEXREPLACE(B1751&amp;"""",""[^0-9]"",""""),9))"),"706717282")</f>
        <v>706717282</v>
      </c>
      <c r="B1751" s="52">
        <v>7.06717282E8</v>
      </c>
      <c r="C1751" s="28" t="s">
        <v>1969</v>
      </c>
      <c r="D1751" s="26" t="s">
        <v>82</v>
      </c>
      <c r="E1751" s="31">
        <v>46228.0</v>
      </c>
      <c r="F1751" s="26" t="s">
        <v>46</v>
      </c>
      <c r="G1751" s="26">
        <v>11.0</v>
      </c>
      <c r="I1751" s="26" t="s">
        <v>42</v>
      </c>
      <c r="J1751" s="25" t="str">
        <f t="shared" si="31"/>
        <v>No</v>
      </c>
      <c r="K1751" s="25" t="str">
        <f t="shared" si="32"/>
        <v/>
      </c>
      <c r="L1751" s="25" t="str">
        <f t="shared" si="33"/>
        <v/>
      </c>
      <c r="M1751" s="25"/>
      <c r="O1751" s="25"/>
    </row>
    <row r="1752" ht="15.75" customHeight="1">
      <c r="A1752" s="25" t="str">
        <f>IFERROR(__xludf.DUMMYFUNCTION("IF(B1752="""","""",RIGHT(REGEXREPLACE(B1752&amp;"""",""[^0-9]"",""""),9))"),"782970787")</f>
        <v>782970787</v>
      </c>
      <c r="B1752" s="52">
        <v>7.82970787E8</v>
      </c>
      <c r="C1752" s="28" t="s">
        <v>1970</v>
      </c>
      <c r="D1752" s="26" t="s">
        <v>49</v>
      </c>
      <c r="E1752" s="31">
        <v>46228.0</v>
      </c>
      <c r="F1752" s="26" t="s">
        <v>205</v>
      </c>
      <c r="I1752" s="26" t="s">
        <v>42</v>
      </c>
      <c r="J1752" s="25" t="str">
        <f t="shared" si="31"/>
        <v>No</v>
      </c>
      <c r="K1752" s="25" t="str">
        <f t="shared" si="32"/>
        <v/>
      </c>
      <c r="L1752" s="25" t="str">
        <f t="shared" si="33"/>
        <v/>
      </c>
      <c r="M1752" s="25"/>
      <c r="O1752" s="25"/>
    </row>
    <row r="1753" ht="15.75" customHeight="1">
      <c r="A1753" s="25" t="str">
        <f>IFERROR(__xludf.DUMMYFUNCTION("IF(B1753="""","""",RIGHT(REGEXREPLACE(B1753&amp;"""",""[^0-9]"",""""),9))"),"775087278")</f>
        <v>775087278</v>
      </c>
      <c r="B1753" s="52">
        <v>7.75087278E8</v>
      </c>
      <c r="C1753" s="28" t="s">
        <v>1971</v>
      </c>
      <c r="D1753" s="26" t="s">
        <v>45</v>
      </c>
      <c r="E1753" s="31">
        <v>46228.0</v>
      </c>
      <c r="F1753" s="26" t="s">
        <v>46</v>
      </c>
      <c r="G1753" s="26">
        <v>11.0</v>
      </c>
      <c r="I1753" s="26" t="s">
        <v>42</v>
      </c>
      <c r="J1753" s="25" t="str">
        <f t="shared" si="31"/>
        <v>No</v>
      </c>
      <c r="K1753" s="25" t="str">
        <f t="shared" si="32"/>
        <v/>
      </c>
      <c r="L1753" s="25" t="str">
        <f t="shared" si="33"/>
        <v/>
      </c>
      <c r="M1753" s="25"/>
      <c r="O1753" s="25"/>
    </row>
    <row r="1754" ht="15.75" customHeight="1">
      <c r="A1754" s="25" t="str">
        <f>IFERROR(__xludf.DUMMYFUNCTION("IF(B1754="""","""",RIGHT(REGEXREPLACE(B1754&amp;"""",""[^0-9]"",""""),9))"),"779070944")</f>
        <v>779070944</v>
      </c>
      <c r="B1754" s="52">
        <v>7.79070944E8</v>
      </c>
      <c r="C1754" s="28" t="s">
        <v>1972</v>
      </c>
      <c r="D1754" s="26" t="s">
        <v>45</v>
      </c>
      <c r="E1754" s="31">
        <v>46228.0</v>
      </c>
      <c r="F1754" s="26" t="s">
        <v>46</v>
      </c>
      <c r="G1754" s="26">
        <v>11.0</v>
      </c>
      <c r="I1754" s="26" t="s">
        <v>42</v>
      </c>
      <c r="J1754" s="25" t="str">
        <f t="shared" si="31"/>
        <v>No</v>
      </c>
      <c r="K1754" s="25" t="str">
        <f t="shared" si="32"/>
        <v/>
      </c>
      <c r="L1754" s="25" t="str">
        <f t="shared" si="33"/>
        <v/>
      </c>
      <c r="M1754" s="25"/>
      <c r="O1754" s="25"/>
    </row>
    <row r="1755" ht="15.75" customHeight="1">
      <c r="A1755" s="25" t="str">
        <f>IFERROR(__xludf.DUMMYFUNCTION("IF(B1755="""","""",RIGHT(REGEXREPLACE(B1755&amp;"""",""[^0-9]"",""""),9))"),"754493498")</f>
        <v>754493498</v>
      </c>
      <c r="B1755" s="52">
        <v>7.54493498E8</v>
      </c>
      <c r="C1755" s="28" t="s">
        <v>1973</v>
      </c>
      <c r="D1755" s="26" t="s">
        <v>49</v>
      </c>
      <c r="E1755" s="31">
        <v>46228.0</v>
      </c>
      <c r="F1755" s="26" t="s">
        <v>46</v>
      </c>
      <c r="G1755" s="26">
        <v>11.0</v>
      </c>
      <c r="I1755" s="26" t="s">
        <v>42</v>
      </c>
      <c r="J1755" s="25" t="str">
        <f t="shared" si="31"/>
        <v>No</v>
      </c>
      <c r="K1755" s="25" t="str">
        <f t="shared" si="32"/>
        <v/>
      </c>
      <c r="L1755" s="25" t="str">
        <f t="shared" si="33"/>
        <v/>
      </c>
      <c r="M1755" s="25"/>
      <c r="O1755" s="25"/>
    </row>
    <row r="1756" ht="15.75" customHeight="1">
      <c r="A1756" s="25" t="str">
        <f>IFERROR(__xludf.DUMMYFUNCTION("IF(B1756="""","""",RIGHT(REGEXREPLACE(B1756&amp;"""",""[^0-9]"",""""),9))"),"768207130")</f>
        <v>768207130</v>
      </c>
      <c r="B1756" s="52">
        <v>7.6820713E8</v>
      </c>
      <c r="C1756" s="28" t="s">
        <v>1974</v>
      </c>
      <c r="D1756" s="26" t="s">
        <v>56</v>
      </c>
      <c r="E1756" s="31">
        <v>46228.0</v>
      </c>
      <c r="F1756" s="26" t="s">
        <v>46</v>
      </c>
      <c r="G1756" s="26">
        <v>11.0</v>
      </c>
      <c r="I1756" s="26" t="s">
        <v>42</v>
      </c>
      <c r="J1756" s="25" t="str">
        <f t="shared" si="31"/>
        <v>No</v>
      </c>
      <c r="K1756" s="25" t="str">
        <f t="shared" si="32"/>
        <v/>
      </c>
      <c r="L1756" s="25" t="str">
        <f t="shared" si="33"/>
        <v/>
      </c>
      <c r="M1756" s="25"/>
      <c r="O1756" s="25"/>
    </row>
    <row r="1757" ht="15.75" customHeight="1">
      <c r="A1757" s="25" t="str">
        <f>IFERROR(__xludf.DUMMYFUNCTION("IF(B1757="""","""",RIGHT(REGEXREPLACE(B1757&amp;"""",""[^0-9]"",""""),9))"),"779591992")</f>
        <v>779591992</v>
      </c>
      <c r="B1757" s="52">
        <v>7.79591992E8</v>
      </c>
      <c r="C1757" s="28" t="s">
        <v>1975</v>
      </c>
      <c r="D1757" s="26" t="s">
        <v>45</v>
      </c>
      <c r="E1757" s="31">
        <v>46228.0</v>
      </c>
      <c r="F1757" s="26" t="s">
        <v>41</v>
      </c>
      <c r="G1757" s="26">
        <v>11.0</v>
      </c>
      <c r="I1757" s="26" t="s">
        <v>42</v>
      </c>
      <c r="J1757" s="25" t="str">
        <f t="shared" si="31"/>
        <v>No</v>
      </c>
      <c r="K1757" s="25" t="str">
        <f t="shared" si="32"/>
        <v/>
      </c>
      <c r="L1757" s="25" t="str">
        <f t="shared" si="33"/>
        <v/>
      </c>
      <c r="M1757" s="25"/>
      <c r="O1757" s="25"/>
    </row>
    <row r="1758" ht="15.75" customHeight="1">
      <c r="A1758" s="25" t="str">
        <f>IFERROR(__xludf.DUMMYFUNCTION("IF(B1758="""","""",RIGHT(REGEXREPLACE(B1758&amp;"""",""[^0-9]"",""""),9))"),"741214864")</f>
        <v>741214864</v>
      </c>
      <c r="B1758" s="52">
        <v>7.41214864E8</v>
      </c>
      <c r="C1758" s="28" t="s">
        <v>1976</v>
      </c>
      <c r="D1758" s="26" t="s">
        <v>82</v>
      </c>
      <c r="E1758" s="31">
        <v>46228.0</v>
      </c>
      <c r="F1758" s="26" t="s">
        <v>41</v>
      </c>
      <c r="I1758" s="26" t="s">
        <v>42</v>
      </c>
      <c r="J1758" s="25" t="str">
        <f t="shared" si="31"/>
        <v>No</v>
      </c>
      <c r="K1758" s="25" t="str">
        <f t="shared" si="32"/>
        <v/>
      </c>
      <c r="L1758" s="25" t="str">
        <f t="shared" si="33"/>
        <v/>
      </c>
      <c r="M1758" s="25"/>
      <c r="O1758" s="25"/>
    </row>
    <row r="1759" ht="15.75" customHeight="1">
      <c r="A1759" s="25" t="str">
        <f>IFERROR(__xludf.DUMMYFUNCTION("IF(B1759="""","""",RIGHT(REGEXREPLACE(B1759&amp;"""",""[^0-9]"",""""),9))"),"761800791")</f>
        <v>761800791</v>
      </c>
      <c r="B1759" s="26">
        <v>7.61800791E8</v>
      </c>
      <c r="C1759" s="28" t="s">
        <v>1977</v>
      </c>
      <c r="D1759" s="26" t="s">
        <v>37</v>
      </c>
      <c r="E1759" s="31">
        <v>46228.0</v>
      </c>
      <c r="F1759" s="26" t="s">
        <v>164</v>
      </c>
      <c r="I1759" s="26" t="s">
        <v>42</v>
      </c>
      <c r="J1759" s="25" t="str">
        <f t="shared" si="31"/>
        <v>No</v>
      </c>
      <c r="K1759" s="25" t="str">
        <f t="shared" si="32"/>
        <v/>
      </c>
      <c r="L1759" s="25" t="str">
        <f t="shared" si="33"/>
        <v/>
      </c>
      <c r="M1759" s="25"/>
      <c r="O1759" s="25"/>
    </row>
    <row r="1760" ht="15.75" customHeight="1">
      <c r="A1760" s="25" t="str">
        <f>IFERROR(__xludf.DUMMYFUNCTION("IF(B1760="""","""",RIGHT(REGEXREPLACE(B1760&amp;"""",""[^0-9]"",""""),9))"),"778081019")</f>
        <v>778081019</v>
      </c>
      <c r="B1760" s="52">
        <v>7.78081019E8</v>
      </c>
      <c r="C1760" s="28" t="s">
        <v>1978</v>
      </c>
      <c r="D1760" s="26" t="s">
        <v>82</v>
      </c>
      <c r="E1760" s="31">
        <v>46228.0</v>
      </c>
      <c r="F1760" s="26" t="s">
        <v>46</v>
      </c>
      <c r="G1760" s="26">
        <v>11.0</v>
      </c>
      <c r="I1760" s="26" t="s">
        <v>42</v>
      </c>
      <c r="J1760" s="25" t="str">
        <f t="shared" si="31"/>
        <v>No</v>
      </c>
      <c r="K1760" s="25" t="str">
        <f t="shared" si="32"/>
        <v/>
      </c>
      <c r="L1760" s="25" t="str">
        <f t="shared" si="33"/>
        <v/>
      </c>
      <c r="M1760" s="25"/>
      <c r="O1760" s="25"/>
    </row>
    <row r="1761" ht="15.75" customHeight="1">
      <c r="A1761" s="25" t="str">
        <f>IFERROR(__xludf.DUMMYFUNCTION("IF(B1761="""","""",RIGHT(REGEXREPLACE(B1761&amp;"""",""[^0-9]"",""""),9))"),"769013727")</f>
        <v>769013727</v>
      </c>
      <c r="B1761" s="52">
        <v>7.69013727E8</v>
      </c>
      <c r="C1761" s="28" t="s">
        <v>1979</v>
      </c>
      <c r="D1761" s="26" t="s">
        <v>49</v>
      </c>
      <c r="E1761" s="31">
        <v>46228.0</v>
      </c>
      <c r="F1761" s="26" t="s">
        <v>41</v>
      </c>
      <c r="G1761" s="26">
        <v>11.0</v>
      </c>
      <c r="I1761" s="26" t="s">
        <v>42</v>
      </c>
      <c r="J1761" s="25" t="str">
        <f t="shared" si="31"/>
        <v>No</v>
      </c>
      <c r="K1761" s="25" t="str">
        <f t="shared" si="32"/>
        <v/>
      </c>
      <c r="L1761" s="25" t="str">
        <f t="shared" si="33"/>
        <v/>
      </c>
      <c r="M1761" s="25"/>
      <c r="O1761" s="25"/>
    </row>
    <row r="1762" ht="15.75" customHeight="1">
      <c r="A1762" s="25" t="str">
        <f>IFERROR(__xludf.DUMMYFUNCTION("IF(B1762="""","""",RIGHT(REGEXREPLACE(B1762&amp;"""",""[^0-9]"",""""),9))"),"742181312")</f>
        <v>742181312</v>
      </c>
      <c r="B1762" s="52">
        <v>7.42181312E8</v>
      </c>
      <c r="C1762" s="28" t="s">
        <v>1980</v>
      </c>
      <c r="D1762" s="26" t="s">
        <v>45</v>
      </c>
      <c r="E1762" s="31">
        <v>46228.0</v>
      </c>
      <c r="F1762" s="26" t="s">
        <v>205</v>
      </c>
      <c r="G1762" s="26">
        <v>11.0</v>
      </c>
      <c r="I1762" s="26" t="s">
        <v>42</v>
      </c>
      <c r="J1762" s="25" t="str">
        <f t="shared" si="31"/>
        <v>No</v>
      </c>
      <c r="K1762" s="25" t="str">
        <f t="shared" si="32"/>
        <v/>
      </c>
      <c r="L1762" s="25" t="str">
        <f t="shared" si="33"/>
        <v/>
      </c>
      <c r="M1762" s="25"/>
      <c r="O1762" s="25"/>
    </row>
    <row r="1763" ht="15.75" customHeight="1">
      <c r="A1763" s="25" t="str">
        <f>IFERROR(__xludf.DUMMYFUNCTION("IF(B1763="""","""",RIGHT(REGEXREPLACE(B1763&amp;"""",""[^0-9]"",""""),9))"),"787413246")</f>
        <v>787413246</v>
      </c>
      <c r="B1763" s="52">
        <v>7.87413246E8</v>
      </c>
      <c r="C1763" s="28" t="s">
        <v>1392</v>
      </c>
      <c r="D1763" s="26" t="s">
        <v>56</v>
      </c>
      <c r="E1763" s="31">
        <v>46228.0</v>
      </c>
      <c r="F1763" s="26" t="s">
        <v>46</v>
      </c>
      <c r="G1763" s="26">
        <v>11.0</v>
      </c>
      <c r="I1763" s="26" t="s">
        <v>42</v>
      </c>
      <c r="J1763" s="25" t="str">
        <f t="shared" si="31"/>
        <v>No</v>
      </c>
      <c r="K1763" s="25" t="str">
        <f t="shared" si="32"/>
        <v/>
      </c>
      <c r="L1763" s="25" t="str">
        <f t="shared" si="33"/>
        <v/>
      </c>
      <c r="M1763" s="25"/>
      <c r="O1763" s="25"/>
    </row>
    <row r="1764" ht="15.75" customHeight="1">
      <c r="A1764" s="25" t="str">
        <f>IFERROR(__xludf.DUMMYFUNCTION("IF(B1764="""","""",RIGHT(REGEXREPLACE(B1764&amp;"""",""[^0-9]"",""""),9))"),"769789850")</f>
        <v>769789850</v>
      </c>
      <c r="B1764" s="52">
        <v>7.6978985E8</v>
      </c>
      <c r="C1764" s="28" t="s">
        <v>1981</v>
      </c>
      <c r="D1764" s="26" t="s">
        <v>45</v>
      </c>
      <c r="E1764" s="31">
        <v>46228.0</v>
      </c>
      <c r="F1764" s="26" t="s">
        <v>46</v>
      </c>
      <c r="G1764" s="26">
        <v>11.0</v>
      </c>
      <c r="I1764" s="26" t="s">
        <v>42</v>
      </c>
      <c r="J1764" s="25" t="str">
        <f t="shared" si="31"/>
        <v>No</v>
      </c>
      <c r="K1764" s="25" t="str">
        <f t="shared" si="32"/>
        <v/>
      </c>
      <c r="L1764" s="25" t="str">
        <f t="shared" si="33"/>
        <v/>
      </c>
      <c r="M1764" s="25"/>
      <c r="O1764" s="25"/>
    </row>
    <row r="1765" ht="15.75" customHeight="1">
      <c r="A1765" s="25" t="str">
        <f>IFERROR(__xludf.DUMMYFUNCTION("IF(B1765="""","""",RIGHT(REGEXREPLACE(B1765&amp;"""",""[^0-9]"",""""),9))"),"710839251")</f>
        <v>710839251</v>
      </c>
      <c r="B1765" s="52">
        <v>7.10839251E8</v>
      </c>
      <c r="C1765" s="28" t="s">
        <v>1982</v>
      </c>
      <c r="D1765" s="26" t="s">
        <v>56</v>
      </c>
      <c r="E1765" s="31">
        <v>46228.0</v>
      </c>
      <c r="F1765" s="26" t="s">
        <v>46</v>
      </c>
      <c r="G1765" s="26">
        <v>10.0</v>
      </c>
      <c r="I1765" s="26" t="s">
        <v>42</v>
      </c>
      <c r="J1765" s="25" t="str">
        <f t="shared" si="31"/>
        <v>No</v>
      </c>
      <c r="K1765" s="25" t="str">
        <f t="shared" si="32"/>
        <v/>
      </c>
      <c r="L1765" s="25" t="str">
        <f t="shared" si="33"/>
        <v/>
      </c>
      <c r="M1765" s="25"/>
      <c r="O1765" s="25"/>
    </row>
    <row r="1766" ht="15.75" customHeight="1">
      <c r="A1766" s="25" t="str">
        <f>IFERROR(__xludf.DUMMYFUNCTION("IF(B1766="""","""",RIGHT(REGEXREPLACE(B1766&amp;"""",""[^0-9]"",""""),9))"),"783172007")</f>
        <v>783172007</v>
      </c>
      <c r="B1766" s="52">
        <v>7.83172007E8</v>
      </c>
      <c r="C1766" s="28" t="s">
        <v>1983</v>
      </c>
      <c r="D1766" s="26" t="s">
        <v>49</v>
      </c>
      <c r="E1766" s="31">
        <v>46228.0</v>
      </c>
      <c r="F1766" s="26" t="s">
        <v>659</v>
      </c>
      <c r="G1766" s="26">
        <v>11.0</v>
      </c>
      <c r="I1766" s="26" t="s">
        <v>42</v>
      </c>
      <c r="J1766" s="25" t="str">
        <f t="shared" si="31"/>
        <v>No</v>
      </c>
      <c r="K1766" s="25" t="str">
        <f t="shared" si="32"/>
        <v/>
      </c>
      <c r="L1766" s="25" t="str">
        <f t="shared" si="33"/>
        <v/>
      </c>
      <c r="M1766" s="25"/>
      <c r="O1766" s="25"/>
    </row>
    <row r="1767" ht="15.75" customHeight="1">
      <c r="A1767" s="25" t="str">
        <f>IFERROR(__xludf.DUMMYFUNCTION("IF(B1767="""","""",RIGHT(REGEXREPLACE(B1767&amp;"""",""[^0-9]"",""""),9))"),"786571922")</f>
        <v>786571922</v>
      </c>
      <c r="B1767" s="52">
        <v>7.86571922E8</v>
      </c>
      <c r="C1767" s="28" t="s">
        <v>1984</v>
      </c>
      <c r="D1767" s="26" t="s">
        <v>49</v>
      </c>
      <c r="E1767" s="31">
        <v>46228.0</v>
      </c>
      <c r="F1767" s="26" t="s">
        <v>41</v>
      </c>
      <c r="G1767" s="26">
        <v>11.0</v>
      </c>
      <c r="I1767" s="26" t="s">
        <v>42</v>
      </c>
      <c r="J1767" s="25" t="str">
        <f t="shared" si="31"/>
        <v>No</v>
      </c>
      <c r="K1767" s="25" t="str">
        <f t="shared" si="32"/>
        <v/>
      </c>
      <c r="L1767" s="25" t="str">
        <f t="shared" si="33"/>
        <v/>
      </c>
      <c r="M1767" s="25"/>
      <c r="O1767" s="25"/>
    </row>
    <row r="1768" ht="15.75" customHeight="1">
      <c r="A1768" s="25" t="str">
        <f>IFERROR(__xludf.DUMMYFUNCTION("IF(B1768="""","""",RIGHT(REGEXREPLACE(B1768&amp;"""",""[^0-9]"",""""),9))"),"742983084")</f>
        <v>742983084</v>
      </c>
      <c r="B1768" s="52">
        <v>7.42983084E8</v>
      </c>
      <c r="C1768" s="28" t="s">
        <v>1985</v>
      </c>
      <c r="D1768" s="26" t="s">
        <v>82</v>
      </c>
      <c r="E1768" s="31">
        <v>46228.0</v>
      </c>
      <c r="F1768" s="26" t="s">
        <v>41</v>
      </c>
      <c r="G1768" s="26">
        <v>11.0</v>
      </c>
      <c r="I1768" s="26" t="s">
        <v>42</v>
      </c>
      <c r="J1768" s="25" t="str">
        <f t="shared" si="31"/>
        <v>No</v>
      </c>
      <c r="K1768" s="25" t="str">
        <f t="shared" si="32"/>
        <v/>
      </c>
      <c r="L1768" s="25" t="str">
        <f t="shared" si="33"/>
        <v/>
      </c>
      <c r="M1768" s="25"/>
      <c r="O1768" s="25"/>
    </row>
    <row r="1769" ht="15.75" customHeight="1">
      <c r="A1769" s="25" t="str">
        <f>IFERROR(__xludf.DUMMYFUNCTION("IF(B1769="""","""",RIGHT(REGEXREPLACE(B1769&amp;"""",""[^0-9]"",""""),9))"),"781037909")</f>
        <v>781037909</v>
      </c>
      <c r="B1769" s="52">
        <v>7.81037909E8</v>
      </c>
      <c r="C1769" s="28" t="s">
        <v>1986</v>
      </c>
      <c r="D1769" s="26" t="s">
        <v>45</v>
      </c>
      <c r="E1769" s="31">
        <v>46228.0</v>
      </c>
      <c r="F1769" s="26" t="s">
        <v>84</v>
      </c>
      <c r="G1769" s="26">
        <v>11.0</v>
      </c>
      <c r="I1769" s="26" t="s">
        <v>42</v>
      </c>
      <c r="J1769" s="25" t="str">
        <f t="shared" si="31"/>
        <v>No</v>
      </c>
      <c r="K1769" s="25" t="str">
        <f t="shared" si="32"/>
        <v/>
      </c>
      <c r="L1769" s="25" t="str">
        <f t="shared" si="33"/>
        <v/>
      </c>
      <c r="M1769" s="25"/>
      <c r="O1769" s="25"/>
    </row>
    <row r="1770" ht="15.75" customHeight="1">
      <c r="A1770" s="25" t="str">
        <f>IFERROR(__xludf.DUMMYFUNCTION("IF(B1770="""","""",RIGHT(REGEXREPLACE(B1770&amp;"""",""[^0-9]"",""""),9))"),"767277396")</f>
        <v>767277396</v>
      </c>
      <c r="B1770" s="52">
        <v>7.67277396E8</v>
      </c>
      <c r="C1770" s="28" t="s">
        <v>1987</v>
      </c>
      <c r="D1770" s="26" t="s">
        <v>49</v>
      </c>
      <c r="E1770" s="31">
        <v>46228.0</v>
      </c>
      <c r="F1770" s="26" t="s">
        <v>164</v>
      </c>
      <c r="G1770" s="26">
        <v>7.0</v>
      </c>
      <c r="I1770" s="26" t="s">
        <v>42</v>
      </c>
      <c r="J1770" s="25" t="str">
        <f t="shared" si="31"/>
        <v>No</v>
      </c>
      <c r="K1770" s="25" t="str">
        <f t="shared" si="32"/>
        <v/>
      </c>
      <c r="L1770" s="25" t="str">
        <f t="shared" si="33"/>
        <v/>
      </c>
      <c r="M1770" s="25"/>
      <c r="O1770" s="25"/>
    </row>
    <row r="1771" ht="15.75" customHeight="1">
      <c r="A1771" s="25" t="str">
        <f>IFERROR(__xludf.DUMMYFUNCTION("IF(B1771="""","""",RIGHT(REGEXREPLACE(B1771&amp;"""",""[^0-9]"",""""),9))"),"714774125")</f>
        <v>714774125</v>
      </c>
      <c r="B1771" s="52">
        <v>7.14774125E8</v>
      </c>
      <c r="C1771" s="28" t="s">
        <v>1988</v>
      </c>
      <c r="D1771" s="26" t="s">
        <v>45</v>
      </c>
      <c r="E1771" s="31">
        <v>46228.0</v>
      </c>
      <c r="F1771" s="26" t="s">
        <v>41</v>
      </c>
      <c r="I1771" s="26" t="s">
        <v>42</v>
      </c>
      <c r="J1771" s="25" t="str">
        <f t="shared" si="31"/>
        <v>No</v>
      </c>
      <c r="K1771" s="25" t="str">
        <f t="shared" si="32"/>
        <v/>
      </c>
      <c r="L1771" s="25" t="str">
        <f t="shared" si="33"/>
        <v/>
      </c>
      <c r="M1771" s="25"/>
      <c r="O1771" s="25"/>
    </row>
    <row r="1772" ht="15.75" customHeight="1">
      <c r="A1772" s="25" t="str">
        <f>IFERROR(__xludf.DUMMYFUNCTION("IF(B1772="""","""",RIGHT(REGEXREPLACE(B1772&amp;"""",""[^0-9]"",""""),9))"),"773054675")</f>
        <v>773054675</v>
      </c>
      <c r="B1772" s="52">
        <v>7.73054675E8</v>
      </c>
      <c r="C1772" s="28" t="s">
        <v>1989</v>
      </c>
      <c r="D1772" s="26" t="s">
        <v>49</v>
      </c>
      <c r="E1772" s="31">
        <v>46228.0</v>
      </c>
      <c r="F1772" s="26" t="s">
        <v>46</v>
      </c>
      <c r="G1772" s="26">
        <v>11.0</v>
      </c>
      <c r="I1772" s="26" t="s">
        <v>42</v>
      </c>
      <c r="J1772" s="25" t="str">
        <f t="shared" si="31"/>
        <v>No</v>
      </c>
      <c r="K1772" s="25" t="str">
        <f t="shared" si="32"/>
        <v/>
      </c>
      <c r="L1772" s="25" t="str">
        <f t="shared" si="33"/>
        <v/>
      </c>
      <c r="M1772" s="25"/>
      <c r="O1772" s="25"/>
    </row>
    <row r="1773" ht="15.75" customHeight="1">
      <c r="A1773" s="25" t="str">
        <f>IFERROR(__xludf.DUMMYFUNCTION("IF(B1773="""","""",RIGHT(REGEXREPLACE(B1773&amp;"""",""[^0-9]"",""""),9))"),"783337789")</f>
        <v>783337789</v>
      </c>
      <c r="B1773" s="52">
        <v>7.83337789E8</v>
      </c>
      <c r="C1773" s="28" t="s">
        <v>1990</v>
      </c>
      <c r="D1773" s="26" t="s">
        <v>82</v>
      </c>
      <c r="E1773" s="31">
        <v>46228.0</v>
      </c>
      <c r="F1773" s="26" t="s">
        <v>46</v>
      </c>
      <c r="G1773" s="26">
        <v>11.0</v>
      </c>
      <c r="I1773" s="26" t="s">
        <v>42</v>
      </c>
      <c r="J1773" s="25" t="str">
        <f t="shared" si="31"/>
        <v>No</v>
      </c>
      <c r="K1773" s="25" t="str">
        <f t="shared" si="32"/>
        <v/>
      </c>
      <c r="L1773" s="25" t="str">
        <f t="shared" si="33"/>
        <v/>
      </c>
      <c r="M1773" s="25"/>
      <c r="O1773" s="25"/>
    </row>
    <row r="1774" ht="15.75" customHeight="1">
      <c r="A1774" s="25" t="str">
        <f>IFERROR(__xludf.DUMMYFUNCTION("IF(B1774="""","""",RIGHT(REGEXREPLACE(B1774&amp;"""",""[^0-9]"",""""),9))"),"762453425")</f>
        <v>762453425</v>
      </c>
      <c r="B1774" s="26">
        <v>7.62453425E8</v>
      </c>
      <c r="C1774" s="28" t="s">
        <v>1991</v>
      </c>
      <c r="D1774" s="26" t="s">
        <v>37</v>
      </c>
      <c r="E1774" s="31">
        <v>46228.0</v>
      </c>
      <c r="F1774" s="26" t="s">
        <v>205</v>
      </c>
      <c r="I1774" s="26" t="s">
        <v>42</v>
      </c>
      <c r="J1774" s="25" t="str">
        <f t="shared" si="31"/>
        <v>No</v>
      </c>
      <c r="K1774" s="25" t="str">
        <f t="shared" si="32"/>
        <v/>
      </c>
      <c r="L1774" s="25" t="str">
        <f t="shared" si="33"/>
        <v/>
      </c>
      <c r="M1774" s="25"/>
      <c r="O1774" s="25"/>
    </row>
    <row r="1775" ht="15.75" customHeight="1">
      <c r="A1775" s="25" t="str">
        <f>IFERROR(__xludf.DUMMYFUNCTION("IF(B1775="""","""",RIGHT(REGEXREPLACE(B1775&amp;"""",""[^0-9]"",""""),9))"),"718104634")</f>
        <v>718104634</v>
      </c>
      <c r="B1775" s="52">
        <v>7.18104634E8</v>
      </c>
      <c r="C1775" s="28" t="s">
        <v>1992</v>
      </c>
      <c r="D1775" s="26" t="s">
        <v>49</v>
      </c>
      <c r="E1775" s="31">
        <v>46228.0</v>
      </c>
      <c r="F1775" s="26" t="s">
        <v>41</v>
      </c>
      <c r="G1775" s="26">
        <v>10.0</v>
      </c>
      <c r="I1775" s="26" t="s">
        <v>42</v>
      </c>
      <c r="J1775" s="25" t="str">
        <f t="shared" si="31"/>
        <v>No</v>
      </c>
      <c r="K1775" s="25" t="str">
        <f t="shared" si="32"/>
        <v/>
      </c>
      <c r="L1775" s="25" t="str">
        <f t="shared" si="33"/>
        <v/>
      </c>
      <c r="M1775" s="25"/>
      <c r="O1775" s="25"/>
    </row>
    <row r="1776" ht="15.75" customHeight="1">
      <c r="A1776" s="25" t="str">
        <f>IFERROR(__xludf.DUMMYFUNCTION("IF(B1776="""","""",RIGHT(REGEXREPLACE(B1776&amp;"""",""[^0-9]"",""""),9))"),"763153055")</f>
        <v>763153055</v>
      </c>
      <c r="B1776" s="52">
        <v>7.63153055E8</v>
      </c>
      <c r="C1776" s="28" t="s">
        <v>1993</v>
      </c>
      <c r="D1776" s="26" t="s">
        <v>45</v>
      </c>
      <c r="E1776" s="31">
        <v>46228.0</v>
      </c>
      <c r="F1776" s="26" t="s">
        <v>46</v>
      </c>
      <c r="G1776" s="26">
        <v>11.0</v>
      </c>
      <c r="H1776" s="26" t="s">
        <v>1994</v>
      </c>
      <c r="I1776" s="26" t="s">
        <v>42</v>
      </c>
      <c r="J1776" s="25" t="str">
        <f t="shared" si="31"/>
        <v>No</v>
      </c>
      <c r="K1776" s="25" t="str">
        <f t="shared" si="32"/>
        <v/>
      </c>
      <c r="L1776" s="25" t="str">
        <f t="shared" si="33"/>
        <v/>
      </c>
      <c r="M1776" s="25"/>
      <c r="O1776" s="25"/>
    </row>
    <row r="1777" ht="15.75" customHeight="1">
      <c r="A1777" s="25" t="str">
        <f>IFERROR(__xludf.DUMMYFUNCTION("IF(B1777="""","""",RIGHT(REGEXREPLACE(B1777&amp;"""",""[^0-9]"",""""),9))"),"714288563")</f>
        <v>714288563</v>
      </c>
      <c r="B1777" s="52">
        <v>7.14288563E8</v>
      </c>
      <c r="C1777" s="28" t="s">
        <v>1995</v>
      </c>
      <c r="D1777" s="26" t="s">
        <v>56</v>
      </c>
      <c r="E1777" s="31">
        <v>46228.0</v>
      </c>
      <c r="F1777" s="26" t="s">
        <v>46</v>
      </c>
      <c r="G1777" s="26">
        <v>11.0</v>
      </c>
      <c r="I1777" s="26" t="s">
        <v>42</v>
      </c>
      <c r="J1777" s="25" t="str">
        <f t="shared" si="31"/>
        <v>No</v>
      </c>
      <c r="K1777" s="25" t="str">
        <f t="shared" si="32"/>
        <v/>
      </c>
      <c r="L1777" s="25" t="str">
        <f t="shared" si="33"/>
        <v/>
      </c>
      <c r="M1777" s="25"/>
      <c r="O1777" s="25"/>
    </row>
    <row r="1778" ht="15.75" customHeight="1">
      <c r="A1778" s="25" t="str">
        <f>IFERROR(__xludf.DUMMYFUNCTION("IF(B1778="""","""",RIGHT(REGEXREPLACE(B1778&amp;"""",""[^0-9]"",""""),9))"),"718524766")</f>
        <v>718524766</v>
      </c>
      <c r="B1778" s="26">
        <v>7.18524766E8</v>
      </c>
      <c r="C1778" s="28" t="s">
        <v>1996</v>
      </c>
      <c r="D1778" s="26" t="s">
        <v>37</v>
      </c>
      <c r="E1778" s="31">
        <v>46228.0</v>
      </c>
      <c r="F1778" s="26" t="s">
        <v>46</v>
      </c>
      <c r="G1778" s="26">
        <v>10.0</v>
      </c>
      <c r="I1778" s="26" t="s">
        <v>42</v>
      </c>
      <c r="J1778" s="25" t="str">
        <f t="shared" si="31"/>
        <v>No</v>
      </c>
      <c r="K1778" s="25" t="str">
        <f t="shared" si="32"/>
        <v/>
      </c>
      <c r="L1778" s="25" t="str">
        <f t="shared" si="33"/>
        <v/>
      </c>
      <c r="M1778" s="25"/>
      <c r="O1778" s="25"/>
    </row>
    <row r="1779" ht="15.75" customHeight="1">
      <c r="A1779" s="25" t="str">
        <f>IFERROR(__xludf.DUMMYFUNCTION("IF(B1779="""","""",RIGHT(REGEXREPLACE(B1779&amp;"""",""[^0-9]"",""""),9))"),"703226012")</f>
        <v>703226012</v>
      </c>
      <c r="B1779" s="52">
        <v>7.03226012E8</v>
      </c>
      <c r="C1779" s="28" t="s">
        <v>1997</v>
      </c>
      <c r="D1779" s="26" t="s">
        <v>45</v>
      </c>
      <c r="E1779" s="31">
        <v>46228.0</v>
      </c>
      <c r="F1779" s="26" t="s">
        <v>46</v>
      </c>
      <c r="G1779" s="26">
        <v>11.0</v>
      </c>
      <c r="I1779" s="26" t="s">
        <v>42</v>
      </c>
      <c r="J1779" s="25" t="str">
        <f t="shared" si="31"/>
        <v>No</v>
      </c>
      <c r="K1779" s="25" t="str">
        <f t="shared" si="32"/>
        <v/>
      </c>
      <c r="L1779" s="25" t="str">
        <f t="shared" si="33"/>
        <v/>
      </c>
      <c r="M1779" s="25"/>
      <c r="O1779" s="25"/>
    </row>
    <row r="1780" ht="15.75" customHeight="1">
      <c r="A1780" s="25" t="str">
        <f>IFERROR(__xludf.DUMMYFUNCTION("IF(B1780="""","""",RIGHT(REGEXREPLACE(B1780&amp;"""",""[^0-9]"",""""),9))"),"767792163")</f>
        <v>767792163</v>
      </c>
      <c r="B1780" s="52">
        <v>7.67792163E8</v>
      </c>
      <c r="C1780" s="28" t="s">
        <v>1998</v>
      </c>
      <c r="D1780" s="26" t="s">
        <v>82</v>
      </c>
      <c r="E1780" s="31">
        <v>46228.0</v>
      </c>
      <c r="F1780" s="26" t="s">
        <v>41</v>
      </c>
      <c r="I1780" s="26" t="s">
        <v>42</v>
      </c>
      <c r="J1780" s="25" t="str">
        <f t="shared" si="31"/>
        <v>No</v>
      </c>
      <c r="K1780" s="25" t="str">
        <f t="shared" si="32"/>
        <v/>
      </c>
      <c r="L1780" s="25" t="str">
        <f t="shared" si="33"/>
        <v/>
      </c>
      <c r="M1780" s="25"/>
      <c r="O1780" s="25"/>
    </row>
    <row r="1781" ht="15.75" customHeight="1">
      <c r="A1781" s="25" t="str">
        <f>IFERROR(__xludf.DUMMYFUNCTION("IF(B1781="""","""",RIGHT(REGEXREPLACE(B1781&amp;"""",""[^0-9]"",""""),9))"),"784734587")</f>
        <v>784734587</v>
      </c>
      <c r="B1781" s="52">
        <v>7.84734587E8</v>
      </c>
      <c r="C1781" s="28" t="s">
        <v>1999</v>
      </c>
      <c r="D1781" s="26" t="s">
        <v>49</v>
      </c>
      <c r="E1781" s="31">
        <v>46228.0</v>
      </c>
      <c r="F1781" s="26" t="s">
        <v>46</v>
      </c>
      <c r="G1781" s="26">
        <v>11.0</v>
      </c>
      <c r="I1781" s="26" t="s">
        <v>42</v>
      </c>
      <c r="J1781" s="25" t="str">
        <f t="shared" si="31"/>
        <v>No</v>
      </c>
      <c r="K1781" s="25" t="str">
        <f t="shared" si="32"/>
        <v/>
      </c>
      <c r="L1781" s="25" t="str">
        <f t="shared" si="33"/>
        <v/>
      </c>
      <c r="M1781" s="25"/>
      <c r="O1781" s="25"/>
    </row>
    <row r="1782" ht="15.75" customHeight="1">
      <c r="A1782" s="25" t="str">
        <f>IFERROR(__xludf.DUMMYFUNCTION("IF(B1782="""","""",RIGHT(REGEXREPLACE(B1782&amp;"""",""[^0-9]"",""""),9))"),"701678885")</f>
        <v>701678885</v>
      </c>
      <c r="B1782" s="26">
        <v>7.01678885E8</v>
      </c>
      <c r="C1782" s="28" t="s">
        <v>2000</v>
      </c>
      <c r="D1782" s="26" t="s">
        <v>37</v>
      </c>
      <c r="E1782" s="31">
        <v>46228.0</v>
      </c>
      <c r="F1782" s="26" t="s">
        <v>41</v>
      </c>
      <c r="G1782" s="26">
        <v>11.0</v>
      </c>
      <c r="I1782" s="26" t="s">
        <v>42</v>
      </c>
      <c r="J1782" s="25" t="str">
        <f t="shared" si="31"/>
        <v>No</v>
      </c>
      <c r="K1782" s="25" t="str">
        <f t="shared" si="32"/>
        <v/>
      </c>
      <c r="L1782" s="25" t="str">
        <f t="shared" si="33"/>
        <v/>
      </c>
      <c r="M1782" s="25"/>
      <c r="O1782" s="25"/>
    </row>
    <row r="1783" ht="15.75" customHeight="1">
      <c r="A1783" s="25" t="str">
        <f>IFERROR(__xludf.DUMMYFUNCTION("IF(B1783="""","""",RIGHT(REGEXREPLACE(B1783&amp;"""",""[^0-9]"",""""),9))"),"761418758")</f>
        <v>761418758</v>
      </c>
      <c r="B1783" s="52">
        <v>7.61418758E8</v>
      </c>
      <c r="C1783" s="28" t="s">
        <v>2001</v>
      </c>
      <c r="D1783" s="26" t="s">
        <v>56</v>
      </c>
      <c r="E1783" s="31">
        <v>46228.0</v>
      </c>
      <c r="F1783" s="26" t="s">
        <v>46</v>
      </c>
      <c r="G1783" s="26">
        <v>10.0</v>
      </c>
      <c r="I1783" s="26" t="s">
        <v>42</v>
      </c>
      <c r="J1783" s="25" t="str">
        <f t="shared" si="31"/>
        <v>No</v>
      </c>
      <c r="K1783" s="25" t="str">
        <f t="shared" si="32"/>
        <v/>
      </c>
      <c r="L1783" s="25" t="str">
        <f t="shared" si="33"/>
        <v/>
      </c>
      <c r="M1783" s="25"/>
      <c r="O1783" s="25"/>
    </row>
    <row r="1784" ht="15.75" customHeight="1">
      <c r="A1784" s="25" t="str">
        <f>IFERROR(__xludf.DUMMYFUNCTION("IF(B1784="""","""",RIGHT(REGEXREPLACE(B1784&amp;"""",""[^0-9]"",""""),9))"),"764254588")</f>
        <v>764254588</v>
      </c>
      <c r="B1784" s="52">
        <v>7.64254588E8</v>
      </c>
      <c r="C1784" s="28" t="s">
        <v>2002</v>
      </c>
      <c r="D1784" s="26" t="s">
        <v>82</v>
      </c>
      <c r="E1784" s="31">
        <v>46228.0</v>
      </c>
      <c r="F1784" s="26" t="s">
        <v>46</v>
      </c>
      <c r="G1784" s="26">
        <v>11.0</v>
      </c>
      <c r="I1784" s="26" t="s">
        <v>42</v>
      </c>
      <c r="J1784" s="25" t="str">
        <f t="shared" si="31"/>
        <v>No</v>
      </c>
      <c r="K1784" s="25" t="str">
        <f t="shared" si="32"/>
        <v/>
      </c>
      <c r="L1784" s="25" t="str">
        <f t="shared" si="33"/>
        <v/>
      </c>
      <c r="M1784" s="25"/>
      <c r="O1784" s="25"/>
    </row>
    <row r="1785" ht="15.75" customHeight="1">
      <c r="A1785" s="25" t="str">
        <f>IFERROR(__xludf.DUMMYFUNCTION("IF(B1785="""","""",RIGHT(REGEXREPLACE(B1785&amp;"""",""[^0-9]"",""""),9))"),"760228249")</f>
        <v>760228249</v>
      </c>
      <c r="B1785" s="52">
        <v>7.60228249E8</v>
      </c>
      <c r="C1785" s="28" t="s">
        <v>2003</v>
      </c>
      <c r="D1785" s="26" t="s">
        <v>49</v>
      </c>
      <c r="E1785" s="31">
        <v>46228.0</v>
      </c>
      <c r="F1785" s="26" t="s">
        <v>46</v>
      </c>
      <c r="G1785" s="26">
        <v>10.0</v>
      </c>
      <c r="I1785" s="26" t="s">
        <v>42</v>
      </c>
      <c r="J1785" s="25" t="str">
        <f t="shared" si="31"/>
        <v>No</v>
      </c>
      <c r="K1785" s="25" t="str">
        <f t="shared" si="32"/>
        <v/>
      </c>
      <c r="L1785" s="25" t="str">
        <f t="shared" si="33"/>
        <v/>
      </c>
      <c r="M1785" s="25"/>
      <c r="O1785" s="25"/>
    </row>
    <row r="1786" ht="15.75" customHeight="1">
      <c r="A1786" s="25" t="str">
        <f>IFERROR(__xludf.DUMMYFUNCTION("IF(B1786="""","""",RIGHT(REGEXREPLACE(B1786&amp;"""",""[^0-9]"",""""),9))"),"760503484")</f>
        <v>760503484</v>
      </c>
      <c r="B1786" s="52">
        <v>7.60503484E8</v>
      </c>
      <c r="C1786" s="28" t="s">
        <v>2004</v>
      </c>
      <c r="D1786" s="26" t="s">
        <v>45</v>
      </c>
      <c r="E1786" s="31">
        <v>46228.0</v>
      </c>
      <c r="F1786" s="26" t="s">
        <v>659</v>
      </c>
      <c r="I1786" s="26" t="s">
        <v>42</v>
      </c>
      <c r="J1786" s="25" t="str">
        <f t="shared" si="31"/>
        <v>No</v>
      </c>
      <c r="K1786" s="25" t="str">
        <f t="shared" si="32"/>
        <v/>
      </c>
      <c r="L1786" s="25" t="str">
        <f t="shared" si="33"/>
        <v/>
      </c>
      <c r="M1786" s="25"/>
      <c r="O1786" s="25"/>
    </row>
    <row r="1787" ht="15.75" customHeight="1">
      <c r="A1787" s="25" t="str">
        <f>IFERROR(__xludf.DUMMYFUNCTION("IF(B1787="""","""",RIGHT(REGEXREPLACE(B1787&amp;"""",""[^0-9]"",""""),9))"),"774234954")</f>
        <v>774234954</v>
      </c>
      <c r="B1787" s="52">
        <v>7.74234954E8</v>
      </c>
      <c r="C1787" s="28" t="s">
        <v>2005</v>
      </c>
      <c r="D1787" s="26" t="s">
        <v>82</v>
      </c>
      <c r="E1787" s="31">
        <v>46228.0</v>
      </c>
      <c r="F1787" s="26" t="s">
        <v>46</v>
      </c>
      <c r="G1787" s="26">
        <v>11.0</v>
      </c>
      <c r="I1787" s="26" t="s">
        <v>42</v>
      </c>
      <c r="J1787" s="25" t="str">
        <f t="shared" si="31"/>
        <v>No</v>
      </c>
      <c r="K1787" s="25" t="str">
        <f t="shared" si="32"/>
        <v/>
      </c>
      <c r="L1787" s="25" t="str">
        <f t="shared" si="33"/>
        <v/>
      </c>
      <c r="M1787" s="25"/>
      <c r="O1787" s="25"/>
    </row>
    <row r="1788" ht="15.75" customHeight="1">
      <c r="A1788" s="25" t="str">
        <f>IFERROR(__xludf.DUMMYFUNCTION("IF(B1788="""","""",RIGHT(REGEXREPLACE(B1788&amp;"""",""[^0-9]"",""""),9))"),"702012024")</f>
        <v>702012024</v>
      </c>
      <c r="B1788" s="26">
        <v>7.02012024E8</v>
      </c>
      <c r="C1788" s="28" t="s">
        <v>2003</v>
      </c>
      <c r="D1788" s="26" t="s">
        <v>37</v>
      </c>
      <c r="E1788" s="31">
        <v>46228.0</v>
      </c>
      <c r="F1788" s="26" t="s">
        <v>46</v>
      </c>
      <c r="G1788" s="26">
        <v>11.0</v>
      </c>
      <c r="I1788" s="26" t="s">
        <v>42</v>
      </c>
      <c r="J1788" s="25" t="str">
        <f t="shared" si="31"/>
        <v>No</v>
      </c>
      <c r="K1788" s="25" t="str">
        <f t="shared" si="32"/>
        <v/>
      </c>
      <c r="L1788" s="25" t="str">
        <f t="shared" si="33"/>
        <v/>
      </c>
      <c r="M1788" s="25"/>
      <c r="O1788" s="25"/>
    </row>
    <row r="1789" ht="15.75" customHeight="1">
      <c r="A1789" s="25" t="str">
        <f>IFERROR(__xludf.DUMMYFUNCTION("IF(B1789="""","""",RIGHT(REGEXREPLACE(B1789&amp;"""",""[^0-9]"",""""),9))"),"585420103")</f>
        <v>585420103</v>
      </c>
      <c r="B1789" s="52">
        <v>7.1585420103E10</v>
      </c>
      <c r="C1789" s="28" t="s">
        <v>930</v>
      </c>
      <c r="D1789" s="26" t="s">
        <v>56</v>
      </c>
      <c r="E1789" s="31">
        <v>46228.0</v>
      </c>
      <c r="F1789" s="26" t="s">
        <v>814</v>
      </c>
      <c r="G1789" s="26">
        <v>11.0</v>
      </c>
      <c r="I1789" s="26" t="s">
        <v>42</v>
      </c>
      <c r="J1789" s="25" t="str">
        <f t="shared" si="31"/>
        <v>No</v>
      </c>
      <c r="K1789" s="25" t="str">
        <f t="shared" si="32"/>
        <v/>
      </c>
      <c r="L1789" s="25" t="str">
        <f t="shared" si="33"/>
        <v/>
      </c>
      <c r="M1789" s="25"/>
      <c r="O1789" s="25"/>
    </row>
    <row r="1790" ht="15.75" customHeight="1">
      <c r="A1790" s="25" t="str">
        <f>IFERROR(__xludf.DUMMYFUNCTION("IF(B1790="""","""",RIGHT(REGEXREPLACE(B1790&amp;"""",""[^0-9]"",""""),9))"),"715923886")</f>
        <v>715923886</v>
      </c>
      <c r="B1790" s="52">
        <v>7.15923886E8</v>
      </c>
      <c r="C1790" s="28" t="s">
        <v>2006</v>
      </c>
      <c r="D1790" s="26" t="s">
        <v>45</v>
      </c>
      <c r="E1790" s="31">
        <v>46228.0</v>
      </c>
      <c r="F1790" s="26" t="s">
        <v>46</v>
      </c>
      <c r="G1790" s="26">
        <v>10.0</v>
      </c>
      <c r="I1790" s="26" t="s">
        <v>42</v>
      </c>
      <c r="J1790" s="25" t="str">
        <f t="shared" si="31"/>
        <v>No</v>
      </c>
      <c r="K1790" s="25" t="str">
        <f t="shared" si="32"/>
        <v/>
      </c>
      <c r="L1790" s="25" t="str">
        <f t="shared" si="33"/>
        <v/>
      </c>
      <c r="M1790" s="25"/>
      <c r="O1790" s="25"/>
    </row>
    <row r="1791" ht="15.75" customHeight="1">
      <c r="A1791" s="25" t="str">
        <f>IFERROR(__xludf.DUMMYFUNCTION("IF(B1791="""","""",RIGHT(REGEXREPLACE(B1791&amp;"""",""[^0-9]"",""""),9))"),"712103296")</f>
        <v>712103296</v>
      </c>
      <c r="B1791" s="52">
        <v>7.12103296E8</v>
      </c>
      <c r="C1791" s="28" t="s">
        <v>2007</v>
      </c>
      <c r="D1791" s="26" t="s">
        <v>49</v>
      </c>
      <c r="E1791" s="31">
        <v>46228.0</v>
      </c>
      <c r="F1791" s="26" t="s">
        <v>46</v>
      </c>
      <c r="G1791" s="26">
        <v>11.0</v>
      </c>
      <c r="I1791" s="26" t="s">
        <v>42</v>
      </c>
      <c r="J1791" s="25" t="str">
        <f t="shared" si="31"/>
        <v>No</v>
      </c>
      <c r="K1791" s="25" t="str">
        <f t="shared" si="32"/>
        <v/>
      </c>
      <c r="L1791" s="25" t="str">
        <f t="shared" si="33"/>
        <v/>
      </c>
      <c r="M1791" s="25"/>
      <c r="O1791" s="25"/>
    </row>
    <row r="1792" ht="15.75" customHeight="1">
      <c r="A1792" s="25" t="str">
        <f>IFERROR(__xludf.DUMMYFUNCTION("IF(B1792="""","""",RIGHT(REGEXREPLACE(B1792&amp;"""",""[^0-9]"",""""),9))"),"763867897")</f>
        <v>763867897</v>
      </c>
      <c r="B1792" s="52">
        <v>7.63867897E8</v>
      </c>
      <c r="C1792" s="28" t="s">
        <v>2008</v>
      </c>
      <c r="D1792" s="26" t="s">
        <v>82</v>
      </c>
      <c r="E1792" s="31">
        <v>46228.0</v>
      </c>
      <c r="F1792" s="26" t="s">
        <v>46</v>
      </c>
      <c r="G1792" s="26">
        <v>10.0</v>
      </c>
      <c r="I1792" s="26" t="s">
        <v>42</v>
      </c>
      <c r="J1792" s="25" t="str">
        <f t="shared" si="31"/>
        <v>No</v>
      </c>
      <c r="K1792" s="25" t="str">
        <f t="shared" si="32"/>
        <v/>
      </c>
      <c r="L1792" s="25" t="str">
        <f t="shared" si="33"/>
        <v/>
      </c>
      <c r="M1792" s="25"/>
      <c r="O1792" s="25"/>
    </row>
    <row r="1793" ht="15.75" customHeight="1">
      <c r="A1793" s="25" t="str">
        <f>IFERROR(__xludf.DUMMYFUNCTION("IF(B1793="""","""",RIGHT(REGEXREPLACE(B1793&amp;"""",""[^0-9]"",""""),9))"),"766590969")</f>
        <v>766590969</v>
      </c>
      <c r="B1793" s="26">
        <v>7.66590969E8</v>
      </c>
      <c r="C1793" s="28" t="s">
        <v>2006</v>
      </c>
      <c r="D1793" s="26" t="s">
        <v>37</v>
      </c>
      <c r="E1793" s="31">
        <v>46228.0</v>
      </c>
      <c r="F1793" s="26" t="s">
        <v>46</v>
      </c>
      <c r="G1793" s="26">
        <v>11.0</v>
      </c>
      <c r="I1793" s="26" t="s">
        <v>42</v>
      </c>
      <c r="J1793" s="25" t="str">
        <f t="shared" si="31"/>
        <v>No</v>
      </c>
      <c r="K1793" s="25" t="str">
        <f t="shared" si="32"/>
        <v/>
      </c>
      <c r="L1793" s="25" t="str">
        <f t="shared" si="33"/>
        <v/>
      </c>
      <c r="M1793" s="25"/>
      <c r="O1793" s="25"/>
    </row>
    <row r="1794" ht="15.75" customHeight="1">
      <c r="A1794" s="25" t="str">
        <f>IFERROR(__xludf.DUMMYFUNCTION("IF(B1794="""","""",RIGHT(REGEXREPLACE(B1794&amp;"""",""[^0-9]"",""""),9))"),"778071147")</f>
        <v>778071147</v>
      </c>
      <c r="B1794" s="52">
        <v>7.78071147E8</v>
      </c>
      <c r="C1794" s="28" t="s">
        <v>2009</v>
      </c>
      <c r="D1794" s="26" t="s">
        <v>82</v>
      </c>
      <c r="E1794" s="31">
        <v>46228.0</v>
      </c>
      <c r="F1794" s="26" t="s">
        <v>659</v>
      </c>
      <c r="I1794" s="26" t="s">
        <v>42</v>
      </c>
      <c r="J1794" s="25" t="str">
        <f t="shared" si="31"/>
        <v>No</v>
      </c>
      <c r="K1794" s="25" t="str">
        <f t="shared" si="32"/>
        <v/>
      </c>
      <c r="L1794" s="25" t="str">
        <f t="shared" si="33"/>
        <v/>
      </c>
      <c r="M1794" s="25"/>
      <c r="O1794" s="25"/>
    </row>
    <row r="1795" ht="15.75" customHeight="1">
      <c r="A1795" s="25" t="str">
        <f>IFERROR(__xludf.DUMMYFUNCTION("IF(B1795="""","""",RIGHT(REGEXREPLACE(B1795&amp;"""",""[^0-9]"",""""),9))"),"706995111")</f>
        <v>706995111</v>
      </c>
      <c r="B1795" s="52">
        <v>7.06995111E8</v>
      </c>
      <c r="C1795" s="28" t="s">
        <v>2010</v>
      </c>
      <c r="D1795" s="26" t="s">
        <v>45</v>
      </c>
      <c r="E1795" s="31">
        <v>46228.0</v>
      </c>
      <c r="F1795" s="26" t="s">
        <v>46</v>
      </c>
      <c r="G1795" s="26" t="s">
        <v>2011</v>
      </c>
      <c r="I1795" s="26" t="s">
        <v>42</v>
      </c>
      <c r="J1795" s="25" t="str">
        <f t="shared" si="31"/>
        <v>No</v>
      </c>
      <c r="K1795" s="25" t="str">
        <f t="shared" si="32"/>
        <v/>
      </c>
      <c r="L1795" s="25" t="str">
        <f t="shared" si="33"/>
        <v/>
      </c>
      <c r="M1795" s="25"/>
      <c r="O1795" s="25"/>
    </row>
    <row r="1796" ht="15.75" customHeight="1">
      <c r="A1796" s="25" t="str">
        <f>IFERROR(__xludf.DUMMYFUNCTION("IF(B1796="""","""",RIGHT(REGEXREPLACE(B1796&amp;"""",""[^0-9]"",""""),9))"),"769064817")</f>
        <v>769064817</v>
      </c>
      <c r="B1796" s="52">
        <v>7.69064817E8</v>
      </c>
      <c r="C1796" s="28" t="s">
        <v>2009</v>
      </c>
      <c r="D1796" s="26" t="s">
        <v>56</v>
      </c>
      <c r="E1796" s="31">
        <v>46228.0</v>
      </c>
      <c r="F1796" s="26" t="s">
        <v>46</v>
      </c>
      <c r="G1796" s="26">
        <v>11.0</v>
      </c>
      <c r="I1796" s="26" t="s">
        <v>42</v>
      </c>
      <c r="J1796" s="25" t="str">
        <f t="shared" si="31"/>
        <v>Yes - see Previous F-Code</v>
      </c>
      <c r="K1796" s="25" t="str">
        <f t="shared" si="32"/>
        <v>DUPLICATE - CHECK</v>
      </c>
      <c r="L1796" s="25" t="str">
        <f t="shared" si="33"/>
        <v>F71241</v>
      </c>
      <c r="M1796" s="25"/>
      <c r="O1796" s="25"/>
    </row>
    <row r="1797" ht="15.75" customHeight="1">
      <c r="A1797" s="25" t="str">
        <f>IFERROR(__xludf.DUMMYFUNCTION("IF(B1797="""","""",RIGHT(REGEXREPLACE(B1797&amp;"""",""[^0-9]"",""""),9))"),"713371006")</f>
        <v>713371006</v>
      </c>
      <c r="B1797" s="52">
        <v>7.13371006E8</v>
      </c>
      <c r="C1797" s="28" t="s">
        <v>2012</v>
      </c>
      <c r="D1797" s="26" t="s">
        <v>82</v>
      </c>
      <c r="E1797" s="31">
        <v>46228.0</v>
      </c>
      <c r="F1797" s="25"/>
      <c r="G1797" s="25"/>
      <c r="H1797" s="25"/>
      <c r="I1797" s="26" t="s">
        <v>42</v>
      </c>
      <c r="J1797" s="25" t="str">
        <f t="shared" si="31"/>
        <v>No</v>
      </c>
      <c r="K1797" s="25" t="str">
        <f t="shared" si="32"/>
        <v/>
      </c>
      <c r="L1797" s="25" t="str">
        <f t="shared" si="33"/>
        <v/>
      </c>
      <c r="M1797" s="25"/>
      <c r="N1797" s="25"/>
      <c r="O1797" s="25"/>
      <c r="P1797" s="25"/>
    </row>
    <row r="1798" ht="15.75" customHeight="1">
      <c r="A1798" s="25" t="str">
        <f>IFERROR(__xludf.DUMMYFUNCTION("IF(B1798="""","""",RIGHT(REGEXREPLACE(B1798&amp;"""",""[^0-9]"",""""),9))"),"768846589")</f>
        <v>768846589</v>
      </c>
      <c r="B1798" s="52">
        <v>7.68846589E8</v>
      </c>
      <c r="C1798" s="28" t="s">
        <v>2013</v>
      </c>
      <c r="D1798" s="26" t="s">
        <v>49</v>
      </c>
      <c r="E1798" s="31">
        <v>46228.0</v>
      </c>
      <c r="F1798" s="26" t="s">
        <v>205</v>
      </c>
      <c r="G1798" s="26">
        <v>11.0</v>
      </c>
      <c r="I1798" s="26" t="s">
        <v>42</v>
      </c>
      <c r="J1798" s="25" t="str">
        <f t="shared" si="31"/>
        <v>No</v>
      </c>
      <c r="K1798" s="25" t="str">
        <f t="shared" si="32"/>
        <v/>
      </c>
      <c r="L1798" s="25" t="str">
        <f t="shared" si="33"/>
        <v/>
      </c>
      <c r="M1798" s="25"/>
      <c r="O1798" s="25"/>
    </row>
    <row r="1799" ht="15.75" customHeight="1">
      <c r="A1799" s="25" t="str">
        <f>IFERROR(__xludf.DUMMYFUNCTION("IF(B1799="""","""",RIGHT(REGEXREPLACE(B1799&amp;"""",""[^0-9]"",""""),9))"),"706551511")</f>
        <v>706551511</v>
      </c>
      <c r="B1799" s="52">
        <v>7.06551511E8</v>
      </c>
      <c r="C1799" s="28" t="s">
        <v>2014</v>
      </c>
      <c r="D1799" s="26" t="s">
        <v>49</v>
      </c>
      <c r="E1799" s="31">
        <v>46228.0</v>
      </c>
      <c r="F1799" s="26" t="s">
        <v>46</v>
      </c>
      <c r="G1799" s="26">
        <v>11.0</v>
      </c>
      <c r="I1799" s="26" t="s">
        <v>42</v>
      </c>
      <c r="J1799" s="25" t="str">
        <f t="shared" si="31"/>
        <v>No</v>
      </c>
      <c r="K1799" s="25" t="str">
        <f t="shared" si="32"/>
        <v/>
      </c>
      <c r="L1799" s="25" t="str">
        <f t="shared" si="33"/>
        <v/>
      </c>
      <c r="M1799" s="25"/>
      <c r="O1799" s="25"/>
    </row>
    <row r="1800" ht="15.75" customHeight="1">
      <c r="A1800" s="25" t="str">
        <f>IFERROR(__xludf.DUMMYFUNCTION("IF(B1800="""","""",RIGHT(REGEXREPLACE(B1800&amp;"""",""[^0-9]"",""""),9))"),"717653380")</f>
        <v>717653380</v>
      </c>
      <c r="B1800" s="26">
        <v>7.1765338E8</v>
      </c>
      <c r="C1800" s="28" t="s">
        <v>2015</v>
      </c>
      <c r="D1800" s="26" t="s">
        <v>37</v>
      </c>
      <c r="E1800" s="31">
        <v>46228.0</v>
      </c>
      <c r="F1800" s="26" t="s">
        <v>46</v>
      </c>
      <c r="G1800" s="26">
        <v>11.0</v>
      </c>
      <c r="I1800" s="26" t="s">
        <v>42</v>
      </c>
      <c r="J1800" s="25" t="str">
        <f t="shared" si="31"/>
        <v>No</v>
      </c>
      <c r="K1800" s="25" t="str">
        <f t="shared" si="32"/>
        <v/>
      </c>
      <c r="L1800" s="25" t="str">
        <f t="shared" si="33"/>
        <v/>
      </c>
      <c r="M1800" s="25"/>
      <c r="O1800" s="25"/>
    </row>
    <row r="1801" ht="15.75" customHeight="1">
      <c r="A1801" s="25" t="str">
        <f>IFERROR(__xludf.DUMMYFUNCTION("IF(B1801="""","""",RIGHT(REGEXREPLACE(B1801&amp;"""",""[^0-9]"",""""),9))"),"775293522")</f>
        <v>775293522</v>
      </c>
      <c r="B1801" s="52">
        <v>7.75293522E8</v>
      </c>
      <c r="C1801" s="28" t="s">
        <v>2016</v>
      </c>
      <c r="D1801" s="26" t="s">
        <v>56</v>
      </c>
      <c r="E1801" s="31">
        <v>46228.0</v>
      </c>
      <c r="F1801" s="26" t="s">
        <v>41</v>
      </c>
      <c r="G1801" s="26">
        <v>11.0</v>
      </c>
      <c r="I1801" s="26" t="s">
        <v>42</v>
      </c>
      <c r="J1801" s="25" t="str">
        <f t="shared" si="31"/>
        <v>No</v>
      </c>
      <c r="K1801" s="25" t="str">
        <f t="shared" si="32"/>
        <v/>
      </c>
      <c r="L1801" s="25" t="str">
        <f t="shared" si="33"/>
        <v/>
      </c>
      <c r="M1801" s="25"/>
      <c r="O1801" s="25"/>
    </row>
    <row r="1802" ht="15.75" customHeight="1">
      <c r="A1802" s="25" t="str">
        <f>IFERROR(__xludf.DUMMYFUNCTION("IF(B1802="""","""",RIGHT(REGEXREPLACE(B1802&amp;"""",""[^0-9]"",""""),9))"),"776746061")</f>
        <v>776746061</v>
      </c>
      <c r="B1802" s="52">
        <v>7.76746061E8</v>
      </c>
      <c r="C1802" s="28" t="s">
        <v>2017</v>
      </c>
      <c r="D1802" s="26" t="s">
        <v>45</v>
      </c>
      <c r="E1802" s="31">
        <v>46228.0</v>
      </c>
      <c r="F1802" s="26" t="s">
        <v>46</v>
      </c>
      <c r="G1802" s="26">
        <v>11.0</v>
      </c>
      <c r="I1802" s="26" t="s">
        <v>42</v>
      </c>
      <c r="J1802" s="25" t="str">
        <f t="shared" si="31"/>
        <v>No</v>
      </c>
      <c r="K1802" s="25" t="str">
        <f t="shared" si="32"/>
        <v/>
      </c>
      <c r="L1802" s="25" t="str">
        <f t="shared" si="33"/>
        <v/>
      </c>
      <c r="M1802" s="25"/>
      <c r="O1802" s="25"/>
    </row>
    <row r="1803" ht="15.75" customHeight="1">
      <c r="A1803" s="25" t="str">
        <f>IFERROR(__xludf.DUMMYFUNCTION("IF(B1803="""","""",RIGHT(REGEXREPLACE(B1803&amp;"""",""[^0-9]"",""""),9))"),"767592507")</f>
        <v>767592507</v>
      </c>
      <c r="B1803" s="52">
        <v>7.67592507E8</v>
      </c>
      <c r="C1803" s="28" t="s">
        <v>2018</v>
      </c>
      <c r="D1803" s="26" t="s">
        <v>49</v>
      </c>
      <c r="E1803" s="31">
        <v>46228.0</v>
      </c>
      <c r="F1803" s="26" t="s">
        <v>46</v>
      </c>
      <c r="G1803" s="26">
        <v>10.0</v>
      </c>
      <c r="I1803" s="26" t="s">
        <v>42</v>
      </c>
      <c r="J1803" s="25" t="str">
        <f t="shared" si="31"/>
        <v>No</v>
      </c>
      <c r="K1803" s="25" t="str">
        <f t="shared" si="32"/>
        <v/>
      </c>
      <c r="L1803" s="25" t="str">
        <f t="shared" si="33"/>
        <v/>
      </c>
      <c r="M1803" s="25"/>
      <c r="O1803" s="25"/>
    </row>
    <row r="1804" ht="15.75" customHeight="1">
      <c r="A1804" s="25" t="str">
        <f>IFERROR(__xludf.DUMMYFUNCTION("IF(B1804="""","""",RIGHT(REGEXREPLACE(B1804&amp;"""",""[^0-9]"",""""),9))"),"768375938")</f>
        <v>768375938</v>
      </c>
      <c r="B1804" s="52">
        <v>7.68375938E8</v>
      </c>
      <c r="C1804" s="28" t="s">
        <v>2019</v>
      </c>
      <c r="D1804" s="26" t="s">
        <v>82</v>
      </c>
      <c r="E1804" s="31">
        <v>46228.0</v>
      </c>
      <c r="F1804" s="26" t="s">
        <v>46</v>
      </c>
      <c r="G1804" s="26">
        <v>11.0</v>
      </c>
      <c r="I1804" s="26" t="s">
        <v>42</v>
      </c>
      <c r="J1804" s="25" t="str">
        <f t="shared" si="31"/>
        <v>No</v>
      </c>
      <c r="K1804" s="25" t="str">
        <f t="shared" si="32"/>
        <v/>
      </c>
      <c r="L1804" s="25" t="str">
        <f t="shared" si="33"/>
        <v/>
      </c>
      <c r="M1804" s="25"/>
      <c r="O1804" s="25"/>
    </row>
    <row r="1805" ht="15.75" customHeight="1">
      <c r="A1805" s="25" t="str">
        <f>IFERROR(__xludf.DUMMYFUNCTION("IF(B1805="""","""",RIGHT(REGEXREPLACE(B1805&amp;"""",""[^0-9]"",""""),9))"),"764057825")</f>
        <v>764057825</v>
      </c>
      <c r="B1805" s="26">
        <v>7.64057825E8</v>
      </c>
      <c r="C1805" s="28" t="s">
        <v>2020</v>
      </c>
      <c r="D1805" s="26" t="s">
        <v>37</v>
      </c>
      <c r="E1805" s="31">
        <v>46228.0</v>
      </c>
      <c r="F1805" s="26" t="s">
        <v>41</v>
      </c>
      <c r="I1805" s="26" t="s">
        <v>42</v>
      </c>
      <c r="J1805" s="25" t="str">
        <f t="shared" si="31"/>
        <v>No</v>
      </c>
      <c r="K1805" s="25" t="str">
        <f t="shared" si="32"/>
        <v/>
      </c>
      <c r="L1805" s="25" t="str">
        <f t="shared" si="33"/>
        <v/>
      </c>
      <c r="M1805" s="25"/>
      <c r="O1805" s="25"/>
    </row>
    <row r="1806" ht="15.75" customHeight="1">
      <c r="A1806" s="25" t="str">
        <f>IFERROR(__xludf.DUMMYFUNCTION("IF(B1806="""","""",RIGHT(REGEXREPLACE(B1806&amp;"""",""[^0-9]"",""""),9))"),"761118065")</f>
        <v>761118065</v>
      </c>
      <c r="B1806" s="52">
        <v>7.61118065E8</v>
      </c>
      <c r="C1806" s="28" t="s">
        <v>2021</v>
      </c>
      <c r="D1806" s="26" t="s">
        <v>45</v>
      </c>
      <c r="E1806" s="31">
        <v>46228.0</v>
      </c>
      <c r="F1806" s="26" t="s">
        <v>46</v>
      </c>
      <c r="G1806" s="26">
        <v>11.0</v>
      </c>
      <c r="I1806" s="26" t="s">
        <v>42</v>
      </c>
      <c r="J1806" s="25" t="str">
        <f t="shared" si="31"/>
        <v>No</v>
      </c>
      <c r="K1806" s="25" t="str">
        <f t="shared" si="32"/>
        <v/>
      </c>
      <c r="L1806" s="25" t="str">
        <f t="shared" si="33"/>
        <v/>
      </c>
      <c r="M1806" s="25"/>
      <c r="O1806" s="25"/>
    </row>
    <row r="1807" ht="15.75" customHeight="1">
      <c r="A1807" s="25" t="str">
        <f>IFERROR(__xludf.DUMMYFUNCTION("IF(B1807="""","""",RIGHT(REGEXREPLACE(B1807&amp;"""",""[^0-9]"",""""),9))"),"758874371")</f>
        <v>758874371</v>
      </c>
      <c r="B1807" s="52">
        <v>7.58874371E8</v>
      </c>
      <c r="C1807" s="28" t="s">
        <v>2022</v>
      </c>
      <c r="D1807" s="26" t="s">
        <v>56</v>
      </c>
      <c r="E1807" s="31">
        <v>46228.0</v>
      </c>
      <c r="F1807" s="26" t="s">
        <v>46</v>
      </c>
      <c r="G1807" s="26">
        <v>11.0</v>
      </c>
      <c r="I1807" s="26" t="s">
        <v>42</v>
      </c>
      <c r="J1807" s="25" t="str">
        <f t="shared" si="31"/>
        <v>No</v>
      </c>
      <c r="K1807" s="25" t="str">
        <f t="shared" si="32"/>
        <v/>
      </c>
      <c r="L1807" s="25" t="str">
        <f t="shared" si="33"/>
        <v/>
      </c>
      <c r="M1807" s="25"/>
      <c r="O1807" s="25"/>
    </row>
    <row r="1808" ht="15.75" customHeight="1">
      <c r="A1808" s="25" t="str">
        <f>IFERROR(__xludf.DUMMYFUNCTION("IF(B1808="""","""",RIGHT(REGEXREPLACE(B1808&amp;"""",""[^0-9]"",""""),9))"),"774171497")</f>
        <v>774171497</v>
      </c>
      <c r="B1808" s="52">
        <v>7.74171497E8</v>
      </c>
      <c r="C1808" s="28" t="s">
        <v>2023</v>
      </c>
      <c r="D1808" s="26" t="s">
        <v>49</v>
      </c>
      <c r="E1808" s="31">
        <v>46228.0</v>
      </c>
      <c r="F1808" s="26" t="s">
        <v>659</v>
      </c>
      <c r="G1808" s="26">
        <v>11.0</v>
      </c>
      <c r="I1808" s="26" t="s">
        <v>42</v>
      </c>
      <c r="J1808" s="25" t="str">
        <f t="shared" si="31"/>
        <v>No</v>
      </c>
      <c r="K1808" s="25" t="str">
        <f t="shared" si="32"/>
        <v/>
      </c>
      <c r="L1808" s="25" t="str">
        <f t="shared" si="33"/>
        <v/>
      </c>
      <c r="M1808" s="25"/>
      <c r="O1808" s="25"/>
    </row>
    <row r="1809" ht="15.75" customHeight="1">
      <c r="A1809" s="25" t="str">
        <f>IFERROR(__xludf.DUMMYFUNCTION("IF(B1809="""","""",RIGHT(REGEXREPLACE(B1809&amp;"""",""[^0-9]"",""""),9))"),"727179821")</f>
        <v>727179821</v>
      </c>
      <c r="B1809" s="52">
        <v>7.27179821E8</v>
      </c>
      <c r="C1809" s="28" t="s">
        <v>2024</v>
      </c>
      <c r="D1809" s="26" t="s">
        <v>49</v>
      </c>
      <c r="E1809" s="31">
        <v>46228.0</v>
      </c>
      <c r="F1809" s="26" t="s">
        <v>41</v>
      </c>
      <c r="G1809" s="26">
        <v>11.0</v>
      </c>
      <c r="I1809" s="26" t="s">
        <v>42</v>
      </c>
      <c r="J1809" s="25" t="str">
        <f t="shared" si="31"/>
        <v>No</v>
      </c>
      <c r="K1809" s="25" t="str">
        <f t="shared" si="32"/>
        <v/>
      </c>
      <c r="L1809" s="25" t="str">
        <f t="shared" si="33"/>
        <v/>
      </c>
      <c r="M1809" s="25"/>
      <c r="O1809" s="25"/>
    </row>
    <row r="1810" ht="15.75" customHeight="1">
      <c r="A1810" s="25" t="str">
        <f>IFERROR(__xludf.DUMMYFUNCTION("IF(B1810="""","""",RIGHT(REGEXREPLACE(B1810&amp;"""",""[^0-9]"",""""),9))"),"703449363")</f>
        <v>703449363</v>
      </c>
      <c r="B1810" s="52">
        <v>7.03449363E8</v>
      </c>
      <c r="C1810" s="28" t="s">
        <v>2025</v>
      </c>
      <c r="D1810" s="26" t="s">
        <v>45</v>
      </c>
      <c r="E1810" s="31">
        <v>46228.0</v>
      </c>
      <c r="F1810" s="26" t="s">
        <v>46</v>
      </c>
      <c r="G1810" s="26">
        <v>11.0</v>
      </c>
      <c r="I1810" s="26" t="s">
        <v>42</v>
      </c>
      <c r="J1810" s="25" t="str">
        <f t="shared" si="31"/>
        <v>No</v>
      </c>
      <c r="K1810" s="25" t="str">
        <f t="shared" si="32"/>
        <v/>
      </c>
      <c r="L1810" s="25" t="str">
        <f t="shared" si="33"/>
        <v/>
      </c>
      <c r="M1810" s="25"/>
      <c r="O1810" s="25"/>
    </row>
    <row r="1811" ht="15.75" customHeight="1">
      <c r="A1811" s="25" t="str">
        <f>IFERROR(__xludf.DUMMYFUNCTION("IF(B1811="""","""",RIGHT(REGEXREPLACE(B1811&amp;"""",""[^0-9]"",""""),9))"),"772924040")</f>
        <v>772924040</v>
      </c>
      <c r="B1811" s="52">
        <v>7.7292404E8</v>
      </c>
      <c r="C1811" s="28" t="s">
        <v>2026</v>
      </c>
      <c r="D1811" s="26" t="s">
        <v>82</v>
      </c>
      <c r="E1811" s="31">
        <v>46228.0</v>
      </c>
      <c r="F1811" s="26" t="s">
        <v>46</v>
      </c>
      <c r="G1811" s="26">
        <v>11.0</v>
      </c>
      <c r="I1811" s="26" t="s">
        <v>42</v>
      </c>
      <c r="J1811" s="25" t="str">
        <f t="shared" si="31"/>
        <v>No</v>
      </c>
      <c r="K1811" s="25" t="str">
        <f t="shared" si="32"/>
        <v/>
      </c>
      <c r="L1811" s="25" t="str">
        <f t="shared" si="33"/>
        <v/>
      </c>
      <c r="M1811" s="25"/>
      <c r="O1811" s="25"/>
    </row>
    <row r="1812" ht="15.75" customHeight="1">
      <c r="A1812" s="25" t="str">
        <f>IFERROR(__xludf.DUMMYFUNCTION("IF(B1812="""","""",RIGHT(REGEXREPLACE(B1812&amp;"""",""[^0-9]"",""""),9))"),"751626944")</f>
        <v>751626944</v>
      </c>
      <c r="B1812" s="52">
        <v>7.51626944E8</v>
      </c>
      <c r="C1812" s="28" t="s">
        <v>2027</v>
      </c>
      <c r="D1812" s="26" t="s">
        <v>45</v>
      </c>
      <c r="E1812" s="31">
        <v>46228.0</v>
      </c>
      <c r="F1812" s="26" t="s">
        <v>41</v>
      </c>
      <c r="I1812" s="26" t="s">
        <v>42</v>
      </c>
      <c r="J1812" s="25" t="str">
        <f t="shared" si="31"/>
        <v>No</v>
      </c>
      <c r="K1812" s="25" t="str">
        <f t="shared" si="32"/>
        <v/>
      </c>
      <c r="L1812" s="25" t="str">
        <f t="shared" si="33"/>
        <v/>
      </c>
      <c r="M1812" s="25"/>
      <c r="O1812" s="25"/>
    </row>
    <row r="1813" ht="15.75" customHeight="1">
      <c r="A1813" s="25" t="str">
        <f>IFERROR(__xludf.DUMMYFUNCTION("IF(B1813="""","""",RIGHT(REGEXREPLACE(B1813&amp;"""",""[^0-9]"",""""),9))"),"766332372")</f>
        <v>766332372</v>
      </c>
      <c r="B1813" s="52">
        <v>7.66332372E8</v>
      </c>
      <c r="C1813" s="28" t="s">
        <v>2028</v>
      </c>
      <c r="D1813" s="26" t="s">
        <v>49</v>
      </c>
      <c r="E1813" s="31">
        <v>46228.0</v>
      </c>
      <c r="F1813" s="26" t="s">
        <v>41</v>
      </c>
      <c r="G1813" s="26">
        <v>11.0</v>
      </c>
      <c r="I1813" s="26" t="s">
        <v>42</v>
      </c>
      <c r="J1813" s="25" t="str">
        <f t="shared" si="31"/>
        <v>No</v>
      </c>
      <c r="K1813" s="25" t="str">
        <f t="shared" si="32"/>
        <v/>
      </c>
      <c r="L1813" s="25" t="str">
        <f t="shared" si="33"/>
        <v/>
      </c>
      <c r="M1813" s="25"/>
      <c r="O1813" s="25"/>
    </row>
    <row r="1814" ht="15.75" customHeight="1">
      <c r="A1814" s="25" t="str">
        <f>IFERROR(__xludf.DUMMYFUNCTION("IF(B1814="""","""",RIGHT(REGEXREPLACE(B1814&amp;"""",""[^0-9]"",""""),9))"),"718745144")</f>
        <v>718745144</v>
      </c>
      <c r="B1814" s="52">
        <v>7.18745144E8</v>
      </c>
      <c r="C1814" s="28" t="s">
        <v>2029</v>
      </c>
      <c r="D1814" s="26" t="s">
        <v>56</v>
      </c>
      <c r="E1814" s="31">
        <v>46228.0</v>
      </c>
      <c r="F1814" s="26" t="s">
        <v>125</v>
      </c>
      <c r="G1814" s="26">
        <v>11.0</v>
      </c>
      <c r="I1814" s="26" t="s">
        <v>42</v>
      </c>
      <c r="J1814" s="25" t="str">
        <f t="shared" si="31"/>
        <v>No</v>
      </c>
      <c r="K1814" s="25" t="str">
        <f t="shared" si="32"/>
        <v/>
      </c>
      <c r="L1814" s="25" t="str">
        <f t="shared" si="33"/>
        <v/>
      </c>
      <c r="M1814" s="25"/>
      <c r="O1814" s="25"/>
    </row>
    <row r="1815" ht="15.75" customHeight="1">
      <c r="A1815" s="25" t="str">
        <f>IFERROR(__xludf.DUMMYFUNCTION("IF(B1815="""","""",RIGHT(REGEXREPLACE(B1815&amp;"""",""[^0-9]"",""""),9))"),"")</f>
        <v/>
      </c>
      <c r="B1815" s="52"/>
      <c r="C1815" s="28" t="s">
        <v>1433</v>
      </c>
      <c r="D1815" s="26" t="s">
        <v>45</v>
      </c>
      <c r="E1815" s="31">
        <v>46228.0</v>
      </c>
      <c r="F1815" s="25"/>
      <c r="G1815" s="25"/>
      <c r="H1815" s="25"/>
      <c r="I1815" s="26" t="s">
        <v>42</v>
      </c>
      <c r="J1815" s="25" t="str">
        <f t="shared" si="31"/>
        <v>Yes - see Previous F-Code</v>
      </c>
      <c r="K1815" s="25" t="str">
        <f t="shared" si="32"/>
        <v>DUPLICATE - CHECK</v>
      </c>
      <c r="L1815" s="25" t="str">
        <f t="shared" si="33"/>
        <v/>
      </c>
      <c r="M1815" s="25"/>
      <c r="N1815" s="25"/>
      <c r="O1815" s="25"/>
      <c r="P1815" s="25"/>
    </row>
    <row r="1816" ht="15.75" customHeight="1">
      <c r="A1816" s="25" t="str">
        <f>IFERROR(__xludf.DUMMYFUNCTION("IF(B1816="""","""",RIGHT(REGEXREPLACE(B1816&amp;"""",""[^0-9]"",""""),9))"),"771790668")</f>
        <v>771790668</v>
      </c>
      <c r="B1816" s="52">
        <v>7.71790668E8</v>
      </c>
      <c r="C1816" s="28" t="s">
        <v>2030</v>
      </c>
      <c r="D1816" s="26" t="s">
        <v>49</v>
      </c>
      <c r="E1816" s="31">
        <v>46228.0</v>
      </c>
      <c r="F1816" s="26" t="s">
        <v>46</v>
      </c>
      <c r="G1816" s="26">
        <v>10.0</v>
      </c>
      <c r="I1816" s="26" t="s">
        <v>42</v>
      </c>
      <c r="J1816" s="25" t="str">
        <f t="shared" si="31"/>
        <v>No</v>
      </c>
      <c r="K1816" s="25" t="str">
        <f t="shared" si="32"/>
        <v/>
      </c>
      <c r="L1816" s="25" t="str">
        <f t="shared" si="33"/>
        <v/>
      </c>
      <c r="M1816" s="25"/>
      <c r="O1816" s="25"/>
    </row>
    <row r="1817" ht="15.75" customHeight="1">
      <c r="A1817" s="25" t="str">
        <f>IFERROR(__xludf.DUMMYFUNCTION("IF(B1817="""","""",RIGHT(REGEXREPLACE(B1817&amp;"""",""[^0-9]"",""""),9))"),"729723618")</f>
        <v>729723618</v>
      </c>
      <c r="B1817" s="52">
        <v>7.29723618E8</v>
      </c>
      <c r="C1817" s="28" t="s">
        <v>2031</v>
      </c>
      <c r="D1817" s="26" t="s">
        <v>82</v>
      </c>
      <c r="E1817" s="31">
        <v>46228.0</v>
      </c>
      <c r="F1817" s="26" t="s">
        <v>46</v>
      </c>
      <c r="G1817" s="26">
        <v>11.0</v>
      </c>
      <c r="I1817" s="26" t="s">
        <v>42</v>
      </c>
      <c r="J1817" s="25" t="str">
        <f t="shared" si="31"/>
        <v>No</v>
      </c>
      <c r="K1817" s="25" t="str">
        <f t="shared" si="32"/>
        <v/>
      </c>
      <c r="L1817" s="25" t="str">
        <f t="shared" si="33"/>
        <v/>
      </c>
      <c r="M1817" s="25"/>
      <c r="O1817" s="25"/>
    </row>
    <row r="1818" ht="15.75" customHeight="1">
      <c r="A1818" s="25" t="str">
        <f>IFERROR(__xludf.DUMMYFUNCTION("IF(B1818="""","""",RIGHT(REGEXREPLACE(B1818&amp;"""",""[^0-9]"",""""),9))"),"758053932")</f>
        <v>758053932</v>
      </c>
      <c r="B1818" s="52">
        <v>7.58053932E8</v>
      </c>
      <c r="C1818" s="28" t="s">
        <v>2032</v>
      </c>
      <c r="D1818" s="26" t="s">
        <v>45</v>
      </c>
      <c r="E1818" s="31">
        <v>46228.0</v>
      </c>
      <c r="F1818" s="26" t="s">
        <v>41</v>
      </c>
      <c r="I1818" s="26" t="s">
        <v>42</v>
      </c>
      <c r="J1818" s="25" t="str">
        <f t="shared" si="31"/>
        <v>No</v>
      </c>
      <c r="K1818" s="25" t="str">
        <f t="shared" si="32"/>
        <v/>
      </c>
      <c r="L1818" s="25" t="str">
        <f t="shared" si="33"/>
        <v/>
      </c>
      <c r="M1818" s="25"/>
      <c r="O1818" s="25"/>
    </row>
    <row r="1819" ht="15.75" customHeight="1">
      <c r="A1819" s="25" t="str">
        <f>IFERROR(__xludf.DUMMYFUNCTION("IF(B1819="""","""",RIGHT(REGEXREPLACE(B1819&amp;"""",""[^0-9]"",""""),9))"),"751256333")</f>
        <v>751256333</v>
      </c>
      <c r="B1819" s="52">
        <v>7.51256333E8</v>
      </c>
      <c r="C1819" s="28" t="s">
        <v>2033</v>
      </c>
      <c r="D1819" s="26" t="s">
        <v>56</v>
      </c>
      <c r="E1819" s="31">
        <v>46228.0</v>
      </c>
      <c r="F1819" s="26" t="s">
        <v>46</v>
      </c>
      <c r="G1819" s="26">
        <v>5.0</v>
      </c>
      <c r="I1819" s="26" t="s">
        <v>42</v>
      </c>
      <c r="J1819" s="25" t="str">
        <f t="shared" si="31"/>
        <v>No</v>
      </c>
      <c r="K1819" s="25" t="str">
        <f t="shared" si="32"/>
        <v/>
      </c>
      <c r="L1819" s="25" t="str">
        <f t="shared" si="33"/>
        <v/>
      </c>
      <c r="M1819" s="25"/>
      <c r="O1819" s="25"/>
    </row>
    <row r="1820" ht="15.75" customHeight="1">
      <c r="A1820" s="25" t="str">
        <f>IFERROR(__xludf.DUMMYFUNCTION("IF(B1820="""","""",RIGHT(REGEXREPLACE(B1820&amp;"""",""[^0-9]"",""""),9))"),"774629009")</f>
        <v>774629009</v>
      </c>
      <c r="B1820" s="52">
        <v>7.74629009E8</v>
      </c>
      <c r="C1820" s="28" t="s">
        <v>2034</v>
      </c>
      <c r="D1820" s="26" t="s">
        <v>82</v>
      </c>
      <c r="E1820" s="31">
        <v>46228.0</v>
      </c>
      <c r="F1820" s="26" t="s">
        <v>41</v>
      </c>
      <c r="G1820" s="26">
        <v>11.0</v>
      </c>
      <c r="I1820" s="26" t="s">
        <v>42</v>
      </c>
      <c r="J1820" s="25" t="str">
        <f t="shared" si="31"/>
        <v>No</v>
      </c>
      <c r="K1820" s="25" t="str">
        <f t="shared" si="32"/>
        <v/>
      </c>
      <c r="L1820" s="25" t="str">
        <f t="shared" si="33"/>
        <v/>
      </c>
      <c r="M1820" s="25"/>
      <c r="O1820" s="25"/>
    </row>
    <row r="1821" ht="15.75" customHeight="1">
      <c r="A1821" s="25" t="str">
        <f>IFERROR(__xludf.DUMMYFUNCTION("IF(B1821="""","""",RIGHT(REGEXREPLACE(B1821&amp;"""",""[^0-9]"",""""),9))"),"723197576")</f>
        <v>723197576</v>
      </c>
      <c r="B1821" s="52">
        <v>7.23197576E8</v>
      </c>
      <c r="C1821" s="28" t="s">
        <v>2035</v>
      </c>
      <c r="D1821" s="26" t="s">
        <v>82</v>
      </c>
      <c r="E1821" s="31">
        <v>46228.0</v>
      </c>
      <c r="F1821" s="26" t="s">
        <v>46</v>
      </c>
      <c r="I1821" s="26" t="s">
        <v>42</v>
      </c>
      <c r="J1821" s="25" t="str">
        <f t="shared" si="31"/>
        <v>No</v>
      </c>
      <c r="K1821" s="25" t="str">
        <f t="shared" si="32"/>
        <v/>
      </c>
      <c r="L1821" s="25" t="str">
        <f t="shared" si="33"/>
        <v/>
      </c>
      <c r="M1821" s="25"/>
      <c r="O1821" s="25"/>
    </row>
    <row r="1822" ht="15.75" customHeight="1">
      <c r="A1822" s="69"/>
      <c r="B1822" s="111"/>
      <c r="C1822" s="112"/>
      <c r="D1822" s="71"/>
      <c r="E1822" s="113"/>
      <c r="F1822" s="71"/>
      <c r="G1822" s="69"/>
      <c r="H1822" s="69"/>
      <c r="I1822" s="71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</row>
    <row r="1823" ht="15.75" customHeight="1">
      <c r="A1823" s="25" t="str">
        <f>IFERROR(__xludf.DUMMYFUNCTION("IF(B1823="""","""",RIGHT(REGEXREPLACE(B1823&amp;"""",""[^0-9]"",""""),9))"),"702079249")</f>
        <v>702079249</v>
      </c>
      <c r="B1823" s="52">
        <v>7.02079249E8</v>
      </c>
      <c r="C1823" s="28" t="s">
        <v>2036</v>
      </c>
      <c r="D1823" s="26" t="s">
        <v>49</v>
      </c>
      <c r="E1823" s="31">
        <v>46229.0</v>
      </c>
      <c r="F1823" s="26" t="s">
        <v>205</v>
      </c>
      <c r="I1823" s="26" t="s">
        <v>42</v>
      </c>
      <c r="J1823" s="25" t="str">
        <f t="shared" ref="J1823:J2464" si="34">IF(COUNTIF($A$2:A1822,A1823)&gt;0,"Yes - see Previous F-Code","No")</f>
        <v>No</v>
      </c>
      <c r="K1823" s="25" t="str">
        <f t="shared" ref="K1823:K2464" si="35">IF(COUNTIFS($A$2:A1823,A1823,$I$2:I1823,I1823)&gt;1,"DUPLICATE - CHECK","")</f>
        <v/>
      </c>
      <c r="L1823" s="25" t="str">
        <f t="shared" ref="L1823:L2464" si="36">IF(COUNTIF($A$2:A1822,A1823)&gt;0,INDEX($C$2:C1822,MATCH(A1823,$A$2:A1822,0)),"")</f>
        <v/>
      </c>
      <c r="M1823" s="25"/>
      <c r="O1823" s="25"/>
    </row>
    <row r="1824" ht="15.75" customHeight="1">
      <c r="A1824" s="25" t="str">
        <f>IFERROR(__xludf.DUMMYFUNCTION("IF(B1824="""","""",RIGHT(REGEXREPLACE(B1824&amp;"""",""[^0-9]"",""""),9))"),"767651285")</f>
        <v>767651285</v>
      </c>
      <c r="B1824" s="52">
        <v>7.67651285E8</v>
      </c>
      <c r="C1824" s="28" t="s">
        <v>2037</v>
      </c>
      <c r="D1824" s="26" t="s">
        <v>49</v>
      </c>
      <c r="E1824" s="31">
        <v>46229.0</v>
      </c>
      <c r="F1824" s="26" t="s">
        <v>46</v>
      </c>
      <c r="G1824" s="26">
        <v>10.0</v>
      </c>
      <c r="H1824" s="26" t="s">
        <v>253</v>
      </c>
      <c r="I1824" s="26" t="s">
        <v>42</v>
      </c>
      <c r="J1824" s="25" t="str">
        <f t="shared" si="34"/>
        <v>No</v>
      </c>
      <c r="K1824" s="25" t="str">
        <f t="shared" si="35"/>
        <v/>
      </c>
      <c r="L1824" s="25" t="str">
        <f t="shared" si="36"/>
        <v/>
      </c>
      <c r="M1824" s="25"/>
      <c r="O1824" s="25"/>
    </row>
    <row r="1825" ht="15.75" customHeight="1">
      <c r="A1825" s="25" t="str">
        <f>IFERROR(__xludf.DUMMYFUNCTION("IF(B1825="""","""",RIGHT(REGEXREPLACE(B1825&amp;"""",""[^0-9]"",""""),9))"),"763038455")</f>
        <v>763038455</v>
      </c>
      <c r="B1825" s="52">
        <v>7.63038455E8</v>
      </c>
      <c r="C1825" s="28" t="s">
        <v>2038</v>
      </c>
      <c r="D1825" s="26" t="s">
        <v>64</v>
      </c>
      <c r="E1825" s="31">
        <v>46229.0</v>
      </c>
      <c r="F1825" s="26" t="s">
        <v>84</v>
      </c>
      <c r="H1825" s="26" t="s">
        <v>2039</v>
      </c>
      <c r="I1825" s="26" t="s">
        <v>42</v>
      </c>
      <c r="J1825" s="25" t="str">
        <f t="shared" si="34"/>
        <v>No</v>
      </c>
      <c r="K1825" s="25" t="str">
        <f t="shared" si="35"/>
        <v/>
      </c>
      <c r="L1825" s="25" t="str">
        <f t="shared" si="36"/>
        <v/>
      </c>
      <c r="M1825" s="25"/>
      <c r="O1825" s="25"/>
    </row>
    <row r="1826" ht="15.75" customHeight="1">
      <c r="A1826" s="25" t="str">
        <f>IFERROR(__xludf.DUMMYFUNCTION("IF(B1826="""","""",RIGHT(REGEXREPLACE(B1826&amp;"""",""[^0-9]"",""""),9))"),"719642681")</f>
        <v>719642681</v>
      </c>
      <c r="B1826" s="26">
        <v>7.19642681E8</v>
      </c>
      <c r="C1826" s="28" t="s">
        <v>2040</v>
      </c>
      <c r="D1826" s="26" t="s">
        <v>37</v>
      </c>
      <c r="E1826" s="31">
        <v>46229.0</v>
      </c>
      <c r="F1826" s="26" t="s">
        <v>46</v>
      </c>
      <c r="G1826" s="26">
        <v>11.0</v>
      </c>
      <c r="I1826" s="26" t="s">
        <v>42</v>
      </c>
      <c r="J1826" s="25" t="str">
        <f t="shared" si="34"/>
        <v>No</v>
      </c>
      <c r="K1826" s="25" t="str">
        <f t="shared" si="35"/>
        <v/>
      </c>
      <c r="L1826" s="25" t="str">
        <f t="shared" si="36"/>
        <v/>
      </c>
      <c r="M1826" s="25"/>
      <c r="O1826" s="25"/>
    </row>
    <row r="1827" ht="15.75" customHeight="1">
      <c r="A1827" s="25" t="str">
        <f>IFERROR(__xludf.DUMMYFUNCTION("IF(B1827="""","""",RIGHT(REGEXREPLACE(B1827&amp;"""",""[^0-9]"",""""),9))"),"778752711")</f>
        <v>778752711</v>
      </c>
      <c r="B1827" s="26">
        <v>7.78752711E8</v>
      </c>
      <c r="C1827" s="28" t="s">
        <v>2041</v>
      </c>
      <c r="D1827" s="26" t="s">
        <v>37</v>
      </c>
      <c r="E1827" s="31">
        <v>46229.0</v>
      </c>
      <c r="F1827" s="26" t="s">
        <v>46</v>
      </c>
      <c r="G1827" s="26">
        <v>11.0</v>
      </c>
      <c r="H1827" s="26" t="s">
        <v>1369</v>
      </c>
      <c r="I1827" s="26" t="s">
        <v>42</v>
      </c>
      <c r="J1827" s="25" t="str">
        <f t="shared" si="34"/>
        <v>No</v>
      </c>
      <c r="K1827" s="25" t="str">
        <f t="shared" si="35"/>
        <v/>
      </c>
      <c r="L1827" s="25" t="str">
        <f t="shared" si="36"/>
        <v/>
      </c>
      <c r="M1827" s="25"/>
      <c r="O1827" s="25"/>
    </row>
    <row r="1828" ht="15.75" customHeight="1">
      <c r="A1828" s="25" t="str">
        <f>IFERROR(__xludf.DUMMYFUNCTION("IF(B1828="""","""",RIGHT(REGEXREPLACE(B1828&amp;"""",""[^0-9]"",""""),9))"),"771597408")</f>
        <v>771597408</v>
      </c>
      <c r="B1828" s="26">
        <v>7.71597408E8</v>
      </c>
      <c r="C1828" s="28" t="s">
        <v>2042</v>
      </c>
      <c r="D1828" s="26" t="s">
        <v>37</v>
      </c>
      <c r="E1828" s="31">
        <v>46229.0</v>
      </c>
      <c r="F1828" s="26" t="s">
        <v>46</v>
      </c>
      <c r="G1828" s="26">
        <v>7.0</v>
      </c>
      <c r="I1828" s="26" t="s">
        <v>42</v>
      </c>
      <c r="J1828" s="25" t="str">
        <f t="shared" si="34"/>
        <v>No</v>
      </c>
      <c r="K1828" s="25" t="str">
        <f t="shared" si="35"/>
        <v/>
      </c>
      <c r="L1828" s="25" t="str">
        <f t="shared" si="36"/>
        <v/>
      </c>
      <c r="M1828" s="25"/>
      <c r="O1828" s="25"/>
    </row>
    <row r="1829" ht="15.75" customHeight="1">
      <c r="A1829" s="25" t="str">
        <f>IFERROR(__xludf.DUMMYFUNCTION("IF(B1829="""","""",RIGHT(REGEXREPLACE(B1829&amp;"""",""[^0-9]"",""""),9))"),"756608944")</f>
        <v>756608944</v>
      </c>
      <c r="B1829" s="52">
        <v>7.56608944E8</v>
      </c>
      <c r="C1829" s="28" t="s">
        <v>2043</v>
      </c>
      <c r="D1829" s="26" t="s">
        <v>49</v>
      </c>
      <c r="E1829" s="31">
        <v>46229.0</v>
      </c>
      <c r="F1829" s="26" t="s">
        <v>41</v>
      </c>
      <c r="I1829" s="26" t="s">
        <v>42</v>
      </c>
      <c r="J1829" s="25" t="str">
        <f t="shared" si="34"/>
        <v>No</v>
      </c>
      <c r="K1829" s="25" t="str">
        <f t="shared" si="35"/>
        <v/>
      </c>
      <c r="L1829" s="25" t="str">
        <f t="shared" si="36"/>
        <v/>
      </c>
      <c r="M1829" s="25"/>
      <c r="O1829" s="25"/>
    </row>
    <row r="1830" ht="15.75" customHeight="1">
      <c r="A1830" s="25" t="str">
        <f>IFERROR(__xludf.DUMMYFUNCTION("IF(B1830="""","""",RIGHT(REGEXREPLACE(B1830&amp;"""",""[^0-9]"",""""),9))"),"764053190")</f>
        <v>764053190</v>
      </c>
      <c r="B1830" s="26">
        <v>7.6405319E8</v>
      </c>
      <c r="C1830" s="28" t="s">
        <v>2044</v>
      </c>
      <c r="D1830" s="26" t="s">
        <v>37</v>
      </c>
      <c r="E1830" s="31">
        <v>46229.0</v>
      </c>
      <c r="F1830" s="26" t="s">
        <v>46</v>
      </c>
      <c r="G1830" s="26">
        <v>9.0</v>
      </c>
      <c r="I1830" s="26" t="s">
        <v>42</v>
      </c>
      <c r="J1830" s="25" t="str">
        <f t="shared" si="34"/>
        <v>No</v>
      </c>
      <c r="K1830" s="25" t="str">
        <f t="shared" si="35"/>
        <v/>
      </c>
      <c r="L1830" s="25" t="str">
        <f t="shared" si="36"/>
        <v/>
      </c>
      <c r="M1830" s="25"/>
      <c r="O1830" s="25"/>
    </row>
    <row r="1831" ht="15.75" customHeight="1">
      <c r="A1831" s="25" t="str">
        <f>IFERROR(__xludf.DUMMYFUNCTION("IF(B1831="""","""",RIGHT(REGEXREPLACE(B1831&amp;"""",""[^0-9]"",""""),9))"),"771367504")</f>
        <v>771367504</v>
      </c>
      <c r="B1831" s="52">
        <v>7.71367504E8</v>
      </c>
      <c r="C1831" s="28" t="s">
        <v>2043</v>
      </c>
      <c r="D1831" s="26" t="s">
        <v>64</v>
      </c>
      <c r="E1831" s="31">
        <v>46229.0</v>
      </c>
      <c r="F1831" s="26" t="s">
        <v>46</v>
      </c>
      <c r="G1831" s="26">
        <v>11.0</v>
      </c>
      <c r="I1831" s="26" t="s">
        <v>42</v>
      </c>
      <c r="J1831" s="25" t="str">
        <f t="shared" si="34"/>
        <v>No</v>
      </c>
      <c r="K1831" s="25" t="str">
        <f t="shared" si="35"/>
        <v/>
      </c>
      <c r="L1831" s="25" t="str">
        <f t="shared" si="36"/>
        <v/>
      </c>
      <c r="M1831" s="25"/>
      <c r="O1831" s="25"/>
    </row>
    <row r="1832" ht="15.75" customHeight="1">
      <c r="A1832" s="25" t="str">
        <f>IFERROR(__xludf.DUMMYFUNCTION("IF(B1832="""","""",RIGHT(REGEXREPLACE(B1832&amp;"""",""[^0-9]"",""""),9))"),"743674082")</f>
        <v>743674082</v>
      </c>
      <c r="B1832" s="26">
        <v>7.43674082E8</v>
      </c>
      <c r="C1832" s="28" t="s">
        <v>2045</v>
      </c>
      <c r="D1832" s="26" t="s">
        <v>37</v>
      </c>
      <c r="E1832" s="31">
        <v>46229.0</v>
      </c>
      <c r="F1832" s="26" t="s">
        <v>41</v>
      </c>
      <c r="G1832" s="26">
        <v>11.0</v>
      </c>
      <c r="I1832" s="26" t="s">
        <v>42</v>
      </c>
      <c r="J1832" s="25" t="str">
        <f t="shared" si="34"/>
        <v>No</v>
      </c>
      <c r="K1832" s="25" t="str">
        <f t="shared" si="35"/>
        <v/>
      </c>
      <c r="L1832" s="25" t="str">
        <f t="shared" si="36"/>
        <v/>
      </c>
      <c r="M1832" s="25"/>
      <c r="O1832" s="25"/>
    </row>
    <row r="1833" ht="15.75" customHeight="1">
      <c r="A1833" s="25" t="str">
        <f>IFERROR(__xludf.DUMMYFUNCTION("IF(B1833="""","""",RIGHT(REGEXREPLACE(B1833&amp;"""",""[^0-9]"",""""),9))"),"763639306")</f>
        <v>763639306</v>
      </c>
      <c r="B1833" s="26">
        <v>7.63639306E8</v>
      </c>
      <c r="C1833" s="28" t="s">
        <v>2046</v>
      </c>
      <c r="D1833" s="26" t="s">
        <v>37</v>
      </c>
      <c r="E1833" s="31">
        <v>46229.0</v>
      </c>
      <c r="F1833" s="26" t="s">
        <v>205</v>
      </c>
      <c r="G1833" s="26">
        <v>11.0</v>
      </c>
      <c r="I1833" s="26" t="s">
        <v>42</v>
      </c>
      <c r="J1833" s="25" t="str">
        <f t="shared" si="34"/>
        <v>No</v>
      </c>
      <c r="K1833" s="25" t="str">
        <f t="shared" si="35"/>
        <v/>
      </c>
      <c r="L1833" s="25" t="str">
        <f t="shared" si="36"/>
        <v/>
      </c>
      <c r="M1833" s="25"/>
      <c r="O1833" s="25"/>
    </row>
    <row r="1834" ht="15.75" customHeight="1">
      <c r="A1834" s="25" t="str">
        <f>IFERROR(__xludf.DUMMYFUNCTION("IF(B1834="""","""",RIGHT(REGEXREPLACE(B1834&amp;"""",""[^0-9]"",""""),9))"),"719987755")</f>
        <v>719987755</v>
      </c>
      <c r="B1834" s="52">
        <v>7.19987755E8</v>
      </c>
      <c r="C1834" s="28" t="s">
        <v>2047</v>
      </c>
      <c r="D1834" s="26" t="s">
        <v>49</v>
      </c>
      <c r="E1834" s="31">
        <v>46229.0</v>
      </c>
      <c r="F1834" s="26" t="s">
        <v>46</v>
      </c>
      <c r="G1834" s="26" t="s">
        <v>2048</v>
      </c>
      <c r="I1834" s="26" t="s">
        <v>42</v>
      </c>
      <c r="J1834" s="25" t="str">
        <f t="shared" si="34"/>
        <v>No</v>
      </c>
      <c r="K1834" s="25" t="str">
        <f t="shared" si="35"/>
        <v/>
      </c>
      <c r="L1834" s="25" t="str">
        <f t="shared" si="36"/>
        <v/>
      </c>
      <c r="M1834" s="25"/>
      <c r="O1834" s="25"/>
    </row>
    <row r="1835" ht="15.75" customHeight="1">
      <c r="A1835" s="25" t="str">
        <f>IFERROR(__xludf.DUMMYFUNCTION("IF(B1835="""","""",RIGHT(REGEXREPLACE(B1835&amp;"""",""[^0-9]"",""""),9))"),"774550915")</f>
        <v>774550915</v>
      </c>
      <c r="B1835" s="52">
        <v>7.74550915E8</v>
      </c>
      <c r="C1835" s="28" t="s">
        <v>2049</v>
      </c>
      <c r="D1835" s="26" t="s">
        <v>56</v>
      </c>
      <c r="E1835" s="31">
        <v>46229.0</v>
      </c>
      <c r="F1835" s="26" t="s">
        <v>46</v>
      </c>
      <c r="G1835" s="26">
        <v>11.0</v>
      </c>
      <c r="I1835" s="26" t="s">
        <v>42</v>
      </c>
      <c r="J1835" s="25" t="str">
        <f t="shared" si="34"/>
        <v>No</v>
      </c>
      <c r="K1835" s="25" t="str">
        <f t="shared" si="35"/>
        <v/>
      </c>
      <c r="L1835" s="25" t="str">
        <f t="shared" si="36"/>
        <v/>
      </c>
      <c r="M1835" s="25"/>
      <c r="O1835" s="25"/>
    </row>
    <row r="1836" ht="15.75" customHeight="1">
      <c r="A1836" s="25" t="str">
        <f>IFERROR(__xludf.DUMMYFUNCTION("IF(B1836="""","""",RIGHT(REGEXREPLACE(B1836&amp;"""",""[^0-9]"",""""),9))"),"773821682")</f>
        <v>773821682</v>
      </c>
      <c r="B1836" s="52">
        <v>7.73821682E8</v>
      </c>
      <c r="C1836" s="28" t="s">
        <v>2050</v>
      </c>
      <c r="D1836" s="26" t="s">
        <v>49</v>
      </c>
      <c r="E1836" s="31">
        <v>46229.0</v>
      </c>
      <c r="F1836" s="26" t="s">
        <v>46</v>
      </c>
      <c r="H1836" s="26" t="s">
        <v>253</v>
      </c>
      <c r="I1836" s="26" t="s">
        <v>42</v>
      </c>
      <c r="J1836" s="25" t="str">
        <f t="shared" si="34"/>
        <v>No</v>
      </c>
      <c r="K1836" s="25" t="str">
        <f t="shared" si="35"/>
        <v/>
      </c>
      <c r="L1836" s="25" t="str">
        <f t="shared" si="36"/>
        <v/>
      </c>
      <c r="M1836" s="25"/>
      <c r="O1836" s="25"/>
    </row>
    <row r="1837" ht="15.75" customHeight="1">
      <c r="A1837" s="25" t="str">
        <f>IFERROR(__xludf.DUMMYFUNCTION("IF(B1837="""","""",RIGHT(REGEXREPLACE(B1837&amp;"""",""[^0-9]"",""""),9))"),"714045138")</f>
        <v>714045138</v>
      </c>
      <c r="B1837" s="26">
        <v>7.14045138E8</v>
      </c>
      <c r="C1837" s="28" t="s">
        <v>2051</v>
      </c>
      <c r="D1837" s="26" t="s">
        <v>37</v>
      </c>
      <c r="E1837" s="31">
        <v>46229.0</v>
      </c>
      <c r="F1837" s="26" t="s">
        <v>46</v>
      </c>
      <c r="G1837" s="26">
        <v>11.0</v>
      </c>
      <c r="H1837" s="26" t="s">
        <v>1311</v>
      </c>
      <c r="I1837" s="26" t="s">
        <v>42</v>
      </c>
      <c r="J1837" s="25" t="str">
        <f t="shared" si="34"/>
        <v>No</v>
      </c>
      <c r="K1837" s="25" t="str">
        <f t="shared" si="35"/>
        <v/>
      </c>
      <c r="L1837" s="25" t="str">
        <f t="shared" si="36"/>
        <v/>
      </c>
      <c r="M1837" s="25"/>
      <c r="O1837" s="25"/>
    </row>
    <row r="1838" ht="15.75" customHeight="1">
      <c r="A1838" s="25" t="str">
        <f>IFERROR(__xludf.DUMMYFUNCTION("IF(B1838="""","""",RIGHT(REGEXREPLACE(B1838&amp;"""",""[^0-9]"",""""),9))"),"776161245")</f>
        <v>776161245</v>
      </c>
      <c r="B1838" s="26">
        <v>7.76161245E8</v>
      </c>
      <c r="C1838" s="28" t="s">
        <v>2052</v>
      </c>
      <c r="D1838" s="26" t="s">
        <v>37</v>
      </c>
      <c r="E1838" s="31">
        <v>46229.0</v>
      </c>
      <c r="F1838" s="26" t="s">
        <v>46</v>
      </c>
      <c r="G1838" s="26">
        <v>10.0</v>
      </c>
      <c r="I1838" s="26" t="s">
        <v>42</v>
      </c>
      <c r="J1838" s="25" t="str">
        <f t="shared" si="34"/>
        <v>No</v>
      </c>
      <c r="K1838" s="25" t="str">
        <f t="shared" si="35"/>
        <v/>
      </c>
      <c r="L1838" s="25" t="str">
        <f t="shared" si="36"/>
        <v/>
      </c>
      <c r="M1838" s="25"/>
      <c r="O1838" s="25"/>
    </row>
    <row r="1839" ht="15.75" customHeight="1">
      <c r="A1839" s="25" t="str">
        <f>IFERROR(__xludf.DUMMYFUNCTION("IF(B1839="""","""",RIGHT(REGEXREPLACE(B1839&amp;"""",""[^0-9]"",""""),9))"),"703788919")</f>
        <v>703788919</v>
      </c>
      <c r="B1839" s="52">
        <v>7.03788919E8</v>
      </c>
      <c r="C1839" s="28" t="s">
        <v>2053</v>
      </c>
      <c r="D1839" s="26" t="s">
        <v>49</v>
      </c>
      <c r="E1839" s="31">
        <v>46229.0</v>
      </c>
      <c r="F1839" s="26" t="s">
        <v>41</v>
      </c>
      <c r="I1839" s="26" t="s">
        <v>42</v>
      </c>
      <c r="J1839" s="25" t="str">
        <f t="shared" si="34"/>
        <v>No</v>
      </c>
      <c r="K1839" s="25" t="str">
        <f t="shared" si="35"/>
        <v/>
      </c>
      <c r="L1839" s="25" t="str">
        <f t="shared" si="36"/>
        <v/>
      </c>
      <c r="M1839" s="25"/>
      <c r="O1839" s="25"/>
    </row>
    <row r="1840" ht="15.75" customHeight="1">
      <c r="A1840" s="25" t="str">
        <f>IFERROR(__xludf.DUMMYFUNCTION("IF(B1840="""","""",RIGHT(REGEXREPLACE(B1840&amp;"""",""[^0-9]"",""""),9))"),"775368427")</f>
        <v>775368427</v>
      </c>
      <c r="B1840" s="26">
        <v>7.75368427E8</v>
      </c>
      <c r="C1840" s="28" t="s">
        <v>2054</v>
      </c>
      <c r="D1840" s="26" t="s">
        <v>37</v>
      </c>
      <c r="E1840" s="31">
        <v>46229.0</v>
      </c>
      <c r="F1840" s="26" t="s">
        <v>205</v>
      </c>
      <c r="I1840" s="26" t="s">
        <v>42</v>
      </c>
      <c r="J1840" s="25" t="str">
        <f t="shared" si="34"/>
        <v>No</v>
      </c>
      <c r="K1840" s="25" t="str">
        <f t="shared" si="35"/>
        <v/>
      </c>
      <c r="L1840" s="25" t="str">
        <f t="shared" si="36"/>
        <v/>
      </c>
      <c r="M1840" s="25"/>
      <c r="O1840" s="25"/>
    </row>
    <row r="1841" ht="15.75" customHeight="1">
      <c r="A1841" s="25" t="str">
        <f>IFERROR(__xludf.DUMMYFUNCTION("IF(B1841="""","""",RIGHT(REGEXREPLACE(B1841&amp;"""",""[^0-9]"",""""),9))"),"772396706")</f>
        <v>772396706</v>
      </c>
      <c r="B1841" s="52">
        <v>7.72396706E8</v>
      </c>
      <c r="C1841" s="28" t="s">
        <v>2055</v>
      </c>
      <c r="D1841" s="26" t="s">
        <v>56</v>
      </c>
      <c r="E1841" s="31">
        <v>46229.0</v>
      </c>
      <c r="F1841" s="26" t="s">
        <v>631</v>
      </c>
      <c r="G1841" s="26">
        <v>11.0</v>
      </c>
      <c r="I1841" s="26" t="s">
        <v>42</v>
      </c>
      <c r="J1841" s="25" t="str">
        <f t="shared" si="34"/>
        <v>No</v>
      </c>
      <c r="K1841" s="25" t="str">
        <f t="shared" si="35"/>
        <v/>
      </c>
      <c r="L1841" s="25" t="str">
        <f t="shared" si="36"/>
        <v/>
      </c>
      <c r="M1841" s="25"/>
      <c r="O1841" s="25"/>
    </row>
    <row r="1842" ht="15.75" customHeight="1">
      <c r="A1842" s="25" t="str">
        <f>IFERROR(__xludf.DUMMYFUNCTION("IF(B1842="""","""",RIGHT(REGEXREPLACE(B1842&amp;"""",""[^0-9]"",""""),9))"),"777731098")</f>
        <v>777731098</v>
      </c>
      <c r="B1842" s="52">
        <v>7.77731098E8</v>
      </c>
      <c r="C1842" s="28" t="s">
        <v>2056</v>
      </c>
      <c r="D1842" s="26" t="s">
        <v>64</v>
      </c>
      <c r="E1842" s="31">
        <v>46229.0</v>
      </c>
      <c r="F1842" s="26" t="s">
        <v>46</v>
      </c>
      <c r="G1842" s="26">
        <v>11.0</v>
      </c>
      <c r="I1842" s="26" t="s">
        <v>42</v>
      </c>
      <c r="J1842" s="25" t="str">
        <f t="shared" si="34"/>
        <v>No</v>
      </c>
      <c r="K1842" s="25" t="str">
        <f t="shared" si="35"/>
        <v/>
      </c>
      <c r="L1842" s="25" t="str">
        <f t="shared" si="36"/>
        <v/>
      </c>
      <c r="M1842" s="25"/>
      <c r="O1842" s="25"/>
    </row>
    <row r="1843" ht="15.75" customHeight="1">
      <c r="A1843" s="25" t="str">
        <f>IFERROR(__xludf.DUMMYFUNCTION("IF(B1843="""","""",RIGHT(REGEXREPLACE(B1843&amp;"""",""[^0-9]"",""""),9))"),"762271288")</f>
        <v>762271288</v>
      </c>
      <c r="B1843" s="26">
        <v>7.62271288E8</v>
      </c>
      <c r="C1843" s="28" t="s">
        <v>2057</v>
      </c>
      <c r="D1843" s="26" t="s">
        <v>37</v>
      </c>
      <c r="E1843" s="31">
        <v>46229.0</v>
      </c>
      <c r="F1843" s="26" t="s">
        <v>167</v>
      </c>
      <c r="G1843" s="26">
        <v>11.0</v>
      </c>
      <c r="I1843" s="26" t="s">
        <v>42</v>
      </c>
      <c r="J1843" s="25" t="str">
        <f t="shared" si="34"/>
        <v>No</v>
      </c>
      <c r="K1843" s="25" t="str">
        <f t="shared" si="35"/>
        <v/>
      </c>
      <c r="L1843" s="25" t="str">
        <f t="shared" si="36"/>
        <v/>
      </c>
      <c r="M1843" s="25"/>
      <c r="O1843" s="25"/>
    </row>
    <row r="1844" ht="15.75" customHeight="1">
      <c r="A1844" s="25" t="str">
        <f>IFERROR(__xludf.DUMMYFUNCTION("IF(B1844="""","""",RIGHT(REGEXREPLACE(B1844&amp;"""",""[^0-9]"",""""),9))"),"778958358")</f>
        <v>778958358</v>
      </c>
      <c r="B1844" s="52">
        <v>7.78958358E8</v>
      </c>
      <c r="C1844" s="28" t="s">
        <v>2058</v>
      </c>
      <c r="D1844" s="26" t="s">
        <v>45</v>
      </c>
      <c r="E1844" s="31">
        <v>46229.0</v>
      </c>
      <c r="F1844" s="26" t="s">
        <v>46</v>
      </c>
      <c r="G1844" s="26">
        <v>10.0</v>
      </c>
      <c r="I1844" s="26" t="s">
        <v>42</v>
      </c>
      <c r="J1844" s="25" t="str">
        <f t="shared" si="34"/>
        <v>No</v>
      </c>
      <c r="K1844" s="25" t="str">
        <f t="shared" si="35"/>
        <v/>
      </c>
      <c r="L1844" s="25" t="str">
        <f t="shared" si="36"/>
        <v/>
      </c>
      <c r="M1844" s="25"/>
      <c r="O1844" s="25"/>
    </row>
    <row r="1845" ht="15.75" customHeight="1">
      <c r="A1845" s="25" t="str">
        <f>IFERROR(__xludf.DUMMYFUNCTION("IF(B1845="""","""",RIGHT(REGEXREPLACE(B1845&amp;"""",""[^0-9]"",""""),9))"),"772655197")</f>
        <v>772655197</v>
      </c>
      <c r="B1845" s="52">
        <v>7.72655197E8</v>
      </c>
      <c r="C1845" s="28" t="s">
        <v>2059</v>
      </c>
      <c r="D1845" s="26" t="s">
        <v>49</v>
      </c>
      <c r="E1845" s="31">
        <v>46229.0</v>
      </c>
      <c r="F1845" s="26" t="s">
        <v>46</v>
      </c>
      <c r="G1845" s="26">
        <v>11.0</v>
      </c>
      <c r="I1845" s="26" t="s">
        <v>42</v>
      </c>
      <c r="J1845" s="25" t="str">
        <f t="shared" si="34"/>
        <v>No</v>
      </c>
      <c r="K1845" s="25" t="str">
        <f t="shared" si="35"/>
        <v/>
      </c>
      <c r="L1845" s="25" t="str">
        <f t="shared" si="36"/>
        <v/>
      </c>
      <c r="M1845" s="25"/>
      <c r="O1845" s="25"/>
    </row>
    <row r="1846" ht="15.75" customHeight="1">
      <c r="A1846" s="25" t="str">
        <f>IFERROR(__xludf.DUMMYFUNCTION("IF(B1846="""","""",RIGHT(REGEXREPLACE(B1846&amp;"""",""[^0-9]"",""""),9))"),"777821309")</f>
        <v>777821309</v>
      </c>
      <c r="B1846" s="52">
        <v>7.77821309E8</v>
      </c>
      <c r="C1846" s="28" t="s">
        <v>2060</v>
      </c>
      <c r="D1846" s="26" t="s">
        <v>56</v>
      </c>
      <c r="E1846" s="31">
        <v>46229.0</v>
      </c>
      <c r="F1846" s="26" t="s">
        <v>41</v>
      </c>
      <c r="G1846" s="26">
        <v>11.0</v>
      </c>
      <c r="H1846" s="26" t="s">
        <v>1648</v>
      </c>
      <c r="I1846" s="26" t="s">
        <v>42</v>
      </c>
      <c r="J1846" s="25" t="str">
        <f t="shared" si="34"/>
        <v>No</v>
      </c>
      <c r="K1846" s="25" t="str">
        <f t="shared" si="35"/>
        <v/>
      </c>
      <c r="L1846" s="25" t="str">
        <f t="shared" si="36"/>
        <v/>
      </c>
      <c r="M1846" s="25"/>
      <c r="O1846" s="25"/>
    </row>
    <row r="1847" ht="15.75" customHeight="1">
      <c r="A1847" s="25" t="str">
        <f>IFERROR(__xludf.DUMMYFUNCTION("IF(B1847="""","""",RIGHT(REGEXREPLACE(B1847&amp;"""",""[^0-9]"",""""),9))"),"776919160")</f>
        <v>776919160</v>
      </c>
      <c r="B1847" s="52">
        <v>7.7691916E8</v>
      </c>
      <c r="C1847" s="28" t="s">
        <v>2061</v>
      </c>
      <c r="D1847" s="26" t="s">
        <v>49</v>
      </c>
      <c r="E1847" s="31">
        <v>46229.0</v>
      </c>
      <c r="F1847" s="26" t="s">
        <v>46</v>
      </c>
      <c r="G1847" s="26">
        <v>11.0</v>
      </c>
      <c r="I1847" s="26" t="s">
        <v>42</v>
      </c>
      <c r="J1847" s="25" t="str">
        <f t="shared" si="34"/>
        <v>No</v>
      </c>
      <c r="K1847" s="25" t="str">
        <f t="shared" si="35"/>
        <v/>
      </c>
      <c r="L1847" s="25" t="str">
        <f t="shared" si="36"/>
        <v/>
      </c>
      <c r="M1847" s="25"/>
      <c r="O1847" s="25"/>
    </row>
    <row r="1848" ht="15.75" customHeight="1">
      <c r="A1848" s="25" t="str">
        <f>IFERROR(__xludf.DUMMYFUNCTION("IF(B1848="""","""",RIGHT(REGEXREPLACE(B1848&amp;"""",""[^0-9]"",""""),9))"),"712889582")</f>
        <v>712889582</v>
      </c>
      <c r="B1848" s="52">
        <v>7.12889582E8</v>
      </c>
      <c r="C1848" s="28" t="s">
        <v>2062</v>
      </c>
      <c r="D1848" s="26" t="s">
        <v>64</v>
      </c>
      <c r="E1848" s="31">
        <v>46229.0</v>
      </c>
      <c r="F1848" s="26" t="s">
        <v>46</v>
      </c>
      <c r="G1848" s="26">
        <v>11.0</v>
      </c>
      <c r="I1848" s="26" t="s">
        <v>42</v>
      </c>
      <c r="J1848" s="25" t="str">
        <f t="shared" si="34"/>
        <v>No</v>
      </c>
      <c r="K1848" s="25" t="str">
        <f t="shared" si="35"/>
        <v/>
      </c>
      <c r="L1848" s="25" t="str">
        <f t="shared" si="36"/>
        <v/>
      </c>
      <c r="M1848" s="25"/>
      <c r="O1848" s="25"/>
    </row>
    <row r="1849" ht="15.75" customHeight="1">
      <c r="A1849" s="25" t="str">
        <f>IFERROR(__xludf.DUMMYFUNCTION("IF(B1849="""","""",RIGHT(REGEXREPLACE(B1849&amp;"""",""[^0-9]"",""""),9))"),"743239592")</f>
        <v>743239592</v>
      </c>
      <c r="B1849" s="52">
        <v>7.43239592E8</v>
      </c>
      <c r="C1849" s="28" t="s">
        <v>2063</v>
      </c>
      <c r="D1849" s="26" t="s">
        <v>45</v>
      </c>
      <c r="E1849" s="31">
        <v>46229.0</v>
      </c>
      <c r="F1849" s="26" t="s">
        <v>41</v>
      </c>
      <c r="G1849" s="26">
        <v>11.0</v>
      </c>
      <c r="I1849" s="26" t="s">
        <v>42</v>
      </c>
      <c r="J1849" s="25" t="str">
        <f t="shared" si="34"/>
        <v>No</v>
      </c>
      <c r="K1849" s="25" t="str">
        <f t="shared" si="35"/>
        <v/>
      </c>
      <c r="L1849" s="25" t="str">
        <f t="shared" si="36"/>
        <v/>
      </c>
      <c r="M1849" s="25"/>
      <c r="O1849" s="25"/>
    </row>
    <row r="1850" ht="15.75" customHeight="1">
      <c r="A1850" s="25" t="str">
        <f>IFERROR(__xludf.DUMMYFUNCTION("IF(B1850="""","""",RIGHT(REGEXREPLACE(B1850&amp;"""",""[^0-9]"",""""),9))"),"718000937")</f>
        <v>718000937</v>
      </c>
      <c r="B1850" s="52">
        <v>7.18000937E8</v>
      </c>
      <c r="C1850" s="28" t="s">
        <v>2064</v>
      </c>
      <c r="D1850" s="26" t="s">
        <v>56</v>
      </c>
      <c r="E1850" s="31">
        <v>46229.0</v>
      </c>
      <c r="F1850" s="26" t="s">
        <v>167</v>
      </c>
      <c r="G1850" s="26">
        <v>11.0</v>
      </c>
      <c r="I1850" s="26" t="s">
        <v>42</v>
      </c>
      <c r="J1850" s="25" t="str">
        <f t="shared" si="34"/>
        <v>No</v>
      </c>
      <c r="K1850" s="25" t="str">
        <f t="shared" si="35"/>
        <v/>
      </c>
      <c r="L1850" s="25" t="str">
        <f t="shared" si="36"/>
        <v/>
      </c>
      <c r="M1850" s="25"/>
      <c r="O1850" s="25"/>
    </row>
    <row r="1851" ht="15.75" customHeight="1">
      <c r="A1851" s="25" t="str">
        <f>IFERROR(__xludf.DUMMYFUNCTION("IF(B1851="""","""",RIGHT(REGEXREPLACE(B1851&amp;"""",""[^0-9]"",""""),9))"),"720841148")</f>
        <v>720841148</v>
      </c>
      <c r="B1851" s="52">
        <v>7.20841148E8</v>
      </c>
      <c r="C1851" s="28" t="s">
        <v>2065</v>
      </c>
      <c r="D1851" s="26" t="s">
        <v>45</v>
      </c>
      <c r="E1851" s="31">
        <v>46229.0</v>
      </c>
      <c r="F1851" s="26" t="s">
        <v>164</v>
      </c>
      <c r="I1851" s="26" t="s">
        <v>42</v>
      </c>
      <c r="J1851" s="25" t="str">
        <f t="shared" si="34"/>
        <v>No</v>
      </c>
      <c r="K1851" s="25" t="str">
        <f t="shared" si="35"/>
        <v/>
      </c>
      <c r="L1851" s="25" t="str">
        <f t="shared" si="36"/>
        <v/>
      </c>
      <c r="M1851" s="25"/>
      <c r="O1851" s="25"/>
    </row>
    <row r="1852" ht="15.75" customHeight="1">
      <c r="A1852" s="25" t="str">
        <f>IFERROR(__xludf.DUMMYFUNCTION("IF(B1852="""","""",RIGHT(REGEXREPLACE(B1852&amp;"""",""[^0-9]"",""""),9))"),"701014918")</f>
        <v>701014918</v>
      </c>
      <c r="B1852" s="52">
        <v>7.01014918E8</v>
      </c>
      <c r="C1852" s="28" t="s">
        <v>2066</v>
      </c>
      <c r="D1852" s="26" t="s">
        <v>64</v>
      </c>
      <c r="E1852" s="31">
        <v>46229.0</v>
      </c>
      <c r="F1852" s="26" t="s">
        <v>46</v>
      </c>
      <c r="G1852" s="26">
        <v>11.0</v>
      </c>
      <c r="I1852" s="26" t="s">
        <v>42</v>
      </c>
      <c r="J1852" s="25" t="str">
        <f t="shared" si="34"/>
        <v>No</v>
      </c>
      <c r="K1852" s="25" t="str">
        <f t="shared" si="35"/>
        <v/>
      </c>
      <c r="L1852" s="25" t="str">
        <f t="shared" si="36"/>
        <v/>
      </c>
      <c r="M1852" s="25"/>
      <c r="O1852" s="25"/>
    </row>
    <row r="1853" ht="15.75" customHeight="1">
      <c r="A1853" s="25" t="str">
        <f>IFERROR(__xludf.DUMMYFUNCTION("IF(B1853="""","""",RIGHT(REGEXREPLACE(B1853&amp;"""",""[^0-9]"",""""),9))"),"786894911")</f>
        <v>786894911</v>
      </c>
      <c r="B1853" s="52">
        <v>7.86894911E8</v>
      </c>
      <c r="C1853" s="28" t="s">
        <v>2067</v>
      </c>
      <c r="D1853" s="26" t="s">
        <v>49</v>
      </c>
      <c r="E1853" s="31">
        <v>46229.0</v>
      </c>
      <c r="F1853" s="26" t="s">
        <v>41</v>
      </c>
      <c r="G1853" s="26">
        <v>11.0</v>
      </c>
      <c r="I1853" s="26" t="s">
        <v>42</v>
      </c>
      <c r="J1853" s="25" t="str">
        <f t="shared" si="34"/>
        <v>No</v>
      </c>
      <c r="K1853" s="25" t="str">
        <f t="shared" si="35"/>
        <v/>
      </c>
      <c r="L1853" s="25" t="str">
        <f t="shared" si="36"/>
        <v/>
      </c>
      <c r="M1853" s="25"/>
      <c r="O1853" s="25"/>
    </row>
    <row r="1854" ht="15.75" customHeight="1">
      <c r="A1854" s="25" t="str">
        <f>IFERROR(__xludf.DUMMYFUNCTION("IF(B1854="""","""",RIGHT(REGEXREPLACE(B1854&amp;"""",""[^0-9]"",""""),9))"),"770585037")</f>
        <v>770585037</v>
      </c>
      <c r="B1854" s="52">
        <v>7.70585037E8</v>
      </c>
      <c r="C1854" s="28" t="s">
        <v>2068</v>
      </c>
      <c r="D1854" s="26" t="s">
        <v>45</v>
      </c>
      <c r="E1854" s="31">
        <v>46229.0</v>
      </c>
      <c r="F1854" s="26" t="s">
        <v>46</v>
      </c>
      <c r="G1854" s="26">
        <v>11.0</v>
      </c>
      <c r="I1854" s="26" t="s">
        <v>42</v>
      </c>
      <c r="J1854" s="25" t="str">
        <f t="shared" si="34"/>
        <v>No</v>
      </c>
      <c r="K1854" s="25" t="str">
        <f t="shared" si="35"/>
        <v/>
      </c>
      <c r="L1854" s="25" t="str">
        <f t="shared" si="36"/>
        <v/>
      </c>
      <c r="M1854" s="25"/>
      <c r="O1854" s="25"/>
    </row>
    <row r="1855" ht="15.75" customHeight="1">
      <c r="A1855" s="25" t="str">
        <f>IFERROR(__xludf.DUMMYFUNCTION("IF(B1855="""","""",RIGHT(REGEXREPLACE(B1855&amp;"""",""[^0-9]"",""""),9))"),"773514173")</f>
        <v>773514173</v>
      </c>
      <c r="B1855" s="52">
        <v>7.73514173E8</v>
      </c>
      <c r="C1855" s="28" t="s">
        <v>1541</v>
      </c>
      <c r="D1855" s="26" t="s">
        <v>56</v>
      </c>
      <c r="E1855" s="31">
        <v>46229.0</v>
      </c>
      <c r="F1855" s="26" t="s">
        <v>631</v>
      </c>
      <c r="G1855" s="26">
        <v>11.0</v>
      </c>
      <c r="I1855" s="26" t="s">
        <v>42</v>
      </c>
      <c r="J1855" s="25" t="str">
        <f t="shared" si="34"/>
        <v>Yes - see Previous F-Code</v>
      </c>
      <c r="K1855" s="25" t="str">
        <f t="shared" si="35"/>
        <v>DUPLICATE - CHECK</v>
      </c>
      <c r="L1855" s="25" t="str">
        <f t="shared" si="36"/>
        <v>F71261</v>
      </c>
      <c r="M1855" s="25"/>
      <c r="O1855" s="25"/>
    </row>
    <row r="1856" ht="15.75" customHeight="1">
      <c r="A1856" s="25" t="str">
        <f>IFERROR(__xludf.DUMMYFUNCTION("IF(B1856="""","""",RIGHT(REGEXREPLACE(B1856&amp;"""",""[^0-9]"",""""),9))"),"743440813")</f>
        <v>743440813</v>
      </c>
      <c r="B1856" s="52">
        <v>7.43440813E8</v>
      </c>
      <c r="C1856" s="28" t="s">
        <v>2069</v>
      </c>
      <c r="D1856" s="26" t="s">
        <v>49</v>
      </c>
      <c r="E1856" s="31">
        <v>46229.0</v>
      </c>
      <c r="F1856" s="26" t="s">
        <v>46</v>
      </c>
      <c r="G1856" s="26">
        <v>11.0</v>
      </c>
      <c r="I1856" s="26" t="s">
        <v>42</v>
      </c>
      <c r="J1856" s="25" t="str">
        <f t="shared" si="34"/>
        <v>No</v>
      </c>
      <c r="K1856" s="25" t="str">
        <f t="shared" si="35"/>
        <v/>
      </c>
      <c r="L1856" s="25" t="str">
        <f t="shared" si="36"/>
        <v/>
      </c>
      <c r="M1856" s="25"/>
      <c r="O1856" s="25"/>
    </row>
    <row r="1857" ht="15.75" customHeight="1">
      <c r="A1857" s="25" t="str">
        <f>IFERROR(__xludf.DUMMYFUNCTION("IF(B1857="""","""",RIGHT(REGEXREPLACE(B1857&amp;"""",""[^0-9]"",""""),9))"),"714607994")</f>
        <v>714607994</v>
      </c>
      <c r="B1857" s="52">
        <v>7.14607994E8</v>
      </c>
      <c r="C1857" s="28" t="s">
        <v>2070</v>
      </c>
      <c r="D1857" s="26" t="s">
        <v>45</v>
      </c>
      <c r="E1857" s="31">
        <v>46229.0</v>
      </c>
      <c r="F1857" s="26" t="s">
        <v>46</v>
      </c>
      <c r="G1857" s="26">
        <v>11.0</v>
      </c>
      <c r="I1857" s="26" t="s">
        <v>42</v>
      </c>
      <c r="J1857" s="25" t="str">
        <f t="shared" si="34"/>
        <v>No</v>
      </c>
      <c r="K1857" s="25" t="str">
        <f t="shared" si="35"/>
        <v/>
      </c>
      <c r="L1857" s="25" t="str">
        <f t="shared" si="36"/>
        <v/>
      </c>
      <c r="M1857" s="25"/>
      <c r="O1857" s="25"/>
    </row>
    <row r="1858" ht="15.75" customHeight="1">
      <c r="A1858" s="25" t="str">
        <f>IFERROR(__xludf.DUMMYFUNCTION("IF(B1858="""","""",RIGHT(REGEXREPLACE(B1858&amp;"""",""[^0-9]"",""""),9))"),"770627339")</f>
        <v>770627339</v>
      </c>
      <c r="B1858" s="52">
        <v>7.70627339E8</v>
      </c>
      <c r="C1858" s="28" t="s">
        <v>2071</v>
      </c>
      <c r="D1858" s="26" t="s">
        <v>64</v>
      </c>
      <c r="E1858" s="31">
        <v>46229.0</v>
      </c>
      <c r="F1858" s="26" t="s">
        <v>659</v>
      </c>
      <c r="G1858" s="26">
        <v>10.0</v>
      </c>
      <c r="I1858" s="26" t="s">
        <v>42</v>
      </c>
      <c r="J1858" s="25" t="str">
        <f t="shared" si="34"/>
        <v>No</v>
      </c>
      <c r="K1858" s="25" t="str">
        <f t="shared" si="35"/>
        <v/>
      </c>
      <c r="L1858" s="25" t="str">
        <f t="shared" si="36"/>
        <v/>
      </c>
      <c r="M1858" s="25"/>
      <c r="O1858" s="25"/>
    </row>
    <row r="1859" ht="15.75" customHeight="1">
      <c r="A1859" s="25" t="str">
        <f>IFERROR(__xludf.DUMMYFUNCTION("IF(B1859="""","""",RIGHT(REGEXREPLACE(B1859&amp;"""",""[^0-9]"",""""),9))"),"701630984")</f>
        <v>701630984</v>
      </c>
      <c r="B1859" s="52">
        <v>7.01630984E8</v>
      </c>
      <c r="C1859" s="28" t="s">
        <v>2072</v>
      </c>
      <c r="D1859" s="26" t="s">
        <v>56</v>
      </c>
      <c r="E1859" s="31">
        <v>46229.0</v>
      </c>
      <c r="F1859" s="26" t="s">
        <v>41</v>
      </c>
      <c r="G1859" s="26">
        <v>11.0</v>
      </c>
      <c r="I1859" s="26" t="s">
        <v>42</v>
      </c>
      <c r="J1859" s="25" t="str">
        <f t="shared" si="34"/>
        <v>No</v>
      </c>
      <c r="K1859" s="25" t="str">
        <f t="shared" si="35"/>
        <v/>
      </c>
      <c r="L1859" s="25" t="str">
        <f t="shared" si="36"/>
        <v/>
      </c>
      <c r="M1859" s="25"/>
      <c r="O1859" s="25"/>
    </row>
    <row r="1860" ht="15.75" customHeight="1">
      <c r="A1860" s="25" t="str">
        <f>IFERROR(__xludf.DUMMYFUNCTION("IF(B1860="""","""",RIGHT(REGEXREPLACE(B1860&amp;"""",""[^0-9]"",""""),9))"),"717961387")</f>
        <v>717961387</v>
      </c>
      <c r="B1860" s="52">
        <v>7.17961387E8</v>
      </c>
      <c r="C1860" s="28" t="s">
        <v>2073</v>
      </c>
      <c r="D1860" s="26" t="s">
        <v>45</v>
      </c>
      <c r="E1860" s="31">
        <v>46229.0</v>
      </c>
      <c r="F1860" s="26" t="s">
        <v>46</v>
      </c>
      <c r="G1860" s="26">
        <v>11.0</v>
      </c>
      <c r="I1860" s="26" t="s">
        <v>42</v>
      </c>
      <c r="J1860" s="25" t="str">
        <f t="shared" si="34"/>
        <v>No</v>
      </c>
      <c r="K1860" s="25" t="str">
        <f t="shared" si="35"/>
        <v/>
      </c>
      <c r="L1860" s="25" t="str">
        <f t="shared" si="36"/>
        <v/>
      </c>
      <c r="M1860" s="25"/>
      <c r="O1860" s="25"/>
    </row>
    <row r="1861" ht="15.75" customHeight="1">
      <c r="A1861" s="25" t="str">
        <f>IFERROR(__xludf.DUMMYFUNCTION("IF(B1861="""","""",RIGHT(REGEXREPLACE(B1861&amp;"""",""[^0-9]"",""""),9))"),"743432534")</f>
        <v>743432534</v>
      </c>
      <c r="B1861" s="52">
        <v>7.43432534E8</v>
      </c>
      <c r="C1861" s="28" t="s">
        <v>2074</v>
      </c>
      <c r="D1861" s="26" t="s">
        <v>49</v>
      </c>
      <c r="E1861" s="31">
        <v>46229.0</v>
      </c>
      <c r="F1861" s="26" t="s">
        <v>46</v>
      </c>
      <c r="G1861" s="26">
        <v>11.0</v>
      </c>
      <c r="I1861" s="26" t="s">
        <v>42</v>
      </c>
      <c r="J1861" s="25" t="str">
        <f t="shared" si="34"/>
        <v>No</v>
      </c>
      <c r="K1861" s="25" t="str">
        <f t="shared" si="35"/>
        <v/>
      </c>
      <c r="L1861" s="25" t="str">
        <f t="shared" si="36"/>
        <v/>
      </c>
      <c r="M1861" s="25"/>
      <c r="O1861" s="25"/>
    </row>
    <row r="1862" ht="15.75" customHeight="1">
      <c r="A1862" s="25" t="str">
        <f>IFERROR(__xludf.DUMMYFUNCTION("IF(B1862="""","""",RIGHT(REGEXREPLACE(B1862&amp;"""",""[^0-9]"",""""),9))"),"718259488")</f>
        <v>718259488</v>
      </c>
      <c r="B1862" s="52">
        <v>7.18259488E8</v>
      </c>
      <c r="C1862" s="28" t="s">
        <v>2075</v>
      </c>
      <c r="D1862" s="26" t="s">
        <v>64</v>
      </c>
      <c r="E1862" s="31">
        <v>46229.0</v>
      </c>
      <c r="F1862" s="26" t="s">
        <v>41</v>
      </c>
      <c r="I1862" s="26" t="s">
        <v>42</v>
      </c>
      <c r="J1862" s="25" t="str">
        <f t="shared" si="34"/>
        <v>No</v>
      </c>
      <c r="K1862" s="25" t="str">
        <f t="shared" si="35"/>
        <v/>
      </c>
      <c r="L1862" s="25" t="str">
        <f t="shared" si="36"/>
        <v/>
      </c>
      <c r="M1862" s="25"/>
      <c r="O1862" s="25"/>
    </row>
    <row r="1863" ht="15.75" customHeight="1">
      <c r="A1863" s="25" t="str">
        <f>IFERROR(__xludf.DUMMYFUNCTION("IF(B1863="""","""",RIGHT(REGEXREPLACE(B1863&amp;"""",""[^0-9]"",""""),9))"),"717673398")</f>
        <v>717673398</v>
      </c>
      <c r="B1863" s="52">
        <v>7.17673398E8</v>
      </c>
      <c r="C1863" s="28" t="s">
        <v>2076</v>
      </c>
      <c r="D1863" s="26" t="s">
        <v>56</v>
      </c>
      <c r="E1863" s="31">
        <v>46229.0</v>
      </c>
      <c r="F1863" s="26" t="s">
        <v>41</v>
      </c>
      <c r="G1863" s="26">
        <v>11.0</v>
      </c>
      <c r="I1863" s="26" t="s">
        <v>42</v>
      </c>
      <c r="J1863" s="25" t="str">
        <f t="shared" si="34"/>
        <v>No</v>
      </c>
      <c r="K1863" s="25" t="str">
        <f t="shared" si="35"/>
        <v/>
      </c>
      <c r="L1863" s="25" t="str">
        <f t="shared" si="36"/>
        <v/>
      </c>
      <c r="M1863" s="25"/>
      <c r="O1863" s="25"/>
    </row>
    <row r="1864" ht="15.75" customHeight="1">
      <c r="A1864" s="25" t="str">
        <f>IFERROR(__xludf.DUMMYFUNCTION("IF(B1864="""","""",RIGHT(REGEXREPLACE(B1864&amp;"""",""[^0-9]"",""""),9))"),"754064826")</f>
        <v>754064826</v>
      </c>
      <c r="B1864" s="52">
        <v>7.54064826E8</v>
      </c>
      <c r="C1864" s="28" t="s">
        <v>2077</v>
      </c>
      <c r="D1864" s="26" t="s">
        <v>64</v>
      </c>
      <c r="E1864" s="31">
        <v>46229.0</v>
      </c>
      <c r="F1864" s="26" t="s">
        <v>41</v>
      </c>
      <c r="I1864" s="26" t="s">
        <v>42</v>
      </c>
      <c r="J1864" s="25" t="str">
        <f t="shared" si="34"/>
        <v>No</v>
      </c>
      <c r="K1864" s="25" t="str">
        <f t="shared" si="35"/>
        <v/>
      </c>
      <c r="L1864" s="25" t="str">
        <f t="shared" si="36"/>
        <v/>
      </c>
      <c r="M1864" s="25"/>
      <c r="O1864" s="25"/>
    </row>
    <row r="1865" ht="15.75" customHeight="1">
      <c r="A1865" s="25" t="str">
        <f>IFERROR(__xludf.DUMMYFUNCTION("IF(B1865="""","""",RIGHT(REGEXREPLACE(B1865&amp;"""",""[^0-9]"",""""),9))"),"711105905")</f>
        <v>711105905</v>
      </c>
      <c r="B1865" s="52">
        <v>7.11105905E8</v>
      </c>
      <c r="C1865" s="28" t="s">
        <v>2077</v>
      </c>
      <c r="D1865" s="26" t="s">
        <v>45</v>
      </c>
      <c r="E1865" s="31">
        <v>46229.0</v>
      </c>
      <c r="F1865" s="26" t="s">
        <v>41</v>
      </c>
      <c r="G1865" s="26">
        <v>11.0</v>
      </c>
      <c r="I1865" s="26" t="s">
        <v>42</v>
      </c>
      <c r="J1865" s="25" t="str">
        <f t="shared" si="34"/>
        <v>No</v>
      </c>
      <c r="K1865" s="25" t="str">
        <f t="shared" si="35"/>
        <v/>
      </c>
      <c r="L1865" s="25" t="str">
        <f t="shared" si="36"/>
        <v/>
      </c>
      <c r="M1865" s="25"/>
      <c r="O1865" s="25"/>
    </row>
    <row r="1866" ht="15.75" customHeight="1">
      <c r="A1866" s="25" t="str">
        <f>IFERROR(__xludf.DUMMYFUNCTION("IF(B1866="""","""",RIGHT(REGEXREPLACE(B1866&amp;"""",""[^0-9]"",""""),9))"),"704640509")</f>
        <v>704640509</v>
      </c>
      <c r="B1866" s="52">
        <v>7.04640509E8</v>
      </c>
      <c r="C1866" s="28" t="s">
        <v>2078</v>
      </c>
      <c r="D1866" s="26" t="s">
        <v>49</v>
      </c>
      <c r="E1866" s="31">
        <v>46229.0</v>
      </c>
      <c r="F1866" s="26" t="s">
        <v>205</v>
      </c>
      <c r="G1866" s="26">
        <v>11.0</v>
      </c>
      <c r="I1866" s="26" t="s">
        <v>42</v>
      </c>
      <c r="J1866" s="25" t="str">
        <f t="shared" si="34"/>
        <v>No</v>
      </c>
      <c r="K1866" s="25" t="str">
        <f t="shared" si="35"/>
        <v/>
      </c>
      <c r="L1866" s="25" t="str">
        <f t="shared" si="36"/>
        <v/>
      </c>
      <c r="M1866" s="25"/>
      <c r="O1866" s="25"/>
    </row>
    <row r="1867" ht="15.75" customHeight="1">
      <c r="A1867" s="25" t="str">
        <f>IFERROR(__xludf.DUMMYFUNCTION("IF(B1867="""","""",RIGHT(REGEXREPLACE(B1867&amp;"""",""[^0-9]"",""""),9))"),"704640509")</f>
        <v>704640509</v>
      </c>
      <c r="B1867" s="52">
        <v>7.04640509E8</v>
      </c>
      <c r="C1867" s="28" t="s">
        <v>2078</v>
      </c>
      <c r="D1867" s="26" t="s">
        <v>56</v>
      </c>
      <c r="E1867" s="31">
        <v>46229.0</v>
      </c>
      <c r="F1867" s="26" t="s">
        <v>659</v>
      </c>
      <c r="G1867" s="26">
        <v>11.0</v>
      </c>
      <c r="I1867" s="26" t="s">
        <v>42</v>
      </c>
      <c r="J1867" s="25" t="str">
        <f t="shared" si="34"/>
        <v>Yes - see Previous F-Code</v>
      </c>
      <c r="K1867" s="25" t="str">
        <f t="shared" si="35"/>
        <v>DUPLICATE - CHECK</v>
      </c>
      <c r="L1867" s="25" t="str">
        <f t="shared" si="36"/>
        <v>F71779</v>
      </c>
      <c r="M1867" s="25"/>
      <c r="O1867" s="25"/>
    </row>
    <row r="1868" ht="15.75" customHeight="1">
      <c r="A1868" s="25" t="str">
        <f>IFERROR(__xludf.DUMMYFUNCTION("IF(B1868="""","""",RIGHT(REGEXREPLACE(B1868&amp;"""",""[^0-9]"",""""),9))"),"715526985")</f>
        <v>715526985</v>
      </c>
      <c r="B1868" s="52">
        <v>7.15526985E8</v>
      </c>
      <c r="C1868" s="28" t="s">
        <v>2079</v>
      </c>
      <c r="D1868" s="26" t="s">
        <v>49</v>
      </c>
      <c r="E1868" s="31">
        <v>46229.0</v>
      </c>
      <c r="F1868" s="26" t="s">
        <v>41</v>
      </c>
      <c r="G1868" s="26">
        <v>11.0</v>
      </c>
      <c r="I1868" s="26" t="s">
        <v>42</v>
      </c>
      <c r="J1868" s="25" t="str">
        <f t="shared" si="34"/>
        <v>No</v>
      </c>
      <c r="K1868" s="25" t="str">
        <f t="shared" si="35"/>
        <v/>
      </c>
      <c r="L1868" s="25" t="str">
        <f t="shared" si="36"/>
        <v/>
      </c>
      <c r="M1868" s="25"/>
      <c r="O1868" s="25"/>
    </row>
    <row r="1869" ht="15.75" customHeight="1">
      <c r="A1869" s="25" t="str">
        <f>IFERROR(__xludf.DUMMYFUNCTION("IF(B1869="""","""",RIGHT(REGEXREPLACE(B1869&amp;"""",""[^0-9]"",""""),9))"),"762197031")</f>
        <v>762197031</v>
      </c>
      <c r="B1869" s="52">
        <v>7.62197031E8</v>
      </c>
      <c r="C1869" s="28" t="s">
        <v>2080</v>
      </c>
      <c r="D1869" s="26" t="s">
        <v>56</v>
      </c>
      <c r="E1869" s="31">
        <v>46229.0</v>
      </c>
      <c r="F1869" s="26" t="s">
        <v>46</v>
      </c>
      <c r="G1869" s="26">
        <v>11.0</v>
      </c>
      <c r="I1869" s="26" t="s">
        <v>42</v>
      </c>
      <c r="J1869" s="25" t="str">
        <f t="shared" si="34"/>
        <v>No</v>
      </c>
      <c r="K1869" s="25" t="str">
        <f t="shared" si="35"/>
        <v/>
      </c>
      <c r="L1869" s="25" t="str">
        <f t="shared" si="36"/>
        <v/>
      </c>
      <c r="M1869" s="25"/>
      <c r="O1869" s="25"/>
    </row>
    <row r="1870" ht="15.75" customHeight="1">
      <c r="A1870" s="25" t="str">
        <f>IFERROR(__xludf.DUMMYFUNCTION("IF(B1870="""","""",RIGHT(REGEXREPLACE(B1870&amp;"""",""[^0-9]"",""""),9))"),"760848562")</f>
        <v>760848562</v>
      </c>
      <c r="B1870" s="52">
        <v>7.60848562E8</v>
      </c>
      <c r="C1870" s="28" t="s">
        <v>2081</v>
      </c>
      <c r="D1870" s="26" t="s">
        <v>45</v>
      </c>
      <c r="E1870" s="31">
        <v>46229.0</v>
      </c>
      <c r="F1870" s="26" t="s">
        <v>164</v>
      </c>
      <c r="G1870" s="26">
        <v>11.0</v>
      </c>
      <c r="I1870" s="26" t="s">
        <v>42</v>
      </c>
      <c r="J1870" s="25" t="str">
        <f t="shared" si="34"/>
        <v>No</v>
      </c>
      <c r="K1870" s="25" t="str">
        <f t="shared" si="35"/>
        <v/>
      </c>
      <c r="L1870" s="25" t="str">
        <f t="shared" si="36"/>
        <v/>
      </c>
      <c r="M1870" s="25"/>
      <c r="O1870" s="25"/>
    </row>
    <row r="1871" ht="15.75" customHeight="1">
      <c r="A1871" s="25" t="str">
        <f>IFERROR(__xludf.DUMMYFUNCTION("IF(B1871="""","""",RIGHT(REGEXREPLACE(B1871&amp;"""",""[^0-9]"",""""),9))"),"719024108")</f>
        <v>719024108</v>
      </c>
      <c r="B1871" s="26">
        <v>7.19024108E8</v>
      </c>
      <c r="C1871" s="28" t="s">
        <v>2082</v>
      </c>
      <c r="D1871" s="26" t="s">
        <v>37</v>
      </c>
      <c r="E1871" s="31">
        <v>46229.0</v>
      </c>
      <c r="F1871" s="26" t="s">
        <v>167</v>
      </c>
      <c r="G1871" s="26">
        <v>11.0</v>
      </c>
      <c r="I1871" s="26" t="s">
        <v>42</v>
      </c>
      <c r="J1871" s="25" t="str">
        <f t="shared" si="34"/>
        <v>No</v>
      </c>
      <c r="K1871" s="25" t="str">
        <f t="shared" si="35"/>
        <v/>
      </c>
      <c r="L1871" s="25" t="str">
        <f t="shared" si="36"/>
        <v/>
      </c>
      <c r="M1871" s="25"/>
      <c r="O1871" s="25"/>
    </row>
    <row r="1872" ht="15.75" customHeight="1">
      <c r="A1872" s="25" t="str">
        <f>IFERROR(__xludf.DUMMYFUNCTION("IF(B1872="""","""",RIGHT(REGEXREPLACE(B1872&amp;"""",""[^0-9]"",""""),9))"),"785975300")</f>
        <v>785975300</v>
      </c>
      <c r="B1872" s="52">
        <v>7.859753E8</v>
      </c>
      <c r="C1872" s="28" t="s">
        <v>2083</v>
      </c>
      <c r="D1872" s="26" t="s">
        <v>64</v>
      </c>
      <c r="E1872" s="31">
        <v>46229.0</v>
      </c>
      <c r="F1872" s="26" t="s">
        <v>41</v>
      </c>
      <c r="I1872" s="26" t="s">
        <v>42</v>
      </c>
      <c r="J1872" s="25" t="str">
        <f t="shared" si="34"/>
        <v>No</v>
      </c>
      <c r="K1872" s="25" t="str">
        <f t="shared" si="35"/>
        <v/>
      </c>
      <c r="L1872" s="25" t="str">
        <f t="shared" si="36"/>
        <v/>
      </c>
      <c r="M1872" s="25"/>
      <c r="O1872" s="25"/>
    </row>
    <row r="1873" ht="15.75" customHeight="1">
      <c r="A1873" s="25" t="str">
        <f>IFERROR(__xludf.DUMMYFUNCTION("IF(B1873="""","""",RIGHT(REGEXREPLACE(B1873&amp;"""",""[^0-9]"",""""),9))"),"761158230")</f>
        <v>761158230</v>
      </c>
      <c r="B1873" s="52">
        <v>7.6115823E8</v>
      </c>
      <c r="C1873" s="28" t="s">
        <v>2084</v>
      </c>
      <c r="D1873" s="26" t="s">
        <v>49</v>
      </c>
      <c r="E1873" s="31">
        <v>46229.0</v>
      </c>
      <c r="F1873" s="26" t="s">
        <v>41</v>
      </c>
      <c r="G1873" s="26">
        <v>11.0</v>
      </c>
      <c r="I1873" s="26" t="s">
        <v>42</v>
      </c>
      <c r="J1873" s="25" t="str">
        <f t="shared" si="34"/>
        <v>No</v>
      </c>
      <c r="K1873" s="25" t="str">
        <f t="shared" si="35"/>
        <v/>
      </c>
      <c r="L1873" s="25" t="str">
        <f t="shared" si="36"/>
        <v/>
      </c>
      <c r="M1873" s="25"/>
      <c r="O1873" s="25"/>
    </row>
    <row r="1874" ht="15.75" customHeight="1">
      <c r="A1874" s="25" t="str">
        <f>IFERROR(__xludf.DUMMYFUNCTION("IF(B1874="""","""",RIGHT(REGEXREPLACE(B1874&amp;"""",""[^0-9]"",""""),9))"),"754547288")</f>
        <v>754547288</v>
      </c>
      <c r="B1874" s="52">
        <v>7.54547288E8</v>
      </c>
      <c r="C1874" s="28" t="s">
        <v>2085</v>
      </c>
      <c r="D1874" s="26" t="s">
        <v>45</v>
      </c>
      <c r="E1874" s="31">
        <v>46229.0</v>
      </c>
      <c r="F1874" s="26" t="s">
        <v>41</v>
      </c>
      <c r="I1874" s="26" t="s">
        <v>42</v>
      </c>
      <c r="J1874" s="25" t="str">
        <f t="shared" si="34"/>
        <v>No</v>
      </c>
      <c r="K1874" s="25" t="str">
        <f t="shared" si="35"/>
        <v/>
      </c>
      <c r="L1874" s="25" t="str">
        <f t="shared" si="36"/>
        <v/>
      </c>
      <c r="M1874" s="25"/>
      <c r="O1874" s="25"/>
    </row>
    <row r="1875" ht="15.75" customHeight="1">
      <c r="A1875" s="25" t="str">
        <f>IFERROR(__xludf.DUMMYFUNCTION("IF(B1875="""","""",RIGHT(REGEXREPLACE(B1875&amp;"""",""[^0-9]"",""""),9))"),"761762714")</f>
        <v>761762714</v>
      </c>
      <c r="B1875" s="52">
        <v>7.61762714E8</v>
      </c>
      <c r="C1875" s="28" t="s">
        <v>2086</v>
      </c>
      <c r="D1875" s="26" t="s">
        <v>45</v>
      </c>
      <c r="E1875" s="31">
        <v>46229.0</v>
      </c>
      <c r="F1875" s="26" t="s">
        <v>46</v>
      </c>
      <c r="G1875" s="26">
        <v>11.0</v>
      </c>
      <c r="I1875" s="26" t="s">
        <v>42</v>
      </c>
      <c r="J1875" s="25" t="str">
        <f t="shared" si="34"/>
        <v>No</v>
      </c>
      <c r="K1875" s="25" t="str">
        <f t="shared" si="35"/>
        <v/>
      </c>
      <c r="L1875" s="25" t="str">
        <f t="shared" si="36"/>
        <v/>
      </c>
      <c r="M1875" s="25"/>
      <c r="O1875" s="25"/>
    </row>
    <row r="1876" ht="15.75" customHeight="1">
      <c r="A1876" s="25" t="str">
        <f>IFERROR(__xludf.DUMMYFUNCTION("IF(B1876="""","""",RIGHT(REGEXREPLACE(B1876&amp;"""",""[^0-9]"",""""),9))"),"779211082")</f>
        <v>779211082</v>
      </c>
      <c r="B1876" s="52">
        <v>7.79211082E8</v>
      </c>
      <c r="C1876" s="28" t="s">
        <v>2087</v>
      </c>
      <c r="D1876" s="26" t="s">
        <v>49</v>
      </c>
      <c r="E1876" s="31">
        <v>46229.0</v>
      </c>
      <c r="F1876" s="26" t="s">
        <v>46</v>
      </c>
      <c r="G1876" s="26">
        <v>11.0</v>
      </c>
      <c r="I1876" s="26" t="s">
        <v>42</v>
      </c>
      <c r="J1876" s="25" t="str">
        <f t="shared" si="34"/>
        <v>No</v>
      </c>
      <c r="K1876" s="25" t="str">
        <f t="shared" si="35"/>
        <v/>
      </c>
      <c r="L1876" s="25" t="str">
        <f t="shared" si="36"/>
        <v/>
      </c>
      <c r="M1876" s="25"/>
      <c r="O1876" s="25"/>
    </row>
    <row r="1877" ht="15.75" customHeight="1">
      <c r="A1877" s="25" t="str">
        <f>IFERROR(__xludf.DUMMYFUNCTION("IF(B1877="""","""",RIGHT(REGEXREPLACE(B1877&amp;"""",""[^0-9]"",""""),9))"),"754202996")</f>
        <v>754202996</v>
      </c>
      <c r="B1877" s="52">
        <v>7.54202996E8</v>
      </c>
      <c r="C1877" s="28" t="s">
        <v>2088</v>
      </c>
      <c r="D1877" s="26" t="s">
        <v>56</v>
      </c>
      <c r="E1877" s="31">
        <v>46229.0</v>
      </c>
      <c r="F1877" s="26" t="s">
        <v>46</v>
      </c>
      <c r="G1877" s="26">
        <v>11.0</v>
      </c>
      <c r="I1877" s="26" t="s">
        <v>42</v>
      </c>
      <c r="J1877" s="25" t="str">
        <f t="shared" si="34"/>
        <v>No</v>
      </c>
      <c r="K1877" s="25" t="str">
        <f t="shared" si="35"/>
        <v/>
      </c>
      <c r="L1877" s="25" t="str">
        <f t="shared" si="36"/>
        <v/>
      </c>
      <c r="M1877" s="25"/>
      <c r="O1877" s="25"/>
    </row>
    <row r="1878" ht="15.75" customHeight="1">
      <c r="A1878" s="25" t="str">
        <f>IFERROR(__xludf.DUMMYFUNCTION("IF(B1878="""","""",RIGHT(REGEXREPLACE(B1878&amp;"""",""[^0-9]"",""""),9))"),"765746901")</f>
        <v>765746901</v>
      </c>
      <c r="B1878" s="52">
        <v>7.65746901E8</v>
      </c>
      <c r="C1878" s="28" t="s">
        <v>2089</v>
      </c>
      <c r="D1878" s="26" t="s">
        <v>64</v>
      </c>
      <c r="E1878" s="31">
        <v>46229.0</v>
      </c>
      <c r="F1878" s="26" t="s">
        <v>205</v>
      </c>
      <c r="I1878" s="26" t="s">
        <v>42</v>
      </c>
      <c r="J1878" s="25" t="str">
        <f t="shared" si="34"/>
        <v>No</v>
      </c>
      <c r="K1878" s="25" t="str">
        <f t="shared" si="35"/>
        <v/>
      </c>
      <c r="L1878" s="25" t="str">
        <f t="shared" si="36"/>
        <v/>
      </c>
      <c r="M1878" s="25"/>
      <c r="O1878" s="25"/>
    </row>
    <row r="1879" ht="15.75" customHeight="1">
      <c r="A1879" s="25" t="str">
        <f>IFERROR(__xludf.DUMMYFUNCTION("IF(B1879="""","""",RIGHT(REGEXREPLACE(B1879&amp;"""",""[^0-9]"",""""),9))"),"767533788")</f>
        <v>767533788</v>
      </c>
      <c r="B1879" s="52">
        <v>7.67533788E8</v>
      </c>
      <c r="C1879" s="28" t="s">
        <v>2090</v>
      </c>
      <c r="D1879" s="26" t="s">
        <v>49</v>
      </c>
      <c r="E1879" s="31">
        <v>46229.0</v>
      </c>
      <c r="F1879" s="26" t="s">
        <v>205</v>
      </c>
      <c r="G1879" s="26">
        <v>11.0</v>
      </c>
      <c r="I1879" s="26" t="s">
        <v>42</v>
      </c>
      <c r="J1879" s="25" t="str">
        <f t="shared" si="34"/>
        <v>No</v>
      </c>
      <c r="K1879" s="25" t="str">
        <f t="shared" si="35"/>
        <v/>
      </c>
      <c r="L1879" s="25" t="str">
        <f t="shared" si="36"/>
        <v/>
      </c>
      <c r="M1879" s="25"/>
      <c r="O1879" s="25"/>
    </row>
    <row r="1880" ht="15.75" customHeight="1">
      <c r="A1880" s="25" t="str">
        <f>IFERROR(__xludf.DUMMYFUNCTION("IF(B1880="""","""",RIGHT(REGEXREPLACE(B1880&amp;"""",""[^0-9]"",""""),9))"),"779518168")</f>
        <v>779518168</v>
      </c>
      <c r="B1880" s="52">
        <v>7.79518168E8</v>
      </c>
      <c r="C1880" s="28" t="s">
        <v>2091</v>
      </c>
      <c r="D1880" s="26" t="s">
        <v>56</v>
      </c>
      <c r="E1880" s="31">
        <v>46229.0</v>
      </c>
      <c r="F1880" s="26" t="s">
        <v>46</v>
      </c>
      <c r="G1880" s="26">
        <v>11.0</v>
      </c>
      <c r="I1880" s="26" t="s">
        <v>42</v>
      </c>
      <c r="J1880" s="25" t="str">
        <f t="shared" si="34"/>
        <v>No</v>
      </c>
      <c r="K1880" s="25" t="str">
        <f t="shared" si="35"/>
        <v/>
      </c>
      <c r="L1880" s="25" t="str">
        <f t="shared" si="36"/>
        <v/>
      </c>
      <c r="M1880" s="25"/>
      <c r="O1880" s="25"/>
    </row>
    <row r="1881" ht="15.75" customHeight="1">
      <c r="A1881" s="25" t="str">
        <f>IFERROR(__xludf.DUMMYFUNCTION("IF(B1881="""","""",RIGHT(REGEXREPLACE(B1881&amp;"""",""[^0-9]"",""""),9))"),"761949972")</f>
        <v>761949972</v>
      </c>
      <c r="B1881" s="52">
        <v>7.61949972E8</v>
      </c>
      <c r="C1881" s="28" t="s">
        <v>2092</v>
      </c>
      <c r="D1881" s="26" t="s">
        <v>64</v>
      </c>
      <c r="E1881" s="31">
        <v>46229.0</v>
      </c>
      <c r="F1881" s="25"/>
      <c r="G1881" s="26">
        <v>11.0</v>
      </c>
      <c r="H1881" s="25"/>
      <c r="I1881" s="26" t="s">
        <v>42</v>
      </c>
      <c r="J1881" s="25" t="str">
        <f t="shared" si="34"/>
        <v>No</v>
      </c>
      <c r="K1881" s="25" t="str">
        <f t="shared" si="35"/>
        <v/>
      </c>
      <c r="L1881" s="25" t="str">
        <f t="shared" si="36"/>
        <v/>
      </c>
      <c r="M1881" s="25"/>
      <c r="N1881" s="25"/>
      <c r="O1881" s="25"/>
      <c r="P1881" s="25"/>
    </row>
    <row r="1882" ht="15.75" customHeight="1">
      <c r="A1882" s="25" t="str">
        <f>IFERROR(__xludf.DUMMYFUNCTION("IF(B1882="""","""",RIGHT(REGEXREPLACE(B1882&amp;"""",""[^0-9]"",""""),9))"),"766372126")</f>
        <v>766372126</v>
      </c>
      <c r="B1882" s="26">
        <v>7.66372126E8</v>
      </c>
      <c r="C1882" s="28" t="s">
        <v>2093</v>
      </c>
      <c r="D1882" s="26" t="s">
        <v>37</v>
      </c>
      <c r="E1882" s="31">
        <v>46229.0</v>
      </c>
      <c r="F1882" s="26" t="s">
        <v>46</v>
      </c>
      <c r="G1882" s="26">
        <v>11.0</v>
      </c>
      <c r="I1882" s="26" t="s">
        <v>42</v>
      </c>
      <c r="J1882" s="25" t="str">
        <f t="shared" si="34"/>
        <v>No</v>
      </c>
      <c r="K1882" s="25" t="str">
        <f t="shared" si="35"/>
        <v/>
      </c>
      <c r="L1882" s="25" t="str">
        <f t="shared" si="36"/>
        <v/>
      </c>
      <c r="M1882" s="25"/>
      <c r="O1882" s="25"/>
    </row>
    <row r="1883" ht="15.75" customHeight="1">
      <c r="A1883" s="25" t="str">
        <f>IFERROR(__xludf.DUMMYFUNCTION("IF(B1883="""","""",RIGHT(REGEXREPLACE(B1883&amp;"""",""[^0-9]"",""""),9))"),"721351779")</f>
        <v>721351779</v>
      </c>
      <c r="B1883" s="52">
        <v>7.21351779E8</v>
      </c>
      <c r="C1883" s="28" t="s">
        <v>2094</v>
      </c>
      <c r="D1883" s="26" t="s">
        <v>45</v>
      </c>
      <c r="E1883" s="31">
        <v>46229.0</v>
      </c>
      <c r="F1883" s="26" t="s">
        <v>46</v>
      </c>
      <c r="G1883" s="26">
        <v>11.0</v>
      </c>
      <c r="I1883" s="26" t="s">
        <v>42</v>
      </c>
      <c r="J1883" s="25" t="str">
        <f t="shared" si="34"/>
        <v>No</v>
      </c>
      <c r="K1883" s="25" t="str">
        <f t="shared" si="35"/>
        <v/>
      </c>
      <c r="L1883" s="25" t="str">
        <f t="shared" si="36"/>
        <v/>
      </c>
      <c r="M1883" s="25"/>
      <c r="O1883" s="25"/>
    </row>
    <row r="1884" ht="15.75" customHeight="1">
      <c r="A1884" s="25" t="str">
        <f>IFERROR(__xludf.DUMMYFUNCTION("IF(B1884="""","""",RIGHT(REGEXREPLACE(B1884&amp;"""",""[^0-9]"",""""),9))"),"715790984")</f>
        <v>715790984</v>
      </c>
      <c r="B1884" s="52">
        <v>7.15790984E8</v>
      </c>
      <c r="C1884" s="28" t="s">
        <v>2095</v>
      </c>
      <c r="D1884" s="26" t="s">
        <v>49</v>
      </c>
      <c r="E1884" s="31">
        <v>46229.0</v>
      </c>
      <c r="F1884" s="26" t="s">
        <v>46</v>
      </c>
      <c r="G1884" s="26">
        <v>11.0</v>
      </c>
      <c r="I1884" s="26" t="s">
        <v>42</v>
      </c>
      <c r="J1884" s="25" t="str">
        <f t="shared" si="34"/>
        <v>No</v>
      </c>
      <c r="K1884" s="25" t="str">
        <f t="shared" si="35"/>
        <v/>
      </c>
      <c r="L1884" s="25" t="str">
        <f t="shared" si="36"/>
        <v/>
      </c>
      <c r="M1884" s="25"/>
      <c r="O1884" s="25"/>
    </row>
    <row r="1885" ht="15.75" customHeight="1">
      <c r="A1885" s="25" t="str">
        <f>IFERROR(__xludf.DUMMYFUNCTION("IF(B1885="""","""",RIGHT(REGEXREPLACE(B1885&amp;"""",""[^0-9]"",""""),9))"),"768321690")</f>
        <v>768321690</v>
      </c>
      <c r="B1885" s="26">
        <v>7.6832169E8</v>
      </c>
      <c r="C1885" s="28" t="s">
        <v>2096</v>
      </c>
      <c r="D1885" s="26" t="s">
        <v>37</v>
      </c>
      <c r="E1885" s="31">
        <v>46229.0</v>
      </c>
      <c r="F1885" s="26" t="s">
        <v>164</v>
      </c>
      <c r="I1885" s="26" t="s">
        <v>42</v>
      </c>
      <c r="J1885" s="25" t="str">
        <f t="shared" si="34"/>
        <v>No</v>
      </c>
      <c r="K1885" s="25" t="str">
        <f t="shared" si="35"/>
        <v/>
      </c>
      <c r="L1885" s="25" t="str">
        <f t="shared" si="36"/>
        <v/>
      </c>
      <c r="M1885" s="25"/>
      <c r="O1885" s="25"/>
    </row>
    <row r="1886" ht="15.75" customHeight="1">
      <c r="A1886" s="25" t="str">
        <f>IFERROR(__xludf.DUMMYFUNCTION("IF(B1886="""","""",RIGHT(REGEXREPLACE(B1886&amp;"""",""[^0-9]"",""""),9))"),"713138355")</f>
        <v>713138355</v>
      </c>
      <c r="B1886" s="52">
        <v>7.13138355E8</v>
      </c>
      <c r="C1886" s="28" t="s">
        <v>2097</v>
      </c>
      <c r="D1886" s="26" t="s">
        <v>56</v>
      </c>
      <c r="E1886" s="31">
        <v>46229.0</v>
      </c>
      <c r="F1886" s="26" t="s">
        <v>41</v>
      </c>
      <c r="G1886" s="26">
        <v>11.0</v>
      </c>
      <c r="I1886" s="26" t="s">
        <v>42</v>
      </c>
      <c r="J1886" s="25" t="str">
        <f t="shared" si="34"/>
        <v>No</v>
      </c>
      <c r="K1886" s="25" t="str">
        <f t="shared" si="35"/>
        <v/>
      </c>
      <c r="L1886" s="25" t="str">
        <f t="shared" si="36"/>
        <v/>
      </c>
      <c r="M1886" s="25"/>
      <c r="O1886" s="25"/>
    </row>
    <row r="1887" ht="15.75" customHeight="1">
      <c r="A1887" s="25" t="str">
        <f>IFERROR(__xludf.DUMMYFUNCTION("IF(B1887="""","""",RIGHT(REGEXREPLACE(B1887&amp;"""",""[^0-9]"",""""),9))"),"766364877")</f>
        <v>766364877</v>
      </c>
      <c r="B1887" s="52">
        <v>7.66364877E8</v>
      </c>
      <c r="C1887" s="28" t="s">
        <v>2098</v>
      </c>
      <c r="D1887" s="26" t="s">
        <v>45</v>
      </c>
      <c r="E1887" s="31">
        <v>46229.0</v>
      </c>
      <c r="F1887" s="26" t="s">
        <v>46</v>
      </c>
      <c r="G1887" s="26">
        <v>11.0</v>
      </c>
      <c r="I1887" s="26" t="s">
        <v>42</v>
      </c>
      <c r="J1887" s="25" t="str">
        <f t="shared" si="34"/>
        <v>No</v>
      </c>
      <c r="K1887" s="25" t="str">
        <f t="shared" si="35"/>
        <v/>
      </c>
      <c r="L1887" s="25" t="str">
        <f t="shared" si="36"/>
        <v/>
      </c>
      <c r="M1887" s="25"/>
      <c r="O1887" s="25"/>
    </row>
    <row r="1888" ht="15.75" customHeight="1">
      <c r="A1888" s="25" t="str">
        <f>IFERROR(__xludf.DUMMYFUNCTION("IF(B1888="""","""",RIGHT(REGEXREPLACE(B1888&amp;"""",""[^0-9]"",""""),9))"),"711760981")</f>
        <v>711760981</v>
      </c>
      <c r="B1888" s="52">
        <v>7.11760981E8</v>
      </c>
      <c r="C1888" s="28" t="s">
        <v>2099</v>
      </c>
      <c r="D1888" s="26" t="s">
        <v>49</v>
      </c>
      <c r="E1888" s="31">
        <v>46229.0</v>
      </c>
      <c r="F1888" s="26" t="s">
        <v>46</v>
      </c>
      <c r="G1888" s="26">
        <v>11.0</v>
      </c>
      <c r="I1888" s="26" t="s">
        <v>42</v>
      </c>
      <c r="J1888" s="25" t="str">
        <f t="shared" si="34"/>
        <v>No</v>
      </c>
      <c r="K1888" s="25" t="str">
        <f t="shared" si="35"/>
        <v/>
      </c>
      <c r="L1888" s="25" t="str">
        <f t="shared" si="36"/>
        <v/>
      </c>
      <c r="M1888" s="25"/>
      <c r="O1888" s="25"/>
    </row>
    <row r="1889" ht="15.75" customHeight="1">
      <c r="A1889" s="25" t="str">
        <f>IFERROR(__xludf.DUMMYFUNCTION("IF(B1889="""","""",RIGHT(REGEXREPLACE(B1889&amp;"""",""[^0-9]"",""""),9))"),"772662812")</f>
        <v>772662812</v>
      </c>
      <c r="B1889" s="52">
        <v>7.72662812E8</v>
      </c>
      <c r="C1889" s="28" t="s">
        <v>194</v>
      </c>
      <c r="D1889" s="26" t="s">
        <v>64</v>
      </c>
      <c r="E1889" s="31">
        <v>46229.0</v>
      </c>
      <c r="F1889" s="26" t="s">
        <v>167</v>
      </c>
      <c r="G1889" s="26">
        <v>11.0</v>
      </c>
      <c r="I1889" s="26" t="s">
        <v>42</v>
      </c>
      <c r="J1889" s="25" t="str">
        <f t="shared" si="34"/>
        <v>Yes - see Previous F-Code</v>
      </c>
      <c r="K1889" s="25" t="str">
        <f t="shared" si="35"/>
        <v>DUPLICATE - CHECK</v>
      </c>
      <c r="L1889" s="25" t="str">
        <f t="shared" si="36"/>
        <v>F70087</v>
      </c>
      <c r="M1889" s="25"/>
      <c r="O1889" s="25"/>
    </row>
    <row r="1890" ht="15.75" customHeight="1">
      <c r="A1890" s="25" t="str">
        <f>IFERROR(__xludf.DUMMYFUNCTION("IF(B1890="""","""",RIGHT(REGEXREPLACE(B1890&amp;"""",""[^0-9]"",""""),9))"),"753722779")</f>
        <v>753722779</v>
      </c>
      <c r="B1890" s="52">
        <v>7.53722779E8</v>
      </c>
      <c r="C1890" s="28" t="s">
        <v>2100</v>
      </c>
      <c r="D1890" s="26" t="s">
        <v>56</v>
      </c>
      <c r="E1890" s="31">
        <v>46229.0</v>
      </c>
      <c r="F1890" s="26" t="s">
        <v>46</v>
      </c>
      <c r="G1890" s="26">
        <v>11.0</v>
      </c>
      <c r="I1890" s="26" t="s">
        <v>42</v>
      </c>
      <c r="J1890" s="25" t="str">
        <f t="shared" si="34"/>
        <v>No</v>
      </c>
      <c r="K1890" s="25" t="str">
        <f t="shared" si="35"/>
        <v/>
      </c>
      <c r="L1890" s="25" t="str">
        <f t="shared" si="36"/>
        <v/>
      </c>
      <c r="M1890" s="25"/>
      <c r="O1890" s="25"/>
    </row>
    <row r="1891" ht="15.75" customHeight="1">
      <c r="A1891" s="25" t="str">
        <f>IFERROR(__xludf.DUMMYFUNCTION("IF(B1891="""","""",RIGHT(REGEXREPLACE(B1891&amp;"""",""[^0-9]"",""""),9))"),"772092286")</f>
        <v>772092286</v>
      </c>
      <c r="B1891" s="52">
        <v>7.72092286E8</v>
      </c>
      <c r="C1891" s="28" t="s">
        <v>2101</v>
      </c>
      <c r="D1891" s="26" t="s">
        <v>45</v>
      </c>
      <c r="E1891" s="31">
        <v>46229.0</v>
      </c>
      <c r="F1891" s="26" t="s">
        <v>164</v>
      </c>
      <c r="I1891" s="26" t="s">
        <v>42</v>
      </c>
      <c r="J1891" s="25" t="str">
        <f t="shared" si="34"/>
        <v>No</v>
      </c>
      <c r="K1891" s="25" t="str">
        <f t="shared" si="35"/>
        <v/>
      </c>
      <c r="L1891" s="25" t="str">
        <f t="shared" si="36"/>
        <v/>
      </c>
      <c r="M1891" s="25"/>
      <c r="O1891" s="25"/>
    </row>
    <row r="1892" ht="15.75" customHeight="1">
      <c r="A1892" s="25" t="str">
        <f>IFERROR(__xludf.DUMMYFUNCTION("IF(B1892="""","""",RIGHT(REGEXREPLACE(B1892&amp;"""",""[^0-9]"",""""),9))"),"772919933")</f>
        <v>772919933</v>
      </c>
      <c r="B1892" s="52">
        <v>7.72919933E8</v>
      </c>
      <c r="C1892" s="28" t="s">
        <v>2102</v>
      </c>
      <c r="D1892" s="26" t="s">
        <v>56</v>
      </c>
      <c r="E1892" s="31">
        <v>46229.0</v>
      </c>
      <c r="F1892" s="26" t="s">
        <v>704</v>
      </c>
      <c r="I1892" s="26" t="s">
        <v>42</v>
      </c>
      <c r="J1892" s="25" t="str">
        <f t="shared" si="34"/>
        <v>No</v>
      </c>
      <c r="K1892" s="25" t="str">
        <f t="shared" si="35"/>
        <v/>
      </c>
      <c r="L1892" s="25" t="str">
        <f t="shared" si="36"/>
        <v/>
      </c>
      <c r="M1892" s="25"/>
      <c r="O1892" s="25"/>
    </row>
    <row r="1893" ht="15.75" customHeight="1">
      <c r="A1893" s="25" t="str">
        <f>IFERROR(__xludf.DUMMYFUNCTION("IF(B1893="""","""",RIGHT(REGEXREPLACE(B1893&amp;"""",""[^0-9]"",""""),9))"),"723655062")</f>
        <v>723655062</v>
      </c>
      <c r="B1893" s="52">
        <v>7.23655062E8</v>
      </c>
      <c r="C1893" s="28" t="s">
        <v>2103</v>
      </c>
      <c r="D1893" s="26" t="s">
        <v>45</v>
      </c>
      <c r="E1893" s="31">
        <v>46229.0</v>
      </c>
      <c r="F1893" s="26" t="s">
        <v>659</v>
      </c>
      <c r="I1893" s="26" t="s">
        <v>42</v>
      </c>
      <c r="J1893" s="25" t="str">
        <f t="shared" si="34"/>
        <v>No</v>
      </c>
      <c r="K1893" s="25" t="str">
        <f t="shared" si="35"/>
        <v/>
      </c>
      <c r="L1893" s="25" t="str">
        <f t="shared" si="36"/>
        <v/>
      </c>
      <c r="M1893" s="25"/>
      <c r="O1893" s="25"/>
    </row>
    <row r="1894" ht="15.75" customHeight="1">
      <c r="A1894" s="25" t="str">
        <f>IFERROR(__xludf.DUMMYFUNCTION("IF(B1894="""","""",RIGHT(REGEXREPLACE(B1894&amp;"""",""[^0-9]"",""""),9))"),"785351743")</f>
        <v>785351743</v>
      </c>
      <c r="B1894" s="52">
        <v>7.85351743E8</v>
      </c>
      <c r="C1894" s="28" t="s">
        <v>2104</v>
      </c>
      <c r="D1894" s="26" t="s">
        <v>56</v>
      </c>
      <c r="E1894" s="31">
        <v>46229.0</v>
      </c>
      <c r="F1894" s="26" t="s">
        <v>46</v>
      </c>
      <c r="G1894" s="26" t="s">
        <v>2105</v>
      </c>
      <c r="I1894" s="26" t="s">
        <v>42</v>
      </c>
      <c r="J1894" s="25" t="str">
        <f t="shared" si="34"/>
        <v>No</v>
      </c>
      <c r="K1894" s="25" t="str">
        <f t="shared" si="35"/>
        <v/>
      </c>
      <c r="L1894" s="25" t="str">
        <f t="shared" si="36"/>
        <v/>
      </c>
      <c r="M1894" s="25"/>
      <c r="O1894" s="25"/>
    </row>
    <row r="1895" ht="15.75" customHeight="1">
      <c r="A1895" s="25" t="str">
        <f>IFERROR(__xludf.DUMMYFUNCTION("IF(B1895="""","""",RIGHT(REGEXREPLACE(B1895&amp;"""",""[^0-9]"",""""),9))"),"776001159")</f>
        <v>776001159</v>
      </c>
      <c r="B1895" s="52">
        <v>7.76001159E8</v>
      </c>
      <c r="C1895" s="28" t="s">
        <v>2106</v>
      </c>
      <c r="D1895" s="26" t="s">
        <v>64</v>
      </c>
      <c r="E1895" s="31">
        <v>46229.0</v>
      </c>
      <c r="F1895" s="26" t="s">
        <v>41</v>
      </c>
      <c r="I1895" s="26" t="s">
        <v>42</v>
      </c>
      <c r="J1895" s="25" t="str">
        <f t="shared" si="34"/>
        <v>No</v>
      </c>
      <c r="K1895" s="25" t="str">
        <f t="shared" si="35"/>
        <v/>
      </c>
      <c r="L1895" s="25" t="str">
        <f t="shared" si="36"/>
        <v/>
      </c>
      <c r="M1895" s="25"/>
      <c r="O1895" s="25"/>
    </row>
    <row r="1896" ht="15.75" customHeight="1">
      <c r="A1896" s="25" t="str">
        <f>IFERROR(__xludf.DUMMYFUNCTION("IF(B1896="""","""",RIGHT(REGEXREPLACE(B1896&amp;"""",""[^0-9]"",""""),9))"),"779124093")</f>
        <v>779124093</v>
      </c>
      <c r="B1896" s="26">
        <v>7.79124093E8</v>
      </c>
      <c r="C1896" s="28" t="s">
        <v>2107</v>
      </c>
      <c r="D1896" s="26" t="s">
        <v>37</v>
      </c>
      <c r="E1896" s="31">
        <v>46229.0</v>
      </c>
      <c r="F1896" s="26" t="s">
        <v>46</v>
      </c>
      <c r="G1896" s="26">
        <v>11.0</v>
      </c>
      <c r="H1896" s="26" t="s">
        <v>1369</v>
      </c>
      <c r="I1896" s="26" t="s">
        <v>42</v>
      </c>
      <c r="J1896" s="25" t="str">
        <f t="shared" si="34"/>
        <v>No</v>
      </c>
      <c r="K1896" s="25" t="str">
        <f t="shared" si="35"/>
        <v/>
      </c>
      <c r="L1896" s="25" t="str">
        <f t="shared" si="36"/>
        <v/>
      </c>
      <c r="M1896" s="25"/>
      <c r="O1896" s="25"/>
    </row>
    <row r="1897" ht="15.75" customHeight="1">
      <c r="A1897" s="25" t="str">
        <f>IFERROR(__xludf.DUMMYFUNCTION("IF(B1897="""","""",RIGHT(REGEXREPLACE(B1897&amp;"""",""[^0-9]"",""""),9))"),"779388663")</f>
        <v>779388663</v>
      </c>
      <c r="B1897" s="52">
        <v>7.79388663E8</v>
      </c>
      <c r="C1897" s="28" t="s">
        <v>2108</v>
      </c>
      <c r="D1897" s="26" t="s">
        <v>49</v>
      </c>
      <c r="E1897" s="31">
        <v>46229.0</v>
      </c>
      <c r="F1897" s="26" t="s">
        <v>46</v>
      </c>
      <c r="G1897" s="26">
        <v>11.0</v>
      </c>
      <c r="I1897" s="26" t="s">
        <v>42</v>
      </c>
      <c r="J1897" s="25" t="str">
        <f t="shared" si="34"/>
        <v>No</v>
      </c>
      <c r="K1897" s="25" t="str">
        <f t="shared" si="35"/>
        <v/>
      </c>
      <c r="L1897" s="25" t="str">
        <f t="shared" si="36"/>
        <v/>
      </c>
      <c r="M1897" s="25"/>
      <c r="O1897" s="25"/>
    </row>
    <row r="1898" ht="15.75" customHeight="1">
      <c r="A1898" s="25" t="str">
        <f>IFERROR(__xludf.DUMMYFUNCTION("IF(B1898="""","""",RIGHT(REGEXREPLACE(B1898&amp;"""",""[^0-9]"",""""),9))"),"106333233")</f>
        <v>106333233</v>
      </c>
      <c r="B1898" s="26">
        <v>7.106333233E9</v>
      </c>
      <c r="C1898" s="28" t="s">
        <v>2109</v>
      </c>
      <c r="D1898" s="26" t="s">
        <v>37</v>
      </c>
      <c r="E1898" s="31">
        <v>46229.0</v>
      </c>
      <c r="F1898" s="26" t="s">
        <v>167</v>
      </c>
      <c r="G1898" s="26">
        <v>11.0</v>
      </c>
      <c r="I1898" s="26" t="s">
        <v>42</v>
      </c>
      <c r="J1898" s="25" t="str">
        <f t="shared" si="34"/>
        <v>No</v>
      </c>
      <c r="K1898" s="25" t="str">
        <f t="shared" si="35"/>
        <v/>
      </c>
      <c r="L1898" s="25" t="str">
        <f t="shared" si="36"/>
        <v/>
      </c>
      <c r="M1898" s="25"/>
      <c r="O1898" s="25"/>
    </row>
    <row r="1899" ht="15.75" customHeight="1">
      <c r="A1899" s="25" t="str">
        <f>IFERROR(__xludf.DUMMYFUNCTION("IF(B1899="""","""",RIGHT(REGEXREPLACE(B1899&amp;"""",""[^0-9]"",""""),9))"),"788702651")</f>
        <v>788702651</v>
      </c>
      <c r="B1899" s="52">
        <v>7.88702651E8</v>
      </c>
      <c r="C1899" s="28" t="s">
        <v>2110</v>
      </c>
      <c r="D1899" s="26" t="s">
        <v>45</v>
      </c>
      <c r="E1899" s="31">
        <v>46229.0</v>
      </c>
      <c r="F1899" s="26" t="s">
        <v>46</v>
      </c>
      <c r="G1899" s="26">
        <v>9.0</v>
      </c>
      <c r="I1899" s="26" t="s">
        <v>42</v>
      </c>
      <c r="J1899" s="25" t="str">
        <f t="shared" si="34"/>
        <v>No</v>
      </c>
      <c r="K1899" s="25" t="str">
        <f t="shared" si="35"/>
        <v/>
      </c>
      <c r="L1899" s="25" t="str">
        <f t="shared" si="36"/>
        <v/>
      </c>
      <c r="M1899" s="25"/>
      <c r="O1899" s="25"/>
    </row>
    <row r="1900" ht="15.75" customHeight="1">
      <c r="A1900" s="25" t="str">
        <f>IFERROR(__xludf.DUMMYFUNCTION("IF(B1900="""","""",RIGHT(REGEXREPLACE(B1900&amp;"""",""[^0-9]"",""""),9))"),"717055755")</f>
        <v>717055755</v>
      </c>
      <c r="B1900" s="52">
        <v>7.17055755E8</v>
      </c>
      <c r="C1900" s="28" t="s">
        <v>2111</v>
      </c>
      <c r="D1900" s="26" t="s">
        <v>45</v>
      </c>
      <c r="E1900" s="31">
        <v>46229.0</v>
      </c>
      <c r="F1900" s="26" t="s">
        <v>46</v>
      </c>
      <c r="G1900" s="26">
        <v>11.0</v>
      </c>
      <c r="I1900" s="26" t="s">
        <v>42</v>
      </c>
      <c r="J1900" s="25" t="str">
        <f t="shared" si="34"/>
        <v>No</v>
      </c>
      <c r="K1900" s="25" t="str">
        <f t="shared" si="35"/>
        <v/>
      </c>
      <c r="L1900" s="25" t="str">
        <f t="shared" si="36"/>
        <v/>
      </c>
      <c r="M1900" s="25"/>
      <c r="O1900" s="25"/>
    </row>
    <row r="1901" ht="15.75" customHeight="1">
      <c r="A1901" s="25" t="str">
        <f>IFERROR(__xludf.DUMMYFUNCTION("IF(B1901="""","""",RIGHT(REGEXREPLACE(B1901&amp;"""",""[^0-9]"",""""),9))"),"706016542")</f>
        <v>706016542</v>
      </c>
      <c r="B1901" s="52">
        <v>7.06016542E8</v>
      </c>
      <c r="C1901" s="28" t="s">
        <v>2112</v>
      </c>
      <c r="D1901" s="26" t="s">
        <v>49</v>
      </c>
      <c r="E1901" s="31">
        <v>46229.0</v>
      </c>
      <c r="F1901" s="26" t="s">
        <v>46</v>
      </c>
      <c r="G1901" s="26">
        <v>11.0</v>
      </c>
      <c r="I1901" s="26" t="s">
        <v>42</v>
      </c>
      <c r="J1901" s="25" t="str">
        <f t="shared" si="34"/>
        <v>No</v>
      </c>
      <c r="K1901" s="25" t="str">
        <f t="shared" si="35"/>
        <v/>
      </c>
      <c r="L1901" s="25" t="str">
        <f t="shared" si="36"/>
        <v/>
      </c>
      <c r="M1901" s="25"/>
      <c r="O1901" s="25"/>
    </row>
    <row r="1902" ht="15.75" customHeight="1">
      <c r="A1902" s="25" t="str">
        <f>IFERROR(__xludf.DUMMYFUNCTION("IF(B1902="""","""",RIGHT(REGEXREPLACE(B1902&amp;"""",""[^0-9]"",""""),9))"),"785436558")</f>
        <v>785436558</v>
      </c>
      <c r="B1902" s="52">
        <v>7.85436558E8</v>
      </c>
      <c r="C1902" s="28" t="s">
        <v>2113</v>
      </c>
      <c r="D1902" s="26" t="s">
        <v>56</v>
      </c>
      <c r="E1902" s="31">
        <v>46229.0</v>
      </c>
      <c r="F1902" s="26" t="s">
        <v>46</v>
      </c>
      <c r="I1902" s="26" t="s">
        <v>42</v>
      </c>
      <c r="J1902" s="25" t="str">
        <f t="shared" si="34"/>
        <v>No</v>
      </c>
      <c r="K1902" s="25" t="str">
        <f t="shared" si="35"/>
        <v/>
      </c>
      <c r="L1902" s="25" t="str">
        <f t="shared" si="36"/>
        <v/>
      </c>
      <c r="M1902" s="25"/>
      <c r="O1902" s="25"/>
    </row>
    <row r="1903" ht="15.75" customHeight="1">
      <c r="A1903" s="25" t="str">
        <f>IFERROR(__xludf.DUMMYFUNCTION("IF(B1903="""","""",RIGHT(REGEXREPLACE(B1903&amp;"""",""[^0-9]"",""""),9))"),"776034791")</f>
        <v>776034791</v>
      </c>
      <c r="B1903" s="52">
        <v>7.76034791E8</v>
      </c>
      <c r="C1903" s="28" t="s">
        <v>2114</v>
      </c>
      <c r="D1903" s="26" t="s">
        <v>64</v>
      </c>
      <c r="E1903" s="31">
        <v>46229.0</v>
      </c>
      <c r="F1903" s="26" t="s">
        <v>46</v>
      </c>
      <c r="G1903" s="26">
        <v>10.0</v>
      </c>
      <c r="H1903" s="26" t="s">
        <v>862</v>
      </c>
      <c r="I1903" s="26" t="s">
        <v>42</v>
      </c>
      <c r="J1903" s="25" t="str">
        <f t="shared" si="34"/>
        <v>No</v>
      </c>
      <c r="K1903" s="25" t="str">
        <f t="shared" si="35"/>
        <v/>
      </c>
      <c r="L1903" s="25" t="str">
        <f t="shared" si="36"/>
        <v/>
      </c>
      <c r="M1903" s="25"/>
      <c r="O1903" s="25"/>
    </row>
    <row r="1904" ht="15.75" customHeight="1">
      <c r="A1904" s="25" t="str">
        <f>IFERROR(__xludf.DUMMYFUNCTION("IF(B1904="""","""",RIGHT(REGEXREPLACE(B1904&amp;"""",""[^0-9]"",""""),9))"),"718309476")</f>
        <v>718309476</v>
      </c>
      <c r="B1904" s="52">
        <v>7.18309476E8</v>
      </c>
      <c r="C1904" s="28" t="s">
        <v>2115</v>
      </c>
      <c r="D1904" s="26" t="s">
        <v>45</v>
      </c>
      <c r="E1904" s="31">
        <v>46229.0</v>
      </c>
      <c r="F1904" s="26" t="s">
        <v>46</v>
      </c>
      <c r="G1904" s="26">
        <v>9.0</v>
      </c>
      <c r="I1904" s="26" t="s">
        <v>42</v>
      </c>
      <c r="J1904" s="25" t="str">
        <f t="shared" si="34"/>
        <v>No</v>
      </c>
      <c r="K1904" s="25" t="str">
        <f t="shared" si="35"/>
        <v/>
      </c>
      <c r="L1904" s="25" t="str">
        <f t="shared" si="36"/>
        <v/>
      </c>
      <c r="M1904" s="25"/>
      <c r="O1904" s="25"/>
    </row>
    <row r="1905" ht="15.75" customHeight="1">
      <c r="A1905" s="25" t="str">
        <f>IFERROR(__xludf.DUMMYFUNCTION("IF(B1905="""","""",RIGHT(REGEXREPLACE(B1905&amp;"""",""[^0-9]"",""""),9))"),"773711793")</f>
        <v>773711793</v>
      </c>
      <c r="B1905" s="52">
        <v>7.73711793E8</v>
      </c>
      <c r="C1905" s="28" t="s">
        <v>2116</v>
      </c>
      <c r="D1905" s="26" t="s">
        <v>49</v>
      </c>
      <c r="E1905" s="31">
        <v>46229.0</v>
      </c>
      <c r="F1905" s="26" t="s">
        <v>41</v>
      </c>
      <c r="G1905" s="26">
        <v>11.0</v>
      </c>
      <c r="I1905" s="26" t="s">
        <v>42</v>
      </c>
      <c r="J1905" s="25" t="str">
        <f t="shared" si="34"/>
        <v>No</v>
      </c>
      <c r="K1905" s="25" t="str">
        <f t="shared" si="35"/>
        <v/>
      </c>
      <c r="L1905" s="25" t="str">
        <f t="shared" si="36"/>
        <v/>
      </c>
      <c r="M1905" s="25"/>
      <c r="O1905" s="25"/>
    </row>
    <row r="1906" ht="15.75" customHeight="1">
      <c r="A1906" s="25" t="str">
        <f>IFERROR(__xludf.DUMMYFUNCTION("IF(B1906="""","""",RIGHT(REGEXREPLACE(B1906&amp;"""",""[^0-9]"",""""),9))"),"713174041")</f>
        <v>713174041</v>
      </c>
      <c r="B1906" s="52">
        <v>7.13174041E8</v>
      </c>
      <c r="C1906" s="28" t="s">
        <v>2117</v>
      </c>
      <c r="D1906" s="26" t="s">
        <v>64</v>
      </c>
      <c r="E1906" s="31">
        <v>46229.0</v>
      </c>
      <c r="F1906" s="26" t="s">
        <v>205</v>
      </c>
      <c r="G1906" s="26">
        <v>8.0</v>
      </c>
      <c r="I1906" s="26" t="s">
        <v>42</v>
      </c>
      <c r="J1906" s="25" t="str">
        <f t="shared" si="34"/>
        <v>No</v>
      </c>
      <c r="K1906" s="25" t="str">
        <f t="shared" si="35"/>
        <v/>
      </c>
      <c r="L1906" s="25" t="str">
        <f t="shared" si="36"/>
        <v/>
      </c>
      <c r="M1906" s="25"/>
      <c r="O1906" s="25"/>
    </row>
    <row r="1907" ht="15.75" customHeight="1">
      <c r="A1907" s="25" t="str">
        <f>IFERROR(__xludf.DUMMYFUNCTION("IF(B1907="""","""",RIGHT(REGEXREPLACE(B1907&amp;"""",""[^0-9]"",""""),9))"),"761994182")</f>
        <v>761994182</v>
      </c>
      <c r="B1907" s="52">
        <v>7.61994182E8</v>
      </c>
      <c r="C1907" s="28" t="s">
        <v>2118</v>
      </c>
      <c r="D1907" s="26" t="s">
        <v>45</v>
      </c>
      <c r="E1907" s="31">
        <v>46229.0</v>
      </c>
      <c r="F1907" s="26" t="s">
        <v>46</v>
      </c>
      <c r="G1907" s="26">
        <v>11.0</v>
      </c>
      <c r="I1907" s="26" t="s">
        <v>42</v>
      </c>
      <c r="J1907" s="25" t="str">
        <f t="shared" si="34"/>
        <v>No</v>
      </c>
      <c r="K1907" s="25" t="str">
        <f t="shared" si="35"/>
        <v/>
      </c>
      <c r="L1907" s="25" t="str">
        <f t="shared" si="36"/>
        <v/>
      </c>
      <c r="M1907" s="25"/>
      <c r="O1907" s="25"/>
    </row>
    <row r="1908" ht="15.75" customHeight="1">
      <c r="A1908" s="25" t="str">
        <f>IFERROR(__xludf.DUMMYFUNCTION("IF(B1908="""","""",RIGHT(REGEXREPLACE(B1908&amp;"""",""[^0-9]"",""""),9))"),"766391180")</f>
        <v>766391180</v>
      </c>
      <c r="B1908" s="52">
        <v>7.6639118E8</v>
      </c>
      <c r="C1908" s="28" t="s">
        <v>2119</v>
      </c>
      <c r="D1908" s="26" t="s">
        <v>56</v>
      </c>
      <c r="E1908" s="31">
        <v>46229.0</v>
      </c>
      <c r="F1908" s="26" t="s">
        <v>46</v>
      </c>
      <c r="G1908" s="26">
        <v>10.0</v>
      </c>
      <c r="I1908" s="26" t="s">
        <v>42</v>
      </c>
      <c r="J1908" s="25" t="str">
        <f t="shared" si="34"/>
        <v>No</v>
      </c>
      <c r="K1908" s="25" t="str">
        <f t="shared" si="35"/>
        <v/>
      </c>
      <c r="L1908" s="25" t="str">
        <f t="shared" si="36"/>
        <v/>
      </c>
      <c r="M1908" s="25"/>
      <c r="O1908" s="25"/>
    </row>
    <row r="1909" ht="15.75" customHeight="1">
      <c r="A1909" s="25" t="str">
        <f>IFERROR(__xludf.DUMMYFUNCTION("IF(B1909="""","""",RIGHT(REGEXREPLACE(B1909&amp;"""",""[^0-9]"",""""),9))"),"714979011")</f>
        <v>714979011</v>
      </c>
      <c r="B1909" s="52">
        <v>7.14979011E8</v>
      </c>
      <c r="C1909" s="28" t="s">
        <v>2120</v>
      </c>
      <c r="D1909" s="26" t="s">
        <v>49</v>
      </c>
      <c r="E1909" s="31">
        <v>46229.0</v>
      </c>
      <c r="F1909" s="26" t="s">
        <v>46</v>
      </c>
      <c r="G1909" s="26">
        <v>11.0</v>
      </c>
      <c r="I1909" s="26" t="s">
        <v>42</v>
      </c>
      <c r="J1909" s="25" t="str">
        <f t="shared" si="34"/>
        <v>No</v>
      </c>
      <c r="K1909" s="25" t="str">
        <f t="shared" si="35"/>
        <v/>
      </c>
      <c r="L1909" s="25" t="str">
        <f t="shared" si="36"/>
        <v/>
      </c>
      <c r="M1909" s="25"/>
      <c r="O1909" s="25"/>
    </row>
    <row r="1910" ht="15.75" customHeight="1">
      <c r="A1910" s="25" t="str">
        <f>IFERROR(__xludf.DUMMYFUNCTION("IF(B1910="""","""",RIGHT(REGEXREPLACE(B1910&amp;"""",""[^0-9]"",""""),9))"),"770258931")</f>
        <v>770258931</v>
      </c>
      <c r="B1910" s="52">
        <v>7.70258931E8</v>
      </c>
      <c r="C1910" s="28" t="s">
        <v>2121</v>
      </c>
      <c r="D1910" s="26" t="s">
        <v>45</v>
      </c>
      <c r="E1910" s="31">
        <v>46229.0</v>
      </c>
      <c r="F1910" s="26" t="s">
        <v>46</v>
      </c>
      <c r="G1910" s="26">
        <v>11.0</v>
      </c>
      <c r="I1910" s="26" t="s">
        <v>42</v>
      </c>
      <c r="J1910" s="25" t="str">
        <f t="shared" si="34"/>
        <v>No</v>
      </c>
      <c r="K1910" s="25" t="str">
        <f t="shared" si="35"/>
        <v/>
      </c>
      <c r="L1910" s="25" t="str">
        <f t="shared" si="36"/>
        <v/>
      </c>
      <c r="M1910" s="25"/>
      <c r="O1910" s="25"/>
    </row>
    <row r="1911" ht="15.75" customHeight="1">
      <c r="A1911" s="25" t="str">
        <f>IFERROR(__xludf.DUMMYFUNCTION("IF(B1911="""","""",RIGHT(REGEXREPLACE(B1911&amp;"""",""[^0-9]"",""""),9))"),"768633772")</f>
        <v>768633772</v>
      </c>
      <c r="B1911" s="52">
        <v>7.68633772E8</v>
      </c>
      <c r="C1911" s="28" t="s">
        <v>2122</v>
      </c>
      <c r="D1911" s="26" t="s">
        <v>64</v>
      </c>
      <c r="E1911" s="31">
        <v>46229.0</v>
      </c>
      <c r="F1911" s="26" t="s">
        <v>46</v>
      </c>
      <c r="G1911" s="26">
        <v>11.0</v>
      </c>
      <c r="I1911" s="26" t="s">
        <v>42</v>
      </c>
      <c r="J1911" s="25" t="str">
        <f t="shared" si="34"/>
        <v>No</v>
      </c>
      <c r="K1911" s="25" t="str">
        <f t="shared" si="35"/>
        <v/>
      </c>
      <c r="L1911" s="25" t="str">
        <f t="shared" si="36"/>
        <v/>
      </c>
      <c r="M1911" s="25"/>
      <c r="O1911" s="25"/>
    </row>
    <row r="1912" ht="15.75" customHeight="1">
      <c r="A1912" s="25" t="str">
        <f>IFERROR(__xludf.DUMMYFUNCTION("IF(B1912="""","""",RIGHT(REGEXREPLACE(B1912&amp;"""",""[^0-9]"",""""),9))"),"710199082")</f>
        <v>710199082</v>
      </c>
      <c r="B1912" s="52">
        <v>7.10199082E8</v>
      </c>
      <c r="C1912" s="28" t="s">
        <v>2123</v>
      </c>
      <c r="D1912" s="26" t="s">
        <v>56</v>
      </c>
      <c r="E1912" s="31">
        <v>46229.0</v>
      </c>
      <c r="F1912" s="26" t="s">
        <v>205</v>
      </c>
      <c r="G1912" s="26">
        <v>11.0</v>
      </c>
      <c r="I1912" s="26" t="s">
        <v>42</v>
      </c>
      <c r="J1912" s="25" t="str">
        <f t="shared" si="34"/>
        <v>No</v>
      </c>
      <c r="K1912" s="25" t="str">
        <f t="shared" si="35"/>
        <v/>
      </c>
      <c r="L1912" s="25" t="str">
        <f t="shared" si="36"/>
        <v/>
      </c>
      <c r="M1912" s="25"/>
      <c r="O1912" s="25"/>
    </row>
    <row r="1913" ht="15.75" customHeight="1">
      <c r="A1913" s="25" t="str">
        <f>IFERROR(__xludf.DUMMYFUNCTION("IF(B1913="""","""",RIGHT(REGEXREPLACE(B1913&amp;"""",""[^0-9]"",""""),9))"),"775734375")</f>
        <v>775734375</v>
      </c>
      <c r="B1913" s="52">
        <v>7.75734375E8</v>
      </c>
      <c r="C1913" s="28" t="s">
        <v>2124</v>
      </c>
      <c r="D1913" s="26" t="s">
        <v>45</v>
      </c>
      <c r="E1913" s="31">
        <v>46229.0</v>
      </c>
      <c r="F1913" s="26" t="s">
        <v>46</v>
      </c>
      <c r="G1913" s="26">
        <v>11.0</v>
      </c>
      <c r="I1913" s="26" t="s">
        <v>42</v>
      </c>
      <c r="J1913" s="25" t="str">
        <f t="shared" si="34"/>
        <v>No</v>
      </c>
      <c r="K1913" s="25" t="str">
        <f t="shared" si="35"/>
        <v/>
      </c>
      <c r="L1913" s="25" t="str">
        <f t="shared" si="36"/>
        <v/>
      </c>
      <c r="M1913" s="25"/>
      <c r="O1913" s="25"/>
    </row>
    <row r="1914" ht="15.75" customHeight="1">
      <c r="A1914" s="25" t="str">
        <f>IFERROR(__xludf.DUMMYFUNCTION("IF(B1914="""","""",RIGHT(REGEXREPLACE(B1914&amp;"""",""[^0-9]"",""""),9))"),"768776092")</f>
        <v>768776092</v>
      </c>
      <c r="B1914" s="52">
        <v>7.68776092E8</v>
      </c>
      <c r="C1914" s="28" t="s">
        <v>2125</v>
      </c>
      <c r="D1914" s="26" t="s">
        <v>49</v>
      </c>
      <c r="E1914" s="31">
        <v>46229.0</v>
      </c>
      <c r="F1914" s="26" t="s">
        <v>164</v>
      </c>
      <c r="I1914" s="26" t="s">
        <v>42</v>
      </c>
      <c r="J1914" s="25" t="str">
        <f t="shared" si="34"/>
        <v>No</v>
      </c>
      <c r="K1914" s="25" t="str">
        <f t="shared" si="35"/>
        <v/>
      </c>
      <c r="L1914" s="25" t="str">
        <f t="shared" si="36"/>
        <v/>
      </c>
      <c r="M1914" s="25"/>
      <c r="O1914" s="25"/>
    </row>
    <row r="1915" ht="15.75" customHeight="1">
      <c r="A1915" s="25" t="str">
        <f>IFERROR(__xludf.DUMMYFUNCTION("IF(B1915="""","""",RIGHT(REGEXREPLACE(B1915&amp;"""",""[^0-9]"",""""),9))"),"718937389")</f>
        <v>718937389</v>
      </c>
      <c r="B1915" s="52">
        <v>7.18937389E8</v>
      </c>
      <c r="C1915" s="28" t="s">
        <v>2126</v>
      </c>
      <c r="D1915" s="26" t="s">
        <v>56</v>
      </c>
      <c r="E1915" s="31">
        <v>46229.0</v>
      </c>
      <c r="F1915" s="26" t="s">
        <v>41</v>
      </c>
      <c r="G1915" s="26">
        <v>11.0</v>
      </c>
      <c r="I1915" s="26" t="s">
        <v>42</v>
      </c>
      <c r="J1915" s="25" t="str">
        <f t="shared" si="34"/>
        <v>No</v>
      </c>
      <c r="K1915" s="25" t="str">
        <f t="shared" si="35"/>
        <v/>
      </c>
      <c r="L1915" s="25" t="str">
        <f t="shared" si="36"/>
        <v/>
      </c>
      <c r="M1915" s="25"/>
      <c r="O1915" s="25"/>
    </row>
    <row r="1916" ht="15.75" customHeight="1">
      <c r="A1916" s="25" t="str">
        <f>IFERROR(__xludf.DUMMYFUNCTION("IF(B1916="""","""",RIGHT(REGEXREPLACE(B1916&amp;"""",""[^0-9]"",""""),9))"),"787203560")</f>
        <v>787203560</v>
      </c>
      <c r="B1916" s="52">
        <v>7.8720356E8</v>
      </c>
      <c r="C1916" s="28" t="s">
        <v>2127</v>
      </c>
      <c r="D1916" s="26" t="s">
        <v>49</v>
      </c>
      <c r="E1916" s="31">
        <v>46229.0</v>
      </c>
      <c r="F1916" s="26" t="s">
        <v>659</v>
      </c>
      <c r="I1916" s="26" t="s">
        <v>42</v>
      </c>
      <c r="J1916" s="25" t="str">
        <f t="shared" si="34"/>
        <v>No</v>
      </c>
      <c r="K1916" s="25" t="str">
        <f t="shared" si="35"/>
        <v/>
      </c>
      <c r="L1916" s="25" t="str">
        <f t="shared" si="36"/>
        <v/>
      </c>
      <c r="M1916" s="25"/>
      <c r="O1916" s="25"/>
    </row>
    <row r="1917" ht="15.75" customHeight="1">
      <c r="A1917" s="25" t="str">
        <f>IFERROR(__xludf.DUMMYFUNCTION("IF(B1917="""","""",RIGHT(REGEXREPLACE(B1917&amp;"""",""[^0-9]"",""""),9))"),"707050770")</f>
        <v>707050770</v>
      </c>
      <c r="B1917" s="52">
        <v>7.0705077E8</v>
      </c>
      <c r="C1917" s="28" t="s">
        <v>2128</v>
      </c>
      <c r="D1917" s="26" t="s">
        <v>64</v>
      </c>
      <c r="E1917" s="31">
        <v>46229.0</v>
      </c>
      <c r="F1917" s="26" t="s">
        <v>125</v>
      </c>
      <c r="G1917" s="26">
        <v>11.0</v>
      </c>
      <c r="I1917" s="26" t="s">
        <v>42</v>
      </c>
      <c r="J1917" s="25" t="str">
        <f t="shared" si="34"/>
        <v>No</v>
      </c>
      <c r="K1917" s="25" t="str">
        <f t="shared" si="35"/>
        <v/>
      </c>
      <c r="L1917" s="25" t="str">
        <f t="shared" si="36"/>
        <v/>
      </c>
      <c r="M1917" s="25"/>
      <c r="O1917" s="25"/>
    </row>
    <row r="1918" ht="15.75" customHeight="1">
      <c r="A1918" s="25" t="str">
        <f>IFERROR(__xludf.DUMMYFUNCTION("IF(B1918="""","""",RIGHT(REGEXREPLACE(B1918&amp;"""",""[^0-9]"",""""),9))"),"770837057")</f>
        <v>770837057</v>
      </c>
      <c r="B1918" s="52">
        <v>7.70837057E8</v>
      </c>
      <c r="C1918" s="28" t="s">
        <v>2129</v>
      </c>
      <c r="D1918" s="26" t="s">
        <v>45</v>
      </c>
      <c r="E1918" s="31">
        <v>46229.0</v>
      </c>
      <c r="F1918" s="26" t="s">
        <v>125</v>
      </c>
      <c r="I1918" s="26" t="s">
        <v>42</v>
      </c>
      <c r="J1918" s="25" t="str">
        <f t="shared" si="34"/>
        <v>No</v>
      </c>
      <c r="K1918" s="25" t="str">
        <f t="shared" si="35"/>
        <v/>
      </c>
      <c r="L1918" s="25" t="str">
        <f t="shared" si="36"/>
        <v/>
      </c>
      <c r="M1918" s="25"/>
      <c r="O1918" s="25"/>
    </row>
    <row r="1919" ht="15.75" customHeight="1">
      <c r="A1919" s="25" t="str">
        <f>IFERROR(__xludf.DUMMYFUNCTION("IF(B1919="""","""",RIGHT(REGEXREPLACE(B1919&amp;"""",""[^0-9]"",""""),9))"),"718066875")</f>
        <v>718066875</v>
      </c>
      <c r="B1919" s="52">
        <v>7.18066875E8</v>
      </c>
      <c r="C1919" s="28" t="s">
        <v>2130</v>
      </c>
      <c r="D1919" s="26" t="s">
        <v>56</v>
      </c>
      <c r="E1919" s="31">
        <v>46229.0</v>
      </c>
      <c r="F1919" s="26" t="s">
        <v>46</v>
      </c>
      <c r="G1919" s="26">
        <v>11.0</v>
      </c>
      <c r="I1919" s="26" t="s">
        <v>42</v>
      </c>
      <c r="J1919" s="25" t="str">
        <f t="shared" si="34"/>
        <v>No</v>
      </c>
      <c r="K1919" s="25" t="str">
        <f t="shared" si="35"/>
        <v/>
      </c>
      <c r="L1919" s="25" t="str">
        <f t="shared" si="36"/>
        <v/>
      </c>
      <c r="M1919" s="25"/>
      <c r="O1919" s="25"/>
    </row>
    <row r="1920" ht="15.75" customHeight="1">
      <c r="A1920" s="25" t="str">
        <f>IFERROR(__xludf.DUMMYFUNCTION("IF(B1920="""","""",RIGHT(REGEXREPLACE(B1920&amp;"""",""[^0-9]"",""""),9))"),"776753291")</f>
        <v>776753291</v>
      </c>
      <c r="B1920" s="52">
        <v>7.76753291E8</v>
      </c>
      <c r="C1920" s="28" t="s">
        <v>2131</v>
      </c>
      <c r="D1920" s="26" t="s">
        <v>49</v>
      </c>
      <c r="E1920" s="31">
        <v>46229.0</v>
      </c>
      <c r="F1920" s="26" t="s">
        <v>46</v>
      </c>
      <c r="G1920" s="26">
        <v>11.0</v>
      </c>
      <c r="I1920" s="26" t="s">
        <v>42</v>
      </c>
      <c r="J1920" s="25" t="str">
        <f t="shared" si="34"/>
        <v>No</v>
      </c>
      <c r="K1920" s="25" t="str">
        <f t="shared" si="35"/>
        <v/>
      </c>
      <c r="L1920" s="25" t="str">
        <f t="shared" si="36"/>
        <v/>
      </c>
      <c r="M1920" s="25"/>
      <c r="O1920" s="25"/>
    </row>
    <row r="1921" ht="15.75" customHeight="1">
      <c r="A1921" s="25" t="str">
        <f>IFERROR(__xludf.DUMMYFUNCTION("IF(B1921="""","""",RIGHT(REGEXREPLACE(B1921&amp;"""",""[^0-9]"",""""),9))"),"779140979")</f>
        <v>779140979</v>
      </c>
      <c r="B1921" s="52">
        <v>7.79140979E8</v>
      </c>
      <c r="C1921" s="28" t="s">
        <v>2132</v>
      </c>
      <c r="D1921" s="26" t="s">
        <v>45</v>
      </c>
      <c r="E1921" s="31">
        <v>46229.0</v>
      </c>
      <c r="F1921" s="26" t="s">
        <v>46</v>
      </c>
      <c r="G1921" s="26">
        <v>11.0</v>
      </c>
      <c r="I1921" s="26" t="s">
        <v>42</v>
      </c>
      <c r="J1921" s="25" t="str">
        <f t="shared" si="34"/>
        <v>No</v>
      </c>
      <c r="K1921" s="25" t="str">
        <f t="shared" si="35"/>
        <v/>
      </c>
      <c r="L1921" s="25" t="str">
        <f t="shared" si="36"/>
        <v/>
      </c>
      <c r="M1921" s="25"/>
      <c r="O1921" s="25"/>
    </row>
    <row r="1922" ht="15.75" customHeight="1">
      <c r="A1922" s="25" t="str">
        <f>IFERROR(__xludf.DUMMYFUNCTION("IF(B1922="""","""",RIGHT(REGEXREPLACE(B1922&amp;"""",""[^0-9]"",""""),9))"),"702839108")</f>
        <v>702839108</v>
      </c>
      <c r="B1922" s="52">
        <v>7.02839108E8</v>
      </c>
      <c r="C1922" s="28" t="s">
        <v>2133</v>
      </c>
      <c r="D1922" s="26" t="s">
        <v>64</v>
      </c>
      <c r="E1922" s="31">
        <v>46229.0</v>
      </c>
      <c r="F1922" s="26" t="s">
        <v>205</v>
      </c>
      <c r="I1922" s="26" t="s">
        <v>42</v>
      </c>
      <c r="J1922" s="25" t="str">
        <f t="shared" si="34"/>
        <v>No</v>
      </c>
      <c r="K1922" s="25" t="str">
        <f t="shared" si="35"/>
        <v/>
      </c>
      <c r="L1922" s="25" t="str">
        <f t="shared" si="36"/>
        <v/>
      </c>
      <c r="M1922" s="25"/>
      <c r="O1922" s="25"/>
    </row>
    <row r="1923" ht="15.75" customHeight="1">
      <c r="A1923" s="25" t="str">
        <f>IFERROR(__xludf.DUMMYFUNCTION("IF(B1923="""","""",RIGHT(REGEXREPLACE(B1923&amp;"""",""[^0-9]"",""""),9))"),"707756808")</f>
        <v>707756808</v>
      </c>
      <c r="B1923" s="26">
        <v>7.07756808E8</v>
      </c>
      <c r="C1923" s="28" t="s">
        <v>2134</v>
      </c>
      <c r="D1923" s="26" t="s">
        <v>37</v>
      </c>
      <c r="E1923" s="31">
        <v>46229.0</v>
      </c>
      <c r="F1923" s="26" t="s">
        <v>205</v>
      </c>
      <c r="G1923" s="26">
        <v>11.0</v>
      </c>
      <c r="I1923" s="26" t="s">
        <v>42</v>
      </c>
      <c r="J1923" s="25" t="str">
        <f t="shared" si="34"/>
        <v>No</v>
      </c>
      <c r="K1923" s="25" t="str">
        <f t="shared" si="35"/>
        <v/>
      </c>
      <c r="L1923" s="25" t="str">
        <f t="shared" si="36"/>
        <v/>
      </c>
      <c r="M1923" s="25"/>
      <c r="O1923" s="25"/>
    </row>
    <row r="1924" ht="15.75" customHeight="1">
      <c r="A1924" s="25" t="str">
        <f>IFERROR(__xludf.DUMMYFUNCTION("IF(B1924="""","""",RIGHT(REGEXREPLACE(B1924&amp;"""",""[^0-9]"",""""),9))"),"705796844")</f>
        <v>705796844</v>
      </c>
      <c r="B1924" s="52">
        <v>7.05796844E8</v>
      </c>
      <c r="C1924" s="28" t="s">
        <v>2135</v>
      </c>
      <c r="D1924" s="26" t="s">
        <v>56</v>
      </c>
      <c r="E1924" s="31">
        <v>46229.0</v>
      </c>
      <c r="F1924" s="26" t="s">
        <v>205</v>
      </c>
      <c r="I1924" s="26" t="s">
        <v>42</v>
      </c>
      <c r="J1924" s="25" t="str">
        <f t="shared" si="34"/>
        <v>No</v>
      </c>
      <c r="K1924" s="25" t="str">
        <f t="shared" si="35"/>
        <v/>
      </c>
      <c r="L1924" s="25" t="str">
        <f t="shared" si="36"/>
        <v/>
      </c>
      <c r="M1924" s="25"/>
      <c r="O1924" s="25"/>
    </row>
    <row r="1925" ht="15.75" customHeight="1">
      <c r="A1925" s="25" t="str">
        <f>IFERROR(__xludf.DUMMYFUNCTION("IF(B1925="""","""",RIGHT(REGEXREPLACE(B1925&amp;"""",""[^0-9]"",""""),9))"),"727664478")</f>
        <v>727664478</v>
      </c>
      <c r="B1925" s="26">
        <v>7.27664478E8</v>
      </c>
      <c r="C1925" s="28" t="s">
        <v>2136</v>
      </c>
      <c r="D1925" s="26" t="s">
        <v>37</v>
      </c>
      <c r="E1925" s="31">
        <v>46229.0</v>
      </c>
      <c r="F1925" s="26" t="s">
        <v>41</v>
      </c>
      <c r="G1925" s="26">
        <v>11.0</v>
      </c>
      <c r="I1925" s="26" t="s">
        <v>42</v>
      </c>
      <c r="J1925" s="25" t="str">
        <f t="shared" si="34"/>
        <v>No</v>
      </c>
      <c r="K1925" s="25" t="str">
        <f t="shared" si="35"/>
        <v/>
      </c>
      <c r="L1925" s="25" t="str">
        <f t="shared" si="36"/>
        <v/>
      </c>
      <c r="M1925" s="25"/>
      <c r="O1925" s="25"/>
    </row>
    <row r="1926" ht="15.75" customHeight="1">
      <c r="A1926" s="25" t="str">
        <f>IFERROR(__xludf.DUMMYFUNCTION("IF(B1926="""","""",RIGHT(REGEXREPLACE(B1926&amp;"""",""[^0-9]"",""""),9))"),"707079012")</f>
        <v>707079012</v>
      </c>
      <c r="B1926" s="52">
        <v>7.07079012E8</v>
      </c>
      <c r="C1926" s="28" t="s">
        <v>2137</v>
      </c>
      <c r="D1926" s="26" t="s">
        <v>45</v>
      </c>
      <c r="E1926" s="31">
        <v>46229.0</v>
      </c>
      <c r="F1926" s="26" t="s">
        <v>41</v>
      </c>
      <c r="I1926" s="26" t="s">
        <v>42</v>
      </c>
      <c r="J1926" s="25" t="str">
        <f t="shared" si="34"/>
        <v>No</v>
      </c>
      <c r="K1926" s="25" t="str">
        <f t="shared" si="35"/>
        <v/>
      </c>
      <c r="L1926" s="25" t="str">
        <f t="shared" si="36"/>
        <v/>
      </c>
      <c r="M1926" s="25"/>
      <c r="O1926" s="25"/>
    </row>
    <row r="1927" ht="15.75" customHeight="1">
      <c r="A1927" s="25" t="str">
        <f>IFERROR(__xludf.DUMMYFUNCTION("IF(B1927="""","""",RIGHT(REGEXREPLACE(B1927&amp;"""",""[^0-9]"",""""),9))"),"713055029")</f>
        <v>713055029</v>
      </c>
      <c r="B1927" s="52">
        <v>7.13055029E8</v>
      </c>
      <c r="C1927" s="28" t="s">
        <v>2138</v>
      </c>
      <c r="D1927" s="26" t="s">
        <v>49</v>
      </c>
      <c r="E1927" s="31">
        <v>46229.0</v>
      </c>
      <c r="F1927" s="26" t="s">
        <v>41</v>
      </c>
      <c r="G1927" s="26">
        <v>11.0</v>
      </c>
      <c r="I1927" s="26" t="s">
        <v>42</v>
      </c>
      <c r="J1927" s="25" t="str">
        <f t="shared" si="34"/>
        <v>No</v>
      </c>
      <c r="K1927" s="25" t="str">
        <f t="shared" si="35"/>
        <v/>
      </c>
      <c r="L1927" s="25" t="str">
        <f t="shared" si="36"/>
        <v/>
      </c>
      <c r="M1927" s="25"/>
      <c r="O1927" s="25"/>
    </row>
    <row r="1928" ht="15.75" customHeight="1">
      <c r="A1928" s="25" t="str">
        <f>IFERROR(__xludf.DUMMYFUNCTION("IF(B1928="""","""",RIGHT(REGEXREPLACE(B1928&amp;"""",""[^0-9]"",""""),9))"),"703855110")</f>
        <v>703855110</v>
      </c>
      <c r="B1928" s="52">
        <v>7.0385511E8</v>
      </c>
      <c r="C1928" s="28" t="s">
        <v>2139</v>
      </c>
      <c r="D1928" s="26" t="s">
        <v>64</v>
      </c>
      <c r="E1928" s="31">
        <v>46229.0</v>
      </c>
      <c r="F1928" s="26" t="s">
        <v>46</v>
      </c>
      <c r="G1928" s="26">
        <v>11.0</v>
      </c>
      <c r="I1928" s="26" t="s">
        <v>42</v>
      </c>
      <c r="J1928" s="25" t="str">
        <f t="shared" si="34"/>
        <v>No</v>
      </c>
      <c r="K1928" s="25" t="str">
        <f t="shared" si="35"/>
        <v/>
      </c>
      <c r="L1928" s="25" t="str">
        <f t="shared" si="36"/>
        <v/>
      </c>
      <c r="M1928" s="25"/>
      <c r="O1928" s="25"/>
    </row>
    <row r="1929" ht="15.75" customHeight="1">
      <c r="A1929" s="25" t="str">
        <f>IFERROR(__xludf.DUMMYFUNCTION("IF(B1929="""","""",RIGHT(REGEXREPLACE(B1929&amp;"""",""[^0-9]"",""""),9))"),"761558285")</f>
        <v>761558285</v>
      </c>
      <c r="B1929" s="52">
        <v>7.61558285E8</v>
      </c>
      <c r="C1929" s="28" t="s">
        <v>2140</v>
      </c>
      <c r="D1929" s="26" t="s">
        <v>45</v>
      </c>
      <c r="E1929" s="31">
        <v>46229.0</v>
      </c>
      <c r="F1929" s="26" t="s">
        <v>46</v>
      </c>
      <c r="G1929" s="110">
        <v>11.0</v>
      </c>
      <c r="I1929" s="26" t="s">
        <v>42</v>
      </c>
      <c r="J1929" s="25" t="str">
        <f t="shared" si="34"/>
        <v>No</v>
      </c>
      <c r="K1929" s="25" t="str">
        <f t="shared" si="35"/>
        <v/>
      </c>
      <c r="L1929" s="25" t="str">
        <f t="shared" si="36"/>
        <v/>
      </c>
      <c r="M1929" s="25"/>
      <c r="O1929" s="25"/>
    </row>
    <row r="1930" ht="15.75" customHeight="1">
      <c r="A1930" s="25" t="str">
        <f>IFERROR(__xludf.DUMMYFUNCTION("IF(B1930="""","""",RIGHT(REGEXREPLACE(B1930&amp;"""",""[^0-9]"",""""),9))"),"778321352")</f>
        <v>778321352</v>
      </c>
      <c r="B1930" s="26">
        <v>7.78321352E8</v>
      </c>
      <c r="C1930" s="28" t="s">
        <v>2141</v>
      </c>
      <c r="D1930" s="26" t="s">
        <v>37</v>
      </c>
      <c r="E1930" s="31">
        <v>46229.0</v>
      </c>
      <c r="F1930" s="26" t="s">
        <v>41</v>
      </c>
      <c r="G1930" s="26">
        <v>11.0</v>
      </c>
      <c r="I1930" s="26" t="s">
        <v>42</v>
      </c>
      <c r="J1930" s="25" t="str">
        <f t="shared" si="34"/>
        <v>No</v>
      </c>
      <c r="K1930" s="25" t="str">
        <f t="shared" si="35"/>
        <v/>
      </c>
      <c r="L1930" s="25" t="str">
        <f t="shared" si="36"/>
        <v/>
      </c>
      <c r="M1930" s="25"/>
      <c r="O1930" s="25"/>
    </row>
    <row r="1931" ht="15.75" customHeight="1">
      <c r="A1931" s="25" t="str">
        <f>IFERROR(__xludf.DUMMYFUNCTION("IF(B1931="""","""",RIGHT(REGEXREPLACE(B1931&amp;"""",""[^0-9]"",""""),9))"),"740331843")</f>
        <v>740331843</v>
      </c>
      <c r="B1931" s="52">
        <v>7.40331843E8</v>
      </c>
      <c r="C1931" s="28" t="s">
        <v>2142</v>
      </c>
      <c r="D1931" s="26" t="s">
        <v>56</v>
      </c>
      <c r="E1931" s="31">
        <v>46229.0</v>
      </c>
      <c r="F1931" s="26" t="s">
        <v>46</v>
      </c>
      <c r="G1931" s="26">
        <v>10.0</v>
      </c>
      <c r="I1931" s="26" t="s">
        <v>42</v>
      </c>
      <c r="J1931" s="25" t="str">
        <f t="shared" si="34"/>
        <v>No</v>
      </c>
      <c r="K1931" s="25" t="str">
        <f t="shared" si="35"/>
        <v/>
      </c>
      <c r="L1931" s="25" t="str">
        <f t="shared" si="36"/>
        <v/>
      </c>
      <c r="M1931" s="25"/>
      <c r="O1931" s="25"/>
    </row>
    <row r="1932" ht="15.75" customHeight="1">
      <c r="A1932" s="25" t="str">
        <f>IFERROR(__xludf.DUMMYFUNCTION("IF(B1932="""","""",RIGHT(REGEXREPLACE(B1932&amp;"""",""[^0-9]"",""""),9))"),"705636540")</f>
        <v>705636540</v>
      </c>
      <c r="B1932" s="52">
        <v>7.0563654E8</v>
      </c>
      <c r="C1932" s="28" t="s">
        <v>2143</v>
      </c>
      <c r="D1932" s="26" t="s">
        <v>45</v>
      </c>
      <c r="E1932" s="31">
        <v>46229.0</v>
      </c>
      <c r="F1932" s="26" t="s">
        <v>125</v>
      </c>
      <c r="G1932" s="26">
        <v>11.0</v>
      </c>
      <c r="I1932" s="26" t="s">
        <v>42</v>
      </c>
      <c r="J1932" s="25" t="str">
        <f t="shared" si="34"/>
        <v>No</v>
      </c>
      <c r="K1932" s="25" t="str">
        <f t="shared" si="35"/>
        <v/>
      </c>
      <c r="L1932" s="25" t="str">
        <f t="shared" si="36"/>
        <v/>
      </c>
      <c r="M1932" s="25"/>
      <c r="O1932" s="25"/>
    </row>
    <row r="1933" ht="15.75" customHeight="1">
      <c r="A1933" s="25" t="str">
        <f>IFERROR(__xludf.DUMMYFUNCTION("IF(B1933="""","""",RIGHT(REGEXREPLACE(B1933&amp;"""",""[^0-9]"",""""),9))"),"784801182")</f>
        <v>784801182</v>
      </c>
      <c r="B1933" s="52">
        <v>7.84801182E8</v>
      </c>
      <c r="C1933" s="28" t="s">
        <v>2144</v>
      </c>
      <c r="D1933" s="26" t="s">
        <v>49</v>
      </c>
      <c r="E1933" s="31">
        <v>46229.0</v>
      </c>
      <c r="F1933" s="26" t="s">
        <v>704</v>
      </c>
      <c r="I1933" s="26" t="s">
        <v>42</v>
      </c>
      <c r="J1933" s="25" t="str">
        <f t="shared" si="34"/>
        <v>No</v>
      </c>
      <c r="K1933" s="25" t="str">
        <f t="shared" si="35"/>
        <v/>
      </c>
      <c r="L1933" s="25" t="str">
        <f t="shared" si="36"/>
        <v/>
      </c>
      <c r="M1933" s="25"/>
      <c r="O1933" s="25"/>
    </row>
    <row r="1934" ht="15.75" customHeight="1">
      <c r="A1934" s="25" t="str">
        <f>IFERROR(__xludf.DUMMYFUNCTION("IF(B1934="""","""",RIGHT(REGEXREPLACE(B1934&amp;"""",""[^0-9]"",""""),9))"),"713485689")</f>
        <v>713485689</v>
      </c>
      <c r="B1934" s="26">
        <v>7.13485689E8</v>
      </c>
      <c r="C1934" s="28" t="s">
        <v>2145</v>
      </c>
      <c r="D1934" s="26" t="s">
        <v>37</v>
      </c>
      <c r="E1934" s="31">
        <v>46229.0</v>
      </c>
      <c r="F1934" s="26" t="s">
        <v>84</v>
      </c>
      <c r="G1934" s="26">
        <v>11.0</v>
      </c>
      <c r="I1934" s="26" t="s">
        <v>42</v>
      </c>
      <c r="J1934" s="25" t="str">
        <f t="shared" si="34"/>
        <v>No</v>
      </c>
      <c r="K1934" s="25" t="str">
        <f t="shared" si="35"/>
        <v/>
      </c>
      <c r="L1934" s="25" t="str">
        <f t="shared" si="36"/>
        <v/>
      </c>
      <c r="M1934" s="25"/>
      <c r="O1934" s="25"/>
    </row>
    <row r="1935" ht="15.75" customHeight="1">
      <c r="A1935" s="25" t="str">
        <f>IFERROR(__xludf.DUMMYFUNCTION("IF(B1935="""","""",RIGHT(REGEXREPLACE(B1935&amp;"""",""[^0-9]"",""""),9))"),"776731723")</f>
        <v>776731723</v>
      </c>
      <c r="B1935" s="52">
        <v>7.76731723E8</v>
      </c>
      <c r="C1935" s="28" t="s">
        <v>1534</v>
      </c>
      <c r="D1935" s="26" t="s">
        <v>64</v>
      </c>
      <c r="E1935" s="31">
        <v>46229.0</v>
      </c>
      <c r="F1935" s="26" t="s">
        <v>41</v>
      </c>
      <c r="I1935" s="26" t="s">
        <v>42</v>
      </c>
      <c r="J1935" s="25" t="str">
        <f t="shared" si="34"/>
        <v>Yes - see Previous F-Code</v>
      </c>
      <c r="K1935" s="25" t="str">
        <f t="shared" si="35"/>
        <v>DUPLICATE - CHECK</v>
      </c>
      <c r="L1935" s="25" t="str">
        <f t="shared" si="36"/>
        <v>F71255</v>
      </c>
      <c r="M1935" s="25"/>
      <c r="O1935" s="25"/>
    </row>
    <row r="1936" ht="15.75" customHeight="1">
      <c r="A1936" s="25" t="str">
        <f>IFERROR(__xludf.DUMMYFUNCTION("IF(B1936="""","""",RIGHT(REGEXREPLACE(B1936&amp;"""",""[^0-9]"",""""),9))"),"764116765")</f>
        <v>764116765</v>
      </c>
      <c r="B1936" s="52">
        <v>7.64116765E8</v>
      </c>
      <c r="C1936" s="28" t="s">
        <v>2146</v>
      </c>
      <c r="D1936" s="26" t="s">
        <v>56</v>
      </c>
      <c r="E1936" s="31">
        <v>46229.0</v>
      </c>
      <c r="F1936" s="26" t="s">
        <v>41</v>
      </c>
      <c r="G1936" s="26">
        <v>11.0</v>
      </c>
      <c r="I1936" s="26" t="s">
        <v>42</v>
      </c>
      <c r="J1936" s="25" t="str">
        <f t="shared" si="34"/>
        <v>No</v>
      </c>
      <c r="K1936" s="25" t="str">
        <f t="shared" si="35"/>
        <v/>
      </c>
      <c r="L1936" s="25" t="str">
        <f t="shared" si="36"/>
        <v/>
      </c>
      <c r="M1936" s="25"/>
      <c r="O1936" s="25"/>
    </row>
    <row r="1937" ht="15.75" customHeight="1">
      <c r="A1937" s="25" t="str">
        <f>IFERROR(__xludf.DUMMYFUNCTION("IF(B1937="""","""",RIGHT(REGEXREPLACE(B1937&amp;"""",""[^0-9]"",""""),9))"),"702742670")</f>
        <v>702742670</v>
      </c>
      <c r="B1937" s="26">
        <v>7.0274267E8</v>
      </c>
      <c r="C1937" s="28" t="s">
        <v>2147</v>
      </c>
      <c r="D1937" s="26" t="s">
        <v>37</v>
      </c>
      <c r="E1937" s="31">
        <v>46229.0</v>
      </c>
      <c r="F1937" s="26" t="s">
        <v>41</v>
      </c>
      <c r="I1937" s="26" t="s">
        <v>42</v>
      </c>
      <c r="J1937" s="25" t="str">
        <f t="shared" si="34"/>
        <v>No</v>
      </c>
      <c r="K1937" s="25" t="str">
        <f t="shared" si="35"/>
        <v/>
      </c>
      <c r="L1937" s="25" t="str">
        <f t="shared" si="36"/>
        <v/>
      </c>
      <c r="M1937" s="25"/>
      <c r="O1937" s="25"/>
    </row>
    <row r="1938" ht="15.75" customHeight="1">
      <c r="A1938" s="25" t="str">
        <f>IFERROR(__xludf.DUMMYFUNCTION("IF(B1938="""","""",RIGHT(REGEXREPLACE(B1938&amp;"""",""[^0-9]"",""""),9))"),"716805115")</f>
        <v>716805115</v>
      </c>
      <c r="B1938" s="52">
        <v>7.16805115E8</v>
      </c>
      <c r="C1938" s="28" t="s">
        <v>2148</v>
      </c>
      <c r="D1938" s="26" t="s">
        <v>49</v>
      </c>
      <c r="E1938" s="31">
        <v>46229.0</v>
      </c>
      <c r="F1938" s="26" t="s">
        <v>46</v>
      </c>
      <c r="G1938" s="26">
        <v>11.0</v>
      </c>
      <c r="I1938" s="26" t="s">
        <v>42</v>
      </c>
      <c r="J1938" s="25" t="str">
        <f t="shared" si="34"/>
        <v>No</v>
      </c>
      <c r="K1938" s="25" t="str">
        <f t="shared" si="35"/>
        <v/>
      </c>
      <c r="L1938" s="25" t="str">
        <f t="shared" si="36"/>
        <v/>
      </c>
      <c r="M1938" s="25"/>
      <c r="O1938" s="25"/>
    </row>
    <row r="1939" ht="15.75" customHeight="1">
      <c r="A1939" s="25" t="str">
        <f>IFERROR(__xludf.DUMMYFUNCTION("IF(B1939="""","""",RIGHT(REGEXREPLACE(B1939&amp;"""",""[^0-9]"",""""),9))"),"778978700")</f>
        <v>778978700</v>
      </c>
      <c r="B1939" s="52">
        <v>7.789787E8</v>
      </c>
      <c r="C1939" s="28" t="s">
        <v>2149</v>
      </c>
      <c r="D1939" s="26" t="s">
        <v>56</v>
      </c>
      <c r="E1939" s="31">
        <v>46229.0</v>
      </c>
      <c r="F1939" s="26" t="s">
        <v>46</v>
      </c>
      <c r="G1939" s="26">
        <v>11.0</v>
      </c>
      <c r="I1939" s="26" t="s">
        <v>42</v>
      </c>
      <c r="J1939" s="25" t="str">
        <f t="shared" si="34"/>
        <v>No</v>
      </c>
      <c r="K1939" s="25" t="str">
        <f t="shared" si="35"/>
        <v/>
      </c>
      <c r="L1939" s="25" t="str">
        <f t="shared" si="36"/>
        <v/>
      </c>
      <c r="M1939" s="25"/>
      <c r="O1939" s="25"/>
    </row>
    <row r="1940" ht="15.75" customHeight="1">
      <c r="A1940" s="25" t="str">
        <f>IFERROR(__xludf.DUMMYFUNCTION("IF(B1940="""","""",RIGHT(REGEXREPLACE(B1940&amp;"""",""[^0-9]"",""""),9))"),"705068112")</f>
        <v>705068112</v>
      </c>
      <c r="B1940" s="52">
        <v>7.05068112E8</v>
      </c>
      <c r="C1940" s="28" t="s">
        <v>2150</v>
      </c>
      <c r="D1940" s="26" t="s">
        <v>64</v>
      </c>
      <c r="E1940" s="31">
        <v>46229.0</v>
      </c>
      <c r="F1940" s="26" t="s">
        <v>46</v>
      </c>
      <c r="G1940" s="26">
        <v>10.0</v>
      </c>
      <c r="I1940" s="26" t="s">
        <v>42</v>
      </c>
      <c r="J1940" s="25" t="str">
        <f t="shared" si="34"/>
        <v>No</v>
      </c>
      <c r="K1940" s="25" t="str">
        <f t="shared" si="35"/>
        <v/>
      </c>
      <c r="L1940" s="25" t="str">
        <f t="shared" si="36"/>
        <v/>
      </c>
      <c r="M1940" s="25"/>
      <c r="O1940" s="25"/>
    </row>
    <row r="1941" ht="15.75" customHeight="1">
      <c r="A1941" s="25" t="str">
        <f>IFERROR(__xludf.DUMMYFUNCTION("IF(B1941="""","""",RIGHT(REGEXREPLACE(B1941&amp;"""",""[^0-9]"",""""),9))"),"771480012")</f>
        <v>771480012</v>
      </c>
      <c r="B1941" s="52">
        <v>7.71480012E8</v>
      </c>
      <c r="C1941" s="28" t="s">
        <v>2151</v>
      </c>
      <c r="D1941" s="26" t="s">
        <v>49</v>
      </c>
      <c r="E1941" s="31">
        <v>46229.0</v>
      </c>
      <c r="F1941" s="26" t="s">
        <v>659</v>
      </c>
      <c r="I1941" s="26" t="s">
        <v>42</v>
      </c>
      <c r="J1941" s="25" t="str">
        <f t="shared" si="34"/>
        <v>No</v>
      </c>
      <c r="K1941" s="25" t="str">
        <f t="shared" si="35"/>
        <v/>
      </c>
      <c r="L1941" s="25" t="str">
        <f t="shared" si="36"/>
        <v/>
      </c>
      <c r="M1941" s="25"/>
      <c r="O1941" s="25"/>
    </row>
    <row r="1942" ht="15.75" customHeight="1">
      <c r="A1942" s="25" t="str">
        <f>IFERROR(__xludf.DUMMYFUNCTION("IF(B1942="""","""",RIGHT(REGEXREPLACE(B1942&amp;"""",""[^0-9]"",""""),9))"),"781782956")</f>
        <v>781782956</v>
      </c>
      <c r="B1942" s="52">
        <v>7.81782956E8</v>
      </c>
      <c r="C1942" s="28" t="s">
        <v>2152</v>
      </c>
      <c r="D1942" s="26" t="s">
        <v>56</v>
      </c>
      <c r="E1942" s="31">
        <v>46229.0</v>
      </c>
      <c r="F1942" s="26" t="s">
        <v>41</v>
      </c>
      <c r="I1942" s="26" t="s">
        <v>42</v>
      </c>
      <c r="J1942" s="25" t="str">
        <f t="shared" si="34"/>
        <v>No</v>
      </c>
      <c r="K1942" s="25" t="str">
        <f t="shared" si="35"/>
        <v/>
      </c>
      <c r="L1942" s="25" t="str">
        <f t="shared" si="36"/>
        <v/>
      </c>
      <c r="M1942" s="25"/>
      <c r="O1942" s="25"/>
    </row>
    <row r="1943" ht="15.75" customHeight="1">
      <c r="A1943" s="25" t="str">
        <f>IFERROR(__xludf.DUMMYFUNCTION("IF(B1943="""","""",RIGHT(REGEXREPLACE(B1943&amp;"""",""[^0-9]"",""""),9))"),"724994253")</f>
        <v>724994253</v>
      </c>
      <c r="B1943" s="26">
        <v>7.24994253E8</v>
      </c>
      <c r="C1943" s="28" t="s">
        <v>1425</v>
      </c>
      <c r="D1943" s="26" t="s">
        <v>37</v>
      </c>
      <c r="E1943" s="31">
        <v>46229.0</v>
      </c>
      <c r="F1943" s="26" t="s">
        <v>41</v>
      </c>
      <c r="I1943" s="26" t="s">
        <v>42</v>
      </c>
      <c r="J1943" s="25" t="str">
        <f t="shared" si="34"/>
        <v>Yes - see Previous F-Code</v>
      </c>
      <c r="K1943" s="25" t="str">
        <f t="shared" si="35"/>
        <v>DUPLICATE - CHECK</v>
      </c>
      <c r="L1943" s="25" t="str">
        <f t="shared" si="36"/>
        <v>F71151</v>
      </c>
      <c r="M1943" s="25"/>
      <c r="O1943" s="25"/>
    </row>
    <row r="1944" ht="15.75" customHeight="1">
      <c r="A1944" s="25" t="str">
        <f>IFERROR(__xludf.DUMMYFUNCTION("IF(B1944="""","""",RIGHT(REGEXREPLACE(B1944&amp;"""",""[^0-9]"",""""),9))"),"775700598")</f>
        <v>775700598</v>
      </c>
      <c r="B1944" s="52">
        <v>7.75700598E8</v>
      </c>
      <c r="C1944" s="28" t="s">
        <v>2153</v>
      </c>
      <c r="D1944" s="26" t="s">
        <v>45</v>
      </c>
      <c r="E1944" s="31">
        <v>46229.0</v>
      </c>
      <c r="F1944" s="26" t="s">
        <v>46</v>
      </c>
      <c r="G1944" s="26">
        <v>11.0</v>
      </c>
      <c r="H1944" s="26" t="s">
        <v>720</v>
      </c>
      <c r="I1944" s="26" t="s">
        <v>42</v>
      </c>
      <c r="J1944" s="25" t="str">
        <f t="shared" si="34"/>
        <v>No</v>
      </c>
      <c r="K1944" s="25" t="str">
        <f t="shared" si="35"/>
        <v/>
      </c>
      <c r="L1944" s="25" t="str">
        <f t="shared" si="36"/>
        <v/>
      </c>
      <c r="M1944" s="25"/>
      <c r="O1944" s="25"/>
    </row>
    <row r="1945" ht="15.75" customHeight="1">
      <c r="A1945" s="25" t="str">
        <f>IFERROR(__xludf.DUMMYFUNCTION("IF(B1945="""","""",RIGHT(REGEXREPLACE(B1945&amp;"""",""[^0-9]"",""""),9))"),"714805891")</f>
        <v>714805891</v>
      </c>
      <c r="B1945" s="52">
        <v>7.14805891E8</v>
      </c>
      <c r="C1945" s="28" t="s">
        <v>2154</v>
      </c>
      <c r="D1945" s="26" t="s">
        <v>49</v>
      </c>
      <c r="E1945" s="31">
        <v>46229.0</v>
      </c>
      <c r="F1945" s="26" t="s">
        <v>46</v>
      </c>
      <c r="G1945" s="26">
        <v>11.0</v>
      </c>
      <c r="I1945" s="26" t="s">
        <v>42</v>
      </c>
      <c r="J1945" s="25" t="str">
        <f t="shared" si="34"/>
        <v>No</v>
      </c>
      <c r="K1945" s="25" t="str">
        <f t="shared" si="35"/>
        <v/>
      </c>
      <c r="L1945" s="25" t="str">
        <f t="shared" si="36"/>
        <v/>
      </c>
      <c r="M1945" s="25"/>
      <c r="O1945" s="25"/>
    </row>
    <row r="1946" ht="15.75" customHeight="1">
      <c r="A1946" s="25" t="str">
        <f>IFERROR(__xludf.DUMMYFUNCTION("IF(B1946="""","""",RIGHT(REGEXREPLACE(B1946&amp;"""",""[^0-9]"",""""),9))"),"772264597")</f>
        <v>772264597</v>
      </c>
      <c r="B1946" s="52">
        <v>7.72264597E8</v>
      </c>
      <c r="C1946" s="28" t="s">
        <v>2155</v>
      </c>
      <c r="D1946" s="26" t="s">
        <v>64</v>
      </c>
      <c r="E1946" s="31">
        <v>46229.0</v>
      </c>
      <c r="F1946" s="26" t="s">
        <v>46</v>
      </c>
      <c r="G1946" s="26">
        <v>11.0</v>
      </c>
      <c r="I1946" s="26" t="s">
        <v>42</v>
      </c>
      <c r="J1946" s="25" t="str">
        <f t="shared" si="34"/>
        <v>No</v>
      </c>
      <c r="K1946" s="25" t="str">
        <f t="shared" si="35"/>
        <v/>
      </c>
      <c r="L1946" s="25" t="str">
        <f t="shared" si="36"/>
        <v/>
      </c>
      <c r="M1946" s="25"/>
      <c r="O1946" s="25"/>
    </row>
    <row r="1947" ht="15.75" customHeight="1">
      <c r="A1947" s="25" t="str">
        <f>IFERROR(__xludf.DUMMYFUNCTION("IF(B1947="""","""",RIGHT(REGEXREPLACE(B1947&amp;"""",""[^0-9]"",""""),9))"),"775428072")</f>
        <v>775428072</v>
      </c>
      <c r="B1947" s="26">
        <v>7.75428072E8</v>
      </c>
      <c r="C1947" s="28" t="s">
        <v>2156</v>
      </c>
      <c r="D1947" s="26" t="s">
        <v>37</v>
      </c>
      <c r="E1947" s="31">
        <v>46229.0</v>
      </c>
      <c r="F1947" s="26" t="s">
        <v>46</v>
      </c>
      <c r="G1947" s="26">
        <v>11.0</v>
      </c>
      <c r="I1947" s="26" t="s">
        <v>42</v>
      </c>
      <c r="J1947" s="25" t="str">
        <f t="shared" si="34"/>
        <v>No</v>
      </c>
      <c r="K1947" s="25" t="str">
        <f t="shared" si="35"/>
        <v/>
      </c>
      <c r="L1947" s="25" t="str">
        <f t="shared" si="36"/>
        <v/>
      </c>
      <c r="M1947" s="25"/>
      <c r="O1947" s="25"/>
    </row>
    <row r="1948" ht="15.75" customHeight="1">
      <c r="A1948" s="25" t="str">
        <f>IFERROR(__xludf.DUMMYFUNCTION("IF(B1948="""","""",RIGHT(REGEXREPLACE(B1948&amp;"""",""[^0-9]"",""""),9))"),"773437550")</f>
        <v>773437550</v>
      </c>
      <c r="B1948" s="26">
        <v>7.7343755E8</v>
      </c>
      <c r="C1948" s="28" t="s">
        <v>2157</v>
      </c>
      <c r="D1948" s="26" t="s">
        <v>37</v>
      </c>
      <c r="E1948" s="31">
        <v>46229.0</v>
      </c>
      <c r="F1948" s="26" t="s">
        <v>41</v>
      </c>
      <c r="I1948" s="26" t="s">
        <v>42</v>
      </c>
      <c r="J1948" s="25" t="str">
        <f t="shared" si="34"/>
        <v>No</v>
      </c>
      <c r="K1948" s="25" t="str">
        <f t="shared" si="35"/>
        <v/>
      </c>
      <c r="L1948" s="25" t="str">
        <f t="shared" si="36"/>
        <v/>
      </c>
      <c r="M1948" s="25"/>
      <c r="O1948" s="25"/>
    </row>
    <row r="1949" ht="15.75" customHeight="1">
      <c r="A1949" s="25" t="str">
        <f>IFERROR(__xludf.DUMMYFUNCTION("IF(B1949="""","""",RIGHT(REGEXREPLACE(B1949&amp;"""",""[^0-9]"",""""),9))"),"765265737")</f>
        <v>765265737</v>
      </c>
      <c r="B1949" s="52">
        <v>7.65265737E8</v>
      </c>
      <c r="C1949" s="28" t="s">
        <v>2158</v>
      </c>
      <c r="D1949" s="26" t="s">
        <v>45</v>
      </c>
      <c r="E1949" s="31">
        <v>46229.0</v>
      </c>
      <c r="F1949" s="26" t="s">
        <v>46</v>
      </c>
      <c r="G1949" s="26">
        <v>7.0</v>
      </c>
      <c r="I1949" s="26" t="s">
        <v>42</v>
      </c>
      <c r="J1949" s="25" t="str">
        <f t="shared" si="34"/>
        <v>No</v>
      </c>
      <c r="K1949" s="25" t="str">
        <f t="shared" si="35"/>
        <v/>
      </c>
      <c r="L1949" s="25" t="str">
        <f t="shared" si="36"/>
        <v/>
      </c>
      <c r="M1949" s="25"/>
      <c r="O1949" s="25"/>
    </row>
    <row r="1950" ht="15.75" customHeight="1">
      <c r="A1950" s="25" t="str">
        <f>IFERROR(__xludf.DUMMYFUNCTION("IF(B1950="""","""",RIGHT(REGEXREPLACE(B1950&amp;"""",""[^0-9]"",""""),9))"),"766185305")</f>
        <v>766185305</v>
      </c>
      <c r="B1950" s="52">
        <v>7.66185305E8</v>
      </c>
      <c r="C1950" s="28" t="s">
        <v>2159</v>
      </c>
      <c r="D1950" s="26" t="s">
        <v>56</v>
      </c>
      <c r="E1950" s="31">
        <v>46229.0</v>
      </c>
      <c r="F1950" s="26" t="s">
        <v>41</v>
      </c>
      <c r="G1950" s="26">
        <v>11.0</v>
      </c>
      <c r="I1950" s="26" t="s">
        <v>42</v>
      </c>
      <c r="J1950" s="25" t="str">
        <f t="shared" si="34"/>
        <v>No</v>
      </c>
      <c r="K1950" s="25" t="str">
        <f t="shared" si="35"/>
        <v/>
      </c>
      <c r="L1950" s="25" t="str">
        <f t="shared" si="36"/>
        <v/>
      </c>
      <c r="M1950" s="25"/>
      <c r="O1950" s="25"/>
    </row>
    <row r="1951" ht="15.75" customHeight="1">
      <c r="A1951" s="25" t="str">
        <f>IFERROR(__xludf.DUMMYFUNCTION("IF(B1951="""","""",RIGHT(REGEXREPLACE(B1951&amp;"""",""[^0-9]"",""""),9))"),"768615859")</f>
        <v>768615859</v>
      </c>
      <c r="B1951" s="52">
        <v>7.68615859E8</v>
      </c>
      <c r="C1951" s="28" t="s">
        <v>2160</v>
      </c>
      <c r="D1951" s="26" t="s">
        <v>49</v>
      </c>
      <c r="E1951" s="31">
        <v>46229.0</v>
      </c>
      <c r="F1951" s="26" t="s">
        <v>46</v>
      </c>
      <c r="G1951" s="26">
        <v>11.0</v>
      </c>
      <c r="I1951" s="26" t="s">
        <v>42</v>
      </c>
      <c r="J1951" s="25" t="str">
        <f t="shared" si="34"/>
        <v>No</v>
      </c>
      <c r="K1951" s="25" t="str">
        <f t="shared" si="35"/>
        <v/>
      </c>
      <c r="L1951" s="25" t="str">
        <f t="shared" si="36"/>
        <v/>
      </c>
      <c r="M1951" s="25"/>
      <c r="O1951" s="25"/>
    </row>
    <row r="1952" ht="15.75" customHeight="1">
      <c r="A1952" s="25" t="str">
        <f>IFERROR(__xludf.DUMMYFUNCTION("IF(B1952="""","""",RIGHT(REGEXREPLACE(B1952&amp;"""",""[^0-9]"",""""),9))"),"712794769")</f>
        <v>712794769</v>
      </c>
      <c r="B1952" s="52">
        <v>7.12794769E8</v>
      </c>
      <c r="C1952" s="28" t="s">
        <v>2161</v>
      </c>
      <c r="D1952" s="26" t="s">
        <v>45</v>
      </c>
      <c r="E1952" s="31">
        <v>46229.0</v>
      </c>
      <c r="F1952" s="26" t="s">
        <v>46</v>
      </c>
      <c r="G1952" s="26">
        <v>11.0</v>
      </c>
      <c r="I1952" s="26" t="s">
        <v>42</v>
      </c>
      <c r="J1952" s="25" t="str">
        <f t="shared" si="34"/>
        <v>No</v>
      </c>
      <c r="K1952" s="25" t="str">
        <f t="shared" si="35"/>
        <v/>
      </c>
      <c r="L1952" s="25" t="str">
        <f t="shared" si="36"/>
        <v/>
      </c>
      <c r="M1952" s="25"/>
      <c r="O1952" s="25"/>
    </row>
    <row r="1953" ht="15.75" customHeight="1">
      <c r="A1953" s="25" t="str">
        <f>IFERROR(__xludf.DUMMYFUNCTION("IF(B1953="""","""",RIGHT(REGEXREPLACE(B1953&amp;"""",""[^0-9]"",""""),9))"),"716883825")</f>
        <v>716883825</v>
      </c>
      <c r="B1953" s="26">
        <v>7.16883825E8</v>
      </c>
      <c r="C1953" s="28" t="s">
        <v>2162</v>
      </c>
      <c r="D1953" s="26" t="s">
        <v>37</v>
      </c>
      <c r="E1953" s="31">
        <v>46229.0</v>
      </c>
      <c r="F1953" s="26" t="s">
        <v>46</v>
      </c>
      <c r="G1953" s="26">
        <v>11.0</v>
      </c>
      <c r="I1953" s="26" t="s">
        <v>42</v>
      </c>
      <c r="J1953" s="25" t="str">
        <f t="shared" si="34"/>
        <v>No</v>
      </c>
      <c r="K1953" s="25" t="str">
        <f t="shared" si="35"/>
        <v/>
      </c>
      <c r="L1953" s="25" t="str">
        <f t="shared" si="36"/>
        <v/>
      </c>
      <c r="M1953" s="25"/>
      <c r="O1953" s="25"/>
    </row>
    <row r="1954" ht="15.75" customHeight="1">
      <c r="A1954" s="25" t="str">
        <f>IFERROR(__xludf.DUMMYFUNCTION("IF(B1954="""","""",RIGHT(REGEXREPLACE(B1954&amp;"""",""[^0-9]"",""""),9))"),"714785654")</f>
        <v>714785654</v>
      </c>
      <c r="B1954" s="52">
        <v>7.14785654E8</v>
      </c>
      <c r="C1954" s="28" t="s">
        <v>2163</v>
      </c>
      <c r="D1954" s="26" t="s">
        <v>56</v>
      </c>
      <c r="E1954" s="31">
        <v>46229.0</v>
      </c>
      <c r="F1954" s="26" t="s">
        <v>205</v>
      </c>
      <c r="I1954" s="26" t="s">
        <v>42</v>
      </c>
      <c r="J1954" s="25" t="str">
        <f t="shared" si="34"/>
        <v>No</v>
      </c>
      <c r="K1954" s="25" t="str">
        <f t="shared" si="35"/>
        <v/>
      </c>
      <c r="L1954" s="25" t="str">
        <f t="shared" si="36"/>
        <v/>
      </c>
      <c r="M1954" s="25"/>
      <c r="O1954" s="25"/>
    </row>
    <row r="1955" ht="15.75" customHeight="1">
      <c r="A1955" s="25" t="str">
        <f>IFERROR(__xludf.DUMMYFUNCTION("IF(B1955="""","""",RIGHT(REGEXREPLACE(B1955&amp;"""",""[^0-9]"",""""),9))"),"766759039")</f>
        <v>766759039</v>
      </c>
      <c r="B1955" s="52">
        <v>7.66759039E8</v>
      </c>
      <c r="C1955" s="28" t="s">
        <v>2164</v>
      </c>
      <c r="D1955" s="26" t="s">
        <v>49</v>
      </c>
      <c r="E1955" s="31">
        <v>46229.0</v>
      </c>
      <c r="F1955" s="26" t="s">
        <v>659</v>
      </c>
      <c r="G1955" s="26">
        <v>11.0</v>
      </c>
      <c r="I1955" s="26" t="s">
        <v>42</v>
      </c>
      <c r="J1955" s="25" t="str">
        <f t="shared" si="34"/>
        <v>No</v>
      </c>
      <c r="K1955" s="25" t="str">
        <f t="shared" si="35"/>
        <v/>
      </c>
      <c r="L1955" s="25" t="str">
        <f t="shared" si="36"/>
        <v/>
      </c>
      <c r="M1955" s="25"/>
      <c r="O1955" s="25"/>
    </row>
    <row r="1956" ht="15.75" customHeight="1">
      <c r="A1956" s="25" t="str">
        <f>IFERROR(__xludf.DUMMYFUNCTION("IF(B1956="""","""",RIGHT(REGEXREPLACE(B1956&amp;"""",""[^0-9]"",""""),9))"),"789641893")</f>
        <v>789641893</v>
      </c>
      <c r="B1956" s="26">
        <v>7.89641893E8</v>
      </c>
      <c r="C1956" s="28" t="s">
        <v>2165</v>
      </c>
      <c r="D1956" s="26" t="s">
        <v>37</v>
      </c>
      <c r="E1956" s="31">
        <v>46229.0</v>
      </c>
      <c r="F1956" s="26" t="s">
        <v>46</v>
      </c>
      <c r="G1956" s="26">
        <v>11.0</v>
      </c>
      <c r="I1956" s="26" t="s">
        <v>42</v>
      </c>
      <c r="J1956" s="25" t="str">
        <f t="shared" si="34"/>
        <v>No</v>
      </c>
      <c r="K1956" s="25" t="str">
        <f t="shared" si="35"/>
        <v/>
      </c>
      <c r="L1956" s="25" t="str">
        <f t="shared" si="36"/>
        <v/>
      </c>
      <c r="M1956" s="25"/>
      <c r="O1956" s="25"/>
    </row>
    <row r="1957" ht="15.75" customHeight="1">
      <c r="A1957" s="25" t="str">
        <f>IFERROR(__xludf.DUMMYFUNCTION("IF(B1957="""","""",RIGHT(REGEXREPLACE(B1957&amp;"""",""[^0-9]"",""""),9))"),"761480903")</f>
        <v>761480903</v>
      </c>
      <c r="B1957" s="52">
        <v>7.61480903E8</v>
      </c>
      <c r="C1957" s="28" t="s">
        <v>2166</v>
      </c>
      <c r="D1957" s="26" t="s">
        <v>64</v>
      </c>
      <c r="E1957" s="31">
        <v>46229.0</v>
      </c>
      <c r="F1957" s="26" t="s">
        <v>41</v>
      </c>
      <c r="G1957" s="26">
        <v>11.0</v>
      </c>
      <c r="I1957" s="26" t="s">
        <v>42</v>
      </c>
      <c r="J1957" s="25" t="str">
        <f t="shared" si="34"/>
        <v>No</v>
      </c>
      <c r="K1957" s="25" t="str">
        <f t="shared" si="35"/>
        <v/>
      </c>
      <c r="L1957" s="25" t="str">
        <f t="shared" si="36"/>
        <v/>
      </c>
      <c r="M1957" s="25"/>
      <c r="O1957" s="25"/>
    </row>
    <row r="1958" ht="15.75" customHeight="1">
      <c r="A1958" s="25" t="str">
        <f>IFERROR(__xludf.DUMMYFUNCTION("IF(B1958="""","""",RIGHT(REGEXREPLACE(B1958&amp;"""",""[^0-9]"",""""),9))"),"706600668")</f>
        <v>706600668</v>
      </c>
      <c r="B1958" s="52">
        <v>7.06600668E8</v>
      </c>
      <c r="C1958" s="28" t="s">
        <v>2167</v>
      </c>
      <c r="D1958" s="26" t="s">
        <v>45</v>
      </c>
      <c r="E1958" s="31">
        <v>46229.0</v>
      </c>
      <c r="F1958" s="26" t="s">
        <v>46</v>
      </c>
      <c r="G1958" s="26">
        <v>10.0</v>
      </c>
      <c r="I1958" s="26" t="s">
        <v>42</v>
      </c>
      <c r="J1958" s="25" t="str">
        <f t="shared" si="34"/>
        <v>No</v>
      </c>
      <c r="K1958" s="25" t="str">
        <f t="shared" si="35"/>
        <v/>
      </c>
      <c r="L1958" s="25" t="str">
        <f t="shared" si="36"/>
        <v/>
      </c>
      <c r="M1958" s="25"/>
      <c r="O1958" s="25"/>
    </row>
    <row r="1959" ht="15.75" customHeight="1">
      <c r="A1959" s="25" t="str">
        <f>IFERROR(__xludf.DUMMYFUNCTION("IF(B1959="""","""",RIGHT(REGEXREPLACE(B1959&amp;"""",""[^0-9]"",""""),9))"),"711241028")</f>
        <v>711241028</v>
      </c>
      <c r="B1959" s="26">
        <v>7.11241028E8</v>
      </c>
      <c r="C1959" s="28" t="s">
        <v>2168</v>
      </c>
      <c r="D1959" s="26" t="s">
        <v>37</v>
      </c>
      <c r="E1959" s="31">
        <v>46229.0</v>
      </c>
      <c r="F1959" s="26" t="s">
        <v>46</v>
      </c>
      <c r="G1959" s="26">
        <v>11.0</v>
      </c>
      <c r="I1959" s="26" t="s">
        <v>42</v>
      </c>
      <c r="J1959" s="25" t="str">
        <f t="shared" si="34"/>
        <v>No</v>
      </c>
      <c r="K1959" s="25" t="str">
        <f t="shared" si="35"/>
        <v/>
      </c>
      <c r="L1959" s="25" t="str">
        <f t="shared" si="36"/>
        <v/>
      </c>
      <c r="M1959" s="25"/>
      <c r="O1959" s="25"/>
    </row>
    <row r="1960" ht="15.75" customHeight="1">
      <c r="A1960" s="25" t="str">
        <f>IFERROR(__xludf.DUMMYFUNCTION("IF(B1960="""","""",RIGHT(REGEXREPLACE(B1960&amp;"""",""[^0-9]"",""""),9))"),"716289960")</f>
        <v>716289960</v>
      </c>
      <c r="B1960" s="52">
        <v>7.1628996E8</v>
      </c>
      <c r="C1960" s="28" t="s">
        <v>2169</v>
      </c>
      <c r="D1960" s="26" t="s">
        <v>49</v>
      </c>
      <c r="E1960" s="31">
        <v>46229.0</v>
      </c>
      <c r="F1960" s="26" t="s">
        <v>46</v>
      </c>
      <c r="G1960" s="26">
        <v>11.0</v>
      </c>
      <c r="I1960" s="26" t="s">
        <v>42</v>
      </c>
      <c r="J1960" s="25" t="str">
        <f t="shared" si="34"/>
        <v>No</v>
      </c>
      <c r="K1960" s="25" t="str">
        <f t="shared" si="35"/>
        <v/>
      </c>
      <c r="L1960" s="25" t="str">
        <f t="shared" si="36"/>
        <v/>
      </c>
      <c r="M1960" s="25"/>
      <c r="O1960" s="25"/>
    </row>
    <row r="1961" ht="15.75" customHeight="1">
      <c r="A1961" s="25" t="str">
        <f>IFERROR(__xludf.DUMMYFUNCTION("IF(B1961="""","""",RIGHT(REGEXREPLACE(B1961&amp;"""",""[^0-9]"",""""),9))"),"762385247")</f>
        <v>762385247</v>
      </c>
      <c r="B1961" s="26">
        <v>7.62385247E8</v>
      </c>
      <c r="C1961" s="28" t="s">
        <v>2170</v>
      </c>
      <c r="D1961" s="26" t="s">
        <v>37</v>
      </c>
      <c r="E1961" s="31">
        <v>46229.0</v>
      </c>
      <c r="F1961" s="26" t="s">
        <v>46</v>
      </c>
      <c r="G1961" s="26">
        <v>11.0</v>
      </c>
      <c r="I1961" s="26" t="s">
        <v>42</v>
      </c>
      <c r="J1961" s="25" t="str">
        <f t="shared" si="34"/>
        <v>No</v>
      </c>
      <c r="K1961" s="25" t="str">
        <f t="shared" si="35"/>
        <v/>
      </c>
      <c r="L1961" s="25" t="str">
        <f t="shared" si="36"/>
        <v/>
      </c>
      <c r="M1961" s="25"/>
      <c r="O1961" s="25"/>
    </row>
    <row r="1962" ht="15.75" customHeight="1">
      <c r="A1962" s="25" t="str">
        <f>IFERROR(__xludf.DUMMYFUNCTION("IF(B1962="""","""",RIGHT(REGEXREPLACE(B1962&amp;"""",""[^0-9]"",""""),9))"),"762243246")</f>
        <v>762243246</v>
      </c>
      <c r="B1962" s="52">
        <v>7.62243246E8</v>
      </c>
      <c r="C1962" s="28" t="s">
        <v>2171</v>
      </c>
      <c r="D1962" s="26" t="s">
        <v>56</v>
      </c>
      <c r="E1962" s="31">
        <v>46229.0</v>
      </c>
      <c r="F1962" s="26" t="s">
        <v>46</v>
      </c>
      <c r="G1962" s="26">
        <v>11.0</v>
      </c>
      <c r="I1962" s="26" t="s">
        <v>42</v>
      </c>
      <c r="J1962" s="25" t="str">
        <f t="shared" si="34"/>
        <v>No</v>
      </c>
      <c r="K1962" s="25" t="str">
        <f t="shared" si="35"/>
        <v/>
      </c>
      <c r="L1962" s="25" t="str">
        <f t="shared" si="36"/>
        <v/>
      </c>
      <c r="M1962" s="25"/>
      <c r="O1962" s="25"/>
    </row>
    <row r="1963" ht="15.75" customHeight="1">
      <c r="A1963" s="25" t="str">
        <f>IFERROR(__xludf.DUMMYFUNCTION("IF(B1963="""","""",RIGHT(REGEXREPLACE(B1963&amp;"""",""[^0-9]"",""""),9))"),"701688515")</f>
        <v>701688515</v>
      </c>
      <c r="B1963" s="52">
        <v>7.01688515E8</v>
      </c>
      <c r="C1963" s="28" t="s">
        <v>2172</v>
      </c>
      <c r="D1963" s="26" t="s">
        <v>45</v>
      </c>
      <c r="E1963" s="31">
        <v>46229.0</v>
      </c>
      <c r="F1963" s="26" t="s">
        <v>84</v>
      </c>
      <c r="I1963" s="26" t="s">
        <v>42</v>
      </c>
      <c r="J1963" s="25" t="str">
        <f t="shared" si="34"/>
        <v>No</v>
      </c>
      <c r="K1963" s="25" t="str">
        <f t="shared" si="35"/>
        <v/>
      </c>
      <c r="L1963" s="25" t="str">
        <f t="shared" si="36"/>
        <v/>
      </c>
      <c r="M1963" s="25"/>
      <c r="O1963" s="25"/>
    </row>
    <row r="1964" ht="15.75" customHeight="1">
      <c r="A1964" s="25" t="str">
        <f>IFERROR(__xludf.DUMMYFUNCTION("IF(B1964="""","""",RIGHT(REGEXREPLACE(B1964&amp;"""",""[^0-9]"",""""),9))"),"772058580")</f>
        <v>772058580</v>
      </c>
      <c r="B1964" s="52">
        <v>7.7205858E8</v>
      </c>
      <c r="C1964" s="28" t="s">
        <v>2173</v>
      </c>
      <c r="D1964" s="26" t="s">
        <v>64</v>
      </c>
      <c r="E1964" s="31">
        <v>46229.0</v>
      </c>
      <c r="F1964" s="26" t="s">
        <v>41</v>
      </c>
      <c r="I1964" s="26" t="s">
        <v>42</v>
      </c>
      <c r="J1964" s="25" t="str">
        <f t="shared" si="34"/>
        <v>No</v>
      </c>
      <c r="K1964" s="25" t="str">
        <f t="shared" si="35"/>
        <v/>
      </c>
      <c r="L1964" s="25" t="str">
        <f t="shared" si="36"/>
        <v/>
      </c>
      <c r="M1964" s="25"/>
      <c r="O1964" s="25"/>
    </row>
    <row r="1965" ht="15.75" customHeight="1">
      <c r="A1965" s="25" t="str">
        <f>IFERROR(__xludf.DUMMYFUNCTION("IF(B1965="""","""",RIGHT(REGEXREPLACE(B1965&amp;"""",""[^0-9]"",""""),9))"),"750276221")</f>
        <v>750276221</v>
      </c>
      <c r="B1965" s="26">
        <v>7.50276221E8</v>
      </c>
      <c r="C1965" s="28" t="s">
        <v>2174</v>
      </c>
      <c r="D1965" s="26" t="s">
        <v>37</v>
      </c>
      <c r="E1965" s="31">
        <v>46229.0</v>
      </c>
      <c r="F1965" s="26" t="s">
        <v>46</v>
      </c>
      <c r="G1965" s="26">
        <v>10.0</v>
      </c>
      <c r="I1965" s="26" t="s">
        <v>42</v>
      </c>
      <c r="J1965" s="25" t="str">
        <f t="shared" si="34"/>
        <v>No</v>
      </c>
      <c r="K1965" s="25" t="str">
        <f t="shared" si="35"/>
        <v/>
      </c>
      <c r="L1965" s="25" t="str">
        <f t="shared" si="36"/>
        <v/>
      </c>
      <c r="M1965" s="25"/>
      <c r="O1965" s="25"/>
    </row>
    <row r="1966" ht="15.75" customHeight="1">
      <c r="A1966" s="25" t="str">
        <f>IFERROR(__xludf.DUMMYFUNCTION("IF(B1966="""","""",RIGHT(REGEXREPLACE(B1966&amp;"""",""[^0-9]"",""""),9))"),"763559709")</f>
        <v>763559709</v>
      </c>
      <c r="B1966" s="26">
        <v>7.63559709E8</v>
      </c>
      <c r="C1966" s="28" t="s">
        <v>2175</v>
      </c>
      <c r="D1966" s="26" t="s">
        <v>37</v>
      </c>
      <c r="E1966" s="31">
        <v>46229.0</v>
      </c>
      <c r="F1966" s="26" t="s">
        <v>205</v>
      </c>
      <c r="I1966" s="26" t="s">
        <v>42</v>
      </c>
      <c r="J1966" s="25" t="str">
        <f t="shared" si="34"/>
        <v>No</v>
      </c>
      <c r="K1966" s="25" t="str">
        <f t="shared" si="35"/>
        <v/>
      </c>
      <c r="L1966" s="25" t="str">
        <f t="shared" si="36"/>
        <v/>
      </c>
      <c r="M1966" s="25"/>
      <c r="O1966" s="25"/>
    </row>
    <row r="1967" ht="15.75" customHeight="1">
      <c r="A1967" s="25" t="str">
        <f>IFERROR(__xludf.DUMMYFUNCTION("IF(B1967="""","""",RIGHT(REGEXREPLACE(B1967&amp;"""",""[^0-9]"",""""),9))"),"778181170")</f>
        <v>778181170</v>
      </c>
      <c r="B1967" s="52">
        <v>7.7818117E8</v>
      </c>
      <c r="C1967" s="28" t="s">
        <v>2176</v>
      </c>
      <c r="D1967" s="26" t="s">
        <v>45</v>
      </c>
      <c r="E1967" s="31">
        <v>46229.0</v>
      </c>
      <c r="F1967" s="26" t="s">
        <v>46</v>
      </c>
      <c r="G1967" s="26">
        <v>11.0</v>
      </c>
      <c r="I1967" s="26" t="s">
        <v>42</v>
      </c>
      <c r="J1967" s="25" t="str">
        <f t="shared" si="34"/>
        <v>No</v>
      </c>
      <c r="K1967" s="25" t="str">
        <f t="shared" si="35"/>
        <v/>
      </c>
      <c r="L1967" s="25" t="str">
        <f t="shared" si="36"/>
        <v/>
      </c>
      <c r="M1967" s="25"/>
      <c r="O1967" s="25"/>
    </row>
    <row r="1968" ht="15.75" customHeight="1">
      <c r="A1968" s="25" t="str">
        <f>IFERROR(__xludf.DUMMYFUNCTION("IF(B1968="""","""",RIGHT(REGEXREPLACE(B1968&amp;"""",""[^0-9]"",""""),9))"),"767240672")</f>
        <v>767240672</v>
      </c>
      <c r="B1968" s="26">
        <v>7.67240672E8</v>
      </c>
      <c r="C1968" s="28" t="s">
        <v>2175</v>
      </c>
      <c r="D1968" s="26" t="s">
        <v>37</v>
      </c>
      <c r="E1968" s="31">
        <v>46229.0</v>
      </c>
      <c r="F1968" s="26" t="s">
        <v>164</v>
      </c>
      <c r="G1968" s="26">
        <v>11.0</v>
      </c>
      <c r="I1968" s="26" t="s">
        <v>42</v>
      </c>
      <c r="J1968" s="25" t="str">
        <f t="shared" si="34"/>
        <v>No</v>
      </c>
      <c r="K1968" s="25" t="str">
        <f t="shared" si="35"/>
        <v/>
      </c>
      <c r="L1968" s="25" t="str">
        <f t="shared" si="36"/>
        <v/>
      </c>
      <c r="M1968" s="25"/>
      <c r="O1968" s="25"/>
    </row>
    <row r="1969" ht="15.75" customHeight="1">
      <c r="A1969" s="25" t="str">
        <f>IFERROR(__xludf.DUMMYFUNCTION("IF(B1969="""","""",RIGHT(REGEXREPLACE(B1969&amp;"""",""[^0-9]"",""""),9))"),"786023962")</f>
        <v>786023962</v>
      </c>
      <c r="B1969" s="26">
        <v>7.86023962E8</v>
      </c>
      <c r="C1969" s="28" t="s">
        <v>2177</v>
      </c>
      <c r="D1969" s="26" t="s">
        <v>37</v>
      </c>
      <c r="E1969" s="31">
        <v>46229.0</v>
      </c>
      <c r="F1969" s="26" t="s">
        <v>41</v>
      </c>
      <c r="G1969" s="26">
        <v>11.0</v>
      </c>
      <c r="I1969" s="26" t="s">
        <v>42</v>
      </c>
      <c r="J1969" s="25" t="str">
        <f t="shared" si="34"/>
        <v>No</v>
      </c>
      <c r="K1969" s="25" t="str">
        <f t="shared" si="35"/>
        <v/>
      </c>
      <c r="L1969" s="25" t="str">
        <f t="shared" si="36"/>
        <v/>
      </c>
      <c r="M1969" s="25"/>
      <c r="O1969" s="25"/>
    </row>
    <row r="1970" ht="15.75" customHeight="1">
      <c r="A1970" s="25" t="str">
        <f>IFERROR(__xludf.DUMMYFUNCTION("IF(B1970="""","""",RIGHT(REGEXREPLACE(B1970&amp;"""",""[^0-9]"",""""),9))"),"771151143")</f>
        <v>771151143</v>
      </c>
      <c r="B1970" s="52">
        <v>7.71151143E8</v>
      </c>
      <c r="C1970" s="28" t="s">
        <v>2178</v>
      </c>
      <c r="D1970" s="26" t="s">
        <v>56</v>
      </c>
      <c r="E1970" s="31">
        <v>46229.0</v>
      </c>
      <c r="F1970" s="26" t="s">
        <v>205</v>
      </c>
      <c r="I1970" s="26" t="s">
        <v>42</v>
      </c>
      <c r="J1970" s="25" t="str">
        <f t="shared" si="34"/>
        <v>No</v>
      </c>
      <c r="K1970" s="25" t="str">
        <f t="shared" si="35"/>
        <v/>
      </c>
      <c r="L1970" s="25" t="str">
        <f t="shared" si="36"/>
        <v/>
      </c>
      <c r="M1970" s="25"/>
      <c r="O1970" s="25"/>
    </row>
    <row r="1971" ht="15.75" customHeight="1">
      <c r="A1971" s="25" t="str">
        <f>IFERROR(__xludf.DUMMYFUNCTION("IF(B1971="""","""",RIGHT(REGEXREPLACE(B1971&amp;"""",""[^0-9]"",""""),9))"),"724524458")</f>
        <v>724524458</v>
      </c>
      <c r="B1971" s="52">
        <v>7.24524458E8</v>
      </c>
      <c r="C1971" s="28" t="s">
        <v>2179</v>
      </c>
      <c r="D1971" s="26" t="s">
        <v>49</v>
      </c>
      <c r="E1971" s="31">
        <v>46229.0</v>
      </c>
      <c r="F1971" s="26" t="s">
        <v>205</v>
      </c>
      <c r="G1971" s="26">
        <v>11.0</v>
      </c>
      <c r="I1971" s="26" t="s">
        <v>42</v>
      </c>
      <c r="J1971" s="25" t="str">
        <f t="shared" si="34"/>
        <v>No</v>
      </c>
      <c r="K1971" s="25" t="str">
        <f t="shared" si="35"/>
        <v/>
      </c>
      <c r="L1971" s="25" t="str">
        <f t="shared" si="36"/>
        <v/>
      </c>
      <c r="M1971" s="25"/>
      <c r="O1971" s="25"/>
    </row>
    <row r="1972" ht="15.75" customHeight="1">
      <c r="A1972" s="25" t="str">
        <f>IFERROR(__xludf.DUMMYFUNCTION("IF(B1972="""","""",RIGHT(REGEXREPLACE(B1972&amp;"""",""[^0-9]"",""""),9))"),"702978110")</f>
        <v>702978110</v>
      </c>
      <c r="B1972" s="26">
        <v>7.0297811E8</v>
      </c>
      <c r="C1972" s="28" t="s">
        <v>2180</v>
      </c>
      <c r="D1972" s="26" t="s">
        <v>37</v>
      </c>
      <c r="E1972" s="31">
        <v>46229.0</v>
      </c>
      <c r="F1972" s="26" t="s">
        <v>205</v>
      </c>
      <c r="G1972" s="26">
        <v>11.0</v>
      </c>
      <c r="I1972" s="26" t="s">
        <v>42</v>
      </c>
      <c r="J1972" s="25" t="str">
        <f t="shared" si="34"/>
        <v>No</v>
      </c>
      <c r="K1972" s="25" t="str">
        <f t="shared" si="35"/>
        <v/>
      </c>
      <c r="L1972" s="25" t="str">
        <f t="shared" si="36"/>
        <v/>
      </c>
      <c r="M1972" s="25"/>
      <c r="O1972" s="25"/>
    </row>
    <row r="1973" ht="15.75" customHeight="1">
      <c r="A1973" s="25" t="str">
        <f>IFERROR(__xludf.DUMMYFUNCTION("IF(B1973="""","""",RIGHT(REGEXREPLACE(B1973&amp;"""",""[^0-9]"",""""),9))"),"701844226")</f>
        <v>701844226</v>
      </c>
      <c r="B1973" s="26">
        <v>7.01844226E8</v>
      </c>
      <c r="C1973" s="28" t="s">
        <v>2181</v>
      </c>
      <c r="D1973" s="26" t="s">
        <v>37</v>
      </c>
      <c r="E1973" s="31">
        <v>46229.0</v>
      </c>
      <c r="F1973" s="26" t="s">
        <v>46</v>
      </c>
      <c r="G1973" s="26">
        <v>11.0</v>
      </c>
      <c r="I1973" s="26" t="s">
        <v>42</v>
      </c>
      <c r="J1973" s="25" t="str">
        <f t="shared" si="34"/>
        <v>No</v>
      </c>
      <c r="K1973" s="25" t="str">
        <f t="shared" si="35"/>
        <v/>
      </c>
      <c r="L1973" s="25" t="str">
        <f t="shared" si="36"/>
        <v/>
      </c>
      <c r="M1973" s="25"/>
      <c r="O1973" s="25"/>
    </row>
    <row r="1974" ht="15.75" customHeight="1">
      <c r="A1974" s="25" t="str">
        <f>IFERROR(__xludf.DUMMYFUNCTION("IF(B1974="""","""",RIGHT(REGEXREPLACE(B1974&amp;"""",""[^0-9]"",""""),9))"),"781041783")</f>
        <v>781041783</v>
      </c>
      <c r="B1974" s="52">
        <v>7.81041783E8</v>
      </c>
      <c r="C1974" s="28" t="s">
        <v>2182</v>
      </c>
      <c r="D1974" s="26" t="s">
        <v>45</v>
      </c>
      <c r="E1974" s="31">
        <v>46229.0</v>
      </c>
      <c r="F1974" s="26" t="s">
        <v>46</v>
      </c>
      <c r="G1974" s="26">
        <v>10.0</v>
      </c>
      <c r="I1974" s="26" t="s">
        <v>42</v>
      </c>
      <c r="J1974" s="25" t="str">
        <f t="shared" si="34"/>
        <v>No</v>
      </c>
      <c r="K1974" s="25" t="str">
        <f t="shared" si="35"/>
        <v/>
      </c>
      <c r="L1974" s="25" t="str">
        <f t="shared" si="36"/>
        <v/>
      </c>
      <c r="M1974" s="25"/>
      <c r="O1974" s="25"/>
    </row>
    <row r="1975" ht="15.75" customHeight="1">
      <c r="A1975" s="25" t="str">
        <f>IFERROR(__xludf.DUMMYFUNCTION("IF(B1975="""","""",RIGHT(REGEXREPLACE(B1975&amp;"""",""[^0-9]"",""""),9))"),"761278116")</f>
        <v>761278116</v>
      </c>
      <c r="B1975" s="52">
        <v>7.61278116E8</v>
      </c>
      <c r="C1975" s="28" t="s">
        <v>2183</v>
      </c>
      <c r="D1975" s="26" t="s">
        <v>64</v>
      </c>
      <c r="E1975" s="31">
        <v>46229.0</v>
      </c>
      <c r="F1975" s="26" t="s">
        <v>41</v>
      </c>
      <c r="G1975" s="26">
        <v>11.0</v>
      </c>
      <c r="I1975" s="26" t="s">
        <v>42</v>
      </c>
      <c r="J1975" s="25" t="str">
        <f t="shared" si="34"/>
        <v>No</v>
      </c>
      <c r="K1975" s="25" t="str">
        <f t="shared" si="35"/>
        <v/>
      </c>
      <c r="L1975" s="25" t="str">
        <f t="shared" si="36"/>
        <v/>
      </c>
      <c r="M1975" s="25"/>
      <c r="O1975" s="25"/>
    </row>
    <row r="1976" ht="15.75" customHeight="1">
      <c r="A1976" s="25" t="str">
        <f>IFERROR(__xludf.DUMMYFUNCTION("IF(B1976="""","""",RIGHT(REGEXREPLACE(B1976&amp;"""",""[^0-9]"",""""),9))"),"754508784")</f>
        <v>754508784</v>
      </c>
      <c r="B1976" s="26">
        <v>7.54508784E8</v>
      </c>
      <c r="C1976" s="28" t="s">
        <v>2181</v>
      </c>
      <c r="D1976" s="26" t="s">
        <v>37</v>
      </c>
      <c r="E1976" s="31">
        <v>46229.0</v>
      </c>
      <c r="F1976" s="26" t="s">
        <v>41</v>
      </c>
      <c r="I1976" s="26" t="s">
        <v>42</v>
      </c>
      <c r="J1976" s="25" t="str">
        <f t="shared" si="34"/>
        <v>No</v>
      </c>
      <c r="K1976" s="25" t="str">
        <f t="shared" si="35"/>
        <v/>
      </c>
      <c r="L1976" s="25" t="str">
        <f t="shared" si="36"/>
        <v/>
      </c>
      <c r="M1976" s="25"/>
      <c r="O1976" s="25"/>
    </row>
    <row r="1977" ht="15.75" customHeight="1">
      <c r="A1977" s="25" t="str">
        <f>IFERROR(__xludf.DUMMYFUNCTION("IF(B1977="""","""",RIGHT(REGEXREPLACE(B1977&amp;"""",""[^0-9]"",""""),9))"),"756421973")</f>
        <v>756421973</v>
      </c>
      <c r="B1977" s="52">
        <v>7.56421973E8</v>
      </c>
      <c r="C1977" s="28" t="s">
        <v>2184</v>
      </c>
      <c r="D1977" s="26" t="s">
        <v>56</v>
      </c>
      <c r="E1977" s="31">
        <v>46229.0</v>
      </c>
      <c r="F1977" s="26" t="s">
        <v>41</v>
      </c>
      <c r="G1977" s="26">
        <v>11.0</v>
      </c>
      <c r="I1977" s="26" t="s">
        <v>42</v>
      </c>
      <c r="J1977" s="25" t="str">
        <f t="shared" si="34"/>
        <v>No</v>
      </c>
      <c r="K1977" s="25" t="str">
        <f t="shared" si="35"/>
        <v/>
      </c>
      <c r="L1977" s="25" t="str">
        <f t="shared" si="36"/>
        <v/>
      </c>
      <c r="M1977" s="25"/>
      <c r="O1977" s="25"/>
    </row>
    <row r="1978" ht="15.75" customHeight="1">
      <c r="A1978" s="25" t="str">
        <f>IFERROR(__xludf.DUMMYFUNCTION("IF(B1978="""","""",RIGHT(REGEXREPLACE(B1978&amp;"""",""[^0-9]"",""""),9))"),"771104303")</f>
        <v>771104303</v>
      </c>
      <c r="B1978" s="52">
        <v>7.71104303E8</v>
      </c>
      <c r="C1978" s="28" t="s">
        <v>2185</v>
      </c>
      <c r="D1978" s="26" t="s">
        <v>49</v>
      </c>
      <c r="E1978" s="31">
        <v>46229.0</v>
      </c>
      <c r="F1978" s="26" t="s">
        <v>46</v>
      </c>
      <c r="G1978" s="26">
        <v>11.0</v>
      </c>
      <c r="I1978" s="26" t="s">
        <v>42</v>
      </c>
      <c r="J1978" s="25" t="str">
        <f t="shared" si="34"/>
        <v>No</v>
      </c>
      <c r="K1978" s="25" t="str">
        <f t="shared" si="35"/>
        <v/>
      </c>
      <c r="L1978" s="25" t="str">
        <f t="shared" si="36"/>
        <v/>
      </c>
      <c r="M1978" s="25"/>
      <c r="O1978" s="25"/>
    </row>
    <row r="1979" ht="15.75" customHeight="1">
      <c r="A1979" s="25" t="str">
        <f>IFERROR(__xludf.DUMMYFUNCTION("IF(B1979="""","""",RIGHT(REGEXREPLACE(B1979&amp;"""",""[^0-9]"",""""),9))"),"771992916")</f>
        <v>771992916</v>
      </c>
      <c r="B1979" s="26">
        <v>7.71992916E8</v>
      </c>
      <c r="C1979" s="28" t="s">
        <v>2186</v>
      </c>
      <c r="D1979" s="26" t="s">
        <v>37</v>
      </c>
      <c r="E1979" s="31">
        <v>46229.0</v>
      </c>
      <c r="F1979" s="26" t="s">
        <v>41</v>
      </c>
      <c r="I1979" s="26" t="s">
        <v>42</v>
      </c>
      <c r="J1979" s="25" t="str">
        <f t="shared" si="34"/>
        <v>No</v>
      </c>
      <c r="K1979" s="25" t="str">
        <f t="shared" si="35"/>
        <v/>
      </c>
      <c r="L1979" s="25" t="str">
        <f t="shared" si="36"/>
        <v/>
      </c>
      <c r="M1979" s="25"/>
      <c r="O1979" s="25"/>
    </row>
    <row r="1980" ht="15.75" customHeight="1">
      <c r="A1980" s="25" t="str">
        <f>IFERROR(__xludf.DUMMYFUNCTION("IF(B1980="""","""",RIGHT(REGEXREPLACE(B1980&amp;"""",""[^0-9]"",""""),9))"),"776168412")</f>
        <v>776168412</v>
      </c>
      <c r="B1980" s="52">
        <v>7.76168412E8</v>
      </c>
      <c r="C1980" s="28" t="s">
        <v>2187</v>
      </c>
      <c r="D1980" s="26" t="s">
        <v>45</v>
      </c>
      <c r="E1980" s="31">
        <v>46229.0</v>
      </c>
      <c r="F1980" s="26" t="s">
        <v>41</v>
      </c>
      <c r="G1980" s="26">
        <v>11.0</v>
      </c>
      <c r="I1980" s="26" t="s">
        <v>42</v>
      </c>
      <c r="J1980" s="25" t="str">
        <f t="shared" si="34"/>
        <v>No</v>
      </c>
      <c r="K1980" s="25" t="str">
        <f t="shared" si="35"/>
        <v/>
      </c>
      <c r="L1980" s="25" t="str">
        <f t="shared" si="36"/>
        <v/>
      </c>
      <c r="M1980" s="25"/>
      <c r="O1980" s="25"/>
    </row>
    <row r="1981" ht="15.75" customHeight="1">
      <c r="A1981" s="25" t="str">
        <f>IFERROR(__xludf.DUMMYFUNCTION("IF(B1981="""","""",RIGHT(REGEXREPLACE(B1981&amp;"""",""[^0-9]"",""""),9))"),"754516221")</f>
        <v>754516221</v>
      </c>
      <c r="B1981" s="52">
        <v>7.54516221E8</v>
      </c>
      <c r="C1981" s="28" t="s">
        <v>2188</v>
      </c>
      <c r="D1981" s="26" t="s">
        <v>56</v>
      </c>
      <c r="E1981" s="31">
        <v>46229.0</v>
      </c>
      <c r="F1981" s="26" t="s">
        <v>46</v>
      </c>
      <c r="G1981" s="26">
        <v>10.0</v>
      </c>
      <c r="I1981" s="26" t="s">
        <v>42</v>
      </c>
      <c r="J1981" s="25" t="str">
        <f t="shared" si="34"/>
        <v>No</v>
      </c>
      <c r="K1981" s="25" t="str">
        <f t="shared" si="35"/>
        <v/>
      </c>
      <c r="L1981" s="25" t="str">
        <f t="shared" si="36"/>
        <v/>
      </c>
      <c r="M1981" s="25"/>
      <c r="O1981" s="25"/>
    </row>
    <row r="1982" ht="15.75" customHeight="1">
      <c r="A1982" s="25" t="str">
        <f>IFERROR(__xludf.DUMMYFUNCTION("IF(B1982="""","""",RIGHT(REGEXREPLACE(B1982&amp;"""",""[^0-9]"",""""),9))"),"706499000")</f>
        <v>706499000</v>
      </c>
      <c r="B1982" s="52">
        <v>7.06499E8</v>
      </c>
      <c r="C1982" s="28" t="s">
        <v>2189</v>
      </c>
      <c r="D1982" s="26" t="s">
        <v>49</v>
      </c>
      <c r="E1982" s="31">
        <v>46229.0</v>
      </c>
      <c r="F1982" s="26" t="s">
        <v>46</v>
      </c>
      <c r="G1982" s="26">
        <v>11.0</v>
      </c>
      <c r="H1982" s="26" t="s">
        <v>253</v>
      </c>
      <c r="I1982" s="26" t="s">
        <v>42</v>
      </c>
      <c r="J1982" s="25" t="str">
        <f t="shared" si="34"/>
        <v>No</v>
      </c>
      <c r="K1982" s="25" t="str">
        <f t="shared" si="35"/>
        <v/>
      </c>
      <c r="L1982" s="25" t="str">
        <f t="shared" si="36"/>
        <v/>
      </c>
      <c r="M1982" s="25"/>
      <c r="O1982" s="25"/>
    </row>
    <row r="1983" ht="15.75" customHeight="1">
      <c r="A1983" s="25" t="str">
        <f>IFERROR(__xludf.DUMMYFUNCTION("IF(B1983="""","""",RIGHT(REGEXREPLACE(B1983&amp;"""",""[^0-9]"",""""),9))"),"774238420")</f>
        <v>774238420</v>
      </c>
      <c r="B1983" s="52">
        <v>7.7423842E8</v>
      </c>
      <c r="C1983" s="28" t="s">
        <v>2190</v>
      </c>
      <c r="D1983" s="26" t="s">
        <v>45</v>
      </c>
      <c r="E1983" s="31">
        <v>46229.0</v>
      </c>
      <c r="F1983" s="26" t="s">
        <v>46</v>
      </c>
      <c r="G1983" s="26">
        <v>10.0</v>
      </c>
      <c r="I1983" s="26" t="s">
        <v>42</v>
      </c>
      <c r="J1983" s="25" t="str">
        <f t="shared" si="34"/>
        <v>No</v>
      </c>
      <c r="K1983" s="25" t="str">
        <f t="shared" si="35"/>
        <v/>
      </c>
      <c r="L1983" s="25" t="str">
        <f t="shared" si="36"/>
        <v/>
      </c>
      <c r="M1983" s="25"/>
      <c r="O1983" s="25"/>
    </row>
    <row r="1984" ht="15.75" customHeight="1">
      <c r="A1984" s="25" t="str">
        <f>IFERROR(__xludf.DUMMYFUNCTION("IF(B1984="""","""",RIGHT(REGEXREPLACE(B1984&amp;"""",""[^0-9]"",""""),9))"),"701393599")</f>
        <v>701393599</v>
      </c>
      <c r="B1984" s="52">
        <v>7.01393599E8</v>
      </c>
      <c r="C1984" s="28" t="s">
        <v>2191</v>
      </c>
      <c r="D1984" s="26" t="s">
        <v>64</v>
      </c>
      <c r="E1984" s="31">
        <v>46229.0</v>
      </c>
      <c r="F1984" s="26" t="s">
        <v>46</v>
      </c>
      <c r="G1984" s="26">
        <v>9.0</v>
      </c>
      <c r="I1984" s="26" t="s">
        <v>42</v>
      </c>
      <c r="J1984" s="25" t="str">
        <f t="shared" si="34"/>
        <v>No</v>
      </c>
      <c r="K1984" s="25" t="str">
        <f t="shared" si="35"/>
        <v/>
      </c>
      <c r="L1984" s="25" t="str">
        <f t="shared" si="36"/>
        <v/>
      </c>
      <c r="M1984" s="25"/>
      <c r="O1984" s="25"/>
    </row>
    <row r="1985" ht="15.75" customHeight="1">
      <c r="A1985" s="25" t="str">
        <f>IFERROR(__xludf.DUMMYFUNCTION("IF(B1985="""","""",RIGHT(REGEXREPLACE(B1985&amp;"""",""[^0-9]"",""""),9))"),"764031063")</f>
        <v>764031063</v>
      </c>
      <c r="B1985" s="52">
        <v>7.64031063E8</v>
      </c>
      <c r="C1985" s="28" t="s">
        <v>2192</v>
      </c>
      <c r="D1985" s="26" t="s">
        <v>45</v>
      </c>
      <c r="E1985" s="31">
        <v>46229.0</v>
      </c>
      <c r="F1985" s="26" t="s">
        <v>46</v>
      </c>
      <c r="G1985" s="26">
        <v>11.0</v>
      </c>
      <c r="I1985" s="26" t="s">
        <v>42</v>
      </c>
      <c r="J1985" s="25" t="str">
        <f t="shared" si="34"/>
        <v>No</v>
      </c>
      <c r="K1985" s="25" t="str">
        <f t="shared" si="35"/>
        <v/>
      </c>
      <c r="L1985" s="25" t="str">
        <f t="shared" si="36"/>
        <v/>
      </c>
      <c r="M1985" s="25"/>
      <c r="O1985" s="25"/>
    </row>
    <row r="1986" ht="15.75" customHeight="1">
      <c r="A1986" s="25" t="str">
        <f>IFERROR(__xludf.DUMMYFUNCTION("IF(B1986="""","""",RIGHT(REGEXREPLACE(B1986&amp;"""",""[^0-9]"",""""),9))"),"770134283")</f>
        <v>770134283</v>
      </c>
      <c r="B1986" s="52">
        <v>7.70134283E8</v>
      </c>
      <c r="C1986" s="28" t="s">
        <v>2193</v>
      </c>
      <c r="D1986" s="26" t="s">
        <v>49</v>
      </c>
      <c r="E1986" s="31">
        <v>46229.0</v>
      </c>
      <c r="F1986" s="26" t="s">
        <v>46</v>
      </c>
      <c r="G1986" s="26">
        <v>11.0</v>
      </c>
      <c r="I1986" s="26" t="s">
        <v>42</v>
      </c>
      <c r="J1986" s="25" t="str">
        <f t="shared" si="34"/>
        <v>No</v>
      </c>
      <c r="K1986" s="25" t="str">
        <f t="shared" si="35"/>
        <v/>
      </c>
      <c r="L1986" s="25" t="str">
        <f t="shared" si="36"/>
        <v/>
      </c>
      <c r="M1986" s="25"/>
      <c r="O1986" s="25"/>
    </row>
    <row r="1987" ht="15.75" customHeight="1">
      <c r="A1987" s="25" t="str">
        <f>IFERROR(__xludf.DUMMYFUNCTION("IF(B1987="""","""",RIGHT(REGEXREPLACE(B1987&amp;"""",""[^0-9]"",""""),9))"),"765791795")</f>
        <v>765791795</v>
      </c>
      <c r="B1987" s="52">
        <v>7.65791795E8</v>
      </c>
      <c r="C1987" s="28" t="s">
        <v>2194</v>
      </c>
      <c r="D1987" s="26" t="s">
        <v>56</v>
      </c>
      <c r="E1987" s="31">
        <v>46229.0</v>
      </c>
      <c r="F1987" s="26" t="s">
        <v>41</v>
      </c>
      <c r="G1987" s="26">
        <v>11.0</v>
      </c>
      <c r="I1987" s="26" t="s">
        <v>42</v>
      </c>
      <c r="J1987" s="25" t="str">
        <f t="shared" si="34"/>
        <v>No</v>
      </c>
      <c r="K1987" s="25" t="str">
        <f t="shared" si="35"/>
        <v/>
      </c>
      <c r="L1987" s="25" t="str">
        <f t="shared" si="36"/>
        <v/>
      </c>
      <c r="M1987" s="25"/>
      <c r="O1987" s="25"/>
    </row>
    <row r="1988" ht="15.75" customHeight="1">
      <c r="A1988" s="25" t="str">
        <f>IFERROR(__xludf.DUMMYFUNCTION("IF(B1988="""","""",RIGHT(REGEXREPLACE(B1988&amp;"""",""[^0-9]"",""""),9))"),"705891406")</f>
        <v>705891406</v>
      </c>
      <c r="B1988" s="52">
        <v>7.05891406E8</v>
      </c>
      <c r="C1988" s="28" t="s">
        <v>2195</v>
      </c>
      <c r="D1988" s="26" t="s">
        <v>45</v>
      </c>
      <c r="E1988" s="31">
        <v>46229.0</v>
      </c>
      <c r="F1988" s="26" t="s">
        <v>46</v>
      </c>
      <c r="G1988" s="26">
        <v>11.0</v>
      </c>
      <c r="I1988" s="26" t="s">
        <v>42</v>
      </c>
      <c r="J1988" s="25" t="str">
        <f t="shared" si="34"/>
        <v>No</v>
      </c>
      <c r="K1988" s="25" t="str">
        <f t="shared" si="35"/>
        <v/>
      </c>
      <c r="L1988" s="25" t="str">
        <f t="shared" si="36"/>
        <v/>
      </c>
      <c r="M1988" s="25"/>
      <c r="O1988" s="25"/>
    </row>
    <row r="1989" ht="15.75" customHeight="1">
      <c r="A1989" s="25" t="str">
        <f>IFERROR(__xludf.DUMMYFUNCTION("IF(B1989="""","""",RIGHT(REGEXREPLACE(B1989&amp;"""",""[^0-9]"",""""),9))"),"712023823")</f>
        <v>712023823</v>
      </c>
      <c r="B1989" s="52">
        <v>7.12023823E8</v>
      </c>
      <c r="C1989" s="28" t="s">
        <v>2196</v>
      </c>
      <c r="D1989" s="26" t="s">
        <v>49</v>
      </c>
      <c r="E1989" s="31">
        <v>46229.0</v>
      </c>
      <c r="F1989" s="26" t="s">
        <v>41</v>
      </c>
      <c r="G1989" s="26">
        <v>11.0</v>
      </c>
      <c r="I1989" s="26" t="s">
        <v>42</v>
      </c>
      <c r="J1989" s="25" t="str">
        <f t="shared" si="34"/>
        <v>No</v>
      </c>
      <c r="K1989" s="25" t="str">
        <f t="shared" si="35"/>
        <v/>
      </c>
      <c r="L1989" s="25" t="str">
        <f t="shared" si="36"/>
        <v/>
      </c>
      <c r="M1989" s="25"/>
      <c r="O1989" s="25"/>
    </row>
    <row r="1990" ht="15.75" customHeight="1">
      <c r="A1990" s="25" t="str">
        <f>IFERROR(__xludf.DUMMYFUNCTION("IF(B1990="""","""",RIGHT(REGEXREPLACE(B1990&amp;"""",""[^0-9]"",""""),9))"),"703717670")</f>
        <v>703717670</v>
      </c>
      <c r="B1990" s="52">
        <v>7.0371767E8</v>
      </c>
      <c r="C1990" s="28" t="s">
        <v>2197</v>
      </c>
      <c r="D1990" s="26" t="s">
        <v>64</v>
      </c>
      <c r="E1990" s="31">
        <v>46229.0</v>
      </c>
      <c r="F1990" s="26" t="s">
        <v>41</v>
      </c>
      <c r="I1990" s="26" t="s">
        <v>42</v>
      </c>
      <c r="J1990" s="25" t="str">
        <f t="shared" si="34"/>
        <v>No</v>
      </c>
      <c r="K1990" s="25" t="str">
        <f t="shared" si="35"/>
        <v/>
      </c>
      <c r="L1990" s="25" t="str">
        <f t="shared" si="36"/>
        <v/>
      </c>
      <c r="M1990" s="25"/>
      <c r="O1990" s="25"/>
    </row>
    <row r="1991" ht="15.75" customHeight="1">
      <c r="A1991" s="25" t="str">
        <f>IFERROR(__xludf.DUMMYFUNCTION("IF(B1991="""","""",RIGHT(REGEXREPLACE(B1991&amp;"""",""[^0-9]"",""""),9))"),"771623832")</f>
        <v>771623832</v>
      </c>
      <c r="B1991" s="26">
        <v>7.71623832E8</v>
      </c>
      <c r="C1991" s="28" t="s">
        <v>2198</v>
      </c>
      <c r="D1991" s="26" t="s">
        <v>37</v>
      </c>
      <c r="E1991" s="31">
        <v>46229.0</v>
      </c>
      <c r="F1991" s="26" t="s">
        <v>41</v>
      </c>
      <c r="I1991" s="26" t="s">
        <v>42</v>
      </c>
      <c r="J1991" s="25" t="str">
        <f t="shared" si="34"/>
        <v>No</v>
      </c>
      <c r="K1991" s="25" t="str">
        <f t="shared" si="35"/>
        <v/>
      </c>
      <c r="L1991" s="25" t="str">
        <f t="shared" si="36"/>
        <v/>
      </c>
      <c r="M1991" s="25"/>
      <c r="O1991" s="25"/>
    </row>
    <row r="1992" ht="15.75" customHeight="1">
      <c r="A1992" s="25" t="str">
        <f>IFERROR(__xludf.DUMMYFUNCTION("IF(B1992="""","""",RIGHT(REGEXREPLACE(B1992&amp;"""",""[^0-9]"",""""),9))"),"717896243")</f>
        <v>717896243</v>
      </c>
      <c r="B1992" s="52">
        <v>7.17896243E8</v>
      </c>
      <c r="C1992" s="28" t="s">
        <v>2199</v>
      </c>
      <c r="D1992" s="26" t="s">
        <v>45</v>
      </c>
      <c r="E1992" s="31">
        <v>46229.0</v>
      </c>
      <c r="F1992" s="26" t="s">
        <v>164</v>
      </c>
      <c r="I1992" s="26" t="s">
        <v>42</v>
      </c>
      <c r="J1992" s="25" t="str">
        <f t="shared" si="34"/>
        <v>No</v>
      </c>
      <c r="K1992" s="25" t="str">
        <f t="shared" si="35"/>
        <v/>
      </c>
      <c r="L1992" s="25" t="str">
        <f t="shared" si="36"/>
        <v/>
      </c>
      <c r="M1992" s="25"/>
      <c r="O1992" s="25"/>
    </row>
    <row r="1993" ht="15.75" customHeight="1">
      <c r="A1993" s="25" t="str">
        <f>IFERROR(__xludf.DUMMYFUNCTION("IF(B1993="""","""",RIGHT(REGEXREPLACE(B1993&amp;"""",""[^0-9]"",""""),9))"),"718909920")</f>
        <v>718909920</v>
      </c>
      <c r="B1993" s="26">
        <v>7.1890992E8</v>
      </c>
      <c r="C1993" s="28" t="s">
        <v>2200</v>
      </c>
      <c r="D1993" s="26" t="s">
        <v>37</v>
      </c>
      <c r="E1993" s="31">
        <v>46229.0</v>
      </c>
      <c r="F1993" s="26" t="s">
        <v>205</v>
      </c>
      <c r="G1993" s="26">
        <v>11.0</v>
      </c>
      <c r="I1993" s="26" t="s">
        <v>42</v>
      </c>
      <c r="J1993" s="25" t="str">
        <f t="shared" si="34"/>
        <v>No</v>
      </c>
      <c r="K1993" s="25" t="str">
        <f t="shared" si="35"/>
        <v/>
      </c>
      <c r="L1993" s="25" t="str">
        <f t="shared" si="36"/>
        <v/>
      </c>
      <c r="M1993" s="25"/>
      <c r="O1993" s="25"/>
    </row>
    <row r="1994" ht="15.75" customHeight="1">
      <c r="A1994" s="25" t="str">
        <f>IFERROR(__xludf.DUMMYFUNCTION("IF(B1994="""","""",RIGHT(REGEXREPLACE(B1994&amp;"""",""[^0-9]"",""""),9))"),"760281680")</f>
        <v>760281680</v>
      </c>
      <c r="B1994" s="52">
        <v>7.6028168E8</v>
      </c>
      <c r="C1994" s="28" t="s">
        <v>1566</v>
      </c>
      <c r="D1994" s="26" t="s">
        <v>56</v>
      </c>
      <c r="E1994" s="31">
        <v>46229.0</v>
      </c>
      <c r="F1994" s="26" t="s">
        <v>46</v>
      </c>
      <c r="G1994" s="26">
        <v>11.0</v>
      </c>
      <c r="I1994" s="26" t="s">
        <v>42</v>
      </c>
      <c r="J1994" s="25" t="str">
        <f t="shared" si="34"/>
        <v>No</v>
      </c>
      <c r="K1994" s="25" t="str">
        <f t="shared" si="35"/>
        <v/>
      </c>
      <c r="L1994" s="25" t="str">
        <f t="shared" si="36"/>
        <v/>
      </c>
      <c r="M1994" s="25"/>
      <c r="O1994" s="25"/>
    </row>
    <row r="1995" ht="15.75" customHeight="1">
      <c r="A1995" s="25" t="str">
        <f>IFERROR(__xludf.DUMMYFUNCTION("IF(B1995="""","""",RIGHT(REGEXREPLACE(B1995&amp;"""",""[^0-9]"",""""),9))"),"712619994")</f>
        <v>712619994</v>
      </c>
      <c r="B1995" s="26">
        <v>7.12619994E8</v>
      </c>
      <c r="C1995" s="28" t="s">
        <v>2201</v>
      </c>
      <c r="D1995" s="26" t="s">
        <v>37</v>
      </c>
      <c r="E1995" s="31">
        <v>46229.0</v>
      </c>
      <c r="F1995" s="26" t="s">
        <v>41</v>
      </c>
      <c r="G1995" s="26">
        <v>11.0</v>
      </c>
      <c r="I1995" s="26" t="s">
        <v>42</v>
      </c>
      <c r="J1995" s="25" t="str">
        <f t="shared" si="34"/>
        <v>No</v>
      </c>
      <c r="K1995" s="25" t="str">
        <f t="shared" si="35"/>
        <v/>
      </c>
      <c r="L1995" s="25" t="str">
        <f t="shared" si="36"/>
        <v/>
      </c>
      <c r="M1995" s="25"/>
      <c r="O1995" s="25"/>
    </row>
    <row r="1996" ht="15.75" customHeight="1">
      <c r="A1996" s="25" t="str">
        <f>IFERROR(__xludf.DUMMYFUNCTION("IF(B1996="""","""",RIGHT(REGEXREPLACE(B1996&amp;"""",""[^0-9]"",""""),9))"),"762618391")</f>
        <v>762618391</v>
      </c>
      <c r="B1996" s="52">
        <v>7.62618391E8</v>
      </c>
      <c r="C1996" s="28" t="s">
        <v>2202</v>
      </c>
      <c r="D1996" s="26" t="s">
        <v>45</v>
      </c>
      <c r="E1996" s="31">
        <v>46229.0</v>
      </c>
      <c r="F1996" s="26" t="s">
        <v>46</v>
      </c>
      <c r="G1996" s="26">
        <v>11.0</v>
      </c>
      <c r="I1996" s="26" t="s">
        <v>42</v>
      </c>
      <c r="J1996" s="25" t="str">
        <f t="shared" si="34"/>
        <v>No</v>
      </c>
      <c r="K1996" s="25" t="str">
        <f t="shared" si="35"/>
        <v/>
      </c>
      <c r="L1996" s="25" t="str">
        <f t="shared" si="36"/>
        <v/>
      </c>
      <c r="M1996" s="25"/>
      <c r="O1996" s="25"/>
    </row>
    <row r="1997" ht="15.75" customHeight="1">
      <c r="A1997" s="25" t="str">
        <f>IFERROR(__xludf.DUMMYFUNCTION("IF(B1997="""","""",RIGHT(REGEXREPLACE(B1997&amp;"""",""[^0-9]"",""""),9))"),"714476832")</f>
        <v>714476832</v>
      </c>
      <c r="B1997" s="52">
        <v>7.14476832E8</v>
      </c>
      <c r="C1997" s="28" t="s">
        <v>2203</v>
      </c>
      <c r="D1997" s="26" t="s">
        <v>64</v>
      </c>
      <c r="E1997" s="31">
        <v>46229.0</v>
      </c>
      <c r="F1997" s="26" t="s">
        <v>704</v>
      </c>
      <c r="I1997" s="26" t="s">
        <v>42</v>
      </c>
      <c r="J1997" s="25" t="str">
        <f t="shared" si="34"/>
        <v>No</v>
      </c>
      <c r="K1997" s="25" t="str">
        <f t="shared" si="35"/>
        <v/>
      </c>
      <c r="L1997" s="25" t="str">
        <f t="shared" si="36"/>
        <v/>
      </c>
      <c r="M1997" s="25"/>
      <c r="O1997" s="25"/>
    </row>
    <row r="1998" ht="15.75" customHeight="1">
      <c r="A1998" s="25" t="str">
        <f>IFERROR(__xludf.DUMMYFUNCTION("IF(B1998="""","""",RIGHT(REGEXREPLACE(B1998&amp;"""",""[^0-9]"",""""),9))"),"771931524")</f>
        <v>771931524</v>
      </c>
      <c r="B1998" s="52">
        <v>7.71931524E8</v>
      </c>
      <c r="C1998" s="28" t="s">
        <v>2204</v>
      </c>
      <c r="D1998" s="26" t="s">
        <v>49</v>
      </c>
      <c r="E1998" s="31">
        <v>46229.0</v>
      </c>
      <c r="F1998" s="26" t="s">
        <v>46</v>
      </c>
      <c r="G1998" s="26">
        <v>8.0</v>
      </c>
      <c r="I1998" s="26" t="s">
        <v>42</v>
      </c>
      <c r="J1998" s="25" t="str">
        <f t="shared" si="34"/>
        <v>No</v>
      </c>
      <c r="K1998" s="25" t="str">
        <f t="shared" si="35"/>
        <v/>
      </c>
      <c r="L1998" s="25" t="str">
        <f t="shared" si="36"/>
        <v/>
      </c>
      <c r="M1998" s="25"/>
      <c r="O1998" s="25"/>
    </row>
    <row r="1999" ht="15.75" customHeight="1">
      <c r="A1999" s="25" t="str">
        <f>IFERROR(__xludf.DUMMYFUNCTION("IF(B1999="""","""",RIGHT(REGEXREPLACE(B1999&amp;"""",""[^0-9]"",""""),9))"),"760382455")</f>
        <v>760382455</v>
      </c>
      <c r="B1999" s="52">
        <v>7.60382455E8</v>
      </c>
      <c r="C1999" s="28" t="s">
        <v>2202</v>
      </c>
      <c r="D1999" s="26" t="s">
        <v>45</v>
      </c>
      <c r="E1999" s="31">
        <v>46229.0</v>
      </c>
      <c r="F1999" s="26" t="s">
        <v>41</v>
      </c>
      <c r="G1999" s="26">
        <v>11.0</v>
      </c>
      <c r="I1999" s="26" t="s">
        <v>42</v>
      </c>
      <c r="J1999" s="25" t="str">
        <f t="shared" si="34"/>
        <v>No</v>
      </c>
      <c r="K1999" s="25" t="str">
        <f t="shared" si="35"/>
        <v/>
      </c>
      <c r="L1999" s="25" t="str">
        <f t="shared" si="36"/>
        <v/>
      </c>
      <c r="M1999" s="25"/>
      <c r="O1999" s="25"/>
    </row>
    <row r="2000" ht="15.75" customHeight="1">
      <c r="A2000" s="25" t="str">
        <f>IFERROR(__xludf.DUMMYFUNCTION("IF(B2000="""","""",RIGHT(REGEXREPLACE(B2000&amp;"""",""[^0-9]"",""""),9))"),"768759125")</f>
        <v>768759125</v>
      </c>
      <c r="B2000" s="52">
        <v>7.68759125E8</v>
      </c>
      <c r="C2000" s="28" t="s">
        <v>2205</v>
      </c>
      <c r="D2000" s="26" t="s">
        <v>64</v>
      </c>
      <c r="E2000" s="31">
        <v>46229.0</v>
      </c>
      <c r="F2000" s="26" t="s">
        <v>205</v>
      </c>
      <c r="I2000" s="26" t="s">
        <v>42</v>
      </c>
      <c r="J2000" s="25" t="str">
        <f t="shared" si="34"/>
        <v>No</v>
      </c>
      <c r="K2000" s="25" t="str">
        <f t="shared" si="35"/>
        <v/>
      </c>
      <c r="L2000" s="25" t="str">
        <f t="shared" si="36"/>
        <v/>
      </c>
      <c r="M2000" s="25"/>
      <c r="O2000" s="25"/>
    </row>
    <row r="2001" ht="15.75" customHeight="1">
      <c r="A2001" s="25" t="str">
        <f>IFERROR(__xludf.DUMMYFUNCTION("IF(B2001="""","""",RIGHT(REGEXREPLACE(B2001&amp;"""",""[^0-9]"",""""),9))"),"742970898")</f>
        <v>742970898</v>
      </c>
      <c r="B2001" s="52">
        <v>7.42970898E8</v>
      </c>
      <c r="C2001" s="28" t="s">
        <v>2206</v>
      </c>
      <c r="D2001" s="26" t="s">
        <v>49</v>
      </c>
      <c r="E2001" s="31">
        <v>46229.0</v>
      </c>
      <c r="F2001" s="26" t="s">
        <v>46</v>
      </c>
      <c r="G2001" s="26">
        <v>11.0</v>
      </c>
      <c r="H2001" s="26" t="s">
        <v>253</v>
      </c>
      <c r="I2001" s="26" t="s">
        <v>42</v>
      </c>
      <c r="J2001" s="25" t="str">
        <f t="shared" si="34"/>
        <v>No</v>
      </c>
      <c r="K2001" s="25" t="str">
        <f t="shared" si="35"/>
        <v/>
      </c>
      <c r="L2001" s="25" t="str">
        <f t="shared" si="36"/>
        <v/>
      </c>
      <c r="M2001" s="25"/>
      <c r="O2001" s="25"/>
    </row>
    <row r="2002" ht="15.75" customHeight="1">
      <c r="A2002" s="25" t="str">
        <f>IFERROR(__xludf.DUMMYFUNCTION("IF(B2002="""","""",RIGHT(REGEXREPLACE(B2002&amp;"""",""[^0-9]"",""""),9))"),"771757605")</f>
        <v>771757605</v>
      </c>
      <c r="B2002" s="52">
        <v>7.71757605E8</v>
      </c>
      <c r="C2002" s="28" t="s">
        <v>2207</v>
      </c>
      <c r="D2002" s="26" t="s">
        <v>64</v>
      </c>
      <c r="E2002" s="31">
        <v>46229.0</v>
      </c>
      <c r="F2002" s="26" t="s">
        <v>41</v>
      </c>
      <c r="G2002" s="26">
        <v>11.0</v>
      </c>
      <c r="I2002" s="26" t="s">
        <v>42</v>
      </c>
      <c r="J2002" s="25" t="str">
        <f t="shared" si="34"/>
        <v>No</v>
      </c>
      <c r="K2002" s="25" t="str">
        <f t="shared" si="35"/>
        <v/>
      </c>
      <c r="L2002" s="25" t="str">
        <f t="shared" si="36"/>
        <v/>
      </c>
      <c r="M2002" s="25"/>
      <c r="O2002" s="25"/>
    </row>
    <row r="2003" ht="15.75" customHeight="1">
      <c r="A2003" s="25" t="str">
        <f>IFERROR(__xludf.DUMMYFUNCTION("IF(B2003="""","""",RIGHT(REGEXREPLACE(B2003&amp;"""",""[^0-9]"",""""),9))"),"776887716")</f>
        <v>776887716</v>
      </c>
      <c r="B2003" s="52">
        <v>7.76887716E8</v>
      </c>
      <c r="C2003" s="28" t="s">
        <v>2208</v>
      </c>
      <c r="D2003" s="26" t="s">
        <v>45</v>
      </c>
      <c r="E2003" s="31">
        <v>46229.0</v>
      </c>
      <c r="F2003" s="26" t="s">
        <v>46</v>
      </c>
      <c r="G2003" s="26">
        <v>11.0</v>
      </c>
      <c r="I2003" s="26" t="s">
        <v>42</v>
      </c>
      <c r="J2003" s="25" t="str">
        <f t="shared" si="34"/>
        <v>No</v>
      </c>
      <c r="K2003" s="25" t="str">
        <f t="shared" si="35"/>
        <v/>
      </c>
      <c r="L2003" s="25" t="str">
        <f t="shared" si="36"/>
        <v/>
      </c>
      <c r="M2003" s="25"/>
      <c r="O2003" s="25"/>
    </row>
    <row r="2004" ht="15.75" customHeight="1">
      <c r="A2004" s="25" t="str">
        <f>IFERROR(__xludf.DUMMYFUNCTION("IF(B2004="""","""",RIGHT(REGEXREPLACE(B2004&amp;"""",""[^0-9]"",""""),9))"),"778323667")</f>
        <v>778323667</v>
      </c>
      <c r="B2004" s="26">
        <v>7.78323667E8</v>
      </c>
      <c r="C2004" s="28" t="s">
        <v>608</v>
      </c>
      <c r="D2004" s="26" t="s">
        <v>37</v>
      </c>
      <c r="E2004" s="31">
        <v>46229.0</v>
      </c>
      <c r="F2004" s="26" t="s">
        <v>46</v>
      </c>
      <c r="G2004" s="26">
        <v>11.0</v>
      </c>
      <c r="I2004" s="26" t="s">
        <v>42</v>
      </c>
      <c r="J2004" s="25" t="str">
        <f t="shared" si="34"/>
        <v>No</v>
      </c>
      <c r="K2004" s="25" t="str">
        <f t="shared" si="35"/>
        <v/>
      </c>
      <c r="L2004" s="25" t="str">
        <f t="shared" si="36"/>
        <v/>
      </c>
      <c r="M2004" s="25"/>
      <c r="O2004" s="25"/>
    </row>
    <row r="2005" ht="15.75" customHeight="1">
      <c r="A2005" s="25" t="str">
        <f>IFERROR(__xludf.DUMMYFUNCTION("IF(B2005="""","""",RIGHT(REGEXREPLACE(B2005&amp;"""",""[^0-9]"",""""),9))"),"718047342")</f>
        <v>718047342</v>
      </c>
      <c r="B2005" s="26">
        <v>7.18047342E8</v>
      </c>
      <c r="C2005" s="28" t="s">
        <v>2209</v>
      </c>
      <c r="D2005" s="26" t="s">
        <v>37</v>
      </c>
      <c r="E2005" s="31">
        <v>46229.0</v>
      </c>
      <c r="F2005" s="26" t="s">
        <v>41</v>
      </c>
      <c r="I2005" s="26" t="s">
        <v>42</v>
      </c>
      <c r="J2005" s="25" t="str">
        <f t="shared" si="34"/>
        <v>No</v>
      </c>
      <c r="K2005" s="25" t="str">
        <f t="shared" si="35"/>
        <v/>
      </c>
      <c r="L2005" s="25" t="str">
        <f t="shared" si="36"/>
        <v/>
      </c>
      <c r="M2005" s="25"/>
      <c r="O2005" s="25"/>
    </row>
    <row r="2006" ht="15.75" customHeight="1">
      <c r="A2006" s="25" t="str">
        <f>IFERROR(__xludf.DUMMYFUNCTION("IF(B2006="""","""",RIGHT(REGEXREPLACE(B2006&amp;"""",""[^0-9]"",""""),9))"),"717093536")</f>
        <v>717093536</v>
      </c>
      <c r="B2006" s="52">
        <v>7.17093536E8</v>
      </c>
      <c r="C2006" s="28" t="s">
        <v>2210</v>
      </c>
      <c r="D2006" s="26" t="s">
        <v>49</v>
      </c>
      <c r="E2006" s="31">
        <v>46229.0</v>
      </c>
      <c r="F2006" s="26" t="s">
        <v>46</v>
      </c>
      <c r="G2006" s="26">
        <v>11.0</v>
      </c>
      <c r="I2006" s="26" t="s">
        <v>42</v>
      </c>
      <c r="J2006" s="25" t="str">
        <f t="shared" si="34"/>
        <v>No</v>
      </c>
      <c r="K2006" s="25" t="str">
        <f t="shared" si="35"/>
        <v/>
      </c>
      <c r="L2006" s="25" t="str">
        <f t="shared" si="36"/>
        <v/>
      </c>
      <c r="M2006" s="25"/>
      <c r="O2006" s="25"/>
    </row>
    <row r="2007" ht="15.75" customHeight="1">
      <c r="A2007" s="25" t="str">
        <f>IFERROR(__xludf.DUMMYFUNCTION("IF(B2007="""","""",RIGHT(REGEXREPLACE(B2007&amp;"""",""[^0-9]"",""""),9))"),"760326679")</f>
        <v>760326679</v>
      </c>
      <c r="B2007" s="26">
        <v>7.60326679E8</v>
      </c>
      <c r="C2007" s="28" t="s">
        <v>2211</v>
      </c>
      <c r="D2007" s="26" t="s">
        <v>37</v>
      </c>
      <c r="E2007" s="31">
        <v>46229.0</v>
      </c>
      <c r="F2007" s="26" t="s">
        <v>46</v>
      </c>
      <c r="G2007" s="26">
        <v>11.0</v>
      </c>
      <c r="I2007" s="26" t="s">
        <v>42</v>
      </c>
      <c r="J2007" s="25" t="str">
        <f t="shared" si="34"/>
        <v>No</v>
      </c>
      <c r="K2007" s="25" t="str">
        <f t="shared" si="35"/>
        <v/>
      </c>
      <c r="L2007" s="25" t="str">
        <f t="shared" si="36"/>
        <v/>
      </c>
      <c r="M2007" s="25"/>
      <c r="O2007" s="25"/>
    </row>
    <row r="2008" ht="15.75" customHeight="1">
      <c r="A2008" s="25" t="str">
        <f>IFERROR(__xludf.DUMMYFUNCTION("IF(B2008="""","""",RIGHT(REGEXREPLACE(B2008&amp;"""",""[^0-9]"",""""),9))"),"706422021")</f>
        <v>706422021</v>
      </c>
      <c r="B2008" s="52">
        <v>7.06422021E8</v>
      </c>
      <c r="C2008" s="28" t="s">
        <v>2212</v>
      </c>
      <c r="D2008" s="26" t="s">
        <v>64</v>
      </c>
      <c r="E2008" s="31">
        <v>46229.0</v>
      </c>
      <c r="F2008" s="26" t="s">
        <v>46</v>
      </c>
      <c r="G2008" s="26">
        <v>11.0</v>
      </c>
      <c r="I2008" s="26" t="s">
        <v>42</v>
      </c>
      <c r="J2008" s="25" t="str">
        <f t="shared" si="34"/>
        <v>No</v>
      </c>
      <c r="K2008" s="25" t="str">
        <f t="shared" si="35"/>
        <v/>
      </c>
      <c r="L2008" s="25" t="str">
        <f t="shared" si="36"/>
        <v/>
      </c>
      <c r="M2008" s="25"/>
      <c r="O2008" s="25"/>
    </row>
    <row r="2009" ht="15.75" customHeight="1">
      <c r="A2009" s="25" t="str">
        <f>IFERROR(__xludf.DUMMYFUNCTION("IF(B2009="""","""",RIGHT(REGEXREPLACE(B2009&amp;"""",""[^0-9]"",""""),9))"),"760205189")</f>
        <v>760205189</v>
      </c>
      <c r="B2009" s="52">
        <v>7.60205189E8</v>
      </c>
      <c r="C2009" s="28" t="s">
        <v>2213</v>
      </c>
      <c r="D2009" s="26" t="s">
        <v>56</v>
      </c>
      <c r="E2009" s="31">
        <v>46229.0</v>
      </c>
      <c r="F2009" s="26" t="s">
        <v>41</v>
      </c>
      <c r="G2009" s="26">
        <v>11.0</v>
      </c>
      <c r="I2009" s="26" t="s">
        <v>42</v>
      </c>
      <c r="J2009" s="25" t="str">
        <f t="shared" si="34"/>
        <v>No</v>
      </c>
      <c r="K2009" s="25" t="str">
        <f t="shared" si="35"/>
        <v/>
      </c>
      <c r="L2009" s="25" t="str">
        <f t="shared" si="36"/>
        <v/>
      </c>
      <c r="M2009" s="25"/>
      <c r="O2009" s="25"/>
    </row>
    <row r="2010" ht="15.75" customHeight="1">
      <c r="A2010" s="25" t="str">
        <f>IFERROR(__xludf.DUMMYFUNCTION("IF(B2010="""","""",RIGHT(REGEXREPLACE(B2010&amp;"""",""[^0-9]"",""""),9))"),"760409319")</f>
        <v>760409319</v>
      </c>
      <c r="B2010" s="52">
        <v>7.60409319E8</v>
      </c>
      <c r="C2010" s="28" t="s">
        <v>2214</v>
      </c>
      <c r="D2010" s="26" t="s">
        <v>49</v>
      </c>
      <c r="E2010" s="31">
        <v>46229.0</v>
      </c>
      <c r="F2010" s="26" t="s">
        <v>41</v>
      </c>
      <c r="I2010" s="26" t="s">
        <v>42</v>
      </c>
      <c r="J2010" s="25" t="str">
        <f t="shared" si="34"/>
        <v>No</v>
      </c>
      <c r="K2010" s="25" t="str">
        <f t="shared" si="35"/>
        <v/>
      </c>
      <c r="L2010" s="25" t="str">
        <f t="shared" si="36"/>
        <v/>
      </c>
      <c r="M2010" s="25"/>
      <c r="O2010" s="25"/>
    </row>
    <row r="2011" ht="15.75" customHeight="1">
      <c r="A2011" s="25" t="str">
        <f>IFERROR(__xludf.DUMMYFUNCTION("IF(B2011="""","""",RIGHT(REGEXREPLACE(B2011&amp;"""",""[^0-9]"",""""),9))"),"707042945")</f>
        <v>707042945</v>
      </c>
      <c r="B2011" s="52">
        <v>7.07042945E8</v>
      </c>
      <c r="C2011" s="28" t="s">
        <v>2215</v>
      </c>
      <c r="D2011" s="26" t="s">
        <v>56</v>
      </c>
      <c r="E2011" s="31">
        <v>46229.0</v>
      </c>
      <c r="F2011" s="26" t="s">
        <v>631</v>
      </c>
      <c r="G2011" s="26">
        <v>10.0</v>
      </c>
      <c r="I2011" s="26" t="s">
        <v>42</v>
      </c>
      <c r="J2011" s="25" t="str">
        <f t="shared" si="34"/>
        <v>No</v>
      </c>
      <c r="K2011" s="25" t="str">
        <f t="shared" si="35"/>
        <v/>
      </c>
      <c r="L2011" s="25" t="str">
        <f t="shared" si="36"/>
        <v/>
      </c>
      <c r="M2011" s="25"/>
      <c r="O2011" s="25"/>
    </row>
    <row r="2012" ht="15.75" customHeight="1">
      <c r="A2012" s="25" t="str">
        <f>IFERROR(__xludf.DUMMYFUNCTION("IF(B2012="""","""",RIGHT(REGEXREPLACE(B2012&amp;"""",""[^0-9]"",""""),9))"),"753332445")</f>
        <v>753332445</v>
      </c>
      <c r="B2012" s="52">
        <v>7.53332445E8</v>
      </c>
      <c r="C2012" s="28" t="s">
        <v>2216</v>
      </c>
      <c r="D2012" s="26" t="s">
        <v>45</v>
      </c>
      <c r="E2012" s="31">
        <v>46229.0</v>
      </c>
      <c r="F2012" s="26" t="s">
        <v>84</v>
      </c>
      <c r="I2012" s="26" t="s">
        <v>42</v>
      </c>
      <c r="J2012" s="25" t="str">
        <f t="shared" si="34"/>
        <v>No</v>
      </c>
      <c r="K2012" s="25" t="str">
        <f t="shared" si="35"/>
        <v/>
      </c>
      <c r="L2012" s="25" t="str">
        <f t="shared" si="36"/>
        <v/>
      </c>
      <c r="M2012" s="25"/>
      <c r="O2012" s="25"/>
    </row>
    <row r="2013" ht="15.75" customHeight="1">
      <c r="A2013" s="25" t="str">
        <f>IFERROR(__xludf.DUMMYFUNCTION("IF(B2013="""","""",RIGHT(REGEXREPLACE(B2013&amp;"""",""[^0-9]"",""""),9))"),"705560146")</f>
        <v>705560146</v>
      </c>
      <c r="B2013" s="52">
        <v>7.05560146E8</v>
      </c>
      <c r="C2013" s="28" t="s">
        <v>2217</v>
      </c>
      <c r="D2013" s="26" t="s">
        <v>64</v>
      </c>
      <c r="E2013" s="31">
        <v>46229.0</v>
      </c>
      <c r="F2013" s="26" t="s">
        <v>41</v>
      </c>
      <c r="I2013" s="26" t="s">
        <v>42</v>
      </c>
      <c r="J2013" s="25" t="str">
        <f t="shared" si="34"/>
        <v>No</v>
      </c>
      <c r="K2013" s="25" t="str">
        <f t="shared" si="35"/>
        <v/>
      </c>
      <c r="L2013" s="25" t="str">
        <f t="shared" si="36"/>
        <v/>
      </c>
      <c r="M2013" s="25"/>
      <c r="O2013" s="25"/>
    </row>
    <row r="2014" ht="15.75" customHeight="1">
      <c r="A2014" s="25" t="str">
        <f>IFERROR(__xludf.DUMMYFUNCTION("IF(B2014="""","""",RIGHT(REGEXREPLACE(B2014&amp;"""",""[^0-9]"",""""),9))"),"770488406")</f>
        <v>770488406</v>
      </c>
      <c r="B2014" s="52">
        <v>7.70488406E8</v>
      </c>
      <c r="C2014" s="28" t="s">
        <v>2218</v>
      </c>
      <c r="D2014" s="26" t="s">
        <v>49</v>
      </c>
      <c r="E2014" s="31">
        <v>46229.0</v>
      </c>
      <c r="F2014" s="26" t="s">
        <v>46</v>
      </c>
      <c r="H2014" s="26" t="s">
        <v>253</v>
      </c>
      <c r="I2014" s="26" t="s">
        <v>42</v>
      </c>
      <c r="J2014" s="25" t="str">
        <f t="shared" si="34"/>
        <v>No</v>
      </c>
      <c r="K2014" s="25" t="str">
        <f t="shared" si="35"/>
        <v/>
      </c>
      <c r="L2014" s="25" t="str">
        <f t="shared" si="36"/>
        <v/>
      </c>
      <c r="M2014" s="25"/>
      <c r="O2014" s="25"/>
    </row>
    <row r="2015" ht="15.75" customHeight="1">
      <c r="A2015" s="25" t="str">
        <f>IFERROR(__xludf.DUMMYFUNCTION("IF(B2015="""","""",RIGHT(REGEXREPLACE(B2015&amp;"""",""[^0-9]"",""""),9))"),"744516221")</f>
        <v>744516221</v>
      </c>
      <c r="B2015" s="26">
        <v>7.44516221E8</v>
      </c>
      <c r="C2015" s="28" t="s">
        <v>2219</v>
      </c>
      <c r="D2015" s="26" t="s">
        <v>37</v>
      </c>
      <c r="E2015" s="31">
        <v>46229.0</v>
      </c>
      <c r="F2015" s="26" t="s">
        <v>46</v>
      </c>
      <c r="G2015" s="26">
        <v>8.0</v>
      </c>
      <c r="I2015" s="26" t="s">
        <v>42</v>
      </c>
      <c r="J2015" s="25" t="str">
        <f t="shared" si="34"/>
        <v>No</v>
      </c>
      <c r="K2015" s="25" t="str">
        <f t="shared" si="35"/>
        <v/>
      </c>
      <c r="L2015" s="25" t="str">
        <f t="shared" si="36"/>
        <v/>
      </c>
      <c r="M2015" s="25"/>
      <c r="O2015" s="25"/>
    </row>
    <row r="2016" ht="15.75" customHeight="1">
      <c r="A2016" s="25" t="str">
        <f>IFERROR(__xludf.DUMMYFUNCTION("IF(B2016="""","""",RIGHT(REGEXREPLACE(B2016&amp;"""",""[^0-9]"",""""),9))"),"763998750")</f>
        <v>763998750</v>
      </c>
      <c r="B2016" s="52">
        <v>7.6399875E8</v>
      </c>
      <c r="C2016" s="28" t="s">
        <v>2219</v>
      </c>
      <c r="D2016" s="26" t="s">
        <v>56</v>
      </c>
      <c r="E2016" s="31">
        <v>46229.0</v>
      </c>
      <c r="F2016" s="26" t="s">
        <v>46</v>
      </c>
      <c r="G2016" s="26">
        <v>11.0</v>
      </c>
      <c r="I2016" s="26" t="s">
        <v>42</v>
      </c>
      <c r="J2016" s="25" t="str">
        <f t="shared" si="34"/>
        <v>No</v>
      </c>
      <c r="K2016" s="25" t="str">
        <f t="shared" si="35"/>
        <v/>
      </c>
      <c r="L2016" s="25" t="str">
        <f t="shared" si="36"/>
        <v/>
      </c>
      <c r="M2016" s="25"/>
      <c r="O2016" s="25"/>
    </row>
    <row r="2017" ht="15.75" customHeight="1">
      <c r="A2017" s="25" t="str">
        <f>IFERROR(__xludf.DUMMYFUNCTION("IF(B2017="""","""",RIGHT(REGEXREPLACE(B2017&amp;"""",""[^0-9]"",""""),9))"),"718300755")</f>
        <v>718300755</v>
      </c>
      <c r="B2017" s="26">
        <v>7.18300755E8</v>
      </c>
      <c r="C2017" s="28" t="s">
        <v>2220</v>
      </c>
      <c r="D2017" s="26" t="s">
        <v>37</v>
      </c>
      <c r="E2017" s="31">
        <v>46229.0</v>
      </c>
      <c r="F2017" s="26" t="s">
        <v>41</v>
      </c>
      <c r="G2017" s="26">
        <v>11.0</v>
      </c>
      <c r="I2017" s="26" t="s">
        <v>42</v>
      </c>
      <c r="J2017" s="25" t="str">
        <f t="shared" si="34"/>
        <v>No</v>
      </c>
      <c r="K2017" s="25" t="str">
        <f t="shared" si="35"/>
        <v/>
      </c>
      <c r="L2017" s="25" t="str">
        <f t="shared" si="36"/>
        <v/>
      </c>
      <c r="M2017" s="25"/>
      <c r="O2017" s="25"/>
    </row>
    <row r="2018" ht="15.75" customHeight="1">
      <c r="A2018" s="25" t="str">
        <f>IFERROR(__xludf.DUMMYFUNCTION("IF(B2018="""","""",RIGHT(REGEXREPLACE(B2018&amp;"""",""[^0-9]"",""""),9))"),"764485925")</f>
        <v>764485925</v>
      </c>
      <c r="B2018" s="26">
        <v>7.64485925E8</v>
      </c>
      <c r="C2018" s="28" t="s">
        <v>2221</v>
      </c>
      <c r="D2018" s="26" t="s">
        <v>37</v>
      </c>
      <c r="E2018" s="31">
        <v>46229.0</v>
      </c>
      <c r="F2018" s="26" t="s">
        <v>46</v>
      </c>
      <c r="G2018" s="26">
        <v>11.0</v>
      </c>
      <c r="H2018" s="26" t="s">
        <v>1447</v>
      </c>
      <c r="I2018" s="26" t="s">
        <v>42</v>
      </c>
      <c r="J2018" s="25" t="str">
        <f t="shared" si="34"/>
        <v>No</v>
      </c>
      <c r="K2018" s="25" t="str">
        <f t="shared" si="35"/>
        <v/>
      </c>
      <c r="L2018" s="25" t="str">
        <f t="shared" si="36"/>
        <v/>
      </c>
      <c r="M2018" s="25"/>
      <c r="O2018" s="25"/>
    </row>
    <row r="2019" ht="15.75" customHeight="1">
      <c r="A2019" s="25" t="str">
        <f>IFERROR(__xludf.DUMMYFUNCTION("IF(B2019="""","""",RIGHT(REGEXREPLACE(B2019&amp;"""",""[^0-9]"",""""),9))"),"772169092")</f>
        <v>772169092</v>
      </c>
      <c r="B2019" s="52">
        <v>7.72169092E8</v>
      </c>
      <c r="C2019" s="28" t="s">
        <v>2222</v>
      </c>
      <c r="D2019" s="26" t="s">
        <v>45</v>
      </c>
      <c r="E2019" s="31">
        <v>46229.0</v>
      </c>
      <c r="F2019" s="26" t="s">
        <v>205</v>
      </c>
      <c r="G2019" s="26">
        <v>11.0</v>
      </c>
      <c r="I2019" s="26" t="s">
        <v>42</v>
      </c>
      <c r="J2019" s="25" t="str">
        <f t="shared" si="34"/>
        <v>No</v>
      </c>
      <c r="K2019" s="25" t="str">
        <f t="shared" si="35"/>
        <v/>
      </c>
      <c r="L2019" s="25" t="str">
        <f t="shared" si="36"/>
        <v/>
      </c>
      <c r="M2019" s="25"/>
      <c r="O2019" s="25"/>
    </row>
    <row r="2020" ht="15.75" customHeight="1">
      <c r="A2020" s="25" t="str">
        <f>IFERROR(__xludf.DUMMYFUNCTION("IF(B2020="""","""",RIGHT(REGEXREPLACE(B2020&amp;"""",""[^0-9]"",""""),9))"),"773516156")</f>
        <v>773516156</v>
      </c>
      <c r="B2020" s="52">
        <v>7.73516156E8</v>
      </c>
      <c r="C2020" s="28" t="s">
        <v>2223</v>
      </c>
      <c r="D2020" s="26" t="s">
        <v>49</v>
      </c>
      <c r="E2020" s="31">
        <v>46229.0</v>
      </c>
      <c r="F2020" s="26" t="s">
        <v>46</v>
      </c>
      <c r="G2020" s="26">
        <v>11.0</v>
      </c>
      <c r="I2020" s="26" t="s">
        <v>42</v>
      </c>
      <c r="J2020" s="25" t="str">
        <f t="shared" si="34"/>
        <v>No</v>
      </c>
      <c r="K2020" s="25" t="str">
        <f t="shared" si="35"/>
        <v/>
      </c>
      <c r="L2020" s="25" t="str">
        <f t="shared" si="36"/>
        <v/>
      </c>
      <c r="M2020" s="25"/>
      <c r="O2020" s="25"/>
    </row>
    <row r="2021" ht="15.75" customHeight="1">
      <c r="A2021" s="25" t="str">
        <f>IFERROR(__xludf.DUMMYFUNCTION("IF(B2021="""","""",RIGHT(REGEXREPLACE(B2021&amp;"""",""[^0-9]"",""""),9))"),"753803080")</f>
        <v>753803080</v>
      </c>
      <c r="B2021" s="26">
        <v>7.5380308E8</v>
      </c>
      <c r="C2021" s="28" t="s">
        <v>2224</v>
      </c>
      <c r="D2021" s="26" t="s">
        <v>37</v>
      </c>
      <c r="E2021" s="31">
        <v>46229.0</v>
      </c>
      <c r="F2021" s="26" t="s">
        <v>46</v>
      </c>
      <c r="G2021" s="26">
        <v>11.0</v>
      </c>
      <c r="H2021" s="26" t="s">
        <v>2225</v>
      </c>
      <c r="I2021" s="26" t="s">
        <v>42</v>
      </c>
      <c r="J2021" s="25" t="str">
        <f t="shared" si="34"/>
        <v>No</v>
      </c>
      <c r="K2021" s="25" t="str">
        <f t="shared" si="35"/>
        <v/>
      </c>
      <c r="L2021" s="25" t="str">
        <f t="shared" si="36"/>
        <v/>
      </c>
      <c r="M2021" s="25"/>
      <c r="O2021" s="25"/>
    </row>
    <row r="2022" ht="15.75" customHeight="1">
      <c r="A2022" s="25" t="str">
        <f>IFERROR(__xludf.DUMMYFUNCTION("IF(B2022="""","""",RIGHT(REGEXREPLACE(B2022&amp;"""",""[^0-9]"",""""),9))"),"718047342")</f>
        <v>718047342</v>
      </c>
      <c r="B2022" s="52">
        <v>7.18047342E8</v>
      </c>
      <c r="C2022" s="28" t="s">
        <v>2226</v>
      </c>
      <c r="D2022" s="26" t="s">
        <v>64</v>
      </c>
      <c r="E2022" s="31">
        <v>46229.0</v>
      </c>
      <c r="F2022" s="26" t="s">
        <v>46</v>
      </c>
      <c r="G2022" s="26">
        <v>11.0</v>
      </c>
      <c r="I2022" s="26" t="s">
        <v>42</v>
      </c>
      <c r="J2022" s="25" t="str">
        <f t="shared" si="34"/>
        <v>Yes - see Previous F-Code</v>
      </c>
      <c r="K2022" s="25" t="str">
        <f t="shared" si="35"/>
        <v>DUPLICATE - CHECK</v>
      </c>
      <c r="L2022" s="25" t="str">
        <f t="shared" si="36"/>
        <v>F71910</v>
      </c>
      <c r="M2022" s="25"/>
      <c r="O2022" s="25"/>
    </row>
    <row r="2023" ht="15.75" customHeight="1">
      <c r="A2023" s="25" t="str">
        <f>IFERROR(__xludf.DUMMYFUNCTION("IF(B2023="""","""",RIGHT(REGEXREPLACE(B2023&amp;"""",""[^0-9]"",""""),9))"),"771509761")</f>
        <v>771509761</v>
      </c>
      <c r="B2023" s="26">
        <v>7.71509761E8</v>
      </c>
      <c r="C2023" s="28" t="s">
        <v>1549</v>
      </c>
      <c r="D2023" s="26" t="s">
        <v>37</v>
      </c>
      <c r="E2023" s="31">
        <v>46229.0</v>
      </c>
      <c r="F2023" s="26" t="s">
        <v>46</v>
      </c>
      <c r="G2023" s="26">
        <v>11.0</v>
      </c>
      <c r="I2023" s="26" t="s">
        <v>42</v>
      </c>
      <c r="J2023" s="25" t="str">
        <f t="shared" si="34"/>
        <v>No</v>
      </c>
      <c r="K2023" s="25" t="str">
        <f t="shared" si="35"/>
        <v/>
      </c>
      <c r="L2023" s="25" t="str">
        <f t="shared" si="36"/>
        <v/>
      </c>
      <c r="M2023" s="25"/>
      <c r="O2023" s="25"/>
    </row>
    <row r="2024" ht="15.75" customHeight="1">
      <c r="A2024" s="25" t="str">
        <f>IFERROR(__xludf.DUMMYFUNCTION("IF(B2024="""","""",RIGHT(REGEXREPLACE(B2024&amp;"""",""[^0-9]"",""""),9))"),"713555443")</f>
        <v>713555443</v>
      </c>
      <c r="B2024" s="52">
        <v>7.13555443E8</v>
      </c>
      <c r="C2024" s="28" t="s">
        <v>2227</v>
      </c>
      <c r="D2024" s="26" t="s">
        <v>49</v>
      </c>
      <c r="E2024" s="31">
        <v>46229.0</v>
      </c>
      <c r="F2024" s="26" t="s">
        <v>46</v>
      </c>
      <c r="G2024" s="26">
        <v>11.0</v>
      </c>
      <c r="I2024" s="26" t="s">
        <v>42</v>
      </c>
      <c r="J2024" s="25" t="str">
        <f t="shared" si="34"/>
        <v>No</v>
      </c>
      <c r="K2024" s="25" t="str">
        <f t="shared" si="35"/>
        <v/>
      </c>
      <c r="L2024" s="25" t="str">
        <f t="shared" si="36"/>
        <v/>
      </c>
      <c r="M2024" s="25"/>
      <c r="O2024" s="25"/>
    </row>
    <row r="2025" ht="15.75" customHeight="1">
      <c r="A2025" s="25" t="str">
        <f>IFERROR(__xludf.DUMMYFUNCTION("IF(B2025="""","""",RIGHT(REGEXREPLACE(B2025&amp;"""",""[^0-9]"",""""),9))"),"779217731")</f>
        <v>779217731</v>
      </c>
      <c r="B2025" s="52">
        <v>7.79217731E8</v>
      </c>
      <c r="C2025" s="28" t="s">
        <v>2228</v>
      </c>
      <c r="D2025" s="26" t="s">
        <v>56</v>
      </c>
      <c r="E2025" s="31">
        <v>46229.0</v>
      </c>
      <c r="F2025" s="26" t="s">
        <v>46</v>
      </c>
      <c r="G2025" s="26">
        <v>11.0</v>
      </c>
      <c r="I2025" s="26" t="s">
        <v>42</v>
      </c>
      <c r="J2025" s="25" t="str">
        <f t="shared" si="34"/>
        <v>No</v>
      </c>
      <c r="K2025" s="25" t="str">
        <f t="shared" si="35"/>
        <v/>
      </c>
      <c r="L2025" s="25" t="str">
        <f t="shared" si="36"/>
        <v/>
      </c>
      <c r="M2025" s="25"/>
      <c r="O2025" s="25"/>
    </row>
    <row r="2026" ht="15.75" customHeight="1">
      <c r="A2026" s="25" t="str">
        <f>IFERROR(__xludf.DUMMYFUNCTION("IF(B2026="""","""",RIGHT(REGEXREPLACE(B2026&amp;"""",""[^0-9]"",""""),9))"),"704996245")</f>
        <v>704996245</v>
      </c>
      <c r="B2026" s="52">
        <v>7.04996245E8</v>
      </c>
      <c r="C2026" s="28" t="s">
        <v>2228</v>
      </c>
      <c r="D2026" s="26" t="s">
        <v>45</v>
      </c>
      <c r="E2026" s="31">
        <v>46229.0</v>
      </c>
      <c r="F2026" s="26" t="s">
        <v>46</v>
      </c>
      <c r="G2026" s="26">
        <v>11.0</v>
      </c>
      <c r="I2026" s="26" t="s">
        <v>42</v>
      </c>
      <c r="J2026" s="25" t="str">
        <f t="shared" si="34"/>
        <v>No</v>
      </c>
      <c r="K2026" s="25" t="str">
        <f t="shared" si="35"/>
        <v/>
      </c>
      <c r="L2026" s="25" t="str">
        <f t="shared" si="36"/>
        <v/>
      </c>
      <c r="M2026" s="25"/>
      <c r="O2026" s="25"/>
    </row>
    <row r="2027" ht="15.75" customHeight="1">
      <c r="A2027" s="25" t="str">
        <f>IFERROR(__xludf.DUMMYFUNCTION("IF(B2027="""","""",RIGHT(REGEXREPLACE(B2027&amp;"""",""[^0-9]"",""""),9))"),"760875532")</f>
        <v>760875532</v>
      </c>
      <c r="B2027" s="52">
        <v>7.60875532E8</v>
      </c>
      <c r="C2027" s="28" t="s">
        <v>2229</v>
      </c>
      <c r="D2027" s="26" t="s">
        <v>45</v>
      </c>
      <c r="E2027" s="31">
        <v>46229.0</v>
      </c>
      <c r="F2027" s="26" t="s">
        <v>46</v>
      </c>
      <c r="G2027" s="26">
        <v>11.0</v>
      </c>
      <c r="I2027" s="26" t="s">
        <v>42</v>
      </c>
      <c r="J2027" s="25" t="str">
        <f t="shared" si="34"/>
        <v>No</v>
      </c>
      <c r="K2027" s="25" t="str">
        <f t="shared" si="35"/>
        <v/>
      </c>
      <c r="L2027" s="25" t="str">
        <f t="shared" si="36"/>
        <v/>
      </c>
      <c r="M2027" s="25"/>
      <c r="O2027" s="25"/>
    </row>
    <row r="2028" ht="15.75" customHeight="1">
      <c r="A2028" s="25" t="str">
        <f>IFERROR(__xludf.DUMMYFUNCTION("IF(B2028="""","""",RIGHT(REGEXREPLACE(B2028&amp;"""",""[^0-9]"",""""),9))"),"776792448")</f>
        <v>776792448</v>
      </c>
      <c r="B2028" s="52">
        <v>7.76792448E8</v>
      </c>
      <c r="C2028" s="28" t="s">
        <v>2230</v>
      </c>
      <c r="D2028" s="26" t="s">
        <v>49</v>
      </c>
      <c r="E2028" s="31">
        <v>46229.0</v>
      </c>
      <c r="F2028" s="26" t="s">
        <v>41</v>
      </c>
      <c r="I2028" s="26" t="s">
        <v>42</v>
      </c>
      <c r="J2028" s="25" t="str">
        <f t="shared" si="34"/>
        <v>No</v>
      </c>
      <c r="K2028" s="25" t="str">
        <f t="shared" si="35"/>
        <v/>
      </c>
      <c r="L2028" s="25" t="str">
        <f t="shared" si="36"/>
        <v/>
      </c>
      <c r="M2028" s="25"/>
      <c r="O2028" s="25"/>
    </row>
    <row r="2029" ht="15.75" customHeight="1">
      <c r="A2029" s="25" t="str">
        <f>IFERROR(__xludf.DUMMYFUNCTION("IF(B2029="""","""",RIGHT(REGEXREPLACE(B2029&amp;"""",""[^0-9]"",""""),9))"),"773394757")</f>
        <v>773394757</v>
      </c>
      <c r="B2029" s="26">
        <v>7.73394757E8</v>
      </c>
      <c r="C2029" s="28" t="s">
        <v>2231</v>
      </c>
      <c r="D2029" s="26" t="s">
        <v>37</v>
      </c>
      <c r="E2029" s="31">
        <v>46229.0</v>
      </c>
      <c r="F2029" s="26" t="s">
        <v>84</v>
      </c>
      <c r="I2029" s="26" t="s">
        <v>42</v>
      </c>
      <c r="J2029" s="25" t="str">
        <f t="shared" si="34"/>
        <v>No</v>
      </c>
      <c r="K2029" s="25" t="str">
        <f t="shared" si="35"/>
        <v/>
      </c>
      <c r="L2029" s="25" t="str">
        <f t="shared" si="36"/>
        <v/>
      </c>
      <c r="M2029" s="25"/>
      <c r="O2029" s="25"/>
    </row>
    <row r="2030" ht="15.75" customHeight="1">
      <c r="A2030" s="25" t="str">
        <f>IFERROR(__xludf.DUMMYFUNCTION("IF(B2030="""","""",RIGHT(REGEXREPLACE(B2030&amp;"""",""[^0-9]"",""""),9))"),"771911974")</f>
        <v>771911974</v>
      </c>
      <c r="B2030" s="52">
        <v>7.71911974E8</v>
      </c>
      <c r="C2030" s="28" t="s">
        <v>2232</v>
      </c>
      <c r="D2030" s="26" t="s">
        <v>56</v>
      </c>
      <c r="E2030" s="31">
        <v>46229.0</v>
      </c>
      <c r="F2030" s="26" t="s">
        <v>46</v>
      </c>
      <c r="G2030" s="26">
        <v>10.0</v>
      </c>
      <c r="H2030" s="26" t="s">
        <v>1648</v>
      </c>
      <c r="I2030" s="26" t="s">
        <v>42</v>
      </c>
      <c r="J2030" s="25" t="str">
        <f t="shared" si="34"/>
        <v>No</v>
      </c>
      <c r="K2030" s="25" t="str">
        <f t="shared" si="35"/>
        <v/>
      </c>
      <c r="L2030" s="25" t="str">
        <f t="shared" si="36"/>
        <v/>
      </c>
      <c r="M2030" s="25"/>
      <c r="O2030" s="25"/>
    </row>
    <row r="2031" ht="15.75" customHeight="1">
      <c r="A2031" s="25" t="str">
        <f>IFERROR(__xludf.DUMMYFUNCTION("IF(B2031="""","""",RIGHT(REGEXREPLACE(B2031&amp;"""",""[^0-9]"",""""),9))"),"766640336")</f>
        <v>766640336</v>
      </c>
      <c r="B2031" s="52">
        <v>7.66640336E8</v>
      </c>
      <c r="C2031" s="28" t="s">
        <v>2233</v>
      </c>
      <c r="D2031" s="26" t="s">
        <v>49</v>
      </c>
      <c r="E2031" s="31">
        <v>46229.0</v>
      </c>
      <c r="F2031" s="26" t="s">
        <v>704</v>
      </c>
      <c r="I2031" s="26" t="s">
        <v>42</v>
      </c>
      <c r="J2031" s="25" t="str">
        <f t="shared" si="34"/>
        <v>No</v>
      </c>
      <c r="K2031" s="25" t="str">
        <f t="shared" si="35"/>
        <v/>
      </c>
      <c r="L2031" s="25" t="str">
        <f t="shared" si="36"/>
        <v/>
      </c>
      <c r="M2031" s="25"/>
      <c r="O2031" s="25"/>
    </row>
    <row r="2032" ht="15.75" customHeight="1">
      <c r="A2032" s="25" t="str">
        <f>IFERROR(__xludf.DUMMYFUNCTION("IF(B2032="""","""",RIGHT(REGEXREPLACE(B2032&amp;"""",""[^0-9]"",""""),9))"),"743318321")</f>
        <v>743318321</v>
      </c>
      <c r="B2032" s="26">
        <v>7.43318321E8</v>
      </c>
      <c r="C2032" s="28" t="s">
        <v>2234</v>
      </c>
      <c r="D2032" s="26" t="s">
        <v>37</v>
      </c>
      <c r="E2032" s="31">
        <v>46229.0</v>
      </c>
      <c r="F2032" s="26" t="s">
        <v>46</v>
      </c>
      <c r="G2032" s="26">
        <v>11.0</v>
      </c>
      <c r="H2032" s="26" t="s">
        <v>2235</v>
      </c>
      <c r="I2032" s="26" t="s">
        <v>42</v>
      </c>
      <c r="J2032" s="25" t="str">
        <f t="shared" si="34"/>
        <v>No</v>
      </c>
      <c r="K2032" s="25" t="str">
        <f t="shared" si="35"/>
        <v/>
      </c>
      <c r="L2032" s="25" t="str">
        <f t="shared" si="36"/>
        <v/>
      </c>
      <c r="M2032" s="25"/>
      <c r="O2032" s="25"/>
    </row>
    <row r="2033" ht="15.75" customHeight="1">
      <c r="A2033" s="25" t="str">
        <f>IFERROR(__xludf.DUMMYFUNCTION("IF(B2033="""","""",RIGHT(REGEXREPLACE(B2033&amp;"""",""[^0-9]"",""""),9))"),"740981302")</f>
        <v>740981302</v>
      </c>
      <c r="B2033" s="26">
        <v>7.40981302E8</v>
      </c>
      <c r="C2033" s="28" t="s">
        <v>2236</v>
      </c>
      <c r="D2033" s="26" t="s">
        <v>37</v>
      </c>
      <c r="E2033" s="31">
        <v>46229.0</v>
      </c>
      <c r="F2033" s="26" t="s">
        <v>205</v>
      </c>
      <c r="I2033" s="26" t="s">
        <v>42</v>
      </c>
      <c r="J2033" s="25" t="str">
        <f t="shared" si="34"/>
        <v>No</v>
      </c>
      <c r="K2033" s="25" t="str">
        <f t="shared" si="35"/>
        <v/>
      </c>
      <c r="L2033" s="25" t="str">
        <f t="shared" si="36"/>
        <v/>
      </c>
      <c r="M2033" s="25"/>
      <c r="O2033" s="25"/>
    </row>
    <row r="2034" ht="15.75" customHeight="1">
      <c r="A2034" s="25" t="str">
        <f>IFERROR(__xludf.DUMMYFUNCTION("IF(B2034="""","""",RIGHT(REGEXREPLACE(B2034&amp;"""",""[^0-9]"",""""),9))"),"712658449")</f>
        <v>712658449</v>
      </c>
      <c r="B2034" s="52">
        <v>7.12658449E8</v>
      </c>
      <c r="C2034" s="28" t="s">
        <v>2236</v>
      </c>
      <c r="D2034" s="26" t="s">
        <v>45</v>
      </c>
      <c r="E2034" s="31">
        <v>46229.0</v>
      </c>
      <c r="F2034" s="26" t="s">
        <v>46</v>
      </c>
      <c r="G2034" s="26">
        <v>11.0</v>
      </c>
      <c r="I2034" s="26" t="s">
        <v>42</v>
      </c>
      <c r="J2034" s="25" t="str">
        <f t="shared" si="34"/>
        <v>No</v>
      </c>
      <c r="K2034" s="25" t="str">
        <f t="shared" si="35"/>
        <v/>
      </c>
      <c r="L2034" s="25" t="str">
        <f t="shared" si="36"/>
        <v/>
      </c>
      <c r="M2034" s="25"/>
      <c r="O2034" s="25"/>
    </row>
    <row r="2035" ht="15.75" customHeight="1">
      <c r="A2035" s="25" t="str">
        <f>IFERROR(__xludf.DUMMYFUNCTION("IF(B2035="""","""",RIGHT(REGEXREPLACE(B2035&amp;"""",""[^0-9]"",""""),9))"),"761188265")</f>
        <v>761188265</v>
      </c>
      <c r="B2035" s="26">
        <v>7.61188265E8</v>
      </c>
      <c r="C2035" s="28" t="s">
        <v>2237</v>
      </c>
      <c r="D2035" s="26" t="s">
        <v>37</v>
      </c>
      <c r="E2035" s="31">
        <v>46229.0</v>
      </c>
      <c r="F2035" s="26" t="s">
        <v>46</v>
      </c>
      <c r="G2035" s="26">
        <v>11.0</v>
      </c>
      <c r="I2035" s="26" t="s">
        <v>42</v>
      </c>
      <c r="J2035" s="25" t="str">
        <f t="shared" si="34"/>
        <v>No</v>
      </c>
      <c r="K2035" s="25" t="str">
        <f t="shared" si="35"/>
        <v/>
      </c>
      <c r="L2035" s="25" t="str">
        <f t="shared" si="36"/>
        <v/>
      </c>
      <c r="M2035" s="25"/>
      <c r="O2035" s="25"/>
    </row>
    <row r="2036" ht="15.75" customHeight="1">
      <c r="A2036" s="25" t="str">
        <f>IFERROR(__xludf.DUMMYFUNCTION("IF(B2036="""","""",RIGHT(REGEXREPLACE(B2036&amp;"""",""[^0-9]"",""""),9))"),"712173890")</f>
        <v>712173890</v>
      </c>
      <c r="B2036" s="26">
        <v>7.1217389E8</v>
      </c>
      <c r="C2036" s="28" t="s">
        <v>2238</v>
      </c>
      <c r="D2036" s="26" t="s">
        <v>37</v>
      </c>
      <c r="E2036" s="31">
        <v>46229.0</v>
      </c>
      <c r="F2036" s="26" t="s">
        <v>41</v>
      </c>
      <c r="I2036" s="26" t="s">
        <v>42</v>
      </c>
      <c r="J2036" s="25" t="str">
        <f t="shared" si="34"/>
        <v>No</v>
      </c>
      <c r="K2036" s="25" t="str">
        <f t="shared" si="35"/>
        <v/>
      </c>
      <c r="L2036" s="25" t="str">
        <f t="shared" si="36"/>
        <v/>
      </c>
      <c r="M2036" s="25"/>
      <c r="O2036" s="25"/>
    </row>
    <row r="2037" ht="15.75" customHeight="1">
      <c r="A2037" s="25" t="str">
        <f>IFERROR(__xludf.DUMMYFUNCTION("IF(B2037="""","""",RIGHT(REGEXREPLACE(B2037&amp;"""",""[^0-9]"",""""),9))"),"779265930")</f>
        <v>779265930</v>
      </c>
      <c r="B2037" s="52">
        <v>7.7926593E8</v>
      </c>
      <c r="C2037" s="28" t="s">
        <v>2239</v>
      </c>
      <c r="D2037" s="26" t="s">
        <v>49</v>
      </c>
      <c r="E2037" s="31">
        <v>46229.0</v>
      </c>
      <c r="F2037" s="26" t="s">
        <v>46</v>
      </c>
      <c r="G2037" s="26">
        <v>11.0</v>
      </c>
      <c r="I2037" s="26" t="s">
        <v>42</v>
      </c>
      <c r="J2037" s="25" t="str">
        <f t="shared" si="34"/>
        <v>No</v>
      </c>
      <c r="K2037" s="25" t="str">
        <f t="shared" si="35"/>
        <v/>
      </c>
      <c r="L2037" s="25" t="str">
        <f t="shared" si="36"/>
        <v/>
      </c>
      <c r="M2037" s="25"/>
      <c r="O2037" s="25"/>
    </row>
    <row r="2038" ht="15.75" customHeight="1">
      <c r="A2038" s="25" t="str">
        <f>IFERROR(__xludf.DUMMYFUNCTION("IF(B2038="""","""",RIGHT(REGEXREPLACE(B2038&amp;"""",""[^0-9]"",""""),9))"),"764323810")</f>
        <v>764323810</v>
      </c>
      <c r="B2038" s="26">
        <v>7.6432381E8</v>
      </c>
      <c r="C2038" s="28" t="s">
        <v>2240</v>
      </c>
      <c r="D2038" s="26" t="s">
        <v>37</v>
      </c>
      <c r="E2038" s="31">
        <v>46229.0</v>
      </c>
      <c r="F2038" s="26" t="s">
        <v>704</v>
      </c>
      <c r="I2038" s="26" t="s">
        <v>42</v>
      </c>
      <c r="J2038" s="25" t="str">
        <f t="shared" si="34"/>
        <v>No</v>
      </c>
      <c r="K2038" s="25" t="str">
        <f t="shared" si="35"/>
        <v/>
      </c>
      <c r="L2038" s="25" t="str">
        <f t="shared" si="36"/>
        <v/>
      </c>
      <c r="M2038" s="25"/>
      <c r="O2038" s="25"/>
    </row>
    <row r="2039" ht="15.75" customHeight="1">
      <c r="A2039" s="25" t="str">
        <f>IFERROR(__xludf.DUMMYFUNCTION("IF(B2039="""","""",RIGHT(REGEXREPLACE(B2039&amp;"""",""[^0-9]"",""""),9))"),"775465201")</f>
        <v>775465201</v>
      </c>
      <c r="B2039" s="26">
        <v>7.75465201E8</v>
      </c>
      <c r="C2039" s="28" t="s">
        <v>2241</v>
      </c>
      <c r="D2039" s="26" t="s">
        <v>37</v>
      </c>
      <c r="E2039" s="31">
        <v>46229.0</v>
      </c>
      <c r="F2039" s="26" t="s">
        <v>41</v>
      </c>
      <c r="I2039" s="26" t="s">
        <v>42</v>
      </c>
      <c r="J2039" s="25" t="str">
        <f t="shared" si="34"/>
        <v>No</v>
      </c>
      <c r="K2039" s="25" t="str">
        <f t="shared" si="35"/>
        <v/>
      </c>
      <c r="L2039" s="25" t="str">
        <f t="shared" si="36"/>
        <v/>
      </c>
      <c r="M2039" s="25"/>
      <c r="O2039" s="25"/>
    </row>
    <row r="2040" ht="15.75" customHeight="1">
      <c r="A2040" s="25" t="str">
        <f>IFERROR(__xludf.DUMMYFUNCTION("IF(B2040="""","""",RIGHT(REGEXREPLACE(B2040&amp;"""",""[^0-9]"",""""),9))"),"711570108")</f>
        <v>711570108</v>
      </c>
      <c r="B2040" s="52">
        <v>7.11570108E8</v>
      </c>
      <c r="C2040" s="28" t="s">
        <v>2242</v>
      </c>
      <c r="D2040" s="26" t="s">
        <v>64</v>
      </c>
      <c r="E2040" s="31">
        <v>46229.0</v>
      </c>
      <c r="F2040" s="26" t="s">
        <v>41</v>
      </c>
      <c r="I2040" s="26" t="s">
        <v>42</v>
      </c>
      <c r="J2040" s="25" t="str">
        <f t="shared" si="34"/>
        <v>No</v>
      </c>
      <c r="K2040" s="25" t="str">
        <f t="shared" si="35"/>
        <v/>
      </c>
      <c r="L2040" s="25" t="str">
        <f t="shared" si="36"/>
        <v/>
      </c>
      <c r="M2040" s="25"/>
      <c r="O2040" s="25"/>
    </row>
    <row r="2041" ht="15.75" customHeight="1">
      <c r="A2041" s="25" t="str">
        <f>IFERROR(__xludf.DUMMYFUNCTION("IF(B2041="""","""",RIGHT(REGEXREPLACE(B2041&amp;"""",""[^0-9]"",""""),9))"),"729173559")</f>
        <v>729173559</v>
      </c>
      <c r="B2041" s="52">
        <v>7.29173559E8</v>
      </c>
      <c r="C2041" s="28" t="s">
        <v>2243</v>
      </c>
      <c r="D2041" s="26" t="s">
        <v>56</v>
      </c>
      <c r="E2041" s="31">
        <v>46229.0</v>
      </c>
      <c r="F2041" s="26" t="s">
        <v>46</v>
      </c>
      <c r="G2041" s="26">
        <v>11.0</v>
      </c>
      <c r="I2041" s="26" t="s">
        <v>42</v>
      </c>
      <c r="J2041" s="25" t="str">
        <f t="shared" si="34"/>
        <v>No</v>
      </c>
      <c r="K2041" s="25" t="str">
        <f t="shared" si="35"/>
        <v/>
      </c>
      <c r="L2041" s="25" t="str">
        <f t="shared" si="36"/>
        <v/>
      </c>
      <c r="M2041" s="25"/>
      <c r="O2041" s="25"/>
    </row>
    <row r="2042" ht="15.75" customHeight="1">
      <c r="A2042" s="25" t="str">
        <f>IFERROR(__xludf.DUMMYFUNCTION("IF(B2042="""","""",RIGHT(REGEXREPLACE(B2042&amp;"""",""[^0-9]"",""""),9))"),"713018637")</f>
        <v>713018637</v>
      </c>
      <c r="B2042" s="52">
        <v>7.13018637E8</v>
      </c>
      <c r="C2042" s="28" t="s">
        <v>2244</v>
      </c>
      <c r="D2042" s="26" t="s">
        <v>45</v>
      </c>
      <c r="E2042" s="31">
        <v>46229.0</v>
      </c>
      <c r="F2042" s="26" t="s">
        <v>46</v>
      </c>
      <c r="G2042" s="26">
        <v>11.0</v>
      </c>
      <c r="I2042" s="26" t="s">
        <v>42</v>
      </c>
      <c r="J2042" s="25" t="str">
        <f t="shared" si="34"/>
        <v>No</v>
      </c>
      <c r="K2042" s="25" t="str">
        <f t="shared" si="35"/>
        <v/>
      </c>
      <c r="L2042" s="25" t="str">
        <f t="shared" si="36"/>
        <v/>
      </c>
      <c r="M2042" s="25"/>
      <c r="O2042" s="25"/>
    </row>
    <row r="2043" ht="15.75" customHeight="1">
      <c r="A2043" s="25" t="str">
        <f>IFERROR(__xludf.DUMMYFUNCTION("IF(B2043="""","""",RIGHT(REGEXREPLACE(B2043&amp;"""",""[^0-9]"",""""),9))"),"771299497")</f>
        <v>771299497</v>
      </c>
      <c r="B2043" s="52">
        <v>7.71299497E8</v>
      </c>
      <c r="C2043" s="28" t="s">
        <v>2245</v>
      </c>
      <c r="D2043" s="26" t="s">
        <v>49</v>
      </c>
      <c r="E2043" s="31">
        <v>46229.0</v>
      </c>
      <c r="F2043" s="26" t="s">
        <v>46</v>
      </c>
      <c r="G2043" s="26">
        <v>11.0</v>
      </c>
      <c r="I2043" s="26" t="s">
        <v>42</v>
      </c>
      <c r="J2043" s="25" t="str">
        <f t="shared" si="34"/>
        <v>No</v>
      </c>
      <c r="K2043" s="25" t="str">
        <f t="shared" si="35"/>
        <v/>
      </c>
      <c r="L2043" s="25" t="str">
        <f t="shared" si="36"/>
        <v/>
      </c>
      <c r="M2043" s="25"/>
      <c r="O2043" s="25"/>
    </row>
    <row r="2044" ht="15.75" customHeight="1">
      <c r="A2044" s="25" t="str">
        <f>IFERROR(__xludf.DUMMYFUNCTION("IF(B2044="""","""",RIGHT(REGEXREPLACE(B2044&amp;"""",""[^0-9]"",""""),9))"),"776378452")</f>
        <v>776378452</v>
      </c>
      <c r="B2044" s="26">
        <v>7.76378452E8</v>
      </c>
      <c r="C2044" s="28" t="s">
        <v>2246</v>
      </c>
      <c r="D2044" s="26" t="s">
        <v>37</v>
      </c>
      <c r="E2044" s="31">
        <v>46229.0</v>
      </c>
      <c r="F2044" s="26" t="s">
        <v>46</v>
      </c>
      <c r="G2044" s="26">
        <v>7.0</v>
      </c>
      <c r="H2044" s="26" t="s">
        <v>2247</v>
      </c>
      <c r="I2044" s="26" t="s">
        <v>42</v>
      </c>
      <c r="J2044" s="25" t="str">
        <f t="shared" si="34"/>
        <v>No</v>
      </c>
      <c r="K2044" s="25" t="str">
        <f t="shared" si="35"/>
        <v/>
      </c>
      <c r="L2044" s="25" t="str">
        <f t="shared" si="36"/>
        <v/>
      </c>
      <c r="M2044" s="25"/>
      <c r="O2044" s="25"/>
    </row>
    <row r="2045" ht="15.75" customHeight="1">
      <c r="A2045" s="25" t="str">
        <f>IFERROR(__xludf.DUMMYFUNCTION("IF(B2045="""","""",RIGHT(REGEXREPLACE(B2045&amp;"""",""[^0-9]"",""""),9))"),"714014666")</f>
        <v>714014666</v>
      </c>
      <c r="B2045" s="52">
        <v>7.14014666E8</v>
      </c>
      <c r="C2045" s="28" t="s">
        <v>2248</v>
      </c>
      <c r="D2045" s="26" t="s">
        <v>64</v>
      </c>
      <c r="E2045" s="31">
        <v>46229.0</v>
      </c>
      <c r="F2045" s="26" t="s">
        <v>46</v>
      </c>
      <c r="G2045" s="26">
        <v>10.0</v>
      </c>
      <c r="I2045" s="26" t="s">
        <v>42</v>
      </c>
      <c r="J2045" s="25" t="str">
        <f t="shared" si="34"/>
        <v>No</v>
      </c>
      <c r="K2045" s="25" t="str">
        <f t="shared" si="35"/>
        <v/>
      </c>
      <c r="L2045" s="25" t="str">
        <f t="shared" si="36"/>
        <v/>
      </c>
      <c r="M2045" s="25"/>
      <c r="O2045" s="25"/>
    </row>
    <row r="2046" ht="15.75" customHeight="1">
      <c r="A2046" s="25" t="str">
        <f>IFERROR(__xludf.DUMMYFUNCTION("IF(B2046="""","""",RIGHT(REGEXREPLACE(B2046&amp;"""",""[^0-9]"",""""),9))"),"705814864")</f>
        <v>705814864</v>
      </c>
      <c r="B2046" s="52">
        <v>7.05814864E8</v>
      </c>
      <c r="C2046" s="28" t="s">
        <v>2249</v>
      </c>
      <c r="D2046" s="26" t="s">
        <v>49</v>
      </c>
      <c r="E2046" s="31">
        <v>46229.0</v>
      </c>
      <c r="F2046" s="26" t="s">
        <v>41</v>
      </c>
      <c r="I2046" s="26" t="s">
        <v>42</v>
      </c>
      <c r="J2046" s="25" t="str">
        <f t="shared" si="34"/>
        <v>No</v>
      </c>
      <c r="K2046" s="25" t="str">
        <f t="shared" si="35"/>
        <v/>
      </c>
      <c r="L2046" s="25" t="str">
        <f t="shared" si="36"/>
        <v/>
      </c>
      <c r="M2046" s="25"/>
      <c r="O2046" s="25"/>
    </row>
    <row r="2047" ht="15.75" customHeight="1">
      <c r="A2047" s="25" t="str">
        <f>IFERROR(__xludf.DUMMYFUNCTION("IF(B2047="""","""",RIGHT(REGEXREPLACE(B2047&amp;"""",""[^0-9]"",""""),9))"),"761020327")</f>
        <v>761020327</v>
      </c>
      <c r="B2047" s="52">
        <v>7.61020327E8</v>
      </c>
      <c r="C2047" s="28" t="s">
        <v>2249</v>
      </c>
      <c r="D2047" s="26" t="s">
        <v>45</v>
      </c>
      <c r="E2047" s="31">
        <v>46229.0</v>
      </c>
      <c r="F2047" s="26" t="s">
        <v>46</v>
      </c>
      <c r="G2047" s="26">
        <v>11.0</v>
      </c>
      <c r="I2047" s="26" t="s">
        <v>42</v>
      </c>
      <c r="J2047" s="25" t="str">
        <f t="shared" si="34"/>
        <v>No</v>
      </c>
      <c r="K2047" s="25" t="str">
        <f t="shared" si="35"/>
        <v/>
      </c>
      <c r="L2047" s="25" t="str">
        <f t="shared" si="36"/>
        <v/>
      </c>
      <c r="M2047" s="25"/>
      <c r="O2047" s="25"/>
    </row>
    <row r="2048" ht="15.75" customHeight="1">
      <c r="A2048" s="25" t="str">
        <f>IFERROR(__xludf.DUMMYFUNCTION("IF(B2048="""","""",RIGHT(REGEXREPLACE(B2048&amp;"""",""[^0-9]"",""""),9))"),"703727377")</f>
        <v>703727377</v>
      </c>
      <c r="B2048" s="52">
        <v>7.03727377E8</v>
      </c>
      <c r="C2048" s="28" t="s">
        <v>2250</v>
      </c>
      <c r="D2048" s="26" t="s">
        <v>56</v>
      </c>
      <c r="E2048" s="31">
        <v>46229.0</v>
      </c>
      <c r="F2048" s="26" t="s">
        <v>205</v>
      </c>
      <c r="I2048" s="26" t="s">
        <v>42</v>
      </c>
      <c r="J2048" s="25" t="str">
        <f t="shared" si="34"/>
        <v>No</v>
      </c>
      <c r="K2048" s="25" t="str">
        <f t="shared" si="35"/>
        <v/>
      </c>
      <c r="L2048" s="25" t="str">
        <f t="shared" si="36"/>
        <v/>
      </c>
      <c r="M2048" s="25"/>
      <c r="O2048" s="25"/>
    </row>
    <row r="2049" ht="15.75" customHeight="1">
      <c r="A2049" s="25" t="str">
        <f>IFERROR(__xludf.DUMMYFUNCTION("IF(B2049="""","""",RIGHT(REGEXREPLACE(B2049&amp;"""",""[^0-9]"",""""),9))"),"762412690")</f>
        <v>762412690</v>
      </c>
      <c r="B2049" s="52">
        <v>7.6241269E8</v>
      </c>
      <c r="C2049" s="28" t="s">
        <v>2251</v>
      </c>
      <c r="D2049" s="26" t="s">
        <v>49</v>
      </c>
      <c r="E2049" s="31">
        <v>46229.0</v>
      </c>
      <c r="F2049" s="26" t="s">
        <v>205</v>
      </c>
      <c r="I2049" s="26" t="s">
        <v>42</v>
      </c>
      <c r="J2049" s="25" t="str">
        <f t="shared" si="34"/>
        <v>No</v>
      </c>
      <c r="K2049" s="25" t="str">
        <f t="shared" si="35"/>
        <v/>
      </c>
      <c r="L2049" s="25" t="str">
        <f t="shared" si="36"/>
        <v/>
      </c>
      <c r="M2049" s="25"/>
      <c r="O2049" s="25"/>
    </row>
    <row r="2050" ht="15.75" customHeight="1">
      <c r="A2050" s="25" t="str">
        <f>IFERROR(__xludf.DUMMYFUNCTION("IF(B2050="""","""",RIGHT(REGEXREPLACE(B2050&amp;"""",""[^0-9]"",""""),9))"),"763782629")</f>
        <v>763782629</v>
      </c>
      <c r="B2050" s="52">
        <v>7.63782629E8</v>
      </c>
      <c r="C2050" s="28" t="s">
        <v>2252</v>
      </c>
      <c r="D2050" s="26" t="s">
        <v>64</v>
      </c>
      <c r="E2050" s="31">
        <v>46229.0</v>
      </c>
      <c r="F2050" s="26" t="s">
        <v>46</v>
      </c>
      <c r="G2050" s="26">
        <v>11.0</v>
      </c>
      <c r="I2050" s="26" t="s">
        <v>42</v>
      </c>
      <c r="J2050" s="25" t="str">
        <f t="shared" si="34"/>
        <v>No</v>
      </c>
      <c r="K2050" s="25" t="str">
        <f t="shared" si="35"/>
        <v/>
      </c>
      <c r="L2050" s="25" t="str">
        <f t="shared" si="36"/>
        <v/>
      </c>
      <c r="M2050" s="25"/>
      <c r="O2050" s="25"/>
    </row>
    <row r="2051" ht="15.75" customHeight="1">
      <c r="A2051" s="25" t="str">
        <f>IFERROR(__xludf.DUMMYFUNCTION("IF(B2051="""","""",RIGHT(REGEXREPLACE(B2051&amp;"""",""[^0-9]"",""""),9))"),"774506485")</f>
        <v>774506485</v>
      </c>
      <c r="B2051" s="26">
        <v>7.74506485E8</v>
      </c>
      <c r="C2051" s="28" t="s">
        <v>2253</v>
      </c>
      <c r="D2051" s="26" t="s">
        <v>37</v>
      </c>
      <c r="E2051" s="31">
        <v>46229.0</v>
      </c>
      <c r="F2051" s="26" t="s">
        <v>46</v>
      </c>
      <c r="G2051" s="26">
        <v>11.0</v>
      </c>
      <c r="I2051" s="26" t="s">
        <v>42</v>
      </c>
      <c r="J2051" s="25" t="str">
        <f t="shared" si="34"/>
        <v>No</v>
      </c>
      <c r="K2051" s="25" t="str">
        <f t="shared" si="35"/>
        <v/>
      </c>
      <c r="L2051" s="25" t="str">
        <f t="shared" si="36"/>
        <v/>
      </c>
      <c r="M2051" s="25"/>
      <c r="O2051" s="25"/>
    </row>
    <row r="2052" ht="15.75" customHeight="1">
      <c r="A2052" s="25" t="str">
        <f>IFERROR(__xludf.DUMMYFUNCTION("IF(B2052="""","""",RIGHT(REGEXREPLACE(B2052&amp;"""",""[^0-9]"",""""),9))"),"777114290")</f>
        <v>777114290</v>
      </c>
      <c r="B2052" s="52">
        <v>7.7711429E8</v>
      </c>
      <c r="C2052" s="28" t="s">
        <v>2254</v>
      </c>
      <c r="D2052" s="26" t="s">
        <v>49</v>
      </c>
      <c r="E2052" s="31">
        <v>46229.0</v>
      </c>
      <c r="F2052" s="26" t="s">
        <v>41</v>
      </c>
      <c r="I2052" s="26" t="s">
        <v>42</v>
      </c>
      <c r="J2052" s="25" t="str">
        <f t="shared" si="34"/>
        <v>No</v>
      </c>
      <c r="K2052" s="25" t="str">
        <f t="shared" si="35"/>
        <v/>
      </c>
      <c r="L2052" s="25" t="str">
        <f t="shared" si="36"/>
        <v/>
      </c>
      <c r="M2052" s="25"/>
      <c r="O2052" s="25"/>
    </row>
    <row r="2053" ht="15.75" customHeight="1">
      <c r="A2053" s="25" t="str">
        <f>IFERROR(__xludf.DUMMYFUNCTION("IF(B2053="""","""",RIGHT(REGEXREPLACE(B2053&amp;"""",""[^0-9]"",""""),9))"),"702554079")</f>
        <v>702554079</v>
      </c>
      <c r="B2053" s="52">
        <v>7.02554079E8</v>
      </c>
      <c r="C2053" s="28" t="s">
        <v>2255</v>
      </c>
      <c r="D2053" s="26" t="s">
        <v>45</v>
      </c>
      <c r="E2053" s="31">
        <v>46229.0</v>
      </c>
      <c r="F2053" s="26" t="s">
        <v>205</v>
      </c>
      <c r="I2053" s="26" t="s">
        <v>42</v>
      </c>
      <c r="J2053" s="25" t="str">
        <f t="shared" si="34"/>
        <v>No</v>
      </c>
      <c r="K2053" s="25" t="str">
        <f t="shared" si="35"/>
        <v/>
      </c>
      <c r="L2053" s="25" t="str">
        <f t="shared" si="36"/>
        <v/>
      </c>
      <c r="M2053" s="25"/>
      <c r="O2053" s="25"/>
    </row>
    <row r="2054" ht="15.75" customHeight="1">
      <c r="A2054" s="25" t="str">
        <f>IFERROR(__xludf.DUMMYFUNCTION("IF(B2054="""","""",RIGHT(REGEXREPLACE(B2054&amp;"""",""[^0-9]"",""""),9))"),"760722602")</f>
        <v>760722602</v>
      </c>
      <c r="B2054" s="52">
        <v>7.60722602E8</v>
      </c>
      <c r="C2054" s="28" t="s">
        <v>2256</v>
      </c>
      <c r="D2054" s="26" t="s">
        <v>56</v>
      </c>
      <c r="E2054" s="31">
        <v>46229.0</v>
      </c>
      <c r="F2054" s="26" t="s">
        <v>46</v>
      </c>
      <c r="G2054" s="26">
        <v>11.0</v>
      </c>
      <c r="I2054" s="26" t="s">
        <v>42</v>
      </c>
      <c r="J2054" s="25" t="str">
        <f t="shared" si="34"/>
        <v>No</v>
      </c>
      <c r="K2054" s="25" t="str">
        <f t="shared" si="35"/>
        <v/>
      </c>
      <c r="L2054" s="25" t="str">
        <f t="shared" si="36"/>
        <v/>
      </c>
      <c r="M2054" s="25"/>
      <c r="O2054" s="25"/>
    </row>
    <row r="2055" ht="15.75" customHeight="1">
      <c r="A2055" s="25" t="str">
        <f>IFERROR(__xludf.DUMMYFUNCTION("IF(B2055="""","""",RIGHT(REGEXREPLACE(B2055&amp;"""",""[^0-9]"",""""),9))"),"767828229")</f>
        <v>767828229</v>
      </c>
      <c r="B2055" s="52">
        <v>7.67828229E8</v>
      </c>
      <c r="C2055" s="28" t="s">
        <v>2257</v>
      </c>
      <c r="D2055" s="26" t="s">
        <v>49</v>
      </c>
      <c r="E2055" s="31">
        <v>46229.0</v>
      </c>
      <c r="F2055" s="26" t="s">
        <v>46</v>
      </c>
      <c r="G2055" s="26">
        <v>11.0</v>
      </c>
      <c r="I2055" s="26" t="s">
        <v>42</v>
      </c>
      <c r="J2055" s="25" t="str">
        <f t="shared" si="34"/>
        <v>No</v>
      </c>
      <c r="K2055" s="25" t="str">
        <f t="shared" si="35"/>
        <v/>
      </c>
      <c r="L2055" s="25" t="str">
        <f t="shared" si="36"/>
        <v/>
      </c>
      <c r="M2055" s="25"/>
      <c r="O2055" s="25"/>
    </row>
    <row r="2056" ht="15.75" customHeight="1">
      <c r="A2056" s="25" t="str">
        <f>IFERROR(__xludf.DUMMYFUNCTION("IF(B2056="""","""",RIGHT(REGEXREPLACE(B2056&amp;"""",""[^0-9]"",""""),9))"),"715540471")</f>
        <v>715540471</v>
      </c>
      <c r="B2056" s="52">
        <v>7.15540471E8</v>
      </c>
      <c r="C2056" s="28" t="s">
        <v>2258</v>
      </c>
      <c r="D2056" s="26" t="s">
        <v>45</v>
      </c>
      <c r="E2056" s="31">
        <v>46229.0</v>
      </c>
      <c r="F2056" s="26" t="s">
        <v>659</v>
      </c>
      <c r="I2056" s="26" t="s">
        <v>42</v>
      </c>
      <c r="J2056" s="25" t="str">
        <f t="shared" si="34"/>
        <v>No</v>
      </c>
      <c r="K2056" s="25" t="str">
        <f t="shared" si="35"/>
        <v/>
      </c>
      <c r="L2056" s="25" t="str">
        <f t="shared" si="36"/>
        <v/>
      </c>
      <c r="M2056" s="25"/>
      <c r="O2056" s="25"/>
    </row>
    <row r="2057" ht="15.75" customHeight="1">
      <c r="A2057" s="25" t="str">
        <f>IFERROR(__xludf.DUMMYFUNCTION("IF(B2057="""","""",RIGHT(REGEXREPLACE(B2057&amp;"""",""[^0-9]"",""""),9))"),"785226652")</f>
        <v>785226652</v>
      </c>
      <c r="B2057" s="52">
        <v>7.85226652E8</v>
      </c>
      <c r="C2057" s="28" t="s">
        <v>2259</v>
      </c>
      <c r="D2057" s="26" t="s">
        <v>45</v>
      </c>
      <c r="E2057" s="31">
        <v>46229.0</v>
      </c>
      <c r="F2057" s="26" t="s">
        <v>46</v>
      </c>
      <c r="G2057" s="26">
        <v>11.0</v>
      </c>
      <c r="I2057" s="26" t="s">
        <v>42</v>
      </c>
      <c r="J2057" s="25" t="str">
        <f t="shared" si="34"/>
        <v>No</v>
      </c>
      <c r="K2057" s="25" t="str">
        <f t="shared" si="35"/>
        <v/>
      </c>
      <c r="L2057" s="25" t="str">
        <f t="shared" si="36"/>
        <v/>
      </c>
      <c r="M2057" s="25"/>
      <c r="O2057" s="25"/>
    </row>
    <row r="2058" ht="15.75" customHeight="1">
      <c r="A2058" s="25" t="str">
        <f>IFERROR(__xludf.DUMMYFUNCTION("IF(B2058="""","""",RIGHT(REGEXREPLACE(B2058&amp;"""",""[^0-9]"",""""),9))"),"763977069")</f>
        <v>763977069</v>
      </c>
      <c r="B2058" s="52">
        <v>7.63977069E8</v>
      </c>
      <c r="C2058" s="28" t="s">
        <v>2260</v>
      </c>
      <c r="D2058" s="26" t="s">
        <v>64</v>
      </c>
      <c r="E2058" s="31">
        <v>46229.0</v>
      </c>
      <c r="F2058" s="26" t="s">
        <v>46</v>
      </c>
      <c r="G2058" s="26">
        <v>11.0</v>
      </c>
      <c r="I2058" s="26" t="s">
        <v>42</v>
      </c>
      <c r="J2058" s="25" t="str">
        <f t="shared" si="34"/>
        <v>No</v>
      </c>
      <c r="K2058" s="25" t="str">
        <f t="shared" si="35"/>
        <v/>
      </c>
      <c r="L2058" s="25" t="str">
        <f t="shared" si="36"/>
        <v/>
      </c>
      <c r="M2058" s="25"/>
      <c r="O2058" s="25"/>
    </row>
    <row r="2059" ht="15.75" customHeight="1">
      <c r="A2059" s="25" t="str">
        <f>IFERROR(__xludf.DUMMYFUNCTION("IF(B2059="""","""",RIGHT(REGEXREPLACE(B2059&amp;"""",""[^0-9]"",""""),9))"),"704555787")</f>
        <v>704555787</v>
      </c>
      <c r="B2059" s="26">
        <v>7.04555787E8</v>
      </c>
      <c r="C2059" s="28" t="s">
        <v>2261</v>
      </c>
      <c r="D2059" s="26" t="s">
        <v>37</v>
      </c>
      <c r="E2059" s="31">
        <v>46229.0</v>
      </c>
      <c r="F2059" s="26" t="s">
        <v>205</v>
      </c>
      <c r="I2059" s="26" t="s">
        <v>42</v>
      </c>
      <c r="J2059" s="25" t="str">
        <f t="shared" si="34"/>
        <v>No</v>
      </c>
      <c r="K2059" s="25" t="str">
        <f t="shared" si="35"/>
        <v/>
      </c>
      <c r="L2059" s="25" t="str">
        <f t="shared" si="36"/>
        <v/>
      </c>
      <c r="M2059" s="25"/>
      <c r="O2059" s="25"/>
    </row>
    <row r="2060" ht="15.75" customHeight="1">
      <c r="A2060" s="25" t="str">
        <f>IFERROR(__xludf.DUMMYFUNCTION("IF(B2060="""","""",RIGHT(REGEXREPLACE(B2060&amp;"""",""[^0-9]"",""""),9))"),"727930804")</f>
        <v>727930804</v>
      </c>
      <c r="B2060" s="52">
        <v>7.27930804E8</v>
      </c>
      <c r="C2060" s="28" t="s">
        <v>2262</v>
      </c>
      <c r="D2060" s="26" t="s">
        <v>49</v>
      </c>
      <c r="E2060" s="31">
        <v>46229.0</v>
      </c>
      <c r="F2060" s="26" t="s">
        <v>46</v>
      </c>
      <c r="G2060" s="26">
        <v>11.0</v>
      </c>
      <c r="I2060" s="26" t="s">
        <v>42</v>
      </c>
      <c r="J2060" s="25" t="str">
        <f t="shared" si="34"/>
        <v>No</v>
      </c>
      <c r="K2060" s="25" t="str">
        <f t="shared" si="35"/>
        <v/>
      </c>
      <c r="L2060" s="25" t="str">
        <f t="shared" si="36"/>
        <v/>
      </c>
      <c r="M2060" s="25"/>
      <c r="O2060" s="25"/>
    </row>
    <row r="2061" ht="15.75" customHeight="1">
      <c r="A2061" s="25" t="str">
        <f>IFERROR(__xludf.DUMMYFUNCTION("IF(B2061="""","""",RIGHT(REGEXREPLACE(B2061&amp;"""",""[^0-9]"",""""),9))"),"703290990")</f>
        <v>703290990</v>
      </c>
      <c r="B2061" s="26">
        <v>7.0329099E8</v>
      </c>
      <c r="C2061" s="28" t="s">
        <v>2263</v>
      </c>
      <c r="D2061" s="26" t="s">
        <v>37</v>
      </c>
      <c r="E2061" s="31">
        <v>46229.0</v>
      </c>
      <c r="F2061" s="26" t="s">
        <v>164</v>
      </c>
      <c r="I2061" s="26" t="s">
        <v>42</v>
      </c>
      <c r="J2061" s="25" t="str">
        <f t="shared" si="34"/>
        <v>No</v>
      </c>
      <c r="K2061" s="25" t="str">
        <f t="shared" si="35"/>
        <v/>
      </c>
      <c r="L2061" s="25" t="str">
        <f t="shared" si="36"/>
        <v/>
      </c>
      <c r="M2061" s="25"/>
      <c r="O2061" s="25"/>
    </row>
    <row r="2062" ht="15.75" customHeight="1">
      <c r="A2062" s="25" t="str">
        <f>IFERROR(__xludf.DUMMYFUNCTION("IF(B2062="""","""",RIGHT(REGEXREPLACE(B2062&amp;"""",""[^0-9]"",""""),9))"),"769033060")</f>
        <v>769033060</v>
      </c>
      <c r="B2062" s="26">
        <v>7.6903306E8</v>
      </c>
      <c r="C2062" s="28" t="s">
        <v>2264</v>
      </c>
      <c r="D2062" s="26" t="s">
        <v>37</v>
      </c>
      <c r="E2062" s="31">
        <v>46229.0</v>
      </c>
      <c r="F2062" s="26" t="s">
        <v>46</v>
      </c>
      <c r="G2062" s="26">
        <v>11.0</v>
      </c>
      <c r="I2062" s="26" t="s">
        <v>42</v>
      </c>
      <c r="J2062" s="25" t="str">
        <f t="shared" si="34"/>
        <v>No</v>
      </c>
      <c r="K2062" s="25" t="str">
        <f t="shared" si="35"/>
        <v/>
      </c>
      <c r="L2062" s="25" t="str">
        <f t="shared" si="36"/>
        <v/>
      </c>
      <c r="M2062" s="25"/>
      <c r="O2062" s="25"/>
    </row>
    <row r="2063" ht="15.75" customHeight="1">
      <c r="A2063" s="25" t="str">
        <f>IFERROR(__xludf.DUMMYFUNCTION("IF(B2063="""","""",RIGHT(REGEXREPLACE(B2063&amp;"""",""[^0-9]"",""""),9))"),"789491869")</f>
        <v>789491869</v>
      </c>
      <c r="B2063" s="52">
        <v>7.89491869E8</v>
      </c>
      <c r="C2063" s="28" t="s">
        <v>2265</v>
      </c>
      <c r="D2063" s="26" t="s">
        <v>56</v>
      </c>
      <c r="E2063" s="31">
        <v>46229.0</v>
      </c>
      <c r="F2063" s="26" t="s">
        <v>631</v>
      </c>
      <c r="G2063" s="26">
        <v>11.0</v>
      </c>
      <c r="I2063" s="26" t="s">
        <v>42</v>
      </c>
      <c r="J2063" s="25" t="str">
        <f t="shared" si="34"/>
        <v>No</v>
      </c>
      <c r="K2063" s="25" t="str">
        <f t="shared" si="35"/>
        <v/>
      </c>
      <c r="L2063" s="25" t="str">
        <f t="shared" si="36"/>
        <v/>
      </c>
      <c r="M2063" s="25"/>
      <c r="O2063" s="25"/>
    </row>
    <row r="2064" ht="15.75" customHeight="1">
      <c r="A2064" s="25" t="str">
        <f>IFERROR(__xludf.DUMMYFUNCTION("IF(B2064="""","""",RIGHT(REGEXREPLACE(B2064&amp;"""",""[^0-9]"",""""),9))"),"714294980")</f>
        <v>714294980</v>
      </c>
      <c r="B2064" s="52">
        <v>7.1429498E8</v>
      </c>
      <c r="C2064" s="28" t="s">
        <v>2266</v>
      </c>
      <c r="D2064" s="26" t="s">
        <v>49</v>
      </c>
      <c r="E2064" s="31">
        <v>46229.0</v>
      </c>
      <c r="F2064" s="26" t="s">
        <v>46</v>
      </c>
      <c r="G2064" s="26">
        <v>11.0</v>
      </c>
      <c r="I2064" s="26" t="s">
        <v>42</v>
      </c>
      <c r="J2064" s="25" t="str">
        <f t="shared" si="34"/>
        <v>No</v>
      </c>
      <c r="K2064" s="25" t="str">
        <f t="shared" si="35"/>
        <v/>
      </c>
      <c r="L2064" s="25" t="str">
        <f t="shared" si="36"/>
        <v/>
      </c>
      <c r="M2064" s="25"/>
      <c r="O2064" s="25"/>
    </row>
    <row r="2065" ht="15.75" customHeight="1">
      <c r="A2065" s="25" t="str">
        <f>IFERROR(__xludf.DUMMYFUNCTION("IF(B2065="""","""",RIGHT(REGEXREPLACE(B2065&amp;"""",""[^0-9]"",""""),9))"),"703196690")</f>
        <v>703196690</v>
      </c>
      <c r="B2065" s="26">
        <v>7.0319669E8</v>
      </c>
      <c r="C2065" s="28" t="s">
        <v>2267</v>
      </c>
      <c r="D2065" s="26" t="s">
        <v>37</v>
      </c>
      <c r="E2065" s="31">
        <v>46229.0</v>
      </c>
      <c r="F2065" s="26" t="s">
        <v>46</v>
      </c>
      <c r="G2065" s="26">
        <v>11.0</v>
      </c>
      <c r="I2065" s="26" t="s">
        <v>42</v>
      </c>
      <c r="J2065" s="25" t="str">
        <f t="shared" si="34"/>
        <v>No</v>
      </c>
      <c r="K2065" s="25" t="str">
        <f t="shared" si="35"/>
        <v/>
      </c>
      <c r="L2065" s="25" t="str">
        <f t="shared" si="36"/>
        <v/>
      </c>
      <c r="M2065" s="25"/>
      <c r="O2065" s="25"/>
    </row>
    <row r="2066" ht="15.75" customHeight="1">
      <c r="A2066" s="25" t="str">
        <f>IFERROR(__xludf.DUMMYFUNCTION("IF(B2066="""","""",RIGHT(REGEXREPLACE(B2066&amp;"""",""[^0-9]"",""""),9))"),"766627870")</f>
        <v>766627870</v>
      </c>
      <c r="B2066" s="52">
        <v>7.6662787E8</v>
      </c>
      <c r="C2066" s="28" t="s">
        <v>2267</v>
      </c>
      <c r="D2066" s="26" t="s">
        <v>37</v>
      </c>
      <c r="E2066" s="31">
        <v>46229.0</v>
      </c>
      <c r="F2066" s="26" t="s">
        <v>41</v>
      </c>
      <c r="G2066" s="26">
        <v>11.0</v>
      </c>
      <c r="I2066" s="26" t="s">
        <v>42</v>
      </c>
      <c r="J2066" s="25" t="str">
        <f t="shared" si="34"/>
        <v>No</v>
      </c>
      <c r="K2066" s="25" t="str">
        <f t="shared" si="35"/>
        <v/>
      </c>
      <c r="L2066" s="25" t="str">
        <f t="shared" si="36"/>
        <v/>
      </c>
      <c r="M2066" s="25"/>
      <c r="O2066" s="25"/>
    </row>
    <row r="2067" ht="15.75" customHeight="1">
      <c r="A2067" s="25" t="str">
        <f>IFERROR(__xludf.DUMMYFUNCTION("IF(B2067="""","""",RIGHT(REGEXREPLACE(B2067&amp;"""",""[^0-9]"",""""),9))"),"768843739")</f>
        <v>768843739</v>
      </c>
      <c r="B2067" s="52">
        <v>7.68843739E8</v>
      </c>
      <c r="C2067" s="28" t="s">
        <v>2268</v>
      </c>
      <c r="D2067" s="26" t="s">
        <v>45</v>
      </c>
      <c r="E2067" s="31">
        <v>46229.0</v>
      </c>
      <c r="F2067" s="26" t="s">
        <v>205</v>
      </c>
      <c r="I2067" s="26" t="s">
        <v>42</v>
      </c>
      <c r="J2067" s="25" t="str">
        <f t="shared" si="34"/>
        <v>No</v>
      </c>
      <c r="K2067" s="25" t="str">
        <f t="shared" si="35"/>
        <v/>
      </c>
      <c r="L2067" s="25" t="str">
        <f t="shared" si="36"/>
        <v/>
      </c>
      <c r="M2067" s="25"/>
      <c r="O2067" s="25"/>
    </row>
    <row r="2068" ht="15.75" customHeight="1">
      <c r="A2068" s="25" t="str">
        <f>IFERROR(__xludf.DUMMYFUNCTION("IF(B2068="""","""",RIGHT(REGEXREPLACE(B2068&amp;"""",""[^0-9]"",""""),9))"),"750368685")</f>
        <v>750368685</v>
      </c>
      <c r="B2068" s="52">
        <v>7.50368685E8</v>
      </c>
      <c r="C2068" s="28" t="s">
        <v>2269</v>
      </c>
      <c r="D2068" s="26" t="s">
        <v>49</v>
      </c>
      <c r="E2068" s="31">
        <v>46229.0</v>
      </c>
      <c r="F2068" s="26" t="s">
        <v>41</v>
      </c>
      <c r="G2068" s="26">
        <v>11.0</v>
      </c>
      <c r="I2068" s="26" t="s">
        <v>42</v>
      </c>
      <c r="J2068" s="25" t="str">
        <f t="shared" si="34"/>
        <v>No</v>
      </c>
      <c r="K2068" s="25" t="str">
        <f t="shared" si="35"/>
        <v/>
      </c>
      <c r="L2068" s="25" t="str">
        <f t="shared" si="36"/>
        <v/>
      </c>
      <c r="M2068" s="25"/>
      <c r="O2068" s="25"/>
    </row>
    <row r="2069" ht="15.75" customHeight="1">
      <c r="A2069" s="25" t="str">
        <f>IFERROR(__xludf.DUMMYFUNCTION("IF(B2069="""","""",RIGHT(REGEXREPLACE(B2069&amp;"""",""[^0-9]"",""""),9))"),"705020805")</f>
        <v>705020805</v>
      </c>
      <c r="B2069" s="26">
        <v>7.05020805E8</v>
      </c>
      <c r="C2069" s="28" t="s">
        <v>251</v>
      </c>
      <c r="D2069" s="26" t="s">
        <v>37</v>
      </c>
      <c r="E2069" s="31">
        <v>46229.0</v>
      </c>
      <c r="F2069" s="26" t="s">
        <v>41</v>
      </c>
      <c r="I2069" s="26" t="s">
        <v>42</v>
      </c>
      <c r="J2069" s="25" t="str">
        <f t="shared" si="34"/>
        <v>No</v>
      </c>
      <c r="K2069" s="25" t="str">
        <f t="shared" si="35"/>
        <v/>
      </c>
      <c r="L2069" s="25" t="str">
        <f t="shared" si="36"/>
        <v/>
      </c>
      <c r="M2069" s="25"/>
      <c r="O2069" s="25"/>
    </row>
    <row r="2070" ht="15.75" customHeight="1">
      <c r="A2070" s="25" t="str">
        <f>IFERROR(__xludf.DUMMYFUNCTION("IF(B2070="""","""",RIGHT(REGEXREPLACE(B2070&amp;"""",""[^0-9]"",""""),9))"),"783758298")</f>
        <v>783758298</v>
      </c>
      <c r="B2070" s="52">
        <v>7.83758298E8</v>
      </c>
      <c r="C2070" s="28" t="s">
        <v>2270</v>
      </c>
      <c r="D2070" s="26" t="s">
        <v>56</v>
      </c>
      <c r="E2070" s="31">
        <v>46229.0</v>
      </c>
      <c r="F2070" s="26" t="s">
        <v>46</v>
      </c>
      <c r="G2070" s="26">
        <v>10.0</v>
      </c>
      <c r="I2070" s="26" t="s">
        <v>42</v>
      </c>
      <c r="J2070" s="25" t="str">
        <f t="shared" si="34"/>
        <v>No</v>
      </c>
      <c r="K2070" s="25" t="str">
        <f t="shared" si="35"/>
        <v/>
      </c>
      <c r="L2070" s="25" t="str">
        <f t="shared" si="36"/>
        <v/>
      </c>
      <c r="M2070" s="25"/>
      <c r="O2070" s="25"/>
    </row>
    <row r="2071" ht="15.75" customHeight="1">
      <c r="A2071" s="25" t="str">
        <f>IFERROR(__xludf.DUMMYFUNCTION("IF(B2071="""","""",RIGHT(REGEXREPLACE(B2071&amp;"""",""[^0-9]"",""""),9))"),"716050703")</f>
        <v>716050703</v>
      </c>
      <c r="B2071" s="52">
        <v>7.16050703E8</v>
      </c>
      <c r="C2071" s="28" t="s">
        <v>2271</v>
      </c>
      <c r="D2071" s="26" t="s">
        <v>45</v>
      </c>
      <c r="E2071" s="31">
        <v>46229.0</v>
      </c>
      <c r="F2071" s="26" t="s">
        <v>46</v>
      </c>
      <c r="G2071" s="26">
        <v>10.0</v>
      </c>
      <c r="I2071" s="26" t="s">
        <v>42</v>
      </c>
      <c r="J2071" s="25" t="str">
        <f t="shared" si="34"/>
        <v>No</v>
      </c>
      <c r="K2071" s="25" t="str">
        <f t="shared" si="35"/>
        <v/>
      </c>
      <c r="L2071" s="25" t="str">
        <f t="shared" si="36"/>
        <v/>
      </c>
      <c r="M2071" s="25"/>
      <c r="O2071" s="25"/>
    </row>
    <row r="2072" ht="15.75" customHeight="1">
      <c r="A2072" s="25" t="str">
        <f>IFERROR(__xludf.DUMMYFUNCTION("IF(B2072="""","""",RIGHT(REGEXREPLACE(B2072&amp;"""",""[^0-9]"",""""),9))"),"781110742")</f>
        <v>781110742</v>
      </c>
      <c r="B2072" s="26">
        <v>7.81110742E8</v>
      </c>
      <c r="C2072" s="28" t="s">
        <v>2272</v>
      </c>
      <c r="D2072" s="26" t="s">
        <v>37</v>
      </c>
      <c r="E2072" s="31">
        <v>46229.0</v>
      </c>
      <c r="F2072" s="26" t="s">
        <v>84</v>
      </c>
      <c r="G2072" s="26">
        <v>11.0</v>
      </c>
      <c r="I2072" s="26" t="s">
        <v>42</v>
      </c>
      <c r="J2072" s="25" t="str">
        <f t="shared" si="34"/>
        <v>No</v>
      </c>
      <c r="K2072" s="25" t="str">
        <f t="shared" si="35"/>
        <v/>
      </c>
      <c r="L2072" s="25" t="str">
        <f t="shared" si="36"/>
        <v/>
      </c>
      <c r="M2072" s="25"/>
      <c r="O2072" s="25"/>
    </row>
    <row r="2073" ht="15.75" customHeight="1">
      <c r="A2073" s="25" t="str">
        <f>IFERROR(__xludf.DUMMYFUNCTION("IF(B2073="""","""",RIGHT(REGEXREPLACE(B2073&amp;"""",""[^0-9]"",""""),9))"),"743600468")</f>
        <v>743600468</v>
      </c>
      <c r="B2073" s="52">
        <v>7.43600468E8</v>
      </c>
      <c r="C2073" s="28" t="s">
        <v>2273</v>
      </c>
      <c r="D2073" s="26" t="s">
        <v>49</v>
      </c>
      <c r="E2073" s="31">
        <v>46229.0</v>
      </c>
      <c r="F2073" s="26" t="s">
        <v>84</v>
      </c>
      <c r="G2073" s="26">
        <v>8.0</v>
      </c>
      <c r="I2073" s="26" t="s">
        <v>42</v>
      </c>
      <c r="J2073" s="25" t="str">
        <f t="shared" si="34"/>
        <v>No</v>
      </c>
      <c r="K2073" s="25" t="str">
        <f t="shared" si="35"/>
        <v/>
      </c>
      <c r="L2073" s="25" t="str">
        <f t="shared" si="36"/>
        <v/>
      </c>
      <c r="M2073" s="25"/>
      <c r="O2073" s="25"/>
    </row>
    <row r="2074" ht="15.75" customHeight="1">
      <c r="A2074" s="25" t="str">
        <f>IFERROR(__xludf.DUMMYFUNCTION("IF(B2074="""","""",RIGHT(REGEXREPLACE(B2074&amp;"""",""[^0-9]"",""""),9))"),"762229782")</f>
        <v>762229782</v>
      </c>
      <c r="B2074" s="52">
        <v>7.62229782E8</v>
      </c>
      <c r="C2074" s="28" t="s">
        <v>2274</v>
      </c>
      <c r="D2074" s="26" t="s">
        <v>64</v>
      </c>
      <c r="E2074" s="31">
        <v>46229.0</v>
      </c>
      <c r="F2074" s="26" t="s">
        <v>46</v>
      </c>
      <c r="G2074" s="26">
        <v>10.0</v>
      </c>
      <c r="I2074" s="26" t="s">
        <v>42</v>
      </c>
      <c r="J2074" s="25" t="str">
        <f t="shared" si="34"/>
        <v>No</v>
      </c>
      <c r="K2074" s="25" t="str">
        <f t="shared" si="35"/>
        <v/>
      </c>
      <c r="L2074" s="25" t="str">
        <f t="shared" si="36"/>
        <v/>
      </c>
      <c r="M2074" s="25"/>
      <c r="O2074" s="25"/>
    </row>
    <row r="2075" ht="15.75" customHeight="1">
      <c r="A2075" s="25" t="str">
        <f>IFERROR(__xludf.DUMMYFUNCTION("IF(B2075="""","""",RIGHT(REGEXREPLACE(B2075&amp;"""",""[^0-9]"",""""),9))"),"775050091")</f>
        <v>775050091</v>
      </c>
      <c r="B2075" s="26">
        <v>7.75050091E8</v>
      </c>
      <c r="C2075" s="28" t="s">
        <v>2275</v>
      </c>
      <c r="D2075" s="26" t="s">
        <v>37</v>
      </c>
      <c r="E2075" s="31">
        <v>46229.0</v>
      </c>
      <c r="F2075" s="26" t="s">
        <v>46</v>
      </c>
      <c r="G2075" s="26">
        <v>11.0</v>
      </c>
      <c r="I2075" s="26" t="s">
        <v>42</v>
      </c>
      <c r="J2075" s="25" t="str">
        <f t="shared" si="34"/>
        <v>No</v>
      </c>
      <c r="K2075" s="25" t="str">
        <f t="shared" si="35"/>
        <v/>
      </c>
      <c r="L2075" s="25" t="str">
        <f t="shared" si="36"/>
        <v/>
      </c>
      <c r="M2075" s="25"/>
      <c r="O2075" s="25"/>
    </row>
    <row r="2076" ht="15.75" customHeight="1">
      <c r="A2076" s="25" t="str">
        <f>IFERROR(__xludf.DUMMYFUNCTION("IF(B2076="""","""",RIGHT(REGEXREPLACE(B2076&amp;"""",""[^0-9]"",""""),9))"),"787159525")</f>
        <v>787159525</v>
      </c>
      <c r="B2076" s="52">
        <v>7.87159525E8</v>
      </c>
      <c r="C2076" s="28" t="s">
        <v>2276</v>
      </c>
      <c r="D2076" s="26" t="s">
        <v>49</v>
      </c>
      <c r="E2076" s="31">
        <v>46229.0</v>
      </c>
      <c r="F2076" s="26" t="s">
        <v>659</v>
      </c>
      <c r="I2076" s="26" t="s">
        <v>42</v>
      </c>
      <c r="J2076" s="25" t="str">
        <f t="shared" si="34"/>
        <v>No</v>
      </c>
      <c r="K2076" s="25" t="str">
        <f t="shared" si="35"/>
        <v/>
      </c>
      <c r="L2076" s="25" t="str">
        <f t="shared" si="36"/>
        <v/>
      </c>
      <c r="M2076" s="25"/>
      <c r="O2076" s="25"/>
    </row>
    <row r="2077" ht="15.75" customHeight="1">
      <c r="A2077" s="25" t="str">
        <f>IFERROR(__xludf.DUMMYFUNCTION("IF(B2077="""","""",RIGHT(REGEXREPLACE(B2077&amp;"""",""[^0-9]"",""""),9))"),"703122121")</f>
        <v>703122121</v>
      </c>
      <c r="B2077" s="52">
        <v>7.03122121E8</v>
      </c>
      <c r="C2077" s="28" t="s">
        <v>2277</v>
      </c>
      <c r="D2077" s="26" t="s">
        <v>56</v>
      </c>
      <c r="E2077" s="31">
        <v>46229.0</v>
      </c>
      <c r="F2077" s="26" t="s">
        <v>659</v>
      </c>
      <c r="G2077" s="26">
        <v>11.0</v>
      </c>
      <c r="I2077" s="26" t="s">
        <v>42</v>
      </c>
      <c r="J2077" s="25" t="str">
        <f t="shared" si="34"/>
        <v>No</v>
      </c>
      <c r="K2077" s="25" t="str">
        <f t="shared" si="35"/>
        <v/>
      </c>
      <c r="L2077" s="25" t="str">
        <f t="shared" si="36"/>
        <v/>
      </c>
      <c r="M2077" s="25"/>
      <c r="O2077" s="25"/>
    </row>
    <row r="2078" ht="15.75" customHeight="1">
      <c r="A2078" s="25" t="str">
        <f>IFERROR(__xludf.DUMMYFUNCTION("IF(B2078="""","""",RIGHT(REGEXREPLACE(B2078&amp;"""",""[^0-9]"",""""),9))"),"714690136")</f>
        <v>714690136</v>
      </c>
      <c r="B2078" s="52">
        <v>7.14690136E8</v>
      </c>
      <c r="C2078" s="28" t="s">
        <v>2278</v>
      </c>
      <c r="D2078" s="26" t="s">
        <v>45</v>
      </c>
      <c r="E2078" s="31">
        <v>46229.0</v>
      </c>
      <c r="F2078" s="26" t="s">
        <v>41</v>
      </c>
      <c r="I2078" s="26" t="s">
        <v>42</v>
      </c>
      <c r="J2078" s="25" t="str">
        <f t="shared" si="34"/>
        <v>No</v>
      </c>
      <c r="K2078" s="25" t="str">
        <f t="shared" si="35"/>
        <v/>
      </c>
      <c r="L2078" s="25" t="str">
        <f t="shared" si="36"/>
        <v/>
      </c>
      <c r="M2078" s="25"/>
      <c r="O2078" s="25"/>
    </row>
    <row r="2079" ht="15.75" customHeight="1">
      <c r="A2079" s="25" t="str">
        <f>IFERROR(__xludf.DUMMYFUNCTION("IF(B2079="""","""",RIGHT(REGEXREPLACE(B2079&amp;"""",""[^0-9]"",""""),9))"),"764873492")</f>
        <v>764873492</v>
      </c>
      <c r="B2079" s="52">
        <v>7.64873492E8</v>
      </c>
      <c r="C2079" s="28" t="s">
        <v>2279</v>
      </c>
      <c r="D2079" s="26" t="s">
        <v>64</v>
      </c>
      <c r="E2079" s="31">
        <v>46229.0</v>
      </c>
      <c r="F2079" s="26" t="s">
        <v>205</v>
      </c>
      <c r="I2079" s="26" t="s">
        <v>42</v>
      </c>
      <c r="J2079" s="25" t="str">
        <f t="shared" si="34"/>
        <v>No</v>
      </c>
      <c r="K2079" s="25" t="str">
        <f t="shared" si="35"/>
        <v/>
      </c>
      <c r="L2079" s="25" t="str">
        <f t="shared" si="36"/>
        <v/>
      </c>
      <c r="M2079" s="25"/>
      <c r="O2079" s="25"/>
    </row>
    <row r="2080" ht="15.75" customHeight="1">
      <c r="A2080" s="25" t="str">
        <f>IFERROR(__xludf.DUMMYFUNCTION("IF(B2080="""","""",RIGHT(REGEXREPLACE(B2080&amp;"""",""[^0-9]"",""""),9))"),"754827141")</f>
        <v>754827141</v>
      </c>
      <c r="B2080" s="52">
        <v>7.54827141E8</v>
      </c>
      <c r="C2080" s="28" t="s">
        <v>2280</v>
      </c>
      <c r="D2080" s="26" t="s">
        <v>45</v>
      </c>
      <c r="E2080" s="31">
        <v>46229.0</v>
      </c>
      <c r="F2080" s="26" t="s">
        <v>84</v>
      </c>
      <c r="I2080" s="26" t="s">
        <v>42</v>
      </c>
      <c r="J2080" s="25" t="str">
        <f t="shared" si="34"/>
        <v>No</v>
      </c>
      <c r="K2080" s="25" t="str">
        <f t="shared" si="35"/>
        <v/>
      </c>
      <c r="L2080" s="25" t="str">
        <f t="shared" si="36"/>
        <v/>
      </c>
      <c r="M2080" s="25"/>
      <c r="O2080" s="25"/>
    </row>
    <row r="2081" ht="15.75" customHeight="1">
      <c r="A2081" s="25" t="str">
        <f>IFERROR(__xludf.DUMMYFUNCTION("IF(B2081="""","""",RIGHT(REGEXREPLACE(B2081&amp;"""",""[^0-9]"",""""),9))"),"772852192")</f>
        <v>772852192</v>
      </c>
      <c r="B2081" s="52">
        <v>7.72852192E8</v>
      </c>
      <c r="C2081" s="28" t="s">
        <v>2281</v>
      </c>
      <c r="D2081" s="26" t="s">
        <v>56</v>
      </c>
      <c r="E2081" s="31">
        <v>46229.0</v>
      </c>
      <c r="F2081" s="26" t="s">
        <v>46</v>
      </c>
      <c r="G2081" s="26">
        <v>11.0</v>
      </c>
      <c r="I2081" s="26" t="s">
        <v>42</v>
      </c>
      <c r="J2081" s="25" t="str">
        <f t="shared" si="34"/>
        <v>No</v>
      </c>
      <c r="K2081" s="25" t="str">
        <f t="shared" si="35"/>
        <v/>
      </c>
      <c r="L2081" s="25" t="str">
        <f t="shared" si="36"/>
        <v/>
      </c>
      <c r="M2081" s="25"/>
      <c r="O2081" s="25"/>
    </row>
    <row r="2082" ht="15.75" customHeight="1">
      <c r="A2082" s="25" t="str">
        <f>IFERROR(__xludf.DUMMYFUNCTION("IF(B2082="""","""",RIGHT(REGEXREPLACE(B2082&amp;"""",""[^0-9]"",""""),9))"),"774032641")</f>
        <v>774032641</v>
      </c>
      <c r="B2082" s="52">
        <v>7.74032641E8</v>
      </c>
      <c r="C2082" s="28" t="s">
        <v>2282</v>
      </c>
      <c r="D2082" s="26" t="s">
        <v>64</v>
      </c>
      <c r="E2082" s="31">
        <v>46229.0</v>
      </c>
      <c r="F2082" s="26" t="s">
        <v>41</v>
      </c>
      <c r="I2082" s="26" t="s">
        <v>42</v>
      </c>
      <c r="J2082" s="25" t="str">
        <f t="shared" si="34"/>
        <v>No</v>
      </c>
      <c r="K2082" s="25" t="str">
        <f t="shared" si="35"/>
        <v/>
      </c>
      <c r="L2082" s="25" t="str">
        <f t="shared" si="36"/>
        <v/>
      </c>
      <c r="M2082" s="25"/>
      <c r="O2082" s="25"/>
    </row>
    <row r="2083" ht="15.75" customHeight="1">
      <c r="A2083" s="25" t="str">
        <f>IFERROR(__xludf.DUMMYFUNCTION("IF(B2083="""","""",RIGHT(REGEXREPLACE(B2083&amp;"""",""[^0-9]"",""""),9))"),"768437588")</f>
        <v>768437588</v>
      </c>
      <c r="B2083" s="52">
        <v>7.68437588E8</v>
      </c>
      <c r="C2083" s="28" t="s">
        <v>2283</v>
      </c>
      <c r="D2083" s="26" t="s">
        <v>45</v>
      </c>
      <c r="E2083" s="31">
        <v>46229.0</v>
      </c>
      <c r="F2083" s="26" t="s">
        <v>46</v>
      </c>
      <c r="G2083" s="26">
        <v>11.0</v>
      </c>
      <c r="I2083" s="26" t="s">
        <v>42</v>
      </c>
      <c r="J2083" s="25" t="str">
        <f t="shared" si="34"/>
        <v>No</v>
      </c>
      <c r="K2083" s="25" t="str">
        <f t="shared" si="35"/>
        <v/>
      </c>
      <c r="L2083" s="25" t="str">
        <f t="shared" si="36"/>
        <v/>
      </c>
      <c r="M2083" s="25"/>
      <c r="O2083" s="25"/>
    </row>
    <row r="2084" ht="15.75" customHeight="1">
      <c r="A2084" s="25" t="str">
        <f>IFERROR(__xludf.DUMMYFUNCTION("IF(B2084="""","""",RIGHT(REGEXREPLACE(B2084&amp;"""",""[^0-9]"",""""),9))"),"723621763")</f>
        <v>723621763</v>
      </c>
      <c r="B2084" s="52">
        <v>7.23621763E8</v>
      </c>
      <c r="C2084" s="28" t="s">
        <v>2284</v>
      </c>
      <c r="D2084" s="26" t="s">
        <v>45</v>
      </c>
      <c r="E2084" s="31">
        <v>46229.0</v>
      </c>
      <c r="F2084" s="26" t="s">
        <v>41</v>
      </c>
      <c r="I2084" s="26" t="s">
        <v>42</v>
      </c>
      <c r="J2084" s="25" t="str">
        <f t="shared" si="34"/>
        <v>No</v>
      </c>
      <c r="K2084" s="25" t="str">
        <f t="shared" si="35"/>
        <v/>
      </c>
      <c r="L2084" s="25" t="str">
        <f t="shared" si="36"/>
        <v/>
      </c>
      <c r="M2084" s="25"/>
      <c r="O2084" s="25"/>
    </row>
    <row r="2085" ht="15.75" customHeight="1">
      <c r="A2085" s="25" t="str">
        <f>IFERROR(__xludf.DUMMYFUNCTION("IF(B2085="""","""",RIGHT(REGEXREPLACE(B2085&amp;"""",""[^0-9]"",""""),9))"),"789353552")</f>
        <v>789353552</v>
      </c>
      <c r="B2085" s="52">
        <v>7.89353552E8</v>
      </c>
      <c r="C2085" s="28" t="s">
        <v>2285</v>
      </c>
      <c r="D2085" s="26" t="s">
        <v>45</v>
      </c>
      <c r="E2085" s="31">
        <v>46229.0</v>
      </c>
      <c r="F2085" s="26" t="s">
        <v>41</v>
      </c>
      <c r="I2085" s="26" t="s">
        <v>42</v>
      </c>
      <c r="J2085" s="25" t="str">
        <f t="shared" si="34"/>
        <v>No</v>
      </c>
      <c r="K2085" s="25" t="str">
        <f t="shared" si="35"/>
        <v/>
      </c>
      <c r="L2085" s="25" t="str">
        <f t="shared" si="36"/>
        <v/>
      </c>
      <c r="M2085" s="25"/>
      <c r="O2085" s="25"/>
    </row>
    <row r="2086" ht="15.75" customHeight="1">
      <c r="A2086" s="25" t="str">
        <f>IFERROR(__xludf.DUMMYFUNCTION("IF(B2086="""","""",RIGHT(REGEXREPLACE(B2086&amp;"""",""[^0-9]"",""""),9))"),"779484436")</f>
        <v>779484436</v>
      </c>
      <c r="B2086" s="52">
        <v>7.79484436E8</v>
      </c>
      <c r="C2086" s="28" t="s">
        <v>2286</v>
      </c>
      <c r="D2086" s="26" t="s">
        <v>45</v>
      </c>
      <c r="E2086" s="31">
        <v>46229.0</v>
      </c>
      <c r="F2086" s="26" t="s">
        <v>46</v>
      </c>
      <c r="G2086" s="26">
        <v>11.0</v>
      </c>
      <c r="I2086" s="26" t="s">
        <v>42</v>
      </c>
      <c r="J2086" s="25" t="str">
        <f t="shared" si="34"/>
        <v>No</v>
      </c>
      <c r="K2086" s="25" t="str">
        <f t="shared" si="35"/>
        <v/>
      </c>
      <c r="L2086" s="25" t="str">
        <f t="shared" si="36"/>
        <v/>
      </c>
      <c r="M2086" s="25"/>
      <c r="O2086" s="25"/>
    </row>
    <row r="2087" ht="15.75" customHeight="1">
      <c r="A2087" s="25" t="str">
        <f>IFERROR(__xludf.DUMMYFUNCTION("IF(B2087="""","""",RIGHT(REGEXREPLACE(B2087&amp;"""",""[^0-9]"",""""),9))"),"757799370")</f>
        <v>757799370</v>
      </c>
      <c r="B2087" s="52">
        <v>7.5779937E8</v>
      </c>
      <c r="C2087" s="28" t="s">
        <v>2287</v>
      </c>
      <c r="D2087" s="26" t="s">
        <v>45</v>
      </c>
      <c r="E2087" s="31">
        <v>46229.0</v>
      </c>
      <c r="F2087" s="26" t="s">
        <v>84</v>
      </c>
      <c r="I2087" s="26" t="s">
        <v>42</v>
      </c>
      <c r="J2087" s="25" t="str">
        <f t="shared" si="34"/>
        <v>No</v>
      </c>
      <c r="K2087" s="25" t="str">
        <f t="shared" si="35"/>
        <v/>
      </c>
      <c r="L2087" s="25" t="str">
        <f t="shared" si="36"/>
        <v/>
      </c>
      <c r="M2087" s="25"/>
      <c r="O2087" s="25"/>
    </row>
    <row r="2088" ht="15.75" customHeight="1">
      <c r="A2088" s="25" t="str">
        <f>IFERROR(__xludf.DUMMYFUNCTION("IF(B2088="""","""",RIGHT(REGEXREPLACE(B2088&amp;"""",""[^0-9]"",""""),9))"),"777389511")</f>
        <v>777389511</v>
      </c>
      <c r="B2088" s="52">
        <v>7.77389511E8</v>
      </c>
      <c r="C2088" s="28" t="s">
        <v>2288</v>
      </c>
      <c r="D2088" s="26" t="s">
        <v>45</v>
      </c>
      <c r="E2088" s="31">
        <v>46229.0</v>
      </c>
      <c r="F2088" s="26" t="s">
        <v>125</v>
      </c>
      <c r="I2088" s="26" t="s">
        <v>42</v>
      </c>
      <c r="J2088" s="25" t="str">
        <f t="shared" si="34"/>
        <v>No</v>
      </c>
      <c r="K2088" s="25" t="str">
        <f t="shared" si="35"/>
        <v/>
      </c>
      <c r="L2088" s="25" t="str">
        <f t="shared" si="36"/>
        <v/>
      </c>
      <c r="M2088" s="25"/>
      <c r="O2088" s="25"/>
    </row>
    <row r="2089" ht="15.75" customHeight="1">
      <c r="A2089" s="25" t="str">
        <f>IFERROR(__xludf.DUMMYFUNCTION("IF(B2089="""","""",RIGHT(REGEXREPLACE(B2089&amp;"""",""[^0-9]"",""""),9))"),"770754081")</f>
        <v>770754081</v>
      </c>
      <c r="B2089" s="26">
        <v>7.70754081E8</v>
      </c>
      <c r="C2089" s="28" t="s">
        <v>1037</v>
      </c>
      <c r="D2089" s="26" t="s">
        <v>37</v>
      </c>
      <c r="E2089" s="31">
        <v>46229.0</v>
      </c>
      <c r="F2089" s="26" t="s">
        <v>659</v>
      </c>
      <c r="I2089" s="26" t="s">
        <v>42</v>
      </c>
      <c r="J2089" s="25" t="str">
        <f t="shared" si="34"/>
        <v>No</v>
      </c>
      <c r="K2089" s="25" t="str">
        <f t="shared" si="35"/>
        <v/>
      </c>
      <c r="L2089" s="25" t="str">
        <f t="shared" si="36"/>
        <v/>
      </c>
      <c r="M2089" s="25"/>
      <c r="O2089" s="25"/>
    </row>
    <row r="2090" ht="15.75" customHeight="1">
      <c r="A2090" s="25" t="str">
        <f>IFERROR(__xludf.DUMMYFUNCTION("IF(B2090="""","""",RIGHT(REGEXREPLACE(B2090&amp;"""",""[^0-9]"",""""),9))"),"703642100")</f>
        <v>703642100</v>
      </c>
      <c r="B2090" s="52">
        <v>7.036421E8</v>
      </c>
      <c r="C2090" s="28" t="s">
        <v>1002</v>
      </c>
      <c r="D2090" s="26" t="s">
        <v>45</v>
      </c>
      <c r="E2090" s="31">
        <v>46229.0</v>
      </c>
      <c r="F2090" s="26" t="s">
        <v>41</v>
      </c>
      <c r="I2090" s="26" t="s">
        <v>42</v>
      </c>
      <c r="J2090" s="25" t="str">
        <f t="shared" si="34"/>
        <v>Yes - see Previous F-Code</v>
      </c>
      <c r="K2090" s="25" t="str">
        <f t="shared" si="35"/>
        <v>DUPLICATE - CHECK</v>
      </c>
      <c r="L2090" s="25" t="str">
        <f t="shared" si="36"/>
        <v>F70749</v>
      </c>
      <c r="M2090" s="25"/>
      <c r="O2090" s="25"/>
    </row>
    <row r="2091" ht="15.75" customHeight="1">
      <c r="A2091" s="25" t="str">
        <f>IFERROR(__xludf.DUMMYFUNCTION("IF(B2091="""","""",RIGHT(REGEXREPLACE(B2091&amp;"""",""[^0-9]"",""""),9))"),"712593998")</f>
        <v>712593998</v>
      </c>
      <c r="B2091" s="26">
        <v>7.12593998E8</v>
      </c>
      <c r="C2091" s="28" t="s">
        <v>2289</v>
      </c>
      <c r="D2091" s="26" t="s">
        <v>37</v>
      </c>
      <c r="E2091" s="31">
        <v>46229.0</v>
      </c>
      <c r="F2091" s="26" t="s">
        <v>41</v>
      </c>
      <c r="I2091" s="26" t="s">
        <v>42</v>
      </c>
      <c r="J2091" s="25" t="str">
        <f t="shared" si="34"/>
        <v>No</v>
      </c>
      <c r="K2091" s="25" t="str">
        <f t="shared" si="35"/>
        <v/>
      </c>
      <c r="L2091" s="25" t="str">
        <f t="shared" si="36"/>
        <v/>
      </c>
      <c r="M2091" s="25"/>
      <c r="O2091" s="25"/>
    </row>
    <row r="2092" ht="15.75" customHeight="1">
      <c r="A2092" s="25" t="str">
        <f>IFERROR(__xludf.DUMMYFUNCTION("IF(B2092="""","""",RIGHT(REGEXREPLACE(B2092&amp;"""",""[^0-9]"",""""),9))"),"761833737")</f>
        <v>761833737</v>
      </c>
      <c r="B2092" s="52">
        <v>7.61833737E8</v>
      </c>
      <c r="C2092" s="28" t="s">
        <v>2290</v>
      </c>
      <c r="D2092" s="26" t="s">
        <v>56</v>
      </c>
      <c r="E2092" s="31">
        <v>46229.0</v>
      </c>
      <c r="F2092" s="26" t="s">
        <v>41</v>
      </c>
      <c r="I2092" s="26" t="s">
        <v>42</v>
      </c>
      <c r="J2092" s="25" t="str">
        <f t="shared" si="34"/>
        <v>No</v>
      </c>
      <c r="K2092" s="25" t="str">
        <f t="shared" si="35"/>
        <v/>
      </c>
      <c r="L2092" s="25" t="str">
        <f t="shared" si="36"/>
        <v/>
      </c>
      <c r="M2092" s="25"/>
      <c r="O2092" s="25"/>
    </row>
    <row r="2093" ht="15.75" customHeight="1">
      <c r="A2093" s="25" t="str">
        <f>IFERROR(__xludf.DUMMYFUNCTION("IF(B2093="""","""",RIGHT(REGEXREPLACE(B2093&amp;"""",""[^0-9]"",""""),9))"),"768307985")</f>
        <v>768307985</v>
      </c>
      <c r="B2093" s="52">
        <v>7.68307985E8</v>
      </c>
      <c r="C2093" s="28" t="s">
        <v>2291</v>
      </c>
      <c r="D2093" s="26" t="s">
        <v>49</v>
      </c>
      <c r="E2093" s="31">
        <v>46229.0</v>
      </c>
      <c r="F2093" s="26" t="s">
        <v>41</v>
      </c>
      <c r="I2093" s="26" t="s">
        <v>42</v>
      </c>
      <c r="J2093" s="25" t="str">
        <f t="shared" si="34"/>
        <v>No</v>
      </c>
      <c r="K2093" s="25" t="str">
        <f t="shared" si="35"/>
        <v/>
      </c>
      <c r="L2093" s="25" t="str">
        <f t="shared" si="36"/>
        <v/>
      </c>
      <c r="M2093" s="25"/>
      <c r="O2093" s="25"/>
    </row>
    <row r="2094" ht="15.75" customHeight="1">
      <c r="A2094" s="25" t="str">
        <f>IFERROR(__xludf.DUMMYFUNCTION("IF(B2094="""","""",RIGHT(REGEXREPLACE(B2094&amp;"""",""[^0-9]"",""""),9))"),"771135498")</f>
        <v>771135498</v>
      </c>
      <c r="B2094" s="52">
        <v>7.71135498E8</v>
      </c>
      <c r="C2094" s="28" t="s">
        <v>2292</v>
      </c>
      <c r="D2094" s="26" t="s">
        <v>64</v>
      </c>
      <c r="E2094" s="31">
        <v>46229.0</v>
      </c>
      <c r="F2094" s="26" t="s">
        <v>46</v>
      </c>
      <c r="H2094" s="26" t="s">
        <v>2293</v>
      </c>
      <c r="I2094" s="26" t="s">
        <v>42</v>
      </c>
      <c r="J2094" s="25" t="str">
        <f t="shared" si="34"/>
        <v>No</v>
      </c>
      <c r="K2094" s="25" t="str">
        <f t="shared" si="35"/>
        <v/>
      </c>
      <c r="L2094" s="25" t="str">
        <f t="shared" si="36"/>
        <v/>
      </c>
      <c r="M2094" s="25"/>
      <c r="O2094" s="25"/>
    </row>
    <row r="2095" ht="15.75" customHeight="1">
      <c r="A2095" s="25" t="str">
        <f>IFERROR(__xludf.DUMMYFUNCTION("IF(B2095="""","""",RIGHT(REGEXREPLACE(B2095&amp;"""",""[^0-9]"",""""),9))"),"719470594")</f>
        <v>719470594</v>
      </c>
      <c r="B2095" s="52">
        <v>7.19470594E8</v>
      </c>
      <c r="C2095" s="28" t="s">
        <v>2294</v>
      </c>
      <c r="D2095" s="26" t="s">
        <v>49</v>
      </c>
      <c r="E2095" s="31">
        <v>46229.0</v>
      </c>
      <c r="F2095" s="26" t="s">
        <v>41</v>
      </c>
      <c r="G2095" s="26">
        <v>11.0</v>
      </c>
      <c r="I2095" s="26" t="s">
        <v>42</v>
      </c>
      <c r="J2095" s="25" t="str">
        <f t="shared" si="34"/>
        <v>No</v>
      </c>
      <c r="K2095" s="25" t="str">
        <f t="shared" si="35"/>
        <v/>
      </c>
      <c r="L2095" s="25" t="str">
        <f t="shared" si="36"/>
        <v/>
      </c>
      <c r="M2095" s="25"/>
      <c r="O2095" s="25"/>
    </row>
    <row r="2096" ht="15.75" customHeight="1">
      <c r="A2096" s="25" t="str">
        <f>IFERROR(__xludf.DUMMYFUNCTION("IF(B2096="""","""",RIGHT(REGEXREPLACE(B2096&amp;"""",""[^0-9]"",""""),9))"),"740186840")</f>
        <v>740186840</v>
      </c>
      <c r="B2096" s="52">
        <v>7.4018684E8</v>
      </c>
      <c r="C2096" s="28" t="s">
        <v>2295</v>
      </c>
      <c r="D2096" s="26" t="s">
        <v>56</v>
      </c>
      <c r="E2096" s="31">
        <v>46229.0</v>
      </c>
      <c r="F2096" s="26" t="s">
        <v>41</v>
      </c>
      <c r="G2096" s="26">
        <v>11.0</v>
      </c>
      <c r="I2096" s="26" t="s">
        <v>42</v>
      </c>
      <c r="J2096" s="25" t="str">
        <f t="shared" si="34"/>
        <v>No</v>
      </c>
      <c r="K2096" s="25" t="str">
        <f t="shared" si="35"/>
        <v/>
      </c>
      <c r="L2096" s="25" t="str">
        <f t="shared" si="36"/>
        <v/>
      </c>
      <c r="M2096" s="25"/>
      <c r="O2096" s="25"/>
    </row>
    <row r="2097" ht="15.75" customHeight="1">
      <c r="A2097" s="25" t="str">
        <f>IFERROR(__xludf.DUMMYFUNCTION("IF(B2097="""","""",RIGHT(REGEXREPLACE(B2097&amp;"""",""[^0-9]"",""""),9))"),"704933341")</f>
        <v>704933341</v>
      </c>
      <c r="B2097" s="52">
        <v>7.04933341E8</v>
      </c>
      <c r="C2097" s="28" t="s">
        <v>824</v>
      </c>
      <c r="D2097" s="26" t="s">
        <v>64</v>
      </c>
      <c r="E2097" s="31">
        <v>46229.0</v>
      </c>
      <c r="F2097" s="26" t="s">
        <v>41</v>
      </c>
      <c r="I2097" s="26" t="s">
        <v>42</v>
      </c>
      <c r="J2097" s="25" t="str">
        <f t="shared" si="34"/>
        <v>No</v>
      </c>
      <c r="K2097" s="25" t="str">
        <f t="shared" si="35"/>
        <v/>
      </c>
      <c r="L2097" s="25" t="str">
        <f t="shared" si="36"/>
        <v/>
      </c>
      <c r="M2097" s="25"/>
      <c r="O2097" s="25"/>
    </row>
    <row r="2098" ht="15.75" customHeight="1">
      <c r="A2098" s="25" t="str">
        <f>IFERROR(__xludf.DUMMYFUNCTION("IF(B2098="""","""",RIGHT(REGEXREPLACE(B2098&amp;"""",""[^0-9]"",""""),9))"),"758388832")</f>
        <v>758388832</v>
      </c>
      <c r="B2098" s="52">
        <v>7.58388832E8</v>
      </c>
      <c r="C2098" s="28" t="s">
        <v>2296</v>
      </c>
      <c r="D2098" s="26" t="s">
        <v>49</v>
      </c>
      <c r="E2098" s="31">
        <v>46229.0</v>
      </c>
      <c r="F2098" s="26" t="s">
        <v>46</v>
      </c>
      <c r="G2098" s="26">
        <v>10.0</v>
      </c>
      <c r="I2098" s="26" t="s">
        <v>42</v>
      </c>
      <c r="J2098" s="25" t="str">
        <f t="shared" si="34"/>
        <v>No</v>
      </c>
      <c r="K2098" s="25" t="str">
        <f t="shared" si="35"/>
        <v/>
      </c>
      <c r="L2098" s="25" t="str">
        <f t="shared" si="36"/>
        <v/>
      </c>
      <c r="M2098" s="25"/>
      <c r="O2098" s="25"/>
    </row>
    <row r="2099" ht="15.75" customHeight="1">
      <c r="A2099" s="25" t="str">
        <f>IFERROR(__xludf.DUMMYFUNCTION("IF(B2099="""","""",RIGHT(REGEXREPLACE(B2099&amp;"""",""[^0-9]"",""""),9))"),"771223713")</f>
        <v>771223713</v>
      </c>
      <c r="B2099" s="47">
        <v>7.71223713E8</v>
      </c>
      <c r="C2099" s="28" t="s">
        <v>2297</v>
      </c>
      <c r="D2099" s="26" t="s">
        <v>56</v>
      </c>
      <c r="E2099" s="31">
        <v>46229.0</v>
      </c>
      <c r="F2099" s="26" t="s">
        <v>46</v>
      </c>
      <c r="G2099" s="26">
        <v>11.0</v>
      </c>
      <c r="I2099" s="26" t="s">
        <v>42</v>
      </c>
      <c r="J2099" s="25" t="str">
        <f t="shared" si="34"/>
        <v>No</v>
      </c>
      <c r="K2099" s="25" t="str">
        <f t="shared" si="35"/>
        <v/>
      </c>
      <c r="L2099" s="25" t="str">
        <f t="shared" si="36"/>
        <v/>
      </c>
      <c r="M2099" s="25"/>
      <c r="O2099" s="25"/>
    </row>
    <row r="2100" ht="15.75" customHeight="1">
      <c r="A2100" s="25" t="str">
        <f>IFERROR(__xludf.DUMMYFUNCTION("IF(B2100="""","""",RIGHT(REGEXREPLACE(B2100&amp;"""",""[^0-9]"",""""),9))"),"728095496")</f>
        <v>728095496</v>
      </c>
      <c r="B2100" s="52">
        <v>7.28095496E8</v>
      </c>
      <c r="C2100" s="28" t="s">
        <v>2298</v>
      </c>
      <c r="D2100" s="26" t="s">
        <v>45</v>
      </c>
      <c r="E2100" s="31">
        <v>46229.0</v>
      </c>
      <c r="F2100" s="26" t="s">
        <v>46</v>
      </c>
      <c r="G2100" s="26">
        <v>11.0</v>
      </c>
      <c r="I2100" s="26" t="s">
        <v>42</v>
      </c>
      <c r="J2100" s="25" t="str">
        <f t="shared" si="34"/>
        <v>No</v>
      </c>
      <c r="K2100" s="25" t="str">
        <f t="shared" si="35"/>
        <v/>
      </c>
      <c r="L2100" s="25" t="str">
        <f t="shared" si="36"/>
        <v/>
      </c>
      <c r="M2100" s="25"/>
      <c r="O2100" s="25"/>
    </row>
    <row r="2101" ht="15.75" customHeight="1">
      <c r="A2101" s="25" t="str">
        <f>IFERROR(__xludf.DUMMYFUNCTION("IF(B2101="""","""",RIGHT(REGEXREPLACE(B2101&amp;"""",""[^0-9]"",""""),9))"),"776489625")</f>
        <v>776489625</v>
      </c>
      <c r="B2101" s="52">
        <v>7.76489625E8</v>
      </c>
      <c r="C2101" s="28" t="s">
        <v>2299</v>
      </c>
      <c r="D2101" s="26" t="s">
        <v>49</v>
      </c>
      <c r="E2101" s="31">
        <v>46229.0</v>
      </c>
      <c r="F2101" s="26" t="s">
        <v>41</v>
      </c>
      <c r="G2101" s="26">
        <v>11.0</v>
      </c>
      <c r="I2101" s="26" t="s">
        <v>42</v>
      </c>
      <c r="J2101" s="25" t="str">
        <f t="shared" si="34"/>
        <v>No</v>
      </c>
      <c r="K2101" s="25" t="str">
        <f t="shared" si="35"/>
        <v/>
      </c>
      <c r="L2101" s="25" t="str">
        <f t="shared" si="36"/>
        <v/>
      </c>
      <c r="M2101" s="25"/>
      <c r="O2101" s="25"/>
    </row>
    <row r="2102" ht="15.75" customHeight="1">
      <c r="A2102" s="25" t="str">
        <f>IFERROR(__xludf.DUMMYFUNCTION("IF(B2102="""","""",RIGHT(REGEXREPLACE(B2102&amp;"""",""[^0-9]"",""""),9))"),"772181101")</f>
        <v>772181101</v>
      </c>
      <c r="B2102" s="52">
        <v>7.72181101E8</v>
      </c>
      <c r="C2102" s="28" t="s">
        <v>2300</v>
      </c>
      <c r="D2102" s="26" t="s">
        <v>64</v>
      </c>
      <c r="E2102" s="31">
        <v>46229.0</v>
      </c>
      <c r="F2102" s="26" t="s">
        <v>41</v>
      </c>
      <c r="I2102" s="26" t="s">
        <v>42</v>
      </c>
      <c r="J2102" s="25" t="str">
        <f t="shared" si="34"/>
        <v>No</v>
      </c>
      <c r="K2102" s="25" t="str">
        <f t="shared" si="35"/>
        <v/>
      </c>
      <c r="L2102" s="25" t="str">
        <f t="shared" si="36"/>
        <v/>
      </c>
      <c r="M2102" s="25"/>
      <c r="O2102" s="25"/>
    </row>
    <row r="2103" ht="15.75" customHeight="1">
      <c r="A2103" s="25" t="str">
        <f>IFERROR(__xludf.DUMMYFUNCTION("IF(B2103="""","""",RIGHT(REGEXREPLACE(B2103&amp;"""",""[^0-9]"",""""),9))"),"774308841")</f>
        <v>774308841</v>
      </c>
      <c r="B2103" s="52">
        <v>7.74308841E8</v>
      </c>
      <c r="C2103" s="28" t="s">
        <v>2301</v>
      </c>
      <c r="D2103" s="26" t="s">
        <v>49</v>
      </c>
      <c r="E2103" s="31">
        <v>46229.0</v>
      </c>
      <c r="F2103" s="26" t="s">
        <v>46</v>
      </c>
      <c r="G2103" s="26">
        <v>11.0</v>
      </c>
      <c r="I2103" s="26" t="s">
        <v>42</v>
      </c>
      <c r="J2103" s="25" t="str">
        <f t="shared" si="34"/>
        <v>No</v>
      </c>
      <c r="K2103" s="25" t="str">
        <f t="shared" si="35"/>
        <v/>
      </c>
      <c r="L2103" s="25" t="str">
        <f t="shared" si="36"/>
        <v/>
      </c>
      <c r="M2103" s="25"/>
      <c r="O2103" s="25"/>
    </row>
    <row r="2104" ht="15.75" customHeight="1">
      <c r="A2104" s="25" t="str">
        <f>IFERROR(__xludf.DUMMYFUNCTION("IF(B2104="""","""",RIGHT(REGEXREPLACE(B2104&amp;"""",""[^0-9]"",""""),9))"),"775015440")</f>
        <v>775015440</v>
      </c>
      <c r="B2104" s="52">
        <v>7.7501544E8</v>
      </c>
      <c r="C2104" s="28" t="s">
        <v>2302</v>
      </c>
      <c r="D2104" s="26" t="s">
        <v>56</v>
      </c>
      <c r="E2104" s="31">
        <v>46229.0</v>
      </c>
      <c r="F2104" s="26" t="s">
        <v>46</v>
      </c>
      <c r="G2104" s="26">
        <v>11.0</v>
      </c>
      <c r="I2104" s="26" t="s">
        <v>42</v>
      </c>
      <c r="J2104" s="25" t="str">
        <f t="shared" si="34"/>
        <v>No</v>
      </c>
      <c r="K2104" s="25" t="str">
        <f t="shared" si="35"/>
        <v/>
      </c>
      <c r="L2104" s="25" t="str">
        <f t="shared" si="36"/>
        <v/>
      </c>
      <c r="M2104" s="25"/>
      <c r="O2104" s="25"/>
    </row>
    <row r="2105" ht="15.75" customHeight="1">
      <c r="A2105" s="25" t="str">
        <f>IFERROR(__xludf.DUMMYFUNCTION("IF(B2105="""","""",RIGHT(REGEXREPLACE(B2105&amp;"""",""[^0-9]"",""""),9))"),"772927391")</f>
        <v>772927391</v>
      </c>
      <c r="B2105" s="52">
        <v>7.72927391E8</v>
      </c>
      <c r="C2105" s="28" t="s">
        <v>2303</v>
      </c>
      <c r="D2105" s="26" t="s">
        <v>49</v>
      </c>
      <c r="E2105" s="31">
        <v>46229.0</v>
      </c>
      <c r="F2105" s="26" t="s">
        <v>46</v>
      </c>
      <c r="G2105" s="26">
        <v>11.0</v>
      </c>
      <c r="I2105" s="26" t="s">
        <v>42</v>
      </c>
      <c r="J2105" s="25" t="str">
        <f t="shared" si="34"/>
        <v>No</v>
      </c>
      <c r="K2105" s="25" t="str">
        <f t="shared" si="35"/>
        <v/>
      </c>
      <c r="L2105" s="25" t="str">
        <f t="shared" si="36"/>
        <v/>
      </c>
      <c r="M2105" s="25"/>
      <c r="O2105" s="25"/>
    </row>
    <row r="2106" ht="15.75" customHeight="1">
      <c r="A2106" s="25" t="str">
        <f>IFERROR(__xludf.DUMMYFUNCTION("IF(B2106="""","""",RIGHT(REGEXREPLACE(B2106&amp;"""",""[^0-9]"",""""),9))"),"760744528")</f>
        <v>760744528</v>
      </c>
      <c r="B2106" s="52">
        <v>7.60744528E8</v>
      </c>
      <c r="C2106" s="28" t="s">
        <v>2304</v>
      </c>
      <c r="D2106" s="26" t="s">
        <v>45</v>
      </c>
      <c r="E2106" s="31">
        <v>46229.0</v>
      </c>
      <c r="F2106" s="26" t="s">
        <v>46</v>
      </c>
      <c r="G2106" s="26">
        <v>11.0</v>
      </c>
      <c r="I2106" s="26" t="s">
        <v>42</v>
      </c>
      <c r="J2106" s="25" t="str">
        <f t="shared" si="34"/>
        <v>No</v>
      </c>
      <c r="K2106" s="25" t="str">
        <f t="shared" si="35"/>
        <v/>
      </c>
      <c r="L2106" s="25" t="str">
        <f t="shared" si="36"/>
        <v/>
      </c>
      <c r="M2106" s="25"/>
      <c r="O2106" s="25"/>
    </row>
    <row r="2107" ht="15.75" customHeight="1">
      <c r="A2107" s="25" t="str">
        <f>IFERROR(__xludf.DUMMYFUNCTION("IF(B2107="""","""",RIGHT(REGEXREPLACE(B2107&amp;"""",""[^0-9]"",""""),9))"),"778571116")</f>
        <v>778571116</v>
      </c>
      <c r="B2107" s="52">
        <v>7.78571116E8</v>
      </c>
      <c r="C2107" s="28" t="s">
        <v>2305</v>
      </c>
      <c r="D2107" s="26" t="s">
        <v>64</v>
      </c>
      <c r="E2107" s="31">
        <v>46229.0</v>
      </c>
      <c r="F2107" s="26" t="s">
        <v>46</v>
      </c>
      <c r="G2107" s="26">
        <v>11.0</v>
      </c>
      <c r="I2107" s="26" t="s">
        <v>42</v>
      </c>
      <c r="J2107" s="25" t="str">
        <f t="shared" si="34"/>
        <v>No</v>
      </c>
      <c r="K2107" s="25" t="str">
        <f t="shared" si="35"/>
        <v/>
      </c>
      <c r="L2107" s="25" t="str">
        <f t="shared" si="36"/>
        <v/>
      </c>
      <c r="M2107" s="25"/>
      <c r="O2107" s="25"/>
    </row>
    <row r="2108" ht="15.75" customHeight="1">
      <c r="A2108" s="25" t="str">
        <f>IFERROR(__xludf.DUMMYFUNCTION("IF(B2108="""","""",RIGHT(REGEXREPLACE(B2108&amp;"""",""[^0-9]"",""""),9))"),"743013701")</f>
        <v>743013701</v>
      </c>
      <c r="B2108" s="52">
        <v>7.43013701E8</v>
      </c>
      <c r="C2108" s="28" t="s">
        <v>2306</v>
      </c>
      <c r="D2108" s="26" t="s">
        <v>49</v>
      </c>
      <c r="E2108" s="31">
        <v>46229.0</v>
      </c>
      <c r="F2108" s="26" t="s">
        <v>46</v>
      </c>
      <c r="G2108" s="26">
        <v>10.0</v>
      </c>
      <c r="I2108" s="26" t="s">
        <v>42</v>
      </c>
      <c r="J2108" s="25" t="str">
        <f t="shared" si="34"/>
        <v>No</v>
      </c>
      <c r="K2108" s="25" t="str">
        <f t="shared" si="35"/>
        <v/>
      </c>
      <c r="L2108" s="25" t="str">
        <f t="shared" si="36"/>
        <v/>
      </c>
      <c r="M2108" s="25"/>
      <c r="O2108" s="25"/>
    </row>
    <row r="2109" ht="15.75" customHeight="1">
      <c r="A2109" s="25" t="str">
        <f>IFERROR(__xludf.DUMMYFUNCTION("IF(B2109="""","""",RIGHT(REGEXREPLACE(B2109&amp;"""",""[^0-9]"",""""),9))"),"775068642")</f>
        <v>775068642</v>
      </c>
      <c r="B2109" s="52">
        <v>7.75068642E8</v>
      </c>
      <c r="C2109" s="28" t="s">
        <v>2307</v>
      </c>
      <c r="D2109" s="26" t="s">
        <v>56</v>
      </c>
      <c r="E2109" s="31">
        <v>46229.0</v>
      </c>
      <c r="F2109" s="26" t="s">
        <v>659</v>
      </c>
      <c r="G2109" s="26">
        <v>11.0</v>
      </c>
      <c r="I2109" s="26" t="s">
        <v>42</v>
      </c>
      <c r="J2109" s="25" t="str">
        <f t="shared" si="34"/>
        <v>No</v>
      </c>
      <c r="K2109" s="25" t="str">
        <f t="shared" si="35"/>
        <v/>
      </c>
      <c r="L2109" s="25" t="str">
        <f t="shared" si="36"/>
        <v/>
      </c>
      <c r="M2109" s="25"/>
      <c r="O2109" s="25"/>
    </row>
    <row r="2110" ht="15.75" customHeight="1">
      <c r="A2110" s="25" t="str">
        <f>IFERROR(__xludf.DUMMYFUNCTION("IF(B2110="""","""",RIGHT(REGEXREPLACE(B2110&amp;"""",""[^0-9]"",""""),9))"),"776160553")</f>
        <v>776160553</v>
      </c>
      <c r="B2110" s="52">
        <v>7.76160553E8</v>
      </c>
      <c r="C2110" s="28" t="s">
        <v>2308</v>
      </c>
      <c r="D2110" s="26" t="s">
        <v>64</v>
      </c>
      <c r="E2110" s="31">
        <v>46229.0</v>
      </c>
      <c r="F2110" s="26" t="s">
        <v>46</v>
      </c>
      <c r="G2110" s="26">
        <v>11.0</v>
      </c>
      <c r="H2110" s="26" t="s">
        <v>2293</v>
      </c>
      <c r="I2110" s="26" t="s">
        <v>42</v>
      </c>
      <c r="J2110" s="25" t="str">
        <f t="shared" si="34"/>
        <v>No</v>
      </c>
      <c r="K2110" s="25" t="str">
        <f t="shared" si="35"/>
        <v/>
      </c>
      <c r="L2110" s="25" t="str">
        <f t="shared" si="36"/>
        <v/>
      </c>
      <c r="M2110" s="25"/>
      <c r="O2110" s="25"/>
    </row>
    <row r="2111" ht="15.75" customHeight="1">
      <c r="A2111" s="25" t="str">
        <f>IFERROR(__xludf.DUMMYFUNCTION("IF(B2111="""","""",RIGHT(REGEXREPLACE(B2111&amp;"""",""[^0-9]"",""""),9))"),"763900008")</f>
        <v>763900008</v>
      </c>
      <c r="B2111" s="52">
        <v>7.63900008E8</v>
      </c>
      <c r="C2111" s="28" t="s">
        <v>2309</v>
      </c>
      <c r="D2111" s="26" t="s">
        <v>49</v>
      </c>
      <c r="E2111" s="31">
        <v>46229.0</v>
      </c>
      <c r="F2111" s="26" t="s">
        <v>41</v>
      </c>
      <c r="G2111" s="26">
        <v>11.0</v>
      </c>
      <c r="I2111" s="26" t="s">
        <v>42</v>
      </c>
      <c r="J2111" s="25" t="str">
        <f t="shared" si="34"/>
        <v>No</v>
      </c>
      <c r="K2111" s="25" t="str">
        <f t="shared" si="35"/>
        <v/>
      </c>
      <c r="L2111" s="25" t="str">
        <f t="shared" si="36"/>
        <v/>
      </c>
      <c r="M2111" s="25"/>
      <c r="O2111" s="25"/>
    </row>
    <row r="2112" ht="15.75" customHeight="1">
      <c r="A2112" s="25" t="str">
        <f>IFERROR(__xludf.DUMMYFUNCTION("IF(B2112="""","""",RIGHT(REGEXREPLACE(B2112&amp;"""",""[^0-9]"",""""),9))"),"777731256")</f>
        <v>777731256</v>
      </c>
      <c r="B2112" s="52">
        <v>7.77731256E8</v>
      </c>
      <c r="C2112" s="28" t="s">
        <v>2310</v>
      </c>
      <c r="D2112" s="26" t="s">
        <v>64</v>
      </c>
      <c r="E2112" s="31">
        <v>46229.0</v>
      </c>
      <c r="F2112" s="26" t="s">
        <v>41</v>
      </c>
      <c r="G2112" s="26">
        <v>11.0</v>
      </c>
      <c r="I2112" s="26" t="s">
        <v>42</v>
      </c>
      <c r="J2112" s="25" t="str">
        <f t="shared" si="34"/>
        <v>No</v>
      </c>
      <c r="K2112" s="25" t="str">
        <f t="shared" si="35"/>
        <v/>
      </c>
      <c r="L2112" s="25" t="str">
        <f t="shared" si="36"/>
        <v/>
      </c>
      <c r="M2112" s="25"/>
      <c r="O2112" s="25"/>
    </row>
    <row r="2113" ht="15.75" customHeight="1">
      <c r="A2113" s="25" t="str">
        <f>IFERROR(__xludf.DUMMYFUNCTION("IF(B2113="""","""",RIGHT(REGEXREPLACE(B2113&amp;"""",""[^0-9]"",""""),9))"),"741306525")</f>
        <v>741306525</v>
      </c>
      <c r="B2113" s="52">
        <v>7.41306525E8</v>
      </c>
      <c r="C2113" s="28" t="s">
        <v>2311</v>
      </c>
      <c r="D2113" s="26" t="s">
        <v>49</v>
      </c>
      <c r="E2113" s="31">
        <v>46229.0</v>
      </c>
      <c r="F2113" s="26" t="s">
        <v>41</v>
      </c>
      <c r="G2113" s="26">
        <v>11.0</v>
      </c>
      <c r="I2113" s="26" t="s">
        <v>42</v>
      </c>
      <c r="J2113" s="25" t="str">
        <f t="shared" si="34"/>
        <v>No</v>
      </c>
      <c r="K2113" s="25" t="str">
        <f t="shared" si="35"/>
        <v/>
      </c>
      <c r="L2113" s="25" t="str">
        <f t="shared" si="36"/>
        <v/>
      </c>
      <c r="M2113" s="25"/>
      <c r="O2113" s="25"/>
    </row>
    <row r="2114" ht="15.75" customHeight="1">
      <c r="A2114" s="25" t="str">
        <f>IFERROR(__xludf.DUMMYFUNCTION("IF(B2114="""","""",RIGHT(REGEXREPLACE(B2114&amp;"""",""[^0-9]"",""""),9))"),"742567439")</f>
        <v>742567439</v>
      </c>
      <c r="B2114" s="52">
        <v>7.42567439E8</v>
      </c>
      <c r="C2114" s="28" t="s">
        <v>2312</v>
      </c>
      <c r="D2114" s="26" t="s">
        <v>56</v>
      </c>
      <c r="E2114" s="31">
        <v>46229.0</v>
      </c>
      <c r="F2114" s="26" t="s">
        <v>46</v>
      </c>
      <c r="G2114" s="26">
        <v>10.0</v>
      </c>
      <c r="I2114" s="26" t="s">
        <v>42</v>
      </c>
      <c r="J2114" s="25" t="str">
        <f t="shared" si="34"/>
        <v>No</v>
      </c>
      <c r="K2114" s="25" t="str">
        <f t="shared" si="35"/>
        <v/>
      </c>
      <c r="L2114" s="25" t="str">
        <f t="shared" si="36"/>
        <v/>
      </c>
      <c r="M2114" s="25"/>
      <c r="O2114" s="25"/>
    </row>
    <row r="2115" ht="15.75" customHeight="1">
      <c r="A2115" s="25" t="str">
        <f>IFERROR(__xludf.DUMMYFUNCTION("IF(B2115="""","""",RIGHT(REGEXREPLACE(B2115&amp;"""",""[^0-9]"",""""),9))"),"724395007")</f>
        <v>724395007</v>
      </c>
      <c r="B2115" s="52">
        <v>7.24395007E8</v>
      </c>
      <c r="C2115" s="28" t="s">
        <v>2313</v>
      </c>
      <c r="D2115" s="26" t="s">
        <v>64</v>
      </c>
      <c r="E2115" s="31">
        <v>46229.0</v>
      </c>
      <c r="F2115" s="26" t="s">
        <v>46</v>
      </c>
      <c r="G2115" s="26">
        <v>11.0</v>
      </c>
      <c r="I2115" s="26" t="s">
        <v>42</v>
      </c>
      <c r="J2115" s="25" t="str">
        <f t="shared" si="34"/>
        <v>No</v>
      </c>
      <c r="K2115" s="25" t="str">
        <f t="shared" si="35"/>
        <v/>
      </c>
      <c r="L2115" s="25" t="str">
        <f t="shared" si="36"/>
        <v/>
      </c>
      <c r="M2115" s="25"/>
      <c r="O2115" s="25"/>
    </row>
    <row r="2116" ht="15.75" customHeight="1">
      <c r="A2116" s="25" t="str">
        <f>IFERROR(__xludf.DUMMYFUNCTION("IF(B2116="""","""",RIGHT(REGEXREPLACE(B2116&amp;"""",""[^0-9]"",""""),9))"),"718406427")</f>
        <v>718406427</v>
      </c>
      <c r="B2116" s="52">
        <v>7.18406427E8</v>
      </c>
      <c r="C2116" s="28" t="s">
        <v>2314</v>
      </c>
      <c r="D2116" s="26" t="s">
        <v>49</v>
      </c>
      <c r="E2116" s="31">
        <v>46229.0</v>
      </c>
      <c r="F2116" s="26" t="s">
        <v>164</v>
      </c>
      <c r="I2116" s="26" t="s">
        <v>42</v>
      </c>
      <c r="J2116" s="25" t="str">
        <f t="shared" si="34"/>
        <v>No</v>
      </c>
      <c r="K2116" s="25" t="str">
        <f t="shared" si="35"/>
        <v/>
      </c>
      <c r="L2116" s="25" t="str">
        <f t="shared" si="36"/>
        <v/>
      </c>
      <c r="M2116" s="25"/>
      <c r="O2116" s="25"/>
    </row>
    <row r="2117" ht="15.75" customHeight="1">
      <c r="A2117" s="25" t="str">
        <f>IFERROR(__xludf.DUMMYFUNCTION("IF(B2117="""","""",RIGHT(REGEXREPLACE(B2117&amp;"""",""[^0-9]"",""""),9))"),"761764354")</f>
        <v>761764354</v>
      </c>
      <c r="B2117" s="52">
        <v>7.61764354E8</v>
      </c>
      <c r="C2117" s="28" t="s">
        <v>2315</v>
      </c>
      <c r="D2117" s="26" t="s">
        <v>56</v>
      </c>
      <c r="E2117" s="31">
        <v>46229.0</v>
      </c>
      <c r="F2117" s="26" t="s">
        <v>46</v>
      </c>
      <c r="G2117" s="26">
        <v>11.0</v>
      </c>
      <c r="I2117" s="26" t="s">
        <v>42</v>
      </c>
      <c r="J2117" s="25" t="str">
        <f t="shared" si="34"/>
        <v>No</v>
      </c>
      <c r="K2117" s="25" t="str">
        <f t="shared" si="35"/>
        <v/>
      </c>
      <c r="L2117" s="25" t="str">
        <f t="shared" si="36"/>
        <v/>
      </c>
      <c r="M2117" s="25"/>
      <c r="O2117" s="25"/>
    </row>
    <row r="2118" ht="15.75" customHeight="1">
      <c r="A2118" s="25" t="str">
        <f>IFERROR(__xludf.DUMMYFUNCTION("IF(B2118="""","""",RIGHT(REGEXREPLACE(B2118&amp;"""",""[^0-9]"",""""),9))"),"768104094")</f>
        <v>768104094</v>
      </c>
      <c r="B2118" s="52">
        <v>7.68104094E8</v>
      </c>
      <c r="C2118" s="28" t="s">
        <v>2316</v>
      </c>
      <c r="D2118" s="26" t="s">
        <v>64</v>
      </c>
      <c r="E2118" s="31">
        <v>46229.0</v>
      </c>
      <c r="F2118" s="26" t="s">
        <v>46</v>
      </c>
      <c r="G2118" s="26">
        <v>11.0</v>
      </c>
      <c r="I2118" s="26" t="s">
        <v>42</v>
      </c>
      <c r="J2118" s="25" t="str">
        <f t="shared" si="34"/>
        <v>No</v>
      </c>
      <c r="K2118" s="25" t="str">
        <f t="shared" si="35"/>
        <v/>
      </c>
      <c r="L2118" s="25" t="str">
        <f t="shared" si="36"/>
        <v/>
      </c>
      <c r="M2118" s="25"/>
      <c r="O2118" s="25"/>
    </row>
    <row r="2119" ht="15.75" customHeight="1">
      <c r="A2119" s="25" t="str">
        <f>IFERROR(__xludf.DUMMYFUNCTION("IF(B2119="""","""",RIGHT(REGEXREPLACE(B2119&amp;"""",""[^0-9]"",""""),9))"),"775996647")</f>
        <v>775996647</v>
      </c>
      <c r="B2119" s="52">
        <v>7.75996647E8</v>
      </c>
      <c r="C2119" s="28" t="s">
        <v>2317</v>
      </c>
      <c r="D2119" s="26" t="s">
        <v>49</v>
      </c>
      <c r="E2119" s="31">
        <v>46229.0</v>
      </c>
      <c r="F2119" s="26" t="s">
        <v>46</v>
      </c>
      <c r="G2119" s="26">
        <v>11.0</v>
      </c>
      <c r="I2119" s="26" t="s">
        <v>42</v>
      </c>
      <c r="J2119" s="25" t="str">
        <f t="shared" si="34"/>
        <v>No</v>
      </c>
      <c r="K2119" s="25" t="str">
        <f t="shared" si="35"/>
        <v/>
      </c>
      <c r="L2119" s="25" t="str">
        <f t="shared" si="36"/>
        <v/>
      </c>
      <c r="M2119" s="25"/>
      <c r="O2119" s="25"/>
    </row>
    <row r="2120" ht="15.75" customHeight="1">
      <c r="A2120" s="25" t="str">
        <f>IFERROR(__xludf.DUMMYFUNCTION("IF(B2120="""","""",RIGHT(REGEXREPLACE(B2120&amp;"""",""[^0-9]"",""""),9))"),"720675314")</f>
        <v>720675314</v>
      </c>
      <c r="B2120" s="52">
        <v>7.20675314E8</v>
      </c>
      <c r="C2120" s="28" t="s">
        <v>1634</v>
      </c>
      <c r="D2120" s="26" t="s">
        <v>56</v>
      </c>
      <c r="E2120" s="31">
        <v>46229.0</v>
      </c>
      <c r="F2120" s="26" t="s">
        <v>41</v>
      </c>
      <c r="I2120" s="26" t="s">
        <v>42</v>
      </c>
      <c r="J2120" s="25" t="str">
        <f t="shared" si="34"/>
        <v>No</v>
      </c>
      <c r="K2120" s="25" t="str">
        <f t="shared" si="35"/>
        <v/>
      </c>
      <c r="L2120" s="25" t="str">
        <f t="shared" si="36"/>
        <v/>
      </c>
      <c r="M2120" s="25"/>
      <c r="O2120" s="25"/>
    </row>
    <row r="2121" ht="15.75" customHeight="1">
      <c r="A2121" s="25" t="str">
        <f>IFERROR(__xludf.DUMMYFUNCTION("IF(B2121="""","""",RIGHT(REGEXREPLACE(B2121&amp;"""",""[^0-9]"",""""),9))"),"769068428")</f>
        <v>769068428</v>
      </c>
      <c r="B2121" s="52">
        <v>7.69068428E8</v>
      </c>
      <c r="C2121" s="28" t="s">
        <v>2318</v>
      </c>
      <c r="D2121" s="26" t="s">
        <v>64</v>
      </c>
      <c r="E2121" s="31">
        <v>46229.0</v>
      </c>
      <c r="F2121" s="26" t="s">
        <v>41</v>
      </c>
      <c r="G2121" s="26">
        <v>10.0</v>
      </c>
      <c r="I2121" s="26" t="s">
        <v>42</v>
      </c>
      <c r="J2121" s="25" t="str">
        <f t="shared" si="34"/>
        <v>No</v>
      </c>
      <c r="K2121" s="25" t="str">
        <f t="shared" si="35"/>
        <v/>
      </c>
      <c r="L2121" s="25" t="str">
        <f t="shared" si="36"/>
        <v/>
      </c>
      <c r="M2121" s="25"/>
      <c r="O2121" s="25"/>
    </row>
    <row r="2122" ht="15.75" customHeight="1">
      <c r="A2122" s="25" t="str">
        <f>IFERROR(__xludf.DUMMYFUNCTION("IF(B2122="""","""",RIGHT(REGEXREPLACE(B2122&amp;"""",""[^0-9]"",""""),9))"),"777831955")</f>
        <v>777831955</v>
      </c>
      <c r="B2122" s="52">
        <v>7.77831955E8</v>
      </c>
      <c r="C2122" s="28" t="s">
        <v>2319</v>
      </c>
      <c r="D2122" s="26" t="s">
        <v>49</v>
      </c>
      <c r="E2122" s="31">
        <v>46229.0</v>
      </c>
      <c r="F2122" s="26" t="s">
        <v>46</v>
      </c>
      <c r="G2122" s="26">
        <v>11.0</v>
      </c>
      <c r="I2122" s="26" t="s">
        <v>42</v>
      </c>
      <c r="J2122" s="25" t="str">
        <f t="shared" si="34"/>
        <v>No</v>
      </c>
      <c r="K2122" s="25" t="str">
        <f t="shared" si="35"/>
        <v/>
      </c>
      <c r="L2122" s="25" t="str">
        <f t="shared" si="36"/>
        <v/>
      </c>
      <c r="M2122" s="25"/>
      <c r="O2122" s="25"/>
    </row>
    <row r="2123" ht="15.75" customHeight="1">
      <c r="A2123" s="25" t="str">
        <f>IFERROR(__xludf.DUMMYFUNCTION("IF(B2123="""","""",RIGHT(REGEXREPLACE(B2123&amp;"""",""[^0-9]"",""""),9))"),"718074170")</f>
        <v>718074170</v>
      </c>
      <c r="B2123" s="52">
        <v>7.1807417E8</v>
      </c>
      <c r="C2123" s="28" t="s">
        <v>2320</v>
      </c>
      <c r="D2123" s="26" t="s">
        <v>64</v>
      </c>
      <c r="E2123" s="31">
        <v>46229.0</v>
      </c>
      <c r="F2123" s="26" t="s">
        <v>46</v>
      </c>
      <c r="G2123" s="26">
        <v>11.0</v>
      </c>
      <c r="I2123" s="26" t="s">
        <v>42</v>
      </c>
      <c r="J2123" s="25" t="str">
        <f t="shared" si="34"/>
        <v>No</v>
      </c>
      <c r="K2123" s="25" t="str">
        <f t="shared" si="35"/>
        <v/>
      </c>
      <c r="L2123" s="25" t="str">
        <f t="shared" si="36"/>
        <v/>
      </c>
      <c r="M2123" s="25"/>
      <c r="O2123" s="25"/>
    </row>
    <row r="2124" ht="15.75" customHeight="1">
      <c r="A2124" s="25" t="str">
        <f>IFERROR(__xludf.DUMMYFUNCTION("IF(B2124="""","""",RIGHT(REGEXREPLACE(B2124&amp;"""",""[^0-9]"",""""),9))"),"767744463")</f>
        <v>767744463</v>
      </c>
      <c r="B2124" s="52">
        <v>7.67744463E8</v>
      </c>
      <c r="C2124" s="28" t="s">
        <v>2321</v>
      </c>
      <c r="D2124" s="26" t="s">
        <v>49</v>
      </c>
      <c r="E2124" s="31">
        <v>46229.0</v>
      </c>
      <c r="F2124" s="26" t="s">
        <v>46</v>
      </c>
      <c r="G2124" s="26">
        <v>11.0</v>
      </c>
      <c r="I2124" s="26" t="s">
        <v>42</v>
      </c>
      <c r="J2124" s="25" t="str">
        <f t="shared" si="34"/>
        <v>No</v>
      </c>
      <c r="K2124" s="25" t="str">
        <f t="shared" si="35"/>
        <v/>
      </c>
      <c r="L2124" s="25" t="str">
        <f t="shared" si="36"/>
        <v/>
      </c>
      <c r="M2124" s="25"/>
      <c r="O2124" s="25"/>
    </row>
    <row r="2125" ht="15.75" customHeight="1">
      <c r="A2125" s="25" t="str">
        <f>IFERROR(__xludf.DUMMYFUNCTION("IF(B2125="""","""",RIGHT(REGEXREPLACE(B2125&amp;"""",""[^0-9]"",""""),9))"),"772796280")</f>
        <v>772796280</v>
      </c>
      <c r="B2125" s="52">
        <v>7.7279628E8</v>
      </c>
      <c r="C2125" s="28" t="s">
        <v>2322</v>
      </c>
      <c r="D2125" s="26" t="s">
        <v>56</v>
      </c>
      <c r="E2125" s="31">
        <v>46229.0</v>
      </c>
      <c r="F2125" s="26" t="s">
        <v>41</v>
      </c>
      <c r="G2125" s="26">
        <v>11.0</v>
      </c>
      <c r="I2125" s="26" t="s">
        <v>42</v>
      </c>
      <c r="J2125" s="25" t="str">
        <f t="shared" si="34"/>
        <v>No</v>
      </c>
      <c r="K2125" s="25" t="str">
        <f t="shared" si="35"/>
        <v/>
      </c>
      <c r="L2125" s="25" t="str">
        <f t="shared" si="36"/>
        <v/>
      </c>
      <c r="M2125" s="25"/>
      <c r="O2125" s="25"/>
    </row>
    <row r="2126" ht="15.75" customHeight="1">
      <c r="A2126" s="25" t="str">
        <f>IFERROR(__xludf.DUMMYFUNCTION("IF(B2126="""","""",RIGHT(REGEXREPLACE(B2126&amp;"""",""[^0-9]"",""""),9))"),"774704815")</f>
        <v>774704815</v>
      </c>
      <c r="B2126" s="52">
        <v>7.74704815E8</v>
      </c>
      <c r="C2126" s="28" t="s">
        <v>2323</v>
      </c>
      <c r="D2126" s="26" t="s">
        <v>49</v>
      </c>
      <c r="E2126" s="31">
        <v>46229.0</v>
      </c>
      <c r="F2126" s="26" t="s">
        <v>46</v>
      </c>
      <c r="G2126" s="26">
        <v>11.0</v>
      </c>
      <c r="I2126" s="26" t="s">
        <v>42</v>
      </c>
      <c r="J2126" s="25" t="str">
        <f t="shared" si="34"/>
        <v>No</v>
      </c>
      <c r="K2126" s="25" t="str">
        <f t="shared" si="35"/>
        <v/>
      </c>
      <c r="L2126" s="25" t="str">
        <f t="shared" si="36"/>
        <v/>
      </c>
      <c r="M2126" s="25"/>
      <c r="O2126" s="25"/>
    </row>
    <row r="2127" ht="15.75" customHeight="1">
      <c r="A2127" s="25" t="str">
        <f>IFERROR(__xludf.DUMMYFUNCTION("IF(B2127="""","""",RIGHT(REGEXREPLACE(B2127&amp;"""",""[^0-9]"",""""),9))"),"714223423")</f>
        <v>714223423</v>
      </c>
      <c r="B2127" s="52">
        <v>7.14223423E8</v>
      </c>
      <c r="C2127" s="28" t="s">
        <v>2324</v>
      </c>
      <c r="D2127" s="26" t="s">
        <v>64</v>
      </c>
      <c r="E2127" s="31">
        <v>46229.0</v>
      </c>
      <c r="F2127" s="26" t="s">
        <v>46</v>
      </c>
      <c r="G2127" s="26" t="s">
        <v>2325</v>
      </c>
      <c r="I2127" s="26" t="s">
        <v>42</v>
      </c>
      <c r="J2127" s="25" t="str">
        <f t="shared" si="34"/>
        <v>No</v>
      </c>
      <c r="K2127" s="25" t="str">
        <f t="shared" si="35"/>
        <v/>
      </c>
      <c r="L2127" s="25" t="str">
        <f t="shared" si="36"/>
        <v/>
      </c>
      <c r="M2127" s="25"/>
      <c r="O2127" s="25"/>
    </row>
    <row r="2128" ht="15.75" customHeight="1">
      <c r="A2128" s="25" t="str">
        <f>IFERROR(__xludf.DUMMYFUNCTION("IF(B2128="""","""",RIGHT(REGEXREPLACE(B2128&amp;"""",""[^0-9]"",""""),9))"),"788282351")</f>
        <v>788282351</v>
      </c>
      <c r="B2128" s="52">
        <v>7.88282351E8</v>
      </c>
      <c r="C2128" s="28" t="s">
        <v>2326</v>
      </c>
      <c r="D2128" s="26" t="s">
        <v>49</v>
      </c>
      <c r="E2128" s="31">
        <v>46229.0</v>
      </c>
      <c r="F2128" s="26" t="s">
        <v>46</v>
      </c>
      <c r="G2128" s="26">
        <v>10.0</v>
      </c>
      <c r="H2128" s="26" t="s">
        <v>253</v>
      </c>
      <c r="I2128" s="26" t="s">
        <v>42</v>
      </c>
      <c r="J2128" s="25" t="str">
        <f t="shared" si="34"/>
        <v>No</v>
      </c>
      <c r="K2128" s="25" t="str">
        <f t="shared" si="35"/>
        <v/>
      </c>
      <c r="L2128" s="25" t="str">
        <f t="shared" si="36"/>
        <v/>
      </c>
      <c r="M2128" s="25"/>
      <c r="O2128" s="25"/>
    </row>
    <row r="2129" ht="15.75" customHeight="1">
      <c r="A2129" s="25" t="str">
        <f>IFERROR(__xludf.DUMMYFUNCTION("IF(B2129="""","""",RIGHT(REGEXREPLACE(B2129&amp;"""",""[^0-9]"",""""),9))"),"764063937")</f>
        <v>764063937</v>
      </c>
      <c r="B2129" s="52">
        <v>7.64063937E8</v>
      </c>
      <c r="C2129" s="28" t="s">
        <v>2327</v>
      </c>
      <c r="D2129" s="26" t="s">
        <v>56</v>
      </c>
      <c r="E2129" s="31">
        <v>46229.0</v>
      </c>
      <c r="F2129" s="26" t="s">
        <v>41</v>
      </c>
      <c r="G2129" s="26">
        <v>11.0</v>
      </c>
      <c r="I2129" s="26" t="s">
        <v>42</v>
      </c>
      <c r="J2129" s="25" t="str">
        <f t="shared" si="34"/>
        <v>No</v>
      </c>
      <c r="K2129" s="25" t="str">
        <f t="shared" si="35"/>
        <v/>
      </c>
      <c r="L2129" s="25" t="str">
        <f t="shared" si="36"/>
        <v/>
      </c>
      <c r="M2129" s="25"/>
      <c r="O2129" s="25"/>
    </row>
    <row r="2130" ht="15.75" customHeight="1">
      <c r="A2130" s="25" t="str">
        <f>IFERROR(__xludf.DUMMYFUNCTION("IF(B2130="""","""",RIGHT(REGEXREPLACE(B2130&amp;"""",""[^0-9]"",""""),9))"),"740938891")</f>
        <v>740938891</v>
      </c>
      <c r="B2130" s="52">
        <v>7.40938891E8</v>
      </c>
      <c r="C2130" s="28" t="s">
        <v>2328</v>
      </c>
      <c r="D2130" s="26" t="s">
        <v>49</v>
      </c>
      <c r="E2130" s="31">
        <v>46229.0</v>
      </c>
      <c r="F2130" s="26" t="s">
        <v>41</v>
      </c>
      <c r="I2130" s="26" t="s">
        <v>42</v>
      </c>
      <c r="J2130" s="25" t="str">
        <f t="shared" si="34"/>
        <v>No</v>
      </c>
      <c r="K2130" s="25" t="str">
        <f t="shared" si="35"/>
        <v/>
      </c>
      <c r="L2130" s="25" t="str">
        <f t="shared" si="36"/>
        <v/>
      </c>
      <c r="M2130" s="25"/>
      <c r="O2130" s="25"/>
    </row>
    <row r="2131" ht="15.75" customHeight="1">
      <c r="A2131" s="25" t="str">
        <f>IFERROR(__xludf.DUMMYFUNCTION("IF(B2131="""","""",RIGHT(REGEXREPLACE(B2131&amp;"""",""[^0-9]"",""""),9))"),"778163461")</f>
        <v>778163461</v>
      </c>
      <c r="B2131" s="52">
        <v>7.78163461E8</v>
      </c>
      <c r="C2131" s="28" t="s">
        <v>2329</v>
      </c>
      <c r="D2131" s="26" t="s">
        <v>49</v>
      </c>
      <c r="E2131" s="31">
        <v>46229.0</v>
      </c>
      <c r="F2131" s="26" t="s">
        <v>205</v>
      </c>
      <c r="G2131" s="26">
        <v>11.0</v>
      </c>
      <c r="I2131" s="26" t="s">
        <v>42</v>
      </c>
      <c r="J2131" s="25" t="str">
        <f t="shared" si="34"/>
        <v>No</v>
      </c>
      <c r="K2131" s="25" t="str">
        <f t="shared" si="35"/>
        <v/>
      </c>
      <c r="L2131" s="25" t="str">
        <f t="shared" si="36"/>
        <v/>
      </c>
      <c r="M2131" s="25"/>
      <c r="O2131" s="25"/>
    </row>
    <row r="2132" ht="15.75" customHeight="1">
      <c r="A2132" s="25" t="str">
        <f>IFERROR(__xludf.DUMMYFUNCTION("IF(B2132="""","""",RIGHT(REGEXREPLACE(B2132&amp;"""",""[^0-9]"",""""),9))"),"707477430")</f>
        <v>707477430</v>
      </c>
      <c r="B2132" s="52">
        <v>7.0747743E8</v>
      </c>
      <c r="C2132" s="28" t="s">
        <v>2330</v>
      </c>
      <c r="D2132" s="26" t="s">
        <v>64</v>
      </c>
      <c r="E2132" s="31">
        <v>46229.0</v>
      </c>
      <c r="F2132" s="26" t="s">
        <v>41</v>
      </c>
      <c r="G2132" s="26">
        <v>11.0</v>
      </c>
      <c r="I2132" s="26" t="s">
        <v>42</v>
      </c>
      <c r="J2132" s="25" t="str">
        <f t="shared" si="34"/>
        <v>No</v>
      </c>
      <c r="K2132" s="25" t="str">
        <f t="shared" si="35"/>
        <v/>
      </c>
      <c r="L2132" s="25" t="str">
        <f t="shared" si="36"/>
        <v/>
      </c>
      <c r="M2132" s="25"/>
      <c r="O2132" s="25"/>
    </row>
    <row r="2133" ht="15.75" customHeight="1">
      <c r="A2133" s="25" t="str">
        <f>IFERROR(__xludf.DUMMYFUNCTION("IF(B2133="""","""",RIGHT(REGEXREPLACE(B2133&amp;"""",""[^0-9]"",""""),9))"),"766179966")</f>
        <v>766179966</v>
      </c>
      <c r="B2133" s="52">
        <v>7.66179966E8</v>
      </c>
      <c r="C2133" s="28" t="s">
        <v>2331</v>
      </c>
      <c r="D2133" s="26" t="s">
        <v>56</v>
      </c>
      <c r="E2133" s="31">
        <v>46229.0</v>
      </c>
      <c r="F2133" s="26" t="s">
        <v>41</v>
      </c>
      <c r="G2133" s="26">
        <v>11.0</v>
      </c>
      <c r="I2133" s="26" t="s">
        <v>42</v>
      </c>
      <c r="J2133" s="25" t="str">
        <f t="shared" si="34"/>
        <v>No</v>
      </c>
      <c r="K2133" s="25" t="str">
        <f t="shared" si="35"/>
        <v/>
      </c>
      <c r="L2133" s="25" t="str">
        <f t="shared" si="36"/>
        <v/>
      </c>
      <c r="M2133" s="25"/>
      <c r="O2133" s="25"/>
    </row>
    <row r="2134" ht="15.75" customHeight="1">
      <c r="A2134" s="25" t="str">
        <f>IFERROR(__xludf.DUMMYFUNCTION("IF(B2134="""","""",RIGHT(REGEXREPLACE(B2134&amp;"""",""[^0-9]"",""""),9))"),"772063338")</f>
        <v>772063338</v>
      </c>
      <c r="B2134" s="52">
        <v>7.72063338E8</v>
      </c>
      <c r="C2134" s="28" t="s">
        <v>2332</v>
      </c>
      <c r="D2134" s="26" t="s">
        <v>49</v>
      </c>
      <c r="E2134" s="31">
        <v>46229.0</v>
      </c>
      <c r="F2134" s="26" t="s">
        <v>46</v>
      </c>
      <c r="G2134" s="26">
        <v>11.0</v>
      </c>
      <c r="I2134" s="26" t="s">
        <v>42</v>
      </c>
      <c r="J2134" s="25" t="str">
        <f t="shared" si="34"/>
        <v>No</v>
      </c>
      <c r="K2134" s="25" t="str">
        <f t="shared" si="35"/>
        <v/>
      </c>
      <c r="L2134" s="25" t="str">
        <f t="shared" si="36"/>
        <v/>
      </c>
      <c r="M2134" s="25"/>
      <c r="O2134" s="25"/>
    </row>
    <row r="2135" ht="15.75" customHeight="1">
      <c r="A2135" s="25" t="str">
        <f>IFERROR(__xludf.DUMMYFUNCTION("IF(B2135="""","""",RIGHT(REGEXREPLACE(B2135&amp;"""",""[^0-9]"",""""),9))"),"786657610")</f>
        <v>786657610</v>
      </c>
      <c r="B2135" s="52">
        <v>7.8665761E8</v>
      </c>
      <c r="C2135" s="28" t="s">
        <v>2333</v>
      </c>
      <c r="D2135" s="26" t="s">
        <v>64</v>
      </c>
      <c r="E2135" s="31">
        <v>46229.0</v>
      </c>
      <c r="F2135" s="26" t="s">
        <v>41</v>
      </c>
      <c r="I2135" s="26" t="s">
        <v>42</v>
      </c>
      <c r="J2135" s="25" t="str">
        <f t="shared" si="34"/>
        <v>No</v>
      </c>
      <c r="K2135" s="25" t="str">
        <f t="shared" si="35"/>
        <v/>
      </c>
      <c r="L2135" s="25" t="str">
        <f t="shared" si="36"/>
        <v/>
      </c>
      <c r="M2135" s="25"/>
      <c r="O2135" s="25"/>
    </row>
    <row r="2136" ht="15.75" customHeight="1">
      <c r="A2136" s="25" t="str">
        <f>IFERROR(__xludf.DUMMYFUNCTION("IF(B2136="""","""",RIGHT(REGEXREPLACE(B2136&amp;"""",""[^0-9]"",""""),9))"),"761660291")</f>
        <v>761660291</v>
      </c>
      <c r="B2136" s="52">
        <v>7.61660291E8</v>
      </c>
      <c r="C2136" s="28" t="s">
        <v>2334</v>
      </c>
      <c r="D2136" s="26" t="s">
        <v>49</v>
      </c>
      <c r="E2136" s="31">
        <v>46229.0</v>
      </c>
      <c r="F2136" s="26" t="s">
        <v>46</v>
      </c>
      <c r="G2136" s="26">
        <v>11.0</v>
      </c>
      <c r="I2136" s="26" t="s">
        <v>42</v>
      </c>
      <c r="J2136" s="25" t="str">
        <f t="shared" si="34"/>
        <v>No</v>
      </c>
      <c r="K2136" s="25" t="str">
        <f t="shared" si="35"/>
        <v/>
      </c>
      <c r="L2136" s="25" t="str">
        <f t="shared" si="36"/>
        <v/>
      </c>
      <c r="M2136" s="25"/>
      <c r="O2136" s="25"/>
    </row>
    <row r="2137" ht="15.75" customHeight="1">
      <c r="A2137" s="25" t="str">
        <f>IFERROR(__xludf.DUMMYFUNCTION("IF(B2137="""","""",RIGHT(REGEXREPLACE(B2137&amp;"""",""[^0-9]"",""""),9))"),"786905899")</f>
        <v>786905899</v>
      </c>
      <c r="B2137" s="52">
        <v>7.86905899E8</v>
      </c>
      <c r="C2137" s="28" t="s">
        <v>2335</v>
      </c>
      <c r="D2137" s="26" t="s">
        <v>56</v>
      </c>
      <c r="E2137" s="31">
        <v>46229.0</v>
      </c>
      <c r="F2137" s="26" t="s">
        <v>41</v>
      </c>
      <c r="G2137" s="26">
        <v>11.0</v>
      </c>
      <c r="I2137" s="26" t="s">
        <v>42</v>
      </c>
      <c r="J2137" s="25" t="str">
        <f t="shared" si="34"/>
        <v>No</v>
      </c>
      <c r="K2137" s="25" t="str">
        <f t="shared" si="35"/>
        <v/>
      </c>
      <c r="L2137" s="25" t="str">
        <f t="shared" si="36"/>
        <v/>
      </c>
      <c r="M2137" s="25"/>
      <c r="O2137" s="25"/>
    </row>
    <row r="2138" ht="15.75" customHeight="1">
      <c r="A2138" s="25" t="str">
        <f>IFERROR(__xludf.DUMMYFUNCTION("IF(B2138="""","""",RIGHT(REGEXREPLACE(B2138&amp;"""",""[^0-9]"",""""),9))"),"779146223")</f>
        <v>779146223</v>
      </c>
      <c r="B2138" s="52">
        <v>7.79146223E8</v>
      </c>
      <c r="C2138" s="28" t="s">
        <v>2336</v>
      </c>
      <c r="D2138" s="26" t="s">
        <v>64</v>
      </c>
      <c r="E2138" s="31">
        <v>46229.0</v>
      </c>
      <c r="F2138" s="26" t="s">
        <v>205</v>
      </c>
      <c r="I2138" s="26" t="s">
        <v>42</v>
      </c>
      <c r="J2138" s="25" t="str">
        <f t="shared" si="34"/>
        <v>No</v>
      </c>
      <c r="K2138" s="25" t="str">
        <f t="shared" si="35"/>
        <v/>
      </c>
      <c r="L2138" s="25" t="str">
        <f t="shared" si="36"/>
        <v/>
      </c>
      <c r="M2138" s="25"/>
      <c r="O2138" s="25"/>
    </row>
    <row r="2139" ht="15.75" customHeight="1">
      <c r="A2139" s="25" t="str">
        <f>IFERROR(__xludf.DUMMYFUNCTION("IF(B2139="""","""",RIGHT(REGEXREPLACE(B2139&amp;"""",""[^0-9]"",""""),9))"),"761107620")</f>
        <v>761107620</v>
      </c>
      <c r="B2139" s="52">
        <v>7.6110762E8</v>
      </c>
      <c r="C2139" s="28" t="s">
        <v>2337</v>
      </c>
      <c r="D2139" s="26" t="s">
        <v>49</v>
      </c>
      <c r="E2139" s="31">
        <v>46229.0</v>
      </c>
      <c r="F2139" s="26" t="s">
        <v>41</v>
      </c>
      <c r="G2139" s="26">
        <v>11.0</v>
      </c>
      <c r="I2139" s="26" t="s">
        <v>42</v>
      </c>
      <c r="J2139" s="25" t="str">
        <f t="shared" si="34"/>
        <v>No</v>
      </c>
      <c r="K2139" s="25" t="str">
        <f t="shared" si="35"/>
        <v/>
      </c>
      <c r="L2139" s="25" t="str">
        <f t="shared" si="36"/>
        <v/>
      </c>
      <c r="M2139" s="25"/>
      <c r="O2139" s="25"/>
    </row>
    <row r="2140" ht="15.75" customHeight="1">
      <c r="A2140" s="25" t="str">
        <f>IFERROR(__xludf.DUMMYFUNCTION("IF(B2140="""","""",RIGHT(REGEXREPLACE(B2140&amp;"""",""[^0-9]"",""""),9))"),"703833913")</f>
        <v>703833913</v>
      </c>
      <c r="B2140" s="52">
        <v>7.03833913E8</v>
      </c>
      <c r="C2140" s="28" t="s">
        <v>2338</v>
      </c>
      <c r="D2140" s="26" t="s">
        <v>64</v>
      </c>
      <c r="E2140" s="31">
        <v>46229.0</v>
      </c>
      <c r="F2140" s="26" t="s">
        <v>46</v>
      </c>
      <c r="G2140" s="26">
        <v>11.0</v>
      </c>
      <c r="I2140" s="26" t="s">
        <v>42</v>
      </c>
      <c r="J2140" s="25" t="str">
        <f t="shared" si="34"/>
        <v>No</v>
      </c>
      <c r="K2140" s="25" t="str">
        <f t="shared" si="35"/>
        <v/>
      </c>
      <c r="L2140" s="25" t="str">
        <f t="shared" si="36"/>
        <v/>
      </c>
      <c r="M2140" s="25"/>
      <c r="O2140" s="25"/>
    </row>
    <row r="2141" ht="15.75" customHeight="1">
      <c r="A2141" s="25" t="str">
        <f>IFERROR(__xludf.DUMMYFUNCTION("IF(B2141="""","""",RIGHT(REGEXREPLACE(B2141&amp;"""",""[^0-9]"",""""),9))"),"769258338")</f>
        <v>769258338</v>
      </c>
      <c r="B2141" s="26">
        <v>7.69258338E8</v>
      </c>
      <c r="C2141" s="28" t="s">
        <v>2339</v>
      </c>
      <c r="D2141" s="26" t="s">
        <v>37</v>
      </c>
      <c r="E2141" s="31">
        <v>46229.0</v>
      </c>
      <c r="F2141" s="26" t="s">
        <v>46</v>
      </c>
      <c r="G2141" s="26">
        <v>11.0</v>
      </c>
      <c r="I2141" s="26" t="s">
        <v>42</v>
      </c>
      <c r="J2141" s="25" t="str">
        <f t="shared" si="34"/>
        <v>No</v>
      </c>
      <c r="K2141" s="25" t="str">
        <f t="shared" si="35"/>
        <v/>
      </c>
      <c r="L2141" s="25" t="str">
        <f t="shared" si="36"/>
        <v/>
      </c>
      <c r="M2141" s="25"/>
      <c r="O2141" s="25"/>
    </row>
    <row r="2142" ht="15.75" customHeight="1">
      <c r="A2142" s="25" t="str">
        <f>IFERROR(__xludf.DUMMYFUNCTION("IF(B2142="""","""",RIGHT(REGEXREPLACE(B2142&amp;"""",""[^0-9]"",""""),9))"),"769178273")</f>
        <v>769178273</v>
      </c>
      <c r="B2142" s="26">
        <v>7.69178273E8</v>
      </c>
      <c r="C2142" s="28" t="s">
        <v>2340</v>
      </c>
      <c r="D2142" s="26" t="s">
        <v>37</v>
      </c>
      <c r="E2142" s="31">
        <v>46229.0</v>
      </c>
      <c r="F2142" s="26" t="s">
        <v>41</v>
      </c>
      <c r="I2142" s="26" t="s">
        <v>42</v>
      </c>
      <c r="J2142" s="25" t="str">
        <f t="shared" si="34"/>
        <v>No</v>
      </c>
      <c r="K2142" s="25" t="str">
        <f t="shared" si="35"/>
        <v/>
      </c>
      <c r="L2142" s="25" t="str">
        <f t="shared" si="36"/>
        <v/>
      </c>
      <c r="M2142" s="25"/>
      <c r="O2142" s="25"/>
    </row>
    <row r="2143" ht="15.75" customHeight="1">
      <c r="A2143" s="25" t="str">
        <f>IFERROR(__xludf.DUMMYFUNCTION("IF(B2143="""","""",RIGHT(REGEXREPLACE(B2143&amp;"""",""[^0-9]"",""""),9))"),"778274082")</f>
        <v>778274082</v>
      </c>
      <c r="B2143" s="52">
        <v>7.78274082E8</v>
      </c>
      <c r="C2143" s="28" t="s">
        <v>2341</v>
      </c>
      <c r="D2143" s="26" t="s">
        <v>56</v>
      </c>
      <c r="E2143" s="31">
        <v>46229.0</v>
      </c>
      <c r="F2143" s="26" t="s">
        <v>41</v>
      </c>
      <c r="I2143" s="26" t="s">
        <v>42</v>
      </c>
      <c r="J2143" s="25" t="str">
        <f t="shared" si="34"/>
        <v>No</v>
      </c>
      <c r="K2143" s="25" t="str">
        <f t="shared" si="35"/>
        <v/>
      </c>
      <c r="L2143" s="25" t="str">
        <f t="shared" si="36"/>
        <v/>
      </c>
      <c r="M2143" s="25"/>
      <c r="O2143" s="25"/>
    </row>
    <row r="2144" ht="15.75" customHeight="1">
      <c r="A2144" s="25" t="str">
        <f>IFERROR(__xludf.DUMMYFUNCTION("IF(B2144="""","""",RIGHT(REGEXREPLACE(B2144&amp;"""",""[^0-9]"",""""),9))"),"779982445")</f>
        <v>779982445</v>
      </c>
      <c r="B2144" s="26">
        <v>7.79982445E8</v>
      </c>
      <c r="C2144" s="28" t="s">
        <v>2342</v>
      </c>
      <c r="D2144" s="26" t="s">
        <v>37</v>
      </c>
      <c r="E2144" s="31">
        <v>46229.0</v>
      </c>
      <c r="F2144" s="26" t="s">
        <v>46</v>
      </c>
      <c r="I2144" s="26" t="s">
        <v>42</v>
      </c>
      <c r="J2144" s="25" t="str">
        <f t="shared" si="34"/>
        <v>No</v>
      </c>
      <c r="K2144" s="25" t="str">
        <f t="shared" si="35"/>
        <v/>
      </c>
      <c r="L2144" s="25" t="str">
        <f t="shared" si="36"/>
        <v/>
      </c>
      <c r="M2144" s="25"/>
      <c r="O2144" s="25"/>
    </row>
    <row r="2145" ht="15.75" customHeight="1">
      <c r="A2145" s="25" t="str">
        <f>IFERROR(__xludf.DUMMYFUNCTION("IF(B2145="""","""",RIGHT(REGEXREPLACE(B2145&amp;"""",""[^0-9]"",""""),9))"),"766743411")</f>
        <v>766743411</v>
      </c>
      <c r="B2145" s="52">
        <v>7.66743411E8</v>
      </c>
      <c r="C2145" s="28" t="s">
        <v>2343</v>
      </c>
      <c r="D2145" s="26" t="s">
        <v>45</v>
      </c>
      <c r="E2145" s="31">
        <v>46229.0</v>
      </c>
      <c r="F2145" s="26" t="s">
        <v>46</v>
      </c>
      <c r="G2145" s="26">
        <v>11.0</v>
      </c>
      <c r="I2145" s="26" t="s">
        <v>42</v>
      </c>
      <c r="J2145" s="25" t="str">
        <f t="shared" si="34"/>
        <v>No</v>
      </c>
      <c r="K2145" s="25" t="str">
        <f t="shared" si="35"/>
        <v/>
      </c>
      <c r="L2145" s="25" t="str">
        <f t="shared" si="36"/>
        <v/>
      </c>
      <c r="M2145" s="25"/>
      <c r="O2145" s="25"/>
    </row>
    <row r="2146" ht="15.75" customHeight="1">
      <c r="A2146" s="25" t="str">
        <f>IFERROR(__xludf.DUMMYFUNCTION("IF(B2146="""","""",RIGHT(REGEXREPLACE(B2146&amp;"""",""[^0-9]"",""""),9))"),"741354704")</f>
        <v>741354704</v>
      </c>
      <c r="B2146" s="26">
        <v>7.41354704E8</v>
      </c>
      <c r="C2146" s="28" t="s">
        <v>2344</v>
      </c>
      <c r="D2146" s="26" t="s">
        <v>37</v>
      </c>
      <c r="E2146" s="31">
        <v>46229.0</v>
      </c>
      <c r="F2146" s="26" t="s">
        <v>46</v>
      </c>
      <c r="G2146" s="26">
        <v>11.0</v>
      </c>
      <c r="I2146" s="26" t="s">
        <v>42</v>
      </c>
      <c r="J2146" s="25" t="str">
        <f t="shared" si="34"/>
        <v>No</v>
      </c>
      <c r="K2146" s="25" t="str">
        <f t="shared" si="35"/>
        <v/>
      </c>
      <c r="L2146" s="25" t="str">
        <f t="shared" si="36"/>
        <v/>
      </c>
      <c r="M2146" s="25"/>
      <c r="O2146" s="25"/>
    </row>
    <row r="2147" ht="15.75" customHeight="1">
      <c r="A2147" s="25" t="str">
        <f>IFERROR(__xludf.DUMMYFUNCTION("IF(B2147="""","""",RIGHT(REGEXREPLACE(B2147&amp;"""",""[^0-9]"",""""),9))"),"716554541")</f>
        <v>716554541</v>
      </c>
      <c r="B2147" s="26">
        <v>7.16554541E8</v>
      </c>
      <c r="C2147" s="28" t="s">
        <v>2345</v>
      </c>
      <c r="D2147" s="26" t="s">
        <v>37</v>
      </c>
      <c r="E2147" s="31">
        <v>46229.0</v>
      </c>
      <c r="F2147" s="26" t="s">
        <v>46</v>
      </c>
      <c r="G2147" s="26">
        <v>11.0</v>
      </c>
      <c r="I2147" s="26" t="s">
        <v>42</v>
      </c>
      <c r="J2147" s="25" t="str">
        <f t="shared" si="34"/>
        <v>No</v>
      </c>
      <c r="K2147" s="25" t="str">
        <f t="shared" si="35"/>
        <v/>
      </c>
      <c r="L2147" s="25" t="str">
        <f t="shared" si="36"/>
        <v/>
      </c>
      <c r="M2147" s="25"/>
      <c r="O2147" s="25"/>
    </row>
    <row r="2148" ht="15.75" customHeight="1">
      <c r="A2148" s="25" t="str">
        <f>IFERROR(__xludf.DUMMYFUNCTION("IF(B2148="""","""",RIGHT(REGEXREPLACE(B2148&amp;"""",""[^0-9]"",""""),9))"),"766847130")</f>
        <v>766847130</v>
      </c>
      <c r="B2148" s="52">
        <v>7.6684713E8</v>
      </c>
      <c r="C2148" s="28" t="s">
        <v>2346</v>
      </c>
      <c r="D2148" s="26" t="s">
        <v>49</v>
      </c>
      <c r="E2148" s="31">
        <v>46229.0</v>
      </c>
      <c r="F2148" s="26" t="s">
        <v>46</v>
      </c>
      <c r="G2148" s="26">
        <v>11.0</v>
      </c>
      <c r="I2148" s="26" t="s">
        <v>42</v>
      </c>
      <c r="J2148" s="25" t="str">
        <f t="shared" si="34"/>
        <v>No</v>
      </c>
      <c r="K2148" s="25" t="str">
        <f t="shared" si="35"/>
        <v/>
      </c>
      <c r="L2148" s="25" t="str">
        <f t="shared" si="36"/>
        <v/>
      </c>
      <c r="M2148" s="25"/>
      <c r="O2148" s="25"/>
    </row>
    <row r="2149" ht="15.75" customHeight="1">
      <c r="A2149" s="25" t="str">
        <f>IFERROR(__xludf.DUMMYFUNCTION("IF(B2149="""","""",RIGHT(REGEXREPLACE(B2149&amp;"""",""[^0-9]"",""""),9))"),"719055581")</f>
        <v>719055581</v>
      </c>
      <c r="B2149" s="52">
        <v>7.19055581E8</v>
      </c>
      <c r="C2149" s="28" t="s">
        <v>2347</v>
      </c>
      <c r="D2149" s="26" t="s">
        <v>56</v>
      </c>
      <c r="E2149" s="31">
        <v>46229.0</v>
      </c>
      <c r="F2149" s="26" t="s">
        <v>41</v>
      </c>
      <c r="G2149" s="26">
        <v>11.0</v>
      </c>
      <c r="I2149" s="26" t="s">
        <v>42</v>
      </c>
      <c r="J2149" s="25" t="str">
        <f t="shared" si="34"/>
        <v>No</v>
      </c>
      <c r="K2149" s="25" t="str">
        <f t="shared" si="35"/>
        <v/>
      </c>
      <c r="L2149" s="25" t="str">
        <f t="shared" si="36"/>
        <v/>
      </c>
      <c r="M2149" s="25"/>
      <c r="O2149" s="25"/>
    </row>
    <row r="2150" ht="15.75" customHeight="1">
      <c r="A2150" s="25" t="str">
        <f>IFERROR(__xludf.DUMMYFUNCTION("IF(B2150="""","""",RIGHT(REGEXREPLACE(B2150&amp;"""",""[^0-9]"",""""),9))"),"771899593")</f>
        <v>771899593</v>
      </c>
      <c r="B2150" s="52">
        <v>7.71899593E8</v>
      </c>
      <c r="C2150" s="28" t="s">
        <v>2348</v>
      </c>
      <c r="D2150" s="26" t="s">
        <v>45</v>
      </c>
      <c r="E2150" s="31">
        <v>46229.0</v>
      </c>
      <c r="F2150" s="26" t="s">
        <v>46</v>
      </c>
      <c r="G2150" s="26">
        <v>11.0</v>
      </c>
      <c r="I2150" s="26" t="s">
        <v>42</v>
      </c>
      <c r="J2150" s="25" t="str">
        <f t="shared" si="34"/>
        <v>No</v>
      </c>
      <c r="K2150" s="25" t="str">
        <f t="shared" si="35"/>
        <v/>
      </c>
      <c r="L2150" s="25" t="str">
        <f t="shared" si="36"/>
        <v/>
      </c>
      <c r="M2150" s="25"/>
      <c r="O2150" s="25"/>
    </row>
    <row r="2151" ht="15.75" customHeight="1">
      <c r="A2151" s="25" t="str">
        <f>IFERROR(__xludf.DUMMYFUNCTION("IF(B2151="""","""",RIGHT(REGEXREPLACE(B2151&amp;"""",""[^0-9]"",""""),9))"),"760476008")</f>
        <v>760476008</v>
      </c>
      <c r="B2151" s="52">
        <v>7.60476008E8</v>
      </c>
      <c r="C2151" s="28" t="s">
        <v>2349</v>
      </c>
      <c r="D2151" s="26" t="s">
        <v>64</v>
      </c>
      <c r="E2151" s="31">
        <v>46229.0</v>
      </c>
      <c r="F2151" s="26" t="s">
        <v>46</v>
      </c>
      <c r="G2151" s="26">
        <v>11.0</v>
      </c>
      <c r="I2151" s="26" t="s">
        <v>42</v>
      </c>
      <c r="J2151" s="25" t="str">
        <f t="shared" si="34"/>
        <v>No</v>
      </c>
      <c r="K2151" s="25" t="str">
        <f t="shared" si="35"/>
        <v/>
      </c>
      <c r="L2151" s="25" t="str">
        <f t="shared" si="36"/>
        <v/>
      </c>
      <c r="M2151" s="25"/>
      <c r="O2151" s="25"/>
    </row>
    <row r="2152" ht="15.75" customHeight="1">
      <c r="A2152" s="25" t="str">
        <f>IFERROR(__xludf.DUMMYFUNCTION("IF(B2152="""","""",RIGHT(REGEXREPLACE(B2152&amp;"""",""[^0-9]"",""""),9))"),"779628553")</f>
        <v>779628553</v>
      </c>
      <c r="B2152" s="26">
        <v>7.79628553E8</v>
      </c>
      <c r="C2152" s="28" t="s">
        <v>2350</v>
      </c>
      <c r="D2152" s="26" t="s">
        <v>37</v>
      </c>
      <c r="E2152" s="31">
        <v>46229.0</v>
      </c>
      <c r="F2152" s="26" t="s">
        <v>41</v>
      </c>
      <c r="G2152" s="26">
        <v>11.0</v>
      </c>
      <c r="I2152" s="26" t="s">
        <v>42</v>
      </c>
      <c r="J2152" s="25" t="str">
        <f t="shared" si="34"/>
        <v>No</v>
      </c>
      <c r="K2152" s="25" t="str">
        <f t="shared" si="35"/>
        <v/>
      </c>
      <c r="L2152" s="25" t="str">
        <f t="shared" si="36"/>
        <v/>
      </c>
      <c r="M2152" s="25"/>
      <c r="O2152" s="25"/>
    </row>
    <row r="2153" ht="15.75" customHeight="1">
      <c r="A2153" s="25" t="str">
        <f>IFERROR(__xludf.DUMMYFUNCTION("IF(B2153="""","""",RIGHT(REGEXREPLACE(B2153&amp;"""",""[^0-9]"",""""),9))"),"768551325")</f>
        <v>768551325</v>
      </c>
      <c r="B2153" s="52">
        <v>7.68551325E8</v>
      </c>
      <c r="C2153" s="28" t="s">
        <v>2351</v>
      </c>
      <c r="D2153" s="26" t="s">
        <v>45</v>
      </c>
      <c r="E2153" s="31">
        <v>46229.0</v>
      </c>
      <c r="F2153" s="26" t="s">
        <v>41</v>
      </c>
      <c r="I2153" s="26" t="s">
        <v>42</v>
      </c>
      <c r="J2153" s="25" t="str">
        <f t="shared" si="34"/>
        <v>No</v>
      </c>
      <c r="K2153" s="25" t="str">
        <f t="shared" si="35"/>
        <v/>
      </c>
      <c r="L2153" s="25" t="str">
        <f t="shared" si="36"/>
        <v/>
      </c>
      <c r="M2153" s="25"/>
      <c r="O2153" s="25"/>
    </row>
    <row r="2154" ht="15.75" customHeight="1">
      <c r="A2154" s="25" t="str">
        <f>IFERROR(__xludf.DUMMYFUNCTION("IF(B2154="""","""",RIGHT(REGEXREPLACE(B2154&amp;"""",""[^0-9]"",""""),9))"),"772255616")</f>
        <v>772255616</v>
      </c>
      <c r="B2154" s="52">
        <v>7.72255616E8</v>
      </c>
      <c r="C2154" s="28" t="s">
        <v>2352</v>
      </c>
      <c r="D2154" s="26" t="s">
        <v>49</v>
      </c>
      <c r="E2154" s="31">
        <v>46229.0</v>
      </c>
      <c r="F2154" s="26" t="s">
        <v>46</v>
      </c>
      <c r="G2154" s="26">
        <v>11.0</v>
      </c>
      <c r="H2154" s="26" t="s">
        <v>253</v>
      </c>
      <c r="I2154" s="26" t="s">
        <v>42</v>
      </c>
      <c r="J2154" s="25" t="str">
        <f t="shared" si="34"/>
        <v>No</v>
      </c>
      <c r="K2154" s="25" t="str">
        <f t="shared" si="35"/>
        <v/>
      </c>
      <c r="L2154" s="25" t="str">
        <f t="shared" si="36"/>
        <v/>
      </c>
      <c r="M2154" s="25"/>
      <c r="O2154" s="25"/>
    </row>
    <row r="2155" ht="15.75" customHeight="1">
      <c r="A2155" s="25" t="str">
        <f>IFERROR(__xludf.DUMMYFUNCTION("IF(B2155="""","""",RIGHT(REGEXREPLACE(B2155&amp;"""",""[^0-9]"",""""),9))"),"715661802")</f>
        <v>715661802</v>
      </c>
      <c r="B2155" s="52">
        <v>7.15661802E8</v>
      </c>
      <c r="C2155" s="28" t="s">
        <v>2353</v>
      </c>
      <c r="D2155" s="26" t="s">
        <v>45</v>
      </c>
      <c r="E2155" s="31">
        <v>46229.0</v>
      </c>
      <c r="F2155" s="26" t="s">
        <v>46</v>
      </c>
      <c r="G2155" s="26">
        <v>11.0</v>
      </c>
      <c r="I2155" s="26" t="s">
        <v>42</v>
      </c>
      <c r="J2155" s="25" t="str">
        <f t="shared" si="34"/>
        <v>No</v>
      </c>
      <c r="K2155" s="25" t="str">
        <f t="shared" si="35"/>
        <v/>
      </c>
      <c r="L2155" s="25" t="str">
        <f t="shared" si="36"/>
        <v/>
      </c>
      <c r="M2155" s="25"/>
      <c r="O2155" s="25"/>
    </row>
    <row r="2156" ht="15.75" customHeight="1">
      <c r="A2156" s="25" t="str">
        <f>IFERROR(__xludf.DUMMYFUNCTION("IF(B2156="""","""",RIGHT(REGEXREPLACE(B2156&amp;"""",""[^0-9]"",""""),9))"),"752027900")</f>
        <v>752027900</v>
      </c>
      <c r="B2156" s="52">
        <v>7.520279E8</v>
      </c>
      <c r="C2156" s="28" t="s">
        <v>2354</v>
      </c>
      <c r="D2156" s="26" t="s">
        <v>56</v>
      </c>
      <c r="E2156" s="31">
        <v>46229.0</v>
      </c>
      <c r="F2156" s="26" t="s">
        <v>46</v>
      </c>
      <c r="G2156" s="26">
        <v>10.0</v>
      </c>
      <c r="I2156" s="26" t="s">
        <v>42</v>
      </c>
      <c r="J2156" s="25" t="str">
        <f t="shared" si="34"/>
        <v>No</v>
      </c>
      <c r="K2156" s="25" t="str">
        <f t="shared" si="35"/>
        <v/>
      </c>
      <c r="L2156" s="25" t="str">
        <f t="shared" si="36"/>
        <v/>
      </c>
      <c r="M2156" s="25"/>
      <c r="O2156" s="26" t="s">
        <v>51</v>
      </c>
    </row>
    <row r="2157" ht="15.75" customHeight="1">
      <c r="A2157" s="25" t="str">
        <f>IFERROR(__xludf.DUMMYFUNCTION("IF(B2157="""","""",RIGHT(REGEXREPLACE(B2157&amp;"""",""[^0-9]"",""""),9))"),"774529445")</f>
        <v>774529445</v>
      </c>
      <c r="B2157" s="26">
        <v>7.74529445E8</v>
      </c>
      <c r="C2157" s="28" t="s">
        <v>2355</v>
      </c>
      <c r="D2157" s="26" t="s">
        <v>37</v>
      </c>
      <c r="E2157" s="31">
        <v>46229.0</v>
      </c>
      <c r="F2157" s="26" t="s">
        <v>46</v>
      </c>
      <c r="G2157" s="26">
        <v>11.0</v>
      </c>
      <c r="I2157" s="26" t="s">
        <v>42</v>
      </c>
      <c r="J2157" s="25" t="str">
        <f t="shared" si="34"/>
        <v>No</v>
      </c>
      <c r="K2157" s="25" t="str">
        <f t="shared" si="35"/>
        <v/>
      </c>
      <c r="L2157" s="25" t="str">
        <f t="shared" si="36"/>
        <v/>
      </c>
      <c r="M2157" s="25"/>
      <c r="O2157" s="25"/>
    </row>
    <row r="2158" ht="15.75" customHeight="1">
      <c r="A2158" s="25" t="str">
        <f>IFERROR(__xludf.DUMMYFUNCTION("IF(B2158="""","""",RIGHT(REGEXREPLACE(B2158&amp;"""",""[^0-9]"",""""),9))"),"772402313")</f>
        <v>772402313</v>
      </c>
      <c r="B2158" s="52">
        <v>7.72402313E8</v>
      </c>
      <c r="C2158" s="28" t="s">
        <v>2356</v>
      </c>
      <c r="D2158" s="26" t="s">
        <v>49</v>
      </c>
      <c r="E2158" s="31">
        <v>46229.0</v>
      </c>
      <c r="F2158" s="26" t="s">
        <v>46</v>
      </c>
      <c r="G2158" s="26">
        <v>11.0</v>
      </c>
      <c r="I2158" s="26" t="s">
        <v>42</v>
      </c>
      <c r="J2158" s="25" t="str">
        <f t="shared" si="34"/>
        <v>No</v>
      </c>
      <c r="K2158" s="25" t="str">
        <f t="shared" si="35"/>
        <v/>
      </c>
      <c r="L2158" s="25" t="str">
        <f t="shared" si="36"/>
        <v/>
      </c>
      <c r="M2158" s="25"/>
      <c r="O2158" s="25"/>
    </row>
    <row r="2159" ht="15.75" customHeight="1">
      <c r="A2159" s="25" t="str">
        <f>IFERROR(__xludf.DUMMYFUNCTION("IF(B2159="""","""",RIGHT(REGEXREPLACE(B2159&amp;"""",""[^0-9]"",""""),9))"),"712988370")</f>
        <v>712988370</v>
      </c>
      <c r="B2159" s="26">
        <v>7.1298837E8</v>
      </c>
      <c r="C2159" s="28" t="s">
        <v>2357</v>
      </c>
      <c r="D2159" s="26" t="s">
        <v>37</v>
      </c>
      <c r="E2159" s="31">
        <v>46229.0</v>
      </c>
      <c r="F2159" s="26" t="s">
        <v>46</v>
      </c>
      <c r="G2159" s="26">
        <v>11.0</v>
      </c>
      <c r="I2159" s="26" t="s">
        <v>42</v>
      </c>
      <c r="J2159" s="25" t="str">
        <f t="shared" si="34"/>
        <v>No</v>
      </c>
      <c r="K2159" s="25" t="str">
        <f t="shared" si="35"/>
        <v/>
      </c>
      <c r="L2159" s="25" t="str">
        <f t="shared" si="36"/>
        <v/>
      </c>
      <c r="M2159" s="25"/>
      <c r="O2159" s="25"/>
    </row>
    <row r="2160" ht="15.75" customHeight="1">
      <c r="A2160" s="25" t="str">
        <f>IFERROR(__xludf.DUMMYFUNCTION("IF(B2160="""","""",RIGHT(REGEXREPLACE(B2160&amp;"""",""[^0-9]"",""""),9))"),"710551369")</f>
        <v>710551369</v>
      </c>
      <c r="B2160" s="52">
        <v>7.10551369E8</v>
      </c>
      <c r="C2160" s="28" t="s">
        <v>2358</v>
      </c>
      <c r="D2160" s="26" t="s">
        <v>64</v>
      </c>
      <c r="E2160" s="31">
        <v>46229.0</v>
      </c>
      <c r="F2160" s="26" t="s">
        <v>46</v>
      </c>
      <c r="G2160" s="26">
        <v>11.0</v>
      </c>
      <c r="I2160" s="26" t="s">
        <v>42</v>
      </c>
      <c r="J2160" s="25" t="str">
        <f t="shared" si="34"/>
        <v>No</v>
      </c>
      <c r="K2160" s="25" t="str">
        <f t="shared" si="35"/>
        <v/>
      </c>
      <c r="L2160" s="25" t="str">
        <f t="shared" si="36"/>
        <v/>
      </c>
      <c r="M2160" s="25"/>
      <c r="O2160" s="25"/>
    </row>
    <row r="2161" ht="15.75" customHeight="1">
      <c r="A2161" s="25" t="str">
        <f>IFERROR(__xludf.DUMMYFUNCTION("IF(B2161="""","""",RIGHT(REGEXREPLACE(B2161&amp;"""",""[^0-9]"",""""),9))"),"776788278")</f>
        <v>776788278</v>
      </c>
      <c r="B2161" s="52">
        <v>7.76788278E8</v>
      </c>
      <c r="C2161" s="28" t="s">
        <v>2359</v>
      </c>
      <c r="D2161" s="26" t="s">
        <v>45</v>
      </c>
      <c r="E2161" s="31">
        <v>46229.0</v>
      </c>
      <c r="F2161" s="26" t="s">
        <v>46</v>
      </c>
      <c r="G2161" s="26">
        <v>11.0</v>
      </c>
      <c r="I2161" s="26" t="s">
        <v>42</v>
      </c>
      <c r="J2161" s="25" t="str">
        <f t="shared" si="34"/>
        <v>No</v>
      </c>
      <c r="K2161" s="25" t="str">
        <f t="shared" si="35"/>
        <v/>
      </c>
      <c r="L2161" s="25" t="str">
        <f t="shared" si="36"/>
        <v/>
      </c>
      <c r="M2161" s="25"/>
      <c r="O2161" s="25"/>
    </row>
    <row r="2162" ht="15.75" customHeight="1">
      <c r="A2162" s="25" t="str">
        <f>IFERROR(__xludf.DUMMYFUNCTION("IF(B2162="""","""",RIGHT(REGEXREPLACE(B2162&amp;"""",""[^0-9]"",""""),9))"),"770833923")</f>
        <v>770833923</v>
      </c>
      <c r="B2162" s="52">
        <v>7.70833923E8</v>
      </c>
      <c r="C2162" s="28" t="s">
        <v>2360</v>
      </c>
      <c r="D2162" s="26" t="s">
        <v>49</v>
      </c>
      <c r="E2162" s="31">
        <v>46229.0</v>
      </c>
      <c r="F2162" s="26" t="s">
        <v>46</v>
      </c>
      <c r="G2162" s="26">
        <v>11.0</v>
      </c>
      <c r="I2162" s="26" t="s">
        <v>42</v>
      </c>
      <c r="J2162" s="25" t="str">
        <f t="shared" si="34"/>
        <v>No</v>
      </c>
      <c r="K2162" s="25" t="str">
        <f t="shared" si="35"/>
        <v/>
      </c>
      <c r="L2162" s="25" t="str">
        <f t="shared" si="36"/>
        <v/>
      </c>
      <c r="M2162" s="25"/>
      <c r="O2162" s="25"/>
    </row>
    <row r="2163" ht="15.75" customHeight="1">
      <c r="A2163" s="25" t="str">
        <f>IFERROR(__xludf.DUMMYFUNCTION("IF(B2163="""","""",RIGHT(REGEXREPLACE(B2163&amp;"""",""[^0-9]"",""""),9))"),"705959557")</f>
        <v>705959557</v>
      </c>
      <c r="B2163" s="26">
        <v>7.05959557E8</v>
      </c>
      <c r="C2163" s="28" t="s">
        <v>2361</v>
      </c>
      <c r="D2163" s="26" t="s">
        <v>37</v>
      </c>
      <c r="E2163" s="31">
        <v>46229.0</v>
      </c>
      <c r="F2163" s="26" t="s">
        <v>46</v>
      </c>
      <c r="I2163" s="26" t="s">
        <v>42</v>
      </c>
      <c r="J2163" s="25" t="str">
        <f t="shared" si="34"/>
        <v>No</v>
      </c>
      <c r="K2163" s="25" t="str">
        <f t="shared" si="35"/>
        <v/>
      </c>
      <c r="L2163" s="25" t="str">
        <f t="shared" si="36"/>
        <v/>
      </c>
      <c r="M2163" s="25"/>
      <c r="O2163" s="25"/>
    </row>
    <row r="2164" ht="15.75" customHeight="1">
      <c r="A2164" s="25" t="str">
        <f>IFERROR(__xludf.DUMMYFUNCTION("IF(B2164="""","""",RIGHT(REGEXREPLACE(B2164&amp;"""",""[^0-9]"",""""),9))"),"713844377")</f>
        <v>713844377</v>
      </c>
      <c r="B2164" s="52">
        <v>7.13844377E8</v>
      </c>
      <c r="C2164" s="28" t="s">
        <v>2362</v>
      </c>
      <c r="D2164" s="26" t="s">
        <v>45</v>
      </c>
      <c r="E2164" s="31">
        <v>46229.0</v>
      </c>
      <c r="F2164" s="26" t="s">
        <v>46</v>
      </c>
      <c r="G2164" s="26">
        <v>11.0</v>
      </c>
      <c r="I2164" s="26" t="s">
        <v>42</v>
      </c>
      <c r="J2164" s="25" t="str">
        <f t="shared" si="34"/>
        <v>No</v>
      </c>
      <c r="K2164" s="25" t="str">
        <f t="shared" si="35"/>
        <v/>
      </c>
      <c r="L2164" s="25" t="str">
        <f t="shared" si="36"/>
        <v/>
      </c>
      <c r="M2164" s="25"/>
      <c r="O2164" s="25"/>
    </row>
    <row r="2165" ht="15.75" customHeight="1">
      <c r="A2165" s="25" t="str">
        <f>IFERROR(__xludf.DUMMYFUNCTION("IF(B2165="""","""",RIGHT(REGEXREPLACE(B2165&amp;"""",""[^0-9]"",""""),9))"),"774297750")</f>
        <v>774297750</v>
      </c>
      <c r="B2165" s="64">
        <v>7.7429775E8</v>
      </c>
      <c r="C2165" s="28" t="s">
        <v>2363</v>
      </c>
      <c r="D2165" s="26" t="s">
        <v>56</v>
      </c>
      <c r="E2165" s="31">
        <v>46229.0</v>
      </c>
      <c r="F2165" s="26" t="s">
        <v>41</v>
      </c>
      <c r="I2165" s="26" t="s">
        <v>42</v>
      </c>
      <c r="J2165" s="25" t="str">
        <f t="shared" si="34"/>
        <v>No</v>
      </c>
      <c r="K2165" s="25" t="str">
        <f t="shared" si="35"/>
        <v/>
      </c>
      <c r="L2165" s="25" t="str">
        <f t="shared" si="36"/>
        <v/>
      </c>
      <c r="M2165" s="25"/>
      <c r="O2165" s="25"/>
    </row>
    <row r="2166" ht="15.75" customHeight="1">
      <c r="A2166" s="25" t="str">
        <f>IFERROR(__xludf.DUMMYFUNCTION("IF(B2166="""","""",RIGHT(REGEXREPLACE(B2166&amp;"""",""[^0-9]"",""""),9))"),"715975973")</f>
        <v>715975973</v>
      </c>
      <c r="B2166" s="52">
        <v>7.15975973E8</v>
      </c>
      <c r="C2166" s="28" t="s">
        <v>2364</v>
      </c>
      <c r="D2166" s="26" t="s">
        <v>64</v>
      </c>
      <c r="E2166" s="31">
        <v>46229.0</v>
      </c>
      <c r="F2166" s="26" t="s">
        <v>46</v>
      </c>
      <c r="G2166" s="26">
        <v>11.0</v>
      </c>
      <c r="I2166" s="26" t="s">
        <v>42</v>
      </c>
      <c r="J2166" s="25" t="str">
        <f t="shared" si="34"/>
        <v>No</v>
      </c>
      <c r="K2166" s="25" t="str">
        <f t="shared" si="35"/>
        <v/>
      </c>
      <c r="L2166" s="25" t="str">
        <f t="shared" si="36"/>
        <v/>
      </c>
      <c r="M2166" s="25"/>
      <c r="O2166" s="25"/>
    </row>
    <row r="2167" ht="15.75" customHeight="1">
      <c r="A2167" s="25" t="str">
        <f>IFERROR(__xludf.DUMMYFUNCTION("IF(B2167="""","""",RIGHT(REGEXREPLACE(B2167&amp;"""",""[^0-9]"",""""),9))"),"711902124")</f>
        <v>711902124</v>
      </c>
      <c r="B2167" s="52">
        <v>7.11902124E8</v>
      </c>
      <c r="C2167" s="28" t="s">
        <v>2365</v>
      </c>
      <c r="D2167" s="26" t="s">
        <v>49</v>
      </c>
      <c r="E2167" s="31">
        <v>46229.0</v>
      </c>
      <c r="F2167" s="26" t="s">
        <v>46</v>
      </c>
      <c r="G2167" s="26">
        <v>8.0</v>
      </c>
      <c r="I2167" s="26" t="s">
        <v>42</v>
      </c>
      <c r="J2167" s="25" t="str">
        <f t="shared" si="34"/>
        <v>No</v>
      </c>
      <c r="K2167" s="25" t="str">
        <f t="shared" si="35"/>
        <v/>
      </c>
      <c r="L2167" s="25" t="str">
        <f t="shared" si="36"/>
        <v/>
      </c>
      <c r="M2167" s="25"/>
      <c r="O2167" s="25"/>
    </row>
    <row r="2168" ht="15.75" customHeight="1">
      <c r="A2168" s="25" t="str">
        <f>IFERROR(__xludf.DUMMYFUNCTION("IF(B2168="""","""",RIGHT(REGEXREPLACE(B2168&amp;"""",""[^0-9]"",""""),9))"),"702591566")</f>
        <v>702591566</v>
      </c>
      <c r="B2168" s="26">
        <v>7.02591566E8</v>
      </c>
      <c r="C2168" s="28" t="s">
        <v>2366</v>
      </c>
      <c r="D2168" s="26" t="s">
        <v>37</v>
      </c>
      <c r="E2168" s="31">
        <v>46229.0</v>
      </c>
      <c r="F2168" s="26" t="s">
        <v>205</v>
      </c>
      <c r="I2168" s="26" t="s">
        <v>42</v>
      </c>
      <c r="J2168" s="25" t="str">
        <f t="shared" si="34"/>
        <v>No</v>
      </c>
      <c r="K2168" s="25" t="str">
        <f t="shared" si="35"/>
        <v/>
      </c>
      <c r="L2168" s="25" t="str">
        <f t="shared" si="36"/>
        <v/>
      </c>
      <c r="M2168" s="25"/>
      <c r="O2168" s="25"/>
    </row>
    <row r="2169" ht="15.75" customHeight="1">
      <c r="A2169" s="25" t="str">
        <f>IFERROR(__xludf.DUMMYFUNCTION("IF(B2169="""","""",RIGHT(REGEXREPLACE(B2169&amp;"""",""[^0-9]"",""""),9))"),"760427929")</f>
        <v>760427929</v>
      </c>
      <c r="B2169" s="52">
        <v>7.60427929E8</v>
      </c>
      <c r="C2169" s="28" t="s">
        <v>2364</v>
      </c>
      <c r="D2169" s="26" t="s">
        <v>45</v>
      </c>
      <c r="E2169" s="31">
        <v>46229.0</v>
      </c>
      <c r="F2169" s="26" t="s">
        <v>46</v>
      </c>
      <c r="G2169" s="26">
        <v>11.0</v>
      </c>
      <c r="I2169" s="26" t="s">
        <v>42</v>
      </c>
      <c r="J2169" s="25" t="str">
        <f t="shared" si="34"/>
        <v>No</v>
      </c>
      <c r="K2169" s="25" t="str">
        <f t="shared" si="35"/>
        <v/>
      </c>
      <c r="L2169" s="25" t="str">
        <f t="shared" si="36"/>
        <v/>
      </c>
      <c r="M2169" s="25"/>
      <c r="O2169" s="25"/>
    </row>
    <row r="2170" ht="15.75" customHeight="1">
      <c r="A2170" s="25" t="str">
        <f>IFERROR(__xludf.DUMMYFUNCTION("IF(B2170="""","""",RIGHT(REGEXREPLACE(B2170&amp;"""",""[^0-9]"",""""),9))"),"711734877")</f>
        <v>711734877</v>
      </c>
      <c r="B2170" s="26">
        <v>7.11734877E8</v>
      </c>
      <c r="C2170" s="28" t="s">
        <v>2367</v>
      </c>
      <c r="D2170" s="26" t="s">
        <v>37</v>
      </c>
      <c r="E2170" s="31">
        <v>46229.0</v>
      </c>
      <c r="F2170" s="26" t="s">
        <v>84</v>
      </c>
      <c r="I2170" s="26" t="s">
        <v>42</v>
      </c>
      <c r="J2170" s="25" t="str">
        <f t="shared" si="34"/>
        <v>No</v>
      </c>
      <c r="K2170" s="25" t="str">
        <f t="shared" si="35"/>
        <v/>
      </c>
      <c r="L2170" s="25" t="str">
        <f t="shared" si="36"/>
        <v/>
      </c>
      <c r="M2170" s="25"/>
      <c r="O2170" s="25"/>
    </row>
    <row r="2171" ht="15.75" customHeight="1">
      <c r="A2171" s="25" t="str">
        <f>IFERROR(__xludf.DUMMYFUNCTION("IF(B2171="""","""",RIGHT(REGEXREPLACE(B2171&amp;"""",""[^0-9]"",""""),9))"),"714556076")</f>
        <v>714556076</v>
      </c>
      <c r="B2171" s="52">
        <v>7.14556076E8</v>
      </c>
      <c r="C2171" s="28" t="s">
        <v>2368</v>
      </c>
      <c r="D2171" s="26" t="s">
        <v>64</v>
      </c>
      <c r="E2171" s="31">
        <v>46229.0</v>
      </c>
      <c r="F2171" s="26" t="s">
        <v>84</v>
      </c>
      <c r="I2171" s="26" t="s">
        <v>42</v>
      </c>
      <c r="J2171" s="25" t="str">
        <f t="shared" si="34"/>
        <v>No</v>
      </c>
      <c r="K2171" s="25" t="str">
        <f t="shared" si="35"/>
        <v/>
      </c>
      <c r="L2171" s="25" t="str">
        <f t="shared" si="36"/>
        <v/>
      </c>
      <c r="M2171" s="25"/>
      <c r="O2171" s="25"/>
    </row>
    <row r="2172" ht="15.75" customHeight="1">
      <c r="A2172" s="25" t="str">
        <f>IFERROR(__xludf.DUMMYFUNCTION("IF(B2172="""","""",RIGHT(REGEXREPLACE(B2172&amp;"""",""[^0-9]"",""""),9))"),"764094015")</f>
        <v>764094015</v>
      </c>
      <c r="B2172" s="52">
        <v>7.64094015E8</v>
      </c>
      <c r="C2172" s="28" t="s">
        <v>2369</v>
      </c>
      <c r="D2172" s="26" t="s">
        <v>56</v>
      </c>
      <c r="E2172" s="31">
        <v>46229.0</v>
      </c>
      <c r="F2172" s="26" t="s">
        <v>46</v>
      </c>
      <c r="G2172" s="26">
        <v>4.0</v>
      </c>
      <c r="I2172" s="26" t="s">
        <v>42</v>
      </c>
      <c r="J2172" s="25" t="str">
        <f t="shared" si="34"/>
        <v>No</v>
      </c>
      <c r="K2172" s="25" t="str">
        <f t="shared" si="35"/>
        <v/>
      </c>
      <c r="L2172" s="25" t="str">
        <f t="shared" si="36"/>
        <v/>
      </c>
      <c r="M2172" s="25"/>
      <c r="O2172" s="25"/>
    </row>
    <row r="2173" ht="15.75" customHeight="1">
      <c r="A2173" s="25" t="str">
        <f>IFERROR(__xludf.DUMMYFUNCTION("IF(B2173="""","""",RIGHT(REGEXREPLACE(B2173&amp;"""",""[^0-9]"",""""),9))"),"787440941")</f>
        <v>787440941</v>
      </c>
      <c r="B2173" s="26">
        <v>7.87440941E8</v>
      </c>
      <c r="C2173" s="28" t="s">
        <v>2370</v>
      </c>
      <c r="D2173" s="26" t="s">
        <v>37</v>
      </c>
      <c r="E2173" s="31">
        <v>46229.0</v>
      </c>
      <c r="F2173" s="26" t="s">
        <v>704</v>
      </c>
      <c r="I2173" s="26" t="s">
        <v>42</v>
      </c>
      <c r="J2173" s="25" t="str">
        <f t="shared" si="34"/>
        <v>No</v>
      </c>
      <c r="K2173" s="25" t="str">
        <f t="shared" si="35"/>
        <v/>
      </c>
      <c r="L2173" s="25" t="str">
        <f t="shared" si="36"/>
        <v/>
      </c>
      <c r="M2173" s="25"/>
      <c r="O2173" s="25"/>
    </row>
    <row r="2174" ht="15.75" customHeight="1">
      <c r="A2174" s="25" t="str">
        <f>IFERROR(__xludf.DUMMYFUNCTION("IF(B2174="""","""",RIGHT(REGEXREPLACE(B2174&amp;"""",""[^0-9]"",""""),9))"),"772824112")</f>
        <v>772824112</v>
      </c>
      <c r="B2174" s="52">
        <v>7.72824112E8</v>
      </c>
      <c r="C2174" s="28" t="s">
        <v>2371</v>
      </c>
      <c r="D2174" s="26" t="s">
        <v>49</v>
      </c>
      <c r="E2174" s="31">
        <v>46229.0</v>
      </c>
      <c r="F2174" s="26" t="s">
        <v>46</v>
      </c>
      <c r="G2174" s="26">
        <v>11.0</v>
      </c>
      <c r="I2174" s="26" t="s">
        <v>42</v>
      </c>
      <c r="J2174" s="25" t="str">
        <f t="shared" si="34"/>
        <v>No</v>
      </c>
      <c r="K2174" s="25" t="str">
        <f t="shared" si="35"/>
        <v/>
      </c>
      <c r="L2174" s="25" t="str">
        <f t="shared" si="36"/>
        <v/>
      </c>
      <c r="M2174" s="25"/>
      <c r="O2174" s="25"/>
    </row>
    <row r="2175" ht="15.75" customHeight="1">
      <c r="A2175" s="25" t="str">
        <f>IFERROR(__xludf.DUMMYFUNCTION("IF(B2175="""","""",RIGHT(REGEXREPLACE(B2175&amp;"""",""[^0-9]"",""""),9))"),"702375283")</f>
        <v>702375283</v>
      </c>
      <c r="B2175" s="26">
        <v>7.02375283E8</v>
      </c>
      <c r="C2175" s="28" t="s">
        <v>2372</v>
      </c>
      <c r="D2175" s="26" t="s">
        <v>37</v>
      </c>
      <c r="E2175" s="31">
        <v>46229.0</v>
      </c>
      <c r="F2175" s="26" t="s">
        <v>84</v>
      </c>
      <c r="G2175" s="26">
        <v>11.0</v>
      </c>
      <c r="I2175" s="26" t="s">
        <v>42</v>
      </c>
      <c r="J2175" s="25" t="str">
        <f t="shared" si="34"/>
        <v>No</v>
      </c>
      <c r="K2175" s="25" t="str">
        <f t="shared" si="35"/>
        <v/>
      </c>
      <c r="L2175" s="25" t="str">
        <f t="shared" si="36"/>
        <v/>
      </c>
      <c r="M2175" s="25"/>
      <c r="O2175" s="25"/>
    </row>
    <row r="2176" ht="15.75" customHeight="1">
      <c r="A2176" s="25" t="str">
        <f>IFERROR(__xludf.DUMMYFUNCTION("IF(B2176="""","""",RIGHT(REGEXREPLACE(B2176&amp;"""",""[^0-9]"",""""),9))"),"767685636")</f>
        <v>767685636</v>
      </c>
      <c r="B2176" s="52">
        <v>7.67685636E8</v>
      </c>
      <c r="C2176" s="28" t="s">
        <v>2373</v>
      </c>
      <c r="D2176" s="26" t="s">
        <v>64</v>
      </c>
      <c r="E2176" s="31">
        <v>46229.0</v>
      </c>
      <c r="F2176" s="26" t="s">
        <v>46</v>
      </c>
      <c r="H2176" s="26" t="s">
        <v>2374</v>
      </c>
      <c r="I2176" s="26" t="s">
        <v>42</v>
      </c>
      <c r="J2176" s="25" t="str">
        <f t="shared" si="34"/>
        <v>No</v>
      </c>
      <c r="K2176" s="25" t="str">
        <f t="shared" si="35"/>
        <v/>
      </c>
      <c r="L2176" s="25" t="str">
        <f t="shared" si="36"/>
        <v/>
      </c>
      <c r="M2176" s="25"/>
      <c r="O2176" s="25"/>
    </row>
    <row r="2177" ht="15.75" customHeight="1">
      <c r="A2177" s="25" t="str">
        <f>IFERROR(__xludf.DUMMYFUNCTION("IF(B2177="""","""",RIGHT(REGEXREPLACE(B2177&amp;"""",""[^0-9]"",""""),9))"),"772800323")</f>
        <v>772800323</v>
      </c>
      <c r="B2177" s="52">
        <v>7.72800323E8</v>
      </c>
      <c r="C2177" s="28" t="s">
        <v>2375</v>
      </c>
      <c r="D2177" s="26" t="s">
        <v>56</v>
      </c>
      <c r="E2177" s="31">
        <v>46229.0</v>
      </c>
      <c r="F2177" s="26" t="s">
        <v>46</v>
      </c>
      <c r="G2177" s="26">
        <v>11.0</v>
      </c>
      <c r="I2177" s="26" t="s">
        <v>42</v>
      </c>
      <c r="J2177" s="25" t="str">
        <f t="shared" si="34"/>
        <v>No</v>
      </c>
      <c r="K2177" s="25" t="str">
        <f t="shared" si="35"/>
        <v/>
      </c>
      <c r="L2177" s="25" t="str">
        <f t="shared" si="36"/>
        <v/>
      </c>
      <c r="M2177" s="25"/>
      <c r="O2177" s="25"/>
    </row>
    <row r="2178" ht="15.75" customHeight="1">
      <c r="A2178" s="25" t="str">
        <f>IFERROR(__xludf.DUMMYFUNCTION("IF(B2178="""","""",RIGHT(REGEXREPLACE(B2178&amp;"""",""[^0-9]"",""""),9))"),"774455440")</f>
        <v>774455440</v>
      </c>
      <c r="B2178" s="52">
        <v>7.7445544E8</v>
      </c>
      <c r="C2178" s="28" t="s">
        <v>2376</v>
      </c>
      <c r="D2178" s="26" t="s">
        <v>49</v>
      </c>
      <c r="E2178" s="31">
        <v>46229.0</v>
      </c>
      <c r="F2178" s="26" t="s">
        <v>46</v>
      </c>
      <c r="G2178" s="26">
        <v>11.0</v>
      </c>
      <c r="I2178" s="26" t="s">
        <v>42</v>
      </c>
      <c r="J2178" s="25" t="str">
        <f t="shared" si="34"/>
        <v>No</v>
      </c>
      <c r="K2178" s="25" t="str">
        <f t="shared" si="35"/>
        <v/>
      </c>
      <c r="L2178" s="25" t="str">
        <f t="shared" si="36"/>
        <v/>
      </c>
      <c r="M2178" s="25"/>
      <c r="O2178" s="25"/>
    </row>
    <row r="2179" ht="15.75" customHeight="1">
      <c r="A2179" s="25" t="str">
        <f>IFERROR(__xludf.DUMMYFUNCTION("IF(B2179="""","""",RIGHT(REGEXREPLACE(B2179&amp;"""",""[^0-9]"",""""),9))"),"779118142")</f>
        <v>779118142</v>
      </c>
      <c r="B2179" s="26">
        <v>7.79118142E8</v>
      </c>
      <c r="C2179" s="28" t="s">
        <v>2377</v>
      </c>
      <c r="D2179" s="26" t="s">
        <v>37</v>
      </c>
      <c r="E2179" s="31">
        <v>46229.0</v>
      </c>
      <c r="F2179" s="26" t="s">
        <v>164</v>
      </c>
      <c r="G2179" s="26">
        <v>11.0</v>
      </c>
      <c r="I2179" s="26" t="s">
        <v>42</v>
      </c>
      <c r="J2179" s="25" t="str">
        <f t="shared" si="34"/>
        <v>No</v>
      </c>
      <c r="K2179" s="25" t="str">
        <f t="shared" si="35"/>
        <v/>
      </c>
      <c r="L2179" s="25" t="str">
        <f t="shared" si="36"/>
        <v/>
      </c>
      <c r="M2179" s="25"/>
      <c r="O2179" s="25"/>
    </row>
    <row r="2180" ht="15.75" customHeight="1">
      <c r="A2180" s="25" t="str">
        <f>IFERROR(__xludf.DUMMYFUNCTION("IF(B2180="""","""",RIGHT(REGEXREPLACE(B2180&amp;"""",""[^0-9]"",""""),9))"),"779360228")</f>
        <v>779360228</v>
      </c>
      <c r="B2180" s="52">
        <v>7.79360228E8</v>
      </c>
      <c r="C2180" s="28" t="s">
        <v>2378</v>
      </c>
      <c r="D2180" s="26" t="s">
        <v>45</v>
      </c>
      <c r="E2180" s="31">
        <v>46229.0</v>
      </c>
      <c r="F2180" s="26" t="s">
        <v>46</v>
      </c>
      <c r="G2180" s="26">
        <v>11.0</v>
      </c>
      <c r="I2180" s="26" t="s">
        <v>42</v>
      </c>
      <c r="J2180" s="25" t="str">
        <f t="shared" si="34"/>
        <v>No</v>
      </c>
      <c r="K2180" s="25" t="str">
        <f t="shared" si="35"/>
        <v/>
      </c>
      <c r="L2180" s="25" t="str">
        <f t="shared" si="36"/>
        <v/>
      </c>
      <c r="M2180" s="25"/>
      <c r="O2180" s="25"/>
    </row>
    <row r="2181" ht="15.75" customHeight="1">
      <c r="A2181" s="25" t="str">
        <f>IFERROR(__xludf.DUMMYFUNCTION("IF(B2181="""","""",RIGHT(REGEXREPLACE(B2181&amp;"""",""[^0-9]"",""""),9))"),"770774255")</f>
        <v>770774255</v>
      </c>
      <c r="B2181" s="26">
        <v>7.70774255E8</v>
      </c>
      <c r="C2181" s="28" t="s">
        <v>2379</v>
      </c>
      <c r="D2181" s="26" t="s">
        <v>37</v>
      </c>
      <c r="E2181" s="31">
        <v>46229.0</v>
      </c>
      <c r="F2181" s="26" t="s">
        <v>46</v>
      </c>
      <c r="G2181" s="26">
        <v>11.0</v>
      </c>
      <c r="I2181" s="26" t="s">
        <v>42</v>
      </c>
      <c r="J2181" s="25" t="str">
        <f t="shared" si="34"/>
        <v>No</v>
      </c>
      <c r="K2181" s="25" t="str">
        <f t="shared" si="35"/>
        <v/>
      </c>
      <c r="L2181" s="25" t="str">
        <f t="shared" si="36"/>
        <v/>
      </c>
      <c r="M2181" s="25"/>
      <c r="O2181" s="25"/>
    </row>
    <row r="2182" ht="15.75" customHeight="1">
      <c r="A2182" s="25" t="str">
        <f>IFERROR(__xludf.DUMMYFUNCTION("IF(B2182="""","""",RIGHT(REGEXREPLACE(B2182&amp;"""",""[^0-9]"",""""),9))"),"779990701")</f>
        <v>779990701</v>
      </c>
      <c r="B2182" s="52">
        <v>7.79990701E8</v>
      </c>
      <c r="C2182" s="28" t="s">
        <v>2380</v>
      </c>
      <c r="D2182" s="26" t="s">
        <v>64</v>
      </c>
      <c r="E2182" s="31">
        <v>46229.0</v>
      </c>
      <c r="F2182" s="26" t="s">
        <v>205</v>
      </c>
      <c r="I2182" s="26" t="s">
        <v>42</v>
      </c>
      <c r="J2182" s="25" t="str">
        <f t="shared" si="34"/>
        <v>No</v>
      </c>
      <c r="K2182" s="25" t="str">
        <f t="shared" si="35"/>
        <v/>
      </c>
      <c r="L2182" s="25" t="str">
        <f t="shared" si="36"/>
        <v/>
      </c>
      <c r="M2182" s="25"/>
      <c r="O2182" s="25"/>
    </row>
    <row r="2183" ht="15.75" customHeight="1">
      <c r="A2183" s="25" t="str">
        <f>IFERROR(__xludf.DUMMYFUNCTION("IF(B2183="""","""",RIGHT(REGEXREPLACE(B2183&amp;"""",""[^0-9]"",""""),9))"),"740920064")</f>
        <v>740920064</v>
      </c>
      <c r="B2183" s="52">
        <v>7.40920064E8</v>
      </c>
      <c r="C2183" s="28" t="s">
        <v>2381</v>
      </c>
      <c r="D2183" s="26" t="s">
        <v>45</v>
      </c>
      <c r="E2183" s="31">
        <v>46229.0</v>
      </c>
      <c r="F2183" s="26" t="s">
        <v>164</v>
      </c>
      <c r="I2183" s="26" t="s">
        <v>42</v>
      </c>
      <c r="J2183" s="25" t="str">
        <f t="shared" si="34"/>
        <v>No</v>
      </c>
      <c r="K2183" s="25" t="str">
        <f t="shared" si="35"/>
        <v/>
      </c>
      <c r="L2183" s="25" t="str">
        <f t="shared" si="36"/>
        <v/>
      </c>
      <c r="M2183" s="25"/>
      <c r="O2183" s="25"/>
    </row>
    <row r="2184" ht="15.75" customHeight="1">
      <c r="A2184" s="25" t="str">
        <f>IFERROR(__xludf.DUMMYFUNCTION("IF(B2184="""","""",RIGHT(REGEXREPLACE(B2184&amp;"""",""[^0-9]"",""""),9))"),"779908092")</f>
        <v>779908092</v>
      </c>
      <c r="B2184" s="52">
        <v>7.79908092E8</v>
      </c>
      <c r="C2184" s="28" t="s">
        <v>2382</v>
      </c>
      <c r="D2184" s="26" t="s">
        <v>45</v>
      </c>
      <c r="E2184" s="31">
        <v>46229.0</v>
      </c>
      <c r="F2184" s="26" t="s">
        <v>46</v>
      </c>
      <c r="G2184" s="26">
        <v>11.0</v>
      </c>
      <c r="I2184" s="26" t="s">
        <v>42</v>
      </c>
      <c r="J2184" s="25" t="str">
        <f t="shared" si="34"/>
        <v>No</v>
      </c>
      <c r="K2184" s="25" t="str">
        <f t="shared" si="35"/>
        <v/>
      </c>
      <c r="L2184" s="25" t="str">
        <f t="shared" si="36"/>
        <v/>
      </c>
      <c r="M2184" s="25"/>
      <c r="O2184" s="25"/>
    </row>
    <row r="2185" ht="15.75" customHeight="1">
      <c r="A2185" s="25" t="str">
        <f>IFERROR(__xludf.DUMMYFUNCTION("IF(B2185="""","""",RIGHT(REGEXREPLACE(B2185&amp;"""",""[^0-9]"",""""),9))"),"769980760")</f>
        <v>769980760</v>
      </c>
      <c r="B2185" s="52">
        <v>7.6998076E8</v>
      </c>
      <c r="C2185" s="28" t="s">
        <v>2383</v>
      </c>
      <c r="D2185" s="26" t="s">
        <v>49</v>
      </c>
      <c r="E2185" s="31">
        <v>46229.0</v>
      </c>
      <c r="F2185" s="26" t="s">
        <v>205</v>
      </c>
      <c r="I2185" s="26" t="s">
        <v>42</v>
      </c>
      <c r="J2185" s="25" t="str">
        <f t="shared" si="34"/>
        <v>No</v>
      </c>
      <c r="K2185" s="25" t="str">
        <f t="shared" si="35"/>
        <v/>
      </c>
      <c r="L2185" s="25" t="str">
        <f t="shared" si="36"/>
        <v/>
      </c>
      <c r="M2185" s="25"/>
      <c r="O2185" s="25"/>
    </row>
    <row r="2186" ht="15.75" customHeight="1">
      <c r="A2186" s="25" t="str">
        <f>IFERROR(__xludf.DUMMYFUNCTION("IF(B2186="""","""",RIGHT(REGEXREPLACE(B2186&amp;"""",""[^0-9]"",""""),9))"),"774123900")</f>
        <v>774123900</v>
      </c>
      <c r="B2186" s="52">
        <v>7.741239E8</v>
      </c>
      <c r="C2186" s="28" t="s">
        <v>2384</v>
      </c>
      <c r="D2186" s="26" t="s">
        <v>56</v>
      </c>
      <c r="E2186" s="31">
        <v>46229.0</v>
      </c>
      <c r="F2186" s="26" t="s">
        <v>46</v>
      </c>
      <c r="G2186" s="26">
        <v>11.0</v>
      </c>
      <c r="I2186" s="26" t="s">
        <v>42</v>
      </c>
      <c r="J2186" s="25" t="str">
        <f t="shared" si="34"/>
        <v>No</v>
      </c>
      <c r="K2186" s="25" t="str">
        <f t="shared" si="35"/>
        <v/>
      </c>
      <c r="L2186" s="25" t="str">
        <f t="shared" si="36"/>
        <v/>
      </c>
      <c r="M2186" s="25"/>
      <c r="O2186" s="25"/>
    </row>
    <row r="2187" ht="15.75" customHeight="1">
      <c r="A2187" s="25" t="str">
        <f>IFERROR(__xludf.DUMMYFUNCTION("IF(B2187="""","""",RIGHT(REGEXREPLACE(B2187&amp;"""",""[^0-9]"",""""),9))"),"759167521")</f>
        <v>759167521</v>
      </c>
      <c r="B2187" s="52">
        <v>7.59167521E8</v>
      </c>
      <c r="C2187" s="28" t="s">
        <v>2385</v>
      </c>
      <c r="D2187" s="26" t="s">
        <v>45</v>
      </c>
      <c r="E2187" s="31">
        <v>46229.0</v>
      </c>
      <c r="F2187" s="26" t="s">
        <v>46</v>
      </c>
      <c r="G2187" s="26">
        <v>11.0</v>
      </c>
      <c r="I2187" s="26" t="s">
        <v>42</v>
      </c>
      <c r="J2187" s="25" t="str">
        <f t="shared" si="34"/>
        <v>No</v>
      </c>
      <c r="K2187" s="25" t="str">
        <f t="shared" si="35"/>
        <v/>
      </c>
      <c r="L2187" s="25" t="str">
        <f t="shared" si="36"/>
        <v/>
      </c>
      <c r="M2187" s="25"/>
      <c r="O2187" s="25"/>
    </row>
    <row r="2188" ht="15.75" customHeight="1">
      <c r="A2188" s="25" t="str">
        <f>IFERROR(__xludf.DUMMYFUNCTION("IF(B2188="""","""",RIGHT(REGEXREPLACE(B2188&amp;"""",""[^0-9]"",""""),9))"),"769388276")</f>
        <v>769388276</v>
      </c>
      <c r="B2188" s="26">
        <v>7.69388276E8</v>
      </c>
      <c r="C2188" s="28" t="s">
        <v>2386</v>
      </c>
      <c r="D2188" s="26" t="s">
        <v>37</v>
      </c>
      <c r="E2188" s="31">
        <v>46229.0</v>
      </c>
      <c r="F2188" s="26" t="s">
        <v>164</v>
      </c>
      <c r="G2188" s="26">
        <v>11.0</v>
      </c>
      <c r="I2188" s="26" t="s">
        <v>42</v>
      </c>
      <c r="J2188" s="25" t="str">
        <f t="shared" si="34"/>
        <v>No</v>
      </c>
      <c r="K2188" s="25" t="str">
        <f t="shared" si="35"/>
        <v/>
      </c>
      <c r="L2188" s="25" t="str">
        <f t="shared" si="36"/>
        <v/>
      </c>
      <c r="M2188" s="25"/>
      <c r="O2188" s="25"/>
    </row>
    <row r="2189" ht="15.75" customHeight="1">
      <c r="A2189" s="25" t="str">
        <f>IFERROR(__xludf.DUMMYFUNCTION("IF(B2189="""","""",RIGHT(REGEXREPLACE(B2189&amp;"""",""[^0-9]"",""""),9))"),"763353806")</f>
        <v>763353806</v>
      </c>
      <c r="B2189" s="52">
        <v>7.63353806E8</v>
      </c>
      <c r="C2189" s="28" t="s">
        <v>2387</v>
      </c>
      <c r="D2189" s="26" t="s">
        <v>64</v>
      </c>
      <c r="E2189" s="31">
        <v>46229.0</v>
      </c>
      <c r="F2189" s="26" t="s">
        <v>41</v>
      </c>
      <c r="G2189" s="26">
        <v>11.0</v>
      </c>
      <c r="I2189" s="26" t="s">
        <v>42</v>
      </c>
      <c r="J2189" s="25" t="str">
        <f t="shared" si="34"/>
        <v>No</v>
      </c>
      <c r="K2189" s="25" t="str">
        <f t="shared" si="35"/>
        <v/>
      </c>
      <c r="L2189" s="25" t="str">
        <f t="shared" si="36"/>
        <v/>
      </c>
      <c r="M2189" s="25"/>
      <c r="O2189" s="25"/>
    </row>
    <row r="2190" ht="15.75" customHeight="1">
      <c r="A2190" s="25" t="str">
        <f>IFERROR(__xludf.DUMMYFUNCTION("IF(B2190="""","""",RIGHT(REGEXREPLACE(B2190&amp;"""",""[^0-9]"",""""),9))"),"774948893")</f>
        <v>774948893</v>
      </c>
      <c r="B2190" s="52">
        <v>7.74948893E8</v>
      </c>
      <c r="C2190" s="28" t="s">
        <v>1154</v>
      </c>
      <c r="D2190" s="26" t="s">
        <v>56</v>
      </c>
      <c r="E2190" s="31">
        <v>46229.0</v>
      </c>
      <c r="F2190" s="26" t="s">
        <v>41</v>
      </c>
      <c r="I2190" s="26" t="s">
        <v>42</v>
      </c>
      <c r="J2190" s="25" t="str">
        <f t="shared" si="34"/>
        <v>No</v>
      </c>
      <c r="K2190" s="25" t="str">
        <f t="shared" si="35"/>
        <v/>
      </c>
      <c r="L2190" s="25" t="str">
        <f t="shared" si="36"/>
        <v/>
      </c>
      <c r="M2190" s="25"/>
      <c r="O2190" s="25"/>
    </row>
    <row r="2191" ht="15.75" customHeight="1">
      <c r="A2191" s="25" t="str">
        <f>IFERROR(__xludf.DUMMYFUNCTION("IF(B2191="""","""",RIGHT(REGEXREPLACE(B2191&amp;"""",""[^0-9]"",""""),9))"),"714825199")</f>
        <v>714825199</v>
      </c>
      <c r="B2191" s="52">
        <v>7.14825199E8</v>
      </c>
      <c r="C2191" s="28" t="s">
        <v>2388</v>
      </c>
      <c r="D2191" s="26" t="s">
        <v>49</v>
      </c>
      <c r="E2191" s="31">
        <v>46229.0</v>
      </c>
      <c r="F2191" s="26" t="s">
        <v>46</v>
      </c>
      <c r="G2191" s="26">
        <v>11.0</v>
      </c>
      <c r="I2191" s="26" t="s">
        <v>42</v>
      </c>
      <c r="J2191" s="25" t="str">
        <f t="shared" si="34"/>
        <v>No</v>
      </c>
      <c r="K2191" s="25" t="str">
        <f t="shared" si="35"/>
        <v/>
      </c>
      <c r="L2191" s="25" t="str">
        <f t="shared" si="36"/>
        <v/>
      </c>
      <c r="M2191" s="25"/>
      <c r="O2191" s="25"/>
    </row>
    <row r="2192" ht="15.75" customHeight="1">
      <c r="A2192" s="25" t="str">
        <f>IFERROR(__xludf.DUMMYFUNCTION("IF(B2192="""","""",RIGHT(REGEXREPLACE(B2192&amp;"""",""[^0-9]"",""""),9))"),"764409872")</f>
        <v>764409872</v>
      </c>
      <c r="B2192" s="52">
        <v>7.64409872E8</v>
      </c>
      <c r="C2192" s="28" t="s">
        <v>2389</v>
      </c>
      <c r="D2192" s="26" t="s">
        <v>45</v>
      </c>
      <c r="E2192" s="31">
        <v>46229.0</v>
      </c>
      <c r="F2192" s="26" t="s">
        <v>46</v>
      </c>
      <c r="G2192" s="26">
        <v>11.0</v>
      </c>
      <c r="I2192" s="26" t="s">
        <v>42</v>
      </c>
      <c r="J2192" s="25" t="str">
        <f t="shared" si="34"/>
        <v>No</v>
      </c>
      <c r="K2192" s="25" t="str">
        <f t="shared" si="35"/>
        <v/>
      </c>
      <c r="L2192" s="25" t="str">
        <f t="shared" si="36"/>
        <v/>
      </c>
      <c r="M2192" s="25"/>
      <c r="O2192" s="25"/>
    </row>
    <row r="2193" ht="15.75" customHeight="1">
      <c r="A2193" s="25" t="str">
        <f>IFERROR(__xludf.DUMMYFUNCTION("IF(B2193="""","""",RIGHT(REGEXREPLACE(B2193&amp;"""",""[^0-9]"",""""),9))"),"785358468")</f>
        <v>785358468</v>
      </c>
      <c r="B2193" s="52">
        <v>7.85358468E8</v>
      </c>
      <c r="C2193" s="28" t="s">
        <v>2390</v>
      </c>
      <c r="D2193" s="26" t="s">
        <v>64</v>
      </c>
      <c r="E2193" s="31">
        <v>46229.0</v>
      </c>
      <c r="F2193" s="26" t="s">
        <v>46</v>
      </c>
      <c r="G2193" s="26">
        <v>10.0</v>
      </c>
      <c r="I2193" s="26" t="s">
        <v>42</v>
      </c>
      <c r="J2193" s="25" t="str">
        <f t="shared" si="34"/>
        <v>No</v>
      </c>
      <c r="K2193" s="25" t="str">
        <f t="shared" si="35"/>
        <v/>
      </c>
      <c r="L2193" s="25" t="str">
        <f t="shared" si="36"/>
        <v/>
      </c>
      <c r="M2193" s="25"/>
      <c r="O2193" s="25"/>
    </row>
    <row r="2194" ht="15.75" customHeight="1">
      <c r="A2194" s="25" t="str">
        <f>IFERROR(__xludf.DUMMYFUNCTION("IF(B2194="""","""",RIGHT(REGEXREPLACE(B2194&amp;"""",""[^0-9]"",""""),9))"),"773913305")</f>
        <v>773913305</v>
      </c>
      <c r="B2194" s="52">
        <v>7.73913305E8</v>
      </c>
      <c r="C2194" s="28" t="s">
        <v>2391</v>
      </c>
      <c r="D2194" s="26" t="s">
        <v>49</v>
      </c>
      <c r="E2194" s="31">
        <v>46229.0</v>
      </c>
      <c r="F2194" s="26" t="s">
        <v>46</v>
      </c>
      <c r="G2194" s="26">
        <v>11.0</v>
      </c>
      <c r="I2194" s="26" t="s">
        <v>42</v>
      </c>
      <c r="J2194" s="25" t="str">
        <f t="shared" si="34"/>
        <v>No</v>
      </c>
      <c r="K2194" s="25" t="str">
        <f t="shared" si="35"/>
        <v/>
      </c>
      <c r="L2194" s="25" t="str">
        <f t="shared" si="36"/>
        <v/>
      </c>
      <c r="M2194" s="25"/>
      <c r="O2194" s="25"/>
    </row>
    <row r="2195" ht="15.75" customHeight="1">
      <c r="A2195" s="25" t="str">
        <f>IFERROR(__xludf.DUMMYFUNCTION("IF(B2195="""","""",RIGHT(REGEXREPLACE(B2195&amp;"""",""[^0-9]"",""""),9))"),"713328710")</f>
        <v>713328710</v>
      </c>
      <c r="B2195" s="52">
        <v>7.1332871E8</v>
      </c>
      <c r="C2195" s="28" t="s">
        <v>2392</v>
      </c>
      <c r="D2195" s="26" t="s">
        <v>56</v>
      </c>
      <c r="E2195" s="31">
        <v>46229.0</v>
      </c>
      <c r="F2195" s="26" t="s">
        <v>46</v>
      </c>
      <c r="G2195" s="26">
        <v>11.0</v>
      </c>
      <c r="I2195" s="26" t="s">
        <v>42</v>
      </c>
      <c r="J2195" s="25" t="str">
        <f t="shared" si="34"/>
        <v>No</v>
      </c>
      <c r="K2195" s="25" t="str">
        <f t="shared" si="35"/>
        <v/>
      </c>
      <c r="L2195" s="25" t="str">
        <f t="shared" si="36"/>
        <v/>
      </c>
      <c r="M2195" s="25"/>
      <c r="O2195" s="25"/>
    </row>
    <row r="2196" ht="15.75" customHeight="1">
      <c r="A2196" s="25" t="str">
        <f>IFERROR(__xludf.DUMMYFUNCTION("IF(B2196="""","""",RIGHT(REGEXREPLACE(B2196&amp;"""",""[^0-9]"",""""),9))"),"786202682")</f>
        <v>786202682</v>
      </c>
      <c r="B2196" s="52">
        <v>7.86202682E8</v>
      </c>
      <c r="C2196" s="28" t="s">
        <v>2393</v>
      </c>
      <c r="D2196" s="26" t="s">
        <v>49</v>
      </c>
      <c r="E2196" s="31">
        <v>46229.0</v>
      </c>
      <c r="F2196" s="26" t="s">
        <v>704</v>
      </c>
      <c r="I2196" s="26" t="s">
        <v>42</v>
      </c>
      <c r="J2196" s="25" t="str">
        <f t="shared" si="34"/>
        <v>No</v>
      </c>
      <c r="K2196" s="25" t="str">
        <f t="shared" si="35"/>
        <v/>
      </c>
      <c r="L2196" s="25" t="str">
        <f t="shared" si="36"/>
        <v/>
      </c>
      <c r="M2196" s="25"/>
      <c r="O2196" s="25"/>
    </row>
    <row r="2197" ht="15.75" customHeight="1">
      <c r="A2197" s="25" t="str">
        <f>IFERROR(__xludf.DUMMYFUNCTION("IF(B2197="""","""",RIGHT(REGEXREPLACE(B2197&amp;"""",""[^0-9]"",""""),9))"),"777492068")</f>
        <v>777492068</v>
      </c>
      <c r="B2197" s="52">
        <v>7.77492068E8</v>
      </c>
      <c r="C2197" s="28" t="s">
        <v>2394</v>
      </c>
      <c r="D2197" s="26" t="s">
        <v>64</v>
      </c>
      <c r="E2197" s="31">
        <v>46229.0</v>
      </c>
      <c r="F2197" s="26" t="s">
        <v>46</v>
      </c>
      <c r="G2197" s="26">
        <v>11.0</v>
      </c>
      <c r="I2197" s="26" t="s">
        <v>42</v>
      </c>
      <c r="J2197" s="25" t="str">
        <f t="shared" si="34"/>
        <v>No</v>
      </c>
      <c r="K2197" s="25" t="str">
        <f t="shared" si="35"/>
        <v/>
      </c>
      <c r="L2197" s="25" t="str">
        <f t="shared" si="36"/>
        <v/>
      </c>
      <c r="M2197" s="25"/>
      <c r="O2197" s="25"/>
    </row>
    <row r="2198" ht="15.75" customHeight="1">
      <c r="A2198" s="25" t="str">
        <f>IFERROR(__xludf.DUMMYFUNCTION("IF(B2198="""","""",RIGHT(REGEXREPLACE(B2198&amp;"""",""[^0-9]"",""""),9))"),"718488411")</f>
        <v>718488411</v>
      </c>
      <c r="B2198" s="26">
        <v>7.18488411E8</v>
      </c>
      <c r="C2198" s="28" t="s">
        <v>2395</v>
      </c>
      <c r="D2198" s="26" t="s">
        <v>37</v>
      </c>
      <c r="E2198" s="31">
        <v>46229.0</v>
      </c>
      <c r="F2198" s="26" t="s">
        <v>41</v>
      </c>
      <c r="I2198" s="26" t="s">
        <v>42</v>
      </c>
      <c r="J2198" s="25" t="str">
        <f t="shared" si="34"/>
        <v>No</v>
      </c>
      <c r="K2198" s="25" t="str">
        <f t="shared" si="35"/>
        <v/>
      </c>
      <c r="L2198" s="25" t="str">
        <f t="shared" si="36"/>
        <v/>
      </c>
      <c r="M2198" s="25"/>
      <c r="O2198" s="25"/>
    </row>
    <row r="2199" ht="15.75" customHeight="1">
      <c r="A2199" s="25" t="str">
        <f>IFERROR(__xludf.DUMMYFUNCTION("IF(B2199="""","""",RIGHT(REGEXREPLACE(B2199&amp;"""",""[^0-9]"",""""),9))"),"760865447")</f>
        <v>760865447</v>
      </c>
      <c r="B2199" s="52">
        <v>7.60865447E8</v>
      </c>
      <c r="C2199" s="28" t="s">
        <v>2396</v>
      </c>
      <c r="D2199" s="26" t="s">
        <v>45</v>
      </c>
      <c r="E2199" s="31">
        <v>46229.0</v>
      </c>
      <c r="F2199" s="26" t="s">
        <v>46</v>
      </c>
      <c r="G2199" s="26">
        <v>11.0</v>
      </c>
      <c r="I2199" s="26" t="s">
        <v>42</v>
      </c>
      <c r="J2199" s="25" t="str">
        <f t="shared" si="34"/>
        <v>No</v>
      </c>
      <c r="K2199" s="25" t="str">
        <f t="shared" si="35"/>
        <v/>
      </c>
      <c r="L2199" s="25" t="str">
        <f t="shared" si="36"/>
        <v/>
      </c>
      <c r="M2199" s="25"/>
      <c r="O2199" s="25"/>
    </row>
    <row r="2200" ht="15.75" customHeight="1">
      <c r="A2200" s="25" t="str">
        <f>IFERROR(__xludf.DUMMYFUNCTION("IF(B2200="""","""",RIGHT(REGEXREPLACE(B2200&amp;"""",""[^0-9]"",""""),9))"),"779955334")</f>
        <v>779955334</v>
      </c>
      <c r="B2200" s="52">
        <v>7.79955334E8</v>
      </c>
      <c r="C2200" s="28" t="s">
        <v>2397</v>
      </c>
      <c r="D2200" s="26" t="s">
        <v>49</v>
      </c>
      <c r="E2200" s="31">
        <v>46229.0</v>
      </c>
      <c r="F2200" s="26" t="s">
        <v>46</v>
      </c>
      <c r="G2200" s="26">
        <v>11.0</v>
      </c>
      <c r="I2200" s="26" t="s">
        <v>42</v>
      </c>
      <c r="J2200" s="25" t="str">
        <f t="shared" si="34"/>
        <v>No</v>
      </c>
      <c r="K2200" s="25" t="str">
        <f t="shared" si="35"/>
        <v/>
      </c>
      <c r="L2200" s="25" t="str">
        <f t="shared" si="36"/>
        <v/>
      </c>
      <c r="M2200" s="25"/>
      <c r="O2200" s="25"/>
    </row>
    <row r="2201" ht="15.75" customHeight="1">
      <c r="A2201" s="25" t="str">
        <f>IFERROR(__xludf.DUMMYFUNCTION("IF(B2201="""","""",RIGHT(REGEXREPLACE(B2201&amp;"""",""[^0-9]"",""""),9))"),"713224188")</f>
        <v>713224188</v>
      </c>
      <c r="B2201" s="52">
        <v>7.13224188E8</v>
      </c>
      <c r="C2201" s="28" t="s">
        <v>2398</v>
      </c>
      <c r="D2201" s="26" t="s">
        <v>64</v>
      </c>
      <c r="E2201" s="31">
        <v>46229.0</v>
      </c>
      <c r="F2201" s="26" t="s">
        <v>205</v>
      </c>
      <c r="I2201" s="26" t="s">
        <v>42</v>
      </c>
      <c r="J2201" s="25" t="str">
        <f t="shared" si="34"/>
        <v>No</v>
      </c>
      <c r="K2201" s="25" t="str">
        <f t="shared" si="35"/>
        <v/>
      </c>
      <c r="L2201" s="25" t="str">
        <f t="shared" si="36"/>
        <v/>
      </c>
      <c r="M2201" s="25"/>
      <c r="O2201" s="25"/>
    </row>
    <row r="2202" ht="15.75" customHeight="1">
      <c r="A2202" s="25" t="str">
        <f>IFERROR(__xludf.DUMMYFUNCTION("IF(B2202="""","""",RIGHT(REGEXREPLACE(B2202&amp;"""",""[^0-9]"",""""),9))"),"706381151")</f>
        <v>706381151</v>
      </c>
      <c r="B2202" s="52">
        <v>7.06381151E8</v>
      </c>
      <c r="C2202" s="28" t="s">
        <v>2399</v>
      </c>
      <c r="D2202" s="26" t="s">
        <v>56</v>
      </c>
      <c r="E2202" s="31">
        <v>46229.0</v>
      </c>
      <c r="F2202" s="26" t="s">
        <v>46</v>
      </c>
      <c r="G2202" s="26">
        <v>11.0</v>
      </c>
      <c r="I2202" s="26" t="s">
        <v>42</v>
      </c>
      <c r="J2202" s="25" t="str">
        <f t="shared" si="34"/>
        <v>No</v>
      </c>
      <c r="K2202" s="25" t="str">
        <f t="shared" si="35"/>
        <v/>
      </c>
      <c r="L2202" s="25" t="str">
        <f t="shared" si="36"/>
        <v/>
      </c>
      <c r="M2202" s="25"/>
      <c r="O2202" s="25"/>
    </row>
    <row r="2203" ht="15.75" customHeight="1">
      <c r="A2203" s="25" t="str">
        <f>IFERROR(__xludf.DUMMYFUNCTION("IF(B2203="""","""",RIGHT(REGEXREPLACE(B2203&amp;"""",""[^0-9]"",""""),9))"),"773565150")</f>
        <v>773565150</v>
      </c>
      <c r="B2203" s="26">
        <v>7.7356515E8</v>
      </c>
      <c r="C2203" s="28" t="s">
        <v>2400</v>
      </c>
      <c r="D2203" s="26" t="s">
        <v>37</v>
      </c>
      <c r="E2203" s="31">
        <v>46229.0</v>
      </c>
      <c r="F2203" s="26" t="s">
        <v>46</v>
      </c>
      <c r="G2203" s="26">
        <v>11.0</v>
      </c>
      <c r="H2203" s="26" t="s">
        <v>2401</v>
      </c>
      <c r="I2203" s="26" t="s">
        <v>42</v>
      </c>
      <c r="J2203" s="25" t="str">
        <f t="shared" si="34"/>
        <v>No</v>
      </c>
      <c r="K2203" s="25" t="str">
        <f t="shared" si="35"/>
        <v/>
      </c>
      <c r="L2203" s="25" t="str">
        <f t="shared" si="36"/>
        <v/>
      </c>
      <c r="M2203" s="25"/>
      <c r="O2203" s="25"/>
    </row>
    <row r="2204" ht="15.75" customHeight="1">
      <c r="A2204" s="25" t="str">
        <f>IFERROR(__xludf.DUMMYFUNCTION("IF(B2204="""","""",RIGHT(REGEXREPLACE(B2204&amp;"""",""[^0-9]"",""""),9))"),"776953639")</f>
        <v>776953639</v>
      </c>
      <c r="B2204" s="52">
        <v>7.76953639E8</v>
      </c>
      <c r="C2204" s="28" t="s">
        <v>2402</v>
      </c>
      <c r="D2204" s="26" t="s">
        <v>49</v>
      </c>
      <c r="E2204" s="31">
        <v>46229.0</v>
      </c>
      <c r="F2204" s="26" t="s">
        <v>46</v>
      </c>
      <c r="G2204" s="26">
        <v>11.0</v>
      </c>
      <c r="H2204" s="26" t="s">
        <v>2403</v>
      </c>
      <c r="I2204" s="26" t="s">
        <v>42</v>
      </c>
      <c r="J2204" s="25" t="str">
        <f t="shared" si="34"/>
        <v>No</v>
      </c>
      <c r="K2204" s="25" t="str">
        <f t="shared" si="35"/>
        <v/>
      </c>
      <c r="L2204" s="25" t="str">
        <f t="shared" si="36"/>
        <v/>
      </c>
      <c r="M2204" s="25"/>
      <c r="O2204" s="25"/>
    </row>
    <row r="2205" ht="15.75" customHeight="1">
      <c r="A2205" s="25" t="str">
        <f>IFERROR(__xludf.DUMMYFUNCTION("IF(B2205="""","""",RIGHT(REGEXREPLACE(B2205&amp;"""",""[^0-9]"",""""),9))"),"778602272")</f>
        <v>778602272</v>
      </c>
      <c r="B2205" s="52">
        <v>7.78602272E8</v>
      </c>
      <c r="C2205" s="28" t="s">
        <v>2404</v>
      </c>
      <c r="D2205" s="26" t="s">
        <v>64</v>
      </c>
      <c r="E2205" s="31">
        <v>46229.0</v>
      </c>
      <c r="F2205" s="26" t="s">
        <v>46</v>
      </c>
      <c r="G2205" s="26">
        <v>11.0</v>
      </c>
      <c r="I2205" s="26" t="s">
        <v>42</v>
      </c>
      <c r="J2205" s="25" t="str">
        <f t="shared" si="34"/>
        <v>No</v>
      </c>
      <c r="K2205" s="25" t="str">
        <f t="shared" si="35"/>
        <v/>
      </c>
      <c r="L2205" s="25" t="str">
        <f t="shared" si="36"/>
        <v/>
      </c>
      <c r="M2205" s="25"/>
      <c r="O2205" s="25"/>
    </row>
    <row r="2206" ht="15.75" customHeight="1">
      <c r="A2206" s="25" t="str">
        <f>IFERROR(__xludf.DUMMYFUNCTION("IF(B2206="""","""",RIGHT(REGEXREPLACE(B2206&amp;"""",""[^0-9]"",""""),9))"),"756024915")</f>
        <v>756024915</v>
      </c>
      <c r="B2206" s="26">
        <v>7.56024915E8</v>
      </c>
      <c r="C2206" s="28" t="s">
        <v>2405</v>
      </c>
      <c r="D2206" s="26" t="s">
        <v>37</v>
      </c>
      <c r="E2206" s="31">
        <v>46229.0</v>
      </c>
      <c r="F2206" s="26" t="s">
        <v>46</v>
      </c>
      <c r="G2206" s="26">
        <v>11.0</v>
      </c>
      <c r="I2206" s="26" t="s">
        <v>42</v>
      </c>
      <c r="J2206" s="25" t="str">
        <f t="shared" si="34"/>
        <v>No</v>
      </c>
      <c r="K2206" s="25" t="str">
        <f t="shared" si="35"/>
        <v/>
      </c>
      <c r="L2206" s="25" t="str">
        <f t="shared" si="36"/>
        <v/>
      </c>
      <c r="M2206" s="25"/>
      <c r="O2206" s="25"/>
    </row>
    <row r="2207" ht="15.75" customHeight="1">
      <c r="A2207" s="25" t="str">
        <f>IFERROR(__xludf.DUMMYFUNCTION("IF(B2207="""","""",RIGHT(REGEXREPLACE(B2207&amp;"""",""[^0-9]"",""""),9))"),"770487032")</f>
        <v>770487032</v>
      </c>
      <c r="B2207" s="52">
        <v>7.70487032E8</v>
      </c>
      <c r="C2207" s="28" t="s">
        <v>2406</v>
      </c>
      <c r="D2207" s="26" t="s">
        <v>45</v>
      </c>
      <c r="E2207" s="31">
        <v>46229.0</v>
      </c>
      <c r="F2207" s="26" t="s">
        <v>46</v>
      </c>
      <c r="G2207" s="26">
        <v>11.0</v>
      </c>
      <c r="I2207" s="26" t="s">
        <v>42</v>
      </c>
      <c r="J2207" s="25" t="str">
        <f t="shared" si="34"/>
        <v>No</v>
      </c>
      <c r="K2207" s="25" t="str">
        <f t="shared" si="35"/>
        <v/>
      </c>
      <c r="L2207" s="25" t="str">
        <f t="shared" si="36"/>
        <v/>
      </c>
      <c r="M2207" s="25"/>
      <c r="O2207" s="25"/>
    </row>
    <row r="2208" ht="15.75" customHeight="1">
      <c r="A2208" s="25" t="str">
        <f>IFERROR(__xludf.DUMMYFUNCTION("IF(B2208="""","""",RIGHT(REGEXREPLACE(B2208&amp;"""",""[^0-9]"",""""),9))"),"714024629")</f>
        <v>714024629</v>
      </c>
      <c r="B2208" s="52">
        <v>7.14024629E8</v>
      </c>
      <c r="C2208" s="28" t="s">
        <v>2407</v>
      </c>
      <c r="D2208" s="26" t="s">
        <v>56</v>
      </c>
      <c r="E2208" s="31">
        <v>46229.0</v>
      </c>
      <c r="F2208" s="26" t="s">
        <v>46</v>
      </c>
      <c r="G2208" s="26">
        <v>11.0</v>
      </c>
      <c r="I2208" s="26" t="s">
        <v>42</v>
      </c>
      <c r="J2208" s="25" t="str">
        <f t="shared" si="34"/>
        <v>No</v>
      </c>
      <c r="K2208" s="25" t="str">
        <f t="shared" si="35"/>
        <v/>
      </c>
      <c r="L2208" s="25" t="str">
        <f t="shared" si="36"/>
        <v/>
      </c>
      <c r="M2208" s="25"/>
      <c r="O2208" s="25"/>
    </row>
    <row r="2209" ht="15.75" customHeight="1">
      <c r="A2209" s="25" t="str">
        <f>IFERROR(__xludf.DUMMYFUNCTION("IF(B2209="""","""",RIGHT(REGEXREPLACE(B2209&amp;"""",""[^0-9]"",""""),9))"),"775253186")</f>
        <v>775253186</v>
      </c>
      <c r="B2209" s="26">
        <v>7.75253186E8</v>
      </c>
      <c r="C2209" s="28" t="s">
        <v>2408</v>
      </c>
      <c r="D2209" s="26" t="s">
        <v>37</v>
      </c>
      <c r="E2209" s="31">
        <v>46229.0</v>
      </c>
      <c r="F2209" s="26" t="s">
        <v>205</v>
      </c>
      <c r="I2209" s="26" t="s">
        <v>42</v>
      </c>
      <c r="J2209" s="25" t="str">
        <f t="shared" si="34"/>
        <v>No</v>
      </c>
      <c r="K2209" s="25" t="str">
        <f t="shared" si="35"/>
        <v/>
      </c>
      <c r="L2209" s="25" t="str">
        <f t="shared" si="36"/>
        <v/>
      </c>
      <c r="M2209" s="25"/>
      <c r="O2209" s="25"/>
    </row>
    <row r="2210" ht="15.75" customHeight="1">
      <c r="A2210" s="25" t="str">
        <f>IFERROR(__xludf.DUMMYFUNCTION("IF(B2210="""","""",RIGHT(REGEXREPLACE(B2210&amp;"""",""[^0-9]"",""""),9))"),"766954533")</f>
        <v>766954533</v>
      </c>
      <c r="B2210" s="26">
        <v>7.66954533E8</v>
      </c>
      <c r="C2210" s="28" t="s">
        <v>2409</v>
      </c>
      <c r="D2210" s="26" t="s">
        <v>37</v>
      </c>
      <c r="E2210" s="31">
        <v>46229.0</v>
      </c>
      <c r="F2210" s="26" t="s">
        <v>46</v>
      </c>
      <c r="G2210" s="26">
        <v>10.0</v>
      </c>
      <c r="I2210" s="26" t="s">
        <v>42</v>
      </c>
      <c r="J2210" s="25" t="str">
        <f t="shared" si="34"/>
        <v>No</v>
      </c>
      <c r="K2210" s="25" t="str">
        <f t="shared" si="35"/>
        <v/>
      </c>
      <c r="L2210" s="25" t="str">
        <f t="shared" si="36"/>
        <v/>
      </c>
      <c r="M2210" s="25"/>
      <c r="O2210" s="25"/>
    </row>
    <row r="2211" ht="15.75" customHeight="1">
      <c r="A2211" s="25" t="str">
        <f>IFERROR(__xludf.DUMMYFUNCTION("IF(B2211="""","""",RIGHT(REGEXREPLACE(B2211&amp;"""",""[^0-9]"",""""),9))"),"767090285")</f>
        <v>767090285</v>
      </c>
      <c r="B2211" s="52">
        <v>7.67090285E8</v>
      </c>
      <c r="C2211" s="28" t="s">
        <v>2410</v>
      </c>
      <c r="D2211" s="26" t="s">
        <v>49</v>
      </c>
      <c r="E2211" s="31">
        <v>46229.0</v>
      </c>
      <c r="F2211" s="26" t="s">
        <v>46</v>
      </c>
      <c r="G2211" s="26">
        <v>11.0</v>
      </c>
      <c r="I2211" s="26" t="s">
        <v>42</v>
      </c>
      <c r="J2211" s="25" t="str">
        <f t="shared" si="34"/>
        <v>No</v>
      </c>
      <c r="K2211" s="25" t="str">
        <f t="shared" si="35"/>
        <v/>
      </c>
      <c r="L2211" s="25" t="str">
        <f t="shared" si="36"/>
        <v/>
      </c>
      <c r="M2211" s="25"/>
      <c r="O2211" s="25"/>
    </row>
    <row r="2212" ht="15.75" customHeight="1">
      <c r="A2212" s="25" t="str">
        <f>IFERROR(__xludf.DUMMYFUNCTION("IF(B2212="""","""",RIGHT(REGEXREPLACE(B2212&amp;"""",""[^0-9]"",""""),9))"),"721133829")</f>
        <v>721133829</v>
      </c>
      <c r="B2212" s="52">
        <v>7.21133829E8</v>
      </c>
      <c r="C2212" s="28" t="s">
        <v>2411</v>
      </c>
      <c r="D2212" s="26" t="s">
        <v>64</v>
      </c>
      <c r="E2212" s="31">
        <v>46229.0</v>
      </c>
      <c r="F2212" s="26" t="s">
        <v>205</v>
      </c>
      <c r="G2212" s="26">
        <v>11.0</v>
      </c>
      <c r="I2212" s="26" t="s">
        <v>42</v>
      </c>
      <c r="J2212" s="25" t="str">
        <f t="shared" si="34"/>
        <v>No</v>
      </c>
      <c r="K2212" s="25" t="str">
        <f t="shared" si="35"/>
        <v/>
      </c>
      <c r="L2212" s="25" t="str">
        <f t="shared" si="36"/>
        <v/>
      </c>
      <c r="M2212" s="25"/>
      <c r="O2212" s="25"/>
    </row>
    <row r="2213" ht="15.75" customHeight="1">
      <c r="A2213" s="25" t="str">
        <f>IFERROR(__xludf.DUMMYFUNCTION("IF(B2213="""","""",RIGHT(REGEXREPLACE(B2213&amp;"""",""[^0-9]"",""""),9))"),"756081589")</f>
        <v>756081589</v>
      </c>
      <c r="B2213" s="26">
        <v>7.56081589E8</v>
      </c>
      <c r="C2213" s="28" t="s">
        <v>2412</v>
      </c>
      <c r="D2213" s="26" t="s">
        <v>37</v>
      </c>
      <c r="E2213" s="31">
        <v>46229.0</v>
      </c>
      <c r="F2213" s="26" t="s">
        <v>205</v>
      </c>
      <c r="I2213" s="26" t="s">
        <v>42</v>
      </c>
      <c r="J2213" s="25" t="str">
        <f t="shared" si="34"/>
        <v>No</v>
      </c>
      <c r="K2213" s="25" t="str">
        <f t="shared" si="35"/>
        <v/>
      </c>
      <c r="L2213" s="25" t="str">
        <f t="shared" si="36"/>
        <v/>
      </c>
      <c r="M2213" s="25"/>
      <c r="O2213" s="25"/>
    </row>
    <row r="2214" ht="15.75" customHeight="1">
      <c r="A2214" s="25" t="str">
        <f>IFERROR(__xludf.DUMMYFUNCTION("IF(B2214="""","""",RIGHT(REGEXREPLACE(B2214&amp;"""",""[^0-9]"",""""),9))"),"779342515")</f>
        <v>779342515</v>
      </c>
      <c r="B2214" s="52">
        <v>7.79342515E8</v>
      </c>
      <c r="C2214" s="28" t="s">
        <v>2413</v>
      </c>
      <c r="D2214" s="26" t="s">
        <v>56</v>
      </c>
      <c r="E2214" s="31">
        <v>46229.0</v>
      </c>
      <c r="F2214" s="26" t="s">
        <v>125</v>
      </c>
      <c r="G2214" s="26">
        <v>11.0</v>
      </c>
      <c r="I2214" s="26" t="s">
        <v>42</v>
      </c>
      <c r="J2214" s="25" t="str">
        <f t="shared" si="34"/>
        <v>No</v>
      </c>
      <c r="K2214" s="25" t="str">
        <f t="shared" si="35"/>
        <v/>
      </c>
      <c r="L2214" s="25" t="str">
        <f t="shared" si="36"/>
        <v/>
      </c>
      <c r="M2214" s="25"/>
      <c r="O2214" s="25"/>
    </row>
    <row r="2215" ht="15.75" customHeight="1">
      <c r="A2215" s="25" t="str">
        <f>IFERROR(__xludf.DUMMYFUNCTION("IF(B2215="""","""",RIGHT(REGEXREPLACE(B2215&amp;"""",""[^0-9]"",""""),9))"),"777739518")</f>
        <v>777739518</v>
      </c>
      <c r="B2215" s="52">
        <v>7.77739518E8</v>
      </c>
      <c r="C2215" s="28" t="s">
        <v>2414</v>
      </c>
      <c r="D2215" s="26" t="s">
        <v>45</v>
      </c>
      <c r="E2215" s="31">
        <v>46229.0</v>
      </c>
      <c r="F2215" s="26" t="s">
        <v>125</v>
      </c>
      <c r="I2215" s="26" t="s">
        <v>42</v>
      </c>
      <c r="J2215" s="25" t="str">
        <f t="shared" si="34"/>
        <v>No</v>
      </c>
      <c r="K2215" s="25" t="str">
        <f t="shared" si="35"/>
        <v/>
      </c>
      <c r="L2215" s="25" t="str">
        <f t="shared" si="36"/>
        <v/>
      </c>
      <c r="M2215" s="25"/>
      <c r="O2215" s="25"/>
    </row>
    <row r="2216" ht="15.75" customHeight="1">
      <c r="A2216" s="25" t="str">
        <f>IFERROR(__xludf.DUMMYFUNCTION("IF(B2216="""","""",RIGHT(REGEXREPLACE(B2216&amp;"""",""[^0-9]"",""""),9))"),"775564199")</f>
        <v>775564199</v>
      </c>
      <c r="B2216" s="26">
        <v>7.75564199E8</v>
      </c>
      <c r="C2216" s="28" t="s">
        <v>2415</v>
      </c>
      <c r="D2216" s="26" t="s">
        <v>37</v>
      </c>
      <c r="E2216" s="31">
        <v>46229.0</v>
      </c>
      <c r="F2216" s="26" t="s">
        <v>41</v>
      </c>
      <c r="G2216" s="26">
        <v>11.0</v>
      </c>
      <c r="I2216" s="26" t="s">
        <v>42</v>
      </c>
      <c r="J2216" s="25" t="str">
        <f t="shared" si="34"/>
        <v>No</v>
      </c>
      <c r="K2216" s="25" t="str">
        <f t="shared" si="35"/>
        <v/>
      </c>
      <c r="L2216" s="25" t="str">
        <f t="shared" si="36"/>
        <v/>
      </c>
      <c r="M2216" s="25"/>
      <c r="O2216" s="25"/>
    </row>
    <row r="2217" ht="15.75" customHeight="1">
      <c r="A2217" s="25" t="str">
        <f>IFERROR(__xludf.DUMMYFUNCTION("IF(B2217="""","""",RIGHT(REGEXREPLACE(B2217&amp;"""",""[^0-9]"",""""),9))"),"763016652")</f>
        <v>763016652</v>
      </c>
      <c r="B2217" s="52">
        <v>7.63016652E8</v>
      </c>
      <c r="C2217" s="28" t="s">
        <v>2416</v>
      </c>
      <c r="D2217" s="26" t="s">
        <v>49</v>
      </c>
      <c r="E2217" s="31">
        <v>46229.0</v>
      </c>
      <c r="F2217" s="26" t="s">
        <v>46</v>
      </c>
      <c r="G2217" s="26">
        <v>11.0</v>
      </c>
      <c r="I2217" s="26" t="s">
        <v>42</v>
      </c>
      <c r="J2217" s="25" t="str">
        <f t="shared" si="34"/>
        <v>No</v>
      </c>
      <c r="K2217" s="25" t="str">
        <f t="shared" si="35"/>
        <v/>
      </c>
      <c r="L2217" s="25" t="str">
        <f t="shared" si="36"/>
        <v/>
      </c>
      <c r="M2217" s="25"/>
      <c r="O2217" s="25"/>
    </row>
    <row r="2218" ht="15.75" customHeight="1">
      <c r="A2218" s="25" t="str">
        <f>IFERROR(__xludf.DUMMYFUNCTION("IF(B2218="""","""",RIGHT(REGEXREPLACE(B2218&amp;"""",""[^0-9]"",""""),9))"),"761562423")</f>
        <v>761562423</v>
      </c>
      <c r="B2218" s="52">
        <v>7.61562423E8</v>
      </c>
      <c r="C2218" s="28" t="s">
        <v>2417</v>
      </c>
      <c r="D2218" s="26" t="s">
        <v>64</v>
      </c>
      <c r="E2218" s="31">
        <v>46229.0</v>
      </c>
      <c r="F2218" s="26" t="s">
        <v>41</v>
      </c>
      <c r="G2218" s="26">
        <v>11.0</v>
      </c>
      <c r="I2218" s="26" t="s">
        <v>42</v>
      </c>
      <c r="J2218" s="25" t="str">
        <f t="shared" si="34"/>
        <v>No</v>
      </c>
      <c r="K2218" s="25" t="str">
        <f t="shared" si="35"/>
        <v/>
      </c>
      <c r="L2218" s="25" t="str">
        <f t="shared" si="36"/>
        <v/>
      </c>
      <c r="M2218" s="25"/>
      <c r="O2218" s="25"/>
    </row>
    <row r="2219" ht="15.75" customHeight="1">
      <c r="A2219" s="25" t="str">
        <f>IFERROR(__xludf.DUMMYFUNCTION("IF(B2219="""","""",RIGHT(REGEXREPLACE(B2219&amp;"""",""[^0-9]"",""""),9))"),"710294150")</f>
        <v>710294150</v>
      </c>
      <c r="B2219" s="52">
        <v>7.1029415E8</v>
      </c>
      <c r="C2219" s="28" t="s">
        <v>2418</v>
      </c>
      <c r="D2219" s="26" t="s">
        <v>45</v>
      </c>
      <c r="E2219" s="31">
        <v>46229.0</v>
      </c>
      <c r="F2219" s="26" t="s">
        <v>46</v>
      </c>
      <c r="G2219" s="26">
        <v>11.0</v>
      </c>
      <c r="I2219" s="26" t="s">
        <v>42</v>
      </c>
      <c r="J2219" s="25" t="str">
        <f t="shared" si="34"/>
        <v>No</v>
      </c>
      <c r="K2219" s="25" t="str">
        <f t="shared" si="35"/>
        <v/>
      </c>
      <c r="L2219" s="25" t="str">
        <f t="shared" si="36"/>
        <v/>
      </c>
      <c r="M2219" s="25"/>
      <c r="O2219" s="25"/>
    </row>
    <row r="2220" ht="15.75" customHeight="1">
      <c r="A2220" s="25" t="str">
        <f>IFERROR(__xludf.DUMMYFUNCTION("IF(B2220="""","""",RIGHT(REGEXREPLACE(B2220&amp;"""",""[^0-9]"",""""),9))"),"719241960")</f>
        <v>719241960</v>
      </c>
      <c r="B2220" s="52">
        <v>7.1924196E8</v>
      </c>
      <c r="C2220" s="28" t="s">
        <v>2419</v>
      </c>
      <c r="D2220" s="26" t="s">
        <v>56</v>
      </c>
      <c r="E2220" s="31">
        <v>46229.0</v>
      </c>
      <c r="F2220" s="26" t="s">
        <v>46</v>
      </c>
      <c r="G2220" s="26">
        <v>11.0</v>
      </c>
      <c r="I2220" s="26" t="s">
        <v>42</v>
      </c>
      <c r="J2220" s="25" t="str">
        <f t="shared" si="34"/>
        <v>No</v>
      </c>
      <c r="K2220" s="25" t="str">
        <f t="shared" si="35"/>
        <v/>
      </c>
      <c r="L2220" s="25" t="str">
        <f t="shared" si="36"/>
        <v/>
      </c>
      <c r="M2220" s="25"/>
      <c r="O2220" s="25"/>
    </row>
    <row r="2221" ht="15.75" customHeight="1">
      <c r="A2221" s="25" t="str">
        <f>IFERROR(__xludf.DUMMYFUNCTION("IF(B2221="""","""",RIGHT(REGEXREPLACE(B2221&amp;"""",""[^0-9]"",""""),9))"),"765422949")</f>
        <v>765422949</v>
      </c>
      <c r="B2221" s="26">
        <v>7.65422949E8</v>
      </c>
      <c r="C2221" s="28" t="s">
        <v>2420</v>
      </c>
      <c r="D2221" s="26" t="s">
        <v>37</v>
      </c>
      <c r="E2221" s="31">
        <v>46229.0</v>
      </c>
      <c r="F2221" s="26" t="s">
        <v>46</v>
      </c>
      <c r="G2221" s="26">
        <v>11.0</v>
      </c>
      <c r="I2221" s="26" t="s">
        <v>42</v>
      </c>
      <c r="J2221" s="25" t="str">
        <f t="shared" si="34"/>
        <v>No</v>
      </c>
      <c r="K2221" s="25" t="str">
        <f t="shared" si="35"/>
        <v/>
      </c>
      <c r="L2221" s="25" t="str">
        <f t="shared" si="36"/>
        <v/>
      </c>
      <c r="M2221" s="25"/>
      <c r="O2221" s="25"/>
    </row>
    <row r="2222" ht="15.75" customHeight="1">
      <c r="A2222" s="25" t="str">
        <f>IFERROR(__xludf.DUMMYFUNCTION("IF(B2222="""","""",RIGHT(REGEXREPLACE(B2222&amp;"""",""[^0-9]"",""""),9))"),"772901301")</f>
        <v>772901301</v>
      </c>
      <c r="B2222" s="26">
        <v>7.72901301E8</v>
      </c>
      <c r="C2222" s="28" t="s">
        <v>2421</v>
      </c>
      <c r="D2222" s="26" t="s">
        <v>37</v>
      </c>
      <c r="E2222" s="31">
        <v>46229.0</v>
      </c>
      <c r="F2222" s="26" t="s">
        <v>46</v>
      </c>
      <c r="G2222" s="26">
        <v>11.0</v>
      </c>
      <c r="H2222" s="26" t="s">
        <v>2422</v>
      </c>
      <c r="I2222" s="26" t="s">
        <v>42</v>
      </c>
      <c r="J2222" s="25" t="str">
        <f t="shared" si="34"/>
        <v>No</v>
      </c>
      <c r="K2222" s="25" t="str">
        <f t="shared" si="35"/>
        <v/>
      </c>
      <c r="L2222" s="25" t="str">
        <f t="shared" si="36"/>
        <v/>
      </c>
      <c r="M2222" s="25"/>
      <c r="O2222" s="25"/>
    </row>
    <row r="2223" ht="15.75" customHeight="1">
      <c r="A2223" s="25" t="str">
        <f>IFERROR(__xludf.DUMMYFUNCTION("IF(B2223="""","""",RIGHT(REGEXREPLACE(B2223&amp;"""",""[^0-9]"",""""),9))"),"711226274")</f>
        <v>711226274</v>
      </c>
      <c r="B2223" s="52">
        <v>7.11226274E8</v>
      </c>
      <c r="C2223" s="28" t="s">
        <v>2423</v>
      </c>
      <c r="D2223" s="26" t="s">
        <v>45</v>
      </c>
      <c r="E2223" s="31">
        <v>46229.0</v>
      </c>
      <c r="F2223" s="26" t="s">
        <v>46</v>
      </c>
      <c r="G2223" s="26">
        <v>11.0</v>
      </c>
      <c r="I2223" s="26" t="s">
        <v>42</v>
      </c>
      <c r="J2223" s="25" t="str">
        <f t="shared" si="34"/>
        <v>No</v>
      </c>
      <c r="K2223" s="25" t="str">
        <f t="shared" si="35"/>
        <v/>
      </c>
      <c r="L2223" s="25" t="str">
        <f t="shared" si="36"/>
        <v/>
      </c>
      <c r="M2223" s="25"/>
      <c r="O2223" s="25"/>
    </row>
    <row r="2224" ht="15.75" customHeight="1">
      <c r="A2224" s="25" t="str">
        <f>IFERROR(__xludf.DUMMYFUNCTION("IF(B2224="""","""",RIGHT(REGEXREPLACE(B2224&amp;"""",""[^0-9]"",""""),9))"),"771917548")</f>
        <v>771917548</v>
      </c>
      <c r="B2224" s="52">
        <v>7.71917548E8</v>
      </c>
      <c r="C2224" s="28" t="s">
        <v>2424</v>
      </c>
      <c r="D2224" s="26" t="s">
        <v>49</v>
      </c>
      <c r="E2224" s="31">
        <v>46229.0</v>
      </c>
      <c r="F2224" s="26" t="s">
        <v>659</v>
      </c>
      <c r="I2224" s="26" t="s">
        <v>42</v>
      </c>
      <c r="J2224" s="25" t="str">
        <f t="shared" si="34"/>
        <v>No</v>
      </c>
      <c r="K2224" s="25" t="str">
        <f t="shared" si="35"/>
        <v/>
      </c>
      <c r="L2224" s="25" t="str">
        <f t="shared" si="36"/>
        <v/>
      </c>
      <c r="M2224" s="25"/>
      <c r="O2224" s="25"/>
    </row>
    <row r="2225" ht="15.75" customHeight="1">
      <c r="A2225" s="25" t="str">
        <f>IFERROR(__xludf.DUMMYFUNCTION("IF(B2225="""","""",RIGHT(REGEXREPLACE(B2225&amp;"""",""[^0-9]"",""""),9))"),"761427181")</f>
        <v>761427181</v>
      </c>
      <c r="B2225" s="26">
        <v>7.61427181E8</v>
      </c>
      <c r="C2225" s="28" t="s">
        <v>2425</v>
      </c>
      <c r="D2225" s="26" t="s">
        <v>37</v>
      </c>
      <c r="E2225" s="31">
        <v>46229.0</v>
      </c>
      <c r="F2225" s="26" t="s">
        <v>164</v>
      </c>
      <c r="I2225" s="26" t="s">
        <v>42</v>
      </c>
      <c r="J2225" s="25" t="str">
        <f t="shared" si="34"/>
        <v>No</v>
      </c>
      <c r="K2225" s="25" t="str">
        <f t="shared" si="35"/>
        <v/>
      </c>
      <c r="L2225" s="25" t="str">
        <f t="shared" si="36"/>
        <v/>
      </c>
      <c r="M2225" s="25"/>
      <c r="O2225" s="25"/>
    </row>
    <row r="2226" ht="15.75" customHeight="1">
      <c r="A2226" s="25" t="str">
        <f>IFERROR(__xludf.DUMMYFUNCTION("IF(B2226="""","""",RIGHT(REGEXREPLACE(B2226&amp;"""",""[^0-9]"",""""),9))"),"788150152")</f>
        <v>788150152</v>
      </c>
      <c r="B2226" s="52">
        <v>7.88150152E8</v>
      </c>
      <c r="C2226" s="28" t="s">
        <v>2426</v>
      </c>
      <c r="D2226" s="26" t="s">
        <v>64</v>
      </c>
      <c r="E2226" s="31">
        <v>46229.0</v>
      </c>
      <c r="F2226" s="26" t="s">
        <v>46</v>
      </c>
      <c r="G2226" s="26">
        <v>10.0</v>
      </c>
      <c r="I2226" s="26" t="s">
        <v>42</v>
      </c>
      <c r="J2226" s="25" t="str">
        <f t="shared" si="34"/>
        <v>No</v>
      </c>
      <c r="K2226" s="25" t="str">
        <f t="shared" si="35"/>
        <v/>
      </c>
      <c r="L2226" s="25" t="str">
        <f t="shared" si="36"/>
        <v/>
      </c>
      <c r="M2226" s="25"/>
      <c r="O2226" s="25"/>
    </row>
    <row r="2227" ht="15.75" customHeight="1">
      <c r="A2227" s="25" t="str">
        <f>IFERROR(__xludf.DUMMYFUNCTION("IF(B2227="""","""",RIGHT(REGEXREPLACE(B2227&amp;"""",""[^0-9]"",""""),9))"),"771840145")</f>
        <v>771840145</v>
      </c>
      <c r="B2227" s="26">
        <v>7.71840145E8</v>
      </c>
      <c r="C2227" s="28" t="s">
        <v>2427</v>
      </c>
      <c r="D2227" s="26" t="s">
        <v>37</v>
      </c>
      <c r="E2227" s="31">
        <v>46229.0</v>
      </c>
      <c r="F2227" s="26" t="s">
        <v>46</v>
      </c>
      <c r="G2227" s="26">
        <v>11.0</v>
      </c>
      <c r="I2227" s="26" t="s">
        <v>42</v>
      </c>
      <c r="J2227" s="25" t="str">
        <f t="shared" si="34"/>
        <v>No</v>
      </c>
      <c r="K2227" s="25" t="str">
        <f t="shared" si="35"/>
        <v/>
      </c>
      <c r="L2227" s="25" t="str">
        <f t="shared" si="36"/>
        <v/>
      </c>
      <c r="M2227" s="25"/>
      <c r="O2227" s="25"/>
    </row>
    <row r="2228" ht="15.75" customHeight="1">
      <c r="A2228" s="25" t="str">
        <f>IFERROR(__xludf.DUMMYFUNCTION("IF(B2228="""","""",RIGHT(REGEXREPLACE(B2228&amp;"""",""[^0-9]"",""""),9))"),"760919290")</f>
        <v>760919290</v>
      </c>
      <c r="B2228" s="52">
        <v>7.6091929E8</v>
      </c>
      <c r="C2228" s="28" t="s">
        <v>2428</v>
      </c>
      <c r="D2228" s="26" t="s">
        <v>56</v>
      </c>
      <c r="E2228" s="31">
        <v>46229.0</v>
      </c>
      <c r="F2228" s="26" t="s">
        <v>41</v>
      </c>
      <c r="I2228" s="26" t="s">
        <v>42</v>
      </c>
      <c r="J2228" s="25" t="str">
        <f t="shared" si="34"/>
        <v>No</v>
      </c>
      <c r="K2228" s="25" t="str">
        <f t="shared" si="35"/>
        <v/>
      </c>
      <c r="L2228" s="25" t="str">
        <f t="shared" si="36"/>
        <v/>
      </c>
      <c r="M2228" s="25"/>
      <c r="O2228" s="25"/>
    </row>
    <row r="2229" ht="15.75" customHeight="1">
      <c r="A2229" s="25" t="str">
        <f>IFERROR(__xludf.DUMMYFUNCTION("IF(B2229="""","""",RIGHT(REGEXREPLACE(B2229&amp;"""",""[^0-9]"",""""),9))"),"722457161")</f>
        <v>722457161</v>
      </c>
      <c r="B2229" s="26">
        <v>7.22457161E8</v>
      </c>
      <c r="C2229" s="28" t="s">
        <v>2429</v>
      </c>
      <c r="D2229" s="26" t="s">
        <v>37</v>
      </c>
      <c r="E2229" s="31">
        <v>46229.0</v>
      </c>
      <c r="F2229" s="26" t="s">
        <v>704</v>
      </c>
      <c r="I2229" s="26" t="s">
        <v>42</v>
      </c>
      <c r="J2229" s="25" t="str">
        <f t="shared" si="34"/>
        <v>No</v>
      </c>
      <c r="K2229" s="25" t="str">
        <f t="shared" si="35"/>
        <v/>
      </c>
      <c r="L2229" s="25" t="str">
        <f t="shared" si="36"/>
        <v/>
      </c>
      <c r="M2229" s="25"/>
      <c r="O2229" s="25"/>
    </row>
    <row r="2230" ht="15.75" customHeight="1">
      <c r="A2230" s="25" t="str">
        <f>IFERROR(__xludf.DUMMYFUNCTION("IF(B2230="""","""",RIGHT(REGEXREPLACE(B2230&amp;"""",""[^0-9]"",""""),9))"),"701210900")</f>
        <v>701210900</v>
      </c>
      <c r="B2230" s="52">
        <v>7.012109E8</v>
      </c>
      <c r="C2230" s="28" t="s">
        <v>2430</v>
      </c>
      <c r="D2230" s="26" t="s">
        <v>49</v>
      </c>
      <c r="E2230" s="31">
        <v>46229.0</v>
      </c>
      <c r="F2230" s="26" t="s">
        <v>46</v>
      </c>
      <c r="G2230" s="26">
        <v>11.0</v>
      </c>
      <c r="I2230" s="26" t="s">
        <v>42</v>
      </c>
      <c r="J2230" s="25" t="str">
        <f t="shared" si="34"/>
        <v>No</v>
      </c>
      <c r="K2230" s="25" t="str">
        <f t="shared" si="35"/>
        <v/>
      </c>
      <c r="L2230" s="25" t="str">
        <f t="shared" si="36"/>
        <v/>
      </c>
      <c r="M2230" s="25"/>
      <c r="O2230" s="25"/>
    </row>
    <row r="2231" ht="15.75" customHeight="1">
      <c r="A2231" s="25" t="str">
        <f>IFERROR(__xludf.DUMMYFUNCTION("IF(B2231="""","""",RIGHT(REGEXREPLACE(B2231&amp;"""",""[^0-9]"",""""),9))"),"788150152")</f>
        <v>788150152</v>
      </c>
      <c r="B2231" s="52">
        <v>7.88150152E8</v>
      </c>
      <c r="C2231" s="28" t="s">
        <v>2426</v>
      </c>
      <c r="D2231" s="26" t="s">
        <v>45</v>
      </c>
      <c r="E2231" s="31">
        <v>46229.0</v>
      </c>
      <c r="F2231" s="26" t="s">
        <v>46</v>
      </c>
      <c r="G2231" s="26">
        <v>10.0</v>
      </c>
      <c r="I2231" s="26" t="s">
        <v>42</v>
      </c>
      <c r="J2231" s="25" t="str">
        <f t="shared" si="34"/>
        <v>Yes - see Previous F-Code</v>
      </c>
      <c r="K2231" s="25" t="str">
        <f t="shared" si="35"/>
        <v>DUPLICATE - CHECK</v>
      </c>
      <c r="L2231" s="25" t="str">
        <f t="shared" si="36"/>
        <v>F72119</v>
      </c>
      <c r="M2231" s="25"/>
      <c r="O2231" s="25"/>
    </row>
    <row r="2232" ht="15.75" customHeight="1">
      <c r="A2232" s="25" t="str">
        <f>IFERROR(__xludf.DUMMYFUNCTION("IF(B2232="""","""",RIGHT(REGEXREPLACE(B2232&amp;"""",""[^0-9]"",""""),9))"),"763964475")</f>
        <v>763964475</v>
      </c>
      <c r="B2232" s="52">
        <v>7.63964475E8</v>
      </c>
      <c r="C2232" s="28" t="s">
        <v>2431</v>
      </c>
      <c r="D2232" s="26" t="s">
        <v>45</v>
      </c>
      <c r="E2232" s="31">
        <v>46229.0</v>
      </c>
      <c r="F2232" s="26" t="s">
        <v>46</v>
      </c>
      <c r="G2232" s="26" t="s">
        <v>2432</v>
      </c>
      <c r="I2232" s="26" t="s">
        <v>42</v>
      </c>
      <c r="J2232" s="25" t="str">
        <f t="shared" si="34"/>
        <v>No</v>
      </c>
      <c r="K2232" s="25" t="str">
        <f t="shared" si="35"/>
        <v/>
      </c>
      <c r="L2232" s="25" t="str">
        <f t="shared" si="36"/>
        <v/>
      </c>
      <c r="M2232" s="25"/>
      <c r="O2232" s="25"/>
    </row>
    <row r="2233" ht="15.75" customHeight="1">
      <c r="A2233" s="25" t="str">
        <f>IFERROR(__xludf.DUMMYFUNCTION("IF(B2233="""","""",RIGHT(REGEXREPLACE(B2233&amp;"""",""[^0-9]"",""""),9))"),"743409928")</f>
        <v>743409928</v>
      </c>
      <c r="B2233" s="52">
        <v>7.43409928E8</v>
      </c>
      <c r="C2233" s="28" t="s">
        <v>2431</v>
      </c>
      <c r="D2233" s="26" t="s">
        <v>56</v>
      </c>
      <c r="E2233" s="31">
        <v>46229.0</v>
      </c>
      <c r="F2233" s="26" t="s">
        <v>46</v>
      </c>
      <c r="G2233" s="26">
        <v>11.0</v>
      </c>
      <c r="I2233" s="26" t="s">
        <v>42</v>
      </c>
      <c r="J2233" s="25" t="str">
        <f t="shared" si="34"/>
        <v>No</v>
      </c>
      <c r="K2233" s="25" t="str">
        <f t="shared" si="35"/>
        <v/>
      </c>
      <c r="L2233" s="25" t="str">
        <f t="shared" si="36"/>
        <v/>
      </c>
      <c r="M2233" s="25"/>
      <c r="O2233" s="25"/>
    </row>
    <row r="2234" ht="15.75" customHeight="1">
      <c r="A2234" s="25" t="str">
        <f>IFERROR(__xludf.DUMMYFUNCTION("IF(B2234="""","""",RIGHT(REGEXREPLACE(B2234&amp;"""",""[^0-9]"",""""),9))"),"724255843")</f>
        <v>724255843</v>
      </c>
      <c r="B2234" s="52">
        <v>7.24255843E8</v>
      </c>
      <c r="C2234" s="28" t="s">
        <v>2433</v>
      </c>
      <c r="D2234" s="26" t="s">
        <v>64</v>
      </c>
      <c r="E2234" s="31">
        <v>46229.0</v>
      </c>
      <c r="F2234" s="26" t="s">
        <v>659</v>
      </c>
      <c r="G2234" s="26">
        <v>11.0</v>
      </c>
      <c r="I2234" s="26" t="s">
        <v>42</v>
      </c>
      <c r="J2234" s="25" t="str">
        <f t="shared" si="34"/>
        <v>No</v>
      </c>
      <c r="K2234" s="25" t="str">
        <f t="shared" si="35"/>
        <v/>
      </c>
      <c r="L2234" s="25" t="str">
        <f t="shared" si="36"/>
        <v/>
      </c>
      <c r="M2234" s="25"/>
      <c r="O2234" s="25"/>
    </row>
    <row r="2235" ht="15.75" customHeight="1">
      <c r="A2235" s="25" t="str">
        <f>IFERROR(__xludf.DUMMYFUNCTION("IF(B2235="""","""",RIGHT(REGEXREPLACE(B2235&amp;"""",""[^0-9]"",""""),9))"),"753711626")</f>
        <v>753711626</v>
      </c>
      <c r="B2235" s="52">
        <v>7.53711626E8</v>
      </c>
      <c r="C2235" s="28" t="s">
        <v>2434</v>
      </c>
      <c r="D2235" s="26" t="s">
        <v>49</v>
      </c>
      <c r="E2235" s="31">
        <v>46229.0</v>
      </c>
      <c r="F2235" s="26" t="s">
        <v>659</v>
      </c>
      <c r="G2235" s="26">
        <v>11.0</v>
      </c>
      <c r="I2235" s="26" t="s">
        <v>42</v>
      </c>
      <c r="J2235" s="25" t="str">
        <f t="shared" si="34"/>
        <v>No</v>
      </c>
      <c r="K2235" s="25" t="str">
        <f t="shared" si="35"/>
        <v/>
      </c>
      <c r="L2235" s="25" t="str">
        <f t="shared" si="36"/>
        <v/>
      </c>
      <c r="M2235" s="25"/>
      <c r="O2235" s="25"/>
    </row>
    <row r="2236" ht="15.75" customHeight="1">
      <c r="A2236" s="25" t="str">
        <f>IFERROR(__xludf.DUMMYFUNCTION("IF(B2236="""","""",RIGHT(REGEXREPLACE(B2236&amp;"""",""[^0-9]"",""""),9))"),"773732560")</f>
        <v>773732560</v>
      </c>
      <c r="B2236" s="52">
        <v>7.7373256E8</v>
      </c>
      <c r="C2236" s="28" t="s">
        <v>2435</v>
      </c>
      <c r="D2236" s="26" t="s">
        <v>64</v>
      </c>
      <c r="E2236" s="31">
        <v>46229.0</v>
      </c>
      <c r="F2236" s="26" t="s">
        <v>46</v>
      </c>
      <c r="G2236" s="26">
        <v>10.0</v>
      </c>
      <c r="I2236" s="26" t="s">
        <v>42</v>
      </c>
      <c r="J2236" s="25" t="str">
        <f t="shared" si="34"/>
        <v>No</v>
      </c>
      <c r="K2236" s="25" t="str">
        <f t="shared" si="35"/>
        <v/>
      </c>
      <c r="L2236" s="25" t="str">
        <f t="shared" si="36"/>
        <v/>
      </c>
      <c r="M2236" s="25"/>
      <c r="O2236" s="25"/>
    </row>
    <row r="2237" ht="15.75" customHeight="1">
      <c r="A2237" s="25" t="str">
        <f>IFERROR(__xludf.DUMMYFUNCTION("IF(B2237="""","""",RIGHT(REGEXREPLACE(B2237&amp;"""",""[^0-9]"",""""),9))"),"740800998")</f>
        <v>740800998</v>
      </c>
      <c r="B2237" s="52">
        <v>7.40800998E8</v>
      </c>
      <c r="C2237" s="28" t="s">
        <v>2436</v>
      </c>
      <c r="D2237" s="26" t="s">
        <v>49</v>
      </c>
      <c r="E2237" s="31">
        <v>46229.0</v>
      </c>
      <c r="F2237" s="26" t="s">
        <v>41</v>
      </c>
      <c r="G2237" s="26">
        <v>11.0</v>
      </c>
      <c r="I2237" s="26" t="s">
        <v>42</v>
      </c>
      <c r="J2237" s="25" t="str">
        <f t="shared" si="34"/>
        <v>No</v>
      </c>
      <c r="K2237" s="25" t="str">
        <f t="shared" si="35"/>
        <v/>
      </c>
      <c r="L2237" s="25" t="str">
        <f t="shared" si="36"/>
        <v/>
      </c>
      <c r="M2237" s="25"/>
      <c r="O2237" s="25"/>
    </row>
    <row r="2238" ht="15.75" customHeight="1">
      <c r="A2238" s="25" t="str">
        <f>IFERROR(__xludf.DUMMYFUNCTION("IF(B2238="""","""",RIGHT(REGEXREPLACE(B2238&amp;"""",""[^0-9]"",""""),9))"),"765835248")</f>
        <v>765835248</v>
      </c>
      <c r="B2238" s="52">
        <v>7.65835248E8</v>
      </c>
      <c r="C2238" s="28" t="s">
        <v>2437</v>
      </c>
      <c r="D2238" s="26" t="s">
        <v>45</v>
      </c>
      <c r="E2238" s="31">
        <v>46229.0</v>
      </c>
      <c r="F2238" s="26" t="s">
        <v>46</v>
      </c>
      <c r="G2238" s="26">
        <v>11.0</v>
      </c>
      <c r="I2238" s="26" t="s">
        <v>42</v>
      </c>
      <c r="J2238" s="25" t="str">
        <f t="shared" si="34"/>
        <v>No</v>
      </c>
      <c r="K2238" s="25" t="str">
        <f t="shared" si="35"/>
        <v/>
      </c>
      <c r="L2238" s="25" t="str">
        <f t="shared" si="36"/>
        <v/>
      </c>
      <c r="M2238" s="25"/>
      <c r="O2238" s="25"/>
    </row>
    <row r="2239" ht="15.75" customHeight="1">
      <c r="A2239" s="25" t="str">
        <f>IFERROR(__xludf.DUMMYFUNCTION("IF(B2239="""","""",RIGHT(REGEXREPLACE(B2239&amp;"""",""[^0-9]"",""""),9))"),"766818418")</f>
        <v>766818418</v>
      </c>
      <c r="B2239" s="52">
        <v>7.66818418E8</v>
      </c>
      <c r="C2239" s="28" t="s">
        <v>2438</v>
      </c>
      <c r="D2239" s="26" t="s">
        <v>64</v>
      </c>
      <c r="E2239" s="31">
        <v>46229.0</v>
      </c>
      <c r="F2239" s="26" t="s">
        <v>46</v>
      </c>
      <c r="G2239" s="26">
        <v>10.0</v>
      </c>
      <c r="I2239" s="26" t="s">
        <v>42</v>
      </c>
      <c r="J2239" s="25" t="str">
        <f t="shared" si="34"/>
        <v>No</v>
      </c>
      <c r="K2239" s="25" t="str">
        <f t="shared" si="35"/>
        <v/>
      </c>
      <c r="L2239" s="25" t="str">
        <f t="shared" si="36"/>
        <v/>
      </c>
      <c r="M2239" s="25"/>
      <c r="O2239" s="25"/>
    </row>
    <row r="2240" ht="15.75" customHeight="1">
      <c r="A2240" s="25" t="str">
        <f>IFERROR(__xludf.DUMMYFUNCTION("IF(B2240="""","""",RIGHT(REGEXREPLACE(B2240&amp;"""",""[^0-9]"",""""),9))"),"772878036")</f>
        <v>772878036</v>
      </c>
      <c r="B2240" s="52">
        <v>7.72878036E8</v>
      </c>
      <c r="C2240" s="28" t="s">
        <v>2439</v>
      </c>
      <c r="D2240" s="26" t="s">
        <v>49</v>
      </c>
      <c r="E2240" s="31">
        <v>46229.0</v>
      </c>
      <c r="F2240" s="26" t="s">
        <v>205</v>
      </c>
      <c r="G2240" s="26">
        <v>11.0</v>
      </c>
      <c r="I2240" s="26" t="s">
        <v>42</v>
      </c>
      <c r="J2240" s="25" t="str">
        <f t="shared" si="34"/>
        <v>No</v>
      </c>
      <c r="K2240" s="25" t="str">
        <f t="shared" si="35"/>
        <v/>
      </c>
      <c r="L2240" s="25" t="str">
        <f t="shared" si="36"/>
        <v/>
      </c>
      <c r="M2240" s="25"/>
      <c r="O2240" s="25"/>
    </row>
    <row r="2241" ht="15.75" customHeight="1">
      <c r="A2241" s="25" t="str">
        <f>IFERROR(__xludf.DUMMYFUNCTION("IF(B2241="""","""",RIGHT(REGEXREPLACE(B2241&amp;"""",""[^0-9]"",""""),9))"),"701628239")</f>
        <v>701628239</v>
      </c>
      <c r="B2241" s="52">
        <v>7.01628239E8</v>
      </c>
      <c r="C2241" s="28" t="s">
        <v>2440</v>
      </c>
      <c r="D2241" s="26" t="s">
        <v>45</v>
      </c>
      <c r="E2241" s="31">
        <v>46229.0</v>
      </c>
      <c r="F2241" s="26" t="s">
        <v>704</v>
      </c>
      <c r="I2241" s="26" t="s">
        <v>42</v>
      </c>
      <c r="J2241" s="25" t="str">
        <f t="shared" si="34"/>
        <v>No</v>
      </c>
      <c r="K2241" s="25" t="str">
        <f t="shared" si="35"/>
        <v/>
      </c>
      <c r="L2241" s="25" t="str">
        <f t="shared" si="36"/>
        <v/>
      </c>
      <c r="M2241" s="25"/>
      <c r="O2241" s="25"/>
    </row>
    <row r="2242" ht="15.75" customHeight="1">
      <c r="A2242" s="25" t="str">
        <f>IFERROR(__xludf.DUMMYFUNCTION("IF(B2242="""","""",RIGHT(REGEXREPLACE(B2242&amp;"""",""[^0-9]"",""""),9))"),"740529371")</f>
        <v>740529371</v>
      </c>
      <c r="B2242" s="52">
        <v>7.40529371E8</v>
      </c>
      <c r="C2242" s="28" t="s">
        <v>1977</v>
      </c>
      <c r="D2242" s="26" t="s">
        <v>56</v>
      </c>
      <c r="E2242" s="31">
        <v>46229.0</v>
      </c>
      <c r="F2242" s="26" t="s">
        <v>46</v>
      </c>
      <c r="G2242" s="26">
        <v>11.0</v>
      </c>
      <c r="I2242" s="26" t="s">
        <v>42</v>
      </c>
      <c r="J2242" s="25" t="str">
        <f t="shared" si="34"/>
        <v>No</v>
      </c>
      <c r="K2242" s="25" t="str">
        <f t="shared" si="35"/>
        <v/>
      </c>
      <c r="L2242" s="25" t="str">
        <f t="shared" si="36"/>
        <v/>
      </c>
      <c r="M2242" s="25"/>
      <c r="O2242" s="25"/>
    </row>
    <row r="2243" ht="15.75" customHeight="1">
      <c r="A2243" s="25" t="str">
        <f>IFERROR(__xludf.DUMMYFUNCTION("IF(B2243="""","""",RIGHT(REGEXREPLACE(B2243&amp;"""",""[^0-9]"",""""),9))"),"760267555")</f>
        <v>760267555</v>
      </c>
      <c r="B2243" s="52">
        <v>7.60267555E8</v>
      </c>
      <c r="C2243" s="28" t="s">
        <v>2441</v>
      </c>
      <c r="D2243" s="26" t="s">
        <v>64</v>
      </c>
      <c r="E2243" s="31">
        <v>46229.0</v>
      </c>
      <c r="F2243" s="26" t="s">
        <v>46</v>
      </c>
      <c r="G2243" s="26">
        <v>11.0</v>
      </c>
      <c r="I2243" s="26" t="s">
        <v>42</v>
      </c>
      <c r="J2243" s="25" t="str">
        <f t="shared" si="34"/>
        <v>No</v>
      </c>
      <c r="K2243" s="25" t="str">
        <f t="shared" si="35"/>
        <v/>
      </c>
      <c r="L2243" s="25" t="str">
        <f t="shared" si="36"/>
        <v/>
      </c>
      <c r="M2243" s="25"/>
      <c r="O2243" s="25"/>
    </row>
    <row r="2244" ht="15.75" customHeight="1">
      <c r="A2244" s="25" t="str">
        <f>IFERROR(__xludf.DUMMYFUNCTION("IF(B2244="""","""",RIGHT(REGEXREPLACE(B2244&amp;"""",""[^0-9]"",""""),9))"),"705232490")</f>
        <v>705232490</v>
      </c>
      <c r="B2244" s="52">
        <v>7.0523249E8</v>
      </c>
      <c r="C2244" s="28" t="s">
        <v>2442</v>
      </c>
      <c r="D2244" s="26" t="s">
        <v>49</v>
      </c>
      <c r="E2244" s="31">
        <v>46229.0</v>
      </c>
      <c r="F2244" s="26" t="s">
        <v>46</v>
      </c>
      <c r="G2244" s="26">
        <v>11.0</v>
      </c>
      <c r="I2244" s="26" t="s">
        <v>42</v>
      </c>
      <c r="J2244" s="25" t="str">
        <f t="shared" si="34"/>
        <v>No</v>
      </c>
      <c r="K2244" s="25" t="str">
        <f t="shared" si="35"/>
        <v/>
      </c>
      <c r="L2244" s="25" t="str">
        <f t="shared" si="36"/>
        <v/>
      </c>
      <c r="M2244" s="25"/>
      <c r="O2244" s="25"/>
    </row>
    <row r="2245" ht="15.75" customHeight="1">
      <c r="A2245" s="25" t="str">
        <f>IFERROR(__xludf.DUMMYFUNCTION("IF(B2245="""","""",RIGHT(REGEXREPLACE(B2245&amp;"""",""[^0-9]"",""""),9))"),"775217895")</f>
        <v>775217895</v>
      </c>
      <c r="B2245" s="52">
        <v>7.75217895E8</v>
      </c>
      <c r="C2245" s="28" t="s">
        <v>2443</v>
      </c>
      <c r="D2245" s="26" t="s">
        <v>49</v>
      </c>
      <c r="E2245" s="31">
        <v>46229.0</v>
      </c>
      <c r="F2245" s="26" t="s">
        <v>41</v>
      </c>
      <c r="I2245" s="26" t="s">
        <v>42</v>
      </c>
      <c r="J2245" s="25" t="str">
        <f t="shared" si="34"/>
        <v>No</v>
      </c>
      <c r="K2245" s="25" t="str">
        <f t="shared" si="35"/>
        <v/>
      </c>
      <c r="L2245" s="25" t="str">
        <f t="shared" si="36"/>
        <v/>
      </c>
      <c r="M2245" s="25"/>
      <c r="O2245" s="25"/>
    </row>
    <row r="2246" ht="15.75" customHeight="1">
      <c r="A2246" s="25" t="str">
        <f>IFERROR(__xludf.DUMMYFUNCTION("IF(B2246="""","""",RIGHT(REGEXREPLACE(B2246&amp;"""",""[^0-9]"",""""),9))"),"778644125")</f>
        <v>778644125</v>
      </c>
      <c r="B2246" s="52">
        <v>7.78644125E8</v>
      </c>
      <c r="C2246" s="28" t="s">
        <v>2444</v>
      </c>
      <c r="D2246" s="26" t="s">
        <v>64</v>
      </c>
      <c r="E2246" s="31">
        <v>46229.0</v>
      </c>
      <c r="F2246" s="26" t="s">
        <v>41</v>
      </c>
      <c r="I2246" s="26" t="s">
        <v>42</v>
      </c>
      <c r="J2246" s="25" t="str">
        <f t="shared" si="34"/>
        <v>No</v>
      </c>
      <c r="K2246" s="25" t="str">
        <f t="shared" si="35"/>
        <v/>
      </c>
      <c r="L2246" s="25" t="str">
        <f t="shared" si="36"/>
        <v/>
      </c>
      <c r="M2246" s="25"/>
      <c r="O2246" s="25"/>
    </row>
    <row r="2247" ht="15.75" customHeight="1">
      <c r="A2247" s="25" t="str">
        <f>IFERROR(__xludf.DUMMYFUNCTION("IF(B2247="""","""",RIGHT(REGEXREPLACE(B2247&amp;"""",""[^0-9]"",""""),9))"),"703499339")</f>
        <v>703499339</v>
      </c>
      <c r="B2247" s="52">
        <v>7.03499339E8</v>
      </c>
      <c r="C2247" s="28" t="s">
        <v>2445</v>
      </c>
      <c r="D2247" s="26" t="s">
        <v>49</v>
      </c>
      <c r="E2247" s="31">
        <v>46229.0</v>
      </c>
      <c r="F2247" s="26" t="s">
        <v>46</v>
      </c>
      <c r="G2247" s="26">
        <v>11.0</v>
      </c>
      <c r="I2247" s="26" t="s">
        <v>42</v>
      </c>
      <c r="J2247" s="25" t="str">
        <f t="shared" si="34"/>
        <v>No</v>
      </c>
      <c r="K2247" s="25" t="str">
        <f t="shared" si="35"/>
        <v/>
      </c>
      <c r="L2247" s="25" t="str">
        <f t="shared" si="36"/>
        <v/>
      </c>
      <c r="M2247" s="25"/>
      <c r="O2247" s="25"/>
    </row>
    <row r="2248" ht="15.75" customHeight="1">
      <c r="A2248" s="25" t="str">
        <f>IFERROR(__xludf.DUMMYFUNCTION("IF(B2248="""","""",RIGHT(REGEXREPLACE(B2248&amp;"""",""[^0-9]"",""""),9))"),"740301220")</f>
        <v>740301220</v>
      </c>
      <c r="B2248" s="26">
        <v>7.4030122E8</v>
      </c>
      <c r="C2248" s="28" t="s">
        <v>2446</v>
      </c>
      <c r="D2248" s="26" t="s">
        <v>37</v>
      </c>
      <c r="E2248" s="31">
        <v>46229.0</v>
      </c>
      <c r="F2248" s="26" t="s">
        <v>41</v>
      </c>
      <c r="G2248" s="26">
        <v>9.0</v>
      </c>
      <c r="I2248" s="26" t="s">
        <v>42</v>
      </c>
      <c r="J2248" s="25" t="str">
        <f t="shared" si="34"/>
        <v>No</v>
      </c>
      <c r="K2248" s="25" t="str">
        <f t="shared" si="35"/>
        <v/>
      </c>
      <c r="L2248" s="25" t="str">
        <f t="shared" si="36"/>
        <v/>
      </c>
      <c r="M2248" s="25"/>
      <c r="O2248" s="25"/>
    </row>
    <row r="2249" ht="15.75" customHeight="1">
      <c r="A2249" s="25" t="str">
        <f>IFERROR(__xludf.DUMMYFUNCTION("IF(B2249="""","""",RIGHT(REGEXREPLACE(B2249&amp;"""",""[^0-9]"",""""),9))"),"534602467")</f>
        <v>534602467</v>
      </c>
      <c r="B2249" s="52">
        <v>6.534602467E9</v>
      </c>
      <c r="C2249" s="28" t="s">
        <v>2447</v>
      </c>
      <c r="D2249" s="26" t="s">
        <v>56</v>
      </c>
      <c r="E2249" s="31">
        <v>46229.0</v>
      </c>
      <c r="F2249" s="26" t="s">
        <v>617</v>
      </c>
      <c r="I2249" s="26" t="s">
        <v>42</v>
      </c>
      <c r="J2249" s="25" t="str">
        <f t="shared" si="34"/>
        <v>No</v>
      </c>
      <c r="K2249" s="25" t="str">
        <f t="shared" si="35"/>
        <v/>
      </c>
      <c r="L2249" s="25" t="str">
        <f t="shared" si="36"/>
        <v/>
      </c>
      <c r="M2249" s="25"/>
      <c r="O2249" s="25"/>
    </row>
    <row r="2250" ht="15.75" customHeight="1">
      <c r="A2250" s="25" t="str">
        <f>IFERROR(__xludf.DUMMYFUNCTION("IF(B2250="""","""",RIGHT(REGEXREPLACE(B2250&amp;"""",""[^0-9]"",""""),9))"),"776617540")</f>
        <v>776617540</v>
      </c>
      <c r="B2250" s="26">
        <v>7.7661754E8</v>
      </c>
      <c r="C2250" s="28" t="s">
        <v>2448</v>
      </c>
      <c r="D2250" s="26" t="s">
        <v>37</v>
      </c>
      <c r="E2250" s="31">
        <v>46229.0</v>
      </c>
      <c r="F2250" s="26" t="s">
        <v>41</v>
      </c>
      <c r="G2250" s="26">
        <v>11.0</v>
      </c>
      <c r="I2250" s="26" t="s">
        <v>42</v>
      </c>
      <c r="J2250" s="25" t="str">
        <f t="shared" si="34"/>
        <v>No</v>
      </c>
      <c r="K2250" s="25" t="str">
        <f t="shared" si="35"/>
        <v/>
      </c>
      <c r="L2250" s="25" t="str">
        <f t="shared" si="36"/>
        <v/>
      </c>
      <c r="M2250" s="25"/>
      <c r="O2250" s="25"/>
    </row>
    <row r="2251" ht="15.75" customHeight="1">
      <c r="A2251" s="25" t="str">
        <f>IFERROR(__xludf.DUMMYFUNCTION("IF(B2251="""","""",RIGHT(REGEXREPLACE(B2251&amp;"""",""[^0-9]"",""""),9))"),"701628239")</f>
        <v>701628239</v>
      </c>
      <c r="B2251" s="52">
        <v>7.01628239E8</v>
      </c>
      <c r="C2251" s="28" t="s">
        <v>2440</v>
      </c>
      <c r="D2251" s="26" t="s">
        <v>45</v>
      </c>
      <c r="E2251" s="31">
        <v>46229.0</v>
      </c>
      <c r="F2251" s="26" t="s">
        <v>46</v>
      </c>
      <c r="G2251" s="26">
        <v>10.0</v>
      </c>
      <c r="I2251" s="26" t="s">
        <v>42</v>
      </c>
      <c r="J2251" s="25" t="str">
        <f t="shared" si="34"/>
        <v>Yes - see Previous F-Code</v>
      </c>
      <c r="K2251" s="25" t="str">
        <f t="shared" si="35"/>
        <v>DUPLICATE - CHECK</v>
      </c>
      <c r="L2251" s="25" t="str">
        <f t="shared" si="36"/>
        <v>F72133</v>
      </c>
      <c r="M2251" s="25"/>
      <c r="O2251" s="25"/>
    </row>
    <row r="2252" ht="15.75" customHeight="1">
      <c r="A2252" s="25" t="str">
        <f>IFERROR(__xludf.DUMMYFUNCTION("IF(B2252="""","""",RIGHT(REGEXREPLACE(B2252&amp;"""",""[^0-9]"",""""),9))"),"764583559")</f>
        <v>764583559</v>
      </c>
      <c r="B2252" s="52">
        <v>7.64583559E8</v>
      </c>
      <c r="C2252" s="28" t="s">
        <v>2449</v>
      </c>
      <c r="D2252" s="26" t="s">
        <v>49</v>
      </c>
      <c r="E2252" s="31">
        <v>46229.0</v>
      </c>
      <c r="F2252" s="26" t="s">
        <v>46</v>
      </c>
      <c r="G2252" s="26">
        <v>11.0</v>
      </c>
      <c r="I2252" s="26" t="s">
        <v>42</v>
      </c>
      <c r="J2252" s="25" t="str">
        <f t="shared" si="34"/>
        <v>No</v>
      </c>
      <c r="K2252" s="25" t="str">
        <f t="shared" si="35"/>
        <v/>
      </c>
      <c r="L2252" s="25" t="str">
        <f t="shared" si="36"/>
        <v/>
      </c>
      <c r="M2252" s="25"/>
      <c r="O2252" s="25"/>
    </row>
    <row r="2253" ht="15.75" customHeight="1">
      <c r="A2253" s="25" t="str">
        <f>IFERROR(__xludf.DUMMYFUNCTION("IF(B2253="""","""",RIGHT(REGEXREPLACE(B2253&amp;"""",""[^0-9]"",""""),9))"),"702857450")</f>
        <v>702857450</v>
      </c>
      <c r="B2253" s="52">
        <v>7.0285745E8</v>
      </c>
      <c r="C2253" s="28" t="s">
        <v>2450</v>
      </c>
      <c r="D2253" s="26" t="s">
        <v>56</v>
      </c>
      <c r="E2253" s="31">
        <v>46229.0</v>
      </c>
      <c r="F2253" s="26" t="s">
        <v>46</v>
      </c>
      <c r="G2253" s="26">
        <v>11.0</v>
      </c>
      <c r="I2253" s="26" t="s">
        <v>42</v>
      </c>
      <c r="J2253" s="25" t="str">
        <f t="shared" si="34"/>
        <v>No</v>
      </c>
      <c r="K2253" s="25" t="str">
        <f t="shared" si="35"/>
        <v/>
      </c>
      <c r="L2253" s="25" t="str">
        <f t="shared" si="36"/>
        <v/>
      </c>
      <c r="M2253" s="25"/>
      <c r="O2253" s="25"/>
    </row>
    <row r="2254" ht="15.75" customHeight="1">
      <c r="A2254" s="25" t="str">
        <f>IFERROR(__xludf.DUMMYFUNCTION("IF(B2254="""","""",RIGHT(REGEXREPLACE(B2254&amp;"""",""[^0-9]"",""""),9))"),"762338068")</f>
        <v>762338068</v>
      </c>
      <c r="B2254" s="52">
        <v>7.62338068E8</v>
      </c>
      <c r="C2254" s="28" t="s">
        <v>2444</v>
      </c>
      <c r="D2254" s="26" t="s">
        <v>64</v>
      </c>
      <c r="E2254" s="31">
        <v>46229.0</v>
      </c>
      <c r="F2254" s="26" t="s">
        <v>46</v>
      </c>
      <c r="G2254" s="26">
        <v>11.0</v>
      </c>
      <c r="I2254" s="26" t="s">
        <v>42</v>
      </c>
      <c r="J2254" s="25" t="str">
        <f t="shared" si="34"/>
        <v>No</v>
      </c>
      <c r="K2254" s="25" t="str">
        <f t="shared" si="35"/>
        <v/>
      </c>
      <c r="L2254" s="25" t="str">
        <f t="shared" si="36"/>
        <v/>
      </c>
      <c r="M2254" s="25"/>
      <c r="O2254" s="25"/>
    </row>
    <row r="2255" ht="15.75" customHeight="1">
      <c r="A2255" s="25" t="str">
        <f>IFERROR(__xludf.DUMMYFUNCTION("IF(B2255="""","""",RIGHT(REGEXREPLACE(B2255&amp;"""",""[^0-9]"",""""),9))"),"740213615")</f>
        <v>740213615</v>
      </c>
      <c r="B2255" s="26">
        <v>7.40213615E8</v>
      </c>
      <c r="C2255" s="28" t="s">
        <v>2451</v>
      </c>
      <c r="D2255" s="26" t="s">
        <v>37</v>
      </c>
      <c r="E2255" s="31">
        <v>46229.0</v>
      </c>
      <c r="F2255" s="26" t="s">
        <v>704</v>
      </c>
      <c r="G2255" s="26">
        <v>11.0</v>
      </c>
      <c r="I2255" s="26" t="s">
        <v>42</v>
      </c>
      <c r="J2255" s="25" t="str">
        <f t="shared" si="34"/>
        <v>No</v>
      </c>
      <c r="K2255" s="25" t="str">
        <f t="shared" si="35"/>
        <v/>
      </c>
      <c r="L2255" s="25" t="str">
        <f t="shared" si="36"/>
        <v/>
      </c>
      <c r="M2255" s="25"/>
      <c r="O2255" s="25"/>
    </row>
    <row r="2256" ht="15.75" customHeight="1">
      <c r="A2256" s="25" t="str">
        <f>IFERROR(__xludf.DUMMYFUNCTION("IF(B2256="""","""",RIGHT(REGEXREPLACE(B2256&amp;"""",""[^0-9]"",""""),9))"),"777623495")</f>
        <v>777623495</v>
      </c>
      <c r="B2256" s="52">
        <v>7.77623495E8</v>
      </c>
      <c r="C2256" s="28" t="s">
        <v>2452</v>
      </c>
      <c r="D2256" s="26" t="s">
        <v>45</v>
      </c>
      <c r="E2256" s="31">
        <v>46229.0</v>
      </c>
      <c r="F2256" s="26" t="s">
        <v>46</v>
      </c>
      <c r="G2256" s="26">
        <v>11.0</v>
      </c>
      <c r="I2256" s="26" t="s">
        <v>42</v>
      </c>
      <c r="J2256" s="25" t="str">
        <f t="shared" si="34"/>
        <v>No</v>
      </c>
      <c r="K2256" s="25" t="str">
        <f t="shared" si="35"/>
        <v/>
      </c>
      <c r="L2256" s="25" t="str">
        <f t="shared" si="36"/>
        <v/>
      </c>
      <c r="M2256" s="25"/>
      <c r="O2256" s="25"/>
    </row>
    <row r="2257" ht="15.75" customHeight="1">
      <c r="A2257" s="25" t="str">
        <f>IFERROR(__xludf.DUMMYFUNCTION("IF(B2257="""","""",RIGHT(REGEXREPLACE(B2257&amp;"""",""[^0-9]"",""""),9))"),"778338720")</f>
        <v>778338720</v>
      </c>
      <c r="B2257" s="52">
        <v>7.7833872E8</v>
      </c>
      <c r="C2257" s="28" t="s">
        <v>2453</v>
      </c>
      <c r="D2257" s="26" t="s">
        <v>49</v>
      </c>
      <c r="E2257" s="31">
        <v>46229.0</v>
      </c>
      <c r="F2257" s="26" t="s">
        <v>46</v>
      </c>
      <c r="G2257" s="26">
        <v>11.0</v>
      </c>
      <c r="I2257" s="26" t="s">
        <v>42</v>
      </c>
      <c r="J2257" s="25" t="str">
        <f t="shared" si="34"/>
        <v>No</v>
      </c>
      <c r="K2257" s="25" t="str">
        <f t="shared" si="35"/>
        <v/>
      </c>
      <c r="L2257" s="25" t="str">
        <f t="shared" si="36"/>
        <v/>
      </c>
      <c r="M2257" s="25"/>
      <c r="O2257" s="25"/>
    </row>
    <row r="2258" ht="15.75" customHeight="1">
      <c r="A2258" s="25" t="str">
        <f>IFERROR(__xludf.DUMMYFUNCTION("IF(B2258="""","""",RIGHT(REGEXREPLACE(B2258&amp;"""",""[^0-9]"",""""),9))"),"712292348")</f>
        <v>712292348</v>
      </c>
      <c r="B2258" s="52">
        <v>7.12292348E8</v>
      </c>
      <c r="C2258" s="28" t="s">
        <v>2454</v>
      </c>
      <c r="D2258" s="26" t="s">
        <v>56</v>
      </c>
      <c r="E2258" s="31">
        <v>46229.0</v>
      </c>
      <c r="F2258" s="26" t="s">
        <v>41</v>
      </c>
      <c r="I2258" s="26" t="s">
        <v>42</v>
      </c>
      <c r="J2258" s="25" t="str">
        <f t="shared" si="34"/>
        <v>No</v>
      </c>
      <c r="K2258" s="25" t="str">
        <f t="shared" si="35"/>
        <v/>
      </c>
      <c r="L2258" s="25" t="str">
        <f t="shared" si="36"/>
        <v/>
      </c>
      <c r="M2258" s="25"/>
      <c r="O2258" s="25"/>
    </row>
    <row r="2259" ht="15.75" customHeight="1">
      <c r="A2259" s="25" t="str">
        <f>IFERROR(__xludf.DUMMYFUNCTION("IF(B2259="""","""",RIGHT(REGEXREPLACE(B2259&amp;"""",""[^0-9]"",""""),9))"),"712292348")</f>
        <v>712292348</v>
      </c>
      <c r="B2259" s="26">
        <v>7.12292348E8</v>
      </c>
      <c r="C2259" s="28" t="s">
        <v>2454</v>
      </c>
      <c r="D2259" s="26" t="s">
        <v>37</v>
      </c>
      <c r="E2259" s="31">
        <v>46229.0</v>
      </c>
      <c r="F2259" s="26" t="s">
        <v>41</v>
      </c>
      <c r="I2259" s="26" t="s">
        <v>42</v>
      </c>
      <c r="J2259" s="25" t="str">
        <f t="shared" si="34"/>
        <v>Yes - see Previous F-Code</v>
      </c>
      <c r="K2259" s="25" t="str">
        <f t="shared" si="35"/>
        <v>DUPLICATE - CHECK</v>
      </c>
      <c r="L2259" s="25" t="str">
        <f t="shared" si="36"/>
        <v>F72147</v>
      </c>
      <c r="M2259" s="25"/>
      <c r="O2259" s="25"/>
    </row>
    <row r="2260" ht="15.75" customHeight="1">
      <c r="A2260" s="25" t="str">
        <f>IFERROR(__xludf.DUMMYFUNCTION("IF(B2260="""","""",RIGHT(REGEXREPLACE(B2260&amp;"""",""[^0-9]"",""""),9))"),"762338068")</f>
        <v>762338068</v>
      </c>
      <c r="B2260" s="52">
        <v>7.62338068E8</v>
      </c>
      <c r="C2260" s="28" t="s">
        <v>2444</v>
      </c>
      <c r="D2260" s="26" t="s">
        <v>45</v>
      </c>
      <c r="E2260" s="31">
        <v>46229.0</v>
      </c>
      <c r="F2260" s="26" t="s">
        <v>46</v>
      </c>
      <c r="G2260" s="26">
        <v>11.0</v>
      </c>
      <c r="I2260" s="26" t="s">
        <v>42</v>
      </c>
      <c r="J2260" s="25" t="str">
        <f t="shared" si="34"/>
        <v>Yes - see Previous F-Code</v>
      </c>
      <c r="K2260" s="25" t="str">
        <f t="shared" si="35"/>
        <v>DUPLICATE - CHECK</v>
      </c>
      <c r="L2260" s="25" t="str">
        <f t="shared" si="36"/>
        <v>F72137</v>
      </c>
      <c r="M2260" s="25"/>
      <c r="O2260" s="25"/>
    </row>
    <row r="2261" ht="15.75" customHeight="1">
      <c r="A2261" s="25" t="str">
        <f>IFERROR(__xludf.DUMMYFUNCTION("IF(B2261="""","""",RIGHT(REGEXREPLACE(B2261&amp;"""",""[^0-9]"",""""),9))"),"724176770")</f>
        <v>724176770</v>
      </c>
      <c r="B2261" s="52">
        <v>7.2417677E8</v>
      </c>
      <c r="C2261" s="28" t="s">
        <v>2455</v>
      </c>
      <c r="D2261" s="26" t="s">
        <v>37</v>
      </c>
      <c r="E2261" s="31">
        <v>46229.0</v>
      </c>
      <c r="F2261" s="26" t="s">
        <v>46</v>
      </c>
      <c r="G2261" s="26">
        <v>9.0</v>
      </c>
      <c r="I2261" s="26" t="s">
        <v>42</v>
      </c>
      <c r="J2261" s="25" t="str">
        <f t="shared" si="34"/>
        <v>No</v>
      </c>
      <c r="K2261" s="25" t="str">
        <f t="shared" si="35"/>
        <v/>
      </c>
      <c r="L2261" s="25" t="str">
        <f t="shared" si="36"/>
        <v/>
      </c>
      <c r="M2261" s="25"/>
      <c r="O2261" s="25"/>
    </row>
    <row r="2262" ht="15.75" customHeight="1">
      <c r="A2262" s="25" t="str">
        <f>IFERROR(__xludf.DUMMYFUNCTION("IF(B2262="""","""",RIGHT(REGEXREPLACE(B2262&amp;"""",""[^0-9]"",""""),9))"),"776278779")</f>
        <v>776278779</v>
      </c>
      <c r="B2262" s="52">
        <v>7.76278779E8</v>
      </c>
      <c r="C2262" s="28" t="s">
        <v>2456</v>
      </c>
      <c r="D2262" s="26" t="s">
        <v>56</v>
      </c>
      <c r="E2262" s="31">
        <v>46229.0</v>
      </c>
      <c r="F2262" s="26" t="s">
        <v>46</v>
      </c>
      <c r="G2262" s="26">
        <v>11.0</v>
      </c>
      <c r="I2262" s="26" t="s">
        <v>42</v>
      </c>
      <c r="J2262" s="25" t="str">
        <f t="shared" si="34"/>
        <v>No</v>
      </c>
      <c r="K2262" s="25" t="str">
        <f t="shared" si="35"/>
        <v/>
      </c>
      <c r="L2262" s="25" t="str">
        <f t="shared" si="36"/>
        <v/>
      </c>
      <c r="M2262" s="25"/>
      <c r="O2262" s="25"/>
    </row>
    <row r="2263" ht="15.75" customHeight="1">
      <c r="A2263" s="25" t="str">
        <f>IFERROR(__xludf.DUMMYFUNCTION("IF(B2263="""","""",RIGHT(REGEXREPLACE(B2263&amp;"""",""[^0-9]"",""""),9))"),"767762926")</f>
        <v>767762926</v>
      </c>
      <c r="B2263" s="52">
        <v>7.67762926E8</v>
      </c>
      <c r="C2263" s="28" t="s">
        <v>2457</v>
      </c>
      <c r="D2263" s="26" t="s">
        <v>45</v>
      </c>
      <c r="E2263" s="31">
        <v>46229.0</v>
      </c>
      <c r="F2263" s="26" t="s">
        <v>41</v>
      </c>
      <c r="G2263" s="26">
        <v>11.0</v>
      </c>
      <c r="I2263" s="26" t="s">
        <v>42</v>
      </c>
      <c r="J2263" s="25" t="str">
        <f t="shared" si="34"/>
        <v>No</v>
      </c>
      <c r="K2263" s="25" t="str">
        <f t="shared" si="35"/>
        <v/>
      </c>
      <c r="L2263" s="25" t="str">
        <f t="shared" si="36"/>
        <v/>
      </c>
      <c r="M2263" s="25"/>
      <c r="O2263" s="25"/>
    </row>
    <row r="2264" ht="15.75" customHeight="1">
      <c r="A2264" s="25" t="str">
        <f>IFERROR(__xludf.DUMMYFUNCTION("IF(B2264="""","""",RIGHT(REGEXREPLACE(B2264&amp;"""",""[^0-9]"",""""),9))"),"714491862")</f>
        <v>714491862</v>
      </c>
      <c r="B2264" s="52">
        <v>7.14491862E8</v>
      </c>
      <c r="C2264" s="28" t="s">
        <v>2458</v>
      </c>
      <c r="D2264" s="26" t="s">
        <v>49</v>
      </c>
      <c r="E2264" s="31">
        <v>46229.0</v>
      </c>
      <c r="F2264" s="26" t="s">
        <v>46</v>
      </c>
      <c r="G2264" s="26">
        <v>11.0</v>
      </c>
      <c r="I2264" s="26" t="s">
        <v>42</v>
      </c>
      <c r="J2264" s="25" t="str">
        <f t="shared" si="34"/>
        <v>No</v>
      </c>
      <c r="K2264" s="25" t="str">
        <f t="shared" si="35"/>
        <v/>
      </c>
      <c r="L2264" s="25" t="str">
        <f t="shared" si="36"/>
        <v/>
      </c>
      <c r="M2264" s="25"/>
      <c r="O2264" s="25"/>
    </row>
    <row r="2265" ht="15.75" customHeight="1">
      <c r="A2265" s="25" t="str">
        <f>IFERROR(__xludf.DUMMYFUNCTION("IF(B2265="""","""",RIGHT(REGEXREPLACE(B2265&amp;"""",""[^0-9]"",""""),9))"),"722993536")</f>
        <v>722993536</v>
      </c>
      <c r="B2265" s="26">
        <v>7.22993536E8</v>
      </c>
      <c r="C2265" s="28" t="s">
        <v>2459</v>
      </c>
      <c r="D2265" s="26" t="s">
        <v>37</v>
      </c>
      <c r="E2265" s="31">
        <v>46229.0</v>
      </c>
      <c r="F2265" s="26" t="s">
        <v>84</v>
      </c>
      <c r="G2265" s="26">
        <v>9.0</v>
      </c>
      <c r="I2265" s="26" t="s">
        <v>42</v>
      </c>
      <c r="J2265" s="25" t="str">
        <f t="shared" si="34"/>
        <v>No</v>
      </c>
      <c r="K2265" s="25" t="str">
        <f t="shared" si="35"/>
        <v/>
      </c>
      <c r="L2265" s="25" t="str">
        <f t="shared" si="36"/>
        <v/>
      </c>
      <c r="M2265" s="25"/>
      <c r="O2265" s="26" t="s">
        <v>51</v>
      </c>
    </row>
    <row r="2266" ht="15.75" customHeight="1">
      <c r="A2266" s="25" t="str">
        <f>IFERROR(__xludf.DUMMYFUNCTION("IF(B2266="""","""",RIGHT(REGEXREPLACE(B2266&amp;"""",""[^0-9]"",""""),9))"),"760948818")</f>
        <v>760948818</v>
      </c>
      <c r="B2266" s="26">
        <v>7.60948818E8</v>
      </c>
      <c r="C2266" s="28" t="s">
        <v>2460</v>
      </c>
      <c r="D2266" s="26" t="s">
        <v>37</v>
      </c>
      <c r="E2266" s="31">
        <v>46229.0</v>
      </c>
      <c r="F2266" s="26" t="s">
        <v>46</v>
      </c>
      <c r="G2266" s="26">
        <v>11.0</v>
      </c>
      <c r="H2266" s="26" t="s">
        <v>2461</v>
      </c>
      <c r="I2266" s="26" t="s">
        <v>42</v>
      </c>
      <c r="J2266" s="25" t="str">
        <f t="shared" si="34"/>
        <v>No</v>
      </c>
      <c r="K2266" s="25" t="str">
        <f t="shared" si="35"/>
        <v/>
      </c>
      <c r="L2266" s="25" t="str">
        <f t="shared" si="36"/>
        <v/>
      </c>
      <c r="M2266" s="25"/>
      <c r="O2266" s="25"/>
    </row>
    <row r="2267" ht="15.75" customHeight="1">
      <c r="A2267" s="25" t="str">
        <f>IFERROR(__xludf.DUMMYFUNCTION("IF(B2267="""","""",RIGHT(REGEXREPLACE(B2267&amp;"""",""[^0-9]"",""""),9))"),"760183809")</f>
        <v>760183809</v>
      </c>
      <c r="B2267" s="52">
        <v>7.60183809E8</v>
      </c>
      <c r="C2267" s="28" t="s">
        <v>2462</v>
      </c>
      <c r="D2267" s="26" t="s">
        <v>64</v>
      </c>
      <c r="E2267" s="31">
        <v>46229.0</v>
      </c>
      <c r="F2267" s="26" t="s">
        <v>46</v>
      </c>
      <c r="G2267" s="26">
        <v>11.0</v>
      </c>
      <c r="I2267" s="26" t="s">
        <v>42</v>
      </c>
      <c r="J2267" s="25" t="str">
        <f t="shared" si="34"/>
        <v>No</v>
      </c>
      <c r="K2267" s="25" t="str">
        <f t="shared" si="35"/>
        <v/>
      </c>
      <c r="L2267" s="25" t="str">
        <f t="shared" si="36"/>
        <v/>
      </c>
      <c r="M2267" s="25"/>
      <c r="O2267" s="25"/>
    </row>
    <row r="2268" ht="15.75" customHeight="1">
      <c r="A2268" s="25" t="str">
        <f>IFERROR(__xludf.DUMMYFUNCTION("IF(B2268="""","""",RIGHT(REGEXREPLACE(B2268&amp;"""",""[^0-9]"",""""),9))"),"762214878")</f>
        <v>762214878</v>
      </c>
      <c r="B2268" s="52">
        <v>7.62214878E8</v>
      </c>
      <c r="C2268" s="28" t="s">
        <v>2463</v>
      </c>
      <c r="D2268" s="26" t="s">
        <v>45</v>
      </c>
      <c r="E2268" s="31">
        <v>46229.0</v>
      </c>
      <c r="F2268" s="26" t="s">
        <v>46</v>
      </c>
      <c r="G2268" s="26">
        <v>10.0</v>
      </c>
      <c r="I2268" s="26" t="s">
        <v>42</v>
      </c>
      <c r="J2268" s="25" t="str">
        <f t="shared" si="34"/>
        <v>No</v>
      </c>
      <c r="K2268" s="25" t="str">
        <f t="shared" si="35"/>
        <v/>
      </c>
      <c r="L2268" s="25" t="str">
        <f t="shared" si="36"/>
        <v/>
      </c>
      <c r="M2268" s="25"/>
      <c r="O2268" s="25"/>
    </row>
    <row r="2269" ht="15.75" customHeight="1">
      <c r="A2269" s="25" t="str">
        <f>IFERROR(__xludf.DUMMYFUNCTION("IF(B2269="""","""",RIGHT(REGEXREPLACE(B2269&amp;"""",""[^0-9]"",""""),9))"),"717133398")</f>
        <v>717133398</v>
      </c>
      <c r="B2269" s="26">
        <v>7171333.98</v>
      </c>
      <c r="C2269" s="28" t="s">
        <v>2464</v>
      </c>
      <c r="D2269" s="26" t="s">
        <v>37</v>
      </c>
      <c r="E2269" s="31">
        <v>46229.0</v>
      </c>
      <c r="F2269" s="26" t="s">
        <v>164</v>
      </c>
      <c r="I2269" s="26" t="s">
        <v>42</v>
      </c>
      <c r="J2269" s="25" t="str">
        <f t="shared" si="34"/>
        <v>No</v>
      </c>
      <c r="K2269" s="25" t="str">
        <f t="shared" si="35"/>
        <v/>
      </c>
      <c r="L2269" s="25" t="str">
        <f t="shared" si="36"/>
        <v/>
      </c>
      <c r="M2269" s="25"/>
      <c r="O2269" s="25"/>
    </row>
    <row r="2270" ht="15.75" customHeight="1">
      <c r="A2270" s="25" t="str">
        <f>IFERROR(__xludf.DUMMYFUNCTION("IF(B2270="""","""",RIGHT(REGEXREPLACE(B2270&amp;"""",""[^0-9]"",""""),9))"),"778857745")</f>
        <v>778857745</v>
      </c>
      <c r="B2270" s="26">
        <v>7.78857745E8</v>
      </c>
      <c r="C2270" s="28" t="s">
        <v>2465</v>
      </c>
      <c r="D2270" s="26" t="s">
        <v>37</v>
      </c>
      <c r="E2270" s="31">
        <v>46229.0</v>
      </c>
      <c r="F2270" s="26" t="s">
        <v>46</v>
      </c>
      <c r="I2270" s="26" t="s">
        <v>42</v>
      </c>
      <c r="J2270" s="25" t="str">
        <f t="shared" si="34"/>
        <v>No</v>
      </c>
      <c r="K2270" s="25" t="str">
        <f t="shared" si="35"/>
        <v/>
      </c>
      <c r="L2270" s="25" t="str">
        <f t="shared" si="36"/>
        <v/>
      </c>
      <c r="M2270" s="25"/>
      <c r="O2270" s="25"/>
    </row>
    <row r="2271" ht="15.75" customHeight="1">
      <c r="A2271" s="25" t="str">
        <f>IFERROR(__xludf.DUMMYFUNCTION("IF(B2271="""","""",RIGHT(REGEXREPLACE(B2271&amp;"""",""[^0-9]"",""""),9))"),"760502375")</f>
        <v>760502375</v>
      </c>
      <c r="B2271" s="52">
        <v>7.60502375E8</v>
      </c>
      <c r="C2271" s="28" t="s">
        <v>2466</v>
      </c>
      <c r="D2271" s="26" t="s">
        <v>56</v>
      </c>
      <c r="E2271" s="31">
        <v>46229.0</v>
      </c>
      <c r="F2271" s="25"/>
      <c r="G2271" s="25"/>
      <c r="H2271" s="25"/>
      <c r="I2271" s="26" t="s">
        <v>42</v>
      </c>
      <c r="J2271" s="25" t="str">
        <f t="shared" si="34"/>
        <v>No</v>
      </c>
      <c r="K2271" s="25" t="str">
        <f t="shared" si="35"/>
        <v/>
      </c>
      <c r="L2271" s="25" t="str">
        <f t="shared" si="36"/>
        <v/>
      </c>
      <c r="M2271" s="25"/>
      <c r="N2271" s="25"/>
      <c r="O2271" s="25"/>
      <c r="P2271" s="25"/>
    </row>
    <row r="2272" ht="15.75" customHeight="1">
      <c r="A2272" s="25" t="str">
        <f>IFERROR(__xludf.DUMMYFUNCTION("IF(B2272="""","""",RIGHT(REGEXREPLACE(B2272&amp;"""",""[^0-9]"",""""),9))"),"756951358")</f>
        <v>756951358</v>
      </c>
      <c r="B2272" s="52">
        <v>7.56951358E8</v>
      </c>
      <c r="C2272" s="28" t="s">
        <v>2467</v>
      </c>
      <c r="D2272" s="26" t="s">
        <v>49</v>
      </c>
      <c r="E2272" s="31">
        <v>46229.0</v>
      </c>
      <c r="F2272" s="26" t="s">
        <v>41</v>
      </c>
      <c r="G2272" s="26">
        <v>11.0</v>
      </c>
      <c r="I2272" s="26" t="s">
        <v>42</v>
      </c>
      <c r="J2272" s="25" t="str">
        <f t="shared" si="34"/>
        <v>No</v>
      </c>
      <c r="K2272" s="25" t="str">
        <f t="shared" si="35"/>
        <v/>
      </c>
      <c r="L2272" s="25" t="str">
        <f t="shared" si="36"/>
        <v/>
      </c>
      <c r="M2272" s="25"/>
      <c r="O2272" s="25"/>
    </row>
    <row r="2273" ht="15.75" customHeight="1">
      <c r="A2273" s="25" t="str">
        <f>IFERROR(__xludf.DUMMYFUNCTION("IF(B2273="""","""",RIGHT(REGEXREPLACE(B2273&amp;"""",""[^0-9]"",""""),9))"),"763258695")</f>
        <v>763258695</v>
      </c>
      <c r="B2273" s="52">
        <v>7.63258695E8</v>
      </c>
      <c r="C2273" s="28" t="s">
        <v>2468</v>
      </c>
      <c r="D2273" s="26" t="s">
        <v>64</v>
      </c>
      <c r="E2273" s="31">
        <v>46229.0</v>
      </c>
      <c r="F2273" s="26" t="s">
        <v>46</v>
      </c>
      <c r="G2273" s="26">
        <v>11.0</v>
      </c>
      <c r="I2273" s="26" t="s">
        <v>42</v>
      </c>
      <c r="J2273" s="25" t="str">
        <f t="shared" si="34"/>
        <v>No</v>
      </c>
      <c r="K2273" s="25" t="str">
        <f t="shared" si="35"/>
        <v/>
      </c>
      <c r="L2273" s="25" t="str">
        <f t="shared" si="36"/>
        <v/>
      </c>
      <c r="M2273" s="25"/>
      <c r="O2273" s="25"/>
    </row>
    <row r="2274" ht="15.75" customHeight="1">
      <c r="A2274" s="25" t="str">
        <f>IFERROR(__xludf.DUMMYFUNCTION("IF(B2274="""","""",RIGHT(REGEXREPLACE(B2274&amp;"""",""[^0-9]"",""""),9))"),"771990850")</f>
        <v>771990850</v>
      </c>
      <c r="B2274" s="26">
        <v>7.7199085E8</v>
      </c>
      <c r="C2274" s="28" t="s">
        <v>2469</v>
      </c>
      <c r="D2274" s="26" t="s">
        <v>37</v>
      </c>
      <c r="E2274" s="31">
        <v>46229.0</v>
      </c>
      <c r="F2274" s="26" t="s">
        <v>46</v>
      </c>
      <c r="G2274" s="26">
        <v>11.0</v>
      </c>
      <c r="I2274" s="26" t="s">
        <v>42</v>
      </c>
      <c r="J2274" s="25" t="str">
        <f t="shared" si="34"/>
        <v>No</v>
      </c>
      <c r="K2274" s="25" t="str">
        <f t="shared" si="35"/>
        <v/>
      </c>
      <c r="L2274" s="25" t="str">
        <f t="shared" si="36"/>
        <v/>
      </c>
      <c r="M2274" s="25"/>
      <c r="O2274" s="25"/>
    </row>
    <row r="2275" ht="15.75" customHeight="1">
      <c r="A2275" s="25" t="str">
        <f>IFERROR(__xludf.DUMMYFUNCTION("IF(B2275="""","""",RIGHT(REGEXREPLACE(B2275&amp;"""",""[^0-9]"",""""),9))"),"772538685")</f>
        <v>772538685</v>
      </c>
      <c r="B2275" s="52">
        <v>7.72538685E8</v>
      </c>
      <c r="C2275" s="28" t="s">
        <v>2470</v>
      </c>
      <c r="D2275" s="26" t="s">
        <v>45</v>
      </c>
      <c r="E2275" s="31">
        <v>46229.0</v>
      </c>
      <c r="F2275" s="26" t="s">
        <v>41</v>
      </c>
      <c r="G2275" s="26">
        <v>11.0</v>
      </c>
      <c r="I2275" s="26" t="s">
        <v>42</v>
      </c>
      <c r="J2275" s="25" t="str">
        <f t="shared" si="34"/>
        <v>No</v>
      </c>
      <c r="K2275" s="25" t="str">
        <f t="shared" si="35"/>
        <v/>
      </c>
      <c r="L2275" s="25" t="str">
        <f t="shared" si="36"/>
        <v/>
      </c>
      <c r="M2275" s="25"/>
      <c r="O2275" s="25"/>
    </row>
    <row r="2276" ht="15.75" customHeight="1">
      <c r="A2276" s="25" t="str">
        <f>IFERROR(__xludf.DUMMYFUNCTION("IF(B2276="""","""",RIGHT(REGEXREPLACE(B2276&amp;"""",""[^0-9]"",""""),9))"),"766894167")</f>
        <v>766894167</v>
      </c>
      <c r="B2276" s="52">
        <v>7.66894167E8</v>
      </c>
      <c r="C2276" s="28" t="s">
        <v>2471</v>
      </c>
      <c r="D2276" s="26" t="s">
        <v>56</v>
      </c>
      <c r="E2276" s="31">
        <v>46229.0</v>
      </c>
      <c r="F2276" s="26" t="s">
        <v>46</v>
      </c>
      <c r="G2276" s="26">
        <v>10.0</v>
      </c>
      <c r="I2276" s="26" t="s">
        <v>42</v>
      </c>
      <c r="J2276" s="25" t="str">
        <f t="shared" si="34"/>
        <v>No</v>
      </c>
      <c r="K2276" s="25" t="str">
        <f t="shared" si="35"/>
        <v/>
      </c>
      <c r="L2276" s="25" t="str">
        <f t="shared" si="36"/>
        <v/>
      </c>
      <c r="M2276" s="25"/>
      <c r="O2276" s="25"/>
    </row>
    <row r="2277" ht="15.75" customHeight="1">
      <c r="A2277" s="25" t="str">
        <f>IFERROR(__xludf.DUMMYFUNCTION("IF(B2277="""","""",RIGHT(REGEXREPLACE(B2277&amp;"""",""[^0-9]"",""""),9))"),"784445585")</f>
        <v>784445585</v>
      </c>
      <c r="B2277" s="52">
        <v>7.84445585E8</v>
      </c>
      <c r="C2277" s="28" t="s">
        <v>2472</v>
      </c>
      <c r="D2277" s="26" t="s">
        <v>49</v>
      </c>
      <c r="E2277" s="31">
        <v>46229.0</v>
      </c>
      <c r="F2277" s="26" t="s">
        <v>46</v>
      </c>
      <c r="G2277" s="26">
        <v>11.0</v>
      </c>
      <c r="I2277" s="26" t="s">
        <v>42</v>
      </c>
      <c r="J2277" s="25" t="str">
        <f t="shared" si="34"/>
        <v>No</v>
      </c>
      <c r="K2277" s="25" t="str">
        <f t="shared" si="35"/>
        <v/>
      </c>
      <c r="L2277" s="25" t="str">
        <f t="shared" si="36"/>
        <v/>
      </c>
      <c r="M2277" s="25"/>
      <c r="O2277" s="25"/>
    </row>
    <row r="2278" ht="15.75" customHeight="1">
      <c r="A2278" s="25" t="str">
        <f>IFERROR(__xludf.DUMMYFUNCTION("IF(B2278="""","""",RIGHT(REGEXREPLACE(B2278&amp;"""",""[^0-9]"",""""),9))"),"719244123")</f>
        <v>719244123</v>
      </c>
      <c r="B2278" s="52">
        <v>7.19244123E8</v>
      </c>
      <c r="C2278" s="28" t="s">
        <v>308</v>
      </c>
      <c r="D2278" s="26" t="s">
        <v>45</v>
      </c>
      <c r="E2278" s="31">
        <v>46229.0</v>
      </c>
      <c r="F2278" s="26" t="s">
        <v>41</v>
      </c>
      <c r="G2278" s="26">
        <v>11.0</v>
      </c>
      <c r="I2278" s="26" t="s">
        <v>42</v>
      </c>
      <c r="J2278" s="25" t="str">
        <f t="shared" si="34"/>
        <v>Yes - see Previous F-Code</v>
      </c>
      <c r="K2278" s="25" t="str">
        <f t="shared" si="35"/>
        <v>DUPLICATE - CHECK</v>
      </c>
      <c r="L2278" s="25" t="str">
        <f t="shared" si="36"/>
        <v>F70168</v>
      </c>
      <c r="M2278" s="25"/>
      <c r="O2278" s="25"/>
    </row>
    <row r="2279" ht="15.75" customHeight="1">
      <c r="A2279" s="25" t="str">
        <f>IFERROR(__xludf.DUMMYFUNCTION("IF(B2279="""","""",RIGHT(REGEXREPLACE(B2279&amp;"""",""[^0-9]"",""""),9))"),"759304202")</f>
        <v>759304202</v>
      </c>
      <c r="B2279" s="52">
        <v>7.59304202E8</v>
      </c>
      <c r="C2279" s="28" t="s">
        <v>2473</v>
      </c>
      <c r="D2279" s="26" t="s">
        <v>45</v>
      </c>
      <c r="E2279" s="31">
        <v>46229.0</v>
      </c>
      <c r="F2279" s="26" t="s">
        <v>46</v>
      </c>
      <c r="G2279" s="26">
        <v>11.0</v>
      </c>
      <c r="I2279" s="26" t="s">
        <v>42</v>
      </c>
      <c r="J2279" s="25" t="str">
        <f t="shared" si="34"/>
        <v>No</v>
      </c>
      <c r="K2279" s="25" t="str">
        <f t="shared" si="35"/>
        <v/>
      </c>
      <c r="L2279" s="25" t="str">
        <f t="shared" si="36"/>
        <v/>
      </c>
      <c r="M2279" s="25"/>
      <c r="O2279" s="25"/>
    </row>
    <row r="2280" ht="15.75" customHeight="1">
      <c r="A2280" s="25" t="str">
        <f>IFERROR(__xludf.DUMMYFUNCTION("IF(B2280="""","""",RIGHT(REGEXREPLACE(B2280&amp;"""",""[^0-9]"",""""),9))"),"765990547")</f>
        <v>765990547</v>
      </c>
      <c r="B2280" s="52">
        <v>7.65990547E8</v>
      </c>
      <c r="C2280" s="28" t="s">
        <v>2474</v>
      </c>
      <c r="D2280" s="26" t="s">
        <v>56</v>
      </c>
      <c r="E2280" s="31">
        <v>46229.0</v>
      </c>
      <c r="F2280" s="26" t="s">
        <v>46</v>
      </c>
      <c r="G2280" s="26">
        <v>11.0</v>
      </c>
      <c r="I2280" s="26" t="s">
        <v>42</v>
      </c>
      <c r="J2280" s="25" t="str">
        <f t="shared" si="34"/>
        <v>No</v>
      </c>
      <c r="K2280" s="25" t="str">
        <f t="shared" si="35"/>
        <v/>
      </c>
      <c r="L2280" s="25" t="str">
        <f t="shared" si="36"/>
        <v/>
      </c>
      <c r="M2280" s="25"/>
      <c r="O2280" s="25"/>
    </row>
    <row r="2281" ht="15.75" customHeight="1">
      <c r="A2281" s="25" t="str">
        <f>IFERROR(__xludf.DUMMYFUNCTION("IF(B2281="""","""",RIGHT(REGEXREPLACE(B2281&amp;"""",""[^0-9]"",""""),9))"),"788590620")</f>
        <v>788590620</v>
      </c>
      <c r="B2281" s="52">
        <v>7.8859062E8</v>
      </c>
      <c r="C2281" s="28" t="s">
        <v>2475</v>
      </c>
      <c r="D2281" s="26" t="s">
        <v>49</v>
      </c>
      <c r="E2281" s="31">
        <v>46229.0</v>
      </c>
      <c r="F2281" s="26" t="s">
        <v>205</v>
      </c>
      <c r="G2281" s="26">
        <v>11.0</v>
      </c>
      <c r="I2281" s="26" t="s">
        <v>42</v>
      </c>
      <c r="J2281" s="25" t="str">
        <f t="shared" si="34"/>
        <v>No</v>
      </c>
      <c r="K2281" s="25" t="str">
        <f t="shared" si="35"/>
        <v/>
      </c>
      <c r="L2281" s="25" t="str">
        <f t="shared" si="36"/>
        <v/>
      </c>
      <c r="M2281" s="25"/>
      <c r="O2281" s="25"/>
    </row>
    <row r="2282" ht="15.75" customHeight="1">
      <c r="A2282" s="25" t="str">
        <f>IFERROR(__xludf.DUMMYFUNCTION("IF(B2282="""","""",RIGHT(REGEXREPLACE(B2282&amp;"""",""[^0-9]"",""""),9))"),"766140582")</f>
        <v>766140582</v>
      </c>
      <c r="B2282" s="52">
        <v>7.66140582E8</v>
      </c>
      <c r="C2282" s="28" t="s">
        <v>2476</v>
      </c>
      <c r="D2282" s="26" t="s">
        <v>64</v>
      </c>
      <c r="E2282" s="31">
        <v>46229.0</v>
      </c>
      <c r="F2282" s="26" t="s">
        <v>46</v>
      </c>
      <c r="G2282" s="26">
        <v>11.0</v>
      </c>
      <c r="I2282" s="26" t="s">
        <v>42</v>
      </c>
      <c r="J2282" s="25" t="str">
        <f t="shared" si="34"/>
        <v>No</v>
      </c>
      <c r="K2282" s="25" t="str">
        <f t="shared" si="35"/>
        <v/>
      </c>
      <c r="L2282" s="25" t="str">
        <f t="shared" si="36"/>
        <v/>
      </c>
      <c r="M2282" s="25"/>
      <c r="O2282" s="25"/>
    </row>
    <row r="2283" ht="15.75" customHeight="1">
      <c r="A2283" s="25" t="str">
        <f>IFERROR(__xludf.DUMMYFUNCTION("IF(B2283="""","""",RIGHT(REGEXREPLACE(B2283&amp;"""",""[^0-9]"",""""),9))"),"729884403")</f>
        <v>729884403</v>
      </c>
      <c r="B2283" s="52">
        <v>7.29884403E8</v>
      </c>
      <c r="C2283" s="28" t="s">
        <v>2477</v>
      </c>
      <c r="D2283" s="26" t="s">
        <v>45</v>
      </c>
      <c r="E2283" s="31">
        <v>46229.0</v>
      </c>
      <c r="F2283" s="26" t="s">
        <v>205</v>
      </c>
      <c r="G2283" s="26">
        <v>11.0</v>
      </c>
      <c r="I2283" s="26" t="s">
        <v>42</v>
      </c>
      <c r="J2283" s="25" t="str">
        <f t="shared" si="34"/>
        <v>No</v>
      </c>
      <c r="K2283" s="25" t="str">
        <f t="shared" si="35"/>
        <v/>
      </c>
      <c r="L2283" s="25" t="str">
        <f t="shared" si="36"/>
        <v/>
      </c>
      <c r="M2283" s="25"/>
      <c r="O2283" s="25"/>
    </row>
    <row r="2284" ht="15.75" customHeight="1">
      <c r="A2284" s="25" t="str">
        <f>IFERROR(__xludf.DUMMYFUNCTION("IF(B2284="""","""",RIGHT(REGEXREPLACE(B2284&amp;"""",""[^0-9]"",""""),9))"),"713885166")</f>
        <v>713885166</v>
      </c>
      <c r="B2284" s="52">
        <v>7.13885166E8</v>
      </c>
      <c r="C2284" s="28" t="s">
        <v>2478</v>
      </c>
      <c r="D2284" s="26" t="s">
        <v>49</v>
      </c>
      <c r="E2284" s="31">
        <v>46229.0</v>
      </c>
      <c r="F2284" s="26" t="s">
        <v>46</v>
      </c>
      <c r="G2284" s="26">
        <v>11.0</v>
      </c>
      <c r="I2284" s="26" t="s">
        <v>42</v>
      </c>
      <c r="J2284" s="25" t="str">
        <f t="shared" si="34"/>
        <v>No</v>
      </c>
      <c r="K2284" s="25" t="str">
        <f t="shared" si="35"/>
        <v/>
      </c>
      <c r="L2284" s="25" t="str">
        <f t="shared" si="36"/>
        <v/>
      </c>
      <c r="M2284" s="25"/>
      <c r="O2284" s="25"/>
    </row>
    <row r="2285" ht="15.75" customHeight="1">
      <c r="A2285" s="25" t="str">
        <f>IFERROR(__xludf.DUMMYFUNCTION("IF(B2285="""","""",RIGHT(REGEXREPLACE(B2285&amp;"""",""[^0-9]"",""""),9))"),"773919250")</f>
        <v>773919250</v>
      </c>
      <c r="B2285" s="52">
        <v>7.7391925E8</v>
      </c>
      <c r="C2285" s="28" t="s">
        <v>2479</v>
      </c>
      <c r="D2285" s="26" t="s">
        <v>64</v>
      </c>
      <c r="E2285" s="31">
        <v>46229.0</v>
      </c>
      <c r="F2285" s="26" t="s">
        <v>41</v>
      </c>
      <c r="G2285" s="26">
        <v>11.0</v>
      </c>
      <c r="I2285" s="26" t="s">
        <v>42</v>
      </c>
      <c r="J2285" s="25" t="str">
        <f t="shared" si="34"/>
        <v>No</v>
      </c>
      <c r="K2285" s="25" t="str">
        <f t="shared" si="35"/>
        <v/>
      </c>
      <c r="L2285" s="25" t="str">
        <f t="shared" si="36"/>
        <v/>
      </c>
      <c r="M2285" s="25"/>
      <c r="O2285" s="25"/>
    </row>
    <row r="2286" ht="15.75" customHeight="1">
      <c r="A2286" s="25" t="str">
        <f>IFERROR(__xludf.DUMMYFUNCTION("IF(B2286="""","""",RIGHT(REGEXREPLACE(B2286&amp;"""",""[^0-9]"",""""),9))"),"727234455")</f>
        <v>727234455</v>
      </c>
      <c r="B2286" s="52">
        <v>7.27234455E8</v>
      </c>
      <c r="C2286" s="28" t="s">
        <v>2480</v>
      </c>
      <c r="D2286" s="26" t="s">
        <v>45</v>
      </c>
      <c r="E2286" s="31">
        <v>46229.0</v>
      </c>
      <c r="F2286" s="26" t="s">
        <v>46</v>
      </c>
      <c r="G2286" s="26">
        <v>11.0</v>
      </c>
      <c r="I2286" s="26" t="s">
        <v>42</v>
      </c>
      <c r="J2286" s="25" t="str">
        <f t="shared" si="34"/>
        <v>No</v>
      </c>
      <c r="K2286" s="25" t="str">
        <f t="shared" si="35"/>
        <v/>
      </c>
      <c r="L2286" s="25" t="str">
        <f t="shared" si="36"/>
        <v/>
      </c>
      <c r="M2286" s="25"/>
      <c r="O2286" s="25"/>
    </row>
    <row r="2287" ht="15.75" customHeight="1">
      <c r="A2287" s="25" t="str">
        <f>IFERROR(__xludf.DUMMYFUNCTION("IF(B2287="""","""",RIGHT(REGEXREPLACE(B2287&amp;"""",""[^0-9]"",""""),9))"),"710650585")</f>
        <v>710650585</v>
      </c>
      <c r="B2287" s="52">
        <v>7.10650585E8</v>
      </c>
      <c r="C2287" s="28" t="s">
        <v>2481</v>
      </c>
      <c r="D2287" s="26" t="s">
        <v>56</v>
      </c>
      <c r="E2287" s="31">
        <v>46229.0</v>
      </c>
      <c r="F2287" s="26" t="s">
        <v>205</v>
      </c>
      <c r="G2287" s="26">
        <v>11.0</v>
      </c>
      <c r="I2287" s="26" t="s">
        <v>42</v>
      </c>
      <c r="J2287" s="25" t="str">
        <f t="shared" si="34"/>
        <v>No</v>
      </c>
      <c r="K2287" s="25" t="str">
        <f t="shared" si="35"/>
        <v/>
      </c>
      <c r="L2287" s="25" t="str">
        <f t="shared" si="36"/>
        <v/>
      </c>
      <c r="M2287" s="25"/>
      <c r="O2287" s="25"/>
    </row>
    <row r="2288" ht="15.75" customHeight="1">
      <c r="A2288" s="25" t="str">
        <f>IFERROR(__xludf.DUMMYFUNCTION("IF(B2288="""","""",RIGHT(REGEXREPLACE(B2288&amp;"""",""[^0-9]"",""""),9))"),"760373561")</f>
        <v>760373561</v>
      </c>
      <c r="B2288" s="52">
        <v>7.60373561E8</v>
      </c>
      <c r="C2288" s="28" t="s">
        <v>2482</v>
      </c>
      <c r="D2288" s="26" t="s">
        <v>49</v>
      </c>
      <c r="E2288" s="31">
        <v>46229.0</v>
      </c>
      <c r="F2288" s="26" t="s">
        <v>41</v>
      </c>
      <c r="G2288" s="26">
        <v>11.0</v>
      </c>
      <c r="I2288" s="26" t="s">
        <v>42</v>
      </c>
      <c r="J2288" s="25" t="str">
        <f t="shared" si="34"/>
        <v>No</v>
      </c>
      <c r="K2288" s="25" t="str">
        <f t="shared" si="35"/>
        <v/>
      </c>
      <c r="L2288" s="25" t="str">
        <f t="shared" si="36"/>
        <v/>
      </c>
      <c r="M2288" s="25"/>
      <c r="O2288" s="25"/>
    </row>
    <row r="2289" ht="15.75" customHeight="1">
      <c r="A2289" s="25" t="str">
        <f>IFERROR(__xludf.DUMMYFUNCTION("IF(B2289="""","""",RIGHT(REGEXREPLACE(B2289&amp;"""",""[^0-9]"",""""),9))"),"716680905")</f>
        <v>716680905</v>
      </c>
      <c r="B2289" s="52">
        <v>7.16680905E8</v>
      </c>
      <c r="C2289" s="28" t="s">
        <v>2483</v>
      </c>
      <c r="D2289" s="26" t="s">
        <v>64</v>
      </c>
      <c r="E2289" s="31">
        <v>46229.0</v>
      </c>
      <c r="F2289" s="26" t="s">
        <v>46</v>
      </c>
      <c r="G2289" s="26">
        <v>10.0</v>
      </c>
      <c r="I2289" s="26" t="s">
        <v>42</v>
      </c>
      <c r="J2289" s="25" t="str">
        <f t="shared" si="34"/>
        <v>No</v>
      </c>
      <c r="K2289" s="25" t="str">
        <f t="shared" si="35"/>
        <v/>
      </c>
      <c r="L2289" s="25" t="str">
        <f t="shared" si="36"/>
        <v/>
      </c>
      <c r="M2289" s="25"/>
      <c r="O2289" s="25"/>
    </row>
    <row r="2290" ht="15.75" customHeight="1">
      <c r="A2290" s="25" t="str">
        <f>IFERROR(__xludf.DUMMYFUNCTION("IF(B2290="""","""",RIGHT(REGEXREPLACE(B2290&amp;"""",""[^0-9]"",""""),9))"),"742624280")</f>
        <v>742624280</v>
      </c>
      <c r="B2290" s="52">
        <v>7.4262428E8</v>
      </c>
      <c r="C2290" s="28" t="s">
        <v>2484</v>
      </c>
      <c r="D2290" s="26" t="s">
        <v>45</v>
      </c>
      <c r="E2290" s="31">
        <v>46229.0</v>
      </c>
      <c r="F2290" s="26" t="s">
        <v>46</v>
      </c>
      <c r="G2290" s="26">
        <v>11.0</v>
      </c>
      <c r="I2290" s="26" t="s">
        <v>42</v>
      </c>
      <c r="J2290" s="25" t="str">
        <f t="shared" si="34"/>
        <v>No</v>
      </c>
      <c r="K2290" s="25" t="str">
        <f t="shared" si="35"/>
        <v/>
      </c>
      <c r="L2290" s="25" t="str">
        <f t="shared" si="36"/>
        <v/>
      </c>
      <c r="M2290" s="25"/>
      <c r="O2290" s="25"/>
    </row>
    <row r="2291" ht="15.75" customHeight="1">
      <c r="A2291" s="25" t="str">
        <f>IFERROR(__xludf.DUMMYFUNCTION("IF(B2291="""","""",RIGHT(REGEXREPLACE(B2291&amp;"""",""[^0-9]"",""""),9))"),"711723248")</f>
        <v>711723248</v>
      </c>
      <c r="B2291" s="52">
        <v>7.11723248E8</v>
      </c>
      <c r="C2291" s="28" t="s">
        <v>2485</v>
      </c>
      <c r="D2291" s="26" t="s">
        <v>56</v>
      </c>
      <c r="E2291" s="31">
        <v>46229.0</v>
      </c>
      <c r="F2291" s="26" t="s">
        <v>41</v>
      </c>
      <c r="G2291" s="26">
        <v>11.0</v>
      </c>
      <c r="I2291" s="26" t="s">
        <v>42</v>
      </c>
      <c r="J2291" s="25" t="str">
        <f t="shared" si="34"/>
        <v>No</v>
      </c>
      <c r="K2291" s="25" t="str">
        <f t="shared" si="35"/>
        <v/>
      </c>
      <c r="L2291" s="25" t="str">
        <f t="shared" si="36"/>
        <v/>
      </c>
      <c r="M2291" s="25"/>
      <c r="O2291" s="25"/>
    </row>
    <row r="2292" ht="15.75" customHeight="1">
      <c r="A2292" s="25" t="str">
        <f>IFERROR(__xludf.DUMMYFUNCTION("IF(B2292="""","""",RIGHT(REGEXREPLACE(B2292&amp;"""",""[^0-9]"",""""),9))"),"770365980")</f>
        <v>770365980</v>
      </c>
      <c r="B2292" s="52">
        <v>7.7036598E8</v>
      </c>
      <c r="C2292" s="28" t="s">
        <v>2486</v>
      </c>
      <c r="D2292" s="26" t="s">
        <v>64</v>
      </c>
      <c r="E2292" s="31">
        <v>46229.0</v>
      </c>
      <c r="F2292" s="26" t="s">
        <v>46</v>
      </c>
      <c r="G2292" s="26">
        <v>11.0</v>
      </c>
      <c r="I2292" s="26" t="s">
        <v>42</v>
      </c>
      <c r="J2292" s="25" t="str">
        <f t="shared" si="34"/>
        <v>No</v>
      </c>
      <c r="K2292" s="25" t="str">
        <f t="shared" si="35"/>
        <v/>
      </c>
      <c r="L2292" s="25" t="str">
        <f t="shared" si="36"/>
        <v/>
      </c>
      <c r="M2292" s="25"/>
      <c r="O2292" s="25"/>
    </row>
    <row r="2293" ht="15.75" customHeight="1">
      <c r="A2293" s="25" t="str">
        <f>IFERROR(__xludf.DUMMYFUNCTION("IF(B2293="""","""",RIGHT(REGEXREPLACE(B2293&amp;"""",""[^0-9]"",""""),9))"),"767475188")</f>
        <v>767475188</v>
      </c>
      <c r="B2293" s="52">
        <v>7.67475188E8</v>
      </c>
      <c r="C2293" s="28" t="s">
        <v>2487</v>
      </c>
      <c r="D2293" s="26" t="s">
        <v>49</v>
      </c>
      <c r="E2293" s="31">
        <v>46229.0</v>
      </c>
      <c r="F2293" s="26" t="s">
        <v>46</v>
      </c>
      <c r="G2293" s="26">
        <v>11.0</v>
      </c>
      <c r="I2293" s="26" t="s">
        <v>42</v>
      </c>
      <c r="J2293" s="25" t="str">
        <f t="shared" si="34"/>
        <v>No</v>
      </c>
      <c r="K2293" s="25" t="str">
        <f t="shared" si="35"/>
        <v/>
      </c>
      <c r="L2293" s="25" t="str">
        <f t="shared" si="36"/>
        <v/>
      </c>
      <c r="M2293" s="25"/>
      <c r="O2293" s="25"/>
    </row>
    <row r="2294" ht="15.75" customHeight="1">
      <c r="A2294" s="25" t="str">
        <f>IFERROR(__xludf.DUMMYFUNCTION("IF(B2294="""","""",RIGHT(REGEXREPLACE(B2294&amp;"""",""[^0-9]"",""""),9))"),"707083903")</f>
        <v>707083903</v>
      </c>
      <c r="B2294" s="26">
        <v>7.07083903E8</v>
      </c>
      <c r="C2294" s="28" t="s">
        <v>2488</v>
      </c>
      <c r="D2294" s="26" t="s">
        <v>37</v>
      </c>
      <c r="E2294" s="31">
        <v>46229.0</v>
      </c>
      <c r="F2294" s="26" t="s">
        <v>205</v>
      </c>
      <c r="G2294" s="26">
        <v>11.0</v>
      </c>
      <c r="I2294" s="26" t="s">
        <v>42</v>
      </c>
      <c r="J2294" s="25" t="str">
        <f t="shared" si="34"/>
        <v>No</v>
      </c>
      <c r="K2294" s="25" t="str">
        <f t="shared" si="35"/>
        <v/>
      </c>
      <c r="L2294" s="25" t="str">
        <f t="shared" si="36"/>
        <v/>
      </c>
      <c r="M2294" s="25"/>
      <c r="O2294" s="25"/>
    </row>
    <row r="2295" ht="15.75" customHeight="1">
      <c r="A2295" s="25" t="str">
        <f>IFERROR(__xludf.DUMMYFUNCTION("IF(B2295="""","""",RIGHT(REGEXREPLACE(B2295&amp;"""",""[^0-9]"",""""),9))"),"750135122")</f>
        <v>750135122</v>
      </c>
      <c r="B2295" s="52">
        <v>7.50135122E8</v>
      </c>
      <c r="C2295" s="28" t="s">
        <v>2489</v>
      </c>
      <c r="D2295" s="26" t="s">
        <v>56</v>
      </c>
      <c r="E2295" s="31">
        <v>46229.0</v>
      </c>
      <c r="F2295" s="26" t="s">
        <v>46</v>
      </c>
      <c r="G2295" s="26">
        <v>11.0</v>
      </c>
      <c r="I2295" s="26" t="s">
        <v>42</v>
      </c>
      <c r="J2295" s="25" t="str">
        <f t="shared" si="34"/>
        <v>No</v>
      </c>
      <c r="K2295" s="25" t="str">
        <f t="shared" si="35"/>
        <v/>
      </c>
      <c r="L2295" s="25" t="str">
        <f t="shared" si="36"/>
        <v/>
      </c>
      <c r="M2295" s="25"/>
      <c r="O2295" s="25"/>
    </row>
    <row r="2296" ht="15.75" customHeight="1">
      <c r="A2296" s="25" t="str">
        <f>IFERROR(__xludf.DUMMYFUNCTION("IF(B2296="""","""",RIGHT(REGEXREPLACE(B2296&amp;"""",""[^0-9]"",""""),9))"),"773108693")</f>
        <v>773108693</v>
      </c>
      <c r="B2296" s="52">
        <v>7.73108693E8</v>
      </c>
      <c r="C2296" s="28" t="s">
        <v>2490</v>
      </c>
      <c r="D2296" s="26" t="s">
        <v>45</v>
      </c>
      <c r="E2296" s="31">
        <v>46229.0</v>
      </c>
      <c r="F2296" s="26" t="s">
        <v>46</v>
      </c>
      <c r="G2296" s="26">
        <v>11.0</v>
      </c>
      <c r="I2296" s="26" t="s">
        <v>42</v>
      </c>
      <c r="J2296" s="25" t="str">
        <f t="shared" si="34"/>
        <v>No</v>
      </c>
      <c r="K2296" s="25" t="str">
        <f t="shared" si="35"/>
        <v/>
      </c>
      <c r="L2296" s="25" t="str">
        <f t="shared" si="36"/>
        <v/>
      </c>
      <c r="M2296" s="25"/>
      <c r="O2296" s="25"/>
    </row>
    <row r="2297" ht="15.75" customHeight="1">
      <c r="A2297" s="25" t="str">
        <f>IFERROR(__xludf.DUMMYFUNCTION("IF(B2297="""","""",RIGHT(REGEXREPLACE(B2297&amp;"""",""[^0-9]"",""""),9))"),"763686044")</f>
        <v>763686044</v>
      </c>
      <c r="B2297" s="52">
        <v>7.63686044E8</v>
      </c>
      <c r="C2297" s="28" t="s">
        <v>2491</v>
      </c>
      <c r="D2297" s="26" t="s">
        <v>49</v>
      </c>
      <c r="E2297" s="31">
        <v>46229.0</v>
      </c>
      <c r="F2297" s="26" t="s">
        <v>46</v>
      </c>
      <c r="G2297" s="26">
        <v>11.0</v>
      </c>
      <c r="I2297" s="26" t="s">
        <v>42</v>
      </c>
      <c r="J2297" s="25" t="str">
        <f t="shared" si="34"/>
        <v>No</v>
      </c>
      <c r="K2297" s="25" t="str">
        <f t="shared" si="35"/>
        <v/>
      </c>
      <c r="L2297" s="25" t="str">
        <f t="shared" si="36"/>
        <v/>
      </c>
      <c r="M2297" s="25"/>
      <c r="O2297" s="25"/>
    </row>
    <row r="2298" ht="15.75" customHeight="1">
      <c r="A2298" s="25" t="str">
        <f>IFERROR(__xludf.DUMMYFUNCTION("IF(B2298="""","""",RIGHT(REGEXREPLACE(B2298&amp;"""",""[^0-9]"",""""),9))"),"773307382")</f>
        <v>773307382</v>
      </c>
      <c r="B2298" s="26">
        <v>7.73307382E8</v>
      </c>
      <c r="C2298" s="28" t="s">
        <v>2492</v>
      </c>
      <c r="D2298" s="26" t="s">
        <v>37</v>
      </c>
      <c r="E2298" s="31">
        <v>46229.0</v>
      </c>
      <c r="F2298" s="26" t="s">
        <v>46</v>
      </c>
      <c r="I2298" s="26" t="s">
        <v>42</v>
      </c>
      <c r="J2298" s="25" t="str">
        <f t="shared" si="34"/>
        <v>No</v>
      </c>
      <c r="K2298" s="25" t="str">
        <f t="shared" si="35"/>
        <v/>
      </c>
      <c r="L2298" s="25" t="str">
        <f t="shared" si="36"/>
        <v/>
      </c>
      <c r="M2298" s="25"/>
      <c r="O2298" s="25"/>
    </row>
    <row r="2299" ht="15.75" customHeight="1">
      <c r="A2299" s="25" t="str">
        <f>IFERROR(__xludf.DUMMYFUNCTION("IF(B2299="""","""",RIGHT(REGEXREPLACE(B2299&amp;"""",""[^0-9]"",""""),9))"),"742372851")</f>
        <v>742372851</v>
      </c>
      <c r="B2299" s="52">
        <v>7.42372851E8</v>
      </c>
      <c r="C2299" s="28" t="s">
        <v>2493</v>
      </c>
      <c r="D2299" s="26" t="s">
        <v>64</v>
      </c>
      <c r="E2299" s="31">
        <v>46229.0</v>
      </c>
      <c r="F2299" s="26" t="s">
        <v>46</v>
      </c>
      <c r="G2299" s="26">
        <v>11.0</v>
      </c>
      <c r="I2299" s="26" t="s">
        <v>42</v>
      </c>
      <c r="J2299" s="25" t="str">
        <f t="shared" si="34"/>
        <v>No</v>
      </c>
      <c r="K2299" s="25" t="str">
        <f t="shared" si="35"/>
        <v/>
      </c>
      <c r="L2299" s="25" t="str">
        <f t="shared" si="36"/>
        <v/>
      </c>
      <c r="M2299" s="25"/>
      <c r="O2299" s="25"/>
    </row>
    <row r="2300" ht="15.75" customHeight="1">
      <c r="A2300" s="25" t="str">
        <f>IFERROR(__xludf.DUMMYFUNCTION("IF(B2300="""","""",RIGHT(REGEXREPLACE(B2300&amp;"""",""[^0-9]"",""""),9))"),"761848135")</f>
        <v>761848135</v>
      </c>
      <c r="B2300" s="26">
        <v>7.61848135E8</v>
      </c>
      <c r="C2300" s="28" t="s">
        <v>2494</v>
      </c>
      <c r="D2300" s="26" t="s">
        <v>37</v>
      </c>
      <c r="E2300" s="31">
        <v>46229.0</v>
      </c>
      <c r="F2300" s="26" t="s">
        <v>164</v>
      </c>
      <c r="I2300" s="26" t="s">
        <v>42</v>
      </c>
      <c r="J2300" s="25" t="str">
        <f t="shared" si="34"/>
        <v>No</v>
      </c>
      <c r="K2300" s="25" t="str">
        <f t="shared" si="35"/>
        <v/>
      </c>
      <c r="L2300" s="25" t="str">
        <f t="shared" si="36"/>
        <v/>
      </c>
      <c r="M2300" s="25"/>
      <c r="O2300" s="25"/>
    </row>
    <row r="2301" ht="15.75" customHeight="1">
      <c r="A2301" s="25" t="str">
        <f>IFERROR(__xludf.DUMMYFUNCTION("IF(B2301="""","""",RIGHT(REGEXREPLACE(B2301&amp;"""",""[^0-9]"",""""),9))"),"742751373")</f>
        <v>742751373</v>
      </c>
      <c r="B2301" s="52">
        <v>7.42751373E8</v>
      </c>
      <c r="C2301" s="28" t="s">
        <v>2495</v>
      </c>
      <c r="D2301" s="26" t="s">
        <v>45</v>
      </c>
      <c r="E2301" s="31">
        <v>46229.0</v>
      </c>
      <c r="F2301" s="26" t="s">
        <v>46</v>
      </c>
      <c r="G2301" s="26">
        <v>11.0</v>
      </c>
      <c r="I2301" s="26" t="s">
        <v>42</v>
      </c>
      <c r="J2301" s="25" t="str">
        <f t="shared" si="34"/>
        <v>No</v>
      </c>
      <c r="K2301" s="25" t="str">
        <f t="shared" si="35"/>
        <v/>
      </c>
      <c r="L2301" s="25" t="str">
        <f t="shared" si="36"/>
        <v/>
      </c>
      <c r="M2301" s="25"/>
      <c r="O2301" s="25"/>
    </row>
    <row r="2302" ht="15.75" customHeight="1">
      <c r="A2302" s="25" t="str">
        <f>IFERROR(__xludf.DUMMYFUNCTION("IF(B2302="""","""",RIGHT(REGEXREPLACE(B2302&amp;"""",""[^0-9]"",""""),9))"),"770129114")</f>
        <v>770129114</v>
      </c>
      <c r="B2302" s="26">
        <v>7.70129114E8</v>
      </c>
      <c r="C2302" s="28" t="s">
        <v>2496</v>
      </c>
      <c r="D2302" s="26" t="s">
        <v>37</v>
      </c>
      <c r="E2302" s="31">
        <v>46229.0</v>
      </c>
      <c r="F2302" s="26" t="s">
        <v>46</v>
      </c>
      <c r="I2302" s="26" t="s">
        <v>42</v>
      </c>
      <c r="J2302" s="25" t="str">
        <f t="shared" si="34"/>
        <v>No</v>
      </c>
      <c r="K2302" s="25" t="str">
        <f t="shared" si="35"/>
        <v/>
      </c>
      <c r="L2302" s="25" t="str">
        <f t="shared" si="36"/>
        <v/>
      </c>
      <c r="M2302" s="25"/>
      <c r="O2302" s="25"/>
    </row>
    <row r="2303" ht="15.75" customHeight="1">
      <c r="A2303" s="25" t="str">
        <f>IFERROR(__xludf.DUMMYFUNCTION("IF(B2303="""","""",RIGHT(REGEXREPLACE(B2303&amp;"""",""[^0-9]"",""""),9))"),"763587157")</f>
        <v>763587157</v>
      </c>
      <c r="B2303" s="52">
        <v>7.63587157E8</v>
      </c>
      <c r="C2303" s="28" t="s">
        <v>2497</v>
      </c>
      <c r="D2303" s="26" t="s">
        <v>56</v>
      </c>
      <c r="E2303" s="31">
        <v>46229.0</v>
      </c>
      <c r="F2303" s="26" t="s">
        <v>41</v>
      </c>
      <c r="G2303" s="26">
        <v>11.0</v>
      </c>
      <c r="I2303" s="26" t="s">
        <v>42</v>
      </c>
      <c r="J2303" s="25" t="str">
        <f t="shared" si="34"/>
        <v>No</v>
      </c>
      <c r="K2303" s="25" t="str">
        <f t="shared" si="35"/>
        <v/>
      </c>
      <c r="L2303" s="25" t="str">
        <f t="shared" si="36"/>
        <v/>
      </c>
      <c r="M2303" s="25"/>
      <c r="O2303" s="25"/>
    </row>
    <row r="2304" ht="15.75" customHeight="1">
      <c r="A2304" s="25" t="str">
        <f>IFERROR(__xludf.DUMMYFUNCTION("IF(B2304="""","""",RIGHT(REGEXREPLACE(B2304&amp;"""",""[^0-9]"",""""),9))"),"702488989")</f>
        <v>702488989</v>
      </c>
      <c r="B2304" s="26">
        <v>7.02488989E8</v>
      </c>
      <c r="C2304" s="28" t="s">
        <v>2498</v>
      </c>
      <c r="D2304" s="26" t="s">
        <v>37</v>
      </c>
      <c r="E2304" s="31">
        <v>46229.0</v>
      </c>
      <c r="F2304" s="26" t="s">
        <v>41</v>
      </c>
      <c r="I2304" s="26" t="s">
        <v>42</v>
      </c>
      <c r="J2304" s="25" t="str">
        <f t="shared" si="34"/>
        <v>No</v>
      </c>
      <c r="K2304" s="25" t="str">
        <f t="shared" si="35"/>
        <v/>
      </c>
      <c r="L2304" s="25" t="str">
        <f t="shared" si="36"/>
        <v/>
      </c>
      <c r="M2304" s="25"/>
      <c r="O2304" s="25"/>
    </row>
    <row r="2305" ht="15.75" customHeight="1">
      <c r="A2305" s="25" t="str">
        <f>IFERROR(__xludf.DUMMYFUNCTION("IF(B2305="""","""",RIGHT(REGEXREPLACE(B2305&amp;"""",""[^0-9]"",""""),9))"),"779830770")</f>
        <v>779830770</v>
      </c>
      <c r="B2305" s="52">
        <v>7.7983077E8</v>
      </c>
      <c r="C2305" s="28" t="s">
        <v>2499</v>
      </c>
      <c r="D2305" s="26" t="s">
        <v>49</v>
      </c>
      <c r="E2305" s="31">
        <v>46229.0</v>
      </c>
      <c r="F2305" s="26" t="s">
        <v>41</v>
      </c>
      <c r="G2305" s="26">
        <v>11.0</v>
      </c>
      <c r="I2305" s="26" t="s">
        <v>42</v>
      </c>
      <c r="J2305" s="25" t="str">
        <f t="shared" si="34"/>
        <v>No</v>
      </c>
      <c r="K2305" s="25" t="str">
        <f t="shared" si="35"/>
        <v/>
      </c>
      <c r="L2305" s="25" t="str">
        <f t="shared" si="36"/>
        <v/>
      </c>
      <c r="M2305" s="25"/>
      <c r="O2305" s="25"/>
    </row>
    <row r="2306" ht="15.75" customHeight="1">
      <c r="A2306" s="25" t="str">
        <f>IFERROR(__xludf.DUMMYFUNCTION("IF(B2306="""","""",RIGHT(REGEXREPLACE(B2306&amp;"""",""[^0-9]"",""""),9))"),"767075337")</f>
        <v>767075337</v>
      </c>
      <c r="B2306" s="52">
        <v>7.67075337E8</v>
      </c>
      <c r="C2306" s="28" t="s">
        <v>2499</v>
      </c>
      <c r="D2306" s="26" t="s">
        <v>45</v>
      </c>
      <c r="E2306" s="31">
        <v>46229.0</v>
      </c>
      <c r="F2306" s="26" t="s">
        <v>41</v>
      </c>
      <c r="G2306" s="26">
        <v>11.0</v>
      </c>
      <c r="I2306" s="26" t="s">
        <v>42</v>
      </c>
      <c r="J2306" s="25" t="str">
        <f t="shared" si="34"/>
        <v>No</v>
      </c>
      <c r="K2306" s="25" t="str">
        <f t="shared" si="35"/>
        <v/>
      </c>
      <c r="L2306" s="25" t="str">
        <f t="shared" si="36"/>
        <v/>
      </c>
      <c r="M2306" s="25"/>
      <c r="O2306" s="25"/>
    </row>
    <row r="2307" ht="15.75" customHeight="1">
      <c r="A2307" s="25" t="str">
        <f>IFERROR(__xludf.DUMMYFUNCTION("IF(B2307="""","""",RIGHT(REGEXREPLACE(B2307&amp;"""",""[^0-9]"",""""),9))"),"741015212")</f>
        <v>741015212</v>
      </c>
      <c r="B2307" s="26">
        <v>7.41015212E8</v>
      </c>
      <c r="C2307" s="28" t="s">
        <v>2500</v>
      </c>
      <c r="D2307" s="26" t="s">
        <v>37</v>
      </c>
      <c r="E2307" s="31">
        <v>46229.0</v>
      </c>
      <c r="F2307" s="26" t="s">
        <v>41</v>
      </c>
      <c r="G2307" s="26">
        <v>11.0</v>
      </c>
      <c r="I2307" s="26" t="s">
        <v>42</v>
      </c>
      <c r="J2307" s="25" t="str">
        <f t="shared" si="34"/>
        <v>No</v>
      </c>
      <c r="K2307" s="25" t="str">
        <f t="shared" si="35"/>
        <v/>
      </c>
      <c r="L2307" s="25" t="str">
        <f t="shared" si="36"/>
        <v/>
      </c>
      <c r="M2307" s="25"/>
      <c r="O2307" s="25"/>
    </row>
    <row r="2308" ht="15.75" customHeight="1">
      <c r="A2308" s="25" t="str">
        <f>IFERROR(__xludf.DUMMYFUNCTION("IF(B2308="""","""",RIGHT(REGEXREPLACE(B2308&amp;"""",""[^0-9]"",""""),9))"),"717742855")</f>
        <v>717742855</v>
      </c>
      <c r="B2308" s="52">
        <v>7.17742855E8</v>
      </c>
      <c r="C2308" s="28" t="s">
        <v>2501</v>
      </c>
      <c r="D2308" s="26" t="s">
        <v>64</v>
      </c>
      <c r="E2308" s="31">
        <v>46229.0</v>
      </c>
      <c r="F2308" s="26" t="s">
        <v>46</v>
      </c>
      <c r="G2308" s="26">
        <v>11.0</v>
      </c>
      <c r="I2308" s="26" t="s">
        <v>42</v>
      </c>
      <c r="J2308" s="25" t="str">
        <f t="shared" si="34"/>
        <v>No</v>
      </c>
      <c r="K2308" s="25" t="str">
        <f t="shared" si="35"/>
        <v/>
      </c>
      <c r="L2308" s="25" t="str">
        <f t="shared" si="36"/>
        <v/>
      </c>
      <c r="M2308" s="25"/>
      <c r="O2308" s="25"/>
    </row>
    <row r="2309" ht="15.75" customHeight="1">
      <c r="A2309" s="25" t="str">
        <f>IFERROR(__xludf.DUMMYFUNCTION("IF(B2309="""","""",RIGHT(REGEXREPLACE(B2309&amp;"""",""[^0-9]"",""""),9))"),"714197341")</f>
        <v>714197341</v>
      </c>
      <c r="B2309" s="52">
        <v>7.14197341E8</v>
      </c>
      <c r="C2309" s="28" t="s">
        <v>2502</v>
      </c>
      <c r="D2309" s="26" t="s">
        <v>49</v>
      </c>
      <c r="E2309" s="31">
        <v>46229.0</v>
      </c>
      <c r="F2309" s="26" t="s">
        <v>46</v>
      </c>
      <c r="G2309" s="26">
        <v>11.0</v>
      </c>
      <c r="I2309" s="26" t="s">
        <v>42</v>
      </c>
      <c r="J2309" s="25" t="str">
        <f t="shared" si="34"/>
        <v>No</v>
      </c>
      <c r="K2309" s="25" t="str">
        <f t="shared" si="35"/>
        <v/>
      </c>
      <c r="L2309" s="25" t="str">
        <f t="shared" si="36"/>
        <v/>
      </c>
      <c r="M2309" s="25"/>
      <c r="O2309" s="25"/>
    </row>
    <row r="2310" ht="15.75" customHeight="1">
      <c r="A2310" s="25" t="str">
        <f>IFERROR(__xludf.DUMMYFUNCTION("IF(B2310="""","""",RIGHT(REGEXREPLACE(B2310&amp;"""",""[^0-9]"",""""),9))"),"773476202")</f>
        <v>773476202</v>
      </c>
      <c r="B2310" s="52">
        <v>7.73476202E8</v>
      </c>
      <c r="C2310" s="28" t="s">
        <v>2503</v>
      </c>
      <c r="D2310" s="26" t="s">
        <v>56</v>
      </c>
      <c r="E2310" s="31">
        <v>46229.0</v>
      </c>
      <c r="F2310" s="26" t="s">
        <v>659</v>
      </c>
      <c r="G2310" s="26">
        <v>11.0</v>
      </c>
      <c r="I2310" s="26" t="s">
        <v>42</v>
      </c>
      <c r="J2310" s="25" t="str">
        <f t="shared" si="34"/>
        <v>No</v>
      </c>
      <c r="K2310" s="25" t="str">
        <f t="shared" si="35"/>
        <v/>
      </c>
      <c r="L2310" s="25" t="str">
        <f t="shared" si="36"/>
        <v/>
      </c>
      <c r="M2310" s="25"/>
      <c r="O2310" s="25"/>
    </row>
    <row r="2311" ht="15.75" customHeight="1">
      <c r="A2311" s="25" t="str">
        <f>IFERROR(__xludf.DUMMYFUNCTION("IF(B2311="""","""",RIGHT(REGEXREPLACE(B2311&amp;"""",""[^0-9]"",""""),9))"),"754307543")</f>
        <v>754307543</v>
      </c>
      <c r="B2311" s="52">
        <v>7.54307543E8</v>
      </c>
      <c r="C2311" s="28" t="s">
        <v>2504</v>
      </c>
      <c r="D2311" s="26" t="s">
        <v>64</v>
      </c>
      <c r="E2311" s="31">
        <v>46229.0</v>
      </c>
      <c r="F2311" s="26" t="s">
        <v>205</v>
      </c>
      <c r="G2311" s="26">
        <v>11.0</v>
      </c>
      <c r="I2311" s="26" t="s">
        <v>42</v>
      </c>
      <c r="J2311" s="25" t="str">
        <f t="shared" si="34"/>
        <v>No</v>
      </c>
      <c r="K2311" s="25" t="str">
        <f t="shared" si="35"/>
        <v/>
      </c>
      <c r="L2311" s="25" t="str">
        <f t="shared" si="36"/>
        <v/>
      </c>
      <c r="M2311" s="25"/>
      <c r="O2311" s="25"/>
    </row>
    <row r="2312" ht="15.75" customHeight="1">
      <c r="A2312" s="25" t="str">
        <f>IFERROR(__xludf.DUMMYFUNCTION("IF(B2312="""","""",RIGHT(REGEXREPLACE(B2312&amp;"""",""[^0-9]"",""""),9))"),"762799789")</f>
        <v>762799789</v>
      </c>
      <c r="B2312" s="52">
        <v>7.62799789E8</v>
      </c>
      <c r="C2312" s="28" t="s">
        <v>2505</v>
      </c>
      <c r="D2312" s="26" t="s">
        <v>56</v>
      </c>
      <c r="E2312" s="31">
        <v>46229.0</v>
      </c>
      <c r="F2312" s="26" t="s">
        <v>46</v>
      </c>
      <c r="G2312" s="26">
        <v>11.0</v>
      </c>
      <c r="I2312" s="26" t="s">
        <v>42</v>
      </c>
      <c r="J2312" s="25" t="str">
        <f t="shared" si="34"/>
        <v>No</v>
      </c>
      <c r="K2312" s="25" t="str">
        <f t="shared" si="35"/>
        <v/>
      </c>
      <c r="L2312" s="25" t="str">
        <f t="shared" si="36"/>
        <v/>
      </c>
      <c r="M2312" s="25"/>
      <c r="O2312" s="25"/>
    </row>
    <row r="2313" ht="15.75" customHeight="1">
      <c r="A2313" s="25" t="str">
        <f>IFERROR(__xludf.DUMMYFUNCTION("IF(B2313="""","""",RIGHT(REGEXREPLACE(B2313&amp;"""",""[^0-9]"",""""),9))"),"778390657")</f>
        <v>778390657</v>
      </c>
      <c r="B2313" s="52">
        <v>7.78390657E8</v>
      </c>
      <c r="C2313" s="28" t="s">
        <v>2506</v>
      </c>
      <c r="D2313" s="26" t="s">
        <v>49</v>
      </c>
      <c r="E2313" s="31">
        <v>46229.0</v>
      </c>
      <c r="F2313" s="26" t="s">
        <v>46</v>
      </c>
      <c r="G2313" s="26" t="s">
        <v>1102</v>
      </c>
      <c r="I2313" s="26" t="s">
        <v>42</v>
      </c>
      <c r="J2313" s="25" t="str">
        <f t="shared" si="34"/>
        <v>No</v>
      </c>
      <c r="K2313" s="25" t="str">
        <f t="shared" si="35"/>
        <v/>
      </c>
      <c r="L2313" s="25" t="str">
        <f t="shared" si="36"/>
        <v/>
      </c>
      <c r="M2313" s="25"/>
      <c r="O2313" s="25"/>
    </row>
    <row r="2314" ht="15.75" customHeight="1">
      <c r="A2314" s="25" t="str">
        <f>IFERROR(__xludf.DUMMYFUNCTION("IF(B2314="""","""",RIGHT(REGEXREPLACE(B2314&amp;"""",""[^0-9]"",""""),9))"),"764887614")</f>
        <v>764887614</v>
      </c>
      <c r="B2314" s="52">
        <v>7.64887614E8</v>
      </c>
      <c r="C2314" s="28" t="s">
        <v>2507</v>
      </c>
      <c r="D2314" s="26" t="s">
        <v>64</v>
      </c>
      <c r="E2314" s="31">
        <v>46229.0</v>
      </c>
      <c r="F2314" s="26" t="s">
        <v>46</v>
      </c>
      <c r="G2314" s="26">
        <v>10.0</v>
      </c>
      <c r="I2314" s="26" t="s">
        <v>42</v>
      </c>
      <c r="J2314" s="25" t="str">
        <f t="shared" si="34"/>
        <v>No</v>
      </c>
      <c r="K2314" s="25" t="str">
        <f t="shared" si="35"/>
        <v/>
      </c>
      <c r="L2314" s="25" t="str">
        <f t="shared" si="36"/>
        <v/>
      </c>
      <c r="M2314" s="25"/>
      <c r="O2314" s="25"/>
    </row>
    <row r="2315" ht="15.75" customHeight="1">
      <c r="A2315" s="25" t="str">
        <f>IFERROR(__xludf.DUMMYFUNCTION("IF(B2315="""","""",RIGHT(REGEXREPLACE(B2315&amp;"""",""[^0-9]"",""""),9))"),"768722616")</f>
        <v>768722616</v>
      </c>
      <c r="B2315" s="52">
        <v>7.68722616E8</v>
      </c>
      <c r="C2315" s="28" t="s">
        <v>2508</v>
      </c>
      <c r="D2315" s="26" t="s">
        <v>64</v>
      </c>
      <c r="E2315" s="31">
        <v>46229.0</v>
      </c>
      <c r="F2315" s="26" t="s">
        <v>46</v>
      </c>
      <c r="G2315" s="26">
        <v>11.0</v>
      </c>
      <c r="I2315" s="26" t="s">
        <v>42</v>
      </c>
      <c r="J2315" s="25" t="str">
        <f t="shared" si="34"/>
        <v>No</v>
      </c>
      <c r="K2315" s="25" t="str">
        <f t="shared" si="35"/>
        <v/>
      </c>
      <c r="L2315" s="25" t="str">
        <f t="shared" si="36"/>
        <v/>
      </c>
      <c r="M2315" s="25"/>
      <c r="O2315" s="25"/>
    </row>
    <row r="2316" ht="15.75" customHeight="1">
      <c r="A2316" s="25" t="str">
        <f>IFERROR(__xludf.DUMMYFUNCTION("IF(B2316="""","""",RIGHT(REGEXREPLACE(B2316&amp;"""",""[^0-9]"",""""),9))"),"781947051")</f>
        <v>781947051</v>
      </c>
      <c r="B2316" s="52">
        <v>7.81947051E8</v>
      </c>
      <c r="C2316" s="28" t="s">
        <v>2509</v>
      </c>
      <c r="D2316" s="26" t="s">
        <v>49</v>
      </c>
      <c r="E2316" s="31">
        <v>46229.0</v>
      </c>
      <c r="F2316" s="26" t="s">
        <v>46</v>
      </c>
      <c r="G2316" s="26">
        <v>10.0</v>
      </c>
      <c r="I2316" s="26" t="s">
        <v>42</v>
      </c>
      <c r="J2316" s="25" t="str">
        <f t="shared" si="34"/>
        <v>No</v>
      </c>
      <c r="K2316" s="25" t="str">
        <f t="shared" si="35"/>
        <v/>
      </c>
      <c r="L2316" s="25" t="str">
        <f t="shared" si="36"/>
        <v/>
      </c>
      <c r="M2316" s="25"/>
      <c r="O2316" s="25"/>
    </row>
    <row r="2317" ht="15.75" customHeight="1">
      <c r="A2317" s="25" t="str">
        <f>IFERROR(__xludf.DUMMYFUNCTION("IF(B2317="""","""",RIGHT(REGEXREPLACE(B2317&amp;"""",""[^0-9]"",""""),9))"),"771954960")</f>
        <v>771954960</v>
      </c>
      <c r="B2317" s="52">
        <v>7.7195496E8</v>
      </c>
      <c r="C2317" s="28" t="s">
        <v>2510</v>
      </c>
      <c r="D2317" s="26" t="s">
        <v>56</v>
      </c>
      <c r="E2317" s="31">
        <v>46229.0</v>
      </c>
      <c r="F2317" s="26" t="s">
        <v>631</v>
      </c>
      <c r="G2317" s="26">
        <v>11.0</v>
      </c>
      <c r="I2317" s="26" t="s">
        <v>42</v>
      </c>
      <c r="J2317" s="25" t="str">
        <f t="shared" si="34"/>
        <v>No</v>
      </c>
      <c r="K2317" s="25" t="str">
        <f t="shared" si="35"/>
        <v/>
      </c>
      <c r="L2317" s="25" t="str">
        <f t="shared" si="36"/>
        <v/>
      </c>
      <c r="M2317" s="25"/>
      <c r="O2317" s="25"/>
    </row>
    <row r="2318" ht="15.75" customHeight="1">
      <c r="A2318" s="25" t="str">
        <f>IFERROR(__xludf.DUMMYFUNCTION("IF(B2318="""","""",RIGHT(REGEXREPLACE(B2318&amp;"""",""[^0-9]"",""""),9))"),"769839001")</f>
        <v>769839001</v>
      </c>
      <c r="B2318" s="52">
        <v>7.69839001E8</v>
      </c>
      <c r="C2318" s="28" t="s">
        <v>2511</v>
      </c>
      <c r="D2318" s="26" t="s">
        <v>64</v>
      </c>
      <c r="E2318" s="31">
        <v>46229.0</v>
      </c>
      <c r="F2318" s="26" t="s">
        <v>46</v>
      </c>
      <c r="G2318" s="26">
        <v>11.0</v>
      </c>
      <c r="I2318" s="26" t="s">
        <v>42</v>
      </c>
      <c r="J2318" s="25" t="str">
        <f t="shared" si="34"/>
        <v>No</v>
      </c>
      <c r="K2318" s="25" t="str">
        <f t="shared" si="35"/>
        <v/>
      </c>
      <c r="L2318" s="25" t="str">
        <f t="shared" si="36"/>
        <v/>
      </c>
      <c r="M2318" s="25"/>
      <c r="O2318" s="25"/>
    </row>
    <row r="2319" ht="15.75" customHeight="1">
      <c r="A2319" s="25" t="str">
        <f>IFERROR(__xludf.DUMMYFUNCTION("IF(B2319="""","""",RIGHT(REGEXREPLACE(B2319&amp;"""",""[^0-9]"",""""),9))"),"769066575")</f>
        <v>769066575</v>
      </c>
      <c r="B2319" s="52">
        <v>7.69066575E8</v>
      </c>
      <c r="C2319" s="28" t="s">
        <v>2512</v>
      </c>
      <c r="D2319" s="26" t="s">
        <v>49</v>
      </c>
      <c r="E2319" s="31">
        <v>46229.0</v>
      </c>
      <c r="F2319" s="26" t="s">
        <v>46</v>
      </c>
      <c r="G2319" s="26">
        <v>11.0</v>
      </c>
      <c r="I2319" s="26" t="s">
        <v>42</v>
      </c>
      <c r="J2319" s="25" t="str">
        <f t="shared" si="34"/>
        <v>No</v>
      </c>
      <c r="K2319" s="25" t="str">
        <f t="shared" si="35"/>
        <v/>
      </c>
      <c r="L2319" s="25" t="str">
        <f t="shared" si="36"/>
        <v/>
      </c>
      <c r="M2319" s="25"/>
      <c r="O2319" s="25"/>
    </row>
    <row r="2320" ht="15.75" customHeight="1">
      <c r="A2320" s="25" t="str">
        <f>IFERROR(__xludf.DUMMYFUNCTION("IF(B2320="""","""",RIGHT(REGEXREPLACE(B2320&amp;"""",""[^0-9]"",""""),9))"),"717292030")</f>
        <v>717292030</v>
      </c>
      <c r="B2320" s="52">
        <v>7.1729203E8</v>
      </c>
      <c r="C2320" s="28" t="s">
        <v>2513</v>
      </c>
      <c r="D2320" s="26" t="s">
        <v>56</v>
      </c>
      <c r="E2320" s="31">
        <v>46229.0</v>
      </c>
      <c r="F2320" s="26" t="s">
        <v>46</v>
      </c>
      <c r="G2320" s="26">
        <v>11.0</v>
      </c>
      <c r="I2320" s="26" t="s">
        <v>42</v>
      </c>
      <c r="J2320" s="25" t="str">
        <f t="shared" si="34"/>
        <v>No</v>
      </c>
      <c r="K2320" s="25" t="str">
        <f t="shared" si="35"/>
        <v/>
      </c>
      <c r="L2320" s="25" t="str">
        <f t="shared" si="36"/>
        <v/>
      </c>
      <c r="M2320" s="25"/>
      <c r="O2320" s="25"/>
    </row>
    <row r="2321" ht="15.75" customHeight="1">
      <c r="A2321" s="25" t="str">
        <f>IFERROR(__xludf.DUMMYFUNCTION("IF(B2321="""","""",RIGHT(REGEXREPLACE(B2321&amp;"""",""[^0-9]"",""""),9))"),"713409402")</f>
        <v>713409402</v>
      </c>
      <c r="B2321" s="26">
        <v>7.13409402E8</v>
      </c>
      <c r="C2321" s="28" t="s">
        <v>2514</v>
      </c>
      <c r="D2321" s="26" t="s">
        <v>37</v>
      </c>
      <c r="E2321" s="31">
        <v>46229.0</v>
      </c>
      <c r="F2321" s="26" t="s">
        <v>46</v>
      </c>
      <c r="G2321" s="26">
        <v>11.0</v>
      </c>
      <c r="I2321" s="26" t="s">
        <v>42</v>
      </c>
      <c r="J2321" s="25" t="str">
        <f t="shared" si="34"/>
        <v>No</v>
      </c>
      <c r="K2321" s="25" t="str">
        <f t="shared" si="35"/>
        <v/>
      </c>
      <c r="L2321" s="25" t="str">
        <f t="shared" si="36"/>
        <v/>
      </c>
      <c r="M2321" s="25"/>
      <c r="O2321" s="25"/>
    </row>
    <row r="2322" ht="15.75" customHeight="1">
      <c r="A2322" s="25" t="str">
        <f>IFERROR(__xludf.DUMMYFUNCTION("IF(B2322="""","""",RIGHT(REGEXREPLACE(B2322&amp;"""",""[^0-9]"",""""),9))"),"778790807")</f>
        <v>778790807</v>
      </c>
      <c r="B2322" s="52">
        <v>7.78790807E8</v>
      </c>
      <c r="C2322" s="28" t="s">
        <v>2515</v>
      </c>
      <c r="D2322" s="26" t="s">
        <v>64</v>
      </c>
      <c r="E2322" s="31">
        <v>46229.0</v>
      </c>
      <c r="F2322" s="26" t="s">
        <v>46</v>
      </c>
      <c r="G2322" s="26">
        <v>11.0</v>
      </c>
      <c r="I2322" s="26" t="s">
        <v>42</v>
      </c>
      <c r="J2322" s="25" t="str">
        <f t="shared" si="34"/>
        <v>No</v>
      </c>
      <c r="K2322" s="25" t="str">
        <f t="shared" si="35"/>
        <v/>
      </c>
      <c r="L2322" s="25" t="str">
        <f t="shared" si="36"/>
        <v/>
      </c>
      <c r="M2322" s="25"/>
      <c r="O2322" s="25"/>
    </row>
    <row r="2323" ht="15.75" customHeight="1">
      <c r="A2323" s="25" t="str">
        <f>IFERROR(__xludf.DUMMYFUNCTION("IF(B2323="""","""",RIGHT(REGEXREPLACE(B2323&amp;"""",""[^0-9]"",""""),9))"),"769614011")</f>
        <v>769614011</v>
      </c>
      <c r="B2323" s="52">
        <v>7.69614011E8</v>
      </c>
      <c r="C2323" s="28" t="s">
        <v>2516</v>
      </c>
      <c r="D2323" s="26" t="s">
        <v>49</v>
      </c>
      <c r="E2323" s="31">
        <v>46229.0</v>
      </c>
      <c r="F2323" s="26" t="s">
        <v>41</v>
      </c>
      <c r="G2323" s="26">
        <v>10.0</v>
      </c>
      <c r="I2323" s="26" t="s">
        <v>42</v>
      </c>
      <c r="J2323" s="25" t="str">
        <f t="shared" si="34"/>
        <v>No</v>
      </c>
      <c r="K2323" s="25" t="str">
        <f t="shared" si="35"/>
        <v/>
      </c>
      <c r="L2323" s="25" t="str">
        <f t="shared" si="36"/>
        <v/>
      </c>
      <c r="M2323" s="25"/>
      <c r="O2323" s="25"/>
    </row>
    <row r="2324" ht="15.75" customHeight="1">
      <c r="A2324" s="25" t="str">
        <f>IFERROR(__xludf.DUMMYFUNCTION("IF(B2324="""","""",RIGHT(REGEXREPLACE(B2324&amp;"""",""[^0-9]"",""""),9))"),"761252490")</f>
        <v>761252490</v>
      </c>
      <c r="B2324" s="52">
        <v>7.6125249E8</v>
      </c>
      <c r="C2324" s="28" t="s">
        <v>2517</v>
      </c>
      <c r="D2324" s="26" t="s">
        <v>45</v>
      </c>
      <c r="E2324" s="31">
        <v>46229.0</v>
      </c>
      <c r="F2324" s="26" t="s">
        <v>704</v>
      </c>
      <c r="I2324" s="26" t="s">
        <v>42</v>
      </c>
      <c r="J2324" s="25" t="str">
        <f t="shared" si="34"/>
        <v>No</v>
      </c>
      <c r="K2324" s="25" t="str">
        <f t="shared" si="35"/>
        <v/>
      </c>
      <c r="L2324" s="25" t="str">
        <f t="shared" si="36"/>
        <v/>
      </c>
      <c r="M2324" s="25"/>
      <c r="O2324" s="25"/>
    </row>
    <row r="2325" ht="15.75" customHeight="1">
      <c r="A2325" s="25" t="str">
        <f>IFERROR(__xludf.DUMMYFUNCTION("IF(B2325="""","""",RIGHT(REGEXREPLACE(B2325&amp;"""",""[^0-9]"",""""),9))"),"771967909")</f>
        <v>771967909</v>
      </c>
      <c r="B2325" s="52">
        <v>7.71967909E8</v>
      </c>
      <c r="C2325" s="28" t="s">
        <v>2518</v>
      </c>
      <c r="D2325" s="26" t="s">
        <v>45</v>
      </c>
      <c r="E2325" s="31">
        <v>46229.0</v>
      </c>
      <c r="F2325" s="26" t="s">
        <v>46</v>
      </c>
      <c r="G2325" s="26">
        <v>11.0</v>
      </c>
      <c r="I2325" s="26" t="s">
        <v>42</v>
      </c>
      <c r="J2325" s="25" t="str">
        <f t="shared" si="34"/>
        <v>No</v>
      </c>
      <c r="K2325" s="25" t="str">
        <f t="shared" si="35"/>
        <v/>
      </c>
      <c r="L2325" s="25" t="str">
        <f t="shared" si="36"/>
        <v/>
      </c>
      <c r="M2325" s="25"/>
      <c r="O2325" s="25"/>
    </row>
    <row r="2326" ht="15.75" customHeight="1">
      <c r="A2326" s="25" t="str">
        <f>IFERROR(__xludf.DUMMYFUNCTION("IF(B2326="""","""",RIGHT(REGEXREPLACE(B2326&amp;"""",""[^0-9]"",""""),9))"),"702744431")</f>
        <v>702744431</v>
      </c>
      <c r="B2326" s="26">
        <v>7.02744431E8</v>
      </c>
      <c r="C2326" s="28" t="s">
        <v>2519</v>
      </c>
      <c r="D2326" s="26" t="s">
        <v>37</v>
      </c>
      <c r="E2326" s="31">
        <v>46229.0</v>
      </c>
      <c r="F2326" s="26" t="s">
        <v>46</v>
      </c>
      <c r="G2326" s="26">
        <v>11.0</v>
      </c>
      <c r="I2326" s="26" t="s">
        <v>42</v>
      </c>
      <c r="J2326" s="25" t="str">
        <f t="shared" si="34"/>
        <v>No</v>
      </c>
      <c r="K2326" s="25" t="str">
        <f t="shared" si="35"/>
        <v/>
      </c>
      <c r="L2326" s="25" t="str">
        <f t="shared" si="36"/>
        <v/>
      </c>
      <c r="M2326" s="25"/>
      <c r="O2326" s="25"/>
    </row>
    <row r="2327" ht="15.75" customHeight="1">
      <c r="A2327" s="25" t="str">
        <f>IFERROR(__xludf.DUMMYFUNCTION("IF(B2327="""","""",RIGHT(REGEXREPLACE(B2327&amp;"""",""[^0-9]"",""""),9))"),"771232473")</f>
        <v>771232473</v>
      </c>
      <c r="B2327" s="52">
        <v>7.71232473E8</v>
      </c>
      <c r="C2327" s="28" t="s">
        <v>2520</v>
      </c>
      <c r="D2327" s="26" t="s">
        <v>49</v>
      </c>
      <c r="E2327" s="31">
        <v>46229.0</v>
      </c>
      <c r="F2327" s="26" t="s">
        <v>46</v>
      </c>
      <c r="G2327" s="26">
        <v>11.0</v>
      </c>
      <c r="I2327" s="26" t="s">
        <v>42</v>
      </c>
      <c r="J2327" s="25" t="str">
        <f t="shared" si="34"/>
        <v>No</v>
      </c>
      <c r="K2327" s="25" t="str">
        <f t="shared" si="35"/>
        <v/>
      </c>
      <c r="L2327" s="25" t="str">
        <f t="shared" si="36"/>
        <v/>
      </c>
      <c r="M2327" s="25"/>
      <c r="O2327" s="25"/>
    </row>
    <row r="2328" ht="15.75" customHeight="1">
      <c r="A2328" s="25" t="str">
        <f>IFERROR(__xludf.DUMMYFUNCTION("IF(B2328="""","""",RIGHT(REGEXREPLACE(B2328&amp;"""",""[^0-9]"",""""),9))"),"766321349")</f>
        <v>766321349</v>
      </c>
      <c r="B2328" s="52">
        <v>7.66321349E8</v>
      </c>
      <c r="C2328" s="28" t="s">
        <v>1897</v>
      </c>
      <c r="D2328" s="26" t="s">
        <v>64</v>
      </c>
      <c r="E2328" s="31">
        <v>46229.0</v>
      </c>
      <c r="F2328" s="26" t="s">
        <v>205</v>
      </c>
      <c r="G2328" s="26">
        <v>11.0</v>
      </c>
      <c r="I2328" s="26" t="s">
        <v>42</v>
      </c>
      <c r="J2328" s="25" t="str">
        <f t="shared" si="34"/>
        <v>Yes - see Previous F-Code</v>
      </c>
      <c r="K2328" s="25" t="str">
        <f t="shared" si="35"/>
        <v>DUPLICATE - CHECK</v>
      </c>
      <c r="L2328" s="25" t="str">
        <f t="shared" si="36"/>
        <v>F71603</v>
      </c>
      <c r="M2328" s="25"/>
      <c r="O2328" s="25"/>
    </row>
    <row r="2329" ht="15.75" customHeight="1">
      <c r="A2329" s="25" t="str">
        <f>IFERROR(__xludf.DUMMYFUNCTION("IF(B2329="""","""",RIGHT(REGEXREPLACE(B2329&amp;"""",""[^0-9]"",""""),9))"),"720843058")</f>
        <v>720843058</v>
      </c>
      <c r="B2329" s="26">
        <v>7.20843058E8</v>
      </c>
      <c r="C2329" s="28" t="s">
        <v>2521</v>
      </c>
      <c r="D2329" s="26" t="s">
        <v>37</v>
      </c>
      <c r="E2329" s="31">
        <v>46229.0</v>
      </c>
      <c r="F2329" s="26" t="s">
        <v>41</v>
      </c>
      <c r="G2329" s="26">
        <v>11.0</v>
      </c>
      <c r="I2329" s="26" t="s">
        <v>42</v>
      </c>
      <c r="J2329" s="25" t="str">
        <f t="shared" si="34"/>
        <v>No</v>
      </c>
      <c r="K2329" s="25" t="str">
        <f t="shared" si="35"/>
        <v/>
      </c>
      <c r="L2329" s="25" t="str">
        <f t="shared" si="36"/>
        <v/>
      </c>
      <c r="M2329" s="25"/>
      <c r="O2329" s="25"/>
    </row>
    <row r="2330" ht="15.75" customHeight="1">
      <c r="A2330" s="25" t="str">
        <f>IFERROR(__xludf.DUMMYFUNCTION("IF(B2330="""","""",RIGHT(REGEXREPLACE(B2330&amp;"""",""[^0-9]"",""""),9))"),"775141917")</f>
        <v>775141917</v>
      </c>
      <c r="B2330" s="52">
        <v>7.75141917E8</v>
      </c>
      <c r="C2330" s="28" t="s">
        <v>2522</v>
      </c>
      <c r="D2330" s="26" t="s">
        <v>56</v>
      </c>
      <c r="E2330" s="31">
        <v>46229.0</v>
      </c>
      <c r="F2330" s="26" t="s">
        <v>41</v>
      </c>
      <c r="G2330" s="26">
        <v>11.0</v>
      </c>
      <c r="I2330" s="26" t="s">
        <v>42</v>
      </c>
      <c r="J2330" s="25" t="str">
        <f t="shared" si="34"/>
        <v>No</v>
      </c>
      <c r="K2330" s="25" t="str">
        <f t="shared" si="35"/>
        <v/>
      </c>
      <c r="L2330" s="25" t="str">
        <f t="shared" si="36"/>
        <v/>
      </c>
      <c r="M2330" s="25"/>
      <c r="O2330" s="25"/>
    </row>
    <row r="2331" ht="15.75" customHeight="1">
      <c r="A2331" s="25" t="str">
        <f>IFERROR(__xludf.DUMMYFUNCTION("IF(B2331="""","""",RIGHT(REGEXREPLACE(B2331&amp;"""",""[^0-9]"",""""),9))"),"701339503")</f>
        <v>701339503</v>
      </c>
      <c r="B2331" s="52">
        <v>7.01339503E8</v>
      </c>
      <c r="C2331" s="28" t="s">
        <v>2523</v>
      </c>
      <c r="D2331" s="26" t="s">
        <v>45</v>
      </c>
      <c r="E2331" s="31">
        <v>46229.0</v>
      </c>
      <c r="F2331" s="26" t="s">
        <v>164</v>
      </c>
      <c r="I2331" s="26" t="s">
        <v>42</v>
      </c>
      <c r="J2331" s="25" t="str">
        <f t="shared" si="34"/>
        <v>No</v>
      </c>
      <c r="K2331" s="25" t="str">
        <f t="shared" si="35"/>
        <v/>
      </c>
      <c r="L2331" s="25" t="str">
        <f t="shared" si="36"/>
        <v/>
      </c>
      <c r="M2331" s="25"/>
      <c r="O2331" s="25"/>
    </row>
    <row r="2332" ht="15.75" customHeight="1">
      <c r="A2332" s="25" t="str">
        <f>IFERROR(__xludf.DUMMYFUNCTION("IF(B2332="""","""",RIGHT(REGEXREPLACE(B2332&amp;"""",""[^0-9]"",""""),9))"),"752847157")</f>
        <v>752847157</v>
      </c>
      <c r="B2332" s="26">
        <v>7.52847157E8</v>
      </c>
      <c r="C2332" s="28" t="s">
        <v>610</v>
      </c>
      <c r="D2332" s="26" t="s">
        <v>37</v>
      </c>
      <c r="E2332" s="31">
        <v>46229.0</v>
      </c>
      <c r="F2332" s="26" t="s">
        <v>46</v>
      </c>
      <c r="G2332" s="26">
        <v>11.0</v>
      </c>
      <c r="I2332" s="26" t="s">
        <v>42</v>
      </c>
      <c r="J2332" s="25" t="str">
        <f t="shared" si="34"/>
        <v>Yes - see Previous F-Code</v>
      </c>
      <c r="K2332" s="25" t="str">
        <f t="shared" si="35"/>
        <v>DUPLICATE - CHECK</v>
      </c>
      <c r="L2332" s="25" t="str">
        <f t="shared" si="36"/>
        <v>F70424</v>
      </c>
      <c r="M2332" s="25"/>
      <c r="O2332" s="25"/>
    </row>
    <row r="2333" ht="15.75" customHeight="1">
      <c r="A2333" s="25" t="str">
        <f>IFERROR(__xludf.DUMMYFUNCTION("IF(B2333="""","""",RIGHT(REGEXREPLACE(B2333&amp;"""",""[^0-9]"",""""),9))"),"714295436")</f>
        <v>714295436</v>
      </c>
      <c r="B2333" s="52">
        <v>7.14295436E8</v>
      </c>
      <c r="C2333" s="28" t="s">
        <v>2524</v>
      </c>
      <c r="D2333" s="26" t="s">
        <v>45</v>
      </c>
      <c r="E2333" s="31">
        <v>46229.0</v>
      </c>
      <c r="F2333" s="26" t="s">
        <v>84</v>
      </c>
      <c r="I2333" s="26" t="s">
        <v>42</v>
      </c>
      <c r="J2333" s="25" t="str">
        <f t="shared" si="34"/>
        <v>No</v>
      </c>
      <c r="K2333" s="25" t="str">
        <f t="shared" si="35"/>
        <v/>
      </c>
      <c r="L2333" s="25" t="str">
        <f t="shared" si="36"/>
        <v/>
      </c>
      <c r="M2333" s="25"/>
      <c r="O2333" s="25"/>
    </row>
    <row r="2334" ht="15.75" customHeight="1">
      <c r="A2334" s="25" t="str">
        <f>IFERROR(__xludf.DUMMYFUNCTION("IF(B2334="""","""",RIGHT(REGEXREPLACE(B2334&amp;"""",""[^0-9]"",""""),9))"),"704453184")</f>
        <v>704453184</v>
      </c>
      <c r="B2334" s="26">
        <v>7.04453184E8</v>
      </c>
      <c r="C2334" s="28" t="s">
        <v>2525</v>
      </c>
      <c r="D2334" s="26" t="s">
        <v>37</v>
      </c>
      <c r="E2334" s="31">
        <v>46229.0</v>
      </c>
      <c r="F2334" s="26" t="s">
        <v>41</v>
      </c>
      <c r="G2334" s="26">
        <v>11.0</v>
      </c>
      <c r="I2334" s="26" t="s">
        <v>42</v>
      </c>
      <c r="J2334" s="25" t="str">
        <f t="shared" si="34"/>
        <v>No</v>
      </c>
      <c r="K2334" s="25" t="str">
        <f t="shared" si="35"/>
        <v/>
      </c>
      <c r="L2334" s="25" t="str">
        <f t="shared" si="36"/>
        <v/>
      </c>
      <c r="M2334" s="25"/>
      <c r="O2334" s="25"/>
    </row>
    <row r="2335" ht="15.75" customHeight="1">
      <c r="A2335" s="25" t="str">
        <f>IFERROR(__xludf.DUMMYFUNCTION("IF(B2335="""","""",RIGHT(REGEXREPLACE(B2335&amp;"""",""[^0-9]"",""""),9))"),"778034652")</f>
        <v>778034652</v>
      </c>
      <c r="B2335" s="52">
        <v>7.78034652E8</v>
      </c>
      <c r="C2335" s="28" t="s">
        <v>2526</v>
      </c>
      <c r="D2335" s="26" t="s">
        <v>49</v>
      </c>
      <c r="E2335" s="31">
        <v>46229.0</v>
      </c>
      <c r="F2335" s="26" t="s">
        <v>41</v>
      </c>
      <c r="G2335" s="26">
        <v>11.0</v>
      </c>
      <c r="I2335" s="26" t="s">
        <v>42</v>
      </c>
      <c r="J2335" s="25" t="str">
        <f t="shared" si="34"/>
        <v>No</v>
      </c>
      <c r="K2335" s="25" t="str">
        <f t="shared" si="35"/>
        <v/>
      </c>
      <c r="L2335" s="25" t="str">
        <f t="shared" si="36"/>
        <v/>
      </c>
      <c r="M2335" s="25"/>
      <c r="O2335" s="25"/>
    </row>
    <row r="2336" ht="15.75" customHeight="1">
      <c r="A2336" s="25" t="str">
        <f>IFERROR(__xludf.DUMMYFUNCTION("IF(B2336="""","""",RIGHT(REGEXREPLACE(B2336&amp;"""",""[^0-9]"",""""),9))"),"777626590")</f>
        <v>777626590</v>
      </c>
      <c r="B2336" s="26">
        <v>7.7762659E8</v>
      </c>
      <c r="C2336" s="28" t="s">
        <v>2527</v>
      </c>
      <c r="D2336" s="26" t="s">
        <v>37</v>
      </c>
      <c r="E2336" s="31">
        <v>46229.0</v>
      </c>
      <c r="F2336" s="26" t="s">
        <v>46</v>
      </c>
      <c r="G2336" s="26">
        <v>11.0</v>
      </c>
      <c r="H2336" s="26" t="s">
        <v>1369</v>
      </c>
      <c r="I2336" s="26" t="s">
        <v>42</v>
      </c>
      <c r="J2336" s="25" t="str">
        <f t="shared" si="34"/>
        <v>No</v>
      </c>
      <c r="K2336" s="25" t="str">
        <f t="shared" si="35"/>
        <v/>
      </c>
      <c r="L2336" s="25" t="str">
        <f t="shared" si="36"/>
        <v/>
      </c>
      <c r="M2336" s="25"/>
      <c r="O2336" s="25"/>
    </row>
    <row r="2337" ht="15.75" customHeight="1">
      <c r="A2337" s="25" t="str">
        <f>IFERROR(__xludf.DUMMYFUNCTION("IF(B2337="""","""",RIGHT(REGEXREPLACE(B2337&amp;"""",""[^0-9]"",""""),9))"),"763250849")</f>
        <v>763250849</v>
      </c>
      <c r="B2337" s="52">
        <v>7.63250849E8</v>
      </c>
      <c r="C2337" s="28" t="s">
        <v>2528</v>
      </c>
      <c r="D2337" s="26" t="s">
        <v>45</v>
      </c>
      <c r="E2337" s="31">
        <v>46229.0</v>
      </c>
      <c r="F2337" s="26" t="s">
        <v>46</v>
      </c>
      <c r="G2337" s="26">
        <v>11.0</v>
      </c>
      <c r="I2337" s="26" t="s">
        <v>42</v>
      </c>
      <c r="J2337" s="25" t="str">
        <f t="shared" si="34"/>
        <v>No</v>
      </c>
      <c r="K2337" s="25" t="str">
        <f t="shared" si="35"/>
        <v/>
      </c>
      <c r="L2337" s="25" t="str">
        <f t="shared" si="36"/>
        <v/>
      </c>
      <c r="M2337" s="25"/>
      <c r="O2337" s="25"/>
    </row>
    <row r="2338" ht="15.75" customHeight="1">
      <c r="A2338" s="25" t="str">
        <f>IFERROR(__xludf.DUMMYFUNCTION("IF(B2338="""","""",RIGHT(REGEXREPLACE(B2338&amp;"""",""[^0-9]"",""""),9))"),"715679718")</f>
        <v>715679718</v>
      </c>
      <c r="B2338" s="52">
        <v>7.15679718E8</v>
      </c>
      <c r="C2338" s="28" t="s">
        <v>2529</v>
      </c>
      <c r="D2338" s="26" t="s">
        <v>64</v>
      </c>
      <c r="E2338" s="31">
        <v>46229.0</v>
      </c>
      <c r="F2338" s="26" t="s">
        <v>46</v>
      </c>
      <c r="G2338" s="26">
        <v>11.0</v>
      </c>
      <c r="I2338" s="26" t="s">
        <v>42</v>
      </c>
      <c r="J2338" s="25" t="str">
        <f t="shared" si="34"/>
        <v>No</v>
      </c>
      <c r="K2338" s="25" t="str">
        <f t="shared" si="35"/>
        <v/>
      </c>
      <c r="L2338" s="25" t="str">
        <f t="shared" si="36"/>
        <v/>
      </c>
      <c r="M2338" s="25"/>
      <c r="O2338" s="25"/>
    </row>
    <row r="2339" ht="15.75" customHeight="1">
      <c r="A2339" s="25" t="str">
        <f>IFERROR(__xludf.DUMMYFUNCTION("IF(B2339="""","""",RIGHT(REGEXREPLACE(B2339&amp;"""",""[^0-9]"",""""),9))"),"767534726")</f>
        <v>767534726</v>
      </c>
      <c r="B2339" s="52">
        <v>7.67534726E8</v>
      </c>
      <c r="C2339" s="28" t="s">
        <v>2530</v>
      </c>
      <c r="D2339" s="26" t="s">
        <v>56</v>
      </c>
      <c r="E2339" s="31">
        <v>46229.0</v>
      </c>
      <c r="F2339" s="26" t="s">
        <v>46</v>
      </c>
      <c r="G2339" s="26">
        <v>11.0</v>
      </c>
      <c r="I2339" s="26" t="s">
        <v>42</v>
      </c>
      <c r="J2339" s="25" t="str">
        <f t="shared" si="34"/>
        <v>No</v>
      </c>
      <c r="K2339" s="25" t="str">
        <f t="shared" si="35"/>
        <v/>
      </c>
      <c r="L2339" s="25" t="str">
        <f t="shared" si="36"/>
        <v/>
      </c>
      <c r="M2339" s="25"/>
      <c r="O2339" s="25"/>
    </row>
    <row r="2340" ht="15.75" customHeight="1">
      <c r="A2340" s="25" t="str">
        <f>IFERROR(__xludf.DUMMYFUNCTION("IF(B2340="""","""",RIGHT(REGEXREPLACE(B2340&amp;"""",""[^0-9]"",""""),9))"),"720819070")</f>
        <v>720819070</v>
      </c>
      <c r="B2340" s="26">
        <v>7.2081907E8</v>
      </c>
      <c r="C2340" s="28" t="s">
        <v>2531</v>
      </c>
      <c r="D2340" s="26" t="s">
        <v>37</v>
      </c>
      <c r="E2340" s="31">
        <v>46229.0</v>
      </c>
      <c r="F2340" s="26" t="s">
        <v>41</v>
      </c>
      <c r="G2340" s="26">
        <v>11.0</v>
      </c>
      <c r="I2340" s="26" t="s">
        <v>42</v>
      </c>
      <c r="J2340" s="25" t="str">
        <f t="shared" si="34"/>
        <v>No</v>
      </c>
      <c r="K2340" s="25" t="str">
        <f t="shared" si="35"/>
        <v/>
      </c>
      <c r="L2340" s="25" t="str">
        <f t="shared" si="36"/>
        <v/>
      </c>
      <c r="M2340" s="25"/>
      <c r="O2340" s="25"/>
    </row>
    <row r="2341" ht="15.75" customHeight="1">
      <c r="A2341" s="25" t="str">
        <f>IFERROR(__xludf.DUMMYFUNCTION("IF(B2341="""","""",RIGHT(REGEXREPLACE(B2341&amp;"""",""[^0-9]"",""""),9))"),"773299484")</f>
        <v>773299484</v>
      </c>
      <c r="B2341" s="52">
        <v>7.73299484E8</v>
      </c>
      <c r="C2341" s="28" t="s">
        <v>2532</v>
      </c>
      <c r="D2341" s="26" t="s">
        <v>49</v>
      </c>
      <c r="E2341" s="31">
        <v>46229.0</v>
      </c>
      <c r="F2341" s="26" t="s">
        <v>46</v>
      </c>
      <c r="G2341" s="26">
        <v>11.0</v>
      </c>
      <c r="I2341" s="26" t="s">
        <v>42</v>
      </c>
      <c r="J2341" s="25" t="str">
        <f t="shared" si="34"/>
        <v>No</v>
      </c>
      <c r="K2341" s="25" t="str">
        <f t="shared" si="35"/>
        <v/>
      </c>
      <c r="L2341" s="25" t="str">
        <f t="shared" si="36"/>
        <v/>
      </c>
      <c r="M2341" s="25"/>
      <c r="O2341" s="25"/>
    </row>
    <row r="2342" ht="15.75" customHeight="1">
      <c r="A2342" s="25" t="str">
        <f>IFERROR(__xludf.DUMMYFUNCTION("IF(B2342="""","""",RIGHT(REGEXREPLACE(B2342&amp;"""",""[^0-9]"",""""),9))"),"712061318")</f>
        <v>712061318</v>
      </c>
      <c r="B2342" s="52">
        <v>7.12061318E8</v>
      </c>
      <c r="C2342" s="28" t="s">
        <v>2533</v>
      </c>
      <c r="D2342" s="26" t="s">
        <v>45</v>
      </c>
      <c r="E2342" s="31">
        <v>46229.0</v>
      </c>
      <c r="F2342" s="26" t="s">
        <v>41</v>
      </c>
      <c r="I2342" s="26" t="s">
        <v>42</v>
      </c>
      <c r="J2342" s="25" t="str">
        <f t="shared" si="34"/>
        <v>No</v>
      </c>
      <c r="K2342" s="25" t="str">
        <f t="shared" si="35"/>
        <v/>
      </c>
      <c r="L2342" s="25" t="str">
        <f t="shared" si="36"/>
        <v/>
      </c>
      <c r="M2342" s="25"/>
      <c r="O2342" s="25"/>
    </row>
    <row r="2343" ht="15.75" customHeight="1">
      <c r="A2343" s="25" t="str">
        <f>IFERROR(__xludf.DUMMYFUNCTION("IF(B2343="""","""",RIGHT(REGEXREPLACE(B2343&amp;"""",""[^0-9]"",""""),9))"),"743189009")</f>
        <v>743189009</v>
      </c>
      <c r="B2343" s="26">
        <v>7.43189009E8</v>
      </c>
      <c r="C2343" s="28" t="s">
        <v>2534</v>
      </c>
      <c r="D2343" s="26" t="s">
        <v>37</v>
      </c>
      <c r="E2343" s="31">
        <v>46229.0</v>
      </c>
      <c r="F2343" s="26" t="s">
        <v>164</v>
      </c>
      <c r="G2343" s="26">
        <v>11.0</v>
      </c>
      <c r="I2343" s="26" t="s">
        <v>42</v>
      </c>
      <c r="J2343" s="25" t="str">
        <f t="shared" si="34"/>
        <v>No</v>
      </c>
      <c r="K2343" s="25" t="str">
        <f t="shared" si="35"/>
        <v/>
      </c>
      <c r="L2343" s="25" t="str">
        <f t="shared" si="36"/>
        <v/>
      </c>
      <c r="M2343" s="25"/>
      <c r="O2343" s="25"/>
    </row>
    <row r="2344" ht="15.75" customHeight="1">
      <c r="A2344" s="25" t="str">
        <f>IFERROR(__xludf.DUMMYFUNCTION("IF(B2344="""","""",RIGHT(REGEXREPLACE(B2344&amp;"""",""[^0-9]"",""""),9))"),"713635456")</f>
        <v>713635456</v>
      </c>
      <c r="B2344" s="52">
        <v>7.13635456E8</v>
      </c>
      <c r="C2344" s="28" t="s">
        <v>2535</v>
      </c>
      <c r="D2344" s="26" t="s">
        <v>45</v>
      </c>
      <c r="E2344" s="31">
        <v>46229.0</v>
      </c>
      <c r="F2344" s="26" t="s">
        <v>46</v>
      </c>
      <c r="G2344" s="26">
        <v>10.0</v>
      </c>
      <c r="I2344" s="26" t="s">
        <v>42</v>
      </c>
      <c r="J2344" s="25" t="str">
        <f t="shared" si="34"/>
        <v>No</v>
      </c>
      <c r="K2344" s="25" t="str">
        <f t="shared" si="35"/>
        <v/>
      </c>
      <c r="L2344" s="25" t="str">
        <f t="shared" si="36"/>
        <v/>
      </c>
      <c r="M2344" s="25"/>
      <c r="O2344" s="25"/>
    </row>
    <row r="2345" ht="15.75" customHeight="1">
      <c r="A2345" s="25" t="str">
        <f>IFERROR(__xludf.DUMMYFUNCTION("IF(B2345="""","""",RIGHT(REGEXREPLACE(B2345&amp;"""",""[^0-9]"",""""),9))"),"716091069")</f>
        <v>716091069</v>
      </c>
      <c r="B2345" s="26">
        <v>7.16091069E8</v>
      </c>
      <c r="C2345" s="28" t="s">
        <v>2536</v>
      </c>
      <c r="D2345" s="26" t="s">
        <v>37</v>
      </c>
      <c r="E2345" s="31">
        <v>46229.0</v>
      </c>
      <c r="F2345" s="26" t="s">
        <v>46</v>
      </c>
      <c r="H2345" s="26" t="s">
        <v>253</v>
      </c>
      <c r="I2345" s="26" t="s">
        <v>42</v>
      </c>
      <c r="J2345" s="25" t="str">
        <f t="shared" si="34"/>
        <v>No</v>
      </c>
      <c r="K2345" s="25" t="str">
        <f t="shared" si="35"/>
        <v/>
      </c>
      <c r="L2345" s="25" t="str">
        <f t="shared" si="36"/>
        <v/>
      </c>
      <c r="M2345" s="25"/>
      <c r="O2345" s="25"/>
    </row>
    <row r="2346" ht="15.75" customHeight="1">
      <c r="A2346" s="25" t="str">
        <f>IFERROR(__xludf.DUMMYFUNCTION("IF(B2346="""","""",RIGHT(REGEXREPLACE(B2346&amp;"""",""[^0-9]"",""""),9))"),"716864504")</f>
        <v>716864504</v>
      </c>
      <c r="B2346" s="52">
        <v>7.16864504E8</v>
      </c>
      <c r="C2346" s="28" t="s">
        <v>354</v>
      </c>
      <c r="D2346" s="26" t="s">
        <v>49</v>
      </c>
      <c r="E2346" s="31">
        <v>46229.0</v>
      </c>
      <c r="F2346" s="26" t="s">
        <v>46</v>
      </c>
      <c r="G2346" s="26">
        <v>11.0</v>
      </c>
      <c r="I2346" s="26" t="s">
        <v>42</v>
      </c>
      <c r="J2346" s="25" t="str">
        <f t="shared" si="34"/>
        <v>Yes - see Previous F-Code</v>
      </c>
      <c r="K2346" s="25" t="str">
        <f t="shared" si="35"/>
        <v>DUPLICATE - CHECK</v>
      </c>
      <c r="L2346" s="25" t="str">
        <f t="shared" si="36"/>
        <v>F70204</v>
      </c>
      <c r="M2346" s="25"/>
      <c r="O2346" s="25"/>
    </row>
    <row r="2347" ht="15.75" customHeight="1">
      <c r="A2347" s="25" t="str">
        <f>IFERROR(__xludf.DUMMYFUNCTION("IF(B2347="""","""",RIGHT(REGEXREPLACE(B2347&amp;"""",""[^0-9]"",""""),9))"),"766119852")</f>
        <v>766119852</v>
      </c>
      <c r="B2347" s="52">
        <v>7.66119852E8</v>
      </c>
      <c r="C2347" s="28" t="s">
        <v>2537</v>
      </c>
      <c r="D2347" s="26" t="s">
        <v>64</v>
      </c>
      <c r="E2347" s="31">
        <v>46229.0</v>
      </c>
      <c r="F2347" s="26" t="s">
        <v>41</v>
      </c>
      <c r="G2347" s="26">
        <v>11.0</v>
      </c>
      <c r="I2347" s="26" t="s">
        <v>42</v>
      </c>
      <c r="J2347" s="25" t="str">
        <f t="shared" si="34"/>
        <v>No</v>
      </c>
      <c r="K2347" s="25" t="str">
        <f t="shared" si="35"/>
        <v/>
      </c>
      <c r="L2347" s="25" t="str">
        <f t="shared" si="36"/>
        <v/>
      </c>
      <c r="M2347" s="25"/>
      <c r="O2347" s="25"/>
    </row>
    <row r="2348" ht="15.75" customHeight="1">
      <c r="A2348" s="25" t="str">
        <f>IFERROR(__xludf.DUMMYFUNCTION("IF(B2348="""","""",RIGHT(REGEXREPLACE(B2348&amp;"""",""[^0-9]"",""""),9))"),"778442665")</f>
        <v>778442665</v>
      </c>
      <c r="B2348" s="26">
        <v>7.78442665E8</v>
      </c>
      <c r="C2348" s="28" t="s">
        <v>2538</v>
      </c>
      <c r="D2348" s="26" t="s">
        <v>37</v>
      </c>
      <c r="E2348" s="31">
        <v>46229.0</v>
      </c>
      <c r="F2348" s="26" t="s">
        <v>41</v>
      </c>
      <c r="G2348" s="26">
        <v>11.0</v>
      </c>
      <c r="I2348" s="26" t="s">
        <v>42</v>
      </c>
      <c r="J2348" s="25" t="str">
        <f t="shared" si="34"/>
        <v>No</v>
      </c>
      <c r="K2348" s="25" t="str">
        <f t="shared" si="35"/>
        <v/>
      </c>
      <c r="L2348" s="25" t="str">
        <f t="shared" si="36"/>
        <v/>
      </c>
      <c r="M2348" s="25"/>
      <c r="O2348" s="25"/>
    </row>
    <row r="2349" ht="15.75" customHeight="1">
      <c r="A2349" s="25" t="str">
        <f>IFERROR(__xludf.DUMMYFUNCTION("IF(B2349="""","""",RIGHT(REGEXREPLACE(B2349&amp;"""",""[^0-9]"",""""),9))"),"760191078")</f>
        <v>760191078</v>
      </c>
      <c r="B2349" s="52">
        <v>7.60191078E8</v>
      </c>
      <c r="C2349" s="28" t="s">
        <v>2539</v>
      </c>
      <c r="D2349" s="26" t="s">
        <v>56</v>
      </c>
      <c r="E2349" s="31">
        <v>46229.0</v>
      </c>
      <c r="F2349" s="26" t="s">
        <v>46</v>
      </c>
      <c r="G2349" s="26">
        <v>11.0</v>
      </c>
      <c r="I2349" s="26" t="s">
        <v>42</v>
      </c>
      <c r="J2349" s="25" t="str">
        <f t="shared" si="34"/>
        <v>No</v>
      </c>
      <c r="K2349" s="25" t="str">
        <f t="shared" si="35"/>
        <v/>
      </c>
      <c r="L2349" s="25" t="str">
        <f t="shared" si="36"/>
        <v/>
      </c>
      <c r="M2349" s="25"/>
      <c r="O2349" s="25"/>
    </row>
    <row r="2350" ht="15.75" customHeight="1">
      <c r="A2350" s="25" t="str">
        <f>IFERROR(__xludf.DUMMYFUNCTION("IF(B2350="""","""",RIGHT(REGEXREPLACE(B2350&amp;"""",""[^0-9]"",""""),9))"),"778405173")</f>
        <v>778405173</v>
      </c>
      <c r="B2350" s="52">
        <v>7.78405173E8</v>
      </c>
      <c r="C2350" s="28" t="s">
        <v>2540</v>
      </c>
      <c r="D2350" s="26" t="s">
        <v>45</v>
      </c>
      <c r="E2350" s="31">
        <v>46229.0</v>
      </c>
      <c r="F2350" s="26" t="s">
        <v>41</v>
      </c>
      <c r="I2350" s="26" t="s">
        <v>42</v>
      </c>
      <c r="J2350" s="25" t="str">
        <f t="shared" si="34"/>
        <v>No</v>
      </c>
      <c r="K2350" s="25" t="str">
        <f t="shared" si="35"/>
        <v/>
      </c>
      <c r="L2350" s="25" t="str">
        <f t="shared" si="36"/>
        <v/>
      </c>
      <c r="M2350" s="25"/>
      <c r="O2350" s="25"/>
    </row>
    <row r="2351" ht="15.75" customHeight="1">
      <c r="A2351" s="25" t="str">
        <f>IFERROR(__xludf.DUMMYFUNCTION("IF(B2351="""","""",RIGHT(REGEXREPLACE(B2351&amp;"""",""[^0-9]"",""""),9))"),"777370728")</f>
        <v>777370728</v>
      </c>
      <c r="B2351" s="26">
        <v>7.77370728E8</v>
      </c>
      <c r="C2351" s="28" t="s">
        <v>2541</v>
      </c>
      <c r="D2351" s="26" t="s">
        <v>37</v>
      </c>
      <c r="E2351" s="31">
        <v>46229.0</v>
      </c>
      <c r="F2351" s="26" t="s">
        <v>46</v>
      </c>
      <c r="G2351" s="26">
        <v>11.0</v>
      </c>
      <c r="H2351" s="26" t="s">
        <v>1680</v>
      </c>
      <c r="I2351" s="26" t="s">
        <v>42</v>
      </c>
      <c r="J2351" s="25" t="str">
        <f t="shared" si="34"/>
        <v>No</v>
      </c>
      <c r="K2351" s="25" t="str">
        <f t="shared" si="35"/>
        <v/>
      </c>
      <c r="L2351" s="25" t="str">
        <f t="shared" si="36"/>
        <v/>
      </c>
      <c r="M2351" s="25"/>
      <c r="O2351" s="25"/>
    </row>
    <row r="2352" ht="15.75" customHeight="1">
      <c r="A2352" s="25" t="str">
        <f>IFERROR(__xludf.DUMMYFUNCTION("IF(B2352="""","""",RIGHT(REGEXREPLACE(B2352&amp;"""",""[^0-9]"",""""),9))"),"771632742")</f>
        <v>771632742</v>
      </c>
      <c r="B2352" s="52">
        <v>7.71632742E8</v>
      </c>
      <c r="C2352" s="28" t="s">
        <v>2542</v>
      </c>
      <c r="D2352" s="26" t="s">
        <v>49</v>
      </c>
      <c r="E2352" s="31">
        <v>46229.0</v>
      </c>
      <c r="F2352" s="26" t="s">
        <v>46</v>
      </c>
      <c r="G2352" s="26">
        <v>11.0</v>
      </c>
      <c r="I2352" s="26" t="s">
        <v>42</v>
      </c>
      <c r="J2352" s="25" t="str">
        <f t="shared" si="34"/>
        <v>No</v>
      </c>
      <c r="K2352" s="25" t="str">
        <f t="shared" si="35"/>
        <v/>
      </c>
      <c r="L2352" s="25" t="str">
        <f t="shared" si="36"/>
        <v/>
      </c>
      <c r="M2352" s="25"/>
      <c r="O2352" s="25"/>
    </row>
    <row r="2353" ht="15.75" customHeight="1">
      <c r="A2353" s="25" t="str">
        <f>IFERROR(__xludf.DUMMYFUNCTION("IF(B2353="""","""",RIGHT(REGEXREPLACE(B2353&amp;"""",""[^0-9]"",""""),9))"),"760558098")</f>
        <v>760558098</v>
      </c>
      <c r="B2353" s="52">
        <v>7.60558098E8</v>
      </c>
      <c r="C2353" s="28" t="s">
        <v>2541</v>
      </c>
      <c r="D2353" s="26" t="s">
        <v>64</v>
      </c>
      <c r="E2353" s="31">
        <v>46229.0</v>
      </c>
      <c r="F2353" s="26" t="s">
        <v>46</v>
      </c>
      <c r="G2353" s="26">
        <v>11.0</v>
      </c>
      <c r="I2353" s="26" t="s">
        <v>42</v>
      </c>
      <c r="J2353" s="25" t="str">
        <f t="shared" si="34"/>
        <v>No</v>
      </c>
      <c r="K2353" s="25" t="str">
        <f t="shared" si="35"/>
        <v/>
      </c>
      <c r="L2353" s="25" t="str">
        <f t="shared" si="36"/>
        <v/>
      </c>
      <c r="M2353" s="25"/>
      <c r="O2353" s="25"/>
    </row>
    <row r="2354" ht="15.75" customHeight="1">
      <c r="A2354" s="25" t="str">
        <f>IFERROR(__xludf.DUMMYFUNCTION("IF(B2354="""","""",RIGHT(REGEXREPLACE(B2354&amp;"""",""[^0-9]"",""""),9))"),"751867412")</f>
        <v>751867412</v>
      </c>
      <c r="B2354" s="26">
        <v>7.51867412E8</v>
      </c>
      <c r="C2354" s="28" t="s">
        <v>2543</v>
      </c>
      <c r="D2354" s="26" t="s">
        <v>37</v>
      </c>
      <c r="E2354" s="31">
        <v>46229.0</v>
      </c>
      <c r="F2354" s="26" t="s">
        <v>631</v>
      </c>
      <c r="G2354" s="26">
        <v>10.0</v>
      </c>
      <c r="I2354" s="26" t="s">
        <v>42</v>
      </c>
      <c r="J2354" s="25" t="str">
        <f t="shared" si="34"/>
        <v>No</v>
      </c>
      <c r="K2354" s="25" t="str">
        <f t="shared" si="35"/>
        <v/>
      </c>
      <c r="L2354" s="25" t="str">
        <f t="shared" si="36"/>
        <v/>
      </c>
      <c r="M2354" s="25"/>
      <c r="O2354" s="25"/>
    </row>
    <row r="2355" ht="15.75" customHeight="1">
      <c r="A2355" s="25" t="str">
        <f>IFERROR(__xludf.DUMMYFUNCTION("IF(B2355="""","""",RIGHT(REGEXREPLACE(B2355&amp;"""",""[^0-9]"",""""),9))"),"777241054")</f>
        <v>777241054</v>
      </c>
      <c r="B2355" s="52">
        <v>7.77241054E8</v>
      </c>
      <c r="C2355" s="28" t="s">
        <v>2544</v>
      </c>
      <c r="D2355" s="26" t="s">
        <v>45</v>
      </c>
      <c r="E2355" s="31">
        <v>46229.0</v>
      </c>
      <c r="F2355" s="26" t="s">
        <v>46</v>
      </c>
      <c r="G2355" s="26">
        <v>11.0</v>
      </c>
      <c r="I2355" s="26" t="s">
        <v>42</v>
      </c>
      <c r="J2355" s="25" t="str">
        <f t="shared" si="34"/>
        <v>No</v>
      </c>
      <c r="K2355" s="25" t="str">
        <f t="shared" si="35"/>
        <v/>
      </c>
      <c r="L2355" s="25" t="str">
        <f t="shared" si="36"/>
        <v/>
      </c>
      <c r="M2355" s="25"/>
      <c r="O2355" s="25"/>
    </row>
    <row r="2356" ht="15.75" customHeight="1">
      <c r="A2356" s="25" t="str">
        <f>IFERROR(__xludf.DUMMYFUNCTION("IF(B2356="""","""",RIGHT(REGEXREPLACE(B2356&amp;"""",""[^0-9]"",""""),9))"),"771342449")</f>
        <v>771342449</v>
      </c>
      <c r="B2356" s="26">
        <v>7.71342449E8</v>
      </c>
      <c r="C2356" s="28" t="s">
        <v>2545</v>
      </c>
      <c r="D2356" s="26" t="s">
        <v>37</v>
      </c>
      <c r="E2356" s="31">
        <v>46229.0</v>
      </c>
      <c r="F2356" s="26" t="s">
        <v>41</v>
      </c>
      <c r="G2356" s="26">
        <v>10.0</v>
      </c>
      <c r="I2356" s="26" t="s">
        <v>42</v>
      </c>
      <c r="J2356" s="25" t="str">
        <f t="shared" si="34"/>
        <v>No</v>
      </c>
      <c r="K2356" s="25" t="str">
        <f t="shared" si="35"/>
        <v/>
      </c>
      <c r="L2356" s="25" t="str">
        <f t="shared" si="36"/>
        <v/>
      </c>
      <c r="M2356" s="25"/>
      <c r="O2356" s="25"/>
    </row>
    <row r="2357" ht="15.75" customHeight="1">
      <c r="A2357" s="25" t="str">
        <f>IFERROR(__xludf.DUMMYFUNCTION("IF(B2357="""","""",RIGHT(REGEXREPLACE(B2357&amp;"""",""[^0-9]"",""""),9))"),"757324711")</f>
        <v>757324711</v>
      </c>
      <c r="B2357" s="52">
        <v>7.57324711E8</v>
      </c>
      <c r="C2357" s="28" t="s">
        <v>2546</v>
      </c>
      <c r="D2357" s="26" t="s">
        <v>56</v>
      </c>
      <c r="E2357" s="31">
        <v>46229.0</v>
      </c>
      <c r="F2357" s="26" t="s">
        <v>631</v>
      </c>
      <c r="G2357" s="26">
        <v>11.0</v>
      </c>
      <c r="I2357" s="26" t="s">
        <v>42</v>
      </c>
      <c r="J2357" s="25" t="str">
        <f t="shared" si="34"/>
        <v>No</v>
      </c>
      <c r="K2357" s="25" t="str">
        <f t="shared" si="35"/>
        <v/>
      </c>
      <c r="L2357" s="25" t="str">
        <f t="shared" si="36"/>
        <v/>
      </c>
      <c r="M2357" s="25"/>
      <c r="O2357" s="25"/>
    </row>
    <row r="2358" ht="15.75" customHeight="1">
      <c r="A2358" s="25" t="str">
        <f>IFERROR(__xludf.DUMMYFUNCTION("IF(B2358="""","""",RIGHT(REGEXREPLACE(B2358&amp;"""",""[^0-9]"",""""),9))"),"777283682")</f>
        <v>777283682</v>
      </c>
      <c r="B2358" s="52">
        <v>7.77283682E8</v>
      </c>
      <c r="C2358" s="28" t="s">
        <v>2547</v>
      </c>
      <c r="D2358" s="26" t="s">
        <v>49</v>
      </c>
      <c r="E2358" s="31">
        <v>46229.0</v>
      </c>
      <c r="F2358" s="26" t="s">
        <v>41</v>
      </c>
      <c r="G2358" s="26">
        <v>11.0</v>
      </c>
      <c r="I2358" s="26" t="s">
        <v>42</v>
      </c>
      <c r="J2358" s="25" t="str">
        <f t="shared" si="34"/>
        <v>No</v>
      </c>
      <c r="K2358" s="25" t="str">
        <f t="shared" si="35"/>
        <v/>
      </c>
      <c r="L2358" s="25" t="str">
        <f t="shared" si="36"/>
        <v/>
      </c>
      <c r="M2358" s="25"/>
      <c r="O2358" s="25"/>
    </row>
    <row r="2359" ht="15.75" customHeight="1">
      <c r="A2359" s="25" t="str">
        <f>IFERROR(__xludf.DUMMYFUNCTION("IF(B2359="""","""",RIGHT(REGEXREPLACE(B2359&amp;"""",""[^0-9]"",""""),9))"),"758456493")</f>
        <v>758456493</v>
      </c>
      <c r="B2359" s="52">
        <v>7.58456493E8</v>
      </c>
      <c r="C2359" s="28" t="s">
        <v>2548</v>
      </c>
      <c r="D2359" s="26" t="s">
        <v>45</v>
      </c>
      <c r="E2359" s="31">
        <v>46229.0</v>
      </c>
      <c r="F2359" s="26" t="s">
        <v>46</v>
      </c>
      <c r="G2359" s="26">
        <v>11.0</v>
      </c>
      <c r="I2359" s="26" t="s">
        <v>42</v>
      </c>
      <c r="J2359" s="25" t="str">
        <f t="shared" si="34"/>
        <v>No</v>
      </c>
      <c r="K2359" s="25" t="str">
        <f t="shared" si="35"/>
        <v/>
      </c>
      <c r="L2359" s="25" t="str">
        <f t="shared" si="36"/>
        <v/>
      </c>
      <c r="M2359" s="25"/>
      <c r="O2359" s="25"/>
    </row>
    <row r="2360" ht="15.75" customHeight="1">
      <c r="A2360" s="25" t="str">
        <f>IFERROR(__xludf.DUMMYFUNCTION("IF(B2360="""","""",RIGHT(REGEXREPLACE(B2360&amp;"""",""[^0-9]"",""""),9))"),"770824738")</f>
        <v>770824738</v>
      </c>
      <c r="B2360" s="52">
        <v>7.70824738E8</v>
      </c>
      <c r="C2360" s="28" t="s">
        <v>2549</v>
      </c>
      <c r="D2360" s="26" t="s">
        <v>64</v>
      </c>
      <c r="E2360" s="31">
        <v>46229.0</v>
      </c>
      <c r="F2360" s="26" t="s">
        <v>41</v>
      </c>
      <c r="G2360" s="26">
        <v>11.0</v>
      </c>
      <c r="I2360" s="26" t="s">
        <v>42</v>
      </c>
      <c r="J2360" s="25" t="str">
        <f t="shared" si="34"/>
        <v>No</v>
      </c>
      <c r="K2360" s="25" t="str">
        <f t="shared" si="35"/>
        <v/>
      </c>
      <c r="L2360" s="25" t="str">
        <f t="shared" si="36"/>
        <v/>
      </c>
      <c r="M2360" s="25"/>
      <c r="O2360" s="25"/>
    </row>
    <row r="2361" ht="15.75" customHeight="1">
      <c r="A2361" s="25" t="str">
        <f>IFERROR(__xludf.DUMMYFUNCTION("IF(B2361="""","""",RIGHT(REGEXREPLACE(B2361&amp;"""",""[^0-9]"",""""),9))"),"774877161")</f>
        <v>774877161</v>
      </c>
      <c r="B2361" s="52">
        <v>7.74877161E8</v>
      </c>
      <c r="C2361" s="28" t="s">
        <v>2550</v>
      </c>
      <c r="D2361" s="26" t="s">
        <v>49</v>
      </c>
      <c r="E2361" s="31">
        <v>46229.0</v>
      </c>
      <c r="F2361" s="26" t="s">
        <v>46</v>
      </c>
      <c r="G2361" s="26">
        <v>10.0</v>
      </c>
      <c r="I2361" s="26" t="s">
        <v>42</v>
      </c>
      <c r="J2361" s="25" t="str">
        <f t="shared" si="34"/>
        <v>No</v>
      </c>
      <c r="K2361" s="25" t="str">
        <f t="shared" si="35"/>
        <v/>
      </c>
      <c r="L2361" s="25" t="str">
        <f t="shared" si="36"/>
        <v/>
      </c>
      <c r="M2361" s="25"/>
      <c r="O2361" s="25"/>
    </row>
    <row r="2362" ht="15.75" customHeight="1">
      <c r="A2362" s="25" t="str">
        <f>IFERROR(__xludf.DUMMYFUNCTION("IF(B2362="""","""",RIGHT(REGEXREPLACE(B2362&amp;"""",""[^0-9]"",""""),9))"),"778815313")</f>
        <v>778815313</v>
      </c>
      <c r="B2362" s="52">
        <v>7.78815313E8</v>
      </c>
      <c r="C2362" s="28" t="s">
        <v>2551</v>
      </c>
      <c r="D2362" s="26" t="s">
        <v>56</v>
      </c>
      <c r="E2362" s="31">
        <v>46229.0</v>
      </c>
      <c r="F2362" s="26" t="s">
        <v>46</v>
      </c>
      <c r="G2362" s="26">
        <v>11.0</v>
      </c>
      <c r="I2362" s="26" t="s">
        <v>42</v>
      </c>
      <c r="J2362" s="25" t="str">
        <f t="shared" si="34"/>
        <v>No</v>
      </c>
      <c r="K2362" s="25" t="str">
        <f t="shared" si="35"/>
        <v/>
      </c>
      <c r="L2362" s="25" t="str">
        <f t="shared" si="36"/>
        <v/>
      </c>
      <c r="M2362" s="25"/>
      <c r="O2362" s="25"/>
    </row>
    <row r="2363" ht="15.75" customHeight="1">
      <c r="A2363" s="25" t="str">
        <f>IFERROR(__xludf.DUMMYFUNCTION("IF(B2363="""","""",RIGHT(REGEXREPLACE(B2363&amp;"""",""[^0-9]"",""""),9))"),"766457808")</f>
        <v>766457808</v>
      </c>
      <c r="B2363" s="114">
        <v>7.66457808E8</v>
      </c>
      <c r="C2363" s="28" t="s">
        <v>2552</v>
      </c>
      <c r="D2363" s="26" t="s">
        <v>45</v>
      </c>
      <c r="E2363" s="31">
        <v>46229.0</v>
      </c>
      <c r="F2363" s="26" t="s">
        <v>41</v>
      </c>
      <c r="I2363" s="26" t="s">
        <v>42</v>
      </c>
      <c r="J2363" s="25" t="str">
        <f t="shared" si="34"/>
        <v>No</v>
      </c>
      <c r="K2363" s="25" t="str">
        <f t="shared" si="35"/>
        <v/>
      </c>
      <c r="L2363" s="25" t="str">
        <f t="shared" si="36"/>
        <v/>
      </c>
      <c r="M2363" s="25"/>
      <c r="O2363" s="25"/>
    </row>
    <row r="2364" ht="15.75" customHeight="1">
      <c r="A2364" s="25" t="str">
        <f>IFERROR(__xludf.DUMMYFUNCTION("IF(B2364="""","""",RIGHT(REGEXREPLACE(B2364&amp;"""",""[^0-9]"",""""),9))"),"778517815")</f>
        <v>778517815</v>
      </c>
      <c r="B2364" s="52">
        <v>7.78517815E8</v>
      </c>
      <c r="C2364" s="28" t="s">
        <v>2553</v>
      </c>
      <c r="D2364" s="26" t="s">
        <v>45</v>
      </c>
      <c r="E2364" s="31">
        <v>46229.0</v>
      </c>
      <c r="F2364" s="26" t="s">
        <v>46</v>
      </c>
      <c r="G2364" s="26">
        <v>11.0</v>
      </c>
      <c r="I2364" s="26" t="s">
        <v>42</v>
      </c>
      <c r="J2364" s="25" t="str">
        <f t="shared" si="34"/>
        <v>No</v>
      </c>
      <c r="K2364" s="25" t="str">
        <f t="shared" si="35"/>
        <v/>
      </c>
      <c r="L2364" s="25" t="str">
        <f t="shared" si="36"/>
        <v/>
      </c>
      <c r="M2364" s="25"/>
      <c r="O2364" s="25"/>
    </row>
    <row r="2365" ht="15.75" customHeight="1">
      <c r="A2365" s="25" t="str">
        <f>IFERROR(__xludf.DUMMYFUNCTION("IF(B2365="""","""",RIGHT(REGEXREPLACE(B2365&amp;"""",""[^0-9]"",""""),9))"),"766513417")</f>
        <v>766513417</v>
      </c>
      <c r="B2365" s="52">
        <v>7.66513417E8</v>
      </c>
      <c r="C2365" s="28" t="s">
        <v>2554</v>
      </c>
      <c r="D2365" s="26" t="s">
        <v>64</v>
      </c>
      <c r="E2365" s="31">
        <v>46229.0</v>
      </c>
      <c r="F2365" s="26" t="s">
        <v>41</v>
      </c>
      <c r="I2365" s="26" t="s">
        <v>42</v>
      </c>
      <c r="J2365" s="25" t="str">
        <f t="shared" si="34"/>
        <v>No</v>
      </c>
      <c r="K2365" s="25" t="str">
        <f t="shared" si="35"/>
        <v/>
      </c>
      <c r="L2365" s="25" t="str">
        <f t="shared" si="36"/>
        <v/>
      </c>
      <c r="M2365" s="25"/>
      <c r="O2365" s="25"/>
    </row>
    <row r="2366" ht="15.75" customHeight="1">
      <c r="A2366" s="25" t="str">
        <f>IFERROR(__xludf.DUMMYFUNCTION("IF(B2366="""","""",RIGHT(REGEXREPLACE(B2366&amp;"""",""[^0-9]"",""""),9))"),"702136350")</f>
        <v>702136350</v>
      </c>
      <c r="B2366" s="52">
        <v>9.470213635E10</v>
      </c>
      <c r="C2366" s="28" t="s">
        <v>2555</v>
      </c>
      <c r="D2366" s="26" t="s">
        <v>37</v>
      </c>
      <c r="E2366" s="31">
        <v>46229.0</v>
      </c>
      <c r="F2366" s="26" t="s">
        <v>46</v>
      </c>
      <c r="G2366" s="26">
        <v>8.0</v>
      </c>
      <c r="H2366" s="26" t="s">
        <v>2556</v>
      </c>
      <c r="I2366" s="26" t="s">
        <v>42</v>
      </c>
      <c r="J2366" s="25" t="str">
        <f t="shared" si="34"/>
        <v>No</v>
      </c>
      <c r="K2366" s="25" t="str">
        <f t="shared" si="35"/>
        <v/>
      </c>
      <c r="L2366" s="25" t="str">
        <f t="shared" si="36"/>
        <v/>
      </c>
      <c r="M2366" s="25"/>
      <c r="O2366" s="25"/>
    </row>
    <row r="2367" ht="15.75" customHeight="1">
      <c r="A2367" s="25" t="str">
        <f>IFERROR(__xludf.DUMMYFUNCTION("IF(B2367="""","""",RIGHT(REGEXREPLACE(B2367&amp;"""",""[^0-9]"",""""),9))"),"760366274")</f>
        <v>760366274</v>
      </c>
      <c r="B2367" s="52">
        <v>7.60366274E8</v>
      </c>
      <c r="C2367" s="28" t="s">
        <v>163</v>
      </c>
      <c r="D2367" s="26" t="s">
        <v>49</v>
      </c>
      <c r="E2367" s="31">
        <v>46229.0</v>
      </c>
      <c r="F2367" s="26" t="s">
        <v>164</v>
      </c>
      <c r="I2367" s="26" t="s">
        <v>42</v>
      </c>
      <c r="J2367" s="25" t="str">
        <f t="shared" si="34"/>
        <v>Yes - see Previous F-Code</v>
      </c>
      <c r="K2367" s="25" t="str">
        <f t="shared" si="35"/>
        <v>DUPLICATE - CHECK</v>
      </c>
      <c r="L2367" s="25" t="str">
        <f t="shared" si="36"/>
        <v>F70067</v>
      </c>
      <c r="M2367" s="25"/>
      <c r="O2367" s="25"/>
    </row>
    <row r="2368" ht="15.75" customHeight="1">
      <c r="A2368" s="25" t="str">
        <f>IFERROR(__xludf.DUMMYFUNCTION("IF(B2368="""","""",RIGHT(REGEXREPLACE(B2368&amp;"""",""[^0-9]"",""""),9))"),"775635084")</f>
        <v>775635084</v>
      </c>
      <c r="B2368" s="52">
        <v>7.75635084E8</v>
      </c>
      <c r="C2368" s="28" t="s">
        <v>2557</v>
      </c>
      <c r="D2368" s="26" t="s">
        <v>56</v>
      </c>
      <c r="E2368" s="31">
        <v>46229.0</v>
      </c>
      <c r="F2368" s="26" t="s">
        <v>631</v>
      </c>
      <c r="G2368" s="26">
        <v>11.0</v>
      </c>
      <c r="I2368" s="26" t="s">
        <v>42</v>
      </c>
      <c r="J2368" s="25" t="str">
        <f t="shared" si="34"/>
        <v>No</v>
      </c>
      <c r="K2368" s="25" t="str">
        <f t="shared" si="35"/>
        <v/>
      </c>
      <c r="L2368" s="25" t="str">
        <f t="shared" si="36"/>
        <v/>
      </c>
      <c r="M2368" s="25"/>
      <c r="O2368" s="25"/>
    </row>
    <row r="2369" ht="15.75" customHeight="1">
      <c r="A2369" s="25" t="str">
        <f>IFERROR(__xludf.DUMMYFUNCTION("IF(B2369="""","""",RIGHT(REGEXREPLACE(B2369&amp;"""",""[^0-9]"",""""),9))"),"775847053")</f>
        <v>775847053</v>
      </c>
      <c r="B2369" s="52">
        <v>7.75847053E8</v>
      </c>
      <c r="C2369" s="28" t="s">
        <v>2558</v>
      </c>
      <c r="D2369" s="26" t="s">
        <v>49</v>
      </c>
      <c r="E2369" s="31">
        <v>46229.0</v>
      </c>
      <c r="F2369" s="26" t="s">
        <v>205</v>
      </c>
      <c r="G2369" s="26">
        <v>11.0</v>
      </c>
      <c r="I2369" s="26" t="s">
        <v>42</v>
      </c>
      <c r="J2369" s="25" t="str">
        <f t="shared" si="34"/>
        <v>No</v>
      </c>
      <c r="K2369" s="25" t="str">
        <f t="shared" si="35"/>
        <v/>
      </c>
      <c r="L2369" s="25" t="str">
        <f t="shared" si="36"/>
        <v/>
      </c>
      <c r="M2369" s="25"/>
      <c r="O2369" s="25"/>
    </row>
    <row r="2370" ht="15.75" customHeight="1">
      <c r="A2370" s="25" t="str">
        <f>IFERROR(__xludf.DUMMYFUNCTION("IF(B2370="""","""",RIGHT(REGEXREPLACE(B2370&amp;"""",""[^0-9]"",""""),9))"),"711962113")</f>
        <v>711962113</v>
      </c>
      <c r="B2370" s="52">
        <v>9.4711962113E10</v>
      </c>
      <c r="C2370" s="28" t="s">
        <v>2559</v>
      </c>
      <c r="D2370" s="26" t="s">
        <v>37</v>
      </c>
      <c r="E2370" s="31">
        <v>46229.0</v>
      </c>
      <c r="F2370" s="26" t="s">
        <v>84</v>
      </c>
      <c r="G2370" s="26">
        <v>11.0</v>
      </c>
      <c r="I2370" s="26" t="s">
        <v>42</v>
      </c>
      <c r="J2370" s="25" t="str">
        <f t="shared" si="34"/>
        <v>No</v>
      </c>
      <c r="K2370" s="25" t="str">
        <f t="shared" si="35"/>
        <v/>
      </c>
      <c r="L2370" s="25" t="str">
        <f t="shared" si="36"/>
        <v/>
      </c>
      <c r="M2370" s="25"/>
      <c r="O2370" s="25"/>
    </row>
    <row r="2371" ht="15.75" customHeight="1">
      <c r="A2371" s="25" t="str">
        <f>IFERROR(__xludf.DUMMYFUNCTION("IF(B2371="""","""",RIGHT(REGEXREPLACE(B2371&amp;"""",""[^0-9]"",""""),9))"),"777976135")</f>
        <v>777976135</v>
      </c>
      <c r="B2371" s="52">
        <v>7.77976135E8</v>
      </c>
      <c r="C2371" s="28" t="s">
        <v>2560</v>
      </c>
      <c r="D2371" s="26" t="s">
        <v>49</v>
      </c>
      <c r="E2371" s="31">
        <v>46229.0</v>
      </c>
      <c r="F2371" s="26" t="s">
        <v>46</v>
      </c>
      <c r="G2371" s="26">
        <v>11.0</v>
      </c>
      <c r="I2371" s="26" t="s">
        <v>42</v>
      </c>
      <c r="J2371" s="25" t="str">
        <f t="shared" si="34"/>
        <v>No</v>
      </c>
      <c r="K2371" s="25" t="str">
        <f t="shared" si="35"/>
        <v/>
      </c>
      <c r="L2371" s="25" t="str">
        <f t="shared" si="36"/>
        <v/>
      </c>
      <c r="M2371" s="25"/>
      <c r="O2371" s="25"/>
    </row>
    <row r="2372" ht="15.75" customHeight="1">
      <c r="A2372" s="25" t="str">
        <f>IFERROR(__xludf.DUMMYFUNCTION("IF(B2372="""","""",RIGHT(REGEXREPLACE(B2372&amp;"""",""[^0-9]"",""""),9))"),"778532988")</f>
        <v>778532988</v>
      </c>
      <c r="B2372" s="52">
        <v>9.4778532988E10</v>
      </c>
      <c r="C2372" s="28" t="s">
        <v>2561</v>
      </c>
      <c r="D2372" s="26" t="s">
        <v>37</v>
      </c>
      <c r="E2372" s="31">
        <v>46229.0</v>
      </c>
      <c r="F2372" s="26" t="s">
        <v>41</v>
      </c>
      <c r="G2372" s="26">
        <v>11.0</v>
      </c>
      <c r="I2372" s="26" t="s">
        <v>42</v>
      </c>
      <c r="J2372" s="25" t="str">
        <f t="shared" si="34"/>
        <v>No</v>
      </c>
      <c r="K2372" s="25" t="str">
        <f t="shared" si="35"/>
        <v/>
      </c>
      <c r="L2372" s="25" t="str">
        <f t="shared" si="36"/>
        <v/>
      </c>
      <c r="M2372" s="25"/>
      <c r="O2372" s="25"/>
    </row>
    <row r="2373" ht="15.75" customHeight="1">
      <c r="A2373" s="25" t="str">
        <f>IFERROR(__xludf.DUMMYFUNCTION("IF(B2373="""","""",RIGHT(REGEXREPLACE(B2373&amp;"""",""[^0-9]"",""""),9))"),"779734194")</f>
        <v>779734194</v>
      </c>
      <c r="B2373" s="52">
        <v>9.4779734194E10</v>
      </c>
      <c r="C2373" s="28" t="s">
        <v>2562</v>
      </c>
      <c r="D2373" s="26" t="s">
        <v>37</v>
      </c>
      <c r="E2373" s="31">
        <v>46229.0</v>
      </c>
      <c r="F2373" s="26" t="s">
        <v>631</v>
      </c>
      <c r="G2373" s="26">
        <v>11.0</v>
      </c>
      <c r="I2373" s="26" t="s">
        <v>42</v>
      </c>
      <c r="J2373" s="25" t="str">
        <f t="shared" si="34"/>
        <v>No</v>
      </c>
      <c r="K2373" s="25" t="str">
        <f t="shared" si="35"/>
        <v/>
      </c>
      <c r="L2373" s="25" t="str">
        <f t="shared" si="36"/>
        <v/>
      </c>
      <c r="M2373" s="25"/>
      <c r="O2373" s="25"/>
    </row>
    <row r="2374" ht="15.75" customHeight="1">
      <c r="A2374" s="25" t="str">
        <f>IFERROR(__xludf.DUMMYFUNCTION("IF(B2374="""","""",RIGHT(REGEXREPLACE(B2374&amp;"""",""[^0-9]"",""""),9))"),"715422294")</f>
        <v>715422294</v>
      </c>
      <c r="B2374" s="52">
        <v>7.15422294E8</v>
      </c>
      <c r="C2374" s="28" t="s">
        <v>2563</v>
      </c>
      <c r="D2374" s="26" t="s">
        <v>49</v>
      </c>
      <c r="E2374" s="31">
        <v>46229.0</v>
      </c>
      <c r="F2374" s="26" t="s">
        <v>46</v>
      </c>
      <c r="G2374" s="26">
        <v>10.0</v>
      </c>
      <c r="I2374" s="26" t="s">
        <v>42</v>
      </c>
      <c r="J2374" s="25" t="str">
        <f t="shared" si="34"/>
        <v>No</v>
      </c>
      <c r="K2374" s="25" t="str">
        <f t="shared" si="35"/>
        <v/>
      </c>
      <c r="L2374" s="25" t="str">
        <f t="shared" si="36"/>
        <v/>
      </c>
      <c r="M2374" s="25"/>
      <c r="O2374" s="25"/>
    </row>
    <row r="2375" ht="15.75" customHeight="1">
      <c r="A2375" s="25" t="str">
        <f>IFERROR(__xludf.DUMMYFUNCTION("IF(B2375="""","""",RIGHT(REGEXREPLACE(B2375&amp;"""",""[^0-9]"",""""),9))"),"771024316")</f>
        <v>771024316</v>
      </c>
      <c r="B2375" s="52">
        <v>7.71024316E8</v>
      </c>
      <c r="C2375" s="28" t="s">
        <v>2564</v>
      </c>
      <c r="D2375" s="26" t="s">
        <v>56</v>
      </c>
      <c r="E2375" s="31">
        <v>46229.0</v>
      </c>
      <c r="F2375" s="26" t="s">
        <v>46</v>
      </c>
      <c r="G2375" s="26">
        <v>11.0</v>
      </c>
      <c r="I2375" s="26" t="s">
        <v>42</v>
      </c>
      <c r="J2375" s="25" t="str">
        <f t="shared" si="34"/>
        <v>No</v>
      </c>
      <c r="K2375" s="25" t="str">
        <f t="shared" si="35"/>
        <v/>
      </c>
      <c r="L2375" s="25" t="str">
        <f t="shared" si="36"/>
        <v/>
      </c>
      <c r="M2375" s="25"/>
      <c r="O2375" s="25"/>
    </row>
    <row r="2376" ht="15.75" customHeight="1">
      <c r="A2376" s="25" t="str">
        <f>IFERROR(__xludf.DUMMYFUNCTION("IF(B2376="""","""",RIGHT(REGEXREPLACE(B2376&amp;"""",""[^0-9]"",""""),9))"),"756716867")</f>
        <v>756716867</v>
      </c>
      <c r="B2376" s="52">
        <v>7.56716867E8</v>
      </c>
      <c r="C2376" s="28" t="s">
        <v>2565</v>
      </c>
      <c r="D2376" s="26" t="s">
        <v>37</v>
      </c>
      <c r="E2376" s="31">
        <v>46229.0</v>
      </c>
      <c r="F2376" s="26" t="s">
        <v>41</v>
      </c>
      <c r="I2376" s="26" t="s">
        <v>42</v>
      </c>
      <c r="J2376" s="25" t="str">
        <f t="shared" si="34"/>
        <v>No</v>
      </c>
      <c r="K2376" s="25" t="str">
        <f t="shared" si="35"/>
        <v/>
      </c>
      <c r="L2376" s="25" t="str">
        <f t="shared" si="36"/>
        <v/>
      </c>
      <c r="M2376" s="25"/>
      <c r="O2376" s="25"/>
    </row>
    <row r="2377" ht="15.75" customHeight="1">
      <c r="A2377" s="25" t="str">
        <f>IFERROR(__xludf.DUMMYFUNCTION("IF(B2377="""","""",RIGHT(REGEXREPLACE(B2377&amp;"""",""[^0-9]"",""""),9))"),"741367645")</f>
        <v>741367645</v>
      </c>
      <c r="B2377" s="52">
        <v>7.41367645E8</v>
      </c>
      <c r="C2377" s="28" t="s">
        <v>2566</v>
      </c>
      <c r="D2377" s="26" t="s">
        <v>45</v>
      </c>
      <c r="E2377" s="31">
        <v>46229.0</v>
      </c>
      <c r="F2377" s="26" t="s">
        <v>41</v>
      </c>
      <c r="I2377" s="26" t="s">
        <v>42</v>
      </c>
      <c r="J2377" s="25" t="str">
        <f t="shared" si="34"/>
        <v>No</v>
      </c>
      <c r="K2377" s="25" t="str">
        <f t="shared" si="35"/>
        <v/>
      </c>
      <c r="L2377" s="25" t="str">
        <f t="shared" si="36"/>
        <v/>
      </c>
      <c r="M2377" s="25"/>
      <c r="O2377" s="25"/>
    </row>
    <row r="2378" ht="15.75" customHeight="1">
      <c r="A2378" s="25" t="str">
        <f>IFERROR(__xludf.DUMMYFUNCTION("IF(B2378="""","""",RIGHT(REGEXREPLACE(B2378&amp;"""",""[^0-9]"",""""),9))"),"759989124")</f>
        <v>759989124</v>
      </c>
      <c r="B2378" s="52">
        <v>7.59989124E8</v>
      </c>
      <c r="C2378" s="28" t="s">
        <v>2567</v>
      </c>
      <c r="D2378" s="26" t="s">
        <v>45</v>
      </c>
      <c r="E2378" s="31">
        <v>46229.0</v>
      </c>
      <c r="F2378" s="26" t="s">
        <v>41</v>
      </c>
      <c r="I2378" s="26" t="s">
        <v>42</v>
      </c>
      <c r="J2378" s="25" t="str">
        <f t="shared" si="34"/>
        <v>No</v>
      </c>
      <c r="K2378" s="25" t="str">
        <f t="shared" si="35"/>
        <v/>
      </c>
      <c r="L2378" s="25" t="str">
        <f t="shared" si="36"/>
        <v/>
      </c>
      <c r="M2378" s="25"/>
      <c r="O2378" s="25"/>
    </row>
    <row r="2379" ht="15.75" customHeight="1">
      <c r="A2379" s="25" t="str">
        <f>IFERROR(__xludf.DUMMYFUNCTION("IF(B2379="""","""",RIGHT(REGEXREPLACE(B2379&amp;"""",""[^0-9]"",""""),9))"),"776036947")</f>
        <v>776036947</v>
      </c>
      <c r="B2379" s="52">
        <v>7.76036947E8</v>
      </c>
      <c r="C2379" s="28" t="s">
        <v>2568</v>
      </c>
      <c r="D2379" s="26" t="s">
        <v>56</v>
      </c>
      <c r="E2379" s="31">
        <v>46229.0</v>
      </c>
      <c r="F2379" s="26" t="s">
        <v>46</v>
      </c>
      <c r="G2379" s="26">
        <v>11.0</v>
      </c>
      <c r="I2379" s="26" t="s">
        <v>42</v>
      </c>
      <c r="J2379" s="25" t="str">
        <f t="shared" si="34"/>
        <v>No</v>
      </c>
      <c r="K2379" s="25" t="str">
        <f t="shared" si="35"/>
        <v/>
      </c>
      <c r="L2379" s="25" t="str">
        <f t="shared" si="36"/>
        <v/>
      </c>
      <c r="M2379" s="25"/>
      <c r="O2379" s="25"/>
    </row>
    <row r="2380" ht="15.75" customHeight="1">
      <c r="A2380" s="25" t="str">
        <f>IFERROR(__xludf.DUMMYFUNCTION("IF(B2380="""","""",RIGHT(REGEXREPLACE(B2380&amp;"""",""[^0-9]"",""""),9))"),"777980521")</f>
        <v>777980521</v>
      </c>
      <c r="B2380" s="52">
        <v>7.77980521E8</v>
      </c>
      <c r="C2380" s="28" t="s">
        <v>2569</v>
      </c>
      <c r="D2380" s="26" t="s">
        <v>49</v>
      </c>
      <c r="E2380" s="31">
        <v>46229.0</v>
      </c>
      <c r="F2380" s="26" t="s">
        <v>46</v>
      </c>
      <c r="G2380" s="26">
        <v>11.0</v>
      </c>
      <c r="I2380" s="26" t="s">
        <v>42</v>
      </c>
      <c r="J2380" s="25" t="str">
        <f t="shared" si="34"/>
        <v>No</v>
      </c>
      <c r="K2380" s="25" t="str">
        <f t="shared" si="35"/>
        <v/>
      </c>
      <c r="L2380" s="25" t="str">
        <f t="shared" si="36"/>
        <v/>
      </c>
      <c r="M2380" s="25"/>
      <c r="O2380" s="25"/>
    </row>
    <row r="2381" ht="15.75" customHeight="1">
      <c r="A2381" s="25" t="str">
        <f>IFERROR(__xludf.DUMMYFUNCTION("IF(B2381="""","""",RIGHT(REGEXREPLACE(B2381&amp;"""",""[^0-9]"",""""),9))"),"782000986")</f>
        <v>782000986</v>
      </c>
      <c r="B2381" s="52">
        <v>9.4782000986E10</v>
      </c>
      <c r="C2381" s="28" t="s">
        <v>2570</v>
      </c>
      <c r="D2381" s="26" t="s">
        <v>37</v>
      </c>
      <c r="E2381" s="31">
        <v>46229.0</v>
      </c>
      <c r="F2381" s="26" t="s">
        <v>41</v>
      </c>
      <c r="I2381" s="26" t="s">
        <v>42</v>
      </c>
      <c r="J2381" s="25" t="str">
        <f t="shared" si="34"/>
        <v>No</v>
      </c>
      <c r="K2381" s="25" t="str">
        <f t="shared" si="35"/>
        <v/>
      </c>
      <c r="L2381" s="25" t="str">
        <f t="shared" si="36"/>
        <v/>
      </c>
      <c r="M2381" s="25"/>
      <c r="O2381" s="25"/>
    </row>
    <row r="2382" ht="15.75" customHeight="1">
      <c r="A2382" s="25" t="str">
        <f>IFERROR(__xludf.DUMMYFUNCTION("IF(B2382="""","""",RIGHT(REGEXREPLACE(B2382&amp;"""",""[^0-9]"",""""),9))"),"705818350")</f>
        <v>705818350</v>
      </c>
      <c r="B2382" s="52">
        <v>7.0581835E8</v>
      </c>
      <c r="C2382" s="28" t="s">
        <v>2571</v>
      </c>
      <c r="D2382" s="26" t="s">
        <v>49</v>
      </c>
      <c r="E2382" s="31">
        <v>46229.0</v>
      </c>
      <c r="F2382" s="26" t="s">
        <v>41</v>
      </c>
      <c r="G2382" s="26">
        <v>11.0</v>
      </c>
      <c r="I2382" s="26" t="s">
        <v>42</v>
      </c>
      <c r="J2382" s="25" t="str">
        <f t="shared" si="34"/>
        <v>No</v>
      </c>
      <c r="K2382" s="25" t="str">
        <f t="shared" si="35"/>
        <v/>
      </c>
      <c r="L2382" s="25" t="str">
        <f t="shared" si="36"/>
        <v/>
      </c>
      <c r="M2382" s="25"/>
      <c r="O2382" s="25"/>
    </row>
    <row r="2383" ht="15.75" customHeight="1">
      <c r="A2383" s="25" t="str">
        <f>IFERROR(__xludf.DUMMYFUNCTION("IF(B2383="""","""",RIGHT(REGEXREPLACE(B2383&amp;"""",""[^0-9]"",""""),9))"),"717055644")</f>
        <v>717055644</v>
      </c>
      <c r="B2383" s="52">
        <v>7.17055644E8</v>
      </c>
      <c r="C2383" s="28" t="s">
        <v>2572</v>
      </c>
      <c r="D2383" s="26" t="s">
        <v>56</v>
      </c>
      <c r="E2383" s="31">
        <v>46229.0</v>
      </c>
      <c r="F2383" s="26" t="s">
        <v>46</v>
      </c>
      <c r="G2383" s="26">
        <v>11.0</v>
      </c>
      <c r="I2383" s="26" t="s">
        <v>42</v>
      </c>
      <c r="J2383" s="25" t="str">
        <f t="shared" si="34"/>
        <v>No</v>
      </c>
      <c r="K2383" s="25" t="str">
        <f t="shared" si="35"/>
        <v/>
      </c>
      <c r="L2383" s="25" t="str">
        <f t="shared" si="36"/>
        <v/>
      </c>
      <c r="M2383" s="25"/>
      <c r="O2383" s="25"/>
    </row>
    <row r="2384" ht="15.75" customHeight="1">
      <c r="A2384" s="25" t="str">
        <f>IFERROR(__xludf.DUMMYFUNCTION("IF(B2384="""","""",RIGHT(REGEXREPLACE(B2384&amp;"""",""[^0-9]"",""""),9))"),"774538251")</f>
        <v>774538251</v>
      </c>
      <c r="B2384" s="52">
        <v>7.74538251E8</v>
      </c>
      <c r="C2384" s="28" t="s">
        <v>2573</v>
      </c>
      <c r="D2384" s="26" t="s">
        <v>49</v>
      </c>
      <c r="E2384" s="31">
        <v>46229.0</v>
      </c>
      <c r="F2384" s="26" t="s">
        <v>46</v>
      </c>
      <c r="G2384" s="26">
        <v>11.0</v>
      </c>
      <c r="I2384" s="26" t="s">
        <v>42</v>
      </c>
      <c r="J2384" s="25" t="str">
        <f t="shared" si="34"/>
        <v>No</v>
      </c>
      <c r="K2384" s="25" t="str">
        <f t="shared" si="35"/>
        <v/>
      </c>
      <c r="L2384" s="25" t="str">
        <f t="shared" si="36"/>
        <v/>
      </c>
      <c r="M2384" s="25"/>
      <c r="O2384" s="25"/>
    </row>
    <row r="2385" ht="15.75" customHeight="1">
      <c r="A2385" s="25" t="str">
        <f>IFERROR(__xludf.DUMMYFUNCTION("IF(B2385="""","""",RIGHT(REGEXREPLACE(B2385&amp;"""",""[^0-9]"",""""),9))"),"761803678")</f>
        <v>761803678</v>
      </c>
      <c r="B2385" s="52">
        <v>7.61803678E8</v>
      </c>
      <c r="C2385" s="28" t="s">
        <v>2574</v>
      </c>
      <c r="D2385" s="26" t="s">
        <v>56</v>
      </c>
      <c r="E2385" s="31">
        <v>46229.0</v>
      </c>
      <c r="F2385" s="26" t="s">
        <v>41</v>
      </c>
      <c r="G2385" s="26">
        <v>11.0</v>
      </c>
      <c r="I2385" s="26" t="s">
        <v>42</v>
      </c>
      <c r="J2385" s="25" t="str">
        <f t="shared" si="34"/>
        <v>No</v>
      </c>
      <c r="K2385" s="25" t="str">
        <f t="shared" si="35"/>
        <v/>
      </c>
      <c r="L2385" s="25" t="str">
        <f t="shared" si="36"/>
        <v/>
      </c>
      <c r="M2385" s="25"/>
      <c r="O2385" s="25"/>
    </row>
    <row r="2386" ht="15.75" customHeight="1">
      <c r="A2386" s="25" t="str">
        <f>IFERROR(__xludf.DUMMYFUNCTION("IF(B2386="""","""",RIGHT(REGEXREPLACE(B2386&amp;"""",""[^0-9]"",""""),9))"),"716000214")</f>
        <v>716000214</v>
      </c>
      <c r="B2386" s="52">
        <v>7.16000214E8</v>
      </c>
      <c r="C2386" s="28" t="s">
        <v>2575</v>
      </c>
      <c r="D2386" s="26" t="s">
        <v>49</v>
      </c>
      <c r="E2386" s="31">
        <v>46229.0</v>
      </c>
      <c r="F2386" s="26" t="s">
        <v>41</v>
      </c>
      <c r="G2386" s="26">
        <v>11.0</v>
      </c>
      <c r="I2386" s="26" t="s">
        <v>42</v>
      </c>
      <c r="J2386" s="25" t="str">
        <f t="shared" si="34"/>
        <v>No</v>
      </c>
      <c r="K2386" s="25" t="str">
        <f t="shared" si="35"/>
        <v/>
      </c>
      <c r="L2386" s="25" t="str">
        <f t="shared" si="36"/>
        <v/>
      </c>
      <c r="M2386" s="25"/>
      <c r="O2386" s="25"/>
    </row>
    <row r="2387" ht="15.75" customHeight="1">
      <c r="A2387" s="25" t="str">
        <f>IFERROR(__xludf.DUMMYFUNCTION("IF(B2387="""","""",RIGHT(REGEXREPLACE(B2387&amp;"""",""[^0-9]"",""""),9))"),"714140662")</f>
        <v>714140662</v>
      </c>
      <c r="B2387" s="52">
        <v>7.14140662E8</v>
      </c>
      <c r="C2387" s="28" t="s">
        <v>2576</v>
      </c>
      <c r="D2387" s="26" t="s">
        <v>49</v>
      </c>
      <c r="E2387" s="31">
        <v>46229.0</v>
      </c>
      <c r="F2387" s="26" t="s">
        <v>41</v>
      </c>
      <c r="I2387" s="26" t="s">
        <v>42</v>
      </c>
      <c r="J2387" s="25" t="str">
        <f t="shared" si="34"/>
        <v>No</v>
      </c>
      <c r="K2387" s="25" t="str">
        <f t="shared" si="35"/>
        <v/>
      </c>
      <c r="L2387" s="25" t="str">
        <f t="shared" si="36"/>
        <v/>
      </c>
      <c r="M2387" s="25"/>
      <c r="O2387" s="25"/>
    </row>
    <row r="2388" ht="15.75" customHeight="1">
      <c r="A2388" s="25" t="str">
        <f>IFERROR(__xludf.DUMMYFUNCTION("IF(B2388="""","""",RIGHT(REGEXREPLACE(B2388&amp;"""",""[^0-9]"",""""),9))"),"764345581")</f>
        <v>764345581</v>
      </c>
      <c r="B2388" s="52">
        <v>7.64345581E8</v>
      </c>
      <c r="C2388" s="28" t="s">
        <v>2577</v>
      </c>
      <c r="D2388" s="26" t="s">
        <v>56</v>
      </c>
      <c r="E2388" s="31">
        <v>46229.0</v>
      </c>
      <c r="F2388" s="26" t="s">
        <v>46</v>
      </c>
      <c r="G2388" s="26">
        <v>11.0</v>
      </c>
      <c r="I2388" s="26" t="s">
        <v>42</v>
      </c>
      <c r="J2388" s="25" t="str">
        <f t="shared" si="34"/>
        <v>No</v>
      </c>
      <c r="K2388" s="25" t="str">
        <f t="shared" si="35"/>
        <v/>
      </c>
      <c r="L2388" s="25" t="str">
        <f t="shared" si="36"/>
        <v/>
      </c>
      <c r="M2388" s="25"/>
      <c r="O2388" s="25"/>
    </row>
    <row r="2389" ht="15.75" customHeight="1">
      <c r="A2389" s="25" t="str">
        <f>IFERROR(__xludf.DUMMYFUNCTION("IF(B2389="""","""",RIGHT(REGEXREPLACE(B2389&amp;"""",""[^0-9]"",""""),9))"),"766668005")</f>
        <v>766668005</v>
      </c>
      <c r="B2389" s="52">
        <v>7.66668005E8</v>
      </c>
      <c r="C2389" s="28" t="s">
        <v>2577</v>
      </c>
      <c r="D2389" s="26" t="s">
        <v>37</v>
      </c>
      <c r="E2389" s="31">
        <v>46229.0</v>
      </c>
      <c r="F2389" s="26" t="s">
        <v>46</v>
      </c>
      <c r="G2389" s="26">
        <v>11.0</v>
      </c>
      <c r="I2389" s="26" t="s">
        <v>42</v>
      </c>
      <c r="J2389" s="25" t="str">
        <f t="shared" si="34"/>
        <v>No</v>
      </c>
      <c r="K2389" s="25" t="str">
        <f t="shared" si="35"/>
        <v/>
      </c>
      <c r="L2389" s="25" t="str">
        <f t="shared" si="36"/>
        <v/>
      </c>
      <c r="M2389" s="25"/>
      <c r="O2389" s="25"/>
    </row>
    <row r="2390" ht="15.75" customHeight="1">
      <c r="A2390" s="25" t="str">
        <f>IFERROR(__xludf.DUMMYFUNCTION("IF(B2390="""","""",RIGHT(REGEXREPLACE(B2390&amp;"""",""[^0-9]"",""""),9))"),"703186603")</f>
        <v>703186603</v>
      </c>
      <c r="B2390" s="52">
        <v>7.03186603E8</v>
      </c>
      <c r="C2390" s="28" t="s">
        <v>2578</v>
      </c>
      <c r="D2390" s="26" t="s">
        <v>45</v>
      </c>
      <c r="E2390" s="31">
        <v>46229.0</v>
      </c>
      <c r="F2390" s="26" t="s">
        <v>46</v>
      </c>
      <c r="G2390" s="26">
        <v>11.0</v>
      </c>
      <c r="I2390" s="26" t="s">
        <v>42</v>
      </c>
      <c r="J2390" s="25" t="str">
        <f t="shared" si="34"/>
        <v>No</v>
      </c>
      <c r="K2390" s="25" t="str">
        <f t="shared" si="35"/>
        <v/>
      </c>
      <c r="L2390" s="25" t="str">
        <f t="shared" si="36"/>
        <v/>
      </c>
      <c r="M2390" s="25"/>
      <c r="O2390" s="25"/>
    </row>
    <row r="2391" ht="15.75" customHeight="1">
      <c r="A2391" s="25" t="str">
        <f>IFERROR(__xludf.DUMMYFUNCTION("IF(B2391="""","""",RIGHT(REGEXREPLACE(B2391&amp;"""",""[^0-9]"",""""),9))"),"724705871")</f>
        <v>724705871</v>
      </c>
      <c r="B2391" s="26">
        <v>7.24705871E8</v>
      </c>
      <c r="C2391" s="28" t="s">
        <v>2579</v>
      </c>
      <c r="D2391" s="26" t="s">
        <v>37</v>
      </c>
      <c r="E2391" s="31">
        <v>46229.0</v>
      </c>
      <c r="F2391" s="26" t="s">
        <v>46</v>
      </c>
      <c r="G2391" s="26">
        <v>11.0</v>
      </c>
      <c r="I2391" s="26" t="s">
        <v>42</v>
      </c>
      <c r="J2391" s="25" t="str">
        <f t="shared" si="34"/>
        <v>No</v>
      </c>
      <c r="K2391" s="25" t="str">
        <f t="shared" si="35"/>
        <v/>
      </c>
      <c r="L2391" s="25" t="str">
        <f t="shared" si="36"/>
        <v/>
      </c>
      <c r="M2391" s="25"/>
      <c r="O2391" s="25"/>
    </row>
    <row r="2392" ht="15.75" customHeight="1">
      <c r="A2392" s="25" t="str">
        <f>IFERROR(__xludf.DUMMYFUNCTION("IF(B2392="""","""",RIGHT(REGEXREPLACE(B2392&amp;"""",""[^0-9]"",""""),9))"),"701033999")</f>
        <v>701033999</v>
      </c>
      <c r="B2392" s="52">
        <v>7.01033999E8</v>
      </c>
      <c r="C2392" s="28" t="s">
        <v>2580</v>
      </c>
      <c r="D2392" s="26" t="s">
        <v>56</v>
      </c>
      <c r="E2392" s="31">
        <v>46229.0</v>
      </c>
      <c r="F2392" s="26" t="s">
        <v>46</v>
      </c>
      <c r="G2392" s="26">
        <v>11.0</v>
      </c>
      <c r="I2392" s="26" t="s">
        <v>42</v>
      </c>
      <c r="J2392" s="25" t="str">
        <f t="shared" si="34"/>
        <v>No</v>
      </c>
      <c r="K2392" s="25" t="str">
        <f t="shared" si="35"/>
        <v/>
      </c>
      <c r="L2392" s="25" t="str">
        <f t="shared" si="36"/>
        <v/>
      </c>
      <c r="M2392" s="25"/>
      <c r="O2392" s="25"/>
    </row>
    <row r="2393" ht="15.75" customHeight="1">
      <c r="A2393" s="25" t="str">
        <f>IFERROR(__xludf.DUMMYFUNCTION("IF(B2393="""","""",RIGHT(REGEXREPLACE(B2393&amp;"""",""[^0-9]"",""""),9))"),"763897803")</f>
        <v>763897803</v>
      </c>
      <c r="B2393" s="52">
        <v>7.63897803E8</v>
      </c>
      <c r="C2393" s="28" t="s">
        <v>460</v>
      </c>
      <c r="D2393" s="26" t="s">
        <v>45</v>
      </c>
      <c r="E2393" s="31">
        <v>46229.0</v>
      </c>
      <c r="F2393" s="26" t="s">
        <v>46</v>
      </c>
      <c r="G2393" s="26">
        <v>11.0</v>
      </c>
      <c r="I2393" s="26" t="s">
        <v>42</v>
      </c>
      <c r="J2393" s="25" t="str">
        <f t="shared" si="34"/>
        <v>Yes - see Previous F-Code</v>
      </c>
      <c r="K2393" s="25" t="str">
        <f t="shared" si="35"/>
        <v>DUPLICATE - CHECK</v>
      </c>
      <c r="L2393" s="25" t="str">
        <f t="shared" si="36"/>
        <v>F70290</v>
      </c>
      <c r="M2393" s="25"/>
      <c r="O2393" s="25"/>
    </row>
    <row r="2394" ht="15.75" customHeight="1">
      <c r="A2394" s="25" t="str">
        <f>IFERROR(__xludf.DUMMYFUNCTION("IF(B2394="""","""",RIGHT(REGEXREPLACE(B2394&amp;"""",""[^0-9]"",""""),9))"),"729287339")</f>
        <v>729287339</v>
      </c>
      <c r="B2394" s="26">
        <v>7.29287339E8</v>
      </c>
      <c r="C2394" s="28" t="s">
        <v>2581</v>
      </c>
      <c r="D2394" s="26" t="s">
        <v>37</v>
      </c>
      <c r="E2394" s="31">
        <v>46229.0</v>
      </c>
      <c r="F2394" s="26" t="s">
        <v>46</v>
      </c>
      <c r="G2394" s="26">
        <v>11.0</v>
      </c>
      <c r="I2394" s="26" t="s">
        <v>42</v>
      </c>
      <c r="J2394" s="25" t="str">
        <f t="shared" si="34"/>
        <v>No</v>
      </c>
      <c r="K2394" s="25" t="str">
        <f t="shared" si="35"/>
        <v/>
      </c>
      <c r="L2394" s="25" t="str">
        <f t="shared" si="36"/>
        <v/>
      </c>
      <c r="M2394" s="25"/>
      <c r="O2394" s="25"/>
    </row>
    <row r="2395" ht="15.75" customHeight="1">
      <c r="A2395" s="25" t="str">
        <f>IFERROR(__xludf.DUMMYFUNCTION("IF(B2395="""","""",RIGHT(REGEXREPLACE(B2395&amp;"""",""[^0-9]"",""""),9))"),"710450695")</f>
        <v>710450695</v>
      </c>
      <c r="B2395" s="52">
        <v>7.10450695E8</v>
      </c>
      <c r="C2395" s="28" t="s">
        <v>2581</v>
      </c>
      <c r="D2395" s="26" t="s">
        <v>49</v>
      </c>
      <c r="E2395" s="31">
        <v>46229.0</v>
      </c>
      <c r="F2395" s="26" t="s">
        <v>46</v>
      </c>
      <c r="G2395" s="26">
        <v>11.0</v>
      </c>
      <c r="I2395" s="26" t="s">
        <v>42</v>
      </c>
      <c r="J2395" s="25" t="str">
        <f t="shared" si="34"/>
        <v>No</v>
      </c>
      <c r="K2395" s="25" t="str">
        <f t="shared" si="35"/>
        <v/>
      </c>
      <c r="L2395" s="25" t="str">
        <f t="shared" si="36"/>
        <v/>
      </c>
      <c r="M2395" s="25"/>
      <c r="O2395" s="25"/>
    </row>
    <row r="2396" ht="15.75" customHeight="1">
      <c r="A2396" s="25" t="str">
        <f>IFERROR(__xludf.DUMMYFUNCTION("IF(B2396="""","""",RIGHT(REGEXREPLACE(B2396&amp;"""",""[^0-9]"",""""),9))"),"753750390")</f>
        <v>753750390</v>
      </c>
      <c r="B2396" s="26">
        <v>7.5375039E8</v>
      </c>
      <c r="C2396" s="28" t="s">
        <v>2582</v>
      </c>
      <c r="D2396" s="26" t="s">
        <v>37</v>
      </c>
      <c r="E2396" s="31">
        <v>46229.0</v>
      </c>
      <c r="F2396" s="26" t="s">
        <v>46</v>
      </c>
      <c r="G2396" s="26">
        <v>11.0</v>
      </c>
      <c r="I2396" s="26" t="s">
        <v>42</v>
      </c>
      <c r="J2396" s="25" t="str">
        <f t="shared" si="34"/>
        <v>No</v>
      </c>
      <c r="K2396" s="25" t="str">
        <f t="shared" si="35"/>
        <v/>
      </c>
      <c r="L2396" s="25" t="str">
        <f t="shared" si="36"/>
        <v/>
      </c>
      <c r="M2396" s="25"/>
      <c r="O2396" s="25"/>
    </row>
    <row r="2397" ht="15.75" customHeight="1">
      <c r="A2397" s="25" t="str">
        <f>IFERROR(__xludf.DUMMYFUNCTION("IF(B2397="""","""",RIGHT(REGEXREPLACE(B2397&amp;"""",""[^0-9]"",""""),9))"),"701391133")</f>
        <v>701391133</v>
      </c>
      <c r="B2397" s="52">
        <v>7.01391133E8</v>
      </c>
      <c r="C2397" s="28" t="s">
        <v>2583</v>
      </c>
      <c r="D2397" s="26" t="s">
        <v>45</v>
      </c>
      <c r="E2397" s="31">
        <v>46229.0</v>
      </c>
      <c r="F2397" s="26" t="s">
        <v>46</v>
      </c>
      <c r="G2397" s="26">
        <v>11.0</v>
      </c>
      <c r="I2397" s="26" t="s">
        <v>42</v>
      </c>
      <c r="J2397" s="25" t="str">
        <f t="shared" si="34"/>
        <v>No</v>
      </c>
      <c r="K2397" s="25" t="str">
        <f t="shared" si="35"/>
        <v/>
      </c>
      <c r="L2397" s="25" t="str">
        <f t="shared" si="36"/>
        <v/>
      </c>
      <c r="M2397" s="25"/>
      <c r="O2397" s="25"/>
    </row>
    <row r="2398" ht="15.75" customHeight="1">
      <c r="A2398" s="25" t="str">
        <f>IFERROR(__xludf.DUMMYFUNCTION("IF(B2398="""","""",RIGHT(REGEXREPLACE(B2398&amp;"""",""[^0-9]"",""""),9))"),"741152186")</f>
        <v>741152186</v>
      </c>
      <c r="B2398" s="52">
        <v>7.41152186E8</v>
      </c>
      <c r="C2398" s="28" t="s">
        <v>2584</v>
      </c>
      <c r="D2398" s="26" t="s">
        <v>45</v>
      </c>
      <c r="E2398" s="31">
        <v>46229.0</v>
      </c>
      <c r="F2398" s="26" t="s">
        <v>46</v>
      </c>
      <c r="G2398" s="26">
        <v>11.0</v>
      </c>
      <c r="I2398" s="26" t="s">
        <v>42</v>
      </c>
      <c r="J2398" s="25" t="str">
        <f t="shared" si="34"/>
        <v>No</v>
      </c>
      <c r="K2398" s="25" t="str">
        <f t="shared" si="35"/>
        <v/>
      </c>
      <c r="L2398" s="25" t="str">
        <f t="shared" si="36"/>
        <v/>
      </c>
      <c r="M2398" s="25"/>
      <c r="O2398" s="25"/>
    </row>
    <row r="2399" ht="15.75" customHeight="1">
      <c r="A2399" s="25" t="str">
        <f>IFERROR(__xludf.DUMMYFUNCTION("IF(B2399="""","""",RIGHT(REGEXREPLACE(B2399&amp;"""",""[^0-9]"",""""),9))"),"743614487")</f>
        <v>743614487</v>
      </c>
      <c r="B2399" s="26">
        <v>7.43614487E8</v>
      </c>
      <c r="C2399" s="28" t="s">
        <v>2585</v>
      </c>
      <c r="D2399" s="26" t="s">
        <v>37</v>
      </c>
      <c r="E2399" s="31">
        <v>46229.0</v>
      </c>
      <c r="F2399" s="26" t="s">
        <v>46</v>
      </c>
      <c r="G2399" s="26">
        <v>11.0</v>
      </c>
      <c r="I2399" s="26" t="s">
        <v>42</v>
      </c>
      <c r="J2399" s="25" t="str">
        <f t="shared" si="34"/>
        <v>No</v>
      </c>
      <c r="K2399" s="25" t="str">
        <f t="shared" si="35"/>
        <v/>
      </c>
      <c r="L2399" s="25" t="str">
        <f t="shared" si="36"/>
        <v/>
      </c>
      <c r="M2399" s="25"/>
      <c r="O2399" s="25"/>
    </row>
    <row r="2400" ht="15.75" customHeight="1">
      <c r="A2400" s="25" t="str">
        <f>IFERROR(__xludf.DUMMYFUNCTION("IF(B2400="""","""",RIGHT(REGEXREPLACE(B2400&amp;"""",""[^0-9]"",""""),9))"),"779778085")</f>
        <v>779778085</v>
      </c>
      <c r="B2400" s="52">
        <v>7.79778085E8</v>
      </c>
      <c r="C2400" s="28" t="s">
        <v>2586</v>
      </c>
      <c r="D2400" s="26" t="s">
        <v>49</v>
      </c>
      <c r="E2400" s="31">
        <v>46229.0</v>
      </c>
      <c r="F2400" s="26" t="s">
        <v>41</v>
      </c>
      <c r="G2400" s="26">
        <v>11.0</v>
      </c>
      <c r="I2400" s="26" t="s">
        <v>42</v>
      </c>
      <c r="J2400" s="25" t="str">
        <f t="shared" si="34"/>
        <v>No</v>
      </c>
      <c r="K2400" s="25" t="str">
        <f t="shared" si="35"/>
        <v/>
      </c>
      <c r="L2400" s="25" t="str">
        <f t="shared" si="36"/>
        <v/>
      </c>
      <c r="M2400" s="25"/>
      <c r="O2400" s="25"/>
    </row>
    <row r="2401" ht="15.75" customHeight="1">
      <c r="A2401" s="25" t="str">
        <f>IFERROR(__xludf.DUMMYFUNCTION("IF(B2401="""","""",RIGHT(REGEXREPLACE(B2401&amp;"""",""[^0-9]"",""""),9))"),"778483712")</f>
        <v>778483712</v>
      </c>
      <c r="B2401" s="52">
        <v>7.78483712E8</v>
      </c>
      <c r="C2401" s="28" t="s">
        <v>2587</v>
      </c>
      <c r="D2401" s="26" t="s">
        <v>45</v>
      </c>
      <c r="E2401" s="31">
        <v>46229.0</v>
      </c>
      <c r="F2401" s="26" t="s">
        <v>46</v>
      </c>
      <c r="I2401" s="26" t="s">
        <v>42</v>
      </c>
      <c r="J2401" s="25" t="str">
        <f t="shared" si="34"/>
        <v>No</v>
      </c>
      <c r="K2401" s="25" t="str">
        <f t="shared" si="35"/>
        <v/>
      </c>
      <c r="L2401" s="25" t="str">
        <f t="shared" si="36"/>
        <v/>
      </c>
      <c r="M2401" s="25"/>
      <c r="O2401" s="25"/>
    </row>
    <row r="2402" ht="15.75" customHeight="1">
      <c r="A2402" s="25" t="str">
        <f>IFERROR(__xludf.DUMMYFUNCTION("IF(B2402="""","""",RIGHT(REGEXREPLACE(B2402&amp;"""",""[^0-9]"",""""),9))"),"773783941")</f>
        <v>773783941</v>
      </c>
      <c r="B2402" s="26">
        <v>7.73783941E8</v>
      </c>
      <c r="C2402" s="28" t="s">
        <v>1780</v>
      </c>
      <c r="D2402" s="26" t="s">
        <v>37</v>
      </c>
      <c r="E2402" s="31">
        <v>46229.0</v>
      </c>
      <c r="F2402" s="26" t="s">
        <v>46</v>
      </c>
      <c r="I2402" s="26" t="s">
        <v>42</v>
      </c>
      <c r="J2402" s="25" t="str">
        <f t="shared" si="34"/>
        <v>No</v>
      </c>
      <c r="K2402" s="25" t="str">
        <f t="shared" si="35"/>
        <v/>
      </c>
      <c r="L2402" s="25" t="str">
        <f t="shared" si="36"/>
        <v/>
      </c>
      <c r="M2402" s="25"/>
      <c r="O2402" s="25"/>
    </row>
    <row r="2403" ht="15.75" customHeight="1">
      <c r="A2403" s="25" t="str">
        <f>IFERROR(__xludf.DUMMYFUNCTION("IF(B2403="""","""",RIGHT(REGEXREPLACE(B2403&amp;"""",""[^0-9]"",""""),9))"),"786250942")</f>
        <v>786250942</v>
      </c>
      <c r="B2403" s="52">
        <v>7.86250942E8</v>
      </c>
      <c r="C2403" s="28" t="s">
        <v>2588</v>
      </c>
      <c r="D2403" s="26" t="s">
        <v>49</v>
      </c>
      <c r="E2403" s="31">
        <v>46229.0</v>
      </c>
      <c r="F2403" s="26" t="s">
        <v>41</v>
      </c>
      <c r="I2403" s="26" t="s">
        <v>42</v>
      </c>
      <c r="J2403" s="25" t="str">
        <f t="shared" si="34"/>
        <v>No</v>
      </c>
      <c r="K2403" s="25" t="str">
        <f t="shared" si="35"/>
        <v/>
      </c>
      <c r="L2403" s="25" t="str">
        <f t="shared" si="36"/>
        <v/>
      </c>
      <c r="M2403" s="25"/>
      <c r="O2403" s="25"/>
    </row>
    <row r="2404" ht="15.75" customHeight="1">
      <c r="A2404" s="25" t="str">
        <f>IFERROR(__xludf.DUMMYFUNCTION("IF(B2404="""","""",RIGHT(REGEXREPLACE(B2404&amp;"""",""[^0-9]"",""""),9))"),"715810382")</f>
        <v>715810382</v>
      </c>
      <c r="B2404" s="52">
        <v>7.15810382E8</v>
      </c>
      <c r="C2404" s="28" t="s">
        <v>2589</v>
      </c>
      <c r="D2404" s="26" t="s">
        <v>56</v>
      </c>
      <c r="E2404" s="31">
        <v>46229.0</v>
      </c>
      <c r="F2404" s="26" t="s">
        <v>164</v>
      </c>
      <c r="G2404" s="26">
        <v>11.0</v>
      </c>
      <c r="I2404" s="26" t="s">
        <v>42</v>
      </c>
      <c r="J2404" s="25" t="str">
        <f t="shared" si="34"/>
        <v>No</v>
      </c>
      <c r="K2404" s="25" t="str">
        <f t="shared" si="35"/>
        <v/>
      </c>
      <c r="L2404" s="25" t="str">
        <f t="shared" si="36"/>
        <v/>
      </c>
      <c r="M2404" s="25"/>
      <c r="O2404" s="25"/>
    </row>
    <row r="2405" ht="15.75" customHeight="1">
      <c r="A2405" s="25" t="str">
        <f>IFERROR(__xludf.DUMMYFUNCTION("IF(B2405="""","""",RIGHT(REGEXREPLACE(B2405&amp;"""",""[^0-9]"",""""),9))"),"757063897")</f>
        <v>757063897</v>
      </c>
      <c r="B2405" s="52">
        <v>7.57063897E8</v>
      </c>
      <c r="C2405" s="28" t="s">
        <v>2590</v>
      </c>
      <c r="D2405" s="26" t="s">
        <v>56</v>
      </c>
      <c r="E2405" s="31">
        <v>46229.0</v>
      </c>
      <c r="F2405" s="26" t="s">
        <v>46</v>
      </c>
      <c r="G2405" s="26">
        <v>11.0</v>
      </c>
      <c r="I2405" s="26" t="s">
        <v>42</v>
      </c>
      <c r="J2405" s="25" t="str">
        <f t="shared" si="34"/>
        <v>No</v>
      </c>
      <c r="K2405" s="25" t="str">
        <f t="shared" si="35"/>
        <v/>
      </c>
      <c r="L2405" s="25" t="str">
        <f t="shared" si="36"/>
        <v/>
      </c>
      <c r="M2405" s="25"/>
      <c r="O2405" s="25"/>
    </row>
    <row r="2406" ht="15.75" customHeight="1">
      <c r="A2406" s="25" t="str">
        <f>IFERROR(__xludf.DUMMYFUNCTION("IF(B2406="""","""",RIGHT(REGEXREPLACE(B2406&amp;"""",""[^0-9]"",""""),9))"),"715107621")</f>
        <v>715107621</v>
      </c>
      <c r="B2406" s="52">
        <v>7.15107621E8</v>
      </c>
      <c r="C2406" s="28" t="s">
        <v>2591</v>
      </c>
      <c r="D2406" s="26" t="s">
        <v>49</v>
      </c>
      <c r="E2406" s="31">
        <v>46229.0</v>
      </c>
      <c r="F2406" s="26" t="s">
        <v>46</v>
      </c>
      <c r="G2406" s="26" t="s">
        <v>177</v>
      </c>
      <c r="I2406" s="26" t="s">
        <v>42</v>
      </c>
      <c r="J2406" s="25" t="str">
        <f t="shared" si="34"/>
        <v>No</v>
      </c>
      <c r="K2406" s="25" t="str">
        <f t="shared" si="35"/>
        <v/>
      </c>
      <c r="L2406" s="25" t="str">
        <f t="shared" si="36"/>
        <v/>
      </c>
      <c r="M2406" s="25"/>
      <c r="O2406" s="25"/>
    </row>
    <row r="2407" ht="15.75" customHeight="1">
      <c r="A2407" s="25" t="str">
        <f>IFERROR(__xludf.DUMMYFUNCTION("IF(B2407="""","""",RIGHT(REGEXREPLACE(B2407&amp;"""",""[^0-9]"",""""),9))"),"772333774")</f>
        <v>772333774</v>
      </c>
      <c r="B2407" s="52">
        <v>7.72333774E8</v>
      </c>
      <c r="C2407" s="28" t="s">
        <v>2592</v>
      </c>
      <c r="D2407" s="26" t="s">
        <v>56</v>
      </c>
      <c r="E2407" s="31">
        <v>46229.0</v>
      </c>
      <c r="F2407" s="26" t="s">
        <v>41</v>
      </c>
      <c r="G2407" s="26">
        <v>11.0</v>
      </c>
      <c r="I2407" s="26" t="s">
        <v>42</v>
      </c>
      <c r="J2407" s="25" t="str">
        <f t="shared" si="34"/>
        <v>No</v>
      </c>
      <c r="K2407" s="25" t="str">
        <f t="shared" si="35"/>
        <v/>
      </c>
      <c r="L2407" s="25" t="str">
        <f t="shared" si="36"/>
        <v/>
      </c>
      <c r="M2407" s="25"/>
      <c r="O2407" s="25"/>
    </row>
    <row r="2408" ht="15.75" customHeight="1">
      <c r="A2408" s="25" t="str">
        <f>IFERROR(__xludf.DUMMYFUNCTION("IF(B2408="""","""",RIGHT(REGEXREPLACE(B2408&amp;"""",""[^0-9]"",""""),9))"),"774661161")</f>
        <v>774661161</v>
      </c>
      <c r="B2408" s="52">
        <v>7.74661161E8</v>
      </c>
      <c r="C2408" s="28" t="s">
        <v>870</v>
      </c>
      <c r="D2408" s="26" t="s">
        <v>49</v>
      </c>
      <c r="E2408" s="31">
        <v>46229.0</v>
      </c>
      <c r="F2408" s="26" t="s">
        <v>41</v>
      </c>
      <c r="G2408" s="26">
        <v>11.0</v>
      </c>
      <c r="I2408" s="26" t="s">
        <v>42</v>
      </c>
      <c r="J2408" s="25" t="str">
        <f t="shared" si="34"/>
        <v>Yes - see Previous F-Code</v>
      </c>
      <c r="K2408" s="25" t="str">
        <f t="shared" si="35"/>
        <v>DUPLICATE - CHECK</v>
      </c>
      <c r="L2408" s="25" t="str">
        <f t="shared" si="36"/>
        <v>F70637</v>
      </c>
      <c r="M2408" s="25"/>
      <c r="O2408" s="25"/>
    </row>
    <row r="2409" ht="15.75" customHeight="1">
      <c r="A2409" s="25" t="str">
        <f>IFERROR(__xludf.DUMMYFUNCTION("IF(B2409="""","""",RIGHT(REGEXREPLACE(B2409&amp;"""",""[^0-9]"",""""),9))"),"765642377")</f>
        <v>765642377</v>
      </c>
      <c r="B2409" s="52">
        <v>7.65642377E8</v>
      </c>
      <c r="C2409" s="28" t="s">
        <v>2593</v>
      </c>
      <c r="D2409" s="26" t="s">
        <v>49</v>
      </c>
      <c r="E2409" s="31">
        <v>46229.0</v>
      </c>
      <c r="F2409" s="26" t="s">
        <v>46</v>
      </c>
      <c r="G2409" s="26">
        <v>11.0</v>
      </c>
      <c r="I2409" s="26" t="s">
        <v>42</v>
      </c>
      <c r="J2409" s="25" t="str">
        <f t="shared" si="34"/>
        <v>No</v>
      </c>
      <c r="K2409" s="25" t="str">
        <f t="shared" si="35"/>
        <v/>
      </c>
      <c r="L2409" s="25" t="str">
        <f t="shared" si="36"/>
        <v/>
      </c>
      <c r="M2409" s="25"/>
      <c r="O2409" s="25"/>
    </row>
    <row r="2410" ht="15.75" customHeight="1">
      <c r="A2410" s="25" t="str">
        <f>IFERROR(__xludf.DUMMYFUNCTION("IF(B2410="""","""",RIGHT(REGEXREPLACE(B2410&amp;"""",""[^0-9]"",""""),9))"),"762455017")</f>
        <v>762455017</v>
      </c>
      <c r="B2410" s="52">
        <v>7.62455017E8</v>
      </c>
      <c r="C2410" s="28" t="s">
        <v>2594</v>
      </c>
      <c r="D2410" s="26" t="s">
        <v>56</v>
      </c>
      <c r="E2410" s="31">
        <v>46229.0</v>
      </c>
      <c r="F2410" s="26" t="s">
        <v>41</v>
      </c>
      <c r="G2410" s="26">
        <v>11.0</v>
      </c>
      <c r="I2410" s="26" t="s">
        <v>42</v>
      </c>
      <c r="J2410" s="25" t="str">
        <f t="shared" si="34"/>
        <v>No</v>
      </c>
      <c r="K2410" s="25" t="str">
        <f t="shared" si="35"/>
        <v/>
      </c>
      <c r="L2410" s="25" t="str">
        <f t="shared" si="36"/>
        <v/>
      </c>
      <c r="M2410" s="25"/>
      <c r="O2410" s="25"/>
    </row>
    <row r="2411" ht="15.75" customHeight="1">
      <c r="A2411" s="25" t="str">
        <f>IFERROR(__xludf.DUMMYFUNCTION("IF(B2411="""","""",RIGHT(REGEXREPLACE(B2411&amp;"""",""[^0-9]"",""""),9))"),"765466516")</f>
        <v>765466516</v>
      </c>
      <c r="B2411" s="52">
        <v>7.65466516E8</v>
      </c>
      <c r="C2411" s="28" t="s">
        <v>2595</v>
      </c>
      <c r="D2411" s="26" t="s">
        <v>49</v>
      </c>
      <c r="E2411" s="31">
        <v>46229.0</v>
      </c>
      <c r="F2411" s="26" t="s">
        <v>41</v>
      </c>
      <c r="I2411" s="26" t="s">
        <v>42</v>
      </c>
      <c r="J2411" s="25" t="str">
        <f t="shared" si="34"/>
        <v>No</v>
      </c>
      <c r="K2411" s="25" t="str">
        <f t="shared" si="35"/>
        <v/>
      </c>
      <c r="L2411" s="25" t="str">
        <f t="shared" si="36"/>
        <v/>
      </c>
      <c r="M2411" s="25"/>
      <c r="O2411" s="25"/>
    </row>
    <row r="2412" ht="15.75" customHeight="1">
      <c r="A2412" s="25" t="str">
        <f>IFERROR(__xludf.DUMMYFUNCTION("IF(B2412="""","""",RIGHT(REGEXREPLACE(B2412&amp;"""",""[^0-9]"",""""),9))"),"774415052")</f>
        <v>774415052</v>
      </c>
      <c r="B2412" s="26">
        <v>7.74415052E8</v>
      </c>
      <c r="C2412" s="28" t="s">
        <v>1890</v>
      </c>
      <c r="D2412" s="26" t="s">
        <v>37</v>
      </c>
      <c r="E2412" s="31">
        <v>46229.0</v>
      </c>
      <c r="F2412" s="26" t="s">
        <v>46</v>
      </c>
      <c r="G2412" s="26">
        <v>11.0</v>
      </c>
      <c r="I2412" s="26" t="s">
        <v>42</v>
      </c>
      <c r="J2412" s="25" t="str">
        <f t="shared" si="34"/>
        <v>Yes - see Previous F-Code</v>
      </c>
      <c r="K2412" s="25" t="str">
        <f t="shared" si="35"/>
        <v>DUPLICATE - CHECK</v>
      </c>
      <c r="L2412" s="25" t="str">
        <f t="shared" si="36"/>
        <v>F71596</v>
      </c>
      <c r="M2412" s="25"/>
      <c r="O2412" s="25"/>
    </row>
    <row r="2413" ht="15.75" customHeight="1">
      <c r="A2413" s="25" t="str">
        <f>IFERROR(__xludf.DUMMYFUNCTION("IF(B2413="""","""",RIGHT(REGEXREPLACE(B2413&amp;"""",""[^0-9]"",""""),9))"),"776736616")</f>
        <v>776736616</v>
      </c>
      <c r="B2413" s="52">
        <v>7.76736616E8</v>
      </c>
      <c r="C2413" s="28" t="s">
        <v>2596</v>
      </c>
      <c r="D2413" s="26" t="s">
        <v>82</v>
      </c>
      <c r="E2413" s="31">
        <v>46230.0</v>
      </c>
      <c r="F2413" s="26" t="s">
        <v>41</v>
      </c>
      <c r="I2413" s="26" t="s">
        <v>42</v>
      </c>
      <c r="J2413" s="25" t="str">
        <f t="shared" si="34"/>
        <v>No</v>
      </c>
      <c r="K2413" s="25" t="str">
        <f t="shared" si="35"/>
        <v/>
      </c>
      <c r="L2413" s="25" t="str">
        <f t="shared" si="36"/>
        <v/>
      </c>
      <c r="M2413" s="25"/>
      <c r="O2413" s="25"/>
    </row>
    <row r="2414" ht="15.75" customHeight="1">
      <c r="A2414" s="25" t="str">
        <f>IFERROR(__xludf.DUMMYFUNCTION("IF(B2414="""","""",RIGHT(REGEXREPLACE(B2414&amp;"""",""[^0-9]"",""""),9))"),"785477577")</f>
        <v>785477577</v>
      </c>
      <c r="B2414" s="52">
        <v>7.85477577E8</v>
      </c>
      <c r="C2414" s="28" t="s">
        <v>2597</v>
      </c>
      <c r="D2414" s="26" t="s">
        <v>56</v>
      </c>
      <c r="E2414" s="31">
        <v>46230.0</v>
      </c>
      <c r="F2414" s="26" t="s">
        <v>41</v>
      </c>
      <c r="I2414" s="26" t="s">
        <v>42</v>
      </c>
      <c r="J2414" s="25" t="str">
        <f t="shared" si="34"/>
        <v>No</v>
      </c>
      <c r="K2414" s="25" t="str">
        <f t="shared" si="35"/>
        <v/>
      </c>
      <c r="L2414" s="25" t="str">
        <f t="shared" si="36"/>
        <v/>
      </c>
      <c r="M2414" s="25"/>
      <c r="O2414" s="25"/>
    </row>
    <row r="2415" ht="15.75" customHeight="1">
      <c r="A2415" s="25" t="str">
        <f>IFERROR(__xludf.DUMMYFUNCTION("IF(B2415="""","""",RIGHT(REGEXREPLACE(B2415&amp;"""",""[^0-9]"",""""),9))"),"775840776")</f>
        <v>775840776</v>
      </c>
      <c r="B2415" s="52">
        <v>7.75840776E8</v>
      </c>
      <c r="C2415" s="28" t="s">
        <v>2598</v>
      </c>
      <c r="D2415" s="26" t="s">
        <v>64</v>
      </c>
      <c r="E2415" s="31">
        <v>46230.0</v>
      </c>
      <c r="F2415" s="26" t="s">
        <v>46</v>
      </c>
      <c r="G2415" s="26">
        <v>11.0</v>
      </c>
      <c r="I2415" s="26" t="s">
        <v>42</v>
      </c>
      <c r="J2415" s="25" t="str">
        <f t="shared" si="34"/>
        <v>No</v>
      </c>
      <c r="K2415" s="25" t="str">
        <f t="shared" si="35"/>
        <v/>
      </c>
      <c r="L2415" s="25" t="str">
        <f t="shared" si="36"/>
        <v/>
      </c>
      <c r="M2415" s="25"/>
      <c r="O2415" s="25"/>
    </row>
    <row r="2416" ht="15.75" customHeight="1">
      <c r="A2416" s="25" t="str">
        <f>IFERROR(__xludf.DUMMYFUNCTION("IF(B2416="""","""",RIGHT(REGEXREPLACE(B2416&amp;"""",""[^0-9]"",""""),9))"),"713497040")</f>
        <v>713497040</v>
      </c>
      <c r="B2416" s="52">
        <v>7.1349704E8</v>
      </c>
      <c r="C2416" s="28" t="s">
        <v>2599</v>
      </c>
      <c r="D2416" s="26" t="s">
        <v>82</v>
      </c>
      <c r="E2416" s="31">
        <v>46230.0</v>
      </c>
      <c r="F2416" s="26" t="s">
        <v>125</v>
      </c>
      <c r="G2416" s="26" t="s">
        <v>2600</v>
      </c>
      <c r="I2416" s="26" t="s">
        <v>42</v>
      </c>
      <c r="J2416" s="25" t="str">
        <f t="shared" si="34"/>
        <v>No</v>
      </c>
      <c r="K2416" s="25" t="str">
        <f t="shared" si="35"/>
        <v/>
      </c>
      <c r="L2416" s="25" t="str">
        <f t="shared" si="36"/>
        <v/>
      </c>
      <c r="M2416" s="25"/>
      <c r="O2416" s="25"/>
    </row>
    <row r="2417" ht="15.75" customHeight="1">
      <c r="A2417" s="25" t="str">
        <f>IFERROR(__xludf.DUMMYFUNCTION("IF(B2417="""","""",RIGHT(REGEXREPLACE(B2417&amp;"""",""[^0-9]"",""""),9))"),"753197508")</f>
        <v>753197508</v>
      </c>
      <c r="B2417" s="52">
        <v>7.53197508E8</v>
      </c>
      <c r="C2417" s="28" t="s">
        <v>2601</v>
      </c>
      <c r="D2417" s="26" t="s">
        <v>56</v>
      </c>
      <c r="E2417" s="31">
        <v>46230.0</v>
      </c>
      <c r="F2417" s="26" t="s">
        <v>205</v>
      </c>
      <c r="I2417" s="26" t="s">
        <v>42</v>
      </c>
      <c r="J2417" s="25" t="str">
        <f t="shared" si="34"/>
        <v>No</v>
      </c>
      <c r="K2417" s="25" t="str">
        <f t="shared" si="35"/>
        <v/>
      </c>
      <c r="L2417" s="25" t="str">
        <f t="shared" si="36"/>
        <v/>
      </c>
      <c r="M2417" s="25"/>
      <c r="O2417" s="25"/>
    </row>
    <row r="2418" ht="15.75" customHeight="1">
      <c r="A2418" s="25" t="str">
        <f>IFERROR(__xludf.DUMMYFUNCTION("IF(B2418="""","""",RIGHT(REGEXREPLACE(B2418&amp;"""",""[^0-9]"",""""),9))"),"778513095")</f>
        <v>778513095</v>
      </c>
      <c r="B2418" s="52">
        <v>7.78513095E8</v>
      </c>
      <c r="C2418" s="28" t="s">
        <v>2601</v>
      </c>
      <c r="D2418" s="26" t="s">
        <v>45</v>
      </c>
      <c r="E2418" s="31">
        <v>46230.0</v>
      </c>
      <c r="F2418" s="26" t="s">
        <v>46</v>
      </c>
      <c r="G2418" s="26">
        <v>11.0</v>
      </c>
      <c r="I2418" s="26" t="s">
        <v>42</v>
      </c>
      <c r="J2418" s="25" t="str">
        <f t="shared" si="34"/>
        <v>No</v>
      </c>
      <c r="K2418" s="25" t="str">
        <f t="shared" si="35"/>
        <v/>
      </c>
      <c r="L2418" s="25" t="str">
        <f t="shared" si="36"/>
        <v/>
      </c>
      <c r="M2418" s="25"/>
      <c r="O2418" s="25"/>
    </row>
    <row r="2419" ht="15.75" customHeight="1">
      <c r="A2419" s="25" t="str">
        <f>IFERROR(__xludf.DUMMYFUNCTION("IF(B2419="""","""",RIGHT(REGEXREPLACE(B2419&amp;"""",""[^0-9]"",""""),9))"),"763500088")</f>
        <v>763500088</v>
      </c>
      <c r="B2419" s="52">
        <v>7.63500088E8</v>
      </c>
      <c r="C2419" s="28" t="s">
        <v>2602</v>
      </c>
      <c r="D2419" s="26" t="s">
        <v>56</v>
      </c>
      <c r="E2419" s="31">
        <v>46230.0</v>
      </c>
      <c r="F2419" s="26" t="s">
        <v>46</v>
      </c>
      <c r="G2419" s="26">
        <v>11.0</v>
      </c>
      <c r="H2419" s="26" t="s">
        <v>774</v>
      </c>
      <c r="I2419" s="26" t="s">
        <v>42</v>
      </c>
      <c r="J2419" s="25" t="str">
        <f t="shared" si="34"/>
        <v>No</v>
      </c>
      <c r="K2419" s="25" t="str">
        <f t="shared" si="35"/>
        <v/>
      </c>
      <c r="L2419" s="25" t="str">
        <f t="shared" si="36"/>
        <v/>
      </c>
      <c r="M2419" s="25"/>
      <c r="O2419" s="25"/>
    </row>
    <row r="2420" ht="15.75" customHeight="1">
      <c r="A2420" s="25" t="str">
        <f>IFERROR(__xludf.DUMMYFUNCTION("IF(B2420="""","""",RIGHT(REGEXREPLACE(B2420&amp;"""",""[^0-9]"",""""),9))"),"768449723")</f>
        <v>768449723</v>
      </c>
      <c r="B2420" s="52">
        <v>7.68449723E8</v>
      </c>
      <c r="C2420" s="28" t="s">
        <v>1961</v>
      </c>
      <c r="D2420" s="26" t="s">
        <v>49</v>
      </c>
      <c r="E2420" s="31">
        <v>46230.0</v>
      </c>
      <c r="F2420" s="26" t="s">
        <v>46</v>
      </c>
      <c r="G2420" s="26">
        <v>11.0</v>
      </c>
      <c r="H2420" s="26" t="s">
        <v>677</v>
      </c>
      <c r="I2420" s="26" t="s">
        <v>42</v>
      </c>
      <c r="J2420" s="25" t="str">
        <f t="shared" si="34"/>
        <v>Yes - see Previous F-Code</v>
      </c>
      <c r="K2420" s="25" t="str">
        <f t="shared" si="35"/>
        <v>DUPLICATE - CHECK</v>
      </c>
      <c r="L2420" s="25" t="str">
        <f t="shared" si="36"/>
        <v>F71667</v>
      </c>
      <c r="M2420" s="25"/>
      <c r="O2420" s="25"/>
    </row>
    <row r="2421" ht="15.75" customHeight="1">
      <c r="A2421" s="25" t="str">
        <f>IFERROR(__xludf.DUMMYFUNCTION("IF(B2421="""","""",RIGHT(REGEXREPLACE(B2421&amp;"""",""[^0-9]"",""""),9))"),"765258534")</f>
        <v>765258534</v>
      </c>
      <c r="B2421" s="52">
        <v>7.65258534E8</v>
      </c>
      <c r="C2421" s="28" t="s">
        <v>2603</v>
      </c>
      <c r="D2421" s="26" t="s">
        <v>45</v>
      </c>
      <c r="E2421" s="31">
        <v>46230.0</v>
      </c>
      <c r="F2421" s="26" t="s">
        <v>46</v>
      </c>
      <c r="G2421" s="26">
        <v>7.0</v>
      </c>
      <c r="I2421" s="26" t="s">
        <v>42</v>
      </c>
      <c r="J2421" s="25" t="str">
        <f t="shared" si="34"/>
        <v>No</v>
      </c>
      <c r="K2421" s="25" t="str">
        <f t="shared" si="35"/>
        <v/>
      </c>
      <c r="L2421" s="25" t="str">
        <f t="shared" si="36"/>
        <v/>
      </c>
      <c r="M2421" s="25"/>
      <c r="O2421" s="25"/>
    </row>
    <row r="2422" ht="15.75" customHeight="1">
      <c r="A2422" s="25" t="str">
        <f>IFERROR(__xludf.DUMMYFUNCTION("IF(B2422="""","""",RIGHT(REGEXREPLACE(B2422&amp;"""",""[^0-9]"",""""),9))"),"783071533")</f>
        <v>783071533</v>
      </c>
      <c r="B2422" s="52">
        <v>7.83071533E8</v>
      </c>
      <c r="C2422" s="28" t="s">
        <v>2599</v>
      </c>
      <c r="D2422" s="26" t="s">
        <v>56</v>
      </c>
      <c r="E2422" s="31">
        <v>46230.0</v>
      </c>
      <c r="F2422" s="26" t="s">
        <v>205</v>
      </c>
      <c r="I2422" s="26" t="s">
        <v>42</v>
      </c>
      <c r="J2422" s="25" t="str">
        <f t="shared" si="34"/>
        <v>No</v>
      </c>
      <c r="K2422" s="25" t="str">
        <f t="shared" si="35"/>
        <v/>
      </c>
      <c r="L2422" s="25" t="str">
        <f t="shared" si="36"/>
        <v/>
      </c>
      <c r="M2422" s="25"/>
      <c r="O2422" s="25"/>
    </row>
    <row r="2423" ht="15.75" customHeight="1">
      <c r="A2423" s="25" t="str">
        <f>IFERROR(__xludf.DUMMYFUNCTION("IF(B2423="""","""",RIGHT(REGEXREPLACE(B2423&amp;"""",""[^0-9]"",""""),9))"),"743508126")</f>
        <v>743508126</v>
      </c>
      <c r="B2423" s="52">
        <v>7.43508126E8</v>
      </c>
      <c r="C2423" s="28" t="s">
        <v>2604</v>
      </c>
      <c r="D2423" s="26" t="s">
        <v>82</v>
      </c>
      <c r="E2423" s="31">
        <v>46230.0</v>
      </c>
      <c r="F2423" s="26" t="s">
        <v>41</v>
      </c>
      <c r="H2423" s="26" t="s">
        <v>2605</v>
      </c>
      <c r="I2423" s="26" t="s">
        <v>42</v>
      </c>
      <c r="J2423" s="25" t="str">
        <f t="shared" si="34"/>
        <v>No</v>
      </c>
      <c r="K2423" s="25" t="str">
        <f t="shared" si="35"/>
        <v/>
      </c>
      <c r="L2423" s="25" t="str">
        <f t="shared" si="36"/>
        <v/>
      </c>
      <c r="M2423" s="25"/>
      <c r="O2423" s="25"/>
    </row>
    <row r="2424" ht="15.75" customHeight="1">
      <c r="A2424" s="25" t="str">
        <f>IFERROR(__xludf.DUMMYFUNCTION("IF(B2424="""","""",RIGHT(REGEXREPLACE(B2424&amp;"""",""[^0-9]"",""""),9))"),"777572656")</f>
        <v>777572656</v>
      </c>
      <c r="B2424" s="52">
        <v>7.77572656E8</v>
      </c>
      <c r="C2424" s="28" t="s">
        <v>2606</v>
      </c>
      <c r="D2424" s="26" t="s">
        <v>45</v>
      </c>
      <c r="E2424" s="31">
        <v>46230.0</v>
      </c>
      <c r="F2424" s="26" t="s">
        <v>46</v>
      </c>
      <c r="G2424" s="26">
        <v>11.0</v>
      </c>
      <c r="I2424" s="26" t="s">
        <v>42</v>
      </c>
      <c r="J2424" s="25" t="str">
        <f t="shared" si="34"/>
        <v>No</v>
      </c>
      <c r="K2424" s="25" t="str">
        <f t="shared" si="35"/>
        <v/>
      </c>
      <c r="L2424" s="25" t="str">
        <f t="shared" si="36"/>
        <v/>
      </c>
      <c r="M2424" s="25"/>
      <c r="O2424" s="25"/>
    </row>
    <row r="2425" ht="15.75" customHeight="1">
      <c r="A2425" s="25" t="str">
        <f>IFERROR(__xludf.DUMMYFUNCTION("IF(B2425="""","""",RIGHT(REGEXREPLACE(B2425&amp;"""",""[^0-9]"",""""),9))"),"761675086")</f>
        <v>761675086</v>
      </c>
      <c r="B2425" s="52">
        <v>7.61675086E8</v>
      </c>
      <c r="C2425" s="28" t="s">
        <v>2607</v>
      </c>
      <c r="D2425" s="26" t="s">
        <v>56</v>
      </c>
      <c r="E2425" s="31">
        <v>46230.0</v>
      </c>
      <c r="F2425" s="26" t="s">
        <v>631</v>
      </c>
      <c r="G2425" s="26">
        <v>11.0</v>
      </c>
      <c r="H2425" s="26" t="s">
        <v>2608</v>
      </c>
      <c r="I2425" s="26" t="s">
        <v>42</v>
      </c>
      <c r="J2425" s="25" t="str">
        <f t="shared" si="34"/>
        <v>No</v>
      </c>
      <c r="K2425" s="25" t="str">
        <f t="shared" si="35"/>
        <v/>
      </c>
      <c r="L2425" s="25" t="str">
        <f t="shared" si="36"/>
        <v/>
      </c>
      <c r="M2425" s="25"/>
      <c r="O2425" s="25"/>
    </row>
    <row r="2426" ht="15.75" customHeight="1">
      <c r="A2426" s="25" t="str">
        <f>IFERROR(__xludf.DUMMYFUNCTION("IF(B2426="""","""",RIGHT(REGEXREPLACE(B2426&amp;"""",""[^0-9]"",""""),9))"),"778812193")</f>
        <v>778812193</v>
      </c>
      <c r="B2426" s="52">
        <v>7.78812193E8</v>
      </c>
      <c r="C2426" s="28" t="s">
        <v>2609</v>
      </c>
      <c r="D2426" s="26" t="s">
        <v>49</v>
      </c>
      <c r="E2426" s="31">
        <v>46230.0</v>
      </c>
      <c r="F2426" s="26" t="s">
        <v>46</v>
      </c>
      <c r="G2426" s="26">
        <v>11.0</v>
      </c>
      <c r="H2426" s="26" t="s">
        <v>677</v>
      </c>
      <c r="I2426" s="26" t="s">
        <v>42</v>
      </c>
      <c r="J2426" s="25" t="str">
        <f t="shared" si="34"/>
        <v>No</v>
      </c>
      <c r="K2426" s="25" t="str">
        <f t="shared" si="35"/>
        <v/>
      </c>
      <c r="L2426" s="25" t="str">
        <f t="shared" si="36"/>
        <v/>
      </c>
      <c r="M2426" s="25"/>
      <c r="O2426" s="25"/>
    </row>
    <row r="2427" ht="15.75" customHeight="1">
      <c r="A2427" s="25" t="str">
        <f>IFERROR(__xludf.DUMMYFUNCTION("IF(B2427="""","""",RIGHT(REGEXREPLACE(B2427&amp;"""",""[^0-9]"",""""),9))"),"763525353")</f>
        <v>763525353</v>
      </c>
      <c r="B2427" s="52">
        <v>7.63525353E8</v>
      </c>
      <c r="C2427" s="28" t="s">
        <v>2610</v>
      </c>
      <c r="D2427" s="26" t="s">
        <v>45</v>
      </c>
      <c r="E2427" s="31">
        <v>46230.0</v>
      </c>
      <c r="F2427" s="26" t="s">
        <v>41</v>
      </c>
      <c r="H2427" s="26" t="s">
        <v>677</v>
      </c>
      <c r="I2427" s="26" t="s">
        <v>42</v>
      </c>
      <c r="J2427" s="25" t="str">
        <f t="shared" si="34"/>
        <v>No</v>
      </c>
      <c r="K2427" s="25" t="str">
        <f t="shared" si="35"/>
        <v/>
      </c>
      <c r="L2427" s="25" t="str">
        <f t="shared" si="36"/>
        <v/>
      </c>
      <c r="M2427" s="25"/>
      <c r="O2427" s="25"/>
    </row>
    <row r="2428" ht="15.75" customHeight="1">
      <c r="A2428" s="25" t="str">
        <f>IFERROR(__xludf.DUMMYFUNCTION("IF(B2428="""","""",RIGHT(REGEXREPLACE(B2428&amp;"""",""[^0-9]"",""""),9))"),"717546458")</f>
        <v>717546458</v>
      </c>
      <c r="B2428" s="52">
        <v>7.17546458E8</v>
      </c>
      <c r="C2428" s="28" t="s">
        <v>2611</v>
      </c>
      <c r="D2428" s="26" t="s">
        <v>64</v>
      </c>
      <c r="E2428" s="31">
        <v>46230.0</v>
      </c>
      <c r="F2428" s="26" t="s">
        <v>46</v>
      </c>
      <c r="G2428" s="26">
        <v>11.0</v>
      </c>
      <c r="H2428" s="26" t="s">
        <v>677</v>
      </c>
      <c r="I2428" s="26" t="s">
        <v>42</v>
      </c>
      <c r="J2428" s="25" t="str">
        <f t="shared" si="34"/>
        <v>No</v>
      </c>
      <c r="K2428" s="25" t="str">
        <f t="shared" si="35"/>
        <v/>
      </c>
      <c r="L2428" s="25" t="str">
        <f t="shared" si="36"/>
        <v/>
      </c>
      <c r="M2428" s="25"/>
      <c r="O2428" s="25"/>
    </row>
    <row r="2429" ht="15.75" customHeight="1">
      <c r="A2429" s="25" t="str">
        <f>IFERROR(__xludf.DUMMYFUNCTION("IF(B2429="""","""",RIGHT(REGEXREPLACE(B2429&amp;"""",""[^0-9]"",""""),9))"),"740384853")</f>
        <v>740384853</v>
      </c>
      <c r="B2429" s="52">
        <v>7.40384853E8</v>
      </c>
      <c r="C2429" s="28" t="s">
        <v>2612</v>
      </c>
      <c r="D2429" s="26" t="s">
        <v>45</v>
      </c>
      <c r="E2429" s="31">
        <v>46230.0</v>
      </c>
      <c r="F2429" s="26" t="s">
        <v>46</v>
      </c>
      <c r="G2429" s="26">
        <v>9.0</v>
      </c>
      <c r="H2429" s="26" t="s">
        <v>2613</v>
      </c>
      <c r="I2429" s="26" t="s">
        <v>42</v>
      </c>
      <c r="J2429" s="25" t="str">
        <f t="shared" si="34"/>
        <v>No</v>
      </c>
      <c r="K2429" s="25" t="str">
        <f t="shared" si="35"/>
        <v/>
      </c>
      <c r="L2429" s="25" t="str">
        <f t="shared" si="36"/>
        <v/>
      </c>
      <c r="M2429" s="25"/>
      <c r="O2429" s="25"/>
    </row>
    <row r="2430" ht="15.75" customHeight="1">
      <c r="A2430" s="25" t="str">
        <f>IFERROR(__xludf.DUMMYFUNCTION("IF(B2430="""","""",RIGHT(REGEXREPLACE(B2430&amp;"""",""[^0-9]"",""""),9))"),"755568520")</f>
        <v>755568520</v>
      </c>
      <c r="B2430" s="52">
        <v>7.5556852E8</v>
      </c>
      <c r="C2430" s="28" t="s">
        <v>2614</v>
      </c>
      <c r="D2430" s="26" t="s">
        <v>49</v>
      </c>
      <c r="E2430" s="31">
        <v>46230.0</v>
      </c>
      <c r="F2430" s="26" t="s">
        <v>46</v>
      </c>
      <c r="G2430" s="26">
        <v>11.0</v>
      </c>
      <c r="H2430" s="26" t="s">
        <v>2615</v>
      </c>
      <c r="I2430" s="26" t="s">
        <v>42</v>
      </c>
      <c r="J2430" s="25" t="str">
        <f t="shared" si="34"/>
        <v>No</v>
      </c>
      <c r="K2430" s="25" t="str">
        <f t="shared" si="35"/>
        <v/>
      </c>
      <c r="L2430" s="25" t="str">
        <f t="shared" si="36"/>
        <v/>
      </c>
      <c r="M2430" s="25"/>
      <c r="O2430" s="25"/>
    </row>
    <row r="2431" ht="15.75" customHeight="1">
      <c r="A2431" s="25" t="str">
        <f>IFERROR(__xludf.DUMMYFUNCTION("IF(B2431="""","""",RIGHT(REGEXREPLACE(B2431&amp;"""",""[^0-9]"",""""),9))"),"716261511")</f>
        <v>716261511</v>
      </c>
      <c r="B2431" s="52">
        <v>7.16261511E8</v>
      </c>
      <c r="C2431" s="28" t="s">
        <v>2616</v>
      </c>
      <c r="D2431" s="26" t="s">
        <v>64</v>
      </c>
      <c r="E2431" s="31">
        <v>46230.0</v>
      </c>
      <c r="F2431" s="26" t="s">
        <v>46</v>
      </c>
      <c r="I2431" s="26" t="s">
        <v>42</v>
      </c>
      <c r="J2431" s="25" t="str">
        <f t="shared" si="34"/>
        <v>No</v>
      </c>
      <c r="K2431" s="25" t="str">
        <f t="shared" si="35"/>
        <v/>
      </c>
      <c r="L2431" s="25" t="str">
        <f t="shared" si="36"/>
        <v/>
      </c>
      <c r="M2431" s="25"/>
      <c r="O2431" s="25"/>
    </row>
    <row r="2432" ht="15.75" customHeight="1">
      <c r="A2432" s="25" t="str">
        <f>IFERROR(__xludf.DUMMYFUNCTION("IF(B2432="""","""",RIGHT(REGEXREPLACE(B2432&amp;"""",""[^0-9]"",""""),9))"),"763127716")</f>
        <v>763127716</v>
      </c>
      <c r="B2432" s="52">
        <v>7.63127716E8</v>
      </c>
      <c r="C2432" s="28" t="s">
        <v>2617</v>
      </c>
      <c r="D2432" s="26" t="s">
        <v>82</v>
      </c>
      <c r="E2432" s="31">
        <v>46230.0</v>
      </c>
      <c r="F2432" s="26" t="s">
        <v>41</v>
      </c>
      <c r="H2432" s="26" t="s">
        <v>2605</v>
      </c>
      <c r="I2432" s="26" t="s">
        <v>42</v>
      </c>
      <c r="J2432" s="25" t="str">
        <f t="shared" si="34"/>
        <v>No</v>
      </c>
      <c r="K2432" s="25" t="str">
        <f t="shared" si="35"/>
        <v/>
      </c>
      <c r="L2432" s="25" t="str">
        <f t="shared" si="36"/>
        <v/>
      </c>
      <c r="M2432" s="25"/>
      <c r="O2432" s="25"/>
    </row>
    <row r="2433" ht="15.75" customHeight="1">
      <c r="A2433" s="25" t="str">
        <f>IFERROR(__xludf.DUMMYFUNCTION("IF(B2433="""","""",RIGHT(REGEXREPLACE(B2433&amp;"""",""[^0-9]"",""""),9))"),"718373891")</f>
        <v>718373891</v>
      </c>
      <c r="B2433" s="52">
        <v>7.18373891E8</v>
      </c>
      <c r="C2433" s="28" t="s">
        <v>2618</v>
      </c>
      <c r="D2433" s="26" t="s">
        <v>49</v>
      </c>
      <c r="E2433" s="31">
        <v>46230.0</v>
      </c>
      <c r="F2433" s="26" t="s">
        <v>46</v>
      </c>
      <c r="G2433" s="26">
        <v>11.0</v>
      </c>
      <c r="H2433" s="26" t="s">
        <v>677</v>
      </c>
      <c r="I2433" s="26" t="s">
        <v>42</v>
      </c>
      <c r="J2433" s="25" t="str">
        <f t="shared" si="34"/>
        <v>No</v>
      </c>
      <c r="K2433" s="25" t="str">
        <f t="shared" si="35"/>
        <v/>
      </c>
      <c r="L2433" s="25" t="str">
        <f t="shared" si="36"/>
        <v/>
      </c>
      <c r="M2433" s="25"/>
      <c r="O2433" s="25"/>
    </row>
    <row r="2434" ht="15.75" customHeight="1">
      <c r="A2434" s="25" t="str">
        <f>IFERROR(__xludf.DUMMYFUNCTION("IF(B2434="""","""",RIGHT(REGEXREPLACE(B2434&amp;"""",""[^0-9]"",""""),9))"),"715410750")</f>
        <v>715410750</v>
      </c>
      <c r="B2434" s="52">
        <v>7.1541075E8</v>
      </c>
      <c r="C2434" s="28" t="s">
        <v>2619</v>
      </c>
      <c r="D2434" s="26" t="s">
        <v>45</v>
      </c>
      <c r="E2434" s="31">
        <v>46230.0</v>
      </c>
      <c r="F2434" s="26" t="s">
        <v>41</v>
      </c>
      <c r="H2434" s="26" t="s">
        <v>677</v>
      </c>
      <c r="I2434" s="26" t="s">
        <v>42</v>
      </c>
      <c r="J2434" s="25" t="str">
        <f t="shared" si="34"/>
        <v>No</v>
      </c>
      <c r="K2434" s="25" t="str">
        <f t="shared" si="35"/>
        <v/>
      </c>
      <c r="L2434" s="25" t="str">
        <f t="shared" si="36"/>
        <v/>
      </c>
      <c r="M2434" s="25"/>
      <c r="O2434" s="25"/>
    </row>
    <row r="2435" ht="15.75" customHeight="1">
      <c r="A2435" s="25" t="str">
        <f>IFERROR(__xludf.DUMMYFUNCTION("IF(B2435="""","""",RIGHT(REGEXREPLACE(B2435&amp;"""",""[^0-9]"",""""),9))"),"775266458")</f>
        <v>775266458</v>
      </c>
      <c r="B2435" s="52">
        <v>7.75266458E8</v>
      </c>
      <c r="C2435" s="28" t="s">
        <v>2620</v>
      </c>
      <c r="D2435" s="26" t="s">
        <v>82</v>
      </c>
      <c r="E2435" s="31">
        <v>46230.0</v>
      </c>
      <c r="F2435" s="26" t="s">
        <v>41</v>
      </c>
      <c r="I2435" s="26" t="s">
        <v>42</v>
      </c>
      <c r="J2435" s="25" t="str">
        <f t="shared" si="34"/>
        <v>No</v>
      </c>
      <c r="K2435" s="25" t="str">
        <f t="shared" si="35"/>
        <v/>
      </c>
      <c r="L2435" s="25" t="str">
        <f t="shared" si="36"/>
        <v/>
      </c>
      <c r="M2435" s="25"/>
      <c r="O2435" s="25"/>
    </row>
    <row r="2436" ht="15.75" customHeight="1">
      <c r="A2436" s="25" t="str">
        <f>IFERROR(__xludf.DUMMYFUNCTION("IF(B2436="""","""",RIGHT(REGEXREPLACE(B2436&amp;"""",""[^0-9]"",""""),9))"),"770514071")</f>
        <v>770514071</v>
      </c>
      <c r="B2436" s="52">
        <v>7.70514071E8</v>
      </c>
      <c r="C2436" s="28" t="s">
        <v>2621</v>
      </c>
      <c r="D2436" s="26" t="s">
        <v>56</v>
      </c>
      <c r="E2436" s="31">
        <v>46230.0</v>
      </c>
      <c r="F2436" s="26" t="s">
        <v>41</v>
      </c>
      <c r="I2436" s="26" t="s">
        <v>42</v>
      </c>
      <c r="J2436" s="25" t="str">
        <f t="shared" si="34"/>
        <v>No</v>
      </c>
      <c r="K2436" s="25" t="str">
        <f t="shared" si="35"/>
        <v/>
      </c>
      <c r="L2436" s="25" t="str">
        <f t="shared" si="36"/>
        <v/>
      </c>
      <c r="M2436" s="25"/>
      <c r="O2436" s="25"/>
    </row>
    <row r="2437" ht="15.75" customHeight="1">
      <c r="A2437" s="25" t="str">
        <f>IFERROR(__xludf.DUMMYFUNCTION("IF(B2437="""","""",RIGHT(REGEXREPLACE(B2437&amp;"""",""[^0-9]"",""""),9))"),"765575557")</f>
        <v>765575557</v>
      </c>
      <c r="B2437" s="52">
        <v>7.65575557E8</v>
      </c>
      <c r="C2437" s="28" t="s">
        <v>2622</v>
      </c>
      <c r="D2437" s="26" t="s">
        <v>45</v>
      </c>
      <c r="E2437" s="31">
        <v>46230.0</v>
      </c>
      <c r="F2437" s="26" t="s">
        <v>41</v>
      </c>
      <c r="I2437" s="26" t="s">
        <v>42</v>
      </c>
      <c r="J2437" s="25" t="str">
        <f t="shared" si="34"/>
        <v>No</v>
      </c>
      <c r="K2437" s="25" t="str">
        <f t="shared" si="35"/>
        <v/>
      </c>
      <c r="L2437" s="25" t="str">
        <f t="shared" si="36"/>
        <v/>
      </c>
      <c r="M2437" s="25"/>
      <c r="O2437" s="25"/>
    </row>
    <row r="2438" ht="15.75" customHeight="1">
      <c r="A2438" s="25" t="str">
        <f>IFERROR(__xludf.DUMMYFUNCTION("IF(B2438="""","""",RIGHT(REGEXREPLACE(B2438&amp;"""",""[^0-9]"",""""),9))"),"719835853")</f>
        <v>719835853</v>
      </c>
      <c r="B2438" s="52">
        <v>7.19835853E8</v>
      </c>
      <c r="C2438" s="28" t="s">
        <v>2623</v>
      </c>
      <c r="D2438" s="26" t="s">
        <v>49</v>
      </c>
      <c r="E2438" s="31">
        <v>46230.0</v>
      </c>
      <c r="F2438" s="26" t="s">
        <v>46</v>
      </c>
      <c r="G2438" s="26">
        <v>9.0</v>
      </c>
      <c r="H2438" s="26" t="s">
        <v>677</v>
      </c>
      <c r="I2438" s="26" t="s">
        <v>42</v>
      </c>
      <c r="J2438" s="25" t="str">
        <f t="shared" si="34"/>
        <v>No</v>
      </c>
      <c r="K2438" s="25" t="str">
        <f t="shared" si="35"/>
        <v/>
      </c>
      <c r="L2438" s="25" t="str">
        <f t="shared" si="36"/>
        <v/>
      </c>
      <c r="M2438" s="25"/>
      <c r="O2438" s="25"/>
    </row>
    <row r="2439" ht="15.75" customHeight="1">
      <c r="A2439" s="25" t="str">
        <f>IFERROR(__xludf.DUMMYFUNCTION("IF(B2439="""","""",RIGHT(REGEXREPLACE(B2439&amp;"""",""[^0-9]"",""""),9))"),"728267055")</f>
        <v>728267055</v>
      </c>
      <c r="B2439" s="52">
        <v>7.28267055E8</v>
      </c>
      <c r="C2439" s="28" t="s">
        <v>2624</v>
      </c>
      <c r="D2439" s="26" t="s">
        <v>82</v>
      </c>
      <c r="E2439" s="31">
        <v>46230.0</v>
      </c>
      <c r="F2439" s="26" t="s">
        <v>46</v>
      </c>
      <c r="G2439" s="26">
        <v>11.0</v>
      </c>
      <c r="H2439" s="26" t="s">
        <v>2605</v>
      </c>
      <c r="I2439" s="26" t="s">
        <v>42</v>
      </c>
      <c r="J2439" s="25" t="str">
        <f t="shared" si="34"/>
        <v>No</v>
      </c>
      <c r="K2439" s="25" t="str">
        <f t="shared" si="35"/>
        <v/>
      </c>
      <c r="L2439" s="25" t="str">
        <f t="shared" si="36"/>
        <v/>
      </c>
      <c r="M2439" s="25"/>
      <c r="O2439" s="25"/>
    </row>
    <row r="2440" ht="15.75" customHeight="1">
      <c r="A2440" s="25" t="str">
        <f>IFERROR(__xludf.DUMMYFUNCTION("IF(B2440="""","""",RIGHT(REGEXREPLACE(B2440&amp;"""",""[^0-9]"",""""),9))"),"775730161")</f>
        <v>775730161</v>
      </c>
      <c r="B2440" s="52">
        <v>7.75730161E8</v>
      </c>
      <c r="C2440" s="28" t="s">
        <v>2604</v>
      </c>
      <c r="D2440" s="26" t="s">
        <v>56</v>
      </c>
      <c r="E2440" s="31">
        <v>46230.0</v>
      </c>
      <c r="F2440" s="26" t="s">
        <v>41</v>
      </c>
      <c r="I2440" s="26" t="s">
        <v>42</v>
      </c>
      <c r="J2440" s="25" t="str">
        <f t="shared" si="34"/>
        <v>No</v>
      </c>
      <c r="K2440" s="25" t="str">
        <f t="shared" si="35"/>
        <v/>
      </c>
      <c r="L2440" s="25" t="str">
        <f t="shared" si="36"/>
        <v/>
      </c>
      <c r="M2440" s="25"/>
      <c r="O2440" s="25"/>
    </row>
    <row r="2441" ht="15.75" customHeight="1">
      <c r="A2441" s="25" t="str">
        <f>IFERROR(__xludf.DUMMYFUNCTION("IF(B2441="""","""",RIGHT(REGEXREPLACE(B2441&amp;"""",""[^0-9]"",""""),9))"),"773986830")</f>
        <v>773986830</v>
      </c>
      <c r="B2441" s="52">
        <v>7.7398683E8</v>
      </c>
      <c r="C2441" s="28" t="s">
        <v>2625</v>
      </c>
      <c r="D2441" s="26" t="s">
        <v>49</v>
      </c>
      <c r="E2441" s="31">
        <v>46230.0</v>
      </c>
      <c r="F2441" s="26" t="s">
        <v>46</v>
      </c>
      <c r="H2441" s="26" t="s">
        <v>677</v>
      </c>
      <c r="I2441" s="26" t="s">
        <v>42</v>
      </c>
      <c r="J2441" s="25" t="str">
        <f t="shared" si="34"/>
        <v>No</v>
      </c>
      <c r="K2441" s="25" t="str">
        <f t="shared" si="35"/>
        <v/>
      </c>
      <c r="L2441" s="25" t="str">
        <f t="shared" si="36"/>
        <v/>
      </c>
      <c r="M2441" s="25"/>
      <c r="O2441" s="25"/>
    </row>
    <row r="2442" ht="15.75" customHeight="1">
      <c r="A2442" s="25" t="str">
        <f>IFERROR(__xludf.DUMMYFUNCTION("IF(B2442="""","""",RIGHT(REGEXREPLACE(B2442&amp;"""",""[^0-9]"",""""),9))"),"781800536")</f>
        <v>781800536</v>
      </c>
      <c r="B2442" s="52">
        <v>7.81800536E8</v>
      </c>
      <c r="C2442" s="28" t="s">
        <v>2626</v>
      </c>
      <c r="D2442" s="26" t="s">
        <v>64</v>
      </c>
      <c r="E2442" s="31">
        <v>46230.0</v>
      </c>
      <c r="F2442" s="26" t="s">
        <v>41</v>
      </c>
      <c r="I2442" s="26" t="s">
        <v>42</v>
      </c>
      <c r="J2442" s="25" t="str">
        <f t="shared" si="34"/>
        <v>No</v>
      </c>
      <c r="K2442" s="25" t="str">
        <f t="shared" si="35"/>
        <v/>
      </c>
      <c r="L2442" s="25" t="str">
        <f t="shared" si="36"/>
        <v/>
      </c>
      <c r="M2442" s="25"/>
      <c r="O2442" s="25"/>
    </row>
    <row r="2443" ht="15.75" customHeight="1">
      <c r="A2443" s="25" t="str">
        <f>IFERROR(__xludf.DUMMYFUNCTION("IF(B2443="""","""",RIGHT(REGEXREPLACE(B2443&amp;"""",""[^0-9]"",""""),9))"),"773559800")</f>
        <v>773559800</v>
      </c>
      <c r="B2443" s="52">
        <v>7.735598E8</v>
      </c>
      <c r="C2443" s="28" t="s">
        <v>2627</v>
      </c>
      <c r="D2443" s="26" t="s">
        <v>82</v>
      </c>
      <c r="E2443" s="31">
        <v>46230.0</v>
      </c>
      <c r="F2443" s="26" t="s">
        <v>46</v>
      </c>
      <c r="G2443" s="26">
        <v>11.0</v>
      </c>
      <c r="H2443" s="26" t="s">
        <v>2605</v>
      </c>
      <c r="I2443" s="26" t="s">
        <v>42</v>
      </c>
      <c r="J2443" s="25" t="str">
        <f t="shared" si="34"/>
        <v>No</v>
      </c>
      <c r="K2443" s="25" t="str">
        <f t="shared" si="35"/>
        <v/>
      </c>
      <c r="L2443" s="25" t="str">
        <f t="shared" si="36"/>
        <v/>
      </c>
      <c r="M2443" s="25"/>
      <c r="O2443" s="25"/>
    </row>
    <row r="2444" ht="15.75" customHeight="1">
      <c r="A2444" s="25" t="str">
        <f>IFERROR(__xludf.DUMMYFUNCTION("IF(B2444="""","""",RIGHT(REGEXREPLACE(B2444&amp;"""",""[^0-9]"",""""),9))"),"765663198")</f>
        <v>765663198</v>
      </c>
      <c r="B2444" s="52">
        <v>7.65663198E8</v>
      </c>
      <c r="C2444" s="28" t="s">
        <v>2628</v>
      </c>
      <c r="D2444" s="26" t="s">
        <v>49</v>
      </c>
      <c r="E2444" s="31">
        <v>46230.0</v>
      </c>
      <c r="F2444" s="26" t="s">
        <v>46</v>
      </c>
      <c r="G2444" s="26">
        <v>11.0</v>
      </c>
      <c r="H2444" s="26" t="s">
        <v>677</v>
      </c>
      <c r="I2444" s="26" t="s">
        <v>42</v>
      </c>
      <c r="J2444" s="25" t="str">
        <f t="shared" si="34"/>
        <v>No</v>
      </c>
      <c r="K2444" s="25" t="str">
        <f t="shared" si="35"/>
        <v/>
      </c>
      <c r="L2444" s="25" t="str">
        <f t="shared" si="36"/>
        <v/>
      </c>
      <c r="M2444" s="25"/>
      <c r="O2444" s="25"/>
    </row>
    <row r="2445" ht="15.75" customHeight="1">
      <c r="A2445" s="25" t="str">
        <f>IFERROR(__xludf.DUMMYFUNCTION("IF(B2445="""","""",RIGHT(REGEXREPLACE(B2445&amp;"""",""[^0-9]"",""""),9))"),"711007063")</f>
        <v>711007063</v>
      </c>
      <c r="B2445" s="52">
        <v>7.11007063E8</v>
      </c>
      <c r="C2445" s="28" t="s">
        <v>2629</v>
      </c>
      <c r="D2445" s="26" t="s">
        <v>45</v>
      </c>
      <c r="E2445" s="31">
        <v>46230.0</v>
      </c>
      <c r="F2445" s="26" t="s">
        <v>205</v>
      </c>
      <c r="H2445" s="26" t="s">
        <v>677</v>
      </c>
      <c r="I2445" s="26" t="s">
        <v>42</v>
      </c>
      <c r="J2445" s="25" t="str">
        <f t="shared" si="34"/>
        <v>No</v>
      </c>
      <c r="K2445" s="25" t="str">
        <f t="shared" si="35"/>
        <v/>
      </c>
      <c r="L2445" s="25" t="str">
        <f t="shared" si="36"/>
        <v/>
      </c>
      <c r="M2445" s="25"/>
      <c r="O2445" s="25"/>
    </row>
    <row r="2446" ht="15.75" customHeight="1">
      <c r="A2446" s="25" t="str">
        <f>IFERROR(__xludf.DUMMYFUNCTION("IF(B2446="""","""",RIGHT(REGEXREPLACE(B2446&amp;"""",""[^0-9]"",""""),9))"),"761057547")</f>
        <v>761057547</v>
      </c>
      <c r="B2446" s="52">
        <v>7.61057547E8</v>
      </c>
      <c r="C2446" s="28" t="s">
        <v>1774</v>
      </c>
      <c r="D2446" s="26" t="s">
        <v>45</v>
      </c>
      <c r="E2446" s="31">
        <v>46230.0</v>
      </c>
      <c r="F2446" s="26" t="s">
        <v>41</v>
      </c>
      <c r="I2446" s="26" t="s">
        <v>42</v>
      </c>
      <c r="J2446" s="25" t="str">
        <f t="shared" si="34"/>
        <v>Yes - see Previous F-Code</v>
      </c>
      <c r="K2446" s="25" t="str">
        <f t="shared" si="35"/>
        <v>DUPLICATE - CHECK</v>
      </c>
      <c r="L2446" s="25" t="str">
        <f t="shared" si="36"/>
        <v>F71486</v>
      </c>
      <c r="M2446" s="25"/>
      <c r="O2446" s="25"/>
    </row>
    <row r="2447" ht="15.75" customHeight="1">
      <c r="A2447" s="25" t="str">
        <f>IFERROR(__xludf.DUMMYFUNCTION("IF(B2447="""","""",RIGHT(REGEXREPLACE(B2447&amp;"""",""[^0-9]"",""""),9))"),"773439617")</f>
        <v>773439617</v>
      </c>
      <c r="B2447" s="52">
        <v>7.73439617E8</v>
      </c>
      <c r="C2447" s="28" t="s">
        <v>2630</v>
      </c>
      <c r="D2447" s="26" t="s">
        <v>56</v>
      </c>
      <c r="E2447" s="31">
        <v>46230.0</v>
      </c>
      <c r="F2447" s="26" t="s">
        <v>46</v>
      </c>
      <c r="G2447" s="26">
        <v>11.0</v>
      </c>
      <c r="H2447" s="26" t="s">
        <v>653</v>
      </c>
      <c r="I2447" s="26" t="s">
        <v>42</v>
      </c>
      <c r="J2447" s="25" t="str">
        <f t="shared" si="34"/>
        <v>No</v>
      </c>
      <c r="K2447" s="25" t="str">
        <f t="shared" si="35"/>
        <v/>
      </c>
      <c r="L2447" s="25" t="str">
        <f t="shared" si="36"/>
        <v/>
      </c>
      <c r="M2447" s="25"/>
      <c r="O2447" s="25"/>
    </row>
    <row r="2448" ht="15.75" customHeight="1">
      <c r="A2448" s="25" t="str">
        <f>IFERROR(__xludf.DUMMYFUNCTION("IF(B2448="""","""",RIGHT(REGEXREPLACE(B2448&amp;"""",""[^0-9]"",""""),9))"),"775178013")</f>
        <v>775178013</v>
      </c>
      <c r="B2448" s="52">
        <v>7.75178013E8</v>
      </c>
      <c r="C2448" s="28" t="s">
        <v>2631</v>
      </c>
      <c r="D2448" s="26" t="s">
        <v>49</v>
      </c>
      <c r="E2448" s="31">
        <v>46230.0</v>
      </c>
      <c r="F2448" s="26" t="s">
        <v>46</v>
      </c>
      <c r="G2448" s="26">
        <v>10.0</v>
      </c>
      <c r="H2448" s="26" t="s">
        <v>677</v>
      </c>
      <c r="I2448" s="26" t="s">
        <v>42</v>
      </c>
      <c r="J2448" s="25" t="str">
        <f t="shared" si="34"/>
        <v>No</v>
      </c>
      <c r="K2448" s="25" t="str">
        <f t="shared" si="35"/>
        <v/>
      </c>
      <c r="L2448" s="25" t="str">
        <f t="shared" si="36"/>
        <v/>
      </c>
      <c r="M2448" s="25"/>
      <c r="O2448" s="25"/>
    </row>
    <row r="2449" ht="15.75" customHeight="1">
      <c r="A2449" s="25" t="str">
        <f>IFERROR(__xludf.DUMMYFUNCTION("IF(B2449="""","""",RIGHT(REGEXREPLACE(B2449&amp;"""",""[^0-9]"",""""),9))"),"764456082")</f>
        <v>764456082</v>
      </c>
      <c r="B2449" s="52">
        <v>7.64456082E8</v>
      </c>
      <c r="C2449" s="28" t="s">
        <v>2632</v>
      </c>
      <c r="D2449" s="26" t="s">
        <v>82</v>
      </c>
      <c r="E2449" s="31">
        <v>46230.0</v>
      </c>
      <c r="F2449" s="26" t="s">
        <v>41</v>
      </c>
      <c r="H2449" s="26" t="s">
        <v>2605</v>
      </c>
      <c r="I2449" s="26" t="s">
        <v>42</v>
      </c>
      <c r="J2449" s="25" t="str">
        <f t="shared" si="34"/>
        <v>No</v>
      </c>
      <c r="K2449" s="25" t="str">
        <f t="shared" si="35"/>
        <v/>
      </c>
      <c r="L2449" s="25" t="str">
        <f t="shared" si="36"/>
        <v/>
      </c>
      <c r="M2449" s="25"/>
      <c r="O2449" s="25"/>
    </row>
    <row r="2450" ht="15.75" customHeight="1">
      <c r="A2450" s="25" t="str">
        <f>IFERROR(__xludf.DUMMYFUNCTION("IF(B2450="""","""",RIGHT(REGEXREPLACE(B2450&amp;"""",""[^0-9]"",""""),9))"),"773711781")</f>
        <v>773711781</v>
      </c>
      <c r="B2450" s="52">
        <v>7.73711781E8</v>
      </c>
      <c r="C2450" s="28" t="s">
        <v>2633</v>
      </c>
      <c r="D2450" s="26" t="s">
        <v>45</v>
      </c>
      <c r="E2450" s="31">
        <v>46230.0</v>
      </c>
      <c r="F2450" s="26" t="s">
        <v>125</v>
      </c>
      <c r="H2450" s="26" t="s">
        <v>2605</v>
      </c>
      <c r="I2450" s="26" t="s">
        <v>42</v>
      </c>
      <c r="J2450" s="25" t="str">
        <f t="shared" si="34"/>
        <v>No</v>
      </c>
      <c r="K2450" s="25" t="str">
        <f t="shared" si="35"/>
        <v/>
      </c>
      <c r="L2450" s="25" t="str">
        <f t="shared" si="36"/>
        <v/>
      </c>
      <c r="M2450" s="25"/>
      <c r="O2450" s="25"/>
    </row>
    <row r="2451" ht="15.75" customHeight="1">
      <c r="A2451" s="25" t="str">
        <f>IFERROR(__xludf.DUMMYFUNCTION("IF(B2451="""","""",RIGHT(REGEXREPLACE(B2451&amp;"""",""[^0-9]"",""""),9))"),"711476179")</f>
        <v>711476179</v>
      </c>
      <c r="B2451" s="52">
        <v>7.11476179E8</v>
      </c>
      <c r="C2451" s="28" t="s">
        <v>2634</v>
      </c>
      <c r="D2451" s="26" t="s">
        <v>56</v>
      </c>
      <c r="E2451" s="31">
        <v>46230.0</v>
      </c>
      <c r="F2451" s="26" t="s">
        <v>46</v>
      </c>
      <c r="G2451" s="26">
        <v>11.0</v>
      </c>
      <c r="I2451" s="26" t="s">
        <v>42</v>
      </c>
      <c r="J2451" s="25" t="str">
        <f t="shared" si="34"/>
        <v>No</v>
      </c>
      <c r="K2451" s="25" t="str">
        <f t="shared" si="35"/>
        <v/>
      </c>
      <c r="L2451" s="25" t="str">
        <f t="shared" si="36"/>
        <v/>
      </c>
      <c r="M2451" s="25"/>
      <c r="O2451" s="25"/>
    </row>
    <row r="2452" ht="15.75" customHeight="1">
      <c r="A2452" s="25" t="str">
        <f>IFERROR(__xludf.DUMMYFUNCTION("IF(B2452="""","""",RIGHT(REGEXREPLACE(B2452&amp;"""",""[^0-9]"",""""),9))"),"717934405")</f>
        <v>717934405</v>
      </c>
      <c r="B2452" s="52">
        <v>7.17934405E8</v>
      </c>
      <c r="C2452" s="28" t="s">
        <v>2635</v>
      </c>
      <c r="D2452" s="26" t="s">
        <v>82</v>
      </c>
      <c r="E2452" s="31">
        <v>46230.0</v>
      </c>
      <c r="F2452" s="26" t="s">
        <v>41</v>
      </c>
      <c r="H2452" s="26" t="s">
        <v>2605</v>
      </c>
      <c r="I2452" s="26" t="s">
        <v>42</v>
      </c>
      <c r="J2452" s="25" t="str">
        <f t="shared" si="34"/>
        <v>No</v>
      </c>
      <c r="K2452" s="25" t="str">
        <f t="shared" si="35"/>
        <v/>
      </c>
      <c r="L2452" s="25" t="str">
        <f t="shared" si="36"/>
        <v/>
      </c>
      <c r="M2452" s="25"/>
      <c r="O2452" s="25"/>
    </row>
    <row r="2453" ht="15.75" customHeight="1">
      <c r="A2453" s="25" t="str">
        <f>IFERROR(__xludf.DUMMYFUNCTION("IF(B2453="""","""",RIGHT(REGEXREPLACE(B2453&amp;"""",""[^0-9]"",""""),9))"),"711043185")</f>
        <v>711043185</v>
      </c>
      <c r="B2453" s="52">
        <v>7.11043185E8</v>
      </c>
      <c r="C2453" s="28" t="s">
        <v>339</v>
      </c>
      <c r="D2453" s="26" t="s">
        <v>64</v>
      </c>
      <c r="E2453" s="31">
        <v>46230.0</v>
      </c>
      <c r="F2453" s="26" t="s">
        <v>205</v>
      </c>
      <c r="G2453" s="26">
        <v>8.0</v>
      </c>
      <c r="I2453" s="26" t="s">
        <v>42</v>
      </c>
      <c r="J2453" s="25" t="str">
        <f t="shared" si="34"/>
        <v>No</v>
      </c>
      <c r="K2453" s="25" t="str">
        <f t="shared" si="35"/>
        <v/>
      </c>
      <c r="L2453" s="25" t="str">
        <f t="shared" si="36"/>
        <v/>
      </c>
      <c r="M2453" s="25"/>
      <c r="O2453" s="25"/>
    </row>
    <row r="2454" ht="15.75" customHeight="1">
      <c r="A2454" s="25" t="str">
        <f>IFERROR(__xludf.DUMMYFUNCTION("IF(B2454="""","""",RIGHT(REGEXREPLACE(B2454&amp;"""",""[^0-9]"",""""),9))"),"703602734")</f>
        <v>703602734</v>
      </c>
      <c r="B2454" s="52">
        <v>7.03602734E8</v>
      </c>
      <c r="C2454" s="28" t="s">
        <v>2636</v>
      </c>
      <c r="D2454" s="26" t="s">
        <v>64</v>
      </c>
      <c r="E2454" s="31">
        <v>46230.0</v>
      </c>
      <c r="F2454" s="26" t="s">
        <v>46</v>
      </c>
      <c r="G2454" s="26">
        <v>11.0</v>
      </c>
      <c r="I2454" s="26" t="s">
        <v>42</v>
      </c>
      <c r="J2454" s="25" t="str">
        <f t="shared" si="34"/>
        <v>No</v>
      </c>
      <c r="K2454" s="25" t="str">
        <f t="shared" si="35"/>
        <v/>
      </c>
      <c r="L2454" s="25" t="str">
        <f t="shared" si="36"/>
        <v/>
      </c>
      <c r="M2454" s="25"/>
      <c r="O2454" s="25"/>
    </row>
    <row r="2455" ht="15.75" customHeight="1">
      <c r="A2455" s="25" t="str">
        <f>IFERROR(__xludf.DUMMYFUNCTION("IF(B2455="""","""",RIGHT(REGEXREPLACE(B2455&amp;"""",""[^0-9]"",""""),9))"),"765522689")</f>
        <v>765522689</v>
      </c>
      <c r="B2455" s="52">
        <v>7.65522689E8</v>
      </c>
      <c r="C2455" s="28" t="s">
        <v>2637</v>
      </c>
      <c r="D2455" s="26" t="s">
        <v>56</v>
      </c>
      <c r="E2455" s="31">
        <v>46230.0</v>
      </c>
      <c r="F2455" s="26" t="s">
        <v>46</v>
      </c>
      <c r="I2455" s="26" t="s">
        <v>42</v>
      </c>
      <c r="J2455" s="25" t="str">
        <f t="shared" si="34"/>
        <v>No</v>
      </c>
      <c r="K2455" s="25" t="str">
        <f t="shared" si="35"/>
        <v/>
      </c>
      <c r="L2455" s="25" t="str">
        <f t="shared" si="36"/>
        <v/>
      </c>
      <c r="M2455" s="25"/>
      <c r="O2455" s="25"/>
    </row>
    <row r="2456" ht="15.75" customHeight="1">
      <c r="A2456" s="25" t="str">
        <f>IFERROR(__xludf.DUMMYFUNCTION("IF(B2456="""","""",RIGHT(REGEXREPLACE(B2456&amp;"""",""[^0-9]"",""""),9))"),"782997122")</f>
        <v>782997122</v>
      </c>
      <c r="B2456" s="52">
        <v>7.82997122E8</v>
      </c>
      <c r="C2456" s="28" t="s">
        <v>2638</v>
      </c>
      <c r="D2456" s="26" t="s">
        <v>45</v>
      </c>
      <c r="E2456" s="31">
        <v>46230.0</v>
      </c>
      <c r="F2456" s="26" t="s">
        <v>659</v>
      </c>
      <c r="H2456" s="26" t="s">
        <v>2605</v>
      </c>
      <c r="I2456" s="26" t="s">
        <v>42</v>
      </c>
      <c r="J2456" s="25" t="str">
        <f t="shared" si="34"/>
        <v>No</v>
      </c>
      <c r="K2456" s="25" t="str">
        <f t="shared" si="35"/>
        <v/>
      </c>
      <c r="L2456" s="25" t="str">
        <f t="shared" si="36"/>
        <v/>
      </c>
      <c r="M2456" s="25"/>
      <c r="O2456" s="25"/>
    </row>
    <row r="2457" ht="15.75" customHeight="1">
      <c r="A2457" s="25" t="str">
        <f>IFERROR(__xludf.DUMMYFUNCTION("IF(B2457="""","""",RIGHT(REGEXREPLACE(B2457&amp;"""",""[^0-9]"",""""),9))"),"769420934")</f>
        <v>769420934</v>
      </c>
      <c r="B2457" s="52">
        <v>7.69420934E8</v>
      </c>
      <c r="C2457" s="28" t="s">
        <v>2639</v>
      </c>
      <c r="D2457" s="26" t="s">
        <v>49</v>
      </c>
      <c r="E2457" s="31">
        <v>46230.0</v>
      </c>
      <c r="F2457" s="26" t="s">
        <v>46</v>
      </c>
      <c r="G2457" s="26">
        <v>9.0</v>
      </c>
      <c r="H2457" s="26" t="s">
        <v>677</v>
      </c>
      <c r="I2457" s="26" t="s">
        <v>42</v>
      </c>
      <c r="J2457" s="25" t="str">
        <f t="shared" si="34"/>
        <v>No</v>
      </c>
      <c r="K2457" s="25" t="str">
        <f t="shared" si="35"/>
        <v/>
      </c>
      <c r="L2457" s="25" t="str">
        <f t="shared" si="36"/>
        <v/>
      </c>
      <c r="M2457" s="25"/>
      <c r="O2457" s="25"/>
    </row>
    <row r="2458" ht="15.75" customHeight="1">
      <c r="A2458" s="25" t="str">
        <f>IFERROR(__xludf.DUMMYFUNCTION("IF(B2458="""","""",RIGHT(REGEXREPLACE(B2458&amp;"""",""[^0-9]"",""""),9))"),"719718626")</f>
        <v>719718626</v>
      </c>
      <c r="B2458" s="52">
        <v>7.19718626E8</v>
      </c>
      <c r="C2458" s="28" t="s">
        <v>2640</v>
      </c>
      <c r="D2458" s="26" t="s">
        <v>45</v>
      </c>
      <c r="E2458" s="31">
        <v>46230.0</v>
      </c>
      <c r="F2458" s="26" t="s">
        <v>46</v>
      </c>
      <c r="G2458" s="26">
        <v>10.0</v>
      </c>
      <c r="I2458" s="26" t="s">
        <v>42</v>
      </c>
      <c r="J2458" s="25" t="str">
        <f t="shared" si="34"/>
        <v>No</v>
      </c>
      <c r="K2458" s="25" t="str">
        <f t="shared" si="35"/>
        <v/>
      </c>
      <c r="L2458" s="25" t="str">
        <f t="shared" si="36"/>
        <v/>
      </c>
      <c r="M2458" s="25"/>
      <c r="O2458" s="25"/>
    </row>
    <row r="2459" ht="15.75" customHeight="1">
      <c r="A2459" s="25" t="str">
        <f>IFERROR(__xludf.DUMMYFUNCTION("IF(B2459="""","""",RIGHT(REGEXREPLACE(B2459&amp;"""",""[^0-9]"",""""),9))"),"774490140")</f>
        <v>774490140</v>
      </c>
      <c r="B2459" s="52">
        <v>7.7449014E8</v>
      </c>
      <c r="C2459" s="28" t="s">
        <v>2641</v>
      </c>
      <c r="D2459" s="26" t="s">
        <v>64</v>
      </c>
      <c r="E2459" s="31">
        <v>46230.0</v>
      </c>
      <c r="F2459" s="26" t="s">
        <v>205</v>
      </c>
      <c r="I2459" s="26" t="s">
        <v>42</v>
      </c>
      <c r="J2459" s="25" t="str">
        <f t="shared" si="34"/>
        <v>No</v>
      </c>
      <c r="K2459" s="25" t="str">
        <f t="shared" si="35"/>
        <v/>
      </c>
      <c r="L2459" s="25" t="str">
        <f t="shared" si="36"/>
        <v/>
      </c>
      <c r="M2459" s="25"/>
      <c r="O2459" s="25"/>
    </row>
    <row r="2460" ht="15.75" customHeight="1">
      <c r="A2460" s="25" t="str">
        <f>IFERROR(__xludf.DUMMYFUNCTION("IF(B2460="""","""",RIGHT(REGEXREPLACE(B2460&amp;"""",""[^0-9]"",""""),9))"),"775817020")</f>
        <v>775817020</v>
      </c>
      <c r="B2460" s="52">
        <v>7.7581702E8</v>
      </c>
      <c r="C2460" s="28" t="s">
        <v>2642</v>
      </c>
      <c r="D2460" s="26" t="s">
        <v>82</v>
      </c>
      <c r="E2460" s="31">
        <v>46230.0</v>
      </c>
      <c r="F2460" s="26" t="s">
        <v>46</v>
      </c>
      <c r="G2460" s="26">
        <v>8.0</v>
      </c>
      <c r="H2460" s="26" t="s">
        <v>2605</v>
      </c>
      <c r="I2460" s="26" t="s">
        <v>42</v>
      </c>
      <c r="J2460" s="25" t="str">
        <f t="shared" si="34"/>
        <v>No</v>
      </c>
      <c r="K2460" s="25" t="str">
        <f t="shared" si="35"/>
        <v/>
      </c>
      <c r="L2460" s="25" t="str">
        <f t="shared" si="36"/>
        <v/>
      </c>
      <c r="M2460" s="25"/>
      <c r="O2460" s="25"/>
    </row>
    <row r="2461" ht="15.75" customHeight="1">
      <c r="A2461" s="25" t="str">
        <f>IFERROR(__xludf.DUMMYFUNCTION("IF(B2461="""","""",RIGHT(REGEXREPLACE(B2461&amp;"""",""[^0-9]"",""""),9))"),"766627133")</f>
        <v>766627133</v>
      </c>
      <c r="B2461" s="52">
        <v>7.66627133E8</v>
      </c>
      <c r="C2461" s="28" t="s">
        <v>2643</v>
      </c>
      <c r="D2461" s="26" t="s">
        <v>49</v>
      </c>
      <c r="E2461" s="31">
        <v>46230.0</v>
      </c>
      <c r="F2461" s="26" t="s">
        <v>46</v>
      </c>
      <c r="G2461" s="26">
        <v>11.0</v>
      </c>
      <c r="H2461" s="26" t="s">
        <v>677</v>
      </c>
      <c r="I2461" s="26" t="s">
        <v>42</v>
      </c>
      <c r="J2461" s="25" t="str">
        <f t="shared" si="34"/>
        <v>No</v>
      </c>
      <c r="K2461" s="25" t="str">
        <f t="shared" si="35"/>
        <v/>
      </c>
      <c r="L2461" s="25" t="str">
        <f t="shared" si="36"/>
        <v/>
      </c>
      <c r="M2461" s="25"/>
      <c r="O2461" s="25"/>
    </row>
    <row r="2462" ht="15.75" customHeight="1">
      <c r="A2462" s="25" t="str">
        <f>IFERROR(__xludf.DUMMYFUNCTION("IF(B2462="""","""",RIGHT(REGEXREPLACE(B2462&amp;"""",""[^0-9]"",""""),9))"),"765586724")</f>
        <v>765586724</v>
      </c>
      <c r="B2462" s="52">
        <v>7.65586724E8</v>
      </c>
      <c r="C2462" s="28" t="s">
        <v>2644</v>
      </c>
      <c r="D2462" s="26" t="s">
        <v>45</v>
      </c>
      <c r="E2462" s="31">
        <v>46230.0</v>
      </c>
      <c r="F2462" s="26" t="s">
        <v>164</v>
      </c>
      <c r="H2462" s="26" t="s">
        <v>2605</v>
      </c>
      <c r="I2462" s="26" t="s">
        <v>42</v>
      </c>
      <c r="J2462" s="25" t="str">
        <f t="shared" si="34"/>
        <v>No</v>
      </c>
      <c r="K2462" s="25" t="str">
        <f t="shared" si="35"/>
        <v/>
      </c>
      <c r="L2462" s="25" t="str">
        <f t="shared" si="36"/>
        <v/>
      </c>
      <c r="M2462" s="25"/>
      <c r="O2462" s="25"/>
    </row>
    <row r="2463" ht="15.75" customHeight="1">
      <c r="A2463" s="25" t="str">
        <f>IFERROR(__xludf.DUMMYFUNCTION("IF(B2463="""","""",RIGHT(REGEXREPLACE(B2463&amp;"""",""[^0-9]"",""""),9))"),"773711781")</f>
        <v>773711781</v>
      </c>
      <c r="B2463" s="52">
        <v>7.73711781E8</v>
      </c>
      <c r="C2463" s="28" t="s">
        <v>2645</v>
      </c>
      <c r="D2463" s="26" t="s">
        <v>64</v>
      </c>
      <c r="E2463" s="31">
        <v>46230.0</v>
      </c>
      <c r="F2463" s="26" t="s">
        <v>659</v>
      </c>
      <c r="I2463" s="26" t="s">
        <v>42</v>
      </c>
      <c r="J2463" s="25" t="str">
        <f t="shared" si="34"/>
        <v>Yes - see Previous F-Code</v>
      </c>
      <c r="K2463" s="25" t="str">
        <f t="shared" si="35"/>
        <v>DUPLICATE - CHECK</v>
      </c>
      <c r="L2463" s="25" t="str">
        <f t="shared" si="36"/>
        <v>F72322</v>
      </c>
      <c r="M2463" s="25"/>
      <c r="O2463" s="25"/>
    </row>
    <row r="2464" ht="15.75" customHeight="1">
      <c r="A2464" s="25" t="str">
        <f>IFERROR(__xludf.DUMMYFUNCTION("IF(B2464="""","""",RIGHT(REGEXREPLACE(B2464&amp;"""",""[^0-9]"",""""),9))"),"714273001")</f>
        <v>714273001</v>
      </c>
      <c r="B2464" s="52">
        <v>7.14273001E8</v>
      </c>
      <c r="C2464" s="28" t="s">
        <v>2645</v>
      </c>
      <c r="D2464" s="26" t="s">
        <v>49</v>
      </c>
      <c r="E2464" s="31">
        <v>46230.0</v>
      </c>
      <c r="F2464" s="26" t="s">
        <v>46</v>
      </c>
      <c r="G2464" s="26">
        <v>10.0</v>
      </c>
      <c r="H2464" s="26" t="s">
        <v>677</v>
      </c>
      <c r="I2464" s="26" t="s">
        <v>42</v>
      </c>
      <c r="J2464" s="25" t="str">
        <f t="shared" si="34"/>
        <v>No</v>
      </c>
      <c r="K2464" s="25" t="str">
        <f t="shared" si="35"/>
        <v/>
      </c>
      <c r="L2464" s="25" t="str">
        <f t="shared" si="36"/>
        <v/>
      </c>
      <c r="M2464" s="25"/>
      <c r="O2464" s="25"/>
    </row>
    <row r="2465" ht="15.75" customHeight="1">
      <c r="C2465" s="46"/>
      <c r="D2465" s="25"/>
      <c r="F2465" s="25"/>
      <c r="I2465" s="26" t="s">
        <v>42</v>
      </c>
      <c r="M2465" s="25"/>
      <c r="O2465" s="25"/>
    </row>
    <row r="2466" ht="15.75" customHeight="1">
      <c r="A2466" s="25" t="str">
        <f>IFERROR(__xludf.DUMMYFUNCTION("IF(B2466="""","""",RIGHT(REGEXREPLACE(B2466&amp;"""",""[^0-9]"",""""),9))"),"760894227")</f>
        <v>760894227</v>
      </c>
      <c r="B2466" s="52">
        <v>7.60894227E8</v>
      </c>
      <c r="C2466" s="28" t="s">
        <v>2646</v>
      </c>
      <c r="D2466" s="26" t="s">
        <v>45</v>
      </c>
      <c r="E2466" s="31">
        <v>46230.0</v>
      </c>
      <c r="F2466" s="26" t="s">
        <v>41</v>
      </c>
      <c r="H2466" s="26" t="s">
        <v>2605</v>
      </c>
      <c r="I2466" s="26" t="s">
        <v>42</v>
      </c>
      <c r="J2466" s="25" t="str">
        <f t="shared" ref="J2466:J2548" si="37">IF(COUNTIF($A$2:A2465,A2466)&gt;0,"Yes - see Previous F-Code","No")</f>
        <v>No</v>
      </c>
      <c r="K2466" s="25" t="str">
        <f t="shared" ref="K2466:K2548" si="38">IF(COUNTIFS($A$2:A2466,A2466,$I$2:I2466,I2466)&gt;1,"DUPLICATE - CHECK","")</f>
        <v/>
      </c>
      <c r="L2466" s="25" t="str">
        <f t="shared" ref="L2466:L2548" si="39">IF(COUNTIF($A$2:A2465,A2466)&gt;0,INDEX($C$2:C2465,MATCH(A2466,$A$2:A2465,0)),"")</f>
        <v/>
      </c>
      <c r="M2466" s="25"/>
      <c r="O2466" s="25"/>
    </row>
    <row r="2467" ht="15.75" customHeight="1">
      <c r="A2467" s="25" t="str">
        <f>IFERROR(__xludf.DUMMYFUNCTION("IF(B2467="""","""",RIGHT(REGEXREPLACE(B2467&amp;"""",""[^0-9]"",""""),9))"),"752244221")</f>
        <v>752244221</v>
      </c>
      <c r="B2467" s="52">
        <v>7.52244221E8</v>
      </c>
      <c r="C2467" s="28" t="s">
        <v>2647</v>
      </c>
      <c r="D2467" s="26" t="s">
        <v>56</v>
      </c>
      <c r="E2467" s="31">
        <v>46230.0</v>
      </c>
      <c r="F2467" s="26" t="s">
        <v>46</v>
      </c>
      <c r="G2467" s="26">
        <v>11.0</v>
      </c>
      <c r="H2467" s="26" t="s">
        <v>2648</v>
      </c>
      <c r="I2467" s="26" t="s">
        <v>42</v>
      </c>
      <c r="J2467" s="25" t="str">
        <f t="shared" si="37"/>
        <v>No</v>
      </c>
      <c r="K2467" s="25" t="str">
        <f t="shared" si="38"/>
        <v/>
      </c>
      <c r="L2467" s="25" t="str">
        <f t="shared" si="39"/>
        <v/>
      </c>
      <c r="M2467" s="25"/>
      <c r="O2467" s="25"/>
    </row>
    <row r="2468" ht="15.75" customHeight="1">
      <c r="A2468" s="25" t="str">
        <f>IFERROR(__xludf.DUMMYFUNCTION("IF(B2468="""","""",RIGHT(REGEXREPLACE(B2468&amp;"""",""[^0-9]"",""""),9))"),"771239611")</f>
        <v>771239611</v>
      </c>
      <c r="B2468" s="52">
        <v>7.71239611E8</v>
      </c>
      <c r="C2468" s="28" t="s">
        <v>2649</v>
      </c>
      <c r="D2468" s="26" t="s">
        <v>82</v>
      </c>
      <c r="E2468" s="31">
        <v>46230.0</v>
      </c>
      <c r="F2468" s="26" t="s">
        <v>125</v>
      </c>
      <c r="G2468" s="26">
        <v>11.0</v>
      </c>
      <c r="I2468" s="26" t="s">
        <v>42</v>
      </c>
      <c r="J2468" s="25" t="str">
        <f t="shared" si="37"/>
        <v>No</v>
      </c>
      <c r="K2468" s="25" t="str">
        <f t="shared" si="38"/>
        <v/>
      </c>
      <c r="L2468" s="25" t="str">
        <f t="shared" si="39"/>
        <v/>
      </c>
      <c r="M2468" s="25"/>
      <c r="O2468" s="25"/>
    </row>
    <row r="2469" ht="15.75" customHeight="1">
      <c r="A2469" s="25" t="str">
        <f>IFERROR(__xludf.DUMMYFUNCTION("IF(B2469="""","""",RIGHT(REGEXREPLACE(B2469&amp;"""",""[^0-9]"",""""),9))"),"722916017")</f>
        <v>722916017</v>
      </c>
      <c r="B2469" s="52">
        <v>7.22916017E8</v>
      </c>
      <c r="C2469" s="28" t="s">
        <v>2650</v>
      </c>
      <c r="D2469" s="26" t="s">
        <v>45</v>
      </c>
      <c r="E2469" s="31">
        <v>46230.0</v>
      </c>
      <c r="F2469" s="26" t="s">
        <v>41</v>
      </c>
      <c r="H2469" s="26" t="s">
        <v>2605</v>
      </c>
      <c r="I2469" s="26" t="s">
        <v>42</v>
      </c>
      <c r="J2469" s="25" t="str">
        <f t="shared" si="37"/>
        <v>No</v>
      </c>
      <c r="K2469" s="25" t="str">
        <f t="shared" si="38"/>
        <v/>
      </c>
      <c r="L2469" s="25" t="str">
        <f t="shared" si="39"/>
        <v/>
      </c>
      <c r="M2469" s="25"/>
      <c r="O2469" s="25"/>
    </row>
    <row r="2470" ht="15.75" customHeight="1">
      <c r="A2470" s="25" t="str">
        <f>IFERROR(__xludf.DUMMYFUNCTION("IF(B2470="""","""",RIGHT(REGEXREPLACE(B2470&amp;"""",""[^0-9]"",""""),9))"),"707170053")</f>
        <v>707170053</v>
      </c>
      <c r="B2470" s="52">
        <v>7.07170053E8</v>
      </c>
      <c r="C2470" s="28" t="s">
        <v>2638</v>
      </c>
      <c r="D2470" s="26" t="s">
        <v>56</v>
      </c>
      <c r="E2470" s="31">
        <v>46230.0</v>
      </c>
      <c r="F2470" s="26" t="s">
        <v>41</v>
      </c>
      <c r="I2470" s="26" t="s">
        <v>42</v>
      </c>
      <c r="J2470" s="25" t="str">
        <f t="shared" si="37"/>
        <v>No</v>
      </c>
      <c r="K2470" s="25" t="str">
        <f t="shared" si="38"/>
        <v/>
      </c>
      <c r="L2470" s="25" t="str">
        <f t="shared" si="39"/>
        <v/>
      </c>
      <c r="M2470" s="25"/>
      <c r="O2470" s="25"/>
    </row>
    <row r="2471" ht="15.75" customHeight="1">
      <c r="A2471" s="25" t="str">
        <f>IFERROR(__xludf.DUMMYFUNCTION("IF(B2471="""","""",RIGHT(REGEXREPLACE(B2471&amp;"""",""[^0-9]"",""""),9))"),"717387978")</f>
        <v>717387978</v>
      </c>
      <c r="B2471" s="52">
        <v>7.17387978E8</v>
      </c>
      <c r="C2471" s="28" t="s">
        <v>2651</v>
      </c>
      <c r="D2471" s="26" t="s">
        <v>49</v>
      </c>
      <c r="E2471" s="31">
        <v>46230.0</v>
      </c>
      <c r="F2471" s="26" t="s">
        <v>205</v>
      </c>
      <c r="I2471" s="26" t="s">
        <v>42</v>
      </c>
      <c r="J2471" s="25" t="str">
        <f t="shared" si="37"/>
        <v>No</v>
      </c>
      <c r="K2471" s="25" t="str">
        <f t="shared" si="38"/>
        <v/>
      </c>
      <c r="L2471" s="25" t="str">
        <f t="shared" si="39"/>
        <v/>
      </c>
      <c r="M2471" s="25"/>
      <c r="O2471" s="25"/>
    </row>
    <row r="2472" ht="15.75" customHeight="1">
      <c r="A2472" s="25" t="str">
        <f>IFERROR(__xludf.DUMMYFUNCTION("IF(B2472="""","""",RIGHT(REGEXREPLACE(B2472&amp;"""",""[^0-9]"",""""),9))"),"716034279")</f>
        <v>716034279</v>
      </c>
      <c r="B2472" s="52">
        <v>7.16034279E8</v>
      </c>
      <c r="C2472" s="28" t="s">
        <v>2652</v>
      </c>
      <c r="D2472" s="26" t="s">
        <v>56</v>
      </c>
      <c r="E2472" s="31">
        <v>46230.0</v>
      </c>
      <c r="F2472" s="26" t="s">
        <v>41</v>
      </c>
      <c r="I2472" s="26" t="s">
        <v>42</v>
      </c>
      <c r="J2472" s="25" t="str">
        <f t="shared" si="37"/>
        <v>No</v>
      </c>
      <c r="K2472" s="25" t="str">
        <f t="shared" si="38"/>
        <v/>
      </c>
      <c r="L2472" s="25" t="str">
        <f t="shared" si="39"/>
        <v/>
      </c>
      <c r="M2472" s="25"/>
      <c r="O2472" s="25"/>
    </row>
    <row r="2473" ht="15.75" customHeight="1">
      <c r="A2473" s="25" t="str">
        <f>IFERROR(__xludf.DUMMYFUNCTION("IF(B2473="""","""",RIGHT(REGEXREPLACE(B2473&amp;"""",""[^0-9]"",""""),9))"),"778267147")</f>
        <v>778267147</v>
      </c>
      <c r="B2473" s="52">
        <v>7.78267147E8</v>
      </c>
      <c r="C2473" s="28" t="s">
        <v>2653</v>
      </c>
      <c r="D2473" s="26" t="s">
        <v>82</v>
      </c>
      <c r="E2473" s="31">
        <v>46230.0</v>
      </c>
      <c r="F2473" s="26" t="s">
        <v>41</v>
      </c>
      <c r="H2473" s="26" t="s">
        <v>1526</v>
      </c>
      <c r="I2473" s="26" t="s">
        <v>42</v>
      </c>
      <c r="J2473" s="25" t="str">
        <f t="shared" si="37"/>
        <v>No</v>
      </c>
      <c r="K2473" s="25" t="str">
        <f t="shared" si="38"/>
        <v/>
      </c>
      <c r="L2473" s="25" t="str">
        <f t="shared" si="39"/>
        <v/>
      </c>
      <c r="M2473" s="25"/>
      <c r="O2473" s="25"/>
    </row>
    <row r="2474" ht="15.75" customHeight="1">
      <c r="A2474" s="25" t="str">
        <f>IFERROR(__xludf.DUMMYFUNCTION("IF(B2474="""","""",RIGHT(REGEXREPLACE(B2474&amp;"""",""[^0-9]"",""""),9))"),"717083290")</f>
        <v>717083290</v>
      </c>
      <c r="B2474" s="52">
        <v>7.1708329E8</v>
      </c>
      <c r="C2474" s="28" t="s">
        <v>2654</v>
      </c>
      <c r="D2474" s="26" t="s">
        <v>56</v>
      </c>
      <c r="E2474" s="31">
        <v>46230.0</v>
      </c>
      <c r="F2474" s="25"/>
      <c r="G2474" s="25"/>
      <c r="H2474" s="26" t="s">
        <v>280</v>
      </c>
      <c r="I2474" s="26" t="s">
        <v>42</v>
      </c>
      <c r="J2474" s="25" t="str">
        <f t="shared" si="37"/>
        <v>No</v>
      </c>
      <c r="K2474" s="25" t="str">
        <f t="shared" si="38"/>
        <v/>
      </c>
      <c r="L2474" s="25" t="str">
        <f t="shared" si="39"/>
        <v/>
      </c>
      <c r="M2474" s="25"/>
      <c r="N2474" s="25"/>
      <c r="O2474" s="25"/>
      <c r="P2474" s="25"/>
    </row>
    <row r="2475" ht="15.75" customHeight="1">
      <c r="A2475" s="25" t="str">
        <f>IFERROR(__xludf.DUMMYFUNCTION("IF(B2475="""","""",RIGHT(REGEXREPLACE(B2475&amp;"""",""[^0-9]"",""""),9))"),"778059284")</f>
        <v>778059284</v>
      </c>
      <c r="B2475" s="52">
        <v>7.78059284E8</v>
      </c>
      <c r="C2475" s="28" t="s">
        <v>2655</v>
      </c>
      <c r="D2475" s="26" t="s">
        <v>49</v>
      </c>
      <c r="E2475" s="31">
        <v>46230.0</v>
      </c>
      <c r="F2475" s="26" t="s">
        <v>46</v>
      </c>
      <c r="H2475" s="26" t="s">
        <v>677</v>
      </c>
      <c r="I2475" s="26" t="s">
        <v>42</v>
      </c>
      <c r="J2475" s="25" t="str">
        <f t="shared" si="37"/>
        <v>No</v>
      </c>
      <c r="K2475" s="25" t="str">
        <f t="shared" si="38"/>
        <v/>
      </c>
      <c r="L2475" s="25" t="str">
        <f t="shared" si="39"/>
        <v/>
      </c>
      <c r="M2475" s="25"/>
      <c r="O2475" s="25"/>
    </row>
    <row r="2476" ht="15.75" customHeight="1">
      <c r="A2476" s="25" t="str">
        <f>IFERROR(__xludf.DUMMYFUNCTION("IF(B2476="""","""",RIGHT(REGEXREPLACE(B2476&amp;"""",""[^0-9]"",""""),9))"),"774769590")</f>
        <v>774769590</v>
      </c>
      <c r="B2476" s="52">
        <v>7.7476959E8</v>
      </c>
      <c r="C2476" s="28" t="s">
        <v>2656</v>
      </c>
      <c r="D2476" s="26" t="s">
        <v>45</v>
      </c>
      <c r="E2476" s="31">
        <v>46230.0</v>
      </c>
      <c r="F2476" s="26" t="s">
        <v>41</v>
      </c>
      <c r="H2476" s="26" t="s">
        <v>2605</v>
      </c>
      <c r="I2476" s="26" t="s">
        <v>42</v>
      </c>
      <c r="J2476" s="25" t="str">
        <f t="shared" si="37"/>
        <v>No</v>
      </c>
      <c r="K2476" s="25" t="str">
        <f t="shared" si="38"/>
        <v/>
      </c>
      <c r="L2476" s="25" t="str">
        <f t="shared" si="39"/>
        <v/>
      </c>
      <c r="M2476" s="25"/>
      <c r="O2476" s="25"/>
    </row>
    <row r="2477" ht="15.75" customHeight="1">
      <c r="A2477" s="25" t="str">
        <f>IFERROR(__xludf.DUMMYFUNCTION("IF(B2477="""","""",RIGHT(REGEXREPLACE(B2477&amp;"""",""[^0-9]"",""""),9))"),"717684415")</f>
        <v>717684415</v>
      </c>
      <c r="B2477" s="52">
        <v>7.17684415E8</v>
      </c>
      <c r="C2477" s="28" t="s">
        <v>2657</v>
      </c>
      <c r="D2477" s="26" t="s">
        <v>82</v>
      </c>
      <c r="E2477" s="31">
        <v>46230.0</v>
      </c>
      <c r="F2477" s="26" t="s">
        <v>41</v>
      </c>
      <c r="H2477" s="26" t="s">
        <v>2605</v>
      </c>
      <c r="I2477" s="26" t="s">
        <v>42</v>
      </c>
      <c r="J2477" s="25" t="str">
        <f t="shared" si="37"/>
        <v>No</v>
      </c>
      <c r="K2477" s="25" t="str">
        <f t="shared" si="38"/>
        <v/>
      </c>
      <c r="L2477" s="25" t="str">
        <f t="shared" si="39"/>
        <v/>
      </c>
      <c r="M2477" s="25"/>
      <c r="O2477" s="25"/>
    </row>
    <row r="2478" ht="15.75" customHeight="1">
      <c r="A2478" s="25" t="str">
        <f>IFERROR(__xludf.DUMMYFUNCTION("IF(B2478="""","""",RIGHT(REGEXREPLACE(B2478&amp;"""",""[^0-9]"",""""),9))"),"766562409")</f>
        <v>766562409</v>
      </c>
      <c r="B2478" s="52">
        <v>7.66562409E8</v>
      </c>
      <c r="C2478" s="28" t="s">
        <v>2658</v>
      </c>
      <c r="D2478" s="26" t="s">
        <v>49</v>
      </c>
      <c r="E2478" s="31">
        <v>46230.0</v>
      </c>
      <c r="F2478" s="26" t="s">
        <v>205</v>
      </c>
      <c r="I2478" s="26" t="s">
        <v>42</v>
      </c>
      <c r="J2478" s="25" t="str">
        <f t="shared" si="37"/>
        <v>No</v>
      </c>
      <c r="K2478" s="25" t="str">
        <f t="shared" si="38"/>
        <v/>
      </c>
      <c r="L2478" s="25" t="str">
        <f t="shared" si="39"/>
        <v/>
      </c>
      <c r="M2478" s="25"/>
      <c r="O2478" s="25"/>
    </row>
    <row r="2479" ht="15.75" customHeight="1">
      <c r="A2479" s="25" t="str">
        <f>IFERROR(__xludf.DUMMYFUNCTION("IF(B2479="""","""",RIGHT(REGEXREPLACE(B2479&amp;"""",""[^0-9]"",""""),9))"),"712765399")</f>
        <v>712765399</v>
      </c>
      <c r="B2479" s="52">
        <v>7.12765399E8</v>
      </c>
      <c r="C2479" s="28" t="s">
        <v>2659</v>
      </c>
      <c r="D2479" s="26" t="s">
        <v>45</v>
      </c>
      <c r="E2479" s="31">
        <v>46230.0</v>
      </c>
      <c r="F2479" s="26" t="s">
        <v>46</v>
      </c>
      <c r="G2479" s="26">
        <v>11.0</v>
      </c>
      <c r="I2479" s="26" t="s">
        <v>42</v>
      </c>
      <c r="J2479" s="25" t="str">
        <f t="shared" si="37"/>
        <v>No</v>
      </c>
      <c r="K2479" s="25" t="str">
        <f t="shared" si="38"/>
        <v/>
      </c>
      <c r="L2479" s="25" t="str">
        <f t="shared" si="39"/>
        <v/>
      </c>
      <c r="M2479" s="25"/>
      <c r="O2479" s="25"/>
    </row>
    <row r="2480" ht="15.75" customHeight="1">
      <c r="A2480" s="25" t="str">
        <f>IFERROR(__xludf.DUMMYFUNCTION("IF(B2480="""","""",RIGHT(REGEXREPLACE(B2480&amp;"""",""[^0-9]"",""""),9))"),"706675583")</f>
        <v>706675583</v>
      </c>
      <c r="B2480" s="52">
        <v>7.06675583E8</v>
      </c>
      <c r="C2480" s="28" t="s">
        <v>2660</v>
      </c>
      <c r="D2480" s="26" t="s">
        <v>49</v>
      </c>
      <c r="E2480" s="31">
        <v>46230.0</v>
      </c>
      <c r="F2480" s="26" t="s">
        <v>46</v>
      </c>
      <c r="G2480" s="26">
        <v>11.0</v>
      </c>
      <c r="H2480" s="26" t="s">
        <v>1369</v>
      </c>
      <c r="I2480" s="26" t="s">
        <v>42</v>
      </c>
      <c r="J2480" s="25" t="str">
        <f t="shared" si="37"/>
        <v>No</v>
      </c>
      <c r="K2480" s="25" t="str">
        <f t="shared" si="38"/>
        <v/>
      </c>
      <c r="L2480" s="25" t="str">
        <f t="shared" si="39"/>
        <v/>
      </c>
      <c r="M2480" s="25"/>
      <c r="O2480" s="25"/>
    </row>
    <row r="2481" ht="15.75" customHeight="1">
      <c r="A2481" s="25" t="str">
        <f>IFERROR(__xludf.DUMMYFUNCTION("IF(B2481="""","""",RIGHT(REGEXREPLACE(B2481&amp;"""",""[^0-9]"",""""),9))"),"714273001")</f>
        <v>714273001</v>
      </c>
      <c r="B2481" s="52">
        <v>7.14273001E8</v>
      </c>
      <c r="C2481" s="28" t="s">
        <v>2646</v>
      </c>
      <c r="D2481" s="26" t="s">
        <v>64</v>
      </c>
      <c r="E2481" s="31">
        <v>46230.0</v>
      </c>
      <c r="F2481" s="26" t="s">
        <v>46</v>
      </c>
      <c r="G2481" s="26">
        <v>11.0</v>
      </c>
      <c r="I2481" s="26" t="s">
        <v>42</v>
      </c>
      <c r="J2481" s="25" t="str">
        <f t="shared" si="37"/>
        <v>Yes - see Previous F-Code</v>
      </c>
      <c r="K2481" s="25" t="str">
        <f t="shared" si="38"/>
        <v>DUPLICATE - CHECK</v>
      </c>
      <c r="L2481" s="25" t="str">
        <f t="shared" si="39"/>
        <v>F72334</v>
      </c>
      <c r="M2481" s="25"/>
      <c r="O2481" s="25"/>
    </row>
    <row r="2482" ht="15.75" customHeight="1">
      <c r="A2482" s="25" t="str">
        <f>IFERROR(__xludf.DUMMYFUNCTION("IF(B2482="""","""",RIGHT(REGEXREPLACE(B2482&amp;"""",""[^0-9]"",""""),9))"),"778460460")</f>
        <v>778460460</v>
      </c>
      <c r="B2482" s="52">
        <v>7.7846046E8</v>
      </c>
      <c r="C2482" s="28" t="s">
        <v>2661</v>
      </c>
      <c r="D2482" s="26" t="s">
        <v>82</v>
      </c>
      <c r="E2482" s="31">
        <v>46230.0</v>
      </c>
      <c r="F2482" s="26" t="s">
        <v>46</v>
      </c>
      <c r="H2482" s="26" t="s">
        <v>2605</v>
      </c>
      <c r="I2482" s="26" t="s">
        <v>42</v>
      </c>
      <c r="J2482" s="25" t="str">
        <f t="shared" si="37"/>
        <v>No</v>
      </c>
      <c r="K2482" s="25" t="str">
        <f t="shared" si="38"/>
        <v/>
      </c>
      <c r="L2482" s="25" t="str">
        <f t="shared" si="39"/>
        <v/>
      </c>
      <c r="M2482" s="25"/>
      <c r="O2482" s="25"/>
    </row>
    <row r="2483" ht="15.75" customHeight="1">
      <c r="A2483" s="25" t="str">
        <f>IFERROR(__xludf.DUMMYFUNCTION("IF(B2483="""","""",RIGHT(REGEXREPLACE(B2483&amp;"""",""[^0-9]"",""""),9))"),"707075125")</f>
        <v>707075125</v>
      </c>
      <c r="B2483" s="52">
        <v>7.07075125E8</v>
      </c>
      <c r="C2483" s="28" t="s">
        <v>2662</v>
      </c>
      <c r="D2483" s="26" t="s">
        <v>56</v>
      </c>
      <c r="E2483" s="31">
        <v>46230.0</v>
      </c>
      <c r="F2483" s="26" t="s">
        <v>41</v>
      </c>
      <c r="H2483" s="26" t="s">
        <v>796</v>
      </c>
      <c r="I2483" s="26" t="s">
        <v>42</v>
      </c>
      <c r="J2483" s="25" t="str">
        <f t="shared" si="37"/>
        <v>No</v>
      </c>
      <c r="K2483" s="25" t="str">
        <f t="shared" si="38"/>
        <v/>
      </c>
      <c r="L2483" s="25" t="str">
        <f t="shared" si="39"/>
        <v/>
      </c>
      <c r="M2483" s="25"/>
      <c r="O2483" s="25"/>
    </row>
    <row r="2484" ht="15.75" customHeight="1">
      <c r="A2484" s="25" t="str">
        <f>IFERROR(__xludf.DUMMYFUNCTION("IF(B2484="""","""",RIGHT(REGEXREPLACE(B2484&amp;"""",""[^0-9]"",""""),9))"),"767857891")</f>
        <v>767857891</v>
      </c>
      <c r="B2484" s="52">
        <v>7.67857891E8</v>
      </c>
      <c r="C2484" s="28" t="s">
        <v>2663</v>
      </c>
      <c r="D2484" s="26" t="s">
        <v>49</v>
      </c>
      <c r="E2484" s="31">
        <v>46230.0</v>
      </c>
      <c r="F2484" s="26" t="s">
        <v>46</v>
      </c>
      <c r="G2484" s="26">
        <v>10.0</v>
      </c>
      <c r="H2484" s="26" t="s">
        <v>677</v>
      </c>
      <c r="I2484" s="26" t="s">
        <v>42</v>
      </c>
      <c r="J2484" s="25" t="str">
        <f t="shared" si="37"/>
        <v>No</v>
      </c>
      <c r="K2484" s="25" t="str">
        <f t="shared" si="38"/>
        <v/>
      </c>
      <c r="L2484" s="25" t="str">
        <f t="shared" si="39"/>
        <v/>
      </c>
      <c r="M2484" s="25"/>
      <c r="O2484" s="25"/>
    </row>
    <row r="2485" ht="15.75" customHeight="1">
      <c r="A2485" s="25" t="str">
        <f>IFERROR(__xludf.DUMMYFUNCTION("IF(B2485="""","""",RIGHT(REGEXREPLACE(B2485&amp;"""",""[^0-9]"",""""),9))"),"766461391")</f>
        <v>766461391</v>
      </c>
      <c r="B2485" s="52">
        <v>7.66461391E8</v>
      </c>
      <c r="C2485" s="28" t="s">
        <v>2664</v>
      </c>
      <c r="D2485" s="26" t="s">
        <v>45</v>
      </c>
      <c r="E2485" s="31">
        <v>46230.0</v>
      </c>
      <c r="F2485" s="26" t="s">
        <v>41</v>
      </c>
      <c r="H2485" s="26" t="s">
        <v>2605</v>
      </c>
      <c r="I2485" s="26" t="s">
        <v>42</v>
      </c>
      <c r="J2485" s="25" t="str">
        <f t="shared" si="37"/>
        <v>No</v>
      </c>
      <c r="K2485" s="25" t="str">
        <f t="shared" si="38"/>
        <v/>
      </c>
      <c r="L2485" s="25" t="str">
        <f t="shared" si="39"/>
        <v/>
      </c>
      <c r="M2485" s="25"/>
      <c r="O2485" s="25"/>
    </row>
    <row r="2486" ht="15.75" customHeight="1">
      <c r="A2486" s="25" t="str">
        <f>IFERROR(__xludf.DUMMYFUNCTION("IF(B2486="""","""",RIGHT(REGEXREPLACE(B2486&amp;"""",""[^0-9]"",""""),9))"),"774416151")</f>
        <v>774416151</v>
      </c>
      <c r="B2486" s="52">
        <v>7.74416151E8</v>
      </c>
      <c r="C2486" s="28" t="s">
        <v>2665</v>
      </c>
      <c r="D2486" s="26" t="s">
        <v>82</v>
      </c>
      <c r="E2486" s="31">
        <v>46230.0</v>
      </c>
      <c r="F2486" s="26" t="s">
        <v>46</v>
      </c>
      <c r="G2486" s="26">
        <v>10.0</v>
      </c>
      <c r="H2486" s="26" t="s">
        <v>2605</v>
      </c>
      <c r="I2486" s="26" t="s">
        <v>42</v>
      </c>
      <c r="J2486" s="25" t="str">
        <f t="shared" si="37"/>
        <v>No</v>
      </c>
      <c r="K2486" s="25" t="str">
        <f t="shared" si="38"/>
        <v/>
      </c>
      <c r="L2486" s="25" t="str">
        <f t="shared" si="39"/>
        <v/>
      </c>
      <c r="M2486" s="25"/>
      <c r="O2486" s="25"/>
    </row>
    <row r="2487" ht="15.75" customHeight="1">
      <c r="A2487" s="25" t="str">
        <f>IFERROR(__xludf.DUMMYFUNCTION("IF(B2487="""","""",RIGHT(REGEXREPLACE(B2487&amp;"""",""[^0-9]"",""""),9))"),"777980984")</f>
        <v>777980984</v>
      </c>
      <c r="B2487" s="52">
        <v>7.77980984E8</v>
      </c>
      <c r="C2487" s="28" t="s">
        <v>2666</v>
      </c>
      <c r="D2487" s="26" t="s">
        <v>64</v>
      </c>
      <c r="E2487" s="31">
        <v>46230.0</v>
      </c>
      <c r="F2487" s="26" t="s">
        <v>46</v>
      </c>
      <c r="G2487" s="26">
        <v>10.0</v>
      </c>
      <c r="I2487" s="26" t="s">
        <v>42</v>
      </c>
      <c r="J2487" s="25" t="str">
        <f t="shared" si="37"/>
        <v>No</v>
      </c>
      <c r="K2487" s="25" t="str">
        <f t="shared" si="38"/>
        <v/>
      </c>
      <c r="L2487" s="25" t="str">
        <f t="shared" si="39"/>
        <v/>
      </c>
      <c r="M2487" s="25"/>
      <c r="O2487" s="25"/>
    </row>
    <row r="2488" ht="15.75" customHeight="1">
      <c r="A2488" s="25" t="str">
        <f>IFERROR(__xludf.DUMMYFUNCTION("IF(B2488="""","""",RIGHT(REGEXREPLACE(B2488&amp;"""",""[^0-9]"",""""),9))"),"721306172")</f>
        <v>721306172</v>
      </c>
      <c r="B2488" s="52">
        <v>7.21306172E8</v>
      </c>
      <c r="C2488" s="28" t="s">
        <v>2667</v>
      </c>
      <c r="D2488" s="26" t="s">
        <v>45</v>
      </c>
      <c r="E2488" s="31">
        <v>46230.0</v>
      </c>
      <c r="F2488" s="26" t="s">
        <v>46</v>
      </c>
      <c r="G2488" s="26">
        <v>11.0</v>
      </c>
      <c r="I2488" s="26" t="s">
        <v>42</v>
      </c>
      <c r="J2488" s="25" t="str">
        <f t="shared" si="37"/>
        <v>No</v>
      </c>
      <c r="K2488" s="25" t="str">
        <f t="shared" si="38"/>
        <v/>
      </c>
      <c r="L2488" s="25" t="str">
        <f t="shared" si="39"/>
        <v/>
      </c>
      <c r="M2488" s="25"/>
      <c r="O2488" s="25"/>
    </row>
    <row r="2489" ht="15.75" customHeight="1">
      <c r="A2489" s="25" t="str">
        <f>IFERROR(__xludf.DUMMYFUNCTION("IF(B2489="""","""",RIGHT(REGEXREPLACE(B2489&amp;"""",""[^0-9]"",""""),9))"),"766188756")</f>
        <v>766188756</v>
      </c>
      <c r="B2489" s="52">
        <v>7.66188756E8</v>
      </c>
      <c r="C2489" s="28" t="s">
        <v>2668</v>
      </c>
      <c r="D2489" s="26" t="s">
        <v>49</v>
      </c>
      <c r="E2489" s="31">
        <v>46230.0</v>
      </c>
      <c r="F2489" s="26" t="s">
        <v>46</v>
      </c>
      <c r="G2489" s="26">
        <v>6.0</v>
      </c>
      <c r="H2489" s="26" t="s">
        <v>677</v>
      </c>
      <c r="I2489" s="26" t="s">
        <v>42</v>
      </c>
      <c r="J2489" s="25" t="str">
        <f t="shared" si="37"/>
        <v>No</v>
      </c>
      <c r="K2489" s="25" t="str">
        <f t="shared" si="38"/>
        <v/>
      </c>
      <c r="L2489" s="25" t="str">
        <f t="shared" si="39"/>
        <v/>
      </c>
      <c r="M2489" s="25"/>
      <c r="O2489" s="25"/>
    </row>
    <row r="2490" ht="15.75" customHeight="1">
      <c r="A2490" s="25" t="str">
        <f>IFERROR(__xludf.DUMMYFUNCTION("IF(B2490="""","""",RIGHT(REGEXREPLACE(B2490&amp;"""",""[^0-9]"",""""),9))"),"752560846")</f>
        <v>752560846</v>
      </c>
      <c r="B2490" s="52">
        <v>7.52560846E8</v>
      </c>
      <c r="C2490" s="28" t="s">
        <v>2669</v>
      </c>
      <c r="D2490" s="26" t="s">
        <v>56</v>
      </c>
      <c r="E2490" s="31">
        <v>46230.0</v>
      </c>
      <c r="F2490" s="26" t="s">
        <v>205</v>
      </c>
      <c r="I2490" s="26" t="s">
        <v>42</v>
      </c>
      <c r="J2490" s="25" t="str">
        <f t="shared" si="37"/>
        <v>No</v>
      </c>
      <c r="K2490" s="25" t="str">
        <f t="shared" si="38"/>
        <v/>
      </c>
      <c r="L2490" s="25" t="str">
        <f t="shared" si="39"/>
        <v/>
      </c>
      <c r="M2490" s="25"/>
      <c r="O2490" s="25"/>
    </row>
    <row r="2491" ht="15.75" customHeight="1">
      <c r="A2491" s="25" t="str">
        <f>IFERROR(__xludf.DUMMYFUNCTION("IF(B2491="""","""",RIGHT(REGEXREPLACE(B2491&amp;"""",""[^0-9]"",""""),9))"),"719739170")</f>
        <v>719739170</v>
      </c>
      <c r="B2491" s="52">
        <v>7.1973917E8</v>
      </c>
      <c r="C2491" s="28" t="s">
        <v>2670</v>
      </c>
      <c r="D2491" s="26" t="s">
        <v>82</v>
      </c>
      <c r="E2491" s="31">
        <v>46230.0</v>
      </c>
      <c r="F2491" s="26" t="s">
        <v>46</v>
      </c>
      <c r="G2491" s="96">
        <v>46306.0</v>
      </c>
      <c r="H2491" s="26" t="s">
        <v>2671</v>
      </c>
      <c r="I2491" s="26" t="s">
        <v>42</v>
      </c>
      <c r="J2491" s="25" t="str">
        <f t="shared" si="37"/>
        <v>No</v>
      </c>
      <c r="K2491" s="25" t="str">
        <f t="shared" si="38"/>
        <v/>
      </c>
      <c r="L2491" s="25" t="str">
        <f t="shared" si="39"/>
        <v/>
      </c>
      <c r="M2491" s="25"/>
      <c r="O2491" s="25"/>
    </row>
    <row r="2492" ht="15.75" customHeight="1">
      <c r="A2492" s="25" t="str">
        <f>IFERROR(__xludf.DUMMYFUNCTION("IF(B2492="""","""",RIGHT(REGEXREPLACE(B2492&amp;"""",""[^0-9]"",""""),9))"),"775091171")</f>
        <v>775091171</v>
      </c>
      <c r="B2492" s="52">
        <v>7.75091171E8</v>
      </c>
      <c r="C2492" s="28" t="s">
        <v>2672</v>
      </c>
      <c r="D2492" s="26" t="s">
        <v>56</v>
      </c>
      <c r="E2492" s="31">
        <v>46230.0</v>
      </c>
      <c r="F2492" s="26" t="s">
        <v>46</v>
      </c>
      <c r="G2492" s="26">
        <v>11.0</v>
      </c>
      <c r="I2492" s="26" t="s">
        <v>42</v>
      </c>
      <c r="J2492" s="25" t="str">
        <f t="shared" si="37"/>
        <v>No</v>
      </c>
      <c r="K2492" s="25" t="str">
        <f t="shared" si="38"/>
        <v/>
      </c>
      <c r="L2492" s="25" t="str">
        <f t="shared" si="39"/>
        <v/>
      </c>
      <c r="M2492" s="25"/>
      <c r="O2492" s="25"/>
    </row>
    <row r="2493" ht="15.75" customHeight="1">
      <c r="A2493" s="25" t="str">
        <f>IFERROR(__xludf.DUMMYFUNCTION("IF(B2493="""","""",RIGHT(REGEXREPLACE(B2493&amp;"""",""[^0-9]"",""""),9))"),"761744185")</f>
        <v>761744185</v>
      </c>
      <c r="B2493" s="52">
        <v>7.61744185E8</v>
      </c>
      <c r="C2493" s="28" t="s">
        <v>2673</v>
      </c>
      <c r="D2493" s="26" t="s">
        <v>49</v>
      </c>
      <c r="E2493" s="31">
        <v>46230.0</v>
      </c>
      <c r="F2493" s="26" t="s">
        <v>46</v>
      </c>
      <c r="G2493" s="26">
        <v>10.0</v>
      </c>
      <c r="H2493" s="26" t="s">
        <v>677</v>
      </c>
      <c r="I2493" s="26" t="s">
        <v>42</v>
      </c>
      <c r="J2493" s="25" t="str">
        <f t="shared" si="37"/>
        <v>No</v>
      </c>
      <c r="K2493" s="25" t="str">
        <f t="shared" si="38"/>
        <v/>
      </c>
      <c r="L2493" s="25" t="str">
        <f t="shared" si="39"/>
        <v/>
      </c>
      <c r="M2493" s="25"/>
      <c r="O2493" s="25"/>
    </row>
    <row r="2494" ht="15.75" customHeight="1">
      <c r="A2494" s="25" t="str">
        <f>IFERROR(__xludf.DUMMYFUNCTION("IF(B2494="""","""",RIGHT(REGEXREPLACE(B2494&amp;"""",""[^0-9]"",""""),9))"),"718149136")</f>
        <v>718149136</v>
      </c>
      <c r="B2494" s="52">
        <v>7.18149136E8</v>
      </c>
      <c r="C2494" s="28" t="s">
        <v>2674</v>
      </c>
      <c r="D2494" s="26" t="s">
        <v>64</v>
      </c>
      <c r="E2494" s="31">
        <v>46230.0</v>
      </c>
      <c r="F2494" s="26" t="s">
        <v>46</v>
      </c>
      <c r="G2494" s="26">
        <v>10.0</v>
      </c>
      <c r="I2494" s="26" t="s">
        <v>42</v>
      </c>
      <c r="J2494" s="25" t="str">
        <f t="shared" si="37"/>
        <v>No</v>
      </c>
      <c r="K2494" s="25" t="str">
        <f t="shared" si="38"/>
        <v/>
      </c>
      <c r="L2494" s="25" t="str">
        <f t="shared" si="39"/>
        <v/>
      </c>
      <c r="M2494" s="25"/>
      <c r="O2494" s="25"/>
    </row>
    <row r="2495" ht="15.75" customHeight="1">
      <c r="A2495" s="25" t="str">
        <f>IFERROR(__xludf.DUMMYFUNCTION("IF(B2495="""","""",RIGHT(REGEXREPLACE(B2495&amp;"""",""[^0-9]"",""""),9))"),"769396467")</f>
        <v>769396467</v>
      </c>
      <c r="B2495" s="52">
        <v>7.69396467E8</v>
      </c>
      <c r="C2495" s="28" t="s">
        <v>2675</v>
      </c>
      <c r="D2495" s="26" t="s">
        <v>56</v>
      </c>
      <c r="E2495" s="31">
        <v>46230.0</v>
      </c>
      <c r="F2495" s="26" t="s">
        <v>46</v>
      </c>
      <c r="G2495" s="26">
        <v>11.0</v>
      </c>
      <c r="H2495" s="26" t="s">
        <v>1648</v>
      </c>
      <c r="I2495" s="26" t="s">
        <v>42</v>
      </c>
      <c r="J2495" s="25" t="str">
        <f t="shared" si="37"/>
        <v>No</v>
      </c>
      <c r="K2495" s="25" t="str">
        <f t="shared" si="38"/>
        <v/>
      </c>
      <c r="L2495" s="25" t="str">
        <f t="shared" si="39"/>
        <v/>
      </c>
      <c r="M2495" s="25"/>
      <c r="O2495" s="25"/>
    </row>
    <row r="2496" ht="15.75" customHeight="1">
      <c r="A2496" s="25" t="str">
        <f>IFERROR(__xludf.DUMMYFUNCTION("IF(B2496="""","""",RIGHT(REGEXREPLACE(B2496&amp;"""",""[^0-9]"",""""),9))"),"788570574")</f>
        <v>788570574</v>
      </c>
      <c r="B2496" s="52">
        <v>7.88570574E8</v>
      </c>
      <c r="C2496" s="28" t="s">
        <v>2676</v>
      </c>
      <c r="D2496" s="26" t="s">
        <v>45</v>
      </c>
      <c r="E2496" s="31">
        <v>46230.0</v>
      </c>
      <c r="F2496" s="26" t="s">
        <v>205</v>
      </c>
      <c r="H2496" s="26" t="s">
        <v>2605</v>
      </c>
      <c r="I2496" s="26" t="s">
        <v>42</v>
      </c>
      <c r="J2496" s="25" t="str">
        <f t="shared" si="37"/>
        <v>No</v>
      </c>
      <c r="K2496" s="25" t="str">
        <f t="shared" si="38"/>
        <v/>
      </c>
      <c r="L2496" s="25" t="str">
        <f t="shared" si="39"/>
        <v/>
      </c>
      <c r="M2496" s="25"/>
      <c r="O2496" s="25"/>
    </row>
    <row r="2497" ht="15.75" customHeight="1">
      <c r="A2497" s="25" t="str">
        <f>IFERROR(__xludf.DUMMYFUNCTION("IF(B2497="""","""",RIGHT(REGEXREPLACE(B2497&amp;"""",""[^0-9]"",""""),9))"),"727393754")</f>
        <v>727393754</v>
      </c>
      <c r="B2497" s="52">
        <v>7.27393754E8</v>
      </c>
      <c r="C2497" s="28" t="s">
        <v>2677</v>
      </c>
      <c r="D2497" s="26" t="s">
        <v>49</v>
      </c>
      <c r="E2497" s="31">
        <v>46230.0</v>
      </c>
      <c r="F2497" s="26" t="s">
        <v>46</v>
      </c>
      <c r="G2497" s="26">
        <v>10.0</v>
      </c>
      <c r="I2497" s="26" t="s">
        <v>42</v>
      </c>
      <c r="J2497" s="25" t="str">
        <f t="shared" si="37"/>
        <v>No</v>
      </c>
      <c r="K2497" s="25" t="str">
        <f t="shared" si="38"/>
        <v/>
      </c>
      <c r="L2497" s="25" t="str">
        <f t="shared" si="39"/>
        <v/>
      </c>
      <c r="M2497" s="25"/>
      <c r="O2497" s="25"/>
    </row>
    <row r="2498" ht="15.75" customHeight="1">
      <c r="A2498" s="25" t="str">
        <f>IFERROR(__xludf.DUMMYFUNCTION("IF(B2498="""","""",RIGHT(REGEXREPLACE(B2498&amp;"""",""[^0-9]"",""""),9))"),"765650130")</f>
        <v>765650130</v>
      </c>
      <c r="B2498" s="52">
        <v>7.6565013E8</v>
      </c>
      <c r="C2498" s="28" t="s">
        <v>2677</v>
      </c>
      <c r="D2498" s="26" t="s">
        <v>45</v>
      </c>
      <c r="E2498" s="31">
        <v>46230.0</v>
      </c>
      <c r="F2498" s="26" t="s">
        <v>46</v>
      </c>
      <c r="G2498" s="26" t="s">
        <v>2048</v>
      </c>
      <c r="I2498" s="26" t="s">
        <v>42</v>
      </c>
      <c r="J2498" s="25" t="str">
        <f t="shared" si="37"/>
        <v>No</v>
      </c>
      <c r="K2498" s="25" t="str">
        <f t="shared" si="38"/>
        <v/>
      </c>
      <c r="L2498" s="25" t="str">
        <f t="shared" si="39"/>
        <v/>
      </c>
      <c r="M2498" s="25"/>
      <c r="O2498" s="25"/>
    </row>
    <row r="2499" ht="15.75" customHeight="1">
      <c r="A2499" s="25" t="str">
        <f>IFERROR(__xludf.DUMMYFUNCTION("IF(B2499="""","""",RIGHT(REGEXREPLACE(B2499&amp;"""",""[^0-9]"",""""),9))"),"702922510")</f>
        <v>702922510</v>
      </c>
      <c r="B2499" s="52">
        <v>7.0292251E8</v>
      </c>
      <c r="C2499" s="28" t="s">
        <v>2678</v>
      </c>
      <c r="D2499" s="26" t="s">
        <v>64</v>
      </c>
      <c r="E2499" s="31">
        <v>46230.0</v>
      </c>
      <c r="F2499" s="26" t="s">
        <v>41</v>
      </c>
      <c r="I2499" s="26" t="s">
        <v>42</v>
      </c>
      <c r="J2499" s="25" t="str">
        <f t="shared" si="37"/>
        <v>No</v>
      </c>
      <c r="K2499" s="25" t="str">
        <f t="shared" si="38"/>
        <v/>
      </c>
      <c r="L2499" s="25" t="str">
        <f t="shared" si="39"/>
        <v/>
      </c>
      <c r="M2499" s="25"/>
      <c r="O2499" s="25"/>
    </row>
    <row r="2500" ht="15.75" customHeight="1">
      <c r="A2500" s="25" t="str">
        <f>IFERROR(__xludf.DUMMYFUNCTION("IF(B2500="""","""",RIGHT(REGEXREPLACE(B2500&amp;"""",""[^0-9]"",""""),9))"),"764593120")</f>
        <v>764593120</v>
      </c>
      <c r="B2500" s="52">
        <v>7.6459312E8</v>
      </c>
      <c r="C2500" s="28" t="s">
        <v>2679</v>
      </c>
      <c r="D2500" s="26" t="s">
        <v>82</v>
      </c>
      <c r="E2500" s="31">
        <v>46230.0</v>
      </c>
      <c r="F2500" s="26" t="s">
        <v>84</v>
      </c>
      <c r="H2500" s="26" t="s">
        <v>2671</v>
      </c>
      <c r="I2500" s="26" t="s">
        <v>42</v>
      </c>
      <c r="J2500" s="25" t="str">
        <f t="shared" si="37"/>
        <v>No</v>
      </c>
      <c r="K2500" s="25" t="str">
        <f t="shared" si="38"/>
        <v/>
      </c>
      <c r="L2500" s="25" t="str">
        <f t="shared" si="39"/>
        <v/>
      </c>
      <c r="M2500" s="25"/>
      <c r="O2500" s="25"/>
    </row>
    <row r="2501" ht="15.75" customHeight="1">
      <c r="A2501" s="25" t="str">
        <f>IFERROR(__xludf.DUMMYFUNCTION("IF(B2501="""","""",RIGHT(REGEXREPLACE(B2501&amp;"""",""[^0-9]"",""""),9))"),"764115171")</f>
        <v>764115171</v>
      </c>
      <c r="B2501" s="52">
        <v>7.64115171E8</v>
      </c>
      <c r="C2501" s="28" t="s">
        <v>2680</v>
      </c>
      <c r="D2501" s="26" t="s">
        <v>49</v>
      </c>
      <c r="E2501" s="31">
        <v>46230.0</v>
      </c>
      <c r="F2501" s="26" t="s">
        <v>41</v>
      </c>
      <c r="G2501" s="26">
        <v>10.0</v>
      </c>
      <c r="I2501" s="26" t="s">
        <v>42</v>
      </c>
      <c r="J2501" s="25" t="str">
        <f t="shared" si="37"/>
        <v>No</v>
      </c>
      <c r="K2501" s="25" t="str">
        <f t="shared" si="38"/>
        <v/>
      </c>
      <c r="L2501" s="25" t="str">
        <f t="shared" si="39"/>
        <v/>
      </c>
      <c r="M2501" s="25"/>
      <c r="O2501" s="25"/>
    </row>
    <row r="2502" ht="15.75" customHeight="1">
      <c r="A2502" s="25" t="str">
        <f>IFERROR(__xludf.DUMMYFUNCTION("IF(B2502="""","""",RIGHT(REGEXREPLACE(B2502&amp;"""",""[^0-9]"",""""),9))"),"765750944")</f>
        <v>765750944</v>
      </c>
      <c r="B2502" s="52">
        <v>7.65750944E8</v>
      </c>
      <c r="C2502" s="28" t="s">
        <v>2681</v>
      </c>
      <c r="D2502" s="26" t="s">
        <v>82</v>
      </c>
      <c r="E2502" s="31">
        <v>46230.0</v>
      </c>
      <c r="F2502" s="26" t="s">
        <v>125</v>
      </c>
      <c r="G2502" s="26">
        <v>11.0</v>
      </c>
      <c r="H2502" s="26" t="s">
        <v>2682</v>
      </c>
      <c r="I2502" s="26" t="s">
        <v>42</v>
      </c>
      <c r="J2502" s="25" t="str">
        <f t="shared" si="37"/>
        <v>No</v>
      </c>
      <c r="K2502" s="25" t="str">
        <f t="shared" si="38"/>
        <v/>
      </c>
      <c r="L2502" s="25" t="str">
        <f t="shared" si="39"/>
        <v/>
      </c>
      <c r="M2502" s="25"/>
      <c r="O2502" s="25"/>
    </row>
    <row r="2503" ht="15.75" customHeight="1">
      <c r="A2503" s="25" t="str">
        <f>IFERROR(__xludf.DUMMYFUNCTION("IF(B2503="""","""",RIGHT(REGEXREPLACE(B2503&amp;"""",""[^0-9]"",""""),9))"),"704686741")</f>
        <v>704686741</v>
      </c>
      <c r="B2503" s="52">
        <v>7.04686741E8</v>
      </c>
      <c r="C2503" s="28" t="s">
        <v>2683</v>
      </c>
      <c r="D2503" s="26" t="s">
        <v>56</v>
      </c>
      <c r="E2503" s="31">
        <v>46230.0</v>
      </c>
      <c r="F2503" s="26" t="s">
        <v>46</v>
      </c>
      <c r="G2503" s="26">
        <v>7.0</v>
      </c>
      <c r="H2503" s="26" t="s">
        <v>774</v>
      </c>
      <c r="I2503" s="26" t="s">
        <v>42</v>
      </c>
      <c r="J2503" s="25" t="str">
        <f t="shared" si="37"/>
        <v>No</v>
      </c>
      <c r="K2503" s="25" t="str">
        <f t="shared" si="38"/>
        <v/>
      </c>
      <c r="L2503" s="25" t="str">
        <f t="shared" si="39"/>
        <v/>
      </c>
      <c r="M2503" s="25"/>
      <c r="O2503" s="25"/>
    </row>
    <row r="2504" ht="15.75" customHeight="1">
      <c r="A2504" s="25" t="str">
        <f>IFERROR(__xludf.DUMMYFUNCTION("IF(B2504="""","""",RIGHT(REGEXREPLACE(B2504&amp;"""",""[^0-9]"",""""),9))"),"772578785")</f>
        <v>772578785</v>
      </c>
      <c r="B2504" s="52">
        <v>7.72578785E8</v>
      </c>
      <c r="C2504" s="28" t="s">
        <v>2684</v>
      </c>
      <c r="D2504" s="26" t="s">
        <v>64</v>
      </c>
      <c r="E2504" s="31">
        <v>46230.0</v>
      </c>
      <c r="F2504" s="26" t="s">
        <v>41</v>
      </c>
      <c r="G2504" s="26">
        <v>10.0</v>
      </c>
      <c r="I2504" s="26" t="s">
        <v>42</v>
      </c>
      <c r="J2504" s="25" t="str">
        <f t="shared" si="37"/>
        <v>No</v>
      </c>
      <c r="K2504" s="25" t="str">
        <f t="shared" si="38"/>
        <v/>
      </c>
      <c r="L2504" s="25" t="str">
        <f t="shared" si="39"/>
        <v/>
      </c>
      <c r="M2504" s="25"/>
      <c r="O2504" s="25"/>
    </row>
    <row r="2505" ht="15.75" customHeight="1">
      <c r="A2505" s="25" t="str">
        <f>IFERROR(__xludf.DUMMYFUNCTION("IF(B2505="""","""",RIGHT(REGEXREPLACE(B2505&amp;"""",""[^0-9]"",""""),9))"),"741342370")</f>
        <v>741342370</v>
      </c>
      <c r="B2505" s="52">
        <v>7.4134237E8</v>
      </c>
      <c r="C2505" s="28" t="s">
        <v>2685</v>
      </c>
      <c r="D2505" s="26" t="s">
        <v>45</v>
      </c>
      <c r="E2505" s="31">
        <v>46230.0</v>
      </c>
      <c r="F2505" s="26" t="s">
        <v>41</v>
      </c>
      <c r="H2505" s="26" t="s">
        <v>2605</v>
      </c>
      <c r="I2505" s="26" t="s">
        <v>42</v>
      </c>
      <c r="J2505" s="25" t="str">
        <f t="shared" si="37"/>
        <v>No</v>
      </c>
      <c r="K2505" s="25" t="str">
        <f t="shared" si="38"/>
        <v/>
      </c>
      <c r="L2505" s="25" t="str">
        <f t="shared" si="39"/>
        <v/>
      </c>
      <c r="M2505" s="25"/>
      <c r="O2505" s="25"/>
    </row>
    <row r="2506" ht="15.75" customHeight="1">
      <c r="A2506" s="25" t="str">
        <f>IFERROR(__xludf.DUMMYFUNCTION("IF(B2506="""","""",RIGHT(REGEXREPLACE(B2506&amp;"""",""[^0-9]"",""""),9))"),"778301625")</f>
        <v>778301625</v>
      </c>
      <c r="B2506" s="52">
        <v>7.78301625E8</v>
      </c>
      <c r="C2506" s="28" t="s">
        <v>2686</v>
      </c>
      <c r="D2506" s="26" t="s">
        <v>49</v>
      </c>
      <c r="E2506" s="31">
        <v>46230.0</v>
      </c>
      <c r="F2506" s="26" t="s">
        <v>46</v>
      </c>
      <c r="G2506" s="26">
        <v>11.0</v>
      </c>
      <c r="H2506" s="26" t="s">
        <v>677</v>
      </c>
      <c r="I2506" s="26" t="s">
        <v>42</v>
      </c>
      <c r="J2506" s="25" t="str">
        <f t="shared" si="37"/>
        <v>No</v>
      </c>
      <c r="K2506" s="25" t="str">
        <f t="shared" si="38"/>
        <v/>
      </c>
      <c r="L2506" s="25" t="str">
        <f t="shared" si="39"/>
        <v/>
      </c>
      <c r="M2506" s="25"/>
      <c r="O2506" s="25"/>
    </row>
    <row r="2507" ht="15.75" customHeight="1">
      <c r="A2507" s="25" t="str">
        <f>IFERROR(__xludf.DUMMYFUNCTION("IF(B2507="""","""",RIGHT(REGEXREPLACE(B2507&amp;"""",""[^0-9]"",""""),9))"),"718215337")</f>
        <v>718215337</v>
      </c>
      <c r="B2507" s="52">
        <v>7.18215337E8</v>
      </c>
      <c r="C2507" s="28" t="s">
        <v>2687</v>
      </c>
      <c r="D2507" s="26" t="s">
        <v>82</v>
      </c>
      <c r="E2507" s="31">
        <v>46230.0</v>
      </c>
      <c r="F2507" s="26" t="s">
        <v>46</v>
      </c>
      <c r="G2507" s="26">
        <v>10.0</v>
      </c>
      <c r="H2507" s="26" t="s">
        <v>2671</v>
      </c>
      <c r="I2507" s="26" t="s">
        <v>42</v>
      </c>
      <c r="J2507" s="25" t="str">
        <f t="shared" si="37"/>
        <v>No</v>
      </c>
      <c r="K2507" s="25" t="str">
        <f t="shared" si="38"/>
        <v/>
      </c>
      <c r="L2507" s="25" t="str">
        <f t="shared" si="39"/>
        <v/>
      </c>
      <c r="M2507" s="25"/>
      <c r="O2507" s="25"/>
    </row>
    <row r="2508" ht="15.75" customHeight="1">
      <c r="A2508" s="25" t="str">
        <f>IFERROR(__xludf.DUMMYFUNCTION("IF(B2508="""","""",RIGHT(REGEXREPLACE(B2508&amp;"""",""[^0-9]"",""""),9))"),"787346554")</f>
        <v>787346554</v>
      </c>
      <c r="B2508" s="52">
        <v>7.87346554E8</v>
      </c>
      <c r="C2508" s="28" t="s">
        <v>2688</v>
      </c>
      <c r="D2508" s="26" t="s">
        <v>64</v>
      </c>
      <c r="E2508" s="31">
        <v>46230.0</v>
      </c>
      <c r="F2508" s="26" t="s">
        <v>659</v>
      </c>
      <c r="I2508" s="26" t="s">
        <v>42</v>
      </c>
      <c r="J2508" s="25" t="str">
        <f t="shared" si="37"/>
        <v>No</v>
      </c>
      <c r="K2508" s="25" t="str">
        <f t="shared" si="38"/>
        <v/>
      </c>
      <c r="L2508" s="25" t="str">
        <f t="shared" si="39"/>
        <v/>
      </c>
      <c r="M2508" s="25"/>
      <c r="O2508" s="25"/>
    </row>
    <row r="2509" ht="15.75" customHeight="1">
      <c r="A2509" s="25" t="str">
        <f>IFERROR(__xludf.DUMMYFUNCTION("IF(B2509="""","""",RIGHT(REGEXREPLACE(B2509&amp;"""",""[^0-9]"",""""),9))"),"777214756")</f>
        <v>777214756</v>
      </c>
      <c r="B2509" s="52">
        <v>7.77214756E8</v>
      </c>
      <c r="C2509" s="28" t="s">
        <v>2689</v>
      </c>
      <c r="D2509" s="26" t="s">
        <v>56</v>
      </c>
      <c r="E2509" s="31">
        <v>46230.0</v>
      </c>
      <c r="F2509" s="26" t="s">
        <v>659</v>
      </c>
      <c r="H2509" s="26" t="s">
        <v>796</v>
      </c>
      <c r="I2509" s="26" t="s">
        <v>42</v>
      </c>
      <c r="J2509" s="25" t="str">
        <f t="shared" si="37"/>
        <v>No</v>
      </c>
      <c r="K2509" s="25" t="str">
        <f t="shared" si="38"/>
        <v/>
      </c>
      <c r="L2509" s="25" t="str">
        <f t="shared" si="39"/>
        <v/>
      </c>
      <c r="M2509" s="25"/>
      <c r="O2509" s="25"/>
    </row>
    <row r="2510" ht="15.75" customHeight="1">
      <c r="A2510" s="25" t="str">
        <f>IFERROR(__xludf.DUMMYFUNCTION("IF(B2510="""","""",RIGHT(REGEXREPLACE(B2510&amp;"""",""[^0-9]"",""""),9))"),"769396467")</f>
        <v>769396467</v>
      </c>
      <c r="B2510" s="52">
        <v>7.69396467E8</v>
      </c>
      <c r="C2510" s="28" t="s">
        <v>2675</v>
      </c>
      <c r="D2510" s="26" t="s">
        <v>64</v>
      </c>
      <c r="E2510" s="31">
        <v>46230.0</v>
      </c>
      <c r="F2510" s="26" t="s">
        <v>46</v>
      </c>
      <c r="G2510" s="26">
        <v>11.0</v>
      </c>
      <c r="I2510" s="26" t="s">
        <v>42</v>
      </c>
      <c r="J2510" s="25" t="str">
        <f t="shared" si="37"/>
        <v>Yes - see Previous F-Code</v>
      </c>
      <c r="K2510" s="25" t="str">
        <f t="shared" si="38"/>
        <v>DUPLICATE - CHECK</v>
      </c>
      <c r="L2510" s="25" t="str">
        <f t="shared" si="39"/>
        <v>F72363</v>
      </c>
      <c r="M2510" s="25"/>
      <c r="O2510" s="25"/>
    </row>
    <row r="2511" ht="15.75" customHeight="1">
      <c r="A2511" s="25" t="str">
        <f>IFERROR(__xludf.DUMMYFUNCTION("IF(B2511="""","""",RIGHT(REGEXREPLACE(B2511&amp;"""",""[^0-9]"",""""),9))"),"762864620")</f>
        <v>762864620</v>
      </c>
      <c r="B2511" s="52">
        <v>7.6286462E8</v>
      </c>
      <c r="C2511" s="28" t="s">
        <v>2690</v>
      </c>
      <c r="D2511" s="26" t="s">
        <v>56</v>
      </c>
      <c r="E2511" s="31">
        <v>46230.0</v>
      </c>
      <c r="F2511" s="26" t="s">
        <v>41</v>
      </c>
      <c r="H2511" s="26" t="s">
        <v>796</v>
      </c>
      <c r="I2511" s="26" t="s">
        <v>42</v>
      </c>
      <c r="J2511" s="25" t="str">
        <f t="shared" si="37"/>
        <v>No</v>
      </c>
      <c r="K2511" s="25" t="str">
        <f t="shared" si="38"/>
        <v/>
      </c>
      <c r="L2511" s="25" t="str">
        <f t="shared" si="39"/>
        <v/>
      </c>
      <c r="M2511" s="25"/>
      <c r="O2511" s="25"/>
    </row>
    <row r="2512" ht="15.75" customHeight="1">
      <c r="A2512" s="25" t="str">
        <f>IFERROR(__xludf.DUMMYFUNCTION("IF(B2512="""","""",RIGHT(REGEXREPLACE(B2512&amp;"""",""[^0-9]"",""""),9))"),"763699569")</f>
        <v>763699569</v>
      </c>
      <c r="B2512" s="52">
        <v>7.63699569E8</v>
      </c>
      <c r="C2512" s="28" t="s">
        <v>1326</v>
      </c>
      <c r="D2512" s="26" t="s">
        <v>45</v>
      </c>
      <c r="E2512" s="31">
        <v>46230.0</v>
      </c>
      <c r="F2512" s="26" t="s">
        <v>41</v>
      </c>
      <c r="H2512" s="26" t="s">
        <v>2605</v>
      </c>
      <c r="I2512" s="26" t="s">
        <v>42</v>
      </c>
      <c r="J2512" s="25" t="str">
        <f t="shared" si="37"/>
        <v>Yes - see Previous F-Code</v>
      </c>
      <c r="K2512" s="25" t="str">
        <f t="shared" si="38"/>
        <v>DUPLICATE - CHECK</v>
      </c>
      <c r="L2512" s="25" t="str">
        <f t="shared" si="39"/>
        <v>F71057</v>
      </c>
      <c r="M2512" s="25"/>
      <c r="O2512" s="25"/>
    </row>
    <row r="2513" ht="15.75" customHeight="1">
      <c r="A2513" s="25" t="str">
        <f>IFERROR(__xludf.DUMMYFUNCTION("IF(B2513="""","""",RIGHT(REGEXREPLACE(B2513&amp;"""",""[^0-9]"",""""),9))"),"764543058")</f>
        <v>764543058</v>
      </c>
      <c r="B2513" s="52">
        <v>7.64543058E8</v>
      </c>
      <c r="C2513" s="28" t="s">
        <v>2691</v>
      </c>
      <c r="D2513" s="26" t="s">
        <v>64</v>
      </c>
      <c r="E2513" s="31">
        <v>46230.0</v>
      </c>
      <c r="F2513" s="26" t="s">
        <v>704</v>
      </c>
      <c r="I2513" s="26" t="s">
        <v>42</v>
      </c>
      <c r="J2513" s="25" t="str">
        <f t="shared" si="37"/>
        <v>No</v>
      </c>
      <c r="K2513" s="25" t="str">
        <f t="shared" si="38"/>
        <v/>
      </c>
      <c r="L2513" s="25" t="str">
        <f t="shared" si="39"/>
        <v/>
      </c>
      <c r="M2513" s="25"/>
      <c r="O2513" s="25"/>
    </row>
    <row r="2514" ht="15.75" customHeight="1">
      <c r="A2514" s="25" t="str">
        <f>IFERROR(__xludf.DUMMYFUNCTION("IF(B2514="""","""",RIGHT(REGEXREPLACE(B2514&amp;"""",""[^0-9]"",""""),9))"),"710120346")</f>
        <v>710120346</v>
      </c>
      <c r="B2514" s="52">
        <v>7.10120346E8</v>
      </c>
      <c r="C2514" s="28" t="s">
        <v>2692</v>
      </c>
      <c r="D2514" s="26" t="s">
        <v>45</v>
      </c>
      <c r="E2514" s="31">
        <v>46230.0</v>
      </c>
      <c r="F2514" s="26" t="s">
        <v>704</v>
      </c>
      <c r="H2514" s="26" t="s">
        <v>2605</v>
      </c>
      <c r="I2514" s="26" t="s">
        <v>42</v>
      </c>
      <c r="J2514" s="25" t="str">
        <f t="shared" si="37"/>
        <v>No</v>
      </c>
      <c r="K2514" s="25" t="str">
        <f t="shared" si="38"/>
        <v/>
      </c>
      <c r="L2514" s="25" t="str">
        <f t="shared" si="39"/>
        <v/>
      </c>
      <c r="M2514" s="25"/>
      <c r="O2514" s="25"/>
    </row>
    <row r="2515" ht="15.75" customHeight="1">
      <c r="A2515" s="25" t="str">
        <f>IFERROR(__xludf.DUMMYFUNCTION("IF(B2515="""","""",RIGHT(REGEXREPLACE(B2515&amp;"""",""[^0-9]"",""""),9))"),"752885983")</f>
        <v>752885983</v>
      </c>
      <c r="B2515" s="52">
        <v>7.52885983E8</v>
      </c>
      <c r="C2515" s="28" t="s">
        <v>2693</v>
      </c>
      <c r="D2515" s="26" t="s">
        <v>49</v>
      </c>
      <c r="E2515" s="31">
        <v>46230.0</v>
      </c>
      <c r="F2515" s="26" t="s">
        <v>46</v>
      </c>
      <c r="G2515" s="26">
        <v>10.0</v>
      </c>
      <c r="H2515" s="26" t="s">
        <v>677</v>
      </c>
      <c r="I2515" s="26" t="s">
        <v>42</v>
      </c>
      <c r="J2515" s="25" t="str">
        <f t="shared" si="37"/>
        <v>No</v>
      </c>
      <c r="K2515" s="25" t="str">
        <f t="shared" si="38"/>
        <v/>
      </c>
      <c r="L2515" s="25" t="str">
        <f t="shared" si="39"/>
        <v/>
      </c>
      <c r="M2515" s="25"/>
      <c r="O2515" s="25"/>
    </row>
    <row r="2516" ht="15.75" customHeight="1">
      <c r="A2516" s="25" t="str">
        <f>IFERROR(__xludf.DUMMYFUNCTION("IF(B2516="""","""",RIGHT(REGEXREPLACE(B2516&amp;"""",""[^0-9]"",""""),9))"),"775358375")</f>
        <v>775358375</v>
      </c>
      <c r="B2516" s="52">
        <v>7.75358375E8</v>
      </c>
      <c r="C2516" s="28" t="s">
        <v>2694</v>
      </c>
      <c r="D2516" s="26" t="s">
        <v>45</v>
      </c>
      <c r="E2516" s="31">
        <v>46230.0</v>
      </c>
      <c r="F2516" s="26" t="s">
        <v>46</v>
      </c>
      <c r="G2516" s="26">
        <v>10.0</v>
      </c>
      <c r="H2516" s="26" t="s">
        <v>2605</v>
      </c>
      <c r="I2516" s="26" t="s">
        <v>42</v>
      </c>
      <c r="J2516" s="25" t="str">
        <f t="shared" si="37"/>
        <v>No</v>
      </c>
      <c r="K2516" s="25" t="str">
        <f t="shared" si="38"/>
        <v/>
      </c>
      <c r="L2516" s="25" t="str">
        <f t="shared" si="39"/>
        <v/>
      </c>
      <c r="M2516" s="25"/>
      <c r="O2516" s="25"/>
    </row>
    <row r="2517" ht="15.75" customHeight="1">
      <c r="A2517" s="25" t="str">
        <f>IFERROR(__xludf.DUMMYFUNCTION("IF(B2517="""","""",RIGHT(REGEXREPLACE(B2517&amp;"""",""[^0-9]"",""""),9))"),"761193608")</f>
        <v>761193608</v>
      </c>
      <c r="B2517" s="52">
        <v>7.61193608E8</v>
      </c>
      <c r="C2517" s="28" t="s">
        <v>2695</v>
      </c>
      <c r="D2517" s="26" t="s">
        <v>56</v>
      </c>
      <c r="E2517" s="31">
        <v>46230.0</v>
      </c>
      <c r="F2517" s="26" t="s">
        <v>41</v>
      </c>
      <c r="H2517" s="26" t="s">
        <v>796</v>
      </c>
      <c r="I2517" s="26" t="s">
        <v>42</v>
      </c>
      <c r="J2517" s="25" t="str">
        <f t="shared" si="37"/>
        <v>No</v>
      </c>
      <c r="K2517" s="25" t="str">
        <f t="shared" si="38"/>
        <v/>
      </c>
      <c r="L2517" s="25" t="str">
        <f t="shared" si="39"/>
        <v/>
      </c>
      <c r="M2517" s="25"/>
      <c r="O2517" s="25"/>
    </row>
    <row r="2518" ht="15.75" customHeight="1">
      <c r="A2518" s="25" t="str">
        <f>IFERROR(__xludf.DUMMYFUNCTION("IF(B2518="""","""",RIGHT(REGEXREPLACE(B2518&amp;"""",""[^0-9]"",""""),9))"),"701393369")</f>
        <v>701393369</v>
      </c>
      <c r="B2518" s="52">
        <v>7.01393369E8</v>
      </c>
      <c r="C2518" s="28" t="s">
        <v>2696</v>
      </c>
      <c r="D2518" s="26" t="s">
        <v>56</v>
      </c>
      <c r="E2518" s="31">
        <v>46230.0</v>
      </c>
      <c r="F2518" s="26" t="s">
        <v>46</v>
      </c>
      <c r="G2518" s="26">
        <v>10.0</v>
      </c>
      <c r="I2518" s="26" t="s">
        <v>42</v>
      </c>
      <c r="J2518" s="25" t="str">
        <f t="shared" si="37"/>
        <v>No</v>
      </c>
      <c r="K2518" s="25" t="str">
        <f t="shared" si="38"/>
        <v/>
      </c>
      <c r="L2518" s="25" t="str">
        <f t="shared" si="39"/>
        <v/>
      </c>
      <c r="M2518" s="25"/>
      <c r="O2518" s="25"/>
    </row>
    <row r="2519" ht="15.75" customHeight="1">
      <c r="A2519" s="25" t="str">
        <f>IFERROR(__xludf.DUMMYFUNCTION("IF(B2519="""","""",RIGHT(REGEXREPLACE(B2519&amp;"""",""[^0-9]"",""""),9))"),"712949661")</f>
        <v>712949661</v>
      </c>
      <c r="B2519" s="52">
        <v>7.12949661E8</v>
      </c>
      <c r="C2519" s="28" t="s">
        <v>2697</v>
      </c>
      <c r="D2519" s="26" t="s">
        <v>45</v>
      </c>
      <c r="E2519" s="31">
        <v>46230.0</v>
      </c>
      <c r="F2519" s="26" t="s">
        <v>41</v>
      </c>
      <c r="H2519" s="26" t="s">
        <v>2605</v>
      </c>
      <c r="I2519" s="26" t="s">
        <v>42</v>
      </c>
      <c r="J2519" s="25" t="str">
        <f t="shared" si="37"/>
        <v>No</v>
      </c>
      <c r="K2519" s="25" t="str">
        <f t="shared" si="38"/>
        <v/>
      </c>
      <c r="L2519" s="25" t="str">
        <f t="shared" si="39"/>
        <v/>
      </c>
      <c r="M2519" s="25"/>
      <c r="O2519" s="25"/>
    </row>
    <row r="2520" ht="15.75" customHeight="1">
      <c r="A2520" s="25" t="str">
        <f>IFERROR(__xludf.DUMMYFUNCTION("IF(B2520="""","""",RIGHT(REGEXREPLACE(B2520&amp;"""",""[^0-9]"",""""),9))"),"755382712")</f>
        <v>755382712</v>
      </c>
      <c r="B2520" s="52">
        <v>7.55382712E8</v>
      </c>
      <c r="C2520" s="28" t="s">
        <v>2698</v>
      </c>
      <c r="D2520" s="26" t="s">
        <v>49</v>
      </c>
      <c r="E2520" s="31">
        <v>46230.0</v>
      </c>
      <c r="F2520" s="26" t="s">
        <v>41</v>
      </c>
      <c r="I2520" s="26" t="s">
        <v>42</v>
      </c>
      <c r="J2520" s="25" t="str">
        <f t="shared" si="37"/>
        <v>No</v>
      </c>
      <c r="K2520" s="25" t="str">
        <f t="shared" si="38"/>
        <v/>
      </c>
      <c r="L2520" s="25" t="str">
        <f t="shared" si="39"/>
        <v/>
      </c>
      <c r="M2520" s="25"/>
      <c r="O2520" s="25"/>
    </row>
    <row r="2521" ht="15.75" customHeight="1">
      <c r="A2521" s="25" t="str">
        <f>IFERROR(__xludf.DUMMYFUNCTION("IF(B2521="""","""",RIGHT(REGEXREPLACE(B2521&amp;"""",""[^0-9]"",""""),9))"),"701581778")</f>
        <v>701581778</v>
      </c>
      <c r="B2521" s="52">
        <v>7.01581778E8</v>
      </c>
      <c r="C2521" s="28" t="s">
        <v>2699</v>
      </c>
      <c r="D2521" s="26" t="s">
        <v>82</v>
      </c>
      <c r="E2521" s="31">
        <v>46230.0</v>
      </c>
      <c r="F2521" s="26" t="s">
        <v>125</v>
      </c>
      <c r="G2521" s="26">
        <v>11.0</v>
      </c>
      <c r="H2521" s="26" t="s">
        <v>2700</v>
      </c>
      <c r="I2521" s="26" t="s">
        <v>42</v>
      </c>
      <c r="J2521" s="25" t="str">
        <f t="shared" si="37"/>
        <v>No</v>
      </c>
      <c r="K2521" s="25" t="str">
        <f t="shared" si="38"/>
        <v/>
      </c>
      <c r="L2521" s="25" t="str">
        <f t="shared" si="39"/>
        <v/>
      </c>
      <c r="M2521" s="25"/>
      <c r="O2521" s="25"/>
    </row>
    <row r="2522" ht="15.75" customHeight="1">
      <c r="A2522" s="25" t="str">
        <f>IFERROR(__xludf.DUMMYFUNCTION("IF(B2522="""","""",RIGHT(REGEXREPLACE(B2522&amp;"""",""[^0-9]"",""""),9))"),"764044506")</f>
        <v>764044506</v>
      </c>
      <c r="B2522" s="52">
        <v>7.64044506E8</v>
      </c>
      <c r="C2522" s="28" t="s">
        <v>2701</v>
      </c>
      <c r="D2522" s="26" t="s">
        <v>56</v>
      </c>
      <c r="E2522" s="31">
        <v>46230.0</v>
      </c>
      <c r="F2522" s="26" t="s">
        <v>41</v>
      </c>
      <c r="H2522" s="26" t="s">
        <v>796</v>
      </c>
      <c r="I2522" s="26" t="s">
        <v>42</v>
      </c>
      <c r="J2522" s="25" t="str">
        <f t="shared" si="37"/>
        <v>No</v>
      </c>
      <c r="K2522" s="25" t="str">
        <f t="shared" si="38"/>
        <v/>
      </c>
      <c r="L2522" s="25" t="str">
        <f t="shared" si="39"/>
        <v/>
      </c>
      <c r="M2522" s="25"/>
      <c r="O2522" s="25"/>
    </row>
    <row r="2523" ht="15.75" customHeight="1">
      <c r="A2523" s="25" t="str">
        <f>IFERROR(__xludf.DUMMYFUNCTION("IF(B2523="""","""",RIGHT(REGEXREPLACE(B2523&amp;"""",""[^0-9]"",""""),9))"),"766951669")</f>
        <v>766951669</v>
      </c>
      <c r="B2523" s="52">
        <v>7.66951669E8</v>
      </c>
      <c r="C2523" s="28" t="s">
        <v>731</v>
      </c>
      <c r="D2523" s="26" t="s">
        <v>45</v>
      </c>
      <c r="E2523" s="31">
        <v>46230.0</v>
      </c>
      <c r="F2523" s="26" t="s">
        <v>205</v>
      </c>
      <c r="H2523" s="26" t="s">
        <v>2605</v>
      </c>
      <c r="I2523" s="26" t="s">
        <v>42</v>
      </c>
      <c r="J2523" s="25" t="str">
        <f t="shared" si="37"/>
        <v>Yes - see Previous F-Code</v>
      </c>
      <c r="K2523" s="25" t="str">
        <f t="shared" si="38"/>
        <v>DUPLICATE - CHECK</v>
      </c>
      <c r="L2523" s="25" t="str">
        <f t="shared" si="39"/>
        <v>F70517</v>
      </c>
      <c r="M2523" s="25"/>
      <c r="O2523" s="25"/>
    </row>
    <row r="2524" ht="15.75" customHeight="1">
      <c r="A2524" s="25" t="str">
        <f>IFERROR(__xludf.DUMMYFUNCTION("IF(B2524="""","""",RIGHT(REGEXREPLACE(B2524&amp;"""",""[^0-9]"",""""),9))"),"760565756")</f>
        <v>760565756</v>
      </c>
      <c r="B2524" s="52">
        <v>7.60565756E8</v>
      </c>
      <c r="C2524" s="28" t="s">
        <v>2702</v>
      </c>
      <c r="D2524" s="26" t="s">
        <v>49</v>
      </c>
      <c r="E2524" s="31">
        <v>46230.0</v>
      </c>
      <c r="F2524" s="26" t="s">
        <v>205</v>
      </c>
      <c r="I2524" s="26" t="s">
        <v>42</v>
      </c>
      <c r="J2524" s="25" t="str">
        <f t="shared" si="37"/>
        <v>No</v>
      </c>
      <c r="K2524" s="25" t="str">
        <f t="shared" si="38"/>
        <v/>
      </c>
      <c r="L2524" s="25" t="str">
        <f t="shared" si="39"/>
        <v/>
      </c>
      <c r="M2524" s="25"/>
      <c r="O2524" s="25"/>
    </row>
    <row r="2525" ht="15.75" customHeight="1">
      <c r="A2525" s="25" t="str">
        <f>IFERROR(__xludf.DUMMYFUNCTION("IF(B2525="""","""",RIGHT(REGEXREPLACE(B2525&amp;"""",""[^0-9]"",""""),9))"),"724779398")</f>
        <v>724779398</v>
      </c>
      <c r="B2525" s="52">
        <v>7.24779398E8</v>
      </c>
      <c r="C2525" s="28" t="s">
        <v>2703</v>
      </c>
      <c r="D2525" s="26" t="s">
        <v>45</v>
      </c>
      <c r="E2525" s="31">
        <v>46230.0</v>
      </c>
      <c r="F2525" s="26" t="s">
        <v>125</v>
      </c>
      <c r="H2525" s="26" t="s">
        <v>2605</v>
      </c>
      <c r="I2525" s="26" t="s">
        <v>42</v>
      </c>
      <c r="J2525" s="25" t="str">
        <f t="shared" si="37"/>
        <v>No</v>
      </c>
      <c r="K2525" s="25" t="str">
        <f t="shared" si="38"/>
        <v/>
      </c>
      <c r="L2525" s="25" t="str">
        <f t="shared" si="39"/>
        <v/>
      </c>
      <c r="M2525" s="25"/>
      <c r="O2525" s="25"/>
    </row>
    <row r="2526" ht="15.75" customHeight="1">
      <c r="A2526" s="25" t="str">
        <f>IFERROR(__xludf.DUMMYFUNCTION("IF(B2526="""","""",RIGHT(REGEXREPLACE(B2526&amp;"""",""[^0-9]"",""""),9))"),"771489255")</f>
        <v>771489255</v>
      </c>
      <c r="B2526" s="52">
        <v>7.71489255E8</v>
      </c>
      <c r="C2526" s="28" t="s">
        <v>2704</v>
      </c>
      <c r="D2526" s="26" t="s">
        <v>56</v>
      </c>
      <c r="E2526" s="31">
        <v>46230.0</v>
      </c>
      <c r="F2526" s="26" t="s">
        <v>84</v>
      </c>
      <c r="H2526" s="26" t="s">
        <v>796</v>
      </c>
      <c r="I2526" s="26" t="s">
        <v>42</v>
      </c>
      <c r="J2526" s="25" t="str">
        <f t="shared" si="37"/>
        <v>No</v>
      </c>
      <c r="K2526" s="25" t="str">
        <f t="shared" si="38"/>
        <v/>
      </c>
      <c r="L2526" s="25" t="str">
        <f t="shared" si="39"/>
        <v/>
      </c>
      <c r="M2526" s="25"/>
      <c r="O2526" s="25"/>
    </row>
    <row r="2527" ht="15.75" customHeight="1">
      <c r="A2527" s="25" t="str">
        <f>IFERROR(__xludf.DUMMYFUNCTION("IF(B2527="""","""",RIGHT(REGEXREPLACE(B2527&amp;"""",""[^0-9]"",""""),9))"),"774823980")</f>
        <v>774823980</v>
      </c>
      <c r="B2527" s="52">
        <v>7.7482398E8</v>
      </c>
      <c r="C2527" s="28" t="s">
        <v>2705</v>
      </c>
      <c r="D2527" s="26" t="s">
        <v>49</v>
      </c>
      <c r="E2527" s="31">
        <v>46230.0</v>
      </c>
      <c r="F2527" s="26" t="s">
        <v>46</v>
      </c>
      <c r="G2527" s="26">
        <v>11.0</v>
      </c>
      <c r="I2527" s="26" t="s">
        <v>42</v>
      </c>
      <c r="J2527" s="25" t="str">
        <f t="shared" si="37"/>
        <v>No</v>
      </c>
      <c r="K2527" s="25" t="str">
        <f t="shared" si="38"/>
        <v/>
      </c>
      <c r="L2527" s="25" t="str">
        <f t="shared" si="39"/>
        <v/>
      </c>
      <c r="M2527" s="25"/>
      <c r="O2527" s="25"/>
    </row>
    <row r="2528" ht="15.75" customHeight="1">
      <c r="A2528" s="25" t="str">
        <f>IFERROR(__xludf.DUMMYFUNCTION("IF(B2528="""","""",RIGHT(REGEXREPLACE(B2528&amp;"""",""[^0-9]"",""""),9))"),"")</f>
        <v/>
      </c>
      <c r="B2528" s="25"/>
      <c r="C2528" s="28" t="s">
        <v>2680</v>
      </c>
      <c r="D2528" s="26" t="s">
        <v>69</v>
      </c>
      <c r="E2528" s="31">
        <v>46230.0</v>
      </c>
      <c r="F2528" s="25"/>
      <c r="G2528" s="25"/>
      <c r="H2528" s="25"/>
      <c r="I2528" s="26" t="s">
        <v>42</v>
      </c>
      <c r="J2528" s="25" t="str">
        <f t="shared" si="37"/>
        <v>Yes - see Previous F-Code</v>
      </c>
      <c r="K2528" s="25" t="str">
        <f t="shared" si="38"/>
        <v>DUPLICATE - CHECK</v>
      </c>
      <c r="L2528" s="25" t="str">
        <f t="shared" si="39"/>
        <v/>
      </c>
      <c r="M2528" s="25"/>
      <c r="N2528" s="25"/>
      <c r="O2528" s="25"/>
      <c r="P2528" s="25"/>
    </row>
    <row r="2529" ht="15.75" customHeight="1">
      <c r="A2529" s="25" t="str">
        <f>IFERROR(__xludf.DUMMYFUNCTION("IF(B2529="""","""",RIGHT(REGEXREPLACE(B2529&amp;"""",""[^0-9]"",""""),9))"),"702748950")</f>
        <v>702748950</v>
      </c>
      <c r="B2529" s="52">
        <v>7.0274895E8</v>
      </c>
      <c r="C2529" s="28" t="s">
        <v>2706</v>
      </c>
      <c r="D2529" s="26" t="s">
        <v>64</v>
      </c>
      <c r="E2529" s="31">
        <v>46230.0</v>
      </c>
      <c r="F2529" s="26" t="s">
        <v>46</v>
      </c>
      <c r="G2529" s="26">
        <v>11.0</v>
      </c>
      <c r="I2529" s="26" t="s">
        <v>42</v>
      </c>
      <c r="J2529" s="25" t="str">
        <f t="shared" si="37"/>
        <v>No</v>
      </c>
      <c r="K2529" s="25" t="str">
        <f t="shared" si="38"/>
        <v/>
      </c>
      <c r="L2529" s="25" t="str">
        <f t="shared" si="39"/>
        <v/>
      </c>
      <c r="M2529" s="25"/>
      <c r="O2529" s="25"/>
    </row>
    <row r="2530" ht="15.75" customHeight="1">
      <c r="A2530" s="25" t="str">
        <f>IFERROR(__xludf.DUMMYFUNCTION("IF(B2530="""","""",RIGHT(REGEXREPLACE(B2530&amp;"""",""[^0-9]"",""""),9))"),"743669820")</f>
        <v>743669820</v>
      </c>
      <c r="B2530" s="52">
        <v>7.4366982E8</v>
      </c>
      <c r="C2530" s="28" t="s">
        <v>2707</v>
      </c>
      <c r="D2530" s="26" t="s">
        <v>45</v>
      </c>
      <c r="E2530" s="31">
        <v>46230.0</v>
      </c>
      <c r="F2530" s="26" t="s">
        <v>164</v>
      </c>
      <c r="H2530" s="26" t="s">
        <v>2605</v>
      </c>
      <c r="I2530" s="26" t="s">
        <v>42</v>
      </c>
      <c r="J2530" s="25" t="str">
        <f t="shared" si="37"/>
        <v>No</v>
      </c>
      <c r="K2530" s="25" t="str">
        <f t="shared" si="38"/>
        <v/>
      </c>
      <c r="L2530" s="25" t="str">
        <f t="shared" si="39"/>
        <v/>
      </c>
      <c r="M2530" s="25"/>
      <c r="O2530" s="25"/>
    </row>
    <row r="2531" ht="15.75" customHeight="1">
      <c r="A2531" s="25" t="str">
        <f>IFERROR(__xludf.DUMMYFUNCTION("IF(B2531="""","""",RIGHT(REGEXREPLACE(B2531&amp;"""",""[^0-9]"",""""),9))"),"772317773")</f>
        <v>772317773</v>
      </c>
      <c r="B2531" s="52">
        <v>7.72317773E8</v>
      </c>
      <c r="C2531" s="28" t="s">
        <v>2708</v>
      </c>
      <c r="D2531" s="26" t="s">
        <v>49</v>
      </c>
      <c r="E2531" s="31">
        <v>46230.0</v>
      </c>
      <c r="F2531" s="26" t="s">
        <v>46</v>
      </c>
      <c r="G2531" s="26">
        <v>11.0</v>
      </c>
      <c r="H2531" s="26" t="s">
        <v>677</v>
      </c>
      <c r="I2531" s="26" t="s">
        <v>42</v>
      </c>
      <c r="J2531" s="25" t="str">
        <f t="shared" si="37"/>
        <v>No</v>
      </c>
      <c r="K2531" s="25" t="str">
        <f t="shared" si="38"/>
        <v/>
      </c>
      <c r="L2531" s="25" t="str">
        <f t="shared" si="39"/>
        <v/>
      </c>
      <c r="M2531" s="25"/>
      <c r="O2531" s="25"/>
    </row>
    <row r="2532" ht="15.75" customHeight="1">
      <c r="A2532" s="25" t="str">
        <f>IFERROR(__xludf.DUMMYFUNCTION("IF(B2532="""","""",RIGHT(REGEXREPLACE(B2532&amp;"""",""[^0-9]"",""""),9))"),"777684570")</f>
        <v>777684570</v>
      </c>
      <c r="B2532" s="52">
        <v>7.7768457E8</v>
      </c>
      <c r="C2532" s="28" t="s">
        <v>2709</v>
      </c>
      <c r="D2532" s="26" t="s">
        <v>45</v>
      </c>
      <c r="E2532" s="31">
        <v>46230.0</v>
      </c>
      <c r="F2532" s="26" t="s">
        <v>46</v>
      </c>
      <c r="G2532" s="26">
        <v>10.0</v>
      </c>
      <c r="H2532" s="26" t="s">
        <v>2605</v>
      </c>
      <c r="I2532" s="26" t="s">
        <v>42</v>
      </c>
      <c r="J2532" s="25" t="str">
        <f t="shared" si="37"/>
        <v>No</v>
      </c>
      <c r="K2532" s="25" t="str">
        <f t="shared" si="38"/>
        <v/>
      </c>
      <c r="L2532" s="25" t="str">
        <f t="shared" si="39"/>
        <v/>
      </c>
      <c r="M2532" s="25"/>
      <c r="O2532" s="25"/>
    </row>
    <row r="2533" ht="15.75" customHeight="1">
      <c r="A2533" s="25" t="str">
        <f>IFERROR(__xludf.DUMMYFUNCTION("IF(B2533="""","""",RIGHT(REGEXREPLACE(B2533&amp;"""",""[^0-9]"",""""),9))"),"723011118")</f>
        <v>723011118</v>
      </c>
      <c r="B2533" s="52">
        <v>7.23011118E8</v>
      </c>
      <c r="C2533" s="28" t="s">
        <v>2710</v>
      </c>
      <c r="D2533" s="26" t="s">
        <v>82</v>
      </c>
      <c r="E2533" s="31">
        <v>46230.0</v>
      </c>
      <c r="F2533" s="26" t="s">
        <v>46</v>
      </c>
      <c r="G2533" s="26">
        <v>10.0</v>
      </c>
      <c r="H2533" s="26" t="s">
        <v>2671</v>
      </c>
      <c r="I2533" s="26" t="s">
        <v>42</v>
      </c>
      <c r="J2533" s="25" t="str">
        <f t="shared" si="37"/>
        <v>No</v>
      </c>
      <c r="K2533" s="25" t="str">
        <f t="shared" si="38"/>
        <v/>
      </c>
      <c r="L2533" s="25" t="str">
        <f t="shared" si="39"/>
        <v/>
      </c>
      <c r="M2533" s="25"/>
      <c r="O2533" s="25"/>
    </row>
    <row r="2534" ht="15.75" customHeight="1">
      <c r="A2534" s="25" t="str">
        <f>IFERROR(__xludf.DUMMYFUNCTION("IF(B2534="""","""",RIGHT(REGEXREPLACE(B2534&amp;"""",""[^0-9]"",""""),9))"),"783611611")</f>
        <v>783611611</v>
      </c>
      <c r="B2534" s="52">
        <v>7.83611611E8</v>
      </c>
      <c r="C2534" s="28" t="s">
        <v>2711</v>
      </c>
      <c r="D2534" s="26" t="s">
        <v>64</v>
      </c>
      <c r="E2534" s="31">
        <v>46230.0</v>
      </c>
      <c r="F2534" s="26" t="s">
        <v>46</v>
      </c>
      <c r="G2534" s="26">
        <v>10.0</v>
      </c>
      <c r="I2534" s="26" t="s">
        <v>42</v>
      </c>
      <c r="J2534" s="25" t="str">
        <f t="shared" si="37"/>
        <v>No</v>
      </c>
      <c r="K2534" s="25" t="str">
        <f t="shared" si="38"/>
        <v/>
      </c>
      <c r="L2534" s="25" t="str">
        <f t="shared" si="39"/>
        <v/>
      </c>
      <c r="M2534" s="25"/>
      <c r="O2534" s="25"/>
    </row>
    <row r="2535" ht="15.75" customHeight="1">
      <c r="A2535" s="25" t="str">
        <f>IFERROR(__xludf.DUMMYFUNCTION("IF(B2535="""","""",RIGHT(REGEXREPLACE(B2535&amp;"""",""[^0-9]"",""""),9))"),"761939191")</f>
        <v>761939191</v>
      </c>
      <c r="B2535" s="52">
        <v>7.61939191E8</v>
      </c>
      <c r="C2535" s="28" t="s">
        <v>2712</v>
      </c>
      <c r="D2535" s="26" t="s">
        <v>56</v>
      </c>
      <c r="E2535" s="31">
        <v>46230.0</v>
      </c>
      <c r="F2535" s="26" t="s">
        <v>125</v>
      </c>
      <c r="H2535" s="26" t="s">
        <v>2713</v>
      </c>
      <c r="I2535" s="26" t="s">
        <v>42</v>
      </c>
      <c r="J2535" s="25" t="str">
        <f t="shared" si="37"/>
        <v>No</v>
      </c>
      <c r="K2535" s="25" t="str">
        <f t="shared" si="38"/>
        <v/>
      </c>
      <c r="L2535" s="25" t="str">
        <f t="shared" si="39"/>
        <v/>
      </c>
      <c r="M2535" s="25"/>
      <c r="O2535" s="25"/>
    </row>
    <row r="2536" ht="15.75" customHeight="1">
      <c r="A2536" s="25" t="str">
        <f>IFERROR(__xludf.DUMMYFUNCTION("IF(B2536="""","""",RIGHT(REGEXREPLACE(B2536&amp;"""",""[^0-9]"",""""),9))"),"775752157")</f>
        <v>775752157</v>
      </c>
      <c r="B2536" s="52">
        <v>7.75752157E8</v>
      </c>
      <c r="C2536" s="28" t="s">
        <v>2714</v>
      </c>
      <c r="D2536" s="26" t="s">
        <v>82</v>
      </c>
      <c r="E2536" s="31">
        <v>46230.0</v>
      </c>
      <c r="F2536" s="26" t="s">
        <v>125</v>
      </c>
      <c r="G2536" s="26">
        <v>10.0</v>
      </c>
      <c r="H2536" s="26" t="s">
        <v>2715</v>
      </c>
      <c r="I2536" s="26" t="s">
        <v>42</v>
      </c>
      <c r="J2536" s="25" t="str">
        <f t="shared" si="37"/>
        <v>No</v>
      </c>
      <c r="K2536" s="25" t="str">
        <f t="shared" si="38"/>
        <v/>
      </c>
      <c r="L2536" s="25" t="str">
        <f t="shared" si="39"/>
        <v/>
      </c>
      <c r="M2536" s="25"/>
      <c r="O2536" s="25"/>
    </row>
    <row r="2537" ht="15.75" customHeight="1">
      <c r="A2537" s="25" t="str">
        <f>IFERROR(__xludf.DUMMYFUNCTION("IF(B2537="""","""",RIGHT(REGEXREPLACE(B2537&amp;"""",""[^0-9]"",""""),9))"),"711212028")</f>
        <v>711212028</v>
      </c>
      <c r="B2537" s="52">
        <v>7.11212028E8</v>
      </c>
      <c r="C2537" s="28" t="s">
        <v>2716</v>
      </c>
      <c r="D2537" s="26" t="s">
        <v>49</v>
      </c>
      <c r="E2537" s="31">
        <v>46230.0</v>
      </c>
      <c r="F2537" s="26" t="s">
        <v>46</v>
      </c>
      <c r="H2537" s="26" t="s">
        <v>1369</v>
      </c>
      <c r="I2537" s="26" t="s">
        <v>42</v>
      </c>
      <c r="J2537" s="25" t="str">
        <f t="shared" si="37"/>
        <v>No</v>
      </c>
      <c r="K2537" s="25" t="str">
        <f t="shared" si="38"/>
        <v/>
      </c>
      <c r="L2537" s="25" t="str">
        <f t="shared" si="39"/>
        <v/>
      </c>
      <c r="M2537" s="25"/>
      <c r="O2537" s="25"/>
    </row>
    <row r="2538" ht="15.75" customHeight="1">
      <c r="A2538" s="25" t="str">
        <f>IFERROR(__xludf.DUMMYFUNCTION("IF(B2538="""","""",RIGHT(REGEXREPLACE(B2538&amp;"""",""[^0-9]"",""""),9))"),"767919105")</f>
        <v>767919105</v>
      </c>
      <c r="B2538" s="52">
        <v>7.67919105E8</v>
      </c>
      <c r="C2538" s="28" t="s">
        <v>2717</v>
      </c>
      <c r="D2538" s="26" t="s">
        <v>45</v>
      </c>
      <c r="E2538" s="31">
        <v>46230.0</v>
      </c>
      <c r="F2538" s="26" t="s">
        <v>46</v>
      </c>
      <c r="G2538" s="26">
        <v>11.0</v>
      </c>
      <c r="H2538" s="26" t="s">
        <v>2605</v>
      </c>
      <c r="I2538" s="26" t="s">
        <v>42</v>
      </c>
      <c r="J2538" s="25" t="str">
        <f t="shared" si="37"/>
        <v>No</v>
      </c>
      <c r="K2538" s="25" t="str">
        <f t="shared" si="38"/>
        <v/>
      </c>
      <c r="L2538" s="25" t="str">
        <f t="shared" si="39"/>
        <v/>
      </c>
      <c r="M2538" s="25"/>
      <c r="O2538" s="25"/>
    </row>
    <row r="2539" ht="15.75" customHeight="1">
      <c r="A2539" s="25" t="str">
        <f>IFERROR(__xludf.DUMMYFUNCTION("IF(B2539="""","""",RIGHT(REGEXREPLACE(B2539&amp;"""",""[^0-9]"",""""),9))"),"743362284")</f>
        <v>743362284</v>
      </c>
      <c r="B2539" s="52">
        <v>7.43362284E8</v>
      </c>
      <c r="C2539" s="28" t="s">
        <v>2718</v>
      </c>
      <c r="D2539" s="26" t="s">
        <v>64</v>
      </c>
      <c r="E2539" s="31">
        <v>46230.0</v>
      </c>
      <c r="F2539" s="26" t="s">
        <v>46</v>
      </c>
      <c r="G2539" s="26">
        <v>11.0</v>
      </c>
      <c r="I2539" s="26" t="s">
        <v>42</v>
      </c>
      <c r="J2539" s="25" t="str">
        <f t="shared" si="37"/>
        <v>No</v>
      </c>
      <c r="K2539" s="25" t="str">
        <f t="shared" si="38"/>
        <v/>
      </c>
      <c r="L2539" s="25" t="str">
        <f t="shared" si="39"/>
        <v/>
      </c>
      <c r="M2539" s="25"/>
      <c r="O2539" s="25"/>
    </row>
    <row r="2540" ht="15.75" customHeight="1">
      <c r="A2540" s="25" t="str">
        <f>IFERROR(__xludf.DUMMYFUNCTION("IF(B2540="""","""",RIGHT(REGEXREPLACE(B2540&amp;"""",""[^0-9]"",""""),9))"),"779308452")</f>
        <v>779308452</v>
      </c>
      <c r="B2540" s="52">
        <v>7.79308452E8</v>
      </c>
      <c r="C2540" s="28" t="s">
        <v>2719</v>
      </c>
      <c r="D2540" s="26" t="s">
        <v>56</v>
      </c>
      <c r="E2540" s="31">
        <v>46230.0</v>
      </c>
      <c r="F2540" s="26" t="s">
        <v>41</v>
      </c>
      <c r="H2540" s="26" t="s">
        <v>796</v>
      </c>
      <c r="I2540" s="26" t="s">
        <v>42</v>
      </c>
      <c r="J2540" s="25" t="str">
        <f t="shared" si="37"/>
        <v>No</v>
      </c>
      <c r="K2540" s="25" t="str">
        <f t="shared" si="38"/>
        <v/>
      </c>
      <c r="L2540" s="25" t="str">
        <f t="shared" si="39"/>
        <v/>
      </c>
      <c r="M2540" s="25"/>
      <c r="O2540" s="25"/>
    </row>
    <row r="2541" ht="15.75" customHeight="1">
      <c r="A2541" s="25" t="str">
        <f>IFERROR(__xludf.DUMMYFUNCTION("IF(B2541="""","""",RIGHT(REGEXREPLACE(B2541&amp;"""",""[^0-9]"",""""),9))"),"771018531")</f>
        <v>771018531</v>
      </c>
      <c r="B2541" s="52">
        <v>7.71018531E8</v>
      </c>
      <c r="C2541" s="28" t="s">
        <v>2720</v>
      </c>
      <c r="D2541" s="26" t="s">
        <v>49</v>
      </c>
      <c r="E2541" s="31">
        <v>46230.0</v>
      </c>
      <c r="F2541" s="26" t="s">
        <v>46</v>
      </c>
      <c r="G2541" s="26">
        <v>10.0</v>
      </c>
      <c r="H2541" s="26" t="s">
        <v>677</v>
      </c>
      <c r="I2541" s="26" t="s">
        <v>42</v>
      </c>
      <c r="J2541" s="25" t="str">
        <f t="shared" si="37"/>
        <v>No</v>
      </c>
      <c r="K2541" s="25" t="str">
        <f t="shared" si="38"/>
        <v/>
      </c>
      <c r="L2541" s="25" t="str">
        <f t="shared" si="39"/>
        <v/>
      </c>
      <c r="M2541" s="25"/>
      <c r="O2541" s="25"/>
    </row>
    <row r="2542" ht="15.75" customHeight="1">
      <c r="A2542" s="25" t="str">
        <f>IFERROR(__xludf.DUMMYFUNCTION("IF(B2542="""","""",RIGHT(REGEXREPLACE(B2542&amp;"""",""[^0-9]"",""""),9))"),"714152676")</f>
        <v>714152676</v>
      </c>
      <c r="B2542" s="52">
        <v>7.14152676E8</v>
      </c>
      <c r="C2542" s="28" t="s">
        <v>2721</v>
      </c>
      <c r="D2542" s="26" t="s">
        <v>45</v>
      </c>
      <c r="E2542" s="31">
        <v>46230.0</v>
      </c>
      <c r="F2542" s="26" t="s">
        <v>46</v>
      </c>
      <c r="G2542" s="26">
        <v>11.0</v>
      </c>
      <c r="I2542" s="26" t="s">
        <v>42</v>
      </c>
      <c r="J2542" s="25" t="str">
        <f t="shared" si="37"/>
        <v>No</v>
      </c>
      <c r="K2542" s="25" t="str">
        <f t="shared" si="38"/>
        <v/>
      </c>
      <c r="L2542" s="25" t="str">
        <f t="shared" si="39"/>
        <v/>
      </c>
      <c r="M2542" s="25"/>
      <c r="O2542" s="25"/>
    </row>
    <row r="2543" ht="15.75" customHeight="1">
      <c r="A2543" s="25" t="str">
        <f>IFERROR(__xludf.DUMMYFUNCTION("IF(B2543="""","""",RIGHT(REGEXREPLACE(B2543&amp;"""",""[^0-9]"",""""),9))"),"767578624")</f>
        <v>767578624</v>
      </c>
      <c r="B2543" s="52">
        <v>7.67578624E8</v>
      </c>
      <c r="C2543" s="28" t="s">
        <v>2722</v>
      </c>
      <c r="D2543" s="26" t="s">
        <v>64</v>
      </c>
      <c r="E2543" s="31">
        <v>46230.0</v>
      </c>
      <c r="F2543" s="26" t="s">
        <v>41</v>
      </c>
      <c r="I2543" s="26" t="s">
        <v>42</v>
      </c>
      <c r="J2543" s="25" t="str">
        <f t="shared" si="37"/>
        <v>No</v>
      </c>
      <c r="K2543" s="25" t="str">
        <f t="shared" si="38"/>
        <v/>
      </c>
      <c r="L2543" s="25" t="str">
        <f t="shared" si="39"/>
        <v/>
      </c>
      <c r="M2543" s="25"/>
      <c r="O2543" s="25"/>
    </row>
    <row r="2544" ht="15.75" customHeight="1">
      <c r="A2544" s="25" t="str">
        <f>IFERROR(__xludf.DUMMYFUNCTION("IF(B2544="""","""",RIGHT(REGEXREPLACE(B2544&amp;"""",""[^0-9]"",""""),9))"),"769267468")</f>
        <v>769267468</v>
      </c>
      <c r="B2544" s="52">
        <v>7.69267468E8</v>
      </c>
      <c r="C2544" s="28" t="s">
        <v>2723</v>
      </c>
      <c r="D2544" s="26" t="s">
        <v>82</v>
      </c>
      <c r="E2544" s="31">
        <v>46230.0</v>
      </c>
      <c r="F2544" s="26" t="s">
        <v>41</v>
      </c>
      <c r="H2544" s="26" t="s">
        <v>2605</v>
      </c>
      <c r="I2544" s="26" t="s">
        <v>42</v>
      </c>
      <c r="J2544" s="25" t="str">
        <f t="shared" si="37"/>
        <v>No</v>
      </c>
      <c r="K2544" s="25" t="str">
        <f t="shared" si="38"/>
        <v/>
      </c>
      <c r="L2544" s="25" t="str">
        <f t="shared" si="39"/>
        <v/>
      </c>
      <c r="M2544" s="25"/>
      <c r="O2544" s="25"/>
    </row>
    <row r="2545" ht="15.75" customHeight="1">
      <c r="A2545" s="25" t="str">
        <f>IFERROR(__xludf.DUMMYFUNCTION("IF(B2545="""","""",RIGHT(REGEXREPLACE(B2545&amp;"""",""[^0-9]"",""""),9))"),"717518645")</f>
        <v>717518645</v>
      </c>
      <c r="B2545" s="52">
        <v>7.17518645E8</v>
      </c>
      <c r="C2545" s="28" t="s">
        <v>2724</v>
      </c>
      <c r="D2545" s="26" t="s">
        <v>56</v>
      </c>
      <c r="E2545" s="31">
        <v>46230.0</v>
      </c>
      <c r="F2545" s="25"/>
      <c r="G2545" s="26">
        <v>10.0</v>
      </c>
      <c r="H2545" s="26" t="s">
        <v>774</v>
      </c>
      <c r="I2545" s="26" t="s">
        <v>42</v>
      </c>
      <c r="J2545" s="25" t="str">
        <f t="shared" si="37"/>
        <v>No</v>
      </c>
      <c r="K2545" s="25" t="str">
        <f t="shared" si="38"/>
        <v/>
      </c>
      <c r="L2545" s="25" t="str">
        <f t="shared" si="39"/>
        <v/>
      </c>
      <c r="M2545" s="25"/>
      <c r="N2545" s="25"/>
      <c r="O2545" s="25"/>
      <c r="P2545" s="25"/>
    </row>
    <row r="2546" ht="15.75" customHeight="1">
      <c r="A2546" s="25" t="str">
        <f>IFERROR(__xludf.DUMMYFUNCTION("IF(B2546="""","""",RIGHT(REGEXREPLACE(B2546&amp;"""",""[^0-9]"",""""),9))"),"774050681")</f>
        <v>774050681</v>
      </c>
      <c r="B2546" s="52">
        <v>7.74050681E8</v>
      </c>
      <c r="C2546" s="28" t="s">
        <v>2725</v>
      </c>
      <c r="D2546" s="26" t="s">
        <v>49</v>
      </c>
      <c r="E2546" s="31">
        <v>46230.0</v>
      </c>
      <c r="F2546" s="26" t="s">
        <v>46</v>
      </c>
      <c r="G2546" s="26">
        <v>11.0</v>
      </c>
      <c r="H2546" s="26" t="s">
        <v>677</v>
      </c>
      <c r="I2546" s="26" t="s">
        <v>42</v>
      </c>
      <c r="J2546" s="25" t="str">
        <f t="shared" si="37"/>
        <v>No</v>
      </c>
      <c r="K2546" s="25" t="str">
        <f t="shared" si="38"/>
        <v/>
      </c>
      <c r="L2546" s="25" t="str">
        <f t="shared" si="39"/>
        <v/>
      </c>
      <c r="M2546" s="25"/>
      <c r="O2546" s="25"/>
    </row>
    <row r="2547" ht="15.75" customHeight="1">
      <c r="A2547" s="25" t="str">
        <f>IFERROR(__xludf.DUMMYFUNCTION("IF(B2547="""","""",RIGHT(REGEXREPLACE(B2547&amp;"""",""[^0-9]"",""""),9))"),"714442720")</f>
        <v>714442720</v>
      </c>
      <c r="B2547" s="52">
        <v>7.1444272E8</v>
      </c>
      <c r="C2547" s="28" t="s">
        <v>2726</v>
      </c>
      <c r="D2547" s="26" t="s">
        <v>45</v>
      </c>
      <c r="E2547" s="31">
        <v>46230.0</v>
      </c>
      <c r="F2547" s="26" t="s">
        <v>46</v>
      </c>
      <c r="G2547" s="26">
        <v>11.0</v>
      </c>
      <c r="H2547" s="26" t="s">
        <v>2605</v>
      </c>
      <c r="I2547" s="26" t="s">
        <v>42</v>
      </c>
      <c r="J2547" s="25" t="str">
        <f t="shared" si="37"/>
        <v>No</v>
      </c>
      <c r="K2547" s="25" t="str">
        <f t="shared" si="38"/>
        <v/>
      </c>
      <c r="L2547" s="25" t="str">
        <f t="shared" si="39"/>
        <v/>
      </c>
      <c r="M2547" s="25"/>
      <c r="O2547" s="25"/>
    </row>
    <row r="2548" ht="15.75" customHeight="1">
      <c r="A2548" s="25" t="str">
        <f>IFERROR(__xludf.DUMMYFUNCTION("IF(B2548="""","""",RIGHT(REGEXREPLACE(B2548&amp;"""",""[^0-9]"",""""),9))"),"774286382")</f>
        <v>774286382</v>
      </c>
      <c r="B2548" s="52">
        <v>7.74286382E8</v>
      </c>
      <c r="C2548" s="28" t="s">
        <v>2727</v>
      </c>
      <c r="D2548" s="26" t="s">
        <v>82</v>
      </c>
      <c r="E2548" s="31">
        <v>46230.0</v>
      </c>
      <c r="F2548" s="26" t="s">
        <v>125</v>
      </c>
      <c r="H2548" s="26" t="s">
        <v>2605</v>
      </c>
      <c r="I2548" s="26" t="s">
        <v>42</v>
      </c>
      <c r="J2548" s="25" t="str">
        <f t="shared" si="37"/>
        <v>No</v>
      </c>
      <c r="K2548" s="25" t="str">
        <f t="shared" si="38"/>
        <v/>
      </c>
      <c r="L2548" s="25" t="str">
        <f t="shared" si="39"/>
        <v/>
      </c>
      <c r="M2548" s="25"/>
      <c r="O2548" s="25"/>
    </row>
    <row r="2549" ht="15.75" customHeight="1">
      <c r="C2549" s="46"/>
      <c r="D2549" s="25"/>
      <c r="F2549" s="25"/>
      <c r="I2549" s="26" t="s">
        <v>42</v>
      </c>
      <c r="M2549" s="25"/>
      <c r="O2549" s="25"/>
    </row>
    <row r="2550" ht="15.75" customHeight="1">
      <c r="A2550" s="25" t="str">
        <f>IFERROR(__xludf.DUMMYFUNCTION("IF(B2550="""","""",RIGHT(REGEXREPLACE(B2550&amp;"""",""[^0-9]"",""""),9))"),"706588934")</f>
        <v>706588934</v>
      </c>
      <c r="B2550" s="52">
        <v>7.06588934E8</v>
      </c>
      <c r="C2550" s="28" t="s">
        <v>2728</v>
      </c>
      <c r="D2550" s="26" t="s">
        <v>82</v>
      </c>
      <c r="E2550" s="31">
        <v>46230.0</v>
      </c>
      <c r="F2550" s="26" t="s">
        <v>46</v>
      </c>
      <c r="G2550" s="26">
        <v>11.0</v>
      </c>
      <c r="H2550" s="26" t="s">
        <v>796</v>
      </c>
      <c r="I2550" s="26" t="s">
        <v>42</v>
      </c>
      <c r="J2550" s="25" t="str">
        <f t="shared" ref="J2550:J3033" si="40">IF(COUNTIF($A$2:A2549,A2550)&gt;0,"Yes - see Previous F-Code","No")</f>
        <v>No</v>
      </c>
      <c r="K2550" s="25" t="str">
        <f t="shared" ref="K2550:K3033" si="41">IF(COUNTIFS($A$2:A2550,A2550,$I$2:I2550,I2550)&gt;1,"DUPLICATE - CHECK","")</f>
        <v/>
      </c>
      <c r="L2550" s="25" t="str">
        <f t="shared" ref="L2550:L3033" si="42">IF(COUNTIF($A$2:A2549,A2550)&gt;0,INDEX($C$2:C2549,MATCH(A2550,$A$2:A2549,0)),"")</f>
        <v/>
      </c>
      <c r="M2550" s="25"/>
      <c r="O2550" s="25"/>
    </row>
    <row r="2551" ht="15.75" customHeight="1">
      <c r="A2551" s="25" t="str">
        <f>IFERROR(__xludf.DUMMYFUNCTION("IF(B2551="""","""",RIGHT(REGEXREPLACE(B2551&amp;"""",""[^0-9]"",""""),9))"),"759984192")</f>
        <v>759984192</v>
      </c>
      <c r="B2551" s="52">
        <v>7.59984192E8</v>
      </c>
      <c r="C2551" s="28" t="s">
        <v>2729</v>
      </c>
      <c r="D2551" s="26" t="s">
        <v>49</v>
      </c>
      <c r="E2551" s="31">
        <v>46230.0</v>
      </c>
      <c r="F2551" s="26" t="s">
        <v>46</v>
      </c>
      <c r="G2551" s="26">
        <v>11.0</v>
      </c>
      <c r="H2551" s="26" t="s">
        <v>677</v>
      </c>
      <c r="I2551" s="26" t="s">
        <v>42</v>
      </c>
      <c r="J2551" s="25" t="str">
        <f t="shared" si="40"/>
        <v>No</v>
      </c>
      <c r="K2551" s="25" t="str">
        <f t="shared" si="41"/>
        <v/>
      </c>
      <c r="L2551" s="25" t="str">
        <f t="shared" si="42"/>
        <v/>
      </c>
      <c r="M2551" s="25"/>
      <c r="O2551" s="25"/>
    </row>
    <row r="2552" ht="15.75" customHeight="1">
      <c r="A2552" s="25" t="str">
        <f>IFERROR(__xludf.DUMMYFUNCTION("IF(B2552="""","""",RIGHT(REGEXREPLACE(B2552&amp;"""",""[^0-9]"",""""),9))"),"775075119")</f>
        <v>775075119</v>
      </c>
      <c r="B2552" s="52">
        <v>7.75075119E8</v>
      </c>
      <c r="C2552" s="28" t="s">
        <v>2730</v>
      </c>
      <c r="D2552" s="26" t="s">
        <v>56</v>
      </c>
      <c r="E2552" s="31">
        <v>46230.0</v>
      </c>
      <c r="F2552" s="26" t="s">
        <v>41</v>
      </c>
      <c r="H2552" s="26" t="s">
        <v>796</v>
      </c>
      <c r="I2552" s="26" t="s">
        <v>42</v>
      </c>
      <c r="J2552" s="25" t="str">
        <f t="shared" si="40"/>
        <v>No</v>
      </c>
      <c r="K2552" s="25" t="str">
        <f t="shared" si="41"/>
        <v/>
      </c>
      <c r="L2552" s="25" t="str">
        <f t="shared" si="42"/>
        <v/>
      </c>
      <c r="M2552" s="25"/>
      <c r="O2552" s="25"/>
    </row>
    <row r="2553" ht="15.75" customHeight="1">
      <c r="A2553" s="25" t="str">
        <f>IFERROR(__xludf.DUMMYFUNCTION("IF(B2553="""","""",RIGHT(REGEXREPLACE(B2553&amp;"""",""[^0-9]"",""""),9))"),"762359795")</f>
        <v>762359795</v>
      </c>
      <c r="B2553" s="52">
        <v>7.62359795E8</v>
      </c>
      <c r="C2553" s="28" t="s">
        <v>2731</v>
      </c>
      <c r="D2553" s="26" t="s">
        <v>64</v>
      </c>
      <c r="E2553" s="31">
        <v>46230.0</v>
      </c>
      <c r="F2553" s="26" t="s">
        <v>46</v>
      </c>
      <c r="G2553" s="26">
        <v>11.0</v>
      </c>
      <c r="H2553" s="26" t="s">
        <v>796</v>
      </c>
      <c r="I2553" s="26" t="s">
        <v>42</v>
      </c>
      <c r="J2553" s="25" t="str">
        <f t="shared" si="40"/>
        <v>No</v>
      </c>
      <c r="K2553" s="25" t="str">
        <f t="shared" si="41"/>
        <v/>
      </c>
      <c r="L2553" s="25" t="str">
        <f t="shared" si="42"/>
        <v/>
      </c>
      <c r="M2553" s="25"/>
      <c r="O2553" s="25"/>
    </row>
    <row r="2554" ht="15.75" customHeight="1">
      <c r="A2554" s="25" t="str">
        <f>IFERROR(__xludf.DUMMYFUNCTION("IF(B2554="""","""",RIGHT(REGEXREPLACE(B2554&amp;"""",""[^0-9]"",""""),9))"),"")</f>
        <v/>
      </c>
      <c r="B2554" s="54"/>
      <c r="C2554" s="46"/>
      <c r="D2554" s="25"/>
      <c r="E2554" s="31">
        <v>46230.0</v>
      </c>
      <c r="F2554" s="25"/>
      <c r="I2554" s="26" t="s">
        <v>42</v>
      </c>
      <c r="J2554" s="25" t="str">
        <f t="shared" si="40"/>
        <v>Yes - see Previous F-Code</v>
      </c>
      <c r="K2554" s="25" t="str">
        <f t="shared" si="41"/>
        <v>DUPLICATE - CHECK</v>
      </c>
      <c r="L2554" s="25" t="str">
        <f t="shared" si="42"/>
        <v/>
      </c>
      <c r="M2554" s="25"/>
      <c r="O2554" s="25"/>
    </row>
    <row r="2555" ht="15.75" customHeight="1">
      <c r="A2555" s="25" t="str">
        <f>IFERROR(__xludf.DUMMYFUNCTION("IF(B2555="""","""",RIGHT(REGEXREPLACE(B2555&amp;"""",""[^0-9]"",""""),9))"),"771950410")</f>
        <v>771950410</v>
      </c>
      <c r="B2555" s="52">
        <v>7.7195041E8</v>
      </c>
      <c r="C2555" s="28" t="s">
        <v>2732</v>
      </c>
      <c r="D2555" s="26" t="s">
        <v>49</v>
      </c>
      <c r="E2555" s="31">
        <v>46230.0</v>
      </c>
      <c r="F2555" s="26" t="s">
        <v>46</v>
      </c>
      <c r="H2555" s="26" t="s">
        <v>280</v>
      </c>
      <c r="I2555" s="26" t="s">
        <v>42</v>
      </c>
      <c r="J2555" s="25" t="str">
        <f t="shared" si="40"/>
        <v>No</v>
      </c>
      <c r="K2555" s="25" t="str">
        <f t="shared" si="41"/>
        <v/>
      </c>
      <c r="L2555" s="25" t="str">
        <f t="shared" si="42"/>
        <v/>
      </c>
      <c r="M2555" s="25"/>
      <c r="O2555" s="25"/>
    </row>
    <row r="2556" ht="15.75" customHeight="1">
      <c r="A2556" s="25" t="str">
        <f>IFERROR(__xludf.DUMMYFUNCTION("IF(B2556="""","""",RIGHT(REGEXREPLACE(B2556&amp;"""",""[^0-9]"",""""),9))"),"718016407")</f>
        <v>718016407</v>
      </c>
      <c r="B2556" s="52">
        <v>7.18016407E8</v>
      </c>
      <c r="C2556" s="28" t="s">
        <v>2733</v>
      </c>
      <c r="D2556" s="26" t="s">
        <v>64</v>
      </c>
      <c r="E2556" s="31">
        <v>46230.0</v>
      </c>
      <c r="F2556" s="26" t="s">
        <v>46</v>
      </c>
      <c r="H2556" s="26" t="s">
        <v>2734</v>
      </c>
      <c r="I2556" s="26" t="s">
        <v>42</v>
      </c>
      <c r="J2556" s="25" t="str">
        <f t="shared" si="40"/>
        <v>No</v>
      </c>
      <c r="K2556" s="25" t="str">
        <f t="shared" si="41"/>
        <v/>
      </c>
      <c r="L2556" s="25" t="str">
        <f t="shared" si="42"/>
        <v/>
      </c>
      <c r="M2556" s="25"/>
      <c r="O2556" s="25"/>
    </row>
    <row r="2557" ht="15.75" customHeight="1">
      <c r="A2557" s="25" t="str">
        <f>IFERROR(__xludf.DUMMYFUNCTION("IF(B2557="""","""",RIGHT(REGEXREPLACE(B2557&amp;"""",""[^0-9]"",""""),9))"),"767816637")</f>
        <v>767816637</v>
      </c>
      <c r="B2557" s="52">
        <v>7.67816637E8</v>
      </c>
      <c r="C2557" s="28" t="s">
        <v>2735</v>
      </c>
      <c r="D2557" s="26" t="s">
        <v>56</v>
      </c>
      <c r="E2557" s="31">
        <v>46230.0</v>
      </c>
      <c r="F2557" s="26" t="s">
        <v>205</v>
      </c>
      <c r="H2557" s="26" t="s">
        <v>796</v>
      </c>
      <c r="I2557" s="26" t="s">
        <v>42</v>
      </c>
      <c r="J2557" s="25" t="str">
        <f t="shared" si="40"/>
        <v>No</v>
      </c>
      <c r="K2557" s="25" t="str">
        <f t="shared" si="41"/>
        <v/>
      </c>
      <c r="L2557" s="25" t="str">
        <f t="shared" si="42"/>
        <v/>
      </c>
      <c r="M2557" s="25"/>
      <c r="O2557" s="25"/>
    </row>
    <row r="2558" ht="15.75" customHeight="1">
      <c r="A2558" s="25" t="str">
        <f>IFERROR(__xludf.DUMMYFUNCTION("IF(B2558="""","""",RIGHT(REGEXREPLACE(B2558&amp;"""",""[^0-9]"",""""),9))"),"766336718")</f>
        <v>766336718</v>
      </c>
      <c r="B2558" s="52">
        <v>7.66336718E8</v>
      </c>
      <c r="C2558" s="28" t="s">
        <v>2736</v>
      </c>
      <c r="D2558" s="26" t="s">
        <v>82</v>
      </c>
      <c r="E2558" s="31">
        <v>46230.0</v>
      </c>
      <c r="F2558" s="26" t="s">
        <v>46</v>
      </c>
      <c r="G2558" s="26">
        <v>11.0</v>
      </c>
      <c r="H2558" s="26" t="s">
        <v>2605</v>
      </c>
      <c r="I2558" s="26" t="s">
        <v>42</v>
      </c>
      <c r="J2558" s="25" t="str">
        <f t="shared" si="40"/>
        <v>No</v>
      </c>
      <c r="K2558" s="25" t="str">
        <f t="shared" si="41"/>
        <v/>
      </c>
      <c r="L2558" s="25" t="str">
        <f t="shared" si="42"/>
        <v/>
      </c>
      <c r="M2558" s="25"/>
      <c r="O2558" s="25"/>
    </row>
    <row r="2559" ht="15.75" customHeight="1">
      <c r="A2559" s="25" t="str">
        <f>IFERROR(__xludf.DUMMYFUNCTION("IF(B2559="""","""",RIGHT(REGEXREPLACE(B2559&amp;"""",""[^0-9]"",""""),9))"),"754940321")</f>
        <v>754940321</v>
      </c>
      <c r="B2559" s="52">
        <v>7.54940321E8</v>
      </c>
      <c r="C2559" s="28" t="s">
        <v>1246</v>
      </c>
      <c r="D2559" s="26" t="s">
        <v>69</v>
      </c>
      <c r="E2559" s="31">
        <v>46230.0</v>
      </c>
      <c r="F2559" s="26" t="s">
        <v>46</v>
      </c>
      <c r="G2559" s="26">
        <v>11.0</v>
      </c>
      <c r="I2559" s="26" t="s">
        <v>42</v>
      </c>
      <c r="J2559" s="25" t="str">
        <f t="shared" si="40"/>
        <v>No</v>
      </c>
      <c r="K2559" s="25" t="str">
        <f t="shared" si="41"/>
        <v/>
      </c>
      <c r="L2559" s="25" t="str">
        <f t="shared" si="42"/>
        <v/>
      </c>
      <c r="M2559" s="25"/>
      <c r="O2559" s="25"/>
    </row>
    <row r="2560" ht="15.75" customHeight="1">
      <c r="A2560" s="25" t="str">
        <f>IFERROR(__xludf.DUMMYFUNCTION("IF(B2560="""","""",RIGHT(REGEXREPLACE(B2560&amp;"""",""[^0-9]"",""""),9))"),"775803664")</f>
        <v>775803664</v>
      </c>
      <c r="B2560" s="52">
        <v>7.75803664E8</v>
      </c>
      <c r="C2560" s="28" t="s">
        <v>2737</v>
      </c>
      <c r="D2560" s="26" t="s">
        <v>49</v>
      </c>
      <c r="E2560" s="31">
        <v>46230.0</v>
      </c>
      <c r="F2560" s="26" t="s">
        <v>46</v>
      </c>
      <c r="I2560" s="26" t="s">
        <v>42</v>
      </c>
      <c r="J2560" s="25" t="str">
        <f t="shared" si="40"/>
        <v>No</v>
      </c>
      <c r="K2560" s="25" t="str">
        <f t="shared" si="41"/>
        <v/>
      </c>
      <c r="L2560" s="25" t="str">
        <f t="shared" si="42"/>
        <v/>
      </c>
      <c r="M2560" s="25"/>
      <c r="O2560" s="25"/>
    </row>
    <row r="2561" ht="15.75" customHeight="1">
      <c r="A2561" s="25" t="str">
        <f>IFERROR(__xludf.DUMMYFUNCTION("IF(B2561="""","""",RIGHT(REGEXREPLACE(B2561&amp;"""",""[^0-9]"",""""),9))"),"767808416")</f>
        <v>767808416</v>
      </c>
      <c r="B2561" s="52">
        <v>7.67808416E8</v>
      </c>
      <c r="C2561" s="28" t="s">
        <v>2738</v>
      </c>
      <c r="D2561" s="26" t="s">
        <v>49</v>
      </c>
      <c r="E2561" s="31">
        <v>46230.0</v>
      </c>
      <c r="F2561" s="26" t="s">
        <v>205</v>
      </c>
      <c r="G2561" s="26">
        <v>9.0</v>
      </c>
      <c r="H2561" s="26" t="s">
        <v>677</v>
      </c>
      <c r="I2561" s="26" t="s">
        <v>42</v>
      </c>
      <c r="J2561" s="25" t="str">
        <f t="shared" si="40"/>
        <v>No</v>
      </c>
      <c r="K2561" s="25" t="str">
        <f t="shared" si="41"/>
        <v/>
      </c>
      <c r="L2561" s="25" t="str">
        <f t="shared" si="42"/>
        <v/>
      </c>
      <c r="M2561" s="25"/>
      <c r="O2561" s="25"/>
    </row>
    <row r="2562" ht="15.75" customHeight="1">
      <c r="A2562" s="25" t="str">
        <f>IFERROR(__xludf.DUMMYFUNCTION("IF(B2562="""","""",RIGHT(REGEXREPLACE(B2562&amp;"""",""[^0-9]"",""""),9))"),"785301052")</f>
        <v>785301052</v>
      </c>
      <c r="B2562" s="52">
        <v>7.85301052E8</v>
      </c>
      <c r="C2562" s="28" t="s">
        <v>2739</v>
      </c>
      <c r="D2562" s="26" t="s">
        <v>82</v>
      </c>
      <c r="E2562" s="31">
        <v>46230.0</v>
      </c>
      <c r="F2562" s="26" t="s">
        <v>46</v>
      </c>
      <c r="G2562" s="96">
        <v>46306.0</v>
      </c>
      <c r="H2562" s="26" t="s">
        <v>2715</v>
      </c>
      <c r="I2562" s="26" t="s">
        <v>42</v>
      </c>
      <c r="J2562" s="25" t="str">
        <f t="shared" si="40"/>
        <v>No</v>
      </c>
      <c r="K2562" s="25" t="str">
        <f t="shared" si="41"/>
        <v/>
      </c>
      <c r="L2562" s="25" t="str">
        <f t="shared" si="42"/>
        <v/>
      </c>
      <c r="M2562" s="25"/>
      <c r="O2562" s="25"/>
    </row>
    <row r="2563" ht="15.75" customHeight="1">
      <c r="A2563" s="25" t="str">
        <f>IFERROR(__xludf.DUMMYFUNCTION("IF(B2563="""","""",RIGHT(REGEXREPLACE(B2563&amp;"""",""[^0-9]"",""""),9))"),"711657390")</f>
        <v>711657390</v>
      </c>
      <c r="B2563" s="52">
        <v>7.1165739E8</v>
      </c>
      <c r="C2563" s="28" t="s">
        <v>2740</v>
      </c>
      <c r="D2563" s="26" t="s">
        <v>64</v>
      </c>
      <c r="E2563" s="31">
        <v>46230.0</v>
      </c>
      <c r="F2563" s="26" t="s">
        <v>704</v>
      </c>
      <c r="H2563" s="26" t="s">
        <v>2741</v>
      </c>
      <c r="I2563" s="26" t="s">
        <v>42</v>
      </c>
      <c r="J2563" s="25" t="str">
        <f t="shared" si="40"/>
        <v>No</v>
      </c>
      <c r="K2563" s="25" t="str">
        <f t="shared" si="41"/>
        <v/>
      </c>
      <c r="L2563" s="25" t="str">
        <f t="shared" si="42"/>
        <v/>
      </c>
      <c r="M2563" s="25"/>
      <c r="O2563" s="25"/>
    </row>
    <row r="2564" ht="15.75" customHeight="1">
      <c r="A2564" s="25" t="str">
        <f>IFERROR(__xludf.DUMMYFUNCTION("IF(B2564="""","""",RIGHT(REGEXREPLACE(B2564&amp;"""",""[^0-9]"",""""),9))"),"706160901")</f>
        <v>706160901</v>
      </c>
      <c r="B2564" s="52">
        <v>7.06160901E8</v>
      </c>
      <c r="C2564" s="28" t="s">
        <v>2742</v>
      </c>
      <c r="D2564" s="26" t="s">
        <v>64</v>
      </c>
      <c r="E2564" s="31">
        <v>46230.0</v>
      </c>
      <c r="F2564" s="26" t="s">
        <v>205</v>
      </c>
      <c r="I2564" s="26" t="s">
        <v>42</v>
      </c>
      <c r="J2564" s="25" t="str">
        <f t="shared" si="40"/>
        <v>No</v>
      </c>
      <c r="K2564" s="25" t="str">
        <f t="shared" si="41"/>
        <v/>
      </c>
      <c r="L2564" s="25" t="str">
        <f t="shared" si="42"/>
        <v/>
      </c>
      <c r="M2564" s="25"/>
      <c r="O2564" s="25"/>
    </row>
    <row r="2565" ht="15.75" customHeight="1">
      <c r="A2565" s="25" t="str">
        <f>IFERROR(__xludf.DUMMYFUNCTION("IF(B2565="""","""",RIGHT(REGEXREPLACE(B2565&amp;"""",""[^0-9]"",""""),9))"),"728631377")</f>
        <v>728631377</v>
      </c>
      <c r="B2565" s="52">
        <v>7.28631377E8</v>
      </c>
      <c r="C2565" s="28" t="s">
        <v>2743</v>
      </c>
      <c r="D2565" s="26" t="s">
        <v>49</v>
      </c>
      <c r="E2565" s="31">
        <v>46230.0</v>
      </c>
      <c r="F2565" s="26" t="s">
        <v>46</v>
      </c>
      <c r="G2565" s="26" t="s">
        <v>1827</v>
      </c>
      <c r="H2565" s="26" t="s">
        <v>677</v>
      </c>
      <c r="I2565" s="26" t="s">
        <v>42</v>
      </c>
      <c r="J2565" s="25" t="str">
        <f t="shared" si="40"/>
        <v>No</v>
      </c>
      <c r="K2565" s="25" t="str">
        <f t="shared" si="41"/>
        <v/>
      </c>
      <c r="L2565" s="25" t="str">
        <f t="shared" si="42"/>
        <v/>
      </c>
      <c r="M2565" s="25"/>
      <c r="O2565" s="25"/>
    </row>
    <row r="2566" ht="15.75" customHeight="1">
      <c r="A2566" s="25" t="str">
        <f>IFERROR(__xludf.DUMMYFUNCTION("IF(B2566="""","""",RIGHT(REGEXREPLACE(B2566&amp;"""",""[^0-9]"",""""),9))"),"778251852")</f>
        <v>778251852</v>
      </c>
      <c r="B2566" s="52">
        <v>7.78251852E8</v>
      </c>
      <c r="C2566" s="28" t="s">
        <v>2744</v>
      </c>
      <c r="D2566" s="26" t="s">
        <v>56</v>
      </c>
      <c r="E2566" s="31">
        <v>46230.0</v>
      </c>
      <c r="F2566" s="26" t="s">
        <v>46</v>
      </c>
      <c r="G2566" s="26">
        <v>11.0</v>
      </c>
      <c r="H2566" s="26" t="s">
        <v>89</v>
      </c>
      <c r="I2566" s="26" t="s">
        <v>42</v>
      </c>
      <c r="J2566" s="25" t="str">
        <f t="shared" si="40"/>
        <v>No</v>
      </c>
      <c r="K2566" s="25" t="str">
        <f t="shared" si="41"/>
        <v/>
      </c>
      <c r="L2566" s="25" t="str">
        <f t="shared" si="42"/>
        <v/>
      </c>
      <c r="M2566" s="25"/>
      <c r="O2566" s="25"/>
    </row>
    <row r="2567" ht="15.75" customHeight="1">
      <c r="A2567" s="25" t="str">
        <f>IFERROR(__xludf.DUMMYFUNCTION("IF(B2567="""","""",RIGHT(REGEXREPLACE(B2567&amp;"""",""[^0-9]"",""""),9))"),"768350691")</f>
        <v>768350691</v>
      </c>
      <c r="B2567" s="52">
        <v>7.68350691E8</v>
      </c>
      <c r="C2567" s="28" t="s">
        <v>2745</v>
      </c>
      <c r="D2567" s="26" t="s">
        <v>64</v>
      </c>
      <c r="E2567" s="31">
        <v>46230.0</v>
      </c>
      <c r="F2567" s="26" t="s">
        <v>46</v>
      </c>
      <c r="G2567" s="26">
        <v>9.0</v>
      </c>
      <c r="H2567" s="26" t="s">
        <v>1526</v>
      </c>
      <c r="I2567" s="26" t="s">
        <v>42</v>
      </c>
      <c r="J2567" s="25" t="str">
        <f t="shared" si="40"/>
        <v>No</v>
      </c>
      <c r="K2567" s="25" t="str">
        <f t="shared" si="41"/>
        <v/>
      </c>
      <c r="L2567" s="25" t="str">
        <f t="shared" si="42"/>
        <v/>
      </c>
      <c r="M2567" s="25"/>
      <c r="O2567" s="25"/>
    </row>
    <row r="2568" ht="15.75" customHeight="1">
      <c r="A2568" s="25" t="str">
        <f>IFERROR(__xludf.DUMMYFUNCTION("IF(B2568="""","""",RIGHT(REGEXREPLACE(B2568&amp;"""",""[^0-9]"",""""),9))"),"713953489")</f>
        <v>713953489</v>
      </c>
      <c r="B2568" s="52">
        <v>7.13953489E8</v>
      </c>
      <c r="C2568" s="28" t="s">
        <v>2746</v>
      </c>
      <c r="D2568" s="26" t="s">
        <v>82</v>
      </c>
      <c r="E2568" s="31">
        <v>46230.0</v>
      </c>
      <c r="F2568" s="26" t="s">
        <v>46</v>
      </c>
      <c r="G2568" s="26">
        <v>9.0</v>
      </c>
      <c r="H2568" s="26" t="s">
        <v>1526</v>
      </c>
      <c r="I2568" s="26" t="s">
        <v>42</v>
      </c>
      <c r="J2568" s="25" t="str">
        <f t="shared" si="40"/>
        <v>No</v>
      </c>
      <c r="K2568" s="25" t="str">
        <f t="shared" si="41"/>
        <v/>
      </c>
      <c r="L2568" s="25" t="str">
        <f t="shared" si="42"/>
        <v/>
      </c>
      <c r="M2568" s="25"/>
      <c r="O2568" s="25"/>
    </row>
    <row r="2569" ht="15.75" customHeight="1">
      <c r="A2569" s="25" t="str">
        <f>IFERROR(__xludf.DUMMYFUNCTION("IF(B2569="""","""",RIGHT(REGEXREPLACE(B2569&amp;"""",""[^0-9]"",""""),9))"),"704978324")</f>
        <v>704978324</v>
      </c>
      <c r="B2569" s="52">
        <v>7.04978324E8</v>
      </c>
      <c r="C2569" s="28" t="s">
        <v>2285</v>
      </c>
      <c r="D2569" s="26" t="s">
        <v>69</v>
      </c>
      <c r="E2569" s="31">
        <v>46230.0</v>
      </c>
      <c r="F2569" s="26" t="s">
        <v>205</v>
      </c>
      <c r="I2569" s="26" t="s">
        <v>42</v>
      </c>
      <c r="J2569" s="25" t="str">
        <f t="shared" si="40"/>
        <v>No</v>
      </c>
      <c r="K2569" s="25" t="str">
        <f t="shared" si="41"/>
        <v/>
      </c>
      <c r="L2569" s="25" t="str">
        <f t="shared" si="42"/>
        <v/>
      </c>
      <c r="M2569" s="25"/>
      <c r="O2569" s="25"/>
    </row>
    <row r="2570" ht="15.75" customHeight="1">
      <c r="A2570" s="25" t="str">
        <f>IFERROR(__xludf.DUMMYFUNCTION("IF(B2570="""","""",RIGHT(REGEXREPLACE(B2570&amp;"""",""[^0-9]"",""""),9))"),"742088963")</f>
        <v>742088963</v>
      </c>
      <c r="B2570" s="52">
        <v>7.42088963E8</v>
      </c>
      <c r="C2570" s="28" t="s">
        <v>2747</v>
      </c>
      <c r="D2570" s="26" t="s">
        <v>56</v>
      </c>
      <c r="E2570" s="31">
        <v>46230.0</v>
      </c>
      <c r="F2570" s="26" t="s">
        <v>41</v>
      </c>
      <c r="H2570" s="26" t="s">
        <v>796</v>
      </c>
      <c r="I2570" s="26" t="s">
        <v>42</v>
      </c>
      <c r="J2570" s="25" t="str">
        <f t="shared" si="40"/>
        <v>No</v>
      </c>
      <c r="K2570" s="25" t="str">
        <f t="shared" si="41"/>
        <v/>
      </c>
      <c r="L2570" s="25" t="str">
        <f t="shared" si="42"/>
        <v/>
      </c>
      <c r="M2570" s="25"/>
      <c r="O2570" s="25"/>
    </row>
    <row r="2571" ht="15.75" customHeight="1">
      <c r="A2571" s="25" t="str">
        <f>IFERROR(__xludf.DUMMYFUNCTION("IF(B2571="""","""",RIGHT(REGEXREPLACE(B2571&amp;"""",""[^0-9]"",""""),9))"),"713945958")</f>
        <v>713945958</v>
      </c>
      <c r="B2571" s="52">
        <v>7.13945958E8</v>
      </c>
      <c r="C2571" s="28" t="s">
        <v>2748</v>
      </c>
      <c r="D2571" s="26" t="s">
        <v>64</v>
      </c>
      <c r="E2571" s="31">
        <v>46230.0</v>
      </c>
      <c r="F2571" s="26" t="s">
        <v>46</v>
      </c>
      <c r="G2571" s="26">
        <v>11.0</v>
      </c>
      <c r="H2571" s="26" t="s">
        <v>1526</v>
      </c>
      <c r="I2571" s="26" t="s">
        <v>42</v>
      </c>
      <c r="J2571" s="25" t="str">
        <f t="shared" si="40"/>
        <v>No</v>
      </c>
      <c r="K2571" s="25" t="str">
        <f t="shared" si="41"/>
        <v/>
      </c>
      <c r="L2571" s="25" t="str">
        <f t="shared" si="42"/>
        <v/>
      </c>
      <c r="M2571" s="25"/>
      <c r="O2571" s="25"/>
    </row>
    <row r="2572" ht="15.75" customHeight="1">
      <c r="A2572" s="25" t="str">
        <f>IFERROR(__xludf.DUMMYFUNCTION("IF(B2572="""","""",RIGHT(REGEXREPLACE(B2572&amp;"""",""[^0-9]"",""""),9))"),"776967080")</f>
        <v>776967080</v>
      </c>
      <c r="B2572" s="52">
        <v>7.7696708E8</v>
      </c>
      <c r="C2572" s="28" t="s">
        <v>2749</v>
      </c>
      <c r="D2572" s="26" t="s">
        <v>49</v>
      </c>
      <c r="E2572" s="31">
        <v>46230.0</v>
      </c>
      <c r="F2572" s="26" t="s">
        <v>41</v>
      </c>
      <c r="I2572" s="26" t="s">
        <v>42</v>
      </c>
      <c r="J2572" s="25" t="str">
        <f t="shared" si="40"/>
        <v>No</v>
      </c>
      <c r="K2572" s="25" t="str">
        <f t="shared" si="41"/>
        <v/>
      </c>
      <c r="L2572" s="25" t="str">
        <f t="shared" si="42"/>
        <v/>
      </c>
      <c r="M2572" s="25"/>
      <c r="O2572" s="25"/>
    </row>
    <row r="2573" ht="15.75" customHeight="1">
      <c r="A2573" s="25" t="str">
        <f>IFERROR(__xludf.DUMMYFUNCTION("IF(B2573="""","""",RIGHT(REGEXREPLACE(B2573&amp;"""",""[^0-9]"",""""),9))"),"743353643")</f>
        <v>743353643</v>
      </c>
      <c r="B2573" s="52">
        <v>7.43353643E8</v>
      </c>
      <c r="C2573" s="28" t="s">
        <v>2750</v>
      </c>
      <c r="D2573" s="26" t="s">
        <v>82</v>
      </c>
      <c r="E2573" s="31">
        <v>46230.0</v>
      </c>
      <c r="F2573" s="26" t="s">
        <v>659</v>
      </c>
      <c r="H2573" s="26" t="s">
        <v>2605</v>
      </c>
      <c r="I2573" s="26" t="s">
        <v>42</v>
      </c>
      <c r="J2573" s="25" t="str">
        <f t="shared" si="40"/>
        <v>No</v>
      </c>
      <c r="K2573" s="25" t="str">
        <f t="shared" si="41"/>
        <v/>
      </c>
      <c r="L2573" s="25" t="str">
        <f t="shared" si="42"/>
        <v/>
      </c>
      <c r="M2573" s="25"/>
      <c r="O2573" s="25"/>
    </row>
    <row r="2574" ht="15.75" customHeight="1">
      <c r="A2574" s="25" t="str">
        <f>IFERROR(__xludf.DUMMYFUNCTION("IF(B2574="""","""",RIGHT(REGEXREPLACE(B2574&amp;"""",""[^0-9]"",""""),9))"),"717637524")</f>
        <v>717637524</v>
      </c>
      <c r="B2574" s="52">
        <v>7.17637524E8</v>
      </c>
      <c r="C2574" s="28" t="s">
        <v>2751</v>
      </c>
      <c r="D2574" s="26" t="s">
        <v>49</v>
      </c>
      <c r="E2574" s="31">
        <v>46230.0</v>
      </c>
      <c r="F2574" s="26" t="s">
        <v>41</v>
      </c>
      <c r="G2574" s="26">
        <v>10.0</v>
      </c>
      <c r="I2574" s="26" t="s">
        <v>42</v>
      </c>
      <c r="J2574" s="25" t="str">
        <f t="shared" si="40"/>
        <v>No</v>
      </c>
      <c r="K2574" s="25" t="str">
        <f t="shared" si="41"/>
        <v/>
      </c>
      <c r="L2574" s="25" t="str">
        <f t="shared" si="42"/>
        <v/>
      </c>
      <c r="M2574" s="25"/>
      <c r="O2574" s="25"/>
    </row>
    <row r="2575" ht="15.75" customHeight="1">
      <c r="A2575" s="25" t="str">
        <f>IFERROR(__xludf.DUMMYFUNCTION("IF(B2575="""","""",RIGHT(REGEXREPLACE(B2575&amp;"""",""[^0-9]"",""""),9))"),"770701367")</f>
        <v>770701367</v>
      </c>
      <c r="B2575" s="52">
        <v>7.70701367E8</v>
      </c>
      <c r="C2575" s="28" t="s">
        <v>2752</v>
      </c>
      <c r="D2575" s="26" t="s">
        <v>82</v>
      </c>
      <c r="E2575" s="31">
        <v>46230.0</v>
      </c>
      <c r="F2575" s="26" t="s">
        <v>84</v>
      </c>
      <c r="I2575" s="26" t="s">
        <v>42</v>
      </c>
      <c r="J2575" s="25" t="str">
        <f t="shared" si="40"/>
        <v>No</v>
      </c>
      <c r="K2575" s="25" t="str">
        <f t="shared" si="41"/>
        <v/>
      </c>
      <c r="L2575" s="25" t="str">
        <f t="shared" si="42"/>
        <v/>
      </c>
      <c r="M2575" s="25"/>
      <c r="O2575" s="25"/>
    </row>
    <row r="2576" ht="15.75" customHeight="1">
      <c r="A2576" s="25" t="str">
        <f>IFERROR(__xludf.DUMMYFUNCTION("IF(B2576="""","""",RIGHT(REGEXREPLACE(B2576&amp;"""",""[^0-9]"",""""),9))"),"706633503")</f>
        <v>706633503</v>
      </c>
      <c r="B2576" s="52">
        <v>7.06633503E8</v>
      </c>
      <c r="C2576" s="28" t="s">
        <v>2753</v>
      </c>
      <c r="D2576" s="26" t="s">
        <v>64</v>
      </c>
      <c r="E2576" s="31">
        <v>46230.0</v>
      </c>
      <c r="F2576" s="26" t="s">
        <v>46</v>
      </c>
      <c r="G2576" s="26">
        <v>11.0</v>
      </c>
      <c r="H2576" s="26" t="s">
        <v>1526</v>
      </c>
      <c r="I2576" s="26" t="s">
        <v>42</v>
      </c>
      <c r="J2576" s="25" t="str">
        <f t="shared" si="40"/>
        <v>No</v>
      </c>
      <c r="K2576" s="25" t="str">
        <f t="shared" si="41"/>
        <v/>
      </c>
      <c r="L2576" s="25" t="str">
        <f t="shared" si="42"/>
        <v/>
      </c>
      <c r="M2576" s="25"/>
      <c r="O2576" s="25"/>
    </row>
    <row r="2577" ht="15.75" customHeight="1">
      <c r="A2577" s="25" t="str">
        <f>IFERROR(__xludf.DUMMYFUNCTION("IF(B2577="""","""",RIGHT(REGEXREPLACE(B2577&amp;"""",""[^0-9]"",""""),9))"),"740343503")</f>
        <v>740343503</v>
      </c>
      <c r="B2577" s="52">
        <v>7.40343503E8</v>
      </c>
      <c r="C2577" s="28" t="s">
        <v>2754</v>
      </c>
      <c r="D2577" s="26" t="s">
        <v>64</v>
      </c>
      <c r="E2577" s="31">
        <v>46230.0</v>
      </c>
      <c r="F2577" s="26" t="s">
        <v>46</v>
      </c>
      <c r="G2577" s="26">
        <v>11.0</v>
      </c>
      <c r="H2577" s="26" t="s">
        <v>1526</v>
      </c>
      <c r="I2577" s="26" t="s">
        <v>42</v>
      </c>
      <c r="J2577" s="25" t="str">
        <f t="shared" si="40"/>
        <v>No</v>
      </c>
      <c r="K2577" s="25" t="str">
        <f t="shared" si="41"/>
        <v/>
      </c>
      <c r="L2577" s="25" t="str">
        <f t="shared" si="42"/>
        <v/>
      </c>
      <c r="M2577" s="25"/>
      <c r="O2577" s="25"/>
    </row>
    <row r="2578" ht="15.75" customHeight="1">
      <c r="A2578" s="25" t="str">
        <f>IFERROR(__xludf.DUMMYFUNCTION("IF(B2578="""","""",RIGHT(REGEXREPLACE(B2578&amp;"""",""[^0-9]"",""""),9))"),"755046255")</f>
        <v>755046255</v>
      </c>
      <c r="B2578" s="52">
        <v>7.55046255E8</v>
      </c>
      <c r="C2578" s="28" t="s">
        <v>2755</v>
      </c>
      <c r="D2578" s="26" t="s">
        <v>49</v>
      </c>
      <c r="E2578" s="31">
        <v>46230.0</v>
      </c>
      <c r="F2578" s="26" t="s">
        <v>41</v>
      </c>
      <c r="I2578" s="26" t="s">
        <v>42</v>
      </c>
      <c r="J2578" s="25" t="str">
        <f t="shared" si="40"/>
        <v>No</v>
      </c>
      <c r="K2578" s="25" t="str">
        <f t="shared" si="41"/>
        <v/>
      </c>
      <c r="L2578" s="25" t="str">
        <f t="shared" si="42"/>
        <v/>
      </c>
      <c r="M2578" s="25"/>
      <c r="O2578" s="25"/>
    </row>
    <row r="2579" ht="15.75" customHeight="1">
      <c r="A2579" s="25" t="str">
        <f>IFERROR(__xludf.DUMMYFUNCTION("IF(B2579="""","""",RIGHT(REGEXREPLACE(B2579&amp;"""",""[^0-9]"",""""),9))"),"724395285")</f>
        <v>724395285</v>
      </c>
      <c r="B2579" s="52">
        <v>7.24395285E8</v>
      </c>
      <c r="C2579" s="28" t="s">
        <v>2756</v>
      </c>
      <c r="D2579" s="26" t="s">
        <v>56</v>
      </c>
      <c r="E2579" s="31">
        <v>46230.0</v>
      </c>
      <c r="F2579" s="26" t="s">
        <v>205</v>
      </c>
      <c r="I2579" s="26" t="s">
        <v>42</v>
      </c>
      <c r="J2579" s="25" t="str">
        <f t="shared" si="40"/>
        <v>No</v>
      </c>
      <c r="K2579" s="25" t="str">
        <f t="shared" si="41"/>
        <v/>
      </c>
      <c r="L2579" s="25" t="str">
        <f t="shared" si="42"/>
        <v/>
      </c>
      <c r="M2579" s="25"/>
      <c r="O2579" s="25"/>
    </row>
    <row r="2580" ht="15.75" customHeight="1">
      <c r="A2580" s="25" t="str">
        <f>IFERROR(__xludf.DUMMYFUNCTION("IF(B2580="""","""",RIGHT(REGEXREPLACE(B2580&amp;"""",""[^0-9]"",""""),9))"),"717004547")</f>
        <v>717004547</v>
      </c>
      <c r="B2580" s="52">
        <v>7.17004547E8</v>
      </c>
      <c r="C2580" s="28" t="s">
        <v>2757</v>
      </c>
      <c r="D2580" s="26" t="s">
        <v>49</v>
      </c>
      <c r="E2580" s="31">
        <v>46230.0</v>
      </c>
      <c r="F2580" s="26" t="s">
        <v>46</v>
      </c>
      <c r="I2580" s="26" t="s">
        <v>42</v>
      </c>
      <c r="J2580" s="25" t="str">
        <f t="shared" si="40"/>
        <v>No</v>
      </c>
      <c r="K2580" s="25" t="str">
        <f t="shared" si="41"/>
        <v/>
      </c>
      <c r="L2580" s="25" t="str">
        <f t="shared" si="42"/>
        <v/>
      </c>
      <c r="M2580" s="25"/>
      <c r="O2580" s="25"/>
    </row>
    <row r="2581" ht="15.75" customHeight="1">
      <c r="A2581" s="25" t="str">
        <f>IFERROR(__xludf.DUMMYFUNCTION("IF(B2581="""","""",RIGHT(REGEXREPLACE(B2581&amp;"""",""[^0-9]"",""""),9))"),"766590711")</f>
        <v>766590711</v>
      </c>
      <c r="B2581" s="52">
        <v>7.66590711E8</v>
      </c>
      <c r="C2581" s="28" t="s">
        <v>2758</v>
      </c>
      <c r="D2581" s="26" t="s">
        <v>64</v>
      </c>
      <c r="E2581" s="31">
        <v>46230.0</v>
      </c>
      <c r="F2581" s="26" t="s">
        <v>41</v>
      </c>
      <c r="H2581" s="26" t="s">
        <v>1526</v>
      </c>
      <c r="I2581" s="26" t="s">
        <v>42</v>
      </c>
      <c r="J2581" s="25" t="str">
        <f t="shared" si="40"/>
        <v>No</v>
      </c>
      <c r="K2581" s="25" t="str">
        <f t="shared" si="41"/>
        <v/>
      </c>
      <c r="L2581" s="25" t="str">
        <f t="shared" si="42"/>
        <v/>
      </c>
      <c r="M2581" s="25"/>
      <c r="O2581" s="25"/>
    </row>
    <row r="2582" ht="15.75" customHeight="1">
      <c r="A2582" s="25" t="str">
        <f>IFERROR(__xludf.DUMMYFUNCTION("IF(B2582="""","""",RIGHT(REGEXREPLACE(B2582&amp;"""",""[^0-9]"",""""),9))"),"712978192")</f>
        <v>712978192</v>
      </c>
      <c r="B2582" s="52">
        <v>7.12978192E8</v>
      </c>
      <c r="C2582" s="28" t="s">
        <v>2759</v>
      </c>
      <c r="D2582" s="26" t="s">
        <v>56</v>
      </c>
      <c r="E2582" s="31">
        <v>46230.0</v>
      </c>
      <c r="F2582" s="26" t="s">
        <v>41</v>
      </c>
      <c r="I2582" s="26" t="s">
        <v>42</v>
      </c>
      <c r="J2582" s="25" t="str">
        <f t="shared" si="40"/>
        <v>No</v>
      </c>
      <c r="K2582" s="25" t="str">
        <f t="shared" si="41"/>
        <v/>
      </c>
      <c r="L2582" s="25" t="str">
        <f t="shared" si="42"/>
        <v/>
      </c>
      <c r="M2582" s="25"/>
      <c r="O2582" s="25"/>
    </row>
    <row r="2583" ht="15.75" customHeight="1">
      <c r="A2583" s="25" t="str">
        <f>IFERROR(__xludf.DUMMYFUNCTION("IF(B2583="""","""",RIGHT(REGEXREPLACE(B2583&amp;"""",""[^0-9]"",""""),9))"),"785129155")</f>
        <v>785129155</v>
      </c>
      <c r="B2583" s="52">
        <v>7.85129155E8</v>
      </c>
      <c r="C2583" s="28" t="s">
        <v>2760</v>
      </c>
      <c r="D2583" s="26" t="s">
        <v>49</v>
      </c>
      <c r="E2583" s="31">
        <v>46230.0</v>
      </c>
      <c r="F2583" s="26" t="s">
        <v>46</v>
      </c>
      <c r="G2583" s="26">
        <v>11.0</v>
      </c>
      <c r="H2583" s="26" t="s">
        <v>677</v>
      </c>
      <c r="I2583" s="26" t="s">
        <v>42</v>
      </c>
      <c r="J2583" s="25" t="str">
        <f t="shared" si="40"/>
        <v>No</v>
      </c>
      <c r="K2583" s="25" t="str">
        <f t="shared" si="41"/>
        <v/>
      </c>
      <c r="L2583" s="25" t="str">
        <f t="shared" si="42"/>
        <v/>
      </c>
      <c r="M2583" s="25"/>
      <c r="O2583" s="25"/>
    </row>
    <row r="2584" ht="15.75" customHeight="1">
      <c r="A2584" s="25" t="str">
        <f>IFERROR(__xludf.DUMMYFUNCTION("IF(B2584="""","""",RIGHT(REGEXREPLACE(B2584&amp;"""",""[^0-9]"",""""),9))"),"779600500")</f>
        <v>779600500</v>
      </c>
      <c r="B2584" s="52">
        <v>7.796005E8</v>
      </c>
      <c r="C2584" s="28" t="s">
        <v>2761</v>
      </c>
      <c r="D2584" s="26" t="s">
        <v>64</v>
      </c>
      <c r="E2584" s="31">
        <v>46230.0</v>
      </c>
      <c r="F2584" s="26" t="s">
        <v>46</v>
      </c>
      <c r="H2584" s="26" t="s">
        <v>1526</v>
      </c>
      <c r="I2584" s="26" t="s">
        <v>42</v>
      </c>
      <c r="J2584" s="25" t="str">
        <f t="shared" si="40"/>
        <v>No</v>
      </c>
      <c r="K2584" s="25" t="str">
        <f t="shared" si="41"/>
        <v/>
      </c>
      <c r="L2584" s="25" t="str">
        <f t="shared" si="42"/>
        <v/>
      </c>
      <c r="M2584" s="25"/>
      <c r="O2584" s="25"/>
    </row>
    <row r="2585" ht="15.75" customHeight="1">
      <c r="A2585" s="25" t="str">
        <f>IFERROR(__xludf.DUMMYFUNCTION("IF(B2585="""","""",RIGHT(REGEXREPLACE(B2585&amp;"""",""[^0-9]"",""""),9))"),"777663600")</f>
        <v>777663600</v>
      </c>
      <c r="B2585" s="52">
        <v>7.776636E8</v>
      </c>
      <c r="C2585" s="28" t="s">
        <v>2762</v>
      </c>
      <c r="D2585" s="26" t="s">
        <v>56</v>
      </c>
      <c r="E2585" s="31">
        <v>46230.0</v>
      </c>
      <c r="F2585" s="26" t="s">
        <v>46</v>
      </c>
      <c r="G2585" s="26">
        <v>10.0</v>
      </c>
      <c r="H2585" s="26" t="s">
        <v>1648</v>
      </c>
      <c r="I2585" s="26" t="s">
        <v>42</v>
      </c>
      <c r="J2585" s="25" t="str">
        <f t="shared" si="40"/>
        <v>No</v>
      </c>
      <c r="K2585" s="25" t="str">
        <f t="shared" si="41"/>
        <v/>
      </c>
      <c r="L2585" s="25" t="str">
        <f t="shared" si="42"/>
        <v/>
      </c>
      <c r="M2585" s="25"/>
      <c r="O2585" s="25"/>
    </row>
    <row r="2586" ht="15.75" customHeight="1">
      <c r="A2586" s="25" t="str">
        <f>IFERROR(__xludf.DUMMYFUNCTION("IF(B2586="""","""",RIGHT(REGEXREPLACE(B2586&amp;"""",""[^0-9]"",""""),9))"),"719989510")</f>
        <v>719989510</v>
      </c>
      <c r="B2586" s="52">
        <v>7.1998951E8</v>
      </c>
      <c r="C2586" s="28" t="s">
        <v>2763</v>
      </c>
      <c r="D2586" s="26" t="s">
        <v>64</v>
      </c>
      <c r="E2586" s="31">
        <v>46230.0</v>
      </c>
      <c r="F2586" s="26" t="s">
        <v>46</v>
      </c>
      <c r="G2586" s="26">
        <v>11.0</v>
      </c>
      <c r="H2586" s="26" t="s">
        <v>1526</v>
      </c>
      <c r="I2586" s="26" t="s">
        <v>42</v>
      </c>
      <c r="J2586" s="25" t="str">
        <f t="shared" si="40"/>
        <v>No</v>
      </c>
      <c r="K2586" s="25" t="str">
        <f t="shared" si="41"/>
        <v/>
      </c>
      <c r="L2586" s="25" t="str">
        <f t="shared" si="42"/>
        <v/>
      </c>
      <c r="M2586" s="25"/>
      <c r="O2586" s="25"/>
    </row>
    <row r="2587" ht="15.75" customHeight="1">
      <c r="A2587" s="25" t="str">
        <f>IFERROR(__xludf.DUMMYFUNCTION("IF(B2587="""","""",RIGHT(REGEXREPLACE(B2587&amp;"""",""[^0-9]"",""""),9))"),"762221102")</f>
        <v>762221102</v>
      </c>
      <c r="B2587" s="52">
        <v>7.62221102E8</v>
      </c>
      <c r="C2587" s="28" t="s">
        <v>2764</v>
      </c>
      <c r="D2587" s="26" t="s">
        <v>82</v>
      </c>
      <c r="E2587" s="31">
        <v>46230.0</v>
      </c>
      <c r="F2587" s="26" t="s">
        <v>46</v>
      </c>
      <c r="G2587" s="109">
        <v>46214.0</v>
      </c>
      <c r="I2587" s="26" t="s">
        <v>42</v>
      </c>
      <c r="J2587" s="25" t="str">
        <f t="shared" si="40"/>
        <v>No</v>
      </c>
      <c r="K2587" s="25" t="str">
        <f t="shared" si="41"/>
        <v/>
      </c>
      <c r="L2587" s="25" t="str">
        <f t="shared" si="42"/>
        <v/>
      </c>
      <c r="M2587" s="25"/>
      <c r="O2587" s="25"/>
    </row>
    <row r="2588" ht="15.75" customHeight="1">
      <c r="A2588" s="25" t="str">
        <f>IFERROR(__xludf.DUMMYFUNCTION("IF(B2588="""","""",RIGHT(REGEXREPLACE(B2588&amp;"""",""[^0-9]"",""""),9))"),"718322173")</f>
        <v>718322173</v>
      </c>
      <c r="B2588" s="52">
        <v>7.18322173E8</v>
      </c>
      <c r="C2588" s="28" t="s">
        <v>2765</v>
      </c>
      <c r="D2588" s="26" t="s">
        <v>64</v>
      </c>
      <c r="E2588" s="31">
        <v>46230.0</v>
      </c>
      <c r="F2588" s="26" t="s">
        <v>46</v>
      </c>
      <c r="G2588" s="26">
        <v>11.0</v>
      </c>
      <c r="H2588" s="26" t="s">
        <v>1526</v>
      </c>
      <c r="I2588" s="26" t="s">
        <v>42</v>
      </c>
      <c r="J2588" s="25" t="str">
        <f t="shared" si="40"/>
        <v>No</v>
      </c>
      <c r="K2588" s="25" t="str">
        <f t="shared" si="41"/>
        <v/>
      </c>
      <c r="L2588" s="25" t="str">
        <f t="shared" si="42"/>
        <v/>
      </c>
      <c r="M2588" s="25"/>
      <c r="O2588" s="25"/>
    </row>
    <row r="2589" ht="15.75" customHeight="1">
      <c r="A2589" s="25" t="str">
        <f>IFERROR(__xludf.DUMMYFUNCTION("IF(B2589="""","""",RIGHT(REGEXREPLACE(B2589&amp;"""",""[^0-9]"",""""),9))"),"782903946")</f>
        <v>782903946</v>
      </c>
      <c r="B2589" s="52">
        <v>7.82903946E8</v>
      </c>
      <c r="C2589" s="28" t="s">
        <v>2766</v>
      </c>
      <c r="D2589" s="26" t="s">
        <v>69</v>
      </c>
      <c r="E2589" s="31">
        <v>46230.0</v>
      </c>
      <c r="F2589" s="26" t="s">
        <v>46</v>
      </c>
      <c r="G2589" s="26">
        <v>11.0</v>
      </c>
      <c r="H2589" s="26" t="s">
        <v>677</v>
      </c>
      <c r="I2589" s="26" t="s">
        <v>42</v>
      </c>
      <c r="J2589" s="25" t="str">
        <f t="shared" si="40"/>
        <v>No</v>
      </c>
      <c r="K2589" s="25" t="str">
        <f t="shared" si="41"/>
        <v/>
      </c>
      <c r="L2589" s="25" t="str">
        <f t="shared" si="42"/>
        <v/>
      </c>
      <c r="M2589" s="25"/>
      <c r="O2589" s="25"/>
    </row>
    <row r="2590" ht="15.75" customHeight="1">
      <c r="A2590" s="25" t="str">
        <f>IFERROR(__xludf.DUMMYFUNCTION("IF(B2590="""","""",RIGHT(REGEXREPLACE(B2590&amp;"""",""[^0-9]"",""""),9))"),"757834007")</f>
        <v>757834007</v>
      </c>
      <c r="B2590" s="52">
        <v>7.57834007E8</v>
      </c>
      <c r="C2590" s="28" t="s">
        <v>2767</v>
      </c>
      <c r="D2590" s="26" t="s">
        <v>49</v>
      </c>
      <c r="E2590" s="31">
        <v>46230.0</v>
      </c>
      <c r="F2590" s="26" t="s">
        <v>46</v>
      </c>
      <c r="G2590" s="26">
        <v>10.0</v>
      </c>
      <c r="H2590" s="26" t="s">
        <v>677</v>
      </c>
      <c r="I2590" s="26" t="s">
        <v>42</v>
      </c>
      <c r="J2590" s="25" t="str">
        <f t="shared" si="40"/>
        <v>No</v>
      </c>
      <c r="K2590" s="25" t="str">
        <f t="shared" si="41"/>
        <v/>
      </c>
      <c r="L2590" s="25" t="str">
        <f t="shared" si="42"/>
        <v/>
      </c>
      <c r="M2590" s="25"/>
      <c r="O2590" s="25"/>
    </row>
    <row r="2591" ht="15.75" customHeight="1">
      <c r="A2591" s="25" t="str">
        <f>IFERROR(__xludf.DUMMYFUNCTION("IF(B2591="""","""",RIGHT(REGEXREPLACE(B2591&amp;"""",""[^0-9]"",""""),9))"),"772276870")</f>
        <v>772276870</v>
      </c>
      <c r="B2591" s="52">
        <v>7.7227687E8</v>
      </c>
      <c r="C2591" s="28" t="s">
        <v>2768</v>
      </c>
      <c r="D2591" s="26" t="s">
        <v>56</v>
      </c>
      <c r="E2591" s="31">
        <v>46230.0</v>
      </c>
      <c r="F2591" s="26" t="s">
        <v>41</v>
      </c>
      <c r="H2591" s="26" t="s">
        <v>796</v>
      </c>
      <c r="I2591" s="26" t="s">
        <v>42</v>
      </c>
      <c r="J2591" s="25" t="str">
        <f t="shared" si="40"/>
        <v>No</v>
      </c>
      <c r="K2591" s="25" t="str">
        <f t="shared" si="41"/>
        <v/>
      </c>
      <c r="L2591" s="25" t="str">
        <f t="shared" si="42"/>
        <v/>
      </c>
      <c r="M2591" s="25"/>
      <c r="O2591" s="25"/>
    </row>
    <row r="2592" ht="15.75" customHeight="1">
      <c r="A2592" s="25" t="str">
        <f>IFERROR(__xludf.DUMMYFUNCTION("IF(B2592="""","""",RIGHT(REGEXREPLACE(B2592&amp;"""",""[^0-9]"",""""),9))"),"773611752")</f>
        <v>773611752</v>
      </c>
      <c r="B2592" s="52">
        <v>7.73611752E8</v>
      </c>
      <c r="C2592" s="28" t="s">
        <v>2769</v>
      </c>
      <c r="D2592" s="26" t="s">
        <v>45</v>
      </c>
      <c r="E2592" s="31">
        <v>46230.0</v>
      </c>
      <c r="F2592" s="26" t="s">
        <v>41</v>
      </c>
      <c r="G2592" s="26">
        <v>11.0</v>
      </c>
      <c r="I2592" s="26" t="s">
        <v>42</v>
      </c>
      <c r="J2592" s="25" t="str">
        <f t="shared" si="40"/>
        <v>No</v>
      </c>
      <c r="K2592" s="25" t="str">
        <f t="shared" si="41"/>
        <v/>
      </c>
      <c r="L2592" s="25" t="str">
        <f t="shared" si="42"/>
        <v/>
      </c>
      <c r="M2592" s="25"/>
      <c r="O2592" s="25"/>
    </row>
    <row r="2593" ht="15.75" customHeight="1">
      <c r="A2593" s="25" t="str">
        <f>IFERROR(__xludf.DUMMYFUNCTION("IF(B2593="""","""",RIGHT(REGEXREPLACE(B2593&amp;"""",""[^0-9]"",""""),9))"),"722387523")</f>
        <v>722387523</v>
      </c>
      <c r="B2593" s="52">
        <v>7.22387523E8</v>
      </c>
      <c r="C2593" s="28" t="s">
        <v>2770</v>
      </c>
      <c r="D2593" s="26" t="s">
        <v>82</v>
      </c>
      <c r="E2593" s="31">
        <v>46230.0</v>
      </c>
      <c r="F2593" s="25"/>
      <c r="G2593" s="25"/>
      <c r="H2593" s="25"/>
      <c r="I2593" s="26" t="s">
        <v>42</v>
      </c>
      <c r="J2593" s="25" t="str">
        <f t="shared" si="40"/>
        <v>No</v>
      </c>
      <c r="K2593" s="25" t="str">
        <f t="shared" si="41"/>
        <v/>
      </c>
      <c r="L2593" s="25" t="str">
        <f t="shared" si="42"/>
        <v/>
      </c>
      <c r="M2593" s="25"/>
      <c r="N2593" s="25"/>
      <c r="O2593" s="25"/>
      <c r="P2593" s="25"/>
    </row>
    <row r="2594" ht="15.75" customHeight="1">
      <c r="A2594" s="25" t="str">
        <f>IFERROR(__xludf.DUMMYFUNCTION("IF(B2594="""","""",RIGHT(REGEXREPLACE(B2594&amp;"""",""[^0-9]"",""""),9))"),"771612436")</f>
        <v>771612436</v>
      </c>
      <c r="B2594" s="52">
        <v>7.71612436E8</v>
      </c>
      <c r="C2594" s="28" t="s">
        <v>2771</v>
      </c>
      <c r="D2594" s="26" t="s">
        <v>56</v>
      </c>
      <c r="E2594" s="31">
        <v>46230.0</v>
      </c>
      <c r="F2594" s="26" t="s">
        <v>125</v>
      </c>
      <c r="H2594" s="26" t="s">
        <v>796</v>
      </c>
      <c r="I2594" s="26" t="s">
        <v>42</v>
      </c>
      <c r="J2594" s="25" t="str">
        <f t="shared" si="40"/>
        <v>No</v>
      </c>
      <c r="K2594" s="25" t="str">
        <f t="shared" si="41"/>
        <v/>
      </c>
      <c r="L2594" s="25" t="str">
        <f t="shared" si="42"/>
        <v/>
      </c>
      <c r="M2594" s="25"/>
      <c r="O2594" s="25"/>
    </row>
    <row r="2595" ht="15.75" customHeight="1">
      <c r="A2595" s="25" t="str">
        <f>IFERROR(__xludf.DUMMYFUNCTION("IF(B2595="""","""",RIGHT(REGEXREPLACE(B2595&amp;"""",""[^0-9]"",""""),9))"),"774537975")</f>
        <v>774537975</v>
      </c>
      <c r="B2595" s="52">
        <v>7.74537975E8</v>
      </c>
      <c r="C2595" s="28" t="s">
        <v>2771</v>
      </c>
      <c r="D2595" s="26" t="s">
        <v>64</v>
      </c>
      <c r="E2595" s="31">
        <v>46230.0</v>
      </c>
      <c r="F2595" s="26" t="s">
        <v>46</v>
      </c>
      <c r="G2595" s="26">
        <v>11.0</v>
      </c>
      <c r="H2595" s="26" t="s">
        <v>796</v>
      </c>
      <c r="I2595" s="26" t="s">
        <v>42</v>
      </c>
      <c r="J2595" s="25" t="str">
        <f t="shared" si="40"/>
        <v>No</v>
      </c>
      <c r="K2595" s="25" t="str">
        <f t="shared" si="41"/>
        <v/>
      </c>
      <c r="L2595" s="25" t="str">
        <f t="shared" si="42"/>
        <v/>
      </c>
      <c r="M2595" s="25"/>
      <c r="O2595" s="25"/>
    </row>
    <row r="2596" ht="15.75" customHeight="1">
      <c r="A2596" s="25" t="str">
        <f>IFERROR(__xludf.DUMMYFUNCTION("IF(B2596="""","""",RIGHT(REGEXREPLACE(B2596&amp;"""",""[^0-9]"",""""),9))"),"768545498")</f>
        <v>768545498</v>
      </c>
      <c r="B2596" s="52">
        <v>7.68545498E8</v>
      </c>
      <c r="C2596" s="28" t="s">
        <v>2772</v>
      </c>
      <c r="D2596" s="26" t="s">
        <v>56</v>
      </c>
      <c r="E2596" s="31">
        <v>46230.0</v>
      </c>
      <c r="F2596" s="26" t="s">
        <v>814</v>
      </c>
      <c r="G2596" s="26">
        <v>11.0</v>
      </c>
      <c r="I2596" s="26" t="s">
        <v>42</v>
      </c>
      <c r="J2596" s="25" t="str">
        <f t="shared" si="40"/>
        <v>No</v>
      </c>
      <c r="K2596" s="25" t="str">
        <f t="shared" si="41"/>
        <v/>
      </c>
      <c r="L2596" s="25" t="str">
        <f t="shared" si="42"/>
        <v/>
      </c>
      <c r="M2596" s="25"/>
      <c r="O2596" s="25"/>
    </row>
    <row r="2597" ht="15.75" customHeight="1">
      <c r="A2597" s="25" t="str">
        <f>IFERROR(__xludf.DUMMYFUNCTION("IF(B2597="""","""",RIGHT(REGEXREPLACE(B2597&amp;"""",""[^0-9]"",""""),9))"),"715127713")</f>
        <v>715127713</v>
      </c>
      <c r="B2597" s="52">
        <v>7.15127713E8</v>
      </c>
      <c r="C2597" s="28" t="s">
        <v>2773</v>
      </c>
      <c r="D2597" s="26" t="s">
        <v>82</v>
      </c>
      <c r="E2597" s="31">
        <v>46230.0</v>
      </c>
      <c r="F2597" s="26" t="s">
        <v>41</v>
      </c>
      <c r="G2597" s="26">
        <v>11.0</v>
      </c>
      <c r="I2597" s="26" t="s">
        <v>42</v>
      </c>
      <c r="J2597" s="25" t="str">
        <f t="shared" si="40"/>
        <v>No</v>
      </c>
      <c r="K2597" s="25" t="str">
        <f t="shared" si="41"/>
        <v/>
      </c>
      <c r="L2597" s="25" t="str">
        <f t="shared" si="42"/>
        <v/>
      </c>
      <c r="M2597" s="25"/>
      <c r="O2597" s="25"/>
    </row>
    <row r="2598" ht="15.75" customHeight="1">
      <c r="A2598" s="25" t="str">
        <f>IFERROR(__xludf.DUMMYFUNCTION("IF(B2598="""","""",RIGHT(REGEXREPLACE(B2598&amp;"""",""[^0-9]"",""""),9))"),"702453470")</f>
        <v>702453470</v>
      </c>
      <c r="B2598" s="52">
        <v>7.0245347E8</v>
      </c>
      <c r="C2598" s="28" t="s">
        <v>2774</v>
      </c>
      <c r="D2598" s="26" t="s">
        <v>64</v>
      </c>
      <c r="E2598" s="31">
        <v>46230.0</v>
      </c>
      <c r="F2598" s="26" t="s">
        <v>41</v>
      </c>
      <c r="H2598" s="26" t="s">
        <v>2775</v>
      </c>
      <c r="I2598" s="26" t="s">
        <v>42</v>
      </c>
      <c r="J2598" s="25" t="str">
        <f t="shared" si="40"/>
        <v>No</v>
      </c>
      <c r="K2598" s="25" t="str">
        <f t="shared" si="41"/>
        <v/>
      </c>
      <c r="L2598" s="25" t="str">
        <f t="shared" si="42"/>
        <v/>
      </c>
      <c r="M2598" s="25"/>
      <c r="O2598" s="25"/>
    </row>
    <row r="2599" ht="15.75" customHeight="1">
      <c r="A2599" s="25" t="str">
        <f>IFERROR(__xludf.DUMMYFUNCTION("IF(B2599="""","""",RIGHT(REGEXREPLACE(B2599&amp;"""",""[^0-9]"",""""),9))"),"767738834")</f>
        <v>767738834</v>
      </c>
      <c r="B2599" s="52">
        <v>7.67738834E8</v>
      </c>
      <c r="C2599" s="28" t="s">
        <v>2776</v>
      </c>
      <c r="D2599" s="26" t="s">
        <v>45</v>
      </c>
      <c r="E2599" s="31">
        <v>46230.0</v>
      </c>
      <c r="F2599" s="26" t="s">
        <v>46</v>
      </c>
      <c r="G2599" s="26">
        <v>11.0</v>
      </c>
      <c r="I2599" s="26" t="s">
        <v>42</v>
      </c>
      <c r="J2599" s="25" t="str">
        <f t="shared" si="40"/>
        <v>No</v>
      </c>
      <c r="K2599" s="25" t="str">
        <f t="shared" si="41"/>
        <v/>
      </c>
      <c r="L2599" s="25" t="str">
        <f t="shared" si="42"/>
        <v/>
      </c>
      <c r="M2599" s="25"/>
      <c r="O2599" s="25"/>
    </row>
    <row r="2600" ht="15.75" customHeight="1">
      <c r="A2600" s="25" t="str">
        <f>IFERROR(__xludf.DUMMYFUNCTION("IF(B2600="""","""",RIGHT(REGEXREPLACE(B2600&amp;"""",""[^0-9]"",""""),9))"),"764984526")</f>
        <v>764984526</v>
      </c>
      <c r="B2600" s="52">
        <v>7.64984526E8</v>
      </c>
      <c r="C2600" s="28" t="s">
        <v>2777</v>
      </c>
      <c r="D2600" s="26" t="s">
        <v>49</v>
      </c>
      <c r="E2600" s="31">
        <v>46230.0</v>
      </c>
      <c r="F2600" s="26" t="s">
        <v>46</v>
      </c>
      <c r="G2600" s="26">
        <v>10.0</v>
      </c>
      <c r="I2600" s="26" t="s">
        <v>42</v>
      </c>
      <c r="J2600" s="25" t="str">
        <f t="shared" si="40"/>
        <v>No</v>
      </c>
      <c r="K2600" s="25" t="str">
        <f t="shared" si="41"/>
        <v/>
      </c>
      <c r="L2600" s="25" t="str">
        <f t="shared" si="42"/>
        <v/>
      </c>
      <c r="M2600" s="25"/>
      <c r="O2600" s="25"/>
    </row>
    <row r="2601" ht="15.75" customHeight="1">
      <c r="A2601" s="25" t="str">
        <f>IFERROR(__xludf.DUMMYFUNCTION("IF(B2601="""","""",RIGHT(REGEXREPLACE(B2601&amp;"""",""[^0-9]"",""""),9))"),"767820799")</f>
        <v>767820799</v>
      </c>
      <c r="B2601" s="52">
        <v>7.67820799E8</v>
      </c>
      <c r="C2601" s="28" t="s">
        <v>2778</v>
      </c>
      <c r="D2601" s="26" t="s">
        <v>69</v>
      </c>
      <c r="E2601" s="31">
        <v>46230.0</v>
      </c>
      <c r="F2601" s="26" t="s">
        <v>46</v>
      </c>
      <c r="G2601" s="26">
        <v>11.0</v>
      </c>
      <c r="I2601" s="26" t="s">
        <v>42</v>
      </c>
      <c r="J2601" s="25" t="str">
        <f t="shared" si="40"/>
        <v>No</v>
      </c>
      <c r="K2601" s="25" t="str">
        <f t="shared" si="41"/>
        <v/>
      </c>
      <c r="L2601" s="25" t="str">
        <f t="shared" si="42"/>
        <v/>
      </c>
      <c r="M2601" s="25"/>
      <c r="O2601" s="25"/>
    </row>
    <row r="2602" ht="15.75" customHeight="1">
      <c r="A2602" s="25" t="str">
        <f>IFERROR(__xludf.DUMMYFUNCTION("IF(B2602="""","""",RIGHT(REGEXREPLACE(B2602&amp;"""",""[^0-9]"",""""),9))"),"719137393")</f>
        <v>719137393</v>
      </c>
      <c r="B2602" s="26">
        <v>7.19137393E8</v>
      </c>
      <c r="C2602" s="28" t="s">
        <v>2779</v>
      </c>
      <c r="D2602" s="26" t="s">
        <v>56</v>
      </c>
      <c r="E2602" s="31">
        <v>46230.0</v>
      </c>
      <c r="F2602" s="26" t="s">
        <v>659</v>
      </c>
      <c r="H2602" s="26" t="s">
        <v>796</v>
      </c>
      <c r="I2602" s="26" t="s">
        <v>42</v>
      </c>
      <c r="J2602" s="25" t="str">
        <f t="shared" si="40"/>
        <v>No</v>
      </c>
      <c r="K2602" s="25" t="str">
        <f t="shared" si="41"/>
        <v/>
      </c>
      <c r="L2602" s="25" t="str">
        <f t="shared" si="42"/>
        <v/>
      </c>
      <c r="M2602" s="25"/>
      <c r="O2602" s="25"/>
    </row>
    <row r="2603" ht="15.75" customHeight="1">
      <c r="A2603" s="25" t="str">
        <f>IFERROR(__xludf.DUMMYFUNCTION("IF(B2603="""","""",RIGHT(REGEXREPLACE(B2603&amp;"""",""[^0-9]"",""""),9))"),"761636985")</f>
        <v>761636985</v>
      </c>
      <c r="B2603" s="52">
        <v>7.61636985E8</v>
      </c>
      <c r="C2603" s="28" t="s">
        <v>2780</v>
      </c>
      <c r="D2603" s="26" t="s">
        <v>64</v>
      </c>
      <c r="E2603" s="31">
        <v>46230.0</v>
      </c>
      <c r="F2603" s="26" t="s">
        <v>46</v>
      </c>
      <c r="G2603" s="26">
        <v>11.0</v>
      </c>
      <c r="H2603" s="26" t="s">
        <v>796</v>
      </c>
      <c r="I2603" s="26" t="s">
        <v>42</v>
      </c>
      <c r="J2603" s="25" t="str">
        <f t="shared" si="40"/>
        <v>No</v>
      </c>
      <c r="K2603" s="25" t="str">
        <f t="shared" si="41"/>
        <v/>
      </c>
      <c r="L2603" s="25" t="str">
        <f t="shared" si="42"/>
        <v/>
      </c>
      <c r="M2603" s="25"/>
      <c r="O2603" s="25"/>
    </row>
    <row r="2604" ht="15.75" customHeight="1">
      <c r="A2604" s="25" t="str">
        <f>IFERROR(__xludf.DUMMYFUNCTION("IF(B2604="""","""",RIGHT(REGEXREPLACE(B2604&amp;"""",""[^0-9]"",""""),9))"),"774165467")</f>
        <v>774165467</v>
      </c>
      <c r="B2604" s="52">
        <v>7.74165467E8</v>
      </c>
      <c r="C2604" s="28" t="s">
        <v>2781</v>
      </c>
      <c r="D2604" s="26" t="s">
        <v>82</v>
      </c>
      <c r="E2604" s="31">
        <v>46230.0</v>
      </c>
      <c r="F2604" s="26" t="s">
        <v>46</v>
      </c>
      <c r="G2604" s="26">
        <v>9.0</v>
      </c>
      <c r="I2604" s="26" t="s">
        <v>42</v>
      </c>
      <c r="J2604" s="25" t="str">
        <f t="shared" si="40"/>
        <v>No</v>
      </c>
      <c r="K2604" s="25" t="str">
        <f t="shared" si="41"/>
        <v/>
      </c>
      <c r="L2604" s="25" t="str">
        <f t="shared" si="42"/>
        <v/>
      </c>
      <c r="M2604" s="25"/>
      <c r="O2604" s="25"/>
    </row>
    <row r="2605" ht="15.75" customHeight="1">
      <c r="A2605" s="25" t="str">
        <f>IFERROR(__xludf.DUMMYFUNCTION("IF(B2605="""","""",RIGHT(REGEXREPLACE(B2605&amp;"""",""[^0-9]"",""""),9))"),"703721107")</f>
        <v>703721107</v>
      </c>
      <c r="B2605" s="52">
        <v>7.03721107E8</v>
      </c>
      <c r="C2605" s="28" t="s">
        <v>2782</v>
      </c>
      <c r="D2605" s="26" t="s">
        <v>64</v>
      </c>
      <c r="E2605" s="31">
        <v>46230.0</v>
      </c>
      <c r="F2605" s="26" t="s">
        <v>41</v>
      </c>
      <c r="H2605" s="26" t="s">
        <v>796</v>
      </c>
      <c r="I2605" s="26" t="s">
        <v>42</v>
      </c>
      <c r="J2605" s="25" t="str">
        <f t="shared" si="40"/>
        <v>No</v>
      </c>
      <c r="K2605" s="25" t="str">
        <f t="shared" si="41"/>
        <v/>
      </c>
      <c r="L2605" s="25" t="str">
        <f t="shared" si="42"/>
        <v/>
      </c>
      <c r="M2605" s="25"/>
      <c r="O2605" s="25"/>
    </row>
    <row r="2606" ht="15.75" customHeight="1">
      <c r="A2606" s="25" t="str">
        <f>IFERROR(__xludf.DUMMYFUNCTION("IF(B2606="""","""",RIGHT(REGEXREPLACE(B2606&amp;"""",""[^0-9]"",""""),9))"),"788518816")</f>
        <v>788518816</v>
      </c>
      <c r="B2606" s="52">
        <v>7.88518816E8</v>
      </c>
      <c r="C2606" s="28" t="s">
        <v>2783</v>
      </c>
      <c r="D2606" s="26" t="s">
        <v>69</v>
      </c>
      <c r="E2606" s="31">
        <v>46230.0</v>
      </c>
      <c r="F2606" s="26" t="s">
        <v>205</v>
      </c>
      <c r="I2606" s="26" t="s">
        <v>42</v>
      </c>
      <c r="J2606" s="25" t="str">
        <f t="shared" si="40"/>
        <v>No</v>
      </c>
      <c r="K2606" s="25" t="str">
        <f t="shared" si="41"/>
        <v/>
      </c>
      <c r="L2606" s="25" t="str">
        <f t="shared" si="42"/>
        <v/>
      </c>
      <c r="M2606" s="25"/>
      <c r="O2606" s="25"/>
    </row>
    <row r="2607" ht="15.75" customHeight="1">
      <c r="A2607" s="25" t="str">
        <f>IFERROR(__xludf.DUMMYFUNCTION("IF(B2607="""","""",RIGHT(REGEXREPLACE(B2607&amp;"""",""[^0-9]"",""""),9))"),"775754077")</f>
        <v>775754077</v>
      </c>
      <c r="B2607" s="52">
        <v>7.75754077E8</v>
      </c>
      <c r="C2607" s="28" t="s">
        <v>2784</v>
      </c>
      <c r="D2607" s="26" t="s">
        <v>49</v>
      </c>
      <c r="E2607" s="31">
        <v>46230.0</v>
      </c>
      <c r="F2607" s="26" t="s">
        <v>46</v>
      </c>
      <c r="G2607" s="26">
        <v>11.0</v>
      </c>
      <c r="H2607" s="26" t="s">
        <v>1369</v>
      </c>
      <c r="I2607" s="26" t="s">
        <v>42</v>
      </c>
      <c r="J2607" s="25" t="str">
        <f t="shared" si="40"/>
        <v>No</v>
      </c>
      <c r="K2607" s="25" t="str">
        <f t="shared" si="41"/>
        <v/>
      </c>
      <c r="L2607" s="25" t="str">
        <f t="shared" si="42"/>
        <v/>
      </c>
      <c r="M2607" s="25"/>
      <c r="O2607" s="25"/>
    </row>
    <row r="2608" ht="15.75" customHeight="1">
      <c r="A2608" s="25" t="str">
        <f>IFERROR(__xludf.DUMMYFUNCTION("IF(B2608="""","""",RIGHT(REGEXREPLACE(B2608&amp;"""",""[^0-9]"",""""),9))"),"774082559")</f>
        <v>774082559</v>
      </c>
      <c r="B2608" s="52">
        <v>7.74082559E8</v>
      </c>
      <c r="C2608" s="28" t="s">
        <v>2785</v>
      </c>
      <c r="D2608" s="26" t="s">
        <v>82</v>
      </c>
      <c r="E2608" s="31">
        <v>46230.0</v>
      </c>
      <c r="F2608" s="26" t="s">
        <v>46</v>
      </c>
      <c r="G2608" s="109">
        <v>46182.0</v>
      </c>
      <c r="I2608" s="26" t="s">
        <v>42</v>
      </c>
      <c r="J2608" s="25" t="str">
        <f t="shared" si="40"/>
        <v>No</v>
      </c>
      <c r="K2608" s="25" t="str">
        <f t="shared" si="41"/>
        <v/>
      </c>
      <c r="L2608" s="25" t="str">
        <f t="shared" si="42"/>
        <v/>
      </c>
      <c r="M2608" s="25"/>
      <c r="O2608" s="25"/>
    </row>
    <row r="2609" ht="15.75" customHeight="1">
      <c r="A2609" s="25" t="str">
        <f>IFERROR(__xludf.DUMMYFUNCTION("IF(B2609="""","""",RIGHT(REGEXREPLACE(B2609&amp;"""",""[^0-9]"",""""),9))"),"778327242")</f>
        <v>778327242</v>
      </c>
      <c r="B2609" s="52">
        <v>7.78327242E8</v>
      </c>
      <c r="C2609" s="28" t="s">
        <v>2786</v>
      </c>
      <c r="D2609" s="26" t="s">
        <v>45</v>
      </c>
      <c r="E2609" s="31">
        <v>46230.0</v>
      </c>
      <c r="F2609" s="26" t="s">
        <v>659</v>
      </c>
      <c r="H2609" s="26" t="s">
        <v>2605</v>
      </c>
      <c r="I2609" s="26" t="s">
        <v>42</v>
      </c>
      <c r="J2609" s="25" t="str">
        <f t="shared" si="40"/>
        <v>No</v>
      </c>
      <c r="K2609" s="25" t="str">
        <f t="shared" si="41"/>
        <v/>
      </c>
      <c r="L2609" s="25" t="str">
        <f t="shared" si="42"/>
        <v/>
      </c>
      <c r="M2609" s="25"/>
      <c r="O2609" s="25"/>
    </row>
    <row r="2610" ht="15.75" customHeight="1">
      <c r="A2610" s="25" t="str">
        <f>IFERROR(__xludf.DUMMYFUNCTION("IF(B2610="""","""",RIGHT(REGEXREPLACE(B2610&amp;"""",""[^0-9]"",""""),9))"),"766246433")</f>
        <v>766246433</v>
      </c>
      <c r="B2610" s="52">
        <v>7.66246433E8</v>
      </c>
      <c r="C2610" s="28" t="s">
        <v>2787</v>
      </c>
      <c r="D2610" s="26" t="s">
        <v>82</v>
      </c>
      <c r="E2610" s="31">
        <v>46230.0</v>
      </c>
      <c r="F2610" s="25"/>
      <c r="G2610" s="109">
        <v>46276.0</v>
      </c>
      <c r="H2610" s="26" t="s">
        <v>2605</v>
      </c>
      <c r="I2610" s="26" t="s">
        <v>42</v>
      </c>
      <c r="J2610" s="25" t="str">
        <f t="shared" si="40"/>
        <v>No</v>
      </c>
      <c r="K2610" s="25" t="str">
        <f t="shared" si="41"/>
        <v/>
      </c>
      <c r="L2610" s="25" t="str">
        <f t="shared" si="42"/>
        <v/>
      </c>
      <c r="M2610" s="25"/>
      <c r="N2610" s="25"/>
      <c r="O2610" s="25"/>
      <c r="P2610" s="25"/>
    </row>
    <row r="2611" ht="15.75" customHeight="1">
      <c r="A2611" s="25" t="str">
        <f>IFERROR(__xludf.DUMMYFUNCTION("IF(B2611="""","""",RIGHT(REGEXREPLACE(B2611&amp;"""",""[^0-9]"",""""),9))"),"779386112")</f>
        <v>779386112</v>
      </c>
      <c r="B2611" s="52">
        <v>7.79386112E8</v>
      </c>
      <c r="C2611" s="28" t="s">
        <v>2788</v>
      </c>
      <c r="D2611" s="26" t="s">
        <v>64</v>
      </c>
      <c r="E2611" s="31">
        <v>46230.0</v>
      </c>
      <c r="F2611" s="26" t="s">
        <v>167</v>
      </c>
      <c r="G2611" s="26">
        <v>11.0</v>
      </c>
      <c r="H2611" s="26" t="s">
        <v>796</v>
      </c>
      <c r="I2611" s="26" t="s">
        <v>42</v>
      </c>
      <c r="J2611" s="25" t="str">
        <f t="shared" si="40"/>
        <v>No</v>
      </c>
      <c r="K2611" s="25" t="str">
        <f t="shared" si="41"/>
        <v/>
      </c>
      <c r="L2611" s="25" t="str">
        <f t="shared" si="42"/>
        <v/>
      </c>
      <c r="M2611" s="25"/>
      <c r="O2611" s="25"/>
    </row>
    <row r="2612" ht="15.75" customHeight="1">
      <c r="A2612" s="25" t="str">
        <f>IFERROR(__xludf.DUMMYFUNCTION("IF(B2612="""","""",RIGHT(REGEXREPLACE(B2612&amp;"""",""[^0-9]"",""""),9))"),"760705338")</f>
        <v>760705338</v>
      </c>
      <c r="B2612" s="52">
        <v>7.60705338E8</v>
      </c>
      <c r="C2612" s="28" t="s">
        <v>2789</v>
      </c>
      <c r="D2612" s="26" t="s">
        <v>56</v>
      </c>
      <c r="E2612" s="31">
        <v>46230.0</v>
      </c>
      <c r="F2612" s="26" t="s">
        <v>41</v>
      </c>
      <c r="H2612" s="26" t="s">
        <v>796</v>
      </c>
      <c r="I2612" s="26" t="s">
        <v>42</v>
      </c>
      <c r="J2612" s="25" t="str">
        <f t="shared" si="40"/>
        <v>No</v>
      </c>
      <c r="K2612" s="25" t="str">
        <f t="shared" si="41"/>
        <v/>
      </c>
      <c r="L2612" s="25" t="str">
        <f t="shared" si="42"/>
        <v/>
      </c>
      <c r="M2612" s="25"/>
      <c r="O2612" s="25"/>
    </row>
    <row r="2613" ht="15.75" customHeight="1">
      <c r="A2613" s="25" t="str">
        <f>IFERROR(__xludf.DUMMYFUNCTION("IF(B2613="""","""",RIGHT(REGEXREPLACE(B2613&amp;"""",""[^0-9]"",""""),9))"),"770207984")</f>
        <v>770207984</v>
      </c>
      <c r="B2613" s="52">
        <v>7.70207984E8</v>
      </c>
      <c r="C2613" s="28" t="s">
        <v>530</v>
      </c>
      <c r="D2613" s="26" t="s">
        <v>45</v>
      </c>
      <c r="E2613" s="31">
        <v>46230.0</v>
      </c>
      <c r="F2613" s="26" t="s">
        <v>41</v>
      </c>
      <c r="H2613" s="26" t="s">
        <v>2605</v>
      </c>
      <c r="I2613" s="26" t="s">
        <v>42</v>
      </c>
      <c r="J2613" s="25" t="str">
        <f t="shared" si="40"/>
        <v>Yes - see Previous F-Code</v>
      </c>
      <c r="K2613" s="25" t="str">
        <f t="shared" si="41"/>
        <v>DUPLICATE - CHECK</v>
      </c>
      <c r="L2613" s="25" t="str">
        <f t="shared" si="42"/>
        <v>F70349</v>
      </c>
      <c r="M2613" s="25"/>
      <c r="O2613" s="25"/>
    </row>
    <row r="2614" ht="15.75" customHeight="1">
      <c r="A2614" s="25" t="str">
        <f>IFERROR(__xludf.DUMMYFUNCTION("IF(B2614="""","""",RIGHT(REGEXREPLACE(B2614&amp;"""",""[^0-9]"",""""),9))"),"707777220")</f>
        <v>707777220</v>
      </c>
      <c r="B2614" s="52">
        <v>7.0777722E8</v>
      </c>
      <c r="C2614" s="28" t="s">
        <v>2790</v>
      </c>
      <c r="D2614" s="26" t="s">
        <v>45</v>
      </c>
      <c r="E2614" s="31">
        <v>46230.0</v>
      </c>
      <c r="F2614" s="26" t="s">
        <v>41</v>
      </c>
      <c r="H2614" s="26" t="s">
        <v>2605</v>
      </c>
      <c r="I2614" s="26" t="s">
        <v>42</v>
      </c>
      <c r="J2614" s="25" t="str">
        <f t="shared" si="40"/>
        <v>No</v>
      </c>
      <c r="K2614" s="25" t="str">
        <f t="shared" si="41"/>
        <v/>
      </c>
      <c r="L2614" s="25" t="str">
        <f t="shared" si="42"/>
        <v/>
      </c>
      <c r="M2614" s="25"/>
      <c r="O2614" s="25"/>
    </row>
    <row r="2615" ht="15.75" customHeight="1">
      <c r="A2615" s="25" t="str">
        <f>IFERROR(__xludf.DUMMYFUNCTION("IF(B2615="""","""",RIGHT(REGEXREPLACE(B2615&amp;"""",""[^0-9]"",""""),9))"),"773220476")</f>
        <v>773220476</v>
      </c>
      <c r="B2615" s="52">
        <v>7.73220476E8</v>
      </c>
      <c r="C2615" s="28" t="s">
        <v>2791</v>
      </c>
      <c r="D2615" s="26" t="s">
        <v>56</v>
      </c>
      <c r="E2615" s="31">
        <v>46230.0</v>
      </c>
      <c r="F2615" s="26" t="s">
        <v>41</v>
      </c>
      <c r="H2615" s="26" t="s">
        <v>796</v>
      </c>
      <c r="I2615" s="26" t="s">
        <v>42</v>
      </c>
      <c r="J2615" s="25" t="str">
        <f t="shared" si="40"/>
        <v>No</v>
      </c>
      <c r="K2615" s="25" t="str">
        <f t="shared" si="41"/>
        <v/>
      </c>
      <c r="L2615" s="25" t="str">
        <f t="shared" si="42"/>
        <v/>
      </c>
      <c r="M2615" s="25"/>
      <c r="O2615" s="25"/>
    </row>
    <row r="2616" ht="15.75" customHeight="1">
      <c r="A2616" s="25" t="str">
        <f>IFERROR(__xludf.DUMMYFUNCTION("IF(B2616="""","""",RIGHT(REGEXREPLACE(B2616&amp;"""",""[^0-9]"",""""),9))"),"703974190")</f>
        <v>703974190</v>
      </c>
      <c r="B2616" s="52">
        <v>7.0397419E8</v>
      </c>
      <c r="C2616" s="28" t="s">
        <v>2792</v>
      </c>
      <c r="D2616" s="26" t="s">
        <v>45</v>
      </c>
      <c r="E2616" s="31">
        <v>46230.0</v>
      </c>
      <c r="F2616" s="26" t="s">
        <v>46</v>
      </c>
      <c r="H2616" s="26" t="s">
        <v>2793</v>
      </c>
      <c r="I2616" s="26" t="s">
        <v>42</v>
      </c>
      <c r="J2616" s="25" t="str">
        <f t="shared" si="40"/>
        <v>No</v>
      </c>
      <c r="K2616" s="25" t="str">
        <f t="shared" si="41"/>
        <v/>
      </c>
      <c r="L2616" s="25" t="str">
        <f t="shared" si="42"/>
        <v/>
      </c>
      <c r="M2616" s="25"/>
      <c r="O2616" s="25"/>
    </row>
    <row r="2617" ht="15.75" customHeight="1">
      <c r="A2617" s="25" t="str">
        <f>IFERROR(__xludf.DUMMYFUNCTION("IF(B2617="""","""",RIGHT(REGEXREPLACE(B2617&amp;"""",""[^0-9]"",""""),9))"),"712051952")</f>
        <v>712051952</v>
      </c>
      <c r="B2617" s="52">
        <v>7.12051952E8</v>
      </c>
      <c r="C2617" s="28" t="s">
        <v>2794</v>
      </c>
      <c r="D2617" s="26" t="s">
        <v>69</v>
      </c>
      <c r="E2617" s="31">
        <v>46230.0</v>
      </c>
      <c r="F2617" s="26" t="s">
        <v>46</v>
      </c>
      <c r="G2617" s="26">
        <v>11.0</v>
      </c>
      <c r="I2617" s="26" t="s">
        <v>42</v>
      </c>
      <c r="J2617" s="25" t="str">
        <f t="shared" si="40"/>
        <v>No</v>
      </c>
      <c r="K2617" s="25" t="str">
        <f t="shared" si="41"/>
        <v/>
      </c>
      <c r="L2617" s="25" t="str">
        <f t="shared" si="42"/>
        <v/>
      </c>
      <c r="M2617" s="25"/>
      <c r="O2617" s="25"/>
    </row>
    <row r="2618" ht="15.75" customHeight="1">
      <c r="A2618" s="25" t="str">
        <f>IFERROR(__xludf.DUMMYFUNCTION("IF(B2618="""","""",RIGHT(REGEXREPLACE(B2618&amp;"""",""[^0-9]"",""""),9))"),"740103227")</f>
        <v>740103227</v>
      </c>
      <c r="B2618" s="52">
        <v>7.40103227E8</v>
      </c>
      <c r="C2618" s="28" t="s">
        <v>2795</v>
      </c>
      <c r="D2618" s="26" t="s">
        <v>49</v>
      </c>
      <c r="E2618" s="31">
        <v>46230.0</v>
      </c>
      <c r="F2618" s="26" t="s">
        <v>46</v>
      </c>
      <c r="G2618" s="26">
        <v>11.0</v>
      </c>
      <c r="I2618" s="26" t="s">
        <v>42</v>
      </c>
      <c r="J2618" s="25" t="str">
        <f t="shared" si="40"/>
        <v>No</v>
      </c>
      <c r="K2618" s="25" t="str">
        <f t="shared" si="41"/>
        <v/>
      </c>
      <c r="L2618" s="25" t="str">
        <f t="shared" si="42"/>
        <v/>
      </c>
      <c r="M2618" s="25"/>
      <c r="O2618" s="25"/>
    </row>
    <row r="2619" ht="15.75" customHeight="1">
      <c r="A2619" s="25" t="str">
        <f>IFERROR(__xludf.DUMMYFUNCTION("IF(B2619="""","""",RIGHT(REGEXREPLACE(B2619&amp;"""",""[^0-9]"",""""),9))"),"769401872")</f>
        <v>769401872</v>
      </c>
      <c r="B2619" s="52">
        <v>7.69401872E8</v>
      </c>
      <c r="C2619" s="28" t="s">
        <v>2796</v>
      </c>
      <c r="D2619" s="26" t="s">
        <v>45</v>
      </c>
      <c r="E2619" s="31">
        <v>46230.0</v>
      </c>
      <c r="F2619" s="26" t="s">
        <v>46</v>
      </c>
      <c r="G2619" s="26">
        <v>10.0</v>
      </c>
      <c r="I2619" s="26" t="s">
        <v>42</v>
      </c>
      <c r="J2619" s="25" t="str">
        <f t="shared" si="40"/>
        <v>No</v>
      </c>
      <c r="K2619" s="25" t="str">
        <f t="shared" si="41"/>
        <v/>
      </c>
      <c r="L2619" s="25" t="str">
        <f t="shared" si="42"/>
        <v/>
      </c>
      <c r="M2619" s="25"/>
      <c r="O2619" s="25"/>
    </row>
    <row r="2620" ht="15.75" customHeight="1">
      <c r="A2620" s="25" t="str">
        <f>IFERROR(__xludf.DUMMYFUNCTION("IF(B2620="""","""",RIGHT(REGEXREPLACE(B2620&amp;"""",""[^0-9]"",""""),9))"),"717704069")</f>
        <v>717704069</v>
      </c>
      <c r="B2620" s="52">
        <v>7.17704069E8</v>
      </c>
      <c r="C2620" s="28" t="s">
        <v>2780</v>
      </c>
      <c r="D2620" s="26" t="s">
        <v>64</v>
      </c>
      <c r="E2620" s="31">
        <v>46230.0</v>
      </c>
      <c r="F2620" s="26" t="s">
        <v>41</v>
      </c>
      <c r="H2620" s="26" t="s">
        <v>796</v>
      </c>
      <c r="I2620" s="26" t="s">
        <v>42</v>
      </c>
      <c r="J2620" s="25" t="str">
        <f t="shared" si="40"/>
        <v>No</v>
      </c>
      <c r="K2620" s="25" t="str">
        <f t="shared" si="41"/>
        <v/>
      </c>
      <c r="L2620" s="25" t="str">
        <f t="shared" si="42"/>
        <v/>
      </c>
      <c r="M2620" s="25"/>
      <c r="O2620" s="25"/>
    </row>
    <row r="2621" ht="15.75" customHeight="1">
      <c r="A2621" s="25" t="str">
        <f>IFERROR(__xludf.DUMMYFUNCTION("IF(B2621="""","""",RIGHT(REGEXREPLACE(B2621&amp;"""",""[^0-9]"",""""),9))"),"761398551")</f>
        <v>761398551</v>
      </c>
      <c r="B2621" s="52">
        <v>7.61398551E8</v>
      </c>
      <c r="C2621" s="28" t="s">
        <v>2797</v>
      </c>
      <c r="D2621" s="26" t="s">
        <v>56</v>
      </c>
      <c r="E2621" s="31">
        <v>46230.0</v>
      </c>
      <c r="F2621" s="26" t="s">
        <v>41</v>
      </c>
      <c r="H2621" s="26" t="s">
        <v>796</v>
      </c>
      <c r="I2621" s="26" t="s">
        <v>42</v>
      </c>
      <c r="J2621" s="25" t="str">
        <f t="shared" si="40"/>
        <v>No</v>
      </c>
      <c r="K2621" s="25" t="str">
        <f t="shared" si="41"/>
        <v/>
      </c>
      <c r="L2621" s="25" t="str">
        <f t="shared" si="42"/>
        <v/>
      </c>
      <c r="M2621" s="25"/>
      <c r="O2621" s="25"/>
    </row>
    <row r="2622" ht="15.75" customHeight="1">
      <c r="A2622" s="25" t="str">
        <f>IFERROR(__xludf.DUMMYFUNCTION("IF(B2622="""","""",RIGHT(REGEXREPLACE(B2622&amp;"""",""[^0-9]"",""""),9))"),"771332533")</f>
        <v>771332533</v>
      </c>
      <c r="B2622" s="52">
        <v>7.71332533E8</v>
      </c>
      <c r="C2622" s="28" t="s">
        <v>2798</v>
      </c>
      <c r="D2622" s="26" t="s">
        <v>45</v>
      </c>
      <c r="E2622" s="31">
        <v>46230.0</v>
      </c>
      <c r="F2622" s="26" t="s">
        <v>46</v>
      </c>
      <c r="G2622" s="26">
        <v>11.0</v>
      </c>
      <c r="H2622" s="26" t="s">
        <v>796</v>
      </c>
      <c r="I2622" s="26" t="s">
        <v>42</v>
      </c>
      <c r="J2622" s="25" t="str">
        <f t="shared" si="40"/>
        <v>No</v>
      </c>
      <c r="K2622" s="25" t="str">
        <f t="shared" si="41"/>
        <v/>
      </c>
      <c r="L2622" s="25" t="str">
        <f t="shared" si="42"/>
        <v/>
      </c>
      <c r="M2622" s="25"/>
      <c r="O2622" s="25"/>
    </row>
    <row r="2623" ht="15.75" customHeight="1">
      <c r="A2623" s="25" t="str">
        <f>IFERROR(__xludf.DUMMYFUNCTION("IF(B2623="""","""",RIGHT(REGEXREPLACE(B2623&amp;"""",""[^0-9]"",""""),9))"),"762632146")</f>
        <v>762632146</v>
      </c>
      <c r="B2623" s="52">
        <v>7.62632146E8</v>
      </c>
      <c r="C2623" s="28" t="s">
        <v>2799</v>
      </c>
      <c r="D2623" s="26" t="s">
        <v>64</v>
      </c>
      <c r="E2623" s="31">
        <v>46230.0</v>
      </c>
      <c r="F2623" s="26" t="s">
        <v>46</v>
      </c>
      <c r="G2623" s="26">
        <v>11.0</v>
      </c>
      <c r="H2623" s="26" t="s">
        <v>796</v>
      </c>
      <c r="I2623" s="26" t="s">
        <v>42</v>
      </c>
      <c r="J2623" s="25" t="str">
        <f t="shared" si="40"/>
        <v>No</v>
      </c>
      <c r="K2623" s="25" t="str">
        <f t="shared" si="41"/>
        <v/>
      </c>
      <c r="L2623" s="25" t="str">
        <f t="shared" si="42"/>
        <v/>
      </c>
      <c r="M2623" s="25"/>
      <c r="O2623" s="25"/>
    </row>
    <row r="2624" ht="15.75" customHeight="1">
      <c r="A2624" s="25" t="str">
        <f>IFERROR(__xludf.DUMMYFUNCTION("IF(B2624="""","""",RIGHT(REGEXREPLACE(B2624&amp;"""",""[^0-9]"",""""),9))"),"752918880")</f>
        <v>752918880</v>
      </c>
      <c r="B2624" s="52">
        <v>7.5291888E8</v>
      </c>
      <c r="C2624" s="28" t="s">
        <v>2800</v>
      </c>
      <c r="D2624" s="26" t="s">
        <v>45</v>
      </c>
      <c r="E2624" s="31">
        <v>46230.0</v>
      </c>
      <c r="F2624" s="26" t="s">
        <v>41</v>
      </c>
      <c r="H2624" s="26" t="s">
        <v>796</v>
      </c>
      <c r="I2624" s="26" t="s">
        <v>42</v>
      </c>
      <c r="J2624" s="25" t="str">
        <f t="shared" si="40"/>
        <v>No</v>
      </c>
      <c r="K2624" s="25" t="str">
        <f t="shared" si="41"/>
        <v/>
      </c>
      <c r="L2624" s="25" t="str">
        <f t="shared" si="42"/>
        <v/>
      </c>
      <c r="M2624" s="25"/>
      <c r="O2624" s="25"/>
    </row>
    <row r="2625" ht="15.75" customHeight="1">
      <c r="A2625" s="25" t="str">
        <f>IFERROR(__xludf.DUMMYFUNCTION("IF(B2625="""","""",RIGHT(REGEXREPLACE(B2625&amp;"""",""[^0-9]"",""""),9))"),"714250525")</f>
        <v>714250525</v>
      </c>
      <c r="B2625" s="52">
        <v>7.14250525E8</v>
      </c>
      <c r="C2625" s="28" t="s">
        <v>2801</v>
      </c>
      <c r="D2625" s="26" t="s">
        <v>56</v>
      </c>
      <c r="E2625" s="31">
        <v>46230.0</v>
      </c>
      <c r="F2625" s="26" t="s">
        <v>46</v>
      </c>
      <c r="G2625" s="26">
        <v>11.0</v>
      </c>
      <c r="H2625" s="26" t="s">
        <v>89</v>
      </c>
      <c r="I2625" s="26" t="s">
        <v>42</v>
      </c>
      <c r="J2625" s="25" t="str">
        <f t="shared" si="40"/>
        <v>No</v>
      </c>
      <c r="K2625" s="25" t="str">
        <f t="shared" si="41"/>
        <v/>
      </c>
      <c r="L2625" s="25" t="str">
        <f t="shared" si="42"/>
        <v/>
      </c>
      <c r="M2625" s="25"/>
      <c r="O2625" s="25"/>
    </row>
    <row r="2626" ht="15.75" customHeight="1">
      <c r="A2626" s="25" t="str">
        <f>IFERROR(__xludf.DUMMYFUNCTION("IF(B2626="""","""",RIGHT(REGEXREPLACE(B2626&amp;"""",""[^0-9]"",""""),9))"),"704880216")</f>
        <v>704880216</v>
      </c>
      <c r="B2626" s="52">
        <v>7.04880216E8</v>
      </c>
      <c r="C2626" s="28" t="s">
        <v>2802</v>
      </c>
      <c r="D2626" s="26" t="s">
        <v>49</v>
      </c>
      <c r="E2626" s="31">
        <v>46230.0</v>
      </c>
      <c r="F2626" s="26" t="s">
        <v>205</v>
      </c>
      <c r="I2626" s="26" t="s">
        <v>42</v>
      </c>
      <c r="J2626" s="25" t="str">
        <f t="shared" si="40"/>
        <v>No</v>
      </c>
      <c r="K2626" s="25" t="str">
        <f t="shared" si="41"/>
        <v/>
      </c>
      <c r="L2626" s="25" t="str">
        <f t="shared" si="42"/>
        <v/>
      </c>
      <c r="M2626" s="25"/>
      <c r="O2626" s="25"/>
    </row>
    <row r="2627" ht="15.75" customHeight="1">
      <c r="A2627" s="25" t="str">
        <f>IFERROR(__xludf.DUMMYFUNCTION("IF(B2627="""","""",RIGHT(REGEXREPLACE(B2627&amp;"""",""[^0-9]"",""""),9))"),"704597320")</f>
        <v>704597320</v>
      </c>
      <c r="B2627" s="52">
        <v>7.0459732E8</v>
      </c>
      <c r="C2627" s="28" t="s">
        <v>2803</v>
      </c>
      <c r="D2627" s="26" t="s">
        <v>45</v>
      </c>
      <c r="E2627" s="31">
        <v>46230.0</v>
      </c>
      <c r="F2627" s="26" t="s">
        <v>46</v>
      </c>
      <c r="G2627" s="26">
        <v>11.0</v>
      </c>
      <c r="I2627" s="26" t="s">
        <v>42</v>
      </c>
      <c r="J2627" s="25" t="str">
        <f t="shared" si="40"/>
        <v>No</v>
      </c>
      <c r="K2627" s="25" t="str">
        <f t="shared" si="41"/>
        <v/>
      </c>
      <c r="L2627" s="25" t="str">
        <f t="shared" si="42"/>
        <v/>
      </c>
      <c r="M2627" s="25"/>
      <c r="O2627" s="25"/>
    </row>
    <row r="2628" ht="15.75" customHeight="1">
      <c r="A2628" s="25" t="str">
        <f>IFERROR(__xludf.DUMMYFUNCTION("IF(B2628="""","""",RIGHT(REGEXREPLACE(B2628&amp;"""",""[^0-9]"",""""),9))"),"772843266")</f>
        <v>772843266</v>
      </c>
      <c r="B2628" s="52">
        <v>7.72843266E8</v>
      </c>
      <c r="C2628" s="28" t="s">
        <v>2804</v>
      </c>
      <c r="D2628" s="26" t="s">
        <v>82</v>
      </c>
      <c r="E2628" s="31">
        <v>46230.0</v>
      </c>
      <c r="F2628" s="26" t="s">
        <v>125</v>
      </c>
      <c r="G2628" s="26">
        <v>11.0</v>
      </c>
      <c r="I2628" s="26" t="s">
        <v>42</v>
      </c>
      <c r="J2628" s="25" t="str">
        <f t="shared" si="40"/>
        <v>No</v>
      </c>
      <c r="K2628" s="25" t="str">
        <f t="shared" si="41"/>
        <v/>
      </c>
      <c r="L2628" s="25" t="str">
        <f t="shared" si="42"/>
        <v/>
      </c>
      <c r="M2628" s="25"/>
      <c r="O2628" s="25"/>
    </row>
    <row r="2629" ht="15.75" customHeight="1">
      <c r="A2629" s="25" t="str">
        <f>IFERROR(__xludf.DUMMYFUNCTION("IF(B2629="""","""",RIGHT(REGEXREPLACE(B2629&amp;"""",""[^0-9]"",""""),9))"),"783633170")</f>
        <v>783633170</v>
      </c>
      <c r="B2629" s="52">
        <v>7.8363317E8</v>
      </c>
      <c r="C2629" s="28" t="s">
        <v>2805</v>
      </c>
      <c r="D2629" s="26" t="s">
        <v>49</v>
      </c>
      <c r="E2629" s="31">
        <v>46230.0</v>
      </c>
      <c r="F2629" s="26" t="s">
        <v>46</v>
      </c>
      <c r="G2629" s="26">
        <v>11.0</v>
      </c>
      <c r="I2629" s="26" t="s">
        <v>42</v>
      </c>
      <c r="J2629" s="25" t="str">
        <f t="shared" si="40"/>
        <v>No</v>
      </c>
      <c r="K2629" s="25" t="str">
        <f t="shared" si="41"/>
        <v/>
      </c>
      <c r="L2629" s="25" t="str">
        <f t="shared" si="42"/>
        <v/>
      </c>
      <c r="M2629" s="25"/>
      <c r="O2629" s="25"/>
    </row>
    <row r="2630" ht="15.75" customHeight="1">
      <c r="A2630" s="25" t="str">
        <f>IFERROR(__xludf.DUMMYFUNCTION("IF(B2630="""","""",RIGHT(REGEXREPLACE(B2630&amp;"""",""[^0-9]"",""""),9))"),"717993080")</f>
        <v>717993080</v>
      </c>
      <c r="B2630" s="52">
        <v>7.1799308E8</v>
      </c>
      <c r="C2630" s="28" t="s">
        <v>2806</v>
      </c>
      <c r="D2630" s="26" t="s">
        <v>45</v>
      </c>
      <c r="E2630" s="31">
        <v>46230.0</v>
      </c>
      <c r="F2630" s="26" t="s">
        <v>46</v>
      </c>
      <c r="G2630" s="26">
        <v>8.0</v>
      </c>
      <c r="H2630" s="26" t="s">
        <v>2605</v>
      </c>
      <c r="I2630" s="26" t="s">
        <v>42</v>
      </c>
      <c r="J2630" s="25" t="str">
        <f t="shared" si="40"/>
        <v>No</v>
      </c>
      <c r="K2630" s="25" t="str">
        <f t="shared" si="41"/>
        <v/>
      </c>
      <c r="L2630" s="25" t="str">
        <f t="shared" si="42"/>
        <v/>
      </c>
      <c r="M2630" s="25"/>
      <c r="O2630" s="25"/>
    </row>
    <row r="2631" ht="15.75" customHeight="1">
      <c r="A2631" s="25" t="str">
        <f>IFERROR(__xludf.DUMMYFUNCTION("IF(B2631="""","""",RIGHT(REGEXREPLACE(B2631&amp;"""",""[^0-9]"",""""),9))"),"762345341")</f>
        <v>762345341</v>
      </c>
      <c r="B2631" s="52">
        <v>7.62345341E8</v>
      </c>
      <c r="C2631" s="28" t="s">
        <v>2807</v>
      </c>
      <c r="D2631" s="26" t="s">
        <v>56</v>
      </c>
      <c r="E2631" s="31">
        <v>46230.0</v>
      </c>
      <c r="F2631" s="26" t="s">
        <v>631</v>
      </c>
      <c r="G2631" s="26">
        <v>11.0</v>
      </c>
      <c r="H2631" s="26" t="s">
        <v>89</v>
      </c>
      <c r="I2631" s="26" t="s">
        <v>42</v>
      </c>
      <c r="J2631" s="25" t="str">
        <f t="shared" si="40"/>
        <v>No</v>
      </c>
      <c r="K2631" s="25" t="str">
        <f t="shared" si="41"/>
        <v/>
      </c>
      <c r="L2631" s="25" t="str">
        <f t="shared" si="42"/>
        <v/>
      </c>
      <c r="M2631" s="25"/>
      <c r="O2631" s="25"/>
    </row>
    <row r="2632" ht="15.75" customHeight="1">
      <c r="A2632" s="25" t="str">
        <f>IFERROR(__xludf.DUMMYFUNCTION("IF(B2632="""","""",RIGHT(REGEXREPLACE(B2632&amp;"""",""[^0-9]"",""""),9))"),"705634271")</f>
        <v>705634271</v>
      </c>
      <c r="B2632" s="52">
        <v>7.05634271E8</v>
      </c>
      <c r="C2632" s="28" t="s">
        <v>2808</v>
      </c>
      <c r="D2632" s="26" t="s">
        <v>69</v>
      </c>
      <c r="E2632" s="31">
        <v>46230.0</v>
      </c>
      <c r="F2632" s="25"/>
      <c r="G2632" s="26">
        <v>11.0</v>
      </c>
      <c r="H2632" s="25"/>
      <c r="I2632" s="26" t="s">
        <v>42</v>
      </c>
      <c r="J2632" s="25" t="str">
        <f t="shared" si="40"/>
        <v>No</v>
      </c>
      <c r="K2632" s="25" t="str">
        <f t="shared" si="41"/>
        <v/>
      </c>
      <c r="L2632" s="25" t="str">
        <f t="shared" si="42"/>
        <v/>
      </c>
      <c r="M2632" s="25"/>
      <c r="N2632" s="25"/>
      <c r="O2632" s="25"/>
      <c r="P2632" s="25"/>
    </row>
    <row r="2633" ht="15.75" customHeight="1">
      <c r="A2633" s="25" t="str">
        <f>IFERROR(__xludf.DUMMYFUNCTION("IF(B2633="""","""",RIGHT(REGEXREPLACE(B2633&amp;"""",""[^0-9]"",""""),9))"),"771742850")</f>
        <v>771742850</v>
      </c>
      <c r="B2633" s="52">
        <v>7.7174285E8</v>
      </c>
      <c r="C2633" s="28" t="s">
        <v>2809</v>
      </c>
      <c r="D2633" s="26" t="s">
        <v>64</v>
      </c>
      <c r="E2633" s="31">
        <v>46230.0</v>
      </c>
      <c r="F2633" s="26" t="s">
        <v>704</v>
      </c>
      <c r="H2633" s="26" t="s">
        <v>796</v>
      </c>
      <c r="I2633" s="26" t="s">
        <v>42</v>
      </c>
      <c r="J2633" s="25" t="str">
        <f t="shared" si="40"/>
        <v>No</v>
      </c>
      <c r="K2633" s="25" t="str">
        <f t="shared" si="41"/>
        <v/>
      </c>
      <c r="L2633" s="25" t="str">
        <f t="shared" si="42"/>
        <v/>
      </c>
      <c r="M2633" s="25"/>
      <c r="O2633" s="25"/>
    </row>
    <row r="2634" ht="15.75" customHeight="1">
      <c r="A2634" s="25" t="str">
        <f>IFERROR(__xludf.DUMMYFUNCTION("IF(B2634="""","""",RIGHT(REGEXREPLACE(B2634&amp;"""",""[^0-9]"",""""),9))"),"717341184")</f>
        <v>717341184</v>
      </c>
      <c r="B2634" s="52">
        <v>7.17341184E8</v>
      </c>
      <c r="C2634" s="28" t="s">
        <v>2809</v>
      </c>
      <c r="D2634" s="26" t="s">
        <v>82</v>
      </c>
      <c r="E2634" s="31">
        <v>46230.0</v>
      </c>
      <c r="F2634" s="26" t="s">
        <v>41</v>
      </c>
      <c r="I2634" s="26" t="s">
        <v>42</v>
      </c>
      <c r="J2634" s="25" t="str">
        <f t="shared" si="40"/>
        <v>No</v>
      </c>
      <c r="K2634" s="25" t="str">
        <f t="shared" si="41"/>
        <v/>
      </c>
      <c r="L2634" s="25" t="str">
        <f t="shared" si="42"/>
        <v/>
      </c>
      <c r="M2634" s="25"/>
      <c r="O2634" s="25"/>
    </row>
    <row r="2635" ht="15.75" customHeight="1">
      <c r="A2635" s="25" t="str">
        <f>IFERROR(__xludf.DUMMYFUNCTION("IF(B2635="""","""",RIGHT(REGEXREPLACE(B2635&amp;"""",""[^0-9]"",""""),9))"),"718743999")</f>
        <v>718743999</v>
      </c>
      <c r="B2635" s="52">
        <v>7.18743999E8</v>
      </c>
      <c r="C2635" s="28" t="s">
        <v>2810</v>
      </c>
      <c r="D2635" s="26" t="s">
        <v>49</v>
      </c>
      <c r="E2635" s="31">
        <v>46230.0</v>
      </c>
      <c r="F2635" s="26" t="s">
        <v>46</v>
      </c>
      <c r="G2635" s="26">
        <v>11.0</v>
      </c>
      <c r="H2635" s="26" t="s">
        <v>677</v>
      </c>
      <c r="I2635" s="26" t="s">
        <v>42</v>
      </c>
      <c r="J2635" s="25" t="str">
        <f t="shared" si="40"/>
        <v>No</v>
      </c>
      <c r="K2635" s="25" t="str">
        <f t="shared" si="41"/>
        <v/>
      </c>
      <c r="L2635" s="25" t="str">
        <f t="shared" si="42"/>
        <v/>
      </c>
      <c r="M2635" s="25"/>
      <c r="O2635" s="25"/>
    </row>
    <row r="2636" ht="15.75" customHeight="1">
      <c r="A2636" s="25" t="str">
        <f>IFERROR(__xludf.DUMMYFUNCTION("IF(B2636="""","""",RIGHT(REGEXREPLACE(B2636&amp;"""",""[^0-9]"",""""),9))"),"777848529")</f>
        <v>777848529</v>
      </c>
      <c r="B2636" s="52">
        <v>7.77848529E8</v>
      </c>
      <c r="C2636" s="28" t="s">
        <v>2799</v>
      </c>
      <c r="D2636" s="26" t="s">
        <v>64</v>
      </c>
      <c r="E2636" s="31">
        <v>46230.0</v>
      </c>
      <c r="F2636" s="26" t="s">
        <v>46</v>
      </c>
      <c r="G2636" s="26">
        <v>9.0</v>
      </c>
      <c r="H2636" s="26" t="s">
        <v>1526</v>
      </c>
      <c r="I2636" s="26" t="s">
        <v>42</v>
      </c>
      <c r="J2636" s="25" t="str">
        <f t="shared" si="40"/>
        <v>No</v>
      </c>
      <c r="K2636" s="25" t="str">
        <f t="shared" si="41"/>
        <v/>
      </c>
      <c r="L2636" s="25" t="str">
        <f t="shared" si="42"/>
        <v/>
      </c>
      <c r="M2636" s="25"/>
      <c r="O2636" s="26" t="s">
        <v>51</v>
      </c>
    </row>
    <row r="2637" ht="15.75" customHeight="1">
      <c r="A2637" s="25" t="str">
        <f>IFERROR(__xludf.DUMMYFUNCTION("IF(B2637="""","""",RIGHT(REGEXREPLACE(B2637&amp;"""",""[^0-9]"",""""),9))"),"777979083")</f>
        <v>777979083</v>
      </c>
      <c r="B2637" s="52">
        <v>7.77979083E8</v>
      </c>
      <c r="C2637" s="28" t="s">
        <v>2788</v>
      </c>
      <c r="D2637" s="26" t="s">
        <v>56</v>
      </c>
      <c r="E2637" s="31">
        <v>46230.0</v>
      </c>
      <c r="F2637" s="26" t="s">
        <v>46</v>
      </c>
      <c r="G2637" s="26">
        <v>11.0</v>
      </c>
      <c r="H2637" s="26" t="s">
        <v>774</v>
      </c>
      <c r="I2637" s="26" t="s">
        <v>42</v>
      </c>
      <c r="J2637" s="25" t="str">
        <f t="shared" si="40"/>
        <v>No</v>
      </c>
      <c r="K2637" s="25" t="str">
        <f t="shared" si="41"/>
        <v/>
      </c>
      <c r="L2637" s="25" t="str">
        <f t="shared" si="42"/>
        <v/>
      </c>
      <c r="M2637" s="25"/>
      <c r="O2637" s="25"/>
    </row>
    <row r="2638" ht="15.75" customHeight="1">
      <c r="A2638" s="25" t="str">
        <f>IFERROR(__xludf.DUMMYFUNCTION("IF(B2638="""","""",RIGHT(REGEXREPLACE(B2638&amp;"""",""[^0-9]"",""""),9))"),"711671811")</f>
        <v>711671811</v>
      </c>
      <c r="B2638" s="52">
        <v>7.11671811E8</v>
      </c>
      <c r="C2638" s="28" t="s">
        <v>2811</v>
      </c>
      <c r="D2638" s="26" t="s">
        <v>49</v>
      </c>
      <c r="E2638" s="31">
        <v>46230.0</v>
      </c>
      <c r="F2638" s="26" t="s">
        <v>41</v>
      </c>
      <c r="G2638" s="26">
        <v>11.0</v>
      </c>
      <c r="I2638" s="26" t="s">
        <v>42</v>
      </c>
      <c r="J2638" s="25" t="str">
        <f t="shared" si="40"/>
        <v>No</v>
      </c>
      <c r="K2638" s="25" t="str">
        <f t="shared" si="41"/>
        <v/>
      </c>
      <c r="L2638" s="25" t="str">
        <f t="shared" si="42"/>
        <v/>
      </c>
      <c r="M2638" s="25"/>
      <c r="O2638" s="25"/>
    </row>
    <row r="2639" ht="15.75" customHeight="1">
      <c r="A2639" s="25" t="str">
        <f>IFERROR(__xludf.DUMMYFUNCTION("IF(B2639="""","""",RIGHT(REGEXREPLACE(B2639&amp;"""",""[^0-9]"",""""),9))"),"704266589")</f>
        <v>704266589</v>
      </c>
      <c r="B2639" s="52">
        <v>7.04266589E8</v>
      </c>
      <c r="C2639" s="28" t="s">
        <v>2812</v>
      </c>
      <c r="D2639" s="26" t="s">
        <v>45</v>
      </c>
      <c r="E2639" s="31">
        <v>46230.0</v>
      </c>
      <c r="F2639" s="26" t="s">
        <v>41</v>
      </c>
      <c r="H2639" s="26" t="s">
        <v>2605</v>
      </c>
      <c r="I2639" s="26" t="s">
        <v>42</v>
      </c>
      <c r="J2639" s="25" t="str">
        <f t="shared" si="40"/>
        <v>No</v>
      </c>
      <c r="K2639" s="25" t="str">
        <f t="shared" si="41"/>
        <v/>
      </c>
      <c r="L2639" s="25" t="str">
        <f t="shared" si="42"/>
        <v/>
      </c>
      <c r="M2639" s="25"/>
      <c r="O2639" s="25"/>
    </row>
    <row r="2640" ht="15.75" customHeight="1">
      <c r="A2640" s="25" t="str">
        <f>IFERROR(__xludf.DUMMYFUNCTION("IF(B2640="""","""",RIGHT(REGEXREPLACE(B2640&amp;"""",""[^0-9]"",""""),9))"),"706060128")</f>
        <v>706060128</v>
      </c>
      <c r="B2640" s="52">
        <v>7.06060128E8</v>
      </c>
      <c r="C2640" s="28" t="s">
        <v>2813</v>
      </c>
      <c r="D2640" s="26" t="s">
        <v>49</v>
      </c>
      <c r="E2640" s="31">
        <v>46230.0</v>
      </c>
      <c r="F2640" s="26" t="s">
        <v>46</v>
      </c>
      <c r="G2640" s="26">
        <v>11.0</v>
      </c>
      <c r="H2640" s="26" t="s">
        <v>677</v>
      </c>
      <c r="I2640" s="26" t="s">
        <v>42</v>
      </c>
      <c r="J2640" s="25" t="str">
        <f t="shared" si="40"/>
        <v>No</v>
      </c>
      <c r="K2640" s="25" t="str">
        <f t="shared" si="41"/>
        <v/>
      </c>
      <c r="L2640" s="25" t="str">
        <f t="shared" si="42"/>
        <v/>
      </c>
      <c r="M2640" s="25"/>
      <c r="O2640" s="25"/>
    </row>
    <row r="2641" ht="15.75" customHeight="1">
      <c r="A2641" s="25" t="str">
        <f>IFERROR(__xludf.DUMMYFUNCTION("IF(B2641="""","""",RIGHT(REGEXREPLACE(B2641&amp;"""",""[^0-9]"",""""),9))"),"768471495")</f>
        <v>768471495</v>
      </c>
      <c r="B2641" s="52">
        <v>7.68471495E8</v>
      </c>
      <c r="C2641" s="28" t="s">
        <v>2814</v>
      </c>
      <c r="D2641" s="26" t="s">
        <v>69</v>
      </c>
      <c r="E2641" s="31">
        <v>46230.0</v>
      </c>
      <c r="F2641" s="26" t="s">
        <v>41</v>
      </c>
      <c r="G2641" s="26">
        <v>11.0</v>
      </c>
      <c r="I2641" s="26" t="s">
        <v>42</v>
      </c>
      <c r="J2641" s="25" t="str">
        <f t="shared" si="40"/>
        <v>No</v>
      </c>
      <c r="K2641" s="25" t="str">
        <f t="shared" si="41"/>
        <v/>
      </c>
      <c r="L2641" s="25" t="str">
        <f t="shared" si="42"/>
        <v/>
      </c>
      <c r="M2641" s="25"/>
      <c r="O2641" s="25"/>
    </row>
    <row r="2642" ht="15.75" customHeight="1">
      <c r="A2642" s="25" t="str">
        <f>IFERROR(__xludf.DUMMYFUNCTION("IF(B2642="""","""",RIGHT(REGEXREPLACE(B2642&amp;"""",""[^0-9]"",""""),9))"),"777436491")</f>
        <v>777436491</v>
      </c>
      <c r="B2642" s="52">
        <v>7.77436491E8</v>
      </c>
      <c r="C2642" s="28" t="s">
        <v>2815</v>
      </c>
      <c r="D2642" s="26" t="s">
        <v>45</v>
      </c>
      <c r="E2642" s="31">
        <v>46230.0</v>
      </c>
      <c r="F2642" s="26" t="s">
        <v>46</v>
      </c>
      <c r="G2642" s="26">
        <v>11.0</v>
      </c>
      <c r="H2642" s="26" t="s">
        <v>2605</v>
      </c>
      <c r="I2642" s="26" t="s">
        <v>42</v>
      </c>
      <c r="J2642" s="25" t="str">
        <f t="shared" si="40"/>
        <v>No</v>
      </c>
      <c r="K2642" s="25" t="str">
        <f t="shared" si="41"/>
        <v/>
      </c>
      <c r="L2642" s="25" t="str">
        <f t="shared" si="42"/>
        <v/>
      </c>
      <c r="M2642" s="25"/>
      <c r="O2642" s="25"/>
    </row>
    <row r="2643" ht="15.75" customHeight="1">
      <c r="A2643" s="26" t="str">
        <f>IFERROR(__xludf.DUMMYFUNCTION("IF(B2643="""","""",RIGHT(REGEXREPLACE(B2643&amp;"""",""[^0-9]"",""""),9))"),"775884406")</f>
        <v>775884406</v>
      </c>
      <c r="B2643" s="52">
        <v>7.75884406E8</v>
      </c>
      <c r="C2643" s="28" t="s">
        <v>2816</v>
      </c>
      <c r="D2643" s="26" t="s">
        <v>56</v>
      </c>
      <c r="E2643" s="31">
        <v>46230.0</v>
      </c>
      <c r="F2643" s="26" t="s">
        <v>46</v>
      </c>
      <c r="G2643" s="26">
        <v>10.0</v>
      </c>
      <c r="I2643" s="26" t="s">
        <v>42</v>
      </c>
      <c r="J2643" s="25" t="str">
        <f t="shared" si="40"/>
        <v>No</v>
      </c>
      <c r="K2643" s="25" t="str">
        <f t="shared" si="41"/>
        <v/>
      </c>
      <c r="L2643" s="25" t="str">
        <f t="shared" si="42"/>
        <v/>
      </c>
      <c r="M2643" s="25"/>
      <c r="O2643" s="25"/>
    </row>
    <row r="2644" ht="15.75" customHeight="1">
      <c r="A2644" s="25" t="str">
        <f>IFERROR(__xludf.DUMMYFUNCTION("IF(B2644="""","""",RIGHT(REGEXREPLACE(B2644&amp;"""",""[^0-9]"",""""),9))"),"772903645")</f>
        <v>772903645</v>
      </c>
      <c r="B2644" s="52">
        <v>7.72903645E8</v>
      </c>
      <c r="C2644" s="28" t="s">
        <v>2817</v>
      </c>
      <c r="D2644" s="26" t="s">
        <v>49</v>
      </c>
      <c r="E2644" s="31">
        <v>46230.0</v>
      </c>
      <c r="F2644" s="26" t="s">
        <v>41</v>
      </c>
      <c r="I2644" s="26" t="s">
        <v>42</v>
      </c>
      <c r="J2644" s="25" t="str">
        <f t="shared" si="40"/>
        <v>No</v>
      </c>
      <c r="K2644" s="25" t="str">
        <f t="shared" si="41"/>
        <v/>
      </c>
      <c r="L2644" s="25" t="str">
        <f t="shared" si="42"/>
        <v/>
      </c>
      <c r="M2644" s="25"/>
      <c r="O2644" s="25"/>
    </row>
    <row r="2645" ht="15.75" customHeight="1">
      <c r="A2645" s="25" t="str">
        <f>IFERROR(__xludf.DUMMYFUNCTION("IF(B2645="""","""",RIGHT(REGEXREPLACE(B2645&amp;"""",""[^0-9]"",""""),9))"),"767264787")</f>
        <v>767264787</v>
      </c>
      <c r="B2645" s="52">
        <v>7.67264787E8</v>
      </c>
      <c r="C2645" s="28" t="s">
        <v>2818</v>
      </c>
      <c r="D2645" s="26" t="s">
        <v>82</v>
      </c>
      <c r="E2645" s="31">
        <v>46230.0</v>
      </c>
      <c r="F2645" s="26" t="s">
        <v>41</v>
      </c>
      <c r="I2645" s="26" t="s">
        <v>42</v>
      </c>
      <c r="J2645" s="25" t="str">
        <f t="shared" si="40"/>
        <v>No</v>
      </c>
      <c r="K2645" s="25" t="str">
        <f t="shared" si="41"/>
        <v/>
      </c>
      <c r="L2645" s="25" t="str">
        <f t="shared" si="42"/>
        <v/>
      </c>
      <c r="M2645" s="25"/>
      <c r="O2645" s="25"/>
    </row>
    <row r="2646" ht="15.75" customHeight="1">
      <c r="A2646" s="25" t="str">
        <f>IFERROR(__xludf.DUMMYFUNCTION("IF(B2646="""","""",RIGHT(REGEXREPLACE(B2646&amp;"""",""[^0-9]"",""""),9))"),"740685688")</f>
        <v>740685688</v>
      </c>
      <c r="B2646" s="52">
        <v>7.40685688E8</v>
      </c>
      <c r="C2646" s="28" t="s">
        <v>2819</v>
      </c>
      <c r="D2646" s="26" t="s">
        <v>64</v>
      </c>
      <c r="E2646" s="31">
        <v>46230.0</v>
      </c>
      <c r="F2646" s="26" t="s">
        <v>704</v>
      </c>
      <c r="H2646" s="26" t="s">
        <v>1526</v>
      </c>
      <c r="I2646" s="26" t="s">
        <v>42</v>
      </c>
      <c r="J2646" s="25" t="str">
        <f t="shared" si="40"/>
        <v>No</v>
      </c>
      <c r="K2646" s="25" t="str">
        <f t="shared" si="41"/>
        <v/>
      </c>
      <c r="L2646" s="25" t="str">
        <f t="shared" si="42"/>
        <v/>
      </c>
      <c r="M2646" s="25"/>
      <c r="O2646" s="25"/>
    </row>
    <row r="2647" ht="15.75" customHeight="1">
      <c r="A2647" s="25" t="str">
        <f>IFERROR(__xludf.DUMMYFUNCTION("IF(B2647="""","""",RIGHT(REGEXREPLACE(B2647&amp;"""",""[^0-9]"",""""),9))"),"704474412")</f>
        <v>704474412</v>
      </c>
      <c r="B2647" s="52">
        <v>7.04474412E8</v>
      </c>
      <c r="C2647" s="28" t="s">
        <v>2820</v>
      </c>
      <c r="D2647" s="26" t="s">
        <v>45</v>
      </c>
      <c r="E2647" s="31">
        <v>46230.0</v>
      </c>
      <c r="F2647" s="26" t="s">
        <v>205</v>
      </c>
      <c r="H2647" s="26" t="s">
        <v>1526</v>
      </c>
      <c r="I2647" s="26" t="s">
        <v>42</v>
      </c>
      <c r="J2647" s="25" t="str">
        <f t="shared" si="40"/>
        <v>No</v>
      </c>
      <c r="K2647" s="25" t="str">
        <f t="shared" si="41"/>
        <v/>
      </c>
      <c r="L2647" s="25" t="str">
        <f t="shared" si="42"/>
        <v/>
      </c>
      <c r="M2647" s="25"/>
      <c r="O2647" s="25"/>
    </row>
    <row r="2648" ht="15.75" customHeight="1">
      <c r="A2648" s="25" t="str">
        <f>IFERROR(__xludf.DUMMYFUNCTION("IF(B2648="""","""",RIGHT(REGEXREPLACE(B2648&amp;"""",""[^0-9]"",""""),9))"),"770458027")</f>
        <v>770458027</v>
      </c>
      <c r="B2648" s="52">
        <v>7.70458027E8</v>
      </c>
      <c r="C2648" s="28" t="s">
        <v>2821</v>
      </c>
      <c r="D2648" s="26" t="s">
        <v>56</v>
      </c>
      <c r="E2648" s="31">
        <v>46230.0</v>
      </c>
      <c r="F2648" s="26" t="s">
        <v>125</v>
      </c>
      <c r="H2648" s="26" t="s">
        <v>796</v>
      </c>
      <c r="I2648" s="26" t="s">
        <v>42</v>
      </c>
      <c r="J2648" s="25" t="str">
        <f t="shared" si="40"/>
        <v>No</v>
      </c>
      <c r="K2648" s="25" t="str">
        <f t="shared" si="41"/>
        <v/>
      </c>
      <c r="L2648" s="25" t="str">
        <f t="shared" si="42"/>
        <v/>
      </c>
      <c r="M2648" s="25"/>
      <c r="O2648" s="25"/>
    </row>
    <row r="2649" ht="15.75" customHeight="1">
      <c r="A2649" s="25" t="str">
        <f>IFERROR(__xludf.DUMMYFUNCTION("IF(B2649="""","""",RIGHT(REGEXREPLACE(B2649&amp;"""",""[^0-9]"",""""),9))"),"762450410")</f>
        <v>762450410</v>
      </c>
      <c r="B2649" s="52">
        <v>7.6245041E8</v>
      </c>
      <c r="C2649" s="28" t="s">
        <v>2821</v>
      </c>
      <c r="D2649" s="26" t="s">
        <v>49</v>
      </c>
      <c r="E2649" s="31">
        <v>46230.0</v>
      </c>
      <c r="F2649" s="26" t="s">
        <v>46</v>
      </c>
      <c r="G2649" s="26">
        <v>11.0</v>
      </c>
      <c r="I2649" s="26" t="s">
        <v>42</v>
      </c>
      <c r="J2649" s="25" t="str">
        <f t="shared" si="40"/>
        <v>No</v>
      </c>
      <c r="K2649" s="25" t="str">
        <f t="shared" si="41"/>
        <v/>
      </c>
      <c r="L2649" s="25" t="str">
        <f t="shared" si="42"/>
        <v/>
      </c>
      <c r="M2649" s="25"/>
      <c r="O2649" s="25"/>
    </row>
    <row r="2650" ht="15.75" customHeight="1">
      <c r="A2650" s="25" t="str">
        <f>IFERROR(__xludf.DUMMYFUNCTION("IF(B2650="""","""",RIGHT(REGEXREPLACE(B2650&amp;"""",""[^0-9]"",""""),9))"),"714444925")</f>
        <v>714444925</v>
      </c>
      <c r="B2650" s="52">
        <v>7.14444925E8</v>
      </c>
      <c r="C2650" s="28" t="s">
        <v>2822</v>
      </c>
      <c r="D2650" s="26" t="s">
        <v>69</v>
      </c>
      <c r="E2650" s="31">
        <v>46230.0</v>
      </c>
      <c r="F2650" s="26" t="s">
        <v>46</v>
      </c>
      <c r="G2650" s="26">
        <v>11.0</v>
      </c>
      <c r="I2650" s="26" t="s">
        <v>42</v>
      </c>
      <c r="J2650" s="25" t="str">
        <f t="shared" si="40"/>
        <v>No</v>
      </c>
      <c r="K2650" s="25" t="str">
        <f t="shared" si="41"/>
        <v/>
      </c>
      <c r="L2650" s="25" t="str">
        <f t="shared" si="42"/>
        <v/>
      </c>
      <c r="M2650" s="25"/>
      <c r="O2650" s="25"/>
    </row>
    <row r="2651" ht="15.75" customHeight="1">
      <c r="A2651" s="25" t="str">
        <f>IFERROR(__xludf.DUMMYFUNCTION("IF(B2651="""","""",RIGHT(REGEXREPLACE(B2651&amp;"""",""[^0-9]"",""""),9))"),"712680472")</f>
        <v>712680472</v>
      </c>
      <c r="B2651" s="52">
        <v>7.12680472E8</v>
      </c>
      <c r="C2651" s="28" t="s">
        <v>2823</v>
      </c>
      <c r="D2651" s="26" t="s">
        <v>49</v>
      </c>
      <c r="E2651" s="31">
        <v>46230.0</v>
      </c>
      <c r="F2651" s="26" t="s">
        <v>46</v>
      </c>
      <c r="G2651" s="26">
        <v>11.0</v>
      </c>
      <c r="H2651" s="26" t="s">
        <v>253</v>
      </c>
      <c r="I2651" s="26" t="s">
        <v>42</v>
      </c>
      <c r="J2651" s="25" t="str">
        <f t="shared" si="40"/>
        <v>No</v>
      </c>
      <c r="K2651" s="25" t="str">
        <f t="shared" si="41"/>
        <v/>
      </c>
      <c r="L2651" s="25" t="str">
        <f t="shared" si="42"/>
        <v/>
      </c>
      <c r="M2651" s="25"/>
      <c r="O2651" s="25"/>
    </row>
    <row r="2652" ht="15.75" customHeight="1">
      <c r="A2652" s="25" t="str">
        <f>IFERROR(__xludf.DUMMYFUNCTION("IF(B2652="""","""",RIGHT(REGEXREPLACE(B2652&amp;"""",""[^0-9]"",""""),9))"),"717162674")</f>
        <v>717162674</v>
      </c>
      <c r="B2652" s="52">
        <v>7.17162674E8</v>
      </c>
      <c r="C2652" s="28" t="s">
        <v>2824</v>
      </c>
      <c r="D2652" s="26" t="s">
        <v>82</v>
      </c>
      <c r="E2652" s="31">
        <v>46230.0</v>
      </c>
      <c r="F2652" s="26" t="s">
        <v>41</v>
      </c>
      <c r="G2652" s="26">
        <v>11.0</v>
      </c>
      <c r="I2652" s="26" t="s">
        <v>42</v>
      </c>
      <c r="J2652" s="25" t="str">
        <f t="shared" si="40"/>
        <v>No</v>
      </c>
      <c r="K2652" s="25" t="str">
        <f t="shared" si="41"/>
        <v/>
      </c>
      <c r="L2652" s="25" t="str">
        <f t="shared" si="42"/>
        <v/>
      </c>
      <c r="M2652" s="25"/>
      <c r="O2652" s="25"/>
    </row>
    <row r="2653" ht="15.75" customHeight="1">
      <c r="A2653" s="25" t="str">
        <f>IFERROR(__xludf.DUMMYFUNCTION("IF(B2653="""","""",RIGHT(REGEXREPLACE(B2653&amp;"""",""[^0-9]"",""""),9))"),"767580637")</f>
        <v>767580637</v>
      </c>
      <c r="B2653" s="52">
        <v>7.67580637E8</v>
      </c>
      <c r="C2653" s="28" t="s">
        <v>2825</v>
      </c>
      <c r="D2653" s="26" t="s">
        <v>56</v>
      </c>
      <c r="E2653" s="31">
        <v>46230.0</v>
      </c>
      <c r="F2653" s="26" t="s">
        <v>631</v>
      </c>
      <c r="G2653" s="26">
        <v>10.0</v>
      </c>
      <c r="H2653" s="26" t="s">
        <v>774</v>
      </c>
      <c r="I2653" s="26" t="s">
        <v>42</v>
      </c>
      <c r="J2653" s="25" t="str">
        <f t="shared" si="40"/>
        <v>No</v>
      </c>
      <c r="K2653" s="25" t="str">
        <f t="shared" si="41"/>
        <v/>
      </c>
      <c r="L2653" s="25" t="str">
        <f t="shared" si="42"/>
        <v/>
      </c>
      <c r="M2653" s="25"/>
      <c r="O2653" s="25"/>
    </row>
    <row r="2654" ht="15.75" customHeight="1">
      <c r="A2654" s="25" t="str">
        <f>IFERROR(__xludf.DUMMYFUNCTION("IF(B2654="""","""",RIGHT(REGEXREPLACE(B2654&amp;"""",""[^0-9]"",""""),9))"),"717851532")</f>
        <v>717851532</v>
      </c>
      <c r="B2654" s="52">
        <v>7.17851532E8</v>
      </c>
      <c r="C2654" s="28" t="s">
        <v>2824</v>
      </c>
      <c r="D2654" s="26" t="s">
        <v>45</v>
      </c>
      <c r="E2654" s="31">
        <v>46230.0</v>
      </c>
      <c r="F2654" s="26" t="s">
        <v>41</v>
      </c>
      <c r="H2654" s="26" t="s">
        <v>2605</v>
      </c>
      <c r="I2654" s="26" t="s">
        <v>42</v>
      </c>
      <c r="J2654" s="25" t="str">
        <f t="shared" si="40"/>
        <v>No</v>
      </c>
      <c r="K2654" s="25" t="str">
        <f t="shared" si="41"/>
        <v/>
      </c>
      <c r="L2654" s="25" t="str">
        <f t="shared" si="42"/>
        <v/>
      </c>
      <c r="M2654" s="25"/>
      <c r="O2654" s="25"/>
    </row>
    <row r="2655" ht="15.75" customHeight="1">
      <c r="A2655" s="25" t="str">
        <f>IFERROR(__xludf.DUMMYFUNCTION("IF(B2655="""","""",RIGHT(REGEXREPLACE(B2655&amp;"""",""[^0-9]"",""""),9))"),"771654490")</f>
        <v>771654490</v>
      </c>
      <c r="B2655" s="52">
        <v>7.7165449E8</v>
      </c>
      <c r="C2655" s="28" t="s">
        <v>2826</v>
      </c>
      <c r="D2655" s="26" t="s">
        <v>49</v>
      </c>
      <c r="E2655" s="31">
        <v>46230.0</v>
      </c>
      <c r="F2655" s="26" t="s">
        <v>46</v>
      </c>
      <c r="G2655" s="26">
        <v>11.0</v>
      </c>
      <c r="I2655" s="26" t="s">
        <v>42</v>
      </c>
      <c r="J2655" s="25" t="str">
        <f t="shared" si="40"/>
        <v>No</v>
      </c>
      <c r="K2655" s="25" t="str">
        <f t="shared" si="41"/>
        <v/>
      </c>
      <c r="L2655" s="25" t="str">
        <f t="shared" si="42"/>
        <v/>
      </c>
      <c r="M2655" s="25"/>
      <c r="O2655" s="25"/>
    </row>
    <row r="2656" ht="15.75" customHeight="1">
      <c r="A2656" s="25" t="str">
        <f>IFERROR(__xludf.DUMMYFUNCTION("IF(B2656="""","""",RIGHT(REGEXREPLACE(B2656&amp;"""",""[^0-9]"",""""),9))"),"722688693")</f>
        <v>722688693</v>
      </c>
      <c r="B2656" s="52">
        <v>7.22688693E8</v>
      </c>
      <c r="C2656" s="28" t="s">
        <v>2827</v>
      </c>
      <c r="D2656" s="26" t="s">
        <v>45</v>
      </c>
      <c r="E2656" s="31">
        <v>46230.0</v>
      </c>
      <c r="F2656" s="26" t="s">
        <v>46</v>
      </c>
      <c r="G2656" s="26">
        <v>11.0</v>
      </c>
      <c r="I2656" s="26" t="s">
        <v>42</v>
      </c>
      <c r="J2656" s="25" t="str">
        <f t="shared" si="40"/>
        <v>No</v>
      </c>
      <c r="K2656" s="25" t="str">
        <f t="shared" si="41"/>
        <v/>
      </c>
      <c r="L2656" s="25" t="str">
        <f t="shared" si="42"/>
        <v/>
      </c>
      <c r="M2656" s="25"/>
      <c r="O2656" s="25"/>
    </row>
    <row r="2657" ht="15.75" customHeight="1">
      <c r="A2657" s="25" t="str">
        <f>IFERROR(__xludf.DUMMYFUNCTION("IF(B2657="""","""",RIGHT(REGEXREPLACE(B2657&amp;"""",""[^0-9]"",""""),9))"),"712143349")</f>
        <v>712143349</v>
      </c>
      <c r="B2657" s="52">
        <v>7.12143349E8</v>
      </c>
      <c r="C2657" s="28" t="s">
        <v>2828</v>
      </c>
      <c r="D2657" s="26" t="s">
        <v>69</v>
      </c>
      <c r="E2657" s="31">
        <v>46230.0</v>
      </c>
      <c r="F2657" s="26" t="s">
        <v>41</v>
      </c>
      <c r="G2657" s="26">
        <v>11.0</v>
      </c>
      <c r="I2657" s="26" t="s">
        <v>42</v>
      </c>
      <c r="J2657" s="25" t="str">
        <f t="shared" si="40"/>
        <v>No</v>
      </c>
      <c r="K2657" s="25" t="str">
        <f t="shared" si="41"/>
        <v/>
      </c>
      <c r="L2657" s="25" t="str">
        <f t="shared" si="42"/>
        <v/>
      </c>
      <c r="M2657" s="25"/>
      <c r="O2657" s="25"/>
    </row>
    <row r="2658" ht="15.75" customHeight="1">
      <c r="A2658" s="25" t="str">
        <f>IFERROR(__xludf.DUMMYFUNCTION("IF(B2658="""","""",RIGHT(REGEXREPLACE(B2658&amp;"""",""[^0-9]"",""""),9))"),"729618330")</f>
        <v>729618330</v>
      </c>
      <c r="B2658" s="52">
        <v>7.2961833E8</v>
      </c>
      <c r="C2658" s="28" t="s">
        <v>2829</v>
      </c>
      <c r="D2658" s="26" t="s">
        <v>64</v>
      </c>
      <c r="E2658" s="31">
        <v>46230.0</v>
      </c>
      <c r="F2658" s="26" t="s">
        <v>704</v>
      </c>
      <c r="H2658" s="26" t="s">
        <v>1526</v>
      </c>
      <c r="I2658" s="26" t="s">
        <v>42</v>
      </c>
      <c r="J2658" s="25" t="str">
        <f t="shared" si="40"/>
        <v>No</v>
      </c>
      <c r="K2658" s="25" t="str">
        <f t="shared" si="41"/>
        <v/>
      </c>
      <c r="L2658" s="25" t="str">
        <f t="shared" si="42"/>
        <v/>
      </c>
      <c r="M2658" s="25"/>
      <c r="O2658" s="25"/>
    </row>
    <row r="2659" ht="15.75" customHeight="1">
      <c r="A2659" s="25" t="str">
        <f>IFERROR(__xludf.DUMMYFUNCTION("IF(B2659="""","""",RIGHT(REGEXREPLACE(B2659&amp;"""",""[^0-9]"",""""),9))"),"769995453")</f>
        <v>769995453</v>
      </c>
      <c r="B2659" s="52">
        <v>7.69995453E8</v>
      </c>
      <c r="C2659" s="28" t="s">
        <v>2830</v>
      </c>
      <c r="D2659" s="26" t="s">
        <v>49</v>
      </c>
      <c r="E2659" s="31">
        <v>46230.0</v>
      </c>
      <c r="F2659" s="26" t="s">
        <v>46</v>
      </c>
      <c r="G2659" s="26">
        <v>11.0</v>
      </c>
      <c r="I2659" s="26" t="s">
        <v>42</v>
      </c>
      <c r="J2659" s="25" t="str">
        <f t="shared" si="40"/>
        <v>No</v>
      </c>
      <c r="K2659" s="25" t="str">
        <f t="shared" si="41"/>
        <v/>
      </c>
      <c r="L2659" s="25" t="str">
        <f t="shared" si="42"/>
        <v/>
      </c>
      <c r="M2659" s="25"/>
      <c r="O2659" s="25"/>
    </row>
    <row r="2660" ht="15.75" customHeight="1">
      <c r="A2660" s="25" t="str">
        <f>IFERROR(__xludf.DUMMYFUNCTION("IF(B2660="""","""",RIGHT(REGEXREPLACE(B2660&amp;"""",""[^0-9]"",""""),9))"),"770375177")</f>
        <v>770375177</v>
      </c>
      <c r="B2660" s="52">
        <v>7.70375177E8</v>
      </c>
      <c r="C2660" s="28" t="s">
        <v>2831</v>
      </c>
      <c r="D2660" s="26" t="s">
        <v>45</v>
      </c>
      <c r="E2660" s="31">
        <v>46230.0</v>
      </c>
      <c r="F2660" s="26" t="s">
        <v>41</v>
      </c>
      <c r="H2660" s="26" t="s">
        <v>2605</v>
      </c>
      <c r="I2660" s="26" t="s">
        <v>42</v>
      </c>
      <c r="J2660" s="25" t="str">
        <f t="shared" si="40"/>
        <v>No</v>
      </c>
      <c r="K2660" s="25" t="str">
        <f t="shared" si="41"/>
        <v/>
      </c>
      <c r="L2660" s="25" t="str">
        <f t="shared" si="42"/>
        <v/>
      </c>
      <c r="M2660" s="25"/>
      <c r="O2660" s="25"/>
    </row>
    <row r="2661" ht="15.75" customHeight="1">
      <c r="A2661" s="25" t="str">
        <f>IFERROR(__xludf.DUMMYFUNCTION("IF(B2661="""","""",RIGHT(REGEXREPLACE(B2661&amp;"""",""[^0-9]"",""""),9))"),"713488780")</f>
        <v>713488780</v>
      </c>
      <c r="B2661" s="52">
        <v>7.1348878E8</v>
      </c>
      <c r="C2661" s="28" t="s">
        <v>2832</v>
      </c>
      <c r="D2661" s="26" t="s">
        <v>82</v>
      </c>
      <c r="E2661" s="31">
        <v>46230.0</v>
      </c>
      <c r="F2661" s="26" t="s">
        <v>46</v>
      </c>
      <c r="G2661" s="26">
        <v>11.0</v>
      </c>
      <c r="I2661" s="26" t="s">
        <v>42</v>
      </c>
      <c r="J2661" s="25" t="str">
        <f t="shared" si="40"/>
        <v>No</v>
      </c>
      <c r="K2661" s="25" t="str">
        <f t="shared" si="41"/>
        <v/>
      </c>
      <c r="L2661" s="25" t="str">
        <f t="shared" si="42"/>
        <v/>
      </c>
      <c r="M2661" s="25"/>
      <c r="O2661" s="25"/>
    </row>
    <row r="2662" ht="15.75" customHeight="1">
      <c r="A2662" s="25" t="str">
        <f>IFERROR(__xludf.DUMMYFUNCTION("IF(B2662="""","""",RIGHT(REGEXREPLACE(B2662&amp;"""",""[^0-9]"",""""),9))"),"762472203")</f>
        <v>762472203</v>
      </c>
      <c r="B2662" s="52">
        <v>7.62472203E8</v>
      </c>
      <c r="C2662" s="28" t="s">
        <v>2833</v>
      </c>
      <c r="D2662" s="26" t="s">
        <v>69</v>
      </c>
      <c r="E2662" s="31">
        <v>46230.0</v>
      </c>
      <c r="F2662" s="26" t="s">
        <v>46</v>
      </c>
      <c r="G2662" s="26">
        <v>11.0</v>
      </c>
      <c r="I2662" s="26" t="s">
        <v>42</v>
      </c>
      <c r="J2662" s="25" t="str">
        <f t="shared" si="40"/>
        <v>No</v>
      </c>
      <c r="K2662" s="25" t="str">
        <f t="shared" si="41"/>
        <v/>
      </c>
      <c r="L2662" s="25" t="str">
        <f t="shared" si="42"/>
        <v/>
      </c>
      <c r="M2662" s="25"/>
      <c r="O2662" s="25"/>
    </row>
    <row r="2663" ht="15.75" customHeight="1">
      <c r="A2663" s="25" t="str">
        <f>IFERROR(__xludf.DUMMYFUNCTION("IF(B2663="""","""",RIGHT(REGEXREPLACE(B2663&amp;"""",""[^0-9]"",""""),9))"),"777260902")</f>
        <v>777260902</v>
      </c>
      <c r="B2663" s="52">
        <v>7.77260902E8</v>
      </c>
      <c r="C2663" s="28" t="s">
        <v>2834</v>
      </c>
      <c r="D2663" s="26" t="s">
        <v>49</v>
      </c>
      <c r="E2663" s="31">
        <v>46230.0</v>
      </c>
      <c r="F2663" s="26" t="s">
        <v>41</v>
      </c>
      <c r="G2663" s="26">
        <v>11.0</v>
      </c>
      <c r="I2663" s="26" t="s">
        <v>42</v>
      </c>
      <c r="J2663" s="25" t="str">
        <f t="shared" si="40"/>
        <v>No</v>
      </c>
      <c r="K2663" s="25" t="str">
        <f t="shared" si="41"/>
        <v/>
      </c>
      <c r="L2663" s="25" t="str">
        <f t="shared" si="42"/>
        <v/>
      </c>
      <c r="M2663" s="25"/>
      <c r="O2663" s="25"/>
    </row>
    <row r="2664" ht="15.75" customHeight="1">
      <c r="A2664" s="25" t="str">
        <f>IFERROR(__xludf.DUMMYFUNCTION("IF(B2664="""","""",RIGHT(REGEXREPLACE(B2664&amp;"""",""[^0-9]"",""""),9))"),"761859216")</f>
        <v>761859216</v>
      </c>
      <c r="B2664" s="52">
        <v>7.61859216E8</v>
      </c>
      <c r="C2664" s="28" t="s">
        <v>2835</v>
      </c>
      <c r="D2664" s="26" t="s">
        <v>56</v>
      </c>
      <c r="E2664" s="31">
        <v>46230.0</v>
      </c>
      <c r="F2664" s="26" t="s">
        <v>41</v>
      </c>
      <c r="H2664" s="26" t="s">
        <v>796</v>
      </c>
      <c r="I2664" s="26" t="s">
        <v>42</v>
      </c>
      <c r="J2664" s="25" t="str">
        <f t="shared" si="40"/>
        <v>No</v>
      </c>
      <c r="K2664" s="25" t="str">
        <f t="shared" si="41"/>
        <v/>
      </c>
      <c r="L2664" s="25" t="str">
        <f t="shared" si="42"/>
        <v/>
      </c>
      <c r="M2664" s="25"/>
      <c r="O2664" s="25"/>
    </row>
    <row r="2665" ht="15.75" customHeight="1">
      <c r="A2665" s="25" t="str">
        <f>IFERROR(__xludf.DUMMYFUNCTION("IF(B2665="""","""",RIGHT(REGEXREPLACE(B2665&amp;"""",""[^0-9]"",""""),9))"),"717734299")</f>
        <v>717734299</v>
      </c>
      <c r="B2665" s="52">
        <v>7.17734299E8</v>
      </c>
      <c r="C2665" s="28" t="s">
        <v>2836</v>
      </c>
      <c r="D2665" s="26" t="s">
        <v>49</v>
      </c>
      <c r="E2665" s="31">
        <v>46230.0</v>
      </c>
      <c r="F2665" s="26" t="s">
        <v>46</v>
      </c>
      <c r="G2665" s="26">
        <v>11.0</v>
      </c>
      <c r="I2665" s="26" t="s">
        <v>42</v>
      </c>
      <c r="J2665" s="25" t="str">
        <f t="shared" si="40"/>
        <v>No</v>
      </c>
      <c r="K2665" s="25" t="str">
        <f t="shared" si="41"/>
        <v/>
      </c>
      <c r="L2665" s="25" t="str">
        <f t="shared" si="42"/>
        <v/>
      </c>
      <c r="M2665" s="25"/>
      <c r="O2665" s="25"/>
    </row>
    <row r="2666" ht="15.75" customHeight="1">
      <c r="A2666" s="25" t="str">
        <f>IFERROR(__xludf.DUMMYFUNCTION("IF(B2666="""","""",RIGHT(REGEXREPLACE(B2666&amp;"""",""[^0-9]"",""""),9))"),"713331581")</f>
        <v>713331581</v>
      </c>
      <c r="B2666" s="52">
        <v>7.13331581E8</v>
      </c>
      <c r="C2666" s="28" t="s">
        <v>2837</v>
      </c>
      <c r="D2666" s="26" t="s">
        <v>64</v>
      </c>
      <c r="E2666" s="31">
        <v>46230.0</v>
      </c>
      <c r="F2666" s="26" t="s">
        <v>41</v>
      </c>
      <c r="H2666" s="26" t="s">
        <v>1526</v>
      </c>
      <c r="I2666" s="26" t="s">
        <v>42</v>
      </c>
      <c r="J2666" s="25" t="str">
        <f t="shared" si="40"/>
        <v>No</v>
      </c>
      <c r="K2666" s="25" t="str">
        <f t="shared" si="41"/>
        <v/>
      </c>
      <c r="L2666" s="25" t="str">
        <f t="shared" si="42"/>
        <v/>
      </c>
      <c r="M2666" s="25"/>
      <c r="O2666" s="25"/>
    </row>
    <row r="2667" ht="15.75" customHeight="1">
      <c r="A2667" s="25" t="str">
        <f>IFERROR(__xludf.DUMMYFUNCTION("IF(B2667="""","""",RIGHT(REGEXREPLACE(B2667&amp;"""",""[^0-9]"",""""),9))"),"786341728")</f>
        <v>786341728</v>
      </c>
      <c r="B2667" s="52">
        <v>7.86341728E8</v>
      </c>
      <c r="C2667" s="28" t="s">
        <v>2838</v>
      </c>
      <c r="D2667" s="26" t="s">
        <v>69</v>
      </c>
      <c r="E2667" s="31">
        <v>46230.0</v>
      </c>
      <c r="F2667" s="26" t="s">
        <v>41</v>
      </c>
      <c r="G2667" s="26">
        <v>11.0</v>
      </c>
      <c r="I2667" s="26" t="s">
        <v>42</v>
      </c>
      <c r="J2667" s="25" t="str">
        <f t="shared" si="40"/>
        <v>No</v>
      </c>
      <c r="K2667" s="25" t="str">
        <f t="shared" si="41"/>
        <v/>
      </c>
      <c r="L2667" s="25" t="str">
        <f t="shared" si="42"/>
        <v/>
      </c>
      <c r="M2667" s="25"/>
      <c r="O2667" s="25"/>
    </row>
    <row r="2668" ht="15.75" customHeight="1">
      <c r="A2668" s="25" t="str">
        <f>IFERROR(__xludf.DUMMYFUNCTION("IF(B2668="""","""",RIGHT(REGEXREPLACE(B2668&amp;"""",""[^0-9]"",""""),9))"),"711229941")</f>
        <v>711229941</v>
      </c>
      <c r="B2668" s="52">
        <v>7.11229941E8</v>
      </c>
      <c r="C2668" s="28" t="s">
        <v>2837</v>
      </c>
      <c r="D2668" s="26" t="s">
        <v>56</v>
      </c>
      <c r="E2668" s="31">
        <v>46230.0</v>
      </c>
      <c r="F2668" s="26" t="s">
        <v>631</v>
      </c>
      <c r="G2668" s="26">
        <v>11.0</v>
      </c>
      <c r="H2668" s="26" t="s">
        <v>653</v>
      </c>
      <c r="I2668" s="26" t="s">
        <v>42</v>
      </c>
      <c r="J2668" s="25" t="str">
        <f t="shared" si="40"/>
        <v>No</v>
      </c>
      <c r="K2668" s="25" t="str">
        <f t="shared" si="41"/>
        <v/>
      </c>
      <c r="L2668" s="25" t="str">
        <f t="shared" si="42"/>
        <v/>
      </c>
      <c r="M2668" s="25"/>
      <c r="O2668" s="25"/>
    </row>
    <row r="2669" ht="15.75" customHeight="1">
      <c r="A2669" s="25" t="str">
        <f>IFERROR(__xludf.DUMMYFUNCTION("IF(B2669="""","""",RIGHT(REGEXREPLACE(B2669&amp;"""",""[^0-9]"",""""),9))"),"728220797")</f>
        <v>728220797</v>
      </c>
      <c r="B2669" s="52">
        <v>7.28220797E8</v>
      </c>
      <c r="C2669" s="28" t="s">
        <v>2839</v>
      </c>
      <c r="D2669" s="26" t="s">
        <v>82</v>
      </c>
      <c r="E2669" s="31">
        <v>46230.0</v>
      </c>
      <c r="F2669" s="26" t="s">
        <v>46</v>
      </c>
      <c r="G2669" s="26">
        <v>11.0</v>
      </c>
      <c r="I2669" s="26" t="s">
        <v>42</v>
      </c>
      <c r="J2669" s="25" t="str">
        <f t="shared" si="40"/>
        <v>No</v>
      </c>
      <c r="K2669" s="25" t="str">
        <f t="shared" si="41"/>
        <v/>
      </c>
      <c r="L2669" s="25" t="str">
        <f t="shared" si="42"/>
        <v/>
      </c>
      <c r="M2669" s="25"/>
      <c r="O2669" s="25"/>
    </row>
    <row r="2670" ht="15.75" customHeight="1">
      <c r="A2670" s="25" t="str">
        <f>IFERROR(__xludf.DUMMYFUNCTION("IF(B2670="""","""",RIGHT(REGEXREPLACE(B2670&amp;"""",""[^0-9]"",""""),9))"),"703895535")</f>
        <v>703895535</v>
      </c>
      <c r="B2670" s="26">
        <v>7.03895535E8</v>
      </c>
      <c r="C2670" s="28" t="s">
        <v>2840</v>
      </c>
      <c r="D2670" s="26" t="s">
        <v>37</v>
      </c>
      <c r="E2670" s="31">
        <v>46230.0</v>
      </c>
      <c r="F2670" s="26" t="s">
        <v>41</v>
      </c>
      <c r="G2670" s="26">
        <v>6.0</v>
      </c>
      <c r="I2670" s="26" t="s">
        <v>937</v>
      </c>
      <c r="J2670" s="25" t="str">
        <f t="shared" si="40"/>
        <v>No</v>
      </c>
      <c r="K2670" s="25" t="str">
        <f t="shared" si="41"/>
        <v/>
      </c>
      <c r="L2670" s="25" t="str">
        <f t="shared" si="42"/>
        <v/>
      </c>
      <c r="M2670" s="25"/>
      <c r="O2670" s="25"/>
    </row>
    <row r="2671" ht="15.75" customHeight="1">
      <c r="A2671" s="25" t="str">
        <f>IFERROR(__xludf.DUMMYFUNCTION("IF(B2671="""","""",RIGHT(REGEXREPLACE(B2671&amp;"""",""[^0-9]"",""""),9))"),"764211970")</f>
        <v>764211970</v>
      </c>
      <c r="B2671" s="26">
        <v>7.6421197E8</v>
      </c>
      <c r="C2671" s="28" t="s">
        <v>2841</v>
      </c>
      <c r="D2671" s="26" t="s">
        <v>37</v>
      </c>
      <c r="E2671" s="31">
        <v>46230.0</v>
      </c>
      <c r="F2671" s="26" t="s">
        <v>46</v>
      </c>
      <c r="G2671" s="26">
        <v>10.0</v>
      </c>
      <c r="H2671" s="26" t="s">
        <v>2842</v>
      </c>
      <c r="I2671" s="26" t="s">
        <v>937</v>
      </c>
      <c r="J2671" s="25" t="str">
        <f t="shared" si="40"/>
        <v>No</v>
      </c>
      <c r="K2671" s="25" t="str">
        <f t="shared" si="41"/>
        <v/>
      </c>
      <c r="L2671" s="25" t="str">
        <f t="shared" si="42"/>
        <v/>
      </c>
      <c r="M2671" s="25"/>
      <c r="O2671" s="25"/>
    </row>
    <row r="2672" ht="15.75" customHeight="1">
      <c r="A2672" s="25" t="str">
        <f>IFERROR(__xludf.DUMMYFUNCTION("IF(B2672="""","""",RIGHT(REGEXREPLACE(B2672&amp;"""",""[^0-9]"",""""),9))"),"772899790")</f>
        <v>772899790</v>
      </c>
      <c r="B2672" s="26">
        <v>7.7289979E8</v>
      </c>
      <c r="C2672" s="28" t="s">
        <v>2843</v>
      </c>
      <c r="D2672" s="26" t="s">
        <v>37</v>
      </c>
      <c r="E2672" s="31">
        <v>46230.0</v>
      </c>
      <c r="F2672" s="26" t="s">
        <v>46</v>
      </c>
      <c r="G2672" s="26">
        <v>7.0</v>
      </c>
      <c r="I2672" s="26" t="s">
        <v>937</v>
      </c>
      <c r="J2672" s="25" t="str">
        <f t="shared" si="40"/>
        <v>No</v>
      </c>
      <c r="K2672" s="25" t="str">
        <f t="shared" si="41"/>
        <v/>
      </c>
      <c r="L2672" s="25" t="str">
        <f t="shared" si="42"/>
        <v/>
      </c>
      <c r="M2672" s="25"/>
      <c r="O2672" s="26" t="s">
        <v>51</v>
      </c>
    </row>
    <row r="2673" ht="15.75" customHeight="1">
      <c r="A2673" s="25" t="str">
        <f>IFERROR(__xludf.DUMMYFUNCTION("IF(B2673="""","""",RIGHT(REGEXREPLACE(B2673&amp;"""",""[^0-9]"",""""),9))"),"719468285")</f>
        <v>719468285</v>
      </c>
      <c r="B2673" s="26">
        <v>7.19468285E8</v>
      </c>
      <c r="C2673" s="28" t="s">
        <v>2844</v>
      </c>
      <c r="D2673" s="26" t="s">
        <v>37</v>
      </c>
      <c r="E2673" s="31">
        <v>46230.0</v>
      </c>
      <c r="F2673" s="26" t="s">
        <v>46</v>
      </c>
      <c r="G2673" s="26">
        <v>10.0</v>
      </c>
      <c r="I2673" s="26" t="s">
        <v>937</v>
      </c>
      <c r="J2673" s="25" t="str">
        <f t="shared" si="40"/>
        <v>No</v>
      </c>
      <c r="K2673" s="25" t="str">
        <f t="shared" si="41"/>
        <v/>
      </c>
      <c r="L2673" s="25" t="str">
        <f t="shared" si="42"/>
        <v/>
      </c>
      <c r="M2673" s="25"/>
      <c r="O2673" s="25"/>
    </row>
    <row r="2674" ht="15.75" customHeight="1">
      <c r="A2674" s="25" t="str">
        <f>IFERROR(__xludf.DUMMYFUNCTION("IF(B2674="""","""",RIGHT(REGEXREPLACE(B2674&amp;"""",""[^0-9]"",""""),9))"),"710614784")</f>
        <v>710614784</v>
      </c>
      <c r="B2674" s="26">
        <v>7.10614784E8</v>
      </c>
      <c r="C2674" s="28" t="s">
        <v>2845</v>
      </c>
      <c r="D2674" s="26" t="s">
        <v>37</v>
      </c>
      <c r="E2674" s="31">
        <v>46230.0</v>
      </c>
      <c r="F2674" s="26" t="s">
        <v>46</v>
      </c>
      <c r="H2674" s="26" t="s">
        <v>2846</v>
      </c>
      <c r="I2674" s="26" t="s">
        <v>937</v>
      </c>
      <c r="J2674" s="25" t="str">
        <f t="shared" si="40"/>
        <v>No</v>
      </c>
      <c r="K2674" s="25" t="str">
        <f t="shared" si="41"/>
        <v/>
      </c>
      <c r="L2674" s="25" t="str">
        <f t="shared" si="42"/>
        <v/>
      </c>
      <c r="M2674" s="25"/>
      <c r="O2674" s="25"/>
    </row>
    <row r="2675" ht="15.75" customHeight="1">
      <c r="A2675" s="25" t="str">
        <f>IFERROR(__xludf.DUMMYFUNCTION("IF(B2675="""","""",RIGHT(REGEXREPLACE(B2675&amp;"""",""[^0-9]"",""""),9))"),"764014388")</f>
        <v>764014388</v>
      </c>
      <c r="B2675" s="26">
        <v>7.64014388E8</v>
      </c>
      <c r="C2675" s="28" t="s">
        <v>2847</v>
      </c>
      <c r="D2675" s="26" t="s">
        <v>37</v>
      </c>
      <c r="E2675" s="31">
        <v>46230.0</v>
      </c>
      <c r="F2675" s="26" t="s">
        <v>84</v>
      </c>
      <c r="G2675" s="26">
        <v>6.0</v>
      </c>
      <c r="I2675" s="26" t="s">
        <v>937</v>
      </c>
      <c r="J2675" s="25" t="str">
        <f t="shared" si="40"/>
        <v>No</v>
      </c>
      <c r="K2675" s="25" t="str">
        <f t="shared" si="41"/>
        <v/>
      </c>
      <c r="L2675" s="25" t="str">
        <f t="shared" si="42"/>
        <v/>
      </c>
      <c r="M2675" s="25"/>
      <c r="O2675" s="25"/>
    </row>
    <row r="2676" ht="15.75" customHeight="1">
      <c r="A2676" s="25" t="str">
        <f>IFERROR(__xludf.DUMMYFUNCTION("IF(B2676="""","""",RIGHT(REGEXREPLACE(B2676&amp;"""",""[^0-9]"",""""),9))"),"721694935")</f>
        <v>721694935</v>
      </c>
      <c r="B2676" s="26">
        <v>7.21694935E8</v>
      </c>
      <c r="C2676" s="28" t="s">
        <v>2848</v>
      </c>
      <c r="D2676" s="26" t="s">
        <v>37</v>
      </c>
      <c r="E2676" s="31">
        <v>46230.0</v>
      </c>
      <c r="F2676" s="26" t="s">
        <v>41</v>
      </c>
      <c r="I2676" s="26" t="s">
        <v>937</v>
      </c>
      <c r="J2676" s="25" t="str">
        <f t="shared" si="40"/>
        <v>No</v>
      </c>
      <c r="K2676" s="25" t="str">
        <f t="shared" si="41"/>
        <v/>
      </c>
      <c r="L2676" s="25" t="str">
        <f t="shared" si="42"/>
        <v/>
      </c>
      <c r="M2676" s="25"/>
      <c r="O2676" s="25"/>
    </row>
    <row r="2677" ht="15.75" customHeight="1">
      <c r="A2677" s="25" t="str">
        <f>IFERROR(__xludf.DUMMYFUNCTION("IF(B2677="""","""",RIGHT(REGEXREPLACE(B2677&amp;"""",""[^0-9]"",""""),9))"),"706696499")</f>
        <v>706696499</v>
      </c>
      <c r="B2677" s="26">
        <v>7.06696499E8</v>
      </c>
      <c r="C2677" s="28" t="s">
        <v>2849</v>
      </c>
      <c r="D2677" s="26" t="s">
        <v>37</v>
      </c>
      <c r="E2677" s="31">
        <v>46230.0</v>
      </c>
      <c r="F2677" s="26" t="s">
        <v>46</v>
      </c>
      <c r="G2677" s="26">
        <v>7.0</v>
      </c>
      <c r="H2677" s="26" t="s">
        <v>2850</v>
      </c>
      <c r="I2677" s="26" t="s">
        <v>937</v>
      </c>
      <c r="J2677" s="25" t="str">
        <f t="shared" si="40"/>
        <v>No</v>
      </c>
      <c r="K2677" s="25" t="str">
        <f t="shared" si="41"/>
        <v/>
      </c>
      <c r="L2677" s="25" t="str">
        <f t="shared" si="42"/>
        <v/>
      </c>
      <c r="M2677" s="25"/>
      <c r="O2677" s="25"/>
    </row>
    <row r="2678" ht="15.75" customHeight="1">
      <c r="A2678" s="25" t="str">
        <f>IFERROR(__xludf.DUMMYFUNCTION("IF(B2678="""","""",RIGHT(REGEXREPLACE(B2678&amp;"""",""[^0-9]"",""""),9))"),"777247985")</f>
        <v>777247985</v>
      </c>
      <c r="B2678" s="26">
        <v>7.77247985E8</v>
      </c>
      <c r="C2678" s="28" t="s">
        <v>2851</v>
      </c>
      <c r="D2678" s="26" t="s">
        <v>37</v>
      </c>
      <c r="E2678" s="31">
        <v>46230.0</v>
      </c>
      <c r="F2678" s="26" t="s">
        <v>41</v>
      </c>
      <c r="G2678" s="26">
        <v>11.0</v>
      </c>
      <c r="I2678" s="26" t="s">
        <v>937</v>
      </c>
      <c r="J2678" s="25" t="str">
        <f t="shared" si="40"/>
        <v>No</v>
      </c>
      <c r="K2678" s="25" t="str">
        <f t="shared" si="41"/>
        <v/>
      </c>
      <c r="L2678" s="25" t="str">
        <f t="shared" si="42"/>
        <v/>
      </c>
      <c r="M2678" s="25"/>
      <c r="O2678" s="25"/>
    </row>
    <row r="2679" ht="15.75" customHeight="1">
      <c r="A2679" s="25" t="str">
        <f>IFERROR(__xludf.DUMMYFUNCTION("IF(B2679="""","""",RIGHT(REGEXREPLACE(B2679&amp;"""",""[^0-9]"",""""),9))"),"774108896")</f>
        <v>774108896</v>
      </c>
      <c r="B2679" s="26">
        <v>7.74108896E8</v>
      </c>
      <c r="C2679" s="28" t="s">
        <v>2852</v>
      </c>
      <c r="D2679" s="26" t="s">
        <v>37</v>
      </c>
      <c r="E2679" s="31">
        <v>46230.0</v>
      </c>
      <c r="F2679" s="26" t="s">
        <v>84</v>
      </c>
      <c r="G2679" s="26">
        <v>6.0</v>
      </c>
      <c r="H2679" s="26" t="s">
        <v>2853</v>
      </c>
      <c r="I2679" s="26" t="s">
        <v>937</v>
      </c>
      <c r="J2679" s="25" t="str">
        <f t="shared" si="40"/>
        <v>No</v>
      </c>
      <c r="K2679" s="25" t="str">
        <f t="shared" si="41"/>
        <v/>
      </c>
      <c r="L2679" s="25" t="str">
        <f t="shared" si="42"/>
        <v/>
      </c>
      <c r="M2679" s="25"/>
      <c r="O2679" s="25"/>
    </row>
    <row r="2680" ht="15.75" customHeight="1">
      <c r="A2680" s="25" t="str">
        <f>IFERROR(__xludf.DUMMYFUNCTION("IF(B2680="""","""",RIGHT(REGEXREPLACE(B2680&amp;"""",""[^0-9]"",""""),9))"),"776772904")</f>
        <v>776772904</v>
      </c>
      <c r="B2680" s="26">
        <v>7.76772904E8</v>
      </c>
      <c r="C2680" s="28" t="s">
        <v>2854</v>
      </c>
      <c r="D2680" s="26" t="s">
        <v>37</v>
      </c>
      <c r="E2680" s="31">
        <v>46230.0</v>
      </c>
      <c r="F2680" s="26" t="s">
        <v>46</v>
      </c>
      <c r="G2680" s="26">
        <v>6.0</v>
      </c>
      <c r="I2680" s="26" t="s">
        <v>937</v>
      </c>
      <c r="J2680" s="25" t="str">
        <f t="shared" si="40"/>
        <v>No</v>
      </c>
      <c r="K2680" s="25" t="str">
        <f t="shared" si="41"/>
        <v/>
      </c>
      <c r="L2680" s="25" t="str">
        <f t="shared" si="42"/>
        <v/>
      </c>
      <c r="M2680" s="25"/>
      <c r="O2680" s="25"/>
    </row>
    <row r="2681" ht="15.75" customHeight="1">
      <c r="A2681" s="25" t="str">
        <f>IFERROR(__xludf.DUMMYFUNCTION("IF(B2681="""","""",RIGHT(REGEXREPLACE(B2681&amp;"""",""[^0-9]"",""""),9))"),"710614251")</f>
        <v>710614251</v>
      </c>
      <c r="B2681" s="26">
        <v>7.10614251E8</v>
      </c>
      <c r="C2681" s="28" t="s">
        <v>2855</v>
      </c>
      <c r="D2681" s="26" t="s">
        <v>37</v>
      </c>
      <c r="E2681" s="31">
        <v>46230.0</v>
      </c>
      <c r="F2681" s="26" t="s">
        <v>46</v>
      </c>
      <c r="G2681" s="26">
        <v>8.0</v>
      </c>
      <c r="I2681" s="26" t="s">
        <v>937</v>
      </c>
      <c r="J2681" s="25" t="str">
        <f t="shared" si="40"/>
        <v>No</v>
      </c>
      <c r="K2681" s="25" t="str">
        <f t="shared" si="41"/>
        <v/>
      </c>
      <c r="L2681" s="25" t="str">
        <f t="shared" si="42"/>
        <v/>
      </c>
      <c r="M2681" s="25"/>
      <c r="O2681" s="25"/>
    </row>
    <row r="2682" ht="15.75" customHeight="1">
      <c r="A2682" s="25" t="str">
        <f>IFERROR(__xludf.DUMMYFUNCTION("IF(B2682="""","""",RIGHT(REGEXREPLACE(B2682&amp;"""",""[^0-9]"",""""),9))"),"774739628")</f>
        <v>774739628</v>
      </c>
      <c r="B2682" s="26">
        <v>7.74739628E8</v>
      </c>
      <c r="C2682" s="28" t="s">
        <v>2856</v>
      </c>
      <c r="D2682" s="26" t="s">
        <v>37</v>
      </c>
      <c r="E2682" s="31">
        <v>46230.0</v>
      </c>
      <c r="F2682" s="26" t="s">
        <v>46</v>
      </c>
      <c r="G2682" s="26">
        <v>5.0</v>
      </c>
      <c r="H2682" s="26" t="s">
        <v>2857</v>
      </c>
      <c r="I2682" s="26" t="s">
        <v>937</v>
      </c>
      <c r="J2682" s="25" t="str">
        <f t="shared" si="40"/>
        <v>No</v>
      </c>
      <c r="K2682" s="25" t="str">
        <f t="shared" si="41"/>
        <v/>
      </c>
      <c r="L2682" s="25" t="str">
        <f t="shared" si="42"/>
        <v/>
      </c>
      <c r="M2682" s="25"/>
      <c r="O2682" s="25"/>
    </row>
    <row r="2683" ht="15.75" customHeight="1">
      <c r="A2683" s="25" t="str">
        <f>IFERROR(__xludf.DUMMYFUNCTION("IF(B2683="""","""",RIGHT(REGEXREPLACE(B2683&amp;"""",""[^0-9]"",""""),9))"),"703015651")</f>
        <v>703015651</v>
      </c>
      <c r="B2683" s="26">
        <v>7.03015651E8</v>
      </c>
      <c r="C2683" s="28" t="s">
        <v>2858</v>
      </c>
      <c r="D2683" s="26" t="s">
        <v>37</v>
      </c>
      <c r="E2683" s="31">
        <v>46230.0</v>
      </c>
      <c r="F2683" s="26" t="s">
        <v>46</v>
      </c>
      <c r="G2683" s="26">
        <v>6.0</v>
      </c>
      <c r="I2683" s="26" t="s">
        <v>937</v>
      </c>
      <c r="J2683" s="25" t="str">
        <f t="shared" si="40"/>
        <v>No</v>
      </c>
      <c r="K2683" s="25" t="str">
        <f t="shared" si="41"/>
        <v/>
      </c>
      <c r="L2683" s="25" t="str">
        <f t="shared" si="42"/>
        <v/>
      </c>
      <c r="M2683" s="25"/>
      <c r="O2683" s="25"/>
    </row>
    <row r="2684" ht="15.75" customHeight="1">
      <c r="A2684" s="25" t="str">
        <f>IFERROR(__xludf.DUMMYFUNCTION("IF(B2684="""","""",RIGHT(REGEXREPLACE(B2684&amp;"""",""[^0-9]"",""""),9))"),"718205102")</f>
        <v>718205102</v>
      </c>
      <c r="B2684" s="26">
        <v>7.18205102E8</v>
      </c>
      <c r="C2684" s="28" t="s">
        <v>2859</v>
      </c>
      <c r="D2684" s="26" t="s">
        <v>37</v>
      </c>
      <c r="E2684" s="31">
        <v>46230.0</v>
      </c>
      <c r="F2684" s="26" t="s">
        <v>46</v>
      </c>
      <c r="G2684" s="26">
        <v>6.0</v>
      </c>
      <c r="H2684" s="26" t="s">
        <v>2556</v>
      </c>
      <c r="I2684" s="26" t="s">
        <v>937</v>
      </c>
      <c r="J2684" s="25" t="str">
        <f t="shared" si="40"/>
        <v>No</v>
      </c>
      <c r="K2684" s="25" t="str">
        <f t="shared" si="41"/>
        <v/>
      </c>
      <c r="L2684" s="25" t="str">
        <f t="shared" si="42"/>
        <v/>
      </c>
      <c r="M2684" s="25"/>
      <c r="O2684" s="25"/>
    </row>
    <row r="2685" ht="15.75" customHeight="1">
      <c r="A2685" s="25" t="str">
        <f>IFERROR(__xludf.DUMMYFUNCTION("IF(B2685="""","""",RIGHT(REGEXREPLACE(B2685&amp;"""",""[^0-9]"",""""),9))"),"774862890")</f>
        <v>774862890</v>
      </c>
      <c r="B2685" s="26">
        <v>7.7486289E8</v>
      </c>
      <c r="C2685" s="28" t="s">
        <v>2860</v>
      </c>
      <c r="D2685" s="26" t="s">
        <v>37</v>
      </c>
      <c r="E2685" s="31">
        <v>46230.0</v>
      </c>
      <c r="F2685" s="26" t="s">
        <v>659</v>
      </c>
      <c r="G2685" s="26">
        <v>7.0</v>
      </c>
      <c r="I2685" s="26" t="s">
        <v>937</v>
      </c>
      <c r="J2685" s="25" t="str">
        <f t="shared" si="40"/>
        <v>No</v>
      </c>
      <c r="K2685" s="25" t="str">
        <f t="shared" si="41"/>
        <v/>
      </c>
      <c r="L2685" s="25" t="str">
        <f t="shared" si="42"/>
        <v/>
      </c>
      <c r="M2685" s="25"/>
      <c r="O2685" s="25"/>
    </row>
    <row r="2686" ht="15.75" customHeight="1">
      <c r="A2686" s="25" t="str">
        <f>IFERROR(__xludf.DUMMYFUNCTION("IF(B2686="""","""",RIGHT(REGEXREPLACE(B2686&amp;"""",""[^0-9]"",""""),9))"),"704811625")</f>
        <v>704811625</v>
      </c>
      <c r="B2686" s="26">
        <v>7.04811625E8</v>
      </c>
      <c r="C2686" s="28" t="s">
        <v>2861</v>
      </c>
      <c r="D2686" s="26" t="s">
        <v>37</v>
      </c>
      <c r="E2686" s="31">
        <v>46230.0</v>
      </c>
      <c r="F2686" s="26" t="s">
        <v>205</v>
      </c>
      <c r="I2686" s="26" t="s">
        <v>937</v>
      </c>
      <c r="J2686" s="25" t="str">
        <f t="shared" si="40"/>
        <v>No</v>
      </c>
      <c r="K2686" s="25" t="str">
        <f t="shared" si="41"/>
        <v/>
      </c>
      <c r="L2686" s="25" t="str">
        <f t="shared" si="42"/>
        <v/>
      </c>
      <c r="M2686" s="25"/>
      <c r="O2686" s="25"/>
    </row>
    <row r="2687" ht="15.75" customHeight="1">
      <c r="A2687" s="25" t="str">
        <f>IFERROR(__xludf.DUMMYFUNCTION("IF(B2687="""","""",RIGHT(REGEXREPLACE(B2687&amp;"""",""[^0-9]"",""""),9))"),"704297087")</f>
        <v>704297087</v>
      </c>
      <c r="B2687" s="26">
        <v>7.04297087E8</v>
      </c>
      <c r="C2687" s="28" t="s">
        <v>2862</v>
      </c>
      <c r="D2687" s="26" t="s">
        <v>37</v>
      </c>
      <c r="E2687" s="31">
        <v>46230.0</v>
      </c>
      <c r="F2687" s="26" t="s">
        <v>46</v>
      </c>
      <c r="G2687" s="26">
        <v>6.0</v>
      </c>
      <c r="I2687" s="26" t="s">
        <v>937</v>
      </c>
      <c r="J2687" s="25" t="str">
        <f t="shared" si="40"/>
        <v>No</v>
      </c>
      <c r="K2687" s="25" t="str">
        <f t="shared" si="41"/>
        <v/>
      </c>
      <c r="L2687" s="25" t="str">
        <f t="shared" si="42"/>
        <v/>
      </c>
      <c r="M2687" s="25"/>
      <c r="O2687" s="25"/>
    </row>
    <row r="2688" ht="15.75" customHeight="1">
      <c r="A2688" s="25" t="str">
        <f>IFERROR(__xludf.DUMMYFUNCTION("IF(B2688="""","""",RIGHT(REGEXREPLACE(B2688&amp;"""",""[^0-9]"",""""),9))"),"774007038")</f>
        <v>774007038</v>
      </c>
      <c r="B2688" s="26">
        <v>7.74007038E8</v>
      </c>
      <c r="C2688" s="28" t="s">
        <v>2863</v>
      </c>
      <c r="D2688" s="26" t="s">
        <v>37</v>
      </c>
      <c r="E2688" s="31">
        <v>46230.0</v>
      </c>
      <c r="F2688" s="26" t="s">
        <v>125</v>
      </c>
      <c r="G2688" s="26">
        <v>6.0</v>
      </c>
      <c r="I2688" s="26" t="s">
        <v>937</v>
      </c>
      <c r="J2688" s="25" t="str">
        <f t="shared" si="40"/>
        <v>No</v>
      </c>
      <c r="K2688" s="25" t="str">
        <f t="shared" si="41"/>
        <v/>
      </c>
      <c r="L2688" s="25" t="str">
        <f t="shared" si="42"/>
        <v/>
      </c>
      <c r="M2688" s="25"/>
      <c r="O2688" s="25"/>
    </row>
    <row r="2689" ht="15.75" customHeight="1">
      <c r="A2689" s="25" t="str">
        <f>IFERROR(__xludf.DUMMYFUNCTION("IF(B2689="""","""",RIGHT(REGEXREPLACE(B2689&amp;"""",""[^0-9]"",""""),9))"),"767666451")</f>
        <v>767666451</v>
      </c>
      <c r="B2689" s="26">
        <v>7.67666451E8</v>
      </c>
      <c r="C2689" s="28" t="s">
        <v>2864</v>
      </c>
      <c r="D2689" s="26" t="s">
        <v>37</v>
      </c>
      <c r="E2689" s="31">
        <v>46230.0</v>
      </c>
      <c r="F2689" s="26" t="s">
        <v>41</v>
      </c>
      <c r="I2689" s="26" t="s">
        <v>937</v>
      </c>
      <c r="J2689" s="25" t="str">
        <f t="shared" si="40"/>
        <v>No</v>
      </c>
      <c r="K2689" s="25" t="str">
        <f t="shared" si="41"/>
        <v/>
      </c>
      <c r="L2689" s="25" t="str">
        <f t="shared" si="42"/>
        <v/>
      </c>
      <c r="M2689" s="25"/>
      <c r="O2689" s="25"/>
    </row>
    <row r="2690" ht="15.75" customHeight="1">
      <c r="A2690" s="25" t="str">
        <f>IFERROR(__xludf.DUMMYFUNCTION("IF(B2690="""","""",RIGHT(REGEXREPLACE(B2690&amp;"""",""[^0-9]"",""""),9))"),"762869141")</f>
        <v>762869141</v>
      </c>
      <c r="B2690" s="26">
        <v>7.62869141E8</v>
      </c>
      <c r="C2690" s="28" t="s">
        <v>2865</v>
      </c>
      <c r="D2690" s="26" t="s">
        <v>37</v>
      </c>
      <c r="E2690" s="31">
        <v>46230.0</v>
      </c>
      <c r="F2690" s="26" t="s">
        <v>41</v>
      </c>
      <c r="G2690" s="26">
        <v>6.0</v>
      </c>
      <c r="I2690" s="26" t="s">
        <v>937</v>
      </c>
      <c r="J2690" s="25" t="str">
        <f t="shared" si="40"/>
        <v>No</v>
      </c>
      <c r="K2690" s="25" t="str">
        <f t="shared" si="41"/>
        <v/>
      </c>
      <c r="L2690" s="25" t="str">
        <f t="shared" si="42"/>
        <v/>
      </c>
      <c r="M2690" s="25"/>
      <c r="O2690" s="25"/>
    </row>
    <row r="2691" ht="15.75" customHeight="1">
      <c r="A2691" s="25" t="str">
        <f>IFERROR(__xludf.DUMMYFUNCTION("IF(B2691="""","""",RIGHT(REGEXREPLACE(B2691&amp;"""",""[^0-9]"",""""),9))"),"760506412")</f>
        <v>760506412</v>
      </c>
      <c r="B2691" s="26">
        <v>7.60506412E8</v>
      </c>
      <c r="C2691" s="28" t="s">
        <v>2817</v>
      </c>
      <c r="D2691" s="26" t="s">
        <v>37</v>
      </c>
      <c r="E2691" s="31">
        <v>46230.0</v>
      </c>
      <c r="F2691" s="26" t="s">
        <v>41</v>
      </c>
      <c r="I2691" s="26" t="s">
        <v>937</v>
      </c>
      <c r="J2691" s="25" t="str">
        <f t="shared" si="40"/>
        <v>No</v>
      </c>
      <c r="K2691" s="25" t="str">
        <f t="shared" si="41"/>
        <v/>
      </c>
      <c r="L2691" s="25" t="str">
        <f t="shared" si="42"/>
        <v/>
      </c>
      <c r="M2691" s="25"/>
      <c r="O2691" s="25"/>
    </row>
    <row r="2692" ht="15.75" customHeight="1">
      <c r="A2692" s="25" t="str">
        <f>IFERROR(__xludf.DUMMYFUNCTION("IF(B2692="""","""",RIGHT(REGEXREPLACE(B2692&amp;"""",""[^0-9]"",""""),9))"),"772451810")</f>
        <v>772451810</v>
      </c>
      <c r="B2692" s="26">
        <v>7.7245181E8</v>
      </c>
      <c r="C2692" s="28" t="s">
        <v>2821</v>
      </c>
      <c r="D2692" s="26" t="s">
        <v>37</v>
      </c>
      <c r="E2692" s="31">
        <v>46230.0</v>
      </c>
      <c r="F2692" s="26" t="s">
        <v>84</v>
      </c>
      <c r="G2692" s="26">
        <v>9.0</v>
      </c>
      <c r="I2692" s="26" t="s">
        <v>937</v>
      </c>
      <c r="J2692" s="25" t="str">
        <f t="shared" si="40"/>
        <v>No</v>
      </c>
      <c r="K2692" s="25" t="str">
        <f t="shared" si="41"/>
        <v/>
      </c>
      <c r="L2692" s="25" t="str">
        <f t="shared" si="42"/>
        <v/>
      </c>
      <c r="M2692" s="25"/>
      <c r="O2692" s="25"/>
    </row>
    <row r="2693" ht="15.75" customHeight="1">
      <c r="A2693" s="25" t="str">
        <f>IFERROR(__xludf.DUMMYFUNCTION("IF(B2693="""","""",RIGHT(REGEXREPLACE(B2693&amp;"""",""[^0-9]"",""""),9))"),"714158189")</f>
        <v>714158189</v>
      </c>
      <c r="B2693" s="26">
        <v>7.14158189E8</v>
      </c>
      <c r="C2693" s="28" t="s">
        <v>2866</v>
      </c>
      <c r="D2693" s="26" t="s">
        <v>37</v>
      </c>
      <c r="E2693" s="31">
        <v>46230.0</v>
      </c>
      <c r="F2693" s="26" t="s">
        <v>46</v>
      </c>
      <c r="G2693" s="26">
        <v>7.0</v>
      </c>
      <c r="I2693" s="26" t="s">
        <v>937</v>
      </c>
      <c r="J2693" s="25" t="str">
        <f t="shared" si="40"/>
        <v>No</v>
      </c>
      <c r="K2693" s="25" t="str">
        <f t="shared" si="41"/>
        <v/>
      </c>
      <c r="L2693" s="25" t="str">
        <f t="shared" si="42"/>
        <v/>
      </c>
      <c r="M2693" s="25"/>
      <c r="O2693" s="25"/>
    </row>
    <row r="2694" ht="15.75" customHeight="1">
      <c r="A2694" s="25" t="str">
        <f>IFERROR(__xludf.DUMMYFUNCTION("IF(B2694="""","""",RIGHT(REGEXREPLACE(B2694&amp;"""",""[^0-9]"",""""),9))"),"764117425")</f>
        <v>764117425</v>
      </c>
      <c r="B2694" s="26">
        <v>7.64117425E8</v>
      </c>
      <c r="C2694" s="28" t="s">
        <v>2867</v>
      </c>
      <c r="D2694" s="26" t="s">
        <v>37</v>
      </c>
      <c r="E2694" s="31">
        <v>46230.0</v>
      </c>
      <c r="F2694" s="26" t="s">
        <v>46</v>
      </c>
      <c r="G2694" s="26">
        <v>8.0</v>
      </c>
      <c r="H2694" s="26" t="s">
        <v>618</v>
      </c>
      <c r="I2694" s="26" t="s">
        <v>937</v>
      </c>
      <c r="J2694" s="25" t="str">
        <f t="shared" si="40"/>
        <v>No</v>
      </c>
      <c r="K2694" s="25" t="str">
        <f t="shared" si="41"/>
        <v/>
      </c>
      <c r="L2694" s="25" t="str">
        <f t="shared" si="42"/>
        <v/>
      </c>
      <c r="M2694" s="25"/>
      <c r="O2694" s="25"/>
    </row>
    <row r="2695" ht="15.75" customHeight="1">
      <c r="A2695" s="25" t="str">
        <f>IFERROR(__xludf.DUMMYFUNCTION("IF(B2695="""","""",RIGHT(REGEXREPLACE(B2695&amp;"""",""[^0-9]"",""""),9))"),"715960775")</f>
        <v>715960775</v>
      </c>
      <c r="B2695" s="26">
        <v>7.15960775E8</v>
      </c>
      <c r="C2695" s="28" t="s">
        <v>2868</v>
      </c>
      <c r="D2695" s="26" t="s">
        <v>37</v>
      </c>
      <c r="E2695" s="31">
        <v>46230.0</v>
      </c>
      <c r="F2695" s="26" t="s">
        <v>46</v>
      </c>
      <c r="G2695" s="26">
        <v>6.0</v>
      </c>
      <c r="I2695" s="26" t="s">
        <v>937</v>
      </c>
      <c r="J2695" s="25" t="str">
        <f t="shared" si="40"/>
        <v>No</v>
      </c>
      <c r="K2695" s="25" t="str">
        <f t="shared" si="41"/>
        <v/>
      </c>
      <c r="L2695" s="25" t="str">
        <f t="shared" si="42"/>
        <v/>
      </c>
      <c r="M2695" s="25"/>
      <c r="O2695" s="25"/>
    </row>
    <row r="2696" ht="15.75" customHeight="1">
      <c r="A2696" s="25" t="str">
        <f>IFERROR(__xludf.DUMMYFUNCTION("IF(B2696="""","""",RIGHT(REGEXREPLACE(B2696&amp;"""",""[^0-9]"",""""),9))"),"714198296")</f>
        <v>714198296</v>
      </c>
      <c r="B2696" s="26">
        <v>7.14198296E8</v>
      </c>
      <c r="C2696" s="28" t="s">
        <v>2869</v>
      </c>
      <c r="D2696" s="26" t="s">
        <v>37</v>
      </c>
      <c r="E2696" s="31">
        <v>46230.0</v>
      </c>
      <c r="F2696" s="26" t="s">
        <v>41</v>
      </c>
      <c r="I2696" s="26" t="s">
        <v>937</v>
      </c>
      <c r="J2696" s="25" t="str">
        <f t="shared" si="40"/>
        <v>No</v>
      </c>
      <c r="K2696" s="25" t="str">
        <f t="shared" si="41"/>
        <v/>
      </c>
      <c r="L2696" s="25" t="str">
        <f t="shared" si="42"/>
        <v/>
      </c>
      <c r="M2696" s="25"/>
      <c r="O2696" s="25"/>
    </row>
    <row r="2697" ht="15.75" customHeight="1">
      <c r="A2697" s="25" t="str">
        <f>IFERROR(__xludf.DUMMYFUNCTION("IF(B2697="""","""",RIGHT(REGEXREPLACE(B2697&amp;"""",""[^0-9]"",""""),9))"),"784477634")</f>
        <v>784477634</v>
      </c>
      <c r="B2697" s="52">
        <v>7.84477634E8</v>
      </c>
      <c r="C2697" s="28" t="s">
        <v>2870</v>
      </c>
      <c r="D2697" s="26" t="s">
        <v>49</v>
      </c>
      <c r="E2697" s="31">
        <v>46230.0</v>
      </c>
      <c r="F2697" s="26" t="s">
        <v>205</v>
      </c>
      <c r="G2697" s="26">
        <v>11.0</v>
      </c>
      <c r="I2697" s="26" t="s">
        <v>42</v>
      </c>
      <c r="J2697" s="25" t="str">
        <f t="shared" si="40"/>
        <v>No</v>
      </c>
      <c r="K2697" s="25" t="str">
        <f t="shared" si="41"/>
        <v/>
      </c>
      <c r="L2697" s="25" t="str">
        <f t="shared" si="42"/>
        <v/>
      </c>
      <c r="M2697" s="25"/>
      <c r="O2697" s="25"/>
    </row>
    <row r="2698" ht="15.75" customHeight="1">
      <c r="A2698" s="25" t="str">
        <f>IFERROR(__xludf.DUMMYFUNCTION("IF(B2698="""","""",RIGHT(REGEXREPLACE(B2698&amp;"""",""[^0-9]"",""""),9))"),"752794966")</f>
        <v>752794966</v>
      </c>
      <c r="B2698" s="52">
        <v>7.52794966E8</v>
      </c>
      <c r="C2698" s="28" t="s">
        <v>2871</v>
      </c>
      <c r="D2698" s="26" t="s">
        <v>49</v>
      </c>
      <c r="E2698" s="31">
        <v>46230.0</v>
      </c>
      <c r="F2698" s="26" t="s">
        <v>46</v>
      </c>
      <c r="G2698" s="26">
        <v>11.0</v>
      </c>
      <c r="I2698" s="26" t="s">
        <v>42</v>
      </c>
      <c r="J2698" s="25" t="str">
        <f t="shared" si="40"/>
        <v>No</v>
      </c>
      <c r="K2698" s="25" t="str">
        <f t="shared" si="41"/>
        <v/>
      </c>
      <c r="L2698" s="25" t="str">
        <f t="shared" si="42"/>
        <v/>
      </c>
      <c r="M2698" s="25"/>
      <c r="O2698" s="25"/>
    </row>
    <row r="2699" ht="15.75" customHeight="1">
      <c r="A2699" s="25" t="str">
        <f>IFERROR(__xludf.DUMMYFUNCTION("IF(B2699="""","""",RIGHT(REGEXREPLACE(B2699&amp;"""",""[^0-9]"",""""),9))"),"705376055")</f>
        <v>705376055</v>
      </c>
      <c r="B2699" s="26">
        <v>7.05376055E8</v>
      </c>
      <c r="C2699" s="28" t="s">
        <v>414</v>
      </c>
      <c r="D2699" s="26" t="s">
        <v>37</v>
      </c>
      <c r="E2699" s="31">
        <v>46230.0</v>
      </c>
      <c r="F2699" s="26" t="s">
        <v>46</v>
      </c>
      <c r="G2699" s="26">
        <v>8.0</v>
      </c>
      <c r="H2699" s="26" t="s">
        <v>2872</v>
      </c>
      <c r="I2699" s="26" t="s">
        <v>937</v>
      </c>
      <c r="J2699" s="25" t="str">
        <f t="shared" si="40"/>
        <v>No</v>
      </c>
      <c r="K2699" s="25" t="str">
        <f t="shared" si="41"/>
        <v/>
      </c>
      <c r="L2699" s="25" t="str">
        <f t="shared" si="42"/>
        <v/>
      </c>
      <c r="M2699" s="25"/>
      <c r="O2699" s="25"/>
    </row>
    <row r="2700" ht="15.75" customHeight="1">
      <c r="A2700" s="25" t="str">
        <f>IFERROR(__xludf.DUMMYFUNCTION("IF(B2700="""","""",RIGHT(REGEXREPLACE(B2700&amp;"""",""[^0-9]"",""""),9))"),"703012899")</f>
        <v>703012899</v>
      </c>
      <c r="B2700" s="26">
        <v>7.03012899E8</v>
      </c>
      <c r="C2700" s="28" t="s">
        <v>2873</v>
      </c>
      <c r="D2700" s="26" t="s">
        <v>37</v>
      </c>
      <c r="E2700" s="31">
        <v>46230.0</v>
      </c>
      <c r="F2700" s="26" t="s">
        <v>205</v>
      </c>
      <c r="I2700" s="26" t="s">
        <v>937</v>
      </c>
      <c r="J2700" s="25" t="str">
        <f t="shared" si="40"/>
        <v>No</v>
      </c>
      <c r="K2700" s="25" t="str">
        <f t="shared" si="41"/>
        <v/>
      </c>
      <c r="L2700" s="25" t="str">
        <f t="shared" si="42"/>
        <v/>
      </c>
      <c r="M2700" s="25"/>
      <c r="O2700" s="25"/>
    </row>
    <row r="2701" ht="15.75" customHeight="1">
      <c r="A2701" s="25" t="str">
        <f>IFERROR(__xludf.DUMMYFUNCTION("IF(B2701="""","""",RIGHT(REGEXREPLACE(B2701&amp;"""",""[^0-9]"",""""),9))"),"719472883")</f>
        <v>719472883</v>
      </c>
      <c r="B2701" s="26">
        <v>7.19472883E8</v>
      </c>
      <c r="C2701" s="28" t="s">
        <v>2874</v>
      </c>
      <c r="D2701" s="26" t="s">
        <v>37</v>
      </c>
      <c r="E2701" s="31">
        <v>46230.0</v>
      </c>
      <c r="F2701" s="26" t="s">
        <v>46</v>
      </c>
      <c r="G2701" s="26">
        <v>6.0</v>
      </c>
      <c r="I2701" s="26" t="s">
        <v>937</v>
      </c>
      <c r="J2701" s="25" t="str">
        <f t="shared" si="40"/>
        <v>No</v>
      </c>
      <c r="K2701" s="25" t="str">
        <f t="shared" si="41"/>
        <v/>
      </c>
      <c r="L2701" s="25" t="str">
        <f t="shared" si="42"/>
        <v/>
      </c>
      <c r="M2701" s="25"/>
      <c r="O2701" s="25"/>
    </row>
    <row r="2702" ht="15.75" customHeight="1">
      <c r="A2702" s="25" t="str">
        <f>IFERROR(__xludf.DUMMYFUNCTION("IF(B2702="""","""",RIGHT(REGEXREPLACE(B2702&amp;"""",""[^0-9]"",""""),9))"),"743895608")</f>
        <v>743895608</v>
      </c>
      <c r="B2702" s="26">
        <v>7.43895608E8</v>
      </c>
      <c r="C2702" s="28" t="s">
        <v>2875</v>
      </c>
      <c r="D2702" s="26" t="s">
        <v>37</v>
      </c>
      <c r="E2702" s="31">
        <v>46230.0</v>
      </c>
      <c r="F2702" s="26" t="s">
        <v>41</v>
      </c>
      <c r="G2702" s="26">
        <v>9.0</v>
      </c>
      <c r="I2702" s="26" t="s">
        <v>937</v>
      </c>
      <c r="J2702" s="25" t="str">
        <f t="shared" si="40"/>
        <v>No</v>
      </c>
      <c r="K2702" s="25" t="str">
        <f t="shared" si="41"/>
        <v/>
      </c>
      <c r="L2702" s="25" t="str">
        <f t="shared" si="42"/>
        <v/>
      </c>
      <c r="M2702" s="25"/>
      <c r="O2702" s="25"/>
    </row>
    <row r="2703" ht="15.75" customHeight="1">
      <c r="A2703" s="25" t="str">
        <f>IFERROR(__xludf.DUMMYFUNCTION("IF(B2703="""","""",RIGHT(REGEXREPLACE(B2703&amp;"""",""[^0-9]"",""""),9))"),"760888095")</f>
        <v>760888095</v>
      </c>
      <c r="B2703" s="26">
        <v>7.60888095E8</v>
      </c>
      <c r="C2703" s="28" t="s">
        <v>2876</v>
      </c>
      <c r="D2703" s="26" t="s">
        <v>37</v>
      </c>
      <c r="E2703" s="31">
        <v>46230.0</v>
      </c>
      <c r="F2703" s="26" t="s">
        <v>659</v>
      </c>
      <c r="G2703" s="26">
        <v>6.0</v>
      </c>
      <c r="H2703" s="26" t="s">
        <v>253</v>
      </c>
      <c r="I2703" s="26" t="s">
        <v>937</v>
      </c>
      <c r="J2703" s="25" t="str">
        <f t="shared" si="40"/>
        <v>No</v>
      </c>
      <c r="K2703" s="25" t="str">
        <f t="shared" si="41"/>
        <v/>
      </c>
      <c r="L2703" s="25" t="str">
        <f t="shared" si="42"/>
        <v/>
      </c>
      <c r="M2703" s="25"/>
      <c r="O2703" s="25"/>
    </row>
    <row r="2704" ht="15.75" customHeight="1">
      <c r="A2704" s="25" t="str">
        <f>IFERROR(__xludf.DUMMYFUNCTION("IF(B2704="""","""",RIGHT(REGEXREPLACE(B2704&amp;"""",""[^0-9]"",""""),9))"),"705828756")</f>
        <v>705828756</v>
      </c>
      <c r="B2704" s="26">
        <v>7.05828756E8</v>
      </c>
      <c r="C2704" s="28" t="s">
        <v>2877</v>
      </c>
      <c r="D2704" s="26" t="s">
        <v>37</v>
      </c>
      <c r="E2704" s="31">
        <v>46230.0</v>
      </c>
      <c r="F2704" s="26" t="s">
        <v>41</v>
      </c>
      <c r="G2704" s="26">
        <v>6.0</v>
      </c>
      <c r="I2704" s="26" t="s">
        <v>937</v>
      </c>
      <c r="J2704" s="25" t="str">
        <f t="shared" si="40"/>
        <v>No</v>
      </c>
      <c r="K2704" s="25" t="str">
        <f t="shared" si="41"/>
        <v/>
      </c>
      <c r="L2704" s="25" t="str">
        <f t="shared" si="42"/>
        <v/>
      </c>
      <c r="M2704" s="25"/>
      <c r="O2704" s="25"/>
    </row>
    <row r="2705" ht="15.75" customHeight="1">
      <c r="A2705" s="25" t="str">
        <f>IFERROR(__xludf.DUMMYFUNCTION("IF(B2705="""","""",RIGHT(REGEXREPLACE(B2705&amp;"""",""[^0-9]"",""""),9))"),"741963668")</f>
        <v>741963668</v>
      </c>
      <c r="B2705" s="26">
        <v>7.41963668E8</v>
      </c>
      <c r="C2705" s="28" t="s">
        <v>2878</v>
      </c>
      <c r="D2705" s="26" t="s">
        <v>37</v>
      </c>
      <c r="E2705" s="31">
        <v>46230.0</v>
      </c>
      <c r="F2705" s="26" t="s">
        <v>41</v>
      </c>
      <c r="I2705" s="26" t="s">
        <v>937</v>
      </c>
      <c r="J2705" s="25" t="str">
        <f t="shared" si="40"/>
        <v>No</v>
      </c>
      <c r="K2705" s="25" t="str">
        <f t="shared" si="41"/>
        <v/>
      </c>
      <c r="L2705" s="25" t="str">
        <f t="shared" si="42"/>
        <v/>
      </c>
      <c r="M2705" s="25"/>
      <c r="O2705" s="25"/>
    </row>
    <row r="2706" ht="15.75" customHeight="1">
      <c r="A2706" s="25" t="str">
        <f>IFERROR(__xludf.DUMMYFUNCTION("IF(B2706="""","""",RIGHT(REGEXREPLACE(B2706&amp;"""",""[^0-9]"",""""),9))"),"760183738")</f>
        <v>760183738</v>
      </c>
      <c r="B2706" s="26">
        <v>7.60183738E8</v>
      </c>
      <c r="C2706" s="28" t="s">
        <v>2879</v>
      </c>
      <c r="D2706" s="26" t="s">
        <v>37</v>
      </c>
      <c r="E2706" s="31">
        <v>46230.0</v>
      </c>
      <c r="F2706" s="26" t="s">
        <v>46</v>
      </c>
      <c r="G2706" s="26">
        <v>6.0</v>
      </c>
      <c r="H2706" s="26" t="s">
        <v>2850</v>
      </c>
      <c r="I2706" s="26" t="s">
        <v>937</v>
      </c>
      <c r="J2706" s="25" t="str">
        <f t="shared" si="40"/>
        <v>No</v>
      </c>
      <c r="K2706" s="25" t="str">
        <f t="shared" si="41"/>
        <v/>
      </c>
      <c r="L2706" s="25" t="str">
        <f t="shared" si="42"/>
        <v/>
      </c>
      <c r="M2706" s="25"/>
      <c r="O2706" s="25"/>
    </row>
    <row r="2707" ht="15.75" customHeight="1">
      <c r="A2707" s="25" t="str">
        <f>IFERROR(__xludf.DUMMYFUNCTION("IF(B2707="""","""",RIGHT(REGEXREPLACE(B2707&amp;"""",""[^0-9]"",""""),9))"),"717925829")</f>
        <v>717925829</v>
      </c>
      <c r="B2707" s="26">
        <v>7.17925829E8</v>
      </c>
      <c r="C2707" s="28" t="s">
        <v>2880</v>
      </c>
      <c r="D2707" s="26" t="s">
        <v>37</v>
      </c>
      <c r="E2707" s="31">
        <v>46230.0</v>
      </c>
      <c r="F2707" s="26" t="s">
        <v>46</v>
      </c>
      <c r="G2707" s="26">
        <v>7.0</v>
      </c>
      <c r="H2707" s="26" t="s">
        <v>2850</v>
      </c>
      <c r="I2707" s="26" t="s">
        <v>937</v>
      </c>
      <c r="J2707" s="25" t="str">
        <f t="shared" si="40"/>
        <v>No</v>
      </c>
      <c r="K2707" s="25" t="str">
        <f t="shared" si="41"/>
        <v/>
      </c>
      <c r="L2707" s="25" t="str">
        <f t="shared" si="42"/>
        <v/>
      </c>
      <c r="M2707" s="25"/>
      <c r="O2707" s="25"/>
    </row>
    <row r="2708" ht="15.75" customHeight="1">
      <c r="A2708" s="25" t="str">
        <f>IFERROR(__xludf.DUMMYFUNCTION("IF(B2708="""","""",RIGHT(REGEXREPLACE(B2708&amp;"""",""[^0-9]"",""""),9))"),"775424504")</f>
        <v>775424504</v>
      </c>
      <c r="B2708" s="26">
        <v>7.75424504E8</v>
      </c>
      <c r="C2708" s="28" t="s">
        <v>2881</v>
      </c>
      <c r="D2708" s="26" t="s">
        <v>37</v>
      </c>
      <c r="E2708" s="31">
        <v>46230.0</v>
      </c>
      <c r="F2708" s="26" t="s">
        <v>41</v>
      </c>
      <c r="G2708" s="26">
        <v>8.0</v>
      </c>
      <c r="I2708" s="26" t="s">
        <v>937</v>
      </c>
      <c r="J2708" s="25" t="str">
        <f t="shared" si="40"/>
        <v>No</v>
      </c>
      <c r="K2708" s="25" t="str">
        <f t="shared" si="41"/>
        <v/>
      </c>
      <c r="L2708" s="25" t="str">
        <f t="shared" si="42"/>
        <v/>
      </c>
      <c r="M2708" s="25"/>
      <c r="O2708" s="25"/>
    </row>
    <row r="2709" ht="15.75" customHeight="1">
      <c r="A2709" s="25" t="str">
        <f>IFERROR(__xludf.DUMMYFUNCTION("IF(B2709="""","""",RIGHT(REGEXREPLACE(B2709&amp;"""",""[^0-9]"",""""),9))"),"768078922")</f>
        <v>768078922</v>
      </c>
      <c r="B2709" s="26">
        <v>7.68078922E8</v>
      </c>
      <c r="C2709" s="28" t="s">
        <v>2882</v>
      </c>
      <c r="D2709" s="26" t="s">
        <v>37</v>
      </c>
      <c r="E2709" s="31">
        <v>46230.0</v>
      </c>
      <c r="F2709" s="26" t="s">
        <v>205</v>
      </c>
      <c r="G2709" s="26">
        <v>6.0</v>
      </c>
      <c r="I2709" s="26" t="s">
        <v>937</v>
      </c>
      <c r="J2709" s="25" t="str">
        <f t="shared" si="40"/>
        <v>No</v>
      </c>
      <c r="K2709" s="25" t="str">
        <f t="shared" si="41"/>
        <v/>
      </c>
      <c r="L2709" s="25" t="str">
        <f t="shared" si="42"/>
        <v/>
      </c>
      <c r="M2709" s="25"/>
      <c r="O2709" s="25"/>
    </row>
    <row r="2710" ht="15.75" customHeight="1">
      <c r="A2710" s="25" t="str">
        <f>IFERROR(__xludf.DUMMYFUNCTION("IF(B2710="""","""",RIGHT(REGEXREPLACE(B2710&amp;"""",""[^0-9]"",""""),9))"),"712097516")</f>
        <v>712097516</v>
      </c>
      <c r="B2710" s="26">
        <v>7.12097516E8</v>
      </c>
      <c r="C2710" s="28" t="s">
        <v>2883</v>
      </c>
      <c r="D2710" s="26" t="s">
        <v>37</v>
      </c>
      <c r="E2710" s="31">
        <v>46230.0</v>
      </c>
      <c r="F2710" s="26" t="s">
        <v>164</v>
      </c>
      <c r="G2710" s="26">
        <v>6.0</v>
      </c>
      <c r="I2710" s="26" t="s">
        <v>937</v>
      </c>
      <c r="J2710" s="25" t="str">
        <f t="shared" si="40"/>
        <v>No</v>
      </c>
      <c r="K2710" s="25" t="str">
        <f t="shared" si="41"/>
        <v/>
      </c>
      <c r="L2710" s="25" t="str">
        <f t="shared" si="42"/>
        <v/>
      </c>
      <c r="M2710" s="25"/>
      <c r="O2710" s="25"/>
    </row>
    <row r="2711" ht="15.75" customHeight="1">
      <c r="A2711" s="25" t="str">
        <f>IFERROR(__xludf.DUMMYFUNCTION("IF(B2711="""","""",RIGHT(REGEXREPLACE(B2711&amp;"""",""[^0-9]"",""""),9))"),"785155715")</f>
        <v>785155715</v>
      </c>
      <c r="B2711" s="26">
        <v>7.85155715E8</v>
      </c>
      <c r="C2711" s="28" t="s">
        <v>2884</v>
      </c>
      <c r="D2711" s="26" t="s">
        <v>37</v>
      </c>
      <c r="E2711" s="31">
        <v>46230.0</v>
      </c>
      <c r="F2711" s="26" t="s">
        <v>46</v>
      </c>
      <c r="G2711" s="26">
        <v>6.0</v>
      </c>
      <c r="H2711" s="26" t="s">
        <v>2850</v>
      </c>
      <c r="I2711" s="26" t="s">
        <v>937</v>
      </c>
      <c r="J2711" s="25" t="str">
        <f t="shared" si="40"/>
        <v>No</v>
      </c>
      <c r="K2711" s="25" t="str">
        <f t="shared" si="41"/>
        <v/>
      </c>
      <c r="L2711" s="25" t="str">
        <f t="shared" si="42"/>
        <v/>
      </c>
      <c r="M2711" s="25"/>
      <c r="O2711" s="25"/>
    </row>
    <row r="2712" ht="15.75" customHeight="1">
      <c r="A2712" s="25" t="str">
        <f>IFERROR(__xludf.DUMMYFUNCTION("IF(B2712="""","""",RIGHT(REGEXREPLACE(B2712&amp;"""",""[^0-9]"",""""),9))"),"703554833")</f>
        <v>703554833</v>
      </c>
      <c r="B2712" s="26">
        <v>7.03554833E8</v>
      </c>
      <c r="C2712" s="28" t="s">
        <v>2885</v>
      </c>
      <c r="D2712" s="26" t="s">
        <v>37</v>
      </c>
      <c r="E2712" s="31">
        <v>46230.0</v>
      </c>
      <c r="F2712" s="26" t="s">
        <v>46</v>
      </c>
      <c r="G2712" s="26">
        <v>6.0</v>
      </c>
      <c r="H2712" s="26" t="s">
        <v>2850</v>
      </c>
      <c r="I2712" s="26" t="s">
        <v>937</v>
      </c>
      <c r="J2712" s="25" t="str">
        <f t="shared" si="40"/>
        <v>No</v>
      </c>
      <c r="K2712" s="25" t="str">
        <f t="shared" si="41"/>
        <v/>
      </c>
      <c r="L2712" s="25" t="str">
        <f t="shared" si="42"/>
        <v/>
      </c>
      <c r="M2712" s="25"/>
      <c r="O2712" s="25"/>
    </row>
    <row r="2713" ht="15.75" customHeight="1">
      <c r="A2713" s="25" t="str">
        <f>IFERROR(__xludf.DUMMYFUNCTION("IF(B2713="""","""",RIGHT(REGEXREPLACE(B2713&amp;"""",""[^0-9]"",""""),9))"),"778295062")</f>
        <v>778295062</v>
      </c>
      <c r="B2713" s="26">
        <v>7.78295062E8</v>
      </c>
      <c r="C2713" s="28" t="s">
        <v>2886</v>
      </c>
      <c r="D2713" s="26" t="s">
        <v>37</v>
      </c>
      <c r="E2713" s="31">
        <v>46230.0</v>
      </c>
      <c r="F2713" s="26" t="s">
        <v>41</v>
      </c>
      <c r="G2713" s="26">
        <v>8.0</v>
      </c>
      <c r="I2713" s="26" t="s">
        <v>937</v>
      </c>
      <c r="J2713" s="25" t="str">
        <f t="shared" si="40"/>
        <v>No</v>
      </c>
      <c r="K2713" s="25" t="str">
        <f t="shared" si="41"/>
        <v/>
      </c>
      <c r="L2713" s="25" t="str">
        <f t="shared" si="42"/>
        <v/>
      </c>
      <c r="M2713" s="25"/>
      <c r="O2713" s="25"/>
    </row>
    <row r="2714" ht="15.75" customHeight="1">
      <c r="A2714" s="25" t="str">
        <f>IFERROR(__xludf.DUMMYFUNCTION("IF(B2714="""","""",RIGHT(REGEXREPLACE(B2714&amp;"""",""[^0-9]"",""""),9))"),"762074113")</f>
        <v>762074113</v>
      </c>
      <c r="B2714" s="26">
        <v>7.62074113E8</v>
      </c>
      <c r="C2714" s="28" t="s">
        <v>2887</v>
      </c>
      <c r="D2714" s="26" t="s">
        <v>37</v>
      </c>
      <c r="E2714" s="31">
        <v>46230.0</v>
      </c>
      <c r="F2714" s="26" t="s">
        <v>84</v>
      </c>
      <c r="G2714" s="26">
        <v>6.0</v>
      </c>
      <c r="I2714" s="26" t="s">
        <v>937</v>
      </c>
      <c r="J2714" s="25" t="str">
        <f t="shared" si="40"/>
        <v>No</v>
      </c>
      <c r="K2714" s="25" t="str">
        <f t="shared" si="41"/>
        <v/>
      </c>
      <c r="L2714" s="25" t="str">
        <f t="shared" si="42"/>
        <v/>
      </c>
      <c r="M2714" s="25"/>
      <c r="O2714" s="25"/>
    </row>
    <row r="2715" ht="15.75" customHeight="1">
      <c r="A2715" s="25" t="str">
        <f>IFERROR(__xludf.DUMMYFUNCTION("IF(B2715="""","""",RIGHT(REGEXREPLACE(B2715&amp;"""",""[^0-9]"",""""),9))"),"711959444")</f>
        <v>711959444</v>
      </c>
      <c r="B2715" s="26">
        <v>7.11959444E8</v>
      </c>
      <c r="C2715" s="28" t="s">
        <v>2888</v>
      </c>
      <c r="D2715" s="26" t="s">
        <v>37</v>
      </c>
      <c r="E2715" s="31">
        <v>46230.0</v>
      </c>
      <c r="F2715" s="26" t="s">
        <v>41</v>
      </c>
      <c r="I2715" s="26" t="s">
        <v>937</v>
      </c>
      <c r="J2715" s="25" t="str">
        <f t="shared" si="40"/>
        <v>No</v>
      </c>
      <c r="K2715" s="25" t="str">
        <f t="shared" si="41"/>
        <v/>
      </c>
      <c r="L2715" s="25" t="str">
        <f t="shared" si="42"/>
        <v/>
      </c>
      <c r="M2715" s="25"/>
      <c r="O2715" s="25"/>
    </row>
    <row r="2716" ht="15.75" customHeight="1">
      <c r="A2716" s="25" t="str">
        <f>IFERROR(__xludf.DUMMYFUNCTION("IF(B2716="""","""",RIGHT(REGEXREPLACE(B2716&amp;"""",""[^0-9]"",""""),9))"),"704482262")</f>
        <v>704482262</v>
      </c>
      <c r="B2716" s="26">
        <v>7.04482262E8</v>
      </c>
      <c r="C2716" s="28" t="s">
        <v>2889</v>
      </c>
      <c r="D2716" s="26" t="s">
        <v>37</v>
      </c>
      <c r="E2716" s="31">
        <v>46230.0</v>
      </c>
      <c r="F2716" s="26" t="s">
        <v>46</v>
      </c>
      <c r="G2716" s="26">
        <v>7.0</v>
      </c>
      <c r="I2716" s="26" t="s">
        <v>937</v>
      </c>
      <c r="J2716" s="25" t="str">
        <f t="shared" si="40"/>
        <v>No</v>
      </c>
      <c r="K2716" s="25" t="str">
        <f t="shared" si="41"/>
        <v/>
      </c>
      <c r="L2716" s="25" t="str">
        <f t="shared" si="42"/>
        <v/>
      </c>
      <c r="M2716" s="25"/>
      <c r="O2716" s="25"/>
    </row>
    <row r="2717" ht="15.75" customHeight="1">
      <c r="A2717" s="25" t="str">
        <f>IFERROR(__xludf.DUMMYFUNCTION("IF(B2717="""","""",RIGHT(REGEXREPLACE(B2717&amp;"""",""[^0-9]"",""""),9))"),"755606462")</f>
        <v>755606462</v>
      </c>
      <c r="B2717" s="26">
        <v>7.55606462E8</v>
      </c>
      <c r="C2717" s="28" t="s">
        <v>2890</v>
      </c>
      <c r="D2717" s="26" t="s">
        <v>37</v>
      </c>
      <c r="E2717" s="31">
        <v>46230.0</v>
      </c>
      <c r="F2717" s="26" t="s">
        <v>46</v>
      </c>
      <c r="G2717" s="26">
        <v>6.0</v>
      </c>
      <c r="I2717" s="26" t="s">
        <v>937</v>
      </c>
      <c r="J2717" s="25" t="str">
        <f t="shared" si="40"/>
        <v>No</v>
      </c>
      <c r="K2717" s="25" t="str">
        <f t="shared" si="41"/>
        <v/>
      </c>
      <c r="L2717" s="25" t="str">
        <f t="shared" si="42"/>
        <v/>
      </c>
      <c r="M2717" s="25"/>
      <c r="O2717" s="25"/>
    </row>
    <row r="2718" ht="15.75" customHeight="1">
      <c r="A2718" s="25" t="str">
        <f>IFERROR(__xludf.DUMMYFUNCTION("IF(B2718="""","""",RIGHT(REGEXREPLACE(B2718&amp;"""",""[^0-9]"",""""),9))"),"715793902")</f>
        <v>715793902</v>
      </c>
      <c r="B2718" s="26">
        <v>7.15793902E8</v>
      </c>
      <c r="C2718" s="28" t="s">
        <v>2891</v>
      </c>
      <c r="D2718" s="26" t="s">
        <v>37</v>
      </c>
      <c r="E2718" s="31">
        <v>46230.0</v>
      </c>
      <c r="F2718" s="26" t="s">
        <v>46</v>
      </c>
      <c r="G2718" s="26">
        <v>6.0</v>
      </c>
      <c r="H2718" s="26" t="s">
        <v>2892</v>
      </c>
      <c r="I2718" s="26" t="s">
        <v>937</v>
      </c>
      <c r="J2718" s="25" t="str">
        <f t="shared" si="40"/>
        <v>No</v>
      </c>
      <c r="K2718" s="25" t="str">
        <f t="shared" si="41"/>
        <v/>
      </c>
      <c r="L2718" s="25" t="str">
        <f t="shared" si="42"/>
        <v/>
      </c>
      <c r="M2718" s="25"/>
      <c r="O2718" s="25"/>
    </row>
    <row r="2719" ht="15.75" customHeight="1">
      <c r="A2719" s="25" t="str">
        <f>IFERROR(__xludf.DUMMYFUNCTION("IF(B2719="""","""",RIGHT(REGEXREPLACE(B2719&amp;"""",""[^0-9]"",""""),9))"),"763830256")</f>
        <v>763830256</v>
      </c>
      <c r="B2719" s="26">
        <v>7.63830256E8</v>
      </c>
      <c r="C2719" s="28" t="s">
        <v>2893</v>
      </c>
      <c r="D2719" s="26" t="s">
        <v>37</v>
      </c>
      <c r="E2719" s="31">
        <v>46230.0</v>
      </c>
      <c r="F2719" s="26" t="s">
        <v>84</v>
      </c>
      <c r="G2719" s="26">
        <v>11.0</v>
      </c>
      <c r="I2719" s="26" t="s">
        <v>937</v>
      </c>
      <c r="J2719" s="25" t="str">
        <f t="shared" si="40"/>
        <v>No</v>
      </c>
      <c r="K2719" s="25" t="str">
        <f t="shared" si="41"/>
        <v/>
      </c>
      <c r="L2719" s="25" t="str">
        <f t="shared" si="42"/>
        <v/>
      </c>
      <c r="M2719" s="25"/>
      <c r="O2719" s="25"/>
    </row>
    <row r="2720" ht="15.75" customHeight="1">
      <c r="A2720" s="25" t="str">
        <f>IFERROR(__xludf.DUMMYFUNCTION("IF(B2720="""","""",RIGHT(REGEXREPLACE(B2720&amp;"""",""[^0-9]"",""""),9))"),"768300625")</f>
        <v>768300625</v>
      </c>
      <c r="B2720" s="26">
        <v>7.68300625E8</v>
      </c>
      <c r="C2720" s="28" t="s">
        <v>2894</v>
      </c>
      <c r="D2720" s="26" t="s">
        <v>37</v>
      </c>
      <c r="E2720" s="31">
        <v>46230.0</v>
      </c>
      <c r="F2720" s="26" t="s">
        <v>704</v>
      </c>
      <c r="I2720" s="26" t="s">
        <v>937</v>
      </c>
      <c r="J2720" s="25" t="str">
        <f t="shared" si="40"/>
        <v>No</v>
      </c>
      <c r="K2720" s="25" t="str">
        <f t="shared" si="41"/>
        <v/>
      </c>
      <c r="L2720" s="25" t="str">
        <f t="shared" si="42"/>
        <v/>
      </c>
      <c r="M2720" s="25"/>
      <c r="O2720" s="25"/>
    </row>
    <row r="2721" ht="15.75" customHeight="1">
      <c r="A2721" s="25" t="str">
        <f>IFERROR(__xludf.DUMMYFUNCTION("IF(B2721="""","""",RIGHT(REGEXREPLACE(B2721&amp;"""",""[^0-9]"",""""),9))"),"767226790")</f>
        <v>767226790</v>
      </c>
      <c r="B2721" s="26">
        <v>7.6722679E8</v>
      </c>
      <c r="C2721" s="28" t="s">
        <v>2895</v>
      </c>
      <c r="D2721" s="26" t="s">
        <v>37</v>
      </c>
      <c r="E2721" s="31">
        <v>46230.0</v>
      </c>
      <c r="F2721" s="26" t="s">
        <v>659</v>
      </c>
      <c r="I2721" s="26" t="s">
        <v>937</v>
      </c>
      <c r="J2721" s="25" t="str">
        <f t="shared" si="40"/>
        <v>No</v>
      </c>
      <c r="K2721" s="25" t="str">
        <f t="shared" si="41"/>
        <v/>
      </c>
      <c r="L2721" s="25" t="str">
        <f t="shared" si="42"/>
        <v/>
      </c>
      <c r="M2721" s="25"/>
      <c r="O2721" s="25"/>
    </row>
    <row r="2722" ht="15.75" customHeight="1">
      <c r="A2722" s="25" t="str">
        <f>IFERROR(__xludf.DUMMYFUNCTION("IF(B2722="""","""",RIGHT(REGEXREPLACE(B2722&amp;"""",""[^0-9]"",""""),9))"),"750842407")</f>
        <v>750842407</v>
      </c>
      <c r="B2722" s="26">
        <v>7.50842407E8</v>
      </c>
      <c r="C2722" s="28" t="s">
        <v>2896</v>
      </c>
      <c r="D2722" s="26" t="s">
        <v>37</v>
      </c>
      <c r="E2722" s="31">
        <v>46230.0</v>
      </c>
      <c r="F2722" s="26" t="s">
        <v>659</v>
      </c>
      <c r="G2722" s="26">
        <v>6.0</v>
      </c>
      <c r="I2722" s="26" t="s">
        <v>937</v>
      </c>
      <c r="J2722" s="25" t="str">
        <f t="shared" si="40"/>
        <v>No</v>
      </c>
      <c r="K2722" s="25" t="str">
        <f t="shared" si="41"/>
        <v/>
      </c>
      <c r="L2722" s="25" t="str">
        <f t="shared" si="42"/>
        <v/>
      </c>
      <c r="M2722" s="25"/>
      <c r="O2722" s="25"/>
    </row>
    <row r="2723" ht="15.75" customHeight="1">
      <c r="A2723" s="25" t="str">
        <f>IFERROR(__xludf.DUMMYFUNCTION("IF(B2723="""","""",RIGHT(REGEXREPLACE(B2723&amp;"""",""[^0-9]"",""""),9))"),"772400908")</f>
        <v>772400908</v>
      </c>
      <c r="B2723" s="26">
        <v>7.72400908E8</v>
      </c>
      <c r="C2723" s="28" t="s">
        <v>2897</v>
      </c>
      <c r="D2723" s="26" t="s">
        <v>37</v>
      </c>
      <c r="E2723" s="31">
        <v>46230.0</v>
      </c>
      <c r="F2723" s="26" t="s">
        <v>41</v>
      </c>
      <c r="I2723" s="26" t="s">
        <v>937</v>
      </c>
      <c r="J2723" s="25" t="str">
        <f t="shared" si="40"/>
        <v>No</v>
      </c>
      <c r="K2723" s="25" t="str">
        <f t="shared" si="41"/>
        <v/>
      </c>
      <c r="L2723" s="25" t="str">
        <f t="shared" si="42"/>
        <v/>
      </c>
      <c r="M2723" s="25"/>
      <c r="O2723" s="25"/>
    </row>
    <row r="2724" ht="15.75" customHeight="1">
      <c r="A2724" s="25" t="str">
        <f>IFERROR(__xludf.DUMMYFUNCTION("IF(B2724="""","""",RIGHT(REGEXREPLACE(B2724&amp;"""",""[^0-9]"",""""),9))"),"765844958")</f>
        <v>765844958</v>
      </c>
      <c r="B2724" s="26">
        <v>7.65844958E8</v>
      </c>
      <c r="C2724" s="28" t="s">
        <v>2898</v>
      </c>
      <c r="D2724" s="26" t="s">
        <v>37</v>
      </c>
      <c r="E2724" s="31">
        <v>46230.0</v>
      </c>
      <c r="F2724" s="26" t="s">
        <v>46</v>
      </c>
      <c r="G2724" s="26">
        <v>9.0</v>
      </c>
      <c r="H2724" s="26" t="s">
        <v>1680</v>
      </c>
      <c r="I2724" s="26" t="s">
        <v>937</v>
      </c>
      <c r="J2724" s="25" t="str">
        <f t="shared" si="40"/>
        <v>No</v>
      </c>
      <c r="K2724" s="25" t="str">
        <f t="shared" si="41"/>
        <v/>
      </c>
      <c r="L2724" s="25" t="str">
        <f t="shared" si="42"/>
        <v/>
      </c>
      <c r="M2724" s="25"/>
      <c r="O2724" s="25"/>
    </row>
    <row r="2725" ht="15.75" customHeight="1">
      <c r="A2725" s="25" t="str">
        <f>IFERROR(__xludf.DUMMYFUNCTION("IF(B2725="""","""",RIGHT(REGEXREPLACE(B2725&amp;"""",""[^0-9]"",""""),9))"),"760011499")</f>
        <v>760011499</v>
      </c>
      <c r="B2725" s="26">
        <v>7.60011499E8</v>
      </c>
      <c r="C2725" s="28" t="s">
        <v>2899</v>
      </c>
      <c r="D2725" s="26" t="s">
        <v>37</v>
      </c>
      <c r="E2725" s="31">
        <v>46230.0</v>
      </c>
      <c r="F2725" s="26" t="s">
        <v>41</v>
      </c>
      <c r="G2725" s="26">
        <v>6.0</v>
      </c>
      <c r="I2725" s="26" t="s">
        <v>937</v>
      </c>
      <c r="J2725" s="25" t="str">
        <f t="shared" si="40"/>
        <v>No</v>
      </c>
      <c r="K2725" s="25" t="str">
        <f t="shared" si="41"/>
        <v/>
      </c>
      <c r="L2725" s="25" t="str">
        <f t="shared" si="42"/>
        <v/>
      </c>
      <c r="M2725" s="25"/>
      <c r="O2725" s="25"/>
    </row>
    <row r="2726" ht="15.75" customHeight="1">
      <c r="A2726" s="25" t="str">
        <f>IFERROR(__xludf.DUMMYFUNCTION("IF(B2726="""","""",RIGHT(REGEXREPLACE(B2726&amp;"""",""[^0-9]"",""""),9))"),"705260820")</f>
        <v>705260820</v>
      </c>
      <c r="B2726" s="26">
        <v>7.0526082E8</v>
      </c>
      <c r="C2726" s="28" t="s">
        <v>2900</v>
      </c>
      <c r="D2726" s="26" t="s">
        <v>37</v>
      </c>
      <c r="E2726" s="31">
        <v>46230.0</v>
      </c>
      <c r="F2726" s="26" t="s">
        <v>46</v>
      </c>
      <c r="G2726" s="26">
        <v>10.0</v>
      </c>
      <c r="I2726" s="26" t="s">
        <v>937</v>
      </c>
      <c r="J2726" s="25" t="str">
        <f t="shared" si="40"/>
        <v>No</v>
      </c>
      <c r="K2726" s="25" t="str">
        <f t="shared" si="41"/>
        <v/>
      </c>
      <c r="L2726" s="25" t="str">
        <f t="shared" si="42"/>
        <v/>
      </c>
      <c r="M2726" s="25"/>
      <c r="O2726" s="25"/>
    </row>
    <row r="2727" ht="15.75" customHeight="1">
      <c r="A2727" s="25" t="str">
        <f>IFERROR(__xludf.DUMMYFUNCTION("IF(B2727="""","""",RIGHT(REGEXREPLACE(B2727&amp;"""",""[^0-9]"",""""),9))"),"772885694")</f>
        <v>772885694</v>
      </c>
      <c r="B2727" s="26">
        <v>7.72885694E8</v>
      </c>
      <c r="C2727" s="28" t="s">
        <v>2901</v>
      </c>
      <c r="D2727" s="26" t="s">
        <v>37</v>
      </c>
      <c r="E2727" s="31">
        <v>46230.0</v>
      </c>
      <c r="F2727" s="26" t="s">
        <v>46</v>
      </c>
      <c r="G2727" s="26">
        <v>7.0</v>
      </c>
      <c r="I2727" s="26" t="s">
        <v>937</v>
      </c>
      <c r="J2727" s="25" t="str">
        <f t="shared" si="40"/>
        <v>No</v>
      </c>
      <c r="K2727" s="25" t="str">
        <f t="shared" si="41"/>
        <v/>
      </c>
      <c r="L2727" s="25" t="str">
        <f t="shared" si="42"/>
        <v/>
      </c>
      <c r="M2727" s="25"/>
      <c r="O2727" s="25"/>
    </row>
    <row r="2728" ht="15.75" customHeight="1">
      <c r="A2728" s="25" t="str">
        <f>IFERROR(__xludf.DUMMYFUNCTION("IF(B2728="""","""",RIGHT(REGEXREPLACE(B2728&amp;"""",""[^0-9]"",""""),9))"),"742619550")</f>
        <v>742619550</v>
      </c>
      <c r="B2728" s="26">
        <v>7.4261955E8</v>
      </c>
      <c r="C2728" s="28" t="s">
        <v>2902</v>
      </c>
      <c r="D2728" s="26" t="s">
        <v>37</v>
      </c>
      <c r="E2728" s="31">
        <v>46230.0</v>
      </c>
      <c r="F2728" s="26" t="s">
        <v>659</v>
      </c>
      <c r="I2728" s="26" t="s">
        <v>937</v>
      </c>
      <c r="J2728" s="25" t="str">
        <f t="shared" si="40"/>
        <v>No</v>
      </c>
      <c r="K2728" s="25" t="str">
        <f t="shared" si="41"/>
        <v/>
      </c>
      <c r="L2728" s="25" t="str">
        <f t="shared" si="42"/>
        <v/>
      </c>
      <c r="M2728" s="25"/>
      <c r="O2728" s="25"/>
    </row>
    <row r="2729" ht="15.75" customHeight="1">
      <c r="A2729" s="25" t="str">
        <f>IFERROR(__xludf.DUMMYFUNCTION("IF(B2729="""","""",RIGHT(REGEXREPLACE(B2729&amp;"""",""[^0-9]"",""""),9))"),"765998589")</f>
        <v>765998589</v>
      </c>
      <c r="B2729" s="26">
        <v>7.65998589E8</v>
      </c>
      <c r="C2729" s="28" t="s">
        <v>2903</v>
      </c>
      <c r="D2729" s="26" t="s">
        <v>37</v>
      </c>
      <c r="E2729" s="31">
        <v>46230.0</v>
      </c>
      <c r="F2729" s="26" t="s">
        <v>84</v>
      </c>
      <c r="G2729" s="26">
        <v>7.0</v>
      </c>
      <c r="I2729" s="26" t="s">
        <v>937</v>
      </c>
      <c r="J2729" s="25" t="str">
        <f t="shared" si="40"/>
        <v>No</v>
      </c>
      <c r="K2729" s="25" t="str">
        <f t="shared" si="41"/>
        <v/>
      </c>
      <c r="L2729" s="25" t="str">
        <f t="shared" si="42"/>
        <v/>
      </c>
      <c r="M2729" s="25"/>
      <c r="O2729" s="25"/>
    </row>
    <row r="2730" ht="15.75" customHeight="1">
      <c r="A2730" s="25" t="str">
        <f>IFERROR(__xludf.DUMMYFUNCTION("IF(B2730="""","""",RIGHT(REGEXREPLACE(B2730&amp;"""",""[^0-9]"",""""),9))"),"774475855")</f>
        <v>774475855</v>
      </c>
      <c r="B2730" s="26">
        <v>7.74475855E8</v>
      </c>
      <c r="C2730" s="28" t="s">
        <v>2904</v>
      </c>
      <c r="D2730" s="26" t="s">
        <v>37</v>
      </c>
      <c r="E2730" s="31">
        <v>46230.0</v>
      </c>
      <c r="F2730" s="26" t="s">
        <v>46</v>
      </c>
      <c r="G2730" s="26">
        <v>6.0</v>
      </c>
      <c r="I2730" s="26" t="s">
        <v>937</v>
      </c>
      <c r="J2730" s="25" t="str">
        <f t="shared" si="40"/>
        <v>No</v>
      </c>
      <c r="K2730" s="25" t="str">
        <f t="shared" si="41"/>
        <v/>
      </c>
      <c r="L2730" s="25" t="str">
        <f t="shared" si="42"/>
        <v/>
      </c>
      <c r="M2730" s="25"/>
      <c r="O2730" s="26" t="s">
        <v>51</v>
      </c>
    </row>
    <row r="2731" ht="15.75" customHeight="1">
      <c r="A2731" s="25" t="str">
        <f>IFERROR(__xludf.DUMMYFUNCTION("IF(B2731="""","""",RIGHT(REGEXREPLACE(B2731&amp;"""",""[^0-9]"",""""),9))"),"772249282")</f>
        <v>772249282</v>
      </c>
      <c r="B2731" s="26">
        <v>7.72249282E8</v>
      </c>
      <c r="C2731" s="28" t="s">
        <v>2905</v>
      </c>
      <c r="D2731" s="26" t="s">
        <v>37</v>
      </c>
      <c r="E2731" s="31">
        <v>46230.0</v>
      </c>
      <c r="F2731" s="26" t="s">
        <v>41</v>
      </c>
      <c r="G2731" s="26">
        <v>7.0</v>
      </c>
      <c r="I2731" s="26" t="s">
        <v>937</v>
      </c>
      <c r="J2731" s="25" t="str">
        <f t="shared" si="40"/>
        <v>No</v>
      </c>
      <c r="K2731" s="25" t="str">
        <f t="shared" si="41"/>
        <v/>
      </c>
      <c r="L2731" s="25" t="str">
        <f t="shared" si="42"/>
        <v/>
      </c>
      <c r="M2731" s="25"/>
      <c r="O2731" s="25"/>
    </row>
    <row r="2732" ht="15.75" customHeight="1">
      <c r="A2732" s="25" t="str">
        <f>IFERROR(__xludf.DUMMYFUNCTION("IF(B2732="""","""",RIGHT(REGEXREPLACE(B2732&amp;"""",""[^0-9]"",""""),9))"),"770288408")</f>
        <v>770288408</v>
      </c>
      <c r="B2732" s="26">
        <v>7.70288408E8</v>
      </c>
      <c r="C2732" s="28" t="s">
        <v>2906</v>
      </c>
      <c r="D2732" s="26" t="s">
        <v>37</v>
      </c>
      <c r="E2732" s="31">
        <v>46230.0</v>
      </c>
      <c r="F2732" s="26" t="s">
        <v>46</v>
      </c>
      <c r="G2732" s="26">
        <v>8.0</v>
      </c>
      <c r="H2732" s="26" t="s">
        <v>2247</v>
      </c>
      <c r="I2732" s="26" t="s">
        <v>937</v>
      </c>
      <c r="J2732" s="25" t="str">
        <f t="shared" si="40"/>
        <v>No</v>
      </c>
      <c r="K2732" s="25" t="str">
        <f t="shared" si="41"/>
        <v/>
      </c>
      <c r="L2732" s="25" t="str">
        <f t="shared" si="42"/>
        <v/>
      </c>
      <c r="M2732" s="25"/>
      <c r="O2732" s="26" t="s">
        <v>51</v>
      </c>
    </row>
    <row r="2733" ht="15.75" customHeight="1">
      <c r="A2733" s="25" t="str">
        <f>IFERROR(__xludf.DUMMYFUNCTION("IF(B2733="""","""",RIGHT(REGEXREPLACE(B2733&amp;"""",""[^0-9]"",""""),9))"),"774797312")</f>
        <v>774797312</v>
      </c>
      <c r="B2733" s="26">
        <v>7.74797312E8</v>
      </c>
      <c r="C2733" s="28" t="s">
        <v>2907</v>
      </c>
      <c r="D2733" s="26" t="s">
        <v>37</v>
      </c>
      <c r="E2733" s="31">
        <v>46230.0</v>
      </c>
      <c r="F2733" s="26" t="s">
        <v>46</v>
      </c>
      <c r="G2733" s="26">
        <v>6.0</v>
      </c>
      <c r="I2733" s="26" t="s">
        <v>937</v>
      </c>
      <c r="J2733" s="25" t="str">
        <f t="shared" si="40"/>
        <v>No</v>
      </c>
      <c r="K2733" s="25" t="str">
        <f t="shared" si="41"/>
        <v/>
      </c>
      <c r="L2733" s="25" t="str">
        <f t="shared" si="42"/>
        <v/>
      </c>
      <c r="M2733" s="25"/>
      <c r="O2733" s="25"/>
    </row>
    <row r="2734" ht="15.75" customHeight="1">
      <c r="A2734" s="25" t="str">
        <f>IFERROR(__xludf.DUMMYFUNCTION("IF(B2734="""","""",RIGHT(REGEXREPLACE(B2734&amp;"""",""[^0-9]"",""""),9))"),"717003606")</f>
        <v>717003606</v>
      </c>
      <c r="B2734" s="26">
        <v>7.17003606E8</v>
      </c>
      <c r="C2734" s="28" t="s">
        <v>2908</v>
      </c>
      <c r="D2734" s="26" t="s">
        <v>37</v>
      </c>
      <c r="E2734" s="31">
        <v>46230.0</v>
      </c>
      <c r="F2734" s="26" t="s">
        <v>46</v>
      </c>
      <c r="G2734" s="26">
        <v>7.0</v>
      </c>
      <c r="H2734" s="26" t="s">
        <v>1369</v>
      </c>
      <c r="I2734" s="26" t="s">
        <v>937</v>
      </c>
      <c r="J2734" s="25" t="str">
        <f t="shared" si="40"/>
        <v>No</v>
      </c>
      <c r="K2734" s="25" t="str">
        <f t="shared" si="41"/>
        <v/>
      </c>
      <c r="L2734" s="25" t="str">
        <f t="shared" si="42"/>
        <v/>
      </c>
      <c r="M2734" s="25"/>
      <c r="O2734" s="25"/>
    </row>
    <row r="2735" ht="15.75" customHeight="1">
      <c r="A2735" s="25" t="str">
        <f>IFERROR(__xludf.DUMMYFUNCTION("IF(B2735="""","""",RIGHT(REGEXREPLACE(B2735&amp;"""",""[^0-9]"",""""),9))"),"769255952")</f>
        <v>769255952</v>
      </c>
      <c r="B2735" s="26">
        <v>7.69255952E8</v>
      </c>
      <c r="C2735" s="28" t="s">
        <v>2909</v>
      </c>
      <c r="D2735" s="26" t="s">
        <v>37</v>
      </c>
      <c r="E2735" s="31">
        <v>46230.0</v>
      </c>
      <c r="F2735" s="26" t="s">
        <v>46</v>
      </c>
      <c r="G2735" s="26" t="s">
        <v>2105</v>
      </c>
      <c r="I2735" s="26" t="s">
        <v>937</v>
      </c>
      <c r="J2735" s="25" t="str">
        <f t="shared" si="40"/>
        <v>No</v>
      </c>
      <c r="K2735" s="25" t="str">
        <f t="shared" si="41"/>
        <v/>
      </c>
      <c r="L2735" s="25" t="str">
        <f t="shared" si="42"/>
        <v/>
      </c>
      <c r="M2735" s="25"/>
      <c r="O2735" s="25"/>
    </row>
    <row r="2736" ht="15.75" customHeight="1">
      <c r="A2736" s="25" t="str">
        <f>IFERROR(__xludf.DUMMYFUNCTION("IF(B2736="""","""",RIGHT(REGEXREPLACE(B2736&amp;"""",""[^0-9]"",""""),9))"),"784907133")</f>
        <v>784907133</v>
      </c>
      <c r="B2736" s="26">
        <v>7.84907133E8</v>
      </c>
      <c r="C2736" s="28" t="s">
        <v>2910</v>
      </c>
      <c r="D2736" s="26" t="s">
        <v>37</v>
      </c>
      <c r="E2736" s="31">
        <v>46230.0</v>
      </c>
      <c r="F2736" s="26" t="s">
        <v>46</v>
      </c>
      <c r="G2736" s="26">
        <v>7.0</v>
      </c>
      <c r="I2736" s="26" t="s">
        <v>937</v>
      </c>
      <c r="J2736" s="25" t="str">
        <f t="shared" si="40"/>
        <v>No</v>
      </c>
      <c r="K2736" s="25" t="str">
        <f t="shared" si="41"/>
        <v/>
      </c>
      <c r="L2736" s="25" t="str">
        <f t="shared" si="42"/>
        <v/>
      </c>
      <c r="M2736" s="25"/>
      <c r="O2736" s="25"/>
    </row>
    <row r="2737" ht="15.75" customHeight="1">
      <c r="A2737" s="25" t="str">
        <f>IFERROR(__xludf.DUMMYFUNCTION("IF(B2737="""","""",RIGHT(REGEXREPLACE(B2737&amp;"""",""[^0-9]"",""""),9))"),"763951300")</f>
        <v>763951300</v>
      </c>
      <c r="B2737" s="26">
        <v>7.639513E8</v>
      </c>
      <c r="C2737" s="28" t="s">
        <v>2911</v>
      </c>
      <c r="D2737" s="26" t="s">
        <v>37</v>
      </c>
      <c r="E2737" s="31">
        <v>46230.0</v>
      </c>
      <c r="F2737" s="26" t="s">
        <v>41</v>
      </c>
      <c r="G2737" s="26">
        <v>10.0</v>
      </c>
      <c r="I2737" s="26" t="s">
        <v>937</v>
      </c>
      <c r="J2737" s="25" t="str">
        <f t="shared" si="40"/>
        <v>No</v>
      </c>
      <c r="K2737" s="25" t="str">
        <f t="shared" si="41"/>
        <v/>
      </c>
      <c r="L2737" s="25" t="str">
        <f t="shared" si="42"/>
        <v/>
      </c>
      <c r="M2737" s="25"/>
      <c r="O2737" s="25"/>
    </row>
    <row r="2738" ht="15.75" customHeight="1">
      <c r="A2738" s="25" t="str">
        <f>IFERROR(__xludf.DUMMYFUNCTION("IF(B2738="""","""",RIGHT(REGEXREPLACE(B2738&amp;"""",""[^0-9]"",""""),9))"),"775176267")</f>
        <v>775176267</v>
      </c>
      <c r="B2738" s="26">
        <v>7.75176267E8</v>
      </c>
      <c r="C2738" s="28" t="s">
        <v>2912</v>
      </c>
      <c r="D2738" s="26" t="s">
        <v>37</v>
      </c>
      <c r="E2738" s="31">
        <v>46230.0</v>
      </c>
      <c r="F2738" s="26" t="s">
        <v>46</v>
      </c>
      <c r="G2738" s="26">
        <v>6.0</v>
      </c>
      <c r="I2738" s="26" t="s">
        <v>937</v>
      </c>
      <c r="J2738" s="25" t="str">
        <f t="shared" si="40"/>
        <v>No</v>
      </c>
      <c r="K2738" s="25" t="str">
        <f t="shared" si="41"/>
        <v/>
      </c>
      <c r="L2738" s="25" t="str">
        <f t="shared" si="42"/>
        <v/>
      </c>
      <c r="M2738" s="25"/>
      <c r="O2738" s="25"/>
    </row>
    <row r="2739" ht="15.75" customHeight="1">
      <c r="A2739" s="25" t="str">
        <f>IFERROR(__xludf.DUMMYFUNCTION("IF(B2739="""","""",RIGHT(REGEXREPLACE(B2739&amp;"""",""[^0-9]"",""""),9))"),"722547547")</f>
        <v>722547547</v>
      </c>
      <c r="B2739" s="26">
        <v>7.22547547E8</v>
      </c>
      <c r="C2739" s="28" t="s">
        <v>2913</v>
      </c>
      <c r="D2739" s="26" t="s">
        <v>37</v>
      </c>
      <c r="E2739" s="31">
        <v>46230.0</v>
      </c>
      <c r="F2739" s="26" t="s">
        <v>205</v>
      </c>
      <c r="I2739" s="26" t="s">
        <v>937</v>
      </c>
      <c r="J2739" s="25" t="str">
        <f t="shared" si="40"/>
        <v>No</v>
      </c>
      <c r="K2739" s="25" t="str">
        <f t="shared" si="41"/>
        <v/>
      </c>
      <c r="L2739" s="25" t="str">
        <f t="shared" si="42"/>
        <v/>
      </c>
      <c r="M2739" s="25"/>
      <c r="O2739" s="25"/>
    </row>
    <row r="2740" ht="15.75" customHeight="1">
      <c r="A2740" s="25" t="str">
        <f>IFERROR(__xludf.DUMMYFUNCTION("IF(B2740="""","""",RIGHT(REGEXREPLACE(B2740&amp;"""",""[^0-9]"",""""),9))"),"725282078")</f>
        <v>725282078</v>
      </c>
      <c r="B2740" s="26">
        <v>7.25282078E8</v>
      </c>
      <c r="C2740" s="28" t="s">
        <v>2914</v>
      </c>
      <c r="D2740" s="26" t="s">
        <v>37</v>
      </c>
      <c r="E2740" s="31">
        <v>46230.0</v>
      </c>
      <c r="F2740" s="26" t="s">
        <v>164</v>
      </c>
      <c r="G2740" s="26">
        <v>6.0</v>
      </c>
      <c r="I2740" s="26" t="s">
        <v>937</v>
      </c>
      <c r="J2740" s="25" t="str">
        <f t="shared" si="40"/>
        <v>No</v>
      </c>
      <c r="K2740" s="25" t="str">
        <f t="shared" si="41"/>
        <v/>
      </c>
      <c r="L2740" s="25" t="str">
        <f t="shared" si="42"/>
        <v/>
      </c>
      <c r="M2740" s="25"/>
      <c r="O2740" s="26" t="s">
        <v>51</v>
      </c>
    </row>
    <row r="2741" ht="15.75" customHeight="1">
      <c r="A2741" s="25" t="str">
        <f>IFERROR(__xludf.DUMMYFUNCTION("IF(B2741="""","""",RIGHT(REGEXREPLACE(B2741&amp;"""",""[^0-9]"",""""),9))"),"703237937")</f>
        <v>703237937</v>
      </c>
      <c r="B2741" s="26">
        <v>7.03237937E8</v>
      </c>
      <c r="C2741" s="28" t="s">
        <v>2915</v>
      </c>
      <c r="D2741" s="26" t="s">
        <v>37</v>
      </c>
      <c r="E2741" s="31">
        <v>46230.0</v>
      </c>
      <c r="F2741" s="26" t="s">
        <v>41</v>
      </c>
      <c r="I2741" s="26" t="s">
        <v>937</v>
      </c>
      <c r="J2741" s="25" t="str">
        <f t="shared" si="40"/>
        <v>No</v>
      </c>
      <c r="K2741" s="25" t="str">
        <f t="shared" si="41"/>
        <v/>
      </c>
      <c r="L2741" s="25" t="str">
        <f t="shared" si="42"/>
        <v/>
      </c>
      <c r="M2741" s="25"/>
      <c r="O2741" s="25"/>
    </row>
    <row r="2742" ht="15.75" customHeight="1">
      <c r="A2742" s="25" t="str">
        <f>IFERROR(__xludf.DUMMYFUNCTION("IF(B2742="""","""",RIGHT(REGEXREPLACE(B2742&amp;"""",""[^0-9]"",""""),9))"),"714501245")</f>
        <v>714501245</v>
      </c>
      <c r="B2742" s="26">
        <v>7.14501245E8</v>
      </c>
      <c r="C2742" s="28" t="s">
        <v>2916</v>
      </c>
      <c r="D2742" s="26" t="s">
        <v>37</v>
      </c>
      <c r="E2742" s="31">
        <v>46230.0</v>
      </c>
      <c r="F2742" s="26" t="s">
        <v>46</v>
      </c>
      <c r="G2742" s="26">
        <v>6.0</v>
      </c>
      <c r="H2742" s="26" t="s">
        <v>2917</v>
      </c>
      <c r="I2742" s="26" t="s">
        <v>937</v>
      </c>
      <c r="J2742" s="25" t="str">
        <f t="shared" si="40"/>
        <v>No</v>
      </c>
      <c r="K2742" s="25" t="str">
        <f t="shared" si="41"/>
        <v/>
      </c>
      <c r="L2742" s="25" t="str">
        <f t="shared" si="42"/>
        <v/>
      </c>
      <c r="M2742" s="25"/>
      <c r="O2742" s="25"/>
    </row>
    <row r="2743" ht="15.75" customHeight="1">
      <c r="A2743" s="25" t="str">
        <f>IFERROR(__xludf.DUMMYFUNCTION("IF(B2743="""","""",RIGHT(REGEXREPLACE(B2743&amp;"""",""[^0-9]"",""""),9))"),"761010473")</f>
        <v>761010473</v>
      </c>
      <c r="B2743" s="26">
        <v>7.61010473E8</v>
      </c>
      <c r="C2743" s="28" t="s">
        <v>2918</v>
      </c>
      <c r="D2743" s="26" t="s">
        <v>37</v>
      </c>
      <c r="E2743" s="31">
        <v>46230.0</v>
      </c>
      <c r="F2743" s="26" t="s">
        <v>164</v>
      </c>
      <c r="G2743" s="26">
        <v>6.0</v>
      </c>
      <c r="I2743" s="26" t="s">
        <v>937</v>
      </c>
      <c r="J2743" s="25" t="str">
        <f t="shared" si="40"/>
        <v>No</v>
      </c>
      <c r="K2743" s="25" t="str">
        <f t="shared" si="41"/>
        <v/>
      </c>
      <c r="L2743" s="25" t="str">
        <f t="shared" si="42"/>
        <v/>
      </c>
      <c r="M2743" s="25"/>
      <c r="O2743" s="25"/>
    </row>
    <row r="2744" ht="15.75" customHeight="1">
      <c r="A2744" s="25" t="str">
        <f>IFERROR(__xludf.DUMMYFUNCTION("IF(B2744="""","""",RIGHT(REGEXREPLACE(B2744&amp;"""",""[^0-9]"",""""),9))"),"717837937")</f>
        <v>717837937</v>
      </c>
      <c r="B2744" s="26">
        <v>7.17837937E8</v>
      </c>
      <c r="C2744" s="28" t="s">
        <v>2919</v>
      </c>
      <c r="D2744" s="26" t="s">
        <v>37</v>
      </c>
      <c r="E2744" s="31">
        <v>46230.0</v>
      </c>
      <c r="F2744" s="26" t="s">
        <v>46</v>
      </c>
      <c r="G2744" s="26">
        <v>6.0</v>
      </c>
      <c r="H2744" s="26" t="s">
        <v>1842</v>
      </c>
      <c r="I2744" s="26" t="s">
        <v>937</v>
      </c>
      <c r="J2744" s="25" t="str">
        <f t="shared" si="40"/>
        <v>No</v>
      </c>
      <c r="K2744" s="25" t="str">
        <f t="shared" si="41"/>
        <v/>
      </c>
      <c r="L2744" s="25" t="str">
        <f t="shared" si="42"/>
        <v/>
      </c>
      <c r="M2744" s="25"/>
      <c r="O2744" s="25"/>
    </row>
    <row r="2745" ht="15.75" customHeight="1">
      <c r="A2745" s="25" t="str">
        <f>IFERROR(__xludf.DUMMYFUNCTION("IF(B2745="""","""",RIGHT(REGEXREPLACE(B2745&amp;"""",""[^0-9]"",""""),9))"),"762142128")</f>
        <v>762142128</v>
      </c>
      <c r="B2745" s="26">
        <v>7.62142128E8</v>
      </c>
      <c r="C2745" s="28" t="s">
        <v>2920</v>
      </c>
      <c r="D2745" s="26" t="s">
        <v>37</v>
      </c>
      <c r="E2745" s="31">
        <v>46230.0</v>
      </c>
      <c r="F2745" s="26" t="s">
        <v>46</v>
      </c>
      <c r="G2745" s="26">
        <v>8.0</v>
      </c>
      <c r="I2745" s="26" t="s">
        <v>937</v>
      </c>
      <c r="J2745" s="25" t="str">
        <f t="shared" si="40"/>
        <v>No</v>
      </c>
      <c r="K2745" s="25" t="str">
        <f t="shared" si="41"/>
        <v/>
      </c>
      <c r="L2745" s="25" t="str">
        <f t="shared" si="42"/>
        <v/>
      </c>
      <c r="M2745" s="25"/>
      <c r="O2745" s="26" t="s">
        <v>51</v>
      </c>
    </row>
    <row r="2746" ht="15.75" customHeight="1">
      <c r="A2746" s="25" t="str">
        <f>IFERROR(__xludf.DUMMYFUNCTION("IF(B2746="""","""",RIGHT(REGEXREPLACE(B2746&amp;"""",""[^0-9]"",""""),9))"),"773774582")</f>
        <v>773774582</v>
      </c>
      <c r="B2746" s="26">
        <v>7.73774582E8</v>
      </c>
      <c r="C2746" s="28" t="s">
        <v>2921</v>
      </c>
      <c r="D2746" s="26" t="s">
        <v>37</v>
      </c>
      <c r="E2746" s="31">
        <v>46230.0</v>
      </c>
      <c r="F2746" s="26" t="s">
        <v>46</v>
      </c>
      <c r="G2746" s="26">
        <v>6.0</v>
      </c>
      <c r="H2746" s="26" t="s">
        <v>253</v>
      </c>
      <c r="I2746" s="26" t="s">
        <v>937</v>
      </c>
      <c r="J2746" s="25" t="str">
        <f t="shared" si="40"/>
        <v>No</v>
      </c>
      <c r="K2746" s="25" t="str">
        <f t="shared" si="41"/>
        <v/>
      </c>
      <c r="L2746" s="25" t="str">
        <f t="shared" si="42"/>
        <v/>
      </c>
      <c r="M2746" s="25"/>
      <c r="O2746" s="25"/>
    </row>
    <row r="2747" ht="15.75" customHeight="1">
      <c r="A2747" s="25" t="str">
        <f>IFERROR(__xludf.DUMMYFUNCTION("IF(B2747="""","""",RIGHT(REGEXREPLACE(B2747&amp;"""",""[^0-9]"",""""),9))"),"711246085")</f>
        <v>711246085</v>
      </c>
      <c r="B2747" s="26">
        <v>7.11246085E8</v>
      </c>
      <c r="C2747" s="28" t="s">
        <v>2922</v>
      </c>
      <c r="D2747" s="26" t="s">
        <v>37</v>
      </c>
      <c r="E2747" s="31">
        <v>46230.0</v>
      </c>
      <c r="F2747" s="26" t="s">
        <v>41</v>
      </c>
      <c r="G2747" s="26">
        <v>6.0</v>
      </c>
      <c r="I2747" s="26" t="s">
        <v>937</v>
      </c>
      <c r="J2747" s="25" t="str">
        <f t="shared" si="40"/>
        <v>No</v>
      </c>
      <c r="K2747" s="25" t="str">
        <f t="shared" si="41"/>
        <v/>
      </c>
      <c r="L2747" s="25" t="str">
        <f t="shared" si="42"/>
        <v/>
      </c>
      <c r="M2747" s="25"/>
      <c r="O2747" s="25"/>
    </row>
    <row r="2748" ht="15.75" customHeight="1">
      <c r="A2748" s="25" t="str">
        <f>IFERROR(__xludf.DUMMYFUNCTION("IF(B2748="""","""",RIGHT(REGEXREPLACE(B2748&amp;"""",""[^0-9]"",""""),9))"),"717656125")</f>
        <v>717656125</v>
      </c>
      <c r="B2748" s="26">
        <v>7.17656125E8</v>
      </c>
      <c r="C2748" s="28" t="s">
        <v>2923</v>
      </c>
      <c r="D2748" s="26" t="s">
        <v>37</v>
      </c>
      <c r="E2748" s="31">
        <v>46230.0</v>
      </c>
      <c r="F2748" s="26" t="s">
        <v>41</v>
      </c>
      <c r="G2748" s="26">
        <v>6.0</v>
      </c>
      <c r="I2748" s="26" t="s">
        <v>937</v>
      </c>
      <c r="J2748" s="25" t="str">
        <f t="shared" si="40"/>
        <v>No</v>
      </c>
      <c r="K2748" s="25" t="str">
        <f t="shared" si="41"/>
        <v/>
      </c>
      <c r="L2748" s="25" t="str">
        <f t="shared" si="42"/>
        <v/>
      </c>
      <c r="M2748" s="25"/>
      <c r="O2748" s="26" t="s">
        <v>51</v>
      </c>
      <c r="P2748" s="26">
        <v>6.0</v>
      </c>
    </row>
    <row r="2749" ht="15.75" customHeight="1">
      <c r="A2749" s="25" t="str">
        <f>IFERROR(__xludf.DUMMYFUNCTION("IF(B2749="""","""",RIGHT(REGEXREPLACE(B2749&amp;"""",""[^0-9]"",""""),9))"),"773133954")</f>
        <v>773133954</v>
      </c>
      <c r="B2749" s="26">
        <v>7.73133954E8</v>
      </c>
      <c r="C2749" s="28" t="s">
        <v>2924</v>
      </c>
      <c r="D2749" s="26" t="s">
        <v>37</v>
      </c>
      <c r="E2749" s="31">
        <v>46230.0</v>
      </c>
      <c r="F2749" s="26" t="s">
        <v>46</v>
      </c>
      <c r="G2749" s="26">
        <v>6.0</v>
      </c>
      <c r="I2749" s="26" t="s">
        <v>937</v>
      </c>
      <c r="J2749" s="25" t="str">
        <f t="shared" si="40"/>
        <v>No</v>
      </c>
      <c r="K2749" s="25" t="str">
        <f t="shared" si="41"/>
        <v/>
      </c>
      <c r="L2749" s="25" t="str">
        <f t="shared" si="42"/>
        <v/>
      </c>
      <c r="M2749" s="25"/>
      <c r="O2749" s="25"/>
    </row>
    <row r="2750" ht="15.75" customHeight="1">
      <c r="A2750" s="25" t="str">
        <f>IFERROR(__xludf.DUMMYFUNCTION("IF(B2750="""","""",RIGHT(REGEXREPLACE(B2750&amp;"""",""[^0-9]"",""""),9))"),"766516412")</f>
        <v>766516412</v>
      </c>
      <c r="B2750" s="26">
        <v>7.66516412E8</v>
      </c>
      <c r="C2750" s="28" t="s">
        <v>2925</v>
      </c>
      <c r="D2750" s="26" t="s">
        <v>37</v>
      </c>
      <c r="E2750" s="31">
        <v>46230.0</v>
      </c>
      <c r="F2750" s="26" t="s">
        <v>46</v>
      </c>
      <c r="G2750" s="26">
        <v>6.0</v>
      </c>
      <c r="I2750" s="26" t="s">
        <v>937</v>
      </c>
      <c r="J2750" s="25" t="str">
        <f t="shared" si="40"/>
        <v>No</v>
      </c>
      <c r="K2750" s="25" t="str">
        <f t="shared" si="41"/>
        <v/>
      </c>
      <c r="L2750" s="25" t="str">
        <f t="shared" si="42"/>
        <v/>
      </c>
      <c r="M2750" s="25"/>
      <c r="O2750" s="25"/>
    </row>
    <row r="2751" ht="15.75" customHeight="1">
      <c r="A2751" s="25" t="str">
        <f>IFERROR(__xludf.DUMMYFUNCTION("IF(B2751="""","""",RIGHT(REGEXREPLACE(B2751&amp;"""",""[^0-9]"",""""),9))"),"767280359")</f>
        <v>767280359</v>
      </c>
      <c r="B2751" s="26">
        <v>7.67280359E8</v>
      </c>
      <c r="C2751" s="28" t="s">
        <v>2926</v>
      </c>
      <c r="D2751" s="26" t="s">
        <v>37</v>
      </c>
      <c r="E2751" s="31">
        <v>46230.0</v>
      </c>
      <c r="F2751" s="26" t="s">
        <v>41</v>
      </c>
      <c r="I2751" s="26" t="s">
        <v>937</v>
      </c>
      <c r="J2751" s="25" t="str">
        <f t="shared" si="40"/>
        <v>No</v>
      </c>
      <c r="K2751" s="25" t="str">
        <f t="shared" si="41"/>
        <v/>
      </c>
      <c r="L2751" s="25" t="str">
        <f t="shared" si="42"/>
        <v/>
      </c>
      <c r="M2751" s="25"/>
      <c r="O2751" s="25"/>
    </row>
    <row r="2752" ht="15.75" customHeight="1">
      <c r="A2752" s="25" t="str">
        <f>IFERROR(__xludf.DUMMYFUNCTION("IF(B2752="""","""",RIGHT(REGEXREPLACE(B2752&amp;"""",""[^0-9]"",""""),9))"),"710468182")</f>
        <v>710468182</v>
      </c>
      <c r="B2752" s="26">
        <v>7.10468182E8</v>
      </c>
      <c r="C2752" s="28" t="s">
        <v>2927</v>
      </c>
      <c r="D2752" s="26" t="s">
        <v>37</v>
      </c>
      <c r="E2752" s="31">
        <v>46230.0</v>
      </c>
      <c r="F2752" s="26" t="s">
        <v>46</v>
      </c>
      <c r="G2752" s="26">
        <v>8.0</v>
      </c>
      <c r="I2752" s="26" t="s">
        <v>937</v>
      </c>
      <c r="J2752" s="25" t="str">
        <f t="shared" si="40"/>
        <v>No</v>
      </c>
      <c r="K2752" s="25" t="str">
        <f t="shared" si="41"/>
        <v/>
      </c>
      <c r="L2752" s="25" t="str">
        <f t="shared" si="42"/>
        <v/>
      </c>
      <c r="M2752" s="25"/>
      <c r="O2752" s="25"/>
    </row>
    <row r="2753" ht="15.75" customHeight="1">
      <c r="A2753" s="25" t="str">
        <f>IFERROR(__xludf.DUMMYFUNCTION("IF(B2753="""","""",RIGHT(REGEXREPLACE(B2753&amp;"""",""[^0-9]"",""""),9))"),"772266951")</f>
        <v>772266951</v>
      </c>
      <c r="B2753" s="26">
        <v>7.72266951E8</v>
      </c>
      <c r="C2753" s="28" t="s">
        <v>2928</v>
      </c>
      <c r="D2753" s="26" t="s">
        <v>37</v>
      </c>
      <c r="E2753" s="31">
        <v>46230.0</v>
      </c>
      <c r="F2753" s="26" t="s">
        <v>41</v>
      </c>
      <c r="G2753" s="26">
        <v>6.0</v>
      </c>
      <c r="I2753" s="26" t="s">
        <v>937</v>
      </c>
      <c r="J2753" s="25" t="str">
        <f t="shared" si="40"/>
        <v>No</v>
      </c>
      <c r="K2753" s="25" t="str">
        <f t="shared" si="41"/>
        <v/>
      </c>
      <c r="L2753" s="25" t="str">
        <f t="shared" si="42"/>
        <v/>
      </c>
      <c r="M2753" s="25"/>
      <c r="O2753" s="25"/>
    </row>
    <row r="2754" ht="15.75" customHeight="1">
      <c r="A2754" s="25" t="str">
        <f>IFERROR(__xludf.DUMMYFUNCTION("IF(B2754="""","""",RIGHT(REGEXREPLACE(B2754&amp;"""",""[^0-9]"",""""),9))"),"761959993")</f>
        <v>761959993</v>
      </c>
      <c r="B2754" s="26">
        <v>7.61959993E8</v>
      </c>
      <c r="C2754" s="28" t="s">
        <v>2929</v>
      </c>
      <c r="D2754" s="26" t="s">
        <v>37</v>
      </c>
      <c r="E2754" s="31">
        <v>46230.0</v>
      </c>
      <c r="F2754" s="26" t="s">
        <v>46</v>
      </c>
      <c r="G2754" s="26" t="s">
        <v>2930</v>
      </c>
      <c r="H2754" s="26" t="s">
        <v>611</v>
      </c>
      <c r="I2754" s="26" t="s">
        <v>937</v>
      </c>
      <c r="J2754" s="25" t="str">
        <f t="shared" si="40"/>
        <v>No</v>
      </c>
      <c r="K2754" s="25" t="str">
        <f t="shared" si="41"/>
        <v/>
      </c>
      <c r="L2754" s="25" t="str">
        <f t="shared" si="42"/>
        <v/>
      </c>
      <c r="M2754" s="25"/>
      <c r="O2754" s="25"/>
    </row>
    <row r="2755" ht="15.75" customHeight="1">
      <c r="A2755" s="25" t="str">
        <f>IFERROR(__xludf.DUMMYFUNCTION("IF(B2755="""","""",RIGHT(REGEXREPLACE(B2755&amp;"""",""[^0-9]"",""""),9))"),"741748719")</f>
        <v>741748719</v>
      </c>
      <c r="B2755" s="26">
        <v>7.41748719E8</v>
      </c>
      <c r="C2755" s="28" t="s">
        <v>2817</v>
      </c>
      <c r="D2755" s="26" t="s">
        <v>37</v>
      </c>
      <c r="E2755" s="31">
        <v>46230.0</v>
      </c>
      <c r="F2755" s="26" t="s">
        <v>46</v>
      </c>
      <c r="G2755" s="26">
        <v>6.0</v>
      </c>
      <c r="I2755" s="26" t="s">
        <v>937</v>
      </c>
      <c r="J2755" s="25" t="str">
        <f t="shared" si="40"/>
        <v>No</v>
      </c>
      <c r="K2755" s="25" t="str">
        <f t="shared" si="41"/>
        <v/>
      </c>
      <c r="L2755" s="25" t="str">
        <f t="shared" si="42"/>
        <v/>
      </c>
      <c r="M2755" s="25"/>
      <c r="O2755" s="25"/>
    </row>
    <row r="2756" ht="15.75" customHeight="1">
      <c r="A2756" s="25" t="str">
        <f>IFERROR(__xludf.DUMMYFUNCTION("IF(B2756="""","""",RIGHT(REGEXREPLACE(B2756&amp;"""",""[^0-9]"",""""),9))"),"773365306")</f>
        <v>773365306</v>
      </c>
      <c r="B2756" s="26">
        <v>7.73365306E8</v>
      </c>
      <c r="C2756" s="28" t="s">
        <v>2931</v>
      </c>
      <c r="D2756" s="26" t="s">
        <v>37</v>
      </c>
      <c r="E2756" s="31">
        <v>46230.0</v>
      </c>
      <c r="F2756" s="26" t="s">
        <v>46</v>
      </c>
      <c r="G2756" s="26">
        <v>6.0</v>
      </c>
      <c r="I2756" s="26" t="s">
        <v>937</v>
      </c>
      <c r="J2756" s="25" t="str">
        <f t="shared" si="40"/>
        <v>No</v>
      </c>
      <c r="K2756" s="25" t="str">
        <f t="shared" si="41"/>
        <v/>
      </c>
      <c r="L2756" s="25" t="str">
        <f t="shared" si="42"/>
        <v/>
      </c>
      <c r="M2756" s="25"/>
      <c r="O2756" s="25"/>
    </row>
    <row r="2757" ht="15.75" customHeight="1">
      <c r="A2757" s="25" t="str">
        <f>IFERROR(__xludf.DUMMYFUNCTION("IF(B2757="""","""",RIGHT(REGEXREPLACE(B2757&amp;"""",""[^0-9]"",""""),9))"),"714681886")</f>
        <v>714681886</v>
      </c>
      <c r="B2757" s="26">
        <v>7.14681886E8</v>
      </c>
      <c r="C2757" s="28" t="s">
        <v>2932</v>
      </c>
      <c r="D2757" s="26" t="s">
        <v>37</v>
      </c>
      <c r="E2757" s="31">
        <v>46230.0</v>
      </c>
      <c r="F2757" s="26" t="s">
        <v>164</v>
      </c>
      <c r="I2757" s="26" t="s">
        <v>937</v>
      </c>
      <c r="J2757" s="25" t="str">
        <f t="shared" si="40"/>
        <v>No</v>
      </c>
      <c r="K2757" s="25" t="str">
        <f t="shared" si="41"/>
        <v/>
      </c>
      <c r="L2757" s="25" t="str">
        <f t="shared" si="42"/>
        <v/>
      </c>
      <c r="M2757" s="25"/>
      <c r="O2757" s="25"/>
    </row>
    <row r="2758" ht="15.75" customHeight="1">
      <c r="A2758" s="25" t="str">
        <f>IFERROR(__xludf.DUMMYFUNCTION("IF(B2758="""","""",RIGHT(REGEXREPLACE(B2758&amp;"""",""[^0-9]"",""""),9))"),"764620795")</f>
        <v>764620795</v>
      </c>
      <c r="B2758" s="26">
        <v>7.64620795E8</v>
      </c>
      <c r="C2758" s="28" t="s">
        <v>2933</v>
      </c>
      <c r="D2758" s="26" t="s">
        <v>37</v>
      </c>
      <c r="E2758" s="31">
        <v>46230.0</v>
      </c>
      <c r="F2758" s="26" t="s">
        <v>46</v>
      </c>
      <c r="G2758" s="26">
        <v>6.0</v>
      </c>
      <c r="I2758" s="26" t="s">
        <v>937</v>
      </c>
      <c r="J2758" s="25" t="str">
        <f t="shared" si="40"/>
        <v>No</v>
      </c>
      <c r="K2758" s="25" t="str">
        <f t="shared" si="41"/>
        <v/>
      </c>
      <c r="L2758" s="25" t="str">
        <f t="shared" si="42"/>
        <v/>
      </c>
      <c r="M2758" s="25"/>
      <c r="O2758" s="25"/>
    </row>
    <row r="2759" ht="15.75" customHeight="1">
      <c r="A2759" s="25" t="str">
        <f>IFERROR(__xludf.DUMMYFUNCTION("IF(B2759="""","""",RIGHT(REGEXREPLACE(B2759&amp;"""",""[^0-9]"",""""),9))"),"768025065")</f>
        <v>768025065</v>
      </c>
      <c r="B2759" s="26">
        <v>7.68025065E8</v>
      </c>
      <c r="C2759" s="28" t="s">
        <v>2934</v>
      </c>
      <c r="D2759" s="26" t="s">
        <v>37</v>
      </c>
      <c r="E2759" s="31">
        <v>46230.0</v>
      </c>
      <c r="F2759" s="26" t="s">
        <v>46</v>
      </c>
      <c r="G2759" s="26">
        <v>8.0</v>
      </c>
      <c r="I2759" s="26" t="s">
        <v>937</v>
      </c>
      <c r="J2759" s="25" t="str">
        <f t="shared" si="40"/>
        <v>No</v>
      </c>
      <c r="K2759" s="25" t="str">
        <f t="shared" si="41"/>
        <v/>
      </c>
      <c r="L2759" s="25" t="str">
        <f t="shared" si="42"/>
        <v/>
      </c>
      <c r="M2759" s="25"/>
      <c r="O2759" s="25"/>
    </row>
    <row r="2760" ht="15.75" customHeight="1">
      <c r="A2760" s="25" t="str">
        <f>IFERROR(__xludf.DUMMYFUNCTION("IF(B2760="""","""",RIGHT(REGEXREPLACE(B2760&amp;"""",""[^0-9]"",""""),9))"),"775877462")</f>
        <v>775877462</v>
      </c>
      <c r="B2760" s="26">
        <v>7.75877462E8</v>
      </c>
      <c r="C2760" s="28" t="s">
        <v>2935</v>
      </c>
      <c r="D2760" s="26" t="s">
        <v>37</v>
      </c>
      <c r="E2760" s="31">
        <v>46230.0</v>
      </c>
      <c r="F2760" s="26" t="s">
        <v>41</v>
      </c>
      <c r="G2760" s="26">
        <v>6.0</v>
      </c>
      <c r="H2760" s="26" t="s">
        <v>611</v>
      </c>
      <c r="I2760" s="26" t="s">
        <v>937</v>
      </c>
      <c r="J2760" s="25" t="str">
        <f t="shared" si="40"/>
        <v>No</v>
      </c>
      <c r="K2760" s="25" t="str">
        <f t="shared" si="41"/>
        <v/>
      </c>
      <c r="L2760" s="25" t="str">
        <f t="shared" si="42"/>
        <v/>
      </c>
      <c r="M2760" s="25"/>
      <c r="O2760" s="25"/>
    </row>
    <row r="2761" ht="15.75" customHeight="1">
      <c r="A2761" s="25" t="str">
        <f>IFERROR(__xludf.DUMMYFUNCTION("IF(B2761="""","""",RIGHT(REGEXREPLACE(B2761&amp;"""",""[^0-9]"",""""),9))"),"715163303")</f>
        <v>715163303</v>
      </c>
      <c r="B2761" s="26">
        <v>7.15163303E8</v>
      </c>
      <c r="C2761" s="28" t="s">
        <v>2936</v>
      </c>
      <c r="D2761" s="26" t="s">
        <v>37</v>
      </c>
      <c r="E2761" s="31">
        <v>46230.0</v>
      </c>
      <c r="F2761" s="26" t="s">
        <v>659</v>
      </c>
      <c r="I2761" s="26" t="s">
        <v>937</v>
      </c>
      <c r="J2761" s="25" t="str">
        <f t="shared" si="40"/>
        <v>No</v>
      </c>
      <c r="K2761" s="25" t="str">
        <f t="shared" si="41"/>
        <v/>
      </c>
      <c r="L2761" s="25" t="str">
        <f t="shared" si="42"/>
        <v/>
      </c>
      <c r="M2761" s="25"/>
      <c r="O2761" s="25"/>
    </row>
    <row r="2762" ht="15.75" customHeight="1">
      <c r="A2762" s="25" t="str">
        <f>IFERROR(__xludf.DUMMYFUNCTION("IF(B2762="""","""",RIGHT(REGEXREPLACE(B2762&amp;"""",""[^0-9]"",""""),9))"),"716369488")</f>
        <v>716369488</v>
      </c>
      <c r="B2762" s="26">
        <v>7.16369488E8</v>
      </c>
      <c r="C2762" s="28" t="s">
        <v>2937</v>
      </c>
      <c r="D2762" s="26" t="s">
        <v>37</v>
      </c>
      <c r="E2762" s="31">
        <v>46230.0</v>
      </c>
      <c r="F2762" s="26" t="s">
        <v>46</v>
      </c>
      <c r="G2762" s="26">
        <v>7.0</v>
      </c>
      <c r="I2762" s="26" t="s">
        <v>937</v>
      </c>
      <c r="J2762" s="25" t="str">
        <f t="shared" si="40"/>
        <v>No</v>
      </c>
      <c r="K2762" s="25" t="str">
        <f t="shared" si="41"/>
        <v/>
      </c>
      <c r="L2762" s="25" t="str">
        <f t="shared" si="42"/>
        <v/>
      </c>
      <c r="M2762" s="25"/>
      <c r="O2762" s="25"/>
    </row>
    <row r="2763" ht="15.75" customHeight="1">
      <c r="A2763" s="25" t="str">
        <f>IFERROR(__xludf.DUMMYFUNCTION("IF(B2763="""","""",RIGHT(REGEXREPLACE(B2763&amp;"""",""[^0-9]"",""""),9))"),"769788415")</f>
        <v>769788415</v>
      </c>
      <c r="B2763" s="26">
        <v>7.69788415E8</v>
      </c>
      <c r="C2763" s="28" t="s">
        <v>2938</v>
      </c>
      <c r="D2763" s="26" t="s">
        <v>37</v>
      </c>
      <c r="E2763" s="31">
        <v>46230.0</v>
      </c>
      <c r="F2763" s="26" t="s">
        <v>46</v>
      </c>
      <c r="G2763" s="26">
        <v>5.0</v>
      </c>
      <c r="I2763" s="26" t="s">
        <v>937</v>
      </c>
      <c r="J2763" s="25" t="str">
        <f t="shared" si="40"/>
        <v>No</v>
      </c>
      <c r="K2763" s="25" t="str">
        <f t="shared" si="41"/>
        <v/>
      </c>
      <c r="L2763" s="25" t="str">
        <f t="shared" si="42"/>
        <v/>
      </c>
      <c r="M2763" s="25"/>
      <c r="O2763" s="25"/>
    </row>
    <row r="2764" ht="15.75" customHeight="1">
      <c r="A2764" s="25" t="str">
        <f>IFERROR(__xludf.DUMMYFUNCTION("IF(B2764="""","""",RIGHT(REGEXREPLACE(B2764&amp;"""",""[^0-9]"",""""),9))"),"779969256")</f>
        <v>779969256</v>
      </c>
      <c r="B2764" s="26">
        <v>7.79969256E8</v>
      </c>
      <c r="C2764" s="28" t="s">
        <v>2939</v>
      </c>
      <c r="D2764" s="26" t="s">
        <v>37</v>
      </c>
      <c r="E2764" s="31">
        <v>46230.0</v>
      </c>
      <c r="F2764" s="26" t="s">
        <v>46</v>
      </c>
      <c r="G2764" s="26">
        <v>6.0</v>
      </c>
      <c r="I2764" s="26" t="s">
        <v>937</v>
      </c>
      <c r="J2764" s="25" t="str">
        <f t="shared" si="40"/>
        <v>No</v>
      </c>
      <c r="K2764" s="25" t="str">
        <f t="shared" si="41"/>
        <v/>
      </c>
      <c r="L2764" s="25" t="str">
        <f t="shared" si="42"/>
        <v/>
      </c>
      <c r="M2764" s="25"/>
      <c r="O2764" s="25"/>
    </row>
    <row r="2765" ht="15.75" customHeight="1">
      <c r="A2765" s="25" t="str">
        <f>IFERROR(__xludf.DUMMYFUNCTION("IF(B2765="""","""",RIGHT(REGEXREPLACE(B2765&amp;"""",""[^0-9]"",""""),9))"),"701411909")</f>
        <v>701411909</v>
      </c>
      <c r="B2765" s="26">
        <v>7.01411909E8</v>
      </c>
      <c r="C2765" s="28" t="s">
        <v>2940</v>
      </c>
      <c r="D2765" s="26" t="s">
        <v>37</v>
      </c>
      <c r="E2765" s="31">
        <v>46230.0</v>
      </c>
      <c r="F2765" s="26" t="s">
        <v>46</v>
      </c>
      <c r="G2765" s="26">
        <v>11.0</v>
      </c>
      <c r="H2765" s="26" t="s">
        <v>2556</v>
      </c>
      <c r="I2765" s="26" t="s">
        <v>937</v>
      </c>
      <c r="J2765" s="25" t="str">
        <f t="shared" si="40"/>
        <v>No</v>
      </c>
      <c r="K2765" s="25" t="str">
        <f t="shared" si="41"/>
        <v/>
      </c>
      <c r="L2765" s="25" t="str">
        <f t="shared" si="42"/>
        <v/>
      </c>
      <c r="M2765" s="25"/>
      <c r="O2765" s="25"/>
    </row>
    <row r="2766" ht="15.75" customHeight="1">
      <c r="A2766" s="25" t="str">
        <f>IFERROR(__xludf.DUMMYFUNCTION("IF(B2766="""","""",RIGHT(REGEXREPLACE(B2766&amp;"""",""[^0-9]"",""""),9))"),"713716835")</f>
        <v>713716835</v>
      </c>
      <c r="B2766" s="26">
        <v>7.13716835E8</v>
      </c>
      <c r="C2766" s="28" t="s">
        <v>2941</v>
      </c>
      <c r="D2766" s="26" t="s">
        <v>37</v>
      </c>
      <c r="E2766" s="31">
        <v>46230.0</v>
      </c>
      <c r="F2766" s="26" t="s">
        <v>41</v>
      </c>
      <c r="I2766" s="26" t="s">
        <v>937</v>
      </c>
      <c r="J2766" s="25" t="str">
        <f t="shared" si="40"/>
        <v>No</v>
      </c>
      <c r="K2766" s="25" t="str">
        <f t="shared" si="41"/>
        <v/>
      </c>
      <c r="L2766" s="25" t="str">
        <f t="shared" si="42"/>
        <v/>
      </c>
      <c r="M2766" s="25"/>
      <c r="O2766" s="25"/>
    </row>
    <row r="2767" ht="15.75" customHeight="1">
      <c r="A2767" s="25" t="str">
        <f>IFERROR(__xludf.DUMMYFUNCTION("IF(B2767="""","""",RIGHT(REGEXREPLACE(B2767&amp;"""",""[^0-9]"",""""),9))"),"772575162")</f>
        <v>772575162</v>
      </c>
      <c r="B2767" s="52">
        <v>7.72575162E8</v>
      </c>
      <c r="C2767" s="28" t="s">
        <v>2942</v>
      </c>
      <c r="D2767" s="26" t="s">
        <v>64</v>
      </c>
      <c r="E2767" s="31">
        <v>46230.0</v>
      </c>
      <c r="F2767" s="26" t="s">
        <v>46</v>
      </c>
      <c r="H2767" s="26" t="s">
        <v>2943</v>
      </c>
      <c r="I2767" s="26" t="s">
        <v>42</v>
      </c>
      <c r="J2767" s="25" t="str">
        <f t="shared" si="40"/>
        <v>No</v>
      </c>
      <c r="K2767" s="25" t="str">
        <f t="shared" si="41"/>
        <v/>
      </c>
      <c r="L2767" s="25" t="str">
        <f t="shared" si="42"/>
        <v/>
      </c>
      <c r="M2767" s="25"/>
      <c r="O2767" s="25"/>
    </row>
    <row r="2768" ht="15.75" customHeight="1">
      <c r="A2768" s="25" t="str">
        <f>IFERROR(__xludf.DUMMYFUNCTION("IF(B2768="""","""",RIGHT(REGEXREPLACE(B2768&amp;"""",""[^0-9]"",""""),9))"),"703182847")</f>
        <v>703182847</v>
      </c>
      <c r="B2768" s="52">
        <v>7.03182847E8</v>
      </c>
      <c r="C2768" s="28" t="s">
        <v>2944</v>
      </c>
      <c r="D2768" s="26" t="s">
        <v>56</v>
      </c>
      <c r="E2768" s="31">
        <v>46230.0</v>
      </c>
      <c r="F2768" s="26" t="s">
        <v>46</v>
      </c>
      <c r="G2768" s="26">
        <v>9.0</v>
      </c>
      <c r="H2768" s="26" t="s">
        <v>774</v>
      </c>
      <c r="I2768" s="26" t="s">
        <v>42</v>
      </c>
      <c r="J2768" s="25" t="str">
        <f t="shared" si="40"/>
        <v>No</v>
      </c>
      <c r="K2768" s="25" t="str">
        <f t="shared" si="41"/>
        <v/>
      </c>
      <c r="L2768" s="25" t="str">
        <f t="shared" si="42"/>
        <v/>
      </c>
      <c r="M2768" s="25"/>
      <c r="O2768" s="25"/>
    </row>
    <row r="2769" ht="15.75" customHeight="1">
      <c r="A2769" s="25" t="str">
        <f>IFERROR(__xludf.DUMMYFUNCTION("IF(B2769="""","""",RIGHT(REGEXREPLACE(B2769&amp;"""",""[^0-9]"",""""),9))"),"760523951")</f>
        <v>760523951</v>
      </c>
      <c r="B2769" s="52">
        <v>7.60523951E8</v>
      </c>
      <c r="C2769" s="28" t="s">
        <v>2945</v>
      </c>
      <c r="D2769" s="26" t="s">
        <v>69</v>
      </c>
      <c r="E2769" s="31">
        <v>46230.0</v>
      </c>
      <c r="F2769" s="26" t="s">
        <v>84</v>
      </c>
      <c r="I2769" s="26" t="s">
        <v>42</v>
      </c>
      <c r="J2769" s="25" t="str">
        <f t="shared" si="40"/>
        <v>No</v>
      </c>
      <c r="K2769" s="25" t="str">
        <f t="shared" si="41"/>
        <v/>
      </c>
      <c r="L2769" s="25" t="str">
        <f t="shared" si="42"/>
        <v/>
      </c>
      <c r="M2769" s="25"/>
      <c r="O2769" s="25"/>
    </row>
    <row r="2770" ht="15.75" customHeight="1">
      <c r="A2770" s="25" t="str">
        <f>IFERROR(__xludf.DUMMYFUNCTION("IF(B2770="""","""",RIGHT(REGEXREPLACE(B2770&amp;"""",""[^0-9]"",""""),9))"),"718203942")</f>
        <v>718203942</v>
      </c>
      <c r="B2770" s="52">
        <v>7.18203942E8</v>
      </c>
      <c r="C2770" s="28" t="s">
        <v>2946</v>
      </c>
      <c r="D2770" s="26" t="s">
        <v>49</v>
      </c>
      <c r="E2770" s="31">
        <v>46230.0</v>
      </c>
      <c r="F2770" s="26" t="s">
        <v>41</v>
      </c>
      <c r="G2770" s="26">
        <v>11.0</v>
      </c>
      <c r="I2770" s="26" t="s">
        <v>42</v>
      </c>
      <c r="J2770" s="25" t="str">
        <f t="shared" si="40"/>
        <v>No</v>
      </c>
      <c r="K2770" s="25" t="str">
        <f t="shared" si="41"/>
        <v/>
      </c>
      <c r="L2770" s="25" t="str">
        <f t="shared" si="42"/>
        <v/>
      </c>
      <c r="M2770" s="25"/>
      <c r="O2770" s="25"/>
    </row>
    <row r="2771" ht="15.75" customHeight="1">
      <c r="A2771" s="25" t="str">
        <f>IFERROR(__xludf.DUMMYFUNCTION("IF(B2771="""","""",RIGHT(REGEXREPLACE(B2771&amp;"""",""[^0-9]"",""""),9))"),"716172104")</f>
        <v>716172104</v>
      </c>
      <c r="B2771" s="52">
        <v>7.16172104E8</v>
      </c>
      <c r="C2771" s="28" t="s">
        <v>2947</v>
      </c>
      <c r="D2771" s="26" t="s">
        <v>64</v>
      </c>
      <c r="E2771" s="31">
        <v>46230.0</v>
      </c>
      <c r="F2771" s="26" t="s">
        <v>46</v>
      </c>
      <c r="G2771" s="26">
        <v>11.0</v>
      </c>
      <c r="H2771" s="26" t="s">
        <v>1526</v>
      </c>
      <c r="I2771" s="26" t="s">
        <v>42</v>
      </c>
      <c r="J2771" s="25" t="str">
        <f t="shared" si="40"/>
        <v>No</v>
      </c>
      <c r="K2771" s="25" t="str">
        <f t="shared" si="41"/>
        <v/>
      </c>
      <c r="L2771" s="25" t="str">
        <f t="shared" si="42"/>
        <v/>
      </c>
      <c r="M2771" s="25"/>
      <c r="O2771" s="25"/>
    </row>
    <row r="2772" ht="15.75" customHeight="1">
      <c r="A2772" s="25" t="str">
        <f>IFERROR(__xludf.DUMMYFUNCTION("IF(B2772="""","""",RIGHT(REGEXREPLACE(B2772&amp;"""",""[^0-9]"",""""),9))"),"765947055")</f>
        <v>765947055</v>
      </c>
      <c r="B2772" s="52">
        <v>7.65947055E8</v>
      </c>
      <c r="C2772" s="28" t="s">
        <v>2948</v>
      </c>
      <c r="D2772" s="26" t="s">
        <v>45</v>
      </c>
      <c r="E2772" s="31">
        <v>46230.0</v>
      </c>
      <c r="F2772" s="26" t="s">
        <v>46</v>
      </c>
      <c r="G2772" s="26">
        <v>11.0</v>
      </c>
      <c r="I2772" s="26" t="s">
        <v>42</v>
      </c>
      <c r="J2772" s="25" t="str">
        <f t="shared" si="40"/>
        <v>No</v>
      </c>
      <c r="K2772" s="25" t="str">
        <f t="shared" si="41"/>
        <v/>
      </c>
      <c r="L2772" s="25" t="str">
        <f t="shared" si="42"/>
        <v/>
      </c>
      <c r="M2772" s="25"/>
      <c r="O2772" s="25"/>
    </row>
    <row r="2773" ht="15.75" customHeight="1">
      <c r="A2773" s="25" t="str">
        <f>IFERROR(__xludf.DUMMYFUNCTION("IF(B2773="""","""",RIGHT(REGEXREPLACE(B2773&amp;"""",""[^0-9]"",""""),9))"),"772731272")</f>
        <v>772731272</v>
      </c>
      <c r="B2773" s="52">
        <v>7.72731272E8</v>
      </c>
      <c r="C2773" s="28" t="s">
        <v>2949</v>
      </c>
      <c r="D2773" s="26" t="s">
        <v>49</v>
      </c>
      <c r="E2773" s="31">
        <v>46230.0</v>
      </c>
      <c r="F2773" s="26" t="s">
        <v>46</v>
      </c>
      <c r="I2773" s="26" t="s">
        <v>42</v>
      </c>
      <c r="J2773" s="25" t="str">
        <f t="shared" si="40"/>
        <v>No</v>
      </c>
      <c r="K2773" s="25" t="str">
        <f t="shared" si="41"/>
        <v/>
      </c>
      <c r="L2773" s="25" t="str">
        <f t="shared" si="42"/>
        <v/>
      </c>
      <c r="M2773" s="25"/>
      <c r="O2773" s="25"/>
    </row>
    <row r="2774" ht="15.75" customHeight="1">
      <c r="A2774" s="25" t="str">
        <f>IFERROR(__xludf.DUMMYFUNCTION("IF(B2774="""","""",RIGHT(REGEXREPLACE(B2774&amp;"""",""[^0-9]"",""""),9))"),"741560623")</f>
        <v>741560623</v>
      </c>
      <c r="B2774" s="52">
        <v>7.41560623E8</v>
      </c>
      <c r="C2774" s="28" t="s">
        <v>2950</v>
      </c>
      <c r="D2774" s="26" t="s">
        <v>69</v>
      </c>
      <c r="E2774" s="31">
        <v>46230.0</v>
      </c>
      <c r="F2774" s="26" t="s">
        <v>125</v>
      </c>
      <c r="G2774" s="26">
        <v>10.0</v>
      </c>
      <c r="I2774" s="26" t="s">
        <v>42</v>
      </c>
      <c r="J2774" s="25" t="str">
        <f t="shared" si="40"/>
        <v>No</v>
      </c>
      <c r="K2774" s="25" t="str">
        <f t="shared" si="41"/>
        <v/>
      </c>
      <c r="L2774" s="25" t="str">
        <f t="shared" si="42"/>
        <v/>
      </c>
      <c r="M2774" s="25"/>
      <c r="O2774" s="25"/>
    </row>
    <row r="2775" ht="15.75" customHeight="1">
      <c r="A2775" s="25" t="str">
        <f>IFERROR(__xludf.DUMMYFUNCTION("IF(B2775="""","""",RIGHT(REGEXREPLACE(B2775&amp;"""",""[^0-9]"",""""),9))"),"726695355")</f>
        <v>726695355</v>
      </c>
      <c r="B2775" s="52">
        <v>7.26695355E8</v>
      </c>
      <c r="C2775" s="28" t="s">
        <v>2951</v>
      </c>
      <c r="D2775" s="26" t="s">
        <v>64</v>
      </c>
      <c r="E2775" s="31">
        <v>46230.0</v>
      </c>
      <c r="F2775" s="26" t="s">
        <v>46</v>
      </c>
      <c r="H2775" s="26" t="s">
        <v>1526</v>
      </c>
      <c r="I2775" s="26" t="s">
        <v>42</v>
      </c>
      <c r="J2775" s="25" t="str">
        <f t="shared" si="40"/>
        <v>No</v>
      </c>
      <c r="K2775" s="25" t="str">
        <f t="shared" si="41"/>
        <v/>
      </c>
      <c r="L2775" s="25" t="str">
        <f t="shared" si="42"/>
        <v/>
      </c>
      <c r="M2775" s="25"/>
      <c r="O2775" s="25"/>
    </row>
    <row r="2776" ht="15.75" customHeight="1">
      <c r="A2776" s="25" t="str">
        <f>IFERROR(__xludf.DUMMYFUNCTION("IF(B2776="""","""",RIGHT(REGEXREPLACE(B2776&amp;"""",""[^0-9]"",""""),9))"),"714449060")</f>
        <v>714449060</v>
      </c>
      <c r="B2776" s="52">
        <v>7.1444906E8</v>
      </c>
      <c r="C2776" s="28" t="s">
        <v>2952</v>
      </c>
      <c r="D2776" s="26" t="s">
        <v>82</v>
      </c>
      <c r="E2776" s="31">
        <v>46230.0</v>
      </c>
      <c r="F2776" s="26" t="s">
        <v>41</v>
      </c>
      <c r="I2776" s="26" t="s">
        <v>42</v>
      </c>
      <c r="J2776" s="25" t="str">
        <f t="shared" si="40"/>
        <v>No</v>
      </c>
      <c r="K2776" s="25" t="str">
        <f t="shared" si="41"/>
        <v/>
      </c>
      <c r="L2776" s="25" t="str">
        <f t="shared" si="42"/>
        <v/>
      </c>
      <c r="M2776" s="25"/>
      <c r="O2776" s="25"/>
    </row>
    <row r="2777" ht="15.75" customHeight="1">
      <c r="A2777" s="25" t="str">
        <f>IFERROR(__xludf.DUMMYFUNCTION("IF(B2777="""","""",RIGHT(REGEXREPLACE(B2777&amp;"""",""[^0-9]"",""""),9))"),"771353222")</f>
        <v>771353222</v>
      </c>
      <c r="B2777" s="52">
        <v>7.71353222E8</v>
      </c>
      <c r="C2777" s="28" t="s">
        <v>2953</v>
      </c>
      <c r="D2777" s="26" t="s">
        <v>45</v>
      </c>
      <c r="E2777" s="31">
        <v>46230.0</v>
      </c>
      <c r="F2777" s="26" t="s">
        <v>46</v>
      </c>
      <c r="G2777" s="26">
        <v>11.0</v>
      </c>
      <c r="I2777" s="26" t="s">
        <v>42</v>
      </c>
      <c r="J2777" s="25" t="str">
        <f t="shared" si="40"/>
        <v>No</v>
      </c>
      <c r="K2777" s="25" t="str">
        <f t="shared" si="41"/>
        <v/>
      </c>
      <c r="L2777" s="25" t="str">
        <f t="shared" si="42"/>
        <v/>
      </c>
      <c r="M2777" s="25"/>
      <c r="O2777" s="25"/>
    </row>
    <row r="2778" ht="15.75" customHeight="1">
      <c r="A2778" s="25" t="str">
        <f>IFERROR(__xludf.DUMMYFUNCTION("IF(B2778="""","""",RIGHT(REGEXREPLACE(B2778&amp;"""",""[^0-9]"",""""),9))"),"764027374")</f>
        <v>764027374</v>
      </c>
      <c r="B2778" s="52">
        <v>7.64027374E8</v>
      </c>
      <c r="C2778" s="28" t="s">
        <v>2954</v>
      </c>
      <c r="D2778" s="26" t="s">
        <v>56</v>
      </c>
      <c r="E2778" s="31">
        <v>46230.0</v>
      </c>
      <c r="F2778" s="26" t="s">
        <v>41</v>
      </c>
      <c r="H2778" s="26" t="s">
        <v>796</v>
      </c>
      <c r="I2778" s="26" t="s">
        <v>42</v>
      </c>
      <c r="J2778" s="25" t="str">
        <f t="shared" si="40"/>
        <v>No</v>
      </c>
      <c r="K2778" s="25" t="str">
        <f t="shared" si="41"/>
        <v/>
      </c>
      <c r="L2778" s="25" t="str">
        <f t="shared" si="42"/>
        <v/>
      </c>
      <c r="M2778" s="25"/>
      <c r="O2778" s="25"/>
    </row>
    <row r="2779" ht="15.75" customHeight="1">
      <c r="A2779" s="25" t="str">
        <f>IFERROR(__xludf.DUMMYFUNCTION("IF(B2779="""","""",RIGHT(REGEXREPLACE(B2779&amp;"""",""[^0-9]"",""""),9))"),"771186978")</f>
        <v>771186978</v>
      </c>
      <c r="B2779" s="52">
        <v>7.71186978E8</v>
      </c>
      <c r="C2779" s="28" t="s">
        <v>2955</v>
      </c>
      <c r="D2779" s="26" t="s">
        <v>49</v>
      </c>
      <c r="E2779" s="31">
        <v>46230.0</v>
      </c>
      <c r="F2779" s="26" t="s">
        <v>46</v>
      </c>
      <c r="G2779" s="26">
        <v>10.0</v>
      </c>
      <c r="I2779" s="26" t="s">
        <v>42</v>
      </c>
      <c r="J2779" s="25" t="str">
        <f t="shared" si="40"/>
        <v>No</v>
      </c>
      <c r="K2779" s="25" t="str">
        <f t="shared" si="41"/>
        <v/>
      </c>
      <c r="L2779" s="25" t="str">
        <f t="shared" si="42"/>
        <v/>
      </c>
      <c r="M2779" s="25"/>
      <c r="O2779" s="25"/>
    </row>
    <row r="2780" ht="15.75" customHeight="1">
      <c r="A2780" s="25" t="str">
        <f>IFERROR(__xludf.DUMMYFUNCTION("IF(B2780="""","""",RIGHT(REGEXREPLACE(B2780&amp;"""",""[^0-9]"",""""),9))"),"713716354")</f>
        <v>713716354</v>
      </c>
      <c r="B2780" s="52">
        <v>7.13716354E8</v>
      </c>
      <c r="C2780" s="28" t="s">
        <v>2956</v>
      </c>
      <c r="D2780" s="26" t="s">
        <v>82</v>
      </c>
      <c r="E2780" s="31">
        <v>46230.0</v>
      </c>
      <c r="F2780" s="26" t="s">
        <v>46</v>
      </c>
      <c r="G2780" s="26">
        <v>11.0</v>
      </c>
      <c r="I2780" s="26" t="s">
        <v>42</v>
      </c>
      <c r="J2780" s="25" t="str">
        <f t="shared" si="40"/>
        <v>No</v>
      </c>
      <c r="K2780" s="25" t="str">
        <f t="shared" si="41"/>
        <v/>
      </c>
      <c r="L2780" s="25" t="str">
        <f t="shared" si="42"/>
        <v/>
      </c>
      <c r="M2780" s="25"/>
      <c r="O2780" s="25"/>
    </row>
    <row r="2781" ht="15.75" customHeight="1">
      <c r="A2781" s="25" t="str">
        <f>IFERROR(__xludf.DUMMYFUNCTION("IF(B2781="""","""",RIGHT(REGEXREPLACE(B2781&amp;"""",""[^0-9]"",""""),9))"),"771287669")</f>
        <v>771287669</v>
      </c>
      <c r="B2781" s="52">
        <v>7.71287669E8</v>
      </c>
      <c r="C2781" s="28" t="s">
        <v>2957</v>
      </c>
      <c r="D2781" s="26" t="s">
        <v>69</v>
      </c>
      <c r="E2781" s="31">
        <v>46230.0</v>
      </c>
      <c r="F2781" s="26" t="s">
        <v>205</v>
      </c>
      <c r="I2781" s="26" t="s">
        <v>42</v>
      </c>
      <c r="J2781" s="25" t="str">
        <f t="shared" si="40"/>
        <v>No</v>
      </c>
      <c r="K2781" s="25" t="str">
        <f t="shared" si="41"/>
        <v/>
      </c>
      <c r="L2781" s="25" t="str">
        <f t="shared" si="42"/>
        <v/>
      </c>
      <c r="M2781" s="25"/>
      <c r="O2781" s="25"/>
    </row>
    <row r="2782" ht="15.75" customHeight="1">
      <c r="A2782" s="25" t="str">
        <f>IFERROR(__xludf.DUMMYFUNCTION("IF(B2782="""","""",RIGHT(REGEXREPLACE(B2782&amp;"""",""[^0-9]"",""""),9))"),"743071552")</f>
        <v>743071552</v>
      </c>
      <c r="B2782" s="52">
        <v>7.43071552E8</v>
      </c>
      <c r="C2782" s="28" t="s">
        <v>2958</v>
      </c>
      <c r="D2782" s="26" t="s">
        <v>45</v>
      </c>
      <c r="E2782" s="31">
        <v>46230.0</v>
      </c>
      <c r="F2782" s="26" t="s">
        <v>41</v>
      </c>
      <c r="H2782" s="26" t="s">
        <v>796</v>
      </c>
      <c r="I2782" s="26" t="s">
        <v>42</v>
      </c>
      <c r="J2782" s="25" t="str">
        <f t="shared" si="40"/>
        <v>No</v>
      </c>
      <c r="K2782" s="25" t="str">
        <f t="shared" si="41"/>
        <v/>
      </c>
      <c r="L2782" s="25" t="str">
        <f t="shared" si="42"/>
        <v/>
      </c>
      <c r="M2782" s="25"/>
      <c r="O2782" s="25"/>
    </row>
    <row r="2783" ht="15.75" customHeight="1">
      <c r="A2783" s="25" t="str">
        <f>IFERROR(__xludf.DUMMYFUNCTION("IF(B2783="""","""",RIGHT(REGEXREPLACE(B2783&amp;"""",""[^0-9]"",""""),9))"),"772454933")</f>
        <v>772454933</v>
      </c>
      <c r="B2783" s="52">
        <v>7.72454933E8</v>
      </c>
      <c r="C2783" s="28" t="s">
        <v>2959</v>
      </c>
      <c r="D2783" s="26" t="s">
        <v>56</v>
      </c>
      <c r="E2783" s="31">
        <v>46230.0</v>
      </c>
      <c r="F2783" s="26" t="s">
        <v>205</v>
      </c>
      <c r="H2783" s="26" t="s">
        <v>796</v>
      </c>
      <c r="I2783" s="26" t="s">
        <v>42</v>
      </c>
      <c r="J2783" s="25" t="str">
        <f t="shared" si="40"/>
        <v>No</v>
      </c>
      <c r="K2783" s="25" t="str">
        <f t="shared" si="41"/>
        <v/>
      </c>
      <c r="L2783" s="25" t="str">
        <f t="shared" si="42"/>
        <v/>
      </c>
      <c r="M2783" s="25"/>
      <c r="O2783" s="25"/>
    </row>
    <row r="2784" ht="15.75" customHeight="1">
      <c r="A2784" s="25" t="str">
        <f>IFERROR(__xludf.DUMMYFUNCTION("IF(B2784="""","""",RIGHT(REGEXREPLACE(B2784&amp;"""",""[^0-9]"",""""),9))"),"718277936")</f>
        <v>718277936</v>
      </c>
      <c r="B2784" s="52">
        <v>7.18277936E8</v>
      </c>
      <c r="C2784" s="28" t="s">
        <v>2960</v>
      </c>
      <c r="D2784" s="26" t="s">
        <v>49</v>
      </c>
      <c r="E2784" s="31">
        <v>46230.0</v>
      </c>
      <c r="F2784" s="26" t="s">
        <v>41</v>
      </c>
      <c r="G2784" s="26">
        <v>11.0</v>
      </c>
      <c r="I2784" s="26" t="s">
        <v>42</v>
      </c>
      <c r="J2784" s="25" t="str">
        <f t="shared" si="40"/>
        <v>No</v>
      </c>
      <c r="K2784" s="25" t="str">
        <f t="shared" si="41"/>
        <v/>
      </c>
      <c r="L2784" s="25" t="str">
        <f t="shared" si="42"/>
        <v/>
      </c>
      <c r="M2784" s="25"/>
      <c r="O2784" s="25"/>
    </row>
    <row r="2785" ht="15.75" customHeight="1">
      <c r="A2785" s="25" t="str">
        <f>IFERROR(__xludf.DUMMYFUNCTION("IF(B2785="""","""",RIGHT(REGEXREPLACE(B2785&amp;"""",""[^0-9]"",""""),9))"),"772929521")</f>
        <v>772929521</v>
      </c>
      <c r="B2785" s="52">
        <v>7.72929521E8</v>
      </c>
      <c r="C2785" s="28" t="s">
        <v>2961</v>
      </c>
      <c r="D2785" s="26" t="s">
        <v>69</v>
      </c>
      <c r="E2785" s="31">
        <v>46230.0</v>
      </c>
      <c r="F2785" s="26" t="s">
        <v>46</v>
      </c>
      <c r="G2785" s="26">
        <v>11.0</v>
      </c>
      <c r="I2785" s="26" t="s">
        <v>42</v>
      </c>
      <c r="J2785" s="25" t="str">
        <f t="shared" si="40"/>
        <v>No</v>
      </c>
      <c r="K2785" s="25" t="str">
        <f t="shared" si="41"/>
        <v/>
      </c>
      <c r="L2785" s="25" t="str">
        <f t="shared" si="42"/>
        <v/>
      </c>
      <c r="M2785" s="25"/>
      <c r="O2785" s="25"/>
    </row>
    <row r="2786" ht="15.75" customHeight="1">
      <c r="A2786" s="25" t="str">
        <f>IFERROR(__xludf.DUMMYFUNCTION("IF(B2786="""","""",RIGHT(REGEXREPLACE(B2786&amp;"""",""[^0-9]"",""""),9))"),"713540128")</f>
        <v>713540128</v>
      </c>
      <c r="B2786" s="52">
        <v>7.13540128E8</v>
      </c>
      <c r="C2786" s="28" t="s">
        <v>2962</v>
      </c>
      <c r="D2786" s="26" t="s">
        <v>56</v>
      </c>
      <c r="E2786" s="31">
        <v>46230.0</v>
      </c>
      <c r="F2786" s="26" t="s">
        <v>41</v>
      </c>
      <c r="H2786" s="26" t="s">
        <v>796</v>
      </c>
      <c r="I2786" s="26" t="s">
        <v>42</v>
      </c>
      <c r="J2786" s="25" t="str">
        <f t="shared" si="40"/>
        <v>No</v>
      </c>
      <c r="K2786" s="25" t="str">
        <f t="shared" si="41"/>
        <v/>
      </c>
      <c r="L2786" s="25" t="str">
        <f t="shared" si="42"/>
        <v/>
      </c>
      <c r="M2786" s="25"/>
      <c r="O2786" s="25"/>
    </row>
    <row r="2787" ht="15.75" customHeight="1">
      <c r="A2787" s="25" t="str">
        <f>IFERROR(__xludf.DUMMYFUNCTION("IF(B2787="""","""",RIGHT(REGEXREPLACE(B2787&amp;"""",""[^0-9]"",""""),9))"),"788744765")</f>
        <v>788744765</v>
      </c>
      <c r="B2787" s="52">
        <v>7.88744765E8</v>
      </c>
      <c r="C2787" s="28" t="s">
        <v>2963</v>
      </c>
      <c r="D2787" s="26" t="s">
        <v>49</v>
      </c>
      <c r="E2787" s="31">
        <v>46230.0</v>
      </c>
      <c r="F2787" s="26" t="s">
        <v>41</v>
      </c>
      <c r="G2787" s="26">
        <v>11.0</v>
      </c>
      <c r="I2787" s="26" t="s">
        <v>42</v>
      </c>
      <c r="J2787" s="25" t="str">
        <f t="shared" si="40"/>
        <v>No</v>
      </c>
      <c r="K2787" s="25" t="str">
        <f t="shared" si="41"/>
        <v/>
      </c>
      <c r="L2787" s="25" t="str">
        <f t="shared" si="42"/>
        <v/>
      </c>
      <c r="M2787" s="25"/>
      <c r="O2787" s="25"/>
    </row>
    <row r="2788" ht="15.75" customHeight="1">
      <c r="A2788" s="25" t="str">
        <f>IFERROR(__xludf.DUMMYFUNCTION("IF(B2788="""","""",RIGHT(REGEXREPLACE(B2788&amp;"""",""[^0-9]"",""""),9))"),"715552935")</f>
        <v>715552935</v>
      </c>
      <c r="B2788" s="52">
        <v>7.15552935E8</v>
      </c>
      <c r="C2788" s="28" t="s">
        <v>2964</v>
      </c>
      <c r="D2788" s="26" t="s">
        <v>82</v>
      </c>
      <c r="E2788" s="31">
        <v>46230.0</v>
      </c>
      <c r="F2788" s="26" t="s">
        <v>46</v>
      </c>
      <c r="G2788" s="26">
        <v>11.0</v>
      </c>
      <c r="I2788" s="26" t="s">
        <v>42</v>
      </c>
      <c r="J2788" s="25" t="str">
        <f t="shared" si="40"/>
        <v>No</v>
      </c>
      <c r="K2788" s="25" t="str">
        <f t="shared" si="41"/>
        <v/>
      </c>
      <c r="L2788" s="25" t="str">
        <f t="shared" si="42"/>
        <v/>
      </c>
      <c r="M2788" s="25"/>
      <c r="O2788" s="25"/>
    </row>
    <row r="2789" ht="15.75" customHeight="1">
      <c r="A2789" s="25" t="str">
        <f>IFERROR(__xludf.DUMMYFUNCTION("IF(B2789="""","""",RIGHT(REGEXREPLACE(B2789&amp;"""",""[^0-9]"",""""),9))"),"771837312")</f>
        <v>771837312</v>
      </c>
      <c r="B2789" s="52">
        <v>7.71837312E8</v>
      </c>
      <c r="C2789" s="28" t="s">
        <v>382</v>
      </c>
      <c r="D2789" s="26" t="s">
        <v>69</v>
      </c>
      <c r="E2789" s="31">
        <v>46230.0</v>
      </c>
      <c r="F2789" s="26" t="s">
        <v>659</v>
      </c>
      <c r="I2789" s="26" t="s">
        <v>42</v>
      </c>
      <c r="J2789" s="25" t="str">
        <f t="shared" si="40"/>
        <v>Yes - see Previous F-Code</v>
      </c>
      <c r="K2789" s="25" t="str">
        <f t="shared" si="41"/>
        <v>DUPLICATE - CHECK</v>
      </c>
      <c r="L2789" s="25" t="str">
        <f t="shared" si="42"/>
        <v>F70223</v>
      </c>
      <c r="M2789" s="25"/>
      <c r="O2789" s="25"/>
    </row>
    <row r="2790" ht="15.75" customHeight="1">
      <c r="A2790" s="25" t="str">
        <f>IFERROR(__xludf.DUMMYFUNCTION("IF(B2790="""","""",RIGHT(REGEXREPLACE(B2790&amp;"""",""[^0-9]"",""""),9))"),"772828169")</f>
        <v>772828169</v>
      </c>
      <c r="B2790" s="52">
        <v>7.72828169E8</v>
      </c>
      <c r="C2790" s="28" t="s">
        <v>2965</v>
      </c>
      <c r="D2790" s="26" t="s">
        <v>56</v>
      </c>
      <c r="E2790" s="31">
        <v>46230.0</v>
      </c>
      <c r="F2790" s="26" t="s">
        <v>125</v>
      </c>
      <c r="I2790" s="26" t="s">
        <v>42</v>
      </c>
      <c r="J2790" s="25" t="str">
        <f t="shared" si="40"/>
        <v>No</v>
      </c>
      <c r="K2790" s="25" t="str">
        <f t="shared" si="41"/>
        <v/>
      </c>
      <c r="L2790" s="25" t="str">
        <f t="shared" si="42"/>
        <v/>
      </c>
      <c r="M2790" s="25"/>
      <c r="O2790" s="25"/>
    </row>
    <row r="2791" ht="15.75" customHeight="1">
      <c r="A2791" s="25" t="str">
        <f>IFERROR(__xludf.DUMMYFUNCTION("IF(B2791="""","""",RIGHT(REGEXREPLACE(B2791&amp;"""",""[^0-9]"",""""),9))"),"718579503")</f>
        <v>718579503</v>
      </c>
      <c r="B2791" s="52">
        <v>7.18579503E8</v>
      </c>
      <c r="C2791" s="28" t="s">
        <v>2966</v>
      </c>
      <c r="D2791" s="26" t="s">
        <v>49</v>
      </c>
      <c r="E2791" s="31">
        <v>46230.0</v>
      </c>
      <c r="F2791" s="26" t="s">
        <v>46</v>
      </c>
      <c r="G2791" s="26">
        <v>10.0</v>
      </c>
      <c r="H2791" s="26" t="s">
        <v>677</v>
      </c>
      <c r="I2791" s="26" t="s">
        <v>42</v>
      </c>
      <c r="J2791" s="25" t="str">
        <f t="shared" si="40"/>
        <v>No</v>
      </c>
      <c r="K2791" s="25" t="str">
        <f t="shared" si="41"/>
        <v/>
      </c>
      <c r="L2791" s="25" t="str">
        <f t="shared" si="42"/>
        <v/>
      </c>
      <c r="M2791" s="25"/>
      <c r="O2791" s="25"/>
    </row>
    <row r="2792" ht="15.75" customHeight="1">
      <c r="A2792" s="25" t="str">
        <f>IFERROR(__xludf.DUMMYFUNCTION("IF(B2792="""","""",RIGHT(REGEXREPLACE(B2792&amp;"""",""[^0-9]"",""""),9))"),"779749531")</f>
        <v>779749531</v>
      </c>
      <c r="B2792" s="52">
        <v>7.79749531E8</v>
      </c>
      <c r="C2792" s="28" t="s">
        <v>2967</v>
      </c>
      <c r="D2792" s="26" t="s">
        <v>64</v>
      </c>
      <c r="E2792" s="31">
        <v>46230.0</v>
      </c>
      <c r="F2792" s="26" t="s">
        <v>205</v>
      </c>
      <c r="H2792" s="26" t="s">
        <v>1526</v>
      </c>
      <c r="I2792" s="26" t="s">
        <v>42</v>
      </c>
      <c r="J2792" s="25" t="str">
        <f t="shared" si="40"/>
        <v>No</v>
      </c>
      <c r="K2792" s="25" t="str">
        <f t="shared" si="41"/>
        <v/>
      </c>
      <c r="L2792" s="25" t="str">
        <f t="shared" si="42"/>
        <v/>
      </c>
      <c r="M2792" s="25"/>
      <c r="O2792" s="25"/>
    </row>
    <row r="2793" ht="15.75" customHeight="1">
      <c r="A2793" s="25" t="str">
        <f>IFERROR(__xludf.DUMMYFUNCTION("IF(B2793="""","""",RIGHT(REGEXREPLACE(B2793&amp;"""",""[^0-9]"",""""),9))"),"753993017")</f>
        <v>753993017</v>
      </c>
      <c r="B2793" s="52">
        <v>7.53993017E8</v>
      </c>
      <c r="C2793" s="28" t="s">
        <v>2968</v>
      </c>
      <c r="D2793" s="26" t="s">
        <v>45</v>
      </c>
      <c r="E2793" s="31">
        <v>46230.0</v>
      </c>
      <c r="F2793" s="26" t="s">
        <v>704</v>
      </c>
      <c r="H2793" s="26" t="s">
        <v>1526</v>
      </c>
      <c r="I2793" s="26" t="s">
        <v>42</v>
      </c>
      <c r="J2793" s="25" t="str">
        <f t="shared" si="40"/>
        <v>No</v>
      </c>
      <c r="K2793" s="25" t="str">
        <f t="shared" si="41"/>
        <v/>
      </c>
      <c r="L2793" s="25" t="str">
        <f t="shared" si="42"/>
        <v/>
      </c>
      <c r="M2793" s="25"/>
      <c r="O2793" s="25"/>
    </row>
    <row r="2794" ht="15.75" customHeight="1">
      <c r="A2794" s="25" t="str">
        <f>IFERROR(__xludf.DUMMYFUNCTION("IF(B2794="""","""",RIGHT(REGEXREPLACE(B2794&amp;"""",""[^0-9]"",""""),9))"),"768926764")</f>
        <v>768926764</v>
      </c>
      <c r="B2794" s="52">
        <v>7.68926764E8</v>
      </c>
      <c r="C2794" s="28" t="s">
        <v>2969</v>
      </c>
      <c r="D2794" s="26" t="s">
        <v>82</v>
      </c>
      <c r="E2794" s="31">
        <v>46230.0</v>
      </c>
      <c r="F2794" s="26" t="s">
        <v>205</v>
      </c>
      <c r="I2794" s="26" t="s">
        <v>42</v>
      </c>
      <c r="J2794" s="25" t="str">
        <f t="shared" si="40"/>
        <v>No</v>
      </c>
      <c r="K2794" s="25" t="str">
        <f t="shared" si="41"/>
        <v/>
      </c>
      <c r="L2794" s="25" t="str">
        <f t="shared" si="42"/>
        <v/>
      </c>
      <c r="M2794" s="25"/>
      <c r="O2794" s="25"/>
    </row>
    <row r="2795" ht="15.75" customHeight="1">
      <c r="A2795" s="25" t="str">
        <f>IFERROR(__xludf.DUMMYFUNCTION("IF(B2795="""","""",RIGHT(REGEXREPLACE(B2795&amp;"""",""[^0-9]"",""""),9))"),"720508282")</f>
        <v>720508282</v>
      </c>
      <c r="B2795" s="52">
        <v>7.20508282E8</v>
      </c>
      <c r="C2795" s="28" t="s">
        <v>2970</v>
      </c>
      <c r="D2795" s="26" t="s">
        <v>69</v>
      </c>
      <c r="E2795" s="31">
        <v>46230.0</v>
      </c>
      <c r="F2795" s="26" t="s">
        <v>41</v>
      </c>
      <c r="I2795" s="26" t="s">
        <v>42</v>
      </c>
      <c r="J2795" s="25" t="str">
        <f t="shared" si="40"/>
        <v>No</v>
      </c>
      <c r="K2795" s="25" t="str">
        <f t="shared" si="41"/>
        <v/>
      </c>
      <c r="L2795" s="25" t="str">
        <f t="shared" si="42"/>
        <v/>
      </c>
      <c r="M2795" s="25"/>
      <c r="O2795" s="25"/>
    </row>
    <row r="2796" ht="15.75" customHeight="1">
      <c r="A2796" s="25" t="str">
        <f>IFERROR(__xludf.DUMMYFUNCTION("IF(B2796="""","""",RIGHT(REGEXREPLACE(B2796&amp;"""",""[^0-9]"",""""),9))"),"764929291")</f>
        <v>764929291</v>
      </c>
      <c r="B2796" s="52">
        <v>7.64929291E8</v>
      </c>
      <c r="C2796" s="28" t="s">
        <v>1976</v>
      </c>
      <c r="D2796" s="26" t="s">
        <v>64</v>
      </c>
      <c r="E2796" s="31">
        <v>46230.0</v>
      </c>
      <c r="F2796" s="26" t="s">
        <v>41</v>
      </c>
      <c r="H2796" s="26" t="s">
        <v>1526</v>
      </c>
      <c r="I2796" s="26" t="s">
        <v>42</v>
      </c>
      <c r="J2796" s="25" t="str">
        <f t="shared" si="40"/>
        <v>No</v>
      </c>
      <c r="K2796" s="25" t="str">
        <f t="shared" si="41"/>
        <v/>
      </c>
      <c r="L2796" s="25" t="str">
        <f t="shared" si="42"/>
        <v/>
      </c>
      <c r="M2796" s="25"/>
      <c r="O2796" s="25"/>
    </row>
    <row r="2797" ht="15.75" customHeight="1">
      <c r="A2797" s="25" t="str">
        <f>IFERROR(__xludf.DUMMYFUNCTION("IF(B2797="""","""",RIGHT(REGEXREPLACE(B2797&amp;"""",""[^0-9]"",""""),9))"),"766950070")</f>
        <v>766950070</v>
      </c>
      <c r="B2797" s="52">
        <v>7.6695007E8</v>
      </c>
      <c r="C2797" s="28" t="s">
        <v>2971</v>
      </c>
      <c r="D2797" s="26" t="s">
        <v>45</v>
      </c>
      <c r="E2797" s="31">
        <v>46230.0</v>
      </c>
      <c r="F2797" s="26" t="s">
        <v>125</v>
      </c>
      <c r="G2797" s="26">
        <v>11.0</v>
      </c>
      <c r="H2797" s="26" t="s">
        <v>2605</v>
      </c>
      <c r="I2797" s="26" t="s">
        <v>42</v>
      </c>
      <c r="J2797" s="25" t="str">
        <f t="shared" si="40"/>
        <v>No</v>
      </c>
      <c r="K2797" s="25" t="str">
        <f t="shared" si="41"/>
        <v/>
      </c>
      <c r="L2797" s="25" t="str">
        <f t="shared" si="42"/>
        <v/>
      </c>
      <c r="M2797" s="25"/>
      <c r="O2797" s="25"/>
    </row>
    <row r="2798" ht="15.75" customHeight="1">
      <c r="A2798" s="25" t="str">
        <f>IFERROR(__xludf.DUMMYFUNCTION("IF(B2798="""","""",RIGHT(REGEXREPLACE(B2798&amp;"""",""[^0-9]"",""""),9))"),"771440357")</f>
        <v>771440357</v>
      </c>
      <c r="B2798" s="52">
        <v>7.71440357E8</v>
      </c>
      <c r="C2798" s="28" t="s">
        <v>2965</v>
      </c>
      <c r="D2798" s="26" t="s">
        <v>56</v>
      </c>
      <c r="E2798" s="31">
        <v>46230.0</v>
      </c>
      <c r="F2798" s="26" t="s">
        <v>631</v>
      </c>
      <c r="G2798" s="26">
        <v>10.0</v>
      </c>
      <c r="I2798" s="26" t="s">
        <v>42</v>
      </c>
      <c r="J2798" s="25" t="str">
        <f t="shared" si="40"/>
        <v>No</v>
      </c>
      <c r="K2798" s="25" t="str">
        <f t="shared" si="41"/>
        <v/>
      </c>
      <c r="L2798" s="25" t="str">
        <f t="shared" si="42"/>
        <v/>
      </c>
      <c r="M2798" s="25"/>
      <c r="O2798" s="25"/>
    </row>
    <row r="2799" ht="15.75" customHeight="1">
      <c r="A2799" s="25" t="str">
        <f>IFERROR(__xludf.DUMMYFUNCTION("IF(B2799="""","""",RIGHT(REGEXREPLACE(B2799&amp;"""",""[^0-9]"",""""),9))"),"789878509")</f>
        <v>789878509</v>
      </c>
      <c r="B2799" s="52">
        <v>7.89878509E8</v>
      </c>
      <c r="C2799" s="28" t="s">
        <v>2972</v>
      </c>
      <c r="D2799" s="26" t="s">
        <v>69</v>
      </c>
      <c r="E2799" s="31">
        <v>46230.0</v>
      </c>
      <c r="F2799" s="26" t="s">
        <v>41</v>
      </c>
      <c r="I2799" s="26" t="s">
        <v>42</v>
      </c>
      <c r="J2799" s="25" t="str">
        <f t="shared" si="40"/>
        <v>No</v>
      </c>
      <c r="K2799" s="25" t="str">
        <f t="shared" si="41"/>
        <v/>
      </c>
      <c r="L2799" s="25" t="str">
        <f t="shared" si="42"/>
        <v/>
      </c>
      <c r="M2799" s="25"/>
      <c r="O2799" s="25"/>
    </row>
    <row r="2800" ht="15.75" customHeight="1">
      <c r="A2800" s="25" t="str">
        <f>IFERROR(__xludf.DUMMYFUNCTION("IF(B2800="""","""",RIGHT(REGEXREPLACE(B2800&amp;"""",""[^0-9]"",""""),9))"),"764323810")</f>
        <v>764323810</v>
      </c>
      <c r="B2800" s="52">
        <v>7.6432381E8</v>
      </c>
      <c r="C2800" s="28" t="s">
        <v>2240</v>
      </c>
      <c r="D2800" s="26" t="s">
        <v>82</v>
      </c>
      <c r="E2800" s="31">
        <v>46230.0</v>
      </c>
      <c r="F2800" s="26" t="s">
        <v>41</v>
      </c>
      <c r="G2800" s="26">
        <v>11.0</v>
      </c>
      <c r="I2800" s="26" t="s">
        <v>42</v>
      </c>
      <c r="J2800" s="25" t="str">
        <f t="shared" si="40"/>
        <v>Yes - see Previous F-Code</v>
      </c>
      <c r="K2800" s="25" t="str">
        <f t="shared" si="41"/>
        <v>DUPLICATE - CHECK</v>
      </c>
      <c r="L2800" s="25" t="str">
        <f t="shared" si="42"/>
        <v>F71938</v>
      </c>
      <c r="M2800" s="25"/>
      <c r="O2800" s="25"/>
    </row>
    <row r="2801" ht="15.75" customHeight="1">
      <c r="A2801" s="25" t="str">
        <f>IFERROR(__xludf.DUMMYFUNCTION("IF(B2801="""","""",RIGHT(REGEXREPLACE(B2801&amp;"""",""[^0-9]"",""""),9))"),"714068058")</f>
        <v>714068058</v>
      </c>
      <c r="B2801" s="52">
        <v>7.14068058E8</v>
      </c>
      <c r="C2801" s="28" t="s">
        <v>2973</v>
      </c>
      <c r="D2801" s="26" t="s">
        <v>45</v>
      </c>
      <c r="E2801" s="31">
        <v>46230.0</v>
      </c>
      <c r="F2801" s="26" t="s">
        <v>46</v>
      </c>
      <c r="G2801" s="26">
        <v>11.0</v>
      </c>
      <c r="I2801" s="26" t="s">
        <v>42</v>
      </c>
      <c r="J2801" s="25" t="str">
        <f t="shared" si="40"/>
        <v>No</v>
      </c>
      <c r="K2801" s="25" t="str">
        <f t="shared" si="41"/>
        <v/>
      </c>
      <c r="L2801" s="25" t="str">
        <f t="shared" si="42"/>
        <v/>
      </c>
      <c r="M2801" s="25"/>
      <c r="O2801" s="25"/>
    </row>
    <row r="2802" ht="15.75" customHeight="1">
      <c r="A2802" s="25" t="str">
        <f>IFERROR(__xludf.DUMMYFUNCTION("IF(B2802="""","""",RIGHT(REGEXREPLACE(B2802&amp;"""",""[^0-9]"",""""),9))"),"713321068")</f>
        <v>713321068</v>
      </c>
      <c r="B2802" s="52">
        <v>7.13321068E8</v>
      </c>
      <c r="C2802" s="28" t="s">
        <v>2974</v>
      </c>
      <c r="D2802" s="26" t="s">
        <v>49</v>
      </c>
      <c r="E2802" s="31">
        <v>46230.0</v>
      </c>
      <c r="F2802" s="26" t="s">
        <v>41</v>
      </c>
      <c r="I2802" s="26" t="s">
        <v>42</v>
      </c>
      <c r="J2802" s="25" t="str">
        <f t="shared" si="40"/>
        <v>No</v>
      </c>
      <c r="K2802" s="25" t="str">
        <f t="shared" si="41"/>
        <v/>
      </c>
      <c r="L2802" s="25" t="str">
        <f t="shared" si="42"/>
        <v/>
      </c>
      <c r="M2802" s="25"/>
      <c r="O2802" s="25"/>
    </row>
    <row r="2803" ht="15.75" customHeight="1">
      <c r="A2803" s="25" t="str">
        <f>IFERROR(__xludf.DUMMYFUNCTION("IF(B2803="""","""",RIGHT(REGEXREPLACE(B2803&amp;"""",""[^0-9]"",""""),9))"),"775964543")</f>
        <v>775964543</v>
      </c>
      <c r="B2803" s="52">
        <v>7.75964543E8</v>
      </c>
      <c r="C2803" s="28" t="s">
        <v>2975</v>
      </c>
      <c r="D2803" s="26" t="s">
        <v>64</v>
      </c>
      <c r="E2803" s="31">
        <v>46230.0</v>
      </c>
      <c r="F2803" s="26" t="s">
        <v>125</v>
      </c>
      <c r="H2803" s="26" t="s">
        <v>1526</v>
      </c>
      <c r="I2803" s="26" t="s">
        <v>42</v>
      </c>
      <c r="J2803" s="25" t="str">
        <f t="shared" si="40"/>
        <v>No</v>
      </c>
      <c r="K2803" s="25" t="str">
        <f t="shared" si="41"/>
        <v/>
      </c>
      <c r="L2803" s="25" t="str">
        <f t="shared" si="42"/>
        <v/>
      </c>
      <c r="M2803" s="25"/>
      <c r="O2803" s="25"/>
    </row>
    <row r="2804" ht="15.75" customHeight="1">
      <c r="A2804" s="25" t="str">
        <f>IFERROR(__xludf.DUMMYFUNCTION("IF(B2804="""","""",RIGHT(REGEXREPLACE(B2804&amp;"""",""[^0-9]"",""""),9))"),"768665903")</f>
        <v>768665903</v>
      </c>
      <c r="B2804" s="52">
        <v>7.68665903E8</v>
      </c>
      <c r="C2804" s="28" t="s">
        <v>2976</v>
      </c>
      <c r="D2804" s="26" t="s">
        <v>69</v>
      </c>
      <c r="E2804" s="31">
        <v>46230.0</v>
      </c>
      <c r="F2804" s="26" t="s">
        <v>46</v>
      </c>
      <c r="G2804" s="26">
        <v>11.0</v>
      </c>
      <c r="I2804" s="26" t="s">
        <v>42</v>
      </c>
      <c r="J2804" s="25" t="str">
        <f t="shared" si="40"/>
        <v>No</v>
      </c>
      <c r="K2804" s="25" t="str">
        <f t="shared" si="41"/>
        <v/>
      </c>
      <c r="L2804" s="25" t="str">
        <f t="shared" si="42"/>
        <v/>
      </c>
      <c r="M2804" s="25"/>
      <c r="O2804" s="25"/>
    </row>
    <row r="2805" ht="15.75" customHeight="1">
      <c r="A2805" s="25" t="str">
        <f>IFERROR(__xludf.DUMMYFUNCTION("IF(B2805="""","""",RIGHT(REGEXREPLACE(B2805&amp;"""",""[^0-9]"",""""),9))"),"766848637")</f>
        <v>766848637</v>
      </c>
      <c r="B2805" s="52">
        <v>7.66848637E8</v>
      </c>
      <c r="C2805" s="28" t="s">
        <v>2977</v>
      </c>
      <c r="D2805" s="26" t="s">
        <v>45</v>
      </c>
      <c r="E2805" s="31">
        <v>46230.0</v>
      </c>
      <c r="F2805" s="26" t="s">
        <v>125</v>
      </c>
      <c r="G2805" s="26">
        <v>11.0</v>
      </c>
      <c r="H2805" s="26" t="s">
        <v>2605</v>
      </c>
      <c r="I2805" s="26" t="s">
        <v>42</v>
      </c>
      <c r="J2805" s="25" t="str">
        <f t="shared" si="40"/>
        <v>No</v>
      </c>
      <c r="K2805" s="25" t="str">
        <f t="shared" si="41"/>
        <v/>
      </c>
      <c r="L2805" s="25" t="str">
        <f t="shared" si="42"/>
        <v/>
      </c>
      <c r="M2805" s="25"/>
      <c r="O2805" s="25"/>
    </row>
    <row r="2806" ht="15.75" customHeight="1">
      <c r="A2806" s="25" t="str">
        <f>IFERROR(__xludf.DUMMYFUNCTION("IF(B2806="""","""",RIGHT(REGEXREPLACE(B2806&amp;"""",""[^0-9]"",""""),9))"),"761575888")</f>
        <v>761575888</v>
      </c>
      <c r="B2806" s="52">
        <v>7.61575888E8</v>
      </c>
      <c r="C2806" s="28" t="s">
        <v>2978</v>
      </c>
      <c r="D2806" s="26" t="s">
        <v>82</v>
      </c>
      <c r="E2806" s="31">
        <v>46230.0</v>
      </c>
      <c r="F2806" s="26" t="s">
        <v>41</v>
      </c>
      <c r="G2806" s="26">
        <v>11.0</v>
      </c>
      <c r="I2806" s="26" t="s">
        <v>42</v>
      </c>
      <c r="J2806" s="25" t="str">
        <f t="shared" si="40"/>
        <v>No</v>
      </c>
      <c r="K2806" s="25" t="str">
        <f t="shared" si="41"/>
        <v/>
      </c>
      <c r="L2806" s="25" t="str">
        <f t="shared" si="42"/>
        <v/>
      </c>
      <c r="M2806" s="25"/>
      <c r="O2806" s="25"/>
    </row>
    <row r="2807" ht="15.75" customHeight="1">
      <c r="A2807" s="25" t="str">
        <f>IFERROR(__xludf.DUMMYFUNCTION("IF(B2807="""","""",RIGHT(REGEXREPLACE(B2807&amp;"""",""[^0-9]"",""""),9))"),"")</f>
        <v/>
      </c>
      <c r="B2807" s="52"/>
      <c r="C2807" s="28" t="s">
        <v>2803</v>
      </c>
      <c r="D2807" s="26" t="s">
        <v>56</v>
      </c>
      <c r="E2807" s="31">
        <v>46230.0</v>
      </c>
      <c r="F2807" s="25"/>
      <c r="G2807" s="25"/>
      <c r="H2807" s="25"/>
      <c r="I2807" s="26" t="s">
        <v>42</v>
      </c>
      <c r="J2807" s="25" t="str">
        <f t="shared" si="40"/>
        <v>Yes - see Previous F-Code</v>
      </c>
      <c r="K2807" s="25" t="str">
        <f t="shared" si="41"/>
        <v>DUPLICATE - CHECK</v>
      </c>
      <c r="L2807" s="25" t="str">
        <f t="shared" si="42"/>
        <v/>
      </c>
      <c r="M2807" s="25"/>
      <c r="N2807" s="25"/>
      <c r="O2807" s="25"/>
      <c r="P2807" s="25"/>
    </row>
    <row r="2808" ht="15.75" customHeight="1">
      <c r="A2808" s="25" t="str">
        <f>IFERROR(__xludf.DUMMYFUNCTION("IF(B2808="""","""",RIGHT(REGEXREPLACE(B2808&amp;"""",""[^0-9]"",""""),9))"),"776415631")</f>
        <v>776415631</v>
      </c>
      <c r="B2808" s="52">
        <v>7.76415631E8</v>
      </c>
      <c r="C2808" s="28" t="s">
        <v>2979</v>
      </c>
      <c r="D2808" s="26" t="s">
        <v>49</v>
      </c>
      <c r="E2808" s="31">
        <v>46230.0</v>
      </c>
      <c r="F2808" s="26" t="s">
        <v>46</v>
      </c>
      <c r="I2808" s="26" t="s">
        <v>42</v>
      </c>
      <c r="J2808" s="25" t="str">
        <f t="shared" si="40"/>
        <v>No</v>
      </c>
      <c r="K2808" s="25" t="str">
        <f t="shared" si="41"/>
        <v/>
      </c>
      <c r="L2808" s="25" t="str">
        <f t="shared" si="42"/>
        <v/>
      </c>
      <c r="M2808" s="25"/>
      <c r="O2808" s="25"/>
    </row>
    <row r="2809" ht="15.75" customHeight="1">
      <c r="A2809" s="25" t="str">
        <f>IFERROR(__xludf.DUMMYFUNCTION("IF(B2809="""","""",RIGHT(REGEXREPLACE(B2809&amp;"""",""[^0-9]"",""""),9))"),"767639123")</f>
        <v>767639123</v>
      </c>
      <c r="B2809" s="52">
        <v>7.67639123E8</v>
      </c>
      <c r="C2809" s="28" t="s">
        <v>2980</v>
      </c>
      <c r="D2809" s="26" t="s">
        <v>64</v>
      </c>
      <c r="E2809" s="31">
        <v>46230.0</v>
      </c>
      <c r="F2809" s="26" t="s">
        <v>41</v>
      </c>
      <c r="H2809" s="26" t="s">
        <v>1526</v>
      </c>
      <c r="I2809" s="26" t="s">
        <v>42</v>
      </c>
      <c r="J2809" s="25" t="str">
        <f t="shared" si="40"/>
        <v>No</v>
      </c>
      <c r="K2809" s="25" t="str">
        <f t="shared" si="41"/>
        <v/>
      </c>
      <c r="L2809" s="25" t="str">
        <f t="shared" si="42"/>
        <v/>
      </c>
      <c r="M2809" s="25"/>
      <c r="O2809" s="25"/>
    </row>
    <row r="2810" ht="15.75" customHeight="1">
      <c r="A2810" s="25" t="str">
        <f>IFERROR(__xludf.DUMMYFUNCTION("IF(B2810="""","""",RIGHT(REGEXREPLACE(B2810&amp;"""",""[^0-9]"",""""),9))"),"767699597")</f>
        <v>767699597</v>
      </c>
      <c r="B2810" s="52">
        <v>7.67699597E8</v>
      </c>
      <c r="C2810" s="28" t="s">
        <v>2981</v>
      </c>
      <c r="D2810" s="26" t="s">
        <v>49</v>
      </c>
      <c r="E2810" s="31">
        <v>46230.0</v>
      </c>
      <c r="F2810" s="26" t="s">
        <v>46</v>
      </c>
      <c r="G2810" s="26">
        <v>11.0</v>
      </c>
      <c r="I2810" s="26" t="s">
        <v>42</v>
      </c>
      <c r="J2810" s="25" t="str">
        <f t="shared" si="40"/>
        <v>No</v>
      </c>
      <c r="K2810" s="25" t="str">
        <f t="shared" si="41"/>
        <v/>
      </c>
      <c r="L2810" s="25" t="str">
        <f t="shared" si="42"/>
        <v/>
      </c>
      <c r="M2810" s="25"/>
      <c r="O2810" s="25"/>
    </row>
    <row r="2811" ht="15.75" customHeight="1">
      <c r="A2811" s="25" t="str">
        <f>IFERROR(__xludf.DUMMYFUNCTION("IF(B2811="""","""",RIGHT(REGEXREPLACE(B2811&amp;"""",""[^0-9]"",""""),9))"),"716435317")</f>
        <v>716435317</v>
      </c>
      <c r="B2811" s="52">
        <v>7.16435317E8</v>
      </c>
      <c r="C2811" s="28" t="s">
        <v>2982</v>
      </c>
      <c r="D2811" s="26" t="s">
        <v>82</v>
      </c>
      <c r="E2811" s="31">
        <v>46230.0</v>
      </c>
      <c r="F2811" s="25"/>
      <c r="G2811" s="25"/>
      <c r="H2811" s="25"/>
      <c r="I2811" s="26" t="s">
        <v>42</v>
      </c>
      <c r="J2811" s="25" t="str">
        <f t="shared" si="40"/>
        <v>No</v>
      </c>
      <c r="K2811" s="25" t="str">
        <f t="shared" si="41"/>
        <v/>
      </c>
      <c r="L2811" s="25" t="str">
        <f t="shared" si="42"/>
        <v/>
      </c>
      <c r="M2811" s="25"/>
      <c r="N2811" s="25"/>
      <c r="O2811" s="25"/>
      <c r="P2811" s="25"/>
    </row>
    <row r="2812" ht="15.75" customHeight="1">
      <c r="A2812" s="25" t="str">
        <f>IFERROR(__xludf.DUMMYFUNCTION("IF(B2812="""","""",RIGHT(REGEXREPLACE(B2812&amp;"""",""[^0-9]"",""""),9))"),"767637730")</f>
        <v>767637730</v>
      </c>
      <c r="B2812" s="52">
        <v>7.6763773E8</v>
      </c>
      <c r="C2812" s="28" t="s">
        <v>2983</v>
      </c>
      <c r="D2812" s="26" t="s">
        <v>64</v>
      </c>
      <c r="E2812" s="31">
        <v>46230.0</v>
      </c>
      <c r="F2812" s="26" t="s">
        <v>41</v>
      </c>
      <c r="H2812" s="26" t="s">
        <v>1526</v>
      </c>
      <c r="I2812" s="26" t="s">
        <v>42</v>
      </c>
      <c r="J2812" s="25" t="str">
        <f t="shared" si="40"/>
        <v>No</v>
      </c>
      <c r="K2812" s="25" t="str">
        <f t="shared" si="41"/>
        <v/>
      </c>
      <c r="L2812" s="25" t="str">
        <f t="shared" si="42"/>
        <v/>
      </c>
      <c r="M2812" s="25"/>
      <c r="O2812" s="25"/>
    </row>
    <row r="2813" ht="15.75" customHeight="1">
      <c r="A2813" s="25" t="str">
        <f>IFERROR(__xludf.DUMMYFUNCTION("IF(B2813="""","""",RIGHT(REGEXREPLACE(B2813&amp;"""",""[^0-9]"",""""),9))"),"760848562")</f>
        <v>760848562</v>
      </c>
      <c r="B2813" s="52">
        <v>7.60848562E8</v>
      </c>
      <c r="C2813" s="28" t="s">
        <v>2081</v>
      </c>
      <c r="D2813" s="26" t="s">
        <v>45</v>
      </c>
      <c r="E2813" s="31">
        <v>46230.0</v>
      </c>
      <c r="F2813" s="26" t="s">
        <v>164</v>
      </c>
      <c r="H2813" s="26" t="s">
        <v>2605</v>
      </c>
      <c r="I2813" s="26" t="s">
        <v>42</v>
      </c>
      <c r="J2813" s="25" t="str">
        <f t="shared" si="40"/>
        <v>Yes - see Previous F-Code</v>
      </c>
      <c r="K2813" s="25" t="str">
        <f t="shared" si="41"/>
        <v>DUPLICATE - CHECK</v>
      </c>
      <c r="L2813" s="25" t="str">
        <f t="shared" si="42"/>
        <v>F71783</v>
      </c>
      <c r="M2813" s="25"/>
      <c r="O2813" s="25"/>
    </row>
    <row r="2814" ht="15.75" customHeight="1">
      <c r="A2814" s="25" t="str">
        <f>IFERROR(__xludf.DUMMYFUNCTION("IF(B2814="""","""",RIGHT(REGEXREPLACE(B2814&amp;"""",""[^0-9]"",""""),9))"),"773145522")</f>
        <v>773145522</v>
      </c>
      <c r="B2814" s="52">
        <v>7.73145522E8</v>
      </c>
      <c r="C2814" s="28" t="s">
        <v>2984</v>
      </c>
      <c r="D2814" s="26" t="s">
        <v>69</v>
      </c>
      <c r="E2814" s="31">
        <v>46230.0</v>
      </c>
      <c r="F2814" s="26" t="s">
        <v>659</v>
      </c>
      <c r="I2814" s="26" t="s">
        <v>42</v>
      </c>
      <c r="J2814" s="25" t="str">
        <f t="shared" si="40"/>
        <v>No</v>
      </c>
      <c r="K2814" s="25" t="str">
        <f t="shared" si="41"/>
        <v/>
      </c>
      <c r="L2814" s="25" t="str">
        <f t="shared" si="42"/>
        <v/>
      </c>
      <c r="M2814" s="25"/>
      <c r="O2814" s="25"/>
    </row>
    <row r="2815" ht="15.75" customHeight="1">
      <c r="A2815" s="25" t="str">
        <f>IFERROR(__xludf.DUMMYFUNCTION("IF(B2815="""","""",RIGHT(REGEXREPLACE(B2815&amp;"""",""[^0-9]"",""""),9))"),"704998677")</f>
        <v>704998677</v>
      </c>
      <c r="B2815" s="52">
        <v>7.04998677E8</v>
      </c>
      <c r="C2815" s="28" t="s">
        <v>2985</v>
      </c>
      <c r="D2815" s="26" t="s">
        <v>49</v>
      </c>
      <c r="E2815" s="31">
        <v>46230.0</v>
      </c>
      <c r="F2815" s="26" t="s">
        <v>46</v>
      </c>
      <c r="G2815" s="26">
        <v>11.0</v>
      </c>
      <c r="H2815" s="26" t="s">
        <v>253</v>
      </c>
      <c r="I2815" s="26" t="s">
        <v>42</v>
      </c>
      <c r="J2815" s="25" t="str">
        <f t="shared" si="40"/>
        <v>No</v>
      </c>
      <c r="K2815" s="25" t="str">
        <f t="shared" si="41"/>
        <v/>
      </c>
      <c r="L2815" s="25" t="str">
        <f t="shared" si="42"/>
        <v/>
      </c>
      <c r="M2815" s="25"/>
      <c r="O2815" s="25"/>
    </row>
    <row r="2816" ht="15.75" customHeight="1">
      <c r="A2816" s="25" t="str">
        <f>IFERROR(__xludf.DUMMYFUNCTION("IF(B2816="""","""",RIGHT(REGEXREPLACE(B2816&amp;"""",""[^0-9]"",""""),9))"),"776865426")</f>
        <v>776865426</v>
      </c>
      <c r="B2816" s="52">
        <v>7.76865426E8</v>
      </c>
      <c r="C2816" s="28" t="s">
        <v>2986</v>
      </c>
      <c r="D2816" s="26" t="s">
        <v>64</v>
      </c>
      <c r="E2816" s="31">
        <v>46230.0</v>
      </c>
      <c r="F2816" s="26" t="s">
        <v>46</v>
      </c>
      <c r="G2816" s="26">
        <v>11.0</v>
      </c>
      <c r="H2816" s="26" t="s">
        <v>1526</v>
      </c>
      <c r="I2816" s="26" t="s">
        <v>42</v>
      </c>
      <c r="J2816" s="25" t="str">
        <f t="shared" si="40"/>
        <v>No</v>
      </c>
      <c r="K2816" s="25" t="str">
        <f t="shared" si="41"/>
        <v/>
      </c>
      <c r="L2816" s="25" t="str">
        <f t="shared" si="42"/>
        <v/>
      </c>
      <c r="M2816" s="25"/>
      <c r="O2816" s="25"/>
    </row>
    <row r="2817" ht="15.75" customHeight="1">
      <c r="A2817" s="25" t="str">
        <f>IFERROR(__xludf.DUMMYFUNCTION("IF(B2817="""","""",RIGHT(REGEXREPLACE(B2817&amp;"""",""[^0-9]"",""""),9))"),"729157652")</f>
        <v>729157652</v>
      </c>
      <c r="B2817" s="52">
        <v>7.29157652E8</v>
      </c>
      <c r="C2817" s="28" t="s">
        <v>2987</v>
      </c>
      <c r="D2817" s="26" t="s">
        <v>69</v>
      </c>
      <c r="E2817" s="31">
        <v>46230.0</v>
      </c>
      <c r="F2817" s="26" t="s">
        <v>205</v>
      </c>
      <c r="I2817" s="26" t="s">
        <v>42</v>
      </c>
      <c r="J2817" s="25" t="str">
        <f t="shared" si="40"/>
        <v>No</v>
      </c>
      <c r="K2817" s="25" t="str">
        <f t="shared" si="41"/>
        <v/>
      </c>
      <c r="L2817" s="25" t="str">
        <f t="shared" si="42"/>
        <v/>
      </c>
      <c r="M2817" s="25"/>
      <c r="O2817" s="25"/>
    </row>
    <row r="2818" ht="15.75" customHeight="1">
      <c r="A2818" s="25" t="str">
        <f>IFERROR(__xludf.DUMMYFUNCTION("IF(B2818="""","""",RIGHT(REGEXREPLACE(B2818&amp;"""",""[^0-9]"",""""),9))"),"717320966")</f>
        <v>717320966</v>
      </c>
      <c r="B2818" s="52">
        <v>7.17320966E8</v>
      </c>
      <c r="C2818" s="28" t="s">
        <v>1527</v>
      </c>
      <c r="D2818" s="26" t="s">
        <v>56</v>
      </c>
      <c r="E2818" s="31">
        <v>46230.0</v>
      </c>
      <c r="F2818" s="26" t="s">
        <v>84</v>
      </c>
      <c r="H2818" s="26" t="s">
        <v>796</v>
      </c>
      <c r="I2818" s="26" t="s">
        <v>42</v>
      </c>
      <c r="J2818" s="25" t="str">
        <f t="shared" si="40"/>
        <v>No</v>
      </c>
      <c r="K2818" s="25" t="str">
        <f t="shared" si="41"/>
        <v/>
      </c>
      <c r="L2818" s="25" t="str">
        <f t="shared" si="42"/>
        <v/>
      </c>
      <c r="M2818" s="25"/>
      <c r="O2818" s="25"/>
    </row>
    <row r="2819" ht="15.75" customHeight="1">
      <c r="A2819" s="25" t="str">
        <f>IFERROR(__xludf.DUMMYFUNCTION("IF(B2819="""","""",RIGHT(REGEXREPLACE(B2819&amp;"""",""[^0-9]"",""""),9))"),"789451869")</f>
        <v>789451869</v>
      </c>
      <c r="B2819" s="52">
        <v>7.89451869E8</v>
      </c>
      <c r="C2819" s="28" t="s">
        <v>2988</v>
      </c>
      <c r="D2819" s="26" t="s">
        <v>49</v>
      </c>
      <c r="E2819" s="31">
        <v>46230.0</v>
      </c>
      <c r="F2819" s="26" t="s">
        <v>46</v>
      </c>
      <c r="G2819" s="26">
        <v>11.0</v>
      </c>
      <c r="I2819" s="26" t="s">
        <v>42</v>
      </c>
      <c r="J2819" s="25" t="str">
        <f t="shared" si="40"/>
        <v>No</v>
      </c>
      <c r="K2819" s="25" t="str">
        <f t="shared" si="41"/>
        <v/>
      </c>
      <c r="L2819" s="25" t="str">
        <f t="shared" si="42"/>
        <v/>
      </c>
      <c r="M2819" s="25"/>
      <c r="O2819" s="25"/>
    </row>
    <row r="2820" ht="15.75" customHeight="1">
      <c r="A2820" s="25" t="str">
        <f>IFERROR(__xludf.DUMMYFUNCTION("IF(B2820="""","""",RIGHT(REGEXREPLACE(B2820&amp;"""",""[^0-9]"",""""),9))"),"761851398")</f>
        <v>761851398</v>
      </c>
      <c r="B2820" s="52">
        <v>7.61851398E8</v>
      </c>
      <c r="C2820" s="28" t="s">
        <v>742</v>
      </c>
      <c r="D2820" s="26" t="s">
        <v>56</v>
      </c>
      <c r="E2820" s="31">
        <v>46230.0</v>
      </c>
      <c r="F2820" s="26" t="s">
        <v>41</v>
      </c>
      <c r="H2820" s="26" t="s">
        <v>796</v>
      </c>
      <c r="I2820" s="26" t="s">
        <v>42</v>
      </c>
      <c r="J2820" s="25" t="str">
        <f t="shared" si="40"/>
        <v>No</v>
      </c>
      <c r="K2820" s="25" t="str">
        <f t="shared" si="41"/>
        <v/>
      </c>
      <c r="L2820" s="25" t="str">
        <f t="shared" si="42"/>
        <v/>
      </c>
      <c r="M2820" s="25"/>
      <c r="O2820" s="25"/>
    </row>
    <row r="2821" ht="15.75" customHeight="1">
      <c r="A2821" s="25" t="str">
        <f>IFERROR(__xludf.DUMMYFUNCTION("IF(B2821="""","""",RIGHT(REGEXREPLACE(B2821&amp;"""",""[^0-9]"",""""),9))"),"756159038")</f>
        <v>756159038</v>
      </c>
      <c r="B2821" s="52">
        <v>7.56159038E8</v>
      </c>
      <c r="C2821" s="28" t="s">
        <v>2989</v>
      </c>
      <c r="D2821" s="26" t="s">
        <v>45</v>
      </c>
      <c r="E2821" s="31">
        <v>46230.0</v>
      </c>
      <c r="F2821" s="26" t="s">
        <v>46</v>
      </c>
      <c r="G2821" s="26">
        <v>11.0</v>
      </c>
      <c r="I2821" s="26" t="s">
        <v>42</v>
      </c>
      <c r="J2821" s="25" t="str">
        <f t="shared" si="40"/>
        <v>No</v>
      </c>
      <c r="K2821" s="25" t="str">
        <f t="shared" si="41"/>
        <v/>
      </c>
      <c r="L2821" s="25" t="str">
        <f t="shared" si="42"/>
        <v/>
      </c>
      <c r="M2821" s="25"/>
      <c r="O2821" s="25"/>
    </row>
    <row r="2822" ht="15.75" customHeight="1">
      <c r="A2822" s="25" t="str">
        <f>IFERROR(__xludf.DUMMYFUNCTION("IF(B2822="""","""",RIGHT(REGEXREPLACE(B2822&amp;"""",""[^0-9]"",""""),9))"),"716933488")</f>
        <v>716933488</v>
      </c>
      <c r="B2822" s="52">
        <v>7.16933488E8</v>
      </c>
      <c r="C2822" s="28" t="s">
        <v>2990</v>
      </c>
      <c r="D2822" s="26" t="s">
        <v>69</v>
      </c>
      <c r="E2822" s="31">
        <v>46230.0</v>
      </c>
      <c r="F2822" s="26" t="s">
        <v>659</v>
      </c>
      <c r="I2822" s="26" t="s">
        <v>42</v>
      </c>
      <c r="J2822" s="25" t="str">
        <f t="shared" si="40"/>
        <v>No</v>
      </c>
      <c r="K2822" s="25" t="str">
        <f t="shared" si="41"/>
        <v/>
      </c>
      <c r="L2822" s="25" t="str">
        <f t="shared" si="42"/>
        <v/>
      </c>
      <c r="M2822" s="25"/>
      <c r="O2822" s="25"/>
    </row>
    <row r="2823" ht="15.75" customHeight="1">
      <c r="A2823" s="25" t="str">
        <f>IFERROR(__xludf.DUMMYFUNCTION("IF(B2823="""","""",RIGHT(REGEXREPLACE(B2823&amp;"""",""[^0-9]"",""""),9))"),"723756587")</f>
        <v>723756587</v>
      </c>
      <c r="B2823" s="52">
        <v>7.23756587E8</v>
      </c>
      <c r="C2823" s="28" t="s">
        <v>2991</v>
      </c>
      <c r="D2823" s="26" t="s">
        <v>69</v>
      </c>
      <c r="E2823" s="31">
        <v>46230.0</v>
      </c>
      <c r="F2823" s="26" t="s">
        <v>205</v>
      </c>
      <c r="I2823" s="26" t="s">
        <v>42</v>
      </c>
      <c r="J2823" s="25" t="str">
        <f t="shared" si="40"/>
        <v>No</v>
      </c>
      <c r="K2823" s="25" t="str">
        <f t="shared" si="41"/>
        <v/>
      </c>
      <c r="L2823" s="25" t="str">
        <f t="shared" si="42"/>
        <v/>
      </c>
      <c r="M2823" s="25"/>
      <c r="O2823" s="25"/>
    </row>
    <row r="2824" ht="15.75" customHeight="1">
      <c r="A2824" s="25" t="str">
        <f>IFERROR(__xludf.DUMMYFUNCTION("IF(B2824="""","""",RIGHT(REGEXREPLACE(B2824&amp;"""",""[^0-9]"",""""),9))"),"740058855")</f>
        <v>740058855</v>
      </c>
      <c r="B2824" s="52">
        <v>7.40058855E8</v>
      </c>
      <c r="C2824" s="28" t="s">
        <v>2992</v>
      </c>
      <c r="D2824" s="26" t="s">
        <v>49</v>
      </c>
      <c r="E2824" s="31">
        <v>46230.0</v>
      </c>
      <c r="F2824" s="26" t="s">
        <v>164</v>
      </c>
      <c r="I2824" s="26" t="s">
        <v>42</v>
      </c>
      <c r="J2824" s="25" t="str">
        <f t="shared" si="40"/>
        <v>No</v>
      </c>
      <c r="K2824" s="25" t="str">
        <f t="shared" si="41"/>
        <v/>
      </c>
      <c r="L2824" s="25" t="str">
        <f t="shared" si="42"/>
        <v/>
      </c>
      <c r="M2824" s="25"/>
      <c r="O2824" s="25"/>
    </row>
    <row r="2825" ht="15.75" customHeight="1">
      <c r="A2825" s="25" t="str">
        <f>IFERROR(__xludf.DUMMYFUNCTION("IF(B2825="""","""",RIGHT(REGEXREPLACE(B2825&amp;"""",""[^0-9]"",""""),9))"),"772909024")</f>
        <v>772909024</v>
      </c>
      <c r="B2825" s="52">
        <v>7.72909024E8</v>
      </c>
      <c r="C2825" s="28" t="s">
        <v>2993</v>
      </c>
      <c r="D2825" s="26" t="s">
        <v>45</v>
      </c>
      <c r="E2825" s="31">
        <v>46230.0</v>
      </c>
      <c r="F2825" s="26" t="s">
        <v>84</v>
      </c>
      <c r="H2825" s="26" t="s">
        <v>2605</v>
      </c>
      <c r="I2825" s="26" t="s">
        <v>42</v>
      </c>
      <c r="J2825" s="25" t="str">
        <f t="shared" si="40"/>
        <v>No</v>
      </c>
      <c r="K2825" s="25" t="str">
        <f t="shared" si="41"/>
        <v/>
      </c>
      <c r="L2825" s="25" t="str">
        <f t="shared" si="42"/>
        <v/>
      </c>
      <c r="M2825" s="25"/>
      <c r="O2825" s="25"/>
    </row>
    <row r="2826" ht="15.75" customHeight="1">
      <c r="A2826" s="25" t="str">
        <f>IFERROR(__xludf.DUMMYFUNCTION("IF(B2826="""","""",RIGHT(REGEXREPLACE(B2826&amp;"""",""[^0-9]"",""""),9))"),"779973208")</f>
        <v>779973208</v>
      </c>
      <c r="B2826" s="52">
        <v>7.79973208E8</v>
      </c>
      <c r="C2826" s="28" t="s">
        <v>2994</v>
      </c>
      <c r="D2826" s="26" t="s">
        <v>69</v>
      </c>
      <c r="E2826" s="31">
        <v>46230.0</v>
      </c>
      <c r="F2826" s="26" t="s">
        <v>46</v>
      </c>
      <c r="G2826" s="26">
        <v>11.0</v>
      </c>
      <c r="I2826" s="26" t="s">
        <v>42</v>
      </c>
      <c r="J2826" s="25" t="str">
        <f t="shared" si="40"/>
        <v>No</v>
      </c>
      <c r="K2826" s="25" t="str">
        <f t="shared" si="41"/>
        <v/>
      </c>
      <c r="L2826" s="25" t="str">
        <f t="shared" si="42"/>
        <v/>
      </c>
      <c r="M2826" s="25"/>
      <c r="O2826" s="25"/>
    </row>
    <row r="2827" ht="15.75" customHeight="1">
      <c r="A2827" s="25" t="str">
        <f>IFERROR(__xludf.DUMMYFUNCTION("IF(B2827="""","""",RIGHT(REGEXREPLACE(B2827&amp;"""",""[^0-9]"",""""),9))"),"750803776")</f>
        <v>750803776</v>
      </c>
      <c r="B2827" s="52">
        <v>7.50803776E8</v>
      </c>
      <c r="C2827" s="28" t="s">
        <v>2995</v>
      </c>
      <c r="D2827" s="26" t="s">
        <v>49</v>
      </c>
      <c r="E2827" s="31">
        <v>46230.0</v>
      </c>
      <c r="F2827" s="26" t="s">
        <v>46</v>
      </c>
      <c r="G2827" s="26">
        <v>11.0</v>
      </c>
      <c r="I2827" s="26" t="s">
        <v>42</v>
      </c>
      <c r="J2827" s="25" t="str">
        <f t="shared" si="40"/>
        <v>No</v>
      </c>
      <c r="K2827" s="25" t="str">
        <f t="shared" si="41"/>
        <v/>
      </c>
      <c r="L2827" s="25" t="str">
        <f t="shared" si="42"/>
        <v/>
      </c>
      <c r="M2827" s="25"/>
      <c r="O2827" s="25"/>
    </row>
    <row r="2828" ht="15.75" customHeight="1">
      <c r="A2828" s="25" t="str">
        <f>IFERROR(__xludf.DUMMYFUNCTION("IF(B2828="""","""",RIGHT(REGEXREPLACE(B2828&amp;"""",""[^0-9]"",""""),9))"),"705819774")</f>
        <v>705819774</v>
      </c>
      <c r="B2828" s="52">
        <v>7.05819774E8</v>
      </c>
      <c r="C2828" s="28" t="s">
        <v>2996</v>
      </c>
      <c r="D2828" s="26" t="s">
        <v>64</v>
      </c>
      <c r="E2828" s="31">
        <v>46230.0</v>
      </c>
      <c r="F2828" s="26" t="s">
        <v>46</v>
      </c>
      <c r="G2828" s="26">
        <v>11.0</v>
      </c>
      <c r="H2828" s="26" t="s">
        <v>1526</v>
      </c>
      <c r="I2828" s="26" t="s">
        <v>42</v>
      </c>
      <c r="J2828" s="25" t="str">
        <f t="shared" si="40"/>
        <v>No</v>
      </c>
      <c r="K2828" s="25" t="str">
        <f t="shared" si="41"/>
        <v/>
      </c>
      <c r="L2828" s="25" t="str">
        <f t="shared" si="42"/>
        <v/>
      </c>
      <c r="M2828" s="25"/>
      <c r="O2828" s="25"/>
    </row>
    <row r="2829" ht="15.75" customHeight="1">
      <c r="A2829" s="25" t="str">
        <f>IFERROR(__xludf.DUMMYFUNCTION("IF(B2829="""","""",RIGHT(REGEXREPLACE(B2829&amp;"""",""[^0-9]"",""""),9))"),"716051719")</f>
        <v>716051719</v>
      </c>
      <c r="B2829" s="52">
        <v>7.16051719E8</v>
      </c>
      <c r="C2829" s="28" t="s">
        <v>2997</v>
      </c>
      <c r="D2829" s="26" t="s">
        <v>45</v>
      </c>
      <c r="E2829" s="31">
        <v>46230.0</v>
      </c>
      <c r="F2829" s="26" t="s">
        <v>46</v>
      </c>
      <c r="G2829" s="26">
        <v>11.0</v>
      </c>
      <c r="I2829" s="26" t="s">
        <v>42</v>
      </c>
      <c r="J2829" s="25" t="str">
        <f t="shared" si="40"/>
        <v>No</v>
      </c>
      <c r="K2829" s="25" t="str">
        <f t="shared" si="41"/>
        <v/>
      </c>
      <c r="L2829" s="25" t="str">
        <f t="shared" si="42"/>
        <v/>
      </c>
      <c r="M2829" s="25"/>
      <c r="O2829" s="25"/>
    </row>
    <row r="2830" ht="15.75" customHeight="1">
      <c r="A2830" s="25" t="str">
        <f>IFERROR(__xludf.DUMMYFUNCTION("IF(B2830="""","""",RIGHT(REGEXREPLACE(B2830&amp;"""",""[^0-9]"",""""),9))"),"705578925")</f>
        <v>705578925</v>
      </c>
      <c r="B2830" s="52">
        <v>7.05578925E8</v>
      </c>
      <c r="C2830" s="28" t="s">
        <v>2998</v>
      </c>
      <c r="D2830" s="26" t="s">
        <v>69</v>
      </c>
      <c r="E2830" s="31">
        <v>46230.0</v>
      </c>
      <c r="F2830" s="26" t="s">
        <v>41</v>
      </c>
      <c r="I2830" s="26" t="s">
        <v>42</v>
      </c>
      <c r="J2830" s="25" t="str">
        <f t="shared" si="40"/>
        <v>No</v>
      </c>
      <c r="K2830" s="25" t="str">
        <f t="shared" si="41"/>
        <v/>
      </c>
      <c r="L2830" s="25" t="str">
        <f t="shared" si="42"/>
        <v/>
      </c>
      <c r="M2830" s="25"/>
      <c r="O2830" s="25"/>
    </row>
    <row r="2831" ht="15.75" customHeight="1">
      <c r="A2831" s="25" t="str">
        <f>IFERROR(__xludf.DUMMYFUNCTION("IF(B2831="""","""",RIGHT(REGEXREPLACE(B2831&amp;"""",""[^0-9]"",""""),9))"),"764056697")</f>
        <v>764056697</v>
      </c>
      <c r="B2831" s="52">
        <v>7.64056697E8</v>
      </c>
      <c r="C2831" s="28" t="s">
        <v>2999</v>
      </c>
      <c r="D2831" s="26" t="s">
        <v>82</v>
      </c>
      <c r="E2831" s="31">
        <v>46230.0</v>
      </c>
      <c r="F2831" s="26" t="s">
        <v>205</v>
      </c>
      <c r="I2831" s="26" t="s">
        <v>42</v>
      </c>
      <c r="J2831" s="25" t="str">
        <f t="shared" si="40"/>
        <v>No</v>
      </c>
      <c r="K2831" s="25" t="str">
        <f t="shared" si="41"/>
        <v/>
      </c>
      <c r="L2831" s="25" t="str">
        <f t="shared" si="42"/>
        <v/>
      </c>
      <c r="M2831" s="25"/>
      <c r="O2831" s="25"/>
    </row>
    <row r="2832" ht="15.75" customHeight="1">
      <c r="A2832" s="25" t="str">
        <f>IFERROR(__xludf.DUMMYFUNCTION("IF(B2832="""","""",RIGHT(REGEXREPLACE(B2832&amp;"""",""[^0-9]"",""""),9))"),"760679245")</f>
        <v>760679245</v>
      </c>
      <c r="B2832" s="52">
        <v>7.60679245E8</v>
      </c>
      <c r="C2832" s="28" t="s">
        <v>3000</v>
      </c>
      <c r="D2832" s="26" t="s">
        <v>49</v>
      </c>
      <c r="E2832" s="31">
        <v>46230.0</v>
      </c>
      <c r="F2832" s="26" t="s">
        <v>46</v>
      </c>
      <c r="G2832" s="26">
        <v>11.0</v>
      </c>
      <c r="I2832" s="26" t="s">
        <v>42</v>
      </c>
      <c r="J2832" s="25" t="str">
        <f t="shared" si="40"/>
        <v>No</v>
      </c>
      <c r="K2832" s="25" t="str">
        <f t="shared" si="41"/>
        <v/>
      </c>
      <c r="L2832" s="25" t="str">
        <f t="shared" si="42"/>
        <v/>
      </c>
      <c r="M2832" s="25"/>
      <c r="O2832" s="25"/>
    </row>
    <row r="2833" ht="15.75" customHeight="1">
      <c r="A2833" s="25" t="str">
        <f>IFERROR(__xludf.DUMMYFUNCTION("IF(B2833="""","""",RIGHT(REGEXREPLACE(B2833&amp;"""",""[^0-9]"",""""),9))"),"760303006")</f>
        <v>760303006</v>
      </c>
      <c r="B2833" s="52">
        <v>7.60303006E8</v>
      </c>
      <c r="C2833" s="28" t="s">
        <v>3001</v>
      </c>
      <c r="D2833" s="26" t="s">
        <v>56</v>
      </c>
      <c r="E2833" s="31">
        <v>46230.0</v>
      </c>
      <c r="F2833" s="26" t="s">
        <v>84</v>
      </c>
      <c r="H2833" s="26" t="s">
        <v>796</v>
      </c>
      <c r="I2833" s="26" t="s">
        <v>42</v>
      </c>
      <c r="J2833" s="25" t="str">
        <f t="shared" si="40"/>
        <v>No</v>
      </c>
      <c r="K2833" s="25" t="str">
        <f t="shared" si="41"/>
        <v/>
      </c>
      <c r="L2833" s="25" t="str">
        <f t="shared" si="42"/>
        <v/>
      </c>
      <c r="M2833" s="25"/>
      <c r="O2833" s="25"/>
    </row>
    <row r="2834" ht="15.75" customHeight="1">
      <c r="A2834" s="25" t="str">
        <f>IFERROR(__xludf.DUMMYFUNCTION("IF(B2834="""","""",RIGHT(REGEXREPLACE(B2834&amp;"""",""[^0-9]"",""""),9))"),"767609321")</f>
        <v>767609321</v>
      </c>
      <c r="B2834" s="52">
        <v>7.67609321E8</v>
      </c>
      <c r="C2834" s="28" t="s">
        <v>3002</v>
      </c>
      <c r="D2834" s="26" t="s">
        <v>82</v>
      </c>
      <c r="E2834" s="31">
        <v>46230.0</v>
      </c>
      <c r="F2834" s="26" t="s">
        <v>46</v>
      </c>
      <c r="G2834" s="26">
        <v>11.0</v>
      </c>
      <c r="I2834" s="26" t="s">
        <v>42</v>
      </c>
      <c r="J2834" s="25" t="str">
        <f t="shared" si="40"/>
        <v>No</v>
      </c>
      <c r="K2834" s="25" t="str">
        <f t="shared" si="41"/>
        <v/>
      </c>
      <c r="L2834" s="25" t="str">
        <f t="shared" si="42"/>
        <v/>
      </c>
      <c r="M2834" s="25"/>
      <c r="O2834" s="25"/>
    </row>
    <row r="2835" ht="15.75" customHeight="1">
      <c r="A2835" s="25" t="str">
        <f>IFERROR(__xludf.DUMMYFUNCTION("IF(B2835="""","""",RIGHT(REGEXREPLACE(B2835&amp;"""",""[^0-9]"",""""),9))"),"778245103")</f>
        <v>778245103</v>
      </c>
      <c r="B2835" s="52">
        <v>7.78245103E8</v>
      </c>
      <c r="C2835" s="28" t="s">
        <v>3003</v>
      </c>
      <c r="D2835" s="26" t="s">
        <v>49</v>
      </c>
      <c r="E2835" s="31">
        <v>46230.0</v>
      </c>
      <c r="F2835" s="26" t="s">
        <v>205</v>
      </c>
      <c r="I2835" s="26" t="s">
        <v>42</v>
      </c>
      <c r="J2835" s="25" t="str">
        <f t="shared" si="40"/>
        <v>No</v>
      </c>
      <c r="K2835" s="25" t="str">
        <f t="shared" si="41"/>
        <v/>
      </c>
      <c r="L2835" s="25" t="str">
        <f t="shared" si="42"/>
        <v/>
      </c>
      <c r="M2835" s="25"/>
      <c r="O2835" s="25"/>
    </row>
    <row r="2836" ht="15.75" customHeight="1">
      <c r="A2836" s="25" t="str">
        <f>IFERROR(__xludf.DUMMYFUNCTION("IF(B2836="""","""",RIGHT(REGEXREPLACE(B2836&amp;"""",""[^0-9]"",""""),9))"),"762783375")</f>
        <v>762783375</v>
      </c>
      <c r="B2836" s="52">
        <v>7.62783375E8</v>
      </c>
      <c r="C2836" s="28" t="s">
        <v>3004</v>
      </c>
      <c r="D2836" s="26" t="s">
        <v>69</v>
      </c>
      <c r="E2836" s="31">
        <v>46230.0</v>
      </c>
      <c r="F2836" s="26" t="s">
        <v>41</v>
      </c>
      <c r="I2836" s="26" t="s">
        <v>42</v>
      </c>
      <c r="J2836" s="25" t="str">
        <f t="shared" si="40"/>
        <v>No</v>
      </c>
      <c r="K2836" s="25" t="str">
        <f t="shared" si="41"/>
        <v/>
      </c>
      <c r="L2836" s="25" t="str">
        <f t="shared" si="42"/>
        <v/>
      </c>
      <c r="M2836" s="25"/>
      <c r="O2836" s="25"/>
    </row>
    <row r="2837" ht="15.75" customHeight="1">
      <c r="A2837" s="25" t="str">
        <f>IFERROR(__xludf.DUMMYFUNCTION("IF(B2837="""","""",RIGHT(REGEXREPLACE(B2837&amp;"""",""[^0-9]"",""""),9))"),"772331099")</f>
        <v>772331099</v>
      </c>
      <c r="B2837" s="52">
        <v>7.72331099E8</v>
      </c>
      <c r="C2837" s="28" t="s">
        <v>3005</v>
      </c>
      <c r="D2837" s="26" t="s">
        <v>45</v>
      </c>
      <c r="E2837" s="31">
        <v>46230.0</v>
      </c>
      <c r="F2837" s="26" t="s">
        <v>41</v>
      </c>
      <c r="H2837" s="26" t="s">
        <v>2605</v>
      </c>
      <c r="I2837" s="26" t="s">
        <v>42</v>
      </c>
      <c r="J2837" s="25" t="str">
        <f t="shared" si="40"/>
        <v>No</v>
      </c>
      <c r="K2837" s="25" t="str">
        <f t="shared" si="41"/>
        <v/>
      </c>
      <c r="L2837" s="25" t="str">
        <f t="shared" si="42"/>
        <v/>
      </c>
      <c r="M2837" s="25"/>
      <c r="O2837" s="25"/>
    </row>
    <row r="2838" ht="15.75" customHeight="1">
      <c r="A2838" s="25" t="str">
        <f>IFERROR(__xludf.DUMMYFUNCTION("IF(B2838="""","""",RIGHT(REGEXREPLACE(B2838&amp;"""",""[^0-9]"",""""),9))"),"769997810")</f>
        <v>769997810</v>
      </c>
      <c r="B2838" s="52">
        <v>7.6999781E8</v>
      </c>
      <c r="C2838" s="28" t="s">
        <v>3006</v>
      </c>
      <c r="D2838" s="26" t="s">
        <v>49</v>
      </c>
      <c r="E2838" s="31">
        <v>46230.0</v>
      </c>
      <c r="F2838" s="26" t="s">
        <v>41</v>
      </c>
      <c r="G2838" s="26">
        <v>11.0</v>
      </c>
      <c r="I2838" s="26" t="s">
        <v>42</v>
      </c>
      <c r="J2838" s="25" t="str">
        <f t="shared" si="40"/>
        <v>No</v>
      </c>
      <c r="K2838" s="25" t="str">
        <f t="shared" si="41"/>
        <v/>
      </c>
      <c r="L2838" s="25" t="str">
        <f t="shared" si="42"/>
        <v/>
      </c>
      <c r="M2838" s="25"/>
      <c r="O2838" s="25"/>
    </row>
    <row r="2839" ht="15.75" customHeight="1">
      <c r="A2839" s="25" t="str">
        <f>IFERROR(__xludf.DUMMYFUNCTION("IF(B2839="""","""",RIGHT(REGEXREPLACE(B2839&amp;"""",""[^0-9]"",""""),9))"),"789938325")</f>
        <v>789938325</v>
      </c>
      <c r="B2839" s="52">
        <v>7.89938325E8</v>
      </c>
      <c r="C2839" s="28" t="s">
        <v>2996</v>
      </c>
      <c r="D2839" s="26" t="s">
        <v>64</v>
      </c>
      <c r="E2839" s="31">
        <v>46230.0</v>
      </c>
      <c r="F2839" s="26" t="s">
        <v>84</v>
      </c>
      <c r="H2839" s="26" t="s">
        <v>1526</v>
      </c>
      <c r="I2839" s="26" t="s">
        <v>42</v>
      </c>
      <c r="J2839" s="25" t="str">
        <f t="shared" si="40"/>
        <v>No</v>
      </c>
      <c r="K2839" s="25" t="str">
        <f t="shared" si="41"/>
        <v/>
      </c>
      <c r="L2839" s="25" t="str">
        <f t="shared" si="42"/>
        <v/>
      </c>
      <c r="M2839" s="25"/>
      <c r="O2839" s="25"/>
    </row>
    <row r="2840" ht="15.75" customHeight="1">
      <c r="A2840" s="25" t="str">
        <f>IFERROR(__xludf.DUMMYFUNCTION("IF(B2840="""","""",RIGHT(REGEXREPLACE(B2840&amp;"""",""[^0-9]"",""""),9))"),"772319436")</f>
        <v>772319436</v>
      </c>
      <c r="B2840" s="52">
        <v>7.72319436E8</v>
      </c>
      <c r="C2840" s="28" t="s">
        <v>3007</v>
      </c>
      <c r="D2840" s="26" t="s">
        <v>49</v>
      </c>
      <c r="E2840" s="31">
        <v>46230.0</v>
      </c>
      <c r="F2840" s="26" t="s">
        <v>205</v>
      </c>
      <c r="I2840" s="26" t="s">
        <v>42</v>
      </c>
      <c r="J2840" s="25" t="str">
        <f t="shared" si="40"/>
        <v>No</v>
      </c>
      <c r="K2840" s="25" t="str">
        <f t="shared" si="41"/>
        <v/>
      </c>
      <c r="L2840" s="25" t="str">
        <f t="shared" si="42"/>
        <v/>
      </c>
      <c r="M2840" s="25"/>
      <c r="O2840" s="25"/>
    </row>
    <row r="2841" ht="15.75" customHeight="1">
      <c r="A2841" s="25" t="str">
        <f>IFERROR(__xludf.DUMMYFUNCTION("IF(B2841="""","""",RIGHT(REGEXREPLACE(B2841&amp;"""",""[^0-9]"",""""),9))"),"716511773")</f>
        <v>716511773</v>
      </c>
      <c r="B2841" s="52">
        <v>7.16511773E8</v>
      </c>
      <c r="C2841" s="28" t="s">
        <v>3008</v>
      </c>
      <c r="D2841" s="26" t="s">
        <v>69</v>
      </c>
      <c r="E2841" s="31">
        <v>46230.0</v>
      </c>
      <c r="F2841" s="26" t="s">
        <v>84</v>
      </c>
      <c r="G2841" s="26">
        <v>11.0</v>
      </c>
      <c r="I2841" s="26" t="s">
        <v>42</v>
      </c>
      <c r="J2841" s="25" t="str">
        <f t="shared" si="40"/>
        <v>No</v>
      </c>
      <c r="K2841" s="25" t="str">
        <f t="shared" si="41"/>
        <v/>
      </c>
      <c r="L2841" s="25" t="str">
        <f t="shared" si="42"/>
        <v/>
      </c>
      <c r="M2841" s="25"/>
      <c r="O2841" s="25"/>
    </row>
    <row r="2842" ht="15.75" customHeight="1">
      <c r="A2842" s="25" t="str">
        <f>IFERROR(__xludf.DUMMYFUNCTION("IF(B2842="""","""",RIGHT(REGEXREPLACE(B2842&amp;"""",""[^0-9]"",""""),9))"),"773089888")</f>
        <v>773089888</v>
      </c>
      <c r="B2842" s="52">
        <v>7.73089888E8</v>
      </c>
      <c r="C2842" s="28" t="s">
        <v>3009</v>
      </c>
      <c r="D2842" s="26" t="s">
        <v>45</v>
      </c>
      <c r="E2842" s="31">
        <v>46230.0</v>
      </c>
      <c r="F2842" s="26" t="s">
        <v>84</v>
      </c>
      <c r="G2842" s="26">
        <v>11.0</v>
      </c>
      <c r="H2842" s="26" t="s">
        <v>1526</v>
      </c>
      <c r="I2842" s="26" t="s">
        <v>42</v>
      </c>
      <c r="J2842" s="25" t="str">
        <f t="shared" si="40"/>
        <v>No</v>
      </c>
      <c r="K2842" s="25" t="str">
        <f t="shared" si="41"/>
        <v/>
      </c>
      <c r="L2842" s="25" t="str">
        <f t="shared" si="42"/>
        <v/>
      </c>
      <c r="M2842" s="25"/>
      <c r="O2842" s="25"/>
    </row>
    <row r="2843" ht="15.75" customHeight="1">
      <c r="A2843" s="25" t="str">
        <f>IFERROR(__xludf.DUMMYFUNCTION("IF(B2843="""","""",RIGHT(REGEXREPLACE(B2843&amp;"""",""[^0-9]"",""""),9))"),"714754421")</f>
        <v>714754421</v>
      </c>
      <c r="B2843" s="52">
        <v>7.14754421E8</v>
      </c>
      <c r="C2843" s="28" t="s">
        <v>3010</v>
      </c>
      <c r="D2843" s="26" t="s">
        <v>64</v>
      </c>
      <c r="E2843" s="31">
        <v>46230.0</v>
      </c>
      <c r="F2843" s="26" t="s">
        <v>41</v>
      </c>
      <c r="H2843" s="26" t="s">
        <v>1526</v>
      </c>
      <c r="I2843" s="26" t="s">
        <v>42</v>
      </c>
      <c r="J2843" s="25" t="str">
        <f t="shared" si="40"/>
        <v>No</v>
      </c>
      <c r="K2843" s="25" t="str">
        <f t="shared" si="41"/>
        <v/>
      </c>
      <c r="L2843" s="25" t="str">
        <f t="shared" si="42"/>
        <v/>
      </c>
      <c r="M2843" s="25"/>
      <c r="O2843" s="25"/>
    </row>
    <row r="2844" ht="15.75" customHeight="1">
      <c r="A2844" s="25" t="str">
        <f>IFERROR(__xludf.DUMMYFUNCTION("IF(B2844="""","""",RIGHT(REGEXREPLACE(B2844&amp;"""",""[^0-9]"",""""),9))"),"785910223")</f>
        <v>785910223</v>
      </c>
      <c r="B2844" s="52">
        <v>7.85910223E8</v>
      </c>
      <c r="C2844" s="28" t="s">
        <v>3011</v>
      </c>
      <c r="D2844" s="26" t="s">
        <v>82</v>
      </c>
      <c r="E2844" s="31">
        <v>46230.0</v>
      </c>
      <c r="F2844" s="26" t="s">
        <v>46</v>
      </c>
      <c r="G2844" s="26">
        <v>11.0</v>
      </c>
      <c r="I2844" s="26" t="s">
        <v>42</v>
      </c>
      <c r="J2844" s="25" t="str">
        <f t="shared" si="40"/>
        <v>No</v>
      </c>
      <c r="K2844" s="25" t="str">
        <f t="shared" si="41"/>
        <v/>
      </c>
      <c r="L2844" s="25" t="str">
        <f t="shared" si="42"/>
        <v/>
      </c>
      <c r="M2844" s="25"/>
      <c r="O2844" s="25"/>
    </row>
    <row r="2845" ht="15.75" customHeight="1">
      <c r="A2845" s="25" t="str">
        <f>IFERROR(__xludf.DUMMYFUNCTION("IF(B2845="""","""",RIGHT(REGEXREPLACE(B2845&amp;"""",""[^0-9]"",""""),9))"),"774573260")</f>
        <v>774573260</v>
      </c>
      <c r="B2845" s="52">
        <v>7.7457326E8</v>
      </c>
      <c r="C2845" s="28" t="s">
        <v>3012</v>
      </c>
      <c r="D2845" s="26" t="s">
        <v>49</v>
      </c>
      <c r="E2845" s="31">
        <v>46230.0</v>
      </c>
      <c r="F2845" s="26" t="s">
        <v>41</v>
      </c>
      <c r="G2845" s="26">
        <v>10.0</v>
      </c>
      <c r="I2845" s="26" t="s">
        <v>42</v>
      </c>
      <c r="J2845" s="25" t="str">
        <f t="shared" si="40"/>
        <v>No</v>
      </c>
      <c r="K2845" s="25" t="str">
        <f t="shared" si="41"/>
        <v/>
      </c>
      <c r="L2845" s="25" t="str">
        <f t="shared" si="42"/>
        <v/>
      </c>
      <c r="M2845" s="25"/>
      <c r="O2845" s="25"/>
    </row>
    <row r="2846" ht="15.75" customHeight="1">
      <c r="A2846" s="25" t="str">
        <f>IFERROR(__xludf.DUMMYFUNCTION("IF(B2846="""","""",RIGHT(REGEXREPLACE(B2846&amp;"""",""[^0-9]"",""""),9))"),"767129560")</f>
        <v>767129560</v>
      </c>
      <c r="B2846" s="52">
        <v>7.6712956E8</v>
      </c>
      <c r="C2846" s="28" t="s">
        <v>3013</v>
      </c>
      <c r="D2846" s="26" t="s">
        <v>56</v>
      </c>
      <c r="E2846" s="31">
        <v>46230.0</v>
      </c>
      <c r="F2846" s="26" t="s">
        <v>46</v>
      </c>
      <c r="G2846" s="26">
        <v>11.0</v>
      </c>
      <c r="H2846" s="26" t="s">
        <v>774</v>
      </c>
      <c r="I2846" s="26" t="s">
        <v>42</v>
      </c>
      <c r="J2846" s="25" t="str">
        <f t="shared" si="40"/>
        <v>No</v>
      </c>
      <c r="K2846" s="25" t="str">
        <f t="shared" si="41"/>
        <v/>
      </c>
      <c r="L2846" s="25" t="str">
        <f t="shared" si="42"/>
        <v/>
      </c>
      <c r="M2846" s="25"/>
      <c r="O2846" s="25"/>
    </row>
    <row r="2847" ht="15.75" customHeight="1">
      <c r="A2847" s="25" t="str">
        <f>IFERROR(__xludf.DUMMYFUNCTION("IF(B2847="""","""",RIGHT(REGEXREPLACE(B2847&amp;"""",""[^0-9]"",""""),9))"),"773094778")</f>
        <v>773094778</v>
      </c>
      <c r="B2847" s="52">
        <v>7.73094778E8</v>
      </c>
      <c r="C2847" s="28" t="s">
        <v>3014</v>
      </c>
      <c r="D2847" s="26" t="s">
        <v>64</v>
      </c>
      <c r="E2847" s="31">
        <v>46230.0</v>
      </c>
      <c r="F2847" s="26" t="s">
        <v>659</v>
      </c>
      <c r="H2847" s="26" t="s">
        <v>1526</v>
      </c>
      <c r="I2847" s="26" t="s">
        <v>42</v>
      </c>
      <c r="J2847" s="25" t="str">
        <f t="shared" si="40"/>
        <v>No</v>
      </c>
      <c r="K2847" s="25" t="str">
        <f t="shared" si="41"/>
        <v/>
      </c>
      <c r="L2847" s="25" t="str">
        <f t="shared" si="42"/>
        <v/>
      </c>
      <c r="M2847" s="25"/>
      <c r="O2847" s="25"/>
    </row>
    <row r="2848" ht="15.75" customHeight="1">
      <c r="A2848" s="25" t="str">
        <f>IFERROR(__xludf.DUMMYFUNCTION("IF(B2848="""","""",RIGHT(REGEXREPLACE(B2848&amp;"""",""[^0-9]"",""""),9))"),"703174111")</f>
        <v>703174111</v>
      </c>
      <c r="B2848" s="52">
        <v>7.03174111E8</v>
      </c>
      <c r="C2848" s="28" t="s">
        <v>3015</v>
      </c>
      <c r="D2848" s="26" t="s">
        <v>49</v>
      </c>
      <c r="E2848" s="31">
        <v>46230.0</v>
      </c>
      <c r="F2848" s="26" t="s">
        <v>205</v>
      </c>
      <c r="I2848" s="26" t="s">
        <v>42</v>
      </c>
      <c r="J2848" s="25" t="str">
        <f t="shared" si="40"/>
        <v>No</v>
      </c>
      <c r="K2848" s="25" t="str">
        <f t="shared" si="41"/>
        <v/>
      </c>
      <c r="L2848" s="25" t="str">
        <f t="shared" si="42"/>
        <v/>
      </c>
      <c r="M2848" s="25"/>
      <c r="O2848" s="25"/>
    </row>
    <row r="2849" ht="15.75" customHeight="1">
      <c r="A2849" s="25" t="str">
        <f>IFERROR(__xludf.DUMMYFUNCTION("IF(B2849="""","""",RIGHT(REGEXREPLACE(B2849&amp;"""",""[^0-9]"",""""),9))"),"752436632")</f>
        <v>752436632</v>
      </c>
      <c r="B2849" s="52">
        <v>7.52436632E8</v>
      </c>
      <c r="C2849" s="28" t="s">
        <v>3016</v>
      </c>
      <c r="D2849" s="26" t="s">
        <v>69</v>
      </c>
      <c r="E2849" s="31">
        <v>46230.0</v>
      </c>
      <c r="F2849" s="26" t="s">
        <v>46</v>
      </c>
      <c r="I2849" s="26" t="s">
        <v>42</v>
      </c>
      <c r="J2849" s="25" t="str">
        <f t="shared" si="40"/>
        <v>No</v>
      </c>
      <c r="K2849" s="25" t="str">
        <f t="shared" si="41"/>
        <v/>
      </c>
      <c r="L2849" s="25" t="str">
        <f t="shared" si="42"/>
        <v/>
      </c>
      <c r="M2849" s="25"/>
      <c r="O2849" s="25"/>
    </row>
    <row r="2850" ht="15.75" customHeight="1">
      <c r="A2850" s="25" t="str">
        <f>IFERROR(__xludf.DUMMYFUNCTION("IF(B2850="""","""",RIGHT(REGEXREPLACE(B2850&amp;"""",""[^0-9]"",""""),9))"),"773697438")</f>
        <v>773697438</v>
      </c>
      <c r="B2850" s="52">
        <v>7.73697438E8</v>
      </c>
      <c r="C2850" s="28" t="s">
        <v>3017</v>
      </c>
      <c r="D2850" s="26" t="s">
        <v>64</v>
      </c>
      <c r="E2850" s="31">
        <v>46230.0</v>
      </c>
      <c r="F2850" s="26" t="s">
        <v>46</v>
      </c>
      <c r="G2850" s="26">
        <v>11.0</v>
      </c>
      <c r="H2850" s="26" t="s">
        <v>1526</v>
      </c>
      <c r="I2850" s="26" t="s">
        <v>42</v>
      </c>
      <c r="J2850" s="25" t="str">
        <f t="shared" si="40"/>
        <v>No</v>
      </c>
      <c r="K2850" s="25" t="str">
        <f t="shared" si="41"/>
        <v/>
      </c>
      <c r="L2850" s="25" t="str">
        <f t="shared" si="42"/>
        <v/>
      </c>
      <c r="M2850" s="25"/>
      <c r="O2850" s="25"/>
    </row>
    <row r="2851" ht="15.75" customHeight="1">
      <c r="A2851" s="25" t="str">
        <f>IFERROR(__xludf.DUMMYFUNCTION("IF(B2851="""","""",RIGHT(REGEXREPLACE(B2851&amp;"""",""[^0-9]"",""""),9))"),"764208677")</f>
        <v>764208677</v>
      </c>
      <c r="B2851" s="52">
        <v>7.64208677E8</v>
      </c>
      <c r="C2851" s="28" t="s">
        <v>3018</v>
      </c>
      <c r="D2851" s="26" t="s">
        <v>49</v>
      </c>
      <c r="E2851" s="31">
        <v>46230.0</v>
      </c>
      <c r="F2851" s="26" t="s">
        <v>46</v>
      </c>
      <c r="G2851" s="26">
        <v>11.0</v>
      </c>
      <c r="I2851" s="26" t="s">
        <v>42</v>
      </c>
      <c r="J2851" s="25" t="str">
        <f t="shared" si="40"/>
        <v>No</v>
      </c>
      <c r="K2851" s="25" t="str">
        <f t="shared" si="41"/>
        <v/>
      </c>
      <c r="L2851" s="25" t="str">
        <f t="shared" si="42"/>
        <v/>
      </c>
      <c r="M2851" s="25"/>
      <c r="O2851" s="25"/>
    </row>
    <row r="2852" ht="15.75" customHeight="1">
      <c r="A2852" s="25" t="str">
        <f>IFERROR(__xludf.DUMMYFUNCTION("IF(B2852="""","""",RIGHT(REGEXREPLACE(B2852&amp;"""",""[^0-9]"",""""),9))"),"772432833")</f>
        <v>772432833</v>
      </c>
      <c r="B2852" s="52">
        <v>7.72432833E8</v>
      </c>
      <c r="C2852" s="28" t="s">
        <v>3018</v>
      </c>
      <c r="D2852" s="26" t="s">
        <v>82</v>
      </c>
      <c r="E2852" s="31">
        <v>46230.0</v>
      </c>
      <c r="F2852" s="26" t="s">
        <v>41</v>
      </c>
      <c r="G2852" s="26">
        <v>11.0</v>
      </c>
      <c r="I2852" s="26" t="s">
        <v>42</v>
      </c>
      <c r="J2852" s="25" t="str">
        <f t="shared" si="40"/>
        <v>No</v>
      </c>
      <c r="K2852" s="25" t="str">
        <f t="shared" si="41"/>
        <v/>
      </c>
      <c r="L2852" s="25" t="str">
        <f t="shared" si="42"/>
        <v/>
      </c>
      <c r="M2852" s="25"/>
      <c r="O2852" s="25"/>
    </row>
    <row r="2853" ht="15.75" customHeight="1">
      <c r="A2853" s="25" t="str">
        <f>IFERROR(__xludf.DUMMYFUNCTION("IF(B2853="""","""",RIGHT(REGEXREPLACE(B2853&amp;"""",""[^0-9]"",""""),9))"),"763086576")</f>
        <v>763086576</v>
      </c>
      <c r="B2853" s="52">
        <v>7.63086576E8</v>
      </c>
      <c r="C2853" s="28" t="s">
        <v>2881</v>
      </c>
      <c r="D2853" s="26" t="s">
        <v>45</v>
      </c>
      <c r="E2853" s="31">
        <v>46230.0</v>
      </c>
      <c r="F2853" s="26" t="s">
        <v>46</v>
      </c>
      <c r="G2853" s="26">
        <v>11.0</v>
      </c>
      <c r="H2853" s="26" t="s">
        <v>2682</v>
      </c>
      <c r="I2853" s="26" t="s">
        <v>42</v>
      </c>
      <c r="J2853" s="25" t="str">
        <f t="shared" si="40"/>
        <v>No</v>
      </c>
      <c r="K2853" s="25" t="str">
        <f t="shared" si="41"/>
        <v/>
      </c>
      <c r="L2853" s="25" t="str">
        <f t="shared" si="42"/>
        <v/>
      </c>
      <c r="M2853" s="25"/>
      <c r="O2853" s="25"/>
    </row>
    <row r="2854" ht="15.75" customHeight="1">
      <c r="A2854" s="25" t="str">
        <f>IFERROR(__xludf.DUMMYFUNCTION("IF(B2854="""","""",RIGHT(REGEXREPLACE(B2854&amp;"""",""[^0-9]"",""""),9))"),"703292631")</f>
        <v>703292631</v>
      </c>
      <c r="B2854" s="52">
        <v>7.03292631E8</v>
      </c>
      <c r="C2854" s="28" t="s">
        <v>3019</v>
      </c>
      <c r="D2854" s="26" t="s">
        <v>69</v>
      </c>
      <c r="E2854" s="31">
        <v>46230.0</v>
      </c>
      <c r="F2854" s="26" t="s">
        <v>46</v>
      </c>
      <c r="G2854" s="26">
        <v>11.0</v>
      </c>
      <c r="I2854" s="26" t="s">
        <v>42</v>
      </c>
      <c r="J2854" s="25" t="str">
        <f t="shared" si="40"/>
        <v>No</v>
      </c>
      <c r="K2854" s="25" t="str">
        <f t="shared" si="41"/>
        <v/>
      </c>
      <c r="L2854" s="25" t="str">
        <f t="shared" si="42"/>
        <v/>
      </c>
      <c r="M2854" s="25"/>
      <c r="O2854" s="25"/>
    </row>
    <row r="2855" ht="15.75" customHeight="1">
      <c r="A2855" s="25" t="str">
        <f>IFERROR(__xludf.DUMMYFUNCTION("IF(B2855="""","""",RIGHT(REGEXREPLACE(B2855&amp;"""",""[^0-9]"",""""),9))"),"716503648")</f>
        <v>716503648</v>
      </c>
      <c r="B2855" s="52">
        <v>7.16503648E8</v>
      </c>
      <c r="C2855" s="28" t="s">
        <v>3020</v>
      </c>
      <c r="D2855" s="26" t="s">
        <v>82</v>
      </c>
      <c r="E2855" s="31">
        <v>46230.0</v>
      </c>
      <c r="F2855" s="26" t="s">
        <v>46</v>
      </c>
      <c r="G2855" s="26">
        <v>11.0</v>
      </c>
      <c r="I2855" s="26" t="s">
        <v>42</v>
      </c>
      <c r="J2855" s="25" t="str">
        <f t="shared" si="40"/>
        <v>No</v>
      </c>
      <c r="K2855" s="25" t="str">
        <f t="shared" si="41"/>
        <v/>
      </c>
      <c r="L2855" s="25" t="str">
        <f t="shared" si="42"/>
        <v/>
      </c>
      <c r="M2855" s="25"/>
      <c r="O2855" s="25"/>
    </row>
    <row r="2856" ht="15.75" customHeight="1">
      <c r="A2856" s="25" t="str">
        <f>IFERROR(__xludf.DUMMYFUNCTION("IF(B2856="""","""",RIGHT(REGEXREPLACE(B2856&amp;"""",""[^0-9]"",""""),9))"),"787928863")</f>
        <v>787928863</v>
      </c>
      <c r="B2856" s="52">
        <v>7.87928863E8</v>
      </c>
      <c r="C2856" s="28" t="s">
        <v>1297</v>
      </c>
      <c r="D2856" s="26" t="s">
        <v>49</v>
      </c>
      <c r="E2856" s="31">
        <v>46230.0</v>
      </c>
      <c r="F2856" s="26" t="s">
        <v>41</v>
      </c>
      <c r="G2856" s="26">
        <v>11.0</v>
      </c>
      <c r="H2856" s="26" t="s">
        <v>2682</v>
      </c>
      <c r="I2856" s="26" t="s">
        <v>42</v>
      </c>
      <c r="J2856" s="25" t="str">
        <f t="shared" si="40"/>
        <v>Yes - see Previous F-Code</v>
      </c>
      <c r="K2856" s="25" t="str">
        <f t="shared" si="41"/>
        <v>DUPLICATE - CHECK</v>
      </c>
      <c r="L2856" s="25" t="str">
        <f t="shared" si="42"/>
        <v>F71029</v>
      </c>
      <c r="M2856" s="25"/>
      <c r="O2856" s="25"/>
    </row>
    <row r="2857" ht="15.75" customHeight="1">
      <c r="A2857" s="25" t="str">
        <f>IFERROR(__xludf.DUMMYFUNCTION("IF(B2857="""","""",RIGHT(REGEXREPLACE(B2857&amp;"""",""[^0-9]"",""""),9))"),"767056928")</f>
        <v>767056928</v>
      </c>
      <c r="B2857" s="52">
        <v>7.67056928E8</v>
      </c>
      <c r="C2857" s="28" t="s">
        <v>3021</v>
      </c>
      <c r="D2857" s="26" t="s">
        <v>45</v>
      </c>
      <c r="E2857" s="31">
        <v>46230.0</v>
      </c>
      <c r="F2857" s="26" t="s">
        <v>41</v>
      </c>
      <c r="H2857" s="26" t="s">
        <v>2605</v>
      </c>
      <c r="I2857" s="26" t="s">
        <v>42</v>
      </c>
      <c r="J2857" s="25" t="str">
        <f t="shared" si="40"/>
        <v>No</v>
      </c>
      <c r="K2857" s="25" t="str">
        <f t="shared" si="41"/>
        <v/>
      </c>
      <c r="L2857" s="25" t="str">
        <f t="shared" si="42"/>
        <v/>
      </c>
      <c r="M2857" s="25"/>
      <c r="O2857" s="25"/>
    </row>
    <row r="2858" ht="15.75" customHeight="1">
      <c r="A2858" s="25" t="str">
        <f>IFERROR(__xludf.DUMMYFUNCTION("IF(B2858="""","""",RIGHT(REGEXREPLACE(B2858&amp;"""",""[^0-9]"",""""),9))"),"766580156")</f>
        <v>766580156</v>
      </c>
      <c r="B2858" s="52">
        <v>7.66580156E8</v>
      </c>
      <c r="C2858" s="28" t="s">
        <v>3022</v>
      </c>
      <c r="D2858" s="26" t="s">
        <v>49</v>
      </c>
      <c r="E2858" s="31">
        <v>46230.0</v>
      </c>
      <c r="F2858" s="26" t="s">
        <v>659</v>
      </c>
      <c r="G2858" s="26">
        <v>11.0</v>
      </c>
      <c r="I2858" s="26" t="s">
        <v>42</v>
      </c>
      <c r="J2858" s="25" t="str">
        <f t="shared" si="40"/>
        <v>No</v>
      </c>
      <c r="K2858" s="25" t="str">
        <f t="shared" si="41"/>
        <v/>
      </c>
      <c r="L2858" s="25" t="str">
        <f t="shared" si="42"/>
        <v/>
      </c>
      <c r="M2858" s="25"/>
      <c r="O2858" s="25"/>
    </row>
    <row r="2859" ht="15.75" customHeight="1">
      <c r="A2859" s="25" t="str">
        <f>IFERROR(__xludf.DUMMYFUNCTION("IF(B2859="""","""",RIGHT(REGEXREPLACE(B2859&amp;"""",""[^0-9]"",""""),9))"),"706148645")</f>
        <v>706148645</v>
      </c>
      <c r="B2859" s="52">
        <v>7.06148645E8</v>
      </c>
      <c r="C2859" s="28" t="s">
        <v>3023</v>
      </c>
      <c r="D2859" s="26" t="s">
        <v>45</v>
      </c>
      <c r="E2859" s="31">
        <v>46230.0</v>
      </c>
      <c r="F2859" s="26" t="s">
        <v>46</v>
      </c>
      <c r="G2859" s="26">
        <v>11.0</v>
      </c>
      <c r="H2859" s="26" t="s">
        <v>2605</v>
      </c>
      <c r="I2859" s="26" t="s">
        <v>42</v>
      </c>
      <c r="J2859" s="25" t="str">
        <f t="shared" si="40"/>
        <v>No</v>
      </c>
      <c r="K2859" s="25" t="str">
        <f t="shared" si="41"/>
        <v/>
      </c>
      <c r="L2859" s="25" t="str">
        <f t="shared" si="42"/>
        <v/>
      </c>
      <c r="M2859" s="25"/>
      <c r="O2859" s="25"/>
    </row>
    <row r="2860" ht="15.75" customHeight="1">
      <c r="A2860" s="25" t="str">
        <f>IFERROR(__xludf.DUMMYFUNCTION("IF(B2860="""","""",RIGHT(REGEXREPLACE(B2860&amp;"""",""[^0-9]"",""""),9))"),"705819774")</f>
        <v>705819774</v>
      </c>
      <c r="B2860" s="52">
        <v>7.05819774E8</v>
      </c>
      <c r="C2860" s="28" t="s">
        <v>2996</v>
      </c>
      <c r="D2860" s="26" t="s">
        <v>64</v>
      </c>
      <c r="E2860" s="31">
        <v>46230.0</v>
      </c>
      <c r="F2860" s="26" t="s">
        <v>704</v>
      </c>
      <c r="G2860" s="26">
        <v>10.0</v>
      </c>
      <c r="H2860" s="26" t="s">
        <v>1526</v>
      </c>
      <c r="I2860" s="26" t="s">
        <v>42</v>
      </c>
      <c r="J2860" s="25" t="str">
        <f t="shared" si="40"/>
        <v>Yes - see Previous F-Code</v>
      </c>
      <c r="K2860" s="25" t="str">
        <f t="shared" si="41"/>
        <v>DUPLICATE - CHECK</v>
      </c>
      <c r="L2860" s="25" t="str">
        <f t="shared" si="42"/>
        <v>F72601</v>
      </c>
      <c r="M2860" s="25"/>
      <c r="O2860" s="25"/>
    </row>
    <row r="2861" ht="15.75" customHeight="1">
      <c r="A2861" s="25" t="str">
        <f>IFERROR(__xludf.DUMMYFUNCTION("IF(B2861="""","""",RIGHT(REGEXREPLACE(B2861&amp;"""",""[^0-9]"",""""),9))"),"728899783")</f>
        <v>728899783</v>
      </c>
      <c r="B2861" s="52">
        <v>7.28899783E8</v>
      </c>
      <c r="C2861" s="28" t="s">
        <v>3024</v>
      </c>
      <c r="D2861" s="26" t="s">
        <v>69</v>
      </c>
      <c r="E2861" s="31">
        <v>46230.0</v>
      </c>
      <c r="F2861" s="26" t="s">
        <v>46</v>
      </c>
      <c r="G2861" s="26">
        <v>11.0</v>
      </c>
      <c r="I2861" s="26" t="s">
        <v>42</v>
      </c>
      <c r="J2861" s="25" t="str">
        <f t="shared" si="40"/>
        <v>No</v>
      </c>
      <c r="K2861" s="25" t="str">
        <f t="shared" si="41"/>
        <v/>
      </c>
      <c r="L2861" s="25" t="str">
        <f t="shared" si="42"/>
        <v/>
      </c>
      <c r="M2861" s="25"/>
      <c r="O2861" s="25"/>
    </row>
    <row r="2862" ht="15.75" customHeight="1">
      <c r="A2862" s="25" t="str">
        <f>IFERROR(__xludf.DUMMYFUNCTION("IF(B2862="""","""",RIGHT(REGEXREPLACE(B2862&amp;"""",""[^0-9]"",""""),9))"),"702642205")</f>
        <v>702642205</v>
      </c>
      <c r="B2862" s="52">
        <v>7.02642205E8</v>
      </c>
      <c r="C2862" s="28" t="s">
        <v>2884</v>
      </c>
      <c r="D2862" s="26" t="s">
        <v>56</v>
      </c>
      <c r="E2862" s="31">
        <v>46230.0</v>
      </c>
      <c r="F2862" s="26" t="s">
        <v>41</v>
      </c>
      <c r="H2862" s="26" t="s">
        <v>796</v>
      </c>
      <c r="I2862" s="26" t="s">
        <v>42</v>
      </c>
      <c r="J2862" s="25" t="str">
        <f t="shared" si="40"/>
        <v>No</v>
      </c>
      <c r="K2862" s="25" t="str">
        <f t="shared" si="41"/>
        <v/>
      </c>
      <c r="L2862" s="25" t="str">
        <f t="shared" si="42"/>
        <v/>
      </c>
      <c r="M2862" s="25"/>
      <c r="O2862" s="25"/>
    </row>
    <row r="2863" ht="15.75" customHeight="1">
      <c r="A2863" s="25" t="str">
        <f>IFERROR(__xludf.DUMMYFUNCTION("IF(B2863="""","""",RIGHT(REGEXREPLACE(B2863&amp;"""",""[^0-9]"",""""),9))"),"760258896")</f>
        <v>760258896</v>
      </c>
      <c r="B2863" s="52">
        <v>7.60258896E8</v>
      </c>
      <c r="C2863" s="28" t="s">
        <v>3025</v>
      </c>
      <c r="D2863" s="26" t="s">
        <v>49</v>
      </c>
      <c r="E2863" s="31">
        <v>46230.0</v>
      </c>
      <c r="F2863" s="26" t="s">
        <v>46</v>
      </c>
      <c r="G2863" s="26">
        <v>11.0</v>
      </c>
      <c r="I2863" s="26" t="s">
        <v>42</v>
      </c>
      <c r="J2863" s="25" t="str">
        <f t="shared" si="40"/>
        <v>No</v>
      </c>
      <c r="K2863" s="25" t="str">
        <f t="shared" si="41"/>
        <v/>
      </c>
      <c r="L2863" s="25" t="str">
        <f t="shared" si="42"/>
        <v/>
      </c>
      <c r="M2863" s="25"/>
      <c r="O2863" s="25"/>
    </row>
    <row r="2864" ht="15.75" customHeight="1">
      <c r="A2864" s="25" t="str">
        <f>IFERROR(__xludf.DUMMYFUNCTION("IF(B2864="""","""",RIGHT(REGEXREPLACE(B2864&amp;"""",""[^0-9]"",""""),9))"),"773265763")</f>
        <v>773265763</v>
      </c>
      <c r="B2864" s="52">
        <v>7.73265763E8</v>
      </c>
      <c r="C2864" s="28" t="s">
        <v>3026</v>
      </c>
      <c r="D2864" s="26" t="s">
        <v>45</v>
      </c>
      <c r="E2864" s="31">
        <v>46230.0</v>
      </c>
      <c r="F2864" s="26" t="s">
        <v>125</v>
      </c>
      <c r="G2864" s="26">
        <v>11.0</v>
      </c>
      <c r="H2864" s="26" t="s">
        <v>2605</v>
      </c>
      <c r="I2864" s="26" t="s">
        <v>42</v>
      </c>
      <c r="J2864" s="25" t="str">
        <f t="shared" si="40"/>
        <v>No</v>
      </c>
      <c r="K2864" s="25" t="str">
        <f t="shared" si="41"/>
        <v/>
      </c>
      <c r="L2864" s="25" t="str">
        <f t="shared" si="42"/>
        <v/>
      </c>
      <c r="M2864" s="25"/>
      <c r="O2864" s="25"/>
    </row>
    <row r="2865" ht="15.75" customHeight="1">
      <c r="A2865" s="25" t="str">
        <f>IFERROR(__xludf.DUMMYFUNCTION("IF(B2865="""","""",RIGHT(REGEXREPLACE(B2865&amp;"""",""[^0-9]"",""""),9))"),"761568943")</f>
        <v>761568943</v>
      </c>
      <c r="B2865" s="52">
        <v>7.61568943E8</v>
      </c>
      <c r="C2865" s="28" t="s">
        <v>3027</v>
      </c>
      <c r="D2865" s="26" t="s">
        <v>82</v>
      </c>
      <c r="E2865" s="31">
        <v>46230.0</v>
      </c>
      <c r="F2865" s="26" t="s">
        <v>41</v>
      </c>
      <c r="G2865" s="26">
        <v>11.0</v>
      </c>
      <c r="I2865" s="26" t="s">
        <v>42</v>
      </c>
      <c r="J2865" s="25" t="str">
        <f t="shared" si="40"/>
        <v>No</v>
      </c>
      <c r="K2865" s="25" t="str">
        <f t="shared" si="41"/>
        <v/>
      </c>
      <c r="L2865" s="25" t="str">
        <f t="shared" si="42"/>
        <v/>
      </c>
      <c r="M2865" s="25"/>
      <c r="O2865" s="25"/>
    </row>
    <row r="2866" ht="15.75" customHeight="1">
      <c r="A2866" s="25" t="str">
        <f>IFERROR(__xludf.DUMMYFUNCTION("IF(B2866="""","""",RIGHT(REGEXREPLACE(B2866&amp;"""",""[^0-9]"",""""),9))"),"753693530")</f>
        <v>753693530</v>
      </c>
      <c r="B2866" s="52">
        <v>7.5369353E8</v>
      </c>
      <c r="C2866" s="28" t="s">
        <v>3028</v>
      </c>
      <c r="D2866" s="26" t="s">
        <v>49</v>
      </c>
      <c r="E2866" s="31">
        <v>46230.0</v>
      </c>
      <c r="F2866" s="26" t="s">
        <v>41</v>
      </c>
      <c r="G2866" s="26">
        <v>10.0</v>
      </c>
      <c r="I2866" s="26" t="s">
        <v>42</v>
      </c>
      <c r="J2866" s="25" t="str">
        <f t="shared" si="40"/>
        <v>No</v>
      </c>
      <c r="K2866" s="25" t="str">
        <f t="shared" si="41"/>
        <v/>
      </c>
      <c r="L2866" s="25" t="str">
        <f t="shared" si="42"/>
        <v/>
      </c>
      <c r="M2866" s="25"/>
      <c r="O2866" s="25"/>
    </row>
    <row r="2867" ht="15.75" customHeight="1">
      <c r="A2867" s="25" t="str">
        <f>IFERROR(__xludf.DUMMYFUNCTION("IF(B2867="""","""",RIGHT(REGEXREPLACE(B2867&amp;"""",""[^0-9]"",""""),9))"),"")</f>
        <v/>
      </c>
      <c r="B2867" s="52"/>
      <c r="C2867" s="28" t="s">
        <v>3013</v>
      </c>
      <c r="D2867" s="26" t="s">
        <v>56</v>
      </c>
      <c r="E2867" s="31">
        <v>46230.0</v>
      </c>
      <c r="F2867" s="25"/>
      <c r="G2867" s="25"/>
      <c r="H2867" s="25"/>
      <c r="I2867" s="26" t="s">
        <v>42</v>
      </c>
      <c r="J2867" s="25" t="str">
        <f t="shared" si="40"/>
        <v>Yes - see Previous F-Code</v>
      </c>
      <c r="K2867" s="25" t="str">
        <f t="shared" si="41"/>
        <v>DUPLICATE - CHECK</v>
      </c>
      <c r="L2867" s="25" t="str">
        <f t="shared" si="42"/>
        <v/>
      </c>
      <c r="M2867" s="25"/>
      <c r="N2867" s="25"/>
      <c r="O2867" s="25"/>
      <c r="P2867" s="25"/>
    </row>
    <row r="2868" ht="15.75" customHeight="1">
      <c r="A2868" s="25" t="str">
        <f>IFERROR(__xludf.DUMMYFUNCTION("IF(B2868="""","""",RIGHT(REGEXREPLACE(B2868&amp;"""",""[^0-9]"",""""),9))"),"705789415")</f>
        <v>705789415</v>
      </c>
      <c r="B2868" s="52">
        <v>7.05789415E8</v>
      </c>
      <c r="C2868" s="28" t="s">
        <v>3029</v>
      </c>
      <c r="D2868" s="26" t="s">
        <v>64</v>
      </c>
      <c r="E2868" s="31">
        <v>46230.0</v>
      </c>
      <c r="F2868" s="26" t="s">
        <v>46</v>
      </c>
      <c r="G2868" s="26">
        <v>11.0</v>
      </c>
      <c r="H2868" s="26" t="s">
        <v>1526</v>
      </c>
      <c r="I2868" s="26" t="s">
        <v>42</v>
      </c>
      <c r="J2868" s="25" t="str">
        <f t="shared" si="40"/>
        <v>No</v>
      </c>
      <c r="K2868" s="25" t="str">
        <f t="shared" si="41"/>
        <v/>
      </c>
      <c r="L2868" s="25" t="str">
        <f t="shared" si="42"/>
        <v/>
      </c>
      <c r="M2868" s="25"/>
      <c r="O2868" s="25"/>
    </row>
    <row r="2869" ht="15.75" customHeight="1">
      <c r="A2869" s="25" t="str">
        <f>IFERROR(__xludf.DUMMYFUNCTION("IF(B2869="""","""",RIGHT(REGEXREPLACE(B2869&amp;"""",""[^0-9]"",""""),9))"),"724812321")</f>
        <v>724812321</v>
      </c>
      <c r="B2869" s="52">
        <v>7.24812321E8</v>
      </c>
      <c r="C2869" s="28" t="s">
        <v>3030</v>
      </c>
      <c r="D2869" s="26" t="s">
        <v>45</v>
      </c>
      <c r="E2869" s="31">
        <v>46230.0</v>
      </c>
      <c r="F2869" s="26" t="s">
        <v>125</v>
      </c>
      <c r="G2869" s="26">
        <v>11.0</v>
      </c>
      <c r="I2869" s="26" t="s">
        <v>42</v>
      </c>
      <c r="J2869" s="25" t="str">
        <f t="shared" si="40"/>
        <v>No</v>
      </c>
      <c r="K2869" s="25" t="str">
        <f t="shared" si="41"/>
        <v/>
      </c>
      <c r="L2869" s="25" t="str">
        <f t="shared" si="42"/>
        <v/>
      </c>
      <c r="M2869" s="25"/>
      <c r="O2869" s="25"/>
    </row>
    <row r="2870" ht="15.75" customHeight="1">
      <c r="A2870" s="25" t="str">
        <f>IFERROR(__xludf.DUMMYFUNCTION("IF(B2870="""","""",RIGHT(REGEXREPLACE(B2870&amp;"""",""[^0-9]"",""""),9))"),"763871084")</f>
        <v>763871084</v>
      </c>
      <c r="B2870" s="52">
        <v>7.63871084E8</v>
      </c>
      <c r="C2870" s="28" t="s">
        <v>3031</v>
      </c>
      <c r="D2870" s="26" t="s">
        <v>49</v>
      </c>
      <c r="E2870" s="31">
        <v>46230.0</v>
      </c>
      <c r="F2870" s="26" t="s">
        <v>46</v>
      </c>
      <c r="G2870" s="26">
        <v>11.0</v>
      </c>
      <c r="I2870" s="26" t="s">
        <v>42</v>
      </c>
      <c r="J2870" s="25" t="str">
        <f t="shared" si="40"/>
        <v>No</v>
      </c>
      <c r="K2870" s="25" t="str">
        <f t="shared" si="41"/>
        <v/>
      </c>
      <c r="L2870" s="25" t="str">
        <f t="shared" si="42"/>
        <v/>
      </c>
      <c r="M2870" s="25"/>
      <c r="O2870" s="25"/>
    </row>
    <row r="2871" ht="15.75" customHeight="1">
      <c r="A2871" s="25" t="str">
        <f>IFERROR(__xludf.DUMMYFUNCTION("IF(B2871="""","""",RIGHT(REGEXREPLACE(B2871&amp;"""",""[^0-9]"",""""),9))"),"755640061")</f>
        <v>755640061</v>
      </c>
      <c r="B2871" s="52">
        <v>7.55640061E8</v>
      </c>
      <c r="C2871" s="28" t="s">
        <v>3032</v>
      </c>
      <c r="D2871" s="26" t="s">
        <v>82</v>
      </c>
      <c r="E2871" s="31">
        <v>46230.0</v>
      </c>
      <c r="F2871" s="26" t="s">
        <v>46</v>
      </c>
      <c r="G2871" s="26">
        <v>11.0</v>
      </c>
      <c r="I2871" s="26" t="s">
        <v>42</v>
      </c>
      <c r="J2871" s="25" t="str">
        <f t="shared" si="40"/>
        <v>No</v>
      </c>
      <c r="K2871" s="25" t="str">
        <f t="shared" si="41"/>
        <v/>
      </c>
      <c r="L2871" s="25" t="str">
        <f t="shared" si="42"/>
        <v/>
      </c>
      <c r="M2871" s="25"/>
      <c r="O2871" s="25"/>
    </row>
    <row r="2872" ht="15.75" customHeight="1">
      <c r="A2872" s="25" t="str">
        <f>IFERROR(__xludf.DUMMYFUNCTION("IF(B2872="""","""",RIGHT(REGEXREPLACE(B2872&amp;"""",""[^0-9]"",""""),9))"),"787990177")</f>
        <v>787990177</v>
      </c>
      <c r="B2872" s="52">
        <v>7.87990177E8</v>
      </c>
      <c r="C2872" s="28" t="s">
        <v>3033</v>
      </c>
      <c r="D2872" s="26" t="s">
        <v>56</v>
      </c>
      <c r="E2872" s="31">
        <v>46230.0</v>
      </c>
      <c r="F2872" s="25"/>
      <c r="G2872" s="25"/>
      <c r="H2872" s="25"/>
      <c r="I2872" s="26" t="s">
        <v>42</v>
      </c>
      <c r="J2872" s="25" t="str">
        <f t="shared" si="40"/>
        <v>No</v>
      </c>
      <c r="K2872" s="25" t="str">
        <f t="shared" si="41"/>
        <v/>
      </c>
      <c r="L2872" s="25" t="str">
        <f t="shared" si="42"/>
        <v/>
      </c>
      <c r="M2872" s="25"/>
      <c r="N2872" s="25"/>
      <c r="O2872" s="25"/>
      <c r="P2872" s="25"/>
    </row>
    <row r="2873" ht="15.75" customHeight="1">
      <c r="A2873" s="25" t="str">
        <f>IFERROR(__xludf.DUMMYFUNCTION("IF(B2873="""","""",RIGHT(REGEXREPLACE(B2873&amp;"""",""[^0-9]"",""""),9))"),"772422527")</f>
        <v>772422527</v>
      </c>
      <c r="B2873" s="52">
        <v>7.72422527E8</v>
      </c>
      <c r="C2873" s="28" t="s">
        <v>3034</v>
      </c>
      <c r="D2873" s="26" t="s">
        <v>69</v>
      </c>
      <c r="E2873" s="31">
        <v>46230.0</v>
      </c>
      <c r="F2873" s="26" t="s">
        <v>46</v>
      </c>
      <c r="G2873" s="26">
        <v>11.0</v>
      </c>
      <c r="I2873" s="26" t="s">
        <v>42</v>
      </c>
      <c r="J2873" s="25" t="str">
        <f t="shared" si="40"/>
        <v>No</v>
      </c>
      <c r="K2873" s="25" t="str">
        <f t="shared" si="41"/>
        <v/>
      </c>
      <c r="L2873" s="25" t="str">
        <f t="shared" si="42"/>
        <v/>
      </c>
      <c r="M2873" s="25"/>
      <c r="O2873" s="25"/>
    </row>
    <row r="2874" ht="15.75" customHeight="1">
      <c r="A2874" s="25" t="str">
        <f>IFERROR(__xludf.DUMMYFUNCTION("IF(B2874="""","""",RIGHT(REGEXREPLACE(B2874&amp;"""",""[^0-9]"",""""),9))"),"772365678")</f>
        <v>772365678</v>
      </c>
      <c r="B2874" s="52">
        <v>7.72365678E8</v>
      </c>
      <c r="C2874" s="28" t="s">
        <v>3035</v>
      </c>
      <c r="D2874" s="26" t="s">
        <v>49</v>
      </c>
      <c r="E2874" s="31">
        <v>46230.0</v>
      </c>
      <c r="F2874" s="26" t="s">
        <v>41</v>
      </c>
      <c r="G2874" s="26">
        <v>11.0</v>
      </c>
      <c r="I2874" s="26" t="s">
        <v>42</v>
      </c>
      <c r="J2874" s="25" t="str">
        <f t="shared" si="40"/>
        <v>No</v>
      </c>
      <c r="K2874" s="25" t="str">
        <f t="shared" si="41"/>
        <v/>
      </c>
      <c r="L2874" s="25" t="str">
        <f t="shared" si="42"/>
        <v/>
      </c>
      <c r="M2874" s="25"/>
      <c r="O2874" s="25"/>
    </row>
    <row r="2875" ht="15.75" customHeight="1">
      <c r="A2875" s="25" t="str">
        <f>IFERROR(__xludf.DUMMYFUNCTION("IF(B2875="""","""",RIGHT(REGEXREPLACE(B2875&amp;"""",""[^0-9]"",""""),9))"),"743663184")</f>
        <v>743663184</v>
      </c>
      <c r="B2875" s="52">
        <v>7.43663184E8</v>
      </c>
      <c r="C2875" s="28" t="s">
        <v>3036</v>
      </c>
      <c r="D2875" s="26" t="s">
        <v>45</v>
      </c>
      <c r="E2875" s="31">
        <v>46230.0</v>
      </c>
      <c r="F2875" s="26" t="s">
        <v>41</v>
      </c>
      <c r="G2875" s="26">
        <v>11.0</v>
      </c>
      <c r="I2875" s="26" t="s">
        <v>42</v>
      </c>
      <c r="J2875" s="25" t="str">
        <f t="shared" si="40"/>
        <v>No</v>
      </c>
      <c r="K2875" s="25" t="str">
        <f t="shared" si="41"/>
        <v/>
      </c>
      <c r="L2875" s="25" t="str">
        <f t="shared" si="42"/>
        <v/>
      </c>
      <c r="M2875" s="25"/>
      <c r="O2875" s="25"/>
    </row>
    <row r="2876" ht="15.75" customHeight="1">
      <c r="A2876" s="25" t="str">
        <f>IFERROR(__xludf.DUMMYFUNCTION("IF(B2876="""","""",RIGHT(REGEXREPLACE(B2876&amp;"""",""[^0-9]"",""""),9))"),"753157808")</f>
        <v>753157808</v>
      </c>
      <c r="B2876" s="52">
        <v>7.53157808E8</v>
      </c>
      <c r="C2876" s="28" t="s">
        <v>3037</v>
      </c>
      <c r="D2876" s="26" t="s">
        <v>49</v>
      </c>
      <c r="E2876" s="31">
        <v>46230.0</v>
      </c>
      <c r="F2876" s="26" t="s">
        <v>46</v>
      </c>
      <c r="G2876" s="26">
        <v>11.0</v>
      </c>
      <c r="I2876" s="26" t="s">
        <v>42</v>
      </c>
      <c r="J2876" s="25" t="str">
        <f t="shared" si="40"/>
        <v>No</v>
      </c>
      <c r="K2876" s="25" t="str">
        <f t="shared" si="41"/>
        <v/>
      </c>
      <c r="L2876" s="25" t="str">
        <f t="shared" si="42"/>
        <v/>
      </c>
      <c r="M2876" s="25"/>
      <c r="O2876" s="25"/>
    </row>
    <row r="2877" ht="15.75" customHeight="1">
      <c r="A2877" s="25" t="str">
        <f>IFERROR(__xludf.DUMMYFUNCTION("IF(B2877="""","""",RIGHT(REGEXREPLACE(B2877&amp;"""",""[^0-9]"",""""),9))"),"773051548")</f>
        <v>773051548</v>
      </c>
      <c r="B2877" s="52">
        <v>7.73051548E8</v>
      </c>
      <c r="C2877" s="28" t="s">
        <v>3017</v>
      </c>
      <c r="D2877" s="26" t="s">
        <v>64</v>
      </c>
      <c r="E2877" s="31">
        <v>46230.0</v>
      </c>
      <c r="F2877" s="26" t="s">
        <v>659</v>
      </c>
      <c r="H2877" s="26" t="s">
        <v>1526</v>
      </c>
      <c r="I2877" s="26" t="s">
        <v>42</v>
      </c>
      <c r="J2877" s="25" t="str">
        <f t="shared" si="40"/>
        <v>No</v>
      </c>
      <c r="K2877" s="25" t="str">
        <f t="shared" si="41"/>
        <v/>
      </c>
      <c r="L2877" s="25" t="str">
        <f t="shared" si="42"/>
        <v/>
      </c>
      <c r="M2877" s="25"/>
      <c r="O2877" s="25"/>
    </row>
    <row r="2878" ht="15.75" customHeight="1">
      <c r="A2878" s="25" t="str">
        <f>IFERROR(__xludf.DUMMYFUNCTION("IF(B2878="""","""",RIGHT(REGEXREPLACE(B2878&amp;"""",""[^0-9]"",""""),9))"),"715654180")</f>
        <v>715654180</v>
      </c>
      <c r="B2878" s="52">
        <v>7.1565418E8</v>
      </c>
      <c r="C2878" s="28" t="s">
        <v>3038</v>
      </c>
      <c r="D2878" s="26" t="s">
        <v>82</v>
      </c>
      <c r="E2878" s="31">
        <v>46230.0</v>
      </c>
      <c r="F2878" s="26" t="s">
        <v>205</v>
      </c>
      <c r="I2878" s="26" t="s">
        <v>42</v>
      </c>
      <c r="J2878" s="25" t="str">
        <f t="shared" si="40"/>
        <v>No</v>
      </c>
      <c r="K2878" s="25" t="str">
        <f t="shared" si="41"/>
        <v/>
      </c>
      <c r="L2878" s="25" t="str">
        <f t="shared" si="42"/>
        <v/>
      </c>
      <c r="M2878" s="25"/>
      <c r="O2878" s="25"/>
    </row>
    <row r="2879" ht="15.75" customHeight="1">
      <c r="A2879" s="25" t="str">
        <f>IFERROR(__xludf.DUMMYFUNCTION("IF(B2879="""","""",RIGHT(REGEXREPLACE(B2879&amp;"""",""[^0-9]"",""""),9))"),"766634156")</f>
        <v>766634156</v>
      </c>
      <c r="B2879" s="52">
        <v>7.66634156E8</v>
      </c>
      <c r="C2879" s="28" t="s">
        <v>3039</v>
      </c>
      <c r="D2879" s="26" t="s">
        <v>49</v>
      </c>
      <c r="E2879" s="31">
        <v>46230.0</v>
      </c>
      <c r="F2879" s="26" t="s">
        <v>205</v>
      </c>
      <c r="G2879" s="26">
        <v>11.0</v>
      </c>
      <c r="I2879" s="26" t="s">
        <v>42</v>
      </c>
      <c r="J2879" s="25" t="str">
        <f t="shared" si="40"/>
        <v>No</v>
      </c>
      <c r="K2879" s="25" t="str">
        <f t="shared" si="41"/>
        <v/>
      </c>
      <c r="L2879" s="25" t="str">
        <f t="shared" si="42"/>
        <v/>
      </c>
      <c r="M2879" s="25"/>
      <c r="O2879" s="25"/>
    </row>
    <row r="2880" ht="15.75" customHeight="1">
      <c r="A2880" s="25" t="str">
        <f>IFERROR(__xludf.DUMMYFUNCTION("IF(B2880="""","""",RIGHT(REGEXREPLACE(B2880&amp;"""",""[^0-9]"",""""),9))"),"778957467")</f>
        <v>778957467</v>
      </c>
      <c r="B2880" s="52">
        <v>7.78957467E8</v>
      </c>
      <c r="C2880" s="28" t="s">
        <v>3040</v>
      </c>
      <c r="D2880" s="26" t="s">
        <v>69</v>
      </c>
      <c r="E2880" s="31">
        <v>46230.0</v>
      </c>
      <c r="F2880" s="26" t="s">
        <v>46</v>
      </c>
      <c r="G2880" s="26">
        <v>9.0</v>
      </c>
      <c r="I2880" s="26" t="s">
        <v>42</v>
      </c>
      <c r="J2880" s="25" t="str">
        <f t="shared" si="40"/>
        <v>No</v>
      </c>
      <c r="K2880" s="25" t="str">
        <f t="shared" si="41"/>
        <v/>
      </c>
      <c r="L2880" s="25" t="str">
        <f t="shared" si="42"/>
        <v/>
      </c>
      <c r="M2880" s="25"/>
      <c r="O2880" s="25"/>
    </row>
    <row r="2881" ht="15.75" customHeight="1">
      <c r="A2881" s="25" t="str">
        <f>IFERROR(__xludf.DUMMYFUNCTION("IF(B2881="""","""",RIGHT(REGEXREPLACE(B2881&amp;"""",""[^0-9]"",""""),9))"),"773645076")</f>
        <v>773645076</v>
      </c>
      <c r="B2881" s="52">
        <v>7.73645076E8</v>
      </c>
      <c r="C2881" s="28" t="s">
        <v>3041</v>
      </c>
      <c r="D2881" s="26" t="s">
        <v>49</v>
      </c>
      <c r="E2881" s="31">
        <v>46230.0</v>
      </c>
      <c r="F2881" s="26" t="s">
        <v>46</v>
      </c>
      <c r="G2881" s="26">
        <v>11.0</v>
      </c>
      <c r="I2881" s="26" t="s">
        <v>42</v>
      </c>
      <c r="J2881" s="25" t="str">
        <f t="shared" si="40"/>
        <v>No</v>
      </c>
      <c r="K2881" s="25" t="str">
        <f t="shared" si="41"/>
        <v/>
      </c>
      <c r="L2881" s="25" t="str">
        <f t="shared" si="42"/>
        <v/>
      </c>
      <c r="M2881" s="25"/>
      <c r="O2881" s="25"/>
    </row>
    <row r="2882" ht="15.75" customHeight="1">
      <c r="A2882" s="25" t="str">
        <f>IFERROR(__xludf.DUMMYFUNCTION("IF(B2882="""","""",RIGHT(REGEXREPLACE(B2882&amp;"""",""[^0-9]"",""""),9))"),"726914681")</f>
        <v>726914681</v>
      </c>
      <c r="B2882" s="52">
        <v>7.26914681E8</v>
      </c>
      <c r="C2882" s="28" t="s">
        <v>3042</v>
      </c>
      <c r="D2882" s="26" t="s">
        <v>82</v>
      </c>
      <c r="E2882" s="31">
        <v>46230.0</v>
      </c>
      <c r="F2882" s="26" t="s">
        <v>41</v>
      </c>
      <c r="I2882" s="26" t="s">
        <v>42</v>
      </c>
      <c r="J2882" s="25" t="str">
        <f t="shared" si="40"/>
        <v>No</v>
      </c>
      <c r="K2882" s="25" t="str">
        <f t="shared" si="41"/>
        <v/>
      </c>
      <c r="L2882" s="25" t="str">
        <f t="shared" si="42"/>
        <v/>
      </c>
      <c r="M2882" s="25"/>
      <c r="O2882" s="25"/>
    </row>
    <row r="2883" ht="15.75" customHeight="1">
      <c r="A2883" s="25" t="str">
        <f>IFERROR(__xludf.DUMMYFUNCTION("IF(B2883="""","""",RIGHT(REGEXREPLACE(B2883&amp;"""",""[^0-9]"",""""),9))"),"729856473")</f>
        <v>729856473</v>
      </c>
      <c r="B2883" s="52">
        <v>7.29856473E8</v>
      </c>
      <c r="C2883" s="28" t="s">
        <v>3043</v>
      </c>
      <c r="D2883" s="26" t="s">
        <v>64</v>
      </c>
      <c r="E2883" s="31">
        <v>46230.0</v>
      </c>
      <c r="F2883" s="26" t="s">
        <v>659</v>
      </c>
      <c r="H2883" s="26" t="s">
        <v>1526</v>
      </c>
      <c r="I2883" s="26" t="s">
        <v>42</v>
      </c>
      <c r="J2883" s="25" t="str">
        <f t="shared" si="40"/>
        <v>No</v>
      </c>
      <c r="K2883" s="25" t="str">
        <f t="shared" si="41"/>
        <v/>
      </c>
      <c r="L2883" s="25" t="str">
        <f t="shared" si="42"/>
        <v/>
      </c>
      <c r="M2883" s="25"/>
      <c r="O2883" s="25"/>
    </row>
    <row r="2884" ht="15.75" customHeight="1">
      <c r="A2884" s="25" t="str">
        <f>IFERROR(__xludf.DUMMYFUNCTION("IF(B2884="""","""",RIGHT(REGEXREPLACE(B2884&amp;"""",""[^0-9]"",""""),9))"),"703646547")</f>
        <v>703646547</v>
      </c>
      <c r="B2884" s="52">
        <v>7.03646547E8</v>
      </c>
      <c r="C2884" s="28" t="s">
        <v>3044</v>
      </c>
      <c r="D2884" s="26" t="s">
        <v>49</v>
      </c>
      <c r="E2884" s="31">
        <v>46230.0</v>
      </c>
      <c r="F2884" s="26" t="s">
        <v>46</v>
      </c>
      <c r="G2884" s="26">
        <v>11.0</v>
      </c>
      <c r="H2884" s="26" t="s">
        <v>2682</v>
      </c>
      <c r="I2884" s="26" t="s">
        <v>42</v>
      </c>
      <c r="J2884" s="25" t="str">
        <f t="shared" si="40"/>
        <v>No</v>
      </c>
      <c r="K2884" s="25" t="str">
        <f t="shared" si="41"/>
        <v/>
      </c>
      <c r="L2884" s="25" t="str">
        <f t="shared" si="42"/>
        <v/>
      </c>
      <c r="M2884" s="25"/>
      <c r="O2884" s="25"/>
    </row>
    <row r="2885" ht="15.75" customHeight="1">
      <c r="A2885" s="25" t="str">
        <f>IFERROR(__xludf.DUMMYFUNCTION("IF(B2885="""","""",RIGHT(REGEXREPLACE(B2885&amp;"""",""[^0-9]"",""""),9))"),"774270331")</f>
        <v>774270331</v>
      </c>
      <c r="B2885" s="52">
        <v>7.74270331E8</v>
      </c>
      <c r="C2885" s="28" t="s">
        <v>1875</v>
      </c>
      <c r="D2885" s="26" t="s">
        <v>64</v>
      </c>
      <c r="E2885" s="31">
        <v>46230.0</v>
      </c>
      <c r="F2885" s="26" t="s">
        <v>659</v>
      </c>
      <c r="H2885" s="26" t="s">
        <v>1526</v>
      </c>
      <c r="I2885" s="26" t="s">
        <v>42</v>
      </c>
      <c r="J2885" s="25" t="str">
        <f t="shared" si="40"/>
        <v>No</v>
      </c>
      <c r="K2885" s="25" t="str">
        <f t="shared" si="41"/>
        <v/>
      </c>
      <c r="L2885" s="25" t="str">
        <f t="shared" si="42"/>
        <v/>
      </c>
      <c r="M2885" s="25"/>
      <c r="O2885" s="25"/>
    </row>
    <row r="2886" ht="15.75" customHeight="1">
      <c r="A2886" s="25" t="str">
        <f>IFERROR(__xludf.DUMMYFUNCTION("IF(B2886="""","""",RIGHT(REGEXREPLACE(B2886&amp;"""",""[^0-9]"",""""),9))"),"740905428")</f>
        <v>740905428</v>
      </c>
      <c r="B2886" s="52">
        <v>7.40905428E8</v>
      </c>
      <c r="C2886" s="28" t="s">
        <v>3045</v>
      </c>
      <c r="D2886" s="26" t="s">
        <v>82</v>
      </c>
      <c r="E2886" s="31">
        <v>46230.0</v>
      </c>
      <c r="F2886" s="26" t="s">
        <v>41</v>
      </c>
      <c r="G2886" s="26">
        <v>11.0</v>
      </c>
      <c r="I2886" s="26" t="s">
        <v>42</v>
      </c>
      <c r="J2886" s="25" t="str">
        <f t="shared" si="40"/>
        <v>No</v>
      </c>
      <c r="K2886" s="25" t="str">
        <f t="shared" si="41"/>
        <v/>
      </c>
      <c r="L2886" s="25" t="str">
        <f t="shared" si="42"/>
        <v/>
      </c>
      <c r="M2886" s="25"/>
      <c r="O2886" s="25"/>
    </row>
    <row r="2887" ht="15.75" customHeight="1">
      <c r="A2887" s="25" t="str">
        <f>IFERROR(__xludf.DUMMYFUNCTION("IF(B2887="""","""",RIGHT(REGEXREPLACE(B2887&amp;"""",""[^0-9]"",""""),9))"),"772943757")</f>
        <v>772943757</v>
      </c>
      <c r="B2887" s="52">
        <v>7.72943757E8</v>
      </c>
      <c r="C2887" s="28" t="s">
        <v>3046</v>
      </c>
      <c r="D2887" s="26" t="s">
        <v>45</v>
      </c>
      <c r="E2887" s="31">
        <v>46230.0</v>
      </c>
      <c r="F2887" s="26" t="s">
        <v>46</v>
      </c>
      <c r="G2887" s="26" t="s">
        <v>3047</v>
      </c>
      <c r="H2887" s="26" t="s">
        <v>2605</v>
      </c>
      <c r="I2887" s="26" t="s">
        <v>42</v>
      </c>
      <c r="J2887" s="25" t="str">
        <f t="shared" si="40"/>
        <v>No</v>
      </c>
      <c r="K2887" s="25" t="str">
        <f t="shared" si="41"/>
        <v/>
      </c>
      <c r="L2887" s="25" t="str">
        <f t="shared" si="42"/>
        <v/>
      </c>
      <c r="M2887" s="25"/>
      <c r="O2887" s="25"/>
    </row>
    <row r="2888" ht="15.75" customHeight="1">
      <c r="A2888" s="25" t="str">
        <f>IFERROR(__xludf.DUMMYFUNCTION("IF(B2888="""","""",RIGHT(REGEXREPLACE(B2888&amp;"""",""[^0-9]"",""""),9))"),"781298806")</f>
        <v>781298806</v>
      </c>
      <c r="B2888" s="52">
        <v>7.81298806E8</v>
      </c>
      <c r="C2888" s="28" t="s">
        <v>3048</v>
      </c>
      <c r="D2888" s="26" t="s">
        <v>64</v>
      </c>
      <c r="E2888" s="31">
        <v>46230.0</v>
      </c>
      <c r="F2888" s="26" t="s">
        <v>46</v>
      </c>
      <c r="G2888" s="26">
        <v>11.0</v>
      </c>
      <c r="H2888" s="26" t="s">
        <v>1526</v>
      </c>
      <c r="I2888" s="26" t="s">
        <v>42</v>
      </c>
      <c r="J2888" s="25" t="str">
        <f t="shared" si="40"/>
        <v>No</v>
      </c>
      <c r="K2888" s="25" t="str">
        <f t="shared" si="41"/>
        <v/>
      </c>
      <c r="L2888" s="25" t="str">
        <f t="shared" si="42"/>
        <v/>
      </c>
      <c r="M2888" s="25"/>
      <c r="O2888" s="25"/>
    </row>
    <row r="2889" ht="15.75" customHeight="1">
      <c r="A2889" s="25" t="str">
        <f>IFERROR(__xludf.DUMMYFUNCTION("IF(B2889="""","""",RIGHT(REGEXREPLACE(B2889&amp;"""",""[^0-9]"",""""),9))"),"766216945")</f>
        <v>766216945</v>
      </c>
      <c r="B2889" s="52">
        <v>7.66216945E8</v>
      </c>
      <c r="C2889" s="28" t="s">
        <v>3049</v>
      </c>
      <c r="D2889" s="26" t="s">
        <v>56</v>
      </c>
      <c r="E2889" s="31">
        <v>46230.0</v>
      </c>
      <c r="F2889" s="26" t="s">
        <v>659</v>
      </c>
      <c r="H2889" s="26" t="s">
        <v>796</v>
      </c>
      <c r="I2889" s="26" t="s">
        <v>42</v>
      </c>
      <c r="J2889" s="25" t="str">
        <f t="shared" si="40"/>
        <v>No</v>
      </c>
      <c r="K2889" s="25" t="str">
        <f t="shared" si="41"/>
        <v/>
      </c>
      <c r="L2889" s="25" t="str">
        <f t="shared" si="42"/>
        <v/>
      </c>
      <c r="M2889" s="25"/>
      <c r="O2889" s="25"/>
    </row>
    <row r="2890" ht="15.75" customHeight="1">
      <c r="A2890" s="25" t="str">
        <f>IFERROR(__xludf.DUMMYFUNCTION("IF(B2890="""","""",RIGHT(REGEXREPLACE(B2890&amp;"""",""[^0-9]"",""""),9))"),"772287422")</f>
        <v>772287422</v>
      </c>
      <c r="B2890" s="52">
        <v>7.72287422E8</v>
      </c>
      <c r="C2890" s="28" t="s">
        <v>3050</v>
      </c>
      <c r="D2890" s="26" t="s">
        <v>69</v>
      </c>
      <c r="E2890" s="31">
        <v>46230.0</v>
      </c>
      <c r="F2890" s="26" t="s">
        <v>46</v>
      </c>
      <c r="G2890" s="26">
        <v>11.0</v>
      </c>
      <c r="I2890" s="26" t="s">
        <v>42</v>
      </c>
      <c r="J2890" s="25" t="str">
        <f t="shared" si="40"/>
        <v>No</v>
      </c>
      <c r="K2890" s="25" t="str">
        <f t="shared" si="41"/>
        <v/>
      </c>
      <c r="L2890" s="25" t="str">
        <f t="shared" si="42"/>
        <v/>
      </c>
      <c r="M2890" s="25"/>
      <c r="O2890" s="25"/>
    </row>
    <row r="2891" ht="15.75" customHeight="1">
      <c r="A2891" s="25" t="str">
        <f>IFERROR(__xludf.DUMMYFUNCTION("IF(B2891="""","""",RIGHT(REGEXREPLACE(B2891&amp;"""",""[^0-9]"",""""),9))"),"701010334")</f>
        <v>701010334</v>
      </c>
      <c r="B2891" s="52">
        <v>7.01010334E8</v>
      </c>
      <c r="C2891" s="28" t="s">
        <v>3051</v>
      </c>
      <c r="D2891" s="26" t="s">
        <v>49</v>
      </c>
      <c r="E2891" s="31">
        <v>46230.0</v>
      </c>
      <c r="F2891" s="26" t="s">
        <v>46</v>
      </c>
      <c r="G2891" s="26">
        <v>10.0</v>
      </c>
      <c r="I2891" s="26" t="s">
        <v>42</v>
      </c>
      <c r="J2891" s="25" t="str">
        <f t="shared" si="40"/>
        <v>No</v>
      </c>
      <c r="K2891" s="25" t="str">
        <f t="shared" si="41"/>
        <v/>
      </c>
      <c r="L2891" s="25" t="str">
        <f t="shared" si="42"/>
        <v/>
      </c>
      <c r="M2891" s="25"/>
      <c r="O2891" s="25"/>
    </row>
    <row r="2892" ht="15.75" customHeight="1">
      <c r="A2892" s="25" t="str">
        <f>IFERROR(__xludf.DUMMYFUNCTION("IF(B2892="""","""",RIGHT(REGEXREPLACE(B2892&amp;"""",""[^0-9]"",""""),9))"),"758651545")</f>
        <v>758651545</v>
      </c>
      <c r="B2892" s="52">
        <v>7.58651545E8</v>
      </c>
      <c r="C2892" s="28" t="s">
        <v>3052</v>
      </c>
      <c r="D2892" s="26" t="s">
        <v>82</v>
      </c>
      <c r="E2892" s="31">
        <v>46230.0</v>
      </c>
      <c r="F2892" s="26" t="s">
        <v>41</v>
      </c>
      <c r="G2892" s="26">
        <v>11.0</v>
      </c>
      <c r="I2892" s="26" t="s">
        <v>42</v>
      </c>
      <c r="J2892" s="25" t="str">
        <f t="shared" si="40"/>
        <v>No</v>
      </c>
      <c r="K2892" s="25" t="str">
        <f t="shared" si="41"/>
        <v/>
      </c>
      <c r="L2892" s="25" t="str">
        <f t="shared" si="42"/>
        <v/>
      </c>
      <c r="M2892" s="25"/>
      <c r="O2892" s="25"/>
    </row>
    <row r="2893" ht="15.75" customHeight="1">
      <c r="A2893" s="25" t="str">
        <f>IFERROR(__xludf.DUMMYFUNCTION("IF(B2893="""","""",RIGHT(REGEXREPLACE(B2893&amp;"""",""[^0-9]"",""""),9))"),"760440331")</f>
        <v>760440331</v>
      </c>
      <c r="B2893" s="52">
        <v>7.60440331E8</v>
      </c>
      <c r="C2893" s="28" t="s">
        <v>3053</v>
      </c>
      <c r="D2893" s="26" t="s">
        <v>64</v>
      </c>
      <c r="E2893" s="31">
        <v>46230.0</v>
      </c>
      <c r="F2893" s="26" t="s">
        <v>46</v>
      </c>
      <c r="G2893" s="26">
        <v>11.0</v>
      </c>
      <c r="H2893" s="26" t="s">
        <v>1526</v>
      </c>
      <c r="I2893" s="26" t="s">
        <v>42</v>
      </c>
      <c r="J2893" s="25" t="str">
        <f t="shared" si="40"/>
        <v>No</v>
      </c>
      <c r="K2893" s="25" t="str">
        <f t="shared" si="41"/>
        <v/>
      </c>
      <c r="L2893" s="25" t="str">
        <f t="shared" si="42"/>
        <v/>
      </c>
      <c r="M2893" s="25"/>
      <c r="O2893" s="25"/>
    </row>
    <row r="2894" ht="15.75" customHeight="1">
      <c r="A2894" s="25" t="str">
        <f>IFERROR(__xludf.DUMMYFUNCTION("IF(B2894="""","""",RIGHT(REGEXREPLACE(B2894&amp;"""",""[^0-9]"",""""),9))"),"741366836")</f>
        <v>741366836</v>
      </c>
      <c r="B2894" s="52">
        <v>7.41366836E8</v>
      </c>
      <c r="C2894" s="28" t="s">
        <v>3054</v>
      </c>
      <c r="D2894" s="26" t="s">
        <v>56</v>
      </c>
      <c r="E2894" s="31">
        <v>46230.0</v>
      </c>
      <c r="F2894" s="26" t="s">
        <v>125</v>
      </c>
      <c r="H2894" s="26" t="s">
        <v>796</v>
      </c>
      <c r="I2894" s="26" t="s">
        <v>42</v>
      </c>
      <c r="J2894" s="25" t="str">
        <f t="shared" si="40"/>
        <v>No</v>
      </c>
      <c r="K2894" s="25" t="str">
        <f t="shared" si="41"/>
        <v/>
      </c>
      <c r="L2894" s="25" t="str">
        <f t="shared" si="42"/>
        <v/>
      </c>
      <c r="M2894" s="25"/>
      <c r="O2894" s="25"/>
    </row>
    <row r="2895" ht="15.75" customHeight="1">
      <c r="A2895" s="25" t="str">
        <f>IFERROR(__xludf.DUMMYFUNCTION("IF(B2895="""","""",RIGHT(REGEXREPLACE(B2895&amp;"""",""[^0-9]"",""""),9))"),"726865899")</f>
        <v>726865899</v>
      </c>
      <c r="B2895" s="52">
        <v>7.26865899E8</v>
      </c>
      <c r="C2895" s="28" t="s">
        <v>3055</v>
      </c>
      <c r="D2895" s="26" t="s">
        <v>64</v>
      </c>
      <c r="E2895" s="31">
        <v>46230.0</v>
      </c>
      <c r="F2895" s="26" t="s">
        <v>125</v>
      </c>
      <c r="G2895" s="26">
        <v>11.0</v>
      </c>
      <c r="H2895" s="26" t="s">
        <v>1526</v>
      </c>
      <c r="I2895" s="26" t="s">
        <v>42</v>
      </c>
      <c r="J2895" s="25" t="str">
        <f t="shared" si="40"/>
        <v>No</v>
      </c>
      <c r="K2895" s="25" t="str">
        <f t="shared" si="41"/>
        <v/>
      </c>
      <c r="L2895" s="25" t="str">
        <f t="shared" si="42"/>
        <v/>
      </c>
      <c r="M2895" s="25"/>
      <c r="O2895" s="25"/>
    </row>
    <row r="2896" ht="15.75" customHeight="1">
      <c r="A2896" s="25" t="str">
        <f>IFERROR(__xludf.DUMMYFUNCTION("IF(B2896="""","""",RIGHT(REGEXREPLACE(B2896&amp;"""",""[^0-9]"",""""),9))"),"776207656")</f>
        <v>776207656</v>
      </c>
      <c r="B2896" s="52">
        <v>7.76207656E8</v>
      </c>
      <c r="C2896" s="28" t="s">
        <v>3056</v>
      </c>
      <c r="D2896" s="26" t="s">
        <v>49</v>
      </c>
      <c r="E2896" s="31">
        <v>46230.0</v>
      </c>
      <c r="F2896" s="26" t="s">
        <v>46</v>
      </c>
      <c r="G2896" s="26">
        <v>11.0</v>
      </c>
      <c r="I2896" s="26" t="s">
        <v>42</v>
      </c>
      <c r="J2896" s="25" t="str">
        <f t="shared" si="40"/>
        <v>No</v>
      </c>
      <c r="K2896" s="25" t="str">
        <f t="shared" si="41"/>
        <v/>
      </c>
      <c r="L2896" s="25" t="str">
        <f t="shared" si="42"/>
        <v/>
      </c>
      <c r="M2896" s="25"/>
      <c r="O2896" s="25"/>
    </row>
    <row r="2897" ht="15.75" customHeight="1">
      <c r="A2897" s="25" t="str">
        <f>IFERROR(__xludf.DUMMYFUNCTION("IF(B2897="""","""",RIGHT(REGEXREPLACE(B2897&amp;"""",""[^0-9]"",""""),9))"),"722711808")</f>
        <v>722711808</v>
      </c>
      <c r="B2897" s="52">
        <v>7.22711808E8</v>
      </c>
      <c r="C2897" s="28" t="s">
        <v>3057</v>
      </c>
      <c r="D2897" s="26" t="s">
        <v>45</v>
      </c>
      <c r="E2897" s="31">
        <v>46230.0</v>
      </c>
      <c r="F2897" s="26" t="s">
        <v>84</v>
      </c>
      <c r="H2897" s="26" t="s">
        <v>3058</v>
      </c>
      <c r="I2897" s="26" t="s">
        <v>42</v>
      </c>
      <c r="J2897" s="25" t="str">
        <f t="shared" si="40"/>
        <v>No</v>
      </c>
      <c r="K2897" s="25" t="str">
        <f t="shared" si="41"/>
        <v/>
      </c>
      <c r="L2897" s="25" t="str">
        <f t="shared" si="42"/>
        <v/>
      </c>
      <c r="M2897" s="25"/>
      <c r="O2897" s="25"/>
    </row>
    <row r="2898" ht="15.75" customHeight="1">
      <c r="A2898" s="25" t="str">
        <f>IFERROR(__xludf.DUMMYFUNCTION("IF(B2898="""","""",RIGHT(REGEXREPLACE(B2898&amp;"""",""[^0-9]"",""""),9))"),"781818550")</f>
        <v>781818550</v>
      </c>
      <c r="B2898" s="52">
        <v>7.8181855E8</v>
      </c>
      <c r="C2898" s="28" t="s">
        <v>3059</v>
      </c>
      <c r="D2898" s="26" t="s">
        <v>82</v>
      </c>
      <c r="E2898" s="31">
        <v>46230.0</v>
      </c>
      <c r="F2898" s="26" t="s">
        <v>125</v>
      </c>
      <c r="G2898" s="26">
        <v>11.0</v>
      </c>
      <c r="I2898" s="26" t="s">
        <v>42</v>
      </c>
      <c r="J2898" s="25" t="str">
        <f t="shared" si="40"/>
        <v>No</v>
      </c>
      <c r="K2898" s="25" t="str">
        <f t="shared" si="41"/>
        <v/>
      </c>
      <c r="L2898" s="25" t="str">
        <f t="shared" si="42"/>
        <v/>
      </c>
      <c r="M2898" s="25"/>
      <c r="O2898" s="25"/>
    </row>
    <row r="2899" ht="15.75" customHeight="1">
      <c r="A2899" s="25" t="str">
        <f>IFERROR(__xludf.DUMMYFUNCTION("IF(B2899="""","""",RIGHT(REGEXREPLACE(B2899&amp;"""",""[^0-9]"",""""),9))"),"771263511")</f>
        <v>771263511</v>
      </c>
      <c r="B2899" s="52">
        <v>7.71263511E8</v>
      </c>
      <c r="C2899" s="28" t="s">
        <v>3060</v>
      </c>
      <c r="D2899" s="26" t="s">
        <v>69</v>
      </c>
      <c r="E2899" s="31">
        <v>46230.0</v>
      </c>
      <c r="F2899" s="26" t="s">
        <v>84</v>
      </c>
      <c r="I2899" s="26" t="s">
        <v>42</v>
      </c>
      <c r="J2899" s="25" t="str">
        <f t="shared" si="40"/>
        <v>No</v>
      </c>
      <c r="K2899" s="25" t="str">
        <f t="shared" si="41"/>
        <v/>
      </c>
      <c r="L2899" s="25" t="str">
        <f t="shared" si="42"/>
        <v/>
      </c>
      <c r="M2899" s="25"/>
      <c r="O2899" s="25"/>
    </row>
    <row r="2900" ht="15.75" customHeight="1">
      <c r="A2900" s="25" t="str">
        <f>IFERROR(__xludf.DUMMYFUNCTION("IF(B2900="""","""",RIGHT(REGEXREPLACE(B2900&amp;"""",""[^0-9]"",""""),9))"),"784742783")</f>
        <v>784742783</v>
      </c>
      <c r="B2900" s="52">
        <v>7.84742783E8</v>
      </c>
      <c r="C2900" s="28" t="s">
        <v>3061</v>
      </c>
      <c r="D2900" s="26" t="s">
        <v>45</v>
      </c>
      <c r="E2900" s="31">
        <v>46230.0</v>
      </c>
      <c r="F2900" s="26" t="s">
        <v>41</v>
      </c>
      <c r="H2900" s="26" t="s">
        <v>2605</v>
      </c>
      <c r="I2900" s="26" t="s">
        <v>42</v>
      </c>
      <c r="J2900" s="25" t="str">
        <f t="shared" si="40"/>
        <v>No</v>
      </c>
      <c r="K2900" s="25" t="str">
        <f t="shared" si="41"/>
        <v/>
      </c>
      <c r="L2900" s="25" t="str">
        <f t="shared" si="42"/>
        <v/>
      </c>
      <c r="M2900" s="25"/>
      <c r="O2900" s="25"/>
    </row>
    <row r="2901" ht="15.75" customHeight="1">
      <c r="A2901" s="25" t="str">
        <f>IFERROR(__xludf.DUMMYFUNCTION("IF(B2901="""","""",RIGHT(REGEXREPLACE(B2901&amp;"""",""[^0-9]"",""""),9))"),"755111464")</f>
        <v>755111464</v>
      </c>
      <c r="B2901" s="52">
        <v>7.55111464E8</v>
      </c>
      <c r="C2901" s="28" t="s">
        <v>3062</v>
      </c>
      <c r="D2901" s="26" t="s">
        <v>45</v>
      </c>
      <c r="E2901" s="31">
        <v>46230.0</v>
      </c>
      <c r="F2901" s="26" t="s">
        <v>46</v>
      </c>
      <c r="G2901" s="26">
        <v>11.0</v>
      </c>
      <c r="H2901" s="26" t="s">
        <v>3063</v>
      </c>
      <c r="I2901" s="26" t="s">
        <v>42</v>
      </c>
      <c r="J2901" s="25" t="str">
        <f t="shared" si="40"/>
        <v>No</v>
      </c>
      <c r="K2901" s="25" t="str">
        <f t="shared" si="41"/>
        <v/>
      </c>
      <c r="L2901" s="25" t="str">
        <f t="shared" si="42"/>
        <v/>
      </c>
      <c r="M2901" s="25"/>
      <c r="O2901" s="25"/>
    </row>
    <row r="2902" ht="15.75" customHeight="1">
      <c r="A2902" s="25" t="str">
        <f>IFERROR(__xludf.DUMMYFUNCTION("IF(B2902="""","""",RIGHT(REGEXREPLACE(B2902&amp;"""",""[^0-9]"",""""),9))"),"765257289")</f>
        <v>765257289</v>
      </c>
      <c r="B2902" s="52">
        <v>7.65257289E8</v>
      </c>
      <c r="C2902" s="28" t="s">
        <v>3064</v>
      </c>
      <c r="D2902" s="26" t="s">
        <v>45</v>
      </c>
      <c r="E2902" s="31">
        <v>46230.0</v>
      </c>
      <c r="F2902" s="26" t="s">
        <v>205</v>
      </c>
      <c r="H2902" s="26" t="s">
        <v>2605</v>
      </c>
      <c r="I2902" s="26" t="s">
        <v>42</v>
      </c>
      <c r="J2902" s="25" t="str">
        <f t="shared" si="40"/>
        <v>No</v>
      </c>
      <c r="K2902" s="25" t="str">
        <f t="shared" si="41"/>
        <v/>
      </c>
      <c r="L2902" s="25" t="str">
        <f t="shared" si="42"/>
        <v/>
      </c>
      <c r="M2902" s="25"/>
      <c r="O2902" s="25"/>
    </row>
    <row r="2903" ht="15.75" customHeight="1">
      <c r="A2903" s="25" t="str">
        <f>IFERROR(__xludf.DUMMYFUNCTION("IF(B2903="""","""",RIGHT(REGEXREPLACE(B2903&amp;"""",""[^0-9]"",""""),9))"),"711300102")</f>
        <v>711300102</v>
      </c>
      <c r="B2903" s="52">
        <v>7.11300102E8</v>
      </c>
      <c r="C2903" s="28" t="s">
        <v>3065</v>
      </c>
      <c r="D2903" s="26" t="s">
        <v>45</v>
      </c>
      <c r="E2903" s="31">
        <v>46230.0</v>
      </c>
      <c r="F2903" s="26" t="s">
        <v>46</v>
      </c>
      <c r="H2903" s="26" t="s">
        <v>2682</v>
      </c>
      <c r="I2903" s="26" t="s">
        <v>42</v>
      </c>
      <c r="J2903" s="25" t="str">
        <f t="shared" si="40"/>
        <v>No</v>
      </c>
      <c r="K2903" s="25" t="str">
        <f t="shared" si="41"/>
        <v/>
      </c>
      <c r="L2903" s="25" t="str">
        <f t="shared" si="42"/>
        <v/>
      </c>
      <c r="M2903" s="25"/>
      <c r="O2903" s="25"/>
    </row>
    <row r="2904" ht="15.75" customHeight="1">
      <c r="A2904" s="25" t="str">
        <f>IFERROR(__xludf.DUMMYFUNCTION("IF(B2904="""","""",RIGHT(REGEXREPLACE(B2904&amp;"""",""[^0-9]"",""""),9))"),"760763617")</f>
        <v>760763617</v>
      </c>
      <c r="B2904" s="52">
        <v>7.60763617E8</v>
      </c>
      <c r="C2904" s="28" t="s">
        <v>2898</v>
      </c>
      <c r="D2904" s="26" t="s">
        <v>45</v>
      </c>
      <c r="E2904" s="31">
        <v>46230.0</v>
      </c>
      <c r="F2904" s="26" t="s">
        <v>46</v>
      </c>
      <c r="G2904" s="26">
        <v>11.0</v>
      </c>
      <c r="I2904" s="26" t="s">
        <v>42</v>
      </c>
      <c r="J2904" s="25" t="str">
        <f t="shared" si="40"/>
        <v>No</v>
      </c>
      <c r="K2904" s="25" t="str">
        <f t="shared" si="41"/>
        <v/>
      </c>
      <c r="L2904" s="25" t="str">
        <f t="shared" si="42"/>
        <v/>
      </c>
      <c r="M2904" s="25"/>
      <c r="O2904" s="25"/>
    </row>
    <row r="2905" ht="15.75" customHeight="1">
      <c r="A2905" s="25" t="str">
        <f>IFERROR(__xludf.DUMMYFUNCTION("IF(B2905="""","""",RIGHT(REGEXREPLACE(B2905&amp;"""",""[^0-9]"",""""),9))"),"767621880")</f>
        <v>767621880</v>
      </c>
      <c r="B2905" s="52">
        <v>7.6762188E8</v>
      </c>
      <c r="C2905" s="28" t="s">
        <v>3066</v>
      </c>
      <c r="D2905" s="26" t="s">
        <v>45</v>
      </c>
      <c r="E2905" s="31">
        <v>46230.0</v>
      </c>
      <c r="F2905" s="26" t="s">
        <v>41</v>
      </c>
      <c r="H2905" s="26" t="s">
        <v>2682</v>
      </c>
      <c r="I2905" s="26" t="s">
        <v>42</v>
      </c>
      <c r="J2905" s="25" t="str">
        <f t="shared" si="40"/>
        <v>No</v>
      </c>
      <c r="K2905" s="25" t="str">
        <f t="shared" si="41"/>
        <v/>
      </c>
      <c r="L2905" s="25" t="str">
        <f t="shared" si="42"/>
        <v/>
      </c>
      <c r="M2905" s="25"/>
      <c r="O2905" s="25"/>
    </row>
    <row r="2906" ht="15.75" customHeight="1">
      <c r="A2906" s="25" t="str">
        <f>IFERROR(__xludf.DUMMYFUNCTION("IF(B2906="""","""",RIGHT(REGEXREPLACE(B2906&amp;"""",""[^0-9]"",""""),9))"),"742301677")</f>
        <v>742301677</v>
      </c>
      <c r="B2906" s="52">
        <v>7.42301677E8</v>
      </c>
      <c r="C2906" s="28" t="s">
        <v>3067</v>
      </c>
      <c r="D2906" s="26" t="s">
        <v>45</v>
      </c>
      <c r="E2906" s="31">
        <v>46230.0</v>
      </c>
      <c r="F2906" s="26" t="s">
        <v>164</v>
      </c>
      <c r="H2906" s="26" t="s">
        <v>2605</v>
      </c>
      <c r="I2906" s="26" t="s">
        <v>42</v>
      </c>
      <c r="J2906" s="25" t="str">
        <f t="shared" si="40"/>
        <v>No</v>
      </c>
      <c r="K2906" s="25" t="str">
        <f t="shared" si="41"/>
        <v/>
      </c>
      <c r="L2906" s="25" t="str">
        <f t="shared" si="42"/>
        <v/>
      </c>
      <c r="M2906" s="25"/>
      <c r="O2906" s="25"/>
    </row>
    <row r="2907" ht="15.75" customHeight="1">
      <c r="A2907" s="25" t="str">
        <f>IFERROR(__xludf.DUMMYFUNCTION("IF(B2907="""","""",RIGHT(REGEXREPLACE(B2907&amp;"""",""[^0-9]"",""""),9))"),"762280708")</f>
        <v>762280708</v>
      </c>
      <c r="B2907" s="52">
        <v>7.62280708E8</v>
      </c>
      <c r="C2907" s="28" t="s">
        <v>3068</v>
      </c>
      <c r="D2907" s="26" t="s">
        <v>45</v>
      </c>
      <c r="E2907" s="31">
        <v>46230.0</v>
      </c>
      <c r="F2907" s="26" t="s">
        <v>46</v>
      </c>
      <c r="G2907" s="26">
        <v>11.0</v>
      </c>
      <c r="I2907" s="26" t="s">
        <v>42</v>
      </c>
      <c r="J2907" s="25" t="str">
        <f t="shared" si="40"/>
        <v>No</v>
      </c>
      <c r="K2907" s="25" t="str">
        <f t="shared" si="41"/>
        <v/>
      </c>
      <c r="L2907" s="25" t="str">
        <f t="shared" si="42"/>
        <v/>
      </c>
      <c r="M2907" s="25"/>
      <c r="O2907" s="25"/>
    </row>
    <row r="2908" ht="15.75" customHeight="1">
      <c r="A2908" s="25" t="str">
        <f>IFERROR(__xludf.DUMMYFUNCTION("IF(B2908="""","""",RIGHT(REGEXREPLACE(B2908&amp;"""",""[^0-9]"",""""),9))"),"772099353")</f>
        <v>772099353</v>
      </c>
      <c r="B2908" s="52">
        <v>7.72099353E8</v>
      </c>
      <c r="C2908" s="28" t="s">
        <v>3069</v>
      </c>
      <c r="D2908" s="26" t="s">
        <v>45</v>
      </c>
      <c r="E2908" s="31">
        <v>46230.0</v>
      </c>
      <c r="F2908" s="26" t="s">
        <v>125</v>
      </c>
      <c r="H2908" s="26" t="s">
        <v>2605</v>
      </c>
      <c r="I2908" s="26" t="s">
        <v>42</v>
      </c>
      <c r="J2908" s="25" t="str">
        <f t="shared" si="40"/>
        <v>No</v>
      </c>
      <c r="K2908" s="25" t="str">
        <f t="shared" si="41"/>
        <v/>
      </c>
      <c r="L2908" s="25" t="str">
        <f t="shared" si="42"/>
        <v/>
      </c>
      <c r="M2908" s="25"/>
      <c r="O2908" s="25"/>
    </row>
    <row r="2909" ht="15.75" customHeight="1">
      <c r="A2909" s="25" t="str">
        <f>IFERROR(__xludf.DUMMYFUNCTION("IF(B2909="""","""",RIGHT(REGEXREPLACE(B2909&amp;"""",""[^0-9]"",""""),9))"),"785666320")</f>
        <v>785666320</v>
      </c>
      <c r="B2909" s="52">
        <v>7.8566632E8</v>
      </c>
      <c r="C2909" s="28" t="s">
        <v>3070</v>
      </c>
      <c r="D2909" s="26" t="s">
        <v>45</v>
      </c>
      <c r="E2909" s="31">
        <v>46230.0</v>
      </c>
      <c r="F2909" s="26" t="s">
        <v>46</v>
      </c>
      <c r="G2909" s="26">
        <v>11.0</v>
      </c>
      <c r="I2909" s="26" t="s">
        <v>42</v>
      </c>
      <c r="J2909" s="25" t="str">
        <f t="shared" si="40"/>
        <v>No</v>
      </c>
      <c r="K2909" s="25" t="str">
        <f t="shared" si="41"/>
        <v/>
      </c>
      <c r="L2909" s="25" t="str">
        <f t="shared" si="42"/>
        <v/>
      </c>
      <c r="M2909" s="25"/>
      <c r="O2909" s="25"/>
    </row>
    <row r="2910" ht="15.75" customHeight="1">
      <c r="A2910" s="25" t="str">
        <f>IFERROR(__xludf.DUMMYFUNCTION("IF(B2910="""","""",RIGHT(REGEXREPLACE(B2910&amp;"""",""[^0-9]"",""""),9))"),"741035013")</f>
        <v>741035013</v>
      </c>
      <c r="B2910" s="52">
        <v>7.41035013E8</v>
      </c>
      <c r="C2910" s="28" t="s">
        <v>3071</v>
      </c>
      <c r="D2910" s="26" t="s">
        <v>45</v>
      </c>
      <c r="E2910" s="31">
        <v>46230.0</v>
      </c>
      <c r="F2910" s="26" t="s">
        <v>41</v>
      </c>
      <c r="H2910" s="26" t="s">
        <v>2605</v>
      </c>
      <c r="I2910" s="26" t="s">
        <v>42</v>
      </c>
      <c r="J2910" s="25" t="str">
        <f t="shared" si="40"/>
        <v>No</v>
      </c>
      <c r="K2910" s="25" t="str">
        <f t="shared" si="41"/>
        <v/>
      </c>
      <c r="L2910" s="25" t="str">
        <f t="shared" si="42"/>
        <v/>
      </c>
      <c r="M2910" s="25"/>
      <c r="O2910" s="25"/>
    </row>
    <row r="2911" ht="15.75" customHeight="1">
      <c r="A2911" s="25" t="str">
        <f>IFERROR(__xludf.DUMMYFUNCTION("IF(B2911="""","""",RIGHT(REGEXREPLACE(B2911&amp;"""",""[^0-9]"",""""),9))"),"716952048")</f>
        <v>716952048</v>
      </c>
      <c r="B2911" s="52">
        <v>7.16952048E8</v>
      </c>
      <c r="C2911" s="28" t="s">
        <v>3072</v>
      </c>
      <c r="D2911" s="26" t="s">
        <v>64</v>
      </c>
      <c r="E2911" s="31">
        <v>46230.0</v>
      </c>
      <c r="F2911" s="26" t="s">
        <v>704</v>
      </c>
      <c r="H2911" s="26" t="s">
        <v>2605</v>
      </c>
      <c r="I2911" s="26" t="s">
        <v>42</v>
      </c>
      <c r="J2911" s="25" t="str">
        <f t="shared" si="40"/>
        <v>No</v>
      </c>
      <c r="K2911" s="25" t="str">
        <f t="shared" si="41"/>
        <v/>
      </c>
      <c r="L2911" s="25" t="str">
        <f t="shared" si="42"/>
        <v/>
      </c>
      <c r="M2911" s="25"/>
      <c r="O2911" s="25"/>
    </row>
    <row r="2912" ht="15.75" customHeight="1">
      <c r="A2912" s="25" t="str">
        <f>IFERROR(__xludf.DUMMYFUNCTION("IF(B2912="""","""",RIGHT(REGEXREPLACE(B2912&amp;"""",""[^0-9]"",""""),9))"),"782799544")</f>
        <v>782799544</v>
      </c>
      <c r="B2912" s="52">
        <v>7.82799544E8</v>
      </c>
      <c r="C2912" s="28" t="s">
        <v>3073</v>
      </c>
      <c r="D2912" s="26" t="s">
        <v>56</v>
      </c>
      <c r="E2912" s="31">
        <v>46230.0</v>
      </c>
      <c r="F2912" s="26" t="s">
        <v>205</v>
      </c>
      <c r="H2912" s="26" t="s">
        <v>796</v>
      </c>
      <c r="I2912" s="26" t="s">
        <v>42</v>
      </c>
      <c r="J2912" s="25" t="str">
        <f t="shared" si="40"/>
        <v>No</v>
      </c>
      <c r="K2912" s="25" t="str">
        <f t="shared" si="41"/>
        <v/>
      </c>
      <c r="L2912" s="25" t="str">
        <f t="shared" si="42"/>
        <v/>
      </c>
      <c r="M2912" s="25"/>
      <c r="O2912" s="25"/>
    </row>
    <row r="2913" ht="15.75" customHeight="1">
      <c r="A2913" s="25" t="str">
        <f>IFERROR(__xludf.DUMMYFUNCTION("IF(B2913="""","""",RIGHT(REGEXREPLACE(B2913&amp;"""",""[^0-9]"",""""),9))"),"711485514")</f>
        <v>711485514</v>
      </c>
      <c r="B2913" s="52">
        <v>7.11485514E8</v>
      </c>
      <c r="C2913" s="28" t="s">
        <v>3074</v>
      </c>
      <c r="D2913" s="26" t="s">
        <v>49</v>
      </c>
      <c r="E2913" s="31">
        <v>46230.0</v>
      </c>
      <c r="F2913" s="26" t="s">
        <v>46</v>
      </c>
      <c r="G2913" s="26">
        <v>11.0</v>
      </c>
      <c r="H2913" s="26" t="s">
        <v>2682</v>
      </c>
      <c r="I2913" s="26" t="s">
        <v>42</v>
      </c>
      <c r="J2913" s="25" t="str">
        <f t="shared" si="40"/>
        <v>No</v>
      </c>
      <c r="K2913" s="25" t="str">
        <f t="shared" si="41"/>
        <v/>
      </c>
      <c r="L2913" s="25" t="str">
        <f t="shared" si="42"/>
        <v/>
      </c>
      <c r="M2913" s="25"/>
      <c r="O2913" s="25"/>
    </row>
    <row r="2914" ht="15.75" customHeight="1">
      <c r="A2914" s="25" t="str">
        <f>IFERROR(__xludf.DUMMYFUNCTION("IF(B2914="""","""",RIGHT(REGEXREPLACE(B2914&amp;"""",""[^0-9]"",""""),9))"),"741243044")</f>
        <v>741243044</v>
      </c>
      <c r="B2914" s="52">
        <v>7.41243044E8</v>
      </c>
      <c r="C2914" s="28" t="s">
        <v>3075</v>
      </c>
      <c r="D2914" s="26" t="s">
        <v>49</v>
      </c>
      <c r="E2914" s="31">
        <v>46230.0</v>
      </c>
      <c r="F2914" s="26" t="s">
        <v>46</v>
      </c>
      <c r="G2914" s="26">
        <v>10.0</v>
      </c>
      <c r="H2914" s="26" t="s">
        <v>2682</v>
      </c>
      <c r="I2914" s="26" t="s">
        <v>42</v>
      </c>
      <c r="J2914" s="25" t="str">
        <f t="shared" si="40"/>
        <v>No</v>
      </c>
      <c r="K2914" s="25" t="str">
        <f t="shared" si="41"/>
        <v/>
      </c>
      <c r="L2914" s="25" t="str">
        <f t="shared" si="42"/>
        <v/>
      </c>
      <c r="M2914" s="25"/>
      <c r="O2914" s="25"/>
    </row>
    <row r="2915" ht="15.75" customHeight="1">
      <c r="A2915" s="25" t="str">
        <f>IFERROR(__xludf.DUMMYFUNCTION("IF(B2915="""","""",RIGHT(REGEXREPLACE(B2915&amp;"""",""[^0-9]"",""""),9))"),"773262639")</f>
        <v>773262639</v>
      </c>
      <c r="B2915" s="52">
        <v>7.73262639E8</v>
      </c>
      <c r="C2915" s="28" t="s">
        <v>3076</v>
      </c>
      <c r="D2915" s="26" t="s">
        <v>49</v>
      </c>
      <c r="E2915" s="31">
        <v>46230.0</v>
      </c>
      <c r="F2915" s="26" t="s">
        <v>46</v>
      </c>
      <c r="G2915" s="26">
        <v>11.0</v>
      </c>
      <c r="I2915" s="26" t="s">
        <v>42</v>
      </c>
      <c r="J2915" s="25" t="str">
        <f t="shared" si="40"/>
        <v>No</v>
      </c>
      <c r="K2915" s="25" t="str">
        <f t="shared" si="41"/>
        <v/>
      </c>
      <c r="L2915" s="25" t="str">
        <f t="shared" si="42"/>
        <v/>
      </c>
      <c r="M2915" s="25"/>
      <c r="O2915" s="25"/>
    </row>
    <row r="2916" ht="15.75" customHeight="1">
      <c r="A2916" s="25" t="str">
        <f>IFERROR(__xludf.DUMMYFUNCTION("IF(B2916="""","""",RIGHT(REGEXREPLACE(B2916&amp;"""",""[^0-9]"",""""),9))"),"770885581")</f>
        <v>770885581</v>
      </c>
      <c r="B2916" s="52">
        <v>7.70885581E8</v>
      </c>
      <c r="C2916" s="28" t="s">
        <v>3077</v>
      </c>
      <c r="D2916" s="26" t="s">
        <v>49</v>
      </c>
      <c r="E2916" s="31">
        <v>46230.0</v>
      </c>
      <c r="F2916" s="26" t="s">
        <v>46</v>
      </c>
      <c r="G2916" s="26">
        <v>11.0</v>
      </c>
      <c r="H2916" s="26" t="s">
        <v>3078</v>
      </c>
      <c r="I2916" s="26" t="s">
        <v>42</v>
      </c>
      <c r="J2916" s="25" t="str">
        <f t="shared" si="40"/>
        <v>No</v>
      </c>
      <c r="K2916" s="25" t="str">
        <f t="shared" si="41"/>
        <v/>
      </c>
      <c r="L2916" s="25" t="str">
        <f t="shared" si="42"/>
        <v/>
      </c>
      <c r="M2916" s="25"/>
      <c r="O2916" s="25"/>
    </row>
    <row r="2917" ht="15.75" customHeight="1">
      <c r="A2917" s="25" t="str">
        <f>IFERROR(__xludf.DUMMYFUNCTION("IF(B2917="""","""",RIGHT(REGEXREPLACE(B2917&amp;"""",""[^0-9]"",""""),9))"),"781016225")</f>
        <v>781016225</v>
      </c>
      <c r="B2917" s="52">
        <v>7.81016225E8</v>
      </c>
      <c r="C2917" s="28" t="s">
        <v>3079</v>
      </c>
      <c r="D2917" s="26" t="s">
        <v>64</v>
      </c>
      <c r="E2917" s="31">
        <v>46230.0</v>
      </c>
      <c r="F2917" s="26" t="s">
        <v>46</v>
      </c>
      <c r="G2917" s="26">
        <v>11.0</v>
      </c>
      <c r="H2917" s="26" t="s">
        <v>1526</v>
      </c>
      <c r="I2917" s="26" t="s">
        <v>42</v>
      </c>
      <c r="J2917" s="25" t="str">
        <f t="shared" si="40"/>
        <v>No</v>
      </c>
      <c r="K2917" s="25" t="str">
        <f t="shared" si="41"/>
        <v/>
      </c>
      <c r="L2917" s="25" t="str">
        <f t="shared" si="42"/>
        <v/>
      </c>
      <c r="M2917" s="25"/>
      <c r="O2917" s="25"/>
    </row>
    <row r="2918" ht="15.75" customHeight="1">
      <c r="A2918" s="25" t="str">
        <f>IFERROR(__xludf.DUMMYFUNCTION("IF(B2918="""","""",RIGHT(REGEXREPLACE(B2918&amp;"""",""[^0-9]"",""""),9))"),"751188343")</f>
        <v>751188343</v>
      </c>
      <c r="B2918" s="52">
        <v>7.51188343E8</v>
      </c>
      <c r="C2918" s="28" t="s">
        <v>3080</v>
      </c>
      <c r="D2918" s="26" t="s">
        <v>82</v>
      </c>
      <c r="E2918" s="31">
        <v>46230.0</v>
      </c>
      <c r="F2918" s="26" t="s">
        <v>46</v>
      </c>
      <c r="G2918" s="26">
        <v>11.0</v>
      </c>
      <c r="I2918" s="26" t="s">
        <v>42</v>
      </c>
      <c r="J2918" s="25" t="str">
        <f t="shared" si="40"/>
        <v>No</v>
      </c>
      <c r="K2918" s="25" t="str">
        <f t="shared" si="41"/>
        <v/>
      </c>
      <c r="L2918" s="25" t="str">
        <f t="shared" si="42"/>
        <v/>
      </c>
      <c r="M2918" s="25"/>
      <c r="O2918" s="25"/>
    </row>
    <row r="2919" ht="15.75" customHeight="1">
      <c r="A2919" s="25" t="str">
        <f>IFERROR(__xludf.DUMMYFUNCTION("IF(B2919="""","""",RIGHT(REGEXREPLACE(B2919&amp;"""",""[^0-9]"",""""),9))"),"701188254")</f>
        <v>701188254</v>
      </c>
      <c r="B2919" s="52">
        <v>7.01188254E8</v>
      </c>
      <c r="C2919" s="28" t="s">
        <v>3079</v>
      </c>
      <c r="D2919" s="26" t="s">
        <v>49</v>
      </c>
      <c r="E2919" s="31">
        <v>46230.0</v>
      </c>
      <c r="F2919" s="26" t="s">
        <v>46</v>
      </c>
      <c r="G2919" s="26">
        <v>11.0</v>
      </c>
      <c r="H2919" s="26" t="s">
        <v>2682</v>
      </c>
      <c r="I2919" s="26" t="s">
        <v>42</v>
      </c>
      <c r="J2919" s="25" t="str">
        <f t="shared" si="40"/>
        <v>No</v>
      </c>
      <c r="K2919" s="25" t="str">
        <f t="shared" si="41"/>
        <v/>
      </c>
      <c r="L2919" s="25" t="str">
        <f t="shared" si="42"/>
        <v/>
      </c>
      <c r="M2919" s="25"/>
      <c r="O2919" s="25"/>
    </row>
    <row r="2920" ht="15.75" customHeight="1">
      <c r="A2920" s="25" t="str">
        <f>IFERROR(__xludf.DUMMYFUNCTION("IF(B2920="""","""",RIGHT(REGEXREPLACE(B2920&amp;"""",""[^0-9]"",""""),9))"),"773914150")</f>
        <v>773914150</v>
      </c>
      <c r="B2920" s="52">
        <v>7.7391415E8</v>
      </c>
      <c r="C2920" s="28" t="s">
        <v>3081</v>
      </c>
      <c r="D2920" s="26" t="s">
        <v>82</v>
      </c>
      <c r="E2920" s="31">
        <v>46230.0</v>
      </c>
      <c r="F2920" s="26" t="s">
        <v>46</v>
      </c>
      <c r="G2920" s="109">
        <v>46333.0</v>
      </c>
      <c r="I2920" s="26" t="s">
        <v>42</v>
      </c>
      <c r="J2920" s="25" t="str">
        <f t="shared" si="40"/>
        <v>No</v>
      </c>
      <c r="K2920" s="25" t="str">
        <f t="shared" si="41"/>
        <v/>
      </c>
      <c r="L2920" s="25" t="str">
        <f t="shared" si="42"/>
        <v/>
      </c>
      <c r="M2920" s="25"/>
      <c r="O2920" s="25"/>
    </row>
    <row r="2921" ht="15.75" customHeight="1">
      <c r="A2921" s="25" t="str">
        <f>IFERROR(__xludf.DUMMYFUNCTION("IF(B2921="""","""",RIGHT(REGEXREPLACE(B2921&amp;"""",""[^0-9]"",""""),9))"),"777046239")</f>
        <v>777046239</v>
      </c>
      <c r="B2921" s="52">
        <v>7.77046239E8</v>
      </c>
      <c r="C2921" s="28" t="s">
        <v>3082</v>
      </c>
      <c r="D2921" s="26" t="s">
        <v>49</v>
      </c>
      <c r="E2921" s="31">
        <v>46230.0</v>
      </c>
      <c r="F2921" s="26" t="s">
        <v>46</v>
      </c>
      <c r="G2921" s="26">
        <v>11.0</v>
      </c>
      <c r="I2921" s="26" t="s">
        <v>42</v>
      </c>
      <c r="J2921" s="25" t="str">
        <f t="shared" si="40"/>
        <v>No</v>
      </c>
      <c r="K2921" s="25" t="str">
        <f t="shared" si="41"/>
        <v/>
      </c>
      <c r="L2921" s="25" t="str">
        <f t="shared" si="42"/>
        <v/>
      </c>
      <c r="M2921" s="25"/>
      <c r="O2921" s="25"/>
    </row>
    <row r="2922" ht="15.75" customHeight="1">
      <c r="A2922" s="25" t="str">
        <f>IFERROR(__xludf.DUMMYFUNCTION("IF(B2922="""","""",RIGHT(REGEXREPLACE(B2922&amp;"""",""[^0-9]"",""""),9))"),"776807466")</f>
        <v>776807466</v>
      </c>
      <c r="B2922" s="52">
        <v>7.76807466E8</v>
      </c>
      <c r="C2922" s="28" t="s">
        <v>3083</v>
      </c>
      <c r="D2922" s="26" t="s">
        <v>56</v>
      </c>
      <c r="E2922" s="31">
        <v>46230.0</v>
      </c>
      <c r="F2922" s="26" t="s">
        <v>631</v>
      </c>
      <c r="G2922" s="26">
        <v>11.0</v>
      </c>
      <c r="I2922" s="26" t="s">
        <v>42</v>
      </c>
      <c r="J2922" s="25" t="str">
        <f t="shared" si="40"/>
        <v>No</v>
      </c>
      <c r="K2922" s="25" t="str">
        <f t="shared" si="41"/>
        <v/>
      </c>
      <c r="L2922" s="25" t="str">
        <f t="shared" si="42"/>
        <v/>
      </c>
      <c r="M2922" s="25"/>
      <c r="O2922" s="25"/>
    </row>
    <row r="2923" ht="15.75" customHeight="1">
      <c r="A2923" s="25" t="str">
        <f>IFERROR(__xludf.DUMMYFUNCTION("IF(B2923="""","""",RIGHT(REGEXREPLACE(B2923&amp;"""",""[^0-9]"",""""),9))"),"716817343")</f>
        <v>716817343</v>
      </c>
      <c r="B2923" s="52">
        <v>7.16817343E8</v>
      </c>
      <c r="C2923" s="28" t="s">
        <v>3084</v>
      </c>
      <c r="D2923" s="26" t="s">
        <v>49</v>
      </c>
      <c r="E2923" s="31">
        <v>46230.0</v>
      </c>
      <c r="F2923" s="26" t="s">
        <v>46</v>
      </c>
      <c r="G2923" s="26">
        <v>11.0</v>
      </c>
      <c r="I2923" s="26" t="s">
        <v>42</v>
      </c>
      <c r="J2923" s="25" t="str">
        <f t="shared" si="40"/>
        <v>No</v>
      </c>
      <c r="K2923" s="25" t="str">
        <f t="shared" si="41"/>
        <v/>
      </c>
      <c r="L2923" s="25" t="str">
        <f t="shared" si="42"/>
        <v/>
      </c>
      <c r="M2923" s="25"/>
      <c r="O2923" s="25"/>
    </row>
    <row r="2924" ht="15.75" customHeight="1">
      <c r="A2924" s="25" t="str">
        <f>IFERROR(__xludf.DUMMYFUNCTION("IF(B2924="""","""",RIGHT(REGEXREPLACE(B2924&amp;"""",""[^0-9]"",""""),9))"),"776792319")</f>
        <v>776792319</v>
      </c>
      <c r="B2924" s="52">
        <v>7.76792319E8</v>
      </c>
      <c r="C2924" s="28" t="s">
        <v>122</v>
      </c>
      <c r="D2924" s="26" t="s">
        <v>64</v>
      </c>
      <c r="E2924" s="31">
        <v>46230.0</v>
      </c>
      <c r="F2924" s="26" t="s">
        <v>41</v>
      </c>
      <c r="H2924" s="26" t="s">
        <v>2700</v>
      </c>
      <c r="I2924" s="26" t="s">
        <v>42</v>
      </c>
      <c r="J2924" s="25" t="str">
        <f t="shared" si="40"/>
        <v>No</v>
      </c>
      <c r="K2924" s="25" t="str">
        <f t="shared" si="41"/>
        <v/>
      </c>
      <c r="L2924" s="25" t="str">
        <f t="shared" si="42"/>
        <v/>
      </c>
      <c r="M2924" s="25"/>
      <c r="O2924" s="25"/>
    </row>
    <row r="2925" ht="15.75" customHeight="1">
      <c r="A2925" s="25" t="str">
        <f>IFERROR(__xludf.DUMMYFUNCTION("IF(B2925="""","""",RIGHT(REGEXREPLACE(B2925&amp;"""",""[^0-9]"",""""),9))"),"778416887")</f>
        <v>778416887</v>
      </c>
      <c r="B2925" s="52">
        <v>7.78416887E8</v>
      </c>
      <c r="C2925" s="28" t="s">
        <v>3085</v>
      </c>
      <c r="D2925" s="26" t="s">
        <v>82</v>
      </c>
      <c r="E2925" s="31">
        <v>46230.0</v>
      </c>
      <c r="F2925" s="26" t="s">
        <v>205</v>
      </c>
      <c r="G2925" s="26">
        <v>11.0</v>
      </c>
      <c r="I2925" s="26" t="s">
        <v>42</v>
      </c>
      <c r="J2925" s="25" t="str">
        <f t="shared" si="40"/>
        <v>No</v>
      </c>
      <c r="K2925" s="25" t="str">
        <f t="shared" si="41"/>
        <v/>
      </c>
      <c r="L2925" s="25" t="str">
        <f t="shared" si="42"/>
        <v/>
      </c>
      <c r="M2925" s="25"/>
      <c r="O2925" s="25"/>
    </row>
    <row r="2926" ht="15.75" customHeight="1">
      <c r="A2926" s="25" t="str">
        <f>IFERROR(__xludf.DUMMYFUNCTION("IF(B2926="""","""",RIGHT(REGEXREPLACE(B2926&amp;"""",""[^0-9]"",""""),9))"),"779106815")</f>
        <v>779106815</v>
      </c>
      <c r="B2926" s="52">
        <v>7.79106815E8</v>
      </c>
      <c r="C2926" s="28" t="s">
        <v>3086</v>
      </c>
      <c r="D2926" s="26" t="s">
        <v>56</v>
      </c>
      <c r="E2926" s="31">
        <v>46230.0</v>
      </c>
      <c r="F2926" s="26" t="s">
        <v>41</v>
      </c>
      <c r="H2926" s="26" t="s">
        <v>796</v>
      </c>
      <c r="I2926" s="26" t="s">
        <v>42</v>
      </c>
      <c r="J2926" s="25" t="str">
        <f t="shared" si="40"/>
        <v>No</v>
      </c>
      <c r="K2926" s="25" t="str">
        <f t="shared" si="41"/>
        <v/>
      </c>
      <c r="L2926" s="25" t="str">
        <f t="shared" si="42"/>
        <v/>
      </c>
      <c r="M2926" s="25"/>
      <c r="O2926" s="25"/>
    </row>
    <row r="2927" ht="15.75" customHeight="1">
      <c r="A2927" s="25" t="str">
        <f>IFERROR(__xludf.DUMMYFUNCTION("IF(B2927="""","""",RIGHT(REGEXREPLACE(B2927&amp;"""",""[^0-9]"",""""),9))"),"764891529")</f>
        <v>764891529</v>
      </c>
      <c r="B2927" s="52">
        <v>7.64891529E8</v>
      </c>
      <c r="C2927" s="28" t="s">
        <v>3087</v>
      </c>
      <c r="D2927" s="26" t="s">
        <v>49</v>
      </c>
      <c r="E2927" s="31">
        <v>46230.0</v>
      </c>
      <c r="F2927" s="26" t="s">
        <v>46</v>
      </c>
      <c r="G2927" s="26">
        <v>10.0</v>
      </c>
      <c r="I2927" s="26" t="s">
        <v>42</v>
      </c>
      <c r="J2927" s="25" t="str">
        <f t="shared" si="40"/>
        <v>No</v>
      </c>
      <c r="K2927" s="25" t="str">
        <f t="shared" si="41"/>
        <v/>
      </c>
      <c r="L2927" s="25" t="str">
        <f t="shared" si="42"/>
        <v/>
      </c>
      <c r="M2927" s="25"/>
      <c r="O2927" s="25"/>
    </row>
    <row r="2928" ht="15.75" customHeight="1">
      <c r="A2928" s="25" t="str">
        <f>IFERROR(__xludf.DUMMYFUNCTION("IF(B2928="""","""",RIGHT(REGEXREPLACE(B2928&amp;"""",""[^0-9]"",""""),9))"),"763857022")</f>
        <v>763857022</v>
      </c>
      <c r="B2928" s="52">
        <v>7.63857022E8</v>
      </c>
      <c r="C2928" s="28" t="s">
        <v>3088</v>
      </c>
      <c r="D2928" s="26" t="s">
        <v>64</v>
      </c>
      <c r="E2928" s="31">
        <v>46230.0</v>
      </c>
      <c r="F2928" s="26" t="s">
        <v>46</v>
      </c>
      <c r="G2928" s="26">
        <v>11.0</v>
      </c>
      <c r="H2928" s="26" t="s">
        <v>1526</v>
      </c>
      <c r="I2928" s="26" t="s">
        <v>42</v>
      </c>
      <c r="J2928" s="25" t="str">
        <f t="shared" si="40"/>
        <v>No</v>
      </c>
      <c r="K2928" s="25" t="str">
        <f t="shared" si="41"/>
        <v/>
      </c>
      <c r="L2928" s="25" t="str">
        <f t="shared" si="42"/>
        <v/>
      </c>
      <c r="M2928" s="25"/>
      <c r="O2928" s="25"/>
    </row>
    <row r="2929" ht="15.75" customHeight="1">
      <c r="A2929" s="25" t="str">
        <f>IFERROR(__xludf.DUMMYFUNCTION("IF(B2929="""","""",RIGHT(REGEXREPLACE(B2929&amp;"""",""[^0-9]"",""""),9))"),"716525349")</f>
        <v>716525349</v>
      </c>
      <c r="B2929" s="52">
        <v>7.16525349E8</v>
      </c>
      <c r="C2929" s="28" t="s">
        <v>3089</v>
      </c>
      <c r="D2929" s="26" t="s">
        <v>49</v>
      </c>
      <c r="E2929" s="31">
        <v>46230.0</v>
      </c>
      <c r="F2929" s="26" t="s">
        <v>41</v>
      </c>
      <c r="G2929" s="26">
        <v>11.0</v>
      </c>
      <c r="I2929" s="26" t="s">
        <v>42</v>
      </c>
      <c r="J2929" s="25" t="str">
        <f t="shared" si="40"/>
        <v>No</v>
      </c>
      <c r="K2929" s="25" t="str">
        <f t="shared" si="41"/>
        <v/>
      </c>
      <c r="L2929" s="25" t="str">
        <f t="shared" si="42"/>
        <v/>
      </c>
      <c r="M2929" s="25"/>
      <c r="O2929" s="25"/>
    </row>
    <row r="2930" ht="15.75" customHeight="1">
      <c r="A2930" s="25" t="str">
        <f>IFERROR(__xludf.DUMMYFUNCTION("IF(B2930="""","""",RIGHT(REGEXREPLACE(B2930&amp;"""",""[^0-9]"",""""),9))"),"768769622")</f>
        <v>768769622</v>
      </c>
      <c r="B2930" s="52">
        <v>7.68769622E8</v>
      </c>
      <c r="C2930" s="28" t="s">
        <v>3090</v>
      </c>
      <c r="D2930" s="26" t="s">
        <v>56</v>
      </c>
      <c r="E2930" s="31">
        <v>46230.0</v>
      </c>
      <c r="F2930" s="26" t="s">
        <v>125</v>
      </c>
      <c r="H2930" s="26" t="s">
        <v>796</v>
      </c>
      <c r="I2930" s="26" t="s">
        <v>42</v>
      </c>
      <c r="J2930" s="25" t="str">
        <f t="shared" si="40"/>
        <v>No</v>
      </c>
      <c r="K2930" s="25" t="str">
        <f t="shared" si="41"/>
        <v/>
      </c>
      <c r="L2930" s="25" t="str">
        <f t="shared" si="42"/>
        <v/>
      </c>
      <c r="M2930" s="25"/>
      <c r="O2930" s="25"/>
    </row>
    <row r="2931" ht="15.75" customHeight="1">
      <c r="A2931" s="25" t="str">
        <f>IFERROR(__xludf.DUMMYFUNCTION("IF(B2931="""","""",RIGHT(REGEXREPLACE(B2931&amp;"""",""[^0-9]"",""""),9))"),"767464661")</f>
        <v>767464661</v>
      </c>
      <c r="B2931" s="52">
        <v>7.67464661E8</v>
      </c>
      <c r="C2931" s="28" t="s">
        <v>3091</v>
      </c>
      <c r="D2931" s="26" t="s">
        <v>49</v>
      </c>
      <c r="E2931" s="31">
        <v>46230.0</v>
      </c>
      <c r="F2931" s="26" t="s">
        <v>205</v>
      </c>
      <c r="G2931" s="26">
        <v>8.0</v>
      </c>
      <c r="I2931" s="26" t="s">
        <v>42</v>
      </c>
      <c r="J2931" s="25" t="str">
        <f t="shared" si="40"/>
        <v>No</v>
      </c>
      <c r="K2931" s="25" t="str">
        <f t="shared" si="41"/>
        <v/>
      </c>
      <c r="L2931" s="25" t="str">
        <f t="shared" si="42"/>
        <v/>
      </c>
      <c r="M2931" s="25"/>
      <c r="O2931" s="25"/>
    </row>
    <row r="2932" ht="15.75" customHeight="1">
      <c r="A2932" s="25" t="str">
        <f>IFERROR(__xludf.DUMMYFUNCTION("IF(B2932="""","""",RIGHT(REGEXREPLACE(B2932&amp;"""",""[^0-9]"",""""),9))"),"759550955")</f>
        <v>759550955</v>
      </c>
      <c r="B2932" s="52">
        <v>7.59550955E8</v>
      </c>
      <c r="C2932" s="28" t="s">
        <v>3092</v>
      </c>
      <c r="D2932" s="26" t="s">
        <v>56</v>
      </c>
      <c r="E2932" s="31">
        <v>46230.0</v>
      </c>
      <c r="F2932" s="26" t="s">
        <v>631</v>
      </c>
      <c r="G2932" s="26">
        <v>10.0</v>
      </c>
      <c r="H2932" s="26" t="s">
        <v>796</v>
      </c>
      <c r="I2932" s="26" t="s">
        <v>42</v>
      </c>
      <c r="J2932" s="25" t="str">
        <f t="shared" si="40"/>
        <v>No</v>
      </c>
      <c r="K2932" s="25" t="str">
        <f t="shared" si="41"/>
        <v/>
      </c>
      <c r="L2932" s="25" t="str">
        <f t="shared" si="42"/>
        <v/>
      </c>
      <c r="M2932" s="25"/>
      <c r="O2932" s="25"/>
    </row>
    <row r="2933" ht="15.75" customHeight="1">
      <c r="A2933" s="25" t="str">
        <f>IFERROR(__xludf.DUMMYFUNCTION("IF(B2933="""","""",RIGHT(REGEXREPLACE(B2933&amp;"""",""[^0-9]"",""""),9))"),"714681786")</f>
        <v>714681786</v>
      </c>
      <c r="B2933" s="52">
        <v>7.14681786E8</v>
      </c>
      <c r="C2933" s="28" t="s">
        <v>3093</v>
      </c>
      <c r="D2933" s="26" t="s">
        <v>64</v>
      </c>
      <c r="E2933" s="31">
        <v>46230.0</v>
      </c>
      <c r="F2933" s="26" t="s">
        <v>41</v>
      </c>
      <c r="H2933" s="26" t="s">
        <v>1526</v>
      </c>
      <c r="I2933" s="26" t="s">
        <v>42</v>
      </c>
      <c r="J2933" s="25" t="str">
        <f t="shared" si="40"/>
        <v>No</v>
      </c>
      <c r="K2933" s="25" t="str">
        <f t="shared" si="41"/>
        <v/>
      </c>
      <c r="L2933" s="25" t="str">
        <f t="shared" si="42"/>
        <v/>
      </c>
      <c r="M2933" s="25"/>
      <c r="O2933" s="25"/>
    </row>
    <row r="2934" ht="15.75" customHeight="1">
      <c r="A2934" s="25" t="str">
        <f>IFERROR(__xludf.DUMMYFUNCTION("IF(B2934="""","""",RIGHT(REGEXREPLACE(B2934&amp;"""",""[^0-9]"",""""),9))"),"772059951")</f>
        <v>772059951</v>
      </c>
      <c r="B2934" s="52">
        <v>7.72059951E8</v>
      </c>
      <c r="C2934" s="28" t="s">
        <v>3094</v>
      </c>
      <c r="D2934" s="26" t="s">
        <v>82</v>
      </c>
      <c r="E2934" s="31">
        <v>46230.0</v>
      </c>
      <c r="F2934" s="26" t="s">
        <v>41</v>
      </c>
      <c r="I2934" s="26" t="s">
        <v>42</v>
      </c>
      <c r="J2934" s="25" t="str">
        <f t="shared" si="40"/>
        <v>No</v>
      </c>
      <c r="K2934" s="25" t="str">
        <f t="shared" si="41"/>
        <v/>
      </c>
      <c r="L2934" s="25" t="str">
        <f t="shared" si="42"/>
        <v/>
      </c>
      <c r="M2934" s="25"/>
      <c r="O2934" s="25"/>
    </row>
    <row r="2935" ht="15.75" customHeight="1">
      <c r="A2935" s="25" t="str">
        <f>IFERROR(__xludf.DUMMYFUNCTION("IF(B2935="""","""",RIGHT(REGEXREPLACE(B2935&amp;"""",""[^0-9]"",""""),9))"),"726666171")</f>
        <v>726666171</v>
      </c>
      <c r="B2935" s="52">
        <v>7.26666171E8</v>
      </c>
      <c r="C2935" s="28" t="s">
        <v>3095</v>
      </c>
      <c r="D2935" s="26" t="s">
        <v>69</v>
      </c>
      <c r="E2935" s="31">
        <v>46230.0</v>
      </c>
      <c r="F2935" s="26" t="s">
        <v>41</v>
      </c>
      <c r="G2935" s="52">
        <v>10.0</v>
      </c>
      <c r="I2935" s="26" t="s">
        <v>42</v>
      </c>
      <c r="J2935" s="25" t="str">
        <f t="shared" si="40"/>
        <v>No</v>
      </c>
      <c r="K2935" s="25" t="str">
        <f t="shared" si="41"/>
        <v/>
      </c>
      <c r="L2935" s="25" t="str">
        <f t="shared" si="42"/>
        <v/>
      </c>
      <c r="M2935" s="25"/>
      <c r="O2935" s="25"/>
    </row>
    <row r="2936" ht="15.75" customHeight="1">
      <c r="A2936" s="25" t="str">
        <f>IFERROR(__xludf.DUMMYFUNCTION("IF(B2936="""","""",RIGHT(REGEXREPLACE(B2936&amp;"""",""[^0-9]"",""""),9))"),"771731188")</f>
        <v>771731188</v>
      </c>
      <c r="B2936" s="52">
        <v>7.71731188E8</v>
      </c>
      <c r="C2936" s="28" t="s">
        <v>3092</v>
      </c>
      <c r="D2936" s="52" t="s">
        <v>64</v>
      </c>
      <c r="E2936" s="31">
        <v>46230.0</v>
      </c>
      <c r="F2936" s="26" t="s">
        <v>84</v>
      </c>
      <c r="H2936" s="26" t="s">
        <v>1526</v>
      </c>
      <c r="I2936" s="26" t="s">
        <v>42</v>
      </c>
      <c r="J2936" s="25" t="str">
        <f t="shared" si="40"/>
        <v>No</v>
      </c>
      <c r="K2936" s="25" t="str">
        <f t="shared" si="41"/>
        <v/>
      </c>
      <c r="L2936" s="25" t="str">
        <f t="shared" si="42"/>
        <v/>
      </c>
      <c r="M2936" s="25"/>
      <c r="O2936" s="25"/>
    </row>
    <row r="2937" ht="15.75" customHeight="1">
      <c r="A2937" s="25" t="str">
        <f>IFERROR(__xludf.DUMMYFUNCTION("IF(B2937="""","""",RIGHT(REGEXREPLACE(B2937&amp;"""",""[^0-9]"",""""),9))"),"743204532")</f>
        <v>743204532</v>
      </c>
      <c r="B2937" s="52">
        <v>7.43204532E8</v>
      </c>
      <c r="C2937" s="28" t="s">
        <v>3096</v>
      </c>
      <c r="D2937" s="26" t="s">
        <v>49</v>
      </c>
      <c r="E2937" s="31">
        <v>46230.0</v>
      </c>
      <c r="F2937" s="26" t="s">
        <v>46</v>
      </c>
      <c r="G2937" s="26">
        <v>10.0</v>
      </c>
      <c r="I2937" s="26" t="s">
        <v>42</v>
      </c>
      <c r="J2937" s="25" t="str">
        <f t="shared" si="40"/>
        <v>No</v>
      </c>
      <c r="K2937" s="25" t="str">
        <f t="shared" si="41"/>
        <v/>
      </c>
      <c r="L2937" s="25" t="str">
        <f t="shared" si="42"/>
        <v/>
      </c>
      <c r="M2937" s="25"/>
      <c r="O2937" s="25"/>
    </row>
    <row r="2938" ht="15.75" customHeight="1">
      <c r="A2938" s="25" t="str">
        <f>IFERROR(__xludf.DUMMYFUNCTION("IF(B2938="""","""",RIGHT(REGEXREPLACE(B2938&amp;"""",""[^0-9]"",""""),9))"),"774680845")</f>
        <v>774680845</v>
      </c>
      <c r="B2938" s="52">
        <v>7.74680845E8</v>
      </c>
      <c r="C2938" s="28" t="s">
        <v>3097</v>
      </c>
      <c r="D2938" s="26" t="s">
        <v>64</v>
      </c>
      <c r="E2938" s="31">
        <v>46230.0</v>
      </c>
      <c r="F2938" s="26" t="s">
        <v>84</v>
      </c>
      <c r="H2938" s="26" t="s">
        <v>1526</v>
      </c>
      <c r="I2938" s="26" t="s">
        <v>42</v>
      </c>
      <c r="J2938" s="25" t="str">
        <f t="shared" si="40"/>
        <v>No</v>
      </c>
      <c r="K2938" s="25" t="str">
        <f t="shared" si="41"/>
        <v/>
      </c>
      <c r="L2938" s="25" t="str">
        <f t="shared" si="42"/>
        <v/>
      </c>
      <c r="M2938" s="25"/>
      <c r="O2938" s="25"/>
    </row>
    <row r="2939" ht="15.75" customHeight="1">
      <c r="A2939" s="25" t="str">
        <f>IFERROR(__xludf.DUMMYFUNCTION("IF(B2939="""","""",RIGHT(REGEXREPLACE(B2939&amp;"""",""[^0-9]"",""""),9))"),"773103846")</f>
        <v>773103846</v>
      </c>
      <c r="B2939" s="52">
        <v>7.73103846E8</v>
      </c>
      <c r="C2939" s="28" t="s">
        <v>3098</v>
      </c>
      <c r="D2939" s="26" t="s">
        <v>69</v>
      </c>
      <c r="E2939" s="31">
        <v>46230.0</v>
      </c>
      <c r="F2939" s="26" t="s">
        <v>659</v>
      </c>
      <c r="I2939" s="26" t="s">
        <v>42</v>
      </c>
      <c r="J2939" s="25" t="str">
        <f t="shared" si="40"/>
        <v>No</v>
      </c>
      <c r="K2939" s="25" t="str">
        <f t="shared" si="41"/>
        <v/>
      </c>
      <c r="L2939" s="25" t="str">
        <f t="shared" si="42"/>
        <v/>
      </c>
      <c r="M2939" s="25"/>
      <c r="O2939" s="25"/>
    </row>
    <row r="2940" ht="15.75" customHeight="1">
      <c r="A2940" s="25" t="str">
        <f>IFERROR(__xludf.DUMMYFUNCTION("IF(B2940="""","""",RIGHT(REGEXREPLACE(B2940&amp;"""",""[^0-9]"",""""),9))"),"753803080")</f>
        <v>753803080</v>
      </c>
      <c r="B2940" s="52">
        <v>7.5380308E8</v>
      </c>
      <c r="C2940" s="28" t="s">
        <v>2224</v>
      </c>
      <c r="D2940" s="26" t="s">
        <v>49</v>
      </c>
      <c r="E2940" s="31">
        <v>46230.0</v>
      </c>
      <c r="F2940" s="26" t="s">
        <v>46</v>
      </c>
      <c r="G2940" s="26">
        <v>11.0</v>
      </c>
      <c r="H2940" s="26" t="s">
        <v>2682</v>
      </c>
      <c r="I2940" s="26" t="s">
        <v>42</v>
      </c>
      <c r="J2940" s="25" t="str">
        <f t="shared" si="40"/>
        <v>Yes - see Previous F-Code</v>
      </c>
      <c r="K2940" s="25" t="str">
        <f t="shared" si="41"/>
        <v>DUPLICATE - CHECK</v>
      </c>
      <c r="L2940" s="25" t="str">
        <f t="shared" si="42"/>
        <v>F71925</v>
      </c>
      <c r="M2940" s="25"/>
      <c r="O2940" s="25"/>
    </row>
    <row r="2941" ht="15.75" customHeight="1">
      <c r="A2941" s="25" t="str">
        <f>IFERROR(__xludf.DUMMYFUNCTION("IF(B2941="""","""",RIGHT(REGEXREPLACE(B2941&amp;"""",""[^0-9]"",""""),9))"),"715702031")</f>
        <v>715702031</v>
      </c>
      <c r="B2941" s="52">
        <v>7.15702031E8</v>
      </c>
      <c r="C2941" s="28" t="s">
        <v>3099</v>
      </c>
      <c r="D2941" s="26" t="s">
        <v>69</v>
      </c>
      <c r="E2941" s="31">
        <v>46230.0</v>
      </c>
      <c r="F2941" s="26" t="s">
        <v>46</v>
      </c>
      <c r="G2941" s="26">
        <v>6.0</v>
      </c>
      <c r="I2941" s="26" t="s">
        <v>42</v>
      </c>
      <c r="J2941" s="25" t="str">
        <f t="shared" si="40"/>
        <v>No</v>
      </c>
      <c r="K2941" s="25" t="str">
        <f t="shared" si="41"/>
        <v/>
      </c>
      <c r="L2941" s="25" t="str">
        <f t="shared" si="42"/>
        <v/>
      </c>
      <c r="M2941" s="25"/>
      <c r="O2941" s="26" t="s">
        <v>51</v>
      </c>
    </row>
    <row r="2942" ht="15.75" customHeight="1">
      <c r="A2942" s="25" t="str">
        <f>IFERROR(__xludf.DUMMYFUNCTION("IF(B2942="""","""",RIGHT(REGEXREPLACE(B2942&amp;"""",""[^0-9]"",""""),9))"),"")</f>
        <v/>
      </c>
      <c r="B2942" s="52"/>
      <c r="C2942" s="28" t="s">
        <v>3088</v>
      </c>
      <c r="D2942" s="26" t="s">
        <v>56</v>
      </c>
      <c r="E2942" s="31">
        <v>46230.0</v>
      </c>
      <c r="F2942" s="25"/>
      <c r="G2942" s="25"/>
      <c r="H2942" s="25"/>
      <c r="I2942" s="26" t="s">
        <v>42</v>
      </c>
      <c r="J2942" s="25" t="str">
        <f t="shared" si="40"/>
        <v>Yes - see Previous F-Code</v>
      </c>
      <c r="K2942" s="25" t="str">
        <f t="shared" si="41"/>
        <v>DUPLICATE - CHECK</v>
      </c>
      <c r="L2942" s="25" t="str">
        <f t="shared" si="42"/>
        <v/>
      </c>
      <c r="M2942" s="25"/>
      <c r="N2942" s="25"/>
      <c r="O2942" s="25"/>
      <c r="P2942" s="25"/>
    </row>
    <row r="2943" ht="15.75" customHeight="1">
      <c r="A2943" s="25" t="str">
        <f>IFERROR(__xludf.DUMMYFUNCTION("IF(B2943="""","""",RIGHT(REGEXREPLACE(B2943&amp;"""",""[^0-9]"",""""),9))"),"778325970")</f>
        <v>778325970</v>
      </c>
      <c r="B2943" s="52">
        <v>7.7832597E8</v>
      </c>
      <c r="C2943" s="28" t="s">
        <v>3100</v>
      </c>
      <c r="D2943" s="26" t="s">
        <v>64</v>
      </c>
      <c r="E2943" s="31">
        <v>46230.0</v>
      </c>
      <c r="F2943" s="26" t="s">
        <v>84</v>
      </c>
      <c r="H2943" s="26" t="s">
        <v>1526</v>
      </c>
      <c r="I2943" s="26" t="s">
        <v>42</v>
      </c>
      <c r="J2943" s="25" t="str">
        <f t="shared" si="40"/>
        <v>No</v>
      </c>
      <c r="K2943" s="25" t="str">
        <f t="shared" si="41"/>
        <v/>
      </c>
      <c r="L2943" s="25" t="str">
        <f t="shared" si="42"/>
        <v/>
      </c>
      <c r="M2943" s="25"/>
      <c r="O2943" s="25"/>
    </row>
    <row r="2944" ht="15.75" customHeight="1">
      <c r="A2944" s="25" t="str">
        <f>IFERROR(__xludf.DUMMYFUNCTION("IF(B2944="""","""",RIGHT(REGEXREPLACE(B2944&amp;"""",""[^0-9]"",""""),9))"),"741744507")</f>
        <v>741744507</v>
      </c>
      <c r="B2944" s="52">
        <v>7.41744507E8</v>
      </c>
      <c r="C2944" s="28" t="s">
        <v>3101</v>
      </c>
      <c r="D2944" s="26" t="s">
        <v>82</v>
      </c>
      <c r="E2944" s="31">
        <v>46230.0</v>
      </c>
      <c r="F2944" s="26" t="s">
        <v>46</v>
      </c>
      <c r="G2944" s="26">
        <v>11.0</v>
      </c>
      <c r="I2944" s="26" t="s">
        <v>42</v>
      </c>
      <c r="J2944" s="25" t="str">
        <f t="shared" si="40"/>
        <v>No</v>
      </c>
      <c r="K2944" s="25" t="str">
        <f t="shared" si="41"/>
        <v/>
      </c>
      <c r="L2944" s="25" t="str">
        <f t="shared" si="42"/>
        <v/>
      </c>
      <c r="M2944" s="25"/>
      <c r="O2944" s="25"/>
    </row>
    <row r="2945" ht="15.75" customHeight="1">
      <c r="A2945" s="25" t="str">
        <f>IFERROR(__xludf.DUMMYFUNCTION("IF(B2945="""","""",RIGHT(REGEXREPLACE(B2945&amp;"""",""[^0-9]"",""""),9))"),"775465201")</f>
        <v>775465201</v>
      </c>
      <c r="B2945" s="52">
        <v>7.75465201E8</v>
      </c>
      <c r="C2945" s="28" t="s">
        <v>2241</v>
      </c>
      <c r="D2945" s="26" t="s">
        <v>49</v>
      </c>
      <c r="E2945" s="31">
        <v>46230.0</v>
      </c>
      <c r="F2945" s="26" t="s">
        <v>659</v>
      </c>
      <c r="G2945" s="26">
        <v>11.0</v>
      </c>
      <c r="I2945" s="26" t="s">
        <v>42</v>
      </c>
      <c r="J2945" s="25" t="str">
        <f t="shared" si="40"/>
        <v>Yes - see Previous F-Code</v>
      </c>
      <c r="K2945" s="25" t="str">
        <f t="shared" si="41"/>
        <v>DUPLICATE - CHECK</v>
      </c>
      <c r="L2945" s="25" t="str">
        <f t="shared" si="42"/>
        <v>F71939</v>
      </c>
      <c r="M2945" s="25"/>
      <c r="O2945" s="25"/>
    </row>
    <row r="2946" ht="15.75" customHeight="1">
      <c r="A2946" s="25" t="str">
        <f>IFERROR(__xludf.DUMMYFUNCTION("IF(B2946="""","""",RIGHT(REGEXREPLACE(B2946&amp;"""",""[^0-9]"",""""),9))"),"705564010")</f>
        <v>705564010</v>
      </c>
      <c r="B2946" s="52">
        <v>7.0556401E8</v>
      </c>
      <c r="C2946" s="28" t="s">
        <v>3102</v>
      </c>
      <c r="D2946" s="26" t="s">
        <v>64</v>
      </c>
      <c r="E2946" s="31">
        <v>46230.0</v>
      </c>
      <c r="F2946" s="26" t="s">
        <v>46</v>
      </c>
      <c r="G2946" s="26">
        <v>11.0</v>
      </c>
      <c r="H2946" s="26" t="s">
        <v>1526</v>
      </c>
      <c r="I2946" s="26" t="s">
        <v>42</v>
      </c>
      <c r="J2946" s="25" t="str">
        <f t="shared" si="40"/>
        <v>No</v>
      </c>
      <c r="K2946" s="25" t="str">
        <f t="shared" si="41"/>
        <v/>
      </c>
      <c r="L2946" s="25" t="str">
        <f t="shared" si="42"/>
        <v/>
      </c>
      <c r="M2946" s="25"/>
      <c r="O2946" s="25"/>
    </row>
    <row r="2947" ht="15.75" customHeight="1">
      <c r="A2947" s="25" t="str">
        <f>IFERROR(__xludf.DUMMYFUNCTION("IF(B2947="""","""",RIGHT(REGEXREPLACE(B2947&amp;"""",""[^0-9]"",""""),9))"),"775458837")</f>
        <v>775458837</v>
      </c>
      <c r="B2947" s="52">
        <v>7.75458837E8</v>
      </c>
      <c r="C2947" s="28" t="s">
        <v>3103</v>
      </c>
      <c r="D2947" s="26" t="s">
        <v>56</v>
      </c>
      <c r="E2947" s="31">
        <v>46230.0</v>
      </c>
      <c r="F2947" s="25"/>
      <c r="G2947" s="25"/>
      <c r="H2947" s="25"/>
      <c r="I2947" s="26" t="s">
        <v>42</v>
      </c>
      <c r="J2947" s="25" t="str">
        <f t="shared" si="40"/>
        <v>No</v>
      </c>
      <c r="K2947" s="25" t="str">
        <f t="shared" si="41"/>
        <v/>
      </c>
      <c r="L2947" s="25" t="str">
        <f t="shared" si="42"/>
        <v/>
      </c>
      <c r="M2947" s="25"/>
      <c r="N2947" s="25"/>
      <c r="O2947" s="25"/>
      <c r="P2947" s="25"/>
    </row>
    <row r="2948" ht="15.75" customHeight="1">
      <c r="A2948" s="25" t="str">
        <f>IFERROR(__xludf.DUMMYFUNCTION("IF(B2948="""","""",RIGHT(REGEXREPLACE(B2948&amp;"""",""[^0-9]"",""""),9))"),"743314994")</f>
        <v>743314994</v>
      </c>
      <c r="B2948" s="52">
        <v>7.43314994E8</v>
      </c>
      <c r="C2948" s="28" t="s">
        <v>3104</v>
      </c>
      <c r="D2948" s="26" t="s">
        <v>49</v>
      </c>
      <c r="E2948" s="31">
        <v>46230.0</v>
      </c>
      <c r="F2948" s="26" t="s">
        <v>659</v>
      </c>
      <c r="G2948" s="26">
        <v>11.0</v>
      </c>
      <c r="I2948" s="26" t="s">
        <v>42</v>
      </c>
      <c r="J2948" s="25" t="str">
        <f t="shared" si="40"/>
        <v>No</v>
      </c>
      <c r="K2948" s="25" t="str">
        <f t="shared" si="41"/>
        <v/>
      </c>
      <c r="L2948" s="25" t="str">
        <f t="shared" si="42"/>
        <v/>
      </c>
      <c r="M2948" s="25"/>
      <c r="O2948" s="25"/>
    </row>
    <row r="2949" ht="15.75" customHeight="1">
      <c r="A2949" s="25" t="str">
        <f>IFERROR(__xludf.DUMMYFUNCTION("IF(B2949="""","""",RIGHT(REGEXREPLACE(B2949&amp;"""",""[^0-9]"",""""),9))"),"762561304")</f>
        <v>762561304</v>
      </c>
      <c r="B2949" s="52">
        <v>7.62561304E8</v>
      </c>
      <c r="C2949" s="28" t="s">
        <v>3105</v>
      </c>
      <c r="D2949" s="26" t="s">
        <v>69</v>
      </c>
      <c r="E2949" s="31">
        <v>46230.0</v>
      </c>
      <c r="F2949" s="26" t="s">
        <v>41</v>
      </c>
      <c r="I2949" s="26" t="s">
        <v>42</v>
      </c>
      <c r="J2949" s="25" t="str">
        <f t="shared" si="40"/>
        <v>No</v>
      </c>
      <c r="K2949" s="25" t="str">
        <f t="shared" si="41"/>
        <v/>
      </c>
      <c r="L2949" s="25" t="str">
        <f t="shared" si="42"/>
        <v/>
      </c>
      <c r="M2949" s="25"/>
      <c r="O2949" s="25"/>
    </row>
    <row r="2950" ht="15.75" customHeight="1">
      <c r="A2950" s="25" t="str">
        <f>IFERROR(__xludf.DUMMYFUNCTION("IF(B2950="""","""",RIGHT(REGEXREPLACE(B2950&amp;"""",""[^0-9]"",""""),9))"),"768911580")</f>
        <v>768911580</v>
      </c>
      <c r="B2950" s="52">
        <v>7.6891158E8</v>
      </c>
      <c r="C2950" s="28" t="s">
        <v>3106</v>
      </c>
      <c r="D2950" s="26" t="s">
        <v>49</v>
      </c>
      <c r="E2950" s="31">
        <v>46230.0</v>
      </c>
      <c r="F2950" s="26" t="s">
        <v>125</v>
      </c>
      <c r="G2950" s="26">
        <v>11.0</v>
      </c>
      <c r="I2950" s="26" t="s">
        <v>42</v>
      </c>
      <c r="J2950" s="25" t="str">
        <f t="shared" si="40"/>
        <v>No</v>
      </c>
      <c r="K2950" s="25" t="str">
        <f t="shared" si="41"/>
        <v/>
      </c>
      <c r="L2950" s="25" t="str">
        <f t="shared" si="42"/>
        <v/>
      </c>
      <c r="M2950" s="25"/>
      <c r="O2950" s="25"/>
    </row>
    <row r="2951" ht="15.75" customHeight="1">
      <c r="A2951" s="25" t="str">
        <f>IFERROR(__xludf.DUMMYFUNCTION("IF(B2951="""","""",RIGHT(REGEXREPLACE(B2951&amp;"""",""[^0-9]"",""""),9))"),"757238655")</f>
        <v>757238655</v>
      </c>
      <c r="B2951" s="52">
        <v>7.57238655E8</v>
      </c>
      <c r="C2951" s="28" t="s">
        <v>3107</v>
      </c>
      <c r="D2951" s="26" t="s">
        <v>49</v>
      </c>
      <c r="E2951" s="31">
        <v>46230.0</v>
      </c>
      <c r="F2951" s="26" t="s">
        <v>205</v>
      </c>
      <c r="I2951" s="26" t="s">
        <v>42</v>
      </c>
      <c r="J2951" s="25" t="str">
        <f t="shared" si="40"/>
        <v>No</v>
      </c>
      <c r="K2951" s="25" t="str">
        <f t="shared" si="41"/>
        <v/>
      </c>
      <c r="L2951" s="25" t="str">
        <f t="shared" si="42"/>
        <v/>
      </c>
      <c r="M2951" s="25"/>
      <c r="O2951" s="25"/>
    </row>
    <row r="2952" ht="15.75" customHeight="1">
      <c r="A2952" s="25" t="str">
        <f>IFERROR(__xludf.DUMMYFUNCTION("IF(B2952="""","""",RIGHT(REGEXREPLACE(B2952&amp;"""",""[^0-9]"",""""),9))"),"766453267")</f>
        <v>766453267</v>
      </c>
      <c r="B2952" s="52">
        <v>7.66453267E8</v>
      </c>
      <c r="C2952" s="28" t="s">
        <v>3108</v>
      </c>
      <c r="D2952" s="26" t="s">
        <v>82</v>
      </c>
      <c r="E2952" s="31">
        <v>46230.0</v>
      </c>
      <c r="F2952" s="26" t="s">
        <v>46</v>
      </c>
      <c r="G2952" s="26">
        <v>10.0</v>
      </c>
      <c r="I2952" s="26" t="s">
        <v>42</v>
      </c>
      <c r="J2952" s="25" t="str">
        <f t="shared" si="40"/>
        <v>No</v>
      </c>
      <c r="K2952" s="25" t="str">
        <f t="shared" si="41"/>
        <v/>
      </c>
      <c r="L2952" s="25" t="str">
        <f t="shared" si="42"/>
        <v/>
      </c>
      <c r="M2952" s="25"/>
      <c r="O2952" s="25"/>
    </row>
    <row r="2953" ht="15.75" customHeight="1">
      <c r="A2953" s="25" t="str">
        <f>IFERROR(__xludf.DUMMYFUNCTION("IF(B2953="""","""",RIGHT(REGEXREPLACE(B2953&amp;"""",""[^0-9]"",""""),9))"),"741621524")</f>
        <v>741621524</v>
      </c>
      <c r="B2953" s="26">
        <v>7.41621524E8</v>
      </c>
      <c r="C2953" s="28" t="s">
        <v>3109</v>
      </c>
      <c r="D2953" s="26" t="s">
        <v>56</v>
      </c>
      <c r="E2953" s="31">
        <v>46230.0</v>
      </c>
      <c r="F2953" s="26" t="s">
        <v>46</v>
      </c>
      <c r="G2953" s="26">
        <v>9.0</v>
      </c>
      <c r="I2953" s="26" t="s">
        <v>42</v>
      </c>
      <c r="J2953" s="25" t="str">
        <f t="shared" si="40"/>
        <v>No</v>
      </c>
      <c r="K2953" s="25" t="str">
        <f t="shared" si="41"/>
        <v/>
      </c>
      <c r="L2953" s="25" t="str">
        <f t="shared" si="42"/>
        <v/>
      </c>
      <c r="M2953" s="25"/>
      <c r="O2953" s="25"/>
    </row>
    <row r="2954" ht="15.75" customHeight="1">
      <c r="A2954" s="25" t="str">
        <f>IFERROR(__xludf.DUMMYFUNCTION("IF(B2954="""","""",RIGHT(REGEXREPLACE(B2954&amp;"""",""[^0-9]"",""""),9))"),"787432491")</f>
        <v>787432491</v>
      </c>
      <c r="B2954" s="52">
        <v>7.87432491E8</v>
      </c>
      <c r="C2954" s="28" t="s">
        <v>3110</v>
      </c>
      <c r="D2954" s="26" t="s">
        <v>69</v>
      </c>
      <c r="E2954" s="31">
        <v>46230.0</v>
      </c>
      <c r="F2954" s="26" t="s">
        <v>46</v>
      </c>
      <c r="G2954" s="26">
        <v>8.0</v>
      </c>
      <c r="I2954" s="26" t="s">
        <v>42</v>
      </c>
      <c r="J2954" s="25" t="str">
        <f t="shared" si="40"/>
        <v>No</v>
      </c>
      <c r="K2954" s="25" t="str">
        <f t="shared" si="41"/>
        <v/>
      </c>
      <c r="L2954" s="25" t="str">
        <f t="shared" si="42"/>
        <v/>
      </c>
      <c r="M2954" s="25"/>
      <c r="O2954" s="25"/>
    </row>
    <row r="2955" ht="15.75" customHeight="1">
      <c r="A2955" s="25" t="str">
        <f>IFERROR(__xludf.DUMMYFUNCTION("IF(B2955="""","""",RIGHT(REGEXREPLACE(B2955&amp;"""",""[^0-9]"",""""),9))"),"776863175")</f>
        <v>776863175</v>
      </c>
      <c r="B2955" s="52">
        <v>7.76863175E8</v>
      </c>
      <c r="C2955" s="28" t="s">
        <v>3111</v>
      </c>
      <c r="D2955" s="26" t="s">
        <v>49</v>
      </c>
      <c r="E2955" s="31">
        <v>46230.0</v>
      </c>
      <c r="F2955" s="26" t="s">
        <v>46</v>
      </c>
      <c r="G2955" s="26">
        <v>11.0</v>
      </c>
      <c r="I2955" s="26" t="s">
        <v>42</v>
      </c>
      <c r="J2955" s="25" t="str">
        <f t="shared" si="40"/>
        <v>No</v>
      </c>
      <c r="K2955" s="25" t="str">
        <f t="shared" si="41"/>
        <v/>
      </c>
      <c r="L2955" s="25" t="str">
        <f t="shared" si="42"/>
        <v/>
      </c>
      <c r="M2955" s="25"/>
      <c r="O2955" s="25"/>
    </row>
    <row r="2956" ht="15.75" customHeight="1">
      <c r="A2956" s="25" t="str">
        <f>IFERROR(__xludf.DUMMYFUNCTION("IF(B2956="""","""",RIGHT(REGEXREPLACE(B2956&amp;"""",""[^0-9]"",""""),9))"),"710161596")</f>
        <v>710161596</v>
      </c>
      <c r="B2956" s="52">
        <v>7.10161596E8</v>
      </c>
      <c r="C2956" s="28" t="s">
        <v>3112</v>
      </c>
      <c r="D2956" s="26" t="s">
        <v>56</v>
      </c>
      <c r="E2956" s="31">
        <v>46230.0</v>
      </c>
      <c r="F2956" s="26" t="s">
        <v>46</v>
      </c>
      <c r="G2956" s="26">
        <v>11.0</v>
      </c>
      <c r="I2956" s="26" t="s">
        <v>42</v>
      </c>
      <c r="J2956" s="25" t="str">
        <f t="shared" si="40"/>
        <v>No</v>
      </c>
      <c r="K2956" s="25" t="str">
        <f t="shared" si="41"/>
        <v/>
      </c>
      <c r="L2956" s="25" t="str">
        <f t="shared" si="42"/>
        <v/>
      </c>
      <c r="M2956" s="25"/>
      <c r="O2956" s="25"/>
    </row>
    <row r="2957" ht="15.75" customHeight="1">
      <c r="A2957" s="25" t="str">
        <f>IFERROR(__xludf.DUMMYFUNCTION("IF(B2957="""","""",RIGHT(REGEXREPLACE(B2957&amp;"""",""[^0-9]"",""""),9))"),"743688515")</f>
        <v>743688515</v>
      </c>
      <c r="B2957" s="52">
        <v>7.43688515E8</v>
      </c>
      <c r="C2957" s="28" t="s">
        <v>3113</v>
      </c>
      <c r="D2957" s="26" t="s">
        <v>69</v>
      </c>
      <c r="E2957" s="31">
        <v>46230.0</v>
      </c>
      <c r="F2957" s="26" t="s">
        <v>46</v>
      </c>
      <c r="G2957" s="26">
        <v>11.0</v>
      </c>
      <c r="I2957" s="26" t="s">
        <v>42</v>
      </c>
      <c r="J2957" s="25" t="str">
        <f t="shared" si="40"/>
        <v>No</v>
      </c>
      <c r="K2957" s="25" t="str">
        <f t="shared" si="41"/>
        <v/>
      </c>
      <c r="L2957" s="25" t="str">
        <f t="shared" si="42"/>
        <v/>
      </c>
      <c r="M2957" s="25"/>
      <c r="O2957" s="25"/>
    </row>
    <row r="2958" ht="15.75" customHeight="1">
      <c r="A2958" s="25" t="str">
        <f>IFERROR(__xludf.DUMMYFUNCTION("IF(B2958="""","""",RIGHT(REGEXREPLACE(B2958&amp;"""",""[^0-9]"",""""),9))"),"760317610")</f>
        <v>760317610</v>
      </c>
      <c r="B2958" s="52">
        <v>7.6031761E8</v>
      </c>
      <c r="C2958" s="28" t="s">
        <v>3114</v>
      </c>
      <c r="D2958" s="26" t="s">
        <v>49</v>
      </c>
      <c r="E2958" s="31">
        <v>46230.0</v>
      </c>
      <c r="F2958" s="26" t="s">
        <v>46</v>
      </c>
      <c r="G2958" s="26">
        <v>9.0</v>
      </c>
      <c r="I2958" s="26" t="s">
        <v>42</v>
      </c>
      <c r="J2958" s="25" t="str">
        <f t="shared" si="40"/>
        <v>No</v>
      </c>
      <c r="K2958" s="25" t="str">
        <f t="shared" si="41"/>
        <v/>
      </c>
      <c r="L2958" s="25" t="str">
        <f t="shared" si="42"/>
        <v/>
      </c>
      <c r="M2958" s="25"/>
      <c r="O2958" s="26" t="s">
        <v>51</v>
      </c>
    </row>
    <row r="2959" ht="15.75" customHeight="1">
      <c r="A2959" s="25" t="str">
        <f>IFERROR(__xludf.DUMMYFUNCTION("IF(B2959="""","""",RIGHT(REGEXREPLACE(B2959&amp;"""",""[^0-9]"",""""),9))"),"741650192")</f>
        <v>741650192</v>
      </c>
      <c r="B2959" s="52">
        <v>7.41650192E8</v>
      </c>
      <c r="C2959" s="28" t="s">
        <v>3115</v>
      </c>
      <c r="D2959" s="26" t="s">
        <v>82</v>
      </c>
      <c r="E2959" s="31">
        <v>46230.0</v>
      </c>
      <c r="F2959" s="26" t="s">
        <v>704</v>
      </c>
      <c r="I2959" s="26" t="s">
        <v>42</v>
      </c>
      <c r="J2959" s="25" t="str">
        <f t="shared" si="40"/>
        <v>No</v>
      </c>
      <c r="K2959" s="25" t="str">
        <f t="shared" si="41"/>
        <v/>
      </c>
      <c r="L2959" s="25" t="str">
        <f t="shared" si="42"/>
        <v/>
      </c>
      <c r="M2959" s="25"/>
      <c r="O2959" s="25"/>
    </row>
    <row r="2960" ht="15.75" customHeight="1">
      <c r="A2960" s="25" t="str">
        <f>IFERROR(__xludf.DUMMYFUNCTION("IF(B2960="""","""",RIGHT(REGEXREPLACE(B2960&amp;"""",""[^0-9]"",""""),9))"),"786281203")</f>
        <v>786281203</v>
      </c>
      <c r="B2960" s="52">
        <v>7.86281203E8</v>
      </c>
      <c r="C2960" s="28" t="s">
        <v>3116</v>
      </c>
      <c r="D2960" s="26" t="s">
        <v>64</v>
      </c>
      <c r="E2960" s="31">
        <v>46230.0</v>
      </c>
      <c r="F2960" s="26" t="s">
        <v>205</v>
      </c>
      <c r="H2960" s="26" t="s">
        <v>1526</v>
      </c>
      <c r="I2960" s="26" t="s">
        <v>42</v>
      </c>
      <c r="J2960" s="25" t="str">
        <f t="shared" si="40"/>
        <v>No</v>
      </c>
      <c r="K2960" s="25" t="str">
        <f t="shared" si="41"/>
        <v/>
      </c>
      <c r="L2960" s="25" t="str">
        <f t="shared" si="42"/>
        <v/>
      </c>
      <c r="M2960" s="25"/>
      <c r="O2960" s="25"/>
    </row>
    <row r="2961" ht="15.75" customHeight="1">
      <c r="A2961" s="25" t="str">
        <f>IFERROR(__xludf.DUMMYFUNCTION("IF(B2961="""","""",RIGHT(REGEXREPLACE(B2961&amp;"""",""[^0-9]"",""""),9))"),"703728354")</f>
        <v>703728354</v>
      </c>
      <c r="B2961" s="52">
        <v>7.03728354E8</v>
      </c>
      <c r="C2961" s="28" t="s">
        <v>3117</v>
      </c>
      <c r="D2961" s="26" t="s">
        <v>56</v>
      </c>
      <c r="E2961" s="31">
        <v>46230.0</v>
      </c>
      <c r="F2961" s="26" t="s">
        <v>41</v>
      </c>
      <c r="G2961" s="26">
        <v>11.0</v>
      </c>
      <c r="I2961" s="26" t="s">
        <v>42</v>
      </c>
      <c r="J2961" s="25" t="str">
        <f t="shared" si="40"/>
        <v>No</v>
      </c>
      <c r="K2961" s="25" t="str">
        <f t="shared" si="41"/>
        <v/>
      </c>
      <c r="L2961" s="25" t="str">
        <f t="shared" si="42"/>
        <v/>
      </c>
      <c r="M2961" s="25"/>
      <c r="O2961" s="25"/>
    </row>
    <row r="2962" ht="15.75" customHeight="1">
      <c r="A2962" s="25" t="str">
        <f>IFERROR(__xludf.DUMMYFUNCTION("IF(B2962="""","""",RIGHT(REGEXREPLACE(B2962&amp;"""",""[^0-9]"",""""),9))"),"717449994")</f>
        <v>717449994</v>
      </c>
      <c r="B2962" s="52">
        <v>7.17449994E8</v>
      </c>
      <c r="C2962" s="28" t="s">
        <v>3118</v>
      </c>
      <c r="D2962" s="26" t="s">
        <v>49</v>
      </c>
      <c r="E2962" s="31">
        <v>46230.0</v>
      </c>
      <c r="F2962" s="26" t="s">
        <v>205</v>
      </c>
      <c r="G2962" s="26">
        <v>11.0</v>
      </c>
      <c r="I2962" s="26" t="s">
        <v>42</v>
      </c>
      <c r="J2962" s="25" t="str">
        <f t="shared" si="40"/>
        <v>No</v>
      </c>
      <c r="K2962" s="25" t="str">
        <f t="shared" si="41"/>
        <v/>
      </c>
      <c r="L2962" s="25" t="str">
        <f t="shared" si="42"/>
        <v/>
      </c>
      <c r="M2962" s="25"/>
      <c r="O2962" s="25"/>
    </row>
    <row r="2963" ht="15.75" customHeight="1">
      <c r="A2963" s="25" t="str">
        <f>IFERROR(__xludf.DUMMYFUNCTION("IF(B2963="""","""",RIGHT(REGEXREPLACE(B2963&amp;"""",""[^0-9]"",""""),9))"),"711663381")</f>
        <v>711663381</v>
      </c>
      <c r="B2963" s="52">
        <v>7.11663381E8</v>
      </c>
      <c r="C2963" s="28" t="s">
        <v>3119</v>
      </c>
      <c r="D2963" s="26" t="s">
        <v>69</v>
      </c>
      <c r="E2963" s="31">
        <v>46230.0</v>
      </c>
      <c r="F2963" s="26" t="s">
        <v>41</v>
      </c>
      <c r="I2963" s="26" t="s">
        <v>42</v>
      </c>
      <c r="J2963" s="25" t="str">
        <f t="shared" si="40"/>
        <v>No</v>
      </c>
      <c r="K2963" s="25" t="str">
        <f t="shared" si="41"/>
        <v/>
      </c>
      <c r="L2963" s="25" t="str">
        <f t="shared" si="42"/>
        <v/>
      </c>
      <c r="M2963" s="25"/>
      <c r="O2963" s="25"/>
    </row>
    <row r="2964" ht="15.75" customHeight="1">
      <c r="A2964" s="25" t="str">
        <f>IFERROR(__xludf.DUMMYFUNCTION("IF(B2964="""","""",RIGHT(REGEXREPLACE(B2964&amp;"""",""[^0-9]"",""""),9))"),"714690136")</f>
        <v>714690136</v>
      </c>
      <c r="B2964" s="52">
        <v>7.14690136E8</v>
      </c>
      <c r="C2964" s="28" t="s">
        <v>2278</v>
      </c>
      <c r="D2964" s="26" t="s">
        <v>64</v>
      </c>
      <c r="E2964" s="31">
        <v>46230.0</v>
      </c>
      <c r="F2964" s="26" t="s">
        <v>41</v>
      </c>
      <c r="G2964" s="26">
        <v>11.0</v>
      </c>
      <c r="H2964" s="26" t="s">
        <v>1526</v>
      </c>
      <c r="I2964" s="26" t="s">
        <v>42</v>
      </c>
      <c r="J2964" s="25" t="str">
        <f t="shared" si="40"/>
        <v>Yes - see Previous F-Code</v>
      </c>
      <c r="K2964" s="25" t="str">
        <f t="shared" si="41"/>
        <v>DUPLICATE - CHECK</v>
      </c>
      <c r="L2964" s="25" t="str">
        <f t="shared" si="42"/>
        <v>F71976</v>
      </c>
      <c r="M2964" s="25"/>
      <c r="O2964" s="25"/>
    </row>
    <row r="2965" ht="15.75" customHeight="1">
      <c r="A2965" s="25" t="str">
        <f>IFERROR(__xludf.DUMMYFUNCTION("IF(B2965="""","""",RIGHT(REGEXREPLACE(B2965&amp;"""",""[^0-9]"",""""),9))"),"703863033")</f>
        <v>703863033</v>
      </c>
      <c r="B2965" s="52">
        <v>7.03863033E8</v>
      </c>
      <c r="C2965" s="28" t="s">
        <v>3120</v>
      </c>
      <c r="D2965" s="26" t="s">
        <v>82</v>
      </c>
      <c r="E2965" s="31">
        <v>46230.0</v>
      </c>
      <c r="F2965" s="26" t="s">
        <v>46</v>
      </c>
      <c r="G2965" s="26">
        <v>11.0</v>
      </c>
      <c r="I2965" s="26" t="s">
        <v>42</v>
      </c>
      <c r="J2965" s="25" t="str">
        <f t="shared" si="40"/>
        <v>No</v>
      </c>
      <c r="K2965" s="25" t="str">
        <f t="shared" si="41"/>
        <v/>
      </c>
      <c r="L2965" s="25" t="str">
        <f t="shared" si="42"/>
        <v/>
      </c>
      <c r="M2965" s="25"/>
      <c r="O2965" s="25"/>
    </row>
    <row r="2966" ht="15.75" customHeight="1">
      <c r="A2966" s="25" t="str">
        <f>IFERROR(__xludf.DUMMYFUNCTION("IF(B2966="""","""",RIGHT(REGEXREPLACE(B2966&amp;"""",""[^0-9]"",""""),9))"),"772540588")</f>
        <v>772540588</v>
      </c>
      <c r="B2966" s="52">
        <v>7.72540588E8</v>
      </c>
      <c r="C2966" s="28" t="s">
        <v>3121</v>
      </c>
      <c r="D2966" s="26" t="s">
        <v>49</v>
      </c>
      <c r="E2966" s="31">
        <v>46230.0</v>
      </c>
      <c r="F2966" s="26" t="s">
        <v>46</v>
      </c>
      <c r="G2966" s="26">
        <v>11.0</v>
      </c>
      <c r="I2966" s="26" t="s">
        <v>42</v>
      </c>
      <c r="J2966" s="25" t="str">
        <f t="shared" si="40"/>
        <v>No</v>
      </c>
      <c r="K2966" s="25" t="str">
        <f t="shared" si="41"/>
        <v/>
      </c>
      <c r="L2966" s="25" t="str">
        <f t="shared" si="42"/>
        <v/>
      </c>
      <c r="M2966" s="25"/>
      <c r="O2966" s="25"/>
    </row>
    <row r="2967" ht="15.75" customHeight="1">
      <c r="A2967" s="25" t="str">
        <f>IFERROR(__xludf.DUMMYFUNCTION("IF(B2967="""","""",RIGHT(REGEXREPLACE(B2967&amp;"""",""[^0-9]"",""""),9))"),"773306609")</f>
        <v>773306609</v>
      </c>
      <c r="B2967" s="52">
        <v>7.73306609E8</v>
      </c>
      <c r="C2967" s="28" t="s">
        <v>3122</v>
      </c>
      <c r="D2967" s="26" t="s">
        <v>45</v>
      </c>
      <c r="E2967" s="31">
        <v>46230.0</v>
      </c>
      <c r="F2967" s="26" t="s">
        <v>46</v>
      </c>
      <c r="G2967" s="26">
        <v>11.0</v>
      </c>
      <c r="H2967" s="26" t="s">
        <v>2605</v>
      </c>
      <c r="I2967" s="26" t="s">
        <v>42</v>
      </c>
      <c r="J2967" s="25" t="str">
        <f t="shared" si="40"/>
        <v>No</v>
      </c>
      <c r="K2967" s="25" t="str">
        <f t="shared" si="41"/>
        <v/>
      </c>
      <c r="L2967" s="25" t="str">
        <f t="shared" si="42"/>
        <v/>
      </c>
      <c r="M2967" s="25"/>
      <c r="O2967" s="25"/>
    </row>
    <row r="2968" ht="15.75" customHeight="1">
      <c r="A2968" s="25" t="str">
        <f>IFERROR(__xludf.DUMMYFUNCTION("IF(B2968="""","""",RIGHT(REGEXREPLACE(B2968&amp;"""",""[^0-9]"",""""),9))"),"728194507")</f>
        <v>728194507</v>
      </c>
      <c r="B2968" s="52">
        <v>7.28194507E8</v>
      </c>
      <c r="C2968" s="28" t="s">
        <v>3123</v>
      </c>
      <c r="D2968" s="26" t="s">
        <v>69</v>
      </c>
      <c r="E2968" s="31">
        <v>46230.0</v>
      </c>
      <c r="F2968" s="26" t="s">
        <v>205</v>
      </c>
      <c r="I2968" s="26" t="s">
        <v>42</v>
      </c>
      <c r="J2968" s="25" t="str">
        <f t="shared" si="40"/>
        <v>No</v>
      </c>
      <c r="K2968" s="25" t="str">
        <f t="shared" si="41"/>
        <v/>
      </c>
      <c r="L2968" s="25" t="str">
        <f t="shared" si="42"/>
        <v/>
      </c>
      <c r="M2968" s="25"/>
      <c r="O2968" s="25"/>
    </row>
    <row r="2969" ht="15.75" customHeight="1">
      <c r="A2969" s="25" t="str">
        <f>IFERROR(__xludf.DUMMYFUNCTION("IF(B2969="""","""",RIGHT(REGEXREPLACE(B2969&amp;"""",""[^0-9]"",""""),9))"),"743363119")</f>
        <v>743363119</v>
      </c>
      <c r="B2969" s="52">
        <v>7.43363119E8</v>
      </c>
      <c r="C2969" s="28" t="s">
        <v>3124</v>
      </c>
      <c r="D2969" s="26" t="s">
        <v>56</v>
      </c>
      <c r="E2969" s="31">
        <v>46230.0</v>
      </c>
      <c r="F2969" s="26" t="s">
        <v>84</v>
      </c>
      <c r="G2969" s="26">
        <v>10.0</v>
      </c>
      <c r="I2969" s="26" t="s">
        <v>42</v>
      </c>
      <c r="J2969" s="25" t="str">
        <f t="shared" si="40"/>
        <v>No</v>
      </c>
      <c r="K2969" s="25" t="str">
        <f t="shared" si="41"/>
        <v/>
      </c>
      <c r="L2969" s="25" t="str">
        <f t="shared" si="42"/>
        <v/>
      </c>
      <c r="M2969" s="25"/>
      <c r="O2969" s="25"/>
    </row>
    <row r="2970" ht="15.75" customHeight="1">
      <c r="A2970" s="25" t="str">
        <f>IFERROR(__xludf.DUMMYFUNCTION("IF(B2970="""","""",RIGHT(REGEXREPLACE(B2970&amp;"""",""[^0-9]"",""""),9))"),"753630412")</f>
        <v>753630412</v>
      </c>
      <c r="B2970" s="52">
        <v>7.53630412E8</v>
      </c>
      <c r="C2970" s="28" t="s">
        <v>3125</v>
      </c>
      <c r="D2970" s="26" t="s">
        <v>45</v>
      </c>
      <c r="E2970" s="31">
        <v>46230.0</v>
      </c>
      <c r="F2970" s="26" t="s">
        <v>46</v>
      </c>
      <c r="G2970" s="26">
        <v>10.0</v>
      </c>
      <c r="H2970" s="26" t="s">
        <v>2605</v>
      </c>
      <c r="I2970" s="26" t="s">
        <v>42</v>
      </c>
      <c r="J2970" s="25" t="str">
        <f t="shared" si="40"/>
        <v>No</v>
      </c>
      <c r="K2970" s="25" t="str">
        <f t="shared" si="41"/>
        <v/>
      </c>
      <c r="L2970" s="25" t="str">
        <f t="shared" si="42"/>
        <v/>
      </c>
      <c r="M2970" s="25"/>
      <c r="O2970" s="25"/>
    </row>
    <row r="2971" ht="15.75" customHeight="1">
      <c r="A2971" s="25" t="str">
        <f>IFERROR(__xludf.DUMMYFUNCTION("IF(B2971="""","""",RIGHT(REGEXREPLACE(B2971&amp;"""",""[^0-9]"",""""),9))"),"761419229")</f>
        <v>761419229</v>
      </c>
      <c r="B2971" s="52">
        <v>7.61419229E8</v>
      </c>
      <c r="C2971" s="28" t="s">
        <v>3126</v>
      </c>
      <c r="D2971" s="26" t="s">
        <v>64</v>
      </c>
      <c r="E2971" s="31">
        <v>46230.0</v>
      </c>
      <c r="F2971" s="26" t="s">
        <v>46</v>
      </c>
      <c r="G2971" s="26">
        <v>9.0</v>
      </c>
      <c r="H2971" s="26" t="s">
        <v>1526</v>
      </c>
      <c r="I2971" s="26" t="s">
        <v>42</v>
      </c>
      <c r="J2971" s="25" t="str">
        <f t="shared" si="40"/>
        <v>No</v>
      </c>
      <c r="K2971" s="25" t="str">
        <f t="shared" si="41"/>
        <v/>
      </c>
      <c r="L2971" s="25" t="str">
        <f t="shared" si="42"/>
        <v/>
      </c>
      <c r="M2971" s="25"/>
      <c r="O2971" s="25"/>
    </row>
    <row r="2972" ht="15.75" customHeight="1">
      <c r="A2972" s="25" t="str">
        <f>IFERROR(__xludf.DUMMYFUNCTION("IF(B2972="""","""",RIGHT(REGEXREPLACE(B2972&amp;"""",""[^0-9]"",""""),9))"),"784825515")</f>
        <v>784825515</v>
      </c>
      <c r="B2972" s="52">
        <v>7.84825515E8</v>
      </c>
      <c r="C2972" s="28" t="s">
        <v>3127</v>
      </c>
      <c r="D2972" s="26" t="s">
        <v>45</v>
      </c>
      <c r="E2972" s="31">
        <v>46230.0</v>
      </c>
      <c r="F2972" s="26" t="s">
        <v>125</v>
      </c>
      <c r="G2972" s="26">
        <v>10.0</v>
      </c>
      <c r="H2972" s="26" t="s">
        <v>2605</v>
      </c>
      <c r="I2972" s="26" t="s">
        <v>42</v>
      </c>
      <c r="J2972" s="25" t="str">
        <f t="shared" si="40"/>
        <v>No</v>
      </c>
      <c r="K2972" s="25" t="str">
        <f t="shared" si="41"/>
        <v/>
      </c>
      <c r="L2972" s="25" t="str">
        <f t="shared" si="42"/>
        <v/>
      </c>
      <c r="M2972" s="25"/>
      <c r="O2972" s="25"/>
    </row>
    <row r="2973" ht="15.75" customHeight="1">
      <c r="A2973" s="25" t="str">
        <f>IFERROR(__xludf.DUMMYFUNCTION("IF(B2973="""","""",RIGHT(REGEXREPLACE(B2973&amp;"""",""[^0-9]"",""""),9))"),"710112006")</f>
        <v>710112006</v>
      </c>
      <c r="B2973" s="52">
        <v>7.10112006E8</v>
      </c>
      <c r="C2973" s="28" t="s">
        <v>1395</v>
      </c>
      <c r="D2973" s="26" t="s">
        <v>69</v>
      </c>
      <c r="E2973" s="31">
        <v>46230.0</v>
      </c>
      <c r="F2973" s="26" t="s">
        <v>46</v>
      </c>
      <c r="G2973" s="26">
        <v>11.0</v>
      </c>
      <c r="I2973" s="26" t="s">
        <v>42</v>
      </c>
      <c r="J2973" s="25" t="str">
        <f t="shared" si="40"/>
        <v>Yes - see Previous F-Code</v>
      </c>
      <c r="K2973" s="25" t="str">
        <f t="shared" si="41"/>
        <v>DUPLICATE - CHECK</v>
      </c>
      <c r="L2973" s="25" t="str">
        <f t="shared" si="42"/>
        <v>F71122</v>
      </c>
      <c r="M2973" s="25"/>
      <c r="O2973" s="25"/>
    </row>
    <row r="2974" ht="15.75" customHeight="1">
      <c r="A2974" s="25" t="str">
        <f>IFERROR(__xludf.DUMMYFUNCTION("IF(B2974="""","""",RIGHT(REGEXREPLACE(B2974&amp;"""",""[^0-9]"",""""),9))"),"763518720")</f>
        <v>763518720</v>
      </c>
      <c r="B2974" s="52">
        <v>7.6351872E8</v>
      </c>
      <c r="C2974" s="28" t="s">
        <v>3128</v>
      </c>
      <c r="D2974" s="26" t="s">
        <v>49</v>
      </c>
      <c r="E2974" s="31">
        <v>46230.0</v>
      </c>
      <c r="F2974" s="26" t="s">
        <v>46</v>
      </c>
      <c r="G2974" s="26">
        <v>11.0</v>
      </c>
      <c r="I2974" s="26" t="s">
        <v>42</v>
      </c>
      <c r="J2974" s="25" t="str">
        <f t="shared" si="40"/>
        <v>No</v>
      </c>
      <c r="K2974" s="25" t="str">
        <f t="shared" si="41"/>
        <v/>
      </c>
      <c r="L2974" s="25" t="str">
        <f t="shared" si="42"/>
        <v/>
      </c>
      <c r="M2974" s="25"/>
      <c r="O2974" s="25"/>
    </row>
    <row r="2975" ht="15.75" customHeight="1">
      <c r="A2975" s="25" t="str">
        <f>IFERROR(__xludf.DUMMYFUNCTION("IF(B2975="""","""",RIGHT(REGEXREPLACE(B2975&amp;"""",""[^0-9]"",""""),9))"),"703452928")</f>
        <v>703452928</v>
      </c>
      <c r="B2975" s="52">
        <v>7.03452928E8</v>
      </c>
      <c r="C2975" s="28" t="s">
        <v>3129</v>
      </c>
      <c r="D2975" s="26" t="s">
        <v>45</v>
      </c>
      <c r="E2975" s="31">
        <v>46230.0</v>
      </c>
      <c r="F2975" s="26" t="s">
        <v>46</v>
      </c>
      <c r="G2975" s="26">
        <v>11.0</v>
      </c>
      <c r="H2975" s="26" t="s">
        <v>2605</v>
      </c>
      <c r="I2975" s="26" t="s">
        <v>42</v>
      </c>
      <c r="J2975" s="25" t="str">
        <f t="shared" si="40"/>
        <v>No</v>
      </c>
      <c r="K2975" s="25" t="str">
        <f t="shared" si="41"/>
        <v/>
      </c>
      <c r="L2975" s="25" t="str">
        <f t="shared" si="42"/>
        <v/>
      </c>
      <c r="M2975" s="25"/>
      <c r="O2975" s="25"/>
    </row>
    <row r="2976" ht="15.75" customHeight="1">
      <c r="A2976" s="25" t="str">
        <f>IFERROR(__xludf.DUMMYFUNCTION("IF(B2976="""","""",RIGHT(REGEXREPLACE(B2976&amp;"""",""[^0-9]"",""""),9))"),"769479551")</f>
        <v>769479551</v>
      </c>
      <c r="B2976" s="52">
        <v>7.69479551E8</v>
      </c>
      <c r="C2976" s="28" t="s">
        <v>3130</v>
      </c>
      <c r="D2976" s="26" t="s">
        <v>82</v>
      </c>
      <c r="E2976" s="31">
        <v>46230.0</v>
      </c>
      <c r="F2976" s="26" t="s">
        <v>205</v>
      </c>
      <c r="I2976" s="26" t="s">
        <v>42</v>
      </c>
      <c r="J2976" s="25" t="str">
        <f t="shared" si="40"/>
        <v>No</v>
      </c>
      <c r="K2976" s="25" t="str">
        <f t="shared" si="41"/>
        <v/>
      </c>
      <c r="L2976" s="25" t="str">
        <f t="shared" si="42"/>
        <v/>
      </c>
      <c r="M2976" s="25"/>
      <c r="O2976" s="25"/>
    </row>
    <row r="2977" ht="15.75" customHeight="1">
      <c r="A2977" s="25" t="str">
        <f>IFERROR(__xludf.DUMMYFUNCTION("IF(B2977="""","""",RIGHT(REGEXREPLACE(B2977&amp;"""",""[^0-9]"",""""),9))"),"701602428")</f>
        <v>701602428</v>
      </c>
      <c r="B2977" s="52">
        <v>7.01602428E8</v>
      </c>
      <c r="C2977" s="28" t="s">
        <v>3131</v>
      </c>
      <c r="D2977" s="26" t="s">
        <v>69</v>
      </c>
      <c r="E2977" s="31">
        <v>46230.0</v>
      </c>
      <c r="F2977" s="26" t="s">
        <v>46</v>
      </c>
      <c r="G2977" s="26">
        <v>11.0</v>
      </c>
      <c r="I2977" s="26" t="s">
        <v>42</v>
      </c>
      <c r="J2977" s="25" t="str">
        <f t="shared" si="40"/>
        <v>No</v>
      </c>
      <c r="K2977" s="25" t="str">
        <f t="shared" si="41"/>
        <v/>
      </c>
      <c r="L2977" s="25" t="str">
        <f t="shared" si="42"/>
        <v/>
      </c>
      <c r="M2977" s="25"/>
      <c r="O2977" s="25"/>
    </row>
    <row r="2978" ht="15.75" customHeight="1">
      <c r="A2978" s="25" t="str">
        <f>IFERROR(__xludf.DUMMYFUNCTION("IF(B2978="""","""",RIGHT(REGEXREPLACE(B2978&amp;"""",""[^0-9]"",""""),9))"),"764824862")</f>
        <v>764824862</v>
      </c>
      <c r="B2978" s="52">
        <v>7.64824862E8</v>
      </c>
      <c r="C2978" s="28" t="s">
        <v>3132</v>
      </c>
      <c r="D2978" s="26" t="s">
        <v>56</v>
      </c>
      <c r="E2978" s="31">
        <v>46230.0</v>
      </c>
      <c r="F2978" s="25"/>
      <c r="G2978" s="25"/>
      <c r="H2978" s="25"/>
      <c r="I2978" s="26" t="s">
        <v>42</v>
      </c>
      <c r="J2978" s="25" t="str">
        <f t="shared" si="40"/>
        <v>No</v>
      </c>
      <c r="K2978" s="25" t="str">
        <f t="shared" si="41"/>
        <v/>
      </c>
      <c r="L2978" s="25" t="str">
        <f t="shared" si="42"/>
        <v/>
      </c>
      <c r="M2978" s="25"/>
      <c r="N2978" s="25"/>
      <c r="O2978" s="25"/>
      <c r="P2978" s="25"/>
    </row>
    <row r="2979" ht="15.75" customHeight="1">
      <c r="A2979" s="25" t="str">
        <f>IFERROR(__xludf.DUMMYFUNCTION("IF(B2979="""","""",RIGHT(REGEXREPLACE(B2979&amp;"""",""[^0-9]"",""""),9))"),"712669965")</f>
        <v>712669965</v>
      </c>
      <c r="B2979" s="52">
        <v>7.12669965E8</v>
      </c>
      <c r="C2979" s="28" t="s">
        <v>3133</v>
      </c>
      <c r="D2979" s="26" t="s">
        <v>82</v>
      </c>
      <c r="E2979" s="31">
        <v>46230.0</v>
      </c>
      <c r="F2979" s="26" t="s">
        <v>41</v>
      </c>
      <c r="G2979" s="26">
        <v>11.0</v>
      </c>
      <c r="I2979" s="26" t="s">
        <v>42</v>
      </c>
      <c r="J2979" s="25" t="str">
        <f t="shared" si="40"/>
        <v>No</v>
      </c>
      <c r="K2979" s="25" t="str">
        <f t="shared" si="41"/>
        <v/>
      </c>
      <c r="L2979" s="25" t="str">
        <f t="shared" si="42"/>
        <v/>
      </c>
      <c r="M2979" s="25"/>
      <c r="O2979" s="25"/>
    </row>
    <row r="2980" ht="15.75" customHeight="1">
      <c r="A2980" s="25" t="str">
        <f>IFERROR(__xludf.DUMMYFUNCTION("IF(B2980="""","""",RIGHT(REGEXREPLACE(B2980&amp;"""",""[^0-9]"",""""),9))"),"741181112")</f>
        <v>741181112</v>
      </c>
      <c r="B2980" s="52">
        <v>7.41181112E8</v>
      </c>
      <c r="C2980" s="28" t="s">
        <v>3134</v>
      </c>
      <c r="D2980" s="26" t="s">
        <v>45</v>
      </c>
      <c r="E2980" s="31">
        <v>46230.0</v>
      </c>
      <c r="F2980" s="26" t="s">
        <v>205</v>
      </c>
      <c r="H2980" s="26" t="s">
        <v>2605</v>
      </c>
      <c r="I2980" s="26" t="s">
        <v>42</v>
      </c>
      <c r="J2980" s="25" t="str">
        <f t="shared" si="40"/>
        <v>No</v>
      </c>
      <c r="K2980" s="25" t="str">
        <f t="shared" si="41"/>
        <v/>
      </c>
      <c r="L2980" s="25" t="str">
        <f t="shared" si="42"/>
        <v/>
      </c>
      <c r="M2980" s="25"/>
      <c r="O2980" s="25"/>
    </row>
    <row r="2981" ht="15.75" customHeight="1">
      <c r="A2981" s="25" t="str">
        <f>IFERROR(__xludf.DUMMYFUNCTION("IF(B2981="""","""",RIGHT(REGEXREPLACE(B2981&amp;"""",""[^0-9]"",""""),9))"),"775121552")</f>
        <v>775121552</v>
      </c>
      <c r="B2981" s="52">
        <v>7.75121552E8</v>
      </c>
      <c r="C2981" s="28" t="s">
        <v>3135</v>
      </c>
      <c r="D2981" s="26" t="s">
        <v>56</v>
      </c>
      <c r="E2981" s="31">
        <v>46230.0</v>
      </c>
      <c r="F2981" s="26" t="s">
        <v>46</v>
      </c>
      <c r="G2981" s="26">
        <v>11.0</v>
      </c>
      <c r="H2981" s="26" t="s">
        <v>796</v>
      </c>
      <c r="I2981" s="26" t="s">
        <v>42</v>
      </c>
      <c r="J2981" s="25" t="str">
        <f t="shared" si="40"/>
        <v>No</v>
      </c>
      <c r="K2981" s="25" t="str">
        <f t="shared" si="41"/>
        <v/>
      </c>
      <c r="L2981" s="25" t="str">
        <f t="shared" si="42"/>
        <v/>
      </c>
      <c r="M2981" s="25"/>
      <c r="O2981" s="25"/>
    </row>
    <row r="2982" ht="15.75" customHeight="1">
      <c r="A2982" s="25" t="str">
        <f>IFERROR(__xludf.DUMMYFUNCTION("IF(B2982="""","""",RIGHT(REGEXREPLACE(B2982&amp;"""",""[^0-9]"",""""),9))"),"762033869")</f>
        <v>762033869</v>
      </c>
      <c r="B2982" s="52">
        <v>7.62033869E8</v>
      </c>
      <c r="C2982" s="28" t="s">
        <v>3136</v>
      </c>
      <c r="D2982" s="26" t="s">
        <v>64</v>
      </c>
      <c r="E2982" s="31">
        <v>46230.0</v>
      </c>
      <c r="F2982" s="26" t="s">
        <v>704</v>
      </c>
      <c r="H2982" s="26" t="s">
        <v>1526</v>
      </c>
      <c r="I2982" s="26" t="s">
        <v>42</v>
      </c>
      <c r="J2982" s="25" t="str">
        <f t="shared" si="40"/>
        <v>No</v>
      </c>
      <c r="K2982" s="25" t="str">
        <f t="shared" si="41"/>
        <v/>
      </c>
      <c r="L2982" s="25" t="str">
        <f t="shared" si="42"/>
        <v/>
      </c>
      <c r="M2982" s="25"/>
      <c r="O2982" s="25"/>
    </row>
    <row r="2983" ht="15.75" customHeight="1">
      <c r="A2983" s="25" t="str">
        <f>IFERROR(__xludf.DUMMYFUNCTION("IF(B2983="""","""",RIGHT(REGEXREPLACE(B2983&amp;"""",""[^0-9]"",""""),9))"),"773223441")</f>
        <v>773223441</v>
      </c>
      <c r="B2983" s="52">
        <v>7.73223441E8</v>
      </c>
      <c r="C2983" s="28" t="s">
        <v>3137</v>
      </c>
      <c r="D2983" s="26" t="s">
        <v>69</v>
      </c>
      <c r="E2983" s="31">
        <v>46230.0</v>
      </c>
      <c r="F2983" s="26" t="s">
        <v>46</v>
      </c>
      <c r="G2983" s="26">
        <v>11.0</v>
      </c>
      <c r="I2983" s="26" t="s">
        <v>42</v>
      </c>
      <c r="J2983" s="25" t="str">
        <f t="shared" si="40"/>
        <v>No</v>
      </c>
      <c r="K2983" s="25" t="str">
        <f t="shared" si="41"/>
        <v/>
      </c>
      <c r="L2983" s="25" t="str">
        <f t="shared" si="42"/>
        <v/>
      </c>
      <c r="M2983" s="25"/>
      <c r="O2983" s="25"/>
    </row>
    <row r="2984" ht="15.75" customHeight="1">
      <c r="A2984" s="25" t="str">
        <f>IFERROR(__xludf.DUMMYFUNCTION("IF(B2984="""","""",RIGHT(REGEXREPLACE(B2984&amp;"""",""[^0-9]"",""""),9))"),"773622254")</f>
        <v>773622254</v>
      </c>
      <c r="B2984" s="52">
        <v>7.73622254E8</v>
      </c>
      <c r="C2984" s="28" t="s">
        <v>3138</v>
      </c>
      <c r="D2984" s="26" t="s">
        <v>56</v>
      </c>
      <c r="E2984" s="31">
        <v>46230.0</v>
      </c>
      <c r="F2984" s="25"/>
      <c r="G2984" s="26">
        <v>11.0</v>
      </c>
      <c r="H2984" s="26" t="s">
        <v>784</v>
      </c>
      <c r="I2984" s="26" t="s">
        <v>42</v>
      </c>
      <c r="J2984" s="25" t="str">
        <f t="shared" si="40"/>
        <v>No</v>
      </c>
      <c r="K2984" s="25" t="str">
        <f t="shared" si="41"/>
        <v/>
      </c>
      <c r="L2984" s="25" t="str">
        <f t="shared" si="42"/>
        <v/>
      </c>
      <c r="M2984" s="25"/>
      <c r="N2984" s="25"/>
      <c r="O2984" s="25"/>
      <c r="P2984" s="25"/>
    </row>
    <row r="2985" ht="15.75" customHeight="1">
      <c r="A2985" s="25" t="str">
        <f>IFERROR(__xludf.DUMMYFUNCTION("IF(B2985="""","""",RIGHT(REGEXREPLACE(B2985&amp;"""",""[^0-9]"",""""),9))"),"717273698")</f>
        <v>717273698</v>
      </c>
      <c r="B2985" s="52">
        <v>7.17273698E8</v>
      </c>
      <c r="C2985" s="28" t="s">
        <v>3139</v>
      </c>
      <c r="D2985" s="26" t="s">
        <v>64</v>
      </c>
      <c r="E2985" s="31">
        <v>46230.0</v>
      </c>
      <c r="F2985" s="26" t="s">
        <v>125</v>
      </c>
      <c r="H2985" s="26" t="s">
        <v>796</v>
      </c>
      <c r="I2985" s="26" t="s">
        <v>42</v>
      </c>
      <c r="J2985" s="25" t="str">
        <f t="shared" si="40"/>
        <v>No</v>
      </c>
      <c r="K2985" s="25" t="str">
        <f t="shared" si="41"/>
        <v/>
      </c>
      <c r="L2985" s="25" t="str">
        <f t="shared" si="42"/>
        <v/>
      </c>
      <c r="M2985" s="25"/>
      <c r="O2985" s="25"/>
    </row>
    <row r="2986" ht="15.75" customHeight="1">
      <c r="A2986" s="25" t="str">
        <f>IFERROR(__xludf.DUMMYFUNCTION("IF(B2986="""","""",RIGHT(REGEXREPLACE(B2986&amp;"""",""[^0-9]"",""""),9))"),"761272160")</f>
        <v>761272160</v>
      </c>
      <c r="B2986" s="52">
        <v>7.6127216E8</v>
      </c>
      <c r="C2986" s="28" t="s">
        <v>3140</v>
      </c>
      <c r="D2986" s="26" t="s">
        <v>49</v>
      </c>
      <c r="E2986" s="31">
        <v>46230.0</v>
      </c>
      <c r="F2986" s="26" t="s">
        <v>164</v>
      </c>
      <c r="G2986" s="26">
        <v>11.0</v>
      </c>
      <c r="I2986" s="26" t="s">
        <v>42</v>
      </c>
      <c r="J2986" s="25" t="str">
        <f t="shared" si="40"/>
        <v>No</v>
      </c>
      <c r="K2986" s="25" t="str">
        <f t="shared" si="41"/>
        <v/>
      </c>
      <c r="L2986" s="25" t="str">
        <f t="shared" si="42"/>
        <v/>
      </c>
      <c r="M2986" s="25"/>
      <c r="O2986" s="25"/>
    </row>
    <row r="2987" ht="15.75" customHeight="1">
      <c r="A2987" s="25" t="str">
        <f>IFERROR(__xludf.DUMMYFUNCTION("IF(B2987="""","""",RIGHT(REGEXREPLACE(B2987&amp;"""",""[^0-9]"",""""),9))"),"760862976")</f>
        <v>760862976</v>
      </c>
      <c r="B2987" s="52">
        <v>7.60862976E8</v>
      </c>
      <c r="C2987" s="28" t="s">
        <v>3141</v>
      </c>
      <c r="D2987" s="26" t="s">
        <v>82</v>
      </c>
      <c r="E2987" s="31">
        <v>46230.0</v>
      </c>
      <c r="F2987" s="26" t="s">
        <v>41</v>
      </c>
      <c r="G2987" s="26">
        <v>11.0</v>
      </c>
      <c r="I2987" s="26" t="s">
        <v>42</v>
      </c>
      <c r="J2987" s="25" t="str">
        <f t="shared" si="40"/>
        <v>No</v>
      </c>
      <c r="K2987" s="25" t="str">
        <f t="shared" si="41"/>
        <v/>
      </c>
      <c r="L2987" s="25" t="str">
        <f t="shared" si="42"/>
        <v/>
      </c>
      <c r="M2987" s="25"/>
      <c r="O2987" s="25"/>
    </row>
    <row r="2988" ht="15.75" customHeight="1">
      <c r="A2988" s="25" t="str">
        <f>IFERROR(__xludf.DUMMYFUNCTION("IF(B2988="""","""",RIGHT(REGEXREPLACE(B2988&amp;"""",""[^0-9]"",""""),9))"),"785778681")</f>
        <v>785778681</v>
      </c>
      <c r="B2988" s="52">
        <v>7.85778681E8</v>
      </c>
      <c r="C2988" s="28" t="s">
        <v>3142</v>
      </c>
      <c r="D2988" s="26" t="s">
        <v>82</v>
      </c>
      <c r="E2988" s="31">
        <v>46230.0</v>
      </c>
      <c r="F2988" s="26" t="s">
        <v>41</v>
      </c>
      <c r="I2988" s="26" t="s">
        <v>42</v>
      </c>
      <c r="J2988" s="25" t="str">
        <f t="shared" si="40"/>
        <v>No</v>
      </c>
      <c r="K2988" s="25" t="str">
        <f t="shared" si="41"/>
        <v/>
      </c>
      <c r="L2988" s="25" t="str">
        <f t="shared" si="42"/>
        <v/>
      </c>
      <c r="M2988" s="25"/>
      <c r="O2988" s="25"/>
    </row>
    <row r="2989" ht="15.75" customHeight="1">
      <c r="A2989" s="25" t="str">
        <f>IFERROR(__xludf.DUMMYFUNCTION("IF(B2989="""","""",RIGHT(REGEXREPLACE(B2989&amp;"""",""[^0-9]"",""""),9))"),"767710675")</f>
        <v>767710675</v>
      </c>
      <c r="B2989" s="52">
        <v>7.67710675E8</v>
      </c>
      <c r="C2989" s="28" t="s">
        <v>3143</v>
      </c>
      <c r="D2989" s="26" t="s">
        <v>45</v>
      </c>
      <c r="E2989" s="31">
        <v>46230.0</v>
      </c>
      <c r="F2989" s="26" t="s">
        <v>205</v>
      </c>
      <c r="H2989" s="26" t="s">
        <v>2605</v>
      </c>
      <c r="I2989" s="26" t="s">
        <v>42</v>
      </c>
      <c r="J2989" s="25" t="str">
        <f t="shared" si="40"/>
        <v>No</v>
      </c>
      <c r="K2989" s="25" t="str">
        <f t="shared" si="41"/>
        <v/>
      </c>
      <c r="L2989" s="25" t="str">
        <f t="shared" si="42"/>
        <v/>
      </c>
      <c r="M2989" s="25"/>
      <c r="O2989" s="25"/>
    </row>
    <row r="2990" ht="15.75" customHeight="1">
      <c r="A2990" s="25" t="str">
        <f>IFERROR(__xludf.DUMMYFUNCTION("IF(B2990="""","""",RIGHT(REGEXREPLACE(B2990&amp;"""",""[^0-9]"",""""),9))"),"719861271")</f>
        <v>719861271</v>
      </c>
      <c r="B2990" s="52">
        <v>7.19861271E8</v>
      </c>
      <c r="C2990" s="28" t="s">
        <v>3135</v>
      </c>
      <c r="D2990" s="26" t="s">
        <v>64</v>
      </c>
      <c r="E2990" s="31">
        <v>46230.0</v>
      </c>
      <c r="F2990" s="26" t="s">
        <v>46</v>
      </c>
      <c r="G2990" s="26">
        <v>11.0</v>
      </c>
      <c r="H2990" s="26" t="s">
        <v>1526</v>
      </c>
      <c r="I2990" s="26" t="s">
        <v>42</v>
      </c>
      <c r="J2990" s="25" t="str">
        <f t="shared" si="40"/>
        <v>No</v>
      </c>
      <c r="K2990" s="25" t="str">
        <f t="shared" si="41"/>
        <v/>
      </c>
      <c r="L2990" s="25" t="str">
        <f t="shared" si="42"/>
        <v/>
      </c>
      <c r="M2990" s="25"/>
      <c r="O2990" s="25"/>
    </row>
    <row r="2991" ht="15.75" customHeight="1">
      <c r="A2991" s="25" t="str">
        <f>IFERROR(__xludf.DUMMYFUNCTION("IF(B2991="""","""",RIGHT(REGEXREPLACE(B2991&amp;"""",""[^0-9]"",""""),9))"),"760895388")</f>
        <v>760895388</v>
      </c>
      <c r="B2991" s="52">
        <v>7.60895388E8</v>
      </c>
      <c r="C2991" s="28" t="s">
        <v>3144</v>
      </c>
      <c r="D2991" s="26" t="s">
        <v>45</v>
      </c>
      <c r="E2991" s="31">
        <v>46230.0</v>
      </c>
      <c r="F2991" s="26" t="s">
        <v>125</v>
      </c>
      <c r="H2991" s="26" t="s">
        <v>2605</v>
      </c>
      <c r="I2991" s="26" t="s">
        <v>42</v>
      </c>
      <c r="J2991" s="25" t="str">
        <f t="shared" si="40"/>
        <v>No</v>
      </c>
      <c r="K2991" s="25" t="str">
        <f t="shared" si="41"/>
        <v/>
      </c>
      <c r="L2991" s="25" t="str">
        <f t="shared" si="42"/>
        <v/>
      </c>
      <c r="M2991" s="25"/>
      <c r="O2991" s="25"/>
    </row>
    <row r="2992" ht="15.75" customHeight="1">
      <c r="A2992" s="25" t="str">
        <f>IFERROR(__xludf.DUMMYFUNCTION("IF(B2992="""","""",RIGHT(REGEXREPLACE(B2992&amp;"""",""[^0-9]"",""""),9))"),"761865970")</f>
        <v>761865970</v>
      </c>
      <c r="B2992" s="52">
        <v>7.6186597E8</v>
      </c>
      <c r="C2992" s="28" t="s">
        <v>3145</v>
      </c>
      <c r="D2992" s="26" t="s">
        <v>69</v>
      </c>
      <c r="E2992" s="31">
        <v>46230.0</v>
      </c>
      <c r="F2992" s="26" t="s">
        <v>46</v>
      </c>
      <c r="G2992" s="26">
        <v>8.0</v>
      </c>
      <c r="I2992" s="26" t="s">
        <v>42</v>
      </c>
      <c r="J2992" s="25" t="str">
        <f t="shared" si="40"/>
        <v>No</v>
      </c>
      <c r="K2992" s="25" t="str">
        <f t="shared" si="41"/>
        <v/>
      </c>
      <c r="L2992" s="25" t="str">
        <f t="shared" si="42"/>
        <v/>
      </c>
      <c r="M2992" s="25"/>
      <c r="O2992" s="25"/>
    </row>
    <row r="2993" ht="15.75" customHeight="1">
      <c r="A2993" s="25" t="str">
        <f>IFERROR(__xludf.DUMMYFUNCTION("IF(B2993="""","""",RIGHT(REGEXREPLACE(B2993&amp;"""",""[^0-9]"",""""),9))"),"714705785")</f>
        <v>714705785</v>
      </c>
      <c r="B2993" s="52">
        <v>7.14705785E8</v>
      </c>
      <c r="C2993" s="28" t="s">
        <v>3146</v>
      </c>
      <c r="D2993" s="26" t="s">
        <v>49</v>
      </c>
      <c r="E2993" s="31">
        <v>46230.0</v>
      </c>
      <c r="F2993" s="26" t="s">
        <v>41</v>
      </c>
      <c r="I2993" s="26" t="s">
        <v>42</v>
      </c>
      <c r="J2993" s="25" t="str">
        <f t="shared" si="40"/>
        <v>No</v>
      </c>
      <c r="K2993" s="25" t="str">
        <f t="shared" si="41"/>
        <v/>
      </c>
      <c r="L2993" s="25" t="str">
        <f t="shared" si="42"/>
        <v/>
      </c>
      <c r="M2993" s="25"/>
      <c r="O2993" s="25"/>
    </row>
    <row r="2994" ht="15.75" customHeight="1">
      <c r="A2994" s="25" t="str">
        <f>IFERROR(__xludf.DUMMYFUNCTION("IF(B2994="""","""",RIGHT(REGEXREPLACE(B2994&amp;"""",""[^0-9]"",""""),9))"),"762394483")</f>
        <v>762394483</v>
      </c>
      <c r="B2994" s="52">
        <v>7.62394483E8</v>
      </c>
      <c r="C2994" s="28" t="s">
        <v>3147</v>
      </c>
      <c r="D2994" s="26" t="s">
        <v>45</v>
      </c>
      <c r="E2994" s="31">
        <v>46230.0</v>
      </c>
      <c r="F2994" s="25"/>
      <c r="G2994" s="25"/>
      <c r="H2994" s="25"/>
      <c r="I2994" s="26" t="s">
        <v>42</v>
      </c>
      <c r="J2994" s="25" t="str">
        <f t="shared" si="40"/>
        <v>No</v>
      </c>
      <c r="K2994" s="25" t="str">
        <f t="shared" si="41"/>
        <v/>
      </c>
      <c r="L2994" s="25" t="str">
        <f t="shared" si="42"/>
        <v/>
      </c>
      <c r="M2994" s="25"/>
      <c r="N2994" s="25"/>
      <c r="O2994" s="25"/>
      <c r="P2994" s="25"/>
    </row>
    <row r="2995" ht="15.75" customHeight="1">
      <c r="A2995" s="25" t="str">
        <f>IFERROR(__xludf.DUMMYFUNCTION("IF(B2995="""","""",RIGHT(REGEXREPLACE(B2995&amp;"""",""[^0-9]"",""""),9))"),"714957190")</f>
        <v>714957190</v>
      </c>
      <c r="B2995" s="52">
        <v>7.1495719E8</v>
      </c>
      <c r="C2995" s="28" t="s">
        <v>3139</v>
      </c>
      <c r="D2995" s="26" t="s">
        <v>56</v>
      </c>
      <c r="E2995" s="31">
        <v>46230.0</v>
      </c>
      <c r="F2995" s="26" t="s">
        <v>659</v>
      </c>
      <c r="H2995" s="26" t="s">
        <v>796</v>
      </c>
      <c r="I2995" s="26" t="s">
        <v>42</v>
      </c>
      <c r="J2995" s="25" t="str">
        <f t="shared" si="40"/>
        <v>No</v>
      </c>
      <c r="K2995" s="25" t="str">
        <f t="shared" si="41"/>
        <v/>
      </c>
      <c r="L2995" s="25" t="str">
        <f t="shared" si="42"/>
        <v/>
      </c>
      <c r="M2995" s="25"/>
      <c r="O2995" s="25"/>
    </row>
    <row r="2996" ht="15.75" customHeight="1">
      <c r="A2996" s="25" t="str">
        <f>IFERROR(__xludf.DUMMYFUNCTION("IF(B2996="""","""",RIGHT(REGEXREPLACE(B2996&amp;"""",""[^0-9]"",""""),9))"),"779409950")</f>
        <v>779409950</v>
      </c>
      <c r="B2996" s="52">
        <v>7.7940995E8</v>
      </c>
      <c r="C2996" s="28" t="s">
        <v>3148</v>
      </c>
      <c r="D2996" s="26" t="s">
        <v>49</v>
      </c>
      <c r="E2996" s="31">
        <v>46230.0</v>
      </c>
      <c r="F2996" s="26" t="s">
        <v>46</v>
      </c>
      <c r="G2996" s="26">
        <v>11.0</v>
      </c>
      <c r="I2996" s="26" t="s">
        <v>42</v>
      </c>
      <c r="J2996" s="25" t="str">
        <f t="shared" si="40"/>
        <v>No</v>
      </c>
      <c r="K2996" s="25" t="str">
        <f t="shared" si="41"/>
        <v/>
      </c>
      <c r="L2996" s="25" t="str">
        <f t="shared" si="42"/>
        <v/>
      </c>
      <c r="M2996" s="25"/>
      <c r="O2996" s="25"/>
    </row>
    <row r="2997" ht="15.75" customHeight="1">
      <c r="A2997" s="25" t="str">
        <f>IFERROR(__xludf.DUMMYFUNCTION("IF(B2997="""","""",RIGHT(REGEXREPLACE(B2997&amp;"""",""[^0-9]"",""""),9))"),"711711490")</f>
        <v>711711490</v>
      </c>
      <c r="B2997" s="52">
        <v>7.1171149E8</v>
      </c>
      <c r="C2997" s="28" t="s">
        <v>3149</v>
      </c>
      <c r="D2997" s="26" t="s">
        <v>69</v>
      </c>
      <c r="E2997" s="31">
        <v>46230.0</v>
      </c>
      <c r="F2997" s="26" t="s">
        <v>125</v>
      </c>
      <c r="I2997" s="26" t="s">
        <v>42</v>
      </c>
      <c r="J2997" s="25" t="str">
        <f t="shared" si="40"/>
        <v>No</v>
      </c>
      <c r="K2997" s="25" t="str">
        <f t="shared" si="41"/>
        <v/>
      </c>
      <c r="L2997" s="25" t="str">
        <f t="shared" si="42"/>
        <v/>
      </c>
      <c r="M2997" s="25"/>
      <c r="O2997" s="25"/>
    </row>
    <row r="2998" ht="15.75" customHeight="1">
      <c r="A2998" s="25" t="str">
        <f>IFERROR(__xludf.DUMMYFUNCTION("IF(B2998="""","""",RIGHT(REGEXREPLACE(B2998&amp;"""",""[^0-9]"",""""),9))"),"765523897")</f>
        <v>765523897</v>
      </c>
      <c r="B2998" s="52">
        <v>7.65523897E8</v>
      </c>
      <c r="C2998" s="28" t="s">
        <v>3150</v>
      </c>
      <c r="D2998" s="26" t="s">
        <v>82</v>
      </c>
      <c r="E2998" s="31">
        <v>46230.0</v>
      </c>
      <c r="F2998" s="26" t="s">
        <v>41</v>
      </c>
      <c r="I2998" s="26" t="s">
        <v>42</v>
      </c>
      <c r="J2998" s="25" t="str">
        <f t="shared" si="40"/>
        <v>No</v>
      </c>
      <c r="K2998" s="25" t="str">
        <f t="shared" si="41"/>
        <v/>
      </c>
      <c r="L2998" s="25" t="str">
        <f t="shared" si="42"/>
        <v/>
      </c>
      <c r="M2998" s="25"/>
      <c r="O2998" s="25"/>
    </row>
    <row r="2999" ht="15.75" customHeight="1">
      <c r="A2999" s="25" t="str">
        <f>IFERROR(__xludf.DUMMYFUNCTION("IF(B2999="""","""",RIGHT(REGEXREPLACE(B2999&amp;"""",""[^0-9]"",""""),9))"),"712454647")</f>
        <v>712454647</v>
      </c>
      <c r="B2999" s="52">
        <v>7.12454647E8</v>
      </c>
      <c r="C2999" s="28" t="s">
        <v>3151</v>
      </c>
      <c r="D2999" s="26" t="s">
        <v>56</v>
      </c>
      <c r="E2999" s="31">
        <v>46230.0</v>
      </c>
      <c r="F2999" s="26" t="s">
        <v>41</v>
      </c>
      <c r="H2999" s="26" t="s">
        <v>796</v>
      </c>
      <c r="I2999" s="26" t="s">
        <v>42</v>
      </c>
      <c r="J2999" s="25" t="str">
        <f t="shared" si="40"/>
        <v>No</v>
      </c>
      <c r="K2999" s="25" t="str">
        <f t="shared" si="41"/>
        <v/>
      </c>
      <c r="L2999" s="25" t="str">
        <f t="shared" si="42"/>
        <v/>
      </c>
      <c r="M2999" s="25"/>
      <c r="O2999" s="25"/>
    </row>
    <row r="3000" ht="15.75" customHeight="1">
      <c r="A3000" s="25" t="str">
        <f>IFERROR(__xludf.DUMMYFUNCTION("IF(B3000="""","""",RIGHT(REGEXREPLACE(B3000&amp;"""",""[^0-9]"",""""),9))"),"769280326")</f>
        <v>769280326</v>
      </c>
      <c r="B3000" s="52">
        <v>7.69280326E8</v>
      </c>
      <c r="C3000" s="28" t="s">
        <v>882</v>
      </c>
      <c r="D3000" s="26" t="s">
        <v>69</v>
      </c>
      <c r="E3000" s="31">
        <v>46230.0</v>
      </c>
      <c r="F3000" s="26" t="s">
        <v>41</v>
      </c>
      <c r="I3000" s="26" t="s">
        <v>42</v>
      </c>
      <c r="J3000" s="25" t="str">
        <f t="shared" si="40"/>
        <v>Yes - see Previous F-Code</v>
      </c>
      <c r="K3000" s="25" t="str">
        <f t="shared" si="41"/>
        <v>DUPLICATE - CHECK</v>
      </c>
      <c r="L3000" s="25" t="str">
        <f t="shared" si="42"/>
        <v>F70645</v>
      </c>
      <c r="M3000" s="25"/>
      <c r="O3000" s="25"/>
    </row>
    <row r="3001" ht="15.75" customHeight="1">
      <c r="A3001" s="25" t="str">
        <f>IFERROR(__xludf.DUMMYFUNCTION("IF(B3001="""","""",RIGHT(REGEXREPLACE(B3001&amp;"""",""[^0-9]"",""""),9))"),"775428072")</f>
        <v>775428072</v>
      </c>
      <c r="B3001" s="52">
        <v>7.75428072E8</v>
      </c>
      <c r="C3001" s="28" t="s">
        <v>2156</v>
      </c>
      <c r="D3001" s="26" t="s">
        <v>45</v>
      </c>
      <c r="E3001" s="31">
        <v>46230.0</v>
      </c>
      <c r="F3001" s="26" t="s">
        <v>41</v>
      </c>
      <c r="H3001" s="26" t="s">
        <v>2605</v>
      </c>
      <c r="I3001" s="26" t="s">
        <v>42</v>
      </c>
      <c r="J3001" s="25" t="str">
        <f t="shared" si="40"/>
        <v>Yes - see Previous F-Code</v>
      </c>
      <c r="K3001" s="25" t="str">
        <f t="shared" si="41"/>
        <v>DUPLICATE - CHECK</v>
      </c>
      <c r="L3001" s="25" t="str">
        <f t="shared" si="42"/>
        <v>F71857</v>
      </c>
      <c r="M3001" s="25"/>
      <c r="O3001" s="25"/>
    </row>
    <row r="3002" ht="15.75" customHeight="1">
      <c r="A3002" s="25" t="str">
        <f>IFERROR(__xludf.DUMMYFUNCTION("IF(B3002="""","""",RIGHT(REGEXREPLACE(B3002&amp;"""",""[^0-9]"",""""),9))"),"718921262")</f>
        <v>718921262</v>
      </c>
      <c r="B3002" s="52">
        <v>7.18921262E8</v>
      </c>
      <c r="C3002" s="28" t="s">
        <v>3152</v>
      </c>
      <c r="D3002" s="26" t="s">
        <v>45</v>
      </c>
      <c r="E3002" s="31">
        <v>46230.0</v>
      </c>
      <c r="F3002" s="26" t="s">
        <v>84</v>
      </c>
      <c r="H3002" s="26" t="s">
        <v>2605</v>
      </c>
      <c r="I3002" s="26" t="s">
        <v>42</v>
      </c>
      <c r="J3002" s="25" t="str">
        <f t="shared" si="40"/>
        <v>No</v>
      </c>
      <c r="K3002" s="25" t="str">
        <f t="shared" si="41"/>
        <v/>
      </c>
      <c r="L3002" s="25" t="str">
        <f t="shared" si="42"/>
        <v/>
      </c>
      <c r="M3002" s="25"/>
      <c r="O3002" s="25"/>
    </row>
    <row r="3003" ht="15.75" customHeight="1">
      <c r="A3003" s="25" t="str">
        <f>IFERROR(__xludf.DUMMYFUNCTION("IF(B3003="""","""",RIGHT(REGEXREPLACE(B3003&amp;"""",""[^0-9]"",""""),9))"),"753280950")</f>
        <v>753280950</v>
      </c>
      <c r="B3003" s="52">
        <v>7.5328095E8</v>
      </c>
      <c r="C3003" s="28" t="s">
        <v>3153</v>
      </c>
      <c r="D3003" s="26" t="s">
        <v>82</v>
      </c>
      <c r="E3003" s="31">
        <v>46230.0</v>
      </c>
      <c r="F3003" s="26" t="s">
        <v>46</v>
      </c>
      <c r="G3003" s="26">
        <v>11.0</v>
      </c>
      <c r="I3003" s="26" t="s">
        <v>42</v>
      </c>
      <c r="J3003" s="25" t="str">
        <f t="shared" si="40"/>
        <v>No</v>
      </c>
      <c r="K3003" s="25" t="str">
        <f t="shared" si="41"/>
        <v/>
      </c>
      <c r="L3003" s="25" t="str">
        <f t="shared" si="42"/>
        <v/>
      </c>
      <c r="M3003" s="25"/>
      <c r="O3003" s="25"/>
    </row>
    <row r="3004" ht="15.75" customHeight="1">
      <c r="A3004" s="25" t="str">
        <f>IFERROR(__xludf.DUMMYFUNCTION("IF(B3004="""","""",RIGHT(REGEXREPLACE(B3004&amp;"""",""[^0-9]"",""""),9))"),"756202441")</f>
        <v>756202441</v>
      </c>
      <c r="B3004" s="52">
        <v>7.56202441E8</v>
      </c>
      <c r="C3004" s="28" t="s">
        <v>3154</v>
      </c>
      <c r="D3004" s="26" t="s">
        <v>69</v>
      </c>
      <c r="E3004" s="31">
        <v>46230.0</v>
      </c>
      <c r="F3004" s="26" t="s">
        <v>46</v>
      </c>
      <c r="G3004" s="26">
        <v>11.0</v>
      </c>
      <c r="I3004" s="26" t="s">
        <v>42</v>
      </c>
      <c r="J3004" s="25" t="str">
        <f t="shared" si="40"/>
        <v>No</v>
      </c>
      <c r="K3004" s="25" t="str">
        <f t="shared" si="41"/>
        <v/>
      </c>
      <c r="L3004" s="25" t="str">
        <f t="shared" si="42"/>
        <v/>
      </c>
      <c r="M3004" s="25"/>
      <c r="O3004" s="25"/>
    </row>
    <row r="3005" ht="15.75" customHeight="1">
      <c r="A3005" s="25" t="str">
        <f>IFERROR(__xludf.DUMMYFUNCTION("IF(B3005="""","""",RIGHT(REGEXREPLACE(B3005&amp;"""",""[^0-9]"",""""),9))"),"786791753")</f>
        <v>786791753</v>
      </c>
      <c r="B3005" s="52">
        <v>7.86791753E8</v>
      </c>
      <c r="C3005" s="28" t="s">
        <v>3155</v>
      </c>
      <c r="D3005" s="26" t="s">
        <v>45</v>
      </c>
      <c r="E3005" s="31">
        <v>46230.0</v>
      </c>
      <c r="F3005" s="26" t="s">
        <v>704</v>
      </c>
      <c r="H3005" s="26" t="s">
        <v>3156</v>
      </c>
      <c r="I3005" s="26" t="s">
        <v>42</v>
      </c>
      <c r="J3005" s="25" t="str">
        <f t="shared" si="40"/>
        <v>No</v>
      </c>
      <c r="K3005" s="25" t="str">
        <f t="shared" si="41"/>
        <v/>
      </c>
      <c r="L3005" s="25" t="str">
        <f t="shared" si="42"/>
        <v/>
      </c>
      <c r="M3005" s="25"/>
      <c r="O3005" s="25"/>
    </row>
    <row r="3006" ht="15.75" customHeight="1">
      <c r="A3006" s="25" t="str">
        <f>IFERROR(__xludf.DUMMYFUNCTION("IF(B3006="""","""",RIGHT(REGEXREPLACE(B3006&amp;"""",""[^0-9]"",""""),9))"),"717160294")</f>
        <v>717160294</v>
      </c>
      <c r="B3006" s="52">
        <v>7.17160294E8</v>
      </c>
      <c r="C3006" s="28" t="s">
        <v>3157</v>
      </c>
      <c r="D3006" s="26" t="s">
        <v>49</v>
      </c>
      <c r="E3006" s="31">
        <v>46230.0</v>
      </c>
      <c r="F3006" s="26" t="s">
        <v>46</v>
      </c>
      <c r="G3006" s="26">
        <v>9.0</v>
      </c>
      <c r="I3006" s="26" t="s">
        <v>42</v>
      </c>
      <c r="J3006" s="25" t="str">
        <f t="shared" si="40"/>
        <v>No</v>
      </c>
      <c r="K3006" s="25" t="str">
        <f t="shared" si="41"/>
        <v/>
      </c>
      <c r="L3006" s="25" t="str">
        <f t="shared" si="42"/>
        <v/>
      </c>
      <c r="M3006" s="25"/>
      <c r="O3006" s="25"/>
    </row>
    <row r="3007" ht="15.75" customHeight="1">
      <c r="A3007" s="25" t="str">
        <f>IFERROR(__xludf.DUMMYFUNCTION("IF(B3007="""","""",RIGHT(REGEXREPLACE(B3007&amp;"""",""[^0-9]"",""""),9))"),"764871312")</f>
        <v>764871312</v>
      </c>
      <c r="B3007" s="52">
        <v>7.64871312E8</v>
      </c>
      <c r="C3007" s="28" t="s">
        <v>3158</v>
      </c>
      <c r="D3007" s="26" t="s">
        <v>56</v>
      </c>
      <c r="E3007" s="31">
        <v>46230.0</v>
      </c>
      <c r="F3007" s="26" t="s">
        <v>41</v>
      </c>
      <c r="H3007" s="26" t="s">
        <v>796</v>
      </c>
      <c r="I3007" s="26" t="s">
        <v>42</v>
      </c>
      <c r="J3007" s="25" t="str">
        <f t="shared" si="40"/>
        <v>No</v>
      </c>
      <c r="K3007" s="25" t="str">
        <f t="shared" si="41"/>
        <v/>
      </c>
      <c r="L3007" s="25" t="str">
        <f t="shared" si="42"/>
        <v/>
      </c>
      <c r="M3007" s="25"/>
      <c r="O3007" s="25"/>
    </row>
    <row r="3008" ht="15.75" customHeight="1">
      <c r="A3008" s="25" t="str">
        <f>IFERROR(__xludf.DUMMYFUNCTION("IF(B3008="""","""",RIGHT(REGEXREPLACE(B3008&amp;"""",""[^0-9]"",""""),9))"),"772897794")</f>
        <v>772897794</v>
      </c>
      <c r="B3008" s="52">
        <v>7.72897794E8</v>
      </c>
      <c r="C3008" s="28" t="s">
        <v>3159</v>
      </c>
      <c r="D3008" s="26" t="s">
        <v>82</v>
      </c>
      <c r="E3008" s="31">
        <v>46230.0</v>
      </c>
      <c r="F3008" s="26" t="s">
        <v>46</v>
      </c>
      <c r="G3008" s="109">
        <v>46333.0</v>
      </c>
      <c r="I3008" s="26" t="s">
        <v>42</v>
      </c>
      <c r="J3008" s="25" t="str">
        <f t="shared" si="40"/>
        <v>No</v>
      </c>
      <c r="K3008" s="25" t="str">
        <f t="shared" si="41"/>
        <v/>
      </c>
      <c r="L3008" s="25" t="str">
        <f t="shared" si="42"/>
        <v/>
      </c>
      <c r="M3008" s="25"/>
      <c r="O3008" s="25"/>
    </row>
    <row r="3009" ht="15.75" customHeight="1">
      <c r="A3009" s="25" t="str">
        <f>IFERROR(__xludf.DUMMYFUNCTION("IF(B3009="""","""",RIGHT(REGEXREPLACE(B3009&amp;"""",""[^0-9]"",""""),9))"),"741195423")</f>
        <v>741195423</v>
      </c>
      <c r="B3009" s="52">
        <v>7.41195423E8</v>
      </c>
      <c r="C3009" s="28" t="s">
        <v>3160</v>
      </c>
      <c r="D3009" s="26" t="s">
        <v>45</v>
      </c>
      <c r="E3009" s="31">
        <v>46230.0</v>
      </c>
      <c r="F3009" s="26" t="s">
        <v>46</v>
      </c>
      <c r="G3009" s="26">
        <v>11.0</v>
      </c>
      <c r="H3009" s="26" t="s">
        <v>2605</v>
      </c>
      <c r="I3009" s="26" t="s">
        <v>42</v>
      </c>
      <c r="J3009" s="25" t="str">
        <f t="shared" si="40"/>
        <v>No</v>
      </c>
      <c r="K3009" s="25" t="str">
        <f t="shared" si="41"/>
        <v/>
      </c>
      <c r="L3009" s="25" t="str">
        <f t="shared" si="42"/>
        <v/>
      </c>
      <c r="M3009" s="25"/>
      <c r="O3009" s="25"/>
    </row>
    <row r="3010" ht="15.75" customHeight="1">
      <c r="A3010" s="25" t="str">
        <f>IFERROR(__xludf.DUMMYFUNCTION("IF(B3010="""","""",RIGHT(REGEXREPLACE(B3010&amp;"""",""[^0-9]"",""""),9))"),"714550944")</f>
        <v>714550944</v>
      </c>
      <c r="B3010" s="52">
        <v>7.14550944E8</v>
      </c>
      <c r="C3010" s="28" t="s">
        <v>3161</v>
      </c>
      <c r="D3010" s="26" t="s">
        <v>64</v>
      </c>
      <c r="E3010" s="31">
        <v>46230.0</v>
      </c>
      <c r="F3010" s="26" t="s">
        <v>41</v>
      </c>
      <c r="H3010" s="26" t="s">
        <v>1526</v>
      </c>
      <c r="I3010" s="26" t="s">
        <v>42</v>
      </c>
      <c r="J3010" s="25" t="str">
        <f t="shared" si="40"/>
        <v>No</v>
      </c>
      <c r="K3010" s="25" t="str">
        <f t="shared" si="41"/>
        <v/>
      </c>
      <c r="L3010" s="25" t="str">
        <f t="shared" si="42"/>
        <v/>
      </c>
      <c r="M3010" s="25"/>
      <c r="O3010" s="25"/>
    </row>
    <row r="3011" ht="15.75" customHeight="1">
      <c r="A3011" s="25" t="str">
        <f>IFERROR(__xludf.DUMMYFUNCTION("IF(B3011="""","""",RIGHT(REGEXREPLACE(B3011&amp;"""",""[^0-9]"",""""),9))"),"741585914")</f>
        <v>741585914</v>
      </c>
      <c r="B3011" s="52">
        <v>7.41585914E8</v>
      </c>
      <c r="C3011" s="28" t="s">
        <v>3161</v>
      </c>
      <c r="D3011" s="26" t="s">
        <v>56</v>
      </c>
      <c r="E3011" s="31">
        <v>46230.0</v>
      </c>
      <c r="F3011" s="26" t="s">
        <v>46</v>
      </c>
      <c r="G3011" s="26">
        <v>11.0</v>
      </c>
      <c r="I3011" s="26" t="s">
        <v>42</v>
      </c>
      <c r="J3011" s="25" t="str">
        <f t="shared" si="40"/>
        <v>No</v>
      </c>
      <c r="K3011" s="25" t="str">
        <f t="shared" si="41"/>
        <v/>
      </c>
      <c r="L3011" s="25" t="str">
        <f t="shared" si="42"/>
        <v/>
      </c>
      <c r="M3011" s="25"/>
      <c r="O3011" s="25"/>
    </row>
    <row r="3012" ht="15.75" customHeight="1">
      <c r="A3012" s="25" t="str">
        <f>IFERROR(__xludf.DUMMYFUNCTION("IF(B3012="""","""",RIGHT(REGEXREPLACE(B3012&amp;"""",""[^0-9]"",""""),9))"),"718605823")</f>
        <v>718605823</v>
      </c>
      <c r="B3012" s="52">
        <v>7.18605823E8</v>
      </c>
      <c r="C3012" s="28" t="s">
        <v>3162</v>
      </c>
      <c r="D3012" s="26" t="s">
        <v>49</v>
      </c>
      <c r="E3012" s="31">
        <v>46230.0</v>
      </c>
      <c r="F3012" s="26" t="s">
        <v>46</v>
      </c>
      <c r="G3012" s="26">
        <v>11.0</v>
      </c>
      <c r="I3012" s="26" t="s">
        <v>42</v>
      </c>
      <c r="J3012" s="25" t="str">
        <f t="shared" si="40"/>
        <v>No</v>
      </c>
      <c r="K3012" s="25" t="str">
        <f t="shared" si="41"/>
        <v/>
      </c>
      <c r="L3012" s="25" t="str">
        <f t="shared" si="42"/>
        <v/>
      </c>
      <c r="M3012" s="25"/>
      <c r="O3012" s="25"/>
    </row>
    <row r="3013" ht="15.75" customHeight="1">
      <c r="A3013" s="25" t="str">
        <f>IFERROR(__xludf.DUMMYFUNCTION("IF(B3013="""","""",RIGHT(REGEXREPLACE(B3013&amp;"""",""[^0-9]"",""""),9))"),"713353043")</f>
        <v>713353043</v>
      </c>
      <c r="B3013" s="52">
        <v>7.13353043E8</v>
      </c>
      <c r="C3013" s="28" t="s">
        <v>3163</v>
      </c>
      <c r="D3013" s="26" t="s">
        <v>45</v>
      </c>
      <c r="E3013" s="31">
        <v>46230.0</v>
      </c>
      <c r="F3013" s="26" t="s">
        <v>46</v>
      </c>
      <c r="G3013" s="26">
        <v>11.0</v>
      </c>
      <c r="H3013" s="26" t="s">
        <v>2605</v>
      </c>
      <c r="I3013" s="26" t="s">
        <v>42</v>
      </c>
      <c r="J3013" s="25" t="str">
        <f t="shared" si="40"/>
        <v>No</v>
      </c>
      <c r="K3013" s="25" t="str">
        <f t="shared" si="41"/>
        <v/>
      </c>
      <c r="L3013" s="25" t="str">
        <f t="shared" si="42"/>
        <v/>
      </c>
      <c r="M3013" s="25"/>
      <c r="O3013" s="25"/>
    </row>
    <row r="3014" ht="15.75" customHeight="1">
      <c r="A3014" s="25" t="str">
        <f>IFERROR(__xludf.DUMMYFUNCTION("IF(B3014="""","""",RIGHT(REGEXREPLACE(B3014&amp;"""",""[^0-9]"",""""),9))"),"712318003")</f>
        <v>712318003</v>
      </c>
      <c r="B3014" s="52">
        <v>7.12318003E8</v>
      </c>
      <c r="C3014" s="28" t="s">
        <v>3164</v>
      </c>
      <c r="D3014" s="26" t="s">
        <v>69</v>
      </c>
      <c r="E3014" s="31">
        <v>46230.0</v>
      </c>
      <c r="F3014" s="26" t="s">
        <v>205</v>
      </c>
      <c r="G3014" s="26">
        <v>11.0</v>
      </c>
      <c r="I3014" s="26" t="s">
        <v>42</v>
      </c>
      <c r="J3014" s="25" t="str">
        <f t="shared" si="40"/>
        <v>No</v>
      </c>
      <c r="K3014" s="25" t="str">
        <f t="shared" si="41"/>
        <v/>
      </c>
      <c r="L3014" s="25" t="str">
        <f t="shared" si="42"/>
        <v/>
      </c>
      <c r="M3014" s="25"/>
      <c r="O3014" s="25"/>
    </row>
    <row r="3015" ht="15.75" customHeight="1">
      <c r="A3015" s="25" t="str">
        <f>IFERROR(__xludf.DUMMYFUNCTION("IF(B3015="""","""",RIGHT(REGEXREPLACE(B3015&amp;"""",""[^0-9]"",""""),9))"),"779569777")</f>
        <v>779569777</v>
      </c>
      <c r="B3015" s="52">
        <v>7.79569777E8</v>
      </c>
      <c r="C3015" s="28" t="s">
        <v>3165</v>
      </c>
      <c r="D3015" s="26" t="s">
        <v>64</v>
      </c>
      <c r="E3015" s="31">
        <v>46230.0</v>
      </c>
      <c r="F3015" s="26" t="s">
        <v>46</v>
      </c>
      <c r="G3015" s="26">
        <v>11.0</v>
      </c>
      <c r="H3015" s="26" t="s">
        <v>1526</v>
      </c>
      <c r="I3015" s="26" t="s">
        <v>42</v>
      </c>
      <c r="J3015" s="25" t="str">
        <f t="shared" si="40"/>
        <v>No</v>
      </c>
      <c r="K3015" s="25" t="str">
        <f t="shared" si="41"/>
        <v/>
      </c>
      <c r="L3015" s="25" t="str">
        <f t="shared" si="42"/>
        <v/>
      </c>
      <c r="M3015" s="25"/>
      <c r="O3015" s="25"/>
    </row>
    <row r="3016" ht="15.75" customHeight="1">
      <c r="A3016" s="25" t="str">
        <f>IFERROR(__xludf.DUMMYFUNCTION("IF(B3016="""","""",RIGHT(REGEXREPLACE(B3016&amp;"""",""[^0-9]"",""""),9))"),"714295436")</f>
        <v>714295436</v>
      </c>
      <c r="B3016" s="52">
        <v>7.14295436E8</v>
      </c>
      <c r="C3016" s="28" t="s">
        <v>2524</v>
      </c>
      <c r="D3016" s="26" t="s">
        <v>49</v>
      </c>
      <c r="E3016" s="31">
        <v>46230.0</v>
      </c>
      <c r="F3016" s="26" t="s">
        <v>659</v>
      </c>
      <c r="G3016" s="26">
        <v>10.0</v>
      </c>
      <c r="I3016" s="26" t="s">
        <v>42</v>
      </c>
      <c r="J3016" s="25" t="str">
        <f t="shared" si="40"/>
        <v>Yes - see Previous F-Code</v>
      </c>
      <c r="K3016" s="25" t="str">
        <f t="shared" si="41"/>
        <v>DUPLICATE - CHECK</v>
      </c>
      <c r="L3016" s="25" t="str">
        <f t="shared" si="42"/>
        <v>F72216</v>
      </c>
      <c r="M3016" s="25"/>
      <c r="O3016" s="25"/>
    </row>
    <row r="3017" ht="15.75" customHeight="1">
      <c r="A3017" s="25" t="str">
        <f>IFERROR(__xludf.DUMMYFUNCTION("IF(B3017="""","""",RIGHT(REGEXREPLACE(B3017&amp;"""",""[^0-9]"",""""),9))"),"765835234")</f>
        <v>765835234</v>
      </c>
      <c r="B3017" s="52">
        <v>7.65835234E8</v>
      </c>
      <c r="C3017" s="28" t="s">
        <v>3166</v>
      </c>
      <c r="D3017" s="26" t="s">
        <v>82</v>
      </c>
      <c r="E3017" s="31">
        <v>46230.0</v>
      </c>
      <c r="F3017" s="26" t="s">
        <v>46</v>
      </c>
      <c r="G3017" s="26">
        <v>11.0</v>
      </c>
      <c r="I3017" s="26" t="s">
        <v>42</v>
      </c>
      <c r="J3017" s="25" t="str">
        <f t="shared" si="40"/>
        <v>No</v>
      </c>
      <c r="K3017" s="25" t="str">
        <f t="shared" si="41"/>
        <v/>
      </c>
      <c r="L3017" s="25" t="str">
        <f t="shared" si="42"/>
        <v/>
      </c>
      <c r="M3017" s="25"/>
      <c r="O3017" s="25"/>
    </row>
    <row r="3018" ht="15.75" customHeight="1">
      <c r="A3018" s="25" t="str">
        <f>IFERROR(__xludf.DUMMYFUNCTION("IF(B3018="""","""",RIGHT(REGEXREPLACE(B3018&amp;"""",""[^0-9]"",""""),9))"),"715540471")</f>
        <v>715540471</v>
      </c>
      <c r="B3018" s="52">
        <v>7.15540471E8</v>
      </c>
      <c r="C3018" s="28" t="s">
        <v>2258</v>
      </c>
      <c r="D3018" s="26" t="s">
        <v>45</v>
      </c>
      <c r="E3018" s="31">
        <v>46230.0</v>
      </c>
      <c r="F3018" s="26" t="s">
        <v>41</v>
      </c>
      <c r="G3018" s="26">
        <v>11.0</v>
      </c>
      <c r="I3018" s="26" t="s">
        <v>42</v>
      </c>
      <c r="J3018" s="25" t="str">
        <f t="shared" si="40"/>
        <v>Yes - see Previous F-Code</v>
      </c>
      <c r="K3018" s="25" t="str">
        <f t="shared" si="41"/>
        <v>DUPLICATE - CHECK</v>
      </c>
      <c r="L3018" s="25" t="str">
        <f t="shared" si="42"/>
        <v>F71955</v>
      </c>
      <c r="M3018" s="25"/>
      <c r="O3018" s="25"/>
    </row>
    <row r="3019" ht="15.75" customHeight="1">
      <c r="A3019" s="25" t="str">
        <f>IFERROR(__xludf.DUMMYFUNCTION("IF(B3019="""","""",RIGHT(REGEXREPLACE(B3019&amp;"""",""[^0-9]"",""""),9))"),"762407193")</f>
        <v>762407193</v>
      </c>
      <c r="B3019" s="52">
        <v>7.62407193E8</v>
      </c>
      <c r="C3019" s="28" t="s">
        <v>3167</v>
      </c>
      <c r="D3019" s="26" t="s">
        <v>49</v>
      </c>
      <c r="E3019" s="31">
        <v>46230.0</v>
      </c>
      <c r="F3019" s="26" t="s">
        <v>46</v>
      </c>
      <c r="G3019" s="26">
        <v>11.0</v>
      </c>
      <c r="I3019" s="26" t="s">
        <v>42</v>
      </c>
      <c r="J3019" s="25" t="str">
        <f t="shared" si="40"/>
        <v>No</v>
      </c>
      <c r="K3019" s="25" t="str">
        <f t="shared" si="41"/>
        <v/>
      </c>
      <c r="L3019" s="25" t="str">
        <f t="shared" si="42"/>
        <v/>
      </c>
      <c r="M3019" s="25"/>
      <c r="O3019" s="25"/>
    </row>
    <row r="3020" ht="15.75" customHeight="1">
      <c r="A3020" s="25" t="str">
        <f>IFERROR(__xludf.DUMMYFUNCTION("IF(B3020="""","""",RIGHT(REGEXREPLACE(B3020&amp;"""",""[^0-9]"",""""),9))"),"770780836")</f>
        <v>770780836</v>
      </c>
      <c r="B3020" s="52">
        <v>7.70780836E8</v>
      </c>
      <c r="C3020" s="28" t="s">
        <v>3168</v>
      </c>
      <c r="D3020" s="26" t="s">
        <v>69</v>
      </c>
      <c r="E3020" s="31">
        <v>46230.0</v>
      </c>
      <c r="F3020" s="26" t="s">
        <v>84</v>
      </c>
      <c r="I3020" s="26" t="s">
        <v>42</v>
      </c>
      <c r="J3020" s="25" t="str">
        <f t="shared" si="40"/>
        <v>No</v>
      </c>
      <c r="K3020" s="25" t="str">
        <f t="shared" si="41"/>
        <v/>
      </c>
      <c r="L3020" s="25" t="str">
        <f t="shared" si="42"/>
        <v/>
      </c>
      <c r="M3020" s="25"/>
      <c r="O3020" s="25"/>
    </row>
    <row r="3021" ht="15.75" customHeight="1">
      <c r="A3021" s="25" t="str">
        <f>IFERROR(__xludf.DUMMYFUNCTION("IF(B3021="""","""",RIGHT(REGEXREPLACE(B3021&amp;"""",""[^0-9]"",""""),9))"),"704699133")</f>
        <v>704699133</v>
      </c>
      <c r="B3021" s="52">
        <v>7.04699133E8</v>
      </c>
      <c r="C3021" s="28" t="s">
        <v>887</v>
      </c>
      <c r="D3021" s="26" t="s">
        <v>56</v>
      </c>
      <c r="E3021" s="31">
        <v>46230.0</v>
      </c>
      <c r="F3021" s="26" t="s">
        <v>659</v>
      </c>
      <c r="H3021" s="26" t="s">
        <v>796</v>
      </c>
      <c r="I3021" s="26" t="s">
        <v>42</v>
      </c>
      <c r="J3021" s="25" t="str">
        <f t="shared" si="40"/>
        <v>No</v>
      </c>
      <c r="K3021" s="25" t="str">
        <f t="shared" si="41"/>
        <v/>
      </c>
      <c r="L3021" s="25" t="str">
        <f t="shared" si="42"/>
        <v/>
      </c>
      <c r="M3021" s="25"/>
      <c r="O3021" s="26" t="s">
        <v>51</v>
      </c>
    </row>
    <row r="3022" ht="15.75" customHeight="1">
      <c r="A3022" s="25" t="str">
        <f>IFERROR(__xludf.DUMMYFUNCTION("IF(B3022="""","""",RIGHT(REGEXREPLACE(B3022&amp;"""",""[^0-9]"",""""),9))"),"778092427")</f>
        <v>778092427</v>
      </c>
      <c r="B3022" s="52">
        <v>7.78092427E8</v>
      </c>
      <c r="C3022" s="28" t="s">
        <v>3169</v>
      </c>
      <c r="D3022" s="26" t="s">
        <v>69</v>
      </c>
      <c r="E3022" s="31">
        <v>46230.0</v>
      </c>
      <c r="F3022" s="26" t="s">
        <v>46</v>
      </c>
      <c r="G3022" s="26">
        <v>11.0</v>
      </c>
      <c r="I3022" s="26" t="s">
        <v>42</v>
      </c>
      <c r="J3022" s="25" t="str">
        <f t="shared" si="40"/>
        <v>No</v>
      </c>
      <c r="K3022" s="25" t="str">
        <f t="shared" si="41"/>
        <v/>
      </c>
      <c r="L3022" s="25" t="str">
        <f t="shared" si="42"/>
        <v/>
      </c>
      <c r="M3022" s="25"/>
      <c r="O3022" s="25"/>
    </row>
    <row r="3023" ht="15.75" customHeight="1">
      <c r="A3023" s="25" t="str">
        <f>IFERROR(__xludf.DUMMYFUNCTION("IF(B3023="""","""",RIGHT(REGEXREPLACE(B3023&amp;"""",""[^0-9]"",""""),9))"),"705333976")</f>
        <v>705333976</v>
      </c>
      <c r="B3023" s="52">
        <v>7.05333976E8</v>
      </c>
      <c r="C3023" s="28" t="s">
        <v>964</v>
      </c>
      <c r="D3023" s="26" t="s">
        <v>49</v>
      </c>
      <c r="E3023" s="31">
        <v>46230.0</v>
      </c>
      <c r="F3023" s="26" t="s">
        <v>46</v>
      </c>
      <c r="G3023" s="26">
        <v>11.0</v>
      </c>
      <c r="I3023" s="26" t="s">
        <v>42</v>
      </c>
      <c r="J3023" s="25" t="str">
        <f t="shared" si="40"/>
        <v>Yes - see Previous F-Code</v>
      </c>
      <c r="K3023" s="25" t="str">
        <f t="shared" si="41"/>
        <v>DUPLICATE - CHECK</v>
      </c>
      <c r="L3023" s="25" t="str">
        <f t="shared" si="42"/>
        <v>F70714</v>
      </c>
      <c r="M3023" s="25"/>
      <c r="O3023" s="25"/>
    </row>
    <row r="3024" ht="15.75" customHeight="1">
      <c r="A3024" s="25" t="str">
        <f>IFERROR(__xludf.DUMMYFUNCTION("IF(B3024="""","""",RIGHT(REGEXREPLACE(B3024&amp;"""",""[^0-9]"",""""),9))"),"719642010")</f>
        <v>719642010</v>
      </c>
      <c r="B3024" s="52">
        <v>7.1964201E8</v>
      </c>
      <c r="C3024" s="28" t="s">
        <v>3170</v>
      </c>
      <c r="D3024" s="26" t="s">
        <v>56</v>
      </c>
      <c r="E3024" s="31">
        <v>46230.0</v>
      </c>
      <c r="F3024" s="26" t="s">
        <v>46</v>
      </c>
      <c r="G3024" s="26">
        <v>9.0</v>
      </c>
      <c r="H3024" s="26" t="s">
        <v>796</v>
      </c>
      <c r="I3024" s="26" t="s">
        <v>42</v>
      </c>
      <c r="J3024" s="25" t="str">
        <f t="shared" si="40"/>
        <v>No</v>
      </c>
      <c r="K3024" s="25" t="str">
        <f t="shared" si="41"/>
        <v/>
      </c>
      <c r="L3024" s="25" t="str">
        <f t="shared" si="42"/>
        <v/>
      </c>
      <c r="M3024" s="25"/>
      <c r="O3024" s="25"/>
    </row>
    <row r="3025" ht="15.75" customHeight="1">
      <c r="A3025" s="25" t="str">
        <f>IFERROR(__xludf.DUMMYFUNCTION("IF(B3025="""","""",RIGHT(REGEXREPLACE(B3025&amp;"""",""[^0-9]"",""""),9))"),"702742670")</f>
        <v>702742670</v>
      </c>
      <c r="B3025" s="52">
        <v>7.0274267E8</v>
      </c>
      <c r="C3025" s="28" t="s">
        <v>3170</v>
      </c>
      <c r="D3025" s="26" t="s">
        <v>64</v>
      </c>
      <c r="E3025" s="31">
        <v>46230.0</v>
      </c>
      <c r="F3025" s="26" t="s">
        <v>46</v>
      </c>
      <c r="G3025" s="26">
        <v>11.0</v>
      </c>
      <c r="H3025" s="26" t="s">
        <v>796</v>
      </c>
      <c r="I3025" s="26" t="s">
        <v>42</v>
      </c>
      <c r="J3025" s="25" t="str">
        <f t="shared" si="40"/>
        <v>Yes - see Previous F-Code</v>
      </c>
      <c r="K3025" s="25" t="str">
        <f t="shared" si="41"/>
        <v>DUPLICATE - CHECK</v>
      </c>
      <c r="L3025" s="25" t="str">
        <f t="shared" si="42"/>
        <v>F71852</v>
      </c>
      <c r="M3025" s="25"/>
      <c r="O3025" s="25"/>
    </row>
    <row r="3026" ht="15.75" customHeight="1">
      <c r="A3026" s="25" t="str">
        <f>IFERROR(__xludf.DUMMYFUNCTION("IF(B3026="""","""",RIGHT(REGEXREPLACE(B3026&amp;"""",""[^0-9]"",""""),9))"),"712951937")</f>
        <v>712951937</v>
      </c>
      <c r="B3026" s="52">
        <v>7.12951937E8</v>
      </c>
      <c r="C3026" s="28" t="s">
        <v>3171</v>
      </c>
      <c r="D3026" s="26" t="s">
        <v>82</v>
      </c>
      <c r="E3026" s="31">
        <v>46230.0</v>
      </c>
      <c r="F3026" s="26" t="s">
        <v>46</v>
      </c>
      <c r="G3026" s="26">
        <v>11.0</v>
      </c>
      <c r="I3026" s="26" t="s">
        <v>42</v>
      </c>
      <c r="J3026" s="25" t="str">
        <f t="shared" si="40"/>
        <v>No</v>
      </c>
      <c r="K3026" s="25" t="str">
        <f t="shared" si="41"/>
        <v/>
      </c>
      <c r="L3026" s="25" t="str">
        <f t="shared" si="42"/>
        <v/>
      </c>
      <c r="M3026" s="25"/>
      <c r="O3026" s="25"/>
    </row>
    <row r="3027" ht="15.75" customHeight="1">
      <c r="A3027" s="25" t="str">
        <f>IFERROR(__xludf.DUMMYFUNCTION("IF(B3027="""","""",RIGHT(REGEXREPLACE(B3027&amp;"""",""[^0-9]"",""""),9))"),"764873492")</f>
        <v>764873492</v>
      </c>
      <c r="B3027" s="52">
        <v>7.64873492E8</v>
      </c>
      <c r="C3027" s="28" t="s">
        <v>2279</v>
      </c>
      <c r="D3027" s="26" t="s">
        <v>45</v>
      </c>
      <c r="E3027" s="31">
        <v>46230.0</v>
      </c>
      <c r="F3027" s="26" t="s">
        <v>164</v>
      </c>
      <c r="H3027" s="26" t="s">
        <v>2605</v>
      </c>
      <c r="I3027" s="26" t="s">
        <v>42</v>
      </c>
      <c r="J3027" s="25" t="str">
        <f t="shared" si="40"/>
        <v>Yes - see Previous F-Code</v>
      </c>
      <c r="K3027" s="25" t="str">
        <f t="shared" si="41"/>
        <v>DUPLICATE - CHECK</v>
      </c>
      <c r="L3027" s="25" t="str">
        <f t="shared" si="42"/>
        <v>F71977</v>
      </c>
      <c r="M3027" s="25"/>
      <c r="O3027" s="25"/>
    </row>
    <row r="3028" ht="15.75" customHeight="1">
      <c r="A3028" s="25" t="str">
        <f>IFERROR(__xludf.DUMMYFUNCTION("IF(B3028="""","""",RIGHT(REGEXREPLACE(B3028&amp;"""",""[^0-9]"",""""),9))"),"756924082")</f>
        <v>756924082</v>
      </c>
      <c r="B3028" s="52">
        <v>7.56924082E8</v>
      </c>
      <c r="C3028" s="28" t="s">
        <v>3172</v>
      </c>
      <c r="D3028" s="26" t="s">
        <v>49</v>
      </c>
      <c r="E3028" s="31">
        <v>46230.0</v>
      </c>
      <c r="F3028" s="26" t="s">
        <v>46</v>
      </c>
      <c r="G3028" s="26">
        <v>10.0</v>
      </c>
      <c r="I3028" s="26" t="s">
        <v>42</v>
      </c>
      <c r="J3028" s="25" t="str">
        <f t="shared" si="40"/>
        <v>No</v>
      </c>
      <c r="K3028" s="25" t="str">
        <f t="shared" si="41"/>
        <v/>
      </c>
      <c r="L3028" s="25" t="str">
        <f t="shared" si="42"/>
        <v/>
      </c>
      <c r="M3028" s="25"/>
      <c r="O3028" s="25"/>
    </row>
    <row r="3029" ht="15.75" customHeight="1">
      <c r="A3029" s="25" t="str">
        <f>IFERROR(__xludf.DUMMYFUNCTION("IF(B3029="""","""",RIGHT(REGEXREPLACE(B3029&amp;"""",""[^0-9]"",""""),9))"),"715596326")</f>
        <v>715596326</v>
      </c>
      <c r="B3029" s="52">
        <v>7.15596326E8</v>
      </c>
      <c r="C3029" s="28" t="s">
        <v>3173</v>
      </c>
      <c r="D3029" s="26" t="s">
        <v>45</v>
      </c>
      <c r="E3029" s="31">
        <v>46230.0</v>
      </c>
      <c r="F3029" s="26" t="s">
        <v>46</v>
      </c>
      <c r="G3029" s="26">
        <v>11.0</v>
      </c>
      <c r="I3029" s="26" t="s">
        <v>42</v>
      </c>
      <c r="J3029" s="25" t="str">
        <f t="shared" si="40"/>
        <v>No</v>
      </c>
      <c r="K3029" s="25" t="str">
        <f t="shared" si="41"/>
        <v/>
      </c>
      <c r="L3029" s="25" t="str">
        <f t="shared" si="42"/>
        <v/>
      </c>
      <c r="M3029" s="25"/>
      <c r="O3029" s="25"/>
    </row>
    <row r="3030" ht="15.75" customHeight="1">
      <c r="A3030" s="25" t="str">
        <f>IFERROR(__xludf.DUMMYFUNCTION("IF(B3030="""","""",RIGHT(REGEXREPLACE(B3030&amp;"""",""[^0-9]"",""""),9))"),"764271585")</f>
        <v>764271585</v>
      </c>
      <c r="B3030" s="52">
        <v>7.64271585E8</v>
      </c>
      <c r="C3030" s="28" t="s">
        <v>3174</v>
      </c>
      <c r="D3030" s="26" t="s">
        <v>45</v>
      </c>
      <c r="E3030" s="31">
        <v>46230.0</v>
      </c>
      <c r="F3030" s="26" t="s">
        <v>205</v>
      </c>
      <c r="H3030" s="26" t="s">
        <v>2605</v>
      </c>
      <c r="I3030" s="26" t="s">
        <v>42</v>
      </c>
      <c r="J3030" s="25" t="str">
        <f t="shared" si="40"/>
        <v>No</v>
      </c>
      <c r="K3030" s="25" t="str">
        <f t="shared" si="41"/>
        <v/>
      </c>
      <c r="L3030" s="25" t="str">
        <f t="shared" si="42"/>
        <v/>
      </c>
      <c r="M3030" s="25"/>
      <c r="O3030" s="26" t="s">
        <v>51</v>
      </c>
    </row>
    <row r="3031" ht="15.75" customHeight="1">
      <c r="A3031" s="25" t="str">
        <f>IFERROR(__xludf.DUMMYFUNCTION("IF(B3031="""","""",RIGHT(REGEXREPLACE(B3031&amp;"""",""[^0-9]"",""""),9))"),"741964653")</f>
        <v>741964653</v>
      </c>
      <c r="B3031" s="52">
        <v>7.41964653E8</v>
      </c>
      <c r="C3031" s="28" t="s">
        <v>3175</v>
      </c>
      <c r="D3031" s="26" t="s">
        <v>69</v>
      </c>
      <c r="E3031" s="31">
        <v>46230.0</v>
      </c>
      <c r="F3031" s="26" t="s">
        <v>205</v>
      </c>
      <c r="I3031" s="26" t="s">
        <v>42</v>
      </c>
      <c r="J3031" s="25" t="str">
        <f t="shared" si="40"/>
        <v>No</v>
      </c>
      <c r="K3031" s="25" t="str">
        <f t="shared" si="41"/>
        <v/>
      </c>
      <c r="L3031" s="25" t="str">
        <f t="shared" si="42"/>
        <v/>
      </c>
      <c r="M3031" s="25"/>
      <c r="O3031" s="25"/>
    </row>
    <row r="3032" ht="15.75" customHeight="1">
      <c r="A3032" s="25" t="str">
        <f>IFERROR(__xludf.DUMMYFUNCTION("IF(B3032="""","""",RIGHT(REGEXREPLACE(B3032&amp;"""",""[^0-9]"",""""),9))"),"757628745")</f>
        <v>757628745</v>
      </c>
      <c r="B3032" s="52">
        <v>7.57628745E8</v>
      </c>
      <c r="C3032" s="28" t="s">
        <v>3176</v>
      </c>
      <c r="D3032" s="26" t="s">
        <v>82</v>
      </c>
      <c r="E3032" s="31">
        <v>46230.0</v>
      </c>
      <c r="F3032" s="26" t="s">
        <v>46</v>
      </c>
      <c r="G3032" s="26">
        <v>11.0</v>
      </c>
      <c r="I3032" s="26" t="s">
        <v>42</v>
      </c>
      <c r="J3032" s="25" t="str">
        <f t="shared" si="40"/>
        <v>No</v>
      </c>
      <c r="K3032" s="25" t="str">
        <f t="shared" si="41"/>
        <v/>
      </c>
      <c r="L3032" s="25" t="str">
        <f t="shared" si="42"/>
        <v/>
      </c>
      <c r="M3032" s="25"/>
      <c r="O3032" s="25"/>
    </row>
    <row r="3033" ht="15.75" customHeight="1">
      <c r="A3033" s="25" t="str">
        <f>IFERROR(__xludf.DUMMYFUNCTION("IF(B3033="""","""",RIGHT(REGEXREPLACE(B3033&amp;"""",""[^0-9]"",""""),9))"),"771827701")</f>
        <v>771827701</v>
      </c>
      <c r="B3033" s="52">
        <v>7.71827701E8</v>
      </c>
      <c r="C3033" s="28" t="s">
        <v>3177</v>
      </c>
      <c r="D3033" s="26" t="s">
        <v>49</v>
      </c>
      <c r="E3033" s="31">
        <v>46230.0</v>
      </c>
      <c r="F3033" s="26" t="s">
        <v>46</v>
      </c>
      <c r="G3033" s="26">
        <v>11.0</v>
      </c>
      <c r="I3033" s="26" t="s">
        <v>42</v>
      </c>
      <c r="J3033" s="25" t="str">
        <f t="shared" si="40"/>
        <v>No</v>
      </c>
      <c r="K3033" s="25" t="str">
        <f t="shared" si="41"/>
        <v/>
      </c>
      <c r="L3033" s="25" t="str">
        <f t="shared" si="42"/>
        <v/>
      </c>
      <c r="M3033" s="25"/>
      <c r="O3033" s="25"/>
    </row>
    <row r="3034" ht="15.75" customHeight="1">
      <c r="C3034" s="46"/>
      <c r="D3034" s="25"/>
      <c r="F3034" s="25"/>
      <c r="I3034" s="26" t="s">
        <v>42</v>
      </c>
      <c r="M3034" s="25"/>
      <c r="O3034" s="25"/>
    </row>
    <row r="3035" ht="15.75" customHeight="1">
      <c r="A3035" s="25" t="str">
        <f>IFERROR(__xludf.DUMMYFUNCTION("IF(B3035="""","""",RIGHT(REGEXREPLACE(B3035&amp;"""",""[^0-9]"",""""),9))"),"717317316")</f>
        <v>717317316</v>
      </c>
      <c r="B3035" s="52">
        <v>7.17317316E8</v>
      </c>
      <c r="C3035" s="28" t="s">
        <v>3178</v>
      </c>
      <c r="D3035" s="26" t="s">
        <v>45</v>
      </c>
      <c r="E3035" s="31">
        <v>46230.0</v>
      </c>
      <c r="F3035" s="26" t="s">
        <v>41</v>
      </c>
      <c r="H3035" s="26" t="s">
        <v>2605</v>
      </c>
      <c r="I3035" s="26" t="s">
        <v>42</v>
      </c>
      <c r="J3035" s="25" t="str">
        <f t="shared" ref="J3035:J3131" si="43">IF(COUNTIF($A$2:A3034,A3035)&gt;0,"Yes - see Previous F-Code","No")</f>
        <v>No</v>
      </c>
      <c r="K3035" s="25" t="str">
        <f t="shared" ref="K3035:K3131" si="44">IF(COUNTIFS($A$2:A3035,A3035,$I$2:I3035,I3035)&gt;1,"DUPLICATE - CHECK","")</f>
        <v/>
      </c>
      <c r="L3035" s="25" t="str">
        <f t="shared" ref="L3035:L3131" si="45">IF(COUNTIF($A$2:A3034,A3035)&gt;0,INDEX($C$2:C3034,MATCH(A3035,$A$2:A3034,0)),"")</f>
        <v/>
      </c>
      <c r="M3035" s="25"/>
      <c r="O3035" s="25"/>
    </row>
    <row r="3036" ht="15.75" customHeight="1">
      <c r="A3036" s="25" t="str">
        <f>IFERROR(__xludf.DUMMYFUNCTION("IF(B3036="""","""",RIGHT(REGEXREPLACE(B3036&amp;"""",""[^0-9]"",""""),9))"),"772046831")</f>
        <v>772046831</v>
      </c>
      <c r="B3036" s="52">
        <v>7.72046831E8</v>
      </c>
      <c r="C3036" s="28" t="s">
        <v>3179</v>
      </c>
      <c r="D3036" s="26" t="s">
        <v>64</v>
      </c>
      <c r="E3036" s="31">
        <v>46230.0</v>
      </c>
      <c r="F3036" s="26" t="s">
        <v>205</v>
      </c>
      <c r="H3036" s="26" t="s">
        <v>1526</v>
      </c>
      <c r="I3036" s="26" t="s">
        <v>42</v>
      </c>
      <c r="J3036" s="25" t="str">
        <f t="shared" si="43"/>
        <v>No</v>
      </c>
      <c r="K3036" s="25" t="str">
        <f t="shared" si="44"/>
        <v/>
      </c>
      <c r="L3036" s="25" t="str">
        <f t="shared" si="45"/>
        <v/>
      </c>
      <c r="M3036" s="25"/>
      <c r="O3036" s="25"/>
    </row>
    <row r="3037" ht="15.75" customHeight="1">
      <c r="A3037" s="25" t="str">
        <f>IFERROR(__xludf.DUMMYFUNCTION("IF(B3037="""","""",RIGHT(REGEXREPLACE(B3037&amp;"""",""[^0-9]"",""""),9))"),"753144494")</f>
        <v>753144494</v>
      </c>
      <c r="B3037" s="52">
        <v>7.53144494E8</v>
      </c>
      <c r="C3037" s="28" t="s">
        <v>3180</v>
      </c>
      <c r="D3037" s="26" t="s">
        <v>82</v>
      </c>
      <c r="E3037" s="31">
        <v>46230.0</v>
      </c>
      <c r="F3037" s="26" t="s">
        <v>46</v>
      </c>
      <c r="G3037" s="26">
        <v>10.0</v>
      </c>
      <c r="I3037" s="26" t="s">
        <v>42</v>
      </c>
      <c r="J3037" s="25" t="str">
        <f t="shared" si="43"/>
        <v>No</v>
      </c>
      <c r="K3037" s="25" t="str">
        <f t="shared" si="44"/>
        <v/>
      </c>
      <c r="L3037" s="25" t="str">
        <f t="shared" si="45"/>
        <v/>
      </c>
      <c r="M3037" s="25"/>
      <c r="O3037" s="25"/>
    </row>
    <row r="3038" ht="15.75" customHeight="1">
      <c r="A3038" s="25" t="str">
        <f>IFERROR(__xludf.DUMMYFUNCTION("IF(B3038="""","""",RIGHT(REGEXREPLACE(B3038&amp;"""",""[^0-9]"",""""),9))"),"712061318")</f>
        <v>712061318</v>
      </c>
      <c r="B3038" s="52">
        <v>7.12061318E8</v>
      </c>
      <c r="C3038" s="28" t="s">
        <v>2533</v>
      </c>
      <c r="D3038" s="26" t="s">
        <v>49</v>
      </c>
      <c r="E3038" s="31">
        <v>46230.0</v>
      </c>
      <c r="F3038" s="26" t="s">
        <v>41</v>
      </c>
      <c r="I3038" s="26" t="s">
        <v>42</v>
      </c>
      <c r="J3038" s="25" t="str">
        <f t="shared" si="43"/>
        <v>Yes - see Previous F-Code</v>
      </c>
      <c r="K3038" s="25" t="str">
        <f t="shared" si="44"/>
        <v>DUPLICATE - CHECK</v>
      </c>
      <c r="L3038" s="25" t="str">
        <f t="shared" si="45"/>
        <v>F72225</v>
      </c>
      <c r="M3038" s="25"/>
      <c r="O3038" s="25"/>
    </row>
    <row r="3039" ht="15.75" customHeight="1">
      <c r="A3039" s="25" t="str">
        <f>IFERROR(__xludf.DUMMYFUNCTION("IF(B3039="""","""",RIGHT(REGEXREPLACE(B3039&amp;"""",""[^0-9]"",""""),9))"),"772593599")</f>
        <v>772593599</v>
      </c>
      <c r="B3039" s="52">
        <v>7.72593599E8</v>
      </c>
      <c r="C3039" s="28" t="s">
        <v>3181</v>
      </c>
      <c r="D3039" s="26" t="s">
        <v>45</v>
      </c>
      <c r="E3039" s="31">
        <v>46230.0</v>
      </c>
      <c r="F3039" s="26" t="s">
        <v>125</v>
      </c>
      <c r="H3039" s="26" t="s">
        <v>2605</v>
      </c>
      <c r="I3039" s="26" t="s">
        <v>42</v>
      </c>
      <c r="J3039" s="25" t="str">
        <f t="shared" si="43"/>
        <v>No</v>
      </c>
      <c r="K3039" s="25" t="str">
        <f t="shared" si="44"/>
        <v/>
      </c>
      <c r="L3039" s="25" t="str">
        <f t="shared" si="45"/>
        <v/>
      </c>
      <c r="M3039" s="25"/>
      <c r="O3039" s="25"/>
    </row>
    <row r="3040" ht="15.75" customHeight="1">
      <c r="A3040" s="25" t="str">
        <f>IFERROR(__xludf.DUMMYFUNCTION("IF(B3040="""","""",RIGHT(REGEXREPLACE(B3040&amp;"""",""[^0-9]"",""""),9))"),"775741394")</f>
        <v>775741394</v>
      </c>
      <c r="B3040" s="52">
        <v>7.75741394E8</v>
      </c>
      <c r="C3040" s="28" t="s">
        <v>3182</v>
      </c>
      <c r="D3040" s="26" t="s">
        <v>69</v>
      </c>
      <c r="E3040" s="31">
        <v>46230.0</v>
      </c>
      <c r="F3040" s="26" t="s">
        <v>41</v>
      </c>
      <c r="I3040" s="26" t="s">
        <v>42</v>
      </c>
      <c r="J3040" s="25" t="str">
        <f t="shared" si="43"/>
        <v>No</v>
      </c>
      <c r="K3040" s="25" t="str">
        <f t="shared" si="44"/>
        <v/>
      </c>
      <c r="L3040" s="25" t="str">
        <f t="shared" si="45"/>
        <v/>
      </c>
      <c r="M3040" s="25"/>
      <c r="O3040" s="25"/>
    </row>
    <row r="3041" ht="15.75" customHeight="1">
      <c r="A3041" s="25" t="str">
        <f>IFERROR(__xludf.DUMMYFUNCTION("IF(B3041="""","""",RIGHT(REGEXREPLACE(B3041&amp;"""",""[^0-9]"",""""),9))"),"701393444")</f>
        <v>701393444</v>
      </c>
      <c r="B3041" s="52">
        <v>7.01393444E8</v>
      </c>
      <c r="C3041" s="28" t="s">
        <v>3182</v>
      </c>
      <c r="D3041" s="26" t="s">
        <v>64</v>
      </c>
      <c r="E3041" s="31">
        <v>46230.0</v>
      </c>
      <c r="F3041" s="26" t="s">
        <v>46</v>
      </c>
      <c r="G3041" s="26">
        <v>11.0</v>
      </c>
      <c r="H3041" s="26" t="s">
        <v>1526</v>
      </c>
      <c r="I3041" s="26" t="s">
        <v>42</v>
      </c>
      <c r="J3041" s="25" t="str">
        <f t="shared" si="43"/>
        <v>No</v>
      </c>
      <c r="K3041" s="25" t="str">
        <f t="shared" si="44"/>
        <v/>
      </c>
      <c r="L3041" s="25" t="str">
        <f t="shared" si="45"/>
        <v/>
      </c>
      <c r="M3041" s="25"/>
      <c r="O3041" s="25"/>
    </row>
    <row r="3042" ht="15.75" customHeight="1">
      <c r="A3042" s="25" t="str">
        <f>IFERROR(__xludf.DUMMYFUNCTION("IF(B3042="""","""",RIGHT(REGEXREPLACE(B3042&amp;"""",""[^0-9]"",""""),9))"),"723837659")</f>
        <v>723837659</v>
      </c>
      <c r="B3042" s="52">
        <v>7.23837659E8</v>
      </c>
      <c r="C3042" s="28" t="s">
        <v>3183</v>
      </c>
      <c r="D3042" s="26" t="s">
        <v>45</v>
      </c>
      <c r="E3042" s="31">
        <v>46230.0</v>
      </c>
      <c r="F3042" s="26" t="s">
        <v>46</v>
      </c>
      <c r="G3042" s="26">
        <v>11.0</v>
      </c>
      <c r="I3042" s="26" t="s">
        <v>42</v>
      </c>
      <c r="J3042" s="25" t="str">
        <f t="shared" si="43"/>
        <v>No</v>
      </c>
      <c r="K3042" s="25" t="str">
        <f t="shared" si="44"/>
        <v/>
      </c>
      <c r="L3042" s="25" t="str">
        <f t="shared" si="45"/>
        <v/>
      </c>
      <c r="M3042" s="25"/>
      <c r="O3042" s="25"/>
    </row>
    <row r="3043" ht="15.75" customHeight="1">
      <c r="A3043" s="25" t="str">
        <f>IFERROR(__xludf.DUMMYFUNCTION("IF(B3043="""","""",RIGHT(REGEXREPLACE(B3043&amp;"""",""[^0-9]"",""""),9))"),"777815389")</f>
        <v>777815389</v>
      </c>
      <c r="B3043" s="52">
        <v>7.77815389E8</v>
      </c>
      <c r="C3043" s="28" t="s">
        <v>3184</v>
      </c>
      <c r="D3043" s="26" t="s">
        <v>49</v>
      </c>
      <c r="E3043" s="31">
        <v>46230.0</v>
      </c>
      <c r="F3043" s="26" t="s">
        <v>659</v>
      </c>
      <c r="I3043" s="26" t="s">
        <v>42</v>
      </c>
      <c r="J3043" s="25" t="str">
        <f t="shared" si="43"/>
        <v>No</v>
      </c>
      <c r="K3043" s="25" t="str">
        <f t="shared" si="44"/>
        <v/>
      </c>
      <c r="L3043" s="25" t="str">
        <f t="shared" si="45"/>
        <v/>
      </c>
      <c r="M3043" s="25"/>
      <c r="O3043" s="25"/>
    </row>
    <row r="3044" ht="15.75" customHeight="1">
      <c r="A3044" s="25" t="str">
        <f>IFERROR(__xludf.DUMMYFUNCTION("IF(B3044="""","""",RIGHT(REGEXREPLACE(B3044&amp;"""",""[^0-9]"",""""),9))"),"740686823")</f>
        <v>740686823</v>
      </c>
      <c r="B3044" s="52">
        <v>7.40686823E8</v>
      </c>
      <c r="C3044" s="28" t="s">
        <v>3185</v>
      </c>
      <c r="D3044" s="26" t="s">
        <v>56</v>
      </c>
      <c r="E3044" s="31">
        <v>46230.0</v>
      </c>
      <c r="F3044" s="26" t="s">
        <v>46</v>
      </c>
      <c r="G3044" s="26">
        <v>9.0</v>
      </c>
      <c r="H3044" s="26" t="s">
        <v>796</v>
      </c>
      <c r="I3044" s="26" t="s">
        <v>42</v>
      </c>
      <c r="J3044" s="25" t="str">
        <f t="shared" si="43"/>
        <v>No</v>
      </c>
      <c r="K3044" s="25" t="str">
        <f t="shared" si="44"/>
        <v/>
      </c>
      <c r="L3044" s="25" t="str">
        <f t="shared" si="45"/>
        <v/>
      </c>
      <c r="M3044" s="25"/>
      <c r="O3044" s="25"/>
    </row>
    <row r="3045" ht="15.75" customHeight="1">
      <c r="A3045" s="25" t="str">
        <f>IFERROR(__xludf.DUMMYFUNCTION("IF(B3045="""","""",RIGHT(REGEXREPLACE(B3045&amp;"""",""[^0-9]"",""""),9))"),"715300936")</f>
        <v>715300936</v>
      </c>
      <c r="B3045" s="52">
        <v>7.15300936E8</v>
      </c>
      <c r="C3045" s="28" t="s">
        <v>3185</v>
      </c>
      <c r="D3045" s="26" t="s">
        <v>82</v>
      </c>
      <c r="E3045" s="31">
        <v>46230.0</v>
      </c>
      <c r="F3045" s="26" t="s">
        <v>41</v>
      </c>
      <c r="I3045" s="26" t="s">
        <v>42</v>
      </c>
      <c r="J3045" s="25" t="str">
        <f t="shared" si="43"/>
        <v>No</v>
      </c>
      <c r="K3045" s="25" t="str">
        <f t="shared" si="44"/>
        <v/>
      </c>
      <c r="L3045" s="25" t="str">
        <f t="shared" si="45"/>
        <v/>
      </c>
      <c r="M3045" s="25"/>
      <c r="O3045" s="25"/>
    </row>
    <row r="3046" ht="15.75" customHeight="1">
      <c r="A3046" s="25" t="str">
        <f>IFERROR(__xludf.DUMMYFUNCTION("IF(B3046="""","""",RIGHT(REGEXREPLACE(B3046&amp;"""",""[^0-9]"",""""),9))"),"762108487")</f>
        <v>762108487</v>
      </c>
      <c r="B3046" s="52">
        <v>7.62108487E8</v>
      </c>
      <c r="C3046" s="28" t="s">
        <v>3186</v>
      </c>
      <c r="D3046" s="26" t="s">
        <v>69</v>
      </c>
      <c r="E3046" s="31">
        <v>46230.0</v>
      </c>
      <c r="F3046" s="26" t="s">
        <v>659</v>
      </c>
      <c r="I3046" s="26" t="s">
        <v>42</v>
      </c>
      <c r="J3046" s="25" t="str">
        <f t="shared" si="43"/>
        <v>No</v>
      </c>
      <c r="K3046" s="25" t="str">
        <f t="shared" si="44"/>
        <v/>
      </c>
      <c r="L3046" s="25" t="str">
        <f t="shared" si="45"/>
        <v/>
      </c>
      <c r="M3046" s="25"/>
      <c r="O3046" s="25"/>
    </row>
    <row r="3047" ht="15.75" customHeight="1">
      <c r="A3047" s="25" t="str">
        <f>IFERROR(__xludf.DUMMYFUNCTION("IF(B3047="""","""",RIGHT(REGEXREPLACE(B3047&amp;"""",""[^0-9]"",""""),9))"),"771945401")</f>
        <v>771945401</v>
      </c>
      <c r="B3047" s="52">
        <v>7.71945401E8</v>
      </c>
      <c r="C3047" s="28" t="s">
        <v>3187</v>
      </c>
      <c r="D3047" s="26" t="s">
        <v>64</v>
      </c>
      <c r="E3047" s="31">
        <v>46230.0</v>
      </c>
      <c r="F3047" s="26" t="s">
        <v>205</v>
      </c>
      <c r="H3047" s="26" t="s">
        <v>1526</v>
      </c>
      <c r="I3047" s="26" t="s">
        <v>42</v>
      </c>
      <c r="J3047" s="25" t="str">
        <f t="shared" si="43"/>
        <v>No</v>
      </c>
      <c r="K3047" s="25" t="str">
        <f t="shared" si="44"/>
        <v/>
      </c>
      <c r="L3047" s="25" t="str">
        <f t="shared" si="45"/>
        <v/>
      </c>
      <c r="M3047" s="25"/>
      <c r="O3047" s="25"/>
    </row>
    <row r="3048" ht="15.75" customHeight="1">
      <c r="A3048" s="25" t="str">
        <f>IFERROR(__xludf.DUMMYFUNCTION("IF(B3048="""","""",RIGHT(REGEXREPLACE(B3048&amp;"""",""[^0-9]"",""""),9))"),"764581241")</f>
        <v>764581241</v>
      </c>
      <c r="B3048" s="52">
        <v>7.64581241E8</v>
      </c>
      <c r="C3048" s="28" t="s">
        <v>3188</v>
      </c>
      <c r="D3048" s="26" t="s">
        <v>49</v>
      </c>
      <c r="E3048" s="31">
        <v>46230.0</v>
      </c>
      <c r="F3048" s="26" t="s">
        <v>164</v>
      </c>
      <c r="I3048" s="26" t="s">
        <v>42</v>
      </c>
      <c r="J3048" s="25" t="str">
        <f t="shared" si="43"/>
        <v>No</v>
      </c>
      <c r="K3048" s="25" t="str">
        <f t="shared" si="44"/>
        <v/>
      </c>
      <c r="L3048" s="25" t="str">
        <f t="shared" si="45"/>
        <v/>
      </c>
      <c r="M3048" s="25"/>
      <c r="O3048" s="25"/>
    </row>
    <row r="3049" ht="15.75" customHeight="1">
      <c r="A3049" s="25" t="str">
        <f>IFERROR(__xludf.DUMMYFUNCTION("IF(B3049="""","""",RIGHT(REGEXREPLACE(B3049&amp;"""",""[^0-9]"",""""),9))"),"773884039")</f>
        <v>773884039</v>
      </c>
      <c r="B3049" s="52">
        <v>7.73884039E8</v>
      </c>
      <c r="C3049" s="28" t="s">
        <v>3189</v>
      </c>
      <c r="D3049" s="26" t="s">
        <v>69</v>
      </c>
      <c r="E3049" s="31">
        <v>46230.0</v>
      </c>
      <c r="F3049" s="26" t="s">
        <v>46</v>
      </c>
      <c r="G3049" s="26">
        <v>11.0</v>
      </c>
      <c r="I3049" s="26" t="s">
        <v>42</v>
      </c>
      <c r="J3049" s="25" t="str">
        <f t="shared" si="43"/>
        <v>No</v>
      </c>
      <c r="K3049" s="25" t="str">
        <f t="shared" si="44"/>
        <v/>
      </c>
      <c r="L3049" s="25" t="str">
        <f t="shared" si="45"/>
        <v/>
      </c>
      <c r="M3049" s="25"/>
      <c r="O3049" s="25"/>
    </row>
    <row r="3050" ht="15.75" customHeight="1">
      <c r="A3050" s="25" t="str">
        <f>IFERROR(__xludf.DUMMYFUNCTION("IF(B3050="""","""",RIGHT(REGEXREPLACE(B3050&amp;"""",""[^0-9]"",""""),9))"),"764409872")</f>
        <v>764409872</v>
      </c>
      <c r="B3050" s="52">
        <v>7.64409872E8</v>
      </c>
      <c r="C3050" s="28" t="s">
        <v>2389</v>
      </c>
      <c r="D3050" s="26" t="s">
        <v>49</v>
      </c>
      <c r="E3050" s="31">
        <v>46230.0</v>
      </c>
      <c r="F3050" s="26" t="s">
        <v>46</v>
      </c>
      <c r="G3050" s="26">
        <v>11.0</v>
      </c>
      <c r="I3050" s="26" t="s">
        <v>42</v>
      </c>
      <c r="J3050" s="25" t="str">
        <f t="shared" si="43"/>
        <v>Yes - see Previous F-Code</v>
      </c>
      <c r="K3050" s="25" t="str">
        <f t="shared" si="44"/>
        <v>DUPLICATE - CHECK</v>
      </c>
      <c r="L3050" s="25" t="str">
        <f t="shared" si="45"/>
        <v>F72084</v>
      </c>
      <c r="M3050" s="25"/>
      <c r="O3050" s="25"/>
    </row>
    <row r="3051" ht="15.75" customHeight="1">
      <c r="A3051" s="25" t="str">
        <f>IFERROR(__xludf.DUMMYFUNCTION("IF(B3051="""","""",RIGHT(REGEXREPLACE(B3051&amp;"""",""[^0-9]"",""""),9))"),"760952851")</f>
        <v>760952851</v>
      </c>
      <c r="B3051" s="52">
        <v>7.60952851E8</v>
      </c>
      <c r="C3051" s="28" t="s">
        <v>3190</v>
      </c>
      <c r="D3051" s="26" t="s">
        <v>82</v>
      </c>
      <c r="E3051" s="31">
        <v>46230.0</v>
      </c>
      <c r="F3051" s="26" t="s">
        <v>659</v>
      </c>
      <c r="I3051" s="26" t="s">
        <v>42</v>
      </c>
      <c r="J3051" s="25" t="str">
        <f t="shared" si="43"/>
        <v>No</v>
      </c>
      <c r="K3051" s="25" t="str">
        <f t="shared" si="44"/>
        <v/>
      </c>
      <c r="L3051" s="25" t="str">
        <f t="shared" si="45"/>
        <v/>
      </c>
      <c r="M3051" s="25"/>
      <c r="O3051" s="25"/>
    </row>
    <row r="3052" ht="15.75" customHeight="1">
      <c r="A3052" s="25" t="str">
        <f>IFERROR(__xludf.DUMMYFUNCTION("IF(B3052="""","""",RIGHT(REGEXREPLACE(B3052&amp;"""",""[^0-9]"",""""),9))"),"763038455")</f>
        <v>763038455</v>
      </c>
      <c r="B3052" s="52">
        <v>7.63038455E8</v>
      </c>
      <c r="C3052" s="28" t="s">
        <v>3185</v>
      </c>
      <c r="D3052" s="26" t="s">
        <v>45</v>
      </c>
      <c r="E3052" s="31">
        <v>46230.0</v>
      </c>
      <c r="F3052" s="26" t="s">
        <v>41</v>
      </c>
      <c r="H3052" s="26" t="s">
        <v>796</v>
      </c>
      <c r="I3052" s="26" t="s">
        <v>42</v>
      </c>
      <c r="J3052" s="25" t="str">
        <f t="shared" si="43"/>
        <v>Yes - see Previous F-Code</v>
      </c>
      <c r="K3052" s="25" t="str">
        <f t="shared" si="44"/>
        <v>DUPLICATE - CHECK</v>
      </c>
      <c r="L3052" s="25" t="str">
        <f t="shared" si="45"/>
        <v>F71742</v>
      </c>
      <c r="M3052" s="25"/>
      <c r="O3052" s="25"/>
    </row>
    <row r="3053" ht="15.75" customHeight="1">
      <c r="A3053" s="25" t="str">
        <f>IFERROR(__xludf.DUMMYFUNCTION("IF(B3053="""","""",RIGHT(REGEXREPLACE(B3053&amp;"""",""[^0-9]"",""""),9))"),"701893411")</f>
        <v>701893411</v>
      </c>
      <c r="B3053" s="52">
        <v>7.01893411E8</v>
      </c>
      <c r="C3053" s="28" t="s">
        <v>3185</v>
      </c>
      <c r="D3053" s="26" t="s">
        <v>64</v>
      </c>
      <c r="E3053" s="31">
        <v>46230.0</v>
      </c>
      <c r="F3053" s="26" t="s">
        <v>46</v>
      </c>
      <c r="G3053" s="26">
        <v>11.0</v>
      </c>
      <c r="H3053" s="26" t="s">
        <v>796</v>
      </c>
      <c r="I3053" s="26" t="s">
        <v>42</v>
      </c>
      <c r="J3053" s="25" t="str">
        <f t="shared" si="43"/>
        <v>No</v>
      </c>
      <c r="K3053" s="25" t="str">
        <f t="shared" si="44"/>
        <v/>
      </c>
      <c r="L3053" s="25" t="str">
        <f t="shared" si="45"/>
        <v/>
      </c>
      <c r="M3053" s="25"/>
      <c r="O3053" s="25"/>
    </row>
    <row r="3054" ht="15.75" customHeight="1">
      <c r="A3054" s="25" t="str">
        <f>IFERROR(__xludf.DUMMYFUNCTION("IF(B3054="""","""",RIGHT(REGEXREPLACE(B3054&amp;"""",""[^0-9]"",""""),9))"),"761203337")</f>
        <v>761203337</v>
      </c>
      <c r="B3054" s="52">
        <v>7.61203337E8</v>
      </c>
      <c r="C3054" s="28" t="s">
        <v>2038</v>
      </c>
      <c r="D3054" s="26" t="s">
        <v>56</v>
      </c>
      <c r="E3054" s="31">
        <v>46230.0</v>
      </c>
      <c r="F3054" s="26" t="s">
        <v>41</v>
      </c>
      <c r="H3054" s="26" t="s">
        <v>796</v>
      </c>
      <c r="I3054" s="26" t="s">
        <v>42</v>
      </c>
      <c r="J3054" s="25" t="str">
        <f t="shared" si="43"/>
        <v>No</v>
      </c>
      <c r="K3054" s="25" t="str">
        <f t="shared" si="44"/>
        <v/>
      </c>
      <c r="L3054" s="25" t="str">
        <f t="shared" si="45"/>
        <v/>
      </c>
      <c r="M3054" s="25"/>
      <c r="O3054" s="25"/>
    </row>
    <row r="3055" ht="15.75" customHeight="1">
      <c r="A3055" s="25" t="str">
        <f>IFERROR(__xludf.DUMMYFUNCTION("IF(B3055="""","""",RIGHT(REGEXREPLACE(B3055&amp;"""",""[^0-9]"",""""),9))"),"773530717")</f>
        <v>773530717</v>
      </c>
      <c r="B3055" s="52">
        <v>7.73530717E8</v>
      </c>
      <c r="C3055" s="28" t="s">
        <v>3191</v>
      </c>
      <c r="D3055" s="26" t="s">
        <v>82</v>
      </c>
      <c r="E3055" s="31">
        <v>46230.0</v>
      </c>
      <c r="F3055" s="26" t="s">
        <v>46</v>
      </c>
      <c r="G3055" s="26">
        <v>11.0</v>
      </c>
      <c r="I3055" s="26" t="s">
        <v>42</v>
      </c>
      <c r="J3055" s="25" t="str">
        <f t="shared" si="43"/>
        <v>No</v>
      </c>
      <c r="K3055" s="25" t="str">
        <f t="shared" si="44"/>
        <v/>
      </c>
      <c r="L3055" s="25" t="str">
        <f t="shared" si="45"/>
        <v/>
      </c>
      <c r="M3055" s="25"/>
      <c r="O3055" s="25"/>
    </row>
    <row r="3056" ht="15.75" customHeight="1">
      <c r="A3056" s="25" t="str">
        <f>IFERROR(__xludf.DUMMYFUNCTION("IF(B3056="""","""",RIGHT(REGEXREPLACE(B3056&amp;"""",""[^0-9]"",""""),9))"),"704839874")</f>
        <v>704839874</v>
      </c>
      <c r="B3056" s="52">
        <v>7.04839874E8</v>
      </c>
      <c r="C3056" s="28" t="s">
        <v>3192</v>
      </c>
      <c r="D3056" s="26" t="s">
        <v>49</v>
      </c>
      <c r="E3056" s="31">
        <v>46230.0</v>
      </c>
      <c r="F3056" s="26" t="s">
        <v>41</v>
      </c>
      <c r="I3056" s="26" t="s">
        <v>42</v>
      </c>
      <c r="J3056" s="25" t="str">
        <f t="shared" si="43"/>
        <v>No</v>
      </c>
      <c r="K3056" s="25" t="str">
        <f t="shared" si="44"/>
        <v/>
      </c>
      <c r="L3056" s="25" t="str">
        <f t="shared" si="45"/>
        <v/>
      </c>
      <c r="M3056" s="25"/>
      <c r="O3056" s="25"/>
    </row>
    <row r="3057" ht="15.75" customHeight="1">
      <c r="A3057" s="25" t="str">
        <f>IFERROR(__xludf.DUMMYFUNCTION("IF(B3057="""","""",RIGHT(REGEXREPLACE(B3057&amp;"""",""[^0-9]"",""""),9))"),"757693737")</f>
        <v>757693737</v>
      </c>
      <c r="B3057" s="52">
        <v>7.57693737E8</v>
      </c>
      <c r="C3057" s="28" t="s">
        <v>3193</v>
      </c>
      <c r="D3057" s="26" t="s">
        <v>69</v>
      </c>
      <c r="E3057" s="31">
        <v>46230.0</v>
      </c>
      <c r="F3057" s="26" t="s">
        <v>41</v>
      </c>
      <c r="I3057" s="26" t="s">
        <v>42</v>
      </c>
      <c r="J3057" s="25" t="str">
        <f t="shared" si="43"/>
        <v>No</v>
      </c>
      <c r="K3057" s="25" t="str">
        <f t="shared" si="44"/>
        <v/>
      </c>
      <c r="L3057" s="25" t="str">
        <f t="shared" si="45"/>
        <v/>
      </c>
      <c r="M3057" s="25"/>
      <c r="O3057" s="25"/>
    </row>
    <row r="3058" ht="15.75" customHeight="1">
      <c r="A3058" s="25" t="str">
        <f>IFERROR(__xludf.DUMMYFUNCTION("IF(B3058="""","""",RIGHT(REGEXREPLACE(B3058&amp;"""",""[^0-9]"",""""),9))"),"759107333")</f>
        <v>759107333</v>
      </c>
      <c r="B3058" s="52">
        <v>7.59107333E8</v>
      </c>
      <c r="C3058" s="28" t="s">
        <v>2409</v>
      </c>
      <c r="D3058" s="26" t="s">
        <v>56</v>
      </c>
      <c r="E3058" s="31">
        <v>46230.0</v>
      </c>
      <c r="F3058" s="26" t="s">
        <v>46</v>
      </c>
      <c r="H3058" s="26" t="s">
        <v>3194</v>
      </c>
      <c r="I3058" s="26" t="s">
        <v>42</v>
      </c>
      <c r="J3058" s="25" t="str">
        <f t="shared" si="43"/>
        <v>No</v>
      </c>
      <c r="K3058" s="25" t="str">
        <f t="shared" si="44"/>
        <v/>
      </c>
      <c r="L3058" s="25" t="str">
        <f t="shared" si="45"/>
        <v/>
      </c>
      <c r="M3058" s="25"/>
      <c r="O3058" s="25"/>
    </row>
    <row r="3059" ht="15.75" customHeight="1">
      <c r="A3059" s="25" t="str">
        <f>IFERROR(__xludf.DUMMYFUNCTION("IF(B3059="""","""",RIGHT(REGEXREPLACE(B3059&amp;"""",""[^0-9]"",""""),9))"),"715749064")</f>
        <v>715749064</v>
      </c>
      <c r="B3059" s="52">
        <v>7.15749064E8</v>
      </c>
      <c r="C3059" s="28" t="s">
        <v>3195</v>
      </c>
      <c r="D3059" s="26" t="s">
        <v>45</v>
      </c>
      <c r="E3059" s="31">
        <v>46230.0</v>
      </c>
      <c r="F3059" s="26" t="s">
        <v>41</v>
      </c>
      <c r="I3059" s="26" t="s">
        <v>42</v>
      </c>
      <c r="J3059" s="25" t="str">
        <f t="shared" si="43"/>
        <v>No</v>
      </c>
      <c r="K3059" s="25" t="str">
        <f t="shared" si="44"/>
        <v/>
      </c>
      <c r="L3059" s="25" t="str">
        <f t="shared" si="45"/>
        <v/>
      </c>
      <c r="M3059" s="25"/>
      <c r="O3059" s="25"/>
    </row>
    <row r="3060" ht="15.75" customHeight="1">
      <c r="A3060" s="25" t="str">
        <f>IFERROR(__xludf.DUMMYFUNCTION("IF(B3060="""","""",RIGHT(REGEXREPLACE(B3060&amp;"""",""[^0-9]"",""""),9))"),"770294470")</f>
        <v>770294470</v>
      </c>
      <c r="B3060" s="52">
        <v>7.7029447E8</v>
      </c>
      <c r="C3060" s="28" t="s">
        <v>3196</v>
      </c>
      <c r="D3060" s="26" t="s">
        <v>64</v>
      </c>
      <c r="E3060" s="31">
        <v>46230.0</v>
      </c>
      <c r="F3060" s="26" t="s">
        <v>704</v>
      </c>
      <c r="H3060" s="26" t="s">
        <v>796</v>
      </c>
      <c r="I3060" s="26" t="s">
        <v>42</v>
      </c>
      <c r="J3060" s="25" t="str">
        <f t="shared" si="43"/>
        <v>No</v>
      </c>
      <c r="K3060" s="25" t="str">
        <f t="shared" si="44"/>
        <v/>
      </c>
      <c r="L3060" s="25" t="str">
        <f t="shared" si="45"/>
        <v/>
      </c>
      <c r="M3060" s="25"/>
      <c r="O3060" s="25"/>
    </row>
    <row r="3061" ht="15.75" customHeight="1">
      <c r="A3061" s="25" t="str">
        <f>IFERROR(__xludf.DUMMYFUNCTION("IF(B3061="""","""",RIGHT(REGEXREPLACE(B3061&amp;"""",""[^0-9]"",""""),9))"),"718371844")</f>
        <v>718371844</v>
      </c>
      <c r="B3061" s="52">
        <v>7.18371844E8</v>
      </c>
      <c r="C3061" s="28" t="s">
        <v>3197</v>
      </c>
      <c r="D3061" s="26" t="s">
        <v>49</v>
      </c>
      <c r="E3061" s="31">
        <v>46230.0</v>
      </c>
      <c r="F3061" s="26" t="s">
        <v>46</v>
      </c>
      <c r="G3061" s="26">
        <v>11.0</v>
      </c>
      <c r="I3061" s="26" t="s">
        <v>42</v>
      </c>
      <c r="J3061" s="25" t="str">
        <f t="shared" si="43"/>
        <v>No</v>
      </c>
      <c r="K3061" s="25" t="str">
        <f t="shared" si="44"/>
        <v/>
      </c>
      <c r="L3061" s="25" t="str">
        <f t="shared" si="45"/>
        <v/>
      </c>
      <c r="M3061" s="25"/>
      <c r="O3061" s="25"/>
    </row>
    <row r="3062" ht="15.75" customHeight="1">
      <c r="A3062" s="25" t="str">
        <f>IFERROR(__xludf.DUMMYFUNCTION("IF(B3062="""","""",RIGHT(REGEXREPLACE(B3062&amp;"""",""[^0-9]"",""""),9))"),"761481061")</f>
        <v>761481061</v>
      </c>
      <c r="B3062" s="52">
        <v>7.61481061E8</v>
      </c>
      <c r="C3062" s="28" t="s">
        <v>3198</v>
      </c>
      <c r="D3062" s="26" t="s">
        <v>69</v>
      </c>
      <c r="E3062" s="31">
        <v>46230.0</v>
      </c>
      <c r="F3062" s="26" t="s">
        <v>41</v>
      </c>
      <c r="I3062" s="26" t="s">
        <v>42</v>
      </c>
      <c r="J3062" s="25" t="str">
        <f t="shared" si="43"/>
        <v>No</v>
      </c>
      <c r="K3062" s="25" t="str">
        <f t="shared" si="44"/>
        <v/>
      </c>
      <c r="L3062" s="25" t="str">
        <f t="shared" si="45"/>
        <v/>
      </c>
      <c r="M3062" s="25"/>
      <c r="O3062" s="25"/>
    </row>
    <row r="3063" ht="15.75" customHeight="1">
      <c r="A3063" s="25" t="str">
        <f>IFERROR(__xludf.DUMMYFUNCTION("IF(B3063="""","""",RIGHT(REGEXREPLACE(B3063&amp;"""",""[^0-9]"",""""),9))"),"770090530")</f>
        <v>770090530</v>
      </c>
      <c r="B3063" s="52">
        <v>7.7009053E8</v>
      </c>
      <c r="C3063" s="28" t="s">
        <v>2915</v>
      </c>
      <c r="D3063" s="26" t="s">
        <v>82</v>
      </c>
      <c r="E3063" s="31">
        <v>46230.0</v>
      </c>
      <c r="F3063" s="26" t="s">
        <v>46</v>
      </c>
      <c r="G3063" s="26">
        <v>11.0</v>
      </c>
      <c r="I3063" s="26" t="s">
        <v>42</v>
      </c>
      <c r="J3063" s="25" t="str">
        <f t="shared" si="43"/>
        <v>No</v>
      </c>
      <c r="K3063" s="25" t="str">
        <f t="shared" si="44"/>
        <v/>
      </c>
      <c r="L3063" s="25" t="str">
        <f t="shared" si="45"/>
        <v/>
      </c>
      <c r="M3063" s="25"/>
      <c r="O3063" s="25"/>
    </row>
    <row r="3064" ht="15.75" customHeight="1">
      <c r="A3064" s="25" t="str">
        <f>IFERROR(__xludf.DUMMYFUNCTION("IF(B3064="""","""",RIGHT(REGEXREPLACE(B3064&amp;"""",""[^0-9]"",""""),9))"),"772593599")</f>
        <v>772593599</v>
      </c>
      <c r="B3064" s="52">
        <v>7.72593599E8</v>
      </c>
      <c r="C3064" s="28" t="s">
        <v>3181</v>
      </c>
      <c r="D3064" s="26" t="s">
        <v>45</v>
      </c>
      <c r="E3064" s="31">
        <v>46230.0</v>
      </c>
      <c r="F3064" s="26" t="s">
        <v>46</v>
      </c>
      <c r="H3064" s="26" t="s">
        <v>3199</v>
      </c>
      <c r="I3064" s="26" t="s">
        <v>42</v>
      </c>
      <c r="J3064" s="25" t="str">
        <f t="shared" si="43"/>
        <v>Yes - see Previous F-Code</v>
      </c>
      <c r="K3064" s="25" t="str">
        <f t="shared" si="44"/>
        <v>DUPLICATE - CHECK</v>
      </c>
      <c r="L3064" s="25" t="str">
        <f t="shared" si="45"/>
        <v>F72820</v>
      </c>
      <c r="M3064" s="25"/>
      <c r="O3064" s="25"/>
    </row>
    <row r="3065" ht="15.75" customHeight="1">
      <c r="A3065" s="25" t="str">
        <f>IFERROR(__xludf.DUMMYFUNCTION("IF(B3065="""","""",RIGHT(REGEXREPLACE(B3065&amp;"""",""[^0-9]"",""""),9))"),"776023697")</f>
        <v>776023697</v>
      </c>
      <c r="B3065" s="52">
        <v>7.76023697E8</v>
      </c>
      <c r="C3065" s="28" t="s">
        <v>3181</v>
      </c>
      <c r="D3065" s="26" t="s">
        <v>64</v>
      </c>
      <c r="E3065" s="31">
        <v>46230.0</v>
      </c>
      <c r="F3065" s="26" t="s">
        <v>41</v>
      </c>
      <c r="H3065" s="26" t="s">
        <v>1526</v>
      </c>
      <c r="I3065" s="26" t="s">
        <v>42</v>
      </c>
      <c r="J3065" s="25" t="str">
        <f t="shared" si="43"/>
        <v>No</v>
      </c>
      <c r="K3065" s="25" t="str">
        <f t="shared" si="44"/>
        <v/>
      </c>
      <c r="L3065" s="25" t="str">
        <f t="shared" si="45"/>
        <v/>
      </c>
      <c r="M3065" s="25"/>
      <c r="O3065" s="25"/>
    </row>
    <row r="3066" ht="15.75" customHeight="1">
      <c r="A3066" s="25" t="str">
        <f>IFERROR(__xludf.DUMMYFUNCTION("IF(B3066="""","""",RIGHT(REGEXREPLACE(B3066&amp;"""",""[^0-9]"",""""),9))"),"768362815")</f>
        <v>768362815</v>
      </c>
      <c r="B3066" s="52">
        <v>7.68362815E8</v>
      </c>
      <c r="C3066" s="28" t="s">
        <v>3200</v>
      </c>
      <c r="D3066" s="26" t="s">
        <v>49</v>
      </c>
      <c r="E3066" s="31">
        <v>46230.0</v>
      </c>
      <c r="F3066" s="26" t="s">
        <v>46</v>
      </c>
      <c r="G3066" s="26">
        <v>11.0</v>
      </c>
      <c r="H3066" s="26" t="s">
        <v>3201</v>
      </c>
      <c r="I3066" s="26" t="s">
        <v>42</v>
      </c>
      <c r="J3066" s="25" t="str">
        <f t="shared" si="43"/>
        <v>No</v>
      </c>
      <c r="K3066" s="25" t="str">
        <f t="shared" si="44"/>
        <v/>
      </c>
      <c r="L3066" s="25" t="str">
        <f t="shared" si="45"/>
        <v/>
      </c>
      <c r="M3066" s="25"/>
      <c r="O3066" s="25"/>
    </row>
    <row r="3067" ht="15.75" customHeight="1">
      <c r="A3067" s="25" t="str">
        <f>IFERROR(__xludf.DUMMYFUNCTION("IF(B3067="""","""",RIGHT(REGEXREPLACE(B3067&amp;"""",""[^0-9]"",""""),9))"),"758558009")</f>
        <v>758558009</v>
      </c>
      <c r="B3067" s="52">
        <v>7.58558009E8</v>
      </c>
      <c r="C3067" s="28" t="s">
        <v>3202</v>
      </c>
      <c r="D3067" s="26" t="s">
        <v>82</v>
      </c>
      <c r="E3067" s="31">
        <v>46230.0</v>
      </c>
      <c r="F3067" s="26" t="s">
        <v>46</v>
      </c>
      <c r="G3067" s="26">
        <v>11.0</v>
      </c>
      <c r="I3067" s="26" t="s">
        <v>42</v>
      </c>
      <c r="J3067" s="25" t="str">
        <f t="shared" si="43"/>
        <v>No</v>
      </c>
      <c r="K3067" s="25" t="str">
        <f t="shared" si="44"/>
        <v/>
      </c>
      <c r="L3067" s="25" t="str">
        <f t="shared" si="45"/>
        <v/>
      </c>
      <c r="M3067" s="25"/>
      <c r="O3067" s="25"/>
    </row>
    <row r="3068" ht="15.75" customHeight="1">
      <c r="A3068" s="25" t="str">
        <f>IFERROR(__xludf.DUMMYFUNCTION("IF(B3068="""","""",RIGHT(REGEXREPLACE(B3068&amp;"""",""[^0-9]"",""""),9))"),"782096296")</f>
        <v>782096296</v>
      </c>
      <c r="B3068" s="52">
        <v>7.82096296E8</v>
      </c>
      <c r="C3068" s="28" t="s">
        <v>3203</v>
      </c>
      <c r="D3068" s="26" t="s">
        <v>69</v>
      </c>
      <c r="E3068" s="31">
        <v>46230.0</v>
      </c>
      <c r="F3068" s="26" t="s">
        <v>46</v>
      </c>
      <c r="I3068" s="26" t="s">
        <v>42</v>
      </c>
      <c r="J3068" s="25" t="str">
        <f t="shared" si="43"/>
        <v>No</v>
      </c>
      <c r="K3068" s="25" t="str">
        <f t="shared" si="44"/>
        <v/>
      </c>
      <c r="L3068" s="25" t="str">
        <f t="shared" si="45"/>
        <v/>
      </c>
      <c r="M3068" s="25"/>
      <c r="O3068" s="25"/>
    </row>
    <row r="3069" ht="15.75" customHeight="1">
      <c r="A3069" s="25" t="str">
        <f>IFERROR(__xludf.DUMMYFUNCTION("IF(B3069="""","""",RIGHT(REGEXREPLACE(B3069&amp;"""",""[^0-9]"",""""),9))"),"701873062")</f>
        <v>701873062</v>
      </c>
      <c r="B3069" s="52">
        <v>7.01873062E8</v>
      </c>
      <c r="C3069" s="28" t="s">
        <v>3204</v>
      </c>
      <c r="D3069" s="26" t="s">
        <v>45</v>
      </c>
      <c r="E3069" s="31">
        <v>46230.0</v>
      </c>
      <c r="F3069" s="26" t="s">
        <v>41</v>
      </c>
      <c r="I3069" s="26" t="s">
        <v>42</v>
      </c>
      <c r="J3069" s="25" t="str">
        <f t="shared" si="43"/>
        <v>No</v>
      </c>
      <c r="K3069" s="25" t="str">
        <f t="shared" si="44"/>
        <v/>
      </c>
      <c r="L3069" s="25" t="str">
        <f t="shared" si="45"/>
        <v/>
      </c>
      <c r="M3069" s="25"/>
      <c r="O3069" s="25"/>
    </row>
    <row r="3070" ht="15.75" customHeight="1">
      <c r="A3070" s="25" t="str">
        <f>IFERROR(__xludf.DUMMYFUNCTION("IF(B3070="""","""",RIGHT(REGEXREPLACE(B3070&amp;"""",""[^0-9]"",""""),9))"),"754827141")</f>
        <v>754827141</v>
      </c>
      <c r="B3070" s="52">
        <v>7.54827141E8</v>
      </c>
      <c r="C3070" s="28" t="s">
        <v>3183</v>
      </c>
      <c r="D3070" s="26" t="s">
        <v>64</v>
      </c>
      <c r="E3070" s="31">
        <v>46230.0</v>
      </c>
      <c r="F3070" s="26" t="s">
        <v>659</v>
      </c>
      <c r="G3070" s="26">
        <v>11.0</v>
      </c>
      <c r="H3070" s="26" t="s">
        <v>1526</v>
      </c>
      <c r="I3070" s="26" t="s">
        <v>42</v>
      </c>
      <c r="J3070" s="25" t="str">
        <f t="shared" si="43"/>
        <v>Yes - see Previous F-Code</v>
      </c>
      <c r="K3070" s="25" t="str">
        <f t="shared" si="44"/>
        <v>DUPLICATE - CHECK</v>
      </c>
      <c r="L3070" s="25" t="str">
        <f t="shared" si="45"/>
        <v>F71978</v>
      </c>
      <c r="M3070" s="25"/>
      <c r="O3070" s="25"/>
    </row>
    <row r="3071" ht="15.75" customHeight="1">
      <c r="A3071" s="25" t="str">
        <f>IFERROR(__xludf.DUMMYFUNCTION("IF(B3071="""","""",RIGHT(REGEXREPLACE(B3071&amp;"""",""[^0-9]"",""""),9))"),"710179990")</f>
        <v>710179990</v>
      </c>
      <c r="B3071" s="52">
        <v>7.1017999E8</v>
      </c>
      <c r="C3071" s="28" t="s">
        <v>3202</v>
      </c>
      <c r="D3071" s="26" t="s">
        <v>69</v>
      </c>
      <c r="E3071" s="31">
        <v>46230.0</v>
      </c>
      <c r="F3071" s="26" t="s">
        <v>41</v>
      </c>
      <c r="I3071" s="26" t="s">
        <v>42</v>
      </c>
      <c r="J3071" s="25" t="str">
        <f t="shared" si="43"/>
        <v>No</v>
      </c>
      <c r="K3071" s="25" t="str">
        <f t="shared" si="44"/>
        <v/>
      </c>
      <c r="L3071" s="25" t="str">
        <f t="shared" si="45"/>
        <v/>
      </c>
      <c r="M3071" s="25"/>
      <c r="O3071" s="25"/>
    </row>
    <row r="3072" ht="15.75" customHeight="1">
      <c r="A3072" s="25" t="str">
        <f>IFERROR(__xludf.DUMMYFUNCTION("IF(B3072="""","""",RIGHT(REGEXREPLACE(B3072&amp;"""",""[^0-9]"",""""),9))"),"701134644")</f>
        <v>701134644</v>
      </c>
      <c r="B3072" s="52">
        <v>7.01134644E8</v>
      </c>
      <c r="C3072" s="28" t="s">
        <v>3205</v>
      </c>
      <c r="D3072" s="26" t="s">
        <v>45</v>
      </c>
      <c r="E3072" s="31">
        <v>46230.0</v>
      </c>
      <c r="F3072" s="26" t="s">
        <v>46</v>
      </c>
      <c r="G3072" s="26">
        <v>11.0</v>
      </c>
      <c r="I3072" s="26" t="s">
        <v>42</v>
      </c>
      <c r="J3072" s="25" t="str">
        <f t="shared" si="43"/>
        <v>No</v>
      </c>
      <c r="K3072" s="25" t="str">
        <f t="shared" si="44"/>
        <v/>
      </c>
      <c r="L3072" s="25" t="str">
        <f t="shared" si="45"/>
        <v/>
      </c>
      <c r="M3072" s="25"/>
      <c r="O3072" s="25"/>
    </row>
    <row r="3073" ht="15.75" customHeight="1">
      <c r="A3073" s="25" t="str">
        <f>IFERROR(__xludf.DUMMYFUNCTION("IF(B3073="""","""",RIGHT(REGEXREPLACE(B3073&amp;"""",""[^0-9]"",""""),9))"),"767221254")</f>
        <v>767221254</v>
      </c>
      <c r="B3073" s="52">
        <v>7.67221254E8</v>
      </c>
      <c r="C3073" s="28" t="s">
        <v>3206</v>
      </c>
      <c r="D3073" s="26" t="s">
        <v>49</v>
      </c>
      <c r="E3073" s="31">
        <v>46230.0</v>
      </c>
      <c r="F3073" s="26" t="s">
        <v>41</v>
      </c>
      <c r="G3073" s="26">
        <v>11.0</v>
      </c>
      <c r="I3073" s="26" t="s">
        <v>42</v>
      </c>
      <c r="J3073" s="25" t="str">
        <f t="shared" si="43"/>
        <v>No</v>
      </c>
      <c r="K3073" s="25" t="str">
        <f t="shared" si="44"/>
        <v/>
      </c>
      <c r="L3073" s="25" t="str">
        <f t="shared" si="45"/>
        <v/>
      </c>
      <c r="M3073" s="25"/>
      <c r="O3073" s="25"/>
    </row>
    <row r="3074" ht="15.75" customHeight="1">
      <c r="A3074" s="25" t="str">
        <f>IFERROR(__xludf.DUMMYFUNCTION("IF(B3074="""","""",RIGHT(REGEXREPLACE(B3074&amp;"""",""[^0-9]"",""""),9))"),"742509960")</f>
        <v>742509960</v>
      </c>
      <c r="B3074" s="52">
        <v>7.4250996E8</v>
      </c>
      <c r="C3074" s="28" t="s">
        <v>3207</v>
      </c>
      <c r="D3074" s="26" t="s">
        <v>56</v>
      </c>
      <c r="E3074" s="31">
        <v>46230.0</v>
      </c>
      <c r="F3074" s="26" t="s">
        <v>41</v>
      </c>
      <c r="G3074" s="26">
        <v>11.0</v>
      </c>
      <c r="I3074" s="26" t="s">
        <v>42</v>
      </c>
      <c r="J3074" s="25" t="str">
        <f t="shared" si="43"/>
        <v>No</v>
      </c>
      <c r="K3074" s="25" t="str">
        <f t="shared" si="44"/>
        <v/>
      </c>
      <c r="L3074" s="25" t="str">
        <f t="shared" si="45"/>
        <v/>
      </c>
      <c r="M3074" s="25"/>
      <c r="O3074" s="25"/>
    </row>
    <row r="3075" ht="15.75" customHeight="1">
      <c r="A3075" s="25" t="str">
        <f>IFERROR(__xludf.DUMMYFUNCTION("IF(B3075="""","""",RIGHT(REGEXREPLACE(B3075&amp;"""",""[^0-9]"",""""),9))"),"764548763")</f>
        <v>764548763</v>
      </c>
      <c r="B3075" s="52">
        <v>7.64548763E8</v>
      </c>
      <c r="C3075" s="28" t="s">
        <v>3208</v>
      </c>
      <c r="D3075" s="26" t="s">
        <v>82</v>
      </c>
      <c r="E3075" s="31">
        <v>46230.0</v>
      </c>
      <c r="F3075" s="26" t="s">
        <v>46</v>
      </c>
      <c r="G3075" s="26">
        <v>11.0</v>
      </c>
      <c r="I3075" s="26" t="s">
        <v>42</v>
      </c>
      <c r="J3075" s="25" t="str">
        <f t="shared" si="43"/>
        <v>No</v>
      </c>
      <c r="K3075" s="25" t="str">
        <f t="shared" si="44"/>
        <v/>
      </c>
      <c r="L3075" s="25" t="str">
        <f t="shared" si="45"/>
        <v/>
      </c>
      <c r="M3075" s="25"/>
      <c r="O3075" s="25"/>
    </row>
    <row r="3076" ht="15.75" customHeight="1">
      <c r="A3076" s="25" t="str">
        <f>IFERROR(__xludf.DUMMYFUNCTION("IF(B3076="""","""",RIGHT(REGEXREPLACE(B3076&amp;"""",""[^0-9]"",""""),9))"),"754822460")</f>
        <v>754822460</v>
      </c>
      <c r="B3076" s="52">
        <v>7.5482246E8</v>
      </c>
      <c r="C3076" s="28" t="s">
        <v>3209</v>
      </c>
      <c r="D3076" s="26" t="s">
        <v>49</v>
      </c>
      <c r="E3076" s="31">
        <v>46230.0</v>
      </c>
      <c r="F3076" s="26" t="s">
        <v>41</v>
      </c>
      <c r="G3076" s="26">
        <v>11.0</v>
      </c>
      <c r="I3076" s="26" t="s">
        <v>42</v>
      </c>
      <c r="J3076" s="25" t="str">
        <f t="shared" si="43"/>
        <v>No</v>
      </c>
      <c r="K3076" s="25" t="str">
        <f t="shared" si="44"/>
        <v/>
      </c>
      <c r="L3076" s="25" t="str">
        <f t="shared" si="45"/>
        <v/>
      </c>
      <c r="M3076" s="25"/>
      <c r="O3076" s="25"/>
    </row>
    <row r="3077" ht="15.75" customHeight="1">
      <c r="A3077" s="25" t="str">
        <f>IFERROR(__xludf.DUMMYFUNCTION("IF(B3077="""","""",RIGHT(REGEXREPLACE(B3077&amp;"""",""[^0-9]"",""""),9))"),"703077307")</f>
        <v>703077307</v>
      </c>
      <c r="B3077" s="52">
        <v>7.03077307E8</v>
      </c>
      <c r="C3077" s="28" t="s">
        <v>3210</v>
      </c>
      <c r="D3077" s="26" t="s">
        <v>64</v>
      </c>
      <c r="E3077" s="31">
        <v>46230.0</v>
      </c>
      <c r="F3077" s="26" t="s">
        <v>46</v>
      </c>
      <c r="G3077" s="26">
        <v>11.0</v>
      </c>
      <c r="H3077" s="26" t="s">
        <v>796</v>
      </c>
      <c r="I3077" s="26" t="s">
        <v>42</v>
      </c>
      <c r="J3077" s="25" t="str">
        <f t="shared" si="43"/>
        <v>No</v>
      </c>
      <c r="K3077" s="25" t="str">
        <f t="shared" si="44"/>
        <v/>
      </c>
      <c r="L3077" s="25" t="str">
        <f t="shared" si="45"/>
        <v/>
      </c>
      <c r="M3077" s="25"/>
      <c r="O3077" s="25"/>
    </row>
    <row r="3078" ht="15.75" customHeight="1">
      <c r="A3078" s="25" t="str">
        <f>IFERROR(__xludf.DUMMYFUNCTION("IF(B3078="""","""",RIGHT(REGEXREPLACE(B3078&amp;"""",""[^0-9]"",""""),9))"),"784825515")</f>
        <v>784825515</v>
      </c>
      <c r="B3078" s="52">
        <v>7.84825515E8</v>
      </c>
      <c r="C3078" s="28" t="s">
        <v>2179</v>
      </c>
      <c r="D3078" s="26" t="s">
        <v>49</v>
      </c>
      <c r="E3078" s="31">
        <v>46230.0</v>
      </c>
      <c r="F3078" s="26" t="s">
        <v>41</v>
      </c>
      <c r="G3078" s="26">
        <v>10.0</v>
      </c>
      <c r="H3078" s="26" t="s">
        <v>2682</v>
      </c>
      <c r="I3078" s="26" t="s">
        <v>42</v>
      </c>
      <c r="J3078" s="25" t="str">
        <f t="shared" si="43"/>
        <v>Yes - see Previous F-Code</v>
      </c>
      <c r="K3078" s="25" t="str">
        <f t="shared" si="44"/>
        <v>DUPLICATE - CHECK</v>
      </c>
      <c r="L3078" s="25" t="str">
        <f t="shared" si="45"/>
        <v>F72759</v>
      </c>
      <c r="M3078" s="25"/>
      <c r="O3078" s="25"/>
    </row>
    <row r="3079" ht="15.75" customHeight="1">
      <c r="A3079" s="25" t="str">
        <f>IFERROR(__xludf.DUMMYFUNCTION("IF(B3079="""","""",RIGHT(REGEXREPLACE(B3079&amp;"""",""[^0-9]"",""""),9))"),"772979966")</f>
        <v>772979966</v>
      </c>
      <c r="B3079" s="52">
        <v>7.72979966E8</v>
      </c>
      <c r="C3079" s="28" t="s">
        <v>3211</v>
      </c>
      <c r="D3079" s="26" t="s">
        <v>56</v>
      </c>
      <c r="E3079" s="31">
        <v>46230.0</v>
      </c>
      <c r="F3079" s="26" t="s">
        <v>46</v>
      </c>
      <c r="G3079" s="26">
        <v>10.0</v>
      </c>
      <c r="I3079" s="26" t="s">
        <v>42</v>
      </c>
      <c r="J3079" s="25" t="str">
        <f t="shared" si="43"/>
        <v>No</v>
      </c>
      <c r="K3079" s="25" t="str">
        <f t="shared" si="44"/>
        <v/>
      </c>
      <c r="L3079" s="25" t="str">
        <f t="shared" si="45"/>
        <v/>
      </c>
      <c r="M3079" s="25"/>
      <c r="O3079" s="25"/>
    </row>
    <row r="3080" ht="15.75" customHeight="1">
      <c r="A3080" s="25" t="str">
        <f>IFERROR(__xludf.DUMMYFUNCTION("IF(B3080="""","""",RIGHT(REGEXREPLACE(B3080&amp;"""",""[^0-9]"",""""),9))"),"740318172")</f>
        <v>740318172</v>
      </c>
      <c r="B3080" s="52">
        <v>7.40318172E8</v>
      </c>
      <c r="C3080" s="28" t="s">
        <v>3212</v>
      </c>
      <c r="D3080" s="26" t="s">
        <v>45</v>
      </c>
      <c r="E3080" s="31">
        <v>46230.0</v>
      </c>
      <c r="F3080" s="26" t="s">
        <v>46</v>
      </c>
      <c r="G3080" s="26">
        <v>11.0</v>
      </c>
      <c r="I3080" s="26" t="s">
        <v>42</v>
      </c>
      <c r="J3080" s="25" t="str">
        <f t="shared" si="43"/>
        <v>No</v>
      </c>
      <c r="K3080" s="25" t="str">
        <f t="shared" si="44"/>
        <v/>
      </c>
      <c r="L3080" s="25" t="str">
        <f t="shared" si="45"/>
        <v/>
      </c>
      <c r="M3080" s="25"/>
      <c r="O3080" s="25"/>
    </row>
    <row r="3081" ht="15.75" customHeight="1">
      <c r="A3081" s="25" t="str">
        <f>IFERROR(__xludf.DUMMYFUNCTION("IF(B3081="""","""",RIGHT(REGEXREPLACE(B3081&amp;"""",""[^0-9]"",""""),9))"),"762013859")</f>
        <v>762013859</v>
      </c>
      <c r="B3081" s="52">
        <v>7.62013859E8</v>
      </c>
      <c r="C3081" s="28" t="s">
        <v>3213</v>
      </c>
      <c r="D3081" s="26" t="s">
        <v>82</v>
      </c>
      <c r="E3081" s="31">
        <v>46230.0</v>
      </c>
      <c r="F3081" s="26" t="s">
        <v>659</v>
      </c>
      <c r="I3081" s="26" t="s">
        <v>42</v>
      </c>
      <c r="J3081" s="25" t="str">
        <f t="shared" si="43"/>
        <v>No</v>
      </c>
      <c r="K3081" s="25" t="str">
        <f t="shared" si="44"/>
        <v/>
      </c>
      <c r="L3081" s="25" t="str">
        <f t="shared" si="45"/>
        <v/>
      </c>
      <c r="M3081" s="25"/>
      <c r="O3081" s="25"/>
    </row>
    <row r="3082" ht="15.75" customHeight="1">
      <c r="A3082" s="25" t="str">
        <f>IFERROR(__xludf.DUMMYFUNCTION("IF(B3082="""","""",RIGHT(REGEXREPLACE(B3082&amp;"""",""[^0-9]"",""""),9))"),"755485573")</f>
        <v>755485573</v>
      </c>
      <c r="B3082" s="52">
        <v>7.55485573E8</v>
      </c>
      <c r="C3082" s="28" t="s">
        <v>3214</v>
      </c>
      <c r="D3082" s="26" t="s">
        <v>69</v>
      </c>
      <c r="E3082" s="31">
        <v>46230.0</v>
      </c>
      <c r="F3082" s="26" t="s">
        <v>205</v>
      </c>
      <c r="G3082" s="26">
        <v>11.0</v>
      </c>
      <c r="I3082" s="26" t="s">
        <v>42</v>
      </c>
      <c r="J3082" s="25" t="str">
        <f t="shared" si="43"/>
        <v>No</v>
      </c>
      <c r="K3082" s="25" t="str">
        <f t="shared" si="44"/>
        <v/>
      </c>
      <c r="L3082" s="25" t="str">
        <f t="shared" si="45"/>
        <v/>
      </c>
      <c r="M3082" s="25"/>
      <c r="O3082" s="25"/>
    </row>
    <row r="3083" ht="15.75" customHeight="1">
      <c r="A3083" s="25" t="str">
        <f>IFERROR(__xludf.DUMMYFUNCTION("IF(B3083="""","""",RIGHT(REGEXREPLACE(B3083&amp;"""",""[^0-9]"",""""),9))"),"756090960")</f>
        <v>756090960</v>
      </c>
      <c r="B3083" s="52">
        <v>7.5609096E8</v>
      </c>
      <c r="C3083" s="28" t="s">
        <v>3215</v>
      </c>
      <c r="D3083" s="26" t="s">
        <v>82</v>
      </c>
      <c r="E3083" s="31">
        <v>46230.0</v>
      </c>
      <c r="F3083" s="26" t="s">
        <v>659</v>
      </c>
      <c r="I3083" s="26" t="s">
        <v>42</v>
      </c>
      <c r="J3083" s="25" t="str">
        <f t="shared" si="43"/>
        <v>No</v>
      </c>
      <c r="K3083" s="25" t="str">
        <f t="shared" si="44"/>
        <v/>
      </c>
      <c r="L3083" s="25" t="str">
        <f t="shared" si="45"/>
        <v/>
      </c>
      <c r="M3083" s="25"/>
      <c r="O3083" s="25"/>
    </row>
    <row r="3084" ht="15.75" customHeight="1">
      <c r="A3084" s="25" t="str">
        <f>IFERROR(__xludf.DUMMYFUNCTION("IF(B3084="""","""",RIGHT(REGEXREPLACE(B3084&amp;"""",""[^0-9]"",""""),9))"),"776788278")</f>
        <v>776788278</v>
      </c>
      <c r="B3084" s="52">
        <v>7.76788278E8</v>
      </c>
      <c r="C3084" s="28" t="s">
        <v>1092</v>
      </c>
      <c r="D3084" s="26" t="s">
        <v>56</v>
      </c>
      <c r="E3084" s="31">
        <v>46230.0</v>
      </c>
      <c r="F3084" s="25"/>
      <c r="G3084" s="25"/>
      <c r="H3084" s="25"/>
      <c r="I3084" s="26" t="s">
        <v>42</v>
      </c>
      <c r="J3084" s="25" t="str">
        <f t="shared" si="43"/>
        <v>Yes - see Previous F-Code</v>
      </c>
      <c r="K3084" s="25" t="str">
        <f t="shared" si="44"/>
        <v>DUPLICATE - CHECK</v>
      </c>
      <c r="L3084" s="25" t="str">
        <f t="shared" si="45"/>
        <v>F72055</v>
      </c>
      <c r="M3084" s="25"/>
      <c r="N3084" s="25"/>
      <c r="O3084" s="25"/>
      <c r="P3084" s="25"/>
    </row>
    <row r="3085" ht="15.75" customHeight="1">
      <c r="A3085" s="25" t="str">
        <f>IFERROR(__xludf.DUMMYFUNCTION("IF(B3085="""","""",RIGHT(REGEXREPLACE(B3085&amp;"""",""[^0-9]"",""""),9))"),"")</f>
        <v/>
      </c>
      <c r="B3085" s="52"/>
      <c r="C3085" s="28" t="s">
        <v>3216</v>
      </c>
      <c r="D3085" s="25"/>
      <c r="E3085" s="31">
        <v>46230.0</v>
      </c>
      <c r="F3085" s="25"/>
      <c r="G3085" s="25"/>
      <c r="H3085" s="25"/>
      <c r="I3085" s="26" t="s">
        <v>42</v>
      </c>
      <c r="J3085" s="25" t="str">
        <f t="shared" si="43"/>
        <v>Yes - see Previous F-Code</v>
      </c>
      <c r="K3085" s="25" t="str">
        <f t="shared" si="44"/>
        <v>DUPLICATE - CHECK</v>
      </c>
      <c r="L3085" s="25" t="str">
        <f t="shared" si="45"/>
        <v/>
      </c>
      <c r="M3085" s="25"/>
      <c r="N3085" s="25"/>
      <c r="O3085" s="25"/>
      <c r="P3085" s="25"/>
    </row>
    <row r="3086" ht="15.75" customHeight="1">
      <c r="A3086" s="25" t="str">
        <f>IFERROR(__xludf.DUMMYFUNCTION("IF(B3086="""","""",RIGHT(REGEXREPLACE(B3086&amp;"""",""[^0-9]"",""""),9))"),"")</f>
        <v/>
      </c>
      <c r="B3086" s="52"/>
      <c r="C3086" s="46"/>
      <c r="D3086" s="25"/>
      <c r="E3086" s="31"/>
      <c r="F3086" s="25"/>
      <c r="I3086" s="26" t="s">
        <v>42</v>
      </c>
      <c r="J3086" s="25" t="str">
        <f t="shared" si="43"/>
        <v>Yes - see Previous F-Code</v>
      </c>
      <c r="K3086" s="25" t="str">
        <f t="shared" si="44"/>
        <v>DUPLICATE - CHECK</v>
      </c>
      <c r="L3086" s="25" t="str">
        <f t="shared" si="45"/>
        <v/>
      </c>
      <c r="M3086" s="25"/>
      <c r="O3086" s="25"/>
    </row>
    <row r="3087" ht="15.75" customHeight="1">
      <c r="A3087" s="25" t="str">
        <f>IFERROR(__xludf.DUMMYFUNCTION("IF(B3087="""","""",RIGHT(REGEXREPLACE(B3087&amp;"""",""[^0-9]"",""""),9))"),"770361381")</f>
        <v>770361381</v>
      </c>
      <c r="B3087" s="52">
        <v>7.70361381E8</v>
      </c>
      <c r="C3087" s="28" t="s">
        <v>3217</v>
      </c>
      <c r="D3087" s="26" t="s">
        <v>45</v>
      </c>
      <c r="E3087" s="31">
        <v>46230.0</v>
      </c>
      <c r="F3087" s="26" t="s">
        <v>46</v>
      </c>
      <c r="G3087" s="26">
        <v>11.0</v>
      </c>
      <c r="I3087" s="26" t="s">
        <v>42</v>
      </c>
      <c r="J3087" s="25" t="str">
        <f t="shared" si="43"/>
        <v>No</v>
      </c>
      <c r="K3087" s="25" t="str">
        <f t="shared" si="44"/>
        <v/>
      </c>
      <c r="L3087" s="25" t="str">
        <f t="shared" si="45"/>
        <v/>
      </c>
      <c r="M3087" s="25"/>
      <c r="O3087" s="25"/>
    </row>
    <row r="3088" ht="15.75" customHeight="1">
      <c r="A3088" s="25" t="str">
        <f>IFERROR(__xludf.DUMMYFUNCTION("IF(B3088="""","""",RIGHT(REGEXREPLACE(B3088&amp;"""",""[^0-9]"",""""),9))"),"782096296")</f>
        <v>782096296</v>
      </c>
      <c r="B3088" s="52">
        <v>7.82096296E8</v>
      </c>
      <c r="C3088" s="28" t="s">
        <v>3203</v>
      </c>
      <c r="D3088" s="26" t="s">
        <v>82</v>
      </c>
      <c r="E3088" s="31">
        <v>46230.0</v>
      </c>
      <c r="F3088" s="26" t="s">
        <v>46</v>
      </c>
      <c r="G3088" s="26">
        <v>11.0</v>
      </c>
      <c r="I3088" s="26" t="s">
        <v>42</v>
      </c>
      <c r="J3088" s="25" t="str">
        <f t="shared" si="43"/>
        <v>Yes - see Previous F-Code</v>
      </c>
      <c r="K3088" s="25" t="str">
        <f t="shared" si="44"/>
        <v>DUPLICATE - CHECK</v>
      </c>
      <c r="L3088" s="25" t="str">
        <f t="shared" si="45"/>
        <v>F72841</v>
      </c>
      <c r="M3088" s="25"/>
      <c r="O3088" s="25"/>
    </row>
    <row r="3089" ht="15.75" customHeight="1">
      <c r="A3089" s="25" t="str">
        <f>IFERROR(__xludf.DUMMYFUNCTION("IF(B3089="""","""",RIGHT(REGEXREPLACE(B3089&amp;"""",""[^0-9]"",""""),9))"),"768649496")</f>
        <v>768649496</v>
      </c>
      <c r="B3089" s="52">
        <v>7.68649496E8</v>
      </c>
      <c r="C3089" s="28" t="s">
        <v>3218</v>
      </c>
      <c r="D3089" s="26" t="s">
        <v>49</v>
      </c>
      <c r="E3089" s="31">
        <v>46230.0</v>
      </c>
      <c r="F3089" s="26" t="s">
        <v>41</v>
      </c>
      <c r="G3089" s="26">
        <v>11.0</v>
      </c>
      <c r="I3089" s="26" t="s">
        <v>42</v>
      </c>
      <c r="J3089" s="25" t="str">
        <f t="shared" si="43"/>
        <v>No</v>
      </c>
      <c r="K3089" s="25" t="str">
        <f t="shared" si="44"/>
        <v/>
      </c>
      <c r="L3089" s="25" t="str">
        <f t="shared" si="45"/>
        <v/>
      </c>
      <c r="M3089" s="25"/>
      <c r="O3089" s="25"/>
    </row>
    <row r="3090" ht="15.75" customHeight="1">
      <c r="A3090" s="25" t="str">
        <f>IFERROR(__xludf.DUMMYFUNCTION("IF(B3090="""","""",RIGHT(REGEXREPLACE(B3090&amp;"""",""[^0-9]"",""""),9))"),"760638801")</f>
        <v>760638801</v>
      </c>
      <c r="B3090" s="52">
        <v>7.60638801E8</v>
      </c>
      <c r="C3090" s="28" t="s">
        <v>3219</v>
      </c>
      <c r="D3090" s="26" t="s">
        <v>45</v>
      </c>
      <c r="E3090" s="31">
        <v>46230.0</v>
      </c>
      <c r="F3090" s="26" t="s">
        <v>46</v>
      </c>
      <c r="G3090" s="26">
        <v>11.0</v>
      </c>
      <c r="I3090" s="26" t="s">
        <v>42</v>
      </c>
      <c r="J3090" s="25" t="str">
        <f t="shared" si="43"/>
        <v>No</v>
      </c>
      <c r="K3090" s="25" t="str">
        <f t="shared" si="44"/>
        <v/>
      </c>
      <c r="L3090" s="25" t="str">
        <f t="shared" si="45"/>
        <v/>
      </c>
      <c r="M3090" s="25"/>
      <c r="O3090" s="25"/>
    </row>
    <row r="3091" ht="15.75" customHeight="1">
      <c r="A3091" s="25" t="str">
        <f>IFERROR(__xludf.DUMMYFUNCTION("IF(B3091="""","""",RIGHT(REGEXREPLACE(B3091&amp;"""",""[^0-9]"",""""),9))"),"768277518")</f>
        <v>768277518</v>
      </c>
      <c r="B3091" s="52">
        <v>7.68277518E8</v>
      </c>
      <c r="C3091" s="28" t="s">
        <v>1554</v>
      </c>
      <c r="D3091" s="26" t="s">
        <v>69</v>
      </c>
      <c r="E3091" s="31">
        <v>46230.0</v>
      </c>
      <c r="F3091" s="26" t="s">
        <v>46</v>
      </c>
      <c r="G3091" s="26">
        <v>10.0</v>
      </c>
      <c r="I3091" s="26" t="s">
        <v>42</v>
      </c>
      <c r="J3091" s="25" t="str">
        <f t="shared" si="43"/>
        <v>Yes - see Previous F-Code</v>
      </c>
      <c r="K3091" s="25" t="str">
        <f t="shared" si="44"/>
        <v>DUPLICATE - CHECK</v>
      </c>
      <c r="L3091" s="25" t="str">
        <f t="shared" si="45"/>
        <v>F71273</v>
      </c>
      <c r="M3091" s="25"/>
      <c r="O3091" s="25"/>
    </row>
    <row r="3092" ht="15.75" customHeight="1">
      <c r="A3092" s="25" t="str">
        <f>IFERROR(__xludf.DUMMYFUNCTION("IF(B3092="""","""",RIGHT(REGEXREPLACE(B3092&amp;"""",""[^0-9]"",""""),9))"),"764124639")</f>
        <v>764124639</v>
      </c>
      <c r="B3092" s="52">
        <v>7.64124639E8</v>
      </c>
      <c r="C3092" s="28" t="s">
        <v>3220</v>
      </c>
      <c r="D3092" s="26" t="s">
        <v>56</v>
      </c>
      <c r="E3092" s="31">
        <v>46230.0</v>
      </c>
      <c r="F3092" s="26" t="s">
        <v>41</v>
      </c>
      <c r="G3092" s="26">
        <v>11.0</v>
      </c>
      <c r="I3092" s="26" t="s">
        <v>42</v>
      </c>
      <c r="J3092" s="25" t="str">
        <f t="shared" si="43"/>
        <v>No</v>
      </c>
      <c r="K3092" s="25" t="str">
        <f t="shared" si="44"/>
        <v/>
      </c>
      <c r="L3092" s="25" t="str">
        <f t="shared" si="45"/>
        <v/>
      </c>
      <c r="M3092" s="25"/>
      <c r="O3092" s="25"/>
    </row>
    <row r="3093" ht="15.75" customHeight="1">
      <c r="A3093" s="25" t="str">
        <f>IFERROR(__xludf.DUMMYFUNCTION("IF(B3093="""","""",RIGHT(REGEXREPLACE(B3093&amp;"""",""[^0-9]"",""""),9))"),"777758666")</f>
        <v>777758666</v>
      </c>
      <c r="B3093" s="52">
        <v>7.77758666E8</v>
      </c>
      <c r="C3093" s="28" t="s">
        <v>3221</v>
      </c>
      <c r="D3093" s="26" t="s">
        <v>64</v>
      </c>
      <c r="E3093" s="31">
        <v>46230.0</v>
      </c>
      <c r="F3093" s="26" t="s">
        <v>46</v>
      </c>
      <c r="G3093" s="26">
        <v>11.0</v>
      </c>
      <c r="H3093" s="26" t="s">
        <v>1526</v>
      </c>
      <c r="I3093" s="26" t="s">
        <v>42</v>
      </c>
      <c r="J3093" s="25" t="str">
        <f t="shared" si="43"/>
        <v>No</v>
      </c>
      <c r="K3093" s="25" t="str">
        <f t="shared" si="44"/>
        <v/>
      </c>
      <c r="L3093" s="25" t="str">
        <f t="shared" si="45"/>
        <v/>
      </c>
      <c r="M3093" s="25"/>
      <c r="O3093" s="25"/>
    </row>
    <row r="3094" ht="15.75" customHeight="1">
      <c r="A3094" s="25" t="str">
        <f>IFERROR(__xludf.DUMMYFUNCTION("IF(B3094="""","""",RIGHT(REGEXREPLACE(B3094&amp;"""",""[^0-9]"",""""),9))"),"741741121")</f>
        <v>741741121</v>
      </c>
      <c r="B3094" s="52">
        <v>7.41741121E8</v>
      </c>
      <c r="C3094" s="28" t="s">
        <v>755</v>
      </c>
      <c r="D3094" s="26" t="s">
        <v>45</v>
      </c>
      <c r="E3094" s="31">
        <v>46230.0</v>
      </c>
      <c r="F3094" s="26" t="s">
        <v>46</v>
      </c>
      <c r="G3094" s="26">
        <v>11.0</v>
      </c>
      <c r="H3094" s="26" t="s">
        <v>3063</v>
      </c>
      <c r="I3094" s="26" t="s">
        <v>42</v>
      </c>
      <c r="J3094" s="25" t="str">
        <f t="shared" si="43"/>
        <v>No</v>
      </c>
      <c r="K3094" s="25" t="str">
        <f t="shared" si="44"/>
        <v/>
      </c>
      <c r="L3094" s="25" t="str">
        <f t="shared" si="45"/>
        <v/>
      </c>
      <c r="M3094" s="25"/>
      <c r="O3094" s="25"/>
    </row>
    <row r="3095" ht="15.75" customHeight="1">
      <c r="A3095" s="25" t="str">
        <f>IFERROR(__xludf.DUMMYFUNCTION("IF(B3095="""","""",RIGHT(REGEXREPLACE(B3095&amp;"""",""[^0-9]"",""""),9))"),"777243033")</f>
        <v>777243033</v>
      </c>
      <c r="B3095" s="52">
        <v>7.77243033E8</v>
      </c>
      <c r="C3095" s="28" t="s">
        <v>3222</v>
      </c>
      <c r="D3095" s="26" t="s">
        <v>49</v>
      </c>
      <c r="E3095" s="31">
        <v>46230.0</v>
      </c>
      <c r="F3095" s="26" t="s">
        <v>659</v>
      </c>
      <c r="G3095" s="26">
        <v>11.0</v>
      </c>
      <c r="I3095" s="26" t="s">
        <v>42</v>
      </c>
      <c r="J3095" s="25" t="str">
        <f t="shared" si="43"/>
        <v>No</v>
      </c>
      <c r="K3095" s="25" t="str">
        <f t="shared" si="44"/>
        <v/>
      </c>
      <c r="L3095" s="25" t="str">
        <f t="shared" si="45"/>
        <v/>
      </c>
      <c r="M3095" s="25"/>
      <c r="O3095" s="25"/>
    </row>
    <row r="3096" ht="15.75" customHeight="1">
      <c r="A3096" s="25" t="str">
        <f>IFERROR(__xludf.DUMMYFUNCTION("IF(B3096="""","""",RIGHT(REGEXREPLACE(B3096&amp;"""",""[^0-9]"",""""),9))"),"775421631")</f>
        <v>775421631</v>
      </c>
      <c r="B3096" s="52">
        <v>7.75421631E8</v>
      </c>
      <c r="C3096" s="28" t="s">
        <v>3223</v>
      </c>
      <c r="D3096" s="26" t="s">
        <v>69</v>
      </c>
      <c r="E3096" s="31">
        <v>46230.0</v>
      </c>
      <c r="F3096" s="26" t="s">
        <v>46</v>
      </c>
      <c r="G3096" s="26">
        <v>11.0</v>
      </c>
      <c r="I3096" s="26" t="s">
        <v>42</v>
      </c>
      <c r="J3096" s="25" t="str">
        <f t="shared" si="43"/>
        <v>No</v>
      </c>
      <c r="K3096" s="25" t="str">
        <f t="shared" si="44"/>
        <v/>
      </c>
      <c r="L3096" s="25" t="str">
        <f t="shared" si="45"/>
        <v/>
      </c>
      <c r="M3096" s="25"/>
      <c r="O3096" s="25"/>
    </row>
    <row r="3097" ht="15.75" customHeight="1">
      <c r="A3097" s="25" t="str">
        <f>IFERROR(__xludf.DUMMYFUNCTION("IF(B3097="""","""",RIGHT(REGEXREPLACE(B3097&amp;"""",""[^0-9]"",""""),9))"),"761980040")</f>
        <v>761980040</v>
      </c>
      <c r="B3097" s="52">
        <v>7.6198004E8</v>
      </c>
      <c r="C3097" s="28" t="s">
        <v>3224</v>
      </c>
      <c r="D3097" s="26" t="s">
        <v>45</v>
      </c>
      <c r="E3097" s="31">
        <v>46230.0</v>
      </c>
      <c r="F3097" s="26" t="s">
        <v>41</v>
      </c>
      <c r="G3097" s="26">
        <v>11.0</v>
      </c>
      <c r="I3097" s="26" t="s">
        <v>42</v>
      </c>
      <c r="J3097" s="25" t="str">
        <f t="shared" si="43"/>
        <v>No</v>
      </c>
      <c r="K3097" s="25" t="str">
        <f t="shared" si="44"/>
        <v/>
      </c>
      <c r="L3097" s="25" t="str">
        <f t="shared" si="45"/>
        <v/>
      </c>
      <c r="M3097" s="25"/>
      <c r="O3097" s="25"/>
    </row>
    <row r="3098" ht="15.75" customHeight="1">
      <c r="A3098" s="25" t="str">
        <f>IFERROR(__xludf.DUMMYFUNCTION("IF(B3098="""","""",RIGHT(REGEXREPLACE(B3098&amp;"""",""[^0-9]"",""""),9))"),"779972623")</f>
        <v>779972623</v>
      </c>
      <c r="B3098" s="52">
        <v>7.79972623E8</v>
      </c>
      <c r="C3098" s="28" t="s">
        <v>3225</v>
      </c>
      <c r="D3098" s="26" t="s">
        <v>64</v>
      </c>
      <c r="E3098" s="31">
        <v>46230.0</v>
      </c>
      <c r="F3098" s="26" t="s">
        <v>205</v>
      </c>
      <c r="G3098" s="26">
        <v>11.0</v>
      </c>
      <c r="H3098" s="26" t="s">
        <v>1526</v>
      </c>
      <c r="I3098" s="26" t="s">
        <v>42</v>
      </c>
      <c r="J3098" s="25" t="str">
        <f t="shared" si="43"/>
        <v>No</v>
      </c>
      <c r="K3098" s="25" t="str">
        <f t="shared" si="44"/>
        <v/>
      </c>
      <c r="L3098" s="25" t="str">
        <f t="shared" si="45"/>
        <v/>
      </c>
      <c r="M3098" s="25"/>
      <c r="O3098" s="25"/>
    </row>
    <row r="3099" ht="15.75" customHeight="1">
      <c r="A3099" s="25" t="str">
        <f>IFERROR(__xludf.DUMMYFUNCTION("IF(B3099="""","""",RIGHT(REGEXREPLACE(B3099&amp;"""",""[^0-9]"",""""),9))"),"784899035")</f>
        <v>784899035</v>
      </c>
      <c r="B3099" s="52">
        <v>7.84899035E8</v>
      </c>
      <c r="C3099" s="28" t="s">
        <v>3226</v>
      </c>
      <c r="D3099" s="26" t="s">
        <v>82</v>
      </c>
      <c r="E3099" s="31">
        <v>46230.0</v>
      </c>
      <c r="F3099" s="26" t="s">
        <v>41</v>
      </c>
      <c r="G3099" s="26">
        <v>11.0</v>
      </c>
      <c r="I3099" s="26" t="s">
        <v>42</v>
      </c>
      <c r="J3099" s="25" t="str">
        <f t="shared" si="43"/>
        <v>No</v>
      </c>
      <c r="K3099" s="25" t="str">
        <f t="shared" si="44"/>
        <v/>
      </c>
      <c r="L3099" s="25" t="str">
        <f t="shared" si="45"/>
        <v/>
      </c>
      <c r="M3099" s="25"/>
      <c r="O3099" s="25"/>
    </row>
    <row r="3100" ht="15.75" customHeight="1">
      <c r="A3100" s="25" t="str">
        <f>IFERROR(__xludf.DUMMYFUNCTION("IF(B3100="""","""",RIGHT(REGEXREPLACE(B3100&amp;"""",""[^0-9]"",""""),9))"),"740772140")</f>
        <v>740772140</v>
      </c>
      <c r="B3100" s="52">
        <v>7.4077214E8</v>
      </c>
      <c r="C3100" s="28" t="s">
        <v>2926</v>
      </c>
      <c r="D3100" s="26" t="s">
        <v>49</v>
      </c>
      <c r="E3100" s="31">
        <v>46230.0</v>
      </c>
      <c r="F3100" s="26" t="s">
        <v>46</v>
      </c>
      <c r="G3100" s="26">
        <v>11.0</v>
      </c>
      <c r="I3100" s="26" t="s">
        <v>42</v>
      </c>
      <c r="J3100" s="25" t="str">
        <f t="shared" si="43"/>
        <v>No</v>
      </c>
      <c r="K3100" s="25" t="str">
        <f t="shared" si="44"/>
        <v/>
      </c>
      <c r="L3100" s="25" t="str">
        <f t="shared" si="45"/>
        <v/>
      </c>
      <c r="M3100" s="25"/>
      <c r="O3100" s="25"/>
    </row>
    <row r="3101" ht="15.75" customHeight="1">
      <c r="A3101" s="25" t="str">
        <f>IFERROR(__xludf.DUMMYFUNCTION("IF(B3101="""","""",RIGHT(REGEXREPLACE(B3101&amp;"""",""[^0-9]"",""""),9))"),"777456894")</f>
        <v>777456894</v>
      </c>
      <c r="B3101" s="52">
        <v>7.77456894E8</v>
      </c>
      <c r="C3101" s="28" t="s">
        <v>3227</v>
      </c>
      <c r="D3101" s="26" t="s">
        <v>69</v>
      </c>
      <c r="E3101" s="31">
        <v>46230.0</v>
      </c>
      <c r="F3101" s="26" t="s">
        <v>46</v>
      </c>
      <c r="G3101" s="26">
        <v>11.0</v>
      </c>
      <c r="I3101" s="26" t="s">
        <v>42</v>
      </c>
      <c r="J3101" s="25" t="str">
        <f t="shared" si="43"/>
        <v>No</v>
      </c>
      <c r="K3101" s="25" t="str">
        <f t="shared" si="44"/>
        <v/>
      </c>
      <c r="L3101" s="25" t="str">
        <f t="shared" si="45"/>
        <v/>
      </c>
      <c r="M3101" s="25"/>
      <c r="O3101" s="25"/>
    </row>
    <row r="3102" ht="15.75" customHeight="1">
      <c r="A3102" s="25" t="str">
        <f>IFERROR(__xludf.DUMMYFUNCTION("IF(B3102="""","""",RIGHT(REGEXREPLACE(B3102&amp;"""",""[^0-9]"",""""),9))"),"766291878")</f>
        <v>766291878</v>
      </c>
      <c r="B3102" s="52">
        <v>7.66291878E8</v>
      </c>
      <c r="C3102" s="28" t="s">
        <v>3228</v>
      </c>
      <c r="D3102" s="26" t="s">
        <v>82</v>
      </c>
      <c r="E3102" s="31">
        <v>46230.0</v>
      </c>
      <c r="F3102" s="26" t="s">
        <v>46</v>
      </c>
      <c r="I3102" s="26" t="s">
        <v>42</v>
      </c>
      <c r="J3102" s="25" t="str">
        <f t="shared" si="43"/>
        <v>No</v>
      </c>
      <c r="K3102" s="25" t="str">
        <f t="shared" si="44"/>
        <v/>
      </c>
      <c r="L3102" s="25" t="str">
        <f t="shared" si="45"/>
        <v/>
      </c>
      <c r="M3102" s="25"/>
      <c r="O3102" s="25"/>
    </row>
    <row r="3103" ht="15.75" customHeight="1">
      <c r="A3103" s="25" t="str">
        <f>IFERROR(__xludf.DUMMYFUNCTION("IF(B3103="""","""",RIGHT(REGEXREPLACE(B3103&amp;"""",""[^0-9]"",""""),9))"),"763120309")</f>
        <v>763120309</v>
      </c>
      <c r="B3103" s="52">
        <v>7.63120309E8</v>
      </c>
      <c r="C3103" s="28" t="s">
        <v>3229</v>
      </c>
      <c r="D3103" s="26" t="s">
        <v>45</v>
      </c>
      <c r="E3103" s="31">
        <v>46230.0</v>
      </c>
      <c r="F3103" s="26" t="s">
        <v>46</v>
      </c>
      <c r="G3103" s="26">
        <v>11.0</v>
      </c>
      <c r="I3103" s="26" t="s">
        <v>42</v>
      </c>
      <c r="J3103" s="25" t="str">
        <f t="shared" si="43"/>
        <v>No</v>
      </c>
      <c r="K3103" s="25" t="str">
        <f t="shared" si="44"/>
        <v/>
      </c>
      <c r="L3103" s="25" t="str">
        <f t="shared" si="45"/>
        <v/>
      </c>
      <c r="M3103" s="25"/>
      <c r="O3103" s="25"/>
    </row>
    <row r="3104" ht="15.75" customHeight="1">
      <c r="A3104" s="25" t="str">
        <f>IFERROR(__xludf.DUMMYFUNCTION("IF(B3104="""","""",RIGHT(REGEXREPLACE(B3104&amp;"""",""[^0-9]"",""""),9))"),"787159525")</f>
        <v>787159525</v>
      </c>
      <c r="B3104" s="52">
        <v>7.87159525E8</v>
      </c>
      <c r="C3104" s="28" t="s">
        <v>2276</v>
      </c>
      <c r="D3104" s="26" t="s">
        <v>64</v>
      </c>
      <c r="E3104" s="31">
        <v>46230.0</v>
      </c>
      <c r="F3104" s="26" t="s">
        <v>41</v>
      </c>
      <c r="H3104" s="26" t="s">
        <v>1526</v>
      </c>
      <c r="I3104" s="26" t="s">
        <v>42</v>
      </c>
      <c r="J3104" s="25" t="str">
        <f t="shared" si="43"/>
        <v>Yes - see Previous F-Code</v>
      </c>
      <c r="K3104" s="25" t="str">
        <f t="shared" si="44"/>
        <v>DUPLICATE - CHECK</v>
      </c>
      <c r="L3104" s="25" t="str">
        <f t="shared" si="45"/>
        <v>F71973</v>
      </c>
      <c r="M3104" s="25"/>
      <c r="O3104" s="25"/>
    </row>
    <row r="3105" ht="15.75" customHeight="1">
      <c r="A3105" s="25" t="str">
        <f>IFERROR(__xludf.DUMMYFUNCTION("IF(B3105="""","""",RIGHT(REGEXREPLACE(B3105&amp;"""",""[^0-9]"",""""),9))"),"715623321")</f>
        <v>715623321</v>
      </c>
      <c r="B3105" s="52">
        <v>7.15623321E8</v>
      </c>
      <c r="C3105" s="28" t="s">
        <v>3227</v>
      </c>
      <c r="D3105" s="26" t="s">
        <v>56</v>
      </c>
      <c r="E3105" s="31">
        <v>46230.0</v>
      </c>
      <c r="F3105" s="26" t="s">
        <v>46</v>
      </c>
      <c r="G3105" s="26">
        <v>10.0</v>
      </c>
      <c r="I3105" s="26" t="s">
        <v>42</v>
      </c>
      <c r="J3105" s="25" t="str">
        <f t="shared" si="43"/>
        <v>No</v>
      </c>
      <c r="K3105" s="25" t="str">
        <f t="shared" si="44"/>
        <v/>
      </c>
      <c r="L3105" s="25" t="str">
        <f t="shared" si="45"/>
        <v/>
      </c>
      <c r="M3105" s="25"/>
      <c r="O3105" s="25"/>
    </row>
    <row r="3106" ht="15.75" customHeight="1">
      <c r="A3106" s="25" t="str">
        <f>IFERROR(__xludf.DUMMYFUNCTION("IF(B3106="""","""",RIGHT(REGEXREPLACE(B3106&amp;"""",""[^0-9]"",""""),9))"),"764840007")</f>
        <v>764840007</v>
      </c>
      <c r="B3106" s="52">
        <v>7.64840007E8</v>
      </c>
      <c r="C3106" s="28" t="s">
        <v>3230</v>
      </c>
      <c r="D3106" s="26" t="s">
        <v>49</v>
      </c>
      <c r="E3106" s="31">
        <v>46230.0</v>
      </c>
      <c r="F3106" s="26" t="s">
        <v>46</v>
      </c>
      <c r="G3106" s="26">
        <v>11.0</v>
      </c>
      <c r="I3106" s="26" t="s">
        <v>42</v>
      </c>
      <c r="J3106" s="25" t="str">
        <f t="shared" si="43"/>
        <v>No</v>
      </c>
      <c r="K3106" s="25" t="str">
        <f t="shared" si="44"/>
        <v/>
      </c>
      <c r="L3106" s="25" t="str">
        <f t="shared" si="45"/>
        <v/>
      </c>
      <c r="M3106" s="25"/>
      <c r="O3106" s="25"/>
    </row>
    <row r="3107" ht="15.75" customHeight="1">
      <c r="A3107" s="25" t="str">
        <f>IFERROR(__xludf.DUMMYFUNCTION("IF(B3107="""","""",RIGHT(REGEXREPLACE(B3107&amp;"""",""[^0-9]"",""""),9))"),"788303093")</f>
        <v>788303093</v>
      </c>
      <c r="B3107" s="52">
        <v>7.88303093E8</v>
      </c>
      <c r="C3107" s="28" t="s">
        <v>3231</v>
      </c>
      <c r="D3107" s="26" t="s">
        <v>69</v>
      </c>
      <c r="E3107" s="31">
        <v>46230.0</v>
      </c>
      <c r="F3107" s="26" t="s">
        <v>41</v>
      </c>
      <c r="G3107" s="26">
        <v>8.0</v>
      </c>
      <c r="I3107" s="26" t="s">
        <v>42</v>
      </c>
      <c r="J3107" s="25" t="str">
        <f t="shared" si="43"/>
        <v>No</v>
      </c>
      <c r="K3107" s="25" t="str">
        <f t="shared" si="44"/>
        <v/>
      </c>
      <c r="L3107" s="25" t="str">
        <f t="shared" si="45"/>
        <v/>
      </c>
      <c r="M3107" s="25"/>
      <c r="O3107" s="26" t="s">
        <v>51</v>
      </c>
    </row>
    <row r="3108" ht="15.75" customHeight="1">
      <c r="A3108" s="25" t="str">
        <f>IFERROR(__xludf.DUMMYFUNCTION("IF(B3108="""","""",RIGHT(REGEXREPLACE(B3108&amp;"""",""[^0-9]"",""""),9))"),"714292947")</f>
        <v>714292947</v>
      </c>
      <c r="B3108" s="52">
        <v>7.14292947E8</v>
      </c>
      <c r="C3108" s="28" t="s">
        <v>3232</v>
      </c>
      <c r="D3108" s="26" t="s">
        <v>45</v>
      </c>
      <c r="E3108" s="31">
        <v>46230.0</v>
      </c>
      <c r="F3108" s="26" t="s">
        <v>46</v>
      </c>
      <c r="G3108" s="26">
        <v>11.0</v>
      </c>
      <c r="I3108" s="26" t="s">
        <v>42</v>
      </c>
      <c r="J3108" s="25" t="str">
        <f t="shared" si="43"/>
        <v>No</v>
      </c>
      <c r="K3108" s="25" t="str">
        <f t="shared" si="44"/>
        <v/>
      </c>
      <c r="L3108" s="25" t="str">
        <f t="shared" si="45"/>
        <v/>
      </c>
      <c r="M3108" s="25"/>
      <c r="O3108" s="25"/>
    </row>
    <row r="3109" ht="15.75" customHeight="1">
      <c r="A3109" s="25" t="str">
        <f>IFERROR(__xludf.DUMMYFUNCTION("IF(B3109="""","""",RIGHT(REGEXREPLACE(B3109&amp;"""",""[^0-9]"",""""),9))"),"740142468")</f>
        <v>740142468</v>
      </c>
      <c r="B3109" s="52">
        <v>7.40142468E8</v>
      </c>
      <c r="C3109" s="28" t="s">
        <v>3233</v>
      </c>
      <c r="D3109" s="26" t="s">
        <v>64</v>
      </c>
      <c r="E3109" s="31">
        <v>46230.0</v>
      </c>
      <c r="F3109" s="26" t="s">
        <v>84</v>
      </c>
      <c r="I3109" s="26" t="s">
        <v>42</v>
      </c>
      <c r="J3109" s="25" t="str">
        <f t="shared" si="43"/>
        <v>No</v>
      </c>
      <c r="K3109" s="25" t="str">
        <f t="shared" si="44"/>
        <v/>
      </c>
      <c r="L3109" s="25" t="str">
        <f t="shared" si="45"/>
        <v/>
      </c>
      <c r="M3109" s="25"/>
      <c r="O3109" s="25"/>
    </row>
    <row r="3110" ht="15.75" customHeight="1">
      <c r="A3110" s="25" t="str">
        <f>IFERROR(__xludf.DUMMYFUNCTION("IF(B3110="""","""",RIGHT(REGEXREPLACE(B3110&amp;"""",""[^0-9]"",""""),9))"),"776118941")</f>
        <v>776118941</v>
      </c>
      <c r="B3110" s="52">
        <v>7.76118941E8</v>
      </c>
      <c r="C3110" s="28" t="s">
        <v>2929</v>
      </c>
      <c r="D3110" s="26" t="s">
        <v>49</v>
      </c>
      <c r="E3110" s="31">
        <v>46230.0</v>
      </c>
      <c r="F3110" s="26" t="s">
        <v>205</v>
      </c>
      <c r="G3110" s="26">
        <v>11.0</v>
      </c>
      <c r="I3110" s="26" t="s">
        <v>42</v>
      </c>
      <c r="J3110" s="25" t="str">
        <f t="shared" si="43"/>
        <v>No</v>
      </c>
      <c r="K3110" s="25" t="str">
        <f t="shared" si="44"/>
        <v/>
      </c>
      <c r="L3110" s="25" t="str">
        <f t="shared" si="45"/>
        <v/>
      </c>
      <c r="M3110" s="25"/>
      <c r="O3110" s="25"/>
    </row>
    <row r="3111" ht="15.75" customHeight="1">
      <c r="A3111" s="25" t="str">
        <f>IFERROR(__xludf.DUMMYFUNCTION("IF(B3111="""","""",RIGHT(REGEXREPLACE(B3111&amp;"""",""[^0-9]"",""""),9))"),"754448268")</f>
        <v>754448268</v>
      </c>
      <c r="B3111" s="52">
        <v>7.54448268E8</v>
      </c>
      <c r="C3111" s="28" t="s">
        <v>2230</v>
      </c>
      <c r="D3111" s="26" t="s">
        <v>69</v>
      </c>
      <c r="E3111" s="31">
        <v>46230.0</v>
      </c>
      <c r="F3111" s="26" t="s">
        <v>46</v>
      </c>
      <c r="G3111" s="26">
        <v>11.0</v>
      </c>
      <c r="I3111" s="26" t="s">
        <v>42</v>
      </c>
      <c r="J3111" s="25" t="str">
        <f t="shared" si="43"/>
        <v>No</v>
      </c>
      <c r="K3111" s="25" t="str">
        <f t="shared" si="44"/>
        <v/>
      </c>
      <c r="L3111" s="25" t="str">
        <f t="shared" si="45"/>
        <v/>
      </c>
      <c r="M3111" s="25"/>
      <c r="O3111" s="25"/>
    </row>
    <row r="3112" ht="15.75" customHeight="1">
      <c r="A3112" s="25" t="str">
        <f>IFERROR(__xludf.DUMMYFUNCTION("IF(B3112="""","""",RIGHT(REGEXREPLACE(B3112&amp;"""",""[^0-9]"",""""),9))"),"773210619")</f>
        <v>773210619</v>
      </c>
      <c r="B3112" s="52">
        <v>7.73210619E8</v>
      </c>
      <c r="C3112" s="28" t="s">
        <v>3234</v>
      </c>
      <c r="D3112" s="26" t="s">
        <v>49</v>
      </c>
      <c r="E3112" s="31">
        <v>46230.0</v>
      </c>
      <c r="F3112" s="26" t="s">
        <v>46</v>
      </c>
      <c r="G3112" s="26">
        <v>11.0</v>
      </c>
      <c r="I3112" s="26" t="s">
        <v>42</v>
      </c>
      <c r="J3112" s="25" t="str">
        <f t="shared" si="43"/>
        <v>No</v>
      </c>
      <c r="K3112" s="25" t="str">
        <f t="shared" si="44"/>
        <v/>
      </c>
      <c r="L3112" s="25" t="str">
        <f t="shared" si="45"/>
        <v/>
      </c>
      <c r="M3112" s="25"/>
      <c r="O3112" s="25"/>
    </row>
    <row r="3113" ht="15.75" customHeight="1">
      <c r="A3113" s="25" t="str">
        <f>IFERROR(__xludf.DUMMYFUNCTION("IF(B3113="""","""",RIGHT(REGEXREPLACE(B3113&amp;"""",""[^0-9]"",""""),9))"),"779925954")</f>
        <v>779925954</v>
      </c>
      <c r="B3113" s="52">
        <v>7.79925954E8</v>
      </c>
      <c r="C3113" s="28" t="s">
        <v>3235</v>
      </c>
      <c r="D3113" s="26" t="s">
        <v>45</v>
      </c>
      <c r="E3113" s="31">
        <v>46230.0</v>
      </c>
      <c r="F3113" s="26" t="s">
        <v>46</v>
      </c>
      <c r="G3113" s="26">
        <v>11.0</v>
      </c>
      <c r="I3113" s="26" t="s">
        <v>42</v>
      </c>
      <c r="J3113" s="25" t="str">
        <f t="shared" si="43"/>
        <v>No</v>
      </c>
      <c r="K3113" s="25" t="str">
        <f t="shared" si="44"/>
        <v/>
      </c>
      <c r="L3113" s="25" t="str">
        <f t="shared" si="45"/>
        <v/>
      </c>
      <c r="M3113" s="25"/>
      <c r="O3113" s="25"/>
    </row>
    <row r="3114" ht="15.75" customHeight="1">
      <c r="A3114" s="25" t="str">
        <f>IFERROR(__xludf.DUMMYFUNCTION("IF(B3114="""","""",RIGHT(REGEXREPLACE(B3114&amp;"""",""[^0-9]"",""""),9))"),"713364163")</f>
        <v>713364163</v>
      </c>
      <c r="B3114" s="52">
        <v>7.13364163E8</v>
      </c>
      <c r="C3114" s="28" t="s">
        <v>2398</v>
      </c>
      <c r="D3114" s="26" t="s">
        <v>64</v>
      </c>
      <c r="E3114" s="31">
        <v>46230.0</v>
      </c>
      <c r="F3114" s="26" t="s">
        <v>704</v>
      </c>
      <c r="I3114" s="26" t="s">
        <v>42</v>
      </c>
      <c r="J3114" s="25" t="str">
        <f t="shared" si="43"/>
        <v>No</v>
      </c>
      <c r="K3114" s="25" t="str">
        <f t="shared" si="44"/>
        <v/>
      </c>
      <c r="L3114" s="25" t="str">
        <f t="shared" si="45"/>
        <v/>
      </c>
      <c r="M3114" s="25"/>
      <c r="O3114" s="25"/>
    </row>
    <row r="3115" ht="15.75" customHeight="1">
      <c r="A3115" s="25" t="str">
        <f>IFERROR(__xludf.DUMMYFUNCTION("IF(B3115="""","""",RIGHT(REGEXREPLACE(B3115&amp;"""",""[^0-9]"",""""),9))"),"768912344")</f>
        <v>768912344</v>
      </c>
      <c r="B3115" s="52">
        <v>7.68912344E8</v>
      </c>
      <c r="C3115" s="28" t="s">
        <v>3236</v>
      </c>
      <c r="D3115" s="26" t="s">
        <v>82</v>
      </c>
      <c r="E3115" s="31">
        <v>46230.0</v>
      </c>
      <c r="F3115" s="26" t="s">
        <v>46</v>
      </c>
      <c r="G3115" s="26">
        <v>11.0</v>
      </c>
      <c r="I3115" s="26" t="s">
        <v>42</v>
      </c>
      <c r="J3115" s="25" t="str">
        <f t="shared" si="43"/>
        <v>No</v>
      </c>
      <c r="K3115" s="25" t="str">
        <f t="shared" si="44"/>
        <v/>
      </c>
      <c r="L3115" s="25" t="str">
        <f t="shared" si="45"/>
        <v/>
      </c>
      <c r="M3115" s="25"/>
      <c r="O3115" s="25"/>
    </row>
    <row r="3116" ht="15.75" customHeight="1">
      <c r="A3116" s="25" t="str">
        <f>IFERROR(__xludf.DUMMYFUNCTION("IF(B3116="""","""",RIGHT(REGEXREPLACE(B3116&amp;"""",""[^0-9]"",""""),9))"),"743804781")</f>
        <v>743804781</v>
      </c>
      <c r="B3116" s="52">
        <v>7.43804781E8</v>
      </c>
      <c r="C3116" s="28" t="s">
        <v>3237</v>
      </c>
      <c r="D3116" s="26" t="s">
        <v>56</v>
      </c>
      <c r="E3116" s="31">
        <v>46230.0</v>
      </c>
      <c r="F3116" s="26" t="s">
        <v>46</v>
      </c>
      <c r="G3116" s="26">
        <v>11.0</v>
      </c>
      <c r="I3116" s="26" t="s">
        <v>42</v>
      </c>
      <c r="J3116" s="25" t="str">
        <f t="shared" si="43"/>
        <v>No</v>
      </c>
      <c r="K3116" s="25" t="str">
        <f t="shared" si="44"/>
        <v/>
      </c>
      <c r="L3116" s="25" t="str">
        <f t="shared" si="45"/>
        <v/>
      </c>
      <c r="M3116" s="25"/>
      <c r="O3116" s="25"/>
    </row>
    <row r="3117" ht="15.75" customHeight="1">
      <c r="A3117" s="25" t="str">
        <f>IFERROR(__xludf.DUMMYFUNCTION("IF(B3117="""","""",RIGHT(REGEXREPLACE(B3117&amp;"""",""[^0-9]"",""""),9))"),"742568550")</f>
        <v>742568550</v>
      </c>
      <c r="B3117" s="52">
        <v>7.4256855E8</v>
      </c>
      <c r="C3117" s="28" t="s">
        <v>3238</v>
      </c>
      <c r="D3117" s="26" t="s">
        <v>49</v>
      </c>
      <c r="E3117" s="31">
        <v>46230.0</v>
      </c>
      <c r="F3117" s="26" t="s">
        <v>46</v>
      </c>
      <c r="G3117" s="26">
        <v>11.0</v>
      </c>
      <c r="I3117" s="26" t="s">
        <v>42</v>
      </c>
      <c r="J3117" s="25" t="str">
        <f t="shared" si="43"/>
        <v>No</v>
      </c>
      <c r="K3117" s="25" t="str">
        <f t="shared" si="44"/>
        <v/>
      </c>
      <c r="L3117" s="25" t="str">
        <f t="shared" si="45"/>
        <v/>
      </c>
      <c r="M3117" s="25"/>
      <c r="O3117" s="25"/>
    </row>
    <row r="3118" ht="15.75" customHeight="1">
      <c r="A3118" s="25" t="str">
        <f>IFERROR(__xludf.DUMMYFUNCTION("IF(B3118="""","""",RIGHT(REGEXREPLACE(B3118&amp;"""",""[^0-9]"",""""),9))"),"742985397")</f>
        <v>742985397</v>
      </c>
      <c r="B3118" s="52">
        <v>7.42985397E8</v>
      </c>
      <c r="C3118" s="28" t="s">
        <v>1092</v>
      </c>
      <c r="D3118" s="26" t="s">
        <v>69</v>
      </c>
      <c r="E3118" s="31">
        <v>46230.0</v>
      </c>
      <c r="F3118" s="26" t="s">
        <v>205</v>
      </c>
      <c r="G3118" s="26">
        <v>11.0</v>
      </c>
      <c r="I3118" s="26" t="s">
        <v>42</v>
      </c>
      <c r="J3118" s="25" t="str">
        <f t="shared" si="43"/>
        <v>No</v>
      </c>
      <c r="K3118" s="25" t="str">
        <f t="shared" si="44"/>
        <v/>
      </c>
      <c r="L3118" s="25" t="str">
        <f t="shared" si="45"/>
        <v/>
      </c>
      <c r="M3118" s="25"/>
      <c r="O3118" s="25"/>
    </row>
    <row r="3119" ht="15.75" customHeight="1">
      <c r="A3119" s="25" t="str">
        <f>IFERROR(__xludf.DUMMYFUNCTION("IF(B3119="""","""",RIGHT(REGEXREPLACE(B3119&amp;"""",""[^0-9]"",""""),9))"),"773686638")</f>
        <v>773686638</v>
      </c>
      <c r="B3119" s="52">
        <v>7.73686638E8</v>
      </c>
      <c r="C3119" s="28" t="s">
        <v>1093</v>
      </c>
      <c r="D3119" s="26" t="s">
        <v>49</v>
      </c>
      <c r="E3119" s="31">
        <v>46230.0</v>
      </c>
      <c r="F3119" s="26" t="s">
        <v>46</v>
      </c>
      <c r="G3119" s="26">
        <v>11.0</v>
      </c>
      <c r="I3119" s="26" t="s">
        <v>42</v>
      </c>
      <c r="J3119" s="25" t="str">
        <f t="shared" si="43"/>
        <v>No</v>
      </c>
      <c r="K3119" s="25" t="str">
        <f t="shared" si="44"/>
        <v/>
      </c>
      <c r="L3119" s="25" t="str">
        <f t="shared" si="45"/>
        <v/>
      </c>
      <c r="M3119" s="25"/>
      <c r="O3119" s="25"/>
    </row>
    <row r="3120" ht="15.75" customHeight="1">
      <c r="A3120" s="25" t="str">
        <f>IFERROR(__xludf.DUMMYFUNCTION("IF(B3120="""","""",RIGHT(REGEXREPLACE(B3120&amp;"""",""[^0-9]"",""""),9))"),"772979966")</f>
        <v>772979966</v>
      </c>
      <c r="B3120" s="52">
        <v>7.72979966E8</v>
      </c>
      <c r="C3120" s="28" t="s">
        <v>1094</v>
      </c>
      <c r="D3120" s="26" t="s">
        <v>69</v>
      </c>
      <c r="E3120" s="31">
        <v>46230.0</v>
      </c>
      <c r="F3120" s="26" t="s">
        <v>41</v>
      </c>
      <c r="G3120" s="26">
        <v>10.0</v>
      </c>
      <c r="I3120" s="26" t="s">
        <v>42</v>
      </c>
      <c r="J3120" s="25" t="str">
        <f t="shared" si="43"/>
        <v>Yes - see Previous F-Code</v>
      </c>
      <c r="K3120" s="25" t="str">
        <f t="shared" si="44"/>
        <v>DUPLICATE - CHECK</v>
      </c>
      <c r="L3120" s="25" t="str">
        <f t="shared" si="45"/>
        <v>F72853</v>
      </c>
      <c r="M3120" s="25"/>
      <c r="O3120" s="25"/>
    </row>
    <row r="3121" ht="15.75" customHeight="1">
      <c r="A3121" s="25" t="str">
        <f>IFERROR(__xludf.DUMMYFUNCTION("IF(B3121="""","""",RIGHT(REGEXREPLACE(B3121&amp;"""",""[^0-9]"",""""),9))"),"779067941")</f>
        <v>779067941</v>
      </c>
      <c r="B3121" s="52">
        <v>7.79067941E8</v>
      </c>
      <c r="C3121" s="28" t="s">
        <v>1095</v>
      </c>
      <c r="D3121" s="26" t="s">
        <v>56</v>
      </c>
      <c r="E3121" s="31">
        <v>46230.0</v>
      </c>
      <c r="F3121" s="26" t="s">
        <v>41</v>
      </c>
      <c r="I3121" s="26" t="s">
        <v>42</v>
      </c>
      <c r="J3121" s="25" t="str">
        <f t="shared" si="43"/>
        <v>No</v>
      </c>
      <c r="K3121" s="25" t="str">
        <f t="shared" si="44"/>
        <v/>
      </c>
      <c r="L3121" s="25" t="str">
        <f t="shared" si="45"/>
        <v/>
      </c>
      <c r="M3121" s="25"/>
      <c r="O3121" s="25"/>
    </row>
    <row r="3122" ht="15.75" customHeight="1">
      <c r="A3122" s="25" t="str">
        <f>IFERROR(__xludf.DUMMYFUNCTION("IF(B3122="""","""",RIGHT(REGEXREPLACE(B3122&amp;"""",""[^0-9]"",""""),9))"),"741025556")</f>
        <v>741025556</v>
      </c>
      <c r="B3122" s="52">
        <v>7.41025556E8</v>
      </c>
      <c r="C3122" s="28" t="s">
        <v>1097</v>
      </c>
      <c r="D3122" s="26" t="s">
        <v>64</v>
      </c>
      <c r="E3122" s="31">
        <v>46230.0</v>
      </c>
      <c r="F3122" s="26" t="s">
        <v>46</v>
      </c>
      <c r="G3122" s="26">
        <v>11.0</v>
      </c>
      <c r="I3122" s="26" t="s">
        <v>42</v>
      </c>
      <c r="J3122" s="25" t="str">
        <f t="shared" si="43"/>
        <v>No</v>
      </c>
      <c r="K3122" s="25" t="str">
        <f t="shared" si="44"/>
        <v/>
      </c>
      <c r="L3122" s="25" t="str">
        <f t="shared" si="45"/>
        <v/>
      </c>
      <c r="M3122" s="25"/>
      <c r="O3122" s="25"/>
    </row>
    <row r="3123" ht="15.75" customHeight="1">
      <c r="A3123" s="25" t="str">
        <f>IFERROR(__xludf.DUMMYFUNCTION("IF(B3123="""","""",RIGHT(REGEXREPLACE(B3123&amp;"""",""[^0-9]"",""""),9))"),"701115167")</f>
        <v>701115167</v>
      </c>
      <c r="B3123" s="52">
        <v>7.01115167E8</v>
      </c>
      <c r="C3123" s="28" t="s">
        <v>1096</v>
      </c>
      <c r="D3123" s="26" t="s">
        <v>82</v>
      </c>
      <c r="E3123" s="31">
        <v>46230.0</v>
      </c>
      <c r="F3123" s="26" t="s">
        <v>46</v>
      </c>
      <c r="G3123" s="26">
        <v>11.0</v>
      </c>
      <c r="I3123" s="26" t="s">
        <v>42</v>
      </c>
      <c r="J3123" s="25" t="str">
        <f t="shared" si="43"/>
        <v>No</v>
      </c>
      <c r="K3123" s="25" t="str">
        <f t="shared" si="44"/>
        <v/>
      </c>
      <c r="L3123" s="25" t="str">
        <f t="shared" si="45"/>
        <v/>
      </c>
      <c r="M3123" s="25"/>
      <c r="O3123" s="25"/>
    </row>
    <row r="3124" ht="15.75" customHeight="1">
      <c r="A3124" s="25" t="str">
        <f>IFERROR(__xludf.DUMMYFUNCTION("IF(B3124="""","""",RIGHT(REGEXREPLACE(B3124&amp;"""",""[^0-9]"",""""),9))"),"779547505")</f>
        <v>779547505</v>
      </c>
      <c r="B3124" s="52">
        <v>7.79547505E8</v>
      </c>
      <c r="C3124" s="28" t="s">
        <v>1099</v>
      </c>
      <c r="D3124" s="26" t="s">
        <v>64</v>
      </c>
      <c r="E3124" s="31">
        <v>46230.0</v>
      </c>
      <c r="F3124" s="26" t="s">
        <v>41</v>
      </c>
      <c r="G3124" s="26">
        <v>11.0</v>
      </c>
      <c r="I3124" s="26" t="s">
        <v>42</v>
      </c>
      <c r="J3124" s="25" t="str">
        <f t="shared" si="43"/>
        <v>No</v>
      </c>
      <c r="K3124" s="25" t="str">
        <f t="shared" si="44"/>
        <v/>
      </c>
      <c r="L3124" s="25" t="str">
        <f t="shared" si="45"/>
        <v/>
      </c>
      <c r="M3124" s="25"/>
      <c r="O3124" s="25"/>
    </row>
    <row r="3125" ht="15.75" customHeight="1">
      <c r="A3125" s="25" t="str">
        <f>IFERROR(__xludf.DUMMYFUNCTION("IF(B3125="""","""",RIGHT(REGEXREPLACE(B3125&amp;"""",""[^0-9]"",""""),9))"),"766073151")</f>
        <v>766073151</v>
      </c>
      <c r="B3125" s="52">
        <v>7.66073151E8</v>
      </c>
      <c r="C3125" s="28" t="s">
        <v>1098</v>
      </c>
      <c r="D3125" s="26" t="s">
        <v>56</v>
      </c>
      <c r="E3125" s="31">
        <v>46230.0</v>
      </c>
      <c r="F3125" s="26" t="s">
        <v>46</v>
      </c>
      <c r="G3125" s="26">
        <v>11.0</v>
      </c>
      <c r="I3125" s="26" t="s">
        <v>42</v>
      </c>
      <c r="J3125" s="25" t="str">
        <f t="shared" si="43"/>
        <v>No</v>
      </c>
      <c r="K3125" s="25" t="str">
        <f t="shared" si="44"/>
        <v/>
      </c>
      <c r="L3125" s="25" t="str">
        <f t="shared" si="45"/>
        <v/>
      </c>
      <c r="M3125" s="25"/>
      <c r="O3125" s="25"/>
    </row>
    <row r="3126" ht="15.75" customHeight="1">
      <c r="A3126" s="25" t="str">
        <f>IFERROR(__xludf.DUMMYFUNCTION("IF(B3126="""","""",RIGHT(REGEXREPLACE(B3126&amp;"""",""[^0-9]"",""""),9))"),"715693995")</f>
        <v>715693995</v>
      </c>
      <c r="B3126" s="52">
        <v>7.15693995E8</v>
      </c>
      <c r="C3126" s="28" t="s">
        <v>1100</v>
      </c>
      <c r="D3126" s="26" t="s">
        <v>45</v>
      </c>
      <c r="E3126" s="31">
        <v>46230.0</v>
      </c>
      <c r="F3126" s="26" t="s">
        <v>46</v>
      </c>
      <c r="G3126" s="26">
        <v>11.0</v>
      </c>
      <c r="I3126" s="26" t="s">
        <v>42</v>
      </c>
      <c r="J3126" s="25" t="str">
        <f t="shared" si="43"/>
        <v>No</v>
      </c>
      <c r="K3126" s="25" t="str">
        <f t="shared" si="44"/>
        <v/>
      </c>
      <c r="L3126" s="25" t="str">
        <f t="shared" si="45"/>
        <v/>
      </c>
      <c r="M3126" s="25"/>
      <c r="O3126" s="25"/>
    </row>
    <row r="3127" ht="15.75" customHeight="1">
      <c r="A3127" s="25" t="str">
        <f>IFERROR(__xludf.DUMMYFUNCTION("IF(B3127="""","""",RIGHT(REGEXREPLACE(B3127&amp;"""",""[^0-9]"",""""),9))"),"")</f>
        <v/>
      </c>
      <c r="B3127" s="52"/>
      <c r="C3127" s="46"/>
      <c r="D3127" s="25"/>
      <c r="E3127" s="31">
        <v>46230.0</v>
      </c>
      <c r="F3127" s="25"/>
      <c r="I3127" s="26" t="s">
        <v>42</v>
      </c>
      <c r="J3127" s="25" t="str">
        <f t="shared" si="43"/>
        <v>Yes - see Previous F-Code</v>
      </c>
      <c r="K3127" s="25" t="str">
        <f t="shared" si="44"/>
        <v>DUPLICATE - CHECK</v>
      </c>
      <c r="L3127" s="25" t="str">
        <f t="shared" si="45"/>
        <v/>
      </c>
      <c r="M3127" s="25"/>
      <c r="O3127" s="25"/>
    </row>
    <row r="3128" ht="15.75" customHeight="1">
      <c r="A3128" s="25" t="str">
        <f>IFERROR(__xludf.DUMMYFUNCTION("IF(B3128="""","""",RIGHT(REGEXREPLACE(B3128&amp;"""",""[^0-9]"",""""),9))"),"776360571")</f>
        <v>776360571</v>
      </c>
      <c r="B3128" s="52">
        <v>7.76360571E8</v>
      </c>
      <c r="C3128" s="28" t="s">
        <v>3239</v>
      </c>
      <c r="D3128" s="26" t="s">
        <v>82</v>
      </c>
      <c r="E3128" s="31">
        <v>46230.0</v>
      </c>
      <c r="F3128" s="26" t="s">
        <v>46</v>
      </c>
      <c r="G3128" s="26">
        <v>11.0</v>
      </c>
      <c r="I3128" s="26" t="s">
        <v>42</v>
      </c>
      <c r="J3128" s="25" t="str">
        <f t="shared" si="43"/>
        <v>No</v>
      </c>
      <c r="K3128" s="25" t="str">
        <f t="shared" si="44"/>
        <v/>
      </c>
      <c r="L3128" s="25" t="str">
        <f t="shared" si="45"/>
        <v/>
      </c>
      <c r="M3128" s="25"/>
      <c r="O3128" s="25"/>
    </row>
    <row r="3129" ht="15.75" customHeight="1">
      <c r="A3129" s="25" t="str">
        <f>IFERROR(__xludf.DUMMYFUNCTION("IF(B3129="""","""",RIGHT(REGEXREPLACE(B3129&amp;"""",""[^0-9]"",""""),9))"),"767960196")</f>
        <v>767960196</v>
      </c>
      <c r="B3129" s="52">
        <v>7.67960196E8</v>
      </c>
      <c r="C3129" s="28" t="s">
        <v>3240</v>
      </c>
      <c r="D3129" s="26" t="s">
        <v>64</v>
      </c>
      <c r="E3129" s="31">
        <v>46230.0</v>
      </c>
      <c r="F3129" s="26" t="s">
        <v>41</v>
      </c>
      <c r="G3129" s="26">
        <v>11.0</v>
      </c>
      <c r="I3129" s="26" t="s">
        <v>42</v>
      </c>
      <c r="J3129" s="25" t="str">
        <f t="shared" si="43"/>
        <v>No</v>
      </c>
      <c r="K3129" s="25" t="str">
        <f t="shared" si="44"/>
        <v/>
      </c>
      <c r="L3129" s="25" t="str">
        <f t="shared" si="45"/>
        <v/>
      </c>
      <c r="M3129" s="25"/>
      <c r="O3129" s="25"/>
    </row>
    <row r="3130" ht="15.75" customHeight="1">
      <c r="A3130" s="25" t="str">
        <f>IFERROR(__xludf.DUMMYFUNCTION("IF(B3130="""","""",RIGHT(REGEXREPLACE(B3130&amp;"""",""[^0-9]"",""""),9))"),"763119193")</f>
        <v>763119193</v>
      </c>
      <c r="B3130" s="52">
        <v>7.63119193E8</v>
      </c>
      <c r="C3130" s="28" t="s">
        <v>3241</v>
      </c>
      <c r="D3130" s="26" t="s">
        <v>82</v>
      </c>
      <c r="E3130" s="31">
        <v>46230.0</v>
      </c>
      <c r="F3130" s="26" t="s">
        <v>659</v>
      </c>
      <c r="I3130" s="26" t="s">
        <v>42</v>
      </c>
      <c r="J3130" s="25" t="str">
        <f t="shared" si="43"/>
        <v>No</v>
      </c>
      <c r="K3130" s="25" t="str">
        <f t="shared" si="44"/>
        <v/>
      </c>
      <c r="L3130" s="25" t="str">
        <f t="shared" si="45"/>
        <v/>
      </c>
      <c r="M3130" s="25"/>
      <c r="O3130" s="25"/>
    </row>
    <row r="3131" ht="15.75" customHeight="1">
      <c r="A3131" s="25" t="str">
        <f>IFERROR(__xludf.DUMMYFUNCTION("IF(B3131="""","""",RIGHT(REGEXREPLACE(B3131&amp;"""",""[^0-9]"",""""),9))"),"712154993")</f>
        <v>712154993</v>
      </c>
      <c r="B3131" s="52">
        <v>7.12154993E8</v>
      </c>
      <c r="C3131" s="28" t="s">
        <v>3242</v>
      </c>
      <c r="D3131" s="26" t="s">
        <v>45</v>
      </c>
      <c r="E3131" s="31">
        <v>46230.0</v>
      </c>
      <c r="F3131" s="25"/>
      <c r="G3131" s="25"/>
      <c r="H3131" s="25"/>
      <c r="I3131" s="26" t="s">
        <v>42</v>
      </c>
      <c r="J3131" s="25" t="str">
        <f t="shared" si="43"/>
        <v>No</v>
      </c>
      <c r="K3131" s="25" t="str">
        <f t="shared" si="44"/>
        <v/>
      </c>
      <c r="L3131" s="25" t="str">
        <f t="shared" si="45"/>
        <v/>
      </c>
      <c r="M3131" s="25"/>
      <c r="N3131" s="25"/>
      <c r="O3131" s="25"/>
      <c r="P3131" s="25"/>
    </row>
    <row r="3132" ht="15.75" customHeight="1">
      <c r="A3132" s="25" t="str">
        <f>IFERROR(__xludf.DUMMYFUNCTION("IF(B3132="""","""",RIGHT(REGEXREPLACE(B3132&amp;"""",""[^0-9]"",""""),9))"),"")</f>
        <v/>
      </c>
      <c r="C3132" s="46"/>
      <c r="D3132" s="25"/>
      <c r="F3132" s="25"/>
      <c r="I3132" s="26" t="s">
        <v>42</v>
      </c>
      <c r="M3132" s="25"/>
      <c r="O3132" s="25"/>
    </row>
    <row r="3133" ht="15.75" customHeight="1">
      <c r="A3133" s="25" t="str">
        <f>IFERROR(__xludf.DUMMYFUNCTION("IF(B3133="""","""",RIGHT(REGEXREPLACE(B3133&amp;"""",""[^0-9]"",""""),9))"),"776407470")</f>
        <v>776407470</v>
      </c>
      <c r="B3133" s="52">
        <v>7.7640747E8</v>
      </c>
      <c r="C3133" s="28" t="s">
        <v>3243</v>
      </c>
      <c r="D3133" s="26" t="s">
        <v>49</v>
      </c>
      <c r="E3133" s="31">
        <v>46230.0</v>
      </c>
      <c r="F3133" s="26" t="s">
        <v>41</v>
      </c>
      <c r="G3133" s="26">
        <v>10.0</v>
      </c>
      <c r="I3133" s="26" t="s">
        <v>42</v>
      </c>
      <c r="J3133" s="25" t="str">
        <f t="shared" ref="J3133:J4159" si="46">IF(COUNTIF($A$2:A3132,A3133)&gt;0,"Yes - see Previous F-Code","No")</f>
        <v>No</v>
      </c>
      <c r="K3133" s="25" t="str">
        <f t="shared" ref="K3133:K4159" si="47">IF(COUNTIFS($A$2:A3133,A3133,$I$2:I3133,I3133)&gt;1,"DUPLICATE - CHECK","")</f>
        <v/>
      </c>
      <c r="L3133" s="25" t="str">
        <f t="shared" ref="L3133:L4159" si="48">IF(COUNTIF($A$2:A3132,A3133)&gt;0,INDEX($C$2:C3132,MATCH(A3133,$A$2:A3132,0)),"")</f>
        <v/>
      </c>
      <c r="M3133" s="25"/>
      <c r="O3133" s="25"/>
    </row>
    <row r="3134" ht="15.75" customHeight="1">
      <c r="A3134" s="25" t="str">
        <f>IFERROR(__xludf.DUMMYFUNCTION("IF(B3134="""","""",RIGHT(REGEXREPLACE(B3134&amp;"""",""[^0-9]"",""""),9))"),"771273359")</f>
        <v>771273359</v>
      </c>
      <c r="B3134" s="52">
        <v>7.71273359E8</v>
      </c>
      <c r="C3134" s="28" t="s">
        <v>3244</v>
      </c>
      <c r="D3134" s="26" t="s">
        <v>64</v>
      </c>
      <c r="E3134" s="31">
        <v>46230.0</v>
      </c>
      <c r="F3134" s="26" t="s">
        <v>41</v>
      </c>
      <c r="G3134" s="26">
        <v>11.0</v>
      </c>
      <c r="I3134" s="26" t="s">
        <v>42</v>
      </c>
      <c r="J3134" s="25" t="str">
        <f t="shared" si="46"/>
        <v>No</v>
      </c>
      <c r="K3134" s="25" t="str">
        <f t="shared" si="47"/>
        <v/>
      </c>
      <c r="L3134" s="25" t="str">
        <f t="shared" si="48"/>
        <v/>
      </c>
      <c r="M3134" s="25"/>
      <c r="O3134" s="25"/>
    </row>
    <row r="3135" ht="15.75" customHeight="1">
      <c r="A3135" s="25" t="str">
        <f>IFERROR(__xludf.DUMMYFUNCTION("IF(B3135="""","""",RIGHT(REGEXREPLACE(B3135&amp;"""",""[^0-9]"",""""),9))"),"720498733")</f>
        <v>720498733</v>
      </c>
      <c r="B3135" s="52">
        <v>7.20498733E8</v>
      </c>
      <c r="C3135" s="28" t="s">
        <v>3245</v>
      </c>
      <c r="D3135" s="26" t="s">
        <v>56</v>
      </c>
      <c r="E3135" s="31">
        <v>46230.0</v>
      </c>
      <c r="F3135" s="26" t="s">
        <v>205</v>
      </c>
      <c r="I3135" s="26" t="s">
        <v>42</v>
      </c>
      <c r="J3135" s="25" t="str">
        <f t="shared" si="46"/>
        <v>No</v>
      </c>
      <c r="K3135" s="25" t="str">
        <f t="shared" si="47"/>
        <v/>
      </c>
      <c r="L3135" s="25" t="str">
        <f t="shared" si="48"/>
        <v/>
      </c>
      <c r="M3135" s="25"/>
      <c r="O3135" s="25"/>
    </row>
    <row r="3136" ht="15.75" customHeight="1">
      <c r="A3136" s="25" t="str">
        <f>IFERROR(__xludf.DUMMYFUNCTION("IF(B3136="""","""",RIGHT(REGEXREPLACE(B3136&amp;"""",""[^0-9]"",""""),9))"),"742816898")</f>
        <v>742816898</v>
      </c>
      <c r="B3136" s="52">
        <v>7.42816898E8</v>
      </c>
      <c r="C3136" s="28" t="s">
        <v>317</v>
      </c>
      <c r="D3136" s="26" t="s">
        <v>69</v>
      </c>
      <c r="E3136" s="31">
        <v>46230.0</v>
      </c>
      <c r="F3136" s="26" t="s">
        <v>41</v>
      </c>
      <c r="G3136" s="26">
        <v>11.0</v>
      </c>
      <c r="I3136" s="26" t="s">
        <v>42</v>
      </c>
      <c r="J3136" s="25" t="str">
        <f t="shared" si="46"/>
        <v>No</v>
      </c>
      <c r="K3136" s="25" t="str">
        <f t="shared" si="47"/>
        <v/>
      </c>
      <c r="L3136" s="25" t="str">
        <f t="shared" si="48"/>
        <v/>
      </c>
      <c r="M3136" s="25"/>
      <c r="O3136" s="25"/>
    </row>
    <row r="3137" ht="15.75" customHeight="1">
      <c r="A3137" s="25" t="str">
        <f>IFERROR(__xludf.DUMMYFUNCTION("IF(B3137="""","""",RIGHT(REGEXREPLACE(B3137&amp;"""",""[^0-9]"",""""),9))"),"704517852")</f>
        <v>704517852</v>
      </c>
      <c r="B3137" s="52">
        <v>7.04517852E8</v>
      </c>
      <c r="C3137" s="28" t="s">
        <v>3246</v>
      </c>
      <c r="D3137" s="26" t="s">
        <v>49</v>
      </c>
      <c r="E3137" s="31">
        <v>46230.0</v>
      </c>
      <c r="F3137" s="26" t="s">
        <v>46</v>
      </c>
      <c r="G3137" s="26">
        <v>11.0</v>
      </c>
      <c r="I3137" s="26" t="s">
        <v>42</v>
      </c>
      <c r="J3137" s="25" t="str">
        <f t="shared" si="46"/>
        <v>No</v>
      </c>
      <c r="K3137" s="25" t="str">
        <f t="shared" si="47"/>
        <v/>
      </c>
      <c r="L3137" s="25" t="str">
        <f t="shared" si="48"/>
        <v/>
      </c>
      <c r="M3137" s="25"/>
      <c r="O3137" s="25"/>
    </row>
    <row r="3138" ht="15.75" customHeight="1">
      <c r="A3138" s="25" t="str">
        <f>IFERROR(__xludf.DUMMYFUNCTION("IF(B3138="""","""",RIGHT(REGEXREPLACE(B3138&amp;"""",""[^0-9]"",""""),9))"),"762695608")</f>
        <v>762695608</v>
      </c>
      <c r="B3138" s="52">
        <v>7.62695608E8</v>
      </c>
      <c r="C3138" s="28" t="s">
        <v>3247</v>
      </c>
      <c r="D3138" s="26" t="s">
        <v>64</v>
      </c>
      <c r="E3138" s="31">
        <v>46230.0</v>
      </c>
      <c r="F3138" s="26" t="s">
        <v>46</v>
      </c>
      <c r="G3138" s="26">
        <v>11.0</v>
      </c>
      <c r="I3138" s="26" t="s">
        <v>42</v>
      </c>
      <c r="J3138" s="25" t="str">
        <f t="shared" si="46"/>
        <v>No</v>
      </c>
      <c r="K3138" s="25" t="str">
        <f t="shared" si="47"/>
        <v/>
      </c>
      <c r="L3138" s="25" t="str">
        <f t="shared" si="48"/>
        <v/>
      </c>
      <c r="M3138" s="25"/>
      <c r="O3138" s="25"/>
    </row>
    <row r="3139" ht="15.75" customHeight="1">
      <c r="A3139" s="25" t="str">
        <f>IFERROR(__xludf.DUMMYFUNCTION("IF(B3139="""","""",RIGHT(REGEXREPLACE(B3139&amp;"""",""[^0-9]"",""""),9))"),"764934073")</f>
        <v>764934073</v>
      </c>
      <c r="B3139" s="52">
        <v>7.64934073E8</v>
      </c>
      <c r="C3139" s="28" t="s">
        <v>3248</v>
      </c>
      <c r="D3139" s="26" t="s">
        <v>45</v>
      </c>
      <c r="E3139" s="31">
        <v>46230.0</v>
      </c>
      <c r="F3139" s="26" t="s">
        <v>46</v>
      </c>
      <c r="H3139" s="26" t="s">
        <v>2793</v>
      </c>
      <c r="I3139" s="26" t="s">
        <v>42</v>
      </c>
      <c r="J3139" s="25" t="str">
        <f t="shared" si="46"/>
        <v>No</v>
      </c>
      <c r="K3139" s="25" t="str">
        <f t="shared" si="47"/>
        <v/>
      </c>
      <c r="L3139" s="25" t="str">
        <f t="shared" si="48"/>
        <v/>
      </c>
      <c r="M3139" s="25"/>
      <c r="O3139" s="25"/>
    </row>
    <row r="3140" ht="15.75" customHeight="1">
      <c r="A3140" s="25" t="str">
        <f>IFERROR(__xludf.DUMMYFUNCTION("IF(B3140="""","""",RIGHT(REGEXREPLACE(B3140&amp;"""",""[^0-9]"",""""),9))"),"753775955")</f>
        <v>753775955</v>
      </c>
      <c r="B3140" s="52">
        <v>7.53775955E8</v>
      </c>
      <c r="C3140" s="28" t="s">
        <v>3249</v>
      </c>
      <c r="D3140" s="26" t="s">
        <v>64</v>
      </c>
      <c r="E3140" s="31">
        <v>46230.0</v>
      </c>
      <c r="F3140" s="26" t="s">
        <v>659</v>
      </c>
      <c r="G3140" s="26">
        <v>11.0</v>
      </c>
      <c r="I3140" s="26" t="s">
        <v>42</v>
      </c>
      <c r="J3140" s="25" t="str">
        <f t="shared" si="46"/>
        <v>No</v>
      </c>
      <c r="K3140" s="25" t="str">
        <f t="shared" si="47"/>
        <v/>
      </c>
      <c r="L3140" s="25" t="str">
        <f t="shared" si="48"/>
        <v/>
      </c>
      <c r="M3140" s="25"/>
      <c r="O3140" s="25"/>
    </row>
    <row r="3141" ht="15.75" customHeight="1">
      <c r="A3141" s="25" t="str">
        <f>IFERROR(__xludf.DUMMYFUNCTION("IF(B3141="""","""",RIGHT(REGEXREPLACE(B3141&amp;"""",""[^0-9]"",""""),9))"),"764768799")</f>
        <v>764768799</v>
      </c>
      <c r="B3141" s="52">
        <v>7.64768799E8</v>
      </c>
      <c r="C3141" s="28" t="s">
        <v>3250</v>
      </c>
      <c r="D3141" s="26" t="s">
        <v>56</v>
      </c>
      <c r="E3141" s="31">
        <v>46230.0</v>
      </c>
      <c r="F3141" s="26" t="s">
        <v>41</v>
      </c>
      <c r="I3141" s="26" t="s">
        <v>42</v>
      </c>
      <c r="J3141" s="25" t="str">
        <f t="shared" si="46"/>
        <v>No</v>
      </c>
      <c r="K3141" s="25" t="str">
        <f t="shared" si="47"/>
        <v/>
      </c>
      <c r="L3141" s="25" t="str">
        <f t="shared" si="48"/>
        <v/>
      </c>
      <c r="M3141" s="25"/>
      <c r="O3141" s="25"/>
    </row>
    <row r="3142" ht="15.75" customHeight="1">
      <c r="A3142" s="25" t="str">
        <f>IFERROR(__xludf.DUMMYFUNCTION("IF(B3142="""","""",RIGHT(REGEXREPLACE(B3142&amp;"""",""[^0-9]"",""""),9))"),"710581515")</f>
        <v>710581515</v>
      </c>
      <c r="B3142" s="52">
        <v>7.10581515E8</v>
      </c>
      <c r="C3142" s="28" t="s">
        <v>3239</v>
      </c>
      <c r="D3142" s="26" t="s">
        <v>69</v>
      </c>
      <c r="E3142" s="31">
        <v>46230.0</v>
      </c>
      <c r="F3142" s="26" t="s">
        <v>84</v>
      </c>
      <c r="I3142" s="26" t="s">
        <v>42</v>
      </c>
      <c r="J3142" s="25" t="str">
        <f t="shared" si="46"/>
        <v>No</v>
      </c>
      <c r="K3142" s="25" t="str">
        <f t="shared" si="47"/>
        <v/>
      </c>
      <c r="L3142" s="25" t="str">
        <f t="shared" si="48"/>
        <v/>
      </c>
      <c r="M3142" s="25"/>
      <c r="O3142" s="25"/>
    </row>
    <row r="3143" ht="15.75" customHeight="1">
      <c r="A3143" s="25" t="str">
        <f>IFERROR(__xludf.DUMMYFUNCTION("IF(B3143="""","""",RIGHT(REGEXREPLACE(B3143&amp;"""",""[^0-9]"",""""),9))"),"782806641")</f>
        <v>782806641</v>
      </c>
      <c r="B3143" s="52">
        <v>7.82806641E8</v>
      </c>
      <c r="C3143" s="28" t="s">
        <v>3251</v>
      </c>
      <c r="D3143" s="26" t="s">
        <v>64</v>
      </c>
      <c r="E3143" s="31">
        <v>46230.0</v>
      </c>
      <c r="F3143" s="26" t="s">
        <v>46</v>
      </c>
      <c r="G3143" s="26">
        <v>11.0</v>
      </c>
      <c r="I3143" s="26" t="s">
        <v>42</v>
      </c>
      <c r="J3143" s="25" t="str">
        <f t="shared" si="46"/>
        <v>No</v>
      </c>
      <c r="K3143" s="25" t="str">
        <f t="shared" si="47"/>
        <v/>
      </c>
      <c r="L3143" s="25" t="str">
        <f t="shared" si="48"/>
        <v/>
      </c>
      <c r="M3143" s="25"/>
      <c r="O3143" s="25"/>
    </row>
    <row r="3144" ht="15.75" customHeight="1">
      <c r="A3144" s="25" t="str">
        <f>IFERROR(__xludf.DUMMYFUNCTION("IF(B3144="""","""",RIGHT(REGEXREPLACE(B3144&amp;"""",""[^0-9]"",""""),9))"),"771607748")</f>
        <v>771607748</v>
      </c>
      <c r="B3144" s="52">
        <v>7.71607748E8</v>
      </c>
      <c r="C3144" s="28" t="s">
        <v>3252</v>
      </c>
      <c r="D3144" s="26" t="s">
        <v>82</v>
      </c>
      <c r="E3144" s="31">
        <v>46230.0</v>
      </c>
      <c r="F3144" s="25"/>
      <c r="G3144" s="25"/>
      <c r="H3144" s="25"/>
      <c r="I3144" s="26" t="s">
        <v>42</v>
      </c>
      <c r="J3144" s="25" t="str">
        <f t="shared" si="46"/>
        <v>No</v>
      </c>
      <c r="K3144" s="25" t="str">
        <f t="shared" si="47"/>
        <v/>
      </c>
      <c r="L3144" s="25" t="str">
        <f t="shared" si="48"/>
        <v/>
      </c>
      <c r="M3144" s="25"/>
      <c r="N3144" s="25"/>
      <c r="O3144" s="25"/>
      <c r="P3144" s="25"/>
    </row>
    <row r="3145" ht="15.75" customHeight="1">
      <c r="A3145" s="25" t="str">
        <f>IFERROR(__xludf.DUMMYFUNCTION("IF(B3145="""","""",RIGHT(REGEXREPLACE(B3145&amp;"""",""[^0-9]"",""""),9))"),"775765305")</f>
        <v>775765305</v>
      </c>
      <c r="B3145" s="52">
        <v>7.75765305E8</v>
      </c>
      <c r="C3145" s="28" t="s">
        <v>3253</v>
      </c>
      <c r="D3145" s="26" t="s">
        <v>49</v>
      </c>
      <c r="E3145" s="31">
        <v>46230.0</v>
      </c>
      <c r="F3145" s="26" t="s">
        <v>46</v>
      </c>
      <c r="G3145" s="26">
        <v>11.0</v>
      </c>
      <c r="I3145" s="26" t="s">
        <v>42</v>
      </c>
      <c r="J3145" s="25" t="str">
        <f t="shared" si="46"/>
        <v>No</v>
      </c>
      <c r="K3145" s="25" t="str">
        <f t="shared" si="47"/>
        <v/>
      </c>
      <c r="L3145" s="25" t="str">
        <f t="shared" si="48"/>
        <v/>
      </c>
      <c r="M3145" s="25"/>
      <c r="O3145" s="25"/>
    </row>
    <row r="3146" ht="15.75" customHeight="1">
      <c r="A3146" s="25" t="str">
        <f>IFERROR(__xludf.DUMMYFUNCTION("IF(B3146="""","""",RIGHT(REGEXREPLACE(B3146&amp;"""",""[^0-9]"",""""),9))"),"717018554")</f>
        <v>717018554</v>
      </c>
      <c r="B3146" s="52">
        <v>7.17018554E8</v>
      </c>
      <c r="C3146" s="28" t="s">
        <v>3254</v>
      </c>
      <c r="D3146" s="26" t="s">
        <v>56</v>
      </c>
      <c r="E3146" s="31">
        <v>46230.0</v>
      </c>
      <c r="F3146" s="26" t="s">
        <v>46</v>
      </c>
      <c r="G3146" s="26">
        <v>11.0</v>
      </c>
      <c r="I3146" s="26" t="s">
        <v>42</v>
      </c>
      <c r="J3146" s="25" t="str">
        <f t="shared" si="46"/>
        <v>No</v>
      </c>
      <c r="K3146" s="25" t="str">
        <f t="shared" si="47"/>
        <v/>
      </c>
      <c r="L3146" s="25" t="str">
        <f t="shared" si="48"/>
        <v/>
      </c>
      <c r="M3146" s="25"/>
      <c r="O3146" s="25"/>
    </row>
    <row r="3147" ht="15.75" customHeight="1">
      <c r="A3147" s="25" t="str">
        <f>IFERROR(__xludf.DUMMYFUNCTION("IF(B3147="""","""",RIGHT(REGEXREPLACE(B3147&amp;"""",""[^0-9]"",""""),9))"),"788633852")</f>
        <v>788633852</v>
      </c>
      <c r="B3147" s="52">
        <v>7.88633852E8</v>
      </c>
      <c r="C3147" s="28" t="s">
        <v>3255</v>
      </c>
      <c r="D3147" s="26" t="s">
        <v>64</v>
      </c>
      <c r="E3147" s="31">
        <v>46230.0</v>
      </c>
      <c r="F3147" s="25"/>
      <c r="G3147" s="26">
        <v>11.0</v>
      </c>
      <c r="H3147" s="25"/>
      <c r="I3147" s="26" t="s">
        <v>42</v>
      </c>
      <c r="J3147" s="25" t="str">
        <f t="shared" si="46"/>
        <v>No</v>
      </c>
      <c r="K3147" s="25" t="str">
        <f t="shared" si="47"/>
        <v/>
      </c>
      <c r="L3147" s="25" t="str">
        <f t="shared" si="48"/>
        <v/>
      </c>
      <c r="M3147" s="25"/>
      <c r="N3147" s="25"/>
      <c r="O3147" s="25"/>
      <c r="P3147" s="25"/>
    </row>
    <row r="3148" ht="15.75" customHeight="1">
      <c r="A3148" s="25" t="str">
        <f>IFERROR(__xludf.DUMMYFUNCTION("IF(B3148="""","""",RIGHT(REGEXREPLACE(B3148&amp;"""",""[^0-9]"",""""),9))"),"757084906")</f>
        <v>757084906</v>
      </c>
      <c r="B3148" s="52">
        <v>7.57084906E8</v>
      </c>
      <c r="C3148" s="28" t="s">
        <v>3256</v>
      </c>
      <c r="D3148" s="26" t="s">
        <v>82</v>
      </c>
      <c r="E3148" s="31">
        <v>46230.0</v>
      </c>
      <c r="F3148" s="26" t="s">
        <v>41</v>
      </c>
      <c r="G3148" s="26">
        <v>11.0</v>
      </c>
      <c r="I3148" s="26" t="s">
        <v>42</v>
      </c>
      <c r="J3148" s="25" t="str">
        <f t="shared" si="46"/>
        <v>No</v>
      </c>
      <c r="K3148" s="25" t="str">
        <f t="shared" si="47"/>
        <v/>
      </c>
      <c r="L3148" s="25" t="str">
        <f t="shared" si="48"/>
        <v/>
      </c>
      <c r="M3148" s="25"/>
      <c r="O3148" s="25"/>
    </row>
    <row r="3149" ht="15.75" customHeight="1">
      <c r="A3149" s="25" t="str">
        <f>IFERROR(__xludf.DUMMYFUNCTION("IF(B3149="""","""",RIGHT(REGEXREPLACE(B3149&amp;"""",""[^0-9]"",""""),9))"),"701039063")</f>
        <v>701039063</v>
      </c>
      <c r="B3149" s="52">
        <v>7.01039063E8</v>
      </c>
      <c r="C3149" s="28" t="s">
        <v>3257</v>
      </c>
      <c r="D3149" s="26" t="s">
        <v>49</v>
      </c>
      <c r="E3149" s="31">
        <v>46230.0</v>
      </c>
      <c r="F3149" s="26" t="s">
        <v>46</v>
      </c>
      <c r="G3149" s="26">
        <v>11.0</v>
      </c>
      <c r="I3149" s="26" t="s">
        <v>42</v>
      </c>
      <c r="J3149" s="25" t="str">
        <f t="shared" si="46"/>
        <v>No</v>
      </c>
      <c r="K3149" s="25" t="str">
        <f t="shared" si="47"/>
        <v/>
      </c>
      <c r="L3149" s="25" t="str">
        <f t="shared" si="48"/>
        <v/>
      </c>
      <c r="M3149" s="25"/>
      <c r="O3149" s="25"/>
    </row>
    <row r="3150" ht="15.75" customHeight="1">
      <c r="A3150" s="25" t="str">
        <f>IFERROR(__xludf.DUMMYFUNCTION("IF(B3150="""","""",RIGHT(REGEXREPLACE(B3150&amp;"""",""[^0-9]"",""""),9))"),"717679484")</f>
        <v>717679484</v>
      </c>
      <c r="B3150" s="52">
        <v>7.17679484E8</v>
      </c>
      <c r="C3150" s="28" t="s">
        <v>3258</v>
      </c>
      <c r="D3150" s="26" t="s">
        <v>69</v>
      </c>
      <c r="E3150" s="31">
        <v>46230.0</v>
      </c>
      <c r="F3150" s="25"/>
      <c r="G3150" s="25"/>
      <c r="H3150" s="25"/>
      <c r="I3150" s="26" t="s">
        <v>42</v>
      </c>
      <c r="J3150" s="25" t="str">
        <f t="shared" si="46"/>
        <v>No</v>
      </c>
      <c r="K3150" s="25" t="str">
        <f t="shared" si="47"/>
        <v/>
      </c>
      <c r="L3150" s="25" t="str">
        <f t="shared" si="48"/>
        <v/>
      </c>
      <c r="M3150" s="25"/>
      <c r="N3150" s="25"/>
      <c r="O3150" s="25"/>
      <c r="P3150" s="25"/>
    </row>
    <row r="3151" ht="15.75" customHeight="1">
      <c r="A3151" s="25" t="str">
        <f>IFERROR(__xludf.DUMMYFUNCTION("IF(B3151="""","""",RIGHT(REGEXREPLACE(B3151&amp;"""",""[^0-9]"",""""),9))"),"701797652")</f>
        <v>701797652</v>
      </c>
      <c r="B3151" s="52">
        <v>7.01797652E8</v>
      </c>
      <c r="C3151" s="28" t="s">
        <v>3259</v>
      </c>
      <c r="D3151" s="26" t="s">
        <v>64</v>
      </c>
      <c r="E3151" s="31">
        <v>46230.0</v>
      </c>
      <c r="F3151" s="26" t="s">
        <v>46</v>
      </c>
      <c r="G3151" s="26">
        <v>11.0</v>
      </c>
      <c r="I3151" s="26" t="s">
        <v>42</v>
      </c>
      <c r="J3151" s="25" t="str">
        <f t="shared" si="46"/>
        <v>No</v>
      </c>
      <c r="K3151" s="25" t="str">
        <f t="shared" si="47"/>
        <v/>
      </c>
      <c r="L3151" s="25" t="str">
        <f t="shared" si="48"/>
        <v/>
      </c>
      <c r="M3151" s="25"/>
      <c r="O3151" s="25"/>
    </row>
    <row r="3152" ht="15.75" customHeight="1">
      <c r="A3152" s="25" t="str">
        <f>IFERROR(__xludf.DUMMYFUNCTION("IF(B3152="""","""",RIGHT(REGEXREPLACE(B3152&amp;"""",""[^0-9]"",""""),9))"),"773625413")</f>
        <v>773625413</v>
      </c>
      <c r="B3152" s="52">
        <v>7.73625413E8</v>
      </c>
      <c r="C3152" s="28" t="s">
        <v>3260</v>
      </c>
      <c r="D3152" s="26" t="s">
        <v>82</v>
      </c>
      <c r="E3152" s="31">
        <v>46230.0</v>
      </c>
      <c r="F3152" s="26" t="s">
        <v>46</v>
      </c>
      <c r="G3152" s="26">
        <v>11.0</v>
      </c>
      <c r="I3152" s="26" t="s">
        <v>42</v>
      </c>
      <c r="J3152" s="25" t="str">
        <f t="shared" si="46"/>
        <v>No</v>
      </c>
      <c r="K3152" s="25" t="str">
        <f t="shared" si="47"/>
        <v/>
      </c>
      <c r="L3152" s="25" t="str">
        <f t="shared" si="48"/>
        <v/>
      </c>
      <c r="M3152" s="25"/>
      <c r="O3152" s="25"/>
    </row>
    <row r="3153" ht="15.75" customHeight="1">
      <c r="A3153" s="25" t="str">
        <f>IFERROR(__xludf.DUMMYFUNCTION("IF(B3153="""","""",RIGHT(REGEXREPLACE(B3153&amp;"""",""[^0-9]"",""""),9))"),"789549444")</f>
        <v>789549444</v>
      </c>
      <c r="B3153" s="52">
        <v>7.89549444E8</v>
      </c>
      <c r="C3153" s="28" t="s">
        <v>3261</v>
      </c>
      <c r="D3153" s="26" t="s">
        <v>49</v>
      </c>
      <c r="E3153" s="31">
        <v>46230.0</v>
      </c>
      <c r="F3153" s="26" t="s">
        <v>41</v>
      </c>
      <c r="G3153" s="26">
        <v>11.0</v>
      </c>
      <c r="I3153" s="26" t="s">
        <v>42</v>
      </c>
      <c r="J3153" s="25" t="str">
        <f t="shared" si="46"/>
        <v>No</v>
      </c>
      <c r="K3153" s="25" t="str">
        <f t="shared" si="47"/>
        <v/>
      </c>
      <c r="L3153" s="25" t="str">
        <f t="shared" si="48"/>
        <v/>
      </c>
      <c r="M3153" s="25"/>
      <c r="O3153" s="25"/>
    </row>
    <row r="3154" ht="15.75" customHeight="1">
      <c r="A3154" s="25" t="str">
        <f>IFERROR(__xludf.DUMMYFUNCTION("IF(B3154="""","""",RIGHT(REGEXREPLACE(B3154&amp;"""",""[^0-9]"",""""),9))"),"727179821")</f>
        <v>727179821</v>
      </c>
      <c r="B3154" s="52">
        <v>7.27179821E8</v>
      </c>
      <c r="C3154" s="28" t="s">
        <v>2024</v>
      </c>
      <c r="D3154" s="26" t="s">
        <v>45</v>
      </c>
      <c r="E3154" s="31">
        <v>46230.0</v>
      </c>
      <c r="F3154" s="26" t="s">
        <v>46</v>
      </c>
      <c r="G3154" s="26">
        <v>11.0</v>
      </c>
      <c r="I3154" s="26" t="s">
        <v>42</v>
      </c>
      <c r="J3154" s="25" t="str">
        <f t="shared" si="46"/>
        <v>Yes - see Previous F-Code</v>
      </c>
      <c r="K3154" s="25" t="str">
        <f t="shared" si="47"/>
        <v>DUPLICATE - CHECK</v>
      </c>
      <c r="L3154" s="25" t="str">
        <f t="shared" si="48"/>
        <v>F71726</v>
      </c>
      <c r="M3154" s="25"/>
      <c r="O3154" s="25"/>
    </row>
    <row r="3155" ht="15.75" customHeight="1">
      <c r="A3155" s="25" t="str">
        <f>IFERROR(__xludf.DUMMYFUNCTION("IF(B3155="""","""",RIGHT(REGEXREPLACE(B3155&amp;"""",""[^0-9]"",""""),9))"),"710581515")</f>
        <v>710581515</v>
      </c>
      <c r="B3155" s="26">
        <v>7.10581515E8</v>
      </c>
      <c r="C3155" s="28" t="s">
        <v>3239</v>
      </c>
      <c r="D3155" s="26" t="s">
        <v>56</v>
      </c>
      <c r="E3155" s="31">
        <v>46230.0</v>
      </c>
      <c r="F3155" s="26" t="s">
        <v>41</v>
      </c>
      <c r="I3155" s="26" t="s">
        <v>42</v>
      </c>
      <c r="J3155" s="25" t="str">
        <f t="shared" si="46"/>
        <v>Yes - see Previous F-Code</v>
      </c>
      <c r="K3155" s="25" t="str">
        <f t="shared" si="47"/>
        <v>DUPLICATE - CHECK</v>
      </c>
      <c r="L3155" s="25" t="str">
        <f t="shared" si="48"/>
        <v>F72897</v>
      </c>
      <c r="M3155" s="25"/>
      <c r="O3155" s="25"/>
    </row>
    <row r="3156" ht="15.75" customHeight="1">
      <c r="A3156" s="25" t="str">
        <f>IFERROR(__xludf.DUMMYFUNCTION("IF(B3156="""","""",RIGHT(REGEXREPLACE(B3156&amp;"""",""[^0-9]"",""""),9))"),"774560309")</f>
        <v>774560309</v>
      </c>
      <c r="B3156" s="52">
        <v>7.74560309E8</v>
      </c>
      <c r="C3156" s="28" t="s">
        <v>3262</v>
      </c>
      <c r="D3156" s="26" t="s">
        <v>45</v>
      </c>
      <c r="E3156" s="31">
        <v>46230.0</v>
      </c>
      <c r="F3156" s="26" t="s">
        <v>41</v>
      </c>
      <c r="I3156" s="26" t="s">
        <v>42</v>
      </c>
      <c r="J3156" s="25" t="str">
        <f t="shared" si="46"/>
        <v>No</v>
      </c>
      <c r="K3156" s="25" t="str">
        <f t="shared" si="47"/>
        <v/>
      </c>
      <c r="L3156" s="25" t="str">
        <f t="shared" si="48"/>
        <v/>
      </c>
      <c r="M3156" s="25"/>
      <c r="O3156" s="25"/>
    </row>
    <row r="3157" ht="15.75" customHeight="1">
      <c r="A3157" s="25" t="str">
        <f>IFERROR(__xludf.DUMMYFUNCTION("IF(B3157="""","""",RIGHT(REGEXREPLACE(B3157&amp;"""",""[^0-9]"",""""),9))"),"703527915")</f>
        <v>703527915</v>
      </c>
      <c r="B3157" s="52">
        <v>7.03527915E8</v>
      </c>
      <c r="C3157" s="28" t="s">
        <v>3263</v>
      </c>
      <c r="D3157" s="26" t="s">
        <v>82</v>
      </c>
      <c r="E3157" s="31">
        <v>46230.0</v>
      </c>
      <c r="F3157" s="26" t="s">
        <v>41</v>
      </c>
      <c r="I3157" s="26" t="s">
        <v>42</v>
      </c>
      <c r="J3157" s="25" t="str">
        <f t="shared" si="46"/>
        <v>No</v>
      </c>
      <c r="K3157" s="25" t="str">
        <f t="shared" si="47"/>
        <v/>
      </c>
      <c r="L3157" s="25" t="str">
        <f t="shared" si="48"/>
        <v/>
      </c>
      <c r="M3157" s="25"/>
      <c r="O3157" s="25"/>
    </row>
    <row r="3158" ht="15.75" customHeight="1">
      <c r="A3158" s="25" t="str">
        <f>IFERROR(__xludf.DUMMYFUNCTION("IF(B3158="""","""",RIGHT(REGEXREPLACE(B3158&amp;"""",""[^0-9]"",""""),9))"),"763523318")</f>
        <v>763523318</v>
      </c>
      <c r="B3158" s="52">
        <v>7.63523318E8</v>
      </c>
      <c r="C3158" s="28" t="s">
        <v>3248</v>
      </c>
      <c r="D3158" s="26" t="s">
        <v>64</v>
      </c>
      <c r="E3158" s="31">
        <v>46230.0</v>
      </c>
      <c r="F3158" s="25"/>
      <c r="G3158" s="26">
        <v>11.0</v>
      </c>
      <c r="H3158" s="25"/>
      <c r="I3158" s="26" t="s">
        <v>42</v>
      </c>
      <c r="J3158" s="25" t="str">
        <f t="shared" si="46"/>
        <v>No</v>
      </c>
      <c r="K3158" s="25" t="str">
        <f t="shared" si="47"/>
        <v/>
      </c>
      <c r="L3158" s="25" t="str">
        <f t="shared" si="48"/>
        <v/>
      </c>
      <c r="M3158" s="25"/>
      <c r="N3158" s="25"/>
      <c r="O3158" s="25"/>
      <c r="P3158" s="25"/>
    </row>
    <row r="3159" ht="15.75" customHeight="1">
      <c r="A3159" s="25" t="str">
        <f>IFERROR(__xludf.DUMMYFUNCTION("IF(B3159="""","""",RIGHT(REGEXREPLACE(B3159&amp;"""",""[^0-9]"",""""),9))"),"718524365")</f>
        <v>718524365</v>
      </c>
      <c r="B3159" s="52">
        <v>7.18524365E8</v>
      </c>
      <c r="C3159" s="28" t="s">
        <v>3264</v>
      </c>
      <c r="D3159" s="26" t="s">
        <v>49</v>
      </c>
      <c r="E3159" s="31">
        <v>46230.0</v>
      </c>
      <c r="F3159" s="26" t="s">
        <v>41</v>
      </c>
      <c r="G3159" s="26">
        <v>11.0</v>
      </c>
      <c r="I3159" s="26" t="s">
        <v>42</v>
      </c>
      <c r="J3159" s="25" t="str">
        <f t="shared" si="46"/>
        <v>No</v>
      </c>
      <c r="K3159" s="25" t="str">
        <f t="shared" si="47"/>
        <v/>
      </c>
      <c r="L3159" s="25" t="str">
        <f t="shared" si="48"/>
        <v/>
      </c>
      <c r="M3159" s="25"/>
      <c r="O3159" s="25"/>
    </row>
    <row r="3160" ht="15.75" customHeight="1">
      <c r="A3160" s="25" t="str">
        <f>IFERROR(__xludf.DUMMYFUNCTION("IF(B3160="""","""",RIGHT(REGEXREPLACE(B3160&amp;"""",""[^0-9]"",""""),9))"),"")</f>
        <v/>
      </c>
      <c r="B3160" s="52"/>
      <c r="C3160" s="28" t="s">
        <v>1092</v>
      </c>
      <c r="D3160" s="26" t="s">
        <v>56</v>
      </c>
      <c r="E3160" s="31">
        <v>46230.0</v>
      </c>
      <c r="F3160" s="25"/>
      <c r="G3160" s="25"/>
      <c r="H3160" s="25"/>
      <c r="I3160" s="26" t="s">
        <v>42</v>
      </c>
      <c r="J3160" s="25" t="str">
        <f t="shared" si="46"/>
        <v>Yes - see Previous F-Code</v>
      </c>
      <c r="K3160" s="25" t="str">
        <f t="shared" si="47"/>
        <v>DUPLICATE - CHECK</v>
      </c>
      <c r="L3160" s="25" t="str">
        <f t="shared" si="48"/>
        <v/>
      </c>
      <c r="M3160" s="25"/>
      <c r="N3160" s="25"/>
      <c r="O3160" s="25"/>
      <c r="P3160" s="25"/>
    </row>
    <row r="3161" ht="15.75" customHeight="1">
      <c r="A3161" s="25" t="str">
        <f>IFERROR(__xludf.DUMMYFUNCTION("IF(B3161="""","""",RIGHT(REGEXREPLACE(B3161&amp;"""",""[^0-9]"",""""),9))"),"757084906")</f>
        <v>757084906</v>
      </c>
      <c r="B3161" s="52">
        <v>7.57084906E8</v>
      </c>
      <c r="C3161" s="28" t="s">
        <v>3256</v>
      </c>
      <c r="D3161" s="26" t="s">
        <v>45</v>
      </c>
      <c r="E3161" s="31">
        <v>46230.0</v>
      </c>
      <c r="F3161" s="26" t="s">
        <v>41</v>
      </c>
      <c r="G3161" s="26">
        <v>11.0</v>
      </c>
      <c r="I3161" s="26" t="s">
        <v>42</v>
      </c>
      <c r="J3161" s="25" t="str">
        <f t="shared" si="46"/>
        <v>Yes - see Previous F-Code</v>
      </c>
      <c r="K3161" s="25" t="str">
        <f t="shared" si="47"/>
        <v>DUPLICATE - CHECK</v>
      </c>
      <c r="L3161" s="25" t="str">
        <f t="shared" si="48"/>
        <v>F72909</v>
      </c>
      <c r="M3161" s="25"/>
      <c r="O3161" s="25"/>
    </row>
    <row r="3162" ht="15.75" customHeight="1">
      <c r="A3162" s="25" t="str">
        <f>IFERROR(__xludf.DUMMYFUNCTION("IF(B3162="""","""",RIGHT(REGEXREPLACE(B3162&amp;"""",""[^0-9]"",""""),9))"),"769467984")</f>
        <v>769467984</v>
      </c>
      <c r="B3162" s="26">
        <v>7.69467984E8</v>
      </c>
      <c r="C3162" s="28" t="s">
        <v>3265</v>
      </c>
      <c r="D3162" s="26" t="s">
        <v>69</v>
      </c>
      <c r="E3162" s="31">
        <v>46230.0</v>
      </c>
      <c r="F3162" s="26" t="s">
        <v>84</v>
      </c>
      <c r="G3162" s="26">
        <v>11.0</v>
      </c>
      <c r="I3162" s="26" t="s">
        <v>42</v>
      </c>
      <c r="J3162" s="25" t="str">
        <f t="shared" si="46"/>
        <v>No</v>
      </c>
      <c r="K3162" s="25" t="str">
        <f t="shared" si="47"/>
        <v/>
      </c>
      <c r="L3162" s="25" t="str">
        <f t="shared" si="48"/>
        <v/>
      </c>
      <c r="M3162" s="25"/>
      <c r="O3162" s="25"/>
    </row>
    <row r="3163" ht="15.75" customHeight="1">
      <c r="A3163" s="25" t="str">
        <f>IFERROR(__xludf.DUMMYFUNCTION("IF(B3163="""","""",RIGHT(REGEXREPLACE(B3163&amp;"""",""[^0-9]"",""""),9))"),"719864394")</f>
        <v>719864394</v>
      </c>
      <c r="B3163" s="52">
        <v>7.19864394E8</v>
      </c>
      <c r="C3163" s="28" t="s">
        <v>3266</v>
      </c>
      <c r="D3163" s="26" t="s">
        <v>82</v>
      </c>
      <c r="E3163" s="31">
        <v>46230.0</v>
      </c>
      <c r="F3163" s="26" t="s">
        <v>41</v>
      </c>
      <c r="G3163" s="26">
        <v>11.0</v>
      </c>
      <c r="I3163" s="26" t="s">
        <v>42</v>
      </c>
      <c r="J3163" s="25" t="str">
        <f t="shared" si="46"/>
        <v>No</v>
      </c>
      <c r="K3163" s="25" t="str">
        <f t="shared" si="47"/>
        <v/>
      </c>
      <c r="L3163" s="25" t="str">
        <f t="shared" si="48"/>
        <v/>
      </c>
      <c r="M3163" s="25"/>
      <c r="O3163" s="25"/>
    </row>
    <row r="3164" ht="15.75" customHeight="1">
      <c r="A3164" s="25" t="str">
        <f>IFERROR(__xludf.DUMMYFUNCTION("IF(B3164="""","""",RIGHT(REGEXREPLACE(B3164&amp;"""",""[^0-9]"",""""),9))"),"773548840")</f>
        <v>773548840</v>
      </c>
      <c r="B3164" s="52">
        <v>7.7354884E8</v>
      </c>
      <c r="C3164" s="28" t="s">
        <v>3267</v>
      </c>
      <c r="D3164" s="26" t="s">
        <v>69</v>
      </c>
      <c r="E3164" s="31">
        <v>46230.0</v>
      </c>
      <c r="F3164" s="26" t="s">
        <v>46</v>
      </c>
      <c r="G3164" s="26">
        <v>11.0</v>
      </c>
      <c r="I3164" s="26" t="s">
        <v>42</v>
      </c>
      <c r="J3164" s="25" t="str">
        <f t="shared" si="46"/>
        <v>No</v>
      </c>
      <c r="K3164" s="25" t="str">
        <f t="shared" si="47"/>
        <v/>
      </c>
      <c r="L3164" s="25" t="str">
        <f t="shared" si="48"/>
        <v/>
      </c>
      <c r="M3164" s="25"/>
      <c r="O3164" s="25"/>
    </row>
    <row r="3165" ht="15.75" customHeight="1">
      <c r="A3165" s="25" t="str">
        <f>IFERROR(__xludf.DUMMYFUNCTION("IF(B3165="""","""",RIGHT(REGEXREPLACE(B3165&amp;"""",""[^0-9]"",""""),9))"),"719306289")</f>
        <v>719306289</v>
      </c>
      <c r="B3165" s="52">
        <v>7.19306289E8</v>
      </c>
      <c r="C3165" s="28" t="s">
        <v>3268</v>
      </c>
      <c r="D3165" s="26" t="s">
        <v>82</v>
      </c>
      <c r="E3165" s="31">
        <v>46230.0</v>
      </c>
      <c r="F3165" s="26" t="s">
        <v>46</v>
      </c>
      <c r="G3165" s="26">
        <v>11.0</v>
      </c>
      <c r="I3165" s="26" t="s">
        <v>42</v>
      </c>
      <c r="J3165" s="25" t="str">
        <f t="shared" si="46"/>
        <v>No</v>
      </c>
      <c r="K3165" s="25" t="str">
        <f t="shared" si="47"/>
        <v/>
      </c>
      <c r="L3165" s="25" t="str">
        <f t="shared" si="48"/>
        <v/>
      </c>
      <c r="M3165" s="25"/>
      <c r="O3165" s="25"/>
    </row>
    <row r="3166" ht="15.75" customHeight="1">
      <c r="A3166" s="25" t="str">
        <f>IFERROR(__xludf.DUMMYFUNCTION("IF(B3166="""","""",RIGHT(REGEXREPLACE(B3166&amp;"""",""[^0-9]"",""""),9))"),"770700853")</f>
        <v>770700853</v>
      </c>
      <c r="B3166" s="52">
        <v>7.70700853E8</v>
      </c>
      <c r="C3166" s="28" t="s">
        <v>3269</v>
      </c>
      <c r="D3166" s="26" t="s">
        <v>64</v>
      </c>
      <c r="E3166" s="31">
        <v>46230.0</v>
      </c>
      <c r="F3166" s="26" t="s">
        <v>205</v>
      </c>
      <c r="G3166" s="26">
        <v>11.0</v>
      </c>
      <c r="I3166" s="26" t="s">
        <v>42</v>
      </c>
      <c r="J3166" s="25" t="str">
        <f t="shared" si="46"/>
        <v>No</v>
      </c>
      <c r="K3166" s="25" t="str">
        <f t="shared" si="47"/>
        <v/>
      </c>
      <c r="L3166" s="25" t="str">
        <f t="shared" si="48"/>
        <v/>
      </c>
      <c r="M3166" s="25"/>
      <c r="O3166" s="25"/>
    </row>
    <row r="3167" ht="15.75" customHeight="1">
      <c r="A3167" s="25" t="str">
        <f>IFERROR(__xludf.DUMMYFUNCTION("IF(B3167="""","""",RIGHT(REGEXREPLACE(B3167&amp;"""",""[^0-9]"",""""),9))"),"715361253")</f>
        <v>715361253</v>
      </c>
      <c r="B3167" s="52">
        <v>7.15361253E8</v>
      </c>
      <c r="C3167" s="28" t="s">
        <v>3270</v>
      </c>
      <c r="D3167" s="26" t="s">
        <v>56</v>
      </c>
      <c r="E3167" s="31">
        <v>46230.0</v>
      </c>
      <c r="F3167" s="26" t="s">
        <v>41</v>
      </c>
      <c r="G3167" s="26">
        <v>11.0</v>
      </c>
      <c r="I3167" s="26" t="s">
        <v>42</v>
      </c>
      <c r="J3167" s="25" t="str">
        <f t="shared" si="46"/>
        <v>No</v>
      </c>
      <c r="K3167" s="25" t="str">
        <f t="shared" si="47"/>
        <v/>
      </c>
      <c r="L3167" s="25" t="str">
        <f t="shared" si="48"/>
        <v/>
      </c>
      <c r="M3167" s="25"/>
      <c r="O3167" s="25"/>
    </row>
    <row r="3168" ht="15.75" customHeight="1">
      <c r="A3168" s="25" t="str">
        <f>IFERROR(__xludf.DUMMYFUNCTION("IF(B3168="""","""",RIGHT(REGEXREPLACE(B3168&amp;"""",""[^0-9]"",""""),9))"),"760514435")</f>
        <v>760514435</v>
      </c>
      <c r="B3168" s="52">
        <v>7.60514435E8</v>
      </c>
      <c r="C3168" s="28" t="s">
        <v>3271</v>
      </c>
      <c r="D3168" s="26" t="s">
        <v>49</v>
      </c>
      <c r="E3168" s="31">
        <v>46230.0</v>
      </c>
      <c r="F3168" s="26" t="s">
        <v>41</v>
      </c>
      <c r="G3168" s="26">
        <v>11.0</v>
      </c>
      <c r="I3168" s="26" t="s">
        <v>42</v>
      </c>
      <c r="J3168" s="25" t="str">
        <f t="shared" si="46"/>
        <v>No</v>
      </c>
      <c r="K3168" s="25" t="str">
        <f t="shared" si="47"/>
        <v/>
      </c>
      <c r="L3168" s="25" t="str">
        <f t="shared" si="48"/>
        <v/>
      </c>
      <c r="M3168" s="25"/>
      <c r="O3168" s="25"/>
    </row>
    <row r="3169" ht="15.75" customHeight="1">
      <c r="A3169" s="25" t="str">
        <f>IFERROR(__xludf.DUMMYFUNCTION("IF(B3169="""","""",RIGHT(REGEXREPLACE(B3169&amp;"""",""[^0-9]"",""""),9))"),"777776458")</f>
        <v>777776458</v>
      </c>
      <c r="B3169" s="52">
        <v>7.77776458E8</v>
      </c>
      <c r="C3169" s="28" t="s">
        <v>3272</v>
      </c>
      <c r="D3169" s="26" t="s">
        <v>69</v>
      </c>
      <c r="E3169" s="31">
        <v>46230.0</v>
      </c>
      <c r="F3169" s="26" t="s">
        <v>46</v>
      </c>
      <c r="G3169" s="26">
        <v>11.0</v>
      </c>
      <c r="I3169" s="26" t="s">
        <v>42</v>
      </c>
      <c r="J3169" s="25" t="str">
        <f t="shared" si="46"/>
        <v>No</v>
      </c>
      <c r="K3169" s="25" t="str">
        <f t="shared" si="47"/>
        <v/>
      </c>
      <c r="L3169" s="25" t="str">
        <f t="shared" si="48"/>
        <v/>
      </c>
      <c r="M3169" s="25"/>
      <c r="O3169" s="25"/>
    </row>
    <row r="3170" ht="15.75" customHeight="1">
      <c r="A3170" s="25" t="str">
        <f>IFERROR(__xludf.DUMMYFUNCTION("IF(B3170="""","""",RIGHT(REGEXREPLACE(B3170&amp;"""",""[^0-9]"",""""),9))"),"761859202")</f>
        <v>761859202</v>
      </c>
      <c r="B3170" s="52">
        <v>7.61859202E8</v>
      </c>
      <c r="C3170" s="28" t="s">
        <v>3273</v>
      </c>
      <c r="D3170" s="26" t="s">
        <v>64</v>
      </c>
      <c r="E3170" s="31">
        <v>46230.0</v>
      </c>
      <c r="F3170" s="26" t="s">
        <v>46</v>
      </c>
      <c r="G3170" s="26">
        <v>11.0</v>
      </c>
      <c r="I3170" s="26" t="s">
        <v>42</v>
      </c>
      <c r="J3170" s="25" t="str">
        <f t="shared" si="46"/>
        <v>No</v>
      </c>
      <c r="K3170" s="25" t="str">
        <f t="shared" si="47"/>
        <v/>
      </c>
      <c r="L3170" s="25" t="str">
        <f t="shared" si="48"/>
        <v/>
      </c>
      <c r="M3170" s="25"/>
      <c r="O3170" s="25"/>
    </row>
    <row r="3171" ht="15.75" customHeight="1">
      <c r="A3171" s="25" t="str">
        <f>IFERROR(__xludf.DUMMYFUNCTION("IF(B3171="""","""",RIGHT(REGEXREPLACE(B3171&amp;"""",""[^0-9]"",""""),9))"),"776195245")</f>
        <v>776195245</v>
      </c>
      <c r="B3171" s="52">
        <v>7.76195245E8</v>
      </c>
      <c r="C3171" s="28" t="s">
        <v>2313</v>
      </c>
      <c r="D3171" s="26" t="s">
        <v>56</v>
      </c>
      <c r="E3171" s="31">
        <v>46230.0</v>
      </c>
      <c r="F3171" s="26" t="s">
        <v>41</v>
      </c>
      <c r="G3171" s="26">
        <v>11.0</v>
      </c>
      <c r="I3171" s="26" t="s">
        <v>42</v>
      </c>
      <c r="J3171" s="25" t="str">
        <f t="shared" si="46"/>
        <v>No</v>
      </c>
      <c r="K3171" s="25" t="str">
        <f t="shared" si="47"/>
        <v/>
      </c>
      <c r="L3171" s="25" t="str">
        <f t="shared" si="48"/>
        <v/>
      </c>
      <c r="M3171" s="25"/>
      <c r="O3171" s="25"/>
    </row>
    <row r="3172" ht="15.75" customHeight="1">
      <c r="A3172" s="25" t="str">
        <f>IFERROR(__xludf.DUMMYFUNCTION("IF(B3172="""","""",RIGHT(REGEXREPLACE(B3172&amp;"""",""[^0-9]"",""""),9))"),"781755778")</f>
        <v>781755778</v>
      </c>
      <c r="B3172" s="52">
        <v>7.81755778E8</v>
      </c>
      <c r="C3172" s="28" t="s">
        <v>3274</v>
      </c>
      <c r="D3172" s="26" t="s">
        <v>49</v>
      </c>
      <c r="E3172" s="31">
        <v>46230.0</v>
      </c>
      <c r="F3172" s="26" t="s">
        <v>41</v>
      </c>
      <c r="G3172" s="26">
        <v>11.0</v>
      </c>
      <c r="I3172" s="26" t="s">
        <v>42</v>
      </c>
      <c r="J3172" s="25" t="str">
        <f t="shared" si="46"/>
        <v>No</v>
      </c>
      <c r="K3172" s="25" t="str">
        <f t="shared" si="47"/>
        <v/>
      </c>
      <c r="L3172" s="25" t="str">
        <f t="shared" si="48"/>
        <v/>
      </c>
      <c r="M3172" s="25"/>
      <c r="O3172" s="25"/>
    </row>
    <row r="3173" ht="15.75" customHeight="1">
      <c r="A3173" s="25" t="str">
        <f>IFERROR(__xludf.DUMMYFUNCTION("IF(B3173="""","""",RIGHT(REGEXREPLACE(B3173&amp;"""",""[^0-9]"",""""),9))"),"713010725")</f>
        <v>713010725</v>
      </c>
      <c r="B3173" s="52">
        <v>7.13010725E8</v>
      </c>
      <c r="C3173" s="28" t="s">
        <v>3275</v>
      </c>
      <c r="D3173" s="26" t="s">
        <v>82</v>
      </c>
      <c r="E3173" s="31">
        <v>46230.0</v>
      </c>
      <c r="F3173" s="26" t="s">
        <v>41</v>
      </c>
      <c r="I3173" s="26" t="s">
        <v>42</v>
      </c>
      <c r="J3173" s="25" t="str">
        <f t="shared" si="46"/>
        <v>No</v>
      </c>
      <c r="K3173" s="25" t="str">
        <f t="shared" si="47"/>
        <v/>
      </c>
      <c r="L3173" s="25" t="str">
        <f t="shared" si="48"/>
        <v/>
      </c>
      <c r="M3173" s="25"/>
      <c r="O3173" s="25"/>
    </row>
    <row r="3174" ht="15.75" customHeight="1">
      <c r="A3174" s="25" t="str">
        <f>IFERROR(__xludf.DUMMYFUNCTION("IF(B3174="""","""",RIGHT(REGEXREPLACE(B3174&amp;"""",""[^0-9]"",""""),9))"),"714272944")</f>
        <v>714272944</v>
      </c>
      <c r="B3174" s="52">
        <v>7.14272944E8</v>
      </c>
      <c r="C3174" s="28" t="s">
        <v>3276</v>
      </c>
      <c r="D3174" s="26" t="s">
        <v>45</v>
      </c>
      <c r="E3174" s="31">
        <v>46230.0</v>
      </c>
      <c r="F3174" s="26" t="s">
        <v>41</v>
      </c>
      <c r="I3174" s="26" t="s">
        <v>937</v>
      </c>
      <c r="J3174" s="25" t="str">
        <f t="shared" si="46"/>
        <v>No</v>
      </c>
      <c r="K3174" s="25" t="str">
        <f t="shared" si="47"/>
        <v/>
      </c>
      <c r="L3174" s="25" t="str">
        <f t="shared" si="48"/>
        <v/>
      </c>
      <c r="M3174" s="25"/>
      <c r="O3174" s="25"/>
    </row>
    <row r="3175" ht="15.75" customHeight="1">
      <c r="A3175" s="25" t="str">
        <f>IFERROR(__xludf.DUMMYFUNCTION("IF(B3175="""","""",RIGHT(REGEXREPLACE(B3175&amp;"""",""[^0-9]"",""""),9))"),"776576239")</f>
        <v>776576239</v>
      </c>
      <c r="B3175" s="52">
        <v>7.76576239E8</v>
      </c>
      <c r="C3175" s="28" t="s">
        <v>3277</v>
      </c>
      <c r="D3175" s="26" t="s">
        <v>49</v>
      </c>
      <c r="E3175" s="31">
        <v>46230.0</v>
      </c>
      <c r="F3175" s="26" t="s">
        <v>46</v>
      </c>
      <c r="G3175" s="26">
        <v>11.0</v>
      </c>
      <c r="I3175" s="26" t="s">
        <v>42</v>
      </c>
      <c r="J3175" s="25" t="str">
        <f t="shared" si="46"/>
        <v>No</v>
      </c>
      <c r="K3175" s="25" t="str">
        <f t="shared" si="47"/>
        <v/>
      </c>
      <c r="L3175" s="25" t="str">
        <f t="shared" si="48"/>
        <v/>
      </c>
      <c r="M3175" s="25"/>
      <c r="O3175" s="25"/>
    </row>
    <row r="3176" ht="15.75" customHeight="1">
      <c r="A3176" s="25" t="str">
        <f>IFERROR(__xludf.DUMMYFUNCTION("IF(B3176="""","""",RIGHT(REGEXREPLACE(B3176&amp;"""",""[^0-9]"",""""),9))"),"714801604")</f>
        <v>714801604</v>
      </c>
      <c r="B3176" s="52">
        <v>7.14801604E8</v>
      </c>
      <c r="C3176" s="28" t="s">
        <v>3278</v>
      </c>
      <c r="D3176" s="26" t="s">
        <v>56</v>
      </c>
      <c r="E3176" s="31">
        <v>46230.0</v>
      </c>
      <c r="F3176" s="26" t="s">
        <v>631</v>
      </c>
      <c r="G3176" s="26">
        <v>11.0</v>
      </c>
      <c r="I3176" s="26" t="s">
        <v>42</v>
      </c>
      <c r="J3176" s="25" t="str">
        <f t="shared" si="46"/>
        <v>No</v>
      </c>
      <c r="K3176" s="25" t="str">
        <f t="shared" si="47"/>
        <v/>
      </c>
      <c r="L3176" s="25" t="str">
        <f t="shared" si="48"/>
        <v/>
      </c>
      <c r="M3176" s="25"/>
      <c r="O3176" s="25"/>
    </row>
    <row r="3177" ht="15.75" customHeight="1">
      <c r="A3177" s="25" t="str">
        <f>IFERROR(__xludf.DUMMYFUNCTION("IF(B3177="""","""",RIGHT(REGEXREPLACE(B3177&amp;"""",""[^0-9]"",""""),9))"),"743610415")</f>
        <v>743610415</v>
      </c>
      <c r="B3177" s="52">
        <v>7.43610415E8</v>
      </c>
      <c r="C3177" s="28" t="s">
        <v>3279</v>
      </c>
      <c r="D3177" s="26" t="s">
        <v>82</v>
      </c>
      <c r="E3177" s="31">
        <v>46230.0</v>
      </c>
      <c r="F3177" s="26" t="s">
        <v>41</v>
      </c>
      <c r="I3177" s="26" t="s">
        <v>42</v>
      </c>
      <c r="J3177" s="25" t="str">
        <f t="shared" si="46"/>
        <v>No</v>
      </c>
      <c r="K3177" s="25" t="str">
        <f t="shared" si="47"/>
        <v/>
      </c>
      <c r="L3177" s="25" t="str">
        <f t="shared" si="48"/>
        <v/>
      </c>
      <c r="M3177" s="25"/>
      <c r="O3177" s="25"/>
    </row>
    <row r="3178" ht="15.75" customHeight="1">
      <c r="A3178" s="25" t="str">
        <f>IFERROR(__xludf.DUMMYFUNCTION("IF(B3178="""","""",RIGHT(REGEXREPLACE(B3178&amp;"""",""[^0-9]"",""""),9))"),"755929575")</f>
        <v>755929575</v>
      </c>
      <c r="B3178" s="52">
        <v>7.55929575E8</v>
      </c>
      <c r="C3178" s="28" t="s">
        <v>3280</v>
      </c>
      <c r="D3178" s="26" t="s">
        <v>64</v>
      </c>
      <c r="E3178" s="31">
        <v>46230.0</v>
      </c>
      <c r="F3178" s="26" t="s">
        <v>125</v>
      </c>
      <c r="G3178" s="26">
        <v>8.0</v>
      </c>
      <c r="I3178" s="26" t="s">
        <v>42</v>
      </c>
      <c r="J3178" s="25" t="str">
        <f t="shared" si="46"/>
        <v>No</v>
      </c>
      <c r="K3178" s="25" t="str">
        <f t="shared" si="47"/>
        <v/>
      </c>
      <c r="L3178" s="25" t="str">
        <f t="shared" si="48"/>
        <v/>
      </c>
      <c r="M3178" s="25"/>
      <c r="O3178" s="25"/>
    </row>
    <row r="3179" ht="15.75" customHeight="1">
      <c r="A3179" s="25" t="str">
        <f>IFERROR(__xludf.DUMMYFUNCTION("IF(B3179="""","""",RIGHT(REGEXREPLACE(B3179&amp;"""",""[^0-9]"",""""),9))"),"741213264")</f>
        <v>741213264</v>
      </c>
      <c r="B3179" s="52">
        <v>7.41213264E8</v>
      </c>
      <c r="C3179" s="28" t="s">
        <v>724</v>
      </c>
      <c r="D3179" s="26" t="s">
        <v>69</v>
      </c>
      <c r="E3179" s="31">
        <v>46230.0</v>
      </c>
      <c r="F3179" s="26" t="s">
        <v>659</v>
      </c>
      <c r="I3179" s="26" t="s">
        <v>42</v>
      </c>
      <c r="J3179" s="25" t="str">
        <f t="shared" si="46"/>
        <v>No</v>
      </c>
      <c r="K3179" s="25" t="str">
        <f t="shared" si="47"/>
        <v/>
      </c>
      <c r="L3179" s="25" t="str">
        <f t="shared" si="48"/>
        <v/>
      </c>
      <c r="M3179" s="25"/>
      <c r="O3179" s="25"/>
    </row>
    <row r="3180" ht="15.75" customHeight="1">
      <c r="A3180" s="25" t="str">
        <f>IFERROR(__xludf.DUMMYFUNCTION("IF(B3180="""","""",RIGHT(REGEXREPLACE(B3180&amp;"""",""[^0-9]"",""""),9))"),"754733941")</f>
        <v>754733941</v>
      </c>
      <c r="B3180" s="52">
        <v>7.54733941E8</v>
      </c>
      <c r="C3180" s="28" t="s">
        <v>3281</v>
      </c>
      <c r="D3180" s="26" t="s">
        <v>45</v>
      </c>
      <c r="E3180" s="31">
        <v>46230.0</v>
      </c>
      <c r="F3180" s="26" t="s">
        <v>205</v>
      </c>
      <c r="G3180" s="26">
        <v>6.0</v>
      </c>
      <c r="I3180" s="26" t="s">
        <v>937</v>
      </c>
      <c r="J3180" s="25" t="str">
        <f t="shared" si="46"/>
        <v>No</v>
      </c>
      <c r="K3180" s="25" t="str">
        <f t="shared" si="47"/>
        <v/>
      </c>
      <c r="L3180" s="25" t="str">
        <f t="shared" si="48"/>
        <v/>
      </c>
      <c r="M3180" s="25"/>
      <c r="O3180" s="25"/>
    </row>
    <row r="3181" ht="15.75" customHeight="1">
      <c r="A3181" s="25" t="str">
        <f>IFERROR(__xludf.DUMMYFUNCTION("IF(B3181="""","""",RIGHT(REGEXREPLACE(B3181&amp;"""",""[^0-9]"",""""),9))"),"743587927")</f>
        <v>743587927</v>
      </c>
      <c r="B3181" s="26">
        <v>7.43587927E8</v>
      </c>
      <c r="C3181" s="28" t="s">
        <v>3282</v>
      </c>
      <c r="D3181" s="26" t="s">
        <v>37</v>
      </c>
      <c r="E3181" s="31">
        <v>46230.0</v>
      </c>
      <c r="F3181" s="26" t="s">
        <v>46</v>
      </c>
      <c r="G3181" s="26">
        <v>6.0</v>
      </c>
      <c r="H3181" s="26" t="s">
        <v>1235</v>
      </c>
      <c r="I3181" s="26" t="s">
        <v>937</v>
      </c>
      <c r="J3181" s="25" t="str">
        <f t="shared" si="46"/>
        <v>No</v>
      </c>
      <c r="K3181" s="25" t="str">
        <f t="shared" si="47"/>
        <v/>
      </c>
      <c r="L3181" s="25" t="str">
        <f t="shared" si="48"/>
        <v/>
      </c>
      <c r="M3181" s="25"/>
      <c r="O3181" s="25"/>
    </row>
    <row r="3182" ht="15.75" customHeight="1">
      <c r="A3182" s="25" t="str">
        <f>IFERROR(__xludf.DUMMYFUNCTION("IF(B3182="""","""",RIGHT(REGEXREPLACE(B3182&amp;"""",""[^0-9]"",""""),9))"),"762153144")</f>
        <v>762153144</v>
      </c>
      <c r="B3182" s="52">
        <v>7.62153144E8</v>
      </c>
      <c r="C3182" s="28" t="s">
        <v>3283</v>
      </c>
      <c r="D3182" s="26" t="s">
        <v>82</v>
      </c>
      <c r="E3182" s="31">
        <v>46230.0</v>
      </c>
      <c r="F3182" s="26" t="s">
        <v>46</v>
      </c>
      <c r="G3182" s="26">
        <v>11.0</v>
      </c>
      <c r="I3182" s="26" t="s">
        <v>42</v>
      </c>
      <c r="J3182" s="25" t="str">
        <f t="shared" si="46"/>
        <v>No</v>
      </c>
      <c r="K3182" s="25" t="str">
        <f t="shared" si="47"/>
        <v/>
      </c>
      <c r="L3182" s="25" t="str">
        <f t="shared" si="48"/>
        <v/>
      </c>
      <c r="M3182" s="25"/>
      <c r="O3182" s="25"/>
    </row>
    <row r="3183" ht="15.75" customHeight="1">
      <c r="A3183" s="25" t="str">
        <f>IFERROR(__xludf.DUMMYFUNCTION("IF(B3183="""","""",RIGHT(REGEXREPLACE(B3183&amp;"""",""[^0-9]"",""""),9))"),"714486913")</f>
        <v>714486913</v>
      </c>
      <c r="B3183" s="52">
        <v>7.14486913E8</v>
      </c>
      <c r="C3183" s="28" t="s">
        <v>3284</v>
      </c>
      <c r="D3183" s="26" t="s">
        <v>64</v>
      </c>
      <c r="E3183" s="31">
        <v>46230.0</v>
      </c>
      <c r="F3183" s="26" t="s">
        <v>46</v>
      </c>
      <c r="G3183" s="26">
        <v>11.0</v>
      </c>
      <c r="I3183" s="26" t="s">
        <v>42</v>
      </c>
      <c r="J3183" s="25" t="str">
        <f t="shared" si="46"/>
        <v>No</v>
      </c>
      <c r="K3183" s="25" t="str">
        <f t="shared" si="47"/>
        <v/>
      </c>
      <c r="L3183" s="25" t="str">
        <f t="shared" si="48"/>
        <v/>
      </c>
      <c r="M3183" s="25"/>
      <c r="O3183" s="25"/>
    </row>
    <row r="3184" ht="15.75" customHeight="1">
      <c r="A3184" s="25" t="str">
        <f>IFERROR(__xludf.DUMMYFUNCTION("IF(B3184="""","""",RIGHT(REGEXREPLACE(B3184&amp;"""",""[^0-9]"",""""),9))"),"762111973")</f>
        <v>762111973</v>
      </c>
      <c r="B3184" s="52">
        <v>7.62111973E8</v>
      </c>
      <c r="C3184" s="28" t="s">
        <v>3285</v>
      </c>
      <c r="D3184" s="26" t="s">
        <v>69</v>
      </c>
      <c r="E3184" s="31">
        <v>46230.0</v>
      </c>
      <c r="F3184" s="26" t="s">
        <v>46</v>
      </c>
      <c r="G3184" s="26">
        <v>10.0</v>
      </c>
      <c r="I3184" s="26" t="s">
        <v>42</v>
      </c>
      <c r="J3184" s="25" t="str">
        <f t="shared" si="46"/>
        <v>No</v>
      </c>
      <c r="K3184" s="25" t="str">
        <f t="shared" si="47"/>
        <v/>
      </c>
      <c r="L3184" s="25" t="str">
        <f t="shared" si="48"/>
        <v/>
      </c>
      <c r="M3184" s="25"/>
      <c r="O3184" s="25"/>
    </row>
    <row r="3185" ht="15.75" customHeight="1">
      <c r="A3185" s="25" t="str">
        <f>IFERROR(__xludf.DUMMYFUNCTION("IF(B3185="""","""",RIGHT(REGEXREPLACE(B3185&amp;"""",""[^0-9]"",""""),9))"),"703190207")</f>
        <v>703190207</v>
      </c>
      <c r="B3185" s="52">
        <v>7.03190207E8</v>
      </c>
      <c r="C3185" s="28" t="s">
        <v>3286</v>
      </c>
      <c r="D3185" s="26" t="s">
        <v>45</v>
      </c>
      <c r="E3185" s="31">
        <v>46230.0</v>
      </c>
      <c r="F3185" s="26" t="s">
        <v>46</v>
      </c>
      <c r="G3185" s="26">
        <v>6.0</v>
      </c>
      <c r="I3185" s="26" t="s">
        <v>937</v>
      </c>
      <c r="J3185" s="25" t="str">
        <f t="shared" si="46"/>
        <v>No</v>
      </c>
      <c r="K3185" s="25" t="str">
        <f t="shared" si="47"/>
        <v/>
      </c>
      <c r="L3185" s="25" t="str">
        <f t="shared" si="48"/>
        <v/>
      </c>
      <c r="M3185" s="25"/>
      <c r="O3185" s="25"/>
    </row>
    <row r="3186" ht="15.75" customHeight="1">
      <c r="A3186" s="25" t="str">
        <f>IFERROR(__xludf.DUMMYFUNCTION("IF(B3186="""","""",RIGHT(REGEXREPLACE(B3186&amp;"""",""[^0-9]"",""""),9))"),"706407097")</f>
        <v>706407097</v>
      </c>
      <c r="B3186" s="52">
        <v>7.06407097E8</v>
      </c>
      <c r="C3186" s="28" t="s">
        <v>1759</v>
      </c>
      <c r="D3186" s="26" t="s">
        <v>49</v>
      </c>
      <c r="E3186" s="31">
        <v>46230.0</v>
      </c>
      <c r="F3186" s="26" t="s">
        <v>41</v>
      </c>
      <c r="G3186" s="26">
        <v>11.0</v>
      </c>
      <c r="I3186" s="26" t="s">
        <v>42</v>
      </c>
      <c r="J3186" s="25" t="str">
        <f t="shared" si="46"/>
        <v>Yes - see Previous F-Code</v>
      </c>
      <c r="K3186" s="25" t="str">
        <f t="shared" si="47"/>
        <v>DUPLICATE - CHECK</v>
      </c>
      <c r="L3186" s="25" t="str">
        <f t="shared" si="48"/>
        <v>F71469</v>
      </c>
      <c r="M3186" s="25"/>
      <c r="O3186" s="25"/>
    </row>
    <row r="3187" ht="15.75" customHeight="1">
      <c r="A3187" s="25" t="str">
        <f>IFERROR(__xludf.DUMMYFUNCTION("IF(B3187="""","""",RIGHT(REGEXREPLACE(B3187&amp;"""",""[^0-9]"",""""),9))"),"705532811")</f>
        <v>705532811</v>
      </c>
      <c r="B3187" s="26">
        <v>7.05532811E8</v>
      </c>
      <c r="C3187" s="28" t="s">
        <v>3287</v>
      </c>
      <c r="D3187" s="26" t="s">
        <v>37</v>
      </c>
      <c r="E3187" s="31">
        <v>46230.0</v>
      </c>
      <c r="F3187" s="26" t="s">
        <v>46</v>
      </c>
      <c r="H3187" s="26" t="s">
        <v>1447</v>
      </c>
      <c r="I3187" s="26" t="s">
        <v>937</v>
      </c>
      <c r="J3187" s="25" t="str">
        <f t="shared" si="46"/>
        <v>No</v>
      </c>
      <c r="K3187" s="25" t="str">
        <f t="shared" si="47"/>
        <v/>
      </c>
      <c r="L3187" s="25" t="str">
        <f t="shared" si="48"/>
        <v/>
      </c>
      <c r="M3187" s="25"/>
      <c r="O3187" s="25"/>
    </row>
    <row r="3188" ht="15.75" customHeight="1">
      <c r="A3188" s="25" t="str">
        <f>IFERROR(__xludf.DUMMYFUNCTION("IF(B3188="""","""",RIGHT(REGEXREPLACE(B3188&amp;"""",""[^0-9]"",""""),9))"),"704553065")</f>
        <v>704553065</v>
      </c>
      <c r="B3188" s="52">
        <v>7.04553065E8</v>
      </c>
      <c r="C3188" s="28" t="s">
        <v>1948</v>
      </c>
      <c r="D3188" s="26" t="s">
        <v>56</v>
      </c>
      <c r="E3188" s="31">
        <v>46230.0</v>
      </c>
      <c r="F3188" s="26" t="s">
        <v>41</v>
      </c>
      <c r="G3188" s="26">
        <v>11.0</v>
      </c>
      <c r="I3188" s="26" t="s">
        <v>42</v>
      </c>
      <c r="J3188" s="25" t="str">
        <f t="shared" si="46"/>
        <v>No</v>
      </c>
      <c r="K3188" s="25" t="str">
        <f t="shared" si="47"/>
        <v/>
      </c>
      <c r="L3188" s="25" t="str">
        <f t="shared" si="48"/>
        <v/>
      </c>
      <c r="M3188" s="25"/>
      <c r="O3188" s="25"/>
    </row>
    <row r="3189" ht="15.75" customHeight="1">
      <c r="A3189" s="25" t="str">
        <f>IFERROR(__xludf.DUMMYFUNCTION("IF(B3189="""","""",RIGHT(REGEXREPLACE(B3189&amp;"""",""[^0-9]"",""""),9))"),"740736142")</f>
        <v>740736142</v>
      </c>
      <c r="B3189" s="52">
        <v>7.40736142E8</v>
      </c>
      <c r="C3189" s="28" t="s">
        <v>3288</v>
      </c>
      <c r="D3189" s="26" t="s">
        <v>45</v>
      </c>
      <c r="E3189" s="31">
        <v>46230.0</v>
      </c>
      <c r="F3189" s="26" t="s">
        <v>205</v>
      </c>
      <c r="I3189" s="26" t="s">
        <v>937</v>
      </c>
      <c r="J3189" s="25" t="str">
        <f t="shared" si="46"/>
        <v>No</v>
      </c>
      <c r="K3189" s="25" t="str">
        <f t="shared" si="47"/>
        <v/>
      </c>
      <c r="L3189" s="25" t="str">
        <f t="shared" si="48"/>
        <v/>
      </c>
      <c r="M3189" s="25"/>
      <c r="O3189" s="25"/>
    </row>
    <row r="3190" ht="15.75" customHeight="1">
      <c r="A3190" s="25" t="str">
        <f>IFERROR(__xludf.DUMMYFUNCTION("IF(B3190="""","""",RIGHT(REGEXREPLACE(B3190&amp;"""",""[^0-9]"",""""),9))"),"626898260")</f>
        <v>626898260</v>
      </c>
      <c r="B3190" s="26">
        <v>7.62689826E9</v>
      </c>
      <c r="C3190" s="28" t="s">
        <v>3288</v>
      </c>
      <c r="D3190" s="26" t="s">
        <v>37</v>
      </c>
      <c r="E3190" s="31">
        <v>46230.0</v>
      </c>
      <c r="F3190" s="26" t="s">
        <v>46</v>
      </c>
      <c r="G3190" s="26" t="s">
        <v>2048</v>
      </c>
      <c r="I3190" s="26" t="s">
        <v>937</v>
      </c>
      <c r="J3190" s="25" t="str">
        <f t="shared" si="46"/>
        <v>No</v>
      </c>
      <c r="K3190" s="25" t="str">
        <f t="shared" si="47"/>
        <v/>
      </c>
      <c r="L3190" s="25" t="str">
        <f t="shared" si="48"/>
        <v/>
      </c>
      <c r="M3190" s="25"/>
      <c r="O3190" s="26" t="s">
        <v>51</v>
      </c>
    </row>
    <row r="3191" ht="15.75" customHeight="1">
      <c r="A3191" s="25" t="str">
        <f>IFERROR(__xludf.DUMMYFUNCTION("IF(B3191="""","""",RIGHT(REGEXREPLACE(B3191&amp;"""",""[^0-9]"",""""),9))"),"766111956")</f>
        <v>766111956</v>
      </c>
      <c r="B3191" s="52">
        <v>7.66111956E8</v>
      </c>
      <c r="C3191" s="28" t="s">
        <v>3289</v>
      </c>
      <c r="D3191" s="26" t="s">
        <v>69</v>
      </c>
      <c r="E3191" s="31">
        <v>46230.0</v>
      </c>
      <c r="F3191" s="26" t="s">
        <v>46</v>
      </c>
      <c r="G3191" s="26">
        <v>11.0</v>
      </c>
      <c r="I3191" s="26" t="s">
        <v>42</v>
      </c>
      <c r="J3191" s="25" t="str">
        <f t="shared" si="46"/>
        <v>No</v>
      </c>
      <c r="K3191" s="25" t="str">
        <f t="shared" si="47"/>
        <v/>
      </c>
      <c r="L3191" s="25" t="str">
        <f t="shared" si="48"/>
        <v/>
      </c>
      <c r="M3191" s="25"/>
      <c r="O3191" s="25"/>
    </row>
    <row r="3192" ht="15.75" customHeight="1">
      <c r="A3192" s="25" t="str">
        <f>IFERROR(__xludf.DUMMYFUNCTION("IF(B3192="""","""",RIGHT(REGEXREPLACE(B3192&amp;"""",""[^0-9]"",""""),9))"),"701339503")</f>
        <v>701339503</v>
      </c>
      <c r="B3192" s="52">
        <v>7.01339503E8</v>
      </c>
      <c r="C3192" s="28" t="s">
        <v>2523</v>
      </c>
      <c r="D3192" s="26" t="s">
        <v>82</v>
      </c>
      <c r="E3192" s="31">
        <v>46230.0</v>
      </c>
      <c r="F3192" s="26" t="s">
        <v>704</v>
      </c>
      <c r="I3192" s="26" t="s">
        <v>42</v>
      </c>
      <c r="J3192" s="25" t="str">
        <f t="shared" si="46"/>
        <v>Yes - see Previous F-Code</v>
      </c>
      <c r="K3192" s="25" t="str">
        <f t="shared" si="47"/>
        <v>DUPLICATE - CHECK</v>
      </c>
      <c r="L3192" s="25" t="str">
        <f t="shared" si="48"/>
        <v>F72215</v>
      </c>
      <c r="M3192" s="25"/>
      <c r="O3192" s="25"/>
    </row>
    <row r="3193" ht="15.75" customHeight="1">
      <c r="A3193" s="25" t="str">
        <f>IFERROR(__xludf.DUMMYFUNCTION("IF(B3193="""","""",RIGHT(REGEXREPLACE(B3193&amp;"""",""[^0-9]"",""""),9))"),"778100111")</f>
        <v>778100111</v>
      </c>
      <c r="B3193" s="52">
        <v>7.78100111E8</v>
      </c>
      <c r="C3193" s="28" t="s">
        <v>3290</v>
      </c>
      <c r="D3193" s="26" t="s">
        <v>64</v>
      </c>
      <c r="E3193" s="31">
        <v>46230.0</v>
      </c>
      <c r="F3193" s="26" t="s">
        <v>46</v>
      </c>
      <c r="G3193" s="26">
        <v>11.0</v>
      </c>
      <c r="I3193" s="26" t="s">
        <v>42</v>
      </c>
      <c r="J3193" s="25" t="str">
        <f t="shared" si="46"/>
        <v>No</v>
      </c>
      <c r="K3193" s="25" t="str">
        <f t="shared" si="47"/>
        <v/>
      </c>
      <c r="L3193" s="25" t="str">
        <f t="shared" si="48"/>
        <v/>
      </c>
      <c r="M3193" s="25"/>
      <c r="O3193" s="25"/>
    </row>
    <row r="3194" ht="15.75" customHeight="1">
      <c r="A3194" s="25" t="str">
        <f>IFERROR(__xludf.DUMMYFUNCTION("IF(B3194="""","""",RIGHT(REGEXREPLACE(B3194&amp;"""",""[^0-9]"",""""),9))"),"718337258")</f>
        <v>718337258</v>
      </c>
      <c r="B3194" s="52">
        <v>7.18337258E8</v>
      </c>
      <c r="C3194" s="28" t="s">
        <v>3291</v>
      </c>
      <c r="D3194" s="26" t="s">
        <v>49</v>
      </c>
      <c r="E3194" s="31">
        <v>46230.0</v>
      </c>
      <c r="F3194" s="26" t="s">
        <v>46</v>
      </c>
      <c r="G3194" s="26">
        <v>11.0</v>
      </c>
      <c r="I3194" s="26" t="s">
        <v>42</v>
      </c>
      <c r="J3194" s="25" t="str">
        <f t="shared" si="46"/>
        <v>No</v>
      </c>
      <c r="K3194" s="25" t="str">
        <f t="shared" si="47"/>
        <v/>
      </c>
      <c r="L3194" s="25" t="str">
        <f t="shared" si="48"/>
        <v/>
      </c>
      <c r="M3194" s="25"/>
      <c r="O3194" s="25"/>
    </row>
    <row r="3195" ht="15.75" customHeight="1">
      <c r="A3195" s="25" t="str">
        <f>IFERROR(__xludf.DUMMYFUNCTION("IF(B3195="""","""",RIGHT(REGEXREPLACE(B3195&amp;"""",""[^0-9]"",""""),9))"),"754661407")</f>
        <v>754661407</v>
      </c>
      <c r="B3195" s="52">
        <v>7.54661407E8</v>
      </c>
      <c r="C3195" s="28" t="s">
        <v>1820</v>
      </c>
      <c r="D3195" s="26" t="s">
        <v>56</v>
      </c>
      <c r="E3195" s="31">
        <v>46230.0</v>
      </c>
      <c r="F3195" s="26" t="s">
        <v>46</v>
      </c>
      <c r="G3195" s="26">
        <v>11.0</v>
      </c>
      <c r="I3195" s="26" t="s">
        <v>42</v>
      </c>
      <c r="J3195" s="25" t="str">
        <f t="shared" si="46"/>
        <v>No</v>
      </c>
      <c r="K3195" s="25" t="str">
        <f t="shared" si="47"/>
        <v/>
      </c>
      <c r="L3195" s="25" t="str">
        <f t="shared" si="48"/>
        <v/>
      </c>
      <c r="M3195" s="25"/>
      <c r="O3195" s="25"/>
    </row>
    <row r="3196" ht="15.75" customHeight="1">
      <c r="A3196" s="25" t="str">
        <f>IFERROR(__xludf.DUMMYFUNCTION("IF(B3196="""","""",RIGHT(REGEXREPLACE(B3196&amp;"""",""[^0-9]"",""""),9))"),"760427442")</f>
        <v>760427442</v>
      </c>
      <c r="B3196" s="52">
        <v>7.60427442E8</v>
      </c>
      <c r="C3196" s="28" t="s">
        <v>3292</v>
      </c>
      <c r="D3196" s="26" t="s">
        <v>82</v>
      </c>
      <c r="E3196" s="31">
        <v>46230.0</v>
      </c>
      <c r="F3196" s="26" t="s">
        <v>46</v>
      </c>
      <c r="G3196" s="26">
        <v>10.0</v>
      </c>
      <c r="I3196" s="26" t="s">
        <v>42</v>
      </c>
      <c r="J3196" s="25" t="str">
        <f t="shared" si="46"/>
        <v>No</v>
      </c>
      <c r="K3196" s="25" t="str">
        <f t="shared" si="47"/>
        <v/>
      </c>
      <c r="L3196" s="25" t="str">
        <f t="shared" si="48"/>
        <v/>
      </c>
      <c r="M3196" s="25"/>
      <c r="O3196" s="25"/>
    </row>
    <row r="3197" ht="15.75" customHeight="1">
      <c r="A3197" s="25" t="str">
        <f>IFERROR(__xludf.DUMMYFUNCTION("IF(B3197="""","""",RIGHT(REGEXREPLACE(B3197&amp;"""",""[^0-9]"",""""),9))"),"713796933")</f>
        <v>713796933</v>
      </c>
      <c r="B3197" s="52">
        <v>7.13796933E8</v>
      </c>
      <c r="C3197" s="28" t="s">
        <v>3293</v>
      </c>
      <c r="D3197" s="26" t="s">
        <v>45</v>
      </c>
      <c r="E3197" s="31">
        <v>46230.0</v>
      </c>
      <c r="F3197" s="26" t="s">
        <v>46</v>
      </c>
      <c r="I3197" s="26" t="s">
        <v>937</v>
      </c>
      <c r="J3197" s="25" t="str">
        <f t="shared" si="46"/>
        <v>No</v>
      </c>
      <c r="K3197" s="25" t="str">
        <f t="shared" si="47"/>
        <v/>
      </c>
      <c r="L3197" s="25" t="str">
        <f t="shared" si="48"/>
        <v/>
      </c>
      <c r="M3197" s="25"/>
      <c r="O3197" s="25"/>
    </row>
    <row r="3198" ht="15.75" customHeight="1">
      <c r="A3198" s="25" t="str">
        <f>IFERROR(__xludf.DUMMYFUNCTION("IF(B3198="""","""",RIGHT(REGEXREPLACE(B3198&amp;"""",""[^0-9]"",""""),9))"),"761568134")</f>
        <v>761568134</v>
      </c>
      <c r="B3198" s="26">
        <v>7.61568134E8</v>
      </c>
      <c r="C3198" s="28" t="s">
        <v>3294</v>
      </c>
      <c r="D3198" s="26" t="s">
        <v>37</v>
      </c>
      <c r="E3198" s="31">
        <v>46230.0</v>
      </c>
      <c r="F3198" s="26" t="s">
        <v>46</v>
      </c>
      <c r="G3198" s="26">
        <v>7.0</v>
      </c>
      <c r="I3198" s="26" t="s">
        <v>937</v>
      </c>
      <c r="J3198" s="25" t="str">
        <f t="shared" si="46"/>
        <v>No</v>
      </c>
      <c r="K3198" s="25" t="str">
        <f t="shared" si="47"/>
        <v/>
      </c>
      <c r="L3198" s="25" t="str">
        <f t="shared" si="48"/>
        <v/>
      </c>
      <c r="M3198" s="25"/>
      <c r="O3198" s="25"/>
    </row>
    <row r="3199" ht="15.75" customHeight="1">
      <c r="A3199" s="25" t="str">
        <f>IFERROR(__xludf.DUMMYFUNCTION("IF(B3199="""","""",RIGHT(REGEXREPLACE(B3199&amp;"""",""[^0-9]"",""""),9))"),"755352520")</f>
        <v>755352520</v>
      </c>
      <c r="B3199" s="52">
        <v>7.5535252E8</v>
      </c>
      <c r="C3199" s="28" t="s">
        <v>3295</v>
      </c>
      <c r="D3199" s="26" t="s">
        <v>49</v>
      </c>
      <c r="E3199" s="31">
        <v>46230.0</v>
      </c>
      <c r="F3199" s="26" t="s">
        <v>41</v>
      </c>
      <c r="I3199" s="26" t="s">
        <v>42</v>
      </c>
      <c r="J3199" s="25" t="str">
        <f t="shared" si="46"/>
        <v>No</v>
      </c>
      <c r="K3199" s="25" t="str">
        <f t="shared" si="47"/>
        <v/>
      </c>
      <c r="L3199" s="25" t="str">
        <f t="shared" si="48"/>
        <v/>
      </c>
      <c r="M3199" s="25"/>
      <c r="O3199" s="25"/>
    </row>
    <row r="3200" ht="15.75" customHeight="1">
      <c r="A3200" s="25" t="str">
        <f>IFERROR(__xludf.DUMMYFUNCTION("IF(B3200="""","""",RIGHT(REGEXREPLACE(B3200&amp;"""",""[^0-9]"",""""),9))"),"768376820")</f>
        <v>768376820</v>
      </c>
      <c r="B3200" s="52">
        <v>7.6837682E8</v>
      </c>
      <c r="C3200" s="28" t="s">
        <v>1990</v>
      </c>
      <c r="D3200" s="26" t="s">
        <v>56</v>
      </c>
      <c r="E3200" s="31">
        <v>46230.0</v>
      </c>
      <c r="F3200" s="26" t="s">
        <v>41</v>
      </c>
      <c r="G3200" s="26">
        <v>11.0</v>
      </c>
      <c r="I3200" s="26" t="s">
        <v>42</v>
      </c>
      <c r="J3200" s="25" t="str">
        <f t="shared" si="46"/>
        <v>No</v>
      </c>
      <c r="K3200" s="25" t="str">
        <f t="shared" si="47"/>
        <v/>
      </c>
      <c r="L3200" s="25" t="str">
        <f t="shared" si="48"/>
        <v/>
      </c>
      <c r="M3200" s="25"/>
      <c r="O3200" s="25"/>
    </row>
    <row r="3201" ht="15.75" customHeight="1">
      <c r="A3201" s="25" t="str">
        <f>IFERROR(__xludf.DUMMYFUNCTION("IF(B3201="""","""",RIGHT(REGEXREPLACE(B3201&amp;"""",""[^0-9]"",""""),9))"),"711752988")</f>
        <v>711752988</v>
      </c>
      <c r="B3201" s="52">
        <v>7.11752988E8</v>
      </c>
      <c r="C3201" s="28" t="s">
        <v>3296</v>
      </c>
      <c r="D3201" s="26" t="s">
        <v>64</v>
      </c>
      <c r="E3201" s="31">
        <v>46230.0</v>
      </c>
      <c r="F3201" s="26" t="s">
        <v>46</v>
      </c>
      <c r="G3201" s="26">
        <v>11.0</v>
      </c>
      <c r="I3201" s="26" t="s">
        <v>42</v>
      </c>
      <c r="J3201" s="25" t="str">
        <f t="shared" si="46"/>
        <v>No</v>
      </c>
      <c r="K3201" s="25" t="str">
        <f t="shared" si="47"/>
        <v/>
      </c>
      <c r="L3201" s="25" t="str">
        <f t="shared" si="48"/>
        <v/>
      </c>
      <c r="M3201" s="25"/>
      <c r="O3201" s="25"/>
    </row>
    <row r="3202" ht="15.75" customHeight="1">
      <c r="A3202" s="25" t="str">
        <f>IFERROR(__xludf.DUMMYFUNCTION("IF(B3202="""","""",RIGHT(REGEXREPLACE(B3202&amp;"""",""[^0-9]"",""""),9))"),"717656125")</f>
        <v>717656125</v>
      </c>
      <c r="B3202" s="52">
        <v>7.17656125E8</v>
      </c>
      <c r="C3202" s="28" t="s">
        <v>2923</v>
      </c>
      <c r="D3202" s="26" t="s">
        <v>45</v>
      </c>
      <c r="E3202" s="31">
        <v>46230.0</v>
      </c>
      <c r="F3202" s="26" t="s">
        <v>46</v>
      </c>
      <c r="G3202" s="26">
        <v>6.0</v>
      </c>
      <c r="I3202" s="26" t="s">
        <v>937</v>
      </c>
      <c r="J3202" s="25" t="str">
        <f t="shared" si="46"/>
        <v>Yes - see Previous F-Code</v>
      </c>
      <c r="K3202" s="25" t="str">
        <f t="shared" si="47"/>
        <v>DUPLICATE - CHECK</v>
      </c>
      <c r="L3202" s="25" t="str">
        <f t="shared" si="48"/>
        <v>F71217</v>
      </c>
      <c r="M3202" s="25"/>
      <c r="O3202" s="26" t="s">
        <v>51</v>
      </c>
    </row>
    <row r="3203" ht="15.75" customHeight="1">
      <c r="A3203" s="25" t="str">
        <f>IFERROR(__xludf.DUMMYFUNCTION("IF(B3203="""","""",RIGHT(REGEXREPLACE(B3203&amp;"""",""[^0-9]"",""""),9))"),"773017285")</f>
        <v>773017285</v>
      </c>
      <c r="B3203" s="52">
        <v>7.73017285E8</v>
      </c>
      <c r="C3203" s="28" t="s">
        <v>3296</v>
      </c>
      <c r="D3203" s="26" t="s">
        <v>49</v>
      </c>
      <c r="E3203" s="31">
        <v>46230.0</v>
      </c>
      <c r="F3203" s="26" t="s">
        <v>46</v>
      </c>
      <c r="G3203" s="26">
        <v>11.0</v>
      </c>
      <c r="I3203" s="26" t="s">
        <v>42</v>
      </c>
      <c r="J3203" s="25" t="str">
        <f t="shared" si="46"/>
        <v>No</v>
      </c>
      <c r="K3203" s="25" t="str">
        <f t="shared" si="47"/>
        <v/>
      </c>
      <c r="L3203" s="25" t="str">
        <f t="shared" si="48"/>
        <v/>
      </c>
      <c r="M3203" s="25"/>
      <c r="O3203" s="25"/>
    </row>
    <row r="3204" ht="15.75" customHeight="1">
      <c r="A3204" s="25" t="str">
        <f>IFERROR(__xludf.DUMMYFUNCTION("IF(B3204="""","""",RIGHT(REGEXREPLACE(B3204&amp;"""",""[^0-9]"",""""),9))"),"779771445")</f>
        <v>779771445</v>
      </c>
      <c r="B3204" s="26">
        <v>7.79771445E8</v>
      </c>
      <c r="C3204" s="28" t="s">
        <v>3297</v>
      </c>
      <c r="D3204" s="26" t="s">
        <v>37</v>
      </c>
      <c r="E3204" s="31">
        <v>46230.0</v>
      </c>
      <c r="F3204" s="26" t="s">
        <v>46</v>
      </c>
      <c r="G3204" s="26">
        <v>6.0</v>
      </c>
      <c r="I3204" s="26" t="s">
        <v>937</v>
      </c>
      <c r="J3204" s="25" t="str">
        <f t="shared" si="46"/>
        <v>No</v>
      </c>
      <c r="K3204" s="25" t="str">
        <f t="shared" si="47"/>
        <v/>
      </c>
      <c r="L3204" s="25" t="str">
        <f t="shared" si="48"/>
        <v/>
      </c>
      <c r="M3204" s="25"/>
      <c r="O3204" s="25"/>
    </row>
    <row r="3205" ht="15.75" customHeight="1">
      <c r="A3205" s="25" t="str">
        <f>IFERROR(__xludf.DUMMYFUNCTION("IF(B3205="""","""",RIGHT(REGEXREPLACE(B3205&amp;"""",""[^0-9]"",""""),9))"),"765638604")</f>
        <v>765638604</v>
      </c>
      <c r="B3205" s="52">
        <v>7.65638604E8</v>
      </c>
      <c r="C3205" s="28" t="s">
        <v>3298</v>
      </c>
      <c r="D3205" s="26" t="s">
        <v>82</v>
      </c>
      <c r="E3205" s="31">
        <v>46230.0</v>
      </c>
      <c r="F3205" s="26" t="s">
        <v>41</v>
      </c>
      <c r="G3205" s="26">
        <v>11.0</v>
      </c>
      <c r="I3205" s="26" t="s">
        <v>42</v>
      </c>
      <c r="J3205" s="25" t="str">
        <f t="shared" si="46"/>
        <v>No</v>
      </c>
      <c r="K3205" s="25" t="str">
        <f t="shared" si="47"/>
        <v/>
      </c>
      <c r="L3205" s="25" t="str">
        <f t="shared" si="48"/>
        <v/>
      </c>
      <c r="M3205" s="25"/>
      <c r="O3205" s="25"/>
    </row>
    <row r="3206" ht="15.75" customHeight="1">
      <c r="A3206" s="25" t="str">
        <f>IFERROR(__xludf.DUMMYFUNCTION("IF(B3206="""","""",RIGHT(REGEXREPLACE(B3206&amp;"""",""[^0-9]"",""""),9))"),"765812780")</f>
        <v>765812780</v>
      </c>
      <c r="B3206" s="52">
        <v>7.6581278E8</v>
      </c>
      <c r="C3206" s="28" t="s">
        <v>3299</v>
      </c>
      <c r="D3206" s="26" t="s">
        <v>69</v>
      </c>
      <c r="E3206" s="31">
        <v>46230.0</v>
      </c>
      <c r="F3206" s="26" t="s">
        <v>41</v>
      </c>
      <c r="G3206" s="26">
        <v>11.0</v>
      </c>
      <c r="I3206" s="26" t="s">
        <v>42</v>
      </c>
      <c r="J3206" s="25" t="str">
        <f t="shared" si="46"/>
        <v>No</v>
      </c>
      <c r="K3206" s="25" t="str">
        <f t="shared" si="47"/>
        <v/>
      </c>
      <c r="L3206" s="25" t="str">
        <f t="shared" si="48"/>
        <v/>
      </c>
      <c r="M3206" s="25"/>
      <c r="O3206" s="25"/>
    </row>
    <row r="3207" ht="15.75" customHeight="1">
      <c r="A3207" s="25" t="str">
        <f>IFERROR(__xludf.DUMMYFUNCTION("IF(B3207="""","""",RIGHT(REGEXREPLACE(B3207&amp;"""",""[^0-9]"",""""),9))"),"779374878")</f>
        <v>779374878</v>
      </c>
      <c r="B3207" s="52">
        <v>7.79374878E8</v>
      </c>
      <c r="C3207" s="28" t="s">
        <v>3300</v>
      </c>
      <c r="D3207" s="26" t="s">
        <v>49</v>
      </c>
      <c r="E3207" s="31">
        <v>46230.0</v>
      </c>
      <c r="F3207" s="26" t="s">
        <v>41</v>
      </c>
      <c r="G3207" s="26">
        <v>11.0</v>
      </c>
      <c r="I3207" s="26" t="s">
        <v>42</v>
      </c>
      <c r="J3207" s="25" t="str">
        <f t="shared" si="46"/>
        <v>No</v>
      </c>
      <c r="K3207" s="25" t="str">
        <f t="shared" si="47"/>
        <v/>
      </c>
      <c r="L3207" s="25" t="str">
        <f t="shared" si="48"/>
        <v/>
      </c>
      <c r="M3207" s="25"/>
      <c r="O3207" s="25"/>
    </row>
    <row r="3208" ht="15.75" customHeight="1">
      <c r="A3208" s="25" t="str">
        <f>IFERROR(__xludf.DUMMYFUNCTION("IF(B3208="""","""",RIGHT(REGEXREPLACE(B3208&amp;"""",""[^0-9]"",""""),9))"),"760358859")</f>
        <v>760358859</v>
      </c>
      <c r="B3208" s="52">
        <v>7.60358859E8</v>
      </c>
      <c r="C3208" s="28" t="s">
        <v>3301</v>
      </c>
      <c r="D3208" s="26" t="s">
        <v>56</v>
      </c>
      <c r="E3208" s="31">
        <v>46230.0</v>
      </c>
      <c r="F3208" s="26" t="s">
        <v>46</v>
      </c>
      <c r="G3208" s="26">
        <v>11.0</v>
      </c>
      <c r="I3208" s="26" t="s">
        <v>42</v>
      </c>
      <c r="J3208" s="25" t="str">
        <f t="shared" si="46"/>
        <v>No</v>
      </c>
      <c r="K3208" s="25" t="str">
        <f t="shared" si="47"/>
        <v/>
      </c>
      <c r="L3208" s="25" t="str">
        <f t="shared" si="48"/>
        <v/>
      </c>
      <c r="M3208" s="25"/>
      <c r="O3208" s="25"/>
    </row>
    <row r="3209" ht="15.75" customHeight="1">
      <c r="A3209" s="25" t="str">
        <f>IFERROR(__xludf.DUMMYFUNCTION("IF(B3209="""","""",RIGHT(REGEXREPLACE(B3209&amp;"""",""[^0-9]"",""""),9))"),"778964117")</f>
        <v>778964117</v>
      </c>
      <c r="B3209" s="52">
        <v>7.78964117E8</v>
      </c>
      <c r="C3209" s="28" t="s">
        <v>3302</v>
      </c>
      <c r="D3209" s="26" t="s">
        <v>64</v>
      </c>
      <c r="E3209" s="31">
        <v>46230.0</v>
      </c>
      <c r="F3209" s="26" t="s">
        <v>46</v>
      </c>
      <c r="G3209" s="26">
        <v>11.0</v>
      </c>
      <c r="I3209" s="26" t="s">
        <v>42</v>
      </c>
      <c r="J3209" s="25" t="str">
        <f t="shared" si="46"/>
        <v>No</v>
      </c>
      <c r="K3209" s="25" t="str">
        <f t="shared" si="47"/>
        <v/>
      </c>
      <c r="L3209" s="25" t="str">
        <f t="shared" si="48"/>
        <v/>
      </c>
      <c r="M3209" s="25"/>
      <c r="O3209" s="25"/>
    </row>
    <row r="3210" ht="15.75" customHeight="1">
      <c r="A3210" s="25" t="str">
        <f>IFERROR(__xludf.DUMMYFUNCTION("IF(B3210="""","""",RIGHT(REGEXREPLACE(B3210&amp;"""",""[^0-9]"",""""),9))"),"719428732")</f>
        <v>719428732</v>
      </c>
      <c r="B3210" s="26">
        <v>7.19428732E8</v>
      </c>
      <c r="C3210" s="28" t="s">
        <v>3303</v>
      </c>
      <c r="D3210" s="26" t="s">
        <v>37</v>
      </c>
      <c r="E3210" s="31">
        <v>46230.0</v>
      </c>
      <c r="F3210" s="26" t="s">
        <v>164</v>
      </c>
      <c r="G3210" s="26">
        <v>7.0</v>
      </c>
      <c r="I3210" s="26" t="s">
        <v>937</v>
      </c>
      <c r="J3210" s="25" t="str">
        <f t="shared" si="46"/>
        <v>No</v>
      </c>
      <c r="K3210" s="25" t="str">
        <f t="shared" si="47"/>
        <v/>
      </c>
      <c r="L3210" s="25" t="str">
        <f t="shared" si="48"/>
        <v/>
      </c>
      <c r="M3210" s="25"/>
      <c r="O3210" s="25"/>
    </row>
    <row r="3211" ht="15.75" customHeight="1">
      <c r="A3211" s="25" t="str">
        <f>IFERROR(__xludf.DUMMYFUNCTION("IF(B3211="""","""",RIGHT(REGEXREPLACE(B3211&amp;"""",""[^0-9]"",""""),9))"),"712053630")</f>
        <v>712053630</v>
      </c>
      <c r="B3211" s="52">
        <v>7.1205363E8</v>
      </c>
      <c r="C3211" s="28" t="s">
        <v>3304</v>
      </c>
      <c r="D3211" s="26" t="s">
        <v>82</v>
      </c>
      <c r="E3211" s="31">
        <v>46230.0</v>
      </c>
      <c r="F3211" s="26" t="s">
        <v>205</v>
      </c>
      <c r="I3211" s="26" t="s">
        <v>42</v>
      </c>
      <c r="J3211" s="25" t="str">
        <f t="shared" si="46"/>
        <v>No</v>
      </c>
      <c r="K3211" s="25" t="str">
        <f t="shared" si="47"/>
        <v/>
      </c>
      <c r="L3211" s="25" t="str">
        <f t="shared" si="48"/>
        <v/>
      </c>
      <c r="M3211" s="25"/>
      <c r="O3211" s="25"/>
    </row>
    <row r="3212" ht="15.75" customHeight="1">
      <c r="A3212" s="25" t="str">
        <f>IFERROR(__xludf.DUMMYFUNCTION("IF(B3212="""","""",RIGHT(REGEXREPLACE(B3212&amp;"""",""[^0-9]"",""""),9))"),"779531569")</f>
        <v>779531569</v>
      </c>
      <c r="B3212" s="52">
        <v>7.79531569E8</v>
      </c>
      <c r="C3212" s="28" t="s">
        <v>3305</v>
      </c>
      <c r="D3212" s="26" t="s">
        <v>56</v>
      </c>
      <c r="E3212" s="31">
        <v>46230.0</v>
      </c>
      <c r="F3212" s="26" t="s">
        <v>46</v>
      </c>
      <c r="G3212" s="26">
        <v>11.0</v>
      </c>
      <c r="I3212" s="26" t="s">
        <v>42</v>
      </c>
      <c r="J3212" s="25" t="str">
        <f t="shared" si="46"/>
        <v>No</v>
      </c>
      <c r="K3212" s="25" t="str">
        <f t="shared" si="47"/>
        <v/>
      </c>
      <c r="L3212" s="25" t="str">
        <f t="shared" si="48"/>
        <v/>
      </c>
      <c r="M3212" s="25"/>
      <c r="O3212" s="25"/>
    </row>
    <row r="3213" ht="15.75" customHeight="1">
      <c r="A3213" s="25" t="str">
        <f>IFERROR(__xludf.DUMMYFUNCTION("IF(B3213="""","""",RIGHT(REGEXREPLACE(B3213&amp;"""",""[^0-9]"",""""),9))"),"701085178")</f>
        <v>701085178</v>
      </c>
      <c r="B3213" s="52">
        <v>7.01085178E8</v>
      </c>
      <c r="C3213" s="28" t="s">
        <v>3306</v>
      </c>
      <c r="D3213" s="26" t="s">
        <v>49</v>
      </c>
      <c r="E3213" s="31">
        <v>46230.0</v>
      </c>
      <c r="F3213" s="26" t="s">
        <v>46</v>
      </c>
      <c r="G3213" s="26">
        <v>11.0</v>
      </c>
      <c r="I3213" s="26" t="s">
        <v>42</v>
      </c>
      <c r="J3213" s="25" t="str">
        <f t="shared" si="46"/>
        <v>No</v>
      </c>
      <c r="K3213" s="25" t="str">
        <f t="shared" si="47"/>
        <v/>
      </c>
      <c r="L3213" s="25" t="str">
        <f t="shared" si="48"/>
        <v/>
      </c>
      <c r="M3213" s="25"/>
      <c r="O3213" s="25"/>
    </row>
    <row r="3214" ht="15.75" customHeight="1">
      <c r="A3214" s="25" t="str">
        <f>IFERROR(__xludf.DUMMYFUNCTION("IF(B3214="""","""",RIGHT(REGEXREPLACE(B3214&amp;"""",""[^0-9]"",""""),9))"),"766091082")</f>
        <v>766091082</v>
      </c>
      <c r="B3214" s="52">
        <v>7.66091082E8</v>
      </c>
      <c r="C3214" s="28" t="s">
        <v>3307</v>
      </c>
      <c r="D3214" s="26" t="s">
        <v>64</v>
      </c>
      <c r="E3214" s="31">
        <v>46230.0</v>
      </c>
      <c r="F3214" s="26" t="s">
        <v>125</v>
      </c>
      <c r="I3214" s="26" t="s">
        <v>42</v>
      </c>
      <c r="J3214" s="25" t="str">
        <f t="shared" si="46"/>
        <v>No</v>
      </c>
      <c r="K3214" s="25" t="str">
        <f t="shared" si="47"/>
        <v/>
      </c>
      <c r="L3214" s="25" t="str">
        <f t="shared" si="48"/>
        <v/>
      </c>
      <c r="M3214" s="25"/>
      <c r="O3214" s="25"/>
    </row>
    <row r="3215" ht="15.75" customHeight="1">
      <c r="A3215" s="25" t="str">
        <f>IFERROR(__xludf.DUMMYFUNCTION("IF(B3215="""","""",RIGHT(REGEXREPLACE(B3215&amp;"""",""[^0-9]"",""""),9))"),"716262757")</f>
        <v>716262757</v>
      </c>
      <c r="B3215" s="52">
        <v>7.16262757E8</v>
      </c>
      <c r="C3215" s="28" t="s">
        <v>3308</v>
      </c>
      <c r="D3215" s="26" t="s">
        <v>69</v>
      </c>
      <c r="E3215" s="31">
        <v>46230.0</v>
      </c>
      <c r="F3215" s="26" t="s">
        <v>205</v>
      </c>
      <c r="G3215" s="26">
        <v>11.0</v>
      </c>
      <c r="I3215" s="26" t="s">
        <v>42</v>
      </c>
      <c r="J3215" s="25" t="str">
        <f t="shared" si="46"/>
        <v>No</v>
      </c>
      <c r="K3215" s="25" t="str">
        <f t="shared" si="47"/>
        <v/>
      </c>
      <c r="L3215" s="25" t="str">
        <f t="shared" si="48"/>
        <v/>
      </c>
      <c r="M3215" s="25"/>
      <c r="O3215" s="25"/>
    </row>
    <row r="3216" ht="15.75" customHeight="1">
      <c r="A3216" s="25" t="str">
        <f>IFERROR(__xludf.DUMMYFUNCTION("IF(B3216="""","""",RIGHT(REGEXREPLACE(B3216&amp;"""",""[^0-9]"",""""),9))"),"718224272")</f>
        <v>718224272</v>
      </c>
      <c r="B3216" s="52">
        <v>7.18224272E8</v>
      </c>
      <c r="C3216" s="28" t="s">
        <v>3309</v>
      </c>
      <c r="D3216" s="26" t="s">
        <v>82</v>
      </c>
      <c r="E3216" s="31">
        <v>46230.0</v>
      </c>
      <c r="F3216" s="26" t="s">
        <v>41</v>
      </c>
      <c r="I3216" s="26" t="s">
        <v>42</v>
      </c>
      <c r="J3216" s="25" t="str">
        <f t="shared" si="46"/>
        <v>No</v>
      </c>
      <c r="K3216" s="25" t="str">
        <f t="shared" si="47"/>
        <v/>
      </c>
      <c r="L3216" s="25" t="str">
        <f t="shared" si="48"/>
        <v/>
      </c>
      <c r="M3216" s="25"/>
      <c r="O3216" s="25"/>
    </row>
    <row r="3217" ht="15.75" customHeight="1">
      <c r="A3217" s="25" t="str">
        <f>IFERROR(__xludf.DUMMYFUNCTION("IF(B3217="""","""",RIGHT(REGEXREPLACE(B3217&amp;"""",""[^0-9]"",""""),9))"),"769011810")</f>
        <v>769011810</v>
      </c>
      <c r="B3217" s="52">
        <v>7.6901181E8</v>
      </c>
      <c r="C3217" s="28" t="s">
        <v>3310</v>
      </c>
      <c r="D3217" s="26" t="s">
        <v>49</v>
      </c>
      <c r="E3217" s="31">
        <v>46230.0</v>
      </c>
      <c r="F3217" s="26" t="s">
        <v>205</v>
      </c>
      <c r="I3217" s="26" t="s">
        <v>42</v>
      </c>
      <c r="J3217" s="25" t="str">
        <f t="shared" si="46"/>
        <v>No</v>
      </c>
      <c r="K3217" s="25" t="str">
        <f t="shared" si="47"/>
        <v/>
      </c>
      <c r="L3217" s="25" t="str">
        <f t="shared" si="48"/>
        <v/>
      </c>
      <c r="M3217" s="25"/>
      <c r="O3217" s="25"/>
    </row>
    <row r="3218" ht="15.75" customHeight="1">
      <c r="A3218" s="25" t="str">
        <f>IFERROR(__xludf.DUMMYFUNCTION("IF(B3218="""","""",RIGHT(REGEXREPLACE(B3218&amp;"""",""[^0-9]"",""""),9))"),"714537117")</f>
        <v>714537117</v>
      </c>
      <c r="B3218" s="26">
        <v>7.14537117E8</v>
      </c>
      <c r="C3218" s="28" t="s">
        <v>3311</v>
      </c>
      <c r="D3218" s="26" t="s">
        <v>37</v>
      </c>
      <c r="E3218" s="31">
        <v>46230.0</v>
      </c>
      <c r="F3218" s="26" t="s">
        <v>46</v>
      </c>
      <c r="G3218" s="26">
        <v>6.0</v>
      </c>
      <c r="H3218" s="26" t="s">
        <v>2556</v>
      </c>
      <c r="I3218" s="26" t="s">
        <v>937</v>
      </c>
      <c r="J3218" s="25" t="str">
        <f t="shared" si="46"/>
        <v>No</v>
      </c>
      <c r="K3218" s="25" t="str">
        <f t="shared" si="47"/>
        <v/>
      </c>
      <c r="L3218" s="25" t="str">
        <f t="shared" si="48"/>
        <v/>
      </c>
      <c r="M3218" s="25"/>
      <c r="O3218" s="25"/>
    </row>
    <row r="3219" ht="15.75" customHeight="1">
      <c r="A3219" s="25" t="str">
        <f>IFERROR(__xludf.DUMMYFUNCTION("IF(B3219="""","""",RIGHT(REGEXREPLACE(B3219&amp;"""",""[^0-9]"",""""),9))"),"767400491")</f>
        <v>767400491</v>
      </c>
      <c r="B3219" s="52">
        <v>7.67400491E8</v>
      </c>
      <c r="C3219" s="28" t="s">
        <v>3312</v>
      </c>
      <c r="D3219" s="26" t="s">
        <v>64</v>
      </c>
      <c r="E3219" s="31">
        <v>46230.0</v>
      </c>
      <c r="F3219" s="26" t="s">
        <v>41</v>
      </c>
      <c r="G3219" s="26">
        <v>11.0</v>
      </c>
      <c r="I3219" s="26" t="s">
        <v>42</v>
      </c>
      <c r="J3219" s="25" t="str">
        <f t="shared" si="46"/>
        <v>No</v>
      </c>
      <c r="K3219" s="25" t="str">
        <f t="shared" si="47"/>
        <v/>
      </c>
      <c r="L3219" s="25" t="str">
        <f t="shared" si="48"/>
        <v/>
      </c>
      <c r="M3219" s="25"/>
      <c r="O3219" s="25"/>
    </row>
    <row r="3220" ht="15.75" customHeight="1">
      <c r="A3220" s="25" t="str">
        <f>IFERROR(__xludf.DUMMYFUNCTION("IF(B3220="""","""",RIGHT(REGEXREPLACE(B3220&amp;"""",""[^0-9]"",""""),9))"),"760920384")</f>
        <v>760920384</v>
      </c>
      <c r="B3220" s="52">
        <v>7.60920384E8</v>
      </c>
      <c r="C3220" s="28" t="s">
        <v>3313</v>
      </c>
      <c r="D3220" s="26" t="s">
        <v>82</v>
      </c>
      <c r="E3220" s="31">
        <v>46230.0</v>
      </c>
      <c r="F3220" s="26" t="s">
        <v>46</v>
      </c>
      <c r="G3220" s="26">
        <v>11.0</v>
      </c>
      <c r="I3220" s="26" t="s">
        <v>42</v>
      </c>
      <c r="J3220" s="25" t="str">
        <f t="shared" si="46"/>
        <v>No</v>
      </c>
      <c r="K3220" s="25" t="str">
        <f t="shared" si="47"/>
        <v/>
      </c>
      <c r="L3220" s="25" t="str">
        <f t="shared" si="48"/>
        <v/>
      </c>
      <c r="M3220" s="25"/>
      <c r="O3220" s="25"/>
    </row>
    <row r="3221" ht="15.75" customHeight="1">
      <c r="A3221" s="25" t="str">
        <f>IFERROR(__xludf.DUMMYFUNCTION("IF(B3221="""","""",RIGHT(REGEXREPLACE(B3221&amp;"""",""[^0-9]"",""""),9))"),"740736142")</f>
        <v>740736142</v>
      </c>
      <c r="B3221" s="52">
        <v>7.40736142E8</v>
      </c>
      <c r="C3221" s="28" t="s">
        <v>3288</v>
      </c>
      <c r="D3221" s="26" t="s">
        <v>45</v>
      </c>
      <c r="E3221" s="31">
        <v>46230.0</v>
      </c>
      <c r="F3221" s="26" t="s">
        <v>205</v>
      </c>
      <c r="I3221" s="26" t="s">
        <v>937</v>
      </c>
      <c r="J3221" s="25" t="str">
        <f t="shared" si="46"/>
        <v>Yes - see Previous F-Code</v>
      </c>
      <c r="K3221" s="25" t="str">
        <f t="shared" si="47"/>
        <v>DUPLICATE - CHECK</v>
      </c>
      <c r="L3221" s="25" t="str">
        <f t="shared" si="48"/>
        <v>F72950</v>
      </c>
      <c r="M3221" s="25"/>
      <c r="O3221" s="25"/>
    </row>
    <row r="3222" ht="15.75" customHeight="1">
      <c r="A3222" s="25" t="str">
        <f>IFERROR(__xludf.DUMMYFUNCTION("IF(B3222="""","""",RIGHT(REGEXREPLACE(B3222&amp;"""",""[^0-9]"",""""),9))"),"763034584")</f>
        <v>763034584</v>
      </c>
      <c r="B3222" s="52">
        <v>7.63034584E8</v>
      </c>
      <c r="C3222" s="28" t="s">
        <v>3314</v>
      </c>
      <c r="D3222" s="26" t="s">
        <v>56</v>
      </c>
      <c r="E3222" s="31">
        <v>46230.0</v>
      </c>
      <c r="F3222" s="26" t="s">
        <v>41</v>
      </c>
      <c r="G3222" s="26">
        <v>11.0</v>
      </c>
      <c r="I3222" s="26" t="s">
        <v>42</v>
      </c>
      <c r="J3222" s="25" t="str">
        <f t="shared" si="46"/>
        <v>No</v>
      </c>
      <c r="K3222" s="25" t="str">
        <f t="shared" si="47"/>
        <v/>
      </c>
      <c r="L3222" s="25" t="str">
        <f t="shared" si="48"/>
        <v/>
      </c>
      <c r="M3222" s="25"/>
      <c r="O3222" s="25"/>
    </row>
    <row r="3223" ht="15.75" customHeight="1">
      <c r="A3223" s="25" t="str">
        <f>IFERROR(__xludf.DUMMYFUNCTION("IF(B3223="""","""",RIGHT(REGEXREPLACE(B3223&amp;"""",""[^0-9]"",""""),9))"),"775828767")</f>
        <v>775828767</v>
      </c>
      <c r="B3223" s="52">
        <v>7.75828767E8</v>
      </c>
      <c r="C3223" s="28" t="s">
        <v>3315</v>
      </c>
      <c r="D3223" s="26" t="s">
        <v>49</v>
      </c>
      <c r="E3223" s="31">
        <v>46230.0</v>
      </c>
      <c r="F3223" s="26" t="s">
        <v>46</v>
      </c>
      <c r="G3223" s="26">
        <v>11.0</v>
      </c>
      <c r="I3223" s="26" t="s">
        <v>42</v>
      </c>
      <c r="J3223" s="25" t="str">
        <f t="shared" si="46"/>
        <v>No</v>
      </c>
      <c r="K3223" s="25" t="str">
        <f t="shared" si="47"/>
        <v/>
      </c>
      <c r="L3223" s="25" t="str">
        <f t="shared" si="48"/>
        <v/>
      </c>
      <c r="M3223" s="25"/>
      <c r="O3223" s="25"/>
    </row>
    <row r="3224" ht="15.75" customHeight="1">
      <c r="A3224" s="25" t="str">
        <f>IFERROR(__xludf.DUMMYFUNCTION("IF(B3224="""","""",RIGHT(REGEXREPLACE(B3224&amp;"""",""[^0-9]"",""""),9))"),"713222448")</f>
        <v>713222448</v>
      </c>
      <c r="B3224" s="26">
        <v>7.13222448E8</v>
      </c>
      <c r="C3224" s="28" t="s">
        <v>3316</v>
      </c>
      <c r="D3224" s="26" t="s">
        <v>37</v>
      </c>
      <c r="E3224" s="31">
        <v>46230.0</v>
      </c>
      <c r="F3224" s="26" t="s">
        <v>41</v>
      </c>
      <c r="I3224" s="26" t="s">
        <v>937</v>
      </c>
      <c r="J3224" s="25" t="str">
        <f t="shared" si="46"/>
        <v>No</v>
      </c>
      <c r="K3224" s="25" t="str">
        <f t="shared" si="47"/>
        <v/>
      </c>
      <c r="L3224" s="25" t="str">
        <f t="shared" si="48"/>
        <v/>
      </c>
      <c r="M3224" s="25"/>
      <c r="O3224" s="25"/>
    </row>
    <row r="3225" ht="15.75" customHeight="1">
      <c r="A3225" s="25" t="str">
        <f>IFERROR(__xludf.DUMMYFUNCTION("IF(B3225="""","""",RIGHT(REGEXREPLACE(B3225&amp;"""",""[^0-9]"",""""),9))"),"721563175")</f>
        <v>721563175</v>
      </c>
      <c r="B3225" s="52">
        <v>7.21563175E8</v>
      </c>
      <c r="C3225" s="28" t="s">
        <v>3317</v>
      </c>
      <c r="D3225" s="26" t="s">
        <v>45</v>
      </c>
      <c r="E3225" s="31">
        <v>46230.0</v>
      </c>
      <c r="F3225" s="26" t="s">
        <v>205</v>
      </c>
      <c r="G3225" s="26">
        <v>6.0</v>
      </c>
      <c r="I3225" s="26" t="s">
        <v>937</v>
      </c>
      <c r="J3225" s="25" t="str">
        <f t="shared" si="46"/>
        <v>No</v>
      </c>
      <c r="K3225" s="25" t="str">
        <f t="shared" si="47"/>
        <v/>
      </c>
      <c r="L3225" s="25" t="str">
        <f t="shared" si="48"/>
        <v/>
      </c>
      <c r="M3225" s="25"/>
      <c r="O3225" s="25"/>
    </row>
    <row r="3226" ht="15.75" customHeight="1">
      <c r="A3226" s="25" t="str">
        <f>IFERROR(__xludf.DUMMYFUNCTION("IF(B3226="""","""",RIGHT(REGEXREPLACE(B3226&amp;"""",""[^0-9]"",""""),9))"),"712858961")</f>
        <v>712858961</v>
      </c>
      <c r="B3226" s="52">
        <v>7.12858961E8</v>
      </c>
      <c r="C3226" s="28" t="s">
        <v>3318</v>
      </c>
      <c r="D3226" s="26" t="s">
        <v>64</v>
      </c>
      <c r="E3226" s="31">
        <v>46230.0</v>
      </c>
      <c r="F3226" s="26" t="s">
        <v>46</v>
      </c>
      <c r="G3226" s="26">
        <v>11.0</v>
      </c>
      <c r="I3226" s="26" t="s">
        <v>42</v>
      </c>
      <c r="J3226" s="25" t="str">
        <f t="shared" si="46"/>
        <v>No</v>
      </c>
      <c r="K3226" s="25" t="str">
        <f t="shared" si="47"/>
        <v/>
      </c>
      <c r="L3226" s="25" t="str">
        <f t="shared" si="48"/>
        <v/>
      </c>
      <c r="M3226" s="25"/>
      <c r="O3226" s="25"/>
    </row>
    <row r="3227" ht="15.75" customHeight="1">
      <c r="A3227" s="25" t="str">
        <f>IFERROR(__xludf.DUMMYFUNCTION("IF(B3227="""","""",RIGHT(REGEXREPLACE(B3227&amp;"""",""[^0-9]"",""""),9))"),"706039999")</f>
        <v>706039999</v>
      </c>
      <c r="B3227" s="52">
        <v>7.06039999E8</v>
      </c>
      <c r="C3227" s="28" t="s">
        <v>3319</v>
      </c>
      <c r="D3227" s="26" t="s">
        <v>69</v>
      </c>
      <c r="E3227" s="31">
        <v>46230.0</v>
      </c>
      <c r="F3227" s="26" t="s">
        <v>46</v>
      </c>
      <c r="G3227" s="26">
        <v>11.0</v>
      </c>
      <c r="I3227" s="26" t="s">
        <v>42</v>
      </c>
      <c r="J3227" s="25" t="str">
        <f t="shared" si="46"/>
        <v>No</v>
      </c>
      <c r="K3227" s="25" t="str">
        <f t="shared" si="47"/>
        <v/>
      </c>
      <c r="L3227" s="25" t="str">
        <f t="shared" si="48"/>
        <v/>
      </c>
      <c r="M3227" s="25"/>
      <c r="O3227" s="25"/>
    </row>
    <row r="3228" ht="15.75" customHeight="1">
      <c r="A3228" s="25" t="str">
        <f>IFERROR(__xludf.DUMMYFUNCTION("IF(B3228="""","""",RIGHT(REGEXREPLACE(B3228&amp;"""",""[^0-9]"",""""),9))"),"773838295")</f>
        <v>773838295</v>
      </c>
      <c r="B3228" s="52">
        <v>7.73838295E8</v>
      </c>
      <c r="C3228" s="28" t="s">
        <v>3320</v>
      </c>
      <c r="D3228" s="26" t="s">
        <v>56</v>
      </c>
      <c r="E3228" s="31">
        <v>46230.0</v>
      </c>
      <c r="F3228" s="26" t="s">
        <v>41</v>
      </c>
      <c r="G3228" s="26">
        <v>11.0</v>
      </c>
      <c r="I3228" s="26" t="s">
        <v>42</v>
      </c>
      <c r="J3228" s="25" t="str">
        <f t="shared" si="46"/>
        <v>No</v>
      </c>
      <c r="K3228" s="25" t="str">
        <f t="shared" si="47"/>
        <v/>
      </c>
      <c r="L3228" s="25" t="str">
        <f t="shared" si="48"/>
        <v/>
      </c>
      <c r="M3228" s="25"/>
      <c r="O3228" s="25"/>
    </row>
    <row r="3229" ht="15.75" customHeight="1">
      <c r="A3229" s="25" t="str">
        <f>IFERROR(__xludf.DUMMYFUNCTION("IF(B3229="""","""",RIGHT(REGEXREPLACE(B3229&amp;"""",""[^0-9]"",""""),9))"),"724246860")</f>
        <v>724246860</v>
      </c>
      <c r="B3229" s="26">
        <v>7.2424686E8</v>
      </c>
      <c r="C3229" s="28" t="s">
        <v>3321</v>
      </c>
      <c r="D3229" s="26" t="s">
        <v>37</v>
      </c>
      <c r="E3229" s="31">
        <v>46230.0</v>
      </c>
      <c r="F3229" s="26" t="s">
        <v>46</v>
      </c>
      <c r="G3229" s="26">
        <v>7.0</v>
      </c>
      <c r="H3229" s="26" t="s">
        <v>3322</v>
      </c>
      <c r="I3229" s="26" t="s">
        <v>937</v>
      </c>
      <c r="J3229" s="25" t="str">
        <f t="shared" si="46"/>
        <v>No</v>
      </c>
      <c r="K3229" s="25" t="str">
        <f t="shared" si="47"/>
        <v/>
      </c>
      <c r="L3229" s="25" t="str">
        <f t="shared" si="48"/>
        <v/>
      </c>
      <c r="M3229" s="25"/>
      <c r="O3229" s="25"/>
    </row>
    <row r="3230" ht="15.75" customHeight="1">
      <c r="A3230" s="25" t="str">
        <f>IFERROR(__xludf.DUMMYFUNCTION("IF(B3230="""","""",RIGHT(REGEXREPLACE(B3230&amp;"""",""[^0-9]"",""""),9))"),"773708993")</f>
        <v>773708993</v>
      </c>
      <c r="B3230" s="52">
        <v>7.73708993E8</v>
      </c>
      <c r="C3230" s="28" t="s">
        <v>3323</v>
      </c>
      <c r="D3230" s="26" t="s">
        <v>49</v>
      </c>
      <c r="E3230" s="31">
        <v>46230.0</v>
      </c>
      <c r="F3230" s="26" t="s">
        <v>41</v>
      </c>
      <c r="I3230" s="26" t="s">
        <v>42</v>
      </c>
      <c r="J3230" s="25" t="str">
        <f t="shared" si="46"/>
        <v>No</v>
      </c>
      <c r="K3230" s="25" t="str">
        <f t="shared" si="47"/>
        <v/>
      </c>
      <c r="L3230" s="25" t="str">
        <f t="shared" si="48"/>
        <v/>
      </c>
      <c r="M3230" s="25"/>
      <c r="O3230" s="25"/>
    </row>
    <row r="3231" ht="15.75" customHeight="1">
      <c r="A3231" s="25" t="str">
        <f>IFERROR(__xludf.DUMMYFUNCTION("IF(B3231="""","""",RIGHT(REGEXREPLACE(B3231&amp;"""",""[^0-9]"",""""),9))"),"702288767")</f>
        <v>702288767</v>
      </c>
      <c r="B3231" s="52">
        <v>7.02288767E8</v>
      </c>
      <c r="C3231" s="28" t="s">
        <v>3324</v>
      </c>
      <c r="D3231" s="26" t="s">
        <v>45</v>
      </c>
      <c r="E3231" s="31">
        <v>46230.0</v>
      </c>
      <c r="F3231" s="26" t="s">
        <v>46</v>
      </c>
      <c r="G3231" s="26" t="s">
        <v>2048</v>
      </c>
      <c r="I3231" s="26" t="s">
        <v>937</v>
      </c>
      <c r="J3231" s="25" t="str">
        <f t="shared" si="46"/>
        <v>No</v>
      </c>
      <c r="K3231" s="25" t="str">
        <f t="shared" si="47"/>
        <v/>
      </c>
      <c r="L3231" s="25" t="str">
        <f t="shared" si="48"/>
        <v/>
      </c>
      <c r="M3231" s="25"/>
      <c r="O3231" s="25"/>
    </row>
    <row r="3232" ht="15.75" customHeight="1">
      <c r="A3232" s="25" t="str">
        <f>IFERROR(__xludf.DUMMYFUNCTION("IF(B3232="""","""",RIGHT(REGEXREPLACE(B3232&amp;"""",""[^0-9]"",""""),9))"),"778463214")</f>
        <v>778463214</v>
      </c>
      <c r="B3232" s="52">
        <v>7.78463214E8</v>
      </c>
      <c r="C3232" s="28" t="s">
        <v>3325</v>
      </c>
      <c r="D3232" s="26" t="s">
        <v>82</v>
      </c>
      <c r="E3232" s="31">
        <v>46230.0</v>
      </c>
      <c r="F3232" s="26" t="s">
        <v>46</v>
      </c>
      <c r="G3232" s="26">
        <v>11.0</v>
      </c>
      <c r="I3232" s="26" t="s">
        <v>42</v>
      </c>
      <c r="J3232" s="25" t="str">
        <f t="shared" si="46"/>
        <v>No</v>
      </c>
      <c r="K3232" s="25" t="str">
        <f t="shared" si="47"/>
        <v/>
      </c>
      <c r="L3232" s="25" t="str">
        <f t="shared" si="48"/>
        <v/>
      </c>
      <c r="M3232" s="25"/>
      <c r="O3232" s="25"/>
    </row>
    <row r="3233" ht="15.75" customHeight="1">
      <c r="A3233" s="25" t="str">
        <f>IFERROR(__xludf.DUMMYFUNCTION("IF(B3233="""","""",RIGHT(REGEXREPLACE(B3233&amp;"""",""[^0-9]"",""""),9))"),"779146223")</f>
        <v>779146223</v>
      </c>
      <c r="B3233" s="52">
        <v>7.79146223E8</v>
      </c>
      <c r="C3233" s="28" t="s">
        <v>2336</v>
      </c>
      <c r="D3233" s="26" t="s">
        <v>64</v>
      </c>
      <c r="E3233" s="31">
        <v>46230.0</v>
      </c>
      <c r="F3233" s="26" t="s">
        <v>46</v>
      </c>
      <c r="G3233" s="26">
        <v>11.0</v>
      </c>
      <c r="I3233" s="26" t="s">
        <v>42</v>
      </c>
      <c r="J3233" s="25" t="str">
        <f t="shared" si="46"/>
        <v>Yes - see Previous F-Code</v>
      </c>
      <c r="K3233" s="25" t="str">
        <f t="shared" si="47"/>
        <v>DUPLICATE - CHECK</v>
      </c>
      <c r="L3233" s="25" t="str">
        <f t="shared" si="48"/>
        <v>F72032</v>
      </c>
      <c r="M3233" s="25"/>
      <c r="O3233" s="25"/>
    </row>
    <row r="3234" ht="15.75" customHeight="1">
      <c r="A3234" s="25" t="str">
        <f>IFERROR(__xludf.DUMMYFUNCTION("IF(B3234="""","""",RIGHT(REGEXREPLACE(B3234&amp;"""",""[^0-9]"",""""),9))"),"771307293")</f>
        <v>771307293</v>
      </c>
      <c r="B3234" s="52">
        <v>7.71307293E8</v>
      </c>
      <c r="C3234" s="28" t="s">
        <v>3326</v>
      </c>
      <c r="D3234" s="26" t="s">
        <v>56</v>
      </c>
      <c r="E3234" s="31">
        <v>46230.0</v>
      </c>
      <c r="F3234" s="26" t="s">
        <v>41</v>
      </c>
      <c r="G3234" s="26">
        <v>11.0</v>
      </c>
      <c r="I3234" s="26" t="s">
        <v>42</v>
      </c>
      <c r="J3234" s="25" t="str">
        <f t="shared" si="46"/>
        <v>No</v>
      </c>
      <c r="K3234" s="25" t="str">
        <f t="shared" si="47"/>
        <v/>
      </c>
      <c r="L3234" s="25" t="str">
        <f t="shared" si="48"/>
        <v/>
      </c>
      <c r="M3234" s="25"/>
      <c r="O3234" s="25"/>
    </row>
    <row r="3235" ht="15.75" customHeight="1">
      <c r="A3235" s="25" t="str">
        <f>IFERROR(__xludf.DUMMYFUNCTION("IF(B3235="""","""",RIGHT(REGEXREPLACE(B3235&amp;"""",""[^0-9]"",""""),9))"),"785190615")</f>
        <v>785190615</v>
      </c>
      <c r="B3235" s="52">
        <v>7.85190615E8</v>
      </c>
      <c r="C3235" s="28" t="s">
        <v>3327</v>
      </c>
      <c r="D3235" s="26" t="s">
        <v>49</v>
      </c>
      <c r="E3235" s="31">
        <v>46230.0</v>
      </c>
      <c r="F3235" s="26" t="s">
        <v>46</v>
      </c>
      <c r="G3235" s="26">
        <v>9.0</v>
      </c>
      <c r="I3235" s="26" t="s">
        <v>42</v>
      </c>
      <c r="J3235" s="25" t="str">
        <f t="shared" si="46"/>
        <v>No</v>
      </c>
      <c r="K3235" s="25" t="str">
        <f t="shared" si="47"/>
        <v/>
      </c>
      <c r="L3235" s="25" t="str">
        <f t="shared" si="48"/>
        <v/>
      </c>
      <c r="M3235" s="25"/>
      <c r="O3235" s="25"/>
    </row>
    <row r="3236" ht="15.75" customHeight="1">
      <c r="A3236" s="25" t="str">
        <f>IFERROR(__xludf.DUMMYFUNCTION("IF(B3236="""","""",RIGHT(REGEXREPLACE(B3236&amp;"""",""[^0-9]"",""""),9))"),"771537241")</f>
        <v>771537241</v>
      </c>
      <c r="B3236" s="26">
        <v>7.71537241E8</v>
      </c>
      <c r="C3236" s="28" t="s">
        <v>3328</v>
      </c>
      <c r="D3236" s="26" t="s">
        <v>37</v>
      </c>
      <c r="E3236" s="31">
        <v>46230.0</v>
      </c>
      <c r="F3236" s="26" t="s">
        <v>41</v>
      </c>
      <c r="G3236" s="26">
        <v>8.0</v>
      </c>
      <c r="I3236" s="26" t="s">
        <v>937</v>
      </c>
      <c r="J3236" s="25" t="str">
        <f t="shared" si="46"/>
        <v>No</v>
      </c>
      <c r="K3236" s="25" t="str">
        <f t="shared" si="47"/>
        <v/>
      </c>
      <c r="L3236" s="25" t="str">
        <f t="shared" si="48"/>
        <v/>
      </c>
      <c r="M3236" s="25"/>
      <c r="O3236" s="25"/>
    </row>
    <row r="3237" ht="15.75" customHeight="1">
      <c r="A3237" s="25" t="str">
        <f>IFERROR(__xludf.DUMMYFUNCTION("IF(B3237="""","""",RIGHT(REGEXREPLACE(B3237&amp;"""",""[^0-9]"",""""),9))"),"781751735")</f>
        <v>781751735</v>
      </c>
      <c r="B3237" s="52">
        <v>7.81751735E8</v>
      </c>
      <c r="C3237" s="28" t="s">
        <v>3327</v>
      </c>
      <c r="D3237" s="26" t="s">
        <v>56</v>
      </c>
      <c r="E3237" s="31">
        <v>46230.0</v>
      </c>
      <c r="F3237" s="26" t="s">
        <v>46</v>
      </c>
      <c r="G3237" s="26">
        <v>8.0</v>
      </c>
      <c r="I3237" s="26" t="s">
        <v>42</v>
      </c>
      <c r="J3237" s="25" t="str">
        <f t="shared" si="46"/>
        <v>No</v>
      </c>
      <c r="K3237" s="25" t="str">
        <f t="shared" si="47"/>
        <v/>
      </c>
      <c r="L3237" s="25" t="str">
        <f t="shared" si="48"/>
        <v/>
      </c>
      <c r="M3237" s="25"/>
      <c r="O3237" s="26" t="s">
        <v>51</v>
      </c>
    </row>
    <row r="3238" ht="15.75" customHeight="1">
      <c r="A3238" s="25" t="str">
        <f>IFERROR(__xludf.DUMMYFUNCTION("IF(B3238="""","""",RIGHT(REGEXREPLACE(B3238&amp;"""",""[^0-9]"",""""),9))"),"702780926")</f>
        <v>702780926</v>
      </c>
      <c r="B3238" s="52">
        <v>7.02780926E8</v>
      </c>
      <c r="C3238" s="28" t="s">
        <v>3329</v>
      </c>
      <c r="D3238" s="26" t="s">
        <v>82</v>
      </c>
      <c r="E3238" s="31">
        <v>46230.0</v>
      </c>
      <c r="F3238" s="25"/>
      <c r="G3238" s="25"/>
      <c r="H3238" s="25"/>
      <c r="I3238" s="26" t="s">
        <v>42</v>
      </c>
      <c r="J3238" s="25" t="str">
        <f t="shared" si="46"/>
        <v>No</v>
      </c>
      <c r="K3238" s="25" t="str">
        <f t="shared" si="47"/>
        <v/>
      </c>
      <c r="L3238" s="25" t="str">
        <f t="shared" si="48"/>
        <v/>
      </c>
      <c r="M3238" s="25"/>
      <c r="N3238" s="25"/>
      <c r="O3238" s="25"/>
      <c r="P3238" s="25"/>
    </row>
    <row r="3239" ht="15.75" customHeight="1">
      <c r="A3239" s="25" t="str">
        <f>IFERROR(__xludf.DUMMYFUNCTION("IF(B3239="""","""",RIGHT(REGEXREPLACE(B3239&amp;"""",""[^0-9]"",""""),9))"),"779480399")</f>
        <v>779480399</v>
      </c>
      <c r="B3239" s="52">
        <v>7.79480399E8</v>
      </c>
      <c r="C3239" s="28" t="s">
        <v>3330</v>
      </c>
      <c r="D3239" s="26" t="s">
        <v>45</v>
      </c>
      <c r="E3239" s="31">
        <v>46230.0</v>
      </c>
      <c r="F3239" s="26" t="s">
        <v>46</v>
      </c>
      <c r="G3239" s="26">
        <v>9.0</v>
      </c>
      <c r="I3239" s="26" t="s">
        <v>937</v>
      </c>
      <c r="J3239" s="25" t="str">
        <f t="shared" si="46"/>
        <v>No</v>
      </c>
      <c r="K3239" s="25" t="str">
        <f t="shared" si="47"/>
        <v/>
      </c>
      <c r="L3239" s="25" t="str">
        <f t="shared" si="48"/>
        <v/>
      </c>
      <c r="M3239" s="25"/>
      <c r="O3239" s="26" t="s">
        <v>51</v>
      </c>
    </row>
    <row r="3240" ht="15.75" customHeight="1">
      <c r="A3240" s="25" t="str">
        <f>IFERROR(__xludf.DUMMYFUNCTION("IF(B3240="""","""",RIGHT(REGEXREPLACE(B3240&amp;"""",""[^0-9]"",""""),9))"),"775992335")</f>
        <v>775992335</v>
      </c>
      <c r="B3240" s="52">
        <v>7.75992335E8</v>
      </c>
      <c r="C3240" s="28" t="s">
        <v>1945</v>
      </c>
      <c r="D3240" s="26" t="s">
        <v>69</v>
      </c>
      <c r="E3240" s="31">
        <v>46230.0</v>
      </c>
      <c r="F3240" s="26" t="s">
        <v>205</v>
      </c>
      <c r="G3240" s="26">
        <v>11.0</v>
      </c>
      <c r="I3240" s="26" t="s">
        <v>42</v>
      </c>
      <c r="J3240" s="25" t="str">
        <f t="shared" si="46"/>
        <v>No</v>
      </c>
      <c r="K3240" s="25" t="str">
        <f t="shared" si="47"/>
        <v/>
      </c>
      <c r="L3240" s="25" t="str">
        <f t="shared" si="48"/>
        <v/>
      </c>
      <c r="M3240" s="25"/>
      <c r="O3240" s="25"/>
    </row>
    <row r="3241" ht="15.75" customHeight="1">
      <c r="A3241" s="25" t="str">
        <f>IFERROR(__xludf.DUMMYFUNCTION("IF(B3241="""","""",RIGHT(REGEXREPLACE(B3241&amp;"""",""[^0-9]"",""""),9))"),"764943199")</f>
        <v>764943199</v>
      </c>
      <c r="B3241" s="52">
        <v>7.64943199E8</v>
      </c>
      <c r="C3241" s="28" t="s">
        <v>3331</v>
      </c>
      <c r="D3241" s="26" t="s">
        <v>56</v>
      </c>
      <c r="E3241" s="31">
        <v>46230.0</v>
      </c>
      <c r="F3241" s="26" t="s">
        <v>46</v>
      </c>
      <c r="G3241" s="26">
        <v>11.0</v>
      </c>
      <c r="H3241" s="26" t="s">
        <v>1648</v>
      </c>
      <c r="I3241" s="26" t="s">
        <v>42</v>
      </c>
      <c r="J3241" s="25" t="str">
        <f t="shared" si="46"/>
        <v>No</v>
      </c>
      <c r="K3241" s="25" t="str">
        <f t="shared" si="47"/>
        <v/>
      </c>
      <c r="L3241" s="25" t="str">
        <f t="shared" si="48"/>
        <v/>
      </c>
      <c r="M3241" s="25"/>
      <c r="O3241" s="25"/>
    </row>
    <row r="3242" ht="15.75" customHeight="1">
      <c r="A3242" s="25" t="str">
        <f>IFERROR(__xludf.DUMMYFUNCTION("IF(B3242="""","""",RIGHT(REGEXREPLACE(B3242&amp;"""",""[^0-9]"",""""),9))"),"779809551")</f>
        <v>779809551</v>
      </c>
      <c r="B3242" s="26">
        <v>7.79809551E8</v>
      </c>
      <c r="C3242" s="28" t="s">
        <v>3332</v>
      </c>
      <c r="D3242" s="26" t="s">
        <v>37</v>
      </c>
      <c r="E3242" s="31">
        <v>46230.0</v>
      </c>
      <c r="F3242" s="26" t="s">
        <v>46</v>
      </c>
      <c r="G3242" s="26">
        <v>6.0</v>
      </c>
      <c r="I3242" s="26" t="s">
        <v>937</v>
      </c>
      <c r="J3242" s="25" t="str">
        <f t="shared" si="46"/>
        <v>No</v>
      </c>
      <c r="K3242" s="25" t="str">
        <f t="shared" si="47"/>
        <v/>
      </c>
      <c r="L3242" s="25" t="str">
        <f t="shared" si="48"/>
        <v/>
      </c>
      <c r="M3242" s="25"/>
      <c r="O3242" s="26" t="s">
        <v>51</v>
      </c>
    </row>
    <row r="3243" ht="15.75" customHeight="1">
      <c r="A3243" s="25" t="str">
        <f>IFERROR(__xludf.DUMMYFUNCTION("IF(B3243="""","""",RIGHT(REGEXREPLACE(B3243&amp;"""",""[^0-9]"",""""),9))"),"770880403")</f>
        <v>770880403</v>
      </c>
      <c r="B3243" s="52">
        <v>7.70880403E8</v>
      </c>
      <c r="C3243" s="28" t="s">
        <v>3333</v>
      </c>
      <c r="D3243" s="26" t="s">
        <v>49</v>
      </c>
      <c r="E3243" s="31">
        <v>46230.0</v>
      </c>
      <c r="F3243" s="26" t="s">
        <v>46</v>
      </c>
      <c r="G3243" s="26">
        <v>10.0</v>
      </c>
      <c r="I3243" s="26" t="s">
        <v>42</v>
      </c>
      <c r="J3243" s="25" t="str">
        <f t="shared" si="46"/>
        <v>No</v>
      </c>
      <c r="K3243" s="25" t="str">
        <f t="shared" si="47"/>
        <v/>
      </c>
      <c r="L3243" s="25" t="str">
        <f t="shared" si="48"/>
        <v/>
      </c>
      <c r="M3243" s="25"/>
      <c r="O3243" s="25"/>
    </row>
    <row r="3244" ht="15.75" customHeight="1">
      <c r="A3244" s="25" t="str">
        <f>IFERROR(__xludf.DUMMYFUNCTION("IF(B3244="""","""",RIGHT(REGEXREPLACE(B3244&amp;"""",""[^0-9]"",""""),9))"),"717380885")</f>
        <v>717380885</v>
      </c>
      <c r="B3244" s="52">
        <v>7.17380885E8</v>
      </c>
      <c r="C3244" s="28" t="s">
        <v>3333</v>
      </c>
      <c r="D3244" s="26" t="s">
        <v>69</v>
      </c>
      <c r="E3244" s="31">
        <v>46230.0</v>
      </c>
      <c r="F3244" s="26" t="s">
        <v>84</v>
      </c>
      <c r="G3244" s="26">
        <v>11.0</v>
      </c>
      <c r="I3244" s="26" t="s">
        <v>42</v>
      </c>
      <c r="J3244" s="25" t="str">
        <f t="shared" si="46"/>
        <v>No</v>
      </c>
      <c r="K3244" s="25" t="str">
        <f t="shared" si="47"/>
        <v/>
      </c>
      <c r="L3244" s="25" t="str">
        <f t="shared" si="48"/>
        <v/>
      </c>
      <c r="M3244" s="25"/>
      <c r="O3244" s="25"/>
    </row>
    <row r="3245" ht="15.75" customHeight="1">
      <c r="A3245" s="25" t="str">
        <f>IFERROR(__xludf.DUMMYFUNCTION("IF(B3245="""","""",RIGHT(REGEXREPLACE(B3245&amp;"""",""[^0-9]"",""""),9))"),"171706124")</f>
        <v>171706124</v>
      </c>
      <c r="B3245" s="26">
        <v>7.1171706124E10</v>
      </c>
      <c r="C3245" s="28" t="s">
        <v>3334</v>
      </c>
      <c r="D3245" s="26" t="s">
        <v>37</v>
      </c>
      <c r="E3245" s="31">
        <v>46230.0</v>
      </c>
      <c r="F3245" s="26" t="s">
        <v>164</v>
      </c>
      <c r="G3245" s="26">
        <v>9.0</v>
      </c>
      <c r="I3245" s="26" t="s">
        <v>937</v>
      </c>
      <c r="J3245" s="25" t="str">
        <f t="shared" si="46"/>
        <v>No</v>
      </c>
      <c r="K3245" s="25" t="str">
        <f t="shared" si="47"/>
        <v/>
      </c>
      <c r="L3245" s="25" t="str">
        <f t="shared" si="48"/>
        <v/>
      </c>
      <c r="M3245" s="25"/>
      <c r="O3245" s="25"/>
    </row>
    <row r="3246" ht="15.75" customHeight="1">
      <c r="A3246" s="25" t="str">
        <f>IFERROR(__xludf.DUMMYFUNCTION("IF(B3246="""","""",RIGHT(REGEXREPLACE(B3246&amp;"""",""[^0-9]"",""""),9))"),"763369633")</f>
        <v>763369633</v>
      </c>
      <c r="B3246" s="52">
        <v>7.63369633E8</v>
      </c>
      <c r="C3246" s="28" t="s">
        <v>3335</v>
      </c>
      <c r="D3246" s="26" t="s">
        <v>64</v>
      </c>
      <c r="E3246" s="31">
        <v>46230.0</v>
      </c>
      <c r="F3246" s="26" t="s">
        <v>46</v>
      </c>
      <c r="G3246" s="26">
        <v>10.0</v>
      </c>
      <c r="I3246" s="26" t="s">
        <v>42</v>
      </c>
      <c r="J3246" s="25" t="str">
        <f t="shared" si="46"/>
        <v>No</v>
      </c>
      <c r="K3246" s="25" t="str">
        <f t="shared" si="47"/>
        <v/>
      </c>
      <c r="L3246" s="25" t="str">
        <f t="shared" si="48"/>
        <v/>
      </c>
      <c r="M3246" s="25"/>
      <c r="O3246" s="25"/>
    </row>
    <row r="3247" ht="15.75" customHeight="1">
      <c r="A3247" s="25" t="str">
        <f>IFERROR(__xludf.DUMMYFUNCTION("IF(B3247="""","""",RIGHT(REGEXREPLACE(B3247&amp;"""",""[^0-9]"",""""),9))"),"706258324")</f>
        <v>706258324</v>
      </c>
      <c r="B3247" s="52">
        <v>7.06258324E8</v>
      </c>
      <c r="C3247" s="28" t="s">
        <v>3336</v>
      </c>
      <c r="D3247" s="26" t="s">
        <v>45</v>
      </c>
      <c r="E3247" s="31">
        <v>46230.0</v>
      </c>
      <c r="F3247" s="26" t="s">
        <v>46</v>
      </c>
      <c r="G3247" s="26">
        <v>8.0</v>
      </c>
      <c r="I3247" s="26" t="s">
        <v>937</v>
      </c>
      <c r="J3247" s="25" t="str">
        <f t="shared" si="46"/>
        <v>No</v>
      </c>
      <c r="K3247" s="25" t="str">
        <f t="shared" si="47"/>
        <v/>
      </c>
      <c r="L3247" s="25" t="str">
        <f t="shared" si="48"/>
        <v/>
      </c>
      <c r="M3247" s="25"/>
      <c r="O3247" s="25"/>
    </row>
    <row r="3248" ht="15.75" customHeight="1">
      <c r="A3248" s="25" t="str">
        <f>IFERROR(__xludf.DUMMYFUNCTION("IF(B3248="""","""",RIGHT(REGEXREPLACE(B3248&amp;"""",""[^0-9]"",""""),9))"),"717513098")</f>
        <v>717513098</v>
      </c>
      <c r="B3248" s="52">
        <v>7.17513098E8</v>
      </c>
      <c r="C3248" s="28" t="s">
        <v>3337</v>
      </c>
      <c r="D3248" s="26" t="s">
        <v>49</v>
      </c>
      <c r="E3248" s="31">
        <v>46230.0</v>
      </c>
      <c r="F3248" s="26" t="s">
        <v>46</v>
      </c>
      <c r="G3248" s="26">
        <v>10.0</v>
      </c>
      <c r="I3248" s="26" t="s">
        <v>42</v>
      </c>
      <c r="J3248" s="25" t="str">
        <f t="shared" si="46"/>
        <v>No</v>
      </c>
      <c r="K3248" s="25" t="str">
        <f t="shared" si="47"/>
        <v/>
      </c>
      <c r="L3248" s="25" t="str">
        <f t="shared" si="48"/>
        <v/>
      </c>
      <c r="M3248" s="25"/>
      <c r="O3248" s="25"/>
    </row>
    <row r="3249" ht="15.75" customHeight="1">
      <c r="A3249" s="25" t="str">
        <f>IFERROR(__xludf.DUMMYFUNCTION("IF(B3249="""","""",RIGHT(REGEXREPLACE(B3249&amp;"""",""[^0-9]"",""""),9))"),"771104588")</f>
        <v>771104588</v>
      </c>
      <c r="B3249" s="52">
        <v>7.71104588E8</v>
      </c>
      <c r="C3249" s="28" t="s">
        <v>3338</v>
      </c>
      <c r="D3249" s="26" t="s">
        <v>82</v>
      </c>
      <c r="E3249" s="31">
        <v>46230.0</v>
      </c>
      <c r="F3249" s="26" t="s">
        <v>704</v>
      </c>
      <c r="G3249" s="26">
        <v>11.0</v>
      </c>
      <c r="I3249" s="26" t="s">
        <v>42</v>
      </c>
      <c r="J3249" s="25" t="str">
        <f t="shared" si="46"/>
        <v>No</v>
      </c>
      <c r="K3249" s="25" t="str">
        <f t="shared" si="47"/>
        <v/>
      </c>
      <c r="L3249" s="25" t="str">
        <f t="shared" si="48"/>
        <v/>
      </c>
      <c r="M3249" s="25"/>
      <c r="O3249" s="25"/>
    </row>
    <row r="3250" ht="15.75" customHeight="1">
      <c r="A3250" s="25" t="str">
        <f>IFERROR(__xludf.DUMMYFUNCTION("IF(B3250="""","""",RIGHT(REGEXREPLACE(B3250&amp;"""",""[^0-9]"",""""),9))"),"726219997")</f>
        <v>726219997</v>
      </c>
      <c r="B3250" s="52">
        <v>7.26219997E8</v>
      </c>
      <c r="C3250" s="28" t="s">
        <v>1975</v>
      </c>
      <c r="D3250" s="26" t="s">
        <v>56</v>
      </c>
      <c r="E3250" s="31">
        <v>46230.0</v>
      </c>
      <c r="F3250" s="26" t="s">
        <v>205</v>
      </c>
      <c r="I3250" s="26" t="s">
        <v>42</v>
      </c>
      <c r="J3250" s="25" t="str">
        <f t="shared" si="46"/>
        <v>No</v>
      </c>
      <c r="K3250" s="25" t="str">
        <f t="shared" si="47"/>
        <v/>
      </c>
      <c r="L3250" s="25" t="str">
        <f t="shared" si="48"/>
        <v/>
      </c>
      <c r="M3250" s="25"/>
      <c r="O3250" s="25"/>
    </row>
    <row r="3251" ht="15.75" customHeight="1">
      <c r="A3251" s="25" t="str">
        <f>IFERROR(__xludf.DUMMYFUNCTION("IF(B3251="""","""",RIGHT(REGEXREPLACE(B3251&amp;"""",""[^0-9]"",""""),9))"),"761248568")</f>
        <v>761248568</v>
      </c>
      <c r="B3251" s="52">
        <v>7.61248568E8</v>
      </c>
      <c r="C3251" s="28" t="s">
        <v>3339</v>
      </c>
      <c r="D3251" s="26" t="s">
        <v>82</v>
      </c>
      <c r="E3251" s="31">
        <v>46230.0</v>
      </c>
      <c r="F3251" s="26" t="s">
        <v>41</v>
      </c>
      <c r="I3251" s="26" t="s">
        <v>42</v>
      </c>
      <c r="J3251" s="25" t="str">
        <f t="shared" si="46"/>
        <v>No</v>
      </c>
      <c r="K3251" s="25" t="str">
        <f t="shared" si="47"/>
        <v/>
      </c>
      <c r="L3251" s="25" t="str">
        <f t="shared" si="48"/>
        <v/>
      </c>
      <c r="M3251" s="25"/>
      <c r="O3251" s="25"/>
    </row>
    <row r="3252" ht="15.75" customHeight="1">
      <c r="A3252" s="25" t="str">
        <f>IFERROR(__xludf.DUMMYFUNCTION("IF(B3252="""","""",RIGHT(REGEXREPLACE(B3252&amp;"""",""[^0-9]"",""""),9))"),"777295109")</f>
        <v>777295109</v>
      </c>
      <c r="B3252" s="52">
        <v>7.77295109E8</v>
      </c>
      <c r="C3252" s="28" t="s">
        <v>3340</v>
      </c>
      <c r="D3252" s="26" t="s">
        <v>49</v>
      </c>
      <c r="E3252" s="31">
        <v>46230.0</v>
      </c>
      <c r="F3252" s="26" t="s">
        <v>46</v>
      </c>
      <c r="G3252" s="26">
        <v>11.0</v>
      </c>
      <c r="H3252" s="26" t="s">
        <v>1369</v>
      </c>
      <c r="I3252" s="26" t="s">
        <v>42</v>
      </c>
      <c r="J3252" s="25" t="str">
        <f t="shared" si="46"/>
        <v>No</v>
      </c>
      <c r="K3252" s="25" t="str">
        <f t="shared" si="47"/>
        <v/>
      </c>
      <c r="L3252" s="25" t="str">
        <f t="shared" si="48"/>
        <v/>
      </c>
      <c r="M3252" s="25"/>
      <c r="O3252" s="25"/>
    </row>
    <row r="3253" ht="15.75" customHeight="1">
      <c r="A3253" s="25" t="str">
        <f>IFERROR(__xludf.DUMMYFUNCTION("IF(B3253="""","""",RIGHT(REGEXREPLACE(B3253&amp;"""",""[^0-9]"",""""),9))"),"741189567")</f>
        <v>741189567</v>
      </c>
      <c r="B3253" s="26">
        <v>7.41189567E8</v>
      </c>
      <c r="C3253" s="28" t="s">
        <v>3341</v>
      </c>
      <c r="D3253" s="26" t="s">
        <v>37</v>
      </c>
      <c r="E3253" s="31">
        <v>46230.0</v>
      </c>
      <c r="F3253" s="26" t="s">
        <v>41</v>
      </c>
      <c r="I3253" s="26" t="s">
        <v>42</v>
      </c>
      <c r="J3253" s="25" t="str">
        <f t="shared" si="46"/>
        <v>No</v>
      </c>
      <c r="K3253" s="25" t="str">
        <f t="shared" si="47"/>
        <v/>
      </c>
      <c r="L3253" s="25" t="str">
        <f t="shared" si="48"/>
        <v/>
      </c>
      <c r="M3253" s="25"/>
      <c r="O3253" s="25"/>
    </row>
    <row r="3254" ht="15.75" customHeight="1">
      <c r="A3254" s="25" t="str">
        <f>IFERROR(__xludf.DUMMYFUNCTION("IF(B3254="""","""",RIGHT(REGEXREPLACE(B3254&amp;"""",""[^0-9]"",""""),9))"),"762215662")</f>
        <v>762215662</v>
      </c>
      <c r="B3254" s="52">
        <v>7.62215662E8</v>
      </c>
      <c r="C3254" s="28" t="s">
        <v>3342</v>
      </c>
      <c r="D3254" s="26" t="s">
        <v>64</v>
      </c>
      <c r="E3254" s="31">
        <v>46230.0</v>
      </c>
      <c r="F3254" s="26" t="s">
        <v>125</v>
      </c>
      <c r="I3254" s="26" t="s">
        <v>42</v>
      </c>
      <c r="J3254" s="25" t="str">
        <f t="shared" si="46"/>
        <v>No</v>
      </c>
      <c r="K3254" s="25" t="str">
        <f t="shared" si="47"/>
        <v/>
      </c>
      <c r="L3254" s="25" t="str">
        <f t="shared" si="48"/>
        <v/>
      </c>
      <c r="M3254" s="25"/>
      <c r="O3254" s="25"/>
    </row>
    <row r="3255" ht="15.75" customHeight="1">
      <c r="A3255" s="25" t="str">
        <f>IFERROR(__xludf.DUMMYFUNCTION("IF(B3255="""","""",RIGHT(REGEXREPLACE(B3255&amp;"""",""[^0-9]"",""""),9))"),"770094783")</f>
        <v>770094783</v>
      </c>
      <c r="B3255" s="52">
        <v>7.70094783E8</v>
      </c>
      <c r="C3255" s="28" t="s">
        <v>3343</v>
      </c>
      <c r="D3255" s="26" t="s">
        <v>45</v>
      </c>
      <c r="E3255" s="31">
        <v>46230.0</v>
      </c>
      <c r="F3255" s="26" t="s">
        <v>41</v>
      </c>
      <c r="G3255" s="26">
        <v>11.0</v>
      </c>
      <c r="I3255" s="26" t="s">
        <v>42</v>
      </c>
      <c r="J3255" s="25" t="str">
        <f t="shared" si="46"/>
        <v>No</v>
      </c>
      <c r="K3255" s="25" t="str">
        <f t="shared" si="47"/>
        <v/>
      </c>
      <c r="L3255" s="25" t="str">
        <f t="shared" si="48"/>
        <v/>
      </c>
      <c r="M3255" s="25"/>
      <c r="O3255" s="25"/>
    </row>
    <row r="3256" ht="15.75" customHeight="1">
      <c r="A3256" s="25" t="str">
        <f>IFERROR(__xludf.DUMMYFUNCTION("IF(B3256="""","""",RIGHT(REGEXREPLACE(B3256&amp;"""",""[^0-9]"",""""),9))"),"779470921")</f>
        <v>779470921</v>
      </c>
      <c r="B3256" s="52">
        <v>7.79470921E8</v>
      </c>
      <c r="C3256" s="28" t="s">
        <v>3344</v>
      </c>
      <c r="D3256" s="26" t="s">
        <v>69</v>
      </c>
      <c r="E3256" s="31">
        <v>46230.0</v>
      </c>
      <c r="F3256" s="26" t="s">
        <v>41</v>
      </c>
      <c r="G3256" s="26">
        <v>11.0</v>
      </c>
      <c r="I3256" s="26" t="s">
        <v>42</v>
      </c>
      <c r="J3256" s="25" t="str">
        <f t="shared" si="46"/>
        <v>No</v>
      </c>
      <c r="K3256" s="25" t="str">
        <f t="shared" si="47"/>
        <v/>
      </c>
      <c r="L3256" s="25" t="str">
        <f t="shared" si="48"/>
        <v/>
      </c>
      <c r="M3256" s="25"/>
      <c r="O3256" s="25"/>
    </row>
    <row r="3257" ht="15.75" customHeight="1">
      <c r="A3257" s="25" t="str">
        <f>IFERROR(__xludf.DUMMYFUNCTION("IF(B3257="""","""",RIGHT(REGEXREPLACE(B3257&amp;"""",""[^0-9]"",""""),9))"),"716359231")</f>
        <v>716359231</v>
      </c>
      <c r="B3257" s="52">
        <v>7.16359231E8</v>
      </c>
      <c r="C3257" s="28" t="s">
        <v>3345</v>
      </c>
      <c r="D3257" s="26" t="s">
        <v>56</v>
      </c>
      <c r="E3257" s="31">
        <v>46230.0</v>
      </c>
      <c r="F3257" s="26" t="s">
        <v>46</v>
      </c>
      <c r="G3257" s="26">
        <v>11.0</v>
      </c>
      <c r="I3257" s="26" t="s">
        <v>42</v>
      </c>
      <c r="J3257" s="25" t="str">
        <f t="shared" si="46"/>
        <v>No</v>
      </c>
      <c r="K3257" s="25" t="str">
        <f t="shared" si="47"/>
        <v/>
      </c>
      <c r="L3257" s="25" t="str">
        <f t="shared" si="48"/>
        <v/>
      </c>
      <c r="M3257" s="25"/>
      <c r="O3257" s="25"/>
    </row>
    <row r="3258" ht="15.75" customHeight="1">
      <c r="A3258" s="25" t="str">
        <f>IFERROR(__xludf.DUMMYFUNCTION("IF(B3258="""","""",RIGHT(REGEXREPLACE(B3258&amp;"""",""[^0-9]"",""""),9))"),"776443057")</f>
        <v>776443057</v>
      </c>
      <c r="B3258" s="52">
        <v>7.76443057E8</v>
      </c>
      <c r="C3258" s="28" t="s">
        <v>3346</v>
      </c>
      <c r="D3258" s="26" t="s">
        <v>82</v>
      </c>
      <c r="E3258" s="31">
        <v>46230.0</v>
      </c>
      <c r="F3258" s="26" t="s">
        <v>46</v>
      </c>
      <c r="G3258" s="26">
        <v>11.0</v>
      </c>
      <c r="I3258" s="26" t="s">
        <v>42</v>
      </c>
      <c r="J3258" s="25" t="str">
        <f t="shared" si="46"/>
        <v>No</v>
      </c>
      <c r="K3258" s="25" t="str">
        <f t="shared" si="47"/>
        <v/>
      </c>
      <c r="L3258" s="25" t="str">
        <f t="shared" si="48"/>
        <v/>
      </c>
      <c r="M3258" s="25"/>
      <c r="O3258" s="25"/>
    </row>
    <row r="3259" ht="15.75" customHeight="1">
      <c r="A3259" s="25" t="str">
        <f>IFERROR(__xludf.DUMMYFUNCTION("IF(B3259="""","""",RIGHT(REGEXREPLACE(B3259&amp;"""",""[^0-9]"",""""),9))"),"783785004")</f>
        <v>783785004</v>
      </c>
      <c r="B3259" s="52">
        <v>7.83785004E8</v>
      </c>
      <c r="C3259" s="28" t="s">
        <v>3347</v>
      </c>
      <c r="D3259" s="26" t="s">
        <v>64</v>
      </c>
      <c r="E3259" s="31">
        <v>46230.0</v>
      </c>
      <c r="F3259" s="26" t="s">
        <v>46</v>
      </c>
      <c r="G3259" s="26">
        <v>11.0</v>
      </c>
      <c r="I3259" s="26" t="s">
        <v>42</v>
      </c>
      <c r="J3259" s="25" t="str">
        <f t="shared" si="46"/>
        <v>No</v>
      </c>
      <c r="K3259" s="25" t="str">
        <f t="shared" si="47"/>
        <v/>
      </c>
      <c r="L3259" s="25" t="str">
        <f t="shared" si="48"/>
        <v/>
      </c>
      <c r="M3259" s="25"/>
      <c r="O3259" s="25"/>
    </row>
    <row r="3260" ht="15.75" customHeight="1">
      <c r="A3260" s="25" t="str">
        <f>IFERROR(__xludf.DUMMYFUNCTION("IF(B3260="""","""",RIGHT(REGEXREPLACE(B3260&amp;"""",""[^0-9]"",""""),9))"),"757458730")</f>
        <v>757458730</v>
      </c>
      <c r="B3260" s="52">
        <v>7.5745873E8</v>
      </c>
      <c r="C3260" s="28" t="s">
        <v>3348</v>
      </c>
      <c r="D3260" s="26" t="s">
        <v>49</v>
      </c>
      <c r="E3260" s="31">
        <v>46230.0</v>
      </c>
      <c r="F3260" s="26" t="s">
        <v>659</v>
      </c>
      <c r="G3260" s="26">
        <v>11.0</v>
      </c>
      <c r="I3260" s="26" t="s">
        <v>42</v>
      </c>
      <c r="J3260" s="25" t="str">
        <f t="shared" si="46"/>
        <v>No</v>
      </c>
      <c r="K3260" s="25" t="str">
        <f t="shared" si="47"/>
        <v/>
      </c>
      <c r="L3260" s="25" t="str">
        <f t="shared" si="48"/>
        <v/>
      </c>
      <c r="M3260" s="25"/>
      <c r="O3260" s="25"/>
    </row>
    <row r="3261" ht="15.75" customHeight="1">
      <c r="A3261" s="25" t="str">
        <f>IFERROR(__xludf.DUMMYFUNCTION("IF(B3261="""","""",RIGHT(REGEXREPLACE(B3261&amp;"""",""[^0-9]"",""""),9))"),"743882486")</f>
        <v>743882486</v>
      </c>
      <c r="B3261" s="52">
        <v>7.43882486E8</v>
      </c>
      <c r="C3261" s="28" t="s">
        <v>3349</v>
      </c>
      <c r="D3261" s="26" t="s">
        <v>45</v>
      </c>
      <c r="E3261" s="31">
        <v>46230.0</v>
      </c>
      <c r="F3261" s="26" t="s">
        <v>46</v>
      </c>
      <c r="G3261" s="26">
        <v>11.0</v>
      </c>
      <c r="I3261" s="26" t="s">
        <v>42</v>
      </c>
      <c r="J3261" s="25" t="str">
        <f t="shared" si="46"/>
        <v>No</v>
      </c>
      <c r="K3261" s="25" t="str">
        <f t="shared" si="47"/>
        <v/>
      </c>
      <c r="L3261" s="25" t="str">
        <f t="shared" si="48"/>
        <v/>
      </c>
      <c r="M3261" s="25"/>
      <c r="O3261" s="25"/>
    </row>
    <row r="3262" ht="15.75" customHeight="1">
      <c r="A3262" s="25" t="str">
        <f>IFERROR(__xludf.DUMMYFUNCTION("IF(B3262="""","""",RIGHT(REGEXREPLACE(B3262&amp;"""",""[^0-9]"",""""),9))"),"766589739")</f>
        <v>766589739</v>
      </c>
      <c r="B3262" s="52">
        <v>7.66589739E8</v>
      </c>
      <c r="C3262" s="28" t="s">
        <v>2473</v>
      </c>
      <c r="D3262" s="26" t="s">
        <v>56</v>
      </c>
      <c r="E3262" s="31">
        <v>46230.0</v>
      </c>
      <c r="F3262" s="26" t="s">
        <v>46</v>
      </c>
      <c r="G3262" s="26">
        <v>9.0</v>
      </c>
      <c r="I3262" s="26" t="s">
        <v>42</v>
      </c>
      <c r="J3262" s="25" t="str">
        <f t="shared" si="46"/>
        <v>No</v>
      </c>
      <c r="K3262" s="25" t="str">
        <f t="shared" si="47"/>
        <v/>
      </c>
      <c r="L3262" s="25" t="str">
        <f t="shared" si="48"/>
        <v/>
      </c>
      <c r="M3262" s="25"/>
      <c r="O3262" s="25"/>
    </row>
    <row r="3263" ht="15.75" customHeight="1">
      <c r="A3263" s="25" t="str">
        <f>IFERROR(__xludf.DUMMYFUNCTION("IF(B3263="""","""",RIGHT(REGEXREPLACE(B3263&amp;"""",""[^0-9]"",""""),9))"),"774621894")</f>
        <v>774621894</v>
      </c>
      <c r="B3263" s="52">
        <v>7.74621894E8</v>
      </c>
      <c r="C3263" s="28" t="s">
        <v>3350</v>
      </c>
      <c r="D3263" s="26" t="s">
        <v>82</v>
      </c>
      <c r="E3263" s="31">
        <v>46230.0</v>
      </c>
      <c r="F3263" s="26" t="s">
        <v>41</v>
      </c>
      <c r="I3263" s="26" t="s">
        <v>42</v>
      </c>
      <c r="J3263" s="25" t="str">
        <f t="shared" si="46"/>
        <v>No</v>
      </c>
      <c r="K3263" s="25" t="str">
        <f t="shared" si="47"/>
        <v/>
      </c>
      <c r="L3263" s="25" t="str">
        <f t="shared" si="48"/>
        <v/>
      </c>
      <c r="M3263" s="25"/>
      <c r="O3263" s="25"/>
    </row>
    <row r="3264" ht="15.75" customHeight="1">
      <c r="A3264" s="25" t="str">
        <f>IFERROR(__xludf.DUMMYFUNCTION("IF(B3264="""","""",RIGHT(REGEXREPLACE(B3264&amp;"""",""[^0-9]"",""""),9))"),"740827727")</f>
        <v>740827727</v>
      </c>
      <c r="B3264" s="52">
        <v>7.40827727E8</v>
      </c>
      <c r="C3264" s="28" t="s">
        <v>3351</v>
      </c>
      <c r="D3264" s="26" t="s">
        <v>49</v>
      </c>
      <c r="E3264" s="31">
        <v>46230.0</v>
      </c>
      <c r="F3264" s="26" t="s">
        <v>41</v>
      </c>
      <c r="G3264" s="26">
        <v>11.0</v>
      </c>
      <c r="I3264" s="26" t="s">
        <v>42</v>
      </c>
      <c r="J3264" s="25" t="str">
        <f t="shared" si="46"/>
        <v>No</v>
      </c>
      <c r="K3264" s="25" t="str">
        <f t="shared" si="47"/>
        <v/>
      </c>
      <c r="L3264" s="25" t="str">
        <f t="shared" si="48"/>
        <v/>
      </c>
      <c r="M3264" s="25"/>
      <c r="O3264" s="25"/>
    </row>
    <row r="3265" ht="15.75" customHeight="1">
      <c r="A3265" s="25" t="str">
        <f>IFERROR(__xludf.DUMMYFUNCTION("IF(B3265="""","""",RIGHT(REGEXREPLACE(B3265&amp;"""",""[^0-9]"",""""),9))"),"755750750")</f>
        <v>755750750</v>
      </c>
      <c r="B3265" s="52">
        <v>7.5575075E8</v>
      </c>
      <c r="C3265" s="28" t="s">
        <v>3352</v>
      </c>
      <c r="D3265" s="26" t="s">
        <v>45</v>
      </c>
      <c r="E3265" s="31">
        <v>46230.0</v>
      </c>
      <c r="F3265" s="26" t="s">
        <v>46</v>
      </c>
      <c r="G3265" s="26">
        <v>11.0</v>
      </c>
      <c r="I3265" s="26" t="s">
        <v>42</v>
      </c>
      <c r="J3265" s="25" t="str">
        <f t="shared" si="46"/>
        <v>No</v>
      </c>
      <c r="K3265" s="25" t="str">
        <f t="shared" si="47"/>
        <v/>
      </c>
      <c r="L3265" s="25" t="str">
        <f t="shared" si="48"/>
        <v/>
      </c>
      <c r="M3265" s="25"/>
      <c r="O3265" s="25"/>
    </row>
    <row r="3266" ht="15.75" customHeight="1">
      <c r="A3266" s="25" t="str">
        <f>IFERROR(__xludf.DUMMYFUNCTION("IF(B3266="""","""",RIGHT(REGEXREPLACE(B3266&amp;"""",""[^0-9]"",""""),9))"),"786761404")</f>
        <v>786761404</v>
      </c>
      <c r="B3266" s="52">
        <v>7.86761404E8</v>
      </c>
      <c r="C3266" s="28" t="s">
        <v>3353</v>
      </c>
      <c r="D3266" s="26" t="s">
        <v>64</v>
      </c>
      <c r="E3266" s="31">
        <v>46230.0</v>
      </c>
      <c r="F3266" s="26" t="s">
        <v>41</v>
      </c>
      <c r="I3266" s="26" t="s">
        <v>42</v>
      </c>
      <c r="J3266" s="25" t="str">
        <f t="shared" si="46"/>
        <v>No</v>
      </c>
      <c r="K3266" s="25" t="str">
        <f t="shared" si="47"/>
        <v/>
      </c>
      <c r="L3266" s="25" t="str">
        <f t="shared" si="48"/>
        <v/>
      </c>
      <c r="M3266" s="25"/>
      <c r="O3266" s="25"/>
    </row>
    <row r="3267" ht="15.75" customHeight="1">
      <c r="A3267" s="25" t="str">
        <f>IFERROR(__xludf.DUMMYFUNCTION("IF(B3267="""","""",RIGHT(REGEXREPLACE(B3267&amp;"""",""[^0-9]"",""""),9))"),"707755214")</f>
        <v>707755214</v>
      </c>
      <c r="B3267" s="52">
        <v>7.07755214E8</v>
      </c>
      <c r="C3267" s="28" t="s">
        <v>3354</v>
      </c>
      <c r="D3267" s="26" t="s">
        <v>69</v>
      </c>
      <c r="E3267" s="31">
        <v>46230.0</v>
      </c>
      <c r="F3267" s="26" t="s">
        <v>46</v>
      </c>
      <c r="G3267" s="26">
        <v>11.0</v>
      </c>
      <c r="I3267" s="26" t="s">
        <v>42</v>
      </c>
      <c r="J3267" s="25" t="str">
        <f t="shared" si="46"/>
        <v>No</v>
      </c>
      <c r="K3267" s="25" t="str">
        <f t="shared" si="47"/>
        <v/>
      </c>
      <c r="L3267" s="25" t="str">
        <f t="shared" si="48"/>
        <v/>
      </c>
      <c r="M3267" s="25"/>
      <c r="O3267" s="25"/>
    </row>
    <row r="3268" ht="15.75" customHeight="1">
      <c r="A3268" s="25" t="str">
        <f>IFERROR(__xludf.DUMMYFUNCTION("IF(B3268="""","""",RIGHT(REGEXREPLACE(B3268&amp;"""",""[^0-9]"",""""),9))"),"767235878")</f>
        <v>767235878</v>
      </c>
      <c r="B3268" s="52">
        <v>7.67235878E8</v>
      </c>
      <c r="C3268" s="28" t="s">
        <v>3355</v>
      </c>
      <c r="D3268" s="26" t="s">
        <v>56</v>
      </c>
      <c r="E3268" s="31">
        <v>46230.0</v>
      </c>
      <c r="F3268" s="26" t="s">
        <v>205</v>
      </c>
      <c r="G3268" s="26">
        <v>11.0</v>
      </c>
      <c r="I3268" s="26" t="s">
        <v>42</v>
      </c>
      <c r="J3268" s="25" t="str">
        <f t="shared" si="46"/>
        <v>No</v>
      </c>
      <c r="K3268" s="25" t="str">
        <f t="shared" si="47"/>
        <v/>
      </c>
      <c r="L3268" s="25" t="str">
        <f t="shared" si="48"/>
        <v/>
      </c>
      <c r="M3268" s="25"/>
      <c r="O3268" s="25"/>
    </row>
    <row r="3269" ht="15.75" customHeight="1">
      <c r="A3269" s="25" t="str">
        <f>IFERROR(__xludf.DUMMYFUNCTION("IF(B3269="""","""",RIGHT(REGEXREPLACE(B3269&amp;"""",""[^0-9]"",""""),9))"),"760300511")</f>
        <v>760300511</v>
      </c>
      <c r="B3269" s="52">
        <v>7.60300511E8</v>
      </c>
      <c r="C3269" s="28" t="s">
        <v>3356</v>
      </c>
      <c r="D3269" s="26" t="s">
        <v>82</v>
      </c>
      <c r="E3269" s="31">
        <v>46230.0</v>
      </c>
      <c r="F3269" s="26" t="s">
        <v>41</v>
      </c>
      <c r="I3269" s="26" t="s">
        <v>42</v>
      </c>
      <c r="J3269" s="25" t="str">
        <f t="shared" si="46"/>
        <v>No</v>
      </c>
      <c r="K3269" s="25" t="str">
        <f t="shared" si="47"/>
        <v/>
      </c>
      <c r="L3269" s="25" t="str">
        <f t="shared" si="48"/>
        <v/>
      </c>
      <c r="M3269" s="25"/>
      <c r="O3269" s="25"/>
    </row>
    <row r="3270" ht="15.75" customHeight="1">
      <c r="A3270" s="25" t="str">
        <f>IFERROR(__xludf.DUMMYFUNCTION("IF(B3270="""","""",RIGHT(REGEXREPLACE(B3270&amp;"""",""[^0-9]"",""""),9))"),"711687432")</f>
        <v>711687432</v>
      </c>
      <c r="B3270" s="52">
        <v>7.11687432E8</v>
      </c>
      <c r="C3270" s="28" t="s">
        <v>3357</v>
      </c>
      <c r="D3270" s="26" t="s">
        <v>49</v>
      </c>
      <c r="E3270" s="31">
        <v>46230.0</v>
      </c>
      <c r="F3270" s="26" t="s">
        <v>46</v>
      </c>
      <c r="G3270" s="26">
        <v>10.0</v>
      </c>
      <c r="I3270" s="26" t="s">
        <v>42</v>
      </c>
      <c r="J3270" s="25" t="str">
        <f t="shared" si="46"/>
        <v>No</v>
      </c>
      <c r="K3270" s="25" t="str">
        <f t="shared" si="47"/>
        <v/>
      </c>
      <c r="L3270" s="25" t="str">
        <f t="shared" si="48"/>
        <v/>
      </c>
      <c r="M3270" s="25"/>
      <c r="O3270" s="25"/>
    </row>
    <row r="3271" ht="15.75" customHeight="1">
      <c r="A3271" s="25" t="str">
        <f>IFERROR(__xludf.DUMMYFUNCTION("IF(B3271="""","""",RIGHT(REGEXREPLACE(B3271&amp;"""",""[^0-9]"",""""),9))"),"752787730")</f>
        <v>752787730</v>
      </c>
      <c r="B3271" s="52">
        <v>7.5278773E8</v>
      </c>
      <c r="C3271" s="28" t="s">
        <v>3358</v>
      </c>
      <c r="D3271" s="26" t="s">
        <v>64</v>
      </c>
      <c r="E3271" s="31">
        <v>46230.0</v>
      </c>
      <c r="F3271" s="25"/>
      <c r="G3271" s="25"/>
      <c r="H3271" s="25"/>
      <c r="I3271" s="26" t="s">
        <v>42</v>
      </c>
      <c r="J3271" s="25" t="str">
        <f t="shared" si="46"/>
        <v>No</v>
      </c>
      <c r="K3271" s="25" t="str">
        <f t="shared" si="47"/>
        <v/>
      </c>
      <c r="L3271" s="25" t="str">
        <f t="shared" si="48"/>
        <v/>
      </c>
      <c r="M3271" s="25"/>
      <c r="N3271" s="25"/>
      <c r="O3271" s="25"/>
      <c r="P3271" s="25"/>
    </row>
    <row r="3272" ht="15.75" customHeight="1">
      <c r="A3272" s="25" t="str">
        <f>IFERROR(__xludf.DUMMYFUNCTION("IF(B3272="""","""",RIGHT(REGEXREPLACE(B3272&amp;"""",""[^0-9]"",""""),9))"),"775697363")</f>
        <v>775697363</v>
      </c>
      <c r="B3272" s="52">
        <v>7.75697363E8</v>
      </c>
      <c r="C3272" s="28" t="s">
        <v>1907</v>
      </c>
      <c r="D3272" s="26" t="s">
        <v>56</v>
      </c>
      <c r="E3272" s="31">
        <v>46230.0</v>
      </c>
      <c r="F3272" s="26" t="s">
        <v>41</v>
      </c>
      <c r="G3272" s="26">
        <v>11.0</v>
      </c>
      <c r="I3272" s="26" t="s">
        <v>42</v>
      </c>
      <c r="J3272" s="25" t="str">
        <f t="shared" si="46"/>
        <v>Yes - see Previous F-Code</v>
      </c>
      <c r="K3272" s="25" t="str">
        <f t="shared" si="47"/>
        <v>DUPLICATE - CHECK</v>
      </c>
      <c r="L3272" s="25" t="str">
        <f t="shared" si="48"/>
        <v>F71613</v>
      </c>
      <c r="M3272" s="25"/>
      <c r="O3272" s="25"/>
    </row>
    <row r="3273" ht="15.75" customHeight="1">
      <c r="A3273" s="25" t="str">
        <f>IFERROR(__xludf.DUMMYFUNCTION("IF(B3273="""","""",RIGHT(REGEXREPLACE(B3273&amp;"""",""[^0-9]"",""""),9))"),"719538793")</f>
        <v>719538793</v>
      </c>
      <c r="B3273" s="52">
        <v>7.19538793E8</v>
      </c>
      <c r="C3273" s="28" t="s">
        <v>3359</v>
      </c>
      <c r="D3273" s="26" t="s">
        <v>82</v>
      </c>
      <c r="E3273" s="31">
        <v>46230.0</v>
      </c>
      <c r="F3273" s="26" t="s">
        <v>205</v>
      </c>
      <c r="G3273" s="26">
        <v>11.0</v>
      </c>
      <c r="I3273" s="26" t="s">
        <v>42</v>
      </c>
      <c r="J3273" s="25" t="str">
        <f t="shared" si="46"/>
        <v>No</v>
      </c>
      <c r="K3273" s="25" t="str">
        <f t="shared" si="47"/>
        <v/>
      </c>
      <c r="L3273" s="25" t="str">
        <f t="shared" si="48"/>
        <v/>
      </c>
      <c r="M3273" s="25"/>
      <c r="O3273" s="25"/>
    </row>
    <row r="3274" ht="15.75" customHeight="1">
      <c r="A3274" s="25" t="str">
        <f>IFERROR(__xludf.DUMMYFUNCTION("IF(B3274="""","""",RIGHT(REGEXREPLACE(B3274&amp;"""",""[^0-9]"",""""),9))"),"772150465")</f>
        <v>772150465</v>
      </c>
      <c r="B3274" s="26">
        <v>7.72150465E8</v>
      </c>
      <c r="C3274" s="28" t="s">
        <v>3360</v>
      </c>
      <c r="D3274" s="25"/>
      <c r="E3274" s="31">
        <v>46230.0</v>
      </c>
      <c r="F3274" s="25"/>
      <c r="G3274" s="25"/>
      <c r="H3274" s="25"/>
      <c r="I3274" s="26" t="s">
        <v>42</v>
      </c>
      <c r="J3274" s="25" t="str">
        <f t="shared" si="46"/>
        <v>No</v>
      </c>
      <c r="K3274" s="25" t="str">
        <f t="shared" si="47"/>
        <v/>
      </c>
      <c r="L3274" s="25" t="str">
        <f t="shared" si="48"/>
        <v/>
      </c>
      <c r="M3274" s="25"/>
      <c r="N3274" s="25"/>
      <c r="O3274" s="25"/>
      <c r="P3274" s="25"/>
    </row>
    <row r="3275" ht="15.75" customHeight="1">
      <c r="A3275" s="25" t="str">
        <f>IFERROR(__xludf.DUMMYFUNCTION("IF(B3275="""","""",RIGHT(REGEXREPLACE(B3275&amp;"""",""[^0-9]"",""""),9))"),"767113498")</f>
        <v>767113498</v>
      </c>
      <c r="B3275" s="52">
        <v>7.67113498E8</v>
      </c>
      <c r="C3275" s="28" t="s">
        <v>3361</v>
      </c>
      <c r="D3275" s="26" t="s">
        <v>56</v>
      </c>
      <c r="E3275" s="31">
        <v>46230.0</v>
      </c>
      <c r="F3275" s="26" t="s">
        <v>205</v>
      </c>
      <c r="G3275" s="26">
        <v>11.0</v>
      </c>
      <c r="I3275" s="26" t="s">
        <v>42</v>
      </c>
      <c r="J3275" s="25" t="str">
        <f t="shared" si="46"/>
        <v>No</v>
      </c>
      <c r="K3275" s="25" t="str">
        <f t="shared" si="47"/>
        <v/>
      </c>
      <c r="L3275" s="25" t="str">
        <f t="shared" si="48"/>
        <v/>
      </c>
      <c r="M3275" s="25"/>
      <c r="O3275" s="25"/>
    </row>
    <row r="3276" ht="15.75" customHeight="1">
      <c r="A3276" s="25" t="str">
        <f>IFERROR(__xludf.DUMMYFUNCTION("IF(B3276="""","""",RIGHT(REGEXREPLACE(B3276&amp;"""",""[^0-9]"",""""),9))"),"755384893")</f>
        <v>755384893</v>
      </c>
      <c r="B3276" s="52">
        <v>7.55384893E8</v>
      </c>
      <c r="C3276" s="28" t="s">
        <v>3362</v>
      </c>
      <c r="D3276" s="26" t="s">
        <v>69</v>
      </c>
      <c r="E3276" s="31">
        <v>46230.0</v>
      </c>
      <c r="F3276" s="25"/>
      <c r="G3276" s="25"/>
      <c r="H3276" s="25"/>
      <c r="I3276" s="26" t="s">
        <v>42</v>
      </c>
      <c r="J3276" s="25" t="str">
        <f t="shared" si="46"/>
        <v>No</v>
      </c>
      <c r="K3276" s="25" t="str">
        <f t="shared" si="47"/>
        <v/>
      </c>
      <c r="L3276" s="25" t="str">
        <f t="shared" si="48"/>
        <v/>
      </c>
      <c r="M3276" s="25"/>
      <c r="N3276" s="25"/>
      <c r="O3276" s="25"/>
      <c r="P3276" s="25"/>
    </row>
    <row r="3277" ht="15.75" customHeight="1">
      <c r="A3277" s="25" t="str">
        <f>IFERROR(__xludf.DUMMYFUNCTION("IF(B3277="""","""",RIGHT(REGEXREPLACE(B3277&amp;"""",""[^0-9]"",""""),9))"),"767518463")</f>
        <v>767518463</v>
      </c>
      <c r="B3277" s="52">
        <v>7.67518463E8</v>
      </c>
      <c r="C3277" s="28" t="s">
        <v>3363</v>
      </c>
      <c r="D3277" s="26" t="s">
        <v>64</v>
      </c>
      <c r="E3277" s="31">
        <v>46230.0</v>
      </c>
      <c r="F3277" s="26" t="s">
        <v>41</v>
      </c>
      <c r="G3277" s="26">
        <v>11.0</v>
      </c>
      <c r="I3277" s="26" t="s">
        <v>42</v>
      </c>
      <c r="J3277" s="25" t="str">
        <f t="shared" si="46"/>
        <v>No</v>
      </c>
      <c r="K3277" s="25" t="str">
        <f t="shared" si="47"/>
        <v/>
      </c>
      <c r="L3277" s="25" t="str">
        <f t="shared" si="48"/>
        <v/>
      </c>
      <c r="M3277" s="25"/>
      <c r="O3277" s="25"/>
    </row>
    <row r="3278" ht="15.75" customHeight="1">
      <c r="A3278" s="25" t="str">
        <f>IFERROR(__xludf.DUMMYFUNCTION("IF(B3278="""","""",RIGHT(REGEXREPLACE(B3278&amp;"""",""[^0-9]"",""""),9))"),"778027905")</f>
        <v>778027905</v>
      </c>
      <c r="B3278" s="52">
        <v>7.78027905E8</v>
      </c>
      <c r="C3278" s="28" t="s">
        <v>3364</v>
      </c>
      <c r="D3278" s="26" t="s">
        <v>82</v>
      </c>
      <c r="E3278" s="31">
        <v>46230.0</v>
      </c>
      <c r="F3278" s="26" t="s">
        <v>46</v>
      </c>
      <c r="G3278" s="26">
        <v>11.0</v>
      </c>
      <c r="I3278" s="26" t="s">
        <v>42</v>
      </c>
      <c r="J3278" s="25" t="str">
        <f t="shared" si="46"/>
        <v>No</v>
      </c>
      <c r="K3278" s="25" t="str">
        <f t="shared" si="47"/>
        <v/>
      </c>
      <c r="L3278" s="25" t="str">
        <f t="shared" si="48"/>
        <v/>
      </c>
      <c r="M3278" s="25"/>
      <c r="O3278" s="25"/>
    </row>
    <row r="3279" ht="15.75" customHeight="1">
      <c r="A3279" s="25" t="str">
        <f>IFERROR(__xludf.DUMMYFUNCTION("IF(B3279="""","""",RIGHT(REGEXREPLACE(B3279&amp;"""",""[^0-9]"",""""),9))"),"728084584")</f>
        <v>728084584</v>
      </c>
      <c r="B3279" s="52">
        <v>7.28084584E8</v>
      </c>
      <c r="C3279" s="28" t="s">
        <v>3365</v>
      </c>
      <c r="D3279" s="26" t="s">
        <v>45</v>
      </c>
      <c r="E3279" s="31">
        <v>46230.0</v>
      </c>
      <c r="F3279" s="26" t="s">
        <v>46</v>
      </c>
      <c r="G3279" s="26">
        <v>11.0</v>
      </c>
      <c r="I3279" s="26" t="s">
        <v>42</v>
      </c>
      <c r="J3279" s="25" t="str">
        <f t="shared" si="46"/>
        <v>No</v>
      </c>
      <c r="K3279" s="25" t="str">
        <f t="shared" si="47"/>
        <v/>
      </c>
      <c r="L3279" s="25" t="str">
        <f t="shared" si="48"/>
        <v/>
      </c>
      <c r="M3279" s="25"/>
      <c r="O3279" s="25"/>
    </row>
    <row r="3280" ht="15.75" customHeight="1">
      <c r="A3280" s="25" t="str">
        <f>IFERROR(__xludf.DUMMYFUNCTION("IF(B3280="""","""",RIGHT(REGEXREPLACE(B3280&amp;"""",""[^0-9]"",""""),9))"),"778915594")</f>
        <v>778915594</v>
      </c>
      <c r="B3280" s="52">
        <v>7.78915594E8</v>
      </c>
      <c r="C3280" s="28" t="s">
        <v>3366</v>
      </c>
      <c r="D3280" s="26" t="s">
        <v>56</v>
      </c>
      <c r="E3280" s="31">
        <v>46230.0</v>
      </c>
      <c r="F3280" s="26" t="s">
        <v>46</v>
      </c>
      <c r="G3280" s="26">
        <v>11.0</v>
      </c>
      <c r="I3280" s="26" t="s">
        <v>42</v>
      </c>
      <c r="J3280" s="25" t="str">
        <f t="shared" si="46"/>
        <v>No</v>
      </c>
      <c r="K3280" s="25" t="str">
        <f t="shared" si="47"/>
        <v/>
      </c>
      <c r="L3280" s="25" t="str">
        <f t="shared" si="48"/>
        <v/>
      </c>
      <c r="M3280" s="25"/>
      <c r="O3280" s="25"/>
    </row>
    <row r="3281" ht="15.75" customHeight="1">
      <c r="A3281" s="25" t="str">
        <f>IFERROR(__xludf.DUMMYFUNCTION("IF(B3281="""","""",RIGHT(REGEXREPLACE(B3281&amp;"""",""[^0-9]"",""""),9))"),"763905833")</f>
        <v>763905833</v>
      </c>
      <c r="B3281" s="52">
        <v>7.63905833E8</v>
      </c>
      <c r="C3281" s="28" t="s">
        <v>3367</v>
      </c>
      <c r="D3281" s="26" t="s">
        <v>49</v>
      </c>
      <c r="E3281" s="31">
        <v>46230.0</v>
      </c>
      <c r="F3281" s="26" t="s">
        <v>41</v>
      </c>
      <c r="I3281" s="26" t="s">
        <v>42</v>
      </c>
      <c r="J3281" s="25" t="str">
        <f t="shared" si="46"/>
        <v>No</v>
      </c>
      <c r="K3281" s="25" t="str">
        <f t="shared" si="47"/>
        <v/>
      </c>
      <c r="L3281" s="25" t="str">
        <f t="shared" si="48"/>
        <v/>
      </c>
      <c r="M3281" s="25"/>
      <c r="O3281" s="25"/>
    </row>
    <row r="3282" ht="15.75" customHeight="1">
      <c r="A3282" s="25" t="str">
        <f>IFERROR(__xludf.DUMMYFUNCTION("IF(B3282="""","""",RIGHT(REGEXREPLACE(B3282&amp;"""",""[^0-9]"",""""),9))"),"705146804")</f>
        <v>705146804</v>
      </c>
      <c r="B3282" s="52">
        <v>7.05146804E8</v>
      </c>
      <c r="C3282" s="28" t="s">
        <v>3368</v>
      </c>
      <c r="D3282" s="26" t="s">
        <v>64</v>
      </c>
      <c r="E3282" s="31">
        <v>46230.0</v>
      </c>
      <c r="F3282" s="26" t="s">
        <v>46</v>
      </c>
      <c r="G3282" s="26">
        <v>11.0</v>
      </c>
      <c r="I3282" s="26" t="s">
        <v>42</v>
      </c>
      <c r="J3282" s="25" t="str">
        <f t="shared" si="46"/>
        <v>No</v>
      </c>
      <c r="K3282" s="25" t="str">
        <f t="shared" si="47"/>
        <v/>
      </c>
      <c r="L3282" s="25" t="str">
        <f t="shared" si="48"/>
        <v/>
      </c>
      <c r="M3282" s="25"/>
      <c r="O3282" s="25"/>
    </row>
    <row r="3283" ht="15.75" customHeight="1">
      <c r="A3283" s="25" t="str">
        <f>IFERROR(__xludf.DUMMYFUNCTION("IF(B3283="""","""",RIGHT(REGEXREPLACE(B3283&amp;"""",""[^0-9]"",""""),9))"),"773876908")</f>
        <v>773876908</v>
      </c>
      <c r="B3283" s="52">
        <v>7.73876908E8</v>
      </c>
      <c r="C3283" s="28" t="s">
        <v>3369</v>
      </c>
      <c r="D3283" s="26" t="s">
        <v>56</v>
      </c>
      <c r="E3283" s="31">
        <v>46230.0</v>
      </c>
      <c r="F3283" s="26" t="s">
        <v>41</v>
      </c>
      <c r="G3283" s="26">
        <v>11.0</v>
      </c>
      <c r="I3283" s="26" t="s">
        <v>42</v>
      </c>
      <c r="J3283" s="25" t="str">
        <f t="shared" si="46"/>
        <v>No</v>
      </c>
      <c r="K3283" s="25" t="str">
        <f t="shared" si="47"/>
        <v/>
      </c>
      <c r="L3283" s="25" t="str">
        <f t="shared" si="48"/>
        <v/>
      </c>
      <c r="M3283" s="25"/>
      <c r="O3283" s="25"/>
    </row>
    <row r="3284" ht="15.75" customHeight="1">
      <c r="A3284" s="25" t="str">
        <f>IFERROR(__xludf.DUMMYFUNCTION("IF(B3284="""","""",RIGHT(REGEXREPLACE(B3284&amp;"""",""[^0-9]"",""""),9))"),"719209024")</f>
        <v>719209024</v>
      </c>
      <c r="B3284" s="52">
        <v>7.19209024E8</v>
      </c>
      <c r="C3284" s="28" t="s">
        <v>3370</v>
      </c>
      <c r="D3284" s="26" t="s">
        <v>82</v>
      </c>
      <c r="E3284" s="31">
        <v>46230.0</v>
      </c>
      <c r="F3284" s="26" t="s">
        <v>704</v>
      </c>
      <c r="I3284" s="26" t="s">
        <v>42</v>
      </c>
      <c r="J3284" s="25" t="str">
        <f t="shared" si="46"/>
        <v>No</v>
      </c>
      <c r="K3284" s="25" t="str">
        <f t="shared" si="47"/>
        <v/>
      </c>
      <c r="L3284" s="25" t="str">
        <f t="shared" si="48"/>
        <v/>
      </c>
      <c r="M3284" s="25"/>
      <c r="O3284" s="25"/>
    </row>
    <row r="3285" ht="15.75" customHeight="1">
      <c r="A3285" s="25" t="str">
        <f>IFERROR(__xludf.DUMMYFUNCTION("IF(B3285="""","""",RIGHT(REGEXREPLACE(B3285&amp;"""",""[^0-9]"",""""),9))"),"770656885")</f>
        <v>770656885</v>
      </c>
      <c r="B3285" s="52">
        <v>7.70656885E8</v>
      </c>
      <c r="C3285" s="28" t="s">
        <v>3371</v>
      </c>
      <c r="D3285" s="26" t="s">
        <v>45</v>
      </c>
      <c r="E3285" s="31">
        <v>46230.0</v>
      </c>
      <c r="F3285" s="26" t="s">
        <v>46</v>
      </c>
      <c r="G3285" s="26">
        <v>11.0</v>
      </c>
      <c r="I3285" s="26" t="s">
        <v>42</v>
      </c>
      <c r="J3285" s="25" t="str">
        <f t="shared" si="46"/>
        <v>No</v>
      </c>
      <c r="K3285" s="25" t="str">
        <f t="shared" si="47"/>
        <v/>
      </c>
      <c r="L3285" s="25" t="str">
        <f t="shared" si="48"/>
        <v/>
      </c>
      <c r="M3285" s="25"/>
      <c r="O3285" s="25"/>
    </row>
    <row r="3286" ht="15.75" customHeight="1">
      <c r="A3286" s="25" t="str">
        <f>IFERROR(__xludf.DUMMYFUNCTION("IF(B3286="""","""",RIGHT(REGEXREPLACE(B3286&amp;"""",""[^0-9]"",""""),9))"),"788609397")</f>
        <v>788609397</v>
      </c>
      <c r="B3286" s="52">
        <v>7.88609397E8</v>
      </c>
      <c r="C3286" s="28" t="s">
        <v>3372</v>
      </c>
      <c r="D3286" s="26" t="s">
        <v>49</v>
      </c>
      <c r="E3286" s="31">
        <v>46230.0</v>
      </c>
      <c r="F3286" s="26" t="s">
        <v>205</v>
      </c>
      <c r="I3286" s="26" t="s">
        <v>42</v>
      </c>
      <c r="J3286" s="25" t="str">
        <f t="shared" si="46"/>
        <v>No</v>
      </c>
      <c r="K3286" s="25" t="str">
        <f t="shared" si="47"/>
        <v/>
      </c>
      <c r="L3286" s="25" t="str">
        <f t="shared" si="48"/>
        <v/>
      </c>
      <c r="M3286" s="25"/>
      <c r="O3286" s="25"/>
    </row>
    <row r="3287" ht="15.75" customHeight="1">
      <c r="A3287" s="25" t="str">
        <f>IFERROR(__xludf.DUMMYFUNCTION("IF(B3287="""","""",RIGHT(REGEXREPLACE(B3287&amp;"""",""[^0-9]"",""""),9))"),"741170651")</f>
        <v>741170651</v>
      </c>
      <c r="B3287" s="52">
        <v>7.41170651E8</v>
      </c>
      <c r="C3287" s="28" t="s">
        <v>3373</v>
      </c>
      <c r="D3287" s="26" t="s">
        <v>64</v>
      </c>
      <c r="E3287" s="31">
        <v>46230.0</v>
      </c>
      <c r="F3287" s="26" t="s">
        <v>46</v>
      </c>
      <c r="G3287" s="26">
        <v>11.0</v>
      </c>
      <c r="I3287" s="26" t="s">
        <v>42</v>
      </c>
      <c r="J3287" s="25" t="str">
        <f t="shared" si="46"/>
        <v>No</v>
      </c>
      <c r="K3287" s="25" t="str">
        <f t="shared" si="47"/>
        <v/>
      </c>
      <c r="L3287" s="25" t="str">
        <f t="shared" si="48"/>
        <v/>
      </c>
      <c r="M3287" s="25"/>
      <c r="O3287" s="25"/>
    </row>
    <row r="3288" ht="15.75" customHeight="1">
      <c r="A3288" s="25" t="str">
        <f>IFERROR(__xludf.DUMMYFUNCTION("IF(B3288="""","""",RIGHT(REGEXREPLACE(B3288&amp;"""",""[^0-9]"",""""),9))"),"711974066")</f>
        <v>711974066</v>
      </c>
      <c r="B3288" s="52">
        <v>7.11974066E8</v>
      </c>
      <c r="C3288" s="28" t="s">
        <v>3374</v>
      </c>
      <c r="D3288" s="26" t="s">
        <v>49</v>
      </c>
      <c r="E3288" s="31">
        <v>46230.0</v>
      </c>
      <c r="F3288" s="26" t="s">
        <v>46</v>
      </c>
      <c r="G3288" s="26">
        <v>11.0</v>
      </c>
      <c r="I3288" s="26" t="s">
        <v>42</v>
      </c>
      <c r="J3288" s="25" t="str">
        <f t="shared" si="46"/>
        <v>No</v>
      </c>
      <c r="K3288" s="25" t="str">
        <f t="shared" si="47"/>
        <v/>
      </c>
      <c r="L3288" s="25" t="str">
        <f t="shared" si="48"/>
        <v/>
      </c>
      <c r="M3288" s="25"/>
      <c r="O3288" s="25"/>
    </row>
    <row r="3289" ht="15.75" customHeight="1">
      <c r="A3289" s="25" t="str">
        <f>IFERROR(__xludf.DUMMYFUNCTION("IF(B3289="""","""",RIGHT(REGEXREPLACE(B3289&amp;"""",""[^0-9]"",""""),9))"),"775447688")</f>
        <v>775447688</v>
      </c>
      <c r="B3289" s="52">
        <v>7.75447688E8</v>
      </c>
      <c r="C3289" s="28" t="s">
        <v>3375</v>
      </c>
      <c r="D3289" s="26" t="s">
        <v>56</v>
      </c>
      <c r="E3289" s="31">
        <v>46230.0</v>
      </c>
      <c r="F3289" s="26" t="s">
        <v>46</v>
      </c>
      <c r="G3289" s="26">
        <v>11.0</v>
      </c>
      <c r="I3289" s="26" t="s">
        <v>42</v>
      </c>
      <c r="J3289" s="25" t="str">
        <f t="shared" si="46"/>
        <v>No</v>
      </c>
      <c r="K3289" s="25" t="str">
        <f t="shared" si="47"/>
        <v/>
      </c>
      <c r="L3289" s="25" t="str">
        <f t="shared" si="48"/>
        <v/>
      </c>
      <c r="M3289" s="25"/>
      <c r="O3289" s="25"/>
    </row>
    <row r="3290" ht="15.75" customHeight="1">
      <c r="A3290" s="25" t="str">
        <f>IFERROR(__xludf.DUMMYFUNCTION("IF(B3290="""","""",RIGHT(REGEXREPLACE(B3290&amp;"""",""[^0-9]"",""""),9))"),"772666253")</f>
        <v>772666253</v>
      </c>
      <c r="B3290" s="52">
        <v>7.72666253E8</v>
      </c>
      <c r="C3290" s="28" t="s">
        <v>3376</v>
      </c>
      <c r="D3290" s="26" t="s">
        <v>82</v>
      </c>
      <c r="E3290" s="31">
        <v>46230.0</v>
      </c>
      <c r="F3290" s="26" t="s">
        <v>41</v>
      </c>
      <c r="I3290" s="26" t="s">
        <v>42</v>
      </c>
      <c r="J3290" s="25" t="str">
        <f t="shared" si="46"/>
        <v>No</v>
      </c>
      <c r="K3290" s="25" t="str">
        <f t="shared" si="47"/>
        <v/>
      </c>
      <c r="L3290" s="25" t="str">
        <f t="shared" si="48"/>
        <v/>
      </c>
      <c r="M3290" s="25"/>
      <c r="O3290" s="25"/>
    </row>
    <row r="3291" ht="15.75" customHeight="1">
      <c r="A3291" s="25" t="str">
        <f>IFERROR(__xludf.DUMMYFUNCTION("IF(B3291="""","""",RIGHT(REGEXREPLACE(B3291&amp;"""",""[^0-9]"",""""),9))"),"762817965")</f>
        <v>762817965</v>
      </c>
      <c r="B3291" s="52">
        <v>7.62817965E8</v>
      </c>
      <c r="C3291" s="28" t="s">
        <v>3377</v>
      </c>
      <c r="D3291" s="26" t="s">
        <v>64</v>
      </c>
      <c r="E3291" s="31">
        <v>46230.0</v>
      </c>
      <c r="F3291" s="26" t="s">
        <v>46</v>
      </c>
      <c r="G3291" s="26">
        <v>10.0</v>
      </c>
      <c r="I3291" s="26" t="s">
        <v>42</v>
      </c>
      <c r="J3291" s="25" t="str">
        <f t="shared" si="46"/>
        <v>No</v>
      </c>
      <c r="K3291" s="25" t="str">
        <f t="shared" si="47"/>
        <v/>
      </c>
      <c r="L3291" s="25" t="str">
        <f t="shared" si="48"/>
        <v/>
      </c>
      <c r="M3291" s="25"/>
      <c r="O3291" s="25"/>
    </row>
    <row r="3292" ht="15.75" customHeight="1">
      <c r="A3292" s="25" t="str">
        <f>IFERROR(__xludf.DUMMYFUNCTION("IF(B3292="""","""",RIGHT(REGEXREPLACE(B3292&amp;"""",""[^0-9]"",""""),9))"),"762992258")</f>
        <v>762992258</v>
      </c>
      <c r="B3292" s="52">
        <v>7.62992258E8</v>
      </c>
      <c r="C3292" s="28" t="s">
        <v>3378</v>
      </c>
      <c r="D3292" s="26" t="s">
        <v>56</v>
      </c>
      <c r="E3292" s="31">
        <v>46230.0</v>
      </c>
      <c r="F3292" s="26" t="s">
        <v>46</v>
      </c>
      <c r="G3292" s="26">
        <v>11.0</v>
      </c>
      <c r="I3292" s="26" t="s">
        <v>42</v>
      </c>
      <c r="J3292" s="25" t="str">
        <f t="shared" si="46"/>
        <v>No</v>
      </c>
      <c r="K3292" s="25" t="str">
        <f t="shared" si="47"/>
        <v/>
      </c>
      <c r="L3292" s="25" t="str">
        <f t="shared" si="48"/>
        <v/>
      </c>
      <c r="M3292" s="25"/>
      <c r="O3292" s="25"/>
    </row>
    <row r="3293" ht="15.75" customHeight="1">
      <c r="A3293" s="25" t="str">
        <f>IFERROR(__xludf.DUMMYFUNCTION("IF(B3293="""","""",RIGHT(REGEXREPLACE(B3293&amp;"""",""[^0-9]"",""""),9))"),"743924758")</f>
        <v>743924758</v>
      </c>
      <c r="B3293" s="52">
        <v>7.43924758E8</v>
      </c>
      <c r="C3293" s="28" t="s">
        <v>3379</v>
      </c>
      <c r="D3293" s="26" t="s">
        <v>49</v>
      </c>
      <c r="E3293" s="31">
        <v>46230.0</v>
      </c>
      <c r="F3293" s="26" t="s">
        <v>46</v>
      </c>
      <c r="G3293" s="26">
        <v>11.0</v>
      </c>
      <c r="I3293" s="26" t="s">
        <v>42</v>
      </c>
      <c r="J3293" s="25" t="str">
        <f t="shared" si="46"/>
        <v>No</v>
      </c>
      <c r="K3293" s="25" t="str">
        <f t="shared" si="47"/>
        <v/>
      </c>
      <c r="L3293" s="25" t="str">
        <f t="shared" si="48"/>
        <v/>
      </c>
      <c r="M3293" s="25"/>
      <c r="O3293" s="25"/>
    </row>
    <row r="3294" ht="15.75" customHeight="1">
      <c r="A3294" s="25" t="str">
        <f>IFERROR(__xludf.DUMMYFUNCTION("IF(B3294="""","""",RIGHT(REGEXREPLACE(B3294&amp;"""",""[^0-9]"",""""),9))"),"772202518")</f>
        <v>772202518</v>
      </c>
      <c r="B3294" s="52">
        <v>7.72202518E8</v>
      </c>
      <c r="C3294" s="28" t="s">
        <v>3380</v>
      </c>
      <c r="D3294" s="26" t="s">
        <v>45</v>
      </c>
      <c r="E3294" s="31">
        <v>46230.0</v>
      </c>
      <c r="F3294" s="26" t="s">
        <v>659</v>
      </c>
      <c r="I3294" s="26" t="s">
        <v>42</v>
      </c>
      <c r="J3294" s="25" t="str">
        <f t="shared" si="46"/>
        <v>No</v>
      </c>
      <c r="K3294" s="25" t="str">
        <f t="shared" si="47"/>
        <v/>
      </c>
      <c r="L3294" s="25" t="str">
        <f t="shared" si="48"/>
        <v/>
      </c>
      <c r="M3294" s="25"/>
      <c r="O3294" s="25"/>
    </row>
    <row r="3295" ht="15.75" customHeight="1">
      <c r="A3295" s="25" t="str">
        <f>IFERROR(__xludf.DUMMYFUNCTION("IF(B3295="""","""",RIGHT(REGEXREPLACE(B3295&amp;"""",""[^0-9]"",""""),9))"),"774327917")</f>
        <v>774327917</v>
      </c>
      <c r="B3295" s="52">
        <v>7.74327917E8</v>
      </c>
      <c r="C3295" s="28" t="s">
        <v>3381</v>
      </c>
      <c r="D3295" s="26" t="s">
        <v>45</v>
      </c>
      <c r="E3295" s="31">
        <v>46230.0</v>
      </c>
      <c r="F3295" s="26" t="s">
        <v>46</v>
      </c>
      <c r="G3295" s="26">
        <v>11.0</v>
      </c>
      <c r="I3295" s="26" t="s">
        <v>42</v>
      </c>
      <c r="J3295" s="25" t="str">
        <f t="shared" si="46"/>
        <v>No</v>
      </c>
      <c r="K3295" s="25" t="str">
        <f t="shared" si="47"/>
        <v/>
      </c>
      <c r="L3295" s="25" t="str">
        <f t="shared" si="48"/>
        <v/>
      </c>
      <c r="M3295" s="25"/>
      <c r="O3295" s="25"/>
    </row>
    <row r="3296" ht="15.75" customHeight="1">
      <c r="A3296" s="25" t="str">
        <f>IFERROR(__xludf.DUMMYFUNCTION("IF(B3296="""","""",RIGHT(REGEXREPLACE(B3296&amp;"""",""[^0-9]"",""""),9))"),"711953235")</f>
        <v>711953235</v>
      </c>
      <c r="B3296" s="52">
        <v>7.11953235E8</v>
      </c>
      <c r="C3296" s="28" t="s">
        <v>3382</v>
      </c>
      <c r="D3296" s="26" t="s">
        <v>82</v>
      </c>
      <c r="E3296" s="31">
        <v>46230.0</v>
      </c>
      <c r="F3296" s="25"/>
      <c r="G3296" s="25"/>
      <c r="H3296" s="25"/>
      <c r="I3296" s="26" t="s">
        <v>42</v>
      </c>
      <c r="J3296" s="25" t="str">
        <f t="shared" si="46"/>
        <v>No</v>
      </c>
      <c r="K3296" s="25" t="str">
        <f t="shared" si="47"/>
        <v/>
      </c>
      <c r="L3296" s="25" t="str">
        <f t="shared" si="48"/>
        <v/>
      </c>
      <c r="M3296" s="25"/>
      <c r="N3296" s="25"/>
      <c r="O3296" s="25"/>
      <c r="P3296" s="25"/>
    </row>
    <row r="3297" ht="15.75" customHeight="1">
      <c r="A3297" s="25" t="str">
        <f>IFERROR(__xludf.DUMMYFUNCTION("IF(B3297="""","""",RIGHT(REGEXREPLACE(B3297&amp;"""",""[^0-9]"",""""),9))"),"781966009")</f>
        <v>781966009</v>
      </c>
      <c r="B3297" s="52">
        <v>7.81966009E8</v>
      </c>
      <c r="C3297" s="28" t="s">
        <v>3383</v>
      </c>
      <c r="D3297" s="26" t="s">
        <v>64</v>
      </c>
      <c r="E3297" s="31">
        <v>46230.0</v>
      </c>
      <c r="F3297" s="26" t="s">
        <v>41</v>
      </c>
      <c r="I3297" s="26" t="s">
        <v>42</v>
      </c>
      <c r="J3297" s="25" t="str">
        <f t="shared" si="46"/>
        <v>No</v>
      </c>
      <c r="K3297" s="25" t="str">
        <f t="shared" si="47"/>
        <v/>
      </c>
      <c r="L3297" s="25" t="str">
        <f t="shared" si="48"/>
        <v/>
      </c>
      <c r="M3297" s="25"/>
      <c r="O3297" s="25"/>
    </row>
    <row r="3298" ht="15.75" customHeight="1">
      <c r="A3298" s="25" t="str">
        <f>IFERROR(__xludf.DUMMYFUNCTION("IF(B3298="""","""",RIGHT(REGEXREPLACE(B3298&amp;"""",""[^0-9]"",""""),9))"),"777358838")</f>
        <v>777358838</v>
      </c>
      <c r="B3298" s="52">
        <v>7.77358838E8</v>
      </c>
      <c r="C3298" s="28" t="s">
        <v>3384</v>
      </c>
      <c r="D3298" s="26" t="s">
        <v>49</v>
      </c>
      <c r="E3298" s="31">
        <v>46230.0</v>
      </c>
      <c r="F3298" s="26" t="s">
        <v>41</v>
      </c>
      <c r="I3298" s="26" t="s">
        <v>42</v>
      </c>
      <c r="J3298" s="25" t="str">
        <f t="shared" si="46"/>
        <v>No</v>
      </c>
      <c r="K3298" s="25" t="str">
        <f t="shared" si="47"/>
        <v/>
      </c>
      <c r="L3298" s="25" t="str">
        <f t="shared" si="48"/>
        <v/>
      </c>
      <c r="M3298" s="25"/>
      <c r="O3298" s="25"/>
    </row>
    <row r="3299" ht="15.75" customHeight="1">
      <c r="A3299" s="25" t="str">
        <f>IFERROR(__xludf.DUMMYFUNCTION("IF(B3299="""","""",RIGHT(REGEXREPLACE(B3299&amp;"""",""[^0-9]"",""""),9))"),"775697363")</f>
        <v>775697363</v>
      </c>
      <c r="B3299" s="52">
        <v>7.75697363E8</v>
      </c>
      <c r="C3299" s="28" t="s">
        <v>1907</v>
      </c>
      <c r="D3299" s="26" t="s">
        <v>64</v>
      </c>
      <c r="E3299" s="31">
        <v>46230.0</v>
      </c>
      <c r="F3299" s="26" t="s">
        <v>41</v>
      </c>
      <c r="G3299" s="26">
        <v>11.0</v>
      </c>
      <c r="I3299" s="26" t="s">
        <v>42</v>
      </c>
      <c r="J3299" s="25" t="str">
        <f t="shared" si="46"/>
        <v>Yes - see Previous F-Code</v>
      </c>
      <c r="K3299" s="25" t="str">
        <f t="shared" si="47"/>
        <v>DUPLICATE - CHECK</v>
      </c>
      <c r="L3299" s="25" t="str">
        <f t="shared" si="48"/>
        <v>F71613</v>
      </c>
      <c r="M3299" s="25"/>
      <c r="O3299" s="25"/>
    </row>
    <row r="3300" ht="15.75" customHeight="1">
      <c r="A3300" s="25" t="str">
        <f>IFERROR(__xludf.DUMMYFUNCTION("IF(B3300="""","""",RIGHT(REGEXREPLACE(B3300&amp;"""",""[^0-9]"",""""),9))"),"773638642")</f>
        <v>773638642</v>
      </c>
      <c r="B3300" s="52">
        <v>7.73638642E8</v>
      </c>
      <c r="C3300" s="28" t="s">
        <v>3385</v>
      </c>
      <c r="D3300" s="26" t="s">
        <v>56</v>
      </c>
      <c r="E3300" s="31">
        <v>46230.0</v>
      </c>
      <c r="F3300" s="26" t="s">
        <v>46</v>
      </c>
      <c r="G3300" s="26">
        <v>11.0</v>
      </c>
      <c r="I3300" s="26" t="s">
        <v>42</v>
      </c>
      <c r="J3300" s="25" t="str">
        <f t="shared" si="46"/>
        <v>No</v>
      </c>
      <c r="K3300" s="25" t="str">
        <f t="shared" si="47"/>
        <v/>
      </c>
      <c r="L3300" s="25" t="str">
        <f t="shared" si="48"/>
        <v/>
      </c>
      <c r="M3300" s="25"/>
      <c r="O3300" s="25"/>
    </row>
    <row r="3301" ht="15.75" customHeight="1">
      <c r="A3301" s="25" t="str">
        <f>IFERROR(__xludf.DUMMYFUNCTION("IF(B3301="""","""",RIGHT(REGEXREPLACE(B3301&amp;"""",""[^0-9]"",""""),9))"),"717362797")</f>
        <v>717362797</v>
      </c>
      <c r="B3301" s="52">
        <v>7.17362797E8</v>
      </c>
      <c r="C3301" s="28" t="s">
        <v>3386</v>
      </c>
      <c r="D3301" s="26" t="s">
        <v>49</v>
      </c>
      <c r="E3301" s="31">
        <v>46230.0</v>
      </c>
      <c r="F3301" s="26" t="s">
        <v>46</v>
      </c>
      <c r="G3301" s="26">
        <v>11.0</v>
      </c>
      <c r="I3301" s="26" t="s">
        <v>42</v>
      </c>
      <c r="J3301" s="25" t="str">
        <f t="shared" si="46"/>
        <v>No</v>
      </c>
      <c r="K3301" s="25" t="str">
        <f t="shared" si="47"/>
        <v/>
      </c>
      <c r="L3301" s="25" t="str">
        <f t="shared" si="48"/>
        <v/>
      </c>
      <c r="M3301" s="25"/>
      <c r="O3301" s="25"/>
    </row>
    <row r="3302" ht="15.75" customHeight="1">
      <c r="A3302" s="25" t="str">
        <f>IFERROR(__xludf.DUMMYFUNCTION("IF(B3302="""","""",RIGHT(REGEXREPLACE(B3302&amp;"""",""[^0-9]"",""""),9))"),"779646998")</f>
        <v>779646998</v>
      </c>
      <c r="B3302" s="52">
        <v>7.79646998E8</v>
      </c>
      <c r="C3302" s="28" t="s">
        <v>3387</v>
      </c>
      <c r="D3302" s="26" t="s">
        <v>82</v>
      </c>
      <c r="E3302" s="31">
        <v>46230.0</v>
      </c>
      <c r="F3302" s="26" t="s">
        <v>41</v>
      </c>
      <c r="I3302" s="26" t="s">
        <v>42</v>
      </c>
      <c r="J3302" s="25" t="str">
        <f t="shared" si="46"/>
        <v>No</v>
      </c>
      <c r="K3302" s="25" t="str">
        <f t="shared" si="47"/>
        <v/>
      </c>
      <c r="L3302" s="25" t="str">
        <f t="shared" si="48"/>
        <v/>
      </c>
      <c r="M3302" s="25"/>
      <c r="O3302" s="25"/>
    </row>
    <row r="3303" ht="15.75" customHeight="1">
      <c r="A3303" s="25" t="str">
        <f>IFERROR(__xludf.DUMMYFUNCTION("IF(B3303="""","""",RIGHT(REGEXREPLACE(B3303&amp;"""",""[^0-9]"",""""),9))"),"778455685")</f>
        <v>778455685</v>
      </c>
      <c r="B3303" s="52">
        <v>7.78455685E8</v>
      </c>
      <c r="C3303" s="28" t="s">
        <v>3388</v>
      </c>
      <c r="D3303" s="26" t="s">
        <v>82</v>
      </c>
      <c r="E3303" s="31">
        <v>46230.0</v>
      </c>
      <c r="F3303" s="26" t="s">
        <v>659</v>
      </c>
      <c r="I3303" s="26" t="s">
        <v>42</v>
      </c>
      <c r="J3303" s="25" t="str">
        <f t="shared" si="46"/>
        <v>No</v>
      </c>
      <c r="K3303" s="25" t="str">
        <f t="shared" si="47"/>
        <v/>
      </c>
      <c r="L3303" s="25" t="str">
        <f t="shared" si="48"/>
        <v/>
      </c>
      <c r="M3303" s="25"/>
      <c r="O3303" s="25"/>
    </row>
    <row r="3304" ht="15.75" customHeight="1">
      <c r="A3304" s="25" t="str">
        <f>IFERROR(__xludf.DUMMYFUNCTION("IF(B3304="""","""",RIGHT(REGEXREPLACE(B3304&amp;"""",""[^0-9]"",""""),9))"),"714296767")</f>
        <v>714296767</v>
      </c>
      <c r="B3304" s="52">
        <v>7.14296767E8</v>
      </c>
      <c r="C3304" s="28" t="s">
        <v>3389</v>
      </c>
      <c r="D3304" s="26" t="s">
        <v>64</v>
      </c>
      <c r="E3304" s="31">
        <v>46230.0</v>
      </c>
      <c r="F3304" s="26" t="s">
        <v>659</v>
      </c>
      <c r="I3304" s="26" t="s">
        <v>42</v>
      </c>
      <c r="J3304" s="25" t="str">
        <f t="shared" si="46"/>
        <v>No</v>
      </c>
      <c r="K3304" s="25" t="str">
        <f t="shared" si="47"/>
        <v/>
      </c>
      <c r="L3304" s="25" t="str">
        <f t="shared" si="48"/>
        <v/>
      </c>
      <c r="M3304" s="25"/>
      <c r="O3304" s="25"/>
    </row>
    <row r="3305" ht="15.75" customHeight="1">
      <c r="A3305" s="25" t="str">
        <f>IFERROR(__xludf.DUMMYFUNCTION("IF(B3305="""","""",RIGHT(REGEXREPLACE(B3305&amp;"""",""[^0-9]"",""""),9))"),"766392330")</f>
        <v>766392330</v>
      </c>
      <c r="B3305" s="52">
        <v>7.6639233E8</v>
      </c>
      <c r="C3305" s="28" t="s">
        <v>3390</v>
      </c>
      <c r="D3305" s="26" t="s">
        <v>82</v>
      </c>
      <c r="E3305" s="31">
        <v>46230.0</v>
      </c>
      <c r="F3305" s="26" t="s">
        <v>704</v>
      </c>
      <c r="I3305" s="26" t="s">
        <v>42</v>
      </c>
      <c r="J3305" s="25" t="str">
        <f t="shared" si="46"/>
        <v>No</v>
      </c>
      <c r="K3305" s="25" t="str">
        <f t="shared" si="47"/>
        <v/>
      </c>
      <c r="L3305" s="25" t="str">
        <f t="shared" si="48"/>
        <v/>
      </c>
      <c r="M3305" s="25"/>
      <c r="O3305" s="25"/>
    </row>
    <row r="3306" ht="15.75" customHeight="1">
      <c r="A3306" s="25" t="str">
        <f>IFERROR(__xludf.DUMMYFUNCTION("IF(B3306="""","""",RIGHT(REGEXREPLACE(B3306&amp;"""",""[^0-9]"",""""),9))"),"705193947")</f>
        <v>705193947</v>
      </c>
      <c r="B3306" s="52">
        <v>7.05193947E8</v>
      </c>
      <c r="C3306" s="28" t="s">
        <v>3391</v>
      </c>
      <c r="D3306" s="26" t="s">
        <v>56</v>
      </c>
      <c r="E3306" s="31">
        <v>46230.0</v>
      </c>
      <c r="F3306" s="26" t="s">
        <v>205</v>
      </c>
      <c r="G3306" s="26">
        <v>11.0</v>
      </c>
      <c r="I3306" s="26" t="s">
        <v>42</v>
      </c>
      <c r="J3306" s="25" t="str">
        <f t="shared" si="46"/>
        <v>No</v>
      </c>
      <c r="K3306" s="25" t="str">
        <f t="shared" si="47"/>
        <v/>
      </c>
      <c r="L3306" s="25" t="str">
        <f t="shared" si="48"/>
        <v/>
      </c>
      <c r="M3306" s="25"/>
      <c r="O3306" s="25"/>
    </row>
    <row r="3307" ht="15.75" customHeight="1">
      <c r="A3307" s="25" t="str">
        <f>IFERROR(__xludf.DUMMYFUNCTION("IF(B3307="""","""",RIGHT(REGEXREPLACE(B3307&amp;"""",""[^0-9]"",""""),9))"),"773421430")</f>
        <v>773421430</v>
      </c>
      <c r="B3307" s="52">
        <v>7.7342143E8</v>
      </c>
      <c r="C3307" s="28" t="s">
        <v>3392</v>
      </c>
      <c r="D3307" s="26" t="s">
        <v>49</v>
      </c>
      <c r="E3307" s="31">
        <v>46230.0</v>
      </c>
      <c r="F3307" s="26" t="s">
        <v>46</v>
      </c>
      <c r="G3307" s="26">
        <v>11.0</v>
      </c>
      <c r="I3307" s="26" t="s">
        <v>42</v>
      </c>
      <c r="J3307" s="25" t="str">
        <f t="shared" si="46"/>
        <v>No</v>
      </c>
      <c r="K3307" s="25" t="str">
        <f t="shared" si="47"/>
        <v/>
      </c>
      <c r="L3307" s="25" t="str">
        <f t="shared" si="48"/>
        <v/>
      </c>
      <c r="M3307" s="25"/>
      <c r="O3307" s="25"/>
    </row>
    <row r="3308" ht="15.75" customHeight="1">
      <c r="A3308" s="25" t="str">
        <f>IFERROR(__xludf.DUMMYFUNCTION("IF(B3308="""","""",RIGHT(REGEXREPLACE(B3308&amp;"""",""[^0-9]"",""""),9))"),"725417443")</f>
        <v>725417443</v>
      </c>
      <c r="B3308" s="52">
        <v>7.25417443E8</v>
      </c>
      <c r="C3308" s="28" t="s">
        <v>3393</v>
      </c>
      <c r="D3308" s="26" t="s">
        <v>45</v>
      </c>
      <c r="E3308" s="31">
        <v>46230.0</v>
      </c>
      <c r="F3308" s="26" t="s">
        <v>46</v>
      </c>
      <c r="G3308" s="26">
        <v>11.0</v>
      </c>
      <c r="I3308" s="26" t="s">
        <v>42</v>
      </c>
      <c r="J3308" s="25" t="str">
        <f t="shared" si="46"/>
        <v>No</v>
      </c>
      <c r="K3308" s="25" t="str">
        <f t="shared" si="47"/>
        <v/>
      </c>
      <c r="L3308" s="25" t="str">
        <f t="shared" si="48"/>
        <v/>
      </c>
      <c r="M3308" s="25"/>
      <c r="O3308" s="25"/>
    </row>
    <row r="3309" ht="15.75" customHeight="1">
      <c r="A3309" s="25" t="str">
        <f>IFERROR(__xludf.DUMMYFUNCTION("IF(B3309="""","""",RIGHT(REGEXREPLACE(B3309&amp;"""",""[^0-9]"",""""),9))"),"778860154")</f>
        <v>778860154</v>
      </c>
      <c r="B3309" s="52">
        <v>7.78860154E8</v>
      </c>
      <c r="C3309" s="28" t="s">
        <v>3394</v>
      </c>
      <c r="D3309" s="26" t="s">
        <v>56</v>
      </c>
      <c r="E3309" s="31">
        <v>46230.0</v>
      </c>
      <c r="F3309" s="26" t="s">
        <v>205</v>
      </c>
      <c r="G3309" s="26">
        <v>11.0</v>
      </c>
      <c r="I3309" s="26" t="s">
        <v>42</v>
      </c>
      <c r="J3309" s="25" t="str">
        <f t="shared" si="46"/>
        <v>No</v>
      </c>
      <c r="K3309" s="25" t="str">
        <f t="shared" si="47"/>
        <v/>
      </c>
      <c r="L3309" s="25" t="str">
        <f t="shared" si="48"/>
        <v/>
      </c>
      <c r="M3309" s="25"/>
      <c r="O3309" s="25"/>
    </row>
    <row r="3310" ht="15.75" customHeight="1">
      <c r="A3310" s="25" t="str">
        <f>IFERROR(__xludf.DUMMYFUNCTION("IF(B3310="""","""",RIGHT(REGEXREPLACE(B3310&amp;"""",""[^0-9]"",""""),9))"),"713210297")</f>
        <v>713210297</v>
      </c>
      <c r="B3310" s="52">
        <v>7.13210297E8</v>
      </c>
      <c r="C3310" s="28" t="s">
        <v>3395</v>
      </c>
      <c r="D3310" s="26" t="s">
        <v>49</v>
      </c>
      <c r="E3310" s="31">
        <v>46230.0</v>
      </c>
      <c r="F3310" s="26" t="s">
        <v>205</v>
      </c>
      <c r="G3310" s="26">
        <v>11.0</v>
      </c>
      <c r="I3310" s="26" t="s">
        <v>42</v>
      </c>
      <c r="J3310" s="25" t="str">
        <f t="shared" si="46"/>
        <v>No</v>
      </c>
      <c r="K3310" s="25" t="str">
        <f t="shared" si="47"/>
        <v/>
      </c>
      <c r="L3310" s="25" t="str">
        <f t="shared" si="48"/>
        <v/>
      </c>
      <c r="M3310" s="25"/>
      <c r="O3310" s="25"/>
    </row>
    <row r="3311" ht="15.75" customHeight="1">
      <c r="A3311" s="25" t="str">
        <f>IFERROR(__xludf.DUMMYFUNCTION("IF(B3311="""","""",RIGHT(REGEXREPLACE(B3311&amp;"""",""[^0-9]"",""""),9))"),"765346310")</f>
        <v>765346310</v>
      </c>
      <c r="B3311" s="52">
        <v>7.6534631E8</v>
      </c>
      <c r="C3311" s="28" t="s">
        <v>3396</v>
      </c>
      <c r="D3311" s="26" t="s">
        <v>45</v>
      </c>
      <c r="E3311" s="31">
        <v>46230.0</v>
      </c>
      <c r="F3311" s="26" t="s">
        <v>46</v>
      </c>
      <c r="G3311" s="26">
        <v>11.0</v>
      </c>
      <c r="H3311" s="26" t="s">
        <v>3397</v>
      </c>
      <c r="I3311" s="26" t="s">
        <v>42</v>
      </c>
      <c r="J3311" s="25" t="str">
        <f t="shared" si="46"/>
        <v>No</v>
      </c>
      <c r="K3311" s="25" t="str">
        <f t="shared" si="47"/>
        <v/>
      </c>
      <c r="L3311" s="25" t="str">
        <f t="shared" si="48"/>
        <v/>
      </c>
      <c r="M3311" s="25"/>
      <c r="O3311" s="25"/>
    </row>
    <row r="3312" ht="15.75" customHeight="1">
      <c r="A3312" s="25" t="str">
        <f>IFERROR(__xludf.DUMMYFUNCTION("IF(B3312="""","""",RIGHT(REGEXREPLACE(B3312&amp;"""",""[^0-9]"",""""),9))"),"711126215")</f>
        <v>711126215</v>
      </c>
      <c r="B3312" s="52">
        <v>7.11126215E8</v>
      </c>
      <c r="C3312" s="28" t="s">
        <v>3398</v>
      </c>
      <c r="D3312" s="26" t="s">
        <v>56</v>
      </c>
      <c r="E3312" s="31">
        <v>46230.0</v>
      </c>
      <c r="F3312" s="26" t="s">
        <v>631</v>
      </c>
      <c r="G3312" s="26">
        <v>11.0</v>
      </c>
      <c r="I3312" s="26" t="s">
        <v>42</v>
      </c>
      <c r="J3312" s="25" t="str">
        <f t="shared" si="46"/>
        <v>No</v>
      </c>
      <c r="K3312" s="25" t="str">
        <f t="shared" si="47"/>
        <v/>
      </c>
      <c r="L3312" s="25" t="str">
        <f t="shared" si="48"/>
        <v/>
      </c>
      <c r="M3312" s="25"/>
      <c r="O3312" s="25"/>
    </row>
    <row r="3313" ht="15.75" customHeight="1">
      <c r="A3313" s="25" t="str">
        <f>IFERROR(__xludf.DUMMYFUNCTION("IF(B3313="""","""",RIGHT(REGEXREPLACE(B3313&amp;"""",""[^0-9]"",""""),9))"),"720920291")</f>
        <v>720920291</v>
      </c>
      <c r="B3313" s="52">
        <v>7.20920291E8</v>
      </c>
      <c r="C3313" s="28" t="s">
        <v>3399</v>
      </c>
      <c r="D3313" s="26" t="s">
        <v>49</v>
      </c>
      <c r="E3313" s="31">
        <v>46230.0</v>
      </c>
      <c r="F3313" s="26" t="s">
        <v>205</v>
      </c>
      <c r="I3313" s="26" t="s">
        <v>42</v>
      </c>
      <c r="J3313" s="25" t="str">
        <f t="shared" si="46"/>
        <v>No</v>
      </c>
      <c r="K3313" s="25" t="str">
        <f t="shared" si="47"/>
        <v/>
      </c>
      <c r="L3313" s="25" t="str">
        <f t="shared" si="48"/>
        <v/>
      </c>
      <c r="M3313" s="25"/>
      <c r="O3313" s="25"/>
    </row>
    <row r="3314" ht="15.75" customHeight="1">
      <c r="A3314" s="25" t="str">
        <f>IFERROR(__xludf.DUMMYFUNCTION("IF(B3314="""","""",RIGHT(REGEXREPLACE(B3314&amp;"""",""[^0-9]"",""""),9))"),"761061334")</f>
        <v>761061334</v>
      </c>
      <c r="B3314" s="52">
        <v>7.61061334E8</v>
      </c>
      <c r="C3314" s="28" t="s">
        <v>3400</v>
      </c>
      <c r="D3314" s="26" t="s">
        <v>49</v>
      </c>
      <c r="E3314" s="31">
        <v>46230.0</v>
      </c>
      <c r="F3314" s="26" t="s">
        <v>41</v>
      </c>
      <c r="I3314" s="26" t="s">
        <v>42</v>
      </c>
      <c r="J3314" s="25" t="str">
        <f t="shared" si="46"/>
        <v>No</v>
      </c>
      <c r="K3314" s="25" t="str">
        <f t="shared" si="47"/>
        <v/>
      </c>
      <c r="L3314" s="25" t="str">
        <f t="shared" si="48"/>
        <v/>
      </c>
      <c r="M3314" s="25"/>
      <c r="O3314" s="25"/>
    </row>
    <row r="3315" ht="15.75" customHeight="1">
      <c r="A3315" s="25" t="str">
        <f>IFERROR(__xludf.DUMMYFUNCTION("IF(B3315="""","""",RIGHT(REGEXREPLACE(B3315&amp;"""",""[^0-9]"",""""),9))"),"714835797")</f>
        <v>714835797</v>
      </c>
      <c r="B3315" s="52">
        <v>7.14835797E8</v>
      </c>
      <c r="C3315" s="28" t="s">
        <v>3401</v>
      </c>
      <c r="D3315" s="26" t="s">
        <v>82</v>
      </c>
      <c r="E3315" s="31">
        <v>46230.0</v>
      </c>
      <c r="F3315" s="26" t="s">
        <v>46</v>
      </c>
      <c r="G3315" s="26">
        <v>11.0</v>
      </c>
      <c r="I3315" s="26" t="s">
        <v>42</v>
      </c>
      <c r="J3315" s="25" t="str">
        <f t="shared" si="46"/>
        <v>No</v>
      </c>
      <c r="K3315" s="25" t="str">
        <f t="shared" si="47"/>
        <v/>
      </c>
      <c r="L3315" s="25" t="str">
        <f t="shared" si="48"/>
        <v/>
      </c>
      <c r="M3315" s="25"/>
      <c r="O3315" s="25"/>
    </row>
    <row r="3316" ht="15.75" customHeight="1">
      <c r="A3316" s="25" t="str">
        <f>IFERROR(__xludf.DUMMYFUNCTION("IF(B3316="""","""",RIGHT(REGEXREPLACE(B3316&amp;"""",""[^0-9]"",""""),9))"),"705301420")</f>
        <v>705301420</v>
      </c>
      <c r="B3316" s="52">
        <v>7.0530142E8</v>
      </c>
      <c r="C3316" s="28" t="s">
        <v>3402</v>
      </c>
      <c r="D3316" s="26" t="s">
        <v>49</v>
      </c>
      <c r="E3316" s="31">
        <v>46230.0</v>
      </c>
      <c r="F3316" s="26" t="s">
        <v>41</v>
      </c>
      <c r="G3316" s="26">
        <v>11.0</v>
      </c>
      <c r="I3316" s="26" t="s">
        <v>42</v>
      </c>
      <c r="J3316" s="25" t="str">
        <f t="shared" si="46"/>
        <v>No</v>
      </c>
      <c r="K3316" s="25" t="str">
        <f t="shared" si="47"/>
        <v/>
      </c>
      <c r="L3316" s="25" t="str">
        <f t="shared" si="48"/>
        <v/>
      </c>
      <c r="M3316" s="25"/>
      <c r="O3316" s="25"/>
    </row>
    <row r="3317" ht="15.75" customHeight="1">
      <c r="A3317" s="25" t="str">
        <f>IFERROR(__xludf.DUMMYFUNCTION("IF(B3317="""","""",RIGHT(REGEXREPLACE(B3317&amp;"""",""[^0-9]"",""""),9))"),"763340023")</f>
        <v>763340023</v>
      </c>
      <c r="B3317" s="52">
        <v>7.63340023E8</v>
      </c>
      <c r="C3317" s="28" t="s">
        <v>945</v>
      </c>
      <c r="D3317" s="26" t="s">
        <v>56</v>
      </c>
      <c r="E3317" s="31">
        <v>46230.0</v>
      </c>
      <c r="F3317" s="26" t="s">
        <v>46</v>
      </c>
      <c r="G3317" s="26">
        <v>11.0</v>
      </c>
      <c r="I3317" s="26" t="s">
        <v>42</v>
      </c>
      <c r="J3317" s="25" t="str">
        <f t="shared" si="46"/>
        <v>No</v>
      </c>
      <c r="K3317" s="25" t="str">
        <f t="shared" si="47"/>
        <v/>
      </c>
      <c r="L3317" s="25" t="str">
        <f t="shared" si="48"/>
        <v/>
      </c>
      <c r="M3317" s="25"/>
      <c r="O3317" s="25"/>
    </row>
    <row r="3318" ht="15.75" customHeight="1">
      <c r="A3318" s="25" t="str">
        <f>IFERROR(__xludf.DUMMYFUNCTION("IF(B3318="""","""",RIGHT(REGEXREPLACE(B3318&amp;"""",""[^0-9]"",""""),9))"),"713194991")</f>
        <v>713194991</v>
      </c>
      <c r="B3318" s="52">
        <v>7.13194991E8</v>
      </c>
      <c r="C3318" s="28" t="s">
        <v>3403</v>
      </c>
      <c r="D3318" s="26" t="s">
        <v>82</v>
      </c>
      <c r="E3318" s="31">
        <v>46230.0</v>
      </c>
      <c r="F3318" s="26" t="s">
        <v>125</v>
      </c>
      <c r="G3318" s="26">
        <v>11.0</v>
      </c>
      <c r="I3318" s="26" t="s">
        <v>42</v>
      </c>
      <c r="J3318" s="25" t="str">
        <f t="shared" si="46"/>
        <v>No</v>
      </c>
      <c r="K3318" s="25" t="str">
        <f t="shared" si="47"/>
        <v/>
      </c>
      <c r="L3318" s="25" t="str">
        <f t="shared" si="48"/>
        <v/>
      </c>
      <c r="M3318" s="25"/>
      <c r="O3318" s="25"/>
    </row>
    <row r="3319" ht="15.75" customHeight="1">
      <c r="A3319" s="25" t="str">
        <f>IFERROR(__xludf.DUMMYFUNCTION("IF(B3319="""","""",RIGHT(REGEXREPLACE(B3319&amp;"""",""[^0-9]"",""""),9))"),"742719874")</f>
        <v>742719874</v>
      </c>
      <c r="B3319" s="52">
        <v>7.42719874E8</v>
      </c>
      <c r="C3319" s="28" t="s">
        <v>3404</v>
      </c>
      <c r="D3319" s="26" t="s">
        <v>49</v>
      </c>
      <c r="E3319" s="31">
        <v>46230.0</v>
      </c>
      <c r="F3319" s="26" t="s">
        <v>46</v>
      </c>
      <c r="G3319" s="26">
        <v>8.0</v>
      </c>
      <c r="I3319" s="26" t="s">
        <v>42</v>
      </c>
      <c r="J3319" s="25" t="str">
        <f t="shared" si="46"/>
        <v>No</v>
      </c>
      <c r="K3319" s="25" t="str">
        <f t="shared" si="47"/>
        <v/>
      </c>
      <c r="L3319" s="25" t="str">
        <f t="shared" si="48"/>
        <v/>
      </c>
      <c r="M3319" s="25"/>
      <c r="O3319" s="25"/>
    </row>
    <row r="3320" ht="15.75" customHeight="1">
      <c r="A3320" s="25" t="str">
        <f>IFERROR(__xludf.DUMMYFUNCTION("IF(B3320="""","""",RIGHT(REGEXREPLACE(B3320&amp;"""",""[^0-9]"",""""),9))"),"773554094")</f>
        <v>773554094</v>
      </c>
      <c r="B3320" s="52">
        <v>7.73554094E8</v>
      </c>
      <c r="C3320" s="28" t="s">
        <v>3405</v>
      </c>
      <c r="D3320" s="26" t="s">
        <v>45</v>
      </c>
      <c r="E3320" s="31">
        <v>46230.0</v>
      </c>
      <c r="F3320" s="26" t="s">
        <v>167</v>
      </c>
      <c r="G3320" s="26">
        <v>9.0</v>
      </c>
      <c r="I3320" s="26" t="s">
        <v>42</v>
      </c>
      <c r="J3320" s="25" t="str">
        <f t="shared" si="46"/>
        <v>No</v>
      </c>
      <c r="K3320" s="25" t="str">
        <f t="shared" si="47"/>
        <v/>
      </c>
      <c r="L3320" s="25" t="str">
        <f t="shared" si="48"/>
        <v/>
      </c>
      <c r="M3320" s="25"/>
      <c r="O3320" s="26" t="s">
        <v>51</v>
      </c>
    </row>
    <row r="3321" ht="15.75" customHeight="1">
      <c r="A3321" s="25" t="str">
        <f>IFERROR(__xludf.DUMMYFUNCTION("IF(B3321="""","""",RIGHT(REGEXREPLACE(B3321&amp;"""",""[^0-9]"",""""),9))"),"740337961")</f>
        <v>740337961</v>
      </c>
      <c r="B3321" s="52">
        <v>7.40337961E8</v>
      </c>
      <c r="C3321" s="28" t="s">
        <v>3406</v>
      </c>
      <c r="D3321" s="26" t="s">
        <v>82</v>
      </c>
      <c r="E3321" s="31">
        <v>46230.0</v>
      </c>
      <c r="F3321" s="26" t="s">
        <v>46</v>
      </c>
      <c r="G3321" s="26">
        <v>11.0</v>
      </c>
      <c r="I3321" s="26" t="s">
        <v>42</v>
      </c>
      <c r="J3321" s="25" t="str">
        <f t="shared" si="46"/>
        <v>No</v>
      </c>
      <c r="K3321" s="25" t="str">
        <f t="shared" si="47"/>
        <v/>
      </c>
      <c r="L3321" s="25" t="str">
        <f t="shared" si="48"/>
        <v/>
      </c>
      <c r="M3321" s="25"/>
      <c r="O3321" s="25"/>
    </row>
    <row r="3322" ht="15.75" customHeight="1">
      <c r="A3322" s="25" t="str">
        <f>IFERROR(__xludf.DUMMYFUNCTION("IF(B3322="""","""",RIGHT(REGEXREPLACE(B3322&amp;"""",""[^0-9]"",""""),9))"),"741233916")</f>
        <v>741233916</v>
      </c>
      <c r="B3322" s="52">
        <v>7.41233916E8</v>
      </c>
      <c r="C3322" s="28" t="s">
        <v>3407</v>
      </c>
      <c r="D3322" s="26" t="s">
        <v>56</v>
      </c>
      <c r="E3322" s="31">
        <v>46230.0</v>
      </c>
      <c r="F3322" s="25"/>
      <c r="G3322" s="25"/>
      <c r="H3322" s="25"/>
      <c r="I3322" s="26" t="s">
        <v>42</v>
      </c>
      <c r="J3322" s="25" t="str">
        <f t="shared" si="46"/>
        <v>No</v>
      </c>
      <c r="K3322" s="25" t="str">
        <f t="shared" si="47"/>
        <v/>
      </c>
      <c r="L3322" s="25" t="str">
        <f t="shared" si="48"/>
        <v/>
      </c>
      <c r="M3322" s="25"/>
      <c r="N3322" s="25"/>
      <c r="O3322" s="25"/>
      <c r="P3322" s="25"/>
    </row>
    <row r="3323" ht="15.75" customHeight="1">
      <c r="A3323" s="25" t="str">
        <f>IFERROR(__xludf.DUMMYFUNCTION("IF(B3323="""","""",RIGHT(REGEXREPLACE(B3323&amp;"""",""[^0-9]"",""""),9))"),"764782428")</f>
        <v>764782428</v>
      </c>
      <c r="B3323" s="52">
        <v>7.64782428E8</v>
      </c>
      <c r="C3323" s="28" t="s">
        <v>3408</v>
      </c>
      <c r="D3323" s="26" t="s">
        <v>49</v>
      </c>
      <c r="E3323" s="31">
        <v>46230.0</v>
      </c>
      <c r="F3323" s="26" t="s">
        <v>205</v>
      </c>
      <c r="I3323" s="26" t="s">
        <v>42</v>
      </c>
      <c r="J3323" s="25" t="str">
        <f t="shared" si="46"/>
        <v>No</v>
      </c>
      <c r="K3323" s="25" t="str">
        <f t="shared" si="47"/>
        <v/>
      </c>
      <c r="L3323" s="25" t="str">
        <f t="shared" si="48"/>
        <v/>
      </c>
      <c r="M3323" s="25"/>
      <c r="O3323" s="25"/>
    </row>
    <row r="3324" ht="15.75" customHeight="1">
      <c r="A3324" s="25" t="str">
        <f>IFERROR(__xludf.DUMMYFUNCTION("IF(B3324="""","""",RIGHT(REGEXREPLACE(B3324&amp;"""",""[^0-9]"",""""),9))"),"741233916")</f>
        <v>741233916</v>
      </c>
      <c r="B3324" s="52">
        <v>7.41233916E8</v>
      </c>
      <c r="C3324" s="28" t="s">
        <v>3407</v>
      </c>
      <c r="D3324" s="26" t="s">
        <v>56</v>
      </c>
      <c r="E3324" s="31">
        <v>46230.0</v>
      </c>
      <c r="F3324" s="26" t="s">
        <v>46</v>
      </c>
      <c r="G3324" s="26">
        <v>11.0</v>
      </c>
      <c r="I3324" s="26" t="s">
        <v>42</v>
      </c>
      <c r="J3324" s="25" t="str">
        <f t="shared" si="46"/>
        <v>Yes - see Previous F-Code</v>
      </c>
      <c r="K3324" s="25" t="str">
        <f t="shared" si="47"/>
        <v>DUPLICATE - CHECK</v>
      </c>
      <c r="L3324" s="25" t="str">
        <f t="shared" si="48"/>
        <v>F73066</v>
      </c>
      <c r="M3324" s="25"/>
      <c r="O3324" s="25"/>
    </row>
    <row r="3325" ht="15.75" customHeight="1">
      <c r="A3325" s="25" t="str">
        <f>IFERROR(__xludf.DUMMYFUNCTION("IF(B3325="""","""",RIGHT(REGEXREPLACE(B3325&amp;"""",""[^0-9]"",""""),9))"),"760162669")</f>
        <v>760162669</v>
      </c>
      <c r="B3325" s="52">
        <v>7.60162669E8</v>
      </c>
      <c r="C3325" s="28" t="s">
        <v>3409</v>
      </c>
      <c r="D3325" s="26" t="s">
        <v>45</v>
      </c>
      <c r="E3325" s="31">
        <v>46230.0</v>
      </c>
      <c r="F3325" s="26" t="s">
        <v>41</v>
      </c>
      <c r="G3325" s="26">
        <v>11.0</v>
      </c>
      <c r="I3325" s="26" t="s">
        <v>42</v>
      </c>
      <c r="J3325" s="25" t="str">
        <f t="shared" si="46"/>
        <v>No</v>
      </c>
      <c r="K3325" s="25" t="str">
        <f t="shared" si="47"/>
        <v/>
      </c>
      <c r="L3325" s="25" t="str">
        <f t="shared" si="48"/>
        <v/>
      </c>
      <c r="M3325" s="25"/>
      <c r="O3325" s="25"/>
    </row>
    <row r="3326" ht="15.75" customHeight="1">
      <c r="A3326" s="25" t="str">
        <f>IFERROR(__xludf.DUMMYFUNCTION("IF(B3326="""","""",RIGHT(REGEXREPLACE(B3326&amp;"""",""[^0-9]"",""""),9))"),"776336854")</f>
        <v>776336854</v>
      </c>
      <c r="B3326" s="52">
        <v>7.76336854E8</v>
      </c>
      <c r="C3326" s="28" t="s">
        <v>3410</v>
      </c>
      <c r="D3326" s="26" t="s">
        <v>49</v>
      </c>
      <c r="E3326" s="31">
        <v>46230.0</v>
      </c>
      <c r="F3326" s="26" t="s">
        <v>46</v>
      </c>
      <c r="G3326" s="26">
        <v>11.0</v>
      </c>
      <c r="I3326" s="26" t="s">
        <v>42</v>
      </c>
      <c r="J3326" s="25" t="str">
        <f t="shared" si="46"/>
        <v>No</v>
      </c>
      <c r="K3326" s="25" t="str">
        <f t="shared" si="47"/>
        <v/>
      </c>
      <c r="L3326" s="25" t="str">
        <f t="shared" si="48"/>
        <v/>
      </c>
      <c r="M3326" s="25"/>
      <c r="O3326" s="25"/>
    </row>
    <row r="3327" ht="15.75" customHeight="1">
      <c r="A3327" s="25" t="str">
        <f>IFERROR(__xludf.DUMMYFUNCTION("IF(B3327="""","""",RIGHT(REGEXREPLACE(B3327&amp;"""",""[^0-9]"",""""),9))"),"711354039")</f>
        <v>711354039</v>
      </c>
      <c r="B3327" s="52">
        <v>7.11354039E8</v>
      </c>
      <c r="C3327" s="28" t="s">
        <v>3411</v>
      </c>
      <c r="D3327" s="26" t="s">
        <v>82</v>
      </c>
      <c r="E3327" s="31">
        <v>46230.0</v>
      </c>
      <c r="F3327" s="26" t="s">
        <v>46</v>
      </c>
      <c r="G3327" s="26">
        <v>11.0</v>
      </c>
      <c r="I3327" s="26" t="s">
        <v>42</v>
      </c>
      <c r="J3327" s="25" t="str">
        <f t="shared" si="46"/>
        <v>No</v>
      </c>
      <c r="K3327" s="25" t="str">
        <f t="shared" si="47"/>
        <v/>
      </c>
      <c r="L3327" s="25" t="str">
        <f t="shared" si="48"/>
        <v/>
      </c>
      <c r="M3327" s="25"/>
      <c r="O3327" s="25"/>
    </row>
    <row r="3328" ht="15.75" customHeight="1">
      <c r="A3328" s="25" t="str">
        <f>IFERROR(__xludf.DUMMYFUNCTION("IF(B3328="""","""",RIGHT(REGEXREPLACE(B3328&amp;"""",""[^0-9]"",""""),9))"),"750602305")</f>
        <v>750602305</v>
      </c>
      <c r="B3328" s="52">
        <v>7.50602305E8</v>
      </c>
      <c r="C3328" s="28" t="s">
        <v>3412</v>
      </c>
      <c r="D3328" s="26" t="s">
        <v>49</v>
      </c>
      <c r="E3328" s="31">
        <v>46230.0</v>
      </c>
      <c r="F3328" s="26" t="s">
        <v>46</v>
      </c>
      <c r="G3328" s="26">
        <v>11.0</v>
      </c>
      <c r="I3328" s="26" t="s">
        <v>42</v>
      </c>
      <c r="J3328" s="25" t="str">
        <f t="shared" si="46"/>
        <v>No</v>
      </c>
      <c r="K3328" s="25" t="str">
        <f t="shared" si="47"/>
        <v/>
      </c>
      <c r="L3328" s="25" t="str">
        <f t="shared" si="48"/>
        <v/>
      </c>
      <c r="M3328" s="25"/>
      <c r="O3328" s="25"/>
    </row>
    <row r="3329" ht="15.75" customHeight="1">
      <c r="A3329" s="25" t="str">
        <f>IFERROR(__xludf.DUMMYFUNCTION("IF(B3329="""","""",RIGHT(REGEXREPLACE(B3329&amp;"""",""[^0-9]"",""""),9))"),"773799895")</f>
        <v>773799895</v>
      </c>
      <c r="B3329" s="52">
        <v>7.73799895E8</v>
      </c>
      <c r="C3329" s="28" t="s">
        <v>3413</v>
      </c>
      <c r="D3329" s="26" t="s">
        <v>56</v>
      </c>
      <c r="E3329" s="31">
        <v>46230.0</v>
      </c>
      <c r="F3329" s="26" t="s">
        <v>41</v>
      </c>
      <c r="G3329" s="26">
        <v>11.0</v>
      </c>
      <c r="I3329" s="26" t="s">
        <v>42</v>
      </c>
      <c r="J3329" s="25" t="str">
        <f t="shared" si="46"/>
        <v>No</v>
      </c>
      <c r="K3329" s="25" t="str">
        <f t="shared" si="47"/>
        <v/>
      </c>
      <c r="L3329" s="25" t="str">
        <f t="shared" si="48"/>
        <v/>
      </c>
      <c r="M3329" s="25"/>
      <c r="O3329" s="25"/>
    </row>
    <row r="3330" ht="15.75" customHeight="1">
      <c r="A3330" s="25" t="str">
        <f>IFERROR(__xludf.DUMMYFUNCTION("IF(B3330="""","""",RIGHT(REGEXREPLACE(B3330&amp;"""",""[^0-9]"",""""),9))"),"776088982")</f>
        <v>776088982</v>
      </c>
      <c r="B3330" s="52">
        <v>7.76088982E8</v>
      </c>
      <c r="C3330" s="28" t="s">
        <v>3414</v>
      </c>
      <c r="D3330" s="26" t="s">
        <v>45</v>
      </c>
      <c r="E3330" s="31">
        <v>46230.0</v>
      </c>
      <c r="F3330" s="26" t="s">
        <v>41</v>
      </c>
      <c r="I3330" s="26" t="s">
        <v>42</v>
      </c>
      <c r="J3330" s="25" t="str">
        <f t="shared" si="46"/>
        <v>No</v>
      </c>
      <c r="K3330" s="25" t="str">
        <f t="shared" si="47"/>
        <v/>
      </c>
      <c r="L3330" s="25" t="str">
        <f t="shared" si="48"/>
        <v/>
      </c>
      <c r="M3330" s="25"/>
      <c r="O3330" s="25"/>
    </row>
    <row r="3331" ht="15.75" customHeight="1">
      <c r="A3331" s="25" t="str">
        <f>IFERROR(__xludf.DUMMYFUNCTION("IF(B3331="""","""",RIGHT(REGEXREPLACE(B3331&amp;"""",""[^0-9]"",""""),9))"),"770895231")</f>
        <v>770895231</v>
      </c>
      <c r="B3331" s="52">
        <v>7.70895231E8</v>
      </c>
      <c r="C3331" s="28" t="s">
        <v>3415</v>
      </c>
      <c r="D3331" s="26" t="s">
        <v>45</v>
      </c>
      <c r="E3331" s="31">
        <v>46230.0</v>
      </c>
      <c r="F3331" s="26" t="s">
        <v>41</v>
      </c>
      <c r="I3331" s="26" t="s">
        <v>42</v>
      </c>
      <c r="J3331" s="25" t="str">
        <f t="shared" si="46"/>
        <v>No</v>
      </c>
      <c r="K3331" s="25" t="str">
        <f t="shared" si="47"/>
        <v/>
      </c>
      <c r="L3331" s="25" t="str">
        <f t="shared" si="48"/>
        <v/>
      </c>
      <c r="M3331" s="25"/>
      <c r="O3331" s="25"/>
    </row>
    <row r="3332" ht="15.75" customHeight="1">
      <c r="A3332" s="25" t="str">
        <f>IFERROR(__xludf.DUMMYFUNCTION("IF(B3332="""","""",RIGHT(REGEXREPLACE(B3332&amp;"""",""[^0-9]"",""""),9))"),"751423642")</f>
        <v>751423642</v>
      </c>
      <c r="B3332" s="52">
        <v>7.51423642E8</v>
      </c>
      <c r="C3332" s="28" t="s">
        <v>3416</v>
      </c>
      <c r="D3332" s="26" t="s">
        <v>49</v>
      </c>
      <c r="E3332" s="31">
        <v>46230.0</v>
      </c>
      <c r="F3332" s="26" t="s">
        <v>46</v>
      </c>
      <c r="G3332" s="26">
        <v>11.0</v>
      </c>
      <c r="I3332" s="26" t="s">
        <v>42</v>
      </c>
      <c r="J3332" s="25" t="str">
        <f t="shared" si="46"/>
        <v>No</v>
      </c>
      <c r="K3332" s="25" t="str">
        <f t="shared" si="47"/>
        <v/>
      </c>
      <c r="L3332" s="25" t="str">
        <f t="shared" si="48"/>
        <v/>
      </c>
      <c r="M3332" s="25"/>
      <c r="O3332" s="25"/>
    </row>
    <row r="3333" ht="15.75" customHeight="1">
      <c r="A3333" s="25" t="str">
        <f>IFERROR(__xludf.DUMMYFUNCTION("IF(B3333="""","""",RIGHT(REGEXREPLACE(B3333&amp;"""",""[^0-9]"",""""),9))"),"755584376")</f>
        <v>755584376</v>
      </c>
      <c r="B3333" s="52">
        <v>7.55584376E8</v>
      </c>
      <c r="C3333" s="28" t="s">
        <v>3417</v>
      </c>
      <c r="D3333" s="26" t="s">
        <v>82</v>
      </c>
      <c r="E3333" s="31">
        <v>46230.0</v>
      </c>
      <c r="F3333" s="26" t="s">
        <v>46</v>
      </c>
      <c r="I3333" s="26" t="s">
        <v>42</v>
      </c>
      <c r="J3333" s="25" t="str">
        <f t="shared" si="46"/>
        <v>No</v>
      </c>
      <c r="K3333" s="25" t="str">
        <f t="shared" si="47"/>
        <v/>
      </c>
      <c r="L3333" s="25" t="str">
        <f t="shared" si="48"/>
        <v/>
      </c>
      <c r="M3333" s="25"/>
      <c r="O3333" s="25"/>
    </row>
    <row r="3334" ht="15.75" customHeight="1">
      <c r="A3334" s="25" t="str">
        <f>IFERROR(__xludf.DUMMYFUNCTION("IF(B3334="""","""",RIGHT(REGEXREPLACE(B3334&amp;"""",""[^0-9]"",""""),9))"),"778468163")</f>
        <v>778468163</v>
      </c>
      <c r="B3334" s="52">
        <v>7.78468163E8</v>
      </c>
      <c r="C3334" s="28" t="s">
        <v>1470</v>
      </c>
      <c r="D3334" s="26" t="s">
        <v>64</v>
      </c>
      <c r="E3334" s="31">
        <v>46231.0</v>
      </c>
      <c r="F3334" s="26" t="s">
        <v>41</v>
      </c>
      <c r="G3334" s="26">
        <v>11.0</v>
      </c>
      <c r="H3334" s="26" t="s">
        <v>796</v>
      </c>
      <c r="I3334" s="26" t="s">
        <v>42</v>
      </c>
      <c r="J3334" s="25" t="str">
        <f t="shared" si="46"/>
        <v>Yes - see Previous F-Code</v>
      </c>
      <c r="K3334" s="25" t="str">
        <f t="shared" si="47"/>
        <v>DUPLICATE - CHECK</v>
      </c>
      <c r="L3334" s="25" t="str">
        <f t="shared" si="48"/>
        <v>F71194</v>
      </c>
      <c r="M3334" s="25"/>
      <c r="O3334" s="25"/>
    </row>
    <row r="3335" ht="15.75" customHeight="1">
      <c r="A3335" s="25" t="str">
        <f>IFERROR(__xludf.DUMMYFUNCTION("IF(B3335="""","""",RIGHT(REGEXREPLACE(B3335&amp;"""",""[^0-9]"",""""),9))"),"777954531")</f>
        <v>777954531</v>
      </c>
      <c r="B3335" s="52">
        <v>7.77954531E8</v>
      </c>
      <c r="C3335" s="28" t="s">
        <v>3418</v>
      </c>
      <c r="D3335" s="26" t="s">
        <v>56</v>
      </c>
      <c r="E3335" s="31">
        <v>46231.0</v>
      </c>
      <c r="F3335" s="26" t="s">
        <v>46</v>
      </c>
      <c r="G3335" s="26">
        <v>11.0</v>
      </c>
      <c r="H3335" s="26" t="s">
        <v>89</v>
      </c>
      <c r="I3335" s="26" t="s">
        <v>42</v>
      </c>
      <c r="J3335" s="25" t="str">
        <f t="shared" si="46"/>
        <v>No</v>
      </c>
      <c r="K3335" s="25" t="str">
        <f t="shared" si="47"/>
        <v/>
      </c>
      <c r="L3335" s="25" t="str">
        <f t="shared" si="48"/>
        <v/>
      </c>
      <c r="M3335" s="25"/>
      <c r="O3335" s="25"/>
    </row>
    <row r="3336" ht="15.75" customHeight="1">
      <c r="A3336" s="25" t="str">
        <f>IFERROR(__xludf.DUMMYFUNCTION("IF(B3336="""","""",RIGHT(REGEXREPLACE(B3336&amp;"""",""[^0-9]"",""""),9))"),"703860562")</f>
        <v>703860562</v>
      </c>
      <c r="B3336" s="52">
        <v>7.03860562E8</v>
      </c>
      <c r="C3336" s="28" t="s">
        <v>3419</v>
      </c>
      <c r="D3336" s="26" t="s">
        <v>64</v>
      </c>
      <c r="E3336" s="31">
        <v>46231.0</v>
      </c>
      <c r="F3336" s="26" t="s">
        <v>46</v>
      </c>
      <c r="G3336" s="26">
        <v>11.0</v>
      </c>
      <c r="H3336" s="26" t="s">
        <v>796</v>
      </c>
      <c r="I3336" s="26" t="s">
        <v>42</v>
      </c>
      <c r="J3336" s="25" t="str">
        <f t="shared" si="46"/>
        <v>No</v>
      </c>
      <c r="K3336" s="25" t="str">
        <f t="shared" si="47"/>
        <v/>
      </c>
      <c r="L3336" s="25" t="str">
        <f t="shared" si="48"/>
        <v/>
      </c>
      <c r="M3336" s="25"/>
      <c r="O3336" s="25"/>
    </row>
    <row r="3337" ht="15.75" customHeight="1">
      <c r="A3337" s="25" t="str">
        <f>IFERROR(__xludf.DUMMYFUNCTION("IF(B3337="""","""",RIGHT(REGEXREPLACE(B3337&amp;"""",""[^0-9]"",""""),9))"),"775217895")</f>
        <v>775217895</v>
      </c>
      <c r="B3337" s="52">
        <v>7.75217895E8</v>
      </c>
      <c r="C3337" s="28" t="s">
        <v>2443</v>
      </c>
      <c r="D3337" s="26" t="s">
        <v>49</v>
      </c>
      <c r="E3337" s="31">
        <v>46231.0</v>
      </c>
      <c r="F3337" s="26" t="s">
        <v>41</v>
      </c>
      <c r="G3337" s="26">
        <v>11.0</v>
      </c>
      <c r="H3337" s="26" t="s">
        <v>2682</v>
      </c>
      <c r="I3337" s="26" t="s">
        <v>42</v>
      </c>
      <c r="J3337" s="25" t="str">
        <f t="shared" si="46"/>
        <v>Yes - see Previous F-Code</v>
      </c>
      <c r="K3337" s="25" t="str">
        <f t="shared" si="47"/>
        <v>DUPLICATE - CHECK</v>
      </c>
      <c r="L3337" s="25" t="str">
        <f t="shared" si="48"/>
        <v>F72136</v>
      </c>
      <c r="M3337" s="25"/>
      <c r="O3337" s="25"/>
    </row>
    <row r="3338" ht="15.75" customHeight="1">
      <c r="A3338" s="25" t="str">
        <f>IFERROR(__xludf.DUMMYFUNCTION("IF(B3338="""","""",RIGHT(REGEXREPLACE(B3338&amp;"""",""[^0-9]"",""""),9))"),"758684237")</f>
        <v>758684237</v>
      </c>
      <c r="B3338" s="52">
        <v>7.58684237E8</v>
      </c>
      <c r="C3338" s="28" t="s">
        <v>3420</v>
      </c>
      <c r="D3338" s="26" t="s">
        <v>56</v>
      </c>
      <c r="E3338" s="31">
        <v>46231.0</v>
      </c>
      <c r="F3338" s="26" t="s">
        <v>41</v>
      </c>
      <c r="G3338" s="26">
        <v>11.0</v>
      </c>
      <c r="H3338" s="26" t="s">
        <v>796</v>
      </c>
      <c r="I3338" s="26" t="s">
        <v>42</v>
      </c>
      <c r="J3338" s="25" t="str">
        <f t="shared" si="46"/>
        <v>No</v>
      </c>
      <c r="K3338" s="25" t="str">
        <f t="shared" si="47"/>
        <v/>
      </c>
      <c r="L3338" s="25" t="str">
        <f t="shared" si="48"/>
        <v/>
      </c>
      <c r="M3338" s="25"/>
      <c r="O3338" s="25"/>
    </row>
    <row r="3339" ht="15.75" customHeight="1">
      <c r="A3339" s="25" t="str">
        <f>IFERROR(__xludf.DUMMYFUNCTION("IF(B3339="""","""",RIGHT(REGEXREPLACE(B3339&amp;"""",""[^0-9]"",""""),9))"),"771887016")</f>
        <v>771887016</v>
      </c>
      <c r="B3339" s="52">
        <v>7.71887016E8</v>
      </c>
      <c r="C3339" s="28" t="s">
        <v>3421</v>
      </c>
      <c r="D3339" s="26" t="s">
        <v>64</v>
      </c>
      <c r="E3339" s="31">
        <v>46231.0</v>
      </c>
      <c r="F3339" s="26" t="s">
        <v>205</v>
      </c>
      <c r="H3339" s="26" t="s">
        <v>796</v>
      </c>
      <c r="I3339" s="26" t="s">
        <v>42</v>
      </c>
      <c r="J3339" s="25" t="str">
        <f t="shared" si="46"/>
        <v>No</v>
      </c>
      <c r="K3339" s="25" t="str">
        <f t="shared" si="47"/>
        <v/>
      </c>
      <c r="L3339" s="25" t="str">
        <f t="shared" si="48"/>
        <v/>
      </c>
      <c r="M3339" s="25"/>
      <c r="O3339" s="25"/>
    </row>
    <row r="3340" ht="15.75" customHeight="1">
      <c r="A3340" s="25" t="str">
        <f>IFERROR(__xludf.DUMMYFUNCTION("IF(B3340="""","""",RIGHT(REGEXREPLACE(B3340&amp;"""",""[^0-9]"",""""),9))"),"778039178")</f>
        <v>778039178</v>
      </c>
      <c r="B3340" s="52">
        <v>7.78039178E8</v>
      </c>
      <c r="C3340" s="28" t="s">
        <v>3422</v>
      </c>
      <c r="D3340" s="26" t="s">
        <v>64</v>
      </c>
      <c r="E3340" s="31">
        <v>46231.0</v>
      </c>
      <c r="F3340" s="26" t="s">
        <v>125</v>
      </c>
      <c r="H3340" s="26" t="s">
        <v>796</v>
      </c>
      <c r="I3340" s="26" t="s">
        <v>42</v>
      </c>
      <c r="J3340" s="25" t="str">
        <f t="shared" si="46"/>
        <v>No</v>
      </c>
      <c r="K3340" s="25" t="str">
        <f t="shared" si="47"/>
        <v/>
      </c>
      <c r="L3340" s="25" t="str">
        <f t="shared" si="48"/>
        <v/>
      </c>
      <c r="M3340" s="25"/>
      <c r="O3340" s="25"/>
    </row>
    <row r="3341" ht="15.75" customHeight="1">
      <c r="A3341" s="25" t="str">
        <f>IFERROR(__xludf.DUMMYFUNCTION("IF(B3341="""","""",RIGHT(REGEXREPLACE(B3341&amp;"""",""[^0-9]"",""""),9))"),"770682219")</f>
        <v>770682219</v>
      </c>
      <c r="B3341" s="52">
        <v>7.70682219E8</v>
      </c>
      <c r="C3341" s="28" t="s">
        <v>3423</v>
      </c>
      <c r="D3341" s="26" t="s">
        <v>56</v>
      </c>
      <c r="E3341" s="31">
        <v>46231.0</v>
      </c>
      <c r="F3341" s="26" t="s">
        <v>205</v>
      </c>
      <c r="G3341" s="26">
        <v>11.0</v>
      </c>
      <c r="H3341" s="26" t="s">
        <v>796</v>
      </c>
      <c r="I3341" s="26" t="s">
        <v>42</v>
      </c>
      <c r="J3341" s="25" t="str">
        <f t="shared" si="46"/>
        <v>No</v>
      </c>
      <c r="K3341" s="25" t="str">
        <f t="shared" si="47"/>
        <v/>
      </c>
      <c r="L3341" s="25" t="str">
        <f t="shared" si="48"/>
        <v/>
      </c>
      <c r="M3341" s="25"/>
      <c r="O3341" s="25"/>
    </row>
    <row r="3342" ht="15.75" customHeight="1">
      <c r="A3342" s="25" t="str">
        <f>IFERROR(__xludf.DUMMYFUNCTION("IF(B3342="""","""",RIGHT(REGEXREPLACE(B3342&amp;"""",""[^0-9]"",""""),9))"),"760321021")</f>
        <v>760321021</v>
      </c>
      <c r="B3342" s="52">
        <v>7.60321021E8</v>
      </c>
      <c r="C3342" s="28" t="s">
        <v>3424</v>
      </c>
      <c r="D3342" s="26" t="s">
        <v>49</v>
      </c>
      <c r="E3342" s="31">
        <v>46231.0</v>
      </c>
      <c r="F3342" s="26" t="s">
        <v>46</v>
      </c>
      <c r="H3342" s="26" t="s">
        <v>2682</v>
      </c>
      <c r="I3342" s="26" t="s">
        <v>42</v>
      </c>
      <c r="J3342" s="25" t="str">
        <f t="shared" si="46"/>
        <v>No</v>
      </c>
      <c r="K3342" s="25" t="str">
        <f t="shared" si="47"/>
        <v/>
      </c>
      <c r="L3342" s="25" t="str">
        <f t="shared" si="48"/>
        <v/>
      </c>
      <c r="M3342" s="25"/>
      <c r="O3342" s="25"/>
    </row>
    <row r="3343" ht="15.75" customHeight="1">
      <c r="A3343" s="25" t="str">
        <f>IFERROR(__xludf.DUMMYFUNCTION("IF(B3343="""","""",RIGHT(REGEXREPLACE(B3343&amp;"""",""[^0-9]"",""""),9))"),"721224248")</f>
        <v>721224248</v>
      </c>
      <c r="B3343" s="52">
        <v>7.21224248E8</v>
      </c>
      <c r="C3343" s="28" t="s">
        <v>3425</v>
      </c>
      <c r="D3343" s="26" t="s">
        <v>56</v>
      </c>
      <c r="E3343" s="31">
        <v>46231.0</v>
      </c>
      <c r="F3343" s="26" t="s">
        <v>41</v>
      </c>
      <c r="H3343" s="26" t="s">
        <v>796</v>
      </c>
      <c r="I3343" s="26" t="s">
        <v>42</v>
      </c>
      <c r="J3343" s="25" t="str">
        <f t="shared" si="46"/>
        <v>No</v>
      </c>
      <c r="K3343" s="25" t="str">
        <f t="shared" si="47"/>
        <v/>
      </c>
      <c r="L3343" s="25" t="str">
        <f t="shared" si="48"/>
        <v/>
      </c>
      <c r="M3343" s="25"/>
      <c r="O3343" s="25"/>
    </row>
    <row r="3344" ht="15.75" customHeight="1">
      <c r="A3344" s="25" t="str">
        <f>IFERROR(__xludf.DUMMYFUNCTION("IF(B3344="""","""",RIGHT(REGEXREPLACE(B3344&amp;"""",""[^0-9]"",""""),9))"),"766376930")</f>
        <v>766376930</v>
      </c>
      <c r="B3344" s="52">
        <v>7.6637693E8</v>
      </c>
      <c r="C3344" s="28" t="s">
        <v>3426</v>
      </c>
      <c r="D3344" s="26" t="s">
        <v>64</v>
      </c>
      <c r="E3344" s="31">
        <v>46231.0</v>
      </c>
      <c r="F3344" s="26" t="s">
        <v>41</v>
      </c>
      <c r="G3344" s="26">
        <v>11.0</v>
      </c>
      <c r="H3344" s="26" t="s">
        <v>796</v>
      </c>
      <c r="I3344" s="26" t="s">
        <v>42</v>
      </c>
      <c r="J3344" s="25" t="str">
        <f t="shared" si="46"/>
        <v>No</v>
      </c>
      <c r="K3344" s="25" t="str">
        <f t="shared" si="47"/>
        <v/>
      </c>
      <c r="L3344" s="25" t="str">
        <f t="shared" si="48"/>
        <v/>
      </c>
      <c r="M3344" s="25"/>
      <c r="O3344" s="25"/>
    </row>
    <row r="3345" ht="15.75" customHeight="1">
      <c r="A3345" s="25" t="str">
        <f>IFERROR(__xludf.DUMMYFUNCTION("IF(B3345="""","""",RIGHT(REGEXREPLACE(B3345&amp;"""",""[^0-9]"",""""),9))"),"707970777")</f>
        <v>707970777</v>
      </c>
      <c r="B3345" s="52">
        <v>7.07970777E8</v>
      </c>
      <c r="C3345" s="28" t="s">
        <v>3427</v>
      </c>
      <c r="D3345" s="26" t="s">
        <v>64</v>
      </c>
      <c r="E3345" s="31">
        <v>46231.0</v>
      </c>
      <c r="F3345" s="26" t="s">
        <v>205</v>
      </c>
      <c r="H3345" s="26" t="s">
        <v>796</v>
      </c>
      <c r="I3345" s="26" t="s">
        <v>42</v>
      </c>
      <c r="J3345" s="25" t="str">
        <f t="shared" si="46"/>
        <v>No</v>
      </c>
      <c r="K3345" s="25" t="str">
        <f t="shared" si="47"/>
        <v/>
      </c>
      <c r="L3345" s="25" t="str">
        <f t="shared" si="48"/>
        <v/>
      </c>
      <c r="M3345" s="25"/>
      <c r="O3345" s="25"/>
    </row>
    <row r="3346" ht="15.75" customHeight="1">
      <c r="A3346" s="25" t="str">
        <f>IFERROR(__xludf.DUMMYFUNCTION("IF(B3346="""","""",RIGHT(REGEXREPLACE(B3346&amp;"""",""[^0-9]"",""""),9))"),"759158515")</f>
        <v>759158515</v>
      </c>
      <c r="B3346" s="52">
        <v>7.59158515E8</v>
      </c>
      <c r="C3346" s="28" t="s">
        <v>3428</v>
      </c>
      <c r="D3346" s="26" t="s">
        <v>56</v>
      </c>
      <c r="E3346" s="31">
        <v>46231.0</v>
      </c>
      <c r="F3346" s="26" t="s">
        <v>41</v>
      </c>
      <c r="H3346" s="26" t="s">
        <v>796</v>
      </c>
      <c r="I3346" s="26" t="s">
        <v>42</v>
      </c>
      <c r="J3346" s="25" t="str">
        <f t="shared" si="46"/>
        <v>No</v>
      </c>
      <c r="K3346" s="25" t="str">
        <f t="shared" si="47"/>
        <v/>
      </c>
      <c r="L3346" s="25" t="str">
        <f t="shared" si="48"/>
        <v/>
      </c>
      <c r="M3346" s="25"/>
      <c r="O3346" s="25"/>
    </row>
    <row r="3347" ht="15.75" customHeight="1">
      <c r="A3347" s="25" t="str">
        <f>IFERROR(__xludf.DUMMYFUNCTION("IF(B3347="""","""",RIGHT(REGEXREPLACE(B3347&amp;"""",""[^0-9]"",""""),9))"),"713639208")</f>
        <v>713639208</v>
      </c>
      <c r="B3347" s="52">
        <v>7.13639208E8</v>
      </c>
      <c r="C3347" s="28" t="s">
        <v>3429</v>
      </c>
      <c r="D3347" s="26" t="s">
        <v>49</v>
      </c>
      <c r="E3347" s="31">
        <v>46231.0</v>
      </c>
      <c r="F3347" s="26" t="s">
        <v>46</v>
      </c>
      <c r="G3347" s="26">
        <v>10.0</v>
      </c>
      <c r="H3347" s="26" t="s">
        <v>2682</v>
      </c>
      <c r="I3347" s="26" t="s">
        <v>42</v>
      </c>
      <c r="J3347" s="25" t="str">
        <f t="shared" si="46"/>
        <v>No</v>
      </c>
      <c r="K3347" s="25" t="str">
        <f t="shared" si="47"/>
        <v/>
      </c>
      <c r="L3347" s="25" t="str">
        <f t="shared" si="48"/>
        <v/>
      </c>
      <c r="M3347" s="25"/>
      <c r="O3347" s="25"/>
    </row>
    <row r="3348" ht="15.75" customHeight="1">
      <c r="A3348" s="25" t="str">
        <f>IFERROR(__xludf.DUMMYFUNCTION("IF(B3348="""","""",RIGHT(REGEXREPLACE(B3348&amp;"""",""[^0-9]"",""""),9))"),"772654008")</f>
        <v>772654008</v>
      </c>
      <c r="B3348" s="52">
        <v>7.72654008E8</v>
      </c>
      <c r="C3348" s="28" t="s">
        <v>3430</v>
      </c>
      <c r="D3348" s="26" t="s">
        <v>64</v>
      </c>
      <c r="E3348" s="31">
        <v>46231.0</v>
      </c>
      <c r="F3348" s="26" t="s">
        <v>659</v>
      </c>
      <c r="G3348" s="26">
        <v>11.0</v>
      </c>
      <c r="H3348" s="26" t="s">
        <v>796</v>
      </c>
      <c r="I3348" s="26" t="s">
        <v>42</v>
      </c>
      <c r="J3348" s="25" t="str">
        <f t="shared" si="46"/>
        <v>No</v>
      </c>
      <c r="K3348" s="25" t="str">
        <f t="shared" si="47"/>
        <v/>
      </c>
      <c r="L3348" s="25" t="str">
        <f t="shared" si="48"/>
        <v/>
      </c>
      <c r="M3348" s="25"/>
      <c r="O3348" s="25"/>
    </row>
    <row r="3349" ht="15.75" customHeight="1">
      <c r="A3349" s="25" t="str">
        <f>IFERROR(__xludf.DUMMYFUNCTION("IF(B3349="""","""",RIGHT(REGEXREPLACE(B3349&amp;"""",""[^0-9]"",""""),9))"),"776715250")</f>
        <v>776715250</v>
      </c>
      <c r="B3349" s="52">
        <v>7.7671525E8</v>
      </c>
      <c r="C3349" s="28" t="s">
        <v>3431</v>
      </c>
      <c r="D3349" s="26" t="s">
        <v>56</v>
      </c>
      <c r="E3349" s="31">
        <v>46231.0</v>
      </c>
      <c r="F3349" s="26" t="s">
        <v>41</v>
      </c>
      <c r="H3349" s="26" t="s">
        <v>796</v>
      </c>
      <c r="I3349" s="26" t="s">
        <v>42</v>
      </c>
      <c r="J3349" s="25" t="str">
        <f t="shared" si="46"/>
        <v>No</v>
      </c>
      <c r="K3349" s="25" t="str">
        <f t="shared" si="47"/>
        <v/>
      </c>
      <c r="L3349" s="25" t="str">
        <f t="shared" si="48"/>
        <v/>
      </c>
      <c r="M3349" s="25"/>
      <c r="O3349" s="25"/>
    </row>
    <row r="3350" ht="15.75" customHeight="1">
      <c r="A3350" s="25" t="str">
        <f>IFERROR(__xludf.DUMMYFUNCTION("IF(B3350="""","""",RIGHT(REGEXREPLACE(B3350&amp;"""",""[^0-9]"",""""),9))"),"773882177")</f>
        <v>773882177</v>
      </c>
      <c r="B3350" s="52">
        <v>7.73882177E8</v>
      </c>
      <c r="C3350" s="28" t="s">
        <v>3432</v>
      </c>
      <c r="D3350" s="26" t="s">
        <v>64</v>
      </c>
      <c r="E3350" s="31">
        <v>46231.0</v>
      </c>
      <c r="F3350" s="26" t="s">
        <v>84</v>
      </c>
      <c r="H3350" s="26" t="s">
        <v>796</v>
      </c>
      <c r="I3350" s="26" t="s">
        <v>42</v>
      </c>
      <c r="J3350" s="25" t="str">
        <f t="shared" si="46"/>
        <v>No</v>
      </c>
      <c r="K3350" s="25" t="str">
        <f t="shared" si="47"/>
        <v/>
      </c>
      <c r="L3350" s="25" t="str">
        <f t="shared" si="48"/>
        <v/>
      </c>
      <c r="M3350" s="25"/>
      <c r="O3350" s="25"/>
    </row>
    <row r="3351" ht="15.75" customHeight="1">
      <c r="A3351" s="25" t="str">
        <f>IFERROR(__xludf.DUMMYFUNCTION("IF(B3351="""","""",RIGHT(REGEXREPLACE(B3351&amp;"""",""[^0-9]"",""""),9))"),"712592538")</f>
        <v>712592538</v>
      </c>
      <c r="B3351" s="52">
        <v>7.12592538E8</v>
      </c>
      <c r="C3351" s="28" t="s">
        <v>3433</v>
      </c>
      <c r="D3351" s="26" t="s">
        <v>64</v>
      </c>
      <c r="E3351" s="31">
        <v>46231.0</v>
      </c>
      <c r="F3351" s="26" t="s">
        <v>46</v>
      </c>
      <c r="G3351" s="26">
        <v>11.0</v>
      </c>
      <c r="H3351" s="26" t="s">
        <v>796</v>
      </c>
      <c r="I3351" s="26" t="s">
        <v>42</v>
      </c>
      <c r="J3351" s="25" t="str">
        <f t="shared" si="46"/>
        <v>No</v>
      </c>
      <c r="K3351" s="25" t="str">
        <f t="shared" si="47"/>
        <v/>
      </c>
      <c r="L3351" s="25" t="str">
        <f t="shared" si="48"/>
        <v/>
      </c>
      <c r="M3351" s="25"/>
      <c r="O3351" s="25"/>
    </row>
    <row r="3352" ht="15.75" customHeight="1">
      <c r="A3352" s="25" t="str">
        <f>IFERROR(__xludf.DUMMYFUNCTION("IF(B3352="""","""",RIGHT(REGEXREPLACE(B3352&amp;"""",""[^0-9]"",""""),9))"),"785908782")</f>
        <v>785908782</v>
      </c>
      <c r="B3352" s="52">
        <v>7.85908782E8</v>
      </c>
      <c r="C3352" s="28" t="s">
        <v>3434</v>
      </c>
      <c r="D3352" s="26" t="s">
        <v>49</v>
      </c>
      <c r="E3352" s="31">
        <v>46231.0</v>
      </c>
      <c r="F3352" s="26" t="s">
        <v>205</v>
      </c>
      <c r="G3352" s="26">
        <v>11.0</v>
      </c>
      <c r="H3352" s="26" t="s">
        <v>2682</v>
      </c>
      <c r="I3352" s="26" t="s">
        <v>42</v>
      </c>
      <c r="J3352" s="25" t="str">
        <f t="shared" si="46"/>
        <v>No</v>
      </c>
      <c r="K3352" s="25" t="str">
        <f t="shared" si="47"/>
        <v/>
      </c>
      <c r="L3352" s="25" t="str">
        <f t="shared" si="48"/>
        <v/>
      </c>
      <c r="M3352" s="25"/>
      <c r="O3352" s="25"/>
    </row>
    <row r="3353" ht="15.75" customHeight="1">
      <c r="A3353" s="25" t="str">
        <f>IFERROR(__xludf.DUMMYFUNCTION("IF(B3353="""","""",RIGHT(REGEXREPLACE(B3353&amp;"""",""[^0-9]"",""""),9))"),"743047952")</f>
        <v>743047952</v>
      </c>
      <c r="B3353" s="52">
        <v>7.43047952E8</v>
      </c>
      <c r="C3353" s="28" t="s">
        <v>3435</v>
      </c>
      <c r="D3353" s="26" t="s">
        <v>82</v>
      </c>
      <c r="E3353" s="31">
        <v>46231.0</v>
      </c>
      <c r="F3353" s="25"/>
      <c r="G3353" s="25"/>
      <c r="H3353" s="25"/>
      <c r="I3353" s="26" t="s">
        <v>42</v>
      </c>
      <c r="J3353" s="25" t="str">
        <f t="shared" si="46"/>
        <v>No</v>
      </c>
      <c r="K3353" s="25" t="str">
        <f t="shared" si="47"/>
        <v/>
      </c>
      <c r="L3353" s="25" t="str">
        <f t="shared" si="48"/>
        <v/>
      </c>
      <c r="M3353" s="25"/>
      <c r="N3353" s="25"/>
      <c r="O3353" s="25"/>
      <c r="P3353" s="25"/>
    </row>
    <row r="3354" ht="15.75" customHeight="1">
      <c r="A3354" s="25" t="str">
        <f>IFERROR(__xludf.DUMMYFUNCTION("IF(B3354="""","""",RIGHT(REGEXREPLACE(B3354&amp;"""",""[^0-9]"",""""),9))"),"704227819")</f>
        <v>704227819</v>
      </c>
      <c r="B3354" s="52">
        <v>7.04227819E8</v>
      </c>
      <c r="C3354" s="28" t="s">
        <v>3436</v>
      </c>
      <c r="D3354" s="26" t="s">
        <v>64</v>
      </c>
      <c r="E3354" s="31">
        <v>46231.0</v>
      </c>
      <c r="F3354" s="26" t="s">
        <v>46</v>
      </c>
      <c r="G3354" s="26">
        <v>11.0</v>
      </c>
      <c r="H3354" s="26" t="s">
        <v>796</v>
      </c>
      <c r="I3354" s="26" t="s">
        <v>42</v>
      </c>
      <c r="J3354" s="25" t="str">
        <f t="shared" si="46"/>
        <v>No</v>
      </c>
      <c r="K3354" s="25" t="str">
        <f t="shared" si="47"/>
        <v/>
      </c>
      <c r="L3354" s="25" t="str">
        <f t="shared" si="48"/>
        <v/>
      </c>
      <c r="M3354" s="25"/>
      <c r="O3354" s="25"/>
    </row>
    <row r="3355" ht="15.75" customHeight="1">
      <c r="A3355" s="25" t="str">
        <f>IFERROR(__xludf.DUMMYFUNCTION("IF(B3355="""","""",RIGHT(REGEXREPLACE(B3355&amp;"""",""[^0-9]"",""""),9))"),"768644516")</f>
        <v>768644516</v>
      </c>
      <c r="B3355" s="52">
        <v>7.68644516E8</v>
      </c>
      <c r="C3355" s="28" t="s">
        <v>3437</v>
      </c>
      <c r="D3355" s="26" t="s">
        <v>56</v>
      </c>
      <c r="E3355" s="31">
        <v>46231.0</v>
      </c>
      <c r="F3355" s="26" t="s">
        <v>84</v>
      </c>
      <c r="G3355" s="26">
        <v>11.0</v>
      </c>
      <c r="H3355" s="26" t="s">
        <v>280</v>
      </c>
      <c r="I3355" s="26" t="s">
        <v>42</v>
      </c>
      <c r="J3355" s="25" t="str">
        <f t="shared" si="46"/>
        <v>No</v>
      </c>
      <c r="K3355" s="25" t="str">
        <f t="shared" si="47"/>
        <v/>
      </c>
      <c r="L3355" s="25" t="str">
        <f t="shared" si="48"/>
        <v/>
      </c>
      <c r="M3355" s="25"/>
      <c r="O3355" s="25"/>
    </row>
    <row r="3356" ht="15.75" customHeight="1">
      <c r="A3356" s="25" t="str">
        <f>IFERROR(__xludf.DUMMYFUNCTION("IF(B3356="""","""",RIGHT(REGEXREPLACE(B3356&amp;"""",""[^0-9]"",""""),9))"),"779664564")</f>
        <v>779664564</v>
      </c>
      <c r="B3356" s="52">
        <v>7.79664564E8</v>
      </c>
      <c r="C3356" s="28" t="s">
        <v>3438</v>
      </c>
      <c r="D3356" s="26" t="s">
        <v>45</v>
      </c>
      <c r="E3356" s="31">
        <v>46231.0</v>
      </c>
      <c r="F3356" s="26" t="s">
        <v>46</v>
      </c>
      <c r="G3356" s="26">
        <v>11.0</v>
      </c>
      <c r="I3356" s="26" t="s">
        <v>42</v>
      </c>
      <c r="J3356" s="25" t="str">
        <f t="shared" si="46"/>
        <v>No</v>
      </c>
      <c r="K3356" s="25" t="str">
        <f t="shared" si="47"/>
        <v/>
      </c>
      <c r="L3356" s="25" t="str">
        <f t="shared" si="48"/>
        <v/>
      </c>
      <c r="M3356" s="25"/>
      <c r="O3356" s="25"/>
    </row>
    <row r="3357" ht="15.75" customHeight="1">
      <c r="A3357" s="25" t="str">
        <f>IFERROR(__xludf.DUMMYFUNCTION("IF(B3357="""","""",RIGHT(REGEXREPLACE(B3357&amp;"""",""[^0-9]"",""""),9))"),"776955841")</f>
        <v>776955841</v>
      </c>
      <c r="B3357" s="52">
        <v>7.76955841E8</v>
      </c>
      <c r="C3357" s="28" t="s">
        <v>3439</v>
      </c>
      <c r="D3357" s="26" t="s">
        <v>56</v>
      </c>
      <c r="E3357" s="31">
        <v>46231.0</v>
      </c>
      <c r="F3357" s="26" t="s">
        <v>41</v>
      </c>
      <c r="H3357" s="26" t="s">
        <v>796</v>
      </c>
      <c r="I3357" s="26" t="s">
        <v>42</v>
      </c>
      <c r="J3357" s="25" t="str">
        <f t="shared" si="46"/>
        <v>No</v>
      </c>
      <c r="K3357" s="25" t="str">
        <f t="shared" si="47"/>
        <v/>
      </c>
      <c r="L3357" s="25" t="str">
        <f t="shared" si="48"/>
        <v/>
      </c>
      <c r="M3357" s="25"/>
      <c r="O3357" s="25"/>
    </row>
    <row r="3358" ht="15.75" customHeight="1">
      <c r="A3358" s="25" t="str">
        <f>IFERROR(__xludf.DUMMYFUNCTION("IF(B3358="""","""",RIGHT(REGEXREPLACE(B3358&amp;"""",""[^0-9]"",""""),9))"),"778501163")</f>
        <v>778501163</v>
      </c>
      <c r="B3358" s="52">
        <v>7.78501163E8</v>
      </c>
      <c r="C3358" s="28" t="s">
        <v>3440</v>
      </c>
      <c r="D3358" s="26" t="s">
        <v>82</v>
      </c>
      <c r="E3358" s="31">
        <v>46231.0</v>
      </c>
      <c r="F3358" s="26" t="s">
        <v>46</v>
      </c>
      <c r="G3358" s="26">
        <v>11.0</v>
      </c>
      <c r="I3358" s="26" t="s">
        <v>42</v>
      </c>
      <c r="J3358" s="25" t="str">
        <f t="shared" si="46"/>
        <v>No</v>
      </c>
      <c r="K3358" s="25" t="str">
        <f t="shared" si="47"/>
        <v/>
      </c>
      <c r="L3358" s="25" t="str">
        <f t="shared" si="48"/>
        <v/>
      </c>
      <c r="M3358" s="25"/>
      <c r="O3358" s="25"/>
    </row>
    <row r="3359" ht="15.75" customHeight="1">
      <c r="A3359" s="25" t="str">
        <f>IFERROR(__xludf.DUMMYFUNCTION("IF(B3359="""","""",RIGHT(REGEXREPLACE(B3359&amp;"""",""[^0-9]"",""""),9))"),"728626096")</f>
        <v>728626096</v>
      </c>
      <c r="B3359" s="52">
        <v>7.28626096E8</v>
      </c>
      <c r="C3359" s="28" t="s">
        <v>3441</v>
      </c>
      <c r="D3359" s="26" t="s">
        <v>64</v>
      </c>
      <c r="E3359" s="31">
        <v>46231.0</v>
      </c>
      <c r="F3359" s="26" t="s">
        <v>205</v>
      </c>
      <c r="G3359" s="26">
        <v>11.0</v>
      </c>
      <c r="H3359" s="26" t="s">
        <v>796</v>
      </c>
      <c r="I3359" s="26" t="s">
        <v>42</v>
      </c>
      <c r="J3359" s="25" t="str">
        <f t="shared" si="46"/>
        <v>No</v>
      </c>
      <c r="K3359" s="25" t="str">
        <f t="shared" si="47"/>
        <v/>
      </c>
      <c r="L3359" s="25" t="str">
        <f t="shared" si="48"/>
        <v/>
      </c>
      <c r="M3359" s="25"/>
      <c r="O3359" s="25"/>
    </row>
    <row r="3360" ht="15.75" customHeight="1">
      <c r="A3360" s="25" t="str">
        <f>IFERROR(__xludf.DUMMYFUNCTION("IF(B3360="""","""",RIGHT(REGEXREPLACE(B3360&amp;"""",""[^0-9]"",""""),9))"),"765769272")</f>
        <v>765769272</v>
      </c>
      <c r="B3360" s="52">
        <v>7.65769272E8</v>
      </c>
      <c r="C3360" s="28" t="s">
        <v>716</v>
      </c>
      <c r="D3360" s="26" t="s">
        <v>49</v>
      </c>
      <c r="E3360" s="31">
        <v>46231.0</v>
      </c>
      <c r="F3360" s="26" t="s">
        <v>46</v>
      </c>
      <c r="G3360" s="26">
        <v>11.0</v>
      </c>
      <c r="H3360" s="26" t="s">
        <v>341</v>
      </c>
      <c r="I3360" s="26" t="s">
        <v>42</v>
      </c>
      <c r="J3360" s="25" t="str">
        <f t="shared" si="46"/>
        <v>Yes - see Previous F-Code</v>
      </c>
      <c r="K3360" s="25" t="str">
        <f t="shared" si="47"/>
        <v>DUPLICATE - CHECK</v>
      </c>
      <c r="L3360" s="25" t="str">
        <f t="shared" si="48"/>
        <v>F70504</v>
      </c>
      <c r="M3360" s="25"/>
      <c r="O3360" s="25"/>
    </row>
    <row r="3361" ht="15.75" customHeight="1">
      <c r="A3361" s="25" t="str">
        <f>IFERROR(__xludf.DUMMYFUNCTION("IF(B3361="""","""",RIGHT(REGEXREPLACE(B3361&amp;"""",""[^0-9]"",""""),9))"),"713361104")</f>
        <v>713361104</v>
      </c>
      <c r="B3361" s="52">
        <v>7.13361104E8</v>
      </c>
      <c r="C3361" s="28" t="s">
        <v>3442</v>
      </c>
      <c r="D3361" s="26" t="s">
        <v>64</v>
      </c>
      <c r="E3361" s="31">
        <v>46231.0</v>
      </c>
      <c r="F3361" s="26" t="s">
        <v>125</v>
      </c>
      <c r="G3361" s="26">
        <v>11.0</v>
      </c>
      <c r="H3361" s="26" t="s">
        <v>796</v>
      </c>
      <c r="I3361" s="26" t="s">
        <v>42</v>
      </c>
      <c r="J3361" s="25" t="str">
        <f t="shared" si="46"/>
        <v>No</v>
      </c>
      <c r="K3361" s="25" t="str">
        <f t="shared" si="47"/>
        <v/>
      </c>
      <c r="L3361" s="25" t="str">
        <f t="shared" si="48"/>
        <v/>
      </c>
      <c r="M3361" s="25"/>
      <c r="O3361" s="25"/>
    </row>
    <row r="3362" ht="15.75" customHeight="1">
      <c r="A3362" s="25" t="str">
        <f>IFERROR(__xludf.DUMMYFUNCTION("IF(B3362="""","""",RIGHT(REGEXREPLACE(B3362&amp;"""",""[^0-9]"",""""),9))"),"759024120")</f>
        <v>759024120</v>
      </c>
      <c r="B3362" s="52">
        <v>7.5902412E8</v>
      </c>
      <c r="C3362" s="28" t="s">
        <v>3443</v>
      </c>
      <c r="D3362" s="26" t="s">
        <v>56</v>
      </c>
      <c r="E3362" s="31">
        <v>46231.0</v>
      </c>
      <c r="F3362" s="26" t="s">
        <v>631</v>
      </c>
      <c r="G3362" s="26">
        <v>11.0</v>
      </c>
      <c r="H3362" s="26" t="s">
        <v>796</v>
      </c>
      <c r="I3362" s="26" t="s">
        <v>42</v>
      </c>
      <c r="J3362" s="25" t="str">
        <f t="shared" si="46"/>
        <v>No</v>
      </c>
      <c r="K3362" s="25" t="str">
        <f t="shared" si="47"/>
        <v/>
      </c>
      <c r="L3362" s="25" t="str">
        <f t="shared" si="48"/>
        <v/>
      </c>
      <c r="M3362" s="25"/>
      <c r="O3362" s="25"/>
    </row>
    <row r="3363" ht="15.75" customHeight="1">
      <c r="A3363" s="25" t="str">
        <f>IFERROR(__xludf.DUMMYFUNCTION("IF(B3363="""","""",RIGHT(REGEXREPLACE(B3363&amp;"""",""[^0-9]"",""""),9))"),"711368513")</f>
        <v>711368513</v>
      </c>
      <c r="B3363" s="52">
        <v>7.11368513E8</v>
      </c>
      <c r="C3363" s="28" t="s">
        <v>3444</v>
      </c>
      <c r="D3363" s="26" t="s">
        <v>82</v>
      </c>
      <c r="E3363" s="31">
        <v>46231.0</v>
      </c>
      <c r="F3363" s="26" t="s">
        <v>41</v>
      </c>
      <c r="I3363" s="26" t="s">
        <v>42</v>
      </c>
      <c r="J3363" s="25" t="str">
        <f t="shared" si="46"/>
        <v>No</v>
      </c>
      <c r="K3363" s="25" t="str">
        <f t="shared" si="47"/>
        <v/>
      </c>
      <c r="L3363" s="25" t="str">
        <f t="shared" si="48"/>
        <v/>
      </c>
      <c r="M3363" s="25"/>
      <c r="O3363" s="25"/>
    </row>
    <row r="3364" ht="15.75" customHeight="1">
      <c r="A3364" s="25" t="str">
        <f>IFERROR(__xludf.DUMMYFUNCTION("IF(B3364="""","""",RIGHT(REGEXREPLACE(B3364&amp;"""",""[^0-9]"",""""),9))"),"740876988")</f>
        <v>740876988</v>
      </c>
      <c r="B3364" s="52">
        <v>7.40876988E8</v>
      </c>
      <c r="C3364" s="28" t="s">
        <v>3445</v>
      </c>
      <c r="D3364" s="26" t="s">
        <v>64</v>
      </c>
      <c r="E3364" s="31">
        <v>46231.0</v>
      </c>
      <c r="F3364" s="26" t="s">
        <v>41</v>
      </c>
      <c r="G3364" s="26">
        <v>10.0</v>
      </c>
      <c r="H3364" s="26" t="s">
        <v>796</v>
      </c>
      <c r="I3364" s="26" t="s">
        <v>42</v>
      </c>
      <c r="J3364" s="25" t="str">
        <f t="shared" si="46"/>
        <v>No</v>
      </c>
      <c r="K3364" s="25" t="str">
        <f t="shared" si="47"/>
        <v/>
      </c>
      <c r="L3364" s="25" t="str">
        <f t="shared" si="48"/>
        <v/>
      </c>
      <c r="M3364" s="25"/>
      <c r="O3364" s="25"/>
    </row>
    <row r="3365" ht="15.75" customHeight="1">
      <c r="A3365" s="25" t="str">
        <f>IFERROR(__xludf.DUMMYFUNCTION("IF(B3365="""","""",RIGHT(REGEXREPLACE(B3365&amp;"""",""[^0-9]"",""""),9))"),"773851522")</f>
        <v>773851522</v>
      </c>
      <c r="B3365" s="52">
        <v>7.73851522E8</v>
      </c>
      <c r="C3365" s="28" t="s">
        <v>3446</v>
      </c>
      <c r="D3365" s="26" t="s">
        <v>82</v>
      </c>
      <c r="E3365" s="31">
        <v>46231.0</v>
      </c>
      <c r="F3365" s="26" t="s">
        <v>46</v>
      </c>
      <c r="G3365" s="26">
        <v>11.0</v>
      </c>
      <c r="I3365" s="26" t="s">
        <v>42</v>
      </c>
      <c r="J3365" s="25" t="str">
        <f t="shared" si="46"/>
        <v>No</v>
      </c>
      <c r="K3365" s="25" t="str">
        <f t="shared" si="47"/>
        <v/>
      </c>
      <c r="L3365" s="25" t="str">
        <f t="shared" si="48"/>
        <v/>
      </c>
      <c r="M3365" s="25"/>
      <c r="O3365" s="25"/>
    </row>
    <row r="3366" ht="15.75" customHeight="1">
      <c r="A3366" s="25" t="str">
        <f>IFERROR(__xludf.DUMMYFUNCTION("IF(B3366="""","""",RIGHT(REGEXREPLACE(B3366&amp;"""",""[^0-9]"",""""),9))"),"776095848")</f>
        <v>776095848</v>
      </c>
      <c r="B3366" s="52">
        <v>7.76095848E8</v>
      </c>
      <c r="C3366" s="28" t="s">
        <v>3447</v>
      </c>
      <c r="D3366" s="26" t="s">
        <v>56</v>
      </c>
      <c r="E3366" s="31">
        <v>46231.0</v>
      </c>
      <c r="F3366" s="26" t="s">
        <v>46</v>
      </c>
      <c r="G3366" s="26">
        <v>11.0</v>
      </c>
      <c r="H3366" s="26" t="s">
        <v>796</v>
      </c>
      <c r="I3366" s="26" t="s">
        <v>42</v>
      </c>
      <c r="J3366" s="25" t="str">
        <f t="shared" si="46"/>
        <v>No</v>
      </c>
      <c r="K3366" s="25" t="str">
        <f t="shared" si="47"/>
        <v/>
      </c>
      <c r="L3366" s="25" t="str">
        <f t="shared" si="48"/>
        <v/>
      </c>
      <c r="M3366" s="25"/>
      <c r="O3366" s="25"/>
    </row>
    <row r="3367" ht="15.75" customHeight="1">
      <c r="A3367" s="25" t="str">
        <f>IFERROR(__xludf.DUMMYFUNCTION("IF(B3367="""","""",RIGHT(REGEXREPLACE(B3367&amp;"""",""[^0-9]"",""""),9))"),"701111835")</f>
        <v>701111835</v>
      </c>
      <c r="B3367" s="52">
        <v>7.01111835E8</v>
      </c>
      <c r="C3367" s="28" t="s">
        <v>3448</v>
      </c>
      <c r="D3367" s="26" t="s">
        <v>64</v>
      </c>
      <c r="E3367" s="31">
        <v>46231.0</v>
      </c>
      <c r="F3367" s="26" t="s">
        <v>46</v>
      </c>
      <c r="G3367" s="26">
        <v>11.0</v>
      </c>
      <c r="H3367" s="26" t="s">
        <v>796</v>
      </c>
      <c r="I3367" s="26" t="s">
        <v>42</v>
      </c>
      <c r="J3367" s="25" t="str">
        <f t="shared" si="46"/>
        <v>No</v>
      </c>
      <c r="K3367" s="25" t="str">
        <f t="shared" si="47"/>
        <v/>
      </c>
      <c r="L3367" s="25" t="str">
        <f t="shared" si="48"/>
        <v/>
      </c>
      <c r="M3367" s="25"/>
      <c r="O3367" s="25"/>
    </row>
    <row r="3368" ht="15.75" customHeight="1">
      <c r="A3368" s="25" t="str">
        <f>IFERROR(__xludf.DUMMYFUNCTION("IF(B3368="""","""",RIGHT(REGEXREPLACE(B3368&amp;"""",""[^0-9]"",""""),9))"),"729004100")</f>
        <v>729004100</v>
      </c>
      <c r="B3368" s="52">
        <v>7.290041E8</v>
      </c>
      <c r="C3368" s="28" t="s">
        <v>3449</v>
      </c>
      <c r="D3368" s="26" t="s">
        <v>49</v>
      </c>
      <c r="E3368" s="31">
        <v>46231.0</v>
      </c>
      <c r="F3368" s="26" t="s">
        <v>46</v>
      </c>
      <c r="G3368" s="26">
        <v>11.0</v>
      </c>
      <c r="I3368" s="26" t="s">
        <v>42</v>
      </c>
      <c r="J3368" s="25" t="str">
        <f t="shared" si="46"/>
        <v>No</v>
      </c>
      <c r="K3368" s="25" t="str">
        <f t="shared" si="47"/>
        <v/>
      </c>
      <c r="L3368" s="25" t="str">
        <f t="shared" si="48"/>
        <v/>
      </c>
      <c r="M3368" s="25"/>
      <c r="O3368" s="25"/>
    </row>
    <row r="3369" ht="15.75" customHeight="1">
      <c r="A3369" s="25" t="str">
        <f>IFERROR(__xludf.DUMMYFUNCTION("IF(B3369="""","""",RIGHT(REGEXREPLACE(B3369&amp;"""",""[^0-9]"",""""),9))"),"718955022")</f>
        <v>718955022</v>
      </c>
      <c r="B3369" s="52">
        <v>7.18955022E8</v>
      </c>
      <c r="C3369" s="28" t="s">
        <v>3443</v>
      </c>
      <c r="D3369" s="26" t="s">
        <v>56</v>
      </c>
      <c r="E3369" s="31">
        <v>46231.0</v>
      </c>
      <c r="F3369" s="26" t="s">
        <v>46</v>
      </c>
      <c r="G3369" s="26">
        <v>11.0</v>
      </c>
      <c r="H3369" s="26" t="s">
        <v>796</v>
      </c>
      <c r="I3369" s="26" t="s">
        <v>42</v>
      </c>
      <c r="J3369" s="25" t="str">
        <f t="shared" si="46"/>
        <v>No</v>
      </c>
      <c r="K3369" s="25" t="str">
        <f t="shared" si="47"/>
        <v/>
      </c>
      <c r="L3369" s="25" t="str">
        <f t="shared" si="48"/>
        <v/>
      </c>
      <c r="M3369" s="25"/>
      <c r="O3369" s="25"/>
    </row>
    <row r="3370" ht="15.75" customHeight="1">
      <c r="A3370" s="25" t="str">
        <f>IFERROR(__xludf.DUMMYFUNCTION("IF(B3370="""","""",RIGHT(REGEXREPLACE(B3370&amp;"""",""[^0-9]"",""""),9))"),"774490256")</f>
        <v>774490256</v>
      </c>
      <c r="B3370" s="52">
        <v>7.74490256E8</v>
      </c>
      <c r="C3370" s="28" t="s">
        <v>3450</v>
      </c>
      <c r="D3370" s="26" t="s">
        <v>82</v>
      </c>
      <c r="E3370" s="31">
        <v>46231.0</v>
      </c>
      <c r="F3370" s="26" t="s">
        <v>41</v>
      </c>
      <c r="I3370" s="26" t="s">
        <v>42</v>
      </c>
      <c r="J3370" s="25" t="str">
        <f t="shared" si="46"/>
        <v>No</v>
      </c>
      <c r="K3370" s="25" t="str">
        <f t="shared" si="47"/>
        <v/>
      </c>
      <c r="L3370" s="25" t="str">
        <f t="shared" si="48"/>
        <v/>
      </c>
      <c r="M3370" s="25"/>
      <c r="O3370" s="25"/>
    </row>
    <row r="3371" ht="15.75" customHeight="1">
      <c r="A3371" s="25" t="str">
        <f>IFERROR(__xludf.DUMMYFUNCTION("IF(B3371="""","""",RIGHT(REGEXREPLACE(B3371&amp;"""",""[^0-9]"",""""),9))"),"740154750")</f>
        <v>740154750</v>
      </c>
      <c r="B3371" s="52">
        <v>7.4015475E8</v>
      </c>
      <c r="C3371" s="28" t="s">
        <v>3451</v>
      </c>
      <c r="D3371" s="26" t="s">
        <v>82</v>
      </c>
      <c r="E3371" s="31">
        <v>46231.0</v>
      </c>
      <c r="F3371" s="26" t="s">
        <v>125</v>
      </c>
      <c r="G3371" s="26">
        <v>10.0</v>
      </c>
      <c r="I3371" s="26" t="s">
        <v>42</v>
      </c>
      <c r="J3371" s="25" t="str">
        <f t="shared" si="46"/>
        <v>No</v>
      </c>
      <c r="K3371" s="25" t="str">
        <f t="shared" si="47"/>
        <v/>
      </c>
      <c r="L3371" s="25" t="str">
        <f t="shared" si="48"/>
        <v/>
      </c>
      <c r="M3371" s="25"/>
      <c r="O3371" s="25"/>
    </row>
    <row r="3372" ht="15.75" customHeight="1">
      <c r="A3372" s="25" t="str">
        <f>IFERROR(__xludf.DUMMYFUNCTION("IF(B3372="""","""",RIGHT(REGEXREPLACE(B3372&amp;"""",""[^0-9]"",""""),9))"),"702594775")</f>
        <v>702594775</v>
      </c>
      <c r="B3372" s="52">
        <v>7.02594775E8</v>
      </c>
      <c r="C3372" s="28" t="s">
        <v>3452</v>
      </c>
      <c r="D3372" s="26" t="s">
        <v>49</v>
      </c>
      <c r="E3372" s="31">
        <v>46231.0</v>
      </c>
      <c r="F3372" s="26" t="s">
        <v>46</v>
      </c>
      <c r="G3372" s="26">
        <v>11.0</v>
      </c>
      <c r="I3372" s="26" t="s">
        <v>42</v>
      </c>
      <c r="J3372" s="25" t="str">
        <f t="shared" si="46"/>
        <v>No</v>
      </c>
      <c r="K3372" s="25" t="str">
        <f t="shared" si="47"/>
        <v/>
      </c>
      <c r="L3372" s="25" t="str">
        <f t="shared" si="48"/>
        <v/>
      </c>
      <c r="M3372" s="25"/>
      <c r="O3372" s="25"/>
    </row>
    <row r="3373" ht="15.75" customHeight="1">
      <c r="A3373" s="25" t="str">
        <f>IFERROR(__xludf.DUMMYFUNCTION("IF(B3373="""","""",RIGHT(REGEXREPLACE(B3373&amp;"""",""[^0-9]"",""""),9))"),"777474839")</f>
        <v>777474839</v>
      </c>
      <c r="B3373" s="52">
        <v>7.77474839E8</v>
      </c>
      <c r="C3373" s="28" t="s">
        <v>3453</v>
      </c>
      <c r="D3373" s="26" t="s">
        <v>64</v>
      </c>
      <c r="E3373" s="31">
        <v>46231.0</v>
      </c>
      <c r="F3373" s="26" t="s">
        <v>205</v>
      </c>
      <c r="G3373" s="26">
        <v>9.0</v>
      </c>
      <c r="H3373" s="26" t="s">
        <v>1526</v>
      </c>
      <c r="I3373" s="26" t="s">
        <v>42</v>
      </c>
      <c r="J3373" s="25" t="str">
        <f t="shared" si="46"/>
        <v>No</v>
      </c>
      <c r="K3373" s="25" t="str">
        <f t="shared" si="47"/>
        <v/>
      </c>
      <c r="L3373" s="25" t="str">
        <f t="shared" si="48"/>
        <v/>
      </c>
      <c r="M3373" s="25"/>
      <c r="O3373" s="25"/>
    </row>
    <row r="3374" ht="15.75" customHeight="1">
      <c r="A3374" s="25" t="str">
        <f>IFERROR(__xludf.DUMMYFUNCTION("IF(B3374="""","""",RIGHT(REGEXREPLACE(B3374&amp;"""",""[^0-9]"",""""),9))"),"764166195")</f>
        <v>764166195</v>
      </c>
      <c r="B3374" s="52">
        <v>7.64166195E8</v>
      </c>
      <c r="C3374" s="28" t="s">
        <v>3454</v>
      </c>
      <c r="D3374" s="26" t="s">
        <v>82</v>
      </c>
      <c r="E3374" s="31">
        <v>46231.0</v>
      </c>
      <c r="F3374" s="26" t="s">
        <v>46</v>
      </c>
      <c r="G3374" s="26">
        <v>11.0</v>
      </c>
      <c r="I3374" s="26" t="s">
        <v>42</v>
      </c>
      <c r="J3374" s="25" t="str">
        <f t="shared" si="46"/>
        <v>No</v>
      </c>
      <c r="K3374" s="25" t="str">
        <f t="shared" si="47"/>
        <v/>
      </c>
      <c r="L3374" s="25" t="str">
        <f t="shared" si="48"/>
        <v/>
      </c>
      <c r="M3374" s="25"/>
      <c r="O3374" s="25"/>
    </row>
    <row r="3375" ht="15.75" customHeight="1">
      <c r="A3375" s="25" t="str">
        <f>IFERROR(__xludf.DUMMYFUNCTION("IF(B3375="""","""",RIGHT(REGEXREPLACE(B3375&amp;"""",""[^0-9]"",""""),9))"),"776837250")</f>
        <v>776837250</v>
      </c>
      <c r="B3375" s="52">
        <v>7.7683725E8</v>
      </c>
      <c r="C3375" s="28" t="s">
        <v>3455</v>
      </c>
      <c r="D3375" s="26" t="s">
        <v>64</v>
      </c>
      <c r="E3375" s="31">
        <v>46231.0</v>
      </c>
      <c r="F3375" s="26" t="s">
        <v>205</v>
      </c>
      <c r="H3375" s="26" t="s">
        <v>1526</v>
      </c>
      <c r="I3375" s="26" t="s">
        <v>42</v>
      </c>
      <c r="J3375" s="25" t="str">
        <f t="shared" si="46"/>
        <v>No</v>
      </c>
      <c r="K3375" s="25" t="str">
        <f t="shared" si="47"/>
        <v/>
      </c>
      <c r="L3375" s="25" t="str">
        <f t="shared" si="48"/>
        <v/>
      </c>
      <c r="M3375" s="25"/>
      <c r="O3375" s="25"/>
    </row>
    <row r="3376" ht="15.75" customHeight="1">
      <c r="A3376" s="25" t="str">
        <f>IFERROR(__xludf.DUMMYFUNCTION("IF(B3376="""","""",RIGHT(REGEXREPLACE(B3376&amp;"""",""[^0-9]"",""""),9))"),"701211170")</f>
        <v>701211170</v>
      </c>
      <c r="B3376" s="52">
        <v>7.0121117E8</v>
      </c>
      <c r="C3376" s="28" t="s">
        <v>3456</v>
      </c>
      <c r="D3376" s="26" t="s">
        <v>45</v>
      </c>
      <c r="E3376" s="31">
        <v>46231.0</v>
      </c>
      <c r="F3376" s="26" t="s">
        <v>46</v>
      </c>
      <c r="G3376" s="26">
        <v>11.0</v>
      </c>
      <c r="I3376" s="26" t="s">
        <v>42</v>
      </c>
      <c r="J3376" s="25" t="str">
        <f t="shared" si="46"/>
        <v>No</v>
      </c>
      <c r="K3376" s="25" t="str">
        <f t="shared" si="47"/>
        <v/>
      </c>
      <c r="L3376" s="25" t="str">
        <f t="shared" si="48"/>
        <v/>
      </c>
      <c r="M3376" s="25"/>
      <c r="O3376" s="25"/>
    </row>
    <row r="3377" ht="15.75" customHeight="1">
      <c r="A3377" s="25" t="str">
        <f>IFERROR(__xludf.DUMMYFUNCTION("IF(B3377="""","""",RIGHT(REGEXREPLACE(B3377&amp;"""",""[^0-9]"",""""),9))"),"760870117")</f>
        <v>760870117</v>
      </c>
      <c r="B3377" s="52">
        <v>7.60870117E8</v>
      </c>
      <c r="C3377" s="28" t="s">
        <v>3457</v>
      </c>
      <c r="D3377" s="26" t="s">
        <v>56</v>
      </c>
      <c r="E3377" s="31">
        <v>46231.0</v>
      </c>
      <c r="F3377" s="26" t="s">
        <v>46</v>
      </c>
      <c r="G3377" s="26">
        <v>11.0</v>
      </c>
      <c r="H3377" s="26" t="s">
        <v>89</v>
      </c>
      <c r="I3377" s="26" t="s">
        <v>42</v>
      </c>
      <c r="J3377" s="25" t="str">
        <f t="shared" si="46"/>
        <v>No</v>
      </c>
      <c r="K3377" s="25" t="str">
        <f t="shared" si="47"/>
        <v/>
      </c>
      <c r="L3377" s="25" t="str">
        <f t="shared" si="48"/>
        <v/>
      </c>
      <c r="M3377" s="25"/>
      <c r="O3377" s="25"/>
    </row>
    <row r="3378" ht="15.75" customHeight="1">
      <c r="A3378" s="25" t="str">
        <f>IFERROR(__xludf.DUMMYFUNCTION("IF(B3378="""","""",RIGHT(REGEXREPLACE(B3378&amp;"""",""[^0-9]"",""""),9))"),"762166912")</f>
        <v>762166912</v>
      </c>
      <c r="B3378" s="52">
        <v>7.62166912E8</v>
      </c>
      <c r="C3378" s="28" t="s">
        <v>3458</v>
      </c>
      <c r="D3378" s="26" t="s">
        <v>64</v>
      </c>
      <c r="E3378" s="31">
        <v>46231.0</v>
      </c>
      <c r="F3378" s="26" t="s">
        <v>41</v>
      </c>
      <c r="G3378" s="26">
        <v>10.0</v>
      </c>
      <c r="H3378" s="26" t="s">
        <v>1526</v>
      </c>
      <c r="I3378" s="26" t="s">
        <v>42</v>
      </c>
      <c r="J3378" s="25" t="str">
        <f t="shared" si="46"/>
        <v>No</v>
      </c>
      <c r="K3378" s="25" t="str">
        <f t="shared" si="47"/>
        <v/>
      </c>
      <c r="L3378" s="25" t="str">
        <f t="shared" si="48"/>
        <v/>
      </c>
      <c r="M3378" s="25"/>
      <c r="O3378" s="25"/>
    </row>
    <row r="3379" ht="15.75" customHeight="1">
      <c r="A3379" s="25" t="str">
        <f>IFERROR(__xludf.DUMMYFUNCTION("IF(B3379="""","""",RIGHT(REGEXREPLACE(B3379&amp;"""",""[^0-9]"",""""),9))"),"775990181")</f>
        <v>775990181</v>
      </c>
      <c r="B3379" s="52">
        <v>7.75990181E8</v>
      </c>
      <c r="C3379" s="28" t="s">
        <v>3459</v>
      </c>
      <c r="D3379" s="26" t="s">
        <v>49</v>
      </c>
      <c r="E3379" s="31">
        <v>46231.0</v>
      </c>
      <c r="F3379" s="26" t="s">
        <v>205</v>
      </c>
      <c r="I3379" s="26" t="s">
        <v>42</v>
      </c>
      <c r="J3379" s="25" t="str">
        <f t="shared" si="46"/>
        <v>No</v>
      </c>
      <c r="K3379" s="25" t="str">
        <f t="shared" si="47"/>
        <v/>
      </c>
      <c r="L3379" s="25" t="str">
        <f t="shared" si="48"/>
        <v/>
      </c>
      <c r="M3379" s="25"/>
      <c r="O3379" s="25"/>
    </row>
    <row r="3380" ht="15.75" customHeight="1">
      <c r="A3380" s="25" t="str">
        <f>IFERROR(__xludf.DUMMYFUNCTION("IF(B3380="""","""",RIGHT(REGEXREPLACE(B3380&amp;"""",""[^0-9]"",""""),9))"),"762425106")</f>
        <v>762425106</v>
      </c>
      <c r="B3380" s="52">
        <v>7.62425106E8</v>
      </c>
      <c r="C3380" s="28" t="s">
        <v>3460</v>
      </c>
      <c r="D3380" s="26" t="s">
        <v>82</v>
      </c>
      <c r="E3380" s="31">
        <v>46231.0</v>
      </c>
      <c r="F3380" s="26" t="s">
        <v>46</v>
      </c>
      <c r="G3380" s="26">
        <v>8.0</v>
      </c>
      <c r="H3380" s="26" t="s">
        <v>2605</v>
      </c>
      <c r="I3380" s="26" t="s">
        <v>42</v>
      </c>
      <c r="J3380" s="25" t="str">
        <f t="shared" si="46"/>
        <v>No</v>
      </c>
      <c r="K3380" s="25" t="str">
        <f t="shared" si="47"/>
        <v/>
      </c>
      <c r="L3380" s="25" t="str">
        <f t="shared" si="48"/>
        <v/>
      </c>
      <c r="M3380" s="25"/>
      <c r="O3380" s="25"/>
    </row>
    <row r="3381" ht="15.75" customHeight="1">
      <c r="A3381" s="25" t="str">
        <f>IFERROR(__xludf.DUMMYFUNCTION("IF(B3381="""","""",RIGHT(REGEXREPLACE(B3381&amp;"""",""[^0-9]"",""""),9))"),"712091095")</f>
        <v>712091095</v>
      </c>
      <c r="B3381" s="52">
        <v>7.12091095E8</v>
      </c>
      <c r="C3381" s="28" t="s">
        <v>3461</v>
      </c>
      <c r="D3381" s="26" t="s">
        <v>49</v>
      </c>
      <c r="E3381" s="31">
        <v>46231.0</v>
      </c>
      <c r="F3381" s="26" t="s">
        <v>46</v>
      </c>
      <c r="G3381" s="26">
        <v>11.0</v>
      </c>
      <c r="I3381" s="26" t="s">
        <v>42</v>
      </c>
      <c r="J3381" s="25" t="str">
        <f t="shared" si="46"/>
        <v>No</v>
      </c>
      <c r="K3381" s="25" t="str">
        <f t="shared" si="47"/>
        <v/>
      </c>
      <c r="L3381" s="25" t="str">
        <f t="shared" si="48"/>
        <v/>
      </c>
      <c r="M3381" s="25"/>
      <c r="O3381" s="25"/>
    </row>
    <row r="3382" ht="15.75" customHeight="1">
      <c r="A3382" s="25" t="str">
        <f>IFERROR(__xludf.DUMMYFUNCTION("IF(B3382="""","""",RIGHT(REGEXREPLACE(B3382&amp;"""",""[^0-9]"",""""),9))"),"753473372")</f>
        <v>753473372</v>
      </c>
      <c r="B3382" s="52">
        <v>7.53473372E8</v>
      </c>
      <c r="C3382" s="28" t="s">
        <v>3461</v>
      </c>
      <c r="D3382" s="26" t="s">
        <v>64</v>
      </c>
      <c r="E3382" s="31">
        <v>46231.0</v>
      </c>
      <c r="F3382" s="26" t="s">
        <v>46</v>
      </c>
      <c r="G3382" s="26">
        <v>11.0</v>
      </c>
      <c r="H3382" s="26" t="s">
        <v>1526</v>
      </c>
      <c r="I3382" s="26" t="s">
        <v>42</v>
      </c>
      <c r="J3382" s="25" t="str">
        <f t="shared" si="46"/>
        <v>No</v>
      </c>
      <c r="K3382" s="25" t="str">
        <f t="shared" si="47"/>
        <v/>
      </c>
      <c r="L3382" s="25" t="str">
        <f t="shared" si="48"/>
        <v/>
      </c>
      <c r="M3382" s="25"/>
      <c r="O3382" s="25"/>
    </row>
    <row r="3383" ht="15.75" customHeight="1">
      <c r="A3383" s="25" t="str">
        <f>IFERROR(__xludf.DUMMYFUNCTION("IF(B3383="""","""",RIGHT(REGEXREPLACE(B3383&amp;"""",""[^0-9]"",""""),9))"),"760141375")</f>
        <v>760141375</v>
      </c>
      <c r="B3383" s="52">
        <v>7.60141375E8</v>
      </c>
      <c r="C3383" s="28" t="s">
        <v>3462</v>
      </c>
      <c r="D3383" s="26" t="s">
        <v>56</v>
      </c>
      <c r="E3383" s="31">
        <v>46231.0</v>
      </c>
      <c r="F3383" s="26" t="s">
        <v>41</v>
      </c>
      <c r="G3383" s="26">
        <v>11.0</v>
      </c>
      <c r="I3383" s="26" t="s">
        <v>42</v>
      </c>
      <c r="J3383" s="25" t="str">
        <f t="shared" si="46"/>
        <v>No</v>
      </c>
      <c r="K3383" s="25" t="str">
        <f t="shared" si="47"/>
        <v/>
      </c>
      <c r="L3383" s="25" t="str">
        <f t="shared" si="48"/>
        <v/>
      </c>
      <c r="M3383" s="25"/>
      <c r="O3383" s="25"/>
    </row>
    <row r="3384" ht="15.75" customHeight="1">
      <c r="A3384" s="25" t="str">
        <f>IFERROR(__xludf.DUMMYFUNCTION("IF(B3384="""","""",RIGHT(REGEXREPLACE(B3384&amp;"""",""[^0-9]"",""""),9))"),"717370686")</f>
        <v>717370686</v>
      </c>
      <c r="B3384" s="52">
        <v>7.17370686E8</v>
      </c>
      <c r="C3384" s="28" t="s">
        <v>905</v>
      </c>
      <c r="D3384" s="26" t="s">
        <v>64</v>
      </c>
      <c r="E3384" s="31">
        <v>46231.0</v>
      </c>
      <c r="F3384" s="26" t="s">
        <v>84</v>
      </c>
      <c r="G3384" s="26">
        <v>11.0</v>
      </c>
      <c r="H3384" s="26" t="s">
        <v>1526</v>
      </c>
      <c r="I3384" s="26" t="s">
        <v>42</v>
      </c>
      <c r="J3384" s="25" t="str">
        <f t="shared" si="46"/>
        <v>No</v>
      </c>
      <c r="K3384" s="25" t="str">
        <f t="shared" si="47"/>
        <v/>
      </c>
      <c r="L3384" s="25" t="str">
        <f t="shared" si="48"/>
        <v/>
      </c>
      <c r="M3384" s="25"/>
      <c r="O3384" s="25"/>
    </row>
    <row r="3385" ht="15.75" customHeight="1">
      <c r="A3385" s="25" t="str">
        <f>IFERROR(__xludf.DUMMYFUNCTION("IF(B3385="""","""",RIGHT(REGEXREPLACE(B3385&amp;"""",""[^0-9]"",""""),9))"),"763597048")</f>
        <v>763597048</v>
      </c>
      <c r="B3385" s="52">
        <v>7.63597048E8</v>
      </c>
      <c r="C3385" s="28" t="s">
        <v>3463</v>
      </c>
      <c r="D3385" s="26" t="s">
        <v>82</v>
      </c>
      <c r="E3385" s="31">
        <v>46231.0</v>
      </c>
      <c r="F3385" s="26" t="s">
        <v>41</v>
      </c>
      <c r="H3385" s="26" t="s">
        <v>2605</v>
      </c>
      <c r="I3385" s="26" t="s">
        <v>42</v>
      </c>
      <c r="J3385" s="25" t="str">
        <f t="shared" si="46"/>
        <v>No</v>
      </c>
      <c r="K3385" s="25" t="str">
        <f t="shared" si="47"/>
        <v/>
      </c>
      <c r="L3385" s="25" t="str">
        <f t="shared" si="48"/>
        <v/>
      </c>
      <c r="M3385" s="25"/>
      <c r="O3385" s="25"/>
    </row>
    <row r="3386" ht="15.75" customHeight="1">
      <c r="A3386" s="25" t="str">
        <f>IFERROR(__xludf.DUMMYFUNCTION("IF(B3386="""","""",RIGHT(REGEXREPLACE(B3386&amp;"""",""[^0-9]"",""""),9))"),"728093188")</f>
        <v>728093188</v>
      </c>
      <c r="B3386" s="52">
        <v>7.28093188E8</v>
      </c>
      <c r="C3386" s="28" t="s">
        <v>3464</v>
      </c>
      <c r="D3386" s="26" t="s">
        <v>49</v>
      </c>
      <c r="E3386" s="31">
        <v>46231.0</v>
      </c>
      <c r="F3386" s="26" t="s">
        <v>41</v>
      </c>
      <c r="I3386" s="26" t="s">
        <v>42</v>
      </c>
      <c r="J3386" s="25" t="str">
        <f t="shared" si="46"/>
        <v>No</v>
      </c>
      <c r="K3386" s="25" t="str">
        <f t="shared" si="47"/>
        <v/>
      </c>
      <c r="L3386" s="25" t="str">
        <f t="shared" si="48"/>
        <v/>
      </c>
      <c r="M3386" s="25"/>
      <c r="O3386" s="25"/>
    </row>
    <row r="3387" ht="15.75" customHeight="1">
      <c r="A3387" s="25" t="str">
        <f>IFERROR(__xludf.DUMMYFUNCTION("IF(B3387="""","""",RIGHT(REGEXREPLACE(B3387&amp;"""",""[^0-9]"",""""),9))"),"717388588")</f>
        <v>717388588</v>
      </c>
      <c r="B3387" s="52">
        <v>7.17388588E8</v>
      </c>
      <c r="C3387" s="28" t="s">
        <v>3465</v>
      </c>
      <c r="D3387" s="26" t="s">
        <v>56</v>
      </c>
      <c r="E3387" s="31">
        <v>46231.0</v>
      </c>
      <c r="F3387" s="26" t="s">
        <v>41</v>
      </c>
      <c r="G3387" s="26">
        <v>11.0</v>
      </c>
      <c r="I3387" s="26" t="s">
        <v>42</v>
      </c>
      <c r="J3387" s="25" t="str">
        <f t="shared" si="46"/>
        <v>No</v>
      </c>
      <c r="K3387" s="25" t="str">
        <f t="shared" si="47"/>
        <v/>
      </c>
      <c r="L3387" s="25" t="str">
        <f t="shared" si="48"/>
        <v/>
      </c>
      <c r="M3387" s="25"/>
      <c r="O3387" s="25"/>
    </row>
    <row r="3388" ht="15.75" customHeight="1">
      <c r="A3388" s="25" t="str">
        <f>IFERROR(__xludf.DUMMYFUNCTION("IF(B3388="""","""",RIGHT(REGEXREPLACE(B3388&amp;"""",""[^0-9]"",""""),9))"),"765508830")</f>
        <v>765508830</v>
      </c>
      <c r="B3388" s="52">
        <v>7.6550883E8</v>
      </c>
      <c r="C3388" s="28" t="s">
        <v>3466</v>
      </c>
      <c r="D3388" s="26" t="s">
        <v>82</v>
      </c>
      <c r="E3388" s="31">
        <v>46231.0</v>
      </c>
      <c r="F3388" s="26" t="s">
        <v>46</v>
      </c>
      <c r="G3388" s="26">
        <v>11.0</v>
      </c>
      <c r="I3388" s="26" t="s">
        <v>42</v>
      </c>
      <c r="J3388" s="25" t="str">
        <f t="shared" si="46"/>
        <v>No</v>
      </c>
      <c r="K3388" s="25" t="str">
        <f t="shared" si="47"/>
        <v/>
      </c>
      <c r="L3388" s="25" t="str">
        <f t="shared" si="48"/>
        <v/>
      </c>
      <c r="M3388" s="25"/>
      <c r="O3388" s="25"/>
    </row>
    <row r="3389" ht="15.75" customHeight="1">
      <c r="A3389" s="25" t="str">
        <f>IFERROR(__xludf.DUMMYFUNCTION("IF(B3389="""","""",RIGHT(REGEXREPLACE(B3389&amp;"""",""[^0-9]"",""""),9))"),"755790083")</f>
        <v>755790083</v>
      </c>
      <c r="B3389" s="52">
        <v>7.55790083E8</v>
      </c>
      <c r="C3389" s="28" t="s">
        <v>3467</v>
      </c>
      <c r="D3389" s="26" t="s">
        <v>64</v>
      </c>
      <c r="E3389" s="31">
        <v>46231.0</v>
      </c>
      <c r="F3389" s="26" t="s">
        <v>41</v>
      </c>
      <c r="G3389" s="26">
        <v>11.0</v>
      </c>
      <c r="H3389" s="26" t="s">
        <v>796</v>
      </c>
      <c r="I3389" s="26" t="s">
        <v>42</v>
      </c>
      <c r="J3389" s="25" t="str">
        <f t="shared" si="46"/>
        <v>No</v>
      </c>
      <c r="K3389" s="25" t="str">
        <f t="shared" si="47"/>
        <v/>
      </c>
      <c r="L3389" s="25" t="str">
        <f t="shared" si="48"/>
        <v/>
      </c>
      <c r="M3389" s="25"/>
      <c r="O3389" s="25"/>
    </row>
    <row r="3390" ht="15.75" customHeight="1">
      <c r="A3390" s="25" t="str">
        <f>IFERROR(__xludf.DUMMYFUNCTION("IF(B3390="""","""",RIGHT(REGEXREPLACE(B3390&amp;"""",""[^0-9]"",""""),9))"),"766286464")</f>
        <v>766286464</v>
      </c>
      <c r="B3390" s="52">
        <v>7.66286464E8</v>
      </c>
      <c r="C3390" s="28" t="s">
        <v>3468</v>
      </c>
      <c r="D3390" s="26" t="s">
        <v>64</v>
      </c>
      <c r="E3390" s="31">
        <v>46231.0</v>
      </c>
      <c r="F3390" s="26" t="s">
        <v>41</v>
      </c>
      <c r="H3390" s="26" t="s">
        <v>796</v>
      </c>
      <c r="I3390" s="26" t="s">
        <v>42</v>
      </c>
      <c r="J3390" s="25" t="str">
        <f t="shared" si="46"/>
        <v>No</v>
      </c>
      <c r="K3390" s="25" t="str">
        <f t="shared" si="47"/>
        <v/>
      </c>
      <c r="L3390" s="25" t="str">
        <f t="shared" si="48"/>
        <v/>
      </c>
      <c r="M3390" s="25"/>
      <c r="O3390" s="25"/>
    </row>
    <row r="3391" ht="15.75" customHeight="1">
      <c r="A3391" s="25" t="str">
        <f>IFERROR(__xludf.DUMMYFUNCTION("IF(B3391="""","""",RIGHT(REGEXREPLACE(B3391&amp;"""",""[^0-9]"",""""),9))"),"776717527")</f>
        <v>776717527</v>
      </c>
      <c r="B3391" s="52">
        <v>7.76717527E8</v>
      </c>
      <c r="C3391" s="28" t="s">
        <v>3469</v>
      </c>
      <c r="D3391" s="26" t="s">
        <v>49</v>
      </c>
      <c r="E3391" s="31">
        <v>46231.0</v>
      </c>
      <c r="F3391" s="26" t="s">
        <v>46</v>
      </c>
      <c r="G3391" s="26">
        <v>11.0</v>
      </c>
      <c r="I3391" s="26" t="s">
        <v>42</v>
      </c>
      <c r="J3391" s="25" t="str">
        <f t="shared" si="46"/>
        <v>No</v>
      </c>
      <c r="K3391" s="25" t="str">
        <f t="shared" si="47"/>
        <v/>
      </c>
      <c r="L3391" s="25" t="str">
        <f t="shared" si="48"/>
        <v/>
      </c>
      <c r="M3391" s="25"/>
      <c r="O3391" s="25"/>
    </row>
    <row r="3392" ht="15.75" customHeight="1">
      <c r="A3392" s="25" t="str">
        <f>IFERROR(__xludf.DUMMYFUNCTION("IF(B3392="""","""",RIGHT(REGEXREPLACE(B3392&amp;"""",""[^0-9]"",""""),9))"),"714465405")</f>
        <v>714465405</v>
      </c>
      <c r="B3392" s="52">
        <v>7.14465405E8</v>
      </c>
      <c r="C3392" s="28" t="s">
        <v>3470</v>
      </c>
      <c r="D3392" s="26" t="s">
        <v>56</v>
      </c>
      <c r="E3392" s="31">
        <v>46231.0</v>
      </c>
      <c r="F3392" s="26" t="s">
        <v>631</v>
      </c>
      <c r="G3392" s="26">
        <v>11.0</v>
      </c>
      <c r="H3392" s="26" t="s">
        <v>796</v>
      </c>
      <c r="I3392" s="26" t="s">
        <v>42</v>
      </c>
      <c r="J3392" s="25" t="str">
        <f t="shared" si="46"/>
        <v>No</v>
      </c>
      <c r="K3392" s="25" t="str">
        <f t="shared" si="47"/>
        <v/>
      </c>
      <c r="L3392" s="25" t="str">
        <f t="shared" si="48"/>
        <v/>
      </c>
      <c r="M3392" s="25"/>
      <c r="O3392" s="25"/>
    </row>
    <row r="3393" ht="15.75" customHeight="1">
      <c r="A3393" s="25" t="str">
        <f>IFERROR(__xludf.DUMMYFUNCTION("IF(B3393="""","""",RIGHT(REGEXREPLACE(B3393&amp;"""",""[^0-9]"",""""),9))"),"779884153")</f>
        <v>779884153</v>
      </c>
      <c r="B3393" s="52">
        <v>7.79884153E8</v>
      </c>
      <c r="C3393" s="28" t="s">
        <v>3471</v>
      </c>
      <c r="D3393" s="26" t="s">
        <v>64</v>
      </c>
      <c r="E3393" s="31">
        <v>46231.0</v>
      </c>
      <c r="F3393" s="26" t="s">
        <v>46</v>
      </c>
      <c r="G3393" s="26">
        <v>11.0</v>
      </c>
      <c r="H3393" s="26" t="s">
        <v>796</v>
      </c>
      <c r="I3393" s="26" t="s">
        <v>42</v>
      </c>
      <c r="J3393" s="25" t="str">
        <f t="shared" si="46"/>
        <v>No</v>
      </c>
      <c r="K3393" s="25" t="str">
        <f t="shared" si="47"/>
        <v/>
      </c>
      <c r="L3393" s="25" t="str">
        <f t="shared" si="48"/>
        <v/>
      </c>
      <c r="M3393" s="25"/>
      <c r="O3393" s="25"/>
    </row>
    <row r="3394" ht="15.75" customHeight="1">
      <c r="A3394" s="25" t="str">
        <f>IFERROR(__xludf.DUMMYFUNCTION("IF(B3394="""","""",RIGHT(REGEXREPLACE(B3394&amp;"""",""[^0-9]"",""""),9))"),"761075253")</f>
        <v>761075253</v>
      </c>
      <c r="B3394" s="52">
        <v>7.61075253E8</v>
      </c>
      <c r="C3394" s="28" t="s">
        <v>3472</v>
      </c>
      <c r="D3394" s="26" t="s">
        <v>56</v>
      </c>
      <c r="E3394" s="31">
        <v>46231.0</v>
      </c>
      <c r="F3394" s="26" t="s">
        <v>41</v>
      </c>
      <c r="I3394" s="26" t="s">
        <v>42</v>
      </c>
      <c r="J3394" s="25" t="str">
        <f t="shared" si="46"/>
        <v>No</v>
      </c>
      <c r="K3394" s="25" t="str">
        <f t="shared" si="47"/>
        <v/>
      </c>
      <c r="L3394" s="25" t="str">
        <f t="shared" si="48"/>
        <v/>
      </c>
      <c r="M3394" s="25"/>
      <c r="O3394" s="25"/>
    </row>
    <row r="3395" ht="15.75" customHeight="1">
      <c r="A3395" s="25" t="str">
        <f>IFERROR(__xludf.DUMMYFUNCTION("IF(B3395="""","""",RIGHT(REGEXREPLACE(B3395&amp;"""",""[^0-9]"",""""),9))"),"768369681")</f>
        <v>768369681</v>
      </c>
      <c r="B3395" s="52">
        <v>7.68369681E8</v>
      </c>
      <c r="C3395" s="28" t="s">
        <v>3473</v>
      </c>
      <c r="D3395" s="26" t="s">
        <v>64</v>
      </c>
      <c r="E3395" s="31">
        <v>46231.0</v>
      </c>
      <c r="F3395" s="26" t="s">
        <v>46</v>
      </c>
      <c r="G3395" s="26">
        <v>11.0</v>
      </c>
      <c r="H3395" s="26" t="s">
        <v>796</v>
      </c>
      <c r="I3395" s="26" t="s">
        <v>42</v>
      </c>
      <c r="J3395" s="25" t="str">
        <f t="shared" si="46"/>
        <v>No</v>
      </c>
      <c r="K3395" s="25" t="str">
        <f t="shared" si="47"/>
        <v/>
      </c>
      <c r="L3395" s="25" t="str">
        <f t="shared" si="48"/>
        <v/>
      </c>
      <c r="M3395" s="25"/>
      <c r="O3395" s="25"/>
    </row>
    <row r="3396" ht="15.75" customHeight="1">
      <c r="A3396" s="25" t="str">
        <f>IFERROR(__xludf.DUMMYFUNCTION("IF(B3396="""","""",RIGHT(REGEXREPLACE(B3396&amp;"""",""[^0-9]"",""""),9))"),"772200801")</f>
        <v>772200801</v>
      </c>
      <c r="B3396" s="52">
        <v>7.72200801E8</v>
      </c>
      <c r="C3396" s="28" t="s">
        <v>3474</v>
      </c>
      <c r="D3396" s="26" t="s">
        <v>82</v>
      </c>
      <c r="E3396" s="31">
        <v>46231.0</v>
      </c>
      <c r="F3396" s="26" t="s">
        <v>46</v>
      </c>
      <c r="G3396" s="26">
        <v>11.0</v>
      </c>
      <c r="H3396" s="26" t="s">
        <v>796</v>
      </c>
      <c r="I3396" s="26" t="s">
        <v>42</v>
      </c>
      <c r="J3396" s="25" t="str">
        <f t="shared" si="46"/>
        <v>No</v>
      </c>
      <c r="K3396" s="25" t="str">
        <f t="shared" si="47"/>
        <v/>
      </c>
      <c r="L3396" s="25" t="str">
        <f t="shared" si="48"/>
        <v/>
      </c>
      <c r="M3396" s="25"/>
      <c r="O3396" s="25"/>
    </row>
    <row r="3397" ht="15.75" customHeight="1">
      <c r="A3397" s="25" t="str">
        <f>IFERROR(__xludf.DUMMYFUNCTION("IF(B3397="""","""",RIGHT(REGEXREPLACE(B3397&amp;"""",""[^0-9]"",""""),9))"),"779188140")</f>
        <v>779188140</v>
      </c>
      <c r="B3397" s="52">
        <v>7.7918814E8</v>
      </c>
      <c r="C3397" s="28" t="s">
        <v>3475</v>
      </c>
      <c r="D3397" s="26" t="s">
        <v>49</v>
      </c>
      <c r="E3397" s="31">
        <v>46231.0</v>
      </c>
      <c r="F3397" s="26" t="s">
        <v>46</v>
      </c>
      <c r="G3397" s="26">
        <v>11.0</v>
      </c>
      <c r="I3397" s="26" t="s">
        <v>42</v>
      </c>
      <c r="J3397" s="25" t="str">
        <f t="shared" si="46"/>
        <v>No</v>
      </c>
      <c r="K3397" s="25" t="str">
        <f t="shared" si="47"/>
        <v/>
      </c>
      <c r="L3397" s="25" t="str">
        <f t="shared" si="48"/>
        <v/>
      </c>
      <c r="M3397" s="25"/>
      <c r="O3397" s="25"/>
    </row>
    <row r="3398" ht="15.75" customHeight="1">
      <c r="A3398" s="25" t="str">
        <f>IFERROR(__xludf.DUMMYFUNCTION("IF(B3398="""","""",RIGHT(REGEXREPLACE(B3398&amp;"""",""[^0-9]"",""""),9))"),"786958250")</f>
        <v>786958250</v>
      </c>
      <c r="B3398" s="52">
        <v>7.8695825E8</v>
      </c>
      <c r="C3398" s="28" t="s">
        <v>3476</v>
      </c>
      <c r="D3398" s="26" t="s">
        <v>56</v>
      </c>
      <c r="E3398" s="31">
        <v>46231.0</v>
      </c>
      <c r="F3398" s="26" t="s">
        <v>631</v>
      </c>
      <c r="G3398" s="26">
        <v>11.0</v>
      </c>
      <c r="H3398" s="26" t="s">
        <v>774</v>
      </c>
      <c r="I3398" s="26" t="s">
        <v>42</v>
      </c>
      <c r="J3398" s="25" t="str">
        <f t="shared" si="46"/>
        <v>No</v>
      </c>
      <c r="K3398" s="25" t="str">
        <f t="shared" si="47"/>
        <v/>
      </c>
      <c r="L3398" s="25" t="str">
        <f t="shared" si="48"/>
        <v/>
      </c>
      <c r="M3398" s="25"/>
      <c r="O3398" s="25"/>
    </row>
    <row r="3399" ht="15.75" customHeight="1">
      <c r="A3399" s="25" t="str">
        <f>IFERROR(__xludf.DUMMYFUNCTION("IF(B3399="""","""",RIGHT(REGEXREPLACE(B3399&amp;"""",""[^0-9]"",""""),9))"),"718509976")</f>
        <v>718509976</v>
      </c>
      <c r="B3399" s="52">
        <v>7.18509976E8</v>
      </c>
      <c r="C3399" s="28" t="s">
        <v>3477</v>
      </c>
      <c r="D3399" s="26" t="s">
        <v>64</v>
      </c>
      <c r="E3399" s="31">
        <v>46231.0</v>
      </c>
      <c r="F3399" s="26" t="s">
        <v>125</v>
      </c>
      <c r="H3399" s="26" t="s">
        <v>1526</v>
      </c>
      <c r="I3399" s="26" t="s">
        <v>42</v>
      </c>
      <c r="J3399" s="25" t="str">
        <f t="shared" si="46"/>
        <v>No</v>
      </c>
      <c r="K3399" s="25" t="str">
        <f t="shared" si="47"/>
        <v/>
      </c>
      <c r="L3399" s="25" t="str">
        <f t="shared" si="48"/>
        <v/>
      </c>
      <c r="M3399" s="25"/>
      <c r="O3399" s="25"/>
    </row>
    <row r="3400" ht="15.75" customHeight="1">
      <c r="A3400" s="25" t="str">
        <f>IFERROR(__xludf.DUMMYFUNCTION("IF(B3400="""","""",RIGHT(REGEXREPLACE(B3400&amp;"""",""[^0-9]"",""""),9))"),"760487591")</f>
        <v>760487591</v>
      </c>
      <c r="B3400" s="52">
        <v>7.60487591E8</v>
      </c>
      <c r="C3400" s="28" t="s">
        <v>3478</v>
      </c>
      <c r="D3400" s="26" t="s">
        <v>82</v>
      </c>
      <c r="E3400" s="31">
        <v>46231.0</v>
      </c>
      <c r="F3400" s="26" t="s">
        <v>46</v>
      </c>
      <c r="G3400" s="26">
        <v>11.0</v>
      </c>
      <c r="H3400" s="26" t="s">
        <v>2605</v>
      </c>
      <c r="I3400" s="26" t="s">
        <v>42</v>
      </c>
      <c r="J3400" s="25" t="str">
        <f t="shared" si="46"/>
        <v>No</v>
      </c>
      <c r="K3400" s="25" t="str">
        <f t="shared" si="47"/>
        <v/>
      </c>
      <c r="L3400" s="25" t="str">
        <f t="shared" si="48"/>
        <v/>
      </c>
      <c r="M3400" s="25"/>
      <c r="O3400" s="25"/>
    </row>
    <row r="3401" ht="15.75" customHeight="1">
      <c r="A3401" s="25" t="str">
        <f>IFERROR(__xludf.DUMMYFUNCTION("IF(B3401="""","""",RIGHT(REGEXREPLACE(B3401&amp;"""",""[^0-9]"",""""),9))"),"756456706")</f>
        <v>756456706</v>
      </c>
      <c r="B3401" s="52">
        <v>7.56456706E8</v>
      </c>
      <c r="C3401" s="28" t="s">
        <v>3479</v>
      </c>
      <c r="D3401" s="26" t="s">
        <v>56</v>
      </c>
      <c r="E3401" s="31">
        <v>46231.0</v>
      </c>
      <c r="F3401" s="26" t="s">
        <v>46</v>
      </c>
      <c r="G3401" s="26">
        <v>11.0</v>
      </c>
      <c r="H3401" s="26" t="s">
        <v>796</v>
      </c>
      <c r="I3401" s="26" t="s">
        <v>42</v>
      </c>
      <c r="J3401" s="25" t="str">
        <f t="shared" si="46"/>
        <v>No</v>
      </c>
      <c r="K3401" s="25" t="str">
        <f t="shared" si="47"/>
        <v/>
      </c>
      <c r="L3401" s="25" t="str">
        <f t="shared" si="48"/>
        <v/>
      </c>
      <c r="M3401" s="25"/>
      <c r="O3401" s="25"/>
    </row>
    <row r="3402" ht="15.75" customHeight="1">
      <c r="A3402" s="25" t="str">
        <f>IFERROR(__xludf.DUMMYFUNCTION("IF(B3402="""","""",RIGHT(REGEXREPLACE(B3402&amp;"""",""[^0-9]"",""""),9))"),"779011978")</f>
        <v>779011978</v>
      </c>
      <c r="B3402" s="52">
        <v>7.79011978E8</v>
      </c>
      <c r="C3402" s="28" t="s">
        <v>3480</v>
      </c>
      <c r="D3402" s="26" t="s">
        <v>64</v>
      </c>
      <c r="E3402" s="31">
        <v>46231.0</v>
      </c>
      <c r="F3402" s="26" t="s">
        <v>46</v>
      </c>
      <c r="G3402" s="26">
        <v>10.0</v>
      </c>
      <c r="H3402" s="26" t="s">
        <v>1567</v>
      </c>
      <c r="I3402" s="26" t="s">
        <v>42</v>
      </c>
      <c r="J3402" s="25" t="str">
        <f t="shared" si="46"/>
        <v>No</v>
      </c>
      <c r="K3402" s="25" t="str">
        <f t="shared" si="47"/>
        <v/>
      </c>
      <c r="L3402" s="25" t="str">
        <f t="shared" si="48"/>
        <v/>
      </c>
      <c r="M3402" s="25"/>
      <c r="O3402" s="25"/>
    </row>
    <row r="3403" ht="15.75" customHeight="1">
      <c r="A3403" s="25" t="str">
        <f>IFERROR(__xludf.DUMMYFUNCTION("IF(B3403="""","""",RIGHT(REGEXREPLACE(B3403&amp;"""",""[^0-9]"",""""),9))"),"741241703")</f>
        <v>741241703</v>
      </c>
      <c r="B3403" s="52">
        <v>7.41241703E8</v>
      </c>
      <c r="C3403" s="28" t="s">
        <v>3481</v>
      </c>
      <c r="D3403" s="26" t="s">
        <v>56</v>
      </c>
      <c r="E3403" s="31">
        <v>46231.0</v>
      </c>
      <c r="F3403" s="26" t="s">
        <v>46</v>
      </c>
      <c r="H3403" s="26" t="s">
        <v>796</v>
      </c>
      <c r="I3403" s="26" t="s">
        <v>42</v>
      </c>
      <c r="J3403" s="25" t="str">
        <f t="shared" si="46"/>
        <v>No</v>
      </c>
      <c r="K3403" s="25" t="str">
        <f t="shared" si="47"/>
        <v/>
      </c>
      <c r="L3403" s="25" t="str">
        <f t="shared" si="48"/>
        <v/>
      </c>
      <c r="M3403" s="25"/>
      <c r="O3403" s="25"/>
    </row>
    <row r="3404" ht="15.75" customHeight="1">
      <c r="A3404" s="25" t="str">
        <f>IFERROR(__xludf.DUMMYFUNCTION("IF(B3404="""","""",RIGHT(REGEXREPLACE(B3404&amp;"""",""[^0-9]"",""""),9))"),"764874854")</f>
        <v>764874854</v>
      </c>
      <c r="B3404" s="52">
        <v>7.64874854E8</v>
      </c>
      <c r="C3404" s="28" t="s">
        <v>3482</v>
      </c>
      <c r="D3404" s="26" t="s">
        <v>82</v>
      </c>
      <c r="E3404" s="31">
        <v>46231.0</v>
      </c>
      <c r="F3404" s="26" t="s">
        <v>46</v>
      </c>
      <c r="G3404" s="26">
        <v>11.0</v>
      </c>
      <c r="H3404" s="26" t="s">
        <v>2605</v>
      </c>
      <c r="I3404" s="26" t="s">
        <v>42</v>
      </c>
      <c r="J3404" s="25" t="str">
        <f t="shared" si="46"/>
        <v>No</v>
      </c>
      <c r="K3404" s="25" t="str">
        <f t="shared" si="47"/>
        <v/>
      </c>
      <c r="L3404" s="25" t="str">
        <f t="shared" si="48"/>
        <v/>
      </c>
      <c r="M3404" s="25"/>
      <c r="O3404" s="25"/>
    </row>
    <row r="3405" ht="15.75" customHeight="1">
      <c r="A3405" s="25" t="str">
        <f>IFERROR(__xludf.DUMMYFUNCTION("IF(B3405="""","""",RIGHT(REGEXREPLACE(B3405&amp;"""",""[^0-9]"",""""),9))"),"781777643")</f>
        <v>781777643</v>
      </c>
      <c r="B3405" s="52">
        <v>7.81777643E8</v>
      </c>
      <c r="C3405" s="28" t="s">
        <v>3483</v>
      </c>
      <c r="D3405" s="26" t="s">
        <v>49</v>
      </c>
      <c r="E3405" s="31">
        <v>46231.0</v>
      </c>
      <c r="F3405" s="26" t="s">
        <v>41</v>
      </c>
      <c r="G3405" s="26">
        <v>11.0</v>
      </c>
      <c r="I3405" s="26" t="s">
        <v>42</v>
      </c>
      <c r="J3405" s="25" t="str">
        <f t="shared" si="46"/>
        <v>No</v>
      </c>
      <c r="K3405" s="25" t="str">
        <f t="shared" si="47"/>
        <v/>
      </c>
      <c r="L3405" s="25" t="str">
        <f t="shared" si="48"/>
        <v/>
      </c>
      <c r="M3405" s="25"/>
      <c r="O3405" s="25"/>
    </row>
    <row r="3406" ht="15.75" customHeight="1">
      <c r="A3406" s="25" t="str">
        <f>IFERROR(__xludf.DUMMYFUNCTION("IF(B3406="""","""",RIGHT(REGEXREPLACE(B3406&amp;"""",""[^0-9]"",""""),9))"),"778135294")</f>
        <v>778135294</v>
      </c>
      <c r="B3406" s="52">
        <v>7.78135294E8</v>
      </c>
      <c r="C3406" s="28" t="s">
        <v>3484</v>
      </c>
      <c r="D3406" s="26" t="s">
        <v>56</v>
      </c>
      <c r="E3406" s="31">
        <v>46231.0</v>
      </c>
      <c r="F3406" s="26" t="s">
        <v>84</v>
      </c>
      <c r="H3406" s="26" t="s">
        <v>796</v>
      </c>
      <c r="I3406" s="26" t="s">
        <v>42</v>
      </c>
      <c r="J3406" s="25" t="str">
        <f t="shared" si="46"/>
        <v>No</v>
      </c>
      <c r="K3406" s="25" t="str">
        <f t="shared" si="47"/>
        <v/>
      </c>
      <c r="L3406" s="25" t="str">
        <f t="shared" si="48"/>
        <v/>
      </c>
      <c r="M3406" s="25"/>
      <c r="O3406" s="25"/>
    </row>
    <row r="3407" ht="15.75" customHeight="1">
      <c r="A3407" s="25" t="str">
        <f>IFERROR(__xludf.DUMMYFUNCTION("IF(B3407="""","""",RIGHT(REGEXREPLACE(B3407&amp;"""",""[^0-9]"",""""),9))"),"777586995")</f>
        <v>777586995</v>
      </c>
      <c r="B3407" s="52">
        <v>7.77586995E8</v>
      </c>
      <c r="C3407" s="28" t="s">
        <v>3485</v>
      </c>
      <c r="D3407" s="26" t="s">
        <v>64</v>
      </c>
      <c r="E3407" s="31">
        <v>46231.0</v>
      </c>
      <c r="F3407" s="26" t="s">
        <v>46</v>
      </c>
      <c r="G3407" s="26">
        <v>11.0</v>
      </c>
      <c r="H3407" s="26" t="s">
        <v>1526</v>
      </c>
      <c r="I3407" s="26" t="s">
        <v>42</v>
      </c>
      <c r="J3407" s="25" t="str">
        <f t="shared" si="46"/>
        <v>No</v>
      </c>
      <c r="K3407" s="25" t="str">
        <f t="shared" si="47"/>
        <v/>
      </c>
      <c r="L3407" s="25" t="str">
        <f t="shared" si="48"/>
        <v/>
      </c>
      <c r="M3407" s="25"/>
      <c r="O3407" s="25"/>
    </row>
    <row r="3408" ht="15.75" customHeight="1">
      <c r="A3408" s="25" t="str">
        <f>IFERROR(__xludf.DUMMYFUNCTION("IF(B3408="""","""",RIGHT(REGEXREPLACE(B3408&amp;"""",""[^0-9]"",""""),9))"),"765662483")</f>
        <v>765662483</v>
      </c>
      <c r="B3408" s="52">
        <v>7.65662483E8</v>
      </c>
      <c r="C3408" s="28" t="s">
        <v>3486</v>
      </c>
      <c r="D3408" s="26" t="s">
        <v>64</v>
      </c>
      <c r="E3408" s="31">
        <v>46231.0</v>
      </c>
      <c r="F3408" s="26" t="s">
        <v>125</v>
      </c>
      <c r="G3408" s="26">
        <v>11.0</v>
      </c>
      <c r="H3408" s="26" t="s">
        <v>1526</v>
      </c>
      <c r="I3408" s="26" t="s">
        <v>42</v>
      </c>
      <c r="J3408" s="25" t="str">
        <f t="shared" si="46"/>
        <v>No</v>
      </c>
      <c r="K3408" s="25" t="str">
        <f t="shared" si="47"/>
        <v/>
      </c>
      <c r="L3408" s="25" t="str">
        <f t="shared" si="48"/>
        <v/>
      </c>
      <c r="M3408" s="25"/>
      <c r="O3408" s="25"/>
    </row>
    <row r="3409" ht="15.75" customHeight="1">
      <c r="A3409" s="25" t="str">
        <f>IFERROR(__xludf.DUMMYFUNCTION("IF(B3409="""","""",RIGHT(REGEXREPLACE(B3409&amp;"""",""[^0-9]"",""""),9))"),"753381820")</f>
        <v>753381820</v>
      </c>
      <c r="B3409" s="52">
        <v>7.5338182E8</v>
      </c>
      <c r="C3409" s="28" t="s">
        <v>3487</v>
      </c>
      <c r="D3409" s="26" t="s">
        <v>82</v>
      </c>
      <c r="E3409" s="31">
        <v>46231.0</v>
      </c>
      <c r="F3409" s="26" t="s">
        <v>46</v>
      </c>
      <c r="G3409" s="26">
        <v>11.0</v>
      </c>
      <c r="I3409" s="26" t="s">
        <v>42</v>
      </c>
      <c r="J3409" s="25" t="str">
        <f t="shared" si="46"/>
        <v>No</v>
      </c>
      <c r="K3409" s="25" t="str">
        <f t="shared" si="47"/>
        <v/>
      </c>
      <c r="L3409" s="25" t="str">
        <f t="shared" si="48"/>
        <v/>
      </c>
      <c r="M3409" s="25"/>
      <c r="O3409" s="25"/>
    </row>
    <row r="3410" ht="15.75" customHeight="1">
      <c r="A3410" s="25" t="str">
        <f>IFERROR(__xludf.DUMMYFUNCTION("IF(B3410="""","""",RIGHT(REGEXREPLACE(B3410&amp;"""",""[^0-9]"",""""),9))"),"719017479")</f>
        <v>719017479</v>
      </c>
      <c r="B3410" s="52">
        <v>7.19017479E8</v>
      </c>
      <c r="C3410" s="28" t="s">
        <v>3488</v>
      </c>
      <c r="D3410" s="26" t="s">
        <v>49</v>
      </c>
      <c r="E3410" s="31">
        <v>46231.0</v>
      </c>
      <c r="F3410" s="26" t="s">
        <v>41</v>
      </c>
      <c r="G3410" s="26">
        <v>11.0</v>
      </c>
      <c r="I3410" s="26" t="s">
        <v>42</v>
      </c>
      <c r="J3410" s="25" t="str">
        <f t="shared" si="46"/>
        <v>No</v>
      </c>
      <c r="K3410" s="25" t="str">
        <f t="shared" si="47"/>
        <v/>
      </c>
      <c r="L3410" s="25" t="str">
        <f t="shared" si="48"/>
        <v/>
      </c>
      <c r="M3410" s="25"/>
      <c r="O3410" s="25"/>
    </row>
    <row r="3411" ht="15.75" customHeight="1">
      <c r="A3411" s="25" t="str">
        <f>IFERROR(__xludf.DUMMYFUNCTION("IF(B3411="""","""",RIGHT(REGEXREPLACE(B3411&amp;"""",""[^0-9]"",""""),9))"),"741306255")</f>
        <v>741306255</v>
      </c>
      <c r="B3411" s="52">
        <v>7.41306255E8</v>
      </c>
      <c r="C3411" s="28" t="s">
        <v>3489</v>
      </c>
      <c r="D3411" s="26" t="s">
        <v>49</v>
      </c>
      <c r="E3411" s="31">
        <v>46231.0</v>
      </c>
      <c r="F3411" s="26" t="s">
        <v>46</v>
      </c>
      <c r="G3411" s="26">
        <v>11.0</v>
      </c>
      <c r="I3411" s="26" t="s">
        <v>42</v>
      </c>
      <c r="J3411" s="25" t="str">
        <f t="shared" si="46"/>
        <v>No</v>
      </c>
      <c r="K3411" s="25" t="str">
        <f t="shared" si="47"/>
        <v/>
      </c>
      <c r="L3411" s="25" t="str">
        <f t="shared" si="48"/>
        <v/>
      </c>
      <c r="M3411" s="25"/>
      <c r="O3411" s="25"/>
    </row>
    <row r="3412" ht="15.75" customHeight="1">
      <c r="A3412" s="25" t="str">
        <f>IFERROR(__xludf.DUMMYFUNCTION("IF(B3412="""","""",RIGHT(REGEXREPLACE(B3412&amp;"""",""[^0-9]"",""""),9))"),"718516107")</f>
        <v>718516107</v>
      </c>
      <c r="B3412" s="52">
        <v>7.18516107E8</v>
      </c>
      <c r="C3412" s="28" t="s">
        <v>3490</v>
      </c>
      <c r="D3412" s="26" t="s">
        <v>64</v>
      </c>
      <c r="E3412" s="31">
        <v>46231.0</v>
      </c>
      <c r="F3412" s="26" t="s">
        <v>205</v>
      </c>
      <c r="H3412" s="26" t="s">
        <v>796</v>
      </c>
      <c r="I3412" s="26" t="s">
        <v>42</v>
      </c>
      <c r="J3412" s="25" t="str">
        <f t="shared" si="46"/>
        <v>No</v>
      </c>
      <c r="K3412" s="25" t="str">
        <f t="shared" si="47"/>
        <v/>
      </c>
      <c r="L3412" s="25" t="str">
        <f t="shared" si="48"/>
        <v/>
      </c>
      <c r="M3412" s="25"/>
      <c r="O3412" s="25"/>
    </row>
    <row r="3413" ht="15.75" customHeight="1">
      <c r="A3413" s="25" t="str">
        <f>IFERROR(__xludf.DUMMYFUNCTION("IF(B3413="""","""",RIGHT(REGEXREPLACE(B3413&amp;"""",""[^0-9]"",""""),9))"),"711327107")</f>
        <v>711327107</v>
      </c>
      <c r="B3413" s="52">
        <v>7.11327107E8</v>
      </c>
      <c r="C3413" s="28" t="s">
        <v>3491</v>
      </c>
      <c r="D3413" s="26" t="s">
        <v>56</v>
      </c>
      <c r="E3413" s="31">
        <v>46231.0</v>
      </c>
      <c r="F3413" s="26" t="s">
        <v>41</v>
      </c>
      <c r="H3413" s="26" t="s">
        <v>796</v>
      </c>
      <c r="I3413" s="26" t="s">
        <v>42</v>
      </c>
      <c r="J3413" s="25" t="str">
        <f t="shared" si="46"/>
        <v>No</v>
      </c>
      <c r="K3413" s="25" t="str">
        <f t="shared" si="47"/>
        <v/>
      </c>
      <c r="L3413" s="25" t="str">
        <f t="shared" si="48"/>
        <v/>
      </c>
      <c r="M3413" s="25"/>
      <c r="O3413" s="25"/>
    </row>
    <row r="3414" ht="15.75" customHeight="1">
      <c r="A3414" s="25" t="str">
        <f>IFERROR(__xludf.DUMMYFUNCTION("IF(B3414="""","""",RIGHT(REGEXREPLACE(B3414&amp;"""",""[^0-9]"",""""),9))"),"702542554")</f>
        <v>702542554</v>
      </c>
      <c r="B3414" s="52">
        <v>7.02542554E8</v>
      </c>
      <c r="C3414" s="28" t="s">
        <v>3491</v>
      </c>
      <c r="D3414" s="26" t="s">
        <v>82</v>
      </c>
      <c r="E3414" s="31">
        <v>46231.0</v>
      </c>
      <c r="F3414" s="26" t="s">
        <v>205</v>
      </c>
      <c r="G3414" s="26" t="s">
        <v>2715</v>
      </c>
      <c r="I3414" s="26" t="s">
        <v>42</v>
      </c>
      <c r="J3414" s="25" t="str">
        <f t="shared" si="46"/>
        <v>No</v>
      </c>
      <c r="K3414" s="25" t="str">
        <f t="shared" si="47"/>
        <v/>
      </c>
      <c r="L3414" s="25" t="str">
        <f t="shared" si="48"/>
        <v/>
      </c>
      <c r="M3414" s="25"/>
      <c r="O3414" s="25"/>
    </row>
    <row r="3415" ht="15.75" customHeight="1">
      <c r="A3415" s="25" t="str">
        <f>IFERROR(__xludf.DUMMYFUNCTION("IF(B3415="""","""",RIGHT(REGEXREPLACE(B3415&amp;"""",""[^0-9]"",""""),9))"),"712758111")</f>
        <v>712758111</v>
      </c>
      <c r="B3415" s="52">
        <v>7.12758111E8</v>
      </c>
      <c r="C3415" s="28" t="s">
        <v>3492</v>
      </c>
      <c r="D3415" s="26" t="s">
        <v>45</v>
      </c>
      <c r="E3415" s="31">
        <v>46231.0</v>
      </c>
      <c r="F3415" s="26" t="s">
        <v>125</v>
      </c>
      <c r="G3415" s="26">
        <v>10.0</v>
      </c>
      <c r="I3415" s="26" t="s">
        <v>42</v>
      </c>
      <c r="J3415" s="25" t="str">
        <f t="shared" si="46"/>
        <v>No</v>
      </c>
      <c r="K3415" s="25" t="str">
        <f t="shared" si="47"/>
        <v/>
      </c>
      <c r="L3415" s="25" t="str">
        <f t="shared" si="48"/>
        <v/>
      </c>
      <c r="M3415" s="25"/>
      <c r="O3415" s="25"/>
    </row>
    <row r="3416" ht="15.75" customHeight="1">
      <c r="A3416" s="25" t="str">
        <f>IFERROR(__xludf.DUMMYFUNCTION("IF(B3416="""","""",RIGHT(REGEXREPLACE(B3416&amp;"""",""[^0-9]"",""""),9))"),"778384105")</f>
        <v>778384105</v>
      </c>
      <c r="B3416" s="52">
        <v>7.78384105E8</v>
      </c>
      <c r="C3416" s="28" t="s">
        <v>3493</v>
      </c>
      <c r="D3416" s="26" t="s">
        <v>82</v>
      </c>
      <c r="E3416" s="31">
        <v>46231.0</v>
      </c>
      <c r="F3416" s="26" t="s">
        <v>46</v>
      </c>
      <c r="G3416" s="26">
        <v>11.0</v>
      </c>
      <c r="I3416" s="26" t="s">
        <v>42</v>
      </c>
      <c r="J3416" s="25" t="str">
        <f t="shared" si="46"/>
        <v>No</v>
      </c>
      <c r="K3416" s="25" t="str">
        <f t="shared" si="47"/>
        <v/>
      </c>
      <c r="L3416" s="25" t="str">
        <f t="shared" si="48"/>
        <v/>
      </c>
      <c r="M3416" s="25"/>
      <c r="O3416" s="25"/>
    </row>
    <row r="3417" ht="15.75" customHeight="1">
      <c r="A3417" s="25" t="str">
        <f>IFERROR(__xludf.DUMMYFUNCTION("IF(B3417="""","""",RIGHT(REGEXREPLACE(B3417&amp;"""",""[^0-9]"",""""),9))"),"742212678")</f>
        <v>742212678</v>
      </c>
      <c r="B3417" s="52">
        <v>7.42212678E8</v>
      </c>
      <c r="C3417" s="28" t="s">
        <v>3494</v>
      </c>
      <c r="D3417" s="26" t="s">
        <v>56</v>
      </c>
      <c r="E3417" s="31">
        <v>46231.0</v>
      </c>
      <c r="F3417" s="26" t="s">
        <v>84</v>
      </c>
      <c r="H3417" s="26" t="s">
        <v>796</v>
      </c>
      <c r="I3417" s="26" t="s">
        <v>42</v>
      </c>
      <c r="J3417" s="25" t="str">
        <f t="shared" si="46"/>
        <v>No</v>
      </c>
      <c r="K3417" s="25" t="str">
        <f t="shared" si="47"/>
        <v/>
      </c>
      <c r="L3417" s="25" t="str">
        <f t="shared" si="48"/>
        <v/>
      </c>
      <c r="M3417" s="25"/>
      <c r="O3417" s="25"/>
    </row>
    <row r="3418" ht="15.75" customHeight="1">
      <c r="A3418" s="25" t="str">
        <f>IFERROR(__xludf.DUMMYFUNCTION("IF(B3418="""","""",RIGHT(REGEXREPLACE(B3418&amp;"""",""[^0-9]"",""""),9))"),"740674948")</f>
        <v>740674948</v>
      </c>
      <c r="B3418" s="52">
        <v>7.40674948E8</v>
      </c>
      <c r="C3418" s="28" t="s">
        <v>3495</v>
      </c>
      <c r="D3418" s="26" t="s">
        <v>49</v>
      </c>
      <c r="E3418" s="31">
        <v>46231.0</v>
      </c>
      <c r="F3418" s="26" t="s">
        <v>46</v>
      </c>
      <c r="G3418" s="26">
        <v>11.0</v>
      </c>
      <c r="I3418" s="26" t="s">
        <v>42</v>
      </c>
      <c r="J3418" s="25" t="str">
        <f t="shared" si="46"/>
        <v>No</v>
      </c>
      <c r="K3418" s="25" t="str">
        <f t="shared" si="47"/>
        <v/>
      </c>
      <c r="L3418" s="25" t="str">
        <f t="shared" si="48"/>
        <v/>
      </c>
      <c r="M3418" s="25"/>
      <c r="O3418" s="25"/>
    </row>
    <row r="3419" ht="15.75" customHeight="1">
      <c r="A3419" s="25" t="str">
        <f>IFERROR(__xludf.DUMMYFUNCTION("IF(B3419="""","""",RIGHT(REGEXREPLACE(B3419&amp;"""",""[^0-9]"",""""),9))"),"785864103")</f>
        <v>785864103</v>
      </c>
      <c r="B3419" s="52">
        <v>7.85864103E8</v>
      </c>
      <c r="C3419" s="28" t="s">
        <v>3496</v>
      </c>
      <c r="D3419" s="26" t="s">
        <v>45</v>
      </c>
      <c r="E3419" s="31">
        <v>46231.0</v>
      </c>
      <c r="F3419" s="26" t="s">
        <v>41</v>
      </c>
      <c r="H3419" s="26" t="s">
        <v>1526</v>
      </c>
      <c r="I3419" s="26" t="s">
        <v>42</v>
      </c>
      <c r="J3419" s="25" t="str">
        <f t="shared" si="46"/>
        <v>No</v>
      </c>
      <c r="K3419" s="25" t="str">
        <f t="shared" si="47"/>
        <v/>
      </c>
      <c r="L3419" s="25" t="str">
        <f t="shared" si="48"/>
        <v/>
      </c>
      <c r="M3419" s="25"/>
      <c r="O3419" s="25"/>
    </row>
    <row r="3420" ht="15.75" customHeight="1">
      <c r="A3420" s="25" t="str">
        <f>IFERROR(__xludf.DUMMYFUNCTION("IF(B3420="""","""",RIGHT(REGEXREPLACE(B3420&amp;"""",""[^0-9]"",""""),9))"),"729102459")</f>
        <v>729102459</v>
      </c>
      <c r="B3420" s="52">
        <v>7.29102459E8</v>
      </c>
      <c r="C3420" s="28" t="s">
        <v>3497</v>
      </c>
      <c r="D3420" s="26" t="s">
        <v>45</v>
      </c>
      <c r="E3420" s="31">
        <v>46231.0</v>
      </c>
      <c r="F3420" s="26" t="s">
        <v>41</v>
      </c>
      <c r="H3420" s="26" t="s">
        <v>1526</v>
      </c>
      <c r="I3420" s="26" t="s">
        <v>42</v>
      </c>
      <c r="J3420" s="25" t="str">
        <f t="shared" si="46"/>
        <v>No</v>
      </c>
      <c r="K3420" s="25" t="str">
        <f t="shared" si="47"/>
        <v/>
      </c>
      <c r="L3420" s="25" t="str">
        <f t="shared" si="48"/>
        <v/>
      </c>
      <c r="M3420" s="25"/>
      <c r="O3420" s="25"/>
    </row>
    <row r="3421" ht="15.75" customHeight="1">
      <c r="A3421" s="25" t="str">
        <f>IFERROR(__xludf.DUMMYFUNCTION("IF(B3421="""","""",RIGHT(REGEXREPLACE(B3421&amp;"""",""[^0-9]"",""""),9))"),"789620600")</f>
        <v>789620600</v>
      </c>
      <c r="B3421" s="52">
        <v>7.896206E8</v>
      </c>
      <c r="C3421" s="28" t="s">
        <v>3498</v>
      </c>
      <c r="D3421" s="26" t="s">
        <v>56</v>
      </c>
      <c r="E3421" s="31">
        <v>46231.0</v>
      </c>
      <c r="F3421" s="26" t="s">
        <v>41</v>
      </c>
      <c r="H3421" s="26" t="s">
        <v>796</v>
      </c>
      <c r="I3421" s="26" t="s">
        <v>42</v>
      </c>
      <c r="J3421" s="25" t="str">
        <f t="shared" si="46"/>
        <v>No</v>
      </c>
      <c r="K3421" s="25" t="str">
        <f t="shared" si="47"/>
        <v/>
      </c>
      <c r="L3421" s="25" t="str">
        <f t="shared" si="48"/>
        <v/>
      </c>
      <c r="M3421" s="25"/>
      <c r="O3421" s="25"/>
    </row>
    <row r="3422" ht="15.75" customHeight="1">
      <c r="A3422" s="25" t="str">
        <f>IFERROR(__xludf.DUMMYFUNCTION("IF(B3422="""","""",RIGHT(REGEXREPLACE(B3422&amp;"""",""[^0-9]"",""""),9))"),"765543714")</f>
        <v>765543714</v>
      </c>
      <c r="B3422" s="52">
        <v>7.65543714E8</v>
      </c>
      <c r="C3422" s="28" t="s">
        <v>3499</v>
      </c>
      <c r="D3422" s="26" t="s">
        <v>45</v>
      </c>
      <c r="E3422" s="31">
        <v>46231.0</v>
      </c>
      <c r="F3422" s="26" t="s">
        <v>46</v>
      </c>
      <c r="G3422" s="26">
        <v>11.0</v>
      </c>
      <c r="H3422" s="26" t="s">
        <v>1526</v>
      </c>
      <c r="I3422" s="26" t="s">
        <v>42</v>
      </c>
      <c r="J3422" s="25" t="str">
        <f t="shared" si="46"/>
        <v>No</v>
      </c>
      <c r="K3422" s="25" t="str">
        <f t="shared" si="47"/>
        <v/>
      </c>
      <c r="L3422" s="25" t="str">
        <f t="shared" si="48"/>
        <v/>
      </c>
      <c r="M3422" s="25"/>
      <c r="O3422" s="25"/>
    </row>
    <row r="3423" ht="15.75" customHeight="1">
      <c r="A3423" s="25" t="str">
        <f>IFERROR(__xludf.DUMMYFUNCTION("IF(B3423="""","""",RIGHT(REGEXREPLACE(B3423&amp;"""",""[^0-9]"",""""),9))"),"760063233")</f>
        <v>760063233</v>
      </c>
      <c r="B3423" s="52">
        <v>7.60063233E8</v>
      </c>
      <c r="C3423" s="28" t="s">
        <v>3500</v>
      </c>
      <c r="D3423" s="26" t="s">
        <v>49</v>
      </c>
      <c r="E3423" s="31">
        <v>46231.0</v>
      </c>
      <c r="F3423" s="26" t="s">
        <v>46</v>
      </c>
      <c r="G3423" s="26">
        <v>11.0</v>
      </c>
      <c r="I3423" s="26" t="s">
        <v>42</v>
      </c>
      <c r="J3423" s="25" t="str">
        <f t="shared" si="46"/>
        <v>No</v>
      </c>
      <c r="K3423" s="25" t="str">
        <f t="shared" si="47"/>
        <v/>
      </c>
      <c r="L3423" s="25" t="str">
        <f t="shared" si="48"/>
        <v/>
      </c>
      <c r="M3423" s="25"/>
      <c r="O3423" s="25"/>
    </row>
    <row r="3424" ht="15.75" customHeight="1">
      <c r="A3424" s="25" t="str">
        <f>IFERROR(__xludf.DUMMYFUNCTION("IF(B3424="""","""",RIGHT(REGEXREPLACE(B3424&amp;"""",""[^0-9]"",""""),9))"),"714174664")</f>
        <v>714174664</v>
      </c>
      <c r="B3424" s="52">
        <v>7.14174664E8</v>
      </c>
      <c r="C3424" s="28" t="s">
        <v>3501</v>
      </c>
      <c r="D3424" s="26" t="s">
        <v>64</v>
      </c>
      <c r="E3424" s="31">
        <v>46231.0</v>
      </c>
      <c r="F3424" s="26" t="s">
        <v>46</v>
      </c>
      <c r="G3424" s="26">
        <v>11.0</v>
      </c>
      <c r="H3424" s="26" t="s">
        <v>1526</v>
      </c>
      <c r="I3424" s="26" t="s">
        <v>42</v>
      </c>
      <c r="J3424" s="25" t="str">
        <f t="shared" si="46"/>
        <v>No</v>
      </c>
      <c r="K3424" s="25" t="str">
        <f t="shared" si="47"/>
        <v/>
      </c>
      <c r="L3424" s="25" t="str">
        <f t="shared" si="48"/>
        <v/>
      </c>
      <c r="M3424" s="25"/>
      <c r="O3424" s="25"/>
    </row>
    <row r="3425" ht="15.75" customHeight="1">
      <c r="A3425" s="25" t="str">
        <f>IFERROR(__xludf.DUMMYFUNCTION("IF(B3425="""","""",RIGHT(REGEXREPLACE(B3425&amp;"""",""[^0-9]"",""""),9))"),"719506381")</f>
        <v>719506381</v>
      </c>
      <c r="B3425" s="52">
        <v>7.19506381E8</v>
      </c>
      <c r="C3425" s="28" t="s">
        <v>3502</v>
      </c>
      <c r="D3425" s="26" t="s">
        <v>45</v>
      </c>
      <c r="E3425" s="31">
        <v>46231.0</v>
      </c>
      <c r="F3425" s="26" t="s">
        <v>41</v>
      </c>
      <c r="H3425" s="26" t="s">
        <v>1526</v>
      </c>
      <c r="I3425" s="26" t="s">
        <v>42</v>
      </c>
      <c r="J3425" s="25" t="str">
        <f t="shared" si="46"/>
        <v>No</v>
      </c>
      <c r="K3425" s="25" t="str">
        <f t="shared" si="47"/>
        <v/>
      </c>
      <c r="L3425" s="25" t="str">
        <f t="shared" si="48"/>
        <v/>
      </c>
      <c r="M3425" s="25"/>
      <c r="O3425" s="25"/>
    </row>
    <row r="3426" ht="15.75" customHeight="1">
      <c r="A3426" s="25" t="str">
        <f>IFERROR(__xludf.DUMMYFUNCTION("IF(B3426="""","""",RIGHT(REGEXREPLACE(B3426&amp;"""",""[^0-9]"",""""),9))"),"701268086")</f>
        <v>701268086</v>
      </c>
      <c r="B3426" s="52">
        <v>7.01268086E8</v>
      </c>
      <c r="C3426" s="28" t="s">
        <v>3503</v>
      </c>
      <c r="D3426" s="26" t="s">
        <v>82</v>
      </c>
      <c r="E3426" s="31">
        <v>46231.0</v>
      </c>
      <c r="F3426" s="26" t="s">
        <v>46</v>
      </c>
      <c r="G3426" s="26">
        <v>11.0</v>
      </c>
      <c r="H3426" s="26" t="s">
        <v>2605</v>
      </c>
      <c r="I3426" s="26" t="s">
        <v>42</v>
      </c>
      <c r="J3426" s="25" t="str">
        <f t="shared" si="46"/>
        <v>No</v>
      </c>
      <c r="K3426" s="25" t="str">
        <f t="shared" si="47"/>
        <v/>
      </c>
      <c r="L3426" s="25" t="str">
        <f t="shared" si="48"/>
        <v/>
      </c>
      <c r="M3426" s="25"/>
      <c r="O3426" s="25"/>
    </row>
    <row r="3427" ht="15.75" customHeight="1">
      <c r="A3427" s="25" t="str">
        <f>IFERROR(__xludf.DUMMYFUNCTION("IF(B3427="""","""",RIGHT(REGEXREPLACE(B3427&amp;"""",""[^0-9]"",""""),9))"),"716449269")</f>
        <v>716449269</v>
      </c>
      <c r="B3427" s="52">
        <v>7.16449269E8</v>
      </c>
      <c r="C3427" s="28" t="s">
        <v>3504</v>
      </c>
      <c r="D3427" s="26" t="s">
        <v>56</v>
      </c>
      <c r="E3427" s="31">
        <v>46231.0</v>
      </c>
      <c r="F3427" s="26" t="s">
        <v>41</v>
      </c>
      <c r="H3427" s="26" t="s">
        <v>796</v>
      </c>
      <c r="I3427" s="26" t="s">
        <v>42</v>
      </c>
      <c r="J3427" s="25" t="str">
        <f t="shared" si="46"/>
        <v>No</v>
      </c>
      <c r="K3427" s="25" t="str">
        <f t="shared" si="47"/>
        <v/>
      </c>
      <c r="L3427" s="25" t="str">
        <f t="shared" si="48"/>
        <v/>
      </c>
      <c r="M3427" s="25"/>
      <c r="O3427" s="25"/>
    </row>
    <row r="3428" ht="15.75" customHeight="1">
      <c r="A3428" s="25" t="str">
        <f>IFERROR(__xludf.DUMMYFUNCTION("IF(B3428="""","""",RIGHT(REGEXREPLACE(B3428&amp;"""",""[^0-9]"",""""),9))"),"788074200")</f>
        <v>788074200</v>
      </c>
      <c r="B3428" s="52">
        <v>7.880742E8</v>
      </c>
      <c r="C3428" s="28" t="s">
        <v>3505</v>
      </c>
      <c r="D3428" s="26" t="s">
        <v>45</v>
      </c>
      <c r="E3428" s="31">
        <v>46231.0</v>
      </c>
      <c r="F3428" s="26" t="s">
        <v>205</v>
      </c>
      <c r="H3428" s="26" t="s">
        <v>1526</v>
      </c>
      <c r="I3428" s="26" t="s">
        <v>42</v>
      </c>
      <c r="J3428" s="25" t="str">
        <f t="shared" si="46"/>
        <v>No</v>
      </c>
      <c r="K3428" s="25" t="str">
        <f t="shared" si="47"/>
        <v/>
      </c>
      <c r="L3428" s="25" t="str">
        <f t="shared" si="48"/>
        <v/>
      </c>
      <c r="M3428" s="25"/>
      <c r="O3428" s="25"/>
    </row>
    <row r="3429" ht="15.75" customHeight="1">
      <c r="A3429" s="25" t="str">
        <f>IFERROR(__xludf.DUMMYFUNCTION("IF(B3429="""","""",RIGHT(REGEXREPLACE(B3429&amp;"""",""[^0-9]"",""""),9))"),"773305803")</f>
        <v>773305803</v>
      </c>
      <c r="B3429" s="26">
        <v>7.73305803E8</v>
      </c>
      <c r="C3429" s="28" t="s">
        <v>3506</v>
      </c>
      <c r="D3429" s="26" t="s">
        <v>37</v>
      </c>
      <c r="E3429" s="31">
        <v>46231.0</v>
      </c>
      <c r="F3429" s="26" t="s">
        <v>46</v>
      </c>
      <c r="G3429" s="26">
        <v>11.0</v>
      </c>
      <c r="I3429" s="26" t="s">
        <v>42</v>
      </c>
      <c r="J3429" s="25" t="str">
        <f t="shared" si="46"/>
        <v>No</v>
      </c>
      <c r="K3429" s="25" t="str">
        <f t="shared" si="47"/>
        <v/>
      </c>
      <c r="L3429" s="25" t="str">
        <f t="shared" si="48"/>
        <v/>
      </c>
      <c r="M3429" s="25"/>
      <c r="O3429" s="25"/>
    </row>
    <row r="3430" ht="15.75" customHeight="1">
      <c r="A3430" s="25" t="str">
        <f>IFERROR(__xludf.DUMMYFUNCTION("IF(B3430="""","""",RIGHT(REGEXREPLACE(B3430&amp;"""",""[^0-9]"",""""),9))"),"703610556")</f>
        <v>703610556</v>
      </c>
      <c r="B3430" s="52">
        <v>7.03610556E8</v>
      </c>
      <c r="C3430" s="28" t="s">
        <v>3507</v>
      </c>
      <c r="D3430" s="26" t="s">
        <v>45</v>
      </c>
      <c r="E3430" s="31">
        <v>46231.0</v>
      </c>
      <c r="F3430" s="26" t="s">
        <v>125</v>
      </c>
      <c r="G3430" s="26">
        <v>11.0</v>
      </c>
      <c r="H3430" s="26" t="s">
        <v>1526</v>
      </c>
      <c r="I3430" s="26" t="s">
        <v>42</v>
      </c>
      <c r="J3430" s="25" t="str">
        <f t="shared" si="46"/>
        <v>No</v>
      </c>
      <c r="K3430" s="25" t="str">
        <f t="shared" si="47"/>
        <v/>
      </c>
      <c r="L3430" s="25" t="str">
        <f t="shared" si="48"/>
        <v/>
      </c>
      <c r="M3430" s="25"/>
      <c r="O3430" s="25"/>
    </row>
    <row r="3431" ht="15.75" customHeight="1">
      <c r="A3431" s="25" t="str">
        <f>IFERROR(__xludf.DUMMYFUNCTION("IF(B3431="""","""",RIGHT(REGEXREPLACE(B3431&amp;"""",""[^0-9]"",""""),9))"),"775936324")</f>
        <v>775936324</v>
      </c>
      <c r="B3431" s="26">
        <v>7.75936324E8</v>
      </c>
      <c r="C3431" s="28" t="s">
        <v>3508</v>
      </c>
      <c r="D3431" s="26" t="s">
        <v>56</v>
      </c>
      <c r="E3431" s="31">
        <v>46231.0</v>
      </c>
      <c r="F3431" s="26" t="s">
        <v>164</v>
      </c>
      <c r="I3431" s="26" t="s">
        <v>42</v>
      </c>
      <c r="J3431" s="25" t="str">
        <f t="shared" si="46"/>
        <v>No</v>
      </c>
      <c r="K3431" s="25" t="str">
        <f t="shared" si="47"/>
        <v/>
      </c>
      <c r="L3431" s="25" t="str">
        <f t="shared" si="48"/>
        <v/>
      </c>
      <c r="M3431" s="25"/>
      <c r="O3431" s="25"/>
    </row>
    <row r="3432" ht="15.75" customHeight="1">
      <c r="A3432" s="25" t="str">
        <f>IFERROR(__xludf.DUMMYFUNCTION("IF(B3432="""","""",RIGHT(REGEXREPLACE(B3432&amp;"""",""[^0-9]"",""""),9))"),"762808715")</f>
        <v>762808715</v>
      </c>
      <c r="B3432" s="26">
        <v>7.62808715E8</v>
      </c>
      <c r="C3432" s="28" t="s">
        <v>3509</v>
      </c>
      <c r="D3432" s="26" t="s">
        <v>37</v>
      </c>
      <c r="E3432" s="31">
        <v>46231.0</v>
      </c>
      <c r="F3432" s="26" t="s">
        <v>46</v>
      </c>
      <c r="G3432" s="26">
        <v>11.0</v>
      </c>
      <c r="I3432" s="26" t="s">
        <v>42</v>
      </c>
      <c r="J3432" s="25" t="str">
        <f t="shared" si="46"/>
        <v>No</v>
      </c>
      <c r="K3432" s="25" t="str">
        <f t="shared" si="47"/>
        <v/>
      </c>
      <c r="L3432" s="25" t="str">
        <f t="shared" si="48"/>
        <v/>
      </c>
      <c r="M3432" s="25"/>
      <c r="O3432" s="25"/>
    </row>
    <row r="3433" ht="15.75" customHeight="1">
      <c r="A3433" s="25" t="str">
        <f>IFERROR(__xludf.DUMMYFUNCTION("IF(B3433="""","""",RIGHT(REGEXREPLACE(B3433&amp;"""",""[^0-9]"",""""),9))"),"774309193")</f>
        <v>774309193</v>
      </c>
      <c r="B3433" s="52">
        <v>7.74309193E8</v>
      </c>
      <c r="C3433" s="28" t="s">
        <v>3510</v>
      </c>
      <c r="D3433" s="26" t="s">
        <v>64</v>
      </c>
      <c r="E3433" s="31">
        <v>46231.0</v>
      </c>
      <c r="F3433" s="26" t="s">
        <v>46</v>
      </c>
      <c r="G3433" s="26">
        <v>7.0</v>
      </c>
      <c r="H3433" s="26" t="s">
        <v>1526</v>
      </c>
      <c r="I3433" s="26" t="s">
        <v>42</v>
      </c>
      <c r="J3433" s="25" t="str">
        <f t="shared" si="46"/>
        <v>No</v>
      </c>
      <c r="K3433" s="25" t="str">
        <f t="shared" si="47"/>
        <v/>
      </c>
      <c r="L3433" s="25" t="str">
        <f t="shared" si="48"/>
        <v/>
      </c>
      <c r="M3433" s="25"/>
      <c r="O3433" s="25"/>
    </row>
    <row r="3434" ht="15.75" customHeight="1">
      <c r="A3434" s="25" t="str">
        <f>IFERROR(__xludf.DUMMYFUNCTION("IF(B3434="""","""",RIGHT(REGEXREPLACE(B3434&amp;"""",""[^0-9]"",""""),9))"),"719665160")</f>
        <v>719665160</v>
      </c>
      <c r="B3434" s="26">
        <v>7.1966516E8</v>
      </c>
      <c r="C3434" s="28" t="s">
        <v>3511</v>
      </c>
      <c r="D3434" s="26" t="s">
        <v>37</v>
      </c>
      <c r="E3434" s="31">
        <v>46231.0</v>
      </c>
      <c r="F3434" s="26" t="s">
        <v>46</v>
      </c>
      <c r="G3434" s="26">
        <v>11.0</v>
      </c>
      <c r="I3434" s="26" t="s">
        <v>42</v>
      </c>
      <c r="J3434" s="25" t="str">
        <f t="shared" si="46"/>
        <v>No</v>
      </c>
      <c r="K3434" s="25" t="str">
        <f t="shared" si="47"/>
        <v/>
      </c>
      <c r="L3434" s="25" t="str">
        <f t="shared" si="48"/>
        <v/>
      </c>
      <c r="M3434" s="25"/>
      <c r="O3434" s="25"/>
    </row>
    <row r="3435" ht="15.75" customHeight="1">
      <c r="A3435" s="25" t="str">
        <f>IFERROR(__xludf.DUMMYFUNCTION("IF(B3435="""","""",RIGHT(REGEXREPLACE(B3435&amp;"""",""[^0-9]"",""""),9))"),"770505540")</f>
        <v>770505540</v>
      </c>
      <c r="B3435" s="52">
        <v>7.7050554E8</v>
      </c>
      <c r="C3435" s="28" t="s">
        <v>3512</v>
      </c>
      <c r="D3435" s="26" t="s">
        <v>82</v>
      </c>
      <c r="E3435" s="31">
        <v>46231.0</v>
      </c>
      <c r="F3435" s="26" t="s">
        <v>46</v>
      </c>
      <c r="G3435" s="26">
        <v>11.0</v>
      </c>
      <c r="H3435" s="26" t="s">
        <v>1526</v>
      </c>
      <c r="I3435" s="26" t="s">
        <v>42</v>
      </c>
      <c r="J3435" s="25" t="str">
        <f t="shared" si="46"/>
        <v>No</v>
      </c>
      <c r="K3435" s="25" t="str">
        <f t="shared" si="47"/>
        <v/>
      </c>
      <c r="L3435" s="25" t="str">
        <f t="shared" si="48"/>
        <v/>
      </c>
      <c r="M3435" s="25"/>
      <c r="O3435" s="25"/>
    </row>
    <row r="3436" ht="15.75" customHeight="1">
      <c r="A3436" s="25" t="str">
        <f>IFERROR(__xludf.DUMMYFUNCTION("IF(B3436="""","""",RIGHT(REGEXREPLACE(B3436&amp;"""",""[^0-9]"",""""),9))"),"711431070")</f>
        <v>711431070</v>
      </c>
      <c r="B3436" s="52">
        <v>7.1143107E8</v>
      </c>
      <c r="C3436" s="28" t="s">
        <v>3513</v>
      </c>
      <c r="D3436" s="26" t="s">
        <v>45</v>
      </c>
      <c r="E3436" s="31">
        <v>46252.0</v>
      </c>
      <c r="F3436" s="26" t="s">
        <v>46</v>
      </c>
      <c r="G3436" s="26">
        <v>11.0</v>
      </c>
      <c r="H3436" s="26" t="s">
        <v>1526</v>
      </c>
      <c r="I3436" s="26" t="s">
        <v>42</v>
      </c>
      <c r="J3436" s="25" t="str">
        <f t="shared" si="46"/>
        <v>No</v>
      </c>
      <c r="K3436" s="25" t="str">
        <f t="shared" si="47"/>
        <v/>
      </c>
      <c r="L3436" s="25" t="str">
        <f t="shared" si="48"/>
        <v/>
      </c>
      <c r="M3436" s="25"/>
      <c r="O3436" s="25"/>
    </row>
    <row r="3437" ht="15.75" customHeight="1">
      <c r="A3437" s="25" t="str">
        <f>IFERROR(__xludf.DUMMYFUNCTION("IF(B3437="""","""",RIGHT(REGEXREPLACE(B3437&amp;"""",""[^0-9]"",""""),9))"),"710435645")</f>
        <v>710435645</v>
      </c>
      <c r="B3437" s="52">
        <v>7.10435645E8</v>
      </c>
      <c r="C3437" s="28" t="s">
        <v>3514</v>
      </c>
      <c r="D3437" s="26" t="s">
        <v>49</v>
      </c>
      <c r="E3437" s="31">
        <v>46231.0</v>
      </c>
      <c r="F3437" s="26" t="s">
        <v>41</v>
      </c>
      <c r="I3437" s="26" t="s">
        <v>42</v>
      </c>
      <c r="J3437" s="25" t="str">
        <f t="shared" si="46"/>
        <v>No</v>
      </c>
      <c r="K3437" s="25" t="str">
        <f t="shared" si="47"/>
        <v/>
      </c>
      <c r="L3437" s="25" t="str">
        <f t="shared" si="48"/>
        <v/>
      </c>
      <c r="M3437" s="25"/>
      <c r="O3437" s="25"/>
    </row>
    <row r="3438" ht="15.75" customHeight="1">
      <c r="A3438" s="25" t="str">
        <f>IFERROR(__xludf.DUMMYFUNCTION("IF(B3438="""","""",RIGHT(REGEXREPLACE(B3438&amp;"""",""[^0-9]"",""""),9))"),"740248983")</f>
        <v>740248983</v>
      </c>
      <c r="B3438" s="52">
        <v>7.40248983E8</v>
      </c>
      <c r="C3438" s="28" t="s">
        <v>3501</v>
      </c>
      <c r="D3438" s="26" t="s">
        <v>64</v>
      </c>
      <c r="E3438" s="31">
        <v>46231.0</v>
      </c>
      <c r="F3438" s="26" t="s">
        <v>659</v>
      </c>
      <c r="G3438" s="26">
        <v>11.0</v>
      </c>
      <c r="H3438" s="26" t="s">
        <v>1526</v>
      </c>
      <c r="I3438" s="26" t="s">
        <v>42</v>
      </c>
      <c r="J3438" s="25" t="str">
        <f t="shared" si="46"/>
        <v>No</v>
      </c>
      <c r="K3438" s="25" t="str">
        <f t="shared" si="47"/>
        <v/>
      </c>
      <c r="L3438" s="25" t="str">
        <f t="shared" si="48"/>
        <v/>
      </c>
      <c r="M3438" s="25"/>
      <c r="O3438" s="25"/>
    </row>
    <row r="3439" ht="15.75" customHeight="1">
      <c r="A3439" s="25" t="str">
        <f>IFERROR(__xludf.DUMMYFUNCTION("IF(B3439="""","""",RIGHT(REGEXREPLACE(B3439&amp;"""",""[^0-9]"",""""),9))"),"760522030")</f>
        <v>760522030</v>
      </c>
      <c r="B3439" s="52">
        <v>7.6052203E8</v>
      </c>
      <c r="C3439" s="28" t="s">
        <v>3515</v>
      </c>
      <c r="D3439" s="26" t="s">
        <v>56</v>
      </c>
      <c r="E3439" s="31">
        <v>46231.0</v>
      </c>
      <c r="F3439" s="26" t="s">
        <v>41</v>
      </c>
      <c r="H3439" s="26" t="s">
        <v>796</v>
      </c>
      <c r="I3439" s="26" t="s">
        <v>42</v>
      </c>
      <c r="J3439" s="25" t="str">
        <f t="shared" si="46"/>
        <v>No</v>
      </c>
      <c r="K3439" s="25" t="str">
        <f t="shared" si="47"/>
        <v/>
      </c>
      <c r="L3439" s="25" t="str">
        <f t="shared" si="48"/>
        <v/>
      </c>
      <c r="M3439" s="25"/>
      <c r="O3439" s="25"/>
    </row>
    <row r="3440" ht="15.75" customHeight="1">
      <c r="A3440" s="25" t="str">
        <f>IFERROR(__xludf.DUMMYFUNCTION("IF(B3440="""","""",RIGHT(REGEXREPLACE(B3440&amp;"""",""[^0-9]"",""""),9))"),"778726843")</f>
        <v>778726843</v>
      </c>
      <c r="B3440" s="26">
        <v>7.78726843E8</v>
      </c>
      <c r="C3440" s="28" t="s">
        <v>1304</v>
      </c>
      <c r="D3440" s="26" t="s">
        <v>37</v>
      </c>
      <c r="E3440" s="31">
        <v>46231.0</v>
      </c>
      <c r="F3440" s="26" t="s">
        <v>46</v>
      </c>
      <c r="G3440" s="26">
        <v>11.0</v>
      </c>
      <c r="H3440" s="26" t="s">
        <v>1447</v>
      </c>
      <c r="I3440" s="26" t="s">
        <v>42</v>
      </c>
      <c r="J3440" s="25" t="str">
        <f t="shared" si="46"/>
        <v>No</v>
      </c>
      <c r="K3440" s="25" t="str">
        <f t="shared" si="47"/>
        <v/>
      </c>
      <c r="L3440" s="25" t="str">
        <f t="shared" si="48"/>
        <v/>
      </c>
      <c r="M3440" s="25"/>
      <c r="O3440" s="25"/>
    </row>
    <row r="3441" ht="15.75" customHeight="1">
      <c r="A3441" s="25" t="str">
        <f>IFERROR(__xludf.DUMMYFUNCTION("IF(B3441="""","""",RIGHT(REGEXREPLACE(B3441&amp;"""",""[^0-9]"",""""),9))"),"764886194")</f>
        <v>764886194</v>
      </c>
      <c r="B3441" s="52">
        <v>7.64886194E8</v>
      </c>
      <c r="C3441" s="28" t="s">
        <v>3516</v>
      </c>
      <c r="D3441" s="26" t="s">
        <v>64</v>
      </c>
      <c r="E3441" s="31">
        <v>46231.0</v>
      </c>
      <c r="F3441" s="25"/>
      <c r="G3441" s="26">
        <v>11.0</v>
      </c>
      <c r="H3441" s="26" t="s">
        <v>1</v>
      </c>
      <c r="I3441" s="26" t="s">
        <v>42</v>
      </c>
      <c r="J3441" s="25" t="str">
        <f t="shared" si="46"/>
        <v>No</v>
      </c>
      <c r="K3441" s="25" t="str">
        <f t="shared" si="47"/>
        <v/>
      </c>
      <c r="L3441" s="25" t="str">
        <f t="shared" si="48"/>
        <v/>
      </c>
      <c r="M3441" s="25"/>
      <c r="N3441" s="25"/>
      <c r="O3441" s="25"/>
      <c r="P3441" s="25"/>
    </row>
    <row r="3442" ht="15.75" customHeight="1">
      <c r="A3442" s="25" t="str">
        <f>IFERROR(__xludf.DUMMYFUNCTION("IF(B3442="""","""",RIGHT(REGEXREPLACE(B3442&amp;"""",""[^0-9]"",""""),9))"),"765395617")</f>
        <v>765395617</v>
      </c>
      <c r="B3442" s="52">
        <v>7.65395617E8</v>
      </c>
      <c r="C3442" s="28" t="s">
        <v>3517</v>
      </c>
      <c r="D3442" s="26" t="s">
        <v>45</v>
      </c>
      <c r="E3442" s="31">
        <v>46231.0</v>
      </c>
      <c r="F3442" s="26" t="s">
        <v>41</v>
      </c>
      <c r="H3442" s="26" t="s">
        <v>1526</v>
      </c>
      <c r="I3442" s="26" t="s">
        <v>42</v>
      </c>
      <c r="J3442" s="25" t="str">
        <f t="shared" si="46"/>
        <v>No</v>
      </c>
      <c r="K3442" s="25" t="str">
        <f t="shared" si="47"/>
        <v/>
      </c>
      <c r="L3442" s="25" t="str">
        <f t="shared" si="48"/>
        <v/>
      </c>
      <c r="M3442" s="25"/>
      <c r="O3442" s="25"/>
    </row>
    <row r="3443" ht="15.75" customHeight="1">
      <c r="A3443" s="25" t="str">
        <f>IFERROR(__xludf.DUMMYFUNCTION("IF(B3443="""","""",RIGHT(REGEXREPLACE(B3443&amp;"""",""[^0-9]"",""""),9))"),"703193442")</f>
        <v>703193442</v>
      </c>
      <c r="B3443" s="52">
        <v>7.03193442E8</v>
      </c>
      <c r="C3443" s="28" t="s">
        <v>3518</v>
      </c>
      <c r="D3443" s="26" t="s">
        <v>64</v>
      </c>
      <c r="E3443" s="31">
        <v>46231.0</v>
      </c>
      <c r="F3443" s="26" t="s">
        <v>46</v>
      </c>
      <c r="G3443" s="26">
        <v>11.0</v>
      </c>
      <c r="I3443" s="26" t="s">
        <v>42</v>
      </c>
      <c r="J3443" s="25" t="str">
        <f t="shared" si="46"/>
        <v>No</v>
      </c>
      <c r="K3443" s="25" t="str">
        <f t="shared" si="47"/>
        <v/>
      </c>
      <c r="L3443" s="25" t="str">
        <f t="shared" si="48"/>
        <v/>
      </c>
      <c r="M3443" s="25"/>
      <c r="O3443" s="25"/>
    </row>
    <row r="3444" ht="15.75" customHeight="1">
      <c r="A3444" s="25" t="str">
        <f>IFERROR(__xludf.DUMMYFUNCTION("IF(B3444="""","""",RIGHT(REGEXREPLACE(B3444&amp;"""",""[^0-9]"",""""),9))"),"716027424")</f>
        <v>716027424</v>
      </c>
      <c r="B3444" s="52">
        <v>7.16027424E8</v>
      </c>
      <c r="C3444" s="28" t="s">
        <v>3519</v>
      </c>
      <c r="D3444" s="26" t="s">
        <v>82</v>
      </c>
      <c r="E3444" s="31">
        <v>46231.0</v>
      </c>
      <c r="F3444" s="26" t="s">
        <v>41</v>
      </c>
      <c r="I3444" s="26" t="s">
        <v>42</v>
      </c>
      <c r="J3444" s="25" t="str">
        <f t="shared" si="46"/>
        <v>No</v>
      </c>
      <c r="K3444" s="25" t="str">
        <f t="shared" si="47"/>
        <v/>
      </c>
      <c r="L3444" s="25" t="str">
        <f t="shared" si="48"/>
        <v/>
      </c>
      <c r="M3444" s="25"/>
      <c r="O3444" s="25"/>
    </row>
    <row r="3445" ht="15.75" customHeight="1">
      <c r="A3445" s="25" t="str">
        <f>IFERROR(__xludf.DUMMYFUNCTION("IF(B3445="""","""",RIGHT(REGEXREPLACE(B3445&amp;"""",""[^0-9]"",""""),9))"),"716868947")</f>
        <v>716868947</v>
      </c>
      <c r="B3445" s="52">
        <v>7.16868947E8</v>
      </c>
      <c r="C3445" s="28" t="s">
        <v>2003</v>
      </c>
      <c r="D3445" s="26" t="s">
        <v>56</v>
      </c>
      <c r="E3445" s="31">
        <v>46231.0</v>
      </c>
      <c r="F3445" s="26" t="s">
        <v>46</v>
      </c>
      <c r="H3445" s="26" t="s">
        <v>3520</v>
      </c>
      <c r="I3445" s="26" t="s">
        <v>42</v>
      </c>
      <c r="J3445" s="25" t="str">
        <f t="shared" si="46"/>
        <v>No</v>
      </c>
      <c r="K3445" s="25" t="str">
        <f t="shared" si="47"/>
        <v/>
      </c>
      <c r="L3445" s="25" t="str">
        <f t="shared" si="48"/>
        <v/>
      </c>
      <c r="M3445" s="25"/>
      <c r="O3445" s="25"/>
    </row>
    <row r="3446" ht="15.75" customHeight="1">
      <c r="A3446" s="25" t="str">
        <f>IFERROR(__xludf.DUMMYFUNCTION("IF(B3446="""","""",RIGHT(REGEXREPLACE(B3446&amp;"""",""[^0-9]"",""""),9))"),"740240706")</f>
        <v>740240706</v>
      </c>
      <c r="B3446" s="52">
        <v>7.40240706E8</v>
      </c>
      <c r="C3446" s="28" t="s">
        <v>3521</v>
      </c>
      <c r="D3446" s="26" t="s">
        <v>45</v>
      </c>
      <c r="E3446" s="31">
        <v>46231.0</v>
      </c>
      <c r="F3446" s="26" t="s">
        <v>46</v>
      </c>
      <c r="G3446" s="26">
        <v>11.0</v>
      </c>
      <c r="H3446" s="26" t="s">
        <v>3520</v>
      </c>
      <c r="I3446" s="26" t="s">
        <v>42</v>
      </c>
      <c r="J3446" s="25" t="str">
        <f t="shared" si="46"/>
        <v>No</v>
      </c>
      <c r="K3446" s="25" t="str">
        <f t="shared" si="47"/>
        <v/>
      </c>
      <c r="L3446" s="25" t="str">
        <f t="shared" si="48"/>
        <v/>
      </c>
      <c r="M3446" s="25"/>
      <c r="O3446" s="25"/>
    </row>
    <row r="3447" ht="15.75" customHeight="1">
      <c r="A3447" s="25" t="str">
        <f>IFERROR(__xludf.DUMMYFUNCTION("IF(B3447="""","""",RIGHT(REGEXREPLACE(B3447&amp;"""",""[^0-9]"",""""),9))"),"763102420")</f>
        <v>763102420</v>
      </c>
      <c r="B3447" s="52">
        <v>7.6310242E8</v>
      </c>
      <c r="C3447" s="28" t="s">
        <v>3522</v>
      </c>
      <c r="D3447" s="26" t="s">
        <v>82</v>
      </c>
      <c r="E3447" s="31">
        <v>46231.0</v>
      </c>
      <c r="F3447" s="26" t="s">
        <v>46</v>
      </c>
      <c r="G3447" s="26">
        <v>11.0</v>
      </c>
      <c r="H3447" s="26" t="s">
        <v>2671</v>
      </c>
      <c r="I3447" s="26" t="s">
        <v>42</v>
      </c>
      <c r="J3447" s="25" t="str">
        <f t="shared" si="46"/>
        <v>No</v>
      </c>
      <c r="K3447" s="25" t="str">
        <f t="shared" si="47"/>
        <v/>
      </c>
      <c r="L3447" s="25" t="str">
        <f t="shared" si="48"/>
        <v/>
      </c>
      <c r="M3447" s="25"/>
      <c r="O3447" s="25"/>
    </row>
    <row r="3448" ht="15.75" customHeight="1">
      <c r="A3448" s="25" t="str">
        <f>IFERROR(__xludf.DUMMYFUNCTION("IF(B3448="""","""",RIGHT(REGEXREPLACE(B3448&amp;"""",""[^0-9]"",""""),9))"),"789003002")</f>
        <v>789003002</v>
      </c>
      <c r="B3448" s="52">
        <v>7.89003002E8</v>
      </c>
      <c r="C3448" s="28" t="s">
        <v>3523</v>
      </c>
      <c r="D3448" s="26" t="s">
        <v>64</v>
      </c>
      <c r="E3448" s="31">
        <v>46231.0</v>
      </c>
      <c r="F3448" s="26" t="s">
        <v>46</v>
      </c>
      <c r="G3448" s="26">
        <v>11.0</v>
      </c>
      <c r="H3448" s="26" t="s">
        <v>1526</v>
      </c>
      <c r="I3448" s="26" t="s">
        <v>42</v>
      </c>
      <c r="J3448" s="25" t="str">
        <f t="shared" si="46"/>
        <v>No</v>
      </c>
      <c r="K3448" s="25" t="str">
        <f t="shared" si="47"/>
        <v/>
      </c>
      <c r="L3448" s="25" t="str">
        <f t="shared" si="48"/>
        <v/>
      </c>
      <c r="M3448" s="25"/>
      <c r="O3448" s="25"/>
    </row>
    <row r="3449" ht="15.75" customHeight="1">
      <c r="A3449" s="25" t="str">
        <f>IFERROR(__xludf.DUMMYFUNCTION("IF(B3449="""","""",RIGHT(REGEXREPLACE(B3449&amp;"""",""[^0-9]"",""""),9))"),"767351746")</f>
        <v>767351746</v>
      </c>
      <c r="B3449" s="52">
        <v>7.67351746E8</v>
      </c>
      <c r="C3449" s="28" t="s">
        <v>3524</v>
      </c>
      <c r="D3449" s="26" t="s">
        <v>56</v>
      </c>
      <c r="E3449" s="31">
        <v>46231.0</v>
      </c>
      <c r="F3449" s="26" t="s">
        <v>631</v>
      </c>
      <c r="G3449" s="26">
        <v>11.0</v>
      </c>
      <c r="H3449" s="26" t="s">
        <v>774</v>
      </c>
      <c r="I3449" s="26" t="s">
        <v>42</v>
      </c>
      <c r="J3449" s="25" t="str">
        <f t="shared" si="46"/>
        <v>No</v>
      </c>
      <c r="K3449" s="25" t="str">
        <f t="shared" si="47"/>
        <v/>
      </c>
      <c r="L3449" s="25" t="str">
        <f t="shared" si="48"/>
        <v/>
      </c>
      <c r="M3449" s="25"/>
      <c r="O3449" s="25"/>
    </row>
    <row r="3450" ht="15.75" customHeight="1">
      <c r="A3450" s="25" t="str">
        <f>IFERROR(__xludf.DUMMYFUNCTION("IF(B3450="""","""",RIGHT(REGEXREPLACE(B3450&amp;"""",""[^0-9]"",""""),9))"),"769646738")</f>
        <v>769646738</v>
      </c>
      <c r="B3450" s="52">
        <v>7.69646738E8</v>
      </c>
      <c r="C3450" s="28" t="s">
        <v>3525</v>
      </c>
      <c r="D3450" s="26" t="s">
        <v>45</v>
      </c>
      <c r="E3450" s="31">
        <v>46231.0</v>
      </c>
      <c r="F3450" s="26" t="s">
        <v>41</v>
      </c>
      <c r="H3450" s="26" t="s">
        <v>1526</v>
      </c>
      <c r="I3450" s="26" t="s">
        <v>42</v>
      </c>
      <c r="J3450" s="25" t="str">
        <f t="shared" si="46"/>
        <v>No</v>
      </c>
      <c r="K3450" s="25" t="str">
        <f t="shared" si="47"/>
        <v/>
      </c>
      <c r="L3450" s="25" t="str">
        <f t="shared" si="48"/>
        <v/>
      </c>
      <c r="M3450" s="25"/>
      <c r="O3450" s="25"/>
    </row>
    <row r="3451" ht="15.75" customHeight="1">
      <c r="A3451" s="25" t="str">
        <f>IFERROR(__xludf.DUMMYFUNCTION("IF(B3451="""","""",RIGHT(REGEXREPLACE(B3451&amp;"""",""[^0-9]"",""""),9))"),"713129616")</f>
        <v>713129616</v>
      </c>
      <c r="B3451" s="52">
        <v>7.13129616E8</v>
      </c>
      <c r="C3451" s="28" t="s">
        <v>3526</v>
      </c>
      <c r="D3451" s="26" t="s">
        <v>64</v>
      </c>
      <c r="E3451" s="31">
        <v>46231.0</v>
      </c>
      <c r="F3451" s="26" t="s">
        <v>46</v>
      </c>
      <c r="G3451" s="26">
        <v>11.0</v>
      </c>
      <c r="I3451" s="26" t="s">
        <v>42</v>
      </c>
      <c r="J3451" s="25" t="str">
        <f t="shared" si="46"/>
        <v>No</v>
      </c>
      <c r="K3451" s="25" t="str">
        <f t="shared" si="47"/>
        <v/>
      </c>
      <c r="L3451" s="25" t="str">
        <f t="shared" si="48"/>
        <v/>
      </c>
      <c r="M3451" s="25"/>
      <c r="O3451" s="25"/>
    </row>
    <row r="3452" ht="15.75" customHeight="1">
      <c r="A3452" s="25" t="str">
        <f>IFERROR(__xludf.DUMMYFUNCTION("IF(B3452="""","""",RIGHT(REGEXREPLACE(B3452&amp;"""",""[^0-9]"",""""),9))"),"779064107")</f>
        <v>779064107</v>
      </c>
      <c r="B3452" s="52">
        <v>7.79064107E8</v>
      </c>
      <c r="C3452" s="28" t="s">
        <v>3527</v>
      </c>
      <c r="D3452" s="26" t="s">
        <v>45</v>
      </c>
      <c r="E3452" s="31">
        <v>46231.0</v>
      </c>
      <c r="F3452" s="26" t="s">
        <v>125</v>
      </c>
      <c r="H3452" s="26" t="s">
        <v>1526</v>
      </c>
      <c r="I3452" s="26" t="s">
        <v>42</v>
      </c>
      <c r="J3452" s="25" t="str">
        <f t="shared" si="46"/>
        <v>No</v>
      </c>
      <c r="K3452" s="25" t="str">
        <f t="shared" si="47"/>
        <v/>
      </c>
      <c r="L3452" s="25" t="str">
        <f t="shared" si="48"/>
        <v/>
      </c>
      <c r="M3452" s="25"/>
      <c r="O3452" s="25"/>
    </row>
    <row r="3453" ht="15.75" customHeight="1">
      <c r="A3453" s="25" t="str">
        <f>IFERROR(__xludf.DUMMYFUNCTION("IF(B3453="""","""",RIGHT(REGEXREPLACE(B3453&amp;"""",""[^0-9]"",""""),9))"),"702775288")</f>
        <v>702775288</v>
      </c>
      <c r="B3453" s="52">
        <v>7.02775288E8</v>
      </c>
      <c r="C3453" s="28" t="s">
        <v>3516</v>
      </c>
      <c r="D3453" s="26" t="s">
        <v>64</v>
      </c>
      <c r="E3453" s="31">
        <v>46231.0</v>
      </c>
      <c r="F3453" s="26" t="s">
        <v>46</v>
      </c>
      <c r="G3453" s="26">
        <v>11.0</v>
      </c>
      <c r="H3453" s="26" t="s">
        <v>1526</v>
      </c>
      <c r="I3453" s="26" t="s">
        <v>42</v>
      </c>
      <c r="J3453" s="25" t="str">
        <f t="shared" si="46"/>
        <v>No</v>
      </c>
      <c r="K3453" s="25" t="str">
        <f t="shared" si="47"/>
        <v/>
      </c>
      <c r="L3453" s="25" t="str">
        <f t="shared" si="48"/>
        <v/>
      </c>
      <c r="M3453" s="25"/>
      <c r="O3453" s="25"/>
    </row>
    <row r="3454" ht="15.75" customHeight="1">
      <c r="A3454" s="25" t="str">
        <f>IFERROR(__xludf.DUMMYFUNCTION("IF(B3454="""","""",RIGHT(REGEXREPLACE(B3454&amp;"""",""[^0-9]"",""""),9))"),"702613342")</f>
        <v>702613342</v>
      </c>
      <c r="B3454" s="52">
        <v>7.02613342E8</v>
      </c>
      <c r="C3454" s="28" t="s">
        <v>3528</v>
      </c>
      <c r="D3454" s="26" t="s">
        <v>49</v>
      </c>
      <c r="E3454" s="31">
        <v>46231.0</v>
      </c>
      <c r="F3454" s="26" t="s">
        <v>41</v>
      </c>
      <c r="G3454" s="26">
        <v>11.0</v>
      </c>
      <c r="H3454" s="26" t="s">
        <v>2682</v>
      </c>
      <c r="I3454" s="26" t="s">
        <v>42</v>
      </c>
      <c r="J3454" s="25" t="str">
        <f t="shared" si="46"/>
        <v>No</v>
      </c>
      <c r="K3454" s="25" t="str">
        <f t="shared" si="47"/>
        <v/>
      </c>
      <c r="L3454" s="25" t="str">
        <f t="shared" si="48"/>
        <v/>
      </c>
      <c r="M3454" s="25"/>
      <c r="O3454" s="25"/>
    </row>
    <row r="3455" ht="15.75" customHeight="1">
      <c r="A3455" s="25" t="str">
        <f>IFERROR(__xludf.DUMMYFUNCTION("IF(B3455="""","""",RIGHT(REGEXREPLACE(B3455&amp;"""",""[^0-9]"",""""),9))"),"727668934")</f>
        <v>727668934</v>
      </c>
      <c r="B3455" s="52">
        <v>7.27668934E8</v>
      </c>
      <c r="C3455" s="28" t="s">
        <v>3529</v>
      </c>
      <c r="D3455" s="26" t="s">
        <v>64</v>
      </c>
      <c r="E3455" s="31">
        <v>46231.0</v>
      </c>
      <c r="F3455" s="26" t="s">
        <v>41</v>
      </c>
      <c r="H3455" s="26" t="s">
        <v>1526</v>
      </c>
      <c r="I3455" s="26" t="s">
        <v>42</v>
      </c>
      <c r="J3455" s="25" t="str">
        <f t="shared" si="46"/>
        <v>No</v>
      </c>
      <c r="K3455" s="25" t="str">
        <f t="shared" si="47"/>
        <v/>
      </c>
      <c r="L3455" s="25" t="str">
        <f t="shared" si="48"/>
        <v/>
      </c>
      <c r="M3455" s="25"/>
      <c r="O3455" s="25"/>
    </row>
    <row r="3456" ht="15.75" customHeight="1">
      <c r="A3456" s="25" t="str">
        <f>IFERROR(__xludf.DUMMYFUNCTION("IF(B3456="""","""",RIGHT(REGEXREPLACE(B3456&amp;"""",""[^0-9]"",""""),9))"),"772933815")</f>
        <v>772933815</v>
      </c>
      <c r="B3456" s="52">
        <v>7.72933815E8</v>
      </c>
      <c r="C3456" s="28" t="s">
        <v>3530</v>
      </c>
      <c r="D3456" s="26" t="s">
        <v>45</v>
      </c>
      <c r="E3456" s="31">
        <v>46231.0</v>
      </c>
      <c r="F3456" s="26" t="s">
        <v>46</v>
      </c>
      <c r="G3456" s="26">
        <v>11.0</v>
      </c>
      <c r="H3456" s="26" t="s">
        <v>1526</v>
      </c>
      <c r="I3456" s="26" t="s">
        <v>42</v>
      </c>
      <c r="J3456" s="25" t="str">
        <f t="shared" si="46"/>
        <v>No</v>
      </c>
      <c r="K3456" s="25" t="str">
        <f t="shared" si="47"/>
        <v/>
      </c>
      <c r="L3456" s="25" t="str">
        <f t="shared" si="48"/>
        <v/>
      </c>
      <c r="M3456" s="25"/>
      <c r="O3456" s="25"/>
    </row>
    <row r="3457" ht="15.75" customHeight="1">
      <c r="A3457" s="25" t="str">
        <f>IFERROR(__xludf.DUMMYFUNCTION("IF(B3457="""","""",RIGHT(REGEXREPLACE(B3457&amp;"""",""[^0-9]"",""""),9))"),"761425898")</f>
        <v>761425898</v>
      </c>
      <c r="B3457" s="52">
        <v>7.61425898E8</v>
      </c>
      <c r="C3457" s="28" t="s">
        <v>3531</v>
      </c>
      <c r="D3457" s="26" t="s">
        <v>82</v>
      </c>
      <c r="E3457" s="31">
        <v>46231.0</v>
      </c>
      <c r="F3457" s="26" t="s">
        <v>46</v>
      </c>
      <c r="G3457" s="26">
        <v>11.0</v>
      </c>
      <c r="H3457" s="26" t="s">
        <v>2605</v>
      </c>
      <c r="I3457" s="26" t="s">
        <v>42</v>
      </c>
      <c r="J3457" s="25" t="str">
        <f t="shared" si="46"/>
        <v>No</v>
      </c>
      <c r="K3457" s="25" t="str">
        <f t="shared" si="47"/>
        <v/>
      </c>
      <c r="L3457" s="25" t="str">
        <f t="shared" si="48"/>
        <v/>
      </c>
      <c r="M3457" s="25"/>
      <c r="O3457" s="25"/>
    </row>
    <row r="3458" ht="15.75" customHeight="1">
      <c r="A3458" s="25" t="str">
        <f>IFERROR(__xludf.DUMMYFUNCTION("IF(B3458="""","""",RIGHT(REGEXREPLACE(B3458&amp;"""",""[^0-9]"",""""),9))"),"763743478")</f>
        <v>763743478</v>
      </c>
      <c r="B3458" s="26">
        <v>7.63743478E8</v>
      </c>
      <c r="C3458" s="28" t="s">
        <v>3532</v>
      </c>
      <c r="D3458" s="26" t="s">
        <v>37</v>
      </c>
      <c r="E3458" s="31">
        <v>46231.0</v>
      </c>
      <c r="F3458" s="26" t="s">
        <v>41</v>
      </c>
      <c r="G3458" s="26">
        <v>11.0</v>
      </c>
      <c r="I3458" s="26" t="s">
        <v>42</v>
      </c>
      <c r="J3458" s="25" t="str">
        <f t="shared" si="46"/>
        <v>No</v>
      </c>
      <c r="K3458" s="25" t="str">
        <f t="shared" si="47"/>
        <v/>
      </c>
      <c r="L3458" s="25" t="str">
        <f t="shared" si="48"/>
        <v/>
      </c>
      <c r="M3458" s="25"/>
      <c r="O3458" s="25"/>
    </row>
    <row r="3459" ht="15.75" customHeight="1">
      <c r="A3459" s="25" t="str">
        <f>IFERROR(__xludf.DUMMYFUNCTION("IF(B3459="""","""",RIGHT(REGEXREPLACE(B3459&amp;"""",""[^0-9]"",""""),9))"),"713222227")</f>
        <v>713222227</v>
      </c>
      <c r="B3459" s="52">
        <v>7.13222227E8</v>
      </c>
      <c r="C3459" s="28" t="s">
        <v>3533</v>
      </c>
      <c r="D3459" s="26" t="s">
        <v>49</v>
      </c>
      <c r="E3459" s="31">
        <v>46231.0</v>
      </c>
      <c r="F3459" s="26" t="s">
        <v>46</v>
      </c>
      <c r="G3459" s="26">
        <v>11.0</v>
      </c>
      <c r="I3459" s="26" t="s">
        <v>42</v>
      </c>
      <c r="J3459" s="25" t="str">
        <f t="shared" si="46"/>
        <v>No</v>
      </c>
      <c r="K3459" s="25" t="str">
        <f t="shared" si="47"/>
        <v/>
      </c>
      <c r="L3459" s="25" t="str">
        <f t="shared" si="48"/>
        <v/>
      </c>
      <c r="M3459" s="25"/>
      <c r="O3459" s="25"/>
    </row>
    <row r="3460" ht="15.75" customHeight="1">
      <c r="A3460" s="25" t="str">
        <f>IFERROR(__xludf.DUMMYFUNCTION("IF(B3460="""","""",RIGHT(REGEXREPLACE(B3460&amp;"""",""[^0-9]"",""""),9))"),"774957525")</f>
        <v>774957525</v>
      </c>
      <c r="B3460" s="52">
        <v>7.74957525E8</v>
      </c>
      <c r="C3460" s="28" t="s">
        <v>3534</v>
      </c>
      <c r="D3460" s="26" t="s">
        <v>45</v>
      </c>
      <c r="E3460" s="31">
        <v>46231.0</v>
      </c>
      <c r="F3460" s="26" t="s">
        <v>46</v>
      </c>
      <c r="G3460" s="26">
        <v>11.0</v>
      </c>
      <c r="H3460" s="26" t="s">
        <v>796</v>
      </c>
      <c r="I3460" s="26" t="s">
        <v>42</v>
      </c>
      <c r="J3460" s="25" t="str">
        <f t="shared" si="46"/>
        <v>No</v>
      </c>
      <c r="K3460" s="25" t="str">
        <f t="shared" si="47"/>
        <v/>
      </c>
      <c r="L3460" s="25" t="str">
        <f t="shared" si="48"/>
        <v/>
      </c>
      <c r="M3460" s="25"/>
      <c r="O3460" s="25"/>
    </row>
    <row r="3461" ht="15.75" customHeight="1">
      <c r="A3461" s="25" t="str">
        <f>IFERROR(__xludf.DUMMYFUNCTION("IF(B3461="""","""",RIGHT(REGEXREPLACE(B3461&amp;"""",""[^0-9]"",""""),9))"),"760992808")</f>
        <v>760992808</v>
      </c>
      <c r="B3461" s="52">
        <v>7.60992808E8</v>
      </c>
      <c r="C3461" s="28" t="s">
        <v>3535</v>
      </c>
      <c r="D3461" s="26" t="s">
        <v>56</v>
      </c>
      <c r="E3461" s="31">
        <v>46231.0</v>
      </c>
      <c r="F3461" s="26" t="s">
        <v>631</v>
      </c>
      <c r="G3461" s="26">
        <v>11.0</v>
      </c>
      <c r="H3461" s="26" t="s">
        <v>796</v>
      </c>
      <c r="I3461" s="26" t="s">
        <v>42</v>
      </c>
      <c r="J3461" s="25" t="str">
        <f t="shared" si="46"/>
        <v>No</v>
      </c>
      <c r="K3461" s="25" t="str">
        <f t="shared" si="47"/>
        <v/>
      </c>
      <c r="L3461" s="25" t="str">
        <f t="shared" si="48"/>
        <v/>
      </c>
      <c r="M3461" s="25"/>
      <c r="O3461" s="25"/>
    </row>
    <row r="3462" ht="15.75" customHeight="1">
      <c r="A3462" s="25" t="str">
        <f>IFERROR(__xludf.DUMMYFUNCTION("IF(B3462="""","""",RIGHT(REGEXREPLACE(B3462&amp;"""",""[^0-9]"",""""),9))"),"741686855")</f>
        <v>741686855</v>
      </c>
      <c r="B3462" s="52">
        <v>7.41686855E8</v>
      </c>
      <c r="C3462" s="28" t="s">
        <v>3536</v>
      </c>
      <c r="D3462" s="26" t="s">
        <v>82</v>
      </c>
      <c r="E3462" s="31">
        <v>46231.0</v>
      </c>
      <c r="F3462" s="26" t="s">
        <v>46</v>
      </c>
      <c r="G3462" s="26">
        <v>11.0</v>
      </c>
      <c r="I3462" s="26" t="s">
        <v>42</v>
      </c>
      <c r="J3462" s="25" t="str">
        <f t="shared" si="46"/>
        <v>No</v>
      </c>
      <c r="K3462" s="25" t="str">
        <f t="shared" si="47"/>
        <v/>
      </c>
      <c r="L3462" s="25" t="str">
        <f t="shared" si="48"/>
        <v/>
      </c>
      <c r="M3462" s="25"/>
      <c r="O3462" s="25"/>
    </row>
    <row r="3463" ht="15.75" customHeight="1">
      <c r="A3463" s="25" t="str">
        <f>IFERROR(__xludf.DUMMYFUNCTION("IF(B3463="""","""",RIGHT(REGEXREPLACE(B3463&amp;"""",""[^0-9]"",""""),9))"),"776651778")</f>
        <v>776651778</v>
      </c>
      <c r="B3463" s="52">
        <v>7.76651778E8</v>
      </c>
      <c r="C3463" s="28" t="s">
        <v>3537</v>
      </c>
      <c r="D3463" s="26" t="s">
        <v>64</v>
      </c>
      <c r="E3463" s="31">
        <v>46231.0</v>
      </c>
      <c r="F3463" s="26" t="s">
        <v>41</v>
      </c>
      <c r="G3463" s="26">
        <v>11.0</v>
      </c>
      <c r="H3463" s="26" t="s">
        <v>1526</v>
      </c>
      <c r="I3463" s="26" t="s">
        <v>42</v>
      </c>
      <c r="J3463" s="25" t="str">
        <f t="shared" si="46"/>
        <v>No</v>
      </c>
      <c r="K3463" s="25" t="str">
        <f t="shared" si="47"/>
        <v/>
      </c>
      <c r="L3463" s="25" t="str">
        <f t="shared" si="48"/>
        <v/>
      </c>
      <c r="M3463" s="25"/>
      <c r="O3463" s="25"/>
    </row>
    <row r="3464" ht="15.75" customHeight="1">
      <c r="A3464" s="25" t="str">
        <f>IFERROR(__xludf.DUMMYFUNCTION("IF(B3464="""","""",RIGHT(REGEXREPLACE(B3464&amp;"""",""[^0-9]"",""""),9))"),"719245344")</f>
        <v>719245344</v>
      </c>
      <c r="B3464" s="52">
        <v>7.19245344E8</v>
      </c>
      <c r="C3464" s="28" t="s">
        <v>3538</v>
      </c>
      <c r="D3464" s="26" t="s">
        <v>82</v>
      </c>
      <c r="E3464" s="31">
        <v>46231.0</v>
      </c>
      <c r="F3464" s="26" t="s">
        <v>46</v>
      </c>
      <c r="G3464" s="26">
        <v>11.0</v>
      </c>
      <c r="H3464" s="26" t="s">
        <v>1526</v>
      </c>
      <c r="I3464" s="26" t="s">
        <v>42</v>
      </c>
      <c r="J3464" s="25" t="str">
        <f t="shared" si="46"/>
        <v>No</v>
      </c>
      <c r="K3464" s="25" t="str">
        <f t="shared" si="47"/>
        <v/>
      </c>
      <c r="L3464" s="25" t="str">
        <f t="shared" si="48"/>
        <v/>
      </c>
      <c r="M3464" s="25"/>
      <c r="O3464" s="25"/>
    </row>
    <row r="3465" ht="15.75" customHeight="1">
      <c r="A3465" s="25" t="str">
        <f>IFERROR(__xludf.DUMMYFUNCTION("IF(B3465="""","""",RIGHT(REGEXREPLACE(B3465&amp;"""",""[^0-9]"",""""),9))"),"713946539")</f>
        <v>713946539</v>
      </c>
      <c r="B3465" s="52">
        <v>7.13946539E8</v>
      </c>
      <c r="C3465" s="28" t="s">
        <v>3539</v>
      </c>
      <c r="D3465" s="26" t="s">
        <v>49</v>
      </c>
      <c r="E3465" s="31">
        <v>46231.0</v>
      </c>
      <c r="F3465" s="26" t="s">
        <v>46</v>
      </c>
      <c r="G3465" s="26">
        <v>11.0</v>
      </c>
      <c r="H3465" s="26" t="s">
        <v>2682</v>
      </c>
      <c r="I3465" s="26" t="s">
        <v>42</v>
      </c>
      <c r="J3465" s="25" t="str">
        <f t="shared" si="46"/>
        <v>No</v>
      </c>
      <c r="K3465" s="25" t="str">
        <f t="shared" si="47"/>
        <v/>
      </c>
      <c r="L3465" s="25" t="str">
        <f t="shared" si="48"/>
        <v/>
      </c>
      <c r="M3465" s="25"/>
      <c r="O3465" s="25"/>
    </row>
    <row r="3466" ht="15.75" customHeight="1">
      <c r="A3466" s="25" t="str">
        <f>IFERROR(__xludf.DUMMYFUNCTION("IF(B3466="""","""",RIGHT(REGEXREPLACE(B3466&amp;"""",""[^0-9]"",""""),9))"),"765631531")</f>
        <v>765631531</v>
      </c>
      <c r="B3466" s="52">
        <v>7.65631531E8</v>
      </c>
      <c r="C3466" s="28" t="s">
        <v>3540</v>
      </c>
      <c r="D3466" s="26" t="s">
        <v>64</v>
      </c>
      <c r="E3466" s="31">
        <v>46231.0</v>
      </c>
      <c r="F3466" s="26" t="s">
        <v>46</v>
      </c>
      <c r="G3466" s="26">
        <v>11.0</v>
      </c>
      <c r="H3466" s="26" t="s">
        <v>1526</v>
      </c>
      <c r="I3466" s="26" t="s">
        <v>42</v>
      </c>
      <c r="J3466" s="25" t="str">
        <f t="shared" si="46"/>
        <v>No</v>
      </c>
      <c r="K3466" s="25" t="str">
        <f t="shared" si="47"/>
        <v/>
      </c>
      <c r="L3466" s="25" t="str">
        <f t="shared" si="48"/>
        <v/>
      </c>
      <c r="M3466" s="25"/>
      <c r="O3466" s="25"/>
    </row>
    <row r="3467" ht="15.75" customHeight="1">
      <c r="A3467" s="25" t="str">
        <f>IFERROR(__xludf.DUMMYFUNCTION("IF(B3467="""","""",RIGHT(REGEXREPLACE(B3467&amp;"""",""[^0-9]"",""""),9))"),"717770442")</f>
        <v>717770442</v>
      </c>
      <c r="B3467" s="52">
        <v>7.17770442E8</v>
      </c>
      <c r="C3467" s="28" t="s">
        <v>3541</v>
      </c>
      <c r="D3467" s="26" t="s">
        <v>64</v>
      </c>
      <c r="E3467" s="31">
        <v>46231.0</v>
      </c>
      <c r="F3467" s="26" t="s">
        <v>46</v>
      </c>
      <c r="G3467" s="26">
        <v>10.0</v>
      </c>
      <c r="H3467" s="26" t="s">
        <v>1526</v>
      </c>
      <c r="I3467" s="26" t="s">
        <v>42</v>
      </c>
      <c r="J3467" s="25" t="str">
        <f t="shared" si="46"/>
        <v>No</v>
      </c>
      <c r="K3467" s="25" t="str">
        <f t="shared" si="47"/>
        <v/>
      </c>
      <c r="L3467" s="25" t="str">
        <f t="shared" si="48"/>
        <v/>
      </c>
      <c r="M3467" s="25"/>
      <c r="O3467" s="25"/>
    </row>
    <row r="3468" ht="15.75" customHeight="1">
      <c r="A3468" s="25" t="str">
        <f>IFERROR(__xludf.DUMMYFUNCTION("IF(B3468="""","""",RIGHT(REGEXREPLACE(B3468&amp;"""",""[^0-9]"",""""),9))"),"762395689")</f>
        <v>762395689</v>
      </c>
      <c r="B3468" s="52">
        <v>7.62395689E8</v>
      </c>
      <c r="C3468" s="28" t="s">
        <v>3542</v>
      </c>
      <c r="D3468" s="26" t="s">
        <v>56</v>
      </c>
      <c r="E3468" s="31">
        <v>46231.0</v>
      </c>
      <c r="F3468" s="26" t="s">
        <v>46</v>
      </c>
      <c r="G3468" s="26">
        <v>11.0</v>
      </c>
      <c r="H3468" s="26" t="s">
        <v>796</v>
      </c>
      <c r="I3468" s="26" t="s">
        <v>42</v>
      </c>
      <c r="J3468" s="25" t="str">
        <f t="shared" si="46"/>
        <v>No</v>
      </c>
      <c r="K3468" s="25" t="str">
        <f t="shared" si="47"/>
        <v/>
      </c>
      <c r="L3468" s="25" t="str">
        <f t="shared" si="48"/>
        <v/>
      </c>
      <c r="M3468" s="25"/>
      <c r="O3468" s="25"/>
    </row>
    <row r="3469" ht="15.75" customHeight="1">
      <c r="A3469" s="25" t="str">
        <f>IFERROR(__xludf.DUMMYFUNCTION("IF(B3469="""","""",RIGHT(REGEXREPLACE(B3469&amp;"""",""[^0-9]"",""""),9))"),"715817450")</f>
        <v>715817450</v>
      </c>
      <c r="B3469" s="52">
        <v>7.1581745E8</v>
      </c>
      <c r="C3469" s="28" t="s">
        <v>3543</v>
      </c>
      <c r="D3469" s="26" t="s">
        <v>82</v>
      </c>
      <c r="E3469" s="31">
        <v>46231.0</v>
      </c>
      <c r="F3469" s="26" t="s">
        <v>704</v>
      </c>
      <c r="I3469" s="26" t="s">
        <v>42</v>
      </c>
      <c r="J3469" s="25" t="str">
        <f t="shared" si="46"/>
        <v>No</v>
      </c>
      <c r="K3469" s="25" t="str">
        <f t="shared" si="47"/>
        <v/>
      </c>
      <c r="L3469" s="25" t="str">
        <f t="shared" si="48"/>
        <v/>
      </c>
      <c r="M3469" s="25"/>
      <c r="O3469" s="25"/>
    </row>
    <row r="3470" ht="15.75" customHeight="1">
      <c r="A3470" s="25" t="str">
        <f>IFERROR(__xludf.DUMMYFUNCTION("IF(B3470="""","""",RIGHT(REGEXREPLACE(B3470&amp;"""",""[^0-9]"",""""),9))"),"773180373")</f>
        <v>773180373</v>
      </c>
      <c r="B3470" s="26">
        <v>7.73180373E8</v>
      </c>
      <c r="C3470" s="28" t="s">
        <v>3544</v>
      </c>
      <c r="D3470" s="26" t="s">
        <v>37</v>
      </c>
      <c r="E3470" s="31">
        <v>46231.0</v>
      </c>
      <c r="F3470" s="26" t="s">
        <v>41</v>
      </c>
      <c r="I3470" s="26" t="s">
        <v>42</v>
      </c>
      <c r="J3470" s="25" t="str">
        <f t="shared" si="46"/>
        <v>No</v>
      </c>
      <c r="K3470" s="25" t="str">
        <f t="shared" si="47"/>
        <v/>
      </c>
      <c r="L3470" s="25" t="str">
        <f t="shared" si="48"/>
        <v/>
      </c>
      <c r="M3470" s="25"/>
      <c r="O3470" s="25"/>
    </row>
    <row r="3471" ht="15.75" customHeight="1">
      <c r="A3471" s="25" t="str">
        <f>IFERROR(__xludf.DUMMYFUNCTION("IF(B3471="""","""",RIGHT(REGEXREPLACE(B3471&amp;"""",""[^0-9]"",""""),9))"),"771760171")</f>
        <v>771760171</v>
      </c>
      <c r="B3471" s="52">
        <v>7.71760171E8</v>
      </c>
      <c r="C3471" s="28" t="s">
        <v>1166</v>
      </c>
      <c r="D3471" s="26" t="s">
        <v>45</v>
      </c>
      <c r="E3471" s="31">
        <v>46231.0</v>
      </c>
      <c r="F3471" s="26" t="s">
        <v>41</v>
      </c>
      <c r="H3471" s="26" t="s">
        <v>1526</v>
      </c>
      <c r="I3471" s="26" t="s">
        <v>42</v>
      </c>
      <c r="J3471" s="25" t="str">
        <f t="shared" si="46"/>
        <v>Yes - see Previous F-Code</v>
      </c>
      <c r="K3471" s="25" t="str">
        <f t="shared" si="47"/>
        <v>DUPLICATE - CHECK</v>
      </c>
      <c r="L3471" s="25" t="str">
        <f t="shared" si="48"/>
        <v>F70905</v>
      </c>
      <c r="M3471" s="25"/>
      <c r="O3471" s="25"/>
    </row>
    <row r="3472" ht="15.75" customHeight="1">
      <c r="A3472" s="25" t="str">
        <f>IFERROR(__xludf.DUMMYFUNCTION("IF(B3472="""","""",RIGHT(REGEXREPLACE(B3472&amp;"""",""[^0-9]"",""""),9))"),"770797050")</f>
        <v>770797050</v>
      </c>
      <c r="B3472" s="52">
        <v>7.7079705E8</v>
      </c>
      <c r="C3472" s="28" t="s">
        <v>3545</v>
      </c>
      <c r="D3472" s="26" t="s">
        <v>82</v>
      </c>
      <c r="E3472" s="31">
        <v>46231.0</v>
      </c>
      <c r="F3472" s="26" t="s">
        <v>46</v>
      </c>
      <c r="G3472" s="26">
        <v>11.0</v>
      </c>
      <c r="H3472" s="26" t="s">
        <v>1526</v>
      </c>
      <c r="I3472" s="26" t="s">
        <v>42</v>
      </c>
      <c r="J3472" s="25" t="str">
        <f t="shared" si="46"/>
        <v>No</v>
      </c>
      <c r="K3472" s="25" t="str">
        <f t="shared" si="47"/>
        <v/>
      </c>
      <c r="L3472" s="25" t="str">
        <f t="shared" si="48"/>
        <v/>
      </c>
      <c r="M3472" s="25"/>
      <c r="O3472" s="25"/>
    </row>
    <row r="3473" ht="15.75" customHeight="1">
      <c r="A3473" s="25" t="str">
        <f>IFERROR(__xludf.DUMMYFUNCTION("IF(B3473="""","""",RIGHT(REGEXREPLACE(B3473&amp;"""",""[^0-9]"",""""),9))"),"740660482")</f>
        <v>740660482</v>
      </c>
      <c r="B3473" s="52">
        <v>7.40660482E8</v>
      </c>
      <c r="C3473" s="28" t="s">
        <v>3546</v>
      </c>
      <c r="D3473" s="26" t="s">
        <v>64</v>
      </c>
      <c r="E3473" s="31">
        <v>46231.0</v>
      </c>
      <c r="F3473" s="26" t="s">
        <v>84</v>
      </c>
      <c r="G3473" s="26">
        <v>11.0</v>
      </c>
      <c r="H3473" s="26" t="s">
        <v>1526</v>
      </c>
      <c r="I3473" s="26" t="s">
        <v>42</v>
      </c>
      <c r="J3473" s="25" t="str">
        <f t="shared" si="46"/>
        <v>No</v>
      </c>
      <c r="K3473" s="25" t="str">
        <f t="shared" si="47"/>
        <v/>
      </c>
      <c r="L3473" s="25" t="str">
        <f t="shared" si="48"/>
        <v/>
      </c>
      <c r="M3473" s="25"/>
      <c r="O3473" s="25"/>
    </row>
    <row r="3474" ht="15.75" customHeight="1">
      <c r="A3474" s="25" t="str">
        <f>IFERROR(__xludf.DUMMYFUNCTION("IF(B3474="""","""",RIGHT(REGEXREPLACE(B3474&amp;"""",""[^0-9]"",""""),9))"),"71796831")</f>
        <v>71796831</v>
      </c>
      <c r="B3474" s="26">
        <v>7.1796831E7</v>
      </c>
      <c r="C3474" s="28" t="s">
        <v>83</v>
      </c>
      <c r="D3474" s="26" t="s">
        <v>37</v>
      </c>
      <c r="E3474" s="31">
        <v>46231.0</v>
      </c>
      <c r="F3474" s="26" t="s">
        <v>205</v>
      </c>
      <c r="G3474" s="26">
        <v>9.0</v>
      </c>
      <c r="I3474" s="26" t="s">
        <v>42</v>
      </c>
      <c r="J3474" s="25" t="str">
        <f t="shared" si="46"/>
        <v>No</v>
      </c>
      <c r="K3474" s="25" t="str">
        <f t="shared" si="47"/>
        <v/>
      </c>
      <c r="L3474" s="25" t="str">
        <f t="shared" si="48"/>
        <v/>
      </c>
      <c r="M3474" s="25"/>
      <c r="O3474" s="25"/>
    </row>
    <row r="3475" ht="15.75" customHeight="1">
      <c r="A3475" s="25" t="str">
        <f>IFERROR(__xludf.DUMMYFUNCTION("IF(B3475="""","""",RIGHT(REGEXREPLACE(B3475&amp;"""",""[^0-9]"",""""),9))"),"761238789")</f>
        <v>761238789</v>
      </c>
      <c r="B3475" s="52">
        <v>7.61238789E8</v>
      </c>
      <c r="C3475" s="28" t="s">
        <v>3547</v>
      </c>
      <c r="D3475" s="26" t="s">
        <v>49</v>
      </c>
      <c r="E3475" s="31">
        <v>46231.0</v>
      </c>
      <c r="F3475" s="26" t="s">
        <v>46</v>
      </c>
      <c r="G3475" s="26">
        <v>11.0</v>
      </c>
      <c r="H3475" s="26" t="s">
        <v>2682</v>
      </c>
      <c r="I3475" s="26" t="s">
        <v>42</v>
      </c>
      <c r="J3475" s="25" t="str">
        <f t="shared" si="46"/>
        <v>No</v>
      </c>
      <c r="K3475" s="25" t="str">
        <f t="shared" si="47"/>
        <v/>
      </c>
      <c r="L3475" s="25" t="str">
        <f t="shared" si="48"/>
        <v/>
      </c>
      <c r="M3475" s="25"/>
      <c r="O3475" s="25"/>
    </row>
    <row r="3476" ht="15.75" customHeight="1">
      <c r="A3476" s="25" t="str">
        <f>IFERROR(__xludf.DUMMYFUNCTION("IF(B3476="""","""",RIGHT(REGEXREPLACE(B3476&amp;"""",""[^0-9]"",""""),9))"),"715538849")</f>
        <v>715538849</v>
      </c>
      <c r="B3476" s="52">
        <v>7.15538849E8</v>
      </c>
      <c r="C3476" s="28" t="s">
        <v>3548</v>
      </c>
      <c r="D3476" s="26" t="s">
        <v>45</v>
      </c>
      <c r="E3476" s="31">
        <v>46231.0</v>
      </c>
      <c r="F3476" s="26" t="s">
        <v>41</v>
      </c>
      <c r="H3476" s="26" t="s">
        <v>1526</v>
      </c>
      <c r="I3476" s="26" t="s">
        <v>42</v>
      </c>
      <c r="J3476" s="25" t="str">
        <f t="shared" si="46"/>
        <v>No</v>
      </c>
      <c r="K3476" s="25" t="str">
        <f t="shared" si="47"/>
        <v/>
      </c>
      <c r="L3476" s="25" t="str">
        <f t="shared" si="48"/>
        <v/>
      </c>
      <c r="M3476" s="25"/>
      <c r="O3476" s="25"/>
    </row>
    <row r="3477" ht="15.75" customHeight="1">
      <c r="A3477" s="25" t="str">
        <f>IFERROR(__xludf.DUMMYFUNCTION("IF(B3477="""","""",RIGHT(REGEXREPLACE(B3477&amp;"""",""[^0-9]"",""""),9))"),"702113587")</f>
        <v>702113587</v>
      </c>
      <c r="B3477" s="26">
        <v>7.02113587E8</v>
      </c>
      <c r="C3477" s="28" t="s">
        <v>3549</v>
      </c>
      <c r="D3477" s="26" t="s">
        <v>37</v>
      </c>
      <c r="E3477" s="31">
        <v>46231.0</v>
      </c>
      <c r="F3477" s="26" t="s">
        <v>46</v>
      </c>
      <c r="G3477" s="26">
        <v>11.0</v>
      </c>
      <c r="I3477" s="26" t="s">
        <v>42</v>
      </c>
      <c r="J3477" s="25" t="str">
        <f t="shared" si="46"/>
        <v>No</v>
      </c>
      <c r="K3477" s="25" t="str">
        <f t="shared" si="47"/>
        <v/>
      </c>
      <c r="L3477" s="25" t="str">
        <f t="shared" si="48"/>
        <v/>
      </c>
      <c r="M3477" s="25"/>
      <c r="O3477" s="25"/>
    </row>
    <row r="3478" ht="15.75" customHeight="1">
      <c r="A3478" s="25" t="str">
        <f>IFERROR(__xludf.DUMMYFUNCTION("IF(B3478="""","""",RIGHT(REGEXREPLACE(B3478&amp;"""",""[^0-9]"",""""),9))"),"766373037")</f>
        <v>766373037</v>
      </c>
      <c r="B3478" s="52">
        <v>7.66373037E8</v>
      </c>
      <c r="C3478" s="28" t="s">
        <v>3550</v>
      </c>
      <c r="D3478" s="26" t="s">
        <v>64</v>
      </c>
      <c r="E3478" s="31">
        <v>46231.0</v>
      </c>
      <c r="F3478" s="26" t="s">
        <v>205</v>
      </c>
      <c r="H3478" s="26" t="s">
        <v>1526</v>
      </c>
      <c r="I3478" s="26" t="s">
        <v>42</v>
      </c>
      <c r="J3478" s="25" t="str">
        <f t="shared" si="46"/>
        <v>No</v>
      </c>
      <c r="K3478" s="25" t="str">
        <f t="shared" si="47"/>
        <v/>
      </c>
      <c r="L3478" s="25" t="str">
        <f t="shared" si="48"/>
        <v/>
      </c>
      <c r="M3478" s="25"/>
      <c r="O3478" s="25"/>
    </row>
    <row r="3479" ht="15.75" customHeight="1">
      <c r="A3479" s="25" t="str">
        <f>IFERROR(__xludf.DUMMYFUNCTION("IF(B3479="""","""",RIGHT(REGEXREPLACE(B3479&amp;"""",""[^0-9]"",""""),9))"),"770795924")</f>
        <v>770795924</v>
      </c>
      <c r="B3479" s="52">
        <v>7.70795924E8</v>
      </c>
      <c r="C3479" s="28" t="s">
        <v>3551</v>
      </c>
      <c r="D3479" s="26" t="s">
        <v>82</v>
      </c>
      <c r="E3479" s="31">
        <v>46231.0</v>
      </c>
      <c r="F3479" s="26" t="s">
        <v>84</v>
      </c>
      <c r="G3479" s="26">
        <v>11.0</v>
      </c>
      <c r="H3479" s="26" t="s">
        <v>1526</v>
      </c>
      <c r="I3479" s="26" t="s">
        <v>42</v>
      </c>
      <c r="J3479" s="25" t="str">
        <f t="shared" si="46"/>
        <v>No</v>
      </c>
      <c r="K3479" s="25" t="str">
        <f t="shared" si="47"/>
        <v/>
      </c>
      <c r="L3479" s="25" t="str">
        <f t="shared" si="48"/>
        <v/>
      </c>
      <c r="M3479" s="25"/>
      <c r="O3479" s="25"/>
    </row>
    <row r="3480" ht="15.75" customHeight="1">
      <c r="A3480" s="25" t="str">
        <f>IFERROR(__xludf.DUMMYFUNCTION("IF(B3480="""","""",RIGHT(REGEXREPLACE(B3480&amp;"""",""[^0-9]"",""""),9))"),"754466230")</f>
        <v>754466230</v>
      </c>
      <c r="B3480" s="52">
        <v>7.5446623E8</v>
      </c>
      <c r="C3480" s="28" t="s">
        <v>3552</v>
      </c>
      <c r="D3480" s="26" t="s">
        <v>45</v>
      </c>
      <c r="E3480" s="31">
        <v>46231.0</v>
      </c>
      <c r="F3480" s="26" t="s">
        <v>41</v>
      </c>
      <c r="H3480" s="26" t="s">
        <v>1526</v>
      </c>
      <c r="I3480" s="26" t="s">
        <v>42</v>
      </c>
      <c r="J3480" s="25" t="str">
        <f t="shared" si="46"/>
        <v>No</v>
      </c>
      <c r="K3480" s="25" t="str">
        <f t="shared" si="47"/>
        <v/>
      </c>
      <c r="L3480" s="25" t="str">
        <f t="shared" si="48"/>
        <v/>
      </c>
      <c r="M3480" s="25"/>
      <c r="O3480" s="25"/>
    </row>
    <row r="3481" ht="15.75" customHeight="1">
      <c r="A3481" s="25" t="str">
        <f>IFERROR(__xludf.DUMMYFUNCTION("IF(B3481="""","""",RIGHT(REGEXREPLACE(B3481&amp;"""",""[^0-9]"",""""),9))"),"766782593")</f>
        <v>766782593</v>
      </c>
      <c r="B3481" s="52">
        <v>7.66782593E8</v>
      </c>
      <c r="C3481" s="28" t="s">
        <v>3553</v>
      </c>
      <c r="D3481" s="26" t="s">
        <v>64</v>
      </c>
      <c r="E3481" s="31">
        <v>46231.0</v>
      </c>
      <c r="F3481" s="26" t="s">
        <v>46</v>
      </c>
      <c r="G3481" s="26">
        <v>11.0</v>
      </c>
      <c r="H3481" s="26" t="s">
        <v>3554</v>
      </c>
      <c r="I3481" s="26" t="s">
        <v>42</v>
      </c>
      <c r="J3481" s="25" t="str">
        <f t="shared" si="46"/>
        <v>No</v>
      </c>
      <c r="K3481" s="25" t="str">
        <f t="shared" si="47"/>
        <v/>
      </c>
      <c r="L3481" s="25" t="str">
        <f t="shared" si="48"/>
        <v/>
      </c>
      <c r="M3481" s="25"/>
      <c r="O3481" s="25"/>
    </row>
    <row r="3482" ht="15.75" customHeight="1">
      <c r="A3482" s="25" t="str">
        <f>IFERROR(__xludf.DUMMYFUNCTION("IF(B3482="""","""",RIGHT(REGEXREPLACE(B3482&amp;"""",""[^0-9]"",""""),9))"),"770442795")</f>
        <v>770442795</v>
      </c>
      <c r="B3482" s="52">
        <v>7.70442795E8</v>
      </c>
      <c r="C3482" s="28" t="s">
        <v>3555</v>
      </c>
      <c r="D3482" s="26" t="s">
        <v>49</v>
      </c>
      <c r="E3482" s="31">
        <v>46231.0</v>
      </c>
      <c r="F3482" s="26" t="s">
        <v>46</v>
      </c>
      <c r="G3482" s="26">
        <v>11.0</v>
      </c>
      <c r="H3482" s="26" t="s">
        <v>2682</v>
      </c>
      <c r="I3482" s="26" t="s">
        <v>42</v>
      </c>
      <c r="J3482" s="25" t="str">
        <f t="shared" si="46"/>
        <v>No</v>
      </c>
      <c r="K3482" s="25" t="str">
        <f t="shared" si="47"/>
        <v/>
      </c>
      <c r="L3482" s="25" t="str">
        <f t="shared" si="48"/>
        <v/>
      </c>
      <c r="M3482" s="25"/>
      <c r="O3482" s="25"/>
    </row>
    <row r="3483" ht="15.75" customHeight="1">
      <c r="A3483" s="25" t="str">
        <f>IFERROR(__xludf.DUMMYFUNCTION("IF(B3483="""","""",RIGHT(REGEXREPLACE(B3483&amp;"""",""[^0-9]"",""""),9))"),"760231823")</f>
        <v>760231823</v>
      </c>
      <c r="B3483" s="52">
        <v>7.60231823E8</v>
      </c>
      <c r="C3483" s="28" t="s">
        <v>3556</v>
      </c>
      <c r="D3483" s="26" t="s">
        <v>64</v>
      </c>
      <c r="E3483" s="31">
        <v>46231.0</v>
      </c>
      <c r="F3483" s="26" t="s">
        <v>659</v>
      </c>
      <c r="H3483" s="26" t="s">
        <v>1526</v>
      </c>
      <c r="I3483" s="26" t="s">
        <v>42</v>
      </c>
      <c r="J3483" s="25" t="str">
        <f t="shared" si="46"/>
        <v>No</v>
      </c>
      <c r="K3483" s="25" t="str">
        <f t="shared" si="47"/>
        <v/>
      </c>
      <c r="L3483" s="25" t="str">
        <f t="shared" si="48"/>
        <v/>
      </c>
      <c r="M3483" s="25"/>
      <c r="O3483" s="25"/>
    </row>
    <row r="3484" ht="15.75" customHeight="1">
      <c r="A3484" s="25" t="str">
        <f>IFERROR(__xludf.DUMMYFUNCTION("IF(B3484="""","""",RIGHT(REGEXREPLACE(B3484&amp;"""",""[^0-9]"",""""),9))"),"767781835")</f>
        <v>767781835</v>
      </c>
      <c r="B3484" s="52">
        <v>7.67781835E8</v>
      </c>
      <c r="C3484" s="28" t="s">
        <v>3557</v>
      </c>
      <c r="D3484" s="26" t="s">
        <v>82</v>
      </c>
      <c r="E3484" s="31">
        <v>46231.0</v>
      </c>
      <c r="F3484" s="25"/>
      <c r="G3484" s="25"/>
      <c r="H3484" s="25"/>
      <c r="I3484" s="26" t="s">
        <v>42</v>
      </c>
      <c r="J3484" s="25" t="str">
        <f t="shared" si="46"/>
        <v>No</v>
      </c>
      <c r="K3484" s="25" t="str">
        <f t="shared" si="47"/>
        <v/>
      </c>
      <c r="L3484" s="25" t="str">
        <f t="shared" si="48"/>
        <v/>
      </c>
      <c r="M3484" s="25"/>
      <c r="N3484" s="25"/>
      <c r="O3484" s="25"/>
      <c r="P3484" s="25"/>
    </row>
    <row r="3485" ht="15.75" customHeight="1">
      <c r="A3485" s="25" t="str">
        <f>IFERROR(__xludf.DUMMYFUNCTION("IF(B3485="""","""",RIGHT(REGEXREPLACE(B3485&amp;"""",""[^0-9]"",""""),9))"),"715455682")</f>
        <v>715455682</v>
      </c>
      <c r="B3485" s="52">
        <v>7.15455682E8</v>
      </c>
      <c r="C3485" s="28" t="s">
        <v>3558</v>
      </c>
      <c r="D3485" s="26" t="s">
        <v>45</v>
      </c>
      <c r="E3485" s="31">
        <v>46231.0</v>
      </c>
      <c r="F3485" s="26" t="s">
        <v>205</v>
      </c>
      <c r="H3485" s="26" t="s">
        <v>1526</v>
      </c>
      <c r="I3485" s="26" t="s">
        <v>42</v>
      </c>
      <c r="J3485" s="25" t="str">
        <f t="shared" si="46"/>
        <v>No</v>
      </c>
      <c r="K3485" s="25" t="str">
        <f t="shared" si="47"/>
        <v/>
      </c>
      <c r="L3485" s="25" t="str">
        <f t="shared" si="48"/>
        <v/>
      </c>
      <c r="M3485" s="25"/>
      <c r="O3485" s="25"/>
    </row>
    <row r="3486" ht="15.75" customHeight="1">
      <c r="A3486" s="25" t="str">
        <f>IFERROR(__xludf.DUMMYFUNCTION("IF(B3486="""","""",RIGHT(REGEXREPLACE(B3486&amp;"""",""[^0-9]"",""""),9))"),"772185858")</f>
        <v>772185858</v>
      </c>
      <c r="B3486" s="52">
        <v>7.72185858E8</v>
      </c>
      <c r="C3486" s="28" t="s">
        <v>3559</v>
      </c>
      <c r="D3486" s="26" t="s">
        <v>56</v>
      </c>
      <c r="E3486" s="31">
        <v>46231.0</v>
      </c>
      <c r="F3486" s="26" t="s">
        <v>125</v>
      </c>
      <c r="H3486" s="26" t="s">
        <v>796</v>
      </c>
      <c r="I3486" s="26" t="s">
        <v>42</v>
      </c>
      <c r="J3486" s="25" t="str">
        <f t="shared" si="46"/>
        <v>No</v>
      </c>
      <c r="K3486" s="25" t="str">
        <f t="shared" si="47"/>
        <v/>
      </c>
      <c r="L3486" s="25" t="str">
        <f t="shared" si="48"/>
        <v/>
      </c>
      <c r="M3486" s="25"/>
      <c r="O3486" s="25"/>
    </row>
    <row r="3487" ht="15.75" customHeight="1">
      <c r="A3487" s="25" t="str">
        <f>IFERROR(__xludf.DUMMYFUNCTION("IF(B3487="""","""",RIGHT(REGEXREPLACE(B3487&amp;"""",""[^0-9]"",""""),9))"),"752423331")</f>
        <v>752423331</v>
      </c>
      <c r="B3487" s="52">
        <v>7.52423331E8</v>
      </c>
      <c r="C3487" s="28" t="s">
        <v>3560</v>
      </c>
      <c r="D3487" s="26" t="s">
        <v>45</v>
      </c>
      <c r="E3487" s="31">
        <v>46231.0</v>
      </c>
      <c r="F3487" s="26" t="s">
        <v>659</v>
      </c>
      <c r="H3487" s="26" t="s">
        <v>1526</v>
      </c>
      <c r="I3487" s="26" t="s">
        <v>42</v>
      </c>
      <c r="J3487" s="25" t="str">
        <f t="shared" si="46"/>
        <v>No</v>
      </c>
      <c r="K3487" s="25" t="str">
        <f t="shared" si="47"/>
        <v/>
      </c>
      <c r="L3487" s="25" t="str">
        <f t="shared" si="48"/>
        <v/>
      </c>
      <c r="M3487" s="25"/>
      <c r="O3487" s="25"/>
    </row>
    <row r="3488" ht="15.75" customHeight="1">
      <c r="A3488" s="25" t="str">
        <f>IFERROR(__xludf.DUMMYFUNCTION("IF(B3488="""","""",RIGHT(REGEXREPLACE(B3488&amp;"""",""[^0-9]"",""""),9))"),"717086676")</f>
        <v>717086676</v>
      </c>
      <c r="B3488" s="52">
        <v>7.17086676E8</v>
      </c>
      <c r="C3488" s="28" t="s">
        <v>1719</v>
      </c>
      <c r="D3488" s="26" t="s">
        <v>45</v>
      </c>
      <c r="E3488" s="31">
        <v>46231.0</v>
      </c>
      <c r="F3488" s="26" t="s">
        <v>659</v>
      </c>
      <c r="H3488" s="26" t="s">
        <v>1526</v>
      </c>
      <c r="I3488" s="26" t="s">
        <v>42</v>
      </c>
      <c r="J3488" s="25" t="str">
        <f t="shared" si="46"/>
        <v>Yes - see Previous F-Code</v>
      </c>
      <c r="K3488" s="25" t="str">
        <f t="shared" si="47"/>
        <v>DUPLICATE - CHECK</v>
      </c>
      <c r="L3488" s="25" t="str">
        <f t="shared" si="48"/>
        <v>F71429</v>
      </c>
      <c r="M3488" s="25"/>
      <c r="O3488" s="25"/>
    </row>
    <row r="3489" ht="15.75" customHeight="1">
      <c r="A3489" s="25" t="str">
        <f>IFERROR(__xludf.DUMMYFUNCTION("IF(B3489="""","""",RIGHT(REGEXREPLACE(B3489&amp;"""",""[^0-9]"",""""),9))"),"719361843")</f>
        <v>719361843</v>
      </c>
      <c r="B3489" s="52">
        <v>7.19361843E8</v>
      </c>
      <c r="C3489" s="28" t="s">
        <v>3561</v>
      </c>
      <c r="D3489" s="26" t="s">
        <v>49</v>
      </c>
      <c r="E3489" s="31">
        <v>46231.0</v>
      </c>
      <c r="F3489" s="26" t="s">
        <v>46</v>
      </c>
      <c r="G3489" s="26">
        <v>11.0</v>
      </c>
      <c r="H3489" s="26" t="s">
        <v>2682</v>
      </c>
      <c r="I3489" s="26" t="s">
        <v>42</v>
      </c>
      <c r="J3489" s="25" t="str">
        <f t="shared" si="46"/>
        <v>No</v>
      </c>
      <c r="K3489" s="25" t="str">
        <f t="shared" si="47"/>
        <v/>
      </c>
      <c r="L3489" s="25" t="str">
        <f t="shared" si="48"/>
        <v/>
      </c>
      <c r="M3489" s="25"/>
      <c r="O3489" s="25"/>
    </row>
    <row r="3490" ht="15.75" customHeight="1">
      <c r="A3490" s="25" t="str">
        <f>IFERROR(__xludf.DUMMYFUNCTION("IF(B3490="""","""",RIGHT(REGEXREPLACE(B3490&amp;"""",""[^0-9]"",""""),9))"),"711592759")</f>
        <v>711592759</v>
      </c>
      <c r="B3490" s="52">
        <v>7.11592759E8</v>
      </c>
      <c r="C3490" s="28" t="s">
        <v>3562</v>
      </c>
      <c r="D3490" s="26" t="s">
        <v>64</v>
      </c>
      <c r="E3490" s="31">
        <v>46231.0</v>
      </c>
      <c r="F3490" s="26" t="s">
        <v>41</v>
      </c>
      <c r="H3490" s="26" t="s">
        <v>1526</v>
      </c>
      <c r="I3490" s="26" t="s">
        <v>42</v>
      </c>
      <c r="J3490" s="25" t="str">
        <f t="shared" si="46"/>
        <v>No</v>
      </c>
      <c r="K3490" s="25" t="str">
        <f t="shared" si="47"/>
        <v/>
      </c>
      <c r="L3490" s="25" t="str">
        <f t="shared" si="48"/>
        <v/>
      </c>
      <c r="M3490" s="25"/>
      <c r="O3490" s="25"/>
    </row>
    <row r="3491" ht="15.75" customHeight="1">
      <c r="A3491" s="25" t="str">
        <f>IFERROR(__xludf.DUMMYFUNCTION("IF(B3491="""","""",RIGHT(REGEXREPLACE(B3491&amp;"""",""[^0-9]"",""""),9))"),"774159816")</f>
        <v>774159816</v>
      </c>
      <c r="B3491" s="52">
        <v>7.74159816E8</v>
      </c>
      <c r="C3491" s="28" t="s">
        <v>3563</v>
      </c>
      <c r="D3491" s="26" t="s">
        <v>45</v>
      </c>
      <c r="E3491" s="31">
        <v>46231.0</v>
      </c>
      <c r="F3491" s="26" t="s">
        <v>46</v>
      </c>
      <c r="G3491" s="26">
        <v>10.0</v>
      </c>
      <c r="H3491" s="26" t="s">
        <v>1526</v>
      </c>
      <c r="I3491" s="26" t="s">
        <v>42</v>
      </c>
      <c r="J3491" s="25" t="str">
        <f t="shared" si="46"/>
        <v>No</v>
      </c>
      <c r="K3491" s="25" t="str">
        <f t="shared" si="47"/>
        <v/>
      </c>
      <c r="L3491" s="25" t="str">
        <f t="shared" si="48"/>
        <v/>
      </c>
      <c r="M3491" s="25"/>
      <c r="O3491" s="25"/>
    </row>
    <row r="3492" ht="15.75" customHeight="1">
      <c r="A3492" s="25" t="str">
        <f>IFERROR(__xludf.DUMMYFUNCTION("IF(B3492="""","""",RIGHT(REGEXREPLACE(B3492&amp;"""",""[^0-9]"",""""),9))"),"707673385")</f>
        <v>707673385</v>
      </c>
      <c r="B3492" s="52">
        <v>7.07673385E8</v>
      </c>
      <c r="C3492" s="28" t="s">
        <v>3564</v>
      </c>
      <c r="D3492" s="26" t="s">
        <v>82</v>
      </c>
      <c r="E3492" s="31">
        <v>46231.0</v>
      </c>
      <c r="F3492" s="26" t="s">
        <v>659</v>
      </c>
      <c r="I3492" s="26" t="s">
        <v>42</v>
      </c>
      <c r="J3492" s="25" t="str">
        <f t="shared" si="46"/>
        <v>No</v>
      </c>
      <c r="K3492" s="25" t="str">
        <f t="shared" si="47"/>
        <v/>
      </c>
      <c r="L3492" s="25" t="str">
        <f t="shared" si="48"/>
        <v/>
      </c>
      <c r="M3492" s="25"/>
      <c r="O3492" s="25"/>
    </row>
    <row r="3493" ht="15.75" customHeight="1">
      <c r="A3493" s="25" t="str">
        <f>IFERROR(__xludf.DUMMYFUNCTION("IF(B3493="""","""",RIGHT(REGEXREPLACE(B3493&amp;"""",""[^0-9]"",""""),9))"),"766857879")</f>
        <v>766857879</v>
      </c>
      <c r="B3493" s="52">
        <v>7.66857879E8</v>
      </c>
      <c r="C3493" s="28" t="s">
        <v>3565</v>
      </c>
      <c r="D3493" s="26" t="s">
        <v>64</v>
      </c>
      <c r="E3493" s="31">
        <v>46231.0</v>
      </c>
      <c r="F3493" s="26" t="s">
        <v>46</v>
      </c>
      <c r="G3493" s="26">
        <v>11.0</v>
      </c>
      <c r="H3493" s="26" t="s">
        <v>1526</v>
      </c>
      <c r="I3493" s="26" t="s">
        <v>42</v>
      </c>
      <c r="J3493" s="25" t="str">
        <f t="shared" si="46"/>
        <v>No</v>
      </c>
      <c r="K3493" s="25" t="str">
        <f t="shared" si="47"/>
        <v/>
      </c>
      <c r="L3493" s="25" t="str">
        <f t="shared" si="48"/>
        <v/>
      </c>
      <c r="M3493" s="25"/>
      <c r="O3493" s="25"/>
    </row>
    <row r="3494" ht="15.75" customHeight="1">
      <c r="A3494" s="25" t="str">
        <f>IFERROR(__xludf.DUMMYFUNCTION("IF(B3494="""","""",RIGHT(REGEXREPLACE(B3494&amp;"""",""[^0-9]"",""""),9))"),"773856387")</f>
        <v>773856387</v>
      </c>
      <c r="B3494" s="52">
        <v>7.73856387E8</v>
      </c>
      <c r="C3494" s="28" t="s">
        <v>3566</v>
      </c>
      <c r="D3494" s="26" t="s">
        <v>82</v>
      </c>
      <c r="E3494" s="31">
        <v>46231.0</v>
      </c>
      <c r="F3494" s="26" t="s">
        <v>46</v>
      </c>
      <c r="G3494" s="26">
        <v>11.0</v>
      </c>
      <c r="I3494" s="26" t="s">
        <v>42</v>
      </c>
      <c r="J3494" s="25" t="str">
        <f t="shared" si="46"/>
        <v>No</v>
      </c>
      <c r="K3494" s="25" t="str">
        <f t="shared" si="47"/>
        <v/>
      </c>
      <c r="L3494" s="25" t="str">
        <f t="shared" si="48"/>
        <v/>
      </c>
      <c r="M3494" s="25"/>
      <c r="O3494" s="25"/>
    </row>
    <row r="3495" ht="15.75" customHeight="1">
      <c r="A3495" s="25" t="str">
        <f>IFERROR(__xludf.DUMMYFUNCTION("IF(B3495="""","""",RIGHT(REGEXREPLACE(B3495&amp;"""",""[^0-9]"",""""),9))"),"767487788")</f>
        <v>767487788</v>
      </c>
      <c r="B3495" s="52">
        <v>7.67487788E8</v>
      </c>
      <c r="C3495" s="28" t="s">
        <v>3567</v>
      </c>
      <c r="D3495" s="26" t="s">
        <v>56</v>
      </c>
      <c r="E3495" s="31">
        <v>46231.0</v>
      </c>
      <c r="F3495" s="26" t="s">
        <v>164</v>
      </c>
      <c r="I3495" s="26" t="s">
        <v>42</v>
      </c>
      <c r="J3495" s="25" t="str">
        <f t="shared" si="46"/>
        <v>No</v>
      </c>
      <c r="K3495" s="25" t="str">
        <f t="shared" si="47"/>
        <v/>
      </c>
      <c r="L3495" s="25" t="str">
        <f t="shared" si="48"/>
        <v/>
      </c>
      <c r="M3495" s="25"/>
      <c r="O3495" s="25"/>
    </row>
    <row r="3496" ht="15.75" customHeight="1">
      <c r="A3496" s="25" t="str">
        <f>IFERROR(__xludf.DUMMYFUNCTION("IF(B3496="""","""",RIGHT(REGEXREPLACE(B3496&amp;"""",""[^0-9]"",""""),9))"),"702087062")</f>
        <v>702087062</v>
      </c>
      <c r="B3496" s="52">
        <v>7.02087062E8</v>
      </c>
      <c r="C3496" s="28" t="s">
        <v>3568</v>
      </c>
      <c r="D3496" s="26" t="s">
        <v>49</v>
      </c>
      <c r="E3496" s="31">
        <v>46231.0</v>
      </c>
      <c r="F3496" s="26" t="s">
        <v>46</v>
      </c>
      <c r="G3496" s="26">
        <v>11.0</v>
      </c>
      <c r="H3496" s="26" t="s">
        <v>2682</v>
      </c>
      <c r="I3496" s="26" t="s">
        <v>42</v>
      </c>
      <c r="J3496" s="25" t="str">
        <f t="shared" si="46"/>
        <v>No</v>
      </c>
      <c r="K3496" s="25" t="str">
        <f t="shared" si="47"/>
        <v/>
      </c>
      <c r="L3496" s="25" t="str">
        <f t="shared" si="48"/>
        <v/>
      </c>
      <c r="M3496" s="25"/>
      <c r="O3496" s="25"/>
    </row>
    <row r="3497" ht="15.75" customHeight="1">
      <c r="A3497" s="25" t="str">
        <f>IFERROR(__xludf.DUMMYFUNCTION("IF(B3497="""","""",RIGHT(REGEXREPLACE(B3497&amp;"""",""[^0-9]"",""""),9))"),"779656770")</f>
        <v>779656770</v>
      </c>
      <c r="B3497" s="52">
        <v>7.7965677E8</v>
      </c>
      <c r="C3497" s="28" t="s">
        <v>3569</v>
      </c>
      <c r="D3497" s="26" t="s">
        <v>64</v>
      </c>
      <c r="E3497" s="31">
        <v>46231.0</v>
      </c>
      <c r="F3497" s="26" t="s">
        <v>41</v>
      </c>
      <c r="G3497" s="26">
        <v>11.0</v>
      </c>
      <c r="H3497" s="26" t="s">
        <v>1526</v>
      </c>
      <c r="I3497" s="26" t="s">
        <v>42</v>
      </c>
      <c r="J3497" s="25" t="str">
        <f t="shared" si="46"/>
        <v>No</v>
      </c>
      <c r="K3497" s="25" t="str">
        <f t="shared" si="47"/>
        <v/>
      </c>
      <c r="L3497" s="25" t="str">
        <f t="shared" si="48"/>
        <v/>
      </c>
      <c r="M3497" s="25"/>
      <c r="O3497" s="25"/>
    </row>
    <row r="3498" ht="15.75" customHeight="1">
      <c r="A3498" s="25" t="str">
        <f>IFERROR(__xludf.DUMMYFUNCTION("IF(B3498="""","""",RIGHT(REGEXREPLACE(B3498&amp;"""",""[^0-9]"",""""),9))"),"777988344")</f>
        <v>777988344</v>
      </c>
      <c r="B3498" s="52">
        <v>7.77988344E8</v>
      </c>
      <c r="C3498" s="28" t="s">
        <v>3570</v>
      </c>
      <c r="D3498" s="26" t="s">
        <v>82</v>
      </c>
      <c r="E3498" s="31">
        <v>46231.0</v>
      </c>
      <c r="F3498" s="26" t="s">
        <v>41</v>
      </c>
      <c r="I3498" s="26" t="s">
        <v>42</v>
      </c>
      <c r="J3498" s="25" t="str">
        <f t="shared" si="46"/>
        <v>No</v>
      </c>
      <c r="K3498" s="25" t="str">
        <f t="shared" si="47"/>
        <v/>
      </c>
      <c r="L3498" s="25" t="str">
        <f t="shared" si="48"/>
        <v/>
      </c>
      <c r="M3498" s="25"/>
      <c r="O3498" s="25"/>
    </row>
    <row r="3499" ht="15.75" customHeight="1">
      <c r="A3499" s="25" t="str">
        <f>IFERROR(__xludf.DUMMYFUNCTION("IF(B3499="""","""",RIGHT(REGEXREPLACE(B3499&amp;"""",""[^0-9]"",""""),9))"),"775246636")</f>
        <v>775246636</v>
      </c>
      <c r="B3499" s="52">
        <v>7.75246636E8</v>
      </c>
      <c r="C3499" s="28" t="s">
        <v>3571</v>
      </c>
      <c r="D3499" s="26" t="s">
        <v>64</v>
      </c>
      <c r="E3499" s="31">
        <v>46231.0</v>
      </c>
      <c r="F3499" s="26" t="s">
        <v>46</v>
      </c>
      <c r="G3499" s="26">
        <v>11.0</v>
      </c>
      <c r="H3499" s="26" t="s">
        <v>1526</v>
      </c>
      <c r="I3499" s="26" t="s">
        <v>42</v>
      </c>
      <c r="J3499" s="25" t="str">
        <f t="shared" si="46"/>
        <v>No</v>
      </c>
      <c r="K3499" s="25" t="str">
        <f t="shared" si="47"/>
        <v/>
      </c>
      <c r="L3499" s="25" t="str">
        <f t="shared" si="48"/>
        <v/>
      </c>
      <c r="M3499" s="25"/>
      <c r="O3499" s="25"/>
    </row>
    <row r="3500" ht="15.75" customHeight="1">
      <c r="A3500" s="25" t="str">
        <f>IFERROR(__xludf.DUMMYFUNCTION("IF(B3500="""","""",RIGHT(REGEXREPLACE(B3500&amp;"""",""[^0-9]"",""""),9))"),"779255782")</f>
        <v>779255782</v>
      </c>
      <c r="B3500" s="52">
        <v>7.79255782E8</v>
      </c>
      <c r="C3500" s="28" t="s">
        <v>3572</v>
      </c>
      <c r="D3500" s="26" t="s">
        <v>64</v>
      </c>
      <c r="E3500" s="31">
        <v>46231.0</v>
      </c>
      <c r="F3500" s="26" t="s">
        <v>46</v>
      </c>
      <c r="G3500" s="26">
        <v>11.0</v>
      </c>
      <c r="H3500" s="26" t="s">
        <v>1526</v>
      </c>
      <c r="I3500" s="26" t="s">
        <v>42</v>
      </c>
      <c r="J3500" s="25" t="str">
        <f t="shared" si="46"/>
        <v>No</v>
      </c>
      <c r="K3500" s="25" t="str">
        <f t="shared" si="47"/>
        <v/>
      </c>
      <c r="L3500" s="25" t="str">
        <f t="shared" si="48"/>
        <v/>
      </c>
      <c r="M3500" s="25"/>
      <c r="O3500" s="25"/>
    </row>
    <row r="3501" ht="15.75" customHeight="1">
      <c r="A3501" s="25" t="str">
        <f>IFERROR(__xludf.DUMMYFUNCTION("IF(B3501="""","""",RIGHT(REGEXREPLACE(B3501&amp;"""",""[^0-9]"",""""),9))"),"771182032")</f>
        <v>771182032</v>
      </c>
      <c r="B3501" s="52">
        <v>7.71182032E8</v>
      </c>
      <c r="C3501" s="28" t="s">
        <v>3573</v>
      </c>
      <c r="D3501" s="26" t="s">
        <v>56</v>
      </c>
      <c r="E3501" s="31">
        <v>46231.0</v>
      </c>
      <c r="F3501" s="26" t="s">
        <v>46</v>
      </c>
      <c r="G3501" s="26">
        <v>11.0</v>
      </c>
      <c r="H3501" s="26" t="s">
        <v>796</v>
      </c>
      <c r="I3501" s="26" t="s">
        <v>42</v>
      </c>
      <c r="J3501" s="25" t="str">
        <f t="shared" si="46"/>
        <v>No</v>
      </c>
      <c r="K3501" s="25" t="str">
        <f t="shared" si="47"/>
        <v/>
      </c>
      <c r="L3501" s="25" t="str">
        <f t="shared" si="48"/>
        <v/>
      </c>
      <c r="M3501" s="25"/>
      <c r="O3501" s="25"/>
    </row>
    <row r="3502" ht="15.75" customHeight="1">
      <c r="A3502" s="25" t="str">
        <f>IFERROR(__xludf.DUMMYFUNCTION("IF(B3502="""","""",RIGHT(REGEXREPLACE(B3502&amp;"""",""[^0-9]"",""""),9))"),"760906713")</f>
        <v>760906713</v>
      </c>
      <c r="B3502" s="26">
        <v>7.60906713E8</v>
      </c>
      <c r="C3502" s="28" t="s">
        <v>3574</v>
      </c>
      <c r="D3502" s="26" t="s">
        <v>37</v>
      </c>
      <c r="E3502" s="31">
        <v>46231.0</v>
      </c>
      <c r="F3502" s="26" t="s">
        <v>46</v>
      </c>
      <c r="G3502" s="26">
        <v>9.0</v>
      </c>
      <c r="I3502" s="26" t="s">
        <v>42</v>
      </c>
      <c r="J3502" s="25" t="str">
        <f t="shared" si="46"/>
        <v>No</v>
      </c>
      <c r="K3502" s="25" t="str">
        <f t="shared" si="47"/>
        <v/>
      </c>
      <c r="L3502" s="25" t="str">
        <f t="shared" si="48"/>
        <v/>
      </c>
      <c r="M3502" s="25"/>
      <c r="O3502" s="25"/>
    </row>
    <row r="3503" ht="15.75" customHeight="1">
      <c r="A3503" s="25" t="str">
        <f>IFERROR(__xludf.DUMMYFUNCTION("IF(B3503="""","""",RIGHT(REGEXREPLACE(B3503&amp;"""",""[^0-9]"",""""),9))"),"765295565")</f>
        <v>765295565</v>
      </c>
      <c r="B3503" s="26">
        <v>7.65295565E8</v>
      </c>
      <c r="C3503" s="28" t="s">
        <v>3575</v>
      </c>
      <c r="D3503" s="26" t="s">
        <v>37</v>
      </c>
      <c r="E3503" s="31">
        <v>46231.0</v>
      </c>
      <c r="F3503" s="26" t="s">
        <v>659</v>
      </c>
      <c r="I3503" s="26" t="s">
        <v>42</v>
      </c>
      <c r="J3503" s="25" t="str">
        <f t="shared" si="46"/>
        <v>No</v>
      </c>
      <c r="K3503" s="25" t="str">
        <f t="shared" si="47"/>
        <v/>
      </c>
      <c r="L3503" s="25" t="str">
        <f t="shared" si="48"/>
        <v/>
      </c>
      <c r="M3503" s="25"/>
      <c r="O3503" s="25"/>
    </row>
    <row r="3504" ht="15.75" customHeight="1">
      <c r="A3504" s="25" t="str">
        <f>IFERROR(__xludf.DUMMYFUNCTION("IF(B3504="""","""",RIGHT(REGEXREPLACE(B3504&amp;"""",""[^0-9]"",""""),9))"),"713401710")</f>
        <v>713401710</v>
      </c>
      <c r="B3504" s="52">
        <v>7.1340171E8</v>
      </c>
      <c r="C3504" s="28" t="s">
        <v>3576</v>
      </c>
      <c r="D3504" s="26" t="s">
        <v>49</v>
      </c>
      <c r="E3504" s="31">
        <v>46231.0</v>
      </c>
      <c r="F3504" s="26" t="s">
        <v>46</v>
      </c>
      <c r="G3504" s="26">
        <v>11.0</v>
      </c>
      <c r="H3504" s="26" t="s">
        <v>2682</v>
      </c>
      <c r="I3504" s="26" t="s">
        <v>42</v>
      </c>
      <c r="J3504" s="25" t="str">
        <f t="shared" si="46"/>
        <v>No</v>
      </c>
      <c r="K3504" s="25" t="str">
        <f t="shared" si="47"/>
        <v/>
      </c>
      <c r="L3504" s="25" t="str">
        <f t="shared" si="48"/>
        <v/>
      </c>
      <c r="M3504" s="25"/>
      <c r="O3504" s="25"/>
    </row>
    <row r="3505" ht="15.75" customHeight="1">
      <c r="A3505" s="25" t="str">
        <f>IFERROR(__xludf.DUMMYFUNCTION("IF(B3505="""","""",RIGHT(REGEXREPLACE(B3505&amp;"""",""[^0-9]"",""""),9))"),"701495870")</f>
        <v>701495870</v>
      </c>
      <c r="B3505" s="52">
        <v>7.0149587E8</v>
      </c>
      <c r="C3505" s="28" t="s">
        <v>3577</v>
      </c>
      <c r="D3505" s="26" t="s">
        <v>45</v>
      </c>
      <c r="E3505" s="31">
        <v>46231.0</v>
      </c>
      <c r="F3505" s="26" t="s">
        <v>46</v>
      </c>
      <c r="G3505" s="26">
        <v>11.0</v>
      </c>
      <c r="I3505" s="26" t="s">
        <v>42</v>
      </c>
      <c r="J3505" s="25" t="str">
        <f t="shared" si="46"/>
        <v>No</v>
      </c>
      <c r="K3505" s="25" t="str">
        <f t="shared" si="47"/>
        <v/>
      </c>
      <c r="L3505" s="25" t="str">
        <f t="shared" si="48"/>
        <v/>
      </c>
      <c r="M3505" s="25"/>
      <c r="O3505" s="25"/>
    </row>
    <row r="3506" ht="15.75" customHeight="1">
      <c r="A3506" s="25" t="str">
        <f>IFERROR(__xludf.DUMMYFUNCTION("IF(B3506="""","""",RIGHT(REGEXREPLACE(B3506&amp;"""",""[^0-9]"",""""),9))"),"768066186")</f>
        <v>768066186</v>
      </c>
      <c r="B3506" s="26">
        <v>7.68066186E8</v>
      </c>
      <c r="C3506" s="28" t="s">
        <v>3578</v>
      </c>
      <c r="D3506" s="26" t="s">
        <v>37</v>
      </c>
      <c r="E3506" s="31">
        <v>46231.0</v>
      </c>
      <c r="F3506" s="26" t="s">
        <v>46</v>
      </c>
      <c r="G3506" s="26">
        <v>10.0</v>
      </c>
      <c r="I3506" s="26" t="s">
        <v>42</v>
      </c>
      <c r="J3506" s="25" t="str">
        <f t="shared" si="46"/>
        <v>No</v>
      </c>
      <c r="K3506" s="25" t="str">
        <f t="shared" si="47"/>
        <v/>
      </c>
      <c r="L3506" s="25" t="str">
        <f t="shared" si="48"/>
        <v/>
      </c>
      <c r="M3506" s="25"/>
      <c r="O3506" s="25"/>
    </row>
    <row r="3507" ht="15.75" customHeight="1">
      <c r="A3507" s="25" t="str">
        <f>IFERROR(__xludf.DUMMYFUNCTION("IF(B3507="""","""",RIGHT(REGEXREPLACE(B3507&amp;"""",""[^0-9]"",""""),9))"),"772373867")</f>
        <v>772373867</v>
      </c>
      <c r="B3507" s="52">
        <v>7.72373867E8</v>
      </c>
      <c r="C3507" s="28" t="s">
        <v>3579</v>
      </c>
      <c r="D3507" s="26" t="s">
        <v>82</v>
      </c>
      <c r="E3507" s="31">
        <v>46231.0</v>
      </c>
      <c r="F3507" s="25"/>
      <c r="G3507" s="25"/>
      <c r="H3507" s="25"/>
      <c r="I3507" s="26" t="s">
        <v>42</v>
      </c>
      <c r="J3507" s="25" t="str">
        <f t="shared" si="46"/>
        <v>No</v>
      </c>
      <c r="K3507" s="25" t="str">
        <f t="shared" si="47"/>
        <v/>
      </c>
      <c r="L3507" s="25" t="str">
        <f t="shared" si="48"/>
        <v/>
      </c>
      <c r="M3507" s="25"/>
      <c r="N3507" s="25"/>
      <c r="O3507" s="25"/>
      <c r="P3507" s="25"/>
    </row>
    <row r="3508" ht="15.75" customHeight="1">
      <c r="A3508" s="25" t="str">
        <f>IFERROR(__xludf.DUMMYFUNCTION("IF(B3508="""","""",RIGHT(REGEXREPLACE(B3508&amp;"""",""[^0-9]"",""""),9))"),"762416880")</f>
        <v>762416880</v>
      </c>
      <c r="B3508" s="52">
        <v>7.6241688E8</v>
      </c>
      <c r="C3508" s="28" t="s">
        <v>3580</v>
      </c>
      <c r="D3508" s="26" t="s">
        <v>64</v>
      </c>
      <c r="E3508" s="31">
        <v>46231.0</v>
      </c>
      <c r="F3508" s="26" t="s">
        <v>41</v>
      </c>
      <c r="G3508" s="26">
        <v>11.0</v>
      </c>
      <c r="H3508" s="26" t="s">
        <v>1526</v>
      </c>
      <c r="I3508" s="26" t="s">
        <v>42</v>
      </c>
      <c r="J3508" s="25" t="str">
        <f t="shared" si="46"/>
        <v>No</v>
      </c>
      <c r="K3508" s="25" t="str">
        <f t="shared" si="47"/>
        <v/>
      </c>
      <c r="L3508" s="25" t="str">
        <f t="shared" si="48"/>
        <v/>
      </c>
      <c r="M3508" s="25"/>
      <c r="O3508" s="25"/>
    </row>
    <row r="3509" ht="15.75" customHeight="1">
      <c r="A3509" s="25" t="str">
        <f>IFERROR(__xludf.DUMMYFUNCTION("IF(B3509="""","""",RIGHT(REGEXREPLACE(B3509&amp;"""",""[^0-9]"",""""),9))"),"773166685")</f>
        <v>773166685</v>
      </c>
      <c r="B3509" s="26">
        <v>7.73166685E8</v>
      </c>
      <c r="C3509" s="28" t="s">
        <v>3581</v>
      </c>
      <c r="D3509" s="26" t="s">
        <v>37</v>
      </c>
      <c r="E3509" s="31">
        <v>46231.0</v>
      </c>
      <c r="F3509" s="26" t="s">
        <v>46</v>
      </c>
      <c r="H3509" s="26" t="s">
        <v>1447</v>
      </c>
      <c r="I3509" s="26" t="s">
        <v>42</v>
      </c>
      <c r="J3509" s="25" t="str">
        <f t="shared" si="46"/>
        <v>No</v>
      </c>
      <c r="K3509" s="25" t="str">
        <f t="shared" si="47"/>
        <v/>
      </c>
      <c r="L3509" s="25" t="str">
        <f t="shared" si="48"/>
        <v/>
      </c>
      <c r="M3509" s="25"/>
      <c r="O3509" s="25"/>
    </row>
    <row r="3510" ht="15.75" customHeight="1">
      <c r="A3510" s="25" t="str">
        <f>IFERROR(__xludf.DUMMYFUNCTION("IF(B3510="""","""",RIGHT(REGEXREPLACE(B3510&amp;"""",""[^0-9]"",""""),9))"),"713519567")</f>
        <v>713519567</v>
      </c>
      <c r="B3510" s="52">
        <v>7.13519567E8</v>
      </c>
      <c r="C3510" s="28" t="s">
        <v>3582</v>
      </c>
      <c r="D3510" s="26" t="s">
        <v>45</v>
      </c>
      <c r="E3510" s="31">
        <v>46231.0</v>
      </c>
      <c r="F3510" s="26" t="s">
        <v>46</v>
      </c>
      <c r="G3510" s="26">
        <v>11.0</v>
      </c>
      <c r="I3510" s="26" t="s">
        <v>42</v>
      </c>
      <c r="J3510" s="25" t="str">
        <f t="shared" si="46"/>
        <v>No</v>
      </c>
      <c r="K3510" s="25" t="str">
        <f t="shared" si="47"/>
        <v/>
      </c>
      <c r="L3510" s="25" t="str">
        <f t="shared" si="48"/>
        <v/>
      </c>
      <c r="M3510" s="25"/>
      <c r="O3510" s="25"/>
    </row>
    <row r="3511" ht="15.75" customHeight="1">
      <c r="A3511" s="25" t="str">
        <f>IFERROR(__xludf.DUMMYFUNCTION("IF(B3511="""","""",RIGHT(REGEXREPLACE(B3511&amp;"""",""[^0-9]"",""""),9))"),"718144025")</f>
        <v>718144025</v>
      </c>
      <c r="B3511" s="52">
        <v>7.18144025E8</v>
      </c>
      <c r="C3511" s="28" t="s">
        <v>3583</v>
      </c>
      <c r="D3511" s="26" t="s">
        <v>82</v>
      </c>
      <c r="E3511" s="31">
        <v>46231.0</v>
      </c>
      <c r="F3511" s="26" t="s">
        <v>46</v>
      </c>
      <c r="G3511" s="26">
        <v>11.0</v>
      </c>
      <c r="I3511" s="26" t="s">
        <v>42</v>
      </c>
      <c r="J3511" s="25" t="str">
        <f t="shared" si="46"/>
        <v>No</v>
      </c>
      <c r="K3511" s="25" t="str">
        <f t="shared" si="47"/>
        <v/>
      </c>
      <c r="L3511" s="25" t="str">
        <f t="shared" si="48"/>
        <v/>
      </c>
      <c r="M3511" s="25"/>
      <c r="O3511" s="25"/>
    </row>
    <row r="3512" ht="15.75" customHeight="1">
      <c r="A3512" s="25" t="str">
        <f>IFERROR(__xludf.DUMMYFUNCTION("IF(B3512="""","""",RIGHT(REGEXREPLACE(B3512&amp;"""",""[^0-9]"",""""),9))"),"776801240")</f>
        <v>776801240</v>
      </c>
      <c r="B3512" s="26">
        <v>7.7680124E8</v>
      </c>
      <c r="C3512" s="28" t="s">
        <v>3584</v>
      </c>
      <c r="D3512" s="26" t="s">
        <v>37</v>
      </c>
      <c r="E3512" s="31">
        <v>46231.0</v>
      </c>
      <c r="F3512" s="26" t="s">
        <v>41</v>
      </c>
      <c r="H3512" s="26" t="s">
        <v>2556</v>
      </c>
      <c r="I3512" s="26" t="s">
        <v>42</v>
      </c>
      <c r="J3512" s="25" t="str">
        <f t="shared" si="46"/>
        <v>No</v>
      </c>
      <c r="K3512" s="25" t="str">
        <f t="shared" si="47"/>
        <v/>
      </c>
      <c r="L3512" s="25" t="str">
        <f t="shared" si="48"/>
        <v/>
      </c>
      <c r="M3512" s="25"/>
      <c r="O3512" s="25"/>
    </row>
    <row r="3513" ht="15.75" customHeight="1">
      <c r="A3513" s="25" t="str">
        <f>IFERROR(__xludf.DUMMYFUNCTION("IF(B3513="""","""",RIGHT(REGEXREPLACE(B3513&amp;"""",""[^0-9]"",""""),9))"),"741383826")</f>
        <v>741383826</v>
      </c>
      <c r="B3513" s="52">
        <v>7.41383826E8</v>
      </c>
      <c r="C3513" s="28" t="s">
        <v>3585</v>
      </c>
      <c r="D3513" s="26" t="s">
        <v>56</v>
      </c>
      <c r="E3513" s="31">
        <v>46231.0</v>
      </c>
      <c r="F3513" s="26" t="s">
        <v>46</v>
      </c>
      <c r="G3513" s="26">
        <v>11.0</v>
      </c>
      <c r="I3513" s="26" t="s">
        <v>42</v>
      </c>
      <c r="J3513" s="25" t="str">
        <f t="shared" si="46"/>
        <v>No</v>
      </c>
      <c r="K3513" s="25" t="str">
        <f t="shared" si="47"/>
        <v/>
      </c>
      <c r="L3513" s="25" t="str">
        <f t="shared" si="48"/>
        <v/>
      </c>
      <c r="M3513" s="25"/>
      <c r="O3513" s="25"/>
    </row>
    <row r="3514" ht="15.75" customHeight="1">
      <c r="A3514" s="25" t="str">
        <f>IFERROR(__xludf.DUMMYFUNCTION("IF(B3514="""","""",RIGHT(REGEXREPLACE(B3514&amp;"""",""[^0-9]"",""""),9))"),"760289335")</f>
        <v>760289335</v>
      </c>
      <c r="B3514" s="52">
        <v>7.60289335E8</v>
      </c>
      <c r="C3514" s="28" t="s">
        <v>3586</v>
      </c>
      <c r="D3514" s="26" t="s">
        <v>64</v>
      </c>
      <c r="E3514" s="31">
        <v>46231.0</v>
      </c>
      <c r="F3514" s="26" t="s">
        <v>84</v>
      </c>
      <c r="G3514" s="26">
        <v>11.0</v>
      </c>
      <c r="H3514" s="26" t="s">
        <v>1526</v>
      </c>
      <c r="I3514" s="26" t="s">
        <v>42</v>
      </c>
      <c r="J3514" s="25" t="str">
        <f t="shared" si="46"/>
        <v>No</v>
      </c>
      <c r="K3514" s="25" t="str">
        <f t="shared" si="47"/>
        <v/>
      </c>
      <c r="L3514" s="25" t="str">
        <f t="shared" si="48"/>
        <v/>
      </c>
      <c r="M3514" s="25"/>
      <c r="O3514" s="25"/>
    </row>
    <row r="3515" ht="15.75" customHeight="1">
      <c r="A3515" s="25" t="str">
        <f>IFERROR(__xludf.DUMMYFUNCTION("IF(B3515="""","""",RIGHT(REGEXREPLACE(B3515&amp;"""",""[^0-9]"",""""),9))"),"716024173")</f>
        <v>716024173</v>
      </c>
      <c r="B3515" s="52">
        <v>7.16024173E8</v>
      </c>
      <c r="C3515" s="28" t="s">
        <v>3587</v>
      </c>
      <c r="D3515" s="26" t="s">
        <v>49</v>
      </c>
      <c r="E3515" s="31">
        <v>46231.0</v>
      </c>
      <c r="F3515" s="26" t="s">
        <v>46</v>
      </c>
      <c r="G3515" s="26">
        <v>11.0</v>
      </c>
      <c r="H3515" s="26" t="s">
        <v>3588</v>
      </c>
      <c r="I3515" s="26" t="s">
        <v>42</v>
      </c>
      <c r="J3515" s="25" t="str">
        <f t="shared" si="46"/>
        <v>No</v>
      </c>
      <c r="K3515" s="25" t="str">
        <f t="shared" si="47"/>
        <v/>
      </c>
      <c r="L3515" s="25" t="str">
        <f t="shared" si="48"/>
        <v/>
      </c>
      <c r="M3515" s="25"/>
      <c r="O3515" s="25"/>
    </row>
    <row r="3516" ht="15.75" customHeight="1">
      <c r="A3516" s="25" t="str">
        <f>IFERROR(__xludf.DUMMYFUNCTION("IF(B3516="""","""",RIGHT(REGEXREPLACE(B3516&amp;"""",""[^0-9]"",""""),9))"),"714492063")</f>
        <v>714492063</v>
      </c>
      <c r="B3516" s="52">
        <v>7.14492063E8</v>
      </c>
      <c r="C3516" s="28" t="s">
        <v>3589</v>
      </c>
      <c r="D3516" s="26" t="s">
        <v>56</v>
      </c>
      <c r="E3516" s="31">
        <v>46231.0</v>
      </c>
      <c r="F3516" s="26" t="s">
        <v>84</v>
      </c>
      <c r="H3516" s="26" t="s">
        <v>796</v>
      </c>
      <c r="I3516" s="26" t="s">
        <v>42</v>
      </c>
      <c r="J3516" s="25" t="str">
        <f t="shared" si="46"/>
        <v>No</v>
      </c>
      <c r="K3516" s="25" t="str">
        <f t="shared" si="47"/>
        <v/>
      </c>
      <c r="L3516" s="25" t="str">
        <f t="shared" si="48"/>
        <v/>
      </c>
      <c r="M3516" s="25"/>
      <c r="O3516" s="25"/>
    </row>
    <row r="3517" ht="15.75" customHeight="1">
      <c r="A3517" s="25" t="str">
        <f>IFERROR(__xludf.DUMMYFUNCTION("IF(B3517="""","""",RIGHT(REGEXREPLACE(B3517&amp;"""",""[^0-9]"",""""),9))"),"741334206")</f>
        <v>741334206</v>
      </c>
      <c r="B3517" s="26">
        <v>7.41334206E8</v>
      </c>
      <c r="C3517" s="28" t="s">
        <v>3590</v>
      </c>
      <c r="D3517" s="26" t="s">
        <v>37</v>
      </c>
      <c r="E3517" s="31">
        <v>46231.0</v>
      </c>
      <c r="F3517" s="26" t="s">
        <v>41</v>
      </c>
      <c r="I3517" s="26" t="s">
        <v>42</v>
      </c>
      <c r="J3517" s="25" t="str">
        <f t="shared" si="46"/>
        <v>No</v>
      </c>
      <c r="K3517" s="25" t="str">
        <f t="shared" si="47"/>
        <v/>
      </c>
      <c r="L3517" s="25" t="str">
        <f t="shared" si="48"/>
        <v/>
      </c>
      <c r="M3517" s="25"/>
      <c r="O3517" s="25"/>
    </row>
    <row r="3518" ht="15.75" customHeight="1">
      <c r="A3518" s="25" t="str">
        <f>IFERROR(__xludf.DUMMYFUNCTION("IF(B3518="""","""",RIGHT(REGEXREPLACE(B3518&amp;"""",""[^0-9]"",""""),9))"),"707209055")</f>
        <v>707209055</v>
      </c>
      <c r="B3518" s="52">
        <v>7.07209055E8</v>
      </c>
      <c r="C3518" s="28" t="s">
        <v>3591</v>
      </c>
      <c r="D3518" s="26" t="s">
        <v>45</v>
      </c>
      <c r="E3518" s="31">
        <v>46231.0</v>
      </c>
      <c r="F3518" s="26" t="s">
        <v>205</v>
      </c>
      <c r="H3518" s="26" t="s">
        <v>1526</v>
      </c>
      <c r="I3518" s="26" t="s">
        <v>42</v>
      </c>
      <c r="J3518" s="25" t="str">
        <f t="shared" si="46"/>
        <v>No</v>
      </c>
      <c r="K3518" s="25" t="str">
        <f t="shared" si="47"/>
        <v/>
      </c>
      <c r="L3518" s="25" t="str">
        <f t="shared" si="48"/>
        <v/>
      </c>
      <c r="M3518" s="25"/>
      <c r="O3518" s="25"/>
    </row>
    <row r="3519" ht="15.75" customHeight="1">
      <c r="A3519" s="25" t="str">
        <f>IFERROR(__xludf.DUMMYFUNCTION("IF(B3519="""","""",RIGHT(REGEXREPLACE(B3519&amp;"""",""[^0-9]"",""""),9))"),"779651153")</f>
        <v>779651153</v>
      </c>
      <c r="B3519" s="52">
        <v>7.79651153E8</v>
      </c>
      <c r="C3519" s="28" t="s">
        <v>3592</v>
      </c>
      <c r="D3519" s="26" t="s">
        <v>64</v>
      </c>
      <c r="E3519" s="31">
        <v>46231.0</v>
      </c>
      <c r="F3519" s="26" t="s">
        <v>84</v>
      </c>
      <c r="H3519" s="26" t="s">
        <v>1526</v>
      </c>
      <c r="I3519" s="26" t="s">
        <v>42</v>
      </c>
      <c r="J3519" s="25" t="str">
        <f t="shared" si="46"/>
        <v>No</v>
      </c>
      <c r="K3519" s="25" t="str">
        <f t="shared" si="47"/>
        <v/>
      </c>
      <c r="L3519" s="25" t="str">
        <f t="shared" si="48"/>
        <v/>
      </c>
      <c r="M3519" s="25"/>
      <c r="O3519" s="25"/>
    </row>
    <row r="3520" ht="15.75" customHeight="1">
      <c r="A3520" s="25" t="str">
        <f>IFERROR(__xludf.DUMMYFUNCTION("IF(B3520="""","""",RIGHT(REGEXREPLACE(B3520&amp;"""",""[^0-9]"",""""),9))"),"772531925")</f>
        <v>772531925</v>
      </c>
      <c r="B3520" s="26">
        <v>7.72531925E8</v>
      </c>
      <c r="C3520" s="28" t="s">
        <v>3593</v>
      </c>
      <c r="D3520" s="26" t="s">
        <v>37</v>
      </c>
      <c r="E3520" s="31">
        <v>46231.0</v>
      </c>
      <c r="F3520" s="26" t="s">
        <v>46</v>
      </c>
      <c r="G3520" s="26">
        <v>11.0</v>
      </c>
      <c r="I3520" s="26" t="s">
        <v>42</v>
      </c>
      <c r="J3520" s="25" t="str">
        <f t="shared" si="46"/>
        <v>No</v>
      </c>
      <c r="K3520" s="25" t="str">
        <f t="shared" si="47"/>
        <v/>
      </c>
      <c r="L3520" s="25" t="str">
        <f t="shared" si="48"/>
        <v/>
      </c>
      <c r="M3520" s="25"/>
      <c r="O3520" s="25"/>
    </row>
    <row r="3521" ht="15.75" customHeight="1">
      <c r="A3521" s="25" t="str">
        <f>IFERROR(__xludf.DUMMYFUNCTION("IF(B3521="""","""",RIGHT(REGEXREPLACE(B3521&amp;"""",""[^0-9]"",""""),9))"),"779551112")</f>
        <v>779551112</v>
      </c>
      <c r="B3521" s="52">
        <v>7.79551112E8</v>
      </c>
      <c r="C3521" s="28" t="s">
        <v>3594</v>
      </c>
      <c r="D3521" s="26" t="s">
        <v>49</v>
      </c>
      <c r="E3521" s="31">
        <v>46231.0</v>
      </c>
      <c r="F3521" s="26" t="s">
        <v>46</v>
      </c>
      <c r="G3521" s="26">
        <v>10.0</v>
      </c>
      <c r="H3521" s="26" t="s">
        <v>3595</v>
      </c>
      <c r="I3521" s="26" t="s">
        <v>42</v>
      </c>
      <c r="J3521" s="25" t="str">
        <f t="shared" si="46"/>
        <v>No</v>
      </c>
      <c r="K3521" s="25" t="str">
        <f t="shared" si="47"/>
        <v/>
      </c>
      <c r="L3521" s="25" t="str">
        <f t="shared" si="48"/>
        <v/>
      </c>
      <c r="M3521" s="25"/>
      <c r="O3521" s="25"/>
    </row>
    <row r="3522" ht="15.75" customHeight="1">
      <c r="A3522" s="25" t="str">
        <f>IFERROR(__xludf.DUMMYFUNCTION("IF(B3522="""","""",RIGHT(REGEXREPLACE(B3522&amp;"""",""[^0-9]"",""""),9))"),"718894936")</f>
        <v>718894936</v>
      </c>
      <c r="B3522" s="52">
        <v>7.18894936E8</v>
      </c>
      <c r="C3522" s="28" t="s">
        <v>3596</v>
      </c>
      <c r="D3522" s="26" t="s">
        <v>82</v>
      </c>
      <c r="E3522" s="31">
        <v>46231.0</v>
      </c>
      <c r="F3522" s="26" t="s">
        <v>46</v>
      </c>
      <c r="G3522" s="26">
        <v>11.0</v>
      </c>
      <c r="I3522" s="26" t="s">
        <v>42</v>
      </c>
      <c r="J3522" s="25" t="str">
        <f t="shared" si="46"/>
        <v>No</v>
      </c>
      <c r="K3522" s="25" t="str">
        <f t="shared" si="47"/>
        <v/>
      </c>
      <c r="L3522" s="25" t="str">
        <f t="shared" si="48"/>
        <v/>
      </c>
      <c r="M3522" s="25"/>
      <c r="O3522" s="25"/>
    </row>
    <row r="3523" ht="15.75" customHeight="1">
      <c r="A3523" s="25" t="str">
        <f>IFERROR(__xludf.DUMMYFUNCTION("IF(B3523="""","""",RIGHT(REGEXREPLACE(B3523&amp;"""",""[^0-9]"",""""),9))"),"704471092")</f>
        <v>704471092</v>
      </c>
      <c r="B3523" s="26">
        <v>7.04471092E8</v>
      </c>
      <c r="C3523" s="28" t="s">
        <v>3597</v>
      </c>
      <c r="D3523" s="26" t="s">
        <v>37</v>
      </c>
      <c r="E3523" s="31">
        <v>46231.0</v>
      </c>
      <c r="F3523" s="26" t="s">
        <v>46</v>
      </c>
      <c r="G3523" s="26">
        <v>11.0</v>
      </c>
      <c r="I3523" s="26" t="s">
        <v>42</v>
      </c>
      <c r="J3523" s="25" t="str">
        <f t="shared" si="46"/>
        <v>No</v>
      </c>
      <c r="K3523" s="25" t="str">
        <f t="shared" si="47"/>
        <v/>
      </c>
      <c r="L3523" s="25" t="str">
        <f t="shared" si="48"/>
        <v/>
      </c>
      <c r="M3523" s="25"/>
      <c r="O3523" s="25"/>
    </row>
    <row r="3524" ht="15.75" customHeight="1">
      <c r="A3524" s="25" t="str">
        <f>IFERROR(__xludf.DUMMYFUNCTION("IF(B3524="""","""",RIGHT(REGEXREPLACE(B3524&amp;"""",""[^0-9]"",""""),9))"),"710369955")</f>
        <v>710369955</v>
      </c>
      <c r="B3524" s="52">
        <v>7.10369955E8</v>
      </c>
      <c r="C3524" s="28" t="s">
        <v>3598</v>
      </c>
      <c r="D3524" s="26" t="s">
        <v>56</v>
      </c>
      <c r="E3524" s="31">
        <v>46231.0</v>
      </c>
      <c r="F3524" s="26" t="s">
        <v>46</v>
      </c>
      <c r="G3524" s="26">
        <v>11.0</v>
      </c>
      <c r="H3524" s="26" t="s">
        <v>3599</v>
      </c>
      <c r="I3524" s="26" t="s">
        <v>42</v>
      </c>
      <c r="J3524" s="25" t="str">
        <f t="shared" si="46"/>
        <v>No</v>
      </c>
      <c r="K3524" s="25" t="str">
        <f t="shared" si="47"/>
        <v/>
      </c>
      <c r="L3524" s="25" t="str">
        <f t="shared" si="48"/>
        <v/>
      </c>
      <c r="M3524" s="25"/>
      <c r="O3524" s="25"/>
    </row>
    <row r="3525" ht="15.75" customHeight="1">
      <c r="A3525" s="25" t="str">
        <f>IFERROR(__xludf.DUMMYFUNCTION("IF(B3525="""","""",RIGHT(REGEXREPLACE(B3525&amp;"""",""[^0-9]"",""""),9))"),"775387001")</f>
        <v>775387001</v>
      </c>
      <c r="B3525" s="52">
        <v>7.75387001E8</v>
      </c>
      <c r="C3525" s="28" t="s">
        <v>3600</v>
      </c>
      <c r="D3525" s="26" t="s">
        <v>56</v>
      </c>
      <c r="E3525" s="31">
        <v>46231.0</v>
      </c>
      <c r="F3525" s="26" t="s">
        <v>631</v>
      </c>
      <c r="G3525" s="26">
        <v>11.0</v>
      </c>
      <c r="H3525" s="26" t="s">
        <v>796</v>
      </c>
      <c r="I3525" s="26" t="s">
        <v>42</v>
      </c>
      <c r="J3525" s="25" t="str">
        <f t="shared" si="46"/>
        <v>No</v>
      </c>
      <c r="K3525" s="25" t="str">
        <f t="shared" si="47"/>
        <v/>
      </c>
      <c r="L3525" s="25" t="str">
        <f t="shared" si="48"/>
        <v/>
      </c>
      <c r="M3525" s="25"/>
      <c r="O3525" s="25"/>
    </row>
    <row r="3526" ht="15.75" customHeight="1">
      <c r="A3526" s="25" t="str">
        <f>IFERROR(__xludf.DUMMYFUNCTION("IF(B3526="""","""",RIGHT(REGEXREPLACE(B3526&amp;"""",""[^0-9]"",""""),9))"),"703143898")</f>
        <v>703143898</v>
      </c>
      <c r="B3526" s="52">
        <v>7.03143898E8</v>
      </c>
      <c r="C3526" s="28" t="s">
        <v>3601</v>
      </c>
      <c r="D3526" s="26" t="s">
        <v>45</v>
      </c>
      <c r="E3526" s="31">
        <v>46231.0</v>
      </c>
      <c r="F3526" s="26" t="s">
        <v>659</v>
      </c>
      <c r="I3526" s="26" t="s">
        <v>42</v>
      </c>
      <c r="J3526" s="25" t="str">
        <f t="shared" si="46"/>
        <v>No</v>
      </c>
      <c r="K3526" s="25" t="str">
        <f t="shared" si="47"/>
        <v/>
      </c>
      <c r="L3526" s="25" t="str">
        <f t="shared" si="48"/>
        <v/>
      </c>
      <c r="M3526" s="25"/>
      <c r="O3526" s="25"/>
    </row>
    <row r="3527" ht="15.75" customHeight="1">
      <c r="A3527" s="25" t="str">
        <f>IFERROR(__xludf.DUMMYFUNCTION("IF(B3527="""","""",RIGHT(REGEXREPLACE(B3527&amp;"""",""[^0-9]"",""""),9))"),"742177265")</f>
        <v>742177265</v>
      </c>
      <c r="B3527" s="52">
        <v>7.42177265E8</v>
      </c>
      <c r="C3527" s="28" t="s">
        <v>3602</v>
      </c>
      <c r="D3527" s="26" t="s">
        <v>82</v>
      </c>
      <c r="E3527" s="31">
        <v>46231.0</v>
      </c>
      <c r="F3527" s="26" t="s">
        <v>46</v>
      </c>
      <c r="G3527" s="26">
        <v>11.0</v>
      </c>
      <c r="I3527" s="26" t="s">
        <v>42</v>
      </c>
      <c r="J3527" s="25" t="str">
        <f t="shared" si="46"/>
        <v>No</v>
      </c>
      <c r="K3527" s="25" t="str">
        <f t="shared" si="47"/>
        <v/>
      </c>
      <c r="L3527" s="25" t="str">
        <f t="shared" si="48"/>
        <v/>
      </c>
      <c r="M3527" s="25"/>
      <c r="O3527" s="25"/>
    </row>
    <row r="3528" ht="15.75" customHeight="1">
      <c r="A3528" s="25" t="str">
        <f>IFERROR(__xludf.DUMMYFUNCTION("IF(B3528="""","""",RIGHT(REGEXREPLACE(B3528&amp;"""",""[^0-9]"",""""),9))"),"741511675")</f>
        <v>741511675</v>
      </c>
      <c r="B3528" s="26">
        <v>7.41511675E8</v>
      </c>
      <c r="C3528" s="28" t="s">
        <v>3603</v>
      </c>
      <c r="D3528" s="26" t="s">
        <v>37</v>
      </c>
      <c r="E3528" s="31">
        <v>46231.0</v>
      </c>
      <c r="F3528" s="26" t="s">
        <v>41</v>
      </c>
      <c r="I3528" s="26" t="s">
        <v>42</v>
      </c>
      <c r="J3528" s="25" t="str">
        <f t="shared" si="46"/>
        <v>No</v>
      </c>
      <c r="K3528" s="25" t="str">
        <f t="shared" si="47"/>
        <v/>
      </c>
      <c r="L3528" s="25" t="str">
        <f t="shared" si="48"/>
        <v/>
      </c>
      <c r="M3528" s="25"/>
      <c r="O3528" s="25"/>
    </row>
    <row r="3529" ht="15.75" customHeight="1">
      <c r="A3529" s="25" t="str">
        <f>IFERROR(__xludf.DUMMYFUNCTION("IF(B3529="""","""",RIGHT(REGEXREPLACE(B3529&amp;"""",""[^0-9]"",""""),9))"),"766989774")</f>
        <v>766989774</v>
      </c>
      <c r="B3529" s="52">
        <v>7.66989774E8</v>
      </c>
      <c r="C3529" s="28" t="s">
        <v>3604</v>
      </c>
      <c r="D3529" s="26" t="s">
        <v>49</v>
      </c>
      <c r="E3529" s="31">
        <v>46231.0</v>
      </c>
      <c r="F3529" s="26" t="s">
        <v>41</v>
      </c>
      <c r="I3529" s="26" t="s">
        <v>42</v>
      </c>
      <c r="J3529" s="25" t="str">
        <f t="shared" si="46"/>
        <v>No</v>
      </c>
      <c r="K3529" s="25" t="str">
        <f t="shared" si="47"/>
        <v/>
      </c>
      <c r="L3529" s="25" t="str">
        <f t="shared" si="48"/>
        <v/>
      </c>
      <c r="M3529" s="25"/>
      <c r="O3529" s="25"/>
    </row>
    <row r="3530" ht="15.75" customHeight="1">
      <c r="A3530" s="25" t="str">
        <f>IFERROR(__xludf.DUMMYFUNCTION("IF(B3530="""","""",RIGHT(REGEXREPLACE(B3530&amp;"""",""[^0-9]"",""""),9))"),"725637621")</f>
        <v>725637621</v>
      </c>
      <c r="B3530" s="52">
        <v>7.25637621E8</v>
      </c>
      <c r="C3530" s="28" t="s">
        <v>3605</v>
      </c>
      <c r="D3530" s="26" t="s">
        <v>56</v>
      </c>
      <c r="E3530" s="31">
        <v>46231.0</v>
      </c>
      <c r="F3530" s="26" t="s">
        <v>205</v>
      </c>
      <c r="G3530" s="26">
        <v>11.0</v>
      </c>
      <c r="I3530" s="26" t="s">
        <v>42</v>
      </c>
      <c r="J3530" s="25" t="str">
        <f t="shared" si="46"/>
        <v>No</v>
      </c>
      <c r="K3530" s="25" t="str">
        <f t="shared" si="47"/>
        <v/>
      </c>
      <c r="L3530" s="25" t="str">
        <f t="shared" si="48"/>
        <v/>
      </c>
      <c r="M3530" s="25"/>
      <c r="O3530" s="25"/>
    </row>
    <row r="3531" ht="15.75" customHeight="1">
      <c r="A3531" s="25" t="str">
        <f>IFERROR(__xludf.DUMMYFUNCTION("IF(B3531="""","""",RIGHT(REGEXREPLACE(B3531&amp;"""",""[^0-9]"",""""),9))"),"776919732")</f>
        <v>776919732</v>
      </c>
      <c r="B3531" s="52">
        <v>7.76919732E8</v>
      </c>
      <c r="C3531" s="28" t="s">
        <v>3582</v>
      </c>
      <c r="D3531" s="26" t="s">
        <v>64</v>
      </c>
      <c r="E3531" s="31">
        <v>46231.0</v>
      </c>
      <c r="F3531" s="26" t="s">
        <v>41</v>
      </c>
      <c r="G3531" s="26">
        <v>11.0</v>
      </c>
      <c r="I3531" s="26" t="s">
        <v>42</v>
      </c>
      <c r="J3531" s="25" t="str">
        <f t="shared" si="46"/>
        <v>No</v>
      </c>
      <c r="K3531" s="25" t="str">
        <f t="shared" si="47"/>
        <v/>
      </c>
      <c r="L3531" s="25" t="str">
        <f t="shared" si="48"/>
        <v/>
      </c>
      <c r="M3531" s="25"/>
      <c r="O3531" s="25"/>
    </row>
    <row r="3532" ht="15.75" customHeight="1">
      <c r="A3532" s="25" t="str">
        <f>IFERROR(__xludf.DUMMYFUNCTION("IF(B3532="""","""",RIGHT(REGEXREPLACE(B3532&amp;"""",""[^0-9]"",""""),9))"),"76428839")</f>
        <v>76428839</v>
      </c>
      <c r="B3532" s="26">
        <v>7.6428839E7</v>
      </c>
      <c r="C3532" s="28" t="s">
        <v>2190</v>
      </c>
      <c r="D3532" s="26" t="s">
        <v>37</v>
      </c>
      <c r="E3532" s="31">
        <v>46231.0</v>
      </c>
      <c r="F3532" s="26" t="s">
        <v>41</v>
      </c>
      <c r="G3532" s="26">
        <v>11.0</v>
      </c>
      <c r="I3532" s="26" t="s">
        <v>42</v>
      </c>
      <c r="J3532" s="25" t="str">
        <f t="shared" si="46"/>
        <v>No</v>
      </c>
      <c r="K3532" s="25" t="str">
        <f t="shared" si="47"/>
        <v/>
      </c>
      <c r="L3532" s="25" t="str">
        <f t="shared" si="48"/>
        <v/>
      </c>
      <c r="M3532" s="25"/>
      <c r="O3532" s="25"/>
    </row>
    <row r="3533" ht="15.75" customHeight="1">
      <c r="A3533" s="25" t="str">
        <f>IFERROR(__xludf.DUMMYFUNCTION("IF(B3533="""","""",RIGHT(REGEXREPLACE(B3533&amp;"""",""[^0-9]"",""""),9))"),"741725386")</f>
        <v>741725386</v>
      </c>
      <c r="B3533" s="52">
        <v>7.41725386E8</v>
      </c>
      <c r="C3533" s="28" t="s">
        <v>3606</v>
      </c>
      <c r="D3533" s="26" t="s">
        <v>49</v>
      </c>
      <c r="E3533" s="31">
        <v>46231.0</v>
      </c>
      <c r="F3533" s="26" t="s">
        <v>164</v>
      </c>
      <c r="G3533" s="26">
        <v>10.0</v>
      </c>
      <c r="I3533" s="26" t="s">
        <v>42</v>
      </c>
      <c r="J3533" s="25" t="str">
        <f t="shared" si="46"/>
        <v>No</v>
      </c>
      <c r="K3533" s="25" t="str">
        <f t="shared" si="47"/>
        <v/>
      </c>
      <c r="L3533" s="25" t="str">
        <f t="shared" si="48"/>
        <v/>
      </c>
      <c r="M3533" s="25"/>
      <c r="O3533" s="25"/>
    </row>
    <row r="3534" ht="15.75" customHeight="1">
      <c r="A3534" s="25" t="str">
        <f>IFERROR(__xludf.DUMMYFUNCTION("IF(B3534="""","""",RIGHT(REGEXREPLACE(B3534&amp;"""",""[^0-9]"",""""),9))"),"717383926")</f>
        <v>717383926</v>
      </c>
      <c r="B3534" s="52">
        <v>7.17383926E8</v>
      </c>
      <c r="C3534" s="28" t="s">
        <v>662</v>
      </c>
      <c r="D3534" s="26" t="s">
        <v>45</v>
      </c>
      <c r="E3534" s="31">
        <v>46231.0</v>
      </c>
      <c r="F3534" s="26" t="s">
        <v>46</v>
      </c>
      <c r="G3534" s="26">
        <v>11.0</v>
      </c>
      <c r="I3534" s="26" t="s">
        <v>42</v>
      </c>
      <c r="J3534" s="25" t="str">
        <f t="shared" si="46"/>
        <v>Yes - see Previous F-Code</v>
      </c>
      <c r="K3534" s="25" t="str">
        <f t="shared" si="47"/>
        <v>DUPLICATE - CHECK</v>
      </c>
      <c r="L3534" s="25" t="str">
        <f t="shared" si="48"/>
        <v>F70457</v>
      </c>
      <c r="M3534" s="25"/>
      <c r="O3534" s="25"/>
    </row>
    <row r="3535" ht="15.75" customHeight="1">
      <c r="A3535" s="25" t="str">
        <f>IFERROR(__xludf.DUMMYFUNCTION("IF(B3535="""","""",RIGHT(REGEXREPLACE(B3535&amp;"""",""[^0-9]"",""""),9))"),"779888370")</f>
        <v>779888370</v>
      </c>
      <c r="B3535" s="52">
        <v>7.7988837E8</v>
      </c>
      <c r="C3535" s="28" t="s">
        <v>3607</v>
      </c>
      <c r="D3535" s="26" t="s">
        <v>45</v>
      </c>
      <c r="E3535" s="31">
        <v>46231.0</v>
      </c>
      <c r="F3535" s="26" t="s">
        <v>125</v>
      </c>
      <c r="G3535" s="26">
        <v>11.0</v>
      </c>
      <c r="I3535" s="26" t="s">
        <v>42</v>
      </c>
      <c r="J3535" s="25" t="str">
        <f t="shared" si="46"/>
        <v>No</v>
      </c>
      <c r="K3535" s="25" t="str">
        <f t="shared" si="47"/>
        <v/>
      </c>
      <c r="L3535" s="25" t="str">
        <f t="shared" si="48"/>
        <v/>
      </c>
      <c r="M3535" s="25"/>
      <c r="O3535" s="25"/>
    </row>
    <row r="3536" ht="15.75" customHeight="1">
      <c r="A3536" s="25" t="str">
        <f>IFERROR(__xludf.DUMMYFUNCTION("IF(B3536="""","""",RIGHT(REGEXREPLACE(B3536&amp;"""",""[^0-9]"",""""),9))"),"761254505")</f>
        <v>761254505</v>
      </c>
      <c r="B3536" s="52">
        <v>7.61254505E8</v>
      </c>
      <c r="C3536" s="28" t="s">
        <v>3608</v>
      </c>
      <c r="D3536" s="26" t="s">
        <v>56</v>
      </c>
      <c r="E3536" s="31">
        <v>46231.0</v>
      </c>
      <c r="F3536" s="26" t="s">
        <v>46</v>
      </c>
      <c r="G3536" s="26">
        <v>10.0</v>
      </c>
      <c r="I3536" s="26" t="s">
        <v>42</v>
      </c>
      <c r="J3536" s="25" t="str">
        <f t="shared" si="46"/>
        <v>No</v>
      </c>
      <c r="K3536" s="25" t="str">
        <f t="shared" si="47"/>
        <v/>
      </c>
      <c r="L3536" s="25" t="str">
        <f t="shared" si="48"/>
        <v/>
      </c>
      <c r="M3536" s="25"/>
      <c r="O3536" s="25"/>
    </row>
    <row r="3537" ht="15.75" customHeight="1">
      <c r="A3537" s="25" t="str">
        <f>IFERROR(__xludf.DUMMYFUNCTION("IF(B3537="""","""",RIGHT(REGEXREPLACE(B3537&amp;"""",""[^0-9]"",""""),9))"),"762319383")</f>
        <v>762319383</v>
      </c>
      <c r="B3537" s="52">
        <v>7.62319383E8</v>
      </c>
      <c r="C3537" s="28" t="s">
        <v>3609</v>
      </c>
      <c r="D3537" s="26" t="s">
        <v>49</v>
      </c>
      <c r="E3537" s="31">
        <v>46231.0</v>
      </c>
      <c r="F3537" s="26" t="s">
        <v>659</v>
      </c>
      <c r="G3537" s="26">
        <v>11.0</v>
      </c>
      <c r="I3537" s="26" t="s">
        <v>42</v>
      </c>
      <c r="J3537" s="25" t="str">
        <f t="shared" si="46"/>
        <v>No</v>
      </c>
      <c r="K3537" s="25" t="str">
        <f t="shared" si="47"/>
        <v/>
      </c>
      <c r="L3537" s="25" t="str">
        <f t="shared" si="48"/>
        <v/>
      </c>
      <c r="M3537" s="25"/>
      <c r="O3537" s="25"/>
    </row>
    <row r="3538" ht="15.75" customHeight="1">
      <c r="A3538" s="25" t="str">
        <f>IFERROR(__xludf.DUMMYFUNCTION("IF(B3538="""","""",RIGHT(REGEXREPLACE(B3538&amp;"""",""[^0-9]"",""""),9))"),"741466783")</f>
        <v>741466783</v>
      </c>
      <c r="B3538" s="52">
        <v>7.41466783E8</v>
      </c>
      <c r="C3538" s="28" t="s">
        <v>3610</v>
      </c>
      <c r="D3538" s="26" t="s">
        <v>82</v>
      </c>
      <c r="E3538" s="31">
        <v>46231.0</v>
      </c>
      <c r="F3538" s="26" t="s">
        <v>704</v>
      </c>
      <c r="I3538" s="26" t="s">
        <v>42</v>
      </c>
      <c r="J3538" s="25" t="str">
        <f t="shared" si="46"/>
        <v>No</v>
      </c>
      <c r="K3538" s="25" t="str">
        <f t="shared" si="47"/>
        <v/>
      </c>
      <c r="L3538" s="25" t="str">
        <f t="shared" si="48"/>
        <v/>
      </c>
      <c r="M3538" s="25"/>
      <c r="O3538" s="25"/>
    </row>
    <row r="3539" ht="15.75" customHeight="1">
      <c r="A3539" s="25" t="str">
        <f>IFERROR(__xludf.DUMMYFUNCTION("IF(B3539="""","""",RIGHT(REGEXREPLACE(B3539&amp;"""",""[^0-9]"",""""),9))"),"778594629")</f>
        <v>778594629</v>
      </c>
      <c r="B3539" s="26">
        <v>7.78594629E8</v>
      </c>
      <c r="C3539" s="28" t="s">
        <v>2607</v>
      </c>
      <c r="D3539" s="26" t="s">
        <v>37</v>
      </c>
      <c r="E3539" s="31">
        <v>46231.0</v>
      </c>
      <c r="F3539" s="26" t="s">
        <v>46</v>
      </c>
      <c r="G3539" s="26">
        <v>11.0</v>
      </c>
      <c r="I3539" s="26" t="s">
        <v>42</v>
      </c>
      <c r="J3539" s="25" t="str">
        <f t="shared" si="46"/>
        <v>No</v>
      </c>
      <c r="K3539" s="25" t="str">
        <f t="shared" si="47"/>
        <v/>
      </c>
      <c r="L3539" s="25" t="str">
        <f t="shared" si="48"/>
        <v/>
      </c>
      <c r="M3539" s="25"/>
      <c r="O3539" s="25"/>
    </row>
    <row r="3540" ht="15.75" customHeight="1">
      <c r="A3540" s="25" t="str">
        <f>IFERROR(__xludf.DUMMYFUNCTION("IF(B3540="""","""",RIGHT(REGEXREPLACE(B3540&amp;"""",""[^0-9]"",""""),9))"),"713500874")</f>
        <v>713500874</v>
      </c>
      <c r="B3540" s="52">
        <v>7.13500874E8</v>
      </c>
      <c r="C3540" s="28" t="s">
        <v>3611</v>
      </c>
      <c r="D3540" s="26" t="s">
        <v>82</v>
      </c>
      <c r="E3540" s="31">
        <v>46231.0</v>
      </c>
      <c r="F3540" s="26" t="s">
        <v>46</v>
      </c>
      <c r="G3540" s="26">
        <v>11.0</v>
      </c>
      <c r="I3540" s="26" t="s">
        <v>42</v>
      </c>
      <c r="J3540" s="25" t="str">
        <f t="shared" si="46"/>
        <v>No</v>
      </c>
      <c r="K3540" s="25" t="str">
        <f t="shared" si="47"/>
        <v/>
      </c>
      <c r="L3540" s="25" t="str">
        <f t="shared" si="48"/>
        <v/>
      </c>
      <c r="M3540" s="25"/>
      <c r="O3540" s="25"/>
    </row>
    <row r="3541" ht="15.75" customHeight="1">
      <c r="A3541" s="25" t="str">
        <f>IFERROR(__xludf.DUMMYFUNCTION("IF(B3541="""","""",RIGHT(REGEXREPLACE(B3541&amp;"""",""[^0-9]"",""""),9))"),"750362733")</f>
        <v>750362733</v>
      </c>
      <c r="B3541" s="26">
        <v>7.50362733E8</v>
      </c>
      <c r="C3541" s="28" t="s">
        <v>3612</v>
      </c>
      <c r="D3541" s="26" t="s">
        <v>37</v>
      </c>
      <c r="E3541" s="31">
        <v>46231.0</v>
      </c>
      <c r="F3541" s="26" t="s">
        <v>46</v>
      </c>
      <c r="G3541" s="26">
        <v>11.0</v>
      </c>
      <c r="I3541" s="26" t="s">
        <v>42</v>
      </c>
      <c r="J3541" s="25" t="str">
        <f t="shared" si="46"/>
        <v>No</v>
      </c>
      <c r="K3541" s="25" t="str">
        <f t="shared" si="47"/>
        <v/>
      </c>
      <c r="L3541" s="25" t="str">
        <f t="shared" si="48"/>
        <v/>
      </c>
      <c r="M3541" s="25"/>
      <c r="O3541" s="25"/>
    </row>
    <row r="3542" ht="15.75" customHeight="1">
      <c r="A3542" s="25" t="str">
        <f>IFERROR(__xludf.DUMMYFUNCTION("IF(B3542="""","""",RIGHT(REGEXREPLACE(B3542&amp;"""",""[^0-9]"",""""),9))"),"711902879")</f>
        <v>711902879</v>
      </c>
      <c r="B3542" s="52">
        <v>7.11902879E8</v>
      </c>
      <c r="C3542" s="28" t="s">
        <v>3612</v>
      </c>
      <c r="D3542" s="26" t="s">
        <v>49</v>
      </c>
      <c r="E3542" s="31">
        <v>46231.0</v>
      </c>
      <c r="F3542" s="26" t="s">
        <v>205</v>
      </c>
      <c r="I3542" s="26" t="s">
        <v>42</v>
      </c>
      <c r="J3542" s="25" t="str">
        <f t="shared" si="46"/>
        <v>No</v>
      </c>
      <c r="K3542" s="25" t="str">
        <f t="shared" si="47"/>
        <v/>
      </c>
      <c r="L3542" s="25" t="str">
        <f t="shared" si="48"/>
        <v/>
      </c>
      <c r="M3542" s="25"/>
      <c r="O3542" s="25"/>
    </row>
    <row r="3543" ht="15.75" customHeight="1">
      <c r="A3543" s="25" t="str">
        <f>IFERROR(__xludf.DUMMYFUNCTION("IF(B3543="""","""",RIGHT(REGEXREPLACE(B3543&amp;"""",""[^0-9]"",""""),9))"),"779208311")</f>
        <v>779208311</v>
      </c>
      <c r="B3543" s="52">
        <v>7.79208311E8</v>
      </c>
      <c r="C3543" s="28" t="s">
        <v>2986</v>
      </c>
      <c r="D3543" s="26" t="s">
        <v>64</v>
      </c>
      <c r="E3543" s="31">
        <v>46231.0</v>
      </c>
      <c r="F3543" s="26" t="s">
        <v>41</v>
      </c>
      <c r="G3543" s="26">
        <v>11.0</v>
      </c>
      <c r="I3543" s="26" t="s">
        <v>42</v>
      </c>
      <c r="J3543" s="25" t="str">
        <f t="shared" si="46"/>
        <v>No</v>
      </c>
      <c r="K3543" s="25" t="str">
        <f t="shared" si="47"/>
        <v/>
      </c>
      <c r="L3543" s="25" t="str">
        <f t="shared" si="48"/>
        <v/>
      </c>
      <c r="M3543" s="25"/>
      <c r="O3543" s="25"/>
    </row>
    <row r="3544" ht="15.75" customHeight="1">
      <c r="A3544" s="25" t="str">
        <f>IFERROR(__xludf.DUMMYFUNCTION("IF(B3544="""","""",RIGHT(REGEXREPLACE(B3544&amp;"""",""[^0-9]"",""""),9))"),"768209345")</f>
        <v>768209345</v>
      </c>
      <c r="B3544" s="52">
        <v>7.68209345E8</v>
      </c>
      <c r="C3544" s="28" t="s">
        <v>3613</v>
      </c>
      <c r="D3544" s="26" t="s">
        <v>56</v>
      </c>
      <c r="E3544" s="31">
        <v>46231.0</v>
      </c>
      <c r="F3544" s="26" t="s">
        <v>46</v>
      </c>
      <c r="G3544" s="26">
        <v>11.0</v>
      </c>
      <c r="I3544" s="26" t="s">
        <v>42</v>
      </c>
      <c r="J3544" s="25" t="str">
        <f t="shared" si="46"/>
        <v>No</v>
      </c>
      <c r="K3544" s="25" t="str">
        <f t="shared" si="47"/>
        <v/>
      </c>
      <c r="L3544" s="25" t="str">
        <f t="shared" si="48"/>
        <v/>
      </c>
      <c r="M3544" s="25"/>
      <c r="O3544" s="25"/>
    </row>
    <row r="3545" ht="15.75" customHeight="1">
      <c r="A3545" s="25" t="str">
        <f>IFERROR(__xludf.DUMMYFUNCTION("IF(B3545="""","""",RIGHT(REGEXREPLACE(B3545&amp;"""",""[^0-9]"",""""),9))"),"764250527")</f>
        <v>764250527</v>
      </c>
      <c r="B3545" s="52">
        <v>7.64250527E8</v>
      </c>
      <c r="C3545" s="28" t="s">
        <v>3614</v>
      </c>
      <c r="D3545" s="26" t="s">
        <v>49</v>
      </c>
      <c r="E3545" s="31">
        <v>46231.0</v>
      </c>
      <c r="F3545" s="26" t="s">
        <v>46</v>
      </c>
      <c r="G3545" s="26">
        <v>11.0</v>
      </c>
      <c r="I3545" s="26" t="s">
        <v>42</v>
      </c>
      <c r="J3545" s="25" t="str">
        <f t="shared" si="46"/>
        <v>No</v>
      </c>
      <c r="K3545" s="25" t="str">
        <f t="shared" si="47"/>
        <v/>
      </c>
      <c r="L3545" s="25" t="str">
        <f t="shared" si="48"/>
        <v/>
      </c>
      <c r="M3545" s="25"/>
      <c r="O3545" s="25"/>
    </row>
    <row r="3546" ht="15.75" customHeight="1">
      <c r="A3546" s="25" t="str">
        <f>IFERROR(__xludf.DUMMYFUNCTION("IF(B3546="""","""",RIGHT(REGEXREPLACE(B3546&amp;"""",""[^0-9]"",""""),9))"),"729145918")</f>
        <v>729145918</v>
      </c>
      <c r="B3546" s="52">
        <v>7.29145918E8</v>
      </c>
      <c r="C3546" s="28" t="s">
        <v>3615</v>
      </c>
      <c r="D3546" s="26" t="s">
        <v>64</v>
      </c>
      <c r="E3546" s="31">
        <v>46231.0</v>
      </c>
      <c r="F3546" s="25"/>
      <c r="G3546" s="25"/>
      <c r="H3546" s="25"/>
      <c r="I3546" s="26" t="s">
        <v>42</v>
      </c>
      <c r="J3546" s="25" t="str">
        <f t="shared" si="46"/>
        <v>No</v>
      </c>
      <c r="K3546" s="25" t="str">
        <f t="shared" si="47"/>
        <v/>
      </c>
      <c r="L3546" s="25" t="str">
        <f t="shared" si="48"/>
        <v/>
      </c>
      <c r="M3546" s="25"/>
      <c r="N3546" s="25"/>
      <c r="O3546" s="25"/>
      <c r="P3546" s="25"/>
    </row>
    <row r="3547" ht="15.75" customHeight="1">
      <c r="A3547" s="25" t="str">
        <f>IFERROR(__xludf.DUMMYFUNCTION("IF(B3547="""","""",RIGHT(REGEXREPLACE(B3547&amp;"""",""[^0-9]"",""""),9))"),"712430760")</f>
        <v>712430760</v>
      </c>
      <c r="B3547" s="52">
        <v>7.1243076E8</v>
      </c>
      <c r="C3547" s="28" t="s">
        <v>3616</v>
      </c>
      <c r="D3547" s="26" t="s">
        <v>45</v>
      </c>
      <c r="E3547" s="31">
        <v>46231.0</v>
      </c>
      <c r="F3547" s="26" t="s">
        <v>167</v>
      </c>
      <c r="G3547" s="26">
        <v>11.0</v>
      </c>
      <c r="I3547" s="26" t="s">
        <v>42</v>
      </c>
      <c r="J3547" s="25" t="str">
        <f t="shared" si="46"/>
        <v>No</v>
      </c>
      <c r="K3547" s="25" t="str">
        <f t="shared" si="47"/>
        <v/>
      </c>
      <c r="L3547" s="25" t="str">
        <f t="shared" si="48"/>
        <v/>
      </c>
      <c r="M3547" s="25"/>
      <c r="O3547" s="25"/>
    </row>
    <row r="3548" ht="15.75" customHeight="1">
      <c r="A3548" s="25" t="str">
        <f>IFERROR(__xludf.DUMMYFUNCTION("IF(B3548="""","""",RIGHT(REGEXREPLACE(B3548&amp;"""",""[^0-9]"",""""),9))"),"784266199")</f>
        <v>784266199</v>
      </c>
      <c r="B3548" s="26">
        <v>7.84266199E8</v>
      </c>
      <c r="C3548" s="28" t="s">
        <v>3013</v>
      </c>
      <c r="D3548" s="26" t="s">
        <v>37</v>
      </c>
      <c r="E3548" s="31">
        <v>46231.0</v>
      </c>
      <c r="F3548" s="26" t="s">
        <v>41</v>
      </c>
      <c r="I3548" s="26" t="s">
        <v>42</v>
      </c>
      <c r="J3548" s="25" t="str">
        <f t="shared" si="46"/>
        <v>No</v>
      </c>
      <c r="K3548" s="25" t="str">
        <f t="shared" si="47"/>
        <v/>
      </c>
      <c r="L3548" s="25" t="str">
        <f t="shared" si="48"/>
        <v/>
      </c>
      <c r="M3548" s="25"/>
      <c r="O3548" s="25"/>
    </row>
    <row r="3549" ht="15.75" customHeight="1">
      <c r="A3549" s="25" t="str">
        <f>IFERROR(__xludf.DUMMYFUNCTION("IF(B3549="""","""",RIGHT(REGEXREPLACE(B3549&amp;"""",""[^0-9]"",""""),9))"),"713879741")</f>
        <v>713879741</v>
      </c>
      <c r="B3549" s="52">
        <v>7.13879741E8</v>
      </c>
      <c r="C3549" s="28" t="s">
        <v>3617</v>
      </c>
      <c r="D3549" s="26" t="s">
        <v>82</v>
      </c>
      <c r="E3549" s="31">
        <v>46231.0</v>
      </c>
      <c r="F3549" s="26" t="s">
        <v>46</v>
      </c>
      <c r="I3549" s="26" t="s">
        <v>42</v>
      </c>
      <c r="J3549" s="25" t="str">
        <f t="shared" si="46"/>
        <v>No</v>
      </c>
      <c r="K3549" s="25" t="str">
        <f t="shared" si="47"/>
        <v/>
      </c>
      <c r="L3549" s="25" t="str">
        <f t="shared" si="48"/>
        <v/>
      </c>
      <c r="M3549" s="25"/>
      <c r="O3549" s="25"/>
    </row>
    <row r="3550" ht="15.75" customHeight="1">
      <c r="A3550" s="25" t="str">
        <f>IFERROR(__xludf.DUMMYFUNCTION("IF(B3550="""","""",RIGHT(REGEXREPLACE(B3550&amp;"""",""[^0-9]"",""""),9))"),"719818224")</f>
        <v>719818224</v>
      </c>
      <c r="B3550" s="26">
        <v>7.19818224E8</v>
      </c>
      <c r="C3550" s="28" t="s">
        <v>2162</v>
      </c>
      <c r="D3550" s="26" t="s">
        <v>37</v>
      </c>
      <c r="E3550" s="31">
        <v>46231.0</v>
      </c>
      <c r="F3550" s="26" t="s">
        <v>46</v>
      </c>
      <c r="G3550" s="26">
        <v>11.0</v>
      </c>
      <c r="I3550" s="26" t="s">
        <v>42</v>
      </c>
      <c r="J3550" s="25" t="str">
        <f t="shared" si="46"/>
        <v>No</v>
      </c>
      <c r="K3550" s="25" t="str">
        <f t="shared" si="47"/>
        <v/>
      </c>
      <c r="L3550" s="25" t="str">
        <f t="shared" si="48"/>
        <v/>
      </c>
      <c r="M3550" s="25"/>
      <c r="O3550" s="25"/>
    </row>
    <row r="3551" ht="15.75" customHeight="1">
      <c r="A3551" s="25" t="str">
        <f>IFERROR(__xludf.DUMMYFUNCTION("IF(B3551="""","""",RIGHT(REGEXREPLACE(B3551&amp;"""",""[^0-9]"",""""),9))"),"774052693")</f>
        <v>774052693</v>
      </c>
      <c r="B3551" s="52">
        <v>7.74052693E8</v>
      </c>
      <c r="C3551" s="28" t="s">
        <v>3618</v>
      </c>
      <c r="D3551" s="26" t="s">
        <v>56</v>
      </c>
      <c r="E3551" s="31">
        <v>46231.0</v>
      </c>
      <c r="F3551" s="26" t="s">
        <v>41</v>
      </c>
      <c r="G3551" s="26">
        <v>11.0</v>
      </c>
      <c r="I3551" s="26" t="s">
        <v>42</v>
      </c>
      <c r="J3551" s="25" t="str">
        <f t="shared" si="46"/>
        <v>No</v>
      </c>
      <c r="K3551" s="25" t="str">
        <f t="shared" si="47"/>
        <v/>
      </c>
      <c r="L3551" s="25" t="str">
        <f t="shared" si="48"/>
        <v/>
      </c>
      <c r="M3551" s="25"/>
      <c r="O3551" s="25"/>
    </row>
    <row r="3552" ht="15.75" customHeight="1">
      <c r="A3552" s="25" t="str">
        <f>IFERROR(__xludf.DUMMYFUNCTION("IF(B3552="""","""",RIGHT(REGEXREPLACE(B3552&amp;"""",""[^0-9]"",""""),9))"),"776582500")</f>
        <v>776582500</v>
      </c>
      <c r="B3552" s="52">
        <v>7.765825E8</v>
      </c>
      <c r="C3552" s="28" t="s">
        <v>3619</v>
      </c>
      <c r="D3552" s="26" t="s">
        <v>49</v>
      </c>
      <c r="E3552" s="31">
        <v>46231.0</v>
      </c>
      <c r="F3552" s="26" t="s">
        <v>46</v>
      </c>
      <c r="G3552" s="26">
        <v>6.0</v>
      </c>
      <c r="I3552" s="26" t="s">
        <v>42</v>
      </c>
      <c r="J3552" s="25" t="str">
        <f t="shared" si="46"/>
        <v>No</v>
      </c>
      <c r="K3552" s="25" t="str">
        <f t="shared" si="47"/>
        <v/>
      </c>
      <c r="L3552" s="25" t="str">
        <f t="shared" si="48"/>
        <v/>
      </c>
      <c r="M3552" s="25"/>
      <c r="O3552" s="26" t="s">
        <v>51</v>
      </c>
    </row>
    <row r="3553" ht="15.75" customHeight="1">
      <c r="A3553" s="25" t="str">
        <f>IFERROR(__xludf.DUMMYFUNCTION("IF(B3553="""","""",RIGHT(REGEXREPLACE(B3553&amp;"""",""[^0-9]"",""""),9))"),"755128936")</f>
        <v>755128936</v>
      </c>
      <c r="B3553" s="52">
        <v>7.55128936E8</v>
      </c>
      <c r="C3553" s="28" t="s">
        <v>3620</v>
      </c>
      <c r="D3553" s="26" t="s">
        <v>56</v>
      </c>
      <c r="E3553" s="31">
        <v>46231.0</v>
      </c>
      <c r="F3553" s="26" t="s">
        <v>205</v>
      </c>
      <c r="G3553" s="26">
        <v>11.0</v>
      </c>
      <c r="I3553" s="26" t="s">
        <v>42</v>
      </c>
      <c r="J3553" s="25" t="str">
        <f t="shared" si="46"/>
        <v>No</v>
      </c>
      <c r="K3553" s="25" t="str">
        <f t="shared" si="47"/>
        <v/>
      </c>
      <c r="L3553" s="25" t="str">
        <f t="shared" si="48"/>
        <v/>
      </c>
      <c r="M3553" s="25"/>
      <c r="O3553" s="25"/>
    </row>
    <row r="3554" ht="15.75" customHeight="1">
      <c r="A3554" s="25" t="str">
        <f>IFERROR(__xludf.DUMMYFUNCTION("IF(B3554="""","""",RIGHT(REGEXREPLACE(B3554&amp;"""",""[^0-9]"",""""),9))"),"773905752")</f>
        <v>773905752</v>
      </c>
      <c r="B3554" s="52">
        <v>7.73905752E8</v>
      </c>
      <c r="C3554" s="28" t="s">
        <v>3621</v>
      </c>
      <c r="D3554" s="26" t="s">
        <v>56</v>
      </c>
      <c r="E3554" s="31">
        <v>46231.0</v>
      </c>
      <c r="F3554" s="25"/>
      <c r="G3554" s="26">
        <v>11.0</v>
      </c>
      <c r="H3554" s="25"/>
      <c r="I3554" s="26" t="s">
        <v>42</v>
      </c>
      <c r="J3554" s="25" t="str">
        <f t="shared" si="46"/>
        <v>No</v>
      </c>
      <c r="K3554" s="25" t="str">
        <f t="shared" si="47"/>
        <v/>
      </c>
      <c r="L3554" s="25" t="str">
        <f t="shared" si="48"/>
        <v/>
      </c>
      <c r="M3554" s="25"/>
      <c r="N3554" s="25"/>
      <c r="O3554" s="25"/>
      <c r="P3554" s="25"/>
    </row>
    <row r="3555" ht="15.75" customHeight="1">
      <c r="A3555" s="25" t="str">
        <f>IFERROR(__xludf.DUMMYFUNCTION("IF(B3555="""","""",RIGHT(REGEXREPLACE(B3555&amp;"""",""[^0-9]"",""""),9))"),"715133172")</f>
        <v>715133172</v>
      </c>
      <c r="B3555" s="52">
        <v>7.15133172E8</v>
      </c>
      <c r="C3555" s="28" t="s">
        <v>3621</v>
      </c>
      <c r="D3555" s="26" t="s">
        <v>64</v>
      </c>
      <c r="E3555" s="31">
        <v>46231.0</v>
      </c>
      <c r="F3555" s="26" t="s">
        <v>46</v>
      </c>
      <c r="G3555" s="26">
        <v>10.0</v>
      </c>
      <c r="I3555" s="26" t="s">
        <v>42</v>
      </c>
      <c r="J3555" s="25" t="str">
        <f t="shared" si="46"/>
        <v>No</v>
      </c>
      <c r="K3555" s="25" t="str">
        <f t="shared" si="47"/>
        <v/>
      </c>
      <c r="L3555" s="25" t="str">
        <f t="shared" si="48"/>
        <v/>
      </c>
      <c r="M3555" s="25"/>
      <c r="O3555" s="25"/>
    </row>
    <row r="3556" ht="15.75" customHeight="1">
      <c r="A3556" s="25" t="str">
        <f>IFERROR(__xludf.DUMMYFUNCTION("IF(B3556="""","""",RIGHT(REGEXREPLACE(B3556&amp;"""",""[^0-9]"",""""),9))"),"768588563")</f>
        <v>768588563</v>
      </c>
      <c r="B3556" s="26">
        <v>7.68588563E8</v>
      </c>
      <c r="C3556" s="28" t="s">
        <v>3622</v>
      </c>
      <c r="D3556" s="26" t="s">
        <v>37</v>
      </c>
      <c r="E3556" s="31">
        <v>46231.0</v>
      </c>
      <c r="F3556" s="26" t="s">
        <v>46</v>
      </c>
      <c r="G3556" s="26">
        <v>11.0</v>
      </c>
      <c r="I3556" s="26" t="s">
        <v>42</v>
      </c>
      <c r="J3556" s="25" t="str">
        <f t="shared" si="46"/>
        <v>No</v>
      </c>
      <c r="K3556" s="25" t="str">
        <f t="shared" si="47"/>
        <v/>
      </c>
      <c r="L3556" s="25" t="str">
        <f t="shared" si="48"/>
        <v/>
      </c>
      <c r="M3556" s="25"/>
      <c r="O3556" s="25"/>
    </row>
    <row r="3557" ht="15.75" customHeight="1">
      <c r="A3557" s="25" t="str">
        <f>IFERROR(__xludf.DUMMYFUNCTION("IF(B3557="""","""",RIGHT(REGEXREPLACE(B3557&amp;"""",""[^0-9]"",""""),9))"),"740798607")</f>
        <v>740798607</v>
      </c>
      <c r="B3557" s="26">
        <v>7.40798607E8</v>
      </c>
      <c r="C3557" s="28" t="s">
        <v>3623</v>
      </c>
      <c r="D3557" s="26" t="s">
        <v>37</v>
      </c>
      <c r="E3557" s="31">
        <v>46231.0</v>
      </c>
      <c r="F3557" s="26" t="s">
        <v>41</v>
      </c>
      <c r="G3557" s="26">
        <v>11.0</v>
      </c>
      <c r="I3557" s="26" t="s">
        <v>42</v>
      </c>
      <c r="J3557" s="25" t="str">
        <f t="shared" si="46"/>
        <v>No</v>
      </c>
      <c r="K3557" s="25" t="str">
        <f t="shared" si="47"/>
        <v/>
      </c>
      <c r="L3557" s="25" t="str">
        <f t="shared" si="48"/>
        <v/>
      </c>
      <c r="M3557" s="25"/>
      <c r="O3557" s="25"/>
    </row>
    <row r="3558" ht="15.75" customHeight="1">
      <c r="A3558" s="25" t="str">
        <f>IFERROR(__xludf.DUMMYFUNCTION("IF(B3558="""","""",RIGHT(REGEXREPLACE(B3558&amp;"""",""[^0-9]"",""""),9))"),"778300684")</f>
        <v>778300684</v>
      </c>
      <c r="B3558" s="52">
        <v>7.78300684E8</v>
      </c>
      <c r="C3558" s="28" t="s">
        <v>3624</v>
      </c>
      <c r="D3558" s="26" t="s">
        <v>82</v>
      </c>
      <c r="E3558" s="31">
        <v>46231.0</v>
      </c>
      <c r="F3558" s="26" t="s">
        <v>41</v>
      </c>
      <c r="I3558" s="26" t="s">
        <v>42</v>
      </c>
      <c r="J3558" s="25" t="str">
        <f t="shared" si="46"/>
        <v>No</v>
      </c>
      <c r="K3558" s="25" t="str">
        <f t="shared" si="47"/>
        <v/>
      </c>
      <c r="L3558" s="25" t="str">
        <f t="shared" si="48"/>
        <v/>
      </c>
      <c r="M3558" s="25"/>
      <c r="O3558" s="25"/>
    </row>
    <row r="3559" ht="15.75" customHeight="1">
      <c r="A3559" s="25" t="str">
        <f>IFERROR(__xludf.DUMMYFUNCTION("IF(B3559="""","""",RIGHT(REGEXREPLACE(B3559&amp;"""",""[^0-9]"",""""),9))"),"770207984")</f>
        <v>770207984</v>
      </c>
      <c r="B3559" s="52">
        <v>7.70207984E8</v>
      </c>
      <c r="C3559" s="28" t="s">
        <v>530</v>
      </c>
      <c r="D3559" s="26" t="s">
        <v>45</v>
      </c>
      <c r="E3559" s="31">
        <v>46231.0</v>
      </c>
      <c r="F3559" s="26" t="s">
        <v>41</v>
      </c>
      <c r="I3559" s="26" t="s">
        <v>42</v>
      </c>
      <c r="J3559" s="25" t="str">
        <f t="shared" si="46"/>
        <v>Yes - see Previous F-Code</v>
      </c>
      <c r="K3559" s="25" t="str">
        <f t="shared" si="47"/>
        <v>DUPLICATE - CHECK</v>
      </c>
      <c r="L3559" s="25" t="str">
        <f t="shared" si="48"/>
        <v>F70349</v>
      </c>
      <c r="M3559" s="25"/>
      <c r="O3559" s="25"/>
    </row>
    <row r="3560" ht="15.75" customHeight="1">
      <c r="A3560" s="25" t="str">
        <f>IFERROR(__xludf.DUMMYFUNCTION("IF(B3560="""","""",RIGHT(REGEXREPLACE(B3560&amp;"""",""[^0-9]"",""""),9))"),"713879095")</f>
        <v>713879095</v>
      </c>
      <c r="B3560" s="52">
        <v>7.13879095E8</v>
      </c>
      <c r="C3560" s="28" t="s">
        <v>3625</v>
      </c>
      <c r="D3560" s="26" t="s">
        <v>45</v>
      </c>
      <c r="E3560" s="31">
        <v>46231.0</v>
      </c>
      <c r="F3560" s="26" t="s">
        <v>46</v>
      </c>
      <c r="H3560" s="26" t="s">
        <v>280</v>
      </c>
      <c r="I3560" s="26" t="s">
        <v>42</v>
      </c>
      <c r="J3560" s="25" t="str">
        <f t="shared" si="46"/>
        <v>No</v>
      </c>
      <c r="K3560" s="25" t="str">
        <f t="shared" si="47"/>
        <v/>
      </c>
      <c r="L3560" s="25" t="str">
        <f t="shared" si="48"/>
        <v/>
      </c>
      <c r="M3560" s="25"/>
      <c r="O3560" s="25"/>
    </row>
    <row r="3561" ht="15.75" customHeight="1">
      <c r="A3561" s="25" t="str">
        <f>IFERROR(__xludf.DUMMYFUNCTION("IF(B3561="""","""",RIGHT(REGEXREPLACE(B3561&amp;"""",""[^0-9]"",""""),9))"),"743794071")</f>
        <v>743794071</v>
      </c>
      <c r="B3561" s="52">
        <v>7.43794071E8</v>
      </c>
      <c r="C3561" s="28" t="s">
        <v>3626</v>
      </c>
      <c r="D3561" s="26" t="s">
        <v>49</v>
      </c>
      <c r="E3561" s="31">
        <v>46231.0</v>
      </c>
      <c r="F3561" s="26" t="s">
        <v>41</v>
      </c>
      <c r="G3561" s="26">
        <v>11.0</v>
      </c>
      <c r="I3561" s="26" t="s">
        <v>42</v>
      </c>
      <c r="J3561" s="25" t="str">
        <f t="shared" si="46"/>
        <v>No</v>
      </c>
      <c r="K3561" s="25" t="str">
        <f t="shared" si="47"/>
        <v/>
      </c>
      <c r="L3561" s="25" t="str">
        <f t="shared" si="48"/>
        <v/>
      </c>
      <c r="M3561" s="25"/>
      <c r="O3561" s="25"/>
    </row>
    <row r="3562" ht="15.75" customHeight="1">
      <c r="A3562" s="25" t="str">
        <f>IFERROR(__xludf.DUMMYFUNCTION("IF(B3562="""","""",RIGHT(REGEXREPLACE(B3562&amp;"""",""[^0-9]"",""""),9))"),"776041830")</f>
        <v>776041830</v>
      </c>
      <c r="B3562" s="52">
        <v>7.7604183E8</v>
      </c>
      <c r="C3562" s="28" t="s">
        <v>3627</v>
      </c>
      <c r="D3562" s="26" t="s">
        <v>64</v>
      </c>
      <c r="E3562" s="31">
        <v>46231.0</v>
      </c>
      <c r="F3562" s="26" t="s">
        <v>46</v>
      </c>
      <c r="G3562" s="26">
        <v>10.0</v>
      </c>
      <c r="I3562" s="26" t="s">
        <v>42</v>
      </c>
      <c r="J3562" s="25" t="str">
        <f t="shared" si="46"/>
        <v>No</v>
      </c>
      <c r="K3562" s="25" t="str">
        <f t="shared" si="47"/>
        <v/>
      </c>
      <c r="L3562" s="25" t="str">
        <f t="shared" si="48"/>
        <v/>
      </c>
      <c r="M3562" s="25"/>
      <c r="O3562" s="25"/>
    </row>
    <row r="3563" ht="15.75" customHeight="1">
      <c r="A3563" s="25" t="str">
        <f>IFERROR(__xludf.DUMMYFUNCTION("IF(B3563="""","""",RIGHT(REGEXREPLACE(B3563&amp;"""",""[^0-9]"",""""),9))"),"772581550")</f>
        <v>772581550</v>
      </c>
      <c r="B3563" s="52">
        <v>7.7258155E8</v>
      </c>
      <c r="C3563" s="28" t="s">
        <v>3628</v>
      </c>
      <c r="D3563" s="26" t="s">
        <v>82</v>
      </c>
      <c r="E3563" s="31">
        <v>46231.0</v>
      </c>
      <c r="F3563" s="26" t="s">
        <v>659</v>
      </c>
      <c r="I3563" s="26" t="s">
        <v>42</v>
      </c>
      <c r="J3563" s="25" t="str">
        <f t="shared" si="46"/>
        <v>No</v>
      </c>
      <c r="K3563" s="25" t="str">
        <f t="shared" si="47"/>
        <v/>
      </c>
      <c r="L3563" s="25" t="str">
        <f t="shared" si="48"/>
        <v/>
      </c>
      <c r="M3563" s="25"/>
      <c r="O3563" s="25"/>
    </row>
    <row r="3564" ht="15.75" customHeight="1">
      <c r="A3564" s="25" t="str">
        <f>IFERROR(__xludf.DUMMYFUNCTION("IF(B3564="""","""",RIGHT(REGEXREPLACE(B3564&amp;"""",""[^0-9]"",""""),9))"),"772314341")</f>
        <v>772314341</v>
      </c>
      <c r="B3564" s="52">
        <v>7.72314341E8</v>
      </c>
      <c r="C3564" s="28" t="s">
        <v>3629</v>
      </c>
      <c r="D3564" s="26" t="s">
        <v>56</v>
      </c>
      <c r="E3564" s="31">
        <v>46231.0</v>
      </c>
      <c r="F3564" s="26" t="s">
        <v>41</v>
      </c>
      <c r="G3564" s="26">
        <v>11.0</v>
      </c>
      <c r="I3564" s="26" t="s">
        <v>42</v>
      </c>
      <c r="J3564" s="25" t="str">
        <f t="shared" si="46"/>
        <v>No</v>
      </c>
      <c r="K3564" s="25" t="str">
        <f t="shared" si="47"/>
        <v/>
      </c>
      <c r="L3564" s="25" t="str">
        <f t="shared" si="48"/>
        <v/>
      </c>
      <c r="M3564" s="25"/>
      <c r="O3564" s="25"/>
    </row>
    <row r="3565" ht="15.75" customHeight="1">
      <c r="A3565" s="25" t="str">
        <f>IFERROR(__xludf.DUMMYFUNCTION("IF(B3565="""","""",RIGHT(REGEXREPLACE(B3565&amp;"""",""[^0-9]"",""""),9))"),"702568856")</f>
        <v>702568856</v>
      </c>
      <c r="B3565" s="52">
        <v>7.02568856E8</v>
      </c>
      <c r="C3565" s="28" t="s">
        <v>3630</v>
      </c>
      <c r="D3565" s="26" t="s">
        <v>82</v>
      </c>
      <c r="E3565" s="31">
        <v>46231.0</v>
      </c>
      <c r="F3565" s="26" t="s">
        <v>46</v>
      </c>
      <c r="G3565" s="26">
        <v>11.0</v>
      </c>
      <c r="I3565" s="26" t="s">
        <v>42</v>
      </c>
      <c r="J3565" s="25" t="str">
        <f t="shared" si="46"/>
        <v>No</v>
      </c>
      <c r="K3565" s="25" t="str">
        <f t="shared" si="47"/>
        <v/>
      </c>
      <c r="L3565" s="25" t="str">
        <f t="shared" si="48"/>
        <v/>
      </c>
      <c r="M3565" s="25"/>
      <c r="O3565" s="25"/>
    </row>
    <row r="3566" ht="15.75" customHeight="1">
      <c r="A3566" s="25" t="str">
        <f>IFERROR(__xludf.DUMMYFUNCTION("IF(B3566="""","""",RIGHT(REGEXREPLACE(B3566&amp;"""",""[^0-9]"",""""),9))"),"770221298")</f>
        <v>770221298</v>
      </c>
      <c r="B3566" s="52">
        <v>7.70221298E8</v>
      </c>
      <c r="C3566" s="28" t="s">
        <v>3631</v>
      </c>
      <c r="D3566" s="26" t="s">
        <v>45</v>
      </c>
      <c r="E3566" s="31">
        <v>46231.0</v>
      </c>
      <c r="F3566" s="26" t="s">
        <v>41</v>
      </c>
      <c r="I3566" s="26" t="s">
        <v>42</v>
      </c>
      <c r="J3566" s="25" t="str">
        <f t="shared" si="46"/>
        <v>No</v>
      </c>
      <c r="K3566" s="25" t="str">
        <f t="shared" si="47"/>
        <v/>
      </c>
      <c r="L3566" s="25" t="str">
        <f t="shared" si="48"/>
        <v/>
      </c>
      <c r="M3566" s="25"/>
      <c r="O3566" s="25"/>
    </row>
    <row r="3567" ht="15.75" customHeight="1">
      <c r="A3567" s="25" t="str">
        <f>IFERROR(__xludf.DUMMYFUNCTION("IF(B3567="""","""",RIGHT(REGEXREPLACE(B3567&amp;"""",""[^0-9]"",""""),9))"),"717851532")</f>
        <v>717851532</v>
      </c>
      <c r="B3567" s="52">
        <v>7.17851532E8</v>
      </c>
      <c r="C3567" s="28" t="s">
        <v>2824</v>
      </c>
      <c r="D3567" s="26" t="s">
        <v>49</v>
      </c>
      <c r="E3567" s="31">
        <v>46231.0</v>
      </c>
      <c r="F3567" s="26" t="s">
        <v>41</v>
      </c>
      <c r="G3567" s="26">
        <v>11.0</v>
      </c>
      <c r="I3567" s="26" t="s">
        <v>42</v>
      </c>
      <c r="J3567" s="25" t="str">
        <f t="shared" si="46"/>
        <v>Yes - see Previous F-Code</v>
      </c>
      <c r="K3567" s="25" t="str">
        <f t="shared" si="47"/>
        <v>DUPLICATE - CHECK</v>
      </c>
      <c r="L3567" s="25" t="str">
        <f t="shared" si="48"/>
        <v>F72522</v>
      </c>
      <c r="M3567" s="25"/>
      <c r="O3567" s="25"/>
    </row>
    <row r="3568" ht="15.75" customHeight="1">
      <c r="A3568" s="25" t="str">
        <f>IFERROR(__xludf.DUMMYFUNCTION("IF(B3568="""","""",RIGHT(REGEXREPLACE(B3568&amp;"""",""[^0-9]"",""""),9))"),"786017445")</f>
        <v>786017445</v>
      </c>
      <c r="B3568" s="52">
        <v>7.86017445E8</v>
      </c>
      <c r="C3568" s="28" t="s">
        <v>3632</v>
      </c>
      <c r="D3568" s="26" t="s">
        <v>45</v>
      </c>
      <c r="E3568" s="31">
        <v>46231.0</v>
      </c>
      <c r="F3568" s="26" t="s">
        <v>205</v>
      </c>
      <c r="I3568" s="26" t="s">
        <v>42</v>
      </c>
      <c r="J3568" s="25" t="str">
        <f t="shared" si="46"/>
        <v>No</v>
      </c>
      <c r="K3568" s="25" t="str">
        <f t="shared" si="47"/>
        <v/>
      </c>
      <c r="L3568" s="25" t="str">
        <f t="shared" si="48"/>
        <v/>
      </c>
      <c r="M3568" s="25"/>
      <c r="O3568" s="25"/>
    </row>
    <row r="3569" ht="15.75" customHeight="1">
      <c r="A3569" s="25" t="str">
        <f>IFERROR(__xludf.DUMMYFUNCTION("IF(B3569="""","""",RIGHT(REGEXREPLACE(B3569&amp;"""",""[^0-9]"",""""),9))"),"740667232")</f>
        <v>740667232</v>
      </c>
      <c r="B3569" s="26">
        <v>7.40667232E8</v>
      </c>
      <c r="C3569" s="28" t="s">
        <v>3633</v>
      </c>
      <c r="D3569" s="26" t="s">
        <v>56</v>
      </c>
      <c r="E3569" s="31">
        <v>46231.0</v>
      </c>
      <c r="F3569" s="26" t="s">
        <v>631</v>
      </c>
      <c r="G3569" s="26">
        <v>11.0</v>
      </c>
      <c r="I3569" s="26" t="s">
        <v>42</v>
      </c>
      <c r="J3569" s="25" t="str">
        <f t="shared" si="46"/>
        <v>No</v>
      </c>
      <c r="K3569" s="25" t="str">
        <f t="shared" si="47"/>
        <v/>
      </c>
      <c r="L3569" s="25" t="str">
        <f t="shared" si="48"/>
        <v/>
      </c>
      <c r="M3569" s="25"/>
      <c r="O3569" s="25"/>
    </row>
    <row r="3570" ht="15.75" customHeight="1">
      <c r="A3570" s="25" t="str">
        <f>IFERROR(__xludf.DUMMYFUNCTION("IF(B3570="""","""",RIGHT(REGEXREPLACE(B3570&amp;"""",""[^0-9]"",""""),9))"),"764673763")</f>
        <v>764673763</v>
      </c>
      <c r="B3570" s="52">
        <v>7.64673763E8</v>
      </c>
      <c r="C3570" s="28" t="s">
        <v>3634</v>
      </c>
      <c r="D3570" s="26" t="s">
        <v>64</v>
      </c>
      <c r="E3570" s="31">
        <v>46231.0</v>
      </c>
      <c r="F3570" s="26" t="s">
        <v>46</v>
      </c>
      <c r="G3570" s="26">
        <v>11.0</v>
      </c>
      <c r="I3570" s="26" t="s">
        <v>42</v>
      </c>
      <c r="J3570" s="25" t="str">
        <f t="shared" si="46"/>
        <v>No</v>
      </c>
      <c r="K3570" s="25" t="str">
        <f t="shared" si="47"/>
        <v/>
      </c>
      <c r="L3570" s="25" t="str">
        <f t="shared" si="48"/>
        <v/>
      </c>
      <c r="M3570" s="25"/>
      <c r="O3570" s="25"/>
    </row>
    <row r="3571" ht="15.75" customHeight="1">
      <c r="A3571" s="25" t="str">
        <f>IFERROR(__xludf.DUMMYFUNCTION("IF(#REF!="""","""",RIGHT(REGEXREPLACE(#REF!&amp;"""",""[^0-9]"",""""),9))"),"#REF!")</f>
        <v>#REF!</v>
      </c>
      <c r="B3571" s="52">
        <v>7.73235672E8</v>
      </c>
      <c r="C3571" s="28" t="s">
        <v>3635</v>
      </c>
      <c r="D3571" s="26" t="s">
        <v>49</v>
      </c>
      <c r="E3571" s="31">
        <v>46231.0</v>
      </c>
      <c r="F3571" s="26" t="s">
        <v>205</v>
      </c>
      <c r="I3571" s="26" t="s">
        <v>42</v>
      </c>
      <c r="J3571" s="25" t="str">
        <f t="shared" si="46"/>
        <v>No</v>
      </c>
      <c r="K3571" s="25" t="str">
        <f t="shared" si="47"/>
        <v/>
      </c>
      <c r="L3571" s="25" t="str">
        <f t="shared" si="48"/>
        <v/>
      </c>
      <c r="M3571" s="25"/>
      <c r="O3571" s="25"/>
    </row>
    <row r="3572" ht="15.75" customHeight="1">
      <c r="A3572" s="25" t="str">
        <f>IFERROR(__xludf.DUMMYFUNCTION("IF(B3571="""","""",RIGHT(REGEXREPLACE(B3571&amp;"""",""[^0-9]"",""""),9))"),"773235672")</f>
        <v>773235672</v>
      </c>
      <c r="C3572" s="28" t="s">
        <v>2577</v>
      </c>
      <c r="D3572" s="26" t="s">
        <v>56</v>
      </c>
      <c r="E3572" s="31">
        <v>46231.0</v>
      </c>
      <c r="F3572" s="26" t="s">
        <v>46</v>
      </c>
      <c r="G3572" s="26">
        <v>11.0</v>
      </c>
      <c r="I3572" s="26" t="s">
        <v>42</v>
      </c>
      <c r="J3572" s="25" t="str">
        <f t="shared" si="46"/>
        <v>No</v>
      </c>
      <c r="K3572" s="25" t="str">
        <f t="shared" si="47"/>
        <v/>
      </c>
      <c r="L3572" s="25" t="str">
        <f t="shared" si="48"/>
        <v/>
      </c>
      <c r="M3572" s="25"/>
      <c r="O3572" s="25"/>
    </row>
    <row r="3573" ht="15.75" customHeight="1">
      <c r="A3573" s="25" t="str">
        <f>IFERROR(__xludf.DUMMYFUNCTION("IF(B3573="""","""",RIGHT(REGEXREPLACE(B3573&amp;"""",""[^0-9]"",""""),9))"),"741466091")</f>
        <v>741466091</v>
      </c>
      <c r="B3573" s="52">
        <v>7.41466091E8</v>
      </c>
      <c r="C3573" s="28" t="s">
        <v>3636</v>
      </c>
      <c r="D3573" s="26" t="s">
        <v>82</v>
      </c>
      <c r="E3573" s="31">
        <v>46231.0</v>
      </c>
      <c r="F3573" s="26" t="s">
        <v>659</v>
      </c>
      <c r="G3573" s="26">
        <v>11.0</v>
      </c>
      <c r="I3573" s="26" t="s">
        <v>42</v>
      </c>
      <c r="J3573" s="25" t="str">
        <f t="shared" si="46"/>
        <v>No</v>
      </c>
      <c r="K3573" s="25" t="str">
        <f t="shared" si="47"/>
        <v/>
      </c>
      <c r="L3573" s="25" t="str">
        <f t="shared" si="48"/>
        <v/>
      </c>
      <c r="M3573" s="25"/>
      <c r="O3573" s="25"/>
    </row>
    <row r="3574" ht="15.75" customHeight="1">
      <c r="A3574" s="25" t="str">
        <f>IFERROR(__xludf.DUMMYFUNCTION("IF(B3574="""","""",RIGHT(REGEXREPLACE(B3574&amp;"""",""[^0-9]"",""""),9))"),"704814901")</f>
        <v>704814901</v>
      </c>
      <c r="B3574" s="52">
        <v>7.04814901E8</v>
      </c>
      <c r="C3574" s="28" t="s">
        <v>3637</v>
      </c>
      <c r="D3574" s="26" t="s">
        <v>64</v>
      </c>
      <c r="E3574" s="31">
        <v>46231.0</v>
      </c>
      <c r="F3574" s="25"/>
      <c r="G3574" s="26">
        <v>11.0</v>
      </c>
      <c r="H3574" s="25"/>
      <c r="I3574" s="26" t="s">
        <v>42</v>
      </c>
      <c r="J3574" s="25" t="str">
        <f t="shared" si="46"/>
        <v>No</v>
      </c>
      <c r="K3574" s="25" t="str">
        <f t="shared" si="47"/>
        <v/>
      </c>
      <c r="L3574" s="25" t="str">
        <f t="shared" si="48"/>
        <v/>
      </c>
      <c r="M3574" s="25"/>
      <c r="N3574" s="25"/>
      <c r="O3574" s="25"/>
      <c r="P3574" s="25"/>
    </row>
    <row r="3575" ht="15.75" customHeight="1">
      <c r="A3575" s="25" t="str">
        <f>IFERROR(__xludf.DUMMYFUNCTION("IF(B3575="""","""",RIGHT(REGEXREPLACE(B3575&amp;"""",""[^0-9]"",""""),9))"),"781891120")</f>
        <v>781891120</v>
      </c>
      <c r="B3575" s="52">
        <v>7.8189112E8</v>
      </c>
      <c r="C3575" s="28" t="s">
        <v>3638</v>
      </c>
      <c r="D3575" s="26" t="s">
        <v>49</v>
      </c>
      <c r="E3575" s="31">
        <v>46231.0</v>
      </c>
      <c r="F3575" s="26" t="s">
        <v>205</v>
      </c>
      <c r="I3575" s="26" t="s">
        <v>42</v>
      </c>
      <c r="J3575" s="25" t="str">
        <f t="shared" si="46"/>
        <v>No</v>
      </c>
      <c r="K3575" s="25" t="str">
        <f t="shared" si="47"/>
        <v/>
      </c>
      <c r="L3575" s="25" t="str">
        <f t="shared" si="48"/>
        <v/>
      </c>
      <c r="M3575" s="25"/>
      <c r="O3575" s="25"/>
    </row>
    <row r="3576" ht="15.75" customHeight="1">
      <c r="A3576" s="25" t="str">
        <f>IFERROR(__xludf.DUMMYFUNCTION("IF(B3576="""","""",RIGHT(REGEXREPLACE(B3576&amp;"""",""[^0-9]"",""""),9))"),"717520118")</f>
        <v>717520118</v>
      </c>
      <c r="B3576" s="52">
        <v>7.17520118E8</v>
      </c>
      <c r="C3576" s="28" t="s">
        <v>3639</v>
      </c>
      <c r="D3576" s="26" t="s">
        <v>82</v>
      </c>
      <c r="E3576" s="31">
        <v>46231.0</v>
      </c>
      <c r="F3576" s="26" t="s">
        <v>41</v>
      </c>
      <c r="I3576" s="26" t="s">
        <v>42</v>
      </c>
      <c r="J3576" s="25" t="str">
        <f t="shared" si="46"/>
        <v>No</v>
      </c>
      <c r="K3576" s="25" t="str">
        <f t="shared" si="47"/>
        <v/>
      </c>
      <c r="L3576" s="25" t="str">
        <f t="shared" si="48"/>
        <v/>
      </c>
      <c r="M3576" s="25"/>
      <c r="O3576" s="25"/>
    </row>
    <row r="3577" ht="15.75" customHeight="1">
      <c r="A3577" s="25" t="str">
        <f>IFERROR(__xludf.DUMMYFUNCTION("IF(B3577="""","""",RIGHT(REGEXREPLACE(B3577&amp;"""",""[^0-9]"",""""),9))"),"714250525")</f>
        <v>714250525</v>
      </c>
      <c r="B3577" s="52">
        <v>7.14250525E8</v>
      </c>
      <c r="C3577" s="28" t="s">
        <v>2801</v>
      </c>
      <c r="D3577" s="26" t="s">
        <v>49</v>
      </c>
      <c r="E3577" s="31">
        <v>46231.0</v>
      </c>
      <c r="F3577" s="26" t="s">
        <v>46</v>
      </c>
      <c r="G3577" s="26">
        <v>11.0</v>
      </c>
      <c r="I3577" s="26" t="s">
        <v>42</v>
      </c>
      <c r="J3577" s="25" t="str">
        <f t="shared" si="46"/>
        <v>Yes - see Previous F-Code</v>
      </c>
      <c r="K3577" s="25" t="str">
        <f t="shared" si="47"/>
        <v>DUPLICATE - CHECK</v>
      </c>
      <c r="L3577" s="25" t="str">
        <f t="shared" si="48"/>
        <v>F72493</v>
      </c>
      <c r="M3577" s="25"/>
      <c r="O3577" s="25"/>
    </row>
    <row r="3578" ht="15.75" customHeight="1">
      <c r="A3578" s="25" t="str">
        <f>IFERROR(__xludf.DUMMYFUNCTION("IF(B3578="""","""",RIGHT(REGEXREPLACE(B3578&amp;"""",""[^0-9]"",""""),9))"),"763040716")</f>
        <v>763040716</v>
      </c>
      <c r="B3578" s="52">
        <v>7.63040716E8</v>
      </c>
      <c r="C3578" s="28" t="s">
        <v>3640</v>
      </c>
      <c r="D3578" s="26" t="s">
        <v>64</v>
      </c>
      <c r="E3578" s="31">
        <v>46231.0</v>
      </c>
      <c r="F3578" s="26" t="s">
        <v>41</v>
      </c>
      <c r="G3578" s="26">
        <v>11.0</v>
      </c>
      <c r="I3578" s="26" t="s">
        <v>42</v>
      </c>
      <c r="J3578" s="25" t="str">
        <f t="shared" si="46"/>
        <v>No</v>
      </c>
      <c r="K3578" s="25" t="str">
        <f t="shared" si="47"/>
        <v/>
      </c>
      <c r="L3578" s="25" t="str">
        <f t="shared" si="48"/>
        <v/>
      </c>
      <c r="M3578" s="25"/>
      <c r="O3578" s="25"/>
    </row>
    <row r="3579" ht="15.75" customHeight="1">
      <c r="A3579" s="25" t="str">
        <f>IFERROR(__xludf.DUMMYFUNCTION("IF(B3579="""","""",RIGHT(REGEXREPLACE(B3579&amp;"""",""[^0-9]"",""""),9))"),"705134933")</f>
        <v>705134933</v>
      </c>
      <c r="B3579" s="52">
        <v>7.05134933E8</v>
      </c>
      <c r="C3579" s="28" t="s">
        <v>3641</v>
      </c>
      <c r="D3579" s="26" t="s">
        <v>82</v>
      </c>
      <c r="E3579" s="31">
        <v>46231.0</v>
      </c>
      <c r="F3579" s="26" t="s">
        <v>125</v>
      </c>
      <c r="G3579" s="26">
        <v>11.0</v>
      </c>
      <c r="I3579" s="26" t="s">
        <v>42</v>
      </c>
      <c r="J3579" s="25" t="str">
        <f t="shared" si="46"/>
        <v>No</v>
      </c>
      <c r="K3579" s="25" t="str">
        <f t="shared" si="47"/>
        <v/>
      </c>
      <c r="L3579" s="25" t="str">
        <f t="shared" si="48"/>
        <v/>
      </c>
      <c r="M3579" s="25"/>
      <c r="O3579" s="25"/>
    </row>
    <row r="3580" ht="15.75" customHeight="1">
      <c r="A3580" s="25" t="str">
        <f>IFERROR(__xludf.DUMMYFUNCTION("IF(B3580="""","""",RIGHT(REGEXREPLACE(B3580&amp;"""",""[^0-9]"",""""),9))"),"778537991")</f>
        <v>778537991</v>
      </c>
      <c r="B3580" s="52">
        <v>7.78537991E8</v>
      </c>
      <c r="C3580" s="28" t="s">
        <v>3642</v>
      </c>
      <c r="D3580" s="26" t="s">
        <v>49</v>
      </c>
      <c r="E3580" s="31">
        <v>46231.0</v>
      </c>
      <c r="F3580" s="26" t="s">
        <v>46</v>
      </c>
      <c r="G3580" s="26">
        <v>10.0</v>
      </c>
      <c r="I3580" s="26" t="s">
        <v>42</v>
      </c>
      <c r="J3580" s="25" t="str">
        <f t="shared" si="46"/>
        <v>No</v>
      </c>
      <c r="K3580" s="25" t="str">
        <f t="shared" si="47"/>
        <v/>
      </c>
      <c r="L3580" s="25" t="str">
        <f t="shared" si="48"/>
        <v/>
      </c>
      <c r="M3580" s="25"/>
      <c r="O3580" s="25"/>
    </row>
    <row r="3581" ht="15.75" customHeight="1">
      <c r="A3581" s="25" t="str">
        <f>IFERROR(__xludf.DUMMYFUNCTION("IF(B3581="""","""",RIGHT(REGEXREPLACE(B3581&amp;"""",""[^0-9]"",""""),9))"),"714369401")</f>
        <v>714369401</v>
      </c>
      <c r="B3581" s="52">
        <v>7.14369401E8</v>
      </c>
      <c r="C3581" s="28" t="s">
        <v>2941</v>
      </c>
      <c r="D3581" s="26" t="s">
        <v>64</v>
      </c>
      <c r="E3581" s="31">
        <v>46231.0</v>
      </c>
      <c r="F3581" s="26" t="s">
        <v>46</v>
      </c>
      <c r="G3581" s="26">
        <v>11.0</v>
      </c>
      <c r="I3581" s="26" t="s">
        <v>42</v>
      </c>
      <c r="J3581" s="25" t="str">
        <f t="shared" si="46"/>
        <v>No</v>
      </c>
      <c r="K3581" s="25" t="str">
        <f t="shared" si="47"/>
        <v/>
      </c>
      <c r="L3581" s="25" t="str">
        <f t="shared" si="48"/>
        <v/>
      </c>
      <c r="M3581" s="25"/>
      <c r="O3581" s="25"/>
    </row>
    <row r="3582" ht="15.75" customHeight="1">
      <c r="A3582" s="25" t="str">
        <f>IFERROR(__xludf.DUMMYFUNCTION("IF(B3582="""","""",RIGHT(REGEXREPLACE(B3582&amp;"""",""[^0-9]"",""""),9))"),"776909434")</f>
        <v>776909434</v>
      </c>
      <c r="B3582" s="52">
        <v>7.76909434E8</v>
      </c>
      <c r="C3582" s="28" t="s">
        <v>3643</v>
      </c>
      <c r="D3582" s="26" t="s">
        <v>82</v>
      </c>
      <c r="E3582" s="31">
        <v>46231.0</v>
      </c>
      <c r="F3582" s="26" t="s">
        <v>46</v>
      </c>
      <c r="G3582" s="26">
        <v>11.0</v>
      </c>
      <c r="I3582" s="26" t="s">
        <v>42</v>
      </c>
      <c r="J3582" s="25" t="str">
        <f t="shared" si="46"/>
        <v>No</v>
      </c>
      <c r="K3582" s="25" t="str">
        <f t="shared" si="47"/>
        <v/>
      </c>
      <c r="L3582" s="25" t="str">
        <f t="shared" si="48"/>
        <v/>
      </c>
      <c r="M3582" s="25"/>
      <c r="O3582" s="25"/>
    </row>
    <row r="3583" ht="15.75" customHeight="1">
      <c r="A3583" s="25" t="str">
        <f>IFERROR(__xludf.DUMMYFUNCTION("IF(B3583="""","""",RIGHT(REGEXREPLACE(B3583&amp;"""",""[^0-9]"",""""),9))"),"772037045")</f>
        <v>772037045</v>
      </c>
      <c r="B3583" s="52">
        <v>7.72037045E8</v>
      </c>
      <c r="C3583" s="28" t="s">
        <v>3644</v>
      </c>
      <c r="D3583" s="26" t="s">
        <v>82</v>
      </c>
      <c r="E3583" s="31">
        <v>46231.0</v>
      </c>
      <c r="F3583" s="26" t="s">
        <v>46</v>
      </c>
      <c r="G3583" s="26">
        <v>11.0</v>
      </c>
      <c r="I3583" s="26" t="s">
        <v>42</v>
      </c>
      <c r="J3583" s="25" t="str">
        <f t="shared" si="46"/>
        <v>No</v>
      </c>
      <c r="K3583" s="25" t="str">
        <f t="shared" si="47"/>
        <v/>
      </c>
      <c r="L3583" s="25" t="str">
        <f t="shared" si="48"/>
        <v/>
      </c>
      <c r="M3583" s="25"/>
      <c r="O3583" s="25"/>
    </row>
    <row r="3584" ht="15.75" customHeight="1">
      <c r="A3584" s="25" t="str">
        <f>IFERROR(__xludf.DUMMYFUNCTION("IF(B3584="""","""",RIGHT(REGEXREPLACE(B3584&amp;"""",""[^0-9]"",""""),9))"),"702786621")</f>
        <v>702786621</v>
      </c>
      <c r="B3584" s="52">
        <v>7.02786621E8</v>
      </c>
      <c r="C3584" s="28" t="s">
        <v>1933</v>
      </c>
      <c r="D3584" s="26" t="s">
        <v>64</v>
      </c>
      <c r="E3584" s="31">
        <v>46231.0</v>
      </c>
      <c r="F3584" s="26" t="s">
        <v>41</v>
      </c>
      <c r="G3584" s="26">
        <v>11.0</v>
      </c>
      <c r="I3584" s="26" t="s">
        <v>42</v>
      </c>
      <c r="J3584" s="25" t="str">
        <f t="shared" si="46"/>
        <v>Yes - see Previous F-Code</v>
      </c>
      <c r="K3584" s="25" t="str">
        <f t="shared" si="47"/>
        <v>DUPLICATE - CHECK</v>
      </c>
      <c r="L3584" s="25" t="str">
        <f t="shared" si="48"/>
        <v>F71638</v>
      </c>
      <c r="M3584" s="25"/>
      <c r="O3584" s="25"/>
    </row>
    <row r="3585" ht="15.75" customHeight="1">
      <c r="A3585" s="25" t="str">
        <f>IFERROR(__xludf.DUMMYFUNCTION("IF(B3585="""","""",RIGHT(REGEXREPLACE(B3585&amp;"""",""[^0-9]"",""""),9))"),"718080993")</f>
        <v>718080993</v>
      </c>
      <c r="B3585" s="52">
        <v>7.18080993E8</v>
      </c>
      <c r="C3585" s="28" t="s">
        <v>3645</v>
      </c>
      <c r="D3585" s="26" t="s">
        <v>56</v>
      </c>
      <c r="E3585" s="31">
        <v>46231.0</v>
      </c>
      <c r="F3585" s="26" t="s">
        <v>205</v>
      </c>
      <c r="I3585" s="26" t="s">
        <v>42</v>
      </c>
      <c r="J3585" s="25" t="str">
        <f t="shared" si="46"/>
        <v>No</v>
      </c>
      <c r="K3585" s="25" t="str">
        <f t="shared" si="47"/>
        <v/>
      </c>
      <c r="L3585" s="25" t="str">
        <f t="shared" si="48"/>
        <v/>
      </c>
      <c r="M3585" s="25"/>
      <c r="O3585" s="25"/>
    </row>
    <row r="3586" ht="15.75" customHeight="1">
      <c r="A3586" s="25" t="str">
        <f>IFERROR(__xludf.DUMMYFUNCTION("IF(B3586="""","""",RIGHT(REGEXREPLACE(B3586&amp;"""",""[^0-9]"",""""),9))"),"783165964")</f>
        <v>783165964</v>
      </c>
      <c r="B3586" s="52">
        <v>7.83165964E8</v>
      </c>
      <c r="C3586" s="28" t="s">
        <v>3076</v>
      </c>
      <c r="D3586" s="26" t="s">
        <v>56</v>
      </c>
      <c r="E3586" s="31">
        <v>46231.0</v>
      </c>
      <c r="F3586" s="26" t="s">
        <v>205</v>
      </c>
      <c r="G3586" s="26">
        <v>11.0</v>
      </c>
      <c r="I3586" s="26" t="s">
        <v>42</v>
      </c>
      <c r="J3586" s="25" t="str">
        <f t="shared" si="46"/>
        <v>No</v>
      </c>
      <c r="K3586" s="25" t="str">
        <f t="shared" si="47"/>
        <v/>
      </c>
      <c r="L3586" s="25" t="str">
        <f t="shared" si="48"/>
        <v/>
      </c>
      <c r="M3586" s="25"/>
      <c r="O3586" s="25"/>
    </row>
    <row r="3587" ht="15.75" customHeight="1">
      <c r="A3587" s="25" t="str">
        <f>IFERROR(__xludf.DUMMYFUNCTION("IF(B3587="""","""",RIGHT(REGEXREPLACE(B3587&amp;"""",""[^0-9]"",""""),9))"),"786782067")</f>
        <v>786782067</v>
      </c>
      <c r="B3587" s="52">
        <v>7.86782067E8</v>
      </c>
      <c r="C3587" s="28" t="s">
        <v>3646</v>
      </c>
      <c r="D3587" s="26" t="s">
        <v>49</v>
      </c>
      <c r="E3587" s="31">
        <v>46231.0</v>
      </c>
      <c r="F3587" s="26" t="s">
        <v>205</v>
      </c>
      <c r="I3587" s="26" t="s">
        <v>42</v>
      </c>
      <c r="J3587" s="25" t="str">
        <f t="shared" si="46"/>
        <v>No</v>
      </c>
      <c r="K3587" s="25" t="str">
        <f t="shared" si="47"/>
        <v/>
      </c>
      <c r="L3587" s="25" t="str">
        <f t="shared" si="48"/>
        <v/>
      </c>
      <c r="M3587" s="25"/>
      <c r="O3587" s="25"/>
    </row>
    <row r="3588" ht="15.75" customHeight="1">
      <c r="A3588" s="25" t="str">
        <f>IFERROR(__xludf.DUMMYFUNCTION("IF(B3588="""","""",RIGHT(REGEXREPLACE(B3588&amp;"""",""[^0-9]"",""""),9))"),"715473950")</f>
        <v>715473950</v>
      </c>
      <c r="B3588" s="52">
        <v>7.1547395E8</v>
      </c>
      <c r="C3588" s="28" t="s">
        <v>3647</v>
      </c>
      <c r="D3588" s="26" t="s">
        <v>64</v>
      </c>
      <c r="E3588" s="31">
        <v>46231.0</v>
      </c>
      <c r="F3588" s="26" t="s">
        <v>46</v>
      </c>
      <c r="G3588" s="26">
        <v>11.0</v>
      </c>
      <c r="I3588" s="26" t="s">
        <v>42</v>
      </c>
      <c r="J3588" s="25" t="str">
        <f t="shared" si="46"/>
        <v>No</v>
      </c>
      <c r="K3588" s="25" t="str">
        <f t="shared" si="47"/>
        <v/>
      </c>
      <c r="L3588" s="25" t="str">
        <f t="shared" si="48"/>
        <v/>
      </c>
      <c r="M3588" s="25"/>
      <c r="O3588" s="25"/>
    </row>
    <row r="3589" ht="15.75" customHeight="1">
      <c r="A3589" s="25" t="str">
        <f>IFERROR(__xludf.DUMMYFUNCTION("IF(B3589="""","""",RIGHT(REGEXREPLACE(B3589&amp;"""",""[^0-9]"",""""),9))"),"701958168")</f>
        <v>701958168</v>
      </c>
      <c r="B3589" s="52">
        <v>7.01958168E8</v>
      </c>
      <c r="C3589" s="28" t="s">
        <v>3648</v>
      </c>
      <c r="D3589" s="26" t="s">
        <v>45</v>
      </c>
      <c r="E3589" s="31">
        <v>46231.0</v>
      </c>
      <c r="F3589" s="26" t="s">
        <v>205</v>
      </c>
      <c r="I3589" s="26" t="s">
        <v>42</v>
      </c>
      <c r="J3589" s="25" t="str">
        <f t="shared" si="46"/>
        <v>No</v>
      </c>
      <c r="K3589" s="25" t="str">
        <f t="shared" si="47"/>
        <v/>
      </c>
      <c r="L3589" s="25" t="str">
        <f t="shared" si="48"/>
        <v/>
      </c>
      <c r="M3589" s="25"/>
      <c r="O3589" s="25"/>
    </row>
    <row r="3590" ht="15.75" customHeight="1">
      <c r="A3590" s="25" t="str">
        <f>IFERROR(__xludf.DUMMYFUNCTION("IF(B3590="""","""",RIGHT(REGEXREPLACE(B3590&amp;"""",""[^0-9]"",""""),9))"),"775752157")</f>
        <v>775752157</v>
      </c>
      <c r="B3590" s="52">
        <v>7.75752157E8</v>
      </c>
      <c r="C3590" s="28" t="s">
        <v>2714</v>
      </c>
      <c r="D3590" s="26" t="s">
        <v>49</v>
      </c>
      <c r="E3590" s="31">
        <v>46231.0</v>
      </c>
      <c r="F3590" s="26" t="s">
        <v>41</v>
      </c>
      <c r="I3590" s="26" t="s">
        <v>42</v>
      </c>
      <c r="J3590" s="25" t="str">
        <f t="shared" si="46"/>
        <v>Yes - see Previous F-Code</v>
      </c>
      <c r="K3590" s="25" t="str">
        <f t="shared" si="47"/>
        <v>DUPLICATE - CHECK</v>
      </c>
      <c r="L3590" s="25" t="str">
        <f t="shared" si="48"/>
        <v>F72402</v>
      </c>
      <c r="M3590" s="25"/>
      <c r="O3590" s="25"/>
    </row>
    <row r="3591" ht="15.75" customHeight="1">
      <c r="A3591" s="25" t="str">
        <f>IFERROR(__xludf.DUMMYFUNCTION("IF(B3591="""","""",RIGHT(REGEXREPLACE(B3591&amp;"""",""[^0-9]"",""""),9))"),"713726545")</f>
        <v>713726545</v>
      </c>
      <c r="B3591" s="52">
        <v>7.13726545E8</v>
      </c>
      <c r="C3591" s="28" t="s">
        <v>3649</v>
      </c>
      <c r="D3591" s="26" t="s">
        <v>45</v>
      </c>
      <c r="E3591" s="31">
        <v>46231.0</v>
      </c>
      <c r="F3591" s="26" t="s">
        <v>46</v>
      </c>
      <c r="H3591" s="26" t="s">
        <v>280</v>
      </c>
      <c r="I3591" s="26" t="s">
        <v>42</v>
      </c>
      <c r="J3591" s="25" t="str">
        <f t="shared" si="46"/>
        <v>No</v>
      </c>
      <c r="K3591" s="25" t="str">
        <f t="shared" si="47"/>
        <v/>
      </c>
      <c r="L3591" s="25" t="str">
        <f t="shared" si="48"/>
        <v/>
      </c>
      <c r="M3591" s="25"/>
      <c r="O3591" s="25"/>
    </row>
    <row r="3592" ht="15.75" customHeight="1">
      <c r="A3592" s="25" t="str">
        <f>IFERROR(__xludf.DUMMYFUNCTION("IF(B3592="""","""",RIGHT(REGEXREPLACE(B3592&amp;"""",""[^0-9]"",""""),9))"),"764449828")</f>
        <v>764449828</v>
      </c>
      <c r="B3592" s="52">
        <v>7.64449828E8</v>
      </c>
      <c r="C3592" s="28" t="s">
        <v>3650</v>
      </c>
      <c r="D3592" s="26" t="s">
        <v>82</v>
      </c>
      <c r="E3592" s="31">
        <v>46231.0</v>
      </c>
      <c r="F3592" s="26" t="s">
        <v>41</v>
      </c>
      <c r="G3592" s="26">
        <v>11.0</v>
      </c>
      <c r="I3592" s="26" t="s">
        <v>42</v>
      </c>
      <c r="J3592" s="25" t="str">
        <f t="shared" si="46"/>
        <v>No</v>
      </c>
      <c r="K3592" s="25" t="str">
        <f t="shared" si="47"/>
        <v/>
      </c>
      <c r="L3592" s="25" t="str">
        <f t="shared" si="48"/>
        <v/>
      </c>
      <c r="M3592" s="25"/>
      <c r="O3592" s="25"/>
    </row>
    <row r="3593" ht="15.75" customHeight="1">
      <c r="A3593" s="25" t="str">
        <f>IFERROR(__xludf.DUMMYFUNCTION("IF(B3593="""","""",RIGHT(REGEXREPLACE(B3593&amp;"""",""[^0-9]"",""""),9))"),"770389902")</f>
        <v>770389902</v>
      </c>
      <c r="B3593" s="52">
        <v>7.70389902E8</v>
      </c>
      <c r="C3593" s="28" t="s">
        <v>3651</v>
      </c>
      <c r="D3593" s="26" t="s">
        <v>56</v>
      </c>
      <c r="E3593" s="31">
        <v>46231.0</v>
      </c>
      <c r="F3593" s="26" t="s">
        <v>631</v>
      </c>
      <c r="G3593" s="26">
        <v>11.0</v>
      </c>
      <c r="I3593" s="26" t="s">
        <v>42</v>
      </c>
      <c r="J3593" s="25" t="str">
        <f t="shared" si="46"/>
        <v>No</v>
      </c>
      <c r="K3593" s="25" t="str">
        <f t="shared" si="47"/>
        <v/>
      </c>
      <c r="L3593" s="25" t="str">
        <f t="shared" si="48"/>
        <v/>
      </c>
      <c r="M3593" s="25"/>
      <c r="O3593" s="25"/>
    </row>
    <row r="3594" ht="15.75" customHeight="1">
      <c r="A3594" s="25" t="str">
        <f>IFERROR(__xludf.DUMMYFUNCTION("IF(B3594="""","""",RIGHT(REGEXREPLACE(B3594&amp;"""",""[^0-9]"",""""),9))"),"751424643")</f>
        <v>751424643</v>
      </c>
      <c r="B3594" s="52">
        <v>7.51424643E8</v>
      </c>
      <c r="C3594" s="28" t="s">
        <v>3652</v>
      </c>
      <c r="D3594" s="26" t="s">
        <v>49</v>
      </c>
      <c r="E3594" s="31">
        <v>46231.0</v>
      </c>
      <c r="F3594" s="26" t="s">
        <v>46</v>
      </c>
      <c r="G3594" s="26">
        <v>11.0</v>
      </c>
      <c r="I3594" s="26" t="s">
        <v>42</v>
      </c>
      <c r="J3594" s="25" t="str">
        <f t="shared" si="46"/>
        <v>No</v>
      </c>
      <c r="K3594" s="25" t="str">
        <f t="shared" si="47"/>
        <v/>
      </c>
      <c r="L3594" s="25" t="str">
        <f t="shared" si="48"/>
        <v/>
      </c>
      <c r="M3594" s="25"/>
      <c r="O3594" s="25"/>
    </row>
    <row r="3595" ht="15.75" customHeight="1">
      <c r="A3595" s="25" t="str">
        <f>IFERROR(__xludf.DUMMYFUNCTION("IF(B3595="""","""",RIGHT(REGEXREPLACE(B3595&amp;"""",""[^0-9]"",""""),9))"),"772997394")</f>
        <v>772997394</v>
      </c>
      <c r="B3595" s="52">
        <v>7.72997394E8</v>
      </c>
      <c r="C3595" s="28" t="s">
        <v>3653</v>
      </c>
      <c r="D3595" s="26" t="s">
        <v>45</v>
      </c>
      <c r="E3595" s="31">
        <v>46231.0</v>
      </c>
      <c r="F3595" s="26" t="s">
        <v>659</v>
      </c>
      <c r="I3595" s="26" t="s">
        <v>42</v>
      </c>
      <c r="J3595" s="25" t="str">
        <f t="shared" si="46"/>
        <v>No</v>
      </c>
      <c r="K3595" s="25" t="str">
        <f t="shared" si="47"/>
        <v/>
      </c>
      <c r="L3595" s="25" t="str">
        <f t="shared" si="48"/>
        <v/>
      </c>
      <c r="M3595" s="25"/>
      <c r="O3595" s="25"/>
    </row>
    <row r="3596" ht="15.75" customHeight="1">
      <c r="A3596" s="25" t="str">
        <f>IFERROR(__xludf.DUMMYFUNCTION("IF(B3596="""","""",RIGHT(REGEXREPLACE(B3596&amp;"""",""[^0-9]"",""""),9))"),"726562101")</f>
        <v>726562101</v>
      </c>
      <c r="B3596" s="52">
        <v>7.26562101E8</v>
      </c>
      <c r="C3596" s="28" t="s">
        <v>3654</v>
      </c>
      <c r="D3596" s="26" t="s">
        <v>64</v>
      </c>
      <c r="E3596" s="31">
        <v>46231.0</v>
      </c>
      <c r="F3596" s="26" t="s">
        <v>41</v>
      </c>
      <c r="I3596" s="26" t="s">
        <v>42</v>
      </c>
      <c r="J3596" s="25" t="str">
        <f t="shared" si="46"/>
        <v>No</v>
      </c>
      <c r="K3596" s="25" t="str">
        <f t="shared" si="47"/>
        <v/>
      </c>
      <c r="L3596" s="25" t="str">
        <f t="shared" si="48"/>
        <v/>
      </c>
      <c r="M3596" s="25"/>
      <c r="O3596" s="25"/>
    </row>
    <row r="3597" ht="15.75" customHeight="1">
      <c r="A3597" s="25" t="str">
        <f>IFERROR(__xludf.DUMMYFUNCTION("IF(B3597="""","""",RIGHT(REGEXREPLACE(B3597&amp;"""",""[^0-9]"",""""),9))"),"741113902")</f>
        <v>741113902</v>
      </c>
      <c r="B3597" s="52">
        <v>7.41113902E8</v>
      </c>
      <c r="C3597" s="28" t="s">
        <v>3655</v>
      </c>
      <c r="D3597" s="26" t="s">
        <v>45</v>
      </c>
      <c r="E3597" s="31">
        <v>46231.0</v>
      </c>
      <c r="F3597" s="26" t="s">
        <v>46</v>
      </c>
      <c r="G3597" s="26">
        <v>10.0</v>
      </c>
      <c r="H3597" s="26" t="s">
        <v>3656</v>
      </c>
      <c r="I3597" s="26" t="s">
        <v>42</v>
      </c>
      <c r="J3597" s="25" t="str">
        <f t="shared" si="46"/>
        <v>No</v>
      </c>
      <c r="K3597" s="25" t="str">
        <f t="shared" si="47"/>
        <v/>
      </c>
      <c r="L3597" s="25" t="str">
        <f t="shared" si="48"/>
        <v/>
      </c>
      <c r="M3597" s="25"/>
      <c r="O3597" s="25"/>
    </row>
    <row r="3598" ht="15.75" customHeight="1">
      <c r="A3598" s="25" t="str">
        <f>IFERROR(__xludf.DUMMYFUNCTION("IF(B3598="""","""",RIGHT(REGEXREPLACE(B3598&amp;"""",""[^0-9]"",""""),9))"),"701959757")</f>
        <v>701959757</v>
      </c>
      <c r="B3598" s="52">
        <v>7.01959757E8</v>
      </c>
      <c r="C3598" s="28" t="s">
        <v>3657</v>
      </c>
      <c r="D3598" s="26" t="s">
        <v>64</v>
      </c>
      <c r="E3598" s="31">
        <v>46231.0</v>
      </c>
      <c r="F3598" s="26" t="s">
        <v>46</v>
      </c>
      <c r="G3598" s="26">
        <v>11.0</v>
      </c>
      <c r="I3598" s="26" t="s">
        <v>42</v>
      </c>
      <c r="J3598" s="25" t="str">
        <f t="shared" si="46"/>
        <v>No</v>
      </c>
      <c r="K3598" s="25" t="str">
        <f t="shared" si="47"/>
        <v/>
      </c>
      <c r="L3598" s="25" t="str">
        <f t="shared" si="48"/>
        <v/>
      </c>
      <c r="M3598" s="25"/>
      <c r="O3598" s="25"/>
    </row>
    <row r="3599" ht="15.75" customHeight="1">
      <c r="A3599" s="25" t="str">
        <f>IFERROR(__xludf.DUMMYFUNCTION("IF(B3599="""","""",RIGHT(REGEXREPLACE(B3599&amp;"""",""[^0-9]"",""""),9))"),"741900471")</f>
        <v>741900471</v>
      </c>
      <c r="B3599" s="52">
        <v>9.4741900471E10</v>
      </c>
      <c r="C3599" s="28" t="s">
        <v>3658</v>
      </c>
      <c r="D3599" s="26" t="s">
        <v>82</v>
      </c>
      <c r="E3599" s="31">
        <v>46231.0</v>
      </c>
      <c r="F3599" s="26" t="s">
        <v>41</v>
      </c>
      <c r="I3599" s="26" t="s">
        <v>42</v>
      </c>
      <c r="J3599" s="25" t="str">
        <f t="shared" si="46"/>
        <v>No</v>
      </c>
      <c r="K3599" s="25" t="str">
        <f t="shared" si="47"/>
        <v/>
      </c>
      <c r="L3599" s="25" t="str">
        <f t="shared" si="48"/>
        <v/>
      </c>
      <c r="M3599" s="25"/>
      <c r="O3599" s="25"/>
    </row>
    <row r="3600" ht="15.75" customHeight="1">
      <c r="A3600" s="25" t="str">
        <f>IFERROR(__xludf.DUMMYFUNCTION("IF(B3600="""","""",RIGHT(REGEXREPLACE(B3600&amp;"""",""[^0-9]"",""""),9))"),"713453101")</f>
        <v>713453101</v>
      </c>
      <c r="B3600" s="52">
        <v>7.13453101E8</v>
      </c>
      <c r="C3600" s="28" t="s">
        <v>3659</v>
      </c>
      <c r="D3600" s="26" t="s">
        <v>49</v>
      </c>
      <c r="E3600" s="31">
        <v>46231.0</v>
      </c>
      <c r="F3600" s="26" t="s">
        <v>41</v>
      </c>
      <c r="I3600" s="26" t="s">
        <v>42</v>
      </c>
      <c r="J3600" s="25" t="str">
        <f t="shared" si="46"/>
        <v>No</v>
      </c>
      <c r="K3600" s="25" t="str">
        <f t="shared" si="47"/>
        <v/>
      </c>
      <c r="L3600" s="25" t="str">
        <f t="shared" si="48"/>
        <v/>
      </c>
      <c r="M3600" s="25"/>
      <c r="O3600" s="25"/>
    </row>
    <row r="3601" ht="15.75" customHeight="1">
      <c r="A3601" s="25" t="str">
        <f>IFERROR(__xludf.DUMMYFUNCTION("IF(B3601="""","""",RIGHT(REGEXREPLACE(B3601&amp;"""",""[^0-9]"",""""),9))"),"778703667")</f>
        <v>778703667</v>
      </c>
      <c r="B3601" s="52">
        <v>7.78703667E8</v>
      </c>
      <c r="C3601" s="28" t="s">
        <v>3660</v>
      </c>
      <c r="D3601" s="26" t="s">
        <v>45</v>
      </c>
      <c r="E3601" s="31">
        <v>46231.0</v>
      </c>
      <c r="F3601" s="26" t="s">
        <v>46</v>
      </c>
      <c r="G3601" s="26">
        <v>11.0</v>
      </c>
      <c r="I3601" s="26" t="s">
        <v>42</v>
      </c>
      <c r="J3601" s="25" t="str">
        <f t="shared" si="46"/>
        <v>No</v>
      </c>
      <c r="K3601" s="25" t="str">
        <f t="shared" si="47"/>
        <v/>
      </c>
      <c r="L3601" s="25" t="str">
        <f t="shared" si="48"/>
        <v/>
      </c>
      <c r="M3601" s="25"/>
      <c r="O3601" s="25"/>
    </row>
    <row r="3602" ht="15.75" customHeight="1">
      <c r="A3602" s="25" t="str">
        <f>IFERROR(__xludf.DUMMYFUNCTION("IF(B3602="""","""",RIGHT(REGEXREPLACE(B3602&amp;"""",""[^0-9]"",""""),9))"),"765360041")</f>
        <v>765360041</v>
      </c>
      <c r="B3602" s="52">
        <v>7.65360041E8</v>
      </c>
      <c r="C3602" s="28" t="s">
        <v>3661</v>
      </c>
      <c r="D3602" s="26" t="s">
        <v>56</v>
      </c>
      <c r="E3602" s="31">
        <v>46231.0</v>
      </c>
      <c r="F3602" s="26" t="s">
        <v>46</v>
      </c>
      <c r="G3602" s="26">
        <v>11.0</v>
      </c>
      <c r="I3602" s="26" t="s">
        <v>42</v>
      </c>
      <c r="J3602" s="25" t="str">
        <f t="shared" si="46"/>
        <v>No</v>
      </c>
      <c r="K3602" s="25" t="str">
        <f t="shared" si="47"/>
        <v/>
      </c>
      <c r="L3602" s="25" t="str">
        <f t="shared" si="48"/>
        <v/>
      </c>
      <c r="M3602" s="25"/>
      <c r="O3602" s="25"/>
    </row>
    <row r="3603" ht="15.75" customHeight="1">
      <c r="A3603" s="25" t="str">
        <f>IFERROR(__xludf.DUMMYFUNCTION("IF(B3603="""","""",RIGHT(REGEXREPLACE(B3603&amp;"""",""[^0-9]"",""""),9))"),"742154842")</f>
        <v>742154842</v>
      </c>
      <c r="B3603" s="52">
        <v>7.42154842E8</v>
      </c>
      <c r="C3603" s="28" t="s">
        <v>3662</v>
      </c>
      <c r="D3603" s="26" t="s">
        <v>49</v>
      </c>
      <c r="E3603" s="31">
        <v>46231.0</v>
      </c>
      <c r="F3603" s="26" t="s">
        <v>46</v>
      </c>
      <c r="G3603" s="26">
        <v>11.0</v>
      </c>
      <c r="I3603" s="26" t="s">
        <v>42</v>
      </c>
      <c r="J3603" s="25" t="str">
        <f t="shared" si="46"/>
        <v>No</v>
      </c>
      <c r="K3603" s="25" t="str">
        <f t="shared" si="47"/>
        <v/>
      </c>
      <c r="L3603" s="25" t="str">
        <f t="shared" si="48"/>
        <v/>
      </c>
      <c r="M3603" s="25"/>
      <c r="O3603" s="25"/>
    </row>
    <row r="3604" ht="15.75" customHeight="1">
      <c r="A3604" s="25" t="str">
        <f>IFERROR(__xludf.DUMMYFUNCTION("IF(B3604="""","""",RIGHT(REGEXREPLACE(B3604&amp;"""",""[^0-9]"",""""),9))"),"703392914")</f>
        <v>703392914</v>
      </c>
      <c r="B3604" s="26">
        <v>7.03392914E8</v>
      </c>
      <c r="C3604" s="28" t="s">
        <v>3663</v>
      </c>
      <c r="D3604" s="26" t="s">
        <v>37</v>
      </c>
      <c r="E3604" s="31">
        <v>46231.0</v>
      </c>
      <c r="F3604" s="26" t="s">
        <v>704</v>
      </c>
      <c r="I3604" s="26" t="s">
        <v>42</v>
      </c>
      <c r="J3604" s="25" t="str">
        <f t="shared" si="46"/>
        <v>No</v>
      </c>
      <c r="K3604" s="25" t="str">
        <f t="shared" si="47"/>
        <v/>
      </c>
      <c r="L3604" s="25" t="str">
        <f t="shared" si="48"/>
        <v/>
      </c>
      <c r="M3604" s="25"/>
      <c r="O3604" s="25"/>
    </row>
    <row r="3605" ht="15.75" customHeight="1">
      <c r="A3605" s="25" t="str">
        <f>IFERROR(__xludf.DUMMYFUNCTION("IF(B3605="""","""",RIGHT(REGEXREPLACE(B3605&amp;"""",""[^0-9]"",""""),9))"),"778306055")</f>
        <v>778306055</v>
      </c>
      <c r="B3605" s="52">
        <v>7.78306055E8</v>
      </c>
      <c r="C3605" s="28" t="s">
        <v>3664</v>
      </c>
      <c r="D3605" s="26" t="s">
        <v>82</v>
      </c>
      <c r="E3605" s="31">
        <v>46231.0</v>
      </c>
      <c r="F3605" s="26" t="s">
        <v>41</v>
      </c>
      <c r="I3605" s="26" t="s">
        <v>42</v>
      </c>
      <c r="J3605" s="25" t="str">
        <f t="shared" si="46"/>
        <v>No</v>
      </c>
      <c r="K3605" s="25" t="str">
        <f t="shared" si="47"/>
        <v/>
      </c>
      <c r="L3605" s="25" t="str">
        <f t="shared" si="48"/>
        <v/>
      </c>
      <c r="M3605" s="25"/>
      <c r="O3605" s="25"/>
    </row>
    <row r="3606" ht="15.75" customHeight="1">
      <c r="A3606" s="25" t="str">
        <f>IFERROR(__xludf.DUMMYFUNCTION("IF(B3606="""","""",RIGHT(REGEXREPLACE(B3606&amp;"""",""[^0-9]"",""""),9))"),"715383297")</f>
        <v>715383297</v>
      </c>
      <c r="B3606" s="52">
        <v>7.15383297E8</v>
      </c>
      <c r="C3606" s="28" t="s">
        <v>3665</v>
      </c>
      <c r="D3606" s="26" t="s">
        <v>45</v>
      </c>
      <c r="E3606" s="31">
        <v>46231.0</v>
      </c>
      <c r="F3606" s="26" t="s">
        <v>46</v>
      </c>
      <c r="G3606" s="26">
        <v>11.0</v>
      </c>
      <c r="I3606" s="26" t="s">
        <v>42</v>
      </c>
      <c r="J3606" s="25" t="str">
        <f t="shared" si="46"/>
        <v>No</v>
      </c>
      <c r="K3606" s="25" t="str">
        <f t="shared" si="47"/>
        <v/>
      </c>
      <c r="L3606" s="25" t="str">
        <f t="shared" si="48"/>
        <v/>
      </c>
      <c r="M3606" s="25"/>
      <c r="O3606" s="25"/>
    </row>
    <row r="3607" ht="15.75" customHeight="1">
      <c r="A3607" s="25" t="str">
        <f>IFERROR(__xludf.DUMMYFUNCTION("IF(B3607="""","""",RIGHT(REGEXREPLACE(B3607&amp;"""",""[^0-9]"",""""),9))"),"701369614")</f>
        <v>701369614</v>
      </c>
      <c r="B3607" s="52">
        <v>7.01369614E8</v>
      </c>
      <c r="C3607" s="28" t="s">
        <v>3666</v>
      </c>
      <c r="D3607" s="26" t="s">
        <v>56</v>
      </c>
      <c r="E3607" s="31">
        <v>46231.0</v>
      </c>
      <c r="F3607" s="26" t="s">
        <v>631</v>
      </c>
      <c r="G3607" s="26">
        <v>11.0</v>
      </c>
      <c r="I3607" s="26" t="s">
        <v>42</v>
      </c>
      <c r="J3607" s="25" t="str">
        <f t="shared" si="46"/>
        <v>No</v>
      </c>
      <c r="K3607" s="25" t="str">
        <f t="shared" si="47"/>
        <v/>
      </c>
      <c r="L3607" s="25" t="str">
        <f t="shared" si="48"/>
        <v/>
      </c>
      <c r="M3607" s="25"/>
      <c r="O3607" s="25"/>
    </row>
    <row r="3608" ht="15.75" customHeight="1">
      <c r="A3608" s="25" t="str">
        <f>IFERROR(__xludf.DUMMYFUNCTION("IF(B3608="""","""",RIGHT(REGEXREPLACE(B3608&amp;"""",""[^0-9]"",""""),9))"),"763604191")</f>
        <v>763604191</v>
      </c>
      <c r="B3608" s="52">
        <v>7.63604191E8</v>
      </c>
      <c r="C3608" s="28" t="s">
        <v>3099</v>
      </c>
      <c r="D3608" s="26" t="s">
        <v>64</v>
      </c>
      <c r="E3608" s="31">
        <v>46231.0</v>
      </c>
      <c r="F3608" s="26" t="s">
        <v>3667</v>
      </c>
      <c r="G3608" s="26">
        <v>11.0</v>
      </c>
      <c r="I3608" s="26" t="s">
        <v>42</v>
      </c>
      <c r="J3608" s="25" t="str">
        <f t="shared" si="46"/>
        <v>No</v>
      </c>
      <c r="K3608" s="25" t="str">
        <f t="shared" si="47"/>
        <v/>
      </c>
      <c r="L3608" s="25" t="str">
        <f t="shared" si="48"/>
        <v/>
      </c>
      <c r="M3608" s="25"/>
      <c r="O3608" s="25"/>
    </row>
    <row r="3609" ht="15.75" customHeight="1">
      <c r="A3609" s="25" t="str">
        <f>IFERROR(__xludf.DUMMYFUNCTION("IF(B3609="""","""",RIGHT(REGEXREPLACE(B3609&amp;"""",""[^0-9]"",""""),9))"),"758682873")</f>
        <v>758682873</v>
      </c>
      <c r="B3609" s="26">
        <v>7.58682873E8</v>
      </c>
      <c r="C3609" s="28" t="s">
        <v>3668</v>
      </c>
      <c r="D3609" s="26" t="s">
        <v>37</v>
      </c>
      <c r="E3609" s="31">
        <v>46231.0</v>
      </c>
      <c r="F3609" s="26" t="s">
        <v>46</v>
      </c>
      <c r="G3609" s="26">
        <v>10.0</v>
      </c>
      <c r="I3609" s="26" t="s">
        <v>42</v>
      </c>
      <c r="J3609" s="25" t="str">
        <f t="shared" si="46"/>
        <v>No</v>
      </c>
      <c r="K3609" s="25" t="str">
        <f t="shared" si="47"/>
        <v/>
      </c>
      <c r="L3609" s="25" t="str">
        <f t="shared" si="48"/>
        <v/>
      </c>
      <c r="M3609" s="25"/>
      <c r="O3609" s="25"/>
    </row>
    <row r="3610" ht="15.75" customHeight="1">
      <c r="A3610" s="25" t="str">
        <f>IFERROR(__xludf.DUMMYFUNCTION("IF(B3610="""","""",RIGHT(REGEXREPLACE(B3610&amp;"""",""[^0-9]"",""""),9))"),"718181734")</f>
        <v>718181734</v>
      </c>
      <c r="B3610" s="52">
        <v>7.18181734E8</v>
      </c>
      <c r="C3610" s="28" t="s">
        <v>3669</v>
      </c>
      <c r="D3610" s="26" t="s">
        <v>49</v>
      </c>
      <c r="E3610" s="31">
        <v>46231.0</v>
      </c>
      <c r="F3610" s="26" t="s">
        <v>46</v>
      </c>
      <c r="G3610" s="26">
        <v>11.0</v>
      </c>
      <c r="I3610" s="26" t="s">
        <v>42</v>
      </c>
      <c r="J3610" s="25" t="str">
        <f t="shared" si="46"/>
        <v>No</v>
      </c>
      <c r="K3610" s="25" t="str">
        <f t="shared" si="47"/>
        <v/>
      </c>
      <c r="L3610" s="25" t="str">
        <f t="shared" si="48"/>
        <v/>
      </c>
      <c r="M3610" s="25"/>
      <c r="O3610" s="25"/>
    </row>
    <row r="3611" ht="15.75" customHeight="1">
      <c r="A3611" s="25" t="str">
        <f>IFERROR(__xludf.DUMMYFUNCTION("IF(B3611="""","""",RIGHT(REGEXREPLACE(B3611&amp;"""",""[^0-9]"",""""),9))"),"715407051")</f>
        <v>715407051</v>
      </c>
      <c r="B3611" s="52">
        <v>7.15407051E8</v>
      </c>
      <c r="C3611" s="28" t="s">
        <v>3670</v>
      </c>
      <c r="D3611" s="26" t="s">
        <v>45</v>
      </c>
      <c r="E3611" s="31">
        <v>46231.0</v>
      </c>
      <c r="F3611" s="26" t="s">
        <v>205</v>
      </c>
      <c r="G3611" s="26">
        <v>11.0</v>
      </c>
      <c r="I3611" s="26" t="s">
        <v>42</v>
      </c>
      <c r="J3611" s="25" t="str">
        <f t="shared" si="46"/>
        <v>No</v>
      </c>
      <c r="K3611" s="25" t="str">
        <f t="shared" si="47"/>
        <v/>
      </c>
      <c r="L3611" s="25" t="str">
        <f t="shared" si="48"/>
        <v/>
      </c>
      <c r="M3611" s="25"/>
      <c r="O3611" s="25"/>
    </row>
    <row r="3612" ht="15.75" customHeight="1">
      <c r="A3612" s="25" t="str">
        <f>IFERROR(__xludf.DUMMYFUNCTION("IF(B3612="""","""",RIGHT(REGEXREPLACE(B3612&amp;"""",""[^0-9]"",""""),9))"),"779743108")</f>
        <v>779743108</v>
      </c>
      <c r="B3612" s="52">
        <v>7.79743108E8</v>
      </c>
      <c r="C3612" s="28" t="s">
        <v>3671</v>
      </c>
      <c r="D3612" s="26" t="s">
        <v>64</v>
      </c>
      <c r="E3612" s="31">
        <v>46231.0</v>
      </c>
      <c r="F3612" s="26" t="s">
        <v>3667</v>
      </c>
      <c r="G3612" s="26">
        <v>11.0</v>
      </c>
      <c r="I3612" s="26" t="s">
        <v>42</v>
      </c>
      <c r="J3612" s="25" t="str">
        <f t="shared" si="46"/>
        <v>No</v>
      </c>
      <c r="K3612" s="25" t="str">
        <f t="shared" si="47"/>
        <v/>
      </c>
      <c r="L3612" s="25" t="str">
        <f t="shared" si="48"/>
        <v/>
      </c>
      <c r="M3612" s="25"/>
      <c r="O3612" s="25"/>
    </row>
    <row r="3613" ht="15.75" customHeight="1">
      <c r="A3613" s="25" t="str">
        <f>IFERROR(__xludf.DUMMYFUNCTION("IF(B3613="""","""",RIGHT(REGEXREPLACE(B3613&amp;"""",""[^0-9]"",""""),9))"),"771800231")</f>
        <v>771800231</v>
      </c>
      <c r="B3613" s="26">
        <v>7.71800231E8</v>
      </c>
      <c r="C3613" s="28" t="s">
        <v>3668</v>
      </c>
      <c r="D3613" s="26" t="s">
        <v>37</v>
      </c>
      <c r="E3613" s="31">
        <v>46231.0</v>
      </c>
      <c r="F3613" s="26" t="s">
        <v>46</v>
      </c>
      <c r="G3613" s="26">
        <v>10.0</v>
      </c>
      <c r="I3613" s="26" t="s">
        <v>42</v>
      </c>
      <c r="J3613" s="25" t="str">
        <f t="shared" si="46"/>
        <v>No</v>
      </c>
      <c r="K3613" s="25" t="str">
        <f t="shared" si="47"/>
        <v/>
      </c>
      <c r="L3613" s="25" t="str">
        <f t="shared" si="48"/>
        <v/>
      </c>
      <c r="M3613" s="25"/>
      <c r="O3613" s="25"/>
    </row>
    <row r="3614" ht="15.75" customHeight="1">
      <c r="A3614" s="25" t="str">
        <f>IFERROR(__xludf.DUMMYFUNCTION("IF(B3614="""","""",RIGHT(REGEXREPLACE(B3614&amp;"""",""[^0-9]"",""""),9))"),"778787488")</f>
        <v>778787488</v>
      </c>
      <c r="B3614" s="52">
        <v>7.78787488E8</v>
      </c>
      <c r="C3614" s="28" t="s">
        <v>3672</v>
      </c>
      <c r="D3614" s="26" t="s">
        <v>45</v>
      </c>
      <c r="E3614" s="31">
        <v>46231.0</v>
      </c>
      <c r="F3614" s="26" t="s">
        <v>46</v>
      </c>
      <c r="G3614" s="26">
        <v>11.0</v>
      </c>
      <c r="I3614" s="26" t="s">
        <v>42</v>
      </c>
      <c r="J3614" s="25" t="str">
        <f t="shared" si="46"/>
        <v>No</v>
      </c>
      <c r="K3614" s="25" t="str">
        <f t="shared" si="47"/>
        <v/>
      </c>
      <c r="L3614" s="25" t="str">
        <f t="shared" si="48"/>
        <v/>
      </c>
      <c r="M3614" s="25"/>
      <c r="O3614" s="25"/>
    </row>
    <row r="3615" ht="15.75" customHeight="1">
      <c r="A3615" s="25" t="str">
        <f>IFERROR(__xludf.DUMMYFUNCTION("IF(B3615="""","""",RIGHT(REGEXREPLACE(B3615&amp;"""",""[^0-9]"",""""),9))"),"776500558")</f>
        <v>776500558</v>
      </c>
      <c r="B3615" s="52">
        <v>7.76500558E8</v>
      </c>
      <c r="C3615" s="28" t="s">
        <v>3673</v>
      </c>
      <c r="D3615" s="26" t="s">
        <v>49</v>
      </c>
      <c r="E3615" s="31">
        <v>46231.0</v>
      </c>
      <c r="F3615" s="26" t="s">
        <v>46</v>
      </c>
      <c r="G3615" s="26">
        <v>11.0</v>
      </c>
      <c r="I3615" s="26" t="s">
        <v>42</v>
      </c>
      <c r="J3615" s="25" t="str">
        <f t="shared" si="46"/>
        <v>No</v>
      </c>
      <c r="K3615" s="25" t="str">
        <f t="shared" si="47"/>
        <v/>
      </c>
      <c r="L3615" s="25" t="str">
        <f t="shared" si="48"/>
        <v/>
      </c>
      <c r="M3615" s="25"/>
      <c r="O3615" s="25"/>
    </row>
    <row r="3616" ht="15.75" customHeight="1">
      <c r="A3616" s="25" t="str">
        <f>IFERROR(__xludf.DUMMYFUNCTION("IF(B3616="""","""",RIGHT(REGEXREPLACE(B3616&amp;"""",""[^0-9]"",""""),9))"),"768618090")</f>
        <v>768618090</v>
      </c>
      <c r="B3616" s="52">
        <v>7.6861809E8</v>
      </c>
      <c r="C3616" s="28" t="s">
        <v>2765</v>
      </c>
      <c r="D3616" s="26" t="s">
        <v>64</v>
      </c>
      <c r="E3616" s="31">
        <v>46231.0</v>
      </c>
      <c r="F3616" s="26" t="s">
        <v>46</v>
      </c>
      <c r="G3616" s="26">
        <v>11.0</v>
      </c>
      <c r="I3616" s="26" t="s">
        <v>42</v>
      </c>
      <c r="J3616" s="25" t="str">
        <f t="shared" si="46"/>
        <v>No</v>
      </c>
      <c r="K3616" s="25" t="str">
        <f t="shared" si="47"/>
        <v/>
      </c>
      <c r="L3616" s="25" t="str">
        <f t="shared" si="48"/>
        <v/>
      </c>
      <c r="M3616" s="25"/>
      <c r="O3616" s="25"/>
    </row>
    <row r="3617" ht="15.75" customHeight="1">
      <c r="A3617" s="25" t="str">
        <f>IFERROR(__xludf.DUMMYFUNCTION("IF(B3617="""","""",RIGHT(REGEXREPLACE(B3617&amp;"""",""[^0-9]"",""""),9))"),"760312264")</f>
        <v>760312264</v>
      </c>
      <c r="B3617" s="26">
        <v>7.60312264E8</v>
      </c>
      <c r="C3617" s="28" t="s">
        <v>3674</v>
      </c>
      <c r="D3617" s="26" t="s">
        <v>37</v>
      </c>
      <c r="E3617" s="31">
        <v>46231.0</v>
      </c>
      <c r="F3617" s="26" t="s">
        <v>41</v>
      </c>
      <c r="I3617" s="26" t="s">
        <v>42</v>
      </c>
      <c r="J3617" s="25" t="str">
        <f t="shared" si="46"/>
        <v>No</v>
      </c>
      <c r="K3617" s="25" t="str">
        <f t="shared" si="47"/>
        <v/>
      </c>
      <c r="L3617" s="25" t="str">
        <f t="shared" si="48"/>
        <v/>
      </c>
      <c r="M3617" s="25"/>
      <c r="O3617" s="25"/>
    </row>
    <row r="3618" ht="15.75" customHeight="1">
      <c r="A3618" s="25" t="str">
        <f>IFERROR(__xludf.DUMMYFUNCTION("IF(B3618="""","""",RIGHT(REGEXREPLACE(B3618&amp;"""",""[^0-9]"",""""),9))"),"702505900")</f>
        <v>702505900</v>
      </c>
      <c r="B3618" s="52">
        <v>7.025059E8</v>
      </c>
      <c r="C3618" s="28" t="s">
        <v>3675</v>
      </c>
      <c r="D3618" s="26" t="s">
        <v>56</v>
      </c>
      <c r="E3618" s="31">
        <v>46231.0</v>
      </c>
      <c r="F3618" s="25"/>
      <c r="G3618" s="25"/>
      <c r="H3618" s="25"/>
      <c r="I3618" s="26" t="s">
        <v>42</v>
      </c>
      <c r="J3618" s="25" t="str">
        <f t="shared" si="46"/>
        <v>No</v>
      </c>
      <c r="K3618" s="25" t="str">
        <f t="shared" si="47"/>
        <v/>
      </c>
      <c r="L3618" s="25" t="str">
        <f t="shared" si="48"/>
        <v/>
      </c>
      <c r="M3618" s="25"/>
      <c r="N3618" s="25"/>
      <c r="O3618" s="25"/>
      <c r="P3618" s="25"/>
    </row>
    <row r="3619" ht="15.75" customHeight="1">
      <c r="A3619" s="25" t="str">
        <f>IFERROR(__xludf.DUMMYFUNCTION("IF(B3619="""","""",RIGHT(REGEXREPLACE(B3619&amp;"""",""[^0-9]"",""""),9))"),"781555221")</f>
        <v>781555221</v>
      </c>
      <c r="B3619" s="52">
        <v>7.81555221E8</v>
      </c>
      <c r="C3619" s="28" t="s">
        <v>3676</v>
      </c>
      <c r="D3619" s="26" t="s">
        <v>45</v>
      </c>
      <c r="E3619" s="31">
        <v>46231.0</v>
      </c>
      <c r="F3619" s="26" t="s">
        <v>46</v>
      </c>
      <c r="G3619" s="26">
        <v>7.0</v>
      </c>
      <c r="I3619" s="26" t="s">
        <v>42</v>
      </c>
      <c r="J3619" s="25" t="str">
        <f t="shared" si="46"/>
        <v>No</v>
      </c>
      <c r="K3619" s="25" t="str">
        <f t="shared" si="47"/>
        <v/>
      </c>
      <c r="L3619" s="25" t="str">
        <f t="shared" si="48"/>
        <v/>
      </c>
      <c r="M3619" s="25"/>
      <c r="O3619" s="25"/>
    </row>
    <row r="3620" ht="15.75" customHeight="1">
      <c r="A3620" s="25" t="str">
        <f>IFERROR(__xludf.DUMMYFUNCTION("IF(B3620="""","""",RIGHT(REGEXREPLACE(B3620&amp;"""",""[^0-9]"",""""),9))"),"760178812")</f>
        <v>760178812</v>
      </c>
      <c r="B3620" s="52">
        <v>7.60178812E8</v>
      </c>
      <c r="C3620" s="28" t="s">
        <v>3677</v>
      </c>
      <c r="D3620" s="26" t="s">
        <v>82</v>
      </c>
      <c r="E3620" s="31">
        <v>46231.0</v>
      </c>
      <c r="F3620" s="26" t="s">
        <v>205</v>
      </c>
      <c r="I3620" s="26" t="s">
        <v>42</v>
      </c>
      <c r="J3620" s="25" t="str">
        <f t="shared" si="46"/>
        <v>No</v>
      </c>
      <c r="K3620" s="25" t="str">
        <f t="shared" si="47"/>
        <v/>
      </c>
      <c r="L3620" s="25" t="str">
        <f t="shared" si="48"/>
        <v/>
      </c>
      <c r="M3620" s="25"/>
      <c r="O3620" s="25"/>
    </row>
    <row r="3621" ht="15.75" customHeight="1">
      <c r="A3621" s="25" t="str">
        <f>IFERROR(__xludf.DUMMYFUNCTION("IF(B3621="""","""",RIGHT(REGEXREPLACE(B3621&amp;"""",""[^0-9]"",""""),9))"),"774625294")</f>
        <v>774625294</v>
      </c>
      <c r="B3621" s="52">
        <v>7.74625294E8</v>
      </c>
      <c r="C3621" s="28" t="s">
        <v>3678</v>
      </c>
      <c r="D3621" s="26" t="s">
        <v>64</v>
      </c>
      <c r="E3621" s="31">
        <v>46231.0</v>
      </c>
      <c r="F3621" s="26" t="s">
        <v>46</v>
      </c>
      <c r="G3621" s="26">
        <v>11.0</v>
      </c>
      <c r="I3621" s="26" t="s">
        <v>42</v>
      </c>
      <c r="J3621" s="25" t="str">
        <f t="shared" si="46"/>
        <v>No</v>
      </c>
      <c r="K3621" s="25" t="str">
        <f t="shared" si="47"/>
        <v/>
      </c>
      <c r="L3621" s="25" t="str">
        <f t="shared" si="48"/>
        <v/>
      </c>
      <c r="M3621" s="25"/>
      <c r="O3621" s="25"/>
    </row>
    <row r="3622" ht="15.75" customHeight="1">
      <c r="A3622" s="25" t="str">
        <f>IFERROR(__xludf.DUMMYFUNCTION("IF(B3622="""","""",RIGHT(REGEXREPLACE(B3622&amp;"""",""[^0-9]"",""""),9))"),"763095349")</f>
        <v>763095349</v>
      </c>
      <c r="B3622" s="52">
        <v>7.63095349E8</v>
      </c>
      <c r="C3622" s="28" t="s">
        <v>3679</v>
      </c>
      <c r="D3622" s="26" t="s">
        <v>49</v>
      </c>
      <c r="E3622" s="31">
        <v>46231.0</v>
      </c>
      <c r="F3622" s="26" t="s">
        <v>205</v>
      </c>
      <c r="I3622" s="26" t="s">
        <v>42</v>
      </c>
      <c r="J3622" s="25" t="str">
        <f t="shared" si="46"/>
        <v>No</v>
      </c>
      <c r="K3622" s="25" t="str">
        <f t="shared" si="47"/>
        <v/>
      </c>
      <c r="L3622" s="25" t="str">
        <f t="shared" si="48"/>
        <v/>
      </c>
      <c r="M3622" s="25"/>
      <c r="O3622" s="25"/>
    </row>
    <row r="3623" ht="15.75" customHeight="1">
      <c r="A3623" s="25" t="str">
        <f>IFERROR(__xludf.DUMMYFUNCTION("IF(B3623="""","""",RIGHT(REGEXREPLACE(B3623&amp;"""",""[^0-9]"",""""),9))"),"716877459")</f>
        <v>716877459</v>
      </c>
      <c r="B3623" s="52">
        <v>7.16877459E8</v>
      </c>
      <c r="C3623" s="28" t="s">
        <v>3680</v>
      </c>
      <c r="D3623" s="26" t="s">
        <v>82</v>
      </c>
      <c r="E3623" s="31">
        <v>46231.0</v>
      </c>
      <c r="F3623" s="26" t="s">
        <v>41</v>
      </c>
      <c r="I3623" s="26" t="s">
        <v>42</v>
      </c>
      <c r="J3623" s="25" t="str">
        <f t="shared" si="46"/>
        <v>No</v>
      </c>
      <c r="K3623" s="25" t="str">
        <f t="shared" si="47"/>
        <v/>
      </c>
      <c r="L3623" s="25" t="str">
        <f t="shared" si="48"/>
        <v/>
      </c>
      <c r="M3623" s="25"/>
      <c r="O3623" s="25"/>
    </row>
    <row r="3624" ht="15.75" customHeight="1">
      <c r="A3624" s="25" t="str">
        <f>IFERROR(__xludf.DUMMYFUNCTION("IF(B3624="""","""",RIGHT(REGEXREPLACE(B3624&amp;"""",""[^0-9]"",""""),9))"),"784202677")</f>
        <v>784202677</v>
      </c>
      <c r="B3624" s="26">
        <v>7.84202677E8</v>
      </c>
      <c r="C3624" s="28" t="s">
        <v>3478</v>
      </c>
      <c r="D3624" s="26" t="s">
        <v>37</v>
      </c>
      <c r="E3624" s="31">
        <v>46231.0</v>
      </c>
      <c r="F3624" s="26" t="s">
        <v>46</v>
      </c>
      <c r="G3624" s="26">
        <v>11.0</v>
      </c>
      <c r="I3624" s="26" t="s">
        <v>42</v>
      </c>
      <c r="J3624" s="25" t="str">
        <f t="shared" si="46"/>
        <v>No</v>
      </c>
      <c r="K3624" s="25" t="str">
        <f t="shared" si="47"/>
        <v/>
      </c>
      <c r="L3624" s="25" t="str">
        <f t="shared" si="48"/>
        <v/>
      </c>
      <c r="M3624" s="25"/>
      <c r="O3624" s="25"/>
    </row>
    <row r="3625" ht="15.75" customHeight="1">
      <c r="A3625" s="25" t="str">
        <f>IFERROR(__xludf.DUMMYFUNCTION("IF(B3625="""","""",RIGHT(REGEXREPLACE(B3625&amp;"""",""[^0-9]"",""""),9))"),"764144651")</f>
        <v>764144651</v>
      </c>
      <c r="B3625" s="52">
        <v>7.64144651E8</v>
      </c>
      <c r="C3625" s="28" t="s">
        <v>3681</v>
      </c>
      <c r="D3625" s="26" t="s">
        <v>56</v>
      </c>
      <c r="E3625" s="31">
        <v>46231.0</v>
      </c>
      <c r="F3625" s="26" t="s">
        <v>205</v>
      </c>
      <c r="G3625" s="26">
        <v>11.0</v>
      </c>
      <c r="I3625" s="26" t="s">
        <v>42</v>
      </c>
      <c r="J3625" s="25" t="str">
        <f t="shared" si="46"/>
        <v>No</v>
      </c>
      <c r="K3625" s="25" t="str">
        <f t="shared" si="47"/>
        <v/>
      </c>
      <c r="L3625" s="25" t="str">
        <f t="shared" si="48"/>
        <v/>
      </c>
      <c r="M3625" s="25"/>
      <c r="O3625" s="25"/>
    </row>
    <row r="3626" ht="15.75" customHeight="1">
      <c r="A3626" s="25" t="str">
        <f>IFERROR(__xludf.DUMMYFUNCTION("IF(B3626="""","""",RIGHT(REGEXREPLACE(B3626&amp;"""",""[^0-9]"",""""),9))"),"778188527")</f>
        <v>778188527</v>
      </c>
      <c r="B3626" s="52">
        <v>7.78188527E8</v>
      </c>
      <c r="C3626" s="28" t="s">
        <v>3682</v>
      </c>
      <c r="D3626" s="26" t="s">
        <v>49</v>
      </c>
      <c r="E3626" s="31">
        <v>46231.0</v>
      </c>
      <c r="F3626" s="26" t="s">
        <v>46</v>
      </c>
      <c r="G3626" s="26">
        <v>11.0</v>
      </c>
      <c r="I3626" s="26" t="s">
        <v>42</v>
      </c>
      <c r="J3626" s="25" t="str">
        <f t="shared" si="46"/>
        <v>No</v>
      </c>
      <c r="K3626" s="25" t="str">
        <f t="shared" si="47"/>
        <v/>
      </c>
      <c r="L3626" s="25" t="str">
        <f t="shared" si="48"/>
        <v/>
      </c>
      <c r="M3626" s="25"/>
      <c r="O3626" s="25"/>
    </row>
    <row r="3627" ht="15.75" customHeight="1">
      <c r="A3627" s="25" t="str">
        <f>IFERROR(__xludf.DUMMYFUNCTION("IF(B3627="""","""",RIGHT(REGEXREPLACE(B3627&amp;"""",""[^0-9]"",""""),9))"),"778779426")</f>
        <v>778779426</v>
      </c>
      <c r="B3627" s="52">
        <v>7.78779426E8</v>
      </c>
      <c r="C3627" s="28" t="s">
        <v>3683</v>
      </c>
      <c r="D3627" s="26" t="s">
        <v>82</v>
      </c>
      <c r="E3627" s="31">
        <v>46231.0</v>
      </c>
      <c r="F3627" s="26" t="s">
        <v>125</v>
      </c>
      <c r="G3627" s="26">
        <v>11.0</v>
      </c>
      <c r="I3627" s="26" t="s">
        <v>42</v>
      </c>
      <c r="J3627" s="25" t="str">
        <f t="shared" si="46"/>
        <v>No</v>
      </c>
      <c r="K3627" s="25" t="str">
        <f t="shared" si="47"/>
        <v/>
      </c>
      <c r="L3627" s="25" t="str">
        <f t="shared" si="48"/>
        <v/>
      </c>
      <c r="M3627" s="25"/>
      <c r="O3627" s="25"/>
    </row>
    <row r="3628" ht="15.75" customHeight="1">
      <c r="A3628" s="25" t="str">
        <f>IFERROR(__xludf.DUMMYFUNCTION("IF(B3628="""","""",RIGHT(REGEXREPLACE(B3628&amp;"""",""[^0-9]"",""""),9))"),"713353043")</f>
        <v>713353043</v>
      </c>
      <c r="B3628" s="52">
        <v>7.13353043E8</v>
      </c>
      <c r="C3628" s="28" t="s">
        <v>3625</v>
      </c>
      <c r="D3628" s="26" t="s">
        <v>45</v>
      </c>
      <c r="E3628" s="31">
        <v>46231.0</v>
      </c>
      <c r="F3628" s="26" t="s">
        <v>41</v>
      </c>
      <c r="G3628" s="26">
        <v>11.0</v>
      </c>
      <c r="I3628" s="26" t="s">
        <v>42</v>
      </c>
      <c r="J3628" s="25" t="str">
        <f t="shared" si="46"/>
        <v>Yes - see Previous F-Code</v>
      </c>
      <c r="K3628" s="25" t="str">
        <f t="shared" si="47"/>
        <v>DUPLICATE - CHECK</v>
      </c>
      <c r="L3628" s="25" t="str">
        <f t="shared" si="48"/>
        <v>F72799</v>
      </c>
      <c r="M3628" s="25"/>
      <c r="O3628" s="25"/>
    </row>
    <row r="3629" ht="15.75" customHeight="1">
      <c r="A3629" s="25" t="str">
        <f>IFERROR(__xludf.DUMMYFUNCTION("IF(B3629="""","""",RIGHT(REGEXREPLACE(B3629&amp;"""",""[^0-9]"",""""),9))"),"740060312")</f>
        <v>740060312</v>
      </c>
      <c r="B3629" s="52">
        <v>7.40060312E8</v>
      </c>
      <c r="C3629" s="28" t="s">
        <v>3683</v>
      </c>
      <c r="D3629" s="26" t="s">
        <v>64</v>
      </c>
      <c r="E3629" s="31">
        <v>46231.0</v>
      </c>
      <c r="F3629" s="26" t="s">
        <v>46</v>
      </c>
      <c r="G3629" s="26">
        <v>11.0</v>
      </c>
      <c r="I3629" s="26" t="s">
        <v>42</v>
      </c>
      <c r="J3629" s="25" t="str">
        <f t="shared" si="46"/>
        <v>No</v>
      </c>
      <c r="K3629" s="25" t="str">
        <f t="shared" si="47"/>
        <v/>
      </c>
      <c r="L3629" s="25" t="str">
        <f t="shared" si="48"/>
        <v/>
      </c>
      <c r="M3629" s="25"/>
      <c r="O3629" s="25"/>
    </row>
    <row r="3630" ht="15.75" customHeight="1">
      <c r="A3630" s="25" t="str">
        <f>IFERROR(__xludf.DUMMYFUNCTION("IF(B3630="""","""",RIGHT(REGEXREPLACE(B3630&amp;"""",""[^0-9]"",""""),9))"),"766118632")</f>
        <v>766118632</v>
      </c>
      <c r="B3630" s="52">
        <v>7.66118632E8</v>
      </c>
      <c r="C3630" s="28" t="s">
        <v>3684</v>
      </c>
      <c r="D3630" s="26" t="s">
        <v>56</v>
      </c>
      <c r="E3630" s="31">
        <v>46231.0</v>
      </c>
      <c r="F3630" s="26" t="s">
        <v>46</v>
      </c>
      <c r="G3630" s="26">
        <v>11.0</v>
      </c>
      <c r="I3630" s="26" t="s">
        <v>42</v>
      </c>
      <c r="J3630" s="25" t="str">
        <f t="shared" si="46"/>
        <v>No</v>
      </c>
      <c r="K3630" s="25" t="str">
        <f t="shared" si="47"/>
        <v/>
      </c>
      <c r="L3630" s="25" t="str">
        <f t="shared" si="48"/>
        <v/>
      </c>
      <c r="M3630" s="25"/>
      <c r="O3630" s="25"/>
    </row>
    <row r="3631" ht="15.75" customHeight="1">
      <c r="A3631" s="25" t="str">
        <f>IFERROR(__xludf.DUMMYFUNCTION("IF(B3631="""","""",RIGHT(REGEXREPLACE(B3631&amp;"""",""[^0-9]"",""""),9))"),"715553890")</f>
        <v>715553890</v>
      </c>
      <c r="B3631" s="52">
        <v>7.1555389E8</v>
      </c>
      <c r="C3631" s="28" t="s">
        <v>3685</v>
      </c>
      <c r="D3631" s="26" t="s">
        <v>49</v>
      </c>
      <c r="E3631" s="31">
        <v>46231.0</v>
      </c>
      <c r="F3631" s="26" t="s">
        <v>41</v>
      </c>
      <c r="G3631" s="26">
        <v>8.0</v>
      </c>
      <c r="I3631" s="26" t="s">
        <v>42</v>
      </c>
      <c r="J3631" s="25" t="str">
        <f t="shared" si="46"/>
        <v>No</v>
      </c>
      <c r="K3631" s="25" t="str">
        <f t="shared" si="47"/>
        <v/>
      </c>
      <c r="L3631" s="25" t="str">
        <f t="shared" si="48"/>
        <v/>
      </c>
      <c r="M3631" s="25"/>
      <c r="O3631" s="26" t="s">
        <v>51</v>
      </c>
    </row>
    <row r="3632" ht="15.75" customHeight="1">
      <c r="A3632" s="25" t="str">
        <f>IFERROR(__xludf.DUMMYFUNCTION("IF(B3632="""","""",RIGHT(REGEXREPLACE(B3632&amp;"""",""[^0-9]"",""""),9))"),"773076125")</f>
        <v>773076125</v>
      </c>
      <c r="B3632" s="52">
        <v>7.73076125E8</v>
      </c>
      <c r="C3632" s="28" t="s">
        <v>3686</v>
      </c>
      <c r="D3632" s="26" t="s">
        <v>82</v>
      </c>
      <c r="E3632" s="31">
        <v>46231.0</v>
      </c>
      <c r="F3632" s="26" t="s">
        <v>205</v>
      </c>
      <c r="G3632" s="26">
        <v>11.0</v>
      </c>
      <c r="I3632" s="26" t="s">
        <v>42</v>
      </c>
      <c r="J3632" s="25" t="str">
        <f t="shared" si="46"/>
        <v>No</v>
      </c>
      <c r="K3632" s="25" t="str">
        <f t="shared" si="47"/>
        <v/>
      </c>
      <c r="L3632" s="25" t="str">
        <f t="shared" si="48"/>
        <v/>
      </c>
      <c r="M3632" s="25"/>
      <c r="O3632" s="25"/>
    </row>
    <row r="3633" ht="15.75" customHeight="1">
      <c r="A3633" s="25" t="str">
        <f>IFERROR(__xludf.DUMMYFUNCTION("IF(B3633="""","""",RIGHT(REGEXREPLACE(B3633&amp;"""",""[^0-9]"",""""),9))"),"714430548")</f>
        <v>714430548</v>
      </c>
      <c r="B3633" s="52">
        <v>7.14430548E8</v>
      </c>
      <c r="C3633" s="28" t="s">
        <v>2259</v>
      </c>
      <c r="D3633" s="26" t="s">
        <v>56</v>
      </c>
      <c r="E3633" s="31">
        <v>46231.0</v>
      </c>
      <c r="F3633" s="26" t="s">
        <v>46</v>
      </c>
      <c r="G3633" s="26">
        <v>11.0</v>
      </c>
      <c r="I3633" s="26" t="s">
        <v>42</v>
      </c>
      <c r="J3633" s="25" t="str">
        <f t="shared" si="46"/>
        <v>No</v>
      </c>
      <c r="K3633" s="25" t="str">
        <f t="shared" si="47"/>
        <v/>
      </c>
      <c r="L3633" s="25" t="str">
        <f t="shared" si="48"/>
        <v/>
      </c>
      <c r="M3633" s="25"/>
      <c r="O3633" s="25"/>
    </row>
    <row r="3634" ht="15.75" customHeight="1">
      <c r="A3634" s="25" t="str">
        <f>IFERROR(__xludf.DUMMYFUNCTION("IF(B3634="""","""",RIGHT(REGEXREPLACE(B3634&amp;"""",""[^0-9]"",""""),9))"),"712027829")</f>
        <v>712027829</v>
      </c>
      <c r="B3634" s="52">
        <v>7.12027829E8</v>
      </c>
      <c r="C3634" s="28" t="s">
        <v>3687</v>
      </c>
      <c r="D3634" s="26" t="s">
        <v>64</v>
      </c>
      <c r="E3634" s="31">
        <v>46231.0</v>
      </c>
      <c r="F3634" s="26" t="s">
        <v>205</v>
      </c>
      <c r="G3634" s="26">
        <v>11.0</v>
      </c>
      <c r="I3634" s="26" t="s">
        <v>42</v>
      </c>
      <c r="J3634" s="25" t="str">
        <f t="shared" si="46"/>
        <v>No</v>
      </c>
      <c r="K3634" s="25" t="str">
        <f t="shared" si="47"/>
        <v/>
      </c>
      <c r="L3634" s="25" t="str">
        <f t="shared" si="48"/>
        <v/>
      </c>
      <c r="M3634" s="25"/>
      <c r="O3634" s="25"/>
    </row>
    <row r="3635" ht="15.75" customHeight="1">
      <c r="A3635" s="25" t="str">
        <f>IFERROR(__xludf.DUMMYFUNCTION("IF(B3635="""","""",RIGHT(REGEXREPLACE(B3635&amp;"""",""[^0-9]"",""""),9))"),"717763107")</f>
        <v>717763107</v>
      </c>
      <c r="B3635" s="52">
        <v>7.17763107E8</v>
      </c>
      <c r="C3635" s="28" t="s">
        <v>3688</v>
      </c>
      <c r="D3635" s="26" t="s">
        <v>82</v>
      </c>
      <c r="E3635" s="31">
        <v>46231.0</v>
      </c>
      <c r="F3635" s="26" t="s">
        <v>704</v>
      </c>
      <c r="G3635" s="26">
        <v>11.0</v>
      </c>
      <c r="I3635" s="26" t="s">
        <v>42</v>
      </c>
      <c r="J3635" s="25" t="str">
        <f t="shared" si="46"/>
        <v>No</v>
      </c>
      <c r="K3635" s="25" t="str">
        <f t="shared" si="47"/>
        <v/>
      </c>
      <c r="L3635" s="25" t="str">
        <f t="shared" si="48"/>
        <v/>
      </c>
      <c r="M3635" s="25"/>
      <c r="O3635" s="25"/>
    </row>
    <row r="3636" ht="15.75" customHeight="1">
      <c r="A3636" s="25" t="str">
        <f>IFERROR(__xludf.DUMMYFUNCTION("IF(B3636="""","""",RIGHT(REGEXREPLACE(B3636&amp;"""",""[^0-9]"",""""),9))"),"742511125")</f>
        <v>742511125</v>
      </c>
      <c r="B3636" s="26">
        <v>7.42511125E8</v>
      </c>
      <c r="C3636" s="28" t="s">
        <v>3689</v>
      </c>
      <c r="D3636" s="26" t="s">
        <v>37</v>
      </c>
      <c r="E3636" s="31">
        <v>46231.0</v>
      </c>
      <c r="F3636" s="26" t="s">
        <v>41</v>
      </c>
      <c r="I3636" s="26" t="s">
        <v>42</v>
      </c>
      <c r="J3636" s="25" t="str">
        <f t="shared" si="46"/>
        <v>No</v>
      </c>
      <c r="K3636" s="25" t="str">
        <f t="shared" si="47"/>
        <v/>
      </c>
      <c r="L3636" s="25" t="str">
        <f t="shared" si="48"/>
        <v/>
      </c>
      <c r="M3636" s="25"/>
      <c r="O3636" s="25"/>
    </row>
    <row r="3637" ht="15.75" customHeight="1">
      <c r="A3637" s="25" t="str">
        <f>IFERROR(__xludf.DUMMYFUNCTION("IF(B3637="""","""",RIGHT(REGEXREPLACE(B3637&amp;"""",""[^0-9]"",""""),9))"),"778618644")</f>
        <v>778618644</v>
      </c>
      <c r="B3637" s="52">
        <v>7.78618644E8</v>
      </c>
      <c r="C3637" s="28" t="s">
        <v>3690</v>
      </c>
      <c r="D3637" s="26" t="s">
        <v>45</v>
      </c>
      <c r="E3637" s="31">
        <v>46231.0</v>
      </c>
      <c r="F3637" s="26" t="s">
        <v>41</v>
      </c>
      <c r="G3637" s="26">
        <v>11.0</v>
      </c>
      <c r="I3637" s="26" t="s">
        <v>42</v>
      </c>
      <c r="J3637" s="25" t="str">
        <f t="shared" si="46"/>
        <v>No</v>
      </c>
      <c r="K3637" s="25" t="str">
        <f t="shared" si="47"/>
        <v/>
      </c>
      <c r="L3637" s="25" t="str">
        <f t="shared" si="48"/>
        <v/>
      </c>
      <c r="M3637" s="25"/>
      <c r="O3637" s="25"/>
    </row>
    <row r="3638" ht="15.75" customHeight="1">
      <c r="A3638" s="25" t="str">
        <f>IFERROR(__xludf.DUMMYFUNCTION("IF(B3638="""","""",RIGHT(REGEXREPLACE(B3638&amp;"""",""[^0-9]"",""""),9))"),"776408963")</f>
        <v>776408963</v>
      </c>
      <c r="B3638" s="52">
        <v>7.76408963E8</v>
      </c>
      <c r="C3638" s="28" t="s">
        <v>2878</v>
      </c>
      <c r="D3638" s="26" t="s">
        <v>64</v>
      </c>
      <c r="E3638" s="31">
        <v>46231.0</v>
      </c>
      <c r="F3638" s="26" t="s">
        <v>46</v>
      </c>
      <c r="G3638" s="26">
        <v>10.0</v>
      </c>
      <c r="I3638" s="26" t="s">
        <v>42</v>
      </c>
      <c r="J3638" s="25" t="str">
        <f t="shared" si="46"/>
        <v>No</v>
      </c>
      <c r="K3638" s="25" t="str">
        <f t="shared" si="47"/>
        <v/>
      </c>
      <c r="L3638" s="25" t="str">
        <f t="shared" si="48"/>
        <v/>
      </c>
      <c r="M3638" s="25"/>
      <c r="O3638" s="25"/>
    </row>
    <row r="3639" ht="15.75" customHeight="1">
      <c r="A3639" s="25" t="str">
        <f>IFERROR(__xludf.DUMMYFUNCTION("IF(B3639="""","""",RIGHT(REGEXREPLACE(B3639&amp;"""",""[^0-9]"",""""),9))"),"762313700")</f>
        <v>762313700</v>
      </c>
      <c r="B3639" s="52">
        <v>7.623137E8</v>
      </c>
      <c r="C3639" s="28" t="s">
        <v>3691</v>
      </c>
      <c r="D3639" s="26" t="s">
        <v>82</v>
      </c>
      <c r="E3639" s="31">
        <v>46231.0</v>
      </c>
      <c r="F3639" s="26" t="s">
        <v>41</v>
      </c>
      <c r="I3639" s="26" t="s">
        <v>42</v>
      </c>
      <c r="J3639" s="25" t="str">
        <f t="shared" si="46"/>
        <v>No</v>
      </c>
      <c r="K3639" s="25" t="str">
        <f t="shared" si="47"/>
        <v/>
      </c>
      <c r="L3639" s="25" t="str">
        <f t="shared" si="48"/>
        <v/>
      </c>
      <c r="M3639" s="25"/>
      <c r="O3639" s="25"/>
    </row>
    <row r="3640" ht="15.75" customHeight="1">
      <c r="A3640" s="25" t="str">
        <f>IFERROR(__xludf.DUMMYFUNCTION("IF(B3640="""","""",RIGHT(REGEXREPLACE(B3640&amp;"""",""[^0-9]"",""""),9))"),"771129528")</f>
        <v>771129528</v>
      </c>
      <c r="B3640" s="52">
        <v>7.71129528E8</v>
      </c>
      <c r="C3640" s="28" t="s">
        <v>3692</v>
      </c>
      <c r="D3640" s="26" t="s">
        <v>49</v>
      </c>
      <c r="E3640" s="31">
        <v>46231.0</v>
      </c>
      <c r="F3640" s="26" t="s">
        <v>41</v>
      </c>
      <c r="G3640" s="26">
        <v>11.0</v>
      </c>
      <c r="I3640" s="26" t="s">
        <v>42</v>
      </c>
      <c r="J3640" s="25" t="str">
        <f t="shared" si="46"/>
        <v>No</v>
      </c>
      <c r="K3640" s="25" t="str">
        <f t="shared" si="47"/>
        <v/>
      </c>
      <c r="L3640" s="25" t="str">
        <f t="shared" si="48"/>
        <v/>
      </c>
      <c r="M3640" s="25"/>
      <c r="O3640" s="25"/>
    </row>
    <row r="3641" ht="15.75" customHeight="1">
      <c r="A3641" s="25" t="str">
        <f>IFERROR(__xludf.DUMMYFUNCTION("IF(B3641="""","""",RIGHT(REGEXREPLACE(B3641&amp;"""",""[^0-9]"",""""),9))"),"766435124")</f>
        <v>766435124</v>
      </c>
      <c r="B3641" s="52">
        <v>7.66435124E8</v>
      </c>
      <c r="C3641" s="28" t="s">
        <v>3693</v>
      </c>
      <c r="D3641" s="26" t="s">
        <v>45</v>
      </c>
      <c r="E3641" s="31">
        <v>46231.0</v>
      </c>
      <c r="F3641" s="26" t="s">
        <v>41</v>
      </c>
      <c r="I3641" s="26" t="s">
        <v>42</v>
      </c>
      <c r="J3641" s="25" t="str">
        <f t="shared" si="46"/>
        <v>No</v>
      </c>
      <c r="K3641" s="25" t="str">
        <f t="shared" si="47"/>
        <v/>
      </c>
      <c r="L3641" s="25" t="str">
        <f t="shared" si="48"/>
        <v/>
      </c>
      <c r="M3641" s="25"/>
      <c r="O3641" s="25"/>
    </row>
    <row r="3642" ht="15.75" customHeight="1">
      <c r="A3642" s="25" t="str">
        <f>IFERROR(__xludf.DUMMYFUNCTION("IF(B3642="""","""",RIGHT(REGEXREPLACE(B3642&amp;"""",""[^0-9]"",""""),9))"),"724506763")</f>
        <v>724506763</v>
      </c>
      <c r="B3642" s="52">
        <v>7.24506763E8</v>
      </c>
      <c r="C3642" s="28" t="s">
        <v>3694</v>
      </c>
      <c r="D3642" s="26" t="s">
        <v>82</v>
      </c>
      <c r="E3642" s="31">
        <v>46231.0</v>
      </c>
      <c r="F3642" s="26" t="s">
        <v>41</v>
      </c>
      <c r="G3642" s="26">
        <v>11.0</v>
      </c>
      <c r="I3642" s="26" t="s">
        <v>42</v>
      </c>
      <c r="J3642" s="25" t="str">
        <f t="shared" si="46"/>
        <v>No</v>
      </c>
      <c r="K3642" s="25" t="str">
        <f t="shared" si="47"/>
        <v/>
      </c>
      <c r="L3642" s="25" t="str">
        <f t="shared" si="48"/>
        <v/>
      </c>
      <c r="M3642" s="25"/>
      <c r="O3642" s="25"/>
    </row>
    <row r="3643" ht="15.75" customHeight="1">
      <c r="A3643" s="25" t="str">
        <f>IFERROR(__xludf.DUMMYFUNCTION("IF(B3643="""","""",RIGHT(REGEXREPLACE(B3643&amp;"""",""[^0-9]"",""""),9))"),"717453714")</f>
        <v>717453714</v>
      </c>
      <c r="B3643" s="52">
        <v>7.17453714E8</v>
      </c>
      <c r="C3643" s="28" t="s">
        <v>3695</v>
      </c>
      <c r="D3643" s="26" t="s">
        <v>45</v>
      </c>
      <c r="E3643" s="31">
        <v>46231.0</v>
      </c>
      <c r="F3643" s="26" t="s">
        <v>46</v>
      </c>
      <c r="G3643" s="26">
        <v>10.0</v>
      </c>
      <c r="I3643" s="26" t="s">
        <v>42</v>
      </c>
      <c r="J3643" s="25" t="str">
        <f t="shared" si="46"/>
        <v>No</v>
      </c>
      <c r="K3643" s="25" t="str">
        <f t="shared" si="47"/>
        <v/>
      </c>
      <c r="L3643" s="25" t="str">
        <f t="shared" si="48"/>
        <v/>
      </c>
      <c r="M3643" s="25"/>
      <c r="O3643" s="25"/>
    </row>
    <row r="3644" ht="15.75" customHeight="1">
      <c r="A3644" s="25" t="str">
        <f>IFERROR(__xludf.DUMMYFUNCTION("IF(B3644="""","""",RIGHT(REGEXREPLACE(B3644&amp;"""",""[^0-9]"",""""),9))"),"776070093")</f>
        <v>776070093</v>
      </c>
      <c r="B3644" s="52">
        <v>7.76070093E8</v>
      </c>
      <c r="C3644" s="28" t="s">
        <v>3696</v>
      </c>
      <c r="D3644" s="26" t="s">
        <v>49</v>
      </c>
      <c r="E3644" s="31">
        <v>46231.0</v>
      </c>
      <c r="F3644" s="26" t="s">
        <v>46</v>
      </c>
      <c r="H3644" s="26" t="s">
        <v>3697</v>
      </c>
      <c r="I3644" s="26" t="s">
        <v>42</v>
      </c>
      <c r="J3644" s="25" t="str">
        <f t="shared" si="46"/>
        <v>No</v>
      </c>
      <c r="K3644" s="25" t="str">
        <f t="shared" si="47"/>
        <v/>
      </c>
      <c r="L3644" s="25" t="str">
        <f t="shared" si="48"/>
        <v/>
      </c>
      <c r="M3644" s="25"/>
      <c r="O3644" s="25"/>
    </row>
    <row r="3645" ht="15.75" customHeight="1">
      <c r="A3645" s="25" t="str">
        <f>IFERROR(__xludf.DUMMYFUNCTION("IF(B3645="""","""",RIGHT(REGEXREPLACE(B3645&amp;"""",""[^0-9]"",""""),9))"),"775791930")</f>
        <v>775791930</v>
      </c>
      <c r="B3645" s="26">
        <v>7.7579193E8</v>
      </c>
      <c r="C3645" s="28" t="s">
        <v>3698</v>
      </c>
      <c r="D3645" s="26" t="s">
        <v>37</v>
      </c>
      <c r="E3645" s="31">
        <v>46231.0</v>
      </c>
      <c r="F3645" s="26" t="s">
        <v>46</v>
      </c>
      <c r="G3645" s="26">
        <v>11.0</v>
      </c>
      <c r="I3645" s="26" t="s">
        <v>42</v>
      </c>
      <c r="J3645" s="25" t="str">
        <f t="shared" si="46"/>
        <v>No</v>
      </c>
      <c r="K3645" s="25" t="str">
        <f t="shared" si="47"/>
        <v/>
      </c>
      <c r="L3645" s="25" t="str">
        <f t="shared" si="48"/>
        <v/>
      </c>
      <c r="M3645" s="25"/>
      <c r="O3645" s="26" t="s">
        <v>51</v>
      </c>
    </row>
    <row r="3646" ht="15.75" customHeight="1">
      <c r="A3646" s="25" t="str">
        <f>IFERROR(__xludf.DUMMYFUNCTION("IF(B3646="""","""",RIGHT(REGEXREPLACE(B3646&amp;"""",""[^0-9]"",""""),9))"),"766448963")</f>
        <v>766448963</v>
      </c>
      <c r="B3646" s="52">
        <v>7.66448963E8</v>
      </c>
      <c r="C3646" s="28" t="s">
        <v>3699</v>
      </c>
      <c r="D3646" s="26" t="s">
        <v>64</v>
      </c>
      <c r="E3646" s="31">
        <v>46231.0</v>
      </c>
      <c r="F3646" s="26" t="s">
        <v>46</v>
      </c>
      <c r="G3646" s="26">
        <v>10.0</v>
      </c>
      <c r="I3646" s="26" t="s">
        <v>42</v>
      </c>
      <c r="J3646" s="25" t="str">
        <f t="shared" si="46"/>
        <v>No</v>
      </c>
      <c r="K3646" s="25" t="str">
        <f t="shared" si="47"/>
        <v/>
      </c>
      <c r="L3646" s="25" t="str">
        <f t="shared" si="48"/>
        <v/>
      </c>
      <c r="M3646" s="25"/>
      <c r="O3646" s="25"/>
    </row>
    <row r="3647" ht="15.75" customHeight="1">
      <c r="A3647" s="25" t="str">
        <f>IFERROR(__xludf.DUMMYFUNCTION("IF(B3647="""","""",RIGHT(REGEXREPLACE(B3647&amp;"""",""[^0-9]"",""""),9))"),"764758228")</f>
        <v>764758228</v>
      </c>
      <c r="B3647" s="52">
        <v>7.64758228E8</v>
      </c>
      <c r="C3647" s="28" t="s">
        <v>3698</v>
      </c>
      <c r="D3647" s="26" t="s">
        <v>82</v>
      </c>
      <c r="E3647" s="31">
        <v>46231.0</v>
      </c>
      <c r="F3647" s="26" t="s">
        <v>704</v>
      </c>
      <c r="I3647" s="26" t="s">
        <v>42</v>
      </c>
      <c r="J3647" s="25" t="str">
        <f t="shared" si="46"/>
        <v>No</v>
      </c>
      <c r="K3647" s="25" t="str">
        <f t="shared" si="47"/>
        <v/>
      </c>
      <c r="L3647" s="25" t="str">
        <f t="shared" si="48"/>
        <v/>
      </c>
      <c r="M3647" s="25"/>
      <c r="O3647" s="25"/>
    </row>
    <row r="3648" ht="15.75" customHeight="1">
      <c r="A3648" s="25" t="str">
        <f>IFERROR(__xludf.DUMMYFUNCTION("IF(B3648="""","""",RIGHT(REGEXREPLACE(B3648&amp;"""",""[^0-9]"",""""),9))"),"784442062")</f>
        <v>784442062</v>
      </c>
      <c r="B3648" s="26">
        <v>7.84442062E8</v>
      </c>
      <c r="C3648" s="28" t="s">
        <v>3700</v>
      </c>
      <c r="D3648" s="26" t="s">
        <v>37</v>
      </c>
      <c r="E3648" s="31">
        <v>46231.0</v>
      </c>
      <c r="F3648" s="26" t="s">
        <v>41</v>
      </c>
      <c r="I3648" s="26" t="s">
        <v>42</v>
      </c>
      <c r="J3648" s="25" t="str">
        <f t="shared" si="46"/>
        <v>No</v>
      </c>
      <c r="K3648" s="25" t="str">
        <f t="shared" si="47"/>
        <v/>
      </c>
      <c r="L3648" s="25" t="str">
        <f t="shared" si="48"/>
        <v/>
      </c>
      <c r="M3648" s="25"/>
      <c r="O3648" s="25"/>
    </row>
    <row r="3649" ht="15.75" customHeight="1">
      <c r="A3649" s="25" t="str">
        <f>IFERROR(__xludf.DUMMYFUNCTION("IF(B3649="""","""",RIGHT(REGEXREPLACE(B3649&amp;"""",""[^0-9]"",""""),9))"),"760873809")</f>
        <v>760873809</v>
      </c>
      <c r="B3649" s="52">
        <v>7.60873809E8</v>
      </c>
      <c r="C3649" s="28" t="s">
        <v>3701</v>
      </c>
      <c r="D3649" s="26" t="s">
        <v>45</v>
      </c>
      <c r="E3649" s="31">
        <v>46231.0</v>
      </c>
      <c r="F3649" s="26" t="s">
        <v>46</v>
      </c>
      <c r="G3649" s="26">
        <v>11.0</v>
      </c>
      <c r="I3649" s="26" t="s">
        <v>42</v>
      </c>
      <c r="J3649" s="25" t="str">
        <f t="shared" si="46"/>
        <v>No</v>
      </c>
      <c r="K3649" s="25" t="str">
        <f t="shared" si="47"/>
        <v/>
      </c>
      <c r="L3649" s="25" t="str">
        <f t="shared" si="48"/>
        <v/>
      </c>
      <c r="M3649" s="25"/>
      <c r="O3649" s="25"/>
    </row>
    <row r="3650" ht="15.75" customHeight="1">
      <c r="A3650" s="25" t="str">
        <f>IFERROR(__xludf.DUMMYFUNCTION("IF(B3650="""","""",RIGHT(REGEXREPLACE(B3650&amp;"""",""[^0-9]"",""""),9))"),"779173491")</f>
        <v>779173491</v>
      </c>
      <c r="B3650" s="52">
        <v>7.79173491E8</v>
      </c>
      <c r="C3650" s="28" t="s">
        <v>3702</v>
      </c>
      <c r="D3650" s="26" t="s">
        <v>49</v>
      </c>
      <c r="E3650" s="31">
        <v>46231.0</v>
      </c>
      <c r="F3650" s="26" t="s">
        <v>46</v>
      </c>
      <c r="G3650" s="26">
        <v>11.0</v>
      </c>
      <c r="I3650" s="26" t="s">
        <v>42</v>
      </c>
      <c r="J3650" s="25" t="str">
        <f t="shared" si="46"/>
        <v>No</v>
      </c>
      <c r="K3650" s="25" t="str">
        <f t="shared" si="47"/>
        <v/>
      </c>
      <c r="L3650" s="25" t="str">
        <f t="shared" si="48"/>
        <v/>
      </c>
      <c r="M3650" s="25"/>
      <c r="O3650" s="25"/>
    </row>
    <row r="3651" ht="15.75" customHeight="1">
      <c r="A3651" s="25" t="str">
        <f>IFERROR(__xludf.DUMMYFUNCTION("IF(B3651="""","""",RIGHT(REGEXREPLACE(B3651&amp;"""",""[^0-9]"",""""),9))"),"764314460")</f>
        <v>764314460</v>
      </c>
      <c r="B3651" s="26">
        <v>7.6431446E8</v>
      </c>
      <c r="C3651" s="28" t="s">
        <v>3703</v>
      </c>
      <c r="D3651" s="26" t="s">
        <v>37</v>
      </c>
      <c r="E3651" s="31">
        <v>46231.0</v>
      </c>
      <c r="F3651" s="26" t="s">
        <v>46</v>
      </c>
      <c r="G3651" s="26">
        <v>9.0</v>
      </c>
      <c r="H3651" s="26" t="s">
        <v>483</v>
      </c>
      <c r="I3651" s="26" t="s">
        <v>42</v>
      </c>
      <c r="J3651" s="25" t="str">
        <f t="shared" si="46"/>
        <v>No</v>
      </c>
      <c r="K3651" s="25" t="str">
        <f t="shared" si="47"/>
        <v/>
      </c>
      <c r="L3651" s="25" t="str">
        <f t="shared" si="48"/>
        <v/>
      </c>
      <c r="M3651" s="25"/>
      <c r="O3651" s="26" t="s">
        <v>51</v>
      </c>
    </row>
    <row r="3652" ht="15.75" customHeight="1">
      <c r="A3652" s="25" t="str">
        <f>IFERROR(__xludf.DUMMYFUNCTION("IF(B3652="""","""",RIGHT(REGEXREPLACE(B3652&amp;"""",""[^0-9]"",""""),9))"),"717984813")</f>
        <v>717984813</v>
      </c>
      <c r="B3652" s="52">
        <v>7.17984813E8</v>
      </c>
      <c r="C3652" s="28" t="s">
        <v>3704</v>
      </c>
      <c r="D3652" s="26" t="s">
        <v>82</v>
      </c>
      <c r="E3652" s="31">
        <v>46231.0</v>
      </c>
      <c r="F3652" s="26" t="s">
        <v>125</v>
      </c>
      <c r="G3652" s="26">
        <v>11.0</v>
      </c>
      <c r="I3652" s="26" t="s">
        <v>42</v>
      </c>
      <c r="J3652" s="25" t="str">
        <f t="shared" si="46"/>
        <v>No</v>
      </c>
      <c r="K3652" s="25" t="str">
        <f t="shared" si="47"/>
        <v/>
      </c>
      <c r="L3652" s="25" t="str">
        <f t="shared" si="48"/>
        <v/>
      </c>
      <c r="M3652" s="25"/>
      <c r="O3652" s="25"/>
    </row>
    <row r="3653" ht="15.75" customHeight="1">
      <c r="A3653" s="25" t="str">
        <f>IFERROR(__xludf.DUMMYFUNCTION("IF(B3653="""","""",RIGHT(REGEXREPLACE(B3653&amp;"""",""[^0-9]"",""""),9))"),"759876433")</f>
        <v>759876433</v>
      </c>
      <c r="B3653" s="26">
        <v>7.59876433E8</v>
      </c>
      <c r="C3653" s="28" t="s">
        <v>3705</v>
      </c>
      <c r="D3653" s="26" t="s">
        <v>37</v>
      </c>
      <c r="E3653" s="31">
        <v>46231.0</v>
      </c>
      <c r="F3653" s="26" t="s">
        <v>205</v>
      </c>
      <c r="G3653" s="26">
        <v>11.0</v>
      </c>
      <c r="I3653" s="26" t="s">
        <v>42</v>
      </c>
      <c r="J3653" s="25" t="str">
        <f t="shared" si="46"/>
        <v>No</v>
      </c>
      <c r="K3653" s="25" t="str">
        <f t="shared" si="47"/>
        <v/>
      </c>
      <c r="L3653" s="25" t="str">
        <f t="shared" si="48"/>
        <v/>
      </c>
      <c r="M3653" s="25"/>
      <c r="O3653" s="25"/>
    </row>
    <row r="3654" ht="15.75" customHeight="1">
      <c r="A3654" s="25" t="str">
        <f>IFERROR(__xludf.DUMMYFUNCTION("IF(B3654="""","""",RIGHT(REGEXREPLACE(B3654&amp;"""",""[^0-9]"",""""),9))"),"714431867")</f>
        <v>714431867</v>
      </c>
      <c r="B3654" s="52">
        <v>7.14431867E8</v>
      </c>
      <c r="C3654" s="28" t="s">
        <v>3706</v>
      </c>
      <c r="D3654" s="26" t="s">
        <v>56</v>
      </c>
      <c r="E3654" s="31">
        <v>46231.0</v>
      </c>
      <c r="F3654" s="26" t="s">
        <v>205</v>
      </c>
      <c r="G3654" s="26">
        <v>11.0</v>
      </c>
      <c r="I3654" s="26" t="s">
        <v>42</v>
      </c>
      <c r="J3654" s="25" t="str">
        <f t="shared" si="46"/>
        <v>No</v>
      </c>
      <c r="K3654" s="25" t="str">
        <f t="shared" si="47"/>
        <v/>
      </c>
      <c r="L3654" s="25" t="str">
        <f t="shared" si="48"/>
        <v/>
      </c>
      <c r="M3654" s="25"/>
      <c r="O3654" s="25"/>
    </row>
    <row r="3655" ht="15.75" customHeight="1">
      <c r="A3655" s="25" t="str">
        <f>IFERROR(__xludf.DUMMYFUNCTION("IF(B3655="""","""",RIGHT(REGEXREPLACE(B3655&amp;"""",""[^0-9]"",""""),9))"),"704654160")</f>
        <v>704654160</v>
      </c>
      <c r="B3655" s="52">
        <v>7.0465416E8</v>
      </c>
      <c r="C3655" s="28" t="s">
        <v>3707</v>
      </c>
      <c r="D3655" s="26" t="s">
        <v>82</v>
      </c>
      <c r="E3655" s="31">
        <v>46231.0</v>
      </c>
      <c r="F3655" s="26" t="s">
        <v>125</v>
      </c>
      <c r="G3655" s="26">
        <v>10.0</v>
      </c>
      <c r="I3655" s="26" t="s">
        <v>42</v>
      </c>
      <c r="J3655" s="25" t="str">
        <f t="shared" si="46"/>
        <v>No</v>
      </c>
      <c r="K3655" s="25" t="str">
        <f t="shared" si="47"/>
        <v/>
      </c>
      <c r="L3655" s="25" t="str">
        <f t="shared" si="48"/>
        <v/>
      </c>
      <c r="M3655" s="25"/>
      <c r="O3655" s="25"/>
    </row>
    <row r="3656" ht="15.75" customHeight="1">
      <c r="A3656" s="25" t="str">
        <f>IFERROR(__xludf.DUMMYFUNCTION("IF(B3656="""","""",RIGHT(REGEXREPLACE(B3656&amp;"""",""[^0-9]"",""""),9))"),"716532944")</f>
        <v>716532944</v>
      </c>
      <c r="B3656" s="52">
        <v>7.16532944E8</v>
      </c>
      <c r="C3656" s="28" t="s">
        <v>3708</v>
      </c>
      <c r="D3656" s="26" t="s">
        <v>45</v>
      </c>
      <c r="E3656" s="31">
        <v>46231.0</v>
      </c>
      <c r="F3656" s="26" t="s">
        <v>41</v>
      </c>
      <c r="G3656" s="26">
        <v>11.0</v>
      </c>
      <c r="I3656" s="26" t="s">
        <v>42</v>
      </c>
      <c r="J3656" s="25" t="str">
        <f t="shared" si="46"/>
        <v>No</v>
      </c>
      <c r="K3656" s="25" t="str">
        <f t="shared" si="47"/>
        <v/>
      </c>
      <c r="L3656" s="25" t="str">
        <f t="shared" si="48"/>
        <v/>
      </c>
      <c r="M3656" s="25"/>
      <c r="O3656" s="25"/>
    </row>
    <row r="3657" ht="15.75" customHeight="1">
      <c r="A3657" s="25" t="str">
        <f>IFERROR(__xludf.DUMMYFUNCTION("IF(B3657="""","""",RIGHT(REGEXREPLACE(B3657&amp;"""",""[^0-9]"",""""),9))"),"701755835")</f>
        <v>701755835</v>
      </c>
      <c r="B3657" s="26">
        <v>7.01755835E8</v>
      </c>
      <c r="C3657" s="28" t="s">
        <v>3709</v>
      </c>
      <c r="D3657" s="26" t="s">
        <v>37</v>
      </c>
      <c r="E3657" s="31">
        <v>46231.0</v>
      </c>
      <c r="F3657" s="26" t="s">
        <v>41</v>
      </c>
      <c r="I3657" s="26" t="s">
        <v>42</v>
      </c>
      <c r="J3657" s="25" t="str">
        <f t="shared" si="46"/>
        <v>No</v>
      </c>
      <c r="K3657" s="25" t="str">
        <f t="shared" si="47"/>
        <v/>
      </c>
      <c r="L3657" s="25" t="str">
        <f t="shared" si="48"/>
        <v/>
      </c>
      <c r="M3657" s="25"/>
      <c r="O3657" s="25"/>
    </row>
    <row r="3658" ht="15.75" customHeight="1">
      <c r="A3658" s="25" t="str">
        <f>IFERROR(__xludf.DUMMYFUNCTION("IF(B3658="""","""",RIGHT(REGEXREPLACE(B3658&amp;"""",""[^0-9]"",""""),9))"),"779959335")</f>
        <v>779959335</v>
      </c>
      <c r="B3658" s="52">
        <v>7.79959335E8</v>
      </c>
      <c r="C3658" s="28" t="s">
        <v>3710</v>
      </c>
      <c r="D3658" s="26" t="s">
        <v>64</v>
      </c>
      <c r="E3658" s="31">
        <v>46231.0</v>
      </c>
      <c r="F3658" s="26" t="s">
        <v>41</v>
      </c>
      <c r="I3658" s="26" t="s">
        <v>42</v>
      </c>
      <c r="J3658" s="25" t="str">
        <f t="shared" si="46"/>
        <v>No</v>
      </c>
      <c r="K3658" s="25" t="str">
        <f t="shared" si="47"/>
        <v/>
      </c>
      <c r="L3658" s="25" t="str">
        <f t="shared" si="48"/>
        <v/>
      </c>
      <c r="M3658" s="25"/>
      <c r="O3658" s="25"/>
    </row>
    <row r="3659" ht="15.75" customHeight="1">
      <c r="A3659" s="25" t="str">
        <f>IFERROR(__xludf.DUMMYFUNCTION("IF(B3659="""","""",RIGHT(REGEXREPLACE(B3659&amp;"""",""[^0-9]"",""""),9))"),"760196059")</f>
        <v>760196059</v>
      </c>
      <c r="B3659" s="52">
        <v>7.60196059E8</v>
      </c>
      <c r="C3659" s="28" t="s">
        <v>3711</v>
      </c>
      <c r="D3659" s="26" t="s">
        <v>82</v>
      </c>
      <c r="E3659" s="31">
        <v>46231.0</v>
      </c>
      <c r="F3659" s="26" t="s">
        <v>41</v>
      </c>
      <c r="I3659" s="26" t="s">
        <v>42</v>
      </c>
      <c r="J3659" s="25" t="str">
        <f t="shared" si="46"/>
        <v>No</v>
      </c>
      <c r="K3659" s="25" t="str">
        <f t="shared" si="47"/>
        <v/>
      </c>
      <c r="L3659" s="25" t="str">
        <f t="shared" si="48"/>
        <v/>
      </c>
      <c r="M3659" s="25"/>
      <c r="O3659" s="25"/>
    </row>
    <row r="3660" ht="15.75" customHeight="1">
      <c r="A3660" s="25" t="str">
        <f>IFERROR(__xludf.DUMMYFUNCTION("IF(B3660="""","""",RIGHT(REGEXREPLACE(B3660&amp;"""",""[^0-9]"",""""),9))"),"761092242")</f>
        <v>761092242</v>
      </c>
      <c r="B3660" s="52">
        <v>7.61092242E8</v>
      </c>
      <c r="C3660" s="28" t="s">
        <v>3712</v>
      </c>
      <c r="D3660" s="26" t="s">
        <v>56</v>
      </c>
      <c r="E3660" s="31">
        <v>46231.0</v>
      </c>
      <c r="F3660" s="26" t="s">
        <v>46</v>
      </c>
      <c r="G3660" s="26">
        <v>9.0</v>
      </c>
      <c r="I3660" s="26" t="s">
        <v>42</v>
      </c>
      <c r="J3660" s="25" t="str">
        <f t="shared" si="46"/>
        <v>No</v>
      </c>
      <c r="K3660" s="25" t="str">
        <f t="shared" si="47"/>
        <v/>
      </c>
      <c r="L3660" s="25" t="str">
        <f t="shared" si="48"/>
        <v/>
      </c>
      <c r="M3660" s="25"/>
      <c r="O3660" s="25"/>
    </row>
    <row r="3661" ht="15.75" customHeight="1">
      <c r="A3661" s="25" t="str">
        <f>IFERROR(__xludf.DUMMYFUNCTION("IF(B3661="""","""",RIGHT(REGEXREPLACE(B3661&amp;"""",""[^0-9]"",""""),9))"),"713564966")</f>
        <v>713564966</v>
      </c>
      <c r="B3661" s="52">
        <v>7.13564966E8</v>
      </c>
      <c r="C3661" s="28" t="s">
        <v>3713</v>
      </c>
      <c r="D3661" s="26" t="s">
        <v>49</v>
      </c>
      <c r="E3661" s="31">
        <v>46231.0</v>
      </c>
      <c r="F3661" s="26" t="s">
        <v>205</v>
      </c>
      <c r="G3661" s="26">
        <v>10.0</v>
      </c>
      <c r="I3661" s="26" t="s">
        <v>42</v>
      </c>
      <c r="J3661" s="25" t="str">
        <f t="shared" si="46"/>
        <v>No</v>
      </c>
      <c r="K3661" s="25" t="str">
        <f t="shared" si="47"/>
        <v/>
      </c>
      <c r="L3661" s="25" t="str">
        <f t="shared" si="48"/>
        <v/>
      </c>
      <c r="M3661" s="25"/>
      <c r="O3661" s="25"/>
    </row>
    <row r="3662" ht="15.75" customHeight="1">
      <c r="A3662" s="25" t="str">
        <f>IFERROR(__xludf.DUMMYFUNCTION("IF(B3662="""","""",RIGHT(REGEXREPLACE(B3662&amp;"""",""[^0-9]"",""""),9))"),"728768812")</f>
        <v>728768812</v>
      </c>
      <c r="B3662" s="26">
        <v>7.28768812E8</v>
      </c>
      <c r="C3662" s="28" t="s">
        <v>3714</v>
      </c>
      <c r="D3662" s="26" t="s">
        <v>37</v>
      </c>
      <c r="E3662" s="31">
        <v>46231.0</v>
      </c>
      <c r="F3662" s="26" t="s">
        <v>41</v>
      </c>
      <c r="G3662" s="26">
        <v>10.0</v>
      </c>
      <c r="I3662" s="26" t="s">
        <v>42</v>
      </c>
      <c r="J3662" s="25" t="str">
        <f t="shared" si="46"/>
        <v>No</v>
      </c>
      <c r="K3662" s="25" t="str">
        <f t="shared" si="47"/>
        <v/>
      </c>
      <c r="L3662" s="25" t="str">
        <f t="shared" si="48"/>
        <v/>
      </c>
      <c r="M3662" s="25"/>
      <c r="O3662" s="25"/>
    </row>
    <row r="3663" ht="15.75" customHeight="1">
      <c r="A3663" s="25" t="str">
        <f>IFERROR(__xludf.DUMMYFUNCTION("IF(B3663="""","""",RIGHT(REGEXREPLACE(B3663&amp;"""",""[^0-9]"",""""),9))"),"783147061")</f>
        <v>783147061</v>
      </c>
      <c r="B3663" s="52">
        <v>7.83147061E8</v>
      </c>
      <c r="C3663" s="28" t="s">
        <v>3715</v>
      </c>
      <c r="D3663" s="26" t="s">
        <v>64</v>
      </c>
      <c r="E3663" s="31">
        <v>46231.0</v>
      </c>
      <c r="F3663" s="26" t="s">
        <v>46</v>
      </c>
      <c r="G3663" s="26">
        <v>11.0</v>
      </c>
      <c r="I3663" s="26" t="s">
        <v>42</v>
      </c>
      <c r="J3663" s="25" t="str">
        <f t="shared" si="46"/>
        <v>No</v>
      </c>
      <c r="K3663" s="25" t="str">
        <f t="shared" si="47"/>
        <v/>
      </c>
      <c r="L3663" s="25" t="str">
        <f t="shared" si="48"/>
        <v/>
      </c>
      <c r="M3663" s="25"/>
      <c r="O3663" s="25"/>
    </row>
    <row r="3664" ht="15.75" customHeight="1">
      <c r="A3664" s="25" t="str">
        <f>IFERROR(__xludf.DUMMYFUNCTION("IF(B3664="""","""",RIGHT(REGEXREPLACE(B3664&amp;"""",""[^0-9]"",""""),9))"),"760815955")</f>
        <v>760815955</v>
      </c>
      <c r="B3664" s="52">
        <v>7.60815955E8</v>
      </c>
      <c r="C3664" s="28" t="s">
        <v>3716</v>
      </c>
      <c r="D3664" s="26" t="s">
        <v>82</v>
      </c>
      <c r="E3664" s="31">
        <v>46231.0</v>
      </c>
      <c r="F3664" s="26" t="s">
        <v>46</v>
      </c>
      <c r="G3664" s="26">
        <v>11.0</v>
      </c>
      <c r="I3664" s="26" t="s">
        <v>42</v>
      </c>
      <c r="J3664" s="25" t="str">
        <f t="shared" si="46"/>
        <v>No</v>
      </c>
      <c r="K3664" s="25" t="str">
        <f t="shared" si="47"/>
        <v/>
      </c>
      <c r="L3664" s="25" t="str">
        <f t="shared" si="48"/>
        <v/>
      </c>
      <c r="M3664" s="25"/>
      <c r="O3664" s="25"/>
    </row>
    <row r="3665" ht="15.75" customHeight="1">
      <c r="A3665" s="25" t="str">
        <f>IFERROR(__xludf.DUMMYFUNCTION("IF(B3665="""","""",RIGHT(REGEXREPLACE(B3665&amp;"""",""[^0-9]"",""""),9))"),"764987857")</f>
        <v>764987857</v>
      </c>
      <c r="B3665" s="26">
        <v>7.64987857E8</v>
      </c>
      <c r="C3665" s="28" t="s">
        <v>3717</v>
      </c>
      <c r="D3665" s="26" t="s">
        <v>37</v>
      </c>
      <c r="E3665" s="31">
        <v>46231.0</v>
      </c>
      <c r="F3665" s="26" t="s">
        <v>41</v>
      </c>
      <c r="I3665" s="26" t="s">
        <v>42</v>
      </c>
      <c r="J3665" s="25" t="str">
        <f t="shared" si="46"/>
        <v>No</v>
      </c>
      <c r="K3665" s="25" t="str">
        <f t="shared" si="47"/>
        <v/>
      </c>
      <c r="L3665" s="25" t="str">
        <f t="shared" si="48"/>
        <v/>
      </c>
      <c r="M3665" s="25"/>
      <c r="O3665" s="25"/>
    </row>
    <row r="3666" ht="15.75" customHeight="1">
      <c r="A3666" s="25" t="str">
        <f>IFERROR(__xludf.DUMMYFUNCTION("IF(B3666="""","""",RIGHT(REGEXREPLACE(B3666&amp;"""",""[^0-9]"",""""),9))"),"750658169")</f>
        <v>750658169</v>
      </c>
      <c r="B3666" s="52">
        <v>7.50658169E8</v>
      </c>
      <c r="C3666" s="28" t="s">
        <v>3718</v>
      </c>
      <c r="D3666" s="26" t="s">
        <v>49</v>
      </c>
      <c r="E3666" s="31">
        <v>46231.0</v>
      </c>
      <c r="F3666" s="26" t="s">
        <v>41</v>
      </c>
      <c r="G3666" s="26">
        <v>11.0</v>
      </c>
      <c r="I3666" s="26" t="s">
        <v>42</v>
      </c>
      <c r="J3666" s="25" t="str">
        <f t="shared" si="46"/>
        <v>No</v>
      </c>
      <c r="K3666" s="25" t="str">
        <f t="shared" si="47"/>
        <v/>
      </c>
      <c r="L3666" s="25" t="str">
        <f t="shared" si="48"/>
        <v/>
      </c>
      <c r="M3666" s="25"/>
      <c r="O3666" s="25"/>
    </row>
    <row r="3667" ht="15.75" customHeight="1">
      <c r="A3667" s="25" t="str">
        <f>IFERROR(__xludf.DUMMYFUNCTION("IF(B3667="""","""",RIGHT(REGEXREPLACE(B3667&amp;"""",""[^0-9]"",""""),9))"),"778244675")</f>
        <v>778244675</v>
      </c>
      <c r="B3667" s="26">
        <v>7.78244675E8</v>
      </c>
      <c r="C3667" s="28" t="s">
        <v>3719</v>
      </c>
      <c r="D3667" s="26" t="s">
        <v>37</v>
      </c>
      <c r="E3667" s="31">
        <v>46231.0</v>
      </c>
      <c r="F3667" s="26" t="s">
        <v>46</v>
      </c>
      <c r="G3667" s="26">
        <v>11.0</v>
      </c>
      <c r="I3667" s="26" t="s">
        <v>42</v>
      </c>
      <c r="J3667" s="25" t="str">
        <f t="shared" si="46"/>
        <v>No</v>
      </c>
      <c r="K3667" s="25" t="str">
        <f t="shared" si="47"/>
        <v/>
      </c>
      <c r="L3667" s="25" t="str">
        <f t="shared" si="48"/>
        <v/>
      </c>
      <c r="M3667" s="25"/>
      <c r="O3667" s="25"/>
    </row>
    <row r="3668" ht="15.75" customHeight="1">
      <c r="A3668" s="25" t="str">
        <f>IFERROR(__xludf.DUMMYFUNCTION("IF(B3668="""","""",RIGHT(REGEXREPLACE(B3668&amp;"""",""[^0-9]"",""""),9))"),"741920941")</f>
        <v>741920941</v>
      </c>
      <c r="B3668" s="52">
        <v>7.41920941E8</v>
      </c>
      <c r="C3668" s="28" t="s">
        <v>3720</v>
      </c>
      <c r="D3668" s="26" t="s">
        <v>56</v>
      </c>
      <c r="E3668" s="31">
        <v>46231.0</v>
      </c>
      <c r="F3668" s="26" t="s">
        <v>205</v>
      </c>
      <c r="G3668" s="26">
        <v>11.0</v>
      </c>
      <c r="I3668" s="26" t="s">
        <v>42</v>
      </c>
      <c r="J3668" s="25" t="str">
        <f t="shared" si="46"/>
        <v>No</v>
      </c>
      <c r="K3668" s="25" t="str">
        <f t="shared" si="47"/>
        <v/>
      </c>
      <c r="L3668" s="25" t="str">
        <f t="shared" si="48"/>
        <v/>
      </c>
      <c r="M3668" s="25"/>
      <c r="O3668" s="25"/>
    </row>
    <row r="3669" ht="15.75" customHeight="1">
      <c r="A3669" s="25" t="str">
        <f>IFERROR(__xludf.DUMMYFUNCTION("IF(B3669="""","""",RIGHT(REGEXREPLACE(B3669&amp;"""",""[^0-9]"",""""),9))"),"755649787")</f>
        <v>755649787</v>
      </c>
      <c r="B3669" s="52">
        <v>7.55649787E8</v>
      </c>
      <c r="C3669" s="28" t="s">
        <v>3221</v>
      </c>
      <c r="D3669" s="26" t="s">
        <v>37</v>
      </c>
      <c r="E3669" s="31">
        <v>46231.0</v>
      </c>
      <c r="F3669" s="26" t="s">
        <v>41</v>
      </c>
      <c r="I3669" s="26" t="s">
        <v>42</v>
      </c>
      <c r="J3669" s="25" t="str">
        <f t="shared" si="46"/>
        <v>No</v>
      </c>
      <c r="K3669" s="25" t="str">
        <f t="shared" si="47"/>
        <v/>
      </c>
      <c r="L3669" s="25" t="str">
        <f t="shared" si="48"/>
        <v/>
      </c>
      <c r="M3669" s="25"/>
      <c r="O3669" s="25"/>
    </row>
    <row r="3670" ht="15.75" customHeight="1">
      <c r="A3670" s="25" t="str">
        <f>IFERROR(__xludf.DUMMYFUNCTION("IF(B3670="""","""",RIGHT(REGEXREPLACE(B3670&amp;"""",""[^0-9]"",""""),9))"),"775886923")</f>
        <v>775886923</v>
      </c>
      <c r="B3670" s="26">
        <v>7.75886923E8</v>
      </c>
      <c r="C3670" s="28" t="s">
        <v>3721</v>
      </c>
      <c r="D3670" s="26" t="s">
        <v>37</v>
      </c>
      <c r="E3670" s="31">
        <v>46231.0</v>
      </c>
      <c r="F3670" s="26" t="s">
        <v>46</v>
      </c>
      <c r="G3670" s="26">
        <v>12.0</v>
      </c>
      <c r="I3670" s="26" t="s">
        <v>42</v>
      </c>
      <c r="J3670" s="25" t="str">
        <f t="shared" si="46"/>
        <v>No</v>
      </c>
      <c r="K3670" s="25" t="str">
        <f t="shared" si="47"/>
        <v/>
      </c>
      <c r="L3670" s="25" t="str">
        <f t="shared" si="48"/>
        <v/>
      </c>
      <c r="M3670" s="25"/>
      <c r="O3670" s="25"/>
    </row>
    <row r="3671" ht="15.75" customHeight="1">
      <c r="A3671" s="25" t="str">
        <f>IFERROR(__xludf.DUMMYFUNCTION("IF(B3671="""","""",RIGHT(REGEXREPLACE(B3671&amp;"""",""[^0-9]"",""""),9))"),"743242788")</f>
        <v>743242788</v>
      </c>
      <c r="B3671" s="52">
        <v>7.43242788E8</v>
      </c>
      <c r="C3671" s="28" t="s">
        <v>3722</v>
      </c>
      <c r="D3671" s="26" t="s">
        <v>56</v>
      </c>
      <c r="E3671" s="31">
        <v>46231.0</v>
      </c>
      <c r="F3671" s="26" t="s">
        <v>46</v>
      </c>
      <c r="G3671" s="26">
        <v>11.0</v>
      </c>
      <c r="I3671" s="26" t="s">
        <v>42</v>
      </c>
      <c r="J3671" s="25" t="str">
        <f t="shared" si="46"/>
        <v>No</v>
      </c>
      <c r="K3671" s="25" t="str">
        <f t="shared" si="47"/>
        <v/>
      </c>
      <c r="L3671" s="25" t="str">
        <f t="shared" si="48"/>
        <v/>
      </c>
      <c r="M3671" s="25"/>
      <c r="O3671" s="25"/>
    </row>
    <row r="3672" ht="15.75" customHeight="1">
      <c r="A3672" s="25" t="str">
        <f>IFERROR(__xludf.DUMMYFUNCTION("IF(B3672="""","""",RIGHT(REGEXREPLACE(B3672&amp;"""",""[^0-9]"",""""),9))"),"767631572")</f>
        <v>767631572</v>
      </c>
      <c r="B3672" s="52">
        <v>7.67631572E8</v>
      </c>
      <c r="C3672" s="28" t="s">
        <v>3723</v>
      </c>
      <c r="D3672" s="26" t="s">
        <v>49</v>
      </c>
      <c r="E3672" s="31">
        <v>46231.0</v>
      </c>
      <c r="F3672" s="26" t="s">
        <v>46</v>
      </c>
      <c r="G3672" s="26">
        <v>11.0</v>
      </c>
      <c r="I3672" s="26" t="s">
        <v>42</v>
      </c>
      <c r="J3672" s="25" t="str">
        <f t="shared" si="46"/>
        <v>No</v>
      </c>
      <c r="K3672" s="25" t="str">
        <f t="shared" si="47"/>
        <v/>
      </c>
      <c r="L3672" s="25" t="str">
        <f t="shared" si="48"/>
        <v/>
      </c>
      <c r="M3672" s="25"/>
      <c r="O3672" s="25"/>
    </row>
    <row r="3673" ht="15.75" customHeight="1">
      <c r="A3673" s="25" t="str">
        <f>IFERROR(__xludf.DUMMYFUNCTION("IF(B3673="""","""",RIGHT(REGEXREPLACE(B3673&amp;"""",""[^0-9]"",""""),9))"),"772219716")</f>
        <v>772219716</v>
      </c>
      <c r="B3673" s="52">
        <v>7.72219716E8</v>
      </c>
      <c r="C3673" s="28" t="s">
        <v>3724</v>
      </c>
      <c r="D3673" s="26" t="s">
        <v>82</v>
      </c>
      <c r="E3673" s="31">
        <v>46231.0</v>
      </c>
      <c r="F3673" s="26" t="s">
        <v>125</v>
      </c>
      <c r="G3673" s="26">
        <v>11.0</v>
      </c>
      <c r="I3673" s="26" t="s">
        <v>42</v>
      </c>
      <c r="J3673" s="25" t="str">
        <f t="shared" si="46"/>
        <v>No</v>
      </c>
      <c r="K3673" s="25" t="str">
        <f t="shared" si="47"/>
        <v/>
      </c>
      <c r="L3673" s="25" t="str">
        <f t="shared" si="48"/>
        <v/>
      </c>
      <c r="M3673" s="25"/>
      <c r="O3673" s="25"/>
    </row>
    <row r="3674" ht="15.75" customHeight="1">
      <c r="A3674" s="25" t="str">
        <f>IFERROR(__xludf.DUMMYFUNCTION("IF(B3674="""","""",RIGHT(REGEXREPLACE(B3674&amp;"""",""[^0-9]"",""""),9))"),"759765296")</f>
        <v>759765296</v>
      </c>
      <c r="B3674" s="52">
        <v>7.59765296E8</v>
      </c>
      <c r="C3674" s="28" t="s">
        <v>3725</v>
      </c>
      <c r="D3674" s="26" t="s">
        <v>64</v>
      </c>
      <c r="E3674" s="31">
        <v>46231.0</v>
      </c>
      <c r="F3674" s="26" t="s">
        <v>46</v>
      </c>
      <c r="I3674" s="26" t="s">
        <v>42</v>
      </c>
      <c r="J3674" s="25" t="str">
        <f t="shared" si="46"/>
        <v>No</v>
      </c>
      <c r="K3674" s="25" t="str">
        <f t="shared" si="47"/>
        <v/>
      </c>
      <c r="L3674" s="25" t="str">
        <f t="shared" si="48"/>
        <v/>
      </c>
      <c r="M3674" s="25"/>
      <c r="O3674" s="25"/>
    </row>
    <row r="3675" ht="15.75" customHeight="1">
      <c r="A3675" s="25" t="str">
        <f>IFERROR(__xludf.DUMMYFUNCTION("IF(B3675="""","""",RIGHT(REGEXREPLACE(B3675&amp;"""",""[^0-9]"",""""),9))"),"768201679")</f>
        <v>768201679</v>
      </c>
      <c r="B3675" s="52">
        <v>7.68201679E8</v>
      </c>
      <c r="C3675" s="28" t="s">
        <v>3726</v>
      </c>
      <c r="D3675" s="26" t="s">
        <v>45</v>
      </c>
      <c r="E3675" s="31">
        <v>46231.0</v>
      </c>
      <c r="F3675" s="26" t="s">
        <v>46</v>
      </c>
      <c r="G3675" s="26">
        <v>11.0</v>
      </c>
      <c r="I3675" s="26" t="s">
        <v>42</v>
      </c>
      <c r="J3675" s="25" t="str">
        <f t="shared" si="46"/>
        <v>No</v>
      </c>
      <c r="K3675" s="25" t="str">
        <f t="shared" si="47"/>
        <v/>
      </c>
      <c r="L3675" s="25" t="str">
        <f t="shared" si="48"/>
        <v/>
      </c>
      <c r="M3675" s="25"/>
      <c r="O3675" s="25"/>
    </row>
    <row r="3676" ht="15.75" customHeight="1">
      <c r="A3676" s="25" t="str">
        <f>IFERROR(__xludf.DUMMYFUNCTION("IF(B3676="""","""",RIGHT(REGEXREPLACE(B3676&amp;"""",""[^0-9]"",""""),9))"),"764083506")</f>
        <v>764083506</v>
      </c>
      <c r="B3676" s="26">
        <v>7.64083506E8</v>
      </c>
      <c r="C3676" s="28" t="s">
        <v>3727</v>
      </c>
      <c r="D3676" s="26" t="s">
        <v>37</v>
      </c>
      <c r="E3676" s="31">
        <v>46231.0</v>
      </c>
      <c r="F3676" s="26" t="s">
        <v>164</v>
      </c>
      <c r="G3676" s="26">
        <v>11.0</v>
      </c>
      <c r="I3676" s="26" t="s">
        <v>42</v>
      </c>
      <c r="J3676" s="25" t="str">
        <f t="shared" si="46"/>
        <v>No</v>
      </c>
      <c r="K3676" s="25" t="str">
        <f t="shared" si="47"/>
        <v/>
      </c>
      <c r="L3676" s="25" t="str">
        <f t="shared" si="48"/>
        <v/>
      </c>
      <c r="M3676" s="25"/>
      <c r="O3676" s="25"/>
    </row>
    <row r="3677" ht="15.75" customHeight="1">
      <c r="A3677" s="25" t="str">
        <f>IFERROR(__xludf.DUMMYFUNCTION("IF(B3677="""","""",RIGHT(REGEXREPLACE(B3677&amp;"""",""[^0-9]"",""""),9))"),"770213427")</f>
        <v>770213427</v>
      </c>
      <c r="B3677" s="52">
        <v>7.70213427E8</v>
      </c>
      <c r="C3677" s="28" t="s">
        <v>3728</v>
      </c>
      <c r="D3677" s="26" t="s">
        <v>82</v>
      </c>
      <c r="E3677" s="31">
        <v>46231.0</v>
      </c>
      <c r="F3677" s="26" t="s">
        <v>46</v>
      </c>
      <c r="G3677" s="26">
        <v>11.0</v>
      </c>
      <c r="I3677" s="26" t="s">
        <v>42</v>
      </c>
      <c r="J3677" s="25" t="str">
        <f t="shared" si="46"/>
        <v>No</v>
      </c>
      <c r="K3677" s="25" t="str">
        <f t="shared" si="47"/>
        <v/>
      </c>
      <c r="L3677" s="25" t="str">
        <f t="shared" si="48"/>
        <v/>
      </c>
      <c r="M3677" s="25"/>
      <c r="O3677" s="25"/>
    </row>
    <row r="3678" ht="15.75" customHeight="1">
      <c r="A3678" s="25" t="str">
        <f>IFERROR(__xludf.DUMMYFUNCTION("IF(B3678="""","""",RIGHT(REGEXREPLACE(B3678&amp;"""",""[^0-9]"",""""),9))"),"772699315")</f>
        <v>772699315</v>
      </c>
      <c r="B3678" s="52">
        <v>7.72699315E8</v>
      </c>
      <c r="C3678" s="28" t="s">
        <v>3729</v>
      </c>
      <c r="D3678" s="26" t="s">
        <v>56</v>
      </c>
      <c r="E3678" s="31">
        <v>46231.0</v>
      </c>
      <c r="F3678" s="26" t="s">
        <v>46</v>
      </c>
      <c r="G3678" s="26">
        <v>11.0</v>
      </c>
      <c r="I3678" s="26" t="s">
        <v>42</v>
      </c>
      <c r="J3678" s="25" t="str">
        <f t="shared" si="46"/>
        <v>No</v>
      </c>
      <c r="K3678" s="25" t="str">
        <f t="shared" si="47"/>
        <v/>
      </c>
      <c r="L3678" s="25" t="str">
        <f t="shared" si="48"/>
        <v/>
      </c>
      <c r="M3678" s="25"/>
      <c r="O3678" s="25"/>
    </row>
    <row r="3679" ht="15.75" customHeight="1">
      <c r="A3679" s="25" t="str">
        <f>IFERROR(__xludf.DUMMYFUNCTION("IF(B3679="""","""",RIGHT(REGEXREPLACE(B3679&amp;"""",""[^0-9]"",""""),9))"),"766160981")</f>
        <v>766160981</v>
      </c>
      <c r="B3679" s="52">
        <v>7.66160981E8</v>
      </c>
      <c r="C3679" s="28" t="s">
        <v>3730</v>
      </c>
      <c r="D3679" s="26" t="s">
        <v>45</v>
      </c>
      <c r="E3679" s="31">
        <v>46231.0</v>
      </c>
      <c r="F3679" s="26" t="s">
        <v>46</v>
      </c>
      <c r="G3679" s="26">
        <v>11.0</v>
      </c>
      <c r="I3679" s="26" t="s">
        <v>42</v>
      </c>
      <c r="J3679" s="25" t="str">
        <f t="shared" si="46"/>
        <v>No</v>
      </c>
      <c r="K3679" s="25" t="str">
        <f t="shared" si="47"/>
        <v/>
      </c>
      <c r="L3679" s="25" t="str">
        <f t="shared" si="48"/>
        <v/>
      </c>
      <c r="M3679" s="25"/>
      <c r="O3679" s="25"/>
    </row>
    <row r="3680" ht="15.75" customHeight="1">
      <c r="A3680" s="25" t="str">
        <f>IFERROR(__xludf.DUMMYFUNCTION("IF(B3680="""","""",RIGHT(REGEXREPLACE(B3680&amp;"""",""[^0-9]"",""""),9))"),"743278401")</f>
        <v>743278401</v>
      </c>
      <c r="B3680" s="52">
        <v>7.43278401E8</v>
      </c>
      <c r="C3680" s="28" t="s">
        <v>3731</v>
      </c>
      <c r="D3680" s="26" t="s">
        <v>49</v>
      </c>
      <c r="E3680" s="31">
        <v>46231.0</v>
      </c>
      <c r="F3680" s="26" t="s">
        <v>205</v>
      </c>
      <c r="G3680" s="26">
        <v>10.0</v>
      </c>
      <c r="I3680" s="26" t="s">
        <v>42</v>
      </c>
      <c r="J3680" s="25" t="str">
        <f t="shared" si="46"/>
        <v>No</v>
      </c>
      <c r="K3680" s="25" t="str">
        <f t="shared" si="47"/>
        <v/>
      </c>
      <c r="L3680" s="25" t="str">
        <f t="shared" si="48"/>
        <v/>
      </c>
      <c r="M3680" s="25"/>
      <c r="O3680" s="25"/>
    </row>
    <row r="3681" ht="15.75" customHeight="1">
      <c r="A3681" s="25" t="str">
        <f>IFERROR(__xludf.DUMMYFUNCTION("IF(B3681="""","""",RIGHT(REGEXREPLACE(B3681&amp;"""",""[^0-9]"",""""),9))"),"775022167")</f>
        <v>775022167</v>
      </c>
      <c r="B3681" s="26">
        <v>7.75022167E8</v>
      </c>
      <c r="C3681" s="28" t="s">
        <v>3732</v>
      </c>
      <c r="D3681" s="26" t="s">
        <v>37</v>
      </c>
      <c r="E3681" s="31">
        <v>46231.0</v>
      </c>
      <c r="F3681" s="26" t="s">
        <v>46</v>
      </c>
      <c r="G3681" s="26">
        <v>11.0</v>
      </c>
      <c r="I3681" s="26" t="s">
        <v>42</v>
      </c>
      <c r="J3681" s="25" t="str">
        <f t="shared" si="46"/>
        <v>No</v>
      </c>
      <c r="K3681" s="25" t="str">
        <f t="shared" si="47"/>
        <v/>
      </c>
      <c r="L3681" s="25" t="str">
        <f t="shared" si="48"/>
        <v/>
      </c>
      <c r="M3681" s="25"/>
      <c r="O3681" s="25"/>
    </row>
    <row r="3682" ht="15.75" customHeight="1">
      <c r="A3682" s="25" t="str">
        <f>IFERROR(__xludf.DUMMYFUNCTION("IF(B3682="""","""",RIGHT(REGEXREPLACE(B3682&amp;"""",""[^0-9]"",""""),9))"),"761973018")</f>
        <v>761973018</v>
      </c>
      <c r="B3682" s="26">
        <v>7.61973018E8</v>
      </c>
      <c r="C3682" s="28" t="s">
        <v>3178</v>
      </c>
      <c r="D3682" s="26" t="s">
        <v>37</v>
      </c>
      <c r="E3682" s="31">
        <v>46231.0</v>
      </c>
      <c r="F3682" s="26" t="s">
        <v>41</v>
      </c>
      <c r="I3682" s="26" t="s">
        <v>42</v>
      </c>
      <c r="J3682" s="25" t="str">
        <f t="shared" si="46"/>
        <v>No</v>
      </c>
      <c r="K3682" s="25" t="str">
        <f t="shared" si="47"/>
        <v/>
      </c>
      <c r="L3682" s="25" t="str">
        <f t="shared" si="48"/>
        <v/>
      </c>
      <c r="M3682" s="25"/>
      <c r="O3682" s="25"/>
    </row>
    <row r="3683" ht="15.75" customHeight="1">
      <c r="A3683" s="25" t="str">
        <f>IFERROR(__xludf.DUMMYFUNCTION("IF(B3683="""","""",RIGHT(REGEXREPLACE(B3683&amp;"""",""[^0-9]"",""""),9))"),"752855505")</f>
        <v>752855505</v>
      </c>
      <c r="B3683" s="52">
        <v>7.52855505E8</v>
      </c>
      <c r="C3683" s="28" t="s">
        <v>3733</v>
      </c>
      <c r="D3683" s="26" t="s">
        <v>64</v>
      </c>
      <c r="E3683" s="31">
        <v>46231.0</v>
      </c>
      <c r="F3683" s="26" t="s">
        <v>41</v>
      </c>
      <c r="I3683" s="26" t="s">
        <v>42</v>
      </c>
      <c r="J3683" s="25" t="str">
        <f t="shared" si="46"/>
        <v>No</v>
      </c>
      <c r="K3683" s="25" t="str">
        <f t="shared" si="47"/>
        <v/>
      </c>
      <c r="L3683" s="25" t="str">
        <f t="shared" si="48"/>
        <v/>
      </c>
      <c r="M3683" s="25"/>
      <c r="O3683" s="25"/>
    </row>
    <row r="3684" ht="15.75" customHeight="1">
      <c r="A3684" s="25" t="str">
        <f>IFERROR(__xludf.DUMMYFUNCTION("IF(B3684="""","""",RIGHT(REGEXREPLACE(B3684&amp;"""",""[^0-9]"",""""),9))"),"758600785")</f>
        <v>758600785</v>
      </c>
      <c r="B3684" s="52">
        <v>7.58600785E8</v>
      </c>
      <c r="C3684" s="28" t="s">
        <v>3734</v>
      </c>
      <c r="D3684" s="26" t="s">
        <v>45</v>
      </c>
      <c r="E3684" s="31">
        <v>46231.0</v>
      </c>
      <c r="F3684" s="26" t="s">
        <v>659</v>
      </c>
      <c r="I3684" s="26" t="s">
        <v>42</v>
      </c>
      <c r="J3684" s="25" t="str">
        <f t="shared" si="46"/>
        <v>No</v>
      </c>
      <c r="K3684" s="25" t="str">
        <f t="shared" si="47"/>
        <v/>
      </c>
      <c r="L3684" s="25" t="str">
        <f t="shared" si="48"/>
        <v/>
      </c>
      <c r="M3684" s="25"/>
      <c r="O3684" s="25"/>
    </row>
    <row r="3685" ht="15.75" customHeight="1">
      <c r="A3685" s="25" t="str">
        <f>IFERROR(__xludf.DUMMYFUNCTION("IF(B3685="""","""",RIGHT(REGEXREPLACE(B3685&amp;"""",""[^0-9]"",""""),9))"),"770186373")</f>
        <v>770186373</v>
      </c>
      <c r="B3685" s="26">
        <v>7.70186373E8</v>
      </c>
      <c r="C3685" s="28" t="s">
        <v>3178</v>
      </c>
      <c r="D3685" s="26" t="s">
        <v>37</v>
      </c>
      <c r="E3685" s="31">
        <v>46231.0</v>
      </c>
      <c r="F3685" s="26" t="s">
        <v>41</v>
      </c>
      <c r="G3685" s="26">
        <v>11.0</v>
      </c>
      <c r="I3685" s="26" t="s">
        <v>42</v>
      </c>
      <c r="J3685" s="25" t="str">
        <f t="shared" si="46"/>
        <v>No</v>
      </c>
      <c r="K3685" s="25" t="str">
        <f t="shared" si="47"/>
        <v/>
      </c>
      <c r="L3685" s="25" t="str">
        <f t="shared" si="48"/>
        <v/>
      </c>
      <c r="M3685" s="25"/>
      <c r="O3685" s="25"/>
    </row>
    <row r="3686" ht="15.75" customHeight="1">
      <c r="A3686" s="25" t="str">
        <f>IFERROR(__xludf.DUMMYFUNCTION("IF(B3686="""","""",RIGHT(REGEXREPLACE(B3686&amp;"""",""[^0-9]"",""""),9))"),"715461465")</f>
        <v>715461465</v>
      </c>
      <c r="B3686" s="52">
        <v>7.15461465E8</v>
      </c>
      <c r="C3686" s="28" t="s">
        <v>3735</v>
      </c>
      <c r="D3686" s="26" t="s">
        <v>82</v>
      </c>
      <c r="E3686" s="31">
        <v>46231.0</v>
      </c>
      <c r="F3686" s="25"/>
      <c r="G3686" s="25"/>
      <c r="H3686" s="25"/>
      <c r="I3686" s="26" t="s">
        <v>42</v>
      </c>
      <c r="J3686" s="25" t="str">
        <f t="shared" si="46"/>
        <v>No</v>
      </c>
      <c r="K3686" s="25" t="str">
        <f t="shared" si="47"/>
        <v/>
      </c>
      <c r="L3686" s="25" t="str">
        <f t="shared" si="48"/>
        <v/>
      </c>
      <c r="M3686" s="25"/>
      <c r="N3686" s="25"/>
      <c r="O3686" s="25"/>
      <c r="P3686" s="25"/>
    </row>
    <row r="3687" ht="15.75" customHeight="1">
      <c r="A3687" s="25" t="str">
        <f>IFERROR(__xludf.DUMMYFUNCTION("IF(B3687="""","""",RIGHT(REGEXREPLACE(B3687&amp;"""",""[^0-9]"",""""),9))"),"771805826")</f>
        <v>771805826</v>
      </c>
      <c r="B3687" s="52">
        <v>7.71805826E8</v>
      </c>
      <c r="C3687" s="28" t="s">
        <v>2757</v>
      </c>
      <c r="D3687" s="26" t="s">
        <v>64</v>
      </c>
      <c r="E3687" s="31">
        <v>46231.0</v>
      </c>
      <c r="F3687" s="26" t="s">
        <v>167</v>
      </c>
      <c r="G3687" s="26">
        <v>10.0</v>
      </c>
      <c r="I3687" s="26" t="s">
        <v>42</v>
      </c>
      <c r="J3687" s="25" t="str">
        <f t="shared" si="46"/>
        <v>No</v>
      </c>
      <c r="K3687" s="25" t="str">
        <f t="shared" si="47"/>
        <v/>
      </c>
      <c r="L3687" s="25" t="str">
        <f t="shared" si="48"/>
        <v/>
      </c>
      <c r="M3687" s="25"/>
      <c r="O3687" s="25"/>
    </row>
    <row r="3688" ht="15.75" customHeight="1">
      <c r="A3688" s="25" t="str">
        <f>IFERROR(__xludf.DUMMYFUNCTION("IF(B3688="""","""",RIGHT(REGEXREPLACE(B3688&amp;"""",""[^0-9]"",""""),9))"),"741343620")</f>
        <v>741343620</v>
      </c>
      <c r="B3688" s="52">
        <v>7.4134362E8</v>
      </c>
      <c r="C3688" s="28" t="s">
        <v>3736</v>
      </c>
      <c r="D3688" s="26" t="s">
        <v>49</v>
      </c>
      <c r="E3688" s="31">
        <v>46231.0</v>
      </c>
      <c r="F3688" s="26" t="s">
        <v>46</v>
      </c>
      <c r="G3688" s="26">
        <v>11.0</v>
      </c>
      <c r="I3688" s="26" t="s">
        <v>42</v>
      </c>
      <c r="J3688" s="25" t="str">
        <f t="shared" si="46"/>
        <v>No</v>
      </c>
      <c r="K3688" s="25" t="str">
        <f t="shared" si="47"/>
        <v/>
      </c>
      <c r="L3688" s="25" t="str">
        <f t="shared" si="48"/>
        <v/>
      </c>
      <c r="M3688" s="25"/>
      <c r="O3688" s="25"/>
    </row>
    <row r="3689" ht="15.75" customHeight="1">
      <c r="A3689" s="25" t="str">
        <f>IFERROR(__xludf.DUMMYFUNCTION("IF(B3689="""","""",RIGHT(REGEXREPLACE(B3689&amp;"""",""[^0-9]"",""""),9))"),"741320189")</f>
        <v>741320189</v>
      </c>
      <c r="B3689" s="52">
        <v>7.41320189E8</v>
      </c>
      <c r="C3689" s="28" t="s">
        <v>3737</v>
      </c>
      <c r="D3689" s="26" t="s">
        <v>45</v>
      </c>
      <c r="E3689" s="31">
        <v>46231.0</v>
      </c>
      <c r="F3689" s="26" t="s">
        <v>46</v>
      </c>
      <c r="G3689" s="26" t="s">
        <v>177</v>
      </c>
      <c r="I3689" s="26" t="s">
        <v>42</v>
      </c>
      <c r="J3689" s="25" t="str">
        <f t="shared" si="46"/>
        <v>No</v>
      </c>
      <c r="K3689" s="25" t="str">
        <f t="shared" si="47"/>
        <v/>
      </c>
      <c r="L3689" s="25" t="str">
        <f t="shared" si="48"/>
        <v/>
      </c>
      <c r="M3689" s="25"/>
      <c r="O3689" s="25"/>
    </row>
    <row r="3690" ht="15.75" customHeight="1">
      <c r="A3690" s="25" t="str">
        <f>IFERROR(__xludf.DUMMYFUNCTION("IF(B3690="""","""",RIGHT(REGEXREPLACE(B3690&amp;"""",""[^0-9]"",""""),9))"),"741686855")</f>
        <v>741686855</v>
      </c>
      <c r="B3690" s="26">
        <v>7.41686855E8</v>
      </c>
      <c r="C3690" s="28" t="s">
        <v>3536</v>
      </c>
      <c r="D3690" s="26" t="s">
        <v>37</v>
      </c>
      <c r="E3690" s="31">
        <v>46231.0</v>
      </c>
      <c r="F3690" s="26" t="s">
        <v>41</v>
      </c>
      <c r="G3690" s="26">
        <v>10.0</v>
      </c>
      <c r="I3690" s="26" t="s">
        <v>42</v>
      </c>
      <c r="J3690" s="25" t="str">
        <f t="shared" si="46"/>
        <v>Yes - see Previous F-Code</v>
      </c>
      <c r="K3690" s="25" t="str">
        <f t="shared" si="47"/>
        <v>DUPLICATE - CHECK</v>
      </c>
      <c r="L3690" s="25" t="str">
        <f t="shared" si="48"/>
        <v>F73195</v>
      </c>
      <c r="M3690" s="25"/>
      <c r="O3690" s="25"/>
    </row>
    <row r="3691" ht="15.75" customHeight="1">
      <c r="A3691" s="25" t="str">
        <f>IFERROR(__xludf.DUMMYFUNCTION("IF(B3691="""","""",RIGHT(REGEXREPLACE(B3691&amp;"""",""[^0-9]"",""""),9))"),"762002742")</f>
        <v>762002742</v>
      </c>
      <c r="B3691" s="26">
        <v>7.62002742E8</v>
      </c>
      <c r="C3691" s="28" t="s">
        <v>3738</v>
      </c>
      <c r="D3691" s="26" t="s">
        <v>37</v>
      </c>
      <c r="E3691" s="31">
        <v>46231.0</v>
      </c>
      <c r="F3691" s="25"/>
      <c r="G3691" s="25"/>
      <c r="H3691" s="25"/>
      <c r="I3691" s="26" t="s">
        <v>42</v>
      </c>
      <c r="J3691" s="25" t="str">
        <f t="shared" si="46"/>
        <v>No</v>
      </c>
      <c r="K3691" s="25" t="str">
        <f t="shared" si="47"/>
        <v/>
      </c>
      <c r="L3691" s="25" t="str">
        <f t="shared" si="48"/>
        <v/>
      </c>
      <c r="M3691" s="25"/>
      <c r="N3691" s="25"/>
      <c r="O3691" s="25"/>
      <c r="P3691" s="25"/>
    </row>
    <row r="3692" ht="15.75" customHeight="1">
      <c r="A3692" s="25" t="str">
        <f>IFERROR(__xludf.DUMMYFUNCTION("IF(B3692="""","""",RIGHT(REGEXREPLACE(B3692&amp;"""",""[^0-9]"",""""),9))"),"760627250")</f>
        <v>760627250</v>
      </c>
      <c r="B3692" s="52">
        <v>7.6062725E8</v>
      </c>
      <c r="C3692" s="28" t="s">
        <v>3739</v>
      </c>
      <c r="D3692" s="26" t="s">
        <v>56</v>
      </c>
      <c r="E3692" s="31">
        <v>46231.0</v>
      </c>
      <c r="F3692" s="26" t="s">
        <v>46</v>
      </c>
      <c r="G3692" s="26">
        <v>11.0</v>
      </c>
      <c r="I3692" s="26" t="s">
        <v>42</v>
      </c>
      <c r="J3692" s="25" t="str">
        <f t="shared" si="46"/>
        <v>No</v>
      </c>
      <c r="K3692" s="25" t="str">
        <f t="shared" si="47"/>
        <v/>
      </c>
      <c r="L3692" s="25" t="str">
        <f t="shared" si="48"/>
        <v/>
      </c>
      <c r="M3692" s="25"/>
      <c r="O3692" s="25"/>
    </row>
    <row r="3693" ht="15.75" customHeight="1">
      <c r="A3693" s="25" t="str">
        <f>IFERROR(__xludf.DUMMYFUNCTION("IF(B3693="""","""",RIGHT(REGEXREPLACE(B3693&amp;"""",""[^0-9]"",""""),9))"),"770090060")</f>
        <v>770090060</v>
      </c>
      <c r="B3693" s="52">
        <v>7.7009006E8</v>
      </c>
      <c r="C3693" s="28" t="s">
        <v>3740</v>
      </c>
      <c r="D3693" s="26" t="s">
        <v>45</v>
      </c>
      <c r="E3693" s="31">
        <v>46231.0</v>
      </c>
      <c r="F3693" s="26" t="s">
        <v>46</v>
      </c>
      <c r="G3693" s="26">
        <v>11.0</v>
      </c>
      <c r="I3693" s="26" t="s">
        <v>42</v>
      </c>
      <c r="J3693" s="25" t="str">
        <f t="shared" si="46"/>
        <v>No</v>
      </c>
      <c r="K3693" s="25" t="str">
        <f t="shared" si="47"/>
        <v/>
      </c>
      <c r="L3693" s="25" t="str">
        <f t="shared" si="48"/>
        <v/>
      </c>
      <c r="M3693" s="25"/>
      <c r="O3693" s="25"/>
    </row>
    <row r="3694" ht="15.75" customHeight="1">
      <c r="A3694" s="25" t="str">
        <f>IFERROR(__xludf.DUMMYFUNCTION("IF(B3694="""","""",RIGHT(REGEXREPLACE(B3694&amp;"""",""[^0-9]"",""""),9))"),"710321765")</f>
        <v>710321765</v>
      </c>
      <c r="B3694" s="26">
        <v>7.10321765E8</v>
      </c>
      <c r="C3694" s="28" t="s">
        <v>3741</v>
      </c>
      <c r="D3694" s="26" t="s">
        <v>37</v>
      </c>
      <c r="E3694" s="31">
        <v>46231.0</v>
      </c>
      <c r="F3694" s="26" t="s">
        <v>41</v>
      </c>
      <c r="I3694" s="26" t="s">
        <v>42</v>
      </c>
      <c r="J3694" s="25" t="str">
        <f t="shared" si="46"/>
        <v>No</v>
      </c>
      <c r="K3694" s="25" t="str">
        <f t="shared" si="47"/>
        <v/>
      </c>
      <c r="L3694" s="25" t="str">
        <f t="shared" si="48"/>
        <v/>
      </c>
      <c r="M3694" s="25"/>
      <c r="O3694" s="25"/>
    </row>
    <row r="3695" ht="15.75" customHeight="1">
      <c r="A3695" s="25" t="str">
        <f>IFERROR(__xludf.DUMMYFUNCTION("IF(B3695="""","""",RIGHT(REGEXREPLACE(B3695&amp;"""",""[^0-9]"",""""),9))"),"763215078")</f>
        <v>763215078</v>
      </c>
      <c r="B3695" s="26">
        <v>7.63215078E8</v>
      </c>
      <c r="C3695" s="28" t="s">
        <v>3742</v>
      </c>
      <c r="D3695" s="26" t="s">
        <v>37</v>
      </c>
      <c r="E3695" s="31">
        <v>46231.0</v>
      </c>
      <c r="F3695" s="26" t="s">
        <v>46</v>
      </c>
      <c r="G3695" s="26">
        <v>11.0</v>
      </c>
      <c r="I3695" s="26" t="s">
        <v>42</v>
      </c>
      <c r="J3695" s="25" t="str">
        <f t="shared" si="46"/>
        <v>No</v>
      </c>
      <c r="K3695" s="25" t="str">
        <f t="shared" si="47"/>
        <v/>
      </c>
      <c r="L3695" s="25" t="str">
        <f t="shared" si="48"/>
        <v/>
      </c>
      <c r="M3695" s="25"/>
      <c r="O3695" s="25"/>
    </row>
    <row r="3696" ht="15.75" customHeight="1">
      <c r="A3696" s="25" t="str">
        <f>IFERROR(__xludf.DUMMYFUNCTION("IF(B3696="""","""",RIGHT(REGEXREPLACE(B3696&amp;"""",""[^0-9]"",""""),9))"),"756279951")</f>
        <v>756279951</v>
      </c>
      <c r="B3696" s="52">
        <v>7.56279951E8</v>
      </c>
      <c r="C3696" s="28" t="s">
        <v>3743</v>
      </c>
      <c r="D3696" s="26" t="s">
        <v>49</v>
      </c>
      <c r="E3696" s="31">
        <v>46231.0</v>
      </c>
      <c r="F3696" s="26" t="s">
        <v>46</v>
      </c>
      <c r="H3696" s="26" t="s">
        <v>3744</v>
      </c>
      <c r="I3696" s="26" t="s">
        <v>42</v>
      </c>
      <c r="J3696" s="25" t="str">
        <f t="shared" si="46"/>
        <v>No</v>
      </c>
      <c r="K3696" s="25" t="str">
        <f t="shared" si="47"/>
        <v/>
      </c>
      <c r="L3696" s="25" t="str">
        <f t="shared" si="48"/>
        <v/>
      </c>
      <c r="M3696" s="25"/>
      <c r="O3696" s="25"/>
    </row>
    <row r="3697" ht="15.75" customHeight="1">
      <c r="A3697" s="25" t="str">
        <f>IFERROR(__xludf.DUMMYFUNCTION("IF(B3697="""","""",RIGHT(REGEXREPLACE(B3697&amp;"""",""[^0-9]"",""""),9))"),"710755529")</f>
        <v>710755529</v>
      </c>
      <c r="B3697" s="52">
        <v>7.10755529E8</v>
      </c>
      <c r="C3697" s="28" t="s">
        <v>3745</v>
      </c>
      <c r="D3697" s="26" t="s">
        <v>56</v>
      </c>
      <c r="E3697" s="31">
        <v>46231.0</v>
      </c>
      <c r="F3697" s="26" t="s">
        <v>125</v>
      </c>
      <c r="I3697" s="26" t="s">
        <v>42</v>
      </c>
      <c r="J3697" s="25" t="str">
        <f t="shared" si="46"/>
        <v>No</v>
      </c>
      <c r="K3697" s="25" t="str">
        <f t="shared" si="47"/>
        <v/>
      </c>
      <c r="L3697" s="25" t="str">
        <f t="shared" si="48"/>
        <v/>
      </c>
      <c r="M3697" s="25"/>
      <c r="O3697" s="25"/>
    </row>
    <row r="3698" ht="15.75" customHeight="1">
      <c r="A3698" s="25" t="str">
        <f>IFERROR(__xludf.DUMMYFUNCTION("IF(B3698="""","""",RIGHT(REGEXREPLACE(B3698&amp;"""",""[^0-9]"",""""),9))"),"756330465")</f>
        <v>756330465</v>
      </c>
      <c r="B3698" s="52">
        <v>7.56330465E8</v>
      </c>
      <c r="C3698" s="28" t="s">
        <v>3746</v>
      </c>
      <c r="D3698" s="26" t="s">
        <v>49</v>
      </c>
      <c r="E3698" s="31">
        <v>46231.0</v>
      </c>
      <c r="F3698" s="26" t="s">
        <v>46</v>
      </c>
      <c r="G3698" s="26">
        <v>11.0</v>
      </c>
      <c r="I3698" s="26" t="s">
        <v>42</v>
      </c>
      <c r="J3698" s="25" t="str">
        <f t="shared" si="46"/>
        <v>No</v>
      </c>
      <c r="K3698" s="25" t="str">
        <f t="shared" si="47"/>
        <v/>
      </c>
      <c r="L3698" s="25" t="str">
        <f t="shared" si="48"/>
        <v/>
      </c>
      <c r="M3698" s="25"/>
      <c r="O3698" s="25"/>
    </row>
    <row r="3699" ht="15.75" customHeight="1">
      <c r="A3699" s="25" t="str">
        <f>IFERROR(__xludf.DUMMYFUNCTION("IF(B3699="""","""",RIGHT(REGEXREPLACE(B3699&amp;"""",""[^0-9]"",""""),9))"),"701175773")</f>
        <v>701175773</v>
      </c>
      <c r="B3699" s="52">
        <v>7.01175773E8</v>
      </c>
      <c r="C3699" s="28" t="s">
        <v>3747</v>
      </c>
      <c r="D3699" s="26" t="s">
        <v>56</v>
      </c>
      <c r="E3699" s="31">
        <v>46231.0</v>
      </c>
      <c r="F3699" s="26" t="s">
        <v>46</v>
      </c>
      <c r="G3699" s="26">
        <v>11.0</v>
      </c>
      <c r="I3699" s="26" t="s">
        <v>42</v>
      </c>
      <c r="J3699" s="25" t="str">
        <f t="shared" si="46"/>
        <v>No</v>
      </c>
      <c r="K3699" s="25" t="str">
        <f t="shared" si="47"/>
        <v/>
      </c>
      <c r="L3699" s="25" t="str">
        <f t="shared" si="48"/>
        <v/>
      </c>
      <c r="M3699" s="25"/>
      <c r="O3699" s="25"/>
    </row>
    <row r="3700" ht="15.75" customHeight="1">
      <c r="A3700" s="25" t="str">
        <f>IFERROR(__xludf.DUMMYFUNCTION("IF(B3700="""","""",RIGHT(REGEXREPLACE(B3700&amp;"""",""[^0-9]"",""""),9))"),"772985337")</f>
        <v>772985337</v>
      </c>
      <c r="B3700" s="52">
        <v>7.72985337E8</v>
      </c>
      <c r="C3700" s="28" t="s">
        <v>3748</v>
      </c>
      <c r="D3700" s="26" t="s">
        <v>56</v>
      </c>
      <c r="E3700" s="31">
        <v>46231.0</v>
      </c>
      <c r="F3700" s="26" t="s">
        <v>46</v>
      </c>
      <c r="G3700" s="26">
        <v>11.0</v>
      </c>
      <c r="I3700" s="26" t="s">
        <v>42</v>
      </c>
      <c r="J3700" s="25" t="str">
        <f t="shared" si="46"/>
        <v>No</v>
      </c>
      <c r="K3700" s="25" t="str">
        <f t="shared" si="47"/>
        <v/>
      </c>
      <c r="L3700" s="25" t="str">
        <f t="shared" si="48"/>
        <v/>
      </c>
      <c r="M3700" s="25"/>
      <c r="O3700" s="25"/>
    </row>
    <row r="3701" ht="15.75" customHeight="1">
      <c r="A3701" s="25" t="str">
        <f>IFERROR(__xludf.DUMMYFUNCTION("IF(B3701="""","""",RIGHT(REGEXREPLACE(B3701&amp;"""",""[^0-9]"",""""),9))"),"779242266")</f>
        <v>779242266</v>
      </c>
      <c r="B3701" s="52">
        <v>7.79242266E8</v>
      </c>
      <c r="C3701" s="28" t="s">
        <v>3749</v>
      </c>
      <c r="D3701" s="26" t="s">
        <v>56</v>
      </c>
      <c r="E3701" s="31">
        <v>46231.0</v>
      </c>
      <c r="F3701" s="26" t="s">
        <v>46</v>
      </c>
      <c r="G3701" s="26">
        <v>11.0</v>
      </c>
      <c r="I3701" s="26" t="s">
        <v>42</v>
      </c>
      <c r="J3701" s="25" t="str">
        <f t="shared" si="46"/>
        <v>No</v>
      </c>
      <c r="K3701" s="25" t="str">
        <f t="shared" si="47"/>
        <v/>
      </c>
      <c r="L3701" s="25" t="str">
        <f t="shared" si="48"/>
        <v/>
      </c>
      <c r="M3701" s="25"/>
      <c r="O3701" s="25"/>
    </row>
    <row r="3702" ht="15.75" customHeight="1">
      <c r="A3702" s="25" t="str">
        <f>IFERROR(__xludf.DUMMYFUNCTION("IF(B3702="""","""",RIGHT(REGEXREPLACE(B3702&amp;"""",""[^0-9]"",""""),9))"),"767818144")</f>
        <v>767818144</v>
      </c>
      <c r="B3702" s="52">
        <v>7.67818144E8</v>
      </c>
      <c r="C3702" s="28" t="s">
        <v>3750</v>
      </c>
      <c r="D3702" s="26" t="s">
        <v>56</v>
      </c>
      <c r="E3702" s="31">
        <v>46231.0</v>
      </c>
      <c r="F3702" s="26" t="s">
        <v>205</v>
      </c>
      <c r="I3702" s="26" t="s">
        <v>42</v>
      </c>
      <c r="J3702" s="25" t="str">
        <f t="shared" si="46"/>
        <v>No</v>
      </c>
      <c r="K3702" s="25" t="str">
        <f t="shared" si="47"/>
        <v/>
      </c>
      <c r="L3702" s="25" t="str">
        <f t="shared" si="48"/>
        <v/>
      </c>
      <c r="M3702" s="25"/>
      <c r="O3702" s="25"/>
    </row>
    <row r="3703" ht="15.75" customHeight="1">
      <c r="A3703" s="25" t="str">
        <f>IFERROR(__xludf.DUMMYFUNCTION("IF(B3703="""","""",RIGHT(REGEXREPLACE(B3703&amp;"""",""[^0-9]"",""""),9))"),"740384099")</f>
        <v>740384099</v>
      </c>
      <c r="B3703" s="52">
        <v>7.40384099E8</v>
      </c>
      <c r="C3703" s="28" t="s">
        <v>3192</v>
      </c>
      <c r="D3703" s="26" t="s">
        <v>56</v>
      </c>
      <c r="E3703" s="31">
        <v>46231.0</v>
      </c>
      <c r="F3703" s="26" t="s">
        <v>46</v>
      </c>
      <c r="G3703" s="26">
        <v>11.0</v>
      </c>
      <c r="I3703" s="26" t="s">
        <v>42</v>
      </c>
      <c r="J3703" s="25" t="str">
        <f t="shared" si="46"/>
        <v>No</v>
      </c>
      <c r="K3703" s="25" t="str">
        <f t="shared" si="47"/>
        <v/>
      </c>
      <c r="L3703" s="25" t="str">
        <f t="shared" si="48"/>
        <v/>
      </c>
      <c r="M3703" s="25"/>
      <c r="O3703" s="25"/>
    </row>
    <row r="3704" ht="15.75" customHeight="1">
      <c r="A3704" s="25" t="str">
        <f>IFERROR(__xludf.DUMMYFUNCTION("IF(B3704="""","""",RIGHT(REGEXREPLACE(B3704&amp;"""",""[^0-9]"",""""),9))"),"770505713")</f>
        <v>770505713</v>
      </c>
      <c r="B3704" s="52">
        <v>7.70505713E8</v>
      </c>
      <c r="C3704" s="28" t="s">
        <v>3751</v>
      </c>
      <c r="D3704" s="26" t="s">
        <v>64</v>
      </c>
      <c r="E3704" s="31">
        <v>46231.0</v>
      </c>
      <c r="F3704" s="26" t="s">
        <v>46</v>
      </c>
      <c r="G3704" s="26">
        <v>10.0</v>
      </c>
      <c r="I3704" s="26" t="s">
        <v>42</v>
      </c>
      <c r="J3704" s="25" t="str">
        <f t="shared" si="46"/>
        <v>No</v>
      </c>
      <c r="K3704" s="25" t="str">
        <f t="shared" si="47"/>
        <v/>
      </c>
      <c r="L3704" s="25" t="str">
        <f t="shared" si="48"/>
        <v/>
      </c>
      <c r="M3704" s="25"/>
      <c r="O3704" s="25"/>
    </row>
    <row r="3705" ht="15.75" customHeight="1">
      <c r="A3705" s="25" t="str">
        <f>IFERROR(__xludf.DUMMYFUNCTION("IF(B3705="""","""",RIGHT(REGEXREPLACE(B3705&amp;"""",""[^0-9]"",""""),9))"),"779142229")</f>
        <v>779142229</v>
      </c>
      <c r="B3705" s="52">
        <v>7.79142229E8</v>
      </c>
      <c r="C3705" s="28" t="s">
        <v>3752</v>
      </c>
      <c r="D3705" s="26" t="s">
        <v>82</v>
      </c>
      <c r="E3705" s="31">
        <v>46231.0</v>
      </c>
      <c r="F3705" s="26" t="s">
        <v>46</v>
      </c>
      <c r="G3705" s="26">
        <v>10.0</v>
      </c>
      <c r="I3705" s="26" t="s">
        <v>42</v>
      </c>
      <c r="J3705" s="25" t="str">
        <f t="shared" si="46"/>
        <v>No</v>
      </c>
      <c r="K3705" s="25" t="str">
        <f t="shared" si="47"/>
        <v/>
      </c>
      <c r="L3705" s="25" t="str">
        <f t="shared" si="48"/>
        <v/>
      </c>
      <c r="M3705" s="25"/>
      <c r="O3705" s="25"/>
    </row>
    <row r="3706" ht="15.75" customHeight="1">
      <c r="A3706" s="25" t="str">
        <f>IFERROR(__xludf.DUMMYFUNCTION("IF(B3706="""","""",RIGHT(REGEXREPLACE(B3706&amp;"""",""[^0-9]"",""""),9))"),"740490224")</f>
        <v>740490224</v>
      </c>
      <c r="B3706" s="52">
        <v>7.40490224E8</v>
      </c>
      <c r="C3706" s="28" t="s">
        <v>3753</v>
      </c>
      <c r="D3706" s="26" t="s">
        <v>49</v>
      </c>
      <c r="E3706" s="31">
        <v>46231.0</v>
      </c>
      <c r="F3706" s="25"/>
      <c r="G3706" s="26">
        <v>11.0</v>
      </c>
      <c r="H3706" s="25"/>
      <c r="I3706" s="26" t="s">
        <v>42</v>
      </c>
      <c r="J3706" s="25" t="str">
        <f t="shared" si="46"/>
        <v>No</v>
      </c>
      <c r="K3706" s="25" t="str">
        <f t="shared" si="47"/>
        <v/>
      </c>
      <c r="L3706" s="25" t="str">
        <f t="shared" si="48"/>
        <v/>
      </c>
      <c r="M3706" s="25"/>
      <c r="N3706" s="25"/>
      <c r="O3706" s="25"/>
      <c r="P3706" s="25"/>
    </row>
    <row r="3707" ht="15.75" customHeight="1">
      <c r="A3707" s="25" t="str">
        <f>IFERROR(__xludf.DUMMYFUNCTION("IF(B3707="""","""",RIGHT(REGEXREPLACE(B3707&amp;"""",""[^0-9]"",""""),9))"),"701166180")</f>
        <v>701166180</v>
      </c>
      <c r="B3707" s="52">
        <v>7.0116618E8</v>
      </c>
      <c r="C3707" s="28" t="s">
        <v>3754</v>
      </c>
      <c r="D3707" s="26" t="s">
        <v>82</v>
      </c>
      <c r="E3707" s="31">
        <v>46231.0</v>
      </c>
      <c r="F3707" s="26" t="s">
        <v>205</v>
      </c>
      <c r="I3707" s="26" t="s">
        <v>42</v>
      </c>
      <c r="J3707" s="25" t="str">
        <f t="shared" si="46"/>
        <v>No</v>
      </c>
      <c r="K3707" s="25" t="str">
        <f t="shared" si="47"/>
        <v/>
      </c>
      <c r="L3707" s="25" t="str">
        <f t="shared" si="48"/>
        <v/>
      </c>
      <c r="M3707" s="25"/>
      <c r="O3707" s="25"/>
    </row>
    <row r="3708" ht="15.75" customHeight="1">
      <c r="A3708" s="25" t="str">
        <f>IFERROR(__xludf.DUMMYFUNCTION("IF(B3708="""","""",RIGHT(REGEXREPLACE(B3708&amp;"""",""[^0-9]"",""""),9))"),"770421231")</f>
        <v>770421231</v>
      </c>
      <c r="B3708" s="52">
        <v>7.70421231E8</v>
      </c>
      <c r="C3708" s="28" t="s">
        <v>3755</v>
      </c>
      <c r="D3708" s="26" t="s">
        <v>64</v>
      </c>
      <c r="E3708" s="31">
        <v>46231.0</v>
      </c>
      <c r="F3708" s="25"/>
      <c r="G3708" s="26">
        <v>11.0</v>
      </c>
      <c r="H3708" s="26" t="s">
        <v>3756</v>
      </c>
      <c r="I3708" s="26" t="s">
        <v>42</v>
      </c>
      <c r="J3708" s="25" t="str">
        <f t="shared" si="46"/>
        <v>No</v>
      </c>
      <c r="K3708" s="25" t="str">
        <f t="shared" si="47"/>
        <v/>
      </c>
      <c r="L3708" s="25" t="str">
        <f t="shared" si="48"/>
        <v/>
      </c>
      <c r="M3708" s="25"/>
      <c r="N3708" s="25"/>
      <c r="O3708" s="25"/>
      <c r="P3708" s="25"/>
    </row>
    <row r="3709" ht="15.75" customHeight="1">
      <c r="A3709" s="25" t="str">
        <f>IFERROR(__xludf.DUMMYFUNCTION("IF(B3709="""","""",RIGHT(REGEXREPLACE(B3709&amp;"""",""[^0-9]"",""""),9))"),"715640508")</f>
        <v>715640508</v>
      </c>
      <c r="B3709" s="52">
        <v>7.15640508E8</v>
      </c>
      <c r="C3709" s="28" t="s">
        <v>3757</v>
      </c>
      <c r="D3709" s="26" t="s">
        <v>82</v>
      </c>
      <c r="E3709" s="31">
        <v>46231.0</v>
      </c>
      <c r="F3709" s="26" t="s">
        <v>46</v>
      </c>
      <c r="G3709" s="26">
        <v>11.0</v>
      </c>
      <c r="I3709" s="26" t="s">
        <v>42</v>
      </c>
      <c r="J3709" s="25" t="str">
        <f t="shared" si="46"/>
        <v>No</v>
      </c>
      <c r="K3709" s="25" t="str">
        <f t="shared" si="47"/>
        <v/>
      </c>
      <c r="L3709" s="25" t="str">
        <f t="shared" si="48"/>
        <v/>
      </c>
      <c r="M3709" s="25"/>
      <c r="O3709" s="25"/>
    </row>
    <row r="3710" ht="15.75" customHeight="1">
      <c r="A3710" s="25" t="str">
        <f>IFERROR(__xludf.DUMMYFUNCTION("IF(B3710="""","""",RIGHT(REGEXREPLACE(B3710&amp;"""",""[^0-9]"",""""),9))"),"741130039")</f>
        <v>741130039</v>
      </c>
      <c r="B3710" s="52">
        <v>7.41130039E8</v>
      </c>
      <c r="C3710" s="28" t="s">
        <v>3250</v>
      </c>
      <c r="D3710" s="26" t="s">
        <v>56</v>
      </c>
      <c r="E3710" s="31">
        <v>46231.0</v>
      </c>
      <c r="F3710" s="26" t="s">
        <v>41</v>
      </c>
      <c r="G3710" s="26">
        <v>11.0</v>
      </c>
      <c r="I3710" s="26" t="s">
        <v>42</v>
      </c>
      <c r="J3710" s="25" t="str">
        <f t="shared" si="46"/>
        <v>No</v>
      </c>
      <c r="K3710" s="25" t="str">
        <f t="shared" si="47"/>
        <v/>
      </c>
      <c r="L3710" s="25" t="str">
        <f t="shared" si="48"/>
        <v/>
      </c>
      <c r="M3710" s="25"/>
      <c r="O3710" s="25"/>
    </row>
    <row r="3711" ht="15.75" customHeight="1">
      <c r="A3711" s="25" t="str">
        <f>IFERROR(__xludf.DUMMYFUNCTION("IF(B3711="""","""",RIGHT(REGEXREPLACE(B3711&amp;"""",""[^0-9]"",""""),9))"),"773861048")</f>
        <v>773861048</v>
      </c>
      <c r="B3711" s="52">
        <v>9.4773861048E10</v>
      </c>
      <c r="C3711" s="28" t="s">
        <v>3758</v>
      </c>
      <c r="D3711" s="26" t="s">
        <v>64</v>
      </c>
      <c r="E3711" s="31">
        <v>46231.0</v>
      </c>
      <c r="F3711" s="26" t="s">
        <v>125</v>
      </c>
      <c r="I3711" s="26" t="s">
        <v>42</v>
      </c>
      <c r="J3711" s="25" t="str">
        <f t="shared" si="46"/>
        <v>No</v>
      </c>
      <c r="K3711" s="25" t="str">
        <f t="shared" si="47"/>
        <v/>
      </c>
      <c r="L3711" s="25" t="str">
        <f t="shared" si="48"/>
        <v/>
      </c>
      <c r="M3711" s="25"/>
      <c r="O3711" s="25"/>
    </row>
    <row r="3712" ht="15.75" customHeight="1">
      <c r="A3712" s="25" t="str">
        <f>IFERROR(__xludf.DUMMYFUNCTION("IF(B3712="""","""",RIGHT(REGEXREPLACE(B3712&amp;"""",""[^0-9]"",""""),9))"),"703417632")</f>
        <v>703417632</v>
      </c>
      <c r="B3712" s="52">
        <v>7.03417632E8</v>
      </c>
      <c r="C3712" s="28" t="s">
        <v>3759</v>
      </c>
      <c r="D3712" s="26" t="s">
        <v>64</v>
      </c>
      <c r="E3712" s="31">
        <v>46231.0</v>
      </c>
      <c r="F3712" s="26" t="s">
        <v>46</v>
      </c>
      <c r="G3712" s="26">
        <v>9.0</v>
      </c>
      <c r="I3712" s="26" t="s">
        <v>42</v>
      </c>
      <c r="J3712" s="25" t="str">
        <f t="shared" si="46"/>
        <v>No</v>
      </c>
      <c r="K3712" s="25" t="str">
        <f t="shared" si="47"/>
        <v/>
      </c>
      <c r="L3712" s="25" t="str">
        <f t="shared" si="48"/>
        <v/>
      </c>
      <c r="M3712" s="25"/>
      <c r="O3712" s="25"/>
    </row>
    <row r="3713" ht="15.75" customHeight="1">
      <c r="A3713" s="25" t="str">
        <f>IFERROR(__xludf.DUMMYFUNCTION("IF(B3713="""","""",RIGHT(REGEXREPLACE(B3713&amp;"""",""[^0-9]"",""""),9))"),"785497516")</f>
        <v>785497516</v>
      </c>
      <c r="B3713" s="52">
        <v>7.85497516E8</v>
      </c>
      <c r="C3713" s="28" t="s">
        <v>3760</v>
      </c>
      <c r="D3713" s="26" t="s">
        <v>56</v>
      </c>
      <c r="E3713" s="31">
        <v>46231.0</v>
      </c>
      <c r="F3713" s="26" t="s">
        <v>205</v>
      </c>
      <c r="G3713" s="26">
        <v>11.0</v>
      </c>
      <c r="I3713" s="26" t="s">
        <v>42</v>
      </c>
      <c r="J3713" s="25" t="str">
        <f t="shared" si="46"/>
        <v>No</v>
      </c>
      <c r="K3713" s="25" t="str">
        <f t="shared" si="47"/>
        <v/>
      </c>
      <c r="L3713" s="25" t="str">
        <f t="shared" si="48"/>
        <v/>
      </c>
      <c r="M3713" s="25"/>
      <c r="O3713" s="25"/>
    </row>
    <row r="3714" ht="15.75" customHeight="1">
      <c r="A3714" s="25" t="str">
        <f>IFERROR(__xludf.DUMMYFUNCTION("IF(B3714="""","""",RIGHT(REGEXREPLACE(B3714&amp;"""",""[^0-9]"",""""),9))"),"701873062")</f>
        <v>701873062</v>
      </c>
      <c r="B3714" s="52">
        <v>7.01873062E8</v>
      </c>
      <c r="C3714" s="28" t="s">
        <v>3204</v>
      </c>
      <c r="D3714" s="26" t="s">
        <v>64</v>
      </c>
      <c r="E3714" s="31">
        <v>46231.0</v>
      </c>
      <c r="F3714" s="26" t="s">
        <v>46</v>
      </c>
      <c r="G3714" s="26">
        <v>11.0</v>
      </c>
      <c r="I3714" s="26" t="s">
        <v>42</v>
      </c>
      <c r="J3714" s="25" t="str">
        <f t="shared" si="46"/>
        <v>Yes - see Previous F-Code</v>
      </c>
      <c r="K3714" s="25" t="str">
        <f t="shared" si="47"/>
        <v>DUPLICATE - CHECK</v>
      </c>
      <c r="L3714" s="25" t="str">
        <f t="shared" si="48"/>
        <v>F72842</v>
      </c>
      <c r="M3714" s="25"/>
      <c r="O3714" s="25"/>
    </row>
    <row r="3715" ht="15.75" customHeight="1">
      <c r="A3715" s="25" t="str">
        <f>IFERROR(__xludf.DUMMYFUNCTION("IF(B3715="""","""",RIGHT(REGEXREPLACE(B3715&amp;"""",""[^0-9]"",""""),9))"),"704565448")</f>
        <v>704565448</v>
      </c>
      <c r="B3715" s="52">
        <v>7.04565448E8</v>
      </c>
      <c r="C3715" s="28" t="s">
        <v>3761</v>
      </c>
      <c r="D3715" s="26" t="s">
        <v>82</v>
      </c>
      <c r="E3715" s="31">
        <v>46231.0</v>
      </c>
      <c r="F3715" s="26" t="s">
        <v>205</v>
      </c>
      <c r="I3715" s="26" t="s">
        <v>42</v>
      </c>
      <c r="J3715" s="25" t="str">
        <f t="shared" si="46"/>
        <v>No</v>
      </c>
      <c r="K3715" s="25" t="str">
        <f t="shared" si="47"/>
        <v/>
      </c>
      <c r="L3715" s="25" t="str">
        <f t="shared" si="48"/>
        <v/>
      </c>
      <c r="M3715" s="25"/>
      <c r="O3715" s="25"/>
    </row>
    <row r="3716" ht="15.75" customHeight="1">
      <c r="A3716" s="25" t="str">
        <f>IFERROR(__xludf.DUMMYFUNCTION("IF(B3716="""","""",RIGHT(REGEXREPLACE(B3716&amp;"""",""[^0-9]"",""""),9))"),"761698392")</f>
        <v>761698392</v>
      </c>
      <c r="B3716" s="52">
        <v>7.61698392E8</v>
      </c>
      <c r="C3716" s="28" t="s">
        <v>3762</v>
      </c>
      <c r="D3716" s="26" t="s">
        <v>64</v>
      </c>
      <c r="E3716" s="31">
        <v>46231.0</v>
      </c>
      <c r="F3716" s="26" t="s">
        <v>46</v>
      </c>
      <c r="G3716" s="26">
        <v>11.0</v>
      </c>
      <c r="I3716" s="26" t="s">
        <v>42</v>
      </c>
      <c r="J3716" s="25" t="str">
        <f t="shared" si="46"/>
        <v>No</v>
      </c>
      <c r="K3716" s="25" t="str">
        <f t="shared" si="47"/>
        <v/>
      </c>
      <c r="L3716" s="25" t="str">
        <f t="shared" si="48"/>
        <v/>
      </c>
      <c r="M3716" s="25"/>
      <c r="O3716" s="25"/>
    </row>
    <row r="3717" ht="15.75" customHeight="1">
      <c r="A3717" s="25" t="str">
        <f>IFERROR(__xludf.DUMMYFUNCTION("IF(B3717="""","""",RIGHT(REGEXREPLACE(B3717&amp;"""",""[^0-9]"",""""),9))"),"769602513")</f>
        <v>769602513</v>
      </c>
      <c r="B3717" s="52">
        <v>7.69602513E8</v>
      </c>
      <c r="C3717" s="28" t="s">
        <v>3763</v>
      </c>
      <c r="D3717" s="26" t="s">
        <v>82</v>
      </c>
      <c r="E3717" s="31">
        <v>46231.0</v>
      </c>
      <c r="F3717" s="26" t="s">
        <v>46</v>
      </c>
      <c r="G3717" s="26">
        <v>11.0</v>
      </c>
      <c r="I3717" s="26" t="s">
        <v>42</v>
      </c>
      <c r="J3717" s="25" t="str">
        <f t="shared" si="46"/>
        <v>No</v>
      </c>
      <c r="K3717" s="25" t="str">
        <f t="shared" si="47"/>
        <v/>
      </c>
      <c r="L3717" s="25" t="str">
        <f t="shared" si="48"/>
        <v/>
      </c>
      <c r="M3717" s="25"/>
      <c r="O3717" s="25"/>
    </row>
    <row r="3718" ht="15.75" customHeight="1">
      <c r="A3718" s="25" t="str">
        <f>IFERROR(__xludf.DUMMYFUNCTION("IF(B3718="""","""",RIGHT(REGEXREPLACE(B3718&amp;"""",""[^0-9]"",""""),9))"),"705131336")</f>
        <v>705131336</v>
      </c>
      <c r="B3718" s="52">
        <v>7.05131336E8</v>
      </c>
      <c r="C3718" s="28" t="s">
        <v>3764</v>
      </c>
      <c r="D3718" s="26" t="s">
        <v>64</v>
      </c>
      <c r="E3718" s="31">
        <v>46231.0</v>
      </c>
      <c r="F3718" s="26" t="s">
        <v>41</v>
      </c>
      <c r="I3718" s="26" t="s">
        <v>42</v>
      </c>
      <c r="J3718" s="25" t="str">
        <f t="shared" si="46"/>
        <v>No</v>
      </c>
      <c r="K3718" s="25" t="str">
        <f t="shared" si="47"/>
        <v/>
      </c>
      <c r="L3718" s="25" t="str">
        <f t="shared" si="48"/>
        <v/>
      </c>
      <c r="M3718" s="25"/>
      <c r="O3718" s="25"/>
    </row>
    <row r="3719" ht="15.75" customHeight="1">
      <c r="A3719" s="25" t="str">
        <f>IFERROR(__xludf.DUMMYFUNCTION("IF(B3719="""","""",RIGHT(REGEXREPLACE(B3719&amp;"""",""[^0-9]"",""""),9))"),"719607314")</f>
        <v>719607314</v>
      </c>
      <c r="B3719" s="52">
        <v>7.19607314E8</v>
      </c>
      <c r="C3719" s="28" t="s">
        <v>3765</v>
      </c>
      <c r="D3719" s="26" t="s">
        <v>82</v>
      </c>
      <c r="E3719" s="31">
        <v>46231.0</v>
      </c>
      <c r="F3719" s="26" t="s">
        <v>46</v>
      </c>
      <c r="G3719" s="26">
        <v>11.0</v>
      </c>
      <c r="I3719" s="26" t="s">
        <v>42</v>
      </c>
      <c r="J3719" s="25" t="str">
        <f t="shared" si="46"/>
        <v>No</v>
      </c>
      <c r="K3719" s="25" t="str">
        <f t="shared" si="47"/>
        <v/>
      </c>
      <c r="L3719" s="25" t="str">
        <f t="shared" si="48"/>
        <v/>
      </c>
      <c r="M3719" s="25"/>
      <c r="O3719" s="25"/>
    </row>
    <row r="3720" ht="15.75" customHeight="1">
      <c r="A3720" s="25" t="str">
        <f>IFERROR(__xludf.DUMMYFUNCTION("IF(B3720="""","""",RIGHT(REGEXREPLACE(B3720&amp;"""",""[^0-9]"",""""),9))"),"741684619")</f>
        <v>741684619</v>
      </c>
      <c r="B3720" s="52">
        <v>7.41684619E8</v>
      </c>
      <c r="C3720" s="28" t="s">
        <v>3766</v>
      </c>
      <c r="D3720" s="26" t="s">
        <v>64</v>
      </c>
      <c r="E3720" s="31">
        <v>46231.0</v>
      </c>
      <c r="F3720" s="26" t="s">
        <v>41</v>
      </c>
      <c r="G3720" s="26">
        <v>11.0</v>
      </c>
      <c r="I3720" s="26" t="s">
        <v>42</v>
      </c>
      <c r="J3720" s="25" t="str">
        <f t="shared" si="46"/>
        <v>No</v>
      </c>
      <c r="K3720" s="25" t="str">
        <f t="shared" si="47"/>
        <v/>
      </c>
      <c r="L3720" s="25" t="str">
        <f t="shared" si="48"/>
        <v/>
      </c>
      <c r="M3720" s="25"/>
      <c r="O3720" s="25"/>
    </row>
    <row r="3721" ht="15.75" customHeight="1">
      <c r="A3721" s="25" t="str">
        <f>IFERROR(__xludf.DUMMYFUNCTION("IF(B3721="""","""",RIGHT(REGEXREPLACE(B3721&amp;"""",""[^0-9]"",""""),9))"),"718903224")</f>
        <v>718903224</v>
      </c>
      <c r="B3721" s="52">
        <v>7.18903224E8</v>
      </c>
      <c r="C3721" s="28" t="s">
        <v>3767</v>
      </c>
      <c r="D3721" s="26" t="s">
        <v>82</v>
      </c>
      <c r="E3721" s="31">
        <v>46231.0</v>
      </c>
      <c r="F3721" s="26" t="s">
        <v>46</v>
      </c>
      <c r="G3721" s="26">
        <v>11.0</v>
      </c>
      <c r="I3721" s="26" t="s">
        <v>42</v>
      </c>
      <c r="J3721" s="25" t="str">
        <f t="shared" si="46"/>
        <v>No</v>
      </c>
      <c r="K3721" s="25" t="str">
        <f t="shared" si="47"/>
        <v/>
      </c>
      <c r="L3721" s="25" t="str">
        <f t="shared" si="48"/>
        <v/>
      </c>
      <c r="M3721" s="25"/>
      <c r="O3721" s="25"/>
    </row>
    <row r="3722" ht="15.75" customHeight="1">
      <c r="A3722" s="25" t="str">
        <f>IFERROR(__xludf.DUMMYFUNCTION("IF(B3722="""","""",RIGHT(REGEXREPLACE(B3722&amp;"""",""[^0-9]"",""""),9))"),"750674041")</f>
        <v>750674041</v>
      </c>
      <c r="B3722" s="52">
        <v>7.50674041E8</v>
      </c>
      <c r="C3722" s="28" t="s">
        <v>3768</v>
      </c>
      <c r="D3722" s="26" t="s">
        <v>64</v>
      </c>
      <c r="E3722" s="31">
        <v>46231.0</v>
      </c>
      <c r="F3722" s="26" t="s">
        <v>125</v>
      </c>
      <c r="G3722" s="26">
        <v>11.0</v>
      </c>
      <c r="I3722" s="26" t="s">
        <v>42</v>
      </c>
      <c r="J3722" s="25" t="str">
        <f t="shared" si="46"/>
        <v>No</v>
      </c>
      <c r="K3722" s="25" t="str">
        <f t="shared" si="47"/>
        <v/>
      </c>
      <c r="L3722" s="25" t="str">
        <f t="shared" si="48"/>
        <v/>
      </c>
      <c r="M3722" s="25"/>
      <c r="O3722" s="25"/>
    </row>
    <row r="3723" ht="15.75" customHeight="1">
      <c r="A3723" s="25" t="str">
        <f>IFERROR(__xludf.DUMMYFUNCTION("IF(B3723="""","""",RIGHT(REGEXREPLACE(B3723&amp;"""",""[^0-9]"",""""),9))"),"751202226")</f>
        <v>751202226</v>
      </c>
      <c r="B3723" s="52">
        <v>7.51202226E8</v>
      </c>
      <c r="C3723" s="28" t="s">
        <v>3769</v>
      </c>
      <c r="D3723" s="26" t="s">
        <v>82</v>
      </c>
      <c r="E3723" s="31">
        <v>46231.0</v>
      </c>
      <c r="F3723" s="26" t="s">
        <v>46</v>
      </c>
      <c r="G3723" s="26">
        <v>11.0</v>
      </c>
      <c r="I3723" s="26" t="s">
        <v>42</v>
      </c>
      <c r="J3723" s="25" t="str">
        <f t="shared" si="46"/>
        <v>No</v>
      </c>
      <c r="K3723" s="25" t="str">
        <f t="shared" si="47"/>
        <v/>
      </c>
      <c r="L3723" s="25" t="str">
        <f t="shared" si="48"/>
        <v/>
      </c>
      <c r="M3723" s="25"/>
      <c r="O3723" s="25"/>
    </row>
    <row r="3724" ht="15.75" customHeight="1">
      <c r="A3724" s="25" t="str">
        <f>IFERROR(__xludf.DUMMYFUNCTION("IF(B3724="""","""",RIGHT(REGEXREPLACE(B3724&amp;"""",""[^0-9]"",""""),9))"),"717646116")</f>
        <v>717646116</v>
      </c>
      <c r="B3724" s="52">
        <v>7.17646116E8</v>
      </c>
      <c r="C3724" s="28" t="s">
        <v>2829</v>
      </c>
      <c r="D3724" s="26" t="s">
        <v>64</v>
      </c>
      <c r="E3724" s="31">
        <v>46231.0</v>
      </c>
      <c r="F3724" s="26" t="s">
        <v>704</v>
      </c>
      <c r="I3724" s="26" t="s">
        <v>42</v>
      </c>
      <c r="J3724" s="25" t="str">
        <f t="shared" si="46"/>
        <v>No</v>
      </c>
      <c r="K3724" s="25" t="str">
        <f t="shared" si="47"/>
        <v/>
      </c>
      <c r="L3724" s="25" t="str">
        <f t="shared" si="48"/>
        <v/>
      </c>
      <c r="M3724" s="25"/>
      <c r="O3724" s="25"/>
    </row>
    <row r="3725" ht="15.75" customHeight="1">
      <c r="A3725" s="25" t="str">
        <f>IFERROR(__xludf.DUMMYFUNCTION("IF(B3725="""","""",RIGHT(REGEXREPLACE(B3725&amp;"""",""[^0-9]"",""""),9))"),"771327935")</f>
        <v>771327935</v>
      </c>
      <c r="B3725" s="52">
        <v>7.71327935E8</v>
      </c>
      <c r="C3725" s="28" t="s">
        <v>3770</v>
      </c>
      <c r="D3725" s="26" t="s">
        <v>82</v>
      </c>
      <c r="E3725" s="31">
        <v>46231.0</v>
      </c>
      <c r="F3725" s="25"/>
      <c r="G3725" s="25"/>
      <c r="H3725" s="25"/>
      <c r="I3725" s="26" t="s">
        <v>42</v>
      </c>
      <c r="J3725" s="25" t="str">
        <f t="shared" si="46"/>
        <v>No</v>
      </c>
      <c r="K3725" s="25" t="str">
        <f t="shared" si="47"/>
        <v/>
      </c>
      <c r="L3725" s="25" t="str">
        <f t="shared" si="48"/>
        <v/>
      </c>
      <c r="M3725" s="25"/>
      <c r="N3725" s="25"/>
      <c r="O3725" s="25"/>
      <c r="P3725" s="25"/>
    </row>
    <row r="3726" ht="15.75" customHeight="1">
      <c r="A3726" s="25" t="str">
        <f>IFERROR(__xludf.DUMMYFUNCTION("IF(B3726="""","""",RIGHT(REGEXREPLACE(B3726&amp;"""",""[^0-9]"",""""),9))"),"767550725")</f>
        <v>767550725</v>
      </c>
      <c r="B3726" s="52">
        <v>7.67550725E8</v>
      </c>
      <c r="C3726" s="28" t="s">
        <v>3771</v>
      </c>
      <c r="D3726" s="26" t="s">
        <v>64</v>
      </c>
      <c r="E3726" s="31">
        <v>46231.0</v>
      </c>
      <c r="F3726" s="26" t="s">
        <v>46</v>
      </c>
      <c r="G3726" s="26">
        <v>11.0</v>
      </c>
      <c r="I3726" s="26" t="s">
        <v>42</v>
      </c>
      <c r="J3726" s="25" t="str">
        <f t="shared" si="46"/>
        <v>No</v>
      </c>
      <c r="K3726" s="25" t="str">
        <f t="shared" si="47"/>
        <v/>
      </c>
      <c r="L3726" s="25" t="str">
        <f t="shared" si="48"/>
        <v/>
      </c>
      <c r="M3726" s="25"/>
      <c r="O3726" s="25"/>
    </row>
    <row r="3727" ht="15.75" customHeight="1">
      <c r="A3727" s="25" t="str">
        <f>IFERROR(__xludf.DUMMYFUNCTION("IF(B3727="""","""",RIGHT(REGEXREPLACE(B3727&amp;"""",""[^0-9]"",""""),9))"),"701158892")</f>
        <v>701158892</v>
      </c>
      <c r="B3727" s="52">
        <v>7.01158892E8</v>
      </c>
      <c r="C3727" s="28" t="s">
        <v>3772</v>
      </c>
      <c r="D3727" s="26" t="s">
        <v>82</v>
      </c>
      <c r="E3727" s="31">
        <v>46231.0</v>
      </c>
      <c r="F3727" s="26" t="s">
        <v>46</v>
      </c>
      <c r="G3727" s="26">
        <v>11.0</v>
      </c>
      <c r="I3727" s="26" t="s">
        <v>42</v>
      </c>
      <c r="J3727" s="25" t="str">
        <f t="shared" si="46"/>
        <v>No</v>
      </c>
      <c r="K3727" s="25" t="str">
        <f t="shared" si="47"/>
        <v/>
      </c>
      <c r="L3727" s="25" t="str">
        <f t="shared" si="48"/>
        <v/>
      </c>
      <c r="M3727" s="25"/>
      <c r="O3727" s="25"/>
    </row>
    <row r="3728" ht="15.75" customHeight="1">
      <c r="A3728" s="25" t="str">
        <f>IFERROR(__xludf.DUMMYFUNCTION("IF(B3728="""","""",RIGHT(REGEXREPLACE(B3728&amp;"""",""[^0-9]"",""""),9))"),"761802581")</f>
        <v>761802581</v>
      </c>
      <c r="B3728" s="52">
        <v>7.61802581E8</v>
      </c>
      <c r="C3728" s="28" t="s">
        <v>1132</v>
      </c>
      <c r="D3728" s="26" t="s">
        <v>64</v>
      </c>
      <c r="E3728" s="31">
        <v>46231.0</v>
      </c>
      <c r="F3728" s="26" t="s">
        <v>46</v>
      </c>
      <c r="G3728" s="26">
        <v>11.0</v>
      </c>
      <c r="I3728" s="26" t="s">
        <v>42</v>
      </c>
      <c r="J3728" s="25" t="str">
        <f t="shared" si="46"/>
        <v>Yes - see Previous F-Code</v>
      </c>
      <c r="K3728" s="25" t="str">
        <f t="shared" si="47"/>
        <v>DUPLICATE - CHECK</v>
      </c>
      <c r="L3728" s="25" t="str">
        <f t="shared" si="48"/>
        <v>F70873</v>
      </c>
      <c r="M3728" s="25"/>
      <c r="O3728" s="25"/>
    </row>
    <row r="3729" ht="15.75" customHeight="1">
      <c r="A3729" s="25" t="str">
        <f>IFERROR(__xludf.DUMMYFUNCTION("IF(B3729="""","""",RIGHT(REGEXREPLACE(B3729&amp;"""",""[^0-9]"",""""),9))"),"79473297")</f>
        <v>79473297</v>
      </c>
      <c r="B3729" s="52">
        <v>7.9473297E7</v>
      </c>
      <c r="C3729" s="28" t="s">
        <v>3203</v>
      </c>
      <c r="D3729" s="26" t="s">
        <v>37</v>
      </c>
      <c r="E3729" s="31">
        <v>46231.0</v>
      </c>
      <c r="F3729" s="26" t="s">
        <v>46</v>
      </c>
      <c r="I3729" s="26" t="s">
        <v>42</v>
      </c>
      <c r="J3729" s="25" t="str">
        <f t="shared" si="46"/>
        <v>No</v>
      </c>
      <c r="K3729" s="25" t="str">
        <f t="shared" si="47"/>
        <v/>
      </c>
      <c r="L3729" s="25" t="str">
        <f t="shared" si="48"/>
        <v/>
      </c>
      <c r="M3729" s="25"/>
      <c r="O3729" s="25"/>
    </row>
    <row r="3730" ht="15.75" customHeight="1">
      <c r="A3730" s="25" t="str">
        <f>IFERROR(__xludf.DUMMYFUNCTION("IF(B3730="""","""",RIGHT(REGEXREPLACE(B3730&amp;"""",""[^0-9]"",""""),9))"),"778755683")</f>
        <v>778755683</v>
      </c>
      <c r="B3730" s="52">
        <v>7.78755683E8</v>
      </c>
      <c r="C3730" s="28" t="s">
        <v>3773</v>
      </c>
      <c r="D3730" s="26" t="s">
        <v>64</v>
      </c>
      <c r="E3730" s="31">
        <v>46231.0</v>
      </c>
      <c r="F3730" s="26" t="s">
        <v>41</v>
      </c>
      <c r="I3730" s="26" t="s">
        <v>42</v>
      </c>
      <c r="J3730" s="25" t="str">
        <f t="shared" si="46"/>
        <v>No</v>
      </c>
      <c r="K3730" s="25" t="str">
        <f t="shared" si="47"/>
        <v/>
      </c>
      <c r="L3730" s="25" t="str">
        <f t="shared" si="48"/>
        <v/>
      </c>
      <c r="M3730" s="25"/>
      <c r="O3730" s="25"/>
    </row>
    <row r="3731" ht="15.75" customHeight="1">
      <c r="A3731" s="25" t="str">
        <f>IFERROR(__xludf.DUMMYFUNCTION("IF(B3731="""","""",RIGHT(REGEXREPLACE(B3731&amp;"""",""[^0-9]"",""""),9))"),"765898979")</f>
        <v>765898979</v>
      </c>
      <c r="B3731" s="52">
        <v>7.65898979E8</v>
      </c>
      <c r="C3731" s="28" t="s">
        <v>3774</v>
      </c>
      <c r="D3731" s="26" t="s">
        <v>64</v>
      </c>
      <c r="E3731" s="31">
        <v>46231.0</v>
      </c>
      <c r="F3731" s="26" t="s">
        <v>46</v>
      </c>
      <c r="G3731" s="26">
        <v>10.0</v>
      </c>
      <c r="I3731" s="26" t="s">
        <v>42</v>
      </c>
      <c r="J3731" s="25" t="str">
        <f t="shared" si="46"/>
        <v>No</v>
      </c>
      <c r="K3731" s="25" t="str">
        <f t="shared" si="47"/>
        <v/>
      </c>
      <c r="L3731" s="25" t="str">
        <f t="shared" si="48"/>
        <v/>
      </c>
      <c r="M3731" s="25"/>
      <c r="O3731" s="25"/>
    </row>
    <row r="3732" ht="15.75" customHeight="1">
      <c r="A3732" s="25" t="str">
        <f>IFERROR(__xludf.DUMMYFUNCTION("IF(B3732="""","""",RIGHT(REGEXREPLACE(B3732&amp;"""",""[^0-9]"",""""),9))"),"767958069")</f>
        <v>767958069</v>
      </c>
      <c r="B3732" s="52">
        <v>7.67958069E8</v>
      </c>
      <c r="C3732" s="28" t="s">
        <v>2744</v>
      </c>
      <c r="D3732" s="26" t="s">
        <v>64</v>
      </c>
      <c r="E3732" s="31">
        <v>46231.0</v>
      </c>
      <c r="F3732" s="26" t="s">
        <v>46</v>
      </c>
      <c r="G3732" s="26">
        <v>11.0</v>
      </c>
      <c r="I3732" s="26" t="s">
        <v>42</v>
      </c>
      <c r="J3732" s="25" t="str">
        <f t="shared" si="46"/>
        <v>No</v>
      </c>
      <c r="K3732" s="25" t="str">
        <f t="shared" si="47"/>
        <v/>
      </c>
      <c r="L3732" s="25" t="str">
        <f t="shared" si="48"/>
        <v/>
      </c>
      <c r="M3732" s="25"/>
      <c r="O3732" s="25"/>
    </row>
    <row r="3733" ht="15.75" customHeight="1">
      <c r="A3733" s="25" t="str">
        <f>IFERROR(__xludf.DUMMYFUNCTION("IF(B3733="""","""",RIGHT(REGEXREPLACE(B3733&amp;"""",""[^0-9]"",""""),9))"),"774897250")</f>
        <v>774897250</v>
      </c>
      <c r="B3733" s="52">
        <v>7.7489725E8</v>
      </c>
      <c r="C3733" s="28" t="s">
        <v>3775</v>
      </c>
      <c r="D3733" s="26" t="s">
        <v>64</v>
      </c>
      <c r="E3733" s="31">
        <v>46231.0</v>
      </c>
      <c r="F3733" s="26" t="s">
        <v>41</v>
      </c>
      <c r="G3733" s="26">
        <v>11.0</v>
      </c>
      <c r="I3733" s="26" t="s">
        <v>42</v>
      </c>
      <c r="J3733" s="25" t="str">
        <f t="shared" si="46"/>
        <v>No</v>
      </c>
      <c r="K3733" s="25" t="str">
        <f t="shared" si="47"/>
        <v/>
      </c>
      <c r="L3733" s="25" t="str">
        <f t="shared" si="48"/>
        <v/>
      </c>
      <c r="M3733" s="25"/>
      <c r="O3733" s="25"/>
    </row>
    <row r="3734" ht="15.75" customHeight="1">
      <c r="A3734" s="25" t="str">
        <f>IFERROR(__xludf.DUMMYFUNCTION("IF(B3734="""","""",RIGHT(REGEXREPLACE(B3734&amp;"""",""[^0-9]"",""""),9))"),"715240660")</f>
        <v>715240660</v>
      </c>
      <c r="B3734" s="52">
        <v>7.1524066E8</v>
      </c>
      <c r="C3734" s="28" t="s">
        <v>3776</v>
      </c>
      <c r="D3734" s="26" t="s">
        <v>82</v>
      </c>
      <c r="E3734" s="31">
        <v>46231.0</v>
      </c>
      <c r="F3734" s="26" t="s">
        <v>46</v>
      </c>
      <c r="G3734" s="26">
        <v>7.0</v>
      </c>
      <c r="I3734" s="26" t="s">
        <v>42</v>
      </c>
      <c r="J3734" s="25" t="str">
        <f t="shared" si="46"/>
        <v>No</v>
      </c>
      <c r="K3734" s="25" t="str">
        <f t="shared" si="47"/>
        <v/>
      </c>
      <c r="L3734" s="25" t="str">
        <f t="shared" si="48"/>
        <v/>
      </c>
      <c r="M3734" s="25"/>
      <c r="O3734" s="25"/>
    </row>
    <row r="3735" ht="15.75" customHeight="1">
      <c r="A3735" s="25" t="str">
        <f>IFERROR(__xludf.DUMMYFUNCTION("IF(B3735="""","""",RIGHT(REGEXREPLACE(B3735&amp;"""",""[^0-9]"",""""),9))"),"779427298")</f>
        <v>779427298</v>
      </c>
      <c r="B3735" s="26">
        <v>7.79427298E8</v>
      </c>
      <c r="C3735" s="28" t="s">
        <v>3777</v>
      </c>
      <c r="D3735" s="26" t="s">
        <v>56</v>
      </c>
      <c r="E3735" s="31">
        <v>46231.0</v>
      </c>
      <c r="F3735" s="26" t="s">
        <v>46</v>
      </c>
      <c r="I3735" s="26" t="s">
        <v>42</v>
      </c>
      <c r="J3735" s="25" t="str">
        <f t="shared" si="46"/>
        <v>No</v>
      </c>
      <c r="K3735" s="25" t="str">
        <f t="shared" si="47"/>
        <v/>
      </c>
      <c r="L3735" s="25" t="str">
        <f t="shared" si="48"/>
        <v/>
      </c>
      <c r="M3735" s="25"/>
      <c r="O3735" s="25"/>
    </row>
    <row r="3736" ht="15.75" customHeight="1">
      <c r="A3736" s="25" t="str">
        <f>IFERROR(__xludf.DUMMYFUNCTION("IF(B3736="""","""",RIGHT(REGEXREPLACE(B3736&amp;"""",""[^0-9]"",""""),9))"),"776639338")</f>
        <v>776639338</v>
      </c>
      <c r="B3736" s="52">
        <v>7.76639338E8</v>
      </c>
      <c r="C3736" s="28" t="s">
        <v>3778</v>
      </c>
      <c r="D3736" s="26" t="s">
        <v>49</v>
      </c>
      <c r="E3736" s="31">
        <v>46231.0</v>
      </c>
      <c r="F3736" s="26" t="s">
        <v>41</v>
      </c>
      <c r="G3736" s="26">
        <v>11.0</v>
      </c>
      <c r="I3736" s="26" t="s">
        <v>42</v>
      </c>
      <c r="J3736" s="25" t="str">
        <f t="shared" si="46"/>
        <v>No</v>
      </c>
      <c r="K3736" s="25" t="str">
        <f t="shared" si="47"/>
        <v/>
      </c>
      <c r="L3736" s="25" t="str">
        <f t="shared" si="48"/>
        <v/>
      </c>
      <c r="M3736" s="25"/>
      <c r="O3736" s="25"/>
    </row>
    <row r="3737" ht="15.75" customHeight="1">
      <c r="A3737" s="25" t="str">
        <f>IFERROR(__xludf.DUMMYFUNCTION("IF(B3737="""","""",RIGHT(REGEXREPLACE(B3737&amp;"""",""[^0-9]"",""""),9))"),"702359024")</f>
        <v>702359024</v>
      </c>
      <c r="B3737" s="52">
        <v>7.02359024E8</v>
      </c>
      <c r="C3737" s="28" t="s">
        <v>3779</v>
      </c>
      <c r="D3737" s="26" t="s">
        <v>64</v>
      </c>
      <c r="E3737" s="31">
        <v>46231.0</v>
      </c>
      <c r="F3737" s="26" t="s">
        <v>46</v>
      </c>
      <c r="I3737" s="26" t="s">
        <v>42</v>
      </c>
      <c r="J3737" s="25" t="str">
        <f t="shared" si="46"/>
        <v>No</v>
      </c>
      <c r="K3737" s="25" t="str">
        <f t="shared" si="47"/>
        <v/>
      </c>
      <c r="L3737" s="25" t="str">
        <f t="shared" si="48"/>
        <v/>
      </c>
      <c r="M3737" s="25"/>
      <c r="O3737" s="25"/>
    </row>
    <row r="3738" ht="15.75" customHeight="1">
      <c r="A3738" s="25" t="str">
        <f>IFERROR(__xludf.DUMMYFUNCTION("IF(B3738="""","""",RIGHT(REGEXREPLACE(B3738&amp;"""",""[^0-9]"",""""),9))"),"741128396")</f>
        <v>741128396</v>
      </c>
      <c r="B3738" s="52">
        <v>7.41128396E8</v>
      </c>
      <c r="C3738" s="28" t="s">
        <v>3780</v>
      </c>
      <c r="D3738" s="26" t="s">
        <v>45</v>
      </c>
      <c r="E3738" s="31">
        <v>46231.0</v>
      </c>
      <c r="F3738" s="26" t="s">
        <v>46</v>
      </c>
      <c r="G3738" s="26">
        <v>11.0</v>
      </c>
      <c r="I3738" s="26" t="s">
        <v>42</v>
      </c>
      <c r="J3738" s="25" t="str">
        <f t="shared" si="46"/>
        <v>No</v>
      </c>
      <c r="K3738" s="25" t="str">
        <f t="shared" si="47"/>
        <v/>
      </c>
      <c r="L3738" s="25" t="str">
        <f t="shared" si="48"/>
        <v/>
      </c>
      <c r="M3738" s="25"/>
      <c r="O3738" s="25"/>
    </row>
    <row r="3739" ht="15.75" customHeight="1">
      <c r="A3739" s="25" t="str">
        <f>IFERROR(__xludf.DUMMYFUNCTION("IF(B3739="""","""",RIGHT(REGEXREPLACE(B3739&amp;"""",""[^0-9]"",""""),9))"),"775768103")</f>
        <v>775768103</v>
      </c>
      <c r="B3739" s="52">
        <v>7.75768103E8</v>
      </c>
      <c r="C3739" s="28" t="s">
        <v>3781</v>
      </c>
      <c r="D3739" s="26" t="s">
        <v>64</v>
      </c>
      <c r="E3739" s="31">
        <v>46231.0</v>
      </c>
      <c r="F3739" s="26" t="s">
        <v>46</v>
      </c>
      <c r="G3739" s="26">
        <v>11.0</v>
      </c>
      <c r="I3739" s="26" t="s">
        <v>42</v>
      </c>
      <c r="J3739" s="25" t="str">
        <f t="shared" si="46"/>
        <v>No</v>
      </c>
      <c r="K3739" s="25" t="str">
        <f t="shared" si="47"/>
        <v/>
      </c>
      <c r="L3739" s="25" t="str">
        <f t="shared" si="48"/>
        <v/>
      </c>
      <c r="M3739" s="25"/>
      <c r="O3739" s="25"/>
    </row>
    <row r="3740" ht="15.75" customHeight="1">
      <c r="A3740" s="25" t="str">
        <f>IFERROR(__xludf.DUMMYFUNCTION("IF(B3740="""","""",RIGHT(REGEXREPLACE(B3740&amp;"""",""[^0-9]"",""""),9))"),"768789046")</f>
        <v>768789046</v>
      </c>
      <c r="B3740" s="52">
        <v>7.68789046E8</v>
      </c>
      <c r="C3740" s="28" t="s">
        <v>3782</v>
      </c>
      <c r="D3740" s="26" t="s">
        <v>82</v>
      </c>
      <c r="E3740" s="31">
        <v>46231.0</v>
      </c>
      <c r="F3740" s="26" t="s">
        <v>46</v>
      </c>
      <c r="G3740" s="26">
        <v>11.0</v>
      </c>
      <c r="I3740" s="26" t="s">
        <v>42</v>
      </c>
      <c r="J3740" s="25" t="str">
        <f t="shared" si="46"/>
        <v>No</v>
      </c>
      <c r="K3740" s="25" t="str">
        <f t="shared" si="47"/>
        <v/>
      </c>
      <c r="L3740" s="25" t="str">
        <f t="shared" si="48"/>
        <v/>
      </c>
      <c r="M3740" s="25"/>
      <c r="O3740" s="25"/>
    </row>
    <row r="3741" ht="15.75" customHeight="1">
      <c r="A3741" s="25" t="str">
        <f>IFERROR(__xludf.DUMMYFUNCTION("IF(B3741="""","""",RIGHT(REGEXREPLACE(B3741&amp;"""",""[^0-9]"",""""),9))"),"772158550")</f>
        <v>772158550</v>
      </c>
      <c r="B3741" s="52">
        <v>7.7215855E8</v>
      </c>
      <c r="C3741" s="28" t="s">
        <v>3783</v>
      </c>
      <c r="D3741" s="26" t="s">
        <v>45</v>
      </c>
      <c r="E3741" s="31">
        <v>46231.0</v>
      </c>
      <c r="F3741" s="26" t="s">
        <v>659</v>
      </c>
      <c r="G3741" s="26">
        <v>11.0</v>
      </c>
      <c r="I3741" s="26" t="s">
        <v>42</v>
      </c>
      <c r="J3741" s="25" t="str">
        <f t="shared" si="46"/>
        <v>No</v>
      </c>
      <c r="K3741" s="25" t="str">
        <f t="shared" si="47"/>
        <v/>
      </c>
      <c r="L3741" s="25" t="str">
        <f t="shared" si="48"/>
        <v/>
      </c>
      <c r="M3741" s="25"/>
      <c r="O3741" s="25"/>
    </row>
    <row r="3742" ht="15.75" customHeight="1">
      <c r="A3742" s="25" t="str">
        <f>IFERROR(__xludf.DUMMYFUNCTION("IF(B3742="""","""",RIGHT(REGEXREPLACE(B3742&amp;"""",""[^0-9]"",""""),9))"),"762237828")</f>
        <v>762237828</v>
      </c>
      <c r="B3742" s="52">
        <v>7.62237828E8</v>
      </c>
      <c r="C3742" s="28" t="s">
        <v>3784</v>
      </c>
      <c r="D3742" s="26" t="s">
        <v>64</v>
      </c>
      <c r="E3742" s="31">
        <v>46231.0</v>
      </c>
      <c r="F3742" s="26" t="s">
        <v>46</v>
      </c>
      <c r="G3742" s="26">
        <v>11.0</v>
      </c>
      <c r="I3742" s="26" t="s">
        <v>42</v>
      </c>
      <c r="J3742" s="25" t="str">
        <f t="shared" si="46"/>
        <v>No</v>
      </c>
      <c r="K3742" s="25" t="str">
        <f t="shared" si="47"/>
        <v/>
      </c>
      <c r="L3742" s="25" t="str">
        <f t="shared" si="48"/>
        <v/>
      </c>
      <c r="M3742" s="25"/>
      <c r="O3742" s="25"/>
    </row>
    <row r="3743" ht="15.75" customHeight="1">
      <c r="A3743" s="25" t="str">
        <f>IFERROR(__xludf.DUMMYFUNCTION("IF(B3743="""","""",RIGHT(REGEXREPLACE(B3743&amp;"""",""[^0-9]"",""""),9))"),"770534730")</f>
        <v>770534730</v>
      </c>
      <c r="B3743" s="52">
        <v>7.7053473E8</v>
      </c>
      <c r="C3743" s="28" t="s">
        <v>3785</v>
      </c>
      <c r="D3743" s="26" t="s">
        <v>49</v>
      </c>
      <c r="E3743" s="31">
        <v>46231.0</v>
      </c>
      <c r="F3743" s="26" t="s">
        <v>41</v>
      </c>
      <c r="G3743" s="26">
        <v>9.0</v>
      </c>
      <c r="I3743" s="26" t="s">
        <v>42</v>
      </c>
      <c r="J3743" s="25" t="str">
        <f t="shared" si="46"/>
        <v>No</v>
      </c>
      <c r="K3743" s="25" t="str">
        <f t="shared" si="47"/>
        <v/>
      </c>
      <c r="L3743" s="25" t="str">
        <f t="shared" si="48"/>
        <v/>
      </c>
      <c r="M3743" s="25"/>
      <c r="O3743" s="25"/>
    </row>
    <row r="3744" ht="15.75" customHeight="1">
      <c r="A3744" s="25" t="str">
        <f>IFERROR(__xludf.DUMMYFUNCTION("IF(B3744="""","""",RIGHT(REGEXREPLACE(B3744&amp;"""",""[^0-9]"",""""),9))"),"711800759")</f>
        <v>711800759</v>
      </c>
      <c r="B3744" s="52">
        <v>7.11800759E8</v>
      </c>
      <c r="C3744" s="28" t="s">
        <v>3786</v>
      </c>
      <c r="D3744" s="26" t="s">
        <v>45</v>
      </c>
      <c r="E3744" s="31">
        <v>46231.0</v>
      </c>
      <c r="F3744" s="26" t="s">
        <v>41</v>
      </c>
      <c r="I3744" s="26" t="s">
        <v>42</v>
      </c>
      <c r="J3744" s="25" t="str">
        <f t="shared" si="46"/>
        <v>No</v>
      </c>
      <c r="K3744" s="25" t="str">
        <f t="shared" si="47"/>
        <v/>
      </c>
      <c r="L3744" s="25" t="str">
        <f t="shared" si="48"/>
        <v/>
      </c>
      <c r="M3744" s="25"/>
      <c r="O3744" s="25"/>
    </row>
    <row r="3745" ht="15.75" customHeight="1">
      <c r="A3745" s="25" t="str">
        <f>IFERROR(__xludf.DUMMYFUNCTION("IF(B3745="""","""",RIGHT(REGEXREPLACE(B3745&amp;"""",""[^0-9]"",""""),9))"),"707360458")</f>
        <v>707360458</v>
      </c>
      <c r="B3745" s="52">
        <v>7.07360458E8</v>
      </c>
      <c r="C3745" s="28" t="s">
        <v>3787</v>
      </c>
      <c r="D3745" s="26" t="s">
        <v>56</v>
      </c>
      <c r="E3745" s="31">
        <v>46231.0</v>
      </c>
      <c r="F3745" s="26" t="s">
        <v>46</v>
      </c>
      <c r="G3745" s="26">
        <v>10.0</v>
      </c>
      <c r="I3745" s="26" t="s">
        <v>42</v>
      </c>
      <c r="J3745" s="25" t="str">
        <f t="shared" si="46"/>
        <v>No</v>
      </c>
      <c r="K3745" s="25" t="str">
        <f t="shared" si="47"/>
        <v/>
      </c>
      <c r="L3745" s="25" t="str">
        <f t="shared" si="48"/>
        <v/>
      </c>
      <c r="M3745" s="25"/>
      <c r="O3745" s="25"/>
    </row>
    <row r="3746" ht="15.75" customHeight="1">
      <c r="A3746" s="25" t="str">
        <f>IFERROR(__xludf.DUMMYFUNCTION("IF(B3746="""","""",RIGHT(REGEXREPLACE(B3746&amp;"""",""[^0-9]"",""""),9))"),"740250930")</f>
        <v>740250930</v>
      </c>
      <c r="B3746" s="52">
        <v>7.4025093E8</v>
      </c>
      <c r="C3746" s="28" t="s">
        <v>3788</v>
      </c>
      <c r="D3746" s="26" t="s">
        <v>64</v>
      </c>
      <c r="E3746" s="31">
        <v>46231.0</v>
      </c>
      <c r="F3746" s="26" t="s">
        <v>205</v>
      </c>
      <c r="G3746" s="26">
        <v>11.0</v>
      </c>
      <c r="I3746" s="26" t="s">
        <v>42</v>
      </c>
      <c r="J3746" s="25" t="str">
        <f t="shared" si="46"/>
        <v>No</v>
      </c>
      <c r="K3746" s="25" t="str">
        <f t="shared" si="47"/>
        <v/>
      </c>
      <c r="L3746" s="25" t="str">
        <f t="shared" si="48"/>
        <v/>
      </c>
      <c r="M3746" s="25"/>
      <c r="O3746" s="25"/>
    </row>
    <row r="3747" ht="15.75" customHeight="1">
      <c r="A3747" s="25" t="str">
        <f>IFERROR(__xludf.DUMMYFUNCTION("IF(B3747="""","""",RIGHT(REGEXREPLACE(B3747&amp;"""",""[^0-9]"",""""),9))"),"759174795")</f>
        <v>759174795</v>
      </c>
      <c r="B3747" s="52">
        <v>7.59174795E8</v>
      </c>
      <c r="C3747" s="28" t="s">
        <v>3789</v>
      </c>
      <c r="D3747" s="26" t="s">
        <v>82</v>
      </c>
      <c r="E3747" s="31">
        <v>46231.0</v>
      </c>
      <c r="F3747" s="26" t="s">
        <v>46</v>
      </c>
      <c r="G3747" s="26">
        <v>11.0</v>
      </c>
      <c r="I3747" s="26" t="s">
        <v>42</v>
      </c>
      <c r="J3747" s="25" t="str">
        <f t="shared" si="46"/>
        <v>No</v>
      </c>
      <c r="K3747" s="25" t="str">
        <f t="shared" si="47"/>
        <v/>
      </c>
      <c r="L3747" s="25" t="str">
        <f t="shared" si="48"/>
        <v/>
      </c>
      <c r="M3747" s="25"/>
      <c r="O3747" s="25"/>
    </row>
    <row r="3748" ht="15.75" customHeight="1">
      <c r="A3748" s="25" t="str">
        <f>IFERROR(__xludf.DUMMYFUNCTION("IF(B3748="""","""",RIGHT(REGEXREPLACE(B3748&amp;"""",""[^0-9]"",""""),9))"),"712949661")</f>
        <v>712949661</v>
      </c>
      <c r="B3748" s="52">
        <v>7.12949661E8</v>
      </c>
      <c r="C3748" s="28" t="s">
        <v>2697</v>
      </c>
      <c r="D3748" s="26" t="s">
        <v>45</v>
      </c>
      <c r="E3748" s="31">
        <v>46231.0</v>
      </c>
      <c r="F3748" s="26" t="s">
        <v>41</v>
      </c>
      <c r="I3748" s="26" t="s">
        <v>42</v>
      </c>
      <c r="J3748" s="25" t="str">
        <f t="shared" si="46"/>
        <v>Yes - see Previous F-Code</v>
      </c>
      <c r="K3748" s="25" t="str">
        <f t="shared" si="47"/>
        <v>DUPLICATE - CHECK</v>
      </c>
      <c r="L3748" s="25" t="str">
        <f t="shared" si="48"/>
        <v>F72384</v>
      </c>
      <c r="M3748" s="25"/>
      <c r="O3748" s="25"/>
    </row>
    <row r="3749" ht="15.75" customHeight="1">
      <c r="A3749" s="25" t="str">
        <f>IFERROR(__xludf.DUMMYFUNCTION("IF(B3749="""","""",RIGHT(REGEXREPLACE(B3749&amp;"""",""[^0-9]"",""""),9))"),"767213250")</f>
        <v>767213250</v>
      </c>
      <c r="B3749" s="52">
        <v>7.6721325E8</v>
      </c>
      <c r="C3749" s="28" t="s">
        <v>3790</v>
      </c>
      <c r="D3749" s="26" t="s">
        <v>64</v>
      </c>
      <c r="E3749" s="31">
        <v>46231.0</v>
      </c>
      <c r="F3749" s="26" t="s">
        <v>125</v>
      </c>
      <c r="G3749" s="26">
        <v>11.0</v>
      </c>
      <c r="I3749" s="26" t="s">
        <v>42</v>
      </c>
      <c r="J3749" s="25" t="str">
        <f t="shared" si="46"/>
        <v>No</v>
      </c>
      <c r="K3749" s="25" t="str">
        <f t="shared" si="47"/>
        <v/>
      </c>
      <c r="L3749" s="25" t="str">
        <f t="shared" si="48"/>
        <v/>
      </c>
      <c r="M3749" s="25"/>
      <c r="O3749" s="25"/>
    </row>
    <row r="3750" ht="15.75" customHeight="1">
      <c r="A3750" s="25" t="str">
        <f>IFERROR(__xludf.DUMMYFUNCTION("IF(B3750="""","""",RIGHT(REGEXREPLACE(B3750&amp;"""",""[^0-9]"",""""),9))"),"713279174")</f>
        <v>713279174</v>
      </c>
      <c r="B3750" s="52">
        <v>7.13279174E8</v>
      </c>
      <c r="C3750" s="28" t="s">
        <v>3791</v>
      </c>
      <c r="D3750" s="26" t="s">
        <v>56</v>
      </c>
      <c r="E3750" s="31">
        <v>46231.0</v>
      </c>
      <c r="F3750" s="26" t="s">
        <v>46</v>
      </c>
      <c r="I3750" s="26" t="s">
        <v>42</v>
      </c>
      <c r="J3750" s="25" t="str">
        <f t="shared" si="46"/>
        <v>No</v>
      </c>
      <c r="K3750" s="25" t="str">
        <f t="shared" si="47"/>
        <v/>
      </c>
      <c r="L3750" s="25" t="str">
        <f t="shared" si="48"/>
        <v/>
      </c>
      <c r="M3750" s="25"/>
      <c r="O3750" s="25"/>
    </row>
    <row r="3751" ht="15.75" customHeight="1">
      <c r="A3751" s="25" t="str">
        <f>IFERROR(__xludf.DUMMYFUNCTION("IF(B3751="""","""",RIGHT(REGEXREPLACE(B3751&amp;"""",""[^0-9]"",""""),9))"),"764439269")</f>
        <v>764439269</v>
      </c>
      <c r="B3751" s="52">
        <v>7.64439269E8</v>
      </c>
      <c r="C3751" s="28" t="s">
        <v>3792</v>
      </c>
      <c r="D3751" s="26" t="s">
        <v>49</v>
      </c>
      <c r="E3751" s="31">
        <v>46231.0</v>
      </c>
      <c r="F3751" s="26" t="s">
        <v>46</v>
      </c>
      <c r="G3751" s="26">
        <v>11.0</v>
      </c>
      <c r="I3751" s="26" t="s">
        <v>42</v>
      </c>
      <c r="J3751" s="25" t="str">
        <f t="shared" si="46"/>
        <v>No</v>
      </c>
      <c r="K3751" s="25" t="str">
        <f t="shared" si="47"/>
        <v/>
      </c>
      <c r="L3751" s="25" t="str">
        <f t="shared" si="48"/>
        <v/>
      </c>
      <c r="M3751" s="25"/>
      <c r="O3751" s="25"/>
    </row>
    <row r="3752" ht="15.75" customHeight="1">
      <c r="A3752" s="25" t="str">
        <f>IFERROR(__xludf.DUMMYFUNCTION("IF(B3752="""","""",RIGHT(REGEXREPLACE(B3752&amp;"""",""[^0-9]"",""""),9))"),"761282783")</f>
        <v>761282783</v>
      </c>
      <c r="B3752" s="52">
        <v>7.61282783E8</v>
      </c>
      <c r="C3752" s="28" t="s">
        <v>3793</v>
      </c>
      <c r="D3752" s="26" t="s">
        <v>64</v>
      </c>
      <c r="E3752" s="31">
        <v>46231.0</v>
      </c>
      <c r="F3752" s="26" t="s">
        <v>46</v>
      </c>
      <c r="G3752" s="26">
        <v>11.0</v>
      </c>
      <c r="I3752" s="26" t="s">
        <v>42</v>
      </c>
      <c r="J3752" s="25" t="str">
        <f t="shared" si="46"/>
        <v>No</v>
      </c>
      <c r="K3752" s="25" t="str">
        <f t="shared" si="47"/>
        <v/>
      </c>
      <c r="L3752" s="25" t="str">
        <f t="shared" si="48"/>
        <v/>
      </c>
      <c r="M3752" s="25"/>
      <c r="O3752" s="25"/>
    </row>
    <row r="3753" ht="15.75" customHeight="1">
      <c r="A3753" s="25" t="str">
        <f>IFERROR(__xludf.DUMMYFUNCTION("IF(B3753="""","""",RIGHT(REGEXREPLACE(B3753&amp;"""",""[^0-9]"",""""),9))"),"712789690")</f>
        <v>712789690</v>
      </c>
      <c r="B3753" s="52">
        <v>7.1278969E8</v>
      </c>
      <c r="C3753" s="28" t="s">
        <v>3793</v>
      </c>
      <c r="D3753" s="26" t="s">
        <v>45</v>
      </c>
      <c r="E3753" s="31">
        <v>46231.0</v>
      </c>
      <c r="F3753" s="26" t="s">
        <v>41</v>
      </c>
      <c r="G3753" s="26">
        <v>11.0</v>
      </c>
      <c r="I3753" s="26" t="s">
        <v>42</v>
      </c>
      <c r="J3753" s="25" t="str">
        <f t="shared" si="46"/>
        <v>No</v>
      </c>
      <c r="K3753" s="25" t="str">
        <f t="shared" si="47"/>
        <v/>
      </c>
      <c r="L3753" s="25" t="str">
        <f t="shared" si="48"/>
        <v/>
      </c>
      <c r="M3753" s="25"/>
      <c r="O3753" s="25"/>
    </row>
    <row r="3754" ht="15.75" customHeight="1">
      <c r="A3754" s="25" t="str">
        <f>IFERROR(__xludf.DUMMYFUNCTION("IF(B3754="""","""",RIGHT(REGEXREPLACE(B3754&amp;"""",""[^0-9]"",""""),9))"),"711816163")</f>
        <v>711816163</v>
      </c>
      <c r="B3754" s="52">
        <v>7.11816163E8</v>
      </c>
      <c r="C3754" s="28" t="s">
        <v>3794</v>
      </c>
      <c r="D3754" s="26" t="s">
        <v>56</v>
      </c>
      <c r="E3754" s="31">
        <v>46231.0</v>
      </c>
      <c r="F3754" s="26" t="s">
        <v>164</v>
      </c>
      <c r="G3754" s="26">
        <v>11.0</v>
      </c>
      <c r="I3754" s="26" t="s">
        <v>42</v>
      </c>
      <c r="J3754" s="25" t="str">
        <f t="shared" si="46"/>
        <v>No</v>
      </c>
      <c r="K3754" s="25" t="str">
        <f t="shared" si="47"/>
        <v/>
      </c>
      <c r="L3754" s="25" t="str">
        <f t="shared" si="48"/>
        <v/>
      </c>
      <c r="M3754" s="25"/>
      <c r="O3754" s="25"/>
    </row>
    <row r="3755" ht="15.75" customHeight="1">
      <c r="A3755" s="25" t="str">
        <f>IFERROR(__xludf.DUMMYFUNCTION("IF(B3755="""","""",RIGHT(REGEXREPLACE(B3755&amp;"""",""[^0-9]"",""""),9))"),"771026583")</f>
        <v>771026583</v>
      </c>
      <c r="B3755" s="52">
        <v>7.71026583E8</v>
      </c>
      <c r="C3755" s="28" t="s">
        <v>3795</v>
      </c>
      <c r="D3755" s="26" t="s">
        <v>82</v>
      </c>
      <c r="E3755" s="31">
        <v>46231.0</v>
      </c>
      <c r="F3755" s="26" t="s">
        <v>46</v>
      </c>
      <c r="G3755" s="26">
        <v>11.0</v>
      </c>
      <c r="I3755" s="26" t="s">
        <v>42</v>
      </c>
      <c r="J3755" s="25" t="str">
        <f t="shared" si="46"/>
        <v>No</v>
      </c>
      <c r="K3755" s="25" t="str">
        <f t="shared" si="47"/>
        <v/>
      </c>
      <c r="L3755" s="25" t="str">
        <f t="shared" si="48"/>
        <v/>
      </c>
      <c r="M3755" s="25"/>
      <c r="O3755" s="25"/>
    </row>
    <row r="3756" ht="15.75" customHeight="1">
      <c r="A3756" s="25" t="str">
        <f>IFERROR(__xludf.DUMMYFUNCTION("IF(B3756="""","""",RIGHT(REGEXREPLACE(B3756&amp;"""",""[^0-9]"",""""),9))"),"740144673")</f>
        <v>740144673</v>
      </c>
      <c r="B3756" s="52">
        <v>7.40144673E8</v>
      </c>
      <c r="C3756" s="28" t="s">
        <v>3796</v>
      </c>
      <c r="D3756" s="26" t="s">
        <v>49</v>
      </c>
      <c r="E3756" s="31">
        <v>46231.0</v>
      </c>
      <c r="F3756" s="26" t="s">
        <v>704</v>
      </c>
      <c r="I3756" s="26" t="s">
        <v>42</v>
      </c>
      <c r="J3756" s="25" t="str">
        <f t="shared" si="46"/>
        <v>No</v>
      </c>
      <c r="K3756" s="25" t="str">
        <f t="shared" si="47"/>
        <v/>
      </c>
      <c r="L3756" s="25" t="str">
        <f t="shared" si="48"/>
        <v/>
      </c>
      <c r="M3756" s="25"/>
      <c r="O3756" s="25"/>
    </row>
    <row r="3757" ht="15.75" customHeight="1">
      <c r="A3757" s="25" t="str">
        <f>IFERROR(__xludf.DUMMYFUNCTION("IF(B3757="""","""",RIGHT(REGEXREPLACE(B3757&amp;"""",""[^0-9]"",""""),9))"),"774044512")</f>
        <v>774044512</v>
      </c>
      <c r="B3757" s="52">
        <v>7.74044512E8</v>
      </c>
      <c r="C3757" s="28" t="s">
        <v>3797</v>
      </c>
      <c r="D3757" s="26" t="s">
        <v>45</v>
      </c>
      <c r="E3757" s="31">
        <v>46231.0</v>
      </c>
      <c r="F3757" s="26" t="s">
        <v>46</v>
      </c>
      <c r="G3757" s="26">
        <v>11.0</v>
      </c>
      <c r="I3757" s="26" t="s">
        <v>42</v>
      </c>
      <c r="J3757" s="25" t="str">
        <f t="shared" si="46"/>
        <v>No</v>
      </c>
      <c r="K3757" s="25" t="str">
        <f t="shared" si="47"/>
        <v/>
      </c>
      <c r="L3757" s="25" t="str">
        <f t="shared" si="48"/>
        <v/>
      </c>
      <c r="M3757" s="25"/>
      <c r="O3757" s="25"/>
    </row>
    <row r="3758" ht="15.75" customHeight="1">
      <c r="A3758" s="25" t="str">
        <f>IFERROR(__xludf.DUMMYFUNCTION("IF(B3758="""","""",RIGHT(REGEXREPLACE(B3758&amp;"""",""[^0-9]"",""""),9))"),"702382496")</f>
        <v>702382496</v>
      </c>
      <c r="B3758" s="52">
        <v>7.02382496E8</v>
      </c>
      <c r="C3758" s="28" t="s">
        <v>3798</v>
      </c>
      <c r="D3758" s="26" t="s">
        <v>56</v>
      </c>
      <c r="E3758" s="31">
        <v>46231.0</v>
      </c>
      <c r="F3758" s="26" t="s">
        <v>659</v>
      </c>
      <c r="G3758" s="26">
        <v>6.0</v>
      </c>
      <c r="I3758" s="26" t="s">
        <v>42</v>
      </c>
      <c r="J3758" s="25" t="str">
        <f t="shared" si="46"/>
        <v>No</v>
      </c>
      <c r="K3758" s="25" t="str">
        <f t="shared" si="47"/>
        <v/>
      </c>
      <c r="L3758" s="25" t="str">
        <f t="shared" si="48"/>
        <v/>
      </c>
      <c r="M3758" s="25"/>
      <c r="O3758" s="25"/>
    </row>
    <row r="3759" ht="15.75" customHeight="1">
      <c r="A3759" s="25" t="str">
        <f>IFERROR(__xludf.DUMMYFUNCTION("IF(B3759="""","""",RIGHT(REGEXREPLACE(B3759&amp;"""",""[^0-9]"",""""),9))"),"774345143")</f>
        <v>774345143</v>
      </c>
      <c r="B3759" s="52">
        <v>7.74345143E8</v>
      </c>
      <c r="C3759" s="28" t="s">
        <v>3799</v>
      </c>
      <c r="D3759" s="26" t="s">
        <v>64</v>
      </c>
      <c r="E3759" s="31">
        <v>46231.0</v>
      </c>
      <c r="F3759" s="26" t="s">
        <v>125</v>
      </c>
      <c r="G3759" s="26">
        <v>11.0</v>
      </c>
      <c r="I3759" s="26" t="s">
        <v>42</v>
      </c>
      <c r="J3759" s="25" t="str">
        <f t="shared" si="46"/>
        <v>No</v>
      </c>
      <c r="K3759" s="25" t="str">
        <f t="shared" si="47"/>
        <v/>
      </c>
      <c r="L3759" s="25" t="str">
        <f t="shared" si="48"/>
        <v/>
      </c>
      <c r="M3759" s="25"/>
      <c r="O3759" s="25"/>
    </row>
    <row r="3760" ht="15.75" customHeight="1">
      <c r="A3760" s="25" t="str">
        <f>IFERROR(__xludf.DUMMYFUNCTION("IF(B3760="""","""",RIGHT(REGEXREPLACE(B3760&amp;"""",""[^0-9]"",""""),9))"),"767314978")</f>
        <v>767314978</v>
      </c>
      <c r="B3760" s="52">
        <v>7.67314978E8</v>
      </c>
      <c r="C3760" s="28" t="s">
        <v>3800</v>
      </c>
      <c r="D3760" s="26" t="s">
        <v>82</v>
      </c>
      <c r="E3760" s="31">
        <v>46231.0</v>
      </c>
      <c r="F3760" s="26" t="s">
        <v>46</v>
      </c>
      <c r="G3760" s="26">
        <v>11.0</v>
      </c>
      <c r="I3760" s="26" t="s">
        <v>42</v>
      </c>
      <c r="J3760" s="25" t="str">
        <f t="shared" si="46"/>
        <v>No</v>
      </c>
      <c r="K3760" s="25" t="str">
        <f t="shared" si="47"/>
        <v/>
      </c>
      <c r="L3760" s="25" t="str">
        <f t="shared" si="48"/>
        <v/>
      </c>
      <c r="M3760" s="25"/>
      <c r="O3760" s="25"/>
    </row>
    <row r="3761" ht="15.75" customHeight="1">
      <c r="A3761" s="25" t="str">
        <f>IFERROR(__xludf.DUMMYFUNCTION("IF(B3761="""","""",RIGHT(REGEXREPLACE(B3761&amp;"""",""[^0-9]"",""""),9))"),"761717814")</f>
        <v>761717814</v>
      </c>
      <c r="B3761" s="52">
        <v>7.61717814E8</v>
      </c>
      <c r="C3761" s="28" t="s">
        <v>3801</v>
      </c>
      <c r="D3761" s="26" t="s">
        <v>56</v>
      </c>
      <c r="E3761" s="31">
        <v>46231.0</v>
      </c>
      <c r="F3761" s="26" t="s">
        <v>41</v>
      </c>
      <c r="I3761" s="26" t="s">
        <v>42</v>
      </c>
      <c r="J3761" s="25" t="str">
        <f t="shared" si="46"/>
        <v>No</v>
      </c>
      <c r="K3761" s="25" t="str">
        <f t="shared" si="47"/>
        <v/>
      </c>
      <c r="L3761" s="25" t="str">
        <f t="shared" si="48"/>
        <v/>
      </c>
      <c r="M3761" s="25"/>
      <c r="O3761" s="25"/>
    </row>
    <row r="3762" ht="15.75" customHeight="1">
      <c r="A3762" s="25" t="str">
        <f>IFERROR(__xludf.DUMMYFUNCTION("IF(B3762="""","""",RIGHT(REGEXREPLACE(B3762&amp;"""",""[^0-9]"",""""),9))"),"763801013")</f>
        <v>763801013</v>
      </c>
      <c r="B3762" s="52">
        <v>7.63801013E8</v>
      </c>
      <c r="C3762" s="28" t="s">
        <v>3802</v>
      </c>
      <c r="D3762" s="26" t="s">
        <v>49</v>
      </c>
      <c r="E3762" s="31">
        <v>46231.0</v>
      </c>
      <c r="F3762" s="26" t="s">
        <v>46</v>
      </c>
      <c r="G3762" s="26">
        <v>11.0</v>
      </c>
      <c r="I3762" s="26" t="s">
        <v>42</v>
      </c>
      <c r="J3762" s="25" t="str">
        <f t="shared" si="46"/>
        <v>No</v>
      </c>
      <c r="K3762" s="25" t="str">
        <f t="shared" si="47"/>
        <v/>
      </c>
      <c r="L3762" s="25" t="str">
        <f t="shared" si="48"/>
        <v/>
      </c>
      <c r="M3762" s="25"/>
      <c r="O3762" s="25"/>
    </row>
    <row r="3763" ht="15.75" customHeight="1">
      <c r="A3763" s="25" t="str">
        <f>IFERROR(__xludf.DUMMYFUNCTION("IF(B3763="""","""",RIGHT(REGEXREPLACE(B3763&amp;"""",""[^0-9]"",""""),9))"),"773432701")</f>
        <v>773432701</v>
      </c>
      <c r="B3763" s="52">
        <v>7.73432701E8</v>
      </c>
      <c r="C3763" s="28" t="s">
        <v>3803</v>
      </c>
      <c r="D3763" s="26" t="s">
        <v>64</v>
      </c>
      <c r="E3763" s="31">
        <v>46231.0</v>
      </c>
      <c r="F3763" s="26" t="s">
        <v>46</v>
      </c>
      <c r="H3763" s="26" t="s">
        <v>3804</v>
      </c>
      <c r="I3763" s="26" t="s">
        <v>42</v>
      </c>
      <c r="J3763" s="25" t="str">
        <f t="shared" si="46"/>
        <v>No</v>
      </c>
      <c r="K3763" s="25" t="str">
        <f t="shared" si="47"/>
        <v/>
      </c>
      <c r="L3763" s="25" t="str">
        <f t="shared" si="48"/>
        <v/>
      </c>
      <c r="M3763" s="25"/>
      <c r="O3763" s="25"/>
    </row>
    <row r="3764" ht="15.75" customHeight="1">
      <c r="A3764" s="25" t="str">
        <f>IFERROR(__xludf.DUMMYFUNCTION("IF(B3764="""","""",RIGHT(REGEXREPLACE(B3764&amp;"""",""[^0-9]"",""""),9))"),"762435897")</f>
        <v>762435897</v>
      </c>
      <c r="B3764" s="52">
        <v>7.62435897E8</v>
      </c>
      <c r="C3764" s="28" t="s">
        <v>3339</v>
      </c>
      <c r="D3764" s="26" t="s">
        <v>56</v>
      </c>
      <c r="E3764" s="31">
        <v>46231.0</v>
      </c>
      <c r="F3764" s="25"/>
      <c r="G3764" s="26">
        <v>11.0</v>
      </c>
      <c r="H3764" s="25"/>
      <c r="I3764" s="26" t="s">
        <v>42</v>
      </c>
      <c r="J3764" s="25" t="str">
        <f t="shared" si="46"/>
        <v>No</v>
      </c>
      <c r="K3764" s="25" t="str">
        <f t="shared" si="47"/>
        <v/>
      </c>
      <c r="L3764" s="25" t="str">
        <f t="shared" si="48"/>
        <v/>
      </c>
      <c r="M3764" s="25"/>
      <c r="N3764" s="25"/>
      <c r="O3764" s="25"/>
      <c r="P3764" s="25"/>
    </row>
    <row r="3765" ht="15.75" customHeight="1">
      <c r="A3765" s="25" t="str">
        <f>IFERROR(__xludf.DUMMYFUNCTION("IF(B3765="""","""",RIGHT(REGEXREPLACE(B3765&amp;"""",""[^0-9]"",""""),9))"),"772538748")</f>
        <v>772538748</v>
      </c>
      <c r="B3765" s="52">
        <v>7.72538748E8</v>
      </c>
      <c r="C3765" s="28" t="s">
        <v>3805</v>
      </c>
      <c r="D3765" s="26" t="s">
        <v>45</v>
      </c>
      <c r="E3765" s="31">
        <v>46231.0</v>
      </c>
      <c r="F3765" s="26" t="s">
        <v>704</v>
      </c>
      <c r="I3765" s="26" t="s">
        <v>42</v>
      </c>
      <c r="J3765" s="25" t="str">
        <f t="shared" si="46"/>
        <v>No</v>
      </c>
      <c r="K3765" s="25" t="str">
        <f t="shared" si="47"/>
        <v/>
      </c>
      <c r="L3765" s="25" t="str">
        <f t="shared" si="48"/>
        <v/>
      </c>
      <c r="M3765" s="25"/>
      <c r="O3765" s="25"/>
    </row>
    <row r="3766" ht="15.75" customHeight="1">
      <c r="A3766" s="25" t="str">
        <f>IFERROR(__xludf.DUMMYFUNCTION("IF(B3766="""","""",RIGHT(REGEXREPLACE(B3766&amp;"""",""[^0-9]"",""""),9))"),"740298649")</f>
        <v>740298649</v>
      </c>
      <c r="B3766" s="52">
        <v>7.40298649E8</v>
      </c>
      <c r="C3766" s="28" t="s">
        <v>3806</v>
      </c>
      <c r="D3766" s="26" t="s">
        <v>45</v>
      </c>
      <c r="E3766" s="31">
        <v>46231.0</v>
      </c>
      <c r="F3766" s="26" t="s">
        <v>46</v>
      </c>
      <c r="G3766" s="26">
        <v>10.0</v>
      </c>
      <c r="I3766" s="26" t="s">
        <v>42</v>
      </c>
      <c r="J3766" s="25" t="str">
        <f t="shared" si="46"/>
        <v>No</v>
      </c>
      <c r="K3766" s="25" t="str">
        <f t="shared" si="47"/>
        <v/>
      </c>
      <c r="L3766" s="25" t="str">
        <f t="shared" si="48"/>
        <v/>
      </c>
      <c r="M3766" s="25"/>
      <c r="O3766" s="25"/>
    </row>
    <row r="3767" ht="15.75" customHeight="1">
      <c r="A3767" s="25" t="str">
        <f>IFERROR(__xludf.DUMMYFUNCTION("IF(B3767="""","""",RIGHT(REGEXREPLACE(B3767&amp;"""",""[^0-9]"",""""),9))"),"760300511")</f>
        <v>760300511</v>
      </c>
      <c r="B3767" s="52">
        <v>7.60300511E8</v>
      </c>
      <c r="C3767" s="28" t="s">
        <v>3356</v>
      </c>
      <c r="D3767" s="26" t="s">
        <v>64</v>
      </c>
      <c r="E3767" s="31">
        <v>46231.0</v>
      </c>
      <c r="F3767" s="26" t="s">
        <v>46</v>
      </c>
      <c r="G3767" s="26">
        <v>11.0</v>
      </c>
      <c r="I3767" s="26" t="s">
        <v>42</v>
      </c>
      <c r="J3767" s="25" t="str">
        <f t="shared" si="46"/>
        <v>Yes - see Previous F-Code</v>
      </c>
      <c r="K3767" s="25" t="str">
        <f t="shared" si="47"/>
        <v>DUPLICATE - CHECK</v>
      </c>
      <c r="L3767" s="25" t="str">
        <f t="shared" si="48"/>
        <v>F73016</v>
      </c>
      <c r="M3767" s="25"/>
      <c r="O3767" s="25"/>
    </row>
    <row r="3768" ht="15.75" customHeight="1">
      <c r="A3768" s="25" t="str">
        <f>IFERROR(__xludf.DUMMYFUNCTION("IF(B3768="""","""",RIGHT(REGEXREPLACE(B3768&amp;"""",""[^0-9]"",""""),9))"),"742153883")</f>
        <v>742153883</v>
      </c>
      <c r="B3768" s="52">
        <v>7.42153883E8</v>
      </c>
      <c r="C3768" s="28" t="s">
        <v>3807</v>
      </c>
      <c r="D3768" s="26" t="s">
        <v>49</v>
      </c>
      <c r="E3768" s="31">
        <v>46231.0</v>
      </c>
      <c r="F3768" s="26" t="s">
        <v>46</v>
      </c>
      <c r="G3768" s="26">
        <v>11.0</v>
      </c>
      <c r="I3768" s="26" t="s">
        <v>42</v>
      </c>
      <c r="J3768" s="25" t="str">
        <f t="shared" si="46"/>
        <v>No</v>
      </c>
      <c r="K3768" s="25" t="str">
        <f t="shared" si="47"/>
        <v/>
      </c>
      <c r="L3768" s="25" t="str">
        <f t="shared" si="48"/>
        <v/>
      </c>
      <c r="M3768" s="25"/>
      <c r="O3768" s="25"/>
    </row>
    <row r="3769" ht="15.75" customHeight="1">
      <c r="A3769" s="25" t="str">
        <f>IFERROR(__xludf.DUMMYFUNCTION("IF(B3769="""","""",RIGHT(REGEXREPLACE(B3769&amp;"""",""[^0-9]"",""""),9))"),"778031349")</f>
        <v>778031349</v>
      </c>
      <c r="B3769" s="52">
        <v>7.78031349E8</v>
      </c>
      <c r="C3769" s="28" t="s">
        <v>3808</v>
      </c>
      <c r="D3769" s="26" t="s">
        <v>82</v>
      </c>
      <c r="E3769" s="31">
        <v>46231.0</v>
      </c>
      <c r="F3769" s="26" t="s">
        <v>41</v>
      </c>
      <c r="I3769" s="26" t="s">
        <v>42</v>
      </c>
      <c r="J3769" s="25" t="str">
        <f t="shared" si="46"/>
        <v>No</v>
      </c>
      <c r="K3769" s="25" t="str">
        <f t="shared" si="47"/>
        <v/>
      </c>
      <c r="L3769" s="25" t="str">
        <f t="shared" si="48"/>
        <v/>
      </c>
      <c r="M3769" s="25"/>
      <c r="O3769" s="25"/>
    </row>
    <row r="3770" ht="15.75" customHeight="1">
      <c r="A3770" s="25" t="str">
        <f>IFERROR(__xludf.DUMMYFUNCTION("IF(B3770="""","""",RIGHT(REGEXREPLACE(B3770&amp;"""",""[^0-9]"",""""),9))"),"766264047")</f>
        <v>766264047</v>
      </c>
      <c r="B3770" s="52">
        <v>7.66264047E8</v>
      </c>
      <c r="C3770" s="28" t="s">
        <v>3809</v>
      </c>
      <c r="D3770" s="26" t="s">
        <v>56</v>
      </c>
      <c r="E3770" s="31">
        <v>46231.0</v>
      </c>
      <c r="F3770" s="26" t="s">
        <v>41</v>
      </c>
      <c r="I3770" s="26" t="s">
        <v>42</v>
      </c>
      <c r="J3770" s="25" t="str">
        <f t="shared" si="46"/>
        <v>No</v>
      </c>
      <c r="K3770" s="25" t="str">
        <f t="shared" si="47"/>
        <v/>
      </c>
      <c r="L3770" s="25" t="str">
        <f t="shared" si="48"/>
        <v/>
      </c>
      <c r="M3770" s="25"/>
      <c r="O3770" s="25"/>
    </row>
    <row r="3771" ht="15.75" customHeight="1">
      <c r="A3771" s="25" t="str">
        <f>IFERROR(__xludf.DUMMYFUNCTION("IF(B3771="""","""",RIGHT(REGEXREPLACE(B3771&amp;"""",""[^0-9]"",""""),9))"),"727075750")</f>
        <v>727075750</v>
      </c>
      <c r="B3771" s="52">
        <v>7.2707575E8</v>
      </c>
      <c r="C3771" s="28" t="s">
        <v>3810</v>
      </c>
      <c r="D3771" s="26" t="s">
        <v>64</v>
      </c>
      <c r="E3771" s="31">
        <v>46231.0</v>
      </c>
      <c r="F3771" s="26" t="s">
        <v>205</v>
      </c>
      <c r="I3771" s="26" t="s">
        <v>42</v>
      </c>
      <c r="J3771" s="25" t="str">
        <f t="shared" si="46"/>
        <v>No</v>
      </c>
      <c r="K3771" s="25" t="str">
        <f t="shared" si="47"/>
        <v/>
      </c>
      <c r="L3771" s="25" t="str">
        <f t="shared" si="48"/>
        <v/>
      </c>
      <c r="M3771" s="25"/>
      <c r="O3771" s="25"/>
    </row>
    <row r="3772" ht="15.75" customHeight="1">
      <c r="A3772" s="25" t="str">
        <f>IFERROR(__xludf.DUMMYFUNCTION("IF(B3772="""","""",RIGHT(REGEXREPLACE(B3772&amp;"""",""[^0-9]"",""""),9))"),"775542904")</f>
        <v>775542904</v>
      </c>
      <c r="B3772" s="52">
        <v>7.75542904E8</v>
      </c>
      <c r="C3772" s="28" t="s">
        <v>3811</v>
      </c>
      <c r="D3772" s="26" t="s">
        <v>82</v>
      </c>
      <c r="E3772" s="31">
        <v>46231.0</v>
      </c>
      <c r="F3772" s="25"/>
      <c r="G3772" s="25"/>
      <c r="H3772" s="25"/>
      <c r="I3772" s="26" t="s">
        <v>42</v>
      </c>
      <c r="J3772" s="25" t="str">
        <f t="shared" si="46"/>
        <v>No</v>
      </c>
      <c r="K3772" s="25" t="str">
        <f t="shared" si="47"/>
        <v/>
      </c>
      <c r="L3772" s="25" t="str">
        <f t="shared" si="48"/>
        <v/>
      </c>
      <c r="M3772" s="25"/>
      <c r="N3772" s="25"/>
      <c r="O3772" s="25"/>
      <c r="P3772" s="25"/>
    </row>
    <row r="3773" ht="15.75" customHeight="1">
      <c r="A3773" s="25" t="str">
        <f>IFERROR(__xludf.DUMMYFUNCTION("IF(B3773="""","""",RIGHT(REGEXREPLACE(B3773&amp;"""",""[^0-9]"",""""),9))"),"770514364")</f>
        <v>770514364</v>
      </c>
      <c r="B3773" s="52">
        <v>7.70514364E8</v>
      </c>
      <c r="C3773" s="28" t="s">
        <v>3809</v>
      </c>
      <c r="D3773" s="26" t="s">
        <v>45</v>
      </c>
      <c r="E3773" s="31">
        <v>46231.0</v>
      </c>
      <c r="F3773" s="26" t="s">
        <v>41</v>
      </c>
      <c r="I3773" s="26" t="s">
        <v>42</v>
      </c>
      <c r="J3773" s="25" t="str">
        <f t="shared" si="46"/>
        <v>No</v>
      </c>
      <c r="K3773" s="25" t="str">
        <f t="shared" si="47"/>
        <v/>
      </c>
      <c r="L3773" s="25" t="str">
        <f t="shared" si="48"/>
        <v/>
      </c>
      <c r="M3773" s="25"/>
      <c r="O3773" s="25"/>
    </row>
    <row r="3774" ht="15.75" customHeight="1">
      <c r="A3774" s="25" t="str">
        <f>IFERROR(__xludf.DUMMYFUNCTION("IF(B3774="""","""",RIGHT(REGEXREPLACE(B3774&amp;"""",""[^0-9]"",""""),9))"),"784823406")</f>
        <v>784823406</v>
      </c>
      <c r="B3774" s="52">
        <v>7.84823406E8</v>
      </c>
      <c r="C3774" s="28" t="s">
        <v>3812</v>
      </c>
      <c r="D3774" s="26" t="s">
        <v>64</v>
      </c>
      <c r="E3774" s="31">
        <v>46231.0</v>
      </c>
      <c r="F3774" s="26" t="s">
        <v>41</v>
      </c>
      <c r="G3774" s="26">
        <v>8.0</v>
      </c>
      <c r="I3774" s="26" t="s">
        <v>42</v>
      </c>
      <c r="J3774" s="25" t="str">
        <f t="shared" si="46"/>
        <v>No</v>
      </c>
      <c r="K3774" s="25" t="str">
        <f t="shared" si="47"/>
        <v/>
      </c>
      <c r="L3774" s="25" t="str">
        <f t="shared" si="48"/>
        <v/>
      </c>
      <c r="M3774" s="25"/>
      <c r="O3774" s="25"/>
    </row>
    <row r="3775" ht="15.75" customHeight="1">
      <c r="A3775" s="25" t="str">
        <f>IFERROR(__xludf.DUMMYFUNCTION("IF(B3775="""","""",RIGHT(REGEXREPLACE(B3775&amp;"""",""[^0-9]"",""""),9))"),"776962801")</f>
        <v>776962801</v>
      </c>
      <c r="B3775" s="52">
        <v>7.76962801E8</v>
      </c>
      <c r="C3775" s="28" t="s">
        <v>3813</v>
      </c>
      <c r="D3775" s="26" t="s">
        <v>56</v>
      </c>
      <c r="E3775" s="31">
        <v>46231.0</v>
      </c>
      <c r="F3775" s="26" t="s">
        <v>41</v>
      </c>
      <c r="G3775" s="26">
        <v>11.0</v>
      </c>
      <c r="I3775" s="26" t="s">
        <v>42</v>
      </c>
      <c r="J3775" s="25" t="str">
        <f t="shared" si="46"/>
        <v>No</v>
      </c>
      <c r="K3775" s="25" t="str">
        <f t="shared" si="47"/>
        <v/>
      </c>
      <c r="L3775" s="25" t="str">
        <f t="shared" si="48"/>
        <v/>
      </c>
      <c r="M3775" s="25"/>
      <c r="O3775" s="25"/>
    </row>
    <row r="3776" ht="15.75" customHeight="1">
      <c r="A3776" s="25" t="str">
        <f>IFERROR(__xludf.DUMMYFUNCTION("IF(B3776="""","""",RIGHT(REGEXREPLACE(B3776&amp;"""",""[^0-9]"",""""),9))"),"701849562")</f>
        <v>701849562</v>
      </c>
      <c r="B3776" s="52">
        <v>7.01849562E8</v>
      </c>
      <c r="C3776" s="28" t="s">
        <v>3814</v>
      </c>
      <c r="D3776" s="26" t="s">
        <v>82</v>
      </c>
      <c r="E3776" s="31">
        <v>46231.0</v>
      </c>
      <c r="F3776" s="26" t="s">
        <v>46</v>
      </c>
      <c r="G3776" s="26">
        <v>11.0</v>
      </c>
      <c r="I3776" s="26" t="s">
        <v>42</v>
      </c>
      <c r="J3776" s="25" t="str">
        <f t="shared" si="46"/>
        <v>No</v>
      </c>
      <c r="K3776" s="25" t="str">
        <f t="shared" si="47"/>
        <v/>
      </c>
      <c r="L3776" s="25" t="str">
        <f t="shared" si="48"/>
        <v/>
      </c>
      <c r="M3776" s="25"/>
      <c r="O3776" s="25"/>
    </row>
    <row r="3777" ht="15.75" customHeight="1">
      <c r="A3777" s="25" t="str">
        <f>IFERROR(__xludf.DUMMYFUNCTION("IF(B3777="""","""",RIGHT(REGEXREPLACE(B3777&amp;"""",""[^0-9]"",""""),9))"),"777663600")</f>
        <v>777663600</v>
      </c>
      <c r="B3777" s="52">
        <v>7.776636E8</v>
      </c>
      <c r="C3777" s="28" t="s">
        <v>2762</v>
      </c>
      <c r="D3777" s="26" t="s">
        <v>45</v>
      </c>
      <c r="E3777" s="31">
        <v>46231.0</v>
      </c>
      <c r="F3777" s="26" t="s">
        <v>41</v>
      </c>
      <c r="G3777" s="26">
        <v>10.0</v>
      </c>
      <c r="I3777" s="26" t="s">
        <v>42</v>
      </c>
      <c r="J3777" s="25" t="str">
        <f t="shared" si="46"/>
        <v>Yes - see Previous F-Code</v>
      </c>
      <c r="K3777" s="25" t="str">
        <f t="shared" si="47"/>
        <v>DUPLICATE - CHECK</v>
      </c>
      <c r="L3777" s="25" t="str">
        <f t="shared" si="48"/>
        <v>F72449</v>
      </c>
      <c r="M3777" s="25"/>
      <c r="O3777" s="25"/>
    </row>
    <row r="3778" ht="15.75" customHeight="1">
      <c r="A3778" s="25" t="str">
        <f>IFERROR(__xludf.DUMMYFUNCTION("IF(B3778="""","""",RIGHT(REGEXREPLACE(B3778&amp;"""",""[^0-9]"",""""),9))"),"721327787")</f>
        <v>721327787</v>
      </c>
      <c r="B3778" s="52">
        <v>7.21327787E8</v>
      </c>
      <c r="C3778" s="28" t="s">
        <v>3815</v>
      </c>
      <c r="D3778" s="26" t="s">
        <v>49</v>
      </c>
      <c r="E3778" s="31">
        <v>46231.0</v>
      </c>
      <c r="F3778" s="26" t="s">
        <v>659</v>
      </c>
      <c r="I3778" s="26" t="s">
        <v>42</v>
      </c>
      <c r="J3778" s="25" t="str">
        <f t="shared" si="46"/>
        <v>No</v>
      </c>
      <c r="K3778" s="25" t="str">
        <f t="shared" si="47"/>
        <v/>
      </c>
      <c r="L3778" s="25" t="str">
        <f t="shared" si="48"/>
        <v/>
      </c>
      <c r="M3778" s="25"/>
      <c r="O3778" s="25"/>
    </row>
    <row r="3779" ht="15.75" customHeight="1">
      <c r="A3779" s="25" t="str">
        <f>IFERROR(__xludf.DUMMYFUNCTION("IF(B3779="""","""",RIGHT(REGEXREPLACE(B3779&amp;"""",""[^0-9]"",""""),9))"),"772625371")</f>
        <v>772625371</v>
      </c>
      <c r="B3779" s="52">
        <v>7.72625371E8</v>
      </c>
      <c r="C3779" s="28" t="s">
        <v>3816</v>
      </c>
      <c r="D3779" s="26" t="s">
        <v>82</v>
      </c>
      <c r="E3779" s="31">
        <v>46231.0</v>
      </c>
      <c r="F3779" s="25"/>
      <c r="G3779" s="25"/>
      <c r="H3779" s="25"/>
      <c r="I3779" s="26" t="s">
        <v>42</v>
      </c>
      <c r="J3779" s="25" t="str">
        <f t="shared" si="46"/>
        <v>No</v>
      </c>
      <c r="K3779" s="25" t="str">
        <f t="shared" si="47"/>
        <v/>
      </c>
      <c r="L3779" s="25" t="str">
        <f t="shared" si="48"/>
        <v/>
      </c>
      <c r="M3779" s="25"/>
      <c r="N3779" s="25"/>
      <c r="O3779" s="25"/>
      <c r="P3779" s="25"/>
    </row>
    <row r="3780" ht="15.75" customHeight="1">
      <c r="A3780" s="25" t="str">
        <f>IFERROR(__xludf.DUMMYFUNCTION("IF(B3780="""","""",RIGHT(REGEXREPLACE(B3780&amp;"""",""[^0-9]"",""""),9))"),"772016581")</f>
        <v>772016581</v>
      </c>
      <c r="B3780" s="52">
        <v>7.72016581E8</v>
      </c>
      <c r="C3780" s="28" t="s">
        <v>3817</v>
      </c>
      <c r="D3780" s="26" t="s">
        <v>45</v>
      </c>
      <c r="E3780" s="31">
        <v>46231.0</v>
      </c>
      <c r="F3780" s="26" t="s">
        <v>46</v>
      </c>
      <c r="G3780" s="26">
        <v>11.0</v>
      </c>
      <c r="I3780" s="26" t="s">
        <v>42</v>
      </c>
      <c r="J3780" s="25" t="str">
        <f t="shared" si="46"/>
        <v>No</v>
      </c>
      <c r="K3780" s="25" t="str">
        <f t="shared" si="47"/>
        <v/>
      </c>
      <c r="L3780" s="25" t="str">
        <f t="shared" si="48"/>
        <v/>
      </c>
      <c r="M3780" s="25"/>
      <c r="O3780" s="25"/>
    </row>
    <row r="3781" ht="15.75" customHeight="1">
      <c r="A3781" s="25" t="str">
        <f>IFERROR(__xludf.DUMMYFUNCTION("IF(B3781="""","""",RIGHT(REGEXREPLACE(B3781&amp;"""",""[^0-9]"",""""),9))"),"767866464")</f>
        <v>767866464</v>
      </c>
      <c r="B3781" s="52">
        <v>7.67866464E8</v>
      </c>
      <c r="C3781" s="28" t="s">
        <v>3818</v>
      </c>
      <c r="D3781" s="26" t="s">
        <v>56</v>
      </c>
      <c r="E3781" s="31">
        <v>46231.0</v>
      </c>
      <c r="F3781" s="26" t="s">
        <v>41</v>
      </c>
      <c r="G3781" s="26">
        <v>11.0</v>
      </c>
      <c r="I3781" s="26" t="s">
        <v>42</v>
      </c>
      <c r="J3781" s="25" t="str">
        <f t="shared" si="46"/>
        <v>No</v>
      </c>
      <c r="K3781" s="25" t="str">
        <f t="shared" si="47"/>
        <v/>
      </c>
      <c r="L3781" s="25" t="str">
        <f t="shared" si="48"/>
        <v/>
      </c>
      <c r="M3781" s="25"/>
      <c r="O3781" s="25"/>
    </row>
    <row r="3782" ht="15.75" customHeight="1">
      <c r="A3782" s="25" t="str">
        <f>IFERROR(__xludf.DUMMYFUNCTION("IF(B3782="""","""",RIGHT(REGEXREPLACE(B3782&amp;"""",""[^0-9]"",""""),9))"),"763416151")</f>
        <v>763416151</v>
      </c>
      <c r="B3782" s="52">
        <v>7.63416151E8</v>
      </c>
      <c r="C3782" s="28" t="s">
        <v>3819</v>
      </c>
      <c r="D3782" s="26" t="s">
        <v>64</v>
      </c>
      <c r="E3782" s="31">
        <v>46231.0</v>
      </c>
      <c r="F3782" s="26" t="s">
        <v>46</v>
      </c>
      <c r="I3782" s="26" t="s">
        <v>42</v>
      </c>
      <c r="J3782" s="25" t="str">
        <f t="shared" si="46"/>
        <v>No</v>
      </c>
      <c r="K3782" s="25" t="str">
        <f t="shared" si="47"/>
        <v/>
      </c>
      <c r="L3782" s="25" t="str">
        <f t="shared" si="48"/>
        <v/>
      </c>
      <c r="M3782" s="25"/>
      <c r="O3782" s="25"/>
    </row>
    <row r="3783" ht="15.75" customHeight="1">
      <c r="A3783" s="25" t="str">
        <f>IFERROR(__xludf.DUMMYFUNCTION("IF(B3783="""","""",RIGHT(REGEXREPLACE(B3783&amp;"""",""[^0-9]"",""""),9))"),"766972746")</f>
        <v>766972746</v>
      </c>
      <c r="B3783" s="52">
        <v>7.66972746E8</v>
      </c>
      <c r="C3783" s="28" t="s">
        <v>3820</v>
      </c>
      <c r="D3783" s="26" t="s">
        <v>45</v>
      </c>
      <c r="E3783" s="31">
        <v>46231.0</v>
      </c>
      <c r="F3783" s="26" t="s">
        <v>125</v>
      </c>
      <c r="I3783" s="26" t="s">
        <v>42</v>
      </c>
      <c r="J3783" s="25" t="str">
        <f t="shared" si="46"/>
        <v>No</v>
      </c>
      <c r="K3783" s="25" t="str">
        <f t="shared" si="47"/>
        <v/>
      </c>
      <c r="L3783" s="25" t="str">
        <f t="shared" si="48"/>
        <v/>
      </c>
      <c r="M3783" s="25"/>
      <c r="O3783" s="25"/>
    </row>
    <row r="3784" ht="15.75" customHeight="1">
      <c r="A3784" s="25" t="str">
        <f>IFERROR(__xludf.DUMMYFUNCTION("IF(B3784="""","""",RIGHT(REGEXREPLACE(B3784&amp;"""",""[^0-9]"",""""),9))"),"761685741")</f>
        <v>761685741</v>
      </c>
      <c r="B3784" s="52">
        <v>7.61685741E8</v>
      </c>
      <c r="C3784" s="28" t="s">
        <v>3821</v>
      </c>
      <c r="D3784" s="26" t="s">
        <v>49</v>
      </c>
      <c r="E3784" s="31">
        <v>46231.0</v>
      </c>
      <c r="F3784" s="26" t="s">
        <v>46</v>
      </c>
      <c r="G3784" s="26">
        <v>10.0</v>
      </c>
      <c r="H3784" s="26" t="s">
        <v>253</v>
      </c>
      <c r="I3784" s="26" t="s">
        <v>42</v>
      </c>
      <c r="J3784" s="25" t="str">
        <f t="shared" si="46"/>
        <v>No</v>
      </c>
      <c r="K3784" s="25" t="str">
        <f t="shared" si="47"/>
        <v/>
      </c>
      <c r="L3784" s="25" t="str">
        <f t="shared" si="48"/>
        <v/>
      </c>
      <c r="M3784" s="25"/>
      <c r="O3784" s="25"/>
    </row>
    <row r="3785" ht="15.75" customHeight="1">
      <c r="A3785" s="25" t="str">
        <f>IFERROR(__xludf.DUMMYFUNCTION("IF(B3785="""","""",RIGHT(REGEXREPLACE(B3785&amp;"""",""[^0-9]"",""""),9))"),"765580356")</f>
        <v>765580356</v>
      </c>
      <c r="B3785" s="52">
        <v>7.65580356E8</v>
      </c>
      <c r="C3785" s="28" t="s">
        <v>3822</v>
      </c>
      <c r="D3785" s="26" t="s">
        <v>82</v>
      </c>
      <c r="E3785" s="31">
        <v>46231.0</v>
      </c>
      <c r="F3785" s="26" t="s">
        <v>205</v>
      </c>
      <c r="G3785" s="26">
        <v>11.0</v>
      </c>
      <c r="I3785" s="26" t="s">
        <v>42</v>
      </c>
      <c r="J3785" s="25" t="str">
        <f t="shared" si="46"/>
        <v>No</v>
      </c>
      <c r="K3785" s="25" t="str">
        <f t="shared" si="47"/>
        <v/>
      </c>
      <c r="L3785" s="25" t="str">
        <f t="shared" si="48"/>
        <v/>
      </c>
      <c r="M3785" s="25"/>
      <c r="O3785" s="25"/>
    </row>
    <row r="3786" ht="15.75" customHeight="1">
      <c r="A3786" s="25" t="str">
        <f>IFERROR(__xludf.DUMMYFUNCTION("IF(B3786="""","""",RIGHT(REGEXREPLACE(B3786&amp;"""",""[^0-9]"",""""),9))"),"740527192")</f>
        <v>740527192</v>
      </c>
      <c r="B3786" s="52">
        <v>7.40527192E8</v>
      </c>
      <c r="C3786" s="28" t="s">
        <v>3823</v>
      </c>
      <c r="D3786" s="26" t="s">
        <v>45</v>
      </c>
      <c r="E3786" s="31">
        <v>46231.0</v>
      </c>
      <c r="F3786" s="26" t="s">
        <v>46</v>
      </c>
      <c r="G3786" s="26">
        <v>10.0</v>
      </c>
      <c r="I3786" s="26" t="s">
        <v>42</v>
      </c>
      <c r="J3786" s="25" t="str">
        <f t="shared" si="46"/>
        <v>No</v>
      </c>
      <c r="K3786" s="25" t="str">
        <f t="shared" si="47"/>
        <v/>
      </c>
      <c r="L3786" s="25" t="str">
        <f t="shared" si="48"/>
        <v/>
      </c>
      <c r="M3786" s="25"/>
      <c r="O3786" s="25"/>
    </row>
    <row r="3787" ht="15.75" customHeight="1">
      <c r="A3787" s="25" t="str">
        <f>IFERROR(__xludf.DUMMYFUNCTION("IF(B3787="""","""",RIGHT(REGEXREPLACE(B3787&amp;"""",""[^0-9]"",""""),9))"),"702442319")</f>
        <v>702442319</v>
      </c>
      <c r="B3787" s="52">
        <v>7.02442319E8</v>
      </c>
      <c r="C3787" s="28" t="s">
        <v>3824</v>
      </c>
      <c r="D3787" s="26" t="s">
        <v>64</v>
      </c>
      <c r="E3787" s="31">
        <v>46231.0</v>
      </c>
      <c r="F3787" s="26" t="s">
        <v>46</v>
      </c>
      <c r="G3787" s="26">
        <v>11.0</v>
      </c>
      <c r="I3787" s="26" t="s">
        <v>42</v>
      </c>
      <c r="J3787" s="25" t="str">
        <f t="shared" si="46"/>
        <v>No</v>
      </c>
      <c r="K3787" s="25" t="str">
        <f t="shared" si="47"/>
        <v/>
      </c>
      <c r="L3787" s="25" t="str">
        <f t="shared" si="48"/>
        <v/>
      </c>
      <c r="M3787" s="25"/>
      <c r="O3787" s="25"/>
    </row>
    <row r="3788" ht="15.75" customHeight="1">
      <c r="A3788" s="25" t="str">
        <f>IFERROR(__xludf.DUMMYFUNCTION("IF(B3788="""","""",RIGHT(REGEXREPLACE(B3788&amp;"""",""[^0-9]"",""""),9))"),"771310295")</f>
        <v>771310295</v>
      </c>
      <c r="B3788" s="52">
        <v>7.71310295E8</v>
      </c>
      <c r="C3788" s="28" t="s">
        <v>3825</v>
      </c>
      <c r="D3788" s="26" t="s">
        <v>82</v>
      </c>
      <c r="E3788" s="31">
        <v>46231.0</v>
      </c>
      <c r="F3788" s="26" t="s">
        <v>46</v>
      </c>
      <c r="G3788" s="26">
        <v>11.0</v>
      </c>
      <c r="I3788" s="26" t="s">
        <v>42</v>
      </c>
      <c r="J3788" s="25" t="str">
        <f t="shared" si="46"/>
        <v>No</v>
      </c>
      <c r="K3788" s="25" t="str">
        <f t="shared" si="47"/>
        <v/>
      </c>
      <c r="L3788" s="25" t="str">
        <f t="shared" si="48"/>
        <v/>
      </c>
      <c r="M3788" s="25"/>
      <c r="O3788" s="25"/>
    </row>
    <row r="3789" ht="15.75" customHeight="1">
      <c r="A3789" s="25" t="str">
        <f>IFERROR(__xludf.DUMMYFUNCTION("IF(B3789="""","""",RIGHT(REGEXREPLACE(B3789&amp;"""",""[^0-9]"",""""),9))"),"788870310")</f>
        <v>788870310</v>
      </c>
      <c r="B3789" s="52">
        <v>7.8887031E8</v>
      </c>
      <c r="C3789" s="28" t="s">
        <v>3826</v>
      </c>
      <c r="D3789" s="26" t="s">
        <v>49</v>
      </c>
      <c r="E3789" s="31">
        <v>46231.0</v>
      </c>
      <c r="F3789" s="26" t="s">
        <v>46</v>
      </c>
      <c r="H3789" s="26" t="s">
        <v>253</v>
      </c>
      <c r="I3789" s="26" t="s">
        <v>42</v>
      </c>
      <c r="J3789" s="25" t="str">
        <f t="shared" si="46"/>
        <v>No</v>
      </c>
      <c r="K3789" s="25" t="str">
        <f t="shared" si="47"/>
        <v/>
      </c>
      <c r="L3789" s="25" t="str">
        <f t="shared" si="48"/>
        <v/>
      </c>
      <c r="M3789" s="25"/>
      <c r="O3789" s="25"/>
    </row>
    <row r="3790" ht="15.75" customHeight="1">
      <c r="A3790" s="25" t="str">
        <f>IFERROR(__xludf.DUMMYFUNCTION("IF(B3790="""","""",RIGHT(REGEXREPLACE(B3790&amp;"""",""[^0-9]"",""""),9))"),"770258767")</f>
        <v>770258767</v>
      </c>
      <c r="B3790" s="52">
        <v>7.70258767E8</v>
      </c>
      <c r="C3790" s="28" t="s">
        <v>3827</v>
      </c>
      <c r="D3790" s="26" t="s">
        <v>56</v>
      </c>
      <c r="E3790" s="31">
        <v>46231.0</v>
      </c>
      <c r="F3790" s="26" t="s">
        <v>46</v>
      </c>
      <c r="G3790" s="26">
        <v>11.0</v>
      </c>
      <c r="I3790" s="26" t="s">
        <v>42</v>
      </c>
      <c r="J3790" s="25" t="str">
        <f t="shared" si="46"/>
        <v>No</v>
      </c>
      <c r="K3790" s="25" t="str">
        <f t="shared" si="47"/>
        <v/>
      </c>
      <c r="L3790" s="25" t="str">
        <f t="shared" si="48"/>
        <v/>
      </c>
      <c r="M3790" s="25"/>
      <c r="O3790" s="25"/>
    </row>
    <row r="3791" ht="15.75" customHeight="1">
      <c r="A3791" s="25" t="str">
        <f>IFERROR(__xludf.DUMMYFUNCTION("IF(B3791="""","""",RIGHT(REGEXREPLACE(B3791&amp;"""",""[^0-9]"",""""),9))"),"714394795")</f>
        <v>714394795</v>
      </c>
      <c r="B3791" s="52">
        <v>7.14394795E8</v>
      </c>
      <c r="C3791" s="28" t="s">
        <v>3828</v>
      </c>
      <c r="D3791" s="26" t="s">
        <v>64</v>
      </c>
      <c r="E3791" s="31">
        <v>46231.0</v>
      </c>
      <c r="F3791" s="26" t="s">
        <v>46</v>
      </c>
      <c r="G3791" s="26">
        <v>11.0</v>
      </c>
      <c r="I3791" s="26" t="s">
        <v>42</v>
      </c>
      <c r="J3791" s="25" t="str">
        <f t="shared" si="46"/>
        <v>No</v>
      </c>
      <c r="K3791" s="25" t="str">
        <f t="shared" si="47"/>
        <v/>
      </c>
      <c r="L3791" s="25" t="str">
        <f t="shared" si="48"/>
        <v/>
      </c>
      <c r="M3791" s="25"/>
      <c r="O3791" s="25"/>
    </row>
    <row r="3792" ht="15.75" customHeight="1">
      <c r="A3792" s="25" t="str">
        <f>IFERROR(__xludf.DUMMYFUNCTION("IF(B3792="""","""",RIGHT(REGEXREPLACE(B3792&amp;"""",""[^0-9]"",""""),9))"),"767482996")</f>
        <v>767482996</v>
      </c>
      <c r="B3792" s="52">
        <v>7.67482996E8</v>
      </c>
      <c r="C3792" s="28" t="s">
        <v>3829</v>
      </c>
      <c r="D3792" s="26" t="s">
        <v>49</v>
      </c>
      <c r="E3792" s="31">
        <v>46231.0</v>
      </c>
      <c r="F3792" s="26" t="s">
        <v>659</v>
      </c>
      <c r="I3792" s="26" t="s">
        <v>42</v>
      </c>
      <c r="J3792" s="25" t="str">
        <f t="shared" si="46"/>
        <v>No</v>
      </c>
      <c r="K3792" s="25" t="str">
        <f t="shared" si="47"/>
        <v/>
      </c>
      <c r="L3792" s="25" t="str">
        <f t="shared" si="48"/>
        <v/>
      </c>
      <c r="M3792" s="25"/>
      <c r="O3792" s="25"/>
    </row>
    <row r="3793" ht="15.75" customHeight="1">
      <c r="A3793" s="25" t="str">
        <f>IFERROR(__xludf.DUMMYFUNCTION("IF(B3793="""","""",RIGHT(REGEXREPLACE(B3793&amp;"""",""[^0-9]"",""""),9))"),"762629708")</f>
        <v>762629708</v>
      </c>
      <c r="B3793" s="52">
        <v>7.62629708E8</v>
      </c>
      <c r="C3793" s="28" t="s">
        <v>3830</v>
      </c>
      <c r="D3793" s="26" t="s">
        <v>82</v>
      </c>
      <c r="E3793" s="31">
        <v>46231.0</v>
      </c>
      <c r="F3793" s="26" t="s">
        <v>46</v>
      </c>
      <c r="G3793" s="26">
        <v>11.0</v>
      </c>
      <c r="I3793" s="26" t="s">
        <v>42</v>
      </c>
      <c r="J3793" s="25" t="str">
        <f t="shared" si="46"/>
        <v>No</v>
      </c>
      <c r="K3793" s="25" t="str">
        <f t="shared" si="47"/>
        <v/>
      </c>
      <c r="L3793" s="25" t="str">
        <f t="shared" si="48"/>
        <v/>
      </c>
      <c r="M3793" s="25"/>
      <c r="O3793" s="25"/>
    </row>
    <row r="3794" ht="15.75" customHeight="1">
      <c r="A3794" s="25" t="str">
        <f>IFERROR(__xludf.DUMMYFUNCTION("IF(B3794="""","""",RIGHT(REGEXREPLACE(B3794&amp;"""",""[^0-9]"",""""),9))"),"711325596")</f>
        <v>711325596</v>
      </c>
      <c r="B3794" s="52">
        <v>7.11325596E8</v>
      </c>
      <c r="C3794" s="28" t="s">
        <v>3831</v>
      </c>
      <c r="D3794" s="26" t="s">
        <v>64</v>
      </c>
      <c r="E3794" s="31">
        <v>46231.0</v>
      </c>
      <c r="F3794" s="26" t="s">
        <v>46</v>
      </c>
      <c r="G3794" s="26">
        <v>11.0</v>
      </c>
      <c r="I3794" s="26" t="s">
        <v>42</v>
      </c>
      <c r="J3794" s="25" t="str">
        <f t="shared" si="46"/>
        <v>No</v>
      </c>
      <c r="K3794" s="25" t="str">
        <f t="shared" si="47"/>
        <v/>
      </c>
      <c r="L3794" s="25" t="str">
        <f t="shared" si="48"/>
        <v/>
      </c>
      <c r="M3794" s="25"/>
      <c r="O3794" s="25"/>
    </row>
    <row r="3795" ht="15.75" customHeight="1">
      <c r="A3795" s="25" t="str">
        <f>IFERROR(__xludf.DUMMYFUNCTION("IF(B3795="""","""",RIGHT(REGEXREPLACE(B3795&amp;"""",""[^0-9]"",""""),9))"),"712637112")</f>
        <v>712637112</v>
      </c>
      <c r="B3795" s="52">
        <v>7.12637112E8</v>
      </c>
      <c r="C3795" s="28" t="s">
        <v>3832</v>
      </c>
      <c r="D3795" s="26" t="s">
        <v>49</v>
      </c>
      <c r="E3795" s="31">
        <v>46231.0</v>
      </c>
      <c r="F3795" s="26" t="s">
        <v>46</v>
      </c>
      <c r="G3795" s="26">
        <v>11.0</v>
      </c>
      <c r="I3795" s="26" t="s">
        <v>42</v>
      </c>
      <c r="J3795" s="25" t="str">
        <f t="shared" si="46"/>
        <v>No</v>
      </c>
      <c r="K3795" s="25" t="str">
        <f t="shared" si="47"/>
        <v/>
      </c>
      <c r="L3795" s="25" t="str">
        <f t="shared" si="48"/>
        <v/>
      </c>
      <c r="M3795" s="25"/>
      <c r="O3795" s="25"/>
    </row>
    <row r="3796" ht="15.75" customHeight="1">
      <c r="A3796" s="25" t="str">
        <f>IFERROR(__xludf.DUMMYFUNCTION("IF(B3796="""","""",RIGHT(REGEXREPLACE(B3796&amp;"""",""[^0-9]"",""""),9))"),"728280153")</f>
        <v>728280153</v>
      </c>
      <c r="B3796" s="52">
        <v>7.28280153E8</v>
      </c>
      <c r="C3796" s="28" t="s">
        <v>3833</v>
      </c>
      <c r="D3796" s="26" t="s">
        <v>56</v>
      </c>
      <c r="E3796" s="31">
        <v>46231.0</v>
      </c>
      <c r="F3796" s="26" t="s">
        <v>205</v>
      </c>
      <c r="G3796" s="26">
        <v>11.0</v>
      </c>
      <c r="I3796" s="26" t="s">
        <v>42</v>
      </c>
      <c r="J3796" s="25" t="str">
        <f t="shared" si="46"/>
        <v>No</v>
      </c>
      <c r="K3796" s="25" t="str">
        <f t="shared" si="47"/>
        <v/>
      </c>
      <c r="L3796" s="25" t="str">
        <f t="shared" si="48"/>
        <v/>
      </c>
      <c r="M3796" s="25"/>
      <c r="O3796" s="25"/>
    </row>
    <row r="3797" ht="15.75" customHeight="1">
      <c r="A3797" s="25" t="str">
        <f>IFERROR(__xludf.DUMMYFUNCTION("IF(B3797="""","""",RIGHT(REGEXREPLACE(B3797&amp;"""",""[^0-9]"",""""),9))"),"757372152")</f>
        <v>757372152</v>
      </c>
      <c r="B3797" s="52">
        <v>7.57372152E8</v>
      </c>
      <c r="C3797" s="28" t="s">
        <v>3834</v>
      </c>
      <c r="D3797" s="26" t="s">
        <v>64</v>
      </c>
      <c r="E3797" s="31">
        <v>46231.0</v>
      </c>
      <c r="F3797" s="26" t="s">
        <v>205</v>
      </c>
      <c r="G3797" s="26">
        <v>11.0</v>
      </c>
      <c r="I3797" s="26" t="s">
        <v>42</v>
      </c>
      <c r="J3797" s="25" t="str">
        <f t="shared" si="46"/>
        <v>No</v>
      </c>
      <c r="K3797" s="25" t="str">
        <f t="shared" si="47"/>
        <v/>
      </c>
      <c r="L3797" s="25" t="str">
        <f t="shared" si="48"/>
        <v/>
      </c>
      <c r="M3797" s="25"/>
      <c r="O3797" s="25"/>
    </row>
    <row r="3798" ht="15.75" customHeight="1">
      <c r="A3798" s="25" t="str">
        <f>IFERROR(__xludf.DUMMYFUNCTION("IF(B3798="""","""",RIGHT(REGEXREPLACE(B3798&amp;"""",""[^0-9]"",""""),9))"),"717237961")</f>
        <v>717237961</v>
      </c>
      <c r="B3798" s="52">
        <v>7.17237961E8</v>
      </c>
      <c r="C3798" s="28" t="s">
        <v>3835</v>
      </c>
      <c r="D3798" s="26" t="s">
        <v>82</v>
      </c>
      <c r="E3798" s="31">
        <v>46231.0</v>
      </c>
      <c r="F3798" s="25"/>
      <c r="G3798" s="25"/>
      <c r="H3798" s="25"/>
      <c r="I3798" s="26" t="s">
        <v>42</v>
      </c>
      <c r="J3798" s="25" t="str">
        <f t="shared" si="46"/>
        <v>No</v>
      </c>
      <c r="K3798" s="25" t="str">
        <f t="shared" si="47"/>
        <v/>
      </c>
      <c r="L3798" s="25" t="str">
        <f t="shared" si="48"/>
        <v/>
      </c>
      <c r="M3798" s="25"/>
      <c r="N3798" s="25"/>
      <c r="O3798" s="25"/>
      <c r="P3798" s="25"/>
    </row>
    <row r="3799" ht="15.75" customHeight="1">
      <c r="A3799" s="25" t="str">
        <f>IFERROR(__xludf.DUMMYFUNCTION("IF(B3799="""","""",RIGHT(REGEXREPLACE(B3799&amp;"""",""[^0-9]"",""""),9))"),"764739339")</f>
        <v>764739339</v>
      </c>
      <c r="B3799" s="52">
        <v>7.64739339E8</v>
      </c>
      <c r="C3799" s="28" t="s">
        <v>3836</v>
      </c>
      <c r="D3799" s="26" t="s">
        <v>64</v>
      </c>
      <c r="E3799" s="31">
        <v>46231.0</v>
      </c>
      <c r="F3799" s="26" t="s">
        <v>41</v>
      </c>
      <c r="G3799" s="26">
        <v>11.0</v>
      </c>
      <c r="I3799" s="26" t="s">
        <v>42</v>
      </c>
      <c r="J3799" s="25" t="str">
        <f t="shared" si="46"/>
        <v>No</v>
      </c>
      <c r="K3799" s="25" t="str">
        <f t="shared" si="47"/>
        <v/>
      </c>
      <c r="L3799" s="25" t="str">
        <f t="shared" si="48"/>
        <v/>
      </c>
      <c r="M3799" s="25"/>
      <c r="O3799" s="25"/>
    </row>
    <row r="3800" ht="15.75" customHeight="1">
      <c r="A3800" s="25" t="str">
        <f>IFERROR(__xludf.DUMMYFUNCTION("IF(B3800="""","""",RIGHT(REGEXREPLACE(B3800&amp;"""",""[^0-9]"",""""),9))"),"741195177")</f>
        <v>741195177</v>
      </c>
      <c r="B3800" s="52">
        <v>7.41195177E8</v>
      </c>
      <c r="C3800" s="28" t="s">
        <v>3837</v>
      </c>
      <c r="D3800" s="26" t="s">
        <v>64</v>
      </c>
      <c r="E3800" s="31">
        <v>46231.0</v>
      </c>
      <c r="F3800" s="26" t="s">
        <v>704</v>
      </c>
      <c r="I3800" s="26" t="s">
        <v>42</v>
      </c>
      <c r="J3800" s="25" t="str">
        <f t="shared" si="46"/>
        <v>No</v>
      </c>
      <c r="K3800" s="25" t="str">
        <f t="shared" si="47"/>
        <v/>
      </c>
      <c r="L3800" s="25" t="str">
        <f t="shared" si="48"/>
        <v/>
      </c>
      <c r="M3800" s="25"/>
      <c r="O3800" s="25"/>
    </row>
    <row r="3801" ht="15.75" customHeight="1">
      <c r="A3801" s="25" t="str">
        <f>IFERROR(__xludf.DUMMYFUNCTION("IF(B3801="""","""",RIGHT(REGEXREPLACE(B3801&amp;"""",""[^0-9]"",""""),9))"),"704008143")</f>
        <v>704008143</v>
      </c>
      <c r="B3801" s="52">
        <v>7.04008143E8</v>
      </c>
      <c r="C3801" s="28" t="s">
        <v>3838</v>
      </c>
      <c r="D3801" s="26" t="s">
        <v>45</v>
      </c>
      <c r="E3801" s="31">
        <v>46231.0</v>
      </c>
      <c r="F3801" s="26" t="s">
        <v>41</v>
      </c>
      <c r="G3801" s="26">
        <v>10.0</v>
      </c>
      <c r="I3801" s="26" t="s">
        <v>42</v>
      </c>
      <c r="J3801" s="25" t="str">
        <f t="shared" si="46"/>
        <v>No</v>
      </c>
      <c r="K3801" s="25" t="str">
        <f t="shared" si="47"/>
        <v/>
      </c>
      <c r="L3801" s="25" t="str">
        <f t="shared" si="48"/>
        <v/>
      </c>
      <c r="M3801" s="25"/>
      <c r="O3801" s="25"/>
    </row>
    <row r="3802" ht="15.75" customHeight="1">
      <c r="A3802" s="25" t="str">
        <f>IFERROR(__xludf.DUMMYFUNCTION("IF(B3802="""","""",RIGHT(REGEXREPLACE(B3802&amp;"""",""[^0-9]"",""""),9))"),"716690337")</f>
        <v>716690337</v>
      </c>
      <c r="B3802" s="52">
        <v>7.16690337E8</v>
      </c>
      <c r="C3802" s="28" t="s">
        <v>3839</v>
      </c>
      <c r="D3802" s="26" t="s">
        <v>45</v>
      </c>
      <c r="E3802" s="31">
        <v>46231.0</v>
      </c>
      <c r="F3802" s="26" t="s">
        <v>46</v>
      </c>
      <c r="G3802" s="26" t="s">
        <v>2048</v>
      </c>
      <c r="H3802" s="26" t="s">
        <v>342</v>
      </c>
      <c r="I3802" s="26" t="s">
        <v>42</v>
      </c>
      <c r="J3802" s="25" t="str">
        <f t="shared" si="46"/>
        <v>No</v>
      </c>
      <c r="K3802" s="25" t="str">
        <f t="shared" si="47"/>
        <v/>
      </c>
      <c r="L3802" s="25" t="str">
        <f t="shared" si="48"/>
        <v/>
      </c>
      <c r="M3802" s="25"/>
      <c r="O3802" s="25"/>
    </row>
    <row r="3803" ht="15.75" customHeight="1">
      <c r="A3803" s="25" t="str">
        <f>IFERROR(__xludf.DUMMYFUNCTION("IF(B3803="""","""",RIGHT(REGEXREPLACE(B3803&amp;"""",""[^0-9]"",""""),9))"),"777795214")</f>
        <v>777795214</v>
      </c>
      <c r="B3803" s="52">
        <v>7.77795214E8</v>
      </c>
      <c r="C3803" s="28" t="s">
        <v>3840</v>
      </c>
      <c r="D3803" s="26" t="s">
        <v>56</v>
      </c>
      <c r="E3803" s="31">
        <v>46231.0</v>
      </c>
      <c r="F3803" s="26" t="s">
        <v>41</v>
      </c>
      <c r="G3803" s="26">
        <v>7.0</v>
      </c>
      <c r="I3803" s="26" t="s">
        <v>42</v>
      </c>
      <c r="J3803" s="25" t="str">
        <f t="shared" si="46"/>
        <v>No</v>
      </c>
      <c r="K3803" s="25" t="str">
        <f t="shared" si="47"/>
        <v/>
      </c>
      <c r="L3803" s="25" t="str">
        <f t="shared" si="48"/>
        <v/>
      </c>
      <c r="M3803" s="25"/>
      <c r="O3803" s="25"/>
    </row>
    <row r="3804" ht="15.75" customHeight="1">
      <c r="A3804" s="25" t="str">
        <f>IFERROR(__xludf.DUMMYFUNCTION("IF(B3804="""","""",RIGHT(REGEXREPLACE(B3804&amp;"""",""[^0-9]"",""""),9))"),"775661761")</f>
        <v>775661761</v>
      </c>
      <c r="B3804" s="52">
        <v>7.75661761E8</v>
      </c>
      <c r="C3804" s="28" t="s">
        <v>3841</v>
      </c>
      <c r="D3804" s="26" t="s">
        <v>64</v>
      </c>
      <c r="E3804" s="31">
        <v>46231.0</v>
      </c>
      <c r="F3804" s="26" t="s">
        <v>46</v>
      </c>
      <c r="G3804" s="26">
        <v>11.0</v>
      </c>
      <c r="I3804" s="26" t="s">
        <v>42</v>
      </c>
      <c r="J3804" s="25" t="str">
        <f t="shared" si="46"/>
        <v>No</v>
      </c>
      <c r="K3804" s="25" t="str">
        <f t="shared" si="47"/>
        <v/>
      </c>
      <c r="L3804" s="25" t="str">
        <f t="shared" si="48"/>
        <v/>
      </c>
      <c r="M3804" s="25"/>
      <c r="O3804" s="25"/>
    </row>
    <row r="3805" ht="15.75" customHeight="1">
      <c r="A3805" s="25" t="str">
        <f>IFERROR(__xludf.DUMMYFUNCTION("IF(B3805="""","""",RIGHT(REGEXREPLACE(B3805&amp;"""",""[^0-9]"",""""),9))"),"741652165")</f>
        <v>741652165</v>
      </c>
      <c r="B3805" s="52">
        <v>7.41652165E8</v>
      </c>
      <c r="C3805" s="28" t="s">
        <v>3842</v>
      </c>
      <c r="D3805" s="26" t="s">
        <v>82</v>
      </c>
      <c r="E3805" s="31">
        <v>46231.0</v>
      </c>
      <c r="F3805" s="26" t="s">
        <v>46</v>
      </c>
      <c r="G3805" s="26">
        <v>11.0</v>
      </c>
      <c r="I3805" s="26" t="s">
        <v>42</v>
      </c>
      <c r="J3805" s="25" t="str">
        <f t="shared" si="46"/>
        <v>No</v>
      </c>
      <c r="K3805" s="25" t="str">
        <f t="shared" si="47"/>
        <v/>
      </c>
      <c r="L3805" s="25" t="str">
        <f t="shared" si="48"/>
        <v/>
      </c>
      <c r="M3805" s="25"/>
      <c r="O3805" s="25"/>
    </row>
    <row r="3806" ht="15.75" customHeight="1">
      <c r="A3806" s="25" t="str">
        <f>IFERROR(__xludf.DUMMYFUNCTION("IF(B3806="""","""",RIGHT(REGEXREPLACE(B3806&amp;"""",""[^0-9]"",""""),9))"),"770120316")</f>
        <v>770120316</v>
      </c>
      <c r="B3806" s="52">
        <v>7.70120316E8</v>
      </c>
      <c r="C3806" s="28" t="s">
        <v>3843</v>
      </c>
      <c r="D3806" s="26" t="s">
        <v>64</v>
      </c>
      <c r="E3806" s="31">
        <v>46231.0</v>
      </c>
      <c r="F3806" s="26" t="s">
        <v>46</v>
      </c>
      <c r="G3806" s="26">
        <v>11.0</v>
      </c>
      <c r="I3806" s="26" t="s">
        <v>42</v>
      </c>
      <c r="J3806" s="25" t="str">
        <f t="shared" si="46"/>
        <v>No</v>
      </c>
      <c r="K3806" s="25" t="str">
        <f t="shared" si="47"/>
        <v/>
      </c>
      <c r="L3806" s="25" t="str">
        <f t="shared" si="48"/>
        <v/>
      </c>
      <c r="M3806" s="25"/>
      <c r="O3806" s="25"/>
    </row>
    <row r="3807" ht="15.75" customHeight="1">
      <c r="A3807" s="25" t="str">
        <f>IFERROR(__xludf.DUMMYFUNCTION("IF(B3807="""","""",RIGHT(REGEXREPLACE(B3807&amp;"""",""[^0-9]"",""""),9))"),"711198318")</f>
        <v>711198318</v>
      </c>
      <c r="B3807" s="52">
        <v>7.11198318E8</v>
      </c>
      <c r="C3807" s="28" t="s">
        <v>3844</v>
      </c>
      <c r="D3807" s="26" t="s">
        <v>45</v>
      </c>
      <c r="E3807" s="31">
        <v>46231.0</v>
      </c>
      <c r="F3807" s="26" t="s">
        <v>164</v>
      </c>
      <c r="I3807" s="26" t="s">
        <v>42</v>
      </c>
      <c r="J3807" s="25" t="str">
        <f t="shared" si="46"/>
        <v>No</v>
      </c>
      <c r="K3807" s="25" t="str">
        <f t="shared" si="47"/>
        <v/>
      </c>
      <c r="L3807" s="25" t="str">
        <f t="shared" si="48"/>
        <v/>
      </c>
      <c r="M3807" s="25"/>
      <c r="O3807" s="25"/>
    </row>
    <row r="3808" ht="15.75" customHeight="1">
      <c r="A3808" s="25" t="str">
        <f>IFERROR(__xludf.DUMMYFUNCTION("IF(B3808="""","""",RIGHT(REGEXREPLACE(B3808&amp;"""",""[^0-9]"",""""),9))"),"762632146")</f>
        <v>762632146</v>
      </c>
      <c r="B3808" s="52">
        <v>7.62632146E8</v>
      </c>
      <c r="C3808" s="28" t="s">
        <v>2799</v>
      </c>
      <c r="D3808" s="26" t="s">
        <v>45</v>
      </c>
      <c r="E3808" s="31">
        <v>46231.0</v>
      </c>
      <c r="F3808" s="26" t="s">
        <v>41</v>
      </c>
      <c r="G3808" s="26">
        <v>11.0</v>
      </c>
      <c r="I3808" s="26" t="s">
        <v>42</v>
      </c>
      <c r="J3808" s="25" t="str">
        <f t="shared" si="46"/>
        <v>Yes - see Previous F-Code</v>
      </c>
      <c r="K3808" s="25" t="str">
        <f t="shared" si="47"/>
        <v>DUPLICATE - CHECK</v>
      </c>
      <c r="L3808" s="25" t="str">
        <f t="shared" si="48"/>
        <v>F72491</v>
      </c>
      <c r="M3808" s="25"/>
      <c r="O3808" s="25"/>
    </row>
    <row r="3809" ht="15.75" customHeight="1">
      <c r="A3809" s="25" t="str">
        <f>IFERROR(__xludf.DUMMYFUNCTION("IF(B3809="""","""",RIGHT(REGEXREPLACE(B3809&amp;"""",""[^0-9]"",""""),9))"),"760031396")</f>
        <v>760031396</v>
      </c>
      <c r="B3809" s="52">
        <v>7.60031396E8</v>
      </c>
      <c r="C3809" s="28" t="s">
        <v>3845</v>
      </c>
      <c r="D3809" s="26" t="s">
        <v>45</v>
      </c>
      <c r="E3809" s="31">
        <v>46231.0</v>
      </c>
      <c r="F3809" s="26" t="s">
        <v>41</v>
      </c>
      <c r="G3809" s="26">
        <v>11.0</v>
      </c>
      <c r="I3809" s="26" t="s">
        <v>42</v>
      </c>
      <c r="J3809" s="25" t="str">
        <f t="shared" si="46"/>
        <v>No</v>
      </c>
      <c r="K3809" s="25" t="str">
        <f t="shared" si="47"/>
        <v/>
      </c>
      <c r="L3809" s="25" t="str">
        <f t="shared" si="48"/>
        <v/>
      </c>
      <c r="M3809" s="25"/>
      <c r="O3809" s="25"/>
    </row>
    <row r="3810" ht="15.75" customHeight="1">
      <c r="A3810" s="25" t="str">
        <f>IFERROR(__xludf.DUMMYFUNCTION("IF(B3810="""","""",RIGHT(REGEXREPLACE(B3810&amp;"""",""[^0-9]"",""""),9))"),"764549228")</f>
        <v>764549228</v>
      </c>
      <c r="B3810" s="52">
        <v>7.64549228E8</v>
      </c>
      <c r="C3810" s="28" t="s">
        <v>3846</v>
      </c>
      <c r="D3810" s="26" t="s">
        <v>82</v>
      </c>
      <c r="E3810" s="31">
        <v>46231.0</v>
      </c>
      <c r="F3810" s="26" t="s">
        <v>41</v>
      </c>
      <c r="G3810" s="26">
        <v>11.0</v>
      </c>
      <c r="I3810" s="26" t="s">
        <v>42</v>
      </c>
      <c r="J3810" s="25" t="str">
        <f t="shared" si="46"/>
        <v>No</v>
      </c>
      <c r="K3810" s="25" t="str">
        <f t="shared" si="47"/>
        <v/>
      </c>
      <c r="L3810" s="25" t="str">
        <f t="shared" si="48"/>
        <v/>
      </c>
      <c r="M3810" s="25"/>
      <c r="O3810" s="25"/>
    </row>
    <row r="3811" ht="15.75" customHeight="1">
      <c r="A3811" s="25" t="str">
        <f>IFERROR(__xludf.DUMMYFUNCTION("IF(B3811="""","""",RIGHT(REGEXREPLACE(B3811&amp;"""",""[^0-9]"",""""),9))"),"768206926")</f>
        <v>768206926</v>
      </c>
      <c r="B3811" s="52">
        <v>7.68206926E8</v>
      </c>
      <c r="C3811" s="28" t="s">
        <v>3847</v>
      </c>
      <c r="D3811" s="26" t="s">
        <v>64</v>
      </c>
      <c r="E3811" s="31">
        <v>46231.0</v>
      </c>
      <c r="F3811" s="26" t="s">
        <v>46</v>
      </c>
      <c r="G3811" s="26">
        <v>11.0</v>
      </c>
      <c r="I3811" s="26" t="s">
        <v>42</v>
      </c>
      <c r="J3811" s="25" t="str">
        <f t="shared" si="46"/>
        <v>No</v>
      </c>
      <c r="K3811" s="25" t="str">
        <f t="shared" si="47"/>
        <v/>
      </c>
      <c r="L3811" s="25" t="str">
        <f t="shared" si="48"/>
        <v/>
      </c>
      <c r="M3811" s="25"/>
      <c r="O3811" s="25"/>
    </row>
    <row r="3812" ht="15.75" customHeight="1">
      <c r="A3812" s="25" t="str">
        <f>IFERROR(__xludf.DUMMYFUNCTION("IF(B3812="""","""",RIGHT(REGEXREPLACE(B3812&amp;"""",""[^0-9]"",""""),9))"),"762151826")</f>
        <v>762151826</v>
      </c>
      <c r="B3812" s="52">
        <v>7.62151826E8</v>
      </c>
      <c r="C3812" s="28" t="s">
        <v>3848</v>
      </c>
      <c r="D3812" s="26" t="s">
        <v>45</v>
      </c>
      <c r="E3812" s="31">
        <v>46231.0</v>
      </c>
      <c r="F3812" s="26" t="s">
        <v>164</v>
      </c>
      <c r="I3812" s="26" t="s">
        <v>42</v>
      </c>
      <c r="J3812" s="25" t="str">
        <f t="shared" si="46"/>
        <v>No</v>
      </c>
      <c r="K3812" s="25" t="str">
        <f t="shared" si="47"/>
        <v/>
      </c>
      <c r="L3812" s="25" t="str">
        <f t="shared" si="48"/>
        <v/>
      </c>
      <c r="M3812" s="25"/>
      <c r="O3812" s="25"/>
    </row>
    <row r="3813" ht="15.75" customHeight="1">
      <c r="A3813" s="25" t="str">
        <f>IFERROR(__xludf.DUMMYFUNCTION("IF(B3813="""","""",RIGHT(REGEXREPLACE(B3813&amp;"""",""[^0-9]"",""""),9))"),"771637714")</f>
        <v>771637714</v>
      </c>
      <c r="B3813" s="52">
        <v>7.71637714E8</v>
      </c>
      <c r="C3813" s="28" t="s">
        <v>3027</v>
      </c>
      <c r="D3813" s="26" t="s">
        <v>56</v>
      </c>
      <c r="E3813" s="31">
        <v>46231.0</v>
      </c>
      <c r="F3813" s="26" t="s">
        <v>46</v>
      </c>
      <c r="G3813" s="26">
        <v>11.0</v>
      </c>
      <c r="I3813" s="26" t="s">
        <v>42</v>
      </c>
      <c r="J3813" s="25" t="str">
        <f t="shared" si="46"/>
        <v>No</v>
      </c>
      <c r="K3813" s="25" t="str">
        <f t="shared" si="47"/>
        <v/>
      </c>
      <c r="L3813" s="25" t="str">
        <f t="shared" si="48"/>
        <v/>
      </c>
      <c r="M3813" s="25"/>
      <c r="O3813" s="25"/>
    </row>
    <row r="3814" ht="15.75" customHeight="1">
      <c r="A3814" s="25" t="str">
        <f>IFERROR(__xludf.DUMMYFUNCTION("IF(B3814="""","""",RIGHT(REGEXREPLACE(B3814&amp;"""",""[^0-9]"",""""),9))"),"774716783")</f>
        <v>774716783</v>
      </c>
      <c r="B3814" s="52">
        <v>7.74716783E8</v>
      </c>
      <c r="C3814" s="28" t="s">
        <v>3849</v>
      </c>
      <c r="D3814" s="26" t="s">
        <v>82</v>
      </c>
      <c r="E3814" s="31">
        <v>46231.0</v>
      </c>
      <c r="F3814" s="26" t="s">
        <v>125</v>
      </c>
      <c r="G3814" s="26">
        <v>11.0</v>
      </c>
      <c r="I3814" s="26" t="s">
        <v>42</v>
      </c>
      <c r="J3814" s="25" t="str">
        <f t="shared" si="46"/>
        <v>No</v>
      </c>
      <c r="K3814" s="25" t="str">
        <f t="shared" si="47"/>
        <v/>
      </c>
      <c r="L3814" s="25" t="str">
        <f t="shared" si="48"/>
        <v/>
      </c>
      <c r="M3814" s="25"/>
      <c r="O3814" s="25"/>
    </row>
    <row r="3815" ht="15.75" customHeight="1">
      <c r="A3815" s="25" t="str">
        <f>IFERROR(__xludf.DUMMYFUNCTION("IF(B3815="""","""",RIGHT(REGEXREPLACE(B3815&amp;"""",""[^0-9]"",""""),9))"),"705908176")</f>
        <v>705908176</v>
      </c>
      <c r="B3815" s="52">
        <v>7.05908176E8</v>
      </c>
      <c r="C3815" s="28" t="s">
        <v>3850</v>
      </c>
      <c r="D3815" s="26" t="s">
        <v>45</v>
      </c>
      <c r="E3815" s="31">
        <v>46231.0</v>
      </c>
      <c r="F3815" s="26" t="s">
        <v>164</v>
      </c>
      <c r="G3815" s="26">
        <v>11.0</v>
      </c>
      <c r="I3815" s="26" t="s">
        <v>42</v>
      </c>
      <c r="J3815" s="25" t="str">
        <f t="shared" si="46"/>
        <v>No</v>
      </c>
      <c r="K3815" s="25" t="str">
        <f t="shared" si="47"/>
        <v/>
      </c>
      <c r="L3815" s="25" t="str">
        <f t="shared" si="48"/>
        <v/>
      </c>
      <c r="M3815" s="25"/>
      <c r="O3815" s="25"/>
    </row>
    <row r="3816" ht="15.75" customHeight="1">
      <c r="A3816" s="25" t="str">
        <f>IFERROR(__xludf.DUMMYFUNCTION("IF(B3816="""","""",RIGHT(REGEXREPLACE(B3816&amp;"""",""[^0-9]"",""""),9))"),"786761404")</f>
        <v>786761404</v>
      </c>
      <c r="B3816" s="52">
        <v>7.86761404E8</v>
      </c>
      <c r="C3816" s="28" t="s">
        <v>3353</v>
      </c>
      <c r="D3816" s="26" t="s">
        <v>45</v>
      </c>
      <c r="E3816" s="31">
        <v>46231.0</v>
      </c>
      <c r="F3816" s="26" t="s">
        <v>41</v>
      </c>
      <c r="I3816" s="26" t="s">
        <v>42</v>
      </c>
      <c r="J3816" s="25" t="str">
        <f t="shared" si="46"/>
        <v>Yes - see Previous F-Code</v>
      </c>
      <c r="K3816" s="25" t="str">
        <f t="shared" si="47"/>
        <v>DUPLICATE - CHECK</v>
      </c>
      <c r="L3816" s="25" t="str">
        <f t="shared" si="48"/>
        <v>F73013</v>
      </c>
      <c r="M3816" s="25"/>
      <c r="O3816" s="25"/>
    </row>
    <row r="3817" ht="15.75" customHeight="1">
      <c r="A3817" s="25" t="str">
        <f>IFERROR(__xludf.DUMMYFUNCTION("IF(B3817="""","""",RIGHT(REGEXREPLACE(B3817&amp;"""",""[^0-9]"",""""),9))"),"779511421")</f>
        <v>779511421</v>
      </c>
      <c r="B3817" s="52">
        <v>7.79511421E8</v>
      </c>
      <c r="C3817" s="28" t="s">
        <v>3851</v>
      </c>
      <c r="D3817" s="26" t="s">
        <v>64</v>
      </c>
      <c r="E3817" s="31">
        <v>46231.0</v>
      </c>
      <c r="F3817" s="26" t="s">
        <v>205</v>
      </c>
      <c r="I3817" s="26" t="s">
        <v>42</v>
      </c>
      <c r="J3817" s="25" t="str">
        <f t="shared" si="46"/>
        <v>No</v>
      </c>
      <c r="K3817" s="25" t="str">
        <f t="shared" si="47"/>
        <v/>
      </c>
      <c r="L3817" s="25" t="str">
        <f t="shared" si="48"/>
        <v/>
      </c>
      <c r="M3817" s="25"/>
      <c r="O3817" s="25"/>
    </row>
    <row r="3818" ht="15.75" customHeight="1">
      <c r="A3818" s="25" t="str">
        <f>IFERROR(__xludf.DUMMYFUNCTION("IF(B3818="""","""",RIGHT(REGEXREPLACE(B3818&amp;"""",""[^0-9]"",""""),9))"),"719790226")</f>
        <v>719790226</v>
      </c>
      <c r="B3818" s="52">
        <v>7.19790226E8</v>
      </c>
      <c r="C3818" s="28" t="s">
        <v>3852</v>
      </c>
      <c r="D3818" s="26" t="s">
        <v>45</v>
      </c>
      <c r="E3818" s="31">
        <v>46231.0</v>
      </c>
      <c r="F3818" s="26" t="s">
        <v>46</v>
      </c>
      <c r="G3818" s="26">
        <v>11.0</v>
      </c>
      <c r="I3818" s="26" t="s">
        <v>42</v>
      </c>
      <c r="J3818" s="25" t="str">
        <f t="shared" si="46"/>
        <v>No</v>
      </c>
      <c r="K3818" s="25" t="str">
        <f t="shared" si="47"/>
        <v/>
      </c>
      <c r="L3818" s="25" t="str">
        <f t="shared" si="48"/>
        <v/>
      </c>
      <c r="M3818" s="25"/>
      <c r="O3818" s="25"/>
    </row>
    <row r="3819" ht="15.75" customHeight="1">
      <c r="A3819" s="25" t="str">
        <f>IFERROR(__xludf.DUMMYFUNCTION("IF(B3819="""","""",RIGHT(REGEXREPLACE(B3819&amp;"""",""[^0-9]"",""""),9))"),"761872174")</f>
        <v>761872174</v>
      </c>
      <c r="B3819" s="26">
        <v>7.61872174E8</v>
      </c>
      <c r="C3819" s="28" t="s">
        <v>1230</v>
      </c>
      <c r="D3819" s="26" t="s">
        <v>37</v>
      </c>
      <c r="E3819" s="31">
        <v>46231.0</v>
      </c>
      <c r="F3819" s="26" t="s">
        <v>41</v>
      </c>
      <c r="G3819" s="26">
        <v>11.0</v>
      </c>
      <c r="I3819" s="26" t="s">
        <v>42</v>
      </c>
      <c r="J3819" s="25" t="str">
        <f t="shared" si="46"/>
        <v>No</v>
      </c>
      <c r="K3819" s="25" t="str">
        <f t="shared" si="47"/>
        <v/>
      </c>
      <c r="L3819" s="25" t="str">
        <f t="shared" si="48"/>
        <v/>
      </c>
      <c r="M3819" s="25"/>
      <c r="O3819" s="25"/>
    </row>
    <row r="3820" ht="15.75" customHeight="1">
      <c r="A3820" s="25" t="str">
        <f>IFERROR(__xludf.DUMMYFUNCTION("IF(B3820="""","""",RIGHT(REGEXREPLACE(B3820&amp;"""",""[^0-9]"",""""),9))"),"714024427")</f>
        <v>714024427</v>
      </c>
      <c r="B3820" s="52">
        <v>7.14024427E8</v>
      </c>
      <c r="C3820" s="28" t="s">
        <v>3853</v>
      </c>
      <c r="D3820" s="26" t="s">
        <v>64</v>
      </c>
      <c r="E3820" s="31">
        <v>46231.0</v>
      </c>
      <c r="F3820" s="26" t="s">
        <v>205</v>
      </c>
      <c r="G3820" s="26">
        <v>11.0</v>
      </c>
      <c r="I3820" s="26" t="s">
        <v>42</v>
      </c>
      <c r="J3820" s="25" t="str">
        <f t="shared" si="46"/>
        <v>No</v>
      </c>
      <c r="K3820" s="25" t="str">
        <f t="shared" si="47"/>
        <v/>
      </c>
      <c r="L3820" s="25" t="str">
        <f t="shared" si="48"/>
        <v/>
      </c>
      <c r="M3820" s="25"/>
      <c r="O3820" s="25"/>
    </row>
    <row r="3821" ht="15.75" customHeight="1">
      <c r="A3821" s="25" t="str">
        <f>IFERROR(__xludf.DUMMYFUNCTION("IF(B3821="""","""",RIGHT(REGEXREPLACE(B3821&amp;"""",""[^0-9]"",""""),9))"),"773405023")</f>
        <v>773405023</v>
      </c>
      <c r="B3821" s="52">
        <v>7.73405023E8</v>
      </c>
      <c r="C3821" s="28" t="s">
        <v>3854</v>
      </c>
      <c r="D3821" s="26" t="s">
        <v>82</v>
      </c>
      <c r="E3821" s="31">
        <v>46231.0</v>
      </c>
      <c r="F3821" s="26" t="s">
        <v>659</v>
      </c>
      <c r="I3821" s="26" t="s">
        <v>42</v>
      </c>
      <c r="J3821" s="25" t="str">
        <f t="shared" si="46"/>
        <v>No</v>
      </c>
      <c r="K3821" s="25" t="str">
        <f t="shared" si="47"/>
        <v/>
      </c>
      <c r="L3821" s="25" t="str">
        <f t="shared" si="48"/>
        <v/>
      </c>
      <c r="M3821" s="25"/>
      <c r="O3821" s="25"/>
    </row>
    <row r="3822" ht="15.75" customHeight="1">
      <c r="A3822" s="25" t="str">
        <f>IFERROR(__xludf.DUMMYFUNCTION("IF(B3822="""","""",RIGHT(REGEXREPLACE(B3822&amp;"""",""[^0-9]"",""""),9))"),"771260747")</f>
        <v>771260747</v>
      </c>
      <c r="B3822" s="52">
        <v>7.71260747E8</v>
      </c>
      <c r="C3822" s="28" t="s">
        <v>3855</v>
      </c>
      <c r="D3822" s="26" t="s">
        <v>49</v>
      </c>
      <c r="E3822" s="31">
        <v>46231.0</v>
      </c>
      <c r="F3822" s="26" t="s">
        <v>46</v>
      </c>
      <c r="G3822" s="26">
        <v>11.0</v>
      </c>
      <c r="I3822" s="26" t="s">
        <v>42</v>
      </c>
      <c r="J3822" s="25" t="str">
        <f t="shared" si="46"/>
        <v>No</v>
      </c>
      <c r="K3822" s="25" t="str">
        <f t="shared" si="47"/>
        <v/>
      </c>
      <c r="L3822" s="25" t="str">
        <f t="shared" si="48"/>
        <v/>
      </c>
      <c r="M3822" s="25"/>
      <c r="O3822" s="25"/>
    </row>
    <row r="3823" ht="15.75" customHeight="1">
      <c r="A3823" s="25" t="str">
        <f>IFERROR(__xludf.DUMMYFUNCTION("IF(B3823="""","""",RIGHT(REGEXREPLACE(B3823&amp;"""",""[^0-9]"",""""),9))"),"764038298")</f>
        <v>764038298</v>
      </c>
      <c r="B3823" s="52">
        <v>7.64038298E8</v>
      </c>
      <c r="C3823" s="28" t="s">
        <v>3856</v>
      </c>
      <c r="D3823" s="26" t="s">
        <v>45</v>
      </c>
      <c r="E3823" s="31">
        <v>46231.0</v>
      </c>
      <c r="F3823" s="26" t="s">
        <v>46</v>
      </c>
      <c r="G3823" s="26">
        <v>11.0</v>
      </c>
      <c r="I3823" s="26" t="s">
        <v>42</v>
      </c>
      <c r="J3823" s="25" t="str">
        <f t="shared" si="46"/>
        <v>No</v>
      </c>
      <c r="K3823" s="25" t="str">
        <f t="shared" si="47"/>
        <v/>
      </c>
      <c r="L3823" s="25" t="str">
        <f t="shared" si="48"/>
        <v/>
      </c>
      <c r="M3823" s="25"/>
      <c r="O3823" s="25"/>
    </row>
    <row r="3824" ht="15.75" customHeight="1">
      <c r="A3824" s="25" t="str">
        <f>IFERROR(__xludf.DUMMYFUNCTION("IF(B3824="""","""",RIGHT(REGEXREPLACE(B3824&amp;"""",""[^0-9]"",""""),9))"),"773965304")</f>
        <v>773965304</v>
      </c>
      <c r="B3824" s="52">
        <v>7.73965304E8</v>
      </c>
      <c r="C3824" s="28" t="s">
        <v>3857</v>
      </c>
      <c r="D3824" s="26" t="s">
        <v>64</v>
      </c>
      <c r="E3824" s="31">
        <v>46231.0</v>
      </c>
      <c r="F3824" s="25"/>
      <c r="G3824" s="25"/>
      <c r="H3824" s="25"/>
      <c r="I3824" s="26" t="s">
        <v>42</v>
      </c>
      <c r="J3824" s="25" t="str">
        <f t="shared" si="46"/>
        <v>No</v>
      </c>
      <c r="K3824" s="25" t="str">
        <f t="shared" si="47"/>
        <v/>
      </c>
      <c r="L3824" s="25" t="str">
        <f t="shared" si="48"/>
        <v/>
      </c>
      <c r="M3824" s="25"/>
      <c r="N3824" s="25"/>
      <c r="O3824" s="25"/>
      <c r="P3824" s="25"/>
    </row>
    <row r="3825" ht="15.75" customHeight="1">
      <c r="A3825" s="25" t="str">
        <f>IFERROR(__xludf.DUMMYFUNCTION("IF(B3825="""","""",RIGHT(REGEXREPLACE(B3825&amp;"""",""[^0-9]"",""""),9))"),"702403404")</f>
        <v>702403404</v>
      </c>
      <c r="B3825" s="52">
        <v>7.02403404E8</v>
      </c>
      <c r="C3825" s="28" t="s">
        <v>3858</v>
      </c>
      <c r="D3825" s="26" t="s">
        <v>82</v>
      </c>
      <c r="E3825" s="31">
        <v>46231.0</v>
      </c>
      <c r="F3825" s="26" t="s">
        <v>704</v>
      </c>
      <c r="I3825" s="26" t="s">
        <v>42</v>
      </c>
      <c r="J3825" s="25" t="str">
        <f t="shared" si="46"/>
        <v>No</v>
      </c>
      <c r="K3825" s="25" t="str">
        <f t="shared" si="47"/>
        <v/>
      </c>
      <c r="L3825" s="25" t="str">
        <f t="shared" si="48"/>
        <v/>
      </c>
      <c r="M3825" s="25"/>
      <c r="O3825" s="25"/>
    </row>
    <row r="3826" ht="15.75" customHeight="1">
      <c r="A3826" s="25" t="str">
        <f>IFERROR(__xludf.DUMMYFUNCTION("IF(B3826="""","""",RIGHT(REGEXREPLACE(B3826&amp;"""",""[^0-9]"",""""),9))"),"770556819")</f>
        <v>770556819</v>
      </c>
      <c r="B3826" s="52">
        <v>7.70556819E8</v>
      </c>
      <c r="C3826" s="28" t="s">
        <v>3859</v>
      </c>
      <c r="D3826" s="26" t="s">
        <v>56</v>
      </c>
      <c r="E3826" s="31">
        <v>46231.0</v>
      </c>
      <c r="F3826" s="26" t="s">
        <v>46</v>
      </c>
      <c r="G3826" s="26" t="s">
        <v>3860</v>
      </c>
      <c r="I3826" s="26" t="s">
        <v>42</v>
      </c>
      <c r="J3826" s="25" t="str">
        <f t="shared" si="46"/>
        <v>No</v>
      </c>
      <c r="K3826" s="25" t="str">
        <f t="shared" si="47"/>
        <v/>
      </c>
      <c r="L3826" s="25" t="str">
        <f t="shared" si="48"/>
        <v/>
      </c>
      <c r="M3826" s="25"/>
      <c r="O3826" s="25"/>
    </row>
    <row r="3827" ht="15.75" customHeight="1">
      <c r="A3827" s="25" t="str">
        <f>IFERROR(__xludf.DUMMYFUNCTION("IF(B3827="""","""",RIGHT(REGEXREPLACE(B3827&amp;"""",""[^0-9]"",""""),9))"),"760920384")</f>
        <v>760920384</v>
      </c>
      <c r="B3827" s="52">
        <v>7.60920384E8</v>
      </c>
      <c r="C3827" s="28" t="s">
        <v>3313</v>
      </c>
      <c r="D3827" s="26" t="s">
        <v>49</v>
      </c>
      <c r="E3827" s="31">
        <v>46231.0</v>
      </c>
      <c r="F3827" s="26" t="s">
        <v>46</v>
      </c>
      <c r="G3827" s="26">
        <v>11.0</v>
      </c>
      <c r="I3827" s="26" t="s">
        <v>42</v>
      </c>
      <c r="J3827" s="25" t="str">
        <f t="shared" si="46"/>
        <v>Yes - see Previous F-Code</v>
      </c>
      <c r="K3827" s="25" t="str">
        <f t="shared" si="47"/>
        <v>DUPLICATE - CHECK</v>
      </c>
      <c r="L3827" s="25" t="str">
        <f t="shared" si="48"/>
        <v>F72975</v>
      </c>
      <c r="M3827" s="25"/>
      <c r="O3827" s="25"/>
    </row>
    <row r="3828" ht="15.75" customHeight="1">
      <c r="A3828" s="25" t="str">
        <f>IFERROR(__xludf.DUMMYFUNCTION("IF(B3828="""","""",RIGHT(REGEXREPLACE(B3828&amp;"""",""[^0-9]"",""""),9))"),"779394228")</f>
        <v>779394228</v>
      </c>
      <c r="B3828" s="52">
        <v>7.79394228E8</v>
      </c>
      <c r="C3828" s="28" t="s">
        <v>3861</v>
      </c>
      <c r="D3828" s="26" t="s">
        <v>64</v>
      </c>
      <c r="E3828" s="31">
        <v>46231.0</v>
      </c>
      <c r="F3828" s="26" t="s">
        <v>46</v>
      </c>
      <c r="G3828" s="26">
        <v>11.0</v>
      </c>
      <c r="I3828" s="26" t="s">
        <v>42</v>
      </c>
      <c r="J3828" s="25" t="str">
        <f t="shared" si="46"/>
        <v>No</v>
      </c>
      <c r="K3828" s="25" t="str">
        <f t="shared" si="47"/>
        <v/>
      </c>
      <c r="L3828" s="25" t="str">
        <f t="shared" si="48"/>
        <v/>
      </c>
      <c r="M3828" s="25"/>
      <c r="O3828" s="25"/>
    </row>
    <row r="3829" ht="15.75" customHeight="1">
      <c r="A3829" s="25" t="str">
        <f>IFERROR(__xludf.DUMMYFUNCTION("IF(B3829="""","""",RIGHT(REGEXREPLACE(B3829&amp;"""",""[^0-9]"",""""),9))"),"774250700")</f>
        <v>774250700</v>
      </c>
      <c r="B3829" s="52">
        <v>7.742507E8</v>
      </c>
      <c r="C3829" s="28" t="s">
        <v>3862</v>
      </c>
      <c r="D3829" s="26" t="s">
        <v>82</v>
      </c>
      <c r="E3829" s="31">
        <v>46231.0</v>
      </c>
      <c r="F3829" s="26" t="s">
        <v>41</v>
      </c>
      <c r="I3829" s="26" t="s">
        <v>42</v>
      </c>
      <c r="J3829" s="25" t="str">
        <f t="shared" si="46"/>
        <v>No</v>
      </c>
      <c r="K3829" s="25" t="str">
        <f t="shared" si="47"/>
        <v/>
      </c>
      <c r="L3829" s="25" t="str">
        <f t="shared" si="48"/>
        <v/>
      </c>
      <c r="M3829" s="25"/>
      <c r="O3829" s="25"/>
    </row>
    <row r="3830" ht="15.75" customHeight="1">
      <c r="A3830" s="25" t="str">
        <f>IFERROR(__xludf.DUMMYFUNCTION("IF(B3830="""","""",RIGHT(REGEXREPLACE(B3830&amp;"""",""[^0-9]"",""""),9))"),"710434499")</f>
        <v>710434499</v>
      </c>
      <c r="B3830" s="52">
        <v>7.10434499E8</v>
      </c>
      <c r="C3830" s="28" t="s">
        <v>1050</v>
      </c>
      <c r="D3830" s="26" t="s">
        <v>45</v>
      </c>
      <c r="E3830" s="31">
        <v>46231.0</v>
      </c>
      <c r="F3830" s="26" t="s">
        <v>46</v>
      </c>
      <c r="G3830" s="26">
        <v>11.0</v>
      </c>
      <c r="I3830" s="26" t="s">
        <v>42</v>
      </c>
      <c r="J3830" s="25" t="str">
        <f t="shared" si="46"/>
        <v>Yes - see Previous F-Code</v>
      </c>
      <c r="K3830" s="25" t="str">
        <f t="shared" si="47"/>
        <v>DUPLICATE - CHECK</v>
      </c>
      <c r="L3830" s="25" t="str">
        <f t="shared" si="48"/>
        <v>F70797</v>
      </c>
      <c r="M3830" s="25"/>
      <c r="O3830" s="25"/>
    </row>
    <row r="3831" ht="15.75" customHeight="1">
      <c r="A3831" s="25" t="str">
        <f>IFERROR(__xludf.DUMMYFUNCTION("IF(B3831="""","""",RIGHT(REGEXREPLACE(B3831&amp;"""",""[^0-9]"",""""),9))"),"772145318")</f>
        <v>772145318</v>
      </c>
      <c r="B3831" s="52">
        <v>7.72145318E8</v>
      </c>
      <c r="C3831" s="28" t="s">
        <v>3863</v>
      </c>
      <c r="D3831" s="26" t="s">
        <v>45</v>
      </c>
      <c r="E3831" s="31">
        <v>46231.0</v>
      </c>
      <c r="F3831" s="26" t="s">
        <v>41</v>
      </c>
      <c r="I3831" s="26" t="s">
        <v>42</v>
      </c>
      <c r="J3831" s="25" t="str">
        <f t="shared" si="46"/>
        <v>No</v>
      </c>
      <c r="K3831" s="25" t="str">
        <f t="shared" si="47"/>
        <v/>
      </c>
      <c r="L3831" s="25" t="str">
        <f t="shared" si="48"/>
        <v/>
      </c>
      <c r="M3831" s="25"/>
      <c r="O3831" s="25"/>
    </row>
    <row r="3832" ht="15.75" customHeight="1">
      <c r="A3832" s="25" t="str">
        <f>IFERROR(__xludf.DUMMYFUNCTION("IF(B3832="""","""",RIGHT(REGEXREPLACE(B3832&amp;"""",""[^0-9]"",""""),9))"),"770611231")</f>
        <v>770611231</v>
      </c>
      <c r="B3832" s="52">
        <v>7.70611231E8</v>
      </c>
      <c r="C3832" s="28" t="s">
        <v>897</v>
      </c>
      <c r="D3832" s="26" t="s">
        <v>64</v>
      </c>
      <c r="E3832" s="31">
        <v>46231.0</v>
      </c>
      <c r="F3832" s="26" t="s">
        <v>659</v>
      </c>
      <c r="I3832" s="26" t="s">
        <v>42</v>
      </c>
      <c r="J3832" s="25" t="str">
        <f t="shared" si="46"/>
        <v>No</v>
      </c>
      <c r="K3832" s="25" t="str">
        <f t="shared" si="47"/>
        <v/>
      </c>
      <c r="L3832" s="25" t="str">
        <f t="shared" si="48"/>
        <v/>
      </c>
      <c r="M3832" s="25"/>
      <c r="O3832" s="25"/>
    </row>
    <row r="3833" ht="15.75" customHeight="1">
      <c r="A3833" s="25" t="str">
        <f>IFERROR(__xludf.DUMMYFUNCTION("IF(B3833="""","""",RIGHT(REGEXREPLACE(B3833&amp;"""",""[^0-9]"",""""),9))"),"712853886")</f>
        <v>712853886</v>
      </c>
      <c r="B3833" s="52">
        <v>7.12853886E8</v>
      </c>
      <c r="C3833" s="28" t="s">
        <v>3864</v>
      </c>
      <c r="D3833" s="26" t="s">
        <v>49</v>
      </c>
      <c r="E3833" s="31">
        <v>46231.0</v>
      </c>
      <c r="F3833" s="26" t="s">
        <v>46</v>
      </c>
      <c r="G3833" s="26">
        <v>11.0</v>
      </c>
      <c r="I3833" s="26" t="s">
        <v>42</v>
      </c>
      <c r="J3833" s="25" t="str">
        <f t="shared" si="46"/>
        <v>No</v>
      </c>
      <c r="K3833" s="25" t="str">
        <f t="shared" si="47"/>
        <v/>
      </c>
      <c r="L3833" s="25" t="str">
        <f t="shared" si="48"/>
        <v/>
      </c>
      <c r="M3833" s="25"/>
      <c r="O3833" s="25"/>
    </row>
    <row r="3834" ht="15.75" customHeight="1">
      <c r="A3834" s="25" t="str">
        <f>IFERROR(__xludf.DUMMYFUNCTION("IF(B3834="""","""",RIGHT(REGEXREPLACE(B3834&amp;"""",""[^0-9]"",""""),9))"),"762440414")</f>
        <v>762440414</v>
      </c>
      <c r="B3834" s="52">
        <v>7.62440414E8</v>
      </c>
      <c r="C3834" s="28" t="s">
        <v>3865</v>
      </c>
      <c r="D3834" s="26" t="s">
        <v>82</v>
      </c>
      <c r="E3834" s="31">
        <v>46231.0</v>
      </c>
      <c r="F3834" s="26" t="s">
        <v>125</v>
      </c>
      <c r="G3834" s="26">
        <v>11.0</v>
      </c>
      <c r="I3834" s="26" t="s">
        <v>42</v>
      </c>
      <c r="J3834" s="25" t="str">
        <f t="shared" si="46"/>
        <v>No</v>
      </c>
      <c r="K3834" s="25" t="str">
        <f t="shared" si="47"/>
        <v/>
      </c>
      <c r="L3834" s="25" t="str">
        <f t="shared" si="48"/>
        <v/>
      </c>
      <c r="M3834" s="25"/>
      <c r="O3834" s="25"/>
    </row>
    <row r="3835" ht="15.75" customHeight="1">
      <c r="A3835" s="25" t="str">
        <f>IFERROR(__xludf.DUMMYFUNCTION("IF(B3835="""","""",RIGHT(REGEXREPLACE(B3835&amp;"""",""[^0-9]"",""""),9))"),"774019693")</f>
        <v>774019693</v>
      </c>
      <c r="B3835" s="52">
        <v>7.74019693E8</v>
      </c>
      <c r="C3835" s="28" t="s">
        <v>3866</v>
      </c>
      <c r="D3835" s="26" t="s">
        <v>64</v>
      </c>
      <c r="E3835" s="31">
        <v>46231.0</v>
      </c>
      <c r="F3835" s="26" t="s">
        <v>41</v>
      </c>
      <c r="I3835" s="26" t="s">
        <v>42</v>
      </c>
      <c r="J3835" s="25" t="str">
        <f t="shared" si="46"/>
        <v>No</v>
      </c>
      <c r="K3835" s="25" t="str">
        <f t="shared" si="47"/>
        <v/>
      </c>
      <c r="L3835" s="25" t="str">
        <f t="shared" si="48"/>
        <v/>
      </c>
      <c r="M3835" s="25"/>
      <c r="O3835" s="25"/>
    </row>
    <row r="3836" ht="15.75" customHeight="1">
      <c r="A3836" s="25" t="str">
        <f>IFERROR(__xludf.DUMMYFUNCTION("IF(B3836="""","""",RIGHT(REGEXREPLACE(B3836&amp;"""",""[^0-9]"",""""),9))"),"740960941")</f>
        <v>740960941</v>
      </c>
      <c r="B3836" s="52">
        <v>7.40960941E8</v>
      </c>
      <c r="C3836" s="28" t="s">
        <v>3866</v>
      </c>
      <c r="D3836" s="26" t="s">
        <v>45</v>
      </c>
      <c r="E3836" s="31">
        <v>46231.0</v>
      </c>
      <c r="F3836" s="26" t="s">
        <v>46</v>
      </c>
      <c r="G3836" s="26">
        <v>11.0</v>
      </c>
      <c r="I3836" s="26" t="s">
        <v>42</v>
      </c>
      <c r="J3836" s="25" t="str">
        <f t="shared" si="46"/>
        <v>No</v>
      </c>
      <c r="K3836" s="25" t="str">
        <f t="shared" si="47"/>
        <v/>
      </c>
      <c r="L3836" s="25" t="str">
        <f t="shared" si="48"/>
        <v/>
      </c>
      <c r="M3836" s="25"/>
      <c r="O3836" s="25"/>
    </row>
    <row r="3837" ht="15.75" customHeight="1">
      <c r="A3837" s="25" t="str">
        <f>IFERROR(__xludf.DUMMYFUNCTION("IF(B3837="""","""",RIGHT(REGEXREPLACE(B3837&amp;"""",""[^0-9]"",""""),9))"),"715739865")</f>
        <v>715739865</v>
      </c>
      <c r="B3837" s="52">
        <v>7.15739865E8</v>
      </c>
      <c r="C3837" s="28" t="s">
        <v>3867</v>
      </c>
      <c r="D3837" s="26" t="s">
        <v>82</v>
      </c>
      <c r="E3837" s="31">
        <v>46231.0</v>
      </c>
      <c r="F3837" s="26" t="s">
        <v>46</v>
      </c>
      <c r="G3837" s="26">
        <v>10.0</v>
      </c>
      <c r="I3837" s="26" t="s">
        <v>42</v>
      </c>
      <c r="J3837" s="25" t="str">
        <f t="shared" si="46"/>
        <v>No</v>
      </c>
      <c r="K3837" s="25" t="str">
        <f t="shared" si="47"/>
        <v/>
      </c>
      <c r="L3837" s="25" t="str">
        <f t="shared" si="48"/>
        <v/>
      </c>
      <c r="M3837" s="25"/>
      <c r="O3837" s="25"/>
    </row>
    <row r="3838" ht="15.75" customHeight="1">
      <c r="A3838" s="25" t="str">
        <f>IFERROR(__xludf.DUMMYFUNCTION("IF(B3838="""","""",RIGHT(REGEXREPLACE(B3838&amp;"""",""[^0-9]"",""""),9))"),"775741153")</f>
        <v>775741153</v>
      </c>
      <c r="B3838" s="52">
        <v>7.75741153E8</v>
      </c>
      <c r="C3838" s="28" t="s">
        <v>3318</v>
      </c>
      <c r="D3838" s="26" t="s">
        <v>56</v>
      </c>
      <c r="E3838" s="31">
        <v>46231.0</v>
      </c>
      <c r="F3838" s="26" t="s">
        <v>41</v>
      </c>
      <c r="G3838" s="26">
        <v>11.0</v>
      </c>
      <c r="I3838" s="26" t="s">
        <v>42</v>
      </c>
      <c r="J3838" s="25" t="str">
        <f t="shared" si="46"/>
        <v>No</v>
      </c>
      <c r="K3838" s="25" t="str">
        <f t="shared" si="47"/>
        <v/>
      </c>
      <c r="L3838" s="25" t="str">
        <f t="shared" si="48"/>
        <v/>
      </c>
      <c r="M3838" s="25"/>
      <c r="O3838" s="25"/>
    </row>
    <row r="3839" ht="15.75" customHeight="1">
      <c r="A3839" s="25" t="str">
        <f>IFERROR(__xludf.DUMMYFUNCTION("IF(B3839="""","""",RIGHT(REGEXREPLACE(B3839&amp;"""",""[^0-9]"",""""),9))"),"760688335")</f>
        <v>760688335</v>
      </c>
      <c r="B3839" s="26">
        <v>7.60688335E8</v>
      </c>
      <c r="C3839" s="28" t="s">
        <v>3070</v>
      </c>
      <c r="D3839" s="26" t="s">
        <v>37</v>
      </c>
      <c r="E3839" s="31">
        <v>46231.0</v>
      </c>
      <c r="F3839" s="26" t="s">
        <v>46</v>
      </c>
      <c r="I3839" s="26" t="s">
        <v>42</v>
      </c>
      <c r="J3839" s="25" t="str">
        <f t="shared" si="46"/>
        <v>No</v>
      </c>
      <c r="K3839" s="25" t="str">
        <f t="shared" si="47"/>
        <v/>
      </c>
      <c r="L3839" s="25" t="str">
        <f t="shared" si="48"/>
        <v/>
      </c>
      <c r="M3839" s="25"/>
      <c r="O3839" s="25"/>
    </row>
    <row r="3840" ht="15.75" customHeight="1">
      <c r="A3840" s="25" t="str">
        <f>IFERROR(__xludf.DUMMYFUNCTION("IF(B3840="""","""",RIGHT(REGEXREPLACE(B3840&amp;"""",""[^0-9]"",""""),9))"),"716276656")</f>
        <v>716276656</v>
      </c>
      <c r="B3840" s="52">
        <v>7.16276656E8</v>
      </c>
      <c r="C3840" s="28" t="s">
        <v>3866</v>
      </c>
      <c r="D3840" s="26" t="s">
        <v>64</v>
      </c>
      <c r="E3840" s="31">
        <v>46231.0</v>
      </c>
      <c r="F3840" s="26" t="s">
        <v>41</v>
      </c>
      <c r="G3840" s="26">
        <v>11.0</v>
      </c>
      <c r="I3840" s="26" t="s">
        <v>42</v>
      </c>
      <c r="J3840" s="25" t="str">
        <f t="shared" si="46"/>
        <v>No</v>
      </c>
      <c r="K3840" s="25" t="str">
        <f t="shared" si="47"/>
        <v/>
      </c>
      <c r="L3840" s="25" t="str">
        <f t="shared" si="48"/>
        <v/>
      </c>
      <c r="M3840" s="25"/>
      <c r="O3840" s="25"/>
    </row>
    <row r="3841" ht="15.75" customHeight="1">
      <c r="A3841" s="25" t="str">
        <f>IFERROR(__xludf.DUMMYFUNCTION("IF(B3841="""","""",RIGHT(REGEXREPLACE(B3841&amp;"""",""[^0-9]"",""""),9))"),"727338618")</f>
        <v>727338618</v>
      </c>
      <c r="B3841" s="52">
        <v>7.27338618E8</v>
      </c>
      <c r="C3841" s="28" t="s">
        <v>3868</v>
      </c>
      <c r="D3841" s="26" t="s">
        <v>64</v>
      </c>
      <c r="E3841" s="31">
        <v>46231.0</v>
      </c>
      <c r="F3841" s="26" t="s">
        <v>41</v>
      </c>
      <c r="G3841" s="26">
        <v>11.0</v>
      </c>
      <c r="I3841" s="26" t="s">
        <v>42</v>
      </c>
      <c r="J3841" s="25" t="str">
        <f t="shared" si="46"/>
        <v>No</v>
      </c>
      <c r="K3841" s="25" t="str">
        <f t="shared" si="47"/>
        <v/>
      </c>
      <c r="L3841" s="25" t="str">
        <f t="shared" si="48"/>
        <v/>
      </c>
      <c r="M3841" s="25"/>
      <c r="O3841" s="25"/>
    </row>
    <row r="3842" ht="15.75" customHeight="1">
      <c r="A3842" s="25" t="str">
        <f>IFERROR(__xludf.DUMMYFUNCTION("IF(B3842="""","""",RIGHT(REGEXREPLACE(B3842&amp;"""",""[^0-9]"",""""),9))"),"773586006")</f>
        <v>773586006</v>
      </c>
      <c r="B3842" s="52">
        <v>7.73586006E8</v>
      </c>
      <c r="C3842" s="28" t="s">
        <v>3869</v>
      </c>
      <c r="D3842" s="26" t="s">
        <v>45</v>
      </c>
      <c r="E3842" s="31">
        <v>46231.0</v>
      </c>
      <c r="F3842" s="26" t="s">
        <v>46</v>
      </c>
      <c r="G3842" s="26">
        <v>11.0</v>
      </c>
      <c r="I3842" s="26" t="s">
        <v>42</v>
      </c>
      <c r="J3842" s="25" t="str">
        <f t="shared" si="46"/>
        <v>No</v>
      </c>
      <c r="K3842" s="25" t="str">
        <f t="shared" si="47"/>
        <v/>
      </c>
      <c r="L3842" s="25" t="str">
        <f t="shared" si="48"/>
        <v/>
      </c>
      <c r="M3842" s="25"/>
      <c r="O3842" s="25"/>
    </row>
    <row r="3843" ht="15.75" customHeight="1">
      <c r="A3843" s="25" t="str">
        <f>IFERROR(__xludf.DUMMYFUNCTION("IF(B3843="""","""",RIGHT(REGEXREPLACE(B3843&amp;"""",""[^0-9]"",""""),9))"),"767213663")</f>
        <v>767213663</v>
      </c>
      <c r="B3843" s="52">
        <v>7.67213663E8</v>
      </c>
      <c r="C3843" s="28" t="s">
        <v>3870</v>
      </c>
      <c r="D3843" s="26" t="s">
        <v>64</v>
      </c>
      <c r="E3843" s="31">
        <v>46231.0</v>
      </c>
      <c r="F3843" s="26" t="s">
        <v>46</v>
      </c>
      <c r="G3843" s="26">
        <v>11.0</v>
      </c>
      <c r="I3843" s="26" t="s">
        <v>42</v>
      </c>
      <c r="J3843" s="25" t="str">
        <f t="shared" si="46"/>
        <v>No</v>
      </c>
      <c r="K3843" s="25" t="str">
        <f t="shared" si="47"/>
        <v/>
      </c>
      <c r="L3843" s="25" t="str">
        <f t="shared" si="48"/>
        <v/>
      </c>
      <c r="M3843" s="25"/>
      <c r="O3843" s="25"/>
    </row>
    <row r="3844" ht="15.75" customHeight="1">
      <c r="A3844" s="25" t="str">
        <f>IFERROR(__xludf.DUMMYFUNCTION("IF(B3844="""","""",RIGHT(REGEXREPLACE(B3844&amp;"""",""[^0-9]"",""""),9))"),"766846521")</f>
        <v>766846521</v>
      </c>
      <c r="B3844" s="52">
        <v>7.66846521E8</v>
      </c>
      <c r="C3844" s="28" t="s">
        <v>3871</v>
      </c>
      <c r="D3844" s="26" t="s">
        <v>82</v>
      </c>
      <c r="E3844" s="31">
        <v>46231.0</v>
      </c>
      <c r="F3844" s="26" t="s">
        <v>41</v>
      </c>
      <c r="G3844" s="26">
        <v>11.0</v>
      </c>
      <c r="I3844" s="26" t="s">
        <v>42</v>
      </c>
      <c r="J3844" s="25" t="str">
        <f t="shared" si="46"/>
        <v>No</v>
      </c>
      <c r="K3844" s="25" t="str">
        <f t="shared" si="47"/>
        <v/>
      </c>
      <c r="L3844" s="25" t="str">
        <f t="shared" si="48"/>
        <v/>
      </c>
      <c r="M3844" s="25"/>
      <c r="O3844" s="25"/>
    </row>
    <row r="3845" ht="15.75" customHeight="1">
      <c r="A3845" s="25" t="str">
        <f>IFERROR(__xludf.DUMMYFUNCTION("IF(B3845="""","""",RIGHT(REGEXREPLACE(B3845&amp;"""",""[^0-9]"",""""),9))"),"775079862")</f>
        <v>775079862</v>
      </c>
      <c r="B3845" s="52">
        <v>7.75079862E8</v>
      </c>
      <c r="C3845" s="28" t="s">
        <v>897</v>
      </c>
      <c r="D3845" s="26" t="s">
        <v>56</v>
      </c>
      <c r="E3845" s="31">
        <v>46231.0</v>
      </c>
      <c r="F3845" s="26" t="s">
        <v>46</v>
      </c>
      <c r="G3845" s="26">
        <v>11.0</v>
      </c>
      <c r="I3845" s="26" t="s">
        <v>42</v>
      </c>
      <c r="J3845" s="25" t="str">
        <f t="shared" si="46"/>
        <v>No</v>
      </c>
      <c r="K3845" s="25" t="str">
        <f t="shared" si="47"/>
        <v/>
      </c>
      <c r="L3845" s="25" t="str">
        <f t="shared" si="48"/>
        <v/>
      </c>
      <c r="M3845" s="25"/>
      <c r="O3845" s="25"/>
    </row>
    <row r="3846" ht="15.75" customHeight="1">
      <c r="A3846" s="25" t="str">
        <f>IFERROR(__xludf.DUMMYFUNCTION("IF(B3846="""","""",RIGHT(REGEXREPLACE(B3846&amp;"""",""[^0-9]"",""""),9))"),"758484643")</f>
        <v>758484643</v>
      </c>
      <c r="B3846" s="52">
        <v>7.58484643E8</v>
      </c>
      <c r="C3846" s="28" t="s">
        <v>3872</v>
      </c>
      <c r="D3846" s="26" t="s">
        <v>45</v>
      </c>
      <c r="E3846" s="31">
        <v>46231.0</v>
      </c>
      <c r="F3846" s="26" t="s">
        <v>46</v>
      </c>
      <c r="H3846" s="26" t="s">
        <v>3873</v>
      </c>
      <c r="I3846" s="26" t="s">
        <v>42</v>
      </c>
      <c r="J3846" s="25" t="str">
        <f t="shared" si="46"/>
        <v>No</v>
      </c>
      <c r="K3846" s="25" t="str">
        <f t="shared" si="47"/>
        <v/>
      </c>
      <c r="L3846" s="25" t="str">
        <f t="shared" si="48"/>
        <v/>
      </c>
      <c r="M3846" s="25"/>
      <c r="O3846" s="25"/>
    </row>
    <row r="3847" ht="15.75" customHeight="1">
      <c r="A3847" s="25" t="str">
        <f>IFERROR(__xludf.DUMMYFUNCTION("IF(B3847="""","""",RIGHT(REGEXREPLACE(B3847&amp;"""",""[^0-9]"",""""),9))"),"778954287")</f>
        <v>778954287</v>
      </c>
      <c r="B3847" s="52">
        <v>7.78954287E8</v>
      </c>
      <c r="C3847" s="28" t="s">
        <v>252</v>
      </c>
      <c r="D3847" s="26" t="s">
        <v>82</v>
      </c>
      <c r="E3847" s="31">
        <v>46231.0</v>
      </c>
      <c r="F3847" s="25"/>
      <c r="G3847" s="25"/>
      <c r="H3847" s="25"/>
      <c r="I3847" s="26" t="s">
        <v>42</v>
      </c>
      <c r="J3847" s="25" t="str">
        <f t="shared" si="46"/>
        <v>Yes - see Previous F-Code</v>
      </c>
      <c r="K3847" s="25" t="str">
        <f t="shared" si="47"/>
        <v>DUPLICATE - CHECK</v>
      </c>
      <c r="L3847" s="25" t="str">
        <f t="shared" si="48"/>
        <v>F70129</v>
      </c>
      <c r="M3847" s="25"/>
      <c r="N3847" s="25"/>
      <c r="O3847" s="25"/>
      <c r="P3847" s="25"/>
    </row>
    <row r="3848" ht="15.75" customHeight="1">
      <c r="A3848" s="25" t="str">
        <f>IFERROR(__xludf.DUMMYFUNCTION("IF(B3848="""","""",RIGHT(REGEXREPLACE(B3848&amp;"""",""[^0-9]"",""""),9))"),"776465353")</f>
        <v>776465353</v>
      </c>
      <c r="B3848" s="52">
        <v>7.76465353E8</v>
      </c>
      <c r="C3848" s="28" t="s">
        <v>3367</v>
      </c>
      <c r="D3848" s="26" t="s">
        <v>45</v>
      </c>
      <c r="E3848" s="31">
        <v>46231.0</v>
      </c>
      <c r="F3848" s="26" t="s">
        <v>46</v>
      </c>
      <c r="G3848" s="26">
        <v>11.0</v>
      </c>
      <c r="H3848" s="26" t="s">
        <v>3656</v>
      </c>
      <c r="I3848" s="26" t="s">
        <v>42</v>
      </c>
      <c r="J3848" s="25" t="str">
        <f t="shared" si="46"/>
        <v>No</v>
      </c>
      <c r="K3848" s="25" t="str">
        <f t="shared" si="47"/>
        <v/>
      </c>
      <c r="L3848" s="25" t="str">
        <f t="shared" si="48"/>
        <v/>
      </c>
      <c r="M3848" s="25"/>
      <c r="O3848" s="25"/>
    </row>
    <row r="3849" ht="15.75" customHeight="1">
      <c r="A3849" s="25" t="str">
        <f>IFERROR(__xludf.DUMMYFUNCTION("IF(B3849="""","""",RIGHT(REGEXREPLACE(B3849&amp;"""",""[^0-9]"",""""),9))"),"771837312")</f>
        <v>771837312</v>
      </c>
      <c r="B3849" s="52">
        <v>7.71837312E8</v>
      </c>
      <c r="C3849" s="28" t="s">
        <v>382</v>
      </c>
      <c r="D3849" s="26" t="s">
        <v>64</v>
      </c>
      <c r="E3849" s="31">
        <v>46231.0</v>
      </c>
      <c r="F3849" s="26" t="s">
        <v>46</v>
      </c>
      <c r="G3849" s="26">
        <v>11.0</v>
      </c>
      <c r="I3849" s="26" t="s">
        <v>42</v>
      </c>
      <c r="J3849" s="25" t="str">
        <f t="shared" si="46"/>
        <v>Yes - see Previous F-Code</v>
      </c>
      <c r="K3849" s="25" t="str">
        <f t="shared" si="47"/>
        <v>DUPLICATE - CHECK</v>
      </c>
      <c r="L3849" s="25" t="str">
        <f t="shared" si="48"/>
        <v>F70223</v>
      </c>
      <c r="M3849" s="25"/>
      <c r="O3849" s="25"/>
    </row>
    <row r="3850" ht="15.75" customHeight="1">
      <c r="A3850" s="25" t="str">
        <f>IFERROR(__xludf.DUMMYFUNCTION("IF(B3850="""","""",RIGHT(REGEXREPLACE(B3850&amp;"""",""[^0-9]"",""""),9))"),"764570892")</f>
        <v>764570892</v>
      </c>
      <c r="B3850" s="52">
        <v>7.64570892E8</v>
      </c>
      <c r="C3850" s="28" t="s">
        <v>3874</v>
      </c>
      <c r="D3850" s="26" t="s">
        <v>82</v>
      </c>
      <c r="E3850" s="31">
        <v>46231.0</v>
      </c>
      <c r="F3850" s="25"/>
      <c r="G3850" s="25"/>
      <c r="H3850" s="25"/>
      <c r="I3850" s="26" t="s">
        <v>42</v>
      </c>
      <c r="J3850" s="25" t="str">
        <f t="shared" si="46"/>
        <v>No</v>
      </c>
      <c r="K3850" s="25" t="str">
        <f t="shared" si="47"/>
        <v/>
      </c>
      <c r="L3850" s="25" t="str">
        <f t="shared" si="48"/>
        <v/>
      </c>
      <c r="M3850" s="25"/>
      <c r="N3850" s="25"/>
      <c r="O3850" s="25"/>
      <c r="P3850" s="25"/>
    </row>
    <row r="3851" ht="15.75" customHeight="1">
      <c r="A3851" s="25" t="str">
        <f>IFERROR(__xludf.DUMMYFUNCTION("IF(B3851="""","""",RIGHT(REGEXREPLACE(B3851&amp;"""",""[^0-9]"",""""),9))"),"703698940")</f>
        <v>703698940</v>
      </c>
      <c r="B3851" s="52">
        <v>7.0369894E8</v>
      </c>
      <c r="C3851" s="28" t="s">
        <v>3875</v>
      </c>
      <c r="D3851" s="26" t="s">
        <v>64</v>
      </c>
      <c r="E3851" s="31">
        <v>46231.0</v>
      </c>
      <c r="F3851" s="26" t="s">
        <v>41</v>
      </c>
      <c r="I3851" s="26" t="s">
        <v>42</v>
      </c>
      <c r="J3851" s="25" t="str">
        <f t="shared" si="46"/>
        <v>No</v>
      </c>
      <c r="K3851" s="25" t="str">
        <f t="shared" si="47"/>
        <v/>
      </c>
      <c r="L3851" s="25" t="str">
        <f t="shared" si="48"/>
        <v/>
      </c>
      <c r="M3851" s="25"/>
      <c r="O3851" s="25"/>
    </row>
    <row r="3852" ht="15.75" customHeight="1">
      <c r="A3852" s="25" t="str">
        <f>IFERROR(__xludf.DUMMYFUNCTION("IF(B3852="""","""",RIGHT(REGEXREPLACE(B3852&amp;"""",""[^0-9]"",""""),9))"),"757922748")</f>
        <v>757922748</v>
      </c>
      <c r="B3852" s="52">
        <v>7.57922748E8</v>
      </c>
      <c r="C3852" s="28" t="s">
        <v>3876</v>
      </c>
      <c r="D3852" s="26" t="s">
        <v>45</v>
      </c>
      <c r="E3852" s="31">
        <v>46231.0</v>
      </c>
      <c r="F3852" s="26" t="s">
        <v>41</v>
      </c>
      <c r="G3852" s="26">
        <v>10.0</v>
      </c>
      <c r="I3852" s="26" t="s">
        <v>42</v>
      </c>
      <c r="J3852" s="25" t="str">
        <f t="shared" si="46"/>
        <v>No</v>
      </c>
      <c r="K3852" s="25" t="str">
        <f t="shared" si="47"/>
        <v/>
      </c>
      <c r="L3852" s="25" t="str">
        <f t="shared" si="48"/>
        <v/>
      </c>
      <c r="M3852" s="25"/>
      <c r="O3852" s="25"/>
    </row>
    <row r="3853" ht="15.75" customHeight="1">
      <c r="A3853" s="25" t="str">
        <f>IFERROR(__xludf.DUMMYFUNCTION("IF(B3853="""","""",RIGHT(REGEXREPLACE(B3853&amp;"""",""[^0-9]"",""""),9))"),"705337005")</f>
        <v>705337005</v>
      </c>
      <c r="B3853" s="52">
        <v>7.05337005E8</v>
      </c>
      <c r="C3853" s="28" t="s">
        <v>252</v>
      </c>
      <c r="D3853" s="26" t="s">
        <v>56</v>
      </c>
      <c r="E3853" s="31">
        <v>46231.0</v>
      </c>
      <c r="F3853" s="26" t="s">
        <v>205</v>
      </c>
      <c r="G3853" s="26">
        <v>11.0</v>
      </c>
      <c r="I3853" s="26" t="s">
        <v>42</v>
      </c>
      <c r="J3853" s="25" t="str">
        <f t="shared" si="46"/>
        <v>No</v>
      </c>
      <c r="K3853" s="25" t="str">
        <f t="shared" si="47"/>
        <v/>
      </c>
      <c r="L3853" s="25" t="str">
        <f t="shared" si="48"/>
        <v/>
      </c>
      <c r="M3853" s="25"/>
      <c r="O3853" s="25"/>
    </row>
    <row r="3854" ht="15.75" customHeight="1">
      <c r="A3854" s="25" t="str">
        <f>IFERROR(__xludf.DUMMYFUNCTION("IF(B3854="""","""",RIGHT(REGEXREPLACE(B3854&amp;"""",""[^0-9]"",""""),9))"),"717860157")</f>
        <v>717860157</v>
      </c>
      <c r="B3854" s="52">
        <v>7.17860157E8</v>
      </c>
      <c r="C3854" s="28" t="s">
        <v>3877</v>
      </c>
      <c r="D3854" s="26" t="s">
        <v>64</v>
      </c>
      <c r="E3854" s="31">
        <v>46231.0</v>
      </c>
      <c r="F3854" s="26" t="s">
        <v>41</v>
      </c>
      <c r="I3854" s="26" t="s">
        <v>42</v>
      </c>
      <c r="J3854" s="25" t="str">
        <f t="shared" si="46"/>
        <v>No</v>
      </c>
      <c r="K3854" s="25" t="str">
        <f t="shared" si="47"/>
        <v/>
      </c>
      <c r="L3854" s="25" t="str">
        <f t="shared" si="48"/>
        <v/>
      </c>
      <c r="M3854" s="25"/>
      <c r="O3854" s="25"/>
    </row>
    <row r="3855" ht="15.75" customHeight="1">
      <c r="A3855" s="25" t="str">
        <f>IFERROR(__xludf.DUMMYFUNCTION("IF(B3855="""","""",RIGHT(REGEXREPLACE(B3855&amp;"""",""[^0-9]"",""""),9))"),"716335118")</f>
        <v>716335118</v>
      </c>
      <c r="B3855" s="52">
        <v>7.16335118E8</v>
      </c>
      <c r="C3855" s="28" t="s">
        <v>3878</v>
      </c>
      <c r="D3855" s="26" t="s">
        <v>49</v>
      </c>
      <c r="E3855" s="31">
        <v>46231.0</v>
      </c>
      <c r="F3855" s="26" t="s">
        <v>46</v>
      </c>
      <c r="G3855" s="26">
        <v>11.0</v>
      </c>
      <c r="I3855" s="26" t="s">
        <v>42</v>
      </c>
      <c r="J3855" s="25" t="str">
        <f t="shared" si="46"/>
        <v>No</v>
      </c>
      <c r="K3855" s="25" t="str">
        <f t="shared" si="47"/>
        <v/>
      </c>
      <c r="L3855" s="25" t="str">
        <f t="shared" si="48"/>
        <v/>
      </c>
      <c r="M3855" s="25"/>
      <c r="O3855" s="25"/>
    </row>
    <row r="3856" ht="15.75" customHeight="1">
      <c r="A3856" s="25" t="str">
        <f>IFERROR(__xludf.DUMMYFUNCTION("IF(B3856="""","""",RIGHT(REGEXREPLACE(B3856&amp;"""",""[^0-9]"",""""),9))"),"776792300")</f>
        <v>776792300</v>
      </c>
      <c r="B3856" s="52">
        <v>7.767923E8</v>
      </c>
      <c r="C3856" s="28" t="s">
        <v>3879</v>
      </c>
      <c r="D3856" s="26" t="s">
        <v>45</v>
      </c>
      <c r="E3856" s="31">
        <v>46231.0</v>
      </c>
      <c r="F3856" s="26" t="s">
        <v>46</v>
      </c>
      <c r="G3856" s="26">
        <v>11.0</v>
      </c>
      <c r="I3856" s="26" t="s">
        <v>42</v>
      </c>
      <c r="J3856" s="25" t="str">
        <f t="shared" si="46"/>
        <v>No</v>
      </c>
      <c r="K3856" s="25" t="str">
        <f t="shared" si="47"/>
        <v/>
      </c>
      <c r="L3856" s="25" t="str">
        <f t="shared" si="48"/>
        <v/>
      </c>
      <c r="M3856" s="25"/>
      <c r="O3856" s="25"/>
    </row>
    <row r="3857" ht="15.75" customHeight="1">
      <c r="A3857" s="25" t="str">
        <f>IFERROR(__xludf.DUMMYFUNCTION("IF(B3857="""","""",RIGHT(REGEXREPLACE(B3857&amp;"""",""[^0-9]"",""""),9))"),"777716695")</f>
        <v>777716695</v>
      </c>
      <c r="B3857" s="52">
        <v>7.77716695E8</v>
      </c>
      <c r="C3857" s="28" t="s">
        <v>3880</v>
      </c>
      <c r="D3857" s="26" t="s">
        <v>82</v>
      </c>
      <c r="E3857" s="31">
        <v>46231.0</v>
      </c>
      <c r="F3857" s="26" t="s">
        <v>659</v>
      </c>
      <c r="I3857" s="26" t="s">
        <v>42</v>
      </c>
      <c r="J3857" s="25" t="str">
        <f t="shared" si="46"/>
        <v>No</v>
      </c>
      <c r="K3857" s="25" t="str">
        <f t="shared" si="47"/>
        <v/>
      </c>
      <c r="L3857" s="25" t="str">
        <f t="shared" si="48"/>
        <v/>
      </c>
      <c r="M3857" s="25"/>
      <c r="O3857" s="25"/>
    </row>
    <row r="3858" ht="15.75" customHeight="1">
      <c r="A3858" s="25" t="str">
        <f>IFERROR(__xludf.DUMMYFUNCTION("IF(B3858="""","""",RIGHT(REGEXREPLACE(B3858&amp;"""",""[^0-9]"",""""),9))"),"742800824")</f>
        <v>742800824</v>
      </c>
      <c r="B3858" s="52">
        <v>7.42800824E8</v>
      </c>
      <c r="C3858" s="28" t="s">
        <v>3881</v>
      </c>
      <c r="D3858" s="26" t="s">
        <v>64</v>
      </c>
      <c r="E3858" s="31">
        <v>46231.0</v>
      </c>
      <c r="F3858" s="26" t="s">
        <v>125</v>
      </c>
      <c r="I3858" s="26" t="s">
        <v>42</v>
      </c>
      <c r="J3858" s="25" t="str">
        <f t="shared" si="46"/>
        <v>No</v>
      </c>
      <c r="K3858" s="25" t="str">
        <f t="shared" si="47"/>
        <v/>
      </c>
      <c r="L3858" s="25" t="str">
        <f t="shared" si="48"/>
        <v/>
      </c>
      <c r="M3858" s="25"/>
      <c r="O3858" s="25"/>
    </row>
    <row r="3859" ht="15.75" customHeight="1">
      <c r="A3859" s="25" t="str">
        <f>IFERROR(__xludf.DUMMYFUNCTION("IF(B3859="""","""",RIGHT(REGEXREPLACE(B3859&amp;"""",""[^0-9]"",""""),9))"),"742739625")</f>
        <v>742739625</v>
      </c>
      <c r="B3859" s="52">
        <v>7.42739625E8</v>
      </c>
      <c r="C3859" s="28" t="s">
        <v>3882</v>
      </c>
      <c r="D3859" s="26" t="s">
        <v>82</v>
      </c>
      <c r="E3859" s="31">
        <v>46231.0</v>
      </c>
      <c r="F3859" s="26" t="s">
        <v>41</v>
      </c>
      <c r="G3859" s="26">
        <v>11.0</v>
      </c>
      <c r="I3859" s="26" t="s">
        <v>42</v>
      </c>
      <c r="J3859" s="25" t="str">
        <f t="shared" si="46"/>
        <v>No</v>
      </c>
      <c r="K3859" s="25" t="str">
        <f t="shared" si="47"/>
        <v/>
      </c>
      <c r="L3859" s="25" t="str">
        <f t="shared" si="48"/>
        <v/>
      </c>
      <c r="M3859" s="25"/>
      <c r="O3859" s="25"/>
    </row>
    <row r="3860" ht="15.75" customHeight="1">
      <c r="A3860" s="25" t="str">
        <f>IFERROR(__xludf.DUMMYFUNCTION("IF(B3860="""","""",RIGHT(REGEXREPLACE(B3860&amp;"""",""[^0-9]"",""""),9))"),"729729231")</f>
        <v>729729231</v>
      </c>
      <c r="B3860" s="52">
        <v>7.29729231E8</v>
      </c>
      <c r="C3860" s="28" t="s">
        <v>3883</v>
      </c>
      <c r="D3860" s="26" t="s">
        <v>45</v>
      </c>
      <c r="E3860" s="31">
        <v>46231.0</v>
      </c>
      <c r="F3860" s="26" t="s">
        <v>46</v>
      </c>
      <c r="G3860" s="26">
        <v>11.0</v>
      </c>
      <c r="I3860" s="26" t="s">
        <v>42</v>
      </c>
      <c r="J3860" s="25" t="str">
        <f t="shared" si="46"/>
        <v>No</v>
      </c>
      <c r="K3860" s="25" t="str">
        <f t="shared" si="47"/>
        <v/>
      </c>
      <c r="L3860" s="25" t="str">
        <f t="shared" si="48"/>
        <v/>
      </c>
      <c r="M3860" s="25"/>
      <c r="O3860" s="25"/>
    </row>
    <row r="3861" ht="15.75" customHeight="1">
      <c r="A3861" s="25" t="str">
        <f>IFERROR(__xludf.DUMMYFUNCTION("IF(B3861="""","""",RIGHT(REGEXREPLACE(B3861&amp;"""",""[^0-9]"",""""),9))"),"711894193")</f>
        <v>711894193</v>
      </c>
      <c r="B3861" s="52">
        <v>7.11894193E8</v>
      </c>
      <c r="C3861" s="28" t="s">
        <v>3884</v>
      </c>
      <c r="D3861" s="26" t="s">
        <v>49</v>
      </c>
      <c r="E3861" s="31">
        <v>46231.0</v>
      </c>
      <c r="F3861" s="26" t="s">
        <v>41</v>
      </c>
      <c r="G3861" s="26">
        <v>11.0</v>
      </c>
      <c r="I3861" s="26" t="s">
        <v>42</v>
      </c>
      <c r="J3861" s="25" t="str">
        <f t="shared" si="46"/>
        <v>No</v>
      </c>
      <c r="K3861" s="25" t="str">
        <f t="shared" si="47"/>
        <v/>
      </c>
      <c r="L3861" s="25" t="str">
        <f t="shared" si="48"/>
        <v/>
      </c>
      <c r="M3861" s="25"/>
      <c r="O3861" s="25"/>
    </row>
    <row r="3862" ht="15.75" customHeight="1">
      <c r="A3862" s="25" t="str">
        <f>IFERROR(__xludf.DUMMYFUNCTION("IF(B3862="""","""",RIGHT(REGEXREPLACE(B3862&amp;"""",""[^0-9]"",""""),9))"),"718297398")</f>
        <v>718297398</v>
      </c>
      <c r="B3862" s="52">
        <v>7.18297398E8</v>
      </c>
      <c r="C3862" s="28" t="s">
        <v>3885</v>
      </c>
      <c r="D3862" s="26" t="s">
        <v>82</v>
      </c>
      <c r="E3862" s="31">
        <v>46231.0</v>
      </c>
      <c r="F3862" s="26" t="s">
        <v>659</v>
      </c>
      <c r="G3862" s="26">
        <v>11.0</v>
      </c>
      <c r="I3862" s="26" t="s">
        <v>42</v>
      </c>
      <c r="J3862" s="25" t="str">
        <f t="shared" si="46"/>
        <v>No</v>
      </c>
      <c r="K3862" s="25" t="str">
        <f t="shared" si="47"/>
        <v/>
      </c>
      <c r="L3862" s="25" t="str">
        <f t="shared" si="48"/>
        <v/>
      </c>
      <c r="M3862" s="25"/>
      <c r="O3862" s="25"/>
    </row>
    <row r="3863" ht="15.75" customHeight="1">
      <c r="A3863" s="25" t="str">
        <f>IFERROR(__xludf.DUMMYFUNCTION("IF(B3863="""","""",RIGHT(REGEXREPLACE(B3863&amp;"""",""[^0-9]"",""""),9))"),"778755683")</f>
        <v>778755683</v>
      </c>
      <c r="B3863" s="52">
        <v>7.78755683E8</v>
      </c>
      <c r="C3863" s="28" t="s">
        <v>3773</v>
      </c>
      <c r="D3863" s="26" t="s">
        <v>64</v>
      </c>
      <c r="E3863" s="31">
        <v>46231.0</v>
      </c>
      <c r="F3863" s="26" t="s">
        <v>46</v>
      </c>
      <c r="G3863" s="26">
        <v>11.0</v>
      </c>
      <c r="I3863" s="26" t="s">
        <v>42</v>
      </c>
      <c r="J3863" s="25" t="str">
        <f t="shared" si="46"/>
        <v>Yes - see Previous F-Code</v>
      </c>
      <c r="K3863" s="25" t="str">
        <f t="shared" si="47"/>
        <v>DUPLICATE - CHECK</v>
      </c>
      <c r="L3863" s="25" t="str">
        <f t="shared" si="48"/>
        <v>F73425</v>
      </c>
      <c r="M3863" s="25"/>
      <c r="O3863" s="25"/>
    </row>
    <row r="3864" ht="15.75" customHeight="1">
      <c r="A3864" s="25" t="str">
        <f>IFERROR(__xludf.DUMMYFUNCTION("IF(B3864="""","""",RIGHT(REGEXREPLACE(B3864&amp;"""",""[^0-9]"",""""),9))"),"764285152")</f>
        <v>764285152</v>
      </c>
      <c r="B3864" s="52">
        <v>7.64285152E8</v>
      </c>
      <c r="C3864" s="28" t="s">
        <v>3886</v>
      </c>
      <c r="D3864" s="26" t="s">
        <v>49</v>
      </c>
      <c r="E3864" s="31">
        <v>46231.0</v>
      </c>
      <c r="F3864" s="26" t="s">
        <v>659</v>
      </c>
      <c r="G3864" s="26">
        <v>11.0</v>
      </c>
      <c r="I3864" s="26" t="s">
        <v>42</v>
      </c>
      <c r="J3864" s="25" t="str">
        <f t="shared" si="46"/>
        <v>No</v>
      </c>
      <c r="K3864" s="25" t="str">
        <f t="shared" si="47"/>
        <v/>
      </c>
      <c r="L3864" s="25" t="str">
        <f t="shared" si="48"/>
        <v/>
      </c>
      <c r="M3864" s="25"/>
      <c r="O3864" s="25"/>
    </row>
    <row r="3865" ht="15.75" customHeight="1">
      <c r="A3865" s="25" t="str">
        <f>IFERROR(__xludf.DUMMYFUNCTION("IF(B3865="""","""",RIGHT(REGEXREPLACE(B3865&amp;"""",""[^0-9]"",""""),9))"),"768201678")</f>
        <v>768201678</v>
      </c>
      <c r="B3865" s="52">
        <v>7.68201678E8</v>
      </c>
      <c r="C3865" s="28" t="s">
        <v>3887</v>
      </c>
      <c r="D3865" s="26" t="s">
        <v>82</v>
      </c>
      <c r="E3865" s="31">
        <v>46231.0</v>
      </c>
      <c r="F3865" s="26" t="s">
        <v>46</v>
      </c>
      <c r="G3865" s="26">
        <v>11.0</v>
      </c>
      <c r="I3865" s="26" t="s">
        <v>42</v>
      </c>
      <c r="J3865" s="25" t="str">
        <f t="shared" si="46"/>
        <v>No</v>
      </c>
      <c r="K3865" s="25" t="str">
        <f t="shared" si="47"/>
        <v/>
      </c>
      <c r="L3865" s="25" t="str">
        <f t="shared" si="48"/>
        <v/>
      </c>
      <c r="M3865" s="25"/>
      <c r="O3865" s="25"/>
    </row>
    <row r="3866" ht="15.75" customHeight="1">
      <c r="A3866" s="25" t="str">
        <f>IFERROR(__xludf.DUMMYFUNCTION("IF(B3866="""","""",RIGHT(REGEXREPLACE(B3866&amp;"""",""[^0-9]"",""""),9))"),"775536213")</f>
        <v>775536213</v>
      </c>
      <c r="B3866" s="52">
        <v>7.75536213E8</v>
      </c>
      <c r="C3866" s="28" t="s">
        <v>3888</v>
      </c>
      <c r="D3866" s="26" t="s">
        <v>49</v>
      </c>
      <c r="E3866" s="31">
        <v>46231.0</v>
      </c>
      <c r="F3866" s="26" t="s">
        <v>46</v>
      </c>
      <c r="G3866" s="26">
        <v>11.0</v>
      </c>
      <c r="I3866" s="26" t="s">
        <v>42</v>
      </c>
      <c r="J3866" s="25" t="str">
        <f t="shared" si="46"/>
        <v>No</v>
      </c>
      <c r="K3866" s="25" t="str">
        <f t="shared" si="47"/>
        <v/>
      </c>
      <c r="L3866" s="25" t="str">
        <f t="shared" si="48"/>
        <v/>
      </c>
      <c r="M3866" s="25"/>
      <c r="O3866" s="25"/>
    </row>
    <row r="3867" ht="15.75" customHeight="1">
      <c r="A3867" s="25" t="str">
        <f>IFERROR(__xludf.DUMMYFUNCTION("IF(B3867="""","""",RIGHT(REGEXREPLACE(B3867&amp;"""",""[^0-9]"",""""),9))"),"774310962")</f>
        <v>774310962</v>
      </c>
      <c r="B3867" s="52">
        <v>7.74310962E8</v>
      </c>
      <c r="C3867" s="28" t="s">
        <v>3889</v>
      </c>
      <c r="D3867" s="26" t="s">
        <v>82</v>
      </c>
      <c r="E3867" s="31">
        <v>46231.0</v>
      </c>
      <c r="F3867" s="26" t="s">
        <v>46</v>
      </c>
      <c r="G3867" s="26">
        <v>8.0</v>
      </c>
      <c r="I3867" s="26" t="s">
        <v>42</v>
      </c>
      <c r="J3867" s="25" t="str">
        <f t="shared" si="46"/>
        <v>No</v>
      </c>
      <c r="K3867" s="25" t="str">
        <f t="shared" si="47"/>
        <v/>
      </c>
      <c r="L3867" s="25" t="str">
        <f t="shared" si="48"/>
        <v/>
      </c>
      <c r="M3867" s="25"/>
      <c r="O3867" s="25"/>
    </row>
    <row r="3868" ht="15.75" customHeight="1">
      <c r="A3868" s="25" t="str">
        <f>IFERROR(__xludf.DUMMYFUNCTION("IF(B3868="""","""",RIGHT(REGEXREPLACE(B3868&amp;"""",""[^0-9]"",""""),9))"),"740433790")</f>
        <v>740433790</v>
      </c>
      <c r="B3868" s="52">
        <v>7.4043379E8</v>
      </c>
      <c r="C3868" s="28" t="s">
        <v>3890</v>
      </c>
      <c r="D3868" s="26" t="s">
        <v>64</v>
      </c>
      <c r="E3868" s="31">
        <v>46231.0</v>
      </c>
      <c r="F3868" s="26" t="s">
        <v>41</v>
      </c>
      <c r="G3868" s="26">
        <v>11.0</v>
      </c>
      <c r="I3868" s="26" t="s">
        <v>42</v>
      </c>
      <c r="J3868" s="25" t="str">
        <f t="shared" si="46"/>
        <v>No</v>
      </c>
      <c r="K3868" s="25" t="str">
        <f t="shared" si="47"/>
        <v/>
      </c>
      <c r="L3868" s="25" t="str">
        <f t="shared" si="48"/>
        <v/>
      </c>
      <c r="M3868" s="25"/>
      <c r="O3868" s="25"/>
    </row>
    <row r="3869" ht="15.75" customHeight="1">
      <c r="A3869" s="25" t="str">
        <f>IFERROR(__xludf.DUMMYFUNCTION("IF(B3869="""","""",RIGHT(REGEXREPLACE(B3869&amp;"""",""[^0-9]"",""""),9))"),"760154021")</f>
        <v>760154021</v>
      </c>
      <c r="B3869" s="52">
        <v>7.60154021E8</v>
      </c>
      <c r="C3869" s="28" t="s">
        <v>3890</v>
      </c>
      <c r="D3869" s="26" t="s">
        <v>56</v>
      </c>
      <c r="E3869" s="31">
        <v>46231.0</v>
      </c>
      <c r="F3869" s="26" t="s">
        <v>46</v>
      </c>
      <c r="G3869" s="26">
        <v>11.0</v>
      </c>
      <c r="I3869" s="26" t="s">
        <v>42</v>
      </c>
      <c r="J3869" s="25" t="str">
        <f t="shared" si="46"/>
        <v>No</v>
      </c>
      <c r="K3869" s="25" t="str">
        <f t="shared" si="47"/>
        <v/>
      </c>
      <c r="L3869" s="25" t="str">
        <f t="shared" si="48"/>
        <v/>
      </c>
      <c r="M3869" s="25"/>
      <c r="O3869" s="25"/>
    </row>
    <row r="3870" ht="15.75" customHeight="1">
      <c r="A3870" s="25" t="str">
        <f>IFERROR(__xludf.DUMMYFUNCTION("IF(B3870="""","""",RIGHT(REGEXREPLACE(B3870&amp;"""",""[^0-9]"",""""),9))"),"769483498")</f>
        <v>769483498</v>
      </c>
      <c r="B3870" s="52">
        <v>7.69483498E8</v>
      </c>
      <c r="C3870" s="28" t="s">
        <v>3891</v>
      </c>
      <c r="D3870" s="26" t="s">
        <v>64</v>
      </c>
      <c r="E3870" s="31">
        <v>46231.0</v>
      </c>
      <c r="F3870" s="26" t="s">
        <v>46</v>
      </c>
      <c r="H3870" s="26" t="s">
        <v>3892</v>
      </c>
      <c r="I3870" s="26" t="s">
        <v>42</v>
      </c>
      <c r="J3870" s="25" t="str">
        <f t="shared" si="46"/>
        <v>No</v>
      </c>
      <c r="K3870" s="25" t="str">
        <f t="shared" si="47"/>
        <v/>
      </c>
      <c r="L3870" s="25" t="str">
        <f t="shared" si="48"/>
        <v/>
      </c>
      <c r="M3870" s="25"/>
      <c r="O3870" s="25"/>
    </row>
    <row r="3871" ht="15.75" customHeight="1">
      <c r="A3871" s="25" t="str">
        <f>IFERROR(__xludf.DUMMYFUNCTION("IF(B3871="""","""",RIGHT(REGEXREPLACE(B3871&amp;"""",""[^0-9]"",""""),9))"),"779841598")</f>
        <v>779841598</v>
      </c>
      <c r="B3871" s="52">
        <v>7.79841598E8</v>
      </c>
      <c r="C3871" s="28" t="s">
        <v>3893</v>
      </c>
      <c r="D3871" s="26" t="s">
        <v>82</v>
      </c>
      <c r="E3871" s="31">
        <v>46231.0</v>
      </c>
      <c r="F3871" s="26" t="s">
        <v>46</v>
      </c>
      <c r="G3871" s="26">
        <v>11.0</v>
      </c>
      <c r="I3871" s="26" t="s">
        <v>42</v>
      </c>
      <c r="J3871" s="25" t="str">
        <f t="shared" si="46"/>
        <v>No</v>
      </c>
      <c r="K3871" s="25" t="str">
        <f t="shared" si="47"/>
        <v/>
      </c>
      <c r="L3871" s="25" t="str">
        <f t="shared" si="48"/>
        <v/>
      </c>
      <c r="M3871" s="25"/>
      <c r="O3871" s="25"/>
    </row>
    <row r="3872" ht="15.75" customHeight="1">
      <c r="A3872" s="25" t="str">
        <f>IFERROR(__xludf.DUMMYFUNCTION("IF(B3872="""","""",RIGHT(REGEXREPLACE(B3872&amp;"""",""[^0-9]"",""""),9))"),"776563392")</f>
        <v>776563392</v>
      </c>
      <c r="B3872" s="52">
        <v>7.76563392E8</v>
      </c>
      <c r="C3872" s="28" t="s">
        <v>3894</v>
      </c>
      <c r="D3872" s="26" t="s">
        <v>64</v>
      </c>
      <c r="E3872" s="31">
        <v>46231.0</v>
      </c>
      <c r="F3872" s="26" t="s">
        <v>46</v>
      </c>
      <c r="G3872" s="26">
        <v>11.0</v>
      </c>
      <c r="I3872" s="26" t="s">
        <v>42</v>
      </c>
      <c r="J3872" s="25" t="str">
        <f t="shared" si="46"/>
        <v>No</v>
      </c>
      <c r="K3872" s="25" t="str">
        <f t="shared" si="47"/>
        <v/>
      </c>
      <c r="L3872" s="25" t="str">
        <f t="shared" si="48"/>
        <v/>
      </c>
      <c r="M3872" s="25"/>
      <c r="O3872" s="25"/>
    </row>
    <row r="3873" ht="15.75" customHeight="1">
      <c r="A3873" s="25" t="str">
        <f>IFERROR(__xludf.DUMMYFUNCTION("IF(B3873="""","""",RIGHT(REGEXREPLACE(B3873&amp;"""",""[^0-9]"",""""),9))"),"762683424")</f>
        <v>762683424</v>
      </c>
      <c r="B3873" s="52">
        <v>7.62683424E8</v>
      </c>
      <c r="C3873" s="28" t="s">
        <v>3895</v>
      </c>
      <c r="D3873" s="26" t="s">
        <v>82</v>
      </c>
      <c r="E3873" s="31">
        <v>46231.0</v>
      </c>
      <c r="F3873" s="26" t="s">
        <v>41</v>
      </c>
      <c r="G3873" s="26">
        <v>11.0</v>
      </c>
      <c r="I3873" s="26" t="s">
        <v>42</v>
      </c>
      <c r="J3873" s="25" t="str">
        <f t="shared" si="46"/>
        <v>No</v>
      </c>
      <c r="K3873" s="25" t="str">
        <f t="shared" si="47"/>
        <v/>
      </c>
      <c r="L3873" s="25" t="str">
        <f t="shared" si="48"/>
        <v/>
      </c>
      <c r="M3873" s="25"/>
      <c r="O3873" s="25"/>
    </row>
    <row r="3874" ht="15.75" customHeight="1">
      <c r="A3874" s="25" t="str">
        <f>IFERROR(__xludf.DUMMYFUNCTION("IF(B3874="""","""",RIGHT(REGEXREPLACE(B3874&amp;"""",""[^0-9]"",""""),9))"),"778957740")</f>
        <v>778957740</v>
      </c>
      <c r="B3874" s="52">
        <v>7.7895774E8</v>
      </c>
      <c r="C3874" s="28" t="s">
        <v>3896</v>
      </c>
      <c r="D3874" s="26" t="s">
        <v>64</v>
      </c>
      <c r="E3874" s="31">
        <v>46231.0</v>
      </c>
      <c r="F3874" s="25"/>
      <c r="G3874" s="25"/>
      <c r="H3874" s="25"/>
      <c r="I3874" s="26" t="s">
        <v>42</v>
      </c>
      <c r="J3874" s="25" t="str">
        <f t="shared" si="46"/>
        <v>No</v>
      </c>
      <c r="K3874" s="25" t="str">
        <f t="shared" si="47"/>
        <v/>
      </c>
      <c r="L3874" s="25" t="str">
        <f t="shared" si="48"/>
        <v/>
      </c>
      <c r="M3874" s="25"/>
      <c r="N3874" s="25"/>
      <c r="O3874" s="25"/>
      <c r="P3874" s="25"/>
    </row>
    <row r="3875" ht="15.75" customHeight="1">
      <c r="A3875" s="25" t="str">
        <f>IFERROR(__xludf.DUMMYFUNCTION("IF(B3875="""","""",RIGHT(REGEXREPLACE(B3875&amp;"""",""[^0-9]"",""""),9))"),"741637397")</f>
        <v>741637397</v>
      </c>
      <c r="B3875" s="52">
        <v>7.41637397E8</v>
      </c>
      <c r="C3875" s="28" t="s">
        <v>3897</v>
      </c>
      <c r="D3875" s="26" t="s">
        <v>82</v>
      </c>
      <c r="E3875" s="31">
        <v>46231.0</v>
      </c>
      <c r="F3875" s="26" t="s">
        <v>41</v>
      </c>
      <c r="I3875" s="26" t="s">
        <v>42</v>
      </c>
      <c r="J3875" s="25" t="str">
        <f t="shared" si="46"/>
        <v>No</v>
      </c>
      <c r="K3875" s="25" t="str">
        <f t="shared" si="47"/>
        <v/>
      </c>
      <c r="L3875" s="25" t="str">
        <f t="shared" si="48"/>
        <v/>
      </c>
      <c r="M3875" s="25"/>
      <c r="O3875" s="25"/>
    </row>
    <row r="3876" ht="15.75" customHeight="1">
      <c r="A3876" s="25" t="str">
        <f>IFERROR(__xludf.DUMMYFUNCTION("IF(B3876="""","""",RIGHT(REGEXREPLACE(B3876&amp;"""",""[^0-9]"",""""),9))"),"757301592")</f>
        <v>757301592</v>
      </c>
      <c r="B3876" s="52">
        <v>7.57301592E8</v>
      </c>
      <c r="C3876" s="28" t="s">
        <v>3898</v>
      </c>
      <c r="D3876" s="26" t="s">
        <v>56</v>
      </c>
      <c r="E3876" s="31">
        <v>46231.0</v>
      </c>
      <c r="F3876" s="26" t="s">
        <v>46</v>
      </c>
      <c r="G3876" s="26">
        <v>11.0</v>
      </c>
      <c r="I3876" s="26" t="s">
        <v>42</v>
      </c>
      <c r="J3876" s="25" t="str">
        <f t="shared" si="46"/>
        <v>No</v>
      </c>
      <c r="K3876" s="25" t="str">
        <f t="shared" si="47"/>
        <v/>
      </c>
      <c r="L3876" s="25" t="str">
        <f t="shared" si="48"/>
        <v/>
      </c>
      <c r="M3876" s="25"/>
      <c r="O3876" s="25"/>
    </row>
    <row r="3877" ht="15.75" customHeight="1">
      <c r="A3877" s="25" t="str">
        <f>IFERROR(__xludf.DUMMYFUNCTION("IF(B3877="""","""",RIGHT(REGEXREPLACE(B3877&amp;"""",""[^0-9]"",""""),9))"),"701519821")</f>
        <v>701519821</v>
      </c>
      <c r="B3877" s="52">
        <v>7.01519821E8</v>
      </c>
      <c r="C3877" s="28" t="s">
        <v>3775</v>
      </c>
      <c r="D3877" s="26" t="s">
        <v>56</v>
      </c>
      <c r="E3877" s="31">
        <v>46231.0</v>
      </c>
      <c r="F3877" s="26" t="s">
        <v>46</v>
      </c>
      <c r="I3877" s="26" t="s">
        <v>42</v>
      </c>
      <c r="J3877" s="25" t="str">
        <f t="shared" si="46"/>
        <v>No</v>
      </c>
      <c r="K3877" s="25" t="str">
        <f t="shared" si="47"/>
        <v/>
      </c>
      <c r="L3877" s="25" t="str">
        <f t="shared" si="48"/>
        <v/>
      </c>
      <c r="M3877" s="25"/>
      <c r="O3877" s="25"/>
    </row>
    <row r="3878" ht="15.75" customHeight="1">
      <c r="A3878" s="25" t="str">
        <f>IFERROR(__xludf.DUMMYFUNCTION("IF(B3878="""","""",RIGHT(REGEXREPLACE(B3878&amp;"""",""[^0-9]"",""""),9))"),"753736818")</f>
        <v>753736818</v>
      </c>
      <c r="B3878" s="52">
        <v>7.53736818E8</v>
      </c>
      <c r="C3878" s="28" t="s">
        <v>3899</v>
      </c>
      <c r="D3878" s="26" t="s">
        <v>82</v>
      </c>
      <c r="E3878" s="31">
        <v>46231.0</v>
      </c>
      <c r="F3878" s="26" t="s">
        <v>659</v>
      </c>
      <c r="I3878" s="26" t="s">
        <v>42</v>
      </c>
      <c r="J3878" s="25" t="str">
        <f t="shared" si="46"/>
        <v>No</v>
      </c>
      <c r="K3878" s="25" t="str">
        <f t="shared" si="47"/>
        <v/>
      </c>
      <c r="L3878" s="25" t="str">
        <f t="shared" si="48"/>
        <v/>
      </c>
      <c r="M3878" s="25"/>
      <c r="O3878" s="25"/>
    </row>
    <row r="3879" ht="15.75" customHeight="1">
      <c r="A3879" s="25" t="str">
        <f>IFERROR(__xludf.DUMMYFUNCTION("IF(B3879="""","""",RIGHT(REGEXREPLACE(B3879&amp;"""",""[^0-9]"",""""),9))"),"712318003")</f>
        <v>712318003</v>
      </c>
      <c r="B3879" s="52">
        <v>7.12318003E8</v>
      </c>
      <c r="C3879" s="28" t="s">
        <v>377</v>
      </c>
      <c r="D3879" s="26" t="s">
        <v>64</v>
      </c>
      <c r="E3879" s="31">
        <v>46233.0</v>
      </c>
      <c r="F3879" s="26" t="s">
        <v>205</v>
      </c>
      <c r="G3879" s="26">
        <v>11.0</v>
      </c>
      <c r="H3879" s="26" t="s">
        <v>796</v>
      </c>
      <c r="I3879" s="26" t="s">
        <v>961</v>
      </c>
      <c r="J3879" s="25" t="str">
        <f t="shared" si="46"/>
        <v>Yes - see Previous F-Code</v>
      </c>
      <c r="K3879" s="25" t="str">
        <f t="shared" si="47"/>
        <v/>
      </c>
      <c r="L3879" s="25" t="str">
        <f t="shared" si="48"/>
        <v>F72800</v>
      </c>
      <c r="M3879" s="25"/>
      <c r="O3879" s="25"/>
    </row>
    <row r="3880" ht="15.75" customHeight="1">
      <c r="A3880" s="25" t="str">
        <f>IFERROR(__xludf.DUMMYFUNCTION("IF(B3880="""","""",RIGHT(REGEXREPLACE(B3880&amp;"""",""[^0-9]"",""""),9))"),"785778681")</f>
        <v>785778681</v>
      </c>
      <c r="B3880" s="52">
        <v>7.85778681E8</v>
      </c>
      <c r="C3880" s="28" t="s">
        <v>3142</v>
      </c>
      <c r="D3880" s="26" t="s">
        <v>64</v>
      </c>
      <c r="E3880" s="31">
        <v>46233.0</v>
      </c>
      <c r="F3880" s="26" t="s">
        <v>41</v>
      </c>
      <c r="G3880" s="26">
        <v>11.0</v>
      </c>
      <c r="H3880" s="26" t="s">
        <v>1526</v>
      </c>
      <c r="I3880" s="26" t="s">
        <v>961</v>
      </c>
      <c r="J3880" s="25" t="str">
        <f t="shared" si="46"/>
        <v>Yes - see Previous F-Code</v>
      </c>
      <c r="K3880" s="25" t="str">
        <f t="shared" si="47"/>
        <v/>
      </c>
      <c r="L3880" s="25" t="str">
        <f t="shared" si="48"/>
        <v>F72783</v>
      </c>
      <c r="M3880" s="25"/>
      <c r="O3880" s="25"/>
    </row>
    <row r="3881" ht="15.75" customHeight="1">
      <c r="A3881" s="25" t="str">
        <f>IFERROR(__xludf.DUMMYFUNCTION("IF(B3881="""","""",RIGHT(REGEXREPLACE(B3881&amp;"""",""[^0-9]"",""""),9))"),"763364127")</f>
        <v>763364127</v>
      </c>
      <c r="B3881" s="52">
        <v>7.63364127E8</v>
      </c>
      <c r="C3881" s="28" t="s">
        <v>3900</v>
      </c>
      <c r="D3881" s="26" t="s">
        <v>82</v>
      </c>
      <c r="E3881" s="31">
        <v>46233.0</v>
      </c>
      <c r="F3881" s="26" t="s">
        <v>205</v>
      </c>
      <c r="H3881" s="26" t="s">
        <v>2605</v>
      </c>
      <c r="I3881" s="26" t="s">
        <v>961</v>
      </c>
      <c r="J3881" s="25" t="str">
        <f t="shared" si="46"/>
        <v>No</v>
      </c>
      <c r="K3881" s="25" t="str">
        <f t="shared" si="47"/>
        <v/>
      </c>
      <c r="L3881" s="25" t="str">
        <f t="shared" si="48"/>
        <v/>
      </c>
      <c r="M3881" s="25"/>
      <c r="O3881" s="25"/>
    </row>
    <row r="3882" ht="15.75" customHeight="1">
      <c r="A3882" s="25" t="str">
        <f>IFERROR(__xludf.DUMMYFUNCTION("IF(B3882="""","""",RIGHT(REGEXREPLACE(B3882&amp;"""",""[^0-9]"",""""),9))"),"762268463")</f>
        <v>762268463</v>
      </c>
      <c r="B3882" s="52">
        <v>7.62268463E8</v>
      </c>
      <c r="C3882" s="28" t="s">
        <v>3901</v>
      </c>
      <c r="D3882" s="26" t="s">
        <v>64</v>
      </c>
      <c r="E3882" s="31">
        <v>46233.0</v>
      </c>
      <c r="F3882" s="26" t="s">
        <v>41</v>
      </c>
      <c r="G3882" s="26">
        <v>10.0</v>
      </c>
      <c r="H3882" s="26" t="s">
        <v>1526</v>
      </c>
      <c r="I3882" s="26" t="s">
        <v>961</v>
      </c>
      <c r="J3882" s="25" t="str">
        <f t="shared" si="46"/>
        <v>No</v>
      </c>
      <c r="K3882" s="25" t="str">
        <f t="shared" si="47"/>
        <v/>
      </c>
      <c r="L3882" s="25" t="str">
        <f t="shared" si="48"/>
        <v/>
      </c>
      <c r="M3882" s="25"/>
      <c r="O3882" s="25"/>
    </row>
    <row r="3883" ht="15.75" customHeight="1">
      <c r="A3883" s="25" t="str">
        <f>IFERROR(__xludf.DUMMYFUNCTION("IF(B3883="""","""",RIGHT(REGEXREPLACE(B3883&amp;"""",""[^0-9]"",""""),9))"),"777423418")</f>
        <v>777423418</v>
      </c>
      <c r="B3883" s="52">
        <v>7.77423418E8</v>
      </c>
      <c r="C3883" s="28" t="s">
        <v>3902</v>
      </c>
      <c r="D3883" s="26" t="s">
        <v>82</v>
      </c>
      <c r="E3883" s="31">
        <v>46233.0</v>
      </c>
      <c r="F3883" s="26" t="s">
        <v>46</v>
      </c>
      <c r="G3883" s="26">
        <v>11.0</v>
      </c>
      <c r="H3883" s="26" t="s">
        <v>2605</v>
      </c>
      <c r="I3883" s="26" t="s">
        <v>961</v>
      </c>
      <c r="J3883" s="25" t="str">
        <f t="shared" si="46"/>
        <v>No</v>
      </c>
      <c r="K3883" s="25" t="str">
        <f t="shared" si="47"/>
        <v/>
      </c>
      <c r="L3883" s="25" t="str">
        <f t="shared" si="48"/>
        <v/>
      </c>
      <c r="M3883" s="25"/>
      <c r="O3883" s="25"/>
    </row>
    <row r="3884" ht="15.75" customHeight="1">
      <c r="A3884" s="25" t="str">
        <f>IFERROR(__xludf.DUMMYFUNCTION("IF(B3884="""","""",RIGHT(REGEXREPLACE(B3884&amp;"""",""[^0-9]"",""""),9))"),"775458837")</f>
        <v>775458837</v>
      </c>
      <c r="B3884" s="52">
        <v>7.75458837E8</v>
      </c>
      <c r="C3884" s="28" t="s">
        <v>3103</v>
      </c>
      <c r="D3884" s="26" t="s">
        <v>45</v>
      </c>
      <c r="E3884" s="31">
        <v>46233.0</v>
      </c>
      <c r="F3884" s="26" t="s">
        <v>41</v>
      </c>
      <c r="H3884" s="26" t="s">
        <v>2605</v>
      </c>
      <c r="I3884" s="26" t="s">
        <v>961</v>
      </c>
      <c r="J3884" s="25" t="str">
        <f t="shared" si="46"/>
        <v>Yes - see Previous F-Code</v>
      </c>
      <c r="K3884" s="25" t="str">
        <f t="shared" si="47"/>
        <v/>
      </c>
      <c r="L3884" s="25" t="str">
        <f t="shared" si="48"/>
        <v>F72733</v>
      </c>
      <c r="M3884" s="25"/>
      <c r="O3884" s="25"/>
    </row>
    <row r="3885" ht="15.75" customHeight="1">
      <c r="A3885" s="25" t="str">
        <f>IFERROR(__xludf.DUMMYFUNCTION("IF(B3885="""","""",RIGHT(REGEXREPLACE(B3885&amp;"""",""[^0-9]"",""""),9))"),"755209085")</f>
        <v>755209085</v>
      </c>
      <c r="B3885" s="52">
        <v>7.55209085E8</v>
      </c>
      <c r="C3885" s="28" t="s">
        <v>3903</v>
      </c>
      <c r="D3885" s="26" t="s">
        <v>45</v>
      </c>
      <c r="E3885" s="31">
        <v>46233.0</v>
      </c>
      <c r="F3885" s="26" t="s">
        <v>125</v>
      </c>
      <c r="G3885" s="26">
        <v>10.0</v>
      </c>
      <c r="I3885" s="26" t="s">
        <v>961</v>
      </c>
      <c r="J3885" s="25" t="str">
        <f t="shared" si="46"/>
        <v>No</v>
      </c>
      <c r="K3885" s="25" t="str">
        <f t="shared" si="47"/>
        <v/>
      </c>
      <c r="L3885" s="25" t="str">
        <f t="shared" si="48"/>
        <v/>
      </c>
      <c r="M3885" s="25"/>
      <c r="O3885" s="25"/>
    </row>
    <row r="3886" ht="15.75" customHeight="1">
      <c r="A3886" s="25" t="str">
        <f>IFERROR(__xludf.DUMMYFUNCTION("IF(B3886="""","""",RIGHT(REGEXREPLACE(B3886&amp;"""",""[^0-9]"",""""),9))"),"760870117")</f>
        <v>760870117</v>
      </c>
      <c r="B3886" s="52">
        <v>7.60870117E8</v>
      </c>
      <c r="C3886" s="28" t="s">
        <v>3457</v>
      </c>
      <c r="D3886" s="26" t="s">
        <v>64</v>
      </c>
      <c r="E3886" s="31">
        <v>46233.0</v>
      </c>
      <c r="F3886" s="26" t="s">
        <v>41</v>
      </c>
      <c r="H3886" s="26" t="s">
        <v>1526</v>
      </c>
      <c r="I3886" s="26" t="s">
        <v>961</v>
      </c>
      <c r="J3886" s="25" t="str">
        <f t="shared" si="46"/>
        <v>Yes - see Previous F-Code</v>
      </c>
      <c r="K3886" s="25" t="str">
        <f t="shared" si="47"/>
        <v/>
      </c>
      <c r="L3886" s="25" t="str">
        <f t="shared" si="48"/>
        <v>F73117</v>
      </c>
      <c r="M3886" s="25"/>
      <c r="O3886" s="25"/>
    </row>
    <row r="3887" ht="15.75" customHeight="1">
      <c r="A3887" s="25" t="str">
        <f>IFERROR(__xludf.DUMMYFUNCTION("IF(B3887="""","""",RIGHT(REGEXREPLACE(B3887&amp;"""",""[^0-9]"",""""),9))"),"779478191")</f>
        <v>779478191</v>
      </c>
      <c r="B3887" s="52">
        <v>7.79478191E8</v>
      </c>
      <c r="C3887" s="28" t="s">
        <v>3904</v>
      </c>
      <c r="D3887" s="26" t="s">
        <v>82</v>
      </c>
      <c r="E3887" s="31">
        <v>46233.0</v>
      </c>
      <c r="F3887" s="26" t="s">
        <v>205</v>
      </c>
      <c r="H3887" s="26" t="s">
        <v>1526</v>
      </c>
      <c r="I3887" s="26" t="s">
        <v>961</v>
      </c>
      <c r="J3887" s="25" t="str">
        <f t="shared" si="46"/>
        <v>No</v>
      </c>
      <c r="K3887" s="25" t="str">
        <f t="shared" si="47"/>
        <v/>
      </c>
      <c r="L3887" s="25" t="str">
        <f t="shared" si="48"/>
        <v/>
      </c>
      <c r="M3887" s="25"/>
      <c r="O3887" s="25"/>
    </row>
    <row r="3888" ht="15.75" customHeight="1">
      <c r="A3888" s="25" t="str">
        <f>IFERROR(__xludf.DUMMYFUNCTION("IF(B3888="""","""",RIGHT(REGEXREPLACE(B3888&amp;"""",""[^0-9]"",""""),9))"),"763998750")</f>
        <v>763998750</v>
      </c>
      <c r="B3888" s="52">
        <v>7.6399875E8</v>
      </c>
      <c r="C3888" s="28" t="s">
        <v>2219</v>
      </c>
      <c r="D3888" s="26" t="s">
        <v>64</v>
      </c>
      <c r="E3888" s="31">
        <v>46233.0</v>
      </c>
      <c r="F3888" s="26" t="s">
        <v>125</v>
      </c>
      <c r="G3888" s="26">
        <v>11.0</v>
      </c>
      <c r="H3888" s="26" t="s">
        <v>1526</v>
      </c>
      <c r="I3888" s="26" t="s">
        <v>961</v>
      </c>
      <c r="J3888" s="25" t="str">
        <f t="shared" si="46"/>
        <v>Yes - see Previous F-Code</v>
      </c>
      <c r="K3888" s="25" t="str">
        <f t="shared" si="47"/>
        <v/>
      </c>
      <c r="L3888" s="25" t="str">
        <f t="shared" si="48"/>
        <v>F71920</v>
      </c>
      <c r="M3888" s="25"/>
      <c r="O3888" s="25"/>
    </row>
    <row r="3889" ht="15.75" customHeight="1">
      <c r="A3889" s="25" t="str">
        <f>IFERROR(__xludf.DUMMYFUNCTION("IF(B3889="""","""",RIGHT(REGEXREPLACE(B3889&amp;"""",""[^0-9]"",""""),9))"),"765812780")</f>
        <v>765812780</v>
      </c>
      <c r="B3889" s="52">
        <v>7.6581278E8</v>
      </c>
      <c r="C3889" s="28" t="s">
        <v>3299</v>
      </c>
      <c r="D3889" s="26" t="s">
        <v>45</v>
      </c>
      <c r="E3889" s="31">
        <v>46233.0</v>
      </c>
      <c r="F3889" s="26" t="s">
        <v>41</v>
      </c>
      <c r="H3889" s="26" t="s">
        <v>2605</v>
      </c>
      <c r="I3889" s="26" t="s">
        <v>961</v>
      </c>
      <c r="J3889" s="25" t="str">
        <f t="shared" si="46"/>
        <v>Yes - see Previous F-Code</v>
      </c>
      <c r="K3889" s="25" t="str">
        <f t="shared" si="47"/>
        <v/>
      </c>
      <c r="L3889" s="25" t="str">
        <f t="shared" si="48"/>
        <v>F72961</v>
      </c>
      <c r="M3889" s="25"/>
      <c r="O3889" s="25"/>
    </row>
    <row r="3890" ht="15.75" customHeight="1">
      <c r="A3890" s="25" t="str">
        <f>IFERROR(__xludf.DUMMYFUNCTION("IF(B3890="""","""",RIGHT(REGEXREPLACE(B3890&amp;"""",""[^0-9]"",""""),9))"),"767919829")</f>
        <v>767919829</v>
      </c>
      <c r="B3890" s="52">
        <v>7.67919829E8</v>
      </c>
      <c r="C3890" s="28" t="s">
        <v>3905</v>
      </c>
      <c r="D3890" s="26" t="s">
        <v>82</v>
      </c>
      <c r="E3890" s="31">
        <v>46233.0</v>
      </c>
      <c r="F3890" s="26" t="s">
        <v>41</v>
      </c>
      <c r="G3890" s="26">
        <v>11.0</v>
      </c>
      <c r="H3890" s="26" t="s">
        <v>2605</v>
      </c>
      <c r="I3890" s="26" t="s">
        <v>961</v>
      </c>
      <c r="J3890" s="25" t="str">
        <f t="shared" si="46"/>
        <v>No</v>
      </c>
      <c r="K3890" s="25" t="str">
        <f t="shared" si="47"/>
        <v/>
      </c>
      <c r="L3890" s="25" t="str">
        <f t="shared" si="48"/>
        <v/>
      </c>
      <c r="M3890" s="25"/>
      <c r="O3890" s="25"/>
    </row>
    <row r="3891" ht="15.75" customHeight="1">
      <c r="A3891" s="25" t="str">
        <f>IFERROR(__xludf.DUMMYFUNCTION("IF(B3891="""","""",RIGHT(REGEXREPLACE(B3891&amp;"""",""[^0-9]"",""""),9))"),"750678821")</f>
        <v>750678821</v>
      </c>
      <c r="B3891" s="52">
        <v>7.50678821E8</v>
      </c>
      <c r="C3891" s="28" t="s">
        <v>2219</v>
      </c>
      <c r="D3891" s="26" t="s">
        <v>64</v>
      </c>
      <c r="E3891" s="31">
        <v>46233.0</v>
      </c>
      <c r="F3891" s="26" t="s">
        <v>41</v>
      </c>
      <c r="H3891" s="26" t="s">
        <v>2605</v>
      </c>
      <c r="I3891" s="26" t="s">
        <v>961</v>
      </c>
      <c r="J3891" s="25" t="str">
        <f t="shared" si="46"/>
        <v>Yes - see Previous F-Code</v>
      </c>
      <c r="K3891" s="25" t="str">
        <f t="shared" si="47"/>
        <v/>
      </c>
      <c r="L3891" s="25" t="str">
        <f t="shared" si="48"/>
        <v>F70560</v>
      </c>
      <c r="M3891" s="25"/>
      <c r="O3891" s="25"/>
    </row>
    <row r="3892" ht="15.75" customHeight="1">
      <c r="A3892" s="25" t="str">
        <f>IFERROR(__xludf.DUMMYFUNCTION("IF(B3892="""","""",RIGHT(REGEXREPLACE(B3892&amp;"""",""[^0-9]"",""""),9))"),"762683424")</f>
        <v>762683424</v>
      </c>
      <c r="B3892" s="52">
        <v>7.62683424E8</v>
      </c>
      <c r="C3892" s="28" t="s">
        <v>3895</v>
      </c>
      <c r="D3892" s="26" t="s">
        <v>45</v>
      </c>
      <c r="E3892" s="31">
        <v>46233.0</v>
      </c>
      <c r="F3892" s="26" t="s">
        <v>46</v>
      </c>
      <c r="G3892" s="26">
        <v>11.0</v>
      </c>
      <c r="H3892" s="26" t="s">
        <v>2605</v>
      </c>
      <c r="I3892" s="26" t="s">
        <v>961</v>
      </c>
      <c r="J3892" s="25" t="str">
        <f t="shared" si="46"/>
        <v>Yes - see Previous F-Code</v>
      </c>
      <c r="K3892" s="25" t="str">
        <f t="shared" si="47"/>
        <v/>
      </c>
      <c r="L3892" s="25" t="str">
        <f t="shared" si="48"/>
        <v>F73544</v>
      </c>
      <c r="M3892" s="25"/>
      <c r="O3892" s="25"/>
    </row>
    <row r="3893" ht="15.75" customHeight="1">
      <c r="A3893" s="25" t="str">
        <f>IFERROR(__xludf.DUMMYFUNCTION("IF(B3893="""","""",RIGHT(REGEXREPLACE(B3893&amp;"""",""[^0-9]"",""""),9))"),"702594775")</f>
        <v>702594775</v>
      </c>
      <c r="B3893" s="52">
        <v>7.02594775E8</v>
      </c>
      <c r="C3893" s="28" t="s">
        <v>3452</v>
      </c>
      <c r="D3893" s="26" t="s">
        <v>45</v>
      </c>
      <c r="E3893" s="31">
        <v>46233.0</v>
      </c>
      <c r="F3893" s="26" t="s">
        <v>167</v>
      </c>
      <c r="G3893" s="26">
        <v>11.0</v>
      </c>
      <c r="H3893" s="26" t="s">
        <v>3906</v>
      </c>
      <c r="I3893" s="26" t="s">
        <v>961</v>
      </c>
      <c r="J3893" s="25" t="str">
        <f t="shared" si="46"/>
        <v>Yes - see Previous F-Code</v>
      </c>
      <c r="K3893" s="25" t="str">
        <f t="shared" si="47"/>
        <v/>
      </c>
      <c r="L3893" s="25" t="str">
        <f t="shared" si="48"/>
        <v>F73112</v>
      </c>
      <c r="M3893" s="25"/>
      <c r="O3893" s="25"/>
    </row>
    <row r="3894" ht="15.75" customHeight="1">
      <c r="A3894" s="25" t="str">
        <f>IFERROR(__xludf.DUMMYFUNCTION("IF(B3894="""","""",RIGHT(REGEXREPLACE(B3894&amp;"""",""[^0-9]"",""""),9))"),"761727391")</f>
        <v>761727391</v>
      </c>
      <c r="B3894" s="52">
        <v>7.61727391E8</v>
      </c>
      <c r="C3894" s="28" t="s">
        <v>3907</v>
      </c>
      <c r="D3894" s="26" t="s">
        <v>82</v>
      </c>
      <c r="E3894" s="31">
        <v>46233.0</v>
      </c>
      <c r="F3894" s="26" t="s">
        <v>46</v>
      </c>
      <c r="G3894" s="26">
        <v>10.0</v>
      </c>
      <c r="I3894" s="26" t="s">
        <v>961</v>
      </c>
      <c r="J3894" s="25" t="str">
        <f t="shared" si="46"/>
        <v>No</v>
      </c>
      <c r="K3894" s="25" t="str">
        <f t="shared" si="47"/>
        <v/>
      </c>
      <c r="L3894" s="25" t="str">
        <f t="shared" si="48"/>
        <v/>
      </c>
      <c r="M3894" s="25"/>
      <c r="O3894" s="25"/>
    </row>
    <row r="3895" ht="15.75" customHeight="1">
      <c r="A3895" s="25" t="str">
        <f>IFERROR(__xludf.DUMMYFUNCTION("IF(B3895="""","""",RIGHT(REGEXREPLACE(B3895&amp;"""",""[^0-9]"",""""),9))"),"701188254")</f>
        <v>701188254</v>
      </c>
      <c r="B3895" s="52">
        <v>7.01188254E8</v>
      </c>
      <c r="C3895" s="28" t="s">
        <v>3079</v>
      </c>
      <c r="D3895" s="26" t="s">
        <v>64</v>
      </c>
      <c r="E3895" s="31">
        <v>46233.0</v>
      </c>
      <c r="F3895" s="26" t="s">
        <v>41</v>
      </c>
      <c r="G3895" s="26">
        <v>11.0</v>
      </c>
      <c r="I3895" s="26" t="s">
        <v>961</v>
      </c>
      <c r="J3895" s="25" t="str">
        <f t="shared" si="46"/>
        <v>Yes - see Previous F-Code</v>
      </c>
      <c r="K3895" s="25" t="str">
        <f t="shared" si="47"/>
        <v/>
      </c>
      <c r="L3895" s="25" t="str">
        <f t="shared" si="48"/>
        <v>F72710</v>
      </c>
      <c r="M3895" s="25"/>
      <c r="O3895" s="25"/>
    </row>
    <row r="3896" ht="15.75" customHeight="1">
      <c r="A3896" s="25" t="str">
        <f>IFERROR(__xludf.DUMMYFUNCTION("IF(B3896="""","""",RIGHT(REGEXREPLACE(B3896&amp;"""",""[^0-9]"",""""),9))"),"742153883")</f>
        <v>742153883</v>
      </c>
      <c r="B3896" s="52">
        <v>7.42153883E8</v>
      </c>
      <c r="C3896" s="28" t="s">
        <v>3807</v>
      </c>
      <c r="D3896" s="26" t="s">
        <v>45</v>
      </c>
      <c r="E3896" s="31">
        <v>46233.0</v>
      </c>
      <c r="F3896" s="26" t="s">
        <v>46</v>
      </c>
      <c r="G3896" s="26">
        <v>11.0</v>
      </c>
      <c r="I3896" s="26" t="s">
        <v>961</v>
      </c>
      <c r="J3896" s="25" t="str">
        <f t="shared" si="46"/>
        <v>Yes - see Previous F-Code</v>
      </c>
      <c r="K3896" s="25" t="str">
        <f t="shared" si="47"/>
        <v/>
      </c>
      <c r="L3896" s="25" t="str">
        <f t="shared" si="48"/>
        <v>F73458</v>
      </c>
      <c r="M3896" s="25"/>
      <c r="O3896" s="25"/>
    </row>
    <row r="3897" ht="15.75" customHeight="1">
      <c r="A3897" s="25" t="str">
        <f>IFERROR(__xludf.DUMMYFUNCTION("IF(B3897="""","""",RIGHT(REGEXREPLACE(B3897&amp;"""",""[^0-9]"",""""),9))"),"705637007")</f>
        <v>705637007</v>
      </c>
      <c r="B3897" s="52">
        <v>7.05637007E8</v>
      </c>
      <c r="C3897" s="28" t="s">
        <v>3908</v>
      </c>
      <c r="D3897" s="26" t="s">
        <v>82</v>
      </c>
      <c r="E3897" s="31">
        <v>46233.0</v>
      </c>
      <c r="F3897" s="26" t="s">
        <v>41</v>
      </c>
      <c r="G3897" s="26">
        <v>11.0</v>
      </c>
      <c r="H3897" s="26" t="s">
        <v>2605</v>
      </c>
      <c r="I3897" s="26" t="s">
        <v>961</v>
      </c>
      <c r="J3897" s="25" t="str">
        <f t="shared" si="46"/>
        <v>No</v>
      </c>
      <c r="K3897" s="25" t="str">
        <f t="shared" si="47"/>
        <v/>
      </c>
      <c r="L3897" s="25" t="str">
        <f t="shared" si="48"/>
        <v/>
      </c>
      <c r="M3897" s="25"/>
      <c r="O3897" s="25"/>
    </row>
    <row r="3898" ht="15.75" customHeight="1">
      <c r="A3898" s="25" t="str">
        <f>IFERROR(__xludf.DUMMYFUNCTION("IF(B3898="""","""",RIGHT(REGEXREPLACE(B3898&amp;"""",""[^0-9]"",""""),9))"),"712309746")</f>
        <v>712309746</v>
      </c>
      <c r="B3898" s="52">
        <v>7.12309746E8</v>
      </c>
      <c r="C3898" s="28" t="s">
        <v>501</v>
      </c>
      <c r="D3898" s="26" t="s">
        <v>64</v>
      </c>
      <c r="E3898" s="31">
        <v>46233.0</v>
      </c>
      <c r="F3898" s="26" t="s">
        <v>46</v>
      </c>
      <c r="G3898" s="26">
        <v>11.0</v>
      </c>
      <c r="I3898" s="26" t="s">
        <v>961</v>
      </c>
      <c r="J3898" s="25" t="str">
        <f t="shared" si="46"/>
        <v>Yes - see Previous F-Code</v>
      </c>
      <c r="K3898" s="25" t="str">
        <f t="shared" si="47"/>
        <v/>
      </c>
      <c r="L3898" s="25" t="str">
        <f t="shared" si="48"/>
        <v>F70324</v>
      </c>
      <c r="M3898" s="25"/>
      <c r="O3898" s="25"/>
    </row>
    <row r="3899" ht="15.75" customHeight="1">
      <c r="A3899" s="25" t="str">
        <f>IFERROR(__xludf.DUMMYFUNCTION("IF(B3899="""","""",RIGHT(REGEXREPLACE(B3899&amp;"""",""[^0-9]"",""""),9))"),"778337703")</f>
        <v>778337703</v>
      </c>
      <c r="B3899" s="52">
        <v>7.78337703E8</v>
      </c>
      <c r="C3899" s="28" t="s">
        <v>3909</v>
      </c>
      <c r="D3899" s="26" t="s">
        <v>82</v>
      </c>
      <c r="E3899" s="31">
        <v>46233.0</v>
      </c>
      <c r="F3899" s="26" t="s">
        <v>125</v>
      </c>
      <c r="G3899" s="26">
        <v>11.0</v>
      </c>
      <c r="H3899" s="26" t="s">
        <v>1526</v>
      </c>
      <c r="I3899" s="26" t="s">
        <v>961</v>
      </c>
      <c r="J3899" s="25" t="str">
        <f t="shared" si="46"/>
        <v>No</v>
      </c>
      <c r="K3899" s="25" t="str">
        <f t="shared" si="47"/>
        <v/>
      </c>
      <c r="L3899" s="25" t="str">
        <f t="shared" si="48"/>
        <v/>
      </c>
      <c r="M3899" s="25"/>
      <c r="O3899" s="25"/>
    </row>
    <row r="3900" ht="15.75" customHeight="1">
      <c r="A3900" s="25" t="str">
        <f>IFERROR(__xludf.DUMMYFUNCTION("IF(B3900="""","""",RIGHT(REGEXREPLACE(B3900&amp;"""",""[^0-9]"",""""),9))"),"727075750")</f>
        <v>727075750</v>
      </c>
      <c r="B3900" s="52">
        <v>7.2707575E8</v>
      </c>
      <c r="C3900" s="28" t="s">
        <v>3810</v>
      </c>
      <c r="D3900" s="26" t="s">
        <v>45</v>
      </c>
      <c r="E3900" s="31">
        <v>46233.0</v>
      </c>
      <c r="F3900" s="26" t="s">
        <v>205</v>
      </c>
      <c r="H3900" s="26" t="s">
        <v>3910</v>
      </c>
      <c r="I3900" s="26" t="s">
        <v>961</v>
      </c>
      <c r="J3900" s="25" t="str">
        <f t="shared" si="46"/>
        <v>Yes - see Previous F-Code</v>
      </c>
      <c r="K3900" s="25" t="str">
        <f t="shared" si="47"/>
        <v/>
      </c>
      <c r="L3900" s="25" t="str">
        <f t="shared" si="48"/>
        <v>F73461</v>
      </c>
      <c r="M3900" s="25"/>
      <c r="O3900" s="25"/>
    </row>
    <row r="3901" ht="15.75" customHeight="1">
      <c r="A3901" s="25" t="str">
        <f>IFERROR(__xludf.DUMMYFUNCTION("IF(B3901="""","""",RIGHT(REGEXREPLACE(B3901&amp;"""",""[^0-9]"",""""),9))"),"715476821")</f>
        <v>715476821</v>
      </c>
      <c r="B3901" s="52">
        <v>7.15476821E8</v>
      </c>
      <c r="C3901" s="28" t="s">
        <v>3911</v>
      </c>
      <c r="D3901" s="26" t="s">
        <v>64</v>
      </c>
      <c r="E3901" s="31">
        <v>46233.0</v>
      </c>
      <c r="F3901" s="26" t="s">
        <v>41</v>
      </c>
      <c r="I3901" s="26" t="s">
        <v>961</v>
      </c>
      <c r="J3901" s="25" t="str">
        <f t="shared" si="46"/>
        <v>No</v>
      </c>
      <c r="K3901" s="25" t="str">
        <f t="shared" si="47"/>
        <v/>
      </c>
      <c r="L3901" s="25" t="str">
        <f t="shared" si="48"/>
        <v/>
      </c>
      <c r="M3901" s="25"/>
      <c r="O3901" s="25"/>
    </row>
    <row r="3902" ht="15.75" customHeight="1">
      <c r="A3902" s="25" t="str">
        <f>IFERROR(__xludf.DUMMYFUNCTION("IF(B3902="""","""",RIGHT(REGEXREPLACE(B3902&amp;"""",""[^0-9]"",""""),9))"),"774766299")</f>
        <v>774766299</v>
      </c>
      <c r="B3902" s="52">
        <v>7.74766299E8</v>
      </c>
      <c r="C3902" s="28" t="s">
        <v>3912</v>
      </c>
      <c r="D3902" s="26" t="s">
        <v>82</v>
      </c>
      <c r="E3902" s="31">
        <v>46233.0</v>
      </c>
      <c r="F3902" s="26" t="s">
        <v>125</v>
      </c>
      <c r="G3902" s="26">
        <v>11.0</v>
      </c>
      <c r="H3902" s="26" t="s">
        <v>2605</v>
      </c>
      <c r="I3902" s="26" t="s">
        <v>961</v>
      </c>
      <c r="J3902" s="25" t="str">
        <f t="shared" si="46"/>
        <v>No</v>
      </c>
      <c r="K3902" s="25" t="str">
        <f t="shared" si="47"/>
        <v/>
      </c>
      <c r="L3902" s="25" t="str">
        <f t="shared" si="48"/>
        <v/>
      </c>
      <c r="M3902" s="25"/>
      <c r="O3902" s="25"/>
    </row>
    <row r="3903" ht="15.75" customHeight="1">
      <c r="A3903" s="25" t="str">
        <f>IFERROR(__xludf.DUMMYFUNCTION("IF(B3903="""","""",RIGHT(REGEXREPLACE(B3903&amp;"""",""[^0-9]"",""""),9))"),"704220209")</f>
        <v>704220209</v>
      </c>
      <c r="B3903" s="52">
        <v>7.04220209E8</v>
      </c>
      <c r="C3903" s="28" t="s">
        <v>1267</v>
      </c>
      <c r="D3903" s="26" t="s">
        <v>64</v>
      </c>
      <c r="E3903" s="31">
        <v>46233.0</v>
      </c>
      <c r="F3903" s="26" t="s">
        <v>205</v>
      </c>
      <c r="G3903" s="26">
        <v>11.0</v>
      </c>
      <c r="I3903" s="26" t="s">
        <v>961</v>
      </c>
      <c r="J3903" s="25" t="str">
        <f t="shared" si="46"/>
        <v>Yes - see Previous F-Code</v>
      </c>
      <c r="K3903" s="25" t="str">
        <f t="shared" si="47"/>
        <v/>
      </c>
      <c r="L3903" s="25" t="str">
        <f t="shared" si="48"/>
        <v>F71002</v>
      </c>
      <c r="M3903" s="25"/>
      <c r="O3903" s="25"/>
    </row>
    <row r="3904" ht="15.75" customHeight="1">
      <c r="A3904" s="25" t="str">
        <f>IFERROR(__xludf.DUMMYFUNCTION("IF(B3904="""","""",RIGHT(REGEXREPLACE(B3904&amp;"""",""[^0-9]"",""""),9))"),"785248221")</f>
        <v>785248221</v>
      </c>
      <c r="B3904" s="52">
        <v>7.85248221E8</v>
      </c>
      <c r="C3904" s="28" t="s">
        <v>3913</v>
      </c>
      <c r="D3904" s="26" t="s">
        <v>64</v>
      </c>
      <c r="E3904" s="31">
        <v>46233.0</v>
      </c>
      <c r="F3904" s="26" t="s">
        <v>125</v>
      </c>
      <c r="I3904" s="26" t="s">
        <v>961</v>
      </c>
      <c r="J3904" s="25" t="str">
        <f t="shared" si="46"/>
        <v>No</v>
      </c>
      <c r="K3904" s="25" t="str">
        <f t="shared" si="47"/>
        <v/>
      </c>
      <c r="L3904" s="25" t="str">
        <f t="shared" si="48"/>
        <v/>
      </c>
      <c r="M3904" s="25"/>
      <c r="O3904" s="25"/>
    </row>
    <row r="3905" ht="15.75" customHeight="1">
      <c r="A3905" s="25" t="str">
        <f>IFERROR(__xludf.DUMMYFUNCTION("IF(B3905="""","""",RIGHT(REGEXREPLACE(B3905&amp;"""",""[^0-9]"",""""),9))"),"767408643")</f>
        <v>767408643</v>
      </c>
      <c r="B3905" s="52">
        <v>7.67408643E8</v>
      </c>
      <c r="C3905" s="28" t="s">
        <v>3914</v>
      </c>
      <c r="D3905" s="26" t="s">
        <v>82</v>
      </c>
      <c r="E3905" s="31">
        <v>46233.0</v>
      </c>
      <c r="F3905" s="26" t="s">
        <v>41</v>
      </c>
      <c r="H3905" s="26" t="s">
        <v>1526</v>
      </c>
      <c r="I3905" s="26" t="s">
        <v>961</v>
      </c>
      <c r="J3905" s="25" t="str">
        <f t="shared" si="46"/>
        <v>No</v>
      </c>
      <c r="K3905" s="25" t="str">
        <f t="shared" si="47"/>
        <v/>
      </c>
      <c r="L3905" s="25" t="str">
        <f t="shared" si="48"/>
        <v/>
      </c>
      <c r="M3905" s="25"/>
      <c r="O3905" s="25"/>
    </row>
    <row r="3906" ht="15.75" customHeight="1">
      <c r="A3906" s="25" t="str">
        <f>IFERROR(__xludf.DUMMYFUNCTION("IF(B3906="""","""",RIGHT(REGEXREPLACE(B3906&amp;"""",""[^0-9]"",""""),9))"),"716036014")</f>
        <v>716036014</v>
      </c>
      <c r="B3906" s="52">
        <v>7.16036014E8</v>
      </c>
      <c r="C3906" s="28" t="s">
        <v>3915</v>
      </c>
      <c r="D3906" s="26" t="s">
        <v>64</v>
      </c>
      <c r="E3906" s="31">
        <v>46233.0</v>
      </c>
      <c r="F3906" s="26" t="s">
        <v>205</v>
      </c>
      <c r="G3906" s="26">
        <v>11.0</v>
      </c>
      <c r="I3906" s="26" t="s">
        <v>961</v>
      </c>
      <c r="J3906" s="25" t="str">
        <f t="shared" si="46"/>
        <v>No</v>
      </c>
      <c r="K3906" s="25" t="str">
        <f t="shared" si="47"/>
        <v/>
      </c>
      <c r="L3906" s="25" t="str">
        <f t="shared" si="48"/>
        <v/>
      </c>
      <c r="M3906" s="25"/>
      <c r="O3906" s="25"/>
    </row>
    <row r="3907" ht="15.75" customHeight="1">
      <c r="A3907" s="25" t="str">
        <f>IFERROR(__xludf.DUMMYFUNCTION("IF(B3907="""","""",RIGHT(REGEXREPLACE(B3907&amp;"""",""[^0-9]"",""""),9))"),"701135888")</f>
        <v>701135888</v>
      </c>
      <c r="B3907" s="52">
        <v>7.01135888E8</v>
      </c>
      <c r="C3907" s="28" t="s">
        <v>3916</v>
      </c>
      <c r="D3907" s="26" t="s">
        <v>82</v>
      </c>
      <c r="E3907" s="31">
        <v>46233.0</v>
      </c>
      <c r="F3907" s="26" t="s">
        <v>46</v>
      </c>
      <c r="G3907" s="26">
        <v>11.0</v>
      </c>
      <c r="H3907" s="26" t="s">
        <v>2605</v>
      </c>
      <c r="I3907" s="26" t="s">
        <v>961</v>
      </c>
      <c r="J3907" s="25" t="str">
        <f t="shared" si="46"/>
        <v>No</v>
      </c>
      <c r="K3907" s="25" t="str">
        <f t="shared" si="47"/>
        <v/>
      </c>
      <c r="L3907" s="25" t="str">
        <f t="shared" si="48"/>
        <v/>
      </c>
      <c r="M3907" s="25"/>
      <c r="O3907" s="25"/>
    </row>
    <row r="3908" ht="15.75" customHeight="1">
      <c r="A3908" s="25" t="str">
        <f>IFERROR(__xludf.DUMMYFUNCTION("IF(B3908="""","""",RIGHT(REGEXREPLACE(B3908&amp;"""",""[^0-9]"",""""),9))"),"769881985")</f>
        <v>769881985</v>
      </c>
      <c r="B3908" s="52">
        <v>7.69881985E8</v>
      </c>
      <c r="C3908" s="28" t="s">
        <v>3917</v>
      </c>
      <c r="D3908" s="26" t="s">
        <v>45</v>
      </c>
      <c r="E3908" s="31">
        <v>46233.0</v>
      </c>
      <c r="F3908" s="26" t="s">
        <v>41</v>
      </c>
      <c r="H3908" s="26" t="s">
        <v>3910</v>
      </c>
      <c r="I3908" s="26" t="s">
        <v>961</v>
      </c>
      <c r="J3908" s="25" t="str">
        <f t="shared" si="46"/>
        <v>No</v>
      </c>
      <c r="K3908" s="25" t="str">
        <f t="shared" si="47"/>
        <v/>
      </c>
      <c r="L3908" s="25" t="str">
        <f t="shared" si="48"/>
        <v/>
      </c>
      <c r="M3908" s="25"/>
      <c r="O3908" s="25"/>
    </row>
    <row r="3909" ht="15.75" customHeight="1">
      <c r="A3909" s="25" t="str">
        <f>IFERROR(__xludf.DUMMYFUNCTION("IF(B3909="""","""",RIGHT(REGEXREPLACE(B3909&amp;"""",""[^0-9]"",""""),9))"),"775246601")</f>
        <v>775246601</v>
      </c>
      <c r="B3909" s="52">
        <v>7.75246601E8</v>
      </c>
      <c r="C3909" s="28" t="s">
        <v>3918</v>
      </c>
      <c r="D3909" s="26" t="s">
        <v>45</v>
      </c>
      <c r="E3909" s="31">
        <v>46233.0</v>
      </c>
      <c r="F3909" s="26" t="s">
        <v>125</v>
      </c>
      <c r="G3909" s="26">
        <v>11.0</v>
      </c>
      <c r="I3909" s="26" t="s">
        <v>961</v>
      </c>
      <c r="J3909" s="25" t="str">
        <f t="shared" si="46"/>
        <v>No</v>
      </c>
      <c r="K3909" s="25" t="str">
        <f t="shared" si="47"/>
        <v/>
      </c>
      <c r="L3909" s="25" t="str">
        <f t="shared" si="48"/>
        <v/>
      </c>
      <c r="M3909" s="25"/>
      <c r="O3909" s="25"/>
    </row>
    <row r="3910" ht="15.75" customHeight="1">
      <c r="A3910" s="25" t="str">
        <f>IFERROR(__xludf.DUMMYFUNCTION("IF(B3910="""","""",RIGHT(REGEXREPLACE(B3910&amp;"""",""[^0-9]"",""""),9))"),"703392914")</f>
        <v>703392914</v>
      </c>
      <c r="B3910" s="52">
        <v>7.03392914E8</v>
      </c>
      <c r="C3910" s="28" t="s">
        <v>3663</v>
      </c>
      <c r="D3910" s="26" t="s">
        <v>64</v>
      </c>
      <c r="E3910" s="31">
        <v>46233.0</v>
      </c>
      <c r="F3910" s="26" t="s">
        <v>46</v>
      </c>
      <c r="G3910" s="26">
        <v>11.0</v>
      </c>
      <c r="I3910" s="26" t="s">
        <v>961</v>
      </c>
      <c r="J3910" s="25" t="str">
        <f t="shared" si="46"/>
        <v>Yes - see Previous F-Code</v>
      </c>
      <c r="K3910" s="25" t="str">
        <f t="shared" si="47"/>
        <v/>
      </c>
      <c r="L3910" s="25" t="str">
        <f t="shared" si="48"/>
        <v>F73319</v>
      </c>
      <c r="M3910" s="25"/>
      <c r="O3910" s="25"/>
    </row>
    <row r="3911" ht="15.75" customHeight="1">
      <c r="A3911" s="25" t="str">
        <f>IFERROR(__xludf.DUMMYFUNCTION("IF(B3911="""","""",RIGHT(REGEXREPLACE(B3911&amp;"""",""[^0-9]"",""""),9))"),"753975160")</f>
        <v>753975160</v>
      </c>
      <c r="B3911" s="52">
        <v>7.5397516E8</v>
      </c>
      <c r="C3911" s="28" t="s">
        <v>3919</v>
      </c>
      <c r="D3911" s="26" t="s">
        <v>82</v>
      </c>
      <c r="E3911" s="31">
        <v>46233.0</v>
      </c>
      <c r="F3911" s="26" t="s">
        <v>41</v>
      </c>
      <c r="G3911" s="26">
        <v>9.0</v>
      </c>
      <c r="H3911" s="26" t="s">
        <v>2605</v>
      </c>
      <c r="I3911" s="26" t="s">
        <v>961</v>
      </c>
      <c r="J3911" s="25" t="str">
        <f t="shared" si="46"/>
        <v>No</v>
      </c>
      <c r="K3911" s="25" t="str">
        <f t="shared" si="47"/>
        <v/>
      </c>
      <c r="L3911" s="25" t="str">
        <f t="shared" si="48"/>
        <v/>
      </c>
      <c r="M3911" s="25"/>
      <c r="O3911" s="25"/>
    </row>
    <row r="3912" ht="15.75" customHeight="1">
      <c r="A3912" s="25" t="str">
        <f>IFERROR(__xludf.DUMMYFUNCTION("IF(B3912="""","""",RIGHT(REGEXREPLACE(B3912&amp;"""",""[^0-9]"",""""),9))"),"752063144")</f>
        <v>752063144</v>
      </c>
      <c r="B3912" s="52">
        <v>7.52063144E8</v>
      </c>
      <c r="C3912" s="28" t="s">
        <v>3920</v>
      </c>
      <c r="D3912" s="26" t="s">
        <v>82</v>
      </c>
      <c r="E3912" s="31">
        <v>46233.0</v>
      </c>
      <c r="F3912" s="26" t="s">
        <v>41</v>
      </c>
      <c r="G3912" s="26">
        <v>9.0</v>
      </c>
      <c r="H3912" s="26" t="s">
        <v>2605</v>
      </c>
      <c r="I3912" s="26" t="s">
        <v>961</v>
      </c>
      <c r="J3912" s="25" t="str">
        <f t="shared" si="46"/>
        <v>No</v>
      </c>
      <c r="K3912" s="25" t="str">
        <f t="shared" si="47"/>
        <v/>
      </c>
      <c r="L3912" s="25" t="str">
        <f t="shared" si="48"/>
        <v/>
      </c>
      <c r="M3912" s="25"/>
      <c r="O3912" s="26" t="s">
        <v>51</v>
      </c>
    </row>
    <row r="3913" ht="15.75" customHeight="1">
      <c r="A3913" s="25" t="str">
        <f>IFERROR(__xludf.DUMMYFUNCTION("IF(B3913="""","""",RIGHT(REGEXREPLACE(B3913&amp;"""",""[^0-9]"",""""),9))"),"761405782")</f>
        <v>761405782</v>
      </c>
      <c r="B3913" s="52">
        <v>7.61405782E8</v>
      </c>
      <c r="C3913" s="28" t="s">
        <v>3921</v>
      </c>
      <c r="D3913" s="26" t="s">
        <v>64</v>
      </c>
      <c r="E3913" s="31">
        <v>46233.0</v>
      </c>
      <c r="F3913" s="26" t="s">
        <v>41</v>
      </c>
      <c r="G3913" s="26">
        <v>11.0</v>
      </c>
      <c r="I3913" s="26" t="s">
        <v>961</v>
      </c>
      <c r="J3913" s="25" t="str">
        <f t="shared" si="46"/>
        <v>No</v>
      </c>
      <c r="K3913" s="25" t="str">
        <f t="shared" si="47"/>
        <v/>
      </c>
      <c r="L3913" s="25" t="str">
        <f t="shared" si="48"/>
        <v/>
      </c>
      <c r="M3913" s="25"/>
      <c r="O3913" s="25"/>
    </row>
    <row r="3914" ht="15.75" customHeight="1">
      <c r="A3914" s="25" t="str">
        <f>IFERROR(__xludf.DUMMYFUNCTION("IF(B3914="""","""",RIGHT(REGEXREPLACE(B3914&amp;"""",""[^0-9]"",""""),9))"),"774533509")</f>
        <v>774533509</v>
      </c>
      <c r="B3914" s="26">
        <v>7.74533509E8</v>
      </c>
      <c r="C3914" s="28" t="s">
        <v>1194</v>
      </c>
      <c r="D3914" s="26" t="s">
        <v>45</v>
      </c>
      <c r="E3914" s="31">
        <v>46233.0</v>
      </c>
      <c r="F3914" s="26" t="s">
        <v>41</v>
      </c>
      <c r="I3914" s="26" t="s">
        <v>961</v>
      </c>
      <c r="J3914" s="25" t="str">
        <f t="shared" si="46"/>
        <v>Yes - see Previous F-Code</v>
      </c>
      <c r="K3914" s="25" t="str">
        <f t="shared" si="47"/>
        <v/>
      </c>
      <c r="L3914" s="25" t="str">
        <f t="shared" si="48"/>
        <v>F70933</v>
      </c>
      <c r="M3914" s="25"/>
      <c r="O3914" s="25"/>
    </row>
    <row r="3915" ht="15.75" customHeight="1">
      <c r="A3915" s="25" t="str">
        <f>IFERROR(__xludf.DUMMYFUNCTION("IF(B3915="""","""",RIGHT(REGEXREPLACE(B3915&amp;"""",""[^0-9]"",""""),9))"),"788691896")</f>
        <v>788691896</v>
      </c>
      <c r="B3915" s="52">
        <v>7.88691896E8</v>
      </c>
      <c r="C3915" s="28" t="s">
        <v>3922</v>
      </c>
      <c r="D3915" s="26" t="s">
        <v>64</v>
      </c>
      <c r="E3915" s="31">
        <v>46233.0</v>
      </c>
      <c r="F3915" s="26" t="s">
        <v>41</v>
      </c>
      <c r="G3915" s="26">
        <v>11.0</v>
      </c>
      <c r="I3915" s="26" t="s">
        <v>961</v>
      </c>
      <c r="J3915" s="25" t="str">
        <f t="shared" si="46"/>
        <v>No</v>
      </c>
      <c r="K3915" s="25" t="str">
        <f t="shared" si="47"/>
        <v/>
      </c>
      <c r="L3915" s="25" t="str">
        <f t="shared" si="48"/>
        <v/>
      </c>
      <c r="M3915" s="25"/>
      <c r="O3915" s="25"/>
    </row>
    <row r="3916" ht="15.75" customHeight="1">
      <c r="A3916" s="25" t="str">
        <f>IFERROR(__xludf.DUMMYFUNCTION("IF(B3916="""","""",RIGHT(REGEXREPLACE(B3916&amp;"""",""[^0-9]"",""""),9))"),"757913944")</f>
        <v>757913944</v>
      </c>
      <c r="B3916" s="52">
        <v>7.57913944E8</v>
      </c>
      <c r="C3916" s="28" t="s">
        <v>3923</v>
      </c>
      <c r="D3916" s="26" t="s">
        <v>82</v>
      </c>
      <c r="E3916" s="31">
        <v>46233.0</v>
      </c>
      <c r="F3916" s="26" t="s">
        <v>659</v>
      </c>
      <c r="G3916" s="26">
        <v>11.0</v>
      </c>
      <c r="H3916" s="26" t="s">
        <v>2605</v>
      </c>
      <c r="I3916" s="26" t="s">
        <v>961</v>
      </c>
      <c r="J3916" s="25" t="str">
        <f t="shared" si="46"/>
        <v>No</v>
      </c>
      <c r="K3916" s="25" t="str">
        <f t="shared" si="47"/>
        <v/>
      </c>
      <c r="L3916" s="25" t="str">
        <f t="shared" si="48"/>
        <v/>
      </c>
      <c r="M3916" s="25"/>
      <c r="O3916" s="25"/>
    </row>
    <row r="3917" ht="15.75" customHeight="1">
      <c r="A3917" s="25" t="str">
        <f>IFERROR(__xludf.DUMMYFUNCTION("IF(B3917="""","""",RIGHT(REGEXREPLACE(B3917&amp;"""",""[^0-9]"",""""),9))"),"758651545")</f>
        <v>758651545</v>
      </c>
      <c r="B3917" s="52">
        <v>7.58651545E8</v>
      </c>
      <c r="C3917" s="28" t="s">
        <v>3052</v>
      </c>
      <c r="D3917" s="26" t="s">
        <v>64</v>
      </c>
      <c r="E3917" s="31">
        <v>46233.0</v>
      </c>
      <c r="F3917" s="26" t="s">
        <v>46</v>
      </c>
      <c r="I3917" s="26" t="s">
        <v>961</v>
      </c>
      <c r="J3917" s="25" t="str">
        <f t="shared" si="46"/>
        <v>Yes - see Previous F-Code</v>
      </c>
      <c r="K3917" s="25" t="str">
        <f t="shared" si="47"/>
        <v/>
      </c>
      <c r="L3917" s="25" t="str">
        <f t="shared" si="48"/>
        <v>F72673</v>
      </c>
      <c r="M3917" s="25"/>
      <c r="O3917" s="25"/>
    </row>
    <row r="3918" ht="15.75" customHeight="1">
      <c r="A3918" s="25" t="str">
        <f>IFERROR(__xludf.DUMMYFUNCTION("IF(B3918="""","""",RIGHT(REGEXREPLACE(B3918&amp;"""",""[^0-9]"",""""),9))"),"703859932")</f>
        <v>703859932</v>
      </c>
      <c r="B3918" s="52">
        <v>7.03859932E8</v>
      </c>
      <c r="C3918" s="28" t="s">
        <v>3924</v>
      </c>
      <c r="D3918" s="26" t="s">
        <v>45</v>
      </c>
      <c r="E3918" s="31">
        <v>46233.0</v>
      </c>
      <c r="F3918" s="26" t="s">
        <v>41</v>
      </c>
      <c r="G3918" s="26">
        <v>11.0</v>
      </c>
      <c r="I3918" s="26" t="s">
        <v>961</v>
      </c>
      <c r="J3918" s="25" t="str">
        <f t="shared" si="46"/>
        <v>No</v>
      </c>
      <c r="K3918" s="25" t="str">
        <f t="shared" si="47"/>
        <v/>
      </c>
      <c r="L3918" s="25" t="str">
        <f t="shared" si="48"/>
        <v/>
      </c>
      <c r="M3918" s="25"/>
      <c r="O3918" s="25"/>
    </row>
    <row r="3919" ht="15.75" customHeight="1">
      <c r="A3919" s="25" t="str">
        <f>IFERROR(__xludf.DUMMYFUNCTION("IF(B3919="""","""",RIGHT(REGEXREPLACE(B3919&amp;"""",""[^0-9]"",""""),9))"),"767100368")</f>
        <v>767100368</v>
      </c>
      <c r="B3919" s="52">
        <v>7.67100368E8</v>
      </c>
      <c r="C3919" s="28" t="s">
        <v>3925</v>
      </c>
      <c r="D3919" s="26" t="s">
        <v>82</v>
      </c>
      <c r="E3919" s="31">
        <v>46233.0</v>
      </c>
      <c r="F3919" s="26" t="s">
        <v>46</v>
      </c>
      <c r="G3919" s="26">
        <v>10.0</v>
      </c>
      <c r="H3919" s="26" t="s">
        <v>2605</v>
      </c>
      <c r="I3919" s="26" t="s">
        <v>961</v>
      </c>
      <c r="J3919" s="25" t="str">
        <f t="shared" si="46"/>
        <v>No</v>
      </c>
      <c r="K3919" s="25" t="str">
        <f t="shared" si="47"/>
        <v/>
      </c>
      <c r="L3919" s="25" t="str">
        <f t="shared" si="48"/>
        <v/>
      </c>
      <c r="M3919" s="25"/>
      <c r="O3919" s="25"/>
    </row>
    <row r="3920" ht="15.75" customHeight="1">
      <c r="A3920" s="25" t="str">
        <f>IFERROR(__xludf.DUMMYFUNCTION("IF(B3920="""","""",RIGHT(REGEXREPLACE(B3920&amp;"""",""[^0-9]"",""""),9))"),"717272420")</f>
        <v>717272420</v>
      </c>
      <c r="B3920" s="52">
        <v>7.1727242E8</v>
      </c>
      <c r="C3920" s="28" t="s">
        <v>3926</v>
      </c>
      <c r="D3920" s="26" t="s">
        <v>82</v>
      </c>
      <c r="E3920" s="31">
        <v>46233.0</v>
      </c>
      <c r="F3920" s="26" t="s">
        <v>46</v>
      </c>
      <c r="G3920" s="26">
        <v>10.0</v>
      </c>
      <c r="I3920" s="26" t="s">
        <v>961</v>
      </c>
      <c r="J3920" s="25" t="str">
        <f t="shared" si="46"/>
        <v>No</v>
      </c>
      <c r="K3920" s="25" t="str">
        <f t="shared" si="47"/>
        <v/>
      </c>
      <c r="L3920" s="25" t="str">
        <f t="shared" si="48"/>
        <v/>
      </c>
      <c r="M3920" s="25"/>
      <c r="O3920" s="25"/>
    </row>
    <row r="3921" ht="15.75" customHeight="1">
      <c r="A3921" s="25" t="str">
        <f>IFERROR(__xludf.DUMMYFUNCTION("IF(B3921="""","""",RIGHT(REGEXREPLACE(B3921&amp;"""",""[^0-9]"",""""),9))"),"775389776")</f>
        <v>775389776</v>
      </c>
      <c r="B3921" s="52">
        <v>7.75389776E8</v>
      </c>
      <c r="C3921" s="28" t="s">
        <v>3927</v>
      </c>
      <c r="D3921" s="26" t="s">
        <v>64</v>
      </c>
      <c r="E3921" s="31">
        <v>46233.0</v>
      </c>
      <c r="F3921" s="26" t="s">
        <v>41</v>
      </c>
      <c r="G3921" s="26">
        <v>11.0</v>
      </c>
      <c r="I3921" s="26" t="s">
        <v>961</v>
      </c>
      <c r="J3921" s="25" t="str">
        <f t="shared" si="46"/>
        <v>No</v>
      </c>
      <c r="K3921" s="25" t="str">
        <f t="shared" si="47"/>
        <v/>
      </c>
      <c r="L3921" s="25" t="str">
        <f t="shared" si="48"/>
        <v/>
      </c>
      <c r="M3921" s="25"/>
      <c r="O3921" s="25"/>
    </row>
    <row r="3922" ht="15.75" customHeight="1">
      <c r="A3922" s="25" t="str">
        <f>IFERROR(__xludf.DUMMYFUNCTION("IF(B3922="""","""",RIGHT(REGEXREPLACE(B3922&amp;"""",""[^0-9]"",""""),9))"),"710782786")</f>
        <v>710782786</v>
      </c>
      <c r="B3922" s="52">
        <v>7.10782786E8</v>
      </c>
      <c r="C3922" s="28" t="s">
        <v>3928</v>
      </c>
      <c r="D3922" s="26" t="s">
        <v>82</v>
      </c>
      <c r="E3922" s="31">
        <v>46233.0</v>
      </c>
      <c r="F3922" s="26" t="s">
        <v>41</v>
      </c>
      <c r="G3922" s="26">
        <v>10.0</v>
      </c>
      <c r="I3922" s="26" t="s">
        <v>961</v>
      </c>
      <c r="J3922" s="25" t="str">
        <f t="shared" si="46"/>
        <v>No</v>
      </c>
      <c r="K3922" s="25" t="str">
        <f t="shared" si="47"/>
        <v/>
      </c>
      <c r="L3922" s="25" t="str">
        <f t="shared" si="48"/>
        <v/>
      </c>
      <c r="M3922" s="25"/>
      <c r="O3922" s="25"/>
    </row>
    <row r="3923" ht="15.75" customHeight="1">
      <c r="A3923" s="25" t="str">
        <f>IFERROR(__xludf.DUMMYFUNCTION("IF(B3923="""","""",RIGHT(REGEXREPLACE(B3923&amp;"""",""[^0-9]"",""""),9))"),"775716274")</f>
        <v>775716274</v>
      </c>
      <c r="B3923" s="52">
        <v>7.75716274E8</v>
      </c>
      <c r="C3923" s="28" t="s">
        <v>3929</v>
      </c>
      <c r="D3923" s="26" t="s">
        <v>45</v>
      </c>
      <c r="E3923" s="31">
        <v>46233.0</v>
      </c>
      <c r="F3923" s="26" t="s">
        <v>125</v>
      </c>
      <c r="I3923" s="26" t="s">
        <v>961</v>
      </c>
      <c r="J3923" s="25" t="str">
        <f t="shared" si="46"/>
        <v>No</v>
      </c>
      <c r="K3923" s="25" t="str">
        <f t="shared" si="47"/>
        <v/>
      </c>
      <c r="L3923" s="25" t="str">
        <f t="shared" si="48"/>
        <v/>
      </c>
      <c r="M3923" s="25"/>
      <c r="O3923" s="25"/>
    </row>
    <row r="3924" ht="15.75" customHeight="1">
      <c r="A3924" s="25" t="str">
        <f>IFERROR(__xludf.DUMMYFUNCTION("IF(B3924="""","""",RIGHT(REGEXREPLACE(B3924&amp;"""",""[^0-9]"",""""),9))"),"764504190")</f>
        <v>764504190</v>
      </c>
      <c r="B3924" s="52">
        <v>7.6450419E8</v>
      </c>
      <c r="C3924" s="28" t="s">
        <v>3930</v>
      </c>
      <c r="D3924" s="26" t="s">
        <v>82</v>
      </c>
      <c r="E3924" s="31">
        <v>46233.0</v>
      </c>
      <c r="F3924" s="26" t="s">
        <v>41</v>
      </c>
      <c r="G3924" s="26">
        <v>9.0</v>
      </c>
      <c r="I3924" s="26" t="s">
        <v>961</v>
      </c>
      <c r="J3924" s="25" t="str">
        <f t="shared" si="46"/>
        <v>No</v>
      </c>
      <c r="K3924" s="25" t="str">
        <f t="shared" si="47"/>
        <v/>
      </c>
      <c r="L3924" s="25" t="str">
        <f t="shared" si="48"/>
        <v/>
      </c>
      <c r="M3924" s="25"/>
      <c r="O3924" s="25"/>
    </row>
    <row r="3925" ht="15.75" customHeight="1">
      <c r="A3925" s="25" t="str">
        <f>IFERROR(__xludf.DUMMYFUNCTION("IF(B3925="""","""",RIGHT(REGEXREPLACE(B3925&amp;"""",""[^0-9]"",""""),9))"),"706007804")</f>
        <v>706007804</v>
      </c>
      <c r="B3925" s="52">
        <v>7.06007804E8</v>
      </c>
      <c r="C3925" s="28" t="s">
        <v>3930</v>
      </c>
      <c r="D3925" s="26" t="s">
        <v>64</v>
      </c>
      <c r="E3925" s="31">
        <v>46233.0</v>
      </c>
      <c r="F3925" s="26" t="s">
        <v>205</v>
      </c>
      <c r="I3925" s="26" t="s">
        <v>961</v>
      </c>
      <c r="J3925" s="25" t="str">
        <f t="shared" si="46"/>
        <v>No</v>
      </c>
      <c r="K3925" s="25" t="str">
        <f t="shared" si="47"/>
        <v/>
      </c>
      <c r="L3925" s="25" t="str">
        <f t="shared" si="48"/>
        <v/>
      </c>
      <c r="M3925" s="25"/>
      <c r="O3925" s="25"/>
    </row>
    <row r="3926" ht="15.75" customHeight="1">
      <c r="A3926" s="25" t="str">
        <f>IFERROR(__xludf.DUMMYFUNCTION("IF(B3926="""","""",RIGHT(REGEXREPLACE(B3926&amp;"""",""[^0-9]"",""""),9))"),"776413678")</f>
        <v>776413678</v>
      </c>
      <c r="B3926" s="52">
        <v>7.76413678E8</v>
      </c>
      <c r="C3926" s="28" t="s">
        <v>3931</v>
      </c>
      <c r="D3926" s="26" t="s">
        <v>45</v>
      </c>
      <c r="E3926" s="31">
        <v>46233.0</v>
      </c>
      <c r="F3926" s="26" t="s">
        <v>46</v>
      </c>
      <c r="G3926" s="26">
        <v>9.0</v>
      </c>
      <c r="I3926" s="26" t="s">
        <v>961</v>
      </c>
      <c r="J3926" s="25" t="str">
        <f t="shared" si="46"/>
        <v>No</v>
      </c>
      <c r="K3926" s="25" t="str">
        <f t="shared" si="47"/>
        <v/>
      </c>
      <c r="L3926" s="25" t="str">
        <f t="shared" si="48"/>
        <v/>
      </c>
      <c r="M3926" s="25"/>
      <c r="O3926" s="26" t="s">
        <v>51</v>
      </c>
    </row>
    <row r="3927" ht="15.75" customHeight="1">
      <c r="A3927" s="25" t="str">
        <f>IFERROR(__xludf.DUMMYFUNCTION("IF(B3927="""","""",RIGHT(REGEXREPLACE(B3927&amp;"""",""[^0-9]"",""""),9))"),"753192998")</f>
        <v>753192998</v>
      </c>
      <c r="B3927" s="52">
        <v>7.53192998E8</v>
      </c>
      <c r="C3927" s="28" t="s">
        <v>3932</v>
      </c>
      <c r="D3927" s="26" t="s">
        <v>82</v>
      </c>
      <c r="E3927" s="31">
        <v>46233.0</v>
      </c>
      <c r="F3927" s="26" t="s">
        <v>659</v>
      </c>
      <c r="G3927" s="26">
        <v>11.0</v>
      </c>
      <c r="I3927" s="26" t="s">
        <v>961</v>
      </c>
      <c r="J3927" s="25" t="str">
        <f t="shared" si="46"/>
        <v>No</v>
      </c>
      <c r="K3927" s="25" t="str">
        <f t="shared" si="47"/>
        <v/>
      </c>
      <c r="L3927" s="25" t="str">
        <f t="shared" si="48"/>
        <v/>
      </c>
      <c r="M3927" s="25"/>
      <c r="O3927" s="25"/>
    </row>
    <row r="3928" ht="15.75" customHeight="1">
      <c r="A3928" s="25" t="str">
        <f>IFERROR(__xludf.DUMMYFUNCTION("IF(B3928="""","""",RIGHT(REGEXREPLACE(B3928&amp;"""",""[^0-9]"",""""),9))"),"702492374")</f>
        <v>702492374</v>
      </c>
      <c r="B3928" s="52">
        <v>7.02492374E8</v>
      </c>
      <c r="C3928" s="28" t="s">
        <v>3933</v>
      </c>
      <c r="D3928" s="26" t="s">
        <v>64</v>
      </c>
      <c r="E3928" s="31">
        <v>46233.0</v>
      </c>
      <c r="F3928" s="26" t="s">
        <v>41</v>
      </c>
      <c r="I3928" s="26" t="s">
        <v>961</v>
      </c>
      <c r="J3928" s="25" t="str">
        <f t="shared" si="46"/>
        <v>No</v>
      </c>
      <c r="K3928" s="25" t="str">
        <f t="shared" si="47"/>
        <v/>
      </c>
      <c r="L3928" s="25" t="str">
        <f t="shared" si="48"/>
        <v/>
      </c>
      <c r="M3928" s="25"/>
      <c r="O3928" s="25"/>
    </row>
    <row r="3929" ht="15.75" customHeight="1">
      <c r="A3929" s="25" t="str">
        <f>IFERROR(__xludf.DUMMYFUNCTION("IF(B3929="""","""",RIGHT(REGEXREPLACE(B3929&amp;"""",""[^0-9]"",""""),9))"),"767183361")</f>
        <v>767183361</v>
      </c>
      <c r="B3929" s="52">
        <v>7.67183361E8</v>
      </c>
      <c r="C3929" s="28" t="s">
        <v>3934</v>
      </c>
      <c r="D3929" s="26" t="s">
        <v>82</v>
      </c>
      <c r="E3929" s="31">
        <v>46233.0</v>
      </c>
      <c r="F3929" s="26" t="s">
        <v>41</v>
      </c>
      <c r="G3929" s="26">
        <v>10.0</v>
      </c>
      <c r="I3929" s="26" t="s">
        <v>961</v>
      </c>
      <c r="J3929" s="25" t="str">
        <f t="shared" si="46"/>
        <v>No</v>
      </c>
      <c r="K3929" s="25" t="str">
        <f t="shared" si="47"/>
        <v/>
      </c>
      <c r="L3929" s="25" t="str">
        <f t="shared" si="48"/>
        <v/>
      </c>
      <c r="M3929" s="25"/>
      <c r="O3929" s="25"/>
    </row>
    <row r="3930" ht="15.75" customHeight="1">
      <c r="A3930" s="25" t="str">
        <f>IFERROR(__xludf.DUMMYFUNCTION("IF(B3930="""","""",RIGHT(REGEXREPLACE(B3930&amp;"""",""[^0-9]"",""""),9))"),"719312655")</f>
        <v>719312655</v>
      </c>
      <c r="B3930" s="52">
        <v>7.19312655E8</v>
      </c>
      <c r="C3930" s="28" t="s">
        <v>3935</v>
      </c>
      <c r="D3930" s="26" t="s">
        <v>64</v>
      </c>
      <c r="E3930" s="31">
        <v>46233.0</v>
      </c>
      <c r="F3930" s="26" t="s">
        <v>46</v>
      </c>
      <c r="G3930" s="26">
        <v>7.0</v>
      </c>
      <c r="H3930" s="26" t="s">
        <v>3936</v>
      </c>
      <c r="I3930" s="26" t="s">
        <v>961</v>
      </c>
      <c r="J3930" s="25" t="str">
        <f t="shared" si="46"/>
        <v>No</v>
      </c>
      <c r="K3930" s="25" t="str">
        <f t="shared" si="47"/>
        <v/>
      </c>
      <c r="L3930" s="25" t="str">
        <f t="shared" si="48"/>
        <v/>
      </c>
      <c r="M3930" s="25"/>
      <c r="O3930" s="26" t="s">
        <v>51</v>
      </c>
    </row>
    <row r="3931" ht="15.75" customHeight="1">
      <c r="A3931" s="25" t="str">
        <f>IFERROR(__xludf.DUMMYFUNCTION("IF(B3931="""","""",RIGHT(REGEXREPLACE(B3931&amp;"""",""[^0-9]"",""""),9))"),"710493519")</f>
        <v>710493519</v>
      </c>
      <c r="B3931" s="52">
        <v>7.10493519E8</v>
      </c>
      <c r="C3931" s="28" t="s">
        <v>3937</v>
      </c>
      <c r="D3931" s="26" t="s">
        <v>82</v>
      </c>
      <c r="E3931" s="31">
        <v>46233.0</v>
      </c>
      <c r="F3931" s="26" t="s">
        <v>125</v>
      </c>
      <c r="I3931" s="26" t="s">
        <v>961</v>
      </c>
      <c r="J3931" s="25" t="str">
        <f t="shared" si="46"/>
        <v>No</v>
      </c>
      <c r="K3931" s="25" t="str">
        <f t="shared" si="47"/>
        <v/>
      </c>
      <c r="L3931" s="25" t="str">
        <f t="shared" si="48"/>
        <v/>
      </c>
      <c r="M3931" s="25"/>
      <c r="O3931" s="25"/>
    </row>
    <row r="3932" ht="15.75" customHeight="1">
      <c r="A3932" s="25" t="str">
        <f>IFERROR(__xludf.DUMMYFUNCTION("IF(B3932="""","""",RIGHT(REGEXREPLACE(B3932&amp;"""",""[^0-9]"",""""),9))"),"775743741")</f>
        <v>775743741</v>
      </c>
      <c r="B3932" s="52">
        <v>7.75743741E8</v>
      </c>
      <c r="C3932" s="28" t="s">
        <v>3938</v>
      </c>
      <c r="D3932" s="26" t="s">
        <v>82</v>
      </c>
      <c r="E3932" s="31">
        <v>46233.0</v>
      </c>
      <c r="F3932" s="26" t="s">
        <v>41</v>
      </c>
      <c r="G3932" s="26">
        <v>10.0</v>
      </c>
      <c r="I3932" s="26" t="s">
        <v>961</v>
      </c>
      <c r="J3932" s="25" t="str">
        <f t="shared" si="46"/>
        <v>No</v>
      </c>
      <c r="K3932" s="25" t="str">
        <f t="shared" si="47"/>
        <v/>
      </c>
      <c r="L3932" s="25" t="str">
        <f t="shared" si="48"/>
        <v/>
      </c>
      <c r="M3932" s="25"/>
      <c r="O3932" s="25"/>
    </row>
    <row r="3933" ht="15.75" customHeight="1">
      <c r="A3933" s="25" t="str">
        <f>IFERROR(__xludf.DUMMYFUNCTION("IF(B3933="""","""",RIGHT(REGEXREPLACE(B3933&amp;"""",""[^0-9]"",""""),9))"),"711710944")</f>
        <v>711710944</v>
      </c>
      <c r="B3933" s="52">
        <v>7.11710944E8</v>
      </c>
      <c r="C3933" s="28" t="s">
        <v>3939</v>
      </c>
      <c r="D3933" s="26" t="s">
        <v>64</v>
      </c>
      <c r="E3933" s="31">
        <v>46233.0</v>
      </c>
      <c r="F3933" s="26" t="s">
        <v>46</v>
      </c>
      <c r="G3933" s="26">
        <v>10.0</v>
      </c>
      <c r="I3933" s="26" t="s">
        <v>961</v>
      </c>
      <c r="J3933" s="25" t="str">
        <f t="shared" si="46"/>
        <v>No</v>
      </c>
      <c r="K3933" s="25" t="str">
        <f t="shared" si="47"/>
        <v/>
      </c>
      <c r="L3933" s="25" t="str">
        <f t="shared" si="48"/>
        <v/>
      </c>
      <c r="M3933" s="25"/>
      <c r="O3933" s="25"/>
    </row>
    <row r="3934" ht="15.75" customHeight="1">
      <c r="A3934" s="25" t="str">
        <f>IFERROR(__xludf.DUMMYFUNCTION("IF(B3934="""","""",RIGHT(REGEXREPLACE(B3934&amp;"""",""[^0-9]"",""""),9))"),"713387310")</f>
        <v>713387310</v>
      </c>
      <c r="B3934" s="52">
        <v>7.1338731E8</v>
      </c>
      <c r="C3934" s="28" t="s">
        <v>3940</v>
      </c>
      <c r="D3934" s="26" t="s">
        <v>82</v>
      </c>
      <c r="E3934" s="31">
        <v>46233.0</v>
      </c>
      <c r="F3934" s="26" t="s">
        <v>46</v>
      </c>
      <c r="G3934" s="26">
        <v>9.0</v>
      </c>
      <c r="I3934" s="26" t="s">
        <v>961</v>
      </c>
      <c r="J3934" s="25" t="str">
        <f t="shared" si="46"/>
        <v>No</v>
      </c>
      <c r="K3934" s="25" t="str">
        <f t="shared" si="47"/>
        <v/>
      </c>
      <c r="L3934" s="25" t="str">
        <f t="shared" si="48"/>
        <v/>
      </c>
      <c r="M3934" s="25"/>
      <c r="O3934" s="25"/>
    </row>
    <row r="3935" ht="15.75" customHeight="1">
      <c r="A3935" s="25" t="str">
        <f>IFERROR(__xludf.DUMMYFUNCTION("IF(B3935="""","""",RIGHT(REGEXREPLACE(B3935&amp;"""",""[^0-9]"",""""),9))"),"742643169")</f>
        <v>742643169</v>
      </c>
      <c r="B3935" s="52">
        <v>7.42643169E8</v>
      </c>
      <c r="C3935" s="28" t="s">
        <v>3941</v>
      </c>
      <c r="D3935" s="26" t="s">
        <v>45</v>
      </c>
      <c r="E3935" s="31">
        <v>46233.0</v>
      </c>
      <c r="F3935" s="26" t="s">
        <v>41</v>
      </c>
      <c r="G3935" s="26">
        <v>10.0</v>
      </c>
      <c r="I3935" s="26" t="s">
        <v>961</v>
      </c>
      <c r="J3935" s="25" t="str">
        <f t="shared" si="46"/>
        <v>No</v>
      </c>
      <c r="K3935" s="25" t="str">
        <f t="shared" si="47"/>
        <v/>
      </c>
      <c r="L3935" s="25" t="str">
        <f t="shared" si="48"/>
        <v/>
      </c>
      <c r="M3935" s="25"/>
      <c r="O3935" s="25"/>
    </row>
    <row r="3936" ht="15.75" customHeight="1">
      <c r="A3936" s="25" t="str">
        <f>IFERROR(__xludf.DUMMYFUNCTION("IF(B3936="""","""",RIGHT(REGEXREPLACE(B3936&amp;"""",""[^0-9]"",""""),9))"),"711276540")</f>
        <v>711276540</v>
      </c>
      <c r="B3936" s="52">
        <v>7.1127654E8</v>
      </c>
      <c r="C3936" s="28" t="s">
        <v>3942</v>
      </c>
      <c r="D3936" s="26" t="s">
        <v>45</v>
      </c>
      <c r="E3936" s="31">
        <v>46233.0</v>
      </c>
      <c r="F3936" s="26" t="s">
        <v>205</v>
      </c>
      <c r="I3936" s="26" t="s">
        <v>961</v>
      </c>
      <c r="J3936" s="25" t="str">
        <f t="shared" si="46"/>
        <v>No</v>
      </c>
      <c r="K3936" s="25" t="str">
        <f t="shared" si="47"/>
        <v/>
      </c>
      <c r="L3936" s="25" t="str">
        <f t="shared" si="48"/>
        <v/>
      </c>
      <c r="M3936" s="25"/>
      <c r="O3936" s="25"/>
    </row>
    <row r="3937" ht="15.75" customHeight="1">
      <c r="A3937" s="25" t="str">
        <f>IFERROR(__xludf.DUMMYFUNCTION("IF(B3937="""","""",RIGHT(REGEXREPLACE(B3937&amp;"""",""[^0-9]"",""""),9))"),"712020414")</f>
        <v>712020414</v>
      </c>
      <c r="B3937" s="52">
        <v>7.12020414E8</v>
      </c>
      <c r="C3937" s="28" t="s">
        <v>3943</v>
      </c>
      <c r="D3937" s="26" t="s">
        <v>82</v>
      </c>
      <c r="E3937" s="31">
        <v>46233.0</v>
      </c>
      <c r="F3937" s="26" t="s">
        <v>205</v>
      </c>
      <c r="I3937" s="26" t="s">
        <v>961</v>
      </c>
      <c r="J3937" s="25" t="str">
        <f t="shared" si="46"/>
        <v>No</v>
      </c>
      <c r="K3937" s="25" t="str">
        <f t="shared" si="47"/>
        <v/>
      </c>
      <c r="L3937" s="25" t="str">
        <f t="shared" si="48"/>
        <v/>
      </c>
      <c r="M3937" s="25"/>
      <c r="O3937" s="25"/>
    </row>
    <row r="3938" ht="15.75" customHeight="1">
      <c r="A3938" s="25" t="str">
        <f>IFERROR(__xludf.DUMMYFUNCTION("IF(B3938="""","""",RIGHT(REGEXREPLACE(B3938&amp;"""",""[^0-9]"",""""),9))"),"774826246")</f>
        <v>774826246</v>
      </c>
      <c r="B3938" s="52">
        <v>7.74826246E8</v>
      </c>
      <c r="C3938" s="28" t="s">
        <v>3944</v>
      </c>
      <c r="D3938" s="26" t="s">
        <v>64</v>
      </c>
      <c r="E3938" s="31">
        <v>46233.0</v>
      </c>
      <c r="F3938" s="26" t="s">
        <v>41</v>
      </c>
      <c r="G3938" s="26">
        <v>9.0</v>
      </c>
      <c r="H3938" s="26" t="s">
        <v>2293</v>
      </c>
      <c r="I3938" s="26" t="s">
        <v>961</v>
      </c>
      <c r="J3938" s="25" t="str">
        <f t="shared" si="46"/>
        <v>No</v>
      </c>
      <c r="K3938" s="25" t="str">
        <f t="shared" si="47"/>
        <v/>
      </c>
      <c r="L3938" s="25" t="str">
        <f t="shared" si="48"/>
        <v/>
      </c>
      <c r="M3938" s="25"/>
      <c r="O3938" s="25"/>
    </row>
    <row r="3939" ht="15.75" customHeight="1">
      <c r="A3939" s="25" t="str">
        <f>IFERROR(__xludf.DUMMYFUNCTION("IF(B3939="""","""",RIGHT(REGEXREPLACE(B3939&amp;"""",""[^0-9]"",""""),9))"),"707221741")</f>
        <v>707221741</v>
      </c>
      <c r="B3939" s="52">
        <v>7.07221741E8</v>
      </c>
      <c r="C3939" s="28" t="s">
        <v>3945</v>
      </c>
      <c r="D3939" s="26" t="s">
        <v>45</v>
      </c>
      <c r="E3939" s="31">
        <v>46233.0</v>
      </c>
      <c r="F3939" s="26" t="s">
        <v>125</v>
      </c>
      <c r="I3939" s="26" t="s">
        <v>961</v>
      </c>
      <c r="J3939" s="25" t="str">
        <f t="shared" si="46"/>
        <v>No</v>
      </c>
      <c r="K3939" s="25" t="str">
        <f t="shared" si="47"/>
        <v/>
      </c>
      <c r="L3939" s="25" t="str">
        <f t="shared" si="48"/>
        <v/>
      </c>
      <c r="M3939" s="25"/>
      <c r="O3939" s="25"/>
    </row>
    <row r="3940" ht="15.75" customHeight="1">
      <c r="A3940" s="25" t="str">
        <f>IFERROR(__xludf.DUMMYFUNCTION("IF(B3940="""","""",RIGHT(REGEXREPLACE(B3940&amp;"""",""[^0-9]"",""""),9))"),"713122001")</f>
        <v>713122001</v>
      </c>
      <c r="B3940" s="52">
        <v>7.13122001E8</v>
      </c>
      <c r="C3940" s="28" t="s">
        <v>3946</v>
      </c>
      <c r="D3940" s="26" t="s">
        <v>82</v>
      </c>
      <c r="E3940" s="31">
        <v>46233.0</v>
      </c>
      <c r="F3940" s="26" t="s">
        <v>41</v>
      </c>
      <c r="I3940" s="26" t="s">
        <v>961</v>
      </c>
      <c r="J3940" s="25" t="str">
        <f t="shared" si="46"/>
        <v>No</v>
      </c>
      <c r="K3940" s="25" t="str">
        <f t="shared" si="47"/>
        <v/>
      </c>
      <c r="L3940" s="25" t="str">
        <f t="shared" si="48"/>
        <v/>
      </c>
      <c r="M3940" s="25"/>
      <c r="O3940" s="25"/>
    </row>
    <row r="3941" ht="15.75" customHeight="1">
      <c r="A3941" s="25" t="str">
        <f>IFERROR(__xludf.DUMMYFUNCTION("IF(B3941="""","""",RIGHT(REGEXREPLACE(B3941&amp;"""",""[^0-9]"",""""),9))"),"763872003")</f>
        <v>763872003</v>
      </c>
      <c r="B3941" s="52">
        <v>7.63872003E8</v>
      </c>
      <c r="C3941" s="28" t="s">
        <v>3947</v>
      </c>
      <c r="D3941" s="26" t="s">
        <v>45</v>
      </c>
      <c r="E3941" s="31">
        <v>46233.0</v>
      </c>
      <c r="F3941" s="26" t="s">
        <v>659</v>
      </c>
      <c r="I3941" s="26" t="s">
        <v>961</v>
      </c>
      <c r="J3941" s="25" t="str">
        <f t="shared" si="46"/>
        <v>No</v>
      </c>
      <c r="K3941" s="25" t="str">
        <f t="shared" si="47"/>
        <v/>
      </c>
      <c r="L3941" s="25" t="str">
        <f t="shared" si="48"/>
        <v/>
      </c>
      <c r="M3941" s="25"/>
      <c r="O3941" s="25"/>
    </row>
    <row r="3942" ht="15.75" customHeight="1">
      <c r="A3942" s="25" t="str">
        <f>IFERROR(__xludf.DUMMYFUNCTION("IF(B3942="""","""",RIGHT(REGEXREPLACE(B3942&amp;"""",""[^0-9]"",""""),9))"),"758447395")</f>
        <v>758447395</v>
      </c>
      <c r="B3942" s="52">
        <v>7.58447395E8</v>
      </c>
      <c r="C3942" s="28" t="s">
        <v>3948</v>
      </c>
      <c r="D3942" s="26" t="s">
        <v>45</v>
      </c>
      <c r="E3942" s="31">
        <v>46233.0</v>
      </c>
      <c r="F3942" s="26" t="s">
        <v>46</v>
      </c>
      <c r="G3942" s="26">
        <v>10.0</v>
      </c>
      <c r="I3942" s="26" t="s">
        <v>961</v>
      </c>
      <c r="J3942" s="25" t="str">
        <f t="shared" si="46"/>
        <v>No</v>
      </c>
      <c r="K3942" s="25" t="str">
        <f t="shared" si="47"/>
        <v/>
      </c>
      <c r="L3942" s="25" t="str">
        <f t="shared" si="48"/>
        <v/>
      </c>
      <c r="M3942" s="25"/>
      <c r="O3942" s="25"/>
    </row>
    <row r="3943" ht="15.75" customHeight="1">
      <c r="A3943" s="25" t="str">
        <f>IFERROR(__xludf.DUMMYFUNCTION("IF(B3943="""","""",RIGHT(REGEXREPLACE(B3943&amp;"""",""[^0-9]"",""""),9))"),"766031983")</f>
        <v>766031983</v>
      </c>
      <c r="B3943" s="52">
        <v>7.66031983E8</v>
      </c>
      <c r="C3943" s="28" t="s">
        <v>3949</v>
      </c>
      <c r="D3943" s="26" t="s">
        <v>82</v>
      </c>
      <c r="E3943" s="31">
        <v>46233.0</v>
      </c>
      <c r="F3943" s="26" t="s">
        <v>46</v>
      </c>
      <c r="G3943" s="26">
        <v>8.0</v>
      </c>
      <c r="I3943" s="26" t="s">
        <v>961</v>
      </c>
      <c r="J3943" s="25" t="str">
        <f t="shared" si="46"/>
        <v>No</v>
      </c>
      <c r="K3943" s="25" t="str">
        <f t="shared" si="47"/>
        <v/>
      </c>
      <c r="L3943" s="25" t="str">
        <f t="shared" si="48"/>
        <v/>
      </c>
      <c r="M3943" s="25"/>
      <c r="O3943" s="25"/>
    </row>
    <row r="3944" ht="15.75" customHeight="1">
      <c r="A3944" s="25" t="str">
        <f>IFERROR(__xludf.DUMMYFUNCTION("IF(B3944="""","""",RIGHT(REGEXREPLACE(B3944&amp;"""",""[^0-9]"",""""),9))"),"713079300")</f>
        <v>713079300</v>
      </c>
      <c r="B3944" s="52">
        <v>7.130793E8</v>
      </c>
      <c r="C3944" s="28" t="s">
        <v>3950</v>
      </c>
      <c r="D3944" s="26" t="s">
        <v>64</v>
      </c>
      <c r="E3944" s="31">
        <v>46233.0</v>
      </c>
      <c r="F3944" s="26" t="s">
        <v>659</v>
      </c>
      <c r="G3944" s="26">
        <v>8.0</v>
      </c>
      <c r="I3944" s="26" t="s">
        <v>961</v>
      </c>
      <c r="J3944" s="25" t="str">
        <f t="shared" si="46"/>
        <v>No</v>
      </c>
      <c r="K3944" s="25" t="str">
        <f t="shared" si="47"/>
        <v/>
      </c>
      <c r="L3944" s="25" t="str">
        <f t="shared" si="48"/>
        <v/>
      </c>
      <c r="M3944" s="25"/>
      <c r="O3944" s="25"/>
    </row>
    <row r="3945" ht="15.75" customHeight="1">
      <c r="A3945" s="25" t="str">
        <f>IFERROR(__xludf.DUMMYFUNCTION("IF(B3945="""","""",RIGHT(REGEXREPLACE(B3945&amp;"""",""[^0-9]"",""""),9))"),"706297060")</f>
        <v>706297060</v>
      </c>
      <c r="B3945" s="52">
        <v>7.0629706E8</v>
      </c>
      <c r="C3945" s="28" t="s">
        <v>3951</v>
      </c>
      <c r="D3945" s="26" t="s">
        <v>64</v>
      </c>
      <c r="E3945" s="31">
        <v>46233.0</v>
      </c>
      <c r="F3945" s="26" t="s">
        <v>46</v>
      </c>
      <c r="G3945" s="26">
        <v>11.0</v>
      </c>
      <c r="I3945" s="26" t="s">
        <v>961</v>
      </c>
      <c r="J3945" s="25" t="str">
        <f t="shared" si="46"/>
        <v>No</v>
      </c>
      <c r="K3945" s="25" t="str">
        <f t="shared" si="47"/>
        <v/>
      </c>
      <c r="L3945" s="25" t="str">
        <f t="shared" si="48"/>
        <v/>
      </c>
      <c r="M3945" s="25"/>
      <c r="O3945" s="25"/>
    </row>
    <row r="3946" ht="15.75" customHeight="1">
      <c r="A3946" s="25" t="str">
        <f>IFERROR(__xludf.DUMMYFUNCTION("IF(B3946="""","""",RIGHT(REGEXREPLACE(B3946&amp;"""",""[^0-9]"",""""),9))"),"775403984")</f>
        <v>775403984</v>
      </c>
      <c r="B3946" s="52">
        <v>7.75403984E8</v>
      </c>
      <c r="C3946" s="28" t="s">
        <v>3952</v>
      </c>
      <c r="D3946" s="26" t="s">
        <v>82</v>
      </c>
      <c r="E3946" s="31">
        <v>46233.0</v>
      </c>
      <c r="F3946" s="26" t="s">
        <v>46</v>
      </c>
      <c r="G3946" s="26">
        <v>9.0</v>
      </c>
      <c r="I3946" s="26" t="s">
        <v>961</v>
      </c>
      <c r="J3946" s="25" t="str">
        <f t="shared" si="46"/>
        <v>No</v>
      </c>
      <c r="K3946" s="25" t="str">
        <f t="shared" si="47"/>
        <v/>
      </c>
      <c r="L3946" s="25" t="str">
        <f t="shared" si="48"/>
        <v/>
      </c>
      <c r="M3946" s="25"/>
      <c r="O3946" s="25"/>
    </row>
    <row r="3947" ht="15.75" customHeight="1">
      <c r="A3947" s="25" t="str">
        <f>IFERROR(__xludf.DUMMYFUNCTION("IF(B3947="""","""",RIGHT(REGEXREPLACE(B3947&amp;"""",""[^0-9]"",""""),9))"),"776502272")</f>
        <v>776502272</v>
      </c>
      <c r="B3947" s="52">
        <v>7.76502272E8</v>
      </c>
      <c r="C3947" s="28" t="s">
        <v>1165</v>
      </c>
      <c r="D3947" s="26" t="s">
        <v>64</v>
      </c>
      <c r="E3947" s="31">
        <v>46233.0</v>
      </c>
      <c r="F3947" s="26" t="s">
        <v>125</v>
      </c>
      <c r="G3947" s="26">
        <v>10.0</v>
      </c>
      <c r="I3947" s="26" t="s">
        <v>961</v>
      </c>
      <c r="J3947" s="25" t="str">
        <f t="shared" si="46"/>
        <v>Yes - see Previous F-Code</v>
      </c>
      <c r="K3947" s="25" t="str">
        <f t="shared" si="47"/>
        <v/>
      </c>
      <c r="L3947" s="25" t="str">
        <f t="shared" si="48"/>
        <v>F70906</v>
      </c>
      <c r="M3947" s="25"/>
      <c r="O3947" s="25"/>
    </row>
    <row r="3948" ht="15.75" customHeight="1">
      <c r="A3948" s="25" t="str">
        <f>IFERROR(__xludf.DUMMYFUNCTION("IF(B3948="""","""",RIGHT(REGEXREPLACE(B3948&amp;"""",""[^0-9]"",""""),9))"),"788197370")</f>
        <v>788197370</v>
      </c>
      <c r="B3948" s="52">
        <v>7.8819737E8</v>
      </c>
      <c r="C3948" s="28" t="s">
        <v>3953</v>
      </c>
      <c r="D3948" s="26" t="s">
        <v>45</v>
      </c>
      <c r="E3948" s="31">
        <v>46233.0</v>
      </c>
      <c r="F3948" s="26" t="s">
        <v>41</v>
      </c>
      <c r="G3948" s="26">
        <v>8.0</v>
      </c>
      <c r="I3948" s="26" t="s">
        <v>961</v>
      </c>
      <c r="J3948" s="25" t="str">
        <f t="shared" si="46"/>
        <v>No</v>
      </c>
      <c r="K3948" s="25" t="str">
        <f t="shared" si="47"/>
        <v/>
      </c>
      <c r="L3948" s="25" t="str">
        <f t="shared" si="48"/>
        <v/>
      </c>
      <c r="M3948" s="25"/>
      <c r="O3948" s="26" t="s">
        <v>51</v>
      </c>
    </row>
    <row r="3949" ht="15.75" customHeight="1">
      <c r="A3949" s="25" t="str">
        <f>IFERROR(__xludf.DUMMYFUNCTION("IF(B3949="""","""",RIGHT(REGEXREPLACE(B3949&amp;"""",""[^0-9]"",""""),9))"),"776901887")</f>
        <v>776901887</v>
      </c>
      <c r="B3949" s="52">
        <v>7.76901887E8</v>
      </c>
      <c r="C3949" s="28" t="s">
        <v>3954</v>
      </c>
      <c r="D3949" s="26" t="s">
        <v>82</v>
      </c>
      <c r="E3949" s="31">
        <v>46233.0</v>
      </c>
      <c r="F3949" s="26" t="s">
        <v>659</v>
      </c>
      <c r="G3949" s="26">
        <v>10.0</v>
      </c>
      <c r="I3949" s="26" t="s">
        <v>961</v>
      </c>
      <c r="J3949" s="25" t="str">
        <f t="shared" si="46"/>
        <v>No</v>
      </c>
      <c r="K3949" s="25" t="str">
        <f t="shared" si="47"/>
        <v/>
      </c>
      <c r="L3949" s="25" t="str">
        <f t="shared" si="48"/>
        <v/>
      </c>
      <c r="M3949" s="25"/>
      <c r="O3949" s="25"/>
    </row>
    <row r="3950" ht="15.75" customHeight="1">
      <c r="A3950" s="25" t="str">
        <f>IFERROR(__xludf.DUMMYFUNCTION("IF(B3950="""","""",RIGHT(REGEXREPLACE(B3950&amp;"""",""[^0-9]"",""""),9))"),"776374901")</f>
        <v>776374901</v>
      </c>
      <c r="B3950" s="52">
        <v>7.76374901E8</v>
      </c>
      <c r="C3950" s="28" t="s">
        <v>3955</v>
      </c>
      <c r="D3950" s="26" t="s">
        <v>82</v>
      </c>
      <c r="E3950" s="31">
        <v>46233.0</v>
      </c>
      <c r="F3950" s="26" t="s">
        <v>46</v>
      </c>
      <c r="G3950" s="26">
        <v>9.0</v>
      </c>
      <c r="I3950" s="26" t="s">
        <v>961</v>
      </c>
      <c r="J3950" s="25" t="str">
        <f t="shared" si="46"/>
        <v>No</v>
      </c>
      <c r="K3950" s="25" t="str">
        <f t="shared" si="47"/>
        <v/>
      </c>
      <c r="L3950" s="25" t="str">
        <f t="shared" si="48"/>
        <v/>
      </c>
      <c r="M3950" s="25"/>
      <c r="O3950" s="25"/>
    </row>
    <row r="3951" ht="15.75" customHeight="1">
      <c r="A3951" s="25" t="str">
        <f>IFERROR(__xludf.DUMMYFUNCTION("IF(B3951="""","""",RIGHT(REGEXREPLACE(B3951&amp;"""",""[^0-9]"",""""),9))"),"740723661")</f>
        <v>740723661</v>
      </c>
      <c r="B3951" s="52">
        <v>7.40723661E8</v>
      </c>
      <c r="C3951" s="28" t="s">
        <v>3956</v>
      </c>
      <c r="D3951" s="26" t="s">
        <v>82</v>
      </c>
      <c r="E3951" s="31">
        <v>46233.0</v>
      </c>
      <c r="F3951" s="26" t="s">
        <v>41</v>
      </c>
      <c r="G3951" s="26">
        <v>11.0</v>
      </c>
      <c r="I3951" s="26" t="s">
        <v>961</v>
      </c>
      <c r="J3951" s="25" t="str">
        <f t="shared" si="46"/>
        <v>No</v>
      </c>
      <c r="K3951" s="25" t="str">
        <f t="shared" si="47"/>
        <v/>
      </c>
      <c r="L3951" s="25" t="str">
        <f t="shared" si="48"/>
        <v/>
      </c>
      <c r="M3951" s="25"/>
      <c r="O3951" s="25"/>
    </row>
    <row r="3952" ht="15.75" customHeight="1">
      <c r="A3952" s="25" t="str">
        <f>IFERROR(__xludf.DUMMYFUNCTION("IF(B3952="""","""",RIGHT(REGEXREPLACE(B3952&amp;"""",""[^0-9]"",""""),9))"),"702715099")</f>
        <v>702715099</v>
      </c>
      <c r="B3952" s="52">
        <v>7.02715099E8</v>
      </c>
      <c r="C3952" s="28" t="s">
        <v>3957</v>
      </c>
      <c r="D3952" s="26" t="s">
        <v>45</v>
      </c>
      <c r="E3952" s="31">
        <v>46233.0</v>
      </c>
      <c r="F3952" s="26" t="s">
        <v>41</v>
      </c>
      <c r="G3952" s="26">
        <v>7.0</v>
      </c>
      <c r="I3952" s="26" t="s">
        <v>961</v>
      </c>
      <c r="J3952" s="25" t="str">
        <f t="shared" si="46"/>
        <v>No</v>
      </c>
      <c r="K3952" s="25" t="str">
        <f t="shared" si="47"/>
        <v/>
      </c>
      <c r="L3952" s="25" t="str">
        <f t="shared" si="48"/>
        <v/>
      </c>
      <c r="M3952" s="25"/>
      <c r="O3952" s="25"/>
    </row>
    <row r="3953" ht="15.75" customHeight="1">
      <c r="A3953" s="25" t="str">
        <f>IFERROR(__xludf.DUMMYFUNCTION("IF(B3953="""","""",RIGHT(REGEXREPLACE(B3953&amp;"""",""[^0-9]"",""""),9))"),"706910216")</f>
        <v>706910216</v>
      </c>
      <c r="B3953" s="52">
        <v>7.06910216E8</v>
      </c>
      <c r="C3953" s="28" t="s">
        <v>3958</v>
      </c>
      <c r="D3953" s="26" t="s">
        <v>64</v>
      </c>
      <c r="E3953" s="31">
        <v>46233.0</v>
      </c>
      <c r="F3953" s="26" t="s">
        <v>46</v>
      </c>
      <c r="G3953" s="26">
        <v>9.0</v>
      </c>
      <c r="I3953" s="26" t="s">
        <v>961</v>
      </c>
      <c r="J3953" s="25" t="str">
        <f t="shared" si="46"/>
        <v>No</v>
      </c>
      <c r="K3953" s="25" t="str">
        <f t="shared" si="47"/>
        <v/>
      </c>
      <c r="L3953" s="25" t="str">
        <f t="shared" si="48"/>
        <v/>
      </c>
      <c r="M3953" s="25"/>
      <c r="O3953" s="25"/>
    </row>
    <row r="3954" ht="15.75" customHeight="1">
      <c r="A3954" s="25" t="str">
        <f>IFERROR(__xludf.DUMMYFUNCTION("IF(B3954="""","""",RIGHT(REGEXREPLACE(B3954&amp;"""",""[^0-9]"",""""),9))"),"763408349")</f>
        <v>763408349</v>
      </c>
      <c r="B3954" s="52">
        <v>7.63408349E8</v>
      </c>
      <c r="C3954" s="28" t="s">
        <v>3959</v>
      </c>
      <c r="D3954" s="26" t="s">
        <v>82</v>
      </c>
      <c r="E3954" s="31">
        <v>46233.0</v>
      </c>
      <c r="F3954" s="26" t="s">
        <v>46</v>
      </c>
      <c r="G3954" s="26">
        <v>11.0</v>
      </c>
      <c r="I3954" s="26" t="s">
        <v>961</v>
      </c>
      <c r="J3954" s="25" t="str">
        <f t="shared" si="46"/>
        <v>No</v>
      </c>
      <c r="K3954" s="25" t="str">
        <f t="shared" si="47"/>
        <v/>
      </c>
      <c r="L3954" s="25" t="str">
        <f t="shared" si="48"/>
        <v/>
      </c>
      <c r="M3954" s="25"/>
      <c r="O3954" s="25"/>
    </row>
    <row r="3955" ht="15.75" customHeight="1">
      <c r="A3955" s="25" t="str">
        <f>IFERROR(__xludf.DUMMYFUNCTION("IF(B3955="""","""",RIGHT(REGEXREPLACE(B3955&amp;"""",""[^0-9]"",""""),9))"),"779903358")</f>
        <v>779903358</v>
      </c>
      <c r="B3955" s="52">
        <v>7.79903358E8</v>
      </c>
      <c r="C3955" s="28" t="s">
        <v>3960</v>
      </c>
      <c r="D3955" s="26" t="s">
        <v>45</v>
      </c>
      <c r="E3955" s="31">
        <v>46233.0</v>
      </c>
      <c r="F3955" s="26" t="s">
        <v>46</v>
      </c>
      <c r="G3955" s="26">
        <v>9.0</v>
      </c>
      <c r="I3955" s="26" t="s">
        <v>961</v>
      </c>
      <c r="J3955" s="25" t="str">
        <f t="shared" si="46"/>
        <v>No</v>
      </c>
      <c r="K3955" s="25" t="str">
        <f t="shared" si="47"/>
        <v/>
      </c>
      <c r="L3955" s="25" t="str">
        <f t="shared" si="48"/>
        <v/>
      </c>
      <c r="M3955" s="25"/>
      <c r="O3955" s="25"/>
    </row>
    <row r="3956" ht="15.75" customHeight="1">
      <c r="A3956" s="25" t="str">
        <f>IFERROR(__xludf.DUMMYFUNCTION("IF(B3956="""","""",RIGHT(REGEXREPLACE(B3956&amp;"""",""[^0-9]"",""""),9))"),"767748576")</f>
        <v>767748576</v>
      </c>
      <c r="B3956" s="52">
        <v>7.67748576E8</v>
      </c>
      <c r="C3956" s="28" t="s">
        <v>3961</v>
      </c>
      <c r="D3956" s="26" t="s">
        <v>82</v>
      </c>
      <c r="E3956" s="31">
        <v>46233.0</v>
      </c>
      <c r="F3956" s="26" t="s">
        <v>46</v>
      </c>
      <c r="G3956" s="26">
        <v>11.0</v>
      </c>
      <c r="I3956" s="26" t="s">
        <v>961</v>
      </c>
      <c r="J3956" s="25" t="str">
        <f t="shared" si="46"/>
        <v>No</v>
      </c>
      <c r="K3956" s="25" t="str">
        <f t="shared" si="47"/>
        <v/>
      </c>
      <c r="L3956" s="25" t="str">
        <f t="shared" si="48"/>
        <v/>
      </c>
      <c r="M3956" s="25"/>
      <c r="O3956" s="25"/>
    </row>
    <row r="3957" ht="15.75" customHeight="1">
      <c r="A3957" s="25" t="str">
        <f>IFERROR(__xludf.DUMMYFUNCTION("IF(B3957="""","""",RIGHT(REGEXREPLACE(B3957&amp;"""",""[^0-9]"",""""),9))"),"779003245")</f>
        <v>779003245</v>
      </c>
      <c r="B3957" s="52">
        <v>7.79003245E8</v>
      </c>
      <c r="C3957" s="28" t="s">
        <v>3962</v>
      </c>
      <c r="D3957" s="26" t="s">
        <v>64</v>
      </c>
      <c r="E3957" s="31">
        <v>46233.0</v>
      </c>
      <c r="F3957" s="26" t="s">
        <v>41</v>
      </c>
      <c r="I3957" s="26" t="s">
        <v>961</v>
      </c>
      <c r="J3957" s="25" t="str">
        <f t="shared" si="46"/>
        <v>No</v>
      </c>
      <c r="K3957" s="25" t="str">
        <f t="shared" si="47"/>
        <v/>
      </c>
      <c r="L3957" s="25" t="str">
        <f t="shared" si="48"/>
        <v/>
      </c>
      <c r="M3957" s="25"/>
      <c r="O3957" s="25"/>
    </row>
    <row r="3958" ht="15.75" customHeight="1">
      <c r="A3958" s="25" t="str">
        <f>IFERROR(__xludf.DUMMYFUNCTION("IF(B3958="""","""",RIGHT(REGEXREPLACE(B3958&amp;"""",""[^0-9]"",""""),9))"),"767525878")</f>
        <v>767525878</v>
      </c>
      <c r="B3958" s="52">
        <v>7.67525878E8</v>
      </c>
      <c r="C3958" s="28" t="s">
        <v>3963</v>
      </c>
      <c r="D3958" s="26" t="s">
        <v>64</v>
      </c>
      <c r="E3958" s="31">
        <v>46233.0</v>
      </c>
      <c r="F3958" s="26" t="s">
        <v>205</v>
      </c>
      <c r="I3958" s="26" t="s">
        <v>961</v>
      </c>
      <c r="J3958" s="25" t="str">
        <f t="shared" si="46"/>
        <v>No</v>
      </c>
      <c r="K3958" s="25" t="str">
        <f t="shared" si="47"/>
        <v/>
      </c>
      <c r="L3958" s="25" t="str">
        <f t="shared" si="48"/>
        <v/>
      </c>
      <c r="M3958" s="25"/>
      <c r="O3958" s="25"/>
    </row>
    <row r="3959" ht="15.75" customHeight="1">
      <c r="A3959" s="25" t="str">
        <f>IFERROR(__xludf.DUMMYFUNCTION("IF(B3959="""","""",RIGHT(REGEXREPLACE(B3959&amp;"""",""[^0-9]"",""""),9))"),"714847945")</f>
        <v>714847945</v>
      </c>
      <c r="B3959" s="52">
        <v>7.14847945E8</v>
      </c>
      <c r="C3959" s="28" t="s">
        <v>3964</v>
      </c>
      <c r="D3959" s="26" t="s">
        <v>82</v>
      </c>
      <c r="E3959" s="31">
        <v>46233.0</v>
      </c>
      <c r="F3959" s="26" t="s">
        <v>46</v>
      </c>
      <c r="G3959" s="26">
        <v>11.0</v>
      </c>
      <c r="I3959" s="26" t="s">
        <v>961</v>
      </c>
      <c r="J3959" s="25" t="str">
        <f t="shared" si="46"/>
        <v>No</v>
      </c>
      <c r="K3959" s="25" t="str">
        <f t="shared" si="47"/>
        <v/>
      </c>
      <c r="L3959" s="25" t="str">
        <f t="shared" si="48"/>
        <v/>
      </c>
      <c r="M3959" s="25"/>
      <c r="O3959" s="25"/>
    </row>
    <row r="3960" ht="15.75" customHeight="1">
      <c r="A3960" s="25" t="str">
        <f>IFERROR(__xludf.DUMMYFUNCTION("IF(B3960="""","""",RIGHT(REGEXREPLACE(B3960&amp;"""",""[^0-9]"",""""),9))"),"762839555")</f>
        <v>762839555</v>
      </c>
      <c r="B3960" s="52">
        <v>7.62839555E8</v>
      </c>
      <c r="C3960" s="28" t="s">
        <v>3965</v>
      </c>
      <c r="D3960" s="26" t="s">
        <v>64</v>
      </c>
      <c r="E3960" s="31">
        <v>46233.0</v>
      </c>
      <c r="F3960" s="26" t="s">
        <v>205</v>
      </c>
      <c r="I3960" s="26" t="s">
        <v>961</v>
      </c>
      <c r="J3960" s="25" t="str">
        <f t="shared" si="46"/>
        <v>No</v>
      </c>
      <c r="K3960" s="25" t="str">
        <f t="shared" si="47"/>
        <v/>
      </c>
      <c r="L3960" s="25" t="str">
        <f t="shared" si="48"/>
        <v/>
      </c>
      <c r="M3960" s="25"/>
      <c r="O3960" s="25"/>
    </row>
    <row r="3961" ht="15.75" customHeight="1">
      <c r="A3961" s="25" t="str">
        <f>IFERROR(__xludf.DUMMYFUNCTION("IF(B3961="""","""",RIGHT(REGEXREPLACE(B3961&amp;"""",""[^0-9]"",""""),9))"),"775893250")</f>
        <v>775893250</v>
      </c>
      <c r="B3961" s="52">
        <v>7.7589325E8</v>
      </c>
      <c r="C3961" s="28" t="s">
        <v>3966</v>
      </c>
      <c r="D3961" s="26" t="s">
        <v>45</v>
      </c>
      <c r="E3961" s="31">
        <v>46233.0</v>
      </c>
      <c r="F3961" s="26" t="s">
        <v>41</v>
      </c>
      <c r="G3961" s="26">
        <v>6.0</v>
      </c>
      <c r="I3961" s="26" t="s">
        <v>961</v>
      </c>
      <c r="J3961" s="25" t="str">
        <f t="shared" si="46"/>
        <v>No</v>
      </c>
      <c r="K3961" s="25" t="str">
        <f t="shared" si="47"/>
        <v/>
      </c>
      <c r="L3961" s="25" t="str">
        <f t="shared" si="48"/>
        <v/>
      </c>
      <c r="M3961" s="25"/>
      <c r="O3961" s="25"/>
    </row>
    <row r="3962" ht="15.75" customHeight="1">
      <c r="A3962" s="25" t="str">
        <f>IFERROR(__xludf.DUMMYFUNCTION("IF(B3962="""","""",RIGHT(REGEXREPLACE(B3962&amp;"""",""[^0-9]"",""""),9))"),"761677958")</f>
        <v>761677958</v>
      </c>
      <c r="B3962" s="52">
        <v>4.761677958E9</v>
      </c>
      <c r="C3962" s="28" t="s">
        <v>3967</v>
      </c>
      <c r="D3962" s="26" t="s">
        <v>64</v>
      </c>
      <c r="E3962" s="31">
        <v>46233.0</v>
      </c>
      <c r="F3962" s="26" t="s">
        <v>125</v>
      </c>
      <c r="G3962" s="26">
        <v>9.0</v>
      </c>
      <c r="I3962" s="26" t="s">
        <v>961</v>
      </c>
      <c r="J3962" s="25" t="str">
        <f t="shared" si="46"/>
        <v>No</v>
      </c>
      <c r="K3962" s="25" t="str">
        <f t="shared" si="47"/>
        <v/>
      </c>
      <c r="L3962" s="25" t="str">
        <f t="shared" si="48"/>
        <v/>
      </c>
      <c r="M3962" s="25"/>
      <c r="O3962" s="25"/>
    </row>
    <row r="3963" ht="15.75" customHeight="1">
      <c r="A3963" s="25" t="str">
        <f>IFERROR(__xludf.DUMMYFUNCTION("IF(B3963="""","""",RIGHT(REGEXREPLACE(B3963&amp;"""",""[^0-9]"",""""),9))"),"740338237")</f>
        <v>740338237</v>
      </c>
      <c r="B3963" s="52">
        <v>7.40338237E8</v>
      </c>
      <c r="C3963" s="28" t="s">
        <v>3968</v>
      </c>
      <c r="D3963" s="26" t="s">
        <v>82</v>
      </c>
      <c r="E3963" s="31">
        <v>46233.0</v>
      </c>
      <c r="F3963" s="26" t="s">
        <v>41</v>
      </c>
      <c r="I3963" s="26" t="s">
        <v>961</v>
      </c>
      <c r="J3963" s="25" t="str">
        <f t="shared" si="46"/>
        <v>No</v>
      </c>
      <c r="K3963" s="25" t="str">
        <f t="shared" si="47"/>
        <v/>
      </c>
      <c r="L3963" s="25" t="str">
        <f t="shared" si="48"/>
        <v/>
      </c>
      <c r="M3963" s="25"/>
      <c r="O3963" s="25"/>
    </row>
    <row r="3964" ht="15.75" customHeight="1">
      <c r="A3964" s="25" t="str">
        <f>IFERROR(__xludf.DUMMYFUNCTION("IF(B3964="""","""",RIGHT(REGEXREPLACE(B3964&amp;"""",""[^0-9]"",""""),9))"),"760128558")</f>
        <v>760128558</v>
      </c>
      <c r="B3964" s="52">
        <v>7.60128558E8</v>
      </c>
      <c r="C3964" s="28" t="s">
        <v>3969</v>
      </c>
      <c r="D3964" s="26" t="s">
        <v>64</v>
      </c>
      <c r="E3964" s="31">
        <v>46233.0</v>
      </c>
      <c r="F3964" s="26" t="s">
        <v>125</v>
      </c>
      <c r="G3964" s="26">
        <v>9.0</v>
      </c>
      <c r="I3964" s="26" t="s">
        <v>961</v>
      </c>
      <c r="J3964" s="25" t="str">
        <f t="shared" si="46"/>
        <v>No</v>
      </c>
      <c r="K3964" s="25" t="str">
        <f t="shared" si="47"/>
        <v/>
      </c>
      <c r="L3964" s="25" t="str">
        <f t="shared" si="48"/>
        <v/>
      </c>
      <c r="M3964" s="25"/>
      <c r="O3964" s="25"/>
    </row>
    <row r="3965" ht="15.75" customHeight="1">
      <c r="A3965" s="25" t="str">
        <f>IFERROR(__xludf.DUMMYFUNCTION("IF(B3965="""","""",RIGHT(REGEXREPLACE(B3965&amp;"""",""[^0-9]"",""""),9))"),"752385053")</f>
        <v>752385053</v>
      </c>
      <c r="B3965" s="52">
        <v>7.52385053E8</v>
      </c>
      <c r="C3965" s="28" t="s">
        <v>3970</v>
      </c>
      <c r="D3965" s="26" t="s">
        <v>45</v>
      </c>
      <c r="E3965" s="31">
        <v>46233.0</v>
      </c>
      <c r="F3965" s="26" t="s">
        <v>205</v>
      </c>
      <c r="G3965" s="26">
        <v>11.0</v>
      </c>
      <c r="I3965" s="26" t="s">
        <v>961</v>
      </c>
      <c r="J3965" s="25" t="str">
        <f t="shared" si="46"/>
        <v>No</v>
      </c>
      <c r="K3965" s="25" t="str">
        <f t="shared" si="47"/>
        <v/>
      </c>
      <c r="L3965" s="25" t="str">
        <f t="shared" si="48"/>
        <v/>
      </c>
      <c r="M3965" s="25"/>
      <c r="O3965" s="25"/>
    </row>
    <row r="3966" ht="15.75" customHeight="1">
      <c r="A3966" s="25" t="str">
        <f>IFERROR(__xludf.DUMMYFUNCTION("IF(B3966="""","""",RIGHT(REGEXREPLACE(B3966&amp;"""",""[^0-9]"",""""),9))"),"712612509")</f>
        <v>712612509</v>
      </c>
      <c r="B3966" s="52">
        <v>7.12612509E8</v>
      </c>
      <c r="C3966" s="28" t="s">
        <v>3971</v>
      </c>
      <c r="D3966" s="26" t="s">
        <v>82</v>
      </c>
      <c r="E3966" s="31">
        <v>46233.0</v>
      </c>
      <c r="F3966" s="25"/>
      <c r="G3966" s="25"/>
      <c r="H3966" s="25"/>
      <c r="I3966" s="26" t="s">
        <v>961</v>
      </c>
      <c r="J3966" s="25" t="str">
        <f t="shared" si="46"/>
        <v>No</v>
      </c>
      <c r="K3966" s="25" t="str">
        <f t="shared" si="47"/>
        <v/>
      </c>
      <c r="L3966" s="25" t="str">
        <f t="shared" si="48"/>
        <v/>
      </c>
      <c r="M3966" s="25"/>
      <c r="N3966" s="25"/>
      <c r="O3966" s="25"/>
      <c r="P3966" s="25"/>
    </row>
    <row r="3967" ht="15.75" customHeight="1">
      <c r="A3967" s="25" t="str">
        <f>IFERROR(__xludf.DUMMYFUNCTION("IF(B3967="""","""",RIGHT(REGEXREPLACE(B3967&amp;"""",""[^0-9]"",""""),9))"),"765867110")</f>
        <v>765867110</v>
      </c>
      <c r="B3967" s="52">
        <v>7.6586711E8</v>
      </c>
      <c r="C3967" s="28" t="s">
        <v>3972</v>
      </c>
      <c r="D3967" s="26" t="s">
        <v>64</v>
      </c>
      <c r="E3967" s="31">
        <v>46233.0</v>
      </c>
      <c r="F3967" s="26" t="s">
        <v>205</v>
      </c>
      <c r="G3967" s="26">
        <v>6.0</v>
      </c>
      <c r="I3967" s="26" t="s">
        <v>961</v>
      </c>
      <c r="J3967" s="25" t="str">
        <f t="shared" si="46"/>
        <v>No</v>
      </c>
      <c r="K3967" s="25" t="str">
        <f t="shared" si="47"/>
        <v/>
      </c>
      <c r="L3967" s="25" t="str">
        <f t="shared" si="48"/>
        <v/>
      </c>
      <c r="M3967" s="25"/>
      <c r="O3967" s="25"/>
    </row>
    <row r="3968" ht="15.75" customHeight="1">
      <c r="A3968" s="25" t="str">
        <f>IFERROR(__xludf.DUMMYFUNCTION("IF(B3968="""","""",RIGHT(REGEXREPLACE(B3968&amp;"""",""[^0-9]"",""""),9))"),"766172977")</f>
        <v>766172977</v>
      </c>
      <c r="B3968" s="52">
        <v>7.66172977E8</v>
      </c>
      <c r="C3968" s="28" t="s">
        <v>3973</v>
      </c>
      <c r="D3968" s="26" t="s">
        <v>45</v>
      </c>
      <c r="E3968" s="31">
        <v>46233.0</v>
      </c>
      <c r="F3968" s="26" t="s">
        <v>46</v>
      </c>
      <c r="I3968" s="26" t="s">
        <v>961</v>
      </c>
      <c r="J3968" s="25" t="str">
        <f t="shared" si="46"/>
        <v>No</v>
      </c>
      <c r="K3968" s="25" t="str">
        <f t="shared" si="47"/>
        <v/>
      </c>
      <c r="L3968" s="25" t="str">
        <f t="shared" si="48"/>
        <v/>
      </c>
      <c r="M3968" s="25"/>
      <c r="O3968" s="25"/>
    </row>
    <row r="3969" ht="15.75" customHeight="1">
      <c r="A3969" s="25" t="str">
        <f>IFERROR(__xludf.DUMMYFUNCTION("IF(B3969="""","""",RIGHT(REGEXREPLACE(B3969&amp;"""",""[^0-9]"",""""),9))"),"775850372")</f>
        <v>775850372</v>
      </c>
      <c r="B3969" s="52">
        <v>7.75850372E8</v>
      </c>
      <c r="C3969" s="28" t="s">
        <v>3974</v>
      </c>
      <c r="D3969" s="26" t="s">
        <v>64</v>
      </c>
      <c r="E3969" s="31">
        <v>46233.0</v>
      </c>
      <c r="F3969" s="26" t="s">
        <v>46</v>
      </c>
      <c r="G3969" s="26">
        <v>7.0</v>
      </c>
      <c r="I3969" s="26" t="s">
        <v>961</v>
      </c>
      <c r="J3969" s="25" t="str">
        <f t="shared" si="46"/>
        <v>No</v>
      </c>
      <c r="K3969" s="25" t="str">
        <f t="shared" si="47"/>
        <v/>
      </c>
      <c r="L3969" s="25" t="str">
        <f t="shared" si="48"/>
        <v/>
      </c>
      <c r="M3969" s="25"/>
      <c r="O3969" s="26" t="s">
        <v>51</v>
      </c>
    </row>
    <row r="3970" ht="15.75" customHeight="1">
      <c r="A3970" s="25" t="str">
        <f>IFERROR(__xludf.DUMMYFUNCTION("IF(B3970="""","""",RIGHT(REGEXREPLACE(B3970&amp;"""",""[^0-9]"",""""),9))"),"752603213")</f>
        <v>752603213</v>
      </c>
      <c r="B3970" s="52">
        <v>7.52603213E8</v>
      </c>
      <c r="C3970" s="28" t="s">
        <v>3975</v>
      </c>
      <c r="D3970" s="26" t="s">
        <v>82</v>
      </c>
      <c r="E3970" s="31">
        <v>46233.0</v>
      </c>
      <c r="F3970" s="26" t="s">
        <v>125</v>
      </c>
      <c r="I3970" s="26" t="s">
        <v>961</v>
      </c>
      <c r="J3970" s="25" t="str">
        <f t="shared" si="46"/>
        <v>No</v>
      </c>
      <c r="K3970" s="25" t="str">
        <f t="shared" si="47"/>
        <v/>
      </c>
      <c r="L3970" s="25" t="str">
        <f t="shared" si="48"/>
        <v/>
      </c>
      <c r="M3970" s="25"/>
      <c r="O3970" s="25"/>
    </row>
    <row r="3971" ht="15.75" customHeight="1">
      <c r="A3971" s="25" t="str">
        <f>IFERROR(__xludf.DUMMYFUNCTION("IF(B3971="""","""",RIGHT(REGEXREPLACE(B3971&amp;"""",""[^0-9]"",""""),9))"),"767919105")</f>
        <v>767919105</v>
      </c>
      <c r="B3971" s="52">
        <v>7.67919105E8</v>
      </c>
      <c r="C3971" s="28" t="s">
        <v>2717</v>
      </c>
      <c r="D3971" s="26" t="s">
        <v>64</v>
      </c>
      <c r="E3971" s="31">
        <v>46233.0</v>
      </c>
      <c r="F3971" s="26" t="s">
        <v>41</v>
      </c>
      <c r="I3971" s="26" t="s">
        <v>961</v>
      </c>
      <c r="J3971" s="25" t="str">
        <f t="shared" si="46"/>
        <v>Yes - see Previous F-Code</v>
      </c>
      <c r="K3971" s="25" t="str">
        <f t="shared" si="47"/>
        <v/>
      </c>
      <c r="L3971" s="25" t="str">
        <f t="shared" si="48"/>
        <v>F72400</v>
      </c>
      <c r="M3971" s="25"/>
      <c r="O3971" s="25"/>
    </row>
    <row r="3972" ht="15.75" customHeight="1">
      <c r="A3972" s="25" t="str">
        <f>IFERROR(__xludf.DUMMYFUNCTION("IF(B3972="""","""",RIGHT(REGEXREPLACE(B3972&amp;"""",""[^0-9]"",""""),9))"),"773825333")</f>
        <v>773825333</v>
      </c>
      <c r="B3972" s="52">
        <v>7.73825333E8</v>
      </c>
      <c r="C3972" s="28" t="s">
        <v>3976</v>
      </c>
      <c r="D3972" s="26" t="s">
        <v>82</v>
      </c>
      <c r="E3972" s="31">
        <v>46233.0</v>
      </c>
      <c r="F3972" s="26" t="s">
        <v>41</v>
      </c>
      <c r="I3972" s="26" t="s">
        <v>961</v>
      </c>
      <c r="J3972" s="25" t="str">
        <f t="shared" si="46"/>
        <v>No</v>
      </c>
      <c r="K3972" s="25" t="str">
        <f t="shared" si="47"/>
        <v/>
      </c>
      <c r="L3972" s="25" t="str">
        <f t="shared" si="48"/>
        <v/>
      </c>
      <c r="M3972" s="25"/>
      <c r="O3972" s="25"/>
    </row>
    <row r="3973" ht="15.75" customHeight="1">
      <c r="A3973" s="25" t="str">
        <f>IFERROR(__xludf.DUMMYFUNCTION("IF(B3973="""","""",RIGHT(REGEXREPLACE(B3973&amp;"""",""[^0-9]"",""""),9))"),"768285107")</f>
        <v>768285107</v>
      </c>
      <c r="B3973" s="52">
        <v>7.68285107E8</v>
      </c>
      <c r="C3973" s="28" t="s">
        <v>3977</v>
      </c>
      <c r="D3973" s="26" t="s">
        <v>64</v>
      </c>
      <c r="E3973" s="31">
        <v>46233.0</v>
      </c>
      <c r="F3973" s="26" t="s">
        <v>205</v>
      </c>
      <c r="I3973" s="26" t="s">
        <v>961</v>
      </c>
      <c r="J3973" s="25" t="str">
        <f t="shared" si="46"/>
        <v>No</v>
      </c>
      <c r="K3973" s="25" t="str">
        <f t="shared" si="47"/>
        <v/>
      </c>
      <c r="L3973" s="25" t="str">
        <f t="shared" si="48"/>
        <v/>
      </c>
      <c r="M3973" s="25"/>
      <c r="O3973" s="25"/>
    </row>
    <row r="3974" ht="15.75" customHeight="1">
      <c r="A3974" s="25" t="str">
        <f>IFERROR(__xludf.DUMMYFUNCTION("IF(B3974="""","""",RIGHT(REGEXREPLACE(B3974&amp;"""",""[^0-9]"",""""),9))"),"766966823")</f>
        <v>766966823</v>
      </c>
      <c r="B3974" s="52">
        <v>7.66966823E8</v>
      </c>
      <c r="C3974" s="28" t="s">
        <v>3978</v>
      </c>
      <c r="D3974" s="26" t="s">
        <v>64</v>
      </c>
      <c r="E3974" s="31">
        <v>46233.0</v>
      </c>
      <c r="F3974" s="26" t="s">
        <v>41</v>
      </c>
      <c r="I3974" s="26" t="s">
        <v>961</v>
      </c>
      <c r="J3974" s="25" t="str">
        <f t="shared" si="46"/>
        <v>No</v>
      </c>
      <c r="K3974" s="25" t="str">
        <f t="shared" si="47"/>
        <v/>
      </c>
      <c r="L3974" s="25" t="str">
        <f t="shared" si="48"/>
        <v/>
      </c>
      <c r="M3974" s="25"/>
      <c r="O3974" s="25"/>
    </row>
    <row r="3975" ht="15.75" customHeight="1">
      <c r="A3975" s="25" t="str">
        <f>IFERROR(__xludf.DUMMYFUNCTION("IF(B3975="""","""",RIGHT(REGEXREPLACE(B3975&amp;"""",""[^0-9]"",""""),9))"),"701919150")</f>
        <v>701919150</v>
      </c>
      <c r="B3975" s="52">
        <v>7.0191915E8</v>
      </c>
      <c r="C3975" s="28" t="s">
        <v>3979</v>
      </c>
      <c r="D3975" s="26" t="s">
        <v>64</v>
      </c>
      <c r="E3975" s="31">
        <v>46233.0</v>
      </c>
      <c r="F3975" s="26" t="s">
        <v>205</v>
      </c>
      <c r="G3975" s="26">
        <v>10.0</v>
      </c>
      <c r="I3975" s="26" t="s">
        <v>961</v>
      </c>
      <c r="J3975" s="25" t="str">
        <f t="shared" si="46"/>
        <v>No</v>
      </c>
      <c r="K3975" s="25" t="str">
        <f t="shared" si="47"/>
        <v/>
      </c>
      <c r="L3975" s="25" t="str">
        <f t="shared" si="48"/>
        <v/>
      </c>
      <c r="M3975" s="25"/>
      <c r="O3975" s="25"/>
    </row>
    <row r="3976" ht="15.75" customHeight="1">
      <c r="A3976" s="25" t="str">
        <f>IFERROR(__xludf.DUMMYFUNCTION("IF(B3976="""","""",RIGHT(REGEXREPLACE(B3976&amp;"""",""[^0-9]"",""""),9))"),"768938790")</f>
        <v>768938790</v>
      </c>
      <c r="B3976" s="52">
        <v>7.6893879E8</v>
      </c>
      <c r="C3976" s="28" t="s">
        <v>3980</v>
      </c>
      <c r="D3976" s="26" t="s">
        <v>82</v>
      </c>
      <c r="E3976" s="31">
        <v>46233.0</v>
      </c>
      <c r="F3976" s="26" t="s">
        <v>46</v>
      </c>
      <c r="G3976" s="26">
        <v>9.0</v>
      </c>
      <c r="I3976" s="26" t="s">
        <v>961</v>
      </c>
      <c r="J3976" s="25" t="str">
        <f t="shared" si="46"/>
        <v>No</v>
      </c>
      <c r="K3976" s="25" t="str">
        <f t="shared" si="47"/>
        <v/>
      </c>
      <c r="L3976" s="25" t="str">
        <f t="shared" si="48"/>
        <v/>
      </c>
      <c r="M3976" s="25"/>
      <c r="O3976" s="25"/>
    </row>
    <row r="3977" ht="15.75" customHeight="1">
      <c r="A3977" s="25" t="str">
        <f>IFERROR(__xludf.DUMMYFUNCTION("IF(B3977="""","""",RIGHT(REGEXREPLACE(B3977&amp;"""",""[^0-9]"",""""),9))"),"765399107")</f>
        <v>765399107</v>
      </c>
      <c r="B3977" s="52">
        <v>7.65399107E8</v>
      </c>
      <c r="C3977" s="28" t="s">
        <v>3981</v>
      </c>
      <c r="D3977" s="26" t="s">
        <v>64</v>
      </c>
      <c r="E3977" s="31">
        <v>46233.0</v>
      </c>
      <c r="F3977" s="26" t="s">
        <v>46</v>
      </c>
      <c r="G3977" s="26">
        <v>8.0</v>
      </c>
      <c r="I3977" s="26" t="s">
        <v>961</v>
      </c>
      <c r="J3977" s="25" t="str">
        <f t="shared" si="46"/>
        <v>No</v>
      </c>
      <c r="K3977" s="25" t="str">
        <f t="shared" si="47"/>
        <v/>
      </c>
      <c r="L3977" s="25" t="str">
        <f t="shared" si="48"/>
        <v/>
      </c>
      <c r="M3977" s="25"/>
      <c r="O3977" s="25"/>
    </row>
    <row r="3978" ht="15.75" customHeight="1">
      <c r="A3978" s="25" t="str">
        <f>IFERROR(__xludf.DUMMYFUNCTION("IF(B3978="""","""",RIGHT(REGEXREPLACE(B3978&amp;"""",""[^0-9]"",""""),9))"),"719515743")</f>
        <v>719515743</v>
      </c>
      <c r="B3978" s="52">
        <v>7.19515743E8</v>
      </c>
      <c r="C3978" s="28" t="s">
        <v>3982</v>
      </c>
      <c r="D3978" s="26" t="s">
        <v>64</v>
      </c>
      <c r="E3978" s="31">
        <v>46233.0</v>
      </c>
      <c r="F3978" s="26" t="s">
        <v>125</v>
      </c>
      <c r="G3978" s="26">
        <v>9.0</v>
      </c>
      <c r="I3978" s="26" t="s">
        <v>961</v>
      </c>
      <c r="J3978" s="25" t="str">
        <f t="shared" si="46"/>
        <v>No</v>
      </c>
      <c r="K3978" s="25" t="str">
        <f t="shared" si="47"/>
        <v/>
      </c>
      <c r="L3978" s="25" t="str">
        <f t="shared" si="48"/>
        <v/>
      </c>
      <c r="M3978" s="25"/>
      <c r="O3978" s="25"/>
    </row>
    <row r="3979" ht="15.75" customHeight="1">
      <c r="A3979" s="25" t="str">
        <f>IFERROR(__xludf.DUMMYFUNCTION("IF(B3979="""","""",RIGHT(REGEXREPLACE(B3979&amp;"""",""[^0-9]"",""""),9))"),"778464282")</f>
        <v>778464282</v>
      </c>
      <c r="B3979" s="52">
        <v>7.78464282E8</v>
      </c>
      <c r="C3979" s="28" t="s">
        <v>3983</v>
      </c>
      <c r="D3979" s="26" t="s">
        <v>82</v>
      </c>
      <c r="E3979" s="31">
        <v>46233.0</v>
      </c>
      <c r="F3979" s="26" t="s">
        <v>46</v>
      </c>
      <c r="G3979" s="26">
        <v>9.0</v>
      </c>
      <c r="I3979" s="26" t="s">
        <v>961</v>
      </c>
      <c r="J3979" s="25" t="str">
        <f t="shared" si="46"/>
        <v>No</v>
      </c>
      <c r="K3979" s="25" t="str">
        <f t="shared" si="47"/>
        <v/>
      </c>
      <c r="L3979" s="25" t="str">
        <f t="shared" si="48"/>
        <v/>
      </c>
      <c r="M3979" s="25"/>
      <c r="O3979" s="25"/>
    </row>
    <row r="3980" ht="15.75" customHeight="1">
      <c r="A3980" s="25" t="str">
        <f>IFERROR(__xludf.DUMMYFUNCTION("IF(B3980="""","""",RIGHT(REGEXREPLACE(B3980&amp;"""",""[^0-9]"",""""),9))"),"740126902")</f>
        <v>740126902</v>
      </c>
      <c r="B3980" s="52">
        <v>7.40126902E8</v>
      </c>
      <c r="C3980" s="28" t="s">
        <v>3984</v>
      </c>
      <c r="D3980" s="26" t="s">
        <v>82</v>
      </c>
      <c r="E3980" s="31">
        <v>46233.0</v>
      </c>
      <c r="F3980" s="25"/>
      <c r="G3980" s="25"/>
      <c r="H3980" s="25"/>
      <c r="I3980" s="26" t="s">
        <v>961</v>
      </c>
      <c r="J3980" s="25" t="str">
        <f t="shared" si="46"/>
        <v>No</v>
      </c>
      <c r="K3980" s="25" t="str">
        <f t="shared" si="47"/>
        <v/>
      </c>
      <c r="L3980" s="25" t="str">
        <f t="shared" si="48"/>
        <v/>
      </c>
      <c r="M3980" s="25"/>
      <c r="N3980" s="25"/>
      <c r="O3980" s="25"/>
      <c r="P3980" s="25"/>
    </row>
    <row r="3981" ht="15.75" customHeight="1">
      <c r="A3981" s="25" t="str">
        <f>IFERROR(__xludf.DUMMYFUNCTION("IF(B3981="""","""",RIGHT(REGEXREPLACE(B3981&amp;"""",""[^0-9]"",""""),9))"),"711223523")</f>
        <v>711223523</v>
      </c>
      <c r="B3981" s="52">
        <v>7.11223523E8</v>
      </c>
      <c r="C3981" s="28" t="s">
        <v>3985</v>
      </c>
      <c r="D3981" s="26" t="s">
        <v>64</v>
      </c>
      <c r="E3981" s="31">
        <v>46233.0</v>
      </c>
      <c r="F3981" s="26" t="s">
        <v>46</v>
      </c>
      <c r="G3981" s="26">
        <v>7.0</v>
      </c>
      <c r="I3981" s="26" t="s">
        <v>961</v>
      </c>
      <c r="J3981" s="25" t="str">
        <f t="shared" si="46"/>
        <v>No</v>
      </c>
      <c r="K3981" s="25" t="str">
        <f t="shared" si="47"/>
        <v/>
      </c>
      <c r="L3981" s="25" t="str">
        <f t="shared" si="48"/>
        <v/>
      </c>
      <c r="M3981" s="25"/>
      <c r="O3981" s="25"/>
    </row>
    <row r="3982" ht="15.75" customHeight="1">
      <c r="A3982" s="25" t="str">
        <f>IFERROR(__xludf.DUMMYFUNCTION("IF(B3982="""","""",RIGHT(REGEXREPLACE(B3982&amp;"""",""[^0-9]"",""""),9))"),"771096674")</f>
        <v>771096674</v>
      </c>
      <c r="B3982" s="52">
        <v>7.71096674E8</v>
      </c>
      <c r="C3982" s="28" t="s">
        <v>3986</v>
      </c>
      <c r="D3982" s="26" t="s">
        <v>82</v>
      </c>
      <c r="E3982" s="31">
        <v>46233.0</v>
      </c>
      <c r="F3982" s="26" t="s">
        <v>125</v>
      </c>
      <c r="G3982" s="26">
        <v>9.0</v>
      </c>
      <c r="I3982" s="26" t="s">
        <v>961</v>
      </c>
      <c r="J3982" s="25" t="str">
        <f t="shared" si="46"/>
        <v>No</v>
      </c>
      <c r="K3982" s="25" t="str">
        <f t="shared" si="47"/>
        <v/>
      </c>
      <c r="L3982" s="25" t="str">
        <f t="shared" si="48"/>
        <v/>
      </c>
      <c r="M3982" s="25"/>
      <c r="O3982" s="25"/>
    </row>
    <row r="3983" ht="15.75" customHeight="1">
      <c r="A3983" s="25" t="str">
        <f>IFERROR(__xludf.DUMMYFUNCTION("IF(B3983="""","""",RIGHT(REGEXREPLACE(B3983&amp;"""",""[^0-9]"",""""),9))"),"728725117")</f>
        <v>728725117</v>
      </c>
      <c r="B3983" s="52">
        <v>7.28725117E8</v>
      </c>
      <c r="C3983" s="28" t="s">
        <v>3987</v>
      </c>
      <c r="D3983" s="26" t="s">
        <v>82</v>
      </c>
      <c r="E3983" s="31">
        <v>46233.0</v>
      </c>
      <c r="F3983" s="26" t="s">
        <v>46</v>
      </c>
      <c r="G3983" s="26">
        <v>9.0</v>
      </c>
      <c r="I3983" s="26" t="s">
        <v>961</v>
      </c>
      <c r="J3983" s="25" t="str">
        <f t="shared" si="46"/>
        <v>No</v>
      </c>
      <c r="K3983" s="25" t="str">
        <f t="shared" si="47"/>
        <v/>
      </c>
      <c r="L3983" s="25" t="str">
        <f t="shared" si="48"/>
        <v/>
      </c>
      <c r="M3983" s="25"/>
      <c r="O3983" s="26" t="s">
        <v>51</v>
      </c>
    </row>
    <row r="3984" ht="15.75" customHeight="1">
      <c r="A3984" s="25" t="str">
        <f>IFERROR(__xludf.DUMMYFUNCTION("IF(B3984="""","""",RIGHT(REGEXREPLACE(B3984&amp;"""",""[^0-9]"",""""),9))"),"778086402")</f>
        <v>778086402</v>
      </c>
      <c r="B3984" s="52">
        <v>7.78086402E8</v>
      </c>
      <c r="C3984" s="28" t="s">
        <v>3988</v>
      </c>
      <c r="D3984" s="26" t="s">
        <v>64</v>
      </c>
      <c r="E3984" s="31">
        <v>46233.0</v>
      </c>
      <c r="F3984" s="26" t="s">
        <v>46</v>
      </c>
      <c r="G3984" s="26">
        <v>10.0</v>
      </c>
      <c r="I3984" s="26" t="s">
        <v>961</v>
      </c>
      <c r="J3984" s="25" t="str">
        <f t="shared" si="46"/>
        <v>No</v>
      </c>
      <c r="K3984" s="25" t="str">
        <f t="shared" si="47"/>
        <v/>
      </c>
      <c r="L3984" s="25" t="str">
        <f t="shared" si="48"/>
        <v/>
      </c>
      <c r="M3984" s="25"/>
      <c r="O3984" s="25"/>
    </row>
    <row r="3985" ht="15.75" customHeight="1">
      <c r="A3985" s="25" t="str">
        <f>IFERROR(__xludf.DUMMYFUNCTION("IF(B3985="""","""",RIGHT(REGEXREPLACE(B3985&amp;"""",""[^0-9]"",""""),9))"),"741018281")</f>
        <v>741018281</v>
      </c>
      <c r="B3985" s="52">
        <v>7.41018281E8</v>
      </c>
      <c r="C3985" s="28" t="s">
        <v>3989</v>
      </c>
      <c r="D3985" s="26" t="s">
        <v>82</v>
      </c>
      <c r="E3985" s="31">
        <v>46233.0</v>
      </c>
      <c r="F3985" s="26" t="s">
        <v>659</v>
      </c>
      <c r="G3985" s="26">
        <v>6.0</v>
      </c>
      <c r="I3985" s="26" t="s">
        <v>961</v>
      </c>
      <c r="J3985" s="25" t="str">
        <f t="shared" si="46"/>
        <v>No</v>
      </c>
      <c r="K3985" s="25" t="str">
        <f t="shared" si="47"/>
        <v/>
      </c>
      <c r="L3985" s="25" t="str">
        <f t="shared" si="48"/>
        <v/>
      </c>
      <c r="M3985" s="25"/>
      <c r="O3985" s="25"/>
    </row>
    <row r="3986" ht="15.75" customHeight="1">
      <c r="A3986" s="25" t="str">
        <f>IFERROR(__xludf.DUMMYFUNCTION("IF(B3986="""","""",RIGHT(REGEXREPLACE(B3986&amp;"""",""[^0-9]"",""""),9))"),"767854823")</f>
        <v>767854823</v>
      </c>
      <c r="B3986" s="52">
        <v>7.67854823E8</v>
      </c>
      <c r="C3986" s="28" t="s">
        <v>3990</v>
      </c>
      <c r="D3986" s="26" t="s">
        <v>64</v>
      </c>
      <c r="E3986" s="31">
        <v>46233.0</v>
      </c>
      <c r="F3986" s="26" t="s">
        <v>46</v>
      </c>
      <c r="G3986" s="26">
        <v>7.0</v>
      </c>
      <c r="I3986" s="26" t="s">
        <v>961</v>
      </c>
      <c r="J3986" s="25" t="str">
        <f t="shared" si="46"/>
        <v>No</v>
      </c>
      <c r="K3986" s="25" t="str">
        <f t="shared" si="47"/>
        <v/>
      </c>
      <c r="L3986" s="25" t="str">
        <f t="shared" si="48"/>
        <v/>
      </c>
      <c r="M3986" s="25"/>
      <c r="O3986" s="26" t="s">
        <v>51</v>
      </c>
    </row>
    <row r="3987" ht="15.75" customHeight="1">
      <c r="A3987" s="25" t="str">
        <f>IFERROR(__xludf.DUMMYFUNCTION("IF(B3987="""","""",RIGHT(REGEXREPLACE(B3987&amp;"""",""[^0-9]"",""""),9))"),"774391388")</f>
        <v>774391388</v>
      </c>
      <c r="B3987" s="52">
        <v>7.74391388E8</v>
      </c>
      <c r="C3987" s="28" t="s">
        <v>3991</v>
      </c>
      <c r="D3987" s="26" t="s">
        <v>82</v>
      </c>
      <c r="E3987" s="31">
        <v>46233.0</v>
      </c>
      <c r="F3987" s="26" t="s">
        <v>46</v>
      </c>
      <c r="G3987" s="96">
        <v>46212.0</v>
      </c>
      <c r="I3987" s="26" t="s">
        <v>961</v>
      </c>
      <c r="J3987" s="25" t="str">
        <f t="shared" si="46"/>
        <v>No</v>
      </c>
      <c r="K3987" s="25" t="str">
        <f t="shared" si="47"/>
        <v/>
      </c>
      <c r="L3987" s="25" t="str">
        <f t="shared" si="48"/>
        <v/>
      </c>
      <c r="M3987" s="25"/>
      <c r="O3987" s="25"/>
    </row>
    <row r="3988" ht="15.75" customHeight="1">
      <c r="A3988" s="25" t="str">
        <f>IFERROR(__xludf.DUMMYFUNCTION("IF(B3988="""","""",RIGHT(REGEXREPLACE(B3988&amp;"""",""[^0-9]"",""""),9))"),"779017088")</f>
        <v>779017088</v>
      </c>
      <c r="B3988" s="52">
        <v>7.79017088E8</v>
      </c>
      <c r="C3988" s="28" t="s">
        <v>553</v>
      </c>
      <c r="D3988" s="26" t="s">
        <v>64</v>
      </c>
      <c r="E3988" s="31">
        <v>46233.0</v>
      </c>
      <c r="F3988" s="26" t="s">
        <v>46</v>
      </c>
      <c r="G3988" s="26">
        <v>11.0</v>
      </c>
      <c r="I3988" s="26" t="s">
        <v>961</v>
      </c>
      <c r="J3988" s="25" t="str">
        <f t="shared" si="46"/>
        <v>Yes - see Previous F-Code</v>
      </c>
      <c r="K3988" s="25" t="str">
        <f t="shared" si="47"/>
        <v/>
      </c>
      <c r="L3988" s="25" t="str">
        <f t="shared" si="48"/>
        <v>F70371</v>
      </c>
      <c r="M3988" s="25"/>
      <c r="O3988" s="25"/>
    </row>
    <row r="3989" ht="15.75" customHeight="1">
      <c r="A3989" s="25" t="str">
        <f>IFERROR(__xludf.DUMMYFUNCTION("IF(B3989="""","""",RIGHT(REGEXREPLACE(B3989&amp;"""",""[^0-9]"",""""),9))"),"743675280")</f>
        <v>743675280</v>
      </c>
      <c r="B3989" s="52">
        <v>7.4367528E8</v>
      </c>
      <c r="C3989" s="28" t="s">
        <v>3992</v>
      </c>
      <c r="D3989" s="26" t="s">
        <v>82</v>
      </c>
      <c r="E3989" s="31">
        <v>46233.0</v>
      </c>
      <c r="F3989" s="26" t="s">
        <v>46</v>
      </c>
      <c r="G3989" s="26">
        <v>11.0</v>
      </c>
      <c r="I3989" s="26" t="s">
        <v>961</v>
      </c>
      <c r="J3989" s="25" t="str">
        <f t="shared" si="46"/>
        <v>No</v>
      </c>
      <c r="K3989" s="25" t="str">
        <f t="shared" si="47"/>
        <v/>
      </c>
      <c r="L3989" s="25" t="str">
        <f t="shared" si="48"/>
        <v/>
      </c>
      <c r="M3989" s="25"/>
      <c r="O3989" s="25"/>
    </row>
    <row r="3990" ht="15.75" customHeight="1">
      <c r="A3990" s="25" t="str">
        <f>IFERROR(__xludf.DUMMYFUNCTION("IF(B3990="""","""",RIGHT(REGEXREPLACE(B3990&amp;"""",""[^0-9]"",""""),9))"),"702046386")</f>
        <v>702046386</v>
      </c>
      <c r="B3990" s="52">
        <v>7.02046386E8</v>
      </c>
      <c r="C3990" s="28" t="s">
        <v>3993</v>
      </c>
      <c r="D3990" s="26" t="s">
        <v>64</v>
      </c>
      <c r="E3990" s="31">
        <v>46233.0</v>
      </c>
      <c r="F3990" s="26" t="s">
        <v>205</v>
      </c>
      <c r="I3990" s="26" t="s">
        <v>961</v>
      </c>
      <c r="J3990" s="25" t="str">
        <f t="shared" si="46"/>
        <v>No</v>
      </c>
      <c r="K3990" s="25" t="str">
        <f t="shared" si="47"/>
        <v/>
      </c>
      <c r="L3990" s="25" t="str">
        <f t="shared" si="48"/>
        <v/>
      </c>
      <c r="M3990" s="25"/>
      <c r="O3990" s="25"/>
    </row>
    <row r="3991" ht="15.75" customHeight="1">
      <c r="A3991" s="25" t="str">
        <f>IFERROR(__xludf.DUMMYFUNCTION("IF(B3991="""","""",RIGHT(REGEXREPLACE(B3991&amp;"""",""[^0-9]"",""""),9))"),"779623350")</f>
        <v>779623350</v>
      </c>
      <c r="B3991" s="52">
        <v>7.7962335E8</v>
      </c>
      <c r="C3991" s="28" t="s">
        <v>3994</v>
      </c>
      <c r="D3991" s="26" t="s">
        <v>82</v>
      </c>
      <c r="E3991" s="31">
        <v>46233.0</v>
      </c>
      <c r="F3991" s="25"/>
      <c r="G3991" s="25"/>
      <c r="H3991" s="25"/>
      <c r="I3991" s="26" t="s">
        <v>961</v>
      </c>
      <c r="J3991" s="25" t="str">
        <f t="shared" si="46"/>
        <v>No</v>
      </c>
      <c r="K3991" s="25" t="str">
        <f t="shared" si="47"/>
        <v/>
      </c>
      <c r="L3991" s="25" t="str">
        <f t="shared" si="48"/>
        <v/>
      </c>
      <c r="M3991" s="25"/>
      <c r="N3991" s="25"/>
      <c r="O3991" s="26" t="s">
        <v>51</v>
      </c>
      <c r="P3991" s="25"/>
    </row>
    <row r="3992" ht="15.75" customHeight="1">
      <c r="A3992" s="25" t="str">
        <f>IFERROR(__xludf.DUMMYFUNCTION("IF(B3992="""","""",RIGHT(REGEXREPLACE(B3992&amp;"""",""[^0-9]"",""""),9))"),"772486587")</f>
        <v>772486587</v>
      </c>
      <c r="B3992" s="52">
        <v>7.72486587E8</v>
      </c>
      <c r="C3992" s="28" t="s">
        <v>3993</v>
      </c>
      <c r="D3992" s="26" t="s">
        <v>64</v>
      </c>
      <c r="E3992" s="31">
        <v>46233.0</v>
      </c>
      <c r="F3992" s="26" t="s">
        <v>46</v>
      </c>
      <c r="G3992" s="26">
        <v>8.0</v>
      </c>
      <c r="I3992" s="26" t="s">
        <v>961</v>
      </c>
      <c r="J3992" s="25" t="str">
        <f t="shared" si="46"/>
        <v>No</v>
      </c>
      <c r="K3992" s="25" t="str">
        <f t="shared" si="47"/>
        <v/>
      </c>
      <c r="L3992" s="25" t="str">
        <f t="shared" si="48"/>
        <v/>
      </c>
      <c r="M3992" s="25"/>
      <c r="O3992" s="25"/>
    </row>
    <row r="3993" ht="15.75" customHeight="1">
      <c r="A3993" s="25" t="str">
        <f>IFERROR(__xludf.DUMMYFUNCTION("IF(B3993="""","""",RIGHT(REGEXREPLACE(B3993&amp;"""",""[^0-9]"",""""),9))"),"743786380")</f>
        <v>743786380</v>
      </c>
      <c r="B3993" s="52">
        <v>7.4378638E8</v>
      </c>
      <c r="C3993" s="28" t="s">
        <v>3995</v>
      </c>
      <c r="D3993" s="26" t="s">
        <v>82</v>
      </c>
      <c r="E3993" s="31">
        <v>46233.0</v>
      </c>
      <c r="F3993" s="26" t="s">
        <v>125</v>
      </c>
      <c r="G3993" s="26">
        <v>10.0</v>
      </c>
      <c r="I3993" s="26" t="s">
        <v>961</v>
      </c>
      <c r="J3993" s="25" t="str">
        <f t="shared" si="46"/>
        <v>No</v>
      </c>
      <c r="K3993" s="25" t="str">
        <f t="shared" si="47"/>
        <v/>
      </c>
      <c r="L3993" s="25" t="str">
        <f t="shared" si="48"/>
        <v/>
      </c>
      <c r="M3993" s="25"/>
      <c r="O3993" s="25"/>
    </row>
    <row r="3994" ht="15.75" customHeight="1">
      <c r="A3994" s="25" t="str">
        <f>IFERROR(__xludf.DUMMYFUNCTION("IF(B3994="""","""",RIGHT(REGEXREPLACE(B3994&amp;"""",""[^0-9]"",""""),9))"),"771507845")</f>
        <v>771507845</v>
      </c>
      <c r="B3994" s="52">
        <v>4.771507845E9</v>
      </c>
      <c r="C3994" s="28" t="s">
        <v>3996</v>
      </c>
      <c r="D3994" s="26" t="s">
        <v>64</v>
      </c>
      <c r="E3994" s="31">
        <v>46233.0</v>
      </c>
      <c r="F3994" s="26" t="s">
        <v>46</v>
      </c>
      <c r="G3994" s="26">
        <v>7.0</v>
      </c>
      <c r="I3994" s="26" t="s">
        <v>961</v>
      </c>
      <c r="J3994" s="25" t="str">
        <f t="shared" si="46"/>
        <v>No</v>
      </c>
      <c r="K3994" s="25" t="str">
        <f t="shared" si="47"/>
        <v/>
      </c>
      <c r="L3994" s="25" t="str">
        <f t="shared" si="48"/>
        <v/>
      </c>
      <c r="M3994" s="25"/>
      <c r="O3994" s="25"/>
    </row>
    <row r="3995" ht="15.75" customHeight="1">
      <c r="A3995" s="25" t="str">
        <f>IFERROR(__xludf.DUMMYFUNCTION("IF(B3995="""","""",RIGHT(REGEXREPLACE(B3995&amp;"""",""[^0-9]"",""""),9))"),"784683126")</f>
        <v>784683126</v>
      </c>
      <c r="B3995" s="52">
        <v>7.84683126E8</v>
      </c>
      <c r="C3995" s="28" t="s">
        <v>3997</v>
      </c>
      <c r="D3995" s="26" t="s">
        <v>82</v>
      </c>
      <c r="E3995" s="31">
        <v>46233.0</v>
      </c>
      <c r="F3995" s="26" t="s">
        <v>205</v>
      </c>
      <c r="G3995" s="26">
        <v>7.0</v>
      </c>
      <c r="I3995" s="26" t="s">
        <v>961</v>
      </c>
      <c r="J3995" s="25" t="str">
        <f t="shared" si="46"/>
        <v>No</v>
      </c>
      <c r="K3995" s="25" t="str">
        <f t="shared" si="47"/>
        <v/>
      </c>
      <c r="L3995" s="25" t="str">
        <f t="shared" si="48"/>
        <v/>
      </c>
      <c r="M3995" s="25"/>
      <c r="O3995" s="25"/>
    </row>
    <row r="3996" ht="15.75" customHeight="1">
      <c r="A3996" s="25" t="str">
        <f>IFERROR(__xludf.DUMMYFUNCTION("IF(B3996="""","""",RIGHT(REGEXREPLACE(B3996&amp;"""",""[^0-9]"",""""),9))"),"773308150")</f>
        <v>773308150</v>
      </c>
      <c r="B3996" s="52">
        <v>7.7330815E8</v>
      </c>
      <c r="C3996" s="28" t="s">
        <v>3998</v>
      </c>
      <c r="D3996" s="26" t="s">
        <v>64</v>
      </c>
      <c r="E3996" s="31">
        <v>46233.0</v>
      </c>
      <c r="F3996" s="26" t="s">
        <v>84</v>
      </c>
      <c r="I3996" s="26" t="s">
        <v>961</v>
      </c>
      <c r="J3996" s="25" t="str">
        <f t="shared" si="46"/>
        <v>No</v>
      </c>
      <c r="K3996" s="25" t="str">
        <f t="shared" si="47"/>
        <v/>
      </c>
      <c r="L3996" s="25" t="str">
        <f t="shared" si="48"/>
        <v/>
      </c>
      <c r="M3996" s="25"/>
      <c r="O3996" s="25"/>
    </row>
    <row r="3997" ht="15.75" customHeight="1">
      <c r="A3997" s="25" t="str">
        <f>IFERROR(__xludf.DUMMYFUNCTION("IF(B3997="""","""",RIGHT(REGEXREPLACE(B3997&amp;"""",""[^0-9]"",""""),9))"),"705626447")</f>
        <v>705626447</v>
      </c>
      <c r="B3997" s="52">
        <v>7.05626447E8</v>
      </c>
      <c r="C3997" s="28" t="s">
        <v>3999</v>
      </c>
      <c r="D3997" s="26" t="s">
        <v>82</v>
      </c>
      <c r="E3997" s="31">
        <v>46233.0</v>
      </c>
      <c r="F3997" s="25"/>
      <c r="G3997" s="25"/>
      <c r="H3997" s="25"/>
      <c r="I3997" s="26" t="s">
        <v>961</v>
      </c>
      <c r="J3997" s="25" t="str">
        <f t="shared" si="46"/>
        <v>No</v>
      </c>
      <c r="K3997" s="25" t="str">
        <f t="shared" si="47"/>
        <v/>
      </c>
      <c r="L3997" s="25" t="str">
        <f t="shared" si="48"/>
        <v/>
      </c>
      <c r="M3997" s="25"/>
      <c r="N3997" s="25"/>
      <c r="O3997" s="25"/>
      <c r="P3997" s="25"/>
    </row>
    <row r="3998" ht="15.75" customHeight="1">
      <c r="A3998" s="25" t="str">
        <f>IFERROR(__xludf.DUMMYFUNCTION("IF(B3998="""","""",RIGHT(REGEXREPLACE(B3998&amp;"""",""[^0-9]"",""""),9))"),"763955336")</f>
        <v>763955336</v>
      </c>
      <c r="B3998" s="52">
        <v>7.63955336E8</v>
      </c>
      <c r="C3998" s="28" t="s">
        <v>4000</v>
      </c>
      <c r="D3998" s="26" t="s">
        <v>64</v>
      </c>
      <c r="E3998" s="31">
        <v>46233.0</v>
      </c>
      <c r="F3998" s="26" t="s">
        <v>46</v>
      </c>
      <c r="G3998" s="26">
        <v>7.0</v>
      </c>
      <c r="I3998" s="26" t="s">
        <v>961</v>
      </c>
      <c r="J3998" s="25" t="str">
        <f t="shared" si="46"/>
        <v>No</v>
      </c>
      <c r="K3998" s="25" t="str">
        <f t="shared" si="47"/>
        <v/>
      </c>
      <c r="L3998" s="25" t="str">
        <f t="shared" si="48"/>
        <v/>
      </c>
      <c r="M3998" s="25"/>
      <c r="O3998" s="25"/>
    </row>
    <row r="3999" ht="15.75" customHeight="1">
      <c r="A3999" s="25" t="str">
        <f>IFERROR(__xludf.DUMMYFUNCTION("IF(B3999="""","""",RIGHT(REGEXREPLACE(B3999&amp;"""",""[^0-9]"",""""),9))"),"751572825")</f>
        <v>751572825</v>
      </c>
      <c r="B3999" s="52">
        <v>7.51572825E8</v>
      </c>
      <c r="C3999" s="28" t="s">
        <v>4001</v>
      </c>
      <c r="D3999" s="26" t="s">
        <v>82</v>
      </c>
      <c r="E3999" s="31">
        <v>46233.0</v>
      </c>
      <c r="F3999" s="26" t="s">
        <v>205</v>
      </c>
      <c r="I3999" s="26" t="s">
        <v>961</v>
      </c>
      <c r="J3999" s="25" t="str">
        <f t="shared" si="46"/>
        <v>No</v>
      </c>
      <c r="K3999" s="25" t="str">
        <f t="shared" si="47"/>
        <v/>
      </c>
      <c r="L3999" s="25" t="str">
        <f t="shared" si="48"/>
        <v/>
      </c>
      <c r="M3999" s="25"/>
      <c r="O3999" s="25"/>
    </row>
    <row r="4000" ht="15.75" customHeight="1">
      <c r="A4000" s="25" t="str">
        <f>IFERROR(__xludf.DUMMYFUNCTION("IF(B4000="""","""",RIGHT(REGEXREPLACE(B4000&amp;"""",""[^0-9]"",""""),9))"),"766595863")</f>
        <v>766595863</v>
      </c>
      <c r="B4000" s="52">
        <v>7.66595863E8</v>
      </c>
      <c r="C4000" s="28" t="s">
        <v>4002</v>
      </c>
      <c r="D4000" s="26" t="s">
        <v>64</v>
      </c>
      <c r="E4000" s="31">
        <v>46233.0</v>
      </c>
      <c r="F4000" s="26" t="s">
        <v>46</v>
      </c>
      <c r="G4000" s="26">
        <v>11.0</v>
      </c>
      <c r="I4000" s="26" t="s">
        <v>961</v>
      </c>
      <c r="J4000" s="25" t="str">
        <f t="shared" si="46"/>
        <v>No</v>
      </c>
      <c r="K4000" s="25" t="str">
        <f t="shared" si="47"/>
        <v/>
      </c>
      <c r="L4000" s="25" t="str">
        <f t="shared" si="48"/>
        <v/>
      </c>
      <c r="M4000" s="25"/>
      <c r="O4000" s="25"/>
    </row>
    <row r="4001" ht="15.75" customHeight="1">
      <c r="A4001" s="25" t="str">
        <f>IFERROR(__xludf.DUMMYFUNCTION("IF(B4001="""","""",RIGHT(REGEXREPLACE(B4001&amp;"""",""[^0-9]"",""""),9))"),"785563051")</f>
        <v>785563051</v>
      </c>
      <c r="B4001" s="52">
        <v>7.85563051E8</v>
      </c>
      <c r="C4001" s="28" t="s">
        <v>4003</v>
      </c>
      <c r="D4001" s="26" t="s">
        <v>82</v>
      </c>
      <c r="E4001" s="31">
        <v>46233.0</v>
      </c>
      <c r="F4001" s="26" t="s">
        <v>46</v>
      </c>
      <c r="G4001" s="26">
        <v>11.0</v>
      </c>
      <c r="I4001" s="26" t="s">
        <v>961</v>
      </c>
      <c r="J4001" s="25" t="str">
        <f t="shared" si="46"/>
        <v>No</v>
      </c>
      <c r="K4001" s="25" t="str">
        <f t="shared" si="47"/>
        <v/>
      </c>
      <c r="L4001" s="25" t="str">
        <f t="shared" si="48"/>
        <v/>
      </c>
      <c r="M4001" s="25"/>
      <c r="O4001" s="25"/>
    </row>
    <row r="4002" ht="15.75" customHeight="1">
      <c r="A4002" s="25" t="str">
        <f>IFERROR(__xludf.DUMMYFUNCTION("IF(B4002="""","""",RIGHT(REGEXREPLACE(B4002&amp;"""",""[^0-9]"",""""),9))"),"718064506")</f>
        <v>718064506</v>
      </c>
      <c r="B4002" s="52">
        <v>7.18064506E8</v>
      </c>
      <c r="C4002" s="28" t="s">
        <v>4004</v>
      </c>
      <c r="D4002" s="26" t="s">
        <v>64</v>
      </c>
      <c r="E4002" s="31">
        <v>46233.0</v>
      </c>
      <c r="F4002" s="26" t="s">
        <v>167</v>
      </c>
      <c r="G4002" s="26">
        <v>10.0</v>
      </c>
      <c r="I4002" s="26" t="s">
        <v>961</v>
      </c>
      <c r="J4002" s="25" t="str">
        <f t="shared" si="46"/>
        <v>No</v>
      </c>
      <c r="K4002" s="25" t="str">
        <f t="shared" si="47"/>
        <v/>
      </c>
      <c r="L4002" s="25" t="str">
        <f t="shared" si="48"/>
        <v/>
      </c>
      <c r="M4002" s="25"/>
      <c r="O4002" s="25"/>
    </row>
    <row r="4003" ht="15.75" customHeight="1">
      <c r="A4003" s="25" t="str">
        <f>IFERROR(__xludf.DUMMYFUNCTION("IF(B4003="""","""",RIGHT(REGEXREPLACE(B4003&amp;"""",""[^0-9]"",""""),9))"),"774367162")</f>
        <v>774367162</v>
      </c>
      <c r="B4003" s="52">
        <v>7.74367162E8</v>
      </c>
      <c r="C4003" s="28" t="s">
        <v>1028</v>
      </c>
      <c r="D4003" s="26" t="s">
        <v>64</v>
      </c>
      <c r="E4003" s="31">
        <v>46233.0</v>
      </c>
      <c r="F4003" s="26" t="s">
        <v>41</v>
      </c>
      <c r="I4003" s="26" t="s">
        <v>961</v>
      </c>
      <c r="J4003" s="25" t="str">
        <f t="shared" si="46"/>
        <v>Yes - see Previous F-Code</v>
      </c>
      <c r="K4003" s="25" t="str">
        <f t="shared" si="47"/>
        <v/>
      </c>
      <c r="L4003" s="25" t="str">
        <f t="shared" si="48"/>
        <v>F70775</v>
      </c>
      <c r="M4003" s="25"/>
      <c r="O4003" s="25"/>
    </row>
    <row r="4004" ht="15.75" customHeight="1">
      <c r="A4004" s="25" t="str">
        <f>IFERROR(__xludf.DUMMYFUNCTION("IF(B4004="""","""",RIGHT(REGEXREPLACE(B4004&amp;"""",""[^0-9]"",""""),9))"),"712075669")</f>
        <v>712075669</v>
      </c>
      <c r="B4004" s="52">
        <v>7.12075669E8</v>
      </c>
      <c r="C4004" s="28" t="s">
        <v>687</v>
      </c>
      <c r="D4004" s="26" t="s">
        <v>64</v>
      </c>
      <c r="E4004" s="31">
        <v>46233.0</v>
      </c>
      <c r="F4004" s="26" t="s">
        <v>41</v>
      </c>
      <c r="G4004" s="26">
        <v>11.0</v>
      </c>
      <c r="I4004" s="26" t="s">
        <v>961</v>
      </c>
      <c r="J4004" s="25" t="str">
        <f t="shared" si="46"/>
        <v>Yes - see Previous F-Code</v>
      </c>
      <c r="K4004" s="25" t="str">
        <f t="shared" si="47"/>
        <v/>
      </c>
      <c r="L4004" s="25" t="str">
        <f t="shared" si="48"/>
        <v>F70478</v>
      </c>
      <c r="M4004" s="25"/>
      <c r="O4004" s="25"/>
    </row>
    <row r="4005" ht="15.75" customHeight="1">
      <c r="A4005" s="25" t="str">
        <f>IFERROR(__xludf.DUMMYFUNCTION("IF(B4005="""","""",RIGHT(REGEXREPLACE(B4005&amp;"""",""[^0-9]"",""""),9))"),"701785258")</f>
        <v>701785258</v>
      </c>
      <c r="B4005" s="52">
        <v>7.01785258E8</v>
      </c>
      <c r="C4005" s="28" t="s">
        <v>4005</v>
      </c>
      <c r="D4005" s="26" t="s">
        <v>64</v>
      </c>
      <c r="E4005" s="31">
        <v>46233.0</v>
      </c>
      <c r="F4005" s="26" t="s">
        <v>41</v>
      </c>
      <c r="G4005" s="26">
        <v>8.0</v>
      </c>
      <c r="I4005" s="26" t="s">
        <v>961</v>
      </c>
      <c r="J4005" s="25" t="str">
        <f t="shared" si="46"/>
        <v>No</v>
      </c>
      <c r="K4005" s="25" t="str">
        <f t="shared" si="47"/>
        <v/>
      </c>
      <c r="L4005" s="25" t="str">
        <f t="shared" si="48"/>
        <v/>
      </c>
      <c r="M4005" s="25"/>
      <c r="O4005" s="25"/>
    </row>
    <row r="4006" ht="15.75" customHeight="1">
      <c r="A4006" s="25" t="str">
        <f>IFERROR(__xludf.DUMMYFUNCTION("IF(B4006="""","""",RIGHT(REGEXREPLACE(B4006&amp;"""",""[^0-9]"",""""),9))"),"701332278")</f>
        <v>701332278</v>
      </c>
      <c r="B4006" s="52">
        <v>7.01332278E8</v>
      </c>
      <c r="C4006" s="28" t="s">
        <v>4006</v>
      </c>
      <c r="D4006" s="26" t="s">
        <v>82</v>
      </c>
      <c r="E4006" s="31">
        <v>46233.0</v>
      </c>
      <c r="F4006" s="26" t="s">
        <v>205</v>
      </c>
      <c r="G4006" s="26">
        <v>8.0</v>
      </c>
      <c r="I4006" s="26" t="s">
        <v>961</v>
      </c>
      <c r="J4006" s="25" t="str">
        <f t="shared" si="46"/>
        <v>No</v>
      </c>
      <c r="K4006" s="25" t="str">
        <f t="shared" si="47"/>
        <v/>
      </c>
      <c r="L4006" s="25" t="str">
        <f t="shared" si="48"/>
        <v/>
      </c>
      <c r="M4006" s="25"/>
      <c r="O4006" s="25"/>
    </row>
    <row r="4007" ht="15.75" customHeight="1">
      <c r="A4007" s="25" t="str">
        <f>IFERROR(__xludf.DUMMYFUNCTION("IF(B4007="""","""",RIGHT(REGEXREPLACE(B4007&amp;"""",""[^0-9]"",""""),9))"),"715351239")</f>
        <v>715351239</v>
      </c>
      <c r="B4007" s="52">
        <v>7.15351239E8</v>
      </c>
      <c r="C4007" s="28" t="s">
        <v>4007</v>
      </c>
      <c r="D4007" s="26" t="s">
        <v>64</v>
      </c>
      <c r="E4007" s="31">
        <v>46233.0</v>
      </c>
      <c r="F4007" s="26" t="s">
        <v>41</v>
      </c>
      <c r="I4007" s="26" t="s">
        <v>961</v>
      </c>
      <c r="J4007" s="25" t="str">
        <f t="shared" si="46"/>
        <v>No</v>
      </c>
      <c r="K4007" s="25" t="str">
        <f t="shared" si="47"/>
        <v/>
      </c>
      <c r="L4007" s="25" t="str">
        <f t="shared" si="48"/>
        <v/>
      </c>
      <c r="M4007" s="25"/>
      <c r="O4007" s="25"/>
    </row>
    <row r="4008" ht="15.75" customHeight="1">
      <c r="A4008" s="25" t="str">
        <f>IFERROR(__xludf.DUMMYFUNCTION("IF(B4008="""","""",RIGHT(REGEXREPLACE(B4008&amp;"""",""[^0-9]"",""""),9))"),"760700170")</f>
        <v>760700170</v>
      </c>
      <c r="B4008" s="52">
        <v>7.6070017E8</v>
      </c>
      <c r="C4008" s="28" t="s">
        <v>4008</v>
      </c>
      <c r="D4008" s="26" t="s">
        <v>82</v>
      </c>
      <c r="E4008" s="31">
        <v>46233.0</v>
      </c>
      <c r="F4008" s="26" t="s">
        <v>46</v>
      </c>
      <c r="G4008" s="26">
        <v>9.0</v>
      </c>
      <c r="I4008" s="26" t="s">
        <v>961</v>
      </c>
      <c r="J4008" s="25" t="str">
        <f t="shared" si="46"/>
        <v>No</v>
      </c>
      <c r="K4008" s="25" t="str">
        <f t="shared" si="47"/>
        <v/>
      </c>
      <c r="L4008" s="25" t="str">
        <f t="shared" si="48"/>
        <v/>
      </c>
      <c r="M4008" s="25"/>
      <c r="O4008" s="25"/>
    </row>
    <row r="4009" ht="15.75" customHeight="1">
      <c r="A4009" s="25" t="str">
        <f>IFERROR(__xludf.DUMMYFUNCTION("IF(B4009="""","""",RIGHT(REGEXREPLACE(B4009&amp;"""",""[^0-9]"",""""),9))"),"776288102")</f>
        <v>776288102</v>
      </c>
      <c r="B4009" s="52">
        <v>7.76288102E8</v>
      </c>
      <c r="C4009" s="28" t="s">
        <v>4009</v>
      </c>
      <c r="D4009" s="26" t="s">
        <v>64</v>
      </c>
      <c r="E4009" s="31">
        <v>46233.0</v>
      </c>
      <c r="F4009" s="26" t="s">
        <v>205</v>
      </c>
      <c r="G4009" s="26">
        <v>10.0</v>
      </c>
      <c r="I4009" s="26" t="s">
        <v>961</v>
      </c>
      <c r="J4009" s="25" t="str">
        <f t="shared" si="46"/>
        <v>No</v>
      </c>
      <c r="K4009" s="25" t="str">
        <f t="shared" si="47"/>
        <v/>
      </c>
      <c r="L4009" s="25" t="str">
        <f t="shared" si="48"/>
        <v/>
      </c>
      <c r="M4009" s="25"/>
      <c r="O4009" s="25"/>
    </row>
    <row r="4010" ht="15.75" customHeight="1">
      <c r="A4010" s="25" t="str">
        <f>IFERROR(__xludf.DUMMYFUNCTION("IF(B4010="""","""",RIGHT(REGEXREPLACE(B4010&amp;"""",""[^0-9]"",""""),9))"),"715892197")</f>
        <v>715892197</v>
      </c>
      <c r="B4010" s="52">
        <v>7.15892197E8</v>
      </c>
      <c r="C4010" s="28" t="s">
        <v>4010</v>
      </c>
      <c r="D4010" s="26" t="s">
        <v>64</v>
      </c>
      <c r="E4010" s="31">
        <v>46233.0</v>
      </c>
      <c r="F4010" s="26" t="s">
        <v>46</v>
      </c>
      <c r="G4010" s="26" t="s">
        <v>4011</v>
      </c>
      <c r="I4010" s="26" t="s">
        <v>961</v>
      </c>
      <c r="J4010" s="25" t="str">
        <f t="shared" si="46"/>
        <v>No</v>
      </c>
      <c r="K4010" s="25" t="str">
        <f t="shared" si="47"/>
        <v/>
      </c>
      <c r="L4010" s="25" t="str">
        <f t="shared" si="48"/>
        <v/>
      </c>
      <c r="M4010" s="25"/>
      <c r="O4010" s="25"/>
    </row>
    <row r="4011" ht="15.75" customHeight="1">
      <c r="A4011" s="25" t="str">
        <f>IFERROR(__xludf.DUMMYFUNCTION("IF(B4011="""","""",RIGHT(REGEXREPLACE(B4011&amp;"""",""[^0-9]"",""""),9))"),"704842071")</f>
        <v>704842071</v>
      </c>
      <c r="B4011" s="52">
        <v>7.04842071E8</v>
      </c>
      <c r="C4011" s="28" t="s">
        <v>4012</v>
      </c>
      <c r="D4011" s="26" t="s">
        <v>82</v>
      </c>
      <c r="E4011" s="31">
        <v>46233.0</v>
      </c>
      <c r="F4011" s="26" t="s">
        <v>46</v>
      </c>
      <c r="I4011" s="26" t="s">
        <v>961</v>
      </c>
      <c r="J4011" s="25" t="str">
        <f t="shared" si="46"/>
        <v>No</v>
      </c>
      <c r="K4011" s="25" t="str">
        <f t="shared" si="47"/>
        <v/>
      </c>
      <c r="L4011" s="25" t="str">
        <f t="shared" si="48"/>
        <v/>
      </c>
      <c r="M4011" s="25"/>
      <c r="O4011" s="25"/>
    </row>
    <row r="4012" ht="15.75" customHeight="1">
      <c r="A4012" s="25" t="str">
        <f>IFERROR(__xludf.DUMMYFUNCTION("IF(B4012="""","""",RIGHT(REGEXREPLACE(B4012&amp;"""",""[^0-9]"",""""),9))"),"716676424")</f>
        <v>716676424</v>
      </c>
      <c r="B4012" s="52">
        <v>7.16676424E8</v>
      </c>
      <c r="C4012" s="28" t="s">
        <v>4013</v>
      </c>
      <c r="D4012" s="26" t="s">
        <v>64</v>
      </c>
      <c r="E4012" s="31">
        <v>46233.0</v>
      </c>
      <c r="F4012" s="26" t="s">
        <v>46</v>
      </c>
      <c r="G4012" s="26">
        <v>9.0</v>
      </c>
      <c r="I4012" s="26" t="s">
        <v>961</v>
      </c>
      <c r="J4012" s="25" t="str">
        <f t="shared" si="46"/>
        <v>No</v>
      </c>
      <c r="K4012" s="25" t="str">
        <f t="shared" si="47"/>
        <v/>
      </c>
      <c r="L4012" s="25" t="str">
        <f t="shared" si="48"/>
        <v/>
      </c>
      <c r="M4012" s="25"/>
      <c r="O4012" s="25"/>
    </row>
    <row r="4013" ht="15.75" customHeight="1">
      <c r="A4013" s="25" t="str">
        <f>IFERROR(__xludf.DUMMYFUNCTION("IF(B4013="""","""",RIGHT(REGEXREPLACE(B4013&amp;"""",""[^0-9]"",""""),9))"),"771342297")</f>
        <v>771342297</v>
      </c>
      <c r="B4013" s="52">
        <v>7.71342297E8</v>
      </c>
      <c r="C4013" s="28" t="s">
        <v>4014</v>
      </c>
      <c r="D4013" s="26" t="s">
        <v>64</v>
      </c>
      <c r="E4013" s="31">
        <v>46233.0</v>
      </c>
      <c r="F4013" s="26" t="s">
        <v>46</v>
      </c>
      <c r="G4013" s="26">
        <v>11.0</v>
      </c>
      <c r="I4013" s="26" t="s">
        <v>961</v>
      </c>
      <c r="J4013" s="25" t="str">
        <f t="shared" si="46"/>
        <v>No</v>
      </c>
      <c r="K4013" s="25" t="str">
        <f t="shared" si="47"/>
        <v/>
      </c>
      <c r="L4013" s="25" t="str">
        <f t="shared" si="48"/>
        <v/>
      </c>
      <c r="M4013" s="25"/>
      <c r="O4013" s="25"/>
    </row>
    <row r="4014" ht="15.75" customHeight="1">
      <c r="A4014" s="25" t="str">
        <f>IFERROR(__xludf.DUMMYFUNCTION("IF(B4014="""","""",RIGHT(REGEXREPLACE(B4014&amp;"""",""[^0-9]"",""""),9))"),"712490404")</f>
        <v>712490404</v>
      </c>
      <c r="B4014" s="52">
        <v>7.12490404E8</v>
      </c>
      <c r="C4014" s="28" t="s">
        <v>4015</v>
      </c>
      <c r="D4014" s="26" t="s">
        <v>64</v>
      </c>
      <c r="E4014" s="31">
        <v>46233.0</v>
      </c>
      <c r="F4014" s="26" t="s">
        <v>41</v>
      </c>
      <c r="G4014" s="26">
        <v>8.0</v>
      </c>
      <c r="I4014" s="26" t="s">
        <v>961</v>
      </c>
      <c r="J4014" s="25" t="str">
        <f t="shared" si="46"/>
        <v>No</v>
      </c>
      <c r="K4014" s="25" t="str">
        <f t="shared" si="47"/>
        <v/>
      </c>
      <c r="L4014" s="25" t="str">
        <f t="shared" si="48"/>
        <v/>
      </c>
      <c r="M4014" s="25"/>
      <c r="O4014" s="25"/>
    </row>
    <row r="4015" ht="15.75" customHeight="1">
      <c r="A4015" s="25" t="str">
        <f>IFERROR(__xludf.DUMMYFUNCTION("IF(B4015="""","""",RIGHT(REGEXREPLACE(B4015&amp;"""",""[^0-9]"",""""),9))"),"712250657")</f>
        <v>712250657</v>
      </c>
      <c r="B4015" s="52">
        <v>7.12250657E8</v>
      </c>
      <c r="C4015" s="28" t="s">
        <v>4016</v>
      </c>
      <c r="D4015" s="26" t="s">
        <v>64</v>
      </c>
      <c r="E4015" s="31">
        <v>46233.0</v>
      </c>
      <c r="F4015" s="26" t="s">
        <v>46</v>
      </c>
      <c r="G4015" s="26">
        <v>10.0</v>
      </c>
      <c r="I4015" s="26" t="s">
        <v>961</v>
      </c>
      <c r="J4015" s="25" t="str">
        <f t="shared" si="46"/>
        <v>No</v>
      </c>
      <c r="K4015" s="25" t="str">
        <f t="shared" si="47"/>
        <v/>
      </c>
      <c r="L4015" s="25" t="str">
        <f t="shared" si="48"/>
        <v/>
      </c>
      <c r="M4015" s="25"/>
      <c r="O4015" s="25"/>
    </row>
    <row r="4016" ht="15.75" customHeight="1">
      <c r="A4016" s="25" t="str">
        <f>IFERROR(__xludf.DUMMYFUNCTION("IF(B4016="""","""",RIGHT(REGEXREPLACE(B4016&amp;"""",""[^0-9]"",""""),9))"),"741139260")</f>
        <v>741139260</v>
      </c>
      <c r="B4016" s="52">
        <v>7.4113926E8</v>
      </c>
      <c r="C4016" s="28" t="s">
        <v>4017</v>
      </c>
      <c r="D4016" s="26" t="s">
        <v>64</v>
      </c>
      <c r="E4016" s="31">
        <v>46233.0</v>
      </c>
      <c r="F4016" s="26" t="s">
        <v>125</v>
      </c>
      <c r="G4016" s="26">
        <v>10.0</v>
      </c>
      <c r="I4016" s="26" t="s">
        <v>961</v>
      </c>
      <c r="J4016" s="25" t="str">
        <f t="shared" si="46"/>
        <v>No</v>
      </c>
      <c r="K4016" s="25" t="str">
        <f t="shared" si="47"/>
        <v/>
      </c>
      <c r="L4016" s="25" t="str">
        <f t="shared" si="48"/>
        <v/>
      </c>
      <c r="M4016" s="25"/>
      <c r="O4016" s="25"/>
    </row>
    <row r="4017" ht="15.75" customHeight="1">
      <c r="A4017" s="25" t="str">
        <f>IFERROR(__xludf.DUMMYFUNCTION("IF(B4017="""","""",RIGHT(REGEXREPLACE(B4017&amp;"""",""[^0-9]"",""""),9))"),"766196542")</f>
        <v>766196542</v>
      </c>
      <c r="B4017" s="52">
        <v>7.66196542E8</v>
      </c>
      <c r="C4017" s="28" t="s">
        <v>4018</v>
      </c>
      <c r="D4017" s="26" t="s">
        <v>64</v>
      </c>
      <c r="E4017" s="31">
        <v>46233.0</v>
      </c>
      <c r="F4017" s="26" t="s">
        <v>41</v>
      </c>
      <c r="G4017" s="26">
        <v>8.0</v>
      </c>
      <c r="I4017" s="26" t="s">
        <v>961</v>
      </c>
      <c r="J4017" s="25" t="str">
        <f t="shared" si="46"/>
        <v>No</v>
      </c>
      <c r="K4017" s="25" t="str">
        <f t="shared" si="47"/>
        <v/>
      </c>
      <c r="L4017" s="25" t="str">
        <f t="shared" si="48"/>
        <v/>
      </c>
      <c r="M4017" s="25"/>
      <c r="O4017" s="25"/>
    </row>
    <row r="4018" ht="15.75" customHeight="1">
      <c r="A4018" s="25" t="str">
        <f>IFERROR(__xludf.DUMMYFUNCTION("IF(B4018="""","""",RIGHT(REGEXREPLACE(B4018&amp;"""",""[^0-9]"",""""),9))"),"740716458")</f>
        <v>740716458</v>
      </c>
      <c r="B4018" s="52">
        <v>7.40716458E8</v>
      </c>
      <c r="C4018" s="28" t="s">
        <v>4019</v>
      </c>
      <c r="D4018" s="26" t="s">
        <v>64</v>
      </c>
      <c r="E4018" s="31">
        <v>46233.0</v>
      </c>
      <c r="F4018" s="26" t="s">
        <v>205</v>
      </c>
      <c r="G4018" s="26">
        <v>11.0</v>
      </c>
      <c r="I4018" s="26" t="s">
        <v>961</v>
      </c>
      <c r="J4018" s="25" t="str">
        <f t="shared" si="46"/>
        <v>No</v>
      </c>
      <c r="K4018" s="25" t="str">
        <f t="shared" si="47"/>
        <v/>
      </c>
      <c r="L4018" s="25" t="str">
        <f t="shared" si="48"/>
        <v/>
      </c>
      <c r="M4018" s="25"/>
      <c r="O4018" s="25"/>
    </row>
    <row r="4019" ht="15.75" customHeight="1">
      <c r="A4019" s="25" t="str">
        <f>IFERROR(__xludf.DUMMYFUNCTION("IF(B4019="""","""",RIGHT(REGEXREPLACE(B4019&amp;"""",""[^0-9]"",""""),9))"),"766938845")</f>
        <v>766938845</v>
      </c>
      <c r="B4019" s="52">
        <v>7.66938845E8</v>
      </c>
      <c r="C4019" s="28" t="s">
        <v>4020</v>
      </c>
      <c r="D4019" s="26" t="s">
        <v>64</v>
      </c>
      <c r="E4019" s="31">
        <v>46233.0</v>
      </c>
      <c r="F4019" s="26" t="s">
        <v>205</v>
      </c>
      <c r="G4019" s="26">
        <v>11.0</v>
      </c>
      <c r="I4019" s="26" t="s">
        <v>961</v>
      </c>
      <c r="J4019" s="25" t="str">
        <f t="shared" si="46"/>
        <v>No</v>
      </c>
      <c r="K4019" s="25" t="str">
        <f t="shared" si="47"/>
        <v/>
      </c>
      <c r="L4019" s="25" t="str">
        <f t="shared" si="48"/>
        <v/>
      </c>
      <c r="M4019" s="25"/>
      <c r="O4019" s="25"/>
    </row>
    <row r="4020" ht="15.75" customHeight="1">
      <c r="A4020" s="25" t="str">
        <f>IFERROR(__xludf.DUMMYFUNCTION("IF(B4020="""","""",RIGHT(REGEXREPLACE(B4020&amp;"""",""[^0-9]"",""""),9))"),"703238527")</f>
        <v>703238527</v>
      </c>
      <c r="B4020" s="52">
        <v>7.03238527E8</v>
      </c>
      <c r="C4020" s="28" t="s">
        <v>3699</v>
      </c>
      <c r="D4020" s="26" t="s">
        <v>64</v>
      </c>
      <c r="E4020" s="31">
        <v>46233.0</v>
      </c>
      <c r="F4020" s="26" t="s">
        <v>46</v>
      </c>
      <c r="G4020" s="26">
        <v>9.11</v>
      </c>
      <c r="I4020" s="26" t="s">
        <v>961</v>
      </c>
      <c r="J4020" s="25" t="str">
        <f t="shared" si="46"/>
        <v>No</v>
      </c>
      <c r="K4020" s="25" t="str">
        <f t="shared" si="47"/>
        <v/>
      </c>
      <c r="L4020" s="25" t="str">
        <f t="shared" si="48"/>
        <v/>
      </c>
      <c r="M4020" s="25"/>
      <c r="O4020" s="25"/>
    </row>
    <row r="4021" ht="15.75" customHeight="1">
      <c r="A4021" s="25" t="str">
        <f>IFERROR(__xludf.DUMMYFUNCTION("IF(B4021="""","""",RIGHT(REGEXREPLACE(B4021&amp;"""",""[^0-9]"",""""),9))"),"773659144")</f>
        <v>773659144</v>
      </c>
      <c r="B4021" s="52">
        <v>7.73659144E8</v>
      </c>
      <c r="C4021" s="28" t="s">
        <v>4021</v>
      </c>
      <c r="D4021" s="26" t="s">
        <v>64</v>
      </c>
      <c r="E4021" s="31">
        <v>46233.0</v>
      </c>
      <c r="F4021" s="26" t="s">
        <v>46</v>
      </c>
      <c r="G4021" s="26">
        <v>7.0</v>
      </c>
      <c r="I4021" s="26" t="s">
        <v>961</v>
      </c>
      <c r="J4021" s="25" t="str">
        <f t="shared" si="46"/>
        <v>No</v>
      </c>
      <c r="K4021" s="25" t="str">
        <f t="shared" si="47"/>
        <v/>
      </c>
      <c r="L4021" s="25" t="str">
        <f t="shared" si="48"/>
        <v/>
      </c>
      <c r="M4021" s="25"/>
      <c r="O4021" s="25"/>
    </row>
    <row r="4022" ht="15.75" customHeight="1">
      <c r="A4022" s="25" t="str">
        <f>IFERROR(__xludf.DUMMYFUNCTION("IF(B4022="""","""",RIGHT(REGEXREPLACE(B4022&amp;"""",""[^0-9]"",""""),9))"),"762269286")</f>
        <v>762269286</v>
      </c>
      <c r="B4022" s="52">
        <v>7.62269286E8</v>
      </c>
      <c r="C4022" s="28" t="s">
        <v>4022</v>
      </c>
      <c r="D4022" s="26" t="s">
        <v>64</v>
      </c>
      <c r="E4022" s="31">
        <v>46233.0</v>
      </c>
      <c r="F4022" s="26" t="s">
        <v>41</v>
      </c>
      <c r="I4022" s="26" t="s">
        <v>961</v>
      </c>
      <c r="J4022" s="25" t="str">
        <f t="shared" si="46"/>
        <v>No</v>
      </c>
      <c r="K4022" s="25" t="str">
        <f t="shared" si="47"/>
        <v/>
      </c>
      <c r="L4022" s="25" t="str">
        <f t="shared" si="48"/>
        <v/>
      </c>
      <c r="M4022" s="25"/>
      <c r="O4022" s="25"/>
    </row>
    <row r="4023" ht="15.75" customHeight="1">
      <c r="A4023" s="25" t="str">
        <f>IFERROR(__xludf.DUMMYFUNCTION("IF(B4023="""","""",RIGHT(REGEXREPLACE(B4023&amp;"""",""[^0-9]"",""""),9))"),"702633874")</f>
        <v>702633874</v>
      </c>
      <c r="B4023" s="52">
        <v>7.02633874E8</v>
      </c>
      <c r="C4023" s="28" t="s">
        <v>4023</v>
      </c>
      <c r="D4023" s="26" t="s">
        <v>64</v>
      </c>
      <c r="E4023" s="31">
        <v>46233.0</v>
      </c>
      <c r="F4023" s="26" t="s">
        <v>46</v>
      </c>
      <c r="G4023" s="26">
        <v>11.0</v>
      </c>
      <c r="I4023" s="26" t="s">
        <v>961</v>
      </c>
      <c r="J4023" s="25" t="str">
        <f t="shared" si="46"/>
        <v>No</v>
      </c>
      <c r="K4023" s="25" t="str">
        <f t="shared" si="47"/>
        <v/>
      </c>
      <c r="L4023" s="25" t="str">
        <f t="shared" si="48"/>
        <v/>
      </c>
      <c r="M4023" s="25"/>
      <c r="O4023" s="25"/>
    </row>
    <row r="4024" ht="15.75" customHeight="1">
      <c r="A4024" s="25" t="str">
        <f>IFERROR(__xludf.DUMMYFUNCTION("IF(B4024="""","""",RIGHT(REGEXREPLACE(B4024&amp;"""",""[^0-9]"",""""),9))"),"772493938")</f>
        <v>772493938</v>
      </c>
      <c r="B4024" s="52">
        <v>7.72493938E8</v>
      </c>
      <c r="C4024" s="28" t="s">
        <v>4024</v>
      </c>
      <c r="D4024" s="26" t="s">
        <v>64</v>
      </c>
      <c r="E4024" s="31">
        <v>46233.0</v>
      </c>
      <c r="F4024" s="26" t="s">
        <v>46</v>
      </c>
      <c r="G4024" s="26" t="s">
        <v>2011</v>
      </c>
      <c r="I4024" s="26" t="s">
        <v>961</v>
      </c>
      <c r="J4024" s="25" t="str">
        <f t="shared" si="46"/>
        <v>No</v>
      </c>
      <c r="K4024" s="25" t="str">
        <f t="shared" si="47"/>
        <v/>
      </c>
      <c r="L4024" s="25" t="str">
        <f t="shared" si="48"/>
        <v/>
      </c>
      <c r="M4024" s="25"/>
      <c r="O4024" s="25"/>
    </row>
    <row r="4025" ht="15.75" customHeight="1">
      <c r="A4025" s="25" t="str">
        <f>IFERROR(__xludf.DUMMYFUNCTION("IF(B4025="""","""",RIGHT(REGEXREPLACE(B4025&amp;"""",""[^0-9]"",""""),9))"),"705014060")</f>
        <v>705014060</v>
      </c>
      <c r="B4025" s="52">
        <v>7.0501406E8</v>
      </c>
      <c r="C4025" s="28" t="s">
        <v>4025</v>
      </c>
      <c r="D4025" s="26" t="s">
        <v>64</v>
      </c>
      <c r="E4025" s="31">
        <v>46233.0</v>
      </c>
      <c r="F4025" s="26" t="s">
        <v>46</v>
      </c>
      <c r="G4025" s="26">
        <v>11.0</v>
      </c>
      <c r="I4025" s="26" t="s">
        <v>961</v>
      </c>
      <c r="J4025" s="25" t="str">
        <f t="shared" si="46"/>
        <v>No</v>
      </c>
      <c r="K4025" s="25" t="str">
        <f t="shared" si="47"/>
        <v/>
      </c>
      <c r="L4025" s="25" t="str">
        <f t="shared" si="48"/>
        <v/>
      </c>
      <c r="M4025" s="25"/>
      <c r="O4025" s="25"/>
    </row>
    <row r="4026" ht="15.75" customHeight="1">
      <c r="A4026" s="25" t="str">
        <f>IFERROR(__xludf.DUMMYFUNCTION("IF(B4026="""","""",RIGHT(REGEXREPLACE(B4026&amp;"""",""[^0-9]"",""""),9))"),"763619325")</f>
        <v>763619325</v>
      </c>
      <c r="B4026" s="52">
        <v>7.63619325E8</v>
      </c>
      <c r="C4026" s="28" t="s">
        <v>4026</v>
      </c>
      <c r="D4026" s="26" t="s">
        <v>64</v>
      </c>
      <c r="E4026" s="31">
        <v>46233.0</v>
      </c>
      <c r="F4026" s="26" t="s">
        <v>659</v>
      </c>
      <c r="I4026" s="26" t="s">
        <v>961</v>
      </c>
      <c r="J4026" s="25" t="str">
        <f t="shared" si="46"/>
        <v>No</v>
      </c>
      <c r="K4026" s="25" t="str">
        <f t="shared" si="47"/>
        <v/>
      </c>
      <c r="L4026" s="25" t="str">
        <f t="shared" si="48"/>
        <v/>
      </c>
      <c r="M4026" s="25"/>
      <c r="O4026" s="25"/>
    </row>
    <row r="4027" ht="15.75" customHeight="1">
      <c r="A4027" s="25" t="str">
        <f>IFERROR(__xludf.DUMMYFUNCTION("IF(B4027="""","""",RIGHT(REGEXREPLACE(B4027&amp;"""",""[^0-9]"",""""),9))"),"752478547")</f>
        <v>752478547</v>
      </c>
      <c r="B4027" s="52">
        <v>7.52478547E8</v>
      </c>
      <c r="C4027" s="28" t="s">
        <v>4027</v>
      </c>
      <c r="D4027" s="26" t="s">
        <v>64</v>
      </c>
      <c r="E4027" s="31">
        <v>46233.0</v>
      </c>
      <c r="F4027" s="26" t="s">
        <v>46</v>
      </c>
      <c r="G4027" s="26">
        <v>6.0</v>
      </c>
      <c r="I4027" s="26" t="s">
        <v>961</v>
      </c>
      <c r="J4027" s="25" t="str">
        <f t="shared" si="46"/>
        <v>No</v>
      </c>
      <c r="K4027" s="25" t="str">
        <f t="shared" si="47"/>
        <v/>
      </c>
      <c r="L4027" s="25" t="str">
        <f t="shared" si="48"/>
        <v/>
      </c>
      <c r="M4027" s="25"/>
      <c r="O4027" s="25"/>
    </row>
    <row r="4028" ht="15.75" customHeight="1">
      <c r="A4028" s="25" t="str">
        <f>IFERROR(__xludf.DUMMYFUNCTION("IF(B4028="""","""",RIGHT(REGEXREPLACE(B4028&amp;"""",""[^0-9]"",""""),9))"),"778071438")</f>
        <v>778071438</v>
      </c>
      <c r="B4028" s="52">
        <v>7.78071438E8</v>
      </c>
      <c r="C4028" s="28" t="s">
        <v>4028</v>
      </c>
      <c r="D4028" s="26" t="s">
        <v>64</v>
      </c>
      <c r="E4028" s="31">
        <v>46233.0</v>
      </c>
      <c r="F4028" s="26" t="s">
        <v>125</v>
      </c>
      <c r="G4028" s="26">
        <v>9.0</v>
      </c>
      <c r="I4028" s="26" t="s">
        <v>961</v>
      </c>
      <c r="J4028" s="25" t="str">
        <f t="shared" si="46"/>
        <v>No</v>
      </c>
      <c r="K4028" s="25" t="str">
        <f t="shared" si="47"/>
        <v/>
      </c>
      <c r="L4028" s="25" t="str">
        <f t="shared" si="48"/>
        <v/>
      </c>
      <c r="M4028" s="25"/>
      <c r="O4028" s="25"/>
    </row>
    <row r="4029" ht="15.75" customHeight="1">
      <c r="A4029" s="25" t="str">
        <f>IFERROR(__xludf.DUMMYFUNCTION("IF(B4029="""","""",RIGHT(REGEXREPLACE(B4029&amp;"""",""[^0-9]"",""""),9))"),"741426599")</f>
        <v>741426599</v>
      </c>
      <c r="B4029" s="52">
        <v>7.41426599E8</v>
      </c>
      <c r="C4029" s="28" t="s">
        <v>4029</v>
      </c>
      <c r="D4029" s="26" t="s">
        <v>64</v>
      </c>
      <c r="E4029" s="31">
        <v>46233.0</v>
      </c>
      <c r="F4029" s="26" t="s">
        <v>46</v>
      </c>
      <c r="G4029" s="26">
        <v>10.0</v>
      </c>
      <c r="I4029" s="26" t="s">
        <v>961</v>
      </c>
      <c r="J4029" s="25" t="str">
        <f t="shared" si="46"/>
        <v>No</v>
      </c>
      <c r="K4029" s="25" t="str">
        <f t="shared" si="47"/>
        <v/>
      </c>
      <c r="L4029" s="25" t="str">
        <f t="shared" si="48"/>
        <v/>
      </c>
      <c r="M4029" s="25"/>
      <c r="O4029" s="25"/>
    </row>
    <row r="4030" ht="15.75" customHeight="1">
      <c r="A4030" s="25" t="str">
        <f>IFERROR(__xludf.DUMMYFUNCTION("IF(B4030="""","""",RIGHT(REGEXREPLACE(B4030&amp;"""",""[^0-9]"",""""),9))"),"774731102")</f>
        <v>774731102</v>
      </c>
      <c r="B4030" s="52">
        <v>7.74731102E8</v>
      </c>
      <c r="C4030" s="28" t="s">
        <v>4030</v>
      </c>
      <c r="D4030" s="26" t="s">
        <v>64</v>
      </c>
      <c r="E4030" s="31">
        <v>46233.0</v>
      </c>
      <c r="F4030" s="26" t="s">
        <v>41</v>
      </c>
      <c r="G4030" s="26">
        <v>6.0</v>
      </c>
      <c r="I4030" s="26" t="s">
        <v>961</v>
      </c>
      <c r="J4030" s="25" t="str">
        <f t="shared" si="46"/>
        <v>No</v>
      </c>
      <c r="K4030" s="25" t="str">
        <f t="shared" si="47"/>
        <v/>
      </c>
      <c r="L4030" s="25" t="str">
        <f t="shared" si="48"/>
        <v/>
      </c>
      <c r="M4030" s="25"/>
      <c r="O4030" s="25"/>
    </row>
    <row r="4031" ht="15.75" customHeight="1">
      <c r="A4031" s="25" t="str">
        <f>IFERROR(__xludf.DUMMYFUNCTION("IF(B4031="""","""",RIGHT(REGEXREPLACE(B4031&amp;"""",""[^0-9]"",""""),9))"),"770462628")</f>
        <v>770462628</v>
      </c>
      <c r="B4031" s="52">
        <v>7.70462628E8</v>
      </c>
      <c r="C4031" s="28" t="s">
        <v>4031</v>
      </c>
      <c r="D4031" s="26" t="s">
        <v>64</v>
      </c>
      <c r="E4031" s="31">
        <v>46233.0</v>
      </c>
      <c r="F4031" s="26" t="s">
        <v>84</v>
      </c>
      <c r="H4031" s="26" t="s">
        <v>94</v>
      </c>
      <c r="I4031" s="26" t="s">
        <v>961</v>
      </c>
      <c r="J4031" s="25" t="str">
        <f t="shared" si="46"/>
        <v>No</v>
      </c>
      <c r="K4031" s="25" t="str">
        <f t="shared" si="47"/>
        <v/>
      </c>
      <c r="L4031" s="25" t="str">
        <f t="shared" si="48"/>
        <v/>
      </c>
      <c r="M4031" s="25"/>
      <c r="O4031" s="25"/>
    </row>
    <row r="4032" ht="15.75" customHeight="1">
      <c r="A4032" s="25" t="str">
        <f>IFERROR(__xludf.DUMMYFUNCTION("IF(B4032="""","""",RIGHT(REGEXREPLACE(B4032&amp;"""",""[^0-9]"",""""),9))"),"767960196")</f>
        <v>767960196</v>
      </c>
      <c r="B4032" s="52">
        <v>7.67960196E8</v>
      </c>
      <c r="C4032" s="28" t="s">
        <v>3240</v>
      </c>
      <c r="D4032" s="26" t="s">
        <v>64</v>
      </c>
      <c r="E4032" s="31">
        <v>46233.0</v>
      </c>
      <c r="F4032" s="26" t="s">
        <v>41</v>
      </c>
      <c r="I4032" s="26" t="s">
        <v>961</v>
      </c>
      <c r="J4032" s="25" t="str">
        <f t="shared" si="46"/>
        <v>Yes - see Previous F-Code</v>
      </c>
      <c r="K4032" s="25" t="str">
        <f t="shared" si="47"/>
        <v/>
      </c>
      <c r="L4032" s="25" t="str">
        <f t="shared" si="48"/>
        <v>F72889</v>
      </c>
      <c r="M4032" s="25"/>
      <c r="O4032" s="25"/>
    </row>
    <row r="4033" ht="15.75" customHeight="1">
      <c r="A4033" s="25" t="str">
        <f>IFERROR(__xludf.DUMMYFUNCTION("IF(B4033="""","""",RIGHT(REGEXREPLACE(B4033&amp;"""",""[^0-9]"",""""),9))"),"773108754")</f>
        <v>773108754</v>
      </c>
      <c r="B4033" s="52">
        <v>7.73108754E8</v>
      </c>
      <c r="C4033" s="28" t="s">
        <v>4032</v>
      </c>
      <c r="D4033" s="26" t="s">
        <v>82</v>
      </c>
      <c r="E4033" s="31">
        <v>46233.0</v>
      </c>
      <c r="F4033" s="26" t="s">
        <v>46</v>
      </c>
      <c r="G4033" s="26">
        <v>11.0</v>
      </c>
      <c r="I4033" s="26" t="s">
        <v>961</v>
      </c>
      <c r="J4033" s="25" t="str">
        <f t="shared" si="46"/>
        <v>No</v>
      </c>
      <c r="K4033" s="25" t="str">
        <f t="shared" si="47"/>
        <v/>
      </c>
      <c r="L4033" s="25" t="str">
        <f t="shared" si="48"/>
        <v/>
      </c>
      <c r="M4033" s="25"/>
      <c r="O4033" s="25"/>
    </row>
    <row r="4034" ht="15.75" customHeight="1">
      <c r="A4034" s="25" t="str">
        <f>IFERROR(__xludf.DUMMYFUNCTION("IF(B4034="""","""",RIGHT(REGEXREPLACE(B4034&amp;"""",""[^0-9]"",""""),9))"),"777193529")</f>
        <v>777193529</v>
      </c>
      <c r="B4034" s="52">
        <v>7.77193529E8</v>
      </c>
      <c r="C4034" s="28" t="s">
        <v>4033</v>
      </c>
      <c r="D4034" s="26" t="s">
        <v>64</v>
      </c>
      <c r="E4034" s="31">
        <v>46233.0</v>
      </c>
      <c r="F4034" s="26" t="s">
        <v>125</v>
      </c>
      <c r="G4034" s="26">
        <v>9.0</v>
      </c>
      <c r="I4034" s="26" t="s">
        <v>961</v>
      </c>
      <c r="J4034" s="25" t="str">
        <f t="shared" si="46"/>
        <v>No</v>
      </c>
      <c r="K4034" s="25" t="str">
        <f t="shared" si="47"/>
        <v/>
      </c>
      <c r="L4034" s="25" t="str">
        <f t="shared" si="48"/>
        <v/>
      </c>
      <c r="M4034" s="25"/>
      <c r="O4034" s="25"/>
    </row>
    <row r="4035" ht="15.75" customHeight="1">
      <c r="A4035" s="25" t="str">
        <f>IFERROR(__xludf.DUMMYFUNCTION("IF(B4035="""","""",RIGHT(REGEXREPLACE(B4035&amp;"""",""[^0-9]"",""""),9))"),"774397283")</f>
        <v>774397283</v>
      </c>
      <c r="B4035" s="52">
        <v>7.74397283E8</v>
      </c>
      <c r="C4035" s="28" t="s">
        <v>4034</v>
      </c>
      <c r="D4035" s="26" t="s">
        <v>82</v>
      </c>
      <c r="E4035" s="31">
        <v>46233.0</v>
      </c>
      <c r="F4035" s="26" t="s">
        <v>46</v>
      </c>
      <c r="G4035" s="26">
        <v>9.0</v>
      </c>
      <c r="I4035" s="26" t="s">
        <v>961</v>
      </c>
      <c r="J4035" s="25" t="str">
        <f t="shared" si="46"/>
        <v>No</v>
      </c>
      <c r="K4035" s="25" t="str">
        <f t="shared" si="47"/>
        <v/>
      </c>
      <c r="L4035" s="25" t="str">
        <f t="shared" si="48"/>
        <v/>
      </c>
      <c r="M4035" s="25"/>
      <c r="O4035" s="25"/>
    </row>
    <row r="4036" ht="15.75" customHeight="1">
      <c r="A4036" s="25" t="str">
        <f>IFERROR(__xludf.DUMMYFUNCTION("IF(B4036="""","""",RIGHT(REGEXREPLACE(B4036&amp;"""",""[^0-9]"",""""),9))"),"771900332")</f>
        <v>771900332</v>
      </c>
      <c r="B4036" s="52">
        <v>7.71900332E8</v>
      </c>
      <c r="C4036" s="28" t="s">
        <v>4035</v>
      </c>
      <c r="D4036" s="26" t="s">
        <v>64</v>
      </c>
      <c r="E4036" s="31">
        <v>46233.0</v>
      </c>
      <c r="F4036" s="26" t="s">
        <v>46</v>
      </c>
      <c r="G4036" s="26">
        <v>10.0</v>
      </c>
      <c r="I4036" s="26" t="s">
        <v>961</v>
      </c>
      <c r="J4036" s="25" t="str">
        <f t="shared" si="46"/>
        <v>No</v>
      </c>
      <c r="K4036" s="25" t="str">
        <f t="shared" si="47"/>
        <v/>
      </c>
      <c r="L4036" s="25" t="str">
        <f t="shared" si="48"/>
        <v/>
      </c>
      <c r="M4036" s="25"/>
      <c r="O4036" s="25"/>
    </row>
    <row r="4037" ht="15.75" customHeight="1">
      <c r="A4037" s="25" t="str">
        <f>IFERROR(__xludf.DUMMYFUNCTION("IF(B4037="""","""",RIGHT(REGEXREPLACE(B4037&amp;"""",""[^0-9]"",""""),9))"),"767605948")</f>
        <v>767605948</v>
      </c>
      <c r="B4037" s="52">
        <v>7.67605948E8</v>
      </c>
      <c r="C4037" s="28" t="s">
        <v>4036</v>
      </c>
      <c r="D4037" s="26" t="s">
        <v>82</v>
      </c>
      <c r="E4037" s="31">
        <v>46233.0</v>
      </c>
      <c r="F4037" s="26" t="s">
        <v>46</v>
      </c>
      <c r="G4037" s="26">
        <v>8.0</v>
      </c>
      <c r="I4037" s="26" t="s">
        <v>961</v>
      </c>
      <c r="J4037" s="25" t="str">
        <f t="shared" si="46"/>
        <v>No</v>
      </c>
      <c r="K4037" s="25" t="str">
        <f t="shared" si="47"/>
        <v/>
      </c>
      <c r="L4037" s="25" t="str">
        <f t="shared" si="48"/>
        <v/>
      </c>
      <c r="M4037" s="25"/>
      <c r="O4037" s="25"/>
    </row>
    <row r="4038" ht="15.75" customHeight="1">
      <c r="A4038" s="25" t="str">
        <f>IFERROR(__xludf.DUMMYFUNCTION("IF(B4038="""","""",RIGHT(REGEXREPLACE(B4038&amp;"""",""[^0-9]"",""""),9))"),"760731499")</f>
        <v>760731499</v>
      </c>
      <c r="B4038" s="52">
        <v>7.60731499E8</v>
      </c>
      <c r="C4038" s="28" t="s">
        <v>4037</v>
      </c>
      <c r="D4038" s="26" t="s">
        <v>64</v>
      </c>
      <c r="E4038" s="31">
        <v>46233.0</v>
      </c>
      <c r="F4038" s="26" t="s">
        <v>46</v>
      </c>
      <c r="G4038" s="26">
        <v>10.0</v>
      </c>
      <c r="I4038" s="26" t="s">
        <v>961</v>
      </c>
      <c r="J4038" s="25" t="str">
        <f t="shared" si="46"/>
        <v>No</v>
      </c>
      <c r="K4038" s="25" t="str">
        <f t="shared" si="47"/>
        <v/>
      </c>
      <c r="L4038" s="25" t="str">
        <f t="shared" si="48"/>
        <v/>
      </c>
      <c r="M4038" s="25"/>
      <c r="O4038" s="25"/>
    </row>
    <row r="4039" ht="15.75" customHeight="1">
      <c r="A4039" s="25" t="str">
        <f>IFERROR(__xludf.DUMMYFUNCTION("IF(B4039="""","""",RIGHT(REGEXREPLACE(B4039&amp;"""",""[^0-9]"",""""),9))"),"779905418")</f>
        <v>779905418</v>
      </c>
      <c r="B4039" s="52">
        <v>7.79905418E8</v>
      </c>
      <c r="C4039" s="28" t="s">
        <v>4038</v>
      </c>
      <c r="D4039" s="26" t="s">
        <v>64</v>
      </c>
      <c r="E4039" s="31">
        <v>46233.0</v>
      </c>
      <c r="F4039" s="26" t="s">
        <v>46</v>
      </c>
      <c r="G4039" s="26">
        <v>8.0</v>
      </c>
      <c r="I4039" s="26" t="s">
        <v>961</v>
      </c>
      <c r="J4039" s="25" t="str">
        <f t="shared" si="46"/>
        <v>No</v>
      </c>
      <c r="K4039" s="25" t="str">
        <f t="shared" si="47"/>
        <v/>
      </c>
      <c r="L4039" s="25" t="str">
        <f t="shared" si="48"/>
        <v/>
      </c>
      <c r="M4039" s="25"/>
      <c r="O4039" s="26" t="s">
        <v>51</v>
      </c>
    </row>
    <row r="4040" ht="15.75" customHeight="1">
      <c r="A4040" s="25" t="str">
        <f>IFERROR(__xludf.DUMMYFUNCTION("IF(B4040="""","""",RIGHT(REGEXREPLACE(B4040&amp;"""",""[^0-9]"",""""),9))"),"703788919")</f>
        <v>703788919</v>
      </c>
      <c r="B4040" s="52">
        <v>7.03788919E8</v>
      </c>
      <c r="C4040" s="28" t="s">
        <v>2053</v>
      </c>
      <c r="D4040" s="26" t="s">
        <v>82</v>
      </c>
      <c r="E4040" s="31">
        <v>46233.0</v>
      </c>
      <c r="F4040" s="26" t="s">
        <v>205</v>
      </c>
      <c r="G4040" s="26">
        <v>11.0</v>
      </c>
      <c r="I4040" s="26" t="s">
        <v>961</v>
      </c>
      <c r="J4040" s="25" t="str">
        <f t="shared" si="46"/>
        <v>Yes - see Previous F-Code</v>
      </c>
      <c r="K4040" s="25" t="str">
        <f t="shared" si="47"/>
        <v/>
      </c>
      <c r="L4040" s="25" t="str">
        <f t="shared" si="48"/>
        <v>F71755</v>
      </c>
      <c r="M4040" s="25"/>
      <c r="O4040" s="25"/>
    </row>
    <row r="4041" ht="15.75" customHeight="1">
      <c r="A4041" s="25" t="str">
        <f>IFERROR(__xludf.DUMMYFUNCTION("IF(B4041="""","""",RIGHT(REGEXREPLACE(B4041&amp;"""",""[^0-9]"",""""),9))"),"711292245")</f>
        <v>711292245</v>
      </c>
      <c r="B4041" s="52">
        <v>7.11292245E8</v>
      </c>
      <c r="C4041" s="28" t="s">
        <v>4039</v>
      </c>
      <c r="D4041" s="26" t="s">
        <v>82</v>
      </c>
      <c r="E4041" s="31">
        <v>46233.0</v>
      </c>
      <c r="F4041" s="26" t="s">
        <v>46</v>
      </c>
      <c r="G4041" s="26">
        <v>10.0</v>
      </c>
      <c r="I4041" s="26" t="s">
        <v>961</v>
      </c>
      <c r="J4041" s="25" t="str">
        <f t="shared" si="46"/>
        <v>No</v>
      </c>
      <c r="K4041" s="25" t="str">
        <f t="shared" si="47"/>
        <v/>
      </c>
      <c r="L4041" s="25" t="str">
        <f t="shared" si="48"/>
        <v/>
      </c>
      <c r="M4041" s="25"/>
      <c r="O4041" s="25"/>
    </row>
    <row r="4042" ht="15.75" customHeight="1">
      <c r="A4042" s="25" t="str">
        <f>IFERROR(__xludf.DUMMYFUNCTION("IF(B4042="""","""",RIGHT(REGEXREPLACE(B4042&amp;"""",""[^0-9]"",""""),9))"),"703664187")</f>
        <v>703664187</v>
      </c>
      <c r="B4042" s="52">
        <v>7.03664187E8</v>
      </c>
      <c r="C4042" s="28" t="s">
        <v>4040</v>
      </c>
      <c r="D4042" s="26" t="s">
        <v>82</v>
      </c>
      <c r="E4042" s="31">
        <v>46233.0</v>
      </c>
      <c r="F4042" s="25"/>
      <c r="G4042" s="25"/>
      <c r="H4042" s="25"/>
      <c r="I4042" s="26" t="s">
        <v>961</v>
      </c>
      <c r="J4042" s="25" t="str">
        <f t="shared" si="46"/>
        <v>No</v>
      </c>
      <c r="K4042" s="25" t="str">
        <f t="shared" si="47"/>
        <v/>
      </c>
      <c r="L4042" s="25" t="str">
        <f t="shared" si="48"/>
        <v/>
      </c>
      <c r="M4042" s="25"/>
      <c r="N4042" s="25"/>
      <c r="O4042" s="25"/>
      <c r="P4042" s="25"/>
    </row>
    <row r="4043" ht="15.75" customHeight="1">
      <c r="A4043" s="25" t="str">
        <f>IFERROR(__xludf.DUMMYFUNCTION("IF(B4043="""","""",RIGHT(REGEXREPLACE(B4043&amp;"""",""[^0-9]"",""""),9))"),"753975160")</f>
        <v>753975160</v>
      </c>
      <c r="B4043" s="52">
        <v>7.5397516E8</v>
      </c>
      <c r="C4043" s="28" t="s">
        <v>3919</v>
      </c>
      <c r="D4043" s="26" t="s">
        <v>64</v>
      </c>
      <c r="E4043" s="31">
        <v>46233.0</v>
      </c>
      <c r="F4043" s="26" t="s">
        <v>125</v>
      </c>
      <c r="G4043" s="26">
        <v>9.0</v>
      </c>
      <c r="I4043" s="26" t="s">
        <v>961</v>
      </c>
      <c r="J4043" s="25" t="str">
        <f t="shared" si="46"/>
        <v>Yes - see Previous F-Code</v>
      </c>
      <c r="K4043" s="25" t="str">
        <f t="shared" si="47"/>
        <v>DUPLICATE - CHECK</v>
      </c>
      <c r="L4043" s="25" t="str">
        <f t="shared" si="48"/>
        <v>F73566</v>
      </c>
      <c r="M4043" s="25"/>
      <c r="O4043" s="26" t="s">
        <v>51</v>
      </c>
    </row>
    <row r="4044" ht="15.75" customHeight="1">
      <c r="A4044" s="25" t="str">
        <f>IFERROR(__xludf.DUMMYFUNCTION("IF(B4044="""","""",RIGHT(REGEXREPLACE(B4044&amp;"""",""[^0-9]"",""""),9))"),"713811014")</f>
        <v>713811014</v>
      </c>
      <c r="B4044" s="52">
        <v>7.13811014E8</v>
      </c>
      <c r="C4044" s="28" t="s">
        <v>4041</v>
      </c>
      <c r="D4044" s="26" t="s">
        <v>82</v>
      </c>
      <c r="E4044" s="31">
        <v>46233.0</v>
      </c>
      <c r="F4044" s="26" t="s">
        <v>46</v>
      </c>
      <c r="G4044" s="26">
        <v>10.0</v>
      </c>
      <c r="I4044" s="26" t="s">
        <v>961</v>
      </c>
      <c r="J4044" s="25" t="str">
        <f t="shared" si="46"/>
        <v>No</v>
      </c>
      <c r="K4044" s="25" t="str">
        <f t="shared" si="47"/>
        <v/>
      </c>
      <c r="L4044" s="25" t="str">
        <f t="shared" si="48"/>
        <v/>
      </c>
      <c r="M4044" s="25"/>
      <c r="O4044" s="25"/>
    </row>
    <row r="4045" ht="15.75" customHeight="1">
      <c r="A4045" s="25" t="str">
        <f>IFERROR(__xludf.DUMMYFUNCTION("IF(B4045="""","""",RIGHT(REGEXREPLACE(B4045&amp;"""",""[^0-9]"",""""),9))"),"771102150")</f>
        <v>771102150</v>
      </c>
      <c r="B4045" s="52">
        <v>7.7110215E8</v>
      </c>
      <c r="C4045" s="28" t="s">
        <v>4042</v>
      </c>
      <c r="D4045" s="26" t="s">
        <v>64</v>
      </c>
      <c r="E4045" s="31">
        <v>46233.0</v>
      </c>
      <c r="F4045" s="26" t="s">
        <v>46</v>
      </c>
      <c r="G4045" s="26">
        <v>8.0</v>
      </c>
      <c r="I4045" s="26" t="s">
        <v>961</v>
      </c>
      <c r="J4045" s="25" t="str">
        <f t="shared" si="46"/>
        <v>No</v>
      </c>
      <c r="K4045" s="25" t="str">
        <f t="shared" si="47"/>
        <v/>
      </c>
      <c r="L4045" s="25" t="str">
        <f t="shared" si="48"/>
        <v/>
      </c>
      <c r="M4045" s="25"/>
      <c r="O4045" s="25"/>
    </row>
    <row r="4046" ht="15.75" customHeight="1">
      <c r="A4046" s="25" t="str">
        <f>IFERROR(__xludf.DUMMYFUNCTION("IF(B4046="""","""",RIGHT(REGEXREPLACE(B4046&amp;"""",""[^0-9]"",""""),9))"),"773612301")</f>
        <v>773612301</v>
      </c>
      <c r="B4046" s="52">
        <v>7.73612301E8</v>
      </c>
      <c r="C4046" s="28" t="s">
        <v>4043</v>
      </c>
      <c r="D4046" s="26" t="s">
        <v>64</v>
      </c>
      <c r="E4046" s="31">
        <v>46233.0</v>
      </c>
      <c r="F4046" s="26" t="s">
        <v>84</v>
      </c>
      <c r="G4046" s="26">
        <v>9.0</v>
      </c>
      <c r="I4046" s="26" t="s">
        <v>961</v>
      </c>
      <c r="J4046" s="25" t="str">
        <f t="shared" si="46"/>
        <v>No</v>
      </c>
      <c r="K4046" s="25" t="str">
        <f t="shared" si="47"/>
        <v/>
      </c>
      <c r="L4046" s="25" t="str">
        <f t="shared" si="48"/>
        <v/>
      </c>
      <c r="M4046" s="25"/>
      <c r="O4046" s="25"/>
    </row>
    <row r="4047" ht="15.75" customHeight="1">
      <c r="A4047" s="25" t="str">
        <f>IFERROR(__xludf.DUMMYFUNCTION("IF(B4047="""","""",RIGHT(REGEXREPLACE(B4047&amp;"""",""[^0-9]"",""""),9))"),"766053238")</f>
        <v>766053238</v>
      </c>
      <c r="B4047" s="52">
        <v>7.66053238E8</v>
      </c>
      <c r="C4047" s="28" t="s">
        <v>4044</v>
      </c>
      <c r="D4047" s="26" t="s">
        <v>82</v>
      </c>
      <c r="E4047" s="31">
        <v>46233.0</v>
      </c>
      <c r="F4047" s="26" t="s">
        <v>46</v>
      </c>
      <c r="G4047" s="26">
        <v>10.0</v>
      </c>
      <c r="I4047" s="26" t="s">
        <v>961</v>
      </c>
      <c r="J4047" s="25" t="str">
        <f t="shared" si="46"/>
        <v>No</v>
      </c>
      <c r="K4047" s="25" t="str">
        <f t="shared" si="47"/>
        <v/>
      </c>
      <c r="L4047" s="25" t="str">
        <f t="shared" si="48"/>
        <v/>
      </c>
      <c r="M4047" s="25"/>
      <c r="O4047" s="25"/>
    </row>
    <row r="4048" ht="15.75" customHeight="1">
      <c r="A4048" s="25" t="str">
        <f>IFERROR(__xludf.DUMMYFUNCTION("IF(B4048="""","""",RIGHT(REGEXREPLACE(B4048&amp;"""",""[^0-9]"",""""),9))"),"785121953")</f>
        <v>785121953</v>
      </c>
      <c r="B4048" s="52">
        <v>7.85121953E8</v>
      </c>
      <c r="C4048" s="28" t="s">
        <v>4045</v>
      </c>
      <c r="D4048" s="26" t="s">
        <v>64</v>
      </c>
      <c r="E4048" s="31">
        <v>46233.0</v>
      </c>
      <c r="F4048" s="26" t="s">
        <v>84</v>
      </c>
      <c r="G4048" s="26">
        <v>8.0</v>
      </c>
      <c r="H4048" s="26" t="s">
        <v>4046</v>
      </c>
      <c r="I4048" s="26" t="s">
        <v>961</v>
      </c>
      <c r="J4048" s="25" t="str">
        <f t="shared" si="46"/>
        <v>No</v>
      </c>
      <c r="K4048" s="25" t="str">
        <f t="shared" si="47"/>
        <v/>
      </c>
      <c r="L4048" s="25" t="str">
        <f t="shared" si="48"/>
        <v/>
      </c>
      <c r="M4048" s="25"/>
      <c r="O4048" s="25"/>
    </row>
    <row r="4049" ht="15.75" customHeight="1">
      <c r="A4049" s="25" t="str">
        <f>IFERROR(__xludf.DUMMYFUNCTION("IF(B4049="""","""",RIGHT(REGEXREPLACE(B4049&amp;"""",""[^0-9]"",""""),9))"),"769174963")</f>
        <v>769174963</v>
      </c>
      <c r="B4049" s="52">
        <v>7.69174963E8</v>
      </c>
      <c r="C4049" s="28" t="s">
        <v>4047</v>
      </c>
      <c r="D4049" s="26" t="s">
        <v>64</v>
      </c>
      <c r="E4049" s="31">
        <v>46233.0</v>
      </c>
      <c r="F4049" s="26" t="s">
        <v>46</v>
      </c>
      <c r="G4049" s="26">
        <v>8.0</v>
      </c>
      <c r="I4049" s="26" t="s">
        <v>961</v>
      </c>
      <c r="J4049" s="25" t="str">
        <f t="shared" si="46"/>
        <v>No</v>
      </c>
      <c r="K4049" s="25" t="str">
        <f t="shared" si="47"/>
        <v/>
      </c>
      <c r="L4049" s="25" t="str">
        <f t="shared" si="48"/>
        <v/>
      </c>
      <c r="M4049" s="25"/>
      <c r="O4049" s="26" t="s">
        <v>51</v>
      </c>
    </row>
    <row r="4050" ht="15.75" customHeight="1">
      <c r="A4050" s="25" t="str">
        <f>IFERROR(__xludf.DUMMYFUNCTION("IF(B4050="""","""",RIGHT(REGEXREPLACE(B4050&amp;"""",""[^0-9]"",""""),9))"),"778309359")</f>
        <v>778309359</v>
      </c>
      <c r="B4050" s="52">
        <v>7.78309359E8</v>
      </c>
      <c r="C4050" s="28" t="s">
        <v>4048</v>
      </c>
      <c r="D4050" s="26" t="s">
        <v>82</v>
      </c>
      <c r="E4050" s="31">
        <v>46233.0</v>
      </c>
      <c r="F4050" s="26" t="s">
        <v>46</v>
      </c>
      <c r="G4050" s="96">
        <v>46212.0</v>
      </c>
      <c r="I4050" s="26" t="s">
        <v>961</v>
      </c>
      <c r="J4050" s="25" t="str">
        <f t="shared" si="46"/>
        <v>No</v>
      </c>
      <c r="K4050" s="25" t="str">
        <f t="shared" si="47"/>
        <v/>
      </c>
      <c r="L4050" s="25" t="str">
        <f t="shared" si="48"/>
        <v/>
      </c>
      <c r="M4050" s="25"/>
      <c r="O4050" s="25"/>
    </row>
    <row r="4051" ht="15.75" customHeight="1">
      <c r="A4051" s="25" t="str">
        <f>IFERROR(__xludf.DUMMYFUNCTION("IF(B4051="""","""",RIGHT(REGEXREPLACE(B4051&amp;"""",""[^0-9]"",""""),9))"),"712869141")</f>
        <v>712869141</v>
      </c>
      <c r="B4051" s="52">
        <v>4.712869141E9</v>
      </c>
      <c r="C4051" s="28" t="s">
        <v>4049</v>
      </c>
      <c r="D4051" s="26" t="s">
        <v>64</v>
      </c>
      <c r="E4051" s="31">
        <v>46233.0</v>
      </c>
      <c r="F4051" s="26" t="s">
        <v>41</v>
      </c>
      <c r="I4051" s="26" t="s">
        <v>961</v>
      </c>
      <c r="J4051" s="25" t="str">
        <f t="shared" si="46"/>
        <v>No</v>
      </c>
      <c r="K4051" s="25" t="str">
        <f t="shared" si="47"/>
        <v/>
      </c>
      <c r="L4051" s="25" t="str">
        <f t="shared" si="48"/>
        <v/>
      </c>
      <c r="M4051" s="25"/>
      <c r="O4051" s="25"/>
    </row>
    <row r="4052" ht="15.75" customHeight="1">
      <c r="A4052" s="25" t="str">
        <f>IFERROR(__xludf.DUMMYFUNCTION("IF(B4052="""","""",RIGHT(REGEXREPLACE(B4052&amp;"""",""[^0-9]"",""""),9))"),"718109052")</f>
        <v>718109052</v>
      </c>
      <c r="B4052" s="52">
        <v>7.18109052E8</v>
      </c>
      <c r="C4052" s="28" t="s">
        <v>4050</v>
      </c>
      <c r="D4052" s="26" t="s">
        <v>64</v>
      </c>
      <c r="E4052" s="31">
        <v>46233.0</v>
      </c>
      <c r="F4052" s="26" t="s">
        <v>205</v>
      </c>
      <c r="G4052" s="26">
        <v>6.0</v>
      </c>
      <c r="I4052" s="26" t="s">
        <v>961</v>
      </c>
      <c r="J4052" s="25" t="str">
        <f t="shared" si="46"/>
        <v>No</v>
      </c>
      <c r="K4052" s="25" t="str">
        <f t="shared" si="47"/>
        <v/>
      </c>
      <c r="L4052" s="25" t="str">
        <f t="shared" si="48"/>
        <v/>
      </c>
      <c r="M4052" s="25"/>
      <c r="O4052" s="25"/>
    </row>
    <row r="4053" ht="15.75" customHeight="1">
      <c r="A4053" s="25" t="str">
        <f>IFERROR(__xludf.DUMMYFUNCTION("IF(B4053="""","""",RIGHT(REGEXREPLACE(B4053&amp;"""",""[^0-9]"",""""),9))"),"702150971")</f>
        <v>702150971</v>
      </c>
      <c r="B4053" s="52">
        <v>7.02150971E8</v>
      </c>
      <c r="C4053" s="28" t="s">
        <v>4051</v>
      </c>
      <c r="D4053" s="26" t="s">
        <v>64</v>
      </c>
      <c r="E4053" s="31">
        <v>46233.0</v>
      </c>
      <c r="F4053" s="26" t="s">
        <v>46</v>
      </c>
      <c r="G4053" s="26">
        <v>9.0</v>
      </c>
      <c r="I4053" s="26" t="s">
        <v>961</v>
      </c>
      <c r="J4053" s="25" t="str">
        <f t="shared" si="46"/>
        <v>No</v>
      </c>
      <c r="K4053" s="25" t="str">
        <f t="shared" si="47"/>
        <v/>
      </c>
      <c r="L4053" s="25" t="str">
        <f t="shared" si="48"/>
        <v/>
      </c>
      <c r="M4053" s="25"/>
      <c r="O4053" s="25"/>
    </row>
    <row r="4054" ht="15.75" customHeight="1">
      <c r="A4054" s="25" t="str">
        <f>IFERROR(__xludf.DUMMYFUNCTION("IF(B4054="""","""",RIGHT(REGEXREPLACE(B4054&amp;"""",""[^0-9]"",""""),9))"),"707835956")</f>
        <v>707835956</v>
      </c>
      <c r="B4054" s="52">
        <v>7.07835956E8</v>
      </c>
      <c r="C4054" s="28" t="s">
        <v>4052</v>
      </c>
      <c r="D4054" s="26" t="s">
        <v>82</v>
      </c>
      <c r="E4054" s="31">
        <v>46233.0</v>
      </c>
      <c r="F4054" s="26" t="s">
        <v>46</v>
      </c>
      <c r="G4054" s="26">
        <v>11.0</v>
      </c>
      <c r="I4054" s="26" t="s">
        <v>961</v>
      </c>
      <c r="J4054" s="25" t="str">
        <f t="shared" si="46"/>
        <v>No</v>
      </c>
      <c r="K4054" s="25" t="str">
        <f t="shared" si="47"/>
        <v/>
      </c>
      <c r="L4054" s="25" t="str">
        <f t="shared" si="48"/>
        <v/>
      </c>
      <c r="M4054" s="25"/>
      <c r="O4054" s="25"/>
    </row>
    <row r="4055" ht="15.75" customHeight="1">
      <c r="A4055" s="25" t="str">
        <f>IFERROR(__xludf.DUMMYFUNCTION("IF(B4055="""","""",RIGHT(REGEXREPLACE(B4055&amp;"""",""[^0-9]"",""""),9))"),"775281044")</f>
        <v>775281044</v>
      </c>
      <c r="B4055" s="52">
        <v>7.75281044E8</v>
      </c>
      <c r="C4055" s="28" t="s">
        <v>4053</v>
      </c>
      <c r="D4055" s="26" t="s">
        <v>64</v>
      </c>
      <c r="E4055" s="31">
        <v>46233.0</v>
      </c>
      <c r="F4055" s="26" t="s">
        <v>46</v>
      </c>
      <c r="G4055" s="26">
        <v>9.0</v>
      </c>
      <c r="I4055" s="26" t="s">
        <v>961</v>
      </c>
      <c r="J4055" s="25" t="str">
        <f t="shared" si="46"/>
        <v>No</v>
      </c>
      <c r="K4055" s="25" t="str">
        <f t="shared" si="47"/>
        <v/>
      </c>
      <c r="L4055" s="25" t="str">
        <f t="shared" si="48"/>
        <v/>
      </c>
      <c r="M4055" s="25"/>
      <c r="O4055" s="25"/>
    </row>
    <row r="4056" ht="15.75" customHeight="1">
      <c r="A4056" s="25" t="str">
        <f>IFERROR(__xludf.DUMMYFUNCTION("IF(B4056="""","""",RIGHT(REGEXREPLACE(B4056&amp;"""",""[^0-9]"",""""),9))"),"718052453")</f>
        <v>718052453</v>
      </c>
      <c r="B4056" s="52">
        <v>7.18052453E8</v>
      </c>
      <c r="C4056" s="28" t="s">
        <v>4054</v>
      </c>
      <c r="D4056" s="26" t="s">
        <v>64</v>
      </c>
      <c r="E4056" s="31">
        <v>46233.0</v>
      </c>
      <c r="F4056" s="26" t="s">
        <v>205</v>
      </c>
      <c r="G4056" s="26">
        <v>8.0</v>
      </c>
      <c r="I4056" s="26" t="s">
        <v>961</v>
      </c>
      <c r="J4056" s="25" t="str">
        <f t="shared" si="46"/>
        <v>No</v>
      </c>
      <c r="K4056" s="25" t="str">
        <f t="shared" si="47"/>
        <v/>
      </c>
      <c r="L4056" s="25" t="str">
        <f t="shared" si="48"/>
        <v/>
      </c>
      <c r="M4056" s="25"/>
      <c r="O4056" s="25"/>
    </row>
    <row r="4057" ht="15.75" customHeight="1">
      <c r="A4057" s="25" t="str">
        <f>IFERROR(__xludf.DUMMYFUNCTION("IF(B4057="""","""",RIGHT(REGEXREPLACE(B4057&amp;"""",""[^0-9]"",""""),9))"),"765642529")</f>
        <v>765642529</v>
      </c>
      <c r="B4057" s="52">
        <v>7.65642529E8</v>
      </c>
      <c r="C4057" s="28" t="s">
        <v>4055</v>
      </c>
      <c r="D4057" s="26" t="s">
        <v>82</v>
      </c>
      <c r="E4057" s="31">
        <v>46233.0</v>
      </c>
      <c r="F4057" s="26" t="s">
        <v>125</v>
      </c>
      <c r="G4057" s="26">
        <v>7.0</v>
      </c>
      <c r="I4057" s="26" t="s">
        <v>961</v>
      </c>
      <c r="J4057" s="25" t="str">
        <f t="shared" si="46"/>
        <v>No</v>
      </c>
      <c r="K4057" s="25" t="str">
        <f t="shared" si="47"/>
        <v/>
      </c>
      <c r="L4057" s="25" t="str">
        <f t="shared" si="48"/>
        <v/>
      </c>
      <c r="M4057" s="25"/>
      <c r="O4057" s="25"/>
    </row>
    <row r="4058" ht="15.75" customHeight="1">
      <c r="A4058" s="25" t="str">
        <f>IFERROR(__xludf.DUMMYFUNCTION("IF(B4058="""","""",RIGHT(REGEXREPLACE(B4058&amp;"""",""[^0-9]"",""""),9))"),"776645211")</f>
        <v>776645211</v>
      </c>
      <c r="B4058" s="52">
        <v>7.76645211E8</v>
      </c>
      <c r="C4058" s="28" t="s">
        <v>4056</v>
      </c>
      <c r="D4058" s="26" t="s">
        <v>64</v>
      </c>
      <c r="E4058" s="31">
        <v>46233.0</v>
      </c>
      <c r="F4058" s="26" t="s">
        <v>46</v>
      </c>
      <c r="H4058" s="26" t="s">
        <v>4057</v>
      </c>
      <c r="I4058" s="26" t="s">
        <v>961</v>
      </c>
      <c r="J4058" s="25" t="str">
        <f t="shared" si="46"/>
        <v>No</v>
      </c>
      <c r="K4058" s="25" t="str">
        <f t="shared" si="47"/>
        <v/>
      </c>
      <c r="L4058" s="25" t="str">
        <f t="shared" si="48"/>
        <v/>
      </c>
      <c r="M4058" s="25"/>
      <c r="O4058" s="25"/>
    </row>
    <row r="4059" ht="15.75" customHeight="1">
      <c r="A4059" s="25" t="str">
        <f>IFERROR(__xludf.DUMMYFUNCTION("IF(B4059="""","""",RIGHT(REGEXREPLACE(B4059&amp;"""",""[^0-9]"",""""),9))"),"786006252")</f>
        <v>786006252</v>
      </c>
      <c r="B4059" s="52">
        <v>7.86006252E8</v>
      </c>
      <c r="C4059" s="28" t="s">
        <v>4058</v>
      </c>
      <c r="D4059" s="26" t="s">
        <v>82</v>
      </c>
      <c r="E4059" s="31">
        <v>46233.0</v>
      </c>
      <c r="F4059" s="26" t="s">
        <v>46</v>
      </c>
      <c r="G4059" s="26">
        <v>7.0</v>
      </c>
      <c r="I4059" s="26" t="s">
        <v>961</v>
      </c>
      <c r="J4059" s="25" t="str">
        <f t="shared" si="46"/>
        <v>No</v>
      </c>
      <c r="K4059" s="25" t="str">
        <f t="shared" si="47"/>
        <v/>
      </c>
      <c r="L4059" s="25" t="str">
        <f t="shared" si="48"/>
        <v/>
      </c>
      <c r="M4059" s="25"/>
      <c r="O4059" s="26" t="s">
        <v>51</v>
      </c>
    </row>
    <row r="4060" ht="15.75" customHeight="1">
      <c r="A4060" s="25" t="str">
        <f>IFERROR(__xludf.DUMMYFUNCTION("IF(B4060="""","""",RIGHT(REGEXREPLACE(B4060&amp;"""",""[^0-9]"",""""),9))"),"701158892")</f>
        <v>701158892</v>
      </c>
      <c r="B4060" s="52">
        <v>7.01158892E8</v>
      </c>
      <c r="C4060" s="28" t="s">
        <v>3772</v>
      </c>
      <c r="D4060" s="26" t="s">
        <v>64</v>
      </c>
      <c r="E4060" s="31">
        <v>46233.0</v>
      </c>
      <c r="F4060" s="26" t="s">
        <v>46</v>
      </c>
      <c r="G4060" s="26">
        <v>11.0</v>
      </c>
      <c r="H4060" s="26" t="s">
        <v>4059</v>
      </c>
      <c r="I4060" s="26" t="s">
        <v>961</v>
      </c>
      <c r="J4060" s="25" t="str">
        <f t="shared" si="46"/>
        <v>Yes - see Previous F-Code</v>
      </c>
      <c r="K4060" s="25" t="str">
        <f t="shared" si="47"/>
        <v/>
      </c>
      <c r="L4060" s="25" t="str">
        <f t="shared" si="48"/>
        <v>F73424</v>
      </c>
      <c r="M4060" s="25"/>
      <c r="O4060" s="25"/>
    </row>
    <row r="4061" ht="15.75" customHeight="1">
      <c r="A4061" s="25" t="str">
        <f>IFERROR(__xludf.DUMMYFUNCTION("IF(B4061="""","""",RIGHT(REGEXREPLACE(B4061&amp;"""",""[^0-9]"",""""),9))"),"740726138")</f>
        <v>740726138</v>
      </c>
      <c r="B4061" s="52">
        <v>7.40726138E8</v>
      </c>
      <c r="C4061" s="28" t="s">
        <v>4060</v>
      </c>
      <c r="D4061" s="26" t="s">
        <v>64</v>
      </c>
      <c r="E4061" s="31">
        <v>46233.0</v>
      </c>
      <c r="F4061" s="26" t="s">
        <v>41</v>
      </c>
      <c r="I4061" s="26" t="s">
        <v>961</v>
      </c>
      <c r="J4061" s="25" t="str">
        <f t="shared" si="46"/>
        <v>No</v>
      </c>
      <c r="K4061" s="25" t="str">
        <f t="shared" si="47"/>
        <v/>
      </c>
      <c r="L4061" s="25" t="str">
        <f t="shared" si="48"/>
        <v/>
      </c>
      <c r="M4061" s="25"/>
      <c r="O4061" s="25"/>
    </row>
    <row r="4062" ht="15.75" customHeight="1">
      <c r="A4062" s="25" t="str">
        <f>IFERROR(__xludf.DUMMYFUNCTION("IF(B4062="""","""",RIGHT(REGEXREPLACE(B4062&amp;"""",""[^0-9]"",""""),9))"),"778337703")</f>
        <v>778337703</v>
      </c>
      <c r="B4062" s="52">
        <v>7.78337703E8</v>
      </c>
      <c r="C4062" s="28" t="s">
        <v>3909</v>
      </c>
      <c r="D4062" s="26" t="s">
        <v>64</v>
      </c>
      <c r="E4062" s="31">
        <v>46233.0</v>
      </c>
      <c r="F4062" s="25"/>
      <c r="G4062" s="26">
        <v>11.0</v>
      </c>
      <c r="H4062" s="26" t="s">
        <v>4061</v>
      </c>
      <c r="I4062" s="26" t="s">
        <v>961</v>
      </c>
      <c r="J4062" s="25" t="str">
        <f t="shared" si="46"/>
        <v>Yes - see Previous F-Code</v>
      </c>
      <c r="K4062" s="25" t="str">
        <f t="shared" si="47"/>
        <v>DUPLICATE - CHECK</v>
      </c>
      <c r="L4062" s="25" t="str">
        <f t="shared" si="48"/>
        <v>F73557</v>
      </c>
      <c r="M4062" s="25"/>
      <c r="N4062" s="25"/>
      <c r="O4062" s="25"/>
      <c r="P4062" s="25"/>
    </row>
    <row r="4063" ht="15.75" customHeight="1">
      <c r="A4063" s="25" t="str">
        <f>IFERROR(__xludf.DUMMYFUNCTION("IF(B4063="""","""",RIGHT(REGEXREPLACE(B4063&amp;"""",""[^0-9]"",""""),9))"),"711010838")</f>
        <v>711010838</v>
      </c>
      <c r="B4063" s="52">
        <v>7.11010838E8</v>
      </c>
      <c r="C4063" s="28" t="s">
        <v>4062</v>
      </c>
      <c r="D4063" s="26" t="s">
        <v>82</v>
      </c>
      <c r="E4063" s="31">
        <v>46233.0</v>
      </c>
      <c r="F4063" s="26" t="s">
        <v>41</v>
      </c>
      <c r="G4063" s="26">
        <v>11.0</v>
      </c>
      <c r="I4063" s="26" t="s">
        <v>961</v>
      </c>
      <c r="J4063" s="25" t="str">
        <f t="shared" si="46"/>
        <v>No</v>
      </c>
      <c r="K4063" s="25" t="str">
        <f t="shared" si="47"/>
        <v/>
      </c>
      <c r="L4063" s="25" t="str">
        <f t="shared" si="48"/>
        <v/>
      </c>
      <c r="M4063" s="25"/>
      <c r="O4063" s="25"/>
    </row>
    <row r="4064" ht="15.75" customHeight="1">
      <c r="A4064" s="25" t="str">
        <f>IFERROR(__xludf.DUMMYFUNCTION("IF(B4064="""","""",RIGHT(REGEXREPLACE(B4064&amp;"""",""[^0-9]"",""""),9))"),"712504574")</f>
        <v>712504574</v>
      </c>
      <c r="B4064" s="52">
        <v>7.12504574E8</v>
      </c>
      <c r="C4064" s="28" t="s">
        <v>4063</v>
      </c>
      <c r="D4064" s="26" t="s">
        <v>64</v>
      </c>
      <c r="E4064" s="31">
        <v>46233.0</v>
      </c>
      <c r="F4064" s="26" t="s">
        <v>205</v>
      </c>
      <c r="I4064" s="26" t="s">
        <v>961</v>
      </c>
      <c r="J4064" s="25" t="str">
        <f t="shared" si="46"/>
        <v>No</v>
      </c>
      <c r="K4064" s="25" t="str">
        <f t="shared" si="47"/>
        <v/>
      </c>
      <c r="L4064" s="25" t="str">
        <f t="shared" si="48"/>
        <v/>
      </c>
      <c r="M4064" s="25"/>
      <c r="O4064" s="25"/>
    </row>
    <row r="4065" ht="15.75" customHeight="1">
      <c r="A4065" s="25" t="str">
        <f>IFERROR(__xludf.DUMMYFUNCTION("IF(B4065="""","""",RIGHT(REGEXREPLACE(B4065&amp;"""",""[^0-9]"",""""),9))"),"702979893")</f>
        <v>702979893</v>
      </c>
      <c r="B4065" s="52">
        <v>7.02979893E8</v>
      </c>
      <c r="C4065" s="28" t="s">
        <v>3929</v>
      </c>
      <c r="D4065" s="26" t="s">
        <v>82</v>
      </c>
      <c r="E4065" s="31">
        <v>46233.0</v>
      </c>
      <c r="F4065" s="26" t="s">
        <v>46</v>
      </c>
      <c r="G4065" s="26">
        <v>10.0</v>
      </c>
      <c r="I4065" s="26" t="s">
        <v>961</v>
      </c>
      <c r="J4065" s="25" t="str">
        <f t="shared" si="46"/>
        <v>No</v>
      </c>
      <c r="K4065" s="25" t="str">
        <f t="shared" si="47"/>
        <v/>
      </c>
      <c r="L4065" s="25" t="str">
        <f t="shared" si="48"/>
        <v/>
      </c>
      <c r="M4065" s="25"/>
      <c r="O4065" s="25"/>
    </row>
    <row r="4066" ht="15.75" customHeight="1">
      <c r="A4066" s="25" t="str">
        <f>IFERROR(__xludf.DUMMYFUNCTION("IF(B4066="""","""",RIGHT(REGEXREPLACE(B4066&amp;"""",""[^0-9]"",""""),9))"),"777246782")</f>
        <v>777246782</v>
      </c>
      <c r="B4066" s="52">
        <v>7.77246782E8</v>
      </c>
      <c r="C4066" s="28" t="s">
        <v>4064</v>
      </c>
      <c r="D4066" s="26" t="s">
        <v>64</v>
      </c>
      <c r="E4066" s="31">
        <v>46233.0</v>
      </c>
      <c r="F4066" s="26" t="s">
        <v>46</v>
      </c>
      <c r="G4066" s="26">
        <v>10.0</v>
      </c>
      <c r="I4066" s="26" t="s">
        <v>961</v>
      </c>
      <c r="J4066" s="25" t="str">
        <f t="shared" si="46"/>
        <v>No</v>
      </c>
      <c r="K4066" s="25" t="str">
        <f t="shared" si="47"/>
        <v/>
      </c>
      <c r="L4066" s="25" t="str">
        <f t="shared" si="48"/>
        <v/>
      </c>
      <c r="M4066" s="25"/>
      <c r="O4066" s="25"/>
    </row>
    <row r="4067" ht="15.75" customHeight="1">
      <c r="A4067" s="25" t="str">
        <f>IFERROR(__xludf.DUMMYFUNCTION("IF(B4067="""","""",RIGHT(REGEXREPLACE(B4067&amp;"""",""[^0-9]"",""""),9))"),"765473875")</f>
        <v>765473875</v>
      </c>
      <c r="B4067" s="52">
        <v>7.65473875E8</v>
      </c>
      <c r="C4067" s="28" t="s">
        <v>4065</v>
      </c>
      <c r="D4067" s="26" t="s">
        <v>82</v>
      </c>
      <c r="E4067" s="31">
        <v>46233.0</v>
      </c>
      <c r="F4067" s="26" t="s">
        <v>84</v>
      </c>
      <c r="G4067" s="26">
        <v>10.0</v>
      </c>
      <c r="I4067" s="26" t="s">
        <v>961</v>
      </c>
      <c r="J4067" s="25" t="str">
        <f t="shared" si="46"/>
        <v>No</v>
      </c>
      <c r="K4067" s="25" t="str">
        <f t="shared" si="47"/>
        <v/>
      </c>
      <c r="L4067" s="25" t="str">
        <f t="shared" si="48"/>
        <v/>
      </c>
      <c r="M4067" s="25"/>
      <c r="O4067" s="25"/>
    </row>
    <row r="4068" ht="15.75" customHeight="1">
      <c r="A4068" s="25" t="str">
        <f>IFERROR(__xludf.DUMMYFUNCTION("IF(B4068="""","""",RIGHT(REGEXREPLACE(B4068&amp;"""",""[^0-9]"",""""),9))"),"705920205")</f>
        <v>705920205</v>
      </c>
      <c r="B4068" s="52">
        <v>7.05920205E8</v>
      </c>
      <c r="C4068" s="28" t="s">
        <v>4066</v>
      </c>
      <c r="D4068" s="26" t="s">
        <v>64</v>
      </c>
      <c r="E4068" s="31">
        <v>46233.0</v>
      </c>
      <c r="F4068" s="26" t="s">
        <v>41</v>
      </c>
      <c r="G4068" s="26">
        <v>8.0</v>
      </c>
      <c r="I4068" s="26" t="s">
        <v>961</v>
      </c>
      <c r="J4068" s="25" t="str">
        <f t="shared" si="46"/>
        <v>No</v>
      </c>
      <c r="K4068" s="25" t="str">
        <f t="shared" si="47"/>
        <v/>
      </c>
      <c r="L4068" s="25" t="str">
        <f t="shared" si="48"/>
        <v/>
      </c>
      <c r="M4068" s="25"/>
      <c r="O4068" s="25"/>
    </row>
    <row r="4069" ht="15.75" customHeight="1">
      <c r="A4069" s="25" t="str">
        <f>IFERROR(__xludf.DUMMYFUNCTION("IF(B4069="""","""",RIGHT(REGEXREPLACE(B4069&amp;"""",""[^0-9]"",""""),9))"),"765480807")</f>
        <v>765480807</v>
      </c>
      <c r="B4069" s="52">
        <v>7.65480807E8</v>
      </c>
      <c r="C4069" s="28" t="s">
        <v>4067</v>
      </c>
      <c r="D4069" s="26" t="s">
        <v>64</v>
      </c>
      <c r="E4069" s="31">
        <v>46233.0</v>
      </c>
      <c r="F4069" s="26" t="s">
        <v>46</v>
      </c>
      <c r="G4069" s="26">
        <v>10.0</v>
      </c>
      <c r="I4069" s="26" t="s">
        <v>961</v>
      </c>
      <c r="J4069" s="25" t="str">
        <f t="shared" si="46"/>
        <v>No</v>
      </c>
      <c r="K4069" s="25" t="str">
        <f t="shared" si="47"/>
        <v/>
      </c>
      <c r="L4069" s="25" t="str">
        <f t="shared" si="48"/>
        <v/>
      </c>
      <c r="M4069" s="25"/>
      <c r="O4069" s="25"/>
    </row>
    <row r="4070" ht="15.75" customHeight="1">
      <c r="A4070" s="25" t="str">
        <f>IFERROR(__xludf.DUMMYFUNCTION("IF(B4070="""","""",RIGHT(REGEXREPLACE(B4070&amp;"""",""[^0-9]"",""""),9))"),"762099879")</f>
        <v>762099879</v>
      </c>
      <c r="B4070" s="52">
        <v>7.62099879E8</v>
      </c>
      <c r="C4070" s="28" t="s">
        <v>4068</v>
      </c>
      <c r="D4070" s="26" t="s">
        <v>82</v>
      </c>
      <c r="E4070" s="31">
        <v>46233.0</v>
      </c>
      <c r="F4070" s="26" t="s">
        <v>205</v>
      </c>
      <c r="I4070" s="26" t="s">
        <v>961</v>
      </c>
      <c r="J4070" s="25" t="str">
        <f t="shared" si="46"/>
        <v>No</v>
      </c>
      <c r="K4070" s="25" t="str">
        <f t="shared" si="47"/>
        <v/>
      </c>
      <c r="L4070" s="25" t="str">
        <f t="shared" si="48"/>
        <v/>
      </c>
      <c r="M4070" s="25"/>
      <c r="O4070" s="25"/>
    </row>
    <row r="4071" ht="15.75" customHeight="1">
      <c r="A4071" s="25" t="str">
        <f>IFERROR(__xludf.DUMMYFUNCTION("IF(B4071="""","""",RIGHT(REGEXREPLACE(B4071&amp;"""",""[^0-9]"",""""),9))"),"787538621")</f>
        <v>787538621</v>
      </c>
      <c r="B4071" s="52">
        <v>7.87538621E8</v>
      </c>
      <c r="C4071" s="28" t="s">
        <v>4069</v>
      </c>
      <c r="D4071" s="26" t="s">
        <v>82</v>
      </c>
      <c r="E4071" s="31">
        <v>46233.0</v>
      </c>
      <c r="F4071" s="26" t="s">
        <v>46</v>
      </c>
      <c r="G4071" s="26">
        <v>9.0</v>
      </c>
      <c r="I4071" s="26" t="s">
        <v>961</v>
      </c>
      <c r="J4071" s="25" t="str">
        <f t="shared" si="46"/>
        <v>No</v>
      </c>
      <c r="K4071" s="25" t="str">
        <f t="shared" si="47"/>
        <v/>
      </c>
      <c r="L4071" s="25" t="str">
        <f t="shared" si="48"/>
        <v/>
      </c>
      <c r="M4071" s="25"/>
      <c r="O4071" s="26" t="s">
        <v>51</v>
      </c>
    </row>
    <row r="4072" ht="15.75" customHeight="1">
      <c r="A4072" s="25" t="str">
        <f>IFERROR(__xludf.DUMMYFUNCTION("IF(B4072="""","""",RIGHT(REGEXREPLACE(B4072&amp;"""",""[^0-9]"",""""),9))"),"704971486")</f>
        <v>704971486</v>
      </c>
      <c r="B4072" s="52">
        <v>7.04971486E8</v>
      </c>
      <c r="C4072" s="28" t="s">
        <v>4070</v>
      </c>
      <c r="D4072" s="26" t="s">
        <v>64</v>
      </c>
      <c r="E4072" s="31">
        <v>46233.0</v>
      </c>
      <c r="F4072" s="26" t="s">
        <v>205</v>
      </c>
      <c r="I4072" s="26" t="s">
        <v>961</v>
      </c>
      <c r="J4072" s="25" t="str">
        <f t="shared" si="46"/>
        <v>No</v>
      </c>
      <c r="K4072" s="25" t="str">
        <f t="shared" si="47"/>
        <v/>
      </c>
      <c r="L4072" s="25" t="str">
        <f t="shared" si="48"/>
        <v/>
      </c>
      <c r="M4072" s="25"/>
      <c r="O4072" s="25"/>
    </row>
    <row r="4073" ht="15.75" customHeight="1">
      <c r="A4073" s="25" t="str">
        <f>IFERROR(__xludf.DUMMYFUNCTION("IF(B4073="""","""",RIGHT(REGEXREPLACE(B4073&amp;"""",""[^0-9]"",""""),9))"),"710493519")</f>
        <v>710493519</v>
      </c>
      <c r="B4073" s="52">
        <v>7.10493519E8</v>
      </c>
      <c r="C4073" s="28" t="s">
        <v>3937</v>
      </c>
      <c r="D4073" s="26" t="s">
        <v>64</v>
      </c>
      <c r="E4073" s="31">
        <v>46233.0</v>
      </c>
      <c r="F4073" s="26" t="s">
        <v>125</v>
      </c>
      <c r="I4073" s="26" t="s">
        <v>961</v>
      </c>
      <c r="J4073" s="25" t="str">
        <f t="shared" si="46"/>
        <v>Yes - see Previous F-Code</v>
      </c>
      <c r="K4073" s="25" t="str">
        <f t="shared" si="47"/>
        <v>DUPLICATE - CHECK</v>
      </c>
      <c r="L4073" s="25" t="str">
        <f t="shared" si="48"/>
        <v>F73583</v>
      </c>
      <c r="M4073" s="25"/>
      <c r="O4073" s="25"/>
    </row>
    <row r="4074" ht="15.75" customHeight="1">
      <c r="A4074" s="25" t="str">
        <f>IFERROR(__xludf.DUMMYFUNCTION("IF(B4074="""","""",RIGHT(REGEXREPLACE(B4074&amp;"""",""[^0-9]"",""""),9))"),"784825515")</f>
        <v>784825515</v>
      </c>
      <c r="B4074" s="52">
        <v>7.84825515E8</v>
      </c>
      <c r="C4074" s="28" t="s">
        <v>3127</v>
      </c>
      <c r="D4074" s="26" t="s">
        <v>64</v>
      </c>
      <c r="E4074" s="31">
        <v>46233.0</v>
      </c>
      <c r="F4074" s="26" t="s">
        <v>205</v>
      </c>
      <c r="I4074" s="26" t="s">
        <v>961</v>
      </c>
      <c r="J4074" s="25" t="str">
        <f t="shared" si="46"/>
        <v>Yes - see Previous F-Code</v>
      </c>
      <c r="K4074" s="25" t="str">
        <f t="shared" si="47"/>
        <v/>
      </c>
      <c r="L4074" s="25" t="str">
        <f t="shared" si="48"/>
        <v>F72759</v>
      </c>
      <c r="M4074" s="25"/>
      <c r="O4074" s="25"/>
    </row>
    <row r="4075" ht="15.75" customHeight="1">
      <c r="A4075" s="25" t="str">
        <f>IFERROR(__xludf.DUMMYFUNCTION("IF(B4075="""","""",RIGHT(REGEXREPLACE(B4075&amp;"""",""[^0-9]"",""""),9))"),"714443723")</f>
        <v>714443723</v>
      </c>
      <c r="B4075" s="52">
        <v>7.14443723E8</v>
      </c>
      <c r="C4075" s="28" t="s">
        <v>1070</v>
      </c>
      <c r="D4075" s="26" t="s">
        <v>82</v>
      </c>
      <c r="E4075" s="31">
        <v>46233.0</v>
      </c>
      <c r="F4075" s="26" t="s">
        <v>41</v>
      </c>
      <c r="I4075" s="26" t="s">
        <v>961</v>
      </c>
      <c r="J4075" s="25" t="str">
        <f t="shared" si="46"/>
        <v>Yes - see Previous F-Code</v>
      </c>
      <c r="K4075" s="25" t="str">
        <f t="shared" si="47"/>
        <v/>
      </c>
      <c r="L4075" s="25" t="str">
        <f t="shared" si="48"/>
        <v>F70814</v>
      </c>
      <c r="M4075" s="25"/>
      <c r="O4075" s="25"/>
    </row>
    <row r="4076" ht="15.75" customHeight="1">
      <c r="A4076" s="25" t="str">
        <f>IFERROR(__xludf.DUMMYFUNCTION("IF(B4076="""","""",RIGHT(REGEXREPLACE(B4076&amp;"""",""[^0-9]"",""""),9))"),"705995020")</f>
        <v>705995020</v>
      </c>
      <c r="B4076" s="52">
        <v>7.0599502E8</v>
      </c>
      <c r="C4076" s="28" t="s">
        <v>4071</v>
      </c>
      <c r="D4076" s="26" t="s">
        <v>64</v>
      </c>
      <c r="E4076" s="31">
        <v>46233.0</v>
      </c>
      <c r="F4076" s="26" t="s">
        <v>46</v>
      </c>
      <c r="G4076" s="26">
        <v>10.0</v>
      </c>
      <c r="I4076" s="26" t="s">
        <v>961</v>
      </c>
      <c r="J4076" s="25" t="str">
        <f t="shared" si="46"/>
        <v>No</v>
      </c>
      <c r="K4076" s="25" t="str">
        <f t="shared" si="47"/>
        <v/>
      </c>
      <c r="L4076" s="25" t="str">
        <f t="shared" si="48"/>
        <v/>
      </c>
      <c r="M4076" s="25"/>
      <c r="O4076" s="25"/>
    </row>
    <row r="4077" ht="15.75" customHeight="1">
      <c r="A4077" s="25" t="str">
        <f>IFERROR(__xludf.DUMMYFUNCTION("IF(B4077="""","""",RIGHT(REGEXREPLACE(B4077&amp;"""",""[^0-9]"",""""),9))"),"767614150")</f>
        <v>767614150</v>
      </c>
      <c r="B4077" s="52">
        <v>7.6761415E8</v>
      </c>
      <c r="C4077" s="28" t="s">
        <v>4072</v>
      </c>
      <c r="D4077" s="26" t="s">
        <v>82</v>
      </c>
      <c r="E4077" s="31">
        <v>46233.0</v>
      </c>
      <c r="F4077" s="26" t="s">
        <v>41</v>
      </c>
      <c r="G4077" s="26">
        <v>7.0</v>
      </c>
      <c r="I4077" s="26" t="s">
        <v>961</v>
      </c>
      <c r="J4077" s="25" t="str">
        <f t="shared" si="46"/>
        <v>No</v>
      </c>
      <c r="K4077" s="25" t="str">
        <f t="shared" si="47"/>
        <v/>
      </c>
      <c r="L4077" s="25" t="str">
        <f t="shared" si="48"/>
        <v/>
      </c>
      <c r="M4077" s="25"/>
      <c r="O4077" s="25"/>
    </row>
    <row r="4078" ht="15.75" customHeight="1">
      <c r="A4078" s="25" t="str">
        <f>IFERROR(__xludf.DUMMYFUNCTION("IF(B4078="""","""",RIGHT(REGEXREPLACE(B4078&amp;"""",""[^0-9]"",""""),9))"),"756854789")</f>
        <v>756854789</v>
      </c>
      <c r="B4078" s="52">
        <v>7.56854789E8</v>
      </c>
      <c r="C4078" s="28" t="s">
        <v>4073</v>
      </c>
      <c r="D4078" s="26" t="s">
        <v>64</v>
      </c>
      <c r="E4078" s="31">
        <v>46233.0</v>
      </c>
      <c r="F4078" s="26" t="s">
        <v>205</v>
      </c>
      <c r="I4078" s="26" t="s">
        <v>961</v>
      </c>
      <c r="J4078" s="25" t="str">
        <f t="shared" si="46"/>
        <v>No</v>
      </c>
      <c r="K4078" s="25" t="str">
        <f t="shared" si="47"/>
        <v/>
      </c>
      <c r="L4078" s="25" t="str">
        <f t="shared" si="48"/>
        <v/>
      </c>
      <c r="M4078" s="25"/>
      <c r="O4078" s="25"/>
    </row>
    <row r="4079" ht="15.75" customHeight="1">
      <c r="A4079" s="25" t="str">
        <f>IFERROR(__xludf.DUMMYFUNCTION("IF(B4079="""","""",RIGHT(REGEXREPLACE(B4079&amp;"""",""[^0-9]"",""""),9))"),"711724986")</f>
        <v>711724986</v>
      </c>
      <c r="B4079" s="52">
        <v>7.11724986E8</v>
      </c>
      <c r="C4079" s="28" t="s">
        <v>4074</v>
      </c>
      <c r="D4079" s="26" t="s">
        <v>82</v>
      </c>
      <c r="E4079" s="31">
        <v>46233.0</v>
      </c>
      <c r="F4079" s="26" t="s">
        <v>46</v>
      </c>
      <c r="G4079" s="26">
        <v>6.0</v>
      </c>
      <c r="I4079" s="26" t="s">
        <v>961</v>
      </c>
      <c r="J4079" s="25" t="str">
        <f t="shared" si="46"/>
        <v>No</v>
      </c>
      <c r="K4079" s="25" t="str">
        <f t="shared" si="47"/>
        <v/>
      </c>
      <c r="L4079" s="25" t="str">
        <f t="shared" si="48"/>
        <v/>
      </c>
      <c r="M4079" s="25"/>
      <c r="O4079" s="25"/>
    </row>
    <row r="4080" ht="15.75" customHeight="1">
      <c r="A4080" s="25" t="str">
        <f>IFERROR(__xludf.DUMMYFUNCTION("IF(B4080="""","""",RIGHT(REGEXREPLACE(B4080&amp;"""",""[^0-9]"",""""),9))"),"779003245")</f>
        <v>779003245</v>
      </c>
      <c r="B4080" s="52">
        <v>7.79003245E8</v>
      </c>
      <c r="C4080" s="28" t="s">
        <v>3962</v>
      </c>
      <c r="D4080" s="26" t="s">
        <v>64</v>
      </c>
      <c r="E4080" s="31">
        <v>46233.0</v>
      </c>
      <c r="F4080" s="26" t="s">
        <v>41</v>
      </c>
      <c r="G4080" s="26">
        <v>9.0</v>
      </c>
      <c r="I4080" s="26" t="s">
        <v>961</v>
      </c>
      <c r="J4080" s="25" t="str">
        <f t="shared" si="46"/>
        <v>Yes - see Previous F-Code</v>
      </c>
      <c r="K4080" s="25" t="str">
        <f t="shared" si="47"/>
        <v>DUPLICATE - CHECK</v>
      </c>
      <c r="L4080" s="25" t="str">
        <f t="shared" si="48"/>
        <v>F73608</v>
      </c>
      <c r="M4080" s="25"/>
      <c r="O4080" s="25"/>
    </row>
    <row r="4081" ht="15.75" customHeight="1">
      <c r="A4081" s="25" t="str">
        <f>IFERROR(__xludf.DUMMYFUNCTION("IF(B4081="""","""",RIGHT(REGEXREPLACE(B4081&amp;"""",""[^0-9]"",""""),9))"),"741139661")</f>
        <v>741139661</v>
      </c>
      <c r="B4081" s="52">
        <v>4.741139661E9</v>
      </c>
      <c r="C4081" s="28" t="s">
        <v>4075</v>
      </c>
      <c r="D4081" s="26" t="s">
        <v>64</v>
      </c>
      <c r="E4081" s="31">
        <v>46233.0</v>
      </c>
      <c r="F4081" s="26" t="s">
        <v>46</v>
      </c>
      <c r="G4081" s="26">
        <v>10.0</v>
      </c>
      <c r="I4081" s="26" t="s">
        <v>961</v>
      </c>
      <c r="J4081" s="25" t="str">
        <f t="shared" si="46"/>
        <v>No</v>
      </c>
      <c r="K4081" s="25" t="str">
        <f t="shared" si="47"/>
        <v/>
      </c>
      <c r="L4081" s="25" t="str">
        <f t="shared" si="48"/>
        <v/>
      </c>
      <c r="M4081" s="25"/>
      <c r="O4081" s="25"/>
    </row>
    <row r="4082" ht="15.75" customHeight="1">
      <c r="A4082" s="25" t="str">
        <f>IFERROR(__xludf.DUMMYFUNCTION("IF(B4082="""","""",RIGHT(REGEXREPLACE(B4082&amp;"""",""[^0-9]"",""""),9))"),"764577231")</f>
        <v>764577231</v>
      </c>
      <c r="B4082" s="52">
        <v>7.64577231E8</v>
      </c>
      <c r="C4082" s="28" t="s">
        <v>4076</v>
      </c>
      <c r="D4082" s="26" t="s">
        <v>82</v>
      </c>
      <c r="E4082" s="31">
        <v>46233.0</v>
      </c>
      <c r="F4082" s="26" t="s">
        <v>46</v>
      </c>
      <c r="G4082" s="26">
        <v>6.0</v>
      </c>
      <c r="I4082" s="26" t="s">
        <v>961</v>
      </c>
      <c r="J4082" s="25" t="str">
        <f t="shared" si="46"/>
        <v>No</v>
      </c>
      <c r="K4082" s="25" t="str">
        <f t="shared" si="47"/>
        <v/>
      </c>
      <c r="L4082" s="25" t="str">
        <f t="shared" si="48"/>
        <v/>
      </c>
      <c r="M4082" s="25"/>
      <c r="O4082" s="26" t="s">
        <v>51</v>
      </c>
    </row>
    <row r="4083" ht="15.75" customHeight="1">
      <c r="A4083" s="25" t="str">
        <f>IFERROR(__xludf.DUMMYFUNCTION("IF(B4083="""","""",RIGHT(REGEXREPLACE(B4083&amp;"""",""[^0-9]"",""""),9))"),"778287214")</f>
        <v>778287214</v>
      </c>
      <c r="B4083" s="52">
        <v>7.78287214E8</v>
      </c>
      <c r="C4083" s="28" t="s">
        <v>4077</v>
      </c>
      <c r="D4083" s="26" t="s">
        <v>64</v>
      </c>
      <c r="E4083" s="31">
        <v>46233.0</v>
      </c>
      <c r="F4083" s="26" t="s">
        <v>46</v>
      </c>
      <c r="G4083" s="26">
        <v>11.0</v>
      </c>
      <c r="I4083" s="26" t="s">
        <v>961</v>
      </c>
      <c r="J4083" s="25" t="str">
        <f t="shared" si="46"/>
        <v>No</v>
      </c>
      <c r="K4083" s="25" t="str">
        <f t="shared" si="47"/>
        <v/>
      </c>
      <c r="L4083" s="25" t="str">
        <f t="shared" si="48"/>
        <v/>
      </c>
      <c r="M4083" s="25"/>
      <c r="O4083" s="25"/>
    </row>
    <row r="4084" ht="15.75" customHeight="1">
      <c r="A4084" s="25" t="str">
        <f>IFERROR(__xludf.DUMMYFUNCTION("IF(B4084="""","""",RIGHT(REGEXREPLACE(B4084&amp;"""",""[^0-9]"",""""),9))"),"788594653")</f>
        <v>788594653</v>
      </c>
      <c r="B4084" s="52">
        <v>7.88594653E8</v>
      </c>
      <c r="C4084" s="28" t="s">
        <v>4078</v>
      </c>
      <c r="D4084" s="26" t="s">
        <v>82</v>
      </c>
      <c r="E4084" s="31">
        <v>46233.0</v>
      </c>
      <c r="F4084" s="26" t="s">
        <v>41</v>
      </c>
      <c r="G4084" s="26">
        <v>6.0</v>
      </c>
      <c r="I4084" s="26" t="s">
        <v>961</v>
      </c>
      <c r="J4084" s="25" t="str">
        <f t="shared" si="46"/>
        <v>No</v>
      </c>
      <c r="K4084" s="25" t="str">
        <f t="shared" si="47"/>
        <v/>
      </c>
      <c r="L4084" s="25" t="str">
        <f t="shared" si="48"/>
        <v/>
      </c>
      <c r="M4084" s="25"/>
      <c r="O4084" s="25"/>
    </row>
    <row r="4085" ht="15.75" customHeight="1">
      <c r="A4085" s="25" t="str">
        <f>IFERROR(__xludf.DUMMYFUNCTION("IF(B4085="""","""",RIGHT(REGEXREPLACE(B4085&amp;"""",""[^0-9]"",""""),9))"),"711342417")</f>
        <v>711342417</v>
      </c>
      <c r="B4085" s="52">
        <v>7.11342417E8</v>
      </c>
      <c r="C4085" s="28" t="s">
        <v>173</v>
      </c>
      <c r="D4085" s="26" t="s">
        <v>64</v>
      </c>
      <c r="E4085" s="31">
        <v>46233.0</v>
      </c>
      <c r="F4085" s="26" t="s">
        <v>46</v>
      </c>
      <c r="G4085" s="26">
        <v>10.0</v>
      </c>
      <c r="I4085" s="26" t="s">
        <v>961</v>
      </c>
      <c r="J4085" s="25" t="str">
        <f t="shared" si="46"/>
        <v>Yes - see Previous F-Code</v>
      </c>
      <c r="K4085" s="25" t="str">
        <f t="shared" si="47"/>
        <v/>
      </c>
      <c r="L4085" s="25" t="str">
        <f t="shared" si="48"/>
        <v>F70075</v>
      </c>
      <c r="M4085" s="25"/>
      <c r="O4085" s="25"/>
    </row>
    <row r="4086" ht="15.75" customHeight="1">
      <c r="A4086" s="25" t="str">
        <f>IFERROR(__xludf.DUMMYFUNCTION("IF(B4086="""","""",RIGHT(REGEXREPLACE(B4086&amp;"""",""[^0-9]"",""""),9))"),"718234294")</f>
        <v>718234294</v>
      </c>
      <c r="B4086" s="52">
        <v>7.18234294E8</v>
      </c>
      <c r="C4086" s="28" t="s">
        <v>4079</v>
      </c>
      <c r="D4086" s="26" t="s">
        <v>64</v>
      </c>
      <c r="E4086" s="31">
        <v>46233.0</v>
      </c>
      <c r="F4086" s="26" t="s">
        <v>46</v>
      </c>
      <c r="G4086" s="26">
        <v>10.0</v>
      </c>
      <c r="I4086" s="26" t="s">
        <v>961</v>
      </c>
      <c r="J4086" s="25" t="str">
        <f t="shared" si="46"/>
        <v>No</v>
      </c>
      <c r="K4086" s="25" t="str">
        <f t="shared" si="47"/>
        <v/>
      </c>
      <c r="L4086" s="25" t="str">
        <f t="shared" si="48"/>
        <v/>
      </c>
      <c r="M4086" s="25"/>
      <c r="O4086" s="25"/>
    </row>
    <row r="4087" ht="15.75" customHeight="1">
      <c r="A4087" s="25" t="str">
        <f>IFERROR(__xludf.DUMMYFUNCTION("IF(B4087="""","""",RIGHT(REGEXREPLACE(B4087&amp;"""",""[^0-9]"",""""),9))"),"702630396")</f>
        <v>702630396</v>
      </c>
      <c r="B4087" s="52">
        <v>7.02630396E8</v>
      </c>
      <c r="C4087" s="28" t="s">
        <v>4080</v>
      </c>
      <c r="D4087" s="26" t="s">
        <v>82</v>
      </c>
      <c r="E4087" s="31">
        <v>46233.0</v>
      </c>
      <c r="F4087" s="26" t="s">
        <v>46</v>
      </c>
      <c r="G4087" s="26">
        <v>10.0</v>
      </c>
      <c r="I4087" s="26" t="s">
        <v>961</v>
      </c>
      <c r="J4087" s="25" t="str">
        <f t="shared" si="46"/>
        <v>No</v>
      </c>
      <c r="K4087" s="25" t="str">
        <f t="shared" si="47"/>
        <v/>
      </c>
      <c r="L4087" s="25" t="str">
        <f t="shared" si="48"/>
        <v/>
      </c>
      <c r="M4087" s="25"/>
      <c r="O4087" s="25"/>
    </row>
    <row r="4088" ht="15.75" customHeight="1">
      <c r="A4088" s="25" t="str">
        <f>IFERROR(__xludf.DUMMYFUNCTION("IF(B4088="""","""",RIGHT(REGEXREPLACE(B4088&amp;"""",""[^0-9]"",""""),9))"),"704150873")</f>
        <v>704150873</v>
      </c>
      <c r="B4088" s="52">
        <v>7.04150873E8</v>
      </c>
      <c r="C4088" s="28" t="s">
        <v>4081</v>
      </c>
      <c r="D4088" s="26" t="s">
        <v>64</v>
      </c>
      <c r="E4088" s="31">
        <v>46233.0</v>
      </c>
      <c r="F4088" s="26" t="s">
        <v>46</v>
      </c>
      <c r="G4088" s="26">
        <v>11.0</v>
      </c>
      <c r="I4088" s="26" t="s">
        <v>961</v>
      </c>
      <c r="J4088" s="25" t="str">
        <f t="shared" si="46"/>
        <v>No</v>
      </c>
      <c r="K4088" s="25" t="str">
        <f t="shared" si="47"/>
        <v/>
      </c>
      <c r="L4088" s="25" t="str">
        <f t="shared" si="48"/>
        <v/>
      </c>
      <c r="M4088" s="25"/>
      <c r="O4088" s="25"/>
    </row>
    <row r="4089" ht="15.75" customHeight="1">
      <c r="A4089" s="25" t="str">
        <f>IFERROR(__xludf.DUMMYFUNCTION("IF(B4089="""","""",RIGHT(REGEXREPLACE(B4089&amp;"""",""[^0-9]"",""""),9))"),"768101377")</f>
        <v>768101377</v>
      </c>
      <c r="B4089" s="52">
        <v>7.68101377E8</v>
      </c>
      <c r="C4089" s="28" t="s">
        <v>4082</v>
      </c>
      <c r="D4089" s="26" t="s">
        <v>64</v>
      </c>
      <c r="E4089" s="31">
        <v>46233.0</v>
      </c>
      <c r="F4089" s="26" t="s">
        <v>46</v>
      </c>
      <c r="G4089" s="26">
        <v>10.0</v>
      </c>
      <c r="I4089" s="26" t="s">
        <v>961</v>
      </c>
      <c r="J4089" s="25" t="str">
        <f t="shared" si="46"/>
        <v>No</v>
      </c>
      <c r="K4089" s="25" t="str">
        <f t="shared" si="47"/>
        <v/>
      </c>
      <c r="L4089" s="25" t="str">
        <f t="shared" si="48"/>
        <v/>
      </c>
      <c r="M4089" s="25"/>
      <c r="O4089" s="25"/>
    </row>
    <row r="4090" ht="15.75" customHeight="1">
      <c r="A4090" s="25" t="str">
        <f>IFERROR(__xludf.DUMMYFUNCTION("IF(B4090="""","""",RIGHT(REGEXREPLACE(B4090&amp;"""",""[^0-9]"",""""),9))"),"774252361")</f>
        <v>774252361</v>
      </c>
      <c r="B4090" s="52">
        <v>7.74252361E8</v>
      </c>
      <c r="C4090" s="28" t="s">
        <v>4083</v>
      </c>
      <c r="D4090" s="26" t="s">
        <v>64</v>
      </c>
      <c r="E4090" s="31">
        <v>46233.0</v>
      </c>
      <c r="F4090" s="26" t="s">
        <v>41</v>
      </c>
      <c r="G4090" s="26">
        <v>10.0</v>
      </c>
      <c r="I4090" s="26" t="s">
        <v>961</v>
      </c>
      <c r="J4090" s="25" t="str">
        <f t="shared" si="46"/>
        <v>No</v>
      </c>
      <c r="K4090" s="25" t="str">
        <f t="shared" si="47"/>
        <v/>
      </c>
      <c r="L4090" s="25" t="str">
        <f t="shared" si="48"/>
        <v/>
      </c>
      <c r="M4090" s="25"/>
      <c r="O4090" s="25"/>
    </row>
    <row r="4091" ht="15.75" customHeight="1">
      <c r="A4091" s="25" t="str">
        <f>IFERROR(__xludf.DUMMYFUNCTION("IF(B4091="""","""",RIGHT(REGEXREPLACE(B4091&amp;"""",""[^0-9]"",""""),9))"),"740987193")</f>
        <v>740987193</v>
      </c>
      <c r="B4091" s="52">
        <v>7.40987193E8</v>
      </c>
      <c r="C4091" s="28" t="s">
        <v>4084</v>
      </c>
      <c r="D4091" s="26" t="s">
        <v>64</v>
      </c>
      <c r="E4091" s="31">
        <v>46233.0</v>
      </c>
      <c r="F4091" s="25"/>
      <c r="G4091" s="25"/>
      <c r="H4091" s="25"/>
      <c r="I4091" s="26" t="s">
        <v>961</v>
      </c>
      <c r="J4091" s="25" t="str">
        <f t="shared" si="46"/>
        <v>No</v>
      </c>
      <c r="K4091" s="25" t="str">
        <f t="shared" si="47"/>
        <v/>
      </c>
      <c r="L4091" s="25" t="str">
        <f t="shared" si="48"/>
        <v/>
      </c>
      <c r="M4091" s="25"/>
      <c r="N4091" s="25"/>
      <c r="O4091" s="25"/>
      <c r="P4091" s="25"/>
    </row>
    <row r="4092" ht="15.75" customHeight="1">
      <c r="A4092" s="25" t="str">
        <f>IFERROR(__xludf.DUMMYFUNCTION("IF(B4092="""","""",RIGHT(REGEXREPLACE(B4092&amp;"""",""[^0-9]"",""""),9))"),"779821008")</f>
        <v>779821008</v>
      </c>
      <c r="B4092" s="52">
        <v>7.79821008E8</v>
      </c>
      <c r="C4092" s="28" t="s">
        <v>4085</v>
      </c>
      <c r="D4092" s="26" t="s">
        <v>82</v>
      </c>
      <c r="E4092" s="31">
        <v>46233.0</v>
      </c>
      <c r="F4092" s="26" t="s">
        <v>41</v>
      </c>
      <c r="G4092" s="26">
        <v>10.0</v>
      </c>
      <c r="I4092" s="26" t="s">
        <v>961</v>
      </c>
      <c r="J4092" s="25" t="str">
        <f t="shared" si="46"/>
        <v>No</v>
      </c>
      <c r="K4092" s="25" t="str">
        <f t="shared" si="47"/>
        <v/>
      </c>
      <c r="L4092" s="25" t="str">
        <f t="shared" si="48"/>
        <v/>
      </c>
      <c r="M4092" s="25"/>
      <c r="O4092" s="25"/>
    </row>
    <row r="4093" ht="15.75" customHeight="1">
      <c r="A4093" s="25" t="str">
        <f>IFERROR(__xludf.DUMMYFUNCTION("IF(B4093="""","""",RIGHT(REGEXREPLACE(B4093&amp;"""",""[^0-9]"",""""),9))"),"772491752")</f>
        <v>772491752</v>
      </c>
      <c r="B4093" s="52">
        <v>7.72491752E8</v>
      </c>
      <c r="C4093" s="28" t="s">
        <v>4086</v>
      </c>
      <c r="D4093" s="26" t="s">
        <v>82</v>
      </c>
      <c r="E4093" s="31">
        <v>46233.0</v>
      </c>
      <c r="F4093" s="26" t="s">
        <v>41</v>
      </c>
      <c r="G4093" s="26">
        <v>9.0</v>
      </c>
      <c r="I4093" s="26" t="s">
        <v>961</v>
      </c>
      <c r="J4093" s="25" t="str">
        <f t="shared" si="46"/>
        <v>No</v>
      </c>
      <c r="K4093" s="25" t="str">
        <f t="shared" si="47"/>
        <v/>
      </c>
      <c r="L4093" s="25" t="str">
        <f t="shared" si="48"/>
        <v/>
      </c>
      <c r="M4093" s="25"/>
      <c r="O4093" s="25"/>
    </row>
    <row r="4094" ht="15.75" customHeight="1">
      <c r="A4094" s="25" t="str">
        <f>IFERROR(__xludf.DUMMYFUNCTION("IF(B4094="""","""",RIGHT(REGEXREPLACE(B4094&amp;"""",""[^0-9]"",""""),9))"),"779403219")</f>
        <v>779403219</v>
      </c>
      <c r="B4094" s="52">
        <v>7.79403219E8</v>
      </c>
      <c r="C4094" s="28" t="s">
        <v>529</v>
      </c>
      <c r="D4094" s="26" t="s">
        <v>64</v>
      </c>
      <c r="E4094" s="31">
        <v>46233.0</v>
      </c>
      <c r="F4094" s="26" t="s">
        <v>84</v>
      </c>
      <c r="I4094" s="26" t="s">
        <v>961</v>
      </c>
      <c r="J4094" s="25" t="str">
        <f t="shared" si="46"/>
        <v>Yes - see Previous F-Code</v>
      </c>
      <c r="K4094" s="25" t="str">
        <f t="shared" si="47"/>
        <v/>
      </c>
      <c r="L4094" s="25" t="str">
        <f t="shared" si="48"/>
        <v>F70352</v>
      </c>
      <c r="M4094" s="25"/>
      <c r="O4094" s="25"/>
    </row>
    <row r="4095" ht="15.75" customHeight="1">
      <c r="A4095" s="25" t="str">
        <f>IFERROR(__xludf.DUMMYFUNCTION("IF(B4095="""","""",RIGHT(REGEXREPLACE(B4095&amp;"""",""[^0-9]"",""""),9))"),"776453736")</f>
        <v>776453736</v>
      </c>
      <c r="B4095" s="52">
        <v>7.76453736E8</v>
      </c>
      <c r="C4095" s="28" t="s">
        <v>4087</v>
      </c>
      <c r="D4095" s="26" t="s">
        <v>82</v>
      </c>
      <c r="E4095" s="31">
        <v>46233.0</v>
      </c>
      <c r="F4095" s="25"/>
      <c r="G4095" s="25"/>
      <c r="H4095" s="25"/>
      <c r="I4095" s="26" t="s">
        <v>961</v>
      </c>
      <c r="J4095" s="25" t="str">
        <f t="shared" si="46"/>
        <v>No</v>
      </c>
      <c r="K4095" s="25" t="str">
        <f t="shared" si="47"/>
        <v/>
      </c>
      <c r="L4095" s="25" t="str">
        <f t="shared" si="48"/>
        <v/>
      </c>
      <c r="M4095" s="25"/>
      <c r="N4095" s="25"/>
      <c r="O4095" s="25"/>
      <c r="P4095" s="25"/>
    </row>
    <row r="4096" ht="15.75" customHeight="1">
      <c r="A4096" s="25" t="str">
        <f>IFERROR(__xludf.DUMMYFUNCTION("IF(B4096="""","""",RIGHT(REGEXREPLACE(B4096&amp;"""",""[^0-9]"",""""),9))"),"764648475")</f>
        <v>764648475</v>
      </c>
      <c r="B4096" s="52">
        <v>7.64648475E8</v>
      </c>
      <c r="C4096" s="28" t="s">
        <v>4088</v>
      </c>
      <c r="D4096" s="26" t="s">
        <v>64</v>
      </c>
      <c r="E4096" s="31">
        <v>46233.0</v>
      </c>
      <c r="F4096" s="26" t="s">
        <v>46</v>
      </c>
      <c r="G4096" s="26">
        <v>11.0</v>
      </c>
      <c r="I4096" s="26" t="s">
        <v>961</v>
      </c>
      <c r="J4096" s="25" t="str">
        <f t="shared" si="46"/>
        <v>No</v>
      </c>
      <c r="K4096" s="25" t="str">
        <f t="shared" si="47"/>
        <v/>
      </c>
      <c r="L4096" s="25" t="str">
        <f t="shared" si="48"/>
        <v/>
      </c>
      <c r="M4096" s="25"/>
      <c r="O4096" s="25"/>
    </row>
    <row r="4097" ht="15.75" customHeight="1">
      <c r="A4097" s="25" t="str">
        <f>IFERROR(__xludf.DUMMYFUNCTION("IF(B4097="""","""",RIGHT(REGEXREPLACE(B4097&amp;"""",""[^0-9]"",""""),9))"),"757913944")</f>
        <v>757913944</v>
      </c>
      <c r="B4097" s="52">
        <v>7.57913944E8</v>
      </c>
      <c r="C4097" s="28" t="s">
        <v>3923</v>
      </c>
      <c r="D4097" s="26" t="s">
        <v>82</v>
      </c>
      <c r="E4097" s="31">
        <v>46233.0</v>
      </c>
      <c r="F4097" s="26" t="s">
        <v>46</v>
      </c>
      <c r="G4097" s="26">
        <v>11.0</v>
      </c>
      <c r="I4097" s="26" t="s">
        <v>961</v>
      </c>
      <c r="J4097" s="25" t="str">
        <f t="shared" si="46"/>
        <v>Yes - see Previous F-Code</v>
      </c>
      <c r="K4097" s="25" t="str">
        <f t="shared" si="47"/>
        <v>DUPLICATE - CHECK</v>
      </c>
      <c r="L4097" s="25" t="str">
        <f t="shared" si="48"/>
        <v>F73570</v>
      </c>
      <c r="M4097" s="25"/>
      <c r="O4097" s="25"/>
    </row>
    <row r="4098" ht="15.75" customHeight="1">
      <c r="A4098" s="25" t="str">
        <f>IFERROR(__xludf.DUMMYFUNCTION("IF(B4098="""","""",RIGHT(REGEXREPLACE(B4098&amp;"""",""[^0-9]"",""""),9))"),"741184388")</f>
        <v>741184388</v>
      </c>
      <c r="B4098" s="52">
        <v>7.41184388E8</v>
      </c>
      <c r="C4098" s="28" t="s">
        <v>4089</v>
      </c>
      <c r="D4098" s="26" t="s">
        <v>64</v>
      </c>
      <c r="E4098" s="31">
        <v>46233.0</v>
      </c>
      <c r="F4098" s="26" t="s">
        <v>46</v>
      </c>
      <c r="G4098" s="26">
        <v>11.0</v>
      </c>
      <c r="I4098" s="26" t="s">
        <v>961</v>
      </c>
      <c r="J4098" s="25" t="str">
        <f t="shared" si="46"/>
        <v>No</v>
      </c>
      <c r="K4098" s="25" t="str">
        <f t="shared" si="47"/>
        <v/>
      </c>
      <c r="L4098" s="25" t="str">
        <f t="shared" si="48"/>
        <v/>
      </c>
      <c r="M4098" s="25"/>
      <c r="O4098" s="25"/>
    </row>
    <row r="4099" ht="15.75" customHeight="1">
      <c r="A4099" s="25" t="str">
        <f>IFERROR(__xludf.DUMMYFUNCTION("IF(B4099="""","""",RIGHT(REGEXREPLACE(B4099&amp;"""",""[^0-9]"",""""),9))"),"782535288")</f>
        <v>782535288</v>
      </c>
      <c r="B4099" s="52">
        <v>7.82535288E8</v>
      </c>
      <c r="C4099" s="28" t="s">
        <v>4090</v>
      </c>
      <c r="D4099" s="26" t="s">
        <v>82</v>
      </c>
      <c r="E4099" s="31">
        <v>46233.0</v>
      </c>
      <c r="F4099" s="26" t="s">
        <v>46</v>
      </c>
      <c r="G4099" s="26">
        <v>7.0</v>
      </c>
      <c r="I4099" s="26" t="s">
        <v>961</v>
      </c>
      <c r="J4099" s="25" t="str">
        <f t="shared" si="46"/>
        <v>No</v>
      </c>
      <c r="K4099" s="25" t="str">
        <f t="shared" si="47"/>
        <v/>
      </c>
      <c r="L4099" s="25" t="str">
        <f t="shared" si="48"/>
        <v/>
      </c>
      <c r="M4099" s="25"/>
      <c r="O4099" s="25"/>
    </row>
    <row r="4100" ht="15.75" customHeight="1">
      <c r="A4100" s="25" t="str">
        <f>IFERROR(__xludf.DUMMYFUNCTION("IF(B4100="""","""",RIGHT(REGEXREPLACE(B4100&amp;"""",""[^0-9]"",""""),9))"),"710955907")</f>
        <v>710955907</v>
      </c>
      <c r="B4100" s="52">
        <v>7.10955907E8</v>
      </c>
      <c r="C4100" s="28" t="s">
        <v>4091</v>
      </c>
      <c r="D4100" s="26" t="s">
        <v>64</v>
      </c>
      <c r="E4100" s="31">
        <v>46233.0</v>
      </c>
      <c r="F4100" s="26" t="s">
        <v>84</v>
      </c>
      <c r="I4100" s="26" t="s">
        <v>961</v>
      </c>
      <c r="J4100" s="25" t="str">
        <f t="shared" si="46"/>
        <v>No</v>
      </c>
      <c r="K4100" s="25" t="str">
        <f t="shared" si="47"/>
        <v/>
      </c>
      <c r="L4100" s="25" t="str">
        <f t="shared" si="48"/>
        <v/>
      </c>
      <c r="M4100" s="25"/>
      <c r="O4100" s="25"/>
    </row>
    <row r="4101" ht="15.75" customHeight="1">
      <c r="A4101" s="25" t="str">
        <f>IFERROR(__xludf.DUMMYFUNCTION("IF(B4101="""","""",RIGHT(REGEXREPLACE(B4101&amp;"""",""[^0-9]"",""""),9))"),"762766297")</f>
        <v>762766297</v>
      </c>
      <c r="B4101" s="52">
        <v>7.62766297E8</v>
      </c>
      <c r="C4101" s="28" t="s">
        <v>4092</v>
      </c>
      <c r="D4101" s="26" t="s">
        <v>82</v>
      </c>
      <c r="E4101" s="31">
        <v>46233.0</v>
      </c>
      <c r="F4101" s="26" t="s">
        <v>704</v>
      </c>
      <c r="I4101" s="26" t="s">
        <v>961</v>
      </c>
      <c r="J4101" s="25" t="str">
        <f t="shared" si="46"/>
        <v>No</v>
      </c>
      <c r="K4101" s="25" t="str">
        <f t="shared" si="47"/>
        <v/>
      </c>
      <c r="L4101" s="25" t="str">
        <f t="shared" si="48"/>
        <v/>
      </c>
      <c r="M4101" s="25"/>
      <c r="O4101" s="25"/>
    </row>
    <row r="4102" ht="15.75" customHeight="1">
      <c r="A4102" s="25" t="str">
        <f>IFERROR(__xludf.DUMMYFUNCTION("IF(B4102="""","""",RIGHT(REGEXREPLACE(B4102&amp;"""",""[^0-9]"",""""),9))"),"777150684")</f>
        <v>777150684</v>
      </c>
      <c r="B4102" s="52">
        <v>7.77150684E8</v>
      </c>
      <c r="C4102" s="28" t="s">
        <v>4093</v>
      </c>
      <c r="D4102" s="26" t="s">
        <v>64</v>
      </c>
      <c r="E4102" s="31">
        <v>46233.0</v>
      </c>
      <c r="F4102" s="25"/>
      <c r="G4102" s="25"/>
      <c r="H4102" s="25"/>
      <c r="I4102" s="26" t="s">
        <v>961</v>
      </c>
      <c r="J4102" s="25" t="str">
        <f t="shared" si="46"/>
        <v>No</v>
      </c>
      <c r="K4102" s="25" t="str">
        <f t="shared" si="47"/>
        <v/>
      </c>
      <c r="L4102" s="25" t="str">
        <f t="shared" si="48"/>
        <v/>
      </c>
      <c r="M4102" s="25"/>
      <c r="N4102" s="25"/>
      <c r="O4102" s="25"/>
      <c r="P4102" s="25"/>
    </row>
    <row r="4103" ht="15.75" customHeight="1">
      <c r="A4103" s="25" t="str">
        <f>IFERROR(__xludf.DUMMYFUNCTION("IF(B4103="""","""",RIGHT(REGEXREPLACE(B4103&amp;"""",""[^0-9]"",""""),9))"),"773471695")</f>
        <v>773471695</v>
      </c>
      <c r="B4103" s="52">
        <v>7.73471695E8</v>
      </c>
      <c r="C4103" s="28" t="s">
        <v>4094</v>
      </c>
      <c r="D4103" s="26" t="s">
        <v>64</v>
      </c>
      <c r="E4103" s="31">
        <v>46233.0</v>
      </c>
      <c r="F4103" s="26" t="s">
        <v>659</v>
      </c>
      <c r="I4103" s="26" t="s">
        <v>961</v>
      </c>
      <c r="J4103" s="25" t="str">
        <f t="shared" si="46"/>
        <v>No</v>
      </c>
      <c r="K4103" s="25" t="str">
        <f t="shared" si="47"/>
        <v/>
      </c>
      <c r="L4103" s="25" t="str">
        <f t="shared" si="48"/>
        <v/>
      </c>
      <c r="M4103" s="25"/>
      <c r="O4103" s="25"/>
    </row>
    <row r="4104" ht="15.75" customHeight="1">
      <c r="A4104" s="25" t="str">
        <f>IFERROR(__xludf.DUMMYFUNCTION("IF(B4104="""","""",RIGHT(REGEXREPLACE(B4104&amp;"""",""[^0-9]"",""""),9))"),"741525919")</f>
        <v>741525919</v>
      </c>
      <c r="B4104" s="52">
        <v>7.41525919E8</v>
      </c>
      <c r="C4104" s="28" t="s">
        <v>4095</v>
      </c>
      <c r="D4104" s="26" t="s">
        <v>82</v>
      </c>
      <c r="E4104" s="31">
        <v>46233.0</v>
      </c>
      <c r="F4104" s="26" t="s">
        <v>41</v>
      </c>
      <c r="I4104" s="26" t="s">
        <v>961</v>
      </c>
      <c r="J4104" s="25" t="str">
        <f t="shared" si="46"/>
        <v>No</v>
      </c>
      <c r="K4104" s="25" t="str">
        <f t="shared" si="47"/>
        <v/>
      </c>
      <c r="L4104" s="25" t="str">
        <f t="shared" si="48"/>
        <v/>
      </c>
      <c r="M4104" s="25"/>
      <c r="O4104" s="25"/>
    </row>
    <row r="4105" ht="15.75" customHeight="1">
      <c r="A4105" s="25" t="str">
        <f>IFERROR(__xludf.DUMMYFUNCTION("IF(B4105="""","""",RIGHT(REGEXREPLACE(B4105&amp;"""",""[^0-9]"",""""),9))"),"784774532")</f>
        <v>784774532</v>
      </c>
      <c r="B4105" s="52">
        <v>7.84774532E8</v>
      </c>
      <c r="C4105" s="28" t="s">
        <v>4096</v>
      </c>
      <c r="D4105" s="26" t="s">
        <v>64</v>
      </c>
      <c r="E4105" s="31">
        <v>46233.0</v>
      </c>
      <c r="F4105" s="26" t="s">
        <v>659</v>
      </c>
      <c r="I4105" s="26" t="s">
        <v>961</v>
      </c>
      <c r="J4105" s="25" t="str">
        <f t="shared" si="46"/>
        <v>No</v>
      </c>
      <c r="K4105" s="25" t="str">
        <f t="shared" si="47"/>
        <v/>
      </c>
      <c r="L4105" s="25" t="str">
        <f t="shared" si="48"/>
        <v/>
      </c>
      <c r="M4105" s="25"/>
      <c r="O4105" s="25"/>
    </row>
    <row r="4106" ht="15.75" customHeight="1">
      <c r="A4106" s="25" t="str">
        <f>IFERROR(__xludf.DUMMYFUNCTION("IF(B4106="""","""",RIGHT(REGEXREPLACE(B4106&amp;"""",""[^0-9]"",""""),9))"),"762521283")</f>
        <v>762521283</v>
      </c>
      <c r="B4106" s="52">
        <v>7.62521283E8</v>
      </c>
      <c r="C4106" s="28" t="s">
        <v>4097</v>
      </c>
      <c r="D4106" s="26" t="s">
        <v>82</v>
      </c>
      <c r="E4106" s="31">
        <v>46233.0</v>
      </c>
      <c r="F4106" s="26" t="s">
        <v>84</v>
      </c>
      <c r="H4106" s="26" t="s">
        <v>763</v>
      </c>
      <c r="I4106" s="26" t="s">
        <v>961</v>
      </c>
      <c r="J4106" s="25" t="str">
        <f t="shared" si="46"/>
        <v>No</v>
      </c>
      <c r="K4106" s="25" t="str">
        <f t="shared" si="47"/>
        <v/>
      </c>
      <c r="L4106" s="25" t="str">
        <f t="shared" si="48"/>
        <v/>
      </c>
      <c r="M4106" s="25"/>
      <c r="O4106" s="25"/>
    </row>
    <row r="4107" ht="15.75" customHeight="1">
      <c r="A4107" s="25" t="str">
        <f>IFERROR(__xludf.DUMMYFUNCTION("IF(B4107="""","""",RIGHT(REGEXREPLACE(B4107&amp;"""",""[^0-9]"",""""),9))"),"777194762")</f>
        <v>777194762</v>
      </c>
      <c r="B4107" s="52">
        <v>7.77194762E8</v>
      </c>
      <c r="C4107" s="28" t="s">
        <v>4088</v>
      </c>
      <c r="D4107" s="26" t="s">
        <v>64</v>
      </c>
      <c r="E4107" s="31">
        <v>46233.0</v>
      </c>
      <c r="F4107" s="26" t="s">
        <v>46</v>
      </c>
      <c r="G4107" s="26">
        <v>6.0</v>
      </c>
      <c r="I4107" s="26" t="s">
        <v>961</v>
      </c>
      <c r="J4107" s="25" t="str">
        <f t="shared" si="46"/>
        <v>No</v>
      </c>
      <c r="K4107" s="25" t="str">
        <f t="shared" si="47"/>
        <v/>
      </c>
      <c r="L4107" s="25" t="str">
        <f t="shared" si="48"/>
        <v/>
      </c>
      <c r="M4107" s="25"/>
      <c r="O4107" s="25"/>
    </row>
    <row r="4108" ht="15.75" customHeight="1">
      <c r="A4108" s="25" t="str">
        <f>IFERROR(__xludf.DUMMYFUNCTION("IF(B4108="""","""",RIGHT(REGEXREPLACE(B4108&amp;"""",""[^0-9]"",""""),9))"),"715357365")</f>
        <v>715357365</v>
      </c>
      <c r="B4108" s="52">
        <v>7.15357365E8</v>
      </c>
      <c r="C4108" s="28" t="s">
        <v>4098</v>
      </c>
      <c r="D4108" s="26" t="s">
        <v>82</v>
      </c>
      <c r="E4108" s="31">
        <v>46233.0</v>
      </c>
      <c r="F4108" s="25"/>
      <c r="G4108" s="25"/>
      <c r="H4108" s="25"/>
      <c r="I4108" s="26" t="s">
        <v>961</v>
      </c>
      <c r="J4108" s="25" t="str">
        <f t="shared" si="46"/>
        <v>No</v>
      </c>
      <c r="K4108" s="25" t="str">
        <f t="shared" si="47"/>
        <v/>
      </c>
      <c r="L4108" s="25" t="str">
        <f t="shared" si="48"/>
        <v/>
      </c>
      <c r="M4108" s="25"/>
      <c r="N4108" s="25"/>
      <c r="O4108" s="25"/>
      <c r="P4108" s="25"/>
    </row>
    <row r="4109" ht="15.75" customHeight="1">
      <c r="A4109" s="25" t="str">
        <f>IFERROR(__xludf.DUMMYFUNCTION("IF(B4109="""","""",RIGHT(REGEXREPLACE(B4109&amp;"""",""[^0-9]"",""""),9))"),"")</f>
        <v/>
      </c>
      <c r="B4109" s="52"/>
      <c r="C4109" s="28" t="s">
        <v>4099</v>
      </c>
      <c r="D4109" s="25"/>
      <c r="E4109" s="31">
        <v>46233.0</v>
      </c>
      <c r="F4109" s="25"/>
      <c r="G4109" s="25"/>
      <c r="H4109" s="25"/>
      <c r="I4109" s="26" t="s">
        <v>961</v>
      </c>
      <c r="J4109" s="25" t="str">
        <f t="shared" si="46"/>
        <v>Yes - see Previous F-Code</v>
      </c>
      <c r="K4109" s="25" t="str">
        <f t="shared" si="47"/>
        <v/>
      </c>
      <c r="L4109" s="25" t="str">
        <f t="shared" si="48"/>
        <v/>
      </c>
      <c r="M4109" s="25"/>
      <c r="N4109" s="25"/>
      <c r="O4109" s="25"/>
      <c r="P4109" s="25"/>
    </row>
    <row r="4110" ht="15.75" customHeight="1">
      <c r="A4110" s="25" t="str">
        <f>IFERROR(__xludf.DUMMYFUNCTION("IF(B4110="""","""",RIGHT(REGEXREPLACE(B4110&amp;"""",""[^0-9]"",""""),9))"),"764983379")</f>
        <v>764983379</v>
      </c>
      <c r="B4110" s="52">
        <v>7.64983379E8</v>
      </c>
      <c r="C4110" s="28" t="s">
        <v>4100</v>
      </c>
      <c r="D4110" s="26" t="s">
        <v>64</v>
      </c>
      <c r="E4110" s="31">
        <v>46233.0</v>
      </c>
      <c r="F4110" s="26" t="s">
        <v>205</v>
      </c>
      <c r="G4110" s="26">
        <v>10.0</v>
      </c>
      <c r="I4110" s="26" t="s">
        <v>961</v>
      </c>
      <c r="J4110" s="25" t="str">
        <f t="shared" si="46"/>
        <v>No</v>
      </c>
      <c r="K4110" s="25" t="str">
        <f t="shared" si="47"/>
        <v/>
      </c>
      <c r="L4110" s="25" t="str">
        <f t="shared" si="48"/>
        <v/>
      </c>
      <c r="M4110" s="25"/>
      <c r="O4110" s="25"/>
    </row>
    <row r="4111" ht="15.75" customHeight="1">
      <c r="A4111" s="25" t="str">
        <f>IFERROR(__xludf.DUMMYFUNCTION("IF(B4111="""","""",RIGHT(REGEXREPLACE(B4111&amp;"""",""[^0-9]"",""""),9))"),"778819874")</f>
        <v>778819874</v>
      </c>
      <c r="B4111" s="52">
        <v>7.78819874E8</v>
      </c>
      <c r="C4111" s="28" t="s">
        <v>4101</v>
      </c>
      <c r="D4111" s="26" t="s">
        <v>64</v>
      </c>
      <c r="E4111" s="31">
        <v>46233.0</v>
      </c>
      <c r="F4111" s="26" t="s">
        <v>46</v>
      </c>
      <c r="G4111" s="26">
        <v>6.0</v>
      </c>
      <c r="I4111" s="26" t="s">
        <v>961</v>
      </c>
      <c r="J4111" s="25" t="str">
        <f t="shared" si="46"/>
        <v>No</v>
      </c>
      <c r="K4111" s="25" t="str">
        <f t="shared" si="47"/>
        <v/>
      </c>
      <c r="L4111" s="25" t="str">
        <f t="shared" si="48"/>
        <v/>
      </c>
      <c r="M4111" s="25"/>
      <c r="O4111" s="26" t="s">
        <v>51</v>
      </c>
    </row>
    <row r="4112" ht="15.75" customHeight="1">
      <c r="A4112" s="25" t="str">
        <f>IFERROR(__xludf.DUMMYFUNCTION("IF(B4112="""","""",RIGHT(REGEXREPLACE(B4112&amp;"""",""[^0-9]"",""""),9))"),"774326824")</f>
        <v>774326824</v>
      </c>
      <c r="B4112" s="52">
        <v>7.74326824E8</v>
      </c>
      <c r="C4112" s="28" t="s">
        <v>4102</v>
      </c>
      <c r="D4112" s="26" t="s">
        <v>82</v>
      </c>
      <c r="E4112" s="31">
        <v>46233.0</v>
      </c>
      <c r="F4112" s="25"/>
      <c r="G4112" s="25"/>
      <c r="H4112" s="25"/>
      <c r="I4112" s="26" t="s">
        <v>961</v>
      </c>
      <c r="J4112" s="25" t="str">
        <f t="shared" si="46"/>
        <v>No</v>
      </c>
      <c r="K4112" s="25" t="str">
        <f t="shared" si="47"/>
        <v/>
      </c>
      <c r="L4112" s="25" t="str">
        <f t="shared" si="48"/>
        <v/>
      </c>
      <c r="M4112" s="25"/>
      <c r="N4112" s="25"/>
      <c r="O4112" s="25"/>
      <c r="P4112" s="25"/>
    </row>
    <row r="4113" ht="15.75" customHeight="1">
      <c r="A4113" s="25" t="str">
        <f>IFERROR(__xludf.DUMMYFUNCTION("IF(B4113="""","""",RIGHT(REGEXREPLACE(B4113&amp;"""",""[^0-9]"",""""),9))"),"762473787")</f>
        <v>762473787</v>
      </c>
      <c r="B4113" s="52">
        <v>7.62473787E8</v>
      </c>
      <c r="C4113" s="28" t="s">
        <v>4103</v>
      </c>
      <c r="D4113" s="26" t="s">
        <v>64</v>
      </c>
      <c r="E4113" s="31">
        <v>46233.0</v>
      </c>
      <c r="F4113" s="25"/>
      <c r="G4113" s="25"/>
      <c r="H4113" s="25"/>
      <c r="I4113" s="26" t="s">
        <v>961</v>
      </c>
      <c r="J4113" s="25" t="str">
        <f t="shared" si="46"/>
        <v>No</v>
      </c>
      <c r="K4113" s="25" t="str">
        <f t="shared" si="47"/>
        <v/>
      </c>
      <c r="L4113" s="25" t="str">
        <f t="shared" si="48"/>
        <v/>
      </c>
      <c r="M4113" s="25"/>
      <c r="N4113" s="25"/>
      <c r="O4113" s="25"/>
      <c r="P4113" s="25"/>
    </row>
    <row r="4114" ht="15.75" customHeight="1">
      <c r="A4114" s="25" t="str">
        <f>IFERROR(__xludf.DUMMYFUNCTION("IF(B4114="""","""",RIGHT(REGEXREPLACE(B4114&amp;"""",""[^0-9]"",""""),9))"),"787538621")</f>
        <v>787538621</v>
      </c>
      <c r="B4114" s="52">
        <v>7.87538621E8</v>
      </c>
      <c r="C4114" s="28" t="s">
        <v>4069</v>
      </c>
      <c r="D4114" s="26" t="s">
        <v>82</v>
      </c>
      <c r="E4114" s="31">
        <v>46233.0</v>
      </c>
      <c r="F4114" s="26" t="s">
        <v>46</v>
      </c>
      <c r="G4114" s="26">
        <v>7.0</v>
      </c>
      <c r="I4114" s="26" t="s">
        <v>961</v>
      </c>
      <c r="J4114" s="25" t="str">
        <f t="shared" si="46"/>
        <v>Yes - see Previous F-Code</v>
      </c>
      <c r="K4114" s="25" t="str">
        <f t="shared" si="47"/>
        <v>DUPLICATE - CHECK</v>
      </c>
      <c r="L4114" s="25" t="str">
        <f t="shared" si="48"/>
        <v>F73710</v>
      </c>
      <c r="M4114" s="25"/>
      <c r="O4114" s="25"/>
    </row>
    <row r="4115" ht="15.75" customHeight="1">
      <c r="A4115" s="25" t="str">
        <f>IFERROR(__xludf.DUMMYFUNCTION("IF(B4115="""","""",RIGHT(REGEXREPLACE(B4115&amp;"""",""[^0-9]"",""""),9))"),"781224280")</f>
        <v>781224280</v>
      </c>
      <c r="B4115" s="52">
        <v>7.8122428E8</v>
      </c>
      <c r="C4115" s="28" t="s">
        <v>4104</v>
      </c>
      <c r="D4115" s="26" t="s">
        <v>82</v>
      </c>
      <c r="E4115" s="31">
        <v>46233.0</v>
      </c>
      <c r="F4115" s="26" t="s">
        <v>46</v>
      </c>
      <c r="I4115" s="26" t="s">
        <v>961</v>
      </c>
      <c r="J4115" s="25" t="str">
        <f t="shared" si="46"/>
        <v>No</v>
      </c>
      <c r="K4115" s="25" t="str">
        <f t="shared" si="47"/>
        <v/>
      </c>
      <c r="L4115" s="25" t="str">
        <f t="shared" si="48"/>
        <v/>
      </c>
      <c r="M4115" s="25"/>
      <c r="O4115" s="25"/>
    </row>
    <row r="4116" ht="15.75" customHeight="1">
      <c r="A4116" s="25" t="str">
        <f>IFERROR(__xludf.DUMMYFUNCTION("IF(B4116="""","""",RIGHT(REGEXREPLACE(B4116&amp;"""",""[^0-9]"",""""),9))"),"705799989")</f>
        <v>705799989</v>
      </c>
      <c r="B4116" s="52">
        <v>7.05799989E8</v>
      </c>
      <c r="C4116" s="28" t="s">
        <v>2354</v>
      </c>
      <c r="D4116" s="26" t="s">
        <v>82</v>
      </c>
      <c r="E4116" s="31">
        <v>46233.0</v>
      </c>
      <c r="F4116" s="26" t="s">
        <v>46</v>
      </c>
      <c r="G4116" s="26">
        <v>9.0</v>
      </c>
      <c r="I4116" s="26" t="s">
        <v>961</v>
      </c>
      <c r="J4116" s="25" t="str">
        <f t="shared" si="46"/>
        <v>No</v>
      </c>
      <c r="K4116" s="25" t="str">
        <f t="shared" si="47"/>
        <v/>
      </c>
      <c r="L4116" s="25" t="str">
        <f t="shared" si="48"/>
        <v/>
      </c>
      <c r="M4116" s="25"/>
      <c r="O4116" s="26" t="s">
        <v>51</v>
      </c>
    </row>
    <row r="4117" ht="15.75" customHeight="1">
      <c r="A4117" s="25" t="str">
        <f>IFERROR(__xludf.DUMMYFUNCTION("IF(B4117="""","""",RIGHT(REGEXREPLACE(B4117&amp;"""",""[^0-9]"",""""),9))"),"763627921")</f>
        <v>763627921</v>
      </c>
      <c r="B4117" s="52">
        <v>7.63627921E8</v>
      </c>
      <c r="C4117" s="28" t="s">
        <v>185</v>
      </c>
      <c r="D4117" s="26" t="s">
        <v>45</v>
      </c>
      <c r="E4117" s="31">
        <v>46234.0</v>
      </c>
      <c r="F4117" s="26" t="s">
        <v>46</v>
      </c>
      <c r="G4117" s="26" t="s">
        <v>151</v>
      </c>
      <c r="I4117" s="26" t="s">
        <v>872</v>
      </c>
      <c r="J4117" s="25" t="str">
        <f t="shared" si="46"/>
        <v>Yes - see Previous F-Code</v>
      </c>
      <c r="K4117" s="25" t="str">
        <f t="shared" si="47"/>
        <v/>
      </c>
      <c r="L4117" s="25" t="str">
        <f t="shared" si="48"/>
        <v>F70081</v>
      </c>
      <c r="M4117" s="25"/>
      <c r="O4117" s="25"/>
    </row>
    <row r="4118" ht="15.75" customHeight="1">
      <c r="A4118" s="25" t="str">
        <f>IFERROR(__xludf.DUMMYFUNCTION("IF(B4118="""","""",RIGHT(REGEXREPLACE(B4118&amp;"""",""[^0-9]"",""""),9))"),"717647668")</f>
        <v>717647668</v>
      </c>
      <c r="B4118" s="52">
        <v>7.17647668E8</v>
      </c>
      <c r="C4118" s="28" t="s">
        <v>4105</v>
      </c>
      <c r="D4118" s="26" t="s">
        <v>64</v>
      </c>
      <c r="E4118" s="31">
        <v>46234.0</v>
      </c>
      <c r="F4118" s="26" t="s">
        <v>46</v>
      </c>
      <c r="G4118" s="26">
        <v>10.0</v>
      </c>
      <c r="I4118" s="26" t="s">
        <v>872</v>
      </c>
      <c r="J4118" s="25" t="str">
        <f t="shared" si="46"/>
        <v>No</v>
      </c>
      <c r="K4118" s="25" t="str">
        <f t="shared" si="47"/>
        <v/>
      </c>
      <c r="L4118" s="25" t="str">
        <f t="shared" si="48"/>
        <v/>
      </c>
      <c r="M4118" s="25"/>
      <c r="O4118" s="25"/>
    </row>
    <row r="4119" ht="15.75" customHeight="1">
      <c r="A4119" s="25" t="str">
        <f>IFERROR(__xludf.DUMMYFUNCTION("IF(B4119="""","""",RIGHT(REGEXREPLACE(B4119&amp;"""",""[^0-9]"",""""),9))"),"769970069")</f>
        <v>769970069</v>
      </c>
      <c r="B4119" s="52">
        <v>7.69970069E8</v>
      </c>
      <c r="C4119" s="28" t="s">
        <v>4106</v>
      </c>
      <c r="D4119" s="26" t="s">
        <v>82</v>
      </c>
      <c r="E4119" s="31">
        <v>46234.0</v>
      </c>
      <c r="F4119" s="26" t="s">
        <v>41</v>
      </c>
      <c r="I4119" s="26" t="s">
        <v>872</v>
      </c>
      <c r="J4119" s="25" t="str">
        <f t="shared" si="46"/>
        <v>No</v>
      </c>
      <c r="K4119" s="25" t="str">
        <f t="shared" si="47"/>
        <v/>
      </c>
      <c r="L4119" s="25" t="str">
        <f t="shared" si="48"/>
        <v/>
      </c>
      <c r="M4119" s="25"/>
      <c r="O4119" s="25"/>
    </row>
    <row r="4120" ht="15.75" customHeight="1">
      <c r="A4120" s="25" t="str">
        <f>IFERROR(__xludf.DUMMYFUNCTION("IF(B4120="""","""",RIGHT(REGEXREPLACE(B4120&amp;"""",""[^0-9]"",""""),9))"),"779570100")</f>
        <v>779570100</v>
      </c>
      <c r="B4120" s="52">
        <v>7.795701E8</v>
      </c>
      <c r="C4120" s="28" t="s">
        <v>4104</v>
      </c>
      <c r="D4120" s="26" t="s">
        <v>56</v>
      </c>
      <c r="E4120" s="31">
        <v>46234.0</v>
      </c>
      <c r="F4120" s="26" t="s">
        <v>46</v>
      </c>
      <c r="G4120" s="26">
        <v>10.0</v>
      </c>
      <c r="I4120" s="26" t="s">
        <v>872</v>
      </c>
      <c r="J4120" s="25" t="str">
        <f t="shared" si="46"/>
        <v>No</v>
      </c>
      <c r="K4120" s="25" t="str">
        <f t="shared" si="47"/>
        <v/>
      </c>
      <c r="L4120" s="25" t="str">
        <f t="shared" si="48"/>
        <v/>
      </c>
      <c r="M4120" s="25"/>
      <c r="N4120" s="26" t="s">
        <v>4107</v>
      </c>
      <c r="O4120" s="25"/>
    </row>
    <row r="4121" ht="15.75" customHeight="1">
      <c r="A4121" s="25" t="str">
        <f>IFERROR(__xludf.DUMMYFUNCTION("IF(B4121="""","""",RIGHT(REGEXREPLACE(B4121&amp;"""",""[^0-9]"",""""),9))"),"776287794")</f>
        <v>776287794</v>
      </c>
      <c r="B4121" s="52">
        <v>7.76287794E8</v>
      </c>
      <c r="C4121" s="28" t="s">
        <v>4108</v>
      </c>
      <c r="D4121" s="26" t="s">
        <v>49</v>
      </c>
      <c r="E4121" s="31">
        <v>46234.0</v>
      </c>
      <c r="F4121" s="26" t="s">
        <v>659</v>
      </c>
      <c r="G4121" s="26">
        <v>10.0</v>
      </c>
      <c r="I4121" s="26" t="s">
        <v>872</v>
      </c>
      <c r="J4121" s="25" t="str">
        <f t="shared" si="46"/>
        <v>No</v>
      </c>
      <c r="K4121" s="25" t="str">
        <f t="shared" si="47"/>
        <v/>
      </c>
      <c r="L4121" s="25" t="str">
        <f t="shared" si="48"/>
        <v/>
      </c>
      <c r="M4121" s="25"/>
      <c r="O4121" s="25"/>
    </row>
    <row r="4122" ht="15.75" customHeight="1">
      <c r="A4122" s="25" t="str">
        <f>IFERROR(__xludf.DUMMYFUNCTION("IF(B4122="""","""",RIGHT(REGEXREPLACE(B4122&amp;"""",""[^0-9]"",""""),9))"),"782078667")</f>
        <v>782078667</v>
      </c>
      <c r="B4122" s="52">
        <v>7.82078667E8</v>
      </c>
      <c r="C4122" s="28" t="s">
        <v>4109</v>
      </c>
      <c r="D4122" s="26" t="s">
        <v>82</v>
      </c>
      <c r="E4122" s="31">
        <v>46234.0</v>
      </c>
      <c r="F4122" s="25"/>
      <c r="G4122" s="25"/>
      <c r="H4122" s="25"/>
      <c r="I4122" s="26" t="s">
        <v>872</v>
      </c>
      <c r="J4122" s="25" t="str">
        <f t="shared" si="46"/>
        <v>No</v>
      </c>
      <c r="K4122" s="25" t="str">
        <f t="shared" si="47"/>
        <v/>
      </c>
      <c r="L4122" s="25" t="str">
        <f t="shared" si="48"/>
        <v/>
      </c>
      <c r="M4122" s="25"/>
      <c r="N4122" s="25"/>
      <c r="O4122" s="25"/>
      <c r="P4122" s="25"/>
    </row>
    <row r="4123" ht="15.75" customHeight="1">
      <c r="A4123" s="25" t="str">
        <f>IFERROR(__xludf.DUMMYFUNCTION("IF(B4123="""","""",RIGHT(REGEXREPLACE(B4123&amp;"""",""[^0-9]"",""""),9))"),"762052614")</f>
        <v>762052614</v>
      </c>
      <c r="B4123" s="52">
        <v>7.62052614E8</v>
      </c>
      <c r="C4123" s="28" t="s">
        <v>4110</v>
      </c>
      <c r="D4123" s="26" t="s">
        <v>49</v>
      </c>
      <c r="E4123" s="31">
        <v>46234.0</v>
      </c>
      <c r="F4123" s="26" t="s">
        <v>46</v>
      </c>
      <c r="G4123" s="26" t="s">
        <v>2105</v>
      </c>
      <c r="I4123" s="26" t="s">
        <v>872</v>
      </c>
      <c r="J4123" s="25" t="str">
        <f t="shared" si="46"/>
        <v>No</v>
      </c>
      <c r="K4123" s="25" t="str">
        <f t="shared" si="47"/>
        <v/>
      </c>
      <c r="L4123" s="25" t="str">
        <f t="shared" si="48"/>
        <v/>
      </c>
      <c r="M4123" s="25"/>
      <c r="O4123" s="25"/>
    </row>
    <row r="4124" ht="15.75" customHeight="1">
      <c r="A4124" s="25" t="str">
        <f>IFERROR(__xludf.DUMMYFUNCTION("IF(B4124="""","""",RIGHT(REGEXREPLACE(B4124&amp;"""",""[^0-9]"",""""),9))"),"711173434")</f>
        <v>711173434</v>
      </c>
      <c r="B4124" s="52">
        <v>7.11173434E8</v>
      </c>
      <c r="C4124" s="28" t="s">
        <v>4111</v>
      </c>
      <c r="D4124" s="26" t="s">
        <v>56</v>
      </c>
      <c r="E4124" s="31">
        <v>46234.0</v>
      </c>
      <c r="F4124" s="26" t="s">
        <v>164</v>
      </c>
      <c r="G4124" s="26">
        <v>10.0</v>
      </c>
      <c r="H4124" s="26" t="s">
        <v>4112</v>
      </c>
      <c r="I4124" s="26" t="s">
        <v>872</v>
      </c>
      <c r="J4124" s="25" t="str">
        <f t="shared" si="46"/>
        <v>No</v>
      </c>
      <c r="K4124" s="25" t="str">
        <f t="shared" si="47"/>
        <v/>
      </c>
      <c r="L4124" s="25" t="str">
        <f t="shared" si="48"/>
        <v/>
      </c>
      <c r="M4124" s="25"/>
      <c r="O4124" s="25"/>
    </row>
    <row r="4125" ht="15.75" customHeight="1">
      <c r="A4125" s="25" t="str">
        <f>IFERROR(__xludf.DUMMYFUNCTION("IF(B4125="""","""",RIGHT(REGEXREPLACE(B4125&amp;"""",""[^0-9]"",""""),9))"),"757913944")</f>
        <v>757913944</v>
      </c>
      <c r="B4125" s="52">
        <v>4.757913944E9</v>
      </c>
      <c r="C4125" s="28" t="s">
        <v>4113</v>
      </c>
      <c r="D4125" s="26" t="s">
        <v>82</v>
      </c>
      <c r="E4125" s="31">
        <v>46234.0</v>
      </c>
      <c r="F4125" s="26" t="s">
        <v>46</v>
      </c>
      <c r="G4125" s="26">
        <v>11.0</v>
      </c>
      <c r="H4125" s="26" t="s">
        <v>1356</v>
      </c>
      <c r="I4125" s="26" t="s">
        <v>872</v>
      </c>
      <c r="J4125" s="25" t="str">
        <f t="shared" si="46"/>
        <v>Yes - see Previous F-Code</v>
      </c>
      <c r="K4125" s="25" t="str">
        <f t="shared" si="47"/>
        <v/>
      </c>
      <c r="L4125" s="25" t="str">
        <f t="shared" si="48"/>
        <v>F73570</v>
      </c>
      <c r="M4125" s="25"/>
      <c r="O4125" s="25"/>
    </row>
    <row r="4126" ht="15.75" customHeight="1">
      <c r="A4126" s="25" t="str">
        <f>IFERROR(__xludf.DUMMYFUNCTION("IF(B4126="""","""",RIGHT(REGEXREPLACE(B4126&amp;"""",""[^0-9]"",""""),9))"),"767605948")</f>
        <v>767605948</v>
      </c>
      <c r="B4126" s="52">
        <v>7.67605948E8</v>
      </c>
      <c r="C4126" s="28" t="s">
        <v>4036</v>
      </c>
      <c r="D4126" s="26" t="s">
        <v>64</v>
      </c>
      <c r="E4126" s="31">
        <v>46234.0</v>
      </c>
      <c r="F4126" s="26" t="s">
        <v>46</v>
      </c>
      <c r="G4126" s="26">
        <v>8.0</v>
      </c>
      <c r="I4126" s="26" t="s">
        <v>872</v>
      </c>
      <c r="J4126" s="25" t="str">
        <f t="shared" si="46"/>
        <v>Yes - see Previous F-Code</v>
      </c>
      <c r="K4126" s="25" t="str">
        <f t="shared" si="47"/>
        <v/>
      </c>
      <c r="L4126" s="25" t="str">
        <f t="shared" si="48"/>
        <v>F73681</v>
      </c>
      <c r="M4126" s="25"/>
      <c r="O4126" s="25"/>
    </row>
    <row r="4127" ht="15.75" customHeight="1">
      <c r="A4127" s="25" t="str">
        <f>IFERROR(__xludf.DUMMYFUNCTION("IF(B4127="""","""",RIGHT(REGEXREPLACE(B4127&amp;"""",""[^0-9]"",""""),9))"),"762044356")</f>
        <v>762044356</v>
      </c>
      <c r="B4127" s="52">
        <v>7.62044356E8</v>
      </c>
      <c r="C4127" s="28" t="s">
        <v>4114</v>
      </c>
      <c r="D4127" s="26" t="s">
        <v>49</v>
      </c>
      <c r="E4127" s="31">
        <v>46234.0</v>
      </c>
      <c r="F4127" s="26" t="s">
        <v>205</v>
      </c>
      <c r="G4127" s="26">
        <v>10.0</v>
      </c>
      <c r="I4127" s="26" t="s">
        <v>872</v>
      </c>
      <c r="J4127" s="25" t="str">
        <f t="shared" si="46"/>
        <v>No</v>
      </c>
      <c r="K4127" s="25" t="str">
        <f t="shared" si="47"/>
        <v/>
      </c>
      <c r="L4127" s="25" t="str">
        <f t="shared" si="48"/>
        <v/>
      </c>
      <c r="M4127" s="25"/>
      <c r="O4127" s="25"/>
    </row>
    <row r="4128" ht="15.75" customHeight="1">
      <c r="A4128" s="25" t="str">
        <f>IFERROR(__xludf.DUMMYFUNCTION("IF(B4128="""","""",RIGHT(REGEXREPLACE(B4128&amp;"""",""[^0-9]"",""""),9))"),"742153130")</f>
        <v>742153130</v>
      </c>
      <c r="B4128" s="52">
        <v>7.4215313E8</v>
      </c>
      <c r="C4128" s="28" t="s">
        <v>4115</v>
      </c>
      <c r="D4128" s="26" t="s">
        <v>56</v>
      </c>
      <c r="E4128" s="31">
        <v>46234.0</v>
      </c>
      <c r="F4128" s="26" t="s">
        <v>659</v>
      </c>
      <c r="I4128" s="26" t="s">
        <v>872</v>
      </c>
      <c r="J4128" s="25" t="str">
        <f t="shared" si="46"/>
        <v>No</v>
      </c>
      <c r="K4128" s="25" t="str">
        <f t="shared" si="47"/>
        <v/>
      </c>
      <c r="L4128" s="25" t="str">
        <f t="shared" si="48"/>
        <v/>
      </c>
      <c r="M4128" s="25"/>
      <c r="O4128" s="25"/>
    </row>
    <row r="4129" ht="15.75" customHeight="1">
      <c r="A4129" s="25" t="str">
        <f>IFERROR(__xludf.DUMMYFUNCTION("IF(B4129="""","""",RIGHT(REGEXREPLACE(B4129&amp;"""",""[^0-9]"",""""),9))"),"751876529")</f>
        <v>751876529</v>
      </c>
      <c r="B4129" s="52">
        <v>7.51876529E8</v>
      </c>
      <c r="C4129" s="28" t="s">
        <v>4116</v>
      </c>
      <c r="D4129" s="26" t="s">
        <v>82</v>
      </c>
      <c r="E4129" s="31">
        <v>46234.0</v>
      </c>
      <c r="F4129" s="26" t="s">
        <v>46</v>
      </c>
      <c r="G4129" s="26">
        <v>11.0</v>
      </c>
      <c r="I4129" s="26" t="s">
        <v>872</v>
      </c>
      <c r="J4129" s="25" t="str">
        <f t="shared" si="46"/>
        <v>No</v>
      </c>
      <c r="K4129" s="25" t="str">
        <f t="shared" si="47"/>
        <v/>
      </c>
      <c r="L4129" s="25" t="str">
        <f t="shared" si="48"/>
        <v/>
      </c>
      <c r="M4129" s="25"/>
      <c r="O4129" s="25"/>
    </row>
    <row r="4130" ht="15.75" customHeight="1">
      <c r="A4130" s="25" t="str">
        <f>IFERROR(__xludf.DUMMYFUNCTION("IF(B4130="""","""",RIGHT(REGEXREPLACE(B4130&amp;"""",""[^0-9]"",""""),9))"),"756948065")</f>
        <v>756948065</v>
      </c>
      <c r="B4130" s="52">
        <v>7.56948065E8</v>
      </c>
      <c r="C4130" s="28" t="s">
        <v>4117</v>
      </c>
      <c r="D4130" s="26" t="s">
        <v>56</v>
      </c>
      <c r="E4130" s="31">
        <v>46234.0</v>
      </c>
      <c r="F4130" s="26" t="s">
        <v>46</v>
      </c>
      <c r="G4130" s="26">
        <v>11.0</v>
      </c>
      <c r="I4130" s="26" t="s">
        <v>872</v>
      </c>
      <c r="J4130" s="25" t="str">
        <f t="shared" si="46"/>
        <v>No</v>
      </c>
      <c r="K4130" s="25" t="str">
        <f t="shared" si="47"/>
        <v/>
      </c>
      <c r="L4130" s="25" t="str">
        <f t="shared" si="48"/>
        <v/>
      </c>
      <c r="M4130" s="25"/>
      <c r="O4130" s="25"/>
    </row>
    <row r="4131" ht="15.75" customHeight="1">
      <c r="A4131" s="25" t="str">
        <f>IFERROR(__xludf.DUMMYFUNCTION("IF(B4131="""","""",RIGHT(REGEXREPLACE(B4131&amp;"""",""[^0-9]"",""""),9))"),"705920205")</f>
        <v>705920205</v>
      </c>
      <c r="B4131" s="52">
        <v>7.05920205E8</v>
      </c>
      <c r="C4131" s="28" t="s">
        <v>4066</v>
      </c>
      <c r="D4131" s="26" t="s">
        <v>64</v>
      </c>
      <c r="E4131" s="31">
        <v>46234.0</v>
      </c>
      <c r="F4131" s="26" t="s">
        <v>46</v>
      </c>
      <c r="G4131" s="26">
        <v>8.0</v>
      </c>
      <c r="I4131" s="26" t="s">
        <v>872</v>
      </c>
      <c r="J4131" s="25" t="str">
        <f t="shared" si="46"/>
        <v>Yes - see Previous F-Code</v>
      </c>
      <c r="K4131" s="25" t="str">
        <f t="shared" si="47"/>
        <v/>
      </c>
      <c r="L4131" s="25" t="str">
        <f t="shared" si="48"/>
        <v>F73707</v>
      </c>
      <c r="M4131" s="25"/>
      <c r="O4131" s="26" t="s">
        <v>51</v>
      </c>
    </row>
    <row r="4132" ht="15.75" customHeight="1">
      <c r="A4132" s="25" t="str">
        <f>IFERROR(__xludf.DUMMYFUNCTION("IF(B4132="""","""",RIGHT(REGEXREPLACE(B4132&amp;"""",""[^0-9]"",""""),9))"),"702727936")</f>
        <v>702727936</v>
      </c>
      <c r="B4132" s="52">
        <v>7.02727936E8</v>
      </c>
      <c r="C4132" s="28" t="s">
        <v>4118</v>
      </c>
      <c r="D4132" s="26" t="s">
        <v>82</v>
      </c>
      <c r="E4132" s="31">
        <v>46234.0</v>
      </c>
      <c r="F4132" s="26" t="s">
        <v>41</v>
      </c>
      <c r="G4132" s="26">
        <v>10.0</v>
      </c>
      <c r="I4132" s="26" t="s">
        <v>872</v>
      </c>
      <c r="J4132" s="25" t="str">
        <f t="shared" si="46"/>
        <v>No</v>
      </c>
      <c r="K4132" s="25" t="str">
        <f t="shared" si="47"/>
        <v/>
      </c>
      <c r="L4132" s="25" t="str">
        <f t="shared" si="48"/>
        <v/>
      </c>
      <c r="M4132" s="25"/>
      <c r="O4132" s="25"/>
    </row>
    <row r="4133" ht="15.75" customHeight="1">
      <c r="A4133" s="25" t="str">
        <f>IFERROR(__xludf.DUMMYFUNCTION("IF(B4133="""","""",RIGHT(REGEXREPLACE(B4133&amp;"""",""[^0-9]"",""""),9))"),"774074069")</f>
        <v>774074069</v>
      </c>
      <c r="B4133" s="52">
        <v>7.74074069E8</v>
      </c>
      <c r="C4133" s="28" t="s">
        <v>4119</v>
      </c>
      <c r="D4133" s="26" t="s">
        <v>49</v>
      </c>
      <c r="E4133" s="31">
        <v>46234.0</v>
      </c>
      <c r="F4133" s="26" t="s">
        <v>46</v>
      </c>
      <c r="G4133" s="26">
        <v>10.0</v>
      </c>
      <c r="I4133" s="26" t="s">
        <v>872</v>
      </c>
      <c r="J4133" s="25" t="str">
        <f t="shared" si="46"/>
        <v>No</v>
      </c>
      <c r="K4133" s="25" t="str">
        <f t="shared" si="47"/>
        <v/>
      </c>
      <c r="L4133" s="25" t="str">
        <f t="shared" si="48"/>
        <v/>
      </c>
      <c r="M4133" s="25"/>
      <c r="O4133" s="25"/>
    </row>
    <row r="4134" ht="15.75" customHeight="1">
      <c r="A4134" s="25" t="str">
        <f>IFERROR(__xludf.DUMMYFUNCTION("IF(B4134="""","""",RIGHT(REGEXREPLACE(B4134&amp;"""",""[^0-9]"",""""),9))"),"774708175")</f>
        <v>774708175</v>
      </c>
      <c r="B4134" s="52">
        <v>7.74708175E8</v>
      </c>
      <c r="C4134" s="28" t="s">
        <v>4120</v>
      </c>
      <c r="D4134" s="26" t="s">
        <v>56</v>
      </c>
      <c r="E4134" s="31">
        <v>46234.0</v>
      </c>
      <c r="F4134" s="26" t="s">
        <v>46</v>
      </c>
      <c r="G4134" s="26">
        <v>10.0</v>
      </c>
      <c r="I4134" s="26" t="s">
        <v>872</v>
      </c>
      <c r="J4134" s="25" t="str">
        <f t="shared" si="46"/>
        <v>No</v>
      </c>
      <c r="K4134" s="25" t="str">
        <f t="shared" si="47"/>
        <v/>
      </c>
      <c r="L4134" s="25" t="str">
        <f t="shared" si="48"/>
        <v/>
      </c>
      <c r="M4134" s="25"/>
      <c r="O4134" s="25"/>
    </row>
    <row r="4135" ht="15.75" customHeight="1">
      <c r="A4135" s="25" t="str">
        <f>IFERROR(__xludf.DUMMYFUNCTION("IF(B4135="""","""",RIGHT(REGEXREPLACE(B4135&amp;"""",""[^0-9]"",""""),9))"),"765297431")</f>
        <v>765297431</v>
      </c>
      <c r="B4135" s="52">
        <v>7.65297431E8</v>
      </c>
      <c r="C4135" s="28" t="s">
        <v>4121</v>
      </c>
      <c r="D4135" s="26" t="s">
        <v>64</v>
      </c>
      <c r="E4135" s="31">
        <v>46234.0</v>
      </c>
      <c r="F4135" s="26" t="s">
        <v>46</v>
      </c>
      <c r="G4135" s="26">
        <v>10.0</v>
      </c>
      <c r="I4135" s="26" t="s">
        <v>872</v>
      </c>
      <c r="J4135" s="25" t="str">
        <f t="shared" si="46"/>
        <v>No</v>
      </c>
      <c r="K4135" s="25" t="str">
        <f t="shared" si="47"/>
        <v/>
      </c>
      <c r="L4135" s="25" t="str">
        <f t="shared" si="48"/>
        <v/>
      </c>
      <c r="M4135" s="25"/>
      <c r="O4135" s="25"/>
    </row>
    <row r="4136" ht="15.75" customHeight="1">
      <c r="A4136" s="25" t="str">
        <f>IFERROR(__xludf.DUMMYFUNCTION("IF(B4136="""","""",RIGHT(REGEXREPLACE(B4136&amp;"""",""[^0-9]"",""""),9))"),"777619738")</f>
        <v>777619738</v>
      </c>
      <c r="B4136" s="52">
        <v>7.77619738E8</v>
      </c>
      <c r="C4136" s="28" t="s">
        <v>881</v>
      </c>
      <c r="D4136" s="26" t="s">
        <v>64</v>
      </c>
      <c r="E4136" s="31">
        <v>46234.0</v>
      </c>
      <c r="F4136" s="26" t="s">
        <v>41</v>
      </c>
      <c r="I4136" s="26" t="s">
        <v>872</v>
      </c>
      <c r="J4136" s="25" t="str">
        <f t="shared" si="46"/>
        <v>Yes - see Previous F-Code</v>
      </c>
      <c r="K4136" s="25" t="str">
        <f t="shared" si="47"/>
        <v/>
      </c>
      <c r="L4136" s="25" t="str">
        <f t="shared" si="48"/>
        <v>F70646</v>
      </c>
      <c r="M4136" s="25"/>
      <c r="O4136" s="25"/>
    </row>
    <row r="4137" ht="15.75" customHeight="1">
      <c r="A4137" s="25" t="str">
        <f>IFERROR(__xludf.DUMMYFUNCTION("IF(B4137="""","""",RIGHT(REGEXREPLACE(B4137&amp;"""",""[^0-9]"",""""),9))"),"788150152")</f>
        <v>788150152</v>
      </c>
      <c r="B4137" s="52">
        <v>7.88150152E8</v>
      </c>
      <c r="C4137" s="28" t="s">
        <v>2426</v>
      </c>
      <c r="D4137" s="26" t="s">
        <v>56</v>
      </c>
      <c r="E4137" s="31">
        <v>46234.0</v>
      </c>
      <c r="F4137" s="26" t="s">
        <v>46</v>
      </c>
      <c r="G4137" s="26">
        <v>10.0</v>
      </c>
      <c r="H4137" s="115" t="s">
        <v>4122</v>
      </c>
      <c r="I4137" s="26" t="s">
        <v>872</v>
      </c>
      <c r="J4137" s="25" t="str">
        <f t="shared" si="46"/>
        <v>Yes - see Previous F-Code</v>
      </c>
      <c r="K4137" s="25" t="str">
        <f t="shared" si="47"/>
        <v/>
      </c>
      <c r="L4137" s="25" t="str">
        <f t="shared" si="48"/>
        <v>F72119</v>
      </c>
      <c r="M4137" s="25"/>
      <c r="O4137" s="25"/>
    </row>
    <row r="4138" ht="15.75" customHeight="1">
      <c r="A4138" s="25" t="str">
        <f>IFERROR(__xludf.DUMMYFUNCTION("IF(B4138="""","""",RIGHT(REGEXREPLACE(B4138&amp;"""",""[^0-9]"",""""),9))"),"741369661")</f>
        <v>741369661</v>
      </c>
      <c r="B4138" s="52">
        <v>7.41369661E8</v>
      </c>
      <c r="C4138" s="28" t="s">
        <v>4123</v>
      </c>
      <c r="D4138" s="26" t="s">
        <v>82</v>
      </c>
      <c r="E4138" s="31">
        <v>46234.0</v>
      </c>
      <c r="F4138" s="26" t="s">
        <v>205</v>
      </c>
      <c r="G4138" s="26">
        <v>10.0</v>
      </c>
      <c r="I4138" s="26" t="s">
        <v>872</v>
      </c>
      <c r="J4138" s="25" t="str">
        <f t="shared" si="46"/>
        <v>No</v>
      </c>
      <c r="K4138" s="25" t="str">
        <f t="shared" si="47"/>
        <v/>
      </c>
      <c r="L4138" s="25" t="str">
        <f t="shared" si="48"/>
        <v/>
      </c>
      <c r="M4138" s="25"/>
      <c r="O4138" s="25"/>
    </row>
    <row r="4139" ht="15.75" customHeight="1">
      <c r="A4139" s="25" t="str">
        <f>IFERROR(__xludf.DUMMYFUNCTION("IF(B4139="""","""",RIGHT(REGEXREPLACE(B4139&amp;"""",""[^0-9]"",""""),9))"),"762996174")</f>
        <v>762996174</v>
      </c>
      <c r="B4139" s="52">
        <v>7.62996174E8</v>
      </c>
      <c r="C4139" s="28" t="s">
        <v>4124</v>
      </c>
      <c r="D4139" s="26" t="s">
        <v>64</v>
      </c>
      <c r="E4139" s="31">
        <v>46234.0</v>
      </c>
      <c r="F4139" s="26" t="s">
        <v>46</v>
      </c>
      <c r="G4139" s="26">
        <v>10.0</v>
      </c>
      <c r="I4139" s="26" t="s">
        <v>872</v>
      </c>
      <c r="J4139" s="25" t="str">
        <f t="shared" si="46"/>
        <v>No</v>
      </c>
      <c r="K4139" s="25" t="str">
        <f t="shared" si="47"/>
        <v/>
      </c>
      <c r="L4139" s="25" t="str">
        <f t="shared" si="48"/>
        <v/>
      </c>
      <c r="M4139" s="25"/>
      <c r="O4139" s="25"/>
    </row>
    <row r="4140" ht="15.75" customHeight="1">
      <c r="A4140" s="25" t="str">
        <f>IFERROR(__xludf.DUMMYFUNCTION("IF(B4140="""","""",RIGHT(REGEXREPLACE(B4140&amp;"""",""[^0-9]"",""""),9))"),"761655571")</f>
        <v>761655571</v>
      </c>
      <c r="B4140" s="52">
        <v>7.61655571E8</v>
      </c>
      <c r="C4140" s="28" t="s">
        <v>4125</v>
      </c>
      <c r="D4140" s="26" t="s">
        <v>82</v>
      </c>
      <c r="E4140" s="31">
        <v>46234.0</v>
      </c>
      <c r="F4140" s="26" t="s">
        <v>41</v>
      </c>
      <c r="I4140" s="26" t="s">
        <v>872</v>
      </c>
      <c r="J4140" s="25" t="str">
        <f t="shared" si="46"/>
        <v>No</v>
      </c>
      <c r="K4140" s="25" t="str">
        <f t="shared" si="47"/>
        <v/>
      </c>
      <c r="L4140" s="25" t="str">
        <f t="shared" si="48"/>
        <v/>
      </c>
      <c r="M4140" s="25"/>
      <c r="O4140" s="25"/>
    </row>
    <row r="4141" ht="15.75" customHeight="1">
      <c r="A4141" s="25" t="str">
        <f>IFERROR(__xludf.DUMMYFUNCTION("IF(B4141="""","""",RIGHT(REGEXREPLACE(B4141&amp;"""",""[^0-9]"",""""),9))"),"770139058")</f>
        <v>770139058</v>
      </c>
      <c r="B4141" s="52">
        <v>7.70139058E8</v>
      </c>
      <c r="C4141" s="28" t="s">
        <v>4126</v>
      </c>
      <c r="D4141" s="26" t="s">
        <v>49</v>
      </c>
      <c r="E4141" s="31">
        <v>46234.0</v>
      </c>
      <c r="F4141" s="26" t="s">
        <v>46</v>
      </c>
      <c r="G4141" s="26">
        <v>11.0</v>
      </c>
      <c r="I4141" s="26" t="s">
        <v>872</v>
      </c>
      <c r="J4141" s="25" t="str">
        <f t="shared" si="46"/>
        <v>No</v>
      </c>
      <c r="K4141" s="25" t="str">
        <f t="shared" si="47"/>
        <v/>
      </c>
      <c r="L4141" s="25" t="str">
        <f t="shared" si="48"/>
        <v/>
      </c>
      <c r="M4141" s="25"/>
      <c r="O4141" s="25"/>
    </row>
    <row r="4142" ht="15.75" customHeight="1">
      <c r="A4142" s="25" t="str">
        <f>IFERROR(__xludf.DUMMYFUNCTION("IF(B4142="""","""",RIGHT(REGEXREPLACE(B4142&amp;"""",""[^0-9]"",""""),9))"),"768036045")</f>
        <v>768036045</v>
      </c>
      <c r="B4142" s="52">
        <v>7.68036045E8</v>
      </c>
      <c r="C4142" s="28" t="s">
        <v>4127</v>
      </c>
      <c r="D4142" s="26" t="s">
        <v>82</v>
      </c>
      <c r="E4142" s="31">
        <v>46234.0</v>
      </c>
      <c r="F4142" s="26" t="s">
        <v>659</v>
      </c>
      <c r="G4142" s="26">
        <v>8.0</v>
      </c>
      <c r="I4142" s="26" t="s">
        <v>872</v>
      </c>
      <c r="J4142" s="25" t="str">
        <f t="shared" si="46"/>
        <v>No</v>
      </c>
      <c r="K4142" s="25" t="str">
        <f t="shared" si="47"/>
        <v/>
      </c>
      <c r="L4142" s="25" t="str">
        <f t="shared" si="48"/>
        <v/>
      </c>
      <c r="M4142" s="25"/>
      <c r="O4142" s="26" t="s">
        <v>51</v>
      </c>
    </row>
    <row r="4143" ht="15.75" customHeight="1">
      <c r="A4143" s="25" t="str">
        <f>IFERROR(__xludf.DUMMYFUNCTION("IF(B4143="""","""",RIGHT(REGEXREPLACE(B4143&amp;"""",""[^0-9]"",""""),9))"),"777917901")</f>
        <v>777917901</v>
      </c>
      <c r="B4143" s="52">
        <v>7.77917901E8</v>
      </c>
      <c r="C4143" s="28" t="s">
        <v>481</v>
      </c>
      <c r="D4143" s="26" t="s">
        <v>56</v>
      </c>
      <c r="E4143" s="31">
        <v>46234.0</v>
      </c>
      <c r="F4143" s="26" t="s">
        <v>125</v>
      </c>
      <c r="I4143" s="26" t="s">
        <v>872</v>
      </c>
      <c r="J4143" s="25" t="str">
        <f t="shared" si="46"/>
        <v>No</v>
      </c>
      <c r="K4143" s="25" t="str">
        <f t="shared" si="47"/>
        <v/>
      </c>
      <c r="L4143" s="25" t="str">
        <f t="shared" si="48"/>
        <v/>
      </c>
      <c r="M4143" s="25"/>
      <c r="O4143" s="25"/>
    </row>
    <row r="4144" ht="15.75" customHeight="1">
      <c r="A4144" s="25" t="str">
        <f>IFERROR(__xludf.DUMMYFUNCTION("IF(B4144="""","""",RIGHT(REGEXREPLACE(B4144&amp;"""",""[^0-9]"",""""),9))"),"767837024")</f>
        <v>767837024</v>
      </c>
      <c r="B4144" s="52">
        <v>7.67837024E8</v>
      </c>
      <c r="C4144" s="28" t="s">
        <v>4128</v>
      </c>
      <c r="D4144" s="26" t="s">
        <v>82</v>
      </c>
      <c r="E4144" s="31">
        <v>46234.0</v>
      </c>
      <c r="F4144" s="26" t="s">
        <v>41</v>
      </c>
      <c r="G4144" s="26">
        <v>11.0</v>
      </c>
      <c r="I4144" s="26" t="s">
        <v>872</v>
      </c>
      <c r="J4144" s="25" t="str">
        <f t="shared" si="46"/>
        <v>No</v>
      </c>
      <c r="K4144" s="25" t="str">
        <f t="shared" si="47"/>
        <v/>
      </c>
      <c r="L4144" s="25" t="str">
        <f t="shared" si="48"/>
        <v/>
      </c>
      <c r="M4144" s="25"/>
      <c r="O4144" s="25"/>
    </row>
    <row r="4145" ht="15.75" customHeight="1">
      <c r="A4145" s="25" t="str">
        <f>IFERROR(__xludf.DUMMYFUNCTION("IF(B4145="""","""",RIGHT(REGEXREPLACE(B4145&amp;"""",""[^0-9]"",""""),9))"),"784801356")</f>
        <v>784801356</v>
      </c>
      <c r="B4145" s="52">
        <v>7.84801356E8</v>
      </c>
      <c r="C4145" s="28" t="s">
        <v>4129</v>
      </c>
      <c r="D4145" s="26" t="s">
        <v>64</v>
      </c>
      <c r="E4145" s="31">
        <v>46234.0</v>
      </c>
      <c r="F4145" s="26" t="s">
        <v>41</v>
      </c>
      <c r="G4145" s="26">
        <v>11.0</v>
      </c>
      <c r="I4145" s="26" t="s">
        <v>872</v>
      </c>
      <c r="J4145" s="25" t="str">
        <f t="shared" si="46"/>
        <v>No</v>
      </c>
      <c r="K4145" s="25" t="str">
        <f t="shared" si="47"/>
        <v/>
      </c>
      <c r="L4145" s="25" t="str">
        <f t="shared" si="48"/>
        <v/>
      </c>
      <c r="M4145" s="25"/>
      <c r="O4145" s="25"/>
    </row>
    <row r="4146" ht="15.75" customHeight="1">
      <c r="A4146" s="25" t="str">
        <f>IFERROR(__xludf.DUMMYFUNCTION("IF(B4146="""","""",RIGHT(REGEXREPLACE(B4146&amp;"""",""[^0-9]"",""""),9))"),"764811080")</f>
        <v>764811080</v>
      </c>
      <c r="B4146" s="52">
        <v>7.6481108E8</v>
      </c>
      <c r="C4146" s="28" t="s">
        <v>4130</v>
      </c>
      <c r="D4146" s="26" t="s">
        <v>82</v>
      </c>
      <c r="E4146" s="31">
        <v>46234.0</v>
      </c>
      <c r="F4146" s="26" t="s">
        <v>41</v>
      </c>
      <c r="I4146" s="26" t="s">
        <v>872</v>
      </c>
      <c r="J4146" s="25" t="str">
        <f t="shared" si="46"/>
        <v>No</v>
      </c>
      <c r="K4146" s="25" t="str">
        <f t="shared" si="47"/>
        <v/>
      </c>
      <c r="L4146" s="25" t="str">
        <f t="shared" si="48"/>
        <v/>
      </c>
      <c r="M4146" s="25"/>
      <c r="O4146" s="25"/>
    </row>
    <row r="4147" ht="15.75" customHeight="1">
      <c r="A4147" s="25" t="str">
        <f>IFERROR(__xludf.DUMMYFUNCTION("IF(B4147="""","""",RIGHT(REGEXREPLACE(B4147&amp;"""",""[^0-9]"",""""),9))"),"715357365")</f>
        <v>715357365</v>
      </c>
      <c r="B4147" s="52">
        <v>7.15357365E8</v>
      </c>
      <c r="C4147" s="28" t="s">
        <v>4098</v>
      </c>
      <c r="D4147" s="26" t="s">
        <v>49</v>
      </c>
      <c r="E4147" s="31">
        <v>46234.0</v>
      </c>
      <c r="F4147" s="26" t="s">
        <v>46</v>
      </c>
      <c r="G4147" s="26">
        <v>7.0</v>
      </c>
      <c r="I4147" s="26" t="s">
        <v>872</v>
      </c>
      <c r="J4147" s="25" t="str">
        <f t="shared" si="46"/>
        <v>Yes - see Previous F-Code</v>
      </c>
      <c r="K4147" s="25" t="str">
        <f t="shared" si="47"/>
        <v/>
      </c>
      <c r="L4147" s="25" t="str">
        <f t="shared" si="48"/>
        <v>F73739</v>
      </c>
      <c r="M4147" s="25"/>
      <c r="O4147" s="25"/>
    </row>
    <row r="4148" ht="15.75" customHeight="1">
      <c r="A4148" s="25" t="str">
        <f>IFERROR(__xludf.DUMMYFUNCTION("IF(B4148="""","""",RIGHT(REGEXREPLACE(B4148&amp;"""",""[^0-9]"",""""),9))"),"715169610")</f>
        <v>715169610</v>
      </c>
      <c r="B4148" s="52">
        <v>7.1516961E8</v>
      </c>
      <c r="C4148" s="28" t="s">
        <v>4131</v>
      </c>
      <c r="D4148" s="26" t="s">
        <v>64</v>
      </c>
      <c r="E4148" s="31">
        <v>46234.0</v>
      </c>
      <c r="F4148" s="26" t="s">
        <v>46</v>
      </c>
      <c r="G4148" s="26">
        <v>10.0</v>
      </c>
      <c r="I4148" s="26" t="s">
        <v>872</v>
      </c>
      <c r="J4148" s="25" t="str">
        <f t="shared" si="46"/>
        <v>No</v>
      </c>
      <c r="K4148" s="25" t="str">
        <f t="shared" si="47"/>
        <v/>
      </c>
      <c r="L4148" s="25" t="str">
        <f t="shared" si="48"/>
        <v/>
      </c>
      <c r="M4148" s="25"/>
      <c r="O4148" s="25"/>
    </row>
    <row r="4149" ht="15.75" customHeight="1">
      <c r="A4149" s="25" t="str">
        <f>IFERROR(__xludf.DUMMYFUNCTION("IF(B4149="""","""",RIGHT(REGEXREPLACE(B4149&amp;"""",""[^0-9]"",""""),9))"),"783906459")</f>
        <v>783906459</v>
      </c>
      <c r="B4149" s="52">
        <v>7.83906459E8</v>
      </c>
      <c r="C4149" s="28" t="s">
        <v>4132</v>
      </c>
      <c r="D4149" s="26" t="s">
        <v>56</v>
      </c>
      <c r="E4149" s="31">
        <v>46234.0</v>
      </c>
      <c r="F4149" s="26" t="s">
        <v>41</v>
      </c>
      <c r="G4149" s="26">
        <v>7.0</v>
      </c>
      <c r="I4149" s="26" t="s">
        <v>872</v>
      </c>
      <c r="J4149" s="25" t="str">
        <f t="shared" si="46"/>
        <v>No</v>
      </c>
      <c r="K4149" s="25" t="str">
        <f t="shared" si="47"/>
        <v/>
      </c>
      <c r="L4149" s="25" t="str">
        <f t="shared" si="48"/>
        <v/>
      </c>
      <c r="M4149" s="25"/>
      <c r="O4149" s="26" t="s">
        <v>51</v>
      </c>
    </row>
    <row r="4150" ht="15.75" customHeight="1">
      <c r="A4150" s="25" t="str">
        <f>IFERROR(__xludf.DUMMYFUNCTION("IF(B4150="""","""",RIGHT(REGEXREPLACE(B4150&amp;"""",""[^0-9]"",""""),9))"),"762871943")</f>
        <v>762871943</v>
      </c>
      <c r="B4150" s="52">
        <v>7.62871943E8</v>
      </c>
      <c r="C4150" s="28" t="s">
        <v>4133</v>
      </c>
      <c r="D4150" s="26" t="s">
        <v>82</v>
      </c>
      <c r="E4150" s="31">
        <v>46234.0</v>
      </c>
      <c r="F4150" s="26" t="s">
        <v>205</v>
      </c>
      <c r="I4150" s="26" t="s">
        <v>872</v>
      </c>
      <c r="J4150" s="25" t="str">
        <f t="shared" si="46"/>
        <v>No</v>
      </c>
      <c r="K4150" s="25" t="str">
        <f t="shared" si="47"/>
        <v/>
      </c>
      <c r="L4150" s="25" t="str">
        <f t="shared" si="48"/>
        <v/>
      </c>
      <c r="M4150" s="25"/>
      <c r="O4150" s="25"/>
    </row>
    <row r="4151" ht="15.75" customHeight="1">
      <c r="A4151" s="25" t="str">
        <f>IFERROR(__xludf.DUMMYFUNCTION("IF(B4151="""","""",RIGHT(REGEXREPLACE(B4151&amp;"""",""[^0-9]"",""""),9))"),"768176811")</f>
        <v>768176811</v>
      </c>
      <c r="B4151" s="52">
        <v>7.68176811E8</v>
      </c>
      <c r="C4151" s="28" t="s">
        <v>926</v>
      </c>
      <c r="D4151" s="25"/>
      <c r="E4151" s="31">
        <v>46234.0</v>
      </c>
      <c r="F4151" s="25"/>
      <c r="G4151" s="25"/>
      <c r="H4151" s="25"/>
      <c r="I4151" s="26" t="s">
        <v>872</v>
      </c>
      <c r="J4151" s="25" t="str">
        <f t="shared" si="46"/>
        <v>Yes - see Previous F-Code</v>
      </c>
      <c r="K4151" s="25" t="str">
        <f t="shared" si="47"/>
        <v/>
      </c>
      <c r="L4151" s="25" t="str">
        <f t="shared" si="48"/>
        <v>F70682</v>
      </c>
      <c r="M4151" s="25"/>
      <c r="N4151" s="25"/>
      <c r="O4151" s="25"/>
      <c r="P4151" s="25"/>
    </row>
    <row r="4152" ht="15.75" customHeight="1">
      <c r="A4152" s="25" t="str">
        <f>IFERROR(__xludf.DUMMYFUNCTION("IF(B4152="""","""",RIGHT(REGEXREPLACE(B4152&amp;"""",""[^0-9]"",""""),9))"),"788567090")</f>
        <v>788567090</v>
      </c>
      <c r="B4152" s="52">
        <v>7.8856709E8</v>
      </c>
      <c r="C4152" s="28" t="s">
        <v>4134</v>
      </c>
      <c r="D4152" s="26" t="s">
        <v>56</v>
      </c>
      <c r="E4152" s="31">
        <v>46234.0</v>
      </c>
      <c r="F4152" s="26" t="s">
        <v>41</v>
      </c>
      <c r="I4152" s="26" t="s">
        <v>872</v>
      </c>
      <c r="J4152" s="25" t="str">
        <f t="shared" si="46"/>
        <v>No</v>
      </c>
      <c r="K4152" s="25" t="str">
        <f t="shared" si="47"/>
        <v/>
      </c>
      <c r="L4152" s="25" t="str">
        <f t="shared" si="48"/>
        <v/>
      </c>
      <c r="M4152" s="25"/>
      <c r="O4152" s="25"/>
    </row>
    <row r="4153" ht="15.75" customHeight="1">
      <c r="A4153" s="25" t="str">
        <f>IFERROR(__xludf.DUMMYFUNCTION("IF(B4153="""","""",RIGHT(REGEXREPLACE(B4153&amp;"""",""[^0-9]"",""""),9))"),"766827261")</f>
        <v>766827261</v>
      </c>
      <c r="B4153" s="52">
        <v>7.66827261E8</v>
      </c>
      <c r="C4153" s="28" t="s">
        <v>4135</v>
      </c>
      <c r="D4153" s="26" t="s">
        <v>64</v>
      </c>
      <c r="E4153" s="31">
        <v>46234.0</v>
      </c>
      <c r="F4153" s="26" t="s">
        <v>84</v>
      </c>
      <c r="G4153" s="26">
        <v>10.0</v>
      </c>
      <c r="I4153" s="26" t="s">
        <v>872</v>
      </c>
      <c r="J4153" s="25" t="str">
        <f t="shared" si="46"/>
        <v>No</v>
      </c>
      <c r="K4153" s="25" t="str">
        <f t="shared" si="47"/>
        <v/>
      </c>
      <c r="L4153" s="25" t="str">
        <f t="shared" si="48"/>
        <v/>
      </c>
      <c r="M4153" s="25"/>
      <c r="O4153" s="25"/>
    </row>
    <row r="4154" ht="15.75" customHeight="1">
      <c r="A4154" s="25" t="str">
        <f>IFERROR(__xludf.DUMMYFUNCTION("IF(B4154="""","""",RIGHT(REGEXREPLACE(B4154&amp;"""",""[^0-9]"",""""),9))"),"772933683")</f>
        <v>772933683</v>
      </c>
      <c r="B4154" s="52">
        <v>7.72933683E8</v>
      </c>
      <c r="C4154" s="28" t="s">
        <v>4136</v>
      </c>
      <c r="D4154" s="26" t="s">
        <v>82</v>
      </c>
      <c r="E4154" s="31">
        <v>46234.0</v>
      </c>
      <c r="F4154" s="26" t="s">
        <v>41</v>
      </c>
      <c r="G4154" s="26">
        <v>10.0</v>
      </c>
      <c r="I4154" s="26" t="s">
        <v>872</v>
      </c>
      <c r="J4154" s="25" t="str">
        <f t="shared" si="46"/>
        <v>No</v>
      </c>
      <c r="K4154" s="25" t="str">
        <f t="shared" si="47"/>
        <v/>
      </c>
      <c r="L4154" s="25" t="str">
        <f t="shared" si="48"/>
        <v/>
      </c>
      <c r="M4154" s="25"/>
      <c r="O4154" s="25"/>
    </row>
    <row r="4155" ht="15.75" customHeight="1">
      <c r="A4155" s="25" t="str">
        <f>IFERROR(__xludf.DUMMYFUNCTION("IF(B4155="""","""",RIGHT(REGEXREPLACE(B4155&amp;"""",""[^0-9]"",""""),9))"),"756022711")</f>
        <v>756022711</v>
      </c>
      <c r="B4155" s="52">
        <v>7.56022711E8</v>
      </c>
      <c r="C4155" s="28" t="s">
        <v>4137</v>
      </c>
      <c r="D4155" s="26" t="s">
        <v>64</v>
      </c>
      <c r="E4155" s="31">
        <v>46234.0</v>
      </c>
      <c r="F4155" s="26" t="s">
        <v>46</v>
      </c>
      <c r="G4155" s="26">
        <v>11.0</v>
      </c>
      <c r="I4155" s="26" t="s">
        <v>872</v>
      </c>
      <c r="J4155" s="25" t="str">
        <f t="shared" si="46"/>
        <v>No</v>
      </c>
      <c r="K4155" s="25" t="str">
        <f t="shared" si="47"/>
        <v/>
      </c>
      <c r="L4155" s="25" t="str">
        <f t="shared" si="48"/>
        <v/>
      </c>
      <c r="M4155" s="25"/>
      <c r="O4155" s="25"/>
    </row>
    <row r="4156" ht="15.75" customHeight="1">
      <c r="A4156" s="25" t="str">
        <f>IFERROR(__xludf.DUMMYFUNCTION("IF(B4156="""","""",RIGHT(REGEXREPLACE(B4156&amp;"""",""[^0-9]"",""""),9))"),"711421498")</f>
        <v>711421498</v>
      </c>
      <c r="B4156" s="52">
        <v>7.11421498E8</v>
      </c>
      <c r="C4156" s="28" t="s">
        <v>4138</v>
      </c>
      <c r="D4156" s="26" t="s">
        <v>56</v>
      </c>
      <c r="E4156" s="31">
        <v>46234.0</v>
      </c>
      <c r="F4156" s="26" t="s">
        <v>46</v>
      </c>
      <c r="G4156" s="26">
        <v>10.0</v>
      </c>
      <c r="H4156" s="26">
        <v>7.03732736E8</v>
      </c>
      <c r="I4156" s="26" t="s">
        <v>872</v>
      </c>
      <c r="J4156" s="25" t="str">
        <f t="shared" si="46"/>
        <v>No</v>
      </c>
      <c r="K4156" s="25" t="str">
        <f t="shared" si="47"/>
        <v/>
      </c>
      <c r="L4156" s="25" t="str">
        <f t="shared" si="48"/>
        <v/>
      </c>
      <c r="M4156" s="25"/>
      <c r="O4156" s="25"/>
    </row>
    <row r="4157" ht="15.75" customHeight="1">
      <c r="A4157" s="25" t="str">
        <f>IFERROR(__xludf.DUMMYFUNCTION("IF(B4157="""","""",RIGHT(REGEXREPLACE(B4157&amp;"""",""[^0-9]"",""""),9))"),"728170560")</f>
        <v>728170560</v>
      </c>
      <c r="B4157" s="52">
        <v>7.2817056E8</v>
      </c>
      <c r="C4157" s="28" t="s">
        <v>4139</v>
      </c>
      <c r="D4157" s="26" t="s">
        <v>49</v>
      </c>
      <c r="E4157" s="31">
        <v>46234.0</v>
      </c>
      <c r="F4157" s="26" t="s">
        <v>46</v>
      </c>
      <c r="G4157" s="26">
        <v>10.0</v>
      </c>
      <c r="H4157" s="72" t="s">
        <v>4140</v>
      </c>
      <c r="I4157" s="26" t="s">
        <v>872</v>
      </c>
      <c r="J4157" s="25" t="str">
        <f t="shared" si="46"/>
        <v>No</v>
      </c>
      <c r="K4157" s="25" t="str">
        <f t="shared" si="47"/>
        <v/>
      </c>
      <c r="L4157" s="25" t="str">
        <f t="shared" si="48"/>
        <v/>
      </c>
      <c r="M4157" s="25"/>
      <c r="O4157" s="25"/>
    </row>
    <row r="4158" ht="15.75" customHeight="1">
      <c r="A4158" s="25" t="str">
        <f>IFERROR(__xludf.DUMMYFUNCTION("IF(B4158="""","""",RIGHT(REGEXREPLACE(B4158&amp;"""",""[^0-9]"",""""),9))"),"773573590")</f>
        <v>773573590</v>
      </c>
      <c r="B4158" s="52">
        <v>7.7357359E8</v>
      </c>
      <c r="C4158" s="28" t="s">
        <v>4141</v>
      </c>
      <c r="D4158" s="26" t="s">
        <v>82</v>
      </c>
      <c r="E4158" s="31">
        <v>46234.0</v>
      </c>
      <c r="F4158" s="26" t="s">
        <v>125</v>
      </c>
      <c r="G4158" s="26">
        <v>10.0</v>
      </c>
      <c r="I4158" s="26" t="s">
        <v>872</v>
      </c>
      <c r="J4158" s="25" t="str">
        <f t="shared" si="46"/>
        <v>No</v>
      </c>
      <c r="K4158" s="25" t="str">
        <f t="shared" si="47"/>
        <v/>
      </c>
      <c r="L4158" s="25" t="str">
        <f t="shared" si="48"/>
        <v/>
      </c>
      <c r="M4158" s="25"/>
      <c r="O4158" s="25"/>
    </row>
    <row r="4159" ht="15.75" customHeight="1">
      <c r="A4159" s="25" t="str">
        <f>IFERROR(__xludf.DUMMYFUNCTION("IF(B4159="""","""",RIGHT(REGEXREPLACE(B4159&amp;"""",""[^0-9]"",""""),9))"),"704294111")</f>
        <v>704294111</v>
      </c>
      <c r="B4159" s="52">
        <v>7.04294111E8</v>
      </c>
      <c r="C4159" s="28" t="s">
        <v>4142</v>
      </c>
      <c r="D4159" s="26" t="s">
        <v>82</v>
      </c>
      <c r="E4159" s="31">
        <v>46234.0</v>
      </c>
      <c r="F4159" s="26" t="s">
        <v>164</v>
      </c>
      <c r="I4159" s="26" t="s">
        <v>872</v>
      </c>
      <c r="J4159" s="25" t="str">
        <f t="shared" si="46"/>
        <v>No</v>
      </c>
      <c r="K4159" s="25" t="str">
        <f t="shared" si="47"/>
        <v/>
      </c>
      <c r="L4159" s="25" t="str">
        <f t="shared" si="48"/>
        <v/>
      </c>
      <c r="M4159" s="25"/>
      <c r="O4159" s="25"/>
    </row>
    <row r="4160" ht="15.75" customHeight="1">
      <c r="A4160" s="25" t="str">
        <f>IFERROR(__xludf.DUMMYFUNCTION("IF(B4160="""","""",RIGHT(REGEXREPLACE(B4160&amp;"""",""[^0-9]"",""""),9))"),"")</f>
        <v/>
      </c>
      <c r="B4160" s="52"/>
      <c r="C4160" s="46"/>
      <c r="D4160" s="25"/>
      <c r="F4160" s="25"/>
      <c r="I4160" s="26" t="s">
        <v>872</v>
      </c>
      <c r="M4160" s="25"/>
      <c r="O4160" s="25"/>
    </row>
    <row r="4161" ht="15.75" customHeight="1">
      <c r="A4161" s="25" t="str">
        <f>IFERROR(__xludf.DUMMYFUNCTION("IF(B4161="""","""",RIGHT(REGEXREPLACE(B4161&amp;"""",""[^0-9]"",""""),9))"),"764643091")</f>
        <v>764643091</v>
      </c>
      <c r="B4161" s="52">
        <v>7.64643091E8</v>
      </c>
      <c r="C4161" s="28" t="s">
        <v>4143</v>
      </c>
      <c r="D4161" s="26" t="s">
        <v>82</v>
      </c>
      <c r="E4161" s="31">
        <v>46234.0</v>
      </c>
      <c r="F4161" s="26" t="s">
        <v>704</v>
      </c>
      <c r="H4161" s="26" t="s">
        <v>4144</v>
      </c>
      <c r="I4161" s="26" t="s">
        <v>872</v>
      </c>
      <c r="J4161" s="25" t="str">
        <f t="shared" ref="J4161:J4545" si="49">IF(COUNTIF($A$2:A4160,A4161)&gt;0,"Yes - see Previous F-Code","No")</f>
        <v>No</v>
      </c>
      <c r="K4161" s="25" t="str">
        <f t="shared" ref="K4161:K4545" si="50">IF(COUNTIFS($A$2:A4161,A4161,$I$2:I4161,I4161)&gt;1,"DUPLICATE - CHECK","")</f>
        <v/>
      </c>
      <c r="L4161" s="25" t="str">
        <f t="shared" ref="L4161:L4545" si="51">IF(COUNTIF($A$2:A4160,A4161)&gt;0,INDEX($C$2:C4160,MATCH(A4161,$A$2:A4160,0)),"")</f>
        <v/>
      </c>
      <c r="M4161" s="25"/>
      <c r="O4161" s="25"/>
    </row>
    <row r="4162" ht="15.75" customHeight="1">
      <c r="A4162" s="25" t="str">
        <f>IFERROR(__xludf.DUMMYFUNCTION("IF(B4162="""","""",RIGHT(REGEXREPLACE(B4162&amp;"""",""[^0-9]"",""""),9))"),"764540985")</f>
        <v>764540985</v>
      </c>
      <c r="B4162" s="52">
        <v>7.64540985E8</v>
      </c>
      <c r="C4162" s="28" t="s">
        <v>4145</v>
      </c>
      <c r="D4162" s="26" t="s">
        <v>49</v>
      </c>
      <c r="E4162" s="31">
        <v>46234.0</v>
      </c>
      <c r="F4162" s="26" t="s">
        <v>46</v>
      </c>
      <c r="G4162" s="26">
        <v>11.0</v>
      </c>
      <c r="I4162" s="26" t="s">
        <v>872</v>
      </c>
      <c r="J4162" s="25" t="str">
        <f t="shared" si="49"/>
        <v>No</v>
      </c>
      <c r="K4162" s="25" t="str">
        <f t="shared" si="50"/>
        <v/>
      </c>
      <c r="L4162" s="25" t="str">
        <f t="shared" si="51"/>
        <v/>
      </c>
      <c r="M4162" s="25"/>
      <c r="O4162" s="25"/>
    </row>
    <row r="4163" ht="15.75" customHeight="1">
      <c r="A4163" s="25" t="str">
        <f>IFERROR(__xludf.DUMMYFUNCTION("IF(B4163="""","""",RIGHT(REGEXREPLACE(B4163&amp;"""",""[^0-9]"",""""),9))"),"741696037")</f>
        <v>741696037</v>
      </c>
      <c r="B4163" s="52">
        <v>7.41696037E8</v>
      </c>
      <c r="C4163" s="28" t="s">
        <v>4146</v>
      </c>
      <c r="D4163" s="26" t="s">
        <v>82</v>
      </c>
      <c r="E4163" s="31">
        <v>46234.0</v>
      </c>
      <c r="F4163" s="26" t="s">
        <v>46</v>
      </c>
      <c r="G4163" s="26">
        <v>11.0</v>
      </c>
      <c r="I4163" s="26" t="s">
        <v>872</v>
      </c>
      <c r="J4163" s="25" t="str">
        <f t="shared" si="49"/>
        <v>No</v>
      </c>
      <c r="K4163" s="25" t="str">
        <f t="shared" si="50"/>
        <v/>
      </c>
      <c r="L4163" s="25" t="str">
        <f t="shared" si="51"/>
        <v/>
      </c>
      <c r="M4163" s="25"/>
      <c r="O4163" s="25"/>
    </row>
    <row r="4164" ht="15.75" customHeight="1">
      <c r="A4164" s="25" t="str">
        <f>IFERROR(__xludf.DUMMYFUNCTION("IF(B4164="""","""",RIGHT(REGEXREPLACE(B4164&amp;"""",""[^0-9]"",""""),9))"),"779302887")</f>
        <v>779302887</v>
      </c>
      <c r="B4164" s="52">
        <v>7.79302887E8</v>
      </c>
      <c r="C4164" s="28" t="s">
        <v>4147</v>
      </c>
      <c r="D4164" s="26" t="s">
        <v>56</v>
      </c>
      <c r="E4164" s="31">
        <v>46234.0</v>
      </c>
      <c r="F4164" s="26" t="s">
        <v>46</v>
      </c>
      <c r="G4164" s="26">
        <v>10.0</v>
      </c>
      <c r="I4164" s="26" t="s">
        <v>872</v>
      </c>
      <c r="J4164" s="25" t="str">
        <f t="shared" si="49"/>
        <v>No</v>
      </c>
      <c r="K4164" s="25" t="str">
        <f t="shared" si="50"/>
        <v/>
      </c>
      <c r="L4164" s="25" t="str">
        <f t="shared" si="51"/>
        <v/>
      </c>
      <c r="M4164" s="25"/>
      <c r="O4164" s="25"/>
    </row>
    <row r="4165" ht="15.75" customHeight="1">
      <c r="A4165" s="25" t="str">
        <f>IFERROR(__xludf.DUMMYFUNCTION("IF(B4165="""","""",RIGHT(REGEXREPLACE(B4165&amp;"""",""[^0-9]"",""""),9))"),"770336657")</f>
        <v>770336657</v>
      </c>
      <c r="B4165" s="52">
        <v>7.70336657E8</v>
      </c>
      <c r="C4165" s="28" t="s">
        <v>4148</v>
      </c>
      <c r="D4165" s="26" t="s">
        <v>49</v>
      </c>
      <c r="E4165" s="31">
        <v>46234.0</v>
      </c>
      <c r="F4165" s="26" t="s">
        <v>46</v>
      </c>
      <c r="G4165" s="26">
        <v>9.0</v>
      </c>
      <c r="I4165" s="26" t="s">
        <v>872</v>
      </c>
      <c r="J4165" s="25" t="str">
        <f t="shared" si="49"/>
        <v>No</v>
      </c>
      <c r="K4165" s="25" t="str">
        <f t="shared" si="50"/>
        <v/>
      </c>
      <c r="L4165" s="25" t="str">
        <f t="shared" si="51"/>
        <v/>
      </c>
      <c r="M4165" s="25"/>
      <c r="O4165" s="25"/>
    </row>
    <row r="4166" ht="15.75" customHeight="1">
      <c r="A4166" s="25" t="str">
        <f>IFERROR(__xludf.DUMMYFUNCTION("IF(B4166="""","""",RIGHT(REGEXREPLACE(B4166&amp;"""",""[^0-9]"",""""),9))"),"710461047")</f>
        <v>710461047</v>
      </c>
      <c r="B4166" s="52">
        <v>7.10461047E8</v>
      </c>
      <c r="C4166" s="28" t="s">
        <v>4149</v>
      </c>
      <c r="D4166" s="26" t="s">
        <v>64</v>
      </c>
      <c r="E4166" s="31">
        <v>46234.0</v>
      </c>
      <c r="F4166" s="26" t="s">
        <v>46</v>
      </c>
      <c r="G4166" s="96">
        <v>46306.0</v>
      </c>
      <c r="I4166" s="26" t="s">
        <v>872</v>
      </c>
      <c r="J4166" s="25" t="str">
        <f t="shared" si="49"/>
        <v>No</v>
      </c>
      <c r="K4166" s="25" t="str">
        <f t="shared" si="50"/>
        <v/>
      </c>
      <c r="L4166" s="25" t="str">
        <f t="shared" si="51"/>
        <v/>
      </c>
      <c r="M4166" s="25"/>
      <c r="O4166" s="25"/>
    </row>
    <row r="4167" ht="15.75" customHeight="1">
      <c r="A4167" s="25" t="str">
        <f>IFERROR(__xludf.DUMMYFUNCTION("IF(B4167="""","""",RIGHT(REGEXREPLACE(B4167&amp;"""",""[^0-9]"",""""),9))"),"762269286")</f>
        <v>762269286</v>
      </c>
      <c r="B4167" s="52">
        <v>7.62269286E8</v>
      </c>
      <c r="C4167" s="28" t="s">
        <v>4022</v>
      </c>
      <c r="D4167" s="26" t="s">
        <v>64</v>
      </c>
      <c r="E4167" s="31">
        <v>46234.0</v>
      </c>
      <c r="F4167" s="26" t="s">
        <v>46</v>
      </c>
      <c r="G4167" s="26">
        <v>6.0</v>
      </c>
      <c r="I4167" s="26" t="s">
        <v>872</v>
      </c>
      <c r="J4167" s="25" t="str">
        <f t="shared" si="49"/>
        <v>Yes - see Previous F-Code</v>
      </c>
      <c r="K4167" s="25" t="str">
        <f t="shared" si="50"/>
        <v/>
      </c>
      <c r="L4167" s="25" t="str">
        <f t="shared" si="51"/>
        <v>F73667</v>
      </c>
      <c r="M4167" s="25"/>
      <c r="O4167" s="25"/>
    </row>
    <row r="4168" ht="15.75" customHeight="1">
      <c r="A4168" s="25" t="str">
        <f>IFERROR(__xludf.DUMMYFUNCTION("IF(B4168="""","""",RIGHT(REGEXREPLACE(B4168&amp;"""",""[^0-9]"",""""),9))"),"778424272")</f>
        <v>778424272</v>
      </c>
      <c r="B4168" s="52">
        <v>7.78424272E8</v>
      </c>
      <c r="C4168" s="28" t="s">
        <v>4150</v>
      </c>
      <c r="D4168" s="26" t="s">
        <v>56</v>
      </c>
      <c r="E4168" s="31">
        <v>46234.0</v>
      </c>
      <c r="F4168" s="26" t="s">
        <v>46</v>
      </c>
      <c r="G4168" s="26">
        <v>10.0</v>
      </c>
      <c r="I4168" s="26" t="s">
        <v>872</v>
      </c>
      <c r="J4168" s="25" t="str">
        <f t="shared" si="49"/>
        <v>No</v>
      </c>
      <c r="K4168" s="25" t="str">
        <f t="shared" si="50"/>
        <v/>
      </c>
      <c r="L4168" s="25" t="str">
        <f t="shared" si="51"/>
        <v/>
      </c>
      <c r="M4168" s="25"/>
      <c r="O4168" s="25"/>
    </row>
    <row r="4169" ht="15.75" customHeight="1">
      <c r="A4169" s="25" t="str">
        <f>IFERROR(__xludf.DUMMYFUNCTION("IF(B4169="""","""",RIGHT(REGEXREPLACE(B4169&amp;"""",""[^0-9]"",""""),9))"),"776737569")</f>
        <v>776737569</v>
      </c>
      <c r="B4169" s="52">
        <v>7.76737569E8</v>
      </c>
      <c r="C4169" s="28" t="s">
        <v>4151</v>
      </c>
      <c r="D4169" s="26" t="s">
        <v>82</v>
      </c>
      <c r="E4169" s="31">
        <v>46234.0</v>
      </c>
      <c r="F4169" s="26" t="s">
        <v>46</v>
      </c>
      <c r="G4169" s="26">
        <v>10.0</v>
      </c>
      <c r="I4169" s="26" t="s">
        <v>872</v>
      </c>
      <c r="J4169" s="25" t="str">
        <f t="shared" si="49"/>
        <v>No</v>
      </c>
      <c r="K4169" s="25" t="str">
        <f t="shared" si="50"/>
        <v/>
      </c>
      <c r="L4169" s="25" t="str">
        <f t="shared" si="51"/>
        <v/>
      </c>
      <c r="M4169" s="25"/>
      <c r="O4169" s="25"/>
    </row>
    <row r="4170" ht="15.75" customHeight="1">
      <c r="A4170" s="25" t="str">
        <f>IFERROR(__xludf.DUMMYFUNCTION("IF(B4170="""","""",RIGHT(REGEXREPLACE(B4170&amp;"""",""[^0-9]"",""""),9))"),"726303403")</f>
        <v>726303403</v>
      </c>
      <c r="B4170" s="52">
        <v>7.26303403E8</v>
      </c>
      <c r="C4170" s="28" t="s">
        <v>4152</v>
      </c>
      <c r="D4170" s="26" t="s">
        <v>64</v>
      </c>
      <c r="E4170" s="31">
        <v>46234.0</v>
      </c>
      <c r="F4170" s="26" t="s">
        <v>659</v>
      </c>
      <c r="G4170" s="26">
        <v>8.0</v>
      </c>
      <c r="I4170" s="26" t="s">
        <v>872</v>
      </c>
      <c r="J4170" s="25" t="str">
        <f t="shared" si="49"/>
        <v>No</v>
      </c>
      <c r="K4170" s="25" t="str">
        <f t="shared" si="50"/>
        <v/>
      </c>
      <c r="L4170" s="25" t="str">
        <f t="shared" si="51"/>
        <v/>
      </c>
      <c r="M4170" s="25"/>
      <c r="O4170" s="25"/>
    </row>
    <row r="4171" ht="15.75" customHeight="1">
      <c r="A4171" s="25" t="str">
        <f>IFERROR(__xludf.DUMMYFUNCTION("IF(B4171="""","""",RIGHT(REGEXREPLACE(B4171&amp;"""",""[^0-9]"",""""),9))"),"716072886")</f>
        <v>716072886</v>
      </c>
      <c r="B4171" s="52">
        <v>7.16072886E8</v>
      </c>
      <c r="C4171" s="28" t="s">
        <v>4153</v>
      </c>
      <c r="D4171" s="26" t="s">
        <v>64</v>
      </c>
      <c r="E4171" s="31">
        <v>46234.0</v>
      </c>
      <c r="F4171" s="26" t="s">
        <v>41</v>
      </c>
      <c r="G4171" s="26">
        <v>10.0</v>
      </c>
      <c r="I4171" s="26" t="s">
        <v>872</v>
      </c>
      <c r="J4171" s="25" t="str">
        <f t="shared" si="49"/>
        <v>No</v>
      </c>
      <c r="K4171" s="25" t="str">
        <f t="shared" si="50"/>
        <v/>
      </c>
      <c r="L4171" s="25" t="str">
        <f t="shared" si="51"/>
        <v/>
      </c>
      <c r="M4171" s="25"/>
      <c r="O4171" s="25"/>
    </row>
    <row r="4172" ht="15.75" customHeight="1">
      <c r="A4172" s="25" t="str">
        <f>IFERROR(__xludf.DUMMYFUNCTION("IF(B4172="""","""",RIGHT(REGEXREPLACE(B4172&amp;"""",""[^0-9]"",""""),9))"),"742968183")</f>
        <v>742968183</v>
      </c>
      <c r="B4172" s="52">
        <v>7.42968183E8</v>
      </c>
      <c r="C4172" s="28" t="s">
        <v>1732</v>
      </c>
      <c r="D4172" s="26" t="s">
        <v>49</v>
      </c>
      <c r="E4172" s="31">
        <v>46234.0</v>
      </c>
      <c r="F4172" s="26" t="s">
        <v>41</v>
      </c>
      <c r="G4172" s="26">
        <v>11.0</v>
      </c>
      <c r="I4172" s="26" t="s">
        <v>872</v>
      </c>
      <c r="J4172" s="25" t="str">
        <f t="shared" si="49"/>
        <v>Yes - see Previous F-Code</v>
      </c>
      <c r="K4172" s="25" t="str">
        <f t="shared" si="50"/>
        <v/>
      </c>
      <c r="L4172" s="25" t="str">
        <f t="shared" si="51"/>
        <v>F71442</v>
      </c>
      <c r="M4172" s="25"/>
      <c r="O4172" s="25"/>
    </row>
    <row r="4173" ht="15.75" customHeight="1">
      <c r="A4173" s="25" t="str">
        <f>IFERROR(__xludf.DUMMYFUNCTION("IF(B4173="""","""",RIGHT(REGEXREPLACE(B4173&amp;"""",""[^0-9]"",""""),9))"),"770845335")</f>
        <v>770845335</v>
      </c>
      <c r="B4173" s="52">
        <v>7.70845335E8</v>
      </c>
      <c r="C4173" s="28" t="s">
        <v>4154</v>
      </c>
      <c r="D4173" s="26" t="s">
        <v>82</v>
      </c>
      <c r="E4173" s="31">
        <v>46234.0</v>
      </c>
      <c r="F4173" s="26" t="s">
        <v>41</v>
      </c>
      <c r="G4173" s="26">
        <v>10.0</v>
      </c>
      <c r="I4173" s="26" t="s">
        <v>872</v>
      </c>
      <c r="J4173" s="25" t="str">
        <f t="shared" si="49"/>
        <v>No</v>
      </c>
      <c r="K4173" s="25" t="str">
        <f t="shared" si="50"/>
        <v/>
      </c>
      <c r="L4173" s="25" t="str">
        <f t="shared" si="51"/>
        <v/>
      </c>
      <c r="M4173" s="25"/>
      <c r="O4173" s="25"/>
    </row>
    <row r="4174" ht="15.75" customHeight="1">
      <c r="A4174" s="25" t="str">
        <f>IFERROR(__xludf.DUMMYFUNCTION("IF(B4174="""","""",RIGHT(REGEXREPLACE(B4174&amp;"""",""[^0-9]"",""""),9))"),"773321390")</f>
        <v>773321390</v>
      </c>
      <c r="B4174" s="52">
        <v>7.7332139E8</v>
      </c>
      <c r="C4174" s="28" t="s">
        <v>4155</v>
      </c>
      <c r="D4174" s="26" t="s">
        <v>64</v>
      </c>
      <c r="E4174" s="31">
        <v>46234.0</v>
      </c>
      <c r="F4174" s="26" t="s">
        <v>41</v>
      </c>
      <c r="I4174" s="26" t="s">
        <v>872</v>
      </c>
      <c r="J4174" s="25" t="str">
        <f t="shared" si="49"/>
        <v>No</v>
      </c>
      <c r="K4174" s="25" t="str">
        <f t="shared" si="50"/>
        <v/>
      </c>
      <c r="L4174" s="25" t="str">
        <f t="shared" si="51"/>
        <v/>
      </c>
      <c r="M4174" s="25"/>
      <c r="O4174" s="25"/>
    </row>
    <row r="4175" ht="15.75" customHeight="1">
      <c r="A4175" s="25" t="str">
        <f>IFERROR(__xludf.DUMMYFUNCTION("IF(B4175="""","""",RIGHT(REGEXREPLACE(B4175&amp;"""",""[^0-9]"",""""),9))"),"762036453")</f>
        <v>762036453</v>
      </c>
      <c r="B4175" s="52">
        <v>7.62036453E8</v>
      </c>
      <c r="C4175" s="28" t="s">
        <v>4156</v>
      </c>
      <c r="D4175" s="26" t="s">
        <v>82</v>
      </c>
      <c r="E4175" s="31">
        <v>46234.0</v>
      </c>
      <c r="F4175" s="26" t="s">
        <v>46</v>
      </c>
      <c r="G4175" s="26">
        <v>10.0</v>
      </c>
      <c r="I4175" s="26" t="s">
        <v>872</v>
      </c>
      <c r="J4175" s="25" t="str">
        <f t="shared" si="49"/>
        <v>No</v>
      </c>
      <c r="K4175" s="25" t="str">
        <f t="shared" si="50"/>
        <v/>
      </c>
      <c r="L4175" s="25" t="str">
        <f t="shared" si="51"/>
        <v/>
      </c>
      <c r="M4175" s="25"/>
      <c r="O4175" s="25"/>
    </row>
    <row r="4176" ht="15.75" customHeight="1">
      <c r="A4176" s="25" t="str">
        <f>IFERROR(__xludf.DUMMYFUNCTION("IF(B4176="""","""",RIGHT(REGEXREPLACE(B4176&amp;"""",""[^0-9]"",""""),9))"),"741693689")</f>
        <v>741693689</v>
      </c>
      <c r="B4176" s="52">
        <v>7.41693689E8</v>
      </c>
      <c r="C4176" s="28" t="s">
        <v>4157</v>
      </c>
      <c r="D4176" s="26" t="s">
        <v>49</v>
      </c>
      <c r="E4176" s="31">
        <v>46234.0</v>
      </c>
      <c r="F4176" s="26" t="s">
        <v>46</v>
      </c>
      <c r="G4176" s="26">
        <v>11.0</v>
      </c>
      <c r="I4176" s="26" t="s">
        <v>872</v>
      </c>
      <c r="J4176" s="25" t="str">
        <f t="shared" si="49"/>
        <v>No</v>
      </c>
      <c r="K4176" s="25" t="str">
        <f t="shared" si="50"/>
        <v/>
      </c>
      <c r="L4176" s="25" t="str">
        <f t="shared" si="51"/>
        <v/>
      </c>
      <c r="M4176" s="25"/>
      <c r="O4176" s="25"/>
    </row>
    <row r="4177" ht="15.75" customHeight="1">
      <c r="A4177" s="25" t="str">
        <f>IFERROR(__xludf.DUMMYFUNCTION("IF(B4177="""","""",RIGHT(REGEXREPLACE(B4177&amp;"""",""[^0-9]"",""""),9))"),"765819396")</f>
        <v>765819396</v>
      </c>
      <c r="B4177" s="52">
        <v>7.65819396E8</v>
      </c>
      <c r="C4177" s="28" t="s">
        <v>4158</v>
      </c>
      <c r="D4177" s="26" t="s">
        <v>82</v>
      </c>
      <c r="E4177" s="31">
        <v>46234.0</v>
      </c>
      <c r="F4177" s="26" t="s">
        <v>41</v>
      </c>
      <c r="I4177" s="26" t="s">
        <v>872</v>
      </c>
      <c r="J4177" s="25" t="str">
        <f t="shared" si="49"/>
        <v>No</v>
      </c>
      <c r="K4177" s="25" t="str">
        <f t="shared" si="50"/>
        <v/>
      </c>
      <c r="L4177" s="25" t="str">
        <f t="shared" si="51"/>
        <v/>
      </c>
      <c r="M4177" s="25"/>
      <c r="O4177" s="25"/>
    </row>
    <row r="4178" ht="15.75" customHeight="1">
      <c r="A4178" s="25" t="str">
        <f>IFERROR(__xludf.DUMMYFUNCTION("IF(B4178="""","""",RIGHT(REGEXREPLACE(B4178&amp;"""",""[^0-9]"",""""),9))"),"702956156")</f>
        <v>702956156</v>
      </c>
      <c r="B4178" s="52">
        <v>7.02956156E8</v>
      </c>
      <c r="C4178" s="28" t="s">
        <v>4159</v>
      </c>
      <c r="D4178" s="26" t="s">
        <v>64</v>
      </c>
      <c r="E4178" s="31">
        <v>46234.0</v>
      </c>
      <c r="F4178" s="26" t="s">
        <v>46</v>
      </c>
      <c r="G4178" s="26">
        <v>10.0</v>
      </c>
      <c r="I4178" s="26" t="s">
        <v>872</v>
      </c>
      <c r="J4178" s="25" t="str">
        <f t="shared" si="49"/>
        <v>No</v>
      </c>
      <c r="K4178" s="25" t="str">
        <f t="shared" si="50"/>
        <v/>
      </c>
      <c r="L4178" s="25" t="str">
        <f t="shared" si="51"/>
        <v/>
      </c>
      <c r="M4178" s="25"/>
      <c r="O4178" s="25"/>
    </row>
    <row r="4179" ht="15.75" customHeight="1">
      <c r="A4179" s="25" t="str">
        <f>IFERROR(__xludf.DUMMYFUNCTION("IF(B4179="""","""",RIGHT(REGEXREPLACE(B4179&amp;"""",""[^0-9]"",""""),9))"),"771117355")</f>
        <v>771117355</v>
      </c>
      <c r="B4179" s="52">
        <v>7.71117355E8</v>
      </c>
      <c r="C4179" s="28" t="s">
        <v>4160</v>
      </c>
      <c r="D4179" s="26" t="s">
        <v>56</v>
      </c>
      <c r="E4179" s="31">
        <v>46234.0</v>
      </c>
      <c r="F4179" s="26" t="s">
        <v>41</v>
      </c>
      <c r="G4179" s="26">
        <v>10.0</v>
      </c>
      <c r="I4179" s="26" t="s">
        <v>872</v>
      </c>
      <c r="J4179" s="25" t="str">
        <f t="shared" si="49"/>
        <v>No</v>
      </c>
      <c r="K4179" s="25" t="str">
        <f t="shared" si="50"/>
        <v/>
      </c>
      <c r="L4179" s="25" t="str">
        <f t="shared" si="51"/>
        <v/>
      </c>
      <c r="M4179" s="25"/>
      <c r="O4179" s="25"/>
    </row>
    <row r="4180" ht="15.75" customHeight="1">
      <c r="A4180" s="25" t="str">
        <f>IFERROR(__xludf.DUMMYFUNCTION("IF(B4180="""","""",RIGHT(REGEXREPLACE(B4180&amp;"""",""[^0-9]"",""""),9))"),"714082988")</f>
        <v>714082988</v>
      </c>
      <c r="B4180" s="52">
        <v>7.14082988E8</v>
      </c>
      <c r="C4180" s="28" t="s">
        <v>4160</v>
      </c>
      <c r="D4180" s="26" t="s">
        <v>56</v>
      </c>
      <c r="E4180" s="31">
        <v>46234.0</v>
      </c>
      <c r="F4180" s="26" t="s">
        <v>84</v>
      </c>
      <c r="G4180" s="26">
        <v>10.0</v>
      </c>
      <c r="I4180" s="26" t="s">
        <v>872</v>
      </c>
      <c r="J4180" s="25" t="str">
        <f t="shared" si="49"/>
        <v>No</v>
      </c>
      <c r="K4180" s="25" t="str">
        <f t="shared" si="50"/>
        <v/>
      </c>
      <c r="L4180" s="25" t="str">
        <f t="shared" si="51"/>
        <v/>
      </c>
      <c r="M4180" s="25"/>
      <c r="O4180" s="25"/>
    </row>
    <row r="4181" ht="15.75" customHeight="1">
      <c r="A4181" s="25" t="str">
        <f>IFERROR(__xludf.DUMMYFUNCTION("IF(B4181="""","""",RIGHT(REGEXREPLACE(B4181&amp;"""",""[^0-9]"",""""),9))"),"763659360")</f>
        <v>763659360</v>
      </c>
      <c r="B4181" s="52">
        <v>7.6365936E8</v>
      </c>
      <c r="C4181" s="28" t="s">
        <v>4161</v>
      </c>
      <c r="D4181" s="26" t="s">
        <v>49</v>
      </c>
      <c r="E4181" s="31">
        <v>46234.0</v>
      </c>
      <c r="F4181" s="26" t="s">
        <v>46</v>
      </c>
      <c r="G4181" s="26">
        <v>9.0</v>
      </c>
      <c r="I4181" s="26" t="s">
        <v>872</v>
      </c>
      <c r="J4181" s="25" t="str">
        <f t="shared" si="49"/>
        <v>No</v>
      </c>
      <c r="K4181" s="25" t="str">
        <f t="shared" si="50"/>
        <v/>
      </c>
      <c r="L4181" s="25" t="str">
        <f t="shared" si="51"/>
        <v/>
      </c>
      <c r="M4181" s="25"/>
      <c r="O4181" s="25"/>
    </row>
    <row r="4182" ht="15.75" customHeight="1">
      <c r="A4182" s="25" t="str">
        <f>IFERROR(__xludf.DUMMYFUNCTION("IF(B4182="""","""",RIGHT(REGEXREPLACE(B4182&amp;"""",""[^0-9]"",""""),9))"),"701160930")</f>
        <v>701160930</v>
      </c>
      <c r="B4182" s="52">
        <v>7.0116093E8</v>
      </c>
      <c r="C4182" s="28" t="s">
        <v>4162</v>
      </c>
      <c r="D4182" s="26" t="s">
        <v>45</v>
      </c>
      <c r="E4182" s="31">
        <v>46234.0</v>
      </c>
      <c r="F4182" s="26" t="s">
        <v>46</v>
      </c>
      <c r="G4182" s="26">
        <v>11.0</v>
      </c>
      <c r="I4182" s="26" t="s">
        <v>872</v>
      </c>
      <c r="J4182" s="25" t="str">
        <f t="shared" si="49"/>
        <v>No</v>
      </c>
      <c r="K4182" s="25" t="str">
        <f t="shared" si="50"/>
        <v/>
      </c>
      <c r="L4182" s="25" t="str">
        <f t="shared" si="51"/>
        <v/>
      </c>
      <c r="M4182" s="25"/>
      <c r="O4182" s="25"/>
    </row>
    <row r="4183" ht="15.75" customHeight="1">
      <c r="A4183" s="25" t="str">
        <f>IFERROR(__xludf.DUMMYFUNCTION("IF(B4183="""","""",RIGHT(REGEXREPLACE(B4183&amp;"""",""[^0-9]"",""""),9))"),"756491578")</f>
        <v>756491578</v>
      </c>
      <c r="B4183" s="52">
        <v>7.56491578E8</v>
      </c>
      <c r="C4183" s="28" t="s">
        <v>4163</v>
      </c>
      <c r="D4183" s="26" t="s">
        <v>82</v>
      </c>
      <c r="E4183" s="31">
        <v>46234.0</v>
      </c>
      <c r="F4183" s="25"/>
      <c r="G4183" s="25"/>
      <c r="H4183" s="25"/>
      <c r="I4183" s="26" t="s">
        <v>872</v>
      </c>
      <c r="J4183" s="25" t="str">
        <f t="shared" si="49"/>
        <v>No</v>
      </c>
      <c r="K4183" s="25" t="str">
        <f t="shared" si="50"/>
        <v/>
      </c>
      <c r="L4183" s="25" t="str">
        <f t="shared" si="51"/>
        <v/>
      </c>
      <c r="M4183" s="25"/>
      <c r="N4183" s="25"/>
      <c r="O4183" s="25"/>
      <c r="P4183" s="25"/>
    </row>
    <row r="4184" ht="15.75" customHeight="1">
      <c r="A4184" s="25" t="str">
        <f>IFERROR(__xludf.DUMMYFUNCTION("IF(B4184="""","""",RIGHT(REGEXREPLACE(B4184&amp;"""",""[^0-9]"",""""),9))"),"743182812")</f>
        <v>743182812</v>
      </c>
      <c r="B4184" s="52">
        <v>7.43182812E8</v>
      </c>
      <c r="C4184" s="28" t="s">
        <v>4164</v>
      </c>
      <c r="D4184" s="26" t="s">
        <v>49</v>
      </c>
      <c r="E4184" s="31">
        <v>46234.0</v>
      </c>
      <c r="F4184" s="26" t="s">
        <v>46</v>
      </c>
      <c r="G4184" s="26">
        <v>10.0</v>
      </c>
      <c r="I4184" s="26" t="s">
        <v>872</v>
      </c>
      <c r="J4184" s="25" t="str">
        <f t="shared" si="49"/>
        <v>No</v>
      </c>
      <c r="K4184" s="25" t="str">
        <f t="shared" si="50"/>
        <v/>
      </c>
      <c r="L4184" s="25" t="str">
        <f t="shared" si="51"/>
        <v/>
      </c>
      <c r="M4184" s="25"/>
      <c r="O4184" s="25"/>
    </row>
    <row r="4185" ht="15.75" customHeight="1">
      <c r="A4185" s="25" t="str">
        <f>IFERROR(__xludf.DUMMYFUNCTION("IF(B4185="""","""",RIGHT(REGEXREPLACE(B4185&amp;"""",""[^0-9]"",""""),9))"),"713716541")</f>
        <v>713716541</v>
      </c>
      <c r="B4185" s="52">
        <v>7.13716541E8</v>
      </c>
      <c r="C4185" s="28" t="s">
        <v>4165</v>
      </c>
      <c r="D4185" s="26" t="s">
        <v>56</v>
      </c>
      <c r="E4185" s="31">
        <v>46234.0</v>
      </c>
      <c r="F4185" s="26" t="s">
        <v>46</v>
      </c>
      <c r="G4185" s="26">
        <v>10.0</v>
      </c>
      <c r="I4185" s="26" t="s">
        <v>872</v>
      </c>
      <c r="J4185" s="25" t="str">
        <f t="shared" si="49"/>
        <v>No</v>
      </c>
      <c r="K4185" s="25" t="str">
        <f t="shared" si="50"/>
        <v/>
      </c>
      <c r="L4185" s="25" t="str">
        <f t="shared" si="51"/>
        <v/>
      </c>
      <c r="M4185" s="25"/>
      <c r="O4185" s="25"/>
    </row>
    <row r="4186" ht="15.75" customHeight="1">
      <c r="A4186" s="25" t="str">
        <f>IFERROR(__xludf.DUMMYFUNCTION("IF(B4186="""","""",RIGHT(REGEXREPLACE(B4186&amp;"""",""[^0-9]"",""""),9))"),"719049829")</f>
        <v>719049829</v>
      </c>
      <c r="B4186" s="52">
        <v>7.19049829E8</v>
      </c>
      <c r="C4186" s="28" t="s">
        <v>4166</v>
      </c>
      <c r="D4186" s="26" t="s">
        <v>82</v>
      </c>
      <c r="E4186" s="31">
        <v>46234.0</v>
      </c>
      <c r="F4186" s="25"/>
      <c r="G4186" s="25"/>
      <c r="H4186" s="25"/>
      <c r="I4186" s="26" t="s">
        <v>872</v>
      </c>
      <c r="J4186" s="25" t="str">
        <f t="shared" si="49"/>
        <v>No</v>
      </c>
      <c r="K4186" s="25" t="str">
        <f t="shared" si="50"/>
        <v/>
      </c>
      <c r="L4186" s="25" t="str">
        <f t="shared" si="51"/>
        <v/>
      </c>
      <c r="M4186" s="25"/>
      <c r="N4186" s="25"/>
      <c r="O4186" s="25"/>
      <c r="P4186" s="25"/>
    </row>
    <row r="4187" ht="15.75" customHeight="1">
      <c r="A4187" s="25" t="str">
        <f>IFERROR(__xludf.DUMMYFUNCTION("IF(B4187="""","""",RIGHT(REGEXREPLACE(B4187&amp;"""",""[^0-9]"",""""),9))"),"779911251")</f>
        <v>779911251</v>
      </c>
      <c r="B4187" s="52">
        <v>7.79911251E8</v>
      </c>
      <c r="C4187" s="28" t="s">
        <v>4167</v>
      </c>
      <c r="D4187" s="26" t="s">
        <v>49</v>
      </c>
      <c r="E4187" s="31">
        <v>46234.0</v>
      </c>
      <c r="F4187" s="26" t="s">
        <v>41</v>
      </c>
      <c r="I4187" s="26" t="s">
        <v>872</v>
      </c>
      <c r="J4187" s="25" t="str">
        <f t="shared" si="49"/>
        <v>No</v>
      </c>
      <c r="K4187" s="25" t="str">
        <f t="shared" si="50"/>
        <v/>
      </c>
      <c r="L4187" s="25" t="str">
        <f t="shared" si="51"/>
        <v/>
      </c>
      <c r="M4187" s="25"/>
      <c r="O4187" s="25"/>
    </row>
    <row r="4188" ht="15.75" customHeight="1">
      <c r="A4188" s="25" t="str">
        <f>IFERROR(__xludf.DUMMYFUNCTION("IF(B4188="""","""",RIGHT(REGEXREPLACE(B4188&amp;"""",""[^0-9]"",""""),9))"),"766944748")</f>
        <v>766944748</v>
      </c>
      <c r="B4188" s="52">
        <v>7.66944748E8</v>
      </c>
      <c r="C4188" s="28" t="s">
        <v>4168</v>
      </c>
      <c r="D4188" s="26" t="s">
        <v>82</v>
      </c>
      <c r="E4188" s="31">
        <v>46234.0</v>
      </c>
      <c r="F4188" s="26" t="s">
        <v>46</v>
      </c>
      <c r="G4188" s="26">
        <v>11.0</v>
      </c>
      <c r="I4188" s="26" t="s">
        <v>872</v>
      </c>
      <c r="J4188" s="25" t="str">
        <f t="shared" si="49"/>
        <v>No</v>
      </c>
      <c r="K4188" s="25" t="str">
        <f t="shared" si="50"/>
        <v/>
      </c>
      <c r="L4188" s="25" t="str">
        <f t="shared" si="51"/>
        <v/>
      </c>
      <c r="M4188" s="25"/>
      <c r="O4188" s="25"/>
    </row>
    <row r="4189" ht="15.75" customHeight="1">
      <c r="A4189" s="25" t="str">
        <f>IFERROR(__xludf.DUMMYFUNCTION("IF(B4189="""","""",RIGHT(REGEXREPLACE(B4189&amp;"""",""[^0-9]"",""""),9))"),"762235833")</f>
        <v>762235833</v>
      </c>
      <c r="B4189" s="52">
        <v>7.62235833E8</v>
      </c>
      <c r="C4189" s="28" t="s">
        <v>4169</v>
      </c>
      <c r="D4189" s="26" t="s">
        <v>45</v>
      </c>
      <c r="E4189" s="31">
        <v>46234.0</v>
      </c>
      <c r="F4189" s="26" t="s">
        <v>46</v>
      </c>
      <c r="G4189" s="26">
        <v>11.0</v>
      </c>
      <c r="I4189" s="26" t="s">
        <v>872</v>
      </c>
      <c r="J4189" s="25" t="str">
        <f t="shared" si="49"/>
        <v>No</v>
      </c>
      <c r="K4189" s="25" t="str">
        <f t="shared" si="50"/>
        <v/>
      </c>
      <c r="L4189" s="25" t="str">
        <f t="shared" si="51"/>
        <v/>
      </c>
      <c r="M4189" s="25"/>
      <c r="O4189" s="25"/>
    </row>
    <row r="4190" ht="15.75" customHeight="1">
      <c r="A4190" s="25" t="str">
        <f>IFERROR(__xludf.DUMMYFUNCTION("IF(B4190="""","""",RIGHT(REGEXREPLACE(B4190&amp;"""",""[^0-9]"",""""),9))"),"718613487")</f>
        <v>718613487</v>
      </c>
      <c r="B4190" s="52">
        <v>7.18613487E8</v>
      </c>
      <c r="C4190" s="28" t="s">
        <v>4170</v>
      </c>
      <c r="D4190" s="26" t="s">
        <v>45</v>
      </c>
      <c r="E4190" s="31">
        <v>46234.0</v>
      </c>
      <c r="F4190" s="26" t="s">
        <v>46</v>
      </c>
      <c r="G4190" s="26">
        <v>10.0</v>
      </c>
      <c r="H4190" s="26" t="s">
        <v>4171</v>
      </c>
      <c r="I4190" s="26" t="s">
        <v>872</v>
      </c>
      <c r="J4190" s="25" t="str">
        <f t="shared" si="49"/>
        <v>No</v>
      </c>
      <c r="K4190" s="25" t="str">
        <f t="shared" si="50"/>
        <v/>
      </c>
      <c r="L4190" s="25" t="str">
        <f t="shared" si="51"/>
        <v/>
      </c>
      <c r="M4190" s="25"/>
      <c r="O4190" s="25"/>
    </row>
    <row r="4191" ht="15.75" customHeight="1">
      <c r="A4191" s="25" t="str">
        <f>IFERROR(__xludf.DUMMYFUNCTION("IF(B4191="""","""",RIGHT(REGEXREPLACE(B4191&amp;"""",""[^0-9]"",""""),9))"),"714399654")</f>
        <v>714399654</v>
      </c>
      <c r="B4191" s="52">
        <v>7.14399654E8</v>
      </c>
      <c r="C4191" s="28" t="s">
        <v>4172</v>
      </c>
      <c r="D4191" s="26" t="s">
        <v>82</v>
      </c>
      <c r="E4191" s="31">
        <v>46234.0</v>
      </c>
      <c r="F4191" s="25"/>
      <c r="G4191" s="25"/>
      <c r="H4191" s="25"/>
      <c r="I4191" s="26" t="s">
        <v>872</v>
      </c>
      <c r="J4191" s="25" t="str">
        <f t="shared" si="49"/>
        <v>No</v>
      </c>
      <c r="K4191" s="25" t="str">
        <f t="shared" si="50"/>
        <v/>
      </c>
      <c r="L4191" s="25" t="str">
        <f t="shared" si="51"/>
        <v/>
      </c>
      <c r="M4191" s="25"/>
      <c r="N4191" s="25"/>
      <c r="O4191" s="25"/>
      <c r="P4191" s="25"/>
    </row>
    <row r="4192" ht="15.75" customHeight="1">
      <c r="A4192" s="25" t="str">
        <f>IFERROR(__xludf.DUMMYFUNCTION("IF(B4192="""","""",RIGHT(REGEXREPLACE(B4192&amp;"""",""[^0-9]"",""""),9))"),"717856467")</f>
        <v>717856467</v>
      </c>
      <c r="B4192" s="52">
        <v>7.17856467E8</v>
      </c>
      <c r="C4192" s="28" t="s">
        <v>4173</v>
      </c>
      <c r="D4192" s="26" t="s">
        <v>49</v>
      </c>
      <c r="E4192" s="31">
        <v>46234.0</v>
      </c>
      <c r="F4192" s="26" t="s">
        <v>46</v>
      </c>
      <c r="H4192" s="26" t="s">
        <v>4174</v>
      </c>
      <c r="I4192" s="26" t="s">
        <v>872</v>
      </c>
      <c r="J4192" s="25" t="str">
        <f t="shared" si="49"/>
        <v>No</v>
      </c>
      <c r="K4192" s="25" t="str">
        <f t="shared" si="50"/>
        <v/>
      </c>
      <c r="L4192" s="25" t="str">
        <f t="shared" si="51"/>
        <v/>
      </c>
      <c r="M4192" s="25"/>
      <c r="O4192" s="25"/>
    </row>
    <row r="4193" ht="15.75" customHeight="1">
      <c r="A4193" s="25" t="str">
        <f>IFERROR(__xludf.DUMMYFUNCTION("IF(B4193="""","""",RIGHT(REGEXREPLACE(B4193&amp;"""",""[^0-9]"",""""),9))"),"768941815")</f>
        <v>768941815</v>
      </c>
      <c r="B4193" s="52">
        <v>7.68941815E8</v>
      </c>
      <c r="C4193" s="28" t="s">
        <v>4175</v>
      </c>
      <c r="D4193" s="26" t="s">
        <v>56</v>
      </c>
      <c r="E4193" s="31">
        <v>46234.0</v>
      </c>
      <c r="F4193" s="26" t="s">
        <v>659</v>
      </c>
      <c r="I4193" s="26" t="s">
        <v>872</v>
      </c>
      <c r="J4193" s="25" t="str">
        <f t="shared" si="49"/>
        <v>No</v>
      </c>
      <c r="K4193" s="25" t="str">
        <f t="shared" si="50"/>
        <v/>
      </c>
      <c r="L4193" s="25" t="str">
        <f t="shared" si="51"/>
        <v/>
      </c>
      <c r="M4193" s="25"/>
      <c r="O4193" s="25"/>
    </row>
    <row r="4194" ht="15.75" customHeight="1">
      <c r="A4194" s="25" t="str">
        <f>IFERROR(__xludf.DUMMYFUNCTION("IF(B4194="""","""",RIGHT(REGEXREPLACE(B4194&amp;"""",""[^0-9]"",""""),9))"),"718903075")</f>
        <v>718903075</v>
      </c>
      <c r="B4194" s="52">
        <v>7.18903075E8</v>
      </c>
      <c r="C4194" s="28" t="s">
        <v>4176</v>
      </c>
      <c r="D4194" s="26" t="s">
        <v>56</v>
      </c>
      <c r="E4194" s="31">
        <v>46234.0</v>
      </c>
      <c r="F4194" s="26" t="s">
        <v>167</v>
      </c>
      <c r="G4194" s="26">
        <v>10.0</v>
      </c>
      <c r="I4194" s="26" t="s">
        <v>872</v>
      </c>
      <c r="J4194" s="25" t="str">
        <f t="shared" si="49"/>
        <v>No</v>
      </c>
      <c r="K4194" s="25" t="str">
        <f t="shared" si="50"/>
        <v/>
      </c>
      <c r="L4194" s="25" t="str">
        <f t="shared" si="51"/>
        <v/>
      </c>
      <c r="M4194" s="25"/>
      <c r="O4194" s="25"/>
    </row>
    <row r="4195" ht="15.75" customHeight="1">
      <c r="A4195" s="25" t="str">
        <f>IFERROR(__xludf.DUMMYFUNCTION("IF(B4195="""","""",RIGHT(REGEXREPLACE(B4195&amp;"""",""[^0-9]"",""""),9))"),"784737088")</f>
        <v>784737088</v>
      </c>
      <c r="B4195" s="52">
        <v>7.84737088E8</v>
      </c>
      <c r="C4195" s="28" t="s">
        <v>4177</v>
      </c>
      <c r="D4195" s="26" t="s">
        <v>45</v>
      </c>
      <c r="E4195" s="31">
        <v>46234.0</v>
      </c>
      <c r="F4195" s="26" t="s">
        <v>41</v>
      </c>
      <c r="G4195" s="26">
        <v>11.0</v>
      </c>
      <c r="I4195" s="26" t="s">
        <v>872</v>
      </c>
      <c r="J4195" s="25" t="str">
        <f t="shared" si="49"/>
        <v>No</v>
      </c>
      <c r="K4195" s="25" t="str">
        <f t="shared" si="50"/>
        <v/>
      </c>
      <c r="L4195" s="25" t="str">
        <f t="shared" si="51"/>
        <v/>
      </c>
      <c r="M4195" s="25"/>
      <c r="O4195" s="25"/>
    </row>
    <row r="4196" ht="15.75" customHeight="1">
      <c r="A4196" s="25" t="str">
        <f>IFERROR(__xludf.DUMMYFUNCTION("IF(B4196="""","""",RIGHT(REGEXREPLACE(B4196&amp;"""",""[^0-9]"",""""),9))"),"762938258")</f>
        <v>762938258</v>
      </c>
      <c r="B4196" s="52">
        <v>7.62938258E8</v>
      </c>
      <c r="C4196" s="28" t="s">
        <v>4178</v>
      </c>
      <c r="D4196" s="26" t="s">
        <v>49</v>
      </c>
      <c r="E4196" s="31">
        <v>46234.0</v>
      </c>
      <c r="F4196" s="26" t="s">
        <v>46</v>
      </c>
      <c r="G4196" s="26">
        <v>10.0</v>
      </c>
      <c r="I4196" s="26" t="s">
        <v>872</v>
      </c>
      <c r="J4196" s="25" t="str">
        <f t="shared" si="49"/>
        <v>No</v>
      </c>
      <c r="K4196" s="25" t="str">
        <f t="shared" si="50"/>
        <v/>
      </c>
      <c r="L4196" s="25" t="str">
        <f t="shared" si="51"/>
        <v/>
      </c>
      <c r="M4196" s="25"/>
      <c r="O4196" s="25"/>
    </row>
    <row r="4197" ht="15.75" customHeight="1">
      <c r="A4197" s="25" t="str">
        <f>IFERROR(__xludf.DUMMYFUNCTION("IF(B4197="""","""",RIGHT(REGEXREPLACE(B4197&amp;"""",""[^0-9]"",""""),9))"),"774356068")</f>
        <v>774356068</v>
      </c>
      <c r="B4197" s="52">
        <v>7.74356068E8</v>
      </c>
      <c r="C4197" s="28" t="s">
        <v>4179</v>
      </c>
      <c r="D4197" s="26" t="s">
        <v>56</v>
      </c>
      <c r="E4197" s="31">
        <v>46234.0</v>
      </c>
      <c r="F4197" s="26" t="s">
        <v>41</v>
      </c>
      <c r="G4197" s="26">
        <v>7.0</v>
      </c>
      <c r="I4197" s="26" t="s">
        <v>872</v>
      </c>
      <c r="J4197" s="25" t="str">
        <f t="shared" si="49"/>
        <v>No</v>
      </c>
      <c r="K4197" s="25" t="str">
        <f t="shared" si="50"/>
        <v/>
      </c>
      <c r="L4197" s="25" t="str">
        <f t="shared" si="51"/>
        <v/>
      </c>
      <c r="M4197" s="25"/>
      <c r="O4197" s="25"/>
    </row>
    <row r="4198" ht="15.75" customHeight="1">
      <c r="A4198" s="25" t="str">
        <f>IFERROR(__xludf.DUMMYFUNCTION("IF(B4198="""","""",RIGHT(REGEXREPLACE(B4198&amp;"""",""[^0-9]"",""""),9))"),"776912841")</f>
        <v>776912841</v>
      </c>
      <c r="B4198" s="52">
        <v>7.76912841E8</v>
      </c>
      <c r="C4198" s="28" t="s">
        <v>4180</v>
      </c>
      <c r="D4198" s="26" t="s">
        <v>64</v>
      </c>
      <c r="E4198" s="31">
        <v>46234.0</v>
      </c>
      <c r="F4198" s="26" t="s">
        <v>46</v>
      </c>
      <c r="G4198" s="26">
        <v>9.0</v>
      </c>
      <c r="I4198" s="26" t="s">
        <v>872</v>
      </c>
      <c r="J4198" s="25" t="str">
        <f t="shared" si="49"/>
        <v>No</v>
      </c>
      <c r="K4198" s="25" t="str">
        <f t="shared" si="50"/>
        <v/>
      </c>
      <c r="L4198" s="25" t="str">
        <f t="shared" si="51"/>
        <v/>
      </c>
      <c r="M4198" s="25"/>
      <c r="O4198" s="25"/>
    </row>
    <row r="4199" ht="15.75" customHeight="1">
      <c r="A4199" s="25" t="str">
        <f>IFERROR(__xludf.DUMMYFUNCTION("IF(B4199="""","""",RIGHT(REGEXREPLACE(B4199&amp;"""",""[^0-9]"",""""),9))"),"702041109")</f>
        <v>702041109</v>
      </c>
      <c r="B4199" s="52">
        <v>7.02041109E8</v>
      </c>
      <c r="C4199" s="28" t="s">
        <v>4181</v>
      </c>
      <c r="D4199" s="26" t="s">
        <v>64</v>
      </c>
      <c r="E4199" s="31">
        <v>46234.0</v>
      </c>
      <c r="F4199" s="26" t="s">
        <v>41</v>
      </c>
      <c r="G4199" s="26">
        <v>10.0</v>
      </c>
      <c r="I4199" s="26" t="s">
        <v>872</v>
      </c>
      <c r="J4199" s="25" t="str">
        <f t="shared" si="49"/>
        <v>No</v>
      </c>
      <c r="K4199" s="25" t="str">
        <f t="shared" si="50"/>
        <v/>
      </c>
      <c r="L4199" s="25" t="str">
        <f t="shared" si="51"/>
        <v/>
      </c>
      <c r="M4199" s="25"/>
      <c r="O4199" s="25"/>
    </row>
    <row r="4200" ht="15.75" customHeight="1">
      <c r="A4200" s="25" t="str">
        <f>IFERROR(__xludf.DUMMYFUNCTION("IF(B4200="""","""",RIGHT(REGEXREPLACE(B4200&amp;"""",""[^0-9]"",""""),9))"),"704987782")</f>
        <v>704987782</v>
      </c>
      <c r="B4200" s="52">
        <v>7.04987782E8</v>
      </c>
      <c r="C4200" s="28" t="s">
        <v>4182</v>
      </c>
      <c r="D4200" s="26" t="s">
        <v>45</v>
      </c>
      <c r="E4200" s="31">
        <v>46234.0</v>
      </c>
      <c r="F4200" s="26" t="s">
        <v>46</v>
      </c>
      <c r="G4200" s="26">
        <v>10.0</v>
      </c>
      <c r="I4200" s="26" t="s">
        <v>872</v>
      </c>
      <c r="J4200" s="25" t="str">
        <f t="shared" si="49"/>
        <v>No</v>
      </c>
      <c r="K4200" s="25" t="str">
        <f t="shared" si="50"/>
        <v/>
      </c>
      <c r="L4200" s="25" t="str">
        <f t="shared" si="51"/>
        <v/>
      </c>
      <c r="M4200" s="25"/>
      <c r="O4200" s="25"/>
    </row>
    <row r="4201" ht="15.75" customHeight="1">
      <c r="A4201" s="25" t="str">
        <f>IFERROR(__xludf.DUMMYFUNCTION("IF(B4201="""","""",RIGHT(REGEXREPLACE(B4201&amp;"""",""[^0-9]"",""""),9))"),"712622301")</f>
        <v>712622301</v>
      </c>
      <c r="B4201" s="52">
        <v>7.12622301E8</v>
      </c>
      <c r="C4201" s="28" t="s">
        <v>4183</v>
      </c>
      <c r="D4201" s="26" t="s">
        <v>82</v>
      </c>
      <c r="E4201" s="31">
        <v>46234.0</v>
      </c>
      <c r="F4201" s="25"/>
      <c r="G4201" s="25"/>
      <c r="H4201" s="25"/>
      <c r="I4201" s="26" t="s">
        <v>872</v>
      </c>
      <c r="J4201" s="25" t="str">
        <f t="shared" si="49"/>
        <v>No</v>
      </c>
      <c r="K4201" s="25" t="str">
        <f t="shared" si="50"/>
        <v/>
      </c>
      <c r="L4201" s="25" t="str">
        <f t="shared" si="51"/>
        <v/>
      </c>
      <c r="M4201" s="25"/>
      <c r="N4201" s="25"/>
      <c r="O4201" s="25"/>
      <c r="P4201" s="25"/>
    </row>
    <row r="4202" ht="15.75" customHeight="1">
      <c r="A4202" s="25" t="str">
        <f>IFERROR(__xludf.DUMMYFUNCTION("IF(B4202="""","""",RIGHT(REGEXREPLACE(B4202&amp;"""",""[^0-9]"",""""),9))"),"750279065")</f>
        <v>750279065</v>
      </c>
      <c r="B4202" s="52">
        <v>7.50279065E8</v>
      </c>
      <c r="C4202" s="28" t="s">
        <v>4184</v>
      </c>
      <c r="D4202" s="26" t="s">
        <v>56</v>
      </c>
      <c r="E4202" s="31">
        <v>46234.0</v>
      </c>
      <c r="F4202" s="26" t="s">
        <v>659</v>
      </c>
      <c r="G4202" s="26">
        <v>10.0</v>
      </c>
      <c r="I4202" s="26" t="s">
        <v>872</v>
      </c>
      <c r="J4202" s="25" t="str">
        <f t="shared" si="49"/>
        <v>No</v>
      </c>
      <c r="K4202" s="25" t="str">
        <f t="shared" si="50"/>
        <v/>
      </c>
      <c r="L4202" s="25" t="str">
        <f t="shared" si="51"/>
        <v/>
      </c>
      <c r="M4202" s="25"/>
      <c r="O4202" s="25"/>
    </row>
    <row r="4203" ht="15.75" customHeight="1">
      <c r="A4203" s="25" t="str">
        <f>IFERROR(__xludf.DUMMYFUNCTION("IF(B4203="""","""",RIGHT(REGEXREPLACE(B4203&amp;"""",""[^0-9]"",""""),9))"),"789303640")</f>
        <v>789303640</v>
      </c>
      <c r="B4203" s="52">
        <v>7.8930364E8</v>
      </c>
      <c r="C4203" s="28" t="s">
        <v>4185</v>
      </c>
      <c r="D4203" s="26" t="s">
        <v>64</v>
      </c>
      <c r="E4203" s="31">
        <v>46234.0</v>
      </c>
      <c r="F4203" s="26" t="s">
        <v>84</v>
      </c>
      <c r="I4203" s="26" t="s">
        <v>872</v>
      </c>
      <c r="J4203" s="25" t="str">
        <f t="shared" si="49"/>
        <v>No</v>
      </c>
      <c r="K4203" s="25" t="str">
        <f t="shared" si="50"/>
        <v/>
      </c>
      <c r="L4203" s="25" t="str">
        <f t="shared" si="51"/>
        <v/>
      </c>
      <c r="M4203" s="25"/>
      <c r="O4203" s="25"/>
    </row>
    <row r="4204" ht="15.75" customHeight="1">
      <c r="A4204" s="25" t="str">
        <f>IFERROR(__xludf.DUMMYFUNCTION("IF(B4204="""","""",RIGHT(REGEXREPLACE(B4204&amp;"""",""[^0-9]"",""""),9))"),"713576550")</f>
        <v>713576550</v>
      </c>
      <c r="B4204" s="52">
        <v>7.1357655E8</v>
      </c>
      <c r="C4204" s="28" t="s">
        <v>4186</v>
      </c>
      <c r="D4204" s="26" t="s">
        <v>45</v>
      </c>
      <c r="E4204" s="31">
        <v>46234.0</v>
      </c>
      <c r="F4204" s="26" t="s">
        <v>46</v>
      </c>
      <c r="G4204" s="26">
        <v>8.0</v>
      </c>
      <c r="I4204" s="26" t="s">
        <v>872</v>
      </c>
      <c r="J4204" s="25" t="str">
        <f t="shared" si="49"/>
        <v>No</v>
      </c>
      <c r="K4204" s="25" t="str">
        <f t="shared" si="50"/>
        <v/>
      </c>
      <c r="L4204" s="25" t="str">
        <f t="shared" si="51"/>
        <v/>
      </c>
      <c r="M4204" s="25"/>
      <c r="O4204" s="25"/>
    </row>
    <row r="4205" ht="15.75" customHeight="1">
      <c r="A4205" s="25" t="str">
        <f>IFERROR(__xludf.DUMMYFUNCTION("IF(B4205="""","""",RIGHT(REGEXREPLACE(B4205&amp;"""",""[^0-9]"",""""),9))"),"707773900")</f>
        <v>707773900</v>
      </c>
      <c r="B4205" s="52">
        <v>7.077739E8</v>
      </c>
      <c r="C4205" s="28" t="s">
        <v>4187</v>
      </c>
      <c r="D4205" s="26" t="s">
        <v>56</v>
      </c>
      <c r="E4205" s="31">
        <v>46234.0</v>
      </c>
      <c r="F4205" s="26" t="s">
        <v>46</v>
      </c>
      <c r="G4205" s="26">
        <v>10.0</v>
      </c>
      <c r="I4205" s="26" t="s">
        <v>872</v>
      </c>
      <c r="J4205" s="25" t="str">
        <f t="shared" si="49"/>
        <v>No</v>
      </c>
      <c r="K4205" s="25" t="str">
        <f t="shared" si="50"/>
        <v/>
      </c>
      <c r="L4205" s="25" t="str">
        <f t="shared" si="51"/>
        <v/>
      </c>
      <c r="M4205" s="25"/>
      <c r="O4205" s="25"/>
    </row>
    <row r="4206" ht="15.75" customHeight="1">
      <c r="A4206" s="25" t="str">
        <f>IFERROR(__xludf.DUMMYFUNCTION("IF(B4206="""","""",RIGHT(REGEXREPLACE(B4206&amp;"""",""[^0-9]"",""""),9))"),"773545798")</f>
        <v>773545798</v>
      </c>
      <c r="B4206" s="52">
        <v>7.73545798E8</v>
      </c>
      <c r="C4206" s="28" t="s">
        <v>4188</v>
      </c>
      <c r="D4206" s="26" t="s">
        <v>64</v>
      </c>
      <c r="E4206" s="31">
        <v>46234.0</v>
      </c>
      <c r="F4206" s="26" t="s">
        <v>41</v>
      </c>
      <c r="G4206" s="26">
        <v>10.0</v>
      </c>
      <c r="I4206" s="26" t="s">
        <v>872</v>
      </c>
      <c r="J4206" s="25" t="str">
        <f t="shared" si="49"/>
        <v>No</v>
      </c>
      <c r="K4206" s="25" t="str">
        <f t="shared" si="50"/>
        <v/>
      </c>
      <c r="L4206" s="25" t="str">
        <f t="shared" si="51"/>
        <v/>
      </c>
      <c r="M4206" s="25"/>
      <c r="O4206" s="25"/>
    </row>
    <row r="4207" ht="15.75" customHeight="1">
      <c r="A4207" s="25" t="str">
        <f>IFERROR(__xludf.DUMMYFUNCTION("IF(B4207="""","""",RIGHT(REGEXREPLACE(B4207&amp;"""",""[^0-9]"",""""),9))"),"705282407")</f>
        <v>705282407</v>
      </c>
      <c r="B4207" s="52">
        <v>7.05282407E8</v>
      </c>
      <c r="C4207" s="28" t="s">
        <v>4189</v>
      </c>
      <c r="D4207" s="26" t="s">
        <v>49</v>
      </c>
      <c r="E4207" s="31">
        <v>46234.0</v>
      </c>
      <c r="F4207" s="26" t="s">
        <v>46</v>
      </c>
      <c r="G4207" s="26">
        <v>10.0</v>
      </c>
      <c r="I4207" s="26" t="s">
        <v>872</v>
      </c>
      <c r="J4207" s="25" t="str">
        <f t="shared" si="49"/>
        <v>No</v>
      </c>
      <c r="K4207" s="25" t="str">
        <f t="shared" si="50"/>
        <v/>
      </c>
      <c r="L4207" s="25" t="str">
        <f t="shared" si="51"/>
        <v/>
      </c>
      <c r="M4207" s="25"/>
      <c r="O4207" s="25"/>
    </row>
    <row r="4208" ht="15.75" customHeight="1">
      <c r="A4208" s="25" t="str">
        <f>IFERROR(__xludf.DUMMYFUNCTION("IF(B4208="""","""",RIGHT(REGEXREPLACE(B4208&amp;"""",""[^0-9]"",""""),9))"),"750952441")</f>
        <v>750952441</v>
      </c>
      <c r="B4208" s="52">
        <v>7.50952441E8</v>
      </c>
      <c r="C4208" s="28" t="s">
        <v>4190</v>
      </c>
      <c r="D4208" s="26" t="s">
        <v>45</v>
      </c>
      <c r="E4208" s="31">
        <v>46234.0</v>
      </c>
      <c r="F4208" s="26" t="s">
        <v>46</v>
      </c>
      <c r="G4208" s="26">
        <v>10.0</v>
      </c>
      <c r="I4208" s="26" t="s">
        <v>872</v>
      </c>
      <c r="J4208" s="25" t="str">
        <f t="shared" si="49"/>
        <v>No</v>
      </c>
      <c r="K4208" s="25" t="str">
        <f t="shared" si="50"/>
        <v/>
      </c>
      <c r="L4208" s="25" t="str">
        <f t="shared" si="51"/>
        <v/>
      </c>
      <c r="M4208" s="25"/>
      <c r="O4208" s="25"/>
    </row>
    <row r="4209" ht="15.75" customHeight="1">
      <c r="A4209" s="25" t="str">
        <f>IFERROR(__xludf.DUMMYFUNCTION("IF(B4209="""","""",RIGHT(REGEXREPLACE(B4209&amp;"""",""[^0-9]"",""""),9))"),"768019755")</f>
        <v>768019755</v>
      </c>
      <c r="B4209" s="52">
        <v>7.68019755E8</v>
      </c>
      <c r="C4209" s="28" t="s">
        <v>4191</v>
      </c>
      <c r="D4209" s="26" t="s">
        <v>82</v>
      </c>
      <c r="E4209" s="31">
        <v>46234.0</v>
      </c>
      <c r="F4209" s="26" t="s">
        <v>46</v>
      </c>
      <c r="G4209" s="26">
        <v>10.0</v>
      </c>
      <c r="H4209" s="26" t="s">
        <v>1356</v>
      </c>
      <c r="I4209" s="26" t="s">
        <v>872</v>
      </c>
      <c r="J4209" s="25" t="str">
        <f t="shared" si="49"/>
        <v>No</v>
      </c>
      <c r="K4209" s="25" t="str">
        <f t="shared" si="50"/>
        <v/>
      </c>
      <c r="L4209" s="25" t="str">
        <f t="shared" si="51"/>
        <v/>
      </c>
      <c r="M4209" s="25"/>
      <c r="O4209" s="25"/>
    </row>
    <row r="4210" ht="15.75" customHeight="1">
      <c r="A4210" s="25" t="str">
        <f>IFERROR(__xludf.DUMMYFUNCTION("IF(B4210="""","""",RIGHT(REGEXREPLACE(B4210&amp;"""",""[^0-9]"",""""),9))"),"767657043")</f>
        <v>767657043</v>
      </c>
      <c r="B4210" s="52">
        <v>7.67657043E8</v>
      </c>
      <c r="C4210" s="28" t="s">
        <v>4192</v>
      </c>
      <c r="D4210" s="26" t="s">
        <v>64</v>
      </c>
      <c r="E4210" s="31">
        <v>46234.0</v>
      </c>
      <c r="F4210" s="26" t="s">
        <v>46</v>
      </c>
      <c r="G4210" s="26">
        <v>10.0</v>
      </c>
      <c r="I4210" s="26" t="s">
        <v>872</v>
      </c>
      <c r="J4210" s="25" t="str">
        <f t="shared" si="49"/>
        <v>No</v>
      </c>
      <c r="K4210" s="25" t="str">
        <f t="shared" si="50"/>
        <v/>
      </c>
      <c r="L4210" s="25" t="str">
        <f t="shared" si="51"/>
        <v/>
      </c>
      <c r="M4210" s="25"/>
      <c r="O4210" s="25"/>
    </row>
    <row r="4211" ht="15.75" customHeight="1">
      <c r="A4211" s="25" t="str">
        <f>IFERROR(__xludf.DUMMYFUNCTION("IF(B4211="""","""",RIGHT(REGEXREPLACE(B4211&amp;"""",""[^0-9]"",""""),9))"),"757686452")</f>
        <v>757686452</v>
      </c>
      <c r="B4211" s="52">
        <v>7.57686452E8</v>
      </c>
      <c r="C4211" s="28" t="s">
        <v>4193</v>
      </c>
      <c r="D4211" s="26" t="s">
        <v>56</v>
      </c>
      <c r="E4211" s="31">
        <v>46234.0</v>
      </c>
      <c r="F4211" s="26" t="s">
        <v>41</v>
      </c>
      <c r="I4211" s="26" t="s">
        <v>872</v>
      </c>
      <c r="J4211" s="25" t="str">
        <f t="shared" si="49"/>
        <v>No</v>
      </c>
      <c r="K4211" s="25" t="str">
        <f t="shared" si="50"/>
        <v/>
      </c>
      <c r="L4211" s="25" t="str">
        <f t="shared" si="51"/>
        <v/>
      </c>
      <c r="M4211" s="25"/>
      <c r="O4211" s="25"/>
    </row>
    <row r="4212" ht="15.75" customHeight="1">
      <c r="A4212" s="25" t="str">
        <f>IFERROR(__xludf.DUMMYFUNCTION("IF(B4212="""","""",RIGHT(REGEXREPLACE(B4212&amp;"""",""[^0-9]"",""""),9))"),"767653931")</f>
        <v>767653931</v>
      </c>
      <c r="B4212" s="52">
        <v>7.67653931E8</v>
      </c>
      <c r="C4212" s="28" t="s">
        <v>4194</v>
      </c>
      <c r="D4212" s="26" t="s">
        <v>49</v>
      </c>
      <c r="E4212" s="31">
        <v>46234.0</v>
      </c>
      <c r="F4212" s="26" t="s">
        <v>41</v>
      </c>
      <c r="G4212" s="26">
        <v>10.0</v>
      </c>
      <c r="I4212" s="26" t="s">
        <v>872</v>
      </c>
      <c r="J4212" s="25" t="str">
        <f t="shared" si="49"/>
        <v>No</v>
      </c>
      <c r="K4212" s="25" t="str">
        <f t="shared" si="50"/>
        <v/>
      </c>
      <c r="L4212" s="25" t="str">
        <f t="shared" si="51"/>
        <v/>
      </c>
      <c r="M4212" s="25"/>
      <c r="O4212" s="25"/>
    </row>
    <row r="4213" ht="15.75" customHeight="1">
      <c r="A4213" s="25" t="str">
        <f>IFERROR(__xludf.DUMMYFUNCTION("IF(B4213="""","""",RIGHT(REGEXREPLACE(B4213&amp;"""",""[^0-9]"",""""),9))"),"716856585")</f>
        <v>716856585</v>
      </c>
      <c r="B4213" s="52">
        <v>7.16856585E8</v>
      </c>
      <c r="C4213" s="28" t="s">
        <v>4195</v>
      </c>
      <c r="D4213" s="26" t="s">
        <v>64</v>
      </c>
      <c r="E4213" s="31">
        <v>46234.0</v>
      </c>
      <c r="F4213" s="26" t="s">
        <v>46</v>
      </c>
      <c r="G4213" s="26">
        <v>9.0</v>
      </c>
      <c r="I4213" s="26" t="s">
        <v>872</v>
      </c>
      <c r="J4213" s="25" t="str">
        <f t="shared" si="49"/>
        <v>No</v>
      </c>
      <c r="K4213" s="25" t="str">
        <f t="shared" si="50"/>
        <v/>
      </c>
      <c r="L4213" s="25" t="str">
        <f t="shared" si="51"/>
        <v/>
      </c>
      <c r="M4213" s="25"/>
      <c r="O4213" s="26" t="s">
        <v>51</v>
      </c>
    </row>
    <row r="4214" ht="15.75" customHeight="1">
      <c r="A4214" s="25" t="str">
        <f>IFERROR(__xludf.DUMMYFUNCTION("IF(B4214="""","""",RIGHT(REGEXREPLACE(B4214&amp;"""",""[^0-9]"",""""),9))"),"701463313")</f>
        <v>701463313</v>
      </c>
      <c r="B4214" s="52">
        <v>7.01463313E8</v>
      </c>
      <c r="C4214" s="28" t="s">
        <v>4196</v>
      </c>
      <c r="D4214" s="26" t="s">
        <v>82</v>
      </c>
      <c r="E4214" s="31">
        <v>46234.0</v>
      </c>
      <c r="F4214" s="26" t="s">
        <v>205</v>
      </c>
      <c r="I4214" s="26" t="s">
        <v>872</v>
      </c>
      <c r="J4214" s="25" t="str">
        <f t="shared" si="49"/>
        <v>No</v>
      </c>
      <c r="K4214" s="25" t="str">
        <f t="shared" si="50"/>
        <v/>
      </c>
      <c r="L4214" s="25" t="str">
        <f t="shared" si="51"/>
        <v/>
      </c>
      <c r="M4214" s="25"/>
      <c r="O4214" s="25"/>
    </row>
    <row r="4215" ht="15.75" customHeight="1">
      <c r="A4215" s="25" t="str">
        <f>IFERROR(__xludf.DUMMYFUNCTION("IF(B4215="""","""",RIGHT(REGEXREPLACE(B4215&amp;"""",""[^0-9]"",""""),9))"),"740407132")</f>
        <v>740407132</v>
      </c>
      <c r="B4215" s="52">
        <v>7.40407132E8</v>
      </c>
      <c r="C4215" s="28" t="s">
        <v>4197</v>
      </c>
      <c r="D4215" s="26" t="s">
        <v>56</v>
      </c>
      <c r="E4215" s="31">
        <v>46234.0</v>
      </c>
      <c r="F4215" s="26" t="s">
        <v>46</v>
      </c>
      <c r="G4215" s="26">
        <v>11.0</v>
      </c>
      <c r="I4215" s="26" t="s">
        <v>872</v>
      </c>
      <c r="J4215" s="25" t="str">
        <f t="shared" si="49"/>
        <v>No</v>
      </c>
      <c r="K4215" s="25" t="str">
        <f t="shared" si="50"/>
        <v/>
      </c>
      <c r="L4215" s="25" t="str">
        <f t="shared" si="51"/>
        <v/>
      </c>
      <c r="M4215" s="25"/>
      <c r="O4215" s="25"/>
    </row>
    <row r="4216" ht="15.75" customHeight="1">
      <c r="A4216" s="25" t="str">
        <f>IFERROR(__xludf.DUMMYFUNCTION("IF(B4216="""","""",RIGHT(REGEXREPLACE(B4216&amp;"""",""[^0-9]"",""""),9))"),"760145446")</f>
        <v>760145446</v>
      </c>
      <c r="B4216" s="52">
        <v>7.60145446E8</v>
      </c>
      <c r="C4216" s="28" t="s">
        <v>4198</v>
      </c>
      <c r="D4216" s="26" t="s">
        <v>82</v>
      </c>
      <c r="E4216" s="31">
        <v>46234.0</v>
      </c>
      <c r="F4216" s="26" t="s">
        <v>46</v>
      </c>
      <c r="G4216" s="26">
        <v>10.0</v>
      </c>
      <c r="I4216" s="26" t="s">
        <v>872</v>
      </c>
      <c r="J4216" s="25" t="str">
        <f t="shared" si="49"/>
        <v>No</v>
      </c>
      <c r="K4216" s="25" t="str">
        <f t="shared" si="50"/>
        <v/>
      </c>
      <c r="L4216" s="25" t="str">
        <f t="shared" si="51"/>
        <v/>
      </c>
      <c r="M4216" s="25"/>
      <c r="O4216" s="25"/>
    </row>
    <row r="4217" ht="15.75" customHeight="1">
      <c r="A4217" s="25" t="str">
        <f>IFERROR(__xludf.DUMMYFUNCTION("IF(B4217="""","""",RIGHT(REGEXREPLACE(B4217&amp;"""",""[^0-9]"",""""),9))"),"750150281")</f>
        <v>750150281</v>
      </c>
      <c r="B4217" s="52">
        <v>7.50150281E8</v>
      </c>
      <c r="C4217" s="28" t="s">
        <v>4199</v>
      </c>
      <c r="D4217" s="26" t="s">
        <v>64</v>
      </c>
      <c r="E4217" s="31">
        <v>46234.0</v>
      </c>
      <c r="F4217" s="26" t="s">
        <v>41</v>
      </c>
      <c r="I4217" s="26" t="s">
        <v>872</v>
      </c>
      <c r="J4217" s="25" t="str">
        <f t="shared" si="49"/>
        <v>No</v>
      </c>
      <c r="K4217" s="25" t="str">
        <f t="shared" si="50"/>
        <v/>
      </c>
      <c r="L4217" s="25" t="str">
        <f t="shared" si="51"/>
        <v/>
      </c>
      <c r="M4217" s="25"/>
      <c r="O4217" s="25"/>
    </row>
    <row r="4218" ht="15.75" customHeight="1">
      <c r="A4218" s="25" t="str">
        <f>IFERROR(__xludf.DUMMYFUNCTION("IF(B4218="""","""",RIGHT(REGEXREPLACE(B4218&amp;"""",""[^0-9]"",""""),9))"),"783985348")</f>
        <v>783985348</v>
      </c>
      <c r="B4218" s="52">
        <v>7.83985348E8</v>
      </c>
      <c r="C4218" s="28" t="s">
        <v>4200</v>
      </c>
      <c r="D4218" s="26" t="s">
        <v>49</v>
      </c>
      <c r="E4218" s="31">
        <v>46234.0</v>
      </c>
      <c r="F4218" s="26" t="s">
        <v>46</v>
      </c>
      <c r="H4218" s="26" t="s">
        <v>4201</v>
      </c>
      <c r="I4218" s="26" t="s">
        <v>872</v>
      </c>
      <c r="J4218" s="25" t="str">
        <f t="shared" si="49"/>
        <v>No</v>
      </c>
      <c r="K4218" s="25" t="str">
        <f t="shared" si="50"/>
        <v/>
      </c>
      <c r="L4218" s="25" t="str">
        <f t="shared" si="51"/>
        <v/>
      </c>
      <c r="M4218" s="25"/>
      <c r="O4218" s="25"/>
    </row>
    <row r="4219" ht="15.75" customHeight="1">
      <c r="A4219" s="25" t="str">
        <f>IFERROR(__xludf.DUMMYFUNCTION("IF(B4219="""","""",RIGHT(REGEXREPLACE(B4219&amp;"""",""[^0-9]"",""""),9))"),"702150971")</f>
        <v>702150971</v>
      </c>
      <c r="B4219" s="52">
        <v>7.02150971E8</v>
      </c>
      <c r="C4219" s="28" t="s">
        <v>4051</v>
      </c>
      <c r="D4219" s="26" t="s">
        <v>82</v>
      </c>
      <c r="E4219" s="31">
        <v>46234.0</v>
      </c>
      <c r="F4219" s="25"/>
      <c r="G4219" s="25"/>
      <c r="H4219" s="25"/>
      <c r="I4219" s="26" t="s">
        <v>872</v>
      </c>
      <c r="J4219" s="25" t="str">
        <f t="shared" si="49"/>
        <v>Yes - see Previous F-Code</v>
      </c>
      <c r="K4219" s="25" t="str">
        <f t="shared" si="50"/>
        <v/>
      </c>
      <c r="L4219" s="25" t="str">
        <f t="shared" si="51"/>
        <v>F73695</v>
      </c>
      <c r="M4219" s="25"/>
      <c r="N4219" s="25"/>
      <c r="O4219" s="25"/>
      <c r="P4219" s="25"/>
    </row>
    <row r="4220" ht="15.75" customHeight="1">
      <c r="A4220" s="25" t="str">
        <f>IFERROR(__xludf.DUMMYFUNCTION("IF(B4220="""","""",RIGHT(REGEXREPLACE(B4220&amp;"""",""[^0-9]"",""""),9))"),"777209180")</f>
        <v>777209180</v>
      </c>
      <c r="B4220" s="52">
        <v>7.7720918E8</v>
      </c>
      <c r="C4220" s="28" t="s">
        <v>1678</v>
      </c>
      <c r="D4220" s="26" t="s">
        <v>64</v>
      </c>
      <c r="E4220" s="31">
        <v>46234.0</v>
      </c>
      <c r="F4220" s="26" t="s">
        <v>41</v>
      </c>
      <c r="G4220" s="26">
        <v>11.0</v>
      </c>
      <c r="I4220" s="26" t="s">
        <v>872</v>
      </c>
      <c r="J4220" s="25" t="str">
        <f t="shared" si="49"/>
        <v>Yes - see Previous F-Code</v>
      </c>
      <c r="K4220" s="25" t="str">
        <f t="shared" si="50"/>
        <v/>
      </c>
      <c r="L4220" s="25" t="str">
        <f t="shared" si="51"/>
        <v>F71392</v>
      </c>
      <c r="M4220" s="25"/>
      <c r="O4220" s="25"/>
    </row>
    <row r="4221" ht="15.75" customHeight="1">
      <c r="A4221" s="25" t="str">
        <f>IFERROR(__xludf.DUMMYFUNCTION("IF(B4221="""","""",RIGHT(REGEXREPLACE(B4221&amp;"""",""[^0-9]"",""""),9))"),"704294111")</f>
        <v>704294111</v>
      </c>
      <c r="B4221" s="52">
        <v>7.04294111E8</v>
      </c>
      <c r="C4221" s="28" t="s">
        <v>4142</v>
      </c>
      <c r="D4221" s="26" t="s">
        <v>56</v>
      </c>
      <c r="E4221" s="31">
        <v>46234.0</v>
      </c>
      <c r="F4221" s="26" t="s">
        <v>205</v>
      </c>
      <c r="G4221" s="26">
        <v>10.0</v>
      </c>
      <c r="I4221" s="26" t="s">
        <v>872</v>
      </c>
      <c r="J4221" s="25" t="str">
        <f t="shared" si="49"/>
        <v>Yes - see Previous F-Code</v>
      </c>
      <c r="K4221" s="25" t="str">
        <f t="shared" si="50"/>
        <v>DUPLICATE - CHECK</v>
      </c>
      <c r="L4221" s="25" t="str">
        <f t="shared" si="51"/>
        <v>F73779</v>
      </c>
      <c r="M4221" s="25"/>
      <c r="O4221" s="25"/>
    </row>
    <row r="4222" ht="15.75" customHeight="1">
      <c r="A4222" s="25" t="str">
        <f>IFERROR(__xludf.DUMMYFUNCTION("IF(B4222="""","""",RIGHT(REGEXREPLACE(B4222&amp;"""",""[^0-9]"",""""),9))"),"714995530")</f>
        <v>714995530</v>
      </c>
      <c r="B4222" s="52">
        <v>7.1499553E8</v>
      </c>
      <c r="C4222" s="28" t="s">
        <v>4202</v>
      </c>
      <c r="D4222" s="26" t="s">
        <v>49</v>
      </c>
      <c r="E4222" s="31">
        <v>46234.0</v>
      </c>
      <c r="F4222" s="26" t="s">
        <v>46</v>
      </c>
      <c r="G4222" s="26">
        <v>7.0</v>
      </c>
      <c r="H4222" s="26" t="s">
        <v>2682</v>
      </c>
      <c r="I4222" s="26" t="s">
        <v>872</v>
      </c>
      <c r="J4222" s="25" t="str">
        <f t="shared" si="49"/>
        <v>No</v>
      </c>
      <c r="K4222" s="25" t="str">
        <f t="shared" si="50"/>
        <v/>
      </c>
      <c r="L4222" s="25" t="str">
        <f t="shared" si="51"/>
        <v/>
      </c>
      <c r="M4222" s="25"/>
      <c r="O4222" s="25"/>
    </row>
    <row r="4223" ht="15.75" customHeight="1">
      <c r="A4223" s="25" t="str">
        <f>IFERROR(__xludf.DUMMYFUNCTION("IF(B4223="""","""",RIGHT(REGEXREPLACE(B4223&amp;"""",""[^0-9]"",""""),9))"),"743587927")</f>
        <v>743587927</v>
      </c>
      <c r="B4223" s="52">
        <v>7.43587927E8</v>
      </c>
      <c r="C4223" s="28" t="s">
        <v>3282</v>
      </c>
      <c r="D4223" s="26" t="s">
        <v>45</v>
      </c>
      <c r="E4223" s="31">
        <v>46234.0</v>
      </c>
      <c r="F4223" s="26" t="s">
        <v>46</v>
      </c>
      <c r="G4223" s="26">
        <v>6.0</v>
      </c>
      <c r="I4223" s="26" t="s">
        <v>872</v>
      </c>
      <c r="J4223" s="25" t="str">
        <f t="shared" si="49"/>
        <v>Yes - see Previous F-Code</v>
      </c>
      <c r="K4223" s="25" t="str">
        <f t="shared" si="50"/>
        <v/>
      </c>
      <c r="L4223" s="25" t="str">
        <f t="shared" si="51"/>
        <v>F72944</v>
      </c>
      <c r="M4223" s="25"/>
      <c r="O4223" s="25"/>
    </row>
    <row r="4224" ht="15.75" customHeight="1">
      <c r="A4224" s="25" t="str">
        <f>IFERROR(__xludf.DUMMYFUNCTION("IF(B4224="""","""",RIGHT(REGEXREPLACE(B4224&amp;"""",""[^0-9]"",""""),9))"),"757005056")</f>
        <v>757005056</v>
      </c>
      <c r="B4224" s="52">
        <v>7.57005056E8</v>
      </c>
      <c r="C4224" s="28" t="s">
        <v>4203</v>
      </c>
      <c r="D4224" s="26" t="s">
        <v>45</v>
      </c>
      <c r="E4224" s="31">
        <v>46234.0</v>
      </c>
      <c r="F4224" s="26" t="s">
        <v>46</v>
      </c>
      <c r="G4224" s="26">
        <v>9.0</v>
      </c>
      <c r="I4224" s="26" t="s">
        <v>872</v>
      </c>
      <c r="J4224" s="25" t="str">
        <f t="shared" si="49"/>
        <v>No</v>
      </c>
      <c r="K4224" s="25" t="str">
        <f t="shared" si="50"/>
        <v/>
      </c>
      <c r="L4224" s="25" t="str">
        <f t="shared" si="51"/>
        <v/>
      </c>
      <c r="M4224" s="25"/>
      <c r="O4224" s="26" t="s">
        <v>51</v>
      </c>
    </row>
    <row r="4225" ht="15.75" customHeight="1">
      <c r="A4225" s="25" t="str">
        <f>IFERROR(__xludf.DUMMYFUNCTION("IF(B4225="""","""",RIGHT(REGEXREPLACE(B4225&amp;"""",""[^0-9]"",""""),9))"),"717235914")</f>
        <v>717235914</v>
      </c>
      <c r="B4225" s="52">
        <v>7.17235914E8</v>
      </c>
      <c r="C4225" s="28" t="s">
        <v>4204</v>
      </c>
      <c r="D4225" s="26" t="s">
        <v>49</v>
      </c>
      <c r="E4225" s="31">
        <v>46234.0</v>
      </c>
      <c r="F4225" s="26" t="s">
        <v>205</v>
      </c>
      <c r="H4225" s="26" t="s">
        <v>2682</v>
      </c>
      <c r="I4225" s="26" t="s">
        <v>872</v>
      </c>
      <c r="J4225" s="25" t="str">
        <f t="shared" si="49"/>
        <v>No</v>
      </c>
      <c r="K4225" s="25" t="str">
        <f t="shared" si="50"/>
        <v/>
      </c>
      <c r="L4225" s="25" t="str">
        <f t="shared" si="51"/>
        <v/>
      </c>
      <c r="M4225" s="25"/>
      <c r="O4225" s="25"/>
    </row>
    <row r="4226" ht="15.75" customHeight="1">
      <c r="A4226" s="25" t="str">
        <f>IFERROR(__xludf.DUMMYFUNCTION("IF(B4226="""","""",RIGHT(REGEXREPLACE(B4226&amp;"""",""[^0-9]"",""""),9))"),"753372724")</f>
        <v>753372724</v>
      </c>
      <c r="B4226" s="52">
        <v>7.53372724E8</v>
      </c>
      <c r="C4226" s="28" t="s">
        <v>4205</v>
      </c>
      <c r="D4226" s="26" t="s">
        <v>49</v>
      </c>
      <c r="E4226" s="31">
        <v>46234.0</v>
      </c>
      <c r="F4226" s="26" t="s">
        <v>46</v>
      </c>
      <c r="G4226" s="26">
        <v>5.0</v>
      </c>
      <c r="I4226" s="26" t="s">
        <v>872</v>
      </c>
      <c r="J4226" s="25" t="str">
        <f t="shared" si="49"/>
        <v>No</v>
      </c>
      <c r="K4226" s="25" t="str">
        <f t="shared" si="50"/>
        <v/>
      </c>
      <c r="L4226" s="25" t="str">
        <f t="shared" si="51"/>
        <v/>
      </c>
      <c r="M4226" s="25"/>
      <c r="O4226" s="25"/>
    </row>
    <row r="4227" ht="15.75" customHeight="1">
      <c r="A4227" s="25" t="str">
        <f>IFERROR(__xludf.DUMMYFUNCTION("IF(B4227="""","""",RIGHT(REGEXREPLACE(B4227&amp;"""",""[^0-9]"",""""),9))"),"773667726")</f>
        <v>773667726</v>
      </c>
      <c r="B4227" s="52">
        <v>7.73667726E8</v>
      </c>
      <c r="C4227" s="28" t="s">
        <v>4206</v>
      </c>
      <c r="D4227" s="26" t="s">
        <v>82</v>
      </c>
      <c r="E4227" s="31">
        <v>46234.0</v>
      </c>
      <c r="F4227" s="26" t="s">
        <v>46</v>
      </c>
      <c r="G4227" s="26">
        <v>10.0</v>
      </c>
      <c r="I4227" s="26" t="s">
        <v>872</v>
      </c>
      <c r="J4227" s="25" t="str">
        <f t="shared" si="49"/>
        <v>No</v>
      </c>
      <c r="K4227" s="25" t="str">
        <f t="shared" si="50"/>
        <v/>
      </c>
      <c r="L4227" s="25" t="str">
        <f t="shared" si="51"/>
        <v/>
      </c>
      <c r="M4227" s="25"/>
      <c r="O4227" s="25"/>
    </row>
    <row r="4228" ht="15.75" customHeight="1">
      <c r="A4228" s="25" t="str">
        <f>IFERROR(__xludf.DUMMYFUNCTION("IF(B4228="""","""",RIGHT(REGEXREPLACE(B4228&amp;"""",""[^0-9]"",""""),9))"),"705766650")</f>
        <v>705766650</v>
      </c>
      <c r="B4228" s="52">
        <v>7.0576665E8</v>
      </c>
      <c r="C4228" s="28" t="s">
        <v>4207</v>
      </c>
      <c r="D4228" s="26" t="s">
        <v>45</v>
      </c>
      <c r="E4228" s="31">
        <v>46234.0</v>
      </c>
      <c r="F4228" s="26" t="s">
        <v>46</v>
      </c>
      <c r="G4228" s="26">
        <v>6.0</v>
      </c>
      <c r="I4228" s="26" t="s">
        <v>872</v>
      </c>
      <c r="J4228" s="25" t="str">
        <f t="shared" si="49"/>
        <v>No</v>
      </c>
      <c r="K4228" s="25" t="str">
        <f t="shared" si="50"/>
        <v/>
      </c>
      <c r="L4228" s="25" t="str">
        <f t="shared" si="51"/>
        <v/>
      </c>
      <c r="M4228" s="25"/>
      <c r="O4228" s="25"/>
    </row>
    <row r="4229" ht="15.75" customHeight="1">
      <c r="A4229" s="25" t="str">
        <f>IFERROR(__xludf.DUMMYFUNCTION("IF(B4229="""","""",RIGHT(REGEXREPLACE(B4229&amp;"""",""[^0-9]"",""""),9))"),"712393518")</f>
        <v>712393518</v>
      </c>
      <c r="B4229" s="52">
        <v>7.12393518E8</v>
      </c>
      <c r="C4229" s="28" t="s">
        <v>4208</v>
      </c>
      <c r="D4229" s="26" t="s">
        <v>56</v>
      </c>
      <c r="E4229" s="31">
        <v>46234.0</v>
      </c>
      <c r="F4229" s="26" t="s">
        <v>46</v>
      </c>
      <c r="G4229" s="26">
        <v>11.0</v>
      </c>
      <c r="I4229" s="26" t="s">
        <v>872</v>
      </c>
      <c r="J4229" s="25" t="str">
        <f t="shared" si="49"/>
        <v>No</v>
      </c>
      <c r="K4229" s="25" t="str">
        <f t="shared" si="50"/>
        <v/>
      </c>
      <c r="L4229" s="25" t="str">
        <f t="shared" si="51"/>
        <v/>
      </c>
      <c r="M4229" s="25"/>
      <c r="O4229" s="25"/>
    </row>
    <row r="4230" ht="15.75" customHeight="1">
      <c r="A4230" s="25" t="str">
        <f>IFERROR(__xludf.DUMMYFUNCTION("IF(B4230="""","""",RIGHT(REGEXREPLACE(B4230&amp;"""",""[^0-9]"",""""),9))"),"702600370")</f>
        <v>702600370</v>
      </c>
      <c r="B4230" s="52">
        <v>7.0260037E8</v>
      </c>
      <c r="C4230" s="28" t="s">
        <v>4209</v>
      </c>
      <c r="D4230" s="26" t="s">
        <v>56</v>
      </c>
      <c r="E4230" s="31">
        <v>46234.0</v>
      </c>
      <c r="F4230" s="26" t="s">
        <v>659</v>
      </c>
      <c r="G4230" s="26">
        <v>10.0</v>
      </c>
      <c r="I4230" s="26" t="s">
        <v>872</v>
      </c>
      <c r="J4230" s="25" t="str">
        <f t="shared" si="49"/>
        <v>No</v>
      </c>
      <c r="K4230" s="25" t="str">
        <f t="shared" si="50"/>
        <v/>
      </c>
      <c r="L4230" s="25" t="str">
        <f t="shared" si="51"/>
        <v/>
      </c>
      <c r="M4230" s="25"/>
      <c r="O4230" s="25"/>
    </row>
    <row r="4231" ht="15.75" customHeight="1">
      <c r="A4231" s="25" t="str">
        <f>IFERROR(__xludf.DUMMYFUNCTION("IF(B4231="""","""",RIGHT(REGEXREPLACE(B4231&amp;"""",""[^0-9]"",""""),9))"),"774154842")</f>
        <v>774154842</v>
      </c>
      <c r="B4231" s="52">
        <v>7.74154842E8</v>
      </c>
      <c r="C4231" s="28" t="s">
        <v>4210</v>
      </c>
      <c r="D4231" s="26" t="s">
        <v>56</v>
      </c>
      <c r="E4231" s="31">
        <v>46234.0</v>
      </c>
      <c r="F4231" s="25"/>
      <c r="G4231" s="26">
        <v>10.0</v>
      </c>
      <c r="H4231" s="25"/>
      <c r="I4231" s="26" t="s">
        <v>872</v>
      </c>
      <c r="J4231" s="25" t="str">
        <f t="shared" si="49"/>
        <v>No</v>
      </c>
      <c r="K4231" s="25" t="str">
        <f t="shared" si="50"/>
        <v/>
      </c>
      <c r="L4231" s="25" t="str">
        <f t="shared" si="51"/>
        <v/>
      </c>
      <c r="M4231" s="25"/>
      <c r="N4231" s="25"/>
      <c r="O4231" s="25"/>
      <c r="P4231" s="25"/>
    </row>
    <row r="4232" ht="15.75" customHeight="1">
      <c r="A4232" s="25" t="str">
        <f>IFERROR(__xludf.DUMMYFUNCTION("IF(B4232="""","""",RIGHT(REGEXREPLACE(B4232&amp;"""",""[^0-9]"",""""),9))"),"704713607")</f>
        <v>704713607</v>
      </c>
      <c r="B4232" s="52">
        <v>7.04713607E8</v>
      </c>
      <c r="C4232" s="28" t="s">
        <v>4211</v>
      </c>
      <c r="D4232" s="26" t="s">
        <v>56</v>
      </c>
      <c r="E4232" s="31">
        <v>46234.0</v>
      </c>
      <c r="F4232" s="26" t="s">
        <v>46</v>
      </c>
      <c r="G4232" s="26">
        <v>10.0</v>
      </c>
      <c r="I4232" s="26" t="s">
        <v>872</v>
      </c>
      <c r="J4232" s="25" t="str">
        <f t="shared" si="49"/>
        <v>No</v>
      </c>
      <c r="K4232" s="25" t="str">
        <f t="shared" si="50"/>
        <v/>
      </c>
      <c r="L4232" s="25" t="str">
        <f t="shared" si="51"/>
        <v/>
      </c>
      <c r="M4232" s="25"/>
      <c r="O4232" s="25"/>
    </row>
    <row r="4233" ht="15.75" customHeight="1">
      <c r="A4233" s="25" t="str">
        <f>IFERROR(__xludf.DUMMYFUNCTION("IF(B4233="""","""",RIGHT(REGEXREPLACE(B4233&amp;"""",""[^0-9]"",""""),9))"),"702658956")</f>
        <v>702658956</v>
      </c>
      <c r="B4233" s="52">
        <v>7.02658956E8</v>
      </c>
      <c r="C4233" s="28" t="s">
        <v>4212</v>
      </c>
      <c r="D4233" s="26" t="s">
        <v>45</v>
      </c>
      <c r="E4233" s="31">
        <v>46234.0</v>
      </c>
      <c r="F4233" s="26" t="s">
        <v>84</v>
      </c>
      <c r="I4233" s="26" t="s">
        <v>872</v>
      </c>
      <c r="J4233" s="25" t="str">
        <f t="shared" si="49"/>
        <v>No</v>
      </c>
      <c r="K4233" s="25" t="str">
        <f t="shared" si="50"/>
        <v/>
      </c>
      <c r="L4233" s="25" t="str">
        <f t="shared" si="51"/>
        <v/>
      </c>
      <c r="M4233" s="25"/>
      <c r="O4233" s="25"/>
    </row>
    <row r="4234" ht="15.75" customHeight="1">
      <c r="A4234" s="25" t="str">
        <f>IFERROR(__xludf.DUMMYFUNCTION("IF(B4234="""","""",RIGHT(REGEXREPLACE(B4234&amp;"""",""[^0-9]"",""""),9))"),"771066958")</f>
        <v>771066958</v>
      </c>
      <c r="B4234" s="52">
        <v>7.71066958E8</v>
      </c>
      <c r="C4234" s="28" t="s">
        <v>4213</v>
      </c>
      <c r="D4234" s="26" t="s">
        <v>56</v>
      </c>
      <c r="E4234" s="31">
        <v>46234.0</v>
      </c>
      <c r="F4234" s="26" t="s">
        <v>46</v>
      </c>
      <c r="G4234" s="26">
        <v>6.0</v>
      </c>
      <c r="H4234" s="26" t="s">
        <v>4214</v>
      </c>
      <c r="I4234" s="26" t="s">
        <v>872</v>
      </c>
      <c r="J4234" s="25" t="str">
        <f t="shared" si="49"/>
        <v>No</v>
      </c>
      <c r="K4234" s="25" t="str">
        <f t="shared" si="50"/>
        <v/>
      </c>
      <c r="L4234" s="25" t="str">
        <f t="shared" si="51"/>
        <v/>
      </c>
      <c r="M4234" s="25"/>
      <c r="O4234" s="25"/>
    </row>
    <row r="4235" ht="15.75" customHeight="1">
      <c r="A4235" s="25" t="str">
        <f>IFERROR(__xludf.DUMMYFUNCTION("IF(B4235="""","""",RIGHT(REGEXREPLACE(B4235&amp;"""",""[^0-9]"",""""),9))"),"777395922")</f>
        <v>777395922</v>
      </c>
      <c r="B4235" s="52">
        <v>7.77395922E8</v>
      </c>
      <c r="C4235" s="28" t="s">
        <v>4215</v>
      </c>
      <c r="D4235" s="26" t="s">
        <v>64</v>
      </c>
      <c r="E4235" s="31">
        <v>46234.0</v>
      </c>
      <c r="F4235" s="26" t="s">
        <v>46</v>
      </c>
      <c r="G4235" s="26">
        <v>8.0</v>
      </c>
      <c r="I4235" s="26" t="s">
        <v>872</v>
      </c>
      <c r="J4235" s="25" t="str">
        <f t="shared" si="49"/>
        <v>No</v>
      </c>
      <c r="K4235" s="25" t="str">
        <f t="shared" si="50"/>
        <v/>
      </c>
      <c r="L4235" s="25" t="str">
        <f t="shared" si="51"/>
        <v/>
      </c>
      <c r="M4235" s="25"/>
      <c r="O4235" s="25"/>
    </row>
    <row r="4236" ht="15.75" customHeight="1">
      <c r="A4236" s="25" t="str">
        <f>IFERROR(__xludf.DUMMYFUNCTION("IF(B4236="""","""",RIGHT(REGEXREPLACE(B4236&amp;"""",""[^0-9]"",""""),9))"),"741806491")</f>
        <v>741806491</v>
      </c>
      <c r="B4236" s="52">
        <v>7.41806491E8</v>
      </c>
      <c r="C4236" s="28" t="s">
        <v>4216</v>
      </c>
      <c r="D4236" s="26" t="s">
        <v>64</v>
      </c>
      <c r="E4236" s="31">
        <v>46234.0</v>
      </c>
      <c r="F4236" s="26" t="s">
        <v>46</v>
      </c>
      <c r="G4236" s="26">
        <v>10.0</v>
      </c>
      <c r="I4236" s="26" t="s">
        <v>872</v>
      </c>
      <c r="J4236" s="25" t="str">
        <f t="shared" si="49"/>
        <v>No</v>
      </c>
      <c r="K4236" s="25" t="str">
        <f t="shared" si="50"/>
        <v/>
      </c>
      <c r="L4236" s="25" t="str">
        <f t="shared" si="51"/>
        <v/>
      </c>
      <c r="M4236" s="25"/>
      <c r="O4236" s="25"/>
    </row>
    <row r="4237" ht="15.75" customHeight="1">
      <c r="A4237" s="25" t="str">
        <f>IFERROR(__xludf.DUMMYFUNCTION("IF(B4237="""","""",RIGHT(REGEXREPLACE(B4237&amp;"""",""[^0-9]"",""""),9))"),"716856585")</f>
        <v>716856585</v>
      </c>
      <c r="B4237" s="52">
        <v>7.16856585E8</v>
      </c>
      <c r="C4237" s="28" t="s">
        <v>4216</v>
      </c>
      <c r="D4237" s="26" t="s">
        <v>45</v>
      </c>
      <c r="E4237" s="31">
        <v>46234.0</v>
      </c>
      <c r="F4237" s="25"/>
      <c r="G4237" s="25"/>
      <c r="H4237" s="25"/>
      <c r="I4237" s="26" t="s">
        <v>872</v>
      </c>
      <c r="J4237" s="25" t="str">
        <f t="shared" si="49"/>
        <v>Yes - see Previous F-Code</v>
      </c>
      <c r="K4237" s="25" t="str">
        <f t="shared" si="50"/>
        <v>DUPLICATE - CHECK</v>
      </c>
      <c r="L4237" s="25" t="str">
        <f t="shared" si="51"/>
        <v>F73829</v>
      </c>
      <c r="M4237" s="25"/>
      <c r="N4237" s="25"/>
      <c r="O4237" s="25"/>
      <c r="P4237" s="25"/>
    </row>
    <row r="4238" ht="15.75" customHeight="1">
      <c r="A4238" s="25" t="str">
        <f>IFERROR(__xludf.DUMMYFUNCTION("IF(B4238="""","""",RIGHT(REGEXREPLACE(B4238&amp;"""",""[^0-9]"",""""),9))"),"711857415")</f>
        <v>711857415</v>
      </c>
      <c r="B4238" s="52">
        <v>7.11857415E8</v>
      </c>
      <c r="C4238" s="28" t="s">
        <v>4217</v>
      </c>
      <c r="D4238" s="26" t="s">
        <v>56</v>
      </c>
      <c r="E4238" s="31">
        <v>46234.0</v>
      </c>
      <c r="F4238" s="26" t="s">
        <v>205</v>
      </c>
      <c r="G4238" s="26">
        <v>10.0</v>
      </c>
      <c r="I4238" s="26" t="s">
        <v>872</v>
      </c>
      <c r="J4238" s="25" t="str">
        <f t="shared" si="49"/>
        <v>No</v>
      </c>
      <c r="K4238" s="25" t="str">
        <f t="shared" si="50"/>
        <v/>
      </c>
      <c r="L4238" s="25" t="str">
        <f t="shared" si="51"/>
        <v/>
      </c>
      <c r="M4238" s="25"/>
      <c r="O4238" s="25"/>
    </row>
    <row r="4239" ht="15.75" customHeight="1">
      <c r="A4239" s="25" t="str">
        <f>IFERROR(__xludf.DUMMYFUNCTION("IF(B4239="""","""",RIGHT(REGEXREPLACE(B4239&amp;"""",""[^0-9]"",""""),9))"),"778478445")</f>
        <v>778478445</v>
      </c>
      <c r="B4239" s="52">
        <v>7.78478445E8</v>
      </c>
      <c r="C4239" s="28" t="s">
        <v>4218</v>
      </c>
      <c r="D4239" s="26" t="s">
        <v>45</v>
      </c>
      <c r="E4239" s="31">
        <v>46234.0</v>
      </c>
      <c r="F4239" s="26" t="s">
        <v>46</v>
      </c>
      <c r="G4239" s="26">
        <v>10.0</v>
      </c>
      <c r="I4239" s="26" t="s">
        <v>872</v>
      </c>
      <c r="J4239" s="25" t="str">
        <f t="shared" si="49"/>
        <v>No</v>
      </c>
      <c r="K4239" s="25" t="str">
        <f t="shared" si="50"/>
        <v/>
      </c>
      <c r="L4239" s="25" t="str">
        <f t="shared" si="51"/>
        <v/>
      </c>
      <c r="M4239" s="25"/>
      <c r="O4239" s="25"/>
    </row>
    <row r="4240" ht="15.75" customHeight="1">
      <c r="A4240" s="25" t="str">
        <f>IFERROR(__xludf.DUMMYFUNCTION("IF(B4240="""","""",RIGHT(REGEXREPLACE(B4240&amp;"""",""[^0-9]"",""""),9))"),"759640193")</f>
        <v>759640193</v>
      </c>
      <c r="B4240" s="52">
        <v>7.59640193E8</v>
      </c>
      <c r="C4240" s="28" t="s">
        <v>4219</v>
      </c>
      <c r="D4240" s="26" t="s">
        <v>64</v>
      </c>
      <c r="E4240" s="31">
        <v>46234.0</v>
      </c>
      <c r="F4240" s="26" t="s">
        <v>46</v>
      </c>
      <c r="G4240" s="26">
        <v>11.0</v>
      </c>
      <c r="I4240" s="26" t="s">
        <v>872</v>
      </c>
      <c r="J4240" s="25" t="str">
        <f t="shared" si="49"/>
        <v>No</v>
      </c>
      <c r="K4240" s="25" t="str">
        <f t="shared" si="50"/>
        <v/>
      </c>
      <c r="L4240" s="25" t="str">
        <f t="shared" si="51"/>
        <v/>
      </c>
      <c r="M4240" s="25"/>
      <c r="O4240" s="25"/>
    </row>
    <row r="4241" ht="15.75" customHeight="1">
      <c r="A4241" s="25" t="str">
        <f>IFERROR(__xludf.DUMMYFUNCTION("IF(B4241="""","""",RIGHT(REGEXREPLACE(B4241&amp;"""",""[^0-9]"",""""),9))"),"711951130")</f>
        <v>711951130</v>
      </c>
      <c r="B4241" s="52">
        <v>7.1195113E8</v>
      </c>
      <c r="C4241" s="28" t="s">
        <v>4220</v>
      </c>
      <c r="D4241" s="26" t="s">
        <v>45</v>
      </c>
      <c r="E4241" s="31">
        <v>46234.0</v>
      </c>
      <c r="F4241" s="26" t="s">
        <v>46</v>
      </c>
      <c r="G4241" s="26">
        <v>10.0</v>
      </c>
      <c r="I4241" s="26" t="s">
        <v>872</v>
      </c>
      <c r="J4241" s="25" t="str">
        <f t="shared" si="49"/>
        <v>No</v>
      </c>
      <c r="K4241" s="25" t="str">
        <f t="shared" si="50"/>
        <v/>
      </c>
      <c r="L4241" s="25" t="str">
        <f t="shared" si="51"/>
        <v/>
      </c>
      <c r="M4241" s="25"/>
      <c r="O4241" s="25"/>
    </row>
    <row r="4242" ht="15.75" customHeight="1">
      <c r="A4242" s="25" t="str">
        <f>IFERROR(__xludf.DUMMYFUNCTION("IF(B4242="""","""",RIGHT(REGEXREPLACE(B4242&amp;"""",""[^0-9]"",""""),9))"),"784584387")</f>
        <v>784584387</v>
      </c>
      <c r="B4242" s="52">
        <v>7.84584387E8</v>
      </c>
      <c r="C4242" s="28" t="s">
        <v>4221</v>
      </c>
      <c r="D4242" s="26" t="s">
        <v>56</v>
      </c>
      <c r="E4242" s="31">
        <v>46234.0</v>
      </c>
      <c r="F4242" s="26" t="s">
        <v>46</v>
      </c>
      <c r="G4242" s="26">
        <v>10.0</v>
      </c>
      <c r="I4242" s="26" t="s">
        <v>872</v>
      </c>
      <c r="J4242" s="25" t="str">
        <f t="shared" si="49"/>
        <v>No</v>
      </c>
      <c r="K4242" s="25" t="str">
        <f t="shared" si="50"/>
        <v/>
      </c>
      <c r="L4242" s="25" t="str">
        <f t="shared" si="51"/>
        <v/>
      </c>
      <c r="M4242" s="25"/>
      <c r="O4242" s="25"/>
    </row>
    <row r="4243" ht="15.75" customHeight="1">
      <c r="A4243" s="25" t="str">
        <f>IFERROR(__xludf.DUMMYFUNCTION("IF(B4243="""","""",RIGHT(REGEXREPLACE(B4243&amp;"""",""[^0-9]"",""""),9))"),"711467745")</f>
        <v>711467745</v>
      </c>
      <c r="B4243" s="52">
        <v>7.11467745E8</v>
      </c>
      <c r="C4243" s="28" t="s">
        <v>4222</v>
      </c>
      <c r="D4243" s="26" t="s">
        <v>82</v>
      </c>
      <c r="E4243" s="31">
        <v>46234.0</v>
      </c>
      <c r="F4243" s="26" t="s">
        <v>205</v>
      </c>
      <c r="I4243" s="26" t="s">
        <v>872</v>
      </c>
      <c r="J4243" s="25" t="str">
        <f t="shared" si="49"/>
        <v>No</v>
      </c>
      <c r="K4243" s="25" t="str">
        <f t="shared" si="50"/>
        <v/>
      </c>
      <c r="L4243" s="25" t="str">
        <f t="shared" si="51"/>
        <v/>
      </c>
      <c r="M4243" s="25"/>
      <c r="O4243" s="25"/>
    </row>
    <row r="4244" ht="15.75" customHeight="1">
      <c r="A4244" s="25" t="str">
        <f>IFERROR(__xludf.DUMMYFUNCTION("IF(B4244="""","""",RIGHT(REGEXREPLACE(B4244&amp;"""",""[^0-9]"",""""),9))"),"713013540")</f>
        <v>713013540</v>
      </c>
      <c r="B4244" s="52">
        <v>7.1301354E8</v>
      </c>
      <c r="C4244" s="28" t="s">
        <v>4223</v>
      </c>
      <c r="D4244" s="26" t="s">
        <v>64</v>
      </c>
      <c r="E4244" s="31">
        <v>46234.0</v>
      </c>
      <c r="F4244" s="25"/>
      <c r="G4244" s="26">
        <v>10.0</v>
      </c>
      <c r="H4244" s="25"/>
      <c r="I4244" s="26" t="s">
        <v>872</v>
      </c>
      <c r="J4244" s="25" t="str">
        <f t="shared" si="49"/>
        <v>No</v>
      </c>
      <c r="K4244" s="25" t="str">
        <f t="shared" si="50"/>
        <v/>
      </c>
      <c r="L4244" s="25" t="str">
        <f t="shared" si="51"/>
        <v/>
      </c>
      <c r="M4244" s="25"/>
      <c r="N4244" s="25"/>
      <c r="O4244" s="25"/>
      <c r="P4244" s="25"/>
    </row>
    <row r="4245" ht="15.75" customHeight="1">
      <c r="A4245" s="25" t="str">
        <f>IFERROR(__xludf.DUMMYFUNCTION("IF(B4245="""","""",RIGHT(REGEXREPLACE(B4245&amp;"""",""[^0-9]"",""""),9))"),"757748455")</f>
        <v>757748455</v>
      </c>
      <c r="B4245" s="52">
        <v>7.57748455E8</v>
      </c>
      <c r="C4245" s="28" t="s">
        <v>4224</v>
      </c>
      <c r="D4245" s="26" t="s">
        <v>45</v>
      </c>
      <c r="E4245" s="31">
        <v>46234.0</v>
      </c>
      <c r="F4245" s="26" t="s">
        <v>46</v>
      </c>
      <c r="G4245" s="26">
        <v>11.0</v>
      </c>
      <c r="I4245" s="26" t="s">
        <v>872</v>
      </c>
      <c r="J4245" s="25" t="str">
        <f t="shared" si="49"/>
        <v>No</v>
      </c>
      <c r="K4245" s="25" t="str">
        <f t="shared" si="50"/>
        <v/>
      </c>
      <c r="L4245" s="25" t="str">
        <f t="shared" si="51"/>
        <v/>
      </c>
      <c r="M4245" s="25"/>
      <c r="O4245" s="25"/>
    </row>
    <row r="4246" ht="15.75" customHeight="1">
      <c r="A4246" s="25" t="str">
        <f>IFERROR(__xludf.DUMMYFUNCTION("IF(B4246="""","""",RIGHT(REGEXREPLACE(B4246&amp;"""",""[^0-9]"",""""),9))"),"755013155")</f>
        <v>755013155</v>
      </c>
      <c r="B4246" s="52">
        <v>7.55013155E8</v>
      </c>
      <c r="C4246" s="28" t="s">
        <v>4225</v>
      </c>
      <c r="D4246" s="26" t="s">
        <v>45</v>
      </c>
      <c r="E4246" s="31">
        <v>46234.0</v>
      </c>
      <c r="F4246" s="26" t="s">
        <v>46</v>
      </c>
      <c r="G4246" s="26">
        <v>8.0</v>
      </c>
      <c r="I4246" s="26" t="s">
        <v>872</v>
      </c>
      <c r="J4246" s="25" t="str">
        <f t="shared" si="49"/>
        <v>No</v>
      </c>
      <c r="K4246" s="25" t="str">
        <f t="shared" si="50"/>
        <v/>
      </c>
      <c r="L4246" s="25" t="str">
        <f t="shared" si="51"/>
        <v/>
      </c>
      <c r="M4246" s="25"/>
      <c r="O4246" s="25"/>
    </row>
    <row r="4247" ht="15.75" customHeight="1">
      <c r="A4247" s="25" t="str">
        <f>IFERROR(__xludf.DUMMYFUNCTION("IF(B4247="""","""",RIGHT(REGEXREPLACE(B4247&amp;"""",""[^0-9]"",""""),9))"),"773616893")</f>
        <v>773616893</v>
      </c>
      <c r="B4247" s="26">
        <v>7.73616893E8</v>
      </c>
      <c r="C4247" s="28" t="s">
        <v>4226</v>
      </c>
      <c r="D4247" s="26" t="s">
        <v>37</v>
      </c>
      <c r="E4247" s="31">
        <v>46234.0</v>
      </c>
      <c r="F4247" s="26" t="s">
        <v>46</v>
      </c>
      <c r="I4247" s="26" t="s">
        <v>872</v>
      </c>
      <c r="J4247" s="25" t="str">
        <f t="shared" si="49"/>
        <v>No</v>
      </c>
      <c r="K4247" s="25" t="str">
        <f t="shared" si="50"/>
        <v/>
      </c>
      <c r="L4247" s="25" t="str">
        <f t="shared" si="51"/>
        <v/>
      </c>
      <c r="M4247" s="25"/>
      <c r="O4247" s="25"/>
    </row>
    <row r="4248" ht="15.75" customHeight="1">
      <c r="A4248" s="25" t="str">
        <f>IFERROR(__xludf.DUMMYFUNCTION("IF(B4248="""","""",RIGHT(REGEXREPLACE(B4248&amp;"""",""[^0-9]"",""""),9))"),"766799913")</f>
        <v>766799913</v>
      </c>
      <c r="B4248" s="52">
        <v>7.66799913E8</v>
      </c>
      <c r="C4248" s="28" t="s">
        <v>4227</v>
      </c>
      <c r="D4248" s="26" t="s">
        <v>45</v>
      </c>
      <c r="E4248" s="31">
        <v>46234.0</v>
      </c>
      <c r="F4248" s="26" t="s">
        <v>167</v>
      </c>
      <c r="G4248" s="26">
        <v>6.0</v>
      </c>
      <c r="I4248" s="26" t="s">
        <v>872</v>
      </c>
      <c r="J4248" s="25" t="str">
        <f t="shared" si="49"/>
        <v>No</v>
      </c>
      <c r="K4248" s="25" t="str">
        <f t="shared" si="50"/>
        <v/>
      </c>
      <c r="L4248" s="25" t="str">
        <f t="shared" si="51"/>
        <v/>
      </c>
      <c r="M4248" s="25"/>
      <c r="O4248" s="25"/>
    </row>
    <row r="4249" ht="15.75" customHeight="1">
      <c r="A4249" s="25" t="str">
        <f>IFERROR(__xludf.DUMMYFUNCTION("IF(B4249="""","""",RIGHT(REGEXREPLACE(B4249&amp;"""",""[^0-9]"",""""),9))"),"774260952")</f>
        <v>774260952</v>
      </c>
      <c r="B4249" s="52">
        <v>7.74260952E8</v>
      </c>
      <c r="C4249" s="28" t="s">
        <v>4228</v>
      </c>
      <c r="D4249" s="26" t="s">
        <v>45</v>
      </c>
      <c r="E4249" s="31">
        <v>46234.0</v>
      </c>
      <c r="F4249" s="26" t="s">
        <v>46</v>
      </c>
      <c r="G4249" s="26">
        <v>9.0</v>
      </c>
      <c r="I4249" s="26" t="s">
        <v>872</v>
      </c>
      <c r="J4249" s="25" t="str">
        <f t="shared" si="49"/>
        <v>No</v>
      </c>
      <c r="K4249" s="25" t="str">
        <f t="shared" si="50"/>
        <v/>
      </c>
      <c r="L4249" s="25" t="str">
        <f t="shared" si="51"/>
        <v/>
      </c>
      <c r="M4249" s="25"/>
      <c r="O4249" s="25"/>
    </row>
    <row r="4250" ht="15.75" customHeight="1">
      <c r="A4250" s="25" t="str">
        <f>IFERROR(__xludf.DUMMYFUNCTION("IF(B4250="""","""",RIGHT(REGEXREPLACE(B4250&amp;"""",""[^0-9]"",""""),9))"),"706654391")</f>
        <v>706654391</v>
      </c>
      <c r="B4250" s="52">
        <v>7.06654391E8</v>
      </c>
      <c r="C4250" s="28" t="s">
        <v>4229</v>
      </c>
      <c r="D4250" s="26" t="s">
        <v>45</v>
      </c>
      <c r="E4250" s="31">
        <v>46234.0</v>
      </c>
      <c r="F4250" s="26" t="s">
        <v>46</v>
      </c>
      <c r="G4250" s="26">
        <v>10.0</v>
      </c>
      <c r="I4250" s="26" t="s">
        <v>872</v>
      </c>
      <c r="J4250" s="25" t="str">
        <f t="shared" si="49"/>
        <v>No</v>
      </c>
      <c r="K4250" s="25" t="str">
        <f t="shared" si="50"/>
        <v/>
      </c>
      <c r="L4250" s="25" t="str">
        <f t="shared" si="51"/>
        <v/>
      </c>
      <c r="M4250" s="25"/>
      <c r="O4250" s="25"/>
    </row>
    <row r="4251" ht="15.75" customHeight="1">
      <c r="A4251" s="25" t="str">
        <f>IFERROR(__xludf.DUMMYFUNCTION("IF(B4251="""","""",RIGHT(REGEXREPLACE(B4251&amp;"""",""[^0-9]"",""""),9))"),"713574308")</f>
        <v>713574308</v>
      </c>
      <c r="B4251" s="52">
        <v>7.13574308E8</v>
      </c>
      <c r="C4251" s="28" t="s">
        <v>4230</v>
      </c>
      <c r="D4251" s="26" t="s">
        <v>64</v>
      </c>
      <c r="E4251" s="31">
        <v>46234.0</v>
      </c>
      <c r="F4251" s="26" t="s">
        <v>46</v>
      </c>
      <c r="G4251" s="26">
        <v>11.0</v>
      </c>
      <c r="I4251" s="26" t="s">
        <v>872</v>
      </c>
      <c r="J4251" s="25" t="str">
        <f t="shared" si="49"/>
        <v>No</v>
      </c>
      <c r="K4251" s="25" t="str">
        <f t="shared" si="50"/>
        <v/>
      </c>
      <c r="L4251" s="25" t="str">
        <f t="shared" si="51"/>
        <v/>
      </c>
      <c r="M4251" s="25"/>
      <c r="O4251" s="25"/>
    </row>
    <row r="4252" ht="15.75" customHeight="1">
      <c r="A4252" s="25" t="str">
        <f>IFERROR(__xludf.DUMMYFUNCTION("IF(B4252="""","""",RIGHT(REGEXREPLACE(B4252&amp;"""",""[^0-9]"",""""),9))"),"777965441")</f>
        <v>777965441</v>
      </c>
      <c r="B4252" s="52">
        <v>7.77965441E8</v>
      </c>
      <c r="C4252" s="28" t="s">
        <v>4231</v>
      </c>
      <c r="D4252" s="26" t="s">
        <v>82</v>
      </c>
      <c r="E4252" s="31">
        <v>46234.0</v>
      </c>
      <c r="F4252" s="26" t="s">
        <v>41</v>
      </c>
      <c r="I4252" s="26" t="s">
        <v>872</v>
      </c>
      <c r="J4252" s="25" t="str">
        <f t="shared" si="49"/>
        <v>No</v>
      </c>
      <c r="K4252" s="25" t="str">
        <f t="shared" si="50"/>
        <v/>
      </c>
      <c r="L4252" s="25" t="str">
        <f t="shared" si="51"/>
        <v/>
      </c>
      <c r="M4252" s="25"/>
      <c r="O4252" s="25"/>
    </row>
    <row r="4253" ht="15.75" customHeight="1">
      <c r="A4253" s="25" t="str">
        <f>IFERROR(__xludf.DUMMYFUNCTION("IF(B4253="""","""",RIGHT(REGEXREPLACE(B4253&amp;"""",""[^0-9]"",""""),9))"),"789572150")</f>
        <v>789572150</v>
      </c>
      <c r="B4253" s="52">
        <v>7.8957215E8</v>
      </c>
      <c r="C4253" s="28" t="s">
        <v>4222</v>
      </c>
      <c r="D4253" s="26" t="s">
        <v>56</v>
      </c>
      <c r="E4253" s="31">
        <v>46234.0</v>
      </c>
      <c r="F4253" s="26" t="s">
        <v>41</v>
      </c>
      <c r="I4253" s="26" t="s">
        <v>872</v>
      </c>
      <c r="J4253" s="25" t="str">
        <f t="shared" si="49"/>
        <v>No</v>
      </c>
      <c r="K4253" s="25" t="str">
        <f t="shared" si="50"/>
        <v/>
      </c>
      <c r="L4253" s="25" t="str">
        <f t="shared" si="51"/>
        <v/>
      </c>
      <c r="M4253" s="25"/>
      <c r="O4253" s="25"/>
    </row>
    <row r="4254" ht="15.75" customHeight="1">
      <c r="A4254" s="25" t="str">
        <f>IFERROR(__xludf.DUMMYFUNCTION("IF(B4254="""","""",RIGHT(REGEXREPLACE(B4254&amp;"""",""[^0-9]"",""""),9))"),"783076380")</f>
        <v>783076380</v>
      </c>
      <c r="B4254" s="52">
        <v>7.8307638E8</v>
      </c>
      <c r="C4254" s="28" t="s">
        <v>4232</v>
      </c>
      <c r="D4254" s="26" t="s">
        <v>56</v>
      </c>
      <c r="E4254" s="31">
        <v>46234.0</v>
      </c>
      <c r="F4254" s="26" t="s">
        <v>46</v>
      </c>
      <c r="G4254" s="26">
        <v>10.0</v>
      </c>
      <c r="I4254" s="26" t="s">
        <v>872</v>
      </c>
      <c r="J4254" s="25" t="str">
        <f t="shared" si="49"/>
        <v>No</v>
      </c>
      <c r="K4254" s="25" t="str">
        <f t="shared" si="50"/>
        <v/>
      </c>
      <c r="L4254" s="25" t="str">
        <f t="shared" si="51"/>
        <v/>
      </c>
      <c r="M4254" s="25"/>
      <c r="O4254" s="25"/>
    </row>
    <row r="4255" ht="15.75" customHeight="1">
      <c r="A4255" s="25" t="str">
        <f>IFERROR(__xludf.DUMMYFUNCTION("IF(B4255="""","""",RIGHT(REGEXREPLACE(B4255&amp;"""",""[^0-9]"",""""),9))"),"702882059")</f>
        <v>702882059</v>
      </c>
      <c r="B4255" s="52">
        <v>7.02882059E8</v>
      </c>
      <c r="C4255" s="28" t="s">
        <v>4233</v>
      </c>
      <c r="D4255" s="26" t="s">
        <v>82</v>
      </c>
      <c r="E4255" s="31">
        <v>46234.0</v>
      </c>
      <c r="F4255" s="26" t="s">
        <v>46</v>
      </c>
      <c r="G4255" s="26">
        <v>11.0</v>
      </c>
      <c r="I4255" s="26" t="s">
        <v>872</v>
      </c>
      <c r="J4255" s="25" t="str">
        <f t="shared" si="49"/>
        <v>No</v>
      </c>
      <c r="K4255" s="25" t="str">
        <f t="shared" si="50"/>
        <v/>
      </c>
      <c r="L4255" s="25" t="str">
        <f t="shared" si="51"/>
        <v/>
      </c>
      <c r="M4255" s="25"/>
      <c r="O4255" s="25"/>
    </row>
    <row r="4256" ht="15.75" customHeight="1">
      <c r="A4256" s="25" t="str">
        <f>IFERROR(__xludf.DUMMYFUNCTION("IF(B4256="""","""",RIGHT(REGEXREPLACE(B4256&amp;"""",""[^0-9]"",""""),9))"),"764504226")</f>
        <v>764504226</v>
      </c>
      <c r="B4256" s="52">
        <v>7.64504226E8</v>
      </c>
      <c r="C4256" s="28" t="s">
        <v>4234</v>
      </c>
      <c r="D4256" s="26" t="s">
        <v>49</v>
      </c>
      <c r="E4256" s="31">
        <v>46234.0</v>
      </c>
      <c r="F4256" s="26" t="s">
        <v>46</v>
      </c>
      <c r="G4256" s="26">
        <v>10.0</v>
      </c>
      <c r="I4256" s="26" t="s">
        <v>872</v>
      </c>
      <c r="J4256" s="25" t="str">
        <f t="shared" si="49"/>
        <v>No</v>
      </c>
      <c r="K4256" s="25" t="str">
        <f t="shared" si="50"/>
        <v/>
      </c>
      <c r="L4256" s="25" t="str">
        <f t="shared" si="51"/>
        <v/>
      </c>
      <c r="M4256" s="25"/>
      <c r="O4256" s="25"/>
    </row>
    <row r="4257" ht="15.75" customHeight="1">
      <c r="A4257" s="25" t="str">
        <f>IFERROR(__xludf.DUMMYFUNCTION("IF(B4257="""","""",RIGHT(REGEXREPLACE(B4257&amp;"""",""[^0-9]"",""""),9))"),"712766654")</f>
        <v>712766654</v>
      </c>
      <c r="B4257" s="52">
        <v>7.12766654E8</v>
      </c>
      <c r="C4257" s="28" t="s">
        <v>4233</v>
      </c>
      <c r="D4257" s="26" t="s">
        <v>56</v>
      </c>
      <c r="E4257" s="31">
        <v>46234.0</v>
      </c>
      <c r="F4257" s="26" t="s">
        <v>46</v>
      </c>
      <c r="G4257" s="26">
        <v>9.0</v>
      </c>
      <c r="I4257" s="26" t="s">
        <v>872</v>
      </c>
      <c r="J4257" s="25" t="str">
        <f t="shared" si="49"/>
        <v>No</v>
      </c>
      <c r="K4257" s="25" t="str">
        <f t="shared" si="50"/>
        <v/>
      </c>
      <c r="L4257" s="25" t="str">
        <f t="shared" si="51"/>
        <v/>
      </c>
      <c r="M4257" s="25"/>
      <c r="O4257" s="25"/>
    </row>
    <row r="4258" ht="15.75" customHeight="1">
      <c r="A4258" s="25" t="str">
        <f>IFERROR(__xludf.DUMMYFUNCTION("IF(B4258="""","""",RIGHT(REGEXREPLACE(B4258&amp;"""",""[^0-9]"",""""),9))"),"777211184")</f>
        <v>777211184</v>
      </c>
      <c r="B4258" s="52">
        <v>7.77211184E8</v>
      </c>
      <c r="C4258" s="28" t="s">
        <v>4235</v>
      </c>
      <c r="D4258" s="26" t="s">
        <v>82</v>
      </c>
      <c r="E4258" s="31">
        <v>46234.0</v>
      </c>
      <c r="F4258" s="26" t="s">
        <v>46</v>
      </c>
      <c r="G4258" s="26">
        <v>10.0</v>
      </c>
      <c r="I4258" s="26" t="s">
        <v>872</v>
      </c>
      <c r="J4258" s="25" t="str">
        <f t="shared" si="49"/>
        <v>No</v>
      </c>
      <c r="K4258" s="25" t="str">
        <f t="shared" si="50"/>
        <v/>
      </c>
      <c r="L4258" s="25" t="str">
        <f t="shared" si="51"/>
        <v/>
      </c>
      <c r="M4258" s="25"/>
      <c r="O4258" s="25"/>
    </row>
    <row r="4259" ht="15.75" customHeight="1">
      <c r="A4259" s="25" t="str">
        <f>IFERROR(__xludf.DUMMYFUNCTION("IF(B4259="""","""",RIGHT(REGEXREPLACE(B4259&amp;"""",""[^0-9]"",""""),9))"),"719381931")</f>
        <v>719381931</v>
      </c>
      <c r="B4259" s="52">
        <v>7.19381931E8</v>
      </c>
      <c r="C4259" s="28" t="s">
        <v>132</v>
      </c>
      <c r="D4259" s="26" t="s">
        <v>82</v>
      </c>
      <c r="E4259" s="31">
        <v>46234.0</v>
      </c>
      <c r="F4259" s="26" t="s">
        <v>46</v>
      </c>
      <c r="G4259" s="26">
        <v>11.0</v>
      </c>
      <c r="I4259" s="26" t="s">
        <v>872</v>
      </c>
      <c r="J4259" s="25" t="str">
        <f t="shared" si="49"/>
        <v>Yes - see Previous F-Code</v>
      </c>
      <c r="K4259" s="25" t="str">
        <f t="shared" si="50"/>
        <v/>
      </c>
      <c r="L4259" s="25" t="str">
        <f t="shared" si="51"/>
        <v>F70052</v>
      </c>
      <c r="M4259" s="25"/>
      <c r="O4259" s="25"/>
    </row>
    <row r="4260" ht="15.75" customHeight="1">
      <c r="A4260" s="25" t="str">
        <f>IFERROR(__xludf.DUMMYFUNCTION("IF(B4260="""","""",RIGHT(REGEXREPLACE(B4260&amp;"""",""[^0-9]"",""""),9))"),"770780836")</f>
        <v>770780836</v>
      </c>
      <c r="B4260" s="52">
        <v>7.70780836E8</v>
      </c>
      <c r="C4260" s="28" t="s">
        <v>3168</v>
      </c>
      <c r="D4260" s="26" t="s">
        <v>64</v>
      </c>
      <c r="E4260" s="31">
        <v>46234.0</v>
      </c>
      <c r="F4260" s="26" t="s">
        <v>46</v>
      </c>
      <c r="G4260" s="26">
        <v>11.0</v>
      </c>
      <c r="I4260" s="26" t="s">
        <v>872</v>
      </c>
      <c r="J4260" s="25" t="str">
        <f t="shared" si="49"/>
        <v>Yes - see Previous F-Code</v>
      </c>
      <c r="K4260" s="25" t="str">
        <f t="shared" si="50"/>
        <v/>
      </c>
      <c r="L4260" s="25" t="str">
        <f t="shared" si="51"/>
        <v>F72804</v>
      </c>
      <c r="M4260" s="25"/>
      <c r="O4260" s="25"/>
    </row>
    <row r="4261" ht="15.75" customHeight="1">
      <c r="A4261" s="25" t="str">
        <f>IFERROR(__xludf.DUMMYFUNCTION("IF(B4261="""","""",RIGHT(REGEXREPLACE(B4261&amp;"""",""[^0-9]"",""""),9))"),"777190706")</f>
        <v>777190706</v>
      </c>
      <c r="B4261" s="52">
        <v>7.77190706E8</v>
      </c>
      <c r="C4261" s="28" t="s">
        <v>4236</v>
      </c>
      <c r="D4261" s="26" t="s">
        <v>49</v>
      </c>
      <c r="E4261" s="31">
        <v>46234.0</v>
      </c>
      <c r="F4261" s="26" t="s">
        <v>46</v>
      </c>
      <c r="G4261" s="26">
        <v>10.0</v>
      </c>
      <c r="I4261" s="26" t="s">
        <v>872</v>
      </c>
      <c r="J4261" s="25" t="str">
        <f t="shared" si="49"/>
        <v>No</v>
      </c>
      <c r="K4261" s="25" t="str">
        <f t="shared" si="50"/>
        <v/>
      </c>
      <c r="L4261" s="25" t="str">
        <f t="shared" si="51"/>
        <v/>
      </c>
      <c r="M4261" s="25"/>
      <c r="O4261" s="25"/>
    </row>
    <row r="4262" ht="15.75" customHeight="1">
      <c r="A4262" s="25" t="str">
        <f>IFERROR(__xludf.DUMMYFUNCTION("IF(B4262="""","""",RIGHT(REGEXREPLACE(B4262&amp;"""",""[^0-9]"",""""),9))"),"704395697")</f>
        <v>704395697</v>
      </c>
      <c r="B4262" s="52">
        <v>7.04395697E8</v>
      </c>
      <c r="C4262" s="28" t="s">
        <v>4237</v>
      </c>
      <c r="D4262" s="26" t="s">
        <v>56</v>
      </c>
      <c r="E4262" s="31">
        <v>46234.0</v>
      </c>
      <c r="F4262" s="26" t="s">
        <v>41</v>
      </c>
      <c r="G4262" s="26">
        <v>10.0</v>
      </c>
      <c r="I4262" s="26" t="s">
        <v>872</v>
      </c>
      <c r="J4262" s="25" t="str">
        <f t="shared" si="49"/>
        <v>No</v>
      </c>
      <c r="K4262" s="25" t="str">
        <f t="shared" si="50"/>
        <v/>
      </c>
      <c r="L4262" s="25" t="str">
        <f t="shared" si="51"/>
        <v/>
      </c>
      <c r="M4262" s="25"/>
      <c r="O4262" s="25"/>
    </row>
    <row r="4263" ht="15.75" customHeight="1">
      <c r="A4263" s="25" t="str">
        <f>IFERROR(__xludf.DUMMYFUNCTION("IF(B4263="""","""",RIGHT(REGEXREPLACE(B4263&amp;"""",""[^0-9]"",""""),9))"),"768914683")</f>
        <v>768914683</v>
      </c>
      <c r="B4263" s="52">
        <v>7.68914683E8</v>
      </c>
      <c r="C4263" s="28" t="s">
        <v>4238</v>
      </c>
      <c r="D4263" s="26" t="s">
        <v>82</v>
      </c>
      <c r="E4263" s="31">
        <v>46234.0</v>
      </c>
      <c r="F4263" s="26" t="s">
        <v>46</v>
      </c>
      <c r="G4263" s="26">
        <v>10.0</v>
      </c>
      <c r="I4263" s="26" t="s">
        <v>872</v>
      </c>
      <c r="J4263" s="25" t="str">
        <f t="shared" si="49"/>
        <v>No</v>
      </c>
      <c r="K4263" s="25" t="str">
        <f t="shared" si="50"/>
        <v/>
      </c>
      <c r="L4263" s="25" t="str">
        <f t="shared" si="51"/>
        <v/>
      </c>
      <c r="M4263" s="25"/>
      <c r="O4263" s="25"/>
    </row>
    <row r="4264" ht="15.75" customHeight="1">
      <c r="A4264" s="25" t="str">
        <f>IFERROR(__xludf.DUMMYFUNCTION("IF(B4264="""","""",RIGHT(REGEXREPLACE(B4264&amp;"""",""[^0-9]"",""""),9))"),"777327276")</f>
        <v>777327276</v>
      </c>
      <c r="B4264" s="52">
        <v>7.77327276E8</v>
      </c>
      <c r="C4264" s="28" t="s">
        <v>4239</v>
      </c>
      <c r="D4264" s="26" t="s">
        <v>64</v>
      </c>
      <c r="E4264" s="31">
        <v>46234.0</v>
      </c>
      <c r="F4264" s="26" t="s">
        <v>205</v>
      </c>
      <c r="I4264" s="26" t="s">
        <v>872</v>
      </c>
      <c r="J4264" s="25" t="str">
        <f t="shared" si="49"/>
        <v>No</v>
      </c>
      <c r="K4264" s="25" t="str">
        <f t="shared" si="50"/>
        <v/>
      </c>
      <c r="L4264" s="25" t="str">
        <f t="shared" si="51"/>
        <v/>
      </c>
      <c r="M4264" s="25"/>
      <c r="O4264" s="25"/>
    </row>
    <row r="4265" ht="15.75" customHeight="1">
      <c r="A4265" s="25" t="str">
        <f>IFERROR(__xludf.DUMMYFUNCTION("IF(B4265="""","""",RIGHT(REGEXREPLACE(B4265&amp;"""",""[^0-9]"",""""),9))"),"761997517")</f>
        <v>761997517</v>
      </c>
      <c r="B4265" s="52">
        <v>7.61997517E8</v>
      </c>
      <c r="C4265" s="28" t="s">
        <v>4240</v>
      </c>
      <c r="D4265" s="26" t="s">
        <v>49</v>
      </c>
      <c r="E4265" s="31">
        <v>46234.0</v>
      </c>
      <c r="F4265" s="26" t="s">
        <v>41</v>
      </c>
      <c r="I4265" s="26" t="s">
        <v>872</v>
      </c>
      <c r="J4265" s="25" t="str">
        <f t="shared" si="49"/>
        <v>No</v>
      </c>
      <c r="K4265" s="25" t="str">
        <f t="shared" si="50"/>
        <v/>
      </c>
      <c r="L4265" s="25" t="str">
        <f t="shared" si="51"/>
        <v/>
      </c>
      <c r="M4265" s="25"/>
      <c r="O4265" s="25"/>
    </row>
    <row r="4266" ht="15.75" customHeight="1">
      <c r="A4266" s="25" t="str">
        <f>IFERROR(__xludf.DUMMYFUNCTION("IF(B4266="""","""",RIGHT(REGEXREPLACE(B4266&amp;"""",""[^0-9]"",""""),9))"),"715382980")</f>
        <v>715382980</v>
      </c>
      <c r="B4266" s="52">
        <v>7.1538298E8</v>
      </c>
      <c r="C4266" s="28" t="s">
        <v>4241</v>
      </c>
      <c r="D4266" s="26" t="s">
        <v>82</v>
      </c>
      <c r="E4266" s="31">
        <v>46234.0</v>
      </c>
      <c r="F4266" s="26" t="s">
        <v>41</v>
      </c>
      <c r="G4266" s="26">
        <v>11.0</v>
      </c>
      <c r="I4266" s="26" t="s">
        <v>872</v>
      </c>
      <c r="J4266" s="25" t="str">
        <f t="shared" si="49"/>
        <v>No</v>
      </c>
      <c r="K4266" s="25" t="str">
        <f t="shared" si="50"/>
        <v/>
      </c>
      <c r="L4266" s="25" t="str">
        <f t="shared" si="51"/>
        <v/>
      </c>
      <c r="M4266" s="25"/>
      <c r="O4266" s="25"/>
    </row>
    <row r="4267" ht="15.75" customHeight="1">
      <c r="A4267" s="25" t="str">
        <f>IFERROR(__xludf.DUMMYFUNCTION("IF(B4267="""","""",RIGHT(REGEXREPLACE(B4267&amp;"""",""[^0-9]"",""""),9))"),"777327276")</f>
        <v>777327276</v>
      </c>
      <c r="B4267" s="52">
        <v>7.77327276E8</v>
      </c>
      <c r="C4267" s="28" t="s">
        <v>4239</v>
      </c>
      <c r="D4267" s="26" t="s">
        <v>56</v>
      </c>
      <c r="E4267" s="31">
        <v>46234.0</v>
      </c>
      <c r="F4267" s="26" t="s">
        <v>659</v>
      </c>
      <c r="I4267" s="26" t="s">
        <v>872</v>
      </c>
      <c r="J4267" s="25" t="str">
        <f t="shared" si="49"/>
        <v>Yes - see Previous F-Code</v>
      </c>
      <c r="K4267" s="25" t="str">
        <f t="shared" si="50"/>
        <v>DUPLICATE - CHECK</v>
      </c>
      <c r="L4267" s="25" t="str">
        <f t="shared" si="51"/>
        <v>F73872</v>
      </c>
      <c r="M4267" s="25"/>
      <c r="O4267" s="25"/>
    </row>
    <row r="4268" ht="15.75" customHeight="1">
      <c r="A4268" s="25" t="str">
        <f>IFERROR(__xludf.DUMMYFUNCTION("IF(B4268="""","""",RIGHT(REGEXREPLACE(B4268&amp;"""",""[^0-9]"",""""),9))"),"719999454")</f>
        <v>719999454</v>
      </c>
      <c r="B4268" s="52">
        <v>7.19999454E8</v>
      </c>
      <c r="C4268" s="28" t="s">
        <v>4241</v>
      </c>
      <c r="D4268" s="26" t="s">
        <v>64</v>
      </c>
      <c r="E4268" s="31">
        <v>46234.0</v>
      </c>
      <c r="F4268" s="26" t="s">
        <v>205</v>
      </c>
      <c r="I4268" s="26" t="s">
        <v>872</v>
      </c>
      <c r="J4268" s="25" t="str">
        <f t="shared" si="49"/>
        <v>No</v>
      </c>
      <c r="K4268" s="25" t="str">
        <f t="shared" si="50"/>
        <v/>
      </c>
      <c r="L4268" s="25" t="str">
        <f t="shared" si="51"/>
        <v/>
      </c>
      <c r="M4268" s="25"/>
      <c r="O4268" s="25"/>
    </row>
    <row r="4269" ht="15.75" customHeight="1">
      <c r="A4269" s="25" t="str">
        <f>IFERROR(__xludf.DUMMYFUNCTION("IF(B4269="""","""",RIGHT(REGEXREPLACE(B4269&amp;"""",""[^0-9]"",""""),9))"),"771901429")</f>
        <v>771901429</v>
      </c>
      <c r="B4269" s="52">
        <v>7.71901429E8</v>
      </c>
      <c r="C4269" s="28" t="s">
        <v>4242</v>
      </c>
      <c r="D4269" s="26" t="s">
        <v>49</v>
      </c>
      <c r="E4269" s="31">
        <v>46234.0</v>
      </c>
      <c r="F4269" s="26" t="s">
        <v>46</v>
      </c>
      <c r="G4269" s="26">
        <v>10.0</v>
      </c>
      <c r="I4269" s="26" t="s">
        <v>872</v>
      </c>
      <c r="J4269" s="25" t="str">
        <f t="shared" si="49"/>
        <v>No</v>
      </c>
      <c r="K4269" s="25" t="str">
        <f t="shared" si="50"/>
        <v/>
      </c>
      <c r="L4269" s="25" t="str">
        <f t="shared" si="51"/>
        <v/>
      </c>
      <c r="M4269" s="25"/>
      <c r="O4269" s="25"/>
    </row>
    <row r="4270" ht="15.75" customHeight="1">
      <c r="A4270" s="25" t="str">
        <f>IFERROR(__xludf.DUMMYFUNCTION("IF(B4270="""","""",RIGHT(REGEXREPLACE(B4270&amp;"""",""[^0-9]"",""""),9))"),"703904738")</f>
        <v>703904738</v>
      </c>
      <c r="B4270" s="52">
        <v>7.03904738E8</v>
      </c>
      <c r="C4270" s="28" t="s">
        <v>4243</v>
      </c>
      <c r="D4270" s="26" t="s">
        <v>82</v>
      </c>
      <c r="E4270" s="31">
        <v>46234.0</v>
      </c>
      <c r="F4270" s="26" t="s">
        <v>46</v>
      </c>
      <c r="G4270" s="26">
        <v>9.0</v>
      </c>
      <c r="I4270" s="26" t="s">
        <v>872</v>
      </c>
      <c r="J4270" s="25" t="str">
        <f t="shared" si="49"/>
        <v>No</v>
      </c>
      <c r="K4270" s="25" t="str">
        <f t="shared" si="50"/>
        <v/>
      </c>
      <c r="L4270" s="25" t="str">
        <f t="shared" si="51"/>
        <v/>
      </c>
      <c r="M4270" s="25"/>
      <c r="O4270" s="26" t="s">
        <v>51</v>
      </c>
    </row>
    <row r="4271" ht="15.75" customHeight="1">
      <c r="A4271" s="25" t="str">
        <f>IFERROR(__xludf.DUMMYFUNCTION("IF(B4271="""","""",RIGHT(REGEXREPLACE(B4271&amp;"""",""[^0-9]"",""""),9))"),"781461368")</f>
        <v>781461368</v>
      </c>
      <c r="B4271" s="52">
        <v>7.81461368E8</v>
      </c>
      <c r="C4271" s="28" t="s">
        <v>4244</v>
      </c>
      <c r="D4271" s="26" t="s">
        <v>64</v>
      </c>
      <c r="E4271" s="31">
        <v>46234.0</v>
      </c>
      <c r="F4271" s="26" t="s">
        <v>46</v>
      </c>
      <c r="G4271" s="26">
        <v>11.0</v>
      </c>
      <c r="I4271" s="26" t="s">
        <v>872</v>
      </c>
      <c r="J4271" s="25" t="str">
        <f t="shared" si="49"/>
        <v>No</v>
      </c>
      <c r="K4271" s="25" t="str">
        <f t="shared" si="50"/>
        <v/>
      </c>
      <c r="L4271" s="25" t="str">
        <f t="shared" si="51"/>
        <v/>
      </c>
      <c r="M4271" s="25"/>
      <c r="O4271" s="25"/>
    </row>
    <row r="4272" ht="15.75" customHeight="1">
      <c r="A4272" s="25" t="str">
        <f>IFERROR(__xludf.DUMMYFUNCTION("IF(B4272="""","""",RIGHT(REGEXREPLACE(B4272&amp;"""",""[^0-9]"",""""),9))"),"760072231")</f>
        <v>760072231</v>
      </c>
      <c r="B4272" s="52">
        <v>7.60072231E8</v>
      </c>
      <c r="C4272" s="28" t="s">
        <v>4245</v>
      </c>
      <c r="D4272" s="26" t="s">
        <v>56</v>
      </c>
      <c r="E4272" s="31">
        <v>46234.0</v>
      </c>
      <c r="F4272" s="26" t="s">
        <v>125</v>
      </c>
      <c r="I4272" s="26" t="s">
        <v>872</v>
      </c>
      <c r="J4272" s="25" t="str">
        <f t="shared" si="49"/>
        <v>No</v>
      </c>
      <c r="K4272" s="25" t="str">
        <f t="shared" si="50"/>
        <v/>
      </c>
      <c r="L4272" s="25" t="str">
        <f t="shared" si="51"/>
        <v/>
      </c>
      <c r="M4272" s="25"/>
      <c r="O4272" s="25"/>
    </row>
    <row r="4273" ht="15.75" customHeight="1">
      <c r="A4273" s="25" t="str">
        <f>IFERROR(__xludf.DUMMYFUNCTION("IF(B4273="""","""",RIGHT(REGEXREPLACE(B4273&amp;"""",""[^0-9]"",""""),9))"),"771264756")</f>
        <v>771264756</v>
      </c>
      <c r="B4273" s="52">
        <v>7.71264756E8</v>
      </c>
      <c r="C4273" s="28" t="s">
        <v>3120</v>
      </c>
      <c r="D4273" s="26" t="s">
        <v>56</v>
      </c>
      <c r="E4273" s="31">
        <v>46234.0</v>
      </c>
      <c r="F4273" s="26" t="s">
        <v>41</v>
      </c>
      <c r="G4273" s="26">
        <v>10.0</v>
      </c>
      <c r="I4273" s="26" t="s">
        <v>872</v>
      </c>
      <c r="J4273" s="25" t="str">
        <f t="shared" si="49"/>
        <v>No</v>
      </c>
      <c r="K4273" s="25" t="str">
        <f t="shared" si="50"/>
        <v/>
      </c>
      <c r="L4273" s="25" t="str">
        <f t="shared" si="51"/>
        <v/>
      </c>
      <c r="M4273" s="25"/>
      <c r="O4273" s="25"/>
    </row>
    <row r="4274" ht="15.75" customHeight="1">
      <c r="A4274" s="25" t="str">
        <f>IFERROR(__xludf.DUMMYFUNCTION("IF(B4274="""","""",RIGHT(REGEXREPLACE(B4274&amp;"""",""[^0-9]"",""""),9))"),"702451539")</f>
        <v>702451539</v>
      </c>
      <c r="B4274" s="52">
        <v>7.02451539E8</v>
      </c>
      <c r="C4274" s="28" t="s">
        <v>4246</v>
      </c>
      <c r="D4274" s="26" t="s">
        <v>82</v>
      </c>
      <c r="E4274" s="31">
        <v>46234.0</v>
      </c>
      <c r="F4274" s="26" t="s">
        <v>46</v>
      </c>
      <c r="G4274" s="26">
        <v>10.0</v>
      </c>
      <c r="I4274" s="26" t="s">
        <v>872</v>
      </c>
      <c r="J4274" s="25" t="str">
        <f t="shared" si="49"/>
        <v>No</v>
      </c>
      <c r="K4274" s="25" t="str">
        <f t="shared" si="50"/>
        <v/>
      </c>
      <c r="L4274" s="25" t="str">
        <f t="shared" si="51"/>
        <v/>
      </c>
      <c r="M4274" s="25"/>
      <c r="O4274" s="25"/>
    </row>
    <row r="4275" ht="15.75" customHeight="1">
      <c r="A4275" s="25" t="str">
        <f>IFERROR(__xludf.DUMMYFUNCTION("IF(B4275="""","""",RIGHT(REGEXREPLACE(B4275&amp;"""",""[^0-9]"",""""),9))"),"763038455")</f>
        <v>763038455</v>
      </c>
      <c r="B4275" s="52">
        <v>7.63038455E8</v>
      </c>
      <c r="C4275" s="28" t="s">
        <v>2038</v>
      </c>
      <c r="D4275" s="26" t="s">
        <v>82</v>
      </c>
      <c r="E4275" s="31">
        <v>46234.0</v>
      </c>
      <c r="F4275" s="26" t="s">
        <v>41</v>
      </c>
      <c r="G4275" s="26">
        <v>11.0</v>
      </c>
      <c r="I4275" s="26" t="s">
        <v>872</v>
      </c>
      <c r="J4275" s="25" t="str">
        <f t="shared" si="49"/>
        <v>Yes - see Previous F-Code</v>
      </c>
      <c r="K4275" s="25" t="str">
        <f t="shared" si="50"/>
        <v/>
      </c>
      <c r="L4275" s="25" t="str">
        <f t="shared" si="51"/>
        <v>F71742</v>
      </c>
      <c r="M4275" s="25"/>
      <c r="O4275" s="25"/>
    </row>
    <row r="4276" ht="15.75" customHeight="1">
      <c r="A4276" s="25" t="str">
        <f>IFERROR(__xludf.DUMMYFUNCTION("IF(B4276="""","""",RIGHT(REGEXREPLACE(B4276&amp;"""",""[^0-9]"",""""),9))"),"778604169")</f>
        <v>778604169</v>
      </c>
      <c r="B4276" s="52">
        <v>7.78604169E8</v>
      </c>
      <c r="C4276" s="28" t="s">
        <v>4247</v>
      </c>
      <c r="D4276" s="26" t="s">
        <v>64</v>
      </c>
      <c r="E4276" s="31">
        <v>46234.0</v>
      </c>
      <c r="F4276" s="26" t="s">
        <v>46</v>
      </c>
      <c r="G4276" s="26">
        <v>11.0</v>
      </c>
      <c r="I4276" s="26" t="s">
        <v>872</v>
      </c>
      <c r="J4276" s="25" t="str">
        <f t="shared" si="49"/>
        <v>No</v>
      </c>
      <c r="K4276" s="25" t="str">
        <f t="shared" si="50"/>
        <v/>
      </c>
      <c r="L4276" s="25" t="str">
        <f t="shared" si="51"/>
        <v/>
      </c>
      <c r="M4276" s="25"/>
      <c r="O4276" s="25"/>
    </row>
    <row r="4277" ht="15.75" customHeight="1">
      <c r="A4277" s="25" t="str">
        <f>IFERROR(__xludf.DUMMYFUNCTION("IF(B4277="""","""",RIGHT(REGEXREPLACE(B4277&amp;"""",""[^0-9]"",""""),9))"),"770082614")</f>
        <v>770082614</v>
      </c>
      <c r="B4277" s="52">
        <v>7.70082614E8</v>
      </c>
      <c r="C4277" s="28" t="s">
        <v>4248</v>
      </c>
      <c r="D4277" s="26" t="s">
        <v>49</v>
      </c>
      <c r="E4277" s="31">
        <v>46234.0</v>
      </c>
      <c r="F4277" s="26" t="s">
        <v>46</v>
      </c>
      <c r="G4277" s="26">
        <v>10.0</v>
      </c>
      <c r="I4277" s="26" t="s">
        <v>872</v>
      </c>
      <c r="J4277" s="25" t="str">
        <f t="shared" si="49"/>
        <v>No</v>
      </c>
      <c r="K4277" s="25" t="str">
        <f t="shared" si="50"/>
        <v/>
      </c>
      <c r="L4277" s="25" t="str">
        <f t="shared" si="51"/>
        <v/>
      </c>
      <c r="M4277" s="25"/>
      <c r="O4277" s="25"/>
    </row>
    <row r="4278" ht="15.75" customHeight="1">
      <c r="A4278" s="25" t="str">
        <f>IFERROR(__xludf.DUMMYFUNCTION("IF(B4278="""","""",RIGHT(REGEXREPLACE(B4278&amp;"""",""[^0-9]"",""""),9))"),"716882672")</f>
        <v>716882672</v>
      </c>
      <c r="B4278" s="52">
        <v>7.16882672E8</v>
      </c>
      <c r="C4278" s="28" t="s">
        <v>4249</v>
      </c>
      <c r="D4278" s="26" t="s">
        <v>64</v>
      </c>
      <c r="E4278" s="31">
        <v>46234.0</v>
      </c>
      <c r="F4278" s="26" t="s">
        <v>125</v>
      </c>
      <c r="G4278" s="26">
        <v>10.0</v>
      </c>
      <c r="I4278" s="26" t="s">
        <v>872</v>
      </c>
      <c r="J4278" s="25" t="str">
        <f t="shared" si="49"/>
        <v>No</v>
      </c>
      <c r="K4278" s="25" t="str">
        <f t="shared" si="50"/>
        <v/>
      </c>
      <c r="L4278" s="25" t="str">
        <f t="shared" si="51"/>
        <v/>
      </c>
      <c r="M4278" s="25"/>
      <c r="O4278" s="25"/>
    </row>
    <row r="4279" ht="15.75" customHeight="1">
      <c r="A4279" s="25" t="str">
        <f>IFERROR(__xludf.DUMMYFUNCTION("IF(B4279="""","""",RIGHT(REGEXREPLACE(B4279&amp;"""",""[^0-9]"",""""),9))"),"762820194")</f>
        <v>762820194</v>
      </c>
      <c r="B4279" s="52">
        <v>7.62820194E8</v>
      </c>
      <c r="C4279" s="28" t="s">
        <v>4250</v>
      </c>
      <c r="D4279" s="26" t="s">
        <v>64</v>
      </c>
      <c r="E4279" s="31">
        <v>46234.0</v>
      </c>
      <c r="F4279" s="26" t="s">
        <v>41</v>
      </c>
      <c r="G4279" s="26">
        <v>6.0</v>
      </c>
      <c r="I4279" s="26" t="s">
        <v>872</v>
      </c>
      <c r="J4279" s="25" t="str">
        <f t="shared" si="49"/>
        <v>No</v>
      </c>
      <c r="K4279" s="25" t="str">
        <f t="shared" si="50"/>
        <v/>
      </c>
      <c r="L4279" s="25" t="str">
        <f t="shared" si="51"/>
        <v/>
      </c>
      <c r="M4279" s="25"/>
      <c r="O4279" s="25"/>
    </row>
    <row r="4280" ht="15.75" customHeight="1">
      <c r="A4280" s="25" t="str">
        <f>IFERROR(__xludf.DUMMYFUNCTION("IF(B4280="""","""",RIGHT(REGEXREPLACE(B4280&amp;"""",""[^0-9]"",""""),9))"),"701042189")</f>
        <v>701042189</v>
      </c>
      <c r="B4280" s="52">
        <v>7.01042189E8</v>
      </c>
      <c r="C4280" s="28" t="s">
        <v>4251</v>
      </c>
      <c r="D4280" s="26" t="s">
        <v>56</v>
      </c>
      <c r="E4280" s="31">
        <v>46234.0</v>
      </c>
      <c r="F4280" s="26" t="s">
        <v>631</v>
      </c>
      <c r="G4280" s="26">
        <v>10.0</v>
      </c>
      <c r="I4280" s="26" t="s">
        <v>872</v>
      </c>
      <c r="J4280" s="25" t="str">
        <f t="shared" si="49"/>
        <v>No</v>
      </c>
      <c r="K4280" s="25" t="str">
        <f t="shared" si="50"/>
        <v/>
      </c>
      <c r="L4280" s="25" t="str">
        <f t="shared" si="51"/>
        <v/>
      </c>
      <c r="M4280" s="25"/>
      <c r="O4280" s="25"/>
    </row>
    <row r="4281" ht="15.75" customHeight="1">
      <c r="A4281" s="25" t="str">
        <f>IFERROR(__xludf.DUMMYFUNCTION("IF(B4281="""","""",RIGHT(REGEXREPLACE(B4281&amp;"""",""[^0-9]"",""""),9))"),"770712076")</f>
        <v>770712076</v>
      </c>
      <c r="B4281" s="52">
        <v>7.70712076E8</v>
      </c>
      <c r="C4281" s="28" t="s">
        <v>4252</v>
      </c>
      <c r="D4281" s="26" t="s">
        <v>49</v>
      </c>
      <c r="E4281" s="31">
        <v>46234.0</v>
      </c>
      <c r="F4281" s="26" t="s">
        <v>659</v>
      </c>
      <c r="G4281" s="26">
        <v>10.0</v>
      </c>
      <c r="I4281" s="26" t="s">
        <v>872</v>
      </c>
      <c r="J4281" s="25" t="str">
        <f t="shared" si="49"/>
        <v>No</v>
      </c>
      <c r="K4281" s="25" t="str">
        <f t="shared" si="50"/>
        <v/>
      </c>
      <c r="L4281" s="25" t="str">
        <f t="shared" si="51"/>
        <v/>
      </c>
      <c r="M4281" s="25"/>
      <c r="O4281" s="25"/>
    </row>
    <row r="4282" ht="15.75" customHeight="1">
      <c r="A4282" s="25" t="str">
        <f>IFERROR(__xludf.DUMMYFUNCTION("IF(B4282="""","""",RIGHT(REGEXREPLACE(B4282&amp;"""",""[^0-9]"",""""),9))"),"774928811")</f>
        <v>774928811</v>
      </c>
      <c r="B4282" s="52">
        <v>7.74928811E8</v>
      </c>
      <c r="C4282" s="28" t="s">
        <v>4253</v>
      </c>
      <c r="D4282" s="26" t="s">
        <v>64</v>
      </c>
      <c r="E4282" s="31">
        <v>46234.0</v>
      </c>
      <c r="F4282" s="26" t="s">
        <v>41</v>
      </c>
      <c r="G4282" s="26">
        <v>10.0</v>
      </c>
      <c r="I4282" s="26" t="s">
        <v>872</v>
      </c>
      <c r="J4282" s="25" t="str">
        <f t="shared" si="49"/>
        <v>No</v>
      </c>
      <c r="K4282" s="25" t="str">
        <f t="shared" si="50"/>
        <v/>
      </c>
      <c r="L4282" s="25" t="str">
        <f t="shared" si="51"/>
        <v/>
      </c>
      <c r="M4282" s="25"/>
      <c r="O4282" s="25"/>
    </row>
    <row r="4283" ht="15.75" customHeight="1">
      <c r="A4283" s="25" t="str">
        <f>IFERROR(__xludf.DUMMYFUNCTION("IF(B4283="""","""",RIGHT(REGEXREPLACE(B4283&amp;"""",""[^0-9]"",""""),9))"),"787610920")</f>
        <v>787610920</v>
      </c>
      <c r="B4283" s="52">
        <v>7.8761092E8</v>
      </c>
      <c r="C4283" s="28" t="s">
        <v>4254</v>
      </c>
      <c r="D4283" s="26" t="s">
        <v>82</v>
      </c>
      <c r="E4283" s="31">
        <v>46234.0</v>
      </c>
      <c r="F4283" s="25"/>
      <c r="G4283" s="25"/>
      <c r="H4283" s="25"/>
      <c r="I4283" s="26" t="s">
        <v>872</v>
      </c>
      <c r="J4283" s="25" t="str">
        <f t="shared" si="49"/>
        <v>No</v>
      </c>
      <c r="K4283" s="25" t="str">
        <f t="shared" si="50"/>
        <v/>
      </c>
      <c r="L4283" s="25" t="str">
        <f t="shared" si="51"/>
        <v/>
      </c>
      <c r="M4283" s="25"/>
      <c r="N4283" s="25"/>
      <c r="O4283" s="25"/>
      <c r="P4283" s="25"/>
    </row>
    <row r="4284" ht="15.75" customHeight="1">
      <c r="A4284" s="25" t="str">
        <f>IFERROR(__xludf.DUMMYFUNCTION("IF(B4284="""","""",RIGHT(REGEXREPLACE(B4284&amp;"""",""[^0-9]"",""""),9))"),"716268093")</f>
        <v>716268093</v>
      </c>
      <c r="B4284" s="52">
        <v>7.16268093E8</v>
      </c>
      <c r="C4284" s="28" t="s">
        <v>4255</v>
      </c>
      <c r="D4284" s="26" t="s">
        <v>49</v>
      </c>
      <c r="E4284" s="31">
        <v>46234.0</v>
      </c>
      <c r="F4284" s="26" t="s">
        <v>46</v>
      </c>
      <c r="G4284" s="26">
        <v>10.0</v>
      </c>
      <c r="I4284" s="26" t="s">
        <v>872</v>
      </c>
      <c r="J4284" s="25" t="str">
        <f t="shared" si="49"/>
        <v>No</v>
      </c>
      <c r="K4284" s="25" t="str">
        <f t="shared" si="50"/>
        <v/>
      </c>
      <c r="L4284" s="25" t="str">
        <f t="shared" si="51"/>
        <v/>
      </c>
      <c r="M4284" s="25"/>
      <c r="O4284" s="25"/>
    </row>
    <row r="4285" ht="15.75" customHeight="1">
      <c r="A4285" s="25" t="str">
        <f>IFERROR(__xludf.DUMMYFUNCTION("IF(B4285="""","""",RIGHT(REGEXREPLACE(B4285&amp;"""",""[^0-9]"",""""),9))"),"762269929")</f>
        <v>762269929</v>
      </c>
      <c r="B4285" s="52">
        <v>7.62269929E8</v>
      </c>
      <c r="C4285" s="28" t="s">
        <v>4256</v>
      </c>
      <c r="D4285" s="26" t="s">
        <v>56</v>
      </c>
      <c r="E4285" s="31">
        <v>46234.0</v>
      </c>
      <c r="F4285" s="26" t="s">
        <v>631</v>
      </c>
      <c r="G4285" s="26">
        <v>10.0</v>
      </c>
      <c r="I4285" s="26" t="s">
        <v>872</v>
      </c>
      <c r="J4285" s="25" t="str">
        <f t="shared" si="49"/>
        <v>No</v>
      </c>
      <c r="K4285" s="25" t="str">
        <f t="shared" si="50"/>
        <v/>
      </c>
      <c r="L4285" s="25" t="str">
        <f t="shared" si="51"/>
        <v/>
      </c>
      <c r="M4285" s="25"/>
      <c r="N4285" s="26" t="s">
        <v>4257</v>
      </c>
      <c r="O4285" s="25"/>
    </row>
    <row r="4286" ht="15.75" customHeight="1">
      <c r="A4286" s="25" t="str">
        <f>IFERROR(__xludf.DUMMYFUNCTION("IF(B4286="""","""",RIGHT(REGEXREPLACE(B4286&amp;"""",""[^0-9]"",""""),9))"),"789834017")</f>
        <v>789834017</v>
      </c>
      <c r="B4286" s="52">
        <v>7.89834017E8</v>
      </c>
      <c r="C4286" s="28" t="s">
        <v>4258</v>
      </c>
      <c r="D4286" s="26" t="s">
        <v>64</v>
      </c>
      <c r="E4286" s="31">
        <v>46234.0</v>
      </c>
      <c r="F4286" s="26" t="s">
        <v>205</v>
      </c>
      <c r="I4286" s="26" t="s">
        <v>872</v>
      </c>
      <c r="J4286" s="25" t="str">
        <f t="shared" si="49"/>
        <v>No</v>
      </c>
      <c r="K4286" s="25" t="str">
        <f t="shared" si="50"/>
        <v/>
      </c>
      <c r="L4286" s="25" t="str">
        <f t="shared" si="51"/>
        <v/>
      </c>
      <c r="M4286" s="25"/>
      <c r="O4286" s="25"/>
    </row>
    <row r="4287" ht="15.75" customHeight="1">
      <c r="A4287" s="25" t="str">
        <f>IFERROR(__xludf.DUMMYFUNCTION("IF(B4287="""","""",RIGHT(REGEXREPLACE(B4287&amp;"""",""[^0-9]"",""""),9))"),"776461390")</f>
        <v>776461390</v>
      </c>
      <c r="B4287" s="52">
        <v>7.7646139E8</v>
      </c>
      <c r="C4287" s="28" t="s">
        <v>4259</v>
      </c>
      <c r="D4287" s="26" t="s">
        <v>82</v>
      </c>
      <c r="E4287" s="31">
        <v>46234.0</v>
      </c>
      <c r="F4287" s="26" t="s">
        <v>41</v>
      </c>
      <c r="G4287" s="26">
        <v>10.0</v>
      </c>
      <c r="I4287" s="26" t="s">
        <v>872</v>
      </c>
      <c r="J4287" s="25" t="str">
        <f t="shared" si="49"/>
        <v>No</v>
      </c>
      <c r="K4287" s="25" t="str">
        <f t="shared" si="50"/>
        <v/>
      </c>
      <c r="L4287" s="25" t="str">
        <f t="shared" si="51"/>
        <v/>
      </c>
      <c r="M4287" s="25"/>
      <c r="O4287" s="25"/>
    </row>
    <row r="4288" ht="15.75" customHeight="1">
      <c r="A4288" s="25" t="str">
        <f>IFERROR(__xludf.DUMMYFUNCTION("IF(B4288="""","""",RIGHT(REGEXREPLACE(B4288&amp;"""",""[^0-9]"",""""),9))"),"758501237")</f>
        <v>758501237</v>
      </c>
      <c r="B4288" s="52">
        <v>7.58501237E8</v>
      </c>
      <c r="C4288" s="28" t="s">
        <v>4260</v>
      </c>
      <c r="D4288" s="26" t="s">
        <v>82</v>
      </c>
      <c r="E4288" s="31">
        <v>46234.0</v>
      </c>
      <c r="F4288" s="25"/>
      <c r="G4288" s="25"/>
      <c r="H4288" s="25"/>
      <c r="I4288" s="26" t="s">
        <v>872</v>
      </c>
      <c r="J4288" s="25" t="str">
        <f t="shared" si="49"/>
        <v>No</v>
      </c>
      <c r="K4288" s="25" t="str">
        <f t="shared" si="50"/>
        <v/>
      </c>
      <c r="L4288" s="25" t="str">
        <f t="shared" si="51"/>
        <v/>
      </c>
      <c r="M4288" s="25"/>
      <c r="N4288" s="25"/>
      <c r="O4288" s="25"/>
      <c r="P4288" s="25"/>
    </row>
    <row r="4289" ht="15.75" customHeight="1">
      <c r="A4289" s="25" t="str">
        <f>IFERROR(__xludf.DUMMYFUNCTION("IF(B4289="""","""",RIGHT(REGEXREPLACE(B4289&amp;"""",""[^0-9]"",""""),9))"),"783789747")</f>
        <v>783789747</v>
      </c>
      <c r="B4289" s="52">
        <v>7.83789747E8</v>
      </c>
      <c r="C4289" s="28" t="s">
        <v>4261</v>
      </c>
      <c r="D4289" s="26" t="s">
        <v>49</v>
      </c>
      <c r="E4289" s="31">
        <v>46234.0</v>
      </c>
      <c r="F4289" s="26" t="s">
        <v>205</v>
      </c>
      <c r="G4289" s="26">
        <v>10.0</v>
      </c>
      <c r="I4289" s="26" t="s">
        <v>872</v>
      </c>
      <c r="J4289" s="25" t="str">
        <f t="shared" si="49"/>
        <v>No</v>
      </c>
      <c r="K4289" s="25" t="str">
        <f t="shared" si="50"/>
        <v/>
      </c>
      <c r="L4289" s="25" t="str">
        <f t="shared" si="51"/>
        <v/>
      </c>
      <c r="M4289" s="25"/>
      <c r="O4289" s="25"/>
    </row>
    <row r="4290" ht="15.75" customHeight="1">
      <c r="A4290" s="25" t="str">
        <f>IFERROR(__xludf.DUMMYFUNCTION("IF(B4290="""","""",RIGHT(REGEXREPLACE(B4290&amp;"""",""[^0-9]"",""""),9))"),"775273010")</f>
        <v>775273010</v>
      </c>
      <c r="B4290" s="52">
        <v>7.7527301E8</v>
      </c>
      <c r="C4290" s="28" t="s">
        <v>4262</v>
      </c>
      <c r="D4290" s="26" t="s">
        <v>49</v>
      </c>
      <c r="E4290" s="31">
        <v>46234.0</v>
      </c>
      <c r="F4290" s="26" t="s">
        <v>46</v>
      </c>
      <c r="G4290" s="26">
        <v>8.0</v>
      </c>
      <c r="I4290" s="26" t="s">
        <v>872</v>
      </c>
      <c r="J4290" s="25" t="str">
        <f t="shared" si="49"/>
        <v>No</v>
      </c>
      <c r="K4290" s="25" t="str">
        <f t="shared" si="50"/>
        <v/>
      </c>
      <c r="L4290" s="25" t="str">
        <f t="shared" si="51"/>
        <v/>
      </c>
      <c r="M4290" s="25"/>
      <c r="O4290" s="25"/>
    </row>
    <row r="4291" ht="15.75" customHeight="1">
      <c r="A4291" s="25" t="str">
        <f>IFERROR(__xludf.DUMMYFUNCTION("IF(B4291="""","""",RIGHT(REGEXREPLACE(B4291&amp;"""",""[^0-9]"",""""),9))"),"789572150")</f>
        <v>789572150</v>
      </c>
      <c r="B4291" s="52">
        <v>7.8957215E8</v>
      </c>
      <c r="C4291" s="28" t="s">
        <v>4222</v>
      </c>
      <c r="D4291" s="26" t="s">
        <v>82</v>
      </c>
      <c r="E4291" s="31">
        <v>46234.0</v>
      </c>
      <c r="F4291" s="25"/>
      <c r="G4291" s="25"/>
      <c r="H4291" s="25"/>
      <c r="I4291" s="26" t="s">
        <v>872</v>
      </c>
      <c r="J4291" s="25" t="str">
        <f t="shared" si="49"/>
        <v>Yes - see Previous F-Code</v>
      </c>
      <c r="K4291" s="25" t="str">
        <f t="shared" si="50"/>
        <v>DUPLICATE - CHECK</v>
      </c>
      <c r="L4291" s="25" t="str">
        <f t="shared" si="51"/>
        <v>F73854</v>
      </c>
      <c r="M4291" s="25"/>
      <c r="N4291" s="25"/>
      <c r="O4291" s="25"/>
      <c r="P4291" s="25"/>
    </row>
    <row r="4292" ht="15.75" customHeight="1">
      <c r="A4292" s="25" t="str">
        <f>IFERROR(__xludf.DUMMYFUNCTION("IF(B4292="""","""",RIGHT(REGEXREPLACE(B4292&amp;"""",""[^0-9]"",""""),9))"),"761886373")</f>
        <v>761886373</v>
      </c>
      <c r="B4292" s="52">
        <v>7.61886373E8</v>
      </c>
      <c r="C4292" s="28" t="s">
        <v>4263</v>
      </c>
      <c r="D4292" s="26" t="s">
        <v>82</v>
      </c>
      <c r="E4292" s="31">
        <v>46234.0</v>
      </c>
      <c r="F4292" s="25"/>
      <c r="G4292" s="25"/>
      <c r="H4292" s="25"/>
      <c r="I4292" s="26" t="s">
        <v>872</v>
      </c>
      <c r="J4292" s="25" t="str">
        <f t="shared" si="49"/>
        <v>No</v>
      </c>
      <c r="K4292" s="25" t="str">
        <f t="shared" si="50"/>
        <v/>
      </c>
      <c r="L4292" s="25" t="str">
        <f t="shared" si="51"/>
        <v/>
      </c>
      <c r="M4292" s="25"/>
      <c r="N4292" s="25"/>
      <c r="O4292" s="25"/>
      <c r="P4292" s="25"/>
    </row>
    <row r="4293" ht="15.75" customHeight="1">
      <c r="A4293" s="25" t="str">
        <f>IFERROR(__xludf.DUMMYFUNCTION("IF(B4293="""","""",RIGHT(REGEXREPLACE(B4293&amp;"""",""[^0-9]"",""""),9))"),"703872742")</f>
        <v>703872742</v>
      </c>
      <c r="B4293" s="52">
        <v>7.03872742E8</v>
      </c>
      <c r="C4293" s="28" t="s">
        <v>4264</v>
      </c>
      <c r="D4293" s="26" t="s">
        <v>56</v>
      </c>
      <c r="E4293" s="31">
        <v>46234.0</v>
      </c>
      <c r="F4293" s="26" t="s">
        <v>631</v>
      </c>
      <c r="G4293" s="26">
        <v>10.0</v>
      </c>
      <c r="I4293" s="26" t="s">
        <v>872</v>
      </c>
      <c r="J4293" s="25" t="str">
        <f t="shared" si="49"/>
        <v>No</v>
      </c>
      <c r="K4293" s="25" t="str">
        <f t="shared" si="50"/>
        <v/>
      </c>
      <c r="L4293" s="25" t="str">
        <f t="shared" si="51"/>
        <v/>
      </c>
      <c r="M4293" s="25"/>
      <c r="O4293" s="25"/>
    </row>
    <row r="4294" ht="15.75" customHeight="1">
      <c r="A4294" s="25" t="str">
        <f>IFERROR(__xludf.DUMMYFUNCTION("IF(B4294="""","""",RIGHT(REGEXREPLACE(B4294&amp;"""",""[^0-9]"",""""),9))"),"711877395")</f>
        <v>711877395</v>
      </c>
      <c r="B4294" s="52">
        <v>7.11877395E8</v>
      </c>
      <c r="C4294" s="28" t="s">
        <v>4265</v>
      </c>
      <c r="D4294" s="26" t="s">
        <v>82</v>
      </c>
      <c r="E4294" s="31">
        <v>46234.0</v>
      </c>
      <c r="F4294" s="26" t="s">
        <v>46</v>
      </c>
      <c r="G4294" s="26">
        <v>10.0</v>
      </c>
      <c r="I4294" s="26" t="s">
        <v>872</v>
      </c>
      <c r="J4294" s="25" t="str">
        <f t="shared" si="49"/>
        <v>No</v>
      </c>
      <c r="K4294" s="25" t="str">
        <f t="shared" si="50"/>
        <v/>
      </c>
      <c r="L4294" s="25" t="str">
        <f t="shared" si="51"/>
        <v/>
      </c>
      <c r="M4294" s="25"/>
      <c r="O4294" s="25"/>
    </row>
    <row r="4295" ht="15.75" customHeight="1">
      <c r="A4295" s="25" t="str">
        <f>IFERROR(__xludf.DUMMYFUNCTION("IF(B4295="""","""",RIGHT(REGEXREPLACE(B4295&amp;"""",""[^0-9]"",""""),9))"),"770275787")</f>
        <v>770275787</v>
      </c>
      <c r="B4295" s="52">
        <v>7.70275787E8</v>
      </c>
      <c r="C4295" s="28" t="s">
        <v>4266</v>
      </c>
      <c r="D4295" s="26" t="s">
        <v>56</v>
      </c>
      <c r="E4295" s="31">
        <v>46234.0</v>
      </c>
      <c r="F4295" s="26" t="s">
        <v>631</v>
      </c>
      <c r="G4295" s="26">
        <v>10.0</v>
      </c>
      <c r="I4295" s="26" t="s">
        <v>872</v>
      </c>
      <c r="J4295" s="25" t="str">
        <f t="shared" si="49"/>
        <v>No</v>
      </c>
      <c r="K4295" s="25" t="str">
        <f t="shared" si="50"/>
        <v/>
      </c>
      <c r="L4295" s="25" t="str">
        <f t="shared" si="51"/>
        <v/>
      </c>
      <c r="M4295" s="25"/>
      <c r="N4295" s="26" t="s">
        <v>4267</v>
      </c>
      <c r="O4295" s="25"/>
    </row>
    <row r="4296" ht="15.75" customHeight="1">
      <c r="A4296" s="25" t="str">
        <f>IFERROR(__xludf.DUMMYFUNCTION("IF(B4296="""","""",RIGHT(REGEXREPLACE(B4296&amp;"""",""[^0-9]"",""""),9))"),"772662812")</f>
        <v>772662812</v>
      </c>
      <c r="B4296" s="52">
        <v>7.72662812E8</v>
      </c>
      <c r="C4296" s="28" t="s">
        <v>194</v>
      </c>
      <c r="D4296" s="26" t="s">
        <v>82</v>
      </c>
      <c r="E4296" s="31">
        <v>46234.0</v>
      </c>
      <c r="F4296" s="26" t="s">
        <v>41</v>
      </c>
      <c r="I4296" s="26" t="s">
        <v>872</v>
      </c>
      <c r="J4296" s="25" t="str">
        <f t="shared" si="49"/>
        <v>Yes - see Previous F-Code</v>
      </c>
      <c r="K4296" s="25" t="str">
        <f t="shared" si="50"/>
        <v/>
      </c>
      <c r="L4296" s="25" t="str">
        <f t="shared" si="51"/>
        <v>F70087</v>
      </c>
      <c r="M4296" s="25"/>
      <c r="O4296" s="25"/>
    </row>
    <row r="4297" ht="15.75" customHeight="1">
      <c r="A4297" s="25" t="str">
        <f>IFERROR(__xludf.DUMMYFUNCTION("IF(B4297="""","""",RIGHT(REGEXREPLACE(B4297&amp;"""",""[^0-9]"",""""),9))"),"716376694")</f>
        <v>716376694</v>
      </c>
      <c r="B4297" s="52">
        <v>7.16376694E8</v>
      </c>
      <c r="C4297" s="28" t="s">
        <v>4268</v>
      </c>
      <c r="D4297" s="26" t="s">
        <v>82</v>
      </c>
      <c r="E4297" s="31">
        <v>46234.0</v>
      </c>
      <c r="F4297" s="26" t="s">
        <v>46</v>
      </c>
      <c r="G4297" s="26">
        <v>9.0</v>
      </c>
      <c r="I4297" s="26" t="s">
        <v>872</v>
      </c>
      <c r="J4297" s="25" t="str">
        <f t="shared" si="49"/>
        <v>No</v>
      </c>
      <c r="K4297" s="25" t="str">
        <f t="shared" si="50"/>
        <v/>
      </c>
      <c r="L4297" s="25" t="str">
        <f t="shared" si="51"/>
        <v/>
      </c>
      <c r="M4297" s="25"/>
      <c r="O4297" s="26" t="s">
        <v>51</v>
      </c>
      <c r="P4297" s="26" t="s">
        <v>1</v>
      </c>
    </row>
    <row r="4298" ht="15.75" customHeight="1">
      <c r="A4298" s="25" t="str">
        <f>IFERROR(__xludf.DUMMYFUNCTION("IF(B4298="""","""",RIGHT(REGEXREPLACE(B4298&amp;"""",""[^0-9]"",""""),9))"),"705774200")</f>
        <v>705774200</v>
      </c>
      <c r="B4298" s="52">
        <v>7.057742E8</v>
      </c>
      <c r="C4298" s="28" t="s">
        <v>4268</v>
      </c>
      <c r="D4298" s="26" t="s">
        <v>45</v>
      </c>
      <c r="E4298" s="31">
        <v>46234.0</v>
      </c>
      <c r="F4298" s="26" t="s">
        <v>46</v>
      </c>
      <c r="G4298" s="26">
        <v>10.0</v>
      </c>
      <c r="I4298" s="26" t="s">
        <v>872</v>
      </c>
      <c r="J4298" s="25" t="str">
        <f t="shared" si="49"/>
        <v>No</v>
      </c>
      <c r="K4298" s="25" t="str">
        <f t="shared" si="50"/>
        <v/>
      </c>
      <c r="L4298" s="25" t="str">
        <f t="shared" si="51"/>
        <v/>
      </c>
      <c r="M4298" s="25"/>
      <c r="O4298" s="25"/>
    </row>
    <row r="4299" ht="15.75" customHeight="1">
      <c r="A4299" s="25" t="str">
        <f>IFERROR(__xludf.DUMMYFUNCTION("IF(B4299="""","""",RIGHT(REGEXREPLACE(B4299&amp;"""",""[^0-9]"",""""),9))"),"720620108")</f>
        <v>720620108</v>
      </c>
      <c r="B4299" s="52">
        <v>7.20620108E8</v>
      </c>
      <c r="C4299" s="28" t="s">
        <v>4269</v>
      </c>
      <c r="D4299" s="26" t="s">
        <v>56</v>
      </c>
      <c r="E4299" s="31">
        <v>46234.0</v>
      </c>
      <c r="F4299" s="26" t="s">
        <v>46</v>
      </c>
      <c r="G4299" s="26" t="s">
        <v>4270</v>
      </c>
      <c r="I4299" s="26" t="s">
        <v>872</v>
      </c>
      <c r="J4299" s="25" t="str">
        <f t="shared" si="49"/>
        <v>No</v>
      </c>
      <c r="K4299" s="25" t="str">
        <f t="shared" si="50"/>
        <v/>
      </c>
      <c r="L4299" s="25" t="str">
        <f t="shared" si="51"/>
        <v/>
      </c>
      <c r="M4299" s="25"/>
      <c r="O4299" s="25"/>
    </row>
    <row r="4300" ht="15.75" customHeight="1">
      <c r="A4300" s="25" t="str">
        <f>IFERROR(__xludf.DUMMYFUNCTION("IF(B4300="""","""",RIGHT(REGEXREPLACE(B4300&amp;"""",""[^0-9]"",""""),9))"),"769935121")</f>
        <v>769935121</v>
      </c>
      <c r="B4300" s="52">
        <v>7.69935121E8</v>
      </c>
      <c r="C4300" s="28" t="s">
        <v>4271</v>
      </c>
      <c r="D4300" s="26" t="s">
        <v>82</v>
      </c>
      <c r="E4300" s="31">
        <v>46234.0</v>
      </c>
      <c r="F4300" s="26" t="s">
        <v>41</v>
      </c>
      <c r="I4300" s="26" t="s">
        <v>872</v>
      </c>
      <c r="J4300" s="25" t="str">
        <f t="shared" si="49"/>
        <v>No</v>
      </c>
      <c r="K4300" s="25" t="str">
        <f t="shared" si="50"/>
        <v/>
      </c>
      <c r="L4300" s="25" t="str">
        <f t="shared" si="51"/>
        <v/>
      </c>
      <c r="M4300" s="25"/>
      <c r="O4300" s="25"/>
    </row>
    <row r="4301" ht="15.75" customHeight="1">
      <c r="A4301" s="25" t="str">
        <f>IFERROR(__xludf.DUMMYFUNCTION("IF(B4301="""","""",RIGHT(REGEXREPLACE(B4301&amp;"""",""[^0-9]"",""""),9))"),"741107755")</f>
        <v>741107755</v>
      </c>
      <c r="B4301" s="52">
        <v>7.41107755E8</v>
      </c>
      <c r="C4301" s="28" t="s">
        <v>4272</v>
      </c>
      <c r="D4301" s="26" t="s">
        <v>82</v>
      </c>
      <c r="E4301" s="31">
        <v>46234.0</v>
      </c>
      <c r="F4301" s="26" t="s">
        <v>46</v>
      </c>
      <c r="G4301" s="26">
        <v>11.0</v>
      </c>
      <c r="I4301" s="26" t="s">
        <v>872</v>
      </c>
      <c r="J4301" s="25" t="str">
        <f t="shared" si="49"/>
        <v>No</v>
      </c>
      <c r="K4301" s="25" t="str">
        <f t="shared" si="50"/>
        <v/>
      </c>
      <c r="L4301" s="25" t="str">
        <f t="shared" si="51"/>
        <v/>
      </c>
      <c r="M4301" s="25"/>
      <c r="O4301" s="25"/>
    </row>
    <row r="4302" ht="15.75" customHeight="1">
      <c r="A4302" s="25" t="str">
        <f>IFERROR(__xludf.DUMMYFUNCTION("IF(B4302="""","""",RIGHT(REGEXREPLACE(B4302&amp;"""",""[^0-9]"",""""),9))"),"779579343")</f>
        <v>779579343</v>
      </c>
      <c r="B4302" s="52">
        <v>7.79579343E8</v>
      </c>
      <c r="C4302" s="28" t="s">
        <v>4273</v>
      </c>
      <c r="D4302" s="26" t="s">
        <v>56</v>
      </c>
      <c r="E4302" s="31">
        <v>46234.0</v>
      </c>
      <c r="F4302" s="26" t="s">
        <v>46</v>
      </c>
      <c r="G4302" s="26">
        <v>10.0</v>
      </c>
      <c r="I4302" s="26" t="s">
        <v>872</v>
      </c>
      <c r="J4302" s="25" t="str">
        <f t="shared" si="49"/>
        <v>No</v>
      </c>
      <c r="K4302" s="25" t="str">
        <f t="shared" si="50"/>
        <v/>
      </c>
      <c r="L4302" s="25" t="str">
        <f t="shared" si="51"/>
        <v/>
      </c>
      <c r="M4302" s="25"/>
      <c r="O4302" s="25"/>
    </row>
    <row r="4303" ht="15.75" customHeight="1">
      <c r="A4303" s="25" t="str">
        <f>IFERROR(__xludf.DUMMYFUNCTION("IF(B4303="""","""",RIGHT(REGEXREPLACE(B4303&amp;"""",""[^0-9]"",""""),9))"),"789834017")</f>
        <v>789834017</v>
      </c>
      <c r="B4303" s="52">
        <v>7.89834017E8</v>
      </c>
      <c r="C4303" s="28" t="s">
        <v>4258</v>
      </c>
      <c r="D4303" s="26" t="s">
        <v>64</v>
      </c>
      <c r="E4303" s="31">
        <v>46234.0</v>
      </c>
      <c r="F4303" s="26" t="s">
        <v>205</v>
      </c>
      <c r="G4303" s="26">
        <v>10.0</v>
      </c>
      <c r="I4303" s="26" t="s">
        <v>872</v>
      </c>
      <c r="J4303" s="25" t="str">
        <f t="shared" si="49"/>
        <v>Yes - see Previous F-Code</v>
      </c>
      <c r="K4303" s="25" t="str">
        <f t="shared" si="50"/>
        <v>DUPLICATE - CHECK</v>
      </c>
      <c r="L4303" s="25" t="str">
        <f t="shared" si="51"/>
        <v>F73889</v>
      </c>
      <c r="M4303" s="25"/>
      <c r="O4303" s="25"/>
    </row>
    <row r="4304" ht="15.75" customHeight="1">
      <c r="A4304" s="25" t="str">
        <f>IFERROR(__xludf.DUMMYFUNCTION("IF(B4304="""","""",RIGHT(REGEXREPLACE(B4304&amp;"""",""[^0-9]"",""""),9))"),"767101606")</f>
        <v>767101606</v>
      </c>
      <c r="B4304" s="52">
        <v>7.67101606E8</v>
      </c>
      <c r="C4304" s="28" t="s">
        <v>4274</v>
      </c>
      <c r="D4304" s="26" t="s">
        <v>82</v>
      </c>
      <c r="E4304" s="31">
        <v>46234.0</v>
      </c>
      <c r="F4304" s="25"/>
      <c r="G4304" s="25"/>
      <c r="H4304" s="25"/>
      <c r="I4304" s="26" t="s">
        <v>872</v>
      </c>
      <c r="J4304" s="25" t="str">
        <f t="shared" si="49"/>
        <v>No</v>
      </c>
      <c r="K4304" s="25" t="str">
        <f t="shared" si="50"/>
        <v/>
      </c>
      <c r="L4304" s="25" t="str">
        <f t="shared" si="51"/>
        <v/>
      </c>
      <c r="M4304" s="25"/>
      <c r="N4304" s="25"/>
      <c r="O4304" s="25"/>
      <c r="P4304" s="25"/>
    </row>
    <row r="4305" ht="15.75" customHeight="1">
      <c r="A4305" s="25" t="str">
        <f>IFERROR(__xludf.DUMMYFUNCTION("IF(B4305="""","""",RIGHT(REGEXREPLACE(B4305&amp;"""",""[^0-9]"",""""),9))"),"712059630")</f>
        <v>712059630</v>
      </c>
      <c r="B4305" s="52">
        <v>7.1205963E8</v>
      </c>
      <c r="C4305" s="28" t="s">
        <v>4167</v>
      </c>
      <c r="D4305" s="26" t="s">
        <v>56</v>
      </c>
      <c r="E4305" s="31">
        <v>46234.0</v>
      </c>
      <c r="F4305" s="26" t="s">
        <v>659</v>
      </c>
      <c r="G4305" s="26">
        <v>10.0</v>
      </c>
      <c r="I4305" s="26" t="s">
        <v>872</v>
      </c>
      <c r="J4305" s="25" t="str">
        <f t="shared" si="49"/>
        <v>No</v>
      </c>
      <c r="K4305" s="25" t="str">
        <f t="shared" si="50"/>
        <v/>
      </c>
      <c r="L4305" s="25" t="str">
        <f t="shared" si="51"/>
        <v/>
      </c>
      <c r="M4305" s="25"/>
      <c r="O4305" s="25"/>
    </row>
    <row r="4306" ht="15.75" customHeight="1">
      <c r="A4306" s="25" t="str">
        <f>IFERROR(__xludf.DUMMYFUNCTION("IF(B4306="""","""",RIGHT(REGEXREPLACE(B4306&amp;"""",""[^0-9]"",""""),9))"),"779911251")</f>
        <v>779911251</v>
      </c>
      <c r="B4306" s="52">
        <v>7.79911251E8</v>
      </c>
      <c r="C4306" s="28" t="s">
        <v>1799</v>
      </c>
      <c r="D4306" s="26" t="s">
        <v>64</v>
      </c>
      <c r="E4306" s="31">
        <v>46234.0</v>
      </c>
      <c r="F4306" s="26" t="s">
        <v>41</v>
      </c>
      <c r="I4306" s="26" t="s">
        <v>872</v>
      </c>
      <c r="J4306" s="25" t="str">
        <f t="shared" si="49"/>
        <v>Yes - see Previous F-Code</v>
      </c>
      <c r="K4306" s="25" t="str">
        <f t="shared" si="50"/>
        <v>DUPLICATE - CHECK</v>
      </c>
      <c r="L4306" s="25" t="str">
        <f t="shared" si="51"/>
        <v>F73802</v>
      </c>
      <c r="M4306" s="25"/>
      <c r="O4306" s="25"/>
    </row>
    <row r="4307" ht="15.75" customHeight="1">
      <c r="A4307" s="25" t="str">
        <f>IFERROR(__xludf.DUMMYFUNCTION("IF(B4307="""","""",RIGHT(REGEXREPLACE(B4307&amp;"""",""[^0-9]"",""""),9))"),"770759732")</f>
        <v>770759732</v>
      </c>
      <c r="B4307" s="52">
        <v>7.70759732E8</v>
      </c>
      <c r="C4307" s="28" t="s">
        <v>4275</v>
      </c>
      <c r="D4307" s="26" t="s">
        <v>64</v>
      </c>
      <c r="E4307" s="31">
        <v>46234.0</v>
      </c>
      <c r="F4307" s="26" t="s">
        <v>659</v>
      </c>
      <c r="G4307" s="26">
        <v>10.0</v>
      </c>
      <c r="I4307" s="26" t="s">
        <v>872</v>
      </c>
      <c r="J4307" s="25" t="str">
        <f t="shared" si="49"/>
        <v>No</v>
      </c>
      <c r="K4307" s="25" t="str">
        <f t="shared" si="50"/>
        <v/>
      </c>
      <c r="L4307" s="25" t="str">
        <f t="shared" si="51"/>
        <v/>
      </c>
      <c r="M4307" s="25"/>
      <c r="O4307" s="25"/>
    </row>
    <row r="4308" ht="15.75" customHeight="1">
      <c r="A4308" s="25" t="str">
        <f>IFERROR(__xludf.DUMMYFUNCTION("IF(B4308="""","""",RIGHT(REGEXREPLACE(B4308&amp;"""",""[^0-9]"",""""),9))"),"771538144")</f>
        <v>771538144</v>
      </c>
      <c r="B4308" s="52">
        <v>7.71538144E8</v>
      </c>
      <c r="C4308" s="28" t="s">
        <v>4276</v>
      </c>
      <c r="D4308" s="26" t="s">
        <v>56</v>
      </c>
      <c r="E4308" s="31">
        <v>46234.0</v>
      </c>
      <c r="F4308" s="26" t="s">
        <v>46</v>
      </c>
      <c r="G4308" s="26">
        <v>10.0</v>
      </c>
      <c r="I4308" s="26" t="s">
        <v>872</v>
      </c>
      <c r="J4308" s="25" t="str">
        <f t="shared" si="49"/>
        <v>No</v>
      </c>
      <c r="K4308" s="25" t="str">
        <f t="shared" si="50"/>
        <v/>
      </c>
      <c r="L4308" s="25" t="str">
        <f t="shared" si="51"/>
        <v/>
      </c>
      <c r="M4308" s="25"/>
      <c r="O4308" s="25"/>
    </row>
    <row r="4309" ht="15.75" customHeight="1">
      <c r="A4309" s="25" t="str">
        <f>IFERROR(__xludf.DUMMYFUNCTION("IF(B4309="""","""",RIGHT(REGEXREPLACE(B4309&amp;"""",""[^0-9]"",""""),9))"),"716540251")</f>
        <v>716540251</v>
      </c>
      <c r="B4309" s="52">
        <v>7.16540251E8</v>
      </c>
      <c r="C4309" s="28" t="s">
        <v>4277</v>
      </c>
      <c r="D4309" s="26" t="s">
        <v>82</v>
      </c>
      <c r="E4309" s="31">
        <v>46234.0</v>
      </c>
      <c r="F4309" s="26" t="s">
        <v>205</v>
      </c>
      <c r="I4309" s="26" t="s">
        <v>872</v>
      </c>
      <c r="J4309" s="25" t="str">
        <f t="shared" si="49"/>
        <v>No</v>
      </c>
      <c r="K4309" s="25" t="str">
        <f t="shared" si="50"/>
        <v/>
      </c>
      <c r="L4309" s="25" t="str">
        <f t="shared" si="51"/>
        <v/>
      </c>
      <c r="M4309" s="25"/>
      <c r="O4309" s="25"/>
    </row>
    <row r="4310" ht="15.75" customHeight="1">
      <c r="A4310" s="25" t="str">
        <f>IFERROR(__xludf.DUMMYFUNCTION("IF(B4310="""","""",RIGHT(REGEXREPLACE(B4310&amp;"""",""[^0-9]"",""""),9))"),"715679185")</f>
        <v>715679185</v>
      </c>
      <c r="B4310" s="52">
        <v>7.15679185E8</v>
      </c>
      <c r="C4310" s="28" t="s">
        <v>4278</v>
      </c>
      <c r="D4310" s="26" t="s">
        <v>56</v>
      </c>
      <c r="E4310" s="31">
        <v>46234.0</v>
      </c>
      <c r="F4310" s="26" t="s">
        <v>41</v>
      </c>
      <c r="I4310" s="26" t="s">
        <v>872</v>
      </c>
      <c r="J4310" s="25" t="str">
        <f t="shared" si="49"/>
        <v>No</v>
      </c>
      <c r="K4310" s="25" t="str">
        <f t="shared" si="50"/>
        <v/>
      </c>
      <c r="L4310" s="25" t="str">
        <f t="shared" si="51"/>
        <v/>
      </c>
      <c r="M4310" s="25"/>
      <c r="O4310" s="25"/>
    </row>
    <row r="4311" ht="15.75" customHeight="1">
      <c r="A4311" s="25" t="str">
        <f>IFERROR(__xludf.DUMMYFUNCTION("IF(B4311="""","""",RIGHT(REGEXREPLACE(B4311&amp;"""",""[^0-9]"",""""),9))"),"750903541")</f>
        <v>750903541</v>
      </c>
      <c r="B4311" s="52">
        <v>7.50903541E8</v>
      </c>
      <c r="C4311" s="28" t="s">
        <v>790</v>
      </c>
      <c r="D4311" s="26" t="s">
        <v>82</v>
      </c>
      <c r="E4311" s="31">
        <v>46234.0</v>
      </c>
      <c r="F4311" s="26" t="s">
        <v>41</v>
      </c>
      <c r="G4311" s="26">
        <v>11.0</v>
      </c>
      <c r="I4311" s="26" t="s">
        <v>872</v>
      </c>
      <c r="J4311" s="25" t="str">
        <f t="shared" si="49"/>
        <v>Yes - see Previous F-Code</v>
      </c>
      <c r="K4311" s="25" t="str">
        <f t="shared" si="50"/>
        <v/>
      </c>
      <c r="L4311" s="25" t="str">
        <f t="shared" si="51"/>
        <v>F70568</v>
      </c>
      <c r="M4311" s="25"/>
      <c r="O4311" s="25"/>
    </row>
    <row r="4312" ht="15.75" customHeight="1">
      <c r="A4312" s="25" t="str">
        <f>IFERROR(__xludf.DUMMYFUNCTION("IF(B4312="""","""",RIGHT(REGEXREPLACE(B4312&amp;"""",""[^0-9]"",""""),9))"),"761331618")</f>
        <v>761331618</v>
      </c>
      <c r="B4312" s="52">
        <v>7.61331618E8</v>
      </c>
      <c r="C4312" s="28" t="s">
        <v>4279</v>
      </c>
      <c r="D4312" s="26" t="s">
        <v>45</v>
      </c>
      <c r="E4312" s="31">
        <v>46234.0</v>
      </c>
      <c r="F4312" s="26" t="s">
        <v>41</v>
      </c>
      <c r="I4312" s="26" t="s">
        <v>872</v>
      </c>
      <c r="J4312" s="25" t="str">
        <f t="shared" si="49"/>
        <v>No</v>
      </c>
      <c r="K4312" s="25" t="str">
        <f t="shared" si="50"/>
        <v/>
      </c>
      <c r="L4312" s="25" t="str">
        <f t="shared" si="51"/>
        <v/>
      </c>
      <c r="M4312" s="25"/>
      <c r="O4312" s="25"/>
    </row>
    <row r="4313" ht="15.75" customHeight="1">
      <c r="A4313" s="25" t="str">
        <f>IFERROR(__xludf.DUMMYFUNCTION("IF(B4313="""","""",RIGHT(REGEXREPLACE(B4313&amp;"""",""[^0-9]"",""""),9))"),"771594873")</f>
        <v>771594873</v>
      </c>
      <c r="B4313" s="52">
        <v>7.71594873E8</v>
      </c>
      <c r="C4313" s="28" t="s">
        <v>4280</v>
      </c>
      <c r="D4313" s="26" t="s">
        <v>56</v>
      </c>
      <c r="E4313" s="31">
        <v>46234.0</v>
      </c>
      <c r="F4313" s="26" t="s">
        <v>631</v>
      </c>
      <c r="G4313" s="26">
        <v>7.0</v>
      </c>
      <c r="I4313" s="26" t="s">
        <v>872</v>
      </c>
      <c r="J4313" s="25" t="str">
        <f t="shared" si="49"/>
        <v>No</v>
      </c>
      <c r="K4313" s="25" t="str">
        <f t="shared" si="50"/>
        <v/>
      </c>
      <c r="L4313" s="25" t="str">
        <f t="shared" si="51"/>
        <v/>
      </c>
      <c r="M4313" s="25"/>
      <c r="O4313" s="26" t="s">
        <v>51</v>
      </c>
    </row>
    <row r="4314" ht="15.75" customHeight="1">
      <c r="A4314" s="25" t="str">
        <f>IFERROR(__xludf.DUMMYFUNCTION("IF(B4314="""","""",RIGHT(REGEXREPLACE(B4314&amp;"""",""[^0-9]"",""""),9))"),"764106557")</f>
        <v>764106557</v>
      </c>
      <c r="B4314" s="52">
        <v>7.64106557E8</v>
      </c>
      <c r="C4314" s="28" t="s">
        <v>4281</v>
      </c>
      <c r="D4314" s="26" t="s">
        <v>82</v>
      </c>
      <c r="E4314" s="31">
        <v>46234.0</v>
      </c>
      <c r="F4314" s="26" t="s">
        <v>41</v>
      </c>
      <c r="G4314" s="26">
        <v>10.0</v>
      </c>
      <c r="I4314" s="26" t="s">
        <v>872</v>
      </c>
      <c r="J4314" s="25" t="str">
        <f t="shared" si="49"/>
        <v>No</v>
      </c>
      <c r="K4314" s="25" t="str">
        <f t="shared" si="50"/>
        <v/>
      </c>
      <c r="L4314" s="25" t="str">
        <f t="shared" si="51"/>
        <v/>
      </c>
      <c r="M4314" s="25"/>
      <c r="O4314" s="25"/>
    </row>
    <row r="4315" ht="15.75" customHeight="1">
      <c r="A4315" s="25" t="str">
        <f>IFERROR(__xludf.DUMMYFUNCTION("IF(B4315="""","""",RIGHT(REGEXREPLACE(B4315&amp;"""",""[^0-9]"",""""),9))"),"703946753")</f>
        <v>703946753</v>
      </c>
      <c r="B4315" s="52">
        <v>7.03946753E8</v>
      </c>
      <c r="C4315" s="28" t="s">
        <v>4282</v>
      </c>
      <c r="D4315" s="26" t="s">
        <v>64</v>
      </c>
      <c r="E4315" s="31">
        <v>46234.0</v>
      </c>
      <c r="F4315" s="26" t="s">
        <v>46</v>
      </c>
      <c r="G4315" s="26">
        <v>11.0</v>
      </c>
      <c r="I4315" s="26" t="s">
        <v>872</v>
      </c>
      <c r="J4315" s="25" t="str">
        <f t="shared" si="49"/>
        <v>No</v>
      </c>
      <c r="K4315" s="25" t="str">
        <f t="shared" si="50"/>
        <v/>
      </c>
      <c r="L4315" s="25" t="str">
        <f t="shared" si="51"/>
        <v/>
      </c>
      <c r="M4315" s="25"/>
      <c r="O4315" s="25"/>
    </row>
    <row r="4316" ht="15.75" customHeight="1">
      <c r="A4316" s="25" t="str">
        <f>IFERROR(__xludf.DUMMYFUNCTION("IF(B4316="""","""",RIGHT(REGEXREPLACE(B4316&amp;"""",""[^0-9]"",""""),9))"),"717545345")</f>
        <v>717545345</v>
      </c>
      <c r="B4316" s="52">
        <v>7.17545345E8</v>
      </c>
      <c r="C4316" s="28" t="s">
        <v>4283</v>
      </c>
      <c r="D4316" s="26" t="s">
        <v>45</v>
      </c>
      <c r="E4316" s="31">
        <v>46234.0</v>
      </c>
      <c r="F4316" s="26" t="s">
        <v>46</v>
      </c>
      <c r="G4316" s="26">
        <v>10.0</v>
      </c>
      <c r="I4316" s="26" t="s">
        <v>872</v>
      </c>
      <c r="J4316" s="25" t="str">
        <f t="shared" si="49"/>
        <v>No</v>
      </c>
      <c r="K4316" s="25" t="str">
        <f t="shared" si="50"/>
        <v/>
      </c>
      <c r="L4316" s="25" t="str">
        <f t="shared" si="51"/>
        <v/>
      </c>
      <c r="M4316" s="25"/>
      <c r="O4316" s="25"/>
    </row>
    <row r="4317" ht="15.75" customHeight="1">
      <c r="A4317" s="25" t="str">
        <f>IFERROR(__xludf.DUMMYFUNCTION("IF(B4317="""","""",RIGHT(REGEXREPLACE(B4317&amp;"""",""[^0-9]"",""""),9))"),"766246829")</f>
        <v>766246829</v>
      </c>
      <c r="B4317" s="52">
        <v>7.66246829E8</v>
      </c>
      <c r="C4317" s="28" t="s">
        <v>4277</v>
      </c>
      <c r="D4317" s="26" t="s">
        <v>56</v>
      </c>
      <c r="E4317" s="31">
        <v>46234.0</v>
      </c>
      <c r="F4317" s="26" t="s">
        <v>84</v>
      </c>
      <c r="H4317" s="26" t="s">
        <v>140</v>
      </c>
      <c r="I4317" s="26" t="s">
        <v>872</v>
      </c>
      <c r="J4317" s="25" t="str">
        <f t="shared" si="49"/>
        <v>No</v>
      </c>
      <c r="K4317" s="25" t="str">
        <f t="shared" si="50"/>
        <v/>
      </c>
      <c r="L4317" s="25" t="str">
        <f t="shared" si="51"/>
        <v/>
      </c>
      <c r="M4317" s="25"/>
      <c r="O4317" s="25"/>
    </row>
    <row r="4318" ht="15.75" customHeight="1">
      <c r="A4318" s="25" t="str">
        <f>IFERROR(__xludf.DUMMYFUNCTION("IF(B4318="""","""",RIGHT(REGEXREPLACE(B4318&amp;"""",""[^0-9]"",""""),9))"),"715884525")</f>
        <v>715884525</v>
      </c>
      <c r="B4318" s="52">
        <v>7.15884525E8</v>
      </c>
      <c r="C4318" s="28" t="s">
        <v>194</v>
      </c>
      <c r="D4318" s="26" t="s">
        <v>56</v>
      </c>
      <c r="E4318" s="31">
        <v>46234.0</v>
      </c>
      <c r="F4318" s="26" t="s">
        <v>205</v>
      </c>
      <c r="G4318" s="26">
        <v>10.0</v>
      </c>
      <c r="I4318" s="26" t="s">
        <v>872</v>
      </c>
      <c r="J4318" s="25" t="str">
        <f t="shared" si="49"/>
        <v>No</v>
      </c>
      <c r="K4318" s="25" t="str">
        <f t="shared" si="50"/>
        <v/>
      </c>
      <c r="L4318" s="25" t="str">
        <f t="shared" si="51"/>
        <v/>
      </c>
      <c r="M4318" s="25"/>
      <c r="O4318" s="25"/>
    </row>
    <row r="4319" ht="15.75" customHeight="1">
      <c r="A4319" s="25" t="str">
        <f>IFERROR(__xludf.DUMMYFUNCTION("IF(B4319="""","""",RIGHT(REGEXREPLACE(B4319&amp;"""",""[^0-9]"",""""),9))"),"740111782")</f>
        <v>740111782</v>
      </c>
      <c r="B4319" s="52">
        <v>7.40111782E8</v>
      </c>
      <c r="C4319" s="28" t="s">
        <v>4284</v>
      </c>
      <c r="D4319" s="26" t="s">
        <v>64</v>
      </c>
      <c r="E4319" s="31">
        <v>46234.0</v>
      </c>
      <c r="F4319" s="26" t="s">
        <v>46</v>
      </c>
      <c r="G4319" s="26">
        <v>11.0</v>
      </c>
      <c r="I4319" s="26" t="s">
        <v>872</v>
      </c>
      <c r="J4319" s="25" t="str">
        <f t="shared" si="49"/>
        <v>No</v>
      </c>
      <c r="K4319" s="25" t="str">
        <f t="shared" si="50"/>
        <v/>
      </c>
      <c r="L4319" s="25" t="str">
        <f t="shared" si="51"/>
        <v/>
      </c>
      <c r="M4319" s="25"/>
      <c r="O4319" s="25"/>
    </row>
    <row r="4320" ht="15.75" customHeight="1">
      <c r="A4320" s="25" t="str">
        <f>IFERROR(__xludf.DUMMYFUNCTION("IF(B4320="""","""",RIGHT(REGEXREPLACE(B4320&amp;"""",""[^0-9]"",""""),9))"),"719314347")</f>
        <v>719314347</v>
      </c>
      <c r="B4320" s="52">
        <v>7.19314347E8</v>
      </c>
      <c r="C4320" s="28" t="s">
        <v>4285</v>
      </c>
      <c r="D4320" s="26" t="s">
        <v>64</v>
      </c>
      <c r="E4320" s="31">
        <v>46234.0</v>
      </c>
      <c r="F4320" s="26" t="s">
        <v>205</v>
      </c>
      <c r="G4320" s="26">
        <v>11.0</v>
      </c>
      <c r="I4320" s="26" t="s">
        <v>872</v>
      </c>
      <c r="J4320" s="25" t="str">
        <f t="shared" si="49"/>
        <v>No</v>
      </c>
      <c r="K4320" s="25" t="str">
        <f t="shared" si="50"/>
        <v/>
      </c>
      <c r="L4320" s="25" t="str">
        <f t="shared" si="51"/>
        <v/>
      </c>
      <c r="M4320" s="25"/>
      <c r="O4320" s="25"/>
    </row>
    <row r="4321" ht="15.75" customHeight="1">
      <c r="A4321" s="25" t="str">
        <f>IFERROR(__xludf.DUMMYFUNCTION("IF(B4321="""","""",RIGHT(REGEXREPLACE(B4321&amp;"""",""[^0-9]"",""""),9))"),"742117352")</f>
        <v>742117352</v>
      </c>
      <c r="B4321" s="52">
        <v>7.42117352E8</v>
      </c>
      <c r="C4321" s="28" t="s">
        <v>4286</v>
      </c>
      <c r="D4321" s="26" t="s">
        <v>64</v>
      </c>
      <c r="E4321" s="31">
        <v>46234.0</v>
      </c>
      <c r="F4321" s="26" t="s">
        <v>205</v>
      </c>
      <c r="G4321" s="26">
        <v>10.0</v>
      </c>
      <c r="I4321" s="26" t="s">
        <v>872</v>
      </c>
      <c r="J4321" s="25" t="str">
        <f t="shared" si="49"/>
        <v>No</v>
      </c>
      <c r="K4321" s="25" t="str">
        <f t="shared" si="50"/>
        <v/>
      </c>
      <c r="L4321" s="25" t="str">
        <f t="shared" si="51"/>
        <v/>
      </c>
      <c r="M4321" s="25"/>
      <c r="O4321" s="25"/>
    </row>
    <row r="4322" ht="15.75" customHeight="1">
      <c r="A4322" s="25" t="str">
        <f>IFERROR(__xludf.DUMMYFUNCTION("IF(B4322="""","""",RIGHT(REGEXREPLACE(B4322&amp;"""",""[^0-9]"",""""),9))"),"774216816")</f>
        <v>774216816</v>
      </c>
      <c r="B4322" s="52">
        <v>7.74216816E8</v>
      </c>
      <c r="C4322" s="28" t="s">
        <v>2631</v>
      </c>
      <c r="D4322" s="26" t="s">
        <v>64</v>
      </c>
      <c r="E4322" s="31">
        <v>46234.0</v>
      </c>
      <c r="F4322" s="26" t="s">
        <v>125</v>
      </c>
      <c r="G4322" s="26">
        <v>11.0</v>
      </c>
      <c r="I4322" s="26" t="s">
        <v>872</v>
      </c>
      <c r="J4322" s="25" t="str">
        <f t="shared" si="49"/>
        <v>No</v>
      </c>
      <c r="K4322" s="25" t="str">
        <f t="shared" si="50"/>
        <v/>
      </c>
      <c r="L4322" s="25" t="str">
        <f t="shared" si="51"/>
        <v/>
      </c>
      <c r="M4322" s="25"/>
      <c r="O4322" s="25"/>
    </row>
    <row r="4323" ht="15.75" customHeight="1">
      <c r="A4323" s="25" t="str">
        <f>IFERROR(__xludf.DUMMYFUNCTION("IF(B4323="""","""",RIGHT(REGEXREPLACE(B4323&amp;"""",""[^0-9]"",""""),9))"),"756758361")</f>
        <v>756758361</v>
      </c>
      <c r="B4323" s="52">
        <v>7.56758361E8</v>
      </c>
      <c r="C4323" s="28" t="s">
        <v>4287</v>
      </c>
      <c r="D4323" s="26" t="s">
        <v>82</v>
      </c>
      <c r="E4323" s="31">
        <v>46234.0</v>
      </c>
      <c r="F4323" s="26" t="s">
        <v>46</v>
      </c>
      <c r="H4323" s="26" t="s">
        <v>253</v>
      </c>
      <c r="I4323" s="26" t="s">
        <v>872</v>
      </c>
      <c r="J4323" s="25" t="str">
        <f t="shared" si="49"/>
        <v>No</v>
      </c>
      <c r="K4323" s="25" t="str">
        <f t="shared" si="50"/>
        <v/>
      </c>
      <c r="L4323" s="25" t="str">
        <f t="shared" si="51"/>
        <v/>
      </c>
      <c r="M4323" s="25"/>
      <c r="O4323" s="25"/>
    </row>
    <row r="4324" ht="15.75" customHeight="1">
      <c r="A4324" s="25" t="str">
        <f>IFERROR(__xludf.DUMMYFUNCTION("IF(B4324="""","""",RIGHT(REGEXREPLACE(B4324&amp;"""",""[^0-9]"",""""),9))"),"755101080")</f>
        <v>755101080</v>
      </c>
      <c r="B4324" s="52">
        <v>7.5510108E8</v>
      </c>
      <c r="C4324" s="28" t="s">
        <v>4288</v>
      </c>
      <c r="D4324" s="26" t="s">
        <v>45</v>
      </c>
      <c r="E4324" s="31">
        <v>46234.0</v>
      </c>
      <c r="F4324" s="26" t="s">
        <v>46</v>
      </c>
      <c r="I4324" s="26" t="s">
        <v>872</v>
      </c>
      <c r="J4324" s="25" t="str">
        <f t="shared" si="49"/>
        <v>No</v>
      </c>
      <c r="K4324" s="25" t="str">
        <f t="shared" si="50"/>
        <v/>
      </c>
      <c r="L4324" s="25" t="str">
        <f t="shared" si="51"/>
        <v/>
      </c>
      <c r="M4324" s="25"/>
      <c r="O4324" s="25"/>
    </row>
    <row r="4325" ht="15.75" customHeight="1">
      <c r="A4325" s="25" t="str">
        <f>IFERROR(__xludf.DUMMYFUNCTION("IF(B4325="""","""",RIGHT(REGEXREPLACE(B4325&amp;"""",""[^0-9]"",""""),9))"),"777917901")</f>
        <v>777917901</v>
      </c>
      <c r="B4325" s="52">
        <v>7.77917901E8</v>
      </c>
      <c r="C4325" s="28" t="s">
        <v>481</v>
      </c>
      <c r="D4325" s="26" t="s">
        <v>56</v>
      </c>
      <c r="E4325" s="31">
        <v>46234.0</v>
      </c>
      <c r="F4325" s="25"/>
      <c r="G4325" s="25"/>
      <c r="H4325" s="25"/>
      <c r="I4325" s="26" t="s">
        <v>872</v>
      </c>
      <c r="J4325" s="25" t="str">
        <f t="shared" si="49"/>
        <v>Yes - see Previous F-Code</v>
      </c>
      <c r="K4325" s="25" t="str">
        <f t="shared" si="50"/>
        <v>DUPLICATE - CHECK</v>
      </c>
      <c r="L4325" s="25" t="str">
        <f t="shared" si="51"/>
        <v>F70306</v>
      </c>
      <c r="M4325" s="25"/>
      <c r="N4325" s="25"/>
      <c r="O4325" s="25"/>
      <c r="P4325" s="25"/>
    </row>
    <row r="4326" ht="15.75" customHeight="1">
      <c r="A4326" s="25" t="str">
        <f>IFERROR(__xludf.DUMMYFUNCTION("IF(B4326="""","""",RIGHT(REGEXREPLACE(B4326&amp;"""",""[^0-9]"",""""),9))"),"758642279")</f>
        <v>758642279</v>
      </c>
      <c r="B4326" s="52">
        <v>7.58642279E8</v>
      </c>
      <c r="C4326" s="28" t="s">
        <v>1150</v>
      </c>
      <c r="D4326" s="26" t="s">
        <v>56</v>
      </c>
      <c r="E4326" s="31">
        <v>46234.0</v>
      </c>
      <c r="F4326" s="26" t="s">
        <v>46</v>
      </c>
      <c r="G4326" s="26">
        <v>10.0</v>
      </c>
      <c r="I4326" s="26" t="s">
        <v>872</v>
      </c>
      <c r="J4326" s="25" t="str">
        <f t="shared" si="49"/>
        <v>No</v>
      </c>
      <c r="K4326" s="25" t="str">
        <f t="shared" si="50"/>
        <v/>
      </c>
      <c r="L4326" s="25" t="str">
        <f t="shared" si="51"/>
        <v/>
      </c>
      <c r="M4326" s="25"/>
      <c r="O4326" s="25"/>
    </row>
    <row r="4327" ht="15.75" customHeight="1">
      <c r="A4327" s="25" t="str">
        <f>IFERROR(__xludf.DUMMYFUNCTION("IF(B4327="""","""",RIGHT(REGEXREPLACE(B4327&amp;"""",""[^0-9]"",""""),9))"),"715770625")</f>
        <v>715770625</v>
      </c>
      <c r="B4327" s="52">
        <v>7.15770625E8</v>
      </c>
      <c r="C4327" s="28" t="s">
        <v>4289</v>
      </c>
      <c r="D4327" s="26" t="s">
        <v>82</v>
      </c>
      <c r="E4327" s="31">
        <v>46234.0</v>
      </c>
      <c r="F4327" s="26" t="s">
        <v>46</v>
      </c>
      <c r="G4327" s="26">
        <v>10.0</v>
      </c>
      <c r="I4327" s="26" t="s">
        <v>872</v>
      </c>
      <c r="J4327" s="25" t="str">
        <f t="shared" si="49"/>
        <v>No</v>
      </c>
      <c r="K4327" s="25" t="str">
        <f t="shared" si="50"/>
        <v/>
      </c>
      <c r="L4327" s="25" t="str">
        <f t="shared" si="51"/>
        <v/>
      </c>
      <c r="M4327" s="25"/>
      <c r="O4327" s="25"/>
    </row>
    <row r="4328" ht="15.75" customHeight="1">
      <c r="A4328" s="25" t="str">
        <f>IFERROR(__xludf.DUMMYFUNCTION("IF(B4328="""","""",RIGHT(REGEXREPLACE(B4328&amp;"""",""[^0-9]"",""""),9))"),"771264756")</f>
        <v>771264756</v>
      </c>
      <c r="B4328" s="52">
        <v>7.71264756E8</v>
      </c>
      <c r="C4328" s="28" t="s">
        <v>3120</v>
      </c>
      <c r="D4328" s="26" t="s">
        <v>45</v>
      </c>
      <c r="E4328" s="31">
        <v>46234.0</v>
      </c>
      <c r="F4328" s="26" t="s">
        <v>41</v>
      </c>
      <c r="I4328" s="26" t="s">
        <v>872</v>
      </c>
      <c r="J4328" s="25" t="str">
        <f t="shared" si="49"/>
        <v>Yes - see Previous F-Code</v>
      </c>
      <c r="K4328" s="25" t="str">
        <f t="shared" si="50"/>
        <v>DUPLICATE - CHECK</v>
      </c>
      <c r="L4328" s="25" t="str">
        <f t="shared" si="51"/>
        <v>F72751</v>
      </c>
      <c r="M4328" s="25"/>
      <c r="O4328" s="25"/>
    </row>
    <row r="4329" ht="15.75" customHeight="1">
      <c r="A4329" s="25" t="str">
        <f>IFERROR(__xludf.DUMMYFUNCTION("IF(B4329="""","""",RIGHT(REGEXREPLACE(B4329&amp;"""",""[^0-9]"",""""),9))"),"701879964")</f>
        <v>701879964</v>
      </c>
      <c r="B4329" s="52">
        <v>7.01879964E8</v>
      </c>
      <c r="C4329" s="28" t="s">
        <v>4290</v>
      </c>
      <c r="D4329" s="26" t="s">
        <v>49</v>
      </c>
      <c r="E4329" s="31">
        <v>46234.0</v>
      </c>
      <c r="F4329" s="26" t="s">
        <v>46</v>
      </c>
      <c r="G4329" s="26">
        <v>10.0</v>
      </c>
      <c r="H4329" s="26" t="s">
        <v>4291</v>
      </c>
      <c r="I4329" s="26" t="s">
        <v>872</v>
      </c>
      <c r="J4329" s="25" t="str">
        <f t="shared" si="49"/>
        <v>No</v>
      </c>
      <c r="K4329" s="25" t="str">
        <f t="shared" si="50"/>
        <v/>
      </c>
      <c r="L4329" s="25" t="str">
        <f t="shared" si="51"/>
        <v/>
      </c>
      <c r="M4329" s="25"/>
      <c r="O4329" s="25"/>
    </row>
    <row r="4330" ht="15.75" customHeight="1">
      <c r="A4330" s="25" t="str">
        <f>IFERROR(__xludf.DUMMYFUNCTION("IF(B4330="""","""",RIGHT(REGEXREPLACE(B4330&amp;"""",""[^0-9]"",""""),9))"),"772722694")</f>
        <v>772722694</v>
      </c>
      <c r="B4330" s="52">
        <v>7.72722694E8</v>
      </c>
      <c r="C4330" s="28" t="s">
        <v>4292</v>
      </c>
      <c r="D4330" s="26" t="s">
        <v>64</v>
      </c>
      <c r="E4330" s="31">
        <v>46234.0</v>
      </c>
      <c r="F4330" s="26" t="s">
        <v>46</v>
      </c>
      <c r="G4330" s="26">
        <v>9.0</v>
      </c>
      <c r="I4330" s="26" t="s">
        <v>872</v>
      </c>
      <c r="J4330" s="25" t="str">
        <f t="shared" si="49"/>
        <v>No</v>
      </c>
      <c r="K4330" s="25" t="str">
        <f t="shared" si="50"/>
        <v/>
      </c>
      <c r="L4330" s="25" t="str">
        <f t="shared" si="51"/>
        <v/>
      </c>
      <c r="M4330" s="25"/>
      <c r="O4330" s="25"/>
    </row>
    <row r="4331" ht="15.75" customHeight="1">
      <c r="A4331" s="25" t="str">
        <f>IFERROR(__xludf.DUMMYFUNCTION("IF(B4331="""","""",RIGHT(REGEXREPLACE(B4331&amp;"""",""[^0-9]"",""""),9))"),"765399690")</f>
        <v>765399690</v>
      </c>
      <c r="B4331" s="52">
        <v>7.6539969E8</v>
      </c>
      <c r="C4331" s="28" t="s">
        <v>4293</v>
      </c>
      <c r="D4331" s="26" t="s">
        <v>45</v>
      </c>
      <c r="E4331" s="31">
        <v>46234.0</v>
      </c>
      <c r="F4331" s="26" t="s">
        <v>46</v>
      </c>
      <c r="G4331" s="26">
        <v>10.0</v>
      </c>
      <c r="I4331" s="26" t="s">
        <v>872</v>
      </c>
      <c r="J4331" s="25" t="str">
        <f t="shared" si="49"/>
        <v>No</v>
      </c>
      <c r="K4331" s="25" t="str">
        <f t="shared" si="50"/>
        <v/>
      </c>
      <c r="L4331" s="25" t="str">
        <f t="shared" si="51"/>
        <v/>
      </c>
      <c r="M4331" s="25"/>
      <c r="O4331" s="25"/>
    </row>
    <row r="4332" ht="15.75" customHeight="1">
      <c r="A4332" s="25" t="str">
        <f>IFERROR(__xludf.DUMMYFUNCTION("IF(B4332="""","""",RIGHT(REGEXREPLACE(B4332&amp;"""",""[^0-9]"",""""),9))"),"768070524")</f>
        <v>768070524</v>
      </c>
      <c r="B4332" s="52">
        <v>7.68070524E8</v>
      </c>
      <c r="C4332" s="28" t="s">
        <v>4294</v>
      </c>
      <c r="D4332" s="26" t="s">
        <v>56</v>
      </c>
      <c r="E4332" s="31">
        <v>46234.0</v>
      </c>
      <c r="F4332" s="26" t="s">
        <v>46</v>
      </c>
      <c r="G4332" s="26">
        <v>10.0</v>
      </c>
      <c r="I4332" s="26" t="s">
        <v>872</v>
      </c>
      <c r="J4332" s="25" t="str">
        <f t="shared" si="49"/>
        <v>No</v>
      </c>
      <c r="K4332" s="25" t="str">
        <f t="shared" si="50"/>
        <v/>
      </c>
      <c r="L4332" s="25" t="str">
        <f t="shared" si="51"/>
        <v/>
      </c>
      <c r="M4332" s="25"/>
      <c r="O4332" s="25"/>
    </row>
    <row r="4333" ht="15.75" customHeight="1">
      <c r="A4333" s="25" t="str">
        <f>IFERROR(__xludf.DUMMYFUNCTION("IF(B4333="""","""",RIGHT(REGEXREPLACE(B4333&amp;"""",""[^0-9]"",""""),9))"),"768430175")</f>
        <v>768430175</v>
      </c>
      <c r="B4333" s="52">
        <v>7.68430175E8</v>
      </c>
      <c r="C4333" s="28" t="s">
        <v>4295</v>
      </c>
      <c r="D4333" s="26" t="s">
        <v>82</v>
      </c>
      <c r="E4333" s="31">
        <v>46234.0</v>
      </c>
      <c r="F4333" s="26" t="s">
        <v>41</v>
      </c>
      <c r="I4333" s="26" t="s">
        <v>872</v>
      </c>
      <c r="J4333" s="25" t="str">
        <f t="shared" si="49"/>
        <v>No</v>
      </c>
      <c r="K4333" s="25" t="str">
        <f t="shared" si="50"/>
        <v/>
      </c>
      <c r="L4333" s="25" t="str">
        <f t="shared" si="51"/>
        <v/>
      </c>
      <c r="M4333" s="25"/>
      <c r="O4333" s="25"/>
    </row>
    <row r="4334" ht="15.75" customHeight="1">
      <c r="A4334" s="25" t="str">
        <f>IFERROR(__xludf.DUMMYFUNCTION("IF(B4334="""","""",RIGHT(REGEXREPLACE(B4334&amp;"""",""[^0-9]"",""""),9))"),"")</f>
        <v/>
      </c>
      <c r="B4334" s="52"/>
      <c r="C4334" s="28" t="s">
        <v>755</v>
      </c>
      <c r="D4334" s="26" t="s">
        <v>56</v>
      </c>
      <c r="E4334" s="31">
        <v>46234.0</v>
      </c>
      <c r="F4334" s="25"/>
      <c r="G4334" s="25"/>
      <c r="H4334" s="25"/>
      <c r="I4334" s="26" t="s">
        <v>872</v>
      </c>
      <c r="J4334" s="25" t="str">
        <f t="shared" si="49"/>
        <v>Yes - see Previous F-Code</v>
      </c>
      <c r="K4334" s="25" t="str">
        <f t="shared" si="50"/>
        <v>DUPLICATE - CHECK</v>
      </c>
      <c r="L4334" s="25" t="str">
        <f t="shared" si="51"/>
        <v/>
      </c>
      <c r="M4334" s="25"/>
      <c r="N4334" s="25"/>
      <c r="O4334" s="25"/>
      <c r="P4334" s="25"/>
    </row>
    <row r="4335" ht="15.75" customHeight="1">
      <c r="A4335" s="25" t="str">
        <f>IFERROR(__xludf.DUMMYFUNCTION("IF(B4335="""","""",RIGHT(REGEXREPLACE(B4335&amp;"""",""[^0-9]"",""""),9))"),"785124308")</f>
        <v>785124308</v>
      </c>
      <c r="B4335" s="52">
        <v>7.85124308E8</v>
      </c>
      <c r="C4335" s="28" t="s">
        <v>4296</v>
      </c>
      <c r="D4335" s="26" t="s">
        <v>45</v>
      </c>
      <c r="E4335" s="31">
        <v>46234.0</v>
      </c>
      <c r="F4335" s="26" t="s">
        <v>46</v>
      </c>
      <c r="H4335" s="26" t="s">
        <v>4297</v>
      </c>
      <c r="I4335" s="26" t="s">
        <v>872</v>
      </c>
      <c r="J4335" s="25" t="str">
        <f t="shared" si="49"/>
        <v>No</v>
      </c>
      <c r="K4335" s="25" t="str">
        <f t="shared" si="50"/>
        <v/>
      </c>
      <c r="L4335" s="25" t="str">
        <f t="shared" si="51"/>
        <v/>
      </c>
      <c r="M4335" s="25"/>
      <c r="O4335" s="25"/>
    </row>
    <row r="4336" ht="15.75" customHeight="1">
      <c r="A4336" s="25" t="str">
        <f>IFERROR(__xludf.DUMMYFUNCTION("IF(B4336="""","""",RIGHT(REGEXREPLACE(B4336&amp;"""",""[^0-9]"",""""),9))"),"704017897")</f>
        <v>704017897</v>
      </c>
      <c r="B4336" s="52">
        <v>7.04017897E8</v>
      </c>
      <c r="C4336" s="28" t="s">
        <v>4298</v>
      </c>
      <c r="D4336" s="26" t="s">
        <v>45</v>
      </c>
      <c r="E4336" s="31">
        <v>46234.0</v>
      </c>
      <c r="F4336" s="26" t="s">
        <v>46</v>
      </c>
      <c r="G4336" s="26">
        <v>6.0</v>
      </c>
      <c r="I4336" s="26" t="s">
        <v>872</v>
      </c>
      <c r="J4336" s="25" t="str">
        <f t="shared" si="49"/>
        <v>No</v>
      </c>
      <c r="K4336" s="25" t="str">
        <f t="shared" si="50"/>
        <v/>
      </c>
      <c r="L4336" s="25" t="str">
        <f t="shared" si="51"/>
        <v/>
      </c>
      <c r="M4336" s="25"/>
      <c r="O4336" s="25"/>
    </row>
    <row r="4337" ht="15.75" customHeight="1">
      <c r="A4337" s="25" t="str">
        <f>IFERROR(__xludf.DUMMYFUNCTION("IF(B4337="""","""",RIGHT(REGEXREPLACE(B4337&amp;"""",""[^0-9]"",""""),9))"),"705780176")</f>
        <v>705780176</v>
      </c>
      <c r="B4337" s="52">
        <v>7.05780176E8</v>
      </c>
      <c r="C4337" s="28" t="s">
        <v>4299</v>
      </c>
      <c r="D4337" s="26" t="s">
        <v>45</v>
      </c>
      <c r="E4337" s="31">
        <v>46234.0</v>
      </c>
      <c r="F4337" s="26" t="s">
        <v>46</v>
      </c>
      <c r="G4337" s="26">
        <v>10.0</v>
      </c>
      <c r="I4337" s="26" t="s">
        <v>872</v>
      </c>
      <c r="J4337" s="25" t="str">
        <f t="shared" si="49"/>
        <v>No</v>
      </c>
      <c r="K4337" s="25" t="str">
        <f t="shared" si="50"/>
        <v/>
      </c>
      <c r="L4337" s="25" t="str">
        <f t="shared" si="51"/>
        <v/>
      </c>
      <c r="M4337" s="25"/>
      <c r="O4337" s="25"/>
    </row>
    <row r="4338" ht="15.75" customHeight="1">
      <c r="A4338" s="25" t="str">
        <f>IFERROR(__xludf.DUMMYFUNCTION("IF(B4338="""","""",RIGHT(REGEXREPLACE(B4338&amp;"""",""[^0-9]"",""""),9))"),"772559282")</f>
        <v>772559282</v>
      </c>
      <c r="B4338" s="52">
        <v>7.72559282E8</v>
      </c>
      <c r="C4338" s="28" t="s">
        <v>4300</v>
      </c>
      <c r="D4338" s="26" t="s">
        <v>45</v>
      </c>
      <c r="E4338" s="31">
        <v>46234.0</v>
      </c>
      <c r="F4338" s="26" t="s">
        <v>46</v>
      </c>
      <c r="G4338" s="26">
        <v>11.0</v>
      </c>
      <c r="I4338" s="26" t="s">
        <v>872</v>
      </c>
      <c r="J4338" s="25" t="str">
        <f t="shared" si="49"/>
        <v>No</v>
      </c>
      <c r="K4338" s="25" t="str">
        <f t="shared" si="50"/>
        <v/>
      </c>
      <c r="L4338" s="25" t="str">
        <f t="shared" si="51"/>
        <v/>
      </c>
      <c r="M4338" s="25"/>
      <c r="O4338" s="25"/>
    </row>
    <row r="4339" ht="15.75" customHeight="1">
      <c r="A4339" s="25" t="str">
        <f>IFERROR(__xludf.DUMMYFUNCTION("IF(B4339="""","""",RIGHT(REGEXREPLACE(B4339&amp;"""",""[^0-9]"",""""),9))"),"741403390")</f>
        <v>741403390</v>
      </c>
      <c r="B4339" s="52">
        <v>7.4140339E8</v>
      </c>
      <c r="C4339" s="28" t="s">
        <v>4301</v>
      </c>
      <c r="D4339" s="26" t="s">
        <v>45</v>
      </c>
      <c r="E4339" s="31">
        <v>46234.0</v>
      </c>
      <c r="F4339" s="26" t="s">
        <v>46</v>
      </c>
      <c r="G4339" s="26">
        <v>11.0</v>
      </c>
      <c r="I4339" s="26" t="s">
        <v>872</v>
      </c>
      <c r="J4339" s="25" t="str">
        <f t="shared" si="49"/>
        <v>No</v>
      </c>
      <c r="K4339" s="25" t="str">
        <f t="shared" si="50"/>
        <v/>
      </c>
      <c r="L4339" s="25" t="str">
        <f t="shared" si="51"/>
        <v/>
      </c>
      <c r="M4339" s="25"/>
      <c r="O4339" s="25"/>
    </row>
    <row r="4340" ht="15.75" customHeight="1">
      <c r="A4340" s="25" t="str">
        <f>IFERROR(__xludf.DUMMYFUNCTION("IF(B4340="""","""",RIGHT(REGEXREPLACE(B4340&amp;"""",""[^0-9]"",""""),9))"),"758821928")</f>
        <v>758821928</v>
      </c>
      <c r="B4340" s="52">
        <v>7.58821928E8</v>
      </c>
      <c r="C4340" s="28" t="s">
        <v>4302</v>
      </c>
      <c r="D4340" s="26" t="s">
        <v>49</v>
      </c>
      <c r="E4340" s="31">
        <v>46234.0</v>
      </c>
      <c r="F4340" s="26" t="s">
        <v>46</v>
      </c>
      <c r="G4340" s="26">
        <v>8.0</v>
      </c>
      <c r="I4340" s="26" t="s">
        <v>872</v>
      </c>
      <c r="J4340" s="25" t="str">
        <f t="shared" si="49"/>
        <v>No</v>
      </c>
      <c r="K4340" s="25" t="str">
        <f t="shared" si="50"/>
        <v/>
      </c>
      <c r="L4340" s="25" t="str">
        <f t="shared" si="51"/>
        <v/>
      </c>
      <c r="M4340" s="25"/>
      <c r="O4340" s="25"/>
    </row>
    <row r="4341" ht="15.75" customHeight="1">
      <c r="A4341" s="25" t="str">
        <f>IFERROR(__xludf.DUMMYFUNCTION("IF(B4341="""","""",RIGHT(REGEXREPLACE(B4341&amp;"""",""[^0-9]"",""""),9))"),"779838165")</f>
        <v>779838165</v>
      </c>
      <c r="B4341" s="52">
        <v>7.79838165E8</v>
      </c>
      <c r="C4341" s="28" t="s">
        <v>4303</v>
      </c>
      <c r="D4341" s="26" t="s">
        <v>45</v>
      </c>
      <c r="E4341" s="31">
        <v>46234.0</v>
      </c>
      <c r="F4341" s="26" t="s">
        <v>41</v>
      </c>
      <c r="I4341" s="26" t="s">
        <v>872</v>
      </c>
      <c r="J4341" s="25" t="str">
        <f t="shared" si="49"/>
        <v>No</v>
      </c>
      <c r="K4341" s="25" t="str">
        <f t="shared" si="50"/>
        <v/>
      </c>
      <c r="L4341" s="25" t="str">
        <f t="shared" si="51"/>
        <v/>
      </c>
      <c r="M4341" s="25"/>
      <c r="O4341" s="25"/>
    </row>
    <row r="4342" ht="15.75" customHeight="1">
      <c r="A4342" s="25" t="str">
        <f>IFERROR(__xludf.DUMMYFUNCTION("IF(B4342="""","""",RIGHT(REGEXREPLACE(B4342&amp;"""",""[^0-9]"",""""),9))"),"763577259")</f>
        <v>763577259</v>
      </c>
      <c r="B4342" s="52">
        <v>7.63577259E8</v>
      </c>
      <c r="C4342" s="28" t="s">
        <v>4304</v>
      </c>
      <c r="D4342" s="26" t="s">
        <v>82</v>
      </c>
      <c r="E4342" s="31">
        <v>46234.0</v>
      </c>
      <c r="F4342" s="26" t="s">
        <v>46</v>
      </c>
      <c r="G4342" s="26">
        <v>10.0</v>
      </c>
      <c r="I4342" s="26" t="s">
        <v>872</v>
      </c>
      <c r="J4342" s="25" t="str">
        <f t="shared" si="49"/>
        <v>No</v>
      </c>
      <c r="K4342" s="25" t="str">
        <f t="shared" si="50"/>
        <v/>
      </c>
      <c r="L4342" s="25" t="str">
        <f t="shared" si="51"/>
        <v/>
      </c>
      <c r="M4342" s="25"/>
      <c r="O4342" s="25"/>
    </row>
    <row r="4343" ht="15.75" customHeight="1">
      <c r="A4343" s="25" t="str">
        <f>IFERROR(__xludf.DUMMYFUNCTION("IF(B4343="""","""",RIGHT(REGEXREPLACE(B4343&amp;"""",""[^0-9]"",""""),9))"),"777302160")</f>
        <v>777302160</v>
      </c>
      <c r="B4343" s="52">
        <v>7.7730216E8</v>
      </c>
      <c r="C4343" s="28" t="s">
        <v>4305</v>
      </c>
      <c r="D4343" s="26" t="s">
        <v>45</v>
      </c>
      <c r="E4343" s="31">
        <v>46234.0</v>
      </c>
      <c r="F4343" s="26" t="s">
        <v>46</v>
      </c>
      <c r="G4343" s="26">
        <v>11.0</v>
      </c>
      <c r="I4343" s="26" t="s">
        <v>872</v>
      </c>
      <c r="J4343" s="25" t="str">
        <f t="shared" si="49"/>
        <v>No</v>
      </c>
      <c r="K4343" s="25" t="str">
        <f t="shared" si="50"/>
        <v/>
      </c>
      <c r="L4343" s="25" t="str">
        <f t="shared" si="51"/>
        <v/>
      </c>
      <c r="M4343" s="25"/>
      <c r="O4343" s="25"/>
    </row>
    <row r="4344" ht="15.75" customHeight="1">
      <c r="A4344" s="25" t="str">
        <f>IFERROR(__xludf.DUMMYFUNCTION("IF(B4344="""","""",RIGHT(REGEXREPLACE(B4344&amp;"""",""[^0-9]"",""""),9))"),"740135978")</f>
        <v>740135978</v>
      </c>
      <c r="B4344" s="52">
        <v>7.40135978E8</v>
      </c>
      <c r="C4344" s="28" t="s">
        <v>4306</v>
      </c>
      <c r="D4344" s="26" t="s">
        <v>49</v>
      </c>
      <c r="E4344" s="31">
        <v>46234.0</v>
      </c>
      <c r="F4344" s="26" t="s">
        <v>41</v>
      </c>
      <c r="G4344" s="26">
        <v>11.0</v>
      </c>
      <c r="I4344" s="26" t="s">
        <v>872</v>
      </c>
      <c r="J4344" s="25" t="str">
        <f t="shared" si="49"/>
        <v>No</v>
      </c>
      <c r="K4344" s="25" t="str">
        <f t="shared" si="50"/>
        <v/>
      </c>
      <c r="L4344" s="25" t="str">
        <f t="shared" si="51"/>
        <v/>
      </c>
      <c r="M4344" s="25"/>
      <c r="O4344" s="25"/>
    </row>
    <row r="4345" ht="15.75" customHeight="1">
      <c r="A4345" s="25" t="str">
        <f>IFERROR(__xludf.DUMMYFUNCTION("IF(B4345="""","""",RIGHT(REGEXREPLACE(B4345&amp;"""",""[^0-9]"",""""),9))"),"777450852")</f>
        <v>777450852</v>
      </c>
      <c r="B4345" s="52">
        <v>7.77450852E8</v>
      </c>
      <c r="C4345" s="28" t="s">
        <v>4307</v>
      </c>
      <c r="D4345" s="26" t="s">
        <v>49</v>
      </c>
      <c r="E4345" s="31">
        <v>46234.0</v>
      </c>
      <c r="F4345" s="26" t="s">
        <v>205</v>
      </c>
      <c r="I4345" s="26" t="s">
        <v>872</v>
      </c>
      <c r="J4345" s="25" t="str">
        <f t="shared" si="49"/>
        <v>No</v>
      </c>
      <c r="K4345" s="25" t="str">
        <f t="shared" si="50"/>
        <v/>
      </c>
      <c r="L4345" s="25" t="str">
        <f t="shared" si="51"/>
        <v/>
      </c>
      <c r="M4345" s="25"/>
      <c r="O4345" s="25"/>
    </row>
    <row r="4346" ht="15.75" customHeight="1">
      <c r="A4346" s="25" t="str">
        <f>IFERROR(__xludf.DUMMYFUNCTION("IF(B4346="""","""",RIGHT(REGEXREPLACE(B4346&amp;"""",""[^0-9]"",""""),9))"),"772144981")</f>
        <v>772144981</v>
      </c>
      <c r="B4346" s="52">
        <v>7.72144981E8</v>
      </c>
      <c r="C4346" s="28" t="s">
        <v>755</v>
      </c>
      <c r="D4346" s="26" t="s">
        <v>56</v>
      </c>
      <c r="E4346" s="31">
        <v>46234.0</v>
      </c>
      <c r="F4346" s="26" t="s">
        <v>46</v>
      </c>
      <c r="G4346" s="26">
        <v>10.0</v>
      </c>
      <c r="I4346" s="26" t="s">
        <v>872</v>
      </c>
      <c r="J4346" s="25" t="str">
        <f t="shared" si="49"/>
        <v>No</v>
      </c>
      <c r="K4346" s="25" t="str">
        <f t="shared" si="50"/>
        <v/>
      </c>
      <c r="L4346" s="25" t="str">
        <f t="shared" si="51"/>
        <v/>
      </c>
      <c r="M4346" s="25"/>
      <c r="O4346" s="25"/>
    </row>
    <row r="4347" ht="15.75" customHeight="1">
      <c r="A4347" s="25" t="str">
        <f>IFERROR(__xludf.DUMMYFUNCTION("IF(B4347="""","""",RIGHT(REGEXREPLACE(B4347&amp;"""",""[^0-9]"",""""),9))"),"767117933")</f>
        <v>767117933</v>
      </c>
      <c r="B4347" s="52">
        <v>7.67117933E8</v>
      </c>
      <c r="C4347" s="28" t="s">
        <v>4308</v>
      </c>
      <c r="D4347" s="26" t="s">
        <v>82</v>
      </c>
      <c r="E4347" s="31">
        <v>46234.0</v>
      </c>
      <c r="F4347" s="26" t="s">
        <v>41</v>
      </c>
      <c r="I4347" s="26" t="s">
        <v>872</v>
      </c>
      <c r="J4347" s="25" t="str">
        <f t="shared" si="49"/>
        <v>No</v>
      </c>
      <c r="K4347" s="25" t="str">
        <f t="shared" si="50"/>
        <v/>
      </c>
      <c r="L4347" s="25" t="str">
        <f t="shared" si="51"/>
        <v/>
      </c>
      <c r="M4347" s="25"/>
      <c r="O4347" s="25"/>
    </row>
    <row r="4348" ht="15.75" customHeight="1">
      <c r="A4348" s="25" t="str">
        <f>IFERROR(__xludf.DUMMYFUNCTION("IF(B4348="""","""",RIGHT(REGEXREPLACE(B4348&amp;"""",""[^0-9]"",""""),9))"),"775235591")</f>
        <v>775235591</v>
      </c>
      <c r="B4348" s="52">
        <v>7.75235591E8</v>
      </c>
      <c r="C4348" s="28" t="s">
        <v>4309</v>
      </c>
      <c r="D4348" s="26" t="s">
        <v>45</v>
      </c>
      <c r="E4348" s="31">
        <v>46234.0</v>
      </c>
      <c r="F4348" s="26" t="s">
        <v>46</v>
      </c>
      <c r="G4348" s="26">
        <v>10.0</v>
      </c>
      <c r="I4348" s="26" t="s">
        <v>872</v>
      </c>
      <c r="J4348" s="25" t="str">
        <f t="shared" si="49"/>
        <v>No</v>
      </c>
      <c r="K4348" s="25" t="str">
        <f t="shared" si="50"/>
        <v/>
      </c>
      <c r="L4348" s="25" t="str">
        <f t="shared" si="51"/>
        <v/>
      </c>
      <c r="M4348" s="25"/>
      <c r="O4348" s="25"/>
    </row>
    <row r="4349" ht="15.75" customHeight="1">
      <c r="A4349" s="25" t="str">
        <f>IFERROR(__xludf.DUMMYFUNCTION("IF(B4349="""","""",RIGHT(REGEXREPLACE(B4349&amp;"""",""[^0-9]"",""""),9))"),"774623292")</f>
        <v>774623292</v>
      </c>
      <c r="B4349" s="52">
        <v>7.74623292E8</v>
      </c>
      <c r="C4349" s="28" t="s">
        <v>4310</v>
      </c>
      <c r="D4349" s="26" t="s">
        <v>49</v>
      </c>
      <c r="E4349" s="31">
        <v>46234.0</v>
      </c>
      <c r="F4349" s="26" t="s">
        <v>46</v>
      </c>
      <c r="G4349" s="26">
        <v>10.0</v>
      </c>
      <c r="I4349" s="26" t="s">
        <v>872</v>
      </c>
      <c r="J4349" s="25" t="str">
        <f t="shared" si="49"/>
        <v>No</v>
      </c>
      <c r="K4349" s="25" t="str">
        <f t="shared" si="50"/>
        <v/>
      </c>
      <c r="L4349" s="25" t="str">
        <f t="shared" si="51"/>
        <v/>
      </c>
      <c r="M4349" s="25"/>
      <c r="O4349" s="25"/>
    </row>
    <row r="4350" ht="15.75" customHeight="1">
      <c r="A4350" s="25" t="str">
        <f>IFERROR(__xludf.DUMMYFUNCTION("IF(B4350="""","""",RIGHT(REGEXREPLACE(B4350&amp;"""",""[^0-9]"",""""),9))"),"773207455")</f>
        <v>773207455</v>
      </c>
      <c r="B4350" s="52">
        <v>7.73207455E8</v>
      </c>
      <c r="C4350" s="28" t="s">
        <v>4311</v>
      </c>
      <c r="D4350" s="26" t="s">
        <v>82</v>
      </c>
      <c r="E4350" s="31">
        <v>46234.0</v>
      </c>
      <c r="F4350" s="26" t="s">
        <v>46</v>
      </c>
      <c r="G4350" s="26">
        <v>9.0</v>
      </c>
      <c r="I4350" s="26" t="s">
        <v>872</v>
      </c>
      <c r="J4350" s="25" t="str">
        <f t="shared" si="49"/>
        <v>No</v>
      </c>
      <c r="K4350" s="25" t="str">
        <f t="shared" si="50"/>
        <v/>
      </c>
      <c r="L4350" s="25" t="str">
        <f t="shared" si="51"/>
        <v/>
      </c>
      <c r="M4350" s="25"/>
      <c r="O4350" s="25"/>
    </row>
    <row r="4351" ht="15.75" customHeight="1">
      <c r="A4351" s="25" t="str">
        <f>IFERROR(__xludf.DUMMYFUNCTION("IF(B4351="""","""",RIGHT(REGEXREPLACE(B4351&amp;"""",""[^0-9]"",""""),9))"),"760887217")</f>
        <v>760887217</v>
      </c>
      <c r="B4351" s="52">
        <v>7.60887217E8</v>
      </c>
      <c r="C4351" s="28" t="s">
        <v>4312</v>
      </c>
      <c r="D4351" s="26" t="s">
        <v>56</v>
      </c>
      <c r="E4351" s="31">
        <v>46234.0</v>
      </c>
      <c r="F4351" s="25"/>
      <c r="G4351" s="26">
        <v>10.0</v>
      </c>
      <c r="H4351" s="25"/>
      <c r="I4351" s="26" t="s">
        <v>872</v>
      </c>
      <c r="J4351" s="25" t="str">
        <f t="shared" si="49"/>
        <v>No</v>
      </c>
      <c r="K4351" s="25" t="str">
        <f t="shared" si="50"/>
        <v/>
      </c>
      <c r="L4351" s="25" t="str">
        <f t="shared" si="51"/>
        <v/>
      </c>
      <c r="M4351" s="25"/>
      <c r="N4351" s="25"/>
      <c r="O4351" s="25"/>
      <c r="P4351" s="25"/>
    </row>
    <row r="4352" ht="15.75" customHeight="1">
      <c r="A4352" s="25" t="str">
        <f>IFERROR(__xludf.DUMMYFUNCTION("IF(B4352="""","""",RIGHT(REGEXREPLACE(B4352&amp;"""",""[^0-9]"",""""),9))"),"722838072")</f>
        <v>722838072</v>
      </c>
      <c r="B4352" s="52">
        <v>7.22838072E8</v>
      </c>
      <c r="C4352" s="28" t="s">
        <v>308</v>
      </c>
      <c r="D4352" s="26" t="s">
        <v>56</v>
      </c>
      <c r="E4352" s="31">
        <v>46234.0</v>
      </c>
      <c r="F4352" s="25"/>
      <c r="G4352" s="25"/>
      <c r="H4352" s="25"/>
      <c r="I4352" s="26" t="s">
        <v>872</v>
      </c>
      <c r="J4352" s="25" t="str">
        <f t="shared" si="49"/>
        <v>No</v>
      </c>
      <c r="K4352" s="25" t="str">
        <f t="shared" si="50"/>
        <v/>
      </c>
      <c r="L4352" s="25" t="str">
        <f t="shared" si="51"/>
        <v/>
      </c>
      <c r="M4352" s="25"/>
      <c r="N4352" s="25"/>
      <c r="O4352" s="25"/>
      <c r="P4352" s="25"/>
    </row>
    <row r="4353" ht="15.75" customHeight="1">
      <c r="A4353" s="25" t="str">
        <f>IFERROR(__xludf.DUMMYFUNCTION("IF(B4353="""","""",RIGHT(REGEXREPLACE(B4353&amp;"""",""[^0-9]"",""""),9))"),"764500546")</f>
        <v>764500546</v>
      </c>
      <c r="B4353" s="52">
        <v>7.64500546E8</v>
      </c>
      <c r="C4353" s="28" t="s">
        <v>4313</v>
      </c>
      <c r="D4353" s="26" t="s">
        <v>45</v>
      </c>
      <c r="E4353" s="31">
        <v>46234.0</v>
      </c>
      <c r="F4353" s="26" t="s">
        <v>46</v>
      </c>
      <c r="G4353" s="26">
        <v>10.0</v>
      </c>
      <c r="I4353" s="26" t="s">
        <v>872</v>
      </c>
      <c r="J4353" s="25" t="str">
        <f t="shared" si="49"/>
        <v>No</v>
      </c>
      <c r="K4353" s="25" t="str">
        <f t="shared" si="50"/>
        <v/>
      </c>
      <c r="L4353" s="25" t="str">
        <f t="shared" si="51"/>
        <v/>
      </c>
      <c r="M4353" s="25"/>
      <c r="O4353" s="25"/>
    </row>
    <row r="4354" ht="15.75" customHeight="1">
      <c r="A4354" s="25" t="str">
        <f>IFERROR(__xludf.DUMMYFUNCTION("IF(B4354="""","""",RIGHT(REGEXREPLACE(B4354&amp;"""",""[^0-9]"",""""),9))"),"762157722")</f>
        <v>762157722</v>
      </c>
      <c r="B4354" s="52">
        <v>7.62157722E8</v>
      </c>
      <c r="C4354" s="28" t="s">
        <v>4314</v>
      </c>
      <c r="D4354" s="26" t="s">
        <v>45</v>
      </c>
      <c r="E4354" s="31">
        <v>46234.0</v>
      </c>
      <c r="F4354" s="26" t="s">
        <v>46</v>
      </c>
      <c r="G4354" s="26">
        <v>11.0</v>
      </c>
      <c r="I4354" s="26" t="s">
        <v>872</v>
      </c>
      <c r="J4354" s="25" t="str">
        <f t="shared" si="49"/>
        <v>No</v>
      </c>
      <c r="K4354" s="25" t="str">
        <f t="shared" si="50"/>
        <v/>
      </c>
      <c r="L4354" s="25" t="str">
        <f t="shared" si="51"/>
        <v/>
      </c>
      <c r="M4354" s="25"/>
      <c r="O4354" s="25"/>
    </row>
    <row r="4355" ht="15.75" customHeight="1">
      <c r="A4355" s="25" t="str">
        <f>IFERROR(__xludf.DUMMYFUNCTION("IF(B4355="""","""",RIGHT(REGEXREPLACE(B4355&amp;"""",""[^0-9]"",""""),9))"),"766924184")</f>
        <v>766924184</v>
      </c>
      <c r="B4355" s="52">
        <v>7.66924184E8</v>
      </c>
      <c r="C4355" s="28" t="s">
        <v>4315</v>
      </c>
      <c r="D4355" s="26" t="s">
        <v>45</v>
      </c>
      <c r="E4355" s="31">
        <v>46234.0</v>
      </c>
      <c r="F4355" s="26" t="s">
        <v>41</v>
      </c>
      <c r="I4355" s="26" t="s">
        <v>872</v>
      </c>
      <c r="J4355" s="25" t="str">
        <f t="shared" si="49"/>
        <v>No</v>
      </c>
      <c r="K4355" s="25" t="str">
        <f t="shared" si="50"/>
        <v/>
      </c>
      <c r="L4355" s="25" t="str">
        <f t="shared" si="51"/>
        <v/>
      </c>
      <c r="M4355" s="25"/>
      <c r="O4355" s="25"/>
    </row>
    <row r="4356" ht="15.75" customHeight="1">
      <c r="A4356" s="25" t="str">
        <f>IFERROR(__xludf.DUMMYFUNCTION("IF(B4356="""","""",RIGHT(REGEXREPLACE(B4356&amp;"""",""[^0-9]"",""""),9))"),"740924834")</f>
        <v>740924834</v>
      </c>
      <c r="B4356" s="52">
        <v>7.40924834E8</v>
      </c>
      <c r="C4356" s="28" t="s">
        <v>4316</v>
      </c>
      <c r="D4356" s="26" t="s">
        <v>82</v>
      </c>
      <c r="E4356" s="31">
        <v>46234.0</v>
      </c>
      <c r="F4356" s="26" t="s">
        <v>46</v>
      </c>
      <c r="G4356" s="26">
        <v>10.0</v>
      </c>
      <c r="I4356" s="26" t="s">
        <v>872</v>
      </c>
      <c r="J4356" s="25" t="str">
        <f t="shared" si="49"/>
        <v>No</v>
      </c>
      <c r="K4356" s="25" t="str">
        <f t="shared" si="50"/>
        <v/>
      </c>
      <c r="L4356" s="25" t="str">
        <f t="shared" si="51"/>
        <v/>
      </c>
      <c r="M4356" s="25"/>
      <c r="O4356" s="25"/>
    </row>
    <row r="4357" ht="15.75" customHeight="1">
      <c r="A4357" s="25" t="str">
        <f>IFERROR(__xludf.DUMMYFUNCTION("IF(B4357="""","""",RIGHT(REGEXREPLACE(B4357&amp;"""",""[^0-9]"",""""),9))"),"763621471")</f>
        <v>763621471</v>
      </c>
      <c r="B4357" s="52">
        <v>7.63621471E8</v>
      </c>
      <c r="C4357" s="28" t="s">
        <v>4317</v>
      </c>
      <c r="D4357" s="26" t="s">
        <v>45</v>
      </c>
      <c r="E4357" s="31">
        <v>46234.0</v>
      </c>
      <c r="F4357" s="26" t="s">
        <v>41</v>
      </c>
      <c r="I4357" s="26" t="s">
        <v>872</v>
      </c>
      <c r="J4357" s="25" t="str">
        <f t="shared" si="49"/>
        <v>No</v>
      </c>
      <c r="K4357" s="25" t="str">
        <f t="shared" si="50"/>
        <v/>
      </c>
      <c r="L4357" s="25" t="str">
        <f t="shared" si="51"/>
        <v/>
      </c>
      <c r="M4357" s="25"/>
      <c r="O4357" s="25"/>
    </row>
    <row r="4358" ht="15.75" customHeight="1">
      <c r="A4358" s="25" t="str">
        <f>IFERROR(__xludf.DUMMYFUNCTION("IF(B4358="""","""",RIGHT(REGEXREPLACE(B4358&amp;"""",""[^0-9]"",""""),9))"),"766045910")</f>
        <v>766045910</v>
      </c>
      <c r="B4358" s="52">
        <v>7.6604591E8</v>
      </c>
      <c r="C4358" s="28" t="s">
        <v>388</v>
      </c>
      <c r="D4358" s="26" t="s">
        <v>56</v>
      </c>
      <c r="E4358" s="31">
        <v>46235.0</v>
      </c>
      <c r="F4358" s="26" t="s">
        <v>41</v>
      </c>
      <c r="G4358" s="26">
        <v>10.0</v>
      </c>
      <c r="I4358" s="26" t="s">
        <v>872</v>
      </c>
      <c r="J4358" s="25" t="str">
        <f t="shared" si="49"/>
        <v>No</v>
      </c>
      <c r="K4358" s="25" t="str">
        <f t="shared" si="50"/>
        <v/>
      </c>
      <c r="L4358" s="25" t="str">
        <f t="shared" si="51"/>
        <v/>
      </c>
      <c r="M4358" s="25"/>
      <c r="O4358" s="25"/>
    </row>
    <row r="4359" ht="15.75" customHeight="1">
      <c r="A4359" s="25" t="str">
        <f>IFERROR(__xludf.DUMMYFUNCTION("IF(B4359="""","""",RIGHT(REGEXREPLACE(B4359&amp;"""",""[^0-9]"",""""),9))"),"751334183")</f>
        <v>751334183</v>
      </c>
      <c r="B4359" s="52">
        <v>7.51334183E8</v>
      </c>
      <c r="C4359" s="28" t="s">
        <v>952</v>
      </c>
      <c r="D4359" s="26" t="s">
        <v>64</v>
      </c>
      <c r="E4359" s="31">
        <v>46235.0</v>
      </c>
      <c r="F4359" s="26" t="s">
        <v>46</v>
      </c>
      <c r="G4359" s="26">
        <v>10.0</v>
      </c>
      <c r="I4359" s="26" t="s">
        <v>872</v>
      </c>
      <c r="J4359" s="25" t="str">
        <f t="shared" si="49"/>
        <v>No</v>
      </c>
      <c r="K4359" s="25" t="str">
        <f t="shared" si="50"/>
        <v/>
      </c>
      <c r="L4359" s="25" t="str">
        <f t="shared" si="51"/>
        <v/>
      </c>
      <c r="M4359" s="25"/>
      <c r="O4359" s="25"/>
    </row>
    <row r="4360" ht="15.75" customHeight="1">
      <c r="A4360" s="25" t="str">
        <f>IFERROR(__xludf.DUMMYFUNCTION("IF(B4360="""","""",RIGHT(REGEXREPLACE(B4360&amp;"""",""[^0-9]"",""""),9))"),"726310827")</f>
        <v>726310827</v>
      </c>
      <c r="B4360" s="52">
        <v>7.26310827E8</v>
      </c>
      <c r="C4360" s="28" t="s">
        <v>4318</v>
      </c>
      <c r="D4360" s="26" t="s">
        <v>56</v>
      </c>
      <c r="E4360" s="31">
        <v>46235.0</v>
      </c>
      <c r="F4360" s="26" t="s">
        <v>46</v>
      </c>
      <c r="G4360" s="26">
        <v>10.0</v>
      </c>
      <c r="I4360" s="26" t="s">
        <v>872</v>
      </c>
      <c r="J4360" s="25" t="str">
        <f t="shared" si="49"/>
        <v>No</v>
      </c>
      <c r="K4360" s="25" t="str">
        <f t="shared" si="50"/>
        <v/>
      </c>
      <c r="L4360" s="25" t="str">
        <f t="shared" si="51"/>
        <v/>
      </c>
      <c r="M4360" s="25"/>
      <c r="O4360" s="25"/>
    </row>
    <row r="4361" ht="15.75" customHeight="1">
      <c r="A4361" s="25" t="str">
        <f>IFERROR(__xludf.DUMMYFUNCTION("IF(B4361="""","""",RIGHT(REGEXREPLACE(B4361&amp;"""",""[^0-9]"",""""),9))"),"701432086")</f>
        <v>701432086</v>
      </c>
      <c r="B4361" s="52">
        <v>7.01432086E8</v>
      </c>
      <c r="C4361" s="28" t="s">
        <v>4319</v>
      </c>
      <c r="D4361" s="26" t="s">
        <v>56</v>
      </c>
      <c r="E4361" s="31">
        <v>46235.0</v>
      </c>
      <c r="F4361" s="26" t="s">
        <v>41</v>
      </c>
      <c r="G4361" s="26">
        <v>10.0</v>
      </c>
      <c r="I4361" s="26" t="s">
        <v>872</v>
      </c>
      <c r="J4361" s="25" t="str">
        <f t="shared" si="49"/>
        <v>No</v>
      </c>
      <c r="K4361" s="25" t="str">
        <f t="shared" si="50"/>
        <v/>
      </c>
      <c r="L4361" s="25" t="str">
        <f t="shared" si="51"/>
        <v/>
      </c>
      <c r="M4361" s="25"/>
      <c r="O4361" s="25"/>
    </row>
    <row r="4362" ht="15.75" customHeight="1">
      <c r="A4362" s="25" t="str">
        <f>IFERROR(__xludf.DUMMYFUNCTION("IF(B4362="""","""",RIGHT(REGEXREPLACE(B4362&amp;"""",""[^0-9]"",""""),9))"),"773924623")</f>
        <v>773924623</v>
      </c>
      <c r="B4362" s="52">
        <v>7.73924623E8</v>
      </c>
      <c r="C4362" s="28" t="s">
        <v>4320</v>
      </c>
      <c r="D4362" s="26" t="s">
        <v>56</v>
      </c>
      <c r="E4362" s="31">
        <v>46235.0</v>
      </c>
      <c r="F4362" s="26" t="s">
        <v>205</v>
      </c>
      <c r="I4362" s="26" t="s">
        <v>872</v>
      </c>
      <c r="J4362" s="25" t="str">
        <f t="shared" si="49"/>
        <v>No</v>
      </c>
      <c r="K4362" s="25" t="str">
        <f t="shared" si="50"/>
        <v/>
      </c>
      <c r="L4362" s="25" t="str">
        <f t="shared" si="51"/>
        <v/>
      </c>
      <c r="M4362" s="25"/>
      <c r="O4362" s="25"/>
    </row>
    <row r="4363" ht="15.75" customHeight="1">
      <c r="A4363" s="25" t="str">
        <f>IFERROR(__xludf.DUMMYFUNCTION("IF(B4363="""","""",RIGHT(REGEXREPLACE(B4363&amp;"""",""[^0-9]"",""""),9))"),"710477590")</f>
        <v>710477590</v>
      </c>
      <c r="B4363" s="52">
        <v>7.1047759E8</v>
      </c>
      <c r="C4363" s="28" t="s">
        <v>4321</v>
      </c>
      <c r="D4363" s="26" t="s">
        <v>56</v>
      </c>
      <c r="E4363" s="31">
        <v>46235.0</v>
      </c>
      <c r="F4363" s="26" t="s">
        <v>41</v>
      </c>
      <c r="G4363" s="26">
        <v>10.0</v>
      </c>
      <c r="I4363" s="26" t="s">
        <v>872</v>
      </c>
      <c r="J4363" s="25" t="str">
        <f t="shared" si="49"/>
        <v>No</v>
      </c>
      <c r="K4363" s="25" t="str">
        <f t="shared" si="50"/>
        <v/>
      </c>
      <c r="L4363" s="25" t="str">
        <f t="shared" si="51"/>
        <v/>
      </c>
      <c r="M4363" s="25"/>
      <c r="O4363" s="25"/>
    </row>
    <row r="4364" ht="15.75" customHeight="1">
      <c r="A4364" s="25" t="str">
        <f>IFERROR(__xludf.DUMMYFUNCTION("IF(B4364="""","""",RIGHT(REGEXREPLACE(B4364&amp;"""",""[^0-9]"",""""),9))"),"770202560")</f>
        <v>770202560</v>
      </c>
      <c r="B4364" s="52">
        <v>7.7020256E8</v>
      </c>
      <c r="C4364" s="28" t="s">
        <v>4322</v>
      </c>
      <c r="D4364" s="26" t="s">
        <v>64</v>
      </c>
      <c r="E4364" s="31">
        <v>46235.0</v>
      </c>
      <c r="F4364" s="26" t="s">
        <v>659</v>
      </c>
      <c r="G4364" s="26">
        <v>9.0</v>
      </c>
      <c r="I4364" s="26" t="s">
        <v>872</v>
      </c>
      <c r="J4364" s="25" t="str">
        <f t="shared" si="49"/>
        <v>No</v>
      </c>
      <c r="K4364" s="25" t="str">
        <f t="shared" si="50"/>
        <v/>
      </c>
      <c r="L4364" s="25" t="str">
        <f t="shared" si="51"/>
        <v/>
      </c>
      <c r="M4364" s="25"/>
      <c r="O4364" s="25"/>
    </row>
    <row r="4365" ht="15.75" customHeight="1">
      <c r="A4365" s="25" t="str">
        <f>IFERROR(__xludf.DUMMYFUNCTION("IF(B4365="""","""",RIGHT(REGEXREPLACE(B4365&amp;"""",""[^0-9]"",""""),9))"),"771541026")</f>
        <v>771541026</v>
      </c>
      <c r="B4365" s="52">
        <v>7.71541026E8</v>
      </c>
      <c r="C4365" s="28" t="s">
        <v>4323</v>
      </c>
      <c r="D4365" s="26" t="s">
        <v>56</v>
      </c>
      <c r="E4365" s="31">
        <v>46235.0</v>
      </c>
      <c r="F4365" s="26" t="s">
        <v>41</v>
      </c>
      <c r="I4365" s="26" t="s">
        <v>872</v>
      </c>
      <c r="J4365" s="25" t="str">
        <f t="shared" si="49"/>
        <v>No</v>
      </c>
      <c r="K4365" s="25" t="str">
        <f t="shared" si="50"/>
        <v/>
      </c>
      <c r="L4365" s="25" t="str">
        <f t="shared" si="51"/>
        <v/>
      </c>
      <c r="M4365" s="25"/>
      <c r="O4365" s="25"/>
    </row>
    <row r="4366" ht="15.75" customHeight="1">
      <c r="A4366" s="25" t="str">
        <f>IFERROR(__xludf.DUMMYFUNCTION("IF(B4366="""","""",RIGHT(REGEXREPLACE(B4366&amp;"""",""[^0-9]"",""""),9))"),"775039282")</f>
        <v>775039282</v>
      </c>
      <c r="B4366" s="52">
        <v>7.75039282E8</v>
      </c>
      <c r="C4366" s="28" t="s">
        <v>4324</v>
      </c>
      <c r="D4366" s="26" t="s">
        <v>49</v>
      </c>
      <c r="E4366" s="31">
        <v>46235.0</v>
      </c>
      <c r="F4366" s="26" t="s">
        <v>46</v>
      </c>
      <c r="G4366" s="26">
        <v>10.0</v>
      </c>
      <c r="H4366" s="26" t="s">
        <v>253</v>
      </c>
      <c r="I4366" s="26" t="s">
        <v>872</v>
      </c>
      <c r="J4366" s="25" t="str">
        <f t="shared" si="49"/>
        <v>No</v>
      </c>
      <c r="K4366" s="25" t="str">
        <f t="shared" si="50"/>
        <v/>
      </c>
      <c r="L4366" s="25" t="str">
        <f t="shared" si="51"/>
        <v/>
      </c>
      <c r="M4366" s="25"/>
      <c r="O4366" s="25"/>
    </row>
    <row r="4367" ht="15.75" customHeight="1">
      <c r="A4367" s="25" t="str">
        <f>IFERROR(__xludf.DUMMYFUNCTION("IF(B4367="""","""",RIGHT(REGEXREPLACE(B4367&amp;"""",""[^0-9]"",""""),9))"),"716163263")</f>
        <v>716163263</v>
      </c>
      <c r="B4367" s="52">
        <v>7.16163263E8</v>
      </c>
      <c r="C4367" s="28" t="s">
        <v>4325</v>
      </c>
      <c r="D4367" s="26" t="s">
        <v>82</v>
      </c>
      <c r="E4367" s="31">
        <v>46235.0</v>
      </c>
      <c r="F4367" s="26" t="s">
        <v>46</v>
      </c>
      <c r="G4367" s="26">
        <v>10.0</v>
      </c>
      <c r="I4367" s="26" t="s">
        <v>872</v>
      </c>
      <c r="J4367" s="25" t="str">
        <f t="shared" si="49"/>
        <v>No</v>
      </c>
      <c r="K4367" s="25" t="str">
        <f t="shared" si="50"/>
        <v/>
      </c>
      <c r="L4367" s="25" t="str">
        <f t="shared" si="51"/>
        <v/>
      </c>
      <c r="M4367" s="25"/>
      <c r="O4367" s="25"/>
    </row>
    <row r="4368" ht="15.75" customHeight="1">
      <c r="A4368" s="25" t="str">
        <f>IFERROR(__xludf.DUMMYFUNCTION("IF(B4368="""","""",RIGHT(REGEXREPLACE(B4368&amp;"""",""[^0-9]"",""""),9))"),"761748045")</f>
        <v>761748045</v>
      </c>
      <c r="B4368" s="52">
        <v>7.61748045E8</v>
      </c>
      <c r="C4368" s="28" t="s">
        <v>4326</v>
      </c>
      <c r="D4368" s="26" t="s">
        <v>64</v>
      </c>
      <c r="E4368" s="31">
        <v>46235.0</v>
      </c>
      <c r="F4368" s="26" t="s">
        <v>84</v>
      </c>
      <c r="G4368" s="26">
        <v>10.0</v>
      </c>
      <c r="H4368" s="26" t="s">
        <v>140</v>
      </c>
      <c r="I4368" s="26" t="s">
        <v>872</v>
      </c>
      <c r="J4368" s="25" t="str">
        <f t="shared" si="49"/>
        <v>No</v>
      </c>
      <c r="K4368" s="25" t="str">
        <f t="shared" si="50"/>
        <v/>
      </c>
      <c r="L4368" s="25" t="str">
        <f t="shared" si="51"/>
        <v/>
      </c>
      <c r="M4368" s="25"/>
      <c r="O4368" s="25"/>
    </row>
    <row r="4369" ht="15.75" customHeight="1">
      <c r="A4369" s="25" t="str">
        <f>IFERROR(__xludf.DUMMYFUNCTION("IF(B4369="""","""",RIGHT(REGEXREPLACE(B4369&amp;"""",""[^0-9]"",""""),9))"),"767340044")</f>
        <v>767340044</v>
      </c>
      <c r="B4369" s="52">
        <v>7.67340044E8</v>
      </c>
      <c r="C4369" s="28" t="s">
        <v>4327</v>
      </c>
      <c r="D4369" s="26" t="s">
        <v>56</v>
      </c>
      <c r="E4369" s="31">
        <v>46235.0</v>
      </c>
      <c r="F4369" s="26" t="s">
        <v>46</v>
      </c>
      <c r="G4369" s="26">
        <v>10.0</v>
      </c>
      <c r="H4369" s="26" t="s">
        <v>140</v>
      </c>
      <c r="I4369" s="26" t="s">
        <v>872</v>
      </c>
      <c r="J4369" s="25" t="str">
        <f t="shared" si="49"/>
        <v>No</v>
      </c>
      <c r="K4369" s="25" t="str">
        <f t="shared" si="50"/>
        <v/>
      </c>
      <c r="L4369" s="25" t="str">
        <f t="shared" si="51"/>
        <v/>
      </c>
      <c r="M4369" s="25"/>
      <c r="O4369" s="25"/>
    </row>
    <row r="4370" ht="15.75" customHeight="1">
      <c r="A4370" s="25" t="str">
        <f>IFERROR(__xludf.DUMMYFUNCTION("IF(B4370="""","""",RIGHT(REGEXREPLACE(B4370&amp;"""",""[^0-9]"",""""),9))"),"760939425")</f>
        <v>760939425</v>
      </c>
      <c r="B4370" s="52">
        <v>7.60939425E8</v>
      </c>
      <c r="C4370" s="28" t="s">
        <v>4328</v>
      </c>
      <c r="D4370" s="26" t="s">
        <v>64</v>
      </c>
      <c r="E4370" s="31">
        <v>46235.0</v>
      </c>
      <c r="F4370" s="26" t="s">
        <v>46</v>
      </c>
      <c r="G4370" s="26">
        <v>10.0</v>
      </c>
      <c r="I4370" s="26" t="s">
        <v>872</v>
      </c>
      <c r="J4370" s="25" t="str">
        <f t="shared" si="49"/>
        <v>No</v>
      </c>
      <c r="K4370" s="25" t="str">
        <f t="shared" si="50"/>
        <v/>
      </c>
      <c r="L4370" s="25" t="str">
        <f t="shared" si="51"/>
        <v/>
      </c>
      <c r="M4370" s="25"/>
      <c r="O4370" s="25"/>
    </row>
    <row r="4371" ht="15.75" customHeight="1">
      <c r="A4371" s="25" t="str">
        <f>IFERROR(__xludf.DUMMYFUNCTION("IF(B4371="""","""",RIGHT(REGEXREPLACE(B4371&amp;"""",""[^0-9]"",""""),9))"),"715679185")</f>
        <v>715679185</v>
      </c>
      <c r="B4371" s="52">
        <v>7.15679185E8</v>
      </c>
      <c r="C4371" s="28" t="s">
        <v>4278</v>
      </c>
      <c r="D4371" s="26" t="s">
        <v>49</v>
      </c>
      <c r="E4371" s="31">
        <v>46235.0</v>
      </c>
      <c r="F4371" s="26" t="s">
        <v>46</v>
      </c>
      <c r="G4371" s="26">
        <v>10.0</v>
      </c>
      <c r="I4371" s="26" t="s">
        <v>872</v>
      </c>
      <c r="J4371" s="25" t="str">
        <f t="shared" si="49"/>
        <v>Yes - see Previous F-Code</v>
      </c>
      <c r="K4371" s="25" t="str">
        <f t="shared" si="50"/>
        <v>DUPLICATE - CHECK</v>
      </c>
      <c r="L4371" s="25" t="str">
        <f t="shared" si="51"/>
        <v>F73907</v>
      </c>
      <c r="M4371" s="25"/>
      <c r="O4371" s="25"/>
    </row>
    <row r="4372" ht="15.75" customHeight="1">
      <c r="A4372" s="25" t="str">
        <f>IFERROR(__xludf.DUMMYFUNCTION("IF(B4372="""","""",RIGHT(REGEXREPLACE(B4372&amp;"""",""[^0-9]"",""""),9))"),"701659648")</f>
        <v>701659648</v>
      </c>
      <c r="B4372" s="52">
        <v>7.01659648E8</v>
      </c>
      <c r="C4372" s="28" t="s">
        <v>4329</v>
      </c>
      <c r="D4372" s="26" t="s">
        <v>82</v>
      </c>
      <c r="E4372" s="31">
        <v>46235.0</v>
      </c>
      <c r="F4372" s="26" t="s">
        <v>46</v>
      </c>
      <c r="G4372" s="26">
        <v>7.0</v>
      </c>
      <c r="I4372" s="26" t="s">
        <v>872</v>
      </c>
      <c r="J4372" s="25" t="str">
        <f t="shared" si="49"/>
        <v>No</v>
      </c>
      <c r="K4372" s="25" t="str">
        <f t="shared" si="50"/>
        <v/>
      </c>
      <c r="L4372" s="25" t="str">
        <f t="shared" si="51"/>
        <v/>
      </c>
      <c r="M4372" s="25"/>
      <c r="O4372" s="26" t="s">
        <v>51</v>
      </c>
    </row>
    <row r="4373" ht="15.75" customHeight="1">
      <c r="A4373" s="25" t="str">
        <f>IFERROR(__xludf.DUMMYFUNCTION("IF(B4373="""","""",RIGHT(REGEXREPLACE(B4373&amp;"""",""[^0-9]"",""""),9))"),"715626769")</f>
        <v>715626769</v>
      </c>
      <c r="B4373" s="52">
        <v>7.15626769E8</v>
      </c>
      <c r="C4373" s="28" t="s">
        <v>4329</v>
      </c>
      <c r="D4373" s="26" t="s">
        <v>56</v>
      </c>
      <c r="E4373" s="31">
        <v>46235.0</v>
      </c>
      <c r="F4373" s="26" t="s">
        <v>631</v>
      </c>
      <c r="G4373" s="26">
        <v>11.0</v>
      </c>
      <c r="I4373" s="26" t="s">
        <v>872</v>
      </c>
      <c r="J4373" s="25" t="str">
        <f t="shared" si="49"/>
        <v>No</v>
      </c>
      <c r="K4373" s="25" t="str">
        <f t="shared" si="50"/>
        <v/>
      </c>
      <c r="L4373" s="25" t="str">
        <f t="shared" si="51"/>
        <v/>
      </c>
      <c r="M4373" s="25"/>
      <c r="O4373" s="25"/>
    </row>
    <row r="4374" ht="15.75" customHeight="1">
      <c r="A4374" s="25" t="str">
        <f>IFERROR(__xludf.DUMMYFUNCTION("IF(B4374="""","""",RIGHT(REGEXREPLACE(B4374&amp;"""",""[^0-9]"",""""),9))"),"764696115")</f>
        <v>764696115</v>
      </c>
      <c r="B4374" s="52">
        <v>7.64696115E8</v>
      </c>
      <c r="C4374" s="28" t="s">
        <v>4330</v>
      </c>
      <c r="D4374" s="26" t="s">
        <v>64</v>
      </c>
      <c r="E4374" s="31">
        <v>46235.0</v>
      </c>
      <c r="F4374" s="26" t="s">
        <v>46</v>
      </c>
      <c r="G4374" s="26">
        <v>10.0</v>
      </c>
      <c r="I4374" s="26" t="s">
        <v>872</v>
      </c>
      <c r="J4374" s="25" t="str">
        <f t="shared" si="49"/>
        <v>No</v>
      </c>
      <c r="K4374" s="25" t="str">
        <f t="shared" si="50"/>
        <v/>
      </c>
      <c r="L4374" s="25" t="str">
        <f t="shared" si="51"/>
        <v/>
      </c>
      <c r="M4374" s="25"/>
      <c r="O4374" s="25"/>
    </row>
    <row r="4375" ht="15.75" customHeight="1">
      <c r="A4375" s="25" t="str">
        <f>IFERROR(__xludf.DUMMYFUNCTION("IF(B4375="""","""",RIGHT(REGEXREPLACE(B4375&amp;"""",""[^0-9]"",""""),9))"),"771275696")</f>
        <v>771275696</v>
      </c>
      <c r="B4375" s="52">
        <v>7.71275696E8</v>
      </c>
      <c r="C4375" s="28" t="s">
        <v>4331</v>
      </c>
      <c r="D4375" s="26" t="s">
        <v>82</v>
      </c>
      <c r="E4375" s="31">
        <v>46235.0</v>
      </c>
      <c r="F4375" s="26" t="s">
        <v>46</v>
      </c>
      <c r="G4375" s="26">
        <v>11.0</v>
      </c>
      <c r="I4375" s="26" t="s">
        <v>872</v>
      </c>
      <c r="J4375" s="25" t="str">
        <f t="shared" si="49"/>
        <v>No</v>
      </c>
      <c r="K4375" s="25" t="str">
        <f t="shared" si="50"/>
        <v/>
      </c>
      <c r="L4375" s="25" t="str">
        <f t="shared" si="51"/>
        <v/>
      </c>
      <c r="M4375" s="25"/>
      <c r="O4375" s="25"/>
    </row>
    <row r="4376" ht="15.75" customHeight="1">
      <c r="A4376" s="25" t="str">
        <f>IFERROR(__xludf.DUMMYFUNCTION("IF(B4376="""","""",RIGHT(REGEXREPLACE(B4376&amp;"""",""[^0-9]"",""""),9))"),"776138061")</f>
        <v>776138061</v>
      </c>
      <c r="B4376" s="52">
        <v>7.76138061E8</v>
      </c>
      <c r="C4376" s="28" t="s">
        <v>134</v>
      </c>
      <c r="D4376" s="26" t="s">
        <v>56</v>
      </c>
      <c r="E4376" s="31">
        <v>46235.0</v>
      </c>
      <c r="F4376" s="26" t="s">
        <v>46</v>
      </c>
      <c r="G4376" s="26">
        <v>10.0</v>
      </c>
      <c r="I4376" s="26" t="s">
        <v>872</v>
      </c>
      <c r="J4376" s="25" t="str">
        <f t="shared" si="49"/>
        <v>No</v>
      </c>
      <c r="K4376" s="25" t="str">
        <f t="shared" si="50"/>
        <v/>
      </c>
      <c r="L4376" s="25" t="str">
        <f t="shared" si="51"/>
        <v/>
      </c>
      <c r="M4376" s="25"/>
      <c r="O4376" s="25"/>
    </row>
    <row r="4377" ht="15.75" customHeight="1">
      <c r="A4377" s="25" t="str">
        <f>IFERROR(__xludf.DUMMYFUNCTION("IF(B4377="""","""",RIGHT(REGEXREPLACE(B4377&amp;"""",""[^0-9]"",""""),9))"),"713873311")</f>
        <v>713873311</v>
      </c>
      <c r="B4377" s="52">
        <v>7.13873311E8</v>
      </c>
      <c r="C4377" s="28" t="s">
        <v>4332</v>
      </c>
      <c r="D4377" s="26" t="s">
        <v>49</v>
      </c>
      <c r="E4377" s="31">
        <v>46235.0</v>
      </c>
      <c r="F4377" s="26" t="s">
        <v>41</v>
      </c>
      <c r="G4377" s="26">
        <v>10.0</v>
      </c>
      <c r="I4377" s="26" t="s">
        <v>872</v>
      </c>
      <c r="J4377" s="25" t="str">
        <f t="shared" si="49"/>
        <v>No</v>
      </c>
      <c r="K4377" s="25" t="str">
        <f t="shared" si="50"/>
        <v/>
      </c>
      <c r="L4377" s="25" t="str">
        <f t="shared" si="51"/>
        <v/>
      </c>
      <c r="M4377" s="25"/>
      <c r="O4377" s="25"/>
    </row>
    <row r="4378" ht="15.75" customHeight="1">
      <c r="A4378" s="25" t="str">
        <f>IFERROR(__xludf.DUMMYFUNCTION("IF(B4378="""","""",RIGHT(REGEXREPLACE(B4378&amp;"""",""[^0-9]"",""""),9))"),"763091186")</f>
        <v>763091186</v>
      </c>
      <c r="B4378" s="52">
        <v>7.63091186E8</v>
      </c>
      <c r="C4378" s="28" t="s">
        <v>4317</v>
      </c>
      <c r="D4378" s="26" t="s">
        <v>64</v>
      </c>
      <c r="E4378" s="31">
        <v>46235.0</v>
      </c>
      <c r="F4378" s="26" t="s">
        <v>41</v>
      </c>
      <c r="I4378" s="26" t="s">
        <v>872</v>
      </c>
      <c r="J4378" s="25" t="str">
        <f t="shared" si="49"/>
        <v>No</v>
      </c>
      <c r="K4378" s="25" t="str">
        <f t="shared" si="50"/>
        <v/>
      </c>
      <c r="L4378" s="25" t="str">
        <f t="shared" si="51"/>
        <v/>
      </c>
      <c r="M4378" s="25"/>
      <c r="O4378" s="25"/>
    </row>
    <row r="4379" ht="15.75" customHeight="1">
      <c r="A4379" s="25" t="str">
        <f>IFERROR(__xludf.DUMMYFUNCTION("IF(B4379="""","""",RIGHT(REGEXREPLACE(B4379&amp;"""",""[^0-9]"",""""),9))"),"703017288")</f>
        <v>703017288</v>
      </c>
      <c r="B4379" s="52">
        <v>7.03017288E8</v>
      </c>
      <c r="C4379" s="28" t="s">
        <v>4333</v>
      </c>
      <c r="D4379" s="26" t="s">
        <v>82</v>
      </c>
      <c r="E4379" s="31">
        <v>46235.0</v>
      </c>
      <c r="F4379" s="26" t="s">
        <v>41</v>
      </c>
      <c r="G4379" s="26">
        <v>10.0</v>
      </c>
      <c r="I4379" s="26" t="s">
        <v>872</v>
      </c>
      <c r="J4379" s="25" t="str">
        <f t="shared" si="49"/>
        <v>No</v>
      </c>
      <c r="K4379" s="25" t="str">
        <f t="shared" si="50"/>
        <v/>
      </c>
      <c r="L4379" s="25" t="str">
        <f t="shared" si="51"/>
        <v/>
      </c>
      <c r="M4379" s="25"/>
      <c r="O4379" s="25"/>
    </row>
    <row r="4380" ht="15.75" customHeight="1">
      <c r="A4380" s="25" t="str">
        <f>IFERROR(__xludf.DUMMYFUNCTION("IF(B4380="""","""",RIGHT(REGEXREPLACE(B4380&amp;"""",""[^0-9]"",""""),9))"),"710190398")</f>
        <v>710190398</v>
      </c>
      <c r="B4380" s="52">
        <v>7.10190398E8</v>
      </c>
      <c r="C4380" s="28" t="s">
        <v>4334</v>
      </c>
      <c r="D4380" s="26" t="s">
        <v>56</v>
      </c>
      <c r="E4380" s="31">
        <v>46235.0</v>
      </c>
      <c r="F4380" s="26" t="s">
        <v>659</v>
      </c>
      <c r="I4380" s="26" t="s">
        <v>872</v>
      </c>
      <c r="J4380" s="25" t="str">
        <f t="shared" si="49"/>
        <v>No</v>
      </c>
      <c r="K4380" s="25" t="str">
        <f t="shared" si="50"/>
        <v/>
      </c>
      <c r="L4380" s="25" t="str">
        <f t="shared" si="51"/>
        <v/>
      </c>
      <c r="M4380" s="25"/>
      <c r="O4380" s="25"/>
    </row>
    <row r="4381" ht="15.75" customHeight="1">
      <c r="A4381" s="25" t="str">
        <f>IFERROR(__xludf.DUMMYFUNCTION("IF(B4381="""","""",RIGHT(REGEXREPLACE(B4381&amp;"""",""[^0-9]"",""""),9))"),"764583032")</f>
        <v>764583032</v>
      </c>
      <c r="B4381" s="52">
        <v>7.64583032E8</v>
      </c>
      <c r="C4381" s="28" t="s">
        <v>4335</v>
      </c>
      <c r="D4381" s="26" t="s">
        <v>49</v>
      </c>
      <c r="E4381" s="31">
        <v>46235.0</v>
      </c>
      <c r="F4381" s="26" t="s">
        <v>46</v>
      </c>
      <c r="G4381" s="26">
        <v>8.0</v>
      </c>
      <c r="I4381" s="26" t="s">
        <v>872</v>
      </c>
      <c r="J4381" s="25" t="str">
        <f t="shared" si="49"/>
        <v>No</v>
      </c>
      <c r="K4381" s="25" t="str">
        <f t="shared" si="50"/>
        <v/>
      </c>
      <c r="L4381" s="25" t="str">
        <f t="shared" si="51"/>
        <v/>
      </c>
      <c r="M4381" s="25"/>
      <c r="O4381" s="26" t="s">
        <v>51</v>
      </c>
    </row>
    <row r="4382" ht="15.75" customHeight="1">
      <c r="A4382" s="25" t="str">
        <f>IFERROR(__xludf.DUMMYFUNCTION("IF(B4382="""","""",RIGHT(REGEXREPLACE(B4382&amp;"""",""[^0-9]"",""""),9))"),"704035152")</f>
        <v>704035152</v>
      </c>
      <c r="B4382" s="52">
        <v>7.04035152E8</v>
      </c>
      <c r="C4382" s="28" t="s">
        <v>4336</v>
      </c>
      <c r="D4382" s="26" t="s">
        <v>82</v>
      </c>
      <c r="E4382" s="31">
        <v>46235.0</v>
      </c>
      <c r="F4382" s="26" t="s">
        <v>46</v>
      </c>
      <c r="G4382" s="26">
        <v>11.0</v>
      </c>
      <c r="I4382" s="26" t="s">
        <v>872</v>
      </c>
      <c r="J4382" s="25" t="str">
        <f t="shared" si="49"/>
        <v>No</v>
      </c>
      <c r="K4382" s="25" t="str">
        <f t="shared" si="50"/>
        <v/>
      </c>
      <c r="L4382" s="25" t="str">
        <f t="shared" si="51"/>
        <v/>
      </c>
      <c r="M4382" s="25"/>
      <c r="O4382" s="25"/>
    </row>
    <row r="4383" ht="15.75" customHeight="1">
      <c r="A4383" s="25" t="str">
        <f>IFERROR(__xludf.DUMMYFUNCTION("IF(B4383="""","""",RIGHT(REGEXREPLACE(B4383&amp;"""",""[^0-9]"",""""),9))"),"762915493")</f>
        <v>762915493</v>
      </c>
      <c r="B4383" s="52">
        <v>7.62915493E8</v>
      </c>
      <c r="C4383" s="28" t="s">
        <v>4337</v>
      </c>
      <c r="D4383" s="26" t="s">
        <v>56</v>
      </c>
      <c r="E4383" s="31">
        <v>46235.0</v>
      </c>
      <c r="F4383" s="26" t="s">
        <v>46</v>
      </c>
      <c r="G4383" s="26">
        <v>10.0</v>
      </c>
      <c r="I4383" s="26" t="s">
        <v>872</v>
      </c>
      <c r="J4383" s="25" t="str">
        <f t="shared" si="49"/>
        <v>No</v>
      </c>
      <c r="K4383" s="25" t="str">
        <f t="shared" si="50"/>
        <v/>
      </c>
      <c r="L4383" s="25" t="str">
        <f t="shared" si="51"/>
        <v/>
      </c>
      <c r="M4383" s="25"/>
      <c r="O4383" s="25"/>
    </row>
    <row r="4384" ht="15.75" customHeight="1">
      <c r="A4384" s="25" t="str">
        <f>IFERROR(__xludf.DUMMYFUNCTION("IF(B4384="""","""",RIGHT(REGEXREPLACE(B4384&amp;"""",""[^0-9]"",""""),9))"),"767110162")</f>
        <v>767110162</v>
      </c>
      <c r="B4384" s="52">
        <v>7.67110162E8</v>
      </c>
      <c r="C4384" s="28" t="s">
        <v>4338</v>
      </c>
      <c r="D4384" s="26" t="s">
        <v>64</v>
      </c>
      <c r="E4384" s="31">
        <v>46235.0</v>
      </c>
      <c r="F4384" s="26" t="s">
        <v>205</v>
      </c>
      <c r="I4384" s="26" t="s">
        <v>872</v>
      </c>
      <c r="J4384" s="25" t="str">
        <f t="shared" si="49"/>
        <v>No</v>
      </c>
      <c r="K4384" s="25" t="str">
        <f t="shared" si="50"/>
        <v/>
      </c>
      <c r="L4384" s="25" t="str">
        <f t="shared" si="51"/>
        <v/>
      </c>
      <c r="M4384" s="25"/>
      <c r="O4384" s="25"/>
    </row>
    <row r="4385" ht="15.75" customHeight="1">
      <c r="A4385" s="25" t="str">
        <f>IFERROR(__xludf.DUMMYFUNCTION("IF(B4385="""","""",RIGHT(REGEXREPLACE(B4385&amp;"""",""[^0-9]"",""""),9))"),"761432403")</f>
        <v>761432403</v>
      </c>
      <c r="B4385" s="52">
        <v>7.61432403E8</v>
      </c>
      <c r="C4385" s="28" t="s">
        <v>4339</v>
      </c>
      <c r="D4385" s="26" t="s">
        <v>49</v>
      </c>
      <c r="E4385" s="31">
        <v>46235.0</v>
      </c>
      <c r="F4385" s="26" t="s">
        <v>46</v>
      </c>
      <c r="G4385" s="26">
        <v>10.0</v>
      </c>
      <c r="I4385" s="26" t="s">
        <v>872</v>
      </c>
      <c r="J4385" s="25" t="str">
        <f t="shared" si="49"/>
        <v>No</v>
      </c>
      <c r="K4385" s="25" t="str">
        <f t="shared" si="50"/>
        <v/>
      </c>
      <c r="L4385" s="25" t="str">
        <f t="shared" si="51"/>
        <v/>
      </c>
      <c r="M4385" s="25"/>
      <c r="O4385" s="25"/>
    </row>
    <row r="4386" ht="15.75" customHeight="1">
      <c r="A4386" s="25" t="str">
        <f>IFERROR(__xludf.DUMMYFUNCTION("IF(B4386="""","""",RIGHT(REGEXREPLACE(B4386&amp;"""",""[^0-9]"",""""),9))"),"758919980")</f>
        <v>758919980</v>
      </c>
      <c r="B4386" s="52">
        <v>7.5891998E8</v>
      </c>
      <c r="C4386" s="28" t="s">
        <v>4340</v>
      </c>
      <c r="D4386" s="26" t="s">
        <v>82</v>
      </c>
      <c r="E4386" s="31">
        <v>46235.0</v>
      </c>
      <c r="F4386" s="26" t="s">
        <v>125</v>
      </c>
      <c r="G4386" s="26">
        <v>10.0</v>
      </c>
      <c r="I4386" s="26" t="s">
        <v>872</v>
      </c>
      <c r="J4386" s="25" t="str">
        <f t="shared" si="49"/>
        <v>No</v>
      </c>
      <c r="K4386" s="25" t="str">
        <f t="shared" si="50"/>
        <v/>
      </c>
      <c r="L4386" s="25" t="str">
        <f t="shared" si="51"/>
        <v/>
      </c>
      <c r="M4386" s="25"/>
      <c r="O4386" s="25"/>
    </row>
    <row r="4387" ht="15.75" customHeight="1">
      <c r="A4387" s="25" t="str">
        <f>IFERROR(__xludf.DUMMYFUNCTION("IF(B4387="""","""",RIGHT(REGEXREPLACE(B4387&amp;"""",""[^0-9]"",""""),9))"),"719114852")</f>
        <v>719114852</v>
      </c>
      <c r="B4387" s="52">
        <v>7.19114852E8</v>
      </c>
      <c r="C4387" s="28" t="s">
        <v>4341</v>
      </c>
      <c r="D4387" s="26" t="s">
        <v>64</v>
      </c>
      <c r="E4387" s="31">
        <v>46235.0</v>
      </c>
      <c r="F4387" s="26" t="s">
        <v>46</v>
      </c>
      <c r="G4387" s="26">
        <v>10.0</v>
      </c>
      <c r="H4387" s="26" t="s">
        <v>4342</v>
      </c>
      <c r="I4387" s="26" t="s">
        <v>872</v>
      </c>
      <c r="J4387" s="25" t="str">
        <f t="shared" si="49"/>
        <v>No</v>
      </c>
      <c r="K4387" s="25" t="str">
        <f t="shared" si="50"/>
        <v/>
      </c>
      <c r="L4387" s="25" t="str">
        <f t="shared" si="51"/>
        <v/>
      </c>
      <c r="M4387" s="25"/>
      <c r="O4387" s="25"/>
    </row>
    <row r="4388" ht="15.75" customHeight="1">
      <c r="A4388" s="25" t="str">
        <f>IFERROR(__xludf.DUMMYFUNCTION("IF(B4388="""","""",RIGHT(REGEXREPLACE(B4388&amp;"""",""[^0-9]"",""""),9))"),"711881350")</f>
        <v>711881350</v>
      </c>
      <c r="B4388" s="52">
        <v>7.1188135E8</v>
      </c>
      <c r="C4388" s="28" t="s">
        <v>4343</v>
      </c>
      <c r="D4388" s="26" t="s">
        <v>56</v>
      </c>
      <c r="E4388" s="31">
        <v>46235.0</v>
      </c>
      <c r="F4388" s="26" t="s">
        <v>46</v>
      </c>
      <c r="G4388" s="26">
        <v>10.0</v>
      </c>
      <c r="I4388" s="26" t="s">
        <v>872</v>
      </c>
      <c r="J4388" s="25" t="str">
        <f t="shared" si="49"/>
        <v>No</v>
      </c>
      <c r="K4388" s="25" t="str">
        <f t="shared" si="50"/>
        <v/>
      </c>
      <c r="L4388" s="25" t="str">
        <f t="shared" si="51"/>
        <v/>
      </c>
      <c r="M4388" s="25"/>
      <c r="O4388" s="25"/>
    </row>
    <row r="4389" ht="15.75" customHeight="1">
      <c r="A4389" s="25" t="str">
        <f>IFERROR(__xludf.DUMMYFUNCTION("IF(B4389="""","""",RIGHT(REGEXREPLACE(B4389&amp;"""",""[^0-9]"",""""),9))"),"767215808")</f>
        <v>767215808</v>
      </c>
      <c r="B4389" s="52">
        <v>7.67215808E8</v>
      </c>
      <c r="C4389" s="28" t="s">
        <v>4344</v>
      </c>
      <c r="D4389" s="26" t="s">
        <v>82</v>
      </c>
      <c r="E4389" s="31">
        <v>46235.0</v>
      </c>
      <c r="F4389" s="26" t="s">
        <v>41</v>
      </c>
      <c r="G4389" s="26">
        <v>10.0</v>
      </c>
      <c r="I4389" s="26" t="s">
        <v>872</v>
      </c>
      <c r="J4389" s="25" t="str">
        <f t="shared" si="49"/>
        <v>No</v>
      </c>
      <c r="K4389" s="25" t="str">
        <f t="shared" si="50"/>
        <v/>
      </c>
      <c r="L4389" s="25" t="str">
        <f t="shared" si="51"/>
        <v/>
      </c>
      <c r="M4389" s="25"/>
      <c r="O4389" s="25"/>
    </row>
    <row r="4390" ht="15.75" customHeight="1">
      <c r="A4390" s="25" t="str">
        <f>IFERROR(__xludf.DUMMYFUNCTION("IF(B4390="""","""",RIGHT(REGEXREPLACE(B4390&amp;"""",""[^0-9]"",""""),9))"),"722291106")</f>
        <v>722291106</v>
      </c>
      <c r="B4390" s="52">
        <v>7.22291106E8</v>
      </c>
      <c r="C4390" s="28" t="s">
        <v>4345</v>
      </c>
      <c r="D4390" s="26" t="s">
        <v>64</v>
      </c>
      <c r="E4390" s="31">
        <v>46235.0</v>
      </c>
      <c r="F4390" s="26" t="s">
        <v>46</v>
      </c>
      <c r="G4390" s="26">
        <v>10.0</v>
      </c>
      <c r="I4390" s="26" t="s">
        <v>872</v>
      </c>
      <c r="J4390" s="25" t="str">
        <f t="shared" si="49"/>
        <v>No</v>
      </c>
      <c r="K4390" s="25" t="str">
        <f t="shared" si="50"/>
        <v/>
      </c>
      <c r="L4390" s="25" t="str">
        <f t="shared" si="51"/>
        <v/>
      </c>
      <c r="M4390" s="25"/>
      <c r="O4390" s="25"/>
    </row>
    <row r="4391" ht="15.75" customHeight="1">
      <c r="A4391" s="25" t="str">
        <f>IFERROR(__xludf.DUMMYFUNCTION("IF(B4391="""","""",RIGHT(REGEXREPLACE(B4391&amp;"""",""[^0-9]"",""""),9))"),"768870934")</f>
        <v>768870934</v>
      </c>
      <c r="B4391" s="52">
        <v>7.68870934E8</v>
      </c>
      <c r="C4391" s="28" t="s">
        <v>4346</v>
      </c>
      <c r="D4391" s="26" t="s">
        <v>56</v>
      </c>
      <c r="E4391" s="31">
        <v>46235.0</v>
      </c>
      <c r="F4391" s="26" t="s">
        <v>41</v>
      </c>
      <c r="G4391" s="26">
        <v>10.0</v>
      </c>
      <c r="I4391" s="26" t="s">
        <v>872</v>
      </c>
      <c r="J4391" s="25" t="str">
        <f t="shared" si="49"/>
        <v>No</v>
      </c>
      <c r="K4391" s="25" t="str">
        <f t="shared" si="50"/>
        <v/>
      </c>
      <c r="L4391" s="25" t="str">
        <f t="shared" si="51"/>
        <v/>
      </c>
      <c r="M4391" s="25"/>
      <c r="O4391" s="25"/>
    </row>
    <row r="4392" ht="15.75" customHeight="1">
      <c r="A4392" s="25" t="str">
        <f>IFERROR(__xludf.DUMMYFUNCTION("IF(B4392="""","""",RIGHT(REGEXREPLACE(B4392&amp;"""",""[^0-9]"",""""),9))"),"761897266")</f>
        <v>761897266</v>
      </c>
      <c r="B4392" s="52">
        <v>7.61897266E8</v>
      </c>
      <c r="C4392" s="28" t="s">
        <v>4347</v>
      </c>
      <c r="D4392" s="26" t="s">
        <v>82</v>
      </c>
      <c r="E4392" s="31">
        <v>46235.0</v>
      </c>
      <c r="F4392" s="26" t="s">
        <v>46</v>
      </c>
      <c r="G4392" s="26">
        <v>10.0</v>
      </c>
      <c r="I4392" s="26" t="s">
        <v>872</v>
      </c>
      <c r="J4392" s="25" t="str">
        <f t="shared" si="49"/>
        <v>No</v>
      </c>
      <c r="K4392" s="25" t="str">
        <f t="shared" si="50"/>
        <v/>
      </c>
      <c r="L4392" s="25" t="str">
        <f t="shared" si="51"/>
        <v/>
      </c>
      <c r="M4392" s="25"/>
      <c r="O4392" s="25"/>
    </row>
    <row r="4393" ht="15.75" customHeight="1">
      <c r="A4393" s="25" t="str">
        <f>IFERROR(__xludf.DUMMYFUNCTION("IF(B4393="""","""",RIGHT(REGEXREPLACE(B4393&amp;"""",""[^0-9]"",""""),9))"),"762891242")</f>
        <v>762891242</v>
      </c>
      <c r="B4393" s="52">
        <v>7.62891242E8</v>
      </c>
      <c r="C4393" s="28" t="s">
        <v>4348</v>
      </c>
      <c r="D4393" s="26" t="s">
        <v>56</v>
      </c>
      <c r="E4393" s="31">
        <v>46235.0</v>
      </c>
      <c r="F4393" s="26" t="s">
        <v>41</v>
      </c>
      <c r="G4393" s="26">
        <v>10.0</v>
      </c>
      <c r="I4393" s="26" t="s">
        <v>872</v>
      </c>
      <c r="J4393" s="25" t="str">
        <f t="shared" si="49"/>
        <v>No</v>
      </c>
      <c r="K4393" s="25" t="str">
        <f t="shared" si="50"/>
        <v/>
      </c>
      <c r="L4393" s="25" t="str">
        <f t="shared" si="51"/>
        <v/>
      </c>
      <c r="M4393" s="25"/>
      <c r="O4393" s="25"/>
    </row>
    <row r="4394" ht="15.75" customHeight="1">
      <c r="A4394" s="25" t="str">
        <f>IFERROR(__xludf.DUMMYFUNCTION("IF(B4394="""","""",RIGHT(REGEXREPLACE(B4394&amp;"""",""[^0-9]"",""""),9))"),"778086402")</f>
        <v>778086402</v>
      </c>
      <c r="B4394" s="52">
        <v>7.78086402E8</v>
      </c>
      <c r="C4394" s="28" t="s">
        <v>3988</v>
      </c>
      <c r="D4394" s="26" t="s">
        <v>49</v>
      </c>
      <c r="E4394" s="31">
        <v>46235.0</v>
      </c>
      <c r="F4394" s="26" t="s">
        <v>41</v>
      </c>
      <c r="G4394" s="26">
        <v>10.0</v>
      </c>
      <c r="I4394" s="26" t="s">
        <v>872</v>
      </c>
      <c r="J4394" s="25" t="str">
        <f t="shared" si="49"/>
        <v>Yes - see Previous F-Code</v>
      </c>
      <c r="K4394" s="25" t="str">
        <f t="shared" si="50"/>
        <v/>
      </c>
      <c r="L4394" s="25" t="str">
        <f t="shared" si="51"/>
        <v>F73633</v>
      </c>
      <c r="M4394" s="25"/>
      <c r="O4394" s="25"/>
    </row>
    <row r="4395" ht="15.75" customHeight="1">
      <c r="A4395" s="25" t="str">
        <f>IFERROR(__xludf.DUMMYFUNCTION("IF(B4395="""","""",RIGHT(REGEXREPLACE(B4395&amp;"""",""[^0-9]"",""""),9))"),"771882860")</f>
        <v>771882860</v>
      </c>
      <c r="B4395" s="52">
        <v>7.7188286E8</v>
      </c>
      <c r="C4395" s="28" t="s">
        <v>4349</v>
      </c>
      <c r="D4395" s="26" t="s">
        <v>64</v>
      </c>
      <c r="E4395" s="31">
        <v>46235.0</v>
      </c>
      <c r="F4395" s="26" t="s">
        <v>46</v>
      </c>
      <c r="G4395" s="26">
        <v>10.0</v>
      </c>
      <c r="I4395" s="26" t="s">
        <v>872</v>
      </c>
      <c r="J4395" s="25" t="str">
        <f t="shared" si="49"/>
        <v>No</v>
      </c>
      <c r="K4395" s="25" t="str">
        <f t="shared" si="50"/>
        <v/>
      </c>
      <c r="L4395" s="25" t="str">
        <f t="shared" si="51"/>
        <v/>
      </c>
      <c r="M4395" s="25"/>
      <c r="O4395" s="25"/>
    </row>
    <row r="4396" ht="15.75" customHeight="1">
      <c r="A4396" s="25" t="str">
        <f>IFERROR(__xludf.DUMMYFUNCTION("IF(B4396="""","""",RIGHT(REGEXREPLACE(B4396&amp;"""",""[^0-9]"",""""),9))"),"781451087")</f>
        <v>781451087</v>
      </c>
      <c r="B4396" s="52">
        <v>7.81451087E8</v>
      </c>
      <c r="C4396" s="28" t="s">
        <v>2664</v>
      </c>
      <c r="D4396" s="26" t="s">
        <v>56</v>
      </c>
      <c r="E4396" s="31">
        <v>46235.0</v>
      </c>
      <c r="F4396" s="26" t="s">
        <v>41</v>
      </c>
      <c r="G4396" s="26">
        <v>10.0</v>
      </c>
      <c r="I4396" s="26" t="s">
        <v>872</v>
      </c>
      <c r="J4396" s="25" t="str">
        <f t="shared" si="49"/>
        <v>No</v>
      </c>
      <c r="K4396" s="25" t="str">
        <f t="shared" si="50"/>
        <v/>
      </c>
      <c r="L4396" s="25" t="str">
        <f t="shared" si="51"/>
        <v/>
      </c>
      <c r="M4396" s="25"/>
      <c r="O4396" s="25"/>
    </row>
    <row r="4397" ht="15.75" customHeight="1">
      <c r="A4397" s="25" t="str">
        <f>IFERROR(__xludf.DUMMYFUNCTION("IF(B4397="""","""",RIGHT(REGEXREPLACE(B4397&amp;"""",""[^0-9]"",""""),9))"),"763619325")</f>
        <v>763619325</v>
      </c>
      <c r="B4397" s="52">
        <v>7.63619325E8</v>
      </c>
      <c r="C4397" s="28" t="s">
        <v>4026</v>
      </c>
      <c r="D4397" s="26" t="s">
        <v>82</v>
      </c>
      <c r="E4397" s="31">
        <v>46235.0</v>
      </c>
      <c r="F4397" s="26" t="s">
        <v>46</v>
      </c>
      <c r="G4397" s="26">
        <v>8.0</v>
      </c>
      <c r="I4397" s="26" t="s">
        <v>872</v>
      </c>
      <c r="J4397" s="25" t="str">
        <f t="shared" si="49"/>
        <v>Yes - see Previous F-Code</v>
      </c>
      <c r="K4397" s="25" t="str">
        <f t="shared" si="50"/>
        <v/>
      </c>
      <c r="L4397" s="25" t="str">
        <f t="shared" si="51"/>
        <v>F73671</v>
      </c>
      <c r="M4397" s="25"/>
      <c r="O4397" s="25"/>
    </row>
    <row r="4398" ht="15.75" customHeight="1">
      <c r="A4398" s="25" t="str">
        <f>IFERROR(__xludf.DUMMYFUNCTION("IF(B4398="""","""",RIGHT(REGEXREPLACE(B4398&amp;"""",""[^0-9]"",""""),9))"),"716891068")</f>
        <v>716891068</v>
      </c>
      <c r="B4398" s="52">
        <v>7.16891068E8</v>
      </c>
      <c r="C4398" s="28" t="s">
        <v>4350</v>
      </c>
      <c r="D4398" s="26" t="s">
        <v>49</v>
      </c>
      <c r="E4398" s="31">
        <v>46235.0</v>
      </c>
      <c r="F4398" s="26" t="s">
        <v>41</v>
      </c>
      <c r="G4398" s="26">
        <v>10.0</v>
      </c>
      <c r="I4398" s="26" t="s">
        <v>872</v>
      </c>
      <c r="J4398" s="25" t="str">
        <f t="shared" si="49"/>
        <v>No</v>
      </c>
      <c r="K4398" s="25" t="str">
        <f t="shared" si="50"/>
        <v/>
      </c>
      <c r="L4398" s="25" t="str">
        <f t="shared" si="51"/>
        <v/>
      </c>
      <c r="M4398" s="25"/>
      <c r="O4398" s="25"/>
    </row>
    <row r="4399" ht="15.75" customHeight="1">
      <c r="A4399" s="25" t="str">
        <f>IFERROR(__xludf.DUMMYFUNCTION("IF(B4399="""","""",RIGHT(REGEXREPLACE(B4399&amp;"""",""[^0-9]"",""""),9))"),"775842612")</f>
        <v>775842612</v>
      </c>
      <c r="B4399" s="52">
        <v>7.75842612E8</v>
      </c>
      <c r="C4399" s="28" t="s">
        <v>4351</v>
      </c>
      <c r="D4399" s="26" t="s">
        <v>64</v>
      </c>
      <c r="E4399" s="31">
        <v>46235.0</v>
      </c>
      <c r="F4399" s="26" t="s">
        <v>41</v>
      </c>
      <c r="G4399" s="26">
        <v>10.0</v>
      </c>
      <c r="I4399" s="26" t="s">
        <v>872</v>
      </c>
      <c r="J4399" s="25" t="str">
        <f t="shared" si="49"/>
        <v>No</v>
      </c>
      <c r="K4399" s="25" t="str">
        <f t="shared" si="50"/>
        <v/>
      </c>
      <c r="L4399" s="25" t="str">
        <f t="shared" si="51"/>
        <v/>
      </c>
      <c r="M4399" s="25"/>
      <c r="O4399" s="25"/>
    </row>
    <row r="4400" ht="15.75" customHeight="1">
      <c r="A4400" s="25" t="str">
        <f>IFERROR(__xludf.DUMMYFUNCTION("IF(B4400="""","""",RIGHT(REGEXREPLACE(B4400&amp;"""",""[^0-9]"",""""),9))"),"760643185")</f>
        <v>760643185</v>
      </c>
      <c r="B4400" s="52">
        <v>7.60643185E8</v>
      </c>
      <c r="C4400" s="28" t="s">
        <v>4352</v>
      </c>
      <c r="D4400" s="26" t="s">
        <v>82</v>
      </c>
      <c r="E4400" s="31">
        <v>46235.0</v>
      </c>
      <c r="F4400" s="26" t="s">
        <v>41</v>
      </c>
      <c r="G4400" s="26">
        <v>11.0</v>
      </c>
      <c r="I4400" s="26" t="s">
        <v>872</v>
      </c>
      <c r="J4400" s="25" t="str">
        <f t="shared" si="49"/>
        <v>No</v>
      </c>
      <c r="K4400" s="25" t="str">
        <f t="shared" si="50"/>
        <v/>
      </c>
      <c r="L4400" s="25" t="str">
        <f t="shared" si="51"/>
        <v/>
      </c>
      <c r="M4400" s="25"/>
      <c r="O4400" s="25"/>
    </row>
    <row r="4401" ht="15.75" customHeight="1">
      <c r="A4401" s="25" t="str">
        <f>IFERROR(__xludf.DUMMYFUNCTION("IF(B4401="""","""",RIGHT(REGEXREPLACE(B4401&amp;"""",""[^0-9]"",""""),9))"),"713081688")</f>
        <v>713081688</v>
      </c>
      <c r="B4401" s="52">
        <v>7.13081688E8</v>
      </c>
      <c r="C4401" s="28" t="s">
        <v>4353</v>
      </c>
      <c r="D4401" s="26" t="s">
        <v>64</v>
      </c>
      <c r="E4401" s="31">
        <v>46235.0</v>
      </c>
      <c r="F4401" s="26" t="s">
        <v>205</v>
      </c>
      <c r="G4401" s="26">
        <v>11.0</v>
      </c>
      <c r="I4401" s="26" t="s">
        <v>872</v>
      </c>
      <c r="J4401" s="25" t="str">
        <f t="shared" si="49"/>
        <v>No</v>
      </c>
      <c r="K4401" s="25" t="str">
        <f t="shared" si="50"/>
        <v/>
      </c>
      <c r="L4401" s="25" t="str">
        <f t="shared" si="51"/>
        <v/>
      </c>
      <c r="M4401" s="25"/>
      <c r="O4401" s="25"/>
    </row>
    <row r="4402" ht="15.75" customHeight="1">
      <c r="A4402" s="25" t="str">
        <f>IFERROR(__xludf.DUMMYFUNCTION("IF(B4402="""","""",RIGHT(REGEXREPLACE(B4402&amp;"""",""[^0-9]"",""""),9))"),"760794574")</f>
        <v>760794574</v>
      </c>
      <c r="B4402" s="52">
        <v>7.60794574E8</v>
      </c>
      <c r="C4402" s="28" t="s">
        <v>4354</v>
      </c>
      <c r="D4402" s="26" t="s">
        <v>64</v>
      </c>
      <c r="E4402" s="31">
        <v>46235.0</v>
      </c>
      <c r="F4402" s="26" t="s">
        <v>41</v>
      </c>
      <c r="I4402" s="26" t="s">
        <v>872</v>
      </c>
      <c r="J4402" s="25" t="str">
        <f t="shared" si="49"/>
        <v>No</v>
      </c>
      <c r="K4402" s="25" t="str">
        <f t="shared" si="50"/>
        <v/>
      </c>
      <c r="L4402" s="25" t="str">
        <f t="shared" si="51"/>
        <v/>
      </c>
      <c r="M4402" s="25"/>
      <c r="O4402" s="25"/>
    </row>
    <row r="4403" ht="15.75" customHeight="1">
      <c r="A4403" s="25" t="str">
        <f>IFERROR(__xludf.DUMMYFUNCTION("IF(B4403="""","""",RIGHT(REGEXREPLACE(B4403&amp;"""",""[^0-9]"",""""),9))"),"770370305")</f>
        <v>770370305</v>
      </c>
      <c r="B4403" s="52">
        <v>7.70370305E8</v>
      </c>
      <c r="C4403" s="28" t="s">
        <v>4355</v>
      </c>
      <c r="D4403" s="26" t="s">
        <v>49</v>
      </c>
      <c r="E4403" s="31">
        <v>46235.0</v>
      </c>
      <c r="F4403" s="26" t="s">
        <v>46</v>
      </c>
      <c r="G4403" s="26">
        <v>10.0</v>
      </c>
      <c r="I4403" s="26" t="s">
        <v>872</v>
      </c>
      <c r="J4403" s="25" t="str">
        <f t="shared" si="49"/>
        <v>No</v>
      </c>
      <c r="K4403" s="25" t="str">
        <f t="shared" si="50"/>
        <v/>
      </c>
      <c r="L4403" s="25" t="str">
        <f t="shared" si="51"/>
        <v/>
      </c>
      <c r="M4403" s="25"/>
      <c r="O4403" s="25"/>
    </row>
    <row r="4404" ht="15.75" customHeight="1">
      <c r="A4404" s="25" t="str">
        <f>IFERROR(__xludf.DUMMYFUNCTION("IF(B4404="""","""",RIGHT(REGEXREPLACE(B4404&amp;"""",""[^0-9]"",""""),9))"),"774522595")</f>
        <v>774522595</v>
      </c>
      <c r="B4404" s="52">
        <v>7.74522595E8</v>
      </c>
      <c r="C4404" s="28" t="s">
        <v>4356</v>
      </c>
      <c r="D4404" s="26" t="s">
        <v>82</v>
      </c>
      <c r="E4404" s="31">
        <v>46235.0</v>
      </c>
      <c r="F4404" s="25"/>
      <c r="G4404" s="25"/>
      <c r="H4404" s="25"/>
      <c r="I4404" s="26" t="s">
        <v>872</v>
      </c>
      <c r="J4404" s="25" t="str">
        <f t="shared" si="49"/>
        <v>No</v>
      </c>
      <c r="K4404" s="25" t="str">
        <f t="shared" si="50"/>
        <v/>
      </c>
      <c r="L4404" s="25" t="str">
        <f t="shared" si="51"/>
        <v/>
      </c>
      <c r="M4404" s="25"/>
      <c r="N4404" s="25"/>
      <c r="O4404" s="25"/>
      <c r="P4404" s="25"/>
    </row>
    <row r="4405" ht="15.75" customHeight="1">
      <c r="A4405" s="25" t="str">
        <f>IFERROR(__xludf.DUMMYFUNCTION("IF(B4405="""","""",RIGHT(REGEXREPLACE(B4405&amp;"""",""[^0-9]"",""""),9))"),"774602484")</f>
        <v>774602484</v>
      </c>
      <c r="B4405" s="52">
        <v>4.774602484E9</v>
      </c>
      <c r="C4405" s="28" t="s">
        <v>4357</v>
      </c>
      <c r="D4405" s="26" t="s">
        <v>64</v>
      </c>
      <c r="E4405" s="31">
        <v>46235.0</v>
      </c>
      <c r="F4405" s="26" t="s">
        <v>205</v>
      </c>
      <c r="G4405" s="26">
        <v>7.0</v>
      </c>
      <c r="I4405" s="26" t="s">
        <v>872</v>
      </c>
      <c r="J4405" s="25" t="str">
        <f t="shared" si="49"/>
        <v>No</v>
      </c>
      <c r="K4405" s="25" t="str">
        <f t="shared" si="50"/>
        <v/>
      </c>
      <c r="L4405" s="25" t="str">
        <f t="shared" si="51"/>
        <v/>
      </c>
      <c r="M4405" s="25"/>
      <c r="O4405" s="25"/>
    </row>
    <row r="4406" ht="15.75" customHeight="1">
      <c r="A4406" s="25" t="str">
        <f>IFERROR(__xludf.DUMMYFUNCTION("IF(B4406="""","""",RIGHT(REGEXREPLACE(B4406&amp;"""",""[^0-9]"",""""),9))"),"774161755")</f>
        <v>774161755</v>
      </c>
      <c r="B4406" s="52">
        <v>7.74161755E8</v>
      </c>
      <c r="C4406" s="28" t="s">
        <v>4358</v>
      </c>
      <c r="D4406" s="26" t="s">
        <v>56</v>
      </c>
      <c r="E4406" s="31">
        <v>46235.0</v>
      </c>
      <c r="F4406" s="26" t="s">
        <v>631</v>
      </c>
      <c r="G4406" s="26">
        <v>11.0</v>
      </c>
      <c r="I4406" s="26" t="s">
        <v>872</v>
      </c>
      <c r="J4406" s="25" t="str">
        <f t="shared" si="49"/>
        <v>No</v>
      </c>
      <c r="K4406" s="25" t="str">
        <f t="shared" si="50"/>
        <v/>
      </c>
      <c r="L4406" s="25" t="str">
        <f t="shared" si="51"/>
        <v/>
      </c>
      <c r="M4406" s="25"/>
      <c r="O4406" s="25"/>
    </row>
    <row r="4407" ht="15.75" customHeight="1">
      <c r="A4407" s="25" t="str">
        <f>IFERROR(__xludf.DUMMYFUNCTION("IF(B4407="""","""",RIGHT(REGEXREPLACE(B4407&amp;"""",""[^0-9]"",""""),9))"),"771248368")</f>
        <v>771248368</v>
      </c>
      <c r="B4407" s="52">
        <v>7.71248368E8</v>
      </c>
      <c r="C4407" s="28" t="s">
        <v>4359</v>
      </c>
      <c r="D4407" s="26" t="s">
        <v>64</v>
      </c>
      <c r="E4407" s="31">
        <v>46235.0</v>
      </c>
      <c r="F4407" s="26" t="s">
        <v>41</v>
      </c>
      <c r="G4407" s="26">
        <v>11.0</v>
      </c>
      <c r="I4407" s="26" t="s">
        <v>872</v>
      </c>
      <c r="J4407" s="25" t="str">
        <f t="shared" si="49"/>
        <v>No</v>
      </c>
      <c r="K4407" s="25" t="str">
        <f t="shared" si="50"/>
        <v/>
      </c>
      <c r="L4407" s="25" t="str">
        <f t="shared" si="51"/>
        <v/>
      </c>
      <c r="M4407" s="25"/>
      <c r="O4407" s="25"/>
    </row>
    <row r="4408" ht="15.75" customHeight="1">
      <c r="A4408" s="25" t="str">
        <f>IFERROR(__xludf.DUMMYFUNCTION("IF(B4408="""","""",RIGHT(REGEXREPLACE(B4408&amp;"""",""[^0-9]"",""""),9))"),"765692766")</f>
        <v>765692766</v>
      </c>
      <c r="B4408" s="52">
        <v>7.65692766E8</v>
      </c>
      <c r="C4408" s="28" t="s">
        <v>4360</v>
      </c>
      <c r="D4408" s="26" t="s">
        <v>82</v>
      </c>
      <c r="E4408" s="31">
        <v>46235.0</v>
      </c>
      <c r="F4408" s="26" t="s">
        <v>41</v>
      </c>
      <c r="I4408" s="26" t="s">
        <v>872</v>
      </c>
      <c r="J4408" s="25" t="str">
        <f t="shared" si="49"/>
        <v>No</v>
      </c>
      <c r="K4408" s="25" t="str">
        <f t="shared" si="50"/>
        <v/>
      </c>
      <c r="L4408" s="25" t="str">
        <f t="shared" si="51"/>
        <v/>
      </c>
      <c r="M4408" s="25"/>
      <c r="O4408" s="25"/>
    </row>
    <row r="4409" ht="15.75" customHeight="1">
      <c r="A4409" s="25" t="str">
        <f>IFERROR(__xludf.DUMMYFUNCTION("IF(B4409="""","""",RIGHT(REGEXREPLACE(B4409&amp;"""",""[^0-9]"",""""),9))"),"717320227")</f>
        <v>717320227</v>
      </c>
      <c r="B4409" s="52">
        <v>7.17320227E8</v>
      </c>
      <c r="C4409" s="28" t="s">
        <v>4361</v>
      </c>
      <c r="D4409" s="26" t="s">
        <v>64</v>
      </c>
      <c r="E4409" s="31">
        <v>46235.0</v>
      </c>
      <c r="F4409" s="26" t="s">
        <v>46</v>
      </c>
      <c r="H4409" s="26" t="s">
        <v>4362</v>
      </c>
      <c r="I4409" s="26" t="s">
        <v>872</v>
      </c>
      <c r="J4409" s="25" t="str">
        <f t="shared" si="49"/>
        <v>No</v>
      </c>
      <c r="K4409" s="25" t="str">
        <f t="shared" si="50"/>
        <v/>
      </c>
      <c r="L4409" s="25" t="str">
        <f t="shared" si="51"/>
        <v/>
      </c>
      <c r="M4409" s="25"/>
      <c r="O4409" s="25"/>
    </row>
    <row r="4410" ht="15.75" customHeight="1">
      <c r="A4410" s="25" t="str">
        <f>IFERROR(__xludf.DUMMYFUNCTION("IF(B4410="""","""",RIGHT(REGEXREPLACE(B4410&amp;"""",""[^0-9]"",""""),9))"),"704145153")</f>
        <v>704145153</v>
      </c>
      <c r="B4410" s="52">
        <v>7.04145153E8</v>
      </c>
      <c r="C4410" s="28" t="s">
        <v>4363</v>
      </c>
      <c r="D4410" s="26" t="s">
        <v>45</v>
      </c>
      <c r="E4410" s="31">
        <v>46235.0</v>
      </c>
      <c r="F4410" s="26" t="s">
        <v>46</v>
      </c>
      <c r="G4410" s="26">
        <v>8.0</v>
      </c>
      <c r="I4410" s="26" t="s">
        <v>872</v>
      </c>
      <c r="J4410" s="25" t="str">
        <f t="shared" si="49"/>
        <v>No</v>
      </c>
      <c r="K4410" s="25" t="str">
        <f t="shared" si="50"/>
        <v/>
      </c>
      <c r="L4410" s="25" t="str">
        <f t="shared" si="51"/>
        <v/>
      </c>
      <c r="M4410" s="25"/>
      <c r="O4410" s="25"/>
    </row>
    <row r="4411" ht="15.75" customHeight="1">
      <c r="A4411" s="25" t="str">
        <f>IFERROR(__xludf.DUMMYFUNCTION("IF(B4411="""","""",RIGHT(REGEXREPLACE(B4411&amp;"""",""[^0-9]"",""""),9))"),"718963569")</f>
        <v>718963569</v>
      </c>
      <c r="B4411" s="52">
        <v>7.18963569E8</v>
      </c>
      <c r="C4411" s="28" t="s">
        <v>4364</v>
      </c>
      <c r="D4411" s="26" t="s">
        <v>56</v>
      </c>
      <c r="E4411" s="31">
        <v>46235.0</v>
      </c>
      <c r="F4411" s="26" t="s">
        <v>46</v>
      </c>
      <c r="G4411" s="26">
        <v>10.0</v>
      </c>
      <c r="H4411" s="26" t="s">
        <v>140</v>
      </c>
      <c r="I4411" s="26" t="s">
        <v>872</v>
      </c>
      <c r="J4411" s="25" t="str">
        <f t="shared" si="49"/>
        <v>No</v>
      </c>
      <c r="K4411" s="25" t="str">
        <f t="shared" si="50"/>
        <v/>
      </c>
      <c r="L4411" s="25" t="str">
        <f t="shared" si="51"/>
        <v/>
      </c>
      <c r="M4411" s="25"/>
      <c r="O4411" s="25"/>
    </row>
    <row r="4412" ht="15.75" customHeight="1">
      <c r="A4412" s="25" t="str">
        <f>IFERROR(__xludf.DUMMYFUNCTION("IF(B4412="""","""",RIGHT(REGEXREPLACE(B4412&amp;"""",""[^0-9]"",""""),9))"),"763952618")</f>
        <v>763952618</v>
      </c>
      <c r="B4412" s="52">
        <v>7.63952618E8</v>
      </c>
      <c r="C4412" s="28" t="s">
        <v>4365</v>
      </c>
      <c r="D4412" s="26" t="s">
        <v>64</v>
      </c>
      <c r="E4412" s="31">
        <v>46235.0</v>
      </c>
      <c r="F4412" s="26" t="s">
        <v>46</v>
      </c>
      <c r="G4412" s="26">
        <v>10.0</v>
      </c>
      <c r="I4412" s="26" t="s">
        <v>872</v>
      </c>
      <c r="J4412" s="25" t="str">
        <f t="shared" si="49"/>
        <v>No</v>
      </c>
      <c r="K4412" s="25" t="str">
        <f t="shared" si="50"/>
        <v/>
      </c>
      <c r="L4412" s="25" t="str">
        <f t="shared" si="51"/>
        <v/>
      </c>
      <c r="M4412" s="25"/>
      <c r="O4412" s="25"/>
    </row>
    <row r="4413" ht="15.75" customHeight="1">
      <c r="A4413" s="25" t="str">
        <f>IFERROR(__xludf.DUMMYFUNCTION("IF(B4413="""","""",RIGHT(REGEXREPLACE(B4413&amp;"""",""[^0-9]"",""""),9))"),"706071367")</f>
        <v>706071367</v>
      </c>
      <c r="B4413" s="52">
        <v>7.06071367E8</v>
      </c>
      <c r="C4413" s="28" t="s">
        <v>4366</v>
      </c>
      <c r="D4413" s="26" t="s">
        <v>45</v>
      </c>
      <c r="E4413" s="31">
        <v>46235.0</v>
      </c>
      <c r="F4413" s="26" t="s">
        <v>46</v>
      </c>
      <c r="G4413" s="26">
        <v>11.0</v>
      </c>
      <c r="H4413" s="26" t="s">
        <v>4367</v>
      </c>
      <c r="I4413" s="26" t="s">
        <v>872</v>
      </c>
      <c r="J4413" s="25" t="str">
        <f t="shared" si="49"/>
        <v>No</v>
      </c>
      <c r="K4413" s="25" t="str">
        <f t="shared" si="50"/>
        <v/>
      </c>
      <c r="L4413" s="25" t="str">
        <f t="shared" si="51"/>
        <v/>
      </c>
      <c r="M4413" s="25"/>
      <c r="O4413" s="25"/>
    </row>
    <row r="4414" ht="15.75" customHeight="1">
      <c r="A4414" s="25" t="str">
        <f>IFERROR(__xludf.DUMMYFUNCTION("IF(B4414="""","""",RIGHT(REGEXREPLACE(B4414&amp;"""",""[^0-9]"",""""),9))"),"774741145")</f>
        <v>774741145</v>
      </c>
      <c r="B4414" s="52">
        <v>7.74741145E8</v>
      </c>
      <c r="C4414" s="28" t="s">
        <v>4368</v>
      </c>
      <c r="D4414" s="26" t="s">
        <v>82</v>
      </c>
      <c r="E4414" s="31">
        <v>46235.0</v>
      </c>
      <c r="F4414" s="26" t="s">
        <v>205</v>
      </c>
      <c r="I4414" s="26" t="s">
        <v>872</v>
      </c>
      <c r="J4414" s="25" t="str">
        <f t="shared" si="49"/>
        <v>No</v>
      </c>
      <c r="K4414" s="25" t="str">
        <f t="shared" si="50"/>
        <v/>
      </c>
      <c r="L4414" s="25" t="str">
        <f t="shared" si="51"/>
        <v/>
      </c>
      <c r="M4414" s="25"/>
      <c r="O4414" s="25"/>
    </row>
    <row r="4415" ht="15.75" customHeight="1">
      <c r="A4415" s="25" t="str">
        <f>IFERROR(__xludf.DUMMYFUNCTION("IF(B4415="""","""",RIGHT(REGEXREPLACE(B4415&amp;"""",""[^0-9]"",""""),9))"),"756944382")</f>
        <v>756944382</v>
      </c>
      <c r="B4415" s="52">
        <v>7.56944382E8</v>
      </c>
      <c r="C4415" s="28" t="s">
        <v>4369</v>
      </c>
      <c r="D4415" s="26" t="s">
        <v>49</v>
      </c>
      <c r="E4415" s="31">
        <v>46235.0</v>
      </c>
      <c r="F4415" s="26" t="s">
        <v>46</v>
      </c>
      <c r="G4415" s="26">
        <v>10.0</v>
      </c>
      <c r="I4415" s="26" t="s">
        <v>872</v>
      </c>
      <c r="J4415" s="25" t="str">
        <f t="shared" si="49"/>
        <v>No</v>
      </c>
      <c r="K4415" s="25" t="str">
        <f t="shared" si="50"/>
        <v/>
      </c>
      <c r="L4415" s="25" t="str">
        <f t="shared" si="51"/>
        <v/>
      </c>
      <c r="M4415" s="25"/>
      <c r="O4415" s="25"/>
    </row>
    <row r="4416" ht="15.75" customHeight="1">
      <c r="A4416" s="25" t="str">
        <f>IFERROR(__xludf.DUMMYFUNCTION("IF(B4416="""","""",RIGHT(REGEXREPLACE(B4416&amp;"""",""[^0-9]"",""""),9))"),"740596222")</f>
        <v>740596222</v>
      </c>
      <c r="B4416" s="52">
        <v>7.40596222E8</v>
      </c>
      <c r="C4416" s="28" t="s">
        <v>4370</v>
      </c>
      <c r="D4416" s="26" t="s">
        <v>56</v>
      </c>
      <c r="E4416" s="31">
        <v>46235.0</v>
      </c>
      <c r="F4416" s="26" t="s">
        <v>41</v>
      </c>
      <c r="G4416" s="26">
        <v>10.0</v>
      </c>
      <c r="I4416" s="26" t="s">
        <v>872</v>
      </c>
      <c r="J4416" s="25" t="str">
        <f t="shared" si="49"/>
        <v>No</v>
      </c>
      <c r="K4416" s="25" t="str">
        <f t="shared" si="50"/>
        <v/>
      </c>
      <c r="L4416" s="25" t="str">
        <f t="shared" si="51"/>
        <v/>
      </c>
      <c r="M4416" s="25"/>
      <c r="O4416" s="25"/>
    </row>
    <row r="4417" ht="15.75" customHeight="1">
      <c r="A4417" s="25" t="str">
        <f>IFERROR(__xludf.DUMMYFUNCTION("IF(B4417="""","""",RIGHT(REGEXREPLACE(B4417&amp;"""",""[^0-9]"",""""),9))"),"756329822")</f>
        <v>756329822</v>
      </c>
      <c r="B4417" s="52">
        <v>7.56329822E8</v>
      </c>
      <c r="C4417" s="28" t="s">
        <v>4371</v>
      </c>
      <c r="D4417" s="26" t="s">
        <v>82</v>
      </c>
      <c r="E4417" s="31">
        <v>46235.0</v>
      </c>
      <c r="F4417" s="26" t="s">
        <v>41</v>
      </c>
      <c r="I4417" s="26" t="s">
        <v>872</v>
      </c>
      <c r="J4417" s="25" t="str">
        <f t="shared" si="49"/>
        <v>No</v>
      </c>
      <c r="K4417" s="25" t="str">
        <f t="shared" si="50"/>
        <v/>
      </c>
      <c r="L4417" s="25" t="str">
        <f t="shared" si="51"/>
        <v/>
      </c>
      <c r="M4417" s="25"/>
      <c r="O4417" s="25"/>
    </row>
    <row r="4418" ht="15.75" customHeight="1">
      <c r="A4418" s="25" t="str">
        <f>IFERROR(__xludf.DUMMYFUNCTION("IF(B4418="""","""",RIGHT(REGEXREPLACE(B4418&amp;"""",""[^0-9]"",""""),9))"),"766693650")</f>
        <v>766693650</v>
      </c>
      <c r="B4418" s="52">
        <v>7.6669365E8</v>
      </c>
      <c r="C4418" s="28" t="s">
        <v>4372</v>
      </c>
      <c r="D4418" s="26" t="s">
        <v>45</v>
      </c>
      <c r="E4418" s="31">
        <v>46235.0</v>
      </c>
      <c r="F4418" s="26" t="s">
        <v>46</v>
      </c>
      <c r="G4418" s="26">
        <v>8.0</v>
      </c>
      <c r="I4418" s="26" t="s">
        <v>872</v>
      </c>
      <c r="J4418" s="25" t="str">
        <f t="shared" si="49"/>
        <v>No</v>
      </c>
      <c r="K4418" s="25" t="str">
        <f t="shared" si="50"/>
        <v/>
      </c>
      <c r="L4418" s="25" t="str">
        <f t="shared" si="51"/>
        <v/>
      </c>
      <c r="M4418" s="25"/>
      <c r="O4418" s="25"/>
    </row>
    <row r="4419" ht="15.75" customHeight="1">
      <c r="A4419" s="25" t="str">
        <f>IFERROR(__xludf.DUMMYFUNCTION("IF(B4419="""","""",RIGHT(REGEXREPLACE(B4419&amp;"""",""[^0-9]"",""""),9))"),"779386501")</f>
        <v>779386501</v>
      </c>
      <c r="B4419" s="52">
        <v>7.79386501E8</v>
      </c>
      <c r="C4419" s="28" t="s">
        <v>4373</v>
      </c>
      <c r="D4419" s="26" t="s">
        <v>56</v>
      </c>
      <c r="E4419" s="31">
        <v>46235.0</v>
      </c>
      <c r="F4419" s="25"/>
      <c r="G4419" s="26">
        <v>9.0</v>
      </c>
      <c r="H4419" s="25"/>
      <c r="I4419" s="26" t="s">
        <v>872</v>
      </c>
      <c r="J4419" s="25" t="str">
        <f t="shared" si="49"/>
        <v>No</v>
      </c>
      <c r="K4419" s="25" t="str">
        <f t="shared" si="50"/>
        <v/>
      </c>
      <c r="L4419" s="25" t="str">
        <f t="shared" si="51"/>
        <v/>
      </c>
      <c r="M4419" s="25"/>
      <c r="N4419" s="25"/>
      <c r="O4419" s="25"/>
      <c r="P4419" s="25"/>
    </row>
    <row r="4420" ht="15.75" customHeight="1">
      <c r="A4420" s="25" t="str">
        <f>IFERROR(__xludf.DUMMYFUNCTION("IF(B4420="""","""",RIGHT(REGEXREPLACE(B4420&amp;"""",""[^0-9]"",""""),9))"),"714467131")</f>
        <v>714467131</v>
      </c>
      <c r="B4420" s="52">
        <v>7.14467131E8</v>
      </c>
      <c r="C4420" s="28" t="s">
        <v>4374</v>
      </c>
      <c r="D4420" s="26" t="s">
        <v>82</v>
      </c>
      <c r="E4420" s="31">
        <v>46235.0</v>
      </c>
      <c r="F4420" s="26" t="s">
        <v>46</v>
      </c>
      <c r="G4420" s="96">
        <v>46212.0</v>
      </c>
      <c r="I4420" s="26" t="s">
        <v>872</v>
      </c>
      <c r="J4420" s="25" t="str">
        <f t="shared" si="49"/>
        <v>No</v>
      </c>
      <c r="K4420" s="25" t="str">
        <f t="shared" si="50"/>
        <v/>
      </c>
      <c r="L4420" s="25" t="str">
        <f t="shared" si="51"/>
        <v/>
      </c>
      <c r="M4420" s="25"/>
      <c r="O4420" s="25"/>
    </row>
    <row r="4421" ht="15.75" customHeight="1">
      <c r="A4421" s="25" t="str">
        <f>IFERROR(__xludf.DUMMYFUNCTION("IF(B4421="""","""",RIGHT(REGEXREPLACE(B4421&amp;"""",""[^0-9]"",""""),9))"),"742634279")</f>
        <v>742634279</v>
      </c>
      <c r="B4421" s="52">
        <v>7.42634279E8</v>
      </c>
      <c r="C4421" s="28" t="s">
        <v>4375</v>
      </c>
      <c r="D4421" s="26" t="s">
        <v>64</v>
      </c>
      <c r="E4421" s="31">
        <v>46235.0</v>
      </c>
      <c r="F4421" s="26" t="s">
        <v>46</v>
      </c>
      <c r="H4421" s="26" t="s">
        <v>763</v>
      </c>
      <c r="I4421" s="26" t="s">
        <v>872</v>
      </c>
      <c r="J4421" s="25" t="str">
        <f t="shared" si="49"/>
        <v>No</v>
      </c>
      <c r="K4421" s="25" t="str">
        <f t="shared" si="50"/>
        <v/>
      </c>
      <c r="L4421" s="25" t="str">
        <f t="shared" si="51"/>
        <v/>
      </c>
      <c r="M4421" s="25"/>
      <c r="O4421" s="25"/>
    </row>
    <row r="4422" ht="15.75" customHeight="1">
      <c r="A4422" s="25" t="str">
        <f>IFERROR(__xludf.DUMMYFUNCTION("IF(B4422="""","""",RIGHT(REGEXREPLACE(B4422&amp;"""",""[^0-9]"",""""),9))"),"704332257")</f>
        <v>704332257</v>
      </c>
      <c r="B4422" s="52">
        <v>7.04332257E8</v>
      </c>
      <c r="C4422" s="28" t="s">
        <v>4376</v>
      </c>
      <c r="D4422" s="26" t="s">
        <v>45</v>
      </c>
      <c r="E4422" s="31">
        <v>46235.0</v>
      </c>
      <c r="F4422" s="26" t="s">
        <v>46</v>
      </c>
      <c r="G4422" s="26">
        <v>8.0</v>
      </c>
      <c r="I4422" s="26" t="s">
        <v>872</v>
      </c>
      <c r="J4422" s="25" t="str">
        <f t="shared" si="49"/>
        <v>No</v>
      </c>
      <c r="K4422" s="25" t="str">
        <f t="shared" si="50"/>
        <v/>
      </c>
      <c r="L4422" s="25" t="str">
        <f t="shared" si="51"/>
        <v/>
      </c>
      <c r="M4422" s="25"/>
      <c r="O4422" s="25"/>
    </row>
    <row r="4423" ht="15.75" customHeight="1">
      <c r="A4423" s="25" t="str">
        <f>IFERROR(__xludf.DUMMYFUNCTION("IF(B4423="""","""",RIGHT(REGEXREPLACE(B4423&amp;"""",""[^0-9]"",""""),9))"),"779826573")</f>
        <v>779826573</v>
      </c>
      <c r="B4423" s="52">
        <v>7.79826573E8</v>
      </c>
      <c r="C4423" s="28" t="s">
        <v>4377</v>
      </c>
      <c r="D4423" s="26" t="s">
        <v>56</v>
      </c>
      <c r="E4423" s="31">
        <v>46235.0</v>
      </c>
      <c r="F4423" s="26" t="s">
        <v>46</v>
      </c>
      <c r="G4423" s="26">
        <v>8.0</v>
      </c>
      <c r="I4423" s="26" t="s">
        <v>872</v>
      </c>
      <c r="J4423" s="25" t="str">
        <f t="shared" si="49"/>
        <v>No</v>
      </c>
      <c r="K4423" s="25" t="str">
        <f t="shared" si="50"/>
        <v/>
      </c>
      <c r="L4423" s="25" t="str">
        <f t="shared" si="51"/>
        <v/>
      </c>
      <c r="M4423" s="25"/>
      <c r="O4423" s="25"/>
    </row>
    <row r="4424" ht="15.75" customHeight="1">
      <c r="A4424" s="25" t="str">
        <f>IFERROR(__xludf.DUMMYFUNCTION("IF(B4424="""","""",RIGHT(REGEXREPLACE(B4424&amp;"""",""[^0-9]"",""""),9))"),"776256734")</f>
        <v>776256734</v>
      </c>
      <c r="B4424" s="52">
        <v>7.76256734E8</v>
      </c>
      <c r="C4424" s="28" t="s">
        <v>4378</v>
      </c>
      <c r="D4424" s="26" t="s">
        <v>49</v>
      </c>
      <c r="E4424" s="31">
        <v>46235.0</v>
      </c>
      <c r="F4424" s="26" t="s">
        <v>41</v>
      </c>
      <c r="I4424" s="26" t="s">
        <v>872</v>
      </c>
      <c r="J4424" s="25" t="str">
        <f t="shared" si="49"/>
        <v>No</v>
      </c>
      <c r="K4424" s="25" t="str">
        <f t="shared" si="50"/>
        <v/>
      </c>
      <c r="L4424" s="25" t="str">
        <f t="shared" si="51"/>
        <v/>
      </c>
      <c r="M4424" s="25"/>
      <c r="O4424" s="25"/>
    </row>
    <row r="4425" ht="15.75" customHeight="1">
      <c r="A4425" s="25" t="str">
        <f>IFERROR(__xludf.DUMMYFUNCTION("IF(B4425="""","""",RIGHT(REGEXREPLACE(B4425&amp;"""",""[^0-9]"",""""),9))"),"740944503")</f>
        <v>740944503</v>
      </c>
      <c r="B4425" s="52">
        <v>7.40944503E8</v>
      </c>
      <c r="C4425" s="28" t="s">
        <v>4379</v>
      </c>
      <c r="D4425" s="26" t="s">
        <v>64</v>
      </c>
      <c r="E4425" s="31">
        <v>46235.0</v>
      </c>
      <c r="F4425" s="26" t="s">
        <v>46</v>
      </c>
      <c r="G4425" s="26">
        <v>8.0</v>
      </c>
      <c r="H4425" s="26" t="s">
        <v>4380</v>
      </c>
      <c r="I4425" s="26" t="s">
        <v>872</v>
      </c>
      <c r="J4425" s="25" t="str">
        <f t="shared" si="49"/>
        <v>No</v>
      </c>
      <c r="K4425" s="25" t="str">
        <f t="shared" si="50"/>
        <v/>
      </c>
      <c r="L4425" s="25" t="str">
        <f t="shared" si="51"/>
        <v/>
      </c>
      <c r="M4425" s="25"/>
      <c r="O4425" s="26" t="s">
        <v>51</v>
      </c>
    </row>
    <row r="4426" ht="15.75" customHeight="1">
      <c r="A4426" s="25" t="str">
        <f>IFERROR(__xludf.DUMMYFUNCTION("IF(B4426="""","""",RIGHT(REGEXREPLACE(B4426&amp;"""",""[^0-9]"",""""),9))"),"761487679")</f>
        <v>761487679</v>
      </c>
      <c r="B4426" s="52">
        <v>7.61487679E8</v>
      </c>
      <c r="C4426" s="28" t="s">
        <v>4381</v>
      </c>
      <c r="D4426" s="26" t="s">
        <v>49</v>
      </c>
      <c r="E4426" s="31">
        <v>46235.0</v>
      </c>
      <c r="F4426" s="26" t="s">
        <v>46</v>
      </c>
      <c r="G4426" s="26">
        <v>10.0</v>
      </c>
      <c r="I4426" s="26" t="s">
        <v>872</v>
      </c>
      <c r="J4426" s="25" t="str">
        <f t="shared" si="49"/>
        <v>No</v>
      </c>
      <c r="K4426" s="25" t="str">
        <f t="shared" si="50"/>
        <v/>
      </c>
      <c r="L4426" s="25" t="str">
        <f t="shared" si="51"/>
        <v/>
      </c>
      <c r="M4426" s="25"/>
      <c r="O4426" s="25"/>
    </row>
    <row r="4427" ht="15.75" customHeight="1">
      <c r="A4427" s="25" t="str">
        <f>IFERROR(__xludf.DUMMYFUNCTION("IF(B4427="""","""",RIGHT(REGEXREPLACE(B4427&amp;"""",""[^0-9]"",""""),9))"),"712958273")</f>
        <v>712958273</v>
      </c>
      <c r="B4427" s="52">
        <v>7.12958273E8</v>
      </c>
      <c r="C4427" s="28" t="s">
        <v>4382</v>
      </c>
      <c r="D4427" s="26" t="s">
        <v>82</v>
      </c>
      <c r="E4427" s="31">
        <v>46235.0</v>
      </c>
      <c r="F4427" s="26" t="s">
        <v>125</v>
      </c>
      <c r="G4427" s="26">
        <v>10.0</v>
      </c>
      <c r="I4427" s="26" t="s">
        <v>872</v>
      </c>
      <c r="J4427" s="25" t="str">
        <f t="shared" si="49"/>
        <v>No</v>
      </c>
      <c r="K4427" s="25" t="str">
        <f t="shared" si="50"/>
        <v/>
      </c>
      <c r="L4427" s="25" t="str">
        <f t="shared" si="51"/>
        <v/>
      </c>
      <c r="M4427" s="25"/>
      <c r="O4427" s="25"/>
    </row>
    <row r="4428" ht="15.75" customHeight="1">
      <c r="A4428" s="25" t="str">
        <f>IFERROR(__xludf.DUMMYFUNCTION("IF(B4428="""","""",RIGHT(REGEXREPLACE(B4428&amp;"""",""[^0-9]"",""""),9))"),"740835397")</f>
        <v>740835397</v>
      </c>
      <c r="B4428" s="52">
        <v>7.40835397E8</v>
      </c>
      <c r="C4428" s="28" t="s">
        <v>4383</v>
      </c>
      <c r="D4428" s="26" t="s">
        <v>64</v>
      </c>
      <c r="E4428" s="31">
        <v>46235.0</v>
      </c>
      <c r="F4428" s="26" t="s">
        <v>41</v>
      </c>
      <c r="G4428" s="26">
        <v>11.0</v>
      </c>
      <c r="I4428" s="26" t="s">
        <v>872</v>
      </c>
      <c r="J4428" s="25" t="str">
        <f t="shared" si="49"/>
        <v>No</v>
      </c>
      <c r="K4428" s="25" t="str">
        <f t="shared" si="50"/>
        <v/>
      </c>
      <c r="L4428" s="25" t="str">
        <f t="shared" si="51"/>
        <v/>
      </c>
      <c r="M4428" s="25"/>
      <c r="O4428" s="25"/>
    </row>
    <row r="4429" ht="15.75" customHeight="1">
      <c r="A4429" s="25" t="str">
        <f>IFERROR(__xludf.DUMMYFUNCTION("IF(B4429="""","""",RIGHT(REGEXREPLACE(B4429&amp;"""",""[^0-9]"",""""),9))"),"772519143")</f>
        <v>772519143</v>
      </c>
      <c r="B4429" s="52">
        <v>7.72519143E8</v>
      </c>
      <c r="C4429" s="28" t="s">
        <v>4384</v>
      </c>
      <c r="D4429" s="26" t="s">
        <v>82</v>
      </c>
      <c r="E4429" s="31">
        <v>46235.0</v>
      </c>
      <c r="F4429" s="26" t="s">
        <v>46</v>
      </c>
      <c r="G4429" s="26">
        <v>9.0</v>
      </c>
      <c r="I4429" s="26" t="s">
        <v>872</v>
      </c>
      <c r="J4429" s="25" t="str">
        <f t="shared" si="49"/>
        <v>No</v>
      </c>
      <c r="K4429" s="25" t="str">
        <f t="shared" si="50"/>
        <v/>
      </c>
      <c r="L4429" s="25" t="str">
        <f t="shared" si="51"/>
        <v/>
      </c>
      <c r="M4429" s="25"/>
      <c r="O4429" s="25"/>
    </row>
    <row r="4430" ht="15.75" customHeight="1">
      <c r="A4430" s="25" t="str">
        <f>IFERROR(__xludf.DUMMYFUNCTION("IF(B4430="""","""",RIGHT(REGEXREPLACE(B4430&amp;"""",""[^0-9]"",""""),9))"),"706223773")</f>
        <v>706223773</v>
      </c>
      <c r="B4430" s="52">
        <v>7.06223773E8</v>
      </c>
      <c r="C4430" s="28" t="s">
        <v>4385</v>
      </c>
      <c r="D4430" s="26" t="s">
        <v>56</v>
      </c>
      <c r="E4430" s="31">
        <v>46235.0</v>
      </c>
      <c r="F4430" s="26" t="s">
        <v>164</v>
      </c>
      <c r="G4430" s="26">
        <v>10.0</v>
      </c>
      <c r="I4430" s="26" t="s">
        <v>872</v>
      </c>
      <c r="J4430" s="25" t="str">
        <f t="shared" si="49"/>
        <v>No</v>
      </c>
      <c r="K4430" s="25" t="str">
        <f t="shared" si="50"/>
        <v/>
      </c>
      <c r="L4430" s="25" t="str">
        <f t="shared" si="51"/>
        <v/>
      </c>
      <c r="M4430" s="25"/>
      <c r="O4430" s="25"/>
    </row>
    <row r="4431" ht="15.75" customHeight="1">
      <c r="A4431" s="25" t="str">
        <f>IFERROR(__xludf.DUMMYFUNCTION("IF(B4431="""","""",RIGHT(REGEXREPLACE(B4431&amp;"""",""[^0-9]"",""""),9))"),"712896013")</f>
        <v>712896013</v>
      </c>
      <c r="B4431" s="52">
        <v>7.12896013E8</v>
      </c>
      <c r="C4431" s="28" t="s">
        <v>4386</v>
      </c>
      <c r="D4431" s="26" t="s">
        <v>56</v>
      </c>
      <c r="E4431" s="31">
        <v>46235.0</v>
      </c>
      <c r="F4431" s="26" t="s">
        <v>46</v>
      </c>
      <c r="G4431" s="26">
        <v>10.0</v>
      </c>
      <c r="I4431" s="26" t="s">
        <v>872</v>
      </c>
      <c r="J4431" s="25" t="str">
        <f t="shared" si="49"/>
        <v>No</v>
      </c>
      <c r="K4431" s="25" t="str">
        <f t="shared" si="50"/>
        <v/>
      </c>
      <c r="L4431" s="25" t="str">
        <f t="shared" si="51"/>
        <v/>
      </c>
      <c r="M4431" s="25"/>
      <c r="O4431" s="25"/>
    </row>
    <row r="4432" ht="15.75" customHeight="1">
      <c r="A4432" s="25" t="str">
        <f>IFERROR(__xludf.DUMMYFUNCTION("IF(B4432="""","""",RIGHT(REGEXREPLACE(B4432&amp;"""",""[^0-9]"",""""),9))"),"771933697")</f>
        <v>771933697</v>
      </c>
      <c r="B4432" s="52">
        <v>7.71933697E8</v>
      </c>
      <c r="C4432" s="28" t="s">
        <v>4387</v>
      </c>
      <c r="D4432" s="26" t="s">
        <v>49</v>
      </c>
      <c r="E4432" s="31">
        <v>46235.0</v>
      </c>
      <c r="F4432" s="26" t="s">
        <v>46</v>
      </c>
      <c r="H4432" s="26" t="s">
        <v>4388</v>
      </c>
      <c r="I4432" s="26" t="s">
        <v>872</v>
      </c>
      <c r="J4432" s="25" t="str">
        <f t="shared" si="49"/>
        <v>No</v>
      </c>
      <c r="K4432" s="25" t="str">
        <f t="shared" si="50"/>
        <v/>
      </c>
      <c r="L4432" s="25" t="str">
        <f t="shared" si="51"/>
        <v/>
      </c>
      <c r="M4432" s="25"/>
      <c r="O4432" s="25"/>
    </row>
    <row r="4433" ht="15.75" customHeight="1">
      <c r="A4433" s="25" t="str">
        <f>IFERROR(__xludf.DUMMYFUNCTION("IF(B4433="""","""",RIGHT(REGEXREPLACE(B4433&amp;"""",""[^0-9]"",""""),9))"),"701726147")</f>
        <v>701726147</v>
      </c>
      <c r="B4433" s="52">
        <v>7.01726147E8</v>
      </c>
      <c r="C4433" s="28" t="s">
        <v>4389</v>
      </c>
      <c r="D4433" s="26" t="s">
        <v>82</v>
      </c>
      <c r="E4433" s="31">
        <v>46235.0</v>
      </c>
      <c r="F4433" s="26" t="s">
        <v>46</v>
      </c>
      <c r="G4433" s="26">
        <v>10.0</v>
      </c>
      <c r="I4433" s="26" t="s">
        <v>872</v>
      </c>
      <c r="J4433" s="25" t="str">
        <f t="shared" si="49"/>
        <v>No</v>
      </c>
      <c r="K4433" s="25" t="str">
        <f t="shared" si="50"/>
        <v/>
      </c>
      <c r="L4433" s="25" t="str">
        <f t="shared" si="51"/>
        <v/>
      </c>
      <c r="M4433" s="25"/>
      <c r="O4433" s="25"/>
    </row>
    <row r="4434" ht="15.75" customHeight="1">
      <c r="A4434" s="25" t="str">
        <f>IFERROR(__xludf.DUMMYFUNCTION("IF(B4434="""","""",RIGHT(REGEXREPLACE(B4434&amp;"""",""[^0-9]"",""""),9))"),"710476248")</f>
        <v>710476248</v>
      </c>
      <c r="B4434" s="52">
        <v>7.10476248E8</v>
      </c>
      <c r="C4434" s="28" t="s">
        <v>4390</v>
      </c>
      <c r="D4434" s="26" t="s">
        <v>56</v>
      </c>
      <c r="E4434" s="31">
        <v>46235.0</v>
      </c>
      <c r="F4434" s="26" t="s">
        <v>41</v>
      </c>
      <c r="I4434" s="26" t="s">
        <v>872</v>
      </c>
      <c r="J4434" s="25" t="str">
        <f t="shared" si="49"/>
        <v>No</v>
      </c>
      <c r="K4434" s="25" t="str">
        <f t="shared" si="50"/>
        <v/>
      </c>
      <c r="L4434" s="25" t="str">
        <f t="shared" si="51"/>
        <v/>
      </c>
      <c r="M4434" s="25"/>
      <c r="O4434" s="25"/>
    </row>
    <row r="4435" ht="15.75" customHeight="1">
      <c r="A4435" s="25" t="str">
        <f>IFERROR(__xludf.DUMMYFUNCTION("IF(B4435="""","""",RIGHT(REGEXREPLACE(B4435&amp;"""",""[^0-9]"",""""),9))"),"713309656")</f>
        <v>713309656</v>
      </c>
      <c r="B4435" s="52">
        <v>7.13309656E8</v>
      </c>
      <c r="C4435" s="28" t="s">
        <v>4391</v>
      </c>
      <c r="D4435" s="26" t="s">
        <v>64</v>
      </c>
      <c r="E4435" s="31">
        <v>46235.0</v>
      </c>
      <c r="F4435" s="26" t="s">
        <v>46</v>
      </c>
      <c r="G4435" s="26">
        <v>10.0</v>
      </c>
      <c r="I4435" s="26" t="s">
        <v>872</v>
      </c>
      <c r="J4435" s="25" t="str">
        <f t="shared" si="49"/>
        <v>No</v>
      </c>
      <c r="K4435" s="25" t="str">
        <f t="shared" si="50"/>
        <v/>
      </c>
      <c r="L4435" s="25" t="str">
        <f t="shared" si="51"/>
        <v/>
      </c>
      <c r="M4435" s="25"/>
      <c r="O4435" s="25"/>
    </row>
    <row r="4436" ht="15.75" customHeight="1">
      <c r="A4436" s="25" t="str">
        <f>IFERROR(__xludf.DUMMYFUNCTION("IF(B4436="""","""",RIGHT(REGEXREPLACE(B4436&amp;"""",""[^0-9]"",""""),9))"),"767491005")</f>
        <v>767491005</v>
      </c>
      <c r="B4436" s="52">
        <v>7.67491005E8</v>
      </c>
      <c r="C4436" s="28" t="s">
        <v>4392</v>
      </c>
      <c r="D4436" s="26" t="s">
        <v>49</v>
      </c>
      <c r="E4436" s="31">
        <v>46235.0</v>
      </c>
      <c r="F4436" s="26" t="s">
        <v>46</v>
      </c>
      <c r="G4436" s="26">
        <v>10.0</v>
      </c>
      <c r="I4436" s="26" t="s">
        <v>872</v>
      </c>
      <c r="J4436" s="25" t="str">
        <f t="shared" si="49"/>
        <v>No</v>
      </c>
      <c r="K4436" s="25" t="str">
        <f t="shared" si="50"/>
        <v/>
      </c>
      <c r="L4436" s="25" t="str">
        <f t="shared" si="51"/>
        <v/>
      </c>
      <c r="M4436" s="25"/>
      <c r="O4436" s="25"/>
    </row>
    <row r="4437" ht="15.75" customHeight="1">
      <c r="A4437" s="25" t="str">
        <f>IFERROR(__xludf.DUMMYFUNCTION("IF(B4437="""","""",RIGHT(REGEXREPLACE(B4437&amp;"""",""[^0-9]"",""""),9))"),"742861140")</f>
        <v>742861140</v>
      </c>
      <c r="B4437" s="52">
        <v>7.4286114E8</v>
      </c>
      <c r="C4437" s="28" t="s">
        <v>4393</v>
      </c>
      <c r="D4437" s="26" t="s">
        <v>56</v>
      </c>
      <c r="E4437" s="31">
        <v>46235.0</v>
      </c>
      <c r="F4437" s="26" t="s">
        <v>659</v>
      </c>
      <c r="G4437" s="26">
        <v>10.0</v>
      </c>
      <c r="I4437" s="26" t="s">
        <v>872</v>
      </c>
      <c r="J4437" s="25" t="str">
        <f t="shared" si="49"/>
        <v>No</v>
      </c>
      <c r="K4437" s="25" t="str">
        <f t="shared" si="50"/>
        <v/>
      </c>
      <c r="L4437" s="25" t="str">
        <f t="shared" si="51"/>
        <v/>
      </c>
      <c r="M4437" s="25"/>
      <c r="O4437" s="25"/>
    </row>
    <row r="4438" ht="15.75" customHeight="1">
      <c r="A4438" s="25" t="str">
        <f>IFERROR(__xludf.DUMMYFUNCTION("IF(B4438="""","""",RIGHT(REGEXREPLACE(B4438&amp;"""",""[^0-9]"",""""),9))"),"771824032")</f>
        <v>771824032</v>
      </c>
      <c r="B4438" s="52">
        <v>7.71824032E8</v>
      </c>
      <c r="C4438" s="28" t="s">
        <v>4394</v>
      </c>
      <c r="D4438" s="26" t="s">
        <v>64</v>
      </c>
      <c r="E4438" s="31">
        <v>46235.0</v>
      </c>
      <c r="F4438" s="26" t="s">
        <v>41</v>
      </c>
      <c r="G4438" s="26">
        <v>11.0</v>
      </c>
      <c r="I4438" s="26" t="s">
        <v>872</v>
      </c>
      <c r="J4438" s="25" t="str">
        <f t="shared" si="49"/>
        <v>No</v>
      </c>
      <c r="K4438" s="25" t="str">
        <f t="shared" si="50"/>
        <v/>
      </c>
      <c r="L4438" s="25" t="str">
        <f t="shared" si="51"/>
        <v/>
      </c>
      <c r="M4438" s="25"/>
      <c r="O4438" s="25"/>
    </row>
    <row r="4439" ht="15.75" customHeight="1">
      <c r="A4439" s="25" t="str">
        <f>IFERROR(__xludf.DUMMYFUNCTION("IF(B4439="""","""",RIGHT(REGEXREPLACE(B4439&amp;"""",""[^0-9]"",""""),9))"),"779149571")</f>
        <v>779149571</v>
      </c>
      <c r="B4439" s="52">
        <v>7.79149571E8</v>
      </c>
      <c r="C4439" s="28" t="s">
        <v>4395</v>
      </c>
      <c r="D4439" s="26" t="s">
        <v>56</v>
      </c>
      <c r="E4439" s="31">
        <v>46235.0</v>
      </c>
      <c r="F4439" s="26" t="s">
        <v>46</v>
      </c>
      <c r="G4439" s="26">
        <v>9.0</v>
      </c>
      <c r="I4439" s="26" t="s">
        <v>872</v>
      </c>
      <c r="J4439" s="25" t="str">
        <f t="shared" si="49"/>
        <v>No</v>
      </c>
      <c r="K4439" s="25" t="str">
        <f t="shared" si="50"/>
        <v/>
      </c>
      <c r="L4439" s="25" t="str">
        <f t="shared" si="51"/>
        <v/>
      </c>
      <c r="M4439" s="25"/>
      <c r="O4439" s="25"/>
    </row>
    <row r="4440" ht="15.75" customHeight="1">
      <c r="A4440" s="25" t="str">
        <f>IFERROR(__xludf.DUMMYFUNCTION("IF(B4440="""","""",RIGHT(REGEXREPLACE(B4440&amp;"""",""[^0-9]"",""""),9))"),"766999271")</f>
        <v>766999271</v>
      </c>
      <c r="B4440" s="52">
        <v>7.66999271E8</v>
      </c>
      <c r="C4440" s="28" t="s">
        <v>4396</v>
      </c>
      <c r="D4440" s="26" t="s">
        <v>64</v>
      </c>
      <c r="E4440" s="31">
        <v>46235.0</v>
      </c>
      <c r="F4440" s="26" t="s">
        <v>205</v>
      </c>
      <c r="G4440" s="26">
        <v>10.0</v>
      </c>
      <c r="I4440" s="26" t="s">
        <v>872</v>
      </c>
      <c r="J4440" s="25" t="str">
        <f t="shared" si="49"/>
        <v>No</v>
      </c>
      <c r="K4440" s="25" t="str">
        <f t="shared" si="50"/>
        <v/>
      </c>
      <c r="L4440" s="25" t="str">
        <f t="shared" si="51"/>
        <v/>
      </c>
      <c r="M4440" s="25"/>
      <c r="O4440" s="25"/>
    </row>
    <row r="4441" ht="15.75" customHeight="1">
      <c r="A4441" s="25" t="str">
        <f>IFERROR(__xludf.DUMMYFUNCTION("IF(B4441="""","""",RIGHT(REGEXREPLACE(B4441&amp;"""",""[^0-9]"",""""),9))"),"766486436")</f>
        <v>766486436</v>
      </c>
      <c r="B4441" s="52">
        <v>7.66486436E8</v>
      </c>
      <c r="C4441" s="28" t="s">
        <v>4397</v>
      </c>
      <c r="D4441" s="26" t="s">
        <v>82</v>
      </c>
      <c r="E4441" s="31">
        <v>46235.0</v>
      </c>
      <c r="F4441" s="26" t="s">
        <v>46</v>
      </c>
      <c r="G4441" s="26">
        <v>8.0</v>
      </c>
      <c r="I4441" s="26" t="s">
        <v>872</v>
      </c>
      <c r="J4441" s="25" t="str">
        <f t="shared" si="49"/>
        <v>No</v>
      </c>
      <c r="K4441" s="25" t="str">
        <f t="shared" si="50"/>
        <v/>
      </c>
      <c r="L4441" s="25" t="str">
        <f t="shared" si="51"/>
        <v/>
      </c>
      <c r="M4441" s="25"/>
      <c r="O4441" s="25"/>
    </row>
    <row r="4442" ht="15.75" customHeight="1">
      <c r="A4442" s="25" t="str">
        <f>IFERROR(__xludf.DUMMYFUNCTION("IF(B4442="""","""",RIGHT(REGEXREPLACE(B4442&amp;"""",""[^0-9]"",""""),9))"),"773697527")</f>
        <v>773697527</v>
      </c>
      <c r="B4442" s="52">
        <v>7.73697527E8</v>
      </c>
      <c r="C4442" s="28" t="s">
        <v>4398</v>
      </c>
      <c r="D4442" s="26" t="s">
        <v>49</v>
      </c>
      <c r="E4442" s="31">
        <v>46235.0</v>
      </c>
      <c r="F4442" s="26" t="s">
        <v>41</v>
      </c>
      <c r="G4442" s="26">
        <v>10.0</v>
      </c>
      <c r="I4442" s="26" t="s">
        <v>872</v>
      </c>
      <c r="J4442" s="25" t="str">
        <f t="shared" si="49"/>
        <v>No</v>
      </c>
      <c r="K4442" s="25" t="str">
        <f t="shared" si="50"/>
        <v/>
      </c>
      <c r="L4442" s="25" t="str">
        <f t="shared" si="51"/>
        <v/>
      </c>
      <c r="M4442" s="25"/>
      <c r="O4442" s="25"/>
    </row>
    <row r="4443" ht="15.75" customHeight="1">
      <c r="A4443" s="25" t="str">
        <f>IFERROR(__xludf.DUMMYFUNCTION("IF(B4443="""","""",RIGHT(REGEXREPLACE(B4443&amp;"""",""[^0-9]"",""""),9))"),"705291310")</f>
        <v>705291310</v>
      </c>
      <c r="B4443" s="52">
        <v>7.0529131E8</v>
      </c>
      <c r="C4443" s="28" t="s">
        <v>4399</v>
      </c>
      <c r="D4443" s="26" t="s">
        <v>64</v>
      </c>
      <c r="E4443" s="31">
        <v>46235.0</v>
      </c>
      <c r="F4443" s="26" t="s">
        <v>41</v>
      </c>
      <c r="I4443" s="26" t="s">
        <v>872</v>
      </c>
      <c r="J4443" s="25" t="str">
        <f t="shared" si="49"/>
        <v>No</v>
      </c>
      <c r="K4443" s="25" t="str">
        <f t="shared" si="50"/>
        <v/>
      </c>
      <c r="L4443" s="25" t="str">
        <f t="shared" si="51"/>
        <v/>
      </c>
      <c r="M4443" s="25"/>
      <c r="O4443" s="25"/>
    </row>
    <row r="4444" ht="15.75" customHeight="1">
      <c r="A4444" s="25" t="str">
        <f>IFERROR(__xludf.DUMMYFUNCTION("IF(B4444="""","""",RIGHT(REGEXREPLACE(B4444&amp;"""",""[^0-9]"",""""),9))"),"755347609")</f>
        <v>755347609</v>
      </c>
      <c r="B4444" s="52">
        <v>7.55347609E8</v>
      </c>
      <c r="C4444" s="28" t="s">
        <v>4400</v>
      </c>
      <c r="D4444" s="26" t="s">
        <v>56</v>
      </c>
      <c r="E4444" s="31">
        <v>46235.0</v>
      </c>
      <c r="F4444" s="26" t="s">
        <v>46</v>
      </c>
      <c r="G4444" s="26">
        <v>10.0</v>
      </c>
      <c r="I4444" s="26" t="s">
        <v>872</v>
      </c>
      <c r="J4444" s="25" t="str">
        <f t="shared" si="49"/>
        <v>No</v>
      </c>
      <c r="K4444" s="25" t="str">
        <f t="shared" si="50"/>
        <v/>
      </c>
      <c r="L4444" s="25" t="str">
        <f t="shared" si="51"/>
        <v/>
      </c>
      <c r="M4444" s="25"/>
      <c r="O4444" s="25"/>
    </row>
    <row r="4445" ht="15.75" customHeight="1">
      <c r="A4445" s="25" t="str">
        <f>IFERROR(__xludf.DUMMYFUNCTION("IF(B4445="""","""",RIGHT(REGEXREPLACE(B4445&amp;"""",""[^0-9]"",""""),9))"),"760697206")</f>
        <v>760697206</v>
      </c>
      <c r="B4445" s="52">
        <v>7.60697206E8</v>
      </c>
      <c r="C4445" s="28" t="s">
        <v>4401</v>
      </c>
      <c r="D4445" s="26" t="s">
        <v>56</v>
      </c>
      <c r="E4445" s="31">
        <v>46235.0</v>
      </c>
      <c r="F4445" s="26" t="s">
        <v>41</v>
      </c>
      <c r="G4445" s="26">
        <v>11.0</v>
      </c>
      <c r="I4445" s="26" t="s">
        <v>872</v>
      </c>
      <c r="J4445" s="25" t="str">
        <f t="shared" si="49"/>
        <v>No</v>
      </c>
      <c r="K4445" s="25" t="str">
        <f t="shared" si="50"/>
        <v/>
      </c>
      <c r="L4445" s="25" t="str">
        <f t="shared" si="51"/>
        <v/>
      </c>
      <c r="M4445" s="25"/>
      <c r="O4445" s="25"/>
    </row>
    <row r="4446" ht="15.75" customHeight="1">
      <c r="A4446" s="25" t="str">
        <f>IFERROR(__xludf.DUMMYFUNCTION("IF(B4446="""","""",RIGHT(REGEXREPLACE(B4446&amp;"""",""[^0-9]"",""""),9))"),"724650084")</f>
        <v>724650084</v>
      </c>
      <c r="B4446" s="52">
        <v>7.24650084E8</v>
      </c>
      <c r="C4446" s="28" t="s">
        <v>4402</v>
      </c>
      <c r="D4446" s="26" t="s">
        <v>49</v>
      </c>
      <c r="E4446" s="31">
        <v>46235.0</v>
      </c>
      <c r="F4446" s="26" t="s">
        <v>46</v>
      </c>
      <c r="G4446" s="26">
        <v>11.0</v>
      </c>
      <c r="I4446" s="26" t="s">
        <v>872</v>
      </c>
      <c r="J4446" s="25" t="str">
        <f t="shared" si="49"/>
        <v>No</v>
      </c>
      <c r="K4446" s="25" t="str">
        <f t="shared" si="50"/>
        <v/>
      </c>
      <c r="L4446" s="25" t="str">
        <f t="shared" si="51"/>
        <v/>
      </c>
      <c r="M4446" s="25"/>
      <c r="O4446" s="25"/>
    </row>
    <row r="4447" ht="15.75" customHeight="1">
      <c r="A4447" s="25" t="str">
        <f>IFERROR(__xludf.DUMMYFUNCTION("IF(B4447="""","""",RIGHT(REGEXREPLACE(B4447&amp;"""",""[^0-9]"",""""),9))"),"722335382")</f>
        <v>722335382</v>
      </c>
      <c r="B4447" s="52">
        <v>7.22335382E8</v>
      </c>
      <c r="C4447" s="28" t="s">
        <v>4403</v>
      </c>
      <c r="D4447" s="26" t="s">
        <v>82</v>
      </c>
      <c r="E4447" s="31">
        <v>46235.0</v>
      </c>
      <c r="F4447" s="26" t="s">
        <v>205</v>
      </c>
      <c r="I4447" s="26" t="s">
        <v>872</v>
      </c>
      <c r="J4447" s="25" t="str">
        <f t="shared" si="49"/>
        <v>No</v>
      </c>
      <c r="K4447" s="25" t="str">
        <f t="shared" si="50"/>
        <v/>
      </c>
      <c r="L4447" s="25" t="str">
        <f t="shared" si="51"/>
        <v/>
      </c>
      <c r="M4447" s="25"/>
      <c r="O4447" s="25"/>
    </row>
    <row r="4448" ht="15.75" customHeight="1">
      <c r="A4448" s="25" t="str">
        <f>IFERROR(__xludf.DUMMYFUNCTION("IF(B4448="""","""",RIGHT(REGEXREPLACE(B4448&amp;"""",""[^0-9]"",""""),9))"),"774386893")</f>
        <v>774386893</v>
      </c>
      <c r="B4448" s="52">
        <v>7.74386893E8</v>
      </c>
      <c r="C4448" s="28" t="s">
        <v>4404</v>
      </c>
      <c r="D4448" s="26" t="s">
        <v>56</v>
      </c>
      <c r="E4448" s="31">
        <v>46235.0</v>
      </c>
      <c r="F4448" s="26" t="s">
        <v>46</v>
      </c>
      <c r="G4448" s="26">
        <v>11.0</v>
      </c>
      <c r="I4448" s="26" t="s">
        <v>872</v>
      </c>
      <c r="J4448" s="25" t="str">
        <f t="shared" si="49"/>
        <v>No</v>
      </c>
      <c r="K4448" s="25" t="str">
        <f t="shared" si="50"/>
        <v/>
      </c>
      <c r="L4448" s="25" t="str">
        <f t="shared" si="51"/>
        <v/>
      </c>
      <c r="M4448" s="25"/>
      <c r="O4448" s="25"/>
    </row>
    <row r="4449" ht="15.75" customHeight="1">
      <c r="A4449" s="25" t="str">
        <f>IFERROR(__xludf.DUMMYFUNCTION("IF(B4449="""","""",RIGHT(REGEXREPLACE(B4449&amp;"""",""[^0-9]"",""""),9))"),"752780995")</f>
        <v>752780995</v>
      </c>
      <c r="B4449" s="52">
        <v>7.52780995E8</v>
      </c>
      <c r="C4449" s="28" t="s">
        <v>1799</v>
      </c>
      <c r="D4449" s="26" t="s">
        <v>64</v>
      </c>
      <c r="E4449" s="31">
        <v>46235.0</v>
      </c>
      <c r="F4449" s="26" t="s">
        <v>125</v>
      </c>
      <c r="G4449" s="26">
        <v>11.0</v>
      </c>
      <c r="I4449" s="26" t="s">
        <v>872</v>
      </c>
      <c r="J4449" s="25" t="str">
        <f t="shared" si="49"/>
        <v>Yes - see Previous F-Code</v>
      </c>
      <c r="K4449" s="25" t="str">
        <f t="shared" si="50"/>
        <v/>
      </c>
      <c r="L4449" s="25" t="str">
        <f t="shared" si="51"/>
        <v>F71508</v>
      </c>
      <c r="M4449" s="25"/>
      <c r="O4449" s="25"/>
    </row>
    <row r="4450" ht="15.75" customHeight="1">
      <c r="A4450" s="25" t="str">
        <f>IFERROR(__xludf.DUMMYFUNCTION("IF(B4450="""","""",RIGHT(REGEXREPLACE(B4450&amp;"""",""[^0-9]"",""""),9))"),"777041123")</f>
        <v>777041123</v>
      </c>
      <c r="B4450" s="52">
        <v>7.77041123E8</v>
      </c>
      <c r="C4450" s="28" t="s">
        <v>4405</v>
      </c>
      <c r="D4450" s="26" t="s">
        <v>64</v>
      </c>
      <c r="E4450" s="31">
        <v>46235.0</v>
      </c>
      <c r="F4450" s="26" t="s">
        <v>41</v>
      </c>
      <c r="I4450" s="26" t="s">
        <v>872</v>
      </c>
      <c r="J4450" s="25" t="str">
        <f t="shared" si="49"/>
        <v>No</v>
      </c>
      <c r="K4450" s="25" t="str">
        <f t="shared" si="50"/>
        <v/>
      </c>
      <c r="L4450" s="25" t="str">
        <f t="shared" si="51"/>
        <v/>
      </c>
      <c r="M4450" s="25"/>
      <c r="O4450" s="25"/>
    </row>
    <row r="4451" ht="15.75" customHeight="1">
      <c r="A4451" s="25" t="str">
        <f>IFERROR(__xludf.DUMMYFUNCTION("IF(B4451="""","""",RIGHT(REGEXREPLACE(B4451&amp;"""",""[^0-9]"",""""),9))"),"712959910")</f>
        <v>712959910</v>
      </c>
      <c r="B4451" s="52">
        <v>7.1295991E8</v>
      </c>
      <c r="C4451" s="28" t="s">
        <v>4406</v>
      </c>
      <c r="D4451" s="26" t="s">
        <v>82</v>
      </c>
      <c r="E4451" s="31">
        <v>46235.0</v>
      </c>
      <c r="F4451" s="25"/>
      <c r="G4451" s="25"/>
      <c r="H4451" s="25"/>
      <c r="I4451" s="26" t="s">
        <v>872</v>
      </c>
      <c r="J4451" s="25" t="str">
        <f t="shared" si="49"/>
        <v>No</v>
      </c>
      <c r="K4451" s="25" t="str">
        <f t="shared" si="50"/>
        <v/>
      </c>
      <c r="L4451" s="25" t="str">
        <f t="shared" si="51"/>
        <v/>
      </c>
      <c r="M4451" s="25"/>
      <c r="N4451" s="25"/>
      <c r="O4451" s="25"/>
      <c r="P4451" s="25"/>
    </row>
    <row r="4452" ht="15.75" customHeight="1">
      <c r="A4452" s="25" t="str">
        <f>IFERROR(__xludf.DUMMYFUNCTION("IF(B4452="""","""",RIGHT(REGEXREPLACE(B4452&amp;"""",""[^0-9]"",""""),9))"),"715727980")</f>
        <v>715727980</v>
      </c>
      <c r="B4452" s="52">
        <v>7.1572798E8</v>
      </c>
      <c r="C4452" s="28" t="s">
        <v>4406</v>
      </c>
      <c r="D4452" s="26" t="s">
        <v>56</v>
      </c>
      <c r="E4452" s="31">
        <v>46235.0</v>
      </c>
      <c r="F4452" s="26" t="s">
        <v>631</v>
      </c>
      <c r="G4452" s="26">
        <v>10.0</v>
      </c>
      <c r="I4452" s="26" t="s">
        <v>872</v>
      </c>
      <c r="J4452" s="25" t="str">
        <f t="shared" si="49"/>
        <v>No</v>
      </c>
      <c r="K4452" s="25" t="str">
        <f t="shared" si="50"/>
        <v/>
      </c>
      <c r="L4452" s="25" t="str">
        <f t="shared" si="51"/>
        <v/>
      </c>
      <c r="M4452" s="25"/>
      <c r="O4452" s="25"/>
    </row>
    <row r="4453" ht="15.75" customHeight="1">
      <c r="A4453" s="25" t="str">
        <f>IFERROR(__xludf.DUMMYFUNCTION("IF(B4453="""","""",RIGHT(REGEXREPLACE(B4453&amp;"""",""[^0-9]"",""""),9))"),"703844035")</f>
        <v>703844035</v>
      </c>
      <c r="B4453" s="52">
        <v>7.03844035E8</v>
      </c>
      <c r="C4453" s="28" t="s">
        <v>4407</v>
      </c>
      <c r="D4453" s="26" t="s">
        <v>49</v>
      </c>
      <c r="E4453" s="31">
        <v>46235.0</v>
      </c>
      <c r="F4453" s="26" t="s">
        <v>205</v>
      </c>
      <c r="G4453" s="26">
        <v>11.0</v>
      </c>
      <c r="I4453" s="26" t="s">
        <v>872</v>
      </c>
      <c r="J4453" s="25" t="str">
        <f t="shared" si="49"/>
        <v>No</v>
      </c>
      <c r="K4453" s="25" t="str">
        <f t="shared" si="50"/>
        <v/>
      </c>
      <c r="L4453" s="25" t="str">
        <f t="shared" si="51"/>
        <v/>
      </c>
      <c r="M4453" s="25"/>
      <c r="O4453" s="25"/>
    </row>
    <row r="4454" ht="15.75" customHeight="1">
      <c r="A4454" s="25" t="str">
        <f>IFERROR(__xludf.DUMMYFUNCTION("IF(B4454="""","""",RIGHT(REGEXREPLACE(B4454&amp;"""",""[^0-9]"",""""),9))"),"759525741")</f>
        <v>759525741</v>
      </c>
      <c r="B4454" s="52">
        <v>7.59525741E8</v>
      </c>
      <c r="C4454" s="28" t="s">
        <v>4408</v>
      </c>
      <c r="D4454" s="26" t="s">
        <v>64</v>
      </c>
      <c r="E4454" s="31">
        <v>46235.0</v>
      </c>
      <c r="F4454" s="26" t="s">
        <v>205</v>
      </c>
      <c r="G4454" s="26">
        <v>10.0</v>
      </c>
      <c r="I4454" s="26" t="s">
        <v>872</v>
      </c>
      <c r="J4454" s="25" t="str">
        <f t="shared" si="49"/>
        <v>No</v>
      </c>
      <c r="K4454" s="25" t="str">
        <f t="shared" si="50"/>
        <v/>
      </c>
      <c r="L4454" s="25" t="str">
        <f t="shared" si="51"/>
        <v/>
      </c>
      <c r="M4454" s="25"/>
      <c r="O4454" s="25"/>
    </row>
    <row r="4455" ht="15.75" customHeight="1">
      <c r="A4455" s="25" t="str">
        <f>IFERROR(__xludf.DUMMYFUNCTION("IF(B4455="""","""",RIGHT(REGEXREPLACE(B4455&amp;"""",""[^0-9]"",""""),9))"),"763149214")</f>
        <v>763149214</v>
      </c>
      <c r="B4455" s="52">
        <v>7.63149214E8</v>
      </c>
      <c r="C4455" s="28" t="s">
        <v>4409</v>
      </c>
      <c r="D4455" s="26" t="s">
        <v>64</v>
      </c>
      <c r="E4455" s="31">
        <v>46235.0</v>
      </c>
      <c r="F4455" s="26" t="s">
        <v>41</v>
      </c>
      <c r="G4455" s="26">
        <v>11.0</v>
      </c>
      <c r="I4455" s="26" t="s">
        <v>872</v>
      </c>
      <c r="J4455" s="25" t="str">
        <f t="shared" si="49"/>
        <v>No</v>
      </c>
      <c r="K4455" s="25" t="str">
        <f t="shared" si="50"/>
        <v/>
      </c>
      <c r="L4455" s="25" t="str">
        <f t="shared" si="51"/>
        <v/>
      </c>
      <c r="M4455" s="25"/>
      <c r="O4455" s="25"/>
    </row>
    <row r="4456" ht="15.75" customHeight="1">
      <c r="A4456" s="25" t="str">
        <f>IFERROR(__xludf.DUMMYFUNCTION("IF(B4456="""","""",RIGHT(REGEXREPLACE(B4456&amp;"""",""[^0-9]"",""""),9))"),"779381425")</f>
        <v>779381425</v>
      </c>
      <c r="B4456" s="52">
        <v>7.79381425E8</v>
      </c>
      <c r="C4456" s="28" t="s">
        <v>4410</v>
      </c>
      <c r="D4456" s="26" t="s">
        <v>82</v>
      </c>
      <c r="E4456" s="31">
        <v>46235.0</v>
      </c>
      <c r="F4456" s="26" t="s">
        <v>84</v>
      </c>
      <c r="G4456" s="26">
        <v>10.0</v>
      </c>
      <c r="I4456" s="26" t="s">
        <v>872</v>
      </c>
      <c r="J4456" s="25" t="str">
        <f t="shared" si="49"/>
        <v>No</v>
      </c>
      <c r="K4456" s="25" t="str">
        <f t="shared" si="50"/>
        <v/>
      </c>
      <c r="L4456" s="25" t="str">
        <f t="shared" si="51"/>
        <v/>
      </c>
      <c r="M4456" s="25"/>
      <c r="O4456" s="25"/>
    </row>
    <row r="4457" ht="15.75" customHeight="1">
      <c r="A4457" s="25" t="str">
        <f>IFERROR(__xludf.DUMMYFUNCTION("IF(B4457="""","""",RIGHT(REGEXREPLACE(B4457&amp;"""",""[^0-9]"",""""),9))"),"729992868")</f>
        <v>729992868</v>
      </c>
      <c r="B4457" s="52">
        <v>7.29992868E8</v>
      </c>
      <c r="C4457" s="28" t="s">
        <v>4411</v>
      </c>
      <c r="D4457" s="26" t="s">
        <v>56</v>
      </c>
      <c r="E4457" s="31">
        <v>46235.0</v>
      </c>
      <c r="F4457" s="26" t="s">
        <v>46</v>
      </c>
      <c r="G4457" s="26">
        <v>11.0</v>
      </c>
      <c r="I4457" s="26" t="s">
        <v>872</v>
      </c>
      <c r="J4457" s="25" t="str">
        <f t="shared" si="49"/>
        <v>No</v>
      </c>
      <c r="K4457" s="25" t="str">
        <f t="shared" si="50"/>
        <v/>
      </c>
      <c r="L4457" s="25" t="str">
        <f t="shared" si="51"/>
        <v/>
      </c>
      <c r="M4457" s="25"/>
      <c r="O4457" s="25"/>
    </row>
    <row r="4458" ht="15.75" customHeight="1">
      <c r="A4458" s="25" t="str">
        <f>IFERROR(__xludf.DUMMYFUNCTION("IF(B4458="""","""",RIGHT(REGEXREPLACE(B4458&amp;"""",""[^0-9]"",""""),9))"),"762396757")</f>
        <v>762396757</v>
      </c>
      <c r="B4458" s="52">
        <v>7.62396757E8</v>
      </c>
      <c r="C4458" s="28" t="s">
        <v>272</v>
      </c>
      <c r="D4458" s="26" t="s">
        <v>49</v>
      </c>
      <c r="E4458" s="31">
        <v>46235.0</v>
      </c>
      <c r="F4458" s="26" t="s">
        <v>659</v>
      </c>
      <c r="I4458" s="26" t="s">
        <v>872</v>
      </c>
      <c r="J4458" s="25" t="str">
        <f t="shared" si="49"/>
        <v>Yes - see Previous F-Code</v>
      </c>
      <c r="K4458" s="25" t="str">
        <f t="shared" si="50"/>
        <v/>
      </c>
      <c r="L4458" s="25" t="str">
        <f t="shared" si="51"/>
        <v>F70145</v>
      </c>
      <c r="M4458" s="25"/>
      <c r="O4458" s="25"/>
    </row>
    <row r="4459" ht="15.75" customHeight="1">
      <c r="A4459" s="25" t="str">
        <f>IFERROR(__xludf.DUMMYFUNCTION("IF(B4459="""","""",RIGHT(REGEXREPLACE(B4459&amp;"""",""[^0-9]"",""""),9))"),"719541411")</f>
        <v>719541411</v>
      </c>
      <c r="B4459" s="52">
        <v>7.19541411E8</v>
      </c>
      <c r="C4459" s="28" t="s">
        <v>4412</v>
      </c>
      <c r="D4459" s="26" t="s">
        <v>64</v>
      </c>
      <c r="E4459" s="31">
        <v>46235.0</v>
      </c>
      <c r="F4459" s="26" t="s">
        <v>41</v>
      </c>
      <c r="I4459" s="26" t="s">
        <v>872</v>
      </c>
      <c r="J4459" s="25" t="str">
        <f t="shared" si="49"/>
        <v>No</v>
      </c>
      <c r="K4459" s="25" t="str">
        <f t="shared" si="50"/>
        <v/>
      </c>
      <c r="L4459" s="25" t="str">
        <f t="shared" si="51"/>
        <v/>
      </c>
      <c r="M4459" s="25"/>
      <c r="O4459" s="25"/>
    </row>
    <row r="4460" ht="15.75" customHeight="1">
      <c r="A4460" s="25" t="str">
        <f>IFERROR(__xludf.DUMMYFUNCTION("IF(B4460="""","""",RIGHT(REGEXREPLACE(B4460&amp;"""",""[^0-9]"",""""),9))"),"784929046")</f>
        <v>784929046</v>
      </c>
      <c r="B4460" s="52">
        <v>7.84929046E8</v>
      </c>
      <c r="C4460" s="28" t="s">
        <v>4413</v>
      </c>
      <c r="D4460" s="26" t="s">
        <v>82</v>
      </c>
      <c r="E4460" s="31">
        <v>46235.0</v>
      </c>
      <c r="F4460" s="26" t="s">
        <v>41</v>
      </c>
      <c r="G4460" s="26">
        <v>10.0</v>
      </c>
      <c r="I4460" s="26" t="s">
        <v>872</v>
      </c>
      <c r="J4460" s="25" t="str">
        <f t="shared" si="49"/>
        <v>No</v>
      </c>
      <c r="K4460" s="25" t="str">
        <f t="shared" si="50"/>
        <v/>
      </c>
      <c r="L4460" s="25" t="str">
        <f t="shared" si="51"/>
        <v/>
      </c>
      <c r="M4460" s="25"/>
      <c r="O4460" s="25"/>
    </row>
    <row r="4461" ht="15.75" customHeight="1">
      <c r="A4461" s="25" t="str">
        <f>IFERROR(__xludf.DUMMYFUNCTION("IF(B4461="""","""",RIGHT(REGEXREPLACE(B4461&amp;"""",""[^0-9]"",""""),9))"),"773904170")</f>
        <v>773904170</v>
      </c>
      <c r="B4461" s="52">
        <v>7.7390417E8</v>
      </c>
      <c r="C4461" s="28" t="s">
        <v>4414</v>
      </c>
      <c r="D4461" s="26" t="s">
        <v>56</v>
      </c>
      <c r="E4461" s="31">
        <v>46235.0</v>
      </c>
      <c r="F4461" s="26" t="s">
        <v>46</v>
      </c>
      <c r="G4461" s="26">
        <v>10.0</v>
      </c>
      <c r="I4461" s="26" t="s">
        <v>872</v>
      </c>
      <c r="J4461" s="25" t="str">
        <f t="shared" si="49"/>
        <v>No</v>
      </c>
      <c r="K4461" s="25" t="str">
        <f t="shared" si="50"/>
        <v/>
      </c>
      <c r="L4461" s="25" t="str">
        <f t="shared" si="51"/>
        <v/>
      </c>
      <c r="M4461" s="25"/>
      <c r="O4461" s="25"/>
    </row>
    <row r="4462" ht="15.75" customHeight="1">
      <c r="A4462" s="25" t="str">
        <f>IFERROR(__xludf.DUMMYFUNCTION("IF(B4462="""","""",RIGHT(REGEXREPLACE(B4462&amp;"""",""[^0-9]"",""""),9))"),"769848458")</f>
        <v>769848458</v>
      </c>
      <c r="B4462" s="52">
        <v>7.69848458E8</v>
      </c>
      <c r="C4462" s="28" t="s">
        <v>4415</v>
      </c>
      <c r="D4462" s="26" t="s">
        <v>82</v>
      </c>
      <c r="E4462" s="31">
        <v>46235.0</v>
      </c>
      <c r="F4462" s="26" t="s">
        <v>46</v>
      </c>
      <c r="G4462" s="26">
        <v>6.0</v>
      </c>
      <c r="I4462" s="26" t="s">
        <v>872</v>
      </c>
      <c r="J4462" s="25" t="str">
        <f t="shared" si="49"/>
        <v>No</v>
      </c>
      <c r="K4462" s="25" t="str">
        <f t="shared" si="50"/>
        <v/>
      </c>
      <c r="L4462" s="25" t="str">
        <f t="shared" si="51"/>
        <v/>
      </c>
      <c r="M4462" s="25"/>
      <c r="O4462" s="25"/>
    </row>
    <row r="4463" ht="15.75" customHeight="1">
      <c r="A4463" s="25" t="str">
        <f>IFERROR(__xludf.DUMMYFUNCTION("IF(B4463="""","""",RIGHT(REGEXREPLACE(B4463&amp;"""",""[^0-9]"",""""),9))"),"711669697")</f>
        <v>711669697</v>
      </c>
      <c r="B4463" s="52">
        <v>7.11669697E8</v>
      </c>
      <c r="C4463" s="28" t="s">
        <v>4416</v>
      </c>
      <c r="D4463" s="26" t="s">
        <v>49</v>
      </c>
      <c r="E4463" s="31">
        <v>46235.0</v>
      </c>
      <c r="F4463" s="26" t="s">
        <v>46</v>
      </c>
      <c r="G4463" s="26">
        <v>9.0</v>
      </c>
      <c r="I4463" s="26" t="s">
        <v>872</v>
      </c>
      <c r="J4463" s="25" t="str">
        <f t="shared" si="49"/>
        <v>No</v>
      </c>
      <c r="K4463" s="25" t="str">
        <f t="shared" si="50"/>
        <v/>
      </c>
      <c r="L4463" s="25" t="str">
        <f t="shared" si="51"/>
        <v/>
      </c>
      <c r="M4463" s="25"/>
      <c r="O4463" s="25"/>
    </row>
    <row r="4464" ht="15.75" customHeight="1">
      <c r="A4464" s="25" t="str">
        <f>IFERROR(__xludf.DUMMYFUNCTION("IF(B4464="""","""",RIGHT(REGEXREPLACE(B4464&amp;"""",""[^0-9]"",""""),9))"),"761443181")</f>
        <v>761443181</v>
      </c>
      <c r="B4464" s="52">
        <v>7.61443181E8</v>
      </c>
      <c r="C4464" s="28" t="s">
        <v>4417</v>
      </c>
      <c r="D4464" s="26" t="s">
        <v>64</v>
      </c>
      <c r="E4464" s="31">
        <v>46235.0</v>
      </c>
      <c r="F4464" s="26" t="s">
        <v>41</v>
      </c>
      <c r="I4464" s="26" t="s">
        <v>872</v>
      </c>
      <c r="J4464" s="25" t="str">
        <f t="shared" si="49"/>
        <v>No</v>
      </c>
      <c r="K4464" s="25" t="str">
        <f t="shared" si="50"/>
        <v/>
      </c>
      <c r="L4464" s="25" t="str">
        <f t="shared" si="51"/>
        <v/>
      </c>
      <c r="M4464" s="25"/>
      <c r="O4464" s="25"/>
    </row>
    <row r="4465" ht="15.75" customHeight="1">
      <c r="A4465" s="25" t="str">
        <f>IFERROR(__xludf.DUMMYFUNCTION("IF(B4465="""","""",RIGHT(REGEXREPLACE(B4465&amp;"""",""[^0-9]"",""""),9))"),"728098276")</f>
        <v>728098276</v>
      </c>
      <c r="B4465" s="52">
        <v>7.28098276E8</v>
      </c>
      <c r="C4465" s="28" t="s">
        <v>4418</v>
      </c>
      <c r="D4465" s="26" t="s">
        <v>56</v>
      </c>
      <c r="E4465" s="31">
        <v>46235.0</v>
      </c>
      <c r="F4465" s="26" t="s">
        <v>46</v>
      </c>
      <c r="G4465" s="26">
        <v>10.0</v>
      </c>
      <c r="I4465" s="26" t="s">
        <v>872</v>
      </c>
      <c r="J4465" s="25" t="str">
        <f t="shared" si="49"/>
        <v>No</v>
      </c>
      <c r="K4465" s="25" t="str">
        <f t="shared" si="50"/>
        <v/>
      </c>
      <c r="L4465" s="25" t="str">
        <f t="shared" si="51"/>
        <v/>
      </c>
      <c r="M4465" s="25"/>
      <c r="O4465" s="25"/>
    </row>
    <row r="4466" ht="15.75" customHeight="1">
      <c r="A4466" s="25" t="str">
        <f>IFERROR(__xludf.DUMMYFUNCTION("IF(B4466="""","""",RIGHT(REGEXREPLACE(B4466&amp;"""",""[^0-9]"",""""),9))"),"778896197")</f>
        <v>778896197</v>
      </c>
      <c r="B4466" s="52">
        <v>7.78896197E8</v>
      </c>
      <c r="C4466" s="28" t="s">
        <v>4419</v>
      </c>
      <c r="D4466" s="26" t="s">
        <v>82</v>
      </c>
      <c r="E4466" s="31">
        <v>46235.0</v>
      </c>
      <c r="F4466" s="26" t="s">
        <v>46</v>
      </c>
      <c r="G4466" s="26">
        <v>9.0</v>
      </c>
      <c r="H4466" s="26" t="s">
        <v>140</v>
      </c>
      <c r="I4466" s="26" t="s">
        <v>872</v>
      </c>
      <c r="J4466" s="25" t="str">
        <f t="shared" si="49"/>
        <v>No</v>
      </c>
      <c r="K4466" s="25" t="str">
        <f t="shared" si="50"/>
        <v/>
      </c>
      <c r="L4466" s="25" t="str">
        <f t="shared" si="51"/>
        <v/>
      </c>
      <c r="M4466" s="25"/>
      <c r="O4466" s="25"/>
    </row>
    <row r="4467" ht="15.75" customHeight="1">
      <c r="A4467" s="25" t="str">
        <f>IFERROR(__xludf.DUMMYFUNCTION("IF(B4467="""","""",RIGHT(REGEXREPLACE(B4467&amp;"""",""[^0-9]"",""""),9))"),"761493397")</f>
        <v>761493397</v>
      </c>
      <c r="B4467" s="52">
        <v>7.61493397E8</v>
      </c>
      <c r="C4467" s="28" t="s">
        <v>4420</v>
      </c>
      <c r="D4467" s="26" t="s">
        <v>82</v>
      </c>
      <c r="E4467" s="31">
        <v>46235.0</v>
      </c>
      <c r="F4467" s="26" t="s">
        <v>704</v>
      </c>
      <c r="G4467" s="26">
        <v>10.0</v>
      </c>
      <c r="I4467" s="26" t="s">
        <v>872</v>
      </c>
      <c r="J4467" s="25" t="str">
        <f t="shared" si="49"/>
        <v>No</v>
      </c>
      <c r="K4467" s="25" t="str">
        <f t="shared" si="50"/>
        <v/>
      </c>
      <c r="L4467" s="25" t="str">
        <f t="shared" si="51"/>
        <v/>
      </c>
      <c r="M4467" s="25"/>
      <c r="O4467" s="25"/>
    </row>
    <row r="4468" ht="15.75" customHeight="1">
      <c r="A4468" s="25" t="str">
        <f>IFERROR(__xludf.DUMMYFUNCTION("IF(B4468="""","""",RIGHT(REGEXREPLACE(B4468&amp;"""",""[^0-9]"",""""),9))"),"776075396")</f>
        <v>776075396</v>
      </c>
      <c r="B4468" s="52">
        <v>7.76075396E8</v>
      </c>
      <c r="C4468" s="28" t="s">
        <v>4421</v>
      </c>
      <c r="D4468" s="26" t="s">
        <v>64</v>
      </c>
      <c r="E4468" s="31">
        <v>46235.0</v>
      </c>
      <c r="F4468" s="26" t="s">
        <v>41</v>
      </c>
      <c r="I4468" s="26" t="s">
        <v>872</v>
      </c>
      <c r="J4468" s="25" t="str">
        <f t="shared" si="49"/>
        <v>No</v>
      </c>
      <c r="K4468" s="25" t="str">
        <f t="shared" si="50"/>
        <v/>
      </c>
      <c r="L4468" s="25" t="str">
        <f t="shared" si="51"/>
        <v/>
      </c>
      <c r="M4468" s="25"/>
      <c r="O4468" s="25"/>
    </row>
    <row r="4469" ht="15.75" customHeight="1">
      <c r="A4469" s="25" t="str">
        <f>IFERROR(__xludf.DUMMYFUNCTION("IF(B4469="""","""",RIGHT(REGEXREPLACE(B4469&amp;"""",""[^0-9]"",""""),9))"),"771831262")</f>
        <v>771831262</v>
      </c>
      <c r="B4469" s="52">
        <v>7.71831262E8</v>
      </c>
      <c r="C4469" s="28" t="s">
        <v>4422</v>
      </c>
      <c r="D4469" s="26" t="s">
        <v>56</v>
      </c>
      <c r="E4469" s="31">
        <v>46235.0</v>
      </c>
      <c r="F4469" s="26" t="s">
        <v>46</v>
      </c>
      <c r="G4469" s="26">
        <v>10.0</v>
      </c>
      <c r="I4469" s="26" t="s">
        <v>872</v>
      </c>
      <c r="J4469" s="25" t="str">
        <f t="shared" si="49"/>
        <v>No</v>
      </c>
      <c r="K4469" s="25" t="str">
        <f t="shared" si="50"/>
        <v/>
      </c>
      <c r="L4469" s="25" t="str">
        <f t="shared" si="51"/>
        <v/>
      </c>
      <c r="M4469" s="25"/>
      <c r="O4469" s="25"/>
    </row>
    <row r="4470" ht="15.75" customHeight="1">
      <c r="A4470" s="25" t="str">
        <f>IFERROR(__xludf.DUMMYFUNCTION("IF(B4470="""","""",RIGHT(REGEXREPLACE(B4470&amp;"""",""[^0-9]"",""""),9))"),"768349917")</f>
        <v>768349917</v>
      </c>
      <c r="B4470" s="52">
        <v>7.68349917E8</v>
      </c>
      <c r="C4470" s="28" t="s">
        <v>4423</v>
      </c>
      <c r="D4470" s="26" t="s">
        <v>82</v>
      </c>
      <c r="E4470" s="31">
        <v>46235.0</v>
      </c>
      <c r="F4470" s="26" t="s">
        <v>41</v>
      </c>
      <c r="I4470" s="26" t="s">
        <v>872</v>
      </c>
      <c r="J4470" s="25" t="str">
        <f t="shared" si="49"/>
        <v>No</v>
      </c>
      <c r="K4470" s="25" t="str">
        <f t="shared" si="50"/>
        <v/>
      </c>
      <c r="L4470" s="25" t="str">
        <f t="shared" si="51"/>
        <v/>
      </c>
      <c r="M4470" s="25"/>
      <c r="O4470" s="25"/>
    </row>
    <row r="4471" ht="15.75" customHeight="1">
      <c r="A4471" s="25" t="str">
        <f>IFERROR(__xludf.DUMMYFUNCTION("IF(B4471="""","""",RIGHT(REGEXREPLACE(B4471&amp;"""",""[^0-9]"",""""),9))"),"776912841")</f>
        <v>776912841</v>
      </c>
      <c r="B4471" s="52">
        <v>7.76912841E8</v>
      </c>
      <c r="C4471" s="28" t="s">
        <v>4180</v>
      </c>
      <c r="D4471" s="26" t="s">
        <v>64</v>
      </c>
      <c r="E4471" s="31">
        <v>46235.0</v>
      </c>
      <c r="F4471" s="26" t="s">
        <v>41</v>
      </c>
      <c r="I4471" s="26" t="s">
        <v>872</v>
      </c>
      <c r="J4471" s="25" t="str">
        <f t="shared" si="49"/>
        <v>Yes - see Previous F-Code</v>
      </c>
      <c r="K4471" s="25" t="str">
        <f t="shared" si="50"/>
        <v>DUPLICATE - CHECK</v>
      </c>
      <c r="L4471" s="25" t="str">
        <f t="shared" si="51"/>
        <v>F73814</v>
      </c>
      <c r="M4471" s="25"/>
      <c r="O4471" s="25"/>
    </row>
    <row r="4472" ht="15.75" customHeight="1">
      <c r="A4472" s="25" t="str">
        <f>IFERROR(__xludf.DUMMYFUNCTION("IF(B4472="""","""",RIGHT(REGEXREPLACE(B4472&amp;"""",""[^0-9]"",""""),9))"),"743178210")</f>
        <v>743178210</v>
      </c>
      <c r="B4472" s="52">
        <v>7.4317821E8</v>
      </c>
      <c r="C4472" s="28" t="s">
        <v>4424</v>
      </c>
      <c r="D4472" s="26" t="s">
        <v>49</v>
      </c>
      <c r="E4472" s="31">
        <v>46235.0</v>
      </c>
      <c r="F4472" s="26" t="s">
        <v>46</v>
      </c>
      <c r="H4472" s="26" t="s">
        <v>4425</v>
      </c>
      <c r="I4472" s="26" t="s">
        <v>872</v>
      </c>
      <c r="J4472" s="25" t="str">
        <f t="shared" si="49"/>
        <v>No</v>
      </c>
      <c r="K4472" s="25" t="str">
        <f t="shared" si="50"/>
        <v/>
      </c>
      <c r="L4472" s="25" t="str">
        <f t="shared" si="51"/>
        <v/>
      </c>
      <c r="M4472" s="25"/>
      <c r="O4472" s="25"/>
    </row>
    <row r="4473" ht="15.75" customHeight="1">
      <c r="A4473" s="25" t="str">
        <f>IFERROR(__xludf.DUMMYFUNCTION("IF(B4473="""","""",RIGHT(REGEXREPLACE(B4473&amp;"""",""[^0-9]"",""""),9))"),"703565336")</f>
        <v>703565336</v>
      </c>
      <c r="B4473" s="52">
        <v>7.03565336E8</v>
      </c>
      <c r="C4473" s="28" t="s">
        <v>4426</v>
      </c>
      <c r="D4473" s="26" t="s">
        <v>45</v>
      </c>
      <c r="E4473" s="31">
        <v>46235.0</v>
      </c>
      <c r="F4473" s="26" t="s">
        <v>41</v>
      </c>
      <c r="H4473" s="26" t="s">
        <v>4427</v>
      </c>
      <c r="I4473" s="26" t="s">
        <v>872</v>
      </c>
      <c r="J4473" s="25" t="str">
        <f t="shared" si="49"/>
        <v>No</v>
      </c>
      <c r="K4473" s="25" t="str">
        <f t="shared" si="50"/>
        <v/>
      </c>
      <c r="L4473" s="25" t="str">
        <f t="shared" si="51"/>
        <v/>
      </c>
      <c r="M4473" s="25"/>
      <c r="O4473" s="25"/>
    </row>
    <row r="4474" ht="15.75" customHeight="1">
      <c r="A4474" s="25" t="str">
        <f>IFERROR(__xludf.DUMMYFUNCTION("IF(B4474="""","""",RIGHT(REGEXREPLACE(B4474&amp;"""",""[^0-9]"",""""),9))"),"773791686")</f>
        <v>773791686</v>
      </c>
      <c r="B4474" s="52">
        <v>7.73791686E8</v>
      </c>
      <c r="C4474" s="28" t="s">
        <v>4428</v>
      </c>
      <c r="D4474" s="26" t="s">
        <v>82</v>
      </c>
      <c r="E4474" s="31">
        <v>46235.0</v>
      </c>
      <c r="F4474" s="26" t="s">
        <v>164</v>
      </c>
      <c r="G4474" s="26">
        <v>10.0</v>
      </c>
      <c r="I4474" s="26" t="s">
        <v>872</v>
      </c>
      <c r="J4474" s="25" t="str">
        <f t="shared" si="49"/>
        <v>No</v>
      </c>
      <c r="K4474" s="25" t="str">
        <f t="shared" si="50"/>
        <v/>
      </c>
      <c r="L4474" s="25" t="str">
        <f t="shared" si="51"/>
        <v/>
      </c>
      <c r="M4474" s="25"/>
      <c r="O4474" s="25"/>
    </row>
    <row r="4475" ht="15.75" customHeight="1">
      <c r="A4475" s="25" t="str">
        <f>IFERROR(__xludf.DUMMYFUNCTION("IF(B4475="""","""",RIGHT(REGEXREPLACE(B4475&amp;"""",""[^0-9]"",""""),9))"),"773645374")</f>
        <v>773645374</v>
      </c>
      <c r="B4475" s="52">
        <v>7.73645374E8</v>
      </c>
      <c r="C4475" s="28" t="s">
        <v>4429</v>
      </c>
      <c r="D4475" s="26" t="s">
        <v>64</v>
      </c>
      <c r="E4475" s="31">
        <v>46235.0</v>
      </c>
      <c r="F4475" s="26" t="s">
        <v>46</v>
      </c>
      <c r="G4475" s="26">
        <v>10.0</v>
      </c>
      <c r="I4475" s="26" t="s">
        <v>872</v>
      </c>
      <c r="J4475" s="25" t="str">
        <f t="shared" si="49"/>
        <v>No</v>
      </c>
      <c r="K4475" s="25" t="str">
        <f t="shared" si="50"/>
        <v/>
      </c>
      <c r="L4475" s="25" t="str">
        <f t="shared" si="51"/>
        <v/>
      </c>
      <c r="M4475" s="25"/>
      <c r="O4475" s="25"/>
    </row>
    <row r="4476" ht="15.75" customHeight="1">
      <c r="A4476" s="25" t="str">
        <f>IFERROR(__xludf.DUMMYFUNCTION("IF(B4476="""","""",RIGHT(REGEXREPLACE(B4476&amp;"""",""[^0-9]"",""""),9))"),"777798815")</f>
        <v>777798815</v>
      </c>
      <c r="B4476" s="52">
        <v>7.77798815E8</v>
      </c>
      <c r="C4476" s="28" t="s">
        <v>4430</v>
      </c>
      <c r="D4476" s="26" t="s">
        <v>82</v>
      </c>
      <c r="E4476" s="31">
        <v>46235.0</v>
      </c>
      <c r="F4476" s="26" t="s">
        <v>125</v>
      </c>
      <c r="G4476" s="26">
        <v>10.0</v>
      </c>
      <c r="H4476" s="26" t="s">
        <v>4431</v>
      </c>
      <c r="I4476" s="26" t="s">
        <v>872</v>
      </c>
      <c r="J4476" s="25" t="str">
        <f t="shared" si="49"/>
        <v>No</v>
      </c>
      <c r="K4476" s="25" t="str">
        <f t="shared" si="50"/>
        <v/>
      </c>
      <c r="L4476" s="25" t="str">
        <f t="shared" si="51"/>
        <v/>
      </c>
      <c r="M4476" s="25"/>
      <c r="O4476" s="25"/>
    </row>
    <row r="4477" ht="15.75" customHeight="1">
      <c r="A4477" s="25" t="str">
        <f>IFERROR(__xludf.DUMMYFUNCTION("IF(B4477="""","""",RIGHT(REGEXREPLACE(B4477&amp;"""",""[^0-9]"",""""),9))"),"774354669")</f>
        <v>774354669</v>
      </c>
      <c r="B4477" s="52">
        <v>7.74354669E8</v>
      </c>
      <c r="C4477" s="28" t="s">
        <v>4432</v>
      </c>
      <c r="D4477" s="26" t="s">
        <v>45</v>
      </c>
      <c r="E4477" s="31">
        <v>46235.0</v>
      </c>
      <c r="F4477" s="26" t="s">
        <v>46</v>
      </c>
      <c r="G4477" s="26">
        <v>11.0</v>
      </c>
      <c r="I4477" s="26" t="s">
        <v>872</v>
      </c>
      <c r="J4477" s="25" t="str">
        <f t="shared" si="49"/>
        <v>No</v>
      </c>
      <c r="K4477" s="25" t="str">
        <f t="shared" si="50"/>
        <v/>
      </c>
      <c r="L4477" s="25" t="str">
        <f t="shared" si="51"/>
        <v/>
      </c>
      <c r="M4477" s="25"/>
      <c r="O4477" s="25"/>
    </row>
    <row r="4478" ht="15.75" customHeight="1">
      <c r="A4478" s="25" t="str">
        <f>IFERROR(__xludf.DUMMYFUNCTION("IF(B4478="""","""",RIGHT(REGEXREPLACE(B4478&amp;"""",""[^0-9]"",""""),9))"),"773105742")</f>
        <v>773105742</v>
      </c>
      <c r="B4478" s="52">
        <v>7.73105742E8</v>
      </c>
      <c r="C4478" s="28" t="s">
        <v>4433</v>
      </c>
      <c r="D4478" s="26" t="s">
        <v>56</v>
      </c>
      <c r="E4478" s="31">
        <v>46235.0</v>
      </c>
      <c r="F4478" s="26" t="s">
        <v>46</v>
      </c>
      <c r="H4478" s="26" t="s">
        <v>140</v>
      </c>
      <c r="I4478" s="26" t="s">
        <v>872</v>
      </c>
      <c r="J4478" s="25" t="str">
        <f t="shared" si="49"/>
        <v>No</v>
      </c>
      <c r="K4478" s="25" t="str">
        <f t="shared" si="50"/>
        <v/>
      </c>
      <c r="L4478" s="25" t="str">
        <f t="shared" si="51"/>
        <v/>
      </c>
      <c r="M4478" s="25"/>
      <c r="O4478" s="25"/>
    </row>
    <row r="4479" ht="15.75" customHeight="1">
      <c r="A4479" s="25" t="str">
        <f>IFERROR(__xludf.DUMMYFUNCTION("IF(B4479="""","""",RIGHT(REGEXREPLACE(B4479&amp;"""",""[^0-9]"",""""),9))"),"719236349")</f>
        <v>719236349</v>
      </c>
      <c r="B4479" s="52">
        <v>7.19236349E8</v>
      </c>
      <c r="C4479" s="28" t="s">
        <v>4434</v>
      </c>
      <c r="D4479" s="26" t="s">
        <v>49</v>
      </c>
      <c r="E4479" s="31">
        <v>46235.0</v>
      </c>
      <c r="F4479" s="26" t="s">
        <v>46</v>
      </c>
      <c r="G4479" s="26">
        <v>10.0</v>
      </c>
      <c r="I4479" s="26" t="s">
        <v>872</v>
      </c>
      <c r="J4479" s="25" t="str">
        <f t="shared" si="49"/>
        <v>No</v>
      </c>
      <c r="K4479" s="25" t="str">
        <f t="shared" si="50"/>
        <v/>
      </c>
      <c r="L4479" s="25" t="str">
        <f t="shared" si="51"/>
        <v/>
      </c>
      <c r="M4479" s="25"/>
      <c r="O4479" s="25"/>
    </row>
    <row r="4480" ht="15.75" customHeight="1">
      <c r="A4480" s="25" t="str">
        <f>IFERROR(__xludf.DUMMYFUNCTION("IF(B4480="""","""",RIGHT(REGEXREPLACE(B4480&amp;"""",""[^0-9]"",""""),9))"),"764136863")</f>
        <v>764136863</v>
      </c>
      <c r="B4480" s="52">
        <v>7.64136863E8</v>
      </c>
      <c r="C4480" s="28" t="s">
        <v>4435</v>
      </c>
      <c r="D4480" s="26" t="s">
        <v>64</v>
      </c>
      <c r="E4480" s="31">
        <v>46235.0</v>
      </c>
      <c r="F4480" s="26" t="s">
        <v>41</v>
      </c>
      <c r="I4480" s="26" t="s">
        <v>872</v>
      </c>
      <c r="J4480" s="25" t="str">
        <f t="shared" si="49"/>
        <v>No</v>
      </c>
      <c r="K4480" s="25" t="str">
        <f t="shared" si="50"/>
        <v/>
      </c>
      <c r="L4480" s="25" t="str">
        <f t="shared" si="51"/>
        <v/>
      </c>
      <c r="M4480" s="25"/>
      <c r="O4480" s="25"/>
    </row>
    <row r="4481" ht="15.75" customHeight="1">
      <c r="A4481" s="25" t="str">
        <f>IFERROR(__xludf.DUMMYFUNCTION("IF(B4481="""","""",RIGHT(REGEXREPLACE(B4481&amp;"""",""[^0-9]"",""""),9))"),"741120079")</f>
        <v>741120079</v>
      </c>
      <c r="B4481" s="52">
        <v>7.41120079E8</v>
      </c>
      <c r="C4481" s="28" t="s">
        <v>4436</v>
      </c>
      <c r="D4481" s="26" t="s">
        <v>56</v>
      </c>
      <c r="E4481" s="31">
        <v>46235.0</v>
      </c>
      <c r="F4481" s="26" t="s">
        <v>164</v>
      </c>
      <c r="G4481" s="26">
        <v>10.0</v>
      </c>
      <c r="I4481" s="26" t="s">
        <v>872</v>
      </c>
      <c r="J4481" s="25" t="str">
        <f t="shared" si="49"/>
        <v>No</v>
      </c>
      <c r="K4481" s="25" t="str">
        <f t="shared" si="50"/>
        <v/>
      </c>
      <c r="L4481" s="25" t="str">
        <f t="shared" si="51"/>
        <v/>
      </c>
      <c r="M4481" s="25"/>
      <c r="O4481" s="25"/>
    </row>
    <row r="4482" ht="15.75" customHeight="1">
      <c r="A4482" s="25" t="str">
        <f>IFERROR(__xludf.DUMMYFUNCTION("IF(B4482="""","""",RIGHT(REGEXREPLACE(B4482&amp;"""",""[^0-9]"",""""),9))"),"775353051")</f>
        <v>775353051</v>
      </c>
      <c r="B4482" s="52">
        <v>7.75353051E8</v>
      </c>
      <c r="C4482" s="28" t="s">
        <v>4437</v>
      </c>
      <c r="D4482" s="26" t="s">
        <v>82</v>
      </c>
      <c r="E4482" s="31">
        <v>46235.0</v>
      </c>
      <c r="F4482" s="26" t="s">
        <v>41</v>
      </c>
      <c r="I4482" s="26" t="s">
        <v>872</v>
      </c>
      <c r="J4482" s="25" t="str">
        <f t="shared" si="49"/>
        <v>No</v>
      </c>
      <c r="K4482" s="25" t="str">
        <f t="shared" si="50"/>
        <v/>
      </c>
      <c r="L4482" s="25" t="str">
        <f t="shared" si="51"/>
        <v/>
      </c>
      <c r="M4482" s="25"/>
      <c r="O4482" s="25"/>
    </row>
    <row r="4483" ht="15.75" customHeight="1">
      <c r="A4483" s="25" t="str">
        <f>IFERROR(__xludf.DUMMYFUNCTION("IF(B4483="""","""",RIGHT(REGEXREPLACE(B4483&amp;"""",""[^0-9]"",""""),9))"),"768176774")</f>
        <v>768176774</v>
      </c>
      <c r="B4483" s="52">
        <v>7.68176774E8</v>
      </c>
      <c r="C4483" s="28" t="s">
        <v>4438</v>
      </c>
      <c r="D4483" s="26" t="s">
        <v>64</v>
      </c>
      <c r="E4483" s="31">
        <v>46235.0</v>
      </c>
      <c r="F4483" s="26" t="s">
        <v>41</v>
      </c>
      <c r="G4483" s="26">
        <v>10.0</v>
      </c>
      <c r="I4483" s="26" t="s">
        <v>872</v>
      </c>
      <c r="J4483" s="25" t="str">
        <f t="shared" si="49"/>
        <v>No</v>
      </c>
      <c r="K4483" s="25" t="str">
        <f t="shared" si="50"/>
        <v/>
      </c>
      <c r="L4483" s="25" t="str">
        <f t="shared" si="51"/>
        <v/>
      </c>
      <c r="M4483" s="25"/>
      <c r="O4483" s="25"/>
    </row>
    <row r="4484" ht="15.75" customHeight="1">
      <c r="A4484" s="25" t="str">
        <f>IFERROR(__xludf.DUMMYFUNCTION("IF(B4484="""","""",RIGHT(REGEXREPLACE(B4484&amp;"""",""[^0-9]"",""""),9))"),"779864249")</f>
        <v>779864249</v>
      </c>
      <c r="B4484" s="52">
        <v>7.79864249E8</v>
      </c>
      <c r="C4484" s="28" t="s">
        <v>4439</v>
      </c>
      <c r="D4484" s="26" t="s">
        <v>45</v>
      </c>
      <c r="E4484" s="31">
        <v>46235.0</v>
      </c>
      <c r="F4484" s="26" t="s">
        <v>41</v>
      </c>
      <c r="G4484" s="26">
        <v>10.0</v>
      </c>
      <c r="I4484" s="26" t="s">
        <v>872</v>
      </c>
      <c r="J4484" s="25" t="str">
        <f t="shared" si="49"/>
        <v>No</v>
      </c>
      <c r="K4484" s="25" t="str">
        <f t="shared" si="50"/>
        <v/>
      </c>
      <c r="L4484" s="25" t="str">
        <f t="shared" si="51"/>
        <v/>
      </c>
      <c r="M4484" s="25"/>
      <c r="O4484" s="25"/>
    </row>
    <row r="4485" ht="15.75" customHeight="1">
      <c r="A4485" s="25" t="str">
        <f>IFERROR(__xludf.DUMMYFUNCTION("IF(B4485="""","""",RIGHT(REGEXREPLACE(B4485&amp;"""",""[^0-9]"",""""),9))"),"773756761")</f>
        <v>773756761</v>
      </c>
      <c r="B4485" s="52">
        <v>7.73756761E8</v>
      </c>
      <c r="C4485" s="28" t="s">
        <v>4440</v>
      </c>
      <c r="D4485" s="26" t="s">
        <v>82</v>
      </c>
      <c r="E4485" s="31">
        <v>46235.0</v>
      </c>
      <c r="F4485" s="26" t="s">
        <v>41</v>
      </c>
      <c r="I4485" s="26" t="s">
        <v>872</v>
      </c>
      <c r="J4485" s="25" t="str">
        <f t="shared" si="49"/>
        <v>No</v>
      </c>
      <c r="K4485" s="25" t="str">
        <f t="shared" si="50"/>
        <v/>
      </c>
      <c r="L4485" s="25" t="str">
        <f t="shared" si="51"/>
        <v/>
      </c>
      <c r="M4485" s="25"/>
      <c r="O4485" s="25"/>
    </row>
    <row r="4486" ht="15.75" customHeight="1">
      <c r="A4486" s="25" t="str">
        <f>IFERROR(__xludf.DUMMYFUNCTION("IF(B4486="""","""",RIGHT(REGEXREPLACE(B4486&amp;"""",""[^0-9]"",""""),9))"),"778273379")</f>
        <v>778273379</v>
      </c>
      <c r="B4486" s="52">
        <v>7.78273379E8</v>
      </c>
      <c r="C4486" s="28" t="s">
        <v>4441</v>
      </c>
      <c r="D4486" s="26" t="s">
        <v>64</v>
      </c>
      <c r="E4486" s="31">
        <v>46235.0</v>
      </c>
      <c r="F4486" s="26" t="s">
        <v>659</v>
      </c>
      <c r="G4486" s="26">
        <v>10.0</v>
      </c>
      <c r="I4486" s="26" t="s">
        <v>872</v>
      </c>
      <c r="J4486" s="25" t="str">
        <f t="shared" si="49"/>
        <v>No</v>
      </c>
      <c r="K4486" s="25" t="str">
        <f t="shared" si="50"/>
        <v/>
      </c>
      <c r="L4486" s="25" t="str">
        <f t="shared" si="51"/>
        <v/>
      </c>
      <c r="M4486" s="25"/>
      <c r="O4486" s="25"/>
    </row>
    <row r="4487" ht="15.75" customHeight="1">
      <c r="A4487" s="25" t="str">
        <f>IFERROR(__xludf.DUMMYFUNCTION("IF(B4487="""","""",RIGHT(REGEXREPLACE(B4487&amp;"""",""[^0-9]"",""""),9))"),"719798318")</f>
        <v>719798318</v>
      </c>
      <c r="B4487" s="52">
        <v>7.19798318E8</v>
      </c>
      <c r="C4487" s="28" t="s">
        <v>4442</v>
      </c>
      <c r="D4487" s="26" t="s">
        <v>82</v>
      </c>
      <c r="E4487" s="31">
        <v>46235.0</v>
      </c>
      <c r="F4487" s="26" t="s">
        <v>125</v>
      </c>
      <c r="G4487" s="26">
        <v>10.0</v>
      </c>
      <c r="H4487" s="26" t="s">
        <v>4443</v>
      </c>
      <c r="I4487" s="26" t="s">
        <v>872</v>
      </c>
      <c r="J4487" s="25" t="str">
        <f t="shared" si="49"/>
        <v>No</v>
      </c>
      <c r="K4487" s="25" t="str">
        <f t="shared" si="50"/>
        <v/>
      </c>
      <c r="L4487" s="25" t="str">
        <f t="shared" si="51"/>
        <v/>
      </c>
      <c r="M4487" s="25"/>
      <c r="O4487" s="25"/>
    </row>
    <row r="4488" ht="15.75" customHeight="1">
      <c r="A4488" s="25" t="str">
        <f>IFERROR(__xludf.DUMMYFUNCTION("IF(B4488="""","""",RIGHT(REGEXREPLACE(B4488&amp;"""",""[^0-9]"",""""),9))"),"776890215")</f>
        <v>776890215</v>
      </c>
      <c r="B4488" s="52">
        <v>7.76890215E8</v>
      </c>
      <c r="C4488" s="28" t="s">
        <v>4444</v>
      </c>
      <c r="D4488" s="26" t="s">
        <v>64</v>
      </c>
      <c r="E4488" s="31">
        <v>46235.0</v>
      </c>
      <c r="F4488" s="26" t="s">
        <v>125</v>
      </c>
      <c r="I4488" s="26" t="s">
        <v>872</v>
      </c>
      <c r="J4488" s="25" t="str">
        <f t="shared" si="49"/>
        <v>No</v>
      </c>
      <c r="K4488" s="25" t="str">
        <f t="shared" si="50"/>
        <v/>
      </c>
      <c r="L4488" s="25" t="str">
        <f t="shared" si="51"/>
        <v/>
      </c>
      <c r="M4488" s="25"/>
      <c r="O4488" s="25"/>
    </row>
    <row r="4489" ht="15.75" customHeight="1">
      <c r="A4489" s="25" t="str">
        <f>IFERROR(__xludf.DUMMYFUNCTION("IF(B4489="""","""",RIGHT(REGEXREPLACE(B4489&amp;"""",""[^0-9]"",""""),9))"),"707970777")</f>
        <v>707970777</v>
      </c>
      <c r="B4489" s="52">
        <v>7.07970777E8</v>
      </c>
      <c r="C4489" s="28" t="s">
        <v>3427</v>
      </c>
      <c r="D4489" s="26" t="s">
        <v>45</v>
      </c>
      <c r="E4489" s="31">
        <v>46235.0</v>
      </c>
      <c r="F4489" s="26" t="s">
        <v>205</v>
      </c>
      <c r="I4489" s="26" t="s">
        <v>872</v>
      </c>
      <c r="J4489" s="25" t="str">
        <f t="shared" si="49"/>
        <v>Yes - see Previous F-Code</v>
      </c>
      <c r="K4489" s="25" t="str">
        <f t="shared" si="50"/>
        <v/>
      </c>
      <c r="L4489" s="25" t="str">
        <f t="shared" si="51"/>
        <v>F73087</v>
      </c>
      <c r="M4489" s="25"/>
      <c r="O4489" s="25"/>
    </row>
    <row r="4490" ht="15.75" customHeight="1">
      <c r="A4490" s="25" t="str">
        <f>IFERROR(__xludf.DUMMYFUNCTION("IF(B4490="""","""",RIGHT(REGEXREPLACE(B4490&amp;"""",""[^0-9]"",""""),9))"),"717752003")</f>
        <v>717752003</v>
      </c>
      <c r="B4490" s="52">
        <v>7.17752003E8</v>
      </c>
      <c r="C4490" s="28" t="s">
        <v>4445</v>
      </c>
      <c r="D4490" s="26" t="s">
        <v>49</v>
      </c>
      <c r="E4490" s="31">
        <v>46235.0</v>
      </c>
      <c r="F4490" s="26" t="s">
        <v>41</v>
      </c>
      <c r="G4490" s="26">
        <v>10.0</v>
      </c>
      <c r="I4490" s="26" t="s">
        <v>872</v>
      </c>
      <c r="J4490" s="25" t="str">
        <f t="shared" si="49"/>
        <v>No</v>
      </c>
      <c r="K4490" s="25" t="str">
        <f t="shared" si="50"/>
        <v/>
      </c>
      <c r="L4490" s="25" t="str">
        <f t="shared" si="51"/>
        <v/>
      </c>
      <c r="M4490" s="25"/>
      <c r="O4490" s="25"/>
    </row>
    <row r="4491" ht="15.75" customHeight="1">
      <c r="A4491" s="25" t="str">
        <f>IFERROR(__xludf.DUMMYFUNCTION("IF(B4491="""","""",RIGHT(REGEXREPLACE(B4491&amp;"""",""[^0-9]"",""""),9))"),"774730173")</f>
        <v>774730173</v>
      </c>
      <c r="B4491" s="52">
        <v>7.74730173E8</v>
      </c>
      <c r="C4491" s="28" t="s">
        <v>4446</v>
      </c>
      <c r="D4491" s="26" t="s">
        <v>64</v>
      </c>
      <c r="E4491" s="31">
        <v>46235.0</v>
      </c>
      <c r="F4491" s="26" t="s">
        <v>41</v>
      </c>
      <c r="I4491" s="26" t="s">
        <v>872</v>
      </c>
      <c r="J4491" s="25" t="str">
        <f t="shared" si="49"/>
        <v>No</v>
      </c>
      <c r="K4491" s="25" t="str">
        <f t="shared" si="50"/>
        <v/>
      </c>
      <c r="L4491" s="25" t="str">
        <f t="shared" si="51"/>
        <v/>
      </c>
      <c r="M4491" s="25"/>
      <c r="O4491" s="25"/>
    </row>
    <row r="4492" ht="15.75" customHeight="1">
      <c r="A4492" s="25" t="str">
        <f>IFERROR(__xludf.DUMMYFUNCTION("IF(B4492="""","""",RIGHT(REGEXREPLACE(B4492&amp;"""",""[^0-9]"",""""),9))"),"717765341")</f>
        <v>717765341</v>
      </c>
      <c r="B4492" s="52">
        <v>7.17765341E8</v>
      </c>
      <c r="C4492" s="28" t="s">
        <v>4447</v>
      </c>
      <c r="D4492" s="26" t="s">
        <v>45</v>
      </c>
      <c r="E4492" s="31">
        <v>46235.0</v>
      </c>
      <c r="F4492" s="26" t="s">
        <v>46</v>
      </c>
      <c r="G4492" s="26">
        <v>11.0</v>
      </c>
      <c r="I4492" s="26" t="s">
        <v>872</v>
      </c>
      <c r="J4492" s="25" t="str">
        <f t="shared" si="49"/>
        <v>No</v>
      </c>
      <c r="K4492" s="25" t="str">
        <f t="shared" si="50"/>
        <v/>
      </c>
      <c r="L4492" s="25" t="str">
        <f t="shared" si="51"/>
        <v/>
      </c>
      <c r="M4492" s="25"/>
      <c r="O4492" s="25"/>
    </row>
    <row r="4493" ht="15.75" customHeight="1">
      <c r="A4493" s="25" t="str">
        <f>IFERROR(__xludf.DUMMYFUNCTION("IF(B4493="""","""",RIGHT(REGEXREPLACE(B4493&amp;"""",""[^0-9]"",""""),9))"),"776856512")</f>
        <v>776856512</v>
      </c>
      <c r="B4493" s="52">
        <v>7.76856512E8</v>
      </c>
      <c r="C4493" s="28" t="s">
        <v>4448</v>
      </c>
      <c r="D4493" s="26" t="s">
        <v>82</v>
      </c>
      <c r="E4493" s="31">
        <v>46235.0</v>
      </c>
      <c r="F4493" s="26" t="s">
        <v>46</v>
      </c>
      <c r="G4493" s="26">
        <v>10.0</v>
      </c>
      <c r="H4493" s="26" t="s">
        <v>57</v>
      </c>
      <c r="I4493" s="26" t="s">
        <v>872</v>
      </c>
      <c r="J4493" s="25" t="str">
        <f t="shared" si="49"/>
        <v>No</v>
      </c>
      <c r="K4493" s="25" t="str">
        <f t="shared" si="50"/>
        <v/>
      </c>
      <c r="L4493" s="25" t="str">
        <f t="shared" si="51"/>
        <v/>
      </c>
      <c r="M4493" s="25"/>
      <c r="O4493" s="25"/>
    </row>
    <row r="4494" ht="15.75" customHeight="1">
      <c r="A4494" s="25" t="str">
        <f>IFERROR(__xludf.DUMMYFUNCTION("IF(B4494="""","""",RIGHT(REGEXREPLACE(B4494&amp;"""",""[^0-9]"",""""),9))"),"717505894")</f>
        <v>717505894</v>
      </c>
      <c r="B4494" s="52">
        <v>7.17505894E8</v>
      </c>
      <c r="C4494" s="28" t="s">
        <v>4449</v>
      </c>
      <c r="D4494" s="26" t="s">
        <v>64</v>
      </c>
      <c r="E4494" s="31">
        <v>46235.0</v>
      </c>
      <c r="F4494" s="26" t="s">
        <v>46</v>
      </c>
      <c r="H4494" s="26" t="s">
        <v>4450</v>
      </c>
      <c r="I4494" s="26" t="s">
        <v>872</v>
      </c>
      <c r="J4494" s="25" t="str">
        <f t="shared" si="49"/>
        <v>No</v>
      </c>
      <c r="K4494" s="25" t="str">
        <f t="shared" si="50"/>
        <v/>
      </c>
      <c r="L4494" s="25" t="str">
        <f t="shared" si="51"/>
        <v/>
      </c>
      <c r="M4494" s="25"/>
      <c r="O4494" s="25"/>
    </row>
    <row r="4495" ht="15.75" customHeight="1">
      <c r="A4495" s="25" t="str">
        <f>IFERROR(__xludf.DUMMYFUNCTION("IF(B4495="""","""",RIGHT(REGEXREPLACE(B4495&amp;"""",""[^0-9]"",""""),9))"),"702130638")</f>
        <v>702130638</v>
      </c>
      <c r="B4495" s="52">
        <v>7.02130638E8</v>
      </c>
      <c r="C4495" s="28" t="s">
        <v>4451</v>
      </c>
      <c r="D4495" s="26" t="s">
        <v>56</v>
      </c>
      <c r="E4495" s="31">
        <v>46235.0</v>
      </c>
      <c r="F4495" s="26" t="s">
        <v>164</v>
      </c>
      <c r="I4495" s="26" t="s">
        <v>872</v>
      </c>
      <c r="J4495" s="25" t="str">
        <f t="shared" si="49"/>
        <v>No</v>
      </c>
      <c r="K4495" s="25" t="str">
        <f t="shared" si="50"/>
        <v/>
      </c>
      <c r="L4495" s="25" t="str">
        <f t="shared" si="51"/>
        <v/>
      </c>
      <c r="M4495" s="25"/>
      <c r="O4495" s="25"/>
    </row>
    <row r="4496" ht="15.75" customHeight="1">
      <c r="A4496" s="25" t="str">
        <f>IFERROR(__xludf.DUMMYFUNCTION("IF(B4496="""","""",RIGHT(REGEXREPLACE(B4496&amp;"""",""[^0-9]"",""""),9))"),"768352964")</f>
        <v>768352964</v>
      </c>
      <c r="B4496" s="52">
        <v>7.68352964E8</v>
      </c>
      <c r="C4496" s="28" t="s">
        <v>4452</v>
      </c>
      <c r="D4496" s="26" t="s">
        <v>49</v>
      </c>
      <c r="E4496" s="31">
        <v>46235.0</v>
      </c>
      <c r="F4496" s="26" t="s">
        <v>46</v>
      </c>
      <c r="G4496" s="26">
        <v>11.0</v>
      </c>
      <c r="I4496" s="26" t="s">
        <v>872</v>
      </c>
      <c r="J4496" s="25" t="str">
        <f t="shared" si="49"/>
        <v>No</v>
      </c>
      <c r="K4496" s="25" t="str">
        <f t="shared" si="50"/>
        <v/>
      </c>
      <c r="L4496" s="25" t="str">
        <f t="shared" si="51"/>
        <v/>
      </c>
      <c r="M4496" s="25"/>
      <c r="O4496" s="25"/>
    </row>
    <row r="4497" ht="15.75" customHeight="1">
      <c r="A4497" s="25" t="str">
        <f>IFERROR(__xludf.DUMMYFUNCTION("IF(B4497="""","""",RIGHT(REGEXREPLACE(B4497&amp;"""",""[^0-9]"",""""),9))"),"761601566")</f>
        <v>761601566</v>
      </c>
      <c r="B4497" s="52">
        <v>7.61601566E8</v>
      </c>
      <c r="C4497" s="28" t="s">
        <v>4453</v>
      </c>
      <c r="D4497" s="26" t="s">
        <v>56</v>
      </c>
      <c r="E4497" s="31">
        <v>46235.0</v>
      </c>
      <c r="F4497" s="26" t="s">
        <v>46</v>
      </c>
      <c r="G4497" s="26">
        <v>10.0</v>
      </c>
      <c r="H4497" s="26" t="s">
        <v>1648</v>
      </c>
      <c r="I4497" s="26" t="s">
        <v>872</v>
      </c>
      <c r="J4497" s="25" t="str">
        <f t="shared" si="49"/>
        <v>No</v>
      </c>
      <c r="K4497" s="25" t="str">
        <f t="shared" si="50"/>
        <v/>
      </c>
      <c r="L4497" s="25" t="str">
        <f t="shared" si="51"/>
        <v/>
      </c>
      <c r="M4497" s="25"/>
      <c r="O4497" s="25"/>
    </row>
    <row r="4498" ht="15.75" customHeight="1">
      <c r="A4498" s="25" t="str">
        <f>IFERROR(__xludf.DUMMYFUNCTION("IF(B4498="""","""",RIGHT(REGEXREPLACE(B4498&amp;"""",""[^0-9]"",""""),9))"),"770058519")</f>
        <v>770058519</v>
      </c>
      <c r="B4498" s="52">
        <v>7.70058519E8</v>
      </c>
      <c r="C4498" s="28" t="s">
        <v>4454</v>
      </c>
      <c r="D4498" s="26" t="s">
        <v>64</v>
      </c>
      <c r="E4498" s="31">
        <v>46235.0</v>
      </c>
      <c r="F4498" s="26" t="s">
        <v>46</v>
      </c>
      <c r="G4498" s="26">
        <v>11.0</v>
      </c>
      <c r="I4498" s="26" t="s">
        <v>872</v>
      </c>
      <c r="J4498" s="25" t="str">
        <f t="shared" si="49"/>
        <v>No</v>
      </c>
      <c r="K4498" s="25" t="str">
        <f t="shared" si="50"/>
        <v/>
      </c>
      <c r="L4498" s="25" t="str">
        <f t="shared" si="51"/>
        <v/>
      </c>
      <c r="M4498" s="25"/>
      <c r="O4498" s="25"/>
    </row>
    <row r="4499" ht="15.75" customHeight="1">
      <c r="A4499" s="25" t="str">
        <f>IFERROR(__xludf.DUMMYFUNCTION("IF(B4499="""","""",RIGHT(REGEXREPLACE(B4499&amp;"""",""[^0-9]"",""""),9))"),"767702714")</f>
        <v>767702714</v>
      </c>
      <c r="B4499" s="52">
        <v>7.67702714E8</v>
      </c>
      <c r="C4499" s="116" t="s">
        <v>4455</v>
      </c>
      <c r="D4499" s="52" t="s">
        <v>82</v>
      </c>
      <c r="E4499" s="31">
        <v>46235.0</v>
      </c>
      <c r="F4499" s="26" t="s">
        <v>41</v>
      </c>
      <c r="G4499" s="26">
        <v>10.0</v>
      </c>
      <c r="I4499" s="26" t="s">
        <v>872</v>
      </c>
      <c r="J4499" s="25" t="str">
        <f t="shared" si="49"/>
        <v>No</v>
      </c>
      <c r="K4499" s="25" t="str">
        <f t="shared" si="50"/>
        <v/>
      </c>
      <c r="L4499" s="25" t="str">
        <f t="shared" si="51"/>
        <v/>
      </c>
      <c r="M4499" s="25"/>
      <c r="O4499" s="25"/>
    </row>
    <row r="4500" ht="15.75" customHeight="1">
      <c r="A4500" s="25" t="str">
        <f>IFERROR(__xludf.DUMMYFUNCTION("IF(B4500="""","""",RIGHT(REGEXREPLACE(B4500&amp;"""",""[^0-9]"",""""),9))"),"741830256")</f>
        <v>741830256</v>
      </c>
      <c r="B4500" s="52">
        <v>7.41830256E8</v>
      </c>
      <c r="C4500" s="28" t="s">
        <v>4455</v>
      </c>
      <c r="D4500" s="26" t="s">
        <v>56</v>
      </c>
      <c r="E4500" s="31">
        <v>46235.0</v>
      </c>
      <c r="F4500" s="26" t="s">
        <v>46</v>
      </c>
      <c r="G4500" s="26" t="s">
        <v>4456</v>
      </c>
      <c r="H4500" s="26" t="s">
        <v>4457</v>
      </c>
      <c r="I4500" s="26" t="s">
        <v>872</v>
      </c>
      <c r="J4500" s="25" t="str">
        <f t="shared" si="49"/>
        <v>No</v>
      </c>
      <c r="K4500" s="25" t="str">
        <f t="shared" si="50"/>
        <v/>
      </c>
      <c r="L4500" s="25" t="str">
        <f t="shared" si="51"/>
        <v/>
      </c>
      <c r="M4500" s="25"/>
      <c r="O4500" s="25"/>
    </row>
    <row r="4501" ht="15.75" customHeight="1">
      <c r="A4501" s="25" t="str">
        <f>IFERROR(__xludf.DUMMYFUNCTION("IF(B4501="""","""",RIGHT(REGEXREPLACE(B4501&amp;"""",""[^0-9]"",""""),9))"),"741013467")</f>
        <v>741013467</v>
      </c>
      <c r="B4501" s="52">
        <v>7.41013467E8</v>
      </c>
      <c r="C4501" s="28" t="s">
        <v>4458</v>
      </c>
      <c r="D4501" s="26" t="s">
        <v>64</v>
      </c>
      <c r="E4501" s="31">
        <v>46235.0</v>
      </c>
      <c r="F4501" s="26" t="s">
        <v>84</v>
      </c>
      <c r="G4501" s="26">
        <v>10.0</v>
      </c>
      <c r="H4501" s="26" t="s">
        <v>2943</v>
      </c>
      <c r="I4501" s="26" t="s">
        <v>872</v>
      </c>
      <c r="J4501" s="25" t="str">
        <f t="shared" si="49"/>
        <v>No</v>
      </c>
      <c r="K4501" s="25" t="str">
        <f t="shared" si="50"/>
        <v/>
      </c>
      <c r="L4501" s="25" t="str">
        <f t="shared" si="51"/>
        <v/>
      </c>
      <c r="M4501" s="25"/>
      <c r="O4501" s="25"/>
    </row>
    <row r="4502" ht="15.75" customHeight="1">
      <c r="A4502" s="25" t="str">
        <f>IFERROR(__xludf.DUMMYFUNCTION("IF(B4502="""","""",RIGHT(REGEXREPLACE(B4502&amp;"""",""[^0-9]"",""""),9))"),"761728856")</f>
        <v>761728856</v>
      </c>
      <c r="B4502" s="52">
        <v>7.61728856E8</v>
      </c>
      <c r="C4502" s="28" t="s">
        <v>4459</v>
      </c>
      <c r="D4502" s="26" t="s">
        <v>49</v>
      </c>
      <c r="E4502" s="31">
        <v>46235.0</v>
      </c>
      <c r="F4502" s="26" t="s">
        <v>46</v>
      </c>
      <c r="G4502" s="26">
        <v>9.0</v>
      </c>
      <c r="H4502" s="26" t="s">
        <v>4460</v>
      </c>
      <c r="I4502" s="26" t="s">
        <v>872</v>
      </c>
      <c r="J4502" s="25" t="str">
        <f t="shared" si="49"/>
        <v>No</v>
      </c>
      <c r="K4502" s="25" t="str">
        <f t="shared" si="50"/>
        <v/>
      </c>
      <c r="L4502" s="25" t="str">
        <f t="shared" si="51"/>
        <v/>
      </c>
      <c r="M4502" s="25"/>
      <c r="O4502" s="25"/>
    </row>
    <row r="4503" ht="15.75" customHeight="1">
      <c r="A4503" s="25" t="str">
        <f>IFERROR(__xludf.DUMMYFUNCTION("IF(B4503="""","""",RIGHT(REGEXREPLACE(B4503&amp;"""",""[^0-9]"",""""),9))"),"716421812")</f>
        <v>716421812</v>
      </c>
      <c r="B4503" s="52">
        <v>7.16421812E8</v>
      </c>
      <c r="C4503" s="28" t="s">
        <v>4461</v>
      </c>
      <c r="D4503" s="26" t="s">
        <v>64</v>
      </c>
      <c r="E4503" s="31">
        <v>46235.0</v>
      </c>
      <c r="F4503" s="26" t="s">
        <v>46</v>
      </c>
      <c r="G4503" s="26">
        <v>10.0</v>
      </c>
      <c r="I4503" s="26" t="s">
        <v>872</v>
      </c>
      <c r="J4503" s="25" t="str">
        <f t="shared" si="49"/>
        <v>No</v>
      </c>
      <c r="K4503" s="25" t="str">
        <f t="shared" si="50"/>
        <v/>
      </c>
      <c r="L4503" s="25" t="str">
        <f t="shared" si="51"/>
        <v/>
      </c>
      <c r="M4503" s="25"/>
      <c r="O4503" s="25"/>
    </row>
    <row r="4504" ht="15.75" customHeight="1">
      <c r="A4504" s="25" t="str">
        <f>IFERROR(__xludf.DUMMYFUNCTION("IF(B4504="""","""",RIGHT(REGEXREPLACE(B4504&amp;"""",""[^0-9]"",""""),9))"),"781160064")</f>
        <v>781160064</v>
      </c>
      <c r="B4504" s="52">
        <v>7.81160064E8</v>
      </c>
      <c r="C4504" s="28" t="s">
        <v>4462</v>
      </c>
      <c r="D4504" s="26" t="s">
        <v>82</v>
      </c>
      <c r="E4504" s="31">
        <v>46235.0</v>
      </c>
      <c r="F4504" s="26" t="s">
        <v>41</v>
      </c>
      <c r="G4504" s="26">
        <v>10.0</v>
      </c>
      <c r="I4504" s="26" t="s">
        <v>872</v>
      </c>
      <c r="J4504" s="25" t="str">
        <f t="shared" si="49"/>
        <v>No</v>
      </c>
      <c r="K4504" s="25" t="str">
        <f t="shared" si="50"/>
        <v/>
      </c>
      <c r="L4504" s="25" t="str">
        <f t="shared" si="51"/>
        <v/>
      </c>
      <c r="M4504" s="25"/>
      <c r="O4504" s="25"/>
    </row>
    <row r="4505" ht="15.75" customHeight="1">
      <c r="A4505" s="25" t="str">
        <f>IFERROR(__xludf.DUMMYFUNCTION("IF(B4505="""","""",RIGHT(REGEXREPLACE(B4505&amp;"""",""[^0-9]"",""""),9))"),"774304881")</f>
        <v>774304881</v>
      </c>
      <c r="B4505" s="52">
        <v>7.74304881E8</v>
      </c>
      <c r="C4505" s="28" t="s">
        <v>4463</v>
      </c>
      <c r="D4505" s="26" t="s">
        <v>56</v>
      </c>
      <c r="E4505" s="31">
        <v>46235.0</v>
      </c>
      <c r="F4505" s="26" t="s">
        <v>41</v>
      </c>
      <c r="I4505" s="26" t="s">
        <v>872</v>
      </c>
      <c r="J4505" s="25" t="str">
        <f t="shared" si="49"/>
        <v>No</v>
      </c>
      <c r="K4505" s="25" t="str">
        <f t="shared" si="50"/>
        <v/>
      </c>
      <c r="L4505" s="25" t="str">
        <f t="shared" si="51"/>
        <v/>
      </c>
      <c r="M4505" s="25"/>
      <c r="O4505" s="25"/>
    </row>
    <row r="4506" ht="15.75" customHeight="1">
      <c r="A4506" s="25" t="str">
        <f>IFERROR(__xludf.DUMMYFUNCTION("IF(B4506="""","""",RIGHT(REGEXREPLACE(B4506&amp;"""",""[^0-9]"",""""),9))"),"723617105")</f>
        <v>723617105</v>
      </c>
      <c r="B4506" s="52">
        <v>7.23617105E8</v>
      </c>
      <c r="C4506" s="28" t="s">
        <v>4464</v>
      </c>
      <c r="D4506" s="26" t="s">
        <v>82</v>
      </c>
      <c r="E4506" s="31">
        <v>46235.0</v>
      </c>
      <c r="F4506" s="26" t="s">
        <v>125</v>
      </c>
      <c r="G4506" s="26">
        <v>10.0</v>
      </c>
      <c r="H4506" s="26" t="s">
        <v>4465</v>
      </c>
      <c r="I4506" s="26" t="s">
        <v>872</v>
      </c>
      <c r="J4506" s="25" t="str">
        <f t="shared" si="49"/>
        <v>No</v>
      </c>
      <c r="K4506" s="25" t="str">
        <f t="shared" si="50"/>
        <v/>
      </c>
      <c r="L4506" s="25" t="str">
        <f t="shared" si="51"/>
        <v/>
      </c>
      <c r="M4506" s="25"/>
      <c r="O4506" s="25"/>
    </row>
    <row r="4507" ht="15.75" customHeight="1">
      <c r="A4507" s="25" t="str">
        <f>IFERROR(__xludf.DUMMYFUNCTION("IF(B4507="""","""",RIGHT(REGEXREPLACE(B4507&amp;"""",""[^0-9]"",""""),9))"),"761502278")</f>
        <v>761502278</v>
      </c>
      <c r="B4507" s="52">
        <v>7.61502278E8</v>
      </c>
      <c r="C4507" s="28" t="s">
        <v>4466</v>
      </c>
      <c r="D4507" s="26" t="s">
        <v>64</v>
      </c>
      <c r="E4507" s="31">
        <v>46235.0</v>
      </c>
      <c r="F4507" s="26" t="s">
        <v>41</v>
      </c>
      <c r="I4507" s="26" t="s">
        <v>872</v>
      </c>
      <c r="J4507" s="25" t="str">
        <f t="shared" si="49"/>
        <v>No</v>
      </c>
      <c r="K4507" s="25" t="str">
        <f t="shared" si="50"/>
        <v/>
      </c>
      <c r="L4507" s="25" t="str">
        <f t="shared" si="51"/>
        <v/>
      </c>
      <c r="M4507" s="25"/>
      <c r="O4507" s="25"/>
    </row>
    <row r="4508" ht="15.75" customHeight="1">
      <c r="A4508" s="25" t="str">
        <f>IFERROR(__xludf.DUMMYFUNCTION("IF(B4508="""","""",RIGHT(REGEXREPLACE(B4508&amp;"""",""[^0-9]"",""""),9))"),"705845357")</f>
        <v>705845357</v>
      </c>
      <c r="B4508" s="52">
        <v>7.05845357E8</v>
      </c>
      <c r="C4508" s="28" t="s">
        <v>4467</v>
      </c>
      <c r="D4508" s="26" t="s">
        <v>82</v>
      </c>
      <c r="E4508" s="31">
        <v>46235.0</v>
      </c>
      <c r="F4508" s="26" t="s">
        <v>46</v>
      </c>
      <c r="G4508" s="26">
        <v>10.0</v>
      </c>
      <c r="H4508" s="26" t="s">
        <v>4468</v>
      </c>
      <c r="I4508" s="26" t="s">
        <v>872</v>
      </c>
      <c r="J4508" s="25" t="str">
        <f t="shared" si="49"/>
        <v>No</v>
      </c>
      <c r="K4508" s="25" t="str">
        <f t="shared" si="50"/>
        <v/>
      </c>
      <c r="L4508" s="25" t="str">
        <f t="shared" si="51"/>
        <v/>
      </c>
      <c r="M4508" s="25"/>
      <c r="O4508" s="25"/>
    </row>
    <row r="4509" ht="15.75" customHeight="1">
      <c r="A4509" s="25" t="str">
        <f>IFERROR(__xludf.DUMMYFUNCTION("IF(B4509="""","""",RIGHT(REGEXREPLACE(B4509&amp;"""",""[^0-9]"",""""),9))"),"786548585")</f>
        <v>786548585</v>
      </c>
      <c r="B4509" s="52">
        <v>7.86548585E8</v>
      </c>
      <c r="C4509" s="28" t="s">
        <v>4469</v>
      </c>
      <c r="D4509" s="26" t="s">
        <v>64</v>
      </c>
      <c r="E4509" s="31">
        <v>46235.0</v>
      </c>
      <c r="F4509" s="26" t="s">
        <v>46</v>
      </c>
      <c r="G4509" s="26">
        <v>10.0</v>
      </c>
      <c r="I4509" s="26" t="s">
        <v>872</v>
      </c>
      <c r="J4509" s="25" t="str">
        <f t="shared" si="49"/>
        <v>No</v>
      </c>
      <c r="K4509" s="25" t="str">
        <f t="shared" si="50"/>
        <v/>
      </c>
      <c r="L4509" s="25" t="str">
        <f t="shared" si="51"/>
        <v/>
      </c>
      <c r="M4509" s="25"/>
      <c r="O4509" s="25"/>
    </row>
    <row r="4510" ht="15.75" customHeight="1">
      <c r="A4510" s="25" t="str">
        <f>IFERROR(__xludf.DUMMYFUNCTION("IF(B4510="""","""",RIGHT(REGEXREPLACE(B4510&amp;"""",""[^0-9]"",""""),9))"),"763240099")</f>
        <v>763240099</v>
      </c>
      <c r="B4510" s="52">
        <v>7.63240099E8</v>
      </c>
      <c r="C4510" s="28" t="s">
        <v>4470</v>
      </c>
      <c r="D4510" s="26" t="s">
        <v>49</v>
      </c>
      <c r="E4510" s="31">
        <v>46235.0</v>
      </c>
      <c r="F4510" s="26" t="s">
        <v>205</v>
      </c>
      <c r="I4510" s="26" t="s">
        <v>872</v>
      </c>
      <c r="J4510" s="25" t="str">
        <f t="shared" si="49"/>
        <v>No</v>
      </c>
      <c r="K4510" s="25" t="str">
        <f t="shared" si="50"/>
        <v/>
      </c>
      <c r="L4510" s="25" t="str">
        <f t="shared" si="51"/>
        <v/>
      </c>
      <c r="M4510" s="25"/>
      <c r="O4510" s="25"/>
    </row>
    <row r="4511" ht="15.75" customHeight="1">
      <c r="A4511" s="25" t="str">
        <f>IFERROR(__xludf.DUMMYFUNCTION("IF(B4511="""","""",RIGHT(REGEXREPLACE(B4511&amp;"""",""[^0-9]"",""""),9))"),"768035177")</f>
        <v>768035177</v>
      </c>
      <c r="B4511" s="52">
        <v>7.68035177E8</v>
      </c>
      <c r="C4511" s="28" t="s">
        <v>4471</v>
      </c>
      <c r="D4511" s="26" t="s">
        <v>56</v>
      </c>
      <c r="E4511" s="31">
        <v>46235.0</v>
      </c>
      <c r="F4511" s="26" t="s">
        <v>205</v>
      </c>
      <c r="I4511" s="26" t="s">
        <v>872</v>
      </c>
      <c r="J4511" s="25" t="str">
        <f t="shared" si="49"/>
        <v>No</v>
      </c>
      <c r="K4511" s="25" t="str">
        <f t="shared" si="50"/>
        <v/>
      </c>
      <c r="L4511" s="25" t="str">
        <f t="shared" si="51"/>
        <v/>
      </c>
      <c r="M4511" s="25"/>
      <c r="O4511" s="25"/>
    </row>
    <row r="4512" ht="15.75" customHeight="1">
      <c r="A4512" s="25" t="str">
        <f>IFERROR(__xludf.DUMMYFUNCTION("IF(B4512="""","""",RIGHT(REGEXREPLACE(B4512&amp;"""",""[^0-9]"",""""),9))"),"788608823")</f>
        <v>788608823</v>
      </c>
      <c r="B4512" s="52">
        <v>7.88608823E8</v>
      </c>
      <c r="C4512" s="28" t="s">
        <v>4472</v>
      </c>
      <c r="D4512" s="26" t="s">
        <v>82</v>
      </c>
      <c r="E4512" s="31">
        <v>46235.0</v>
      </c>
      <c r="F4512" s="26" t="s">
        <v>41</v>
      </c>
      <c r="G4512" s="26">
        <v>9.0</v>
      </c>
      <c r="I4512" s="26" t="s">
        <v>872</v>
      </c>
      <c r="J4512" s="25" t="str">
        <f t="shared" si="49"/>
        <v>No</v>
      </c>
      <c r="K4512" s="25" t="str">
        <f t="shared" si="50"/>
        <v/>
      </c>
      <c r="L4512" s="25" t="str">
        <f t="shared" si="51"/>
        <v/>
      </c>
      <c r="M4512" s="25"/>
      <c r="O4512" s="25"/>
    </row>
    <row r="4513" ht="15.75" customHeight="1">
      <c r="A4513" s="25" t="str">
        <f>IFERROR(__xludf.DUMMYFUNCTION("IF(B4513="""","""",RIGHT(REGEXREPLACE(B4513&amp;"""",""[^0-9]"",""""),9))"),"705398541")</f>
        <v>705398541</v>
      </c>
      <c r="B4513" s="52">
        <v>7.05398541E8</v>
      </c>
      <c r="C4513" s="28" t="s">
        <v>4473</v>
      </c>
      <c r="D4513" s="26" t="s">
        <v>56</v>
      </c>
      <c r="E4513" s="31">
        <v>46235.0</v>
      </c>
      <c r="F4513" s="26" t="s">
        <v>46</v>
      </c>
      <c r="G4513" s="26">
        <v>10.0</v>
      </c>
      <c r="I4513" s="26" t="s">
        <v>872</v>
      </c>
      <c r="J4513" s="25" t="str">
        <f t="shared" si="49"/>
        <v>No</v>
      </c>
      <c r="K4513" s="25" t="str">
        <f t="shared" si="50"/>
        <v/>
      </c>
      <c r="L4513" s="25" t="str">
        <f t="shared" si="51"/>
        <v/>
      </c>
      <c r="M4513" s="25"/>
      <c r="O4513" s="25"/>
    </row>
    <row r="4514" ht="15.75" customHeight="1">
      <c r="A4514" s="25" t="str">
        <f>IFERROR(__xludf.DUMMYFUNCTION("IF(B4514="""","""",RIGHT(REGEXREPLACE(B4514&amp;"""",""[^0-9]"",""""),9))"),"711688959")</f>
        <v>711688959</v>
      </c>
      <c r="B4514" s="52">
        <v>7.11688959E8</v>
      </c>
      <c r="C4514" s="28" t="s">
        <v>4474</v>
      </c>
      <c r="D4514" s="26" t="s">
        <v>64</v>
      </c>
      <c r="E4514" s="31">
        <v>46235.0</v>
      </c>
      <c r="F4514" s="26" t="s">
        <v>46</v>
      </c>
      <c r="G4514" s="26">
        <v>10.0</v>
      </c>
      <c r="I4514" s="26" t="s">
        <v>872</v>
      </c>
      <c r="J4514" s="25" t="str">
        <f t="shared" si="49"/>
        <v>No</v>
      </c>
      <c r="K4514" s="25" t="str">
        <f t="shared" si="50"/>
        <v/>
      </c>
      <c r="L4514" s="25" t="str">
        <f t="shared" si="51"/>
        <v/>
      </c>
      <c r="M4514" s="25"/>
      <c r="O4514" s="25"/>
    </row>
    <row r="4515" ht="15.75" customHeight="1">
      <c r="A4515" s="25" t="str">
        <f>IFERROR(__xludf.DUMMYFUNCTION("IF(B4515="""","""",RIGHT(REGEXREPLACE(B4515&amp;"""",""[^0-9]"",""""),9))"),"760818208")</f>
        <v>760818208</v>
      </c>
      <c r="B4515" s="52">
        <v>7.60818208E8</v>
      </c>
      <c r="C4515" s="28" t="s">
        <v>4475</v>
      </c>
      <c r="D4515" s="26" t="s">
        <v>82</v>
      </c>
      <c r="E4515" s="31">
        <v>46235.0</v>
      </c>
      <c r="F4515" s="26" t="s">
        <v>41</v>
      </c>
      <c r="I4515" s="26" t="s">
        <v>872</v>
      </c>
      <c r="J4515" s="25" t="str">
        <f t="shared" si="49"/>
        <v>No</v>
      </c>
      <c r="K4515" s="25" t="str">
        <f t="shared" si="50"/>
        <v/>
      </c>
      <c r="L4515" s="25" t="str">
        <f t="shared" si="51"/>
        <v/>
      </c>
      <c r="M4515" s="25"/>
      <c r="O4515" s="25"/>
    </row>
    <row r="4516" ht="15.75" customHeight="1">
      <c r="A4516" s="25" t="str">
        <f>IFERROR(__xludf.DUMMYFUNCTION("IF(B4516="""","""",RIGHT(REGEXREPLACE(B4516&amp;"""",""[^0-9]"",""""),9))"),"768075435")</f>
        <v>768075435</v>
      </c>
      <c r="B4516" s="52">
        <v>7.68075435E8</v>
      </c>
      <c r="C4516" s="28" t="s">
        <v>4476</v>
      </c>
      <c r="D4516" s="26" t="s">
        <v>56</v>
      </c>
      <c r="E4516" s="31">
        <v>46235.0</v>
      </c>
      <c r="F4516" s="26" t="s">
        <v>41</v>
      </c>
      <c r="G4516" s="26">
        <v>10.0</v>
      </c>
      <c r="I4516" s="26" t="s">
        <v>872</v>
      </c>
      <c r="J4516" s="25" t="str">
        <f t="shared" si="49"/>
        <v>No</v>
      </c>
      <c r="K4516" s="25" t="str">
        <f t="shared" si="50"/>
        <v/>
      </c>
      <c r="L4516" s="25" t="str">
        <f t="shared" si="51"/>
        <v/>
      </c>
      <c r="M4516" s="25"/>
      <c r="O4516" s="25"/>
    </row>
    <row r="4517" ht="15.75" customHeight="1">
      <c r="A4517" s="25" t="str">
        <f>IFERROR(__xludf.DUMMYFUNCTION("IF(B4517="""","""",RIGHT(REGEXREPLACE(B4517&amp;"""",""[^0-9]"",""""),9))"),"772019897")</f>
        <v>772019897</v>
      </c>
      <c r="B4517" s="52">
        <v>7.72019897E8</v>
      </c>
      <c r="C4517" s="28" t="s">
        <v>4477</v>
      </c>
      <c r="D4517" s="26" t="s">
        <v>49</v>
      </c>
      <c r="E4517" s="31">
        <v>46235.0</v>
      </c>
      <c r="F4517" s="26" t="s">
        <v>46</v>
      </c>
      <c r="G4517" s="26">
        <v>9.0</v>
      </c>
      <c r="I4517" s="26" t="s">
        <v>872</v>
      </c>
      <c r="J4517" s="25" t="str">
        <f t="shared" si="49"/>
        <v>No</v>
      </c>
      <c r="K4517" s="25" t="str">
        <f t="shared" si="50"/>
        <v/>
      </c>
      <c r="L4517" s="25" t="str">
        <f t="shared" si="51"/>
        <v/>
      </c>
      <c r="M4517" s="25"/>
      <c r="O4517" s="25"/>
    </row>
    <row r="4518" ht="15.75" customHeight="1">
      <c r="A4518" s="25" t="str">
        <f>IFERROR(__xludf.DUMMYFUNCTION("IF(B4518="""","""",RIGHT(REGEXREPLACE(B4518&amp;"""",""[^0-9]"",""""),9))"),"718033348")</f>
        <v>718033348</v>
      </c>
      <c r="B4518" s="52">
        <v>7.18033348E8</v>
      </c>
      <c r="C4518" s="28" t="s">
        <v>4478</v>
      </c>
      <c r="D4518" s="26" t="s">
        <v>82</v>
      </c>
      <c r="E4518" s="31">
        <v>46235.0</v>
      </c>
      <c r="F4518" s="26" t="s">
        <v>46</v>
      </c>
      <c r="G4518" s="26">
        <v>7.0</v>
      </c>
      <c r="H4518" s="26" t="s">
        <v>4479</v>
      </c>
      <c r="I4518" s="26" t="s">
        <v>872</v>
      </c>
      <c r="J4518" s="25" t="str">
        <f t="shared" si="49"/>
        <v>No</v>
      </c>
      <c r="K4518" s="25" t="str">
        <f t="shared" si="50"/>
        <v/>
      </c>
      <c r="L4518" s="25" t="str">
        <f t="shared" si="51"/>
        <v/>
      </c>
      <c r="M4518" s="25"/>
      <c r="O4518" s="25"/>
    </row>
    <row r="4519" ht="15.75" customHeight="1">
      <c r="A4519" s="25" t="str">
        <f>IFERROR(__xludf.DUMMYFUNCTION("IF(B4519="""","""",RIGHT(REGEXREPLACE(B4519&amp;"""",""[^0-9]"",""""),9))"),"754786900")</f>
        <v>754786900</v>
      </c>
      <c r="B4519" s="64">
        <v>9.47547869E10</v>
      </c>
      <c r="C4519" s="28" t="s">
        <v>4478</v>
      </c>
      <c r="D4519" s="26" t="s">
        <v>64</v>
      </c>
      <c r="E4519" s="31">
        <v>46235.0</v>
      </c>
      <c r="F4519" s="26" t="s">
        <v>46</v>
      </c>
      <c r="G4519" s="26">
        <v>10.0</v>
      </c>
      <c r="I4519" s="26" t="s">
        <v>872</v>
      </c>
      <c r="J4519" s="25" t="str">
        <f t="shared" si="49"/>
        <v>No</v>
      </c>
      <c r="K4519" s="25" t="str">
        <f t="shared" si="50"/>
        <v/>
      </c>
      <c r="L4519" s="25" t="str">
        <f t="shared" si="51"/>
        <v/>
      </c>
      <c r="M4519" s="25"/>
      <c r="O4519" s="25"/>
    </row>
    <row r="4520" ht="15.75" customHeight="1">
      <c r="A4520" s="25" t="str">
        <f>IFERROR(__xludf.DUMMYFUNCTION("IF(B4520="""","""",RIGHT(REGEXREPLACE(B4520&amp;"""",""[^0-9]"",""""),9))"),"766379250")</f>
        <v>766379250</v>
      </c>
      <c r="B4520" s="52">
        <v>7.6637925E8</v>
      </c>
      <c r="C4520" s="28" t="s">
        <v>4480</v>
      </c>
      <c r="D4520" s="26" t="s">
        <v>56</v>
      </c>
      <c r="E4520" s="31">
        <v>46235.0</v>
      </c>
      <c r="F4520" s="26" t="s">
        <v>41</v>
      </c>
      <c r="I4520" s="26" t="s">
        <v>872</v>
      </c>
      <c r="J4520" s="25" t="str">
        <f t="shared" si="49"/>
        <v>No</v>
      </c>
      <c r="K4520" s="25" t="str">
        <f t="shared" si="50"/>
        <v/>
      </c>
      <c r="L4520" s="25" t="str">
        <f t="shared" si="51"/>
        <v/>
      </c>
      <c r="M4520" s="25"/>
      <c r="O4520" s="25"/>
    </row>
    <row r="4521" ht="15.75" customHeight="1">
      <c r="A4521" s="25" t="str">
        <f>IFERROR(__xludf.DUMMYFUNCTION("IF(B4521="""","""",RIGHT(REGEXREPLACE(B4521&amp;"""",""[^0-9]"",""""),9))"),"763510840")</f>
        <v>763510840</v>
      </c>
      <c r="B4521" s="52">
        <v>7.6351084E8</v>
      </c>
      <c r="C4521" s="28" t="s">
        <v>4481</v>
      </c>
      <c r="D4521" s="26" t="s">
        <v>45</v>
      </c>
      <c r="E4521" s="31">
        <v>46235.0</v>
      </c>
      <c r="F4521" s="26" t="s">
        <v>46</v>
      </c>
      <c r="H4521" s="26" t="s">
        <v>280</v>
      </c>
      <c r="I4521" s="26" t="s">
        <v>872</v>
      </c>
      <c r="J4521" s="25" t="str">
        <f t="shared" si="49"/>
        <v>No</v>
      </c>
      <c r="K4521" s="25" t="str">
        <f t="shared" si="50"/>
        <v/>
      </c>
      <c r="L4521" s="25" t="str">
        <f t="shared" si="51"/>
        <v/>
      </c>
      <c r="M4521" s="25"/>
      <c r="O4521" s="25"/>
    </row>
    <row r="4522" ht="15.75" customHeight="1">
      <c r="A4522" s="25" t="str">
        <f>IFERROR(__xludf.DUMMYFUNCTION("IF(B4522="""","""",RIGHT(REGEXREPLACE(B4522&amp;"""",""[^0-9]"",""""),9))"),"772258810")</f>
        <v>772258810</v>
      </c>
      <c r="B4522" s="52">
        <v>7.7225881E8</v>
      </c>
      <c r="C4522" s="28" t="s">
        <v>708</v>
      </c>
      <c r="D4522" s="26" t="s">
        <v>56</v>
      </c>
      <c r="E4522" s="31">
        <v>46235.0</v>
      </c>
      <c r="F4522" s="26" t="s">
        <v>41</v>
      </c>
      <c r="G4522" s="26">
        <v>9.0</v>
      </c>
      <c r="I4522" s="26" t="s">
        <v>872</v>
      </c>
      <c r="J4522" s="25" t="str">
        <f t="shared" si="49"/>
        <v>No</v>
      </c>
      <c r="K4522" s="26" t="str">
        <f t="shared" si="50"/>
        <v/>
      </c>
      <c r="L4522" s="25" t="str">
        <f t="shared" si="51"/>
        <v/>
      </c>
      <c r="M4522" s="25"/>
      <c r="O4522" s="25"/>
    </row>
    <row r="4523" ht="15.75" customHeight="1">
      <c r="A4523" s="25" t="str">
        <f>IFERROR(__xludf.DUMMYFUNCTION("IF(B4523="""","""",RIGHT(REGEXREPLACE(B4523&amp;"""",""[^0-9]"",""""),9))"),"716396000")</f>
        <v>716396000</v>
      </c>
      <c r="B4523" s="52">
        <v>7.16396E8</v>
      </c>
      <c r="C4523" s="28" t="s">
        <v>4482</v>
      </c>
      <c r="D4523" s="26" t="s">
        <v>45</v>
      </c>
      <c r="E4523" s="31">
        <v>46235.0</v>
      </c>
      <c r="F4523" s="26" t="s">
        <v>46</v>
      </c>
      <c r="G4523" s="26">
        <v>8.0</v>
      </c>
      <c r="I4523" s="26" t="s">
        <v>872</v>
      </c>
      <c r="J4523" s="25" t="str">
        <f t="shared" si="49"/>
        <v>No</v>
      </c>
      <c r="K4523" s="25" t="str">
        <f t="shared" si="50"/>
        <v/>
      </c>
      <c r="L4523" s="25" t="str">
        <f t="shared" si="51"/>
        <v/>
      </c>
      <c r="M4523" s="25"/>
      <c r="O4523" s="25"/>
    </row>
    <row r="4524" ht="15.75" customHeight="1">
      <c r="A4524" s="25" t="str">
        <f>IFERROR(__xludf.DUMMYFUNCTION("IF(B4524="""","""",RIGHT(REGEXREPLACE(B4524&amp;"""",""[^0-9]"",""""),9))"),"765290510")</f>
        <v>765290510</v>
      </c>
      <c r="B4524" s="52">
        <v>7.6529051E8</v>
      </c>
      <c r="C4524" s="28" t="s">
        <v>4483</v>
      </c>
      <c r="D4524" s="26" t="s">
        <v>82</v>
      </c>
      <c r="E4524" s="31">
        <v>46235.0</v>
      </c>
      <c r="F4524" s="26" t="s">
        <v>46</v>
      </c>
      <c r="G4524" s="26">
        <v>11.0</v>
      </c>
      <c r="I4524" s="26" t="s">
        <v>872</v>
      </c>
      <c r="J4524" s="25" t="str">
        <f t="shared" si="49"/>
        <v>No</v>
      </c>
      <c r="K4524" s="25" t="str">
        <f t="shared" si="50"/>
        <v/>
      </c>
      <c r="L4524" s="25" t="str">
        <f t="shared" si="51"/>
        <v/>
      </c>
      <c r="M4524" s="25"/>
      <c r="O4524" s="25"/>
    </row>
    <row r="4525" ht="15.75" customHeight="1">
      <c r="A4525" s="25" t="str">
        <f>IFERROR(__xludf.DUMMYFUNCTION("IF(B4525="""","""",RIGHT(REGEXREPLACE(B4525&amp;"""",""[^0-9]"",""""),9))"),"774141537")</f>
        <v>774141537</v>
      </c>
      <c r="B4525" s="52">
        <v>7.74141537E8</v>
      </c>
      <c r="C4525" s="28" t="s">
        <v>4484</v>
      </c>
      <c r="D4525" s="26" t="s">
        <v>49</v>
      </c>
      <c r="E4525" s="31">
        <v>46235.0</v>
      </c>
      <c r="F4525" s="26" t="s">
        <v>659</v>
      </c>
      <c r="G4525" s="26">
        <v>9.0</v>
      </c>
      <c r="I4525" s="26" t="s">
        <v>872</v>
      </c>
      <c r="J4525" s="25" t="str">
        <f t="shared" si="49"/>
        <v>No</v>
      </c>
      <c r="K4525" s="25" t="str">
        <f t="shared" si="50"/>
        <v/>
      </c>
      <c r="L4525" s="25" t="str">
        <f t="shared" si="51"/>
        <v/>
      </c>
      <c r="M4525" s="25"/>
      <c r="O4525" s="25"/>
    </row>
    <row r="4526" ht="15.75" customHeight="1">
      <c r="A4526" s="25" t="str">
        <f>IFERROR(__xludf.DUMMYFUNCTION("IF(B4526="""","""",RIGHT(REGEXREPLACE(B4526&amp;"""",""[^0-9]"",""""),9))"),"719596587")</f>
        <v>719596587</v>
      </c>
      <c r="B4526" s="52">
        <v>7.19596587E8</v>
      </c>
      <c r="C4526" s="28" t="s">
        <v>4485</v>
      </c>
      <c r="D4526" s="26" t="s">
        <v>64</v>
      </c>
      <c r="E4526" s="31">
        <v>46235.0</v>
      </c>
      <c r="F4526" s="26" t="s">
        <v>46</v>
      </c>
      <c r="G4526" s="26">
        <v>11.0</v>
      </c>
      <c r="I4526" s="26" t="s">
        <v>872</v>
      </c>
      <c r="J4526" s="25" t="str">
        <f t="shared" si="49"/>
        <v>No</v>
      </c>
      <c r="K4526" s="25" t="str">
        <f t="shared" si="50"/>
        <v/>
      </c>
      <c r="L4526" s="25" t="str">
        <f t="shared" si="51"/>
        <v/>
      </c>
      <c r="M4526" s="25"/>
      <c r="O4526" s="25"/>
    </row>
    <row r="4527" ht="15.75" customHeight="1">
      <c r="A4527" s="25" t="str">
        <f>IFERROR(__xludf.DUMMYFUNCTION("IF(B4527="""","""",RIGHT(REGEXREPLACE(B4527&amp;"""",""[^0-9]"",""""),9))"),"772256919")</f>
        <v>772256919</v>
      </c>
      <c r="B4527" s="52">
        <v>7.72256919E8</v>
      </c>
      <c r="C4527" s="28" t="s">
        <v>4486</v>
      </c>
      <c r="D4527" s="26" t="s">
        <v>56</v>
      </c>
      <c r="E4527" s="31">
        <v>46235.0</v>
      </c>
      <c r="F4527" s="26" t="s">
        <v>46</v>
      </c>
      <c r="G4527" s="26">
        <v>10.0</v>
      </c>
      <c r="I4527" s="26" t="s">
        <v>872</v>
      </c>
      <c r="J4527" s="25" t="str">
        <f t="shared" si="49"/>
        <v>No</v>
      </c>
      <c r="K4527" s="25" t="str">
        <f t="shared" si="50"/>
        <v/>
      </c>
      <c r="L4527" s="25" t="str">
        <f t="shared" si="51"/>
        <v/>
      </c>
      <c r="M4527" s="25"/>
      <c r="O4527" s="25"/>
    </row>
    <row r="4528" ht="15.75" customHeight="1">
      <c r="A4528" s="25" t="str">
        <f>IFERROR(__xludf.DUMMYFUNCTION("IF(B4528="""","""",RIGHT(REGEXREPLACE(B4528&amp;"""",""[^0-9]"",""""),9))"),"707844702")</f>
        <v>707844702</v>
      </c>
      <c r="B4528" s="52">
        <v>7.07844702E8</v>
      </c>
      <c r="C4528" s="28" t="s">
        <v>4487</v>
      </c>
      <c r="D4528" s="26" t="s">
        <v>49</v>
      </c>
      <c r="E4528" s="31">
        <v>46235.0</v>
      </c>
      <c r="F4528" s="26" t="s">
        <v>205</v>
      </c>
      <c r="G4528" s="26">
        <v>10.0</v>
      </c>
      <c r="I4528" s="26" t="s">
        <v>872</v>
      </c>
      <c r="J4528" s="25" t="str">
        <f t="shared" si="49"/>
        <v>No</v>
      </c>
      <c r="K4528" s="25" t="str">
        <f t="shared" si="50"/>
        <v/>
      </c>
      <c r="L4528" s="25" t="str">
        <f t="shared" si="51"/>
        <v/>
      </c>
      <c r="M4528" s="25"/>
      <c r="O4528" s="25"/>
    </row>
    <row r="4529" ht="15.75" customHeight="1">
      <c r="A4529" s="25" t="str">
        <f>IFERROR(__xludf.DUMMYFUNCTION("IF(B4529="""","""",RIGHT(REGEXREPLACE(B4529&amp;"""",""[^0-9]"",""""),9))"),"777939691")</f>
        <v>777939691</v>
      </c>
      <c r="B4529" s="52">
        <v>7.77939691E8</v>
      </c>
      <c r="C4529" s="28" t="s">
        <v>4488</v>
      </c>
      <c r="D4529" s="26" t="s">
        <v>45</v>
      </c>
      <c r="E4529" s="31">
        <v>46235.0</v>
      </c>
      <c r="F4529" s="26" t="s">
        <v>46</v>
      </c>
      <c r="G4529" s="26">
        <v>7.0</v>
      </c>
      <c r="I4529" s="26" t="s">
        <v>872</v>
      </c>
      <c r="J4529" s="25" t="str">
        <f t="shared" si="49"/>
        <v>No</v>
      </c>
      <c r="K4529" s="25" t="str">
        <f t="shared" si="50"/>
        <v/>
      </c>
      <c r="L4529" s="25" t="str">
        <f t="shared" si="51"/>
        <v/>
      </c>
      <c r="M4529" s="25"/>
      <c r="O4529" s="25"/>
    </row>
    <row r="4530" ht="15.75" customHeight="1">
      <c r="A4530" s="25" t="str">
        <f>IFERROR(__xludf.DUMMYFUNCTION("IF(B4530="""","""",RIGHT(REGEXREPLACE(B4530&amp;"""",""[^0-9]"",""""),9))"),"763104619")</f>
        <v>763104619</v>
      </c>
      <c r="B4530" s="52">
        <v>7.63104619E8</v>
      </c>
      <c r="C4530" s="28" t="s">
        <v>4489</v>
      </c>
      <c r="D4530" s="26" t="s">
        <v>49</v>
      </c>
      <c r="E4530" s="31">
        <v>46235.0</v>
      </c>
      <c r="F4530" s="26" t="s">
        <v>41</v>
      </c>
      <c r="G4530" s="26">
        <v>10.0</v>
      </c>
      <c r="I4530" s="26" t="s">
        <v>872</v>
      </c>
      <c r="J4530" s="25" t="str">
        <f t="shared" si="49"/>
        <v>No</v>
      </c>
      <c r="K4530" s="25" t="str">
        <f t="shared" si="50"/>
        <v/>
      </c>
      <c r="L4530" s="25" t="str">
        <f t="shared" si="51"/>
        <v/>
      </c>
      <c r="M4530" s="25"/>
      <c r="O4530" s="25"/>
    </row>
    <row r="4531" ht="15.75" customHeight="1">
      <c r="A4531" s="25" t="str">
        <f>IFERROR(__xludf.DUMMYFUNCTION("IF(B4531="""","""",RIGHT(REGEXREPLACE(B4531&amp;"""",""[^0-9]"",""""),9))"),"771496928")</f>
        <v>771496928</v>
      </c>
      <c r="B4531" s="52">
        <v>7.71496928E8</v>
      </c>
      <c r="C4531" s="28" t="s">
        <v>4490</v>
      </c>
      <c r="D4531" s="26" t="s">
        <v>64</v>
      </c>
      <c r="E4531" s="31">
        <v>46235.0</v>
      </c>
      <c r="F4531" s="26" t="s">
        <v>125</v>
      </c>
      <c r="I4531" s="26" t="s">
        <v>872</v>
      </c>
      <c r="J4531" s="25" t="str">
        <f t="shared" si="49"/>
        <v>No</v>
      </c>
      <c r="K4531" s="25" t="str">
        <f t="shared" si="50"/>
        <v/>
      </c>
      <c r="L4531" s="25" t="str">
        <f t="shared" si="51"/>
        <v/>
      </c>
      <c r="M4531" s="25"/>
      <c r="O4531" s="25"/>
    </row>
    <row r="4532" ht="15.75" customHeight="1">
      <c r="A4532" s="25" t="str">
        <f>IFERROR(__xludf.DUMMYFUNCTION("IF(B4532="""","""",RIGHT(REGEXREPLACE(B4532&amp;"""",""[^0-9]"",""""),9))"),"705580262")</f>
        <v>705580262</v>
      </c>
      <c r="B4532" s="52">
        <v>7.05580262E8</v>
      </c>
      <c r="C4532" s="28" t="s">
        <v>4491</v>
      </c>
      <c r="D4532" s="26" t="s">
        <v>45</v>
      </c>
      <c r="E4532" s="31">
        <v>46235.0</v>
      </c>
      <c r="F4532" s="26" t="s">
        <v>164</v>
      </c>
      <c r="I4532" s="26" t="s">
        <v>872</v>
      </c>
      <c r="J4532" s="25" t="str">
        <f t="shared" si="49"/>
        <v>No</v>
      </c>
      <c r="K4532" s="25" t="str">
        <f t="shared" si="50"/>
        <v/>
      </c>
      <c r="L4532" s="25" t="str">
        <f t="shared" si="51"/>
        <v/>
      </c>
      <c r="M4532" s="25"/>
      <c r="O4532" s="25"/>
    </row>
    <row r="4533" ht="15.75" customHeight="1">
      <c r="A4533" s="25" t="str">
        <f>IFERROR(__xludf.DUMMYFUNCTION("IF(B4533="""","""",RIGHT(REGEXREPLACE(B4533&amp;"""",""[^0-9]"",""""),9))"),"768085384")</f>
        <v>768085384</v>
      </c>
      <c r="B4533" s="52">
        <v>7.68085384E8</v>
      </c>
      <c r="C4533" s="28" t="s">
        <v>4492</v>
      </c>
      <c r="D4533" s="26" t="s">
        <v>56</v>
      </c>
      <c r="E4533" s="31">
        <v>46235.0</v>
      </c>
      <c r="F4533" s="26" t="s">
        <v>46</v>
      </c>
      <c r="G4533" s="26">
        <v>9.0</v>
      </c>
      <c r="I4533" s="26" t="s">
        <v>872</v>
      </c>
      <c r="J4533" s="25" t="str">
        <f t="shared" si="49"/>
        <v>No</v>
      </c>
      <c r="K4533" s="25" t="str">
        <f t="shared" si="50"/>
        <v/>
      </c>
      <c r="L4533" s="25" t="str">
        <f t="shared" si="51"/>
        <v/>
      </c>
      <c r="M4533" s="25"/>
      <c r="O4533" s="25"/>
    </row>
    <row r="4534" ht="15.75" customHeight="1">
      <c r="A4534" s="25" t="str">
        <f>IFERROR(__xludf.DUMMYFUNCTION("IF(B4534="""","""",RIGHT(REGEXREPLACE(B4534&amp;"""",""[^0-9]"",""""),9))"),"715862010")</f>
        <v>715862010</v>
      </c>
      <c r="B4534" s="52">
        <v>7.1586201E8</v>
      </c>
      <c r="C4534" s="28" t="s">
        <v>4493</v>
      </c>
      <c r="D4534" s="26" t="s">
        <v>82</v>
      </c>
      <c r="E4534" s="31">
        <v>46235.0</v>
      </c>
      <c r="F4534" s="26" t="s">
        <v>46</v>
      </c>
      <c r="G4534" s="26">
        <v>10.0</v>
      </c>
      <c r="I4534" s="26" t="s">
        <v>872</v>
      </c>
      <c r="J4534" s="25" t="str">
        <f t="shared" si="49"/>
        <v>No</v>
      </c>
      <c r="K4534" s="25" t="str">
        <f t="shared" si="50"/>
        <v/>
      </c>
      <c r="L4534" s="25" t="str">
        <f t="shared" si="51"/>
        <v/>
      </c>
      <c r="M4534" s="25"/>
      <c r="O4534" s="25"/>
    </row>
    <row r="4535" ht="15.75" customHeight="1">
      <c r="A4535" s="25" t="str">
        <f>IFERROR(__xludf.DUMMYFUNCTION("IF(B4535="""","""",RIGHT(REGEXREPLACE(B4535&amp;"""",""[^0-9]"",""""),9))"),"772965618")</f>
        <v>772965618</v>
      </c>
      <c r="B4535" s="52">
        <v>7.72965618E8</v>
      </c>
      <c r="C4535" s="28" t="s">
        <v>4493</v>
      </c>
      <c r="D4535" s="26" t="s">
        <v>45</v>
      </c>
      <c r="E4535" s="31">
        <v>46235.0</v>
      </c>
      <c r="F4535" s="26" t="s">
        <v>41</v>
      </c>
      <c r="G4535" s="26">
        <v>9.0</v>
      </c>
      <c r="I4535" s="26" t="s">
        <v>872</v>
      </c>
      <c r="J4535" s="25" t="str">
        <f t="shared" si="49"/>
        <v>No</v>
      </c>
      <c r="K4535" s="25" t="str">
        <f t="shared" si="50"/>
        <v/>
      </c>
      <c r="L4535" s="25" t="str">
        <f t="shared" si="51"/>
        <v/>
      </c>
      <c r="M4535" s="25"/>
      <c r="O4535" s="25"/>
    </row>
    <row r="4536" ht="15.75" customHeight="1">
      <c r="A4536" s="25" t="str">
        <f>IFERROR(__xludf.DUMMYFUNCTION("IF(B4536="""","""",RIGHT(REGEXREPLACE(B4536&amp;"""",""[^0-9]"",""""),9))"),"789601621")</f>
        <v>789601621</v>
      </c>
      <c r="B4536" s="52">
        <v>7.89601621E8</v>
      </c>
      <c r="C4536" s="28" t="s">
        <v>4494</v>
      </c>
      <c r="D4536" s="26" t="s">
        <v>49</v>
      </c>
      <c r="E4536" s="31">
        <v>46235.0</v>
      </c>
      <c r="F4536" s="26" t="s">
        <v>46</v>
      </c>
      <c r="G4536" s="26">
        <v>11.0</v>
      </c>
      <c r="H4536" s="26" t="s">
        <v>4495</v>
      </c>
      <c r="I4536" s="26" t="s">
        <v>872</v>
      </c>
      <c r="J4536" s="25" t="str">
        <f t="shared" si="49"/>
        <v>No</v>
      </c>
      <c r="K4536" s="25" t="str">
        <f t="shared" si="50"/>
        <v/>
      </c>
      <c r="L4536" s="25" t="str">
        <f t="shared" si="51"/>
        <v/>
      </c>
      <c r="M4536" s="25"/>
      <c r="O4536" s="25"/>
    </row>
    <row r="4537" ht="15.75" customHeight="1">
      <c r="A4537" s="25" t="str">
        <f>IFERROR(__xludf.DUMMYFUNCTION("IF(B4537="""","""",RIGHT(REGEXREPLACE(B4537&amp;"""",""[^0-9]"",""""),9))"),"761803556")</f>
        <v>761803556</v>
      </c>
      <c r="B4537" s="52">
        <v>7.61803556E8</v>
      </c>
      <c r="C4537" s="28" t="s">
        <v>4496</v>
      </c>
      <c r="D4537" s="26" t="s">
        <v>45</v>
      </c>
      <c r="E4537" s="31">
        <v>46235.0</v>
      </c>
      <c r="F4537" s="26" t="s">
        <v>46</v>
      </c>
      <c r="H4537" s="26" t="s">
        <v>4497</v>
      </c>
      <c r="I4537" s="26" t="s">
        <v>872</v>
      </c>
      <c r="J4537" s="25" t="str">
        <f t="shared" si="49"/>
        <v>No</v>
      </c>
      <c r="K4537" s="25" t="str">
        <f t="shared" si="50"/>
        <v/>
      </c>
      <c r="L4537" s="25" t="str">
        <f t="shared" si="51"/>
        <v/>
      </c>
      <c r="M4537" s="25"/>
      <c r="O4537" s="25"/>
    </row>
    <row r="4538" ht="15.75" customHeight="1">
      <c r="A4538" s="25" t="str">
        <f>IFERROR(__xludf.DUMMYFUNCTION("IF(B4538="""","""",RIGHT(REGEXREPLACE(B4538&amp;"""",""[^0-9]"",""""),9))"),"783977998")</f>
        <v>783977998</v>
      </c>
      <c r="B4538" s="52">
        <v>7.83977998E8</v>
      </c>
      <c r="C4538" s="28" t="s">
        <v>4498</v>
      </c>
      <c r="D4538" s="26" t="s">
        <v>56</v>
      </c>
      <c r="E4538" s="31">
        <v>46235.0</v>
      </c>
      <c r="F4538" s="25"/>
      <c r="G4538" s="25"/>
      <c r="H4538" s="25"/>
      <c r="I4538" s="26" t="s">
        <v>872</v>
      </c>
      <c r="J4538" s="25" t="str">
        <f t="shared" si="49"/>
        <v>No</v>
      </c>
      <c r="K4538" s="25" t="str">
        <f t="shared" si="50"/>
        <v/>
      </c>
      <c r="L4538" s="25" t="str">
        <f t="shared" si="51"/>
        <v/>
      </c>
      <c r="M4538" s="25"/>
      <c r="N4538" s="25"/>
      <c r="O4538" s="25"/>
      <c r="P4538" s="25"/>
    </row>
    <row r="4539" ht="15.75" customHeight="1">
      <c r="A4539" s="25" t="str">
        <f>IFERROR(__xludf.DUMMYFUNCTION("IF(B4539="""","""",RIGHT(REGEXREPLACE(B4539&amp;"""",""[^0-9]"",""""),9))"),"718990450")</f>
        <v>718990450</v>
      </c>
      <c r="B4539" s="52">
        <v>7.1899045E8</v>
      </c>
      <c r="C4539" s="28" t="s">
        <v>4499</v>
      </c>
      <c r="D4539" s="26" t="s">
        <v>45</v>
      </c>
      <c r="E4539" s="31">
        <v>46235.0</v>
      </c>
      <c r="F4539" s="26" t="s">
        <v>205</v>
      </c>
      <c r="G4539" s="26">
        <v>10.0</v>
      </c>
      <c r="I4539" s="26" t="s">
        <v>872</v>
      </c>
      <c r="J4539" s="25" t="str">
        <f t="shared" si="49"/>
        <v>No</v>
      </c>
      <c r="K4539" s="25" t="str">
        <f t="shared" si="50"/>
        <v/>
      </c>
      <c r="L4539" s="25" t="str">
        <f t="shared" si="51"/>
        <v/>
      </c>
      <c r="M4539" s="25"/>
      <c r="O4539" s="25"/>
    </row>
    <row r="4540" ht="15.75" customHeight="1">
      <c r="A4540" s="25" t="str">
        <f>IFERROR(__xludf.DUMMYFUNCTION("IF(B4540="""","""",RIGHT(REGEXREPLACE(B4540&amp;"""",""[^0-9]"",""""),9))"),"779836372")</f>
        <v>779836372</v>
      </c>
      <c r="B4540" s="52">
        <v>7.79836372E8</v>
      </c>
      <c r="C4540" s="28" t="s">
        <v>4500</v>
      </c>
      <c r="D4540" s="26" t="s">
        <v>82</v>
      </c>
      <c r="E4540" s="31">
        <v>46235.0</v>
      </c>
      <c r="F4540" s="26" t="s">
        <v>41</v>
      </c>
      <c r="G4540" s="26">
        <v>6.0</v>
      </c>
      <c r="I4540" s="26" t="s">
        <v>872</v>
      </c>
      <c r="J4540" s="25" t="str">
        <f t="shared" si="49"/>
        <v>No</v>
      </c>
      <c r="K4540" s="25" t="str">
        <f t="shared" si="50"/>
        <v/>
      </c>
      <c r="L4540" s="25" t="str">
        <f t="shared" si="51"/>
        <v/>
      </c>
      <c r="M4540" s="25"/>
      <c r="O4540" s="25"/>
    </row>
    <row r="4541" ht="15.75" customHeight="1">
      <c r="A4541" s="25" t="str">
        <f>IFERROR(__xludf.DUMMYFUNCTION("IF(B4541="""","""",RIGHT(REGEXREPLACE(B4541&amp;"""",""[^0-9]"",""""),9))"),"775163715")</f>
        <v>775163715</v>
      </c>
      <c r="B4541" s="52">
        <v>7.75163715E8</v>
      </c>
      <c r="C4541" s="28" t="s">
        <v>4501</v>
      </c>
      <c r="D4541" s="26" t="s">
        <v>45</v>
      </c>
      <c r="E4541" s="31">
        <v>46235.0</v>
      </c>
      <c r="F4541" s="26" t="s">
        <v>46</v>
      </c>
      <c r="G4541" s="26">
        <v>10.0</v>
      </c>
      <c r="I4541" s="26" t="s">
        <v>872</v>
      </c>
      <c r="J4541" s="25" t="str">
        <f t="shared" si="49"/>
        <v>No</v>
      </c>
      <c r="K4541" s="25" t="str">
        <f t="shared" si="50"/>
        <v/>
      </c>
      <c r="L4541" s="25" t="str">
        <f t="shared" si="51"/>
        <v/>
      </c>
      <c r="M4541" s="25"/>
      <c r="O4541" s="25"/>
    </row>
    <row r="4542" ht="15.75" customHeight="1">
      <c r="A4542" s="25" t="str">
        <f>IFERROR(__xludf.DUMMYFUNCTION("IF(B4542="""","""",RIGHT(REGEXREPLACE(B4542&amp;"""",""[^0-9]"",""""),9))"),"728000475")</f>
        <v>728000475</v>
      </c>
      <c r="B4542" s="52">
        <v>7.28000475E8</v>
      </c>
      <c r="C4542" s="28" t="s">
        <v>4502</v>
      </c>
      <c r="D4542" s="26" t="s">
        <v>64</v>
      </c>
      <c r="E4542" s="31">
        <v>46252.0</v>
      </c>
      <c r="F4542" s="26" t="s">
        <v>205</v>
      </c>
      <c r="I4542" s="26" t="s">
        <v>872</v>
      </c>
      <c r="J4542" s="25" t="str">
        <f t="shared" si="49"/>
        <v>No</v>
      </c>
      <c r="K4542" s="25" t="str">
        <f t="shared" si="50"/>
        <v/>
      </c>
      <c r="L4542" s="25" t="str">
        <f t="shared" si="51"/>
        <v/>
      </c>
      <c r="M4542" s="25"/>
      <c r="O4542" s="25"/>
    </row>
    <row r="4543" ht="15.75" customHeight="1">
      <c r="A4543" s="25" t="str">
        <f>IFERROR(__xludf.DUMMYFUNCTION("IF(B4543="""","""",RIGHT(REGEXREPLACE(B4543&amp;"""",""[^0-9]"",""""),9))"),"770124599")</f>
        <v>770124599</v>
      </c>
      <c r="B4543" s="26">
        <v>7.70124599E8</v>
      </c>
      <c r="C4543" s="28" t="s">
        <v>4503</v>
      </c>
      <c r="D4543" s="26" t="s">
        <v>37</v>
      </c>
      <c r="E4543" s="31">
        <v>46235.0</v>
      </c>
      <c r="F4543" s="26" t="s">
        <v>46</v>
      </c>
      <c r="G4543" s="26">
        <v>9.0</v>
      </c>
      <c r="I4543" s="26" t="s">
        <v>872</v>
      </c>
      <c r="J4543" s="25" t="str">
        <f t="shared" si="49"/>
        <v>No</v>
      </c>
      <c r="K4543" s="25" t="str">
        <f t="shared" si="50"/>
        <v/>
      </c>
      <c r="L4543" s="25" t="str">
        <f t="shared" si="51"/>
        <v/>
      </c>
      <c r="M4543" s="25"/>
      <c r="O4543" s="25"/>
    </row>
    <row r="4544" ht="15.75" customHeight="1">
      <c r="A4544" s="25" t="str">
        <f>IFERROR(__xludf.DUMMYFUNCTION("IF(B4544="""","""",RIGHT(REGEXREPLACE(B4544&amp;"""",""[^0-9]"",""""),9))"),"741492098")</f>
        <v>741492098</v>
      </c>
      <c r="B4544" s="52">
        <v>7.41492098E8</v>
      </c>
      <c r="C4544" s="28" t="s">
        <v>4504</v>
      </c>
      <c r="D4544" s="26" t="s">
        <v>82</v>
      </c>
      <c r="E4544" s="31">
        <v>46235.0</v>
      </c>
      <c r="F4544" s="26" t="s">
        <v>46</v>
      </c>
      <c r="G4544" s="26">
        <v>10.0</v>
      </c>
      <c r="I4544" s="26" t="s">
        <v>872</v>
      </c>
      <c r="J4544" s="25" t="str">
        <f t="shared" si="49"/>
        <v>No</v>
      </c>
      <c r="K4544" s="25" t="str">
        <f t="shared" si="50"/>
        <v/>
      </c>
      <c r="L4544" s="25" t="str">
        <f t="shared" si="51"/>
        <v/>
      </c>
      <c r="M4544" s="25"/>
      <c r="O4544" s="25"/>
    </row>
    <row r="4545" ht="15.75" customHeight="1">
      <c r="A4545" s="25" t="str">
        <f>IFERROR(__xludf.DUMMYFUNCTION("IF(B4545="""","""",RIGHT(REGEXREPLACE(B4545&amp;"""",""[^0-9]"",""""),9))"),"769001162")</f>
        <v>769001162</v>
      </c>
      <c r="B4545" s="52">
        <v>7.69001162E8</v>
      </c>
      <c r="C4545" s="28" t="s">
        <v>4505</v>
      </c>
      <c r="D4545" s="26" t="s">
        <v>56</v>
      </c>
      <c r="E4545" s="31">
        <v>46235.0</v>
      </c>
      <c r="F4545" s="26" t="s">
        <v>84</v>
      </c>
      <c r="G4545" s="26">
        <v>11.0</v>
      </c>
      <c r="H4545" s="26" t="s">
        <v>140</v>
      </c>
      <c r="I4545" s="26" t="s">
        <v>872</v>
      </c>
      <c r="J4545" s="25" t="str">
        <f t="shared" si="49"/>
        <v>No</v>
      </c>
      <c r="K4545" s="25" t="str">
        <f t="shared" si="50"/>
        <v/>
      </c>
      <c r="L4545" s="25" t="str">
        <f t="shared" si="51"/>
        <v/>
      </c>
      <c r="M4545" s="25"/>
      <c r="O4545" s="25"/>
    </row>
    <row r="4546" ht="15.75" customHeight="1">
      <c r="C4546" s="46"/>
      <c r="D4546" s="25"/>
      <c r="F4546" s="25"/>
      <c r="I4546" s="26" t="s">
        <v>872</v>
      </c>
      <c r="M4546" s="25"/>
      <c r="O4546" s="25"/>
    </row>
    <row r="4547" ht="15.75" customHeight="1">
      <c r="A4547" s="25" t="str">
        <f>IFERROR(__xludf.DUMMYFUNCTION("IF(B4547="""","""",RIGHT(REGEXREPLACE(B4547&amp;"""",""[^0-9]"",""""),9))"),"777175700")</f>
        <v>777175700</v>
      </c>
      <c r="B4547" s="52">
        <v>7.771757E8</v>
      </c>
      <c r="C4547" s="28" t="s">
        <v>4506</v>
      </c>
      <c r="D4547" s="26" t="s">
        <v>45</v>
      </c>
      <c r="E4547" s="31">
        <v>46235.0</v>
      </c>
      <c r="F4547" s="26" t="s">
        <v>46</v>
      </c>
      <c r="G4547" s="26">
        <v>10.0</v>
      </c>
      <c r="I4547" s="26" t="s">
        <v>872</v>
      </c>
      <c r="J4547" s="25" t="str">
        <f t="shared" ref="J4547:J4681" si="52">IF(COUNTIF($A$2:A4546,A4547)&gt;0,"Yes - see Previous F-Code","No")</f>
        <v>No</v>
      </c>
      <c r="K4547" s="25" t="str">
        <f t="shared" ref="K4547:K4681" si="53">IF(COUNTIFS($A$2:A4547,A4547,$I$2:I4547,I4547)&gt;1,"DUPLICATE - CHECK","")</f>
        <v/>
      </c>
      <c r="L4547" s="25" t="str">
        <f t="shared" ref="L4547:L4681" si="54">IF(COUNTIF($A$2:A4546,A4547)&gt;0,INDEX($C$2:C4546,MATCH(A4547,$A$2:A4546,0)),"")</f>
        <v/>
      </c>
      <c r="M4547" s="25"/>
      <c r="O4547" s="25"/>
    </row>
    <row r="4548" ht="15.75" customHeight="1">
      <c r="A4548" s="25" t="str">
        <f>IFERROR(__xludf.DUMMYFUNCTION("IF(B4548="""","""",RIGHT(REGEXREPLACE(B4548&amp;"""",""[^0-9]"",""""),9))"),"761869096")</f>
        <v>761869096</v>
      </c>
      <c r="B4548" s="52">
        <v>7.61869096E8</v>
      </c>
      <c r="C4548" s="28" t="s">
        <v>4507</v>
      </c>
      <c r="D4548" s="26" t="s">
        <v>64</v>
      </c>
      <c r="E4548" s="31">
        <v>46235.0</v>
      </c>
      <c r="F4548" s="26" t="s">
        <v>41</v>
      </c>
      <c r="I4548" s="26" t="s">
        <v>872</v>
      </c>
      <c r="J4548" s="25" t="str">
        <f t="shared" si="52"/>
        <v>No</v>
      </c>
      <c r="K4548" s="25" t="str">
        <f t="shared" si="53"/>
        <v/>
      </c>
      <c r="L4548" s="25" t="str">
        <f t="shared" si="54"/>
        <v/>
      </c>
      <c r="M4548" s="25"/>
      <c r="O4548" s="25"/>
    </row>
    <row r="4549" ht="15.75" customHeight="1">
      <c r="A4549" s="25" t="str">
        <f>IFERROR(__xludf.DUMMYFUNCTION("IF(B4549="""","""",RIGHT(REGEXREPLACE(B4549&amp;"""",""[^0-9]"",""""),9))"),"785337085")</f>
        <v>785337085</v>
      </c>
      <c r="B4549" s="52">
        <v>7.85337085E8</v>
      </c>
      <c r="C4549" s="28" t="s">
        <v>4508</v>
      </c>
      <c r="D4549" s="26" t="s">
        <v>49</v>
      </c>
      <c r="E4549" s="31">
        <v>46235.0</v>
      </c>
      <c r="F4549" s="26" t="s">
        <v>46</v>
      </c>
      <c r="G4549" s="26">
        <v>10.0</v>
      </c>
      <c r="I4549" s="26" t="s">
        <v>872</v>
      </c>
      <c r="J4549" s="25" t="str">
        <f t="shared" si="52"/>
        <v>No</v>
      </c>
      <c r="K4549" s="25" t="str">
        <f t="shared" si="53"/>
        <v/>
      </c>
      <c r="L4549" s="25" t="str">
        <f t="shared" si="54"/>
        <v/>
      </c>
      <c r="M4549" s="25"/>
      <c r="O4549" s="25"/>
    </row>
    <row r="4550" ht="15.75" customHeight="1">
      <c r="A4550" s="25" t="str">
        <f>IFERROR(__xludf.DUMMYFUNCTION("IF(B4550="""","""",RIGHT(REGEXREPLACE(B4550&amp;"""",""[^0-9]"",""""),9))"),"773471695")</f>
        <v>773471695</v>
      </c>
      <c r="B4550" s="52">
        <v>7.73471695E8</v>
      </c>
      <c r="C4550" s="28" t="s">
        <v>4094</v>
      </c>
      <c r="D4550" s="26" t="s">
        <v>82</v>
      </c>
      <c r="E4550" s="31">
        <v>46235.0</v>
      </c>
      <c r="F4550" s="26" t="s">
        <v>41</v>
      </c>
      <c r="G4550" s="26">
        <v>10.0</v>
      </c>
      <c r="I4550" s="26" t="s">
        <v>872</v>
      </c>
      <c r="J4550" s="25" t="str">
        <f t="shared" si="52"/>
        <v>Yes - see Previous F-Code</v>
      </c>
      <c r="K4550" s="25" t="str">
        <f t="shared" si="53"/>
        <v/>
      </c>
      <c r="L4550" s="25" t="str">
        <f t="shared" si="54"/>
        <v>F73735</v>
      </c>
      <c r="M4550" s="25"/>
      <c r="O4550" s="25"/>
    </row>
    <row r="4551" ht="15.75" customHeight="1">
      <c r="A4551" s="25" t="str">
        <f>IFERROR(__xludf.DUMMYFUNCTION("IF(B4551="""","""",RIGHT(REGEXREPLACE(B4551&amp;"""",""[^0-9]"",""""),9))"),"719006753")</f>
        <v>719006753</v>
      </c>
      <c r="B4551" s="52">
        <v>7.19006753E8</v>
      </c>
      <c r="C4551" s="28" t="s">
        <v>4509</v>
      </c>
      <c r="D4551" s="26" t="s">
        <v>56</v>
      </c>
      <c r="E4551" s="31">
        <v>46235.0</v>
      </c>
      <c r="F4551" s="26" t="s">
        <v>46</v>
      </c>
      <c r="G4551" s="26">
        <v>8.0</v>
      </c>
      <c r="I4551" s="26" t="s">
        <v>872</v>
      </c>
      <c r="J4551" s="25" t="str">
        <f t="shared" si="52"/>
        <v>No</v>
      </c>
      <c r="K4551" s="25" t="str">
        <f t="shared" si="53"/>
        <v/>
      </c>
      <c r="L4551" s="25" t="str">
        <f t="shared" si="54"/>
        <v/>
      </c>
      <c r="M4551" s="25"/>
      <c r="O4551" s="25"/>
    </row>
    <row r="4552" ht="15.75" customHeight="1">
      <c r="A4552" s="25" t="str">
        <f>IFERROR(__xludf.DUMMYFUNCTION("IF(B4552="""","""",RIGHT(REGEXREPLACE(B4552&amp;"""",""[^0-9]"",""""),9))"),"775188383")</f>
        <v>775188383</v>
      </c>
      <c r="B4552" s="52">
        <v>7.75188383E8</v>
      </c>
      <c r="C4552" s="28" t="s">
        <v>4510</v>
      </c>
      <c r="D4552" s="26" t="s">
        <v>64</v>
      </c>
      <c r="E4552" s="31">
        <v>46235.0</v>
      </c>
      <c r="F4552" s="26" t="s">
        <v>205</v>
      </c>
      <c r="G4552" s="26">
        <v>8.0</v>
      </c>
      <c r="I4552" s="26" t="s">
        <v>872</v>
      </c>
      <c r="J4552" s="25" t="str">
        <f t="shared" si="52"/>
        <v>No</v>
      </c>
      <c r="K4552" s="25" t="str">
        <f t="shared" si="53"/>
        <v/>
      </c>
      <c r="L4552" s="25" t="str">
        <f t="shared" si="54"/>
        <v/>
      </c>
      <c r="M4552" s="25"/>
      <c r="O4552" s="25"/>
    </row>
    <row r="4553" ht="15.75" customHeight="1">
      <c r="A4553" s="25" t="str">
        <f>IFERROR(__xludf.DUMMYFUNCTION("IF(B4553="""","""",RIGHT(REGEXREPLACE(B4553&amp;"""",""[^0-9]"",""""),9))"),"779066310")</f>
        <v>779066310</v>
      </c>
      <c r="B4553" s="26">
        <v>7.7906631E8</v>
      </c>
      <c r="C4553" s="28" t="s">
        <v>4511</v>
      </c>
      <c r="D4553" s="26" t="s">
        <v>37</v>
      </c>
      <c r="E4553" s="31">
        <v>46235.0</v>
      </c>
      <c r="F4553" s="26" t="s">
        <v>46</v>
      </c>
      <c r="G4553" s="26">
        <v>10.0</v>
      </c>
      <c r="I4553" s="26" t="s">
        <v>872</v>
      </c>
      <c r="J4553" s="25" t="str">
        <f t="shared" si="52"/>
        <v>No</v>
      </c>
      <c r="K4553" s="25" t="str">
        <f t="shared" si="53"/>
        <v/>
      </c>
      <c r="L4553" s="25" t="str">
        <f t="shared" si="54"/>
        <v/>
      </c>
      <c r="M4553" s="25"/>
      <c r="O4553" s="25"/>
    </row>
    <row r="4554" ht="15.75" customHeight="1">
      <c r="A4554" s="25" t="str">
        <f>IFERROR(__xludf.DUMMYFUNCTION("IF(B4554="""","""",RIGHT(REGEXREPLACE(B4554&amp;"""",""[^0-9]"",""""),9))"),"787503347")</f>
        <v>787503347</v>
      </c>
      <c r="B4554" s="52">
        <v>7.87503347E8</v>
      </c>
      <c r="C4554" s="28" t="s">
        <v>4512</v>
      </c>
      <c r="D4554" s="26" t="s">
        <v>82</v>
      </c>
      <c r="E4554" s="31">
        <v>46235.0</v>
      </c>
      <c r="F4554" s="26" t="s">
        <v>46</v>
      </c>
      <c r="I4554" s="26" t="s">
        <v>872</v>
      </c>
      <c r="J4554" s="25" t="str">
        <f t="shared" si="52"/>
        <v>No</v>
      </c>
      <c r="K4554" s="25" t="str">
        <f t="shared" si="53"/>
        <v/>
      </c>
      <c r="L4554" s="25" t="str">
        <f t="shared" si="54"/>
        <v/>
      </c>
      <c r="M4554" s="25"/>
      <c r="O4554" s="25"/>
    </row>
    <row r="4555" ht="15.75" customHeight="1">
      <c r="A4555" s="25" t="str">
        <f>IFERROR(__xludf.DUMMYFUNCTION("IF(B4555="""","""",RIGHT(REGEXREPLACE(B4555&amp;"""",""[^0-9]"",""""),9))"),"772027895")</f>
        <v>772027895</v>
      </c>
      <c r="B4555" s="52">
        <v>7.72027895E8</v>
      </c>
      <c r="C4555" s="28" t="s">
        <v>1266</v>
      </c>
      <c r="D4555" s="26" t="s">
        <v>45</v>
      </c>
      <c r="E4555" s="31">
        <v>46235.0</v>
      </c>
      <c r="F4555" s="26" t="s">
        <v>164</v>
      </c>
      <c r="I4555" s="26" t="s">
        <v>872</v>
      </c>
      <c r="J4555" s="25" t="str">
        <f t="shared" si="52"/>
        <v>Yes - see Previous F-Code</v>
      </c>
      <c r="K4555" s="25" t="str">
        <f t="shared" si="53"/>
        <v/>
      </c>
      <c r="L4555" s="25" t="str">
        <f t="shared" si="54"/>
        <v>F71000</v>
      </c>
      <c r="M4555" s="25"/>
      <c r="O4555" s="25"/>
    </row>
    <row r="4556" ht="15.75" customHeight="1">
      <c r="A4556" s="25" t="str">
        <f>IFERROR(__xludf.DUMMYFUNCTION("IF(B4556="""","""",RIGHT(REGEXREPLACE(B4556&amp;"""",""[^0-9]"",""""),9))"),"776274113")</f>
        <v>776274113</v>
      </c>
      <c r="B4556" s="52">
        <v>7.76274113E8</v>
      </c>
      <c r="C4556" s="28" t="s">
        <v>4513</v>
      </c>
      <c r="D4556" s="26" t="s">
        <v>64</v>
      </c>
      <c r="E4556" s="31">
        <v>46235.0</v>
      </c>
      <c r="F4556" s="26" t="s">
        <v>41</v>
      </c>
      <c r="G4556" s="26">
        <v>10.0</v>
      </c>
      <c r="I4556" s="26" t="s">
        <v>872</v>
      </c>
      <c r="J4556" s="25" t="str">
        <f t="shared" si="52"/>
        <v>No</v>
      </c>
      <c r="K4556" s="25" t="str">
        <f t="shared" si="53"/>
        <v/>
      </c>
      <c r="L4556" s="25" t="str">
        <f t="shared" si="54"/>
        <v/>
      </c>
      <c r="M4556" s="25"/>
      <c r="O4556" s="25"/>
    </row>
    <row r="4557" ht="15.75" customHeight="1">
      <c r="A4557" s="25" t="str">
        <f>IFERROR(__xludf.DUMMYFUNCTION("IF(B4557="""","""",RIGHT(REGEXREPLACE(B4557&amp;"""",""[^0-9]"",""""),9))"),"763292106")</f>
        <v>763292106</v>
      </c>
      <c r="B4557" s="52">
        <v>7.63292106E8</v>
      </c>
      <c r="C4557" s="28" t="s">
        <v>4514</v>
      </c>
      <c r="D4557" s="26" t="s">
        <v>45</v>
      </c>
      <c r="E4557" s="31">
        <v>46235.0</v>
      </c>
      <c r="F4557" s="26" t="s">
        <v>46</v>
      </c>
      <c r="G4557" s="26">
        <v>9.0</v>
      </c>
      <c r="I4557" s="26" t="s">
        <v>872</v>
      </c>
      <c r="J4557" s="25" t="str">
        <f t="shared" si="52"/>
        <v>No</v>
      </c>
      <c r="K4557" s="25" t="str">
        <f t="shared" si="53"/>
        <v/>
      </c>
      <c r="L4557" s="25" t="str">
        <f t="shared" si="54"/>
        <v/>
      </c>
      <c r="M4557" s="25"/>
      <c r="O4557" s="25"/>
    </row>
    <row r="4558" ht="15.75" customHeight="1">
      <c r="A4558" s="25" t="str">
        <f>IFERROR(__xludf.DUMMYFUNCTION("IF(B4558="""","""",RIGHT(REGEXREPLACE(B4558&amp;"""",""[^0-9]"",""""),9))"),"775228270")</f>
        <v>775228270</v>
      </c>
      <c r="B4558" s="52">
        <v>7.7522827E8</v>
      </c>
      <c r="C4558" s="28" t="s">
        <v>4515</v>
      </c>
      <c r="D4558" s="26" t="s">
        <v>49</v>
      </c>
      <c r="E4558" s="31">
        <v>46235.0</v>
      </c>
      <c r="F4558" s="26" t="s">
        <v>46</v>
      </c>
      <c r="G4558" s="26">
        <v>10.0</v>
      </c>
      <c r="I4558" s="26" t="s">
        <v>872</v>
      </c>
      <c r="J4558" s="25" t="str">
        <f t="shared" si="52"/>
        <v>No</v>
      </c>
      <c r="K4558" s="25" t="str">
        <f t="shared" si="53"/>
        <v/>
      </c>
      <c r="L4558" s="25" t="str">
        <f t="shared" si="54"/>
        <v/>
      </c>
      <c r="M4558" s="25"/>
      <c r="O4558" s="25"/>
    </row>
    <row r="4559" ht="15.75" customHeight="1">
      <c r="A4559" s="25" t="str">
        <f>IFERROR(__xludf.DUMMYFUNCTION("IF(B4559="""","""",RIGHT(REGEXREPLACE(B4559&amp;"""",""[^0-9]"",""""),9))"),"766980548")</f>
        <v>766980548</v>
      </c>
      <c r="B4559" s="52">
        <v>7.66980548E8</v>
      </c>
      <c r="C4559" s="28" t="s">
        <v>4516</v>
      </c>
      <c r="D4559" s="26" t="s">
        <v>56</v>
      </c>
      <c r="E4559" s="31">
        <v>46235.0</v>
      </c>
      <c r="F4559" s="26" t="s">
        <v>164</v>
      </c>
      <c r="G4559" s="26">
        <v>9.0</v>
      </c>
      <c r="I4559" s="26" t="s">
        <v>872</v>
      </c>
      <c r="J4559" s="25" t="str">
        <f t="shared" si="52"/>
        <v>No</v>
      </c>
      <c r="K4559" s="25" t="str">
        <f t="shared" si="53"/>
        <v/>
      </c>
      <c r="L4559" s="25" t="str">
        <f t="shared" si="54"/>
        <v/>
      </c>
      <c r="M4559" s="25"/>
      <c r="O4559" s="25"/>
    </row>
    <row r="4560" ht="15.75" customHeight="1">
      <c r="A4560" s="25" t="str">
        <f>IFERROR(__xludf.DUMMYFUNCTION("IF(B4560="""","""",RIGHT(REGEXREPLACE(B4560&amp;"""",""[^0-9]"",""""),9))"),"775269545")</f>
        <v>775269545</v>
      </c>
      <c r="B4560" s="52">
        <v>7.75269545E8</v>
      </c>
      <c r="C4560" s="28" t="s">
        <v>4517</v>
      </c>
      <c r="D4560" s="26" t="s">
        <v>64</v>
      </c>
      <c r="E4560" s="31">
        <v>46235.0</v>
      </c>
      <c r="F4560" s="26" t="s">
        <v>41</v>
      </c>
      <c r="G4560" s="26">
        <v>6.0</v>
      </c>
      <c r="I4560" s="26" t="s">
        <v>872</v>
      </c>
      <c r="J4560" s="25" t="str">
        <f t="shared" si="52"/>
        <v>No</v>
      </c>
      <c r="K4560" s="25" t="str">
        <f t="shared" si="53"/>
        <v/>
      </c>
      <c r="L4560" s="25" t="str">
        <f t="shared" si="54"/>
        <v/>
      </c>
      <c r="M4560" s="25"/>
      <c r="O4560" s="25"/>
    </row>
    <row r="4561" ht="15.75" customHeight="1">
      <c r="A4561" s="25" t="str">
        <f>IFERROR(__xludf.DUMMYFUNCTION("IF(B4561="""","""",RIGHT(REGEXREPLACE(B4561&amp;"""",""[^0-9]"",""""),9))"),"774937929")</f>
        <v>774937929</v>
      </c>
      <c r="B4561" s="52">
        <v>7.74937929E8</v>
      </c>
      <c r="C4561" s="28" t="s">
        <v>4518</v>
      </c>
      <c r="D4561" s="26" t="s">
        <v>82</v>
      </c>
      <c r="E4561" s="31">
        <v>46235.0</v>
      </c>
      <c r="F4561" s="26" t="s">
        <v>46</v>
      </c>
      <c r="G4561" s="26">
        <v>10.0</v>
      </c>
      <c r="I4561" s="26" t="s">
        <v>872</v>
      </c>
      <c r="J4561" s="25" t="str">
        <f t="shared" si="52"/>
        <v>No</v>
      </c>
      <c r="K4561" s="25" t="str">
        <f t="shared" si="53"/>
        <v/>
      </c>
      <c r="L4561" s="25" t="str">
        <f t="shared" si="54"/>
        <v/>
      </c>
      <c r="M4561" s="25"/>
      <c r="O4561" s="25"/>
    </row>
    <row r="4562" ht="15.75" customHeight="1">
      <c r="A4562" s="25" t="str">
        <f>IFERROR(__xludf.DUMMYFUNCTION("IF(B4562="""","""",RIGHT(REGEXREPLACE(B4562&amp;"""",""[^0-9]"",""""),9))"),"703967151")</f>
        <v>703967151</v>
      </c>
      <c r="B4562" s="52">
        <v>7.03967151E8</v>
      </c>
      <c r="C4562" s="28" t="s">
        <v>4519</v>
      </c>
      <c r="D4562" s="26" t="s">
        <v>56</v>
      </c>
      <c r="E4562" s="31">
        <v>46235.0</v>
      </c>
      <c r="F4562" s="26" t="s">
        <v>205</v>
      </c>
      <c r="G4562" s="26">
        <v>11.0</v>
      </c>
      <c r="I4562" s="26" t="s">
        <v>872</v>
      </c>
      <c r="J4562" s="25" t="str">
        <f t="shared" si="52"/>
        <v>No</v>
      </c>
      <c r="K4562" s="25" t="str">
        <f t="shared" si="53"/>
        <v/>
      </c>
      <c r="L4562" s="25" t="str">
        <f t="shared" si="54"/>
        <v/>
      </c>
      <c r="M4562" s="25"/>
      <c r="O4562" s="25"/>
    </row>
    <row r="4563" ht="15.75" customHeight="1">
      <c r="A4563" s="25" t="str">
        <f>IFERROR(__xludf.DUMMYFUNCTION("IF(B4563="""","""",RIGHT(REGEXREPLACE(B4563&amp;"""",""[^0-9]"",""""),9))"),"775833046")</f>
        <v>775833046</v>
      </c>
      <c r="B4563" s="52">
        <v>7.75833046E8</v>
      </c>
      <c r="C4563" s="28" t="s">
        <v>4520</v>
      </c>
      <c r="D4563" s="26" t="s">
        <v>45</v>
      </c>
      <c r="E4563" s="31">
        <v>46235.0</v>
      </c>
      <c r="F4563" s="26" t="s">
        <v>41</v>
      </c>
      <c r="I4563" s="26" t="s">
        <v>872</v>
      </c>
      <c r="J4563" s="25" t="str">
        <f t="shared" si="52"/>
        <v>No</v>
      </c>
      <c r="K4563" s="25" t="str">
        <f t="shared" si="53"/>
        <v/>
      </c>
      <c r="L4563" s="25" t="str">
        <f t="shared" si="54"/>
        <v/>
      </c>
      <c r="M4563" s="25"/>
      <c r="O4563" s="25"/>
    </row>
    <row r="4564" ht="15.75" customHeight="1">
      <c r="A4564" s="25" t="str">
        <f>IFERROR(__xludf.DUMMYFUNCTION("IF(B4564="""","""",RIGHT(REGEXREPLACE(B4564&amp;"""",""[^0-9]"",""""),9))"),"711088095")</f>
        <v>711088095</v>
      </c>
      <c r="B4564" s="52">
        <v>7.11088095E8</v>
      </c>
      <c r="C4564" s="28" t="s">
        <v>4521</v>
      </c>
      <c r="D4564" s="26" t="s">
        <v>64</v>
      </c>
      <c r="E4564" s="31">
        <v>46235.0</v>
      </c>
      <c r="F4564" s="26" t="s">
        <v>46</v>
      </c>
      <c r="G4564" s="26">
        <v>10.0</v>
      </c>
      <c r="I4564" s="26" t="s">
        <v>872</v>
      </c>
      <c r="J4564" s="25" t="str">
        <f t="shared" si="52"/>
        <v>No</v>
      </c>
      <c r="K4564" s="25" t="str">
        <f t="shared" si="53"/>
        <v/>
      </c>
      <c r="L4564" s="25" t="str">
        <f t="shared" si="54"/>
        <v/>
      </c>
      <c r="M4564" s="25"/>
      <c r="O4564" s="25"/>
    </row>
    <row r="4565" ht="15.75" customHeight="1">
      <c r="A4565" s="25" t="str">
        <f>IFERROR(__xludf.DUMMYFUNCTION("IF(B4565="""","""",RIGHT(REGEXREPLACE(B4565&amp;"""",""[^0-9]"",""""),9))"),"788417223")</f>
        <v>788417223</v>
      </c>
      <c r="B4565" s="52">
        <v>7.88417223E8</v>
      </c>
      <c r="C4565" s="28" t="s">
        <v>4522</v>
      </c>
      <c r="D4565" s="26" t="s">
        <v>56</v>
      </c>
      <c r="E4565" s="31">
        <v>46235.0</v>
      </c>
      <c r="F4565" s="26" t="s">
        <v>631</v>
      </c>
      <c r="G4565" s="26">
        <v>9.0</v>
      </c>
      <c r="I4565" s="26" t="s">
        <v>872</v>
      </c>
      <c r="J4565" s="25" t="str">
        <f t="shared" si="52"/>
        <v>No</v>
      </c>
      <c r="K4565" s="25" t="str">
        <f t="shared" si="53"/>
        <v/>
      </c>
      <c r="L4565" s="25" t="str">
        <f t="shared" si="54"/>
        <v/>
      </c>
      <c r="M4565" s="25"/>
      <c r="O4565" s="25"/>
    </row>
    <row r="4566" ht="15.75" customHeight="1">
      <c r="A4566" s="25" t="str">
        <f>IFERROR(__xludf.DUMMYFUNCTION("IF(B4566="""","""",RIGHT(REGEXREPLACE(B4566&amp;"""",""[^0-9]"",""""),9))"),"772806702")</f>
        <v>772806702</v>
      </c>
      <c r="B4566" s="52">
        <v>7.72806702E8</v>
      </c>
      <c r="C4566" s="28" t="s">
        <v>4523</v>
      </c>
      <c r="D4566" s="26" t="s">
        <v>49</v>
      </c>
      <c r="E4566" s="31">
        <v>46235.0</v>
      </c>
      <c r="F4566" s="26" t="s">
        <v>46</v>
      </c>
      <c r="G4566" s="26">
        <v>10.0</v>
      </c>
      <c r="H4566" s="26" t="s">
        <v>4524</v>
      </c>
      <c r="I4566" s="26" t="s">
        <v>872</v>
      </c>
      <c r="J4566" s="25" t="str">
        <f t="shared" si="52"/>
        <v>No</v>
      </c>
      <c r="K4566" s="25" t="str">
        <f t="shared" si="53"/>
        <v/>
      </c>
      <c r="L4566" s="25" t="str">
        <f t="shared" si="54"/>
        <v/>
      </c>
      <c r="M4566" s="25"/>
      <c r="O4566" s="25"/>
    </row>
    <row r="4567" ht="15.75" customHeight="1">
      <c r="A4567" s="25" t="str">
        <f>IFERROR(__xludf.DUMMYFUNCTION("IF(B4567="""","""",RIGHT(REGEXREPLACE(B4567&amp;"""",""[^0-9]"",""""),9))"),"789593611")</f>
        <v>789593611</v>
      </c>
      <c r="B4567" s="52">
        <v>7.89593611E8</v>
      </c>
      <c r="C4567" s="28" t="s">
        <v>4525</v>
      </c>
      <c r="D4567" s="26" t="s">
        <v>45</v>
      </c>
      <c r="E4567" s="31">
        <v>46252.0</v>
      </c>
      <c r="F4567" s="26" t="s">
        <v>46</v>
      </c>
      <c r="H4567" s="26" t="s">
        <v>4526</v>
      </c>
      <c r="I4567" s="26" t="s">
        <v>872</v>
      </c>
      <c r="J4567" s="25" t="str">
        <f t="shared" si="52"/>
        <v>No</v>
      </c>
      <c r="K4567" s="25" t="str">
        <f t="shared" si="53"/>
        <v/>
      </c>
      <c r="L4567" s="25" t="str">
        <f t="shared" si="54"/>
        <v/>
      </c>
      <c r="M4567" s="25"/>
      <c r="O4567" s="25"/>
    </row>
    <row r="4568" ht="15.75" customHeight="1">
      <c r="A4568" s="25" t="str">
        <f>IFERROR(__xludf.DUMMYFUNCTION("IF(B4568="""","""",RIGHT(REGEXREPLACE(B4568&amp;"""",""[^0-9]"",""""),9))"),"754624253")</f>
        <v>754624253</v>
      </c>
      <c r="B4568" s="52">
        <v>7.54624253E8</v>
      </c>
      <c r="C4568" s="28" t="s">
        <v>4527</v>
      </c>
      <c r="D4568" s="26" t="s">
        <v>64</v>
      </c>
      <c r="E4568" s="31">
        <v>46235.0</v>
      </c>
      <c r="F4568" s="26" t="s">
        <v>46</v>
      </c>
      <c r="H4568" s="26" t="s">
        <v>4528</v>
      </c>
      <c r="I4568" s="26" t="s">
        <v>872</v>
      </c>
      <c r="J4568" s="25" t="str">
        <f t="shared" si="52"/>
        <v>No</v>
      </c>
      <c r="K4568" s="25" t="str">
        <f t="shared" si="53"/>
        <v/>
      </c>
      <c r="L4568" s="25" t="str">
        <f t="shared" si="54"/>
        <v/>
      </c>
      <c r="M4568" s="25"/>
      <c r="O4568" s="25"/>
    </row>
    <row r="4569" ht="15.75" customHeight="1">
      <c r="A4569" s="25" t="str">
        <f>IFERROR(__xludf.DUMMYFUNCTION("IF(B4569="""","""",RIGHT(REGEXREPLACE(B4569&amp;"""",""[^0-9]"",""""),9))"),"764316790")</f>
        <v>764316790</v>
      </c>
      <c r="B4569" s="52">
        <v>7.6431679E8</v>
      </c>
      <c r="C4569" s="28" t="s">
        <v>4529</v>
      </c>
      <c r="D4569" s="26" t="s">
        <v>82</v>
      </c>
      <c r="E4569" s="31">
        <v>46235.0</v>
      </c>
      <c r="F4569" s="26" t="s">
        <v>205</v>
      </c>
      <c r="G4569" s="26">
        <v>7.0</v>
      </c>
      <c r="I4569" s="26" t="s">
        <v>872</v>
      </c>
      <c r="J4569" s="25" t="str">
        <f t="shared" si="52"/>
        <v>No</v>
      </c>
      <c r="K4569" s="25" t="str">
        <f t="shared" si="53"/>
        <v/>
      </c>
      <c r="L4569" s="25" t="str">
        <f t="shared" si="54"/>
        <v/>
      </c>
      <c r="M4569" s="25"/>
      <c r="O4569" s="25"/>
    </row>
    <row r="4570" ht="15.75" customHeight="1">
      <c r="A4570" s="25" t="str">
        <f>IFERROR(__xludf.DUMMYFUNCTION("IF(B4570="""","""",RIGHT(REGEXREPLACE(B4570&amp;"""",""[^0-9]"",""""),9))"),"786271734")</f>
        <v>786271734</v>
      </c>
      <c r="B4570" s="52">
        <v>7.86271734E8</v>
      </c>
      <c r="C4570" s="28" t="s">
        <v>4530</v>
      </c>
      <c r="D4570" s="26" t="s">
        <v>56</v>
      </c>
      <c r="E4570" s="31">
        <v>46235.0</v>
      </c>
      <c r="F4570" s="26" t="s">
        <v>659</v>
      </c>
      <c r="G4570" s="26">
        <v>10.0</v>
      </c>
      <c r="I4570" s="26" t="s">
        <v>872</v>
      </c>
      <c r="J4570" s="25" t="str">
        <f t="shared" si="52"/>
        <v>No</v>
      </c>
      <c r="K4570" s="25" t="str">
        <f t="shared" si="53"/>
        <v/>
      </c>
      <c r="L4570" s="25" t="str">
        <f t="shared" si="54"/>
        <v/>
      </c>
      <c r="M4570" s="25"/>
      <c r="O4570" s="25"/>
    </row>
    <row r="4571" ht="15.75" customHeight="1">
      <c r="A4571" s="25" t="str">
        <f>IFERROR(__xludf.DUMMYFUNCTION("IF(B4571="""","""",RIGHT(REGEXREPLACE(B4571&amp;"""",""[^0-9]"",""""),9))"),"710653057")</f>
        <v>710653057</v>
      </c>
      <c r="B4571" s="52">
        <v>7.10653057E8</v>
      </c>
      <c r="C4571" s="28" t="s">
        <v>4531</v>
      </c>
      <c r="D4571" s="26" t="s">
        <v>45</v>
      </c>
      <c r="E4571" s="31">
        <v>46235.0</v>
      </c>
      <c r="F4571" s="26" t="s">
        <v>46</v>
      </c>
      <c r="G4571" s="26">
        <v>10.0</v>
      </c>
      <c r="I4571" s="26" t="s">
        <v>872</v>
      </c>
      <c r="J4571" s="25" t="str">
        <f t="shared" si="52"/>
        <v>No</v>
      </c>
      <c r="K4571" s="25" t="str">
        <f t="shared" si="53"/>
        <v/>
      </c>
      <c r="L4571" s="25" t="str">
        <f t="shared" si="54"/>
        <v/>
      </c>
      <c r="M4571" s="25"/>
      <c r="O4571" s="25"/>
    </row>
    <row r="4572" ht="15.75" customHeight="1">
      <c r="A4572" s="25" t="str">
        <f>IFERROR(__xludf.DUMMYFUNCTION("IF(B4572="""","""",RIGHT(REGEXREPLACE(B4572&amp;"""",""[^0-9]"",""""),9))"),"779836372")</f>
        <v>779836372</v>
      </c>
      <c r="B4572" s="26">
        <v>7.79836372E8</v>
      </c>
      <c r="C4572" s="28" t="s">
        <v>4500</v>
      </c>
      <c r="D4572" s="26" t="s">
        <v>37</v>
      </c>
      <c r="E4572" s="31">
        <v>46235.0</v>
      </c>
      <c r="F4572" s="26" t="s">
        <v>46</v>
      </c>
      <c r="I4572" s="26" t="s">
        <v>872</v>
      </c>
      <c r="J4572" s="25" t="str">
        <f t="shared" si="52"/>
        <v>Yes - see Previous F-Code</v>
      </c>
      <c r="K4572" s="25" t="str">
        <f t="shared" si="53"/>
        <v>DUPLICATE - CHECK</v>
      </c>
      <c r="L4572" s="25" t="str">
        <f t="shared" si="54"/>
        <v>F74110</v>
      </c>
      <c r="M4572" s="25"/>
      <c r="O4572" s="25"/>
    </row>
    <row r="4573" ht="15.75" customHeight="1">
      <c r="A4573" s="25" t="str">
        <f>IFERROR(__xludf.DUMMYFUNCTION("IF(B4573="""","""",RIGHT(REGEXREPLACE(B4573&amp;"""",""[^0-9]"",""""),9))"),"765462787")</f>
        <v>765462787</v>
      </c>
      <c r="B4573" s="52">
        <v>7.65462787E8</v>
      </c>
      <c r="C4573" s="28" t="s">
        <v>4532</v>
      </c>
      <c r="D4573" s="26" t="s">
        <v>64</v>
      </c>
      <c r="E4573" s="31">
        <v>46235.0</v>
      </c>
      <c r="F4573" s="26" t="s">
        <v>46</v>
      </c>
      <c r="G4573" s="26">
        <v>11.0</v>
      </c>
      <c r="I4573" s="26" t="s">
        <v>872</v>
      </c>
      <c r="J4573" s="25" t="str">
        <f t="shared" si="52"/>
        <v>No</v>
      </c>
      <c r="K4573" s="25" t="str">
        <f t="shared" si="53"/>
        <v/>
      </c>
      <c r="L4573" s="25" t="str">
        <f t="shared" si="54"/>
        <v/>
      </c>
      <c r="M4573" s="25"/>
      <c r="O4573" s="25"/>
    </row>
    <row r="4574" ht="15.75" customHeight="1">
      <c r="A4574" s="25" t="str">
        <f>IFERROR(__xludf.DUMMYFUNCTION("IF(B4574="""","""",RIGHT(REGEXREPLACE(B4574&amp;"""",""[^0-9]"",""""),9))"),"763832625")</f>
        <v>763832625</v>
      </c>
      <c r="B4574" s="52">
        <v>7.63832625E8</v>
      </c>
      <c r="C4574" s="28" t="s">
        <v>4533</v>
      </c>
      <c r="D4574" s="26" t="s">
        <v>49</v>
      </c>
      <c r="E4574" s="31">
        <v>46235.0</v>
      </c>
      <c r="F4574" s="26" t="s">
        <v>46</v>
      </c>
      <c r="G4574" s="26">
        <v>10.0</v>
      </c>
      <c r="H4574" s="26" t="s">
        <v>94</v>
      </c>
      <c r="I4574" s="26" t="s">
        <v>872</v>
      </c>
      <c r="J4574" s="25" t="str">
        <f t="shared" si="52"/>
        <v>No</v>
      </c>
      <c r="K4574" s="25" t="str">
        <f t="shared" si="53"/>
        <v/>
      </c>
      <c r="L4574" s="25" t="str">
        <f t="shared" si="54"/>
        <v/>
      </c>
      <c r="M4574" s="25"/>
      <c r="O4574" s="25"/>
    </row>
    <row r="4575" ht="15.75" customHeight="1">
      <c r="A4575" s="25" t="str">
        <f>IFERROR(__xludf.DUMMYFUNCTION("IF(B4575="""","""",RIGHT(REGEXREPLACE(B4575&amp;"""",""[^0-9]"",""""),9))"),"781966009")</f>
        <v>781966009</v>
      </c>
      <c r="B4575" s="52">
        <v>7.81966009E8</v>
      </c>
      <c r="C4575" s="28" t="s">
        <v>3383</v>
      </c>
      <c r="D4575" s="26" t="s">
        <v>82</v>
      </c>
      <c r="E4575" s="31">
        <v>46235.0</v>
      </c>
      <c r="F4575" s="25"/>
      <c r="G4575" s="25"/>
      <c r="H4575" s="25"/>
      <c r="I4575" s="26" t="s">
        <v>872</v>
      </c>
      <c r="J4575" s="25" t="str">
        <f t="shared" si="52"/>
        <v>Yes - see Previous F-Code</v>
      </c>
      <c r="K4575" s="25" t="str">
        <f t="shared" si="53"/>
        <v/>
      </c>
      <c r="L4575" s="25" t="str">
        <f t="shared" si="54"/>
        <v>F73044</v>
      </c>
      <c r="M4575" s="25"/>
      <c r="N4575" s="25"/>
      <c r="O4575" s="25"/>
      <c r="P4575" s="25"/>
    </row>
    <row r="4576" ht="15.75" customHeight="1">
      <c r="A4576" s="25" t="str">
        <f>IFERROR(__xludf.DUMMYFUNCTION("IF(B4576="""","""",RIGHT(REGEXREPLACE(B4576&amp;"""",""[^0-9]"",""""),9))"),"773178825")</f>
        <v>773178825</v>
      </c>
      <c r="B4576" s="52">
        <v>7.73178825E8</v>
      </c>
      <c r="C4576" s="28" t="s">
        <v>4534</v>
      </c>
      <c r="D4576" s="26" t="s">
        <v>56</v>
      </c>
      <c r="E4576" s="31">
        <v>46235.0</v>
      </c>
      <c r="F4576" s="26" t="s">
        <v>659</v>
      </c>
      <c r="G4576" s="26">
        <v>8.0</v>
      </c>
      <c r="I4576" s="26" t="s">
        <v>872</v>
      </c>
      <c r="J4576" s="25" t="str">
        <f t="shared" si="52"/>
        <v>No</v>
      </c>
      <c r="K4576" s="25" t="str">
        <f t="shared" si="53"/>
        <v/>
      </c>
      <c r="L4576" s="25" t="str">
        <f t="shared" si="54"/>
        <v/>
      </c>
      <c r="M4576" s="25"/>
      <c r="O4576" s="25"/>
    </row>
    <row r="4577" ht="15.75" customHeight="1">
      <c r="A4577" s="25" t="str">
        <f>IFERROR(__xludf.DUMMYFUNCTION("IF(B4577="""","""",RIGHT(REGEXREPLACE(B4577&amp;"""",""[^0-9]"",""""),9))"),"767214047")</f>
        <v>767214047</v>
      </c>
      <c r="B4577" s="52">
        <v>7.67214047E8</v>
      </c>
      <c r="C4577" s="28" t="s">
        <v>1740</v>
      </c>
      <c r="D4577" s="26" t="s">
        <v>56</v>
      </c>
      <c r="E4577" s="31">
        <v>46235.0</v>
      </c>
      <c r="F4577" s="26" t="s">
        <v>46</v>
      </c>
      <c r="G4577" s="26">
        <v>9.0</v>
      </c>
      <c r="I4577" s="26" t="s">
        <v>872</v>
      </c>
      <c r="J4577" s="25" t="str">
        <f t="shared" si="52"/>
        <v>No</v>
      </c>
      <c r="K4577" s="25" t="str">
        <f t="shared" si="53"/>
        <v/>
      </c>
      <c r="L4577" s="25" t="str">
        <f t="shared" si="54"/>
        <v/>
      </c>
      <c r="M4577" s="25"/>
      <c r="O4577" s="25"/>
    </row>
    <row r="4578" ht="15.75" customHeight="1">
      <c r="A4578" s="25" t="str">
        <f>IFERROR(__xludf.DUMMYFUNCTION("IF(B4578="""","""",RIGHT(REGEXREPLACE(B4578&amp;"""",""[^0-9]"",""""),9))"),"766558578")</f>
        <v>766558578</v>
      </c>
      <c r="B4578" s="52">
        <v>7.66558578E8</v>
      </c>
      <c r="C4578" s="28" t="s">
        <v>4535</v>
      </c>
      <c r="D4578" s="26" t="s">
        <v>45</v>
      </c>
      <c r="E4578" s="31">
        <v>46235.0</v>
      </c>
      <c r="F4578" s="26" t="s">
        <v>41</v>
      </c>
      <c r="G4578" s="26">
        <v>10.0</v>
      </c>
      <c r="I4578" s="26" t="s">
        <v>872</v>
      </c>
      <c r="J4578" s="25" t="str">
        <f t="shared" si="52"/>
        <v>No</v>
      </c>
      <c r="K4578" s="25" t="str">
        <f t="shared" si="53"/>
        <v/>
      </c>
      <c r="L4578" s="25" t="str">
        <f t="shared" si="54"/>
        <v/>
      </c>
      <c r="M4578" s="25"/>
      <c r="O4578" s="25"/>
    </row>
    <row r="4579" ht="15.75" customHeight="1">
      <c r="A4579" s="25" t="str">
        <f>IFERROR(__xludf.DUMMYFUNCTION("IF(B4579="""","""",RIGHT(REGEXREPLACE(B4579&amp;"""",""[^0-9]"",""""),9))"),"776697397")</f>
        <v>776697397</v>
      </c>
      <c r="B4579" s="52">
        <v>7.76697397E8</v>
      </c>
      <c r="C4579" s="28" t="s">
        <v>4535</v>
      </c>
      <c r="D4579" s="26" t="s">
        <v>64</v>
      </c>
      <c r="E4579" s="31">
        <v>46235.0</v>
      </c>
      <c r="F4579" s="26" t="s">
        <v>205</v>
      </c>
      <c r="G4579" s="26">
        <v>10.0</v>
      </c>
      <c r="I4579" s="26" t="s">
        <v>872</v>
      </c>
      <c r="J4579" s="25" t="str">
        <f t="shared" si="52"/>
        <v>No</v>
      </c>
      <c r="K4579" s="25" t="str">
        <f t="shared" si="53"/>
        <v/>
      </c>
      <c r="L4579" s="25" t="str">
        <f t="shared" si="54"/>
        <v/>
      </c>
      <c r="M4579" s="25"/>
      <c r="O4579" s="25"/>
    </row>
    <row r="4580" ht="15.75" customHeight="1">
      <c r="A4580" s="25" t="str">
        <f>IFERROR(__xludf.DUMMYFUNCTION("IF(B4580="""","""",RIGHT(REGEXREPLACE(B4580&amp;"""",""[^0-9]"",""""),9))"),"717647558")</f>
        <v>717647558</v>
      </c>
      <c r="B4580" s="52">
        <v>7.17647558E8</v>
      </c>
      <c r="C4580" s="28" t="s">
        <v>4536</v>
      </c>
      <c r="D4580" s="26" t="s">
        <v>82</v>
      </c>
      <c r="E4580" s="31">
        <v>46235.0</v>
      </c>
      <c r="F4580" s="26" t="s">
        <v>41</v>
      </c>
      <c r="I4580" s="26" t="s">
        <v>872</v>
      </c>
      <c r="J4580" s="25" t="str">
        <f t="shared" si="52"/>
        <v>No</v>
      </c>
      <c r="K4580" s="25" t="str">
        <f t="shared" si="53"/>
        <v/>
      </c>
      <c r="L4580" s="25" t="str">
        <f t="shared" si="54"/>
        <v/>
      </c>
      <c r="M4580" s="25"/>
      <c r="O4580" s="25"/>
    </row>
    <row r="4581" ht="15.75" customHeight="1">
      <c r="A4581" s="25" t="str">
        <f>IFERROR(__xludf.DUMMYFUNCTION("IF(B4581="""","""",RIGHT(REGEXREPLACE(B4581&amp;"""",""[^0-9]"",""""),9))"),"775488417")</f>
        <v>775488417</v>
      </c>
      <c r="B4581" s="52">
        <v>7.75488417E8</v>
      </c>
      <c r="C4581" s="28" t="s">
        <v>4537</v>
      </c>
      <c r="D4581" s="26" t="s">
        <v>64</v>
      </c>
      <c r="E4581" s="31">
        <v>46235.0</v>
      </c>
      <c r="F4581" s="26" t="s">
        <v>46</v>
      </c>
      <c r="G4581" s="26">
        <v>7.0</v>
      </c>
      <c r="H4581" s="26" t="s">
        <v>763</v>
      </c>
      <c r="I4581" s="26" t="s">
        <v>872</v>
      </c>
      <c r="J4581" s="25" t="str">
        <f t="shared" si="52"/>
        <v>No</v>
      </c>
      <c r="K4581" s="25" t="str">
        <f t="shared" si="53"/>
        <v/>
      </c>
      <c r="L4581" s="25" t="str">
        <f t="shared" si="54"/>
        <v/>
      </c>
      <c r="M4581" s="25"/>
      <c r="O4581" s="25"/>
    </row>
    <row r="4582" ht="15.75" customHeight="1">
      <c r="A4582" s="25" t="str">
        <f>IFERROR(__xludf.DUMMYFUNCTION("IF(B4582="""","""",RIGHT(REGEXREPLACE(B4582&amp;"""",""[^0-9]"",""""),9))"),"714994694")</f>
        <v>714994694</v>
      </c>
      <c r="B4582" s="52">
        <v>7.14994694E8</v>
      </c>
      <c r="C4582" s="28" t="s">
        <v>4538</v>
      </c>
      <c r="D4582" s="26" t="s">
        <v>49</v>
      </c>
      <c r="E4582" s="31">
        <v>46235.0</v>
      </c>
      <c r="F4582" s="26" t="s">
        <v>46</v>
      </c>
      <c r="G4582" s="26">
        <v>10.0</v>
      </c>
      <c r="H4582" s="26" t="s">
        <v>4539</v>
      </c>
      <c r="I4582" s="26" t="s">
        <v>872</v>
      </c>
      <c r="J4582" s="25" t="str">
        <f t="shared" si="52"/>
        <v>No</v>
      </c>
      <c r="K4582" s="25" t="str">
        <f t="shared" si="53"/>
        <v/>
      </c>
      <c r="L4582" s="25" t="str">
        <f t="shared" si="54"/>
        <v/>
      </c>
      <c r="M4582" s="25"/>
      <c r="O4582" s="25"/>
    </row>
    <row r="4583" ht="15.75" customHeight="1">
      <c r="A4583" s="25" t="str">
        <f>IFERROR(__xludf.DUMMYFUNCTION("IF(B4583="""","""",RIGHT(REGEXREPLACE(B4583&amp;"""",""[^0-9]"",""""),9))"),"774494388")</f>
        <v>774494388</v>
      </c>
      <c r="B4583" s="52">
        <v>7.74494388E8</v>
      </c>
      <c r="C4583" s="28" t="s">
        <v>4540</v>
      </c>
      <c r="D4583" s="26" t="s">
        <v>45</v>
      </c>
      <c r="E4583" s="31">
        <v>46235.0</v>
      </c>
      <c r="F4583" s="26" t="s">
        <v>46</v>
      </c>
      <c r="G4583" s="26">
        <v>9.0</v>
      </c>
      <c r="I4583" s="26" t="s">
        <v>872</v>
      </c>
      <c r="J4583" s="25" t="str">
        <f t="shared" si="52"/>
        <v>No</v>
      </c>
      <c r="K4583" s="25" t="str">
        <f t="shared" si="53"/>
        <v/>
      </c>
      <c r="L4583" s="25" t="str">
        <f t="shared" si="54"/>
        <v/>
      </c>
      <c r="M4583" s="25"/>
      <c r="O4583" s="25"/>
    </row>
    <row r="4584" ht="15.75" customHeight="1">
      <c r="A4584" s="25" t="str">
        <f>IFERROR(__xludf.DUMMYFUNCTION("IF(B4584="""","""",RIGHT(REGEXREPLACE(B4584&amp;"""",""[^0-9]"",""""),9))"),"714215984")</f>
        <v>714215984</v>
      </c>
      <c r="B4584" s="52">
        <v>7.14215984E8</v>
      </c>
      <c r="C4584" s="28" t="s">
        <v>4541</v>
      </c>
      <c r="D4584" s="26" t="s">
        <v>64</v>
      </c>
      <c r="E4584" s="31">
        <v>46235.0</v>
      </c>
      <c r="F4584" s="26" t="s">
        <v>46</v>
      </c>
      <c r="G4584" s="96">
        <v>46306.0</v>
      </c>
      <c r="I4584" s="26" t="s">
        <v>872</v>
      </c>
      <c r="J4584" s="25" t="str">
        <f t="shared" si="52"/>
        <v>No</v>
      </c>
      <c r="K4584" s="25" t="str">
        <f t="shared" si="53"/>
        <v/>
      </c>
      <c r="L4584" s="25" t="str">
        <f t="shared" si="54"/>
        <v/>
      </c>
      <c r="M4584" s="25"/>
      <c r="O4584" s="25"/>
    </row>
    <row r="4585" ht="15.75" customHeight="1">
      <c r="A4585" s="25" t="str">
        <f>IFERROR(__xludf.DUMMYFUNCTION("IF(B4585="""","""",RIGHT(REGEXREPLACE(B4585&amp;"""",""[^0-9]"",""""),9))"),"743165871")</f>
        <v>743165871</v>
      </c>
      <c r="B4585" s="52">
        <v>7.43165871E8</v>
      </c>
      <c r="C4585" s="28" t="s">
        <v>4542</v>
      </c>
      <c r="D4585" s="26" t="s">
        <v>82</v>
      </c>
      <c r="E4585" s="31">
        <v>46235.0</v>
      </c>
      <c r="F4585" s="26" t="s">
        <v>46</v>
      </c>
      <c r="G4585" s="26">
        <v>6.0</v>
      </c>
      <c r="H4585" s="26" t="s">
        <v>4543</v>
      </c>
      <c r="I4585" s="26" t="s">
        <v>872</v>
      </c>
      <c r="J4585" s="25" t="str">
        <f t="shared" si="52"/>
        <v>No</v>
      </c>
      <c r="K4585" s="25" t="str">
        <f t="shared" si="53"/>
        <v/>
      </c>
      <c r="L4585" s="25" t="str">
        <f t="shared" si="54"/>
        <v/>
      </c>
      <c r="M4585" s="25"/>
      <c r="O4585" s="25"/>
    </row>
    <row r="4586" ht="15.75" customHeight="1">
      <c r="A4586" s="25" t="str">
        <f>IFERROR(__xludf.DUMMYFUNCTION("IF(B4586="""","""",RIGHT(REGEXREPLACE(B4586&amp;"""",""[^0-9]"",""""),9))"),"771337352")</f>
        <v>771337352</v>
      </c>
      <c r="B4586" s="52">
        <v>7.71337352E8</v>
      </c>
      <c r="C4586" s="28" t="s">
        <v>4544</v>
      </c>
      <c r="D4586" s="26" t="s">
        <v>56</v>
      </c>
      <c r="E4586" s="31">
        <v>46235.0</v>
      </c>
      <c r="F4586" s="26" t="s">
        <v>46</v>
      </c>
      <c r="G4586" s="26">
        <v>10.0</v>
      </c>
      <c r="I4586" s="26" t="s">
        <v>872</v>
      </c>
      <c r="J4586" s="25" t="str">
        <f t="shared" si="52"/>
        <v>No</v>
      </c>
      <c r="K4586" s="25" t="str">
        <f t="shared" si="53"/>
        <v/>
      </c>
      <c r="L4586" s="25" t="str">
        <f t="shared" si="54"/>
        <v/>
      </c>
      <c r="M4586" s="25"/>
      <c r="O4586" s="25"/>
    </row>
    <row r="4587" ht="15.75" customHeight="1">
      <c r="A4587" s="25" t="str">
        <f>IFERROR(__xludf.DUMMYFUNCTION("IF(B4587="""","""",RIGHT(REGEXREPLACE(B4587&amp;"""",""[^0-9]"",""""),9))"),"761637660")</f>
        <v>761637660</v>
      </c>
      <c r="B4587" s="52">
        <v>7.6163766E8</v>
      </c>
      <c r="C4587" s="28" t="s">
        <v>4545</v>
      </c>
      <c r="D4587" s="26" t="s">
        <v>45</v>
      </c>
      <c r="E4587" s="31">
        <v>46235.0</v>
      </c>
      <c r="F4587" s="26" t="s">
        <v>46</v>
      </c>
      <c r="G4587" s="26">
        <v>6.0</v>
      </c>
      <c r="I4587" s="26" t="s">
        <v>872</v>
      </c>
      <c r="J4587" s="25" t="str">
        <f t="shared" si="52"/>
        <v>No</v>
      </c>
      <c r="K4587" s="25" t="str">
        <f t="shared" si="53"/>
        <v/>
      </c>
      <c r="L4587" s="25" t="str">
        <f t="shared" si="54"/>
        <v/>
      </c>
      <c r="M4587" s="25"/>
      <c r="O4587" s="26" t="s">
        <v>51</v>
      </c>
    </row>
    <row r="4588" ht="15.75" customHeight="1">
      <c r="A4588" s="25" t="str">
        <f>IFERROR(__xludf.DUMMYFUNCTION("IF(B4588="""","""",RIGHT(REGEXREPLACE(B4588&amp;"""",""[^0-9]"",""""),9))"),"763025965")</f>
        <v>763025965</v>
      </c>
      <c r="B4588" s="52">
        <v>7.63025965E8</v>
      </c>
      <c r="C4588" s="28" t="s">
        <v>4546</v>
      </c>
      <c r="D4588" s="26" t="s">
        <v>82</v>
      </c>
      <c r="E4588" s="31">
        <v>46235.0</v>
      </c>
      <c r="F4588" s="26" t="s">
        <v>704</v>
      </c>
      <c r="G4588" s="26">
        <v>10.0</v>
      </c>
      <c r="H4588" s="26" t="s">
        <v>4547</v>
      </c>
      <c r="I4588" s="26" t="s">
        <v>872</v>
      </c>
      <c r="J4588" s="25" t="str">
        <f t="shared" si="52"/>
        <v>No</v>
      </c>
      <c r="K4588" s="25" t="str">
        <f t="shared" si="53"/>
        <v/>
      </c>
      <c r="L4588" s="25" t="str">
        <f t="shared" si="54"/>
        <v/>
      </c>
      <c r="M4588" s="25"/>
      <c r="O4588" s="25"/>
    </row>
    <row r="4589" ht="15.75" customHeight="1">
      <c r="A4589" s="25" t="str">
        <f>IFERROR(__xludf.DUMMYFUNCTION("IF(B4589="""","""",RIGHT(REGEXREPLACE(B4589&amp;"""",""[^0-9]"",""""),9))"),"715814593")</f>
        <v>715814593</v>
      </c>
      <c r="B4589" s="52">
        <v>7.15814593E8</v>
      </c>
      <c r="C4589" s="28" t="s">
        <v>4548</v>
      </c>
      <c r="D4589" s="26" t="s">
        <v>49</v>
      </c>
      <c r="E4589" s="31">
        <v>46235.0</v>
      </c>
      <c r="F4589" s="26" t="s">
        <v>46</v>
      </c>
      <c r="G4589" s="26">
        <v>10.0</v>
      </c>
      <c r="I4589" s="26" t="s">
        <v>872</v>
      </c>
      <c r="J4589" s="25" t="str">
        <f t="shared" si="52"/>
        <v>No</v>
      </c>
      <c r="K4589" s="25" t="str">
        <f t="shared" si="53"/>
        <v/>
      </c>
      <c r="L4589" s="25" t="str">
        <f t="shared" si="54"/>
        <v/>
      </c>
      <c r="M4589" s="25"/>
      <c r="O4589" s="25"/>
    </row>
    <row r="4590" ht="15.75" customHeight="1">
      <c r="A4590" s="25" t="str">
        <f>IFERROR(__xludf.DUMMYFUNCTION("IF(B4590="""","""",RIGHT(REGEXREPLACE(B4590&amp;"""",""[^0-9]"",""""),9))"),"771259846")</f>
        <v>771259846</v>
      </c>
      <c r="B4590" s="52">
        <v>7.71259846E8</v>
      </c>
      <c r="C4590" s="28" t="s">
        <v>4549</v>
      </c>
      <c r="D4590" s="26" t="s">
        <v>64</v>
      </c>
      <c r="E4590" s="31">
        <v>46235.0</v>
      </c>
      <c r="F4590" s="26" t="s">
        <v>46</v>
      </c>
      <c r="G4590" s="26">
        <v>10.0</v>
      </c>
      <c r="I4590" s="26" t="s">
        <v>872</v>
      </c>
      <c r="J4590" s="25" t="str">
        <f t="shared" si="52"/>
        <v>No</v>
      </c>
      <c r="K4590" s="25" t="str">
        <f t="shared" si="53"/>
        <v/>
      </c>
      <c r="L4590" s="25" t="str">
        <f t="shared" si="54"/>
        <v/>
      </c>
      <c r="M4590" s="25"/>
      <c r="O4590" s="25"/>
    </row>
    <row r="4591" ht="15.75" customHeight="1">
      <c r="A4591" s="25" t="str">
        <f>IFERROR(__xludf.DUMMYFUNCTION("IF(B4591="""","""",RIGHT(REGEXREPLACE(B4591&amp;"""",""[^0-9]"",""""),9))"),"770053142")</f>
        <v>770053142</v>
      </c>
      <c r="B4591" s="52">
        <v>7.70053142E8</v>
      </c>
      <c r="C4591" s="28" t="s">
        <v>4550</v>
      </c>
      <c r="D4591" s="26" t="s">
        <v>56</v>
      </c>
      <c r="E4591" s="31">
        <v>46235.0</v>
      </c>
      <c r="F4591" s="26" t="s">
        <v>41</v>
      </c>
      <c r="G4591" s="26">
        <v>9.0</v>
      </c>
      <c r="I4591" s="26" t="s">
        <v>872</v>
      </c>
      <c r="J4591" s="25" t="str">
        <f t="shared" si="52"/>
        <v>No</v>
      </c>
      <c r="K4591" s="25" t="str">
        <f t="shared" si="53"/>
        <v/>
      </c>
      <c r="L4591" s="25" t="str">
        <f t="shared" si="54"/>
        <v/>
      </c>
      <c r="M4591" s="25"/>
      <c r="O4591" s="25"/>
    </row>
    <row r="4592" ht="15.75" customHeight="1">
      <c r="A4592" s="25" t="str">
        <f>IFERROR(__xludf.DUMMYFUNCTION("IF(B4592="""","""",RIGHT(REGEXREPLACE(B4592&amp;"""",""[^0-9]"",""""),9))"),"719934543")</f>
        <v>719934543</v>
      </c>
      <c r="B4592" s="52">
        <v>7.19934543E8</v>
      </c>
      <c r="C4592" s="28" t="s">
        <v>4551</v>
      </c>
      <c r="D4592" s="26" t="s">
        <v>82</v>
      </c>
      <c r="E4592" s="31">
        <v>46235.0</v>
      </c>
      <c r="F4592" s="26" t="s">
        <v>46</v>
      </c>
      <c r="G4592" s="26">
        <v>10.0</v>
      </c>
      <c r="I4592" s="26" t="s">
        <v>872</v>
      </c>
      <c r="J4592" s="25" t="str">
        <f t="shared" si="52"/>
        <v>No</v>
      </c>
      <c r="K4592" s="25" t="str">
        <f t="shared" si="53"/>
        <v/>
      </c>
      <c r="L4592" s="25" t="str">
        <f t="shared" si="54"/>
        <v/>
      </c>
      <c r="M4592" s="25"/>
      <c r="O4592" s="25"/>
    </row>
    <row r="4593" ht="15.75" customHeight="1">
      <c r="A4593" s="25" t="str">
        <f>IFERROR(__xludf.DUMMYFUNCTION("IF(B4593="""","""",RIGHT(REGEXREPLACE(B4593&amp;"""",""[^0-9]"",""""),9))"),"716207886")</f>
        <v>716207886</v>
      </c>
      <c r="B4593" s="52">
        <v>7.16207886E8</v>
      </c>
      <c r="C4593" s="28" t="s">
        <v>4552</v>
      </c>
      <c r="D4593" s="26" t="s">
        <v>45</v>
      </c>
      <c r="E4593" s="31">
        <v>46235.0</v>
      </c>
      <c r="F4593" s="26" t="s">
        <v>46</v>
      </c>
      <c r="G4593" s="26">
        <v>7.0</v>
      </c>
      <c r="I4593" s="26" t="s">
        <v>872</v>
      </c>
      <c r="J4593" s="25" t="str">
        <f t="shared" si="52"/>
        <v>No</v>
      </c>
      <c r="K4593" s="25" t="str">
        <f t="shared" si="53"/>
        <v/>
      </c>
      <c r="L4593" s="25" t="str">
        <f t="shared" si="54"/>
        <v/>
      </c>
      <c r="M4593" s="25"/>
      <c r="O4593" s="25"/>
    </row>
    <row r="4594" ht="15.75" customHeight="1">
      <c r="A4594" s="25" t="str">
        <f>IFERROR(__xludf.DUMMYFUNCTION("IF(B4594="""","""",RIGHT(REGEXREPLACE(B4594&amp;"""",""[^0-9]"",""""),9))"),"716084076")</f>
        <v>716084076</v>
      </c>
      <c r="B4594" s="52">
        <v>7.16084076E8</v>
      </c>
      <c r="C4594" s="28" t="s">
        <v>4553</v>
      </c>
      <c r="D4594" s="26" t="s">
        <v>64</v>
      </c>
      <c r="E4594" s="31">
        <v>46235.0</v>
      </c>
      <c r="F4594" s="26" t="s">
        <v>46</v>
      </c>
      <c r="G4594" s="26">
        <v>10.0</v>
      </c>
      <c r="I4594" s="26" t="s">
        <v>872</v>
      </c>
      <c r="J4594" s="25" t="str">
        <f t="shared" si="52"/>
        <v>No</v>
      </c>
      <c r="K4594" s="25" t="str">
        <f t="shared" si="53"/>
        <v/>
      </c>
      <c r="L4594" s="25" t="str">
        <f t="shared" si="54"/>
        <v/>
      </c>
      <c r="M4594" s="25"/>
      <c r="O4594" s="25"/>
    </row>
    <row r="4595" ht="15.75" customHeight="1">
      <c r="A4595" s="25" t="str">
        <f>IFERROR(__xludf.DUMMYFUNCTION("IF(B4595="""","""",RIGHT(REGEXREPLACE(B4595&amp;"""",""[^0-9]"",""""),9))"),"702920355")</f>
        <v>702920355</v>
      </c>
      <c r="B4595" s="52">
        <v>7.02920355E8</v>
      </c>
      <c r="C4595" s="28" t="s">
        <v>4554</v>
      </c>
      <c r="D4595" s="26" t="s">
        <v>56</v>
      </c>
      <c r="E4595" s="31">
        <v>46235.0</v>
      </c>
      <c r="F4595" s="26" t="s">
        <v>205</v>
      </c>
      <c r="G4595" s="26">
        <v>10.0</v>
      </c>
      <c r="I4595" s="26" t="s">
        <v>872</v>
      </c>
      <c r="J4595" s="25" t="str">
        <f t="shared" si="52"/>
        <v>No</v>
      </c>
      <c r="K4595" s="25" t="str">
        <f t="shared" si="53"/>
        <v/>
      </c>
      <c r="L4595" s="25" t="str">
        <f t="shared" si="54"/>
        <v/>
      </c>
      <c r="M4595" s="25"/>
      <c r="O4595" s="25"/>
    </row>
    <row r="4596" ht="15.75" customHeight="1">
      <c r="A4596" s="25" t="str">
        <f>IFERROR(__xludf.DUMMYFUNCTION("IF(B4596="""","""",RIGHT(REGEXREPLACE(B4596&amp;"""",""[^0-9]"",""""),9))"),"706555110")</f>
        <v>706555110</v>
      </c>
      <c r="B4596" s="52">
        <v>7.0655511E8</v>
      </c>
      <c r="C4596" s="28" t="s">
        <v>4555</v>
      </c>
      <c r="D4596" s="26" t="s">
        <v>56</v>
      </c>
      <c r="E4596" s="31">
        <v>46235.0</v>
      </c>
      <c r="F4596" s="26" t="s">
        <v>41</v>
      </c>
      <c r="G4596" s="26">
        <v>10.0</v>
      </c>
      <c r="I4596" s="26" t="s">
        <v>872</v>
      </c>
      <c r="J4596" s="25" t="str">
        <f t="shared" si="52"/>
        <v>No</v>
      </c>
      <c r="K4596" s="25" t="str">
        <f t="shared" si="53"/>
        <v/>
      </c>
      <c r="L4596" s="25" t="str">
        <f t="shared" si="54"/>
        <v/>
      </c>
      <c r="M4596" s="25"/>
      <c r="O4596" s="25"/>
    </row>
    <row r="4597" ht="15.75" customHeight="1">
      <c r="A4597" s="25" t="str">
        <f>IFERROR(__xludf.DUMMYFUNCTION("IF(B4597="""","""",RIGHT(REGEXREPLACE(B4597&amp;"""",""[^0-9]"",""""),9))"),"741616919")</f>
        <v>741616919</v>
      </c>
      <c r="B4597" s="52">
        <v>7.41616919E8</v>
      </c>
      <c r="C4597" s="28" t="s">
        <v>4556</v>
      </c>
      <c r="D4597" s="26" t="s">
        <v>49</v>
      </c>
      <c r="E4597" s="31">
        <v>46235.0</v>
      </c>
      <c r="F4597" s="26" t="s">
        <v>41</v>
      </c>
      <c r="I4597" s="26" t="s">
        <v>872</v>
      </c>
      <c r="J4597" s="25" t="str">
        <f t="shared" si="52"/>
        <v>No</v>
      </c>
      <c r="K4597" s="25" t="str">
        <f t="shared" si="53"/>
        <v/>
      </c>
      <c r="L4597" s="25" t="str">
        <f t="shared" si="54"/>
        <v/>
      </c>
      <c r="M4597" s="25"/>
      <c r="O4597" s="25"/>
    </row>
    <row r="4598" ht="15.75" customHeight="1">
      <c r="A4598" s="25" t="str">
        <f>IFERROR(__xludf.DUMMYFUNCTION("IF(B4598="""","""",RIGHT(REGEXREPLACE(B4598&amp;"""",""[^0-9]"",""""),9))"),"763660279")</f>
        <v>763660279</v>
      </c>
      <c r="B4598" s="52">
        <v>7.63660279E8</v>
      </c>
      <c r="C4598" s="28" t="s">
        <v>4557</v>
      </c>
      <c r="D4598" s="26" t="s">
        <v>45</v>
      </c>
      <c r="E4598" s="31">
        <v>46235.0</v>
      </c>
      <c r="F4598" s="26" t="s">
        <v>46</v>
      </c>
      <c r="G4598" s="26">
        <v>10.0</v>
      </c>
      <c r="I4598" s="26" t="s">
        <v>872</v>
      </c>
      <c r="J4598" s="25" t="str">
        <f t="shared" si="52"/>
        <v>No</v>
      </c>
      <c r="K4598" s="25" t="str">
        <f t="shared" si="53"/>
        <v/>
      </c>
      <c r="L4598" s="25" t="str">
        <f t="shared" si="54"/>
        <v/>
      </c>
      <c r="M4598" s="25"/>
      <c r="O4598" s="25"/>
    </row>
    <row r="4599" ht="15.75" customHeight="1">
      <c r="A4599" s="25" t="str">
        <f>IFERROR(__xludf.DUMMYFUNCTION("IF(B4599="""","""",RIGHT(REGEXREPLACE(B4599&amp;"""",""[^0-9]"",""""),9))"),"763525177")</f>
        <v>763525177</v>
      </c>
      <c r="B4599" s="52">
        <v>7.63525177E8</v>
      </c>
      <c r="C4599" s="28" t="s">
        <v>4558</v>
      </c>
      <c r="D4599" s="26" t="s">
        <v>82</v>
      </c>
      <c r="E4599" s="31">
        <v>46235.0</v>
      </c>
      <c r="F4599" s="26" t="s">
        <v>46</v>
      </c>
      <c r="G4599" s="26">
        <v>10.0</v>
      </c>
      <c r="H4599" s="26" t="s">
        <v>4465</v>
      </c>
      <c r="I4599" s="26" t="s">
        <v>872</v>
      </c>
      <c r="J4599" s="25" t="str">
        <f t="shared" si="52"/>
        <v>No</v>
      </c>
      <c r="K4599" s="25" t="str">
        <f t="shared" si="53"/>
        <v/>
      </c>
      <c r="L4599" s="25" t="str">
        <f t="shared" si="54"/>
        <v/>
      </c>
      <c r="M4599" s="25"/>
      <c r="O4599" s="25"/>
    </row>
    <row r="4600" ht="15.75" customHeight="1">
      <c r="A4600" s="25" t="str">
        <f>IFERROR(__xludf.DUMMYFUNCTION("IF(B4600="""","""",RIGHT(REGEXREPLACE(B4600&amp;"""",""[^0-9]"",""""),9))"),"766744145")</f>
        <v>766744145</v>
      </c>
      <c r="B4600" s="52">
        <v>7.66744145E8</v>
      </c>
      <c r="C4600" s="28" t="s">
        <v>4559</v>
      </c>
      <c r="D4600" s="26" t="s">
        <v>64</v>
      </c>
      <c r="E4600" s="31">
        <v>46235.0</v>
      </c>
      <c r="F4600" s="26" t="s">
        <v>46</v>
      </c>
      <c r="G4600" s="26">
        <v>9.0</v>
      </c>
      <c r="I4600" s="26" t="s">
        <v>872</v>
      </c>
      <c r="J4600" s="25" t="str">
        <f t="shared" si="52"/>
        <v>No</v>
      </c>
      <c r="K4600" s="25" t="str">
        <f t="shared" si="53"/>
        <v/>
      </c>
      <c r="L4600" s="25" t="str">
        <f t="shared" si="54"/>
        <v/>
      </c>
      <c r="M4600" s="25"/>
      <c r="O4600" s="26" t="s">
        <v>51</v>
      </c>
    </row>
    <row r="4601" ht="15.75" customHeight="1">
      <c r="A4601" s="25" t="str">
        <f>IFERROR(__xludf.DUMMYFUNCTION("IF(B4601="""","""",RIGHT(REGEXREPLACE(B4601&amp;"""",""[^0-9]"",""""),9))"),"765495789")</f>
        <v>765495789</v>
      </c>
      <c r="B4601" s="52">
        <v>7.65495789E8</v>
      </c>
      <c r="C4601" s="28" t="s">
        <v>4560</v>
      </c>
      <c r="D4601" s="26" t="s">
        <v>82</v>
      </c>
      <c r="E4601" s="31">
        <v>46235.0</v>
      </c>
      <c r="F4601" s="26" t="s">
        <v>125</v>
      </c>
      <c r="H4601" s="26" t="s">
        <v>4561</v>
      </c>
      <c r="I4601" s="26" t="s">
        <v>872</v>
      </c>
      <c r="J4601" s="25" t="str">
        <f t="shared" si="52"/>
        <v>No</v>
      </c>
      <c r="K4601" s="25" t="str">
        <f t="shared" si="53"/>
        <v/>
      </c>
      <c r="L4601" s="25" t="str">
        <f t="shared" si="54"/>
        <v/>
      </c>
      <c r="M4601" s="25"/>
      <c r="O4601" s="25"/>
    </row>
    <row r="4602" ht="15.75" customHeight="1">
      <c r="A4602" s="25" t="str">
        <f>IFERROR(__xludf.DUMMYFUNCTION("IF(B4602="""","""",RIGHT(REGEXREPLACE(B4602&amp;"""",""[^0-9]"",""""),9))"),"764009089")</f>
        <v>764009089</v>
      </c>
      <c r="B4602" s="52">
        <v>7.64009089E8</v>
      </c>
      <c r="C4602" s="28" t="s">
        <v>4562</v>
      </c>
      <c r="D4602" s="26" t="s">
        <v>45</v>
      </c>
      <c r="E4602" s="31">
        <v>46235.0</v>
      </c>
      <c r="F4602" s="26" t="s">
        <v>46</v>
      </c>
      <c r="G4602" s="26">
        <v>10.0</v>
      </c>
      <c r="I4602" s="26" t="s">
        <v>872</v>
      </c>
      <c r="J4602" s="25" t="str">
        <f t="shared" si="52"/>
        <v>No</v>
      </c>
      <c r="K4602" s="25" t="str">
        <f t="shared" si="53"/>
        <v/>
      </c>
      <c r="L4602" s="25" t="str">
        <f t="shared" si="54"/>
        <v/>
      </c>
      <c r="M4602" s="25"/>
      <c r="O4602" s="25"/>
    </row>
    <row r="4603" ht="15.75" customHeight="1">
      <c r="A4603" s="25" t="str">
        <f>IFERROR(__xludf.DUMMYFUNCTION("IF(B4603="""","""",RIGHT(REGEXREPLACE(B4603&amp;"""",""[^0-9]"",""""),9))"),"777535944")</f>
        <v>777535944</v>
      </c>
      <c r="B4603" s="52">
        <v>7.77535944E8</v>
      </c>
      <c r="C4603" s="28" t="s">
        <v>4563</v>
      </c>
      <c r="D4603" s="26" t="s">
        <v>56</v>
      </c>
      <c r="E4603" s="31">
        <v>46235.0</v>
      </c>
      <c r="F4603" s="26" t="s">
        <v>46</v>
      </c>
      <c r="G4603" s="26">
        <v>10.0</v>
      </c>
      <c r="I4603" s="26" t="s">
        <v>872</v>
      </c>
      <c r="J4603" s="25" t="str">
        <f t="shared" si="52"/>
        <v>No</v>
      </c>
      <c r="K4603" s="25" t="str">
        <f t="shared" si="53"/>
        <v/>
      </c>
      <c r="L4603" s="25" t="str">
        <f t="shared" si="54"/>
        <v/>
      </c>
      <c r="M4603" s="25"/>
      <c r="O4603" s="25"/>
    </row>
    <row r="4604" ht="15.75" customHeight="1">
      <c r="A4604" s="25" t="str">
        <f>IFERROR(__xludf.DUMMYFUNCTION("IF(B4604="""","""",RIGHT(REGEXREPLACE(B4604&amp;"""",""[^0-9]"",""""),9))"),"711033373")</f>
        <v>711033373</v>
      </c>
      <c r="B4604" s="52">
        <v>7.11033373E8</v>
      </c>
      <c r="C4604" s="28" t="s">
        <v>4564</v>
      </c>
      <c r="D4604" s="26" t="s">
        <v>49</v>
      </c>
      <c r="E4604" s="31">
        <v>46235.0</v>
      </c>
      <c r="F4604" s="26" t="s">
        <v>46</v>
      </c>
      <c r="G4604" s="26">
        <v>9.0</v>
      </c>
      <c r="H4604" s="26" t="s">
        <v>4565</v>
      </c>
      <c r="I4604" s="26" t="s">
        <v>872</v>
      </c>
      <c r="J4604" s="25" t="str">
        <f t="shared" si="52"/>
        <v>No</v>
      </c>
      <c r="K4604" s="25" t="str">
        <f t="shared" si="53"/>
        <v/>
      </c>
      <c r="L4604" s="25" t="str">
        <f t="shared" si="54"/>
        <v/>
      </c>
      <c r="M4604" s="25"/>
      <c r="O4604" s="25"/>
    </row>
    <row r="4605" ht="15.75" customHeight="1">
      <c r="A4605" s="25" t="str">
        <f>IFERROR(__xludf.DUMMYFUNCTION("IF(B4605="""","""",RIGHT(REGEXREPLACE(B4605&amp;"""",""[^0-9]"",""""),9))"),"702672932")</f>
        <v>702672932</v>
      </c>
      <c r="B4605" s="52">
        <v>7.02672932E8</v>
      </c>
      <c r="C4605" s="28" t="s">
        <v>4566</v>
      </c>
      <c r="D4605" s="26" t="s">
        <v>82</v>
      </c>
      <c r="E4605" s="31">
        <v>46235.0</v>
      </c>
      <c r="F4605" s="26" t="s">
        <v>41</v>
      </c>
      <c r="I4605" s="26" t="s">
        <v>872</v>
      </c>
      <c r="J4605" s="25" t="str">
        <f t="shared" si="52"/>
        <v>No</v>
      </c>
      <c r="K4605" s="25" t="str">
        <f t="shared" si="53"/>
        <v/>
      </c>
      <c r="L4605" s="25" t="str">
        <f t="shared" si="54"/>
        <v/>
      </c>
      <c r="M4605" s="25"/>
      <c r="O4605" s="25"/>
    </row>
    <row r="4606" ht="15.75" customHeight="1">
      <c r="A4606" s="25" t="str">
        <f>IFERROR(__xludf.DUMMYFUNCTION("IF(B4606="""","""",RIGHT(REGEXREPLACE(B4606&amp;"""",""[^0-9]"",""""),9))"),"701836646")</f>
        <v>701836646</v>
      </c>
      <c r="B4606" s="52">
        <v>7.01836646E8</v>
      </c>
      <c r="C4606" s="28" t="s">
        <v>4567</v>
      </c>
      <c r="D4606" s="26" t="s">
        <v>45</v>
      </c>
      <c r="E4606" s="31">
        <v>46235.0</v>
      </c>
      <c r="F4606" s="26" t="s">
        <v>205</v>
      </c>
      <c r="G4606" s="26">
        <v>10.0</v>
      </c>
      <c r="I4606" s="26" t="s">
        <v>872</v>
      </c>
      <c r="J4606" s="25" t="str">
        <f t="shared" si="52"/>
        <v>No</v>
      </c>
      <c r="K4606" s="25" t="str">
        <f t="shared" si="53"/>
        <v/>
      </c>
      <c r="L4606" s="25" t="str">
        <f t="shared" si="54"/>
        <v/>
      </c>
      <c r="M4606" s="25"/>
      <c r="O4606" s="25"/>
    </row>
    <row r="4607" ht="15.75" customHeight="1">
      <c r="A4607" s="25" t="str">
        <f>IFERROR(__xludf.DUMMYFUNCTION("IF(B4607="""","""",RIGHT(REGEXREPLACE(B4607&amp;"""",""[^0-9]"",""""),9))"),"763158248")</f>
        <v>763158248</v>
      </c>
      <c r="B4607" s="52">
        <v>7.63158248E8</v>
      </c>
      <c r="C4607" s="28" t="s">
        <v>4568</v>
      </c>
      <c r="D4607" s="26" t="s">
        <v>56</v>
      </c>
      <c r="E4607" s="31">
        <v>46235.0</v>
      </c>
      <c r="F4607" s="26" t="s">
        <v>41</v>
      </c>
      <c r="G4607" s="26">
        <v>11.0</v>
      </c>
      <c r="I4607" s="26" t="s">
        <v>872</v>
      </c>
      <c r="J4607" s="25" t="str">
        <f t="shared" si="52"/>
        <v>No</v>
      </c>
      <c r="K4607" s="25" t="str">
        <f t="shared" si="53"/>
        <v/>
      </c>
      <c r="L4607" s="25" t="str">
        <f t="shared" si="54"/>
        <v/>
      </c>
      <c r="M4607" s="25"/>
      <c r="O4607" s="25"/>
    </row>
    <row r="4608" ht="15.75" customHeight="1">
      <c r="A4608" s="25" t="str">
        <f>IFERROR(__xludf.DUMMYFUNCTION("IF(B4608="""","""",RIGHT(REGEXREPLACE(B4608&amp;"""",""[^0-9]"",""""),9))"),"766864545")</f>
        <v>766864545</v>
      </c>
      <c r="B4608" s="52">
        <v>7.66864545E8</v>
      </c>
      <c r="C4608" s="28" t="s">
        <v>4569</v>
      </c>
      <c r="D4608" s="26" t="s">
        <v>64</v>
      </c>
      <c r="E4608" s="31">
        <v>46235.0</v>
      </c>
      <c r="F4608" s="26" t="s">
        <v>41</v>
      </c>
      <c r="G4608" s="26">
        <v>10.0</v>
      </c>
      <c r="I4608" s="26" t="s">
        <v>872</v>
      </c>
      <c r="J4608" s="25" t="str">
        <f t="shared" si="52"/>
        <v>No</v>
      </c>
      <c r="K4608" s="25" t="str">
        <f t="shared" si="53"/>
        <v/>
      </c>
      <c r="L4608" s="25" t="str">
        <f t="shared" si="54"/>
        <v/>
      </c>
      <c r="M4608" s="25"/>
      <c r="O4608" s="25"/>
    </row>
    <row r="4609" ht="15.75" customHeight="1">
      <c r="A4609" s="25" t="str">
        <f>IFERROR(__xludf.DUMMYFUNCTION("IF(B4609="""","""",RIGHT(REGEXREPLACE(B4609&amp;"""",""[^0-9]"",""""),9))"),"763701482")</f>
        <v>763701482</v>
      </c>
      <c r="B4609" s="52">
        <v>7.63701482E8</v>
      </c>
      <c r="C4609" s="28" t="s">
        <v>4570</v>
      </c>
      <c r="D4609" s="26" t="s">
        <v>49</v>
      </c>
      <c r="E4609" s="31">
        <v>46235.0</v>
      </c>
      <c r="F4609" s="26" t="s">
        <v>46</v>
      </c>
      <c r="G4609" s="26">
        <v>10.0</v>
      </c>
      <c r="H4609" s="26" t="s">
        <v>4571</v>
      </c>
      <c r="I4609" s="26" t="s">
        <v>872</v>
      </c>
      <c r="J4609" s="25" t="str">
        <f t="shared" si="52"/>
        <v>No</v>
      </c>
      <c r="K4609" s="25" t="str">
        <f t="shared" si="53"/>
        <v/>
      </c>
      <c r="L4609" s="25" t="str">
        <f t="shared" si="54"/>
        <v/>
      </c>
      <c r="M4609" s="25"/>
      <c r="O4609" s="25"/>
    </row>
    <row r="4610" ht="15.75" customHeight="1">
      <c r="A4610" s="25" t="str">
        <f>IFERROR(__xludf.DUMMYFUNCTION("IF(B4610="""","""",RIGHT(REGEXREPLACE(B4610&amp;"""",""[^0-9]"",""""),9))"),"711879696")</f>
        <v>711879696</v>
      </c>
      <c r="B4610" s="52">
        <v>7.11879696E8</v>
      </c>
      <c r="C4610" s="28" t="s">
        <v>4572</v>
      </c>
      <c r="D4610" s="26" t="s">
        <v>45</v>
      </c>
      <c r="E4610" s="31">
        <v>46235.0</v>
      </c>
      <c r="F4610" s="26" t="s">
        <v>46</v>
      </c>
      <c r="H4610" s="26" t="s">
        <v>280</v>
      </c>
      <c r="I4610" s="26" t="s">
        <v>872</v>
      </c>
      <c r="J4610" s="25" t="str">
        <f t="shared" si="52"/>
        <v>No</v>
      </c>
      <c r="K4610" s="25" t="str">
        <f t="shared" si="53"/>
        <v/>
      </c>
      <c r="L4610" s="25" t="str">
        <f t="shared" si="54"/>
        <v/>
      </c>
      <c r="M4610" s="25"/>
      <c r="O4610" s="25"/>
    </row>
    <row r="4611" ht="15.75" customHeight="1">
      <c r="A4611" s="25" t="str">
        <f>IFERROR(__xludf.DUMMYFUNCTION("IF(B4611="""","""",RIGHT(REGEXREPLACE(B4611&amp;"""",""[^0-9]"",""""),9))"),"762188498")</f>
        <v>762188498</v>
      </c>
      <c r="B4611" s="52">
        <v>7.62188498E8</v>
      </c>
      <c r="C4611" s="28" t="s">
        <v>1487</v>
      </c>
      <c r="D4611" s="26" t="s">
        <v>64</v>
      </c>
      <c r="E4611" s="31">
        <v>46235.0</v>
      </c>
      <c r="F4611" s="26" t="s">
        <v>205</v>
      </c>
      <c r="G4611" s="26">
        <v>7.0</v>
      </c>
      <c r="I4611" s="26" t="s">
        <v>872</v>
      </c>
      <c r="J4611" s="25" t="str">
        <f t="shared" si="52"/>
        <v>No</v>
      </c>
      <c r="K4611" s="25" t="str">
        <f t="shared" si="53"/>
        <v/>
      </c>
      <c r="L4611" s="25" t="str">
        <f t="shared" si="54"/>
        <v/>
      </c>
      <c r="M4611" s="25"/>
      <c r="O4611" s="25"/>
    </row>
    <row r="4612" ht="15.75" customHeight="1">
      <c r="A4612" s="25" t="str">
        <f>IFERROR(__xludf.DUMMYFUNCTION("IF(B4612="""","""",RIGHT(REGEXREPLACE(B4612&amp;"""",""[^0-9]"",""""),9))"),"759527905")</f>
        <v>759527905</v>
      </c>
      <c r="B4612" s="52">
        <v>7.59527905E8</v>
      </c>
      <c r="C4612" s="28" t="s">
        <v>4573</v>
      </c>
      <c r="D4612" s="26" t="s">
        <v>45</v>
      </c>
      <c r="E4612" s="31">
        <v>46235.0</v>
      </c>
      <c r="F4612" s="26" t="s">
        <v>46</v>
      </c>
      <c r="G4612" s="26">
        <v>10.0</v>
      </c>
      <c r="H4612" s="26" t="s">
        <v>4574</v>
      </c>
      <c r="I4612" s="26" t="s">
        <v>872</v>
      </c>
      <c r="J4612" s="25" t="str">
        <f t="shared" si="52"/>
        <v>No</v>
      </c>
      <c r="K4612" s="25" t="str">
        <f t="shared" si="53"/>
        <v/>
      </c>
      <c r="L4612" s="25" t="str">
        <f t="shared" si="54"/>
        <v/>
      </c>
      <c r="M4612" s="25"/>
      <c r="O4612" s="25"/>
    </row>
    <row r="4613" ht="15.75" customHeight="1">
      <c r="A4613" s="25" t="str">
        <f>IFERROR(__xludf.DUMMYFUNCTION("IF(B4613="""","""",RIGHT(REGEXREPLACE(B4613&amp;"""",""[^0-9]"",""""),9))"),"741108897")</f>
        <v>741108897</v>
      </c>
      <c r="B4613" s="52">
        <v>7.41108897E8</v>
      </c>
      <c r="C4613" s="28" t="s">
        <v>4575</v>
      </c>
      <c r="D4613" s="26" t="s">
        <v>82</v>
      </c>
      <c r="E4613" s="31">
        <v>46235.0</v>
      </c>
      <c r="F4613" s="26" t="s">
        <v>46</v>
      </c>
      <c r="G4613" s="26">
        <v>10.0</v>
      </c>
      <c r="I4613" s="26" t="s">
        <v>872</v>
      </c>
      <c r="J4613" s="25" t="str">
        <f t="shared" si="52"/>
        <v>No</v>
      </c>
      <c r="K4613" s="25" t="str">
        <f t="shared" si="53"/>
        <v/>
      </c>
      <c r="L4613" s="25" t="str">
        <f t="shared" si="54"/>
        <v/>
      </c>
      <c r="M4613" s="25"/>
      <c r="O4613" s="25"/>
    </row>
    <row r="4614" ht="15.75" customHeight="1">
      <c r="A4614" s="25" t="str">
        <f>IFERROR(__xludf.DUMMYFUNCTION("IF(B4614="""","""",RIGHT(REGEXREPLACE(B4614&amp;"""",""[^0-9]"",""""),9))"),"711456276")</f>
        <v>711456276</v>
      </c>
      <c r="B4614" s="52">
        <v>7.11456276E8</v>
      </c>
      <c r="C4614" s="28" t="s">
        <v>4576</v>
      </c>
      <c r="D4614" s="26" t="s">
        <v>56</v>
      </c>
      <c r="E4614" s="31">
        <v>46235.0</v>
      </c>
      <c r="F4614" s="26" t="s">
        <v>46</v>
      </c>
      <c r="G4614" s="26">
        <v>10.0</v>
      </c>
      <c r="H4614" s="26" t="s">
        <v>4577</v>
      </c>
      <c r="I4614" s="26" t="s">
        <v>872</v>
      </c>
      <c r="J4614" s="25" t="str">
        <f t="shared" si="52"/>
        <v>No</v>
      </c>
      <c r="K4614" s="25" t="str">
        <f t="shared" si="53"/>
        <v/>
      </c>
      <c r="L4614" s="25" t="str">
        <f t="shared" si="54"/>
        <v/>
      </c>
      <c r="M4614" s="25"/>
      <c r="O4614" s="25"/>
    </row>
    <row r="4615" ht="15.75" customHeight="1">
      <c r="A4615" s="25" t="str">
        <f>IFERROR(__xludf.DUMMYFUNCTION("IF(B4615="""","""",RIGHT(REGEXREPLACE(B4615&amp;"""",""[^0-9]"",""""),9))"),"711241031")</f>
        <v>711241031</v>
      </c>
      <c r="B4615" s="52">
        <v>7.11241031E8</v>
      </c>
      <c r="C4615" s="28" t="s">
        <v>4578</v>
      </c>
      <c r="D4615" s="26" t="s">
        <v>64</v>
      </c>
      <c r="E4615" s="31">
        <v>46235.0</v>
      </c>
      <c r="F4615" s="26" t="s">
        <v>46</v>
      </c>
      <c r="G4615" s="26">
        <v>10.0</v>
      </c>
      <c r="I4615" s="26" t="s">
        <v>872</v>
      </c>
      <c r="J4615" s="25" t="str">
        <f t="shared" si="52"/>
        <v>No</v>
      </c>
      <c r="K4615" s="25" t="str">
        <f t="shared" si="53"/>
        <v/>
      </c>
      <c r="L4615" s="25" t="str">
        <f t="shared" si="54"/>
        <v/>
      </c>
      <c r="M4615" s="25"/>
      <c r="O4615" s="25"/>
    </row>
    <row r="4616" ht="15.75" customHeight="1">
      <c r="A4616" s="25" t="str">
        <f>IFERROR(__xludf.DUMMYFUNCTION("IF(B4616="""","""",RIGHT(REGEXREPLACE(B4616&amp;"""",""[^0-9]"",""""),9))"),"714449670")</f>
        <v>714449670</v>
      </c>
      <c r="B4616" s="52">
        <v>7.1444967E8</v>
      </c>
      <c r="C4616" s="28" t="s">
        <v>4579</v>
      </c>
      <c r="D4616" s="26" t="s">
        <v>49</v>
      </c>
      <c r="E4616" s="31">
        <v>46235.0</v>
      </c>
      <c r="F4616" s="26" t="s">
        <v>46</v>
      </c>
      <c r="G4616" s="26">
        <v>9.0</v>
      </c>
      <c r="I4616" s="26" t="s">
        <v>872</v>
      </c>
      <c r="J4616" s="25" t="str">
        <f t="shared" si="52"/>
        <v>No</v>
      </c>
      <c r="K4616" s="25" t="str">
        <f t="shared" si="53"/>
        <v/>
      </c>
      <c r="L4616" s="25" t="str">
        <f t="shared" si="54"/>
        <v/>
      </c>
      <c r="M4616" s="25"/>
      <c r="O4616" s="25"/>
    </row>
    <row r="4617" ht="15.75" customHeight="1">
      <c r="A4617" s="25" t="str">
        <f>IFERROR(__xludf.DUMMYFUNCTION("IF(B4617="""","""",RIGHT(REGEXREPLACE(B4617&amp;"""",""[^0-9]"",""""),9))"),"776336194")</f>
        <v>776336194</v>
      </c>
      <c r="B4617" s="52">
        <v>7.76336194E8</v>
      </c>
      <c r="C4617" s="28" t="s">
        <v>3120</v>
      </c>
      <c r="D4617" s="26" t="s">
        <v>64</v>
      </c>
      <c r="E4617" s="31">
        <v>46235.0</v>
      </c>
      <c r="F4617" s="26" t="s">
        <v>46</v>
      </c>
      <c r="H4617" s="26" t="s">
        <v>4580</v>
      </c>
      <c r="I4617" s="26" t="s">
        <v>872</v>
      </c>
      <c r="J4617" s="25" t="str">
        <f t="shared" si="52"/>
        <v>No</v>
      </c>
      <c r="K4617" s="25" t="str">
        <f t="shared" si="53"/>
        <v/>
      </c>
      <c r="L4617" s="25" t="str">
        <f t="shared" si="54"/>
        <v/>
      </c>
      <c r="M4617" s="25"/>
      <c r="O4617" s="25"/>
    </row>
    <row r="4618" ht="15.75" customHeight="1">
      <c r="A4618" s="25" t="str">
        <f>IFERROR(__xludf.DUMMYFUNCTION("IF(B4618="""","""",RIGHT(REGEXREPLACE(B4618&amp;"""",""[^0-9]"",""""),9))"),"779631814")</f>
        <v>779631814</v>
      </c>
      <c r="B4618" s="52">
        <v>7.79631814E8</v>
      </c>
      <c r="C4618" s="28" t="s">
        <v>4581</v>
      </c>
      <c r="D4618" s="26" t="s">
        <v>56</v>
      </c>
      <c r="E4618" s="31">
        <v>46235.0</v>
      </c>
      <c r="F4618" s="26" t="s">
        <v>46</v>
      </c>
      <c r="G4618" s="26">
        <v>11.0</v>
      </c>
      <c r="I4618" s="26" t="s">
        <v>872</v>
      </c>
      <c r="J4618" s="25" t="str">
        <f t="shared" si="52"/>
        <v>No</v>
      </c>
      <c r="K4618" s="25" t="str">
        <f t="shared" si="53"/>
        <v/>
      </c>
      <c r="L4618" s="25" t="str">
        <f t="shared" si="54"/>
        <v/>
      </c>
      <c r="M4618" s="25"/>
      <c r="O4618" s="25"/>
    </row>
    <row r="4619" ht="15.75" customHeight="1">
      <c r="A4619" s="25" t="str">
        <f>IFERROR(__xludf.DUMMYFUNCTION("IF(B4619="""","""",RIGHT(REGEXREPLACE(B4619&amp;"""",""[^0-9]"",""""),9))"),"766002402")</f>
        <v>766002402</v>
      </c>
      <c r="B4619" s="52">
        <v>7.66002402E8</v>
      </c>
      <c r="C4619" s="28" t="s">
        <v>4582</v>
      </c>
      <c r="D4619" s="26" t="s">
        <v>45</v>
      </c>
      <c r="E4619" s="31">
        <v>46235.0</v>
      </c>
      <c r="F4619" s="26" t="s">
        <v>41</v>
      </c>
      <c r="G4619" s="26">
        <v>10.0</v>
      </c>
      <c r="I4619" s="26" t="s">
        <v>872</v>
      </c>
      <c r="J4619" s="25" t="str">
        <f t="shared" si="52"/>
        <v>No</v>
      </c>
      <c r="K4619" s="25" t="str">
        <f t="shared" si="53"/>
        <v/>
      </c>
      <c r="L4619" s="25" t="str">
        <f t="shared" si="54"/>
        <v/>
      </c>
      <c r="M4619" s="25"/>
      <c r="O4619" s="25"/>
    </row>
    <row r="4620" ht="15.75" customHeight="1">
      <c r="A4620" s="25" t="str">
        <f>IFERROR(__xludf.DUMMYFUNCTION("IF(B4620="""","""",RIGHT(REGEXREPLACE(B4620&amp;"""",""[^0-9]"",""""),9))"),"719607513")</f>
        <v>719607513</v>
      </c>
      <c r="B4620" s="52">
        <v>7.19607513E8</v>
      </c>
      <c r="C4620" s="28" t="s">
        <v>515</v>
      </c>
      <c r="D4620" s="26" t="s">
        <v>56</v>
      </c>
      <c r="E4620" s="31">
        <v>46235.0</v>
      </c>
      <c r="F4620" s="25"/>
      <c r="G4620" s="25"/>
      <c r="H4620" s="25"/>
      <c r="I4620" s="26" t="s">
        <v>872</v>
      </c>
      <c r="J4620" s="25" t="str">
        <f t="shared" si="52"/>
        <v>Yes - see Previous F-Code</v>
      </c>
      <c r="K4620" s="25" t="str">
        <f t="shared" si="53"/>
        <v/>
      </c>
      <c r="L4620" s="25" t="str">
        <f t="shared" si="54"/>
        <v>F70337</v>
      </c>
      <c r="M4620" s="25"/>
      <c r="N4620" s="25"/>
      <c r="O4620" s="25"/>
      <c r="P4620" s="25"/>
    </row>
    <row r="4621" ht="15.75" customHeight="1">
      <c r="A4621" s="25" t="str">
        <f>IFERROR(__xludf.DUMMYFUNCTION("IF(B4621="""","""",RIGHT(REGEXREPLACE(B4621&amp;"""",""[^0-9]"",""""),9))"),"766109522")</f>
        <v>766109522</v>
      </c>
      <c r="B4621" s="52">
        <v>7.66109522E8</v>
      </c>
      <c r="C4621" s="28" t="s">
        <v>4583</v>
      </c>
      <c r="D4621" s="26" t="s">
        <v>49</v>
      </c>
      <c r="E4621" s="31">
        <v>46235.0</v>
      </c>
      <c r="F4621" s="26" t="s">
        <v>46</v>
      </c>
      <c r="G4621" s="26">
        <v>10.0</v>
      </c>
      <c r="I4621" s="26" t="s">
        <v>872</v>
      </c>
      <c r="J4621" s="25" t="str">
        <f t="shared" si="52"/>
        <v>No</v>
      </c>
      <c r="K4621" s="25" t="str">
        <f t="shared" si="53"/>
        <v/>
      </c>
      <c r="L4621" s="25" t="str">
        <f t="shared" si="54"/>
        <v/>
      </c>
      <c r="M4621" s="25"/>
      <c r="O4621" s="25"/>
    </row>
    <row r="4622" ht="15.75" customHeight="1">
      <c r="A4622" s="25" t="str">
        <f>IFERROR(__xludf.DUMMYFUNCTION("IF(B4622="""","""",RIGHT(REGEXREPLACE(B4622&amp;"""",""[^0-9]"",""""),9))"),"770572392")</f>
        <v>770572392</v>
      </c>
      <c r="B4622" s="52">
        <v>7.70572392E8</v>
      </c>
      <c r="C4622" s="28" t="s">
        <v>4582</v>
      </c>
      <c r="D4622" s="26" t="s">
        <v>82</v>
      </c>
      <c r="E4622" s="31">
        <v>46235.0</v>
      </c>
      <c r="F4622" s="26" t="s">
        <v>46</v>
      </c>
      <c r="G4622" s="26">
        <v>10.0</v>
      </c>
      <c r="I4622" s="26" t="s">
        <v>872</v>
      </c>
      <c r="J4622" s="25" t="str">
        <f t="shared" si="52"/>
        <v>No</v>
      </c>
      <c r="K4622" s="25" t="str">
        <f t="shared" si="53"/>
        <v/>
      </c>
      <c r="L4622" s="25" t="str">
        <f t="shared" si="54"/>
        <v/>
      </c>
      <c r="M4622" s="25"/>
      <c r="O4622" s="25"/>
    </row>
    <row r="4623" ht="15.75" customHeight="1">
      <c r="A4623" s="25" t="str">
        <f>IFERROR(__xludf.DUMMYFUNCTION("IF(B4623="""","""",RIGHT(REGEXREPLACE(B4623&amp;"""",""[^0-9]"",""""),9))"),"711130968")</f>
        <v>711130968</v>
      </c>
      <c r="B4623" s="52">
        <v>4.711130968E9</v>
      </c>
      <c r="C4623" s="28" t="s">
        <v>4584</v>
      </c>
      <c r="D4623" s="26" t="s">
        <v>64</v>
      </c>
      <c r="E4623" s="31">
        <v>46235.0</v>
      </c>
      <c r="F4623" s="26" t="s">
        <v>205</v>
      </c>
      <c r="G4623" s="26">
        <v>10.0</v>
      </c>
      <c r="I4623" s="26" t="s">
        <v>872</v>
      </c>
      <c r="J4623" s="25" t="str">
        <f t="shared" si="52"/>
        <v>No</v>
      </c>
      <c r="K4623" s="25" t="str">
        <f t="shared" si="53"/>
        <v/>
      </c>
      <c r="L4623" s="25" t="str">
        <f t="shared" si="54"/>
        <v/>
      </c>
      <c r="M4623" s="25"/>
      <c r="O4623" s="25"/>
    </row>
    <row r="4624" ht="15.75" customHeight="1">
      <c r="A4624" s="25" t="str">
        <f>IFERROR(__xludf.DUMMYFUNCTION("IF(B4624="""","""",RIGHT(REGEXREPLACE(B4624&amp;"""",""[^0-9]"",""""),9))"),"777795032")</f>
        <v>777795032</v>
      </c>
      <c r="B4624" s="52">
        <v>7.77795032E8</v>
      </c>
      <c r="C4624" s="28" t="s">
        <v>4585</v>
      </c>
      <c r="D4624" s="26" t="s">
        <v>64</v>
      </c>
      <c r="E4624" s="31">
        <v>46235.0</v>
      </c>
      <c r="F4624" s="26" t="s">
        <v>46</v>
      </c>
      <c r="G4624" s="26">
        <v>10.0</v>
      </c>
      <c r="I4624" s="26" t="s">
        <v>872</v>
      </c>
      <c r="J4624" s="25" t="str">
        <f t="shared" si="52"/>
        <v>No</v>
      </c>
      <c r="K4624" s="25" t="str">
        <f t="shared" si="53"/>
        <v/>
      </c>
      <c r="L4624" s="25" t="str">
        <f t="shared" si="54"/>
        <v/>
      </c>
      <c r="M4624" s="25"/>
      <c r="O4624" s="25"/>
    </row>
    <row r="4625" ht="15.75" customHeight="1">
      <c r="A4625" s="25" t="str">
        <f>IFERROR(__xludf.DUMMYFUNCTION("IF(B4625="""","""",RIGHT(REGEXREPLACE(B4625&amp;"""",""[^0-9]"",""""),9))"),"720963890")</f>
        <v>720963890</v>
      </c>
      <c r="B4625" s="52">
        <v>7.2096389E8</v>
      </c>
      <c r="C4625" s="28" t="s">
        <v>4586</v>
      </c>
      <c r="D4625" s="26" t="s">
        <v>45</v>
      </c>
      <c r="E4625" s="31">
        <v>46235.0</v>
      </c>
      <c r="F4625" s="26" t="s">
        <v>41</v>
      </c>
      <c r="I4625" s="26" t="s">
        <v>872</v>
      </c>
      <c r="J4625" s="25" t="str">
        <f t="shared" si="52"/>
        <v>No</v>
      </c>
      <c r="K4625" s="25" t="str">
        <f t="shared" si="53"/>
        <v/>
      </c>
      <c r="L4625" s="25" t="str">
        <f t="shared" si="54"/>
        <v/>
      </c>
      <c r="M4625" s="25"/>
      <c r="O4625" s="25"/>
    </row>
    <row r="4626" ht="15.75" customHeight="1">
      <c r="A4626" s="25" t="str">
        <f>IFERROR(__xludf.DUMMYFUNCTION("IF(B4626="""","""",RIGHT(REGEXREPLACE(B4626&amp;"""",""[^0-9]"",""""),9))"),"764265609")</f>
        <v>764265609</v>
      </c>
      <c r="B4626" s="52">
        <v>7.64265609E8</v>
      </c>
      <c r="C4626" s="28" t="s">
        <v>4587</v>
      </c>
      <c r="D4626" s="26" t="s">
        <v>56</v>
      </c>
      <c r="E4626" s="31">
        <v>46235.0</v>
      </c>
      <c r="F4626" s="26" t="s">
        <v>46</v>
      </c>
      <c r="G4626" s="26">
        <v>11.0</v>
      </c>
      <c r="H4626" s="26" t="s">
        <v>94</v>
      </c>
      <c r="I4626" s="26" t="s">
        <v>872</v>
      </c>
      <c r="J4626" s="25" t="str">
        <f t="shared" si="52"/>
        <v>No</v>
      </c>
      <c r="K4626" s="25" t="str">
        <f t="shared" si="53"/>
        <v/>
      </c>
      <c r="L4626" s="25" t="str">
        <f t="shared" si="54"/>
        <v/>
      </c>
      <c r="M4626" s="25"/>
      <c r="O4626" s="25"/>
    </row>
    <row r="4627" ht="15.75" customHeight="1">
      <c r="A4627" s="25" t="str">
        <f>IFERROR(__xludf.DUMMYFUNCTION("IF(B4627="""","""",RIGHT(REGEXREPLACE(B4627&amp;"""",""[^0-9]"",""""),9))"),"767980754")</f>
        <v>767980754</v>
      </c>
      <c r="B4627" s="52">
        <v>7.67980754E8</v>
      </c>
      <c r="C4627" s="28" t="s">
        <v>4588</v>
      </c>
      <c r="D4627" s="26" t="s">
        <v>56</v>
      </c>
      <c r="E4627" s="31">
        <v>46235.0</v>
      </c>
      <c r="F4627" s="26" t="s">
        <v>46</v>
      </c>
      <c r="G4627" s="26">
        <v>10.0</v>
      </c>
      <c r="I4627" s="26" t="s">
        <v>872</v>
      </c>
      <c r="J4627" s="25" t="str">
        <f t="shared" si="52"/>
        <v>No</v>
      </c>
      <c r="K4627" s="25" t="str">
        <f t="shared" si="53"/>
        <v/>
      </c>
      <c r="L4627" s="25" t="str">
        <f t="shared" si="54"/>
        <v/>
      </c>
      <c r="M4627" s="25"/>
      <c r="O4627" s="25"/>
    </row>
    <row r="4628" ht="15.75" customHeight="1">
      <c r="A4628" s="25" t="str">
        <f>IFERROR(__xludf.DUMMYFUNCTION("IF(B4628="""","""",RIGHT(REGEXREPLACE(B4628&amp;"""",""[^0-9]"",""""),9))"),"702658212")</f>
        <v>702658212</v>
      </c>
      <c r="B4628" s="52">
        <v>7.02658212E8</v>
      </c>
      <c r="C4628" s="28" t="s">
        <v>4587</v>
      </c>
      <c r="D4628" s="26" t="s">
        <v>82</v>
      </c>
      <c r="E4628" s="31">
        <v>46235.0</v>
      </c>
      <c r="F4628" s="26" t="s">
        <v>704</v>
      </c>
      <c r="H4628" s="26" t="s">
        <v>4589</v>
      </c>
      <c r="I4628" s="26" t="s">
        <v>872</v>
      </c>
      <c r="J4628" s="25" t="str">
        <f t="shared" si="52"/>
        <v>No</v>
      </c>
      <c r="K4628" s="25" t="str">
        <f t="shared" si="53"/>
        <v/>
      </c>
      <c r="L4628" s="25" t="str">
        <f t="shared" si="54"/>
        <v/>
      </c>
      <c r="M4628" s="25"/>
      <c r="O4628" s="25"/>
    </row>
    <row r="4629" ht="15.75" customHeight="1">
      <c r="A4629" s="25" t="str">
        <f>IFERROR(__xludf.DUMMYFUNCTION("IF(B4629="""","""",RIGHT(REGEXREPLACE(B4629&amp;"""",""[^0-9]"",""""),9))"),"771405397")</f>
        <v>771405397</v>
      </c>
      <c r="B4629" s="52">
        <v>7.71405397E8</v>
      </c>
      <c r="C4629" s="28" t="s">
        <v>4590</v>
      </c>
      <c r="D4629" s="26" t="s">
        <v>64</v>
      </c>
      <c r="E4629" s="31">
        <v>46235.0</v>
      </c>
      <c r="F4629" s="26" t="s">
        <v>46</v>
      </c>
      <c r="G4629" s="26">
        <v>8.0</v>
      </c>
      <c r="H4629" s="26" t="s">
        <v>4591</v>
      </c>
      <c r="I4629" s="26" t="s">
        <v>872</v>
      </c>
      <c r="J4629" s="25" t="str">
        <f t="shared" si="52"/>
        <v>No</v>
      </c>
      <c r="K4629" s="25" t="str">
        <f t="shared" si="53"/>
        <v/>
      </c>
      <c r="L4629" s="25" t="str">
        <f t="shared" si="54"/>
        <v/>
      </c>
      <c r="M4629" s="25"/>
      <c r="O4629" s="25"/>
    </row>
    <row r="4630" ht="15.75" customHeight="1">
      <c r="A4630" s="25" t="str">
        <f>IFERROR(__xludf.DUMMYFUNCTION("IF(B4630="""","""",RIGHT(REGEXREPLACE(B4630&amp;"""",""[^0-9]"",""""),9))"),"766569169")</f>
        <v>766569169</v>
      </c>
      <c r="B4630" s="52">
        <v>7.66569169E8</v>
      </c>
      <c r="C4630" s="28" t="s">
        <v>4592</v>
      </c>
      <c r="D4630" s="26" t="s">
        <v>49</v>
      </c>
      <c r="E4630" s="31">
        <v>46235.0</v>
      </c>
      <c r="F4630" s="26" t="s">
        <v>46</v>
      </c>
      <c r="G4630" s="26">
        <v>10.0</v>
      </c>
      <c r="I4630" s="26" t="s">
        <v>872</v>
      </c>
      <c r="J4630" s="25" t="str">
        <f t="shared" si="52"/>
        <v>No</v>
      </c>
      <c r="K4630" s="25" t="str">
        <f t="shared" si="53"/>
        <v/>
      </c>
      <c r="L4630" s="25" t="str">
        <f t="shared" si="54"/>
        <v/>
      </c>
      <c r="M4630" s="25"/>
      <c r="O4630" s="25"/>
    </row>
    <row r="4631" ht="15.75" customHeight="1">
      <c r="A4631" s="25" t="str">
        <f>IFERROR(__xludf.DUMMYFUNCTION("IF(B4631="""","""",RIGHT(REGEXREPLACE(B4631&amp;"""",""[^0-9]"",""""),9))"),"771926372")</f>
        <v>771926372</v>
      </c>
      <c r="B4631" s="52">
        <v>7.71926372E8</v>
      </c>
      <c r="C4631" s="28" t="s">
        <v>4593</v>
      </c>
      <c r="D4631" s="26" t="s">
        <v>45</v>
      </c>
      <c r="E4631" s="31">
        <v>46235.0</v>
      </c>
      <c r="F4631" s="26" t="s">
        <v>41</v>
      </c>
      <c r="G4631" s="26">
        <v>10.0</v>
      </c>
      <c r="I4631" s="26" t="s">
        <v>872</v>
      </c>
      <c r="J4631" s="25" t="str">
        <f t="shared" si="52"/>
        <v>No</v>
      </c>
      <c r="K4631" s="25" t="str">
        <f t="shared" si="53"/>
        <v/>
      </c>
      <c r="L4631" s="25" t="str">
        <f t="shared" si="54"/>
        <v/>
      </c>
      <c r="M4631" s="25"/>
      <c r="O4631" s="25"/>
    </row>
    <row r="4632" ht="15.75" customHeight="1">
      <c r="A4632" s="25" t="str">
        <f>IFERROR(__xludf.DUMMYFUNCTION("IF(B4632="""","""",RIGHT(REGEXREPLACE(B4632&amp;"""",""[^0-9]"",""""),9))"),"779138542")</f>
        <v>779138542</v>
      </c>
      <c r="B4632" s="52">
        <v>7.79138542E8</v>
      </c>
      <c r="C4632" s="28" t="s">
        <v>4594</v>
      </c>
      <c r="D4632" s="26" t="s">
        <v>82</v>
      </c>
      <c r="E4632" s="31">
        <v>46235.0</v>
      </c>
      <c r="F4632" s="26" t="s">
        <v>46</v>
      </c>
      <c r="G4632" s="26">
        <v>10.0</v>
      </c>
      <c r="I4632" s="26" t="s">
        <v>872</v>
      </c>
      <c r="J4632" s="25" t="str">
        <f t="shared" si="52"/>
        <v>No</v>
      </c>
      <c r="K4632" s="25" t="str">
        <f t="shared" si="53"/>
        <v/>
      </c>
      <c r="L4632" s="25" t="str">
        <f t="shared" si="54"/>
        <v/>
      </c>
      <c r="M4632" s="25"/>
      <c r="O4632" s="25"/>
    </row>
    <row r="4633" ht="15.75" customHeight="1">
      <c r="A4633" s="25" t="str">
        <f>IFERROR(__xludf.DUMMYFUNCTION("IF(B4633="""","""",RIGHT(REGEXREPLACE(B4633&amp;"""",""[^0-9]"",""""),9))"),"787173653")</f>
        <v>787173653</v>
      </c>
      <c r="B4633" s="52">
        <v>7.87173653E8</v>
      </c>
      <c r="C4633" s="28" t="s">
        <v>4595</v>
      </c>
      <c r="D4633" s="26" t="s">
        <v>64</v>
      </c>
      <c r="E4633" s="31">
        <v>46235.0</v>
      </c>
      <c r="F4633" s="26" t="s">
        <v>46</v>
      </c>
      <c r="G4633" s="26">
        <v>10.0</v>
      </c>
      <c r="I4633" s="26" t="s">
        <v>872</v>
      </c>
      <c r="J4633" s="25" t="str">
        <f t="shared" si="52"/>
        <v>No</v>
      </c>
      <c r="K4633" s="25" t="str">
        <f t="shared" si="53"/>
        <v/>
      </c>
      <c r="L4633" s="25" t="str">
        <f t="shared" si="54"/>
        <v/>
      </c>
      <c r="M4633" s="25"/>
      <c r="O4633" s="25"/>
    </row>
    <row r="4634" ht="15.75" customHeight="1">
      <c r="A4634" s="25" t="str">
        <f>IFERROR(__xludf.DUMMYFUNCTION("IF(B4634="""","""",RIGHT(REGEXREPLACE(B4634&amp;"""",""[^0-9]"",""""),9))"),"710165845")</f>
        <v>710165845</v>
      </c>
      <c r="B4634" s="52">
        <v>7.10165845E8</v>
      </c>
      <c r="C4634" s="28" t="s">
        <v>4596</v>
      </c>
      <c r="D4634" s="26" t="s">
        <v>45</v>
      </c>
      <c r="E4634" s="31">
        <v>46235.0</v>
      </c>
      <c r="F4634" s="26" t="s">
        <v>46</v>
      </c>
      <c r="G4634" s="26">
        <v>10.0</v>
      </c>
      <c r="I4634" s="26" t="s">
        <v>872</v>
      </c>
      <c r="J4634" s="25" t="str">
        <f t="shared" si="52"/>
        <v>No</v>
      </c>
      <c r="K4634" s="25" t="str">
        <f t="shared" si="53"/>
        <v/>
      </c>
      <c r="L4634" s="25" t="str">
        <f t="shared" si="54"/>
        <v/>
      </c>
      <c r="M4634" s="25"/>
      <c r="O4634" s="25"/>
    </row>
    <row r="4635" ht="15.75" customHeight="1">
      <c r="A4635" s="25" t="str">
        <f>IFERROR(__xludf.DUMMYFUNCTION("IF(B4635="""","""",RIGHT(REGEXREPLACE(B4635&amp;"""",""[^0-9]"",""""),9))"),"777618541")</f>
        <v>777618541</v>
      </c>
      <c r="B4635" s="52">
        <v>7.77618541E8</v>
      </c>
      <c r="C4635" s="28" t="s">
        <v>4597</v>
      </c>
      <c r="D4635" s="26" t="s">
        <v>64</v>
      </c>
      <c r="E4635" s="31">
        <v>46235.0</v>
      </c>
      <c r="F4635" s="26" t="s">
        <v>46</v>
      </c>
      <c r="I4635" s="26" t="s">
        <v>872</v>
      </c>
      <c r="J4635" s="25" t="str">
        <f t="shared" si="52"/>
        <v>No</v>
      </c>
      <c r="K4635" s="25" t="str">
        <f t="shared" si="53"/>
        <v/>
      </c>
      <c r="L4635" s="25" t="str">
        <f t="shared" si="54"/>
        <v/>
      </c>
      <c r="M4635" s="25"/>
      <c r="O4635" s="25"/>
    </row>
    <row r="4636" ht="15.75" customHeight="1">
      <c r="A4636" s="25" t="str">
        <f>IFERROR(__xludf.DUMMYFUNCTION("IF(B4636="""","""",RIGHT(REGEXREPLACE(B4636&amp;"""",""[^0-9]"",""""),9))"),"718051697")</f>
        <v>718051697</v>
      </c>
      <c r="B4636" s="52">
        <v>7.18051697E8</v>
      </c>
      <c r="C4636" s="28" t="s">
        <v>4598</v>
      </c>
      <c r="D4636" s="26" t="s">
        <v>56</v>
      </c>
      <c r="E4636" s="31">
        <v>46235.0</v>
      </c>
      <c r="F4636" s="26" t="s">
        <v>46</v>
      </c>
      <c r="G4636" s="26">
        <v>10.0</v>
      </c>
      <c r="I4636" s="26" t="s">
        <v>872</v>
      </c>
      <c r="J4636" s="25" t="str">
        <f t="shared" si="52"/>
        <v>No</v>
      </c>
      <c r="K4636" s="25" t="str">
        <f t="shared" si="53"/>
        <v/>
      </c>
      <c r="L4636" s="25" t="str">
        <f t="shared" si="54"/>
        <v/>
      </c>
      <c r="M4636" s="25"/>
      <c r="O4636" s="25"/>
    </row>
    <row r="4637" ht="15.75" customHeight="1">
      <c r="A4637" s="25" t="str">
        <f>IFERROR(__xludf.DUMMYFUNCTION("IF(B4637="""","""",RIGHT(REGEXREPLACE(B4637&amp;"""",""[^0-9]"",""""),9))"),"705040081")</f>
        <v>705040081</v>
      </c>
      <c r="B4637" s="52">
        <v>7.05040081E8</v>
      </c>
      <c r="C4637" s="28" t="s">
        <v>4599</v>
      </c>
      <c r="D4637" s="26" t="s">
        <v>49</v>
      </c>
      <c r="E4637" s="31">
        <v>46235.0</v>
      </c>
      <c r="F4637" s="26" t="s">
        <v>46</v>
      </c>
      <c r="G4637" s="26">
        <v>10.0</v>
      </c>
      <c r="I4637" s="26" t="s">
        <v>872</v>
      </c>
      <c r="J4637" s="25" t="str">
        <f t="shared" si="52"/>
        <v>No</v>
      </c>
      <c r="K4637" s="25" t="str">
        <f t="shared" si="53"/>
        <v/>
      </c>
      <c r="L4637" s="25" t="str">
        <f t="shared" si="54"/>
        <v/>
      </c>
      <c r="M4637" s="25"/>
      <c r="O4637" s="25"/>
    </row>
    <row r="4638" ht="15.75" customHeight="1">
      <c r="A4638" s="25" t="str">
        <f>IFERROR(__xludf.DUMMYFUNCTION("IF(B4638="""","""",RIGHT(REGEXREPLACE(B4638&amp;"""",""[^0-9]"",""""),9))"),"718069588")</f>
        <v>718069588</v>
      </c>
      <c r="B4638" s="52">
        <v>7.18069588E8</v>
      </c>
      <c r="C4638" s="28" t="s">
        <v>4600</v>
      </c>
      <c r="D4638" s="26" t="s">
        <v>45</v>
      </c>
      <c r="E4638" s="31">
        <v>46235.0</v>
      </c>
      <c r="F4638" s="26" t="s">
        <v>46</v>
      </c>
      <c r="G4638" s="26">
        <v>10.0</v>
      </c>
      <c r="I4638" s="26" t="s">
        <v>872</v>
      </c>
      <c r="J4638" s="25" t="str">
        <f t="shared" si="52"/>
        <v>No</v>
      </c>
      <c r="K4638" s="25" t="str">
        <f t="shared" si="53"/>
        <v/>
      </c>
      <c r="L4638" s="25" t="str">
        <f t="shared" si="54"/>
        <v/>
      </c>
      <c r="M4638" s="25"/>
      <c r="O4638" s="25"/>
    </row>
    <row r="4639" ht="15.75" customHeight="1">
      <c r="A4639" s="25" t="str">
        <f>IFERROR(__xludf.DUMMYFUNCTION("IF(B4639="""","""",RIGHT(REGEXREPLACE(B4639&amp;"""",""[^0-9]"",""""),9))"),"777489404")</f>
        <v>777489404</v>
      </c>
      <c r="B4639" s="52">
        <v>7.77489404E8</v>
      </c>
      <c r="C4639" s="28" t="s">
        <v>4601</v>
      </c>
      <c r="D4639" s="26" t="s">
        <v>64</v>
      </c>
      <c r="E4639" s="31">
        <v>46235.0</v>
      </c>
      <c r="F4639" s="26" t="s">
        <v>46</v>
      </c>
      <c r="H4639" s="26" t="s">
        <v>2293</v>
      </c>
      <c r="I4639" s="26" t="s">
        <v>872</v>
      </c>
      <c r="J4639" s="25" t="str">
        <f t="shared" si="52"/>
        <v>No</v>
      </c>
      <c r="K4639" s="25" t="str">
        <f t="shared" si="53"/>
        <v/>
      </c>
      <c r="L4639" s="25" t="str">
        <f t="shared" si="54"/>
        <v/>
      </c>
      <c r="M4639" s="25"/>
      <c r="O4639" s="25"/>
    </row>
    <row r="4640" ht="15.75" customHeight="1">
      <c r="A4640" s="25" t="str">
        <f>IFERROR(__xludf.DUMMYFUNCTION("IF(B4640="""","""",RIGHT(REGEXREPLACE(B4640&amp;"""",""[^0-9]"",""""),9))"),"711583280")</f>
        <v>711583280</v>
      </c>
      <c r="B4640" s="52">
        <v>7.1158328E8</v>
      </c>
      <c r="C4640" s="28" t="s">
        <v>4602</v>
      </c>
      <c r="D4640" s="26" t="s">
        <v>56</v>
      </c>
      <c r="E4640" s="31">
        <v>46235.0</v>
      </c>
      <c r="F4640" s="26" t="s">
        <v>46</v>
      </c>
      <c r="G4640" s="26">
        <v>10.0</v>
      </c>
      <c r="I4640" s="26" t="s">
        <v>872</v>
      </c>
      <c r="J4640" s="25" t="str">
        <f t="shared" si="52"/>
        <v>No</v>
      </c>
      <c r="K4640" s="25" t="str">
        <f t="shared" si="53"/>
        <v/>
      </c>
      <c r="L4640" s="25" t="str">
        <f t="shared" si="54"/>
        <v/>
      </c>
      <c r="M4640" s="25"/>
      <c r="O4640" s="25"/>
    </row>
    <row r="4641" ht="15.75" customHeight="1">
      <c r="A4641" s="25" t="str">
        <f>IFERROR(__xludf.DUMMYFUNCTION("IF(B4641="""","""",RIGHT(REGEXREPLACE(B4641&amp;"""",""[^0-9]"",""""),9))"),"778003916")</f>
        <v>778003916</v>
      </c>
      <c r="B4641" s="52">
        <v>7.78003916E8</v>
      </c>
      <c r="C4641" s="28" t="s">
        <v>4603</v>
      </c>
      <c r="D4641" s="26" t="s">
        <v>49</v>
      </c>
      <c r="E4641" s="31">
        <v>46235.0</v>
      </c>
      <c r="F4641" s="26" t="s">
        <v>46</v>
      </c>
      <c r="G4641" s="26">
        <v>10.0</v>
      </c>
      <c r="I4641" s="26" t="s">
        <v>872</v>
      </c>
      <c r="J4641" s="25" t="str">
        <f t="shared" si="52"/>
        <v>No</v>
      </c>
      <c r="K4641" s="25" t="str">
        <f t="shared" si="53"/>
        <v/>
      </c>
      <c r="L4641" s="25" t="str">
        <f t="shared" si="54"/>
        <v/>
      </c>
      <c r="M4641" s="25"/>
      <c r="O4641" s="25"/>
    </row>
    <row r="4642" ht="15.75" customHeight="1">
      <c r="A4642" s="25" t="str">
        <f>IFERROR(__xludf.DUMMYFUNCTION("IF(B4642="""","""",RIGHT(REGEXREPLACE(B4642&amp;"""",""[^0-9]"",""""),9))"),"774103348")</f>
        <v>774103348</v>
      </c>
      <c r="B4642" s="52">
        <v>7.74103348E8</v>
      </c>
      <c r="C4642" s="28" t="s">
        <v>4604</v>
      </c>
      <c r="D4642" s="26" t="s">
        <v>64</v>
      </c>
      <c r="E4642" s="31">
        <v>46235.0</v>
      </c>
      <c r="F4642" s="26" t="s">
        <v>46</v>
      </c>
      <c r="G4642" s="26">
        <v>8.0</v>
      </c>
      <c r="H4642" s="26" t="s">
        <v>763</v>
      </c>
      <c r="I4642" s="26" t="s">
        <v>872</v>
      </c>
      <c r="J4642" s="25" t="str">
        <f t="shared" si="52"/>
        <v>No</v>
      </c>
      <c r="K4642" s="25" t="str">
        <f t="shared" si="53"/>
        <v/>
      </c>
      <c r="L4642" s="25" t="str">
        <f t="shared" si="54"/>
        <v/>
      </c>
      <c r="M4642" s="25"/>
      <c r="O4642" s="26" t="s">
        <v>51</v>
      </c>
    </row>
    <row r="4643" ht="15.75" customHeight="1">
      <c r="A4643" s="25" t="str">
        <f>IFERROR(__xludf.DUMMYFUNCTION("IF(B4643="""","""",RIGHT(REGEXREPLACE(B4643&amp;"""",""[^0-9]"",""""),9))"),"741066282")</f>
        <v>741066282</v>
      </c>
      <c r="B4643" s="52">
        <v>7.41066282E8</v>
      </c>
      <c r="C4643" s="28" t="s">
        <v>4605</v>
      </c>
      <c r="D4643" s="26" t="s">
        <v>45</v>
      </c>
      <c r="E4643" s="31">
        <v>46235.0</v>
      </c>
      <c r="F4643" s="26" t="s">
        <v>41</v>
      </c>
      <c r="I4643" s="26" t="s">
        <v>872</v>
      </c>
      <c r="J4643" s="25" t="str">
        <f t="shared" si="52"/>
        <v>No</v>
      </c>
      <c r="K4643" s="25" t="str">
        <f t="shared" si="53"/>
        <v/>
      </c>
      <c r="L4643" s="25" t="str">
        <f t="shared" si="54"/>
        <v/>
      </c>
      <c r="M4643" s="25"/>
      <c r="O4643" s="25"/>
    </row>
    <row r="4644" ht="15.75" customHeight="1">
      <c r="A4644" s="25" t="str">
        <f>IFERROR(__xludf.DUMMYFUNCTION("IF(B4644="""","""",RIGHT(REGEXREPLACE(B4644&amp;"""",""[^0-9]"",""""),9))"),"772355120")</f>
        <v>772355120</v>
      </c>
      <c r="B4644" s="52">
        <v>7.7235512E8</v>
      </c>
      <c r="C4644" s="28" t="s">
        <v>4606</v>
      </c>
      <c r="D4644" s="26" t="s">
        <v>64</v>
      </c>
      <c r="E4644" s="31">
        <v>46235.0</v>
      </c>
      <c r="F4644" s="26" t="s">
        <v>46</v>
      </c>
      <c r="G4644" s="26">
        <v>10.0</v>
      </c>
      <c r="H4644" s="26" t="s">
        <v>4607</v>
      </c>
      <c r="I4644" s="26" t="s">
        <v>872</v>
      </c>
      <c r="J4644" s="25" t="str">
        <f t="shared" si="52"/>
        <v>No</v>
      </c>
      <c r="K4644" s="25" t="str">
        <f t="shared" si="53"/>
        <v/>
      </c>
      <c r="L4644" s="25" t="str">
        <f t="shared" si="54"/>
        <v/>
      </c>
      <c r="M4644" s="25"/>
      <c r="O4644" s="25"/>
    </row>
    <row r="4645" ht="15.75" customHeight="1">
      <c r="A4645" s="25" t="str">
        <f>IFERROR(__xludf.DUMMYFUNCTION("IF(B4645="""","""",RIGHT(REGEXREPLACE(B4645&amp;"""",""[^0-9]"",""""),9))"),"760921822")</f>
        <v>760921822</v>
      </c>
      <c r="B4645" s="52">
        <v>7.60921822E8</v>
      </c>
      <c r="C4645" s="28" t="s">
        <v>4608</v>
      </c>
      <c r="D4645" s="26" t="s">
        <v>56</v>
      </c>
      <c r="E4645" s="31">
        <v>46235.0</v>
      </c>
      <c r="F4645" s="26" t="s">
        <v>41</v>
      </c>
      <c r="G4645" s="26">
        <v>7.0</v>
      </c>
      <c r="I4645" s="26" t="s">
        <v>872</v>
      </c>
      <c r="J4645" s="25" t="str">
        <f t="shared" si="52"/>
        <v>No</v>
      </c>
      <c r="K4645" s="25" t="str">
        <f t="shared" si="53"/>
        <v/>
      </c>
      <c r="L4645" s="25" t="str">
        <f t="shared" si="54"/>
        <v/>
      </c>
      <c r="M4645" s="25"/>
      <c r="O4645" s="25"/>
    </row>
    <row r="4646" ht="15.75" customHeight="1">
      <c r="A4646" s="25" t="str">
        <f>IFERROR(__xludf.DUMMYFUNCTION("IF(B4646="""","""",RIGHT(REGEXREPLACE(B4646&amp;"""",""[^0-9]"",""""),9))"),"778840388")</f>
        <v>778840388</v>
      </c>
      <c r="B4646" s="52">
        <v>7.78840388E8</v>
      </c>
      <c r="C4646" s="28" t="s">
        <v>1486</v>
      </c>
      <c r="D4646" s="26" t="s">
        <v>45</v>
      </c>
      <c r="E4646" s="31">
        <v>46235.0</v>
      </c>
      <c r="F4646" s="26" t="s">
        <v>41</v>
      </c>
      <c r="G4646" s="26">
        <v>10.0</v>
      </c>
      <c r="I4646" s="26" t="s">
        <v>872</v>
      </c>
      <c r="J4646" s="25" t="str">
        <f t="shared" si="52"/>
        <v>Yes - see Previous F-Code</v>
      </c>
      <c r="K4646" s="25" t="str">
        <f t="shared" si="53"/>
        <v/>
      </c>
      <c r="L4646" s="25" t="str">
        <f t="shared" si="54"/>
        <v>F71210</v>
      </c>
      <c r="M4646" s="25"/>
      <c r="O4646" s="25"/>
    </row>
    <row r="4647" ht="15.75" customHeight="1">
      <c r="A4647" s="25" t="str">
        <f>IFERROR(__xludf.DUMMYFUNCTION("IF(B4647="""","""",RIGHT(REGEXREPLACE(B4647&amp;"""",""[^0-9]"",""""),9))"),"774311204")</f>
        <v>774311204</v>
      </c>
      <c r="B4647" s="52">
        <v>7.74311204E8</v>
      </c>
      <c r="C4647" s="28" t="s">
        <v>4609</v>
      </c>
      <c r="D4647" s="26" t="s">
        <v>82</v>
      </c>
      <c r="E4647" s="31">
        <v>46235.0</v>
      </c>
      <c r="F4647" s="26" t="s">
        <v>46</v>
      </c>
      <c r="G4647" s="26">
        <v>10.0</v>
      </c>
      <c r="I4647" s="26" t="s">
        <v>872</v>
      </c>
      <c r="J4647" s="25" t="str">
        <f t="shared" si="52"/>
        <v>No</v>
      </c>
      <c r="K4647" s="25" t="str">
        <f t="shared" si="53"/>
        <v/>
      </c>
      <c r="L4647" s="25" t="str">
        <f t="shared" si="54"/>
        <v/>
      </c>
      <c r="M4647" s="25"/>
      <c r="O4647" s="25"/>
    </row>
    <row r="4648" ht="15.75" customHeight="1">
      <c r="A4648" s="25" t="str">
        <f>IFERROR(__xludf.DUMMYFUNCTION("IF(B4648="""","""",RIGHT(REGEXREPLACE(B4648&amp;"""",""[^0-9]"",""""),9))"),"766894167")</f>
        <v>766894167</v>
      </c>
      <c r="B4648" s="52">
        <v>7.66894167E8</v>
      </c>
      <c r="C4648" s="28" t="s">
        <v>2471</v>
      </c>
      <c r="D4648" s="26" t="s">
        <v>56</v>
      </c>
      <c r="E4648" s="31">
        <v>46235.0</v>
      </c>
      <c r="F4648" s="26" t="s">
        <v>46</v>
      </c>
      <c r="G4648" s="26">
        <v>10.0</v>
      </c>
      <c r="I4648" s="26" t="s">
        <v>872</v>
      </c>
      <c r="J4648" s="25" t="str">
        <f t="shared" si="52"/>
        <v>Yes - see Previous F-Code</v>
      </c>
      <c r="K4648" s="25" t="str">
        <f t="shared" si="53"/>
        <v/>
      </c>
      <c r="L4648" s="25" t="str">
        <f t="shared" si="54"/>
        <v>F72163</v>
      </c>
      <c r="M4648" s="25"/>
      <c r="O4648" s="25"/>
    </row>
    <row r="4649" ht="15.75" customHeight="1">
      <c r="A4649" s="25" t="str">
        <f>IFERROR(__xludf.DUMMYFUNCTION("IF(B4649="""","""",RIGHT(REGEXREPLACE(B4649&amp;"""",""[^0-9]"",""""),9))"),"719994573")</f>
        <v>719994573</v>
      </c>
      <c r="B4649" s="52">
        <v>7.19994573E8</v>
      </c>
      <c r="C4649" s="28" t="s">
        <v>4610</v>
      </c>
      <c r="D4649" s="26" t="s">
        <v>64</v>
      </c>
      <c r="E4649" s="31">
        <v>46235.0</v>
      </c>
      <c r="F4649" s="26" t="s">
        <v>41</v>
      </c>
      <c r="I4649" s="26" t="s">
        <v>872</v>
      </c>
      <c r="J4649" s="25" t="str">
        <f t="shared" si="52"/>
        <v>No</v>
      </c>
      <c r="K4649" s="25" t="str">
        <f t="shared" si="53"/>
        <v/>
      </c>
      <c r="L4649" s="25" t="str">
        <f t="shared" si="54"/>
        <v/>
      </c>
      <c r="M4649" s="25"/>
      <c r="O4649" s="25"/>
    </row>
    <row r="4650" ht="15.75" customHeight="1">
      <c r="A4650" s="25" t="str">
        <f>IFERROR(__xludf.DUMMYFUNCTION("IF(B4650="""","""",RIGHT(REGEXREPLACE(B4650&amp;"""",""[^0-9]"",""""),9))"),"719099663")</f>
        <v>719099663</v>
      </c>
      <c r="B4650" s="52">
        <v>7.19099663E8</v>
      </c>
      <c r="C4650" s="28" t="s">
        <v>4610</v>
      </c>
      <c r="D4650" s="26" t="s">
        <v>45</v>
      </c>
      <c r="E4650" s="31">
        <v>46235.0</v>
      </c>
      <c r="F4650" s="26" t="s">
        <v>46</v>
      </c>
      <c r="G4650" s="26">
        <v>11.0</v>
      </c>
      <c r="I4650" s="26" t="s">
        <v>872</v>
      </c>
      <c r="J4650" s="25" t="str">
        <f t="shared" si="52"/>
        <v>No</v>
      </c>
      <c r="K4650" s="25" t="str">
        <f t="shared" si="53"/>
        <v/>
      </c>
      <c r="L4650" s="25" t="str">
        <f t="shared" si="54"/>
        <v/>
      </c>
      <c r="M4650" s="25"/>
      <c r="O4650" s="25"/>
    </row>
    <row r="4651" ht="15.75" customHeight="1">
      <c r="A4651" s="25" t="str">
        <f>IFERROR(__xludf.DUMMYFUNCTION("IF(B4651="""","""",RIGHT(REGEXREPLACE(B4651&amp;"""",""[^0-9]"",""""),9))"),"773670547")</f>
        <v>773670547</v>
      </c>
      <c r="B4651" s="52">
        <v>7.73670547E8</v>
      </c>
      <c r="C4651" s="28" t="s">
        <v>4611</v>
      </c>
      <c r="D4651" s="26" t="s">
        <v>49</v>
      </c>
      <c r="E4651" s="31">
        <v>46235.0</v>
      </c>
      <c r="F4651" s="26" t="s">
        <v>46</v>
      </c>
      <c r="G4651" s="26">
        <v>10.0</v>
      </c>
      <c r="H4651" s="26" t="s">
        <v>4612</v>
      </c>
      <c r="I4651" s="26" t="s">
        <v>872</v>
      </c>
      <c r="J4651" s="25" t="str">
        <f t="shared" si="52"/>
        <v>No</v>
      </c>
      <c r="K4651" s="25" t="str">
        <f t="shared" si="53"/>
        <v/>
      </c>
      <c r="L4651" s="25" t="str">
        <f t="shared" si="54"/>
        <v/>
      </c>
      <c r="M4651" s="25"/>
      <c r="O4651" s="25"/>
    </row>
    <row r="4652" ht="15.75" customHeight="1">
      <c r="A4652" s="25" t="str">
        <f>IFERROR(__xludf.DUMMYFUNCTION("IF(B4652="""","""",RIGHT(REGEXREPLACE(B4652&amp;"""",""[^0-9]"",""""),9))"),"774270331")</f>
        <v>774270331</v>
      </c>
      <c r="B4652" s="52">
        <v>7.74270331E8</v>
      </c>
      <c r="C4652" s="28" t="s">
        <v>1875</v>
      </c>
      <c r="D4652" s="26" t="s">
        <v>56</v>
      </c>
      <c r="E4652" s="31">
        <v>46235.0</v>
      </c>
      <c r="F4652" s="26" t="s">
        <v>41</v>
      </c>
      <c r="G4652" s="26">
        <v>11.0</v>
      </c>
      <c r="I4652" s="26" t="s">
        <v>872</v>
      </c>
      <c r="J4652" s="25" t="str">
        <f t="shared" si="52"/>
        <v>Yes - see Previous F-Code</v>
      </c>
      <c r="K4652" s="25" t="str">
        <f t="shared" si="53"/>
        <v/>
      </c>
      <c r="L4652" s="25" t="str">
        <f t="shared" si="54"/>
        <v>F71581</v>
      </c>
      <c r="M4652" s="25"/>
      <c r="O4652" s="25"/>
    </row>
    <row r="4653" ht="15.75" customHeight="1">
      <c r="A4653" s="25" t="str">
        <f>IFERROR(__xludf.DUMMYFUNCTION("IF(B4653="""","""",RIGHT(REGEXREPLACE(B4653&amp;"""",""[^0-9]"",""""),9))"),"762891834")</f>
        <v>762891834</v>
      </c>
      <c r="B4653" s="52">
        <v>7.62891834E8</v>
      </c>
      <c r="C4653" s="28" t="s">
        <v>4613</v>
      </c>
      <c r="D4653" s="26" t="s">
        <v>64</v>
      </c>
      <c r="E4653" s="31">
        <v>46235.0</v>
      </c>
      <c r="F4653" s="26" t="s">
        <v>46</v>
      </c>
      <c r="H4653" s="26" t="s">
        <v>4614</v>
      </c>
      <c r="I4653" s="26" t="s">
        <v>872</v>
      </c>
      <c r="J4653" s="25" t="str">
        <f t="shared" si="52"/>
        <v>No</v>
      </c>
      <c r="K4653" s="25" t="str">
        <f t="shared" si="53"/>
        <v/>
      </c>
      <c r="L4653" s="25" t="str">
        <f t="shared" si="54"/>
        <v/>
      </c>
      <c r="M4653" s="25"/>
      <c r="O4653" s="25"/>
    </row>
    <row r="4654" ht="15.75" customHeight="1">
      <c r="A4654" s="25" t="str">
        <f>IFERROR(__xludf.DUMMYFUNCTION("IF(B4654="""","""",RIGHT(REGEXREPLACE(B4654&amp;"""",""[^0-9]"",""""),9))"),"784939700")</f>
        <v>784939700</v>
      </c>
      <c r="B4654" s="52">
        <v>7.849397E8</v>
      </c>
      <c r="C4654" s="28" t="s">
        <v>4615</v>
      </c>
      <c r="D4654" s="26" t="s">
        <v>82</v>
      </c>
      <c r="E4654" s="31">
        <v>46235.0</v>
      </c>
      <c r="F4654" s="26" t="s">
        <v>41</v>
      </c>
      <c r="I4654" s="26" t="s">
        <v>872</v>
      </c>
      <c r="J4654" s="25" t="str">
        <f t="shared" si="52"/>
        <v>No</v>
      </c>
      <c r="K4654" s="25" t="str">
        <f t="shared" si="53"/>
        <v/>
      </c>
      <c r="L4654" s="25" t="str">
        <f t="shared" si="54"/>
        <v/>
      </c>
      <c r="M4654" s="25"/>
      <c r="O4654" s="25"/>
    </row>
    <row r="4655" ht="15.75" customHeight="1">
      <c r="A4655" s="25" t="str">
        <f>IFERROR(__xludf.DUMMYFUNCTION("IF(B4655="""","""",RIGHT(REGEXREPLACE(B4655&amp;"""",""[^0-9]"",""""),9))"),"715115884")</f>
        <v>715115884</v>
      </c>
      <c r="B4655" s="52">
        <v>7.15115884E8</v>
      </c>
      <c r="C4655" s="28" t="s">
        <v>4616</v>
      </c>
      <c r="D4655" s="26" t="s">
        <v>56</v>
      </c>
      <c r="E4655" s="31">
        <v>46235.0</v>
      </c>
      <c r="F4655" s="26" t="s">
        <v>631</v>
      </c>
      <c r="G4655" s="26">
        <v>9.0</v>
      </c>
      <c r="I4655" s="26" t="s">
        <v>872</v>
      </c>
      <c r="J4655" s="25" t="str">
        <f t="shared" si="52"/>
        <v>No</v>
      </c>
      <c r="K4655" s="25" t="str">
        <f t="shared" si="53"/>
        <v/>
      </c>
      <c r="L4655" s="25" t="str">
        <f t="shared" si="54"/>
        <v/>
      </c>
      <c r="M4655" s="25"/>
      <c r="O4655" s="26" t="s">
        <v>51</v>
      </c>
    </row>
    <row r="4656" ht="15.75" customHeight="1">
      <c r="A4656" s="25" t="str">
        <f>IFERROR(__xludf.DUMMYFUNCTION("IF(B4656="""","""",RIGHT(REGEXREPLACE(B4656&amp;"""",""[^0-9]"",""""),9))"),"707981115")</f>
        <v>707981115</v>
      </c>
      <c r="B4656" s="52">
        <v>7.07981115E8</v>
      </c>
      <c r="C4656" s="28" t="s">
        <v>4617</v>
      </c>
      <c r="D4656" s="26" t="s">
        <v>64</v>
      </c>
      <c r="E4656" s="31">
        <v>46235.0</v>
      </c>
      <c r="F4656" s="26" t="s">
        <v>205</v>
      </c>
      <c r="I4656" s="26" t="s">
        <v>872</v>
      </c>
      <c r="J4656" s="25" t="str">
        <f t="shared" si="52"/>
        <v>No</v>
      </c>
      <c r="K4656" s="25" t="str">
        <f t="shared" si="53"/>
        <v/>
      </c>
      <c r="L4656" s="25" t="str">
        <f t="shared" si="54"/>
        <v/>
      </c>
      <c r="M4656" s="25"/>
      <c r="O4656" s="25"/>
    </row>
    <row r="4657" ht="15.75" customHeight="1">
      <c r="A4657" s="25" t="str">
        <f>IFERROR(__xludf.DUMMYFUNCTION("IF(B4657="""","""",RIGHT(REGEXREPLACE(B4657&amp;"""",""[^0-9]"",""""),9))"),"776260290")</f>
        <v>776260290</v>
      </c>
      <c r="B4657" s="52">
        <v>7.7626029E8</v>
      </c>
      <c r="C4657" s="28" t="s">
        <v>4618</v>
      </c>
      <c r="D4657" s="26" t="s">
        <v>82</v>
      </c>
      <c r="E4657" s="31">
        <v>46235.0</v>
      </c>
      <c r="F4657" s="26" t="s">
        <v>46</v>
      </c>
      <c r="G4657" s="26">
        <v>11.0</v>
      </c>
      <c r="I4657" s="26" t="s">
        <v>872</v>
      </c>
      <c r="J4657" s="25" t="str">
        <f t="shared" si="52"/>
        <v>No</v>
      </c>
      <c r="K4657" s="25" t="str">
        <f t="shared" si="53"/>
        <v/>
      </c>
      <c r="L4657" s="25" t="str">
        <f t="shared" si="54"/>
        <v/>
      </c>
      <c r="M4657" s="25"/>
      <c r="O4657" s="25"/>
    </row>
    <row r="4658" ht="15.75" customHeight="1">
      <c r="A4658" s="25" t="str">
        <f>IFERROR(__xludf.DUMMYFUNCTION("IF(B4658="""","""",RIGHT(REGEXREPLACE(B4658&amp;"""",""[^0-9]"",""""),9))"),"762386489")</f>
        <v>762386489</v>
      </c>
      <c r="B4658" s="52">
        <v>7.62386489E8</v>
      </c>
      <c r="C4658" s="28" t="s">
        <v>4619</v>
      </c>
      <c r="D4658" s="26" t="s">
        <v>45</v>
      </c>
      <c r="E4658" s="31">
        <v>46235.0</v>
      </c>
      <c r="F4658" s="26" t="s">
        <v>164</v>
      </c>
      <c r="I4658" s="26" t="s">
        <v>872</v>
      </c>
      <c r="J4658" s="25" t="str">
        <f t="shared" si="52"/>
        <v>No</v>
      </c>
      <c r="K4658" s="25" t="str">
        <f t="shared" si="53"/>
        <v/>
      </c>
      <c r="L4658" s="25" t="str">
        <f t="shared" si="54"/>
        <v/>
      </c>
      <c r="M4658" s="25"/>
      <c r="O4658" s="25"/>
    </row>
    <row r="4659" ht="15.75" customHeight="1">
      <c r="A4659" s="25" t="str">
        <f>IFERROR(__xludf.DUMMYFUNCTION("IF(B4659="""","""",RIGHT(REGEXREPLACE(B4659&amp;"""",""[^0-9]"",""""),9))"),"756279232")</f>
        <v>756279232</v>
      </c>
      <c r="B4659" s="52">
        <v>7.56279232E8</v>
      </c>
      <c r="C4659" s="28" t="s">
        <v>4620</v>
      </c>
      <c r="D4659" s="26" t="s">
        <v>64</v>
      </c>
      <c r="E4659" s="31">
        <v>46235.0</v>
      </c>
      <c r="F4659" s="26" t="s">
        <v>41</v>
      </c>
      <c r="I4659" s="26" t="s">
        <v>872</v>
      </c>
      <c r="J4659" s="25" t="str">
        <f t="shared" si="52"/>
        <v>No</v>
      </c>
      <c r="K4659" s="25" t="str">
        <f t="shared" si="53"/>
        <v/>
      </c>
      <c r="L4659" s="25" t="str">
        <f t="shared" si="54"/>
        <v/>
      </c>
      <c r="M4659" s="25"/>
      <c r="O4659" s="25"/>
    </row>
    <row r="4660" ht="15.75" customHeight="1">
      <c r="A4660" s="25" t="str">
        <f>IFERROR(__xludf.DUMMYFUNCTION("IF(B4660="""","""",RIGHT(REGEXREPLACE(B4660&amp;"""",""[^0-9]"",""""),9))"),"764035507")</f>
        <v>764035507</v>
      </c>
      <c r="B4660" s="52">
        <v>7.64035507E8</v>
      </c>
      <c r="C4660" s="28" t="s">
        <v>4621</v>
      </c>
      <c r="D4660" s="26" t="s">
        <v>45</v>
      </c>
      <c r="E4660" s="31">
        <v>46235.0</v>
      </c>
      <c r="F4660" s="26" t="s">
        <v>46</v>
      </c>
      <c r="G4660" s="26">
        <v>9.0</v>
      </c>
      <c r="I4660" s="26" t="s">
        <v>872</v>
      </c>
      <c r="J4660" s="25" t="str">
        <f t="shared" si="52"/>
        <v>No</v>
      </c>
      <c r="K4660" s="25" t="str">
        <f t="shared" si="53"/>
        <v/>
      </c>
      <c r="L4660" s="25" t="str">
        <f t="shared" si="54"/>
        <v/>
      </c>
      <c r="M4660" s="25"/>
      <c r="O4660" s="26" t="s">
        <v>51</v>
      </c>
    </row>
    <row r="4661" ht="15.75" customHeight="1">
      <c r="A4661" s="25" t="str">
        <f>IFERROR(__xludf.DUMMYFUNCTION("IF(B4661="""","""",RIGHT(REGEXREPLACE(B4661&amp;"""",""[^0-9]"",""""),9))"),"766172977")</f>
        <v>766172977</v>
      </c>
      <c r="B4661" s="52">
        <v>7.66172977E8</v>
      </c>
      <c r="C4661" s="28" t="s">
        <v>3973</v>
      </c>
      <c r="D4661" s="26" t="s">
        <v>64</v>
      </c>
      <c r="E4661" s="31">
        <v>46235.0</v>
      </c>
      <c r="F4661" s="26" t="s">
        <v>46</v>
      </c>
      <c r="G4661" s="26">
        <v>6.0</v>
      </c>
      <c r="I4661" s="26" t="s">
        <v>872</v>
      </c>
      <c r="J4661" s="25" t="str">
        <f t="shared" si="52"/>
        <v>Yes - see Previous F-Code</v>
      </c>
      <c r="K4661" s="25" t="str">
        <f t="shared" si="53"/>
        <v/>
      </c>
      <c r="L4661" s="25" t="str">
        <f t="shared" si="54"/>
        <v>F73619</v>
      </c>
      <c r="M4661" s="25"/>
      <c r="O4661" s="25"/>
    </row>
    <row r="4662" ht="15.75" customHeight="1">
      <c r="A4662" s="25" t="str">
        <f>IFERROR(__xludf.DUMMYFUNCTION("IF(B4662="""","""",RIGHT(REGEXREPLACE(B4662&amp;"""",""[^0-9]"",""""),9))"),"711884102")</f>
        <v>711884102</v>
      </c>
      <c r="B4662" s="52">
        <v>7.11884102E8</v>
      </c>
      <c r="C4662" s="28" t="s">
        <v>4622</v>
      </c>
      <c r="D4662" s="26" t="s">
        <v>49</v>
      </c>
      <c r="E4662" s="31">
        <v>46235.0</v>
      </c>
      <c r="F4662" s="26" t="s">
        <v>46</v>
      </c>
      <c r="G4662" s="26">
        <v>11.0</v>
      </c>
      <c r="I4662" s="26" t="s">
        <v>872</v>
      </c>
      <c r="J4662" s="25" t="str">
        <f t="shared" si="52"/>
        <v>No</v>
      </c>
      <c r="K4662" s="25" t="str">
        <f t="shared" si="53"/>
        <v/>
      </c>
      <c r="L4662" s="25" t="str">
        <f t="shared" si="54"/>
        <v/>
      </c>
      <c r="M4662" s="25"/>
      <c r="O4662" s="25"/>
    </row>
    <row r="4663" ht="15.75" customHeight="1">
      <c r="A4663" s="25" t="str">
        <f>IFERROR(__xludf.DUMMYFUNCTION("IF(B4663="""","""",RIGHT(REGEXREPLACE(B4663&amp;"""",""[^0-9]"",""""),9))"),"740423036")</f>
        <v>740423036</v>
      </c>
      <c r="B4663" s="52">
        <v>7.40423036E8</v>
      </c>
      <c r="C4663" s="28" t="s">
        <v>4623</v>
      </c>
      <c r="D4663" s="26" t="s">
        <v>56</v>
      </c>
      <c r="E4663" s="31">
        <v>46235.0</v>
      </c>
      <c r="F4663" s="26" t="s">
        <v>41</v>
      </c>
      <c r="G4663" s="26">
        <v>10.0</v>
      </c>
      <c r="I4663" s="26" t="s">
        <v>872</v>
      </c>
      <c r="J4663" s="25" t="str">
        <f t="shared" si="52"/>
        <v>No</v>
      </c>
      <c r="K4663" s="25" t="str">
        <f t="shared" si="53"/>
        <v/>
      </c>
      <c r="L4663" s="25" t="str">
        <f t="shared" si="54"/>
        <v/>
      </c>
      <c r="M4663" s="25"/>
      <c r="O4663" s="25"/>
    </row>
    <row r="4664" ht="15.75" customHeight="1">
      <c r="A4664" s="25" t="str">
        <f>IFERROR(__xludf.DUMMYFUNCTION("IF(B4664="""","""",RIGHT(REGEXREPLACE(B4664&amp;"""",""[^0-9]"",""""),9))"),"756566433")</f>
        <v>756566433</v>
      </c>
      <c r="B4664" s="52">
        <v>7.56566433E8</v>
      </c>
      <c r="C4664" s="28" t="s">
        <v>4624</v>
      </c>
      <c r="D4664" s="26" t="s">
        <v>82</v>
      </c>
      <c r="E4664" s="31">
        <v>46235.0</v>
      </c>
      <c r="F4664" s="25"/>
      <c r="G4664" s="25"/>
      <c r="H4664" s="25"/>
      <c r="I4664" s="26" t="s">
        <v>872</v>
      </c>
      <c r="J4664" s="25" t="str">
        <f t="shared" si="52"/>
        <v>No</v>
      </c>
      <c r="K4664" s="25" t="str">
        <f t="shared" si="53"/>
        <v/>
      </c>
      <c r="L4664" s="25" t="str">
        <f t="shared" si="54"/>
        <v/>
      </c>
      <c r="M4664" s="25"/>
      <c r="N4664" s="25"/>
      <c r="O4664" s="25"/>
      <c r="P4664" s="25"/>
    </row>
    <row r="4665" ht="15.75" customHeight="1">
      <c r="A4665" s="25" t="str">
        <f>IFERROR(__xludf.DUMMYFUNCTION("IF(B4665="""","""",RIGHT(REGEXREPLACE(B4665&amp;"""",""[^0-9]"",""""),9))"),"769939360")</f>
        <v>769939360</v>
      </c>
      <c r="B4665" s="52">
        <v>7.6993936E8</v>
      </c>
      <c r="C4665" s="28" t="s">
        <v>4625</v>
      </c>
      <c r="D4665" s="26" t="s">
        <v>64</v>
      </c>
      <c r="E4665" s="31">
        <v>46235.0</v>
      </c>
      <c r="F4665" s="26" t="s">
        <v>41</v>
      </c>
      <c r="G4665" s="26">
        <v>10.0</v>
      </c>
      <c r="I4665" s="26" t="s">
        <v>872</v>
      </c>
      <c r="J4665" s="25" t="str">
        <f t="shared" si="52"/>
        <v>No</v>
      </c>
      <c r="K4665" s="25" t="str">
        <f t="shared" si="53"/>
        <v/>
      </c>
      <c r="L4665" s="25" t="str">
        <f t="shared" si="54"/>
        <v/>
      </c>
      <c r="M4665" s="25"/>
      <c r="O4665" s="25"/>
    </row>
    <row r="4666" ht="15.75" customHeight="1">
      <c r="A4666" s="25" t="str">
        <f>IFERROR(__xludf.DUMMYFUNCTION("IF(B4666="""","""",RIGHT(REGEXREPLACE(B4666&amp;"""",""[^0-9]"",""""),9))"),"773924623")</f>
        <v>773924623</v>
      </c>
      <c r="B4666" s="52">
        <v>7.73924623E8</v>
      </c>
      <c r="C4666" s="28" t="s">
        <v>4320</v>
      </c>
      <c r="D4666" s="26" t="s">
        <v>56</v>
      </c>
      <c r="E4666" s="31">
        <v>46235.0</v>
      </c>
      <c r="F4666" s="26" t="s">
        <v>205</v>
      </c>
      <c r="G4666" s="26">
        <v>10.0</v>
      </c>
      <c r="I4666" s="26" t="s">
        <v>872</v>
      </c>
      <c r="J4666" s="25" t="str">
        <f t="shared" si="52"/>
        <v>Yes - see Previous F-Code</v>
      </c>
      <c r="K4666" s="25" t="str">
        <f t="shared" si="53"/>
        <v>DUPLICATE - CHECK</v>
      </c>
      <c r="L4666" s="25" t="str">
        <f t="shared" si="54"/>
        <v>F73947</v>
      </c>
      <c r="M4666" s="25"/>
      <c r="O4666" s="25"/>
    </row>
    <row r="4667" ht="15.75" customHeight="1">
      <c r="A4667" s="25" t="str">
        <f>IFERROR(__xludf.DUMMYFUNCTION("IF(B4667="""","""",RIGHT(REGEXREPLACE(B4667&amp;"""",""[^0-9]"",""""),9))"),"761728449")</f>
        <v>761728449</v>
      </c>
      <c r="B4667" s="52">
        <v>7.61728449E8</v>
      </c>
      <c r="C4667" s="28" t="s">
        <v>4626</v>
      </c>
      <c r="D4667" s="26" t="s">
        <v>45</v>
      </c>
      <c r="E4667" s="31">
        <v>46235.0</v>
      </c>
      <c r="F4667" s="26" t="s">
        <v>41</v>
      </c>
      <c r="I4667" s="26" t="s">
        <v>872</v>
      </c>
      <c r="J4667" s="25" t="str">
        <f t="shared" si="52"/>
        <v>No</v>
      </c>
      <c r="K4667" s="25" t="str">
        <f t="shared" si="53"/>
        <v/>
      </c>
      <c r="L4667" s="25" t="str">
        <f t="shared" si="54"/>
        <v/>
      </c>
      <c r="M4667" s="25"/>
      <c r="O4667" s="25"/>
    </row>
    <row r="4668" ht="15.75" customHeight="1">
      <c r="A4668" s="25" t="str">
        <f>IFERROR(__xludf.DUMMYFUNCTION("IF(B4668="""","""",RIGHT(REGEXREPLACE(B4668&amp;"""",""[^0-9]"",""""),9))"),"719994573")</f>
        <v>719994573</v>
      </c>
      <c r="B4668" s="52">
        <v>7.19994573E8</v>
      </c>
      <c r="C4668" s="28" t="s">
        <v>4610</v>
      </c>
      <c r="D4668" s="26" t="s">
        <v>56</v>
      </c>
      <c r="E4668" s="31">
        <v>46235.0</v>
      </c>
      <c r="F4668" s="25"/>
      <c r="G4668" s="26">
        <v>10.0</v>
      </c>
      <c r="H4668" s="25"/>
      <c r="I4668" s="26" t="s">
        <v>872</v>
      </c>
      <c r="J4668" s="25" t="str">
        <f t="shared" si="52"/>
        <v>Yes - see Previous F-Code</v>
      </c>
      <c r="K4668" s="25" t="str">
        <f t="shared" si="53"/>
        <v>DUPLICATE - CHECK</v>
      </c>
      <c r="L4668" s="25" t="str">
        <f t="shared" si="54"/>
        <v>F74203</v>
      </c>
      <c r="M4668" s="25"/>
      <c r="N4668" s="25"/>
      <c r="O4668" s="25"/>
      <c r="P4668" s="25"/>
    </row>
    <row r="4669" ht="15.75" customHeight="1">
      <c r="A4669" s="25" t="str">
        <f>IFERROR(__xludf.DUMMYFUNCTION("IF(B4669="""","""",RIGHT(REGEXREPLACE(B4669&amp;"""",""[^0-9]"",""""),9))"),"701219367")</f>
        <v>701219367</v>
      </c>
      <c r="B4669" s="52">
        <v>7.01219367E8</v>
      </c>
      <c r="C4669" s="28" t="s">
        <v>4627</v>
      </c>
      <c r="D4669" s="26" t="s">
        <v>64</v>
      </c>
      <c r="E4669" s="31">
        <v>46235.0</v>
      </c>
      <c r="F4669" s="26" t="s">
        <v>205</v>
      </c>
      <c r="G4669" s="26">
        <v>10.0</v>
      </c>
      <c r="I4669" s="26" t="s">
        <v>872</v>
      </c>
      <c r="J4669" s="25" t="str">
        <f t="shared" si="52"/>
        <v>No</v>
      </c>
      <c r="K4669" s="25" t="str">
        <f t="shared" si="53"/>
        <v/>
      </c>
      <c r="L4669" s="25" t="str">
        <f t="shared" si="54"/>
        <v/>
      </c>
      <c r="M4669" s="25"/>
      <c r="O4669" s="25"/>
    </row>
    <row r="4670" ht="15.75" customHeight="1">
      <c r="A4670" s="25" t="str">
        <f>IFERROR(__xludf.DUMMYFUNCTION("IF(B4670="""","""",RIGHT(REGEXREPLACE(B4670&amp;"""",""[^0-9]"",""""),9))"),"775553282")</f>
        <v>775553282</v>
      </c>
      <c r="B4670" s="52">
        <v>7.75553282E8</v>
      </c>
      <c r="C4670" s="28" t="s">
        <v>4628</v>
      </c>
      <c r="D4670" s="26" t="s">
        <v>45</v>
      </c>
      <c r="E4670" s="31">
        <v>46235.0</v>
      </c>
      <c r="F4670" s="26" t="s">
        <v>46</v>
      </c>
      <c r="G4670" s="26">
        <v>10.0</v>
      </c>
      <c r="I4670" s="26" t="s">
        <v>872</v>
      </c>
      <c r="J4670" s="25" t="str">
        <f t="shared" si="52"/>
        <v>No</v>
      </c>
      <c r="K4670" s="25" t="str">
        <f t="shared" si="53"/>
        <v/>
      </c>
      <c r="L4670" s="25" t="str">
        <f t="shared" si="54"/>
        <v/>
      </c>
      <c r="M4670" s="25"/>
      <c r="O4670" s="25"/>
    </row>
    <row r="4671" ht="15.75" customHeight="1">
      <c r="A4671" s="25" t="str">
        <f>IFERROR(__xludf.DUMMYFUNCTION("IF(B4671="""","""",RIGHT(REGEXREPLACE(B4671&amp;"""",""[^0-9]"",""""),9))"),"750696548")</f>
        <v>750696548</v>
      </c>
      <c r="B4671" s="52">
        <v>7.50696548E8</v>
      </c>
      <c r="C4671" s="28" t="s">
        <v>4629</v>
      </c>
      <c r="D4671" s="26" t="s">
        <v>49</v>
      </c>
      <c r="E4671" s="31">
        <v>46235.0</v>
      </c>
      <c r="F4671" s="26" t="s">
        <v>205</v>
      </c>
      <c r="G4671" s="26">
        <v>10.0</v>
      </c>
      <c r="I4671" s="26" t="s">
        <v>872</v>
      </c>
      <c r="J4671" s="25" t="str">
        <f t="shared" si="52"/>
        <v>No</v>
      </c>
      <c r="K4671" s="25" t="str">
        <f t="shared" si="53"/>
        <v/>
      </c>
      <c r="L4671" s="25" t="str">
        <f t="shared" si="54"/>
        <v/>
      </c>
      <c r="M4671" s="25"/>
      <c r="O4671" s="25"/>
    </row>
    <row r="4672" ht="15.75" customHeight="1">
      <c r="A4672" s="25" t="str">
        <f>IFERROR(__xludf.DUMMYFUNCTION("IF(B4672="""","""",RIGHT(REGEXREPLACE(B4672&amp;"""",""[^0-9]"",""""),9))"),"763793837")</f>
        <v>763793837</v>
      </c>
      <c r="B4672" s="52">
        <v>7.63793837E8</v>
      </c>
      <c r="C4672" s="28" t="s">
        <v>4630</v>
      </c>
      <c r="D4672" s="26" t="s">
        <v>56</v>
      </c>
      <c r="E4672" s="31">
        <v>46235.0</v>
      </c>
      <c r="F4672" s="26" t="s">
        <v>631</v>
      </c>
      <c r="G4672" s="26">
        <v>10.0</v>
      </c>
      <c r="I4672" s="26" t="s">
        <v>872</v>
      </c>
      <c r="J4672" s="25" t="str">
        <f t="shared" si="52"/>
        <v>No</v>
      </c>
      <c r="K4672" s="25" t="str">
        <f t="shared" si="53"/>
        <v/>
      </c>
      <c r="L4672" s="25" t="str">
        <f t="shared" si="54"/>
        <v/>
      </c>
      <c r="M4672" s="25"/>
      <c r="O4672" s="25"/>
    </row>
    <row r="4673" ht="15.75" customHeight="1">
      <c r="A4673" s="25" t="str">
        <f>IFERROR(__xludf.DUMMYFUNCTION("IF(B4673="""","""",RIGHT(REGEXREPLACE(B4673&amp;"""",""[^0-9]"",""""),9))"),"765385992")</f>
        <v>765385992</v>
      </c>
      <c r="B4673" s="52">
        <v>7.65385992E8</v>
      </c>
      <c r="C4673" s="28" t="s">
        <v>4631</v>
      </c>
      <c r="D4673" s="26" t="s">
        <v>82</v>
      </c>
      <c r="E4673" s="31">
        <v>46235.0</v>
      </c>
      <c r="F4673" s="26" t="s">
        <v>46</v>
      </c>
      <c r="G4673" s="26">
        <v>11.0</v>
      </c>
      <c r="I4673" s="26" t="s">
        <v>872</v>
      </c>
      <c r="J4673" s="25" t="str">
        <f t="shared" si="52"/>
        <v>No</v>
      </c>
      <c r="K4673" s="25" t="str">
        <f t="shared" si="53"/>
        <v/>
      </c>
      <c r="L4673" s="25" t="str">
        <f t="shared" si="54"/>
        <v/>
      </c>
      <c r="M4673" s="25"/>
      <c r="O4673" s="25"/>
    </row>
    <row r="4674" ht="15.75" customHeight="1">
      <c r="A4674" s="25" t="str">
        <f>IFERROR(__xludf.DUMMYFUNCTION("IF(B4674="""","""",RIGHT(REGEXREPLACE(B4674&amp;"""",""[^0-9]"",""""),9))"),"719674958")</f>
        <v>719674958</v>
      </c>
      <c r="B4674" s="52">
        <v>7.19674958E8</v>
      </c>
      <c r="C4674" s="28" t="s">
        <v>4632</v>
      </c>
      <c r="D4674" s="26" t="s">
        <v>64</v>
      </c>
      <c r="E4674" s="31">
        <v>46235.0</v>
      </c>
      <c r="F4674" s="26" t="s">
        <v>46</v>
      </c>
      <c r="G4674" s="26">
        <v>10.0</v>
      </c>
      <c r="I4674" s="26" t="s">
        <v>872</v>
      </c>
      <c r="J4674" s="25" t="str">
        <f t="shared" si="52"/>
        <v>No</v>
      </c>
      <c r="K4674" s="25" t="str">
        <f t="shared" si="53"/>
        <v/>
      </c>
      <c r="L4674" s="25" t="str">
        <f t="shared" si="54"/>
        <v/>
      </c>
      <c r="M4674" s="25"/>
      <c r="O4674" s="25"/>
    </row>
    <row r="4675" ht="15.75" customHeight="1">
      <c r="A4675" s="25" t="str">
        <f>IFERROR(__xludf.DUMMYFUNCTION("IF(B4675="""","""",RIGHT(REGEXREPLACE(B4675&amp;"""",""[^0-9]"",""""),9))"),"742392169")</f>
        <v>742392169</v>
      </c>
      <c r="B4675" s="52">
        <v>7.42392169E8</v>
      </c>
      <c r="C4675" s="28" t="s">
        <v>4633</v>
      </c>
      <c r="D4675" s="26" t="s">
        <v>56</v>
      </c>
      <c r="E4675" s="31">
        <v>46235.0</v>
      </c>
      <c r="F4675" s="26" t="s">
        <v>631</v>
      </c>
      <c r="G4675" s="26">
        <v>10.0</v>
      </c>
      <c r="I4675" s="26" t="s">
        <v>872</v>
      </c>
      <c r="J4675" s="25" t="str">
        <f t="shared" si="52"/>
        <v>No</v>
      </c>
      <c r="K4675" s="25" t="str">
        <f t="shared" si="53"/>
        <v/>
      </c>
      <c r="L4675" s="25" t="str">
        <f t="shared" si="54"/>
        <v/>
      </c>
      <c r="M4675" s="25"/>
      <c r="O4675" s="25"/>
    </row>
    <row r="4676" ht="15.75" customHeight="1">
      <c r="A4676" s="25" t="str">
        <f>IFERROR(__xludf.DUMMYFUNCTION("IF(B4676="""","""",RIGHT(REGEXREPLACE(B4676&amp;"""",""[^0-9]"",""""),9))"),"767949154")</f>
        <v>767949154</v>
      </c>
      <c r="B4676" s="52">
        <v>7.67949154E8</v>
      </c>
      <c r="C4676" s="28" t="s">
        <v>4634</v>
      </c>
      <c r="D4676" s="26" t="s">
        <v>49</v>
      </c>
      <c r="E4676" s="31">
        <v>46235.0</v>
      </c>
      <c r="F4676" s="26" t="s">
        <v>46</v>
      </c>
      <c r="G4676" s="26">
        <v>7.0</v>
      </c>
      <c r="H4676" s="26" t="s">
        <v>4635</v>
      </c>
      <c r="I4676" s="26" t="s">
        <v>872</v>
      </c>
      <c r="J4676" s="25" t="str">
        <f t="shared" si="52"/>
        <v>No</v>
      </c>
      <c r="K4676" s="25" t="str">
        <f t="shared" si="53"/>
        <v/>
      </c>
      <c r="L4676" s="25" t="str">
        <f t="shared" si="54"/>
        <v/>
      </c>
      <c r="M4676" s="25"/>
      <c r="O4676" s="25"/>
    </row>
    <row r="4677" ht="15.75" customHeight="1">
      <c r="A4677" s="25" t="str">
        <f>IFERROR(__xludf.DUMMYFUNCTION("IF(B4677="""","""",RIGHT(REGEXREPLACE(B4677&amp;"""",""[^0-9]"",""""),9))"),"786526488")</f>
        <v>786526488</v>
      </c>
      <c r="B4677" s="52">
        <v>7.86526488E8</v>
      </c>
      <c r="C4677" s="28" t="s">
        <v>4636</v>
      </c>
      <c r="D4677" s="26" t="s">
        <v>64</v>
      </c>
      <c r="E4677" s="31">
        <v>46235.0</v>
      </c>
      <c r="F4677" s="26" t="s">
        <v>167</v>
      </c>
      <c r="I4677" s="26" t="s">
        <v>872</v>
      </c>
      <c r="J4677" s="25" t="str">
        <f t="shared" si="52"/>
        <v>No</v>
      </c>
      <c r="K4677" s="25" t="str">
        <f t="shared" si="53"/>
        <v/>
      </c>
      <c r="L4677" s="25" t="str">
        <f t="shared" si="54"/>
        <v/>
      </c>
      <c r="M4677" s="25"/>
      <c r="O4677" s="25"/>
    </row>
    <row r="4678" ht="15.75" customHeight="1">
      <c r="A4678" s="25" t="str">
        <f>IFERROR(__xludf.DUMMYFUNCTION("IF(B4678="""","""",RIGHT(REGEXREPLACE(B4678&amp;"""",""[^0-9]"",""""),9))"),"767504820")</f>
        <v>767504820</v>
      </c>
      <c r="B4678" s="52">
        <v>7.6750482E8</v>
      </c>
      <c r="C4678" s="28" t="s">
        <v>4637</v>
      </c>
      <c r="D4678" s="26" t="s">
        <v>56</v>
      </c>
      <c r="E4678" s="31">
        <v>46235.0</v>
      </c>
      <c r="F4678" s="26" t="s">
        <v>205</v>
      </c>
      <c r="G4678" s="26">
        <v>10.0</v>
      </c>
      <c r="I4678" s="26" t="s">
        <v>872</v>
      </c>
      <c r="J4678" s="25" t="str">
        <f t="shared" si="52"/>
        <v>No</v>
      </c>
      <c r="K4678" s="25" t="str">
        <f t="shared" si="53"/>
        <v/>
      </c>
      <c r="L4678" s="25" t="str">
        <f t="shared" si="54"/>
        <v/>
      </c>
      <c r="M4678" s="25"/>
      <c r="O4678" s="25"/>
    </row>
    <row r="4679" ht="15.75" customHeight="1">
      <c r="A4679" s="25" t="str">
        <f>IFERROR(__xludf.DUMMYFUNCTION("IF(B4679="""","""",RIGHT(REGEXREPLACE(B4679&amp;"""",""[^0-9]"",""""),9))"),"778337703")</f>
        <v>778337703</v>
      </c>
      <c r="B4679" s="52">
        <v>7.78337703E8</v>
      </c>
      <c r="C4679" s="28" t="s">
        <v>3909</v>
      </c>
      <c r="D4679" s="26" t="s">
        <v>82</v>
      </c>
      <c r="E4679" s="31">
        <v>46235.0</v>
      </c>
      <c r="F4679" s="26" t="s">
        <v>41</v>
      </c>
      <c r="G4679" s="26">
        <v>11.0</v>
      </c>
      <c r="I4679" s="26" t="s">
        <v>872</v>
      </c>
      <c r="J4679" s="25" t="str">
        <f t="shared" si="52"/>
        <v>Yes - see Previous F-Code</v>
      </c>
      <c r="K4679" s="25" t="str">
        <f t="shared" si="53"/>
        <v/>
      </c>
      <c r="L4679" s="25" t="str">
        <f t="shared" si="54"/>
        <v>F73557</v>
      </c>
      <c r="M4679" s="25"/>
      <c r="O4679" s="25"/>
    </row>
    <row r="4680" ht="15.75" customHeight="1">
      <c r="A4680" s="25" t="str">
        <f>IFERROR(__xludf.DUMMYFUNCTION("IF(B4680="""","""",RIGHT(REGEXREPLACE(B4680&amp;"""",""[^0-9]"",""""),9))"),"754624253")</f>
        <v>754624253</v>
      </c>
      <c r="B4680" s="52">
        <v>7.54624253E8</v>
      </c>
      <c r="C4680" s="28" t="s">
        <v>4527</v>
      </c>
      <c r="D4680" s="26" t="s">
        <v>56</v>
      </c>
      <c r="E4680" s="31">
        <v>46235.0</v>
      </c>
      <c r="F4680" s="26" t="s">
        <v>46</v>
      </c>
      <c r="H4680" s="26" t="s">
        <v>140</v>
      </c>
      <c r="I4680" s="26" t="s">
        <v>872</v>
      </c>
      <c r="J4680" s="25" t="str">
        <f t="shared" si="52"/>
        <v>Yes - see Previous F-Code</v>
      </c>
      <c r="K4680" s="25" t="str">
        <f t="shared" si="53"/>
        <v>DUPLICATE - CHECK</v>
      </c>
      <c r="L4680" s="25" t="str">
        <f t="shared" si="54"/>
        <v>F74133</v>
      </c>
      <c r="M4680" s="25"/>
      <c r="O4680" s="25"/>
    </row>
    <row r="4681" ht="15.75" customHeight="1">
      <c r="A4681" s="25" t="str">
        <f>IFERROR(__xludf.DUMMYFUNCTION("IF(B4681="""","""",RIGHT(REGEXREPLACE(B4681&amp;"""",""[^0-9]"",""""),9))"),"774024138")</f>
        <v>774024138</v>
      </c>
      <c r="B4681" s="52">
        <v>7.74024138E8</v>
      </c>
      <c r="C4681" s="28" t="s">
        <v>4638</v>
      </c>
      <c r="D4681" s="26" t="s">
        <v>64</v>
      </c>
      <c r="E4681" s="31">
        <v>46236.0</v>
      </c>
      <c r="F4681" s="26" t="s">
        <v>46</v>
      </c>
      <c r="H4681" s="26" t="s">
        <v>140</v>
      </c>
      <c r="I4681" s="26" t="s">
        <v>872</v>
      </c>
      <c r="J4681" s="25" t="str">
        <f t="shared" si="52"/>
        <v>No</v>
      </c>
      <c r="K4681" s="25" t="str">
        <f t="shared" si="53"/>
        <v/>
      </c>
      <c r="L4681" s="25" t="str">
        <f t="shared" si="54"/>
        <v/>
      </c>
      <c r="M4681" s="25"/>
      <c r="O4681" s="25"/>
    </row>
    <row r="4682" ht="15.75" customHeight="1">
      <c r="C4682" s="46"/>
      <c r="D4682" s="25"/>
      <c r="F4682" s="25"/>
      <c r="I4682" s="26" t="s">
        <v>872</v>
      </c>
      <c r="M4682" s="25"/>
      <c r="O4682" s="25"/>
    </row>
    <row r="4683" ht="15.75" customHeight="1">
      <c r="A4683" s="25" t="str">
        <f>IFERROR(__xludf.DUMMYFUNCTION("IF(B4683="""","""",RIGHT(REGEXREPLACE(B4683&amp;"""",""[^0-9]"",""""),9))"),"719934543")</f>
        <v>719934543</v>
      </c>
      <c r="B4683" s="52">
        <v>7.19934543E8</v>
      </c>
      <c r="C4683" s="28" t="s">
        <v>4551</v>
      </c>
      <c r="D4683" s="26" t="s">
        <v>56</v>
      </c>
      <c r="E4683" s="31">
        <v>46236.0</v>
      </c>
      <c r="F4683" s="26" t="s">
        <v>46</v>
      </c>
      <c r="G4683" s="26">
        <v>10.0</v>
      </c>
      <c r="I4683" s="26" t="s">
        <v>863</v>
      </c>
      <c r="J4683" s="25" t="str">
        <f t="shared" ref="J4683:J4887" si="55">IF(COUNTIF($A$2:A4682,A4683)&gt;0,"Yes - see Previous F-Code","No")</f>
        <v>Yes - see Previous F-Code</v>
      </c>
      <c r="K4683" s="25" t="str">
        <f t="shared" ref="K4683:K4887" si="56">IF(COUNTIFS($A$2:A4683,A4683,$I$2:I4683,I4683)&gt;1,"DUPLICATE - CHECK","")</f>
        <v/>
      </c>
      <c r="L4683" s="25" t="str">
        <f t="shared" ref="L4683:L4887" si="57">IF(COUNTIF($A$2:A4682,A4683)&gt;0,INDEX($C$2:C4682,MATCH(A4683,$A$2:A4682,0)),"")</f>
        <v>F74153</v>
      </c>
      <c r="M4683" s="25"/>
      <c r="O4683" s="25"/>
    </row>
    <row r="4684" ht="15.75" customHeight="1">
      <c r="A4684" s="25" t="str">
        <f>IFERROR(__xludf.DUMMYFUNCTION("IF(B4684="""","""",RIGHT(REGEXREPLACE(B4684&amp;"""",""[^0-9]"",""""),9))"),"717383926")</f>
        <v>717383926</v>
      </c>
      <c r="B4684" s="52">
        <v>7.17383926E8</v>
      </c>
      <c r="C4684" s="28" t="s">
        <v>662</v>
      </c>
      <c r="D4684" s="26" t="s">
        <v>56</v>
      </c>
      <c r="E4684" s="31">
        <v>46236.0</v>
      </c>
      <c r="F4684" s="26" t="s">
        <v>41</v>
      </c>
      <c r="G4684" s="26">
        <v>11.0</v>
      </c>
      <c r="I4684" s="26" t="s">
        <v>863</v>
      </c>
      <c r="J4684" s="25" t="str">
        <f t="shared" si="55"/>
        <v>Yes - see Previous F-Code</v>
      </c>
      <c r="K4684" s="25" t="str">
        <f t="shared" si="56"/>
        <v/>
      </c>
      <c r="L4684" s="25" t="str">
        <f t="shared" si="57"/>
        <v>F70457</v>
      </c>
      <c r="M4684" s="25"/>
      <c r="O4684" s="25"/>
    </row>
    <row r="4685" ht="15.75" customHeight="1">
      <c r="A4685" s="25" t="str">
        <f>IFERROR(__xludf.DUMMYFUNCTION("IF(B4685="""","""",RIGHT(REGEXREPLACE(B4685&amp;"""",""[^0-9]"",""""),9))"),"769745025")</f>
        <v>769745025</v>
      </c>
      <c r="B4685" s="52">
        <v>7.69745025E8</v>
      </c>
      <c r="C4685" s="28" t="s">
        <v>4639</v>
      </c>
      <c r="D4685" s="26" t="s">
        <v>49</v>
      </c>
      <c r="E4685" s="31">
        <v>46236.0</v>
      </c>
      <c r="F4685" s="26" t="s">
        <v>41</v>
      </c>
      <c r="G4685" s="26">
        <v>10.0</v>
      </c>
      <c r="I4685" s="26" t="s">
        <v>863</v>
      </c>
      <c r="J4685" s="25" t="str">
        <f t="shared" si="55"/>
        <v>No</v>
      </c>
      <c r="K4685" s="25" t="str">
        <f t="shared" si="56"/>
        <v/>
      </c>
      <c r="L4685" s="25" t="str">
        <f t="shared" si="57"/>
        <v/>
      </c>
      <c r="M4685" s="25"/>
      <c r="O4685" s="25"/>
    </row>
    <row r="4686" ht="15.75" customHeight="1">
      <c r="A4686" s="25" t="str">
        <f>IFERROR(__xludf.DUMMYFUNCTION("IF(B4686="""","""",RIGHT(REGEXREPLACE(B4686&amp;"""",""[^0-9]"",""""),9))"),"742525426")</f>
        <v>742525426</v>
      </c>
      <c r="B4686" s="52">
        <v>7.42525426E8</v>
      </c>
      <c r="C4686" s="28" t="s">
        <v>1959</v>
      </c>
      <c r="D4686" s="26" t="s">
        <v>64</v>
      </c>
      <c r="E4686" s="31">
        <v>46236.0</v>
      </c>
      <c r="F4686" s="26" t="s">
        <v>46</v>
      </c>
      <c r="G4686" s="26">
        <v>11.0</v>
      </c>
      <c r="H4686" s="26" t="s">
        <v>4640</v>
      </c>
      <c r="I4686" s="26" t="s">
        <v>863</v>
      </c>
      <c r="J4686" s="25" t="str">
        <f t="shared" si="55"/>
        <v>Yes - see Previous F-Code</v>
      </c>
      <c r="K4686" s="25" t="str">
        <f t="shared" si="56"/>
        <v/>
      </c>
      <c r="L4686" s="25" t="str">
        <f t="shared" si="57"/>
        <v>F71665</v>
      </c>
      <c r="M4686" s="25"/>
      <c r="O4686" s="25"/>
    </row>
    <row r="4687" ht="15.75" customHeight="1">
      <c r="A4687" s="25" t="str">
        <f>IFERROR(__xludf.DUMMYFUNCTION("IF(B4687="""","""",RIGHT(REGEXREPLACE(B4687&amp;"""",""[^0-9]"",""""),9))"),"783627588")</f>
        <v>783627588</v>
      </c>
      <c r="B4687" s="52">
        <v>7.83627588E8</v>
      </c>
      <c r="C4687" s="28" t="s">
        <v>4641</v>
      </c>
      <c r="D4687" s="26" t="s">
        <v>56</v>
      </c>
      <c r="E4687" s="31">
        <v>46236.0</v>
      </c>
      <c r="F4687" s="26" t="s">
        <v>631</v>
      </c>
      <c r="G4687" s="26">
        <v>9.0</v>
      </c>
      <c r="I4687" s="26" t="s">
        <v>863</v>
      </c>
      <c r="J4687" s="25" t="str">
        <f t="shared" si="55"/>
        <v>No</v>
      </c>
      <c r="K4687" s="25" t="str">
        <f t="shared" si="56"/>
        <v/>
      </c>
      <c r="L4687" s="25" t="str">
        <f t="shared" si="57"/>
        <v/>
      </c>
      <c r="M4687" s="25"/>
      <c r="O4687" s="25"/>
    </row>
    <row r="4688" ht="15.75" customHeight="1">
      <c r="A4688" s="25" t="str">
        <f>IFERROR(__xludf.DUMMYFUNCTION("IF(B4688="""","""",RIGHT(REGEXREPLACE(B4688&amp;"""",""[^0-9]"",""""),9))"),"774741145")</f>
        <v>774741145</v>
      </c>
      <c r="B4688" s="52">
        <v>7.74741145E8</v>
      </c>
      <c r="C4688" s="28" t="s">
        <v>4368</v>
      </c>
      <c r="D4688" s="26" t="s">
        <v>64</v>
      </c>
      <c r="E4688" s="31">
        <v>46236.0</v>
      </c>
      <c r="F4688" s="26" t="s">
        <v>41</v>
      </c>
      <c r="G4688" s="26">
        <v>10.0</v>
      </c>
      <c r="I4688" s="26" t="s">
        <v>863</v>
      </c>
      <c r="J4688" s="25" t="str">
        <f t="shared" si="55"/>
        <v>Yes - see Previous F-Code</v>
      </c>
      <c r="K4688" s="25" t="str">
        <f t="shared" si="56"/>
        <v/>
      </c>
      <c r="L4688" s="25" t="str">
        <f t="shared" si="57"/>
        <v>F73991</v>
      </c>
      <c r="M4688" s="25"/>
      <c r="O4688" s="25"/>
    </row>
    <row r="4689" ht="15.75" customHeight="1">
      <c r="A4689" s="25" t="str">
        <f>IFERROR(__xludf.DUMMYFUNCTION("IF(B4689="""","""",RIGHT(REGEXREPLACE(B4689&amp;"""",""[^0-9]"",""""),9))"),"711066628")</f>
        <v>711066628</v>
      </c>
      <c r="B4689" s="52">
        <v>7.11066628E8</v>
      </c>
      <c r="C4689" s="28" t="s">
        <v>4642</v>
      </c>
      <c r="D4689" s="26" t="s">
        <v>49</v>
      </c>
      <c r="E4689" s="31">
        <v>46236.0</v>
      </c>
      <c r="F4689" s="26" t="s">
        <v>41</v>
      </c>
      <c r="G4689" s="26">
        <v>11.0</v>
      </c>
      <c r="I4689" s="26" t="s">
        <v>863</v>
      </c>
      <c r="J4689" s="25" t="str">
        <f t="shared" si="55"/>
        <v>No</v>
      </c>
      <c r="K4689" s="25" t="str">
        <f t="shared" si="56"/>
        <v/>
      </c>
      <c r="L4689" s="25" t="str">
        <f t="shared" si="57"/>
        <v/>
      </c>
      <c r="M4689" s="25"/>
      <c r="O4689" s="25"/>
    </row>
    <row r="4690" ht="15.75" customHeight="1">
      <c r="A4690" s="25" t="str">
        <f>IFERROR(__xludf.DUMMYFUNCTION("IF(B4690="""","""",RIGHT(REGEXREPLACE(B4690&amp;"""",""[^0-9]"",""""),9))"),"706004841")</f>
        <v>706004841</v>
      </c>
      <c r="B4690" s="52">
        <v>7.06004841E8</v>
      </c>
      <c r="C4690" s="28" t="s">
        <v>4643</v>
      </c>
      <c r="D4690" s="26" t="s">
        <v>64</v>
      </c>
      <c r="E4690" s="31">
        <v>46236.0</v>
      </c>
      <c r="F4690" s="26" t="s">
        <v>205</v>
      </c>
      <c r="G4690" s="26">
        <v>10.0</v>
      </c>
      <c r="I4690" s="26" t="s">
        <v>863</v>
      </c>
      <c r="J4690" s="25" t="str">
        <f t="shared" si="55"/>
        <v>No</v>
      </c>
      <c r="K4690" s="25" t="str">
        <f t="shared" si="56"/>
        <v/>
      </c>
      <c r="L4690" s="25" t="str">
        <f t="shared" si="57"/>
        <v/>
      </c>
      <c r="M4690" s="25"/>
      <c r="O4690" s="25"/>
    </row>
    <row r="4691" ht="15.75" customHeight="1">
      <c r="A4691" s="25" t="str">
        <f>IFERROR(__xludf.DUMMYFUNCTION("IF(B4691="""","""",RIGHT(REGEXREPLACE(B4691&amp;"""",""[^0-9]"",""""),9))"),"710493519")</f>
        <v>710493519</v>
      </c>
      <c r="B4691" s="52">
        <v>7.10493519E8</v>
      </c>
      <c r="C4691" s="28" t="s">
        <v>3937</v>
      </c>
      <c r="D4691" s="26" t="s">
        <v>56</v>
      </c>
      <c r="E4691" s="31">
        <v>46236.0</v>
      </c>
      <c r="F4691" s="26" t="s">
        <v>46</v>
      </c>
      <c r="G4691" s="26">
        <v>9.0</v>
      </c>
      <c r="I4691" s="26" t="s">
        <v>863</v>
      </c>
      <c r="J4691" s="25" t="str">
        <f t="shared" si="55"/>
        <v>Yes - see Previous F-Code</v>
      </c>
      <c r="K4691" s="25" t="str">
        <f t="shared" si="56"/>
        <v/>
      </c>
      <c r="L4691" s="25" t="str">
        <f t="shared" si="57"/>
        <v>F73583</v>
      </c>
      <c r="M4691" s="25"/>
      <c r="O4691" s="25"/>
    </row>
    <row r="4692" ht="15.75" customHeight="1">
      <c r="A4692" s="25" t="str">
        <f>IFERROR(__xludf.DUMMYFUNCTION("IF(B4692="""","""",RIGHT(REGEXREPLACE(B4692&amp;"""",""[^0-9]"",""""),9))"),"713353298")</f>
        <v>713353298</v>
      </c>
      <c r="B4692" s="52">
        <v>7.13353298E8</v>
      </c>
      <c r="C4692" s="28" t="s">
        <v>4644</v>
      </c>
      <c r="D4692" s="26" t="s">
        <v>49</v>
      </c>
      <c r="E4692" s="31">
        <v>46236.0</v>
      </c>
      <c r="F4692" s="26" t="s">
        <v>205</v>
      </c>
      <c r="G4692" s="26">
        <v>9.0</v>
      </c>
      <c r="I4692" s="26" t="s">
        <v>863</v>
      </c>
      <c r="J4692" s="25" t="str">
        <f t="shared" si="55"/>
        <v>No</v>
      </c>
      <c r="K4692" s="25" t="str">
        <f t="shared" si="56"/>
        <v/>
      </c>
      <c r="L4692" s="25" t="str">
        <f t="shared" si="57"/>
        <v/>
      </c>
      <c r="M4692" s="25"/>
      <c r="O4692" s="25"/>
    </row>
    <row r="4693" ht="15.75" customHeight="1">
      <c r="A4693" s="25" t="str">
        <f>IFERROR(__xludf.DUMMYFUNCTION("IF(B4693="""","""",RIGHT(REGEXREPLACE(B4693&amp;"""",""[^0-9]"",""""),9))"),"786786536")</f>
        <v>786786536</v>
      </c>
      <c r="B4693" s="52">
        <v>7.86786536E8</v>
      </c>
      <c r="C4693" s="28" t="s">
        <v>4645</v>
      </c>
      <c r="D4693" s="26" t="s">
        <v>64</v>
      </c>
      <c r="E4693" s="31">
        <v>46236.0</v>
      </c>
      <c r="F4693" s="26" t="s">
        <v>46</v>
      </c>
      <c r="G4693" s="26">
        <v>9.0</v>
      </c>
      <c r="H4693" s="26" t="s">
        <v>763</v>
      </c>
      <c r="I4693" s="26" t="s">
        <v>863</v>
      </c>
      <c r="J4693" s="25" t="str">
        <f t="shared" si="55"/>
        <v>No</v>
      </c>
      <c r="K4693" s="25" t="str">
        <f t="shared" si="56"/>
        <v/>
      </c>
      <c r="L4693" s="25" t="str">
        <f t="shared" si="57"/>
        <v/>
      </c>
      <c r="M4693" s="25"/>
      <c r="O4693" s="25"/>
    </row>
    <row r="4694" ht="15.75" customHeight="1">
      <c r="A4694" s="25" t="str">
        <f>IFERROR(__xludf.DUMMYFUNCTION("IF(B4694="""","""",RIGHT(REGEXREPLACE(B4694&amp;"""",""[^0-9]"",""""),9))"),"771685325")</f>
        <v>771685325</v>
      </c>
      <c r="B4694" s="52">
        <v>7.71685325E8</v>
      </c>
      <c r="C4694" s="28" t="s">
        <v>4646</v>
      </c>
      <c r="D4694" s="26" t="s">
        <v>56</v>
      </c>
      <c r="E4694" s="31">
        <v>46236.0</v>
      </c>
      <c r="F4694" s="26" t="s">
        <v>46</v>
      </c>
      <c r="G4694" s="26" t="s">
        <v>4647</v>
      </c>
      <c r="I4694" s="26" t="s">
        <v>863</v>
      </c>
      <c r="J4694" s="25" t="str">
        <f t="shared" si="55"/>
        <v>No</v>
      </c>
      <c r="K4694" s="25" t="str">
        <f t="shared" si="56"/>
        <v/>
      </c>
      <c r="L4694" s="25" t="str">
        <f t="shared" si="57"/>
        <v/>
      </c>
      <c r="M4694" s="25"/>
      <c r="O4694" s="25"/>
    </row>
    <row r="4695" ht="15.75" customHeight="1">
      <c r="A4695" s="25" t="str">
        <f>IFERROR(__xludf.DUMMYFUNCTION("IF(B4695="""","""",RIGHT(REGEXREPLACE(B4695&amp;"""",""[^0-9]"",""""),9))"),"740991269")</f>
        <v>740991269</v>
      </c>
      <c r="B4695" s="52">
        <v>7.40991269E8</v>
      </c>
      <c r="C4695" s="28" t="s">
        <v>4648</v>
      </c>
      <c r="D4695" s="26" t="s">
        <v>64</v>
      </c>
      <c r="E4695" s="31">
        <v>46236.0</v>
      </c>
      <c r="F4695" s="26" t="s">
        <v>41</v>
      </c>
      <c r="G4695" s="26">
        <v>11.0</v>
      </c>
      <c r="I4695" s="26" t="s">
        <v>863</v>
      </c>
      <c r="J4695" s="25" t="str">
        <f t="shared" si="55"/>
        <v>No</v>
      </c>
      <c r="K4695" s="25" t="str">
        <f t="shared" si="56"/>
        <v/>
      </c>
      <c r="L4695" s="25" t="str">
        <f t="shared" si="57"/>
        <v/>
      </c>
      <c r="M4695" s="25"/>
      <c r="O4695" s="25"/>
    </row>
    <row r="4696" ht="15.75" customHeight="1">
      <c r="A4696" s="25" t="str">
        <f>IFERROR(__xludf.DUMMYFUNCTION("IF(B4696="""","""",RIGHT(REGEXREPLACE(B4696&amp;"""",""[^0-9]"",""""),9))"),"766203576")</f>
        <v>766203576</v>
      </c>
      <c r="B4696" s="52">
        <v>7.66203576E8</v>
      </c>
      <c r="C4696" s="28" t="s">
        <v>4649</v>
      </c>
      <c r="D4696" s="26" t="s">
        <v>49</v>
      </c>
      <c r="E4696" s="31">
        <v>46236.0</v>
      </c>
      <c r="F4696" s="26" t="s">
        <v>46</v>
      </c>
      <c r="G4696" s="26">
        <v>9.0</v>
      </c>
      <c r="I4696" s="26" t="s">
        <v>863</v>
      </c>
      <c r="J4696" s="25" t="str">
        <f t="shared" si="55"/>
        <v>No</v>
      </c>
      <c r="K4696" s="25" t="str">
        <f t="shared" si="56"/>
        <v/>
      </c>
      <c r="L4696" s="25" t="str">
        <f t="shared" si="57"/>
        <v/>
      </c>
      <c r="M4696" s="25"/>
      <c r="O4696" s="25"/>
    </row>
    <row r="4697" ht="15.75" customHeight="1">
      <c r="A4697" s="25" t="str">
        <f>IFERROR(__xludf.DUMMYFUNCTION("IF(B4697="""","""",RIGHT(REGEXREPLACE(B4697&amp;"""",""[^0-9]"",""""),9))"),"771426147")</f>
        <v>771426147</v>
      </c>
      <c r="B4697" s="52">
        <v>7.71426147E8</v>
      </c>
      <c r="C4697" s="28" t="s">
        <v>4650</v>
      </c>
      <c r="D4697" s="26" t="s">
        <v>56</v>
      </c>
      <c r="E4697" s="31">
        <v>46236.0</v>
      </c>
      <c r="F4697" s="26" t="s">
        <v>41</v>
      </c>
      <c r="G4697" s="26">
        <v>8.0</v>
      </c>
      <c r="I4697" s="26" t="s">
        <v>863</v>
      </c>
      <c r="J4697" s="25" t="str">
        <f t="shared" si="55"/>
        <v>No</v>
      </c>
      <c r="K4697" s="25" t="str">
        <f t="shared" si="56"/>
        <v/>
      </c>
      <c r="L4697" s="25" t="str">
        <f t="shared" si="57"/>
        <v/>
      </c>
      <c r="M4697" s="25"/>
      <c r="O4697" s="25"/>
    </row>
    <row r="4698" ht="15.75" customHeight="1">
      <c r="A4698" s="25" t="str">
        <f>IFERROR(__xludf.DUMMYFUNCTION("IF(B4698="""","""",RIGHT(REGEXREPLACE(B4698&amp;"""",""[^0-9]"",""""),9))"),"777683216")</f>
        <v>777683216</v>
      </c>
      <c r="B4698" s="52">
        <v>7.77683216E8</v>
      </c>
      <c r="C4698" s="28" t="s">
        <v>4651</v>
      </c>
      <c r="D4698" s="26" t="s">
        <v>64</v>
      </c>
      <c r="E4698" s="31">
        <v>46236.0</v>
      </c>
      <c r="F4698" s="26" t="s">
        <v>46</v>
      </c>
      <c r="G4698" s="26" t="s">
        <v>2011</v>
      </c>
      <c r="I4698" s="26" t="s">
        <v>863</v>
      </c>
      <c r="J4698" s="25" t="str">
        <f t="shared" si="55"/>
        <v>No</v>
      </c>
      <c r="K4698" s="25" t="str">
        <f t="shared" si="56"/>
        <v/>
      </c>
      <c r="L4698" s="25" t="str">
        <f t="shared" si="57"/>
        <v/>
      </c>
      <c r="M4698" s="25"/>
      <c r="O4698" s="25"/>
    </row>
    <row r="4699" ht="15.75" customHeight="1">
      <c r="A4699" s="25" t="str">
        <f>IFERROR(__xludf.DUMMYFUNCTION("IF(B4699="""","""",RIGHT(REGEXREPLACE(B4699&amp;"""",""[^0-9]"",""""),9))"),"707132256")</f>
        <v>707132256</v>
      </c>
      <c r="B4699" s="52">
        <v>7.07132256E8</v>
      </c>
      <c r="C4699" s="28" t="s">
        <v>4652</v>
      </c>
      <c r="D4699" s="26" t="s">
        <v>45</v>
      </c>
      <c r="E4699" s="31">
        <v>46236.0</v>
      </c>
      <c r="F4699" s="26" t="s">
        <v>41</v>
      </c>
      <c r="I4699" s="26" t="s">
        <v>863</v>
      </c>
      <c r="J4699" s="25" t="str">
        <f t="shared" si="55"/>
        <v>No</v>
      </c>
      <c r="K4699" s="25" t="str">
        <f t="shared" si="56"/>
        <v/>
      </c>
      <c r="L4699" s="25" t="str">
        <f t="shared" si="57"/>
        <v/>
      </c>
      <c r="M4699" s="25"/>
      <c r="O4699" s="25"/>
    </row>
    <row r="4700" ht="15.75" customHeight="1">
      <c r="A4700" s="25" t="str">
        <f>IFERROR(__xludf.DUMMYFUNCTION("IF(B4700="""","""",RIGHT(REGEXREPLACE(B4700&amp;"""",""[^0-9]"",""""),9))"),"767594586")</f>
        <v>767594586</v>
      </c>
      <c r="B4700" s="52">
        <v>7.67594586E8</v>
      </c>
      <c r="C4700" s="28" t="s">
        <v>4653</v>
      </c>
      <c r="D4700" s="26" t="s">
        <v>56</v>
      </c>
      <c r="E4700" s="31">
        <v>46236.0</v>
      </c>
      <c r="F4700" s="26" t="s">
        <v>205</v>
      </c>
      <c r="I4700" s="26" t="s">
        <v>863</v>
      </c>
      <c r="J4700" s="25" t="str">
        <f t="shared" si="55"/>
        <v>No</v>
      </c>
      <c r="K4700" s="25" t="str">
        <f t="shared" si="56"/>
        <v/>
      </c>
      <c r="L4700" s="25" t="str">
        <f t="shared" si="57"/>
        <v/>
      </c>
      <c r="M4700" s="25"/>
      <c r="O4700" s="25"/>
    </row>
    <row r="4701" ht="15.75" customHeight="1">
      <c r="A4701" s="25" t="str">
        <f>IFERROR(__xludf.DUMMYFUNCTION("IF(B4701="""","""",RIGHT(REGEXREPLACE(B4701&amp;"""",""[^0-9]"",""""),9))"),"740854266")</f>
        <v>740854266</v>
      </c>
      <c r="B4701" s="52">
        <v>7.40854266E8</v>
      </c>
      <c r="C4701" s="28" t="s">
        <v>4654</v>
      </c>
      <c r="D4701" s="26" t="s">
        <v>56</v>
      </c>
      <c r="E4701" s="31">
        <v>46236.0</v>
      </c>
      <c r="F4701" s="26" t="s">
        <v>41</v>
      </c>
      <c r="G4701" s="26">
        <v>10.0</v>
      </c>
      <c r="I4701" s="26" t="s">
        <v>863</v>
      </c>
      <c r="J4701" s="25" t="str">
        <f t="shared" si="55"/>
        <v>No</v>
      </c>
      <c r="K4701" s="25" t="str">
        <f t="shared" si="56"/>
        <v/>
      </c>
      <c r="L4701" s="25" t="str">
        <f t="shared" si="57"/>
        <v/>
      </c>
      <c r="M4701" s="25"/>
      <c r="O4701" s="25"/>
    </row>
    <row r="4702" ht="15.75" customHeight="1">
      <c r="A4702" s="25" t="str">
        <f>IFERROR(__xludf.DUMMYFUNCTION("IF(B4702="""","""",RIGHT(REGEXREPLACE(B4702&amp;"""",""[^0-9]"",""""),9))"),"712186250")</f>
        <v>712186250</v>
      </c>
      <c r="B4702" s="52">
        <v>7.1218625E8</v>
      </c>
      <c r="C4702" s="28" t="s">
        <v>4655</v>
      </c>
      <c r="D4702" s="26" t="s">
        <v>64</v>
      </c>
      <c r="E4702" s="31">
        <v>46236.0</v>
      </c>
      <c r="F4702" s="26" t="s">
        <v>41</v>
      </c>
      <c r="G4702" s="26">
        <v>10.0</v>
      </c>
      <c r="I4702" s="26" t="s">
        <v>863</v>
      </c>
      <c r="J4702" s="25" t="str">
        <f t="shared" si="55"/>
        <v>No</v>
      </c>
      <c r="K4702" s="25" t="str">
        <f t="shared" si="56"/>
        <v/>
      </c>
      <c r="L4702" s="25" t="str">
        <f t="shared" si="57"/>
        <v/>
      </c>
      <c r="M4702" s="25"/>
      <c r="O4702" s="25"/>
    </row>
    <row r="4703" ht="15.75" customHeight="1">
      <c r="A4703" s="25" t="str">
        <f>IFERROR(__xludf.DUMMYFUNCTION("IF(B4703="""","""",RIGHT(REGEXREPLACE(B4703&amp;"""",""[^0-9]"",""""),9))"),"766670940")</f>
        <v>766670940</v>
      </c>
      <c r="B4703" s="52">
        <v>7.6667094E8</v>
      </c>
      <c r="C4703" s="28" t="s">
        <v>4656</v>
      </c>
      <c r="D4703" s="26" t="s">
        <v>45</v>
      </c>
      <c r="E4703" s="31">
        <v>46236.0</v>
      </c>
      <c r="F4703" s="26" t="s">
        <v>46</v>
      </c>
      <c r="G4703" s="26">
        <v>9.0</v>
      </c>
      <c r="I4703" s="26" t="s">
        <v>863</v>
      </c>
      <c r="J4703" s="25" t="str">
        <f t="shared" si="55"/>
        <v>No</v>
      </c>
      <c r="K4703" s="25" t="str">
        <f t="shared" si="56"/>
        <v/>
      </c>
      <c r="L4703" s="25" t="str">
        <f t="shared" si="57"/>
        <v/>
      </c>
      <c r="M4703" s="25"/>
      <c r="O4703" s="26" t="s">
        <v>51</v>
      </c>
    </row>
    <row r="4704" ht="15.75" customHeight="1">
      <c r="A4704" s="25" t="str">
        <f>IFERROR(__xludf.DUMMYFUNCTION("IF(B4704="""","""",RIGHT(REGEXREPLACE(B4704&amp;"""",""[^0-9]"",""""),9))"),"703507429")</f>
        <v>703507429</v>
      </c>
      <c r="B4704" s="52">
        <v>7.03507429E8</v>
      </c>
      <c r="C4704" s="28" t="s">
        <v>4657</v>
      </c>
      <c r="D4704" s="26" t="s">
        <v>64</v>
      </c>
      <c r="E4704" s="31">
        <v>46236.0</v>
      </c>
      <c r="F4704" s="26" t="s">
        <v>205</v>
      </c>
      <c r="I4704" s="26" t="s">
        <v>863</v>
      </c>
      <c r="J4704" s="25" t="str">
        <f t="shared" si="55"/>
        <v>No</v>
      </c>
      <c r="K4704" s="25" t="str">
        <f t="shared" si="56"/>
        <v/>
      </c>
      <c r="L4704" s="25" t="str">
        <f t="shared" si="57"/>
        <v/>
      </c>
      <c r="M4704" s="25"/>
      <c r="O4704" s="25"/>
    </row>
    <row r="4705" ht="15.75" customHeight="1">
      <c r="A4705" s="25" t="str">
        <f>IFERROR(__xludf.DUMMYFUNCTION("IF(B4705="""","""",RIGHT(REGEXREPLACE(B4705&amp;"""",""[^0-9]"",""""),9))"),"779245587")</f>
        <v>779245587</v>
      </c>
      <c r="B4705" s="52">
        <v>7.79245587E8</v>
      </c>
      <c r="C4705" s="28" t="s">
        <v>4658</v>
      </c>
      <c r="D4705" s="26" t="s">
        <v>56</v>
      </c>
      <c r="E4705" s="31">
        <v>46236.0</v>
      </c>
      <c r="F4705" s="26" t="s">
        <v>46</v>
      </c>
      <c r="G4705" s="26">
        <v>9.0</v>
      </c>
      <c r="I4705" s="26" t="s">
        <v>863</v>
      </c>
      <c r="J4705" s="25" t="str">
        <f t="shared" si="55"/>
        <v>No</v>
      </c>
      <c r="K4705" s="25" t="str">
        <f t="shared" si="56"/>
        <v/>
      </c>
      <c r="L4705" s="25" t="str">
        <f t="shared" si="57"/>
        <v/>
      </c>
      <c r="M4705" s="25"/>
      <c r="O4705" s="25"/>
    </row>
    <row r="4706" ht="15.75" customHeight="1">
      <c r="A4706" s="25" t="str">
        <f>IFERROR(__xludf.DUMMYFUNCTION("IF(B4706="""","""",RIGHT(REGEXREPLACE(B4706&amp;"""",""[^0-9]"",""""),9))"),"706146391")</f>
        <v>706146391</v>
      </c>
      <c r="B4706" s="52">
        <v>7.06146391E8</v>
      </c>
      <c r="C4706" s="28" t="s">
        <v>4659</v>
      </c>
      <c r="D4706" s="26" t="s">
        <v>49</v>
      </c>
      <c r="E4706" s="31">
        <v>46236.0</v>
      </c>
      <c r="F4706" s="26" t="s">
        <v>41</v>
      </c>
      <c r="G4706" s="26">
        <v>10.0</v>
      </c>
      <c r="I4706" s="26" t="s">
        <v>863</v>
      </c>
      <c r="J4706" s="25" t="str">
        <f t="shared" si="55"/>
        <v>No</v>
      </c>
      <c r="K4706" s="25" t="str">
        <f t="shared" si="56"/>
        <v/>
      </c>
      <c r="L4706" s="25" t="str">
        <f t="shared" si="57"/>
        <v/>
      </c>
      <c r="M4706" s="25"/>
      <c r="O4706" s="25"/>
    </row>
    <row r="4707" ht="15.75" customHeight="1">
      <c r="A4707" s="25" t="str">
        <f>IFERROR(__xludf.DUMMYFUNCTION("IF(B4707="""","""",RIGHT(REGEXREPLACE(B4707&amp;"""",""[^0-9]"",""""),9))"),"719174281")</f>
        <v>719174281</v>
      </c>
      <c r="B4707" s="52">
        <v>7.19174281E8</v>
      </c>
      <c r="C4707" s="28" t="s">
        <v>4660</v>
      </c>
      <c r="D4707" s="26" t="s">
        <v>56</v>
      </c>
      <c r="E4707" s="31">
        <v>46236.0</v>
      </c>
      <c r="F4707" s="26" t="s">
        <v>46</v>
      </c>
      <c r="G4707" s="26">
        <v>8.0</v>
      </c>
      <c r="I4707" s="26" t="s">
        <v>863</v>
      </c>
      <c r="J4707" s="25" t="str">
        <f t="shared" si="55"/>
        <v>No</v>
      </c>
      <c r="K4707" s="25" t="str">
        <f t="shared" si="56"/>
        <v/>
      </c>
      <c r="L4707" s="25" t="str">
        <f t="shared" si="57"/>
        <v/>
      </c>
      <c r="M4707" s="25"/>
      <c r="O4707" s="25"/>
    </row>
    <row r="4708" ht="15.75" customHeight="1">
      <c r="A4708" s="25" t="str">
        <f>IFERROR(__xludf.DUMMYFUNCTION("IF(B4708="""","""",RIGHT(REGEXREPLACE(B4708&amp;"""",""[^0-9]"",""""),9))"),"773078261")</f>
        <v>773078261</v>
      </c>
      <c r="B4708" s="52">
        <v>7.73078261E8</v>
      </c>
      <c r="C4708" s="28" t="s">
        <v>4661</v>
      </c>
      <c r="D4708" s="26" t="s">
        <v>64</v>
      </c>
      <c r="E4708" s="31">
        <v>46236.0</v>
      </c>
      <c r="F4708" s="26" t="s">
        <v>125</v>
      </c>
      <c r="G4708" s="26">
        <v>11.0</v>
      </c>
      <c r="I4708" s="26" t="s">
        <v>863</v>
      </c>
      <c r="J4708" s="25" t="str">
        <f t="shared" si="55"/>
        <v>No</v>
      </c>
      <c r="K4708" s="25" t="str">
        <f t="shared" si="56"/>
        <v/>
      </c>
      <c r="L4708" s="25" t="str">
        <f t="shared" si="57"/>
        <v/>
      </c>
      <c r="M4708" s="25"/>
      <c r="O4708" s="25"/>
    </row>
    <row r="4709" ht="15.75" customHeight="1">
      <c r="A4709" s="25" t="str">
        <f>IFERROR(__xludf.DUMMYFUNCTION("IF(B4709="""","""",RIGHT(REGEXREPLACE(B4709&amp;"""",""[^0-9]"",""""),9))"),"779613722")</f>
        <v>779613722</v>
      </c>
      <c r="B4709" s="52">
        <v>7.79613722E8</v>
      </c>
      <c r="C4709" s="28" t="s">
        <v>4662</v>
      </c>
      <c r="D4709" s="26" t="s">
        <v>45</v>
      </c>
      <c r="E4709" s="31">
        <v>46236.0</v>
      </c>
      <c r="F4709" s="26" t="s">
        <v>46</v>
      </c>
      <c r="G4709" s="26">
        <v>9.0</v>
      </c>
      <c r="I4709" s="26" t="s">
        <v>863</v>
      </c>
      <c r="J4709" s="25" t="str">
        <f t="shared" si="55"/>
        <v>No</v>
      </c>
      <c r="K4709" s="25" t="str">
        <f t="shared" si="56"/>
        <v/>
      </c>
      <c r="L4709" s="25" t="str">
        <f t="shared" si="57"/>
        <v/>
      </c>
      <c r="M4709" s="25"/>
      <c r="O4709" s="25"/>
    </row>
    <row r="4710" ht="15.75" customHeight="1">
      <c r="A4710" s="25" t="str">
        <f>IFERROR(__xludf.DUMMYFUNCTION("IF(B4710="""","""",RIGHT(REGEXREPLACE(B4710&amp;"""",""[^0-9]"",""""),9))"),"776983103")</f>
        <v>776983103</v>
      </c>
      <c r="B4710" s="52">
        <v>7.76983103E8</v>
      </c>
      <c r="C4710" s="28" t="s">
        <v>4663</v>
      </c>
      <c r="D4710" s="26" t="s">
        <v>49</v>
      </c>
      <c r="E4710" s="31">
        <v>46236.0</v>
      </c>
      <c r="F4710" s="26" t="s">
        <v>46</v>
      </c>
      <c r="G4710" s="26">
        <v>10.0</v>
      </c>
      <c r="I4710" s="26" t="s">
        <v>863</v>
      </c>
      <c r="J4710" s="25" t="str">
        <f t="shared" si="55"/>
        <v>No</v>
      </c>
      <c r="K4710" s="25" t="str">
        <f t="shared" si="56"/>
        <v/>
      </c>
      <c r="L4710" s="25" t="str">
        <f t="shared" si="57"/>
        <v/>
      </c>
      <c r="M4710" s="25"/>
      <c r="O4710" s="25"/>
    </row>
    <row r="4711" ht="15.75" customHeight="1">
      <c r="A4711" s="25" t="str">
        <f>IFERROR(__xludf.DUMMYFUNCTION("IF(B4711="""","""",RIGHT(REGEXREPLACE(B4711&amp;"""",""[^0-9]"",""""),9))"),"771244565")</f>
        <v>771244565</v>
      </c>
      <c r="B4711" s="52">
        <v>7.71244565E8</v>
      </c>
      <c r="C4711" s="28" t="s">
        <v>4664</v>
      </c>
      <c r="D4711" s="26" t="s">
        <v>64</v>
      </c>
      <c r="E4711" s="31">
        <v>46236.0</v>
      </c>
      <c r="F4711" s="26" t="s">
        <v>659</v>
      </c>
      <c r="G4711" s="26">
        <v>7.0</v>
      </c>
      <c r="I4711" s="26" t="s">
        <v>863</v>
      </c>
      <c r="J4711" s="25" t="str">
        <f t="shared" si="55"/>
        <v>No</v>
      </c>
      <c r="K4711" s="25" t="str">
        <f t="shared" si="56"/>
        <v/>
      </c>
      <c r="L4711" s="25" t="str">
        <f t="shared" si="57"/>
        <v/>
      </c>
      <c r="M4711" s="25"/>
      <c r="O4711" s="25"/>
    </row>
    <row r="4712" ht="15.75" customHeight="1">
      <c r="A4712" s="25" t="str">
        <f>IFERROR(__xludf.DUMMYFUNCTION("IF(B4712="""","""",RIGHT(REGEXREPLACE(B4712&amp;"""",""[^0-9]"",""""),9))"),"777044188")</f>
        <v>777044188</v>
      </c>
      <c r="B4712" s="52">
        <v>7.77044188E8</v>
      </c>
      <c r="C4712" s="28" t="s">
        <v>4665</v>
      </c>
      <c r="D4712" s="26" t="s">
        <v>56</v>
      </c>
      <c r="E4712" s="31">
        <v>46236.0</v>
      </c>
      <c r="F4712" s="26" t="s">
        <v>46</v>
      </c>
      <c r="G4712" s="26">
        <v>9.0</v>
      </c>
      <c r="H4712" s="26" t="s">
        <v>1648</v>
      </c>
      <c r="I4712" s="26" t="s">
        <v>863</v>
      </c>
      <c r="J4712" s="25" t="str">
        <f t="shared" si="55"/>
        <v>No</v>
      </c>
      <c r="K4712" s="25" t="str">
        <f t="shared" si="56"/>
        <v/>
      </c>
      <c r="L4712" s="25" t="str">
        <f t="shared" si="57"/>
        <v/>
      </c>
      <c r="M4712" s="25"/>
      <c r="O4712" s="25"/>
    </row>
    <row r="4713" ht="15.75" customHeight="1">
      <c r="A4713" s="25" t="str">
        <f>IFERROR(__xludf.DUMMYFUNCTION("IF(B4713="""","""",RIGHT(REGEXREPLACE(B4713&amp;"""",""[^0-9]"",""""),9))"),"706774993")</f>
        <v>706774993</v>
      </c>
      <c r="B4713" s="52">
        <v>7.06774993E8</v>
      </c>
      <c r="C4713" s="28" t="s">
        <v>4666</v>
      </c>
      <c r="D4713" s="26" t="s">
        <v>64</v>
      </c>
      <c r="E4713" s="31">
        <v>46236.0</v>
      </c>
      <c r="F4713" s="26" t="s">
        <v>46</v>
      </c>
      <c r="G4713" s="26">
        <v>9.0</v>
      </c>
      <c r="I4713" s="26" t="s">
        <v>863</v>
      </c>
      <c r="J4713" s="25" t="str">
        <f t="shared" si="55"/>
        <v>No</v>
      </c>
      <c r="K4713" s="25" t="str">
        <f t="shared" si="56"/>
        <v/>
      </c>
      <c r="L4713" s="25" t="str">
        <f t="shared" si="57"/>
        <v/>
      </c>
      <c r="M4713" s="25"/>
      <c r="O4713" s="25"/>
    </row>
    <row r="4714" ht="15.75" customHeight="1">
      <c r="A4714" s="25" t="str">
        <f>IFERROR(__xludf.DUMMYFUNCTION("IF(B4714="""","""",RIGHT(REGEXREPLACE(B4714&amp;"""",""[^0-9]"",""""),9))"),"704038982")</f>
        <v>704038982</v>
      </c>
      <c r="B4714" s="52">
        <v>7.04038982E8</v>
      </c>
      <c r="C4714" s="28" t="s">
        <v>4667</v>
      </c>
      <c r="D4714" s="26" t="s">
        <v>56</v>
      </c>
      <c r="E4714" s="31">
        <v>46236.0</v>
      </c>
      <c r="F4714" s="26" t="s">
        <v>46</v>
      </c>
      <c r="G4714" s="26">
        <v>9.0</v>
      </c>
      <c r="I4714" s="26" t="s">
        <v>863</v>
      </c>
      <c r="J4714" s="25" t="str">
        <f t="shared" si="55"/>
        <v>No</v>
      </c>
      <c r="K4714" s="25" t="str">
        <f t="shared" si="56"/>
        <v/>
      </c>
      <c r="L4714" s="25" t="str">
        <f t="shared" si="57"/>
        <v/>
      </c>
      <c r="M4714" s="25"/>
      <c r="O4714" s="25"/>
    </row>
    <row r="4715" ht="15.75" customHeight="1">
      <c r="A4715" s="25" t="str">
        <f>IFERROR(__xludf.DUMMYFUNCTION("IF(B4715="""","""",RIGHT(REGEXREPLACE(B4715&amp;"""",""[^0-9]"",""""),9))"),"779908453")</f>
        <v>779908453</v>
      </c>
      <c r="B4715" s="52">
        <v>7.79908453E8</v>
      </c>
      <c r="C4715" s="28" t="s">
        <v>4668</v>
      </c>
      <c r="D4715" s="26" t="s">
        <v>45</v>
      </c>
      <c r="E4715" s="31">
        <v>46236.0</v>
      </c>
      <c r="F4715" s="26" t="s">
        <v>46</v>
      </c>
      <c r="G4715" s="26">
        <v>7.0</v>
      </c>
      <c r="I4715" s="26" t="s">
        <v>863</v>
      </c>
      <c r="J4715" s="25" t="str">
        <f t="shared" si="55"/>
        <v>No</v>
      </c>
      <c r="K4715" s="25" t="str">
        <f t="shared" si="56"/>
        <v/>
      </c>
      <c r="L4715" s="25" t="str">
        <f t="shared" si="57"/>
        <v/>
      </c>
      <c r="M4715" s="25"/>
      <c r="O4715" s="25"/>
    </row>
    <row r="4716" ht="15.75" customHeight="1">
      <c r="A4716" s="25" t="str">
        <f>IFERROR(__xludf.DUMMYFUNCTION("IF(B4716="""","""",RIGHT(REGEXREPLACE(B4716&amp;"""",""[^0-9]"",""""),9))"),"776540743")</f>
        <v>776540743</v>
      </c>
      <c r="B4716" s="52">
        <v>7.76540743E8</v>
      </c>
      <c r="C4716" s="28" t="s">
        <v>4669</v>
      </c>
      <c r="D4716" s="26" t="s">
        <v>64</v>
      </c>
      <c r="E4716" s="31">
        <v>46236.0</v>
      </c>
      <c r="F4716" s="26" t="s">
        <v>41</v>
      </c>
      <c r="G4716" s="26">
        <v>8.0</v>
      </c>
      <c r="I4716" s="26" t="s">
        <v>863</v>
      </c>
      <c r="J4716" s="25" t="str">
        <f t="shared" si="55"/>
        <v>No</v>
      </c>
      <c r="K4716" s="25" t="str">
        <f t="shared" si="56"/>
        <v/>
      </c>
      <c r="L4716" s="25" t="str">
        <f t="shared" si="57"/>
        <v/>
      </c>
      <c r="M4716" s="25"/>
      <c r="O4716" s="25"/>
    </row>
    <row r="4717" ht="15.75" customHeight="1">
      <c r="A4717" s="25" t="str">
        <f>IFERROR(__xludf.DUMMYFUNCTION("IF(B4717="""","""",RIGHT(REGEXREPLACE(B4717&amp;"""",""[^0-9]"",""""),9))"),"775889067")</f>
        <v>775889067</v>
      </c>
      <c r="B4717" s="52">
        <v>7.75889067E8</v>
      </c>
      <c r="C4717" s="28" t="s">
        <v>4670</v>
      </c>
      <c r="D4717" s="26" t="s">
        <v>56</v>
      </c>
      <c r="E4717" s="31">
        <v>46236.0</v>
      </c>
      <c r="F4717" s="26" t="s">
        <v>46</v>
      </c>
      <c r="G4717" s="26">
        <v>7.0</v>
      </c>
      <c r="H4717" s="26" t="s">
        <v>918</v>
      </c>
      <c r="I4717" s="26" t="s">
        <v>863</v>
      </c>
      <c r="J4717" s="25" t="str">
        <f t="shared" si="55"/>
        <v>No</v>
      </c>
      <c r="K4717" s="25" t="str">
        <f t="shared" si="56"/>
        <v/>
      </c>
      <c r="L4717" s="25" t="str">
        <f t="shared" si="57"/>
        <v/>
      </c>
      <c r="M4717" s="25"/>
      <c r="O4717" s="25"/>
    </row>
    <row r="4718" ht="15.75" customHeight="1">
      <c r="A4718" s="25" t="str">
        <f>IFERROR(__xludf.DUMMYFUNCTION("IF(B4718="""","""",RIGHT(REGEXREPLACE(B4718&amp;"""",""[^0-9]"",""""),9))"),"769958290")</f>
        <v>769958290</v>
      </c>
      <c r="B4718" s="52">
        <v>7.6995829E8</v>
      </c>
      <c r="C4718" s="28" t="s">
        <v>4671</v>
      </c>
      <c r="D4718" s="26" t="s">
        <v>64</v>
      </c>
      <c r="E4718" s="31">
        <v>46236.0</v>
      </c>
      <c r="F4718" s="26" t="s">
        <v>46</v>
      </c>
      <c r="G4718" s="26">
        <v>11.0</v>
      </c>
      <c r="I4718" s="26" t="s">
        <v>863</v>
      </c>
      <c r="J4718" s="25" t="str">
        <f t="shared" si="55"/>
        <v>No</v>
      </c>
      <c r="K4718" s="25" t="str">
        <f t="shared" si="56"/>
        <v/>
      </c>
      <c r="L4718" s="25" t="str">
        <f t="shared" si="57"/>
        <v/>
      </c>
      <c r="M4718" s="25"/>
      <c r="O4718" s="25"/>
    </row>
    <row r="4719" ht="15.75" customHeight="1">
      <c r="A4719" s="25" t="str">
        <f>IFERROR(__xludf.DUMMYFUNCTION("IF(B4719="""","""",RIGHT(REGEXREPLACE(B4719&amp;"""",""[^0-9]"",""""),9))"),"761954583")</f>
        <v>761954583</v>
      </c>
      <c r="B4719" s="52">
        <v>7.61954583E8</v>
      </c>
      <c r="C4719" s="28" t="s">
        <v>4672</v>
      </c>
      <c r="D4719" s="26" t="s">
        <v>56</v>
      </c>
      <c r="E4719" s="31">
        <v>46236.0</v>
      </c>
      <c r="F4719" s="26" t="s">
        <v>41</v>
      </c>
      <c r="G4719" s="26">
        <v>11.0</v>
      </c>
      <c r="I4719" s="26" t="s">
        <v>863</v>
      </c>
      <c r="J4719" s="25" t="str">
        <f t="shared" si="55"/>
        <v>No</v>
      </c>
      <c r="K4719" s="25" t="str">
        <f t="shared" si="56"/>
        <v/>
      </c>
      <c r="L4719" s="25" t="str">
        <f t="shared" si="57"/>
        <v/>
      </c>
      <c r="M4719" s="25"/>
      <c r="O4719" s="25"/>
    </row>
    <row r="4720" ht="15.75" customHeight="1">
      <c r="A4720" s="25" t="str">
        <f>IFERROR(__xludf.DUMMYFUNCTION("IF(B4720="""","""",RIGHT(REGEXREPLACE(B4720&amp;"""",""[^0-9]"",""""),9))"),"763739606")</f>
        <v>763739606</v>
      </c>
      <c r="B4720" s="52">
        <v>7.63739606E8</v>
      </c>
      <c r="C4720" s="28" t="s">
        <v>4673</v>
      </c>
      <c r="D4720" s="26" t="s">
        <v>49</v>
      </c>
      <c r="E4720" s="31">
        <v>46236.0</v>
      </c>
      <c r="F4720" s="26" t="s">
        <v>46</v>
      </c>
      <c r="G4720" s="26">
        <v>8.0</v>
      </c>
      <c r="I4720" s="26" t="s">
        <v>863</v>
      </c>
      <c r="J4720" s="25" t="str">
        <f t="shared" si="55"/>
        <v>No</v>
      </c>
      <c r="K4720" s="25" t="str">
        <f t="shared" si="56"/>
        <v/>
      </c>
      <c r="L4720" s="25" t="str">
        <f t="shared" si="57"/>
        <v/>
      </c>
      <c r="M4720" s="25"/>
      <c r="O4720" s="26" t="s">
        <v>51</v>
      </c>
    </row>
    <row r="4721" ht="15.75" customHeight="1">
      <c r="A4721" s="25" t="str">
        <f>IFERROR(__xludf.DUMMYFUNCTION("IF(B4721="""","""",RIGHT(REGEXREPLACE(B4721&amp;"""",""[^0-9]"",""""),9))"),"778710343")</f>
        <v>778710343</v>
      </c>
      <c r="B4721" s="52">
        <v>7.78710343E8</v>
      </c>
      <c r="C4721" s="28" t="s">
        <v>4674</v>
      </c>
      <c r="D4721" s="26" t="s">
        <v>45</v>
      </c>
      <c r="E4721" s="31">
        <v>46236.0</v>
      </c>
      <c r="F4721" s="26" t="s">
        <v>84</v>
      </c>
      <c r="I4721" s="26" t="s">
        <v>863</v>
      </c>
      <c r="J4721" s="25" t="str">
        <f t="shared" si="55"/>
        <v>No</v>
      </c>
      <c r="K4721" s="25" t="str">
        <f t="shared" si="56"/>
        <v/>
      </c>
      <c r="L4721" s="25" t="str">
        <f t="shared" si="57"/>
        <v/>
      </c>
      <c r="M4721" s="25"/>
      <c r="O4721" s="25"/>
    </row>
    <row r="4722" ht="15.75" customHeight="1">
      <c r="A4722" s="25" t="str">
        <f>IFERROR(__xludf.DUMMYFUNCTION("IF(B4722="""","""",RIGHT(REGEXREPLACE(B4722&amp;"""",""[^0-9]"",""""),9))"),"724137428")</f>
        <v>724137428</v>
      </c>
      <c r="B4722" s="52">
        <v>7.24137428E8</v>
      </c>
      <c r="C4722" s="28" t="s">
        <v>4675</v>
      </c>
      <c r="D4722" s="26" t="s">
        <v>64</v>
      </c>
      <c r="E4722" s="31">
        <v>46236.0</v>
      </c>
      <c r="F4722" s="26" t="s">
        <v>46</v>
      </c>
      <c r="G4722" s="26">
        <v>9.0</v>
      </c>
      <c r="I4722" s="26" t="s">
        <v>863</v>
      </c>
      <c r="J4722" s="25" t="str">
        <f t="shared" si="55"/>
        <v>No</v>
      </c>
      <c r="K4722" s="25" t="str">
        <f t="shared" si="56"/>
        <v/>
      </c>
      <c r="L4722" s="25" t="str">
        <f t="shared" si="57"/>
        <v/>
      </c>
      <c r="M4722" s="25"/>
      <c r="O4722" s="26" t="s">
        <v>51</v>
      </c>
    </row>
    <row r="4723" ht="15.75" customHeight="1">
      <c r="A4723" s="25" t="str">
        <f>IFERROR(__xludf.DUMMYFUNCTION("IF(B4723="""","""",RIGHT(REGEXREPLACE(B4723&amp;"""",""[^0-9]"",""""),9))"),"771014535")</f>
        <v>771014535</v>
      </c>
      <c r="B4723" s="52">
        <v>7.71014535E8</v>
      </c>
      <c r="C4723" s="28" t="s">
        <v>4676</v>
      </c>
      <c r="D4723" s="26" t="s">
        <v>56</v>
      </c>
      <c r="E4723" s="31">
        <v>46236.0</v>
      </c>
      <c r="F4723" s="26" t="s">
        <v>125</v>
      </c>
      <c r="G4723" s="26">
        <v>10.0</v>
      </c>
      <c r="I4723" s="26" t="s">
        <v>863</v>
      </c>
      <c r="J4723" s="25" t="str">
        <f t="shared" si="55"/>
        <v>No</v>
      </c>
      <c r="K4723" s="25" t="str">
        <f t="shared" si="56"/>
        <v/>
      </c>
      <c r="L4723" s="25" t="str">
        <f t="shared" si="57"/>
        <v/>
      </c>
      <c r="M4723" s="25"/>
      <c r="O4723" s="25"/>
    </row>
    <row r="4724" ht="15.75" customHeight="1">
      <c r="A4724" s="25" t="str">
        <f>IFERROR(__xludf.DUMMYFUNCTION("IF(B4724="""","""",RIGHT(REGEXREPLACE(B4724&amp;"""",""[^0-9]"",""""),9))"),"713121287")</f>
        <v>713121287</v>
      </c>
      <c r="B4724" s="52">
        <v>7.13121287E8</v>
      </c>
      <c r="C4724" s="28" t="s">
        <v>4677</v>
      </c>
      <c r="D4724" s="26" t="s">
        <v>45</v>
      </c>
      <c r="E4724" s="31">
        <v>46236.0</v>
      </c>
      <c r="F4724" s="26" t="s">
        <v>41</v>
      </c>
      <c r="G4724" s="26">
        <v>10.0</v>
      </c>
      <c r="I4724" s="26" t="s">
        <v>863</v>
      </c>
      <c r="J4724" s="25" t="str">
        <f t="shared" si="55"/>
        <v>No</v>
      </c>
      <c r="K4724" s="25" t="str">
        <f t="shared" si="56"/>
        <v/>
      </c>
      <c r="L4724" s="25" t="str">
        <f t="shared" si="57"/>
        <v/>
      </c>
      <c r="M4724" s="25"/>
      <c r="O4724" s="25"/>
    </row>
    <row r="4725" ht="15.75" customHeight="1">
      <c r="A4725" s="25" t="str">
        <f>IFERROR(__xludf.DUMMYFUNCTION("IF(B4725="""","""",RIGHT(REGEXREPLACE(B4725&amp;"""",""[^0-9]"",""""),9))"),"760210369")</f>
        <v>760210369</v>
      </c>
      <c r="B4725" s="52">
        <v>7.60210369E8</v>
      </c>
      <c r="C4725" s="28" t="s">
        <v>4678</v>
      </c>
      <c r="D4725" s="26" t="s">
        <v>56</v>
      </c>
      <c r="E4725" s="31">
        <v>46236.0</v>
      </c>
      <c r="F4725" s="26" t="s">
        <v>46</v>
      </c>
      <c r="G4725" s="26">
        <v>11.0</v>
      </c>
      <c r="I4725" s="26" t="s">
        <v>863</v>
      </c>
      <c r="J4725" s="25" t="str">
        <f t="shared" si="55"/>
        <v>No</v>
      </c>
      <c r="K4725" s="25" t="str">
        <f t="shared" si="56"/>
        <v/>
      </c>
      <c r="L4725" s="25" t="str">
        <f t="shared" si="57"/>
        <v/>
      </c>
      <c r="M4725" s="25"/>
      <c r="O4725" s="25"/>
    </row>
    <row r="4726" ht="15.75" customHeight="1">
      <c r="A4726" s="25" t="str">
        <f>IFERROR(__xludf.DUMMYFUNCTION("IF(B4726="""","""",RIGHT(REGEXREPLACE(B4726&amp;"""",""[^0-9]"",""""),9))"),"740288587")</f>
        <v>740288587</v>
      </c>
      <c r="B4726" s="52">
        <v>7.40288587E8</v>
      </c>
      <c r="C4726" s="28" t="s">
        <v>4679</v>
      </c>
      <c r="D4726" s="26" t="s">
        <v>49</v>
      </c>
      <c r="E4726" s="31">
        <v>46236.0</v>
      </c>
      <c r="F4726" s="26" t="s">
        <v>46</v>
      </c>
      <c r="G4726" s="26">
        <v>10.0</v>
      </c>
      <c r="I4726" s="26" t="s">
        <v>863</v>
      </c>
      <c r="J4726" s="25" t="str">
        <f t="shared" si="55"/>
        <v>No</v>
      </c>
      <c r="K4726" s="25" t="str">
        <f t="shared" si="56"/>
        <v/>
      </c>
      <c r="L4726" s="25" t="str">
        <f t="shared" si="57"/>
        <v/>
      </c>
      <c r="M4726" s="25"/>
      <c r="O4726" s="25"/>
    </row>
    <row r="4727" ht="15.75" customHeight="1">
      <c r="A4727" s="25" t="str">
        <f>IFERROR(__xludf.DUMMYFUNCTION("IF(B4727="""","""",RIGHT(REGEXREPLACE(B4727&amp;"""",""[^0-9]"",""""),9))"),"716907190")</f>
        <v>716907190</v>
      </c>
      <c r="B4727" s="52">
        <v>7.1690719E8</v>
      </c>
      <c r="C4727" s="28" t="s">
        <v>4680</v>
      </c>
      <c r="D4727" s="26" t="s">
        <v>56</v>
      </c>
      <c r="E4727" s="31">
        <v>46236.0</v>
      </c>
      <c r="F4727" s="26" t="s">
        <v>46</v>
      </c>
      <c r="G4727" s="26">
        <v>9.0</v>
      </c>
      <c r="I4727" s="26" t="s">
        <v>863</v>
      </c>
      <c r="J4727" s="25" t="str">
        <f t="shared" si="55"/>
        <v>No</v>
      </c>
      <c r="K4727" s="25" t="str">
        <f t="shared" si="56"/>
        <v/>
      </c>
      <c r="L4727" s="25" t="str">
        <f t="shared" si="57"/>
        <v/>
      </c>
      <c r="M4727" s="25"/>
      <c r="O4727" s="25"/>
    </row>
    <row r="4728" ht="15.75" customHeight="1">
      <c r="A4728" s="25" t="str">
        <f>IFERROR(__xludf.DUMMYFUNCTION("IF(B4728="""","""",RIGHT(REGEXREPLACE(B4728&amp;"""",""[^0-9]"",""""),9))"),"771297196")</f>
        <v>771297196</v>
      </c>
      <c r="B4728" s="52">
        <v>7.71297196E8</v>
      </c>
      <c r="C4728" s="28" t="s">
        <v>4681</v>
      </c>
      <c r="D4728" s="26" t="s">
        <v>49</v>
      </c>
      <c r="E4728" s="31">
        <v>46236.0</v>
      </c>
      <c r="F4728" s="26" t="s">
        <v>46</v>
      </c>
      <c r="G4728" s="26">
        <v>11.0</v>
      </c>
      <c r="I4728" s="26" t="s">
        <v>863</v>
      </c>
      <c r="J4728" s="25" t="str">
        <f t="shared" si="55"/>
        <v>No</v>
      </c>
      <c r="K4728" s="25" t="str">
        <f t="shared" si="56"/>
        <v/>
      </c>
      <c r="L4728" s="25" t="str">
        <f t="shared" si="57"/>
        <v/>
      </c>
      <c r="M4728" s="25"/>
      <c r="O4728" s="25"/>
    </row>
    <row r="4729" ht="15.75" customHeight="1">
      <c r="A4729" s="25" t="str">
        <f>IFERROR(__xludf.DUMMYFUNCTION("IF(B4729="""","""",RIGHT(REGEXREPLACE(B4729&amp;"""",""[^0-9]"",""""),9))"),"779734194")</f>
        <v>779734194</v>
      </c>
      <c r="B4729" s="52">
        <v>7.79734194E8</v>
      </c>
      <c r="C4729" s="28" t="s">
        <v>2562</v>
      </c>
      <c r="D4729" s="26" t="s">
        <v>56</v>
      </c>
      <c r="E4729" s="31">
        <v>46236.0</v>
      </c>
      <c r="F4729" s="26" t="s">
        <v>205</v>
      </c>
      <c r="G4729" s="26">
        <v>9.0</v>
      </c>
      <c r="I4729" s="26" t="s">
        <v>863</v>
      </c>
      <c r="J4729" s="25" t="str">
        <f t="shared" si="55"/>
        <v>Yes - see Previous F-Code</v>
      </c>
      <c r="K4729" s="25" t="str">
        <f t="shared" si="56"/>
        <v/>
      </c>
      <c r="L4729" s="25" t="str">
        <f t="shared" si="57"/>
        <v>F72253</v>
      </c>
      <c r="M4729" s="25"/>
      <c r="O4729" s="25"/>
    </row>
    <row r="4730" ht="15.75" customHeight="1">
      <c r="A4730" s="25" t="str">
        <f>IFERROR(__xludf.DUMMYFUNCTION("IF(B4730="""","""",RIGHT(REGEXREPLACE(B4730&amp;"""",""[^0-9]"",""""),9))"),"778482614")</f>
        <v>778482614</v>
      </c>
      <c r="B4730" s="52">
        <v>7.78482614E8</v>
      </c>
      <c r="C4730" s="28" t="s">
        <v>4682</v>
      </c>
      <c r="D4730" s="26" t="s">
        <v>45</v>
      </c>
      <c r="E4730" s="31">
        <v>46236.0</v>
      </c>
      <c r="F4730" s="26" t="s">
        <v>205</v>
      </c>
      <c r="I4730" s="26" t="s">
        <v>863</v>
      </c>
      <c r="J4730" s="25" t="str">
        <f t="shared" si="55"/>
        <v>No</v>
      </c>
      <c r="K4730" s="25" t="str">
        <f t="shared" si="56"/>
        <v/>
      </c>
      <c r="L4730" s="25" t="str">
        <f t="shared" si="57"/>
        <v/>
      </c>
      <c r="M4730" s="25"/>
      <c r="O4730" s="25"/>
    </row>
    <row r="4731" ht="15.75" customHeight="1">
      <c r="A4731" s="25" t="str">
        <f>IFERROR(__xludf.DUMMYFUNCTION("IF(B4731="""","""",RIGHT(REGEXREPLACE(B4731&amp;"""",""[^0-9]"",""""),9))"),"766236953")</f>
        <v>766236953</v>
      </c>
      <c r="B4731" s="52">
        <v>7.66236953E8</v>
      </c>
      <c r="C4731" s="28" t="s">
        <v>4683</v>
      </c>
      <c r="D4731" s="26" t="s">
        <v>64</v>
      </c>
      <c r="E4731" s="31">
        <v>46236.0</v>
      </c>
      <c r="F4731" s="26" t="s">
        <v>41</v>
      </c>
      <c r="G4731" s="26">
        <v>8.0</v>
      </c>
      <c r="I4731" s="26" t="s">
        <v>863</v>
      </c>
      <c r="J4731" s="25" t="str">
        <f t="shared" si="55"/>
        <v>No</v>
      </c>
      <c r="K4731" s="25" t="str">
        <f t="shared" si="56"/>
        <v/>
      </c>
      <c r="L4731" s="25" t="str">
        <f t="shared" si="57"/>
        <v/>
      </c>
      <c r="M4731" s="25"/>
      <c r="O4731" s="26" t="s">
        <v>51</v>
      </c>
    </row>
    <row r="4732" ht="15.75" customHeight="1">
      <c r="A4732" s="25" t="str">
        <f>IFERROR(__xludf.DUMMYFUNCTION("IF(B4732="""","""",RIGHT(REGEXREPLACE(B4732&amp;"""",""[^0-9]"",""""),9))"),"777749029")</f>
        <v>777749029</v>
      </c>
      <c r="B4732" s="52">
        <v>7.77749029E8</v>
      </c>
      <c r="C4732" s="28" t="s">
        <v>4684</v>
      </c>
      <c r="D4732" s="26" t="s">
        <v>56</v>
      </c>
      <c r="E4732" s="31">
        <v>46236.0</v>
      </c>
      <c r="F4732" s="26" t="s">
        <v>46</v>
      </c>
      <c r="G4732" s="26">
        <v>10.0</v>
      </c>
      <c r="I4732" s="26" t="s">
        <v>863</v>
      </c>
      <c r="J4732" s="25" t="str">
        <f t="shared" si="55"/>
        <v>No</v>
      </c>
      <c r="K4732" s="25" t="str">
        <f t="shared" si="56"/>
        <v/>
      </c>
      <c r="L4732" s="25" t="str">
        <f t="shared" si="57"/>
        <v/>
      </c>
      <c r="M4732" s="25"/>
      <c r="O4732" s="25"/>
    </row>
    <row r="4733" ht="15.75" customHeight="1">
      <c r="A4733" s="25" t="str">
        <f>IFERROR(__xludf.DUMMYFUNCTION("IF(B4733="""","""",RIGHT(REGEXREPLACE(B4733&amp;"""",""[^0-9]"",""""),9))"),"714909090")</f>
        <v>714909090</v>
      </c>
      <c r="B4733" s="52">
        <v>7.1490909E8</v>
      </c>
      <c r="C4733" s="28" t="s">
        <v>4685</v>
      </c>
      <c r="D4733" s="26" t="s">
        <v>64</v>
      </c>
      <c r="E4733" s="31">
        <v>46236.0</v>
      </c>
      <c r="F4733" s="26" t="s">
        <v>46</v>
      </c>
      <c r="G4733" s="26">
        <v>9.0</v>
      </c>
      <c r="I4733" s="26" t="s">
        <v>863</v>
      </c>
      <c r="J4733" s="25" t="str">
        <f t="shared" si="55"/>
        <v>No</v>
      </c>
      <c r="K4733" s="25" t="str">
        <f t="shared" si="56"/>
        <v/>
      </c>
      <c r="L4733" s="25" t="str">
        <f t="shared" si="57"/>
        <v/>
      </c>
      <c r="M4733" s="25"/>
      <c r="O4733" s="25"/>
    </row>
    <row r="4734" ht="15.75" customHeight="1">
      <c r="A4734" s="25" t="str">
        <f>IFERROR(__xludf.DUMMYFUNCTION("IF(B4734="""","""",RIGHT(REGEXREPLACE(B4734&amp;"""",""[^0-9]"",""""),9))"),"755933533")</f>
        <v>755933533</v>
      </c>
      <c r="B4734" s="52">
        <v>7.55933533E8</v>
      </c>
      <c r="C4734" s="28" t="s">
        <v>4686</v>
      </c>
      <c r="D4734" s="26" t="s">
        <v>45</v>
      </c>
      <c r="E4734" s="31">
        <v>46236.0</v>
      </c>
      <c r="F4734" s="26" t="s">
        <v>46</v>
      </c>
      <c r="G4734" s="26">
        <v>11.0</v>
      </c>
      <c r="I4734" s="26" t="s">
        <v>863</v>
      </c>
      <c r="J4734" s="25" t="str">
        <f t="shared" si="55"/>
        <v>No</v>
      </c>
      <c r="K4734" s="25" t="str">
        <f t="shared" si="56"/>
        <v/>
      </c>
      <c r="L4734" s="25" t="str">
        <f t="shared" si="57"/>
        <v/>
      </c>
      <c r="M4734" s="25"/>
      <c r="O4734" s="25"/>
    </row>
    <row r="4735" ht="15.75" customHeight="1">
      <c r="A4735" s="25" t="str">
        <f>IFERROR(__xludf.DUMMYFUNCTION("IF(B4735="""","""",RIGHT(REGEXREPLACE(B4735&amp;"""",""[^0-9]"",""""),9))"),"775724431")</f>
        <v>775724431</v>
      </c>
      <c r="B4735" s="52">
        <v>7.75724431E8</v>
      </c>
      <c r="C4735" s="28" t="s">
        <v>4687</v>
      </c>
      <c r="D4735" s="26" t="s">
        <v>49</v>
      </c>
      <c r="E4735" s="31">
        <v>46236.0</v>
      </c>
      <c r="F4735" s="26" t="s">
        <v>46</v>
      </c>
      <c r="G4735" s="26">
        <v>10.0</v>
      </c>
      <c r="I4735" s="26" t="s">
        <v>863</v>
      </c>
      <c r="J4735" s="25" t="str">
        <f t="shared" si="55"/>
        <v>No</v>
      </c>
      <c r="K4735" s="25" t="str">
        <f t="shared" si="56"/>
        <v/>
      </c>
      <c r="L4735" s="25" t="str">
        <f t="shared" si="57"/>
        <v/>
      </c>
      <c r="M4735" s="25"/>
      <c r="O4735" s="25"/>
    </row>
    <row r="4736" ht="15.75" customHeight="1">
      <c r="A4736" s="25" t="str">
        <f>IFERROR(__xludf.DUMMYFUNCTION("IF(B4736="""","""",RIGHT(REGEXREPLACE(B4736&amp;"""",""[^0-9]"",""""),9))"),"788498042")</f>
        <v>788498042</v>
      </c>
      <c r="B4736" s="52">
        <v>7.88498042E8</v>
      </c>
      <c r="C4736" s="28" t="s">
        <v>4688</v>
      </c>
      <c r="D4736" s="26" t="s">
        <v>56</v>
      </c>
      <c r="E4736" s="31">
        <v>46236.0</v>
      </c>
      <c r="F4736" s="26" t="s">
        <v>46</v>
      </c>
      <c r="G4736" s="26">
        <v>10.0</v>
      </c>
      <c r="I4736" s="26" t="s">
        <v>863</v>
      </c>
      <c r="J4736" s="25" t="str">
        <f t="shared" si="55"/>
        <v>No</v>
      </c>
      <c r="K4736" s="25" t="str">
        <f t="shared" si="56"/>
        <v/>
      </c>
      <c r="L4736" s="25" t="str">
        <f t="shared" si="57"/>
        <v/>
      </c>
      <c r="M4736" s="25"/>
      <c r="O4736" s="25"/>
    </row>
    <row r="4737" ht="15.75" customHeight="1">
      <c r="A4737" s="25" t="str">
        <f>IFERROR(__xludf.DUMMYFUNCTION("IF(B4737="""","""",RIGHT(REGEXREPLACE(B4737&amp;"""",""[^0-9]"",""""),9))"),"752153325")</f>
        <v>752153325</v>
      </c>
      <c r="B4737" s="52">
        <v>7.52153325E8</v>
      </c>
      <c r="C4737" s="28" t="s">
        <v>4689</v>
      </c>
      <c r="D4737" s="26" t="s">
        <v>64</v>
      </c>
      <c r="E4737" s="31">
        <v>46236.0</v>
      </c>
      <c r="F4737" s="26" t="s">
        <v>46</v>
      </c>
      <c r="G4737" s="26">
        <v>9.0</v>
      </c>
      <c r="I4737" s="26" t="s">
        <v>863</v>
      </c>
      <c r="J4737" s="25" t="str">
        <f t="shared" si="55"/>
        <v>No</v>
      </c>
      <c r="K4737" s="25" t="str">
        <f t="shared" si="56"/>
        <v/>
      </c>
      <c r="L4737" s="25" t="str">
        <f t="shared" si="57"/>
        <v/>
      </c>
      <c r="M4737" s="25"/>
      <c r="O4737" s="25"/>
    </row>
    <row r="4738" ht="15.75" customHeight="1">
      <c r="A4738" s="25" t="str">
        <f>IFERROR(__xludf.DUMMYFUNCTION("IF(B4738="""","""",RIGHT(REGEXREPLACE(B4738&amp;"""",""[^0-9]"",""""),9))"),"768100517")</f>
        <v>768100517</v>
      </c>
      <c r="B4738" s="52">
        <v>7.68100517E8</v>
      </c>
      <c r="C4738" s="28" t="s">
        <v>4690</v>
      </c>
      <c r="D4738" s="26" t="s">
        <v>45</v>
      </c>
      <c r="E4738" s="31">
        <v>46236.0</v>
      </c>
      <c r="F4738" s="26" t="s">
        <v>46</v>
      </c>
      <c r="G4738" s="26">
        <v>9.0</v>
      </c>
      <c r="I4738" s="26" t="s">
        <v>863</v>
      </c>
      <c r="J4738" s="25" t="str">
        <f t="shared" si="55"/>
        <v>No</v>
      </c>
      <c r="K4738" s="25" t="str">
        <f t="shared" si="56"/>
        <v/>
      </c>
      <c r="L4738" s="25" t="str">
        <f t="shared" si="57"/>
        <v/>
      </c>
      <c r="M4738" s="25"/>
      <c r="O4738" s="25"/>
    </row>
    <row r="4739" ht="15.75" customHeight="1">
      <c r="A4739" s="25" t="str">
        <f>IFERROR(__xludf.DUMMYFUNCTION("IF(B4739="""","""",RIGHT(REGEXREPLACE(B4739&amp;"""",""[^0-9]"",""""),9))"),"757211702")</f>
        <v>757211702</v>
      </c>
      <c r="B4739" s="52">
        <v>7.57211702E8</v>
      </c>
      <c r="C4739" s="28" t="s">
        <v>4691</v>
      </c>
      <c r="D4739" s="26" t="s">
        <v>56</v>
      </c>
      <c r="E4739" s="31">
        <v>46236.0</v>
      </c>
      <c r="F4739" s="26" t="s">
        <v>631</v>
      </c>
      <c r="G4739" s="26">
        <v>7.0</v>
      </c>
      <c r="I4739" s="26" t="s">
        <v>863</v>
      </c>
      <c r="J4739" s="25" t="str">
        <f t="shared" si="55"/>
        <v>No</v>
      </c>
      <c r="K4739" s="25" t="str">
        <f t="shared" si="56"/>
        <v/>
      </c>
      <c r="L4739" s="25" t="str">
        <f t="shared" si="57"/>
        <v/>
      </c>
      <c r="M4739" s="25"/>
      <c r="O4739" s="26" t="s">
        <v>51</v>
      </c>
    </row>
    <row r="4740" ht="15.75" customHeight="1">
      <c r="A4740" s="25" t="str">
        <f>IFERROR(__xludf.DUMMYFUNCTION("IF(B4740="""","""",RIGHT(REGEXREPLACE(B4740&amp;"""",""[^0-9]"",""""),9))"),"728036257")</f>
        <v>728036257</v>
      </c>
      <c r="B4740" s="52">
        <v>7.28036257E8</v>
      </c>
      <c r="C4740" s="28" t="s">
        <v>4692</v>
      </c>
      <c r="D4740" s="26" t="s">
        <v>49</v>
      </c>
      <c r="E4740" s="31">
        <v>46236.0</v>
      </c>
      <c r="F4740" s="26" t="s">
        <v>205</v>
      </c>
      <c r="I4740" s="26" t="s">
        <v>863</v>
      </c>
      <c r="J4740" s="25" t="str">
        <f t="shared" si="55"/>
        <v>No</v>
      </c>
      <c r="K4740" s="25" t="str">
        <f t="shared" si="56"/>
        <v/>
      </c>
      <c r="L4740" s="25" t="str">
        <f t="shared" si="57"/>
        <v/>
      </c>
      <c r="M4740" s="25"/>
      <c r="O4740" s="25"/>
    </row>
    <row r="4741" ht="15.75" customHeight="1">
      <c r="A4741" s="25" t="str">
        <f>IFERROR(__xludf.DUMMYFUNCTION("IF(B4741="""","""",RIGHT(REGEXREPLACE(B4741&amp;"""",""[^0-9]"",""""),9))"),"765540170")</f>
        <v>765540170</v>
      </c>
      <c r="B4741" s="52">
        <v>7.6554017E8</v>
      </c>
      <c r="C4741" s="28" t="s">
        <v>4693</v>
      </c>
      <c r="D4741" s="26" t="s">
        <v>45</v>
      </c>
      <c r="E4741" s="31">
        <v>46236.0</v>
      </c>
      <c r="F4741" s="26" t="s">
        <v>46</v>
      </c>
      <c r="G4741" s="26">
        <v>9.0</v>
      </c>
      <c r="I4741" s="26" t="s">
        <v>863</v>
      </c>
      <c r="J4741" s="25" t="str">
        <f t="shared" si="55"/>
        <v>No</v>
      </c>
      <c r="K4741" s="25" t="str">
        <f t="shared" si="56"/>
        <v/>
      </c>
      <c r="L4741" s="25" t="str">
        <f t="shared" si="57"/>
        <v/>
      </c>
      <c r="M4741" s="25"/>
      <c r="O4741" s="25"/>
    </row>
    <row r="4742" ht="15.75" customHeight="1">
      <c r="A4742" s="25" t="str">
        <f>IFERROR(__xludf.DUMMYFUNCTION("IF(B4742="""","""",RIGHT(REGEXREPLACE(B4742&amp;"""",""[^0-9]"",""""),9))"),"774225800")</f>
        <v>774225800</v>
      </c>
      <c r="B4742" s="52">
        <v>7.742258E8</v>
      </c>
      <c r="C4742" s="28" t="s">
        <v>4694</v>
      </c>
      <c r="D4742" s="26" t="s">
        <v>49</v>
      </c>
      <c r="E4742" s="31">
        <v>46236.0</v>
      </c>
      <c r="F4742" s="26" t="s">
        <v>46</v>
      </c>
      <c r="G4742" s="26">
        <v>10.0</v>
      </c>
      <c r="I4742" s="26" t="s">
        <v>863</v>
      </c>
      <c r="J4742" s="25" t="str">
        <f t="shared" si="55"/>
        <v>No</v>
      </c>
      <c r="K4742" s="25" t="str">
        <f t="shared" si="56"/>
        <v/>
      </c>
      <c r="L4742" s="25" t="str">
        <f t="shared" si="57"/>
        <v/>
      </c>
      <c r="M4742" s="25"/>
      <c r="O4742" s="25"/>
    </row>
    <row r="4743" ht="15.75" customHeight="1">
      <c r="A4743" s="25" t="str">
        <f>IFERROR(__xludf.DUMMYFUNCTION("IF(B4743="""","""",RIGHT(REGEXREPLACE(B4743&amp;"""",""[^0-9]"",""""),9))"),"776885431")</f>
        <v>776885431</v>
      </c>
      <c r="B4743" s="52">
        <v>7.76885431E8</v>
      </c>
      <c r="C4743" s="28" t="s">
        <v>4695</v>
      </c>
      <c r="D4743" s="26" t="s">
        <v>45</v>
      </c>
      <c r="E4743" s="31">
        <v>46236.0</v>
      </c>
      <c r="F4743" s="26" t="s">
        <v>46</v>
      </c>
      <c r="G4743" s="26">
        <v>11.0</v>
      </c>
      <c r="I4743" s="26" t="s">
        <v>863</v>
      </c>
      <c r="J4743" s="25" t="str">
        <f t="shared" si="55"/>
        <v>No</v>
      </c>
      <c r="K4743" s="25" t="str">
        <f t="shared" si="56"/>
        <v/>
      </c>
      <c r="L4743" s="25" t="str">
        <f t="shared" si="57"/>
        <v/>
      </c>
      <c r="M4743" s="25"/>
      <c r="O4743" s="25"/>
    </row>
    <row r="4744" ht="15.75" customHeight="1">
      <c r="A4744" s="25" t="str">
        <f>IFERROR(__xludf.DUMMYFUNCTION("IF(B4744="""","""",RIGHT(REGEXREPLACE(B4744&amp;"""",""[^0-9]"",""""),9))"),"771798022")</f>
        <v>771798022</v>
      </c>
      <c r="B4744" s="52">
        <v>7.71798022E8</v>
      </c>
      <c r="C4744" s="28" t="s">
        <v>4696</v>
      </c>
      <c r="D4744" s="26" t="s">
        <v>56</v>
      </c>
      <c r="E4744" s="31">
        <v>46236.0</v>
      </c>
      <c r="F4744" s="26" t="s">
        <v>46</v>
      </c>
      <c r="G4744" s="26">
        <v>9.0</v>
      </c>
      <c r="I4744" s="26" t="s">
        <v>863</v>
      </c>
      <c r="J4744" s="25" t="str">
        <f t="shared" si="55"/>
        <v>No</v>
      </c>
      <c r="K4744" s="25" t="str">
        <f t="shared" si="56"/>
        <v/>
      </c>
      <c r="L4744" s="25" t="str">
        <f t="shared" si="57"/>
        <v/>
      </c>
      <c r="M4744" s="25"/>
      <c r="O4744" s="26" t="s">
        <v>51</v>
      </c>
    </row>
    <row r="4745" ht="15.75" customHeight="1">
      <c r="A4745" s="25" t="str">
        <f>IFERROR(__xludf.DUMMYFUNCTION("IF(B4745="""","""",RIGHT(REGEXREPLACE(B4745&amp;"""",""[^0-9]"",""""),9))"),"764941817")</f>
        <v>764941817</v>
      </c>
      <c r="B4745" s="52">
        <v>7.64941817E8</v>
      </c>
      <c r="C4745" s="28" t="s">
        <v>4697</v>
      </c>
      <c r="D4745" s="26" t="s">
        <v>45</v>
      </c>
      <c r="E4745" s="31">
        <v>46236.0</v>
      </c>
      <c r="F4745" s="26" t="s">
        <v>46</v>
      </c>
      <c r="G4745" s="26">
        <v>11.0</v>
      </c>
      <c r="I4745" s="26" t="s">
        <v>863</v>
      </c>
      <c r="J4745" s="25" t="str">
        <f t="shared" si="55"/>
        <v>No</v>
      </c>
      <c r="K4745" s="25" t="str">
        <f t="shared" si="56"/>
        <v/>
      </c>
      <c r="L4745" s="25" t="str">
        <f t="shared" si="57"/>
        <v/>
      </c>
      <c r="M4745" s="25"/>
      <c r="O4745" s="25"/>
    </row>
    <row r="4746" ht="15.75" customHeight="1">
      <c r="A4746" s="25" t="str">
        <f>IFERROR(__xludf.DUMMYFUNCTION("IF(B4746="""","""",RIGHT(REGEXREPLACE(B4746&amp;"""",""[^0-9]"",""""),9))"),"764587172")</f>
        <v>764587172</v>
      </c>
      <c r="B4746" s="52">
        <v>7.64587172E8</v>
      </c>
      <c r="C4746" s="28" t="s">
        <v>4698</v>
      </c>
      <c r="D4746" s="26" t="s">
        <v>49</v>
      </c>
      <c r="E4746" s="31">
        <v>46236.0</v>
      </c>
      <c r="F4746" s="26" t="s">
        <v>659</v>
      </c>
      <c r="G4746" s="26">
        <v>10.0</v>
      </c>
      <c r="I4746" s="26" t="s">
        <v>863</v>
      </c>
      <c r="J4746" s="25" t="str">
        <f t="shared" si="55"/>
        <v>No</v>
      </c>
      <c r="K4746" s="25" t="str">
        <f t="shared" si="56"/>
        <v/>
      </c>
      <c r="L4746" s="25" t="str">
        <f t="shared" si="57"/>
        <v/>
      </c>
      <c r="M4746" s="25"/>
      <c r="O4746" s="25"/>
    </row>
    <row r="4747" ht="15.75" customHeight="1">
      <c r="A4747" s="25" t="str">
        <f>IFERROR(__xludf.DUMMYFUNCTION("IF(B4747="""","""",RIGHT(REGEXREPLACE(B4747&amp;"""",""[^0-9]"",""""),9))"),"778457915")</f>
        <v>778457915</v>
      </c>
      <c r="B4747" s="52">
        <v>7.78457915E8</v>
      </c>
      <c r="C4747" s="28" t="s">
        <v>4699</v>
      </c>
      <c r="D4747" s="26" t="s">
        <v>56</v>
      </c>
      <c r="E4747" s="31">
        <v>46236.0</v>
      </c>
      <c r="F4747" s="26" t="s">
        <v>46</v>
      </c>
      <c r="G4747" s="26">
        <v>11.0</v>
      </c>
      <c r="I4747" s="26" t="s">
        <v>863</v>
      </c>
      <c r="J4747" s="25" t="str">
        <f t="shared" si="55"/>
        <v>No</v>
      </c>
      <c r="K4747" s="25" t="str">
        <f t="shared" si="56"/>
        <v/>
      </c>
      <c r="L4747" s="25" t="str">
        <f t="shared" si="57"/>
        <v/>
      </c>
      <c r="M4747" s="25"/>
      <c r="O4747" s="25"/>
    </row>
    <row r="4748" ht="15.75" customHeight="1">
      <c r="A4748" s="25" t="str">
        <f>IFERROR(__xludf.DUMMYFUNCTION("IF(B4748="""","""",RIGHT(REGEXREPLACE(B4748&amp;"""",""[^0-9]"",""""),9))"),"771954662")</f>
        <v>771954662</v>
      </c>
      <c r="B4748" s="52">
        <v>7.71954662E8</v>
      </c>
      <c r="C4748" s="28" t="s">
        <v>4700</v>
      </c>
      <c r="D4748" s="26" t="s">
        <v>49</v>
      </c>
      <c r="E4748" s="31">
        <v>46236.0</v>
      </c>
      <c r="F4748" s="26" t="s">
        <v>205</v>
      </c>
      <c r="G4748" s="26">
        <v>8.0</v>
      </c>
      <c r="I4748" s="26" t="s">
        <v>863</v>
      </c>
      <c r="J4748" s="25" t="str">
        <f t="shared" si="55"/>
        <v>No</v>
      </c>
      <c r="K4748" s="25" t="str">
        <f t="shared" si="56"/>
        <v/>
      </c>
      <c r="L4748" s="25" t="str">
        <f t="shared" si="57"/>
        <v/>
      </c>
      <c r="M4748" s="25"/>
      <c r="O4748" s="25"/>
    </row>
    <row r="4749" ht="15.75" customHeight="1">
      <c r="A4749" s="25" t="str">
        <f>IFERROR(__xludf.DUMMYFUNCTION("IF(B4749="""","""",RIGHT(REGEXREPLACE(B4749&amp;"""",""[^0-9]"",""""),9))"),"776219775")</f>
        <v>776219775</v>
      </c>
      <c r="B4749" s="52">
        <v>7.76219775E8</v>
      </c>
      <c r="C4749" s="28" t="s">
        <v>4701</v>
      </c>
      <c r="D4749" s="26" t="s">
        <v>45</v>
      </c>
      <c r="E4749" s="31">
        <v>46236.0</v>
      </c>
      <c r="F4749" s="26" t="s">
        <v>46</v>
      </c>
      <c r="G4749" s="26">
        <v>9.0</v>
      </c>
      <c r="I4749" s="26" t="s">
        <v>863</v>
      </c>
      <c r="J4749" s="25" t="str">
        <f t="shared" si="55"/>
        <v>No</v>
      </c>
      <c r="K4749" s="25" t="str">
        <f t="shared" si="56"/>
        <v/>
      </c>
      <c r="L4749" s="25" t="str">
        <f t="shared" si="57"/>
        <v/>
      </c>
      <c r="M4749" s="25"/>
      <c r="O4749" s="25"/>
    </row>
    <row r="4750" ht="15.75" customHeight="1">
      <c r="A4750" s="25" t="str">
        <f>IFERROR(__xludf.DUMMYFUNCTION("IF(B4750="""","""",RIGHT(REGEXREPLACE(B4750&amp;"""",""[^0-9]"",""""),9))"),"764638712")</f>
        <v>764638712</v>
      </c>
      <c r="B4750" s="52">
        <v>7.64638712E8</v>
      </c>
      <c r="C4750" s="28" t="s">
        <v>4702</v>
      </c>
      <c r="D4750" s="26" t="s">
        <v>45</v>
      </c>
      <c r="E4750" s="31">
        <v>46236.0</v>
      </c>
      <c r="F4750" s="26" t="s">
        <v>41</v>
      </c>
      <c r="I4750" s="26" t="s">
        <v>863</v>
      </c>
      <c r="J4750" s="25" t="str">
        <f t="shared" si="55"/>
        <v>No</v>
      </c>
      <c r="K4750" s="25" t="str">
        <f t="shared" si="56"/>
        <v/>
      </c>
      <c r="L4750" s="25" t="str">
        <f t="shared" si="57"/>
        <v/>
      </c>
      <c r="M4750" s="25"/>
      <c r="O4750" s="25"/>
    </row>
    <row r="4751" ht="15.75" customHeight="1">
      <c r="A4751" s="25" t="str">
        <f>IFERROR(__xludf.DUMMYFUNCTION("IF(B4751="""","""",RIGHT(REGEXREPLACE(B4751&amp;"""",""[^0-9]"",""""),9))"),"711134278")</f>
        <v>711134278</v>
      </c>
      <c r="B4751" s="52">
        <v>7.11134278E8</v>
      </c>
      <c r="C4751" s="28" t="s">
        <v>4703</v>
      </c>
      <c r="D4751" s="26" t="s">
        <v>49</v>
      </c>
      <c r="E4751" s="31">
        <v>46236.0</v>
      </c>
      <c r="F4751" s="26" t="s">
        <v>46</v>
      </c>
      <c r="G4751" s="26">
        <v>10.0</v>
      </c>
      <c r="I4751" s="26" t="s">
        <v>863</v>
      </c>
      <c r="J4751" s="25" t="str">
        <f t="shared" si="55"/>
        <v>No</v>
      </c>
      <c r="K4751" s="25" t="str">
        <f t="shared" si="56"/>
        <v/>
      </c>
      <c r="L4751" s="25" t="str">
        <f t="shared" si="57"/>
        <v/>
      </c>
      <c r="M4751" s="25"/>
      <c r="O4751" s="25"/>
    </row>
    <row r="4752" ht="15.75" customHeight="1">
      <c r="A4752" s="25" t="str">
        <f>IFERROR(__xludf.DUMMYFUNCTION("IF(B4752="""","""",RIGHT(REGEXREPLACE(B4752&amp;"""",""[^0-9]"",""""),9))"),"713682333")</f>
        <v>713682333</v>
      </c>
      <c r="B4752" s="52">
        <v>7.13682333E8</v>
      </c>
      <c r="C4752" s="28" t="s">
        <v>4689</v>
      </c>
      <c r="D4752" s="26" t="s">
        <v>64</v>
      </c>
      <c r="E4752" s="31">
        <v>46236.0</v>
      </c>
      <c r="F4752" s="26" t="s">
        <v>41</v>
      </c>
      <c r="I4752" s="26" t="s">
        <v>863</v>
      </c>
      <c r="J4752" s="25" t="str">
        <f t="shared" si="55"/>
        <v>No</v>
      </c>
      <c r="K4752" s="25" t="str">
        <f t="shared" si="56"/>
        <v/>
      </c>
      <c r="L4752" s="25" t="str">
        <f t="shared" si="57"/>
        <v/>
      </c>
      <c r="M4752" s="25"/>
      <c r="O4752" s="26" t="s">
        <v>51</v>
      </c>
    </row>
    <row r="4753" ht="15.75" customHeight="1">
      <c r="A4753" s="25" t="str">
        <f>IFERROR(__xludf.DUMMYFUNCTION("IF(B4753="""","""",RIGHT(REGEXREPLACE(B4753&amp;"""",""[^0-9]"",""""),9))"),"769163593")</f>
        <v>769163593</v>
      </c>
      <c r="B4753" s="52">
        <v>7.69163593E8</v>
      </c>
      <c r="C4753" s="28" t="s">
        <v>4704</v>
      </c>
      <c r="D4753" s="26" t="s">
        <v>45</v>
      </c>
      <c r="E4753" s="31">
        <v>46236.0</v>
      </c>
      <c r="F4753" s="26" t="s">
        <v>46</v>
      </c>
      <c r="G4753" s="26">
        <v>10.0</v>
      </c>
      <c r="I4753" s="26" t="s">
        <v>863</v>
      </c>
      <c r="J4753" s="25" t="str">
        <f t="shared" si="55"/>
        <v>No</v>
      </c>
      <c r="K4753" s="25" t="str">
        <f t="shared" si="56"/>
        <v/>
      </c>
      <c r="L4753" s="25" t="str">
        <f t="shared" si="57"/>
        <v/>
      </c>
      <c r="M4753" s="25"/>
      <c r="O4753" s="25"/>
    </row>
    <row r="4754" ht="15.75" customHeight="1">
      <c r="A4754" s="25" t="str">
        <f>IFERROR(__xludf.DUMMYFUNCTION("IF(B4754="""","""",RIGHT(REGEXREPLACE(B4754&amp;"""",""[^0-9]"",""""),9))"),"718849751")</f>
        <v>718849751</v>
      </c>
      <c r="B4754" s="52">
        <v>7.18849751E8</v>
      </c>
      <c r="C4754" s="28" t="s">
        <v>4705</v>
      </c>
      <c r="D4754" s="26" t="s">
        <v>56</v>
      </c>
      <c r="E4754" s="31">
        <v>46236.0</v>
      </c>
      <c r="F4754" s="26" t="s">
        <v>46</v>
      </c>
      <c r="G4754" s="26">
        <v>9.0</v>
      </c>
      <c r="I4754" s="26" t="s">
        <v>863</v>
      </c>
      <c r="J4754" s="25" t="str">
        <f t="shared" si="55"/>
        <v>No</v>
      </c>
      <c r="K4754" s="25" t="str">
        <f t="shared" si="56"/>
        <v/>
      </c>
      <c r="L4754" s="25" t="str">
        <f t="shared" si="57"/>
        <v/>
      </c>
      <c r="M4754" s="25"/>
      <c r="O4754" s="25"/>
    </row>
    <row r="4755" ht="15.75" customHeight="1">
      <c r="A4755" s="25" t="str">
        <f>IFERROR(__xludf.DUMMYFUNCTION("IF(B4755="""","""",RIGHT(REGEXREPLACE(B4755&amp;"""",""[^0-9]"",""""),9))"),"778122689")</f>
        <v>778122689</v>
      </c>
      <c r="B4755" s="52">
        <v>7.78122689E8</v>
      </c>
      <c r="C4755" s="28" t="s">
        <v>4706</v>
      </c>
      <c r="D4755" s="26" t="s">
        <v>45</v>
      </c>
      <c r="E4755" s="31">
        <v>46236.0</v>
      </c>
      <c r="F4755" s="26" t="s">
        <v>46</v>
      </c>
      <c r="G4755" s="26">
        <v>10.0</v>
      </c>
      <c r="I4755" s="26" t="s">
        <v>863</v>
      </c>
      <c r="J4755" s="25" t="str">
        <f t="shared" si="55"/>
        <v>No</v>
      </c>
      <c r="K4755" s="25" t="str">
        <f t="shared" si="56"/>
        <v/>
      </c>
      <c r="L4755" s="25" t="str">
        <f t="shared" si="57"/>
        <v/>
      </c>
      <c r="M4755" s="25"/>
      <c r="O4755" s="25"/>
    </row>
    <row r="4756" ht="15.75" customHeight="1">
      <c r="A4756" s="25" t="str">
        <f>IFERROR(__xludf.DUMMYFUNCTION("IF(B4756="""","""",RIGHT(REGEXREPLACE(B4756&amp;"""",""[^0-9]"",""""),9))"),"788451391")</f>
        <v>788451391</v>
      </c>
      <c r="B4756" s="52">
        <v>7.88451391E8</v>
      </c>
      <c r="C4756" s="28" t="s">
        <v>4707</v>
      </c>
      <c r="D4756" s="26" t="s">
        <v>49</v>
      </c>
      <c r="E4756" s="31">
        <v>46236.0</v>
      </c>
      <c r="F4756" s="26" t="s">
        <v>46</v>
      </c>
      <c r="G4756" s="26">
        <v>10.0</v>
      </c>
      <c r="I4756" s="26" t="s">
        <v>863</v>
      </c>
      <c r="J4756" s="25" t="str">
        <f t="shared" si="55"/>
        <v>No</v>
      </c>
      <c r="K4756" s="25" t="str">
        <f t="shared" si="56"/>
        <v/>
      </c>
      <c r="L4756" s="25" t="str">
        <f t="shared" si="57"/>
        <v/>
      </c>
      <c r="M4756" s="25"/>
      <c r="O4756" s="25"/>
    </row>
    <row r="4757" ht="15.75" customHeight="1">
      <c r="A4757" s="25" t="str">
        <f>IFERROR(__xludf.DUMMYFUNCTION("IF(B4757="""","""",RIGHT(REGEXREPLACE(B4757&amp;"""",""[^0-9]"",""""),9))"),"742319547")</f>
        <v>742319547</v>
      </c>
      <c r="B4757" s="52">
        <v>7.42319547E8</v>
      </c>
      <c r="C4757" s="28" t="s">
        <v>4708</v>
      </c>
      <c r="D4757" s="26" t="s">
        <v>64</v>
      </c>
      <c r="E4757" s="31">
        <v>46236.0</v>
      </c>
      <c r="F4757" s="26" t="s">
        <v>125</v>
      </c>
      <c r="I4757" s="26" t="s">
        <v>863</v>
      </c>
      <c r="J4757" s="25" t="str">
        <f t="shared" si="55"/>
        <v>No</v>
      </c>
      <c r="K4757" s="25" t="str">
        <f t="shared" si="56"/>
        <v/>
      </c>
      <c r="L4757" s="25" t="str">
        <f t="shared" si="57"/>
        <v/>
      </c>
      <c r="M4757" s="25"/>
      <c r="O4757" s="25"/>
    </row>
    <row r="4758" ht="15.75" customHeight="1">
      <c r="A4758" s="25" t="str">
        <f>IFERROR(__xludf.DUMMYFUNCTION("IF(B4758="""","""",RIGHT(REGEXREPLACE(B4758&amp;"""",""[^0-9]"",""""),9))"),"771642745")</f>
        <v>771642745</v>
      </c>
      <c r="B4758" s="52">
        <v>7.71642745E8</v>
      </c>
      <c r="C4758" s="28" t="s">
        <v>4709</v>
      </c>
      <c r="D4758" s="26" t="s">
        <v>49</v>
      </c>
      <c r="E4758" s="31">
        <v>46236.0</v>
      </c>
      <c r="F4758" s="26" t="s">
        <v>659</v>
      </c>
      <c r="G4758" s="26">
        <v>11.0</v>
      </c>
      <c r="I4758" s="26" t="s">
        <v>863</v>
      </c>
      <c r="J4758" s="25" t="str">
        <f t="shared" si="55"/>
        <v>No</v>
      </c>
      <c r="K4758" s="25" t="str">
        <f t="shared" si="56"/>
        <v/>
      </c>
      <c r="L4758" s="25" t="str">
        <f t="shared" si="57"/>
        <v/>
      </c>
      <c r="M4758" s="25"/>
      <c r="O4758" s="25"/>
    </row>
    <row r="4759" ht="15.75" customHeight="1">
      <c r="A4759" s="25" t="str">
        <f>IFERROR(__xludf.DUMMYFUNCTION("IF(B4759="""","""",RIGHT(REGEXREPLACE(B4759&amp;"""",""[^0-9]"",""""),9))"),"742197874")</f>
        <v>742197874</v>
      </c>
      <c r="B4759" s="52">
        <v>7.42197874E8</v>
      </c>
      <c r="C4759" s="28" t="s">
        <v>4710</v>
      </c>
      <c r="D4759" s="26" t="s">
        <v>45</v>
      </c>
      <c r="E4759" s="31">
        <v>46236.0</v>
      </c>
      <c r="F4759" s="26" t="s">
        <v>164</v>
      </c>
      <c r="I4759" s="26" t="s">
        <v>863</v>
      </c>
      <c r="J4759" s="25" t="str">
        <f t="shared" si="55"/>
        <v>No</v>
      </c>
      <c r="K4759" s="25" t="str">
        <f t="shared" si="56"/>
        <v/>
      </c>
      <c r="L4759" s="25" t="str">
        <f t="shared" si="57"/>
        <v/>
      </c>
      <c r="M4759" s="25"/>
      <c r="O4759" s="25"/>
    </row>
    <row r="4760" ht="15.75" customHeight="1">
      <c r="A4760" s="25" t="str">
        <f>IFERROR(__xludf.DUMMYFUNCTION("IF(B4760="""","""",RIGHT(REGEXREPLACE(B4760&amp;"""",""[^0-9]"",""""),9))"),"762968673")</f>
        <v>762968673</v>
      </c>
      <c r="B4760" s="52">
        <v>7.62968673E8</v>
      </c>
      <c r="C4760" s="28" t="s">
        <v>4711</v>
      </c>
      <c r="D4760" s="26" t="s">
        <v>56</v>
      </c>
      <c r="E4760" s="31">
        <v>46236.0</v>
      </c>
      <c r="F4760" s="26" t="s">
        <v>46</v>
      </c>
      <c r="G4760" s="26">
        <v>8.0</v>
      </c>
      <c r="I4760" s="26" t="s">
        <v>863</v>
      </c>
      <c r="J4760" s="25" t="str">
        <f t="shared" si="55"/>
        <v>No</v>
      </c>
      <c r="K4760" s="25" t="str">
        <f t="shared" si="56"/>
        <v/>
      </c>
      <c r="L4760" s="25" t="str">
        <f t="shared" si="57"/>
        <v/>
      </c>
      <c r="M4760" s="25"/>
      <c r="O4760" s="25"/>
    </row>
    <row r="4761" ht="15.75" customHeight="1">
      <c r="A4761" s="25" t="str">
        <f>IFERROR(__xludf.DUMMYFUNCTION("IF(B4761="""","""",RIGHT(REGEXREPLACE(B4761&amp;"""",""[^0-9]"",""""),9))"),"765924126")</f>
        <v>765924126</v>
      </c>
      <c r="B4761" s="52">
        <v>7.65924126E8</v>
      </c>
      <c r="C4761" s="28" t="s">
        <v>4712</v>
      </c>
      <c r="D4761" s="26" t="s">
        <v>64</v>
      </c>
      <c r="E4761" s="31">
        <v>46236.0</v>
      </c>
      <c r="F4761" s="26" t="s">
        <v>41</v>
      </c>
      <c r="G4761" s="26">
        <v>10.0</v>
      </c>
      <c r="I4761" s="26" t="s">
        <v>863</v>
      </c>
      <c r="J4761" s="25" t="str">
        <f t="shared" si="55"/>
        <v>No</v>
      </c>
      <c r="K4761" s="25" t="str">
        <f t="shared" si="56"/>
        <v/>
      </c>
      <c r="L4761" s="25" t="str">
        <f t="shared" si="57"/>
        <v/>
      </c>
      <c r="M4761" s="25"/>
      <c r="O4761" s="25"/>
    </row>
    <row r="4762" ht="15.75" customHeight="1">
      <c r="A4762" s="25" t="str">
        <f>IFERROR(__xludf.DUMMYFUNCTION("IF(B4762="""","""",RIGHT(REGEXREPLACE(B4762&amp;"""",""[^0-9]"",""""),9))"),"756773538")</f>
        <v>756773538</v>
      </c>
      <c r="B4762" s="52">
        <v>7.56773538E8</v>
      </c>
      <c r="C4762" s="28" t="s">
        <v>4713</v>
      </c>
      <c r="D4762" s="26" t="s">
        <v>49</v>
      </c>
      <c r="E4762" s="31">
        <v>46236.0</v>
      </c>
      <c r="F4762" s="26" t="s">
        <v>46</v>
      </c>
      <c r="G4762" s="26">
        <v>10.0</v>
      </c>
      <c r="H4762" s="26" t="s">
        <v>4714</v>
      </c>
      <c r="I4762" s="26" t="s">
        <v>863</v>
      </c>
      <c r="J4762" s="25" t="str">
        <f t="shared" si="55"/>
        <v>No</v>
      </c>
      <c r="K4762" s="25" t="str">
        <f t="shared" si="56"/>
        <v/>
      </c>
      <c r="L4762" s="25" t="str">
        <f t="shared" si="57"/>
        <v/>
      </c>
      <c r="M4762" s="25"/>
      <c r="O4762" s="25"/>
    </row>
    <row r="4763" ht="15.75" customHeight="1">
      <c r="A4763" s="25" t="str">
        <f>IFERROR(__xludf.DUMMYFUNCTION("IF(B4763="""","""",RIGHT(REGEXREPLACE(B4763&amp;"""",""[^0-9]"",""""),9))"),"763542487")</f>
        <v>763542487</v>
      </c>
      <c r="B4763" s="52">
        <v>7.63542487E8</v>
      </c>
      <c r="C4763" s="28" t="s">
        <v>4715</v>
      </c>
      <c r="D4763" s="26" t="s">
        <v>45</v>
      </c>
      <c r="E4763" s="31">
        <v>46236.0</v>
      </c>
      <c r="F4763" s="26" t="s">
        <v>46</v>
      </c>
      <c r="G4763" s="26">
        <v>9.0</v>
      </c>
      <c r="I4763" s="26" t="s">
        <v>863</v>
      </c>
      <c r="J4763" s="25" t="str">
        <f t="shared" si="55"/>
        <v>No</v>
      </c>
      <c r="K4763" s="25" t="str">
        <f t="shared" si="56"/>
        <v/>
      </c>
      <c r="L4763" s="25" t="str">
        <f t="shared" si="57"/>
        <v/>
      </c>
      <c r="M4763" s="25"/>
      <c r="O4763" s="25"/>
    </row>
    <row r="4764" ht="15.75" customHeight="1">
      <c r="A4764" s="25" t="str">
        <f>IFERROR(__xludf.DUMMYFUNCTION("IF(B4764="""","""",RIGHT(REGEXREPLACE(B4764&amp;"""",""[^0-9]"",""""),9))"),"711451251")</f>
        <v>711451251</v>
      </c>
      <c r="B4764" s="52">
        <v>7.11451251E8</v>
      </c>
      <c r="C4764" s="28" t="s">
        <v>4716</v>
      </c>
      <c r="D4764" s="26" t="s">
        <v>64</v>
      </c>
      <c r="E4764" s="31">
        <v>46236.0</v>
      </c>
      <c r="F4764" s="26" t="s">
        <v>205</v>
      </c>
      <c r="G4764" s="26">
        <v>9.0</v>
      </c>
      <c r="I4764" s="26" t="s">
        <v>863</v>
      </c>
      <c r="J4764" s="25" t="str">
        <f t="shared" si="55"/>
        <v>No</v>
      </c>
      <c r="K4764" s="25" t="str">
        <f t="shared" si="56"/>
        <v/>
      </c>
      <c r="L4764" s="25" t="str">
        <f t="shared" si="57"/>
        <v/>
      </c>
      <c r="M4764" s="25"/>
      <c r="O4764" s="25"/>
    </row>
    <row r="4765" ht="15.75" customHeight="1">
      <c r="A4765" s="25" t="str">
        <f>IFERROR(__xludf.DUMMYFUNCTION("IF(B4765="""","""",RIGHT(REGEXREPLACE(B4765&amp;"""",""[^0-9]"",""""),9))"),"740284409")</f>
        <v>740284409</v>
      </c>
      <c r="B4765" s="52">
        <v>7.40284409E8</v>
      </c>
      <c r="C4765" s="28" t="s">
        <v>4717</v>
      </c>
      <c r="D4765" s="26" t="s">
        <v>49</v>
      </c>
      <c r="E4765" s="31">
        <v>46236.0</v>
      </c>
      <c r="F4765" s="26" t="s">
        <v>46</v>
      </c>
      <c r="G4765" s="26">
        <v>9.0</v>
      </c>
      <c r="H4765" s="26" t="s">
        <v>4718</v>
      </c>
      <c r="I4765" s="26" t="s">
        <v>863</v>
      </c>
      <c r="J4765" s="25" t="str">
        <f t="shared" si="55"/>
        <v>No</v>
      </c>
      <c r="K4765" s="25" t="str">
        <f t="shared" si="56"/>
        <v/>
      </c>
      <c r="L4765" s="25" t="str">
        <f t="shared" si="57"/>
        <v/>
      </c>
      <c r="M4765" s="25"/>
      <c r="O4765" s="25"/>
    </row>
    <row r="4766" ht="15.75" customHeight="1">
      <c r="A4766" s="25" t="str">
        <f>IFERROR(__xludf.DUMMYFUNCTION("IF(B4766="""","""",RIGHT(REGEXREPLACE(B4766&amp;"""",""[^0-9]"",""""),9))"),"770733238")</f>
        <v>770733238</v>
      </c>
      <c r="B4766" s="52">
        <v>7.70733238E8</v>
      </c>
      <c r="C4766" s="28" t="s">
        <v>4719</v>
      </c>
      <c r="D4766" s="26" t="s">
        <v>56</v>
      </c>
      <c r="E4766" s="31">
        <v>46236.0</v>
      </c>
      <c r="F4766" s="26" t="s">
        <v>46</v>
      </c>
      <c r="G4766" s="26">
        <v>9.0</v>
      </c>
      <c r="I4766" s="26" t="s">
        <v>863</v>
      </c>
      <c r="J4766" s="25" t="str">
        <f t="shared" si="55"/>
        <v>No</v>
      </c>
      <c r="K4766" s="25" t="str">
        <f t="shared" si="56"/>
        <v/>
      </c>
      <c r="L4766" s="25" t="str">
        <f t="shared" si="57"/>
        <v/>
      </c>
      <c r="M4766" s="25"/>
      <c r="O4766" s="25"/>
    </row>
    <row r="4767" ht="15.75" customHeight="1">
      <c r="A4767" s="25" t="str">
        <f>IFERROR(__xludf.DUMMYFUNCTION("IF(B4767="""","""",RIGHT(REGEXREPLACE(B4767&amp;"""",""[^0-9]"",""""),9))"),"705352970")</f>
        <v>705352970</v>
      </c>
      <c r="B4767" s="52">
        <v>7.0535297E8</v>
      </c>
      <c r="C4767" s="28" t="s">
        <v>4716</v>
      </c>
      <c r="D4767" s="26" t="s">
        <v>56</v>
      </c>
      <c r="E4767" s="31">
        <v>46236.0</v>
      </c>
      <c r="F4767" s="26" t="s">
        <v>205</v>
      </c>
      <c r="I4767" s="26" t="s">
        <v>863</v>
      </c>
      <c r="J4767" s="25" t="str">
        <f t="shared" si="55"/>
        <v>No</v>
      </c>
      <c r="K4767" s="25" t="str">
        <f t="shared" si="56"/>
        <v/>
      </c>
      <c r="L4767" s="25" t="str">
        <f t="shared" si="57"/>
        <v/>
      </c>
      <c r="M4767" s="25"/>
      <c r="O4767" s="25"/>
    </row>
    <row r="4768" ht="15.75" customHeight="1">
      <c r="A4768" s="25" t="str">
        <f>IFERROR(__xludf.DUMMYFUNCTION("IF(B4768="""","""",RIGHT(REGEXREPLACE(B4768&amp;"""",""[^0-9]"",""""),9))"),"760796282")</f>
        <v>760796282</v>
      </c>
      <c r="B4768" s="52">
        <v>7.60796282E8</v>
      </c>
      <c r="C4768" s="28" t="s">
        <v>4720</v>
      </c>
      <c r="D4768" s="26" t="s">
        <v>56</v>
      </c>
      <c r="E4768" s="31">
        <v>46236.0</v>
      </c>
      <c r="F4768" s="26" t="s">
        <v>41</v>
      </c>
      <c r="I4768" s="26" t="s">
        <v>863</v>
      </c>
      <c r="J4768" s="25" t="str">
        <f t="shared" si="55"/>
        <v>No</v>
      </c>
      <c r="K4768" s="25" t="str">
        <f t="shared" si="56"/>
        <v/>
      </c>
      <c r="L4768" s="25" t="str">
        <f t="shared" si="57"/>
        <v/>
      </c>
      <c r="M4768" s="25"/>
      <c r="O4768" s="25"/>
    </row>
    <row r="4769" ht="15.75" customHeight="1">
      <c r="A4769" s="25" t="str">
        <f>IFERROR(__xludf.DUMMYFUNCTION("IF(B4769="""","""",RIGHT(REGEXREPLACE(B4769&amp;"""",""[^0-9]"",""""),9))"),"702577155")</f>
        <v>702577155</v>
      </c>
      <c r="B4769" s="52">
        <v>7.02577155E8</v>
      </c>
      <c r="C4769" s="28" t="s">
        <v>4721</v>
      </c>
      <c r="D4769" s="26" t="s">
        <v>49</v>
      </c>
      <c r="E4769" s="31">
        <v>46236.0</v>
      </c>
      <c r="F4769" s="26" t="s">
        <v>46</v>
      </c>
      <c r="G4769" s="26">
        <v>9.0</v>
      </c>
      <c r="I4769" s="26" t="s">
        <v>863</v>
      </c>
      <c r="J4769" s="25" t="str">
        <f t="shared" si="55"/>
        <v>No</v>
      </c>
      <c r="K4769" s="25" t="str">
        <f t="shared" si="56"/>
        <v/>
      </c>
      <c r="L4769" s="25" t="str">
        <f t="shared" si="57"/>
        <v/>
      </c>
      <c r="M4769" s="25"/>
      <c r="O4769" s="25"/>
    </row>
    <row r="4770" ht="15.75" customHeight="1">
      <c r="A4770" s="25" t="str">
        <f>IFERROR(__xludf.DUMMYFUNCTION("IF(B4770="""","""",RIGHT(REGEXREPLACE(B4770&amp;"""",""[^0-9]"",""""),9))"),"710345067")</f>
        <v>710345067</v>
      </c>
      <c r="B4770" s="52">
        <v>7.10345067E8</v>
      </c>
      <c r="C4770" s="28" t="s">
        <v>4722</v>
      </c>
      <c r="D4770" s="26" t="s">
        <v>45</v>
      </c>
      <c r="E4770" s="31">
        <v>46236.0</v>
      </c>
      <c r="F4770" s="26" t="s">
        <v>46</v>
      </c>
      <c r="G4770" s="26">
        <v>9.0</v>
      </c>
      <c r="I4770" s="26" t="s">
        <v>863</v>
      </c>
      <c r="J4770" s="25" t="str">
        <f t="shared" si="55"/>
        <v>No</v>
      </c>
      <c r="K4770" s="25" t="str">
        <f t="shared" si="56"/>
        <v/>
      </c>
      <c r="L4770" s="25" t="str">
        <f t="shared" si="57"/>
        <v/>
      </c>
      <c r="M4770" s="25"/>
      <c r="O4770" s="25"/>
    </row>
    <row r="4771" ht="15.75" customHeight="1">
      <c r="A4771" s="25" t="str">
        <f>IFERROR(__xludf.DUMMYFUNCTION("IF(B4771="""","""",RIGHT(REGEXREPLACE(B4771&amp;"""",""[^0-9]"",""""),9))"),"767292484")</f>
        <v>767292484</v>
      </c>
      <c r="B4771" s="52">
        <v>7.67292484E8</v>
      </c>
      <c r="C4771" s="28" t="s">
        <v>4723</v>
      </c>
      <c r="D4771" s="26" t="s">
        <v>56</v>
      </c>
      <c r="E4771" s="31">
        <v>46236.0</v>
      </c>
      <c r="F4771" s="26" t="s">
        <v>205</v>
      </c>
      <c r="G4771" s="26">
        <v>9.0</v>
      </c>
      <c r="I4771" s="26" t="s">
        <v>863</v>
      </c>
      <c r="J4771" s="25" t="str">
        <f t="shared" si="55"/>
        <v>No</v>
      </c>
      <c r="K4771" s="25" t="str">
        <f t="shared" si="56"/>
        <v/>
      </c>
      <c r="L4771" s="25" t="str">
        <f t="shared" si="57"/>
        <v/>
      </c>
      <c r="M4771" s="25"/>
      <c r="O4771" s="25"/>
    </row>
    <row r="4772" ht="15.75" customHeight="1">
      <c r="A4772" s="25" t="str">
        <f>IFERROR(__xludf.DUMMYFUNCTION("IF(B4772="""","""",RIGHT(REGEXREPLACE(B4772&amp;"""",""[^0-9]"",""""),9))"),"760638801")</f>
        <v>760638801</v>
      </c>
      <c r="B4772" s="26" t="s">
        <v>4724</v>
      </c>
      <c r="C4772" s="28" t="s">
        <v>3219</v>
      </c>
      <c r="D4772" s="26" t="s">
        <v>37</v>
      </c>
      <c r="E4772" s="31">
        <v>46236.0</v>
      </c>
      <c r="F4772" s="26" t="s">
        <v>46</v>
      </c>
      <c r="G4772" s="26">
        <v>11.0</v>
      </c>
      <c r="I4772" s="26" t="s">
        <v>863</v>
      </c>
      <c r="J4772" s="25" t="str">
        <f t="shared" si="55"/>
        <v>Yes - see Previous F-Code</v>
      </c>
      <c r="K4772" s="25" t="str">
        <f t="shared" si="56"/>
        <v/>
      </c>
      <c r="L4772" s="25" t="str">
        <f t="shared" si="57"/>
        <v>F72862</v>
      </c>
      <c r="M4772" s="25"/>
      <c r="O4772" s="25"/>
    </row>
    <row r="4773" ht="15.75" customHeight="1">
      <c r="A4773" s="25" t="str">
        <f>IFERROR(__xludf.DUMMYFUNCTION("IF(B4773="""","""",RIGHT(REGEXREPLACE(B4773&amp;"""",""[^0-9]"",""""),9))"),"560092637")</f>
        <v>560092637</v>
      </c>
      <c r="B4773" s="52">
        <v>9.6560092637E10</v>
      </c>
      <c r="C4773" s="28" t="s">
        <v>4725</v>
      </c>
      <c r="D4773" s="26" t="s">
        <v>49</v>
      </c>
      <c r="E4773" s="31">
        <v>46236.0</v>
      </c>
      <c r="F4773" s="25"/>
      <c r="G4773" s="25"/>
      <c r="H4773" s="25"/>
      <c r="I4773" s="26" t="s">
        <v>863</v>
      </c>
      <c r="J4773" s="25" t="str">
        <f t="shared" si="55"/>
        <v>No</v>
      </c>
      <c r="K4773" s="25" t="str">
        <f t="shared" si="56"/>
        <v/>
      </c>
      <c r="L4773" s="25" t="str">
        <f t="shared" si="57"/>
        <v/>
      </c>
      <c r="M4773" s="25"/>
      <c r="N4773" s="25"/>
      <c r="O4773" s="25"/>
      <c r="P4773" s="25"/>
    </row>
    <row r="4774" ht="15.75" customHeight="1">
      <c r="A4774" s="25" t="str">
        <f>IFERROR(__xludf.DUMMYFUNCTION("IF(B4774="""","""",RIGHT(REGEXREPLACE(B4774&amp;"""",""[^0-9]"",""""),9))"),"711347133")</f>
        <v>711347133</v>
      </c>
      <c r="B4774" s="52">
        <v>7.11347133E8</v>
      </c>
      <c r="C4774" s="28" t="s">
        <v>4726</v>
      </c>
      <c r="D4774" s="26" t="s">
        <v>56</v>
      </c>
      <c r="E4774" s="31">
        <v>46236.0</v>
      </c>
      <c r="F4774" s="26" t="s">
        <v>631</v>
      </c>
      <c r="G4774" s="26">
        <v>9.0</v>
      </c>
      <c r="I4774" s="26" t="s">
        <v>863</v>
      </c>
      <c r="J4774" s="25" t="str">
        <f t="shared" si="55"/>
        <v>No</v>
      </c>
      <c r="K4774" s="25" t="str">
        <f t="shared" si="56"/>
        <v/>
      </c>
      <c r="L4774" s="25" t="str">
        <f t="shared" si="57"/>
        <v/>
      </c>
      <c r="M4774" s="25"/>
      <c r="O4774" s="25"/>
    </row>
    <row r="4775" ht="15.75" customHeight="1">
      <c r="A4775" s="25" t="str">
        <f>IFERROR(__xludf.DUMMYFUNCTION("IF(B4775="""","""",RIGHT(REGEXREPLACE(B4775&amp;"""",""[^0-9]"",""""),9))"),"768679377")</f>
        <v>768679377</v>
      </c>
      <c r="B4775" s="52">
        <v>7.68679377E8</v>
      </c>
      <c r="C4775" s="28" t="s">
        <v>4727</v>
      </c>
      <c r="D4775" s="26" t="s">
        <v>45</v>
      </c>
      <c r="E4775" s="31">
        <v>46236.0</v>
      </c>
      <c r="F4775" s="26" t="s">
        <v>46</v>
      </c>
      <c r="G4775" s="26">
        <v>10.0</v>
      </c>
      <c r="I4775" s="26" t="s">
        <v>863</v>
      </c>
      <c r="J4775" s="25" t="str">
        <f t="shared" si="55"/>
        <v>No</v>
      </c>
      <c r="K4775" s="25" t="str">
        <f t="shared" si="56"/>
        <v/>
      </c>
      <c r="L4775" s="25" t="str">
        <f t="shared" si="57"/>
        <v/>
      </c>
      <c r="M4775" s="25"/>
      <c r="O4775" s="25"/>
    </row>
    <row r="4776" ht="15.75" customHeight="1">
      <c r="A4776" s="25" t="str">
        <f>IFERROR(__xludf.DUMMYFUNCTION("IF(B4776="""","""",RIGHT(REGEXREPLACE(B4776&amp;"""",""[^0-9]"",""""),9))"),"761257621")</f>
        <v>761257621</v>
      </c>
      <c r="B4776" s="52">
        <v>7.61257621E8</v>
      </c>
      <c r="C4776" s="28" t="s">
        <v>1802</v>
      </c>
      <c r="D4776" s="26" t="s">
        <v>49</v>
      </c>
      <c r="E4776" s="31">
        <v>46236.0</v>
      </c>
      <c r="F4776" s="26" t="s">
        <v>41</v>
      </c>
      <c r="G4776" s="26">
        <v>11.0</v>
      </c>
      <c r="I4776" s="26" t="s">
        <v>863</v>
      </c>
      <c r="J4776" s="25" t="str">
        <f t="shared" si="55"/>
        <v>Yes - see Previous F-Code</v>
      </c>
      <c r="K4776" s="25" t="str">
        <f t="shared" si="56"/>
        <v/>
      </c>
      <c r="L4776" s="25" t="str">
        <f t="shared" si="57"/>
        <v>F71510</v>
      </c>
      <c r="M4776" s="25"/>
      <c r="O4776" s="25"/>
    </row>
    <row r="4777" ht="15.75" customHeight="1">
      <c r="A4777" s="25" t="str">
        <f>IFERROR(__xludf.DUMMYFUNCTION("IF(B4777="""","""",RIGHT(REGEXREPLACE(B4777&amp;"""",""[^0-9]"",""""),9))"),"742771885")</f>
        <v>742771885</v>
      </c>
      <c r="B4777" s="52">
        <v>7.42771885E8</v>
      </c>
      <c r="C4777" s="28" t="s">
        <v>4728</v>
      </c>
      <c r="D4777" s="26" t="s">
        <v>45</v>
      </c>
      <c r="E4777" s="31">
        <v>46236.0</v>
      </c>
      <c r="F4777" s="26" t="s">
        <v>46</v>
      </c>
      <c r="G4777" s="26">
        <v>10.0</v>
      </c>
      <c r="I4777" s="26" t="s">
        <v>863</v>
      </c>
      <c r="J4777" s="25" t="str">
        <f t="shared" si="55"/>
        <v>No</v>
      </c>
      <c r="K4777" s="25" t="str">
        <f t="shared" si="56"/>
        <v/>
      </c>
      <c r="L4777" s="25" t="str">
        <f t="shared" si="57"/>
        <v/>
      </c>
      <c r="M4777" s="25"/>
      <c r="O4777" s="25"/>
    </row>
    <row r="4778" ht="15.75" customHeight="1">
      <c r="A4778" s="25" t="str">
        <f>IFERROR(__xludf.DUMMYFUNCTION("IF(B4778="""","""",RIGHT(REGEXREPLACE(B4778&amp;"""",""[^0-9]"",""""),9))"),"781698083")</f>
        <v>781698083</v>
      </c>
      <c r="B4778" s="52">
        <v>7.81698083E8</v>
      </c>
      <c r="C4778" s="28" t="s">
        <v>4729</v>
      </c>
      <c r="D4778" s="26" t="s">
        <v>56</v>
      </c>
      <c r="E4778" s="31">
        <v>46236.0</v>
      </c>
      <c r="F4778" s="26" t="s">
        <v>46</v>
      </c>
      <c r="H4778" s="26" t="s">
        <v>140</v>
      </c>
      <c r="I4778" s="26" t="s">
        <v>863</v>
      </c>
      <c r="J4778" s="25" t="str">
        <f t="shared" si="55"/>
        <v>No</v>
      </c>
      <c r="K4778" s="25" t="str">
        <f t="shared" si="56"/>
        <v/>
      </c>
      <c r="L4778" s="25" t="str">
        <f t="shared" si="57"/>
        <v/>
      </c>
      <c r="M4778" s="25"/>
      <c r="O4778" s="25"/>
    </row>
    <row r="4779" ht="15.75" customHeight="1">
      <c r="A4779" s="25" t="str">
        <f>IFERROR(__xludf.DUMMYFUNCTION("IF(B4779="""","""",RIGHT(REGEXREPLACE(B4779&amp;"""",""[^0-9]"",""""),9))"),"703504704")</f>
        <v>703504704</v>
      </c>
      <c r="B4779" s="52">
        <v>7.03504704E8</v>
      </c>
      <c r="C4779" s="28" t="s">
        <v>4730</v>
      </c>
      <c r="D4779" s="26" t="s">
        <v>64</v>
      </c>
      <c r="E4779" s="31">
        <v>46236.0</v>
      </c>
      <c r="F4779" s="26" t="s">
        <v>205</v>
      </c>
      <c r="G4779" s="26">
        <v>11.0</v>
      </c>
      <c r="I4779" s="26" t="s">
        <v>863</v>
      </c>
      <c r="J4779" s="25" t="str">
        <f t="shared" si="55"/>
        <v>No</v>
      </c>
      <c r="K4779" s="25" t="str">
        <f t="shared" si="56"/>
        <v/>
      </c>
      <c r="L4779" s="25" t="str">
        <f t="shared" si="57"/>
        <v/>
      </c>
      <c r="M4779" s="25"/>
      <c r="O4779" s="25"/>
    </row>
    <row r="4780" ht="15.75" customHeight="1">
      <c r="A4780" s="25" t="str">
        <f>IFERROR(__xludf.DUMMYFUNCTION("IF(B4780="""","""",RIGHT(REGEXREPLACE(B4780&amp;"""",""[^0-9]"",""""),9))"),"717648778")</f>
        <v>717648778</v>
      </c>
      <c r="B4780" s="52">
        <v>7.17648778E8</v>
      </c>
      <c r="C4780" s="28" t="s">
        <v>4731</v>
      </c>
      <c r="D4780" s="26" t="s">
        <v>56</v>
      </c>
      <c r="E4780" s="31">
        <v>46236.0</v>
      </c>
      <c r="F4780" s="26" t="s">
        <v>46</v>
      </c>
      <c r="G4780" s="26">
        <v>9.0</v>
      </c>
      <c r="I4780" s="26" t="s">
        <v>863</v>
      </c>
      <c r="J4780" s="25" t="str">
        <f t="shared" si="55"/>
        <v>No</v>
      </c>
      <c r="K4780" s="25" t="str">
        <f t="shared" si="56"/>
        <v/>
      </c>
      <c r="L4780" s="25" t="str">
        <f t="shared" si="57"/>
        <v/>
      </c>
      <c r="M4780" s="25"/>
      <c r="O4780" s="25"/>
    </row>
    <row r="4781" ht="15.75" customHeight="1">
      <c r="A4781" s="25" t="str">
        <f>IFERROR(__xludf.DUMMYFUNCTION("IF(B4781="""","""",RIGHT(REGEXREPLACE(B4781&amp;"""",""[^0-9]"",""""),9))"),"710570199")</f>
        <v>710570199</v>
      </c>
      <c r="B4781" s="52">
        <v>7.10570199E8</v>
      </c>
      <c r="C4781" s="28" t="s">
        <v>4732</v>
      </c>
      <c r="D4781" s="26" t="s">
        <v>49</v>
      </c>
      <c r="E4781" s="31">
        <v>46236.0</v>
      </c>
      <c r="F4781" s="26" t="s">
        <v>46</v>
      </c>
      <c r="G4781" s="26">
        <v>8.0</v>
      </c>
      <c r="I4781" s="26" t="s">
        <v>863</v>
      </c>
      <c r="J4781" s="25" t="str">
        <f t="shared" si="55"/>
        <v>No</v>
      </c>
      <c r="K4781" s="25" t="str">
        <f t="shared" si="56"/>
        <v/>
      </c>
      <c r="L4781" s="25" t="str">
        <f t="shared" si="57"/>
        <v/>
      </c>
      <c r="M4781" s="25"/>
      <c r="O4781" s="25"/>
    </row>
    <row r="4782" ht="15.75" customHeight="1">
      <c r="A4782" s="25" t="str">
        <f>IFERROR(__xludf.DUMMYFUNCTION("IF(B4782="""","""",RIGHT(REGEXREPLACE(B4782&amp;"""",""[^0-9]"",""""),9))"),"763302019")</f>
        <v>763302019</v>
      </c>
      <c r="B4782" s="52">
        <v>7.63302019E8</v>
      </c>
      <c r="C4782" s="28" t="s">
        <v>4733</v>
      </c>
      <c r="D4782" s="26" t="s">
        <v>64</v>
      </c>
      <c r="E4782" s="31">
        <v>46236.0</v>
      </c>
      <c r="F4782" s="26" t="s">
        <v>41</v>
      </c>
      <c r="G4782" s="26">
        <v>7.0</v>
      </c>
      <c r="I4782" s="26" t="s">
        <v>863</v>
      </c>
      <c r="J4782" s="25" t="str">
        <f t="shared" si="55"/>
        <v>No</v>
      </c>
      <c r="K4782" s="25" t="str">
        <f t="shared" si="56"/>
        <v/>
      </c>
      <c r="L4782" s="25" t="str">
        <f t="shared" si="57"/>
        <v/>
      </c>
      <c r="M4782" s="25"/>
      <c r="O4782" s="25"/>
    </row>
    <row r="4783" ht="15.75" customHeight="1">
      <c r="A4783" s="25" t="str">
        <f>IFERROR(__xludf.DUMMYFUNCTION("IF(B4783="""","""",RIGHT(REGEXREPLACE(B4783&amp;"""",""[^0-9]"",""""),9))"),"762800866")</f>
        <v>762800866</v>
      </c>
      <c r="B4783" s="52">
        <v>7.62800866E8</v>
      </c>
      <c r="C4783" s="28" t="s">
        <v>4733</v>
      </c>
      <c r="D4783" s="26" t="s">
        <v>45</v>
      </c>
      <c r="E4783" s="31">
        <v>46236.0</v>
      </c>
      <c r="F4783" s="26" t="s">
        <v>46</v>
      </c>
      <c r="G4783" s="26">
        <v>9.0</v>
      </c>
      <c r="I4783" s="26" t="s">
        <v>863</v>
      </c>
      <c r="J4783" s="25" t="str">
        <f t="shared" si="55"/>
        <v>No</v>
      </c>
      <c r="K4783" s="25" t="str">
        <f t="shared" si="56"/>
        <v/>
      </c>
      <c r="L4783" s="25" t="str">
        <f t="shared" si="57"/>
        <v/>
      </c>
      <c r="M4783" s="25"/>
      <c r="O4783" s="25"/>
    </row>
    <row r="4784" ht="15.75" customHeight="1">
      <c r="A4784" s="25" t="str">
        <f>IFERROR(__xludf.DUMMYFUNCTION("IF(B4784="""","""",RIGHT(REGEXREPLACE(B4784&amp;"""",""[^0-9]"",""""),9))"),"712296653")</f>
        <v>712296653</v>
      </c>
      <c r="B4784" s="52">
        <v>7.12296653E8</v>
      </c>
      <c r="C4784" s="28" t="s">
        <v>4734</v>
      </c>
      <c r="D4784" s="26" t="s">
        <v>64</v>
      </c>
      <c r="E4784" s="31">
        <v>46236.0</v>
      </c>
      <c r="F4784" s="26" t="s">
        <v>46</v>
      </c>
      <c r="G4784" s="26">
        <v>8.0</v>
      </c>
      <c r="H4784" s="26" t="s">
        <v>2293</v>
      </c>
      <c r="I4784" s="26" t="s">
        <v>863</v>
      </c>
      <c r="J4784" s="25" t="str">
        <f t="shared" si="55"/>
        <v>No</v>
      </c>
      <c r="K4784" s="25" t="str">
        <f t="shared" si="56"/>
        <v/>
      </c>
      <c r="L4784" s="25" t="str">
        <f t="shared" si="57"/>
        <v/>
      </c>
      <c r="M4784" s="25"/>
      <c r="O4784" s="25"/>
    </row>
    <row r="4785" ht="15.75" customHeight="1">
      <c r="A4785" s="25" t="str">
        <f>IFERROR(__xludf.DUMMYFUNCTION("IF(B4785="""","""",RIGHT(REGEXREPLACE(B4785&amp;"""",""[^0-9]"",""""),9))"),"530341676")</f>
        <v>530341676</v>
      </c>
      <c r="B4785" s="52">
        <v>6.530341676E9</v>
      </c>
      <c r="C4785" s="28" t="s">
        <v>4735</v>
      </c>
      <c r="D4785" s="26" t="s">
        <v>56</v>
      </c>
      <c r="E4785" s="31">
        <v>46236.0</v>
      </c>
      <c r="F4785" s="26" t="s">
        <v>814</v>
      </c>
      <c r="G4785" s="26">
        <v>9.0</v>
      </c>
      <c r="I4785" s="26" t="s">
        <v>863</v>
      </c>
      <c r="J4785" s="25" t="str">
        <f t="shared" si="55"/>
        <v>No</v>
      </c>
      <c r="K4785" s="25" t="str">
        <f t="shared" si="56"/>
        <v/>
      </c>
      <c r="L4785" s="25" t="str">
        <f t="shared" si="57"/>
        <v/>
      </c>
      <c r="M4785" s="25"/>
      <c r="O4785" s="25"/>
    </row>
    <row r="4786" ht="15.75" customHeight="1">
      <c r="A4786" s="25" t="str">
        <f>IFERROR(__xludf.DUMMYFUNCTION("IF(B4786="""","""",RIGHT(REGEXREPLACE(B4786&amp;"""",""[^0-9]"",""""),9))"),"779564220")</f>
        <v>779564220</v>
      </c>
      <c r="B4786" s="52">
        <v>7.7956422E8</v>
      </c>
      <c r="C4786" s="28" t="s">
        <v>4736</v>
      </c>
      <c r="D4786" s="26" t="s">
        <v>64</v>
      </c>
      <c r="E4786" s="31">
        <v>46236.0</v>
      </c>
      <c r="F4786" s="26" t="s">
        <v>46</v>
      </c>
      <c r="G4786" s="26">
        <v>9.0</v>
      </c>
      <c r="I4786" s="26" t="s">
        <v>863</v>
      </c>
      <c r="J4786" s="25" t="str">
        <f t="shared" si="55"/>
        <v>No</v>
      </c>
      <c r="K4786" s="25" t="str">
        <f t="shared" si="56"/>
        <v/>
      </c>
      <c r="L4786" s="25" t="str">
        <f t="shared" si="57"/>
        <v/>
      </c>
      <c r="M4786" s="25"/>
      <c r="O4786" s="25"/>
    </row>
    <row r="4787" ht="15.75" customHeight="1">
      <c r="A4787" s="25" t="str">
        <f>IFERROR(__xludf.DUMMYFUNCTION("IF(B4787="""","""",RIGHT(REGEXREPLACE(B4787&amp;"""",""[^0-9]"",""""),9))"),"707398202")</f>
        <v>707398202</v>
      </c>
      <c r="B4787" s="52">
        <v>7.07398202E8</v>
      </c>
      <c r="C4787" s="28" t="s">
        <v>4737</v>
      </c>
      <c r="D4787" s="26" t="s">
        <v>45</v>
      </c>
      <c r="E4787" s="31">
        <v>46236.0</v>
      </c>
      <c r="F4787" s="26" t="s">
        <v>41</v>
      </c>
      <c r="I4787" s="26" t="s">
        <v>863</v>
      </c>
      <c r="J4787" s="25" t="str">
        <f t="shared" si="55"/>
        <v>No</v>
      </c>
      <c r="K4787" s="25" t="str">
        <f t="shared" si="56"/>
        <v/>
      </c>
      <c r="L4787" s="25" t="str">
        <f t="shared" si="57"/>
        <v/>
      </c>
      <c r="M4787" s="25"/>
      <c r="O4787" s="25"/>
    </row>
    <row r="4788" ht="15.75" customHeight="1">
      <c r="A4788" s="25" t="str">
        <f>IFERROR(__xludf.DUMMYFUNCTION("IF(B4788="""","""",RIGHT(REGEXREPLACE(B4788&amp;"""",""[^0-9]"",""""),9))"),"771829766")</f>
        <v>771829766</v>
      </c>
      <c r="B4788" s="52">
        <v>7.71829766E8</v>
      </c>
      <c r="C4788" s="28" t="s">
        <v>4738</v>
      </c>
      <c r="D4788" s="26" t="s">
        <v>49</v>
      </c>
      <c r="E4788" s="31">
        <v>46236.0</v>
      </c>
      <c r="F4788" s="26" t="s">
        <v>46</v>
      </c>
      <c r="G4788" s="26">
        <v>9.0</v>
      </c>
      <c r="H4788" s="72" t="s">
        <v>4739</v>
      </c>
      <c r="I4788" s="26" t="s">
        <v>863</v>
      </c>
      <c r="J4788" s="25" t="str">
        <f t="shared" si="55"/>
        <v>No</v>
      </c>
      <c r="K4788" s="25" t="str">
        <f t="shared" si="56"/>
        <v/>
      </c>
      <c r="L4788" s="25" t="str">
        <f t="shared" si="57"/>
        <v/>
      </c>
      <c r="M4788" s="25"/>
      <c r="O4788" s="25"/>
    </row>
    <row r="4789" ht="15.75" customHeight="1">
      <c r="A4789" s="25" t="str">
        <f>IFERROR(__xludf.DUMMYFUNCTION("IF(B4789="""","""",RIGHT(REGEXREPLACE(B4789&amp;"""",""[^0-9]"",""""),9))"),"785951701")</f>
        <v>785951701</v>
      </c>
      <c r="B4789" s="52">
        <v>7.85951701E8</v>
      </c>
      <c r="C4789" s="28" t="s">
        <v>4740</v>
      </c>
      <c r="D4789" s="26" t="s">
        <v>56</v>
      </c>
      <c r="E4789" s="31">
        <v>46236.0</v>
      </c>
      <c r="F4789" s="26" t="s">
        <v>46</v>
      </c>
      <c r="G4789" s="26">
        <v>9.0</v>
      </c>
      <c r="I4789" s="26" t="s">
        <v>863</v>
      </c>
      <c r="J4789" s="25" t="str">
        <f t="shared" si="55"/>
        <v>No</v>
      </c>
      <c r="K4789" s="25" t="str">
        <f t="shared" si="56"/>
        <v/>
      </c>
      <c r="L4789" s="25" t="str">
        <f t="shared" si="57"/>
        <v/>
      </c>
      <c r="M4789" s="25"/>
      <c r="O4789" s="25"/>
    </row>
    <row r="4790" ht="15.75" customHeight="1">
      <c r="A4790" s="25" t="str">
        <f>IFERROR(__xludf.DUMMYFUNCTION("IF(B4790="""","""",RIGHT(REGEXREPLACE(B4790&amp;"""",""[^0-9]"",""""),9))"),"776313995")</f>
        <v>776313995</v>
      </c>
      <c r="B4790" s="52">
        <v>7.76313995E8</v>
      </c>
      <c r="C4790" s="28" t="s">
        <v>4741</v>
      </c>
      <c r="D4790" s="26" t="s">
        <v>45</v>
      </c>
      <c r="E4790" s="31">
        <v>46236.0</v>
      </c>
      <c r="F4790" s="26" t="s">
        <v>46</v>
      </c>
      <c r="G4790" s="26">
        <v>10.0</v>
      </c>
      <c r="I4790" s="26" t="s">
        <v>863</v>
      </c>
      <c r="J4790" s="25" t="str">
        <f t="shared" si="55"/>
        <v>No</v>
      </c>
      <c r="K4790" s="25" t="str">
        <f t="shared" si="56"/>
        <v/>
      </c>
      <c r="L4790" s="25" t="str">
        <f t="shared" si="57"/>
        <v/>
      </c>
      <c r="M4790" s="25"/>
      <c r="O4790" s="25"/>
    </row>
    <row r="4791" ht="15.75" customHeight="1">
      <c r="A4791" s="25" t="str">
        <f>IFERROR(__xludf.DUMMYFUNCTION("IF(B4791="""","""",RIGHT(REGEXREPLACE(B4791&amp;"""",""[^0-9]"",""""),9))"),"713930348")</f>
        <v>713930348</v>
      </c>
      <c r="B4791" s="64">
        <v>9.4713930348E10</v>
      </c>
      <c r="C4791" s="28" t="s">
        <v>4742</v>
      </c>
      <c r="D4791" s="26" t="s">
        <v>64</v>
      </c>
      <c r="E4791" s="31">
        <v>46236.0</v>
      </c>
      <c r="F4791" s="26" t="s">
        <v>41</v>
      </c>
      <c r="I4791" s="26" t="s">
        <v>863</v>
      </c>
      <c r="J4791" s="25" t="str">
        <f t="shared" si="55"/>
        <v>No</v>
      </c>
      <c r="K4791" s="25" t="str">
        <f t="shared" si="56"/>
        <v/>
      </c>
      <c r="L4791" s="25" t="str">
        <f t="shared" si="57"/>
        <v/>
      </c>
      <c r="M4791" s="25"/>
      <c r="O4791" s="25"/>
    </row>
    <row r="4792" ht="15.75" customHeight="1">
      <c r="A4792" s="25" t="str">
        <f>IFERROR(__xludf.DUMMYFUNCTION("IF(B4792="""","""",RIGHT(REGEXREPLACE(B4792&amp;"""",""[^0-9]"",""""),9))"),"769391873")</f>
        <v>769391873</v>
      </c>
      <c r="B4792" s="52">
        <v>7.69391873E8</v>
      </c>
      <c r="C4792" s="28" t="s">
        <v>4743</v>
      </c>
      <c r="D4792" s="26" t="s">
        <v>64</v>
      </c>
      <c r="E4792" s="31">
        <v>46236.0</v>
      </c>
      <c r="F4792" s="26" t="s">
        <v>46</v>
      </c>
      <c r="G4792" s="26">
        <v>11.0</v>
      </c>
      <c r="H4792" s="26" t="s">
        <v>763</v>
      </c>
      <c r="I4792" s="26" t="s">
        <v>863</v>
      </c>
      <c r="J4792" s="25" t="str">
        <f t="shared" si="55"/>
        <v>No</v>
      </c>
      <c r="K4792" s="25" t="str">
        <f t="shared" si="56"/>
        <v/>
      </c>
      <c r="L4792" s="25" t="str">
        <f t="shared" si="57"/>
        <v/>
      </c>
      <c r="M4792" s="25"/>
      <c r="O4792" s="25"/>
    </row>
    <row r="4793" ht="15.75" customHeight="1">
      <c r="A4793" s="25" t="str">
        <f>IFERROR(__xludf.DUMMYFUNCTION("IF(B4793="""","""",RIGHT(REGEXREPLACE(B4793&amp;"""",""[^0-9]"",""""),9))"),"764682509")</f>
        <v>764682509</v>
      </c>
      <c r="B4793" s="52">
        <v>7.64682509E8</v>
      </c>
      <c r="C4793" s="28" t="s">
        <v>4744</v>
      </c>
      <c r="D4793" s="26" t="s">
        <v>56</v>
      </c>
      <c r="E4793" s="31">
        <v>46236.0</v>
      </c>
      <c r="F4793" s="26" t="s">
        <v>46</v>
      </c>
      <c r="G4793" s="26">
        <v>9.0</v>
      </c>
      <c r="H4793" s="26">
        <v>7.74286382E8</v>
      </c>
      <c r="I4793" s="26" t="s">
        <v>863</v>
      </c>
      <c r="J4793" s="25" t="str">
        <f t="shared" si="55"/>
        <v>No</v>
      </c>
      <c r="K4793" s="25" t="str">
        <f t="shared" si="56"/>
        <v/>
      </c>
      <c r="L4793" s="25" t="str">
        <f t="shared" si="57"/>
        <v/>
      </c>
      <c r="M4793" s="25"/>
      <c r="O4793" s="25"/>
    </row>
    <row r="4794" ht="15.75" customHeight="1">
      <c r="A4794" s="25" t="str">
        <f>IFERROR(__xludf.DUMMYFUNCTION("IF(B4794="""","""",RIGHT(REGEXREPLACE(B4794&amp;"""",""[^0-9]"",""""),9))"),"742305204")</f>
        <v>742305204</v>
      </c>
      <c r="B4794" s="52">
        <v>7.42305204E8</v>
      </c>
      <c r="C4794" s="28" t="s">
        <v>4745</v>
      </c>
      <c r="D4794" s="26" t="s">
        <v>49</v>
      </c>
      <c r="E4794" s="31">
        <v>46236.0</v>
      </c>
      <c r="F4794" s="26" t="s">
        <v>164</v>
      </c>
      <c r="I4794" s="26" t="s">
        <v>863</v>
      </c>
      <c r="J4794" s="25" t="str">
        <f t="shared" si="55"/>
        <v>No</v>
      </c>
      <c r="K4794" s="25" t="str">
        <f t="shared" si="56"/>
        <v/>
      </c>
      <c r="L4794" s="25" t="str">
        <f t="shared" si="57"/>
        <v/>
      </c>
      <c r="M4794" s="25"/>
      <c r="O4794" s="25"/>
    </row>
    <row r="4795" ht="15.75" customHeight="1">
      <c r="A4795" s="25" t="str">
        <f>IFERROR(__xludf.DUMMYFUNCTION("IF(B4795="""","""",RIGHT(REGEXREPLACE(B4795&amp;"""",""[^0-9]"",""""),9))"),"701801357")</f>
        <v>701801357</v>
      </c>
      <c r="B4795" s="52">
        <v>7.01801357E8</v>
      </c>
      <c r="C4795" s="28" t="s">
        <v>4746</v>
      </c>
      <c r="D4795" s="26" t="s">
        <v>64</v>
      </c>
      <c r="E4795" s="31">
        <v>46236.0</v>
      </c>
      <c r="F4795" s="26" t="s">
        <v>46</v>
      </c>
      <c r="G4795" s="26">
        <v>10.0</v>
      </c>
      <c r="H4795" s="26" t="s">
        <v>763</v>
      </c>
      <c r="I4795" s="26" t="s">
        <v>863</v>
      </c>
      <c r="J4795" s="25" t="str">
        <f t="shared" si="55"/>
        <v>No</v>
      </c>
      <c r="K4795" s="25" t="str">
        <f t="shared" si="56"/>
        <v/>
      </c>
      <c r="L4795" s="25" t="str">
        <f t="shared" si="57"/>
        <v/>
      </c>
      <c r="M4795" s="25"/>
      <c r="O4795" s="25"/>
    </row>
    <row r="4796" ht="15.75" customHeight="1">
      <c r="A4796" s="25" t="str">
        <f>IFERROR(__xludf.DUMMYFUNCTION("IF(B4796="""","""",RIGHT(REGEXREPLACE(B4796&amp;"""",""[^0-9]"",""""),9))"),"718028510")</f>
        <v>718028510</v>
      </c>
      <c r="B4796" s="52">
        <v>7.1802851E8</v>
      </c>
      <c r="C4796" s="28" t="s">
        <v>4747</v>
      </c>
      <c r="D4796" s="26" t="s">
        <v>49</v>
      </c>
      <c r="E4796" s="31">
        <v>46236.0</v>
      </c>
      <c r="F4796" s="26" t="s">
        <v>41</v>
      </c>
      <c r="G4796" s="26">
        <v>8.0</v>
      </c>
      <c r="I4796" s="26" t="s">
        <v>863</v>
      </c>
      <c r="J4796" s="25" t="str">
        <f t="shared" si="55"/>
        <v>No</v>
      </c>
      <c r="K4796" s="25" t="str">
        <f t="shared" si="56"/>
        <v/>
      </c>
      <c r="L4796" s="25" t="str">
        <f t="shared" si="57"/>
        <v/>
      </c>
      <c r="M4796" s="25"/>
      <c r="O4796" s="25"/>
    </row>
    <row r="4797" ht="15.75" customHeight="1">
      <c r="A4797" s="25" t="str">
        <f>IFERROR(__xludf.DUMMYFUNCTION("IF(B4797="""","""",RIGHT(REGEXREPLACE(B4797&amp;"""",""[^0-9]"",""""),9))"),"761480903")</f>
        <v>761480903</v>
      </c>
      <c r="B4797" s="52">
        <v>7.61480903E8</v>
      </c>
      <c r="C4797" s="28" t="s">
        <v>2166</v>
      </c>
      <c r="D4797" s="26" t="s">
        <v>64</v>
      </c>
      <c r="E4797" s="31">
        <v>46236.0</v>
      </c>
      <c r="F4797" s="26" t="s">
        <v>41</v>
      </c>
      <c r="I4797" s="26" t="s">
        <v>863</v>
      </c>
      <c r="J4797" s="25" t="str">
        <f t="shared" si="55"/>
        <v>Yes - see Previous F-Code</v>
      </c>
      <c r="K4797" s="25" t="str">
        <f t="shared" si="56"/>
        <v/>
      </c>
      <c r="L4797" s="25" t="str">
        <f t="shared" si="57"/>
        <v>F71867</v>
      </c>
      <c r="M4797" s="25"/>
      <c r="O4797" s="25"/>
    </row>
    <row r="4798" ht="15.75" customHeight="1">
      <c r="A4798" s="25" t="str">
        <f>IFERROR(__xludf.DUMMYFUNCTION("IF(B4798="""","""",RIGHT(REGEXREPLACE(B4798&amp;"""",""[^0-9]"",""""),9))"),"750128110")</f>
        <v>750128110</v>
      </c>
      <c r="B4798" s="52">
        <v>7.5012811E8</v>
      </c>
      <c r="C4798" s="28" t="s">
        <v>4748</v>
      </c>
      <c r="D4798" s="26" t="s">
        <v>64</v>
      </c>
      <c r="E4798" s="31">
        <v>46236.0</v>
      </c>
      <c r="F4798" s="26" t="s">
        <v>46</v>
      </c>
      <c r="G4798" s="26">
        <v>9.0</v>
      </c>
      <c r="H4798" s="26" t="s">
        <v>78</v>
      </c>
      <c r="I4798" s="26" t="s">
        <v>863</v>
      </c>
      <c r="J4798" s="25" t="str">
        <f t="shared" si="55"/>
        <v>No</v>
      </c>
      <c r="K4798" s="25" t="str">
        <f t="shared" si="56"/>
        <v/>
      </c>
      <c r="L4798" s="25" t="str">
        <f t="shared" si="57"/>
        <v/>
      </c>
      <c r="M4798" s="25"/>
      <c r="O4798" s="25"/>
    </row>
    <row r="4799" ht="15.75" customHeight="1">
      <c r="A4799" s="25" t="str">
        <f>IFERROR(__xludf.DUMMYFUNCTION("IF(B4799="""","""",RIGHT(REGEXREPLACE(B4799&amp;"""",""[^0-9]"",""""),9))"),"717502277")</f>
        <v>717502277</v>
      </c>
      <c r="B4799" s="52">
        <v>7.17502277E8</v>
      </c>
      <c r="C4799" s="28" t="s">
        <v>4749</v>
      </c>
      <c r="D4799" s="26" t="s">
        <v>49</v>
      </c>
      <c r="E4799" s="31">
        <v>46236.0</v>
      </c>
      <c r="F4799" s="26" t="s">
        <v>164</v>
      </c>
      <c r="G4799" s="26">
        <v>11.0</v>
      </c>
      <c r="I4799" s="26" t="s">
        <v>863</v>
      </c>
      <c r="J4799" s="25" t="str">
        <f t="shared" si="55"/>
        <v>No</v>
      </c>
      <c r="K4799" s="25" t="str">
        <f t="shared" si="56"/>
        <v/>
      </c>
      <c r="L4799" s="25" t="str">
        <f t="shared" si="57"/>
        <v/>
      </c>
      <c r="M4799" s="25"/>
      <c r="O4799" s="25"/>
    </row>
    <row r="4800" ht="15.75" customHeight="1">
      <c r="A4800" s="25" t="str">
        <f>IFERROR(__xludf.DUMMYFUNCTION("IF(B4800="""","""",RIGHT(REGEXREPLACE(B4800&amp;"""",""[^0-9]"",""""),9))"),"772926517")</f>
        <v>772926517</v>
      </c>
      <c r="B4800" s="52">
        <v>7.72926517E8</v>
      </c>
      <c r="C4800" s="28" t="s">
        <v>4750</v>
      </c>
      <c r="D4800" s="26" t="s">
        <v>64</v>
      </c>
      <c r="E4800" s="31">
        <v>46236.0</v>
      </c>
      <c r="F4800" s="26" t="s">
        <v>46</v>
      </c>
      <c r="G4800" s="26">
        <v>9.0</v>
      </c>
      <c r="I4800" s="26" t="s">
        <v>863</v>
      </c>
      <c r="J4800" s="25" t="str">
        <f t="shared" si="55"/>
        <v>No</v>
      </c>
      <c r="K4800" s="25" t="str">
        <f t="shared" si="56"/>
        <v/>
      </c>
      <c r="L4800" s="25" t="str">
        <f t="shared" si="57"/>
        <v/>
      </c>
      <c r="M4800" s="25"/>
      <c r="O4800" s="25"/>
    </row>
    <row r="4801" ht="15.75" customHeight="1">
      <c r="A4801" s="25" t="str">
        <f>IFERROR(__xludf.DUMMYFUNCTION("IF(B4801="""","""",RIGHT(REGEXREPLACE(B4801&amp;"""",""[^0-9]"",""""),9))"),"768328232")</f>
        <v>768328232</v>
      </c>
      <c r="B4801" s="52">
        <v>7.68328232E8</v>
      </c>
      <c r="C4801" s="28" t="s">
        <v>4751</v>
      </c>
      <c r="D4801" s="26" t="s">
        <v>49</v>
      </c>
      <c r="E4801" s="31">
        <v>46236.0</v>
      </c>
      <c r="F4801" s="26" t="s">
        <v>46</v>
      </c>
      <c r="G4801" s="26">
        <v>9.0</v>
      </c>
      <c r="I4801" s="26" t="s">
        <v>863</v>
      </c>
      <c r="J4801" s="25" t="str">
        <f t="shared" si="55"/>
        <v>No</v>
      </c>
      <c r="K4801" s="25" t="str">
        <f t="shared" si="56"/>
        <v/>
      </c>
      <c r="L4801" s="25" t="str">
        <f t="shared" si="57"/>
        <v/>
      </c>
      <c r="M4801" s="25"/>
      <c r="O4801" s="25"/>
    </row>
    <row r="4802" ht="15.75" customHeight="1">
      <c r="A4802" s="25" t="str">
        <f>IFERROR(__xludf.DUMMYFUNCTION("IF(B4802="""","""",RIGHT(REGEXREPLACE(B4802&amp;"""",""[^0-9]"",""""),9))"),"774286382")</f>
        <v>774286382</v>
      </c>
      <c r="B4802" s="26">
        <v>7.74286382E8</v>
      </c>
      <c r="C4802" s="28" t="s">
        <v>2727</v>
      </c>
      <c r="D4802" s="26" t="s">
        <v>56</v>
      </c>
      <c r="E4802" s="31">
        <v>46236.0</v>
      </c>
      <c r="F4802" s="26" t="s">
        <v>41</v>
      </c>
      <c r="G4802" s="26">
        <v>11.0</v>
      </c>
      <c r="I4802" s="26" t="s">
        <v>863</v>
      </c>
      <c r="J4802" s="25" t="str">
        <f t="shared" si="55"/>
        <v>Yes - see Previous F-Code</v>
      </c>
      <c r="K4802" s="25" t="str">
        <f t="shared" si="56"/>
        <v/>
      </c>
      <c r="L4802" s="25" t="str">
        <f t="shared" si="57"/>
        <v>F72412</v>
      </c>
      <c r="M4802" s="25"/>
      <c r="O4802" s="25"/>
    </row>
    <row r="4803" ht="15.75" customHeight="1">
      <c r="A4803" s="25" t="str">
        <f>IFERROR(__xludf.DUMMYFUNCTION("IF(B4803="""","""",RIGHT(REGEXREPLACE(B4803&amp;"""",""[^0-9]"",""""),9))"),"725705802")</f>
        <v>725705802</v>
      </c>
      <c r="B4803" s="52">
        <v>7.25705802E8</v>
      </c>
      <c r="C4803" s="28" t="s">
        <v>4752</v>
      </c>
      <c r="D4803" s="26" t="s">
        <v>64</v>
      </c>
      <c r="E4803" s="31">
        <v>46236.0</v>
      </c>
      <c r="F4803" s="26" t="s">
        <v>41</v>
      </c>
      <c r="G4803" s="26">
        <v>8.0</v>
      </c>
      <c r="I4803" s="26" t="s">
        <v>863</v>
      </c>
      <c r="J4803" s="25" t="str">
        <f t="shared" si="55"/>
        <v>No</v>
      </c>
      <c r="K4803" s="25" t="str">
        <f t="shared" si="56"/>
        <v/>
      </c>
      <c r="L4803" s="25" t="str">
        <f t="shared" si="57"/>
        <v/>
      </c>
      <c r="M4803" s="25"/>
      <c r="O4803" s="25"/>
    </row>
    <row r="4804" ht="15.75" customHeight="1">
      <c r="A4804" s="25" t="str">
        <f>IFERROR(__xludf.DUMMYFUNCTION("IF(B4804="""","""",RIGHT(REGEXREPLACE(B4804&amp;"""",""[^0-9]"",""""),9))"),"767968751")</f>
        <v>767968751</v>
      </c>
      <c r="B4804" s="52">
        <v>7.67968751E8</v>
      </c>
      <c r="C4804" s="28" t="s">
        <v>4753</v>
      </c>
      <c r="D4804" s="26" t="s">
        <v>49</v>
      </c>
      <c r="E4804" s="31">
        <v>46236.0</v>
      </c>
      <c r="F4804" s="26" t="s">
        <v>41</v>
      </c>
      <c r="I4804" s="26" t="s">
        <v>863</v>
      </c>
      <c r="J4804" s="25" t="str">
        <f t="shared" si="55"/>
        <v>No</v>
      </c>
      <c r="K4804" s="25" t="str">
        <f t="shared" si="56"/>
        <v/>
      </c>
      <c r="L4804" s="25" t="str">
        <f t="shared" si="57"/>
        <v/>
      </c>
      <c r="M4804" s="25"/>
      <c r="O4804" s="25"/>
    </row>
    <row r="4805" ht="15.75" customHeight="1">
      <c r="A4805" s="25" t="str">
        <f>IFERROR(__xludf.DUMMYFUNCTION("IF(B4805="""","""",RIGHT(REGEXREPLACE(B4805&amp;"""",""[^0-9]"",""""),9))"),"741170620")</f>
        <v>741170620</v>
      </c>
      <c r="B4805" s="52">
        <v>7.4117062E8</v>
      </c>
      <c r="C4805" s="28" t="s">
        <v>4754</v>
      </c>
      <c r="D4805" s="26" t="s">
        <v>56</v>
      </c>
      <c r="E4805" s="31">
        <v>46236.0</v>
      </c>
      <c r="F4805" s="26" t="s">
        <v>205</v>
      </c>
      <c r="I4805" s="26" t="s">
        <v>863</v>
      </c>
      <c r="J4805" s="25" t="str">
        <f t="shared" si="55"/>
        <v>No</v>
      </c>
      <c r="K4805" s="25" t="str">
        <f t="shared" si="56"/>
        <v/>
      </c>
      <c r="L4805" s="25" t="str">
        <f t="shared" si="57"/>
        <v/>
      </c>
      <c r="M4805" s="25"/>
      <c r="O4805" s="25"/>
    </row>
    <row r="4806" ht="15.75" customHeight="1">
      <c r="A4806" s="25" t="str">
        <f>IFERROR(__xludf.DUMMYFUNCTION("IF(B4806="""","""",RIGHT(REGEXREPLACE(B4806&amp;"""",""[^0-9]"",""""),9))"),"707309119")</f>
        <v>707309119</v>
      </c>
      <c r="B4806" s="52">
        <v>7.07309119E8</v>
      </c>
      <c r="C4806" s="28" t="s">
        <v>4755</v>
      </c>
      <c r="D4806" s="26" t="s">
        <v>64</v>
      </c>
      <c r="E4806" s="31">
        <v>46236.0</v>
      </c>
      <c r="F4806" s="26" t="s">
        <v>46</v>
      </c>
      <c r="G4806" s="26">
        <v>9.0</v>
      </c>
      <c r="I4806" s="26" t="s">
        <v>863</v>
      </c>
      <c r="J4806" s="25" t="str">
        <f t="shared" si="55"/>
        <v>No</v>
      </c>
      <c r="K4806" s="25" t="str">
        <f t="shared" si="56"/>
        <v/>
      </c>
      <c r="L4806" s="25" t="str">
        <f t="shared" si="57"/>
        <v/>
      </c>
      <c r="M4806" s="25"/>
      <c r="O4806" s="25"/>
    </row>
    <row r="4807" ht="15.75" customHeight="1">
      <c r="A4807" s="25" t="str">
        <f>IFERROR(__xludf.DUMMYFUNCTION("IF(B4807="""","""",RIGHT(REGEXREPLACE(B4807&amp;"""",""[^0-9]"",""""),9))"),"717027445")</f>
        <v>717027445</v>
      </c>
      <c r="B4807" s="52">
        <v>7.17027445E8</v>
      </c>
      <c r="C4807" s="28" t="s">
        <v>4756</v>
      </c>
      <c r="D4807" s="26" t="s">
        <v>56</v>
      </c>
      <c r="E4807" s="31">
        <v>46236.0</v>
      </c>
      <c r="F4807" s="26" t="s">
        <v>41</v>
      </c>
      <c r="I4807" s="26" t="s">
        <v>863</v>
      </c>
      <c r="J4807" s="25" t="str">
        <f t="shared" si="55"/>
        <v>No</v>
      </c>
      <c r="K4807" s="25" t="str">
        <f t="shared" si="56"/>
        <v/>
      </c>
      <c r="L4807" s="25" t="str">
        <f t="shared" si="57"/>
        <v/>
      </c>
      <c r="M4807" s="25"/>
      <c r="O4807" s="25"/>
    </row>
    <row r="4808" ht="15.75" customHeight="1">
      <c r="A4808" s="25" t="str">
        <f>IFERROR(__xludf.DUMMYFUNCTION("IF(B4808="""","""",RIGHT(REGEXREPLACE(B4808&amp;"""",""[^0-9]"",""""),9))"),"771676397")</f>
        <v>771676397</v>
      </c>
      <c r="B4808" s="52">
        <v>7.71676397E8</v>
      </c>
      <c r="C4808" s="28" t="s">
        <v>4757</v>
      </c>
      <c r="D4808" s="26" t="s">
        <v>56</v>
      </c>
      <c r="E4808" s="31">
        <v>46236.0</v>
      </c>
      <c r="F4808" s="26" t="s">
        <v>46</v>
      </c>
      <c r="G4808" s="26">
        <v>10.0</v>
      </c>
      <c r="I4808" s="26" t="s">
        <v>863</v>
      </c>
      <c r="J4808" s="25" t="str">
        <f t="shared" si="55"/>
        <v>No</v>
      </c>
      <c r="K4808" s="25" t="str">
        <f t="shared" si="56"/>
        <v/>
      </c>
      <c r="L4808" s="25" t="str">
        <f t="shared" si="57"/>
        <v/>
      </c>
      <c r="M4808" s="25"/>
      <c r="O4808" s="25"/>
    </row>
    <row r="4809" ht="15.75" customHeight="1">
      <c r="A4809" s="25" t="str">
        <f>IFERROR(__xludf.DUMMYFUNCTION("IF(B4809="""","""",RIGHT(REGEXREPLACE(B4809&amp;"""",""[^0-9]"",""""),9))"),"779132684")</f>
        <v>779132684</v>
      </c>
      <c r="B4809" s="52">
        <v>4.779132684E9</v>
      </c>
      <c r="C4809" s="28" t="s">
        <v>4758</v>
      </c>
      <c r="D4809" s="26" t="s">
        <v>64</v>
      </c>
      <c r="E4809" s="31">
        <v>46236.0</v>
      </c>
      <c r="F4809" s="26" t="s">
        <v>205</v>
      </c>
      <c r="G4809" s="26">
        <v>9.0</v>
      </c>
      <c r="I4809" s="26" t="s">
        <v>863</v>
      </c>
      <c r="J4809" s="25" t="str">
        <f t="shared" si="55"/>
        <v>No</v>
      </c>
      <c r="K4809" s="25" t="str">
        <f t="shared" si="56"/>
        <v/>
      </c>
      <c r="L4809" s="25" t="str">
        <f t="shared" si="57"/>
        <v/>
      </c>
      <c r="M4809" s="25"/>
      <c r="O4809" s="25"/>
    </row>
    <row r="4810" ht="15.75" customHeight="1">
      <c r="A4810" s="25" t="str">
        <f>IFERROR(__xludf.DUMMYFUNCTION("IF(B4810="""","""",RIGHT(REGEXREPLACE(B4810&amp;"""",""[^0-9]"",""""),9))"),"768505675")</f>
        <v>768505675</v>
      </c>
      <c r="B4810" s="52">
        <v>7.68505675E8</v>
      </c>
      <c r="C4810" s="28" t="s">
        <v>4759</v>
      </c>
      <c r="D4810" s="26" t="s">
        <v>45</v>
      </c>
      <c r="E4810" s="31">
        <v>46236.0</v>
      </c>
      <c r="F4810" s="26" t="s">
        <v>125</v>
      </c>
      <c r="G4810" s="26">
        <v>10.0</v>
      </c>
      <c r="I4810" s="26" t="s">
        <v>863</v>
      </c>
      <c r="J4810" s="25" t="str">
        <f t="shared" si="55"/>
        <v>No</v>
      </c>
      <c r="K4810" s="25" t="str">
        <f t="shared" si="56"/>
        <v/>
      </c>
      <c r="L4810" s="25" t="str">
        <f t="shared" si="57"/>
        <v/>
      </c>
      <c r="M4810" s="25"/>
      <c r="O4810" s="25"/>
    </row>
    <row r="4811" ht="15.75" customHeight="1">
      <c r="A4811" s="25" t="str">
        <f>IFERROR(__xludf.DUMMYFUNCTION("IF(B4811="""","""",RIGHT(REGEXREPLACE(B4811&amp;"""",""[^0-9]"",""""),9))"),"789187174")</f>
        <v>789187174</v>
      </c>
      <c r="B4811" s="52">
        <v>7.89187174E8</v>
      </c>
      <c r="C4811" s="28" t="s">
        <v>4760</v>
      </c>
      <c r="D4811" s="26" t="s">
        <v>49</v>
      </c>
      <c r="E4811" s="31">
        <v>46236.0</v>
      </c>
      <c r="F4811" s="26" t="s">
        <v>46</v>
      </c>
      <c r="G4811" s="26">
        <v>10.0</v>
      </c>
      <c r="I4811" s="26" t="s">
        <v>863</v>
      </c>
      <c r="J4811" s="25" t="str">
        <f t="shared" si="55"/>
        <v>No</v>
      </c>
      <c r="K4811" s="25" t="str">
        <f t="shared" si="56"/>
        <v/>
      </c>
      <c r="L4811" s="25" t="str">
        <f t="shared" si="57"/>
        <v/>
      </c>
      <c r="M4811" s="25"/>
      <c r="O4811" s="25"/>
    </row>
    <row r="4812" ht="15.75" customHeight="1">
      <c r="A4812" s="25" t="str">
        <f>IFERROR(__xludf.DUMMYFUNCTION("IF(B4812="""","""",RIGHT(REGEXREPLACE(B4812&amp;"""",""[^0-9]"",""""),9))"),"717168161")</f>
        <v>717168161</v>
      </c>
      <c r="B4812" s="52">
        <v>7.17168161E8</v>
      </c>
      <c r="C4812" s="28" t="s">
        <v>4761</v>
      </c>
      <c r="D4812" s="26" t="s">
        <v>64</v>
      </c>
      <c r="E4812" s="31">
        <v>46236.0</v>
      </c>
      <c r="F4812" s="26" t="s">
        <v>46</v>
      </c>
      <c r="G4812" s="26">
        <v>6.0</v>
      </c>
      <c r="I4812" s="26" t="s">
        <v>863</v>
      </c>
      <c r="J4812" s="25" t="str">
        <f t="shared" si="55"/>
        <v>No</v>
      </c>
      <c r="K4812" s="25" t="str">
        <f t="shared" si="56"/>
        <v/>
      </c>
      <c r="L4812" s="25" t="str">
        <f t="shared" si="57"/>
        <v/>
      </c>
      <c r="M4812" s="25"/>
      <c r="O4812" s="25"/>
    </row>
    <row r="4813" ht="15.75" customHeight="1">
      <c r="A4813" s="25" t="str">
        <f>IFERROR(__xludf.DUMMYFUNCTION("IF(B4813="""","""",RIGHT(REGEXREPLACE(B4813&amp;"""",""[^0-9]"",""""),9))"),"707885555")</f>
        <v>707885555</v>
      </c>
      <c r="B4813" s="52">
        <v>7.07885555E8</v>
      </c>
      <c r="C4813" s="28" t="s">
        <v>4762</v>
      </c>
      <c r="D4813" s="26" t="s">
        <v>56</v>
      </c>
      <c r="E4813" s="31">
        <v>46236.0</v>
      </c>
      <c r="F4813" s="26" t="s">
        <v>659</v>
      </c>
      <c r="G4813" s="26">
        <v>10.0</v>
      </c>
      <c r="I4813" s="26" t="s">
        <v>863</v>
      </c>
      <c r="J4813" s="25" t="str">
        <f t="shared" si="55"/>
        <v>No</v>
      </c>
      <c r="K4813" s="25" t="str">
        <f t="shared" si="56"/>
        <v/>
      </c>
      <c r="L4813" s="25" t="str">
        <f t="shared" si="57"/>
        <v/>
      </c>
      <c r="M4813" s="25"/>
      <c r="O4813" s="25"/>
    </row>
    <row r="4814" ht="15.75" customHeight="1">
      <c r="A4814" s="25" t="str">
        <f>IFERROR(__xludf.DUMMYFUNCTION("IF(B4814="""","""",RIGHT(REGEXREPLACE(B4814&amp;"""",""[^0-9]"",""""),9))"),"788702651")</f>
        <v>788702651</v>
      </c>
      <c r="B4814" s="52">
        <v>7.88702651E8</v>
      </c>
      <c r="C4814" s="28" t="s">
        <v>2110</v>
      </c>
      <c r="D4814" s="26" t="s">
        <v>64</v>
      </c>
      <c r="E4814" s="31">
        <v>46236.0</v>
      </c>
      <c r="F4814" s="26" t="s">
        <v>41</v>
      </c>
      <c r="G4814" s="26">
        <v>9.0</v>
      </c>
      <c r="I4814" s="26" t="s">
        <v>863</v>
      </c>
      <c r="J4814" s="25" t="str">
        <f t="shared" si="55"/>
        <v>Yes - see Previous F-Code</v>
      </c>
      <c r="K4814" s="25" t="str">
        <f t="shared" si="56"/>
        <v/>
      </c>
      <c r="L4814" s="25" t="str">
        <f t="shared" si="57"/>
        <v>F71811</v>
      </c>
      <c r="M4814" s="25"/>
      <c r="O4814" s="25"/>
    </row>
    <row r="4815" ht="15.75" customHeight="1">
      <c r="A4815" s="25" t="str">
        <f>IFERROR(__xludf.DUMMYFUNCTION("IF(B4815="""","""",RIGHT(REGEXREPLACE(B4815&amp;"""",""[^0-9]"",""""),9))"),"763841235")</f>
        <v>763841235</v>
      </c>
      <c r="B4815" s="52">
        <v>7.63841235E8</v>
      </c>
      <c r="C4815" s="28" t="s">
        <v>4763</v>
      </c>
      <c r="D4815" s="26" t="s">
        <v>45</v>
      </c>
      <c r="E4815" s="31">
        <v>46236.0</v>
      </c>
      <c r="F4815" s="26" t="s">
        <v>659</v>
      </c>
      <c r="G4815" s="26">
        <v>9.0</v>
      </c>
      <c r="I4815" s="26" t="s">
        <v>863</v>
      </c>
      <c r="J4815" s="25" t="str">
        <f t="shared" si="55"/>
        <v>No</v>
      </c>
      <c r="K4815" s="25" t="str">
        <f t="shared" si="56"/>
        <v/>
      </c>
      <c r="L4815" s="25" t="str">
        <f t="shared" si="57"/>
        <v/>
      </c>
      <c r="M4815" s="25"/>
      <c r="O4815" s="25"/>
    </row>
    <row r="4816" ht="15.75" customHeight="1">
      <c r="A4816" s="25" t="str">
        <f>IFERROR(__xludf.DUMMYFUNCTION("IF(B4816="""","""",RIGHT(REGEXREPLACE(B4816&amp;"""",""[^0-9]"",""""),9))"),"763877149")</f>
        <v>763877149</v>
      </c>
      <c r="B4816" s="52">
        <v>7.63877149E8</v>
      </c>
      <c r="C4816" s="28" t="s">
        <v>4764</v>
      </c>
      <c r="D4816" s="26" t="s">
        <v>56</v>
      </c>
      <c r="E4816" s="31">
        <v>46236.0</v>
      </c>
      <c r="F4816" s="26" t="s">
        <v>41</v>
      </c>
      <c r="I4816" s="26" t="s">
        <v>863</v>
      </c>
      <c r="J4816" s="25" t="str">
        <f t="shared" si="55"/>
        <v>No</v>
      </c>
      <c r="K4816" s="25" t="str">
        <f t="shared" si="56"/>
        <v/>
      </c>
      <c r="L4816" s="25" t="str">
        <f t="shared" si="57"/>
        <v/>
      </c>
      <c r="M4816" s="25"/>
      <c r="O4816" s="25"/>
    </row>
    <row r="4817" ht="15.75" customHeight="1">
      <c r="A4817" s="25" t="str">
        <f>IFERROR(__xludf.DUMMYFUNCTION("IF(B4817="""","""",RIGHT(REGEXREPLACE(B4817&amp;"""",""[^0-9]"",""""),9))"),"763829353")</f>
        <v>763829353</v>
      </c>
      <c r="B4817" s="52">
        <v>7.63829353E8</v>
      </c>
      <c r="C4817" s="28" t="s">
        <v>1098</v>
      </c>
      <c r="D4817" s="26" t="s">
        <v>64</v>
      </c>
      <c r="E4817" s="31">
        <v>46236.0</v>
      </c>
      <c r="F4817" s="26" t="s">
        <v>46</v>
      </c>
      <c r="G4817" s="26">
        <v>11.0</v>
      </c>
      <c r="I4817" s="26" t="s">
        <v>863</v>
      </c>
      <c r="J4817" s="25" t="str">
        <f t="shared" si="55"/>
        <v>Yes - see Previous F-Code</v>
      </c>
      <c r="K4817" s="25" t="str">
        <f t="shared" si="56"/>
        <v/>
      </c>
      <c r="L4817" s="25" t="str">
        <f t="shared" si="57"/>
        <v>F70842</v>
      </c>
      <c r="M4817" s="25"/>
      <c r="O4817" s="25"/>
    </row>
    <row r="4818" ht="15.75" customHeight="1">
      <c r="A4818" s="25" t="str">
        <f>IFERROR(__xludf.DUMMYFUNCTION("IF(B4818="""","""",RIGHT(REGEXREPLACE(B4818&amp;"""",""[^0-9]"",""""),9))"),"782096296")</f>
        <v>782096296</v>
      </c>
      <c r="B4818" s="52">
        <v>7.82096296E8</v>
      </c>
      <c r="C4818" s="28" t="s">
        <v>3203</v>
      </c>
      <c r="D4818" s="26" t="s">
        <v>49</v>
      </c>
      <c r="E4818" s="31">
        <v>46236.0</v>
      </c>
      <c r="F4818" s="26" t="s">
        <v>41</v>
      </c>
      <c r="G4818" s="26">
        <v>11.0</v>
      </c>
      <c r="I4818" s="26" t="s">
        <v>863</v>
      </c>
      <c r="J4818" s="25" t="str">
        <f t="shared" si="55"/>
        <v>Yes - see Previous F-Code</v>
      </c>
      <c r="K4818" s="25" t="str">
        <f t="shared" si="56"/>
        <v/>
      </c>
      <c r="L4818" s="25" t="str">
        <f t="shared" si="57"/>
        <v>F72841</v>
      </c>
      <c r="M4818" s="25"/>
      <c r="O4818" s="25"/>
    </row>
    <row r="4819" ht="15.75" customHeight="1">
      <c r="A4819" s="25" t="str">
        <f>IFERROR(__xludf.DUMMYFUNCTION("IF(B4819="""","""",RIGHT(REGEXREPLACE(B4819&amp;"""",""[^0-9]"",""""),9))"),"779473281")</f>
        <v>779473281</v>
      </c>
      <c r="B4819" s="52">
        <v>7.79473281E8</v>
      </c>
      <c r="C4819" s="28" t="s">
        <v>4765</v>
      </c>
      <c r="D4819" s="26" t="s">
        <v>45</v>
      </c>
      <c r="E4819" s="31">
        <v>46236.0</v>
      </c>
      <c r="F4819" s="26" t="s">
        <v>46</v>
      </c>
      <c r="G4819" s="26">
        <v>10.0</v>
      </c>
      <c r="H4819" s="26" t="s">
        <v>4574</v>
      </c>
      <c r="I4819" s="26" t="s">
        <v>863</v>
      </c>
      <c r="J4819" s="25" t="str">
        <f t="shared" si="55"/>
        <v>No</v>
      </c>
      <c r="K4819" s="25" t="str">
        <f t="shared" si="56"/>
        <v/>
      </c>
      <c r="L4819" s="25" t="str">
        <f t="shared" si="57"/>
        <v/>
      </c>
      <c r="M4819" s="25"/>
      <c r="O4819" s="25"/>
    </row>
    <row r="4820" ht="15.75" customHeight="1">
      <c r="A4820" s="25" t="str">
        <f>IFERROR(__xludf.DUMMYFUNCTION("IF(B4820="""","""",RIGHT(REGEXREPLACE(B4820&amp;"""",""[^0-9]"",""""),9))"),"719127076")</f>
        <v>719127076</v>
      </c>
      <c r="B4820" s="52">
        <v>7.19127076E8</v>
      </c>
      <c r="C4820" s="28" t="s">
        <v>4766</v>
      </c>
      <c r="D4820" s="26" t="s">
        <v>56</v>
      </c>
      <c r="E4820" s="31">
        <v>46236.0</v>
      </c>
      <c r="F4820" s="26" t="s">
        <v>46</v>
      </c>
      <c r="G4820" s="26">
        <v>9.0</v>
      </c>
      <c r="I4820" s="26" t="s">
        <v>863</v>
      </c>
      <c r="J4820" s="25" t="str">
        <f t="shared" si="55"/>
        <v>No</v>
      </c>
      <c r="K4820" s="25" t="str">
        <f t="shared" si="56"/>
        <v/>
      </c>
      <c r="L4820" s="25" t="str">
        <f t="shared" si="57"/>
        <v/>
      </c>
      <c r="M4820" s="25"/>
      <c r="O4820" s="25"/>
    </row>
    <row r="4821" ht="15.75" customHeight="1">
      <c r="A4821" s="25" t="str">
        <f>IFERROR(__xludf.DUMMYFUNCTION("IF(B4821="""","""",RIGHT(REGEXREPLACE(B4821&amp;"""",""[^0-9]"",""""),9))"),"763623558")</f>
        <v>763623558</v>
      </c>
      <c r="B4821" s="52">
        <v>7.63623558E8</v>
      </c>
      <c r="C4821" s="28" t="s">
        <v>4767</v>
      </c>
      <c r="D4821" s="26" t="s">
        <v>45</v>
      </c>
      <c r="E4821" s="31">
        <v>46236.0</v>
      </c>
      <c r="F4821" s="26" t="s">
        <v>46</v>
      </c>
      <c r="G4821" s="26">
        <v>9.0</v>
      </c>
      <c r="I4821" s="26" t="s">
        <v>863</v>
      </c>
      <c r="J4821" s="25" t="str">
        <f t="shared" si="55"/>
        <v>No</v>
      </c>
      <c r="K4821" s="25" t="str">
        <f t="shared" si="56"/>
        <v/>
      </c>
      <c r="L4821" s="25" t="str">
        <f t="shared" si="57"/>
        <v/>
      </c>
      <c r="M4821" s="25"/>
      <c r="O4821" s="26" t="s">
        <v>51</v>
      </c>
    </row>
    <row r="4822" ht="15.75" customHeight="1">
      <c r="A4822" s="25" t="str">
        <f>IFERROR(__xludf.DUMMYFUNCTION("IF(B4822="""","""",RIGHT(REGEXREPLACE(B4822&amp;"""",""[^0-9]"",""""),9))"),"742022237")</f>
        <v>742022237</v>
      </c>
      <c r="B4822" s="52">
        <v>7.42022237E8</v>
      </c>
      <c r="C4822" s="28" t="s">
        <v>4768</v>
      </c>
      <c r="D4822" s="26" t="s">
        <v>49</v>
      </c>
      <c r="E4822" s="31">
        <v>46236.0</v>
      </c>
      <c r="F4822" s="26" t="s">
        <v>46</v>
      </c>
      <c r="G4822" s="26">
        <v>8.0</v>
      </c>
      <c r="H4822" s="26" t="s">
        <v>94</v>
      </c>
      <c r="I4822" s="26" t="s">
        <v>863</v>
      </c>
      <c r="J4822" s="25" t="str">
        <f t="shared" si="55"/>
        <v>No</v>
      </c>
      <c r="K4822" s="25" t="str">
        <f t="shared" si="56"/>
        <v/>
      </c>
      <c r="L4822" s="25" t="str">
        <f t="shared" si="57"/>
        <v/>
      </c>
      <c r="M4822" s="25"/>
      <c r="O4822" s="25"/>
    </row>
    <row r="4823" ht="15.75" customHeight="1">
      <c r="A4823" s="25" t="str">
        <f>IFERROR(__xludf.DUMMYFUNCTION("IF(B4823="""","""",RIGHT(REGEXREPLACE(B4823&amp;"""",""[^0-9]"",""""),9))"),"716406561")</f>
        <v>716406561</v>
      </c>
      <c r="B4823" s="52">
        <v>7.16406561E8</v>
      </c>
      <c r="C4823" s="28" t="s">
        <v>4769</v>
      </c>
      <c r="D4823" s="26" t="s">
        <v>56</v>
      </c>
      <c r="E4823" s="31">
        <v>46236.0</v>
      </c>
      <c r="F4823" s="26" t="s">
        <v>46</v>
      </c>
      <c r="G4823" s="26">
        <v>9.0</v>
      </c>
      <c r="I4823" s="26" t="s">
        <v>863</v>
      </c>
      <c r="J4823" s="25" t="str">
        <f t="shared" si="55"/>
        <v>No</v>
      </c>
      <c r="K4823" s="25" t="str">
        <f t="shared" si="56"/>
        <v/>
      </c>
      <c r="L4823" s="25" t="str">
        <f t="shared" si="57"/>
        <v/>
      </c>
      <c r="M4823" s="25"/>
      <c r="O4823" s="25"/>
    </row>
    <row r="4824" ht="15.75" customHeight="1">
      <c r="A4824" s="25" t="str">
        <f>IFERROR(__xludf.DUMMYFUNCTION("IF(B4824="""","""",RIGHT(REGEXREPLACE(B4824&amp;"""",""[^0-9]"",""""),9))"),"706503067")</f>
        <v>706503067</v>
      </c>
      <c r="B4824" s="52">
        <v>7.06503067E8</v>
      </c>
      <c r="C4824" s="28" t="s">
        <v>4770</v>
      </c>
      <c r="D4824" s="26" t="s">
        <v>64</v>
      </c>
      <c r="E4824" s="31">
        <v>46236.0</v>
      </c>
      <c r="F4824" s="26" t="s">
        <v>46</v>
      </c>
      <c r="G4824" s="26">
        <v>10.0</v>
      </c>
      <c r="I4824" s="26" t="s">
        <v>863</v>
      </c>
      <c r="J4824" s="25" t="str">
        <f t="shared" si="55"/>
        <v>No</v>
      </c>
      <c r="K4824" s="25" t="str">
        <f t="shared" si="56"/>
        <v/>
      </c>
      <c r="L4824" s="25" t="str">
        <f t="shared" si="57"/>
        <v/>
      </c>
      <c r="M4824" s="25"/>
      <c r="O4824" s="25"/>
    </row>
    <row r="4825" ht="15.75" customHeight="1">
      <c r="A4825" s="25" t="str">
        <f>IFERROR(__xludf.DUMMYFUNCTION("IF(B4825="""","""",RIGHT(REGEXREPLACE(B4825&amp;"""",""[^0-9]"",""""),9))"),"768485763")</f>
        <v>768485763</v>
      </c>
      <c r="B4825" s="52">
        <v>7.68485763E8</v>
      </c>
      <c r="C4825" s="28" t="s">
        <v>4771</v>
      </c>
      <c r="D4825" s="26" t="s">
        <v>45</v>
      </c>
      <c r="E4825" s="31">
        <v>46236.0</v>
      </c>
      <c r="F4825" s="26" t="s">
        <v>41</v>
      </c>
      <c r="G4825" s="26">
        <v>9.0</v>
      </c>
      <c r="I4825" s="26" t="s">
        <v>863</v>
      </c>
      <c r="J4825" s="25" t="str">
        <f t="shared" si="55"/>
        <v>No</v>
      </c>
      <c r="K4825" s="25" t="str">
        <f t="shared" si="56"/>
        <v/>
      </c>
      <c r="L4825" s="25" t="str">
        <f t="shared" si="57"/>
        <v/>
      </c>
      <c r="M4825" s="25"/>
      <c r="O4825" s="25"/>
    </row>
    <row r="4826" ht="15.75" customHeight="1">
      <c r="A4826" s="25" t="str">
        <f>IFERROR(__xludf.DUMMYFUNCTION("IF(B4826="""","""",RIGHT(REGEXREPLACE(B4826&amp;"""",""[^0-9]"",""""),9))"),"703648726")</f>
        <v>703648726</v>
      </c>
      <c r="B4826" s="52">
        <v>7.03648726E8</v>
      </c>
      <c r="C4826" s="28" t="s">
        <v>4772</v>
      </c>
      <c r="D4826" s="26" t="s">
        <v>49</v>
      </c>
      <c r="E4826" s="31">
        <v>46236.0</v>
      </c>
      <c r="F4826" s="26" t="s">
        <v>41</v>
      </c>
      <c r="G4826" s="26">
        <v>10.0</v>
      </c>
      <c r="I4826" s="26" t="s">
        <v>863</v>
      </c>
      <c r="J4826" s="25" t="str">
        <f t="shared" si="55"/>
        <v>No</v>
      </c>
      <c r="K4826" s="25" t="str">
        <f t="shared" si="56"/>
        <v/>
      </c>
      <c r="L4826" s="25" t="str">
        <f t="shared" si="57"/>
        <v/>
      </c>
      <c r="M4826" s="25"/>
      <c r="O4826" s="25"/>
    </row>
    <row r="4827" ht="15.75" customHeight="1">
      <c r="A4827" s="25" t="str">
        <f>IFERROR(__xludf.DUMMYFUNCTION("IF(B4827="""","""",RIGHT(REGEXREPLACE(B4827&amp;"""",""[^0-9]"",""""),9))"),"785835233")</f>
        <v>785835233</v>
      </c>
      <c r="B4827" s="52">
        <v>7.85835233E8</v>
      </c>
      <c r="C4827" s="28" t="s">
        <v>4513</v>
      </c>
      <c r="D4827" s="26" t="s">
        <v>56</v>
      </c>
      <c r="E4827" s="31">
        <v>46236.0</v>
      </c>
      <c r="F4827" s="26" t="s">
        <v>46</v>
      </c>
      <c r="G4827" s="26">
        <v>9.0</v>
      </c>
      <c r="I4827" s="26" t="s">
        <v>863</v>
      </c>
      <c r="J4827" s="25" t="str">
        <f t="shared" si="55"/>
        <v>No</v>
      </c>
      <c r="K4827" s="25" t="str">
        <f t="shared" si="56"/>
        <v/>
      </c>
      <c r="L4827" s="25" t="str">
        <f t="shared" si="57"/>
        <v/>
      </c>
      <c r="M4827" s="25"/>
      <c r="O4827" s="25"/>
    </row>
    <row r="4828" ht="15.75" customHeight="1">
      <c r="A4828" s="25" t="str">
        <f>IFERROR(__xludf.DUMMYFUNCTION("IF(B4828="""","""",RIGHT(REGEXREPLACE(B4828&amp;"""",""[^0-9]"",""""),9))"),"703797768")</f>
        <v>703797768</v>
      </c>
      <c r="B4828" s="52">
        <v>7.03797768E8</v>
      </c>
      <c r="C4828" s="28" t="s">
        <v>4773</v>
      </c>
      <c r="D4828" s="26" t="s">
        <v>64</v>
      </c>
      <c r="E4828" s="31">
        <v>46236.0</v>
      </c>
      <c r="F4828" s="26" t="s">
        <v>41</v>
      </c>
      <c r="G4828" s="26">
        <v>9.0</v>
      </c>
      <c r="I4828" s="26" t="s">
        <v>863</v>
      </c>
      <c r="J4828" s="25" t="str">
        <f t="shared" si="55"/>
        <v>No</v>
      </c>
      <c r="K4828" s="25" t="str">
        <f t="shared" si="56"/>
        <v/>
      </c>
      <c r="L4828" s="25" t="str">
        <f t="shared" si="57"/>
        <v/>
      </c>
      <c r="M4828" s="25"/>
      <c r="O4828" s="25"/>
    </row>
    <row r="4829" ht="15.75" customHeight="1">
      <c r="A4829" s="25" t="str">
        <f>IFERROR(__xludf.DUMMYFUNCTION("IF(B4829="""","""",RIGHT(REGEXREPLACE(B4829&amp;"""",""[^0-9]"",""""),9))"),"774997660")</f>
        <v>774997660</v>
      </c>
      <c r="B4829" s="52">
        <v>7.7499766E8</v>
      </c>
      <c r="C4829" s="28" t="s">
        <v>4774</v>
      </c>
      <c r="D4829" s="26" t="s">
        <v>49</v>
      </c>
      <c r="E4829" s="31">
        <v>46236.0</v>
      </c>
      <c r="F4829" s="26" t="s">
        <v>46</v>
      </c>
      <c r="G4829" s="26">
        <v>9.0</v>
      </c>
      <c r="I4829" s="26" t="s">
        <v>863</v>
      </c>
      <c r="J4829" s="25" t="str">
        <f t="shared" si="55"/>
        <v>No</v>
      </c>
      <c r="K4829" s="25" t="str">
        <f t="shared" si="56"/>
        <v/>
      </c>
      <c r="L4829" s="25" t="str">
        <f t="shared" si="57"/>
        <v/>
      </c>
      <c r="M4829" s="25"/>
      <c r="O4829" s="25"/>
    </row>
    <row r="4830" ht="15.75" customHeight="1">
      <c r="A4830" s="25" t="str">
        <f>IFERROR(__xludf.DUMMYFUNCTION("IF(B4830="""","""",RIGHT(REGEXREPLACE(B4830&amp;"""",""[^0-9]"",""""),9))"),"769185606")</f>
        <v>769185606</v>
      </c>
      <c r="B4830" s="52">
        <v>7.69185606E8</v>
      </c>
      <c r="C4830" s="28" t="s">
        <v>4775</v>
      </c>
      <c r="D4830" s="26" t="s">
        <v>64</v>
      </c>
      <c r="E4830" s="31">
        <v>46236.0</v>
      </c>
      <c r="F4830" s="26" t="s">
        <v>46</v>
      </c>
      <c r="G4830" s="26">
        <v>10.0</v>
      </c>
      <c r="H4830" s="26" t="s">
        <v>4776</v>
      </c>
      <c r="I4830" s="26" t="s">
        <v>863</v>
      </c>
      <c r="J4830" s="25" t="str">
        <f t="shared" si="55"/>
        <v>No</v>
      </c>
      <c r="K4830" s="25" t="str">
        <f t="shared" si="56"/>
        <v/>
      </c>
      <c r="L4830" s="25" t="str">
        <f t="shared" si="57"/>
        <v/>
      </c>
      <c r="M4830" s="25"/>
      <c r="O4830" s="25"/>
    </row>
    <row r="4831" ht="15.75" customHeight="1">
      <c r="A4831" s="25" t="str">
        <f>IFERROR(__xludf.DUMMYFUNCTION("IF(B4831="""","""",RIGHT(REGEXREPLACE(B4831&amp;"""",""[^0-9]"",""""),9))"),"707636364")</f>
        <v>707636364</v>
      </c>
      <c r="B4831" s="52">
        <v>7.07636364E8</v>
      </c>
      <c r="C4831" s="28" t="s">
        <v>4777</v>
      </c>
      <c r="D4831" s="26" t="s">
        <v>64</v>
      </c>
      <c r="E4831" s="31">
        <v>46236.0</v>
      </c>
      <c r="F4831" s="26" t="s">
        <v>41</v>
      </c>
      <c r="I4831" s="26" t="s">
        <v>863</v>
      </c>
      <c r="J4831" s="25" t="str">
        <f t="shared" si="55"/>
        <v>No</v>
      </c>
      <c r="K4831" s="25" t="str">
        <f t="shared" si="56"/>
        <v/>
      </c>
      <c r="L4831" s="25" t="str">
        <f t="shared" si="57"/>
        <v/>
      </c>
      <c r="M4831" s="25"/>
      <c r="O4831" s="25"/>
    </row>
    <row r="4832" ht="15.75" customHeight="1">
      <c r="A4832" s="25" t="str">
        <f>IFERROR(__xludf.DUMMYFUNCTION("IF(B4832="""","""",RIGHT(REGEXREPLACE(B4832&amp;"""",""[^0-9]"",""""),9))"),"742872867")</f>
        <v>742872867</v>
      </c>
      <c r="B4832" s="52">
        <v>7.42872867E8</v>
      </c>
      <c r="C4832" s="28" t="s">
        <v>4778</v>
      </c>
      <c r="D4832" s="26" t="s">
        <v>64</v>
      </c>
      <c r="E4832" s="31">
        <v>46236.0</v>
      </c>
      <c r="F4832" s="26" t="s">
        <v>46</v>
      </c>
      <c r="G4832" s="26">
        <v>9.0</v>
      </c>
      <c r="I4832" s="26" t="s">
        <v>863</v>
      </c>
      <c r="J4832" s="25" t="str">
        <f t="shared" si="55"/>
        <v>No</v>
      </c>
      <c r="K4832" s="25" t="str">
        <f t="shared" si="56"/>
        <v/>
      </c>
      <c r="L4832" s="25" t="str">
        <f t="shared" si="57"/>
        <v/>
      </c>
      <c r="M4832" s="25"/>
      <c r="O4832" s="26" t="s">
        <v>51</v>
      </c>
    </row>
    <row r="4833" ht="15.75" customHeight="1">
      <c r="A4833" s="25" t="str">
        <f>IFERROR(__xludf.DUMMYFUNCTION("IF(B4833="""","""",RIGHT(REGEXREPLACE(B4833&amp;"""",""[^0-9]"",""""),9))"),"784939700")</f>
        <v>784939700</v>
      </c>
      <c r="B4833" s="52">
        <v>7.849397E8</v>
      </c>
      <c r="C4833" s="28" t="s">
        <v>4615</v>
      </c>
      <c r="D4833" s="26" t="s">
        <v>45</v>
      </c>
      <c r="E4833" s="31">
        <v>46236.0</v>
      </c>
      <c r="F4833" s="26" t="s">
        <v>41</v>
      </c>
      <c r="I4833" s="26" t="s">
        <v>863</v>
      </c>
      <c r="J4833" s="25" t="str">
        <f t="shared" si="55"/>
        <v>Yes - see Previous F-Code</v>
      </c>
      <c r="K4833" s="25" t="str">
        <f t="shared" si="56"/>
        <v/>
      </c>
      <c r="L4833" s="25" t="str">
        <f t="shared" si="57"/>
        <v>F74206</v>
      </c>
      <c r="M4833" s="25"/>
      <c r="O4833" s="25"/>
    </row>
    <row r="4834" ht="15.75" customHeight="1">
      <c r="A4834" s="25" t="str">
        <f>IFERROR(__xludf.DUMMYFUNCTION("IF(B4834="""","""",RIGHT(REGEXREPLACE(B4834&amp;"""",""[^0-9]"",""""),9))"),"763770480")</f>
        <v>763770480</v>
      </c>
      <c r="B4834" s="52">
        <v>7.6377048E8</v>
      </c>
      <c r="C4834" s="28" t="s">
        <v>4779</v>
      </c>
      <c r="D4834" s="26" t="s">
        <v>45</v>
      </c>
      <c r="E4834" s="31">
        <v>46236.0</v>
      </c>
      <c r="F4834" s="26" t="s">
        <v>46</v>
      </c>
      <c r="G4834" s="26">
        <v>10.0</v>
      </c>
      <c r="I4834" s="26" t="s">
        <v>863</v>
      </c>
      <c r="J4834" s="25" t="str">
        <f t="shared" si="55"/>
        <v>No</v>
      </c>
      <c r="K4834" s="25" t="str">
        <f t="shared" si="56"/>
        <v/>
      </c>
      <c r="L4834" s="25" t="str">
        <f t="shared" si="57"/>
        <v/>
      </c>
      <c r="M4834" s="25"/>
      <c r="O4834" s="25"/>
    </row>
    <row r="4835" ht="15.75" customHeight="1">
      <c r="A4835" s="25" t="str">
        <f>IFERROR(__xludf.DUMMYFUNCTION("IF(B4835="""","""",RIGHT(REGEXREPLACE(B4835&amp;"""",""[^0-9]"",""""),9))"),"764360496")</f>
        <v>764360496</v>
      </c>
      <c r="B4835" s="52">
        <v>7.64360496E8</v>
      </c>
      <c r="C4835" s="28" t="s">
        <v>4780</v>
      </c>
      <c r="D4835" s="26" t="s">
        <v>49</v>
      </c>
      <c r="E4835" s="31">
        <v>46236.0</v>
      </c>
      <c r="F4835" s="26" t="s">
        <v>41</v>
      </c>
      <c r="G4835" s="26">
        <v>10.0</v>
      </c>
      <c r="I4835" s="26" t="s">
        <v>863</v>
      </c>
      <c r="J4835" s="25" t="str">
        <f t="shared" si="55"/>
        <v>No</v>
      </c>
      <c r="K4835" s="25" t="str">
        <f t="shared" si="56"/>
        <v/>
      </c>
      <c r="L4835" s="25" t="str">
        <f t="shared" si="57"/>
        <v/>
      </c>
      <c r="M4835" s="25"/>
      <c r="O4835" s="25"/>
    </row>
    <row r="4836" ht="15.75" customHeight="1">
      <c r="A4836" s="25" t="str">
        <f>IFERROR(__xludf.DUMMYFUNCTION("IF(B4836="""","""",RIGHT(REGEXREPLACE(B4836&amp;"""",""[^0-9]"",""""),9))"),"718694926")</f>
        <v>718694926</v>
      </c>
      <c r="B4836" s="52">
        <v>7.18694926E8</v>
      </c>
      <c r="C4836" s="28" t="s">
        <v>4781</v>
      </c>
      <c r="D4836" s="26" t="s">
        <v>56</v>
      </c>
      <c r="E4836" s="31">
        <v>46236.0</v>
      </c>
      <c r="F4836" s="26" t="s">
        <v>125</v>
      </c>
      <c r="G4836" s="26">
        <v>10.0</v>
      </c>
      <c r="I4836" s="26" t="s">
        <v>863</v>
      </c>
      <c r="J4836" s="25" t="str">
        <f t="shared" si="55"/>
        <v>No</v>
      </c>
      <c r="K4836" s="25" t="str">
        <f t="shared" si="56"/>
        <v/>
      </c>
      <c r="L4836" s="25" t="str">
        <f t="shared" si="57"/>
        <v/>
      </c>
      <c r="M4836" s="25"/>
      <c r="O4836" s="25"/>
    </row>
    <row r="4837" ht="15.75" customHeight="1">
      <c r="A4837" s="25" t="str">
        <f>IFERROR(__xludf.DUMMYFUNCTION("IF(B4837="""","""",RIGHT(REGEXREPLACE(B4837&amp;"""",""[^0-9]"",""""),9))"),"713212387")</f>
        <v>713212387</v>
      </c>
      <c r="B4837" s="52">
        <v>7.13212387E8</v>
      </c>
      <c r="C4837" s="28" t="s">
        <v>4782</v>
      </c>
      <c r="D4837" s="26" t="s">
        <v>49</v>
      </c>
      <c r="E4837" s="31">
        <v>46236.0</v>
      </c>
      <c r="F4837" s="26" t="s">
        <v>41</v>
      </c>
      <c r="G4837" s="26">
        <v>10.0</v>
      </c>
      <c r="I4837" s="26" t="s">
        <v>863</v>
      </c>
      <c r="J4837" s="25" t="str">
        <f t="shared" si="55"/>
        <v>No</v>
      </c>
      <c r="K4837" s="25" t="str">
        <f t="shared" si="56"/>
        <v/>
      </c>
      <c r="L4837" s="25" t="str">
        <f t="shared" si="57"/>
        <v/>
      </c>
      <c r="M4837" s="25"/>
      <c r="O4837" s="25"/>
    </row>
    <row r="4838" ht="15.75" customHeight="1">
      <c r="A4838" s="25" t="str">
        <f>IFERROR(__xludf.DUMMYFUNCTION("IF(B4838="""","""",RIGHT(REGEXREPLACE(B4838&amp;"""",""[^0-9]"",""""),9))"),"743429668")</f>
        <v>743429668</v>
      </c>
      <c r="B4838" s="52">
        <v>7.43429668E8</v>
      </c>
      <c r="C4838" s="28" t="s">
        <v>4783</v>
      </c>
      <c r="D4838" s="26" t="s">
        <v>45</v>
      </c>
      <c r="E4838" s="31">
        <v>46236.0</v>
      </c>
      <c r="F4838" s="26" t="s">
        <v>41</v>
      </c>
      <c r="G4838" s="26">
        <v>9.0</v>
      </c>
      <c r="I4838" s="26" t="s">
        <v>863</v>
      </c>
      <c r="J4838" s="25" t="str">
        <f t="shared" si="55"/>
        <v>No</v>
      </c>
      <c r="K4838" s="25" t="str">
        <f t="shared" si="56"/>
        <v/>
      </c>
      <c r="L4838" s="25" t="str">
        <f t="shared" si="57"/>
        <v/>
      </c>
      <c r="M4838" s="25"/>
      <c r="O4838" s="26" t="s">
        <v>51</v>
      </c>
    </row>
    <row r="4839" ht="15.75" customHeight="1">
      <c r="A4839" s="25" t="str">
        <f>IFERROR(__xludf.DUMMYFUNCTION("IF(B4839="""","""",RIGHT(REGEXREPLACE(B4839&amp;"""",""[^0-9]"",""""),9))"),"775736094")</f>
        <v>775736094</v>
      </c>
      <c r="B4839" s="52">
        <v>7.75736094E8</v>
      </c>
      <c r="C4839" s="28" t="s">
        <v>4784</v>
      </c>
      <c r="D4839" s="26" t="s">
        <v>64</v>
      </c>
      <c r="E4839" s="31">
        <v>46236.0</v>
      </c>
      <c r="F4839" s="26" t="s">
        <v>46</v>
      </c>
      <c r="G4839" s="26">
        <v>9.0</v>
      </c>
      <c r="I4839" s="26" t="s">
        <v>863</v>
      </c>
      <c r="J4839" s="25" t="str">
        <f t="shared" si="55"/>
        <v>No</v>
      </c>
      <c r="K4839" s="25" t="str">
        <f t="shared" si="56"/>
        <v/>
      </c>
      <c r="L4839" s="25" t="str">
        <f t="shared" si="57"/>
        <v/>
      </c>
      <c r="M4839" s="25"/>
      <c r="O4839" s="25"/>
    </row>
    <row r="4840" ht="15.75" customHeight="1">
      <c r="A4840" s="25" t="str">
        <f>IFERROR(__xludf.DUMMYFUNCTION("IF(B4840="""","""",RIGHT(REGEXREPLACE(B4840&amp;"""",""[^0-9]"",""""),9))"),"710728267")</f>
        <v>710728267</v>
      </c>
      <c r="B4840" s="52">
        <v>7.10728267E8</v>
      </c>
      <c r="C4840" s="28" t="s">
        <v>4785</v>
      </c>
      <c r="D4840" s="26" t="s">
        <v>56</v>
      </c>
      <c r="E4840" s="31">
        <v>46236.0</v>
      </c>
      <c r="F4840" s="26" t="s">
        <v>205</v>
      </c>
      <c r="G4840" s="26">
        <v>11.0</v>
      </c>
      <c r="I4840" s="26" t="s">
        <v>863</v>
      </c>
      <c r="J4840" s="25" t="str">
        <f t="shared" si="55"/>
        <v>No</v>
      </c>
      <c r="K4840" s="25" t="str">
        <f t="shared" si="56"/>
        <v/>
      </c>
      <c r="L4840" s="25" t="str">
        <f t="shared" si="57"/>
        <v/>
      </c>
      <c r="M4840" s="25"/>
      <c r="O4840" s="25"/>
    </row>
    <row r="4841" ht="15.75" customHeight="1">
      <c r="A4841" s="25" t="str">
        <f>IFERROR(__xludf.DUMMYFUNCTION("IF(B4841="""","""",RIGHT(REGEXREPLACE(B4841&amp;"""",""[^0-9]"",""""),9))"),"773369736")</f>
        <v>773369736</v>
      </c>
      <c r="B4841" s="52">
        <v>7.73369736E8</v>
      </c>
      <c r="C4841" s="28" t="s">
        <v>4786</v>
      </c>
      <c r="D4841" s="26" t="s">
        <v>49</v>
      </c>
      <c r="E4841" s="31">
        <v>46236.0</v>
      </c>
      <c r="F4841" s="26" t="s">
        <v>46</v>
      </c>
      <c r="G4841" s="26">
        <v>9.0</v>
      </c>
      <c r="H4841" s="26" t="s">
        <v>4787</v>
      </c>
      <c r="I4841" s="26" t="s">
        <v>863</v>
      </c>
      <c r="J4841" s="25" t="str">
        <f t="shared" si="55"/>
        <v>No</v>
      </c>
      <c r="K4841" s="25" t="str">
        <f t="shared" si="56"/>
        <v/>
      </c>
      <c r="L4841" s="25" t="str">
        <f t="shared" si="57"/>
        <v/>
      </c>
      <c r="M4841" s="25"/>
      <c r="O4841" s="26" t="s">
        <v>51</v>
      </c>
    </row>
    <row r="4842" ht="15.75" customHeight="1">
      <c r="A4842" s="25" t="str">
        <f>IFERROR(__xludf.DUMMYFUNCTION("IF(B4842="""","""",RIGHT(REGEXREPLACE(B4842&amp;"""",""[^0-9]"",""""),9))"),"762434462")</f>
        <v>762434462</v>
      </c>
      <c r="B4842" s="52">
        <v>7.62434462E8</v>
      </c>
      <c r="C4842" s="28" t="s">
        <v>4788</v>
      </c>
      <c r="D4842" s="26" t="s">
        <v>56</v>
      </c>
      <c r="E4842" s="31">
        <v>46236.0</v>
      </c>
      <c r="F4842" s="26" t="s">
        <v>41</v>
      </c>
      <c r="G4842" s="26">
        <v>9.0</v>
      </c>
      <c r="I4842" s="26" t="s">
        <v>863</v>
      </c>
      <c r="J4842" s="25" t="str">
        <f t="shared" si="55"/>
        <v>No</v>
      </c>
      <c r="K4842" s="25" t="str">
        <f t="shared" si="56"/>
        <v/>
      </c>
      <c r="L4842" s="25" t="str">
        <f t="shared" si="57"/>
        <v/>
      </c>
      <c r="M4842" s="25"/>
      <c r="O4842" s="25"/>
    </row>
    <row r="4843" ht="15.75" customHeight="1">
      <c r="A4843" s="25" t="str">
        <f>IFERROR(__xludf.DUMMYFUNCTION("IF(B4843="""","""",RIGHT(REGEXREPLACE(B4843&amp;"""",""[^0-9]"",""""),9))"),"714889567")</f>
        <v>714889567</v>
      </c>
      <c r="B4843" s="52">
        <v>7.14889567E8</v>
      </c>
      <c r="C4843" s="28" t="s">
        <v>4789</v>
      </c>
      <c r="D4843" s="26" t="s">
        <v>64</v>
      </c>
      <c r="E4843" s="31">
        <v>46236.0</v>
      </c>
      <c r="F4843" s="26" t="s">
        <v>41</v>
      </c>
      <c r="G4843" s="26">
        <v>7.0</v>
      </c>
      <c r="I4843" s="26" t="s">
        <v>863</v>
      </c>
      <c r="J4843" s="25" t="str">
        <f t="shared" si="55"/>
        <v>No</v>
      </c>
      <c r="K4843" s="25" t="str">
        <f t="shared" si="56"/>
        <v/>
      </c>
      <c r="L4843" s="25" t="str">
        <f t="shared" si="57"/>
        <v/>
      </c>
      <c r="M4843" s="25"/>
      <c r="O4843" s="25"/>
    </row>
    <row r="4844" ht="15.75" customHeight="1">
      <c r="A4844" s="25" t="str">
        <f>IFERROR(__xludf.DUMMYFUNCTION("IF(B4844="""","""",RIGHT(REGEXREPLACE(B4844&amp;"""",""[^0-9]"",""""),9))"),"719565471")</f>
        <v>719565471</v>
      </c>
      <c r="B4844" s="52">
        <v>7.19565471E8</v>
      </c>
      <c r="C4844" s="28" t="s">
        <v>4790</v>
      </c>
      <c r="D4844" s="26" t="s">
        <v>56</v>
      </c>
      <c r="E4844" s="31">
        <v>46236.0</v>
      </c>
      <c r="F4844" s="26" t="s">
        <v>41</v>
      </c>
      <c r="I4844" s="26" t="s">
        <v>863</v>
      </c>
      <c r="J4844" s="25" t="str">
        <f t="shared" si="55"/>
        <v>No</v>
      </c>
      <c r="K4844" s="25" t="str">
        <f t="shared" si="56"/>
        <v/>
      </c>
      <c r="L4844" s="25" t="str">
        <f t="shared" si="57"/>
        <v/>
      </c>
      <c r="M4844" s="25"/>
      <c r="O4844" s="25"/>
    </row>
    <row r="4845" ht="15.75" customHeight="1">
      <c r="A4845" s="25" t="str">
        <f>IFERROR(__xludf.DUMMYFUNCTION("IF(B4845="""","""",RIGHT(REGEXREPLACE(B4845&amp;"""",""[^0-9]"",""""),9))"),"770209571")</f>
        <v>770209571</v>
      </c>
      <c r="B4845" s="52">
        <v>7.70209571E8</v>
      </c>
      <c r="C4845" s="28" t="s">
        <v>4791</v>
      </c>
      <c r="D4845" s="26" t="s">
        <v>45</v>
      </c>
      <c r="E4845" s="31">
        <v>46236.0</v>
      </c>
      <c r="F4845" s="26" t="s">
        <v>41</v>
      </c>
      <c r="G4845" s="26">
        <v>9.0</v>
      </c>
      <c r="I4845" s="26" t="s">
        <v>863</v>
      </c>
      <c r="J4845" s="25" t="str">
        <f t="shared" si="55"/>
        <v>No</v>
      </c>
      <c r="K4845" s="25" t="str">
        <f t="shared" si="56"/>
        <v/>
      </c>
      <c r="L4845" s="25" t="str">
        <f t="shared" si="57"/>
        <v/>
      </c>
      <c r="M4845" s="25"/>
      <c r="O4845" s="25"/>
    </row>
    <row r="4846" ht="15.75" customHeight="1">
      <c r="A4846" s="25" t="str">
        <f>IFERROR(__xludf.DUMMYFUNCTION("IF(B4846="""","""",RIGHT(REGEXREPLACE(B4846&amp;"""",""[^0-9]"",""""),9))"),"779287699")</f>
        <v>779287699</v>
      </c>
      <c r="B4846" s="52">
        <v>7.79287699E8</v>
      </c>
      <c r="C4846" s="28" t="s">
        <v>4792</v>
      </c>
      <c r="D4846" s="26" t="s">
        <v>64</v>
      </c>
      <c r="E4846" s="31">
        <v>46236.0</v>
      </c>
      <c r="F4846" s="26" t="s">
        <v>46</v>
      </c>
      <c r="G4846" s="26">
        <v>9.0</v>
      </c>
      <c r="I4846" s="26" t="s">
        <v>863</v>
      </c>
      <c r="J4846" s="25" t="str">
        <f t="shared" si="55"/>
        <v>No</v>
      </c>
      <c r="K4846" s="25" t="str">
        <f t="shared" si="56"/>
        <v/>
      </c>
      <c r="L4846" s="25" t="str">
        <f t="shared" si="57"/>
        <v/>
      </c>
      <c r="M4846" s="25"/>
      <c r="O4846" s="25"/>
    </row>
    <row r="4847" ht="15.75" customHeight="1">
      <c r="A4847" s="25" t="str">
        <f>IFERROR(__xludf.DUMMYFUNCTION("IF(B4847="""","""",RIGHT(REGEXREPLACE(B4847&amp;"""",""[^0-9]"",""""),9))"),"760645336")</f>
        <v>760645336</v>
      </c>
      <c r="B4847" s="52">
        <v>7.60645336E8</v>
      </c>
      <c r="C4847" s="28" t="s">
        <v>4793</v>
      </c>
      <c r="D4847" s="26" t="s">
        <v>49</v>
      </c>
      <c r="E4847" s="31">
        <v>46236.0</v>
      </c>
      <c r="F4847" s="26" t="s">
        <v>46</v>
      </c>
      <c r="G4847" s="26">
        <v>10.0</v>
      </c>
      <c r="H4847" s="117" t="s">
        <v>4794</v>
      </c>
      <c r="I4847" s="26" t="s">
        <v>863</v>
      </c>
      <c r="J4847" s="25" t="str">
        <f t="shared" si="55"/>
        <v>No</v>
      </c>
      <c r="K4847" s="25" t="str">
        <f t="shared" si="56"/>
        <v/>
      </c>
      <c r="L4847" s="25" t="str">
        <f t="shared" si="57"/>
        <v/>
      </c>
      <c r="M4847" s="25"/>
      <c r="O4847" s="25"/>
    </row>
    <row r="4848" ht="15.75" customHeight="1">
      <c r="A4848" s="25" t="str">
        <f>IFERROR(__xludf.DUMMYFUNCTION("IF(B4848="""","""",RIGHT(REGEXREPLACE(B4848&amp;"""",""[^0-9]"",""""),9))"),"767470784")</f>
        <v>767470784</v>
      </c>
      <c r="B4848" s="52">
        <v>7.67470784E8</v>
      </c>
      <c r="C4848" s="28" t="s">
        <v>4795</v>
      </c>
      <c r="D4848" s="26" t="s">
        <v>56</v>
      </c>
      <c r="E4848" s="31">
        <v>46236.0</v>
      </c>
      <c r="F4848" s="26" t="s">
        <v>41</v>
      </c>
      <c r="G4848" s="26">
        <v>9.0</v>
      </c>
      <c r="I4848" s="26" t="s">
        <v>863</v>
      </c>
      <c r="J4848" s="25" t="str">
        <f t="shared" si="55"/>
        <v>No</v>
      </c>
      <c r="K4848" s="25" t="str">
        <f t="shared" si="56"/>
        <v/>
      </c>
      <c r="L4848" s="25" t="str">
        <f t="shared" si="57"/>
        <v/>
      </c>
      <c r="M4848" s="25"/>
      <c r="O4848" s="25"/>
    </row>
    <row r="4849" ht="15.75" customHeight="1">
      <c r="A4849" s="25" t="str">
        <f>IFERROR(__xludf.DUMMYFUNCTION("IF(B4849="""","""",RIGHT(REGEXREPLACE(B4849&amp;"""",""[^0-9]"",""""),9))"),"776491402")</f>
        <v>776491402</v>
      </c>
      <c r="B4849" s="52">
        <v>7.76491402E8</v>
      </c>
      <c r="C4849" s="28" t="s">
        <v>4796</v>
      </c>
      <c r="D4849" s="26" t="s">
        <v>45</v>
      </c>
      <c r="E4849" s="31">
        <v>46236.0</v>
      </c>
      <c r="F4849" s="26" t="s">
        <v>46</v>
      </c>
      <c r="G4849" s="26">
        <v>11.0</v>
      </c>
      <c r="I4849" s="26" t="s">
        <v>863</v>
      </c>
      <c r="J4849" s="25" t="str">
        <f t="shared" si="55"/>
        <v>No</v>
      </c>
      <c r="K4849" s="25" t="str">
        <f t="shared" si="56"/>
        <v/>
      </c>
      <c r="L4849" s="25" t="str">
        <f t="shared" si="57"/>
        <v/>
      </c>
      <c r="M4849" s="25"/>
      <c r="O4849" s="25"/>
    </row>
    <row r="4850" ht="15.75" customHeight="1">
      <c r="A4850" s="25" t="str">
        <f>IFERROR(__xludf.DUMMYFUNCTION("IF(B4850="""","""",RIGHT(REGEXREPLACE(B4850&amp;"""",""[^0-9]"",""""),9))"),"760571325")</f>
        <v>760571325</v>
      </c>
      <c r="B4850" s="52">
        <v>7.60571325E8</v>
      </c>
      <c r="C4850" s="28" t="s">
        <v>4797</v>
      </c>
      <c r="D4850" s="26" t="s">
        <v>56</v>
      </c>
      <c r="E4850" s="31">
        <v>46236.0</v>
      </c>
      <c r="F4850" s="26" t="s">
        <v>205</v>
      </c>
      <c r="G4850" s="26">
        <v>9.0</v>
      </c>
      <c r="I4850" s="26" t="s">
        <v>863</v>
      </c>
      <c r="J4850" s="25" t="str">
        <f t="shared" si="55"/>
        <v>No</v>
      </c>
      <c r="K4850" s="25" t="str">
        <f t="shared" si="56"/>
        <v/>
      </c>
      <c r="L4850" s="25" t="str">
        <f t="shared" si="57"/>
        <v/>
      </c>
      <c r="M4850" s="25"/>
      <c r="O4850" s="25"/>
    </row>
    <row r="4851" ht="15.75" customHeight="1">
      <c r="A4851" s="25" t="str">
        <f>IFERROR(__xludf.DUMMYFUNCTION("IF(B4851="""","""",RIGHT(REGEXREPLACE(B4851&amp;"""",""[^0-9]"",""""),9))"),"763411783")</f>
        <v>763411783</v>
      </c>
      <c r="B4851" s="52">
        <v>7.63411783E8</v>
      </c>
      <c r="C4851" s="28" t="s">
        <v>2861</v>
      </c>
      <c r="D4851" s="26" t="s">
        <v>56</v>
      </c>
      <c r="E4851" s="31">
        <v>46236.0</v>
      </c>
      <c r="F4851" s="26" t="s">
        <v>41</v>
      </c>
      <c r="G4851" s="26">
        <v>9.0</v>
      </c>
      <c r="I4851" s="26" t="s">
        <v>863</v>
      </c>
      <c r="J4851" s="25" t="str">
        <f t="shared" si="55"/>
        <v>No</v>
      </c>
      <c r="K4851" s="25" t="str">
        <f t="shared" si="56"/>
        <v/>
      </c>
      <c r="L4851" s="25" t="str">
        <f t="shared" si="57"/>
        <v/>
      </c>
      <c r="M4851" s="25"/>
      <c r="O4851" s="26" t="s">
        <v>51</v>
      </c>
    </row>
    <row r="4852" ht="15.75" customHeight="1">
      <c r="A4852" s="25" t="str">
        <f>IFERROR(__xludf.DUMMYFUNCTION("IF(B4852="""","""",RIGHT(REGEXREPLACE(B4852&amp;"""",""[^0-9]"",""""),9))"),"714731071")</f>
        <v>714731071</v>
      </c>
      <c r="B4852" s="52">
        <v>7.14731071E8</v>
      </c>
      <c r="C4852" s="28" t="s">
        <v>4798</v>
      </c>
      <c r="D4852" s="26" t="s">
        <v>49</v>
      </c>
      <c r="E4852" s="31">
        <v>46236.0</v>
      </c>
      <c r="F4852" s="26" t="s">
        <v>46</v>
      </c>
      <c r="G4852" s="26">
        <v>9.0</v>
      </c>
      <c r="H4852" s="118" t="s">
        <v>4799</v>
      </c>
      <c r="I4852" s="26" t="s">
        <v>863</v>
      </c>
      <c r="J4852" s="25" t="str">
        <f t="shared" si="55"/>
        <v>No</v>
      </c>
      <c r="K4852" s="25" t="str">
        <f t="shared" si="56"/>
        <v/>
      </c>
      <c r="L4852" s="25" t="str">
        <f t="shared" si="57"/>
        <v/>
      </c>
      <c r="M4852" s="25"/>
      <c r="O4852" s="25"/>
    </row>
    <row r="4853" ht="15.75" customHeight="1">
      <c r="A4853" s="25" t="str">
        <f>IFERROR(__xludf.DUMMYFUNCTION("IF(B4853="""","""",RIGHT(REGEXREPLACE(B4853&amp;"""",""[^0-9]"",""""),9))"),"767649343")</f>
        <v>767649343</v>
      </c>
      <c r="B4853" s="52">
        <v>7.67649343E8</v>
      </c>
      <c r="C4853" s="28" t="s">
        <v>4800</v>
      </c>
      <c r="D4853" s="26" t="s">
        <v>64</v>
      </c>
      <c r="E4853" s="31">
        <v>46236.0</v>
      </c>
      <c r="F4853" s="26" t="s">
        <v>46</v>
      </c>
      <c r="H4853" s="26" t="s">
        <v>4801</v>
      </c>
      <c r="I4853" s="26" t="s">
        <v>863</v>
      </c>
      <c r="J4853" s="25" t="str">
        <f t="shared" si="55"/>
        <v>No</v>
      </c>
      <c r="K4853" s="25" t="str">
        <f t="shared" si="56"/>
        <v/>
      </c>
      <c r="L4853" s="25" t="str">
        <f t="shared" si="57"/>
        <v/>
      </c>
      <c r="M4853" s="25"/>
      <c r="O4853" s="25"/>
    </row>
    <row r="4854" ht="15.75" customHeight="1">
      <c r="A4854" s="25" t="str">
        <f>IFERROR(__xludf.DUMMYFUNCTION("IF(B4854="""","""",RIGHT(REGEXREPLACE(B4854&amp;"""",""[^0-9]"",""""),9))"),"763950566")</f>
        <v>763950566</v>
      </c>
      <c r="B4854" s="52">
        <v>7.63950566E8</v>
      </c>
      <c r="C4854" s="28" t="s">
        <v>4802</v>
      </c>
      <c r="D4854" s="26" t="s">
        <v>56</v>
      </c>
      <c r="E4854" s="31">
        <v>46236.0</v>
      </c>
      <c r="F4854" s="26" t="s">
        <v>659</v>
      </c>
      <c r="G4854" s="26">
        <v>7.0</v>
      </c>
      <c r="I4854" s="26" t="s">
        <v>863</v>
      </c>
      <c r="J4854" s="25" t="str">
        <f t="shared" si="55"/>
        <v>No</v>
      </c>
      <c r="K4854" s="25" t="str">
        <f t="shared" si="56"/>
        <v/>
      </c>
      <c r="L4854" s="25" t="str">
        <f t="shared" si="57"/>
        <v/>
      </c>
      <c r="M4854" s="25"/>
      <c r="O4854" s="25"/>
    </row>
    <row r="4855" ht="15.75" customHeight="1">
      <c r="A4855" s="25" t="str">
        <f>IFERROR(__xludf.DUMMYFUNCTION("IF(B4855="""","""",RIGHT(REGEXREPLACE(B4855&amp;"""",""[^0-9]"",""""),9))"),"785312441")</f>
        <v>785312441</v>
      </c>
      <c r="B4855" s="52">
        <v>7.85312441E8</v>
      </c>
      <c r="C4855" s="28" t="s">
        <v>4803</v>
      </c>
      <c r="D4855" s="26" t="s">
        <v>45</v>
      </c>
      <c r="E4855" s="31">
        <v>46236.0</v>
      </c>
      <c r="F4855" s="26" t="s">
        <v>46</v>
      </c>
      <c r="G4855" s="26">
        <v>11.0</v>
      </c>
      <c r="I4855" s="26" t="s">
        <v>863</v>
      </c>
      <c r="J4855" s="25" t="str">
        <f t="shared" si="55"/>
        <v>No</v>
      </c>
      <c r="K4855" s="25" t="str">
        <f t="shared" si="56"/>
        <v/>
      </c>
      <c r="L4855" s="25" t="str">
        <f t="shared" si="57"/>
        <v/>
      </c>
      <c r="M4855" s="25"/>
      <c r="O4855" s="25"/>
    </row>
    <row r="4856" ht="15.75" customHeight="1">
      <c r="A4856" s="25" t="str">
        <f>IFERROR(__xludf.DUMMYFUNCTION("IF(B4856="""","""",RIGHT(REGEXREPLACE(B4856&amp;"""",""[^0-9]"",""""),9))"),"765601279")</f>
        <v>765601279</v>
      </c>
      <c r="B4856" s="52">
        <v>7.65601279E8</v>
      </c>
      <c r="C4856" s="28" t="s">
        <v>4804</v>
      </c>
      <c r="D4856" s="26" t="s">
        <v>64</v>
      </c>
      <c r="E4856" s="31">
        <v>46236.0</v>
      </c>
      <c r="F4856" s="26" t="s">
        <v>46</v>
      </c>
      <c r="G4856" s="26">
        <v>9.0</v>
      </c>
      <c r="I4856" s="26" t="s">
        <v>863</v>
      </c>
      <c r="J4856" s="25" t="str">
        <f t="shared" si="55"/>
        <v>No</v>
      </c>
      <c r="K4856" s="25" t="str">
        <f t="shared" si="56"/>
        <v/>
      </c>
      <c r="L4856" s="25" t="str">
        <f t="shared" si="57"/>
        <v/>
      </c>
      <c r="M4856" s="25"/>
      <c r="O4856" s="26" t="s">
        <v>51</v>
      </c>
    </row>
    <row r="4857" ht="15.75" customHeight="1">
      <c r="A4857" s="25" t="str">
        <f>IFERROR(__xludf.DUMMYFUNCTION("IF(B4857="""","""",RIGHT(REGEXREPLACE(B4857&amp;"""",""[^0-9]"",""""),9))"),"702557007")</f>
        <v>702557007</v>
      </c>
      <c r="B4857" s="52">
        <v>7.02557007E8</v>
      </c>
      <c r="C4857" s="28" t="s">
        <v>4805</v>
      </c>
      <c r="D4857" s="26" t="s">
        <v>56</v>
      </c>
      <c r="E4857" s="31">
        <v>46236.0</v>
      </c>
      <c r="F4857" s="25"/>
      <c r="G4857" s="25"/>
      <c r="H4857" s="25"/>
      <c r="I4857" s="26" t="s">
        <v>863</v>
      </c>
      <c r="J4857" s="25" t="str">
        <f t="shared" si="55"/>
        <v>No</v>
      </c>
      <c r="K4857" s="25" t="str">
        <f t="shared" si="56"/>
        <v/>
      </c>
      <c r="L4857" s="25" t="str">
        <f t="shared" si="57"/>
        <v/>
      </c>
      <c r="M4857" s="25"/>
      <c r="N4857" s="25"/>
      <c r="O4857" s="25"/>
      <c r="P4857" s="25"/>
    </row>
    <row r="4858" ht="15.75" customHeight="1">
      <c r="A4858" s="25" t="str">
        <f>IFERROR(__xludf.DUMMYFUNCTION("IF(B4858="""","""",RIGHT(REGEXREPLACE(B4858&amp;"""",""[^0-9]"",""""),9))"),"711398453")</f>
        <v>711398453</v>
      </c>
      <c r="B4858" s="52">
        <v>7.11398453E8</v>
      </c>
      <c r="C4858" s="28" t="s">
        <v>4806</v>
      </c>
      <c r="D4858" s="26" t="s">
        <v>49</v>
      </c>
      <c r="E4858" s="31">
        <v>46236.0</v>
      </c>
      <c r="F4858" s="26" t="s">
        <v>46</v>
      </c>
      <c r="G4858" s="26">
        <v>9.0</v>
      </c>
      <c r="H4858" s="26" t="s">
        <v>4807</v>
      </c>
      <c r="I4858" s="26" t="s">
        <v>863</v>
      </c>
      <c r="J4858" s="25" t="str">
        <f t="shared" si="55"/>
        <v>No</v>
      </c>
      <c r="K4858" s="25" t="str">
        <f t="shared" si="56"/>
        <v/>
      </c>
      <c r="L4858" s="25" t="str">
        <f t="shared" si="57"/>
        <v/>
      </c>
      <c r="M4858" s="25"/>
      <c r="O4858" s="26" t="s">
        <v>51</v>
      </c>
    </row>
    <row r="4859" ht="15.75" customHeight="1">
      <c r="A4859" s="25" t="str">
        <f>IFERROR(__xludf.DUMMYFUNCTION("IF(B4859="""","""",RIGHT(REGEXREPLACE(B4859&amp;"""",""[^0-9]"",""""),9))"),"770405105")</f>
        <v>770405105</v>
      </c>
      <c r="B4859" s="52">
        <v>7.70405105E8</v>
      </c>
      <c r="C4859" s="28" t="s">
        <v>4808</v>
      </c>
      <c r="D4859" s="26" t="s">
        <v>56</v>
      </c>
      <c r="E4859" s="31">
        <v>46236.0</v>
      </c>
      <c r="F4859" s="26" t="s">
        <v>41</v>
      </c>
      <c r="I4859" s="26" t="s">
        <v>863</v>
      </c>
      <c r="J4859" s="25" t="str">
        <f t="shared" si="55"/>
        <v>No</v>
      </c>
      <c r="K4859" s="25" t="str">
        <f t="shared" si="56"/>
        <v/>
      </c>
      <c r="L4859" s="25" t="str">
        <f t="shared" si="57"/>
        <v/>
      </c>
      <c r="M4859" s="25"/>
      <c r="O4859" s="25"/>
    </row>
    <row r="4860" ht="15.75" customHeight="1">
      <c r="A4860" s="25" t="str">
        <f>IFERROR(__xludf.DUMMYFUNCTION("IF(B4860="""","""",RIGHT(REGEXREPLACE(B4860&amp;"""",""[^0-9]"",""""),9))"),"705559133")</f>
        <v>705559133</v>
      </c>
      <c r="B4860" s="52">
        <v>7.05559133E8</v>
      </c>
      <c r="C4860" s="28" t="s">
        <v>4809</v>
      </c>
      <c r="D4860" s="26" t="s">
        <v>45</v>
      </c>
      <c r="E4860" s="31">
        <v>46236.0</v>
      </c>
      <c r="F4860" s="26" t="s">
        <v>46</v>
      </c>
      <c r="G4860" s="26">
        <v>9.0</v>
      </c>
      <c r="I4860" s="26" t="s">
        <v>863</v>
      </c>
      <c r="J4860" s="25" t="str">
        <f t="shared" si="55"/>
        <v>No</v>
      </c>
      <c r="K4860" s="25" t="str">
        <f t="shared" si="56"/>
        <v/>
      </c>
      <c r="L4860" s="25" t="str">
        <f t="shared" si="57"/>
        <v/>
      </c>
      <c r="M4860" s="25"/>
      <c r="O4860" s="25"/>
    </row>
    <row r="4861" ht="15.75" customHeight="1">
      <c r="A4861" s="25" t="str">
        <f>IFERROR(__xludf.DUMMYFUNCTION("IF(B4861="""","""",RIGHT(REGEXREPLACE(B4861&amp;"""",""[^0-9]"",""""),9))"),"713881256")</f>
        <v>713881256</v>
      </c>
      <c r="B4861" s="52">
        <v>7.13881256E8</v>
      </c>
      <c r="C4861" s="28" t="s">
        <v>4810</v>
      </c>
      <c r="D4861" s="26" t="s">
        <v>64</v>
      </c>
      <c r="E4861" s="31">
        <v>46236.0</v>
      </c>
      <c r="F4861" s="26" t="s">
        <v>46</v>
      </c>
      <c r="H4861" s="26" t="s">
        <v>147</v>
      </c>
      <c r="I4861" s="26" t="s">
        <v>863</v>
      </c>
      <c r="J4861" s="25" t="str">
        <f t="shared" si="55"/>
        <v>No</v>
      </c>
      <c r="K4861" s="25" t="str">
        <f t="shared" si="56"/>
        <v/>
      </c>
      <c r="L4861" s="25" t="str">
        <f t="shared" si="57"/>
        <v/>
      </c>
      <c r="M4861" s="25"/>
      <c r="O4861" s="25"/>
    </row>
    <row r="4862" ht="15.75" customHeight="1">
      <c r="A4862" s="25" t="str">
        <f>IFERROR(__xludf.DUMMYFUNCTION("IF(B4862="""","""",RIGHT(REGEXREPLACE(B4862&amp;"""",""[^0-9]"",""""),9))"),"760978056")</f>
        <v>760978056</v>
      </c>
      <c r="B4862" s="52">
        <v>7.60978056E8</v>
      </c>
      <c r="C4862" s="28" t="s">
        <v>4811</v>
      </c>
      <c r="D4862" s="26" t="s">
        <v>49</v>
      </c>
      <c r="E4862" s="31">
        <v>46236.0</v>
      </c>
      <c r="F4862" s="26" t="s">
        <v>46</v>
      </c>
      <c r="G4862" s="26">
        <v>9.0</v>
      </c>
      <c r="I4862" s="26" t="s">
        <v>863</v>
      </c>
      <c r="J4862" s="25" t="str">
        <f t="shared" si="55"/>
        <v>No</v>
      </c>
      <c r="K4862" s="25" t="str">
        <f t="shared" si="56"/>
        <v/>
      </c>
      <c r="L4862" s="25" t="str">
        <f t="shared" si="57"/>
        <v/>
      </c>
      <c r="M4862" s="25"/>
      <c r="O4862" s="26" t="s">
        <v>51</v>
      </c>
    </row>
    <row r="4863" ht="15.75" customHeight="1">
      <c r="A4863" s="25" t="str">
        <f>IFERROR(__xludf.DUMMYFUNCTION("IF(B4863="""","""",RIGHT(REGEXREPLACE(B4863&amp;"""",""[^0-9]"",""""),9))"),"718048458")</f>
        <v>718048458</v>
      </c>
      <c r="B4863" s="52">
        <v>7.18048458E8</v>
      </c>
      <c r="C4863" s="28" t="s">
        <v>4812</v>
      </c>
      <c r="D4863" s="26" t="s">
        <v>56</v>
      </c>
      <c r="E4863" s="31">
        <v>46236.0</v>
      </c>
      <c r="F4863" s="26" t="s">
        <v>46</v>
      </c>
      <c r="G4863" s="26">
        <v>9.0</v>
      </c>
      <c r="I4863" s="26" t="s">
        <v>863</v>
      </c>
      <c r="J4863" s="25" t="str">
        <f t="shared" si="55"/>
        <v>No</v>
      </c>
      <c r="K4863" s="25" t="str">
        <f t="shared" si="56"/>
        <v/>
      </c>
      <c r="L4863" s="25" t="str">
        <f t="shared" si="57"/>
        <v/>
      </c>
      <c r="M4863" s="25"/>
      <c r="O4863" s="25"/>
    </row>
    <row r="4864" ht="15.75" customHeight="1">
      <c r="A4864" s="25" t="str">
        <f>IFERROR(__xludf.DUMMYFUNCTION("IF(B4864="""","""",RIGHT(REGEXREPLACE(B4864&amp;"""",""[^0-9]"",""""),9))"),"717877119")</f>
        <v>717877119</v>
      </c>
      <c r="B4864" s="52">
        <v>7.17877119E8</v>
      </c>
      <c r="C4864" s="28" t="s">
        <v>4813</v>
      </c>
      <c r="D4864" s="26" t="s">
        <v>64</v>
      </c>
      <c r="E4864" s="31">
        <v>46236.0</v>
      </c>
      <c r="F4864" s="26" t="s">
        <v>46</v>
      </c>
      <c r="G4864" s="26">
        <v>9.0</v>
      </c>
      <c r="I4864" s="26" t="s">
        <v>863</v>
      </c>
      <c r="J4864" s="25" t="str">
        <f t="shared" si="55"/>
        <v>No</v>
      </c>
      <c r="K4864" s="25" t="str">
        <f t="shared" si="56"/>
        <v/>
      </c>
      <c r="L4864" s="25" t="str">
        <f t="shared" si="57"/>
        <v/>
      </c>
      <c r="M4864" s="25"/>
      <c r="O4864" s="26" t="s">
        <v>51</v>
      </c>
    </row>
    <row r="4865" ht="15.75" customHeight="1">
      <c r="A4865" s="25" t="str">
        <f>IFERROR(__xludf.DUMMYFUNCTION("IF(B4865="""","""",RIGHT(REGEXREPLACE(B4865&amp;"""",""[^0-9]"",""""),9))"),"761004666")</f>
        <v>761004666</v>
      </c>
      <c r="B4865" s="52">
        <v>7.61004666E8</v>
      </c>
      <c r="C4865" s="28" t="s">
        <v>4814</v>
      </c>
      <c r="D4865" s="26" t="s">
        <v>45</v>
      </c>
      <c r="E4865" s="31">
        <v>46236.0</v>
      </c>
      <c r="F4865" s="26" t="s">
        <v>46</v>
      </c>
      <c r="G4865" s="26">
        <v>5.0</v>
      </c>
      <c r="I4865" s="26" t="s">
        <v>863</v>
      </c>
      <c r="J4865" s="25" t="str">
        <f t="shared" si="55"/>
        <v>No</v>
      </c>
      <c r="K4865" s="25" t="str">
        <f t="shared" si="56"/>
        <v/>
      </c>
      <c r="L4865" s="25" t="str">
        <f t="shared" si="57"/>
        <v/>
      </c>
      <c r="M4865" s="25"/>
      <c r="O4865" s="25"/>
    </row>
    <row r="4866" ht="15.75" customHeight="1">
      <c r="A4866" s="25" t="str">
        <f>IFERROR(__xludf.DUMMYFUNCTION("IF(B4866="""","""",RIGHT(REGEXREPLACE(B4866&amp;"""",""[^0-9]"",""""),9))"),"773211177")</f>
        <v>773211177</v>
      </c>
      <c r="B4866" s="52">
        <v>7.73211177E8</v>
      </c>
      <c r="C4866" s="28" t="s">
        <v>4815</v>
      </c>
      <c r="D4866" s="26" t="s">
        <v>56</v>
      </c>
      <c r="E4866" s="31">
        <v>46236.0</v>
      </c>
      <c r="F4866" s="26" t="s">
        <v>205</v>
      </c>
      <c r="G4866" s="26">
        <v>9.0</v>
      </c>
      <c r="I4866" s="26" t="s">
        <v>863</v>
      </c>
      <c r="J4866" s="25" t="str">
        <f t="shared" si="55"/>
        <v>No</v>
      </c>
      <c r="K4866" s="25" t="str">
        <f t="shared" si="56"/>
        <v/>
      </c>
      <c r="L4866" s="25" t="str">
        <f t="shared" si="57"/>
        <v/>
      </c>
      <c r="M4866" s="25"/>
      <c r="O4866" s="25"/>
    </row>
    <row r="4867" ht="15.75" customHeight="1">
      <c r="A4867" s="25" t="str">
        <f>IFERROR(__xludf.DUMMYFUNCTION("IF(B4867="""","""",RIGHT(REGEXREPLACE(B4867&amp;"""",""[^0-9]"",""""),9))"),"765565300")</f>
        <v>765565300</v>
      </c>
      <c r="B4867" s="52">
        <v>7.655653E8</v>
      </c>
      <c r="C4867" s="28" t="s">
        <v>4816</v>
      </c>
      <c r="D4867" s="26" t="s">
        <v>49</v>
      </c>
      <c r="E4867" s="31">
        <v>46236.0</v>
      </c>
      <c r="F4867" s="26" t="s">
        <v>46</v>
      </c>
      <c r="G4867" s="26">
        <v>10.0</v>
      </c>
      <c r="H4867" s="26" t="s">
        <v>4817</v>
      </c>
      <c r="I4867" s="26" t="s">
        <v>863</v>
      </c>
      <c r="J4867" s="25" t="str">
        <f t="shared" si="55"/>
        <v>No</v>
      </c>
      <c r="K4867" s="25" t="str">
        <f t="shared" si="56"/>
        <v/>
      </c>
      <c r="L4867" s="25" t="str">
        <f t="shared" si="57"/>
        <v/>
      </c>
      <c r="M4867" s="25"/>
      <c r="O4867" s="25"/>
    </row>
    <row r="4868" ht="15.75" customHeight="1">
      <c r="A4868" s="25" t="str">
        <f>IFERROR(__xludf.DUMMYFUNCTION("IF(B4868="""","""",RIGHT(REGEXREPLACE(B4868&amp;"""",""[^0-9]"",""""),9))"),"715501366")</f>
        <v>715501366</v>
      </c>
      <c r="B4868" s="52">
        <v>7.15501366E8</v>
      </c>
      <c r="C4868" s="28" t="s">
        <v>4818</v>
      </c>
      <c r="D4868" s="26" t="s">
        <v>64</v>
      </c>
      <c r="E4868" s="31">
        <v>46236.0</v>
      </c>
      <c r="F4868" s="26" t="s">
        <v>46</v>
      </c>
      <c r="G4868" s="26">
        <v>9.0</v>
      </c>
      <c r="I4868" s="26" t="s">
        <v>863</v>
      </c>
      <c r="J4868" s="25" t="str">
        <f t="shared" si="55"/>
        <v>No</v>
      </c>
      <c r="K4868" s="25" t="str">
        <f t="shared" si="56"/>
        <v/>
      </c>
      <c r="L4868" s="25" t="str">
        <f t="shared" si="57"/>
        <v/>
      </c>
      <c r="M4868" s="25"/>
      <c r="O4868" s="26" t="s">
        <v>51</v>
      </c>
    </row>
    <row r="4869" ht="15.75" customHeight="1">
      <c r="A4869" s="25" t="str">
        <f>IFERROR(__xludf.DUMMYFUNCTION("IF(B4869="""","""",RIGHT(REGEXREPLACE(B4869&amp;"""",""[^0-9]"",""""),9))"),"766593088")</f>
        <v>766593088</v>
      </c>
      <c r="B4869" s="52">
        <v>7.66593088E8</v>
      </c>
      <c r="C4869" s="28" t="s">
        <v>4819</v>
      </c>
      <c r="D4869" s="26" t="s">
        <v>56</v>
      </c>
      <c r="E4869" s="31">
        <v>46236.0</v>
      </c>
      <c r="F4869" s="26" t="s">
        <v>41</v>
      </c>
      <c r="G4869" s="26">
        <v>10.0</v>
      </c>
      <c r="I4869" s="26" t="s">
        <v>863</v>
      </c>
      <c r="J4869" s="25" t="str">
        <f t="shared" si="55"/>
        <v>No</v>
      </c>
      <c r="K4869" s="25" t="str">
        <f t="shared" si="56"/>
        <v/>
      </c>
      <c r="L4869" s="25" t="str">
        <f t="shared" si="57"/>
        <v/>
      </c>
      <c r="M4869" s="25"/>
      <c r="O4869" s="25"/>
    </row>
    <row r="4870" ht="15.75" customHeight="1">
      <c r="A4870" s="25" t="str">
        <f>IFERROR(__xludf.DUMMYFUNCTION("IF(B4870="""","""",RIGHT(REGEXREPLACE(B4870&amp;"""",""[^0-9]"",""""),9))"),"714700528")</f>
        <v>714700528</v>
      </c>
      <c r="B4870" s="52">
        <v>7.14700528E8</v>
      </c>
      <c r="C4870" s="28" t="s">
        <v>4820</v>
      </c>
      <c r="D4870" s="26" t="s">
        <v>64</v>
      </c>
      <c r="E4870" s="31">
        <v>46236.0</v>
      </c>
      <c r="F4870" s="26" t="s">
        <v>41</v>
      </c>
      <c r="I4870" s="26" t="s">
        <v>863</v>
      </c>
      <c r="J4870" s="25" t="str">
        <f t="shared" si="55"/>
        <v>No</v>
      </c>
      <c r="K4870" s="25" t="str">
        <f t="shared" si="56"/>
        <v/>
      </c>
      <c r="L4870" s="25" t="str">
        <f t="shared" si="57"/>
        <v/>
      </c>
      <c r="M4870" s="25"/>
      <c r="O4870" s="25"/>
    </row>
    <row r="4871" ht="15.75" customHeight="1">
      <c r="A4871" s="25" t="str">
        <f>IFERROR(__xludf.DUMMYFUNCTION("IF(B4871="""","""",RIGHT(REGEXREPLACE(B4871&amp;"""",""[^0-9]"",""""),9))"),"768032634")</f>
        <v>768032634</v>
      </c>
      <c r="B4871" s="52">
        <v>7.68032634E8</v>
      </c>
      <c r="C4871" s="28" t="s">
        <v>4821</v>
      </c>
      <c r="D4871" s="26" t="s">
        <v>45</v>
      </c>
      <c r="E4871" s="31">
        <v>46236.0</v>
      </c>
      <c r="F4871" s="26" t="s">
        <v>46</v>
      </c>
      <c r="G4871" s="26">
        <v>9.0</v>
      </c>
      <c r="H4871" s="26" t="s">
        <v>720</v>
      </c>
      <c r="I4871" s="26" t="s">
        <v>863</v>
      </c>
      <c r="J4871" s="25" t="str">
        <f t="shared" si="55"/>
        <v>No</v>
      </c>
      <c r="K4871" s="25" t="str">
        <f t="shared" si="56"/>
        <v/>
      </c>
      <c r="L4871" s="25" t="str">
        <f t="shared" si="57"/>
        <v/>
      </c>
      <c r="M4871" s="25"/>
      <c r="O4871" s="25"/>
    </row>
    <row r="4872" ht="15.75" customHeight="1">
      <c r="A4872" s="25" t="str">
        <f>IFERROR(__xludf.DUMMYFUNCTION("IF(B4872="""","""",RIGHT(REGEXREPLACE(B4872&amp;"""",""[^0-9]"",""""),9))"),"775319329")</f>
        <v>775319329</v>
      </c>
      <c r="B4872" s="52">
        <v>7.75319329E8</v>
      </c>
      <c r="C4872" s="28" t="s">
        <v>4822</v>
      </c>
      <c r="D4872" s="26" t="s">
        <v>56</v>
      </c>
      <c r="E4872" s="31">
        <v>46236.0</v>
      </c>
      <c r="F4872" s="26" t="s">
        <v>41</v>
      </c>
      <c r="G4872" s="26">
        <v>10.0</v>
      </c>
      <c r="I4872" s="26" t="s">
        <v>863</v>
      </c>
      <c r="J4872" s="25" t="str">
        <f t="shared" si="55"/>
        <v>No</v>
      </c>
      <c r="K4872" s="25" t="str">
        <f t="shared" si="56"/>
        <v/>
      </c>
      <c r="L4872" s="25" t="str">
        <f t="shared" si="57"/>
        <v/>
      </c>
      <c r="M4872" s="25"/>
      <c r="O4872" s="25"/>
    </row>
    <row r="4873" ht="15.75" customHeight="1">
      <c r="A4873" s="25" t="str">
        <f>IFERROR(__xludf.DUMMYFUNCTION("IF(B4873="""","""",RIGHT(REGEXREPLACE(B4873&amp;"""",""[^0-9]"",""""),9))"),"760775030")</f>
        <v>760775030</v>
      </c>
      <c r="B4873" s="52">
        <v>7.6077503E8</v>
      </c>
      <c r="C4873" s="28" t="s">
        <v>4823</v>
      </c>
      <c r="D4873" s="26" t="s">
        <v>64</v>
      </c>
      <c r="E4873" s="31">
        <v>46236.0</v>
      </c>
      <c r="F4873" s="26" t="s">
        <v>125</v>
      </c>
      <c r="G4873" s="26">
        <v>8.0</v>
      </c>
      <c r="I4873" s="26" t="s">
        <v>863</v>
      </c>
      <c r="J4873" s="25" t="str">
        <f t="shared" si="55"/>
        <v>No</v>
      </c>
      <c r="K4873" s="25" t="str">
        <f t="shared" si="56"/>
        <v/>
      </c>
      <c r="L4873" s="25" t="str">
        <f t="shared" si="57"/>
        <v/>
      </c>
      <c r="M4873" s="25"/>
      <c r="O4873" s="25"/>
    </row>
    <row r="4874" ht="15.75" customHeight="1">
      <c r="A4874" s="25" t="str">
        <f>IFERROR(__xludf.DUMMYFUNCTION("IF(B4874="""","""",RIGHT(REGEXREPLACE(B4874&amp;"""",""[^0-9]"",""""),9))"),"702086280")</f>
        <v>702086280</v>
      </c>
      <c r="B4874" s="52">
        <v>7.0208628E8</v>
      </c>
      <c r="C4874" s="28" t="s">
        <v>4824</v>
      </c>
      <c r="D4874" s="26" t="s">
        <v>49</v>
      </c>
      <c r="E4874" s="31">
        <v>46236.0</v>
      </c>
      <c r="F4874" s="26" t="s">
        <v>205</v>
      </c>
      <c r="I4874" s="26" t="s">
        <v>863</v>
      </c>
      <c r="J4874" s="25" t="str">
        <f t="shared" si="55"/>
        <v>No</v>
      </c>
      <c r="K4874" s="25" t="str">
        <f t="shared" si="56"/>
        <v/>
      </c>
      <c r="L4874" s="25" t="str">
        <f t="shared" si="57"/>
        <v/>
      </c>
      <c r="M4874" s="25"/>
      <c r="O4874" s="25"/>
    </row>
    <row r="4875" ht="15.75" customHeight="1">
      <c r="A4875" s="25" t="str">
        <f>IFERROR(__xludf.DUMMYFUNCTION("IF(B4875="""","""",RIGHT(REGEXREPLACE(B4875&amp;"""",""[^0-9]"",""""),9))"),"754242588")</f>
        <v>754242588</v>
      </c>
      <c r="B4875" s="52">
        <v>7.54242588E8</v>
      </c>
      <c r="C4875" s="28" t="s">
        <v>4825</v>
      </c>
      <c r="D4875" s="26" t="s">
        <v>56</v>
      </c>
      <c r="E4875" s="31">
        <v>46236.0</v>
      </c>
      <c r="F4875" s="26" t="s">
        <v>205</v>
      </c>
      <c r="G4875" s="26">
        <v>10.0</v>
      </c>
      <c r="I4875" s="26" t="s">
        <v>863</v>
      </c>
      <c r="J4875" s="25" t="str">
        <f t="shared" si="55"/>
        <v>No</v>
      </c>
      <c r="K4875" s="25" t="str">
        <f t="shared" si="56"/>
        <v/>
      </c>
      <c r="L4875" s="25" t="str">
        <f t="shared" si="57"/>
        <v/>
      </c>
      <c r="M4875" s="25"/>
      <c r="O4875" s="25"/>
    </row>
    <row r="4876" ht="15.75" customHeight="1">
      <c r="A4876" s="25" t="str">
        <f>IFERROR(__xludf.DUMMYFUNCTION("IF(B4876="""","""",RIGHT(REGEXREPLACE(B4876&amp;"""",""[^0-9]"",""""),9))"),"776438369")</f>
        <v>776438369</v>
      </c>
      <c r="B4876" s="52">
        <v>7.76438369E8</v>
      </c>
      <c r="C4876" s="28" t="s">
        <v>4826</v>
      </c>
      <c r="D4876" s="26" t="s">
        <v>64</v>
      </c>
      <c r="E4876" s="31">
        <v>46236.0</v>
      </c>
      <c r="F4876" s="26" t="s">
        <v>46</v>
      </c>
      <c r="G4876" s="26">
        <v>9.0</v>
      </c>
      <c r="I4876" s="26" t="s">
        <v>863</v>
      </c>
      <c r="J4876" s="25" t="str">
        <f t="shared" si="55"/>
        <v>No</v>
      </c>
      <c r="K4876" s="25" t="str">
        <f t="shared" si="56"/>
        <v/>
      </c>
      <c r="L4876" s="25" t="str">
        <f t="shared" si="57"/>
        <v/>
      </c>
      <c r="M4876" s="25"/>
      <c r="O4876" s="25"/>
    </row>
    <row r="4877" ht="15.75" customHeight="1">
      <c r="A4877" s="25" t="str">
        <f>IFERROR(__xludf.DUMMYFUNCTION("IF(B4877="""","""",RIGHT(REGEXREPLACE(B4877&amp;"""",""[^0-9]"",""""),9))"),"771453977")</f>
        <v>771453977</v>
      </c>
      <c r="B4877" s="52">
        <v>7.71453977E8</v>
      </c>
      <c r="C4877" s="28" t="s">
        <v>4827</v>
      </c>
      <c r="D4877" s="26" t="s">
        <v>49</v>
      </c>
      <c r="E4877" s="31">
        <v>46236.0</v>
      </c>
      <c r="F4877" s="26" t="s">
        <v>46</v>
      </c>
      <c r="G4877" s="26">
        <v>9.0</v>
      </c>
      <c r="I4877" s="26" t="s">
        <v>863</v>
      </c>
      <c r="J4877" s="25" t="str">
        <f t="shared" si="55"/>
        <v>No</v>
      </c>
      <c r="K4877" s="25" t="str">
        <f t="shared" si="56"/>
        <v/>
      </c>
      <c r="L4877" s="25" t="str">
        <f t="shared" si="57"/>
        <v/>
      </c>
      <c r="M4877" s="25"/>
      <c r="O4877" s="25"/>
    </row>
    <row r="4878" ht="15.75" customHeight="1">
      <c r="A4878" s="25" t="str">
        <f>IFERROR(__xludf.DUMMYFUNCTION("IF(B4878="""","""",RIGHT(REGEXREPLACE(B4878&amp;"""",""[^0-9]"",""""),9))"),"742566170")</f>
        <v>742566170</v>
      </c>
      <c r="B4878" s="52">
        <v>7.4256617E8</v>
      </c>
      <c r="C4878" s="28" t="s">
        <v>4828</v>
      </c>
      <c r="D4878" s="26" t="s">
        <v>45</v>
      </c>
      <c r="E4878" s="31">
        <v>46236.0</v>
      </c>
      <c r="F4878" s="26" t="s">
        <v>46</v>
      </c>
      <c r="G4878" s="26">
        <v>9.0</v>
      </c>
      <c r="I4878" s="26" t="s">
        <v>863</v>
      </c>
      <c r="J4878" s="25" t="str">
        <f t="shared" si="55"/>
        <v>No</v>
      </c>
      <c r="K4878" s="25" t="str">
        <f t="shared" si="56"/>
        <v/>
      </c>
      <c r="L4878" s="25" t="str">
        <f t="shared" si="57"/>
        <v/>
      </c>
      <c r="M4878" s="25"/>
      <c r="O4878" s="26" t="s">
        <v>51</v>
      </c>
    </row>
    <row r="4879" ht="15.75" customHeight="1">
      <c r="A4879" s="25" t="str">
        <f>IFERROR(__xludf.DUMMYFUNCTION("IF(B4879="""","""",RIGHT(REGEXREPLACE(B4879&amp;"""",""[^0-9]"",""""),9))"),"718321941")</f>
        <v>718321941</v>
      </c>
      <c r="B4879" s="52">
        <v>7.18321941E8</v>
      </c>
      <c r="C4879" s="28" t="s">
        <v>4829</v>
      </c>
      <c r="D4879" s="26" t="s">
        <v>56</v>
      </c>
      <c r="E4879" s="31">
        <v>46236.0</v>
      </c>
      <c r="F4879" s="26" t="s">
        <v>631</v>
      </c>
      <c r="G4879" s="26">
        <v>11.0</v>
      </c>
      <c r="H4879" s="72" t="s">
        <v>4830</v>
      </c>
      <c r="I4879" s="26" t="s">
        <v>863</v>
      </c>
      <c r="J4879" s="25" t="str">
        <f t="shared" si="55"/>
        <v>No</v>
      </c>
      <c r="K4879" s="25" t="str">
        <f t="shared" si="56"/>
        <v/>
      </c>
      <c r="L4879" s="25" t="str">
        <f t="shared" si="57"/>
        <v/>
      </c>
      <c r="M4879" s="25"/>
      <c r="O4879" s="25"/>
    </row>
    <row r="4880" ht="15.75" customHeight="1">
      <c r="A4880" s="25" t="str">
        <f>IFERROR(__xludf.DUMMYFUNCTION("IF(B4880="""","""",RIGHT(REGEXREPLACE(B4880&amp;"""",""[^0-9]"",""""),9))"),"772539548")</f>
        <v>772539548</v>
      </c>
      <c r="B4880" s="52">
        <v>7.72539548E8</v>
      </c>
      <c r="C4880" s="28" t="s">
        <v>4831</v>
      </c>
      <c r="D4880" s="26" t="s">
        <v>56</v>
      </c>
      <c r="E4880" s="31">
        <v>46236.0</v>
      </c>
      <c r="F4880" s="26" t="s">
        <v>41</v>
      </c>
      <c r="G4880" s="26">
        <v>9.0</v>
      </c>
      <c r="I4880" s="26" t="s">
        <v>863</v>
      </c>
      <c r="J4880" s="25" t="str">
        <f t="shared" si="55"/>
        <v>No</v>
      </c>
      <c r="K4880" s="25" t="str">
        <f t="shared" si="56"/>
        <v/>
      </c>
      <c r="L4880" s="25" t="str">
        <f t="shared" si="57"/>
        <v/>
      </c>
      <c r="M4880" s="25"/>
      <c r="O4880" s="25"/>
    </row>
    <row r="4881" ht="15.75" customHeight="1">
      <c r="A4881" s="25" t="str">
        <f>IFERROR(__xludf.DUMMYFUNCTION("IF(B4881="""","""",RIGHT(REGEXREPLACE(B4881&amp;"""",""[^0-9]"",""""),9))"),"761634977")</f>
        <v>761634977</v>
      </c>
      <c r="B4881" s="26">
        <v>7.61634977E8</v>
      </c>
      <c r="C4881" s="28" t="s">
        <v>4832</v>
      </c>
      <c r="D4881" s="26" t="s">
        <v>64</v>
      </c>
      <c r="E4881" s="31">
        <v>46236.0</v>
      </c>
      <c r="F4881" s="26" t="s">
        <v>46</v>
      </c>
      <c r="G4881" s="26">
        <v>11.0</v>
      </c>
      <c r="H4881" s="26" t="s">
        <v>4833</v>
      </c>
      <c r="I4881" s="26" t="s">
        <v>863</v>
      </c>
      <c r="J4881" s="25" t="str">
        <f t="shared" si="55"/>
        <v>No</v>
      </c>
      <c r="K4881" s="25" t="str">
        <f t="shared" si="56"/>
        <v/>
      </c>
      <c r="L4881" s="25" t="str">
        <f t="shared" si="57"/>
        <v/>
      </c>
      <c r="M4881" s="25"/>
      <c r="O4881" s="25"/>
    </row>
    <row r="4882" ht="15.75" customHeight="1">
      <c r="A4882" s="25" t="str">
        <f>IFERROR(__xludf.DUMMYFUNCTION("IF(B4882="""","""",RIGHT(REGEXREPLACE(B4882&amp;"""",""[^0-9]"",""""),9))"),"715204436")</f>
        <v>715204436</v>
      </c>
      <c r="B4882" s="52">
        <v>7.15204436E8</v>
      </c>
      <c r="C4882" s="28" t="s">
        <v>4834</v>
      </c>
      <c r="D4882" s="26" t="s">
        <v>49</v>
      </c>
      <c r="E4882" s="31">
        <v>46236.0</v>
      </c>
      <c r="F4882" s="26" t="s">
        <v>46</v>
      </c>
      <c r="H4882" s="26" t="s">
        <v>4835</v>
      </c>
      <c r="I4882" s="26" t="s">
        <v>863</v>
      </c>
      <c r="J4882" s="25" t="str">
        <f t="shared" si="55"/>
        <v>No</v>
      </c>
      <c r="K4882" s="25" t="str">
        <f t="shared" si="56"/>
        <v/>
      </c>
      <c r="L4882" s="25" t="str">
        <f t="shared" si="57"/>
        <v/>
      </c>
      <c r="M4882" s="25"/>
      <c r="O4882" s="25"/>
    </row>
    <row r="4883" ht="15.75" customHeight="1">
      <c r="A4883" s="25" t="str">
        <f>IFERROR(__xludf.DUMMYFUNCTION("IF(B4883="""","""",RIGHT(REGEXREPLACE(B4883&amp;"""",""[^0-9]"",""""),9))"),"785406735")</f>
        <v>785406735</v>
      </c>
      <c r="B4883" s="52">
        <v>7.85406735E8</v>
      </c>
      <c r="C4883" s="28" t="s">
        <v>4836</v>
      </c>
      <c r="D4883" s="26" t="s">
        <v>45</v>
      </c>
      <c r="E4883" s="31">
        <v>46236.0</v>
      </c>
      <c r="F4883" s="26" t="s">
        <v>205</v>
      </c>
      <c r="I4883" s="26" t="s">
        <v>863</v>
      </c>
      <c r="J4883" s="25" t="str">
        <f t="shared" si="55"/>
        <v>No</v>
      </c>
      <c r="K4883" s="25" t="str">
        <f t="shared" si="56"/>
        <v/>
      </c>
      <c r="L4883" s="25" t="str">
        <f t="shared" si="57"/>
        <v/>
      </c>
      <c r="M4883" s="25"/>
      <c r="O4883" s="25"/>
    </row>
    <row r="4884" ht="15.75" customHeight="1">
      <c r="A4884" s="25" t="str">
        <f>IFERROR(__xludf.DUMMYFUNCTION("IF(B4884="""","""",RIGHT(REGEXREPLACE(B4884&amp;"""",""[^0-9]"",""""),9))"),"776906122")</f>
        <v>776906122</v>
      </c>
      <c r="B4884" s="52">
        <v>7.76906122E8</v>
      </c>
      <c r="C4884" s="28" t="s">
        <v>4837</v>
      </c>
      <c r="D4884" s="26" t="s">
        <v>64</v>
      </c>
      <c r="E4884" s="31">
        <v>46236.0</v>
      </c>
      <c r="F4884" s="26" t="s">
        <v>46</v>
      </c>
      <c r="G4884" s="26">
        <v>9.0</v>
      </c>
      <c r="H4884" s="26" t="s">
        <v>763</v>
      </c>
      <c r="I4884" s="26" t="s">
        <v>863</v>
      </c>
      <c r="J4884" s="25" t="str">
        <f t="shared" si="55"/>
        <v>No</v>
      </c>
      <c r="K4884" s="25" t="str">
        <f t="shared" si="56"/>
        <v/>
      </c>
      <c r="L4884" s="25" t="str">
        <f t="shared" si="57"/>
        <v/>
      </c>
      <c r="M4884" s="25"/>
      <c r="O4884" s="25"/>
    </row>
    <row r="4885" ht="15.75" customHeight="1">
      <c r="A4885" s="25" t="str">
        <f>IFERROR(__xludf.DUMMYFUNCTION("IF(B4885="""","""",RIGHT(REGEXREPLACE(B4885&amp;"""",""[^0-9]"",""""),9))"),"776574645")</f>
        <v>776574645</v>
      </c>
      <c r="B4885" s="52">
        <v>7.76574645E8</v>
      </c>
      <c r="C4885" s="28" t="s">
        <v>4838</v>
      </c>
      <c r="D4885" s="26" t="s">
        <v>49</v>
      </c>
      <c r="E4885" s="31">
        <v>46236.0</v>
      </c>
      <c r="F4885" s="26" t="s">
        <v>46</v>
      </c>
      <c r="G4885" s="26">
        <v>9.0</v>
      </c>
      <c r="I4885" s="26" t="s">
        <v>863</v>
      </c>
      <c r="J4885" s="25" t="str">
        <f t="shared" si="55"/>
        <v>No</v>
      </c>
      <c r="K4885" s="25" t="str">
        <f t="shared" si="56"/>
        <v/>
      </c>
      <c r="L4885" s="25" t="str">
        <f t="shared" si="57"/>
        <v/>
      </c>
      <c r="M4885" s="25"/>
      <c r="O4885" s="25"/>
    </row>
    <row r="4886" ht="15.75" customHeight="1">
      <c r="A4886" s="25" t="str">
        <f>IFERROR(__xludf.DUMMYFUNCTION("IF(B4886="""","""",RIGHT(REGEXREPLACE(B4886&amp;"""",""[^0-9]"",""""),9))"),"772640992")</f>
        <v>772640992</v>
      </c>
      <c r="B4886" s="52">
        <v>7.72640992E8</v>
      </c>
      <c r="C4886" s="28" t="s">
        <v>4839</v>
      </c>
      <c r="D4886" s="26" t="s">
        <v>45</v>
      </c>
      <c r="E4886" s="31">
        <v>46236.0</v>
      </c>
      <c r="F4886" s="26" t="s">
        <v>41</v>
      </c>
      <c r="I4886" s="26" t="s">
        <v>863</v>
      </c>
      <c r="J4886" s="25" t="str">
        <f t="shared" si="55"/>
        <v>No</v>
      </c>
      <c r="K4886" s="25" t="str">
        <f t="shared" si="56"/>
        <v/>
      </c>
      <c r="L4886" s="25" t="str">
        <f t="shared" si="57"/>
        <v/>
      </c>
      <c r="M4886" s="25"/>
      <c r="O4886" s="25"/>
    </row>
    <row r="4887" ht="15.75" customHeight="1">
      <c r="A4887" s="25" t="str">
        <f>IFERROR(__xludf.DUMMYFUNCTION("IF(B4887="""","""",RIGHT(REGEXREPLACE(B4887&amp;"""",""[^0-9]"",""""),9))"),"740820664")</f>
        <v>740820664</v>
      </c>
      <c r="B4887" s="52">
        <v>7.40820664E8</v>
      </c>
      <c r="C4887" s="28" t="s">
        <v>4840</v>
      </c>
      <c r="D4887" s="26" t="s">
        <v>64</v>
      </c>
      <c r="E4887" s="31">
        <v>46236.0</v>
      </c>
      <c r="F4887" s="26" t="s">
        <v>205</v>
      </c>
      <c r="I4887" s="26" t="s">
        <v>863</v>
      </c>
      <c r="J4887" s="25" t="str">
        <f t="shared" si="55"/>
        <v>No</v>
      </c>
      <c r="K4887" s="25" t="str">
        <f t="shared" si="56"/>
        <v/>
      </c>
      <c r="L4887" s="25" t="str">
        <f t="shared" si="57"/>
        <v/>
      </c>
      <c r="M4887" s="25"/>
      <c r="O4887" s="25"/>
    </row>
    <row r="4888" ht="15.75" customHeight="1">
      <c r="C4888" s="46"/>
      <c r="D4888" s="25"/>
      <c r="F4888" s="25"/>
      <c r="I4888" s="26" t="s">
        <v>863</v>
      </c>
      <c r="M4888" s="25"/>
      <c r="O4888" s="25"/>
    </row>
    <row r="4889" ht="15.75" customHeight="1">
      <c r="A4889" s="25" t="str">
        <f>IFERROR(__xludf.DUMMYFUNCTION("IF(B4889="""","""",RIGHT(REGEXREPLACE(B4889&amp;"""",""[^0-9]"",""""),9))"),"752272243")</f>
        <v>752272243</v>
      </c>
      <c r="B4889" s="52">
        <v>7.52272243E8</v>
      </c>
      <c r="C4889" s="28" t="s">
        <v>4841</v>
      </c>
      <c r="D4889" s="26" t="s">
        <v>56</v>
      </c>
      <c r="E4889" s="31">
        <v>46236.0</v>
      </c>
      <c r="F4889" s="26" t="s">
        <v>41</v>
      </c>
      <c r="I4889" s="26" t="s">
        <v>863</v>
      </c>
      <c r="J4889" s="25" t="str">
        <f t="shared" ref="J4889:J5485" si="58">IF(COUNTIF($A$2:A4888,A4889)&gt;0,"Yes - see Previous F-Code","No")</f>
        <v>No</v>
      </c>
      <c r="K4889" s="25" t="str">
        <f t="shared" ref="K4889:K5485" si="59">IF(COUNTIFS($A$2:A4889,A4889,$I$2:I4889,I4889)&gt;1,"DUPLICATE - CHECK","")</f>
        <v/>
      </c>
      <c r="L4889" s="25" t="str">
        <f t="shared" ref="L4889:L5485" si="60">IF(COUNTIF($A$2:A4888,A4889)&gt;0,INDEX($C$2:C4888,MATCH(A4889,$A$2:A4888,0)),"")</f>
        <v/>
      </c>
      <c r="M4889" s="25"/>
      <c r="O4889" s="25"/>
    </row>
    <row r="4890" ht="15.75" customHeight="1">
      <c r="A4890" s="25" t="str">
        <f>IFERROR(__xludf.DUMMYFUNCTION("IF(B4890="""","""",RIGHT(REGEXREPLACE(B4890&amp;"""",""[^0-9]"",""""),9))"),"741301411")</f>
        <v>741301411</v>
      </c>
      <c r="B4890" s="52">
        <v>7.41301411E8</v>
      </c>
      <c r="C4890" s="28" t="s">
        <v>4842</v>
      </c>
      <c r="D4890" s="26" t="s">
        <v>64</v>
      </c>
      <c r="E4890" s="31">
        <v>46236.0</v>
      </c>
      <c r="F4890" s="26" t="s">
        <v>205</v>
      </c>
      <c r="I4890" s="26" t="s">
        <v>863</v>
      </c>
      <c r="J4890" s="25" t="str">
        <f t="shared" si="58"/>
        <v>No</v>
      </c>
      <c r="K4890" s="25" t="str">
        <f t="shared" si="59"/>
        <v/>
      </c>
      <c r="L4890" s="25" t="str">
        <f t="shared" si="60"/>
        <v/>
      </c>
      <c r="M4890" s="25"/>
      <c r="O4890" s="25"/>
    </row>
    <row r="4891" ht="15.75" customHeight="1">
      <c r="A4891" s="25" t="str">
        <f>IFERROR(__xludf.DUMMYFUNCTION("IF(B4891="""","""",RIGHT(REGEXREPLACE(B4891&amp;"""",""[^0-9]"",""""),9))"),"720669877")</f>
        <v>720669877</v>
      </c>
      <c r="B4891" s="52">
        <v>7.20669877E8</v>
      </c>
      <c r="C4891" s="28" t="s">
        <v>4843</v>
      </c>
      <c r="D4891" s="26" t="s">
        <v>56</v>
      </c>
      <c r="E4891" s="31">
        <v>46236.0</v>
      </c>
      <c r="F4891" s="26" t="s">
        <v>205</v>
      </c>
      <c r="I4891" s="26" t="s">
        <v>863</v>
      </c>
      <c r="J4891" s="25" t="str">
        <f t="shared" si="58"/>
        <v>No</v>
      </c>
      <c r="K4891" s="25" t="str">
        <f t="shared" si="59"/>
        <v/>
      </c>
      <c r="L4891" s="25" t="str">
        <f t="shared" si="60"/>
        <v/>
      </c>
      <c r="M4891" s="25"/>
      <c r="O4891" s="25"/>
    </row>
    <row r="4892" ht="15.75" customHeight="1">
      <c r="A4892" s="25" t="str">
        <f>IFERROR(__xludf.DUMMYFUNCTION("IF(B4892="""","""",RIGHT(REGEXREPLACE(B4892&amp;"""",""[^0-9]"",""""),9))"),"755662579")</f>
        <v>755662579</v>
      </c>
      <c r="B4892" s="52">
        <v>7.55662579E8</v>
      </c>
      <c r="C4892" s="28" t="s">
        <v>4844</v>
      </c>
      <c r="D4892" s="26" t="s">
        <v>49</v>
      </c>
      <c r="E4892" s="31">
        <v>46236.0</v>
      </c>
      <c r="F4892" s="26" t="s">
        <v>41</v>
      </c>
      <c r="G4892" s="26">
        <v>9.0</v>
      </c>
      <c r="I4892" s="26" t="s">
        <v>863</v>
      </c>
      <c r="J4892" s="25" t="str">
        <f t="shared" si="58"/>
        <v>No</v>
      </c>
      <c r="K4892" s="25" t="str">
        <f t="shared" si="59"/>
        <v/>
      </c>
      <c r="L4892" s="25" t="str">
        <f t="shared" si="60"/>
        <v/>
      </c>
      <c r="M4892" s="25"/>
      <c r="O4892" s="25"/>
    </row>
    <row r="4893" ht="15.75" customHeight="1">
      <c r="A4893" s="25" t="str">
        <f>IFERROR(__xludf.DUMMYFUNCTION("IF(B4893="""","""",RIGHT(REGEXREPLACE(B4893&amp;"""",""[^0-9]"",""""),9))"),"714802137")</f>
        <v>714802137</v>
      </c>
      <c r="B4893" s="52">
        <v>7.14802137E8</v>
      </c>
      <c r="C4893" s="28" t="s">
        <v>4845</v>
      </c>
      <c r="D4893" s="26" t="s">
        <v>64</v>
      </c>
      <c r="E4893" s="31">
        <v>46236.0</v>
      </c>
      <c r="F4893" s="26" t="s">
        <v>46</v>
      </c>
      <c r="G4893" s="26">
        <v>9.0</v>
      </c>
      <c r="I4893" s="26" t="s">
        <v>863</v>
      </c>
      <c r="J4893" s="25" t="str">
        <f t="shared" si="58"/>
        <v>No</v>
      </c>
      <c r="K4893" s="25" t="str">
        <f t="shared" si="59"/>
        <v/>
      </c>
      <c r="L4893" s="25" t="str">
        <f t="shared" si="60"/>
        <v/>
      </c>
      <c r="M4893" s="25"/>
      <c r="O4893" s="26" t="s">
        <v>51</v>
      </c>
    </row>
    <row r="4894" ht="15.75" customHeight="1">
      <c r="A4894" s="25" t="str">
        <f>IFERROR(__xludf.DUMMYFUNCTION("IF(B4894="""","""",RIGHT(REGEXREPLACE(B4894&amp;"""",""[^0-9]"",""""),9))"),"740593650")</f>
        <v>740593650</v>
      </c>
      <c r="B4894" s="52">
        <v>7.4059365E8</v>
      </c>
      <c r="C4894" s="28" t="s">
        <v>4846</v>
      </c>
      <c r="D4894" s="26" t="s">
        <v>56</v>
      </c>
      <c r="E4894" s="31">
        <v>46236.0</v>
      </c>
      <c r="F4894" s="26" t="s">
        <v>46</v>
      </c>
      <c r="G4894" s="26">
        <v>9.0</v>
      </c>
      <c r="I4894" s="26" t="s">
        <v>863</v>
      </c>
      <c r="J4894" s="25" t="str">
        <f t="shared" si="58"/>
        <v>No</v>
      </c>
      <c r="K4894" s="25" t="str">
        <f t="shared" si="59"/>
        <v/>
      </c>
      <c r="L4894" s="25" t="str">
        <f t="shared" si="60"/>
        <v/>
      </c>
      <c r="M4894" s="25"/>
      <c r="O4894" s="25"/>
    </row>
    <row r="4895" ht="15.75" customHeight="1">
      <c r="A4895" s="25" t="str">
        <f>IFERROR(__xludf.DUMMYFUNCTION("IF(B4895="""","""",RIGHT(REGEXREPLACE(B4895&amp;"""",""[^0-9]"",""""),9))"),"742621457")</f>
        <v>742621457</v>
      </c>
      <c r="B4895" s="52">
        <v>7.42621457E8</v>
      </c>
      <c r="C4895" s="28" t="s">
        <v>4847</v>
      </c>
      <c r="D4895" s="26" t="s">
        <v>49</v>
      </c>
      <c r="E4895" s="31">
        <v>46236.0</v>
      </c>
      <c r="F4895" s="26" t="s">
        <v>46</v>
      </c>
      <c r="G4895" s="26">
        <v>9.0</v>
      </c>
      <c r="I4895" s="26" t="s">
        <v>863</v>
      </c>
      <c r="J4895" s="25" t="str">
        <f t="shared" si="58"/>
        <v>No</v>
      </c>
      <c r="K4895" s="25" t="str">
        <f t="shared" si="59"/>
        <v/>
      </c>
      <c r="L4895" s="25" t="str">
        <f t="shared" si="60"/>
        <v/>
      </c>
      <c r="M4895" s="25"/>
      <c r="O4895" s="25"/>
    </row>
    <row r="4896" ht="15.75" customHeight="1">
      <c r="A4896" s="25" t="str">
        <f>IFERROR(__xludf.DUMMYFUNCTION("IF(B4896="""","""",RIGHT(REGEXREPLACE(B4896&amp;"""",""[^0-9]"",""""),9))"),"782078667")</f>
        <v>782078667</v>
      </c>
      <c r="B4896" s="52">
        <v>7.82078667E8</v>
      </c>
      <c r="C4896" s="28" t="s">
        <v>4109</v>
      </c>
      <c r="D4896" s="26" t="s">
        <v>45</v>
      </c>
      <c r="E4896" s="31">
        <v>46236.0</v>
      </c>
      <c r="F4896" s="26" t="s">
        <v>46</v>
      </c>
      <c r="G4896" s="26">
        <v>11.0</v>
      </c>
      <c r="I4896" s="26" t="s">
        <v>863</v>
      </c>
      <c r="J4896" s="25" t="str">
        <f t="shared" si="58"/>
        <v>Yes - see Previous F-Code</v>
      </c>
      <c r="K4896" s="25" t="str">
        <f t="shared" si="59"/>
        <v/>
      </c>
      <c r="L4896" s="25" t="str">
        <f t="shared" si="60"/>
        <v>F73749</v>
      </c>
      <c r="M4896" s="25"/>
      <c r="O4896" s="25"/>
    </row>
    <row r="4897" ht="15.75" customHeight="1">
      <c r="A4897" s="25" t="str">
        <f>IFERROR(__xludf.DUMMYFUNCTION("IF(B4897="""","""",RIGHT(REGEXREPLACE(B4897&amp;"""",""[^0-9]"",""""),9))"),"778578030")</f>
        <v>778578030</v>
      </c>
      <c r="B4897" s="52">
        <v>7.7857803E8</v>
      </c>
      <c r="C4897" s="28" t="s">
        <v>4848</v>
      </c>
      <c r="D4897" s="26" t="s">
        <v>56</v>
      </c>
      <c r="E4897" s="31">
        <v>46236.0</v>
      </c>
      <c r="F4897" s="26" t="s">
        <v>46</v>
      </c>
      <c r="G4897" s="26">
        <v>9.0</v>
      </c>
      <c r="I4897" s="26" t="s">
        <v>863</v>
      </c>
      <c r="J4897" s="25" t="str">
        <f t="shared" si="58"/>
        <v>No</v>
      </c>
      <c r="K4897" s="25" t="str">
        <f t="shared" si="59"/>
        <v/>
      </c>
      <c r="L4897" s="25" t="str">
        <f t="shared" si="60"/>
        <v/>
      </c>
      <c r="M4897" s="25"/>
      <c r="O4897" s="25"/>
    </row>
    <row r="4898" ht="15.75" customHeight="1">
      <c r="A4898" s="25" t="str">
        <f>IFERROR(__xludf.DUMMYFUNCTION("IF(B4898="""","""",RIGHT(REGEXREPLACE(B4898&amp;"""",""[^0-9]"",""""),9))"),"715497070")</f>
        <v>715497070</v>
      </c>
      <c r="B4898" s="52">
        <v>7.1549707E8</v>
      </c>
      <c r="C4898" s="28" t="s">
        <v>4849</v>
      </c>
      <c r="D4898" s="26" t="s">
        <v>64</v>
      </c>
      <c r="E4898" s="31">
        <v>46236.0</v>
      </c>
      <c r="F4898" s="26" t="s">
        <v>46</v>
      </c>
      <c r="G4898" s="26">
        <v>11.0</v>
      </c>
      <c r="H4898" s="26" t="s">
        <v>4850</v>
      </c>
      <c r="I4898" s="26" t="s">
        <v>863</v>
      </c>
      <c r="J4898" s="25" t="str">
        <f t="shared" si="58"/>
        <v>No</v>
      </c>
      <c r="K4898" s="25" t="str">
        <f t="shared" si="59"/>
        <v/>
      </c>
      <c r="L4898" s="25" t="str">
        <f t="shared" si="60"/>
        <v/>
      </c>
      <c r="M4898" s="25"/>
      <c r="O4898" s="25"/>
    </row>
    <row r="4899" ht="15.75" customHeight="1">
      <c r="A4899" s="25" t="str">
        <f>IFERROR(__xludf.DUMMYFUNCTION("IF(B4899="""","""",RIGHT(REGEXREPLACE(B4899&amp;"""",""[^0-9]"",""""),9))"),"772291639")</f>
        <v>772291639</v>
      </c>
      <c r="B4899" s="52">
        <v>7.72291639E8</v>
      </c>
      <c r="C4899" s="28" t="s">
        <v>4851</v>
      </c>
      <c r="D4899" s="26" t="s">
        <v>45</v>
      </c>
      <c r="E4899" s="31">
        <v>46236.0</v>
      </c>
      <c r="F4899" s="26" t="s">
        <v>41</v>
      </c>
      <c r="G4899" s="26">
        <v>9.0</v>
      </c>
      <c r="I4899" s="26" t="s">
        <v>863</v>
      </c>
      <c r="J4899" s="25" t="str">
        <f t="shared" si="58"/>
        <v>No</v>
      </c>
      <c r="K4899" s="25" t="str">
        <f t="shared" si="59"/>
        <v/>
      </c>
      <c r="L4899" s="25" t="str">
        <f t="shared" si="60"/>
        <v/>
      </c>
      <c r="M4899" s="25"/>
      <c r="O4899" s="25"/>
    </row>
    <row r="4900" ht="15.75" customHeight="1">
      <c r="A4900" s="25" t="str">
        <f>IFERROR(__xludf.DUMMYFUNCTION("IF(B4900="""","""",RIGHT(REGEXREPLACE(B4900&amp;"""",""[^0-9]"",""""),9))"),"702768310")</f>
        <v>702768310</v>
      </c>
      <c r="B4900" s="52">
        <v>7.0276831E8</v>
      </c>
      <c r="C4900" s="28" t="s">
        <v>4852</v>
      </c>
      <c r="D4900" s="26" t="s">
        <v>49</v>
      </c>
      <c r="E4900" s="31">
        <v>46236.0</v>
      </c>
      <c r="F4900" s="26" t="s">
        <v>46</v>
      </c>
      <c r="G4900" s="26">
        <v>10.0</v>
      </c>
      <c r="H4900" s="26" t="s">
        <v>94</v>
      </c>
      <c r="I4900" s="26" t="s">
        <v>863</v>
      </c>
      <c r="J4900" s="25" t="str">
        <f t="shared" si="58"/>
        <v>No</v>
      </c>
      <c r="K4900" s="25" t="str">
        <f t="shared" si="59"/>
        <v/>
      </c>
      <c r="L4900" s="25" t="str">
        <f t="shared" si="60"/>
        <v/>
      </c>
      <c r="M4900" s="25"/>
      <c r="O4900" s="25"/>
    </row>
    <row r="4901" ht="15.75" customHeight="1">
      <c r="A4901" s="25" t="str">
        <f>IFERROR(__xludf.DUMMYFUNCTION("IF(B4901="""","""",RIGHT(REGEXREPLACE(B4901&amp;"""",""[^0-9]"",""""),9))"),"712317427")</f>
        <v>712317427</v>
      </c>
      <c r="B4901" s="52">
        <v>7.12317427E8</v>
      </c>
      <c r="C4901" s="28" t="s">
        <v>4853</v>
      </c>
      <c r="D4901" s="26" t="s">
        <v>64</v>
      </c>
      <c r="E4901" s="31">
        <v>46236.0</v>
      </c>
      <c r="F4901" s="26" t="s">
        <v>46</v>
      </c>
      <c r="G4901" s="26">
        <v>9.0</v>
      </c>
      <c r="H4901" s="26" t="s">
        <v>4854</v>
      </c>
      <c r="I4901" s="26" t="s">
        <v>863</v>
      </c>
      <c r="J4901" s="25" t="str">
        <f t="shared" si="58"/>
        <v>No</v>
      </c>
      <c r="K4901" s="25" t="str">
        <f t="shared" si="59"/>
        <v/>
      </c>
      <c r="L4901" s="25" t="str">
        <f t="shared" si="60"/>
        <v/>
      </c>
      <c r="M4901" s="25"/>
      <c r="O4901" s="25"/>
    </row>
    <row r="4902" ht="15.75" customHeight="1">
      <c r="A4902" s="25" t="str">
        <f>IFERROR(__xludf.DUMMYFUNCTION("IF(B4902="""","""",RIGHT(REGEXREPLACE(B4902&amp;"""",""[^0-9]"",""""),9))"),"719309195")</f>
        <v>719309195</v>
      </c>
      <c r="B4902" s="52">
        <v>7.19309195E8</v>
      </c>
      <c r="C4902" s="28" t="s">
        <v>4855</v>
      </c>
      <c r="D4902" s="26" t="s">
        <v>45</v>
      </c>
      <c r="E4902" s="31">
        <v>46236.0</v>
      </c>
      <c r="F4902" s="26" t="s">
        <v>164</v>
      </c>
      <c r="I4902" s="26" t="s">
        <v>863</v>
      </c>
      <c r="J4902" s="25" t="str">
        <f t="shared" si="58"/>
        <v>No</v>
      </c>
      <c r="K4902" s="25" t="str">
        <f t="shared" si="59"/>
        <v/>
      </c>
      <c r="L4902" s="25" t="str">
        <f t="shared" si="60"/>
        <v/>
      </c>
      <c r="M4902" s="25"/>
      <c r="O4902" s="25"/>
    </row>
    <row r="4903" ht="15.75" customHeight="1">
      <c r="A4903" s="25" t="str">
        <f>IFERROR(__xludf.DUMMYFUNCTION("IF(B4903="""","""",RIGHT(REGEXREPLACE(B4903&amp;"""",""[^0-9]"",""""),9))"),"740710415")</f>
        <v>740710415</v>
      </c>
      <c r="B4903" s="52">
        <v>7.40710415E8</v>
      </c>
      <c r="C4903" s="28" t="s">
        <v>4856</v>
      </c>
      <c r="D4903" s="26" t="s">
        <v>45</v>
      </c>
      <c r="E4903" s="31">
        <v>46236.0</v>
      </c>
      <c r="F4903" s="26" t="s">
        <v>46</v>
      </c>
      <c r="G4903" s="26">
        <v>9.0</v>
      </c>
      <c r="I4903" s="26" t="s">
        <v>863</v>
      </c>
      <c r="J4903" s="25" t="str">
        <f t="shared" si="58"/>
        <v>No</v>
      </c>
      <c r="K4903" s="25" t="str">
        <f t="shared" si="59"/>
        <v/>
      </c>
      <c r="L4903" s="25" t="str">
        <f t="shared" si="60"/>
        <v/>
      </c>
      <c r="M4903" s="25"/>
      <c r="O4903" s="25"/>
    </row>
    <row r="4904" ht="15.75" customHeight="1">
      <c r="A4904" s="25" t="str">
        <f>IFERROR(__xludf.DUMMYFUNCTION("IF(B4904="""","""",RIGHT(REGEXREPLACE(B4904&amp;"""",""[^0-9]"",""""),9))"),"705193947")</f>
        <v>705193947</v>
      </c>
      <c r="B4904" s="52">
        <v>7.05193947E8</v>
      </c>
      <c r="C4904" s="28" t="s">
        <v>3391</v>
      </c>
      <c r="D4904" s="26" t="s">
        <v>45</v>
      </c>
      <c r="E4904" s="31">
        <v>46236.0</v>
      </c>
      <c r="F4904" s="26" t="s">
        <v>164</v>
      </c>
      <c r="G4904" s="26">
        <v>10.0</v>
      </c>
      <c r="I4904" s="26" t="s">
        <v>863</v>
      </c>
      <c r="J4904" s="25" t="str">
        <f t="shared" si="58"/>
        <v>Yes - see Previous F-Code</v>
      </c>
      <c r="K4904" s="25" t="str">
        <f t="shared" si="59"/>
        <v/>
      </c>
      <c r="L4904" s="25" t="str">
        <f t="shared" si="60"/>
        <v>F73051</v>
      </c>
      <c r="M4904" s="25"/>
      <c r="O4904" s="25"/>
    </row>
    <row r="4905" ht="15.75" customHeight="1">
      <c r="A4905" s="25" t="str">
        <f>IFERROR(__xludf.DUMMYFUNCTION("IF(B4905="""","""",RIGHT(REGEXREPLACE(B4905&amp;"""",""[^0-9]"",""""),9))"),"773039894")</f>
        <v>773039894</v>
      </c>
      <c r="B4905" s="52">
        <v>7.73039894E8</v>
      </c>
      <c r="C4905" s="28" t="s">
        <v>4857</v>
      </c>
      <c r="D4905" s="26" t="s">
        <v>45</v>
      </c>
      <c r="E4905" s="31">
        <v>46236.0</v>
      </c>
      <c r="F4905" s="26" t="s">
        <v>46</v>
      </c>
      <c r="G4905" s="26">
        <v>9.0</v>
      </c>
      <c r="I4905" s="26" t="s">
        <v>863</v>
      </c>
      <c r="J4905" s="25" t="str">
        <f t="shared" si="58"/>
        <v>No</v>
      </c>
      <c r="K4905" s="25" t="str">
        <f t="shared" si="59"/>
        <v/>
      </c>
      <c r="L4905" s="25" t="str">
        <f t="shared" si="60"/>
        <v/>
      </c>
      <c r="M4905" s="25"/>
      <c r="O4905" s="25"/>
    </row>
    <row r="4906" ht="15.75" customHeight="1">
      <c r="A4906" s="25" t="str">
        <f>IFERROR(__xludf.DUMMYFUNCTION("IF(B4906="""","""",RIGHT(REGEXREPLACE(B4906&amp;"""",""[^0-9]"",""""),9))"),"703517580")</f>
        <v>703517580</v>
      </c>
      <c r="B4906" s="52">
        <v>7.0351758E8</v>
      </c>
      <c r="C4906" s="28" t="s">
        <v>4858</v>
      </c>
      <c r="D4906" s="26" t="s">
        <v>45</v>
      </c>
      <c r="E4906" s="31">
        <v>46236.0</v>
      </c>
      <c r="F4906" s="26" t="s">
        <v>46</v>
      </c>
      <c r="G4906" s="26">
        <v>9.0</v>
      </c>
      <c r="I4906" s="26" t="s">
        <v>863</v>
      </c>
      <c r="J4906" s="25" t="str">
        <f t="shared" si="58"/>
        <v>No</v>
      </c>
      <c r="K4906" s="25" t="str">
        <f t="shared" si="59"/>
        <v/>
      </c>
      <c r="L4906" s="25" t="str">
        <f t="shared" si="60"/>
        <v/>
      </c>
      <c r="M4906" s="25"/>
      <c r="O4906" s="26" t="s">
        <v>51</v>
      </c>
    </row>
    <row r="4907" ht="15.75" customHeight="1">
      <c r="A4907" s="25" t="str">
        <f>IFERROR(__xludf.DUMMYFUNCTION("IF(B4907="""","""",RIGHT(REGEXREPLACE(B4907&amp;"""",""[^0-9]"",""""),9))"),"720841148")</f>
        <v>720841148</v>
      </c>
      <c r="B4907" s="52">
        <v>7.20841148E8</v>
      </c>
      <c r="C4907" s="28" t="s">
        <v>2065</v>
      </c>
      <c r="D4907" s="26" t="s">
        <v>45</v>
      </c>
      <c r="E4907" s="31">
        <v>46252.0</v>
      </c>
      <c r="F4907" s="26" t="s">
        <v>704</v>
      </c>
      <c r="I4907" s="26" t="s">
        <v>863</v>
      </c>
      <c r="J4907" s="25" t="str">
        <f t="shared" si="58"/>
        <v>Yes - see Previous F-Code</v>
      </c>
      <c r="K4907" s="25" t="str">
        <f t="shared" si="59"/>
        <v/>
      </c>
      <c r="L4907" s="25" t="str">
        <f t="shared" si="60"/>
        <v>F71766</v>
      </c>
      <c r="M4907" s="25"/>
      <c r="O4907" s="25"/>
    </row>
    <row r="4908" ht="15.75" customHeight="1">
      <c r="A4908" s="25" t="str">
        <f>IFERROR(__xludf.DUMMYFUNCTION("IF(B4908="""","""",RIGHT(REGEXREPLACE(B4908&amp;"""",""[^0-9]"",""""),9))"),"751472629")</f>
        <v>751472629</v>
      </c>
      <c r="B4908" s="52">
        <v>7.51472629E8</v>
      </c>
      <c r="C4908" s="28" t="s">
        <v>4859</v>
      </c>
      <c r="D4908" s="26" t="s">
        <v>45</v>
      </c>
      <c r="E4908" s="31">
        <v>46236.0</v>
      </c>
      <c r="F4908" s="26" t="s">
        <v>205</v>
      </c>
      <c r="G4908" s="26">
        <v>10.0</v>
      </c>
      <c r="I4908" s="26" t="s">
        <v>863</v>
      </c>
      <c r="J4908" s="25" t="str">
        <f t="shared" si="58"/>
        <v>No</v>
      </c>
      <c r="K4908" s="25" t="str">
        <f t="shared" si="59"/>
        <v/>
      </c>
      <c r="L4908" s="25" t="str">
        <f t="shared" si="60"/>
        <v/>
      </c>
      <c r="M4908" s="25"/>
      <c r="O4908" s="25"/>
    </row>
    <row r="4909" ht="15.75" customHeight="1">
      <c r="A4909" s="25" t="str">
        <f>IFERROR(__xludf.DUMMYFUNCTION("IF(B4909="""","""",RIGHT(REGEXREPLACE(B4909&amp;"""",""[^0-9]"",""""),9))"),"779927065")</f>
        <v>779927065</v>
      </c>
      <c r="B4909" s="52">
        <v>7.79927065E8</v>
      </c>
      <c r="C4909" s="28" t="s">
        <v>4860</v>
      </c>
      <c r="D4909" s="26" t="s">
        <v>45</v>
      </c>
      <c r="E4909" s="31">
        <v>46236.0</v>
      </c>
      <c r="F4909" s="26" t="s">
        <v>84</v>
      </c>
      <c r="G4909" s="26">
        <v>9.0</v>
      </c>
      <c r="I4909" s="26" t="s">
        <v>863</v>
      </c>
      <c r="J4909" s="25" t="str">
        <f t="shared" si="58"/>
        <v>No</v>
      </c>
      <c r="K4909" s="25" t="str">
        <f t="shared" si="59"/>
        <v/>
      </c>
      <c r="L4909" s="25" t="str">
        <f t="shared" si="60"/>
        <v/>
      </c>
      <c r="M4909" s="25"/>
      <c r="O4909" s="25"/>
    </row>
    <row r="4910" ht="15.75" customHeight="1">
      <c r="A4910" s="25" t="str">
        <f>IFERROR(__xludf.DUMMYFUNCTION("IF(B4910="""","""",RIGHT(REGEXREPLACE(B4910&amp;"""",""[^0-9]"",""""),9))"),"769055145")</f>
        <v>769055145</v>
      </c>
      <c r="B4910" s="52">
        <v>7.69055145E8</v>
      </c>
      <c r="C4910" s="28" t="s">
        <v>4861</v>
      </c>
      <c r="D4910" s="26" t="s">
        <v>45</v>
      </c>
      <c r="E4910" s="31">
        <v>46236.0</v>
      </c>
      <c r="F4910" s="26" t="s">
        <v>46</v>
      </c>
      <c r="G4910" s="26">
        <v>11.0</v>
      </c>
      <c r="I4910" s="26" t="s">
        <v>863</v>
      </c>
      <c r="J4910" s="25" t="str">
        <f t="shared" si="58"/>
        <v>No</v>
      </c>
      <c r="K4910" s="25" t="str">
        <f t="shared" si="59"/>
        <v/>
      </c>
      <c r="L4910" s="25" t="str">
        <f t="shared" si="60"/>
        <v/>
      </c>
      <c r="M4910" s="25"/>
      <c r="O4910" s="25"/>
    </row>
    <row r="4911" ht="15.75" customHeight="1">
      <c r="A4911" s="25" t="str">
        <f>IFERROR(__xludf.DUMMYFUNCTION("IF(B4911="""","""",RIGHT(REGEXREPLACE(B4911&amp;"""",""[^0-9]"",""""),9))"),"763070115")</f>
        <v>763070115</v>
      </c>
      <c r="B4911" s="52">
        <v>7.63070115E8</v>
      </c>
      <c r="C4911" s="28" t="s">
        <v>4862</v>
      </c>
      <c r="D4911" s="26" t="s">
        <v>56</v>
      </c>
      <c r="E4911" s="31">
        <v>46236.0</v>
      </c>
      <c r="F4911" s="26" t="s">
        <v>46</v>
      </c>
      <c r="G4911" s="26">
        <v>9.0</v>
      </c>
      <c r="I4911" s="26" t="s">
        <v>863</v>
      </c>
      <c r="J4911" s="25" t="str">
        <f t="shared" si="58"/>
        <v>No</v>
      </c>
      <c r="K4911" s="25" t="str">
        <f t="shared" si="59"/>
        <v/>
      </c>
      <c r="L4911" s="25" t="str">
        <f t="shared" si="60"/>
        <v/>
      </c>
      <c r="M4911" s="25"/>
      <c r="O4911" s="25"/>
    </row>
    <row r="4912" ht="15.75" customHeight="1">
      <c r="A4912" s="25" t="str">
        <f>IFERROR(__xludf.DUMMYFUNCTION("IF(B4912="""","""",RIGHT(REGEXREPLACE(B4912&amp;"""",""[^0-9]"",""""),9))"),"713415852")</f>
        <v>713415852</v>
      </c>
      <c r="B4912" s="52">
        <v>7.13415852E8</v>
      </c>
      <c r="C4912" s="28" t="s">
        <v>4863</v>
      </c>
      <c r="D4912" s="26" t="s">
        <v>49</v>
      </c>
      <c r="E4912" s="31">
        <v>46236.0</v>
      </c>
      <c r="F4912" s="26" t="s">
        <v>46</v>
      </c>
      <c r="G4912" s="26">
        <v>9.0</v>
      </c>
      <c r="I4912" s="26" t="s">
        <v>863</v>
      </c>
      <c r="J4912" s="25" t="str">
        <f t="shared" si="58"/>
        <v>No</v>
      </c>
      <c r="K4912" s="25" t="str">
        <f t="shared" si="59"/>
        <v/>
      </c>
      <c r="L4912" s="25" t="str">
        <f t="shared" si="60"/>
        <v/>
      </c>
      <c r="M4912" s="25"/>
      <c r="O4912" s="26" t="s">
        <v>51</v>
      </c>
    </row>
    <row r="4913" ht="15.75" customHeight="1">
      <c r="A4913" s="25" t="str">
        <f>IFERROR(__xludf.DUMMYFUNCTION("IF(B4913="""","""",RIGHT(REGEXREPLACE(B4913&amp;"""",""[^0-9]"",""""),9))"),"051983968")</f>
        <v>051983968</v>
      </c>
      <c r="B4913" s="52">
        <v>8.21051983968E11</v>
      </c>
      <c r="C4913" s="28" t="s">
        <v>4864</v>
      </c>
      <c r="D4913" s="26" t="s">
        <v>64</v>
      </c>
      <c r="E4913" s="31">
        <v>46236.0</v>
      </c>
      <c r="F4913" s="26" t="s">
        <v>814</v>
      </c>
      <c r="G4913" s="26">
        <v>9.0</v>
      </c>
      <c r="I4913" s="26" t="s">
        <v>863</v>
      </c>
      <c r="J4913" s="25" t="str">
        <f t="shared" si="58"/>
        <v>No</v>
      </c>
      <c r="K4913" s="25" t="str">
        <f t="shared" si="59"/>
        <v/>
      </c>
      <c r="L4913" s="25" t="str">
        <f t="shared" si="60"/>
        <v/>
      </c>
      <c r="M4913" s="25"/>
      <c r="O4913" s="25"/>
    </row>
    <row r="4914" ht="15.75" customHeight="1">
      <c r="A4914" s="25" t="str">
        <f>IFERROR(__xludf.DUMMYFUNCTION("IF(B4914="""","""",RIGHT(REGEXREPLACE(B4914&amp;"""",""[^0-9]"",""""),9))"),"766516567")</f>
        <v>766516567</v>
      </c>
      <c r="B4914" s="52">
        <v>7.66516567E8</v>
      </c>
      <c r="C4914" s="28" t="s">
        <v>4865</v>
      </c>
      <c r="D4914" s="26" t="s">
        <v>56</v>
      </c>
      <c r="E4914" s="31">
        <v>46236.0</v>
      </c>
      <c r="F4914" s="26" t="s">
        <v>46</v>
      </c>
      <c r="G4914" s="26">
        <v>9.0</v>
      </c>
      <c r="I4914" s="26" t="s">
        <v>863</v>
      </c>
      <c r="J4914" s="25" t="str">
        <f t="shared" si="58"/>
        <v>No</v>
      </c>
      <c r="K4914" s="25" t="str">
        <f t="shared" si="59"/>
        <v/>
      </c>
      <c r="L4914" s="25" t="str">
        <f t="shared" si="60"/>
        <v/>
      </c>
      <c r="M4914" s="25"/>
      <c r="O4914" s="25"/>
    </row>
    <row r="4915" ht="15.75" customHeight="1">
      <c r="A4915" s="25" t="str">
        <f>IFERROR(__xludf.DUMMYFUNCTION("IF(B4915="""","""",RIGHT(REGEXREPLACE(B4915&amp;"""",""[^0-9]"",""""),9))"),"713544993")</f>
        <v>713544993</v>
      </c>
      <c r="B4915" s="52">
        <v>7.13544993E8</v>
      </c>
      <c r="C4915" s="28" t="s">
        <v>4866</v>
      </c>
      <c r="D4915" s="26" t="s">
        <v>49</v>
      </c>
      <c r="E4915" s="31">
        <v>46236.0</v>
      </c>
      <c r="F4915" s="26" t="s">
        <v>205</v>
      </c>
      <c r="G4915" s="26">
        <v>9.0</v>
      </c>
      <c r="I4915" s="26" t="s">
        <v>863</v>
      </c>
      <c r="J4915" s="25" t="str">
        <f t="shared" si="58"/>
        <v>No</v>
      </c>
      <c r="K4915" s="25" t="str">
        <f t="shared" si="59"/>
        <v/>
      </c>
      <c r="L4915" s="25" t="str">
        <f t="shared" si="60"/>
        <v/>
      </c>
      <c r="M4915" s="25"/>
      <c r="O4915" s="25"/>
    </row>
    <row r="4916" ht="15.75" customHeight="1">
      <c r="A4916" s="25" t="str">
        <f>IFERROR(__xludf.DUMMYFUNCTION("IF(B4916="""","""",RIGHT(REGEXREPLACE(B4916&amp;"""",""[^0-9]"",""""),9))"),"715887496")</f>
        <v>715887496</v>
      </c>
      <c r="B4916" s="52">
        <v>7.15887496E8</v>
      </c>
      <c r="C4916" s="28" t="s">
        <v>4867</v>
      </c>
      <c r="D4916" s="26" t="s">
        <v>64</v>
      </c>
      <c r="E4916" s="31">
        <v>46236.0</v>
      </c>
      <c r="F4916" s="26" t="s">
        <v>46</v>
      </c>
      <c r="G4916" s="26">
        <v>9.0</v>
      </c>
      <c r="H4916" s="26" t="s">
        <v>4868</v>
      </c>
      <c r="I4916" s="26" t="s">
        <v>863</v>
      </c>
      <c r="J4916" s="25" t="str">
        <f t="shared" si="58"/>
        <v>No</v>
      </c>
      <c r="K4916" s="25" t="str">
        <f t="shared" si="59"/>
        <v/>
      </c>
      <c r="L4916" s="25" t="str">
        <f t="shared" si="60"/>
        <v/>
      </c>
      <c r="M4916" s="25"/>
      <c r="O4916" s="25"/>
    </row>
    <row r="4917" ht="15.75" customHeight="1">
      <c r="A4917" s="25" t="str">
        <f>IFERROR(__xludf.DUMMYFUNCTION("IF(B4917="""","""",RIGHT(REGEXREPLACE(B4917&amp;"""",""[^0-9]"",""""),9))"),"781025590")</f>
        <v>781025590</v>
      </c>
      <c r="B4917" s="52">
        <v>7.8102559E8</v>
      </c>
      <c r="C4917" s="28" t="s">
        <v>4869</v>
      </c>
      <c r="D4917" s="26" t="s">
        <v>64</v>
      </c>
      <c r="E4917" s="31">
        <v>46236.0</v>
      </c>
      <c r="F4917" s="26" t="s">
        <v>46</v>
      </c>
      <c r="G4917" s="26">
        <v>9.0</v>
      </c>
      <c r="H4917" s="26" t="s">
        <v>4870</v>
      </c>
      <c r="I4917" s="26" t="s">
        <v>863</v>
      </c>
      <c r="J4917" s="25" t="str">
        <f t="shared" si="58"/>
        <v>No</v>
      </c>
      <c r="K4917" s="25" t="str">
        <f t="shared" si="59"/>
        <v/>
      </c>
      <c r="L4917" s="25" t="str">
        <f t="shared" si="60"/>
        <v/>
      </c>
      <c r="M4917" s="25"/>
      <c r="O4917" s="25"/>
    </row>
    <row r="4918" ht="15.75" customHeight="1">
      <c r="A4918" s="25" t="str">
        <f>IFERROR(__xludf.DUMMYFUNCTION("IF(B4918="""","""",RIGHT(REGEXREPLACE(B4918&amp;"""",""[^0-9]"",""""),9))"),"741880247")</f>
        <v>741880247</v>
      </c>
      <c r="B4918" s="52">
        <v>7.41880247E8</v>
      </c>
      <c r="C4918" s="28" t="s">
        <v>4871</v>
      </c>
      <c r="D4918" s="26" t="s">
        <v>49</v>
      </c>
      <c r="E4918" s="31">
        <v>46236.0</v>
      </c>
      <c r="F4918" s="26" t="s">
        <v>46</v>
      </c>
      <c r="G4918" s="26">
        <v>11.0</v>
      </c>
      <c r="I4918" s="26" t="s">
        <v>863</v>
      </c>
      <c r="J4918" s="25" t="str">
        <f t="shared" si="58"/>
        <v>No</v>
      </c>
      <c r="K4918" s="25" t="str">
        <f t="shared" si="59"/>
        <v/>
      </c>
      <c r="L4918" s="25" t="str">
        <f t="shared" si="60"/>
        <v/>
      </c>
      <c r="M4918" s="25"/>
      <c r="O4918" s="25"/>
    </row>
    <row r="4919" ht="15.75" customHeight="1">
      <c r="A4919" s="25" t="str">
        <f>IFERROR(__xludf.DUMMYFUNCTION("IF(B4919="""","""",RIGHT(REGEXREPLACE(B4919&amp;"""",""[^0-9]"",""""),9))"),"762170638")</f>
        <v>762170638</v>
      </c>
      <c r="B4919" s="52">
        <v>7.62170638E8</v>
      </c>
      <c r="C4919" s="28" t="s">
        <v>4872</v>
      </c>
      <c r="D4919" s="26" t="s">
        <v>56</v>
      </c>
      <c r="E4919" s="31">
        <v>46236.0</v>
      </c>
      <c r="F4919" s="26" t="s">
        <v>41</v>
      </c>
      <c r="I4919" s="26" t="s">
        <v>863</v>
      </c>
      <c r="J4919" s="25" t="str">
        <f t="shared" si="58"/>
        <v>No</v>
      </c>
      <c r="K4919" s="25" t="str">
        <f t="shared" si="59"/>
        <v/>
      </c>
      <c r="L4919" s="25" t="str">
        <f t="shared" si="60"/>
        <v/>
      </c>
      <c r="M4919" s="25"/>
      <c r="O4919" s="25"/>
    </row>
    <row r="4920" ht="15.75" customHeight="1">
      <c r="A4920" s="25" t="str">
        <f>IFERROR(__xludf.DUMMYFUNCTION("IF(B4920="""","""",RIGHT(REGEXREPLACE(B4920&amp;"""",""[^0-9]"",""""),9))"),"778103722")</f>
        <v>778103722</v>
      </c>
      <c r="B4920" s="52">
        <v>7.78103722E8</v>
      </c>
      <c r="C4920" s="28" t="s">
        <v>4873</v>
      </c>
      <c r="D4920" s="26" t="s">
        <v>56</v>
      </c>
      <c r="E4920" s="31">
        <v>46236.0</v>
      </c>
      <c r="F4920" s="26" t="s">
        <v>46</v>
      </c>
      <c r="G4920" s="26">
        <v>9.0</v>
      </c>
      <c r="I4920" s="26" t="s">
        <v>863</v>
      </c>
      <c r="J4920" s="25" t="str">
        <f t="shared" si="58"/>
        <v>No</v>
      </c>
      <c r="K4920" s="25" t="str">
        <f t="shared" si="59"/>
        <v/>
      </c>
      <c r="L4920" s="25" t="str">
        <f t="shared" si="60"/>
        <v/>
      </c>
      <c r="M4920" s="25"/>
      <c r="O4920" s="25"/>
    </row>
    <row r="4921" ht="15.75" customHeight="1">
      <c r="A4921" s="25" t="str">
        <f>IFERROR(__xludf.DUMMYFUNCTION("IF(B4921="""","""",RIGHT(REGEXREPLACE(B4921&amp;"""",""[^0-9]"",""""),9))"),"704048935")</f>
        <v>704048935</v>
      </c>
      <c r="B4921" s="52">
        <v>7.04048935E8</v>
      </c>
      <c r="C4921" s="28" t="s">
        <v>4874</v>
      </c>
      <c r="D4921" s="26" t="s">
        <v>64</v>
      </c>
      <c r="E4921" s="31">
        <v>46236.0</v>
      </c>
      <c r="F4921" s="26" t="s">
        <v>46</v>
      </c>
      <c r="G4921" s="26">
        <v>9.0</v>
      </c>
      <c r="I4921" s="26" t="s">
        <v>863</v>
      </c>
      <c r="J4921" s="25" t="str">
        <f t="shared" si="58"/>
        <v>No</v>
      </c>
      <c r="K4921" s="25" t="str">
        <f t="shared" si="59"/>
        <v/>
      </c>
      <c r="L4921" s="25" t="str">
        <f t="shared" si="60"/>
        <v/>
      </c>
      <c r="M4921" s="25"/>
      <c r="O4921" s="25"/>
    </row>
    <row r="4922" ht="15.75" customHeight="1">
      <c r="A4922" s="25" t="str">
        <f>IFERROR(__xludf.DUMMYFUNCTION("IF(B4922="""","""",RIGHT(REGEXREPLACE(B4922&amp;"""",""[^0-9]"",""""),9))"),"705815995")</f>
        <v>705815995</v>
      </c>
      <c r="B4922" s="52">
        <v>7.05815995E8</v>
      </c>
      <c r="C4922" s="28" t="s">
        <v>4875</v>
      </c>
      <c r="D4922" s="26" t="s">
        <v>49</v>
      </c>
      <c r="E4922" s="31">
        <v>46236.0</v>
      </c>
      <c r="F4922" s="26" t="s">
        <v>46</v>
      </c>
      <c r="G4922" s="26">
        <v>9.0</v>
      </c>
      <c r="I4922" s="26" t="s">
        <v>863</v>
      </c>
      <c r="J4922" s="25" t="str">
        <f t="shared" si="58"/>
        <v>No</v>
      </c>
      <c r="K4922" s="25" t="str">
        <f t="shared" si="59"/>
        <v/>
      </c>
      <c r="L4922" s="25" t="str">
        <f t="shared" si="60"/>
        <v/>
      </c>
      <c r="M4922" s="25"/>
      <c r="O4922" s="25"/>
    </row>
    <row r="4923" ht="15.75" customHeight="1">
      <c r="A4923" s="25" t="str">
        <f>IFERROR(__xludf.DUMMYFUNCTION("IF(B4923="""","""",RIGHT(REGEXREPLACE(B4923&amp;"""",""[^0-9]"",""""),9))"),"756500167")</f>
        <v>756500167</v>
      </c>
      <c r="B4923" s="52">
        <v>7.56500167E8</v>
      </c>
      <c r="C4923" s="28" t="s">
        <v>4876</v>
      </c>
      <c r="D4923" s="26" t="s">
        <v>56</v>
      </c>
      <c r="E4923" s="31">
        <v>46236.0</v>
      </c>
      <c r="F4923" s="26" t="s">
        <v>46</v>
      </c>
      <c r="G4923" s="26">
        <v>11.0</v>
      </c>
      <c r="I4923" s="26" t="s">
        <v>863</v>
      </c>
      <c r="J4923" s="25" t="str">
        <f t="shared" si="58"/>
        <v>No</v>
      </c>
      <c r="K4923" s="25" t="str">
        <f t="shared" si="59"/>
        <v/>
      </c>
      <c r="L4923" s="25" t="str">
        <f t="shared" si="60"/>
        <v/>
      </c>
      <c r="M4923" s="25"/>
      <c r="O4923" s="25"/>
    </row>
    <row r="4924" ht="15.75" customHeight="1">
      <c r="A4924" s="25" t="str">
        <f>IFERROR(__xludf.DUMMYFUNCTION("IF(B4924="""","""",RIGHT(REGEXREPLACE(B4924&amp;"""",""[^0-9]"",""""),9))"),"771985242")</f>
        <v>771985242</v>
      </c>
      <c r="B4924" s="52">
        <v>7.71985242E8</v>
      </c>
      <c r="C4924" s="28" t="s">
        <v>4877</v>
      </c>
      <c r="D4924" s="26" t="s">
        <v>45</v>
      </c>
      <c r="E4924" s="31">
        <v>46236.0</v>
      </c>
      <c r="F4924" s="26" t="s">
        <v>41</v>
      </c>
      <c r="I4924" s="26" t="s">
        <v>863</v>
      </c>
      <c r="J4924" s="25" t="str">
        <f t="shared" si="58"/>
        <v>No</v>
      </c>
      <c r="K4924" s="25" t="str">
        <f t="shared" si="59"/>
        <v/>
      </c>
      <c r="L4924" s="25" t="str">
        <f t="shared" si="60"/>
        <v/>
      </c>
      <c r="M4924" s="25"/>
      <c r="O4924" s="25"/>
    </row>
    <row r="4925" ht="15.75" customHeight="1">
      <c r="A4925" s="25" t="str">
        <f>IFERROR(__xludf.DUMMYFUNCTION("IF(B4925="""","""",RIGHT(REGEXREPLACE(B4925&amp;"""",""[^0-9]"",""""),9))"),"778088683")</f>
        <v>778088683</v>
      </c>
      <c r="B4925" s="52">
        <v>7.78088683E8</v>
      </c>
      <c r="C4925" s="28" t="s">
        <v>4878</v>
      </c>
      <c r="D4925" s="26" t="s">
        <v>45</v>
      </c>
      <c r="E4925" s="31">
        <v>46236.0</v>
      </c>
      <c r="F4925" s="26" t="s">
        <v>41</v>
      </c>
      <c r="I4925" s="26" t="s">
        <v>863</v>
      </c>
      <c r="J4925" s="25" t="str">
        <f t="shared" si="58"/>
        <v>No</v>
      </c>
      <c r="K4925" s="25" t="str">
        <f t="shared" si="59"/>
        <v/>
      </c>
      <c r="L4925" s="25" t="str">
        <f t="shared" si="60"/>
        <v/>
      </c>
      <c r="M4925" s="25"/>
      <c r="O4925" s="25"/>
    </row>
    <row r="4926" ht="15.75" customHeight="1">
      <c r="A4926" s="25" t="str">
        <f>IFERROR(__xludf.DUMMYFUNCTION("IF(B4926="""","""",RIGHT(REGEXREPLACE(B4926&amp;"""",""[^0-9]"",""""),9))"),"786864482")</f>
        <v>786864482</v>
      </c>
      <c r="B4926" s="52">
        <v>7.86864482E8</v>
      </c>
      <c r="C4926" s="28" t="s">
        <v>4879</v>
      </c>
      <c r="D4926" s="26" t="s">
        <v>64</v>
      </c>
      <c r="E4926" s="31">
        <v>46236.0</v>
      </c>
      <c r="F4926" s="26" t="s">
        <v>46</v>
      </c>
      <c r="G4926" s="26">
        <v>9.0</v>
      </c>
      <c r="H4926" s="26" t="s">
        <v>4880</v>
      </c>
      <c r="I4926" s="26" t="s">
        <v>863</v>
      </c>
      <c r="J4926" s="25" t="str">
        <f t="shared" si="58"/>
        <v>No</v>
      </c>
      <c r="K4926" s="25" t="str">
        <f t="shared" si="59"/>
        <v/>
      </c>
      <c r="L4926" s="25" t="str">
        <f t="shared" si="60"/>
        <v/>
      </c>
      <c r="M4926" s="25"/>
      <c r="O4926" s="25"/>
    </row>
    <row r="4927" ht="15.75" customHeight="1">
      <c r="A4927" s="25" t="str">
        <f>IFERROR(__xludf.DUMMYFUNCTION("IF(B4927="""","""",RIGHT(REGEXREPLACE(B4927&amp;"""",""[^0-9]"",""""),9))"),"711636744")</f>
        <v>711636744</v>
      </c>
      <c r="B4927" s="52">
        <v>7.11636744E8</v>
      </c>
      <c r="C4927" s="28" t="s">
        <v>4881</v>
      </c>
      <c r="D4927" s="26" t="s">
        <v>49</v>
      </c>
      <c r="E4927" s="31">
        <v>46236.0</v>
      </c>
      <c r="F4927" s="26" t="s">
        <v>46</v>
      </c>
      <c r="G4927" s="26">
        <v>9.0</v>
      </c>
      <c r="I4927" s="26" t="s">
        <v>863</v>
      </c>
      <c r="J4927" s="25" t="str">
        <f t="shared" si="58"/>
        <v>No</v>
      </c>
      <c r="K4927" s="25" t="str">
        <f t="shared" si="59"/>
        <v/>
      </c>
      <c r="L4927" s="25" t="str">
        <f t="shared" si="60"/>
        <v/>
      </c>
      <c r="M4927" s="25"/>
      <c r="O4927" s="25"/>
    </row>
    <row r="4928" ht="15.75" customHeight="1">
      <c r="A4928" s="25" t="str">
        <f>IFERROR(__xludf.DUMMYFUNCTION("IF(B4928="""","""",RIGHT(REGEXREPLACE(B4928&amp;"""",""[^0-9]"",""""),9))"),"717443131")</f>
        <v>717443131</v>
      </c>
      <c r="B4928" s="52">
        <v>7.17443131E8</v>
      </c>
      <c r="C4928" s="28" t="s">
        <v>4882</v>
      </c>
      <c r="D4928" s="26" t="s">
        <v>64</v>
      </c>
      <c r="E4928" s="31">
        <v>46236.0</v>
      </c>
      <c r="F4928" s="26" t="s">
        <v>46</v>
      </c>
      <c r="G4928" s="26">
        <v>9.0</v>
      </c>
      <c r="H4928" s="26" t="s">
        <v>4883</v>
      </c>
      <c r="I4928" s="26" t="s">
        <v>863</v>
      </c>
      <c r="J4928" s="25" t="str">
        <f t="shared" si="58"/>
        <v>No</v>
      </c>
      <c r="K4928" s="25" t="str">
        <f t="shared" si="59"/>
        <v/>
      </c>
      <c r="L4928" s="25" t="str">
        <f t="shared" si="60"/>
        <v/>
      </c>
      <c r="M4928" s="25"/>
      <c r="O4928" s="25"/>
    </row>
    <row r="4929" ht="15.75" customHeight="1">
      <c r="A4929" s="25" t="str">
        <f>IFERROR(__xludf.DUMMYFUNCTION("IF(B4929="""","""",RIGHT(REGEXREPLACE(B4929&amp;"""",""[^0-9]"",""""),9))"),"714729053")</f>
        <v>714729053</v>
      </c>
      <c r="B4929" s="52">
        <v>7.14729053E8</v>
      </c>
      <c r="C4929" s="28" t="s">
        <v>4884</v>
      </c>
      <c r="D4929" s="26" t="s">
        <v>56</v>
      </c>
      <c r="E4929" s="31">
        <v>46236.0</v>
      </c>
      <c r="F4929" s="26" t="s">
        <v>41</v>
      </c>
      <c r="I4929" s="26" t="s">
        <v>863</v>
      </c>
      <c r="J4929" s="25" t="str">
        <f t="shared" si="58"/>
        <v>No</v>
      </c>
      <c r="K4929" s="25" t="str">
        <f t="shared" si="59"/>
        <v/>
      </c>
      <c r="L4929" s="25" t="str">
        <f t="shared" si="60"/>
        <v/>
      </c>
      <c r="M4929" s="25"/>
      <c r="O4929" s="25"/>
    </row>
    <row r="4930" ht="15.75" customHeight="1">
      <c r="A4930" s="25" t="str">
        <f>IFERROR(__xludf.DUMMYFUNCTION("IF(B4930="""","""",RIGHT(REGEXREPLACE(B4930&amp;"""",""[^0-9]"",""""),9))"),"760928119")</f>
        <v>760928119</v>
      </c>
      <c r="B4930" s="52">
        <v>7.60928119E8</v>
      </c>
      <c r="C4930" s="28" t="s">
        <v>4885</v>
      </c>
      <c r="D4930" s="26" t="s">
        <v>45</v>
      </c>
      <c r="E4930" s="31">
        <v>46236.0</v>
      </c>
      <c r="F4930" s="26" t="s">
        <v>46</v>
      </c>
      <c r="G4930" s="26">
        <v>9.0</v>
      </c>
      <c r="I4930" s="26" t="s">
        <v>863</v>
      </c>
      <c r="J4930" s="25" t="str">
        <f t="shared" si="58"/>
        <v>No</v>
      </c>
      <c r="K4930" s="25" t="str">
        <f t="shared" si="59"/>
        <v/>
      </c>
      <c r="L4930" s="25" t="str">
        <f t="shared" si="60"/>
        <v/>
      </c>
      <c r="M4930" s="25"/>
      <c r="O4930" s="25"/>
    </row>
    <row r="4931" ht="15.75" customHeight="1">
      <c r="A4931" s="25" t="str">
        <f>IFERROR(__xludf.DUMMYFUNCTION("IF(B4931="""","""",RIGHT(REGEXREPLACE(B4931&amp;"""",""[^0-9]"",""""),9))"),"740451070")</f>
        <v>740451070</v>
      </c>
      <c r="B4931" s="52">
        <v>7.4045107E8</v>
      </c>
      <c r="C4931" s="28" t="s">
        <v>4256</v>
      </c>
      <c r="D4931" s="26" t="s">
        <v>56</v>
      </c>
      <c r="E4931" s="31">
        <v>46236.0</v>
      </c>
      <c r="F4931" s="26" t="s">
        <v>46</v>
      </c>
      <c r="G4931" s="26">
        <v>9.0</v>
      </c>
      <c r="I4931" s="26" t="s">
        <v>863</v>
      </c>
      <c r="J4931" s="25" t="str">
        <f t="shared" si="58"/>
        <v>No</v>
      </c>
      <c r="K4931" s="25" t="str">
        <f t="shared" si="59"/>
        <v/>
      </c>
      <c r="L4931" s="25" t="str">
        <f t="shared" si="60"/>
        <v/>
      </c>
      <c r="M4931" s="25"/>
      <c r="O4931" s="25"/>
    </row>
    <row r="4932" ht="15.75" customHeight="1">
      <c r="A4932" s="25" t="str">
        <f>IFERROR(__xludf.DUMMYFUNCTION("IF(B4932="""","""",RIGHT(REGEXREPLACE(B4932&amp;"""",""[^0-9]"",""""),9))"),"742936035")</f>
        <v>742936035</v>
      </c>
      <c r="B4932" s="64">
        <v>9.4742936035E10</v>
      </c>
      <c r="C4932" s="28" t="s">
        <v>4886</v>
      </c>
      <c r="D4932" s="26" t="s">
        <v>64</v>
      </c>
      <c r="E4932" s="31">
        <v>46236.0</v>
      </c>
      <c r="F4932" s="26" t="s">
        <v>84</v>
      </c>
      <c r="H4932" s="26" t="s">
        <v>763</v>
      </c>
      <c r="I4932" s="26" t="s">
        <v>863</v>
      </c>
      <c r="J4932" s="25" t="str">
        <f t="shared" si="58"/>
        <v>No</v>
      </c>
      <c r="K4932" s="25" t="str">
        <f t="shared" si="59"/>
        <v/>
      </c>
      <c r="L4932" s="25" t="str">
        <f t="shared" si="60"/>
        <v/>
      </c>
      <c r="M4932" s="25"/>
      <c r="O4932" s="25"/>
    </row>
    <row r="4933" ht="15.75" customHeight="1">
      <c r="A4933" s="25" t="str">
        <f>IFERROR(__xludf.DUMMYFUNCTION("IF(B4933="""","""",RIGHT(REGEXREPLACE(B4933&amp;"""",""[^0-9]"",""""),9))"),"770886796")</f>
        <v>770886796</v>
      </c>
      <c r="B4933" s="52">
        <v>7.70886796E8</v>
      </c>
      <c r="C4933" s="28" t="s">
        <v>4887</v>
      </c>
      <c r="D4933" s="26" t="s">
        <v>64</v>
      </c>
      <c r="E4933" s="31">
        <v>46236.0</v>
      </c>
      <c r="F4933" s="26" t="s">
        <v>46</v>
      </c>
      <c r="G4933" s="26">
        <v>10.0</v>
      </c>
      <c r="I4933" s="26" t="s">
        <v>863</v>
      </c>
      <c r="J4933" s="25" t="str">
        <f t="shared" si="58"/>
        <v>No</v>
      </c>
      <c r="K4933" s="25" t="str">
        <f t="shared" si="59"/>
        <v/>
      </c>
      <c r="L4933" s="25" t="str">
        <f t="shared" si="60"/>
        <v/>
      </c>
      <c r="M4933" s="25"/>
      <c r="O4933" s="25"/>
    </row>
    <row r="4934" ht="15.75" customHeight="1">
      <c r="A4934" s="25" t="str">
        <f>IFERROR(__xludf.DUMMYFUNCTION("IF(B4934="""","""",RIGHT(REGEXREPLACE(B4934&amp;"""",""[^0-9]"",""""),9))"),"715941083")</f>
        <v>715941083</v>
      </c>
      <c r="B4934" s="52">
        <v>7.15941083E8</v>
      </c>
      <c r="C4934" s="28" t="s">
        <v>4888</v>
      </c>
      <c r="D4934" s="26" t="s">
        <v>49</v>
      </c>
      <c r="E4934" s="31">
        <v>46236.0</v>
      </c>
      <c r="F4934" s="26" t="s">
        <v>46</v>
      </c>
      <c r="G4934" s="26">
        <v>9.0</v>
      </c>
      <c r="I4934" s="26" t="s">
        <v>863</v>
      </c>
      <c r="J4934" s="25" t="str">
        <f t="shared" si="58"/>
        <v>No</v>
      </c>
      <c r="K4934" s="25" t="str">
        <f t="shared" si="59"/>
        <v/>
      </c>
      <c r="L4934" s="25" t="str">
        <f t="shared" si="60"/>
        <v/>
      </c>
      <c r="M4934" s="25"/>
      <c r="O4934" s="25"/>
    </row>
    <row r="4935" ht="15.75" customHeight="1">
      <c r="A4935" s="25" t="str">
        <f>IFERROR(__xludf.DUMMYFUNCTION("IF(B4935="""","""",RIGHT(REGEXREPLACE(B4935&amp;"""",""[^0-9]"",""""),9))"),"701726789")</f>
        <v>701726789</v>
      </c>
      <c r="B4935" s="52">
        <v>7.01726789E8</v>
      </c>
      <c r="C4935" s="28" t="s">
        <v>4889</v>
      </c>
      <c r="D4935" s="26" t="s">
        <v>45</v>
      </c>
      <c r="E4935" s="31">
        <v>46236.0</v>
      </c>
      <c r="F4935" s="26" t="s">
        <v>46</v>
      </c>
      <c r="G4935" s="26">
        <v>9.0</v>
      </c>
      <c r="I4935" s="26" t="s">
        <v>863</v>
      </c>
      <c r="J4935" s="25" t="str">
        <f t="shared" si="58"/>
        <v>No</v>
      </c>
      <c r="K4935" s="25" t="str">
        <f t="shared" si="59"/>
        <v/>
      </c>
      <c r="L4935" s="25" t="str">
        <f t="shared" si="60"/>
        <v/>
      </c>
      <c r="M4935" s="25"/>
      <c r="O4935" s="25"/>
    </row>
    <row r="4936" ht="15.75" customHeight="1">
      <c r="A4936" s="25" t="str">
        <f>IFERROR(__xludf.DUMMYFUNCTION("IF(B4936="""","""",RIGHT(REGEXREPLACE(B4936&amp;"""",""[^0-9]"",""""),9))"),"703462279")</f>
        <v>703462279</v>
      </c>
      <c r="B4936" s="52">
        <v>7.03462279E8</v>
      </c>
      <c r="C4936" s="28" t="s">
        <v>4890</v>
      </c>
      <c r="D4936" s="26" t="s">
        <v>56</v>
      </c>
      <c r="E4936" s="31">
        <v>46236.0</v>
      </c>
      <c r="F4936" s="26" t="s">
        <v>631</v>
      </c>
      <c r="G4936" s="26">
        <v>9.0</v>
      </c>
      <c r="I4936" s="26" t="s">
        <v>863</v>
      </c>
      <c r="J4936" s="25" t="str">
        <f t="shared" si="58"/>
        <v>No</v>
      </c>
      <c r="K4936" s="25" t="str">
        <f t="shared" si="59"/>
        <v/>
      </c>
      <c r="L4936" s="25" t="str">
        <f t="shared" si="60"/>
        <v/>
      </c>
      <c r="M4936" s="25"/>
      <c r="O4936" s="25"/>
    </row>
    <row r="4937" ht="15.75" customHeight="1">
      <c r="A4937" s="25" t="str">
        <f>IFERROR(__xludf.DUMMYFUNCTION("IF(B4937="""","""",RIGHT(REGEXREPLACE(B4937&amp;"""",""[^0-9]"",""""),9))"),"773417676")</f>
        <v>773417676</v>
      </c>
      <c r="B4937" s="52">
        <v>7.73417676E8</v>
      </c>
      <c r="C4937" s="28" t="s">
        <v>4891</v>
      </c>
      <c r="D4937" s="26" t="s">
        <v>64</v>
      </c>
      <c r="E4937" s="31">
        <v>46236.0</v>
      </c>
      <c r="F4937" s="26" t="s">
        <v>46</v>
      </c>
      <c r="G4937" s="26">
        <v>9.0</v>
      </c>
      <c r="H4937" s="26" t="s">
        <v>78</v>
      </c>
      <c r="I4937" s="26" t="s">
        <v>863</v>
      </c>
      <c r="J4937" s="25" t="str">
        <f t="shared" si="58"/>
        <v>No</v>
      </c>
      <c r="K4937" s="25" t="str">
        <f t="shared" si="59"/>
        <v/>
      </c>
      <c r="L4937" s="25" t="str">
        <f t="shared" si="60"/>
        <v/>
      </c>
      <c r="M4937" s="25"/>
      <c r="O4937" s="25"/>
    </row>
    <row r="4938" ht="15.75" customHeight="1">
      <c r="A4938" s="25" t="str">
        <f>IFERROR(__xludf.DUMMYFUNCTION("IF(B4938="""","""",RIGHT(REGEXREPLACE(B4938&amp;"""",""[^0-9]"",""""),9))"),"772647625")</f>
        <v>772647625</v>
      </c>
      <c r="B4938" s="52">
        <v>7.72647625E8</v>
      </c>
      <c r="C4938" s="28" t="s">
        <v>4892</v>
      </c>
      <c r="D4938" s="26" t="s">
        <v>45</v>
      </c>
      <c r="E4938" s="31">
        <v>46236.0</v>
      </c>
      <c r="F4938" s="26" t="s">
        <v>46</v>
      </c>
      <c r="H4938" s="26" t="s">
        <v>280</v>
      </c>
      <c r="I4938" s="26" t="s">
        <v>863</v>
      </c>
      <c r="J4938" s="25" t="str">
        <f t="shared" si="58"/>
        <v>No</v>
      </c>
      <c r="K4938" s="25" t="str">
        <f t="shared" si="59"/>
        <v/>
      </c>
      <c r="L4938" s="25" t="str">
        <f t="shared" si="60"/>
        <v/>
      </c>
      <c r="M4938" s="25"/>
      <c r="O4938" s="25"/>
    </row>
    <row r="4939" ht="15.75" customHeight="1">
      <c r="A4939" s="25" t="str">
        <f>IFERROR(__xludf.DUMMYFUNCTION("IF(B4939="""","""",RIGHT(REGEXREPLACE(B4939&amp;"""",""[^0-9]"",""""),9))"),"740351032")</f>
        <v>740351032</v>
      </c>
      <c r="B4939" s="52">
        <v>7.40351032E8</v>
      </c>
      <c r="C4939" s="28" t="s">
        <v>4893</v>
      </c>
      <c r="D4939" s="26" t="s">
        <v>49</v>
      </c>
      <c r="E4939" s="31">
        <v>46236.0</v>
      </c>
      <c r="F4939" s="26" t="s">
        <v>46</v>
      </c>
      <c r="G4939" s="26">
        <v>9.0</v>
      </c>
      <c r="H4939" s="26" t="s">
        <v>4894</v>
      </c>
      <c r="I4939" s="26" t="s">
        <v>863</v>
      </c>
      <c r="J4939" s="25" t="str">
        <f t="shared" si="58"/>
        <v>No</v>
      </c>
      <c r="K4939" s="25" t="str">
        <f t="shared" si="59"/>
        <v/>
      </c>
      <c r="L4939" s="25" t="str">
        <f t="shared" si="60"/>
        <v/>
      </c>
      <c r="M4939" s="25"/>
      <c r="O4939" s="25"/>
    </row>
    <row r="4940" ht="15.75" customHeight="1">
      <c r="A4940" s="25" t="str">
        <f>IFERROR(__xludf.DUMMYFUNCTION("IF(B4940="""","""",RIGHT(REGEXREPLACE(B4940&amp;"""",""[^0-9]"",""""),9))"),"713745861")</f>
        <v>713745861</v>
      </c>
      <c r="B4940" s="52">
        <v>7.13745861E8</v>
      </c>
      <c r="C4940" s="28" t="s">
        <v>4895</v>
      </c>
      <c r="D4940" s="26" t="s">
        <v>64</v>
      </c>
      <c r="E4940" s="31">
        <v>46236.0</v>
      </c>
      <c r="F4940" s="26" t="s">
        <v>46</v>
      </c>
      <c r="G4940" s="26">
        <v>6.0</v>
      </c>
      <c r="H4940" s="26" t="s">
        <v>78</v>
      </c>
      <c r="I4940" s="26" t="s">
        <v>863</v>
      </c>
      <c r="J4940" s="25" t="str">
        <f t="shared" si="58"/>
        <v>No</v>
      </c>
      <c r="K4940" s="25" t="str">
        <f t="shared" si="59"/>
        <v/>
      </c>
      <c r="L4940" s="25" t="str">
        <f t="shared" si="60"/>
        <v/>
      </c>
      <c r="M4940" s="25"/>
      <c r="O4940" s="25"/>
    </row>
    <row r="4941" ht="15.75" customHeight="1">
      <c r="A4941" s="25" t="str">
        <f>IFERROR(__xludf.DUMMYFUNCTION("IF(B4941="""","""",RIGHT(REGEXREPLACE(B4941&amp;"""",""[^0-9]"",""""),9))"),"711021311")</f>
        <v>711021311</v>
      </c>
      <c r="B4941" s="52">
        <v>7.11021311E8</v>
      </c>
      <c r="C4941" s="28" t="s">
        <v>4896</v>
      </c>
      <c r="D4941" s="26" t="s">
        <v>56</v>
      </c>
      <c r="E4941" s="31">
        <v>46236.0</v>
      </c>
      <c r="F4941" s="26" t="s">
        <v>41</v>
      </c>
      <c r="G4941" s="26">
        <v>9.0</v>
      </c>
      <c r="I4941" s="26" t="s">
        <v>863</v>
      </c>
      <c r="J4941" s="25" t="str">
        <f t="shared" si="58"/>
        <v>No</v>
      </c>
      <c r="K4941" s="25" t="str">
        <f t="shared" si="59"/>
        <v/>
      </c>
      <c r="L4941" s="25" t="str">
        <f t="shared" si="60"/>
        <v/>
      </c>
      <c r="M4941" s="25"/>
      <c r="O4941" s="25"/>
    </row>
    <row r="4942" ht="15.75" customHeight="1">
      <c r="A4942" s="25" t="str">
        <f>IFERROR(__xludf.DUMMYFUNCTION("IF(B4942="""","""",RIGHT(REGEXREPLACE(B4942&amp;"""",""[^0-9]"",""""),9))"),"724881060")</f>
        <v>724881060</v>
      </c>
      <c r="B4942" s="52">
        <v>7.2488106E8</v>
      </c>
      <c r="C4942" s="28" t="s">
        <v>4897</v>
      </c>
      <c r="D4942" s="26" t="s">
        <v>45</v>
      </c>
      <c r="E4942" s="31">
        <v>46236.0</v>
      </c>
      <c r="F4942" s="26" t="s">
        <v>205</v>
      </c>
      <c r="I4942" s="26" t="s">
        <v>863</v>
      </c>
      <c r="J4942" s="25" t="str">
        <f t="shared" si="58"/>
        <v>No</v>
      </c>
      <c r="K4942" s="25" t="str">
        <f t="shared" si="59"/>
        <v/>
      </c>
      <c r="L4942" s="25" t="str">
        <f t="shared" si="60"/>
        <v/>
      </c>
      <c r="M4942" s="25"/>
      <c r="O4942" s="25"/>
    </row>
    <row r="4943" ht="15.75" customHeight="1">
      <c r="A4943" s="25" t="str">
        <f>IFERROR(__xludf.DUMMYFUNCTION("IF(B4943="""","""",RIGHT(REGEXREPLACE(B4943&amp;"""",""[^0-9]"",""""),9))"),"754546602")</f>
        <v>754546602</v>
      </c>
      <c r="B4943" s="52">
        <v>7.54546602E8</v>
      </c>
      <c r="C4943" s="28" t="s">
        <v>4898</v>
      </c>
      <c r="D4943" s="26" t="s">
        <v>49</v>
      </c>
      <c r="E4943" s="31">
        <v>46236.0</v>
      </c>
      <c r="F4943" s="26" t="s">
        <v>46</v>
      </c>
      <c r="G4943" s="26">
        <v>9.0</v>
      </c>
      <c r="H4943" s="72" t="s">
        <v>4899</v>
      </c>
      <c r="I4943" s="26" t="s">
        <v>863</v>
      </c>
      <c r="J4943" s="25" t="str">
        <f t="shared" si="58"/>
        <v>No</v>
      </c>
      <c r="K4943" s="25" t="str">
        <f t="shared" si="59"/>
        <v/>
      </c>
      <c r="L4943" s="25" t="str">
        <f t="shared" si="60"/>
        <v/>
      </c>
      <c r="M4943" s="25"/>
      <c r="O4943" s="25"/>
    </row>
    <row r="4944" ht="15.75" customHeight="1">
      <c r="A4944" s="25" t="str">
        <f>IFERROR(__xludf.DUMMYFUNCTION("IF(B4944="""","""",RIGHT(REGEXREPLACE(B4944&amp;"""",""[^0-9]"",""""),9))"),"772983152")</f>
        <v>772983152</v>
      </c>
      <c r="B4944" s="52">
        <v>7.72983152E8</v>
      </c>
      <c r="C4944" s="28" t="s">
        <v>4641</v>
      </c>
      <c r="D4944" s="26" t="s">
        <v>64</v>
      </c>
      <c r="E4944" s="31">
        <v>46236.0</v>
      </c>
      <c r="F4944" s="26" t="s">
        <v>41</v>
      </c>
      <c r="I4944" s="26" t="s">
        <v>863</v>
      </c>
      <c r="J4944" s="25" t="str">
        <f t="shared" si="58"/>
        <v>No</v>
      </c>
      <c r="K4944" s="25" t="str">
        <f t="shared" si="59"/>
        <v/>
      </c>
      <c r="L4944" s="25" t="str">
        <f t="shared" si="60"/>
        <v/>
      </c>
      <c r="M4944" s="25"/>
      <c r="O4944" s="25"/>
    </row>
    <row r="4945" ht="15.75" customHeight="1">
      <c r="A4945" s="25" t="str">
        <f>IFERROR(__xludf.DUMMYFUNCTION("IF(B4945="""","""",RIGHT(REGEXREPLACE(B4945&amp;"""",""[^0-9]"",""""),9))"),"714407537")</f>
        <v>714407537</v>
      </c>
      <c r="B4945" s="52">
        <v>7.14407537E8</v>
      </c>
      <c r="C4945" s="28" t="s">
        <v>4900</v>
      </c>
      <c r="D4945" s="26" t="s">
        <v>56</v>
      </c>
      <c r="E4945" s="31">
        <v>46236.0</v>
      </c>
      <c r="F4945" s="26" t="s">
        <v>46</v>
      </c>
      <c r="G4945" s="26">
        <v>9.0</v>
      </c>
      <c r="I4945" s="26" t="s">
        <v>863</v>
      </c>
      <c r="J4945" s="25" t="str">
        <f t="shared" si="58"/>
        <v>No</v>
      </c>
      <c r="K4945" s="25" t="str">
        <f t="shared" si="59"/>
        <v/>
      </c>
      <c r="L4945" s="25" t="str">
        <f t="shared" si="60"/>
        <v/>
      </c>
      <c r="M4945" s="25"/>
      <c r="O4945" s="25"/>
    </row>
    <row r="4946" ht="15.75" customHeight="1">
      <c r="A4946" s="25" t="str">
        <f>IFERROR(__xludf.DUMMYFUNCTION("IF(B4946="""","""",RIGHT(REGEXREPLACE(B4946&amp;"""",""[^0-9]"",""""),9))"),"703467940")</f>
        <v>703467940</v>
      </c>
      <c r="B4946" s="52">
        <v>7.0346794E8</v>
      </c>
      <c r="C4946" s="28" t="s">
        <v>4901</v>
      </c>
      <c r="D4946" s="26" t="s">
        <v>45</v>
      </c>
      <c r="E4946" s="31">
        <v>46236.0</v>
      </c>
      <c r="F4946" s="26" t="s">
        <v>46</v>
      </c>
      <c r="G4946" s="26">
        <v>9.0</v>
      </c>
      <c r="I4946" s="26" t="s">
        <v>863</v>
      </c>
      <c r="J4946" s="25" t="str">
        <f t="shared" si="58"/>
        <v>No</v>
      </c>
      <c r="K4946" s="25" t="str">
        <f t="shared" si="59"/>
        <v/>
      </c>
      <c r="L4946" s="25" t="str">
        <f t="shared" si="60"/>
        <v/>
      </c>
      <c r="M4946" s="25"/>
      <c r="O4946" s="25"/>
    </row>
    <row r="4947" ht="15.75" customHeight="1">
      <c r="A4947" s="25" t="str">
        <f>IFERROR(__xludf.DUMMYFUNCTION("IF(B4947="""","""",RIGHT(REGEXREPLACE(B4947&amp;"""",""[^0-9]"",""""),9))"),"770649201")</f>
        <v>770649201</v>
      </c>
      <c r="B4947" s="52">
        <v>7.70649201E8</v>
      </c>
      <c r="C4947" s="28" t="s">
        <v>4902</v>
      </c>
      <c r="D4947" s="26" t="s">
        <v>56</v>
      </c>
      <c r="E4947" s="31">
        <v>46236.0</v>
      </c>
      <c r="F4947" s="26" t="s">
        <v>46</v>
      </c>
      <c r="G4947" s="26">
        <v>9.0</v>
      </c>
      <c r="I4947" s="26" t="s">
        <v>863</v>
      </c>
      <c r="J4947" s="25" t="str">
        <f t="shared" si="58"/>
        <v>No</v>
      </c>
      <c r="K4947" s="25" t="str">
        <f t="shared" si="59"/>
        <v/>
      </c>
      <c r="L4947" s="25" t="str">
        <f t="shared" si="60"/>
        <v/>
      </c>
      <c r="M4947" s="25"/>
      <c r="O4947" s="25"/>
    </row>
    <row r="4948" ht="15.75" customHeight="1">
      <c r="A4948" s="25" t="str">
        <f>IFERROR(__xludf.DUMMYFUNCTION("IF(B4948="""","""",RIGHT(REGEXREPLACE(B4948&amp;"""",""[^0-9]"",""""),9))"),"704363957")</f>
        <v>704363957</v>
      </c>
      <c r="B4948" s="52">
        <v>7.04363957E8</v>
      </c>
      <c r="C4948" s="28" t="s">
        <v>4903</v>
      </c>
      <c r="D4948" s="26" t="s">
        <v>49</v>
      </c>
      <c r="E4948" s="31">
        <v>46236.0</v>
      </c>
      <c r="F4948" s="26" t="s">
        <v>41</v>
      </c>
      <c r="I4948" s="26" t="s">
        <v>863</v>
      </c>
      <c r="J4948" s="25" t="str">
        <f t="shared" si="58"/>
        <v>No</v>
      </c>
      <c r="K4948" s="25" t="str">
        <f t="shared" si="59"/>
        <v/>
      </c>
      <c r="L4948" s="25" t="str">
        <f t="shared" si="60"/>
        <v/>
      </c>
      <c r="M4948" s="25"/>
      <c r="O4948" s="25"/>
    </row>
    <row r="4949" ht="15.75" customHeight="1">
      <c r="A4949" s="25" t="str">
        <f>IFERROR(__xludf.DUMMYFUNCTION("IF(B4949="""","""",RIGHT(REGEXREPLACE(B4949&amp;"""",""[^0-9]"",""""),9))"),"762663164")</f>
        <v>762663164</v>
      </c>
      <c r="B4949" s="52">
        <v>7.62663164E8</v>
      </c>
      <c r="C4949" s="28" t="s">
        <v>4904</v>
      </c>
      <c r="D4949" s="26" t="s">
        <v>49</v>
      </c>
      <c r="E4949" s="31">
        <v>46236.0</v>
      </c>
      <c r="F4949" s="26" t="s">
        <v>41</v>
      </c>
      <c r="G4949" s="26">
        <v>9.0</v>
      </c>
      <c r="I4949" s="26" t="s">
        <v>863</v>
      </c>
      <c r="J4949" s="25" t="str">
        <f t="shared" si="58"/>
        <v>No</v>
      </c>
      <c r="K4949" s="25" t="str">
        <f t="shared" si="59"/>
        <v/>
      </c>
      <c r="L4949" s="25" t="str">
        <f t="shared" si="60"/>
        <v/>
      </c>
      <c r="M4949" s="25"/>
      <c r="O4949" s="25"/>
    </row>
    <row r="4950" ht="15.75" customHeight="1">
      <c r="A4950" s="25" t="str">
        <f>IFERROR(__xludf.DUMMYFUNCTION("IF(B4950="""","""",RIGHT(REGEXREPLACE(B4950&amp;"""",""[^0-9]"",""""),9))"),"772899278")</f>
        <v>772899278</v>
      </c>
      <c r="B4950" s="52">
        <v>7.72899278E8</v>
      </c>
      <c r="C4950" s="28" t="s">
        <v>4905</v>
      </c>
      <c r="D4950" s="26" t="s">
        <v>64</v>
      </c>
      <c r="E4950" s="31">
        <v>46236.0</v>
      </c>
      <c r="F4950" s="26" t="s">
        <v>46</v>
      </c>
      <c r="G4950" s="26">
        <v>9.0</v>
      </c>
      <c r="I4950" s="26" t="s">
        <v>863</v>
      </c>
      <c r="J4950" s="25" t="str">
        <f t="shared" si="58"/>
        <v>No</v>
      </c>
      <c r="K4950" s="25" t="str">
        <f t="shared" si="59"/>
        <v/>
      </c>
      <c r="L4950" s="25" t="str">
        <f t="shared" si="60"/>
        <v/>
      </c>
      <c r="M4950" s="25"/>
      <c r="O4950" s="25"/>
    </row>
    <row r="4951" ht="15.75" customHeight="1">
      <c r="A4951" s="25" t="str">
        <f>IFERROR(__xludf.DUMMYFUNCTION("IF(B4951="""","""",RIGHT(REGEXREPLACE(B4951&amp;"""",""[^0-9]"",""""),9))"),"774217335")</f>
        <v>774217335</v>
      </c>
      <c r="B4951" s="52">
        <v>7.74217335E8</v>
      </c>
      <c r="C4951" s="28" t="s">
        <v>4906</v>
      </c>
      <c r="D4951" s="26" t="s">
        <v>56</v>
      </c>
      <c r="E4951" s="31">
        <v>46236.0</v>
      </c>
      <c r="F4951" s="26" t="s">
        <v>205</v>
      </c>
      <c r="I4951" s="26" t="s">
        <v>863</v>
      </c>
      <c r="J4951" s="25" t="str">
        <f t="shared" si="58"/>
        <v>No</v>
      </c>
      <c r="K4951" s="25" t="str">
        <f t="shared" si="59"/>
        <v/>
      </c>
      <c r="L4951" s="25" t="str">
        <f t="shared" si="60"/>
        <v/>
      </c>
      <c r="M4951" s="25"/>
      <c r="O4951" s="25"/>
    </row>
    <row r="4952" ht="15.75" customHeight="1">
      <c r="A4952" s="25" t="str">
        <f>IFERROR(__xludf.DUMMYFUNCTION("IF(B4952="""","""",RIGHT(REGEXREPLACE(B4952&amp;"""",""[^0-9]"",""""),9))"),"710312004")</f>
        <v>710312004</v>
      </c>
      <c r="B4952" s="52">
        <v>7.10312004E8</v>
      </c>
      <c r="C4952" s="28" t="s">
        <v>4907</v>
      </c>
      <c r="D4952" s="26" t="s">
        <v>49</v>
      </c>
      <c r="E4952" s="31">
        <v>46236.0</v>
      </c>
      <c r="F4952" s="26" t="s">
        <v>46</v>
      </c>
      <c r="G4952" s="26">
        <v>8.0</v>
      </c>
      <c r="I4952" s="26" t="s">
        <v>863</v>
      </c>
      <c r="J4952" s="25" t="str">
        <f t="shared" si="58"/>
        <v>No</v>
      </c>
      <c r="K4952" s="25" t="str">
        <f t="shared" si="59"/>
        <v/>
      </c>
      <c r="L4952" s="25" t="str">
        <f t="shared" si="60"/>
        <v/>
      </c>
      <c r="M4952" s="25"/>
      <c r="O4952" s="25"/>
    </row>
    <row r="4953" ht="15.75" customHeight="1">
      <c r="A4953" s="25" t="str">
        <f>IFERROR(__xludf.DUMMYFUNCTION("IF(B4953="""","""",RIGHT(REGEXREPLACE(B4953&amp;"""",""[^0-9]"",""""),9))"),"710967356")</f>
        <v>710967356</v>
      </c>
      <c r="B4953" s="52">
        <v>7.10967356E8</v>
      </c>
      <c r="C4953" s="28" t="s">
        <v>4908</v>
      </c>
      <c r="D4953" s="26" t="s">
        <v>56</v>
      </c>
      <c r="E4953" s="31">
        <v>46236.0</v>
      </c>
      <c r="F4953" s="25"/>
      <c r="G4953" s="26">
        <v>11.0</v>
      </c>
      <c r="H4953" s="25"/>
      <c r="I4953" s="26" t="s">
        <v>863</v>
      </c>
      <c r="J4953" s="25" t="str">
        <f t="shared" si="58"/>
        <v>No</v>
      </c>
      <c r="K4953" s="25" t="str">
        <f t="shared" si="59"/>
        <v/>
      </c>
      <c r="L4953" s="25" t="str">
        <f t="shared" si="60"/>
        <v/>
      </c>
      <c r="M4953" s="25"/>
      <c r="N4953" s="25"/>
      <c r="O4953" s="25"/>
      <c r="P4953" s="25"/>
    </row>
    <row r="4954" ht="15.75" customHeight="1">
      <c r="A4954" s="25" t="str">
        <f>IFERROR(__xludf.DUMMYFUNCTION("IF(B4954="""","""",RIGHT(REGEXREPLACE(B4954&amp;"""",""[^0-9]"",""""),9))"),"718997715")</f>
        <v>718997715</v>
      </c>
      <c r="B4954" s="52">
        <v>7.18997715E8</v>
      </c>
      <c r="C4954" s="28" t="s">
        <v>4909</v>
      </c>
      <c r="D4954" s="26" t="s">
        <v>64</v>
      </c>
      <c r="E4954" s="31">
        <v>46236.0</v>
      </c>
      <c r="F4954" s="26" t="s">
        <v>46</v>
      </c>
      <c r="G4954" s="26">
        <v>9.0</v>
      </c>
      <c r="H4954" s="26" t="s">
        <v>78</v>
      </c>
      <c r="I4954" s="26" t="s">
        <v>863</v>
      </c>
      <c r="J4954" s="25" t="str">
        <f t="shared" si="58"/>
        <v>No</v>
      </c>
      <c r="K4954" s="25" t="str">
        <f t="shared" si="59"/>
        <v/>
      </c>
      <c r="L4954" s="25" t="str">
        <f t="shared" si="60"/>
        <v/>
      </c>
      <c r="M4954" s="25"/>
      <c r="O4954" s="25"/>
    </row>
    <row r="4955" ht="15.75" customHeight="1">
      <c r="A4955" s="25" t="str">
        <f>IFERROR(__xludf.DUMMYFUNCTION("IF(B4955="""","""",RIGHT(REGEXREPLACE(B4955&amp;"""",""[^0-9]"",""""),9))"),"741659749")</f>
        <v>741659749</v>
      </c>
      <c r="B4955" s="52">
        <v>7.41659749E8</v>
      </c>
      <c r="C4955" s="28" t="s">
        <v>4910</v>
      </c>
      <c r="D4955" s="26" t="s">
        <v>49</v>
      </c>
      <c r="E4955" s="31">
        <v>46236.0</v>
      </c>
      <c r="F4955" s="26" t="s">
        <v>46</v>
      </c>
      <c r="G4955" s="26">
        <v>9.0</v>
      </c>
      <c r="H4955" s="26" t="s">
        <v>94</v>
      </c>
      <c r="I4955" s="26" t="s">
        <v>863</v>
      </c>
      <c r="J4955" s="25" t="str">
        <f t="shared" si="58"/>
        <v>No</v>
      </c>
      <c r="K4955" s="25" t="str">
        <f t="shared" si="59"/>
        <v/>
      </c>
      <c r="L4955" s="25" t="str">
        <f t="shared" si="60"/>
        <v/>
      </c>
      <c r="M4955" s="25"/>
      <c r="O4955" s="25"/>
    </row>
    <row r="4956" ht="15.75" customHeight="1">
      <c r="A4956" s="25" t="str">
        <f>IFERROR(__xludf.DUMMYFUNCTION("IF(B4956="""","""",RIGHT(REGEXREPLACE(B4956&amp;"""",""[^0-9]"",""""),9))"),"763611925")</f>
        <v>763611925</v>
      </c>
      <c r="B4956" s="52">
        <v>7.63611925E8</v>
      </c>
      <c r="C4956" s="28" t="s">
        <v>4911</v>
      </c>
      <c r="D4956" s="26" t="s">
        <v>56</v>
      </c>
      <c r="E4956" s="31">
        <v>46236.0</v>
      </c>
      <c r="F4956" s="26" t="s">
        <v>46</v>
      </c>
      <c r="G4956" s="26">
        <v>9.0</v>
      </c>
      <c r="H4956" s="26" t="s">
        <v>94</v>
      </c>
      <c r="I4956" s="26" t="s">
        <v>863</v>
      </c>
      <c r="J4956" s="25" t="str">
        <f t="shared" si="58"/>
        <v>No</v>
      </c>
      <c r="K4956" s="25" t="str">
        <f t="shared" si="59"/>
        <v/>
      </c>
      <c r="L4956" s="25" t="str">
        <f t="shared" si="60"/>
        <v/>
      </c>
      <c r="M4956" s="25"/>
      <c r="O4956" s="25"/>
    </row>
    <row r="4957" ht="15.75" customHeight="1">
      <c r="A4957" s="25" t="str">
        <f>IFERROR(__xludf.DUMMYFUNCTION("IF(B4957="""","""",RIGHT(REGEXREPLACE(B4957&amp;"""",""[^0-9]"",""""),9))"),"774090957")</f>
        <v>774090957</v>
      </c>
      <c r="B4957" s="52">
        <v>7.74090957E8</v>
      </c>
      <c r="C4957" s="28" t="s">
        <v>4912</v>
      </c>
      <c r="D4957" s="26" t="s">
        <v>64</v>
      </c>
      <c r="E4957" s="31">
        <v>46236.0</v>
      </c>
      <c r="F4957" s="26" t="s">
        <v>46</v>
      </c>
      <c r="G4957" s="26">
        <v>9.0</v>
      </c>
      <c r="I4957" s="26" t="s">
        <v>863</v>
      </c>
      <c r="J4957" s="25" t="str">
        <f t="shared" si="58"/>
        <v>No</v>
      </c>
      <c r="K4957" s="25" t="str">
        <f t="shared" si="59"/>
        <v/>
      </c>
      <c r="L4957" s="25" t="str">
        <f t="shared" si="60"/>
        <v/>
      </c>
      <c r="M4957" s="25"/>
      <c r="O4957" s="25"/>
    </row>
    <row r="4958" ht="15.75" customHeight="1">
      <c r="A4958" s="25" t="str">
        <f>IFERROR(__xludf.DUMMYFUNCTION("IF(B4958="""","""",RIGHT(REGEXREPLACE(B4958&amp;"""",""[^0-9]"",""""),9))"),"764922255")</f>
        <v>764922255</v>
      </c>
      <c r="B4958" s="52">
        <v>7.64922255E8</v>
      </c>
      <c r="C4958" s="28" t="s">
        <v>4913</v>
      </c>
      <c r="D4958" s="26" t="s">
        <v>49</v>
      </c>
      <c r="E4958" s="31">
        <v>46236.0</v>
      </c>
      <c r="F4958" s="26" t="s">
        <v>205</v>
      </c>
      <c r="G4958" s="26">
        <v>6.0</v>
      </c>
      <c r="I4958" s="26" t="s">
        <v>863</v>
      </c>
      <c r="J4958" s="25" t="str">
        <f t="shared" si="58"/>
        <v>No</v>
      </c>
      <c r="K4958" s="25" t="str">
        <f t="shared" si="59"/>
        <v/>
      </c>
      <c r="L4958" s="25" t="str">
        <f t="shared" si="60"/>
        <v/>
      </c>
      <c r="M4958" s="25"/>
      <c r="O4958" s="25"/>
    </row>
    <row r="4959" ht="15.75" customHeight="1">
      <c r="A4959" s="25" t="str">
        <f>IFERROR(__xludf.DUMMYFUNCTION("IF(B4959="""","""",RIGHT(REGEXREPLACE(B4959&amp;"""",""[^0-9]"",""""),9))"),"773756761")</f>
        <v>773756761</v>
      </c>
      <c r="B4959" s="52">
        <v>7.73756761E8</v>
      </c>
      <c r="C4959" s="28" t="s">
        <v>4440</v>
      </c>
      <c r="D4959" s="26" t="s">
        <v>49</v>
      </c>
      <c r="E4959" s="31">
        <v>46236.0</v>
      </c>
      <c r="F4959" s="26" t="s">
        <v>46</v>
      </c>
      <c r="G4959" s="26">
        <v>11.0</v>
      </c>
      <c r="I4959" s="26" t="s">
        <v>863</v>
      </c>
      <c r="J4959" s="25" t="str">
        <f t="shared" si="58"/>
        <v>Yes - see Previous F-Code</v>
      </c>
      <c r="K4959" s="25" t="str">
        <f t="shared" si="59"/>
        <v/>
      </c>
      <c r="L4959" s="25" t="str">
        <f t="shared" si="60"/>
        <v>F74059</v>
      </c>
      <c r="M4959" s="25"/>
      <c r="O4959" s="25"/>
    </row>
    <row r="4960" ht="15.75" customHeight="1">
      <c r="A4960" s="25" t="str">
        <f>IFERROR(__xludf.DUMMYFUNCTION("IF(B4960="""","""",RIGHT(REGEXREPLACE(B4960&amp;"""",""[^0-9]"",""""),9))"),"776695703")</f>
        <v>776695703</v>
      </c>
      <c r="B4960" s="52">
        <v>7.76695703E8</v>
      </c>
      <c r="C4960" s="28" t="s">
        <v>4914</v>
      </c>
      <c r="D4960" s="26" t="s">
        <v>64</v>
      </c>
      <c r="E4960" s="31">
        <v>46236.0</v>
      </c>
      <c r="F4960" s="26" t="s">
        <v>46</v>
      </c>
      <c r="G4960" s="26">
        <v>9.0</v>
      </c>
      <c r="I4960" s="26" t="s">
        <v>863</v>
      </c>
      <c r="J4960" s="25" t="str">
        <f t="shared" si="58"/>
        <v>No</v>
      </c>
      <c r="K4960" s="25" t="str">
        <f t="shared" si="59"/>
        <v/>
      </c>
      <c r="L4960" s="25" t="str">
        <f t="shared" si="60"/>
        <v/>
      </c>
      <c r="M4960" s="25"/>
      <c r="O4960" s="25"/>
    </row>
    <row r="4961" ht="15.75" customHeight="1">
      <c r="A4961" s="25" t="str">
        <f>IFERROR(__xludf.DUMMYFUNCTION("IF(B4961="""","""",RIGHT(REGEXREPLACE(B4961&amp;"""",""[^0-9]"",""""),9))"),"777452872")</f>
        <v>777452872</v>
      </c>
      <c r="B4961" s="52">
        <v>7.77452872E8</v>
      </c>
      <c r="C4961" s="28" t="s">
        <v>4915</v>
      </c>
      <c r="D4961" s="26" t="s">
        <v>56</v>
      </c>
      <c r="E4961" s="31">
        <v>46236.0</v>
      </c>
      <c r="F4961" s="26" t="s">
        <v>46</v>
      </c>
      <c r="G4961" s="26">
        <v>9.0</v>
      </c>
      <c r="I4961" s="26" t="s">
        <v>863</v>
      </c>
      <c r="J4961" s="25" t="str">
        <f t="shared" si="58"/>
        <v>No</v>
      </c>
      <c r="K4961" s="25" t="str">
        <f t="shared" si="59"/>
        <v/>
      </c>
      <c r="L4961" s="25" t="str">
        <f t="shared" si="60"/>
        <v/>
      </c>
      <c r="M4961" s="25"/>
      <c r="O4961" s="25"/>
    </row>
    <row r="4962" ht="15.75" customHeight="1">
      <c r="A4962" s="25" t="str">
        <f>IFERROR(__xludf.DUMMYFUNCTION("IF(B4962="""","""",RIGHT(REGEXREPLACE(B4962&amp;"""",""[^0-9]"",""""),9))"),"702208737")</f>
        <v>702208737</v>
      </c>
      <c r="B4962" s="52">
        <v>7.02208737E8</v>
      </c>
      <c r="C4962" s="28" t="s">
        <v>4916</v>
      </c>
      <c r="D4962" s="26" t="s">
        <v>56</v>
      </c>
      <c r="E4962" s="31">
        <v>46236.0</v>
      </c>
      <c r="F4962" s="26" t="s">
        <v>41</v>
      </c>
      <c r="G4962" s="26">
        <v>10.0</v>
      </c>
      <c r="I4962" s="26" t="s">
        <v>863</v>
      </c>
      <c r="J4962" s="25" t="str">
        <f t="shared" si="58"/>
        <v>No</v>
      </c>
      <c r="K4962" s="25" t="str">
        <f t="shared" si="59"/>
        <v/>
      </c>
      <c r="L4962" s="25" t="str">
        <f t="shared" si="60"/>
        <v/>
      </c>
      <c r="M4962" s="25"/>
      <c r="O4962" s="25"/>
    </row>
    <row r="4963" ht="15.75" customHeight="1">
      <c r="A4963" s="25" t="str">
        <f>IFERROR(__xludf.DUMMYFUNCTION("IF(B4963="""","""",RIGHT(REGEXREPLACE(B4963&amp;"""",""[^0-9]"",""""),9))"),"771414266")</f>
        <v>771414266</v>
      </c>
      <c r="B4963" s="52">
        <v>7.71414266E8</v>
      </c>
      <c r="C4963" s="28" t="s">
        <v>4917</v>
      </c>
      <c r="D4963" s="26" t="s">
        <v>49</v>
      </c>
      <c r="E4963" s="31">
        <v>46236.0</v>
      </c>
      <c r="F4963" s="26" t="s">
        <v>46</v>
      </c>
      <c r="G4963" s="26">
        <v>9.0</v>
      </c>
      <c r="I4963" s="26" t="s">
        <v>863</v>
      </c>
      <c r="J4963" s="25" t="str">
        <f t="shared" si="58"/>
        <v>No</v>
      </c>
      <c r="K4963" s="25" t="str">
        <f t="shared" si="59"/>
        <v/>
      </c>
      <c r="L4963" s="25" t="str">
        <f t="shared" si="60"/>
        <v/>
      </c>
      <c r="M4963" s="25"/>
      <c r="O4963" s="25"/>
    </row>
    <row r="4964" ht="15.75" customHeight="1">
      <c r="A4964" s="25" t="str">
        <f>IFERROR(__xludf.DUMMYFUNCTION("IF(B4964="""","""",RIGHT(REGEXREPLACE(B4964&amp;"""",""[^0-9]"",""""),9))"),"712856868")</f>
        <v>712856868</v>
      </c>
      <c r="B4964" s="52">
        <v>7.12856868E8</v>
      </c>
      <c r="C4964" s="28" t="s">
        <v>4918</v>
      </c>
      <c r="D4964" s="26" t="s">
        <v>56</v>
      </c>
      <c r="E4964" s="31">
        <v>46236.0</v>
      </c>
      <c r="F4964" s="26" t="s">
        <v>46</v>
      </c>
      <c r="G4964" s="26">
        <v>7.0</v>
      </c>
      <c r="I4964" s="26" t="s">
        <v>863</v>
      </c>
      <c r="J4964" s="25" t="str">
        <f t="shared" si="58"/>
        <v>No</v>
      </c>
      <c r="K4964" s="25" t="str">
        <f t="shared" si="59"/>
        <v/>
      </c>
      <c r="L4964" s="25" t="str">
        <f t="shared" si="60"/>
        <v/>
      </c>
      <c r="M4964" s="25"/>
      <c r="O4964" s="25"/>
    </row>
    <row r="4965" ht="15.75" customHeight="1">
      <c r="A4965" s="25" t="str">
        <f>IFERROR(__xludf.DUMMYFUNCTION("IF(B4965="""","""",RIGHT(REGEXREPLACE(B4965&amp;"""",""[^0-9]"",""""),9))"),"770482367")</f>
        <v>770482367</v>
      </c>
      <c r="B4965" s="52">
        <v>7.70482367E8</v>
      </c>
      <c r="C4965" s="28" t="s">
        <v>4919</v>
      </c>
      <c r="D4965" s="26" t="s">
        <v>64</v>
      </c>
      <c r="E4965" s="31">
        <v>46236.0</v>
      </c>
      <c r="F4965" s="26" t="s">
        <v>46</v>
      </c>
      <c r="G4965" s="26">
        <v>9.0</v>
      </c>
      <c r="I4965" s="26" t="s">
        <v>863</v>
      </c>
      <c r="J4965" s="25" t="str">
        <f t="shared" si="58"/>
        <v>No</v>
      </c>
      <c r="K4965" s="25" t="str">
        <f t="shared" si="59"/>
        <v/>
      </c>
      <c r="L4965" s="25" t="str">
        <f t="shared" si="60"/>
        <v/>
      </c>
      <c r="M4965" s="25"/>
      <c r="O4965" s="25"/>
    </row>
    <row r="4966" ht="15.75" customHeight="1">
      <c r="A4966" s="25" t="str">
        <f>IFERROR(__xludf.DUMMYFUNCTION("IF(B4966="""","""",RIGHT(REGEXREPLACE(B4966&amp;"""",""[^0-9]"",""""),9))"),"777926354")</f>
        <v>777926354</v>
      </c>
      <c r="B4966" s="52">
        <v>7.77926354E8</v>
      </c>
      <c r="C4966" s="28" t="s">
        <v>4920</v>
      </c>
      <c r="D4966" s="26" t="s">
        <v>56</v>
      </c>
      <c r="E4966" s="31">
        <v>46236.0</v>
      </c>
      <c r="F4966" s="26" t="s">
        <v>41</v>
      </c>
      <c r="G4966" s="26">
        <v>11.0</v>
      </c>
      <c r="I4966" s="26" t="s">
        <v>863</v>
      </c>
      <c r="J4966" s="25" t="str">
        <f t="shared" si="58"/>
        <v>No</v>
      </c>
      <c r="K4966" s="25" t="str">
        <f t="shared" si="59"/>
        <v/>
      </c>
      <c r="L4966" s="25" t="str">
        <f t="shared" si="60"/>
        <v/>
      </c>
      <c r="M4966" s="25"/>
      <c r="O4966" s="25"/>
    </row>
    <row r="4967" ht="15.75" customHeight="1">
      <c r="A4967" s="25" t="str">
        <f>IFERROR(__xludf.DUMMYFUNCTION("IF(B4967="""","""",RIGHT(REGEXREPLACE(B4967&amp;"""",""[^0-9]"",""""),9))"),"760344700")</f>
        <v>760344700</v>
      </c>
      <c r="B4967" s="52">
        <v>7.603447E8</v>
      </c>
      <c r="C4967" s="28" t="s">
        <v>4921</v>
      </c>
      <c r="D4967" s="26" t="s">
        <v>49</v>
      </c>
      <c r="E4967" s="31">
        <v>46236.0</v>
      </c>
      <c r="F4967" s="26" t="s">
        <v>41</v>
      </c>
      <c r="I4967" s="26" t="s">
        <v>863</v>
      </c>
      <c r="J4967" s="25" t="str">
        <f t="shared" si="58"/>
        <v>No</v>
      </c>
      <c r="K4967" s="25" t="str">
        <f t="shared" si="59"/>
        <v/>
      </c>
      <c r="L4967" s="25" t="str">
        <f t="shared" si="60"/>
        <v/>
      </c>
      <c r="M4967" s="25"/>
      <c r="O4967" s="25"/>
    </row>
    <row r="4968" ht="15.75" customHeight="1">
      <c r="A4968" s="25" t="str">
        <f>IFERROR(__xludf.DUMMYFUNCTION("IF(B4968="""","""",RIGHT(REGEXREPLACE(B4968&amp;"""",""[^0-9]"",""""),9))"),"784944461")</f>
        <v>784944461</v>
      </c>
      <c r="B4968" s="52">
        <v>7.84944461E8</v>
      </c>
      <c r="C4968" s="28" t="s">
        <v>4922</v>
      </c>
      <c r="D4968" s="26" t="s">
        <v>64</v>
      </c>
      <c r="E4968" s="31">
        <v>46236.0</v>
      </c>
      <c r="F4968" s="26" t="s">
        <v>41</v>
      </c>
      <c r="G4968" s="26">
        <v>9.0</v>
      </c>
      <c r="I4968" s="26" t="s">
        <v>863</v>
      </c>
      <c r="J4968" s="25" t="str">
        <f t="shared" si="58"/>
        <v>No</v>
      </c>
      <c r="K4968" s="25" t="str">
        <f t="shared" si="59"/>
        <v/>
      </c>
      <c r="L4968" s="25" t="str">
        <f t="shared" si="60"/>
        <v/>
      </c>
      <c r="M4968" s="25"/>
      <c r="O4968" s="25"/>
    </row>
    <row r="4969" ht="15.75" customHeight="1">
      <c r="A4969" s="25" t="str">
        <f>IFERROR(__xludf.DUMMYFUNCTION("IF(B4969="""","""",RIGHT(REGEXREPLACE(B4969&amp;"""",""[^0-9]"",""""),9))"),"760398870")</f>
        <v>760398870</v>
      </c>
      <c r="B4969" s="52">
        <v>7.6039887E8</v>
      </c>
      <c r="C4969" s="28" t="s">
        <v>4923</v>
      </c>
      <c r="D4969" s="26" t="s">
        <v>56</v>
      </c>
      <c r="E4969" s="31">
        <v>46236.0</v>
      </c>
      <c r="F4969" s="26" t="s">
        <v>205</v>
      </c>
      <c r="I4969" s="26" t="s">
        <v>863</v>
      </c>
      <c r="J4969" s="25" t="str">
        <f t="shared" si="58"/>
        <v>No</v>
      </c>
      <c r="K4969" s="25" t="str">
        <f t="shared" si="59"/>
        <v/>
      </c>
      <c r="L4969" s="25" t="str">
        <f t="shared" si="60"/>
        <v/>
      </c>
      <c r="M4969" s="25"/>
      <c r="O4969" s="25"/>
    </row>
    <row r="4970" ht="15.75" customHeight="1">
      <c r="A4970" s="25" t="str">
        <f>IFERROR(__xludf.DUMMYFUNCTION("IF(B4970="""","""",RIGHT(REGEXREPLACE(B4970&amp;"""",""[^0-9]"",""""),9))"),"767968751")</f>
        <v>767968751</v>
      </c>
      <c r="B4970" s="52">
        <v>7.67968751E8</v>
      </c>
      <c r="C4970" s="28" t="s">
        <v>4753</v>
      </c>
      <c r="D4970" s="26" t="s">
        <v>64</v>
      </c>
      <c r="E4970" s="31">
        <v>46236.0</v>
      </c>
      <c r="F4970" s="26" t="s">
        <v>46</v>
      </c>
      <c r="G4970" s="26">
        <v>9.0</v>
      </c>
      <c r="H4970" s="26" t="s">
        <v>2293</v>
      </c>
      <c r="I4970" s="26" t="s">
        <v>863</v>
      </c>
      <c r="J4970" s="25" t="str">
        <f t="shared" si="58"/>
        <v>Yes - see Previous F-Code</v>
      </c>
      <c r="K4970" s="25" t="str">
        <f t="shared" si="59"/>
        <v>DUPLICATE - CHECK</v>
      </c>
      <c r="L4970" s="25" t="str">
        <f t="shared" si="60"/>
        <v>F74337</v>
      </c>
      <c r="M4970" s="25"/>
      <c r="O4970" s="25"/>
    </row>
    <row r="4971" ht="15.75" customHeight="1">
      <c r="A4971" s="25" t="str">
        <f>IFERROR(__xludf.DUMMYFUNCTION("IF(B4971="""","""",RIGHT(REGEXREPLACE(B4971&amp;"""",""[^0-9]"",""""),9))"),"742614776")</f>
        <v>742614776</v>
      </c>
      <c r="B4971" s="52">
        <v>7.42614776E8</v>
      </c>
      <c r="C4971" s="28" t="s">
        <v>4924</v>
      </c>
      <c r="D4971" s="26" t="s">
        <v>56</v>
      </c>
      <c r="E4971" s="31">
        <v>46236.0</v>
      </c>
      <c r="F4971" s="26" t="s">
        <v>41</v>
      </c>
      <c r="G4971" s="26">
        <v>9.0</v>
      </c>
      <c r="I4971" s="26" t="s">
        <v>863</v>
      </c>
      <c r="J4971" s="25" t="str">
        <f t="shared" si="58"/>
        <v>No</v>
      </c>
      <c r="K4971" s="25" t="str">
        <f t="shared" si="59"/>
        <v/>
      </c>
      <c r="L4971" s="25" t="str">
        <f t="shared" si="60"/>
        <v/>
      </c>
      <c r="M4971" s="25"/>
      <c r="O4971" s="25"/>
    </row>
    <row r="4972" ht="15.75" customHeight="1">
      <c r="A4972" s="25" t="str">
        <f>IFERROR(__xludf.DUMMYFUNCTION("IF(B4972="""","""",RIGHT(REGEXREPLACE(B4972&amp;"""",""[^0-9]"",""""),9))"),"724442728")</f>
        <v>724442728</v>
      </c>
      <c r="B4972" s="52">
        <v>7.24442728E8</v>
      </c>
      <c r="C4972" s="28" t="s">
        <v>4925</v>
      </c>
      <c r="D4972" s="26" t="s">
        <v>49</v>
      </c>
      <c r="E4972" s="31">
        <v>46236.0</v>
      </c>
      <c r="F4972" s="26" t="s">
        <v>46</v>
      </c>
      <c r="G4972" s="26">
        <v>9.0</v>
      </c>
      <c r="I4972" s="26" t="s">
        <v>863</v>
      </c>
      <c r="J4972" s="25" t="str">
        <f t="shared" si="58"/>
        <v>No</v>
      </c>
      <c r="K4972" s="25" t="str">
        <f t="shared" si="59"/>
        <v/>
      </c>
      <c r="L4972" s="25" t="str">
        <f t="shared" si="60"/>
        <v/>
      </c>
      <c r="M4972" s="25"/>
      <c r="O4972" s="26" t="s">
        <v>51</v>
      </c>
    </row>
    <row r="4973" ht="15.75" customHeight="1">
      <c r="A4973" s="25" t="str">
        <f>IFERROR(__xludf.DUMMYFUNCTION("IF(B4973="""","""",RIGHT(REGEXREPLACE(B4973&amp;"""",""[^0-9]"",""""),9))"),"775027204")</f>
        <v>775027204</v>
      </c>
      <c r="B4973" s="52">
        <v>7.75027204E8</v>
      </c>
      <c r="C4973" s="28" t="s">
        <v>4926</v>
      </c>
      <c r="D4973" s="26" t="s">
        <v>64</v>
      </c>
      <c r="E4973" s="31">
        <v>46236.0</v>
      </c>
      <c r="F4973" s="26" t="s">
        <v>41</v>
      </c>
      <c r="I4973" s="26" t="s">
        <v>863</v>
      </c>
      <c r="J4973" s="25" t="str">
        <f t="shared" si="58"/>
        <v>No</v>
      </c>
      <c r="K4973" s="25" t="str">
        <f t="shared" si="59"/>
        <v/>
      </c>
      <c r="L4973" s="25" t="str">
        <f t="shared" si="60"/>
        <v/>
      </c>
      <c r="M4973" s="25"/>
      <c r="O4973" s="25"/>
    </row>
    <row r="4974" ht="15.75" customHeight="1">
      <c r="A4974" s="25" t="str">
        <f>IFERROR(__xludf.DUMMYFUNCTION("IF(B4974="""","""",RIGHT(REGEXREPLACE(B4974&amp;"""",""[^0-9]"",""""),9))"),"712009121")</f>
        <v>712009121</v>
      </c>
      <c r="B4974" s="52">
        <v>7.12009121E8</v>
      </c>
      <c r="C4974" s="28" t="s">
        <v>4927</v>
      </c>
      <c r="D4974" s="26" t="s">
        <v>56</v>
      </c>
      <c r="E4974" s="31">
        <v>46236.0</v>
      </c>
      <c r="F4974" s="26" t="s">
        <v>41</v>
      </c>
      <c r="I4974" s="26" t="s">
        <v>863</v>
      </c>
      <c r="J4974" s="25" t="str">
        <f t="shared" si="58"/>
        <v>No</v>
      </c>
      <c r="K4974" s="25" t="str">
        <f t="shared" si="59"/>
        <v/>
      </c>
      <c r="L4974" s="25" t="str">
        <f t="shared" si="60"/>
        <v/>
      </c>
      <c r="M4974" s="25"/>
      <c r="O4974" s="25"/>
    </row>
    <row r="4975" ht="15.75" customHeight="1">
      <c r="A4975" s="25" t="str">
        <f>IFERROR(__xludf.DUMMYFUNCTION("IF(B4975="""","""",RIGHT(REGEXREPLACE(B4975&amp;"""",""[^0-9]"",""""),9))"),"752135522")</f>
        <v>752135522</v>
      </c>
      <c r="B4975" s="52">
        <v>7.52135522E8</v>
      </c>
      <c r="C4975" s="28" t="s">
        <v>4928</v>
      </c>
      <c r="D4975" s="26" t="s">
        <v>64</v>
      </c>
      <c r="E4975" s="31">
        <v>46236.0</v>
      </c>
      <c r="F4975" s="26" t="s">
        <v>46</v>
      </c>
      <c r="G4975" s="26">
        <v>11.0</v>
      </c>
      <c r="I4975" s="26" t="s">
        <v>863</v>
      </c>
      <c r="J4975" s="25" t="str">
        <f t="shared" si="58"/>
        <v>No</v>
      </c>
      <c r="K4975" s="25" t="str">
        <f t="shared" si="59"/>
        <v/>
      </c>
      <c r="L4975" s="25" t="str">
        <f t="shared" si="60"/>
        <v/>
      </c>
      <c r="M4975" s="25"/>
      <c r="O4975" s="25"/>
    </row>
    <row r="4976" ht="15.75" customHeight="1">
      <c r="A4976" s="25" t="str">
        <f>IFERROR(__xludf.DUMMYFUNCTION("IF(B4976="""","""",RIGHT(REGEXREPLACE(B4976&amp;"""",""[^0-9]"",""""),9))"),"776175794")</f>
        <v>776175794</v>
      </c>
      <c r="B4976" s="52">
        <v>7.76175794E8</v>
      </c>
      <c r="C4976" s="28" t="s">
        <v>4929</v>
      </c>
      <c r="D4976" s="26" t="s">
        <v>56</v>
      </c>
      <c r="E4976" s="31">
        <v>46236.0</v>
      </c>
      <c r="F4976" s="26" t="s">
        <v>46</v>
      </c>
      <c r="G4976" s="26" t="s">
        <v>4647</v>
      </c>
      <c r="I4976" s="26" t="s">
        <v>863</v>
      </c>
      <c r="J4976" s="25" t="str">
        <f t="shared" si="58"/>
        <v>No</v>
      </c>
      <c r="K4976" s="25" t="str">
        <f t="shared" si="59"/>
        <v/>
      </c>
      <c r="L4976" s="25" t="str">
        <f t="shared" si="60"/>
        <v/>
      </c>
      <c r="M4976" s="25"/>
      <c r="O4976" s="25"/>
    </row>
    <row r="4977" ht="15.75" customHeight="1">
      <c r="A4977" s="25" t="str">
        <f>IFERROR(__xludf.DUMMYFUNCTION("IF(B4977="""","""",RIGHT(REGEXREPLACE(B4977&amp;"""",""[^0-9]"",""""),9))"),"772295349")</f>
        <v>772295349</v>
      </c>
      <c r="B4977" s="52">
        <v>7.72295349E8</v>
      </c>
      <c r="C4977" s="28" t="s">
        <v>4930</v>
      </c>
      <c r="D4977" s="26" t="s">
        <v>49</v>
      </c>
      <c r="E4977" s="31">
        <v>46236.0</v>
      </c>
      <c r="F4977" s="26" t="s">
        <v>205</v>
      </c>
      <c r="G4977" s="26">
        <v>9.0</v>
      </c>
      <c r="I4977" s="26" t="s">
        <v>863</v>
      </c>
      <c r="J4977" s="25" t="str">
        <f t="shared" si="58"/>
        <v>No</v>
      </c>
      <c r="K4977" s="25" t="str">
        <f t="shared" si="59"/>
        <v/>
      </c>
      <c r="L4977" s="25" t="str">
        <f t="shared" si="60"/>
        <v/>
      </c>
      <c r="M4977" s="25"/>
      <c r="O4977" s="25"/>
    </row>
    <row r="4978" ht="15.75" customHeight="1">
      <c r="A4978" s="25" t="str">
        <f>IFERROR(__xludf.DUMMYFUNCTION("IF(B4978="""","""",RIGHT(REGEXREPLACE(B4978&amp;"""",""[^0-9]"",""""),9))"),"779199950")</f>
        <v>779199950</v>
      </c>
      <c r="B4978" s="52">
        <v>7.7919995E8</v>
      </c>
      <c r="C4978" s="28" t="s">
        <v>4931</v>
      </c>
      <c r="D4978" s="26" t="s">
        <v>49</v>
      </c>
      <c r="E4978" s="31">
        <v>46236.0</v>
      </c>
      <c r="F4978" s="26" t="s">
        <v>46</v>
      </c>
      <c r="G4978" s="26">
        <v>9.0</v>
      </c>
      <c r="I4978" s="26" t="s">
        <v>863</v>
      </c>
      <c r="J4978" s="25" t="str">
        <f t="shared" si="58"/>
        <v>No</v>
      </c>
      <c r="K4978" s="25" t="str">
        <f t="shared" si="59"/>
        <v/>
      </c>
      <c r="L4978" s="25" t="str">
        <f t="shared" si="60"/>
        <v/>
      </c>
      <c r="M4978" s="25"/>
      <c r="O4978" s="25"/>
    </row>
    <row r="4979" ht="15.75" customHeight="1">
      <c r="A4979" s="25" t="str">
        <f>IFERROR(__xludf.DUMMYFUNCTION("IF(B4979="""","""",RIGHT(REGEXREPLACE(B4979&amp;"""",""[^0-9]"",""""),9))"),"714045745")</f>
        <v>714045745</v>
      </c>
      <c r="B4979" s="52">
        <v>7.14045745E8</v>
      </c>
      <c r="C4979" s="28" t="s">
        <v>4932</v>
      </c>
      <c r="D4979" s="26" t="s">
        <v>56</v>
      </c>
      <c r="E4979" s="31">
        <v>46236.0</v>
      </c>
      <c r="F4979" s="26" t="s">
        <v>659</v>
      </c>
      <c r="G4979" s="26">
        <v>9.0</v>
      </c>
      <c r="I4979" s="26" t="s">
        <v>863</v>
      </c>
      <c r="J4979" s="25" t="str">
        <f t="shared" si="58"/>
        <v>No</v>
      </c>
      <c r="K4979" s="25" t="str">
        <f t="shared" si="59"/>
        <v/>
      </c>
      <c r="L4979" s="25" t="str">
        <f t="shared" si="60"/>
        <v/>
      </c>
      <c r="M4979" s="25"/>
      <c r="O4979" s="25"/>
    </row>
    <row r="4980" ht="15.75" customHeight="1">
      <c r="A4980" s="25" t="str">
        <f>IFERROR(__xludf.DUMMYFUNCTION("IF(B4980="""","""",RIGHT(REGEXREPLACE(B4980&amp;"""",""[^0-9]"",""""),9))"),"761589153")</f>
        <v>761589153</v>
      </c>
      <c r="B4980" s="52">
        <v>7.61589153E8</v>
      </c>
      <c r="C4980" s="28" t="s">
        <v>4933</v>
      </c>
      <c r="D4980" s="26" t="s">
        <v>64</v>
      </c>
      <c r="E4980" s="31">
        <v>46236.0</v>
      </c>
      <c r="F4980" s="26" t="s">
        <v>659</v>
      </c>
      <c r="I4980" s="26" t="s">
        <v>863</v>
      </c>
      <c r="J4980" s="25" t="str">
        <f t="shared" si="58"/>
        <v>No</v>
      </c>
      <c r="K4980" s="25" t="str">
        <f t="shared" si="59"/>
        <v/>
      </c>
      <c r="L4980" s="25" t="str">
        <f t="shared" si="60"/>
        <v/>
      </c>
      <c r="M4980" s="25"/>
      <c r="O4980" s="26" t="s">
        <v>51</v>
      </c>
    </row>
    <row r="4981" ht="15.75" customHeight="1">
      <c r="A4981" s="25" t="str">
        <f>IFERROR(__xludf.DUMMYFUNCTION("IF(B4981="""","""",RIGHT(REGEXREPLACE(B4981&amp;"""",""[^0-9]"",""""),9))"),"787096071")</f>
        <v>787096071</v>
      </c>
      <c r="B4981" s="52">
        <v>7.87096071E8</v>
      </c>
      <c r="C4981" s="28" t="s">
        <v>4934</v>
      </c>
      <c r="D4981" s="26" t="s">
        <v>45</v>
      </c>
      <c r="E4981" s="31">
        <v>46236.0</v>
      </c>
      <c r="F4981" s="26" t="s">
        <v>46</v>
      </c>
      <c r="G4981" s="26">
        <v>9.0</v>
      </c>
      <c r="I4981" s="26" t="s">
        <v>863</v>
      </c>
      <c r="J4981" s="25" t="str">
        <f t="shared" si="58"/>
        <v>No</v>
      </c>
      <c r="K4981" s="25" t="str">
        <f t="shared" si="59"/>
        <v/>
      </c>
      <c r="L4981" s="25" t="str">
        <f t="shared" si="60"/>
        <v/>
      </c>
      <c r="M4981" s="25"/>
      <c r="O4981" s="25"/>
    </row>
    <row r="4982" ht="15.75" customHeight="1">
      <c r="A4982" s="25" t="str">
        <f>IFERROR(__xludf.DUMMYFUNCTION("IF(B4982="""","""",RIGHT(REGEXREPLACE(B4982&amp;"""",""[^0-9]"",""""),9))"),"761667164")</f>
        <v>761667164</v>
      </c>
      <c r="B4982" s="52">
        <v>7.61667164E8</v>
      </c>
      <c r="C4982" s="28" t="s">
        <v>4935</v>
      </c>
      <c r="D4982" s="26" t="s">
        <v>64</v>
      </c>
      <c r="E4982" s="31">
        <v>46236.0</v>
      </c>
      <c r="F4982" s="26" t="s">
        <v>46</v>
      </c>
      <c r="G4982" s="26">
        <v>9.0</v>
      </c>
      <c r="I4982" s="26" t="s">
        <v>863</v>
      </c>
      <c r="J4982" s="25" t="str">
        <f t="shared" si="58"/>
        <v>No</v>
      </c>
      <c r="K4982" s="25" t="str">
        <f t="shared" si="59"/>
        <v/>
      </c>
      <c r="L4982" s="25" t="str">
        <f t="shared" si="60"/>
        <v/>
      </c>
      <c r="M4982" s="25"/>
      <c r="O4982" s="25"/>
    </row>
    <row r="4983" ht="15.75" customHeight="1">
      <c r="A4983" s="25" t="str">
        <f>IFERROR(__xludf.DUMMYFUNCTION("IF(B4983="""","""",RIGHT(REGEXREPLACE(B4983&amp;"""",""[^0-9]"",""""),9))"),"761638299")</f>
        <v>761638299</v>
      </c>
      <c r="B4983" s="52">
        <v>7.61638299E8</v>
      </c>
      <c r="C4983" s="28" t="s">
        <v>4936</v>
      </c>
      <c r="D4983" s="26" t="s">
        <v>49</v>
      </c>
      <c r="E4983" s="31">
        <v>46236.0</v>
      </c>
      <c r="F4983" s="26" t="s">
        <v>659</v>
      </c>
      <c r="G4983" s="26">
        <v>9.0</v>
      </c>
      <c r="I4983" s="26" t="s">
        <v>863</v>
      </c>
      <c r="J4983" s="25" t="str">
        <f t="shared" si="58"/>
        <v>No</v>
      </c>
      <c r="K4983" s="25" t="str">
        <f t="shared" si="59"/>
        <v/>
      </c>
      <c r="L4983" s="25" t="str">
        <f t="shared" si="60"/>
        <v/>
      </c>
      <c r="M4983" s="25"/>
      <c r="O4983" s="25"/>
    </row>
    <row r="4984" ht="15.75" customHeight="1">
      <c r="A4984" s="25" t="str">
        <f>IFERROR(__xludf.DUMMYFUNCTION("IF(B4984="""","""",RIGHT(REGEXREPLACE(B4984&amp;"""",""[^0-9]"",""""),9))"),"750462259")</f>
        <v>750462259</v>
      </c>
      <c r="B4984" s="52">
        <v>7.50462259E8</v>
      </c>
      <c r="C4984" s="28" t="s">
        <v>4937</v>
      </c>
      <c r="D4984" s="26" t="s">
        <v>45</v>
      </c>
      <c r="E4984" s="31">
        <v>46236.0</v>
      </c>
      <c r="F4984" s="26" t="s">
        <v>46</v>
      </c>
      <c r="G4984" s="26">
        <v>11.0</v>
      </c>
      <c r="H4984" s="26" t="s">
        <v>3656</v>
      </c>
      <c r="I4984" s="26" t="s">
        <v>863</v>
      </c>
      <c r="J4984" s="25" t="str">
        <f t="shared" si="58"/>
        <v>No</v>
      </c>
      <c r="K4984" s="25" t="str">
        <f t="shared" si="59"/>
        <v/>
      </c>
      <c r="L4984" s="25" t="str">
        <f t="shared" si="60"/>
        <v/>
      </c>
      <c r="M4984" s="25"/>
      <c r="O4984" s="25"/>
    </row>
    <row r="4985" ht="15.75" customHeight="1">
      <c r="A4985" s="25" t="str">
        <f>IFERROR(__xludf.DUMMYFUNCTION("IF(B4985="""","""",RIGHT(REGEXREPLACE(B4985&amp;"""",""[^0-9]"",""""),9))"),"723101067")</f>
        <v>723101067</v>
      </c>
      <c r="B4985" s="52">
        <v>7.23101067E8</v>
      </c>
      <c r="C4985" s="28" t="s">
        <v>4938</v>
      </c>
      <c r="D4985" s="26" t="s">
        <v>64</v>
      </c>
      <c r="E4985" s="31">
        <v>46236.0</v>
      </c>
      <c r="F4985" s="26" t="s">
        <v>46</v>
      </c>
      <c r="G4985" s="26">
        <v>10.0</v>
      </c>
      <c r="I4985" s="26" t="s">
        <v>863</v>
      </c>
      <c r="J4985" s="25" t="str">
        <f t="shared" si="58"/>
        <v>No</v>
      </c>
      <c r="K4985" s="25" t="str">
        <f t="shared" si="59"/>
        <v/>
      </c>
      <c r="L4985" s="25" t="str">
        <f t="shared" si="60"/>
        <v/>
      </c>
      <c r="M4985" s="25"/>
      <c r="O4985" s="25"/>
    </row>
    <row r="4986" ht="15.75" customHeight="1">
      <c r="A4986" s="25" t="str">
        <f>IFERROR(__xludf.DUMMYFUNCTION("IF(B4986="""","""",RIGHT(REGEXREPLACE(B4986&amp;"""",""[^0-9]"",""""),9))"),"771919657")</f>
        <v>771919657</v>
      </c>
      <c r="B4986" s="52">
        <v>7.71919657E8</v>
      </c>
      <c r="C4986" s="28" t="s">
        <v>4939</v>
      </c>
      <c r="D4986" s="26" t="s">
        <v>49</v>
      </c>
      <c r="E4986" s="31">
        <v>46236.0</v>
      </c>
      <c r="F4986" s="25"/>
      <c r="G4986" s="25"/>
      <c r="H4986" s="26" t="s">
        <v>4940</v>
      </c>
      <c r="I4986" s="26" t="s">
        <v>863</v>
      </c>
      <c r="J4986" s="25" t="str">
        <f t="shared" si="58"/>
        <v>No</v>
      </c>
      <c r="K4986" s="25" t="str">
        <f t="shared" si="59"/>
        <v/>
      </c>
      <c r="L4986" s="25" t="str">
        <f t="shared" si="60"/>
        <v/>
      </c>
      <c r="M4986" s="25"/>
      <c r="N4986" s="25"/>
      <c r="O4986" s="25"/>
      <c r="P4986" s="25"/>
    </row>
    <row r="4987" ht="15.75" customHeight="1">
      <c r="A4987" s="25" t="str">
        <f>IFERROR(__xludf.DUMMYFUNCTION("IF(B4987="""","""",RIGHT(REGEXREPLACE(B4987&amp;"""",""[^0-9]"",""""),9))"),"775442134")</f>
        <v>775442134</v>
      </c>
      <c r="B4987" s="52">
        <v>7.75442134E8</v>
      </c>
      <c r="C4987" s="28" t="s">
        <v>4941</v>
      </c>
      <c r="D4987" s="26" t="s">
        <v>56</v>
      </c>
      <c r="E4987" s="31">
        <v>46236.0</v>
      </c>
      <c r="F4987" s="26" t="s">
        <v>205</v>
      </c>
      <c r="I4987" s="26" t="s">
        <v>863</v>
      </c>
      <c r="J4987" s="25" t="str">
        <f t="shared" si="58"/>
        <v>No</v>
      </c>
      <c r="K4987" s="25" t="str">
        <f t="shared" si="59"/>
        <v/>
      </c>
      <c r="L4987" s="25" t="str">
        <f t="shared" si="60"/>
        <v/>
      </c>
      <c r="M4987" s="25"/>
      <c r="O4987" s="25"/>
    </row>
    <row r="4988" ht="15.75" customHeight="1">
      <c r="A4988" s="25" t="str">
        <f>IFERROR(__xludf.DUMMYFUNCTION("IF(B4988="""","""",RIGHT(REGEXREPLACE(B4988&amp;"""",""[^0-9]"",""""),9))"),"755477698")</f>
        <v>755477698</v>
      </c>
      <c r="B4988" s="52">
        <v>7.55477698E8</v>
      </c>
      <c r="C4988" s="28" t="s">
        <v>4942</v>
      </c>
      <c r="D4988" s="26" t="s">
        <v>45</v>
      </c>
      <c r="E4988" s="31">
        <v>46236.0</v>
      </c>
      <c r="F4988" s="26" t="s">
        <v>41</v>
      </c>
      <c r="I4988" s="26" t="s">
        <v>863</v>
      </c>
      <c r="J4988" s="25" t="str">
        <f t="shared" si="58"/>
        <v>No</v>
      </c>
      <c r="K4988" s="25" t="str">
        <f t="shared" si="59"/>
        <v/>
      </c>
      <c r="L4988" s="25" t="str">
        <f t="shared" si="60"/>
        <v/>
      </c>
      <c r="M4988" s="25"/>
      <c r="O4988" s="25"/>
    </row>
    <row r="4989" ht="15.75" customHeight="1">
      <c r="A4989" s="25" t="str">
        <f>IFERROR(__xludf.DUMMYFUNCTION("IF(B4989="""","""",RIGHT(REGEXREPLACE(B4989&amp;"""",""[^0-9]"",""""),9))"),"707636364")</f>
        <v>707636364</v>
      </c>
      <c r="B4989" s="52">
        <v>7.07636364E8</v>
      </c>
      <c r="C4989" s="28" t="s">
        <v>4777</v>
      </c>
      <c r="D4989" s="26" t="s">
        <v>56</v>
      </c>
      <c r="E4989" s="31">
        <v>46236.0</v>
      </c>
      <c r="F4989" s="26" t="s">
        <v>125</v>
      </c>
      <c r="G4989" s="26">
        <v>9.0</v>
      </c>
      <c r="I4989" s="26" t="s">
        <v>863</v>
      </c>
      <c r="J4989" s="25" t="str">
        <f t="shared" si="58"/>
        <v>Yes - see Previous F-Code</v>
      </c>
      <c r="K4989" s="25" t="str">
        <f t="shared" si="59"/>
        <v>DUPLICATE - CHECK</v>
      </c>
      <c r="L4989" s="25" t="str">
        <f t="shared" si="60"/>
        <v>F74360</v>
      </c>
      <c r="M4989" s="25"/>
      <c r="O4989" s="25"/>
    </row>
    <row r="4990" ht="15.75" customHeight="1">
      <c r="A4990" s="25" t="str">
        <f>IFERROR(__xludf.DUMMYFUNCTION("IF(B4990="""","""",RIGHT(REGEXREPLACE(B4990&amp;"""",""[^0-9]"",""""),9))"),"742387212")</f>
        <v>742387212</v>
      </c>
      <c r="B4990" s="52">
        <v>7.42387212E8</v>
      </c>
      <c r="C4990" s="28" t="s">
        <v>4943</v>
      </c>
      <c r="D4990" s="26" t="s">
        <v>49</v>
      </c>
      <c r="E4990" s="31">
        <v>46236.0</v>
      </c>
      <c r="F4990" s="26" t="s">
        <v>205</v>
      </c>
      <c r="G4990" s="26">
        <v>11.0</v>
      </c>
      <c r="I4990" s="26" t="s">
        <v>863</v>
      </c>
      <c r="J4990" s="25" t="str">
        <f t="shared" si="58"/>
        <v>No</v>
      </c>
      <c r="K4990" s="25" t="str">
        <f t="shared" si="59"/>
        <v/>
      </c>
      <c r="L4990" s="25" t="str">
        <f t="shared" si="60"/>
        <v/>
      </c>
      <c r="M4990" s="25"/>
      <c r="O4990" s="25"/>
    </row>
    <row r="4991" ht="15.75" customHeight="1">
      <c r="A4991" s="25" t="str">
        <f>IFERROR(__xludf.DUMMYFUNCTION("IF(B4991="""","""",RIGHT(REGEXREPLACE(B4991&amp;"""",""[^0-9]"",""""),9))"),"715673221")</f>
        <v>715673221</v>
      </c>
      <c r="B4991" s="52">
        <v>7.15673221E8</v>
      </c>
      <c r="C4991" s="28" t="s">
        <v>4944</v>
      </c>
      <c r="D4991" s="26" t="s">
        <v>64</v>
      </c>
      <c r="E4991" s="31">
        <v>46236.0</v>
      </c>
      <c r="F4991" s="26" t="s">
        <v>46</v>
      </c>
      <c r="G4991" s="26">
        <v>9.0</v>
      </c>
      <c r="I4991" s="26" t="s">
        <v>863</v>
      </c>
      <c r="J4991" s="25" t="str">
        <f t="shared" si="58"/>
        <v>No</v>
      </c>
      <c r="K4991" s="25" t="str">
        <f t="shared" si="59"/>
        <v/>
      </c>
      <c r="L4991" s="25" t="str">
        <f t="shared" si="60"/>
        <v/>
      </c>
      <c r="M4991" s="25"/>
      <c r="O4991" s="25"/>
    </row>
    <row r="4992" ht="15.75" customHeight="1">
      <c r="A4992" s="25" t="str">
        <f>IFERROR(__xludf.DUMMYFUNCTION("IF(B4992="""","""",RIGHT(REGEXREPLACE(B4992&amp;"""",""[^0-9]"",""""),9))"),"724434177")</f>
        <v>724434177</v>
      </c>
      <c r="B4992" s="52">
        <v>7.24434177E8</v>
      </c>
      <c r="C4992" s="28" t="s">
        <v>4945</v>
      </c>
      <c r="D4992" s="26" t="s">
        <v>45</v>
      </c>
      <c r="E4992" s="31">
        <v>46236.0</v>
      </c>
      <c r="F4992" s="26" t="s">
        <v>41</v>
      </c>
      <c r="G4992" s="26">
        <v>9.0</v>
      </c>
      <c r="I4992" s="26" t="s">
        <v>863</v>
      </c>
      <c r="J4992" s="25" t="str">
        <f t="shared" si="58"/>
        <v>No</v>
      </c>
      <c r="K4992" s="25" t="str">
        <f t="shared" si="59"/>
        <v/>
      </c>
      <c r="L4992" s="25" t="str">
        <f t="shared" si="60"/>
        <v/>
      </c>
      <c r="M4992" s="25"/>
      <c r="O4992" s="25"/>
    </row>
    <row r="4993" ht="15.75" customHeight="1">
      <c r="A4993" s="25" t="str">
        <f>IFERROR(__xludf.DUMMYFUNCTION("IF(B4993="""","""",RIGHT(REGEXREPLACE(B4993&amp;"""",""[^0-9]"",""""),9))"),"762411980")</f>
        <v>762411980</v>
      </c>
      <c r="B4993" s="52">
        <v>7.6241198E8</v>
      </c>
      <c r="C4993" s="28" t="s">
        <v>4946</v>
      </c>
      <c r="D4993" s="26" t="s">
        <v>56</v>
      </c>
      <c r="E4993" s="31">
        <v>46236.0</v>
      </c>
      <c r="F4993" s="26" t="s">
        <v>41</v>
      </c>
      <c r="I4993" s="26" t="s">
        <v>863</v>
      </c>
      <c r="J4993" s="25" t="str">
        <f t="shared" si="58"/>
        <v>No</v>
      </c>
      <c r="K4993" s="25" t="str">
        <f t="shared" si="59"/>
        <v/>
      </c>
      <c r="L4993" s="25" t="str">
        <f t="shared" si="60"/>
        <v/>
      </c>
      <c r="M4993" s="25"/>
      <c r="O4993" s="25"/>
    </row>
    <row r="4994" ht="15.75" customHeight="1">
      <c r="A4994" s="25" t="str">
        <f>IFERROR(__xludf.DUMMYFUNCTION("IF(B4994="""","""",RIGHT(REGEXREPLACE(B4994&amp;"""",""[^0-9]"",""""),9))"),"741544637")</f>
        <v>741544637</v>
      </c>
      <c r="B4994" s="52">
        <v>7.41544637E8</v>
      </c>
      <c r="C4994" s="28" t="s">
        <v>4947</v>
      </c>
      <c r="D4994" s="26" t="s">
        <v>49</v>
      </c>
      <c r="E4994" s="31">
        <v>46236.0</v>
      </c>
      <c r="F4994" s="26" t="s">
        <v>41</v>
      </c>
      <c r="G4994" s="26">
        <v>9.0</v>
      </c>
      <c r="I4994" s="26" t="s">
        <v>863</v>
      </c>
      <c r="J4994" s="25" t="str">
        <f t="shared" si="58"/>
        <v>No</v>
      </c>
      <c r="K4994" s="25" t="str">
        <f t="shared" si="59"/>
        <v/>
      </c>
      <c r="L4994" s="25" t="str">
        <f t="shared" si="60"/>
        <v/>
      </c>
      <c r="M4994" s="25"/>
      <c r="O4994" s="25"/>
    </row>
    <row r="4995" ht="15.75" customHeight="1">
      <c r="A4995" s="25" t="str">
        <f>IFERROR(__xludf.DUMMYFUNCTION("IF(B4995="""","""",RIGHT(REGEXREPLACE(B4995&amp;"""",""[^0-9]"",""""),9))"),"713265246")</f>
        <v>713265246</v>
      </c>
      <c r="B4995" s="52">
        <v>7.13265246E8</v>
      </c>
      <c r="C4995" s="28" t="s">
        <v>4948</v>
      </c>
      <c r="D4995" s="26" t="s">
        <v>45</v>
      </c>
      <c r="E4995" s="31">
        <v>46236.0</v>
      </c>
      <c r="F4995" s="26" t="s">
        <v>125</v>
      </c>
      <c r="G4995" s="26">
        <v>9.0</v>
      </c>
      <c r="I4995" s="26" t="s">
        <v>863</v>
      </c>
      <c r="J4995" s="25" t="str">
        <f t="shared" si="58"/>
        <v>No</v>
      </c>
      <c r="K4995" s="25" t="str">
        <f t="shared" si="59"/>
        <v/>
      </c>
      <c r="L4995" s="25" t="str">
        <f t="shared" si="60"/>
        <v/>
      </c>
      <c r="M4995" s="25"/>
      <c r="O4995" s="26" t="s">
        <v>51</v>
      </c>
    </row>
    <row r="4996" ht="15.75" customHeight="1">
      <c r="A4996" s="25" t="str">
        <f>IFERROR(__xludf.DUMMYFUNCTION("IF(B4996="""","""",RIGHT(REGEXREPLACE(B4996&amp;"""",""[^0-9]"",""""),9))"),"768423832")</f>
        <v>768423832</v>
      </c>
      <c r="B4996" s="52">
        <v>7.68423832E8</v>
      </c>
      <c r="C4996" s="28" t="s">
        <v>4949</v>
      </c>
      <c r="D4996" s="26" t="s">
        <v>56</v>
      </c>
      <c r="E4996" s="31">
        <v>46236.0</v>
      </c>
      <c r="F4996" s="26" t="s">
        <v>205</v>
      </c>
      <c r="G4996" s="26">
        <v>9.0</v>
      </c>
      <c r="I4996" s="26" t="s">
        <v>863</v>
      </c>
      <c r="J4996" s="25" t="str">
        <f t="shared" si="58"/>
        <v>No</v>
      </c>
      <c r="K4996" s="25" t="str">
        <f t="shared" si="59"/>
        <v/>
      </c>
      <c r="L4996" s="25" t="str">
        <f t="shared" si="60"/>
        <v/>
      </c>
      <c r="M4996" s="25"/>
      <c r="O4996" s="25"/>
    </row>
    <row r="4997" ht="15.75" customHeight="1">
      <c r="A4997" s="25" t="str">
        <f>IFERROR(__xludf.DUMMYFUNCTION("IF(B4997="""","""",RIGHT(REGEXREPLACE(B4997&amp;"""",""[^0-9]"",""""),9))"),"761682536")</f>
        <v>761682536</v>
      </c>
      <c r="B4997" s="52">
        <v>7.61682536E8</v>
      </c>
      <c r="C4997" s="28" t="s">
        <v>4950</v>
      </c>
      <c r="D4997" s="26" t="s">
        <v>64</v>
      </c>
      <c r="E4997" s="31">
        <v>46236.0</v>
      </c>
      <c r="F4997" s="26" t="s">
        <v>205</v>
      </c>
      <c r="I4997" s="26" t="s">
        <v>863</v>
      </c>
      <c r="J4997" s="25" t="str">
        <f t="shared" si="58"/>
        <v>No</v>
      </c>
      <c r="K4997" s="25" t="str">
        <f t="shared" si="59"/>
        <v/>
      </c>
      <c r="L4997" s="25" t="str">
        <f t="shared" si="60"/>
        <v/>
      </c>
      <c r="M4997" s="25"/>
      <c r="O4997" s="25"/>
    </row>
    <row r="4998" ht="15.75" customHeight="1">
      <c r="A4998" s="25" t="str">
        <f>IFERROR(__xludf.DUMMYFUNCTION("IF(B4998="""","""",RIGHT(REGEXREPLACE(B4998&amp;"""",""[^0-9]"",""""),9))"),"764347588")</f>
        <v>764347588</v>
      </c>
      <c r="B4998" s="52">
        <v>7.64347588E8</v>
      </c>
      <c r="C4998" s="28" t="s">
        <v>4951</v>
      </c>
      <c r="D4998" s="26" t="s">
        <v>64</v>
      </c>
      <c r="E4998" s="31">
        <v>46236.0</v>
      </c>
      <c r="F4998" s="26" t="s">
        <v>46</v>
      </c>
      <c r="G4998" s="26">
        <v>9.0</v>
      </c>
      <c r="I4998" s="26" t="s">
        <v>863</v>
      </c>
      <c r="J4998" s="25" t="str">
        <f t="shared" si="58"/>
        <v>No</v>
      </c>
      <c r="K4998" s="25" t="str">
        <f t="shared" si="59"/>
        <v/>
      </c>
      <c r="L4998" s="25" t="str">
        <f t="shared" si="60"/>
        <v/>
      </c>
      <c r="M4998" s="25"/>
      <c r="O4998" s="25"/>
    </row>
    <row r="4999" ht="15.75" customHeight="1">
      <c r="A4999" s="25" t="str">
        <f>IFERROR(__xludf.DUMMYFUNCTION("IF(B4999="""","""",RIGHT(REGEXREPLACE(B4999&amp;"""",""[^0-9]"",""""),9))"),"767848964")</f>
        <v>767848964</v>
      </c>
      <c r="B4999" s="52">
        <v>7.67848964E8</v>
      </c>
      <c r="C4999" s="28" t="s">
        <v>4952</v>
      </c>
      <c r="D4999" s="26" t="s">
        <v>56</v>
      </c>
      <c r="E4999" s="31">
        <v>46236.0</v>
      </c>
      <c r="F4999" s="26" t="s">
        <v>46</v>
      </c>
      <c r="G4999" s="26">
        <v>9.0</v>
      </c>
      <c r="I4999" s="26" t="s">
        <v>863</v>
      </c>
      <c r="J4999" s="25" t="str">
        <f t="shared" si="58"/>
        <v>No</v>
      </c>
      <c r="K4999" s="25" t="str">
        <f t="shared" si="59"/>
        <v/>
      </c>
      <c r="L4999" s="25" t="str">
        <f t="shared" si="60"/>
        <v/>
      </c>
      <c r="M4999" s="25"/>
      <c r="O4999" s="25"/>
    </row>
    <row r="5000" ht="15.75" customHeight="1">
      <c r="A5000" s="25" t="str">
        <f>IFERROR(__xludf.DUMMYFUNCTION("IF(B5000="""","""",RIGHT(REGEXREPLACE(B5000&amp;"""",""[^0-9]"",""""),9))"),"761625280")</f>
        <v>761625280</v>
      </c>
      <c r="B5000" s="52">
        <v>7.6162528E8</v>
      </c>
      <c r="C5000" s="28" t="s">
        <v>4953</v>
      </c>
      <c r="D5000" s="26" t="s">
        <v>49</v>
      </c>
      <c r="E5000" s="31">
        <v>46236.0</v>
      </c>
      <c r="F5000" s="26" t="s">
        <v>41</v>
      </c>
      <c r="G5000" s="26">
        <v>9.0</v>
      </c>
      <c r="I5000" s="26" t="s">
        <v>863</v>
      </c>
      <c r="J5000" s="25" t="str">
        <f t="shared" si="58"/>
        <v>No</v>
      </c>
      <c r="K5000" s="25" t="str">
        <f t="shared" si="59"/>
        <v/>
      </c>
      <c r="L5000" s="25" t="str">
        <f t="shared" si="60"/>
        <v/>
      </c>
      <c r="M5000" s="25"/>
      <c r="O5000" s="25"/>
    </row>
    <row r="5001" ht="15.75" customHeight="1">
      <c r="A5001" s="25" t="str">
        <f>IFERROR(__xludf.DUMMYFUNCTION("IF(B5001="""","""",RIGHT(REGEXREPLACE(B5001&amp;"""",""[^0-9]"",""""),9))"),"742838227")</f>
        <v>742838227</v>
      </c>
      <c r="B5001" s="52">
        <v>7.42838227E8</v>
      </c>
      <c r="C5001" s="28" t="s">
        <v>1016</v>
      </c>
      <c r="D5001" s="26" t="s">
        <v>45</v>
      </c>
      <c r="E5001" s="31">
        <v>46236.0</v>
      </c>
      <c r="F5001" s="26" t="s">
        <v>41</v>
      </c>
      <c r="G5001" s="26">
        <v>11.0</v>
      </c>
      <c r="I5001" s="26" t="s">
        <v>863</v>
      </c>
      <c r="J5001" s="25" t="str">
        <f t="shared" si="58"/>
        <v>Yes - see Previous F-Code</v>
      </c>
      <c r="K5001" s="25" t="str">
        <f t="shared" si="59"/>
        <v/>
      </c>
      <c r="L5001" s="25" t="str">
        <f t="shared" si="60"/>
        <v>F70763</v>
      </c>
      <c r="M5001" s="25"/>
      <c r="O5001" s="25"/>
    </row>
    <row r="5002" ht="15.75" customHeight="1">
      <c r="A5002" s="25" t="str">
        <f>IFERROR(__xludf.DUMMYFUNCTION("IF(B5002="""","""",RIGHT(REGEXREPLACE(B5002&amp;"""",""[^0-9]"",""""),9))"),"715461388")</f>
        <v>715461388</v>
      </c>
      <c r="B5002" s="52">
        <v>7.15461388E8</v>
      </c>
      <c r="C5002" s="28" t="s">
        <v>4954</v>
      </c>
      <c r="D5002" s="26" t="s">
        <v>56</v>
      </c>
      <c r="E5002" s="31">
        <v>46236.0</v>
      </c>
      <c r="F5002" s="26" t="s">
        <v>46</v>
      </c>
      <c r="G5002" s="26">
        <v>9.0</v>
      </c>
      <c r="I5002" s="26" t="s">
        <v>863</v>
      </c>
      <c r="J5002" s="25" t="str">
        <f t="shared" si="58"/>
        <v>No</v>
      </c>
      <c r="K5002" s="25" t="str">
        <f t="shared" si="59"/>
        <v/>
      </c>
      <c r="L5002" s="25" t="str">
        <f t="shared" si="60"/>
        <v/>
      </c>
      <c r="M5002" s="25"/>
      <c r="O5002" s="25"/>
    </row>
    <row r="5003" ht="15.75" customHeight="1">
      <c r="A5003" s="25" t="str">
        <f>IFERROR(__xludf.DUMMYFUNCTION("IF(B5003="""","""",RIGHT(REGEXREPLACE(B5003&amp;"""",""[^0-9]"",""""),9))"),"763888837")</f>
        <v>763888837</v>
      </c>
      <c r="B5003" s="52">
        <v>7.63888837E8</v>
      </c>
      <c r="C5003" s="28" t="s">
        <v>4955</v>
      </c>
      <c r="D5003" s="26" t="s">
        <v>49</v>
      </c>
      <c r="E5003" s="31">
        <v>46236.0</v>
      </c>
      <c r="F5003" s="26" t="s">
        <v>46</v>
      </c>
      <c r="G5003" s="26">
        <v>9.0</v>
      </c>
      <c r="I5003" s="26" t="s">
        <v>863</v>
      </c>
      <c r="J5003" s="25" t="str">
        <f t="shared" si="58"/>
        <v>No</v>
      </c>
      <c r="K5003" s="25" t="str">
        <f t="shared" si="59"/>
        <v/>
      </c>
      <c r="L5003" s="25" t="str">
        <f t="shared" si="60"/>
        <v/>
      </c>
      <c r="M5003" s="25"/>
      <c r="O5003" s="25"/>
    </row>
    <row r="5004" ht="15.75" customHeight="1">
      <c r="A5004" s="25" t="str">
        <f>IFERROR(__xludf.DUMMYFUNCTION("IF(B5004="""","""",RIGHT(REGEXREPLACE(B5004&amp;"""",""[^0-9]"",""""),9))"),"772173608")</f>
        <v>772173608</v>
      </c>
      <c r="B5004" s="52">
        <v>7.72173608E8</v>
      </c>
      <c r="C5004" s="28" t="s">
        <v>4956</v>
      </c>
      <c r="D5004" s="26" t="s">
        <v>64</v>
      </c>
      <c r="E5004" s="31">
        <v>46236.0</v>
      </c>
      <c r="F5004" s="26" t="s">
        <v>41</v>
      </c>
      <c r="I5004" s="26" t="s">
        <v>863</v>
      </c>
      <c r="J5004" s="25" t="str">
        <f t="shared" si="58"/>
        <v>No</v>
      </c>
      <c r="K5004" s="25" t="str">
        <f t="shared" si="59"/>
        <v/>
      </c>
      <c r="L5004" s="25" t="str">
        <f t="shared" si="60"/>
        <v/>
      </c>
      <c r="M5004" s="25"/>
      <c r="O5004" s="25"/>
    </row>
    <row r="5005" ht="15.75" customHeight="1">
      <c r="A5005" s="25" t="str">
        <f>IFERROR(__xludf.DUMMYFUNCTION("IF(B5005="""","""",RIGHT(REGEXREPLACE(B5005&amp;"""",""[^0-9]"",""""),9))"),"765839195")</f>
        <v>765839195</v>
      </c>
      <c r="B5005" s="52">
        <v>7.65839195E8</v>
      </c>
      <c r="C5005" s="28" t="s">
        <v>4957</v>
      </c>
      <c r="D5005" s="26" t="s">
        <v>56</v>
      </c>
      <c r="E5005" s="31">
        <v>46236.0</v>
      </c>
      <c r="F5005" s="25"/>
      <c r="G5005" s="26">
        <v>10.0</v>
      </c>
      <c r="H5005" s="25"/>
      <c r="I5005" s="26" t="s">
        <v>863</v>
      </c>
      <c r="J5005" s="25" t="str">
        <f t="shared" si="58"/>
        <v>No</v>
      </c>
      <c r="K5005" s="25" t="str">
        <f t="shared" si="59"/>
        <v/>
      </c>
      <c r="L5005" s="25" t="str">
        <f t="shared" si="60"/>
        <v/>
      </c>
      <c r="M5005" s="25"/>
      <c r="N5005" s="25"/>
      <c r="O5005" s="25"/>
      <c r="P5005" s="25"/>
    </row>
    <row r="5006" ht="15.75" customHeight="1">
      <c r="A5006" s="25" t="str">
        <f>IFERROR(__xludf.DUMMYFUNCTION("IF(B5006="""","""",RIGHT(REGEXREPLACE(B5006&amp;"""",""[^0-9]"",""""),9))"),"760095485")</f>
        <v>760095485</v>
      </c>
      <c r="B5006" s="52">
        <v>4.760095485E9</v>
      </c>
      <c r="C5006" s="28" t="s">
        <v>4958</v>
      </c>
      <c r="D5006" s="26" t="s">
        <v>64</v>
      </c>
      <c r="E5006" s="31">
        <v>46236.0</v>
      </c>
      <c r="F5006" s="26" t="s">
        <v>46</v>
      </c>
      <c r="G5006" s="26">
        <v>9.0</v>
      </c>
      <c r="I5006" s="26" t="s">
        <v>863</v>
      </c>
      <c r="J5006" s="25" t="str">
        <f t="shared" si="58"/>
        <v>No</v>
      </c>
      <c r="K5006" s="25" t="str">
        <f t="shared" si="59"/>
        <v/>
      </c>
      <c r="L5006" s="25" t="str">
        <f t="shared" si="60"/>
        <v/>
      </c>
      <c r="M5006" s="25"/>
      <c r="O5006" s="26" t="s">
        <v>51</v>
      </c>
    </row>
    <row r="5007" ht="15.75" customHeight="1">
      <c r="A5007" s="25" t="str">
        <f>IFERROR(__xludf.DUMMYFUNCTION("IF(B5007="""","""",RIGHT(REGEXREPLACE(B5007&amp;"""",""[^0-9]"",""""),9))"),"760948182")</f>
        <v>760948182</v>
      </c>
      <c r="B5007" s="52">
        <v>7.60948182E8</v>
      </c>
      <c r="C5007" s="28" t="s">
        <v>4959</v>
      </c>
      <c r="D5007" s="26" t="s">
        <v>56</v>
      </c>
      <c r="E5007" s="31">
        <v>46236.0</v>
      </c>
      <c r="F5007" s="26" t="s">
        <v>46</v>
      </c>
      <c r="G5007" s="26">
        <v>10.0</v>
      </c>
      <c r="I5007" s="26" t="s">
        <v>863</v>
      </c>
      <c r="J5007" s="25" t="str">
        <f t="shared" si="58"/>
        <v>No</v>
      </c>
      <c r="K5007" s="25" t="str">
        <f t="shared" si="59"/>
        <v/>
      </c>
      <c r="L5007" s="25" t="str">
        <f t="shared" si="60"/>
        <v/>
      </c>
      <c r="M5007" s="25"/>
      <c r="O5007" s="25"/>
    </row>
    <row r="5008" ht="15.75" customHeight="1">
      <c r="A5008" s="25" t="str">
        <f>IFERROR(__xludf.DUMMYFUNCTION("IF(B5008="""","""",RIGHT(REGEXREPLACE(B5008&amp;"""",""[^0-9]"",""""),9))"),"772463585")</f>
        <v>772463585</v>
      </c>
      <c r="B5008" s="52">
        <v>7.72463585E8</v>
      </c>
      <c r="C5008" s="28" t="s">
        <v>4960</v>
      </c>
      <c r="D5008" s="26" t="s">
        <v>49</v>
      </c>
      <c r="E5008" s="31">
        <v>46236.0</v>
      </c>
      <c r="F5008" s="26" t="s">
        <v>46</v>
      </c>
      <c r="G5008" s="26">
        <v>9.0</v>
      </c>
      <c r="I5008" s="26" t="s">
        <v>863</v>
      </c>
      <c r="J5008" s="25" t="str">
        <f t="shared" si="58"/>
        <v>No</v>
      </c>
      <c r="K5008" s="25" t="str">
        <f t="shared" si="59"/>
        <v/>
      </c>
      <c r="L5008" s="25" t="str">
        <f t="shared" si="60"/>
        <v/>
      </c>
      <c r="M5008" s="25"/>
      <c r="O5008" s="25"/>
    </row>
    <row r="5009" ht="15.75" customHeight="1">
      <c r="A5009" s="25" t="str">
        <f>IFERROR(__xludf.DUMMYFUNCTION("IF(B5009="""","""",RIGHT(REGEXREPLACE(B5009&amp;"""",""[^0-9]"",""""),9))"),"701466520")</f>
        <v>701466520</v>
      </c>
      <c r="B5009" s="52">
        <v>7.0146652E8</v>
      </c>
      <c r="C5009" s="28" t="s">
        <v>4961</v>
      </c>
      <c r="D5009" s="26" t="s">
        <v>64</v>
      </c>
      <c r="E5009" s="31">
        <v>46236.0</v>
      </c>
      <c r="F5009" s="26" t="s">
        <v>205</v>
      </c>
      <c r="I5009" s="26" t="s">
        <v>863</v>
      </c>
      <c r="J5009" s="25" t="str">
        <f t="shared" si="58"/>
        <v>No</v>
      </c>
      <c r="K5009" s="25" t="str">
        <f t="shared" si="59"/>
        <v/>
      </c>
      <c r="L5009" s="25" t="str">
        <f t="shared" si="60"/>
        <v/>
      </c>
      <c r="M5009" s="25"/>
      <c r="O5009" s="25"/>
    </row>
    <row r="5010" ht="15.75" customHeight="1">
      <c r="A5010" s="25" t="str">
        <f>IFERROR(__xludf.DUMMYFUNCTION("IF(B5010="""","""",RIGHT(REGEXREPLACE(B5010&amp;"""",""[^0-9]"",""""),9))"),"760476182")</f>
        <v>760476182</v>
      </c>
      <c r="B5010" s="52">
        <v>7.60476182E8</v>
      </c>
      <c r="C5010" s="28" t="s">
        <v>4962</v>
      </c>
      <c r="D5010" s="26" t="s">
        <v>56</v>
      </c>
      <c r="E5010" s="31">
        <v>46236.0</v>
      </c>
      <c r="F5010" s="26" t="s">
        <v>46</v>
      </c>
      <c r="G5010" s="26">
        <v>11.0</v>
      </c>
      <c r="I5010" s="26" t="s">
        <v>863</v>
      </c>
      <c r="J5010" s="25" t="str">
        <f t="shared" si="58"/>
        <v>No</v>
      </c>
      <c r="K5010" s="25" t="str">
        <f t="shared" si="59"/>
        <v/>
      </c>
      <c r="L5010" s="25" t="str">
        <f t="shared" si="60"/>
        <v/>
      </c>
      <c r="M5010" s="25"/>
      <c r="O5010" s="25"/>
    </row>
    <row r="5011" ht="15.75" customHeight="1">
      <c r="A5011" s="25" t="str">
        <f>IFERROR(__xludf.DUMMYFUNCTION("IF(B5011="""","""",RIGHT(REGEXREPLACE(B5011&amp;"""",""[^0-9]"",""""),9))"),"773924623")</f>
        <v>773924623</v>
      </c>
      <c r="B5011" s="52">
        <v>7.73924623E8</v>
      </c>
      <c r="C5011" s="28" t="s">
        <v>4320</v>
      </c>
      <c r="D5011" s="26" t="s">
        <v>45</v>
      </c>
      <c r="E5011" s="31">
        <v>46236.0</v>
      </c>
      <c r="F5011" s="26" t="s">
        <v>164</v>
      </c>
      <c r="G5011" s="26">
        <v>10.0</v>
      </c>
      <c r="I5011" s="26" t="s">
        <v>863</v>
      </c>
      <c r="J5011" s="25" t="str">
        <f t="shared" si="58"/>
        <v>Yes - see Previous F-Code</v>
      </c>
      <c r="K5011" s="25" t="str">
        <f t="shared" si="59"/>
        <v/>
      </c>
      <c r="L5011" s="25" t="str">
        <f t="shared" si="60"/>
        <v>F73947</v>
      </c>
      <c r="M5011" s="25"/>
      <c r="O5011" s="25"/>
    </row>
    <row r="5012" ht="15.75" customHeight="1">
      <c r="A5012" s="25" t="str">
        <f>IFERROR(__xludf.DUMMYFUNCTION("IF(B5012="""","""",RIGHT(REGEXREPLACE(B5012&amp;"""",""[^0-9]"",""""),9))"),"763260278")</f>
        <v>763260278</v>
      </c>
      <c r="B5012" s="52">
        <v>7.63260278E8</v>
      </c>
      <c r="C5012" s="28" t="s">
        <v>4961</v>
      </c>
      <c r="D5012" s="26" t="s">
        <v>56</v>
      </c>
      <c r="E5012" s="31">
        <v>46236.0</v>
      </c>
      <c r="F5012" s="26" t="s">
        <v>46</v>
      </c>
      <c r="I5012" s="26" t="s">
        <v>863</v>
      </c>
      <c r="J5012" s="25" t="str">
        <f t="shared" si="58"/>
        <v>No</v>
      </c>
      <c r="K5012" s="25" t="str">
        <f t="shared" si="59"/>
        <v/>
      </c>
      <c r="L5012" s="25" t="str">
        <f t="shared" si="60"/>
        <v/>
      </c>
      <c r="M5012" s="25"/>
      <c r="O5012" s="25"/>
    </row>
    <row r="5013" ht="15.75" customHeight="1">
      <c r="A5013" s="25" t="str">
        <f>IFERROR(__xludf.DUMMYFUNCTION("IF(B5013="""","""",RIGHT(REGEXREPLACE(B5013&amp;"""",""[^0-9]"",""""),9))"),"777172236")</f>
        <v>777172236</v>
      </c>
      <c r="B5013" s="52">
        <v>7.77172236E8</v>
      </c>
      <c r="C5013" s="28" t="s">
        <v>4963</v>
      </c>
      <c r="D5013" s="26" t="s">
        <v>49</v>
      </c>
      <c r="E5013" s="31">
        <v>46236.0</v>
      </c>
      <c r="F5013" s="26" t="s">
        <v>46</v>
      </c>
      <c r="G5013" s="26">
        <v>9.0</v>
      </c>
      <c r="H5013" s="26" t="s">
        <v>4964</v>
      </c>
      <c r="I5013" s="26" t="s">
        <v>863</v>
      </c>
      <c r="J5013" s="25" t="str">
        <f t="shared" si="58"/>
        <v>No</v>
      </c>
      <c r="K5013" s="25" t="str">
        <f t="shared" si="59"/>
        <v/>
      </c>
      <c r="L5013" s="25" t="str">
        <f t="shared" si="60"/>
        <v/>
      </c>
      <c r="M5013" s="25"/>
      <c r="O5013" s="25"/>
    </row>
    <row r="5014" ht="15.75" customHeight="1">
      <c r="A5014" s="25" t="str">
        <f>IFERROR(__xludf.DUMMYFUNCTION("IF(B5014="""","""",RIGHT(REGEXREPLACE(B5014&amp;"""",""[^0-9]"",""""),9))"),"560373461")</f>
        <v>560373461</v>
      </c>
      <c r="B5014" s="52">
        <v>6.560373461E9</v>
      </c>
      <c r="C5014" s="28" t="s">
        <v>4965</v>
      </c>
      <c r="D5014" s="26" t="s">
        <v>64</v>
      </c>
      <c r="E5014" s="31">
        <v>46236.0</v>
      </c>
      <c r="F5014" s="26" t="s">
        <v>814</v>
      </c>
      <c r="G5014" s="26">
        <v>9.0</v>
      </c>
      <c r="I5014" s="26" t="s">
        <v>863</v>
      </c>
      <c r="J5014" s="25" t="str">
        <f t="shared" si="58"/>
        <v>No</v>
      </c>
      <c r="K5014" s="25" t="str">
        <f t="shared" si="59"/>
        <v/>
      </c>
      <c r="L5014" s="25" t="str">
        <f t="shared" si="60"/>
        <v/>
      </c>
      <c r="M5014" s="25"/>
      <c r="O5014" s="26" t="s">
        <v>51</v>
      </c>
    </row>
    <row r="5015" ht="15.75" customHeight="1">
      <c r="A5015" s="25" t="str">
        <f>IFERROR(__xludf.DUMMYFUNCTION("IF(B5015="""","""",RIGHT(REGEXREPLACE(B5015&amp;"""",""[^0-9]"",""""),9))"),"763260278")</f>
        <v>763260278</v>
      </c>
      <c r="B5015" s="52">
        <v>7.63260278E8</v>
      </c>
      <c r="C5015" s="28" t="s">
        <v>4961</v>
      </c>
      <c r="D5015" s="26" t="s">
        <v>45</v>
      </c>
      <c r="E5015" s="31">
        <v>46236.0</v>
      </c>
      <c r="F5015" s="26" t="s">
        <v>41</v>
      </c>
      <c r="I5015" s="26" t="s">
        <v>863</v>
      </c>
      <c r="J5015" s="25" t="str">
        <f t="shared" si="58"/>
        <v>Yes - see Previous F-Code</v>
      </c>
      <c r="K5015" s="25" t="str">
        <f t="shared" si="59"/>
        <v>DUPLICATE - CHECK</v>
      </c>
      <c r="L5015" s="25" t="str">
        <f t="shared" si="60"/>
        <v>F74526</v>
      </c>
      <c r="M5015" s="25"/>
      <c r="O5015" s="25"/>
    </row>
    <row r="5016" ht="15.75" customHeight="1">
      <c r="A5016" s="25" t="str">
        <f>IFERROR(__xludf.DUMMYFUNCTION("IF(B5016="""","""",RIGHT(REGEXREPLACE(B5016&amp;"""",""[^0-9]"",""""),9))"),"775037974")</f>
        <v>775037974</v>
      </c>
      <c r="B5016" s="52">
        <v>7.75037974E8</v>
      </c>
      <c r="C5016" s="28" t="s">
        <v>4959</v>
      </c>
      <c r="D5016" s="26" t="s">
        <v>64</v>
      </c>
      <c r="E5016" s="31">
        <v>46236.0</v>
      </c>
      <c r="F5016" s="26" t="s">
        <v>46</v>
      </c>
      <c r="G5016" s="26">
        <v>9.0</v>
      </c>
      <c r="I5016" s="26" t="s">
        <v>863</v>
      </c>
      <c r="J5016" s="25" t="str">
        <f t="shared" si="58"/>
        <v>No</v>
      </c>
      <c r="K5016" s="25" t="str">
        <f t="shared" si="59"/>
        <v/>
      </c>
      <c r="L5016" s="25" t="str">
        <f t="shared" si="60"/>
        <v/>
      </c>
      <c r="M5016" s="25"/>
      <c r="O5016" s="25"/>
    </row>
    <row r="5017" ht="15.75" customHeight="1">
      <c r="A5017" s="25" t="str">
        <f>IFERROR(__xludf.DUMMYFUNCTION("IF(B5017="""","""",RIGHT(REGEXREPLACE(B5017&amp;"""",""[^0-9]"",""""),9))"),"750800346")</f>
        <v>750800346</v>
      </c>
      <c r="B5017" s="52">
        <v>7.50800346E8</v>
      </c>
      <c r="C5017" s="28" t="s">
        <v>4320</v>
      </c>
      <c r="D5017" s="26" t="s">
        <v>56</v>
      </c>
      <c r="E5017" s="31">
        <v>46236.0</v>
      </c>
      <c r="F5017" s="26" t="s">
        <v>46</v>
      </c>
      <c r="G5017" s="26">
        <v>9.0</v>
      </c>
      <c r="I5017" s="26" t="s">
        <v>863</v>
      </c>
      <c r="J5017" s="25" t="str">
        <f t="shared" si="58"/>
        <v>No</v>
      </c>
      <c r="K5017" s="25" t="str">
        <f t="shared" si="59"/>
        <v/>
      </c>
      <c r="L5017" s="25" t="str">
        <f t="shared" si="60"/>
        <v/>
      </c>
      <c r="M5017" s="25"/>
      <c r="O5017" s="25"/>
    </row>
    <row r="5018" ht="15.75" customHeight="1">
      <c r="A5018" s="25" t="str">
        <f>IFERROR(__xludf.DUMMYFUNCTION("IF(B5018="""","""",RIGHT(REGEXREPLACE(B5018&amp;"""",""[^0-9]"",""""),9))"),"760691383")</f>
        <v>760691383</v>
      </c>
      <c r="B5018" s="52">
        <v>7.60691383E8</v>
      </c>
      <c r="C5018" s="28" t="s">
        <v>4966</v>
      </c>
      <c r="D5018" s="26" t="s">
        <v>49</v>
      </c>
      <c r="E5018" s="31">
        <v>46236.0</v>
      </c>
      <c r="F5018" s="26" t="s">
        <v>659</v>
      </c>
      <c r="G5018" s="26">
        <v>11.0</v>
      </c>
      <c r="I5018" s="26" t="s">
        <v>863</v>
      </c>
      <c r="J5018" s="25" t="str">
        <f t="shared" si="58"/>
        <v>No</v>
      </c>
      <c r="K5018" s="25" t="str">
        <f t="shared" si="59"/>
        <v/>
      </c>
      <c r="L5018" s="25" t="str">
        <f t="shared" si="60"/>
        <v/>
      </c>
      <c r="M5018" s="25"/>
      <c r="O5018" s="25"/>
    </row>
    <row r="5019" ht="15.75" customHeight="1">
      <c r="A5019" s="25" t="str">
        <f>IFERROR(__xludf.DUMMYFUNCTION("IF(B5019="""","""",RIGHT(REGEXREPLACE(B5019&amp;"""",""[^0-9]"",""""),9))"),"760888834")</f>
        <v>760888834</v>
      </c>
      <c r="B5019" s="52">
        <v>7.60888834E8</v>
      </c>
      <c r="C5019" s="28" t="s">
        <v>4967</v>
      </c>
      <c r="D5019" s="26" t="s">
        <v>45</v>
      </c>
      <c r="E5019" s="31">
        <v>46236.0</v>
      </c>
      <c r="F5019" s="26" t="s">
        <v>46</v>
      </c>
      <c r="G5019" s="26">
        <v>9.0</v>
      </c>
      <c r="H5019" s="26" t="s">
        <v>720</v>
      </c>
      <c r="I5019" s="26" t="s">
        <v>863</v>
      </c>
      <c r="J5019" s="25" t="str">
        <f t="shared" si="58"/>
        <v>No</v>
      </c>
      <c r="K5019" s="25" t="str">
        <f t="shared" si="59"/>
        <v/>
      </c>
      <c r="L5019" s="25" t="str">
        <f t="shared" si="60"/>
        <v/>
      </c>
      <c r="M5019" s="25"/>
      <c r="O5019" s="25"/>
    </row>
    <row r="5020" ht="15.75" customHeight="1">
      <c r="A5020" s="25" t="str">
        <f>IFERROR(__xludf.DUMMYFUNCTION("IF(B5020="""","""",RIGHT(REGEXREPLACE(B5020&amp;"""",""[^0-9]"",""""),9))"),"770173099")</f>
        <v>770173099</v>
      </c>
      <c r="B5020" s="52">
        <v>7.70173099E8</v>
      </c>
      <c r="C5020" s="28" t="s">
        <v>3391</v>
      </c>
      <c r="D5020" s="26" t="s">
        <v>56</v>
      </c>
      <c r="E5020" s="31">
        <v>46236.0</v>
      </c>
      <c r="F5020" s="26" t="s">
        <v>46</v>
      </c>
      <c r="G5020" s="26">
        <v>10.0</v>
      </c>
      <c r="I5020" s="26" t="s">
        <v>863</v>
      </c>
      <c r="J5020" s="25" t="str">
        <f t="shared" si="58"/>
        <v>No</v>
      </c>
      <c r="K5020" s="25" t="str">
        <f t="shared" si="59"/>
        <v/>
      </c>
      <c r="L5020" s="25" t="str">
        <f t="shared" si="60"/>
        <v/>
      </c>
      <c r="M5020" s="25"/>
      <c r="O5020" s="25"/>
    </row>
    <row r="5021" ht="15.75" customHeight="1">
      <c r="A5021" s="25" t="str">
        <f>IFERROR(__xludf.DUMMYFUNCTION("IF(B5021="""","""",RIGHT(REGEXREPLACE(B5021&amp;"""",""[^0-9]"",""""),9))"),"705109612")</f>
        <v>705109612</v>
      </c>
      <c r="B5021" s="52">
        <v>7.05109612E8</v>
      </c>
      <c r="C5021" s="28" t="s">
        <v>4968</v>
      </c>
      <c r="D5021" s="26" t="s">
        <v>64</v>
      </c>
      <c r="E5021" s="31">
        <v>46236.0</v>
      </c>
      <c r="F5021" s="26" t="s">
        <v>659</v>
      </c>
      <c r="G5021" s="26">
        <v>9.0</v>
      </c>
      <c r="I5021" s="26" t="s">
        <v>863</v>
      </c>
      <c r="J5021" s="25" t="str">
        <f t="shared" si="58"/>
        <v>No</v>
      </c>
      <c r="K5021" s="25" t="str">
        <f t="shared" si="59"/>
        <v/>
      </c>
      <c r="L5021" s="25" t="str">
        <f t="shared" si="60"/>
        <v/>
      </c>
      <c r="M5021" s="25"/>
      <c r="O5021" s="25"/>
    </row>
    <row r="5022" ht="15.75" customHeight="1">
      <c r="A5022" s="25" t="str">
        <f>IFERROR(__xludf.DUMMYFUNCTION("IF(B5022="""","""",RIGHT(REGEXREPLACE(B5022&amp;"""",""[^0-9]"",""""),9))"),"761655571")</f>
        <v>761655571</v>
      </c>
      <c r="B5022" s="52">
        <v>7.61655571E8</v>
      </c>
      <c r="C5022" s="28" t="s">
        <v>4125</v>
      </c>
      <c r="D5022" s="26" t="s">
        <v>49</v>
      </c>
      <c r="E5022" s="31">
        <v>46236.0</v>
      </c>
      <c r="F5022" s="26" t="s">
        <v>46</v>
      </c>
      <c r="H5022" s="26" t="s">
        <v>253</v>
      </c>
      <c r="I5022" s="26" t="s">
        <v>863</v>
      </c>
      <c r="J5022" s="25" t="str">
        <f t="shared" si="58"/>
        <v>Yes - see Previous F-Code</v>
      </c>
      <c r="K5022" s="25" t="str">
        <f t="shared" si="59"/>
        <v/>
      </c>
      <c r="L5022" s="25" t="str">
        <f t="shared" si="60"/>
        <v>F73763</v>
      </c>
      <c r="M5022" s="25"/>
      <c r="O5022" s="25"/>
    </row>
    <row r="5023" ht="15.75" customHeight="1">
      <c r="A5023" s="25" t="str">
        <f>IFERROR(__xludf.DUMMYFUNCTION("IF(B5023="""","""",RIGHT(REGEXREPLACE(B5023&amp;"""",""[^0-9]"",""""),9))"),"763146945")</f>
        <v>763146945</v>
      </c>
      <c r="B5023" s="52">
        <v>7.63146945E8</v>
      </c>
      <c r="C5023" s="28" t="s">
        <v>4969</v>
      </c>
      <c r="D5023" s="26" t="s">
        <v>49</v>
      </c>
      <c r="E5023" s="31">
        <v>46236.0</v>
      </c>
      <c r="F5023" s="26" t="s">
        <v>205</v>
      </c>
      <c r="I5023" s="26" t="s">
        <v>863</v>
      </c>
      <c r="J5023" s="25" t="str">
        <f t="shared" si="58"/>
        <v>No</v>
      </c>
      <c r="K5023" s="25" t="str">
        <f t="shared" si="59"/>
        <v/>
      </c>
      <c r="L5023" s="25" t="str">
        <f t="shared" si="60"/>
        <v/>
      </c>
      <c r="M5023" s="25"/>
      <c r="O5023" s="25"/>
    </row>
    <row r="5024" ht="15.75" customHeight="1">
      <c r="A5024" s="25" t="str">
        <f>IFERROR(__xludf.DUMMYFUNCTION("IF(B5024="""","""",RIGHT(REGEXREPLACE(B5024&amp;"""",""[^0-9]"",""""),9))"),"767516932")</f>
        <v>767516932</v>
      </c>
      <c r="B5024" s="52">
        <v>7.67516932E8</v>
      </c>
      <c r="C5024" s="28" t="s">
        <v>4970</v>
      </c>
      <c r="D5024" s="26" t="s">
        <v>49</v>
      </c>
      <c r="E5024" s="31">
        <v>46236.0</v>
      </c>
      <c r="F5024" s="26" t="s">
        <v>164</v>
      </c>
      <c r="G5024" s="26">
        <v>9.0</v>
      </c>
      <c r="I5024" s="26" t="s">
        <v>863</v>
      </c>
      <c r="J5024" s="25" t="str">
        <f t="shared" si="58"/>
        <v>No</v>
      </c>
      <c r="K5024" s="25" t="str">
        <f t="shared" si="59"/>
        <v/>
      </c>
      <c r="L5024" s="25" t="str">
        <f t="shared" si="60"/>
        <v/>
      </c>
      <c r="M5024" s="25"/>
      <c r="O5024" s="25"/>
    </row>
    <row r="5025" ht="15.75" customHeight="1">
      <c r="A5025" s="25" t="str">
        <f>IFERROR(__xludf.DUMMYFUNCTION("IF(B5025="""","""",RIGHT(REGEXREPLACE(B5025&amp;"""",""[^0-9]"",""""),9))"),"752272243")</f>
        <v>752272243</v>
      </c>
      <c r="B5025" s="52">
        <v>7.52272243E8</v>
      </c>
      <c r="C5025" s="28" t="s">
        <v>4841</v>
      </c>
      <c r="D5025" s="26" t="s">
        <v>64</v>
      </c>
      <c r="E5025" s="31">
        <v>46236.0</v>
      </c>
      <c r="F5025" s="26" t="s">
        <v>46</v>
      </c>
      <c r="G5025" s="26">
        <v>8.0</v>
      </c>
      <c r="I5025" s="26" t="s">
        <v>863</v>
      </c>
      <c r="J5025" s="25" t="str">
        <f t="shared" si="58"/>
        <v>Yes - see Previous F-Code</v>
      </c>
      <c r="K5025" s="25" t="str">
        <f t="shared" si="59"/>
        <v>DUPLICATE - CHECK</v>
      </c>
      <c r="L5025" s="25" t="str">
        <f t="shared" si="60"/>
        <v>F74415</v>
      </c>
      <c r="M5025" s="25"/>
      <c r="O5025" s="25"/>
    </row>
    <row r="5026" ht="15.75" customHeight="1">
      <c r="A5026" s="25" t="str">
        <f>IFERROR(__xludf.DUMMYFUNCTION("IF(B5026="""","""",RIGHT(REGEXREPLACE(B5026&amp;"""",""[^0-9]"",""""),9))"),"774040370")</f>
        <v>774040370</v>
      </c>
      <c r="B5026" s="52">
        <v>7.7404037E8</v>
      </c>
      <c r="C5026" s="28" t="s">
        <v>4971</v>
      </c>
      <c r="D5026" s="26" t="s">
        <v>56</v>
      </c>
      <c r="E5026" s="31">
        <v>46236.0</v>
      </c>
      <c r="F5026" s="26" t="s">
        <v>631</v>
      </c>
      <c r="I5026" s="26" t="s">
        <v>863</v>
      </c>
      <c r="J5026" s="25" t="str">
        <f t="shared" si="58"/>
        <v>No</v>
      </c>
      <c r="K5026" s="25" t="str">
        <f t="shared" si="59"/>
        <v/>
      </c>
      <c r="L5026" s="25" t="str">
        <f t="shared" si="60"/>
        <v/>
      </c>
      <c r="M5026" s="25"/>
      <c r="O5026" s="26" t="s">
        <v>51</v>
      </c>
    </row>
    <row r="5027" ht="15.75" customHeight="1">
      <c r="A5027" s="25" t="str">
        <f>IFERROR(__xludf.DUMMYFUNCTION("IF(B5027="""","""",RIGHT(REGEXREPLACE(B5027&amp;"""",""[^0-9]"",""""),9))"),"714214162")</f>
        <v>714214162</v>
      </c>
      <c r="B5027" s="52">
        <v>7.14214162E8</v>
      </c>
      <c r="C5027" s="28" t="s">
        <v>4972</v>
      </c>
      <c r="D5027" s="26" t="s">
        <v>64</v>
      </c>
      <c r="E5027" s="31">
        <v>46236.0</v>
      </c>
      <c r="F5027" s="26" t="s">
        <v>46</v>
      </c>
      <c r="G5027" s="26">
        <v>9.0</v>
      </c>
      <c r="I5027" s="26" t="s">
        <v>863</v>
      </c>
      <c r="J5027" s="25" t="str">
        <f t="shared" si="58"/>
        <v>No</v>
      </c>
      <c r="K5027" s="25" t="str">
        <f t="shared" si="59"/>
        <v/>
      </c>
      <c r="L5027" s="25" t="str">
        <f t="shared" si="60"/>
        <v/>
      </c>
      <c r="M5027" s="25"/>
      <c r="O5027" s="25"/>
    </row>
    <row r="5028" ht="15.75" customHeight="1">
      <c r="A5028" s="25" t="str">
        <f>IFERROR(__xludf.DUMMYFUNCTION("IF(B5028="""","""",RIGHT(REGEXREPLACE(B5028&amp;"""",""[^0-9]"",""""),9))"),"727057202")</f>
        <v>727057202</v>
      </c>
      <c r="B5028" s="52">
        <v>7.27057202E8</v>
      </c>
      <c r="C5028" s="28" t="s">
        <v>4973</v>
      </c>
      <c r="D5028" s="26" t="s">
        <v>49</v>
      </c>
      <c r="E5028" s="31">
        <v>46236.0</v>
      </c>
      <c r="F5028" s="26" t="s">
        <v>46</v>
      </c>
      <c r="G5028" s="26">
        <v>9.0</v>
      </c>
      <c r="H5028" s="117" t="s">
        <v>4974</v>
      </c>
      <c r="I5028" s="26" t="s">
        <v>863</v>
      </c>
      <c r="J5028" s="25" t="str">
        <f t="shared" si="58"/>
        <v>No</v>
      </c>
      <c r="K5028" s="25" t="str">
        <f t="shared" si="59"/>
        <v/>
      </c>
      <c r="L5028" s="25" t="str">
        <f t="shared" si="60"/>
        <v/>
      </c>
      <c r="M5028" s="25"/>
      <c r="O5028" s="25"/>
    </row>
    <row r="5029" ht="15.75" customHeight="1">
      <c r="A5029" s="25" t="str">
        <f>IFERROR(__xludf.DUMMYFUNCTION("IF(B5029="""","""",RIGHT(REGEXREPLACE(B5029&amp;"""",""[^0-9]"",""""),9))"),"762940760")</f>
        <v>762940760</v>
      </c>
      <c r="B5029" s="52">
        <v>7.6294076E8</v>
      </c>
      <c r="C5029" s="28" t="s">
        <v>4975</v>
      </c>
      <c r="D5029" s="26" t="s">
        <v>56</v>
      </c>
      <c r="E5029" s="31">
        <v>46236.0</v>
      </c>
      <c r="F5029" s="26" t="s">
        <v>41</v>
      </c>
      <c r="I5029" s="26" t="s">
        <v>863</v>
      </c>
      <c r="J5029" s="25" t="str">
        <f t="shared" si="58"/>
        <v>No</v>
      </c>
      <c r="K5029" s="25" t="str">
        <f t="shared" si="59"/>
        <v/>
      </c>
      <c r="L5029" s="25" t="str">
        <f t="shared" si="60"/>
        <v/>
      </c>
      <c r="M5029" s="25"/>
      <c r="O5029" s="25"/>
    </row>
    <row r="5030" ht="15.75" customHeight="1">
      <c r="A5030" s="25" t="str">
        <f>IFERROR(__xludf.DUMMYFUNCTION("IF(B5030="""","""",RIGHT(REGEXREPLACE(B5030&amp;"""",""[^0-9]"",""""),9))"),"701841180")</f>
        <v>701841180</v>
      </c>
      <c r="B5030" s="52">
        <v>7.0184118E8</v>
      </c>
      <c r="C5030" s="28" t="s">
        <v>4976</v>
      </c>
      <c r="D5030" s="26" t="s">
        <v>56</v>
      </c>
      <c r="E5030" s="31">
        <v>46236.0</v>
      </c>
      <c r="F5030" s="26" t="s">
        <v>46</v>
      </c>
      <c r="G5030" s="26">
        <v>9.0</v>
      </c>
      <c r="I5030" s="26" t="s">
        <v>863</v>
      </c>
      <c r="J5030" s="25" t="str">
        <f t="shared" si="58"/>
        <v>No</v>
      </c>
      <c r="K5030" s="25" t="str">
        <f t="shared" si="59"/>
        <v/>
      </c>
      <c r="L5030" s="25" t="str">
        <f t="shared" si="60"/>
        <v/>
      </c>
      <c r="M5030" s="25"/>
      <c r="O5030" s="25"/>
    </row>
    <row r="5031" ht="15.75" customHeight="1">
      <c r="A5031" s="25" t="str">
        <f>IFERROR(__xludf.DUMMYFUNCTION("IF(B5031="""","""",RIGHT(REGEXREPLACE(B5031&amp;"""",""[^0-9]"",""""),9))"),"741834965")</f>
        <v>741834965</v>
      </c>
      <c r="B5031" s="52">
        <v>7.41834965E8</v>
      </c>
      <c r="C5031" s="28" t="s">
        <v>4977</v>
      </c>
      <c r="D5031" s="26" t="s">
        <v>49</v>
      </c>
      <c r="E5031" s="31">
        <v>46236.0</v>
      </c>
      <c r="F5031" s="26" t="s">
        <v>205</v>
      </c>
      <c r="I5031" s="26" t="s">
        <v>863</v>
      </c>
      <c r="J5031" s="25" t="str">
        <f t="shared" si="58"/>
        <v>No</v>
      </c>
      <c r="K5031" s="25" t="str">
        <f t="shared" si="59"/>
        <v/>
      </c>
      <c r="L5031" s="25" t="str">
        <f t="shared" si="60"/>
        <v/>
      </c>
      <c r="M5031" s="25"/>
      <c r="O5031" s="25"/>
    </row>
    <row r="5032" ht="15.75" customHeight="1">
      <c r="A5032" s="25" t="str">
        <f>IFERROR(__xludf.DUMMYFUNCTION("IF(B5032="""","""",RIGHT(REGEXREPLACE(B5032&amp;"""",""[^0-9]"",""""),9))"),"774565919")</f>
        <v>774565919</v>
      </c>
      <c r="B5032" s="52">
        <v>7.74565919E8</v>
      </c>
      <c r="C5032" s="28" t="s">
        <v>4978</v>
      </c>
      <c r="D5032" s="26" t="s">
        <v>64</v>
      </c>
      <c r="E5032" s="31">
        <v>46236.0</v>
      </c>
      <c r="F5032" s="26" t="s">
        <v>46</v>
      </c>
      <c r="G5032" s="26">
        <v>8.0</v>
      </c>
      <c r="I5032" s="26" t="s">
        <v>863</v>
      </c>
      <c r="J5032" s="25" t="str">
        <f t="shared" si="58"/>
        <v>No</v>
      </c>
      <c r="K5032" s="25" t="str">
        <f t="shared" si="59"/>
        <v/>
      </c>
      <c r="L5032" s="25" t="str">
        <f t="shared" si="60"/>
        <v/>
      </c>
      <c r="M5032" s="25"/>
      <c r="O5032" s="25"/>
    </row>
    <row r="5033" ht="15.75" customHeight="1">
      <c r="A5033" s="25" t="str">
        <f>IFERROR(__xludf.DUMMYFUNCTION("IF(B5033="""","""",RIGHT(REGEXREPLACE(B5033&amp;"""",""[^0-9]"",""""),9))"),"757185582")</f>
        <v>757185582</v>
      </c>
      <c r="B5033" s="52">
        <v>7.57185582E8</v>
      </c>
      <c r="C5033" s="28" t="s">
        <v>4855</v>
      </c>
      <c r="D5033" s="26" t="s">
        <v>56</v>
      </c>
      <c r="E5033" s="31">
        <v>46236.0</v>
      </c>
      <c r="F5033" s="26" t="s">
        <v>46</v>
      </c>
      <c r="G5033" s="26">
        <v>9.0</v>
      </c>
      <c r="H5033" s="26" t="s">
        <v>140</v>
      </c>
      <c r="I5033" s="26" t="s">
        <v>863</v>
      </c>
      <c r="J5033" s="25" t="str">
        <f t="shared" si="58"/>
        <v>No</v>
      </c>
      <c r="K5033" s="25" t="str">
        <f t="shared" si="59"/>
        <v/>
      </c>
      <c r="L5033" s="25" t="str">
        <f t="shared" si="60"/>
        <v/>
      </c>
      <c r="M5033" s="25"/>
      <c r="O5033" s="25"/>
    </row>
    <row r="5034" ht="15.75" customHeight="1">
      <c r="A5034" s="25" t="str">
        <f>IFERROR(__xludf.DUMMYFUNCTION("IF(B5034="""","""",RIGHT(REGEXREPLACE(B5034&amp;"""",""[^0-9]"",""""),9))"),"779588219")</f>
        <v>779588219</v>
      </c>
      <c r="B5034" s="52">
        <v>7.79588219E8</v>
      </c>
      <c r="C5034" s="28" t="s">
        <v>4979</v>
      </c>
      <c r="D5034" s="26" t="s">
        <v>49</v>
      </c>
      <c r="E5034" s="31">
        <v>46236.0</v>
      </c>
      <c r="F5034" s="26" t="s">
        <v>46</v>
      </c>
      <c r="G5034" s="26">
        <v>9.0</v>
      </c>
      <c r="H5034" s="117" t="s">
        <v>4980</v>
      </c>
      <c r="I5034" s="26" t="s">
        <v>863</v>
      </c>
      <c r="J5034" s="25" t="str">
        <f t="shared" si="58"/>
        <v>No</v>
      </c>
      <c r="K5034" s="25" t="str">
        <f t="shared" si="59"/>
        <v/>
      </c>
      <c r="L5034" s="25" t="str">
        <f t="shared" si="60"/>
        <v/>
      </c>
      <c r="M5034" s="25"/>
      <c r="O5034" s="25"/>
    </row>
    <row r="5035" ht="15.75" customHeight="1">
      <c r="A5035" s="25" t="str">
        <f>IFERROR(__xludf.DUMMYFUNCTION("IF(B5035="""","""",RIGHT(REGEXREPLACE(B5035&amp;"""",""[^0-9]"",""""),9))"),"716519910")</f>
        <v>716519910</v>
      </c>
      <c r="B5035" s="52">
        <v>7.1651991E8</v>
      </c>
      <c r="C5035" s="28" t="s">
        <v>4981</v>
      </c>
      <c r="D5035" s="26" t="s">
        <v>64</v>
      </c>
      <c r="E5035" s="31">
        <v>46236.0</v>
      </c>
      <c r="F5035" s="26" t="s">
        <v>46</v>
      </c>
      <c r="G5035" s="26">
        <v>9.0</v>
      </c>
      <c r="H5035" s="26" t="s">
        <v>4982</v>
      </c>
      <c r="I5035" s="26" t="s">
        <v>863</v>
      </c>
      <c r="J5035" s="25" t="str">
        <f t="shared" si="58"/>
        <v>No</v>
      </c>
      <c r="K5035" s="25" t="str">
        <f t="shared" si="59"/>
        <v/>
      </c>
      <c r="L5035" s="25" t="str">
        <f t="shared" si="60"/>
        <v/>
      </c>
      <c r="M5035" s="25"/>
      <c r="O5035" s="25"/>
    </row>
    <row r="5036" ht="15.75" customHeight="1">
      <c r="A5036" s="25" t="str">
        <f>IFERROR(__xludf.DUMMYFUNCTION("IF(B5036="""","""",RIGHT(REGEXREPLACE(B5036&amp;"""",""[^0-9]"",""""),9))"),"702284109")</f>
        <v>702284109</v>
      </c>
      <c r="B5036" s="52">
        <v>7.02284109E8</v>
      </c>
      <c r="C5036" s="28" t="s">
        <v>4983</v>
      </c>
      <c r="D5036" s="26" t="s">
        <v>45</v>
      </c>
      <c r="E5036" s="31">
        <v>46236.0</v>
      </c>
      <c r="F5036" s="26" t="s">
        <v>205</v>
      </c>
      <c r="I5036" s="26" t="s">
        <v>863</v>
      </c>
      <c r="J5036" s="25" t="str">
        <f t="shared" si="58"/>
        <v>No</v>
      </c>
      <c r="K5036" s="25" t="str">
        <f t="shared" si="59"/>
        <v/>
      </c>
      <c r="L5036" s="25" t="str">
        <f t="shared" si="60"/>
        <v/>
      </c>
      <c r="M5036" s="25"/>
      <c r="O5036" s="25"/>
    </row>
    <row r="5037" ht="15.75" customHeight="1">
      <c r="A5037" s="25" t="str">
        <f>IFERROR(__xludf.DUMMYFUNCTION("IF(B5037="""","""",RIGHT(REGEXREPLACE(B5037&amp;"""",""[^0-9]"",""""),9))"),"777741401")</f>
        <v>777741401</v>
      </c>
      <c r="B5037" s="52">
        <v>7.77741401E8</v>
      </c>
      <c r="C5037" s="28" t="s">
        <v>4984</v>
      </c>
      <c r="D5037" s="26" t="s">
        <v>49</v>
      </c>
      <c r="E5037" s="31">
        <v>46236.0</v>
      </c>
      <c r="F5037" s="26" t="s">
        <v>41</v>
      </c>
      <c r="G5037" s="26">
        <v>7.0</v>
      </c>
      <c r="I5037" s="26" t="s">
        <v>863</v>
      </c>
      <c r="J5037" s="25" t="str">
        <f t="shared" si="58"/>
        <v>No</v>
      </c>
      <c r="K5037" s="25" t="str">
        <f t="shared" si="59"/>
        <v/>
      </c>
      <c r="L5037" s="25" t="str">
        <f t="shared" si="60"/>
        <v/>
      </c>
      <c r="M5037" s="25"/>
      <c r="O5037" s="25"/>
    </row>
    <row r="5038" ht="15.75" customHeight="1">
      <c r="A5038" s="25" t="str">
        <f>IFERROR(__xludf.DUMMYFUNCTION("IF(B5038="""","""",RIGHT(REGEXREPLACE(B5038&amp;"""",""[^0-9]"",""""),9))"),"717739482")</f>
        <v>717739482</v>
      </c>
      <c r="B5038" s="52">
        <v>7.17739482E8</v>
      </c>
      <c r="C5038" s="28" t="s">
        <v>4985</v>
      </c>
      <c r="D5038" s="26" t="s">
        <v>56</v>
      </c>
      <c r="E5038" s="31">
        <v>46236.0</v>
      </c>
      <c r="F5038" s="26" t="s">
        <v>205</v>
      </c>
      <c r="I5038" s="26" t="s">
        <v>863</v>
      </c>
      <c r="J5038" s="25" t="str">
        <f t="shared" si="58"/>
        <v>No</v>
      </c>
      <c r="K5038" s="25" t="str">
        <f t="shared" si="59"/>
        <v/>
      </c>
      <c r="L5038" s="25" t="str">
        <f t="shared" si="60"/>
        <v/>
      </c>
      <c r="M5038" s="25"/>
      <c r="O5038" s="25"/>
    </row>
    <row r="5039" ht="15.75" customHeight="1">
      <c r="A5039" s="25" t="str">
        <f>IFERROR(__xludf.DUMMYFUNCTION("IF(B5039="""","""",RIGHT(REGEXREPLACE(B5039&amp;"""",""[^0-9]"",""""),9))"),"770155261")</f>
        <v>770155261</v>
      </c>
      <c r="B5039" s="52">
        <v>7.70155261E8</v>
      </c>
      <c r="C5039" s="28" t="s">
        <v>4986</v>
      </c>
      <c r="D5039" s="26" t="s">
        <v>45</v>
      </c>
      <c r="E5039" s="31">
        <v>46236.0</v>
      </c>
      <c r="F5039" s="26" t="s">
        <v>46</v>
      </c>
      <c r="G5039" s="26">
        <v>8.0</v>
      </c>
      <c r="I5039" s="26" t="s">
        <v>863</v>
      </c>
      <c r="J5039" s="25" t="str">
        <f t="shared" si="58"/>
        <v>No</v>
      </c>
      <c r="K5039" s="25" t="str">
        <f t="shared" si="59"/>
        <v/>
      </c>
      <c r="L5039" s="25" t="str">
        <f t="shared" si="60"/>
        <v/>
      </c>
      <c r="M5039" s="25"/>
      <c r="O5039" s="25"/>
    </row>
    <row r="5040" ht="15.75" customHeight="1">
      <c r="A5040" s="25" t="str">
        <f>IFERROR(__xludf.DUMMYFUNCTION("IF(B5040="""","""",RIGHT(REGEXREPLACE(B5040&amp;"""",""[^0-9]"",""""),9))"),"765841134")</f>
        <v>765841134</v>
      </c>
      <c r="B5040" s="52">
        <v>7.65841134E8</v>
      </c>
      <c r="C5040" s="28" t="s">
        <v>1248</v>
      </c>
      <c r="D5040" s="26" t="s">
        <v>56</v>
      </c>
      <c r="E5040" s="31">
        <v>46236.0</v>
      </c>
      <c r="F5040" s="26" t="s">
        <v>46</v>
      </c>
      <c r="G5040" s="26">
        <v>9.0</v>
      </c>
      <c r="I5040" s="26" t="s">
        <v>863</v>
      </c>
      <c r="J5040" s="25" t="str">
        <f t="shared" si="58"/>
        <v>No</v>
      </c>
      <c r="K5040" s="25" t="str">
        <f t="shared" si="59"/>
        <v/>
      </c>
      <c r="L5040" s="25" t="str">
        <f t="shared" si="60"/>
        <v/>
      </c>
      <c r="M5040" s="25"/>
      <c r="O5040" s="25"/>
    </row>
    <row r="5041" ht="15.75" customHeight="1">
      <c r="A5041" s="25" t="str">
        <f>IFERROR(__xludf.DUMMYFUNCTION("IF(B5041="""","""",RIGHT(REGEXREPLACE(B5041&amp;"""",""[^0-9]"",""""),9))"),"703598442")</f>
        <v>703598442</v>
      </c>
      <c r="B5041" s="52">
        <v>7.03598442E8</v>
      </c>
      <c r="C5041" s="28" t="s">
        <v>4987</v>
      </c>
      <c r="D5041" s="26" t="s">
        <v>64</v>
      </c>
      <c r="E5041" s="31">
        <v>46236.0</v>
      </c>
      <c r="F5041" s="26" t="s">
        <v>41</v>
      </c>
      <c r="I5041" s="26" t="s">
        <v>863</v>
      </c>
      <c r="J5041" s="25" t="str">
        <f t="shared" si="58"/>
        <v>No</v>
      </c>
      <c r="K5041" s="25" t="str">
        <f t="shared" si="59"/>
        <v/>
      </c>
      <c r="L5041" s="25" t="str">
        <f t="shared" si="60"/>
        <v/>
      </c>
      <c r="M5041" s="25"/>
      <c r="O5041" s="25"/>
    </row>
    <row r="5042" ht="15.75" customHeight="1">
      <c r="A5042" s="25" t="str">
        <f>IFERROR(__xludf.DUMMYFUNCTION("IF(B5042="""","""",RIGHT(REGEXREPLACE(B5042&amp;"""",""[^0-9]"",""""),9))"),"707471160")</f>
        <v>707471160</v>
      </c>
      <c r="B5042" s="52">
        <v>7.0747116E8</v>
      </c>
      <c r="C5042" s="28" t="s">
        <v>4988</v>
      </c>
      <c r="D5042" s="26" t="s">
        <v>49</v>
      </c>
      <c r="E5042" s="31">
        <v>46236.0</v>
      </c>
      <c r="F5042" s="26" t="s">
        <v>46</v>
      </c>
      <c r="G5042" s="26">
        <v>9.0</v>
      </c>
      <c r="H5042" s="117" t="s">
        <v>4989</v>
      </c>
      <c r="I5042" s="26" t="s">
        <v>863</v>
      </c>
      <c r="J5042" s="25" t="str">
        <f t="shared" si="58"/>
        <v>No</v>
      </c>
      <c r="K5042" s="25" t="str">
        <f t="shared" si="59"/>
        <v/>
      </c>
      <c r="L5042" s="25" t="str">
        <f t="shared" si="60"/>
        <v/>
      </c>
      <c r="M5042" s="25"/>
      <c r="O5042" s="25"/>
    </row>
    <row r="5043" ht="15.75" customHeight="1">
      <c r="A5043" s="25" t="str">
        <f>IFERROR(__xludf.DUMMYFUNCTION("IF(B5043="""","""",RIGHT(REGEXREPLACE(B5043&amp;"""",""[^0-9]"",""""),9))"),"716382754")</f>
        <v>716382754</v>
      </c>
      <c r="B5043" s="52">
        <v>7.16382754E8</v>
      </c>
      <c r="C5043" s="28" t="s">
        <v>4990</v>
      </c>
      <c r="D5043" s="26" t="s">
        <v>45</v>
      </c>
      <c r="E5043" s="31">
        <v>46236.0</v>
      </c>
      <c r="F5043" s="26" t="s">
        <v>41</v>
      </c>
      <c r="I5043" s="26" t="s">
        <v>863</v>
      </c>
      <c r="J5043" s="25" t="str">
        <f t="shared" si="58"/>
        <v>No</v>
      </c>
      <c r="K5043" s="25" t="str">
        <f t="shared" si="59"/>
        <v/>
      </c>
      <c r="L5043" s="25" t="str">
        <f t="shared" si="60"/>
        <v/>
      </c>
      <c r="M5043" s="25"/>
      <c r="O5043" s="25"/>
    </row>
    <row r="5044" ht="15.75" customHeight="1">
      <c r="A5044" s="25" t="str">
        <f>IFERROR(__xludf.DUMMYFUNCTION("IF(B5044="""","""",RIGHT(REGEXREPLACE(B5044&amp;"""",""[^0-9]"",""""),9))"),"767313740")</f>
        <v>767313740</v>
      </c>
      <c r="B5044" s="52">
        <v>7.6731374E8</v>
      </c>
      <c r="C5044" s="28" t="s">
        <v>4991</v>
      </c>
      <c r="D5044" s="26" t="s">
        <v>45</v>
      </c>
      <c r="E5044" s="31">
        <v>46236.0</v>
      </c>
      <c r="F5044" s="26" t="s">
        <v>46</v>
      </c>
      <c r="G5044" s="26">
        <v>8.0</v>
      </c>
      <c r="H5044" s="119" t="s">
        <v>4992</v>
      </c>
      <c r="I5044" s="26" t="s">
        <v>863</v>
      </c>
      <c r="J5044" s="25" t="str">
        <f t="shared" si="58"/>
        <v>No</v>
      </c>
      <c r="K5044" s="25" t="str">
        <f t="shared" si="59"/>
        <v/>
      </c>
      <c r="L5044" s="25" t="str">
        <f t="shared" si="60"/>
        <v/>
      </c>
      <c r="M5044" s="25"/>
      <c r="O5044" s="25"/>
    </row>
    <row r="5045" ht="15.75" customHeight="1">
      <c r="A5045" s="25" t="str">
        <f>IFERROR(__xludf.DUMMYFUNCTION("IF(B5045="""","""",RIGHT(REGEXREPLACE(B5045&amp;"""",""[^0-9]"",""""),9))"),"702606382")</f>
        <v>702606382</v>
      </c>
      <c r="B5045" s="52">
        <v>7.02606382E8</v>
      </c>
      <c r="C5045" s="28" t="s">
        <v>4993</v>
      </c>
      <c r="D5045" s="26" t="s">
        <v>64</v>
      </c>
      <c r="E5045" s="31">
        <v>46236.0</v>
      </c>
      <c r="F5045" s="26" t="s">
        <v>659</v>
      </c>
      <c r="G5045" s="26">
        <v>9.0</v>
      </c>
      <c r="I5045" s="26" t="s">
        <v>863</v>
      </c>
      <c r="J5045" s="25" t="str">
        <f t="shared" si="58"/>
        <v>No</v>
      </c>
      <c r="K5045" s="25" t="str">
        <f t="shared" si="59"/>
        <v/>
      </c>
      <c r="L5045" s="25" t="str">
        <f t="shared" si="60"/>
        <v/>
      </c>
      <c r="M5045" s="25"/>
      <c r="O5045" s="26" t="s">
        <v>51</v>
      </c>
    </row>
    <row r="5046" ht="15.75" customHeight="1">
      <c r="A5046" s="25" t="str">
        <f>IFERROR(__xludf.DUMMYFUNCTION("IF(B5046="""","""",RIGHT(REGEXREPLACE(B5046&amp;"""",""[^0-9]"",""""),9))"),"703838604")</f>
        <v>703838604</v>
      </c>
      <c r="B5046" s="52">
        <v>7.03838604E8</v>
      </c>
      <c r="C5046" s="28" t="s">
        <v>4994</v>
      </c>
      <c r="D5046" s="26" t="s">
        <v>49</v>
      </c>
      <c r="E5046" s="31">
        <v>46236.0</v>
      </c>
      <c r="F5046" s="26" t="s">
        <v>46</v>
      </c>
      <c r="G5046" s="26">
        <v>9.0</v>
      </c>
      <c r="H5046" s="118" t="s">
        <v>4995</v>
      </c>
      <c r="I5046" s="26" t="s">
        <v>863</v>
      </c>
      <c r="J5046" s="25" t="str">
        <f t="shared" si="58"/>
        <v>No</v>
      </c>
      <c r="K5046" s="25" t="str">
        <f t="shared" si="59"/>
        <v/>
      </c>
      <c r="L5046" s="25" t="str">
        <f t="shared" si="60"/>
        <v/>
      </c>
      <c r="M5046" s="25"/>
      <c r="O5046" s="25"/>
    </row>
    <row r="5047" ht="15.75" customHeight="1">
      <c r="A5047" s="25" t="str">
        <f>IFERROR(__xludf.DUMMYFUNCTION("IF(B5047="""","""",RIGHT(REGEXREPLACE(B5047&amp;"""",""[^0-9]"",""""),9))"),"767538105")</f>
        <v>767538105</v>
      </c>
      <c r="B5047" s="52">
        <v>7.67538105E8</v>
      </c>
      <c r="C5047" s="28" t="s">
        <v>4996</v>
      </c>
      <c r="D5047" s="26" t="s">
        <v>64</v>
      </c>
      <c r="E5047" s="31">
        <v>46236.0</v>
      </c>
      <c r="F5047" s="26" t="s">
        <v>205</v>
      </c>
      <c r="G5047" s="26">
        <v>9.0</v>
      </c>
      <c r="I5047" s="26" t="s">
        <v>863</v>
      </c>
      <c r="J5047" s="25" t="str">
        <f t="shared" si="58"/>
        <v>No</v>
      </c>
      <c r="K5047" s="25" t="str">
        <f t="shared" si="59"/>
        <v/>
      </c>
      <c r="L5047" s="25" t="str">
        <f t="shared" si="60"/>
        <v/>
      </c>
      <c r="M5047" s="25"/>
      <c r="O5047" s="25"/>
    </row>
    <row r="5048" ht="15.75" customHeight="1">
      <c r="A5048" s="25" t="str">
        <f>IFERROR(__xludf.DUMMYFUNCTION("IF(B5048="""","""",RIGHT(REGEXREPLACE(B5048&amp;"""",""[^0-9]"",""""),9))"),"764354067")</f>
        <v>764354067</v>
      </c>
      <c r="B5048" s="52">
        <v>7.64354067E8</v>
      </c>
      <c r="C5048" s="28" t="s">
        <v>4878</v>
      </c>
      <c r="D5048" s="26" t="s">
        <v>64</v>
      </c>
      <c r="E5048" s="31">
        <v>46236.0</v>
      </c>
      <c r="F5048" s="26" t="s">
        <v>46</v>
      </c>
      <c r="G5048" s="26">
        <v>6.0</v>
      </c>
      <c r="I5048" s="26" t="s">
        <v>863</v>
      </c>
      <c r="J5048" s="25" t="str">
        <f t="shared" si="58"/>
        <v>No</v>
      </c>
      <c r="K5048" s="25" t="str">
        <f t="shared" si="59"/>
        <v/>
      </c>
      <c r="L5048" s="25" t="str">
        <f t="shared" si="60"/>
        <v/>
      </c>
      <c r="M5048" s="25"/>
      <c r="O5048" s="25"/>
    </row>
    <row r="5049" ht="15.75" customHeight="1">
      <c r="A5049" s="25" t="str">
        <f>IFERROR(__xludf.DUMMYFUNCTION("IF(B5049="""","""",RIGHT(REGEXREPLACE(B5049&amp;"""",""[^0-9]"",""""),9))"),"710939076")</f>
        <v>710939076</v>
      </c>
      <c r="B5049" s="52">
        <v>7.10939076E8</v>
      </c>
      <c r="C5049" s="28" t="s">
        <v>4997</v>
      </c>
      <c r="D5049" s="26" t="s">
        <v>56</v>
      </c>
      <c r="E5049" s="31">
        <v>46236.0</v>
      </c>
      <c r="F5049" s="26" t="s">
        <v>46</v>
      </c>
      <c r="G5049" s="26">
        <v>9.0</v>
      </c>
      <c r="I5049" s="26" t="s">
        <v>863</v>
      </c>
      <c r="J5049" s="25" t="str">
        <f t="shared" si="58"/>
        <v>No</v>
      </c>
      <c r="K5049" s="25" t="str">
        <f t="shared" si="59"/>
        <v/>
      </c>
      <c r="L5049" s="25" t="str">
        <f t="shared" si="60"/>
        <v/>
      </c>
      <c r="M5049" s="25"/>
      <c r="O5049" s="25"/>
    </row>
    <row r="5050" ht="15.75" customHeight="1">
      <c r="A5050" s="25" t="str">
        <f>IFERROR(__xludf.DUMMYFUNCTION("IF(B5050="""","""",RIGHT(REGEXREPLACE(B5050&amp;"""",""[^0-9]"",""""),9))"),"716028465")</f>
        <v>716028465</v>
      </c>
      <c r="B5050" s="52">
        <v>7.16028465E8</v>
      </c>
      <c r="C5050" s="28" t="s">
        <v>4998</v>
      </c>
      <c r="D5050" s="26" t="s">
        <v>64</v>
      </c>
      <c r="E5050" s="31">
        <v>46236.0</v>
      </c>
      <c r="F5050" s="26" t="s">
        <v>46</v>
      </c>
      <c r="G5050" s="26">
        <v>9.0</v>
      </c>
      <c r="I5050" s="26" t="s">
        <v>863</v>
      </c>
      <c r="J5050" s="25" t="str">
        <f t="shared" si="58"/>
        <v>No</v>
      </c>
      <c r="K5050" s="25" t="str">
        <f t="shared" si="59"/>
        <v/>
      </c>
      <c r="L5050" s="25" t="str">
        <f t="shared" si="60"/>
        <v/>
      </c>
      <c r="M5050" s="25"/>
      <c r="O5050" s="25"/>
    </row>
    <row r="5051" ht="15.75" customHeight="1">
      <c r="A5051" s="25" t="str">
        <f>IFERROR(__xludf.DUMMYFUNCTION("IF(B5051="""","""",RIGHT(REGEXREPLACE(B5051&amp;"""",""[^0-9]"",""""),9))"),"715450399")</f>
        <v>715450399</v>
      </c>
      <c r="B5051" s="52">
        <v>7.15450399E8</v>
      </c>
      <c r="C5051" s="28" t="s">
        <v>4999</v>
      </c>
      <c r="D5051" s="26" t="s">
        <v>56</v>
      </c>
      <c r="E5051" s="31">
        <v>46236.0</v>
      </c>
      <c r="F5051" s="26" t="s">
        <v>631</v>
      </c>
      <c r="G5051" s="26">
        <v>11.0</v>
      </c>
      <c r="I5051" s="26" t="s">
        <v>863</v>
      </c>
      <c r="J5051" s="25" t="str">
        <f t="shared" si="58"/>
        <v>No</v>
      </c>
      <c r="K5051" s="25" t="str">
        <f t="shared" si="59"/>
        <v/>
      </c>
      <c r="L5051" s="25" t="str">
        <f t="shared" si="60"/>
        <v/>
      </c>
      <c r="M5051" s="25"/>
      <c r="O5051" s="25"/>
    </row>
    <row r="5052" ht="15.75" customHeight="1">
      <c r="A5052" s="25" t="str">
        <f>IFERROR(__xludf.DUMMYFUNCTION("IF(B5052="""","""",RIGHT(REGEXREPLACE(B5052&amp;"""",""[^0-9]"",""""),9))"),"770445103")</f>
        <v>770445103</v>
      </c>
      <c r="B5052" s="52">
        <v>7.70445103E8</v>
      </c>
      <c r="C5052" s="28" t="s">
        <v>5000</v>
      </c>
      <c r="D5052" s="26" t="s">
        <v>49</v>
      </c>
      <c r="E5052" s="31">
        <v>46236.0</v>
      </c>
      <c r="F5052" s="26" t="s">
        <v>46</v>
      </c>
      <c r="G5052" s="26">
        <v>9.0</v>
      </c>
      <c r="I5052" s="26" t="s">
        <v>863</v>
      </c>
      <c r="J5052" s="25" t="str">
        <f t="shared" si="58"/>
        <v>No</v>
      </c>
      <c r="K5052" s="25" t="str">
        <f t="shared" si="59"/>
        <v/>
      </c>
      <c r="L5052" s="25" t="str">
        <f t="shared" si="60"/>
        <v/>
      </c>
      <c r="M5052" s="25"/>
      <c r="O5052" s="25"/>
    </row>
    <row r="5053" ht="15.75" customHeight="1">
      <c r="A5053" s="25" t="str">
        <f>IFERROR(__xludf.DUMMYFUNCTION("IF(B5053="""","""",RIGHT(REGEXREPLACE(B5053&amp;"""",""[^0-9]"",""""),9))"),"767678530")</f>
        <v>767678530</v>
      </c>
      <c r="B5053" s="52">
        <v>7.6767853E8</v>
      </c>
      <c r="C5053" s="28" t="s">
        <v>5001</v>
      </c>
      <c r="D5053" s="26" t="s">
        <v>64</v>
      </c>
      <c r="E5053" s="31">
        <v>46236.0</v>
      </c>
      <c r="F5053" s="26" t="s">
        <v>46</v>
      </c>
      <c r="G5053" s="26">
        <v>9.0</v>
      </c>
      <c r="H5053" s="26" t="s">
        <v>5002</v>
      </c>
      <c r="I5053" s="26" t="s">
        <v>863</v>
      </c>
      <c r="J5053" s="25" t="str">
        <f t="shared" si="58"/>
        <v>No</v>
      </c>
      <c r="K5053" s="25" t="str">
        <f t="shared" si="59"/>
        <v/>
      </c>
      <c r="L5053" s="25" t="str">
        <f t="shared" si="60"/>
        <v/>
      </c>
      <c r="M5053" s="25"/>
      <c r="O5053" s="25"/>
    </row>
    <row r="5054" ht="15.75" customHeight="1">
      <c r="A5054" s="25" t="str">
        <f>IFERROR(__xludf.DUMMYFUNCTION("IF(B5054="""","""",RIGHT(REGEXREPLACE(B5054&amp;"""",""[^0-9]"",""""),9))"),"764018215")</f>
        <v>764018215</v>
      </c>
      <c r="B5054" s="52">
        <v>7.64018215E8</v>
      </c>
      <c r="C5054" s="28" t="s">
        <v>5003</v>
      </c>
      <c r="D5054" s="26" t="s">
        <v>45</v>
      </c>
      <c r="E5054" s="31">
        <v>46236.0</v>
      </c>
      <c r="F5054" s="26" t="s">
        <v>41</v>
      </c>
      <c r="G5054" s="26">
        <v>9.0</v>
      </c>
      <c r="I5054" s="26" t="s">
        <v>863</v>
      </c>
      <c r="J5054" s="25" t="str">
        <f t="shared" si="58"/>
        <v>No</v>
      </c>
      <c r="K5054" s="25" t="str">
        <f t="shared" si="59"/>
        <v/>
      </c>
      <c r="L5054" s="25" t="str">
        <f t="shared" si="60"/>
        <v/>
      </c>
      <c r="M5054" s="25"/>
      <c r="O5054" s="25"/>
    </row>
    <row r="5055" ht="15.75" customHeight="1">
      <c r="A5055" s="25" t="str">
        <f>IFERROR(__xludf.DUMMYFUNCTION("IF(B5055="""","""",RIGHT(REGEXREPLACE(B5055&amp;"""",""[^0-9]"",""""),9))"),"710429615")</f>
        <v>710429615</v>
      </c>
      <c r="B5055" s="52">
        <v>7.10429615E8</v>
      </c>
      <c r="C5055" s="28" t="s">
        <v>5004</v>
      </c>
      <c r="D5055" s="26" t="s">
        <v>49</v>
      </c>
      <c r="E5055" s="31">
        <v>46236.0</v>
      </c>
      <c r="F5055" s="26" t="s">
        <v>205</v>
      </c>
      <c r="G5055" s="26">
        <v>9.0</v>
      </c>
      <c r="I5055" s="26" t="s">
        <v>863</v>
      </c>
      <c r="J5055" s="25" t="str">
        <f t="shared" si="58"/>
        <v>No</v>
      </c>
      <c r="K5055" s="25" t="str">
        <f t="shared" si="59"/>
        <v/>
      </c>
      <c r="L5055" s="25" t="str">
        <f t="shared" si="60"/>
        <v/>
      </c>
      <c r="M5055" s="25"/>
      <c r="O5055" s="25"/>
    </row>
    <row r="5056" ht="15.75" customHeight="1">
      <c r="A5056" s="25" t="str">
        <f>IFERROR(__xludf.DUMMYFUNCTION("IF(B5056="""","""",RIGHT(REGEXREPLACE(B5056&amp;"""",""[^0-9]"",""""),9))"),"779992831")</f>
        <v>779992831</v>
      </c>
      <c r="B5056" s="52">
        <v>7.79992831E8</v>
      </c>
      <c r="C5056" s="28" t="s">
        <v>3977</v>
      </c>
      <c r="D5056" s="26" t="s">
        <v>56</v>
      </c>
      <c r="E5056" s="31">
        <v>46236.0</v>
      </c>
      <c r="F5056" s="26" t="s">
        <v>46</v>
      </c>
      <c r="G5056" s="26">
        <v>8.0</v>
      </c>
      <c r="I5056" s="26" t="s">
        <v>863</v>
      </c>
      <c r="J5056" s="25" t="str">
        <f t="shared" si="58"/>
        <v>No</v>
      </c>
      <c r="K5056" s="25" t="str">
        <f t="shared" si="59"/>
        <v/>
      </c>
      <c r="L5056" s="25" t="str">
        <f t="shared" si="60"/>
        <v/>
      </c>
      <c r="M5056" s="25"/>
      <c r="O5056" s="25"/>
    </row>
    <row r="5057" ht="15.75" customHeight="1">
      <c r="A5057" s="25" t="str">
        <f>IFERROR(__xludf.DUMMYFUNCTION("IF(B5057="""","""",RIGHT(REGEXREPLACE(B5057&amp;"""",""[^0-9]"",""""),9))"),"776997943")</f>
        <v>776997943</v>
      </c>
      <c r="B5057" s="52">
        <v>7.76997943E8</v>
      </c>
      <c r="C5057" s="28" t="s">
        <v>5005</v>
      </c>
      <c r="D5057" s="26" t="s">
        <v>64</v>
      </c>
      <c r="E5057" s="31">
        <v>46236.0</v>
      </c>
      <c r="F5057" s="26" t="s">
        <v>46</v>
      </c>
      <c r="G5057" s="26">
        <v>9.0</v>
      </c>
      <c r="I5057" s="26" t="s">
        <v>863</v>
      </c>
      <c r="J5057" s="25" t="str">
        <f t="shared" si="58"/>
        <v>No</v>
      </c>
      <c r="K5057" s="25" t="str">
        <f t="shared" si="59"/>
        <v/>
      </c>
      <c r="L5057" s="25" t="str">
        <f t="shared" si="60"/>
        <v/>
      </c>
      <c r="M5057" s="25"/>
      <c r="O5057" s="25"/>
    </row>
    <row r="5058" ht="15.75" customHeight="1">
      <c r="A5058" s="25" t="str">
        <f>IFERROR(__xludf.DUMMYFUNCTION("IF(B5058="""","""",RIGHT(REGEXREPLACE(B5058&amp;"""",""[^0-9]"",""""),9))"),"713213297")</f>
        <v>713213297</v>
      </c>
      <c r="B5058" s="52">
        <v>7.13213297E8</v>
      </c>
      <c r="C5058" s="28" t="s">
        <v>5006</v>
      </c>
      <c r="D5058" s="26" t="s">
        <v>45</v>
      </c>
      <c r="E5058" s="31">
        <v>46236.0</v>
      </c>
      <c r="F5058" s="26" t="s">
        <v>46</v>
      </c>
      <c r="G5058" s="26">
        <v>9.0</v>
      </c>
      <c r="I5058" s="26" t="s">
        <v>863</v>
      </c>
      <c r="J5058" s="25" t="str">
        <f t="shared" si="58"/>
        <v>No</v>
      </c>
      <c r="K5058" s="25" t="str">
        <f t="shared" si="59"/>
        <v/>
      </c>
      <c r="L5058" s="25" t="str">
        <f t="shared" si="60"/>
        <v/>
      </c>
      <c r="M5058" s="25"/>
      <c r="O5058" s="25"/>
    </row>
    <row r="5059" ht="15.75" customHeight="1">
      <c r="A5059" s="25" t="str">
        <f>IFERROR(__xludf.DUMMYFUNCTION("IF(B5059="""","""",RIGHT(REGEXREPLACE(B5059&amp;"""",""[^0-9]"",""""),9))"),"763910779")</f>
        <v>763910779</v>
      </c>
      <c r="B5059" s="52">
        <v>7.63910779E8</v>
      </c>
      <c r="C5059" s="28" t="s">
        <v>5007</v>
      </c>
      <c r="D5059" s="26" t="s">
        <v>56</v>
      </c>
      <c r="E5059" s="31">
        <v>46236.0</v>
      </c>
      <c r="F5059" s="26" t="s">
        <v>46</v>
      </c>
      <c r="G5059" s="26">
        <v>9.0</v>
      </c>
      <c r="I5059" s="26" t="s">
        <v>863</v>
      </c>
      <c r="J5059" s="25" t="str">
        <f t="shared" si="58"/>
        <v>No</v>
      </c>
      <c r="K5059" s="25" t="str">
        <f t="shared" si="59"/>
        <v/>
      </c>
      <c r="L5059" s="25" t="str">
        <f t="shared" si="60"/>
        <v/>
      </c>
      <c r="M5059" s="25"/>
      <c r="O5059" s="25"/>
    </row>
    <row r="5060" ht="15.75" customHeight="1">
      <c r="A5060" s="25" t="str">
        <f>IFERROR(__xludf.DUMMYFUNCTION("IF(B5060="""","""",RIGHT(REGEXREPLACE(B5060&amp;"""",""[^0-9]"",""""),9))"),"769065906")</f>
        <v>769065906</v>
      </c>
      <c r="B5060" s="52">
        <v>7.69065906E8</v>
      </c>
      <c r="C5060" s="28" t="s">
        <v>5008</v>
      </c>
      <c r="D5060" s="26" t="s">
        <v>49</v>
      </c>
      <c r="E5060" s="31">
        <v>46236.0</v>
      </c>
      <c r="F5060" s="26" t="s">
        <v>41</v>
      </c>
      <c r="I5060" s="26" t="s">
        <v>863</v>
      </c>
      <c r="J5060" s="25" t="str">
        <f t="shared" si="58"/>
        <v>No</v>
      </c>
      <c r="K5060" s="25" t="str">
        <f t="shared" si="59"/>
        <v/>
      </c>
      <c r="L5060" s="25" t="str">
        <f t="shared" si="60"/>
        <v/>
      </c>
      <c r="M5060" s="25"/>
      <c r="O5060" s="25"/>
    </row>
    <row r="5061" ht="15.75" customHeight="1">
      <c r="A5061" s="25" t="str">
        <f>IFERROR(__xludf.DUMMYFUNCTION("IF(B5061="""","""",RIGHT(REGEXREPLACE(B5061&amp;"""",""[^0-9]"",""""),9))"),"758993284")</f>
        <v>758993284</v>
      </c>
      <c r="B5061" s="52">
        <v>7.58993284E8</v>
      </c>
      <c r="C5061" s="28" t="s">
        <v>5009</v>
      </c>
      <c r="D5061" s="26" t="s">
        <v>64</v>
      </c>
      <c r="E5061" s="31">
        <v>46236.0</v>
      </c>
      <c r="F5061" s="26" t="s">
        <v>205</v>
      </c>
      <c r="G5061" s="26">
        <v>9.0</v>
      </c>
      <c r="I5061" s="26" t="s">
        <v>863</v>
      </c>
      <c r="J5061" s="25" t="str">
        <f t="shared" si="58"/>
        <v>No</v>
      </c>
      <c r="K5061" s="25" t="str">
        <f t="shared" si="59"/>
        <v/>
      </c>
      <c r="L5061" s="25" t="str">
        <f t="shared" si="60"/>
        <v/>
      </c>
      <c r="M5061" s="25"/>
      <c r="O5061" s="25"/>
    </row>
    <row r="5062" ht="15.75" customHeight="1">
      <c r="A5062" s="25" t="str">
        <f>IFERROR(__xludf.DUMMYFUNCTION("IF(B5062="""","""",RIGHT(REGEXREPLACE(B5062&amp;"""",""[^0-9]"",""""),9))"),"766567514")</f>
        <v>766567514</v>
      </c>
      <c r="B5062" s="52">
        <v>7.66567514E8</v>
      </c>
      <c r="C5062" s="28" t="s">
        <v>5010</v>
      </c>
      <c r="D5062" s="26" t="s">
        <v>64</v>
      </c>
      <c r="E5062" s="31">
        <v>46236.0</v>
      </c>
      <c r="F5062" s="26" t="s">
        <v>46</v>
      </c>
      <c r="G5062" s="26">
        <v>9.0</v>
      </c>
      <c r="I5062" s="26" t="s">
        <v>863</v>
      </c>
      <c r="J5062" s="25" t="str">
        <f t="shared" si="58"/>
        <v>No</v>
      </c>
      <c r="K5062" s="25" t="str">
        <f t="shared" si="59"/>
        <v/>
      </c>
      <c r="L5062" s="25" t="str">
        <f t="shared" si="60"/>
        <v/>
      </c>
      <c r="M5062" s="25"/>
      <c r="O5062" s="25"/>
    </row>
    <row r="5063" ht="15.75" customHeight="1">
      <c r="A5063" s="25" t="str">
        <f>IFERROR(__xludf.DUMMYFUNCTION("IF(B5063="""","""",RIGHT(REGEXREPLACE(B5063&amp;"""",""[^0-9]"",""""),9))"),"773772365")</f>
        <v>773772365</v>
      </c>
      <c r="B5063" s="52">
        <v>7.73772365E8</v>
      </c>
      <c r="C5063" s="28" t="s">
        <v>5011</v>
      </c>
      <c r="D5063" s="26" t="s">
        <v>45</v>
      </c>
      <c r="E5063" s="31">
        <v>46236.0</v>
      </c>
      <c r="F5063" s="26" t="s">
        <v>41</v>
      </c>
      <c r="G5063" s="26">
        <v>9.0</v>
      </c>
      <c r="I5063" s="26" t="s">
        <v>863</v>
      </c>
      <c r="J5063" s="25" t="str">
        <f t="shared" si="58"/>
        <v>No</v>
      </c>
      <c r="K5063" s="25" t="str">
        <f t="shared" si="59"/>
        <v/>
      </c>
      <c r="L5063" s="25" t="str">
        <f t="shared" si="60"/>
        <v/>
      </c>
      <c r="M5063" s="25"/>
      <c r="O5063" s="25"/>
    </row>
    <row r="5064" ht="15.75" customHeight="1">
      <c r="A5064" s="25" t="str">
        <f>IFERROR(__xludf.DUMMYFUNCTION("IF(B5064="""","""",RIGHT(REGEXREPLACE(B5064&amp;"""",""[^0-9]"",""""),9))"),"767693058")</f>
        <v>767693058</v>
      </c>
      <c r="B5064" s="52">
        <v>7.67693058E8</v>
      </c>
      <c r="C5064" s="28" t="s">
        <v>5012</v>
      </c>
      <c r="D5064" s="26" t="s">
        <v>49</v>
      </c>
      <c r="E5064" s="31">
        <v>46236.0</v>
      </c>
      <c r="F5064" s="26" t="s">
        <v>46</v>
      </c>
      <c r="G5064" s="26">
        <v>9.0</v>
      </c>
      <c r="H5064" s="117" t="s">
        <v>5013</v>
      </c>
      <c r="I5064" s="26" t="s">
        <v>863</v>
      </c>
      <c r="J5064" s="25" t="str">
        <f t="shared" si="58"/>
        <v>No</v>
      </c>
      <c r="K5064" s="25" t="str">
        <f t="shared" si="59"/>
        <v/>
      </c>
      <c r="L5064" s="25" t="str">
        <f t="shared" si="60"/>
        <v/>
      </c>
      <c r="M5064" s="25"/>
      <c r="O5064" s="25"/>
    </row>
    <row r="5065" ht="15.75" customHeight="1">
      <c r="A5065" s="25" t="str">
        <f>IFERROR(__xludf.DUMMYFUNCTION("IF(B5065="""","""",RIGHT(REGEXREPLACE(B5065&amp;"""",""[^0-9]"",""""),9))"),"773346979")</f>
        <v>773346979</v>
      </c>
      <c r="B5065" s="52">
        <v>7.73346979E8</v>
      </c>
      <c r="C5065" s="28" t="s">
        <v>1165</v>
      </c>
      <c r="D5065" s="26" t="s">
        <v>56</v>
      </c>
      <c r="E5065" s="31">
        <v>46236.0</v>
      </c>
      <c r="F5065" s="26" t="s">
        <v>41</v>
      </c>
      <c r="I5065" s="26" t="s">
        <v>863</v>
      </c>
      <c r="J5065" s="25" t="str">
        <f t="shared" si="58"/>
        <v>No</v>
      </c>
      <c r="K5065" s="25" t="str">
        <f t="shared" si="59"/>
        <v/>
      </c>
      <c r="L5065" s="25" t="str">
        <f t="shared" si="60"/>
        <v/>
      </c>
      <c r="M5065" s="25"/>
      <c r="O5065" s="25"/>
    </row>
    <row r="5066" ht="15.75" customHeight="1">
      <c r="A5066" s="25" t="str">
        <f>IFERROR(__xludf.DUMMYFUNCTION("IF(B5066="""","""",RIGHT(REGEXREPLACE(B5066&amp;"""",""[^0-9]"",""""),9))"),"767682570")</f>
        <v>767682570</v>
      </c>
      <c r="B5066" s="64">
        <v>9.476768257E10</v>
      </c>
      <c r="C5066" s="28" t="s">
        <v>5014</v>
      </c>
      <c r="D5066" s="26" t="s">
        <v>64</v>
      </c>
      <c r="E5066" s="31">
        <v>46236.0</v>
      </c>
      <c r="F5066" s="26" t="s">
        <v>659</v>
      </c>
      <c r="I5066" s="26" t="s">
        <v>863</v>
      </c>
      <c r="J5066" s="25" t="str">
        <f t="shared" si="58"/>
        <v>No</v>
      </c>
      <c r="K5066" s="25" t="str">
        <f t="shared" si="59"/>
        <v/>
      </c>
      <c r="L5066" s="25" t="str">
        <f t="shared" si="60"/>
        <v/>
      </c>
      <c r="M5066" s="25"/>
      <c r="O5066" s="25"/>
    </row>
    <row r="5067" ht="15.75" customHeight="1">
      <c r="A5067" s="25" t="str">
        <f>IFERROR(__xludf.DUMMYFUNCTION("IF(B5067="""","""",RIGHT(REGEXREPLACE(B5067&amp;"""",""[^0-9]"",""""),9))"),"776082582")</f>
        <v>776082582</v>
      </c>
      <c r="B5067" s="52">
        <v>7.76082582E8</v>
      </c>
      <c r="C5067" s="28" t="s">
        <v>5015</v>
      </c>
      <c r="D5067" s="26" t="s">
        <v>49</v>
      </c>
      <c r="E5067" s="31">
        <v>46236.0</v>
      </c>
      <c r="F5067" s="26" t="s">
        <v>659</v>
      </c>
      <c r="G5067" s="26">
        <v>6.0</v>
      </c>
      <c r="I5067" s="26" t="s">
        <v>863</v>
      </c>
      <c r="J5067" s="25" t="str">
        <f t="shared" si="58"/>
        <v>No</v>
      </c>
      <c r="K5067" s="25" t="str">
        <f t="shared" si="59"/>
        <v/>
      </c>
      <c r="L5067" s="25" t="str">
        <f t="shared" si="60"/>
        <v/>
      </c>
      <c r="M5067" s="25"/>
      <c r="O5067" s="25"/>
    </row>
    <row r="5068" ht="15.75" customHeight="1">
      <c r="A5068" s="25" t="str">
        <f>IFERROR(__xludf.DUMMYFUNCTION("IF(B5068="""","""",RIGHT(REGEXREPLACE(B5068&amp;"""",""[^0-9]"",""""),9))"),"763877149")</f>
        <v>763877149</v>
      </c>
      <c r="B5068" s="52">
        <v>7.63877149E8</v>
      </c>
      <c r="C5068" s="28" t="s">
        <v>4764</v>
      </c>
      <c r="D5068" s="26" t="s">
        <v>64</v>
      </c>
      <c r="E5068" s="31">
        <v>46236.0</v>
      </c>
      <c r="F5068" s="26" t="s">
        <v>41</v>
      </c>
      <c r="G5068" s="26">
        <v>9.0</v>
      </c>
      <c r="I5068" s="26" t="s">
        <v>863</v>
      </c>
      <c r="J5068" s="25" t="str">
        <f t="shared" si="58"/>
        <v>Yes - see Previous F-Code</v>
      </c>
      <c r="K5068" s="25" t="str">
        <f t="shared" si="59"/>
        <v>DUPLICATE - CHECK</v>
      </c>
      <c r="L5068" s="25" t="str">
        <f t="shared" si="60"/>
        <v>F74348</v>
      </c>
      <c r="M5068" s="25"/>
      <c r="O5068" s="25"/>
    </row>
    <row r="5069" ht="15.75" customHeight="1">
      <c r="A5069" s="25" t="str">
        <f>IFERROR(__xludf.DUMMYFUNCTION("IF(B5069="""","""",RIGHT(REGEXREPLACE(B5069&amp;"""",""[^0-9]"",""""),9))"),"753136267")</f>
        <v>753136267</v>
      </c>
      <c r="B5069" s="52">
        <v>7.53136267E8</v>
      </c>
      <c r="C5069" s="28" t="s">
        <v>5016</v>
      </c>
      <c r="D5069" s="26" t="s">
        <v>45</v>
      </c>
      <c r="E5069" s="31">
        <v>46236.0</v>
      </c>
      <c r="F5069" s="26" t="s">
        <v>46</v>
      </c>
      <c r="G5069" s="26">
        <v>9.0</v>
      </c>
      <c r="I5069" s="26" t="s">
        <v>863</v>
      </c>
      <c r="J5069" s="25" t="str">
        <f t="shared" si="58"/>
        <v>No</v>
      </c>
      <c r="K5069" s="25" t="str">
        <f t="shared" si="59"/>
        <v/>
      </c>
      <c r="L5069" s="25" t="str">
        <f t="shared" si="60"/>
        <v/>
      </c>
      <c r="M5069" s="25"/>
      <c r="O5069" s="25"/>
    </row>
    <row r="5070" ht="15.75" customHeight="1">
      <c r="A5070" s="25" t="str">
        <f>IFERROR(__xludf.DUMMYFUNCTION("IF(B5070="""","""",RIGHT(REGEXREPLACE(B5070&amp;"""",""[^0-9]"",""""),9))"),"785146210")</f>
        <v>785146210</v>
      </c>
      <c r="B5070" s="52">
        <v>7.8514621E8</v>
      </c>
      <c r="C5070" s="28" t="s">
        <v>5017</v>
      </c>
      <c r="D5070" s="26" t="s">
        <v>64</v>
      </c>
      <c r="E5070" s="31">
        <v>46236.0</v>
      </c>
      <c r="F5070" s="25"/>
      <c r="G5070" s="26">
        <v>9.0</v>
      </c>
      <c r="H5070" s="25"/>
      <c r="I5070" s="26" t="s">
        <v>863</v>
      </c>
      <c r="J5070" s="25" t="str">
        <f t="shared" si="58"/>
        <v>No</v>
      </c>
      <c r="K5070" s="25" t="str">
        <f t="shared" si="59"/>
        <v/>
      </c>
      <c r="L5070" s="25" t="str">
        <f t="shared" si="60"/>
        <v/>
      </c>
      <c r="M5070" s="25"/>
      <c r="N5070" s="25"/>
      <c r="O5070" s="25"/>
      <c r="P5070" s="25"/>
    </row>
    <row r="5071" ht="15.75" customHeight="1">
      <c r="A5071" s="25" t="str">
        <f>IFERROR(__xludf.DUMMYFUNCTION("IF(B5071="""","""",RIGHT(REGEXREPLACE(B5071&amp;"""",""[^0-9]"",""""),9))"),"785146210")</f>
        <v>785146210</v>
      </c>
      <c r="B5071" s="52">
        <v>7.8514621E8</v>
      </c>
      <c r="C5071" s="28" t="s">
        <v>5017</v>
      </c>
      <c r="D5071" s="26" t="s">
        <v>45</v>
      </c>
      <c r="E5071" s="31">
        <v>46236.0</v>
      </c>
      <c r="F5071" s="26" t="s">
        <v>46</v>
      </c>
      <c r="G5071" s="26">
        <v>9.0</v>
      </c>
      <c r="I5071" s="26" t="s">
        <v>863</v>
      </c>
      <c r="J5071" s="25" t="str">
        <f t="shared" si="58"/>
        <v>Yes - see Previous F-Code</v>
      </c>
      <c r="K5071" s="25" t="str">
        <f t="shared" si="59"/>
        <v>DUPLICATE - CHECK</v>
      </c>
      <c r="L5071" s="25" t="str">
        <f t="shared" si="60"/>
        <v>F74572</v>
      </c>
      <c r="M5071" s="25"/>
      <c r="O5071" s="25"/>
    </row>
    <row r="5072" ht="15.75" customHeight="1">
      <c r="A5072" s="25" t="str">
        <f>IFERROR(__xludf.DUMMYFUNCTION("IF(B5072="""","""",RIGHT(REGEXREPLACE(B5072&amp;"""",""[^0-9]"",""""),9))"),"740499748")</f>
        <v>740499748</v>
      </c>
      <c r="B5072" s="52">
        <v>7.40499748E8</v>
      </c>
      <c r="C5072" s="28" t="s">
        <v>5018</v>
      </c>
      <c r="D5072" s="26" t="s">
        <v>45</v>
      </c>
      <c r="E5072" s="31">
        <v>46236.0</v>
      </c>
      <c r="F5072" s="26" t="s">
        <v>41</v>
      </c>
      <c r="G5072" s="26">
        <v>9.0</v>
      </c>
      <c r="I5072" s="26" t="s">
        <v>863</v>
      </c>
      <c r="J5072" s="25" t="str">
        <f t="shared" si="58"/>
        <v>No</v>
      </c>
      <c r="K5072" s="25" t="str">
        <f t="shared" si="59"/>
        <v/>
      </c>
      <c r="L5072" s="25" t="str">
        <f t="shared" si="60"/>
        <v/>
      </c>
      <c r="M5072" s="25"/>
      <c r="O5072" s="25"/>
    </row>
    <row r="5073" ht="15.75" customHeight="1">
      <c r="A5073" s="25" t="str">
        <f>IFERROR(__xludf.DUMMYFUNCTION("IF(B5073="""","""",RIGHT(REGEXREPLACE(B5073&amp;"""",""[^0-9]"",""""),9))"),"772781329")</f>
        <v>772781329</v>
      </c>
      <c r="B5073" s="52">
        <v>7.72781329E8</v>
      </c>
      <c r="C5073" s="28" t="s">
        <v>5019</v>
      </c>
      <c r="D5073" s="26" t="s">
        <v>64</v>
      </c>
      <c r="E5073" s="31">
        <v>46236.0</v>
      </c>
      <c r="F5073" s="26" t="s">
        <v>205</v>
      </c>
      <c r="I5073" s="26" t="s">
        <v>863</v>
      </c>
      <c r="J5073" s="25" t="str">
        <f t="shared" si="58"/>
        <v>No</v>
      </c>
      <c r="K5073" s="25" t="str">
        <f t="shared" si="59"/>
        <v/>
      </c>
      <c r="L5073" s="25" t="str">
        <f t="shared" si="60"/>
        <v/>
      </c>
      <c r="M5073" s="25"/>
      <c r="O5073" s="25"/>
    </row>
    <row r="5074" ht="15.75" customHeight="1">
      <c r="A5074" s="25" t="str">
        <f>IFERROR(__xludf.DUMMYFUNCTION("IF(B5074="""","""",RIGHT(REGEXREPLACE(B5074&amp;"""",""[^0-9]"",""""),9))"),"772781329")</f>
        <v>772781329</v>
      </c>
      <c r="B5074" s="52">
        <v>7.72781329E8</v>
      </c>
      <c r="C5074" s="28" t="s">
        <v>5019</v>
      </c>
      <c r="D5074" s="26" t="s">
        <v>45</v>
      </c>
      <c r="E5074" s="31">
        <v>46236.0</v>
      </c>
      <c r="F5074" s="26" t="s">
        <v>164</v>
      </c>
      <c r="G5074" s="26">
        <v>9.0</v>
      </c>
      <c r="I5074" s="26" t="s">
        <v>863</v>
      </c>
      <c r="J5074" s="25" t="str">
        <f t="shared" si="58"/>
        <v>Yes - see Previous F-Code</v>
      </c>
      <c r="K5074" s="25" t="str">
        <f t="shared" si="59"/>
        <v>DUPLICATE - CHECK</v>
      </c>
      <c r="L5074" s="25" t="str">
        <f t="shared" si="60"/>
        <v>F74575</v>
      </c>
      <c r="M5074" s="25"/>
      <c r="O5074" s="25"/>
    </row>
    <row r="5075" ht="15.75" customHeight="1">
      <c r="A5075" s="25" t="str">
        <f>IFERROR(__xludf.DUMMYFUNCTION("IF(B5075="""","""",RIGHT(REGEXREPLACE(B5075&amp;"""",""[^0-9]"",""""),9))"),"782825650")</f>
        <v>782825650</v>
      </c>
      <c r="B5075" s="52">
        <v>7.8282565E8</v>
      </c>
      <c r="C5075" s="28" t="s">
        <v>5020</v>
      </c>
      <c r="D5075" s="26" t="s">
        <v>49</v>
      </c>
      <c r="E5075" s="31">
        <v>46236.0</v>
      </c>
      <c r="F5075" s="26" t="s">
        <v>46</v>
      </c>
      <c r="G5075" s="26">
        <v>8.0</v>
      </c>
      <c r="I5075" s="26" t="s">
        <v>863</v>
      </c>
      <c r="J5075" s="25" t="str">
        <f t="shared" si="58"/>
        <v>No</v>
      </c>
      <c r="K5075" s="25" t="str">
        <f t="shared" si="59"/>
        <v/>
      </c>
      <c r="L5075" s="25" t="str">
        <f t="shared" si="60"/>
        <v/>
      </c>
      <c r="M5075" s="25"/>
      <c r="O5075" s="26" t="s">
        <v>51</v>
      </c>
    </row>
    <row r="5076" ht="15.75" customHeight="1">
      <c r="A5076" s="25" t="str">
        <f>IFERROR(__xludf.DUMMYFUNCTION("IF(B5076="""","""",RIGHT(REGEXREPLACE(B5076&amp;"""",""[^0-9]"",""""),9))"),"716282340")</f>
        <v>716282340</v>
      </c>
      <c r="B5076" s="52">
        <v>7.1628234E8</v>
      </c>
      <c r="C5076" s="28" t="s">
        <v>5021</v>
      </c>
      <c r="D5076" s="26" t="s">
        <v>64</v>
      </c>
      <c r="E5076" s="31">
        <v>46236.0</v>
      </c>
      <c r="F5076" s="26" t="s">
        <v>46</v>
      </c>
      <c r="G5076" s="26">
        <v>10.0</v>
      </c>
      <c r="I5076" s="26" t="s">
        <v>863</v>
      </c>
      <c r="J5076" s="25" t="str">
        <f t="shared" si="58"/>
        <v>No</v>
      </c>
      <c r="K5076" s="25" t="str">
        <f t="shared" si="59"/>
        <v/>
      </c>
      <c r="L5076" s="25" t="str">
        <f t="shared" si="60"/>
        <v/>
      </c>
      <c r="M5076" s="25"/>
      <c r="O5076" s="25"/>
    </row>
    <row r="5077" ht="15.75" customHeight="1">
      <c r="A5077" s="25" t="str">
        <f>IFERROR(__xludf.DUMMYFUNCTION("IF(B5077="""","""",RIGHT(REGEXREPLACE(B5077&amp;"""",""[^0-9]"",""""),9))"),"771890450")</f>
        <v>771890450</v>
      </c>
      <c r="B5077" s="52">
        <v>7.7189045E8</v>
      </c>
      <c r="C5077" s="28" t="s">
        <v>5022</v>
      </c>
      <c r="D5077" s="26" t="s">
        <v>45</v>
      </c>
      <c r="E5077" s="31">
        <v>46236.0</v>
      </c>
      <c r="F5077" s="26" t="s">
        <v>41</v>
      </c>
      <c r="I5077" s="26" t="s">
        <v>863</v>
      </c>
      <c r="J5077" s="25" t="str">
        <f t="shared" si="58"/>
        <v>No</v>
      </c>
      <c r="K5077" s="25" t="str">
        <f t="shared" si="59"/>
        <v/>
      </c>
      <c r="L5077" s="25" t="str">
        <f t="shared" si="60"/>
        <v/>
      </c>
      <c r="M5077" s="25"/>
      <c r="O5077" s="25"/>
    </row>
    <row r="5078" ht="15.75" customHeight="1">
      <c r="A5078" s="25" t="str">
        <f>IFERROR(__xludf.DUMMYFUNCTION("IF(B5078="""","""",RIGHT(REGEXREPLACE(B5078&amp;"""",""[^0-9]"",""""),9))"),"718258926")</f>
        <v>718258926</v>
      </c>
      <c r="B5078" s="52">
        <v>7.18258926E8</v>
      </c>
      <c r="C5078" s="28" t="s">
        <v>5023</v>
      </c>
      <c r="D5078" s="26" t="s">
        <v>56</v>
      </c>
      <c r="E5078" s="31">
        <v>46236.0</v>
      </c>
      <c r="F5078" s="26" t="s">
        <v>46</v>
      </c>
      <c r="G5078" s="26">
        <v>9.0</v>
      </c>
      <c r="I5078" s="26" t="s">
        <v>863</v>
      </c>
      <c r="J5078" s="25" t="str">
        <f t="shared" si="58"/>
        <v>No</v>
      </c>
      <c r="K5078" s="25" t="str">
        <f t="shared" si="59"/>
        <v/>
      </c>
      <c r="L5078" s="25" t="str">
        <f t="shared" si="60"/>
        <v/>
      </c>
      <c r="M5078" s="25"/>
      <c r="O5078" s="25"/>
    </row>
    <row r="5079" ht="15.75" customHeight="1">
      <c r="A5079" s="25" t="str">
        <f>IFERROR(__xludf.DUMMYFUNCTION("IF(B5079="""","""",RIGHT(REGEXREPLACE(B5079&amp;"""",""[^0-9]"",""""),9))"),"788203272")</f>
        <v>788203272</v>
      </c>
      <c r="B5079" s="52">
        <v>7.88203272E8</v>
      </c>
      <c r="C5079" s="28" t="s">
        <v>5024</v>
      </c>
      <c r="D5079" s="26" t="s">
        <v>45</v>
      </c>
      <c r="E5079" s="31">
        <v>46236.0</v>
      </c>
      <c r="F5079" s="26" t="s">
        <v>41</v>
      </c>
      <c r="G5079" s="26">
        <v>9.0</v>
      </c>
      <c r="I5079" s="26" t="s">
        <v>863</v>
      </c>
      <c r="J5079" s="25" t="str">
        <f t="shared" si="58"/>
        <v>No</v>
      </c>
      <c r="K5079" s="25" t="str">
        <f t="shared" si="59"/>
        <v/>
      </c>
      <c r="L5079" s="25" t="str">
        <f t="shared" si="60"/>
        <v/>
      </c>
      <c r="M5079" s="25"/>
      <c r="O5079" s="25"/>
    </row>
    <row r="5080" ht="15.75" customHeight="1">
      <c r="A5080" s="25" t="str">
        <f>IFERROR(__xludf.DUMMYFUNCTION("IF(B5080="""","""",RIGHT(REGEXREPLACE(B5080&amp;"""",""[^0-9]"",""""),9))"),"779114355")</f>
        <v>779114355</v>
      </c>
      <c r="B5080" s="52">
        <v>7.79114355E8</v>
      </c>
      <c r="C5080" s="28" t="s">
        <v>5025</v>
      </c>
      <c r="D5080" s="26" t="s">
        <v>56</v>
      </c>
      <c r="E5080" s="31">
        <v>46236.0</v>
      </c>
      <c r="F5080" s="26" t="s">
        <v>46</v>
      </c>
      <c r="G5080" s="26">
        <v>9.0</v>
      </c>
      <c r="I5080" s="26" t="s">
        <v>863</v>
      </c>
      <c r="J5080" s="25" t="str">
        <f t="shared" si="58"/>
        <v>No</v>
      </c>
      <c r="K5080" s="25" t="str">
        <f t="shared" si="59"/>
        <v/>
      </c>
      <c r="L5080" s="25" t="str">
        <f t="shared" si="60"/>
        <v/>
      </c>
      <c r="M5080" s="25"/>
      <c r="O5080" s="25"/>
    </row>
    <row r="5081" ht="15.75" customHeight="1">
      <c r="A5081" s="25" t="str">
        <f>IFERROR(__xludf.DUMMYFUNCTION("IF(B5081="""","""",RIGHT(REGEXREPLACE(B5081&amp;"""",""[^0-9]"",""""),9))"),"543172695")</f>
        <v>543172695</v>
      </c>
      <c r="B5081" s="52">
        <v>1.543172695E9</v>
      </c>
      <c r="C5081" s="28" t="s">
        <v>5026</v>
      </c>
      <c r="D5081" s="26" t="s">
        <v>56</v>
      </c>
      <c r="E5081" s="31">
        <v>46236.0</v>
      </c>
      <c r="F5081" s="26" t="s">
        <v>814</v>
      </c>
      <c r="I5081" s="26" t="s">
        <v>863</v>
      </c>
      <c r="J5081" s="25" t="str">
        <f t="shared" si="58"/>
        <v>No</v>
      </c>
      <c r="K5081" s="25" t="str">
        <f t="shared" si="59"/>
        <v/>
      </c>
      <c r="L5081" s="25" t="str">
        <f t="shared" si="60"/>
        <v/>
      </c>
      <c r="M5081" s="25"/>
      <c r="O5081" s="25"/>
    </row>
    <row r="5082" ht="15.75" customHeight="1">
      <c r="A5082" s="25" t="str">
        <f>IFERROR(__xludf.DUMMYFUNCTION("IF(B5082="""","""",RIGHT(REGEXREPLACE(B5082&amp;"""",""[^0-9]"",""""),9))"),"768063516")</f>
        <v>768063516</v>
      </c>
      <c r="B5082" s="52">
        <v>7.68063516E8</v>
      </c>
      <c r="C5082" s="28" t="s">
        <v>1676</v>
      </c>
      <c r="D5082" s="26" t="s">
        <v>64</v>
      </c>
      <c r="E5082" s="31">
        <v>46236.0</v>
      </c>
      <c r="F5082" s="26" t="s">
        <v>46</v>
      </c>
      <c r="G5082" s="26">
        <v>11.0</v>
      </c>
      <c r="I5082" s="26" t="s">
        <v>863</v>
      </c>
      <c r="J5082" s="25" t="str">
        <f t="shared" si="58"/>
        <v>Yes - see Previous F-Code</v>
      </c>
      <c r="K5082" s="25" t="str">
        <f t="shared" si="59"/>
        <v/>
      </c>
      <c r="L5082" s="25" t="str">
        <f t="shared" si="60"/>
        <v>F71388</v>
      </c>
      <c r="M5082" s="25"/>
      <c r="O5082" s="25"/>
    </row>
    <row r="5083" ht="15.75" customHeight="1">
      <c r="A5083" s="25" t="str">
        <f>IFERROR(__xludf.DUMMYFUNCTION("IF(B5083="""","""",RIGHT(REGEXREPLACE(B5083&amp;"""",""[^0-9]"",""""),9))"),"743768735")</f>
        <v>743768735</v>
      </c>
      <c r="B5083" s="52">
        <v>7.43768735E8</v>
      </c>
      <c r="C5083" s="28" t="s">
        <v>5027</v>
      </c>
      <c r="D5083" s="26" t="s">
        <v>45</v>
      </c>
      <c r="E5083" s="31">
        <v>46236.0</v>
      </c>
      <c r="F5083" s="26" t="s">
        <v>46</v>
      </c>
      <c r="G5083" s="26">
        <v>9.0</v>
      </c>
      <c r="H5083" s="26" t="s">
        <v>140</v>
      </c>
      <c r="I5083" s="26" t="s">
        <v>863</v>
      </c>
      <c r="J5083" s="25" t="str">
        <f t="shared" si="58"/>
        <v>No</v>
      </c>
      <c r="K5083" s="25" t="str">
        <f t="shared" si="59"/>
        <v/>
      </c>
      <c r="L5083" s="25" t="str">
        <f t="shared" si="60"/>
        <v/>
      </c>
      <c r="M5083" s="25"/>
      <c r="O5083" s="25"/>
    </row>
    <row r="5084" ht="15.75" customHeight="1">
      <c r="A5084" s="25" t="str">
        <f>IFERROR(__xludf.DUMMYFUNCTION("IF(B5084="""","""",RIGHT(REGEXREPLACE(B5084&amp;"""",""[^0-9]"",""""),9))"),"711118367")</f>
        <v>711118367</v>
      </c>
      <c r="B5084" s="52">
        <v>7.11118367E8</v>
      </c>
      <c r="C5084" s="28" t="s">
        <v>5028</v>
      </c>
      <c r="D5084" s="26" t="s">
        <v>49</v>
      </c>
      <c r="E5084" s="31">
        <v>46236.0</v>
      </c>
      <c r="F5084" s="26" t="s">
        <v>205</v>
      </c>
      <c r="G5084" s="26">
        <v>9.0</v>
      </c>
      <c r="I5084" s="26" t="s">
        <v>863</v>
      </c>
      <c r="J5084" s="25" t="str">
        <f t="shared" si="58"/>
        <v>No</v>
      </c>
      <c r="K5084" s="25" t="str">
        <f t="shared" si="59"/>
        <v/>
      </c>
      <c r="L5084" s="25" t="str">
        <f t="shared" si="60"/>
        <v/>
      </c>
      <c r="M5084" s="25"/>
      <c r="O5084" s="25"/>
    </row>
    <row r="5085" ht="15.75" customHeight="1">
      <c r="A5085" s="25" t="str">
        <f>IFERROR(__xludf.DUMMYFUNCTION("IF(B5085="""","""",RIGHT(REGEXREPLACE(B5085&amp;"""",""[^0-9]"",""""),9))"),"764261445")</f>
        <v>764261445</v>
      </c>
      <c r="B5085" s="52">
        <v>7.64261445E8</v>
      </c>
      <c r="C5085" s="28" t="s">
        <v>5029</v>
      </c>
      <c r="D5085" s="26" t="s">
        <v>45</v>
      </c>
      <c r="E5085" s="31">
        <v>46236.0</v>
      </c>
      <c r="F5085" s="26" t="s">
        <v>164</v>
      </c>
      <c r="G5085" s="26">
        <v>9.0</v>
      </c>
      <c r="I5085" s="26" t="s">
        <v>863</v>
      </c>
      <c r="J5085" s="25" t="str">
        <f t="shared" si="58"/>
        <v>No</v>
      </c>
      <c r="K5085" s="25" t="str">
        <f t="shared" si="59"/>
        <v/>
      </c>
      <c r="L5085" s="25" t="str">
        <f t="shared" si="60"/>
        <v/>
      </c>
      <c r="M5085" s="25"/>
      <c r="O5085" s="25"/>
    </row>
    <row r="5086" ht="15.75" customHeight="1">
      <c r="A5086" s="25" t="str">
        <f>IFERROR(__xludf.DUMMYFUNCTION("IF(B5086="""","""",RIGHT(REGEXREPLACE(B5086&amp;"""",""[^0-9]"",""""),9))"),"702643840")</f>
        <v>702643840</v>
      </c>
      <c r="B5086" s="52">
        <v>7.0264384E8</v>
      </c>
      <c r="C5086" s="28" t="s">
        <v>5030</v>
      </c>
      <c r="D5086" s="26" t="s">
        <v>64</v>
      </c>
      <c r="E5086" s="31">
        <v>46236.0</v>
      </c>
      <c r="F5086" s="26" t="s">
        <v>46</v>
      </c>
      <c r="G5086" s="26">
        <v>9.0</v>
      </c>
      <c r="I5086" s="26" t="s">
        <v>863</v>
      </c>
      <c r="J5086" s="25" t="str">
        <f t="shared" si="58"/>
        <v>No</v>
      </c>
      <c r="K5086" s="25" t="str">
        <f t="shared" si="59"/>
        <v/>
      </c>
      <c r="L5086" s="25" t="str">
        <f t="shared" si="60"/>
        <v/>
      </c>
      <c r="M5086" s="25"/>
      <c r="O5086" s="26" t="s">
        <v>51</v>
      </c>
    </row>
    <row r="5087" ht="15.75" customHeight="1">
      <c r="A5087" s="25" t="str">
        <f>IFERROR(__xludf.DUMMYFUNCTION("IF(B5087="""","""",RIGHT(REGEXREPLACE(B5087&amp;"""",""[^0-9]"",""""),9))"),"719642010")</f>
        <v>719642010</v>
      </c>
      <c r="B5087" s="52">
        <v>7.1964201E8</v>
      </c>
      <c r="C5087" s="28" t="s">
        <v>3170</v>
      </c>
      <c r="D5087" s="26" t="s">
        <v>49</v>
      </c>
      <c r="E5087" s="31">
        <v>46236.0</v>
      </c>
      <c r="F5087" s="25"/>
      <c r="G5087" s="26">
        <v>9.0</v>
      </c>
      <c r="H5087" s="118" t="s">
        <v>5031</v>
      </c>
      <c r="I5087" s="26" t="s">
        <v>863</v>
      </c>
      <c r="J5087" s="25" t="str">
        <f t="shared" si="58"/>
        <v>Yes - see Previous F-Code</v>
      </c>
      <c r="K5087" s="25" t="str">
        <f t="shared" si="59"/>
        <v/>
      </c>
      <c r="L5087" s="25" t="str">
        <f t="shared" si="60"/>
        <v>F72806</v>
      </c>
      <c r="M5087" s="25"/>
      <c r="N5087" s="25"/>
      <c r="O5087" s="25"/>
      <c r="P5087" s="25"/>
    </row>
    <row r="5088" ht="15.75" customHeight="1">
      <c r="A5088" s="25" t="str">
        <f>IFERROR(__xludf.DUMMYFUNCTION("IF(B5088="""","""",RIGHT(REGEXREPLACE(B5088&amp;"""",""[^0-9]"",""""),9))"),"713369731")</f>
        <v>713369731</v>
      </c>
      <c r="B5088" s="52">
        <v>7.13369731E8</v>
      </c>
      <c r="C5088" s="28" t="s">
        <v>5032</v>
      </c>
      <c r="D5088" s="26" t="s">
        <v>45</v>
      </c>
      <c r="E5088" s="31">
        <v>46236.0</v>
      </c>
      <c r="F5088" s="26" t="s">
        <v>46</v>
      </c>
      <c r="G5088" s="26">
        <v>9.0</v>
      </c>
      <c r="I5088" s="26" t="s">
        <v>863</v>
      </c>
      <c r="J5088" s="25" t="str">
        <f t="shared" si="58"/>
        <v>No</v>
      </c>
      <c r="K5088" s="25" t="str">
        <f t="shared" si="59"/>
        <v/>
      </c>
      <c r="L5088" s="25" t="str">
        <f t="shared" si="60"/>
        <v/>
      </c>
      <c r="M5088" s="25"/>
      <c r="O5088" s="26" t="s">
        <v>51</v>
      </c>
    </row>
    <row r="5089" ht="15.75" customHeight="1">
      <c r="A5089" s="25" t="str">
        <f>IFERROR(__xludf.DUMMYFUNCTION("IF(B5089="""","""",RIGHT(REGEXREPLACE(B5089&amp;"""",""[^0-9]"",""""),9))"),"772769404")</f>
        <v>772769404</v>
      </c>
      <c r="B5089" s="52">
        <v>7.72769404E8</v>
      </c>
      <c r="C5089" s="28" t="s">
        <v>5033</v>
      </c>
      <c r="D5089" s="26" t="s">
        <v>45</v>
      </c>
      <c r="E5089" s="31">
        <v>46236.0</v>
      </c>
      <c r="F5089" s="26" t="s">
        <v>46</v>
      </c>
      <c r="G5089" s="26">
        <v>11.0</v>
      </c>
      <c r="I5089" s="26" t="s">
        <v>863</v>
      </c>
      <c r="J5089" s="25" t="str">
        <f t="shared" si="58"/>
        <v>No</v>
      </c>
      <c r="K5089" s="25" t="str">
        <f t="shared" si="59"/>
        <v/>
      </c>
      <c r="L5089" s="25" t="str">
        <f t="shared" si="60"/>
        <v/>
      </c>
      <c r="M5089" s="25"/>
      <c r="O5089" s="25"/>
    </row>
    <row r="5090" ht="15.75" customHeight="1">
      <c r="A5090" s="25" t="str">
        <f>IFERROR(__xludf.DUMMYFUNCTION("IF(B5090="""","""",RIGHT(REGEXREPLACE(B5090&amp;"""",""[^0-9]"",""""),9))"),"743694993")</f>
        <v>743694993</v>
      </c>
      <c r="B5090" s="52">
        <v>7.43694993E8</v>
      </c>
      <c r="C5090" s="28" t="s">
        <v>5034</v>
      </c>
      <c r="D5090" s="26" t="s">
        <v>49</v>
      </c>
      <c r="E5090" s="31">
        <v>46236.0</v>
      </c>
      <c r="F5090" s="26" t="s">
        <v>41</v>
      </c>
      <c r="I5090" s="26" t="s">
        <v>863</v>
      </c>
      <c r="J5090" s="25" t="str">
        <f t="shared" si="58"/>
        <v>No</v>
      </c>
      <c r="K5090" s="25" t="str">
        <f t="shared" si="59"/>
        <v/>
      </c>
      <c r="L5090" s="25" t="str">
        <f t="shared" si="60"/>
        <v/>
      </c>
      <c r="M5090" s="25"/>
      <c r="O5090" s="25"/>
    </row>
    <row r="5091" ht="15.75" customHeight="1">
      <c r="A5091" s="25" t="str">
        <f>IFERROR(__xludf.DUMMYFUNCTION("IF(B5091="""","""",RIGHT(REGEXREPLACE(B5091&amp;"""",""[^0-9]"",""""),9))"),"775442134")</f>
        <v>775442134</v>
      </c>
      <c r="B5091" s="52">
        <v>7.75442134E8</v>
      </c>
      <c r="C5091" s="28" t="s">
        <v>4941</v>
      </c>
      <c r="D5091" s="26" t="s">
        <v>64</v>
      </c>
      <c r="E5091" s="31">
        <v>46236.0</v>
      </c>
      <c r="F5091" s="26" t="s">
        <v>205</v>
      </c>
      <c r="G5091" s="26">
        <v>7.0</v>
      </c>
      <c r="I5091" s="26" t="s">
        <v>863</v>
      </c>
      <c r="J5091" s="25" t="str">
        <f t="shared" si="58"/>
        <v>Yes - see Previous F-Code</v>
      </c>
      <c r="K5091" s="25" t="str">
        <f t="shared" si="59"/>
        <v>DUPLICATE - CHECK</v>
      </c>
      <c r="L5091" s="25" t="str">
        <f t="shared" si="60"/>
        <v>F74506</v>
      </c>
      <c r="M5091" s="25"/>
      <c r="O5091" s="25"/>
    </row>
    <row r="5092" ht="15.75" customHeight="1">
      <c r="A5092" s="25" t="str">
        <f>IFERROR(__xludf.DUMMYFUNCTION("IF(B5092="""","""",RIGHT(REGEXREPLACE(B5092&amp;"""",""[^0-9]"",""""),9))"),"763102585")</f>
        <v>763102585</v>
      </c>
      <c r="B5092" s="52">
        <v>7.63102585E8</v>
      </c>
      <c r="C5092" s="28" t="s">
        <v>5035</v>
      </c>
      <c r="D5092" s="26" t="s">
        <v>49</v>
      </c>
      <c r="E5092" s="31">
        <v>46236.0</v>
      </c>
      <c r="F5092" s="26" t="s">
        <v>46</v>
      </c>
      <c r="G5092" s="26">
        <v>9.0</v>
      </c>
      <c r="H5092" s="117" t="s">
        <v>5036</v>
      </c>
      <c r="I5092" s="26" t="s">
        <v>863</v>
      </c>
      <c r="J5092" s="25" t="str">
        <f t="shared" si="58"/>
        <v>No</v>
      </c>
      <c r="K5092" s="25" t="str">
        <f t="shared" si="59"/>
        <v/>
      </c>
      <c r="L5092" s="25" t="str">
        <f t="shared" si="60"/>
        <v/>
      </c>
      <c r="M5092" s="25"/>
      <c r="O5092" s="25"/>
    </row>
    <row r="5093" ht="15.75" customHeight="1">
      <c r="A5093" s="25" t="str">
        <f>IFERROR(__xludf.DUMMYFUNCTION("IF(B5093="""","""",RIGHT(REGEXREPLACE(B5093&amp;"""",""[^0-9]"",""""),9))"),"741532267")</f>
        <v>741532267</v>
      </c>
      <c r="B5093" s="52">
        <v>7.41532267E8</v>
      </c>
      <c r="C5093" s="28" t="s">
        <v>5037</v>
      </c>
      <c r="D5093" s="26" t="s">
        <v>45</v>
      </c>
      <c r="E5093" s="31">
        <v>46236.0</v>
      </c>
      <c r="F5093" s="26" t="s">
        <v>46</v>
      </c>
      <c r="G5093" s="26">
        <v>6.0</v>
      </c>
      <c r="I5093" s="26" t="s">
        <v>863</v>
      </c>
      <c r="J5093" s="25" t="str">
        <f t="shared" si="58"/>
        <v>No</v>
      </c>
      <c r="K5093" s="25" t="str">
        <f t="shared" si="59"/>
        <v/>
      </c>
      <c r="L5093" s="25" t="str">
        <f t="shared" si="60"/>
        <v/>
      </c>
      <c r="M5093" s="25"/>
      <c r="O5093" s="25"/>
    </row>
    <row r="5094" ht="15.75" customHeight="1">
      <c r="A5094" s="25" t="str">
        <f>IFERROR(__xludf.DUMMYFUNCTION("IF(B5094="""","""",RIGHT(REGEXREPLACE(B5094&amp;"""",""[^0-9]"",""""),9))"),"753306706")</f>
        <v>753306706</v>
      </c>
      <c r="B5094" s="52">
        <v>7.53306706E8</v>
      </c>
      <c r="C5094" s="28" t="s">
        <v>5038</v>
      </c>
      <c r="D5094" s="26" t="s">
        <v>64</v>
      </c>
      <c r="E5094" s="31">
        <v>46236.0</v>
      </c>
      <c r="F5094" s="26" t="s">
        <v>41</v>
      </c>
      <c r="G5094" s="26">
        <v>9.0</v>
      </c>
      <c r="I5094" s="26" t="s">
        <v>863</v>
      </c>
      <c r="J5094" s="25" t="str">
        <f t="shared" si="58"/>
        <v>No</v>
      </c>
      <c r="K5094" s="25" t="str">
        <f t="shared" si="59"/>
        <v/>
      </c>
      <c r="L5094" s="25" t="str">
        <f t="shared" si="60"/>
        <v/>
      </c>
      <c r="M5094" s="25"/>
      <c r="O5094" s="26" t="s">
        <v>51</v>
      </c>
    </row>
    <row r="5095" ht="15.75" customHeight="1">
      <c r="A5095" s="25" t="str">
        <f>IFERROR(__xludf.DUMMYFUNCTION("IF(B5095="""","""",RIGHT(REGEXREPLACE(B5095&amp;"""",""[^0-9]"",""""),9))"),"772250372")</f>
        <v>772250372</v>
      </c>
      <c r="B5095" s="52">
        <v>7.72250372E8</v>
      </c>
      <c r="C5095" s="28" t="s">
        <v>1165</v>
      </c>
      <c r="D5095" s="26" t="s">
        <v>56</v>
      </c>
      <c r="E5095" s="31">
        <v>46236.0</v>
      </c>
      <c r="F5095" s="26" t="s">
        <v>41</v>
      </c>
      <c r="G5095" s="26">
        <v>9.0</v>
      </c>
      <c r="I5095" s="26" t="s">
        <v>863</v>
      </c>
      <c r="J5095" s="25" t="str">
        <f t="shared" si="58"/>
        <v>No</v>
      </c>
      <c r="K5095" s="25" t="str">
        <f t="shared" si="59"/>
        <v/>
      </c>
      <c r="L5095" s="25" t="str">
        <f t="shared" si="60"/>
        <v/>
      </c>
      <c r="M5095" s="25"/>
      <c r="O5095" s="25"/>
    </row>
    <row r="5096" ht="15.75" customHeight="1">
      <c r="A5096" s="25" t="str">
        <f>IFERROR(__xludf.DUMMYFUNCTION("IF(B5096="""","""",RIGHT(REGEXREPLACE(B5096&amp;"""",""[^0-9]"",""""),9))"),"778631991")</f>
        <v>778631991</v>
      </c>
      <c r="B5096" s="52">
        <v>7.78631991E8</v>
      </c>
      <c r="C5096" s="28" t="s">
        <v>5039</v>
      </c>
      <c r="D5096" s="26" t="s">
        <v>45</v>
      </c>
      <c r="E5096" s="31">
        <v>46236.0</v>
      </c>
      <c r="F5096" s="26" t="s">
        <v>46</v>
      </c>
      <c r="G5096" s="26">
        <v>9.0</v>
      </c>
      <c r="I5096" s="26" t="s">
        <v>863</v>
      </c>
      <c r="J5096" s="25" t="str">
        <f t="shared" si="58"/>
        <v>No</v>
      </c>
      <c r="K5096" s="25" t="str">
        <f t="shared" si="59"/>
        <v/>
      </c>
      <c r="L5096" s="25" t="str">
        <f t="shared" si="60"/>
        <v/>
      </c>
      <c r="M5096" s="25"/>
      <c r="O5096" s="26" t="s">
        <v>51</v>
      </c>
    </row>
    <row r="5097" ht="15.75" customHeight="1">
      <c r="A5097" s="25" t="str">
        <f>IFERROR(__xludf.DUMMYFUNCTION("IF(B5097="""","""",RIGHT(REGEXREPLACE(B5097&amp;"""",""[^0-9]"",""""),9))"),"717239940")</f>
        <v>717239940</v>
      </c>
      <c r="B5097" s="52">
        <v>7.1723994E8</v>
      </c>
      <c r="C5097" s="28" t="s">
        <v>5040</v>
      </c>
      <c r="D5097" s="26" t="s">
        <v>49</v>
      </c>
      <c r="E5097" s="31">
        <v>46236.0</v>
      </c>
      <c r="F5097" s="26" t="s">
        <v>46</v>
      </c>
      <c r="G5097" s="26">
        <v>9.0</v>
      </c>
      <c r="H5097" s="117" t="s">
        <v>5041</v>
      </c>
      <c r="I5097" s="26" t="s">
        <v>863</v>
      </c>
      <c r="J5097" s="25" t="str">
        <f t="shared" si="58"/>
        <v>No</v>
      </c>
      <c r="K5097" s="25" t="str">
        <f t="shared" si="59"/>
        <v/>
      </c>
      <c r="L5097" s="25" t="str">
        <f t="shared" si="60"/>
        <v/>
      </c>
      <c r="M5097" s="25"/>
      <c r="O5097" s="25"/>
    </row>
    <row r="5098" ht="15.75" customHeight="1">
      <c r="A5098" s="25" t="str">
        <f>IFERROR(__xludf.DUMMYFUNCTION("IF(B5098="""","""",RIGHT(REGEXREPLACE(B5098&amp;"""",""[^0-9]"",""""),9))"),"787301773")</f>
        <v>787301773</v>
      </c>
      <c r="B5098" s="52">
        <v>7.87301773E8</v>
      </c>
      <c r="C5098" s="28" t="s">
        <v>5042</v>
      </c>
      <c r="D5098" s="26" t="s">
        <v>49</v>
      </c>
      <c r="E5098" s="31">
        <v>46236.0</v>
      </c>
      <c r="F5098" s="26" t="s">
        <v>41</v>
      </c>
      <c r="G5098" s="26">
        <v>9.0</v>
      </c>
      <c r="I5098" s="26" t="s">
        <v>863</v>
      </c>
      <c r="J5098" s="25" t="str">
        <f t="shared" si="58"/>
        <v>No</v>
      </c>
      <c r="K5098" s="25" t="str">
        <f t="shared" si="59"/>
        <v/>
      </c>
      <c r="L5098" s="25" t="str">
        <f t="shared" si="60"/>
        <v/>
      </c>
      <c r="M5098" s="25"/>
      <c r="O5098" s="25"/>
    </row>
    <row r="5099" ht="15.75" customHeight="1">
      <c r="A5099" s="25" t="str">
        <f>IFERROR(__xludf.DUMMYFUNCTION("IF(B5099="""","""",RIGHT(REGEXREPLACE(B5099&amp;"""",""[^0-9]"",""""),9))"),"714888080")</f>
        <v>714888080</v>
      </c>
      <c r="B5099" s="52">
        <v>7.1488808E8</v>
      </c>
      <c r="C5099" s="28" t="s">
        <v>5043</v>
      </c>
      <c r="D5099" s="26" t="s">
        <v>56</v>
      </c>
      <c r="E5099" s="31">
        <v>46236.0</v>
      </c>
      <c r="F5099" s="26" t="s">
        <v>46</v>
      </c>
      <c r="G5099" s="26">
        <v>9.0</v>
      </c>
      <c r="I5099" s="26" t="s">
        <v>863</v>
      </c>
      <c r="J5099" s="25" t="str">
        <f t="shared" si="58"/>
        <v>No</v>
      </c>
      <c r="K5099" s="25" t="str">
        <f t="shared" si="59"/>
        <v/>
      </c>
      <c r="L5099" s="25" t="str">
        <f t="shared" si="60"/>
        <v/>
      </c>
      <c r="M5099" s="25"/>
      <c r="O5099" s="25"/>
    </row>
    <row r="5100" ht="15.75" customHeight="1">
      <c r="A5100" s="25" t="str">
        <f>IFERROR(__xludf.DUMMYFUNCTION("IF(B5100="""","""",RIGHT(REGEXREPLACE(B5100&amp;"""",""[^0-9]"",""""),9))"),"717252778")</f>
        <v>717252778</v>
      </c>
      <c r="B5100" s="52">
        <v>7.17252778E8</v>
      </c>
      <c r="C5100" s="28" t="s">
        <v>5044</v>
      </c>
      <c r="D5100" s="26" t="s">
        <v>49</v>
      </c>
      <c r="E5100" s="31">
        <v>46236.0</v>
      </c>
      <c r="F5100" s="26" t="s">
        <v>41</v>
      </c>
      <c r="I5100" s="26" t="s">
        <v>863</v>
      </c>
      <c r="J5100" s="25" t="str">
        <f t="shared" si="58"/>
        <v>No</v>
      </c>
      <c r="K5100" s="25" t="str">
        <f t="shared" si="59"/>
        <v/>
      </c>
      <c r="L5100" s="25" t="str">
        <f t="shared" si="60"/>
        <v/>
      </c>
      <c r="M5100" s="25"/>
      <c r="O5100" s="25"/>
    </row>
    <row r="5101" ht="15.75" customHeight="1">
      <c r="A5101" s="25" t="str">
        <f>IFERROR(__xludf.DUMMYFUNCTION("IF(B5101="""","""",RIGHT(REGEXREPLACE(B5101&amp;"""",""[^0-9]"",""""),9))"),"768171451")</f>
        <v>768171451</v>
      </c>
      <c r="B5101" s="52">
        <v>7.68171451E8</v>
      </c>
      <c r="C5101" s="28" t="s">
        <v>5045</v>
      </c>
      <c r="D5101" s="26" t="s">
        <v>56</v>
      </c>
      <c r="E5101" s="31">
        <v>46236.0</v>
      </c>
      <c r="F5101" s="26" t="s">
        <v>46</v>
      </c>
      <c r="G5101" s="26">
        <v>9.0</v>
      </c>
      <c r="I5101" s="26" t="s">
        <v>863</v>
      </c>
      <c r="J5101" s="25" t="str">
        <f t="shared" si="58"/>
        <v>No</v>
      </c>
      <c r="K5101" s="25" t="str">
        <f t="shared" si="59"/>
        <v/>
      </c>
      <c r="L5101" s="25" t="str">
        <f t="shared" si="60"/>
        <v/>
      </c>
      <c r="M5101" s="25"/>
      <c r="O5101" s="25"/>
    </row>
    <row r="5102" ht="15.75" customHeight="1">
      <c r="A5102" s="25" t="str">
        <f>IFERROR(__xludf.DUMMYFUNCTION("IF(B5102="""","""",RIGHT(REGEXREPLACE(B5102&amp;"""",""[^0-9]"",""""),9))"),"764674788")</f>
        <v>764674788</v>
      </c>
      <c r="B5102" s="52">
        <v>7.64674788E8</v>
      </c>
      <c r="C5102" s="28" t="s">
        <v>5046</v>
      </c>
      <c r="D5102" s="26" t="s">
        <v>49</v>
      </c>
      <c r="E5102" s="31">
        <v>46236.0</v>
      </c>
      <c r="F5102" s="26" t="s">
        <v>46</v>
      </c>
      <c r="G5102" s="26">
        <v>9.0</v>
      </c>
      <c r="I5102" s="26" t="s">
        <v>863</v>
      </c>
      <c r="J5102" s="25" t="str">
        <f t="shared" si="58"/>
        <v>No</v>
      </c>
      <c r="K5102" s="25" t="str">
        <f t="shared" si="59"/>
        <v/>
      </c>
      <c r="L5102" s="25" t="str">
        <f t="shared" si="60"/>
        <v/>
      </c>
      <c r="M5102" s="25"/>
      <c r="O5102" s="25"/>
    </row>
    <row r="5103" ht="15.75" customHeight="1">
      <c r="A5103" s="25" t="str">
        <f>IFERROR(__xludf.DUMMYFUNCTION("IF(B5103="""","""",RIGHT(REGEXREPLACE(B5103&amp;"""",""[^0-9]"",""""),9))"),"717744579")</f>
        <v>717744579</v>
      </c>
      <c r="B5103" s="52">
        <v>7.17744579E8</v>
      </c>
      <c r="C5103" s="28" t="s">
        <v>5047</v>
      </c>
      <c r="D5103" s="26" t="s">
        <v>56</v>
      </c>
      <c r="E5103" s="31">
        <v>46236.0</v>
      </c>
      <c r="F5103" s="26" t="s">
        <v>46</v>
      </c>
      <c r="G5103" s="26">
        <v>11.0</v>
      </c>
      <c r="I5103" s="26" t="s">
        <v>863</v>
      </c>
      <c r="J5103" s="25" t="str">
        <f t="shared" si="58"/>
        <v>No</v>
      </c>
      <c r="K5103" s="25" t="str">
        <f t="shared" si="59"/>
        <v/>
      </c>
      <c r="L5103" s="25" t="str">
        <f t="shared" si="60"/>
        <v/>
      </c>
      <c r="M5103" s="25"/>
      <c r="O5103" s="25"/>
    </row>
    <row r="5104" ht="15.75" customHeight="1">
      <c r="A5104" s="25" t="str">
        <f>IFERROR(__xludf.DUMMYFUNCTION("IF(B5104="""","""",RIGHT(REGEXREPLACE(B5104&amp;"""",""[^0-9]"",""""),9))"),"712245069")</f>
        <v>712245069</v>
      </c>
      <c r="B5104" s="52">
        <v>7.12245069E8</v>
      </c>
      <c r="C5104" s="28" t="s">
        <v>5048</v>
      </c>
      <c r="D5104" s="26" t="s">
        <v>49</v>
      </c>
      <c r="E5104" s="31">
        <v>46236.0</v>
      </c>
      <c r="F5104" s="26" t="s">
        <v>46</v>
      </c>
      <c r="G5104" s="26">
        <v>9.0</v>
      </c>
      <c r="H5104" s="26" t="s">
        <v>94</v>
      </c>
      <c r="I5104" s="26" t="s">
        <v>863</v>
      </c>
      <c r="J5104" s="25" t="str">
        <f t="shared" si="58"/>
        <v>No</v>
      </c>
      <c r="K5104" s="25" t="str">
        <f t="shared" si="59"/>
        <v/>
      </c>
      <c r="L5104" s="25" t="str">
        <f t="shared" si="60"/>
        <v/>
      </c>
      <c r="M5104" s="25"/>
      <c r="O5104" s="25"/>
    </row>
    <row r="5105" ht="15.75" customHeight="1">
      <c r="A5105" s="25" t="str">
        <f>IFERROR(__xludf.DUMMYFUNCTION("IF(B5105="""","""",RIGHT(REGEXREPLACE(B5105&amp;"""",""[^0-9]"",""""),9))"),"756936906")</f>
        <v>756936906</v>
      </c>
      <c r="B5105" s="52">
        <v>7.56936906E8</v>
      </c>
      <c r="C5105" s="28" t="s">
        <v>5049</v>
      </c>
      <c r="D5105" s="26" t="s">
        <v>45</v>
      </c>
      <c r="E5105" s="31">
        <v>46236.0</v>
      </c>
      <c r="F5105" s="26" t="s">
        <v>205</v>
      </c>
      <c r="I5105" s="26" t="s">
        <v>863</v>
      </c>
      <c r="J5105" s="25" t="str">
        <f t="shared" si="58"/>
        <v>No</v>
      </c>
      <c r="K5105" s="25" t="str">
        <f t="shared" si="59"/>
        <v/>
      </c>
      <c r="L5105" s="25" t="str">
        <f t="shared" si="60"/>
        <v/>
      </c>
      <c r="M5105" s="25"/>
      <c r="O5105" s="25"/>
    </row>
    <row r="5106" ht="15.75" customHeight="1">
      <c r="A5106" s="25" t="str">
        <f>IFERROR(__xludf.DUMMYFUNCTION("IF(B5106="""","""",RIGHT(REGEXREPLACE(B5106&amp;"""",""[^0-9]"",""""),9))"),"743658054")</f>
        <v>743658054</v>
      </c>
      <c r="B5106" s="52">
        <v>7.43658054E8</v>
      </c>
      <c r="C5106" s="28" t="s">
        <v>5050</v>
      </c>
      <c r="D5106" s="26" t="s">
        <v>45</v>
      </c>
      <c r="E5106" s="31">
        <v>46236.0</v>
      </c>
      <c r="F5106" s="26" t="s">
        <v>205</v>
      </c>
      <c r="G5106" s="26">
        <v>9.0</v>
      </c>
      <c r="I5106" s="26" t="s">
        <v>863</v>
      </c>
      <c r="J5106" s="25" t="str">
        <f t="shared" si="58"/>
        <v>No</v>
      </c>
      <c r="K5106" s="25" t="str">
        <f t="shared" si="59"/>
        <v/>
      </c>
      <c r="L5106" s="25" t="str">
        <f t="shared" si="60"/>
        <v/>
      </c>
      <c r="M5106" s="25"/>
      <c r="O5106" s="25"/>
    </row>
    <row r="5107" ht="15.75" customHeight="1">
      <c r="A5107" s="25" t="str">
        <f>IFERROR(__xludf.DUMMYFUNCTION("IF(B5107="""","""",RIGHT(REGEXREPLACE(B5107&amp;"""",""[^0-9]"",""""),9))"),"778796188")</f>
        <v>778796188</v>
      </c>
      <c r="B5107" s="52">
        <v>7.78796188E8</v>
      </c>
      <c r="C5107" s="28" t="s">
        <v>5051</v>
      </c>
      <c r="D5107" s="26" t="s">
        <v>56</v>
      </c>
      <c r="E5107" s="31">
        <v>46236.0</v>
      </c>
      <c r="F5107" s="26" t="s">
        <v>46</v>
      </c>
      <c r="G5107" s="26">
        <v>9.0</v>
      </c>
      <c r="I5107" s="26" t="s">
        <v>863</v>
      </c>
      <c r="J5107" s="25" t="str">
        <f t="shared" si="58"/>
        <v>No</v>
      </c>
      <c r="K5107" s="25" t="str">
        <f t="shared" si="59"/>
        <v/>
      </c>
      <c r="L5107" s="25" t="str">
        <f t="shared" si="60"/>
        <v/>
      </c>
      <c r="M5107" s="25"/>
      <c r="O5107" s="26" t="s">
        <v>51</v>
      </c>
    </row>
    <row r="5108" ht="15.75" customHeight="1">
      <c r="A5108" s="25" t="str">
        <f>IFERROR(__xludf.DUMMYFUNCTION("IF(B5108="""","""",RIGHT(REGEXREPLACE(B5108&amp;"""",""[^0-9]"",""""),9))"),"779711601")</f>
        <v>779711601</v>
      </c>
      <c r="B5108" s="52">
        <v>7.79711601E8</v>
      </c>
      <c r="C5108" s="28" t="s">
        <v>5052</v>
      </c>
      <c r="D5108" s="26" t="s">
        <v>45</v>
      </c>
      <c r="E5108" s="31">
        <v>46236.0</v>
      </c>
      <c r="F5108" s="26" t="s">
        <v>46</v>
      </c>
      <c r="G5108" s="26">
        <v>9.0</v>
      </c>
      <c r="I5108" s="26" t="s">
        <v>863</v>
      </c>
      <c r="J5108" s="25" t="str">
        <f t="shared" si="58"/>
        <v>No</v>
      </c>
      <c r="K5108" s="25" t="str">
        <f t="shared" si="59"/>
        <v/>
      </c>
      <c r="L5108" s="25" t="str">
        <f t="shared" si="60"/>
        <v/>
      </c>
      <c r="M5108" s="25"/>
      <c r="O5108" s="25"/>
    </row>
    <row r="5109" ht="15.75" customHeight="1">
      <c r="A5109" s="25" t="str">
        <f>IFERROR(__xludf.DUMMYFUNCTION("IF(B5109="""","""",RIGHT(REGEXREPLACE(B5109&amp;"""",""[^0-9]"",""""),9))"),"767374281")</f>
        <v>767374281</v>
      </c>
      <c r="B5109" s="52">
        <v>7.67374281E8</v>
      </c>
      <c r="C5109" s="28" t="s">
        <v>5019</v>
      </c>
      <c r="D5109" s="26" t="s">
        <v>56</v>
      </c>
      <c r="E5109" s="31">
        <v>46237.0</v>
      </c>
      <c r="F5109" s="26" t="s">
        <v>46</v>
      </c>
      <c r="H5109" s="26" t="s">
        <v>78</v>
      </c>
      <c r="I5109" s="26" t="s">
        <v>863</v>
      </c>
      <c r="J5109" s="25" t="str">
        <f t="shared" si="58"/>
        <v>No</v>
      </c>
      <c r="K5109" s="25" t="str">
        <f t="shared" si="59"/>
        <v/>
      </c>
      <c r="L5109" s="25" t="str">
        <f t="shared" si="60"/>
        <v/>
      </c>
      <c r="M5109" s="25"/>
      <c r="O5109" s="25"/>
    </row>
    <row r="5110" ht="15.75" customHeight="1">
      <c r="A5110" s="25" t="str">
        <f>IFERROR(__xludf.DUMMYFUNCTION("IF(B5110="""","""",RIGHT(REGEXREPLACE(B5110&amp;"""",""[^0-9]"",""""),9))"),"774796432")</f>
        <v>774796432</v>
      </c>
      <c r="B5110" s="52">
        <v>7.74796432E8</v>
      </c>
      <c r="C5110" s="28" t="s">
        <v>5053</v>
      </c>
      <c r="D5110" s="26" t="s">
        <v>45</v>
      </c>
      <c r="E5110" s="31">
        <v>46236.0</v>
      </c>
      <c r="F5110" s="26" t="s">
        <v>41</v>
      </c>
      <c r="G5110" s="26">
        <v>9.0</v>
      </c>
      <c r="I5110" s="26" t="s">
        <v>863</v>
      </c>
      <c r="J5110" s="25" t="str">
        <f t="shared" si="58"/>
        <v>No</v>
      </c>
      <c r="K5110" s="25" t="str">
        <f t="shared" si="59"/>
        <v/>
      </c>
      <c r="L5110" s="25" t="str">
        <f t="shared" si="60"/>
        <v/>
      </c>
      <c r="M5110" s="25"/>
      <c r="O5110" s="25"/>
    </row>
    <row r="5111" ht="15.75" customHeight="1">
      <c r="A5111" s="25" t="str">
        <f>IFERROR(__xludf.DUMMYFUNCTION("IF(B5111="""","""",RIGHT(REGEXREPLACE(B5111&amp;"""",""[^0-9]"",""""),9))"),"769657099")</f>
        <v>769657099</v>
      </c>
      <c r="B5111" s="52">
        <v>7.69657099E8</v>
      </c>
      <c r="C5111" s="28" t="s">
        <v>5054</v>
      </c>
      <c r="D5111" s="26" t="s">
        <v>49</v>
      </c>
      <c r="E5111" s="31">
        <v>46237.0</v>
      </c>
      <c r="F5111" s="26" t="s">
        <v>46</v>
      </c>
      <c r="G5111" s="26">
        <v>9.0</v>
      </c>
      <c r="H5111" s="117" t="s">
        <v>5055</v>
      </c>
      <c r="I5111" s="26" t="s">
        <v>863</v>
      </c>
      <c r="J5111" s="25" t="str">
        <f t="shared" si="58"/>
        <v>No</v>
      </c>
      <c r="K5111" s="25" t="str">
        <f t="shared" si="59"/>
        <v/>
      </c>
      <c r="L5111" s="25" t="str">
        <f t="shared" si="60"/>
        <v/>
      </c>
      <c r="M5111" s="25"/>
      <c r="O5111" s="26" t="s">
        <v>51</v>
      </c>
    </row>
    <row r="5112" ht="15.75" customHeight="1">
      <c r="A5112" s="25" t="str">
        <f>IFERROR(__xludf.DUMMYFUNCTION("IF(B5112="""","""",RIGHT(REGEXREPLACE(B5112&amp;"""",""[^0-9]"",""""),9))"),"763604993")</f>
        <v>763604993</v>
      </c>
      <c r="B5112" s="52">
        <v>7.63604993E8</v>
      </c>
      <c r="C5112" s="28" t="s">
        <v>5056</v>
      </c>
      <c r="D5112" s="26" t="s">
        <v>56</v>
      </c>
      <c r="E5112" s="31">
        <v>46237.0</v>
      </c>
      <c r="F5112" s="26" t="s">
        <v>46</v>
      </c>
      <c r="G5112" s="26">
        <v>9.0</v>
      </c>
      <c r="H5112" s="26" t="s">
        <v>140</v>
      </c>
      <c r="I5112" s="26" t="s">
        <v>863</v>
      </c>
      <c r="J5112" s="25" t="str">
        <f t="shared" si="58"/>
        <v>No</v>
      </c>
      <c r="K5112" s="25" t="str">
        <f t="shared" si="59"/>
        <v/>
      </c>
      <c r="L5112" s="25" t="str">
        <f t="shared" si="60"/>
        <v/>
      </c>
      <c r="M5112" s="25"/>
      <c r="O5112" s="25"/>
    </row>
    <row r="5113" ht="15.75" customHeight="1">
      <c r="A5113" s="25" t="str">
        <f>IFERROR(__xludf.DUMMYFUNCTION("IF(B5113="""","""",RIGHT(REGEXREPLACE(B5113&amp;"""",""[^0-9]"",""""),9))"),"712618218")</f>
        <v>712618218</v>
      </c>
      <c r="B5113" s="52">
        <v>7.12618218E8</v>
      </c>
      <c r="C5113" s="28" t="s">
        <v>5057</v>
      </c>
      <c r="D5113" s="26" t="s">
        <v>49</v>
      </c>
      <c r="E5113" s="31">
        <v>46237.0</v>
      </c>
      <c r="F5113" s="26" t="s">
        <v>5058</v>
      </c>
      <c r="G5113" s="26">
        <v>9.0</v>
      </c>
      <c r="I5113" s="26" t="s">
        <v>863</v>
      </c>
      <c r="J5113" s="25" t="str">
        <f t="shared" si="58"/>
        <v>No</v>
      </c>
      <c r="K5113" s="25" t="str">
        <f t="shared" si="59"/>
        <v/>
      </c>
      <c r="L5113" s="25" t="str">
        <f t="shared" si="60"/>
        <v/>
      </c>
      <c r="M5113" s="25"/>
      <c r="O5113" s="25"/>
    </row>
    <row r="5114" ht="15.75" customHeight="1">
      <c r="A5114" s="25" t="str">
        <f>IFERROR(__xludf.DUMMYFUNCTION("IF(B5114="""","""",RIGHT(REGEXREPLACE(B5114&amp;"""",""[^0-9]"",""""),9))"),"760726646")</f>
        <v>760726646</v>
      </c>
      <c r="B5114" s="52">
        <v>7.60726646E8</v>
      </c>
      <c r="C5114" s="28" t="s">
        <v>5059</v>
      </c>
      <c r="D5114" s="26" t="s">
        <v>56</v>
      </c>
      <c r="E5114" s="31">
        <v>46237.0</v>
      </c>
      <c r="F5114" s="26" t="s">
        <v>41</v>
      </c>
      <c r="I5114" s="26" t="s">
        <v>863</v>
      </c>
      <c r="J5114" s="25" t="str">
        <f t="shared" si="58"/>
        <v>No</v>
      </c>
      <c r="K5114" s="25" t="str">
        <f t="shared" si="59"/>
        <v/>
      </c>
      <c r="L5114" s="25" t="str">
        <f t="shared" si="60"/>
        <v/>
      </c>
      <c r="M5114" s="25"/>
      <c r="O5114" s="25"/>
    </row>
    <row r="5115" ht="15.75" customHeight="1">
      <c r="A5115" s="25" t="str">
        <f>IFERROR(__xludf.DUMMYFUNCTION("IF(B5115="""","""",RIGHT(REGEXREPLACE(B5115&amp;"""",""[^0-9]"",""""),9))"),"703225918")</f>
        <v>703225918</v>
      </c>
      <c r="B5115" s="52">
        <v>7.03225918E8</v>
      </c>
      <c r="C5115" s="28" t="s">
        <v>5060</v>
      </c>
      <c r="D5115" s="26" t="s">
        <v>56</v>
      </c>
      <c r="E5115" s="31">
        <v>46237.0</v>
      </c>
      <c r="F5115" s="26" t="s">
        <v>46</v>
      </c>
      <c r="G5115" s="26">
        <v>9.0</v>
      </c>
      <c r="I5115" s="26" t="s">
        <v>863</v>
      </c>
      <c r="J5115" s="25" t="str">
        <f t="shared" si="58"/>
        <v>No</v>
      </c>
      <c r="K5115" s="25" t="str">
        <f t="shared" si="59"/>
        <v/>
      </c>
      <c r="L5115" s="25" t="str">
        <f t="shared" si="60"/>
        <v/>
      </c>
      <c r="M5115" s="25"/>
      <c r="O5115" s="25"/>
    </row>
    <row r="5116" ht="15.75" customHeight="1">
      <c r="A5116" s="25" t="str">
        <f>IFERROR(__xludf.DUMMYFUNCTION("IF(B5116="""","""",RIGHT(REGEXREPLACE(B5116&amp;"""",""[^0-9]"",""""),9))"),"765829979")</f>
        <v>765829979</v>
      </c>
      <c r="B5116" s="52">
        <v>7.65829979E8</v>
      </c>
      <c r="C5116" s="28" t="s">
        <v>5061</v>
      </c>
      <c r="D5116" s="26" t="s">
        <v>49</v>
      </c>
      <c r="E5116" s="31">
        <v>46237.0</v>
      </c>
      <c r="F5116" s="26" t="s">
        <v>46</v>
      </c>
      <c r="G5116" s="26">
        <v>9.0</v>
      </c>
      <c r="I5116" s="26" t="s">
        <v>863</v>
      </c>
      <c r="J5116" s="25" t="str">
        <f t="shared" si="58"/>
        <v>No</v>
      </c>
      <c r="K5116" s="25" t="str">
        <f t="shared" si="59"/>
        <v/>
      </c>
      <c r="L5116" s="25" t="str">
        <f t="shared" si="60"/>
        <v/>
      </c>
      <c r="M5116" s="25"/>
      <c r="O5116" s="25"/>
    </row>
    <row r="5117" ht="15.75" customHeight="1">
      <c r="A5117" s="25" t="str">
        <f>IFERROR(__xludf.DUMMYFUNCTION("IF(B5117="""","""",RIGHT(REGEXREPLACE(B5117&amp;"""",""[^0-9]"",""""),9))"),"765902042")</f>
        <v>765902042</v>
      </c>
      <c r="B5117" s="52">
        <v>7.65902042E8</v>
      </c>
      <c r="C5117" s="28" t="s">
        <v>5062</v>
      </c>
      <c r="D5117" s="26" t="s">
        <v>56</v>
      </c>
      <c r="E5117" s="31">
        <v>46237.0</v>
      </c>
      <c r="F5117" s="26" t="s">
        <v>41</v>
      </c>
      <c r="I5117" s="26" t="s">
        <v>863</v>
      </c>
      <c r="J5117" s="25" t="str">
        <f t="shared" si="58"/>
        <v>No</v>
      </c>
      <c r="K5117" s="25" t="str">
        <f t="shared" si="59"/>
        <v/>
      </c>
      <c r="L5117" s="25" t="str">
        <f t="shared" si="60"/>
        <v/>
      </c>
      <c r="M5117" s="25"/>
      <c r="O5117" s="25"/>
    </row>
    <row r="5118" ht="15.75" customHeight="1">
      <c r="A5118" s="25" t="str">
        <f>IFERROR(__xludf.DUMMYFUNCTION("IF(B5118="""","""",RIGHT(REGEXREPLACE(B5118&amp;"""",""[^0-9]"",""""),9))"),"783976322")</f>
        <v>783976322</v>
      </c>
      <c r="B5118" s="52">
        <v>7.83976322E8</v>
      </c>
      <c r="C5118" s="28" t="s">
        <v>5063</v>
      </c>
      <c r="D5118" s="26" t="s">
        <v>56</v>
      </c>
      <c r="E5118" s="31">
        <v>46237.0</v>
      </c>
      <c r="F5118" s="26" t="s">
        <v>41</v>
      </c>
      <c r="G5118" s="26">
        <v>11.0</v>
      </c>
      <c r="I5118" s="26" t="s">
        <v>863</v>
      </c>
      <c r="J5118" s="25" t="str">
        <f t="shared" si="58"/>
        <v>No</v>
      </c>
      <c r="K5118" s="25" t="str">
        <f t="shared" si="59"/>
        <v/>
      </c>
      <c r="L5118" s="25" t="str">
        <f t="shared" si="60"/>
        <v/>
      </c>
      <c r="M5118" s="25"/>
      <c r="O5118" s="25"/>
    </row>
    <row r="5119" ht="15.75" customHeight="1">
      <c r="A5119" s="25" t="str">
        <f>IFERROR(__xludf.DUMMYFUNCTION("IF(B5119="""","""",RIGHT(REGEXREPLACE(B5119&amp;"""",""[^0-9]"",""""),9))"),"764467120")</f>
        <v>764467120</v>
      </c>
      <c r="B5119" s="52">
        <v>7.6446712E8</v>
      </c>
      <c r="C5119" s="28" t="s">
        <v>5064</v>
      </c>
      <c r="D5119" s="26" t="s">
        <v>49</v>
      </c>
      <c r="E5119" s="31">
        <v>46237.0</v>
      </c>
      <c r="F5119" s="26" t="s">
        <v>205</v>
      </c>
      <c r="G5119" s="26">
        <v>9.0</v>
      </c>
      <c r="I5119" s="26" t="s">
        <v>863</v>
      </c>
      <c r="J5119" s="25" t="str">
        <f t="shared" si="58"/>
        <v>No</v>
      </c>
      <c r="K5119" s="25" t="str">
        <f t="shared" si="59"/>
        <v/>
      </c>
      <c r="L5119" s="25" t="str">
        <f t="shared" si="60"/>
        <v/>
      </c>
      <c r="M5119" s="25"/>
      <c r="O5119" s="25"/>
    </row>
    <row r="5120" ht="15.75" customHeight="1">
      <c r="A5120" s="25" t="str">
        <f>IFERROR(__xludf.DUMMYFUNCTION("IF(B5120="""","""",RIGHT(REGEXREPLACE(B5120&amp;"""",""[^0-9]"",""""),9))"),"716047311")</f>
        <v>716047311</v>
      </c>
      <c r="B5120" s="52">
        <v>7.16047311E8</v>
      </c>
      <c r="C5120" s="28" t="s">
        <v>4871</v>
      </c>
      <c r="D5120" s="26" t="s">
        <v>56</v>
      </c>
      <c r="E5120" s="31">
        <v>46237.0</v>
      </c>
      <c r="F5120" s="26" t="s">
        <v>125</v>
      </c>
      <c r="G5120" s="26">
        <v>11.0</v>
      </c>
      <c r="I5120" s="26" t="s">
        <v>863</v>
      </c>
      <c r="J5120" s="25" t="str">
        <f t="shared" si="58"/>
        <v>No</v>
      </c>
      <c r="K5120" s="25" t="str">
        <f t="shared" si="59"/>
        <v/>
      </c>
      <c r="L5120" s="25" t="str">
        <f t="shared" si="60"/>
        <v/>
      </c>
      <c r="M5120" s="25"/>
      <c r="O5120" s="25"/>
    </row>
    <row r="5121" ht="15.75" customHeight="1">
      <c r="A5121" s="25" t="str">
        <f>IFERROR(__xludf.DUMMYFUNCTION("IF(B5121="""","""",RIGHT(REGEXREPLACE(B5121&amp;"""",""[^0-9]"",""""),9))"),"743009333")</f>
        <v>743009333</v>
      </c>
      <c r="B5121" s="52">
        <v>7.43009333E8</v>
      </c>
      <c r="C5121" s="28" t="s">
        <v>5065</v>
      </c>
      <c r="D5121" s="26" t="s">
        <v>56</v>
      </c>
      <c r="E5121" s="31">
        <v>46237.0</v>
      </c>
      <c r="F5121" s="26" t="s">
        <v>41</v>
      </c>
      <c r="G5121" s="26">
        <v>9.0</v>
      </c>
      <c r="I5121" s="26" t="s">
        <v>863</v>
      </c>
      <c r="J5121" s="25" t="str">
        <f t="shared" si="58"/>
        <v>No</v>
      </c>
      <c r="K5121" s="25" t="str">
        <f t="shared" si="59"/>
        <v/>
      </c>
      <c r="L5121" s="25" t="str">
        <f t="shared" si="60"/>
        <v/>
      </c>
      <c r="M5121" s="25"/>
      <c r="O5121" s="25"/>
    </row>
    <row r="5122" ht="15.75" customHeight="1">
      <c r="A5122" s="25" t="str">
        <f>IFERROR(__xludf.DUMMYFUNCTION("IF(B5122="""","""",RIGHT(REGEXREPLACE(B5122&amp;"""",""[^0-9]"",""""),9))"),"712450056")</f>
        <v>712450056</v>
      </c>
      <c r="B5122" s="52">
        <v>7.12450056E8</v>
      </c>
      <c r="C5122" s="28" t="s">
        <v>5066</v>
      </c>
      <c r="D5122" s="26" t="s">
        <v>56</v>
      </c>
      <c r="E5122" s="31">
        <v>46237.0</v>
      </c>
      <c r="F5122" s="26" t="s">
        <v>125</v>
      </c>
      <c r="G5122" s="26">
        <v>9.0</v>
      </c>
      <c r="I5122" s="26" t="s">
        <v>863</v>
      </c>
      <c r="J5122" s="25" t="str">
        <f t="shared" si="58"/>
        <v>No</v>
      </c>
      <c r="K5122" s="25" t="str">
        <f t="shared" si="59"/>
        <v/>
      </c>
      <c r="L5122" s="25" t="str">
        <f t="shared" si="60"/>
        <v/>
      </c>
      <c r="M5122" s="25"/>
      <c r="O5122" s="25"/>
    </row>
    <row r="5123" ht="15.75" customHeight="1">
      <c r="A5123" s="25" t="str">
        <f>IFERROR(__xludf.DUMMYFUNCTION("IF(B5123="""","""",RIGHT(REGEXREPLACE(B5123&amp;"""",""[^0-9]"",""""),9))"),"774282778")</f>
        <v>774282778</v>
      </c>
      <c r="B5123" s="52">
        <v>7.74282778E8</v>
      </c>
      <c r="C5123" s="28" t="s">
        <v>5067</v>
      </c>
      <c r="D5123" s="26" t="s">
        <v>56</v>
      </c>
      <c r="E5123" s="31">
        <v>46237.0</v>
      </c>
      <c r="F5123" s="26" t="s">
        <v>46</v>
      </c>
      <c r="G5123" s="26">
        <v>10.0</v>
      </c>
      <c r="I5123" s="26" t="s">
        <v>863</v>
      </c>
      <c r="J5123" s="25" t="str">
        <f t="shared" si="58"/>
        <v>No</v>
      </c>
      <c r="K5123" s="25" t="str">
        <f t="shared" si="59"/>
        <v/>
      </c>
      <c r="L5123" s="25" t="str">
        <f t="shared" si="60"/>
        <v/>
      </c>
      <c r="M5123" s="25"/>
      <c r="O5123" s="25"/>
    </row>
    <row r="5124" ht="15.75" customHeight="1">
      <c r="A5124" s="25" t="str">
        <f>IFERROR(__xludf.DUMMYFUNCTION("IF(B5124="""","""",RIGHT(REGEXREPLACE(B5124&amp;"""",""[^0-9]"",""""),9))"),"742618856")</f>
        <v>742618856</v>
      </c>
      <c r="B5124" s="52">
        <v>7.42618856E8</v>
      </c>
      <c r="C5124" s="28" t="s">
        <v>5068</v>
      </c>
      <c r="D5124" s="26" t="s">
        <v>49</v>
      </c>
      <c r="E5124" s="31">
        <v>46237.0</v>
      </c>
      <c r="F5124" s="26" t="s">
        <v>205</v>
      </c>
      <c r="G5124" s="26">
        <v>9.0</v>
      </c>
      <c r="I5124" s="26" t="s">
        <v>863</v>
      </c>
      <c r="J5124" s="25" t="str">
        <f t="shared" si="58"/>
        <v>No</v>
      </c>
      <c r="K5124" s="25" t="str">
        <f t="shared" si="59"/>
        <v/>
      </c>
      <c r="L5124" s="25" t="str">
        <f t="shared" si="60"/>
        <v/>
      </c>
      <c r="M5124" s="25"/>
      <c r="O5124" s="26" t="s">
        <v>51</v>
      </c>
    </row>
    <row r="5125" ht="15.75" customHeight="1">
      <c r="A5125" s="25" t="str">
        <f>IFERROR(__xludf.DUMMYFUNCTION("IF(B5125="""","""",RIGHT(REGEXREPLACE(B5125&amp;"""",""[^0-9]"",""""),9))"),"741445309")</f>
        <v>741445309</v>
      </c>
      <c r="B5125" s="52">
        <v>7.41445309E8</v>
      </c>
      <c r="C5125" s="28" t="s">
        <v>4942</v>
      </c>
      <c r="D5125" s="26" t="s">
        <v>56</v>
      </c>
      <c r="E5125" s="31">
        <v>46237.0</v>
      </c>
      <c r="F5125" s="26" t="s">
        <v>46</v>
      </c>
      <c r="H5125" s="26" t="s">
        <v>140</v>
      </c>
      <c r="I5125" s="26" t="s">
        <v>863</v>
      </c>
      <c r="J5125" s="25" t="str">
        <f t="shared" si="58"/>
        <v>No</v>
      </c>
      <c r="K5125" s="25" t="str">
        <f t="shared" si="59"/>
        <v/>
      </c>
      <c r="L5125" s="25" t="str">
        <f t="shared" si="60"/>
        <v/>
      </c>
      <c r="M5125" s="25"/>
      <c r="O5125" s="25"/>
    </row>
    <row r="5126" ht="15.75" customHeight="1">
      <c r="A5126" s="25" t="str">
        <f>IFERROR(__xludf.DUMMYFUNCTION("IF(B5126="""","""",RIGHT(REGEXREPLACE(B5126&amp;"""",""[^0-9]"",""""),9))"),"773799637")</f>
        <v>773799637</v>
      </c>
      <c r="B5126" s="52">
        <v>7.73799637E8</v>
      </c>
      <c r="C5126" s="28" t="s">
        <v>5069</v>
      </c>
      <c r="D5126" s="26" t="s">
        <v>49</v>
      </c>
      <c r="E5126" s="31">
        <v>46237.0</v>
      </c>
      <c r="F5126" s="26" t="s">
        <v>41</v>
      </c>
      <c r="I5126" s="26" t="s">
        <v>863</v>
      </c>
      <c r="J5126" s="25" t="str">
        <f t="shared" si="58"/>
        <v>No</v>
      </c>
      <c r="K5126" s="25" t="str">
        <f t="shared" si="59"/>
        <v/>
      </c>
      <c r="L5126" s="25" t="str">
        <f t="shared" si="60"/>
        <v/>
      </c>
      <c r="M5126" s="25"/>
      <c r="O5126" s="25"/>
    </row>
    <row r="5127" ht="15.75" customHeight="1">
      <c r="A5127" s="25" t="str">
        <f>IFERROR(__xludf.DUMMYFUNCTION("IF(B5127="""","""",RIGHT(REGEXREPLACE(B5127&amp;"""",""[^0-9]"",""""),9))"),"715922946")</f>
        <v>715922946</v>
      </c>
      <c r="B5127" s="52">
        <v>7.15922946E8</v>
      </c>
      <c r="C5127" s="28" t="s">
        <v>5008</v>
      </c>
      <c r="D5127" s="26" t="s">
        <v>56</v>
      </c>
      <c r="E5127" s="31">
        <v>46237.0</v>
      </c>
      <c r="F5127" s="26" t="s">
        <v>631</v>
      </c>
      <c r="G5127" s="26">
        <v>9.0</v>
      </c>
      <c r="I5127" s="26" t="s">
        <v>863</v>
      </c>
      <c r="J5127" s="25" t="str">
        <f t="shared" si="58"/>
        <v>No</v>
      </c>
      <c r="K5127" s="25" t="str">
        <f t="shared" si="59"/>
        <v/>
      </c>
      <c r="L5127" s="25" t="str">
        <f t="shared" si="60"/>
        <v/>
      </c>
      <c r="M5127" s="25"/>
      <c r="O5127" s="25"/>
    </row>
    <row r="5128" ht="15.75" customHeight="1">
      <c r="A5128" s="25" t="str">
        <f>IFERROR(__xludf.DUMMYFUNCTION("IF(B5128="""","""",RIGHT(REGEXREPLACE(B5128&amp;"""",""[^0-9]"",""""),9))"),"777452024")</f>
        <v>777452024</v>
      </c>
      <c r="B5128" s="52">
        <v>7.77452024E8</v>
      </c>
      <c r="C5128" s="28" t="s">
        <v>5070</v>
      </c>
      <c r="D5128" s="26" t="s">
        <v>45</v>
      </c>
      <c r="E5128" s="31">
        <v>46237.0</v>
      </c>
      <c r="F5128" s="26" t="s">
        <v>164</v>
      </c>
      <c r="G5128" s="26">
        <v>6.0</v>
      </c>
      <c r="I5128" s="26" t="s">
        <v>863</v>
      </c>
      <c r="J5128" s="25" t="str">
        <f t="shared" si="58"/>
        <v>No</v>
      </c>
      <c r="K5128" s="25" t="str">
        <f t="shared" si="59"/>
        <v/>
      </c>
      <c r="L5128" s="25" t="str">
        <f t="shared" si="60"/>
        <v/>
      </c>
      <c r="M5128" s="25"/>
      <c r="O5128" s="25"/>
    </row>
    <row r="5129" ht="15.75" customHeight="1">
      <c r="A5129" s="25" t="str">
        <f>IFERROR(__xludf.DUMMYFUNCTION("IF(B5129="""","""",RIGHT(REGEXREPLACE(B5129&amp;"""",""[^0-9]"",""""),9))"),"723165840")</f>
        <v>723165840</v>
      </c>
      <c r="B5129" s="52">
        <v>7.2316584E8</v>
      </c>
      <c r="C5129" s="28" t="s">
        <v>5071</v>
      </c>
      <c r="D5129" s="26" t="s">
        <v>49</v>
      </c>
      <c r="E5129" s="31">
        <v>46237.0</v>
      </c>
      <c r="F5129" s="26" t="s">
        <v>205</v>
      </c>
      <c r="G5129" s="26">
        <v>11.0</v>
      </c>
      <c r="I5129" s="26" t="s">
        <v>863</v>
      </c>
      <c r="J5129" s="25" t="str">
        <f t="shared" si="58"/>
        <v>No</v>
      </c>
      <c r="K5129" s="25" t="str">
        <f t="shared" si="59"/>
        <v/>
      </c>
      <c r="L5129" s="25" t="str">
        <f t="shared" si="60"/>
        <v/>
      </c>
      <c r="M5129" s="25"/>
      <c r="O5129" s="25"/>
    </row>
    <row r="5130" ht="15.75" customHeight="1">
      <c r="A5130" s="25" t="str">
        <f>IFERROR(__xludf.DUMMYFUNCTION("IF(B5130="""","""",RIGHT(REGEXREPLACE(B5130&amp;"""",""[^0-9]"",""""),9))"),"772012628")</f>
        <v>772012628</v>
      </c>
      <c r="B5130" s="52">
        <v>7.72012628E8</v>
      </c>
      <c r="C5130" s="28" t="s">
        <v>5072</v>
      </c>
      <c r="D5130" s="26" t="s">
        <v>45</v>
      </c>
      <c r="E5130" s="31">
        <v>46237.0</v>
      </c>
      <c r="F5130" s="26" t="s">
        <v>46</v>
      </c>
      <c r="G5130" s="26">
        <v>9.0</v>
      </c>
      <c r="I5130" s="26" t="s">
        <v>863</v>
      </c>
      <c r="J5130" s="25" t="str">
        <f t="shared" si="58"/>
        <v>No</v>
      </c>
      <c r="K5130" s="25" t="str">
        <f t="shared" si="59"/>
        <v/>
      </c>
      <c r="L5130" s="25" t="str">
        <f t="shared" si="60"/>
        <v/>
      </c>
      <c r="M5130" s="25"/>
      <c r="O5130" s="25"/>
    </row>
    <row r="5131" ht="15.75" customHeight="1">
      <c r="A5131" s="25" t="str">
        <f>IFERROR(__xludf.DUMMYFUNCTION("IF(B5131="""","""",RIGHT(REGEXREPLACE(B5131&amp;"""",""[^0-9]"",""""),9))"),"763491898")</f>
        <v>763491898</v>
      </c>
      <c r="B5131" s="52">
        <v>7.63491898E8</v>
      </c>
      <c r="C5131" s="28" t="s">
        <v>5073</v>
      </c>
      <c r="D5131" s="26" t="s">
        <v>56</v>
      </c>
      <c r="E5131" s="31">
        <v>46237.0</v>
      </c>
      <c r="F5131" s="26" t="s">
        <v>205</v>
      </c>
      <c r="G5131" s="26">
        <v>10.0</v>
      </c>
      <c r="I5131" s="26" t="s">
        <v>863</v>
      </c>
      <c r="J5131" s="25" t="str">
        <f t="shared" si="58"/>
        <v>No</v>
      </c>
      <c r="K5131" s="25" t="str">
        <f t="shared" si="59"/>
        <v/>
      </c>
      <c r="L5131" s="25" t="str">
        <f t="shared" si="60"/>
        <v/>
      </c>
      <c r="M5131" s="25"/>
      <c r="O5131" s="25"/>
    </row>
    <row r="5132" ht="15.75" customHeight="1">
      <c r="A5132" s="25" t="str">
        <f>IFERROR(__xludf.DUMMYFUNCTION("IF(B5132="""","""",RIGHT(REGEXREPLACE(B5132&amp;"""",""[^0-9]"",""""),9))"),"762690103")</f>
        <v>762690103</v>
      </c>
      <c r="B5132" s="52">
        <v>7.62690103E8</v>
      </c>
      <c r="C5132" s="28" t="s">
        <v>5074</v>
      </c>
      <c r="D5132" s="26" t="s">
        <v>45</v>
      </c>
      <c r="E5132" s="31">
        <v>46237.0</v>
      </c>
      <c r="F5132" s="26" t="s">
        <v>125</v>
      </c>
      <c r="I5132" s="26" t="s">
        <v>863</v>
      </c>
      <c r="J5132" s="25" t="str">
        <f t="shared" si="58"/>
        <v>No</v>
      </c>
      <c r="K5132" s="25" t="str">
        <f t="shared" si="59"/>
        <v/>
      </c>
      <c r="L5132" s="25" t="str">
        <f t="shared" si="60"/>
        <v/>
      </c>
      <c r="M5132" s="25"/>
      <c r="O5132" s="25"/>
    </row>
    <row r="5133" ht="15.75" customHeight="1">
      <c r="A5133" s="25" t="str">
        <f>IFERROR(__xludf.DUMMYFUNCTION("IF(B5133="""","""",RIGHT(REGEXREPLACE(B5133&amp;"""",""[^0-9]"",""""),9))"),"777946889")</f>
        <v>777946889</v>
      </c>
      <c r="B5133" s="52">
        <v>7.77946889E8</v>
      </c>
      <c r="C5133" s="28" t="s">
        <v>5075</v>
      </c>
      <c r="D5133" s="26" t="s">
        <v>56</v>
      </c>
      <c r="E5133" s="31">
        <v>46237.0</v>
      </c>
      <c r="F5133" s="26" t="s">
        <v>41</v>
      </c>
      <c r="I5133" s="26" t="s">
        <v>863</v>
      </c>
      <c r="J5133" s="25" t="str">
        <f t="shared" si="58"/>
        <v>No</v>
      </c>
      <c r="K5133" s="25" t="str">
        <f t="shared" si="59"/>
        <v/>
      </c>
      <c r="L5133" s="25" t="str">
        <f t="shared" si="60"/>
        <v/>
      </c>
      <c r="M5133" s="25"/>
      <c r="O5133" s="25"/>
    </row>
    <row r="5134" ht="15.75" customHeight="1">
      <c r="A5134" s="25" t="str">
        <f>IFERROR(__xludf.DUMMYFUNCTION("IF(B5134="""","""",RIGHT(REGEXREPLACE(B5134&amp;"""",""[^0-9]"",""""),9))"),"779874448")</f>
        <v>779874448</v>
      </c>
      <c r="B5134" s="52">
        <v>7.79874448E8</v>
      </c>
      <c r="C5134" s="28" t="s">
        <v>5076</v>
      </c>
      <c r="D5134" s="26" t="s">
        <v>49</v>
      </c>
      <c r="E5134" s="31">
        <v>46237.0</v>
      </c>
      <c r="F5134" s="26" t="s">
        <v>46</v>
      </c>
      <c r="G5134" s="26">
        <v>9.0</v>
      </c>
      <c r="I5134" s="26" t="s">
        <v>863</v>
      </c>
      <c r="J5134" s="25" t="str">
        <f t="shared" si="58"/>
        <v>No</v>
      </c>
      <c r="K5134" s="25" t="str">
        <f t="shared" si="59"/>
        <v/>
      </c>
      <c r="L5134" s="25" t="str">
        <f t="shared" si="60"/>
        <v/>
      </c>
      <c r="M5134" s="25"/>
      <c r="O5134" s="25"/>
    </row>
    <row r="5135" ht="15.75" customHeight="1">
      <c r="A5135" s="25" t="str">
        <f>IFERROR(__xludf.DUMMYFUNCTION("IF(B5135="""","""",RIGHT(REGEXREPLACE(B5135&amp;"""",""[^0-9]"",""""),9))"),"775670854")</f>
        <v>775670854</v>
      </c>
      <c r="B5135" s="52">
        <v>7.75670854E8</v>
      </c>
      <c r="C5135" s="28" t="s">
        <v>5077</v>
      </c>
      <c r="D5135" s="26" t="s">
        <v>45</v>
      </c>
      <c r="E5135" s="31">
        <v>46237.0</v>
      </c>
      <c r="F5135" s="26" t="s">
        <v>46</v>
      </c>
      <c r="G5135" s="26" t="s">
        <v>2011</v>
      </c>
      <c r="I5135" s="26" t="s">
        <v>863</v>
      </c>
      <c r="J5135" s="25" t="str">
        <f t="shared" si="58"/>
        <v>No</v>
      </c>
      <c r="K5135" s="25" t="str">
        <f t="shared" si="59"/>
        <v/>
      </c>
      <c r="L5135" s="25" t="str">
        <f t="shared" si="60"/>
        <v/>
      </c>
      <c r="M5135" s="25"/>
      <c r="O5135" s="25"/>
    </row>
    <row r="5136" ht="15.75" customHeight="1">
      <c r="A5136" s="25" t="str">
        <f>IFERROR(__xludf.DUMMYFUNCTION("IF(B5136="""","""",RIGHT(REGEXREPLACE(B5136&amp;"""",""[^0-9]"",""""),9))"),"716875760")</f>
        <v>716875760</v>
      </c>
      <c r="B5136" s="52">
        <v>7.1687576E8</v>
      </c>
      <c r="C5136" s="28" t="s">
        <v>5078</v>
      </c>
      <c r="D5136" s="26" t="s">
        <v>56</v>
      </c>
      <c r="E5136" s="31">
        <v>46237.0</v>
      </c>
      <c r="F5136" s="26" t="s">
        <v>164</v>
      </c>
      <c r="G5136" s="26">
        <v>9.0</v>
      </c>
      <c r="I5136" s="26" t="s">
        <v>863</v>
      </c>
      <c r="J5136" s="25" t="str">
        <f t="shared" si="58"/>
        <v>No</v>
      </c>
      <c r="K5136" s="25" t="str">
        <f t="shared" si="59"/>
        <v/>
      </c>
      <c r="L5136" s="25" t="str">
        <f t="shared" si="60"/>
        <v/>
      </c>
      <c r="M5136" s="25"/>
      <c r="O5136" s="26" t="s">
        <v>51</v>
      </c>
    </row>
    <row r="5137" ht="15.75" customHeight="1">
      <c r="A5137" s="25" t="str">
        <f>IFERROR(__xludf.DUMMYFUNCTION("IF(B5137="""","""",RIGHT(REGEXREPLACE(B5137&amp;"""",""[^0-9]"",""""),9))"),"721607467")</f>
        <v>721607467</v>
      </c>
      <c r="B5137" s="52">
        <v>7.21607467E8</v>
      </c>
      <c r="C5137" s="28" t="s">
        <v>5079</v>
      </c>
      <c r="D5137" s="26" t="s">
        <v>56</v>
      </c>
      <c r="E5137" s="31">
        <v>46237.0</v>
      </c>
      <c r="F5137" s="26" t="s">
        <v>46</v>
      </c>
      <c r="G5137" s="26">
        <v>9.0</v>
      </c>
      <c r="I5137" s="26" t="s">
        <v>863</v>
      </c>
      <c r="J5137" s="25" t="str">
        <f t="shared" si="58"/>
        <v>No</v>
      </c>
      <c r="K5137" s="25" t="str">
        <f t="shared" si="59"/>
        <v/>
      </c>
      <c r="L5137" s="25" t="str">
        <f t="shared" si="60"/>
        <v/>
      </c>
      <c r="M5137" s="25"/>
      <c r="O5137" s="25"/>
    </row>
    <row r="5138" ht="15.75" customHeight="1">
      <c r="A5138" s="25" t="str">
        <f>IFERROR(__xludf.DUMMYFUNCTION("IF(B5138="""","""",RIGHT(REGEXREPLACE(B5138&amp;"""",""[^0-9]"",""""),9))"),"752967180")</f>
        <v>752967180</v>
      </c>
      <c r="B5138" s="52">
        <v>7.5296718E8</v>
      </c>
      <c r="C5138" s="28" t="s">
        <v>5080</v>
      </c>
      <c r="D5138" s="26" t="s">
        <v>45</v>
      </c>
      <c r="E5138" s="31">
        <v>46237.0</v>
      </c>
      <c r="F5138" s="26" t="s">
        <v>46</v>
      </c>
      <c r="G5138" s="26">
        <v>9.0</v>
      </c>
      <c r="I5138" s="26" t="s">
        <v>863</v>
      </c>
      <c r="J5138" s="25" t="str">
        <f t="shared" si="58"/>
        <v>No</v>
      </c>
      <c r="K5138" s="25" t="str">
        <f t="shared" si="59"/>
        <v/>
      </c>
      <c r="L5138" s="25" t="str">
        <f t="shared" si="60"/>
        <v/>
      </c>
      <c r="M5138" s="25"/>
      <c r="O5138" s="25"/>
    </row>
    <row r="5139" ht="15.75" customHeight="1">
      <c r="A5139" s="25" t="str">
        <f>IFERROR(__xludf.DUMMYFUNCTION("IF(B5139="""","""",RIGHT(REGEXREPLACE(B5139&amp;"""",""[^0-9]"",""""),9))"),"775943690")</f>
        <v>775943690</v>
      </c>
      <c r="B5139" s="52">
        <v>7.7594369E8</v>
      </c>
      <c r="C5139" s="28" t="s">
        <v>5081</v>
      </c>
      <c r="D5139" s="26" t="s">
        <v>82</v>
      </c>
      <c r="E5139" s="31">
        <v>46237.0</v>
      </c>
      <c r="F5139" s="26" t="s">
        <v>41</v>
      </c>
      <c r="I5139" s="26" t="s">
        <v>863</v>
      </c>
      <c r="J5139" s="25" t="str">
        <f t="shared" si="58"/>
        <v>No</v>
      </c>
      <c r="K5139" s="25" t="str">
        <f t="shared" si="59"/>
        <v/>
      </c>
      <c r="L5139" s="25" t="str">
        <f t="shared" si="60"/>
        <v/>
      </c>
      <c r="M5139" s="25"/>
      <c r="O5139" s="25"/>
    </row>
    <row r="5140" ht="15.75" customHeight="1">
      <c r="A5140" s="25" t="str">
        <f>IFERROR(__xludf.DUMMYFUNCTION("IF(B5140="""","""",RIGHT(REGEXREPLACE(B5140&amp;"""",""[^0-9]"",""""),9))"),"705595275")</f>
        <v>705595275</v>
      </c>
      <c r="B5140" s="52">
        <v>7.05595275E8</v>
      </c>
      <c r="C5140" s="28" t="s">
        <v>4848</v>
      </c>
      <c r="D5140" s="26" t="s">
        <v>56</v>
      </c>
      <c r="E5140" s="31">
        <v>46237.0</v>
      </c>
      <c r="F5140" s="26" t="s">
        <v>205</v>
      </c>
      <c r="I5140" s="26" t="s">
        <v>863</v>
      </c>
      <c r="J5140" s="25" t="str">
        <f t="shared" si="58"/>
        <v>No</v>
      </c>
      <c r="K5140" s="25" t="str">
        <f t="shared" si="59"/>
        <v/>
      </c>
      <c r="L5140" s="25" t="str">
        <f t="shared" si="60"/>
        <v/>
      </c>
      <c r="M5140" s="25"/>
      <c r="O5140" s="25"/>
    </row>
    <row r="5141" ht="15.75" customHeight="1">
      <c r="A5141" s="25" t="str">
        <f>IFERROR(__xludf.DUMMYFUNCTION("IF(B5141="""","""",RIGHT(REGEXREPLACE(B5141&amp;"""",""[^0-9]"",""""),9))"),"769823513")</f>
        <v>769823513</v>
      </c>
      <c r="B5141" s="52">
        <v>7.69823513E8</v>
      </c>
      <c r="C5141" s="28" t="s">
        <v>5082</v>
      </c>
      <c r="D5141" s="26" t="s">
        <v>45</v>
      </c>
      <c r="E5141" s="31">
        <v>46237.0</v>
      </c>
      <c r="F5141" s="26" t="s">
        <v>46</v>
      </c>
      <c r="G5141" s="26">
        <v>9.0</v>
      </c>
      <c r="I5141" s="26" t="s">
        <v>863</v>
      </c>
      <c r="J5141" s="25" t="str">
        <f t="shared" si="58"/>
        <v>No</v>
      </c>
      <c r="K5141" s="25" t="str">
        <f t="shared" si="59"/>
        <v/>
      </c>
      <c r="L5141" s="25" t="str">
        <f t="shared" si="60"/>
        <v/>
      </c>
      <c r="M5141" s="25"/>
      <c r="O5141" s="25"/>
    </row>
    <row r="5142" ht="15.75" customHeight="1">
      <c r="A5142" s="25" t="str">
        <f>IFERROR(__xludf.DUMMYFUNCTION("IF(B5142="""","""",RIGHT(REGEXREPLACE(B5142&amp;"""",""[^0-9]"",""""),9))"),"764571405")</f>
        <v>764571405</v>
      </c>
      <c r="B5142" s="52">
        <v>7.64571405E8</v>
      </c>
      <c r="C5142" s="28" t="s">
        <v>5083</v>
      </c>
      <c r="D5142" s="26" t="s">
        <v>49</v>
      </c>
      <c r="E5142" s="31">
        <v>46237.0</v>
      </c>
      <c r="F5142" s="26" t="s">
        <v>46</v>
      </c>
      <c r="G5142" s="26">
        <v>8.0</v>
      </c>
      <c r="H5142" s="117" t="s">
        <v>5084</v>
      </c>
      <c r="I5142" s="26" t="s">
        <v>863</v>
      </c>
      <c r="J5142" s="25" t="str">
        <f t="shared" si="58"/>
        <v>No</v>
      </c>
      <c r="K5142" s="25" t="str">
        <f t="shared" si="59"/>
        <v/>
      </c>
      <c r="L5142" s="25" t="str">
        <f t="shared" si="60"/>
        <v/>
      </c>
      <c r="M5142" s="25"/>
      <c r="O5142" s="25"/>
    </row>
    <row r="5143" ht="15.75" customHeight="1">
      <c r="A5143" s="25" t="str">
        <f>IFERROR(__xludf.DUMMYFUNCTION("IF(B5143="""","""",RIGHT(REGEXREPLACE(B5143&amp;"""",""[^0-9]"",""""),9))"),"778791920")</f>
        <v>778791920</v>
      </c>
      <c r="B5143" s="52">
        <v>7.7879192E8</v>
      </c>
      <c r="C5143" s="28" t="s">
        <v>5085</v>
      </c>
      <c r="D5143" s="26" t="s">
        <v>45</v>
      </c>
      <c r="E5143" s="31">
        <v>46237.0</v>
      </c>
      <c r="F5143" s="26" t="s">
        <v>41</v>
      </c>
      <c r="G5143" s="26">
        <v>11.0</v>
      </c>
      <c r="I5143" s="26" t="s">
        <v>863</v>
      </c>
      <c r="J5143" s="25" t="str">
        <f t="shared" si="58"/>
        <v>No</v>
      </c>
      <c r="K5143" s="25" t="str">
        <f t="shared" si="59"/>
        <v/>
      </c>
      <c r="L5143" s="25" t="str">
        <f t="shared" si="60"/>
        <v/>
      </c>
      <c r="M5143" s="25"/>
      <c r="O5143" s="25"/>
    </row>
    <row r="5144" ht="15.75" customHeight="1">
      <c r="A5144" s="25" t="str">
        <f>IFERROR(__xludf.DUMMYFUNCTION("IF(B5144="""","""",RIGHT(REGEXREPLACE(B5144&amp;"""",""[^0-9]"",""""),9))"),"714400135")</f>
        <v>714400135</v>
      </c>
      <c r="B5144" s="52">
        <v>7.14400135E8</v>
      </c>
      <c r="C5144" s="28" t="s">
        <v>5086</v>
      </c>
      <c r="D5144" s="26" t="s">
        <v>56</v>
      </c>
      <c r="E5144" s="31">
        <v>46237.0</v>
      </c>
      <c r="F5144" s="26" t="s">
        <v>46</v>
      </c>
      <c r="G5144" s="26">
        <v>9.0</v>
      </c>
      <c r="I5144" s="26" t="s">
        <v>863</v>
      </c>
      <c r="J5144" s="25" t="str">
        <f t="shared" si="58"/>
        <v>No</v>
      </c>
      <c r="K5144" s="25" t="str">
        <f t="shared" si="59"/>
        <v/>
      </c>
      <c r="L5144" s="25" t="str">
        <f t="shared" si="60"/>
        <v/>
      </c>
      <c r="M5144" s="25"/>
      <c r="O5144" s="25"/>
    </row>
    <row r="5145" ht="15.75" customHeight="1">
      <c r="A5145" s="25" t="str">
        <f>IFERROR(__xludf.DUMMYFUNCTION("IF(B5145="""","""",RIGHT(REGEXREPLACE(B5145&amp;"""",""[^0-9]"",""""),9))"),"714101554")</f>
        <v>714101554</v>
      </c>
      <c r="B5145" s="52">
        <v>7.14101554E8</v>
      </c>
      <c r="C5145" s="28" t="s">
        <v>5087</v>
      </c>
      <c r="D5145" s="26" t="s">
        <v>45</v>
      </c>
      <c r="E5145" s="31">
        <v>46237.0</v>
      </c>
      <c r="F5145" s="26" t="s">
        <v>46</v>
      </c>
      <c r="G5145" s="26">
        <v>10.0</v>
      </c>
      <c r="I5145" s="26" t="s">
        <v>863</v>
      </c>
      <c r="J5145" s="25" t="str">
        <f t="shared" si="58"/>
        <v>No</v>
      </c>
      <c r="K5145" s="25" t="str">
        <f t="shared" si="59"/>
        <v/>
      </c>
      <c r="L5145" s="25" t="str">
        <f t="shared" si="60"/>
        <v/>
      </c>
      <c r="M5145" s="25"/>
      <c r="O5145" s="25"/>
    </row>
    <row r="5146" ht="15.75" customHeight="1">
      <c r="A5146" s="25" t="str">
        <f>IFERROR(__xludf.DUMMYFUNCTION("IF(B5146="""","""",RIGHT(REGEXREPLACE(B5146&amp;"""",""[^0-9]"",""""),9))"),"762432741")</f>
        <v>762432741</v>
      </c>
      <c r="B5146" s="52">
        <v>7.62432741E8</v>
      </c>
      <c r="C5146" s="28" t="s">
        <v>5088</v>
      </c>
      <c r="D5146" s="26" t="s">
        <v>49</v>
      </c>
      <c r="E5146" s="31">
        <v>46237.0</v>
      </c>
      <c r="F5146" s="26" t="s">
        <v>46</v>
      </c>
      <c r="G5146" s="26">
        <v>9.0</v>
      </c>
      <c r="H5146" s="117" t="s">
        <v>5089</v>
      </c>
      <c r="I5146" s="26" t="s">
        <v>863</v>
      </c>
      <c r="J5146" s="25" t="str">
        <f t="shared" si="58"/>
        <v>No</v>
      </c>
      <c r="K5146" s="25" t="str">
        <f t="shared" si="59"/>
        <v/>
      </c>
      <c r="L5146" s="25" t="str">
        <f t="shared" si="60"/>
        <v/>
      </c>
      <c r="M5146" s="25"/>
      <c r="O5146" s="25"/>
    </row>
    <row r="5147" ht="15.75" customHeight="1">
      <c r="A5147" s="25" t="str">
        <f>IFERROR(__xludf.DUMMYFUNCTION("IF(B5147="""","""",RIGHT(REGEXREPLACE(B5147&amp;"""",""[^0-9]"",""""),9))"),"773924623")</f>
        <v>773924623</v>
      </c>
      <c r="B5147" s="52">
        <v>7.73924623E8</v>
      </c>
      <c r="C5147" s="28" t="s">
        <v>4320</v>
      </c>
      <c r="D5147" s="26" t="s">
        <v>56</v>
      </c>
      <c r="E5147" s="31">
        <v>46237.0</v>
      </c>
      <c r="F5147" s="26" t="s">
        <v>164</v>
      </c>
      <c r="I5147" s="26" t="s">
        <v>863</v>
      </c>
      <c r="J5147" s="25" t="str">
        <f t="shared" si="58"/>
        <v>Yes - see Previous F-Code</v>
      </c>
      <c r="K5147" s="25" t="str">
        <f t="shared" si="59"/>
        <v>DUPLICATE - CHECK</v>
      </c>
      <c r="L5147" s="25" t="str">
        <f t="shared" si="60"/>
        <v>F73947</v>
      </c>
      <c r="M5147" s="25"/>
      <c r="O5147" s="25"/>
    </row>
    <row r="5148" ht="15.75" customHeight="1">
      <c r="A5148" s="25" t="str">
        <f>IFERROR(__xludf.DUMMYFUNCTION("IF(B5148="""","""",RIGHT(REGEXREPLACE(B5148&amp;"""",""[^0-9]"",""""),9))"),"778251667")</f>
        <v>778251667</v>
      </c>
      <c r="B5148" s="52">
        <v>7.78251667E8</v>
      </c>
      <c r="C5148" s="28" t="s">
        <v>5090</v>
      </c>
      <c r="D5148" s="26" t="s">
        <v>45</v>
      </c>
      <c r="E5148" s="31">
        <v>46237.0</v>
      </c>
      <c r="F5148" s="26" t="s">
        <v>46</v>
      </c>
      <c r="G5148" s="26" t="s">
        <v>5091</v>
      </c>
      <c r="I5148" s="26" t="s">
        <v>863</v>
      </c>
      <c r="J5148" s="25" t="str">
        <f t="shared" si="58"/>
        <v>No</v>
      </c>
      <c r="K5148" s="25" t="str">
        <f t="shared" si="59"/>
        <v/>
      </c>
      <c r="L5148" s="25" t="str">
        <f t="shared" si="60"/>
        <v/>
      </c>
      <c r="M5148" s="25"/>
      <c r="O5148" s="25"/>
    </row>
    <row r="5149" ht="15.75" customHeight="1">
      <c r="A5149" s="25" t="str">
        <f>IFERROR(__xludf.DUMMYFUNCTION("IF(B5149="""","""",RIGHT(REGEXREPLACE(B5149&amp;"""",""[^0-9]"",""""),9))"),"752192468")</f>
        <v>752192468</v>
      </c>
      <c r="B5149" s="52">
        <v>7.52192468E8</v>
      </c>
      <c r="C5149" s="28" t="s">
        <v>5092</v>
      </c>
      <c r="D5149" s="26" t="s">
        <v>82</v>
      </c>
      <c r="E5149" s="31">
        <v>46237.0</v>
      </c>
      <c r="F5149" s="26" t="s">
        <v>41</v>
      </c>
      <c r="G5149" s="26">
        <v>8.0</v>
      </c>
      <c r="I5149" s="26" t="s">
        <v>863</v>
      </c>
      <c r="J5149" s="25" t="str">
        <f t="shared" si="58"/>
        <v>No</v>
      </c>
      <c r="K5149" s="25" t="str">
        <f t="shared" si="59"/>
        <v/>
      </c>
      <c r="L5149" s="25" t="str">
        <f t="shared" si="60"/>
        <v/>
      </c>
      <c r="M5149" s="25"/>
      <c r="O5149" s="25"/>
    </row>
    <row r="5150" ht="15.75" customHeight="1">
      <c r="A5150" s="25" t="str">
        <f>IFERROR(__xludf.DUMMYFUNCTION("IF(B5150="""","""",RIGHT(REGEXREPLACE(B5150&amp;"""",""[^0-9]"",""""),9))"),"720922118")</f>
        <v>720922118</v>
      </c>
      <c r="B5150" s="52">
        <v>7.20922118E8</v>
      </c>
      <c r="C5150" s="28" t="s">
        <v>5093</v>
      </c>
      <c r="D5150" s="26" t="s">
        <v>45</v>
      </c>
      <c r="E5150" s="31">
        <v>46237.0</v>
      </c>
      <c r="F5150" s="26" t="s">
        <v>205</v>
      </c>
      <c r="G5150" s="26">
        <v>9.0</v>
      </c>
      <c r="I5150" s="26" t="s">
        <v>863</v>
      </c>
      <c r="J5150" s="25" t="str">
        <f t="shared" si="58"/>
        <v>No</v>
      </c>
      <c r="K5150" s="25" t="str">
        <f t="shared" si="59"/>
        <v/>
      </c>
      <c r="L5150" s="25" t="str">
        <f t="shared" si="60"/>
        <v/>
      </c>
      <c r="M5150" s="25"/>
      <c r="O5150" s="25"/>
    </row>
    <row r="5151" ht="15.75" customHeight="1">
      <c r="A5151" s="25" t="str">
        <f>IFERROR(__xludf.DUMMYFUNCTION("IF(B5151="""","""",RIGHT(REGEXREPLACE(B5151&amp;"""",""[^0-9]"",""""),9))"),"764747082")</f>
        <v>764747082</v>
      </c>
      <c r="B5151" s="52">
        <v>7.64747082E8</v>
      </c>
      <c r="C5151" s="28" t="s">
        <v>5094</v>
      </c>
      <c r="D5151" s="26" t="s">
        <v>49</v>
      </c>
      <c r="E5151" s="31">
        <v>46237.0</v>
      </c>
      <c r="F5151" s="26" t="s">
        <v>41</v>
      </c>
      <c r="G5151" s="26">
        <v>11.0</v>
      </c>
      <c r="I5151" s="26" t="s">
        <v>863</v>
      </c>
      <c r="J5151" s="25" t="str">
        <f t="shared" si="58"/>
        <v>No</v>
      </c>
      <c r="K5151" s="25" t="str">
        <f t="shared" si="59"/>
        <v/>
      </c>
      <c r="L5151" s="25" t="str">
        <f t="shared" si="60"/>
        <v/>
      </c>
      <c r="M5151" s="25"/>
      <c r="O5151" s="25"/>
    </row>
    <row r="5152" ht="15.75" customHeight="1">
      <c r="A5152" s="25" t="str">
        <f>IFERROR(__xludf.DUMMYFUNCTION("IF(B5152="""","""",RIGHT(REGEXREPLACE(B5152&amp;"""",""[^0-9]"",""""),9))"),"786995408")</f>
        <v>786995408</v>
      </c>
      <c r="B5152" s="52">
        <v>7.86995408E8</v>
      </c>
      <c r="C5152" s="28" t="s">
        <v>5095</v>
      </c>
      <c r="D5152" s="26" t="s">
        <v>45</v>
      </c>
      <c r="E5152" s="31">
        <v>46237.0</v>
      </c>
      <c r="F5152" s="26" t="s">
        <v>125</v>
      </c>
      <c r="H5152" s="26" t="s">
        <v>5096</v>
      </c>
      <c r="I5152" s="26" t="s">
        <v>863</v>
      </c>
      <c r="J5152" s="25" t="str">
        <f t="shared" si="58"/>
        <v>No</v>
      </c>
      <c r="K5152" s="25" t="str">
        <f t="shared" si="59"/>
        <v/>
      </c>
      <c r="L5152" s="25" t="str">
        <f t="shared" si="60"/>
        <v/>
      </c>
      <c r="M5152" s="25"/>
      <c r="O5152" s="25"/>
    </row>
    <row r="5153" ht="15.75" customHeight="1">
      <c r="A5153" s="25" t="str">
        <f>IFERROR(__xludf.DUMMYFUNCTION("IF(B5153="""","""",RIGHT(REGEXREPLACE(B5153&amp;"""",""[^0-9]"",""""),9))"),"776322311")</f>
        <v>776322311</v>
      </c>
      <c r="B5153" s="52">
        <v>7.76322311E8</v>
      </c>
      <c r="C5153" s="28" t="s">
        <v>5097</v>
      </c>
      <c r="D5153" s="26" t="s">
        <v>82</v>
      </c>
      <c r="E5153" s="31">
        <v>46237.0</v>
      </c>
      <c r="F5153" s="26" t="s">
        <v>125</v>
      </c>
      <c r="G5153" s="26">
        <v>9.0</v>
      </c>
      <c r="H5153" s="26" t="s">
        <v>5098</v>
      </c>
      <c r="I5153" s="26" t="s">
        <v>863</v>
      </c>
      <c r="J5153" s="25" t="str">
        <f t="shared" si="58"/>
        <v>No</v>
      </c>
      <c r="K5153" s="25" t="str">
        <f t="shared" si="59"/>
        <v/>
      </c>
      <c r="L5153" s="25" t="str">
        <f t="shared" si="60"/>
        <v/>
      </c>
      <c r="M5153" s="25"/>
      <c r="O5153" s="25"/>
    </row>
    <row r="5154" ht="15.75" customHeight="1">
      <c r="A5154" s="25" t="str">
        <f>IFERROR(__xludf.DUMMYFUNCTION("IF(B5154="""","""",RIGHT(REGEXREPLACE(B5154&amp;"""",""[^0-9]"",""""),9))"),"754332398")</f>
        <v>754332398</v>
      </c>
      <c r="B5154" s="52">
        <v>7.54332398E8</v>
      </c>
      <c r="C5154" s="28" t="s">
        <v>5099</v>
      </c>
      <c r="D5154" s="26" t="s">
        <v>45</v>
      </c>
      <c r="E5154" s="31">
        <v>46237.0</v>
      </c>
      <c r="F5154" s="26" t="s">
        <v>41</v>
      </c>
      <c r="I5154" s="26" t="s">
        <v>863</v>
      </c>
      <c r="J5154" s="25" t="str">
        <f t="shared" si="58"/>
        <v>No</v>
      </c>
      <c r="K5154" s="25" t="str">
        <f t="shared" si="59"/>
        <v/>
      </c>
      <c r="L5154" s="25" t="str">
        <f t="shared" si="60"/>
        <v/>
      </c>
      <c r="M5154" s="25"/>
      <c r="O5154" s="25"/>
    </row>
    <row r="5155" ht="15.75" customHeight="1">
      <c r="A5155" s="25" t="str">
        <f>IFERROR(__xludf.DUMMYFUNCTION("IF(B5155="""","""",RIGHT(REGEXREPLACE(B5155&amp;"""",""[^0-9]"",""""),9))"),"779323728")</f>
        <v>779323728</v>
      </c>
      <c r="B5155" s="52">
        <v>7.79323728E8</v>
      </c>
      <c r="C5155" s="28" t="s">
        <v>5100</v>
      </c>
      <c r="D5155" s="26" t="s">
        <v>49</v>
      </c>
      <c r="E5155" s="31">
        <v>46237.0</v>
      </c>
      <c r="F5155" s="26" t="s">
        <v>46</v>
      </c>
      <c r="G5155" s="26">
        <v>10.0</v>
      </c>
      <c r="H5155" s="72" t="s">
        <v>5101</v>
      </c>
      <c r="I5155" s="26" t="s">
        <v>863</v>
      </c>
      <c r="J5155" s="25" t="str">
        <f t="shared" si="58"/>
        <v>No</v>
      </c>
      <c r="K5155" s="25" t="str">
        <f t="shared" si="59"/>
        <v/>
      </c>
      <c r="L5155" s="25" t="str">
        <f t="shared" si="60"/>
        <v/>
      </c>
      <c r="M5155" s="25"/>
      <c r="O5155" s="25"/>
    </row>
    <row r="5156" ht="15.75" customHeight="1">
      <c r="A5156" s="25" t="str">
        <f>IFERROR(__xludf.DUMMYFUNCTION("IF(B5156="""","""",RIGHT(REGEXREPLACE(B5156&amp;"""",""[^0-9]"",""""),9))"),"716483330")</f>
        <v>716483330</v>
      </c>
      <c r="B5156" s="52">
        <v>7.1648333E8</v>
      </c>
      <c r="C5156" s="28" t="s">
        <v>956</v>
      </c>
      <c r="D5156" s="26" t="s">
        <v>82</v>
      </c>
      <c r="E5156" s="31">
        <v>46237.0</v>
      </c>
      <c r="F5156" s="26" t="s">
        <v>46</v>
      </c>
      <c r="G5156" s="26">
        <v>9.0</v>
      </c>
      <c r="H5156" s="26" t="s">
        <v>5102</v>
      </c>
      <c r="I5156" s="26" t="s">
        <v>863</v>
      </c>
      <c r="J5156" s="25" t="str">
        <f t="shared" si="58"/>
        <v>Yes - see Previous F-Code</v>
      </c>
      <c r="K5156" s="25" t="str">
        <f t="shared" si="59"/>
        <v/>
      </c>
      <c r="L5156" s="25" t="str">
        <f t="shared" si="60"/>
        <v>F70707</v>
      </c>
      <c r="M5156" s="25"/>
      <c r="O5156" s="25"/>
    </row>
    <row r="5157" ht="15.75" customHeight="1">
      <c r="A5157" s="25" t="str">
        <f>IFERROR(__xludf.DUMMYFUNCTION("IF(B5157="""","""",RIGHT(REGEXREPLACE(B5157&amp;"""",""[^0-9]"",""""),9))"),"704623509")</f>
        <v>704623509</v>
      </c>
      <c r="B5157" s="52">
        <v>7.04623509E8</v>
      </c>
      <c r="C5157" s="28" t="s">
        <v>5103</v>
      </c>
      <c r="D5157" s="26" t="s">
        <v>45</v>
      </c>
      <c r="E5157" s="31">
        <v>46237.0</v>
      </c>
      <c r="F5157" s="25"/>
      <c r="G5157" s="25"/>
      <c r="H5157" s="25"/>
      <c r="I5157" s="26" t="s">
        <v>863</v>
      </c>
      <c r="J5157" s="25" t="str">
        <f t="shared" si="58"/>
        <v>No</v>
      </c>
      <c r="K5157" s="25" t="str">
        <f t="shared" si="59"/>
        <v/>
      </c>
      <c r="L5157" s="25" t="str">
        <f t="shared" si="60"/>
        <v/>
      </c>
      <c r="M5157" s="25"/>
      <c r="N5157" s="25"/>
      <c r="O5157" s="25"/>
      <c r="P5157" s="25"/>
    </row>
    <row r="5158" ht="15.75" customHeight="1">
      <c r="A5158" s="25" t="str">
        <f>IFERROR(__xludf.DUMMYFUNCTION("IF(B5158="""","""",RIGHT(REGEXREPLACE(B5158&amp;"""",""[^0-9]"",""""),9))"),"765487628")</f>
        <v>765487628</v>
      </c>
      <c r="B5158" s="52">
        <v>7.65487628E8</v>
      </c>
      <c r="C5158" s="28" t="s">
        <v>5104</v>
      </c>
      <c r="D5158" s="26" t="s">
        <v>82</v>
      </c>
      <c r="E5158" s="31">
        <v>46237.0</v>
      </c>
      <c r="F5158" s="26" t="s">
        <v>46</v>
      </c>
      <c r="G5158" s="26">
        <v>9.0</v>
      </c>
      <c r="I5158" s="26" t="s">
        <v>863</v>
      </c>
      <c r="J5158" s="25" t="str">
        <f t="shared" si="58"/>
        <v>No</v>
      </c>
      <c r="K5158" s="25" t="str">
        <f t="shared" si="59"/>
        <v/>
      </c>
      <c r="L5158" s="25" t="str">
        <f t="shared" si="60"/>
        <v/>
      </c>
      <c r="M5158" s="25"/>
      <c r="O5158" s="25"/>
    </row>
    <row r="5159" ht="15.75" customHeight="1">
      <c r="A5159" s="25" t="str">
        <f>IFERROR(__xludf.DUMMYFUNCTION("IF(B5159="""","""",RIGHT(REGEXREPLACE(B5159&amp;"""",""[^0-9]"",""""),9))"),"703553057")</f>
        <v>703553057</v>
      </c>
      <c r="B5159" s="52">
        <v>7.03553057E8</v>
      </c>
      <c r="C5159" s="28" t="s">
        <v>5105</v>
      </c>
      <c r="D5159" s="26" t="s">
        <v>56</v>
      </c>
      <c r="E5159" s="31">
        <v>46237.0</v>
      </c>
      <c r="F5159" s="26" t="s">
        <v>205</v>
      </c>
      <c r="I5159" s="26" t="s">
        <v>863</v>
      </c>
      <c r="J5159" s="25" t="str">
        <f t="shared" si="58"/>
        <v>No</v>
      </c>
      <c r="K5159" s="25" t="str">
        <f t="shared" si="59"/>
        <v/>
      </c>
      <c r="L5159" s="25" t="str">
        <f t="shared" si="60"/>
        <v/>
      </c>
      <c r="M5159" s="25"/>
      <c r="O5159" s="25"/>
    </row>
    <row r="5160" ht="15.75" customHeight="1">
      <c r="A5160" s="25" t="str">
        <f>IFERROR(__xludf.DUMMYFUNCTION("IF(B5160="""","""",RIGHT(REGEXREPLACE(B5160&amp;"""",""[^0-9]"",""""),9))"),"771638963")</f>
        <v>771638963</v>
      </c>
      <c r="B5160" s="52">
        <v>7.71638963E8</v>
      </c>
      <c r="C5160" s="28" t="s">
        <v>5106</v>
      </c>
      <c r="D5160" s="26" t="s">
        <v>56</v>
      </c>
      <c r="E5160" s="31">
        <v>46237.0</v>
      </c>
      <c r="F5160" s="26" t="s">
        <v>164</v>
      </c>
      <c r="G5160" s="26">
        <v>9.0</v>
      </c>
      <c r="I5160" s="26" t="s">
        <v>863</v>
      </c>
      <c r="J5160" s="25" t="str">
        <f t="shared" si="58"/>
        <v>No</v>
      </c>
      <c r="K5160" s="25" t="str">
        <f t="shared" si="59"/>
        <v/>
      </c>
      <c r="L5160" s="25" t="str">
        <f t="shared" si="60"/>
        <v/>
      </c>
      <c r="M5160" s="25"/>
      <c r="O5160" s="25"/>
    </row>
    <row r="5161" ht="15.75" customHeight="1">
      <c r="A5161" s="25" t="str">
        <f>IFERROR(__xludf.DUMMYFUNCTION("IF(B5161="""","""",RIGHT(REGEXREPLACE(B5161&amp;"""",""[^0-9]"",""""),9))"),"716454277")</f>
        <v>716454277</v>
      </c>
      <c r="B5161" s="52">
        <v>7.16454277E8</v>
      </c>
      <c r="C5161" s="28" t="s">
        <v>5107</v>
      </c>
      <c r="D5161" s="26" t="s">
        <v>49</v>
      </c>
      <c r="E5161" s="31">
        <v>46237.0</v>
      </c>
      <c r="F5161" s="26" t="s">
        <v>205</v>
      </c>
      <c r="G5161" s="26">
        <v>9.0</v>
      </c>
      <c r="I5161" s="26" t="s">
        <v>863</v>
      </c>
      <c r="J5161" s="25" t="str">
        <f t="shared" si="58"/>
        <v>No</v>
      </c>
      <c r="K5161" s="25" t="str">
        <f t="shared" si="59"/>
        <v/>
      </c>
      <c r="L5161" s="25" t="str">
        <f t="shared" si="60"/>
        <v/>
      </c>
      <c r="M5161" s="25"/>
      <c r="O5161" s="25"/>
    </row>
    <row r="5162" ht="15.75" customHeight="1">
      <c r="A5162" s="25" t="str">
        <f>IFERROR(__xludf.DUMMYFUNCTION("IF(B5162="""","""",RIGHT(REGEXREPLACE(B5162&amp;"""",""[^0-9]"",""""),9))"),"770770709")</f>
        <v>770770709</v>
      </c>
      <c r="B5162" s="52">
        <v>7.70770709E8</v>
      </c>
      <c r="C5162" s="28" t="s">
        <v>5108</v>
      </c>
      <c r="D5162" s="26" t="s">
        <v>82</v>
      </c>
      <c r="E5162" s="31">
        <v>46237.0</v>
      </c>
      <c r="F5162" s="26" t="s">
        <v>46</v>
      </c>
      <c r="G5162" s="26">
        <v>9.0</v>
      </c>
      <c r="I5162" s="26" t="s">
        <v>863</v>
      </c>
      <c r="J5162" s="25" t="str">
        <f t="shared" si="58"/>
        <v>No</v>
      </c>
      <c r="K5162" s="25" t="str">
        <f t="shared" si="59"/>
        <v/>
      </c>
      <c r="L5162" s="25" t="str">
        <f t="shared" si="60"/>
        <v/>
      </c>
      <c r="M5162" s="25"/>
      <c r="O5162" s="25"/>
    </row>
    <row r="5163" ht="15.75" customHeight="1">
      <c r="A5163" s="25" t="str">
        <f>IFERROR(__xludf.DUMMYFUNCTION("IF(B5163="""","""",RIGHT(REGEXREPLACE(B5163&amp;"""",""[^0-9]"",""""),9))"),"760575891")</f>
        <v>760575891</v>
      </c>
      <c r="B5163" s="52">
        <v>7.60575891E8</v>
      </c>
      <c r="C5163" s="28" t="s">
        <v>5109</v>
      </c>
      <c r="D5163" s="26" t="s">
        <v>56</v>
      </c>
      <c r="E5163" s="31">
        <v>46237.0</v>
      </c>
      <c r="F5163" s="26" t="s">
        <v>46</v>
      </c>
      <c r="G5163" s="26">
        <v>9.0</v>
      </c>
      <c r="I5163" s="26" t="s">
        <v>863</v>
      </c>
      <c r="J5163" s="25" t="str">
        <f t="shared" si="58"/>
        <v>No</v>
      </c>
      <c r="K5163" s="25" t="str">
        <f t="shared" si="59"/>
        <v/>
      </c>
      <c r="L5163" s="25" t="str">
        <f t="shared" si="60"/>
        <v/>
      </c>
      <c r="M5163" s="25"/>
      <c r="O5163" s="26" t="s">
        <v>51</v>
      </c>
    </row>
    <row r="5164" ht="15.75" customHeight="1">
      <c r="A5164" s="25" t="str">
        <f>IFERROR(__xludf.DUMMYFUNCTION("IF(B5164="""","""",RIGHT(REGEXREPLACE(B5164&amp;"""",""[^0-9]"",""""),9))"),"750838602")</f>
        <v>750838602</v>
      </c>
      <c r="B5164" s="52">
        <v>7.50838602E8</v>
      </c>
      <c r="C5164" s="28" t="s">
        <v>5110</v>
      </c>
      <c r="D5164" s="26" t="s">
        <v>49</v>
      </c>
      <c r="E5164" s="31">
        <v>46237.0</v>
      </c>
      <c r="F5164" s="26" t="s">
        <v>205</v>
      </c>
      <c r="G5164" s="26">
        <v>9.0</v>
      </c>
      <c r="I5164" s="26" t="s">
        <v>863</v>
      </c>
      <c r="J5164" s="25" t="str">
        <f t="shared" si="58"/>
        <v>No</v>
      </c>
      <c r="K5164" s="25" t="str">
        <f t="shared" si="59"/>
        <v/>
      </c>
      <c r="L5164" s="25" t="str">
        <f t="shared" si="60"/>
        <v/>
      </c>
      <c r="M5164" s="25"/>
      <c r="O5164" s="26" t="s">
        <v>51</v>
      </c>
    </row>
    <row r="5165" ht="15.75" customHeight="1">
      <c r="A5165" s="25" t="str">
        <f>IFERROR(__xludf.DUMMYFUNCTION("IF(B5165="""","""",RIGHT(REGEXREPLACE(B5165&amp;"""",""[^0-9]"",""""),9))"),"740302124")</f>
        <v>740302124</v>
      </c>
      <c r="B5165" s="52">
        <v>7.40302124E8</v>
      </c>
      <c r="C5165" s="28" t="s">
        <v>5111</v>
      </c>
      <c r="D5165" s="26" t="s">
        <v>82</v>
      </c>
      <c r="E5165" s="31">
        <v>46237.0</v>
      </c>
      <c r="F5165" s="26" t="s">
        <v>41</v>
      </c>
      <c r="I5165" s="26" t="s">
        <v>863</v>
      </c>
      <c r="J5165" s="25" t="str">
        <f t="shared" si="58"/>
        <v>No</v>
      </c>
      <c r="K5165" s="25" t="str">
        <f t="shared" si="59"/>
        <v/>
      </c>
      <c r="L5165" s="25" t="str">
        <f t="shared" si="60"/>
        <v/>
      </c>
      <c r="M5165" s="25"/>
      <c r="O5165" s="25"/>
    </row>
    <row r="5166" ht="15.75" customHeight="1">
      <c r="A5166" s="25" t="str">
        <f>IFERROR(__xludf.DUMMYFUNCTION("IF(B5166="""","""",RIGHT(REGEXREPLACE(B5166&amp;"""",""[^0-9]"",""""),9))"),"769187209")</f>
        <v>769187209</v>
      </c>
      <c r="B5166" s="52">
        <v>7.69187209E8</v>
      </c>
      <c r="C5166" s="28" t="s">
        <v>5112</v>
      </c>
      <c r="D5166" s="26" t="s">
        <v>49</v>
      </c>
      <c r="E5166" s="31">
        <v>46237.0</v>
      </c>
      <c r="F5166" s="26" t="s">
        <v>41</v>
      </c>
      <c r="I5166" s="26" t="s">
        <v>863</v>
      </c>
      <c r="J5166" s="25" t="str">
        <f t="shared" si="58"/>
        <v>No</v>
      </c>
      <c r="K5166" s="25" t="str">
        <f t="shared" si="59"/>
        <v/>
      </c>
      <c r="L5166" s="25" t="str">
        <f t="shared" si="60"/>
        <v/>
      </c>
      <c r="M5166" s="25"/>
      <c r="O5166" s="25"/>
    </row>
    <row r="5167" ht="15.75" customHeight="1">
      <c r="A5167" s="25" t="str">
        <f>IFERROR(__xludf.DUMMYFUNCTION("IF(B5167="""","""",RIGHT(REGEXREPLACE(B5167&amp;"""",""[^0-9]"",""""),9))"),"763867897")</f>
        <v>763867897</v>
      </c>
      <c r="B5167" s="52">
        <v>7.63867897E8</v>
      </c>
      <c r="C5167" s="28" t="s">
        <v>2008</v>
      </c>
      <c r="D5167" s="26" t="s">
        <v>45</v>
      </c>
      <c r="E5167" s="31">
        <v>46237.0</v>
      </c>
      <c r="F5167" s="26" t="s">
        <v>46</v>
      </c>
      <c r="G5167" s="26">
        <v>10.0</v>
      </c>
      <c r="I5167" s="26" t="s">
        <v>863</v>
      </c>
      <c r="J5167" s="25" t="str">
        <f t="shared" si="58"/>
        <v>Yes - see Previous F-Code</v>
      </c>
      <c r="K5167" s="25" t="str">
        <f t="shared" si="59"/>
        <v/>
      </c>
      <c r="L5167" s="25" t="str">
        <f t="shared" si="60"/>
        <v>F71711</v>
      </c>
      <c r="M5167" s="25"/>
      <c r="O5167" s="25"/>
    </row>
    <row r="5168" ht="15.75" customHeight="1">
      <c r="A5168" s="25" t="str">
        <f>IFERROR(__xludf.DUMMYFUNCTION("IF(B5168="""","""",RIGHT(REGEXREPLACE(B5168&amp;"""",""[^0-9]"",""""),9))"),"710737714")</f>
        <v>710737714</v>
      </c>
      <c r="B5168" s="52">
        <v>7.10737714E8</v>
      </c>
      <c r="C5168" s="28" t="s">
        <v>5113</v>
      </c>
      <c r="D5168" s="26" t="s">
        <v>82</v>
      </c>
      <c r="E5168" s="31">
        <v>46237.0</v>
      </c>
      <c r="F5168" s="26" t="s">
        <v>46</v>
      </c>
      <c r="G5168" s="26">
        <v>9.0</v>
      </c>
      <c r="I5168" s="26" t="s">
        <v>863</v>
      </c>
      <c r="J5168" s="25" t="str">
        <f t="shared" si="58"/>
        <v>No</v>
      </c>
      <c r="K5168" s="25" t="str">
        <f t="shared" si="59"/>
        <v/>
      </c>
      <c r="L5168" s="25" t="str">
        <f t="shared" si="60"/>
        <v/>
      </c>
      <c r="M5168" s="25"/>
      <c r="O5168" s="25"/>
    </row>
    <row r="5169" ht="15.75" customHeight="1">
      <c r="A5169" s="25" t="str">
        <f>IFERROR(__xludf.DUMMYFUNCTION("IF(B5169="""","""",RIGHT(REGEXREPLACE(B5169&amp;"""",""[^0-9]"",""""),9))"),"772136043")</f>
        <v>772136043</v>
      </c>
      <c r="B5169" s="52">
        <v>7.72136043E8</v>
      </c>
      <c r="C5169" s="28" t="s">
        <v>5114</v>
      </c>
      <c r="D5169" s="26" t="s">
        <v>49</v>
      </c>
      <c r="E5169" s="31">
        <v>46237.0</v>
      </c>
      <c r="F5169" s="26" t="s">
        <v>46</v>
      </c>
      <c r="G5169" s="26">
        <v>10.0</v>
      </c>
      <c r="I5169" s="26" t="s">
        <v>863</v>
      </c>
      <c r="J5169" s="25" t="str">
        <f t="shared" si="58"/>
        <v>No</v>
      </c>
      <c r="K5169" s="25" t="str">
        <f t="shared" si="59"/>
        <v/>
      </c>
      <c r="L5169" s="25" t="str">
        <f t="shared" si="60"/>
        <v/>
      </c>
      <c r="M5169" s="25"/>
      <c r="O5169" s="25"/>
    </row>
    <row r="5170" ht="15.75" customHeight="1">
      <c r="A5170" s="25" t="str">
        <f>IFERROR(__xludf.DUMMYFUNCTION("IF(B5170="""","""",RIGHT(REGEXREPLACE(B5170&amp;"""",""[^0-9]"",""""),9))"),"727930681")</f>
        <v>727930681</v>
      </c>
      <c r="B5170" s="52">
        <v>7.27930681E8</v>
      </c>
      <c r="C5170" s="28" t="s">
        <v>4969</v>
      </c>
      <c r="D5170" s="26" t="s">
        <v>56</v>
      </c>
      <c r="E5170" s="31">
        <v>46237.0</v>
      </c>
      <c r="F5170" s="25"/>
      <c r="G5170" s="25"/>
      <c r="H5170" s="25"/>
      <c r="I5170" s="26" t="s">
        <v>863</v>
      </c>
      <c r="J5170" s="25" t="str">
        <f t="shared" si="58"/>
        <v>No</v>
      </c>
      <c r="K5170" s="25" t="str">
        <f t="shared" si="59"/>
        <v/>
      </c>
      <c r="L5170" s="25" t="str">
        <f t="shared" si="60"/>
        <v/>
      </c>
      <c r="M5170" s="25"/>
      <c r="N5170" s="25"/>
      <c r="O5170" s="25"/>
      <c r="P5170" s="25"/>
    </row>
    <row r="5171" ht="15.75" customHeight="1">
      <c r="A5171" s="25" t="str">
        <f>IFERROR(__xludf.DUMMYFUNCTION("IF(B5171="""","""",RIGHT(REGEXREPLACE(B5171&amp;"""",""[^0-9]"",""""),9))"),"765734407")</f>
        <v>765734407</v>
      </c>
      <c r="B5171" s="52">
        <v>7.65734407E8</v>
      </c>
      <c r="C5171" s="28" t="s">
        <v>5115</v>
      </c>
      <c r="D5171" s="26" t="s">
        <v>45</v>
      </c>
      <c r="E5171" s="31">
        <v>46237.0</v>
      </c>
      <c r="F5171" s="26" t="s">
        <v>46</v>
      </c>
      <c r="G5171" s="26">
        <v>11.0</v>
      </c>
      <c r="I5171" s="26" t="s">
        <v>863</v>
      </c>
      <c r="J5171" s="25" t="str">
        <f t="shared" si="58"/>
        <v>No</v>
      </c>
      <c r="K5171" s="25" t="str">
        <f t="shared" si="59"/>
        <v/>
      </c>
      <c r="L5171" s="25" t="str">
        <f t="shared" si="60"/>
        <v/>
      </c>
      <c r="M5171" s="25"/>
      <c r="O5171" s="25"/>
    </row>
    <row r="5172" ht="15.75" customHeight="1">
      <c r="A5172" s="25" t="str">
        <f>IFERROR(__xludf.DUMMYFUNCTION("IF(B5172="""","""",RIGHT(REGEXREPLACE(B5172&amp;"""",""[^0-9]"",""""),9))"),"761348974")</f>
        <v>761348974</v>
      </c>
      <c r="B5172" s="52">
        <v>7.61348974E8</v>
      </c>
      <c r="C5172" s="28" t="s">
        <v>5116</v>
      </c>
      <c r="D5172" s="26" t="s">
        <v>82</v>
      </c>
      <c r="E5172" s="31">
        <v>46237.0</v>
      </c>
      <c r="F5172" s="26" t="s">
        <v>46</v>
      </c>
      <c r="H5172" s="26" t="s">
        <v>5117</v>
      </c>
      <c r="I5172" s="26" t="s">
        <v>863</v>
      </c>
      <c r="J5172" s="25" t="str">
        <f t="shared" si="58"/>
        <v>No</v>
      </c>
      <c r="K5172" s="25" t="str">
        <f t="shared" si="59"/>
        <v/>
      </c>
      <c r="L5172" s="25" t="str">
        <f t="shared" si="60"/>
        <v/>
      </c>
      <c r="M5172" s="25"/>
      <c r="O5172" s="25"/>
    </row>
    <row r="5173" ht="15.75" customHeight="1">
      <c r="A5173" s="25" t="str">
        <f>IFERROR(__xludf.DUMMYFUNCTION("IF(B5173="""","""",RIGHT(REGEXREPLACE(B5173&amp;"""",""[^0-9]"",""""),9))"),"705182558")</f>
        <v>705182558</v>
      </c>
      <c r="B5173" s="52">
        <v>7.05182558E8</v>
      </c>
      <c r="C5173" s="28" t="s">
        <v>5118</v>
      </c>
      <c r="D5173" s="26" t="s">
        <v>56</v>
      </c>
      <c r="E5173" s="31">
        <v>46237.0</v>
      </c>
      <c r="F5173" s="26" t="s">
        <v>41</v>
      </c>
      <c r="I5173" s="26" t="s">
        <v>863</v>
      </c>
      <c r="J5173" s="25" t="str">
        <f t="shared" si="58"/>
        <v>No</v>
      </c>
      <c r="K5173" s="25" t="str">
        <f t="shared" si="59"/>
        <v/>
      </c>
      <c r="L5173" s="25" t="str">
        <f t="shared" si="60"/>
        <v/>
      </c>
      <c r="M5173" s="25"/>
      <c r="O5173" s="25"/>
    </row>
    <row r="5174" ht="15.75" customHeight="1">
      <c r="A5174" s="25" t="str">
        <f>IFERROR(__xludf.DUMMYFUNCTION("IF(B5174="""","""",RIGHT(REGEXREPLACE(B5174&amp;"""",""[^0-9]"",""""),9))"),"701704533")</f>
        <v>701704533</v>
      </c>
      <c r="B5174" s="52">
        <v>7.01704533E8</v>
      </c>
      <c r="C5174" s="28" t="s">
        <v>5119</v>
      </c>
      <c r="D5174" s="26" t="s">
        <v>45</v>
      </c>
      <c r="E5174" s="31">
        <v>46237.0</v>
      </c>
      <c r="F5174" s="26" t="s">
        <v>41</v>
      </c>
      <c r="G5174" s="26">
        <v>9.0</v>
      </c>
      <c r="I5174" s="26" t="s">
        <v>863</v>
      </c>
      <c r="J5174" s="25" t="str">
        <f t="shared" si="58"/>
        <v>No</v>
      </c>
      <c r="K5174" s="25" t="str">
        <f t="shared" si="59"/>
        <v/>
      </c>
      <c r="L5174" s="25" t="str">
        <f t="shared" si="60"/>
        <v/>
      </c>
      <c r="M5174" s="25"/>
      <c r="O5174" s="25"/>
    </row>
    <row r="5175" ht="15.75" customHeight="1">
      <c r="A5175" s="25" t="str">
        <f>IFERROR(__xludf.DUMMYFUNCTION("IF(B5175="""","""",RIGHT(REGEXREPLACE(B5175&amp;"""",""[^0-9]"",""""),9))"),"706996825")</f>
        <v>706996825</v>
      </c>
      <c r="B5175" s="52">
        <v>7.06996825E8</v>
      </c>
      <c r="C5175" s="28" t="s">
        <v>5120</v>
      </c>
      <c r="D5175" s="26" t="s">
        <v>49</v>
      </c>
      <c r="E5175" s="31">
        <v>46237.0</v>
      </c>
      <c r="F5175" s="26" t="s">
        <v>46</v>
      </c>
      <c r="G5175" s="26">
        <v>9.0</v>
      </c>
      <c r="H5175" s="26" t="s">
        <v>94</v>
      </c>
      <c r="I5175" s="26" t="s">
        <v>863</v>
      </c>
      <c r="J5175" s="25" t="str">
        <f t="shared" si="58"/>
        <v>No</v>
      </c>
      <c r="K5175" s="25" t="str">
        <f t="shared" si="59"/>
        <v/>
      </c>
      <c r="L5175" s="25" t="str">
        <f t="shared" si="60"/>
        <v/>
      </c>
      <c r="M5175" s="25"/>
      <c r="O5175" s="25"/>
    </row>
    <row r="5176" ht="15.75" customHeight="1">
      <c r="A5176" s="25" t="str">
        <f>IFERROR(__xludf.DUMMYFUNCTION("IF(B5176="""","""",RIGHT(REGEXREPLACE(B5176&amp;"""",""[^0-9]"",""""),9))"),"784737088")</f>
        <v>784737088</v>
      </c>
      <c r="B5176" s="52">
        <v>7.84737088E8</v>
      </c>
      <c r="C5176" s="28" t="s">
        <v>4177</v>
      </c>
      <c r="D5176" s="26" t="s">
        <v>82</v>
      </c>
      <c r="E5176" s="31">
        <v>46237.0</v>
      </c>
      <c r="F5176" s="25"/>
      <c r="G5176" s="25"/>
      <c r="H5176" s="25"/>
      <c r="I5176" s="26" t="s">
        <v>863</v>
      </c>
      <c r="J5176" s="25" t="str">
        <f t="shared" si="58"/>
        <v>Yes - see Previous F-Code</v>
      </c>
      <c r="K5176" s="25" t="str">
        <f t="shared" si="59"/>
        <v/>
      </c>
      <c r="L5176" s="25" t="str">
        <f t="shared" si="60"/>
        <v>F73810</v>
      </c>
      <c r="M5176" s="25"/>
      <c r="N5176" s="25"/>
      <c r="O5176" s="25"/>
      <c r="P5176" s="25"/>
    </row>
    <row r="5177" ht="15.75" customHeight="1">
      <c r="A5177" s="25" t="str">
        <f>IFERROR(__xludf.DUMMYFUNCTION("IF(B5177="""","""",RIGHT(REGEXREPLACE(B5177&amp;"""",""[^0-9]"",""""),9))"),"766415435")</f>
        <v>766415435</v>
      </c>
      <c r="B5177" s="52">
        <v>7.66415435E8</v>
      </c>
      <c r="C5177" s="28" t="s">
        <v>5121</v>
      </c>
      <c r="D5177" s="26" t="s">
        <v>56</v>
      </c>
      <c r="E5177" s="31">
        <v>46237.0</v>
      </c>
      <c r="F5177" s="26" t="s">
        <v>46</v>
      </c>
      <c r="G5177" s="26">
        <v>9.0</v>
      </c>
      <c r="I5177" s="26" t="s">
        <v>863</v>
      </c>
      <c r="J5177" s="25" t="str">
        <f t="shared" si="58"/>
        <v>No</v>
      </c>
      <c r="K5177" s="25" t="str">
        <f t="shared" si="59"/>
        <v/>
      </c>
      <c r="L5177" s="25" t="str">
        <f t="shared" si="60"/>
        <v/>
      </c>
      <c r="M5177" s="25"/>
      <c r="O5177" s="25"/>
    </row>
    <row r="5178" ht="15.75" customHeight="1">
      <c r="A5178" s="25" t="str">
        <f>IFERROR(__xludf.DUMMYFUNCTION("IF(B5178="""","""",RIGHT(REGEXREPLACE(B5178&amp;"""",""[^0-9]"",""""),9))"),"717970460")</f>
        <v>717970460</v>
      </c>
      <c r="B5178" s="52">
        <v>7.1797046E8</v>
      </c>
      <c r="C5178" s="28" t="s">
        <v>5122</v>
      </c>
      <c r="D5178" s="26" t="s">
        <v>45</v>
      </c>
      <c r="E5178" s="31">
        <v>46237.0</v>
      </c>
      <c r="F5178" s="26" t="s">
        <v>46</v>
      </c>
      <c r="G5178" s="26">
        <v>8.0</v>
      </c>
      <c r="I5178" s="26" t="s">
        <v>863</v>
      </c>
      <c r="J5178" s="25" t="str">
        <f t="shared" si="58"/>
        <v>No</v>
      </c>
      <c r="K5178" s="25" t="str">
        <f t="shared" si="59"/>
        <v/>
      </c>
      <c r="L5178" s="25" t="str">
        <f t="shared" si="60"/>
        <v/>
      </c>
      <c r="M5178" s="25"/>
      <c r="O5178" s="25"/>
    </row>
    <row r="5179" ht="15.75" customHeight="1">
      <c r="A5179" s="25" t="str">
        <f>IFERROR(__xludf.DUMMYFUNCTION("IF(B5179="""","""",RIGHT(REGEXREPLACE(B5179&amp;"""",""[^0-9]"",""""),9))"),"771120115")</f>
        <v>771120115</v>
      </c>
      <c r="B5179" s="52">
        <v>7.71120115E8</v>
      </c>
      <c r="C5179" s="28" t="s">
        <v>5123</v>
      </c>
      <c r="D5179" s="26" t="s">
        <v>49</v>
      </c>
      <c r="E5179" s="31">
        <v>46237.0</v>
      </c>
      <c r="F5179" s="26" t="s">
        <v>205</v>
      </c>
      <c r="G5179" s="26">
        <v>11.0</v>
      </c>
      <c r="I5179" s="26" t="s">
        <v>863</v>
      </c>
      <c r="J5179" s="25" t="str">
        <f t="shared" si="58"/>
        <v>No</v>
      </c>
      <c r="K5179" s="25" t="str">
        <f t="shared" si="59"/>
        <v/>
      </c>
      <c r="L5179" s="25" t="str">
        <f t="shared" si="60"/>
        <v/>
      </c>
      <c r="M5179" s="25"/>
      <c r="O5179" s="25"/>
    </row>
    <row r="5180" ht="15.75" customHeight="1">
      <c r="A5180" s="25" t="str">
        <f>IFERROR(__xludf.DUMMYFUNCTION("IF(B5180="""","""",RIGHT(REGEXREPLACE(B5180&amp;"""",""[^0-9]"",""""),9))"),"771841035")</f>
        <v>771841035</v>
      </c>
      <c r="B5180" s="52">
        <v>7.71841035E8</v>
      </c>
      <c r="C5180" s="28" t="s">
        <v>5124</v>
      </c>
      <c r="D5180" s="26" t="s">
        <v>82</v>
      </c>
      <c r="E5180" s="31">
        <v>46237.0</v>
      </c>
      <c r="F5180" s="26" t="s">
        <v>46</v>
      </c>
      <c r="G5180" s="26">
        <v>9.0</v>
      </c>
      <c r="I5180" s="26" t="s">
        <v>863</v>
      </c>
      <c r="J5180" s="25" t="str">
        <f t="shared" si="58"/>
        <v>No</v>
      </c>
      <c r="K5180" s="25" t="str">
        <f t="shared" si="59"/>
        <v/>
      </c>
      <c r="L5180" s="25" t="str">
        <f t="shared" si="60"/>
        <v/>
      </c>
      <c r="M5180" s="25"/>
      <c r="O5180" s="26" t="s">
        <v>51</v>
      </c>
    </row>
    <row r="5181" ht="15.75" customHeight="1">
      <c r="A5181" s="25" t="str">
        <f>IFERROR(__xludf.DUMMYFUNCTION("IF(B5181="""","""",RIGHT(REGEXREPLACE(B5181&amp;"""",""[^0-9]"",""""),9))"),"776934632")</f>
        <v>776934632</v>
      </c>
      <c r="B5181" s="52">
        <v>7.76934632E8</v>
      </c>
      <c r="C5181" s="28" t="s">
        <v>5125</v>
      </c>
      <c r="D5181" s="26" t="s">
        <v>56</v>
      </c>
      <c r="E5181" s="31">
        <v>46237.0</v>
      </c>
      <c r="F5181" s="26" t="s">
        <v>631</v>
      </c>
      <c r="G5181" s="26">
        <v>9.0</v>
      </c>
      <c r="I5181" s="26" t="s">
        <v>863</v>
      </c>
      <c r="J5181" s="25" t="str">
        <f t="shared" si="58"/>
        <v>No</v>
      </c>
      <c r="K5181" s="25" t="str">
        <f t="shared" si="59"/>
        <v/>
      </c>
      <c r="L5181" s="25" t="str">
        <f t="shared" si="60"/>
        <v/>
      </c>
      <c r="M5181" s="25"/>
      <c r="O5181" s="25"/>
    </row>
    <row r="5182" ht="15.75" customHeight="1">
      <c r="A5182" s="25" t="str">
        <f>IFERROR(__xludf.DUMMYFUNCTION("IF(B5182="""","""",RIGHT(REGEXREPLACE(B5182&amp;"""",""[^0-9]"",""""),9))"),"702844812")</f>
        <v>702844812</v>
      </c>
      <c r="B5182" s="52">
        <v>7.02844812E8</v>
      </c>
      <c r="C5182" s="28" t="s">
        <v>4649</v>
      </c>
      <c r="D5182" s="26" t="s">
        <v>56</v>
      </c>
      <c r="E5182" s="31">
        <v>46237.0</v>
      </c>
      <c r="F5182" s="26" t="s">
        <v>205</v>
      </c>
      <c r="G5182" s="26">
        <v>9.0</v>
      </c>
      <c r="I5182" s="26" t="s">
        <v>863</v>
      </c>
      <c r="J5182" s="25" t="str">
        <f t="shared" si="58"/>
        <v>No</v>
      </c>
      <c r="K5182" s="25" t="str">
        <f t="shared" si="59"/>
        <v/>
      </c>
      <c r="L5182" s="25" t="str">
        <f t="shared" si="60"/>
        <v/>
      </c>
      <c r="M5182" s="25"/>
      <c r="O5182" s="25"/>
    </row>
    <row r="5183" ht="15.75" customHeight="1">
      <c r="A5183" s="25" t="str">
        <f>IFERROR(__xludf.DUMMYFUNCTION("IF(B5183="""","""",RIGHT(REGEXREPLACE(B5183&amp;"""",""[^0-9]"",""""),9))"),"705283003")</f>
        <v>705283003</v>
      </c>
      <c r="B5183" s="52">
        <v>7.05283003E8</v>
      </c>
      <c r="C5183" s="28" t="s">
        <v>5126</v>
      </c>
      <c r="D5183" s="26" t="s">
        <v>45</v>
      </c>
      <c r="E5183" s="31">
        <v>46237.0</v>
      </c>
      <c r="F5183" s="26" t="s">
        <v>41</v>
      </c>
      <c r="G5183" s="26">
        <v>9.0</v>
      </c>
      <c r="I5183" s="26" t="s">
        <v>863</v>
      </c>
      <c r="J5183" s="25" t="str">
        <f t="shared" si="58"/>
        <v>No</v>
      </c>
      <c r="K5183" s="25" t="str">
        <f t="shared" si="59"/>
        <v/>
      </c>
      <c r="L5183" s="25" t="str">
        <f t="shared" si="60"/>
        <v/>
      </c>
      <c r="M5183" s="25"/>
      <c r="O5183" s="25"/>
    </row>
    <row r="5184" ht="15.75" customHeight="1">
      <c r="A5184" s="25" t="str">
        <f>IFERROR(__xludf.DUMMYFUNCTION("IF(B5184="""","""",RIGHT(REGEXREPLACE(B5184&amp;"""",""[^0-9]"",""""),9))"),"778321622")</f>
        <v>778321622</v>
      </c>
      <c r="B5184" s="52">
        <v>7.78321622E8</v>
      </c>
      <c r="C5184" s="28" t="s">
        <v>5127</v>
      </c>
      <c r="D5184" s="26" t="s">
        <v>49</v>
      </c>
      <c r="E5184" s="31">
        <v>46237.0</v>
      </c>
      <c r="F5184" s="26" t="s">
        <v>46</v>
      </c>
      <c r="G5184" s="26">
        <v>9.0</v>
      </c>
      <c r="I5184" s="26" t="s">
        <v>863</v>
      </c>
      <c r="J5184" s="25" t="str">
        <f t="shared" si="58"/>
        <v>No</v>
      </c>
      <c r="K5184" s="25" t="str">
        <f t="shared" si="59"/>
        <v/>
      </c>
      <c r="L5184" s="25" t="str">
        <f t="shared" si="60"/>
        <v/>
      </c>
      <c r="M5184" s="25"/>
      <c r="O5184" s="25"/>
    </row>
    <row r="5185" ht="15.75" customHeight="1">
      <c r="A5185" s="25" t="str">
        <f>IFERROR(__xludf.DUMMYFUNCTION("IF(B5185="""","""",RIGHT(REGEXREPLACE(B5185&amp;"""",""[^0-9]"",""""),9))"),"707872608")</f>
        <v>707872608</v>
      </c>
      <c r="B5185" s="52">
        <v>7.07872608E8</v>
      </c>
      <c r="C5185" s="28" t="s">
        <v>5128</v>
      </c>
      <c r="D5185" s="26" t="s">
        <v>45</v>
      </c>
      <c r="E5185" s="31">
        <v>46237.0</v>
      </c>
      <c r="F5185" s="26" t="s">
        <v>41</v>
      </c>
      <c r="G5185" s="26">
        <v>8.0</v>
      </c>
      <c r="I5185" s="26" t="s">
        <v>863</v>
      </c>
      <c r="J5185" s="25" t="str">
        <f t="shared" si="58"/>
        <v>No</v>
      </c>
      <c r="K5185" s="25" t="str">
        <f t="shared" si="59"/>
        <v/>
      </c>
      <c r="L5185" s="25" t="str">
        <f t="shared" si="60"/>
        <v/>
      </c>
      <c r="M5185" s="25"/>
      <c r="O5185" s="25"/>
    </row>
    <row r="5186" ht="15.75" customHeight="1">
      <c r="A5186" s="25" t="str">
        <f>IFERROR(__xludf.DUMMYFUNCTION("IF(B5186="""","""",RIGHT(REGEXREPLACE(B5186&amp;"""",""[^0-9]"",""""),9))"),"717258404")</f>
        <v>717258404</v>
      </c>
      <c r="B5186" s="52">
        <v>7.17258404E8</v>
      </c>
      <c r="C5186" s="28" t="s">
        <v>5129</v>
      </c>
      <c r="D5186" s="26" t="s">
        <v>82</v>
      </c>
      <c r="E5186" s="31">
        <v>46237.0</v>
      </c>
      <c r="F5186" s="26" t="s">
        <v>46</v>
      </c>
      <c r="G5186" s="26">
        <v>9.0</v>
      </c>
      <c r="I5186" s="26" t="s">
        <v>863</v>
      </c>
      <c r="J5186" s="25" t="str">
        <f t="shared" si="58"/>
        <v>No</v>
      </c>
      <c r="K5186" s="25" t="str">
        <f t="shared" si="59"/>
        <v/>
      </c>
      <c r="L5186" s="25" t="str">
        <f t="shared" si="60"/>
        <v/>
      </c>
      <c r="M5186" s="25"/>
      <c r="O5186" s="25"/>
    </row>
    <row r="5187" ht="15.75" customHeight="1">
      <c r="A5187" s="25" t="str">
        <f>IFERROR(__xludf.DUMMYFUNCTION("IF(B5187="""","""",RIGHT(REGEXREPLACE(B5187&amp;"""",""[^0-9]"",""""),9))"),"779248557")</f>
        <v>779248557</v>
      </c>
      <c r="B5187" s="52">
        <v>7.79248557E8</v>
      </c>
      <c r="C5187" s="28" t="s">
        <v>5130</v>
      </c>
      <c r="D5187" s="26" t="s">
        <v>49</v>
      </c>
      <c r="E5187" s="31">
        <v>46237.0</v>
      </c>
      <c r="F5187" s="26" t="s">
        <v>41</v>
      </c>
      <c r="I5187" s="26" t="s">
        <v>863</v>
      </c>
      <c r="J5187" s="25" t="str">
        <f t="shared" si="58"/>
        <v>No</v>
      </c>
      <c r="K5187" s="25" t="str">
        <f t="shared" si="59"/>
        <v/>
      </c>
      <c r="L5187" s="25" t="str">
        <f t="shared" si="60"/>
        <v/>
      </c>
      <c r="M5187" s="25"/>
      <c r="O5187" s="25"/>
    </row>
    <row r="5188" ht="15.75" customHeight="1">
      <c r="A5188" s="25" t="str">
        <f>IFERROR(__xludf.DUMMYFUNCTION("IF(B5188="""","""",RIGHT(REGEXREPLACE(B5188&amp;"""",""[^0-9]"",""""),9))"),"775986472")</f>
        <v>775986472</v>
      </c>
      <c r="B5188" s="52">
        <v>7.75986472E8</v>
      </c>
      <c r="C5188" s="28" t="s">
        <v>5131</v>
      </c>
      <c r="D5188" s="26" t="s">
        <v>56</v>
      </c>
      <c r="E5188" s="31">
        <v>46237.0</v>
      </c>
      <c r="F5188" s="25"/>
      <c r="G5188" s="25"/>
      <c r="H5188" s="25"/>
      <c r="I5188" s="26" t="s">
        <v>863</v>
      </c>
      <c r="J5188" s="25" t="str">
        <f t="shared" si="58"/>
        <v>No</v>
      </c>
      <c r="K5188" s="25" t="str">
        <f t="shared" si="59"/>
        <v/>
      </c>
      <c r="L5188" s="25" t="str">
        <f t="shared" si="60"/>
        <v/>
      </c>
      <c r="M5188" s="25"/>
      <c r="N5188" s="25"/>
      <c r="O5188" s="25"/>
      <c r="P5188" s="25"/>
    </row>
    <row r="5189" ht="15.75" customHeight="1">
      <c r="A5189" s="25" t="str">
        <f>IFERROR(__xludf.DUMMYFUNCTION("IF(B5189="""","""",RIGHT(REGEXREPLACE(B5189&amp;"""",""[^0-9]"",""""),9))"),"777770871")</f>
        <v>777770871</v>
      </c>
      <c r="B5189" s="52">
        <v>7.77770871E8</v>
      </c>
      <c r="C5189" s="28" t="s">
        <v>5132</v>
      </c>
      <c r="D5189" s="26" t="s">
        <v>82</v>
      </c>
      <c r="E5189" s="31">
        <v>46237.0</v>
      </c>
      <c r="F5189" s="26" t="s">
        <v>704</v>
      </c>
      <c r="I5189" s="26" t="s">
        <v>863</v>
      </c>
      <c r="J5189" s="25" t="str">
        <f t="shared" si="58"/>
        <v>No</v>
      </c>
      <c r="K5189" s="25" t="str">
        <f t="shared" si="59"/>
        <v/>
      </c>
      <c r="L5189" s="25" t="str">
        <f t="shared" si="60"/>
        <v/>
      </c>
      <c r="M5189" s="25"/>
      <c r="O5189" s="25"/>
    </row>
    <row r="5190" ht="15.75" customHeight="1">
      <c r="A5190" s="25" t="str">
        <f>IFERROR(__xludf.DUMMYFUNCTION("IF(B5190="""","""",RIGHT(REGEXREPLACE(B5190&amp;"""",""[^0-9]"",""""),9))"),"740698487")</f>
        <v>740698487</v>
      </c>
      <c r="B5190" s="52">
        <v>7.40698487E8</v>
      </c>
      <c r="C5190" s="28" t="s">
        <v>5133</v>
      </c>
      <c r="D5190" s="26" t="s">
        <v>82</v>
      </c>
      <c r="E5190" s="31">
        <v>46237.0</v>
      </c>
      <c r="F5190" s="26" t="s">
        <v>46</v>
      </c>
      <c r="G5190" s="26">
        <v>9.0</v>
      </c>
      <c r="H5190" s="26" t="s">
        <v>5134</v>
      </c>
      <c r="I5190" s="26" t="s">
        <v>863</v>
      </c>
      <c r="J5190" s="25" t="str">
        <f t="shared" si="58"/>
        <v>No</v>
      </c>
      <c r="K5190" s="25" t="str">
        <f t="shared" si="59"/>
        <v/>
      </c>
      <c r="L5190" s="25" t="str">
        <f t="shared" si="60"/>
        <v/>
      </c>
      <c r="M5190" s="25"/>
      <c r="O5190" s="25"/>
    </row>
    <row r="5191" ht="15.75" customHeight="1">
      <c r="A5191" s="25" t="str">
        <f>IFERROR(__xludf.DUMMYFUNCTION("IF(B5191="""","""",RIGHT(REGEXREPLACE(B5191&amp;"""",""[^0-9]"",""""),9))"),"761346547")</f>
        <v>761346547</v>
      </c>
      <c r="B5191" s="52">
        <v>7.61346547E8</v>
      </c>
      <c r="C5191" s="28" t="s">
        <v>5135</v>
      </c>
      <c r="D5191" s="26" t="s">
        <v>45</v>
      </c>
      <c r="E5191" s="31">
        <v>46237.0</v>
      </c>
      <c r="F5191" s="26" t="s">
        <v>41</v>
      </c>
      <c r="I5191" s="26" t="s">
        <v>863</v>
      </c>
      <c r="J5191" s="25" t="str">
        <f t="shared" si="58"/>
        <v>No</v>
      </c>
      <c r="K5191" s="25" t="str">
        <f t="shared" si="59"/>
        <v/>
      </c>
      <c r="L5191" s="25" t="str">
        <f t="shared" si="60"/>
        <v/>
      </c>
      <c r="M5191" s="25"/>
      <c r="O5191" s="25"/>
    </row>
    <row r="5192" ht="15.75" customHeight="1">
      <c r="A5192" s="25" t="str">
        <f>IFERROR(__xludf.DUMMYFUNCTION("IF(B5192="""","""",RIGHT(REGEXREPLACE(B5192&amp;"""",""[^0-9]"",""""),9))"),"774924387")</f>
        <v>774924387</v>
      </c>
      <c r="B5192" s="52">
        <v>7.74924387E8</v>
      </c>
      <c r="C5192" s="28" t="s">
        <v>5136</v>
      </c>
      <c r="D5192" s="26" t="s">
        <v>49</v>
      </c>
      <c r="E5192" s="31">
        <v>46237.0</v>
      </c>
      <c r="F5192" s="26" t="s">
        <v>46</v>
      </c>
      <c r="G5192" s="26">
        <v>9.0</v>
      </c>
      <c r="H5192" s="72" t="s">
        <v>5137</v>
      </c>
      <c r="I5192" s="26" t="s">
        <v>863</v>
      </c>
      <c r="J5192" s="25" t="str">
        <f t="shared" si="58"/>
        <v>No</v>
      </c>
      <c r="K5192" s="25" t="str">
        <f t="shared" si="59"/>
        <v/>
      </c>
      <c r="L5192" s="25" t="str">
        <f t="shared" si="60"/>
        <v/>
      </c>
      <c r="M5192" s="25"/>
      <c r="O5192" s="25"/>
    </row>
    <row r="5193" ht="15.75" customHeight="1">
      <c r="A5193" s="25" t="str">
        <f>IFERROR(__xludf.DUMMYFUNCTION("IF(B5193="""","""",RIGHT(REGEXREPLACE(B5193&amp;"""",""[^0-9]"",""""),9))"),"775693865")</f>
        <v>775693865</v>
      </c>
      <c r="B5193" s="52">
        <v>7.75693865E8</v>
      </c>
      <c r="C5193" s="28" t="s">
        <v>5138</v>
      </c>
      <c r="D5193" s="26" t="s">
        <v>45</v>
      </c>
      <c r="E5193" s="31">
        <v>46237.0</v>
      </c>
      <c r="F5193" s="26" t="s">
        <v>46</v>
      </c>
      <c r="G5193" s="26">
        <v>9.0</v>
      </c>
      <c r="I5193" s="26" t="s">
        <v>863</v>
      </c>
      <c r="J5193" s="25" t="str">
        <f t="shared" si="58"/>
        <v>No</v>
      </c>
      <c r="K5193" s="25" t="str">
        <f t="shared" si="59"/>
        <v/>
      </c>
      <c r="L5193" s="25" t="str">
        <f t="shared" si="60"/>
        <v/>
      </c>
      <c r="M5193" s="25"/>
      <c r="O5193" s="26" t="s">
        <v>51</v>
      </c>
    </row>
    <row r="5194" ht="15.75" customHeight="1">
      <c r="A5194" s="25" t="str">
        <f>IFERROR(__xludf.DUMMYFUNCTION("IF(B5194="""","""",RIGHT(REGEXREPLACE(B5194&amp;"""",""[^0-9]"",""""),9))"),"718652403")</f>
        <v>718652403</v>
      </c>
      <c r="B5194" s="52">
        <v>7.18652403E8</v>
      </c>
      <c r="C5194" s="28" t="s">
        <v>5139</v>
      </c>
      <c r="D5194" s="26" t="s">
        <v>56</v>
      </c>
      <c r="E5194" s="31">
        <v>46237.0</v>
      </c>
      <c r="F5194" s="26" t="s">
        <v>46</v>
      </c>
      <c r="G5194" s="26">
        <v>9.0</v>
      </c>
      <c r="I5194" s="26" t="s">
        <v>863</v>
      </c>
      <c r="J5194" s="25" t="str">
        <f t="shared" si="58"/>
        <v>No</v>
      </c>
      <c r="K5194" s="25" t="str">
        <f t="shared" si="59"/>
        <v/>
      </c>
      <c r="L5194" s="25" t="str">
        <f t="shared" si="60"/>
        <v/>
      </c>
      <c r="M5194" s="25"/>
      <c r="O5194" s="25"/>
    </row>
    <row r="5195" ht="15.75" customHeight="1">
      <c r="A5195" s="25" t="str">
        <f>IFERROR(__xludf.DUMMYFUNCTION("IF(B5195="""","""",RIGHT(REGEXREPLACE(B5195&amp;"""",""[^0-9]"",""""),9))"),"763834086")</f>
        <v>763834086</v>
      </c>
      <c r="B5195" s="52">
        <v>7.63834086E8</v>
      </c>
      <c r="C5195" s="28" t="s">
        <v>5140</v>
      </c>
      <c r="D5195" s="26" t="s">
        <v>82</v>
      </c>
      <c r="E5195" s="31">
        <v>46237.0</v>
      </c>
      <c r="F5195" s="26" t="s">
        <v>41</v>
      </c>
      <c r="I5195" s="26" t="s">
        <v>863</v>
      </c>
      <c r="J5195" s="25" t="str">
        <f t="shared" si="58"/>
        <v>No</v>
      </c>
      <c r="K5195" s="25" t="str">
        <f t="shared" si="59"/>
        <v/>
      </c>
      <c r="L5195" s="25" t="str">
        <f t="shared" si="60"/>
        <v/>
      </c>
      <c r="M5195" s="25"/>
      <c r="O5195" s="25"/>
    </row>
    <row r="5196" ht="15.75" customHeight="1">
      <c r="A5196" s="25" t="str">
        <f>IFERROR(__xludf.DUMMYFUNCTION("IF(B5196="""","""",RIGHT(REGEXREPLACE(B5196&amp;"""",""[^0-9]"",""""),9))"),"762216836")</f>
        <v>762216836</v>
      </c>
      <c r="B5196" s="52">
        <v>7.62216836E8</v>
      </c>
      <c r="C5196" s="28" t="s">
        <v>5141</v>
      </c>
      <c r="D5196" s="26" t="s">
        <v>49</v>
      </c>
      <c r="E5196" s="31">
        <v>46237.0</v>
      </c>
      <c r="F5196" s="26" t="s">
        <v>205</v>
      </c>
      <c r="G5196" s="26">
        <v>9.0</v>
      </c>
      <c r="I5196" s="26" t="s">
        <v>863</v>
      </c>
      <c r="J5196" s="25" t="str">
        <f t="shared" si="58"/>
        <v>No</v>
      </c>
      <c r="K5196" s="25" t="str">
        <f t="shared" si="59"/>
        <v/>
      </c>
      <c r="L5196" s="25" t="str">
        <f t="shared" si="60"/>
        <v/>
      </c>
      <c r="M5196" s="25"/>
      <c r="O5196" s="25"/>
    </row>
    <row r="5197" ht="15.75" customHeight="1">
      <c r="A5197" s="25" t="str">
        <f>IFERROR(__xludf.DUMMYFUNCTION("IF(B5197="""","""",RIGHT(REGEXREPLACE(B5197&amp;"""",""[^0-9]"",""""),9))"),"771133527")</f>
        <v>771133527</v>
      </c>
      <c r="B5197" s="52">
        <v>7.71133527E8</v>
      </c>
      <c r="C5197" s="28" t="s">
        <v>5142</v>
      </c>
      <c r="D5197" s="26" t="s">
        <v>49</v>
      </c>
      <c r="E5197" s="31">
        <v>46237.0</v>
      </c>
      <c r="F5197" s="26" t="s">
        <v>41</v>
      </c>
      <c r="G5197" s="26">
        <v>9.0</v>
      </c>
      <c r="I5197" s="26" t="s">
        <v>863</v>
      </c>
      <c r="J5197" s="25" t="str">
        <f t="shared" si="58"/>
        <v>No</v>
      </c>
      <c r="K5197" s="25" t="str">
        <f t="shared" si="59"/>
        <v/>
      </c>
      <c r="L5197" s="25" t="str">
        <f t="shared" si="60"/>
        <v/>
      </c>
      <c r="M5197" s="25"/>
      <c r="O5197" s="25"/>
    </row>
    <row r="5198" ht="15.75" customHeight="1">
      <c r="A5198" s="25" t="str">
        <f>IFERROR(__xludf.DUMMYFUNCTION("IF(B5198="""","""",RIGHT(REGEXREPLACE(B5198&amp;"""",""[^0-9]"",""""),9))"),"717505894")</f>
        <v>717505894</v>
      </c>
      <c r="B5198" s="52">
        <v>7.17505894E8</v>
      </c>
      <c r="C5198" s="28" t="s">
        <v>4449</v>
      </c>
      <c r="D5198" s="26" t="s">
        <v>82</v>
      </c>
      <c r="E5198" s="31">
        <v>46237.0</v>
      </c>
      <c r="F5198" s="26" t="s">
        <v>46</v>
      </c>
      <c r="G5198" s="26">
        <v>9.0</v>
      </c>
      <c r="I5198" s="26" t="s">
        <v>863</v>
      </c>
      <c r="J5198" s="25" t="str">
        <f t="shared" si="58"/>
        <v>Yes - see Previous F-Code</v>
      </c>
      <c r="K5198" s="25" t="str">
        <f t="shared" si="59"/>
        <v/>
      </c>
      <c r="L5198" s="25" t="str">
        <f t="shared" si="60"/>
        <v>F74066</v>
      </c>
      <c r="M5198" s="25"/>
      <c r="O5198" s="25"/>
    </row>
    <row r="5199" ht="15.75" customHeight="1">
      <c r="A5199" s="25" t="str">
        <f>IFERROR(__xludf.DUMMYFUNCTION("IF(B5199="""","""",RIGHT(REGEXREPLACE(B5199&amp;"""",""[^0-9]"",""""),9))"),"764483167")</f>
        <v>764483167</v>
      </c>
      <c r="B5199" s="52">
        <v>7.64483167E8</v>
      </c>
      <c r="C5199" s="28" t="s">
        <v>5143</v>
      </c>
      <c r="D5199" s="26" t="s">
        <v>82</v>
      </c>
      <c r="E5199" s="31">
        <v>46237.0</v>
      </c>
      <c r="F5199" s="26" t="s">
        <v>125</v>
      </c>
      <c r="G5199" s="26">
        <v>11.0</v>
      </c>
      <c r="I5199" s="26" t="s">
        <v>863</v>
      </c>
      <c r="J5199" s="25" t="str">
        <f t="shared" si="58"/>
        <v>No</v>
      </c>
      <c r="K5199" s="25" t="str">
        <f t="shared" si="59"/>
        <v/>
      </c>
      <c r="L5199" s="25" t="str">
        <f t="shared" si="60"/>
        <v/>
      </c>
      <c r="M5199" s="25"/>
      <c r="O5199" s="25"/>
    </row>
    <row r="5200" ht="15.75" customHeight="1">
      <c r="A5200" s="25" t="str">
        <f>IFERROR(__xludf.DUMMYFUNCTION("IF(B5200="""","""",RIGHT(REGEXREPLACE(B5200&amp;"""",""[^0-9]"",""""),9))"),"778387399")</f>
        <v>778387399</v>
      </c>
      <c r="B5200" s="52">
        <v>7.78387399E8</v>
      </c>
      <c r="C5200" s="28" t="s">
        <v>5144</v>
      </c>
      <c r="D5200" s="26" t="s">
        <v>56</v>
      </c>
      <c r="E5200" s="31">
        <v>46237.0</v>
      </c>
      <c r="F5200" s="26" t="s">
        <v>46</v>
      </c>
      <c r="G5200" s="26">
        <v>10.0</v>
      </c>
      <c r="I5200" s="26" t="s">
        <v>863</v>
      </c>
      <c r="J5200" s="25" t="str">
        <f t="shared" si="58"/>
        <v>No</v>
      </c>
      <c r="K5200" s="25" t="str">
        <f t="shared" si="59"/>
        <v/>
      </c>
      <c r="L5200" s="25" t="str">
        <f t="shared" si="60"/>
        <v/>
      </c>
      <c r="M5200" s="25"/>
      <c r="O5200" s="25"/>
    </row>
    <row r="5201" ht="15.75" customHeight="1">
      <c r="A5201" s="25" t="str">
        <f>IFERROR(__xludf.DUMMYFUNCTION("IF(B5201="""","""",RIGHT(REGEXREPLACE(B5201&amp;"""",""[^0-9]"",""""),9))"),"773584891")</f>
        <v>773584891</v>
      </c>
      <c r="B5201" s="52">
        <v>7.73584891E8</v>
      </c>
      <c r="C5201" s="28" t="s">
        <v>5145</v>
      </c>
      <c r="D5201" s="26" t="s">
        <v>82</v>
      </c>
      <c r="E5201" s="31">
        <v>46237.0</v>
      </c>
      <c r="F5201" s="26" t="s">
        <v>46</v>
      </c>
      <c r="H5201" s="26" t="s">
        <v>140</v>
      </c>
      <c r="I5201" s="26" t="s">
        <v>863</v>
      </c>
      <c r="J5201" s="25" t="str">
        <f t="shared" si="58"/>
        <v>No</v>
      </c>
      <c r="K5201" s="25" t="str">
        <f t="shared" si="59"/>
        <v/>
      </c>
      <c r="L5201" s="25" t="str">
        <f t="shared" si="60"/>
        <v/>
      </c>
      <c r="M5201" s="25"/>
      <c r="O5201" s="25"/>
    </row>
    <row r="5202" ht="15.75" customHeight="1">
      <c r="A5202" s="25" t="str">
        <f>IFERROR(__xludf.DUMMYFUNCTION("IF(B5202="""","""",RIGHT(REGEXREPLACE(B5202&amp;"""",""[^0-9]"",""""),9))"),"755933533")</f>
        <v>755933533</v>
      </c>
      <c r="B5202" s="52">
        <v>7.55933533E8</v>
      </c>
      <c r="C5202" s="28" t="s">
        <v>4686</v>
      </c>
      <c r="D5202" s="26" t="s">
        <v>49</v>
      </c>
      <c r="E5202" s="31">
        <v>46237.0</v>
      </c>
      <c r="F5202" s="26" t="s">
        <v>46</v>
      </c>
      <c r="G5202" s="26">
        <v>11.0</v>
      </c>
      <c r="I5202" s="26" t="s">
        <v>863</v>
      </c>
      <c r="J5202" s="25" t="str">
        <f t="shared" si="58"/>
        <v>Yes - see Previous F-Code</v>
      </c>
      <c r="K5202" s="25" t="str">
        <f t="shared" si="59"/>
        <v>DUPLICATE - CHECK</v>
      </c>
      <c r="L5202" s="25" t="str">
        <f t="shared" si="60"/>
        <v>F74274</v>
      </c>
      <c r="M5202" s="25"/>
      <c r="O5202" s="25"/>
    </row>
    <row r="5203" ht="15.75" customHeight="1">
      <c r="A5203" s="25" t="str">
        <f>IFERROR(__xludf.DUMMYFUNCTION("IF(B5203="""","""",RIGHT(REGEXREPLACE(B5203&amp;"""",""[^0-9]"",""""),9))"),"760025028")</f>
        <v>760025028</v>
      </c>
      <c r="B5203" s="52">
        <v>7.60025028E8</v>
      </c>
      <c r="C5203" s="28" t="s">
        <v>5146</v>
      </c>
      <c r="D5203" s="26" t="s">
        <v>82</v>
      </c>
      <c r="E5203" s="31">
        <v>46237.0</v>
      </c>
      <c r="F5203" s="26" t="s">
        <v>704</v>
      </c>
      <c r="G5203" s="26">
        <v>9.0</v>
      </c>
      <c r="I5203" s="26" t="s">
        <v>863</v>
      </c>
      <c r="J5203" s="25" t="str">
        <f t="shared" si="58"/>
        <v>No</v>
      </c>
      <c r="K5203" s="25" t="str">
        <f t="shared" si="59"/>
        <v/>
      </c>
      <c r="L5203" s="25" t="str">
        <f t="shared" si="60"/>
        <v/>
      </c>
      <c r="M5203" s="25"/>
      <c r="O5203" s="25"/>
    </row>
    <row r="5204" ht="15.75" customHeight="1">
      <c r="A5204" s="25" t="str">
        <f>IFERROR(__xludf.DUMMYFUNCTION("IF(B5204="""","""",RIGHT(REGEXREPLACE(B5204&amp;"""",""[^0-9]"",""""),9))"),"770747679")</f>
        <v>770747679</v>
      </c>
      <c r="B5204" s="52">
        <v>7.70747679E8</v>
      </c>
      <c r="C5204" s="28" t="s">
        <v>5147</v>
      </c>
      <c r="D5204" s="26" t="s">
        <v>56</v>
      </c>
      <c r="E5204" s="31">
        <v>46237.0</v>
      </c>
      <c r="F5204" s="26" t="s">
        <v>46</v>
      </c>
      <c r="G5204" s="26">
        <v>8.0</v>
      </c>
      <c r="H5204" s="26" t="s">
        <v>1648</v>
      </c>
      <c r="I5204" s="26" t="s">
        <v>863</v>
      </c>
      <c r="J5204" s="25" t="str">
        <f t="shared" si="58"/>
        <v>No</v>
      </c>
      <c r="K5204" s="25" t="str">
        <f t="shared" si="59"/>
        <v/>
      </c>
      <c r="L5204" s="25" t="str">
        <f t="shared" si="60"/>
        <v/>
      </c>
      <c r="M5204" s="25"/>
      <c r="O5204" s="25"/>
    </row>
    <row r="5205" ht="15.75" customHeight="1">
      <c r="A5205" s="25" t="str">
        <f>IFERROR(__xludf.DUMMYFUNCTION("IF(B5205="""","""",RIGHT(REGEXREPLACE(B5205&amp;"""",""[^0-9]"",""""),9))"),"781962194")</f>
        <v>781962194</v>
      </c>
      <c r="B5205" s="26">
        <v>7.81962194E8</v>
      </c>
      <c r="C5205" s="28" t="s">
        <v>5148</v>
      </c>
      <c r="D5205" s="26" t="s">
        <v>37</v>
      </c>
      <c r="E5205" s="31">
        <v>46237.0</v>
      </c>
      <c r="F5205" s="26" t="s">
        <v>46</v>
      </c>
      <c r="G5205" s="26">
        <v>9.0</v>
      </c>
      <c r="I5205" s="26" t="s">
        <v>863</v>
      </c>
      <c r="J5205" s="25" t="str">
        <f t="shared" si="58"/>
        <v>No</v>
      </c>
      <c r="K5205" s="25" t="str">
        <f t="shared" si="59"/>
        <v/>
      </c>
      <c r="L5205" s="25" t="str">
        <f t="shared" si="60"/>
        <v/>
      </c>
      <c r="M5205" s="25"/>
      <c r="O5205" s="26" t="s">
        <v>51</v>
      </c>
    </row>
    <row r="5206" ht="15.75" customHeight="1">
      <c r="A5206" s="25" t="str">
        <f>IFERROR(__xludf.DUMMYFUNCTION("IF(B5206="""","""",RIGHT(REGEXREPLACE(B5206&amp;"""",""[^0-9]"",""""),9))"),"773451731")</f>
        <v>773451731</v>
      </c>
      <c r="B5206" s="26">
        <v>7.73451731E8</v>
      </c>
      <c r="C5206" s="28" t="s">
        <v>5149</v>
      </c>
      <c r="D5206" s="26" t="s">
        <v>37</v>
      </c>
      <c r="E5206" s="31">
        <v>46237.0</v>
      </c>
      <c r="F5206" s="26" t="s">
        <v>46</v>
      </c>
      <c r="G5206" s="26">
        <v>11.0</v>
      </c>
      <c r="I5206" s="26" t="s">
        <v>863</v>
      </c>
      <c r="J5206" s="25" t="str">
        <f t="shared" si="58"/>
        <v>No</v>
      </c>
      <c r="K5206" s="25" t="str">
        <f t="shared" si="59"/>
        <v/>
      </c>
      <c r="L5206" s="25" t="str">
        <f t="shared" si="60"/>
        <v/>
      </c>
      <c r="M5206" s="25"/>
      <c r="O5206" s="25"/>
    </row>
    <row r="5207" ht="15.75" customHeight="1">
      <c r="A5207" s="25" t="str">
        <f>IFERROR(__xludf.DUMMYFUNCTION("IF(B5207="""","""",RIGHT(REGEXREPLACE(B5207&amp;"""",""[^0-9]"",""""),9))"),"770872742")</f>
        <v>770872742</v>
      </c>
      <c r="B5207" s="52">
        <v>7.70872742E8</v>
      </c>
      <c r="C5207" s="28" t="s">
        <v>5150</v>
      </c>
      <c r="D5207" s="26" t="s">
        <v>56</v>
      </c>
      <c r="E5207" s="31">
        <v>46237.0</v>
      </c>
      <c r="F5207" s="26" t="s">
        <v>205</v>
      </c>
      <c r="G5207" s="26">
        <v>9.0</v>
      </c>
      <c r="I5207" s="26" t="s">
        <v>863</v>
      </c>
      <c r="J5207" s="25" t="str">
        <f t="shared" si="58"/>
        <v>No</v>
      </c>
      <c r="K5207" s="25" t="str">
        <f t="shared" si="59"/>
        <v/>
      </c>
      <c r="L5207" s="25" t="str">
        <f t="shared" si="60"/>
        <v/>
      </c>
      <c r="M5207" s="25"/>
      <c r="O5207" s="25"/>
    </row>
    <row r="5208" ht="15.75" customHeight="1">
      <c r="A5208" s="25" t="str">
        <f>IFERROR(__xludf.DUMMYFUNCTION("IF(B5208="""","""",RIGHT(REGEXREPLACE(B5208&amp;"""",""[^0-9]"",""""),9))"),"713538300")</f>
        <v>713538300</v>
      </c>
      <c r="B5208" s="52">
        <v>7.135383E8</v>
      </c>
      <c r="C5208" s="28" t="s">
        <v>5151</v>
      </c>
      <c r="D5208" s="26" t="s">
        <v>45</v>
      </c>
      <c r="E5208" s="31">
        <v>46237.0</v>
      </c>
      <c r="F5208" s="26" t="s">
        <v>46</v>
      </c>
      <c r="G5208" s="26">
        <v>9.0</v>
      </c>
      <c r="I5208" s="26" t="s">
        <v>863</v>
      </c>
      <c r="J5208" s="25" t="str">
        <f t="shared" si="58"/>
        <v>No</v>
      </c>
      <c r="K5208" s="25" t="str">
        <f t="shared" si="59"/>
        <v/>
      </c>
      <c r="L5208" s="25" t="str">
        <f t="shared" si="60"/>
        <v/>
      </c>
      <c r="M5208" s="25"/>
      <c r="O5208" s="25"/>
    </row>
    <row r="5209" ht="15.75" customHeight="1">
      <c r="A5209" s="25" t="str">
        <f>IFERROR(__xludf.DUMMYFUNCTION("IF(B5209="""","""",RIGHT(REGEXREPLACE(B5209&amp;"""",""[^0-9]"",""""),9))"),"771852121")</f>
        <v>771852121</v>
      </c>
      <c r="B5209" s="52">
        <v>7.71852121E8</v>
      </c>
      <c r="C5209" s="28" t="s">
        <v>5152</v>
      </c>
      <c r="D5209" s="26" t="s">
        <v>56</v>
      </c>
      <c r="E5209" s="31">
        <v>46237.0</v>
      </c>
      <c r="F5209" s="26" t="s">
        <v>46</v>
      </c>
      <c r="G5209" s="26">
        <v>9.0</v>
      </c>
      <c r="I5209" s="26" t="s">
        <v>863</v>
      </c>
      <c r="J5209" s="25" t="str">
        <f t="shared" si="58"/>
        <v>No</v>
      </c>
      <c r="K5209" s="25" t="str">
        <f t="shared" si="59"/>
        <v/>
      </c>
      <c r="L5209" s="25" t="str">
        <f t="shared" si="60"/>
        <v/>
      </c>
      <c r="M5209" s="25"/>
      <c r="O5209" s="26" t="s">
        <v>51</v>
      </c>
    </row>
    <row r="5210" ht="15.75" customHeight="1">
      <c r="A5210" s="25" t="str">
        <f>IFERROR(__xludf.DUMMYFUNCTION("IF(B5210="""","""",RIGHT(REGEXREPLACE(B5210&amp;"""",""[^0-9]"",""""),9))"),"764702662")</f>
        <v>764702662</v>
      </c>
      <c r="B5210" s="52">
        <v>7.64702662E8</v>
      </c>
      <c r="C5210" s="28" t="s">
        <v>5153</v>
      </c>
      <c r="D5210" s="26" t="s">
        <v>45</v>
      </c>
      <c r="E5210" s="31">
        <v>46237.0</v>
      </c>
      <c r="F5210" s="26" t="s">
        <v>46</v>
      </c>
      <c r="G5210" s="26">
        <v>9.0</v>
      </c>
      <c r="I5210" s="26" t="s">
        <v>863</v>
      </c>
      <c r="J5210" s="25" t="str">
        <f t="shared" si="58"/>
        <v>No</v>
      </c>
      <c r="K5210" s="25" t="str">
        <f t="shared" si="59"/>
        <v/>
      </c>
      <c r="L5210" s="25" t="str">
        <f t="shared" si="60"/>
        <v/>
      </c>
      <c r="M5210" s="25"/>
      <c r="O5210" s="25"/>
    </row>
    <row r="5211" ht="15.75" customHeight="1">
      <c r="A5211" s="25" t="str">
        <f>IFERROR(__xludf.DUMMYFUNCTION("IF(B5211="""","""",RIGHT(REGEXREPLACE(B5211&amp;"""",""[^0-9]"",""""),9))"),"776752816")</f>
        <v>776752816</v>
      </c>
      <c r="B5211" s="26" t="s">
        <v>5154</v>
      </c>
      <c r="C5211" s="28" t="s">
        <v>5155</v>
      </c>
      <c r="D5211" s="26" t="s">
        <v>37</v>
      </c>
      <c r="E5211" s="31">
        <v>46237.0</v>
      </c>
      <c r="F5211" s="26" t="s">
        <v>46</v>
      </c>
      <c r="G5211" s="26">
        <v>11.0</v>
      </c>
      <c r="I5211" s="26" t="s">
        <v>863</v>
      </c>
      <c r="J5211" s="25" t="str">
        <f t="shared" si="58"/>
        <v>No</v>
      </c>
      <c r="K5211" s="25" t="str">
        <f t="shared" si="59"/>
        <v/>
      </c>
      <c r="L5211" s="25" t="str">
        <f t="shared" si="60"/>
        <v/>
      </c>
      <c r="M5211" s="25"/>
      <c r="O5211" s="25"/>
    </row>
    <row r="5212" ht="15.75" customHeight="1">
      <c r="A5212" s="25" t="str">
        <f>IFERROR(__xludf.DUMMYFUNCTION("IF(B5212="""","""",RIGHT(REGEXREPLACE(B5212&amp;"""",""[^0-9]"",""""),9))"),"710573905")</f>
        <v>710573905</v>
      </c>
      <c r="B5212" s="52">
        <v>7.10573905E8</v>
      </c>
      <c r="C5212" s="28" t="s">
        <v>5156</v>
      </c>
      <c r="D5212" s="26" t="s">
        <v>82</v>
      </c>
      <c r="E5212" s="31">
        <v>46237.0</v>
      </c>
      <c r="F5212" s="26" t="s">
        <v>41</v>
      </c>
      <c r="G5212" s="26">
        <v>9.0</v>
      </c>
      <c r="I5212" s="26" t="s">
        <v>863</v>
      </c>
      <c r="J5212" s="25" t="str">
        <f t="shared" si="58"/>
        <v>No</v>
      </c>
      <c r="K5212" s="25" t="str">
        <f t="shared" si="59"/>
        <v/>
      </c>
      <c r="L5212" s="25" t="str">
        <f t="shared" si="60"/>
        <v/>
      </c>
      <c r="M5212" s="25"/>
      <c r="O5212" s="26" t="s">
        <v>51</v>
      </c>
    </row>
    <row r="5213" ht="15.75" customHeight="1">
      <c r="A5213" s="25" t="str">
        <f>IFERROR(__xludf.DUMMYFUNCTION("IF(B5213="""","""",RIGHT(REGEXREPLACE(B5213&amp;"""",""[^0-9]"",""""),9))"),"710573905")</f>
        <v>710573905</v>
      </c>
      <c r="B5213" s="52">
        <v>7.10573905E8</v>
      </c>
      <c r="C5213" s="28" t="s">
        <v>5156</v>
      </c>
      <c r="D5213" s="26" t="s">
        <v>56</v>
      </c>
      <c r="E5213" s="31">
        <v>46237.0</v>
      </c>
      <c r="F5213" s="26" t="s">
        <v>205</v>
      </c>
      <c r="I5213" s="26" t="s">
        <v>863</v>
      </c>
      <c r="J5213" s="25" t="str">
        <f t="shared" si="58"/>
        <v>Yes - see Previous F-Code</v>
      </c>
      <c r="K5213" s="25" t="str">
        <f t="shared" si="59"/>
        <v>DUPLICATE - CHECK</v>
      </c>
      <c r="L5213" s="25" t="str">
        <f t="shared" si="60"/>
        <v>F74696</v>
      </c>
      <c r="M5213" s="25"/>
      <c r="O5213" s="25"/>
    </row>
    <row r="5214" ht="15.75" customHeight="1">
      <c r="A5214" s="25" t="str">
        <f>IFERROR(__xludf.DUMMYFUNCTION("IF(B5214="""","""",RIGHT(REGEXREPLACE(B5214&amp;"""",""[^0-9]"",""""),9))"),"719049804")</f>
        <v>719049804</v>
      </c>
      <c r="B5214" s="52">
        <v>7.19049804E8</v>
      </c>
      <c r="C5214" s="28" t="s">
        <v>5157</v>
      </c>
      <c r="D5214" s="26" t="s">
        <v>56</v>
      </c>
      <c r="E5214" s="31">
        <v>46237.0</v>
      </c>
      <c r="F5214" s="26" t="s">
        <v>205</v>
      </c>
      <c r="I5214" s="26" t="s">
        <v>863</v>
      </c>
      <c r="J5214" s="25" t="str">
        <f t="shared" si="58"/>
        <v>No</v>
      </c>
      <c r="K5214" s="25" t="str">
        <f t="shared" si="59"/>
        <v/>
      </c>
      <c r="L5214" s="25" t="str">
        <f t="shared" si="60"/>
        <v/>
      </c>
      <c r="M5214" s="25"/>
      <c r="O5214" s="25"/>
    </row>
    <row r="5215" ht="15.75" customHeight="1">
      <c r="A5215" s="25" t="str">
        <f>IFERROR(__xludf.DUMMYFUNCTION("IF(B5215="""","""",RIGHT(REGEXREPLACE(B5215&amp;"""",""[^0-9]"",""""),9))"),"714576125")</f>
        <v>714576125</v>
      </c>
      <c r="B5215" s="52">
        <v>7.14576125E8</v>
      </c>
      <c r="C5215" s="28" t="s">
        <v>5158</v>
      </c>
      <c r="D5215" s="26" t="s">
        <v>49</v>
      </c>
      <c r="E5215" s="31">
        <v>46237.0</v>
      </c>
      <c r="F5215" s="26" t="s">
        <v>46</v>
      </c>
      <c r="G5215" s="26">
        <v>8.0</v>
      </c>
      <c r="H5215" s="117" t="s">
        <v>5159</v>
      </c>
      <c r="I5215" s="26" t="s">
        <v>863</v>
      </c>
      <c r="J5215" s="25" t="str">
        <f t="shared" si="58"/>
        <v>No</v>
      </c>
      <c r="K5215" s="25" t="str">
        <f t="shared" si="59"/>
        <v/>
      </c>
      <c r="L5215" s="25" t="str">
        <f t="shared" si="60"/>
        <v/>
      </c>
      <c r="M5215" s="25"/>
      <c r="O5215" s="26" t="s">
        <v>51</v>
      </c>
    </row>
    <row r="5216" ht="15.75" customHeight="1">
      <c r="A5216" s="25" t="str">
        <f>IFERROR(__xludf.DUMMYFUNCTION("IF(B5216="""","""",RIGHT(REGEXREPLACE(B5216&amp;"""",""[^0-9]"",""""),9))"),"767860319")</f>
        <v>767860319</v>
      </c>
      <c r="B5216" s="52">
        <v>7.67860319E8</v>
      </c>
      <c r="C5216" s="28" t="s">
        <v>5160</v>
      </c>
      <c r="D5216" s="26" t="s">
        <v>56</v>
      </c>
      <c r="E5216" s="31">
        <v>46237.0</v>
      </c>
      <c r="F5216" s="26" t="s">
        <v>46</v>
      </c>
      <c r="G5216" s="26">
        <v>9.0</v>
      </c>
      <c r="I5216" s="26" t="s">
        <v>863</v>
      </c>
      <c r="J5216" s="25" t="str">
        <f t="shared" si="58"/>
        <v>No</v>
      </c>
      <c r="K5216" s="25" t="str">
        <f t="shared" si="59"/>
        <v/>
      </c>
      <c r="L5216" s="25" t="str">
        <f t="shared" si="60"/>
        <v/>
      </c>
      <c r="M5216" s="25"/>
      <c r="O5216" s="25"/>
    </row>
    <row r="5217" ht="15.75" customHeight="1">
      <c r="A5217" s="25" t="str">
        <f>IFERROR(__xludf.DUMMYFUNCTION("IF(B5217="""","""",RIGHT(REGEXREPLACE(B5217&amp;"""",""[^0-9]"",""""),9))"),"774149787")</f>
        <v>774149787</v>
      </c>
      <c r="B5217" s="52">
        <v>7.74149787E8</v>
      </c>
      <c r="C5217" s="28" t="s">
        <v>5161</v>
      </c>
      <c r="D5217" s="26" t="s">
        <v>56</v>
      </c>
      <c r="E5217" s="31">
        <v>46237.0</v>
      </c>
      <c r="F5217" s="26" t="s">
        <v>631</v>
      </c>
      <c r="G5217" s="26">
        <v>9.0</v>
      </c>
      <c r="I5217" s="26" t="s">
        <v>863</v>
      </c>
      <c r="J5217" s="25" t="str">
        <f t="shared" si="58"/>
        <v>No</v>
      </c>
      <c r="K5217" s="25" t="str">
        <f t="shared" si="59"/>
        <v/>
      </c>
      <c r="L5217" s="25" t="str">
        <f t="shared" si="60"/>
        <v/>
      </c>
      <c r="M5217" s="25"/>
      <c r="O5217" s="25"/>
    </row>
    <row r="5218" ht="15.75" customHeight="1">
      <c r="A5218" s="25" t="str">
        <f>IFERROR(__xludf.DUMMYFUNCTION("IF(B5218="""","""",RIGHT(REGEXREPLACE(B5218&amp;"""",""[^0-9]"",""""),9))"),"765534758")</f>
        <v>765534758</v>
      </c>
      <c r="B5218" s="52">
        <v>7.65534758E8</v>
      </c>
      <c r="C5218" s="28" t="s">
        <v>5162</v>
      </c>
      <c r="D5218" s="26" t="s">
        <v>82</v>
      </c>
      <c r="E5218" s="31">
        <v>46237.0</v>
      </c>
      <c r="F5218" s="26" t="s">
        <v>46</v>
      </c>
      <c r="G5218" s="26">
        <v>9.0</v>
      </c>
      <c r="I5218" s="26" t="s">
        <v>863</v>
      </c>
      <c r="J5218" s="25" t="str">
        <f t="shared" si="58"/>
        <v>No</v>
      </c>
      <c r="K5218" s="25" t="str">
        <f t="shared" si="59"/>
        <v/>
      </c>
      <c r="L5218" s="25" t="str">
        <f t="shared" si="60"/>
        <v/>
      </c>
      <c r="M5218" s="25"/>
      <c r="O5218" s="25"/>
    </row>
    <row r="5219" ht="15.75" customHeight="1">
      <c r="A5219" s="25" t="str">
        <f>IFERROR(__xludf.DUMMYFUNCTION("IF(B5219="""","""",RIGHT(REGEXREPLACE(B5219&amp;"""",""[^0-9]"",""""),9))"),"706519093")</f>
        <v>706519093</v>
      </c>
      <c r="B5219" s="52">
        <v>7.06519093E8</v>
      </c>
      <c r="C5219" s="28" t="s">
        <v>5163</v>
      </c>
      <c r="D5219" s="26" t="s">
        <v>45</v>
      </c>
      <c r="E5219" s="31">
        <v>46237.0</v>
      </c>
      <c r="F5219" s="26" t="s">
        <v>46</v>
      </c>
      <c r="G5219" s="26">
        <v>9.0</v>
      </c>
      <c r="H5219" s="72" t="s">
        <v>5164</v>
      </c>
      <c r="I5219" s="26" t="s">
        <v>863</v>
      </c>
      <c r="J5219" s="25" t="str">
        <f t="shared" si="58"/>
        <v>No</v>
      </c>
      <c r="K5219" s="25" t="str">
        <f t="shared" si="59"/>
        <v/>
      </c>
      <c r="L5219" s="25" t="str">
        <f t="shared" si="60"/>
        <v/>
      </c>
      <c r="M5219" s="25"/>
      <c r="O5219" s="25"/>
    </row>
    <row r="5220" ht="15.75" customHeight="1">
      <c r="A5220" s="25" t="str">
        <f>IFERROR(__xludf.DUMMYFUNCTION("IF(B5220="""","""",RIGHT(REGEXREPLACE(B5220&amp;"""",""[^0-9]"",""""),9))"),"782608432")</f>
        <v>782608432</v>
      </c>
      <c r="B5220" s="52">
        <v>7.82608432E8</v>
      </c>
      <c r="C5220" s="28" t="s">
        <v>5165</v>
      </c>
      <c r="D5220" s="26" t="s">
        <v>56</v>
      </c>
      <c r="E5220" s="31">
        <v>46237.0</v>
      </c>
      <c r="F5220" s="26" t="s">
        <v>41</v>
      </c>
      <c r="I5220" s="26" t="s">
        <v>863</v>
      </c>
      <c r="J5220" s="25" t="str">
        <f t="shared" si="58"/>
        <v>No</v>
      </c>
      <c r="K5220" s="25" t="str">
        <f t="shared" si="59"/>
        <v/>
      </c>
      <c r="L5220" s="25" t="str">
        <f t="shared" si="60"/>
        <v/>
      </c>
      <c r="M5220" s="25"/>
      <c r="O5220" s="25"/>
    </row>
    <row r="5221" ht="15.75" customHeight="1">
      <c r="A5221" s="25" t="str">
        <f>IFERROR(__xludf.DUMMYFUNCTION("IF(B5221="""","""",RIGHT(REGEXREPLACE(B5221&amp;"""",""[^0-9]"",""""),9))"),"773095498")</f>
        <v>773095498</v>
      </c>
      <c r="B5221" s="52">
        <v>7.73095498E8</v>
      </c>
      <c r="C5221" s="28" t="s">
        <v>5166</v>
      </c>
      <c r="D5221" s="26" t="s">
        <v>56</v>
      </c>
      <c r="E5221" s="31">
        <v>46237.0</v>
      </c>
      <c r="F5221" s="26" t="s">
        <v>46</v>
      </c>
      <c r="G5221" s="26">
        <v>9.0</v>
      </c>
      <c r="I5221" s="26" t="s">
        <v>863</v>
      </c>
      <c r="J5221" s="25" t="str">
        <f t="shared" si="58"/>
        <v>No</v>
      </c>
      <c r="K5221" s="25" t="str">
        <f t="shared" si="59"/>
        <v/>
      </c>
      <c r="L5221" s="25" t="str">
        <f t="shared" si="60"/>
        <v/>
      </c>
      <c r="M5221" s="25"/>
      <c r="O5221" s="25"/>
    </row>
    <row r="5222" ht="15.75" customHeight="1">
      <c r="A5222" s="25" t="str">
        <f>IFERROR(__xludf.DUMMYFUNCTION("IF(B5222="""","""",RIGHT(REGEXREPLACE(B5222&amp;"""",""[^0-9]"",""""),9))"),"766381598")</f>
        <v>766381598</v>
      </c>
      <c r="B5222" s="52">
        <v>7.66381598E8</v>
      </c>
      <c r="C5222" s="28" t="s">
        <v>5167</v>
      </c>
      <c r="D5222" s="26" t="s">
        <v>45</v>
      </c>
      <c r="E5222" s="31">
        <v>46237.0</v>
      </c>
      <c r="F5222" s="26" t="s">
        <v>659</v>
      </c>
      <c r="G5222" s="26">
        <v>9.0</v>
      </c>
      <c r="I5222" s="26" t="s">
        <v>863</v>
      </c>
      <c r="J5222" s="25" t="str">
        <f t="shared" si="58"/>
        <v>No</v>
      </c>
      <c r="K5222" s="25" t="str">
        <f t="shared" si="59"/>
        <v/>
      </c>
      <c r="L5222" s="25" t="str">
        <f t="shared" si="60"/>
        <v/>
      </c>
      <c r="M5222" s="25"/>
      <c r="O5222" s="25"/>
    </row>
    <row r="5223" ht="15.75" customHeight="1">
      <c r="A5223" s="25" t="str">
        <f>IFERROR(__xludf.DUMMYFUNCTION("IF(B5223="""","""",RIGHT(REGEXREPLACE(B5223&amp;"""",""[^0-9]"",""""),9))"),"756546428")</f>
        <v>756546428</v>
      </c>
      <c r="B5223" s="52">
        <v>7.56546428E8</v>
      </c>
      <c r="C5223" s="28" t="s">
        <v>5168</v>
      </c>
      <c r="D5223" s="26" t="s">
        <v>45</v>
      </c>
      <c r="E5223" s="31">
        <v>46237.0</v>
      </c>
      <c r="F5223" s="26" t="s">
        <v>46</v>
      </c>
      <c r="G5223" s="26">
        <v>9.0</v>
      </c>
      <c r="I5223" s="26" t="s">
        <v>863</v>
      </c>
      <c r="J5223" s="25" t="str">
        <f t="shared" si="58"/>
        <v>No</v>
      </c>
      <c r="K5223" s="25" t="str">
        <f t="shared" si="59"/>
        <v/>
      </c>
      <c r="L5223" s="25" t="str">
        <f t="shared" si="60"/>
        <v/>
      </c>
      <c r="M5223" s="25"/>
      <c r="O5223" s="25"/>
    </row>
    <row r="5224" ht="15.75" customHeight="1">
      <c r="A5224" s="25" t="str">
        <f>IFERROR(__xludf.DUMMYFUNCTION("IF(B5224="""","""",RIGHT(REGEXREPLACE(B5224&amp;"""",""[^0-9]"",""""),9))"),"777464409")</f>
        <v>777464409</v>
      </c>
      <c r="B5224" s="52">
        <v>7.77464409E8</v>
      </c>
      <c r="C5224" s="28" t="s">
        <v>5169</v>
      </c>
      <c r="D5224" s="26" t="s">
        <v>49</v>
      </c>
      <c r="E5224" s="31">
        <v>46237.0</v>
      </c>
      <c r="F5224" s="26" t="s">
        <v>46</v>
      </c>
      <c r="G5224" s="26">
        <v>9.0</v>
      </c>
      <c r="H5224" s="117" t="s">
        <v>5170</v>
      </c>
      <c r="I5224" s="26" t="s">
        <v>863</v>
      </c>
      <c r="J5224" s="25" t="str">
        <f t="shared" si="58"/>
        <v>No</v>
      </c>
      <c r="K5224" s="25" t="str">
        <f t="shared" si="59"/>
        <v/>
      </c>
      <c r="L5224" s="25" t="str">
        <f t="shared" si="60"/>
        <v/>
      </c>
      <c r="M5224" s="25"/>
      <c r="O5224" s="25"/>
    </row>
    <row r="5225" ht="15.75" customHeight="1">
      <c r="A5225" s="25" t="str">
        <f>IFERROR(__xludf.DUMMYFUNCTION("IF(B5225="""","""",RIGHT(REGEXREPLACE(B5225&amp;"""",""[^0-9]"",""""),9))"),"779301658")</f>
        <v>779301658</v>
      </c>
      <c r="B5225" s="52">
        <v>7.79301658E8</v>
      </c>
      <c r="C5225" s="28" t="s">
        <v>5171</v>
      </c>
      <c r="D5225" s="26" t="s">
        <v>56</v>
      </c>
      <c r="E5225" s="31">
        <v>46237.0</v>
      </c>
      <c r="F5225" s="26" t="s">
        <v>46</v>
      </c>
      <c r="G5225" s="26">
        <v>9.0</v>
      </c>
      <c r="I5225" s="26" t="s">
        <v>863</v>
      </c>
      <c r="J5225" s="25" t="str">
        <f t="shared" si="58"/>
        <v>No</v>
      </c>
      <c r="K5225" s="25" t="str">
        <f t="shared" si="59"/>
        <v/>
      </c>
      <c r="L5225" s="25" t="str">
        <f t="shared" si="60"/>
        <v/>
      </c>
      <c r="M5225" s="25"/>
      <c r="O5225" s="25"/>
    </row>
    <row r="5226" ht="15.75" customHeight="1">
      <c r="A5226" s="25" t="str">
        <f>IFERROR(__xludf.DUMMYFUNCTION("IF(B5226="""","""",RIGHT(REGEXREPLACE(B5226&amp;"""",""[^0-9]"",""""),9))"),"778579526")</f>
        <v>778579526</v>
      </c>
      <c r="B5226" s="52">
        <v>7.78579526E8</v>
      </c>
      <c r="C5226" s="28" t="s">
        <v>5172</v>
      </c>
      <c r="D5226" s="26" t="s">
        <v>45</v>
      </c>
      <c r="E5226" s="31">
        <v>46237.0</v>
      </c>
      <c r="F5226" s="26" t="s">
        <v>46</v>
      </c>
      <c r="G5226" s="26">
        <v>9.0</v>
      </c>
      <c r="I5226" s="26" t="s">
        <v>863</v>
      </c>
      <c r="J5226" s="25" t="str">
        <f t="shared" si="58"/>
        <v>No</v>
      </c>
      <c r="K5226" s="25" t="str">
        <f t="shared" si="59"/>
        <v/>
      </c>
      <c r="L5226" s="25" t="str">
        <f t="shared" si="60"/>
        <v/>
      </c>
      <c r="M5226" s="25"/>
      <c r="O5226" s="25"/>
    </row>
    <row r="5227" ht="15.75" customHeight="1">
      <c r="A5227" s="25" t="str">
        <f>IFERROR(__xludf.DUMMYFUNCTION("IF(B5227="""","""",RIGHT(REGEXREPLACE(B5227&amp;"""",""[^0-9]"",""""),9))"),"713783551")</f>
        <v>713783551</v>
      </c>
      <c r="B5227" s="52">
        <v>7.13783551E8</v>
      </c>
      <c r="C5227" s="28" t="s">
        <v>5173</v>
      </c>
      <c r="D5227" s="26" t="s">
        <v>82</v>
      </c>
      <c r="E5227" s="31">
        <v>46237.0</v>
      </c>
      <c r="F5227" s="26" t="s">
        <v>46</v>
      </c>
      <c r="G5227" s="26">
        <v>9.0</v>
      </c>
      <c r="I5227" s="26" t="s">
        <v>863</v>
      </c>
      <c r="J5227" s="25" t="str">
        <f t="shared" si="58"/>
        <v>No</v>
      </c>
      <c r="K5227" s="25" t="str">
        <f t="shared" si="59"/>
        <v/>
      </c>
      <c r="L5227" s="25" t="str">
        <f t="shared" si="60"/>
        <v/>
      </c>
      <c r="M5227" s="25"/>
      <c r="O5227" s="25"/>
    </row>
    <row r="5228" ht="15.75" customHeight="1">
      <c r="A5228" s="25" t="str">
        <f>IFERROR(__xludf.DUMMYFUNCTION("IF(B5228="""","""",RIGHT(REGEXREPLACE(B5228&amp;"""",""[^0-9]"",""""),9))"),"770159847")</f>
        <v>770159847</v>
      </c>
      <c r="B5228" s="26">
        <v>7.70159847E8</v>
      </c>
      <c r="C5228" s="28" t="s">
        <v>5174</v>
      </c>
      <c r="D5228" s="26" t="s">
        <v>56</v>
      </c>
      <c r="E5228" s="31">
        <v>46237.0</v>
      </c>
      <c r="F5228" s="26" t="s">
        <v>46</v>
      </c>
      <c r="G5228" s="26">
        <v>10.0</v>
      </c>
      <c r="I5228" s="26" t="s">
        <v>863</v>
      </c>
      <c r="J5228" s="25" t="str">
        <f t="shared" si="58"/>
        <v>No</v>
      </c>
      <c r="K5228" s="25" t="str">
        <f t="shared" si="59"/>
        <v/>
      </c>
      <c r="L5228" s="25" t="str">
        <f t="shared" si="60"/>
        <v/>
      </c>
      <c r="M5228" s="25"/>
      <c r="O5228" s="25"/>
    </row>
    <row r="5229" ht="15.75" customHeight="1">
      <c r="A5229" s="25" t="str">
        <f>IFERROR(__xludf.DUMMYFUNCTION("IF(B5229="""","""",RIGHT(REGEXREPLACE(B5229&amp;"""",""[^0-9]"",""""),9))"),"761723162")</f>
        <v>761723162</v>
      </c>
      <c r="B5229" s="52">
        <v>7.61723162E8</v>
      </c>
      <c r="C5229" s="28" t="s">
        <v>5175</v>
      </c>
      <c r="D5229" s="26" t="s">
        <v>45</v>
      </c>
      <c r="E5229" s="31">
        <v>46237.0</v>
      </c>
      <c r="F5229" s="26" t="s">
        <v>46</v>
      </c>
      <c r="H5229" s="26" t="s">
        <v>5176</v>
      </c>
      <c r="I5229" s="26" t="s">
        <v>863</v>
      </c>
      <c r="J5229" s="25" t="str">
        <f t="shared" si="58"/>
        <v>No</v>
      </c>
      <c r="K5229" s="25" t="str">
        <f t="shared" si="59"/>
        <v/>
      </c>
      <c r="L5229" s="25" t="str">
        <f t="shared" si="60"/>
        <v/>
      </c>
      <c r="M5229" s="25"/>
      <c r="O5229" s="25"/>
    </row>
    <row r="5230" ht="15.75" customHeight="1">
      <c r="A5230" s="25" t="str">
        <f>IFERROR(__xludf.DUMMYFUNCTION("IF(B5230="""","""",RIGHT(REGEXREPLACE(B5230&amp;"""",""[^0-9]"",""""),9))"),"719163559")</f>
        <v>719163559</v>
      </c>
      <c r="B5230" s="52">
        <v>7.19163559E8</v>
      </c>
      <c r="C5230" s="28" t="s">
        <v>5177</v>
      </c>
      <c r="D5230" s="26" t="s">
        <v>49</v>
      </c>
      <c r="E5230" s="31">
        <v>46237.0</v>
      </c>
      <c r="F5230" s="26" t="s">
        <v>46</v>
      </c>
      <c r="G5230" s="26">
        <v>9.0</v>
      </c>
      <c r="H5230" s="117" t="s">
        <v>5178</v>
      </c>
      <c r="I5230" s="26" t="s">
        <v>863</v>
      </c>
      <c r="J5230" s="25" t="str">
        <f t="shared" si="58"/>
        <v>No</v>
      </c>
      <c r="K5230" s="25" t="str">
        <f t="shared" si="59"/>
        <v/>
      </c>
      <c r="L5230" s="25" t="str">
        <f t="shared" si="60"/>
        <v/>
      </c>
      <c r="M5230" s="25"/>
      <c r="O5230" s="26" t="s">
        <v>51</v>
      </c>
    </row>
    <row r="5231" ht="15.75" customHeight="1">
      <c r="A5231" s="25" t="str">
        <f>IFERROR(__xludf.DUMMYFUNCTION("IF(B5231="""","""",RIGHT(REGEXREPLACE(B5231&amp;"""",""[^0-9]"",""""),9))"),"743470153")</f>
        <v>743470153</v>
      </c>
      <c r="B5231" s="52">
        <v>7.43470153E8</v>
      </c>
      <c r="C5231" s="28" t="s">
        <v>5179</v>
      </c>
      <c r="D5231" s="26" t="s">
        <v>82</v>
      </c>
      <c r="E5231" s="31">
        <v>46237.0</v>
      </c>
      <c r="F5231" s="26" t="s">
        <v>46</v>
      </c>
      <c r="G5231" s="26">
        <v>9.0</v>
      </c>
      <c r="I5231" s="26" t="s">
        <v>863</v>
      </c>
      <c r="J5231" s="25" t="str">
        <f t="shared" si="58"/>
        <v>No</v>
      </c>
      <c r="K5231" s="25" t="str">
        <f t="shared" si="59"/>
        <v/>
      </c>
      <c r="L5231" s="25" t="str">
        <f t="shared" si="60"/>
        <v/>
      </c>
      <c r="M5231" s="25"/>
      <c r="O5231" s="25"/>
    </row>
    <row r="5232" ht="15.75" customHeight="1">
      <c r="A5232" s="25" t="str">
        <f>IFERROR(__xludf.DUMMYFUNCTION("IF(B5232="""","""",RIGHT(REGEXREPLACE(B5232&amp;"""",""[^0-9]"",""""),9))"),"703994643")</f>
        <v>703994643</v>
      </c>
      <c r="B5232" s="52">
        <v>7.03994643E8</v>
      </c>
      <c r="C5232" s="28" t="s">
        <v>1274</v>
      </c>
      <c r="D5232" s="26" t="s">
        <v>45</v>
      </c>
      <c r="E5232" s="31">
        <v>46237.0</v>
      </c>
      <c r="F5232" s="26" t="s">
        <v>205</v>
      </c>
      <c r="G5232" s="26">
        <v>9.0</v>
      </c>
      <c r="I5232" s="26" t="s">
        <v>863</v>
      </c>
      <c r="J5232" s="25" t="str">
        <f t="shared" si="58"/>
        <v>Yes - see Previous F-Code</v>
      </c>
      <c r="K5232" s="25" t="str">
        <f t="shared" si="59"/>
        <v/>
      </c>
      <c r="L5232" s="25" t="str">
        <f t="shared" si="60"/>
        <v>F71008</v>
      </c>
      <c r="M5232" s="25"/>
      <c r="O5232" s="25"/>
    </row>
    <row r="5233" ht="15.75" customHeight="1">
      <c r="A5233" s="25" t="str">
        <f>IFERROR(__xludf.DUMMYFUNCTION("IF(B5233="""","""",RIGHT(REGEXREPLACE(B5233&amp;"""",""[^0-9]"",""""),9))"),"716629006")</f>
        <v>716629006</v>
      </c>
      <c r="B5233" s="52">
        <v>7.16629006E8</v>
      </c>
      <c r="C5233" s="28" t="s">
        <v>5180</v>
      </c>
      <c r="D5233" s="26" t="s">
        <v>45</v>
      </c>
      <c r="E5233" s="31">
        <v>46237.0</v>
      </c>
      <c r="F5233" s="26" t="s">
        <v>46</v>
      </c>
      <c r="H5233" s="26" t="s">
        <v>720</v>
      </c>
      <c r="I5233" s="26" t="s">
        <v>863</v>
      </c>
      <c r="J5233" s="25" t="str">
        <f t="shared" si="58"/>
        <v>No</v>
      </c>
      <c r="K5233" s="25" t="str">
        <f t="shared" si="59"/>
        <v/>
      </c>
      <c r="L5233" s="25" t="str">
        <f t="shared" si="60"/>
        <v/>
      </c>
      <c r="M5233" s="25"/>
      <c r="O5233" s="25"/>
    </row>
    <row r="5234" ht="15.75" customHeight="1">
      <c r="A5234" s="25" t="str">
        <f>IFERROR(__xludf.DUMMYFUNCTION("IF(B5234="""","""",RIGHT(REGEXREPLACE(B5234&amp;"""",""[^0-9]"",""""),9))"),"702302501")</f>
        <v>702302501</v>
      </c>
      <c r="B5234" s="52">
        <v>7.02302501E8</v>
      </c>
      <c r="C5234" s="28" t="s">
        <v>5181</v>
      </c>
      <c r="D5234" s="26" t="s">
        <v>56</v>
      </c>
      <c r="E5234" s="31">
        <v>46237.0</v>
      </c>
      <c r="F5234" s="26" t="s">
        <v>46</v>
      </c>
      <c r="G5234" s="26">
        <v>9.0</v>
      </c>
      <c r="I5234" s="26" t="s">
        <v>863</v>
      </c>
      <c r="J5234" s="25" t="str">
        <f t="shared" si="58"/>
        <v>No</v>
      </c>
      <c r="K5234" s="25" t="str">
        <f t="shared" si="59"/>
        <v/>
      </c>
      <c r="L5234" s="25" t="str">
        <f t="shared" si="60"/>
        <v/>
      </c>
      <c r="M5234" s="25"/>
      <c r="O5234" s="25"/>
    </row>
    <row r="5235" ht="15.75" customHeight="1">
      <c r="A5235" s="25" t="str">
        <f>IFERROR(__xludf.DUMMYFUNCTION("IF(B5235="""","""",RIGHT(REGEXREPLACE(B5235&amp;"""",""[^0-9]"",""""),9))"),"712075669")</f>
        <v>712075669</v>
      </c>
      <c r="B5235" s="52">
        <v>7.12075669E8</v>
      </c>
      <c r="C5235" s="28" t="s">
        <v>687</v>
      </c>
      <c r="D5235" s="26" t="s">
        <v>49</v>
      </c>
      <c r="E5235" s="31">
        <v>46237.0</v>
      </c>
      <c r="F5235" s="26" t="s">
        <v>205</v>
      </c>
      <c r="G5235" s="26">
        <v>11.0</v>
      </c>
      <c r="I5235" s="26" t="s">
        <v>863</v>
      </c>
      <c r="J5235" s="25" t="str">
        <f t="shared" si="58"/>
        <v>Yes - see Previous F-Code</v>
      </c>
      <c r="K5235" s="25" t="str">
        <f t="shared" si="59"/>
        <v/>
      </c>
      <c r="L5235" s="25" t="str">
        <f t="shared" si="60"/>
        <v>F70478</v>
      </c>
      <c r="M5235" s="25"/>
      <c r="O5235" s="25"/>
    </row>
    <row r="5236" ht="15.75" customHeight="1">
      <c r="A5236" s="25" t="str">
        <f>IFERROR(__xludf.DUMMYFUNCTION("IF(B5236="""","""",RIGHT(REGEXREPLACE(B5236&amp;"""",""[^0-9]"",""""),9))"),"766373897")</f>
        <v>766373897</v>
      </c>
      <c r="B5236" s="52">
        <v>7.66373897E8</v>
      </c>
      <c r="C5236" s="28" t="s">
        <v>5182</v>
      </c>
      <c r="D5236" s="26" t="s">
        <v>45</v>
      </c>
      <c r="E5236" s="31">
        <v>46237.0</v>
      </c>
      <c r="F5236" s="26" t="s">
        <v>41</v>
      </c>
      <c r="I5236" s="26" t="s">
        <v>863</v>
      </c>
      <c r="J5236" s="25" t="str">
        <f t="shared" si="58"/>
        <v>No</v>
      </c>
      <c r="K5236" s="25" t="str">
        <f t="shared" si="59"/>
        <v/>
      </c>
      <c r="L5236" s="25" t="str">
        <f t="shared" si="60"/>
        <v/>
      </c>
      <c r="M5236" s="25"/>
      <c r="O5236" s="25"/>
    </row>
    <row r="5237" ht="15.75" customHeight="1">
      <c r="A5237" s="25" t="str">
        <f>IFERROR(__xludf.DUMMYFUNCTION("IF(B5237="""","""",RIGHT(REGEXREPLACE(B5237&amp;"""",""[^0-9]"",""""),9))"),"779271974")</f>
        <v>779271974</v>
      </c>
      <c r="B5237" s="52">
        <v>7.79271974E8</v>
      </c>
      <c r="C5237" s="28" t="s">
        <v>5183</v>
      </c>
      <c r="D5237" s="26" t="s">
        <v>45</v>
      </c>
      <c r="E5237" s="31">
        <v>46237.0</v>
      </c>
      <c r="F5237" s="26" t="s">
        <v>46</v>
      </c>
      <c r="G5237" s="26">
        <v>9.0</v>
      </c>
      <c r="I5237" s="26" t="s">
        <v>863</v>
      </c>
      <c r="J5237" s="25" t="str">
        <f t="shared" si="58"/>
        <v>No</v>
      </c>
      <c r="K5237" s="25" t="str">
        <f t="shared" si="59"/>
        <v/>
      </c>
      <c r="L5237" s="25" t="str">
        <f t="shared" si="60"/>
        <v/>
      </c>
      <c r="M5237" s="25"/>
      <c r="O5237" s="25"/>
    </row>
    <row r="5238" ht="15.75" customHeight="1">
      <c r="A5238" s="25" t="str">
        <f>IFERROR(__xludf.DUMMYFUNCTION("IF(B5238="""","""",RIGHT(REGEXREPLACE(B5238&amp;"""",""[^0-9]"",""""),9))"),"775068653")</f>
        <v>775068653</v>
      </c>
      <c r="B5238" s="52">
        <v>7.75068653E8</v>
      </c>
      <c r="C5238" s="28" t="s">
        <v>5184</v>
      </c>
      <c r="D5238" s="26" t="s">
        <v>49</v>
      </c>
      <c r="E5238" s="31">
        <v>46237.0</v>
      </c>
      <c r="F5238" s="26" t="s">
        <v>46</v>
      </c>
      <c r="G5238" s="26">
        <v>11.0</v>
      </c>
      <c r="H5238" s="117" t="s">
        <v>5185</v>
      </c>
      <c r="I5238" s="26" t="s">
        <v>863</v>
      </c>
      <c r="J5238" s="25" t="str">
        <f t="shared" si="58"/>
        <v>No</v>
      </c>
      <c r="K5238" s="25" t="str">
        <f t="shared" si="59"/>
        <v/>
      </c>
      <c r="L5238" s="25" t="str">
        <f t="shared" si="60"/>
        <v/>
      </c>
      <c r="M5238" s="25"/>
      <c r="O5238" s="25"/>
    </row>
    <row r="5239" ht="15.75" customHeight="1">
      <c r="A5239" s="25" t="str">
        <f>IFERROR(__xludf.DUMMYFUNCTION("IF(B5239="""","""",RIGHT(REGEXREPLACE(B5239&amp;"""",""[^0-9]"",""""),9))"),"715550085")</f>
        <v>715550085</v>
      </c>
      <c r="B5239" s="52">
        <v>7.15550085E8</v>
      </c>
      <c r="C5239" s="28" t="s">
        <v>5184</v>
      </c>
      <c r="D5239" s="26" t="s">
        <v>56</v>
      </c>
      <c r="E5239" s="31">
        <v>46237.0</v>
      </c>
      <c r="F5239" s="26" t="s">
        <v>41</v>
      </c>
      <c r="I5239" s="26" t="s">
        <v>863</v>
      </c>
      <c r="J5239" s="25" t="str">
        <f t="shared" si="58"/>
        <v>No</v>
      </c>
      <c r="K5239" s="25" t="str">
        <f t="shared" si="59"/>
        <v/>
      </c>
      <c r="L5239" s="25" t="str">
        <f t="shared" si="60"/>
        <v/>
      </c>
      <c r="M5239" s="25"/>
      <c r="O5239" s="25"/>
    </row>
    <row r="5240" ht="15.75" customHeight="1">
      <c r="A5240" s="25" t="str">
        <f>IFERROR(__xludf.DUMMYFUNCTION("IF(B5240="""","""",RIGHT(REGEXREPLACE(B5240&amp;"""",""[^0-9]"",""""),9))"),"717468300")</f>
        <v>717468300</v>
      </c>
      <c r="B5240" s="52">
        <v>7.174683E8</v>
      </c>
      <c r="C5240" s="28" t="s">
        <v>5186</v>
      </c>
      <c r="D5240" s="26" t="s">
        <v>82</v>
      </c>
      <c r="E5240" s="31">
        <v>46237.0</v>
      </c>
      <c r="F5240" s="26" t="s">
        <v>125</v>
      </c>
      <c r="G5240" s="26">
        <v>8.0</v>
      </c>
      <c r="I5240" s="26" t="s">
        <v>863</v>
      </c>
      <c r="J5240" s="25" t="str">
        <f t="shared" si="58"/>
        <v>No</v>
      </c>
      <c r="K5240" s="25" t="str">
        <f t="shared" si="59"/>
        <v/>
      </c>
      <c r="L5240" s="25" t="str">
        <f t="shared" si="60"/>
        <v/>
      </c>
      <c r="M5240" s="25"/>
      <c r="O5240" s="25"/>
    </row>
    <row r="5241" ht="15.75" customHeight="1">
      <c r="A5241" s="25" t="str">
        <f>IFERROR(__xludf.DUMMYFUNCTION("IF(B5241="""","""",RIGHT(REGEXREPLACE(B5241&amp;"""",""[^0-9]"",""""),9))"),"776240229")</f>
        <v>776240229</v>
      </c>
      <c r="B5241" s="52">
        <v>7.76240229E8</v>
      </c>
      <c r="C5241" s="28" t="s">
        <v>5186</v>
      </c>
      <c r="D5241" s="26" t="s">
        <v>56</v>
      </c>
      <c r="E5241" s="31">
        <v>46237.0</v>
      </c>
      <c r="F5241" s="26" t="s">
        <v>46</v>
      </c>
      <c r="G5241" s="26">
        <v>10.0</v>
      </c>
      <c r="I5241" s="26" t="s">
        <v>863</v>
      </c>
      <c r="J5241" s="25" t="str">
        <f t="shared" si="58"/>
        <v>No</v>
      </c>
      <c r="K5241" s="25" t="str">
        <f t="shared" si="59"/>
        <v/>
      </c>
      <c r="L5241" s="25" t="str">
        <f t="shared" si="60"/>
        <v/>
      </c>
      <c r="M5241" s="25"/>
      <c r="O5241" s="25"/>
    </row>
    <row r="5242" ht="15.75" customHeight="1">
      <c r="A5242" s="25" t="str">
        <f>IFERROR(__xludf.DUMMYFUNCTION("IF(B5242="""","""",RIGHT(REGEXREPLACE(B5242&amp;"""",""[^0-9]"",""""),9))"),"787478316")</f>
        <v>787478316</v>
      </c>
      <c r="B5242" s="52">
        <v>7.87478316E8</v>
      </c>
      <c r="C5242" s="28" t="s">
        <v>5187</v>
      </c>
      <c r="D5242" s="26" t="s">
        <v>82</v>
      </c>
      <c r="E5242" s="31">
        <v>46237.0</v>
      </c>
      <c r="F5242" s="26" t="s">
        <v>704</v>
      </c>
      <c r="G5242" s="26">
        <v>9.0</v>
      </c>
      <c r="I5242" s="26" t="s">
        <v>863</v>
      </c>
      <c r="J5242" s="25" t="str">
        <f t="shared" si="58"/>
        <v>No</v>
      </c>
      <c r="K5242" s="25" t="str">
        <f t="shared" si="59"/>
        <v/>
      </c>
      <c r="L5242" s="25" t="str">
        <f t="shared" si="60"/>
        <v/>
      </c>
      <c r="M5242" s="25"/>
      <c r="O5242" s="25"/>
    </row>
    <row r="5243" ht="15.75" customHeight="1">
      <c r="A5243" s="25" t="str">
        <f>IFERROR(__xludf.DUMMYFUNCTION("IF(B5243="""","""",RIGHT(REGEXREPLACE(B5243&amp;"""",""[^0-9]"",""""),9))"),"779832134")</f>
        <v>779832134</v>
      </c>
      <c r="B5243" s="52">
        <v>7.79832134E8</v>
      </c>
      <c r="C5243" s="28" t="s">
        <v>5188</v>
      </c>
      <c r="D5243" s="26" t="s">
        <v>56</v>
      </c>
      <c r="E5243" s="31">
        <v>46237.0</v>
      </c>
      <c r="F5243" s="26" t="s">
        <v>46</v>
      </c>
      <c r="G5243" s="26">
        <v>9.0</v>
      </c>
      <c r="I5243" s="26" t="s">
        <v>863</v>
      </c>
      <c r="J5243" s="25" t="str">
        <f t="shared" si="58"/>
        <v>No</v>
      </c>
      <c r="K5243" s="25" t="str">
        <f t="shared" si="59"/>
        <v/>
      </c>
      <c r="L5243" s="25" t="str">
        <f t="shared" si="60"/>
        <v/>
      </c>
      <c r="M5243" s="25"/>
      <c r="O5243" s="25"/>
    </row>
    <row r="5244" ht="15.75" customHeight="1">
      <c r="A5244" s="25" t="str">
        <f>IFERROR(__xludf.DUMMYFUNCTION("IF(B5244="""","""",RIGHT(REGEXREPLACE(B5244&amp;"""",""[^0-9]"",""""),9))"),"773095687")</f>
        <v>773095687</v>
      </c>
      <c r="B5244" s="52">
        <v>7.73095687E8</v>
      </c>
      <c r="C5244" s="28" t="s">
        <v>5189</v>
      </c>
      <c r="D5244" s="26" t="s">
        <v>82</v>
      </c>
      <c r="E5244" s="31">
        <v>46237.0</v>
      </c>
      <c r="F5244" s="26" t="s">
        <v>41</v>
      </c>
      <c r="I5244" s="26" t="s">
        <v>863</v>
      </c>
      <c r="J5244" s="25" t="str">
        <f t="shared" si="58"/>
        <v>No</v>
      </c>
      <c r="K5244" s="25" t="str">
        <f t="shared" si="59"/>
        <v/>
      </c>
      <c r="L5244" s="25" t="str">
        <f t="shared" si="60"/>
        <v/>
      </c>
      <c r="M5244" s="25"/>
      <c r="O5244" s="25"/>
    </row>
    <row r="5245" ht="15.75" customHeight="1">
      <c r="A5245" s="25" t="str">
        <f>IFERROR(__xludf.DUMMYFUNCTION("IF(B5245="""","""",RIGHT(REGEXREPLACE(B5245&amp;"""",""[^0-9]"",""""),9))"),"742284595")</f>
        <v>742284595</v>
      </c>
      <c r="B5245" s="52">
        <v>7.42284595E8</v>
      </c>
      <c r="C5245" s="28" t="s">
        <v>5190</v>
      </c>
      <c r="D5245" s="26" t="s">
        <v>49</v>
      </c>
      <c r="E5245" s="31">
        <v>46237.0</v>
      </c>
      <c r="F5245" s="26" t="s">
        <v>46</v>
      </c>
      <c r="G5245" s="26">
        <v>9.0</v>
      </c>
      <c r="H5245" s="117" t="s">
        <v>5191</v>
      </c>
      <c r="I5245" s="26" t="s">
        <v>863</v>
      </c>
      <c r="J5245" s="25" t="str">
        <f t="shared" si="58"/>
        <v>No</v>
      </c>
      <c r="K5245" s="25" t="str">
        <f t="shared" si="59"/>
        <v/>
      </c>
      <c r="L5245" s="25" t="str">
        <f t="shared" si="60"/>
        <v/>
      </c>
      <c r="M5245" s="25"/>
      <c r="O5245" s="25"/>
    </row>
    <row r="5246" ht="15.75" customHeight="1">
      <c r="A5246" s="25" t="str">
        <f>IFERROR(__xludf.DUMMYFUNCTION("IF(B5246="""","""",RIGHT(REGEXREPLACE(B5246&amp;"""",""[^0-9]"",""""),9))"),"760684973")</f>
        <v>760684973</v>
      </c>
      <c r="B5246" s="52">
        <v>7.60684973E8</v>
      </c>
      <c r="C5246" s="28" t="s">
        <v>5192</v>
      </c>
      <c r="D5246" s="26" t="s">
        <v>82</v>
      </c>
      <c r="E5246" s="31">
        <v>46237.0</v>
      </c>
      <c r="F5246" s="26" t="s">
        <v>41</v>
      </c>
      <c r="I5246" s="26" t="s">
        <v>863</v>
      </c>
      <c r="J5246" s="25" t="str">
        <f t="shared" si="58"/>
        <v>No</v>
      </c>
      <c r="K5246" s="25" t="str">
        <f t="shared" si="59"/>
        <v/>
      </c>
      <c r="L5246" s="25" t="str">
        <f t="shared" si="60"/>
        <v/>
      </c>
      <c r="M5246" s="25"/>
      <c r="O5246" s="25"/>
    </row>
    <row r="5247" ht="15.75" customHeight="1">
      <c r="A5247" s="25" t="str">
        <f>IFERROR(__xludf.DUMMYFUNCTION("IF(B5247="""","""",RIGHT(REGEXREPLACE(B5247&amp;"""",""[^0-9]"",""""),9))"),"779302887")</f>
        <v>779302887</v>
      </c>
      <c r="B5247" s="52">
        <v>7.79302887E8</v>
      </c>
      <c r="C5247" s="28" t="s">
        <v>4147</v>
      </c>
      <c r="D5247" s="26" t="s">
        <v>82</v>
      </c>
      <c r="E5247" s="31">
        <v>46237.0</v>
      </c>
      <c r="F5247" s="26" t="s">
        <v>46</v>
      </c>
      <c r="G5247" s="26">
        <v>11.0</v>
      </c>
      <c r="I5247" s="26" t="s">
        <v>863</v>
      </c>
      <c r="J5247" s="25" t="str">
        <f t="shared" si="58"/>
        <v>Yes - see Previous F-Code</v>
      </c>
      <c r="K5247" s="25" t="str">
        <f t="shared" si="59"/>
        <v/>
      </c>
      <c r="L5247" s="25" t="str">
        <f t="shared" si="60"/>
        <v>F73782</v>
      </c>
      <c r="M5247" s="25"/>
      <c r="O5247" s="25"/>
    </row>
    <row r="5248" ht="15.75" customHeight="1">
      <c r="A5248" s="25" t="str">
        <f>IFERROR(__xludf.DUMMYFUNCTION("IF(B5248="""","""",RIGHT(REGEXREPLACE(B5248&amp;"""",""[^0-9]"",""""),9))"),"762265166")</f>
        <v>762265166</v>
      </c>
      <c r="B5248" s="52">
        <v>7.62265166E8</v>
      </c>
      <c r="C5248" s="28" t="s">
        <v>5193</v>
      </c>
      <c r="D5248" s="26" t="s">
        <v>45</v>
      </c>
      <c r="E5248" s="31">
        <v>46237.0</v>
      </c>
      <c r="F5248" s="26" t="s">
        <v>125</v>
      </c>
      <c r="G5248" s="26">
        <v>9.0</v>
      </c>
      <c r="I5248" s="26" t="s">
        <v>863</v>
      </c>
      <c r="J5248" s="25" t="str">
        <f t="shared" si="58"/>
        <v>No</v>
      </c>
      <c r="K5248" s="25" t="str">
        <f t="shared" si="59"/>
        <v/>
      </c>
      <c r="L5248" s="25" t="str">
        <f t="shared" si="60"/>
        <v/>
      </c>
      <c r="M5248" s="25"/>
      <c r="O5248" s="25"/>
    </row>
    <row r="5249" ht="15.75" customHeight="1">
      <c r="A5249" s="25" t="str">
        <f>IFERROR(__xludf.DUMMYFUNCTION("IF(B5249="""","""",RIGHT(REGEXREPLACE(B5249&amp;"""",""[^0-9]"",""""),9))"),"779892199")</f>
        <v>779892199</v>
      </c>
      <c r="B5249" s="52">
        <v>7.79892199E8</v>
      </c>
      <c r="C5249" s="28" t="s">
        <v>5194</v>
      </c>
      <c r="D5249" s="26" t="s">
        <v>49</v>
      </c>
      <c r="E5249" s="31">
        <v>46237.0</v>
      </c>
      <c r="F5249" s="26" t="s">
        <v>46</v>
      </c>
      <c r="G5249" s="26">
        <v>8.0</v>
      </c>
      <c r="H5249" s="72" t="s">
        <v>5195</v>
      </c>
      <c r="I5249" s="26" t="s">
        <v>863</v>
      </c>
      <c r="J5249" s="25" t="str">
        <f t="shared" si="58"/>
        <v>No</v>
      </c>
      <c r="K5249" s="25" t="str">
        <f t="shared" si="59"/>
        <v/>
      </c>
      <c r="L5249" s="25" t="str">
        <f t="shared" si="60"/>
        <v/>
      </c>
      <c r="M5249" s="25"/>
      <c r="O5249" s="25"/>
    </row>
    <row r="5250" ht="15.75" customHeight="1">
      <c r="A5250" s="25" t="str">
        <f>IFERROR(__xludf.DUMMYFUNCTION("IF(B5250="""","""",RIGHT(REGEXREPLACE(B5250&amp;"""",""[^0-9]"",""""),9))"),"774834938")</f>
        <v>774834938</v>
      </c>
      <c r="B5250" s="52">
        <v>7.74834938E8</v>
      </c>
      <c r="C5250" s="28" t="s">
        <v>5196</v>
      </c>
      <c r="D5250" s="26" t="s">
        <v>45</v>
      </c>
      <c r="E5250" s="31">
        <v>46237.0</v>
      </c>
      <c r="F5250" s="26" t="s">
        <v>125</v>
      </c>
      <c r="G5250" s="26">
        <v>10.0</v>
      </c>
      <c r="H5250" s="117" t="s">
        <v>5197</v>
      </c>
      <c r="I5250" s="26" t="s">
        <v>863</v>
      </c>
      <c r="J5250" s="25" t="str">
        <f t="shared" si="58"/>
        <v>No</v>
      </c>
      <c r="K5250" s="25" t="str">
        <f t="shared" si="59"/>
        <v/>
      </c>
      <c r="L5250" s="25" t="str">
        <f t="shared" si="60"/>
        <v/>
      </c>
      <c r="M5250" s="25"/>
      <c r="O5250" s="25"/>
    </row>
    <row r="5251" ht="15.75" customHeight="1">
      <c r="A5251" s="25" t="str">
        <f>IFERROR(__xludf.DUMMYFUNCTION("IF(B5251="""","""",RIGHT(REGEXREPLACE(B5251&amp;"""",""[^0-9]"",""""),9))"),"719653147")</f>
        <v>719653147</v>
      </c>
      <c r="B5251" s="52">
        <v>7.19653147E8</v>
      </c>
      <c r="C5251" s="28" t="s">
        <v>5198</v>
      </c>
      <c r="D5251" s="26" t="s">
        <v>56</v>
      </c>
      <c r="E5251" s="31">
        <v>46237.0</v>
      </c>
      <c r="F5251" s="26" t="s">
        <v>46</v>
      </c>
      <c r="G5251" s="26">
        <v>9.0</v>
      </c>
      <c r="I5251" s="26" t="s">
        <v>863</v>
      </c>
      <c r="J5251" s="25" t="str">
        <f t="shared" si="58"/>
        <v>No</v>
      </c>
      <c r="K5251" s="25" t="str">
        <f t="shared" si="59"/>
        <v/>
      </c>
      <c r="L5251" s="25" t="str">
        <f t="shared" si="60"/>
        <v/>
      </c>
      <c r="M5251" s="25"/>
      <c r="O5251" s="25"/>
    </row>
    <row r="5252" ht="15.75" customHeight="1">
      <c r="A5252" s="25" t="str">
        <f>IFERROR(__xludf.DUMMYFUNCTION("IF(B5252="""","""",RIGHT(REGEXREPLACE(B5252&amp;"""",""[^0-9]"",""""),9))"),"729610237")</f>
        <v>729610237</v>
      </c>
      <c r="B5252" s="52">
        <v>7.29610237E8</v>
      </c>
      <c r="C5252" s="28" t="s">
        <v>5199</v>
      </c>
      <c r="D5252" s="26" t="s">
        <v>45</v>
      </c>
      <c r="E5252" s="31">
        <v>46237.0</v>
      </c>
      <c r="F5252" s="26" t="s">
        <v>205</v>
      </c>
      <c r="G5252" s="26">
        <v>9.0</v>
      </c>
      <c r="I5252" s="26" t="s">
        <v>863</v>
      </c>
      <c r="J5252" s="25" t="str">
        <f t="shared" si="58"/>
        <v>No</v>
      </c>
      <c r="K5252" s="25" t="str">
        <f t="shared" si="59"/>
        <v/>
      </c>
      <c r="L5252" s="25" t="str">
        <f t="shared" si="60"/>
        <v/>
      </c>
      <c r="M5252" s="25"/>
      <c r="O5252" s="25"/>
    </row>
    <row r="5253" ht="15.75" customHeight="1">
      <c r="A5253" s="25" t="str">
        <f>IFERROR(__xludf.DUMMYFUNCTION("IF(B5253="""","""",RIGHT(REGEXREPLACE(B5253&amp;"""",""[^0-9]"",""""),9))"),"711752988")</f>
        <v>711752988</v>
      </c>
      <c r="B5253" s="52">
        <v>7.11752988E8</v>
      </c>
      <c r="C5253" s="28" t="s">
        <v>3296</v>
      </c>
      <c r="D5253" s="26" t="s">
        <v>56</v>
      </c>
      <c r="E5253" s="31">
        <v>46237.0</v>
      </c>
      <c r="F5253" s="26" t="s">
        <v>84</v>
      </c>
      <c r="G5253" s="26">
        <v>11.0</v>
      </c>
      <c r="H5253" s="26" t="s">
        <v>1526</v>
      </c>
      <c r="I5253" s="26" t="s">
        <v>863</v>
      </c>
      <c r="J5253" s="25" t="str">
        <f t="shared" si="58"/>
        <v>Yes - see Previous F-Code</v>
      </c>
      <c r="K5253" s="25" t="str">
        <f t="shared" si="59"/>
        <v/>
      </c>
      <c r="L5253" s="25" t="str">
        <f t="shared" si="60"/>
        <v>F72958</v>
      </c>
      <c r="M5253" s="25"/>
      <c r="O5253" s="25"/>
    </row>
    <row r="5254" ht="15.75" customHeight="1">
      <c r="A5254" s="25" t="str">
        <f>IFERROR(__xludf.DUMMYFUNCTION("IF(B5254="""","""",RIGHT(REGEXREPLACE(B5254&amp;"""",""[^0-9]"",""""),9))"),"767789345")</f>
        <v>767789345</v>
      </c>
      <c r="B5254" s="52">
        <v>7.67789345E8</v>
      </c>
      <c r="C5254" s="28" t="s">
        <v>5200</v>
      </c>
      <c r="D5254" s="26" t="s">
        <v>82</v>
      </c>
      <c r="E5254" s="31">
        <v>46237.0</v>
      </c>
      <c r="F5254" s="26" t="s">
        <v>659</v>
      </c>
      <c r="I5254" s="26" t="s">
        <v>863</v>
      </c>
      <c r="J5254" s="25" t="str">
        <f t="shared" si="58"/>
        <v>No</v>
      </c>
      <c r="K5254" s="25" t="str">
        <f t="shared" si="59"/>
        <v/>
      </c>
      <c r="L5254" s="25" t="str">
        <f t="shared" si="60"/>
        <v/>
      </c>
      <c r="M5254" s="25"/>
      <c r="O5254" s="25"/>
    </row>
    <row r="5255" ht="15.75" customHeight="1">
      <c r="A5255" s="25" t="str">
        <f>IFERROR(__xludf.DUMMYFUNCTION("IF(B5255="""","""",RIGHT(REGEXREPLACE(B5255&amp;"""",""[^0-9]"",""""),9))"),"761660420")</f>
        <v>761660420</v>
      </c>
      <c r="B5255" s="52">
        <v>7.6166042E8</v>
      </c>
      <c r="C5255" s="28" t="s">
        <v>5201</v>
      </c>
      <c r="D5255" s="26" t="s">
        <v>49</v>
      </c>
      <c r="E5255" s="31">
        <v>46237.0</v>
      </c>
      <c r="F5255" s="26" t="s">
        <v>46</v>
      </c>
      <c r="G5255" s="26">
        <v>9.0</v>
      </c>
      <c r="I5255" s="26" t="s">
        <v>863</v>
      </c>
      <c r="J5255" s="25" t="str">
        <f t="shared" si="58"/>
        <v>No</v>
      </c>
      <c r="K5255" s="25" t="str">
        <f t="shared" si="59"/>
        <v/>
      </c>
      <c r="L5255" s="25" t="str">
        <f t="shared" si="60"/>
        <v/>
      </c>
      <c r="M5255" s="25"/>
      <c r="O5255" s="25"/>
    </row>
    <row r="5256" ht="15.75" customHeight="1">
      <c r="A5256" s="25" t="str">
        <f>IFERROR(__xludf.DUMMYFUNCTION("IF(B5256="""","""",RIGHT(REGEXREPLACE(B5256&amp;"""",""[^0-9]"",""""),9))"),"740536525")</f>
        <v>740536525</v>
      </c>
      <c r="B5256" s="52">
        <v>7.40536525E8</v>
      </c>
      <c r="C5256" s="28" t="s">
        <v>5202</v>
      </c>
      <c r="D5256" s="26" t="s">
        <v>45</v>
      </c>
      <c r="E5256" s="31">
        <v>46237.0</v>
      </c>
      <c r="F5256" s="26" t="s">
        <v>46</v>
      </c>
      <c r="G5256" s="26">
        <v>9.0</v>
      </c>
      <c r="I5256" s="26" t="s">
        <v>863</v>
      </c>
      <c r="J5256" s="25" t="str">
        <f t="shared" si="58"/>
        <v>No</v>
      </c>
      <c r="K5256" s="25" t="str">
        <f t="shared" si="59"/>
        <v/>
      </c>
      <c r="L5256" s="25" t="str">
        <f t="shared" si="60"/>
        <v/>
      </c>
      <c r="M5256" s="25"/>
      <c r="O5256" s="25"/>
    </row>
    <row r="5257" ht="15.75" customHeight="1">
      <c r="A5257" s="25" t="str">
        <f>IFERROR(__xludf.DUMMYFUNCTION("IF(B5257="""","""",RIGHT(REGEXREPLACE(B5257&amp;"""",""[^0-9]"",""""),9))"),"704642488")</f>
        <v>704642488</v>
      </c>
      <c r="B5257" s="52">
        <v>7.04642488E8</v>
      </c>
      <c r="C5257" s="28" t="s">
        <v>5203</v>
      </c>
      <c r="D5257" s="26" t="s">
        <v>82</v>
      </c>
      <c r="E5257" s="31">
        <v>46237.0</v>
      </c>
      <c r="F5257" s="26" t="s">
        <v>46</v>
      </c>
      <c r="G5257" s="26">
        <v>9.0</v>
      </c>
      <c r="I5257" s="26" t="s">
        <v>863</v>
      </c>
      <c r="J5257" s="25" t="str">
        <f t="shared" si="58"/>
        <v>No</v>
      </c>
      <c r="K5257" s="25" t="str">
        <f t="shared" si="59"/>
        <v/>
      </c>
      <c r="L5257" s="25" t="str">
        <f t="shared" si="60"/>
        <v/>
      </c>
      <c r="M5257" s="25"/>
      <c r="O5257" s="26" t="s">
        <v>51</v>
      </c>
    </row>
    <row r="5258" ht="15.75" customHeight="1">
      <c r="A5258" s="25" t="str">
        <f>IFERROR(__xludf.DUMMYFUNCTION("IF(B5258="""","""",RIGHT(REGEXREPLACE(B5258&amp;"""",""[^0-9]"",""""),9))"),"779079963")</f>
        <v>779079963</v>
      </c>
      <c r="B5258" s="52">
        <v>7.79079963E8</v>
      </c>
      <c r="C5258" s="28" t="s">
        <v>5204</v>
      </c>
      <c r="D5258" s="26" t="s">
        <v>56</v>
      </c>
      <c r="E5258" s="31">
        <v>46237.0</v>
      </c>
      <c r="F5258" s="26" t="s">
        <v>46</v>
      </c>
      <c r="G5258" s="26">
        <v>9.0</v>
      </c>
      <c r="I5258" s="26" t="s">
        <v>863</v>
      </c>
      <c r="J5258" s="25" t="str">
        <f t="shared" si="58"/>
        <v>No</v>
      </c>
      <c r="K5258" s="25" t="str">
        <f t="shared" si="59"/>
        <v/>
      </c>
      <c r="L5258" s="25" t="str">
        <f t="shared" si="60"/>
        <v/>
      </c>
      <c r="M5258" s="25"/>
      <c r="O5258" s="25"/>
    </row>
    <row r="5259" ht="15.75" customHeight="1">
      <c r="A5259" s="25" t="str">
        <f>IFERROR(__xludf.DUMMYFUNCTION("IF(B5259="""","""",RIGHT(REGEXREPLACE(B5259&amp;"""",""[^0-9]"",""""),9))"),"711080934")</f>
        <v>711080934</v>
      </c>
      <c r="B5259" s="52">
        <v>7.11080934E8</v>
      </c>
      <c r="C5259" s="28" t="s">
        <v>5205</v>
      </c>
      <c r="D5259" s="26" t="s">
        <v>56</v>
      </c>
      <c r="E5259" s="31">
        <v>46237.0</v>
      </c>
      <c r="F5259" s="26" t="s">
        <v>41</v>
      </c>
      <c r="G5259" s="26">
        <v>9.0</v>
      </c>
      <c r="I5259" s="26" t="s">
        <v>863</v>
      </c>
      <c r="J5259" s="25" t="str">
        <f t="shared" si="58"/>
        <v>No</v>
      </c>
      <c r="K5259" s="25" t="str">
        <f t="shared" si="59"/>
        <v/>
      </c>
      <c r="L5259" s="25" t="str">
        <f t="shared" si="60"/>
        <v/>
      </c>
      <c r="M5259" s="25"/>
      <c r="O5259" s="25"/>
    </row>
    <row r="5260" ht="15.75" customHeight="1">
      <c r="A5260" s="25" t="str">
        <f>IFERROR(__xludf.DUMMYFUNCTION("IF(B5260="""","""",RIGHT(REGEXREPLACE(B5260&amp;"""",""[^0-9]"",""""),9))"),"775964837")</f>
        <v>775964837</v>
      </c>
      <c r="B5260" s="52">
        <v>7.75964837E8</v>
      </c>
      <c r="C5260" s="28" t="s">
        <v>5206</v>
      </c>
      <c r="D5260" s="26" t="s">
        <v>45</v>
      </c>
      <c r="E5260" s="31">
        <v>46237.0</v>
      </c>
      <c r="F5260" s="26" t="s">
        <v>46</v>
      </c>
      <c r="G5260" s="26">
        <v>9.0</v>
      </c>
      <c r="I5260" s="26" t="s">
        <v>863</v>
      </c>
      <c r="J5260" s="25" t="str">
        <f t="shared" si="58"/>
        <v>No</v>
      </c>
      <c r="K5260" s="25" t="str">
        <f t="shared" si="59"/>
        <v/>
      </c>
      <c r="L5260" s="25" t="str">
        <f t="shared" si="60"/>
        <v/>
      </c>
      <c r="M5260" s="25"/>
      <c r="O5260" s="25"/>
    </row>
    <row r="5261" ht="15.75" customHeight="1">
      <c r="A5261" s="25" t="str">
        <f>IFERROR(__xludf.DUMMYFUNCTION("IF(B5261="""","""",RIGHT(REGEXREPLACE(B5261&amp;"""",""[^0-9]"",""""),9))"),"703153510")</f>
        <v>703153510</v>
      </c>
      <c r="B5261" s="52">
        <v>7.0315351E8</v>
      </c>
      <c r="C5261" s="28" t="s">
        <v>5207</v>
      </c>
      <c r="D5261" s="26" t="s">
        <v>49</v>
      </c>
      <c r="E5261" s="31">
        <v>46237.0</v>
      </c>
      <c r="F5261" s="26" t="s">
        <v>46</v>
      </c>
      <c r="G5261" s="26">
        <v>9.0</v>
      </c>
      <c r="H5261" s="72" t="s">
        <v>5208</v>
      </c>
      <c r="I5261" s="26" t="s">
        <v>863</v>
      </c>
      <c r="J5261" s="25" t="str">
        <f t="shared" si="58"/>
        <v>No</v>
      </c>
      <c r="K5261" s="25" t="str">
        <f t="shared" si="59"/>
        <v/>
      </c>
      <c r="L5261" s="25" t="str">
        <f t="shared" si="60"/>
        <v/>
      </c>
      <c r="M5261" s="25"/>
      <c r="O5261" s="25"/>
    </row>
    <row r="5262" ht="15.75" customHeight="1">
      <c r="A5262" s="25" t="str">
        <f>IFERROR(__xludf.DUMMYFUNCTION("IF(B5262="""","""",RIGHT(REGEXREPLACE(B5262&amp;"""",""[^0-9]"",""""),9))"),"717710660")</f>
        <v>717710660</v>
      </c>
      <c r="B5262" s="52">
        <v>7.1771066E8</v>
      </c>
      <c r="C5262" s="28" t="s">
        <v>5209</v>
      </c>
      <c r="D5262" s="26" t="s">
        <v>82</v>
      </c>
      <c r="E5262" s="31">
        <v>46237.0</v>
      </c>
      <c r="F5262" s="26" t="s">
        <v>41</v>
      </c>
      <c r="G5262" s="26">
        <v>9.0</v>
      </c>
      <c r="I5262" s="26" t="s">
        <v>863</v>
      </c>
      <c r="J5262" s="25" t="str">
        <f t="shared" si="58"/>
        <v>No</v>
      </c>
      <c r="K5262" s="25" t="str">
        <f t="shared" si="59"/>
        <v/>
      </c>
      <c r="L5262" s="25" t="str">
        <f t="shared" si="60"/>
        <v/>
      </c>
      <c r="M5262" s="25"/>
      <c r="O5262" s="25"/>
    </row>
    <row r="5263" ht="15.75" customHeight="1">
      <c r="A5263" s="25" t="str">
        <f>IFERROR(__xludf.DUMMYFUNCTION("IF(B5263="""","""",RIGHT(REGEXREPLACE(B5263&amp;"""",""[^0-9]"",""""),9))"),"712440105")</f>
        <v>712440105</v>
      </c>
      <c r="B5263" s="52">
        <v>7.12440105E8</v>
      </c>
      <c r="C5263" s="28" t="s">
        <v>5210</v>
      </c>
      <c r="D5263" s="26" t="s">
        <v>56</v>
      </c>
      <c r="E5263" s="31">
        <v>46237.0</v>
      </c>
      <c r="F5263" s="26" t="s">
        <v>46</v>
      </c>
      <c r="G5263" s="26">
        <v>9.0</v>
      </c>
      <c r="I5263" s="26" t="s">
        <v>863</v>
      </c>
      <c r="J5263" s="25" t="str">
        <f t="shared" si="58"/>
        <v>No</v>
      </c>
      <c r="K5263" s="25" t="str">
        <f t="shared" si="59"/>
        <v/>
      </c>
      <c r="L5263" s="25" t="str">
        <f t="shared" si="60"/>
        <v/>
      </c>
      <c r="M5263" s="25"/>
      <c r="O5263" s="25"/>
    </row>
    <row r="5264" ht="15.75" customHeight="1">
      <c r="A5264" s="25" t="str">
        <f>IFERROR(__xludf.DUMMYFUNCTION("IF(B5264="""","""",RIGHT(REGEXREPLACE(B5264&amp;"""",""[^0-9]"",""""),9))"),"784453601")</f>
        <v>784453601</v>
      </c>
      <c r="B5264" s="52">
        <v>7.84453601E8</v>
      </c>
      <c r="C5264" s="28" t="s">
        <v>5211</v>
      </c>
      <c r="D5264" s="26" t="s">
        <v>82</v>
      </c>
      <c r="E5264" s="31">
        <v>46237.0</v>
      </c>
      <c r="F5264" s="26" t="s">
        <v>41</v>
      </c>
      <c r="G5264" s="26">
        <v>9.0</v>
      </c>
      <c r="I5264" s="26" t="s">
        <v>863</v>
      </c>
      <c r="J5264" s="25" t="str">
        <f t="shared" si="58"/>
        <v>No</v>
      </c>
      <c r="K5264" s="25" t="str">
        <f t="shared" si="59"/>
        <v/>
      </c>
      <c r="L5264" s="25" t="str">
        <f t="shared" si="60"/>
        <v/>
      </c>
      <c r="M5264" s="25"/>
      <c r="O5264" s="25"/>
    </row>
    <row r="5265" ht="15.75" customHeight="1">
      <c r="A5265" s="25" t="str">
        <f>IFERROR(__xludf.DUMMYFUNCTION("IF(B5265="""","""",RIGHT(REGEXREPLACE(B5265&amp;"""",""[^0-9]"",""""),9))"),"787749003")</f>
        <v>787749003</v>
      </c>
      <c r="B5265" s="52">
        <v>7.87749003E8</v>
      </c>
      <c r="C5265" s="28" t="s">
        <v>5212</v>
      </c>
      <c r="D5265" s="26" t="s">
        <v>49</v>
      </c>
      <c r="E5265" s="31">
        <v>46237.0</v>
      </c>
      <c r="F5265" s="26" t="s">
        <v>41</v>
      </c>
      <c r="G5265" s="26">
        <v>9.0</v>
      </c>
      <c r="I5265" s="26" t="s">
        <v>863</v>
      </c>
      <c r="J5265" s="25" t="str">
        <f t="shared" si="58"/>
        <v>No</v>
      </c>
      <c r="K5265" s="25" t="str">
        <f t="shared" si="59"/>
        <v/>
      </c>
      <c r="L5265" s="25" t="str">
        <f t="shared" si="60"/>
        <v/>
      </c>
      <c r="M5265" s="25"/>
      <c r="O5265" s="25"/>
    </row>
    <row r="5266" ht="15.75" customHeight="1">
      <c r="A5266" s="25" t="str">
        <f>IFERROR(__xludf.DUMMYFUNCTION("IF(B5266="""","""",RIGHT(REGEXREPLACE(B5266&amp;"""",""[^0-9]"",""""),9))"),"728198404")</f>
        <v>728198404</v>
      </c>
      <c r="B5266" s="52">
        <v>7.28198404E8</v>
      </c>
      <c r="C5266" s="28" t="s">
        <v>5213</v>
      </c>
      <c r="D5266" s="26" t="s">
        <v>56</v>
      </c>
      <c r="E5266" s="31">
        <v>46237.0</v>
      </c>
      <c r="F5266" s="26" t="s">
        <v>41</v>
      </c>
      <c r="G5266" s="26">
        <v>10.0</v>
      </c>
      <c r="I5266" s="26" t="s">
        <v>863</v>
      </c>
      <c r="J5266" s="25" t="str">
        <f t="shared" si="58"/>
        <v>No</v>
      </c>
      <c r="K5266" s="25" t="str">
        <f t="shared" si="59"/>
        <v/>
      </c>
      <c r="L5266" s="25" t="str">
        <f t="shared" si="60"/>
        <v/>
      </c>
      <c r="M5266" s="25"/>
      <c r="O5266" s="25"/>
    </row>
    <row r="5267" ht="15.75" customHeight="1">
      <c r="A5267" s="25" t="str">
        <f>IFERROR(__xludf.DUMMYFUNCTION("IF(B5267="""","""",RIGHT(REGEXREPLACE(B5267&amp;"""",""[^0-9]"",""""),9))"),"784717872")</f>
        <v>784717872</v>
      </c>
      <c r="B5267" s="52">
        <v>7.84717872E8</v>
      </c>
      <c r="C5267" s="28" t="s">
        <v>5214</v>
      </c>
      <c r="D5267" s="26" t="s">
        <v>82</v>
      </c>
      <c r="E5267" s="31">
        <v>46237.0</v>
      </c>
      <c r="F5267" s="26" t="s">
        <v>41</v>
      </c>
      <c r="I5267" s="26" t="s">
        <v>863</v>
      </c>
      <c r="J5267" s="25" t="str">
        <f t="shared" si="58"/>
        <v>No</v>
      </c>
      <c r="K5267" s="25" t="str">
        <f t="shared" si="59"/>
        <v/>
      </c>
      <c r="L5267" s="25" t="str">
        <f t="shared" si="60"/>
        <v/>
      </c>
      <c r="M5267" s="25"/>
      <c r="O5267" s="25"/>
    </row>
    <row r="5268" ht="15.75" customHeight="1">
      <c r="A5268" s="25" t="str">
        <f>IFERROR(__xludf.DUMMYFUNCTION("IF(B5268="""","""",RIGHT(REGEXREPLACE(B5268&amp;"""",""[^0-9]"",""""),9))"),"766891311")</f>
        <v>766891311</v>
      </c>
      <c r="B5268" s="52">
        <v>7.66891311E8</v>
      </c>
      <c r="C5268" s="28" t="s">
        <v>5215</v>
      </c>
      <c r="D5268" s="26" t="s">
        <v>49</v>
      </c>
      <c r="E5268" s="31">
        <v>46237.0</v>
      </c>
      <c r="F5268" s="26" t="s">
        <v>46</v>
      </c>
      <c r="G5268" s="26">
        <v>9.0</v>
      </c>
      <c r="H5268" s="118" t="s">
        <v>5216</v>
      </c>
      <c r="I5268" s="26" t="s">
        <v>863</v>
      </c>
      <c r="J5268" s="25" t="str">
        <f t="shared" si="58"/>
        <v>No</v>
      </c>
      <c r="K5268" s="25" t="str">
        <f t="shared" si="59"/>
        <v/>
      </c>
      <c r="L5268" s="25" t="str">
        <f t="shared" si="60"/>
        <v/>
      </c>
      <c r="M5268" s="25"/>
      <c r="O5268" s="25"/>
    </row>
    <row r="5269" ht="15.75" customHeight="1">
      <c r="A5269" s="25" t="str">
        <f>IFERROR(__xludf.DUMMYFUNCTION("IF(B5269="""","""",RIGHT(REGEXREPLACE(B5269&amp;"""",""[^0-9]"",""""),9))"),"770756787")</f>
        <v>770756787</v>
      </c>
      <c r="B5269" s="52">
        <v>7.70756787E8</v>
      </c>
      <c r="C5269" s="28" t="s">
        <v>5217</v>
      </c>
      <c r="D5269" s="26" t="s">
        <v>45</v>
      </c>
      <c r="E5269" s="31">
        <v>46237.0</v>
      </c>
      <c r="F5269" s="26" t="s">
        <v>41</v>
      </c>
      <c r="G5269" s="26">
        <v>9.0</v>
      </c>
      <c r="I5269" s="26" t="s">
        <v>863</v>
      </c>
      <c r="J5269" s="25" t="str">
        <f t="shared" si="58"/>
        <v>No</v>
      </c>
      <c r="K5269" s="25" t="str">
        <f t="shared" si="59"/>
        <v/>
      </c>
      <c r="L5269" s="25" t="str">
        <f t="shared" si="60"/>
        <v/>
      </c>
      <c r="M5269" s="25"/>
      <c r="O5269" s="25"/>
    </row>
    <row r="5270" ht="15.75" customHeight="1">
      <c r="A5270" s="25" t="str">
        <f>IFERROR(__xludf.DUMMYFUNCTION("IF(B5270="""","""",RIGHT(REGEXREPLACE(B5270&amp;"""",""[^0-9]"",""""),9))"),"774791982")</f>
        <v>774791982</v>
      </c>
      <c r="B5270" s="52">
        <v>7.74791982E8</v>
      </c>
      <c r="C5270" s="28" t="s">
        <v>5218</v>
      </c>
      <c r="D5270" s="26" t="s">
        <v>82</v>
      </c>
      <c r="E5270" s="31">
        <v>46237.0</v>
      </c>
      <c r="F5270" s="26" t="s">
        <v>46</v>
      </c>
      <c r="G5270" s="26">
        <v>9.0</v>
      </c>
      <c r="H5270" s="26" t="s">
        <v>5219</v>
      </c>
      <c r="I5270" s="26" t="s">
        <v>863</v>
      </c>
      <c r="J5270" s="25" t="str">
        <f t="shared" si="58"/>
        <v>No</v>
      </c>
      <c r="K5270" s="25" t="str">
        <f t="shared" si="59"/>
        <v/>
      </c>
      <c r="L5270" s="25" t="str">
        <f t="shared" si="60"/>
        <v/>
      </c>
      <c r="M5270" s="25"/>
      <c r="O5270" s="25"/>
    </row>
    <row r="5271" ht="15.75" customHeight="1">
      <c r="A5271" s="25" t="str">
        <f>IFERROR(__xludf.DUMMYFUNCTION("IF(B5271="""","""",RIGHT(REGEXREPLACE(B5271&amp;"""",""[^0-9]"",""""),9))"),"760708048")</f>
        <v>760708048</v>
      </c>
      <c r="B5271" s="52">
        <v>7.60708048E8</v>
      </c>
      <c r="C5271" s="28" t="s">
        <v>5220</v>
      </c>
      <c r="D5271" s="26" t="s">
        <v>56</v>
      </c>
      <c r="E5271" s="31">
        <v>46237.0</v>
      </c>
      <c r="F5271" s="26" t="s">
        <v>46</v>
      </c>
      <c r="H5271" s="26" t="s">
        <v>5221</v>
      </c>
      <c r="I5271" s="26" t="s">
        <v>863</v>
      </c>
      <c r="J5271" s="25" t="str">
        <f t="shared" si="58"/>
        <v>No</v>
      </c>
      <c r="K5271" s="25" t="str">
        <f t="shared" si="59"/>
        <v/>
      </c>
      <c r="L5271" s="25" t="str">
        <f t="shared" si="60"/>
        <v/>
      </c>
      <c r="M5271" s="25"/>
      <c r="O5271" s="25"/>
    </row>
    <row r="5272" ht="15.75" customHeight="1">
      <c r="A5272" s="25" t="str">
        <f>IFERROR(__xludf.DUMMYFUNCTION("IF(B5272="""","""",RIGHT(REGEXREPLACE(B5272&amp;"""",""[^0-9]"",""""),9))"),"771378081")</f>
        <v>771378081</v>
      </c>
      <c r="B5272" s="52">
        <v>7.71378081E8</v>
      </c>
      <c r="C5272" s="28" t="s">
        <v>5222</v>
      </c>
      <c r="D5272" s="26" t="s">
        <v>45</v>
      </c>
      <c r="E5272" s="31">
        <v>46237.0</v>
      </c>
      <c r="F5272" s="26" t="s">
        <v>659</v>
      </c>
      <c r="G5272" s="26">
        <v>9.0</v>
      </c>
      <c r="I5272" s="26" t="s">
        <v>863</v>
      </c>
      <c r="J5272" s="25" t="str">
        <f t="shared" si="58"/>
        <v>No</v>
      </c>
      <c r="K5272" s="25" t="str">
        <f t="shared" si="59"/>
        <v/>
      </c>
      <c r="L5272" s="25" t="str">
        <f t="shared" si="60"/>
        <v/>
      </c>
      <c r="M5272" s="25"/>
      <c r="O5272" s="25"/>
    </row>
    <row r="5273" ht="15.75" customHeight="1">
      <c r="A5273" s="25" t="str">
        <f>IFERROR(__xludf.DUMMYFUNCTION("IF(B5273="""","""",RIGHT(REGEXREPLACE(B5273&amp;"""",""[^0-9]"",""""),9))"),"773290115")</f>
        <v>773290115</v>
      </c>
      <c r="B5273" s="52">
        <v>7.73290115E8</v>
      </c>
      <c r="C5273" s="28" t="s">
        <v>5223</v>
      </c>
      <c r="D5273" s="26" t="s">
        <v>45</v>
      </c>
      <c r="E5273" s="31">
        <v>46237.0</v>
      </c>
      <c r="F5273" s="26" t="s">
        <v>41</v>
      </c>
      <c r="G5273" s="26">
        <v>9.0</v>
      </c>
      <c r="I5273" s="26" t="s">
        <v>863</v>
      </c>
      <c r="J5273" s="25" t="str">
        <f t="shared" si="58"/>
        <v>No</v>
      </c>
      <c r="K5273" s="25" t="str">
        <f t="shared" si="59"/>
        <v/>
      </c>
      <c r="L5273" s="25" t="str">
        <f t="shared" si="60"/>
        <v/>
      </c>
      <c r="M5273" s="25"/>
      <c r="O5273" s="25"/>
    </row>
    <row r="5274" ht="15.75" customHeight="1">
      <c r="A5274" s="25" t="str">
        <f>IFERROR(__xludf.DUMMYFUNCTION("IF(B5274="""","""",RIGHT(REGEXREPLACE(B5274&amp;"""",""[^0-9]"",""""),9))"),"776332832")</f>
        <v>776332832</v>
      </c>
      <c r="B5274" s="52">
        <v>7.76332832E8</v>
      </c>
      <c r="C5274" s="28" t="s">
        <v>5224</v>
      </c>
      <c r="D5274" s="26" t="s">
        <v>56</v>
      </c>
      <c r="E5274" s="31">
        <v>46237.0</v>
      </c>
      <c r="F5274" s="26" t="s">
        <v>46</v>
      </c>
      <c r="G5274" s="26">
        <v>9.0</v>
      </c>
      <c r="I5274" s="26" t="s">
        <v>863</v>
      </c>
      <c r="J5274" s="25" t="str">
        <f t="shared" si="58"/>
        <v>No</v>
      </c>
      <c r="K5274" s="25" t="str">
        <f t="shared" si="59"/>
        <v/>
      </c>
      <c r="L5274" s="25" t="str">
        <f t="shared" si="60"/>
        <v/>
      </c>
      <c r="M5274" s="25"/>
      <c r="O5274" s="25"/>
    </row>
    <row r="5275" ht="15.75" customHeight="1">
      <c r="A5275" s="25" t="str">
        <f>IFERROR(__xludf.DUMMYFUNCTION("IF(B5275="""","""",RIGHT(REGEXREPLACE(B5275&amp;"""",""[^0-9]"",""""),9))"),"704393031")</f>
        <v>704393031</v>
      </c>
      <c r="B5275" s="52">
        <v>7.04393031E8</v>
      </c>
      <c r="C5275" s="28" t="s">
        <v>5225</v>
      </c>
      <c r="D5275" s="26" t="s">
        <v>82</v>
      </c>
      <c r="E5275" s="31">
        <v>46237.0</v>
      </c>
      <c r="F5275" s="26" t="s">
        <v>41</v>
      </c>
      <c r="G5275" s="26">
        <v>9.0</v>
      </c>
      <c r="I5275" s="26" t="s">
        <v>863</v>
      </c>
      <c r="J5275" s="25" t="str">
        <f t="shared" si="58"/>
        <v>No</v>
      </c>
      <c r="K5275" s="25" t="str">
        <f t="shared" si="59"/>
        <v/>
      </c>
      <c r="L5275" s="25" t="str">
        <f t="shared" si="60"/>
        <v/>
      </c>
      <c r="M5275" s="25"/>
      <c r="O5275" s="25"/>
    </row>
    <row r="5276" ht="15.75" customHeight="1">
      <c r="A5276" s="25" t="str">
        <f>IFERROR(__xludf.DUMMYFUNCTION("IF(B5276="""","""",RIGHT(REGEXREPLACE(B5276&amp;"""",""[^0-9]"",""""),9))"),"762423577")</f>
        <v>762423577</v>
      </c>
      <c r="B5276" s="52">
        <v>7.62423577E8</v>
      </c>
      <c r="C5276" s="28" t="s">
        <v>5226</v>
      </c>
      <c r="D5276" s="26" t="s">
        <v>49</v>
      </c>
      <c r="E5276" s="31">
        <v>46237.0</v>
      </c>
      <c r="F5276" s="26" t="s">
        <v>46</v>
      </c>
      <c r="G5276" s="26">
        <v>9.0</v>
      </c>
      <c r="H5276" s="118" t="s">
        <v>5227</v>
      </c>
      <c r="I5276" s="26" t="s">
        <v>863</v>
      </c>
      <c r="J5276" s="25" t="str">
        <f t="shared" si="58"/>
        <v>No</v>
      </c>
      <c r="K5276" s="25" t="str">
        <f t="shared" si="59"/>
        <v/>
      </c>
      <c r="L5276" s="25" t="str">
        <f t="shared" si="60"/>
        <v/>
      </c>
      <c r="M5276" s="25"/>
      <c r="O5276" s="25"/>
    </row>
    <row r="5277" ht="15.75" customHeight="1">
      <c r="A5277" s="25" t="str">
        <f>IFERROR(__xludf.DUMMYFUNCTION("IF(B5277="""","""",RIGHT(REGEXREPLACE(B5277&amp;"""",""[^0-9]"",""""),9))"),"741051376")</f>
        <v>741051376</v>
      </c>
      <c r="B5277" s="52">
        <v>7.41051376E8</v>
      </c>
      <c r="C5277" s="28" t="s">
        <v>5228</v>
      </c>
      <c r="D5277" s="26" t="s">
        <v>45</v>
      </c>
      <c r="E5277" s="31">
        <v>46237.0</v>
      </c>
      <c r="F5277" s="26" t="s">
        <v>46</v>
      </c>
      <c r="G5277" s="26">
        <v>9.0</v>
      </c>
      <c r="I5277" s="26" t="s">
        <v>863</v>
      </c>
      <c r="J5277" s="25" t="str">
        <f t="shared" si="58"/>
        <v>No</v>
      </c>
      <c r="K5277" s="25" t="str">
        <f t="shared" si="59"/>
        <v/>
      </c>
      <c r="L5277" s="25" t="str">
        <f t="shared" si="60"/>
        <v/>
      </c>
      <c r="M5277" s="25"/>
      <c r="O5277" s="25"/>
    </row>
    <row r="5278" ht="15.75" customHeight="1">
      <c r="A5278" s="25" t="str">
        <f>IFERROR(__xludf.DUMMYFUNCTION("IF(B5278="""","""",RIGHT(REGEXREPLACE(B5278&amp;"""",""[^0-9]"",""""),9))"),"771496928")</f>
        <v>771496928</v>
      </c>
      <c r="B5278" s="52">
        <v>7.71496928E8</v>
      </c>
      <c r="C5278" s="28" t="s">
        <v>4490</v>
      </c>
      <c r="D5278" s="26" t="s">
        <v>56</v>
      </c>
      <c r="E5278" s="31">
        <v>46237.0</v>
      </c>
      <c r="F5278" s="26" t="s">
        <v>46</v>
      </c>
      <c r="G5278" s="26">
        <v>8.0</v>
      </c>
      <c r="I5278" s="26" t="s">
        <v>863</v>
      </c>
      <c r="J5278" s="25" t="str">
        <f t="shared" si="58"/>
        <v>Yes - see Previous F-Code</v>
      </c>
      <c r="K5278" s="25" t="str">
        <f t="shared" si="59"/>
        <v/>
      </c>
      <c r="L5278" s="25" t="str">
        <f t="shared" si="60"/>
        <v>F74102</v>
      </c>
      <c r="M5278" s="25"/>
      <c r="O5278" s="25"/>
    </row>
    <row r="5279" ht="15.75" customHeight="1">
      <c r="A5279" s="25" t="str">
        <f>IFERROR(__xludf.DUMMYFUNCTION("IF(B5279="""","""",RIGHT(REGEXREPLACE(B5279&amp;"""",""[^0-9]"",""""),9))"),"718907494")</f>
        <v>718907494</v>
      </c>
      <c r="B5279" s="52">
        <v>7.18907494E8</v>
      </c>
      <c r="C5279" s="28" t="s">
        <v>5229</v>
      </c>
      <c r="D5279" s="26" t="s">
        <v>82</v>
      </c>
      <c r="E5279" s="31">
        <v>46237.0</v>
      </c>
      <c r="F5279" s="26" t="s">
        <v>46</v>
      </c>
      <c r="I5279" s="26" t="s">
        <v>863</v>
      </c>
      <c r="J5279" s="25" t="str">
        <f t="shared" si="58"/>
        <v>No</v>
      </c>
      <c r="K5279" s="25" t="str">
        <f t="shared" si="59"/>
        <v/>
      </c>
      <c r="L5279" s="25" t="str">
        <f t="shared" si="60"/>
        <v/>
      </c>
      <c r="M5279" s="25"/>
      <c r="O5279" s="25"/>
    </row>
    <row r="5280" ht="15.75" customHeight="1">
      <c r="A5280" s="25" t="str">
        <f>IFERROR(__xludf.DUMMYFUNCTION("IF(B5280="""","""",RIGHT(REGEXREPLACE(B5280&amp;"""",""[^0-9]"",""""),9))"),"761694613")</f>
        <v>761694613</v>
      </c>
      <c r="B5280" s="52">
        <v>7.61694613E8</v>
      </c>
      <c r="C5280" s="28" t="s">
        <v>5230</v>
      </c>
      <c r="D5280" s="26" t="s">
        <v>49</v>
      </c>
      <c r="E5280" s="31">
        <v>46237.0</v>
      </c>
      <c r="F5280" s="26" t="s">
        <v>41</v>
      </c>
      <c r="I5280" s="26" t="s">
        <v>863</v>
      </c>
      <c r="J5280" s="25" t="str">
        <f t="shared" si="58"/>
        <v>No</v>
      </c>
      <c r="K5280" s="25" t="str">
        <f t="shared" si="59"/>
        <v/>
      </c>
      <c r="L5280" s="25" t="str">
        <f t="shared" si="60"/>
        <v/>
      </c>
      <c r="M5280" s="25"/>
      <c r="O5280" s="25"/>
    </row>
    <row r="5281" ht="15.75" customHeight="1">
      <c r="A5281" s="25" t="str">
        <f>IFERROR(__xludf.DUMMYFUNCTION("IF(B5281="""","""",RIGHT(REGEXREPLACE(B5281&amp;"""",""[^0-9]"",""""),9))"),"714348175")</f>
        <v>714348175</v>
      </c>
      <c r="B5281" s="52">
        <v>7.14348175E8</v>
      </c>
      <c r="C5281" s="28" t="s">
        <v>5231</v>
      </c>
      <c r="D5281" s="26" t="s">
        <v>45</v>
      </c>
      <c r="E5281" s="31">
        <v>46237.0</v>
      </c>
      <c r="F5281" s="26" t="s">
        <v>46</v>
      </c>
      <c r="G5281" s="26">
        <v>8.0</v>
      </c>
      <c r="I5281" s="26" t="s">
        <v>863</v>
      </c>
      <c r="J5281" s="25" t="str">
        <f t="shared" si="58"/>
        <v>No</v>
      </c>
      <c r="K5281" s="25" t="str">
        <f t="shared" si="59"/>
        <v/>
      </c>
      <c r="L5281" s="25" t="str">
        <f t="shared" si="60"/>
        <v/>
      </c>
      <c r="M5281" s="25"/>
      <c r="O5281" s="25"/>
    </row>
    <row r="5282" ht="15.75" customHeight="1">
      <c r="A5282" s="25" t="str">
        <f>IFERROR(__xludf.DUMMYFUNCTION("IF(B5282="""","""",RIGHT(REGEXREPLACE(B5282&amp;"""",""[^0-9]"",""""),9))"),"719223067")</f>
        <v>719223067</v>
      </c>
      <c r="B5282" s="52">
        <v>7.19223067E8</v>
      </c>
      <c r="C5282" s="28" t="s">
        <v>5232</v>
      </c>
      <c r="D5282" s="26" t="s">
        <v>82</v>
      </c>
      <c r="E5282" s="31">
        <v>46237.0</v>
      </c>
      <c r="F5282" s="26" t="s">
        <v>46</v>
      </c>
      <c r="G5282" s="26">
        <v>11.0</v>
      </c>
      <c r="H5282" s="26" t="s">
        <v>5233</v>
      </c>
      <c r="I5282" s="26" t="s">
        <v>863</v>
      </c>
      <c r="J5282" s="25" t="str">
        <f t="shared" si="58"/>
        <v>No</v>
      </c>
      <c r="K5282" s="25" t="str">
        <f t="shared" si="59"/>
        <v/>
      </c>
      <c r="L5282" s="25" t="str">
        <f t="shared" si="60"/>
        <v/>
      </c>
      <c r="M5282" s="25"/>
      <c r="O5282" s="25"/>
    </row>
    <row r="5283" ht="15.75" customHeight="1">
      <c r="A5283" s="25" t="str">
        <f>IFERROR(__xludf.DUMMYFUNCTION("IF(B5283="""","""",RIGHT(REGEXREPLACE(B5283&amp;"""",""[^0-9]"",""""),9))"),"762894560")</f>
        <v>762894560</v>
      </c>
      <c r="B5283" s="52">
        <v>7.6289456E8</v>
      </c>
      <c r="C5283" s="28" t="s">
        <v>5234</v>
      </c>
      <c r="D5283" s="26" t="s">
        <v>56</v>
      </c>
      <c r="E5283" s="31">
        <v>46237.0</v>
      </c>
      <c r="F5283" s="26" t="s">
        <v>46</v>
      </c>
      <c r="G5283" s="26">
        <v>7.0</v>
      </c>
      <c r="I5283" s="26" t="s">
        <v>863</v>
      </c>
      <c r="J5283" s="25" t="str">
        <f t="shared" si="58"/>
        <v>No</v>
      </c>
      <c r="K5283" s="25" t="str">
        <f t="shared" si="59"/>
        <v/>
      </c>
      <c r="L5283" s="25" t="str">
        <f t="shared" si="60"/>
        <v/>
      </c>
      <c r="M5283" s="25"/>
      <c r="O5283" s="25"/>
    </row>
    <row r="5284" ht="15.75" customHeight="1">
      <c r="A5284" s="25" t="str">
        <f>IFERROR(__xludf.DUMMYFUNCTION("IF(B5284="""","""",RIGHT(REGEXREPLACE(B5284&amp;"""",""[^0-9]"",""""),9))"),"779437855")</f>
        <v>779437855</v>
      </c>
      <c r="B5284" s="52">
        <v>7.79437855E8</v>
      </c>
      <c r="C5284" s="28" t="s">
        <v>5235</v>
      </c>
      <c r="D5284" s="26" t="s">
        <v>82</v>
      </c>
      <c r="E5284" s="31">
        <v>46237.0</v>
      </c>
      <c r="F5284" s="26" t="s">
        <v>46</v>
      </c>
      <c r="G5284" s="26">
        <v>9.0</v>
      </c>
      <c r="H5284" s="26" t="s">
        <v>5236</v>
      </c>
      <c r="I5284" s="26" t="s">
        <v>863</v>
      </c>
      <c r="J5284" s="25" t="str">
        <f t="shared" si="58"/>
        <v>No</v>
      </c>
      <c r="K5284" s="25" t="str">
        <f t="shared" si="59"/>
        <v/>
      </c>
      <c r="L5284" s="25" t="str">
        <f t="shared" si="60"/>
        <v/>
      </c>
      <c r="M5284" s="25"/>
      <c r="O5284" s="25"/>
    </row>
    <row r="5285" ht="15.75" customHeight="1">
      <c r="A5285" s="25" t="str">
        <f>IFERROR(__xludf.DUMMYFUNCTION("IF(B5285="""","""",RIGHT(REGEXREPLACE(B5285&amp;"""",""[^0-9]"",""""),9))"),"772549417")</f>
        <v>772549417</v>
      </c>
      <c r="B5285" s="52">
        <v>7.72549417E8</v>
      </c>
      <c r="C5285" s="28" t="s">
        <v>5237</v>
      </c>
      <c r="D5285" s="26" t="s">
        <v>45</v>
      </c>
      <c r="E5285" s="31">
        <v>46237.0</v>
      </c>
      <c r="F5285" s="26" t="s">
        <v>46</v>
      </c>
      <c r="G5285" s="26">
        <v>9.0</v>
      </c>
      <c r="I5285" s="26" t="s">
        <v>863</v>
      </c>
      <c r="J5285" s="25" t="str">
        <f t="shared" si="58"/>
        <v>No</v>
      </c>
      <c r="K5285" s="25" t="str">
        <f t="shared" si="59"/>
        <v/>
      </c>
      <c r="L5285" s="25" t="str">
        <f t="shared" si="60"/>
        <v/>
      </c>
      <c r="M5285" s="25"/>
      <c r="O5285" s="25"/>
    </row>
    <row r="5286" ht="15.75" customHeight="1">
      <c r="A5286" s="25" t="str">
        <f>IFERROR(__xludf.DUMMYFUNCTION("IF(B5286="""","""",RIGHT(REGEXREPLACE(B5286&amp;"""",""[^0-9]"",""""),9))"),"717502585")</f>
        <v>717502585</v>
      </c>
      <c r="B5286" s="52">
        <v>7.17502585E8</v>
      </c>
      <c r="C5286" s="28" t="s">
        <v>5238</v>
      </c>
      <c r="D5286" s="26" t="s">
        <v>49</v>
      </c>
      <c r="E5286" s="31">
        <v>46237.0</v>
      </c>
      <c r="F5286" s="26" t="s">
        <v>41</v>
      </c>
      <c r="I5286" s="26" t="s">
        <v>863</v>
      </c>
      <c r="J5286" s="25" t="str">
        <f t="shared" si="58"/>
        <v>No</v>
      </c>
      <c r="K5286" s="25" t="str">
        <f t="shared" si="59"/>
        <v/>
      </c>
      <c r="L5286" s="25" t="str">
        <f t="shared" si="60"/>
        <v/>
      </c>
      <c r="M5286" s="25"/>
      <c r="O5286" s="25"/>
    </row>
    <row r="5287" ht="15.75" customHeight="1">
      <c r="A5287" s="25" t="str">
        <f>IFERROR(__xludf.DUMMYFUNCTION("IF(B5287="""","""",RIGHT(REGEXREPLACE(B5287&amp;"""",""[^0-9]"",""""),9))"),"715726029")</f>
        <v>715726029</v>
      </c>
      <c r="B5287" s="52">
        <v>7.15726029E8</v>
      </c>
      <c r="C5287" s="28" t="s">
        <v>5239</v>
      </c>
      <c r="D5287" s="26" t="s">
        <v>45</v>
      </c>
      <c r="E5287" s="31">
        <v>46237.0</v>
      </c>
      <c r="F5287" s="26" t="s">
        <v>46</v>
      </c>
      <c r="G5287" s="26">
        <v>9.0</v>
      </c>
      <c r="I5287" s="26" t="s">
        <v>863</v>
      </c>
      <c r="J5287" s="25" t="str">
        <f t="shared" si="58"/>
        <v>No</v>
      </c>
      <c r="K5287" s="25" t="str">
        <f t="shared" si="59"/>
        <v/>
      </c>
      <c r="L5287" s="25" t="str">
        <f t="shared" si="60"/>
        <v/>
      </c>
      <c r="M5287" s="25"/>
      <c r="O5287" s="25"/>
    </row>
    <row r="5288" ht="15.75" customHeight="1">
      <c r="A5288" s="25" t="str">
        <f>IFERROR(__xludf.DUMMYFUNCTION("IF(B5288="""","""",RIGHT(REGEXREPLACE(B5288&amp;"""",""[^0-9]"",""""),9))"),"768363870")</f>
        <v>768363870</v>
      </c>
      <c r="B5288" s="52">
        <v>7.6836387E8</v>
      </c>
      <c r="C5288" s="28" t="s">
        <v>5240</v>
      </c>
      <c r="D5288" s="26" t="s">
        <v>45</v>
      </c>
      <c r="E5288" s="31">
        <v>46237.0</v>
      </c>
      <c r="F5288" s="26" t="s">
        <v>46</v>
      </c>
      <c r="G5288" s="26">
        <v>9.0</v>
      </c>
      <c r="I5288" s="26" t="s">
        <v>863</v>
      </c>
      <c r="J5288" s="25" t="str">
        <f t="shared" si="58"/>
        <v>No</v>
      </c>
      <c r="K5288" s="25" t="str">
        <f t="shared" si="59"/>
        <v/>
      </c>
      <c r="L5288" s="25" t="str">
        <f t="shared" si="60"/>
        <v/>
      </c>
      <c r="M5288" s="25"/>
      <c r="O5288" s="25"/>
    </row>
    <row r="5289" ht="15.75" customHeight="1">
      <c r="A5289" s="25" t="str">
        <f>IFERROR(__xludf.DUMMYFUNCTION("IF(B5289="""","""",RIGHT(REGEXREPLACE(B5289&amp;"""",""[^0-9]"",""""),9))"),"783499172")</f>
        <v>783499172</v>
      </c>
      <c r="B5289" s="52">
        <v>7.83499172E8</v>
      </c>
      <c r="C5289" s="28" t="s">
        <v>5241</v>
      </c>
      <c r="D5289" s="26" t="s">
        <v>45</v>
      </c>
      <c r="E5289" s="31">
        <v>46237.0</v>
      </c>
      <c r="F5289" s="26" t="s">
        <v>41</v>
      </c>
      <c r="G5289" s="26">
        <v>9.0</v>
      </c>
      <c r="I5289" s="26" t="s">
        <v>863</v>
      </c>
      <c r="J5289" s="25" t="str">
        <f t="shared" si="58"/>
        <v>No</v>
      </c>
      <c r="K5289" s="25" t="str">
        <f t="shared" si="59"/>
        <v/>
      </c>
      <c r="L5289" s="25" t="str">
        <f t="shared" si="60"/>
        <v/>
      </c>
      <c r="M5289" s="25"/>
      <c r="O5289" s="25"/>
    </row>
    <row r="5290" ht="15.75" customHeight="1">
      <c r="A5290" s="25" t="str">
        <f>IFERROR(__xludf.DUMMYFUNCTION("IF(B5290="""","""",RIGHT(REGEXREPLACE(B5290&amp;"""",""[^0-9]"",""""),9))"),"768876136")</f>
        <v>768876136</v>
      </c>
      <c r="B5290" s="52">
        <v>7.68876136E8</v>
      </c>
      <c r="C5290" s="28" t="s">
        <v>5242</v>
      </c>
      <c r="D5290" s="26" t="s">
        <v>45</v>
      </c>
      <c r="E5290" s="31">
        <v>46237.0</v>
      </c>
      <c r="F5290" s="26" t="s">
        <v>46</v>
      </c>
      <c r="G5290" s="26">
        <v>9.0</v>
      </c>
      <c r="H5290" s="26" t="s">
        <v>720</v>
      </c>
      <c r="I5290" s="26" t="s">
        <v>863</v>
      </c>
      <c r="J5290" s="25" t="str">
        <f t="shared" si="58"/>
        <v>No</v>
      </c>
      <c r="K5290" s="25" t="str">
        <f t="shared" si="59"/>
        <v/>
      </c>
      <c r="L5290" s="25" t="str">
        <f t="shared" si="60"/>
        <v/>
      </c>
      <c r="M5290" s="25"/>
      <c r="O5290" s="25"/>
    </row>
    <row r="5291" ht="15.75" customHeight="1">
      <c r="A5291" s="25" t="str">
        <f>IFERROR(__xludf.DUMMYFUNCTION("IF(B5291="""","""",RIGHT(REGEXREPLACE(B5291&amp;"""",""[^0-9]"",""""),9))"),"764033866")</f>
        <v>764033866</v>
      </c>
      <c r="B5291" s="52">
        <v>7.64033866E8</v>
      </c>
      <c r="C5291" s="28" t="s">
        <v>5243</v>
      </c>
      <c r="D5291" s="26" t="s">
        <v>45</v>
      </c>
      <c r="E5291" s="31">
        <v>46237.0</v>
      </c>
      <c r="F5291" s="26" t="s">
        <v>46</v>
      </c>
      <c r="G5291" s="26">
        <v>9.0</v>
      </c>
      <c r="I5291" s="26" t="s">
        <v>863</v>
      </c>
      <c r="J5291" s="25" t="str">
        <f t="shared" si="58"/>
        <v>No</v>
      </c>
      <c r="K5291" s="25" t="str">
        <f t="shared" si="59"/>
        <v/>
      </c>
      <c r="L5291" s="25" t="str">
        <f t="shared" si="60"/>
        <v/>
      </c>
      <c r="M5291" s="25"/>
      <c r="O5291" s="25"/>
    </row>
    <row r="5292" ht="15.75" customHeight="1">
      <c r="A5292" s="25" t="str">
        <f>IFERROR(__xludf.DUMMYFUNCTION("IF(B5292="""","""",RIGHT(REGEXREPLACE(B5292&amp;"""",""[^0-9]"",""""),9))"),"774448819")</f>
        <v>774448819</v>
      </c>
      <c r="B5292" s="52">
        <v>7.74448819E8</v>
      </c>
      <c r="C5292" s="28" t="s">
        <v>5244</v>
      </c>
      <c r="D5292" s="26" t="s">
        <v>45</v>
      </c>
      <c r="E5292" s="31">
        <v>46237.0</v>
      </c>
      <c r="F5292" s="26" t="s">
        <v>46</v>
      </c>
      <c r="G5292" s="26">
        <v>9.0</v>
      </c>
      <c r="I5292" s="26" t="s">
        <v>863</v>
      </c>
      <c r="J5292" s="25" t="str">
        <f t="shared" si="58"/>
        <v>No</v>
      </c>
      <c r="K5292" s="25" t="str">
        <f t="shared" si="59"/>
        <v/>
      </c>
      <c r="L5292" s="25" t="str">
        <f t="shared" si="60"/>
        <v/>
      </c>
      <c r="M5292" s="25"/>
      <c r="O5292" s="120" t="s">
        <v>51</v>
      </c>
    </row>
    <row r="5293" ht="15.75" customHeight="1">
      <c r="A5293" s="25" t="str">
        <f>IFERROR(__xludf.DUMMYFUNCTION("IF(B5293="""","""",RIGHT(REGEXREPLACE(B5293&amp;"""",""[^0-9]"",""""),9))"),"717206941")</f>
        <v>717206941</v>
      </c>
      <c r="B5293" s="52">
        <v>7.17206941E8</v>
      </c>
      <c r="C5293" s="28" t="s">
        <v>5245</v>
      </c>
      <c r="D5293" s="26" t="s">
        <v>56</v>
      </c>
      <c r="E5293" s="31">
        <v>46237.0</v>
      </c>
      <c r="F5293" s="26" t="s">
        <v>164</v>
      </c>
      <c r="I5293" s="26" t="s">
        <v>863</v>
      </c>
      <c r="J5293" s="25" t="str">
        <f t="shared" si="58"/>
        <v>No</v>
      </c>
      <c r="K5293" s="25" t="str">
        <f t="shared" si="59"/>
        <v/>
      </c>
      <c r="L5293" s="25" t="str">
        <f t="shared" si="60"/>
        <v/>
      </c>
      <c r="M5293" s="25"/>
      <c r="O5293" s="25"/>
    </row>
    <row r="5294" ht="15.75" customHeight="1">
      <c r="A5294" s="25" t="str">
        <f>IFERROR(__xludf.DUMMYFUNCTION("IF(B5294="""","""",RIGHT(REGEXREPLACE(B5294&amp;"""",""[^0-9]"",""""),9))"),"773274287")</f>
        <v>773274287</v>
      </c>
      <c r="B5294" s="52">
        <v>7.73274287E8</v>
      </c>
      <c r="C5294" s="28" t="s">
        <v>5246</v>
      </c>
      <c r="D5294" s="26" t="s">
        <v>56</v>
      </c>
      <c r="E5294" s="31">
        <v>46237.0</v>
      </c>
      <c r="F5294" s="26" t="s">
        <v>631</v>
      </c>
      <c r="G5294" s="26">
        <v>9.0</v>
      </c>
      <c r="I5294" s="26" t="s">
        <v>863</v>
      </c>
      <c r="J5294" s="25" t="str">
        <f t="shared" si="58"/>
        <v>No</v>
      </c>
      <c r="K5294" s="25" t="str">
        <f t="shared" si="59"/>
        <v/>
      </c>
      <c r="L5294" s="25" t="str">
        <f t="shared" si="60"/>
        <v/>
      </c>
      <c r="M5294" s="25"/>
      <c r="O5294" s="25"/>
    </row>
    <row r="5295" ht="15.75" customHeight="1">
      <c r="A5295" s="25" t="str">
        <f>IFERROR(__xludf.DUMMYFUNCTION("IF(B5295="""","""",RIGHT(REGEXREPLACE(B5295&amp;"""",""[^0-9]"",""""),9))"),"778584583")</f>
        <v>778584583</v>
      </c>
      <c r="B5295" s="52">
        <v>7.78584583E8</v>
      </c>
      <c r="C5295" s="28" t="s">
        <v>5247</v>
      </c>
      <c r="D5295" s="26" t="s">
        <v>56</v>
      </c>
      <c r="E5295" s="31">
        <v>46237.0</v>
      </c>
      <c r="F5295" s="26" t="s">
        <v>46</v>
      </c>
      <c r="G5295" s="26">
        <v>7.0</v>
      </c>
      <c r="I5295" s="26" t="s">
        <v>863</v>
      </c>
      <c r="J5295" s="25" t="str">
        <f t="shared" si="58"/>
        <v>No</v>
      </c>
      <c r="K5295" s="25" t="str">
        <f t="shared" si="59"/>
        <v/>
      </c>
      <c r="L5295" s="25" t="str">
        <f t="shared" si="60"/>
        <v/>
      </c>
      <c r="M5295" s="25"/>
      <c r="O5295" s="25"/>
    </row>
    <row r="5296" ht="15.75" customHeight="1">
      <c r="A5296" s="25" t="str">
        <f>IFERROR(__xludf.DUMMYFUNCTION("IF(B5296="""","""",RIGHT(REGEXREPLACE(B5296&amp;"""",""[^0-9]"",""""),9))"),"701339503")</f>
        <v>701339503</v>
      </c>
      <c r="B5296" s="52">
        <v>7.01339503E8</v>
      </c>
      <c r="C5296" s="28" t="s">
        <v>2523</v>
      </c>
      <c r="D5296" s="26" t="s">
        <v>49</v>
      </c>
      <c r="E5296" s="31">
        <v>46237.0</v>
      </c>
      <c r="F5296" s="26" t="s">
        <v>205</v>
      </c>
      <c r="G5296" s="26">
        <v>11.0</v>
      </c>
      <c r="I5296" s="26" t="s">
        <v>863</v>
      </c>
      <c r="J5296" s="25" t="str">
        <f t="shared" si="58"/>
        <v>Yes - see Previous F-Code</v>
      </c>
      <c r="K5296" s="25" t="str">
        <f t="shared" si="59"/>
        <v/>
      </c>
      <c r="L5296" s="25" t="str">
        <f t="shared" si="60"/>
        <v>F72215</v>
      </c>
      <c r="M5296" s="25"/>
      <c r="O5296" s="25"/>
    </row>
    <row r="5297" ht="15.75" customHeight="1">
      <c r="A5297" s="25" t="str">
        <f>IFERROR(__xludf.DUMMYFUNCTION("IF(B5297="""","""",RIGHT(REGEXREPLACE(B5297&amp;"""",""[^0-9]"",""""),9))"),"713332253")</f>
        <v>713332253</v>
      </c>
      <c r="B5297" s="52">
        <v>7.13332253E8</v>
      </c>
      <c r="C5297" s="28" t="s">
        <v>5248</v>
      </c>
      <c r="D5297" s="26" t="s">
        <v>56</v>
      </c>
      <c r="E5297" s="31">
        <v>46237.0</v>
      </c>
      <c r="F5297" s="26" t="s">
        <v>46</v>
      </c>
      <c r="G5297" s="26">
        <v>7.0</v>
      </c>
      <c r="I5297" s="26" t="s">
        <v>863</v>
      </c>
      <c r="J5297" s="25" t="str">
        <f t="shared" si="58"/>
        <v>No</v>
      </c>
      <c r="K5297" s="25" t="str">
        <f t="shared" si="59"/>
        <v/>
      </c>
      <c r="L5297" s="25" t="str">
        <f t="shared" si="60"/>
        <v/>
      </c>
      <c r="M5297" s="25"/>
      <c r="O5297" s="25"/>
    </row>
    <row r="5298" ht="15.75" customHeight="1">
      <c r="A5298" s="25" t="str">
        <f>IFERROR(__xludf.DUMMYFUNCTION("IF(B5298="""","""",RIGHT(REGEXREPLACE(B5298&amp;"""",""[^0-9]"",""""),9))"),"719409595")</f>
        <v>719409595</v>
      </c>
      <c r="B5298" s="52">
        <v>7.19409595E8</v>
      </c>
      <c r="C5298" s="28" t="s">
        <v>5249</v>
      </c>
      <c r="D5298" s="26" t="s">
        <v>82</v>
      </c>
      <c r="E5298" s="31">
        <v>46237.0</v>
      </c>
      <c r="F5298" s="26" t="s">
        <v>164</v>
      </c>
      <c r="I5298" s="26" t="s">
        <v>863</v>
      </c>
      <c r="J5298" s="25" t="str">
        <f t="shared" si="58"/>
        <v>No</v>
      </c>
      <c r="K5298" s="25" t="str">
        <f t="shared" si="59"/>
        <v/>
      </c>
      <c r="L5298" s="25" t="str">
        <f t="shared" si="60"/>
        <v/>
      </c>
      <c r="M5298" s="25"/>
      <c r="O5298" s="25"/>
    </row>
    <row r="5299" ht="15.75" customHeight="1">
      <c r="A5299" s="25" t="str">
        <f>IFERROR(__xludf.DUMMYFUNCTION("IF(B5299="""","""",RIGHT(REGEXREPLACE(B5299&amp;"""",""[^0-9]"",""""),9))"),"707898792")</f>
        <v>707898792</v>
      </c>
      <c r="B5299" s="52">
        <v>7.07898792E8</v>
      </c>
      <c r="C5299" s="28" t="s">
        <v>5250</v>
      </c>
      <c r="D5299" s="26" t="s">
        <v>56</v>
      </c>
      <c r="E5299" s="31">
        <v>46237.0</v>
      </c>
      <c r="F5299" s="26" t="s">
        <v>46</v>
      </c>
      <c r="G5299" s="26">
        <v>9.0</v>
      </c>
      <c r="I5299" s="26" t="s">
        <v>863</v>
      </c>
      <c r="J5299" s="25" t="str">
        <f t="shared" si="58"/>
        <v>No</v>
      </c>
      <c r="K5299" s="25" t="str">
        <f t="shared" si="59"/>
        <v/>
      </c>
      <c r="L5299" s="25" t="str">
        <f t="shared" si="60"/>
        <v/>
      </c>
      <c r="M5299" s="25"/>
      <c r="O5299" s="25"/>
    </row>
    <row r="5300" ht="15.75" customHeight="1">
      <c r="A5300" s="25" t="str">
        <f>IFERROR(__xludf.DUMMYFUNCTION("IF(B5300="""","""",RIGHT(REGEXREPLACE(B5300&amp;"""",""[^0-9]"",""""),9))"),"776798627")</f>
        <v>776798627</v>
      </c>
      <c r="B5300" s="52">
        <v>7.76798627E8</v>
      </c>
      <c r="C5300" s="28" t="s">
        <v>5251</v>
      </c>
      <c r="D5300" s="26" t="s">
        <v>56</v>
      </c>
      <c r="E5300" s="31">
        <v>46237.0</v>
      </c>
      <c r="F5300" s="26" t="s">
        <v>46</v>
      </c>
      <c r="G5300" s="26">
        <v>8.0</v>
      </c>
      <c r="H5300" s="26" t="s">
        <v>5252</v>
      </c>
      <c r="I5300" s="26" t="s">
        <v>863</v>
      </c>
      <c r="J5300" s="25" t="str">
        <f t="shared" si="58"/>
        <v>No</v>
      </c>
      <c r="K5300" s="25" t="str">
        <f t="shared" si="59"/>
        <v/>
      </c>
      <c r="L5300" s="25" t="str">
        <f t="shared" si="60"/>
        <v/>
      </c>
      <c r="M5300" s="25"/>
      <c r="O5300" s="25"/>
    </row>
    <row r="5301" ht="15.75" customHeight="1">
      <c r="A5301" s="25" t="str">
        <f>IFERROR(__xludf.DUMMYFUNCTION("IF(B5301="""","""",RIGHT(REGEXREPLACE(B5301&amp;"""",""[^0-9]"",""""),9))"),"778751102")</f>
        <v>778751102</v>
      </c>
      <c r="B5301" s="52">
        <v>7.78751102E8</v>
      </c>
      <c r="C5301" s="28" t="s">
        <v>5253</v>
      </c>
      <c r="D5301" s="26" t="s">
        <v>49</v>
      </c>
      <c r="E5301" s="31">
        <v>46237.0</v>
      </c>
      <c r="F5301" s="26" t="s">
        <v>205</v>
      </c>
      <c r="I5301" s="26" t="s">
        <v>863</v>
      </c>
      <c r="J5301" s="25" t="str">
        <f t="shared" si="58"/>
        <v>No</v>
      </c>
      <c r="K5301" s="25" t="str">
        <f t="shared" si="59"/>
        <v/>
      </c>
      <c r="L5301" s="25" t="str">
        <f t="shared" si="60"/>
        <v/>
      </c>
      <c r="M5301" s="25"/>
      <c r="O5301" s="25"/>
    </row>
    <row r="5302" ht="15.75" customHeight="1">
      <c r="A5302" s="25" t="str">
        <f>IFERROR(__xludf.DUMMYFUNCTION("IF(B5302="""","""",RIGHT(REGEXREPLACE(B5302&amp;"""",""[^0-9]"",""""),9))"),"741657252")</f>
        <v>741657252</v>
      </c>
      <c r="B5302" s="52">
        <v>7.41657252E8</v>
      </c>
      <c r="C5302" s="28" t="s">
        <v>5254</v>
      </c>
      <c r="D5302" s="26" t="s">
        <v>56</v>
      </c>
      <c r="E5302" s="31">
        <v>46237.0</v>
      </c>
      <c r="F5302" s="26" t="s">
        <v>659</v>
      </c>
      <c r="G5302" s="26">
        <v>10.0</v>
      </c>
      <c r="I5302" s="26" t="s">
        <v>863</v>
      </c>
      <c r="J5302" s="25" t="str">
        <f t="shared" si="58"/>
        <v>No</v>
      </c>
      <c r="K5302" s="25" t="str">
        <f t="shared" si="59"/>
        <v/>
      </c>
      <c r="L5302" s="25" t="str">
        <f t="shared" si="60"/>
        <v/>
      </c>
      <c r="M5302" s="25"/>
      <c r="O5302" s="25"/>
    </row>
    <row r="5303" ht="15.75" customHeight="1">
      <c r="A5303" s="25" t="str">
        <f>IFERROR(__xludf.DUMMYFUNCTION("IF(B5303="""","""",RIGHT(REGEXREPLACE(B5303&amp;"""",""[^0-9]"",""""),9))"),"715282755")</f>
        <v>715282755</v>
      </c>
      <c r="B5303" s="52">
        <v>7.15282755E8</v>
      </c>
      <c r="C5303" s="28" t="s">
        <v>5255</v>
      </c>
      <c r="D5303" s="26" t="s">
        <v>45</v>
      </c>
      <c r="E5303" s="31">
        <v>46237.0</v>
      </c>
      <c r="F5303" s="26" t="s">
        <v>46</v>
      </c>
      <c r="G5303" s="26">
        <v>9.0</v>
      </c>
      <c r="I5303" s="26" t="s">
        <v>863</v>
      </c>
      <c r="J5303" s="25" t="str">
        <f t="shared" si="58"/>
        <v>No</v>
      </c>
      <c r="K5303" s="25" t="str">
        <f t="shared" si="59"/>
        <v/>
      </c>
      <c r="L5303" s="25" t="str">
        <f t="shared" si="60"/>
        <v/>
      </c>
      <c r="M5303" s="25"/>
      <c r="O5303" s="26" t="s">
        <v>51</v>
      </c>
    </row>
    <row r="5304" ht="15.75" customHeight="1">
      <c r="A5304" s="25" t="str">
        <f>IFERROR(__xludf.DUMMYFUNCTION("IF(B5304="""","""",RIGHT(REGEXREPLACE(B5304&amp;"""",""[^0-9]"",""""),9))"),"764317935")</f>
        <v>764317935</v>
      </c>
      <c r="B5304" s="52">
        <v>7.64317935E8</v>
      </c>
      <c r="C5304" s="28" t="s">
        <v>5256</v>
      </c>
      <c r="D5304" s="26" t="s">
        <v>49</v>
      </c>
      <c r="E5304" s="31">
        <v>46237.0</v>
      </c>
      <c r="F5304" s="26" t="s">
        <v>46</v>
      </c>
      <c r="G5304" s="26">
        <v>9.0</v>
      </c>
      <c r="I5304" s="26" t="s">
        <v>863</v>
      </c>
      <c r="J5304" s="25" t="str">
        <f t="shared" si="58"/>
        <v>No</v>
      </c>
      <c r="K5304" s="25" t="str">
        <f t="shared" si="59"/>
        <v/>
      </c>
      <c r="L5304" s="25" t="str">
        <f t="shared" si="60"/>
        <v/>
      </c>
      <c r="M5304" s="25"/>
      <c r="O5304" s="25"/>
    </row>
    <row r="5305" ht="15.75" customHeight="1">
      <c r="A5305" s="25" t="str">
        <f>IFERROR(__xludf.DUMMYFUNCTION("IF(B5305="""","""",RIGHT(REGEXREPLACE(B5305&amp;"""",""[^0-9]"",""""),9))"),"706948590")</f>
        <v>706948590</v>
      </c>
      <c r="B5305" s="52">
        <v>7.0694859E8</v>
      </c>
      <c r="C5305" s="28" t="s">
        <v>5257</v>
      </c>
      <c r="D5305" s="26" t="s">
        <v>56</v>
      </c>
      <c r="E5305" s="31">
        <v>46237.0</v>
      </c>
      <c r="F5305" s="26" t="s">
        <v>46</v>
      </c>
      <c r="H5305" s="26" t="s">
        <v>140</v>
      </c>
      <c r="I5305" s="26" t="s">
        <v>863</v>
      </c>
      <c r="J5305" s="25" t="str">
        <f t="shared" si="58"/>
        <v>No</v>
      </c>
      <c r="K5305" s="25" t="str">
        <f t="shared" si="59"/>
        <v/>
      </c>
      <c r="L5305" s="25" t="str">
        <f t="shared" si="60"/>
        <v/>
      </c>
      <c r="M5305" s="25"/>
      <c r="O5305" s="25"/>
    </row>
    <row r="5306" ht="15.75" customHeight="1">
      <c r="A5306" s="25" t="str">
        <f>IFERROR(__xludf.DUMMYFUNCTION("IF(B5306="""","""",RIGHT(REGEXREPLACE(B5306&amp;"""",""[^0-9]"",""""),9))"),"707773564")</f>
        <v>707773564</v>
      </c>
      <c r="B5306" s="52">
        <v>7.07773564E8</v>
      </c>
      <c r="C5306" s="28" t="s">
        <v>5258</v>
      </c>
      <c r="D5306" s="26" t="s">
        <v>45</v>
      </c>
      <c r="E5306" s="31">
        <v>46237.0</v>
      </c>
      <c r="F5306" s="26" t="s">
        <v>659</v>
      </c>
      <c r="G5306" s="26">
        <v>9.0</v>
      </c>
      <c r="I5306" s="26" t="s">
        <v>863</v>
      </c>
      <c r="J5306" s="25" t="str">
        <f t="shared" si="58"/>
        <v>No</v>
      </c>
      <c r="K5306" s="25" t="str">
        <f t="shared" si="59"/>
        <v/>
      </c>
      <c r="L5306" s="25" t="str">
        <f t="shared" si="60"/>
        <v/>
      </c>
      <c r="M5306" s="25"/>
      <c r="O5306" s="25"/>
    </row>
    <row r="5307" ht="15.75" customHeight="1">
      <c r="A5307" s="25" t="str">
        <f>IFERROR(__xludf.DUMMYFUNCTION("IF(B5307="""","""",RIGHT(REGEXREPLACE(B5307&amp;"""",""[^0-9]"",""""),9))"),"773702083")</f>
        <v>773702083</v>
      </c>
      <c r="B5307" s="52">
        <v>7.73702083E8</v>
      </c>
      <c r="C5307" s="28" t="s">
        <v>5259</v>
      </c>
      <c r="D5307" s="26" t="s">
        <v>49</v>
      </c>
      <c r="E5307" s="31">
        <v>46237.0</v>
      </c>
      <c r="F5307" s="26" t="s">
        <v>46</v>
      </c>
      <c r="G5307" s="26">
        <v>9.0</v>
      </c>
      <c r="H5307" s="118" t="s">
        <v>5260</v>
      </c>
      <c r="I5307" s="26" t="s">
        <v>863</v>
      </c>
      <c r="J5307" s="25" t="str">
        <f t="shared" si="58"/>
        <v>No</v>
      </c>
      <c r="K5307" s="25" t="str">
        <f t="shared" si="59"/>
        <v/>
      </c>
      <c r="L5307" s="25" t="str">
        <f t="shared" si="60"/>
        <v/>
      </c>
      <c r="M5307" s="25"/>
      <c r="O5307" s="25"/>
    </row>
    <row r="5308" ht="15.75" customHeight="1">
      <c r="A5308" s="25" t="str">
        <f>IFERROR(__xludf.DUMMYFUNCTION("IF(B5308="""","""",RIGHT(REGEXREPLACE(B5308&amp;"""",""[^0-9]"",""""),9))"),"715349512")</f>
        <v>715349512</v>
      </c>
      <c r="B5308" s="52">
        <v>7.15349512E8</v>
      </c>
      <c r="C5308" s="28" t="s">
        <v>5261</v>
      </c>
      <c r="D5308" s="26" t="s">
        <v>56</v>
      </c>
      <c r="E5308" s="31">
        <v>46237.0</v>
      </c>
      <c r="F5308" s="26" t="s">
        <v>41</v>
      </c>
      <c r="G5308" s="26">
        <v>9.0</v>
      </c>
      <c r="I5308" s="26" t="s">
        <v>863</v>
      </c>
      <c r="J5308" s="25" t="str">
        <f t="shared" si="58"/>
        <v>No</v>
      </c>
      <c r="K5308" s="25" t="str">
        <f t="shared" si="59"/>
        <v/>
      </c>
      <c r="L5308" s="25" t="str">
        <f t="shared" si="60"/>
        <v/>
      </c>
      <c r="M5308" s="25"/>
      <c r="O5308" s="25"/>
    </row>
    <row r="5309" ht="15.75" customHeight="1">
      <c r="A5309" s="25" t="str">
        <f>IFERROR(__xludf.DUMMYFUNCTION("IF(B5309="""","""",RIGHT(REGEXREPLACE(B5309&amp;"""",""[^0-9]"",""""),9))"),"712330650")</f>
        <v>712330650</v>
      </c>
      <c r="B5309" s="52">
        <v>7.1233065E8</v>
      </c>
      <c r="C5309" s="28" t="s">
        <v>5262</v>
      </c>
      <c r="D5309" s="26" t="s">
        <v>45</v>
      </c>
      <c r="E5309" s="31">
        <v>46237.0</v>
      </c>
      <c r="F5309" s="26" t="s">
        <v>164</v>
      </c>
      <c r="G5309" s="26">
        <v>7.0</v>
      </c>
      <c r="I5309" s="26" t="s">
        <v>863</v>
      </c>
      <c r="J5309" s="25" t="str">
        <f t="shared" si="58"/>
        <v>No</v>
      </c>
      <c r="K5309" s="25" t="str">
        <f t="shared" si="59"/>
        <v/>
      </c>
      <c r="L5309" s="25" t="str">
        <f t="shared" si="60"/>
        <v/>
      </c>
      <c r="M5309" s="25"/>
      <c r="O5309" s="26" t="s">
        <v>51</v>
      </c>
    </row>
    <row r="5310" ht="15.75" customHeight="1">
      <c r="A5310" s="25" t="str">
        <f>IFERROR(__xludf.DUMMYFUNCTION("IF(B5310="""","""",RIGHT(REGEXREPLACE(B5310&amp;"""",""[^0-9]"",""""),9))"),"715145667")</f>
        <v>715145667</v>
      </c>
      <c r="B5310" s="52">
        <v>7.15145667E8</v>
      </c>
      <c r="C5310" s="28" t="s">
        <v>4148</v>
      </c>
      <c r="D5310" s="26" t="s">
        <v>56</v>
      </c>
      <c r="E5310" s="31">
        <v>46237.0</v>
      </c>
      <c r="F5310" s="26" t="s">
        <v>46</v>
      </c>
      <c r="G5310" s="26">
        <v>9.0</v>
      </c>
      <c r="I5310" s="26" t="s">
        <v>863</v>
      </c>
      <c r="J5310" s="25" t="str">
        <f t="shared" si="58"/>
        <v>No</v>
      </c>
      <c r="K5310" s="25" t="str">
        <f t="shared" si="59"/>
        <v/>
      </c>
      <c r="L5310" s="25" t="str">
        <f t="shared" si="60"/>
        <v/>
      </c>
      <c r="M5310" s="25"/>
      <c r="O5310" s="26" t="s">
        <v>51</v>
      </c>
    </row>
    <row r="5311" ht="15.75" customHeight="1">
      <c r="A5311" s="25" t="str">
        <f>IFERROR(__xludf.DUMMYFUNCTION("IF(B5311="""","""",RIGHT(REGEXREPLACE(B5311&amp;"""",""[^0-9]"",""""),9))"),"768134190")</f>
        <v>768134190</v>
      </c>
      <c r="B5311" s="52">
        <v>7.6813419E8</v>
      </c>
      <c r="C5311" s="28" t="s">
        <v>5263</v>
      </c>
      <c r="D5311" s="26" t="s">
        <v>49</v>
      </c>
      <c r="E5311" s="31">
        <v>46237.0</v>
      </c>
      <c r="F5311" s="26" t="s">
        <v>659</v>
      </c>
      <c r="I5311" s="26" t="s">
        <v>863</v>
      </c>
      <c r="J5311" s="25" t="str">
        <f t="shared" si="58"/>
        <v>No</v>
      </c>
      <c r="K5311" s="25" t="str">
        <f t="shared" si="59"/>
        <v/>
      </c>
      <c r="L5311" s="25" t="str">
        <f t="shared" si="60"/>
        <v/>
      </c>
      <c r="M5311" s="25"/>
      <c r="O5311" s="25"/>
    </row>
    <row r="5312" ht="15.75" customHeight="1">
      <c r="A5312" s="25" t="str">
        <f>IFERROR(__xludf.DUMMYFUNCTION("IF(B5312="""","""",RIGHT(REGEXREPLACE(B5312&amp;"""",""[^0-9]"",""""),9))"),"717633089")</f>
        <v>717633089</v>
      </c>
      <c r="B5312" s="52">
        <v>7.17633089E8</v>
      </c>
      <c r="C5312" s="28" t="s">
        <v>5264</v>
      </c>
      <c r="D5312" s="26" t="s">
        <v>45</v>
      </c>
      <c r="E5312" s="31">
        <v>46237.0</v>
      </c>
      <c r="F5312" s="26" t="s">
        <v>41</v>
      </c>
      <c r="G5312" s="26">
        <v>9.0</v>
      </c>
      <c r="I5312" s="26" t="s">
        <v>863</v>
      </c>
      <c r="J5312" s="25" t="str">
        <f t="shared" si="58"/>
        <v>No</v>
      </c>
      <c r="K5312" s="25" t="str">
        <f t="shared" si="59"/>
        <v/>
      </c>
      <c r="L5312" s="25" t="str">
        <f t="shared" si="60"/>
        <v/>
      </c>
      <c r="M5312" s="25"/>
      <c r="O5312" s="25"/>
    </row>
    <row r="5313" ht="15.75" customHeight="1">
      <c r="A5313" s="25" t="str">
        <f>IFERROR(__xludf.DUMMYFUNCTION("IF(B5313="""","""",RIGHT(REGEXREPLACE(B5313&amp;"""",""[^0-9]"",""""),9))"),"769163148")</f>
        <v>769163148</v>
      </c>
      <c r="B5313" s="52">
        <v>7.69163148E8</v>
      </c>
      <c r="C5313" s="28" t="s">
        <v>5265</v>
      </c>
      <c r="D5313" s="26" t="s">
        <v>49</v>
      </c>
      <c r="E5313" s="31">
        <v>46237.0</v>
      </c>
      <c r="F5313" s="26" t="s">
        <v>41</v>
      </c>
      <c r="G5313" s="26">
        <v>9.0</v>
      </c>
      <c r="I5313" s="26" t="s">
        <v>863</v>
      </c>
      <c r="J5313" s="25" t="str">
        <f t="shared" si="58"/>
        <v>No</v>
      </c>
      <c r="K5313" s="25" t="str">
        <f t="shared" si="59"/>
        <v/>
      </c>
      <c r="L5313" s="25" t="str">
        <f t="shared" si="60"/>
        <v/>
      </c>
      <c r="M5313" s="25"/>
      <c r="O5313" s="26" t="s">
        <v>51</v>
      </c>
    </row>
    <row r="5314" ht="15.75" customHeight="1">
      <c r="A5314" s="25" t="str">
        <f>IFERROR(__xludf.DUMMYFUNCTION("IF(B5314="""","""",RIGHT(REGEXREPLACE(B5314&amp;"""",""[^0-9]"",""""),9))"),"768087557")</f>
        <v>768087557</v>
      </c>
      <c r="B5314" s="52">
        <v>7.68087557E8</v>
      </c>
      <c r="C5314" s="28" t="s">
        <v>5266</v>
      </c>
      <c r="D5314" s="26" t="s">
        <v>45</v>
      </c>
      <c r="E5314" s="31">
        <v>46237.0</v>
      </c>
      <c r="F5314" s="26" t="s">
        <v>46</v>
      </c>
      <c r="G5314" s="26">
        <v>9.0</v>
      </c>
      <c r="H5314" s="26" t="s">
        <v>720</v>
      </c>
      <c r="I5314" s="26" t="s">
        <v>863</v>
      </c>
      <c r="J5314" s="25" t="str">
        <f t="shared" si="58"/>
        <v>No</v>
      </c>
      <c r="K5314" s="25" t="str">
        <f t="shared" si="59"/>
        <v/>
      </c>
      <c r="L5314" s="25" t="str">
        <f t="shared" si="60"/>
        <v/>
      </c>
      <c r="M5314" s="25"/>
      <c r="O5314" s="25"/>
    </row>
    <row r="5315" ht="15.75" customHeight="1">
      <c r="A5315" s="25" t="str">
        <f>IFERROR(__xludf.DUMMYFUNCTION("IF(B5315="""","""",RIGHT(REGEXREPLACE(B5315&amp;"""",""[^0-9]"",""""),9))"),"742170084")</f>
        <v>742170084</v>
      </c>
      <c r="B5315" s="52">
        <v>7.42170084E8</v>
      </c>
      <c r="C5315" s="28" t="s">
        <v>5267</v>
      </c>
      <c r="D5315" s="26" t="s">
        <v>56</v>
      </c>
      <c r="E5315" s="31">
        <v>46237.0</v>
      </c>
      <c r="F5315" s="26" t="s">
        <v>46</v>
      </c>
      <c r="G5315" s="26">
        <v>9.0</v>
      </c>
      <c r="I5315" s="26" t="s">
        <v>863</v>
      </c>
      <c r="J5315" s="25" t="str">
        <f t="shared" si="58"/>
        <v>No</v>
      </c>
      <c r="K5315" s="25" t="str">
        <f t="shared" si="59"/>
        <v/>
      </c>
      <c r="L5315" s="25" t="str">
        <f t="shared" si="60"/>
        <v/>
      </c>
      <c r="M5315" s="25"/>
      <c r="O5315" s="25"/>
    </row>
    <row r="5316" ht="15.75" customHeight="1">
      <c r="A5316" s="25" t="str">
        <f>IFERROR(__xludf.DUMMYFUNCTION("IF(B5316="""","""",RIGHT(REGEXREPLACE(B5316&amp;"""",""[^0-9]"",""""),9))"),"705617496")</f>
        <v>705617496</v>
      </c>
      <c r="B5316" s="52">
        <v>7.05617496E8</v>
      </c>
      <c r="C5316" s="28" t="s">
        <v>5268</v>
      </c>
      <c r="D5316" s="26" t="s">
        <v>49</v>
      </c>
      <c r="E5316" s="31">
        <v>46237.0</v>
      </c>
      <c r="F5316" s="26" t="s">
        <v>205</v>
      </c>
      <c r="I5316" s="26" t="s">
        <v>863</v>
      </c>
      <c r="J5316" s="25" t="str">
        <f t="shared" si="58"/>
        <v>No</v>
      </c>
      <c r="K5316" s="25" t="str">
        <f t="shared" si="59"/>
        <v/>
      </c>
      <c r="L5316" s="25" t="str">
        <f t="shared" si="60"/>
        <v/>
      </c>
      <c r="M5316" s="25"/>
      <c r="O5316" s="25"/>
    </row>
    <row r="5317" ht="15.75" customHeight="1">
      <c r="A5317" s="25" t="str">
        <f>IFERROR(__xludf.DUMMYFUNCTION("IF(B5317="""","""",RIGHT(REGEXREPLACE(B5317&amp;"""",""[^0-9]"",""""),9))"),"767808416")</f>
        <v>767808416</v>
      </c>
      <c r="B5317" s="52">
        <v>7.67808416E8</v>
      </c>
      <c r="C5317" s="28" t="s">
        <v>2738</v>
      </c>
      <c r="D5317" s="26" t="s">
        <v>49</v>
      </c>
      <c r="E5317" s="31">
        <v>46237.0</v>
      </c>
      <c r="F5317" s="26" t="s">
        <v>205</v>
      </c>
      <c r="I5317" s="26" t="s">
        <v>863</v>
      </c>
      <c r="J5317" s="25" t="str">
        <f t="shared" si="58"/>
        <v>Yes - see Previous F-Code</v>
      </c>
      <c r="K5317" s="25" t="str">
        <f t="shared" si="59"/>
        <v/>
      </c>
      <c r="L5317" s="25" t="str">
        <f t="shared" si="60"/>
        <v>F72424</v>
      </c>
      <c r="M5317" s="25"/>
      <c r="O5317" s="25"/>
    </row>
    <row r="5318" ht="15.75" customHeight="1">
      <c r="A5318" s="25" t="str">
        <f>IFERROR(__xludf.DUMMYFUNCTION("IF(B5318="""","""",RIGHT(REGEXREPLACE(B5318&amp;"""",""[^0-9]"",""""),9))"),"762045136")</f>
        <v>762045136</v>
      </c>
      <c r="B5318" s="52">
        <v>7.62045136E8</v>
      </c>
      <c r="C5318" s="28" t="s">
        <v>5269</v>
      </c>
      <c r="D5318" s="26" t="s">
        <v>56</v>
      </c>
      <c r="E5318" s="31">
        <v>46237.0</v>
      </c>
      <c r="F5318" s="26" t="s">
        <v>41</v>
      </c>
      <c r="I5318" s="26" t="s">
        <v>863</v>
      </c>
      <c r="J5318" s="25" t="str">
        <f t="shared" si="58"/>
        <v>No</v>
      </c>
      <c r="K5318" s="25" t="str">
        <f t="shared" si="59"/>
        <v/>
      </c>
      <c r="L5318" s="25" t="str">
        <f t="shared" si="60"/>
        <v/>
      </c>
      <c r="M5318" s="25"/>
      <c r="O5318" s="25"/>
    </row>
    <row r="5319" ht="15.75" customHeight="1">
      <c r="A5319" s="25" t="str">
        <f>IFERROR(__xludf.DUMMYFUNCTION("IF(B5319="""","""",RIGHT(REGEXREPLACE(B5319&amp;"""",""[^0-9]"",""""),9))"),"779535568")</f>
        <v>779535568</v>
      </c>
      <c r="B5319" s="52">
        <v>7.79535568E8</v>
      </c>
      <c r="C5319" s="28" t="s">
        <v>478</v>
      </c>
      <c r="D5319" s="26" t="s">
        <v>49</v>
      </c>
      <c r="E5319" s="31">
        <v>46237.0</v>
      </c>
      <c r="F5319" s="26" t="s">
        <v>46</v>
      </c>
      <c r="G5319" s="26">
        <v>9.0</v>
      </c>
      <c r="I5319" s="26" t="s">
        <v>863</v>
      </c>
      <c r="J5319" s="25" t="str">
        <f t="shared" si="58"/>
        <v>Yes - see Previous F-Code</v>
      </c>
      <c r="K5319" s="25" t="str">
        <f t="shared" si="59"/>
        <v/>
      </c>
      <c r="L5319" s="25" t="str">
        <f t="shared" si="60"/>
        <v>F70303</v>
      </c>
      <c r="M5319" s="25"/>
      <c r="O5319" s="25"/>
    </row>
    <row r="5320" ht="15.75" customHeight="1">
      <c r="A5320" s="25" t="str">
        <f>IFERROR(__xludf.DUMMYFUNCTION("IF(B5320="""","""",RIGHT(REGEXREPLACE(B5320&amp;"""",""[^0-9]"",""""),9))"),"761655571")</f>
        <v>761655571</v>
      </c>
      <c r="B5320" s="52">
        <v>7.61655571E8</v>
      </c>
      <c r="C5320" s="28" t="s">
        <v>4125</v>
      </c>
      <c r="D5320" s="26" t="s">
        <v>45</v>
      </c>
      <c r="E5320" s="31">
        <v>46237.0</v>
      </c>
      <c r="F5320" s="26" t="s">
        <v>41</v>
      </c>
      <c r="I5320" s="26" t="s">
        <v>863</v>
      </c>
      <c r="J5320" s="25" t="str">
        <f t="shared" si="58"/>
        <v>Yes - see Previous F-Code</v>
      </c>
      <c r="K5320" s="25" t="str">
        <f t="shared" si="59"/>
        <v>DUPLICATE - CHECK</v>
      </c>
      <c r="L5320" s="25" t="str">
        <f t="shared" si="60"/>
        <v>F73763</v>
      </c>
      <c r="M5320" s="25"/>
      <c r="O5320" s="25"/>
    </row>
    <row r="5321" ht="15.75" customHeight="1">
      <c r="A5321" s="25" t="str">
        <f>IFERROR(__xludf.DUMMYFUNCTION("IF(B5321="""","""",RIGHT(REGEXREPLACE(B5321&amp;"""",""[^0-9]"",""""),9))"),"775671238")</f>
        <v>775671238</v>
      </c>
      <c r="B5321" s="52">
        <v>7.75671238E8</v>
      </c>
      <c r="C5321" s="28" t="s">
        <v>5270</v>
      </c>
      <c r="D5321" s="26" t="s">
        <v>45</v>
      </c>
      <c r="E5321" s="31">
        <v>46237.0</v>
      </c>
      <c r="F5321" s="26" t="s">
        <v>46</v>
      </c>
      <c r="G5321" s="26">
        <v>9.0</v>
      </c>
      <c r="I5321" s="26" t="s">
        <v>863</v>
      </c>
      <c r="J5321" s="25" t="str">
        <f t="shared" si="58"/>
        <v>No</v>
      </c>
      <c r="K5321" s="25" t="str">
        <f t="shared" si="59"/>
        <v/>
      </c>
      <c r="L5321" s="25" t="str">
        <f t="shared" si="60"/>
        <v/>
      </c>
      <c r="M5321" s="25"/>
      <c r="O5321" s="25"/>
    </row>
    <row r="5322" ht="15.75" customHeight="1">
      <c r="A5322" s="25" t="str">
        <f>IFERROR(__xludf.DUMMYFUNCTION("IF(B5322="""","""",RIGHT(REGEXREPLACE(B5322&amp;"""",""[^0-9]"",""""),9))"),"775598195")</f>
        <v>775598195</v>
      </c>
      <c r="B5322" s="52">
        <v>7.75598195E8</v>
      </c>
      <c r="C5322" s="28" t="s">
        <v>5271</v>
      </c>
      <c r="D5322" s="26" t="s">
        <v>56</v>
      </c>
      <c r="E5322" s="31">
        <v>46237.0</v>
      </c>
      <c r="F5322" s="26" t="s">
        <v>46</v>
      </c>
      <c r="G5322" s="26">
        <v>10.0</v>
      </c>
      <c r="I5322" s="26" t="s">
        <v>863</v>
      </c>
      <c r="J5322" s="25" t="str">
        <f t="shared" si="58"/>
        <v>No</v>
      </c>
      <c r="K5322" s="25" t="str">
        <f t="shared" si="59"/>
        <v/>
      </c>
      <c r="L5322" s="25" t="str">
        <f t="shared" si="60"/>
        <v/>
      </c>
      <c r="M5322" s="25"/>
      <c r="O5322" s="25"/>
    </row>
    <row r="5323" ht="15.75" customHeight="1">
      <c r="A5323" s="25" t="str">
        <f>IFERROR(__xludf.DUMMYFUNCTION("IF(B5323="""","""",RIGHT(REGEXREPLACE(B5323&amp;"""",""[^0-9]"",""""),9))"),"768384219")</f>
        <v>768384219</v>
      </c>
      <c r="B5323" s="52">
        <v>7.68384219E8</v>
      </c>
      <c r="C5323" s="28" t="s">
        <v>5272</v>
      </c>
      <c r="D5323" s="26" t="s">
        <v>49</v>
      </c>
      <c r="E5323" s="31">
        <v>46237.0</v>
      </c>
      <c r="F5323" s="26" t="s">
        <v>46</v>
      </c>
      <c r="G5323" s="26">
        <v>9.0</v>
      </c>
      <c r="H5323" s="118" t="s">
        <v>5273</v>
      </c>
      <c r="I5323" s="26" t="s">
        <v>863</v>
      </c>
      <c r="J5323" s="25" t="str">
        <f t="shared" si="58"/>
        <v>No</v>
      </c>
      <c r="K5323" s="25" t="str">
        <f t="shared" si="59"/>
        <v/>
      </c>
      <c r="L5323" s="25" t="str">
        <f t="shared" si="60"/>
        <v/>
      </c>
      <c r="M5323" s="25"/>
      <c r="O5323" s="25"/>
    </row>
    <row r="5324" ht="15.75" customHeight="1">
      <c r="A5324" s="25" t="str">
        <f>IFERROR(__xludf.DUMMYFUNCTION("IF(B5324="""","""",RIGHT(REGEXREPLACE(B5324&amp;"""",""[^0-9]"",""""),9))"),"760299608")</f>
        <v>760299608</v>
      </c>
      <c r="B5324" s="52">
        <v>7.60299608E8</v>
      </c>
      <c r="C5324" s="28" t="s">
        <v>5274</v>
      </c>
      <c r="D5324" s="26" t="s">
        <v>45</v>
      </c>
      <c r="E5324" s="31">
        <v>46237.0</v>
      </c>
      <c r="F5324" s="26" t="s">
        <v>46</v>
      </c>
      <c r="G5324" s="26">
        <v>9.0</v>
      </c>
      <c r="I5324" s="26" t="s">
        <v>863</v>
      </c>
      <c r="J5324" s="25" t="str">
        <f t="shared" si="58"/>
        <v>No</v>
      </c>
      <c r="K5324" s="25" t="str">
        <f t="shared" si="59"/>
        <v/>
      </c>
      <c r="L5324" s="25" t="str">
        <f t="shared" si="60"/>
        <v/>
      </c>
      <c r="M5324" s="25"/>
      <c r="O5324" s="25"/>
    </row>
    <row r="5325" ht="15.75" customHeight="1">
      <c r="A5325" s="25" t="str">
        <f>IFERROR(__xludf.DUMMYFUNCTION("IF(B5325="""","""",RIGHT(REGEXREPLACE(B5325&amp;"""",""[^0-9]"",""""),9))"),"774900957")</f>
        <v>774900957</v>
      </c>
      <c r="B5325" s="52">
        <v>7.74900957E8</v>
      </c>
      <c r="C5325" s="28" t="s">
        <v>5275</v>
      </c>
      <c r="D5325" s="26" t="s">
        <v>56</v>
      </c>
      <c r="E5325" s="31">
        <v>46237.0</v>
      </c>
      <c r="F5325" s="26" t="s">
        <v>631</v>
      </c>
      <c r="G5325" s="26">
        <v>9.0</v>
      </c>
      <c r="I5325" s="26" t="s">
        <v>863</v>
      </c>
      <c r="J5325" s="25" t="str">
        <f t="shared" si="58"/>
        <v>No</v>
      </c>
      <c r="K5325" s="25" t="str">
        <f t="shared" si="59"/>
        <v/>
      </c>
      <c r="L5325" s="25" t="str">
        <f t="shared" si="60"/>
        <v/>
      </c>
      <c r="M5325" s="25"/>
      <c r="O5325" s="25"/>
    </row>
    <row r="5326" ht="15.75" customHeight="1">
      <c r="A5326" s="25" t="str">
        <f>IFERROR(__xludf.DUMMYFUNCTION("IF(B5326="""","""",RIGHT(REGEXREPLACE(B5326&amp;"""",""[^0-9]"",""""),9))"),"773525951")</f>
        <v>773525951</v>
      </c>
      <c r="B5326" s="52">
        <v>7.73525951E8</v>
      </c>
      <c r="C5326" s="28" t="s">
        <v>5276</v>
      </c>
      <c r="D5326" s="26" t="s">
        <v>49</v>
      </c>
      <c r="E5326" s="31">
        <v>46237.0</v>
      </c>
      <c r="F5326" s="26" t="s">
        <v>46</v>
      </c>
      <c r="G5326" s="26">
        <v>9.0</v>
      </c>
      <c r="H5326" s="117" t="s">
        <v>5277</v>
      </c>
      <c r="I5326" s="26" t="s">
        <v>863</v>
      </c>
      <c r="J5326" s="25" t="str">
        <f t="shared" si="58"/>
        <v>No</v>
      </c>
      <c r="K5326" s="25" t="str">
        <f t="shared" si="59"/>
        <v/>
      </c>
      <c r="L5326" s="25" t="str">
        <f t="shared" si="60"/>
        <v/>
      </c>
      <c r="M5326" s="25"/>
      <c r="O5326" s="25"/>
    </row>
    <row r="5327" ht="15.75" customHeight="1">
      <c r="A5327" s="25" t="str">
        <f>IFERROR(__xludf.DUMMYFUNCTION("IF(B5327="""","""",RIGHT(REGEXREPLACE(B5327&amp;"""",""[^0-9]"",""""),9))"),"755630445")</f>
        <v>755630445</v>
      </c>
      <c r="B5327" s="52">
        <v>7.55630445E8</v>
      </c>
      <c r="C5327" s="28" t="s">
        <v>5278</v>
      </c>
      <c r="D5327" s="26" t="s">
        <v>49</v>
      </c>
      <c r="E5327" s="31">
        <v>46237.0</v>
      </c>
      <c r="F5327" s="26" t="s">
        <v>46</v>
      </c>
      <c r="G5327" s="26">
        <v>9.0</v>
      </c>
      <c r="I5327" s="26" t="s">
        <v>863</v>
      </c>
      <c r="J5327" s="25" t="str">
        <f t="shared" si="58"/>
        <v>No</v>
      </c>
      <c r="K5327" s="25" t="str">
        <f t="shared" si="59"/>
        <v/>
      </c>
      <c r="L5327" s="25" t="str">
        <f t="shared" si="60"/>
        <v/>
      </c>
      <c r="M5327" s="25"/>
      <c r="O5327" s="25"/>
    </row>
    <row r="5328" ht="15.75" customHeight="1">
      <c r="A5328" s="25" t="str">
        <f>IFERROR(__xludf.DUMMYFUNCTION("IF(B5328="""","""",RIGHT(REGEXREPLACE(B5328&amp;"""",""[^0-9]"",""""),9))"),"777449314")</f>
        <v>777449314</v>
      </c>
      <c r="B5328" s="52">
        <v>7.77449314E8</v>
      </c>
      <c r="C5328" s="28" t="s">
        <v>5279</v>
      </c>
      <c r="D5328" s="26" t="s">
        <v>56</v>
      </c>
      <c r="E5328" s="31">
        <v>46237.0</v>
      </c>
      <c r="F5328" s="26" t="s">
        <v>46</v>
      </c>
      <c r="G5328" s="26">
        <v>9.0</v>
      </c>
      <c r="I5328" s="26" t="s">
        <v>863</v>
      </c>
      <c r="J5328" s="25" t="str">
        <f t="shared" si="58"/>
        <v>No</v>
      </c>
      <c r="K5328" s="25" t="str">
        <f t="shared" si="59"/>
        <v/>
      </c>
      <c r="L5328" s="25" t="str">
        <f t="shared" si="60"/>
        <v/>
      </c>
      <c r="M5328" s="25"/>
      <c r="O5328" s="25"/>
    </row>
    <row r="5329" ht="15.75" customHeight="1">
      <c r="A5329" s="25" t="str">
        <f>IFERROR(__xludf.DUMMYFUNCTION("IF(B5329="""","""",RIGHT(REGEXREPLACE(B5329&amp;"""",""[^0-9]"",""""),9))"),"717029101")</f>
        <v>717029101</v>
      </c>
      <c r="B5329" s="52">
        <v>7.17029101E8</v>
      </c>
      <c r="C5329" s="28" t="s">
        <v>5280</v>
      </c>
      <c r="D5329" s="26" t="s">
        <v>45</v>
      </c>
      <c r="E5329" s="31">
        <v>46237.0</v>
      </c>
      <c r="F5329" s="26" t="s">
        <v>46</v>
      </c>
      <c r="G5329" s="26">
        <v>7.0</v>
      </c>
      <c r="I5329" s="26" t="s">
        <v>863</v>
      </c>
      <c r="J5329" s="25" t="str">
        <f t="shared" si="58"/>
        <v>No</v>
      </c>
      <c r="K5329" s="25" t="str">
        <f t="shared" si="59"/>
        <v/>
      </c>
      <c r="L5329" s="25" t="str">
        <f t="shared" si="60"/>
        <v/>
      </c>
      <c r="M5329" s="25"/>
      <c r="O5329" s="25"/>
    </row>
    <row r="5330" ht="15.75" customHeight="1">
      <c r="A5330" s="25" t="str">
        <f>IFERROR(__xludf.DUMMYFUNCTION("IF(B5330="""","""",RIGHT(REGEXREPLACE(B5330&amp;"""",""[^0-9]"",""""),9))"),"717115469")</f>
        <v>717115469</v>
      </c>
      <c r="B5330" s="52">
        <v>7.17115469E8</v>
      </c>
      <c r="C5330" s="28" t="s">
        <v>5280</v>
      </c>
      <c r="D5330" s="26" t="s">
        <v>56</v>
      </c>
      <c r="E5330" s="31">
        <v>46237.0</v>
      </c>
      <c r="F5330" s="26" t="s">
        <v>41</v>
      </c>
      <c r="G5330" s="26">
        <v>7.0</v>
      </c>
      <c r="I5330" s="26" t="s">
        <v>863</v>
      </c>
      <c r="J5330" s="25" t="str">
        <f t="shared" si="58"/>
        <v>No</v>
      </c>
      <c r="K5330" s="25" t="str">
        <f t="shared" si="59"/>
        <v/>
      </c>
      <c r="L5330" s="25" t="str">
        <f t="shared" si="60"/>
        <v/>
      </c>
      <c r="M5330" s="25"/>
      <c r="O5330" s="25"/>
    </row>
    <row r="5331" ht="15.75" customHeight="1">
      <c r="A5331" s="25" t="str">
        <f>IFERROR(__xludf.DUMMYFUNCTION("IF(B5331="""","""",RIGHT(REGEXREPLACE(B5331&amp;"""",""[^0-9]"",""""),9))"),"766456191")</f>
        <v>766456191</v>
      </c>
      <c r="B5331" s="52">
        <v>7.66456191E8</v>
      </c>
      <c r="C5331" s="28" t="s">
        <v>5281</v>
      </c>
      <c r="D5331" s="25"/>
      <c r="E5331" s="31">
        <v>46237.0</v>
      </c>
      <c r="F5331" s="25"/>
      <c r="G5331" s="25"/>
      <c r="H5331" s="25"/>
      <c r="I5331" s="26" t="s">
        <v>863</v>
      </c>
      <c r="J5331" s="25" t="str">
        <f t="shared" si="58"/>
        <v>No</v>
      </c>
      <c r="K5331" s="25" t="str">
        <f t="shared" si="59"/>
        <v/>
      </c>
      <c r="L5331" s="25" t="str">
        <f t="shared" si="60"/>
        <v/>
      </c>
      <c r="M5331" s="25"/>
      <c r="N5331" s="25"/>
      <c r="O5331" s="25"/>
      <c r="P5331" s="25"/>
    </row>
    <row r="5332" ht="15.75" customHeight="1">
      <c r="A5332" s="25" t="str">
        <f>IFERROR(__xludf.DUMMYFUNCTION("IF(B5332="""","""",RIGHT(REGEXREPLACE(B5332&amp;"""",""[^0-9]"",""""),9))"),"775283128")</f>
        <v>775283128</v>
      </c>
      <c r="B5332" s="52">
        <v>7.75283128E8</v>
      </c>
      <c r="C5332" s="28" t="s">
        <v>5282</v>
      </c>
      <c r="D5332" s="26" t="s">
        <v>45</v>
      </c>
      <c r="E5332" s="31">
        <v>46237.0</v>
      </c>
      <c r="F5332" s="26" t="s">
        <v>46</v>
      </c>
      <c r="G5332" s="26">
        <v>9.0</v>
      </c>
      <c r="H5332" s="26" t="s">
        <v>5283</v>
      </c>
      <c r="I5332" s="26" t="s">
        <v>863</v>
      </c>
      <c r="J5332" s="25" t="str">
        <f t="shared" si="58"/>
        <v>No</v>
      </c>
      <c r="K5332" s="25" t="str">
        <f t="shared" si="59"/>
        <v/>
      </c>
      <c r="L5332" s="25" t="str">
        <f t="shared" si="60"/>
        <v/>
      </c>
      <c r="M5332" s="25"/>
      <c r="O5332" s="25"/>
    </row>
    <row r="5333" ht="15.75" customHeight="1">
      <c r="A5333" s="25" t="str">
        <f>IFERROR(__xludf.DUMMYFUNCTION("IF(B5333="""","""",RIGHT(REGEXREPLACE(B5333&amp;"""",""[^0-9]"",""""),9))"),"763969140")</f>
        <v>763969140</v>
      </c>
      <c r="B5333" s="52">
        <v>7.6396914E8</v>
      </c>
      <c r="C5333" s="28" t="s">
        <v>4950</v>
      </c>
      <c r="D5333" s="26" t="s">
        <v>56</v>
      </c>
      <c r="E5333" s="31">
        <v>46237.0</v>
      </c>
      <c r="F5333" s="26" t="s">
        <v>659</v>
      </c>
      <c r="G5333" s="26">
        <v>8.0</v>
      </c>
      <c r="I5333" s="26" t="s">
        <v>863</v>
      </c>
      <c r="J5333" s="25" t="str">
        <f t="shared" si="58"/>
        <v>No</v>
      </c>
      <c r="K5333" s="25" t="str">
        <f t="shared" si="59"/>
        <v/>
      </c>
      <c r="L5333" s="25" t="str">
        <f t="shared" si="60"/>
        <v/>
      </c>
      <c r="M5333" s="25"/>
      <c r="O5333" s="25"/>
    </row>
    <row r="5334" ht="15.75" customHeight="1">
      <c r="A5334" s="25" t="str">
        <f>IFERROR(__xludf.DUMMYFUNCTION("IF(B5334="""","""",RIGHT(REGEXREPLACE(B5334&amp;"""",""[^0-9]"",""""),9))"),"704865744")</f>
        <v>704865744</v>
      </c>
      <c r="B5334" s="52">
        <v>7.04865744E8</v>
      </c>
      <c r="C5334" s="28" t="s">
        <v>5284</v>
      </c>
      <c r="D5334" s="26" t="s">
        <v>49</v>
      </c>
      <c r="E5334" s="31">
        <v>46237.0</v>
      </c>
      <c r="F5334" s="26" t="s">
        <v>205</v>
      </c>
      <c r="G5334" s="26">
        <v>9.0</v>
      </c>
      <c r="I5334" s="26" t="s">
        <v>863</v>
      </c>
      <c r="J5334" s="25" t="str">
        <f t="shared" si="58"/>
        <v>No</v>
      </c>
      <c r="K5334" s="25" t="str">
        <f t="shared" si="59"/>
        <v/>
      </c>
      <c r="L5334" s="25" t="str">
        <f t="shared" si="60"/>
        <v/>
      </c>
      <c r="M5334" s="25"/>
      <c r="O5334" s="25"/>
    </row>
    <row r="5335" ht="15.75" customHeight="1">
      <c r="A5335" s="25" t="str">
        <f>IFERROR(__xludf.DUMMYFUNCTION("IF(B5335="""","""",RIGHT(REGEXREPLACE(B5335&amp;"""",""[^0-9]"",""""),9))"),"776655310")</f>
        <v>776655310</v>
      </c>
      <c r="B5335" s="52">
        <v>7.7665531E8</v>
      </c>
      <c r="C5335" s="28" t="s">
        <v>5285</v>
      </c>
      <c r="D5335" s="26" t="s">
        <v>56</v>
      </c>
      <c r="E5335" s="31">
        <v>46237.0</v>
      </c>
      <c r="F5335" s="26" t="s">
        <v>46</v>
      </c>
      <c r="G5335" s="26">
        <v>9.0</v>
      </c>
      <c r="I5335" s="26" t="s">
        <v>863</v>
      </c>
      <c r="J5335" s="25" t="str">
        <f t="shared" si="58"/>
        <v>No</v>
      </c>
      <c r="K5335" s="25" t="str">
        <f t="shared" si="59"/>
        <v/>
      </c>
      <c r="L5335" s="25" t="str">
        <f t="shared" si="60"/>
        <v/>
      </c>
      <c r="M5335" s="25"/>
      <c r="O5335" s="25"/>
    </row>
    <row r="5336" ht="15.75" customHeight="1">
      <c r="A5336" s="25" t="str">
        <f>IFERROR(__xludf.DUMMYFUNCTION("IF(B5336="""","""",RIGHT(REGEXREPLACE(B5336&amp;"""",""[^0-9]"",""""),9))"),"765841131")</f>
        <v>765841131</v>
      </c>
      <c r="B5336" s="52">
        <v>7.65841131E8</v>
      </c>
      <c r="C5336" s="28" t="s">
        <v>5286</v>
      </c>
      <c r="D5336" s="26" t="s">
        <v>45</v>
      </c>
      <c r="E5336" s="31">
        <v>46237.0</v>
      </c>
      <c r="F5336" s="26" t="s">
        <v>46</v>
      </c>
      <c r="G5336" s="26">
        <v>11.0</v>
      </c>
      <c r="I5336" s="26" t="s">
        <v>863</v>
      </c>
      <c r="J5336" s="25" t="str">
        <f t="shared" si="58"/>
        <v>No</v>
      </c>
      <c r="K5336" s="25" t="str">
        <f t="shared" si="59"/>
        <v/>
      </c>
      <c r="L5336" s="25" t="str">
        <f t="shared" si="60"/>
        <v/>
      </c>
      <c r="M5336" s="25"/>
      <c r="O5336" s="25"/>
    </row>
    <row r="5337" ht="15.75" customHeight="1">
      <c r="A5337" s="25" t="str">
        <f>IFERROR(__xludf.DUMMYFUNCTION("IF(B5337="""","""",RIGHT(REGEXREPLACE(B5337&amp;"""",""[^0-9]"",""""),9))"),"766931957")</f>
        <v>766931957</v>
      </c>
      <c r="B5337" s="52">
        <v>7.66931957E8</v>
      </c>
      <c r="C5337" s="28" t="s">
        <v>5285</v>
      </c>
      <c r="D5337" s="26" t="s">
        <v>56</v>
      </c>
      <c r="E5337" s="31">
        <v>46237.0</v>
      </c>
      <c r="F5337" s="26" t="s">
        <v>125</v>
      </c>
      <c r="G5337" s="26">
        <v>10.0</v>
      </c>
      <c r="I5337" s="26" t="s">
        <v>863</v>
      </c>
      <c r="J5337" s="25" t="str">
        <f t="shared" si="58"/>
        <v>No</v>
      </c>
      <c r="K5337" s="25" t="str">
        <f t="shared" si="59"/>
        <v/>
      </c>
      <c r="L5337" s="25" t="str">
        <f t="shared" si="60"/>
        <v/>
      </c>
      <c r="M5337" s="25"/>
      <c r="O5337" s="25"/>
    </row>
    <row r="5338" ht="15.75" customHeight="1">
      <c r="A5338" s="25" t="str">
        <f>IFERROR(__xludf.DUMMYFUNCTION("IF(B5338="""","""",RIGHT(REGEXREPLACE(B5338&amp;"""",""[^0-9]"",""""),9))"),"718332247")</f>
        <v>718332247</v>
      </c>
      <c r="B5338" s="52">
        <v>7.18332247E8</v>
      </c>
      <c r="C5338" s="28" t="s">
        <v>5287</v>
      </c>
      <c r="D5338" s="26" t="s">
        <v>49</v>
      </c>
      <c r="E5338" s="31">
        <v>46237.0</v>
      </c>
      <c r="F5338" s="26" t="s">
        <v>46</v>
      </c>
      <c r="G5338" s="26">
        <v>10.0</v>
      </c>
      <c r="I5338" s="26" t="s">
        <v>863</v>
      </c>
      <c r="J5338" s="25" t="str">
        <f t="shared" si="58"/>
        <v>No</v>
      </c>
      <c r="K5338" s="25" t="str">
        <f t="shared" si="59"/>
        <v/>
      </c>
      <c r="L5338" s="25" t="str">
        <f t="shared" si="60"/>
        <v/>
      </c>
      <c r="M5338" s="25"/>
      <c r="O5338" s="25"/>
    </row>
    <row r="5339" ht="15.75" customHeight="1">
      <c r="A5339" s="25" t="str">
        <f>IFERROR(__xludf.DUMMYFUNCTION("IF(B5339="""","""",RIGHT(REGEXREPLACE(B5339&amp;"""",""[^0-9]"",""""),9))"),"779118099")</f>
        <v>779118099</v>
      </c>
      <c r="B5339" s="52">
        <v>7.79118099E8</v>
      </c>
      <c r="C5339" s="28" t="s">
        <v>5288</v>
      </c>
      <c r="D5339" s="26" t="s">
        <v>56</v>
      </c>
      <c r="E5339" s="31">
        <v>46237.0</v>
      </c>
      <c r="F5339" s="26" t="s">
        <v>41</v>
      </c>
      <c r="G5339" s="26">
        <v>9.0</v>
      </c>
      <c r="I5339" s="26" t="s">
        <v>863</v>
      </c>
      <c r="J5339" s="25" t="str">
        <f t="shared" si="58"/>
        <v>No</v>
      </c>
      <c r="K5339" s="25" t="str">
        <f t="shared" si="59"/>
        <v/>
      </c>
      <c r="L5339" s="25" t="str">
        <f t="shared" si="60"/>
        <v/>
      </c>
      <c r="M5339" s="25"/>
      <c r="O5339" s="25"/>
    </row>
    <row r="5340" ht="15.75" customHeight="1">
      <c r="A5340" s="25" t="str">
        <f>IFERROR(__xludf.DUMMYFUNCTION("IF(B5340="""","""",RIGHT(REGEXREPLACE(B5340&amp;"""",""[^0-9]"",""""),9))"),"742261731")</f>
        <v>742261731</v>
      </c>
      <c r="B5340" s="52">
        <v>7.42261731E8</v>
      </c>
      <c r="C5340" s="28" t="s">
        <v>5289</v>
      </c>
      <c r="D5340" s="26" t="s">
        <v>49</v>
      </c>
      <c r="E5340" s="31">
        <v>46237.0</v>
      </c>
      <c r="F5340" s="26" t="s">
        <v>46</v>
      </c>
      <c r="G5340" s="26">
        <v>10.0</v>
      </c>
      <c r="I5340" s="26" t="s">
        <v>863</v>
      </c>
      <c r="J5340" s="25" t="str">
        <f t="shared" si="58"/>
        <v>No</v>
      </c>
      <c r="K5340" s="25" t="str">
        <f t="shared" si="59"/>
        <v/>
      </c>
      <c r="L5340" s="25" t="str">
        <f t="shared" si="60"/>
        <v/>
      </c>
      <c r="M5340" s="25"/>
      <c r="O5340" s="25"/>
    </row>
    <row r="5341" ht="15.75" customHeight="1">
      <c r="A5341" s="25" t="str">
        <f>IFERROR(__xludf.DUMMYFUNCTION("IF(B5341="""","""",RIGHT(REGEXREPLACE(B5341&amp;"""",""[^0-9]"",""""),9))"),"771830148")</f>
        <v>771830148</v>
      </c>
      <c r="B5341" s="52">
        <v>7.71830148E8</v>
      </c>
      <c r="C5341" s="28" t="s">
        <v>5290</v>
      </c>
      <c r="D5341" s="26" t="s">
        <v>56</v>
      </c>
      <c r="E5341" s="31">
        <v>46237.0</v>
      </c>
      <c r="F5341" s="26" t="s">
        <v>205</v>
      </c>
      <c r="G5341" s="26">
        <v>9.0</v>
      </c>
      <c r="I5341" s="26" t="s">
        <v>863</v>
      </c>
      <c r="J5341" s="25" t="str">
        <f t="shared" si="58"/>
        <v>No</v>
      </c>
      <c r="K5341" s="25" t="str">
        <f t="shared" si="59"/>
        <v/>
      </c>
      <c r="L5341" s="25" t="str">
        <f t="shared" si="60"/>
        <v/>
      </c>
      <c r="M5341" s="25"/>
      <c r="O5341" s="25"/>
    </row>
    <row r="5342" ht="15.75" customHeight="1">
      <c r="A5342" s="25" t="str">
        <f>IFERROR(__xludf.DUMMYFUNCTION("IF(B5342="""","""",RIGHT(REGEXREPLACE(B5342&amp;"""",""[^0-9]"",""""),9))"),"762871943")</f>
        <v>762871943</v>
      </c>
      <c r="B5342" s="52">
        <v>7.62871943E8</v>
      </c>
      <c r="C5342" s="28" t="s">
        <v>4133</v>
      </c>
      <c r="D5342" s="26" t="s">
        <v>56</v>
      </c>
      <c r="E5342" s="31">
        <v>46237.0</v>
      </c>
      <c r="F5342" s="26" t="s">
        <v>46</v>
      </c>
      <c r="G5342" s="26">
        <v>8.0</v>
      </c>
      <c r="H5342" s="26" t="s">
        <v>5291</v>
      </c>
      <c r="I5342" s="26" t="s">
        <v>863</v>
      </c>
      <c r="J5342" s="25" t="str">
        <f t="shared" si="58"/>
        <v>Yes - see Previous F-Code</v>
      </c>
      <c r="K5342" s="25" t="str">
        <f t="shared" si="59"/>
        <v/>
      </c>
      <c r="L5342" s="25" t="str">
        <f t="shared" si="60"/>
        <v>F73771</v>
      </c>
      <c r="M5342" s="25"/>
      <c r="O5342" s="25"/>
    </row>
    <row r="5343" ht="15.75" customHeight="1">
      <c r="A5343" s="25" t="str">
        <f>IFERROR(__xludf.DUMMYFUNCTION("IF(B5343="""","""",RIGHT(REGEXREPLACE(B5343&amp;"""",""[^0-9]"",""""),9))"),"777118185")</f>
        <v>777118185</v>
      </c>
      <c r="B5343" s="52">
        <v>7.77118185E8</v>
      </c>
      <c r="C5343" s="28" t="s">
        <v>5292</v>
      </c>
      <c r="D5343" s="26" t="s">
        <v>49</v>
      </c>
      <c r="E5343" s="31">
        <v>46237.0</v>
      </c>
      <c r="F5343" s="26" t="s">
        <v>46</v>
      </c>
      <c r="G5343" s="26">
        <v>9.0</v>
      </c>
      <c r="H5343" s="117" t="s">
        <v>5293</v>
      </c>
      <c r="I5343" s="26" t="s">
        <v>863</v>
      </c>
      <c r="J5343" s="25" t="str">
        <f t="shared" si="58"/>
        <v>No</v>
      </c>
      <c r="K5343" s="25" t="str">
        <f t="shared" si="59"/>
        <v/>
      </c>
      <c r="L5343" s="25" t="str">
        <f t="shared" si="60"/>
        <v/>
      </c>
      <c r="M5343" s="25"/>
      <c r="O5343" s="25"/>
    </row>
    <row r="5344" ht="15.75" customHeight="1">
      <c r="A5344" s="25" t="str">
        <f>IFERROR(__xludf.DUMMYFUNCTION("IF(B5344="""","""",RIGHT(REGEXREPLACE(B5344&amp;"""",""[^0-9]"",""""),9))"),"762824780")</f>
        <v>762824780</v>
      </c>
      <c r="B5344" s="52">
        <v>7.6282478E8</v>
      </c>
      <c r="C5344" s="28" t="s">
        <v>5294</v>
      </c>
      <c r="D5344" s="26" t="s">
        <v>56</v>
      </c>
      <c r="E5344" s="31">
        <v>46237.0</v>
      </c>
      <c r="F5344" s="26" t="s">
        <v>41</v>
      </c>
      <c r="I5344" s="26" t="s">
        <v>863</v>
      </c>
      <c r="J5344" s="25" t="str">
        <f t="shared" si="58"/>
        <v>No</v>
      </c>
      <c r="K5344" s="25" t="str">
        <f t="shared" si="59"/>
        <v/>
      </c>
      <c r="L5344" s="25" t="str">
        <f t="shared" si="60"/>
        <v/>
      </c>
      <c r="M5344" s="25"/>
      <c r="O5344" s="25"/>
    </row>
    <row r="5345" ht="15.75" customHeight="1">
      <c r="A5345" s="25" t="str">
        <f>IFERROR(__xludf.DUMMYFUNCTION("IF(B5345="""","""",RIGHT(REGEXREPLACE(B5345&amp;"""",""[^0-9]"",""""),9))"),"764152356")</f>
        <v>764152356</v>
      </c>
      <c r="B5345" s="52">
        <v>7.64152356E8</v>
      </c>
      <c r="C5345" s="28" t="s">
        <v>5295</v>
      </c>
      <c r="D5345" s="26" t="s">
        <v>56</v>
      </c>
      <c r="E5345" s="31">
        <v>46237.0</v>
      </c>
      <c r="F5345" s="26" t="s">
        <v>46</v>
      </c>
      <c r="G5345" s="26">
        <v>9.0</v>
      </c>
      <c r="I5345" s="26" t="s">
        <v>863</v>
      </c>
      <c r="J5345" s="25" t="str">
        <f t="shared" si="58"/>
        <v>No</v>
      </c>
      <c r="K5345" s="25" t="str">
        <f t="shared" si="59"/>
        <v/>
      </c>
      <c r="L5345" s="25" t="str">
        <f t="shared" si="60"/>
        <v/>
      </c>
      <c r="M5345" s="25"/>
      <c r="O5345" s="25"/>
    </row>
    <row r="5346" ht="15.75" customHeight="1">
      <c r="A5346" s="25" t="str">
        <f>IFERROR(__xludf.DUMMYFUNCTION("IF(B5346="""","""",RIGHT(REGEXREPLACE(B5346&amp;"""",""[^0-9]"",""""),9))"),"740682695")</f>
        <v>740682695</v>
      </c>
      <c r="B5346" s="52">
        <v>7.40682695E8</v>
      </c>
      <c r="C5346" s="28" t="s">
        <v>4909</v>
      </c>
      <c r="D5346" s="26" t="s">
        <v>56</v>
      </c>
      <c r="E5346" s="31">
        <v>46237.0</v>
      </c>
      <c r="F5346" s="26" t="s">
        <v>46</v>
      </c>
      <c r="G5346" s="26">
        <v>9.0</v>
      </c>
      <c r="I5346" s="26" t="s">
        <v>863</v>
      </c>
      <c r="J5346" s="25" t="str">
        <f t="shared" si="58"/>
        <v>No</v>
      </c>
      <c r="K5346" s="25" t="str">
        <f t="shared" si="59"/>
        <v/>
      </c>
      <c r="L5346" s="25" t="str">
        <f t="shared" si="60"/>
        <v/>
      </c>
      <c r="M5346" s="25"/>
      <c r="O5346" s="25"/>
    </row>
    <row r="5347" ht="15.75" customHeight="1">
      <c r="A5347" s="25" t="str">
        <f>IFERROR(__xludf.DUMMYFUNCTION("IF(B5347="""","""",RIGHT(REGEXREPLACE(B5347&amp;"""",""[^0-9]"",""""),9))"),"729371411")</f>
        <v>729371411</v>
      </c>
      <c r="B5347" s="52">
        <v>7.29371411E8</v>
      </c>
      <c r="C5347" s="28" t="s">
        <v>5296</v>
      </c>
      <c r="D5347" s="26" t="s">
        <v>82</v>
      </c>
      <c r="E5347" s="31">
        <v>46237.0</v>
      </c>
      <c r="F5347" s="26" t="s">
        <v>46</v>
      </c>
      <c r="G5347" s="26">
        <v>9.0</v>
      </c>
      <c r="I5347" s="26" t="s">
        <v>863</v>
      </c>
      <c r="J5347" s="25" t="str">
        <f t="shared" si="58"/>
        <v>No</v>
      </c>
      <c r="K5347" s="25" t="str">
        <f t="shared" si="59"/>
        <v/>
      </c>
      <c r="L5347" s="25" t="str">
        <f t="shared" si="60"/>
        <v/>
      </c>
      <c r="M5347" s="25"/>
      <c r="O5347" s="25"/>
    </row>
    <row r="5348" ht="15.75" customHeight="1">
      <c r="A5348" s="25" t="str">
        <f>IFERROR(__xludf.DUMMYFUNCTION("IF(B5348="""","""",RIGHT(REGEXREPLACE(B5348&amp;"""",""[^0-9]"",""""),9))"),"704960709")</f>
        <v>704960709</v>
      </c>
      <c r="B5348" s="52">
        <v>7.04960709E8</v>
      </c>
      <c r="C5348" s="28" t="s">
        <v>5297</v>
      </c>
      <c r="D5348" s="26" t="s">
        <v>49</v>
      </c>
      <c r="E5348" s="31">
        <v>46237.0</v>
      </c>
      <c r="F5348" s="26" t="s">
        <v>41</v>
      </c>
      <c r="G5348" s="26">
        <v>10.0</v>
      </c>
      <c r="I5348" s="26" t="s">
        <v>863</v>
      </c>
      <c r="J5348" s="25" t="str">
        <f t="shared" si="58"/>
        <v>No</v>
      </c>
      <c r="K5348" s="25" t="str">
        <f t="shared" si="59"/>
        <v/>
      </c>
      <c r="L5348" s="25" t="str">
        <f t="shared" si="60"/>
        <v/>
      </c>
      <c r="M5348" s="25"/>
      <c r="O5348" s="25"/>
    </row>
    <row r="5349" ht="15.75" customHeight="1">
      <c r="A5349" s="25" t="str">
        <f>IFERROR(__xludf.DUMMYFUNCTION("IF(B5349="""","""",RIGHT(REGEXREPLACE(B5349&amp;"""",""[^0-9]"",""""),9))"),"789146927")</f>
        <v>789146927</v>
      </c>
      <c r="B5349" s="52">
        <v>7.89146927E8</v>
      </c>
      <c r="C5349" s="28" t="s">
        <v>5298</v>
      </c>
      <c r="D5349" s="26" t="s">
        <v>56</v>
      </c>
      <c r="E5349" s="31">
        <v>46237.0</v>
      </c>
      <c r="F5349" s="26" t="s">
        <v>46</v>
      </c>
      <c r="G5349" s="26">
        <v>9.0</v>
      </c>
      <c r="I5349" s="26" t="s">
        <v>863</v>
      </c>
      <c r="J5349" s="25" t="str">
        <f t="shared" si="58"/>
        <v>No</v>
      </c>
      <c r="K5349" s="25" t="str">
        <f t="shared" si="59"/>
        <v/>
      </c>
      <c r="L5349" s="25" t="str">
        <f t="shared" si="60"/>
        <v/>
      </c>
      <c r="M5349" s="25"/>
      <c r="O5349" s="25"/>
    </row>
    <row r="5350" ht="15.75" customHeight="1">
      <c r="A5350" s="25" t="str">
        <f>IFERROR(__xludf.DUMMYFUNCTION("IF(B5350="""","""",RIGHT(REGEXREPLACE(B5350&amp;"""",""[^0-9]"",""""),9))"),"768597271")</f>
        <v>768597271</v>
      </c>
      <c r="B5350" s="52">
        <v>7.68597271E8</v>
      </c>
      <c r="C5350" s="28" t="s">
        <v>5299</v>
      </c>
      <c r="D5350" s="26" t="s">
        <v>82</v>
      </c>
      <c r="E5350" s="31">
        <v>46237.0</v>
      </c>
      <c r="F5350" s="26" t="s">
        <v>46</v>
      </c>
      <c r="G5350" s="26">
        <v>10.0</v>
      </c>
      <c r="H5350" s="26" t="s">
        <v>5300</v>
      </c>
      <c r="I5350" s="26" t="s">
        <v>863</v>
      </c>
      <c r="J5350" s="25" t="str">
        <f t="shared" si="58"/>
        <v>No</v>
      </c>
      <c r="K5350" s="25" t="str">
        <f t="shared" si="59"/>
        <v/>
      </c>
      <c r="L5350" s="25" t="str">
        <f t="shared" si="60"/>
        <v/>
      </c>
      <c r="M5350" s="25"/>
      <c r="O5350" s="25"/>
    </row>
    <row r="5351" ht="15.75" customHeight="1">
      <c r="A5351" s="25" t="str">
        <f>IFERROR(__xludf.DUMMYFUNCTION("IF(B5351="""","""",RIGHT(REGEXREPLACE(B5351&amp;"""",""[^0-9]"",""""),9))"),"773706551")</f>
        <v>773706551</v>
      </c>
      <c r="B5351" s="52">
        <v>7.73706551E8</v>
      </c>
      <c r="C5351" s="28" t="s">
        <v>5297</v>
      </c>
      <c r="D5351" s="26" t="s">
        <v>56</v>
      </c>
      <c r="E5351" s="31">
        <v>46237.0</v>
      </c>
      <c r="F5351" s="26" t="s">
        <v>41</v>
      </c>
      <c r="G5351" s="26">
        <v>7.0</v>
      </c>
      <c r="I5351" s="26" t="s">
        <v>863</v>
      </c>
      <c r="J5351" s="25" t="str">
        <f t="shared" si="58"/>
        <v>No</v>
      </c>
      <c r="K5351" s="25" t="str">
        <f t="shared" si="59"/>
        <v/>
      </c>
      <c r="L5351" s="25" t="str">
        <f t="shared" si="60"/>
        <v/>
      </c>
      <c r="M5351" s="25"/>
      <c r="O5351" s="25"/>
    </row>
    <row r="5352" ht="15.75" customHeight="1">
      <c r="A5352" s="25" t="str">
        <f>IFERROR(__xludf.DUMMYFUNCTION("IF(B5352="""","""",RIGHT(REGEXREPLACE(B5352&amp;"""",""[^0-9]"",""""),9))"),"763867897")</f>
        <v>763867897</v>
      </c>
      <c r="B5352" s="52">
        <v>7.63867897E8</v>
      </c>
      <c r="C5352" s="28" t="s">
        <v>2008</v>
      </c>
      <c r="D5352" s="26" t="s">
        <v>49</v>
      </c>
      <c r="E5352" s="31">
        <v>46237.0</v>
      </c>
      <c r="F5352" s="26" t="s">
        <v>46</v>
      </c>
      <c r="G5352" s="26">
        <v>10.0</v>
      </c>
      <c r="H5352" s="118" t="s">
        <v>5301</v>
      </c>
      <c r="I5352" s="26" t="s">
        <v>863</v>
      </c>
      <c r="J5352" s="25" t="str">
        <f t="shared" si="58"/>
        <v>Yes - see Previous F-Code</v>
      </c>
      <c r="K5352" s="25" t="str">
        <f t="shared" si="59"/>
        <v>DUPLICATE - CHECK</v>
      </c>
      <c r="L5352" s="25" t="str">
        <f t="shared" si="60"/>
        <v>F71711</v>
      </c>
      <c r="M5352" s="25"/>
      <c r="O5352" s="25"/>
    </row>
    <row r="5353" ht="15.75" customHeight="1">
      <c r="A5353" s="25" t="str">
        <f>IFERROR(__xludf.DUMMYFUNCTION("IF(B5353="""","""",RIGHT(REGEXREPLACE(B5353&amp;"""",""[^0-9]"",""""),9))"),"760257845")</f>
        <v>760257845</v>
      </c>
      <c r="B5353" s="52">
        <v>7.60257845E8</v>
      </c>
      <c r="C5353" s="28" t="s">
        <v>5302</v>
      </c>
      <c r="D5353" s="26" t="s">
        <v>82</v>
      </c>
      <c r="E5353" s="31">
        <v>46237.0</v>
      </c>
      <c r="F5353" s="25"/>
      <c r="G5353" s="25"/>
      <c r="H5353" s="25"/>
      <c r="I5353" s="26" t="s">
        <v>863</v>
      </c>
      <c r="J5353" s="25" t="str">
        <f t="shared" si="58"/>
        <v>No</v>
      </c>
      <c r="K5353" s="25" t="str">
        <f t="shared" si="59"/>
        <v/>
      </c>
      <c r="L5353" s="25" t="str">
        <f t="shared" si="60"/>
        <v/>
      </c>
      <c r="M5353" s="25"/>
      <c r="N5353" s="25"/>
      <c r="O5353" s="25"/>
      <c r="P5353" s="25"/>
    </row>
    <row r="5354" ht="15.75" customHeight="1">
      <c r="A5354" s="25" t="str">
        <f>IFERROR(__xludf.DUMMYFUNCTION("IF(B5354="""","""",RIGHT(REGEXREPLACE(B5354&amp;"""",""[^0-9]"",""""),9))"),"753391054")</f>
        <v>753391054</v>
      </c>
      <c r="B5354" s="52">
        <v>7.53391054E8</v>
      </c>
      <c r="C5354" s="28" t="s">
        <v>5303</v>
      </c>
      <c r="D5354" s="26" t="s">
        <v>49</v>
      </c>
      <c r="E5354" s="31">
        <v>46237.0</v>
      </c>
      <c r="F5354" s="26" t="s">
        <v>41</v>
      </c>
      <c r="G5354" s="26">
        <v>7.0</v>
      </c>
      <c r="I5354" s="26" t="s">
        <v>863</v>
      </c>
      <c r="J5354" s="25" t="str">
        <f t="shared" si="58"/>
        <v>No</v>
      </c>
      <c r="K5354" s="25" t="str">
        <f t="shared" si="59"/>
        <v/>
      </c>
      <c r="L5354" s="25" t="str">
        <f t="shared" si="60"/>
        <v/>
      </c>
      <c r="M5354" s="25"/>
      <c r="O5354" s="25"/>
    </row>
    <row r="5355" ht="15.75" customHeight="1">
      <c r="A5355" s="25" t="str">
        <f>IFERROR(__xludf.DUMMYFUNCTION("IF(B5355="""","""",RIGHT(REGEXREPLACE(B5355&amp;"""",""[^0-9]"",""""),9))"),"767691549")</f>
        <v>767691549</v>
      </c>
      <c r="B5355" s="52">
        <v>7.67691549E8</v>
      </c>
      <c r="C5355" s="28" t="s">
        <v>5304</v>
      </c>
      <c r="D5355" s="26" t="s">
        <v>82</v>
      </c>
      <c r="E5355" s="31">
        <v>46237.0</v>
      </c>
      <c r="F5355" s="26" t="s">
        <v>46</v>
      </c>
      <c r="G5355" s="26">
        <v>8.0</v>
      </c>
      <c r="I5355" s="26" t="s">
        <v>863</v>
      </c>
      <c r="J5355" s="25" t="str">
        <f t="shared" si="58"/>
        <v>No</v>
      </c>
      <c r="K5355" s="25" t="str">
        <f t="shared" si="59"/>
        <v/>
      </c>
      <c r="L5355" s="25" t="str">
        <f t="shared" si="60"/>
        <v/>
      </c>
      <c r="M5355" s="25"/>
      <c r="O5355" s="25"/>
    </row>
    <row r="5356" ht="15.75" customHeight="1">
      <c r="A5356" s="25" t="str">
        <f>IFERROR(__xludf.DUMMYFUNCTION("IF(B5356="""","""",RIGHT(REGEXREPLACE(B5356&amp;"""",""[^0-9]"",""""),9))"),"774412301")</f>
        <v>774412301</v>
      </c>
      <c r="B5356" s="52">
        <v>7.74412301E8</v>
      </c>
      <c r="C5356" s="28" t="s">
        <v>5305</v>
      </c>
      <c r="D5356" s="26" t="s">
        <v>56</v>
      </c>
      <c r="E5356" s="31">
        <v>46237.0</v>
      </c>
      <c r="F5356" s="26" t="s">
        <v>46</v>
      </c>
      <c r="G5356" s="26">
        <v>6.0</v>
      </c>
      <c r="I5356" s="26" t="s">
        <v>863</v>
      </c>
      <c r="J5356" s="25" t="str">
        <f t="shared" si="58"/>
        <v>No</v>
      </c>
      <c r="K5356" s="25" t="str">
        <f t="shared" si="59"/>
        <v/>
      </c>
      <c r="L5356" s="25" t="str">
        <f t="shared" si="60"/>
        <v/>
      </c>
      <c r="M5356" s="25"/>
      <c r="O5356" s="25"/>
    </row>
    <row r="5357" ht="15.75" customHeight="1">
      <c r="A5357" s="25" t="str">
        <f>IFERROR(__xludf.DUMMYFUNCTION("IF(B5357="""","""",RIGHT(REGEXREPLACE(B5357&amp;"""",""[^0-9]"",""""),9))"),"770368750")</f>
        <v>770368750</v>
      </c>
      <c r="B5357" s="52">
        <v>7.7036875E8</v>
      </c>
      <c r="C5357" s="28" t="s">
        <v>5306</v>
      </c>
      <c r="D5357" s="26" t="s">
        <v>49</v>
      </c>
      <c r="E5357" s="31">
        <v>46237.0</v>
      </c>
      <c r="F5357" s="26" t="s">
        <v>46</v>
      </c>
      <c r="G5357" s="26">
        <v>7.0</v>
      </c>
      <c r="H5357" s="118" t="s">
        <v>4980</v>
      </c>
      <c r="I5357" s="26" t="s">
        <v>863</v>
      </c>
      <c r="J5357" s="25" t="str">
        <f t="shared" si="58"/>
        <v>No</v>
      </c>
      <c r="K5357" s="25" t="str">
        <f t="shared" si="59"/>
        <v/>
      </c>
      <c r="L5357" s="25" t="str">
        <f t="shared" si="60"/>
        <v/>
      </c>
      <c r="M5357" s="25"/>
      <c r="O5357" s="25"/>
    </row>
    <row r="5358" ht="15.75" customHeight="1">
      <c r="A5358" s="25" t="str">
        <f>IFERROR(__xludf.DUMMYFUNCTION("IF(B5358="""","""",RIGHT(REGEXREPLACE(B5358&amp;"""",""[^0-9]"",""""),9))"),"762783802")</f>
        <v>762783802</v>
      </c>
      <c r="B5358" s="52">
        <v>7.62783802E8</v>
      </c>
      <c r="C5358" s="28" t="s">
        <v>5307</v>
      </c>
      <c r="D5358" s="26" t="s">
        <v>82</v>
      </c>
      <c r="E5358" s="31">
        <v>46237.0</v>
      </c>
      <c r="F5358" s="26" t="s">
        <v>41</v>
      </c>
      <c r="I5358" s="26" t="s">
        <v>863</v>
      </c>
      <c r="J5358" s="25" t="str">
        <f t="shared" si="58"/>
        <v>No</v>
      </c>
      <c r="K5358" s="25" t="str">
        <f t="shared" si="59"/>
        <v/>
      </c>
      <c r="L5358" s="25" t="str">
        <f t="shared" si="60"/>
        <v/>
      </c>
      <c r="M5358" s="25"/>
      <c r="O5358" s="25"/>
    </row>
    <row r="5359" ht="15.75" customHeight="1">
      <c r="A5359" s="25" t="str">
        <f>IFERROR(__xludf.DUMMYFUNCTION("IF(B5359="""","""",RIGHT(REGEXREPLACE(B5359&amp;"""",""[^0-9]"",""""),9))"),"774711720")</f>
        <v>774711720</v>
      </c>
      <c r="B5359" s="52">
        <v>7.7471172E8</v>
      </c>
      <c r="C5359" s="28" t="s">
        <v>5308</v>
      </c>
      <c r="D5359" s="26" t="s">
        <v>45</v>
      </c>
      <c r="E5359" s="31">
        <v>46237.0</v>
      </c>
      <c r="F5359" s="26" t="s">
        <v>46</v>
      </c>
      <c r="G5359" s="26" t="s">
        <v>1827</v>
      </c>
      <c r="I5359" s="26" t="s">
        <v>863</v>
      </c>
      <c r="J5359" s="25" t="str">
        <f t="shared" si="58"/>
        <v>No</v>
      </c>
      <c r="K5359" s="25" t="str">
        <f t="shared" si="59"/>
        <v/>
      </c>
      <c r="L5359" s="25" t="str">
        <f t="shared" si="60"/>
        <v/>
      </c>
      <c r="M5359" s="25"/>
      <c r="O5359" s="25"/>
    </row>
    <row r="5360" ht="15.75" customHeight="1">
      <c r="A5360" s="25" t="str">
        <f>IFERROR(__xludf.DUMMYFUNCTION("IF(B5360="""","""",RIGHT(REGEXREPLACE(B5360&amp;"""",""[^0-9]"",""""),9))"),"764922117")</f>
        <v>764922117</v>
      </c>
      <c r="B5360" s="52">
        <v>7.64922117E8</v>
      </c>
      <c r="C5360" s="28" t="s">
        <v>5309</v>
      </c>
      <c r="D5360" s="26" t="s">
        <v>56</v>
      </c>
      <c r="E5360" s="31">
        <v>46237.0</v>
      </c>
      <c r="F5360" s="26" t="s">
        <v>46</v>
      </c>
      <c r="G5360" s="26">
        <v>10.0</v>
      </c>
      <c r="I5360" s="26" t="s">
        <v>863</v>
      </c>
      <c r="J5360" s="25" t="str">
        <f t="shared" si="58"/>
        <v>No</v>
      </c>
      <c r="K5360" s="25" t="str">
        <f t="shared" si="59"/>
        <v/>
      </c>
      <c r="L5360" s="25" t="str">
        <f t="shared" si="60"/>
        <v/>
      </c>
      <c r="M5360" s="25"/>
      <c r="O5360" s="25"/>
    </row>
    <row r="5361" ht="15.75" customHeight="1">
      <c r="A5361" s="25" t="str">
        <f>IFERROR(__xludf.DUMMYFUNCTION("IF(B5361="""","""",RIGHT(REGEXREPLACE(B5361&amp;"""",""[^0-9]"",""""),9))"),"774040016")</f>
        <v>774040016</v>
      </c>
      <c r="B5361" s="52">
        <v>7.74040016E8</v>
      </c>
      <c r="C5361" s="28" t="s">
        <v>622</v>
      </c>
      <c r="D5361" s="26" t="s">
        <v>82</v>
      </c>
      <c r="E5361" s="31">
        <v>46237.0</v>
      </c>
      <c r="F5361" s="26" t="s">
        <v>46</v>
      </c>
      <c r="G5361" s="26">
        <v>11.0</v>
      </c>
      <c r="H5361" s="26" t="s">
        <v>4787</v>
      </c>
      <c r="I5361" s="26" t="s">
        <v>863</v>
      </c>
      <c r="J5361" s="25" t="str">
        <f t="shared" si="58"/>
        <v>Yes - see Previous F-Code</v>
      </c>
      <c r="K5361" s="25" t="str">
        <f t="shared" si="59"/>
        <v/>
      </c>
      <c r="L5361" s="25" t="str">
        <f t="shared" si="60"/>
        <v>F70432</v>
      </c>
      <c r="M5361" s="25"/>
      <c r="O5361" s="25"/>
    </row>
    <row r="5362" ht="15.75" customHeight="1">
      <c r="A5362" s="25" t="str">
        <f>IFERROR(__xludf.DUMMYFUNCTION("IF(B5362="""","""",RIGHT(REGEXREPLACE(B5362&amp;"""",""[^0-9]"",""""),9))"),"776376750")</f>
        <v>776376750</v>
      </c>
      <c r="B5362" s="52">
        <v>7.7637675E8</v>
      </c>
      <c r="C5362" s="28" t="s">
        <v>5309</v>
      </c>
      <c r="D5362" s="26" t="s">
        <v>56</v>
      </c>
      <c r="E5362" s="31">
        <v>46237.0</v>
      </c>
      <c r="F5362" s="26" t="s">
        <v>46</v>
      </c>
      <c r="G5362" s="26">
        <v>9.0</v>
      </c>
      <c r="I5362" s="26" t="s">
        <v>863</v>
      </c>
      <c r="J5362" s="25" t="str">
        <f t="shared" si="58"/>
        <v>No</v>
      </c>
      <c r="K5362" s="25" t="str">
        <f t="shared" si="59"/>
        <v/>
      </c>
      <c r="L5362" s="25" t="str">
        <f t="shared" si="60"/>
        <v/>
      </c>
      <c r="M5362" s="25"/>
      <c r="O5362" s="25"/>
    </row>
    <row r="5363" ht="15.75" customHeight="1">
      <c r="A5363" s="25" t="str">
        <f>IFERROR(__xludf.DUMMYFUNCTION("IF(B5363="""","""",RIGHT(REGEXREPLACE(B5363&amp;"""",""[^0-9]"",""""),9))"),"778645561")</f>
        <v>778645561</v>
      </c>
      <c r="B5363" s="52">
        <v>7.78645561E8</v>
      </c>
      <c r="C5363" s="28" t="s">
        <v>5310</v>
      </c>
      <c r="D5363" s="26" t="s">
        <v>49</v>
      </c>
      <c r="E5363" s="31">
        <v>46237.0</v>
      </c>
      <c r="F5363" s="26" t="s">
        <v>46</v>
      </c>
      <c r="G5363" s="26">
        <v>9.0</v>
      </c>
      <c r="I5363" s="26" t="s">
        <v>863</v>
      </c>
      <c r="J5363" s="25" t="str">
        <f t="shared" si="58"/>
        <v>No</v>
      </c>
      <c r="K5363" s="25" t="str">
        <f t="shared" si="59"/>
        <v/>
      </c>
      <c r="L5363" s="25" t="str">
        <f t="shared" si="60"/>
        <v/>
      </c>
      <c r="M5363" s="25"/>
      <c r="O5363" s="25"/>
    </row>
    <row r="5364" ht="15.75" customHeight="1">
      <c r="A5364" s="25" t="str">
        <f>IFERROR(__xludf.DUMMYFUNCTION("IF(B5364="""","""",RIGHT(REGEXREPLACE(B5364&amp;"""",""[^0-9]"",""""),9))"),"763600395")</f>
        <v>763600395</v>
      </c>
      <c r="B5364" s="52">
        <v>7.63600395E8</v>
      </c>
      <c r="C5364" s="28" t="s">
        <v>5311</v>
      </c>
      <c r="D5364" s="26" t="s">
        <v>45</v>
      </c>
      <c r="E5364" s="31">
        <v>46252.0</v>
      </c>
      <c r="F5364" s="26" t="s">
        <v>41</v>
      </c>
      <c r="G5364" s="26">
        <v>9.0</v>
      </c>
      <c r="I5364" s="26" t="s">
        <v>863</v>
      </c>
      <c r="J5364" s="25" t="str">
        <f t="shared" si="58"/>
        <v>No</v>
      </c>
      <c r="K5364" s="25" t="str">
        <f t="shared" si="59"/>
        <v/>
      </c>
      <c r="L5364" s="25" t="str">
        <f t="shared" si="60"/>
        <v/>
      </c>
      <c r="M5364" s="25"/>
      <c r="O5364" s="25"/>
    </row>
    <row r="5365" ht="15.75" customHeight="1">
      <c r="A5365" s="25" t="str">
        <f>IFERROR(__xludf.DUMMYFUNCTION("IF(B5365="""","""",RIGHT(REGEXREPLACE(B5365&amp;"""",""[^0-9]"",""""),9))"),"763725735")</f>
        <v>763725735</v>
      </c>
      <c r="B5365" s="52">
        <v>7.63725735E8</v>
      </c>
      <c r="C5365" s="28" t="s">
        <v>5312</v>
      </c>
      <c r="D5365" s="26" t="s">
        <v>82</v>
      </c>
      <c r="E5365" s="31">
        <v>46237.0</v>
      </c>
      <c r="F5365" s="26" t="s">
        <v>46</v>
      </c>
      <c r="G5365" s="26">
        <v>6.0</v>
      </c>
      <c r="H5365" s="26" t="s">
        <v>5313</v>
      </c>
      <c r="I5365" s="26" t="s">
        <v>863</v>
      </c>
      <c r="J5365" s="25" t="str">
        <f t="shared" si="58"/>
        <v>No</v>
      </c>
      <c r="K5365" s="25" t="str">
        <f t="shared" si="59"/>
        <v/>
      </c>
      <c r="L5365" s="25" t="str">
        <f t="shared" si="60"/>
        <v/>
      </c>
      <c r="M5365" s="25"/>
      <c r="O5365" s="25"/>
    </row>
    <row r="5366" ht="15.75" customHeight="1">
      <c r="A5366" s="25" t="str">
        <f>IFERROR(__xludf.DUMMYFUNCTION("IF(B5366="""","""",RIGHT(REGEXREPLACE(B5366&amp;"""",""[^0-9]"",""""),9))"),"777456076")</f>
        <v>777456076</v>
      </c>
      <c r="B5366" s="52">
        <v>7.77456076E8</v>
      </c>
      <c r="C5366" s="28" t="s">
        <v>5314</v>
      </c>
      <c r="D5366" s="26" t="s">
        <v>56</v>
      </c>
      <c r="E5366" s="31">
        <v>46237.0</v>
      </c>
      <c r="F5366" s="26" t="s">
        <v>46</v>
      </c>
      <c r="G5366" s="26">
        <v>9.0</v>
      </c>
      <c r="I5366" s="26" t="s">
        <v>863</v>
      </c>
      <c r="J5366" s="25" t="str">
        <f t="shared" si="58"/>
        <v>No</v>
      </c>
      <c r="K5366" s="25" t="str">
        <f t="shared" si="59"/>
        <v/>
      </c>
      <c r="L5366" s="25" t="str">
        <f t="shared" si="60"/>
        <v/>
      </c>
      <c r="M5366" s="25"/>
      <c r="O5366" s="25"/>
    </row>
    <row r="5367" ht="15.75" customHeight="1">
      <c r="A5367" s="25" t="str">
        <f>IFERROR(__xludf.DUMMYFUNCTION("IF(B5367="""","""",RIGHT(REGEXREPLACE(B5367&amp;"""",""[^0-9]"",""""),9))"),"762657386")</f>
        <v>762657386</v>
      </c>
      <c r="B5367" s="52">
        <v>7.62657386E8</v>
      </c>
      <c r="C5367" s="28" t="s">
        <v>5315</v>
      </c>
      <c r="D5367" s="26" t="s">
        <v>49</v>
      </c>
      <c r="E5367" s="31">
        <v>46237.0</v>
      </c>
      <c r="F5367" s="26" t="s">
        <v>659</v>
      </c>
      <c r="I5367" s="26" t="s">
        <v>863</v>
      </c>
      <c r="J5367" s="25" t="str">
        <f t="shared" si="58"/>
        <v>No</v>
      </c>
      <c r="K5367" s="25" t="str">
        <f t="shared" si="59"/>
        <v/>
      </c>
      <c r="L5367" s="25" t="str">
        <f t="shared" si="60"/>
        <v/>
      </c>
      <c r="M5367" s="25"/>
      <c r="O5367" s="25"/>
    </row>
    <row r="5368" ht="15.75" customHeight="1">
      <c r="A5368" s="25" t="str">
        <f>IFERROR(__xludf.DUMMYFUNCTION("IF(B5368="""","""",RIGHT(REGEXREPLACE(B5368&amp;"""",""[^0-9]"",""""),9))"),"776217912")</f>
        <v>776217912</v>
      </c>
      <c r="B5368" s="52">
        <v>7.76217912E8</v>
      </c>
      <c r="C5368" s="28" t="s">
        <v>5316</v>
      </c>
      <c r="D5368" s="26" t="s">
        <v>56</v>
      </c>
      <c r="E5368" s="31">
        <v>46237.0</v>
      </c>
      <c r="F5368" s="26" t="s">
        <v>46</v>
      </c>
      <c r="G5368" s="26">
        <v>9.0</v>
      </c>
      <c r="I5368" s="26" t="s">
        <v>863</v>
      </c>
      <c r="J5368" s="25" t="str">
        <f t="shared" si="58"/>
        <v>No</v>
      </c>
      <c r="K5368" s="25" t="str">
        <f t="shared" si="59"/>
        <v/>
      </c>
      <c r="L5368" s="25" t="str">
        <f t="shared" si="60"/>
        <v/>
      </c>
      <c r="M5368" s="25"/>
      <c r="O5368" s="25"/>
    </row>
    <row r="5369" ht="15.75" customHeight="1">
      <c r="A5369" s="25" t="str">
        <f>IFERROR(__xludf.DUMMYFUNCTION("IF(B5369="""","""",RIGHT(REGEXREPLACE(B5369&amp;"""",""[^0-9]"",""""),9))"),"767261682")</f>
        <v>767261682</v>
      </c>
      <c r="B5369" s="52">
        <v>7.67261682E8</v>
      </c>
      <c r="C5369" s="28" t="s">
        <v>5317</v>
      </c>
      <c r="D5369" s="26" t="s">
        <v>82</v>
      </c>
      <c r="E5369" s="31">
        <v>46237.0</v>
      </c>
      <c r="F5369" s="26" t="s">
        <v>46</v>
      </c>
      <c r="G5369" s="26">
        <v>9.0</v>
      </c>
      <c r="I5369" s="26" t="s">
        <v>863</v>
      </c>
      <c r="J5369" s="25" t="str">
        <f t="shared" si="58"/>
        <v>No</v>
      </c>
      <c r="K5369" s="25" t="str">
        <f t="shared" si="59"/>
        <v/>
      </c>
      <c r="L5369" s="25" t="str">
        <f t="shared" si="60"/>
        <v/>
      </c>
      <c r="M5369" s="25"/>
      <c r="O5369" s="25"/>
    </row>
    <row r="5370" ht="15.75" customHeight="1">
      <c r="A5370" s="25" t="str">
        <f>IFERROR(__xludf.DUMMYFUNCTION("IF(B5370="""","""",RIGHT(REGEXREPLACE(B5370&amp;"""",""[^0-9]"",""""),9))"),"771030505")</f>
        <v>771030505</v>
      </c>
      <c r="B5370" s="52">
        <v>7.71030505E8</v>
      </c>
      <c r="C5370" s="28" t="s">
        <v>5318</v>
      </c>
      <c r="D5370" s="26" t="s">
        <v>45</v>
      </c>
      <c r="E5370" s="31">
        <v>46237.0</v>
      </c>
      <c r="F5370" s="26" t="s">
        <v>46</v>
      </c>
      <c r="G5370" s="26">
        <v>8.0</v>
      </c>
      <c r="I5370" s="26" t="s">
        <v>863</v>
      </c>
      <c r="J5370" s="25" t="str">
        <f t="shared" si="58"/>
        <v>No</v>
      </c>
      <c r="K5370" s="25" t="str">
        <f t="shared" si="59"/>
        <v/>
      </c>
      <c r="L5370" s="25" t="str">
        <f t="shared" si="60"/>
        <v/>
      </c>
      <c r="M5370" s="25"/>
      <c r="O5370" s="25"/>
    </row>
    <row r="5371" ht="15.75" customHeight="1">
      <c r="A5371" s="25" t="str">
        <f>IFERROR(__xludf.DUMMYFUNCTION("IF(B5371="""","""",RIGHT(REGEXREPLACE(B5371&amp;"""",""[^0-9]"",""""),9))"),"763750253")</f>
        <v>763750253</v>
      </c>
      <c r="B5371" s="52">
        <v>7.63750253E8</v>
      </c>
      <c r="C5371" s="28" t="s">
        <v>5161</v>
      </c>
      <c r="D5371" s="26" t="s">
        <v>56</v>
      </c>
      <c r="E5371" s="31">
        <v>46237.0</v>
      </c>
      <c r="F5371" s="26" t="s">
        <v>41</v>
      </c>
      <c r="G5371" s="26">
        <v>9.0</v>
      </c>
      <c r="I5371" s="26" t="s">
        <v>863</v>
      </c>
      <c r="J5371" s="25" t="str">
        <f t="shared" si="58"/>
        <v>No</v>
      </c>
      <c r="K5371" s="25" t="str">
        <f t="shared" si="59"/>
        <v/>
      </c>
      <c r="L5371" s="25" t="str">
        <f t="shared" si="60"/>
        <v/>
      </c>
      <c r="M5371" s="25"/>
      <c r="O5371" s="25"/>
    </row>
    <row r="5372" ht="15.75" customHeight="1">
      <c r="A5372" s="25" t="str">
        <f>IFERROR(__xludf.DUMMYFUNCTION("IF(B5372="""","""",RIGHT(REGEXREPLACE(B5372&amp;"""",""[^0-9]"",""""),9))"),"783679997")</f>
        <v>783679997</v>
      </c>
      <c r="B5372" s="52">
        <v>7.83679997E8</v>
      </c>
      <c r="C5372" s="28" t="s">
        <v>5319</v>
      </c>
      <c r="D5372" s="26" t="s">
        <v>49</v>
      </c>
      <c r="E5372" s="31">
        <v>46237.0</v>
      </c>
      <c r="F5372" s="26" t="s">
        <v>46</v>
      </c>
      <c r="G5372" s="26">
        <v>10.0</v>
      </c>
      <c r="H5372" s="117" t="s">
        <v>5320</v>
      </c>
      <c r="I5372" s="26" t="s">
        <v>863</v>
      </c>
      <c r="J5372" s="25" t="str">
        <f t="shared" si="58"/>
        <v>No</v>
      </c>
      <c r="K5372" s="25" t="str">
        <f t="shared" si="59"/>
        <v/>
      </c>
      <c r="L5372" s="25" t="str">
        <f t="shared" si="60"/>
        <v/>
      </c>
      <c r="M5372" s="25"/>
      <c r="O5372" s="25"/>
    </row>
    <row r="5373" ht="15.75" customHeight="1">
      <c r="A5373" s="25" t="str">
        <f>IFERROR(__xludf.DUMMYFUNCTION("IF(B5373="""","""",RIGHT(REGEXREPLACE(B5373&amp;"""",""[^0-9]"",""""),9))"),"778024962")</f>
        <v>778024962</v>
      </c>
      <c r="B5373" s="52">
        <v>7.78024962E8</v>
      </c>
      <c r="C5373" s="28" t="s">
        <v>5321</v>
      </c>
      <c r="D5373" s="26" t="s">
        <v>82</v>
      </c>
      <c r="E5373" s="31">
        <v>46237.0</v>
      </c>
      <c r="F5373" s="26" t="s">
        <v>46</v>
      </c>
      <c r="G5373" s="26">
        <v>9.0</v>
      </c>
      <c r="I5373" s="26" t="s">
        <v>863</v>
      </c>
      <c r="J5373" s="25" t="str">
        <f t="shared" si="58"/>
        <v>No</v>
      </c>
      <c r="K5373" s="25" t="str">
        <f t="shared" si="59"/>
        <v/>
      </c>
      <c r="L5373" s="25" t="str">
        <f t="shared" si="60"/>
        <v/>
      </c>
      <c r="M5373" s="25"/>
      <c r="O5373" s="25"/>
    </row>
    <row r="5374" ht="15.75" customHeight="1">
      <c r="A5374" s="25" t="str">
        <f>IFERROR(__xludf.DUMMYFUNCTION("IF(B5374="""","""",RIGHT(REGEXREPLACE(B5374&amp;"""",""[^0-9]"",""""),9))"),"772831587")</f>
        <v>772831587</v>
      </c>
      <c r="B5374" s="52">
        <v>7.72831587E8</v>
      </c>
      <c r="C5374" s="28" t="s">
        <v>5322</v>
      </c>
      <c r="D5374" s="26" t="s">
        <v>45</v>
      </c>
      <c r="E5374" s="31">
        <v>46237.0</v>
      </c>
      <c r="F5374" s="26" t="s">
        <v>164</v>
      </c>
      <c r="G5374" s="26">
        <v>9.0</v>
      </c>
      <c r="I5374" s="26" t="s">
        <v>863</v>
      </c>
      <c r="J5374" s="25" t="str">
        <f t="shared" si="58"/>
        <v>No</v>
      </c>
      <c r="K5374" s="25" t="str">
        <f t="shared" si="59"/>
        <v/>
      </c>
      <c r="L5374" s="25" t="str">
        <f t="shared" si="60"/>
        <v/>
      </c>
      <c r="M5374" s="25"/>
      <c r="O5374" s="25"/>
    </row>
    <row r="5375" ht="15.75" customHeight="1">
      <c r="A5375" s="25" t="str">
        <f>IFERROR(__xludf.DUMMYFUNCTION("IF(B5375="""","""",RIGHT(REGEXREPLACE(B5375&amp;"""",""[^0-9]"",""""),9))"),"729978910")</f>
        <v>729978910</v>
      </c>
      <c r="B5375" s="52">
        <v>7.2997891E8</v>
      </c>
      <c r="C5375" s="28" t="s">
        <v>5323</v>
      </c>
      <c r="D5375" s="26" t="s">
        <v>56</v>
      </c>
      <c r="E5375" s="31">
        <v>46237.0</v>
      </c>
      <c r="F5375" s="26" t="s">
        <v>46</v>
      </c>
      <c r="G5375" s="26">
        <v>9.0</v>
      </c>
      <c r="I5375" s="26" t="s">
        <v>863</v>
      </c>
      <c r="J5375" s="25" t="str">
        <f t="shared" si="58"/>
        <v>No</v>
      </c>
      <c r="K5375" s="25" t="str">
        <f t="shared" si="59"/>
        <v/>
      </c>
      <c r="L5375" s="25" t="str">
        <f t="shared" si="60"/>
        <v/>
      </c>
      <c r="M5375" s="25"/>
      <c r="O5375" s="25"/>
    </row>
    <row r="5376" ht="15.75" customHeight="1">
      <c r="A5376" s="25" t="str">
        <f>IFERROR(__xludf.DUMMYFUNCTION("IF(B5376="""","""",RIGHT(REGEXREPLACE(B5376&amp;"""",""[^0-9]"",""""),9))"),"713929408")</f>
        <v>713929408</v>
      </c>
      <c r="B5376" s="52">
        <v>7.13929408E8</v>
      </c>
      <c r="C5376" s="28" t="s">
        <v>5324</v>
      </c>
      <c r="D5376" s="26" t="s">
        <v>45</v>
      </c>
      <c r="E5376" s="31">
        <v>46237.0</v>
      </c>
      <c r="F5376" s="26" t="s">
        <v>659</v>
      </c>
      <c r="G5376" s="26">
        <v>9.0</v>
      </c>
      <c r="I5376" s="26" t="s">
        <v>863</v>
      </c>
      <c r="J5376" s="25" t="str">
        <f t="shared" si="58"/>
        <v>No</v>
      </c>
      <c r="K5376" s="25" t="str">
        <f t="shared" si="59"/>
        <v/>
      </c>
      <c r="L5376" s="25" t="str">
        <f t="shared" si="60"/>
        <v/>
      </c>
      <c r="M5376" s="25"/>
      <c r="O5376" s="25"/>
    </row>
    <row r="5377" ht="15.75" customHeight="1">
      <c r="A5377" s="25" t="str">
        <f>IFERROR(__xludf.DUMMYFUNCTION("IF(B5377="""","""",RIGHT(REGEXREPLACE(B5377&amp;"""",""[^0-9]"",""""),9))"),"767612501")</f>
        <v>767612501</v>
      </c>
      <c r="B5377" s="52">
        <v>7.67612501E8</v>
      </c>
      <c r="C5377" s="28" t="s">
        <v>5325</v>
      </c>
      <c r="D5377" s="26" t="s">
        <v>82</v>
      </c>
      <c r="E5377" s="31">
        <v>46237.0</v>
      </c>
      <c r="F5377" s="26" t="s">
        <v>46</v>
      </c>
      <c r="G5377" s="26">
        <v>9.0</v>
      </c>
      <c r="I5377" s="26" t="s">
        <v>863</v>
      </c>
      <c r="J5377" s="25" t="str">
        <f t="shared" si="58"/>
        <v>No</v>
      </c>
      <c r="K5377" s="25" t="str">
        <f t="shared" si="59"/>
        <v/>
      </c>
      <c r="L5377" s="25" t="str">
        <f t="shared" si="60"/>
        <v/>
      </c>
      <c r="M5377" s="25"/>
      <c r="O5377" s="25"/>
    </row>
    <row r="5378" ht="15.75" customHeight="1">
      <c r="A5378" s="25" t="str">
        <f>IFERROR(__xludf.DUMMYFUNCTION("IF(B5378="""","""",RIGHT(REGEXREPLACE(B5378&amp;"""",""[^0-9]"",""""),9))"),"714268072")</f>
        <v>714268072</v>
      </c>
      <c r="B5378" s="52">
        <v>7.14268072E8</v>
      </c>
      <c r="C5378" s="28" t="s">
        <v>5326</v>
      </c>
      <c r="D5378" s="26" t="s">
        <v>49</v>
      </c>
      <c r="E5378" s="31">
        <v>46237.0</v>
      </c>
      <c r="F5378" s="26" t="s">
        <v>205</v>
      </c>
      <c r="I5378" s="26" t="s">
        <v>863</v>
      </c>
      <c r="J5378" s="25" t="str">
        <f t="shared" si="58"/>
        <v>No</v>
      </c>
      <c r="K5378" s="25" t="str">
        <f t="shared" si="59"/>
        <v/>
      </c>
      <c r="L5378" s="25" t="str">
        <f t="shared" si="60"/>
        <v/>
      </c>
      <c r="M5378" s="25"/>
      <c r="O5378" s="25"/>
    </row>
    <row r="5379" ht="15.75" customHeight="1">
      <c r="A5379" s="25" t="str">
        <f>IFERROR(__xludf.DUMMYFUNCTION("IF(B5379="""","""",RIGHT(REGEXREPLACE(B5379&amp;"""",""[^0-9]"",""""),9))"),"722614904")</f>
        <v>722614904</v>
      </c>
      <c r="B5379" s="52">
        <v>7.22614904E8</v>
      </c>
      <c r="C5379" s="28" t="s">
        <v>5327</v>
      </c>
      <c r="D5379" s="26" t="s">
        <v>56</v>
      </c>
      <c r="E5379" s="31">
        <v>46237.0</v>
      </c>
      <c r="F5379" s="26" t="s">
        <v>41</v>
      </c>
      <c r="G5379" s="26">
        <v>9.0</v>
      </c>
      <c r="I5379" s="26" t="s">
        <v>863</v>
      </c>
      <c r="J5379" s="25" t="str">
        <f t="shared" si="58"/>
        <v>No</v>
      </c>
      <c r="K5379" s="25" t="str">
        <f t="shared" si="59"/>
        <v/>
      </c>
      <c r="L5379" s="25" t="str">
        <f t="shared" si="60"/>
        <v/>
      </c>
      <c r="M5379" s="25"/>
      <c r="O5379" s="25"/>
    </row>
    <row r="5380" ht="15.75" customHeight="1">
      <c r="A5380" s="25" t="str">
        <f>IFERROR(__xludf.DUMMYFUNCTION("IF(B5380="""","""",RIGHT(REGEXREPLACE(B5380&amp;"""",""[^0-9]"",""""),9))"),"762784263")</f>
        <v>762784263</v>
      </c>
      <c r="B5380" s="52">
        <v>7.62784263E8</v>
      </c>
      <c r="C5380" s="28" t="s">
        <v>5328</v>
      </c>
      <c r="D5380" s="26" t="s">
        <v>45</v>
      </c>
      <c r="E5380" s="31">
        <v>46237.0</v>
      </c>
      <c r="F5380" s="26" t="s">
        <v>46</v>
      </c>
      <c r="G5380" s="26">
        <v>9.0</v>
      </c>
      <c r="I5380" s="26" t="s">
        <v>863</v>
      </c>
      <c r="J5380" s="25" t="str">
        <f t="shared" si="58"/>
        <v>No</v>
      </c>
      <c r="K5380" s="25" t="str">
        <f t="shared" si="59"/>
        <v/>
      </c>
      <c r="L5380" s="25" t="str">
        <f t="shared" si="60"/>
        <v/>
      </c>
      <c r="M5380" s="25"/>
      <c r="O5380" s="25"/>
    </row>
    <row r="5381" ht="15.75" customHeight="1">
      <c r="A5381" s="25" t="str">
        <f>IFERROR(__xludf.DUMMYFUNCTION("IF(B5381="""","""",RIGHT(REGEXREPLACE(B5381&amp;"""",""[^0-9]"",""""),9))"),"761238550")</f>
        <v>761238550</v>
      </c>
      <c r="B5381" s="52">
        <v>7.6123855E8</v>
      </c>
      <c r="C5381" s="28" t="s">
        <v>5329</v>
      </c>
      <c r="D5381" s="26" t="s">
        <v>49</v>
      </c>
      <c r="E5381" s="31">
        <v>46237.0</v>
      </c>
      <c r="F5381" s="26" t="s">
        <v>46</v>
      </c>
      <c r="G5381" s="26">
        <v>9.0</v>
      </c>
      <c r="H5381" s="118" t="s">
        <v>5330</v>
      </c>
      <c r="I5381" s="26" t="s">
        <v>863</v>
      </c>
      <c r="J5381" s="25" t="str">
        <f t="shared" si="58"/>
        <v>No</v>
      </c>
      <c r="K5381" s="25" t="str">
        <f t="shared" si="59"/>
        <v/>
      </c>
      <c r="L5381" s="25" t="str">
        <f t="shared" si="60"/>
        <v/>
      </c>
      <c r="M5381" s="25"/>
      <c r="O5381" s="25"/>
    </row>
    <row r="5382" ht="15.75" customHeight="1">
      <c r="A5382" s="25" t="str">
        <f>IFERROR(__xludf.DUMMYFUNCTION("IF(B5382="""","""",RIGHT(REGEXREPLACE(B5382&amp;"""",""[^0-9]"",""""),9))"),"773121850")</f>
        <v>773121850</v>
      </c>
      <c r="B5382" s="52">
        <v>7.7312185E8</v>
      </c>
      <c r="C5382" s="28" t="s">
        <v>5331</v>
      </c>
      <c r="D5382" s="26" t="s">
        <v>56</v>
      </c>
      <c r="E5382" s="31">
        <v>46237.0</v>
      </c>
      <c r="F5382" s="26" t="s">
        <v>41</v>
      </c>
      <c r="I5382" s="26" t="s">
        <v>863</v>
      </c>
      <c r="J5382" s="25" t="str">
        <f t="shared" si="58"/>
        <v>No</v>
      </c>
      <c r="K5382" s="25" t="str">
        <f t="shared" si="59"/>
        <v/>
      </c>
      <c r="L5382" s="25" t="str">
        <f t="shared" si="60"/>
        <v/>
      </c>
      <c r="M5382" s="25"/>
      <c r="O5382" s="25"/>
    </row>
    <row r="5383" ht="15.75" customHeight="1">
      <c r="A5383" s="25" t="str">
        <f>IFERROR(__xludf.DUMMYFUNCTION("IF(B5383="""","""",RIGHT(REGEXREPLACE(B5383&amp;"""",""[^0-9]"",""""),9))"),"760727709")</f>
        <v>760727709</v>
      </c>
      <c r="B5383" s="52">
        <v>7.60727709E8</v>
      </c>
      <c r="C5383" s="28" t="s">
        <v>5332</v>
      </c>
      <c r="D5383" s="26" t="s">
        <v>45</v>
      </c>
      <c r="E5383" s="31">
        <v>46237.0</v>
      </c>
      <c r="F5383" s="26" t="s">
        <v>41</v>
      </c>
      <c r="G5383" s="26">
        <v>9.0</v>
      </c>
      <c r="I5383" s="26" t="s">
        <v>863</v>
      </c>
      <c r="J5383" s="25" t="str">
        <f t="shared" si="58"/>
        <v>No</v>
      </c>
      <c r="K5383" s="25" t="str">
        <f t="shared" si="59"/>
        <v/>
      </c>
      <c r="L5383" s="25" t="str">
        <f t="shared" si="60"/>
        <v/>
      </c>
      <c r="M5383" s="25"/>
      <c r="O5383" s="25"/>
    </row>
    <row r="5384" ht="15.75" customHeight="1">
      <c r="A5384" s="25" t="str">
        <f>IFERROR(__xludf.DUMMYFUNCTION("IF(B5384="""","""",RIGHT(REGEXREPLACE(B5384&amp;"""",""[^0-9]"",""""),9))"),"766057888")</f>
        <v>766057888</v>
      </c>
      <c r="B5384" s="52">
        <v>7.66057888E8</v>
      </c>
      <c r="C5384" s="28" t="s">
        <v>5333</v>
      </c>
      <c r="D5384" s="26" t="s">
        <v>56</v>
      </c>
      <c r="E5384" s="31">
        <v>46237.0</v>
      </c>
      <c r="F5384" s="26" t="s">
        <v>46</v>
      </c>
      <c r="G5384" s="26">
        <v>8.0</v>
      </c>
      <c r="I5384" s="26" t="s">
        <v>863</v>
      </c>
      <c r="J5384" s="25" t="str">
        <f t="shared" si="58"/>
        <v>No</v>
      </c>
      <c r="K5384" s="25" t="str">
        <f t="shared" si="59"/>
        <v/>
      </c>
      <c r="L5384" s="25" t="str">
        <f t="shared" si="60"/>
        <v/>
      </c>
      <c r="M5384" s="25"/>
      <c r="O5384" s="25"/>
    </row>
    <row r="5385" ht="15.75" customHeight="1">
      <c r="A5385" s="25" t="str">
        <f>IFERROR(__xludf.DUMMYFUNCTION("IF(B5385="""","""",RIGHT(REGEXREPLACE(B5385&amp;"""",""[^0-9]"",""""),9))"),"740596176")</f>
        <v>740596176</v>
      </c>
      <c r="B5385" s="52">
        <v>7.40596176E8</v>
      </c>
      <c r="C5385" s="28" t="s">
        <v>5334</v>
      </c>
      <c r="D5385" s="26" t="s">
        <v>82</v>
      </c>
      <c r="E5385" s="31">
        <v>46237.0</v>
      </c>
      <c r="F5385" s="26" t="s">
        <v>46</v>
      </c>
      <c r="G5385" s="26">
        <v>9.0</v>
      </c>
      <c r="I5385" s="26" t="s">
        <v>863</v>
      </c>
      <c r="J5385" s="25" t="str">
        <f t="shared" si="58"/>
        <v>No</v>
      </c>
      <c r="K5385" s="25" t="str">
        <f t="shared" si="59"/>
        <v/>
      </c>
      <c r="L5385" s="25" t="str">
        <f t="shared" si="60"/>
        <v/>
      </c>
      <c r="M5385" s="25"/>
      <c r="O5385" s="25"/>
    </row>
    <row r="5386" ht="15.75" customHeight="1">
      <c r="A5386" s="25" t="str">
        <f>IFERROR(__xludf.DUMMYFUNCTION("IF(B5386="""","""",RIGHT(REGEXREPLACE(B5386&amp;"""",""[^0-9]"",""""),9))"),"776368565")</f>
        <v>776368565</v>
      </c>
      <c r="B5386" s="52">
        <v>7.76368565E8</v>
      </c>
      <c r="C5386" s="28" t="s">
        <v>5335</v>
      </c>
      <c r="D5386" s="26" t="s">
        <v>45</v>
      </c>
      <c r="E5386" s="31">
        <v>46237.0</v>
      </c>
      <c r="F5386" s="26" t="s">
        <v>41</v>
      </c>
      <c r="G5386" s="26">
        <v>10.0</v>
      </c>
      <c r="I5386" s="26" t="s">
        <v>863</v>
      </c>
      <c r="J5386" s="25" t="str">
        <f t="shared" si="58"/>
        <v>No</v>
      </c>
      <c r="K5386" s="25" t="str">
        <f t="shared" si="59"/>
        <v/>
      </c>
      <c r="L5386" s="25" t="str">
        <f t="shared" si="60"/>
        <v/>
      </c>
      <c r="M5386" s="25"/>
      <c r="O5386" s="25"/>
    </row>
    <row r="5387" ht="15.75" customHeight="1">
      <c r="A5387" s="25" t="str">
        <f>IFERROR(__xludf.DUMMYFUNCTION("IF(B5387="""","""",RIGHT(REGEXREPLACE(B5387&amp;"""",""[^0-9]"",""""),9))"),"718061618")</f>
        <v>718061618</v>
      </c>
      <c r="B5387" s="52">
        <v>7.18061618E8</v>
      </c>
      <c r="C5387" s="28" t="s">
        <v>5336</v>
      </c>
      <c r="D5387" s="26" t="s">
        <v>49</v>
      </c>
      <c r="E5387" s="31">
        <v>46237.0</v>
      </c>
      <c r="F5387" s="26" t="s">
        <v>46</v>
      </c>
      <c r="G5387" s="26">
        <v>9.0</v>
      </c>
      <c r="I5387" s="26" t="s">
        <v>863</v>
      </c>
      <c r="J5387" s="25" t="str">
        <f t="shared" si="58"/>
        <v>No</v>
      </c>
      <c r="K5387" s="25" t="str">
        <f t="shared" si="59"/>
        <v/>
      </c>
      <c r="L5387" s="25" t="str">
        <f t="shared" si="60"/>
        <v/>
      </c>
      <c r="M5387" s="25"/>
      <c r="O5387" s="25"/>
    </row>
    <row r="5388" ht="15.75" customHeight="1">
      <c r="A5388" s="25" t="str">
        <f>IFERROR(__xludf.DUMMYFUNCTION("IF(B5388="""","""",RIGHT(REGEXREPLACE(B5388&amp;"""",""[^0-9]"",""""),9))"),"789351710")</f>
        <v>789351710</v>
      </c>
      <c r="B5388" s="52">
        <v>7.8935171E8</v>
      </c>
      <c r="C5388" s="28" t="s">
        <v>5337</v>
      </c>
      <c r="D5388" s="26" t="s">
        <v>45</v>
      </c>
      <c r="E5388" s="31">
        <v>46237.0</v>
      </c>
      <c r="F5388" s="26" t="s">
        <v>41</v>
      </c>
      <c r="G5388" s="26">
        <v>9.0</v>
      </c>
      <c r="I5388" s="26" t="s">
        <v>863</v>
      </c>
      <c r="J5388" s="25" t="str">
        <f t="shared" si="58"/>
        <v>No</v>
      </c>
      <c r="K5388" s="25" t="str">
        <f t="shared" si="59"/>
        <v/>
      </c>
      <c r="L5388" s="25" t="str">
        <f t="shared" si="60"/>
        <v/>
      </c>
      <c r="M5388" s="25"/>
      <c r="O5388" s="25"/>
    </row>
    <row r="5389" ht="15.75" customHeight="1">
      <c r="A5389" s="25" t="str">
        <f>IFERROR(__xludf.DUMMYFUNCTION("IF(B5389="""","""",RIGHT(REGEXREPLACE(B5389&amp;"""",""[^0-9]"",""""),9))"),"702456820")</f>
        <v>702456820</v>
      </c>
      <c r="B5389" s="52">
        <v>7.0245682E8</v>
      </c>
      <c r="C5389" s="28" t="s">
        <v>5338</v>
      </c>
      <c r="D5389" s="26" t="s">
        <v>56</v>
      </c>
      <c r="E5389" s="31">
        <v>46237.0</v>
      </c>
      <c r="F5389" s="26" t="s">
        <v>46</v>
      </c>
      <c r="G5389" s="26">
        <v>9.0</v>
      </c>
      <c r="I5389" s="26" t="s">
        <v>863</v>
      </c>
      <c r="J5389" s="25" t="str">
        <f t="shared" si="58"/>
        <v>No</v>
      </c>
      <c r="K5389" s="25" t="str">
        <f t="shared" si="59"/>
        <v/>
      </c>
      <c r="L5389" s="25" t="str">
        <f t="shared" si="60"/>
        <v/>
      </c>
      <c r="M5389" s="25"/>
      <c r="O5389" s="25"/>
    </row>
    <row r="5390" ht="15.75" customHeight="1">
      <c r="A5390" s="25" t="str">
        <f>IFERROR(__xludf.DUMMYFUNCTION("IF(B5390="""","""",RIGHT(REGEXREPLACE(B5390&amp;"""",""[^0-9]"",""""),9))"),"777736844")</f>
        <v>777736844</v>
      </c>
      <c r="B5390" s="52">
        <v>7.77736844E8</v>
      </c>
      <c r="C5390" s="28" t="s">
        <v>5339</v>
      </c>
      <c r="D5390" s="26" t="s">
        <v>49</v>
      </c>
      <c r="E5390" s="31">
        <v>46237.0</v>
      </c>
      <c r="F5390" s="26" t="s">
        <v>41</v>
      </c>
      <c r="G5390" s="26">
        <v>9.0</v>
      </c>
      <c r="I5390" s="26" t="s">
        <v>863</v>
      </c>
      <c r="J5390" s="25" t="str">
        <f t="shared" si="58"/>
        <v>No</v>
      </c>
      <c r="K5390" s="25" t="str">
        <f t="shared" si="59"/>
        <v/>
      </c>
      <c r="L5390" s="25" t="str">
        <f t="shared" si="60"/>
        <v/>
      </c>
      <c r="M5390" s="25"/>
      <c r="O5390" s="25"/>
    </row>
    <row r="5391" ht="15.75" customHeight="1">
      <c r="A5391" s="25" t="str">
        <f>IFERROR(__xludf.DUMMYFUNCTION("IF(B5391="""","""",RIGHT(REGEXREPLACE(B5391&amp;"""",""[^0-9]"",""""),9))"),"703698525")</f>
        <v>703698525</v>
      </c>
      <c r="B5391" s="52">
        <v>7.03698525E8</v>
      </c>
      <c r="C5391" s="28" t="s">
        <v>5339</v>
      </c>
      <c r="D5391" s="26" t="s">
        <v>82</v>
      </c>
      <c r="E5391" s="31">
        <v>46237.0</v>
      </c>
      <c r="F5391" s="26" t="s">
        <v>205</v>
      </c>
      <c r="I5391" s="26" t="s">
        <v>863</v>
      </c>
      <c r="J5391" s="25" t="str">
        <f t="shared" si="58"/>
        <v>No</v>
      </c>
      <c r="K5391" s="25" t="str">
        <f t="shared" si="59"/>
        <v/>
      </c>
      <c r="L5391" s="25" t="str">
        <f t="shared" si="60"/>
        <v/>
      </c>
      <c r="M5391" s="25"/>
      <c r="O5391" s="25"/>
    </row>
    <row r="5392" ht="15.75" customHeight="1">
      <c r="A5392" s="25" t="str">
        <f>IFERROR(__xludf.DUMMYFUNCTION("IF(B5392="""","""",RIGHT(REGEXREPLACE(B5392&amp;"""",""[^0-9]"",""""),9))"),"766406393")</f>
        <v>766406393</v>
      </c>
      <c r="B5392" s="52">
        <v>7.66406393E8</v>
      </c>
      <c r="C5392" s="28" t="s">
        <v>5340</v>
      </c>
      <c r="D5392" s="26" t="s">
        <v>45</v>
      </c>
      <c r="E5392" s="31">
        <v>46237.0</v>
      </c>
      <c r="F5392" s="26" t="s">
        <v>46</v>
      </c>
      <c r="G5392" s="26">
        <v>9.0</v>
      </c>
      <c r="I5392" s="26" t="s">
        <v>863</v>
      </c>
      <c r="J5392" s="25" t="str">
        <f t="shared" si="58"/>
        <v>No</v>
      </c>
      <c r="K5392" s="25" t="str">
        <f t="shared" si="59"/>
        <v/>
      </c>
      <c r="L5392" s="25" t="str">
        <f t="shared" si="60"/>
        <v/>
      </c>
      <c r="M5392" s="25"/>
      <c r="O5392" s="25"/>
    </row>
    <row r="5393" ht="15.75" customHeight="1">
      <c r="A5393" s="25" t="str">
        <f>IFERROR(__xludf.DUMMYFUNCTION("IF(B5393="""","""",RIGHT(REGEXREPLACE(B5393&amp;"""",""[^0-9]"",""""),9))"),"766238390")</f>
        <v>766238390</v>
      </c>
      <c r="B5393" s="52">
        <v>7.6623839E8</v>
      </c>
      <c r="C5393" s="28" t="s">
        <v>5341</v>
      </c>
      <c r="D5393" s="26" t="s">
        <v>82</v>
      </c>
      <c r="E5393" s="31">
        <v>46237.0</v>
      </c>
      <c r="F5393" s="26" t="s">
        <v>46</v>
      </c>
      <c r="G5393" s="26">
        <v>9.0</v>
      </c>
      <c r="I5393" s="26" t="s">
        <v>863</v>
      </c>
      <c r="J5393" s="25" t="str">
        <f t="shared" si="58"/>
        <v>No</v>
      </c>
      <c r="K5393" s="25" t="str">
        <f t="shared" si="59"/>
        <v/>
      </c>
      <c r="L5393" s="25" t="str">
        <f t="shared" si="60"/>
        <v/>
      </c>
      <c r="M5393" s="25"/>
      <c r="O5393" s="25"/>
    </row>
    <row r="5394" ht="15.75" customHeight="1">
      <c r="A5394" s="25" t="str">
        <f>IFERROR(__xludf.DUMMYFUNCTION("IF(B5394="""","""",RIGHT(REGEXREPLACE(B5394&amp;"""",""[^0-9]"",""""),9))"),"712985422")</f>
        <v>712985422</v>
      </c>
      <c r="B5394" s="52">
        <v>7.12985422E8</v>
      </c>
      <c r="C5394" s="28" t="s">
        <v>5342</v>
      </c>
      <c r="D5394" s="26" t="s">
        <v>56</v>
      </c>
      <c r="E5394" s="31">
        <v>46237.0</v>
      </c>
      <c r="F5394" s="26" t="s">
        <v>659</v>
      </c>
      <c r="I5394" s="26" t="s">
        <v>863</v>
      </c>
      <c r="J5394" s="25" t="str">
        <f t="shared" si="58"/>
        <v>No</v>
      </c>
      <c r="K5394" s="25" t="str">
        <f t="shared" si="59"/>
        <v/>
      </c>
      <c r="L5394" s="25" t="str">
        <f t="shared" si="60"/>
        <v/>
      </c>
      <c r="M5394" s="25"/>
      <c r="O5394" s="25"/>
    </row>
    <row r="5395" ht="15.75" customHeight="1">
      <c r="A5395" s="25" t="str">
        <f>IFERROR(__xludf.DUMMYFUNCTION("IF(B5395="""","""",RIGHT(REGEXREPLACE(B5395&amp;"""",""[^0-9]"",""""),9))"),"742203119")</f>
        <v>742203119</v>
      </c>
      <c r="B5395" s="52">
        <v>7.42203119E8</v>
      </c>
      <c r="C5395" s="28" t="s">
        <v>5343</v>
      </c>
      <c r="D5395" s="26" t="s">
        <v>45</v>
      </c>
      <c r="E5395" s="31">
        <v>46237.0</v>
      </c>
      <c r="F5395" s="26" t="s">
        <v>46</v>
      </c>
      <c r="G5395" s="26">
        <v>9.0</v>
      </c>
      <c r="I5395" s="26" t="s">
        <v>863</v>
      </c>
      <c r="J5395" s="25" t="str">
        <f t="shared" si="58"/>
        <v>No</v>
      </c>
      <c r="K5395" s="25" t="str">
        <f t="shared" si="59"/>
        <v/>
      </c>
      <c r="L5395" s="25" t="str">
        <f t="shared" si="60"/>
        <v/>
      </c>
      <c r="M5395" s="25"/>
      <c r="O5395" s="25"/>
    </row>
    <row r="5396" ht="15.75" customHeight="1">
      <c r="A5396" s="25" t="str">
        <f>IFERROR(__xludf.DUMMYFUNCTION("IF(B5396="""","""",RIGHT(REGEXREPLACE(B5396&amp;"""",""[^0-9]"",""""),9))"),"764669766")</f>
        <v>764669766</v>
      </c>
      <c r="B5396" s="52">
        <v>7.64669766E8</v>
      </c>
      <c r="C5396" s="28" t="s">
        <v>5344</v>
      </c>
      <c r="D5396" s="26" t="s">
        <v>45</v>
      </c>
      <c r="E5396" s="31">
        <v>46237.0</v>
      </c>
      <c r="F5396" s="26" t="s">
        <v>84</v>
      </c>
      <c r="G5396" s="26">
        <v>9.0</v>
      </c>
      <c r="I5396" s="26" t="s">
        <v>863</v>
      </c>
      <c r="J5396" s="25" t="str">
        <f t="shared" si="58"/>
        <v>No</v>
      </c>
      <c r="K5396" s="25" t="str">
        <f t="shared" si="59"/>
        <v/>
      </c>
      <c r="L5396" s="25" t="str">
        <f t="shared" si="60"/>
        <v/>
      </c>
      <c r="M5396" s="25"/>
      <c r="O5396" s="25"/>
    </row>
    <row r="5397" ht="15.75" customHeight="1">
      <c r="A5397" s="25" t="str">
        <f>IFERROR(__xludf.DUMMYFUNCTION("IF(B5397="""","""",RIGHT(REGEXREPLACE(B5397&amp;"""",""[^0-9]"",""""),9))"),"713603571")</f>
        <v>713603571</v>
      </c>
      <c r="B5397" s="52">
        <v>7.13603571E8</v>
      </c>
      <c r="C5397" s="28" t="s">
        <v>5345</v>
      </c>
      <c r="D5397" s="26" t="s">
        <v>49</v>
      </c>
      <c r="E5397" s="31">
        <v>46237.0</v>
      </c>
      <c r="F5397" s="26" t="s">
        <v>46</v>
      </c>
      <c r="G5397" s="26">
        <v>9.0</v>
      </c>
      <c r="H5397" s="26" t="s">
        <v>4974</v>
      </c>
      <c r="I5397" s="26" t="s">
        <v>863</v>
      </c>
      <c r="J5397" s="25" t="str">
        <f t="shared" si="58"/>
        <v>No</v>
      </c>
      <c r="K5397" s="25" t="str">
        <f t="shared" si="59"/>
        <v/>
      </c>
      <c r="L5397" s="25" t="str">
        <f t="shared" si="60"/>
        <v/>
      </c>
      <c r="M5397" s="25"/>
      <c r="O5397" s="25"/>
    </row>
    <row r="5398" ht="15.75" customHeight="1">
      <c r="A5398" s="25" t="str">
        <f>IFERROR(__xludf.DUMMYFUNCTION("IF(B5398="""","""",RIGHT(REGEXREPLACE(B5398&amp;"""",""[^0-9]"",""""),9))"),"710311195")</f>
        <v>710311195</v>
      </c>
      <c r="B5398" s="52">
        <v>7.10311195E8</v>
      </c>
      <c r="C5398" s="28" t="s">
        <v>5346</v>
      </c>
      <c r="D5398" s="26" t="s">
        <v>45</v>
      </c>
      <c r="E5398" s="31">
        <v>46237.0</v>
      </c>
      <c r="F5398" s="26" t="s">
        <v>41</v>
      </c>
      <c r="G5398" s="26">
        <v>9.0</v>
      </c>
      <c r="I5398" s="26" t="s">
        <v>863</v>
      </c>
      <c r="J5398" s="25" t="str">
        <f t="shared" si="58"/>
        <v>No</v>
      </c>
      <c r="K5398" s="25" t="str">
        <f t="shared" si="59"/>
        <v/>
      </c>
      <c r="L5398" s="25" t="str">
        <f t="shared" si="60"/>
        <v/>
      </c>
      <c r="M5398" s="25"/>
      <c r="O5398" s="25"/>
    </row>
    <row r="5399" ht="15.75" customHeight="1">
      <c r="A5399" s="25" t="str">
        <f>IFERROR(__xludf.DUMMYFUNCTION("IF(B5399="""","""",RIGHT(REGEXREPLACE(B5399&amp;"""",""[^0-9]"",""""),9))"),"777169814")</f>
        <v>777169814</v>
      </c>
      <c r="B5399" s="52">
        <v>7.77169814E8</v>
      </c>
      <c r="C5399" s="28" t="s">
        <v>5347</v>
      </c>
      <c r="D5399" s="26" t="s">
        <v>82</v>
      </c>
      <c r="E5399" s="31">
        <v>46237.0</v>
      </c>
      <c r="F5399" s="26" t="s">
        <v>46</v>
      </c>
      <c r="G5399" s="26">
        <v>9.0</v>
      </c>
      <c r="I5399" s="26" t="s">
        <v>863</v>
      </c>
      <c r="J5399" s="25" t="str">
        <f t="shared" si="58"/>
        <v>No</v>
      </c>
      <c r="K5399" s="25" t="str">
        <f t="shared" si="59"/>
        <v/>
      </c>
      <c r="L5399" s="25" t="str">
        <f t="shared" si="60"/>
        <v/>
      </c>
      <c r="M5399" s="25"/>
      <c r="O5399" s="25"/>
    </row>
    <row r="5400" ht="15.75" customHeight="1">
      <c r="A5400" s="25" t="str">
        <f>IFERROR(__xludf.DUMMYFUNCTION("IF(B5400="""","""",RIGHT(REGEXREPLACE(B5400&amp;"""",""[^0-9]"",""""),9))"),"768333844")</f>
        <v>768333844</v>
      </c>
      <c r="B5400" s="52">
        <v>7.68333844E8</v>
      </c>
      <c r="C5400" s="28" t="s">
        <v>5348</v>
      </c>
      <c r="D5400" s="26" t="s">
        <v>56</v>
      </c>
      <c r="E5400" s="31">
        <v>46237.0</v>
      </c>
      <c r="F5400" s="26" t="s">
        <v>164</v>
      </c>
      <c r="I5400" s="26" t="s">
        <v>863</v>
      </c>
      <c r="J5400" s="25" t="str">
        <f t="shared" si="58"/>
        <v>No</v>
      </c>
      <c r="K5400" s="25" t="str">
        <f t="shared" si="59"/>
        <v/>
      </c>
      <c r="L5400" s="25" t="str">
        <f t="shared" si="60"/>
        <v/>
      </c>
      <c r="M5400" s="25"/>
      <c r="O5400" s="25"/>
    </row>
    <row r="5401" ht="15.75" customHeight="1">
      <c r="A5401" s="25" t="str">
        <f>IFERROR(__xludf.DUMMYFUNCTION("IF(B5401="""","""",RIGHT(REGEXREPLACE(B5401&amp;"""",""[^0-9]"",""""),9))"),"786048989")</f>
        <v>786048989</v>
      </c>
      <c r="B5401" s="52">
        <v>7.86048989E8</v>
      </c>
      <c r="C5401" s="28" t="s">
        <v>5349</v>
      </c>
      <c r="D5401" s="26" t="s">
        <v>45</v>
      </c>
      <c r="E5401" s="31">
        <v>46237.0</v>
      </c>
      <c r="F5401" s="26" t="s">
        <v>41</v>
      </c>
      <c r="G5401" s="26">
        <v>9.0</v>
      </c>
      <c r="I5401" s="26" t="s">
        <v>863</v>
      </c>
      <c r="J5401" s="25" t="str">
        <f t="shared" si="58"/>
        <v>No</v>
      </c>
      <c r="K5401" s="25" t="str">
        <f t="shared" si="59"/>
        <v/>
      </c>
      <c r="L5401" s="25" t="str">
        <f t="shared" si="60"/>
        <v/>
      </c>
      <c r="M5401" s="25"/>
      <c r="O5401" s="25"/>
    </row>
    <row r="5402" ht="15.75" customHeight="1">
      <c r="A5402" s="25" t="str">
        <f>IFERROR(__xludf.DUMMYFUNCTION("IF(B5402="""","""",RIGHT(REGEXREPLACE(B5402&amp;"""",""[^0-9]"",""""),9))"),"710311601")</f>
        <v>710311601</v>
      </c>
      <c r="B5402" s="52">
        <v>7.10311601E8</v>
      </c>
      <c r="C5402" s="28" t="s">
        <v>5350</v>
      </c>
      <c r="D5402" s="26" t="s">
        <v>45</v>
      </c>
      <c r="E5402" s="31">
        <v>46237.0</v>
      </c>
      <c r="F5402" s="26" t="s">
        <v>46</v>
      </c>
      <c r="G5402" s="26">
        <v>9.0</v>
      </c>
      <c r="I5402" s="26" t="s">
        <v>863</v>
      </c>
      <c r="J5402" s="25" t="str">
        <f t="shared" si="58"/>
        <v>No</v>
      </c>
      <c r="K5402" s="25" t="str">
        <f t="shared" si="59"/>
        <v/>
      </c>
      <c r="L5402" s="25" t="str">
        <f t="shared" si="60"/>
        <v/>
      </c>
      <c r="M5402" s="25"/>
      <c r="O5402" s="25"/>
    </row>
    <row r="5403" ht="15.75" customHeight="1">
      <c r="A5403" s="25" t="str">
        <f>IFERROR(__xludf.DUMMYFUNCTION("IF(B5403="""","""",RIGHT(REGEXREPLACE(B5403&amp;"""",""[^0-9]"",""""),9))"),"768045836")</f>
        <v>768045836</v>
      </c>
      <c r="B5403" s="52">
        <v>7.68045836E8</v>
      </c>
      <c r="C5403" s="28" t="s">
        <v>5351</v>
      </c>
      <c r="D5403" s="26" t="s">
        <v>56</v>
      </c>
      <c r="E5403" s="31">
        <v>46237.0</v>
      </c>
      <c r="F5403" s="26" t="s">
        <v>46</v>
      </c>
      <c r="G5403" s="26">
        <v>9.0</v>
      </c>
      <c r="I5403" s="26" t="s">
        <v>863</v>
      </c>
      <c r="J5403" s="25" t="str">
        <f t="shared" si="58"/>
        <v>No</v>
      </c>
      <c r="K5403" s="25" t="str">
        <f t="shared" si="59"/>
        <v/>
      </c>
      <c r="L5403" s="25" t="str">
        <f t="shared" si="60"/>
        <v/>
      </c>
      <c r="M5403" s="25"/>
      <c r="O5403" s="25"/>
    </row>
    <row r="5404" ht="15.75" customHeight="1">
      <c r="A5404" s="25" t="str">
        <f>IFERROR(__xludf.DUMMYFUNCTION("IF(B5404="""","""",RIGHT(REGEXREPLACE(B5404&amp;"""",""[^0-9]"",""""),9))"),"718242827")</f>
        <v>718242827</v>
      </c>
      <c r="B5404" s="52">
        <v>7.18242827E8</v>
      </c>
      <c r="C5404" s="28" t="s">
        <v>5352</v>
      </c>
      <c r="D5404" s="26" t="s">
        <v>82</v>
      </c>
      <c r="E5404" s="31">
        <v>46237.0</v>
      </c>
      <c r="F5404" s="26" t="s">
        <v>659</v>
      </c>
      <c r="G5404" s="26">
        <v>9.0</v>
      </c>
      <c r="I5404" s="26" t="s">
        <v>863</v>
      </c>
      <c r="J5404" s="25" t="str">
        <f t="shared" si="58"/>
        <v>No</v>
      </c>
      <c r="K5404" s="25" t="str">
        <f t="shared" si="59"/>
        <v/>
      </c>
      <c r="L5404" s="25" t="str">
        <f t="shared" si="60"/>
        <v/>
      </c>
      <c r="M5404" s="25"/>
      <c r="O5404" s="25"/>
    </row>
    <row r="5405" ht="15.75" customHeight="1">
      <c r="A5405" s="25" t="str">
        <f>IFERROR(__xludf.DUMMYFUNCTION("IF(B5405="""","""",RIGHT(REGEXREPLACE(B5405&amp;"""",""[^0-9]"",""""),9))"),"782075590")</f>
        <v>782075590</v>
      </c>
      <c r="B5405" s="52">
        <v>7.8207559E8</v>
      </c>
      <c r="C5405" s="28" t="s">
        <v>5353</v>
      </c>
      <c r="D5405" s="26" t="s">
        <v>45</v>
      </c>
      <c r="E5405" s="31">
        <v>46237.0</v>
      </c>
      <c r="F5405" s="26" t="s">
        <v>41</v>
      </c>
      <c r="I5405" s="26" t="s">
        <v>863</v>
      </c>
      <c r="J5405" s="25" t="str">
        <f t="shared" si="58"/>
        <v>No</v>
      </c>
      <c r="K5405" s="25" t="str">
        <f t="shared" si="59"/>
        <v/>
      </c>
      <c r="L5405" s="25" t="str">
        <f t="shared" si="60"/>
        <v/>
      </c>
      <c r="M5405" s="25"/>
      <c r="O5405" s="25"/>
    </row>
    <row r="5406" ht="15.75" customHeight="1">
      <c r="A5406" s="25" t="str">
        <f>IFERROR(__xludf.DUMMYFUNCTION("IF(B5406="""","""",RIGHT(REGEXREPLACE(B5406&amp;"""",""[^0-9]"",""""),9))"),"715565567")</f>
        <v>715565567</v>
      </c>
      <c r="B5406" s="52">
        <v>7.15565567E8</v>
      </c>
      <c r="C5406" s="28" t="s">
        <v>5354</v>
      </c>
      <c r="D5406" s="26" t="s">
        <v>49</v>
      </c>
      <c r="E5406" s="31">
        <v>46237.0</v>
      </c>
      <c r="F5406" s="26" t="s">
        <v>46</v>
      </c>
      <c r="G5406" s="26">
        <v>9.0</v>
      </c>
      <c r="H5406" s="26" t="s">
        <v>5355</v>
      </c>
      <c r="I5406" s="26" t="s">
        <v>863</v>
      </c>
      <c r="J5406" s="25" t="str">
        <f t="shared" si="58"/>
        <v>No</v>
      </c>
      <c r="K5406" s="25" t="str">
        <f t="shared" si="59"/>
        <v/>
      </c>
      <c r="L5406" s="25" t="str">
        <f t="shared" si="60"/>
        <v/>
      </c>
      <c r="M5406" s="25"/>
      <c r="O5406" s="25"/>
    </row>
    <row r="5407" ht="15.75" customHeight="1">
      <c r="A5407" s="25" t="str">
        <f>IFERROR(__xludf.DUMMYFUNCTION("IF(B5407="""","""",RIGHT(REGEXREPLACE(B5407&amp;"""",""[^0-9]"",""""),9))"),"789907221")</f>
        <v>789907221</v>
      </c>
      <c r="B5407" s="52">
        <v>7.89907221E8</v>
      </c>
      <c r="C5407" s="28" t="s">
        <v>5356</v>
      </c>
      <c r="D5407" s="26" t="s">
        <v>82</v>
      </c>
      <c r="E5407" s="31">
        <v>46237.0</v>
      </c>
      <c r="F5407" s="26" t="s">
        <v>46</v>
      </c>
      <c r="G5407" s="26">
        <v>9.0</v>
      </c>
      <c r="I5407" s="26" t="s">
        <v>863</v>
      </c>
      <c r="J5407" s="25" t="str">
        <f t="shared" si="58"/>
        <v>No</v>
      </c>
      <c r="K5407" s="25" t="str">
        <f t="shared" si="59"/>
        <v/>
      </c>
      <c r="L5407" s="25" t="str">
        <f t="shared" si="60"/>
        <v/>
      </c>
      <c r="M5407" s="25"/>
      <c r="O5407" s="25"/>
    </row>
    <row r="5408" ht="15.75" customHeight="1">
      <c r="A5408" s="25" t="str">
        <f>IFERROR(__xludf.DUMMYFUNCTION("IF(B5408="""","""",RIGHT(REGEXREPLACE(B5408&amp;"""",""[^0-9]"",""""),9))"),"760157659")</f>
        <v>760157659</v>
      </c>
      <c r="B5408" s="52">
        <v>7.60157659E8</v>
      </c>
      <c r="C5408" s="28" t="s">
        <v>5357</v>
      </c>
      <c r="D5408" s="26" t="s">
        <v>56</v>
      </c>
      <c r="E5408" s="31">
        <v>46237.0</v>
      </c>
      <c r="F5408" s="26" t="s">
        <v>659</v>
      </c>
      <c r="I5408" s="26" t="s">
        <v>863</v>
      </c>
      <c r="J5408" s="25" t="str">
        <f t="shared" si="58"/>
        <v>No</v>
      </c>
      <c r="K5408" s="25" t="str">
        <f t="shared" si="59"/>
        <v/>
      </c>
      <c r="L5408" s="25" t="str">
        <f t="shared" si="60"/>
        <v/>
      </c>
      <c r="M5408" s="25"/>
      <c r="O5408" s="25"/>
    </row>
    <row r="5409" ht="15.75" customHeight="1">
      <c r="A5409" s="25" t="str">
        <f>IFERROR(__xludf.DUMMYFUNCTION("IF(B5409="""","""",RIGHT(REGEXREPLACE(B5409&amp;"""",""[^0-9]"",""""),9))"),"743580000")</f>
        <v>743580000</v>
      </c>
      <c r="B5409" s="52">
        <v>7.4358E8</v>
      </c>
      <c r="C5409" s="28" t="s">
        <v>5358</v>
      </c>
      <c r="D5409" s="26" t="s">
        <v>56</v>
      </c>
      <c r="E5409" s="31">
        <v>46237.0</v>
      </c>
      <c r="F5409" s="26" t="s">
        <v>46</v>
      </c>
      <c r="G5409" s="26">
        <v>9.0</v>
      </c>
      <c r="I5409" s="26" t="s">
        <v>863</v>
      </c>
      <c r="J5409" s="25" t="str">
        <f t="shared" si="58"/>
        <v>No</v>
      </c>
      <c r="K5409" s="25" t="str">
        <f t="shared" si="59"/>
        <v/>
      </c>
      <c r="L5409" s="25" t="str">
        <f t="shared" si="60"/>
        <v/>
      </c>
      <c r="M5409" s="25"/>
      <c r="O5409" s="26" t="s">
        <v>51</v>
      </c>
    </row>
    <row r="5410" ht="15.75" customHeight="1">
      <c r="A5410" s="25" t="str">
        <f>IFERROR(__xludf.DUMMYFUNCTION("IF(B5410="""","""",RIGHT(REGEXREPLACE(B5410&amp;"""",""[^0-9]"",""""),9))"),"715408635")</f>
        <v>715408635</v>
      </c>
      <c r="B5410" s="52">
        <v>7.15408635E8</v>
      </c>
      <c r="C5410" s="28" t="s">
        <v>5359</v>
      </c>
      <c r="D5410" s="26" t="s">
        <v>56</v>
      </c>
      <c r="E5410" s="31">
        <v>46237.0</v>
      </c>
      <c r="F5410" s="26" t="s">
        <v>41</v>
      </c>
      <c r="I5410" s="26" t="s">
        <v>863</v>
      </c>
      <c r="J5410" s="25" t="str">
        <f t="shared" si="58"/>
        <v>No</v>
      </c>
      <c r="K5410" s="25" t="str">
        <f t="shared" si="59"/>
        <v/>
      </c>
      <c r="L5410" s="25" t="str">
        <f t="shared" si="60"/>
        <v/>
      </c>
      <c r="M5410" s="25"/>
      <c r="O5410" s="25"/>
    </row>
    <row r="5411" ht="15.75" customHeight="1">
      <c r="A5411" s="25" t="str">
        <f>IFERROR(__xludf.DUMMYFUNCTION("IF(B5411="""","""",RIGHT(REGEXREPLACE(B5411&amp;"""",""[^0-9]"",""""),9))"),"760131702")</f>
        <v>760131702</v>
      </c>
      <c r="B5411" s="52">
        <v>7.60131702E8</v>
      </c>
      <c r="C5411" s="28" t="s">
        <v>5360</v>
      </c>
      <c r="D5411" s="26" t="s">
        <v>49</v>
      </c>
      <c r="E5411" s="31">
        <v>46237.0</v>
      </c>
      <c r="F5411" s="26" t="s">
        <v>46</v>
      </c>
      <c r="G5411" s="26">
        <v>7.0</v>
      </c>
      <c r="I5411" s="26" t="s">
        <v>863</v>
      </c>
      <c r="J5411" s="25" t="str">
        <f t="shared" si="58"/>
        <v>No</v>
      </c>
      <c r="K5411" s="25" t="str">
        <f t="shared" si="59"/>
        <v/>
      </c>
      <c r="L5411" s="25" t="str">
        <f t="shared" si="60"/>
        <v/>
      </c>
      <c r="M5411" s="25"/>
      <c r="O5411" s="25"/>
    </row>
    <row r="5412" ht="15.75" customHeight="1">
      <c r="A5412" s="25" t="str">
        <f>IFERROR(__xludf.DUMMYFUNCTION("IF(B5412="""","""",RIGHT(REGEXREPLACE(B5412&amp;"""",""[^0-9]"",""""),9))"),"778360991")</f>
        <v>778360991</v>
      </c>
      <c r="B5412" s="52">
        <v>7.78360991E8</v>
      </c>
      <c r="C5412" s="28" t="s">
        <v>5361</v>
      </c>
      <c r="D5412" s="26" t="s">
        <v>45</v>
      </c>
      <c r="E5412" s="31">
        <v>46237.0</v>
      </c>
      <c r="F5412" s="26" t="s">
        <v>41</v>
      </c>
      <c r="G5412" s="26">
        <v>9.0</v>
      </c>
      <c r="I5412" s="26" t="s">
        <v>863</v>
      </c>
      <c r="J5412" s="25" t="str">
        <f t="shared" si="58"/>
        <v>No</v>
      </c>
      <c r="K5412" s="25" t="str">
        <f t="shared" si="59"/>
        <v/>
      </c>
      <c r="L5412" s="25" t="str">
        <f t="shared" si="60"/>
        <v/>
      </c>
      <c r="M5412" s="25"/>
      <c r="O5412" s="25"/>
    </row>
    <row r="5413" ht="15.75" customHeight="1">
      <c r="A5413" s="25" t="str">
        <f>IFERROR(__xludf.DUMMYFUNCTION("IF(B5413="""","""",RIGHT(REGEXREPLACE(B5413&amp;"""",""[^0-9]"",""""),9))"),"710481335")</f>
        <v>710481335</v>
      </c>
      <c r="B5413" s="52">
        <v>7.10481335E8</v>
      </c>
      <c r="C5413" s="28" t="s">
        <v>5362</v>
      </c>
      <c r="D5413" s="26" t="s">
        <v>45</v>
      </c>
      <c r="E5413" s="31">
        <v>46237.0</v>
      </c>
      <c r="F5413" s="26" t="s">
        <v>125</v>
      </c>
      <c r="I5413" s="26" t="s">
        <v>863</v>
      </c>
      <c r="J5413" s="25" t="str">
        <f t="shared" si="58"/>
        <v>No</v>
      </c>
      <c r="K5413" s="25" t="str">
        <f t="shared" si="59"/>
        <v/>
      </c>
      <c r="L5413" s="25" t="str">
        <f t="shared" si="60"/>
        <v/>
      </c>
      <c r="M5413" s="25"/>
      <c r="O5413" s="25"/>
    </row>
    <row r="5414" ht="15.75" customHeight="1">
      <c r="A5414" s="25" t="str">
        <f>IFERROR(__xludf.DUMMYFUNCTION("IF(B5414="""","""",RIGHT(REGEXREPLACE(B5414&amp;"""",""[^0-9]"",""""),9))"),"740116846")</f>
        <v>740116846</v>
      </c>
      <c r="B5414" s="52">
        <v>7.40116846E8</v>
      </c>
      <c r="C5414" s="28" t="s">
        <v>5363</v>
      </c>
      <c r="D5414" s="26" t="s">
        <v>45</v>
      </c>
      <c r="E5414" s="31">
        <v>46237.0</v>
      </c>
      <c r="F5414" s="26" t="s">
        <v>41</v>
      </c>
      <c r="I5414" s="26" t="s">
        <v>863</v>
      </c>
      <c r="J5414" s="25" t="str">
        <f t="shared" si="58"/>
        <v>No</v>
      </c>
      <c r="K5414" s="25" t="str">
        <f t="shared" si="59"/>
        <v/>
      </c>
      <c r="L5414" s="25" t="str">
        <f t="shared" si="60"/>
        <v/>
      </c>
      <c r="M5414" s="25"/>
      <c r="O5414" s="25"/>
    </row>
    <row r="5415" ht="15.75" customHeight="1">
      <c r="A5415" s="25" t="str">
        <f>IFERROR(__xludf.DUMMYFUNCTION("IF(B5415="""","""",RIGHT(REGEXREPLACE(B5415&amp;"""",""[^0-9]"",""""),9))"),"717061148")</f>
        <v>717061148</v>
      </c>
      <c r="B5415" s="52">
        <v>7.17061148E8</v>
      </c>
      <c r="C5415" s="28" t="s">
        <v>5364</v>
      </c>
      <c r="D5415" s="26" t="s">
        <v>82</v>
      </c>
      <c r="E5415" s="31">
        <v>46237.0</v>
      </c>
      <c r="F5415" s="26" t="s">
        <v>164</v>
      </c>
      <c r="G5415" s="26">
        <v>9.0</v>
      </c>
      <c r="I5415" s="26" t="s">
        <v>863</v>
      </c>
      <c r="J5415" s="25" t="str">
        <f t="shared" si="58"/>
        <v>No</v>
      </c>
      <c r="K5415" s="25" t="str">
        <f t="shared" si="59"/>
        <v/>
      </c>
      <c r="L5415" s="25" t="str">
        <f t="shared" si="60"/>
        <v/>
      </c>
      <c r="M5415" s="25"/>
      <c r="O5415" s="25"/>
    </row>
    <row r="5416" ht="15.75" customHeight="1">
      <c r="A5416" s="25" t="str">
        <f>IFERROR(__xludf.DUMMYFUNCTION("IF(B5416="""","""",RIGHT(REGEXREPLACE(B5416&amp;"""",""[^0-9]"",""""),9))"),"741235757")</f>
        <v>741235757</v>
      </c>
      <c r="B5416" s="52">
        <v>7.41235757E8</v>
      </c>
      <c r="C5416" s="28" t="s">
        <v>5365</v>
      </c>
      <c r="D5416" s="26" t="s">
        <v>56</v>
      </c>
      <c r="E5416" s="31">
        <v>46237.0</v>
      </c>
      <c r="F5416" s="26" t="s">
        <v>46</v>
      </c>
      <c r="G5416" s="26">
        <v>9.0</v>
      </c>
      <c r="I5416" s="26" t="s">
        <v>863</v>
      </c>
      <c r="J5416" s="25" t="str">
        <f t="shared" si="58"/>
        <v>No</v>
      </c>
      <c r="K5416" s="25" t="str">
        <f t="shared" si="59"/>
        <v/>
      </c>
      <c r="L5416" s="25" t="str">
        <f t="shared" si="60"/>
        <v/>
      </c>
      <c r="M5416" s="25"/>
      <c r="O5416" s="25"/>
    </row>
    <row r="5417" ht="15.75" customHeight="1">
      <c r="A5417" s="25" t="str">
        <f>IFERROR(__xludf.DUMMYFUNCTION("IF(B5417="""","""",RIGHT(REGEXREPLACE(B5417&amp;"""",""[^0-9]"",""""),9))"),"778096009")</f>
        <v>778096009</v>
      </c>
      <c r="B5417" s="52">
        <v>7.78096009E8</v>
      </c>
      <c r="C5417" s="28" t="s">
        <v>5366</v>
      </c>
      <c r="D5417" s="26" t="s">
        <v>45</v>
      </c>
      <c r="E5417" s="31">
        <v>46237.0</v>
      </c>
      <c r="F5417" s="26" t="s">
        <v>46</v>
      </c>
      <c r="G5417" s="26">
        <v>9.0</v>
      </c>
      <c r="I5417" s="26" t="s">
        <v>863</v>
      </c>
      <c r="J5417" s="25" t="str">
        <f t="shared" si="58"/>
        <v>No</v>
      </c>
      <c r="K5417" s="25" t="str">
        <f t="shared" si="59"/>
        <v/>
      </c>
      <c r="L5417" s="25" t="str">
        <f t="shared" si="60"/>
        <v/>
      </c>
      <c r="M5417" s="25"/>
      <c r="O5417" s="25"/>
    </row>
    <row r="5418" ht="15.75" customHeight="1">
      <c r="A5418" s="25" t="str">
        <f>IFERROR(__xludf.DUMMYFUNCTION("IF(B5418="""","""",RIGHT(REGEXREPLACE(B5418&amp;"""",""[^0-9]"",""""),9))"),"752034824")</f>
        <v>752034824</v>
      </c>
      <c r="B5418" s="52">
        <v>7.52034824E8</v>
      </c>
      <c r="C5418" s="28" t="s">
        <v>5367</v>
      </c>
      <c r="D5418" s="26" t="s">
        <v>45</v>
      </c>
      <c r="E5418" s="31">
        <v>46237.0</v>
      </c>
      <c r="F5418" s="26" t="s">
        <v>205</v>
      </c>
      <c r="G5418" s="26">
        <v>9.0</v>
      </c>
      <c r="I5418" s="26" t="s">
        <v>863</v>
      </c>
      <c r="J5418" s="25" t="str">
        <f t="shared" si="58"/>
        <v>No</v>
      </c>
      <c r="K5418" s="25" t="str">
        <f t="shared" si="59"/>
        <v/>
      </c>
      <c r="L5418" s="25" t="str">
        <f t="shared" si="60"/>
        <v/>
      </c>
      <c r="M5418" s="25"/>
      <c r="O5418" s="26" t="s">
        <v>51</v>
      </c>
    </row>
    <row r="5419" ht="15.75" customHeight="1">
      <c r="A5419" s="25" t="str">
        <f>IFERROR(__xludf.DUMMYFUNCTION("IF(B5419="""","""",RIGHT(REGEXREPLACE(B5419&amp;"""",""[^0-9]"",""""),9))"),"754187299")</f>
        <v>754187299</v>
      </c>
      <c r="B5419" s="52">
        <v>7.54187299E8</v>
      </c>
      <c r="C5419" s="28" t="s">
        <v>5368</v>
      </c>
      <c r="D5419" s="26" t="s">
        <v>49</v>
      </c>
      <c r="E5419" s="31">
        <v>46237.0</v>
      </c>
      <c r="F5419" s="26" t="s">
        <v>46</v>
      </c>
      <c r="G5419" s="26">
        <v>9.0</v>
      </c>
      <c r="H5419" s="26" t="s">
        <v>5369</v>
      </c>
      <c r="I5419" s="26" t="s">
        <v>863</v>
      </c>
      <c r="J5419" s="25" t="str">
        <f t="shared" si="58"/>
        <v>No</v>
      </c>
      <c r="K5419" s="25" t="str">
        <f t="shared" si="59"/>
        <v/>
      </c>
      <c r="L5419" s="25" t="str">
        <f t="shared" si="60"/>
        <v/>
      </c>
      <c r="M5419" s="25"/>
      <c r="O5419" s="25"/>
    </row>
    <row r="5420" ht="15.75" customHeight="1">
      <c r="A5420" s="25" t="str">
        <f>IFERROR(__xludf.DUMMYFUNCTION("IF(B5420="""","""",RIGHT(REGEXREPLACE(B5420&amp;"""",""[^0-9]"",""""),9))"),"775364135")</f>
        <v>775364135</v>
      </c>
      <c r="B5420" s="52">
        <v>7.75364135E8</v>
      </c>
      <c r="C5420" s="28" t="s">
        <v>5370</v>
      </c>
      <c r="D5420" s="26" t="s">
        <v>82</v>
      </c>
      <c r="E5420" s="31">
        <v>46237.0</v>
      </c>
      <c r="F5420" s="26" t="s">
        <v>46</v>
      </c>
      <c r="G5420" s="26">
        <v>9.0</v>
      </c>
      <c r="I5420" s="26" t="s">
        <v>863</v>
      </c>
      <c r="J5420" s="25" t="str">
        <f t="shared" si="58"/>
        <v>No</v>
      </c>
      <c r="K5420" s="25" t="str">
        <f t="shared" si="59"/>
        <v/>
      </c>
      <c r="L5420" s="25" t="str">
        <f t="shared" si="60"/>
        <v/>
      </c>
      <c r="M5420" s="25"/>
      <c r="O5420" s="25"/>
    </row>
    <row r="5421" ht="15.75" customHeight="1">
      <c r="A5421" s="25" t="str">
        <f>IFERROR(__xludf.DUMMYFUNCTION("IF(B5421="""","""",RIGHT(REGEXREPLACE(B5421&amp;"""",""[^0-9]"",""""),9))"),"568702641")</f>
        <v>568702641</v>
      </c>
      <c r="B5421" s="52">
        <v>5.68702641E8</v>
      </c>
      <c r="C5421" s="28" t="s">
        <v>5371</v>
      </c>
      <c r="D5421" s="26" t="s">
        <v>56</v>
      </c>
      <c r="E5421" s="31">
        <v>46237.0</v>
      </c>
      <c r="F5421" s="26" t="s">
        <v>814</v>
      </c>
      <c r="G5421" s="26">
        <v>8.0</v>
      </c>
      <c r="I5421" s="26" t="s">
        <v>863</v>
      </c>
      <c r="J5421" s="25" t="str">
        <f t="shared" si="58"/>
        <v>No</v>
      </c>
      <c r="K5421" s="25" t="str">
        <f t="shared" si="59"/>
        <v/>
      </c>
      <c r="L5421" s="25" t="str">
        <f t="shared" si="60"/>
        <v/>
      </c>
      <c r="M5421" s="25"/>
      <c r="O5421" s="25"/>
    </row>
    <row r="5422" ht="15.75" customHeight="1">
      <c r="A5422" s="25" t="str">
        <f>IFERROR(__xludf.DUMMYFUNCTION("IF(B5422="""","""",RIGHT(REGEXREPLACE(B5422&amp;"""",""[^0-9]"",""""),9))"),"743941238")</f>
        <v>743941238</v>
      </c>
      <c r="B5422" s="52">
        <v>7.43941238E8</v>
      </c>
      <c r="C5422" s="28" t="s">
        <v>5372</v>
      </c>
      <c r="D5422" s="26" t="s">
        <v>45</v>
      </c>
      <c r="E5422" s="31">
        <v>46237.0</v>
      </c>
      <c r="F5422" s="26" t="s">
        <v>84</v>
      </c>
      <c r="G5422" s="26">
        <v>9.0</v>
      </c>
      <c r="I5422" s="26" t="s">
        <v>863</v>
      </c>
      <c r="J5422" s="25" t="str">
        <f t="shared" si="58"/>
        <v>No</v>
      </c>
      <c r="K5422" s="25" t="str">
        <f t="shared" si="59"/>
        <v/>
      </c>
      <c r="L5422" s="25" t="str">
        <f t="shared" si="60"/>
        <v/>
      </c>
      <c r="M5422" s="25"/>
      <c r="O5422" s="25"/>
    </row>
    <row r="5423" ht="15.75" customHeight="1">
      <c r="A5423" s="25" t="str">
        <f>IFERROR(__xludf.DUMMYFUNCTION("IF(B5423="""","""",RIGHT(REGEXREPLACE(B5423&amp;"""",""[^0-9]"",""""),9))"),"741775236")</f>
        <v>741775236</v>
      </c>
      <c r="B5423" s="52">
        <v>7.41775236E8</v>
      </c>
      <c r="C5423" s="28" t="s">
        <v>5373</v>
      </c>
      <c r="D5423" s="26" t="s">
        <v>56</v>
      </c>
      <c r="E5423" s="31">
        <v>46237.0</v>
      </c>
      <c r="F5423" s="26" t="s">
        <v>41</v>
      </c>
      <c r="G5423" s="26">
        <v>9.0</v>
      </c>
      <c r="I5423" s="26" t="s">
        <v>863</v>
      </c>
      <c r="J5423" s="25" t="str">
        <f t="shared" si="58"/>
        <v>No</v>
      </c>
      <c r="K5423" s="25" t="str">
        <f t="shared" si="59"/>
        <v/>
      </c>
      <c r="L5423" s="25" t="str">
        <f t="shared" si="60"/>
        <v/>
      </c>
      <c r="M5423" s="25"/>
      <c r="O5423" s="25"/>
    </row>
    <row r="5424" ht="15.75" customHeight="1">
      <c r="A5424" s="25" t="str">
        <f>IFERROR(__xludf.DUMMYFUNCTION("IF(B5424="""","""",RIGHT(REGEXREPLACE(B5424&amp;"""",""[^0-9]"",""""),9))"),"740425913")</f>
        <v>740425913</v>
      </c>
      <c r="B5424" s="52">
        <v>7.40425913E8</v>
      </c>
      <c r="C5424" s="28" t="s">
        <v>5374</v>
      </c>
      <c r="D5424" s="26" t="s">
        <v>49</v>
      </c>
      <c r="E5424" s="31">
        <v>46237.0</v>
      </c>
      <c r="F5424" s="26" t="s">
        <v>41</v>
      </c>
      <c r="I5424" s="26" t="s">
        <v>863</v>
      </c>
      <c r="J5424" s="25" t="str">
        <f t="shared" si="58"/>
        <v>No</v>
      </c>
      <c r="K5424" s="25" t="str">
        <f t="shared" si="59"/>
        <v/>
      </c>
      <c r="L5424" s="25" t="str">
        <f t="shared" si="60"/>
        <v/>
      </c>
      <c r="M5424" s="25"/>
      <c r="O5424" s="25"/>
    </row>
    <row r="5425" ht="15.75" customHeight="1">
      <c r="A5425" s="25" t="str">
        <f>IFERROR(__xludf.DUMMYFUNCTION("IF(B5425="""","""",RIGHT(REGEXREPLACE(B5425&amp;"""",""[^0-9]"",""""),9))"),"703406805")</f>
        <v>703406805</v>
      </c>
      <c r="B5425" s="52">
        <v>7.03406805E8</v>
      </c>
      <c r="C5425" s="28" t="s">
        <v>5375</v>
      </c>
      <c r="D5425" s="26" t="s">
        <v>45</v>
      </c>
      <c r="E5425" s="31">
        <v>46237.0</v>
      </c>
      <c r="F5425" s="26" t="s">
        <v>46</v>
      </c>
      <c r="G5425" s="26">
        <v>9.0</v>
      </c>
      <c r="I5425" s="26" t="s">
        <v>863</v>
      </c>
      <c r="J5425" s="25" t="str">
        <f t="shared" si="58"/>
        <v>No</v>
      </c>
      <c r="K5425" s="25" t="str">
        <f t="shared" si="59"/>
        <v/>
      </c>
      <c r="L5425" s="25" t="str">
        <f t="shared" si="60"/>
        <v/>
      </c>
      <c r="M5425" s="25"/>
      <c r="O5425" s="25"/>
    </row>
    <row r="5426" ht="15.75" customHeight="1">
      <c r="A5426" s="25" t="str">
        <f>IFERROR(__xludf.DUMMYFUNCTION("IF(B5426="""","""",RIGHT(REGEXREPLACE(B5426&amp;"""",""[^0-9]"",""""),9))"),"778126282")</f>
        <v>778126282</v>
      </c>
      <c r="B5426" s="52">
        <v>7.78126282E8</v>
      </c>
      <c r="C5426" s="28" t="s">
        <v>5376</v>
      </c>
      <c r="D5426" s="26" t="s">
        <v>56</v>
      </c>
      <c r="E5426" s="31">
        <v>46237.0</v>
      </c>
      <c r="F5426" s="26" t="s">
        <v>205</v>
      </c>
      <c r="G5426" s="26">
        <v>8.0</v>
      </c>
      <c r="I5426" s="26" t="s">
        <v>863</v>
      </c>
      <c r="J5426" s="25" t="str">
        <f t="shared" si="58"/>
        <v>No</v>
      </c>
      <c r="K5426" s="25" t="str">
        <f t="shared" si="59"/>
        <v/>
      </c>
      <c r="L5426" s="25" t="str">
        <f t="shared" si="60"/>
        <v/>
      </c>
      <c r="M5426" s="25"/>
      <c r="O5426" s="25"/>
    </row>
    <row r="5427" ht="15.75" customHeight="1">
      <c r="A5427" s="25" t="str">
        <f>IFERROR(__xludf.DUMMYFUNCTION("IF(B5427="""","""",RIGHT(REGEXREPLACE(B5427&amp;"""",""[^0-9]"",""""),9))"),"772517630")</f>
        <v>772517630</v>
      </c>
      <c r="B5427" s="52">
        <v>7.7251763E8</v>
      </c>
      <c r="C5427" s="28" t="s">
        <v>5377</v>
      </c>
      <c r="D5427" s="26" t="s">
        <v>45</v>
      </c>
      <c r="E5427" s="31">
        <v>46252.0</v>
      </c>
      <c r="F5427" s="26" t="s">
        <v>41</v>
      </c>
      <c r="G5427" s="26">
        <v>10.0</v>
      </c>
      <c r="I5427" s="26" t="s">
        <v>863</v>
      </c>
      <c r="J5427" s="25" t="str">
        <f t="shared" si="58"/>
        <v>No</v>
      </c>
      <c r="K5427" s="25" t="str">
        <f t="shared" si="59"/>
        <v/>
      </c>
      <c r="L5427" s="25" t="str">
        <f t="shared" si="60"/>
        <v/>
      </c>
      <c r="M5427" s="25"/>
      <c r="O5427" s="25"/>
    </row>
    <row r="5428" ht="15.75" customHeight="1">
      <c r="A5428" s="25" t="str">
        <f>IFERROR(__xludf.DUMMYFUNCTION("IF(B5428="""","""",RIGHT(REGEXREPLACE(B5428&amp;"""",""[^0-9]"",""""),9))"),"705849446")</f>
        <v>705849446</v>
      </c>
      <c r="B5428" s="52">
        <v>7.05849446E8</v>
      </c>
      <c r="C5428" s="28" t="s">
        <v>5378</v>
      </c>
      <c r="D5428" s="26" t="s">
        <v>49</v>
      </c>
      <c r="E5428" s="31">
        <v>46237.0</v>
      </c>
      <c r="F5428" s="26" t="s">
        <v>41</v>
      </c>
      <c r="G5428" s="26">
        <v>9.0</v>
      </c>
      <c r="I5428" s="26" t="s">
        <v>863</v>
      </c>
      <c r="J5428" s="25" t="str">
        <f t="shared" si="58"/>
        <v>No</v>
      </c>
      <c r="K5428" s="25" t="str">
        <f t="shared" si="59"/>
        <v/>
      </c>
      <c r="L5428" s="25" t="str">
        <f t="shared" si="60"/>
        <v/>
      </c>
      <c r="M5428" s="25"/>
      <c r="O5428" s="25"/>
    </row>
    <row r="5429" ht="15.75" customHeight="1">
      <c r="A5429" s="25" t="str">
        <f>IFERROR(__xludf.DUMMYFUNCTION("IF(B5429="""","""",RIGHT(REGEXREPLACE(B5429&amp;"""",""[^0-9]"",""""),9))"),"774131193")</f>
        <v>774131193</v>
      </c>
      <c r="B5429" s="52">
        <v>7.74131193E8</v>
      </c>
      <c r="C5429" s="28" t="s">
        <v>5379</v>
      </c>
      <c r="D5429" s="26" t="s">
        <v>56</v>
      </c>
      <c r="E5429" s="31">
        <v>46237.0</v>
      </c>
      <c r="F5429" s="26" t="s">
        <v>46</v>
      </c>
      <c r="G5429" s="26">
        <v>9.0</v>
      </c>
      <c r="I5429" s="26" t="s">
        <v>863</v>
      </c>
      <c r="J5429" s="25" t="str">
        <f t="shared" si="58"/>
        <v>No</v>
      </c>
      <c r="K5429" s="25" t="str">
        <f t="shared" si="59"/>
        <v/>
      </c>
      <c r="L5429" s="25" t="str">
        <f t="shared" si="60"/>
        <v/>
      </c>
      <c r="M5429" s="25"/>
      <c r="O5429" s="25"/>
    </row>
    <row r="5430" ht="15.75" customHeight="1">
      <c r="A5430" s="25" t="str">
        <f>IFERROR(__xludf.DUMMYFUNCTION("IF(B5430="""","""",RIGHT(REGEXREPLACE(B5430&amp;"""",""[^0-9]"",""""),9))"),"713479513")</f>
        <v>713479513</v>
      </c>
      <c r="B5430" s="52">
        <v>7.13479513E8</v>
      </c>
      <c r="C5430" s="28" t="s">
        <v>5380</v>
      </c>
      <c r="D5430" s="26" t="s">
        <v>45</v>
      </c>
      <c r="E5430" s="31">
        <v>46237.0</v>
      </c>
      <c r="F5430" s="26" t="s">
        <v>41</v>
      </c>
      <c r="G5430" s="26">
        <v>9.0</v>
      </c>
      <c r="I5430" s="26" t="s">
        <v>863</v>
      </c>
      <c r="J5430" s="25" t="str">
        <f t="shared" si="58"/>
        <v>No</v>
      </c>
      <c r="K5430" s="25" t="str">
        <f t="shared" si="59"/>
        <v/>
      </c>
      <c r="L5430" s="25" t="str">
        <f t="shared" si="60"/>
        <v/>
      </c>
      <c r="M5430" s="25"/>
      <c r="O5430" s="25"/>
    </row>
    <row r="5431" ht="15.75" customHeight="1">
      <c r="A5431" s="25" t="str">
        <f>IFERROR(__xludf.DUMMYFUNCTION("IF(B5431="""","""",RIGHT(REGEXREPLACE(B5431&amp;"""",""[^0-9]"",""""),9))"),"787105005")</f>
        <v>787105005</v>
      </c>
      <c r="B5431" s="52">
        <v>7.87105005E8</v>
      </c>
      <c r="C5431" s="28" t="s">
        <v>5257</v>
      </c>
      <c r="D5431" s="26" t="s">
        <v>45</v>
      </c>
      <c r="E5431" s="31">
        <v>46237.0</v>
      </c>
      <c r="F5431" s="26" t="s">
        <v>164</v>
      </c>
      <c r="I5431" s="26" t="s">
        <v>863</v>
      </c>
      <c r="J5431" s="25" t="str">
        <f t="shared" si="58"/>
        <v>No</v>
      </c>
      <c r="K5431" s="25" t="str">
        <f t="shared" si="59"/>
        <v/>
      </c>
      <c r="L5431" s="25" t="str">
        <f t="shared" si="60"/>
        <v/>
      </c>
      <c r="M5431" s="25"/>
      <c r="O5431" s="25"/>
    </row>
    <row r="5432" ht="15.75" customHeight="1">
      <c r="A5432" s="25" t="str">
        <f>IFERROR(__xludf.DUMMYFUNCTION("IF(B5432="""","""",RIGHT(REGEXREPLACE(B5432&amp;"""",""[^0-9]"",""""),9))"),"715560630")</f>
        <v>715560630</v>
      </c>
      <c r="B5432" s="52">
        <v>7.1556063E8</v>
      </c>
      <c r="C5432" s="28" t="s">
        <v>5381</v>
      </c>
      <c r="D5432" s="26" t="s">
        <v>49</v>
      </c>
      <c r="E5432" s="31">
        <v>46237.0</v>
      </c>
      <c r="F5432" s="26" t="s">
        <v>46</v>
      </c>
      <c r="G5432" s="26">
        <v>9.0</v>
      </c>
      <c r="I5432" s="26" t="s">
        <v>863</v>
      </c>
      <c r="J5432" s="25" t="str">
        <f t="shared" si="58"/>
        <v>No</v>
      </c>
      <c r="K5432" s="25" t="str">
        <f t="shared" si="59"/>
        <v/>
      </c>
      <c r="L5432" s="25" t="str">
        <f t="shared" si="60"/>
        <v/>
      </c>
      <c r="M5432" s="25"/>
      <c r="O5432" s="25"/>
    </row>
    <row r="5433" ht="15.75" customHeight="1">
      <c r="A5433" s="25" t="str">
        <f>IFERROR(__xludf.DUMMYFUNCTION("IF(B5433="""","""",RIGHT(REGEXREPLACE(B5433&amp;"""",""[^0-9]"",""""),9))"),"740326897")</f>
        <v>740326897</v>
      </c>
      <c r="B5433" s="52">
        <v>7.40326897E8</v>
      </c>
      <c r="C5433" s="28" t="s">
        <v>5382</v>
      </c>
      <c r="D5433" s="26" t="s">
        <v>82</v>
      </c>
      <c r="E5433" s="31">
        <v>46237.0</v>
      </c>
      <c r="F5433" s="26" t="s">
        <v>46</v>
      </c>
      <c r="G5433" s="26">
        <v>9.0</v>
      </c>
      <c r="I5433" s="26" t="s">
        <v>863</v>
      </c>
      <c r="J5433" s="25" t="str">
        <f t="shared" si="58"/>
        <v>No</v>
      </c>
      <c r="K5433" s="25" t="str">
        <f t="shared" si="59"/>
        <v/>
      </c>
      <c r="L5433" s="25" t="str">
        <f t="shared" si="60"/>
        <v/>
      </c>
      <c r="M5433" s="25"/>
      <c r="O5433" s="25"/>
    </row>
    <row r="5434" ht="15.75" customHeight="1">
      <c r="A5434" s="25" t="str">
        <f>IFERROR(__xludf.DUMMYFUNCTION("IF(B5434="""","""",RIGHT(REGEXREPLACE(B5434&amp;"""",""[^0-9]"",""""),9))"),"705050761")</f>
        <v>705050761</v>
      </c>
      <c r="B5434" s="52">
        <v>7.05050761E8</v>
      </c>
      <c r="C5434" s="28" t="s">
        <v>5383</v>
      </c>
      <c r="D5434" s="26" t="s">
        <v>45</v>
      </c>
      <c r="E5434" s="31">
        <v>46237.0</v>
      </c>
      <c r="F5434" s="26" t="s">
        <v>46</v>
      </c>
      <c r="G5434" s="26">
        <v>9.0</v>
      </c>
      <c r="I5434" s="26" t="s">
        <v>863</v>
      </c>
      <c r="J5434" s="25" t="str">
        <f t="shared" si="58"/>
        <v>No</v>
      </c>
      <c r="K5434" s="25" t="str">
        <f t="shared" si="59"/>
        <v/>
      </c>
      <c r="L5434" s="25" t="str">
        <f t="shared" si="60"/>
        <v/>
      </c>
      <c r="M5434" s="25"/>
      <c r="O5434" s="25"/>
    </row>
    <row r="5435" ht="15.75" customHeight="1">
      <c r="A5435" s="25" t="str">
        <f>IFERROR(__xludf.DUMMYFUNCTION("IF(B5435="""","""",RIGHT(REGEXREPLACE(B5435&amp;"""",""[^0-9]"",""""),9))"),"767572325")</f>
        <v>767572325</v>
      </c>
      <c r="B5435" s="52">
        <v>7.67572325E8</v>
      </c>
      <c r="C5435" s="28" t="s">
        <v>5257</v>
      </c>
      <c r="D5435" s="26" t="s">
        <v>56</v>
      </c>
      <c r="E5435" s="31">
        <v>46237.0</v>
      </c>
      <c r="F5435" s="26" t="s">
        <v>41</v>
      </c>
      <c r="G5435" s="26">
        <v>9.0</v>
      </c>
      <c r="I5435" s="26" t="s">
        <v>863</v>
      </c>
      <c r="J5435" s="25" t="str">
        <f t="shared" si="58"/>
        <v>No</v>
      </c>
      <c r="K5435" s="25" t="str">
        <f t="shared" si="59"/>
        <v/>
      </c>
      <c r="L5435" s="25" t="str">
        <f t="shared" si="60"/>
        <v/>
      </c>
      <c r="M5435" s="25"/>
      <c r="O5435" s="25"/>
    </row>
    <row r="5436" ht="15.75" customHeight="1">
      <c r="A5436" s="25" t="str">
        <f>IFERROR(__xludf.DUMMYFUNCTION("IF(B5436="""","""",RIGHT(REGEXREPLACE(B5436&amp;"""",""[^0-9]"",""""),9))"),"769048036")</f>
        <v>769048036</v>
      </c>
      <c r="B5436" s="52">
        <v>7.69048036E8</v>
      </c>
      <c r="C5436" s="28" t="s">
        <v>5384</v>
      </c>
      <c r="D5436" s="26" t="s">
        <v>45</v>
      </c>
      <c r="E5436" s="31">
        <v>46237.0</v>
      </c>
      <c r="F5436" s="25"/>
      <c r="G5436" s="25"/>
      <c r="H5436" s="25"/>
      <c r="I5436" s="26" t="s">
        <v>863</v>
      </c>
      <c r="J5436" s="25" t="str">
        <f t="shared" si="58"/>
        <v>No</v>
      </c>
      <c r="K5436" s="25" t="str">
        <f t="shared" si="59"/>
        <v/>
      </c>
      <c r="L5436" s="25" t="str">
        <f t="shared" si="60"/>
        <v/>
      </c>
      <c r="M5436" s="25"/>
      <c r="N5436" s="25"/>
      <c r="O5436" s="25"/>
      <c r="P5436" s="25"/>
    </row>
    <row r="5437" ht="15.75" customHeight="1">
      <c r="A5437" s="25" t="str">
        <f>IFERROR(__xludf.DUMMYFUNCTION("IF(B5437="""","""",RIGHT(REGEXREPLACE(B5437&amp;"""",""[^0-9]"",""""),9))"),"767801982")</f>
        <v>767801982</v>
      </c>
      <c r="B5437" s="52">
        <v>7.67801982E8</v>
      </c>
      <c r="C5437" s="28" t="s">
        <v>5385</v>
      </c>
      <c r="D5437" s="26" t="s">
        <v>49</v>
      </c>
      <c r="E5437" s="31">
        <v>46237.0</v>
      </c>
      <c r="F5437" s="26" t="s">
        <v>205</v>
      </c>
      <c r="I5437" s="26" t="s">
        <v>863</v>
      </c>
      <c r="J5437" s="25" t="str">
        <f t="shared" si="58"/>
        <v>No</v>
      </c>
      <c r="K5437" s="25" t="str">
        <f t="shared" si="59"/>
        <v/>
      </c>
      <c r="L5437" s="25" t="str">
        <f t="shared" si="60"/>
        <v/>
      </c>
      <c r="M5437" s="25"/>
      <c r="O5437" s="25"/>
    </row>
    <row r="5438" ht="15.75" customHeight="1">
      <c r="A5438" s="25" t="str">
        <f>IFERROR(__xludf.DUMMYFUNCTION("IF(B5438="""","""",RIGHT(REGEXREPLACE(B5438&amp;"""",""[^0-9]"",""""),9))"),"743414506")</f>
        <v>743414506</v>
      </c>
      <c r="B5438" s="52">
        <v>7.43414506E8</v>
      </c>
      <c r="C5438" s="28" t="s">
        <v>5386</v>
      </c>
      <c r="D5438" s="26" t="s">
        <v>82</v>
      </c>
      <c r="E5438" s="31">
        <v>46237.0</v>
      </c>
      <c r="F5438" s="26" t="s">
        <v>46</v>
      </c>
      <c r="G5438" s="26">
        <v>8.0</v>
      </c>
      <c r="H5438" s="26" t="s">
        <v>5387</v>
      </c>
      <c r="I5438" s="26" t="s">
        <v>863</v>
      </c>
      <c r="J5438" s="25" t="str">
        <f t="shared" si="58"/>
        <v>No</v>
      </c>
      <c r="K5438" s="25" t="str">
        <f t="shared" si="59"/>
        <v/>
      </c>
      <c r="L5438" s="25" t="str">
        <f t="shared" si="60"/>
        <v/>
      </c>
      <c r="M5438" s="25"/>
      <c r="O5438" s="25"/>
    </row>
    <row r="5439" ht="15.75" customHeight="1">
      <c r="A5439" s="25" t="str">
        <f>IFERROR(__xludf.DUMMYFUNCTION("IF(B5439="""","""",RIGHT(REGEXREPLACE(B5439&amp;"""",""[^0-9]"",""""),9))"),"763801960")</f>
        <v>763801960</v>
      </c>
      <c r="B5439" s="52">
        <v>7.6380196E8</v>
      </c>
      <c r="C5439" s="28" t="s">
        <v>5388</v>
      </c>
      <c r="D5439" s="26" t="s">
        <v>49</v>
      </c>
      <c r="E5439" s="31">
        <v>46237.0</v>
      </c>
      <c r="F5439" s="26" t="s">
        <v>46</v>
      </c>
      <c r="G5439" s="26">
        <v>10.0</v>
      </c>
      <c r="H5439" s="26" t="s">
        <v>5389</v>
      </c>
      <c r="I5439" s="26" t="s">
        <v>863</v>
      </c>
      <c r="J5439" s="25" t="str">
        <f t="shared" si="58"/>
        <v>No</v>
      </c>
      <c r="K5439" s="25" t="str">
        <f t="shared" si="59"/>
        <v/>
      </c>
      <c r="L5439" s="25" t="str">
        <f t="shared" si="60"/>
        <v/>
      </c>
      <c r="M5439" s="25"/>
      <c r="O5439" s="25"/>
    </row>
    <row r="5440" ht="15.75" customHeight="1">
      <c r="A5440" s="25" t="str">
        <f>IFERROR(__xludf.DUMMYFUNCTION("IF(B5440="""","""",RIGHT(REGEXREPLACE(B5440&amp;"""",""[^0-9]"",""""),9))"),"783262488")</f>
        <v>783262488</v>
      </c>
      <c r="B5440" s="52">
        <v>7.83262488E8</v>
      </c>
      <c r="C5440" s="28" t="s">
        <v>5390</v>
      </c>
      <c r="D5440" s="26" t="s">
        <v>82</v>
      </c>
      <c r="E5440" s="31">
        <v>46237.0</v>
      </c>
      <c r="F5440" s="26" t="s">
        <v>46</v>
      </c>
      <c r="G5440" s="26">
        <v>9.0</v>
      </c>
      <c r="H5440" s="26" t="s">
        <v>5391</v>
      </c>
      <c r="I5440" s="26" t="s">
        <v>863</v>
      </c>
      <c r="J5440" s="25" t="str">
        <f t="shared" si="58"/>
        <v>No</v>
      </c>
      <c r="K5440" s="25" t="str">
        <f t="shared" si="59"/>
        <v/>
      </c>
      <c r="L5440" s="25" t="str">
        <f t="shared" si="60"/>
        <v/>
      </c>
      <c r="M5440" s="25"/>
      <c r="O5440" s="25"/>
    </row>
    <row r="5441" ht="15.75" customHeight="1">
      <c r="A5441" s="25" t="str">
        <f>IFERROR(__xludf.DUMMYFUNCTION("IF(B5441="""","""",RIGHT(REGEXREPLACE(B5441&amp;"""",""[^0-9]"",""""),9))"),"757506401")</f>
        <v>757506401</v>
      </c>
      <c r="B5441" s="52">
        <v>7.57506401E8</v>
      </c>
      <c r="C5441" s="28" t="s">
        <v>1139</v>
      </c>
      <c r="D5441" s="26" t="s">
        <v>56</v>
      </c>
      <c r="E5441" s="31">
        <v>46237.0</v>
      </c>
      <c r="F5441" s="26" t="s">
        <v>46</v>
      </c>
      <c r="G5441" s="26">
        <v>9.0</v>
      </c>
      <c r="I5441" s="26" t="s">
        <v>863</v>
      </c>
      <c r="J5441" s="25" t="str">
        <f t="shared" si="58"/>
        <v>No</v>
      </c>
      <c r="K5441" s="25" t="str">
        <f t="shared" si="59"/>
        <v/>
      </c>
      <c r="L5441" s="25" t="str">
        <f t="shared" si="60"/>
        <v/>
      </c>
      <c r="M5441" s="25"/>
      <c r="O5441" s="25"/>
    </row>
    <row r="5442" ht="15.75" customHeight="1">
      <c r="A5442" s="25" t="str">
        <f>IFERROR(__xludf.DUMMYFUNCTION("IF(B5442="""","""",RIGHT(REGEXREPLACE(B5442&amp;"""",""[^0-9]"",""""),9))"),"779509124")</f>
        <v>779509124</v>
      </c>
      <c r="B5442" s="52">
        <v>7.79509124E8</v>
      </c>
      <c r="C5442" s="28" t="s">
        <v>5392</v>
      </c>
      <c r="D5442" s="26" t="s">
        <v>49</v>
      </c>
      <c r="E5442" s="31">
        <v>46237.0</v>
      </c>
      <c r="F5442" s="26" t="s">
        <v>46</v>
      </c>
      <c r="G5442" s="26">
        <v>9.0</v>
      </c>
      <c r="H5442" s="26" t="s">
        <v>5393</v>
      </c>
      <c r="I5442" s="26" t="s">
        <v>863</v>
      </c>
      <c r="J5442" s="25" t="str">
        <f t="shared" si="58"/>
        <v>No</v>
      </c>
      <c r="K5442" s="25" t="str">
        <f t="shared" si="59"/>
        <v/>
      </c>
      <c r="L5442" s="25" t="str">
        <f t="shared" si="60"/>
        <v/>
      </c>
      <c r="M5442" s="25"/>
      <c r="O5442" s="25"/>
    </row>
    <row r="5443" ht="15.75" customHeight="1">
      <c r="A5443" s="25" t="str">
        <f>IFERROR(__xludf.DUMMYFUNCTION("IF(B5443="""","""",RIGHT(REGEXREPLACE(B5443&amp;"""",""[^0-9]"",""""),9))"),"719976349")</f>
        <v>719976349</v>
      </c>
      <c r="B5443" s="52">
        <v>7.19976349E8</v>
      </c>
      <c r="C5443" s="28" t="s">
        <v>5394</v>
      </c>
      <c r="D5443" s="26" t="s">
        <v>45</v>
      </c>
      <c r="E5443" s="31">
        <v>46252.0</v>
      </c>
      <c r="F5443" s="26" t="s">
        <v>46</v>
      </c>
      <c r="G5443" s="26">
        <v>9.0</v>
      </c>
      <c r="I5443" s="26" t="s">
        <v>863</v>
      </c>
      <c r="J5443" s="25" t="str">
        <f t="shared" si="58"/>
        <v>No</v>
      </c>
      <c r="K5443" s="25" t="str">
        <f t="shared" si="59"/>
        <v/>
      </c>
      <c r="L5443" s="25" t="str">
        <f t="shared" si="60"/>
        <v/>
      </c>
      <c r="M5443" s="25"/>
      <c r="O5443" s="25"/>
    </row>
    <row r="5444" ht="15.75" customHeight="1">
      <c r="A5444" s="25" t="str">
        <f>IFERROR(__xludf.DUMMYFUNCTION("IF(B5444="""","""",RIGHT(REGEXREPLACE(B5444&amp;"""",""[^0-9]"",""""),9))"),"702023933")</f>
        <v>702023933</v>
      </c>
      <c r="B5444" s="52">
        <v>7.02023933E8</v>
      </c>
      <c r="C5444" s="28" t="s">
        <v>5395</v>
      </c>
      <c r="D5444" s="26" t="s">
        <v>56</v>
      </c>
      <c r="E5444" s="31">
        <v>46237.0</v>
      </c>
      <c r="F5444" s="26" t="s">
        <v>46</v>
      </c>
      <c r="G5444" s="26">
        <v>9.0</v>
      </c>
      <c r="I5444" s="26" t="s">
        <v>863</v>
      </c>
      <c r="J5444" s="25" t="str">
        <f t="shared" si="58"/>
        <v>No</v>
      </c>
      <c r="K5444" s="25" t="str">
        <f t="shared" si="59"/>
        <v/>
      </c>
      <c r="L5444" s="25" t="str">
        <f t="shared" si="60"/>
        <v/>
      </c>
      <c r="M5444" s="25"/>
      <c r="O5444" s="25"/>
    </row>
    <row r="5445" ht="15.75" customHeight="1">
      <c r="A5445" s="25" t="str">
        <f>IFERROR(__xludf.DUMMYFUNCTION("IF(B5445="""","""",RIGHT(REGEXREPLACE(B5445&amp;"""",""[^0-9]"",""""),9))"),"761200694")</f>
        <v>761200694</v>
      </c>
      <c r="B5445" s="52">
        <v>7.61200694E8</v>
      </c>
      <c r="C5445" s="28" t="s">
        <v>5396</v>
      </c>
      <c r="D5445" s="26" t="s">
        <v>82</v>
      </c>
      <c r="E5445" s="31">
        <v>46237.0</v>
      </c>
      <c r="F5445" s="26" t="s">
        <v>46</v>
      </c>
      <c r="G5445" s="26">
        <v>8.0</v>
      </c>
      <c r="I5445" s="26" t="s">
        <v>863</v>
      </c>
      <c r="J5445" s="25" t="str">
        <f t="shared" si="58"/>
        <v>No</v>
      </c>
      <c r="K5445" s="25" t="str">
        <f t="shared" si="59"/>
        <v/>
      </c>
      <c r="L5445" s="25" t="str">
        <f t="shared" si="60"/>
        <v/>
      </c>
      <c r="M5445" s="25"/>
      <c r="O5445" s="25"/>
    </row>
    <row r="5446" ht="15.75" customHeight="1">
      <c r="A5446" s="25" t="str">
        <f>IFERROR(__xludf.DUMMYFUNCTION("IF(B5446="""","""",RIGHT(REGEXREPLACE(B5446&amp;"""",""[^0-9]"",""""),9))"),"714405141")</f>
        <v>714405141</v>
      </c>
      <c r="B5446" s="52">
        <v>7.14405141E8</v>
      </c>
      <c r="C5446" s="28" t="s">
        <v>5397</v>
      </c>
      <c r="D5446" s="26" t="s">
        <v>49</v>
      </c>
      <c r="E5446" s="31">
        <v>46237.0</v>
      </c>
      <c r="F5446" s="26" t="s">
        <v>46</v>
      </c>
      <c r="G5446" s="26" t="s">
        <v>1105</v>
      </c>
      <c r="H5446" s="26" t="s">
        <v>5398</v>
      </c>
      <c r="I5446" s="26" t="s">
        <v>863</v>
      </c>
      <c r="J5446" s="25" t="str">
        <f t="shared" si="58"/>
        <v>No</v>
      </c>
      <c r="K5446" s="25" t="str">
        <f t="shared" si="59"/>
        <v/>
      </c>
      <c r="L5446" s="25" t="str">
        <f t="shared" si="60"/>
        <v/>
      </c>
      <c r="M5446" s="25"/>
      <c r="O5446" s="25"/>
    </row>
    <row r="5447" ht="15.75" customHeight="1">
      <c r="A5447" s="25" t="str">
        <f>IFERROR(__xludf.DUMMYFUNCTION("IF(B5447="""","""",RIGHT(REGEXREPLACE(B5447&amp;"""",""[^0-9]"",""""),9))"),"776916934")</f>
        <v>776916934</v>
      </c>
      <c r="B5447" s="52">
        <v>7.76916934E8</v>
      </c>
      <c r="C5447" s="28" t="s">
        <v>5399</v>
      </c>
      <c r="D5447" s="26" t="s">
        <v>45</v>
      </c>
      <c r="E5447" s="31">
        <v>46237.0</v>
      </c>
      <c r="F5447" s="26" t="s">
        <v>41</v>
      </c>
      <c r="G5447" s="26">
        <v>9.0</v>
      </c>
      <c r="I5447" s="26" t="s">
        <v>863</v>
      </c>
      <c r="J5447" s="25" t="str">
        <f t="shared" si="58"/>
        <v>No</v>
      </c>
      <c r="K5447" s="25" t="str">
        <f t="shared" si="59"/>
        <v/>
      </c>
      <c r="L5447" s="25" t="str">
        <f t="shared" si="60"/>
        <v/>
      </c>
      <c r="M5447" s="25"/>
      <c r="O5447" s="25"/>
    </row>
    <row r="5448" ht="15.75" customHeight="1">
      <c r="A5448" s="25" t="str">
        <f>IFERROR(__xludf.DUMMYFUNCTION("IF(B5448="""","""",RIGHT(REGEXREPLACE(B5448&amp;"""",""[^0-9]"",""""),9))"),"702948685")</f>
        <v>702948685</v>
      </c>
      <c r="B5448" s="52">
        <v>7.02948685E8</v>
      </c>
      <c r="C5448" s="28" t="s">
        <v>5400</v>
      </c>
      <c r="D5448" s="26" t="s">
        <v>56</v>
      </c>
      <c r="E5448" s="31">
        <v>46237.0</v>
      </c>
      <c r="F5448" s="26" t="s">
        <v>41</v>
      </c>
      <c r="G5448" s="26">
        <v>6.0</v>
      </c>
      <c r="I5448" s="26" t="s">
        <v>863</v>
      </c>
      <c r="J5448" s="25" t="str">
        <f t="shared" si="58"/>
        <v>No</v>
      </c>
      <c r="K5448" s="25" t="str">
        <f t="shared" si="59"/>
        <v/>
      </c>
      <c r="L5448" s="25" t="str">
        <f t="shared" si="60"/>
        <v/>
      </c>
      <c r="M5448" s="25"/>
      <c r="O5448" s="26" t="s">
        <v>51</v>
      </c>
    </row>
    <row r="5449" ht="15.75" customHeight="1">
      <c r="A5449" s="25" t="str">
        <f>IFERROR(__xludf.DUMMYFUNCTION("IF(B5449="""","""",RIGHT(REGEXREPLACE(B5449&amp;"""",""[^0-9]"",""""),9))"),"755805375")</f>
        <v>755805375</v>
      </c>
      <c r="B5449" s="52">
        <v>7.55805375E8</v>
      </c>
      <c r="C5449" s="28" t="s">
        <v>5401</v>
      </c>
      <c r="D5449" s="26" t="s">
        <v>45</v>
      </c>
      <c r="E5449" s="31">
        <v>46237.0</v>
      </c>
      <c r="F5449" s="26" t="s">
        <v>41</v>
      </c>
      <c r="G5449" s="26">
        <v>9.0</v>
      </c>
      <c r="I5449" s="26" t="s">
        <v>863</v>
      </c>
      <c r="J5449" s="25" t="str">
        <f t="shared" si="58"/>
        <v>No</v>
      </c>
      <c r="K5449" s="25" t="str">
        <f t="shared" si="59"/>
        <v/>
      </c>
      <c r="L5449" s="25" t="str">
        <f t="shared" si="60"/>
        <v/>
      </c>
      <c r="M5449" s="25"/>
      <c r="O5449" s="26" t="s">
        <v>51</v>
      </c>
    </row>
    <row r="5450" ht="15.75" customHeight="1">
      <c r="A5450" s="25" t="str">
        <f>IFERROR(__xludf.DUMMYFUNCTION("IF(B5450="""","""",RIGHT(REGEXREPLACE(B5450&amp;"""",""[^0-9]"",""""),9))"),"752284659")</f>
        <v>752284659</v>
      </c>
      <c r="B5450" s="52">
        <v>7.52284659E8</v>
      </c>
      <c r="C5450" s="28" t="s">
        <v>691</v>
      </c>
      <c r="D5450" s="26" t="s">
        <v>45</v>
      </c>
      <c r="E5450" s="31">
        <v>46237.0</v>
      </c>
      <c r="F5450" s="26" t="s">
        <v>46</v>
      </c>
      <c r="G5450" s="26">
        <v>11.0</v>
      </c>
      <c r="I5450" s="26" t="s">
        <v>863</v>
      </c>
      <c r="J5450" s="25" t="str">
        <f t="shared" si="58"/>
        <v>Yes - see Previous F-Code</v>
      </c>
      <c r="K5450" s="25" t="str">
        <f t="shared" si="59"/>
        <v/>
      </c>
      <c r="L5450" s="25" t="str">
        <f t="shared" si="60"/>
        <v>F70481</v>
      </c>
      <c r="M5450" s="25"/>
      <c r="O5450" s="25"/>
    </row>
    <row r="5451" ht="15.75" customHeight="1">
      <c r="A5451" s="25" t="str">
        <f>IFERROR(__xludf.DUMMYFUNCTION("IF(B5451="""","""",RIGHT(REGEXREPLACE(B5451&amp;"""",""[^0-9]"",""""),9))"),"713472658")</f>
        <v>713472658</v>
      </c>
      <c r="B5451" s="52">
        <v>7.13472658E8</v>
      </c>
      <c r="C5451" s="28" t="s">
        <v>5402</v>
      </c>
      <c r="D5451" s="26" t="s">
        <v>56</v>
      </c>
      <c r="E5451" s="31">
        <v>46237.0</v>
      </c>
      <c r="F5451" s="26" t="s">
        <v>46</v>
      </c>
      <c r="G5451" s="26">
        <v>9.0</v>
      </c>
      <c r="I5451" s="26" t="s">
        <v>863</v>
      </c>
      <c r="J5451" s="25" t="str">
        <f t="shared" si="58"/>
        <v>No</v>
      </c>
      <c r="K5451" s="25" t="str">
        <f t="shared" si="59"/>
        <v/>
      </c>
      <c r="L5451" s="25" t="str">
        <f t="shared" si="60"/>
        <v/>
      </c>
      <c r="M5451" s="25"/>
      <c r="O5451" s="25"/>
    </row>
    <row r="5452" ht="15.75" customHeight="1">
      <c r="A5452" s="25" t="str">
        <f>IFERROR(__xludf.DUMMYFUNCTION("IF(B5452="""","""",RIGHT(REGEXREPLACE(B5452&amp;"""",""[^0-9]"",""""),9))"),"762136116")</f>
        <v>762136116</v>
      </c>
      <c r="B5452" s="52">
        <v>7.62136116E8</v>
      </c>
      <c r="C5452" s="28" t="s">
        <v>5403</v>
      </c>
      <c r="D5452" s="26" t="s">
        <v>82</v>
      </c>
      <c r="E5452" s="31">
        <v>46237.0</v>
      </c>
      <c r="F5452" s="26" t="s">
        <v>41</v>
      </c>
      <c r="I5452" s="26" t="s">
        <v>863</v>
      </c>
      <c r="J5452" s="25" t="str">
        <f t="shared" si="58"/>
        <v>No</v>
      </c>
      <c r="K5452" s="25" t="str">
        <f t="shared" si="59"/>
        <v/>
      </c>
      <c r="L5452" s="25" t="str">
        <f t="shared" si="60"/>
        <v/>
      </c>
      <c r="M5452" s="25"/>
      <c r="O5452" s="25"/>
    </row>
    <row r="5453" ht="15.75" customHeight="1">
      <c r="A5453" s="25" t="str">
        <f>IFERROR(__xludf.DUMMYFUNCTION("IF(B5453="""","""",RIGHT(REGEXREPLACE(B5453&amp;"""",""[^0-9]"",""""),9))"),"766755901")</f>
        <v>766755901</v>
      </c>
      <c r="B5453" s="52">
        <v>7.66755901E8</v>
      </c>
      <c r="C5453" s="28" t="s">
        <v>5404</v>
      </c>
      <c r="D5453" s="26" t="s">
        <v>45</v>
      </c>
      <c r="E5453" s="31">
        <v>46237.0</v>
      </c>
      <c r="F5453" s="26" t="s">
        <v>659</v>
      </c>
      <c r="I5453" s="26" t="s">
        <v>863</v>
      </c>
      <c r="J5453" s="25" t="str">
        <f t="shared" si="58"/>
        <v>No</v>
      </c>
      <c r="K5453" s="25" t="str">
        <f t="shared" si="59"/>
        <v/>
      </c>
      <c r="L5453" s="25" t="str">
        <f t="shared" si="60"/>
        <v/>
      </c>
      <c r="M5453" s="25"/>
      <c r="O5453" s="25"/>
    </row>
    <row r="5454" ht="15.75" customHeight="1">
      <c r="A5454" s="25" t="str">
        <f>IFERROR(__xludf.DUMMYFUNCTION("IF(B5454="""","""",RIGHT(REGEXREPLACE(B5454&amp;"""",""[^0-9]"",""""),9))"),"711919253")</f>
        <v>711919253</v>
      </c>
      <c r="B5454" s="52">
        <v>7.11919253E8</v>
      </c>
      <c r="C5454" s="28" t="s">
        <v>5405</v>
      </c>
      <c r="D5454" s="26" t="s">
        <v>82</v>
      </c>
      <c r="E5454" s="31">
        <v>46237.0</v>
      </c>
      <c r="F5454" s="26" t="s">
        <v>46</v>
      </c>
      <c r="G5454" s="26">
        <v>9.0</v>
      </c>
      <c r="I5454" s="26" t="s">
        <v>863</v>
      </c>
      <c r="J5454" s="25" t="str">
        <f t="shared" si="58"/>
        <v>No</v>
      </c>
      <c r="K5454" s="25" t="str">
        <f t="shared" si="59"/>
        <v/>
      </c>
      <c r="L5454" s="25" t="str">
        <f t="shared" si="60"/>
        <v/>
      </c>
      <c r="M5454" s="25"/>
      <c r="O5454" s="25"/>
    </row>
    <row r="5455" ht="15.75" customHeight="1">
      <c r="A5455" s="25" t="str">
        <f>IFERROR(__xludf.DUMMYFUNCTION("IF(B5455="""","""",RIGHT(REGEXREPLACE(B5455&amp;"""",""[^0-9]"",""""),9))"),"712928094")</f>
        <v>712928094</v>
      </c>
      <c r="B5455" s="52">
        <v>7.12928094E8</v>
      </c>
      <c r="C5455" s="28" t="s">
        <v>5406</v>
      </c>
      <c r="D5455" s="26" t="s">
        <v>49</v>
      </c>
      <c r="E5455" s="31">
        <v>46237.0</v>
      </c>
      <c r="F5455" s="26" t="s">
        <v>205</v>
      </c>
      <c r="G5455" s="26">
        <v>9.0</v>
      </c>
      <c r="I5455" s="26" t="s">
        <v>863</v>
      </c>
      <c r="J5455" s="25" t="str">
        <f t="shared" si="58"/>
        <v>No</v>
      </c>
      <c r="K5455" s="25" t="str">
        <f t="shared" si="59"/>
        <v/>
      </c>
      <c r="L5455" s="25" t="str">
        <f t="shared" si="60"/>
        <v/>
      </c>
      <c r="M5455" s="25"/>
      <c r="O5455" s="25"/>
    </row>
    <row r="5456" ht="15.75" customHeight="1">
      <c r="A5456" s="25" t="str">
        <f>IFERROR(__xludf.DUMMYFUNCTION("IF(B5456="""","""",RIGHT(REGEXREPLACE(B5456&amp;"""",""[^0-9]"",""""),9))"),"778684169")</f>
        <v>778684169</v>
      </c>
      <c r="B5456" s="52">
        <v>7.78684169E8</v>
      </c>
      <c r="C5456" s="28" t="s">
        <v>5407</v>
      </c>
      <c r="D5456" s="26" t="s">
        <v>56</v>
      </c>
      <c r="E5456" s="31">
        <v>46237.0</v>
      </c>
      <c r="F5456" s="26" t="s">
        <v>631</v>
      </c>
      <c r="G5456" s="26">
        <v>9.0</v>
      </c>
      <c r="I5456" s="26" t="s">
        <v>863</v>
      </c>
      <c r="J5456" s="25" t="str">
        <f t="shared" si="58"/>
        <v>No</v>
      </c>
      <c r="K5456" s="25" t="str">
        <f t="shared" si="59"/>
        <v/>
      </c>
      <c r="L5456" s="25" t="str">
        <f t="shared" si="60"/>
        <v/>
      </c>
      <c r="M5456" s="25"/>
      <c r="O5456" s="25"/>
    </row>
    <row r="5457" ht="15.75" customHeight="1">
      <c r="A5457" s="25" t="str">
        <f>IFERROR(__xludf.DUMMYFUNCTION("IF(B5457="""","""",RIGHT(REGEXREPLACE(B5457&amp;"""",""[^0-9]"",""""),9))"),"772915691")</f>
        <v>772915691</v>
      </c>
      <c r="B5457" s="52">
        <v>7.72915691E8</v>
      </c>
      <c r="C5457" s="28" t="s">
        <v>5408</v>
      </c>
      <c r="D5457" s="26" t="s">
        <v>49</v>
      </c>
      <c r="E5457" s="31">
        <v>46237.0</v>
      </c>
      <c r="F5457" s="26" t="s">
        <v>46</v>
      </c>
      <c r="G5457" s="26">
        <v>9.0</v>
      </c>
      <c r="H5457" s="26" t="s">
        <v>5409</v>
      </c>
      <c r="I5457" s="26" t="s">
        <v>863</v>
      </c>
      <c r="J5457" s="25" t="str">
        <f t="shared" si="58"/>
        <v>No</v>
      </c>
      <c r="K5457" s="25" t="str">
        <f t="shared" si="59"/>
        <v/>
      </c>
      <c r="L5457" s="25" t="str">
        <f t="shared" si="60"/>
        <v/>
      </c>
      <c r="M5457" s="25"/>
      <c r="O5457" s="25"/>
    </row>
    <row r="5458" ht="15.75" customHeight="1">
      <c r="A5458" s="25" t="str">
        <f>IFERROR(__xludf.DUMMYFUNCTION("IF(B5458="""","""",RIGHT(REGEXREPLACE(B5458&amp;"""",""[^0-9]"",""""),9))"),"703887817")</f>
        <v>703887817</v>
      </c>
      <c r="B5458" s="52">
        <v>7.03887817E8</v>
      </c>
      <c r="C5458" s="28" t="s">
        <v>5410</v>
      </c>
      <c r="D5458" s="26" t="s">
        <v>82</v>
      </c>
      <c r="E5458" s="31">
        <v>46237.0</v>
      </c>
      <c r="F5458" s="26" t="s">
        <v>205</v>
      </c>
      <c r="G5458" s="26">
        <v>10.0</v>
      </c>
      <c r="I5458" s="26" t="s">
        <v>863</v>
      </c>
      <c r="J5458" s="25" t="str">
        <f t="shared" si="58"/>
        <v>No</v>
      </c>
      <c r="K5458" s="25" t="str">
        <f t="shared" si="59"/>
        <v/>
      </c>
      <c r="L5458" s="25" t="str">
        <f t="shared" si="60"/>
        <v/>
      </c>
      <c r="M5458" s="25"/>
      <c r="O5458" s="25"/>
    </row>
    <row r="5459" ht="15.75" customHeight="1">
      <c r="A5459" s="25" t="str">
        <f>IFERROR(__xludf.DUMMYFUNCTION("IF(B5459="""","""",RIGHT(REGEXREPLACE(B5459&amp;"""",""[^0-9]"",""""),9))"),"775863020")</f>
        <v>775863020</v>
      </c>
      <c r="B5459" s="52">
        <v>7.7586302E8</v>
      </c>
      <c r="C5459" s="28" t="s">
        <v>5411</v>
      </c>
      <c r="D5459" s="26" t="s">
        <v>56</v>
      </c>
      <c r="E5459" s="31">
        <v>46237.0</v>
      </c>
      <c r="F5459" s="26" t="s">
        <v>46</v>
      </c>
      <c r="G5459" s="26">
        <v>11.0</v>
      </c>
      <c r="I5459" s="26" t="s">
        <v>863</v>
      </c>
      <c r="J5459" s="25" t="str">
        <f t="shared" si="58"/>
        <v>No</v>
      </c>
      <c r="K5459" s="25" t="str">
        <f t="shared" si="59"/>
        <v/>
      </c>
      <c r="L5459" s="25" t="str">
        <f t="shared" si="60"/>
        <v/>
      </c>
      <c r="M5459" s="25"/>
      <c r="O5459" s="25"/>
    </row>
    <row r="5460" ht="15.75" customHeight="1">
      <c r="A5460" s="25" t="str">
        <f>IFERROR(__xludf.DUMMYFUNCTION("IF(B5460="""","""",RIGHT(REGEXREPLACE(B5460&amp;"""",""[^0-9]"",""""),9))"),"703388732")</f>
        <v>703388732</v>
      </c>
      <c r="B5460" s="52">
        <v>7.03388732E8</v>
      </c>
      <c r="C5460" s="28" t="s">
        <v>5412</v>
      </c>
      <c r="D5460" s="26" t="s">
        <v>49</v>
      </c>
      <c r="E5460" s="31">
        <v>46237.0</v>
      </c>
      <c r="F5460" s="26" t="s">
        <v>659</v>
      </c>
      <c r="I5460" s="26" t="s">
        <v>863</v>
      </c>
      <c r="J5460" s="25" t="str">
        <f t="shared" si="58"/>
        <v>No</v>
      </c>
      <c r="K5460" s="25" t="str">
        <f t="shared" si="59"/>
        <v/>
      </c>
      <c r="L5460" s="25" t="str">
        <f t="shared" si="60"/>
        <v/>
      </c>
      <c r="M5460" s="25"/>
      <c r="O5460" s="25"/>
    </row>
    <row r="5461" ht="15.75" customHeight="1">
      <c r="A5461" s="25" t="str">
        <f>IFERROR(__xludf.DUMMYFUNCTION("IF(B5461="""","""",RIGHT(REGEXREPLACE(B5461&amp;"""",""[^0-9]"",""""),9))"),"761036270")</f>
        <v>761036270</v>
      </c>
      <c r="B5461" s="52">
        <v>7.6103627E8</v>
      </c>
      <c r="C5461" s="28" t="s">
        <v>5413</v>
      </c>
      <c r="D5461" s="26" t="s">
        <v>82</v>
      </c>
      <c r="E5461" s="31">
        <v>46237.0</v>
      </c>
      <c r="F5461" s="26" t="s">
        <v>46</v>
      </c>
      <c r="G5461" s="26">
        <v>11.0</v>
      </c>
      <c r="H5461" s="26" t="s">
        <v>463</v>
      </c>
      <c r="I5461" s="26" t="s">
        <v>863</v>
      </c>
      <c r="J5461" s="25" t="str">
        <f t="shared" si="58"/>
        <v>No</v>
      </c>
      <c r="K5461" s="25" t="str">
        <f t="shared" si="59"/>
        <v/>
      </c>
      <c r="L5461" s="25" t="str">
        <f t="shared" si="60"/>
        <v/>
      </c>
      <c r="M5461" s="25"/>
      <c r="O5461" s="25"/>
    </row>
    <row r="5462" ht="15.75" customHeight="1">
      <c r="A5462" s="25" t="str">
        <f>IFERROR(__xludf.DUMMYFUNCTION("IF(B5462="""","""",RIGHT(REGEXREPLACE(B5462&amp;"""",""[^0-9]"",""""),9))"),"772842279")</f>
        <v>772842279</v>
      </c>
      <c r="B5462" s="52">
        <v>7.72842279E8</v>
      </c>
      <c r="C5462" s="28" t="s">
        <v>5414</v>
      </c>
      <c r="D5462" s="26" t="s">
        <v>56</v>
      </c>
      <c r="E5462" s="31">
        <v>46237.0</v>
      </c>
      <c r="F5462" s="26" t="s">
        <v>46</v>
      </c>
      <c r="G5462" s="26">
        <v>8.0</v>
      </c>
      <c r="I5462" s="26" t="s">
        <v>863</v>
      </c>
      <c r="J5462" s="25" t="str">
        <f t="shared" si="58"/>
        <v>No</v>
      </c>
      <c r="K5462" s="25" t="str">
        <f t="shared" si="59"/>
        <v/>
      </c>
      <c r="L5462" s="25" t="str">
        <f t="shared" si="60"/>
        <v/>
      </c>
      <c r="M5462" s="25"/>
      <c r="O5462" s="25"/>
    </row>
    <row r="5463" ht="15.75" customHeight="1">
      <c r="A5463" s="25" t="str">
        <f>IFERROR(__xludf.DUMMYFUNCTION("IF(B5463="""","""",RIGHT(REGEXREPLACE(B5463&amp;"""",""[^0-9]"",""""),9))"),"763600395")</f>
        <v>763600395</v>
      </c>
      <c r="B5463" s="52">
        <v>7.63600395E8</v>
      </c>
      <c r="C5463" s="28" t="s">
        <v>5415</v>
      </c>
      <c r="D5463" s="26" t="s">
        <v>82</v>
      </c>
      <c r="E5463" s="31">
        <v>46237.0</v>
      </c>
      <c r="F5463" s="26" t="s">
        <v>46</v>
      </c>
      <c r="G5463" s="26">
        <v>9.0</v>
      </c>
      <c r="I5463" s="26" t="s">
        <v>863</v>
      </c>
      <c r="J5463" s="25" t="str">
        <f t="shared" si="58"/>
        <v>Yes - see Previous F-Code</v>
      </c>
      <c r="K5463" s="25" t="str">
        <f t="shared" si="59"/>
        <v>DUPLICATE - CHECK</v>
      </c>
      <c r="L5463" s="25" t="str">
        <f t="shared" si="60"/>
        <v>F74829</v>
      </c>
      <c r="M5463" s="25"/>
      <c r="O5463" s="25"/>
    </row>
    <row r="5464" ht="15.75" customHeight="1">
      <c r="A5464" s="25" t="str">
        <f>IFERROR(__xludf.DUMMYFUNCTION("IF(B5464="""","""",RIGHT(REGEXREPLACE(B5464&amp;"""",""[^0-9]"",""""),9))"),"718616532")</f>
        <v>718616532</v>
      </c>
      <c r="B5464" s="52">
        <v>7.18616532E8</v>
      </c>
      <c r="C5464" s="28" t="s">
        <v>5416</v>
      </c>
      <c r="D5464" s="26" t="s">
        <v>45</v>
      </c>
      <c r="E5464" s="31">
        <v>46237.0</v>
      </c>
      <c r="F5464" s="26" t="s">
        <v>41</v>
      </c>
      <c r="G5464" s="26">
        <v>9.0</v>
      </c>
      <c r="I5464" s="26" t="s">
        <v>863</v>
      </c>
      <c r="J5464" s="25" t="str">
        <f t="shared" si="58"/>
        <v>No</v>
      </c>
      <c r="K5464" s="25" t="str">
        <f t="shared" si="59"/>
        <v/>
      </c>
      <c r="L5464" s="25" t="str">
        <f t="shared" si="60"/>
        <v/>
      </c>
      <c r="M5464" s="25"/>
      <c r="O5464" s="25"/>
    </row>
    <row r="5465" ht="15.75" customHeight="1">
      <c r="A5465" s="25" t="str">
        <f>IFERROR(__xludf.DUMMYFUNCTION("IF(B5465="""","""",RIGHT(REGEXREPLACE(B5465&amp;"""",""[^0-9]"",""""),9))"),"778367790")</f>
        <v>778367790</v>
      </c>
      <c r="B5465" s="52">
        <v>7.7836779E8</v>
      </c>
      <c r="C5465" s="28" t="s">
        <v>5417</v>
      </c>
      <c r="D5465" s="26" t="s">
        <v>56</v>
      </c>
      <c r="E5465" s="31">
        <v>46237.0</v>
      </c>
      <c r="F5465" s="26" t="s">
        <v>46</v>
      </c>
      <c r="G5465" s="26">
        <v>9.0</v>
      </c>
      <c r="I5465" s="26" t="s">
        <v>863</v>
      </c>
      <c r="J5465" s="25" t="str">
        <f t="shared" si="58"/>
        <v>No</v>
      </c>
      <c r="K5465" s="25" t="str">
        <f t="shared" si="59"/>
        <v/>
      </c>
      <c r="L5465" s="25" t="str">
        <f t="shared" si="60"/>
        <v/>
      </c>
      <c r="M5465" s="25"/>
      <c r="O5465" s="25"/>
    </row>
    <row r="5466" ht="15.75" customHeight="1">
      <c r="A5466" s="25" t="str">
        <f>IFERROR(__xludf.DUMMYFUNCTION("IF(B5466="""","""",RIGHT(REGEXREPLACE(B5466&amp;"""",""[^0-9]"",""""),9))"),"704276046")</f>
        <v>704276046</v>
      </c>
      <c r="B5466" s="52">
        <v>7.04276046E8</v>
      </c>
      <c r="C5466" s="28" t="s">
        <v>5418</v>
      </c>
      <c r="D5466" s="26" t="s">
        <v>49</v>
      </c>
      <c r="E5466" s="31">
        <v>46237.0</v>
      </c>
      <c r="F5466" s="26" t="s">
        <v>659</v>
      </c>
      <c r="G5466" s="26">
        <v>9.0</v>
      </c>
      <c r="I5466" s="26" t="s">
        <v>863</v>
      </c>
      <c r="J5466" s="25" t="str">
        <f t="shared" si="58"/>
        <v>No</v>
      </c>
      <c r="K5466" s="25" t="str">
        <f t="shared" si="59"/>
        <v/>
      </c>
      <c r="L5466" s="25" t="str">
        <f t="shared" si="60"/>
        <v/>
      </c>
      <c r="M5466" s="25"/>
      <c r="O5466" s="25"/>
    </row>
    <row r="5467" ht="15.75" customHeight="1">
      <c r="A5467" s="25" t="str">
        <f>IFERROR(__xludf.DUMMYFUNCTION("IF(B5467="""","""",RIGHT(REGEXREPLACE(B5467&amp;"""",""[^0-9]"",""""),9))"),"702635372")</f>
        <v>702635372</v>
      </c>
      <c r="B5467" s="52">
        <v>7.02635372E8</v>
      </c>
      <c r="C5467" s="28" t="s">
        <v>5419</v>
      </c>
      <c r="D5467" s="26" t="s">
        <v>45</v>
      </c>
      <c r="E5467" s="31">
        <v>46237.0</v>
      </c>
      <c r="F5467" s="26" t="s">
        <v>84</v>
      </c>
      <c r="I5467" s="26" t="s">
        <v>863</v>
      </c>
      <c r="J5467" s="25" t="str">
        <f t="shared" si="58"/>
        <v>No</v>
      </c>
      <c r="K5467" s="25" t="str">
        <f t="shared" si="59"/>
        <v/>
      </c>
      <c r="L5467" s="25" t="str">
        <f t="shared" si="60"/>
        <v/>
      </c>
      <c r="M5467" s="25"/>
      <c r="O5467" s="25"/>
    </row>
    <row r="5468" ht="15.75" customHeight="1">
      <c r="A5468" s="25" t="str">
        <f>IFERROR(__xludf.DUMMYFUNCTION("IF(B5468="""","""",RIGHT(REGEXREPLACE(B5468&amp;"""",""[^0-9]"",""""),9))"),"757800669")</f>
        <v>757800669</v>
      </c>
      <c r="B5468" s="52">
        <v>7.57800669E8</v>
      </c>
      <c r="C5468" s="28" t="s">
        <v>5420</v>
      </c>
      <c r="D5468" s="26" t="s">
        <v>49</v>
      </c>
      <c r="E5468" s="31">
        <v>46237.0</v>
      </c>
      <c r="F5468" s="26" t="s">
        <v>46</v>
      </c>
      <c r="G5468" s="26">
        <v>9.0</v>
      </c>
      <c r="I5468" s="26" t="s">
        <v>863</v>
      </c>
      <c r="J5468" s="25" t="str">
        <f t="shared" si="58"/>
        <v>No</v>
      </c>
      <c r="K5468" s="25" t="str">
        <f t="shared" si="59"/>
        <v/>
      </c>
      <c r="L5468" s="25" t="str">
        <f t="shared" si="60"/>
        <v/>
      </c>
      <c r="M5468" s="25"/>
      <c r="O5468" s="25"/>
    </row>
    <row r="5469" ht="15.75" customHeight="1">
      <c r="A5469" s="25" t="str">
        <f>IFERROR(__xludf.DUMMYFUNCTION("IF(B5469="""","""",RIGHT(REGEXREPLACE(B5469&amp;"""",""[^0-9]"",""""),9))"),"742427339")</f>
        <v>742427339</v>
      </c>
      <c r="B5469" s="52">
        <v>7.42427339E8</v>
      </c>
      <c r="C5469" s="28" t="s">
        <v>5421</v>
      </c>
      <c r="D5469" s="26" t="s">
        <v>45</v>
      </c>
      <c r="E5469" s="31">
        <v>46237.0</v>
      </c>
      <c r="F5469" s="26" t="s">
        <v>46</v>
      </c>
      <c r="G5469" s="26">
        <v>9.0</v>
      </c>
      <c r="I5469" s="26" t="s">
        <v>863</v>
      </c>
      <c r="J5469" s="25" t="str">
        <f t="shared" si="58"/>
        <v>No</v>
      </c>
      <c r="K5469" s="25" t="str">
        <f t="shared" si="59"/>
        <v/>
      </c>
      <c r="L5469" s="25" t="str">
        <f t="shared" si="60"/>
        <v/>
      </c>
      <c r="M5469" s="25"/>
      <c r="O5469" s="25"/>
    </row>
    <row r="5470" ht="15.75" customHeight="1">
      <c r="A5470" s="25" t="str">
        <f>IFERROR(__xludf.DUMMYFUNCTION("IF(B5470="""","""",RIGHT(REGEXREPLACE(B5470&amp;"""",""[^0-9]"",""""),9))"),"783035076")</f>
        <v>783035076</v>
      </c>
      <c r="B5470" s="52">
        <v>7.83035076E8</v>
      </c>
      <c r="C5470" s="28" t="s">
        <v>5422</v>
      </c>
      <c r="D5470" s="26" t="s">
        <v>82</v>
      </c>
      <c r="E5470" s="31">
        <v>46237.0</v>
      </c>
      <c r="F5470" s="26" t="s">
        <v>41</v>
      </c>
      <c r="G5470" s="26">
        <v>9.0</v>
      </c>
      <c r="I5470" s="26" t="s">
        <v>863</v>
      </c>
      <c r="J5470" s="25" t="str">
        <f t="shared" si="58"/>
        <v>No</v>
      </c>
      <c r="K5470" s="25" t="str">
        <f t="shared" si="59"/>
        <v/>
      </c>
      <c r="L5470" s="25" t="str">
        <f t="shared" si="60"/>
        <v/>
      </c>
      <c r="M5470" s="25"/>
      <c r="O5470" s="25"/>
    </row>
    <row r="5471" ht="15.75" customHeight="1">
      <c r="A5471" s="25" t="str">
        <f>IFERROR(__xludf.DUMMYFUNCTION("IF(B5471="""","""",RIGHT(REGEXREPLACE(B5471&amp;"""",""[^0-9]"",""""),9))"),"787232488")</f>
        <v>787232488</v>
      </c>
      <c r="B5471" s="52">
        <v>7.87232488E8</v>
      </c>
      <c r="C5471" s="28" t="s">
        <v>5423</v>
      </c>
      <c r="D5471" s="26" t="s">
        <v>56</v>
      </c>
      <c r="E5471" s="31">
        <v>46237.0</v>
      </c>
      <c r="F5471" s="26" t="s">
        <v>46</v>
      </c>
      <c r="G5471" s="26">
        <v>9.0</v>
      </c>
      <c r="H5471" s="26" t="s">
        <v>5221</v>
      </c>
      <c r="I5471" s="26" t="s">
        <v>863</v>
      </c>
      <c r="J5471" s="25" t="str">
        <f t="shared" si="58"/>
        <v>No</v>
      </c>
      <c r="K5471" s="25" t="str">
        <f t="shared" si="59"/>
        <v/>
      </c>
      <c r="L5471" s="25" t="str">
        <f t="shared" si="60"/>
        <v/>
      </c>
      <c r="M5471" s="25"/>
      <c r="O5471" s="25"/>
    </row>
    <row r="5472" ht="15.75" customHeight="1">
      <c r="A5472" s="25" t="str">
        <f>IFERROR(__xludf.DUMMYFUNCTION("IF(B5472="""","""",RIGHT(REGEXREPLACE(B5472&amp;"""",""[^0-9]"",""""),9))"),"717119577")</f>
        <v>717119577</v>
      </c>
      <c r="B5472" s="52">
        <v>7.17119577E8</v>
      </c>
      <c r="C5472" s="28" t="s">
        <v>5424</v>
      </c>
      <c r="D5472" s="26" t="s">
        <v>45</v>
      </c>
      <c r="E5472" s="31">
        <v>46237.0</v>
      </c>
      <c r="F5472" s="26" t="s">
        <v>46</v>
      </c>
      <c r="G5472" s="26">
        <v>7.0</v>
      </c>
      <c r="I5472" s="26" t="s">
        <v>863</v>
      </c>
      <c r="J5472" s="25" t="str">
        <f t="shared" si="58"/>
        <v>No</v>
      </c>
      <c r="K5472" s="25" t="str">
        <f t="shared" si="59"/>
        <v/>
      </c>
      <c r="L5472" s="25" t="str">
        <f t="shared" si="60"/>
        <v/>
      </c>
      <c r="M5472" s="25"/>
      <c r="O5472" s="25"/>
    </row>
    <row r="5473" ht="15.75" customHeight="1">
      <c r="A5473" s="25" t="str">
        <f>IFERROR(__xludf.DUMMYFUNCTION("IF(B5473="""","""",RIGHT(REGEXREPLACE(B5473&amp;"""",""[^0-9]"",""""),9))"),"772491451")</f>
        <v>772491451</v>
      </c>
      <c r="B5473" s="52">
        <v>7.72491451E8</v>
      </c>
      <c r="C5473" s="28" t="s">
        <v>5425</v>
      </c>
      <c r="D5473" s="26" t="s">
        <v>82</v>
      </c>
      <c r="E5473" s="31">
        <v>46237.0</v>
      </c>
      <c r="F5473" s="26" t="s">
        <v>46</v>
      </c>
      <c r="G5473" s="26">
        <v>9.0</v>
      </c>
      <c r="I5473" s="26" t="s">
        <v>863</v>
      </c>
      <c r="J5473" s="25" t="str">
        <f t="shared" si="58"/>
        <v>No</v>
      </c>
      <c r="K5473" s="25" t="str">
        <f t="shared" si="59"/>
        <v/>
      </c>
      <c r="L5473" s="25" t="str">
        <f t="shared" si="60"/>
        <v/>
      </c>
      <c r="M5473" s="25"/>
      <c r="O5473" s="25"/>
    </row>
    <row r="5474" ht="15.75" customHeight="1">
      <c r="A5474" s="25" t="str">
        <f>IFERROR(__xludf.DUMMYFUNCTION("IF(B5474="""","""",RIGHT(REGEXREPLACE(B5474&amp;"""",""[^0-9]"",""""),9))"),"754733941")</f>
        <v>754733941</v>
      </c>
      <c r="B5474" s="52">
        <v>7.54733941E8</v>
      </c>
      <c r="C5474" s="28" t="s">
        <v>3281</v>
      </c>
      <c r="D5474" s="26" t="s">
        <v>49</v>
      </c>
      <c r="E5474" s="31">
        <v>46237.0</v>
      </c>
      <c r="F5474" s="26" t="s">
        <v>205</v>
      </c>
      <c r="G5474" s="26">
        <v>6.0</v>
      </c>
      <c r="I5474" s="26" t="s">
        <v>863</v>
      </c>
      <c r="J5474" s="25" t="str">
        <f t="shared" si="58"/>
        <v>Yes - see Previous F-Code</v>
      </c>
      <c r="K5474" s="25" t="str">
        <f t="shared" si="59"/>
        <v/>
      </c>
      <c r="L5474" s="25" t="str">
        <f t="shared" si="60"/>
        <v>F72943</v>
      </c>
      <c r="M5474" s="25"/>
      <c r="O5474" s="25"/>
    </row>
    <row r="5475" ht="15.75" customHeight="1">
      <c r="A5475" s="25" t="str">
        <f>IFERROR(__xludf.DUMMYFUNCTION("IF(B5475="""","""",RIGHT(REGEXREPLACE(B5475&amp;"""",""[^0-9]"",""""),9))"),"776475706")</f>
        <v>776475706</v>
      </c>
      <c r="B5475" s="52">
        <v>7.76475706E8</v>
      </c>
      <c r="C5475" s="28" t="s">
        <v>5426</v>
      </c>
      <c r="D5475" s="26" t="s">
        <v>56</v>
      </c>
      <c r="E5475" s="31">
        <v>46237.0</v>
      </c>
      <c r="F5475" s="26" t="s">
        <v>41</v>
      </c>
      <c r="I5475" s="26" t="s">
        <v>863</v>
      </c>
      <c r="J5475" s="25" t="str">
        <f t="shared" si="58"/>
        <v>No</v>
      </c>
      <c r="K5475" s="25" t="str">
        <f t="shared" si="59"/>
        <v/>
      </c>
      <c r="L5475" s="25" t="str">
        <f t="shared" si="60"/>
        <v/>
      </c>
      <c r="M5475" s="25"/>
      <c r="O5475" s="25"/>
    </row>
    <row r="5476" ht="15.75" customHeight="1">
      <c r="A5476" s="25" t="str">
        <f>IFERROR(__xludf.DUMMYFUNCTION("IF(B5476="""","""",RIGHT(REGEXREPLACE(B5476&amp;"""",""[^0-9]"",""""),9))"),"765522179")</f>
        <v>765522179</v>
      </c>
      <c r="B5476" s="52">
        <v>7.65522179E8</v>
      </c>
      <c r="C5476" s="28" t="s">
        <v>5427</v>
      </c>
      <c r="D5476" s="26" t="s">
        <v>45</v>
      </c>
      <c r="E5476" s="31">
        <v>46237.0</v>
      </c>
      <c r="F5476" s="26" t="s">
        <v>41</v>
      </c>
      <c r="G5476" s="26">
        <v>9.0</v>
      </c>
      <c r="I5476" s="26" t="s">
        <v>863</v>
      </c>
      <c r="J5476" s="25" t="str">
        <f t="shared" si="58"/>
        <v>No</v>
      </c>
      <c r="K5476" s="25" t="str">
        <f t="shared" si="59"/>
        <v/>
      </c>
      <c r="L5476" s="25" t="str">
        <f t="shared" si="60"/>
        <v/>
      </c>
      <c r="M5476" s="25"/>
      <c r="O5476" s="25"/>
    </row>
    <row r="5477" ht="15.75" customHeight="1">
      <c r="A5477" s="25" t="str">
        <f>IFERROR(__xludf.DUMMYFUNCTION("IF(B5477="""","""",RIGHT(REGEXREPLACE(B5477&amp;"""",""[^0-9]"",""""),9))"),"766969047")</f>
        <v>766969047</v>
      </c>
      <c r="B5477" s="52">
        <v>7.66969047E8</v>
      </c>
      <c r="C5477" s="28" t="s">
        <v>5428</v>
      </c>
      <c r="D5477" s="26" t="s">
        <v>49</v>
      </c>
      <c r="E5477" s="31">
        <v>46237.0</v>
      </c>
      <c r="F5477" s="26" t="s">
        <v>46</v>
      </c>
      <c r="G5477" s="26">
        <v>10.0</v>
      </c>
      <c r="H5477" s="26" t="s">
        <v>5429</v>
      </c>
      <c r="I5477" s="26" t="s">
        <v>863</v>
      </c>
      <c r="J5477" s="25" t="str">
        <f t="shared" si="58"/>
        <v>No</v>
      </c>
      <c r="K5477" s="25" t="str">
        <f t="shared" si="59"/>
        <v/>
      </c>
      <c r="L5477" s="25" t="str">
        <f t="shared" si="60"/>
        <v/>
      </c>
      <c r="M5477" s="25"/>
      <c r="O5477" s="25"/>
    </row>
    <row r="5478" ht="15.75" customHeight="1">
      <c r="A5478" s="25" t="str">
        <f>IFERROR(__xludf.DUMMYFUNCTION("IF(B5478="""","""",RIGHT(REGEXREPLACE(B5478&amp;"""",""[^0-9]"",""""),9))"),"718996437")</f>
        <v>718996437</v>
      </c>
      <c r="B5478" s="52">
        <v>7.18996437E8</v>
      </c>
      <c r="C5478" s="28" t="s">
        <v>5430</v>
      </c>
      <c r="D5478" s="26" t="s">
        <v>45</v>
      </c>
      <c r="E5478" s="31">
        <v>46237.0</v>
      </c>
      <c r="F5478" s="26" t="s">
        <v>46</v>
      </c>
      <c r="G5478" s="26">
        <v>8.0</v>
      </c>
      <c r="I5478" s="26" t="s">
        <v>863</v>
      </c>
      <c r="J5478" s="25" t="str">
        <f t="shared" si="58"/>
        <v>No</v>
      </c>
      <c r="K5478" s="25" t="str">
        <f t="shared" si="59"/>
        <v/>
      </c>
      <c r="L5478" s="25" t="str">
        <f t="shared" si="60"/>
        <v/>
      </c>
      <c r="M5478" s="25"/>
      <c r="O5478" s="25"/>
    </row>
    <row r="5479" ht="15.75" customHeight="1">
      <c r="A5479" s="25" t="str">
        <f>IFERROR(__xludf.DUMMYFUNCTION("IF(B5479="""","""",RIGHT(REGEXREPLACE(B5479&amp;"""",""[^0-9]"",""""),9))"),"")</f>
        <v/>
      </c>
      <c r="B5479" s="52"/>
      <c r="C5479" s="28" t="s">
        <v>4872</v>
      </c>
      <c r="D5479" s="26" t="s">
        <v>56</v>
      </c>
      <c r="E5479" s="31">
        <v>46237.0</v>
      </c>
      <c r="F5479" s="25"/>
      <c r="G5479" s="25"/>
      <c r="H5479" s="25"/>
      <c r="I5479" s="26" t="s">
        <v>863</v>
      </c>
      <c r="J5479" s="25" t="str">
        <f t="shared" si="58"/>
        <v>Yes - see Previous F-Code</v>
      </c>
      <c r="K5479" s="25" t="str">
        <f t="shared" si="59"/>
        <v>DUPLICATE - CHECK</v>
      </c>
      <c r="L5479" s="25" t="str">
        <f t="shared" si="60"/>
        <v/>
      </c>
      <c r="M5479" s="25"/>
      <c r="N5479" s="25"/>
      <c r="O5479" s="25"/>
      <c r="P5479" s="25"/>
    </row>
    <row r="5480" ht="15.75" customHeight="1">
      <c r="A5480" s="25" t="str">
        <f>IFERROR(__xludf.DUMMYFUNCTION("IF(B5480="""","""",RIGHT(REGEXREPLACE(B5480&amp;"""",""[^0-9]"",""""),9))"),"765600695")</f>
        <v>765600695</v>
      </c>
      <c r="B5480" s="52">
        <v>7.65600695E8</v>
      </c>
      <c r="C5480" s="28" t="s">
        <v>1371</v>
      </c>
      <c r="D5480" s="26" t="s">
        <v>82</v>
      </c>
      <c r="E5480" s="31">
        <v>46237.0</v>
      </c>
      <c r="F5480" s="26" t="s">
        <v>46</v>
      </c>
      <c r="G5480" s="26">
        <v>11.0</v>
      </c>
      <c r="H5480" s="26" t="s">
        <v>5431</v>
      </c>
      <c r="I5480" s="26" t="s">
        <v>863</v>
      </c>
      <c r="J5480" s="25" t="str">
        <f t="shared" si="58"/>
        <v>Yes - see Previous F-Code</v>
      </c>
      <c r="K5480" s="25" t="str">
        <f t="shared" si="59"/>
        <v/>
      </c>
      <c r="L5480" s="25" t="str">
        <f t="shared" si="60"/>
        <v>F71098</v>
      </c>
      <c r="M5480" s="25"/>
      <c r="O5480" s="25"/>
    </row>
    <row r="5481" ht="15.75" customHeight="1">
      <c r="A5481" s="25" t="str">
        <f>IFERROR(__xludf.DUMMYFUNCTION("IF(B5481="""","""",RIGHT(REGEXREPLACE(B5481&amp;"""",""[^0-9]"",""""),9))"),"762657386")</f>
        <v>762657386</v>
      </c>
      <c r="B5481" s="52">
        <v>7.62657386E8</v>
      </c>
      <c r="C5481" s="28" t="s">
        <v>5315</v>
      </c>
      <c r="D5481" s="26" t="s">
        <v>49</v>
      </c>
      <c r="E5481" s="31">
        <v>46237.0</v>
      </c>
      <c r="F5481" s="26" t="s">
        <v>46</v>
      </c>
      <c r="G5481" s="26">
        <v>9.0</v>
      </c>
      <c r="I5481" s="26" t="s">
        <v>863</v>
      </c>
      <c r="J5481" s="25" t="str">
        <f t="shared" si="58"/>
        <v>Yes - see Previous F-Code</v>
      </c>
      <c r="K5481" s="25" t="str">
        <f t="shared" si="59"/>
        <v>DUPLICATE - CHECK</v>
      </c>
      <c r="L5481" s="25" t="str">
        <f t="shared" si="60"/>
        <v>F74828</v>
      </c>
      <c r="M5481" s="25"/>
      <c r="O5481" s="25"/>
    </row>
    <row r="5482" ht="15.75" customHeight="1">
      <c r="A5482" s="25" t="str">
        <f>IFERROR(__xludf.DUMMYFUNCTION("IF(B5482="""","""",RIGHT(REGEXREPLACE(B5482&amp;"""",""[^0-9]"",""""),9))"),"776934037")</f>
        <v>776934037</v>
      </c>
      <c r="B5482" s="52">
        <v>7.76934037E8</v>
      </c>
      <c r="C5482" s="28" t="s">
        <v>5432</v>
      </c>
      <c r="D5482" s="26" t="s">
        <v>82</v>
      </c>
      <c r="E5482" s="31">
        <v>46237.0</v>
      </c>
      <c r="F5482" s="26" t="s">
        <v>46</v>
      </c>
      <c r="G5482" s="26">
        <v>9.0</v>
      </c>
      <c r="I5482" s="26" t="s">
        <v>863</v>
      </c>
      <c r="J5482" s="25" t="str">
        <f t="shared" si="58"/>
        <v>No</v>
      </c>
      <c r="K5482" s="25" t="str">
        <f t="shared" si="59"/>
        <v/>
      </c>
      <c r="L5482" s="25" t="str">
        <f t="shared" si="60"/>
        <v/>
      </c>
      <c r="M5482" s="25"/>
      <c r="O5482" s="25"/>
    </row>
    <row r="5483" ht="15.75" customHeight="1">
      <c r="A5483" s="25" t="str">
        <f>IFERROR(__xludf.DUMMYFUNCTION("IF(B5483="""","""",RIGHT(REGEXREPLACE(B5483&amp;"""",""[^0-9]"",""""),9))"),"712778944")</f>
        <v>712778944</v>
      </c>
      <c r="B5483" s="52">
        <v>7.12778944E8</v>
      </c>
      <c r="C5483" s="28" t="s">
        <v>5433</v>
      </c>
      <c r="D5483" s="26" t="s">
        <v>82</v>
      </c>
      <c r="E5483" s="31">
        <v>46237.0</v>
      </c>
      <c r="F5483" s="26" t="s">
        <v>125</v>
      </c>
      <c r="G5483" s="26">
        <v>9.0</v>
      </c>
      <c r="H5483" s="26" t="s">
        <v>5434</v>
      </c>
      <c r="I5483" s="26" t="s">
        <v>863</v>
      </c>
      <c r="J5483" s="25" t="str">
        <f t="shared" si="58"/>
        <v>No</v>
      </c>
      <c r="K5483" s="25" t="str">
        <f t="shared" si="59"/>
        <v/>
      </c>
      <c r="L5483" s="25" t="str">
        <f t="shared" si="60"/>
        <v/>
      </c>
      <c r="M5483" s="25"/>
      <c r="O5483" s="25"/>
    </row>
    <row r="5484" ht="15.75" customHeight="1">
      <c r="A5484" s="25" t="str">
        <f>IFERROR(__xludf.DUMMYFUNCTION("IF(B5484="""","""",RIGHT(REGEXREPLACE(B5484&amp;"""",""[^0-9]"",""""),9))"),"771809810")</f>
        <v>771809810</v>
      </c>
      <c r="B5484" s="52">
        <v>7.7180981E8</v>
      </c>
      <c r="C5484" s="28" t="s">
        <v>5435</v>
      </c>
      <c r="D5484" s="26" t="s">
        <v>45</v>
      </c>
      <c r="E5484" s="31">
        <v>46237.0</v>
      </c>
      <c r="F5484" s="26" t="s">
        <v>46</v>
      </c>
      <c r="G5484" s="26">
        <v>10.0</v>
      </c>
      <c r="I5484" s="26" t="s">
        <v>863</v>
      </c>
      <c r="J5484" s="25" t="str">
        <f t="shared" si="58"/>
        <v>No</v>
      </c>
      <c r="K5484" s="25" t="str">
        <f t="shared" si="59"/>
        <v/>
      </c>
      <c r="L5484" s="25" t="str">
        <f t="shared" si="60"/>
        <v/>
      </c>
      <c r="M5484" s="25"/>
      <c r="O5484" s="25"/>
    </row>
    <row r="5485" ht="15.75" customHeight="1">
      <c r="A5485" s="25" t="str">
        <f>IFERROR(__xludf.DUMMYFUNCTION("IF(B5485="""","""",RIGHT(REGEXREPLACE(B5485&amp;"""",""[^0-9]"",""""),9))"),"774678301")</f>
        <v>774678301</v>
      </c>
      <c r="B5485" s="52">
        <v>7.74678301E8</v>
      </c>
      <c r="C5485" s="28" t="s">
        <v>5436</v>
      </c>
      <c r="D5485" s="26" t="s">
        <v>49</v>
      </c>
      <c r="E5485" s="31">
        <v>46237.0</v>
      </c>
      <c r="F5485" s="26" t="s">
        <v>46</v>
      </c>
      <c r="G5485" s="26">
        <v>8.0</v>
      </c>
      <c r="H5485" s="26" t="s">
        <v>5437</v>
      </c>
      <c r="I5485" s="26" t="s">
        <v>863</v>
      </c>
      <c r="J5485" s="25" t="str">
        <f t="shared" si="58"/>
        <v>No</v>
      </c>
      <c r="K5485" s="25" t="str">
        <f t="shared" si="59"/>
        <v/>
      </c>
      <c r="L5485" s="25" t="str">
        <f t="shared" si="60"/>
        <v/>
      </c>
      <c r="M5485" s="25"/>
      <c r="O5485" s="25"/>
    </row>
    <row r="5486" ht="15.75" customHeight="1">
      <c r="C5486" s="46"/>
      <c r="D5486" s="25"/>
      <c r="F5486" s="25"/>
      <c r="I5486" s="26" t="s">
        <v>863</v>
      </c>
      <c r="M5486" s="25"/>
      <c r="O5486" s="25"/>
    </row>
    <row r="5487" ht="15.75" customHeight="1">
      <c r="A5487" s="25" t="str">
        <f>IFERROR(__xludf.DUMMYFUNCTION("IF(B5487="""","""",RIGHT(REGEXREPLACE(B5487&amp;"""",""[^0-9]"",""""),9))"),"767117933")</f>
        <v>767117933</v>
      </c>
      <c r="B5487" s="52">
        <v>7.67117933E8</v>
      </c>
      <c r="C5487" s="28" t="s">
        <v>4308</v>
      </c>
      <c r="D5487" s="26" t="s">
        <v>82</v>
      </c>
      <c r="E5487" s="31">
        <v>46237.0</v>
      </c>
      <c r="F5487" s="26" t="s">
        <v>46</v>
      </c>
      <c r="G5487" s="26">
        <v>9.0</v>
      </c>
      <c r="H5487" s="26" t="s">
        <v>5438</v>
      </c>
      <c r="I5487" s="26" t="s">
        <v>863</v>
      </c>
      <c r="J5487" s="25" t="str">
        <f t="shared" ref="J5487:J5711" si="61">IF(COUNTIF($A$2:A5486,A5487)&gt;0,"Yes - see Previous F-Code","No")</f>
        <v>Yes - see Previous F-Code</v>
      </c>
      <c r="K5487" s="25" t="str">
        <f t="shared" ref="K5487:K5711" si="62">IF(COUNTIFS($A$2:A5487,A5487,$I$2:I5487,I5487)&gt;1,"DUPLICATE - CHECK","")</f>
        <v/>
      </c>
      <c r="L5487" s="25" t="str">
        <f t="shared" ref="L5487:L5711" si="63">IF(COUNTIF($A$2:A5486,A5487)&gt;0,INDEX($C$2:C5486,MATCH(A5487,$A$2:A5486,0)),"")</f>
        <v>F73935</v>
      </c>
      <c r="M5487" s="25"/>
      <c r="O5487" s="25"/>
    </row>
    <row r="5488" ht="15.75" customHeight="1">
      <c r="A5488" s="25" t="str">
        <f>IFERROR(__xludf.DUMMYFUNCTION("IF(B5488="""","""",RIGHT(REGEXREPLACE(B5488&amp;"""",""[^0-9]"",""""),9))"),"718373564")</f>
        <v>718373564</v>
      </c>
      <c r="B5488" s="52">
        <v>7.18373564E8</v>
      </c>
      <c r="C5488" s="28" t="s">
        <v>5439</v>
      </c>
      <c r="D5488" s="26" t="s">
        <v>82</v>
      </c>
      <c r="E5488" s="31">
        <v>46237.0</v>
      </c>
      <c r="F5488" s="26" t="s">
        <v>46</v>
      </c>
      <c r="G5488" s="26">
        <v>9.0</v>
      </c>
      <c r="H5488" s="26" t="s">
        <v>5440</v>
      </c>
      <c r="I5488" s="26" t="s">
        <v>863</v>
      </c>
      <c r="J5488" s="25" t="str">
        <f t="shared" si="61"/>
        <v>No</v>
      </c>
      <c r="K5488" s="25" t="str">
        <f t="shared" si="62"/>
        <v/>
      </c>
      <c r="L5488" s="25" t="str">
        <f t="shared" si="63"/>
        <v/>
      </c>
      <c r="M5488" s="25"/>
      <c r="O5488" s="25"/>
    </row>
    <row r="5489" ht="15.75" customHeight="1">
      <c r="A5489" s="25" t="str">
        <f>IFERROR(__xludf.DUMMYFUNCTION("IF(B5489="""","""",RIGHT(REGEXREPLACE(B5489&amp;"""",""[^0-9]"",""""),9))"),"702968752")</f>
        <v>702968752</v>
      </c>
      <c r="B5489" s="52">
        <v>7.02968752E8</v>
      </c>
      <c r="C5489" s="28" t="s">
        <v>5441</v>
      </c>
      <c r="D5489" s="26" t="s">
        <v>49</v>
      </c>
      <c r="E5489" s="31">
        <v>46237.0</v>
      </c>
      <c r="F5489" s="26" t="s">
        <v>41</v>
      </c>
      <c r="G5489" s="26">
        <v>9.0</v>
      </c>
      <c r="I5489" s="26" t="s">
        <v>863</v>
      </c>
      <c r="J5489" s="25" t="str">
        <f t="shared" si="61"/>
        <v>No</v>
      </c>
      <c r="K5489" s="25" t="str">
        <f t="shared" si="62"/>
        <v/>
      </c>
      <c r="L5489" s="25" t="str">
        <f t="shared" si="63"/>
        <v/>
      </c>
      <c r="M5489" s="25"/>
      <c r="O5489" s="25"/>
    </row>
    <row r="5490" ht="15.75" customHeight="1">
      <c r="A5490" s="25" t="str">
        <f>IFERROR(__xludf.DUMMYFUNCTION("IF(B5490="""","""",RIGHT(REGEXREPLACE(B5490&amp;"""",""[^0-9]"",""""),9))"),"711196002")</f>
        <v>711196002</v>
      </c>
      <c r="B5490" s="52">
        <v>7.11196002E8</v>
      </c>
      <c r="C5490" s="28" t="s">
        <v>5442</v>
      </c>
      <c r="D5490" s="26" t="s">
        <v>82</v>
      </c>
      <c r="E5490" s="31">
        <v>46237.0</v>
      </c>
      <c r="F5490" s="26" t="s">
        <v>125</v>
      </c>
      <c r="H5490" s="26" t="s">
        <v>5443</v>
      </c>
      <c r="I5490" s="26" t="s">
        <v>863</v>
      </c>
      <c r="J5490" s="25" t="str">
        <f t="shared" si="61"/>
        <v>No</v>
      </c>
      <c r="K5490" s="25" t="str">
        <f t="shared" si="62"/>
        <v/>
      </c>
      <c r="L5490" s="25" t="str">
        <f t="shared" si="63"/>
        <v/>
      </c>
      <c r="M5490" s="25"/>
      <c r="O5490" s="25"/>
    </row>
    <row r="5491" ht="15.75" customHeight="1">
      <c r="A5491" s="25" t="str">
        <f>IFERROR(__xludf.DUMMYFUNCTION("IF(B5491="""","""",RIGHT(REGEXREPLACE(B5491&amp;"""",""[^0-9]"",""""),9))"),"719149628")</f>
        <v>719149628</v>
      </c>
      <c r="B5491" s="52">
        <v>7.19149628E8</v>
      </c>
      <c r="C5491" s="28" t="s">
        <v>5444</v>
      </c>
      <c r="D5491" s="26" t="s">
        <v>82</v>
      </c>
      <c r="E5491" s="31">
        <v>46237.0</v>
      </c>
      <c r="F5491" s="26" t="s">
        <v>41</v>
      </c>
      <c r="I5491" s="26" t="s">
        <v>863</v>
      </c>
      <c r="J5491" s="25" t="str">
        <f t="shared" si="61"/>
        <v>No</v>
      </c>
      <c r="K5491" s="25" t="str">
        <f t="shared" si="62"/>
        <v/>
      </c>
      <c r="L5491" s="25" t="str">
        <f t="shared" si="63"/>
        <v/>
      </c>
      <c r="M5491" s="25"/>
      <c r="O5491" s="25"/>
    </row>
    <row r="5492" ht="15.75" customHeight="1">
      <c r="A5492" s="25" t="str">
        <f>IFERROR(__xludf.DUMMYFUNCTION("IF(B5492="""","""",RIGHT(REGEXREPLACE(B5492&amp;"""",""[^0-9]"",""""),9))"),"763785716")</f>
        <v>763785716</v>
      </c>
      <c r="B5492" s="52">
        <v>7.63785716E8</v>
      </c>
      <c r="C5492" s="28" t="s">
        <v>5445</v>
      </c>
      <c r="D5492" s="26" t="s">
        <v>45</v>
      </c>
      <c r="E5492" s="31">
        <v>46237.0</v>
      </c>
      <c r="F5492" s="26" t="s">
        <v>46</v>
      </c>
      <c r="G5492" s="26">
        <v>9.0</v>
      </c>
      <c r="I5492" s="26" t="s">
        <v>863</v>
      </c>
      <c r="J5492" s="25" t="str">
        <f t="shared" si="61"/>
        <v>No</v>
      </c>
      <c r="K5492" s="25" t="str">
        <f t="shared" si="62"/>
        <v/>
      </c>
      <c r="L5492" s="25" t="str">
        <f t="shared" si="63"/>
        <v/>
      </c>
      <c r="M5492" s="25"/>
      <c r="O5492" s="25"/>
    </row>
    <row r="5493" ht="15.75" customHeight="1">
      <c r="A5493" s="25" t="str">
        <f>IFERROR(__xludf.DUMMYFUNCTION("IF(B5493="""","""",RIGHT(REGEXREPLACE(B5493&amp;"""",""[^0-9]"",""""),9))"),"760881678")</f>
        <v>760881678</v>
      </c>
      <c r="B5493" s="52">
        <v>7.60881678E8</v>
      </c>
      <c r="C5493" s="28" t="s">
        <v>5446</v>
      </c>
      <c r="D5493" s="26" t="s">
        <v>45</v>
      </c>
      <c r="E5493" s="31">
        <v>46237.0</v>
      </c>
      <c r="F5493" s="26" t="s">
        <v>46</v>
      </c>
      <c r="G5493" s="26">
        <v>9.0</v>
      </c>
      <c r="I5493" s="26" t="s">
        <v>863</v>
      </c>
      <c r="J5493" s="25" t="str">
        <f t="shared" si="61"/>
        <v>No</v>
      </c>
      <c r="K5493" s="25" t="str">
        <f t="shared" si="62"/>
        <v/>
      </c>
      <c r="L5493" s="25" t="str">
        <f t="shared" si="63"/>
        <v/>
      </c>
      <c r="M5493" s="25"/>
      <c r="O5493" s="25"/>
    </row>
    <row r="5494" ht="15.75" customHeight="1">
      <c r="A5494" s="25" t="str">
        <f>IFERROR(__xludf.DUMMYFUNCTION("IF(B5494="""","""",RIGHT(REGEXREPLACE(B5494&amp;"""",""[^0-9]"",""""),9))"),"772004321")</f>
        <v>772004321</v>
      </c>
      <c r="B5494" s="52">
        <v>7.72004321E8</v>
      </c>
      <c r="C5494" s="28" t="s">
        <v>5447</v>
      </c>
      <c r="D5494" s="26" t="s">
        <v>45</v>
      </c>
      <c r="E5494" s="31">
        <v>46237.0</v>
      </c>
      <c r="F5494" s="26" t="s">
        <v>46</v>
      </c>
      <c r="G5494" s="26">
        <v>9.0</v>
      </c>
      <c r="I5494" s="26" t="s">
        <v>863</v>
      </c>
      <c r="J5494" s="25" t="str">
        <f t="shared" si="61"/>
        <v>No</v>
      </c>
      <c r="K5494" s="25" t="str">
        <f t="shared" si="62"/>
        <v/>
      </c>
      <c r="L5494" s="25" t="str">
        <f t="shared" si="63"/>
        <v/>
      </c>
      <c r="M5494" s="25"/>
      <c r="O5494" s="26" t="s">
        <v>51</v>
      </c>
    </row>
    <row r="5495" ht="15.75" customHeight="1">
      <c r="A5495" s="25" t="str">
        <f>IFERROR(__xludf.DUMMYFUNCTION("IF(B5495="""","""",RIGHT(REGEXREPLACE(B5495&amp;"""",""[^0-9]"",""""),9))"),"701606104")</f>
        <v>701606104</v>
      </c>
      <c r="B5495" s="52">
        <v>7.01606104E8</v>
      </c>
      <c r="C5495" s="28" t="s">
        <v>5448</v>
      </c>
      <c r="D5495" s="26" t="s">
        <v>56</v>
      </c>
      <c r="E5495" s="31">
        <v>46237.0</v>
      </c>
      <c r="F5495" s="26" t="s">
        <v>205</v>
      </c>
      <c r="G5495" s="26">
        <v>9.0</v>
      </c>
      <c r="I5495" s="26" t="s">
        <v>863</v>
      </c>
      <c r="J5495" s="25" t="str">
        <f t="shared" si="61"/>
        <v>No</v>
      </c>
      <c r="K5495" s="25" t="str">
        <f t="shared" si="62"/>
        <v/>
      </c>
      <c r="L5495" s="25" t="str">
        <f t="shared" si="63"/>
        <v/>
      </c>
      <c r="M5495" s="25"/>
      <c r="O5495" s="25"/>
    </row>
    <row r="5496" ht="15.75" customHeight="1">
      <c r="A5496" s="25" t="str">
        <f>IFERROR(__xludf.DUMMYFUNCTION("IF(B5496="""","""",RIGHT(REGEXREPLACE(B5496&amp;"""",""[^0-9]"",""""),9))"),"715408635")</f>
        <v>715408635</v>
      </c>
      <c r="B5496" s="52">
        <v>7.15408635E8</v>
      </c>
      <c r="C5496" s="28" t="s">
        <v>5359</v>
      </c>
      <c r="D5496" s="26" t="s">
        <v>56</v>
      </c>
      <c r="E5496" s="31">
        <v>46237.0</v>
      </c>
      <c r="F5496" s="26" t="s">
        <v>41</v>
      </c>
      <c r="G5496" s="26">
        <v>9.0</v>
      </c>
      <c r="I5496" s="26" t="s">
        <v>863</v>
      </c>
      <c r="J5496" s="25" t="str">
        <f t="shared" si="61"/>
        <v>Yes - see Previous F-Code</v>
      </c>
      <c r="K5496" s="25" t="str">
        <f t="shared" si="62"/>
        <v>DUPLICATE - CHECK</v>
      </c>
      <c r="L5496" s="25" t="str">
        <f t="shared" si="63"/>
        <v>F74870</v>
      </c>
      <c r="M5496" s="25"/>
      <c r="O5496" s="120" t="s">
        <v>51</v>
      </c>
    </row>
    <row r="5497" ht="15.75" customHeight="1">
      <c r="A5497" s="25" t="str">
        <f>IFERROR(__xludf.DUMMYFUNCTION("IF(B5497="""","""",RIGHT(REGEXREPLACE(B5497&amp;"""",""[^0-9]"",""""),9))"),"769435463")</f>
        <v>769435463</v>
      </c>
      <c r="B5497" s="52">
        <v>7.69435463E8</v>
      </c>
      <c r="C5497" s="28" t="s">
        <v>1471</v>
      </c>
      <c r="D5497" s="26" t="s">
        <v>82</v>
      </c>
      <c r="E5497" s="31">
        <v>46237.0</v>
      </c>
      <c r="F5497" s="26" t="s">
        <v>46</v>
      </c>
      <c r="G5497" s="26">
        <v>11.0</v>
      </c>
      <c r="I5497" s="26" t="s">
        <v>863</v>
      </c>
      <c r="J5497" s="25" t="str">
        <f t="shared" si="61"/>
        <v>Yes - see Previous F-Code</v>
      </c>
      <c r="K5497" s="25" t="str">
        <f t="shared" si="62"/>
        <v/>
      </c>
      <c r="L5497" s="25" t="str">
        <f t="shared" si="63"/>
        <v>F71195</v>
      </c>
      <c r="M5497" s="25"/>
      <c r="O5497" s="25"/>
    </row>
    <row r="5498" ht="15.75" customHeight="1">
      <c r="A5498" s="25" t="str">
        <f>IFERROR(__xludf.DUMMYFUNCTION("IF(B5498="""","""",RIGHT(REGEXREPLACE(B5498&amp;"""",""[^0-9]"",""""),9))"),"771559697")</f>
        <v>771559697</v>
      </c>
      <c r="B5498" s="52">
        <v>7.71559697E8</v>
      </c>
      <c r="C5498" s="28" t="s">
        <v>5449</v>
      </c>
      <c r="D5498" s="26" t="s">
        <v>45</v>
      </c>
      <c r="E5498" s="31">
        <v>46237.0</v>
      </c>
      <c r="F5498" s="26" t="s">
        <v>125</v>
      </c>
      <c r="G5498" s="26">
        <v>0.0</v>
      </c>
      <c r="I5498" s="26" t="s">
        <v>863</v>
      </c>
      <c r="J5498" s="25" t="str">
        <f t="shared" si="61"/>
        <v>No</v>
      </c>
      <c r="K5498" s="25" t="str">
        <f t="shared" si="62"/>
        <v/>
      </c>
      <c r="L5498" s="25" t="str">
        <f t="shared" si="63"/>
        <v/>
      </c>
      <c r="M5498" s="25"/>
      <c r="O5498" s="25"/>
    </row>
    <row r="5499" ht="15.75" customHeight="1">
      <c r="A5499" s="25" t="str">
        <f>IFERROR(__xludf.DUMMYFUNCTION("IF(B5499="""","""",RIGHT(REGEXREPLACE(B5499&amp;"""",""[^0-9]"",""""),9))"),"775440581")</f>
        <v>775440581</v>
      </c>
      <c r="B5499" s="52">
        <v>7.75440581E8</v>
      </c>
      <c r="C5499" s="28" t="s">
        <v>5450</v>
      </c>
      <c r="D5499" s="26" t="s">
        <v>45</v>
      </c>
      <c r="E5499" s="31">
        <v>46237.0</v>
      </c>
      <c r="F5499" s="26" t="s">
        <v>46</v>
      </c>
      <c r="G5499" s="26">
        <v>9.0</v>
      </c>
      <c r="I5499" s="26" t="s">
        <v>863</v>
      </c>
      <c r="J5499" s="25" t="str">
        <f t="shared" si="61"/>
        <v>No</v>
      </c>
      <c r="K5499" s="25" t="str">
        <f t="shared" si="62"/>
        <v/>
      </c>
      <c r="L5499" s="25" t="str">
        <f t="shared" si="63"/>
        <v/>
      </c>
      <c r="M5499" s="25"/>
      <c r="O5499" s="25"/>
    </row>
    <row r="5500" ht="15.75" customHeight="1">
      <c r="A5500" s="25" t="str">
        <f>IFERROR(__xludf.DUMMYFUNCTION("IF(B5500="""","""",RIGHT(REGEXREPLACE(B5500&amp;"""",""[^0-9]"",""""),9))"),"781792885")</f>
        <v>781792885</v>
      </c>
      <c r="B5500" s="52">
        <v>7.81792885E8</v>
      </c>
      <c r="C5500" s="28" t="s">
        <v>5451</v>
      </c>
      <c r="D5500" s="26" t="s">
        <v>49</v>
      </c>
      <c r="E5500" s="31">
        <v>46237.0</v>
      </c>
      <c r="F5500" s="26" t="s">
        <v>46</v>
      </c>
      <c r="G5500" s="26">
        <v>9.0</v>
      </c>
      <c r="H5500" s="118" t="s">
        <v>5452</v>
      </c>
      <c r="I5500" s="26" t="s">
        <v>863</v>
      </c>
      <c r="J5500" s="25" t="str">
        <f t="shared" si="61"/>
        <v>No</v>
      </c>
      <c r="K5500" s="25" t="str">
        <f t="shared" si="62"/>
        <v/>
      </c>
      <c r="L5500" s="25" t="str">
        <f t="shared" si="63"/>
        <v/>
      </c>
      <c r="M5500" s="25"/>
      <c r="O5500" s="25"/>
    </row>
    <row r="5501" ht="15.75" customHeight="1">
      <c r="A5501" s="25" t="str">
        <f>IFERROR(__xludf.DUMMYFUNCTION("IF(B5501="""","""",RIGHT(REGEXREPLACE(B5501&amp;"""",""[^0-9]"",""""),9))"),"763769648")</f>
        <v>763769648</v>
      </c>
      <c r="B5501" s="52">
        <v>7.63769648E8</v>
      </c>
      <c r="C5501" s="28" t="s">
        <v>5453</v>
      </c>
      <c r="D5501" s="26" t="s">
        <v>45</v>
      </c>
      <c r="E5501" s="31">
        <v>46237.0</v>
      </c>
      <c r="F5501" s="26" t="s">
        <v>46</v>
      </c>
      <c r="G5501" s="26">
        <v>11.0</v>
      </c>
      <c r="I5501" s="26" t="s">
        <v>863</v>
      </c>
      <c r="J5501" s="25" t="str">
        <f t="shared" si="61"/>
        <v>No</v>
      </c>
      <c r="K5501" s="25" t="str">
        <f t="shared" si="62"/>
        <v/>
      </c>
      <c r="L5501" s="25" t="str">
        <f t="shared" si="63"/>
        <v/>
      </c>
      <c r="M5501" s="25"/>
      <c r="O5501" s="25"/>
    </row>
    <row r="5502" ht="15.75" customHeight="1">
      <c r="A5502" s="25" t="str">
        <f>IFERROR(__xludf.DUMMYFUNCTION("IF(B5502="""","""",RIGHT(REGEXREPLACE(B5502&amp;"""",""[^0-9]"",""""),9))"),"769687257")</f>
        <v>769687257</v>
      </c>
      <c r="B5502" s="52">
        <v>7.69687257E8</v>
      </c>
      <c r="C5502" s="28" t="s">
        <v>5454</v>
      </c>
      <c r="D5502" s="26" t="s">
        <v>49</v>
      </c>
      <c r="E5502" s="31">
        <v>46237.0</v>
      </c>
      <c r="F5502" s="26" t="s">
        <v>46</v>
      </c>
      <c r="G5502" s="26">
        <v>9.0</v>
      </c>
      <c r="H5502" s="117" t="s">
        <v>5455</v>
      </c>
      <c r="I5502" s="26" t="s">
        <v>863</v>
      </c>
      <c r="J5502" s="25" t="str">
        <f t="shared" si="61"/>
        <v>No</v>
      </c>
      <c r="K5502" s="25" t="str">
        <f t="shared" si="62"/>
        <v/>
      </c>
      <c r="L5502" s="25" t="str">
        <f t="shared" si="63"/>
        <v/>
      </c>
      <c r="M5502" s="25"/>
      <c r="O5502" s="25"/>
    </row>
    <row r="5503" ht="15.75" customHeight="1">
      <c r="A5503" s="25" t="str">
        <f>IFERROR(__xludf.DUMMYFUNCTION("IF(B5503="""","""",RIGHT(REGEXREPLACE(B5503&amp;"""",""[^0-9]"",""""),9))"),"778668214")</f>
        <v>778668214</v>
      </c>
      <c r="B5503" s="52">
        <v>7.78668214E8</v>
      </c>
      <c r="C5503" s="28" t="s">
        <v>5456</v>
      </c>
      <c r="D5503" s="26" t="s">
        <v>82</v>
      </c>
      <c r="E5503" s="31">
        <v>46237.0</v>
      </c>
      <c r="F5503" s="26" t="s">
        <v>41</v>
      </c>
      <c r="G5503" s="26">
        <v>9.0</v>
      </c>
      <c r="I5503" s="26" t="s">
        <v>863</v>
      </c>
      <c r="J5503" s="25" t="str">
        <f t="shared" si="61"/>
        <v>No</v>
      </c>
      <c r="K5503" s="25" t="str">
        <f t="shared" si="62"/>
        <v/>
      </c>
      <c r="L5503" s="25" t="str">
        <f t="shared" si="63"/>
        <v/>
      </c>
      <c r="M5503" s="25"/>
      <c r="O5503" s="25"/>
    </row>
    <row r="5504" ht="15.75" customHeight="1">
      <c r="A5504" s="25" t="str">
        <f>IFERROR(__xludf.DUMMYFUNCTION("IF(B5504="""","""",RIGHT(REGEXREPLACE(B5504&amp;"""",""[^0-9]"",""""),9))"),"762986889")</f>
        <v>762986889</v>
      </c>
      <c r="B5504" s="52">
        <v>7.62986889E8</v>
      </c>
      <c r="C5504" s="28" t="s">
        <v>5457</v>
      </c>
      <c r="D5504" s="26" t="s">
        <v>49</v>
      </c>
      <c r="E5504" s="31">
        <v>46237.0</v>
      </c>
      <c r="F5504" s="26" t="s">
        <v>46</v>
      </c>
      <c r="G5504" s="26">
        <v>9.0</v>
      </c>
      <c r="H5504" s="26" t="s">
        <v>94</v>
      </c>
      <c r="I5504" s="26" t="s">
        <v>863</v>
      </c>
      <c r="J5504" s="25" t="str">
        <f t="shared" si="61"/>
        <v>No</v>
      </c>
      <c r="K5504" s="25" t="str">
        <f t="shared" si="62"/>
        <v/>
      </c>
      <c r="L5504" s="25" t="str">
        <f t="shared" si="63"/>
        <v/>
      </c>
      <c r="M5504" s="25"/>
      <c r="O5504" s="25"/>
    </row>
    <row r="5505" ht="15.75" customHeight="1">
      <c r="A5505" s="25" t="str">
        <f>IFERROR(__xludf.DUMMYFUNCTION("IF(B5505="""","""",RIGHT(REGEXREPLACE(B5505&amp;"""",""[^0-9]"",""""),9))"),"740328125")</f>
        <v>740328125</v>
      </c>
      <c r="B5505" s="52">
        <v>7.40328125E8</v>
      </c>
      <c r="C5505" s="28" t="s">
        <v>5458</v>
      </c>
      <c r="D5505" s="26" t="s">
        <v>45</v>
      </c>
      <c r="E5505" s="31">
        <v>46237.0</v>
      </c>
      <c r="F5505" s="26" t="s">
        <v>41</v>
      </c>
      <c r="G5505" s="26">
        <v>9.0</v>
      </c>
      <c r="I5505" s="26" t="s">
        <v>863</v>
      </c>
      <c r="J5505" s="25" t="str">
        <f t="shared" si="61"/>
        <v>No</v>
      </c>
      <c r="K5505" s="25" t="str">
        <f t="shared" si="62"/>
        <v/>
      </c>
      <c r="L5505" s="25" t="str">
        <f t="shared" si="63"/>
        <v/>
      </c>
      <c r="M5505" s="25"/>
      <c r="O5505" s="25"/>
    </row>
    <row r="5506" ht="15.75" customHeight="1">
      <c r="A5506" s="25" t="str">
        <f>IFERROR(__xludf.DUMMYFUNCTION("IF(B5506="""","""",RIGHT(REGEXREPLACE(B5506&amp;"""",""[^0-9]"",""""),9))"),"770418613")</f>
        <v>770418613</v>
      </c>
      <c r="B5506" s="52">
        <v>7.70418613E8</v>
      </c>
      <c r="C5506" s="28" t="s">
        <v>5459</v>
      </c>
      <c r="D5506" s="26" t="s">
        <v>82</v>
      </c>
      <c r="E5506" s="31">
        <v>46237.0</v>
      </c>
      <c r="F5506" s="26" t="s">
        <v>46</v>
      </c>
      <c r="G5506" s="26">
        <v>9.0</v>
      </c>
      <c r="H5506" s="26" t="s">
        <v>5460</v>
      </c>
      <c r="I5506" s="26" t="s">
        <v>863</v>
      </c>
      <c r="J5506" s="25" t="str">
        <f t="shared" si="61"/>
        <v>No</v>
      </c>
      <c r="K5506" s="25" t="str">
        <f t="shared" si="62"/>
        <v/>
      </c>
      <c r="L5506" s="25" t="str">
        <f t="shared" si="63"/>
        <v/>
      </c>
      <c r="M5506" s="25"/>
      <c r="O5506" s="25"/>
    </row>
    <row r="5507" ht="15.75" customHeight="1">
      <c r="A5507" s="25" t="str">
        <f>IFERROR(__xludf.DUMMYFUNCTION("IF(B5507="""","""",RIGHT(REGEXREPLACE(B5507&amp;"""",""[^0-9]"",""""),9))"),"762838804")</f>
        <v>762838804</v>
      </c>
      <c r="B5507" s="52">
        <v>7.62838804E8</v>
      </c>
      <c r="C5507" s="28" t="s">
        <v>5461</v>
      </c>
      <c r="D5507" s="26" t="s">
        <v>45</v>
      </c>
      <c r="E5507" s="31">
        <v>46237.0</v>
      </c>
      <c r="F5507" s="26" t="s">
        <v>46</v>
      </c>
      <c r="G5507" s="26">
        <v>9.0</v>
      </c>
      <c r="I5507" s="26" t="s">
        <v>863</v>
      </c>
      <c r="J5507" s="25" t="str">
        <f t="shared" si="61"/>
        <v>No</v>
      </c>
      <c r="K5507" s="25" t="str">
        <f t="shared" si="62"/>
        <v/>
      </c>
      <c r="L5507" s="25" t="str">
        <f t="shared" si="63"/>
        <v/>
      </c>
      <c r="M5507" s="25"/>
      <c r="O5507" s="26" t="s">
        <v>51</v>
      </c>
    </row>
    <row r="5508" ht="15.75" customHeight="1">
      <c r="A5508" s="25" t="str">
        <f>IFERROR(__xludf.DUMMYFUNCTION("IF(B5508="""","""",RIGHT(REGEXREPLACE(B5508&amp;"""",""[^0-9]"",""""),9))"),"771771174")</f>
        <v>771771174</v>
      </c>
      <c r="B5508" s="52">
        <v>7.71771174E8</v>
      </c>
      <c r="C5508" s="28" t="s">
        <v>5462</v>
      </c>
      <c r="D5508" s="26" t="s">
        <v>49</v>
      </c>
      <c r="E5508" s="31">
        <v>46237.0</v>
      </c>
      <c r="F5508" s="26" t="s">
        <v>46</v>
      </c>
      <c r="G5508" s="26">
        <v>9.0</v>
      </c>
      <c r="H5508" s="26" t="s">
        <v>5463</v>
      </c>
      <c r="I5508" s="26" t="s">
        <v>863</v>
      </c>
      <c r="J5508" s="25" t="str">
        <f t="shared" si="61"/>
        <v>No</v>
      </c>
      <c r="K5508" s="25" t="str">
        <f t="shared" si="62"/>
        <v/>
      </c>
      <c r="L5508" s="25" t="str">
        <f t="shared" si="63"/>
        <v/>
      </c>
      <c r="M5508" s="25"/>
      <c r="O5508" s="25"/>
    </row>
    <row r="5509" ht="15.75" customHeight="1">
      <c r="A5509" s="25" t="str">
        <f>IFERROR(__xludf.DUMMYFUNCTION("IF(B5509="""","""",RIGHT(REGEXREPLACE(B5509&amp;"""",""[^0-9]"",""""),9))"),"704725204")</f>
        <v>704725204</v>
      </c>
      <c r="B5509" s="52">
        <v>7.04725204E8</v>
      </c>
      <c r="C5509" s="28" t="s">
        <v>5464</v>
      </c>
      <c r="D5509" s="26" t="s">
        <v>45</v>
      </c>
      <c r="E5509" s="31">
        <v>46237.0</v>
      </c>
      <c r="F5509" s="26" t="s">
        <v>41</v>
      </c>
      <c r="I5509" s="26" t="s">
        <v>863</v>
      </c>
      <c r="J5509" s="25" t="str">
        <f t="shared" si="61"/>
        <v>No</v>
      </c>
      <c r="K5509" s="25" t="str">
        <f t="shared" si="62"/>
        <v/>
      </c>
      <c r="L5509" s="25" t="str">
        <f t="shared" si="63"/>
        <v/>
      </c>
      <c r="M5509" s="25"/>
      <c r="O5509" s="25"/>
    </row>
    <row r="5510" ht="15.75" customHeight="1">
      <c r="A5510" s="25" t="str">
        <f>IFERROR(__xludf.DUMMYFUNCTION("IF(B5510="""","""",RIGHT(REGEXREPLACE(B5510&amp;"""",""[^0-9]"",""""),9))"),"775039574")</f>
        <v>775039574</v>
      </c>
      <c r="B5510" s="52">
        <v>7.75039574E8</v>
      </c>
      <c r="C5510" s="28" t="s">
        <v>5465</v>
      </c>
      <c r="D5510" s="26" t="s">
        <v>82</v>
      </c>
      <c r="E5510" s="31">
        <v>46237.0</v>
      </c>
      <c r="F5510" s="26" t="s">
        <v>46</v>
      </c>
      <c r="G5510" s="26">
        <v>9.0</v>
      </c>
      <c r="I5510" s="26" t="s">
        <v>863</v>
      </c>
      <c r="J5510" s="25" t="str">
        <f t="shared" si="61"/>
        <v>No</v>
      </c>
      <c r="K5510" s="25" t="str">
        <f t="shared" si="62"/>
        <v/>
      </c>
      <c r="L5510" s="25" t="str">
        <f t="shared" si="63"/>
        <v/>
      </c>
      <c r="M5510" s="25"/>
      <c r="O5510" s="25"/>
    </row>
    <row r="5511" ht="15.75" customHeight="1">
      <c r="A5511" s="25" t="str">
        <f>IFERROR(__xludf.DUMMYFUNCTION("IF(B5511="""","""",RIGHT(REGEXREPLACE(B5511&amp;"""",""[^0-9]"",""""),9))"),"773983064")</f>
        <v>773983064</v>
      </c>
      <c r="B5511" s="52">
        <v>7.73983064E8</v>
      </c>
      <c r="C5511" s="28" t="s">
        <v>1624</v>
      </c>
      <c r="D5511" s="26" t="s">
        <v>49</v>
      </c>
      <c r="E5511" s="31">
        <v>46237.0</v>
      </c>
      <c r="F5511" s="26" t="s">
        <v>46</v>
      </c>
      <c r="G5511" s="26">
        <v>9.0</v>
      </c>
      <c r="H5511" s="26" t="s">
        <v>5466</v>
      </c>
      <c r="I5511" s="26" t="s">
        <v>863</v>
      </c>
      <c r="J5511" s="25" t="str">
        <f t="shared" si="61"/>
        <v>Yes - see Previous F-Code</v>
      </c>
      <c r="K5511" s="25" t="str">
        <f t="shared" si="62"/>
        <v/>
      </c>
      <c r="L5511" s="25" t="str">
        <f t="shared" si="63"/>
        <v>F71340</v>
      </c>
      <c r="M5511" s="25"/>
      <c r="O5511" s="25"/>
    </row>
    <row r="5512" ht="15.75" customHeight="1">
      <c r="A5512" s="25" t="str">
        <f>IFERROR(__xludf.DUMMYFUNCTION("IF(B5512="""","""",RIGHT(REGEXREPLACE(B5512&amp;"""",""[^0-9]"",""""),9))"),"768658359")</f>
        <v>768658359</v>
      </c>
      <c r="B5512" s="52">
        <v>7.68658359E8</v>
      </c>
      <c r="C5512" s="28" t="s">
        <v>5467</v>
      </c>
      <c r="D5512" s="26" t="s">
        <v>49</v>
      </c>
      <c r="E5512" s="31">
        <v>46237.0</v>
      </c>
      <c r="F5512" s="26" t="s">
        <v>205</v>
      </c>
      <c r="G5512" s="26">
        <v>9.0</v>
      </c>
      <c r="I5512" s="26" t="s">
        <v>863</v>
      </c>
      <c r="J5512" s="25" t="str">
        <f t="shared" si="61"/>
        <v>No</v>
      </c>
      <c r="K5512" s="25" t="str">
        <f t="shared" si="62"/>
        <v/>
      </c>
      <c r="L5512" s="25" t="str">
        <f t="shared" si="63"/>
        <v/>
      </c>
      <c r="M5512" s="25"/>
      <c r="O5512" s="25"/>
    </row>
    <row r="5513" ht="15.75" customHeight="1">
      <c r="A5513" s="25" t="str">
        <f>IFERROR(__xludf.DUMMYFUNCTION("IF(B5513="""","""",RIGHT(REGEXREPLACE(B5513&amp;"""",""[^0-9]"",""""),9))"),"716900902")</f>
        <v>716900902</v>
      </c>
      <c r="B5513" s="52">
        <v>7.16900902E8</v>
      </c>
      <c r="C5513" s="28" t="s">
        <v>5468</v>
      </c>
      <c r="D5513" s="26" t="s">
        <v>82</v>
      </c>
      <c r="E5513" s="31">
        <v>46237.0</v>
      </c>
      <c r="F5513" s="26" t="s">
        <v>46</v>
      </c>
      <c r="G5513" s="26">
        <v>9.0</v>
      </c>
      <c r="H5513" s="26" t="s">
        <v>5469</v>
      </c>
      <c r="I5513" s="26" t="s">
        <v>863</v>
      </c>
      <c r="J5513" s="25" t="str">
        <f t="shared" si="61"/>
        <v>No</v>
      </c>
      <c r="K5513" s="25" t="str">
        <f t="shared" si="62"/>
        <v/>
      </c>
      <c r="L5513" s="25" t="str">
        <f t="shared" si="63"/>
        <v/>
      </c>
      <c r="M5513" s="25"/>
      <c r="O5513" s="25"/>
    </row>
    <row r="5514" ht="15.75" customHeight="1">
      <c r="A5514" s="25" t="str">
        <f>IFERROR(__xludf.DUMMYFUNCTION("IF(B5514="""","""",RIGHT(REGEXREPLACE(B5514&amp;"""",""[^0-9]"",""""),9))"),"776580719")</f>
        <v>776580719</v>
      </c>
      <c r="B5514" s="52">
        <v>7.76580719E8</v>
      </c>
      <c r="C5514" s="28" t="s">
        <v>204</v>
      </c>
      <c r="D5514" s="26" t="s">
        <v>82</v>
      </c>
      <c r="E5514" s="31">
        <v>46237.0</v>
      </c>
      <c r="F5514" s="26" t="s">
        <v>164</v>
      </c>
      <c r="G5514" s="26">
        <v>9.0</v>
      </c>
      <c r="I5514" s="26" t="s">
        <v>863</v>
      </c>
      <c r="J5514" s="25" t="str">
        <f t="shared" si="61"/>
        <v>Yes - see Previous F-Code</v>
      </c>
      <c r="K5514" s="25" t="str">
        <f t="shared" si="62"/>
        <v/>
      </c>
      <c r="L5514" s="25" t="str">
        <f t="shared" si="63"/>
        <v>F70093</v>
      </c>
      <c r="M5514" s="25"/>
      <c r="O5514" s="25"/>
    </row>
    <row r="5515" ht="15.75" customHeight="1">
      <c r="A5515" s="25" t="str">
        <f>IFERROR(__xludf.DUMMYFUNCTION("IF(B5515="""","""",RIGHT(REGEXREPLACE(B5515&amp;"""",""[^0-9]"",""""),9))"),"777382721")</f>
        <v>777382721</v>
      </c>
      <c r="B5515" s="52">
        <v>7.77382721E8</v>
      </c>
      <c r="C5515" s="28" t="s">
        <v>5470</v>
      </c>
      <c r="D5515" s="26" t="s">
        <v>49</v>
      </c>
      <c r="E5515" s="31">
        <v>46237.0</v>
      </c>
      <c r="F5515" s="26" t="s">
        <v>46</v>
      </c>
      <c r="G5515" s="26">
        <v>9.0</v>
      </c>
      <c r="H5515" s="26" t="s">
        <v>5471</v>
      </c>
      <c r="I5515" s="26" t="s">
        <v>863</v>
      </c>
      <c r="J5515" s="25" t="str">
        <f t="shared" si="61"/>
        <v>No</v>
      </c>
      <c r="K5515" s="25" t="str">
        <f t="shared" si="62"/>
        <v/>
      </c>
      <c r="L5515" s="25" t="str">
        <f t="shared" si="63"/>
        <v/>
      </c>
      <c r="M5515" s="25"/>
      <c r="O5515" s="25"/>
    </row>
    <row r="5516" ht="15.75" customHeight="1">
      <c r="A5516" s="25" t="str">
        <f>IFERROR(__xludf.DUMMYFUNCTION("IF(B5516="""","""",RIGHT(REGEXREPLACE(B5516&amp;"""",""[^0-9]"",""""),9))"),"765526411")</f>
        <v>765526411</v>
      </c>
      <c r="B5516" s="52">
        <v>7.65526411E8</v>
      </c>
      <c r="C5516" s="28" t="s">
        <v>5472</v>
      </c>
      <c r="D5516" s="26" t="s">
        <v>82</v>
      </c>
      <c r="E5516" s="31">
        <v>46237.0</v>
      </c>
      <c r="F5516" s="26" t="s">
        <v>46</v>
      </c>
      <c r="G5516" s="26">
        <v>9.0</v>
      </c>
      <c r="H5516" s="26" t="s">
        <v>5473</v>
      </c>
      <c r="I5516" s="26" t="s">
        <v>863</v>
      </c>
      <c r="J5516" s="25" t="str">
        <f t="shared" si="61"/>
        <v>No</v>
      </c>
      <c r="K5516" s="25" t="str">
        <f t="shared" si="62"/>
        <v/>
      </c>
      <c r="L5516" s="25" t="str">
        <f t="shared" si="63"/>
        <v/>
      </c>
      <c r="M5516" s="25"/>
      <c r="O5516" s="25"/>
    </row>
    <row r="5517" ht="15.75" customHeight="1">
      <c r="A5517" s="25" t="str">
        <f>IFERROR(__xludf.DUMMYFUNCTION("IF(B5517="""","""",RIGHT(REGEXREPLACE(B5517&amp;"""",""[^0-9]"",""""),9))"),"777382721")</f>
        <v>777382721</v>
      </c>
      <c r="B5517" s="52">
        <v>7.77382721E8</v>
      </c>
      <c r="C5517" s="28" t="s">
        <v>5470</v>
      </c>
      <c r="D5517" s="26" t="s">
        <v>82</v>
      </c>
      <c r="E5517" s="31">
        <v>46237.0</v>
      </c>
      <c r="F5517" s="26" t="s">
        <v>41</v>
      </c>
      <c r="G5517" s="26">
        <v>9.0</v>
      </c>
      <c r="I5517" s="26" t="s">
        <v>863</v>
      </c>
      <c r="J5517" s="25" t="str">
        <f t="shared" si="61"/>
        <v>Yes - see Previous F-Code</v>
      </c>
      <c r="K5517" s="25" t="str">
        <f t="shared" si="62"/>
        <v>DUPLICATE - CHECK</v>
      </c>
      <c r="L5517" s="25" t="str">
        <f t="shared" si="63"/>
        <v>F74961</v>
      </c>
      <c r="M5517" s="25"/>
      <c r="O5517" s="25"/>
    </row>
    <row r="5518" ht="15.75" customHeight="1">
      <c r="A5518" s="25" t="str">
        <f>IFERROR(__xludf.DUMMYFUNCTION("IF(B5518="""","""",RIGHT(REGEXREPLACE(B5518&amp;"""",""[^0-9]"",""""),9))"),"778117910")</f>
        <v>778117910</v>
      </c>
      <c r="B5518" s="52">
        <v>7.7811791E8</v>
      </c>
      <c r="C5518" s="28" t="s">
        <v>5474</v>
      </c>
      <c r="D5518" s="26" t="s">
        <v>49</v>
      </c>
      <c r="E5518" s="31">
        <v>46237.0</v>
      </c>
      <c r="F5518" s="26" t="s">
        <v>46</v>
      </c>
      <c r="G5518" s="26">
        <v>9.0</v>
      </c>
      <c r="H5518" s="117" t="s">
        <v>5475</v>
      </c>
      <c r="I5518" s="26" t="s">
        <v>863</v>
      </c>
      <c r="J5518" s="25" t="str">
        <f t="shared" si="61"/>
        <v>No</v>
      </c>
      <c r="K5518" s="25" t="str">
        <f t="shared" si="62"/>
        <v/>
      </c>
      <c r="L5518" s="25" t="str">
        <f t="shared" si="63"/>
        <v/>
      </c>
      <c r="M5518" s="25"/>
      <c r="O5518" s="25"/>
    </row>
    <row r="5519" ht="15.75" customHeight="1">
      <c r="A5519" s="25" t="str">
        <f>IFERROR(__xludf.DUMMYFUNCTION("IF(B5519="""","""",RIGHT(REGEXREPLACE(B5519&amp;"""",""[^0-9]"",""""),9))"),"742951795")</f>
        <v>742951795</v>
      </c>
      <c r="B5519" s="52">
        <v>7.42951795E8</v>
      </c>
      <c r="C5519" s="28" t="s">
        <v>5476</v>
      </c>
      <c r="D5519" s="26" t="s">
        <v>82</v>
      </c>
      <c r="E5519" s="31">
        <v>46237.0</v>
      </c>
      <c r="F5519" s="26" t="s">
        <v>41</v>
      </c>
      <c r="G5519" s="26">
        <v>9.0</v>
      </c>
      <c r="I5519" s="26" t="s">
        <v>863</v>
      </c>
      <c r="J5519" s="25" t="str">
        <f t="shared" si="61"/>
        <v>No</v>
      </c>
      <c r="K5519" s="25" t="str">
        <f t="shared" si="62"/>
        <v/>
      </c>
      <c r="L5519" s="25" t="str">
        <f t="shared" si="63"/>
        <v/>
      </c>
      <c r="M5519" s="25"/>
      <c r="O5519" s="25"/>
    </row>
    <row r="5520" ht="15.75" customHeight="1">
      <c r="A5520" s="25" t="str">
        <f>IFERROR(__xludf.DUMMYFUNCTION("IF(B5520="""","""",RIGHT(REGEXREPLACE(B5520&amp;"""",""[^0-9]"",""""),9))"),"774923813")</f>
        <v>774923813</v>
      </c>
      <c r="B5520" s="52">
        <v>7.74923813E8</v>
      </c>
      <c r="C5520" s="28" t="s">
        <v>5477</v>
      </c>
      <c r="D5520" s="26" t="s">
        <v>45</v>
      </c>
      <c r="E5520" s="31">
        <v>46237.0</v>
      </c>
      <c r="F5520" s="26" t="s">
        <v>46</v>
      </c>
      <c r="G5520" s="26">
        <v>9.0</v>
      </c>
      <c r="H5520" s="26" t="s">
        <v>720</v>
      </c>
      <c r="I5520" s="26" t="s">
        <v>863</v>
      </c>
      <c r="J5520" s="25" t="str">
        <f t="shared" si="61"/>
        <v>No</v>
      </c>
      <c r="K5520" s="25" t="str">
        <f t="shared" si="62"/>
        <v/>
      </c>
      <c r="L5520" s="25" t="str">
        <f t="shared" si="63"/>
        <v/>
      </c>
      <c r="M5520" s="25"/>
      <c r="O5520" s="25"/>
    </row>
    <row r="5521" ht="15.75" customHeight="1">
      <c r="A5521" s="25" t="str">
        <f>IFERROR(__xludf.DUMMYFUNCTION("IF(B5521="""","""",RIGHT(REGEXREPLACE(B5521&amp;"""",""[^0-9]"",""""),9))"),"788667724")</f>
        <v>788667724</v>
      </c>
      <c r="B5521" s="52">
        <v>7.88667724E8</v>
      </c>
      <c r="C5521" s="28" t="s">
        <v>5478</v>
      </c>
      <c r="D5521" s="26" t="s">
        <v>82</v>
      </c>
      <c r="E5521" s="31">
        <v>46237.0</v>
      </c>
      <c r="F5521" s="26" t="s">
        <v>41</v>
      </c>
      <c r="G5521" s="26">
        <v>9.0</v>
      </c>
      <c r="I5521" s="26" t="s">
        <v>863</v>
      </c>
      <c r="J5521" s="25" t="str">
        <f t="shared" si="61"/>
        <v>No</v>
      </c>
      <c r="K5521" s="25" t="str">
        <f t="shared" si="62"/>
        <v/>
      </c>
      <c r="L5521" s="25" t="str">
        <f t="shared" si="63"/>
        <v/>
      </c>
      <c r="M5521" s="25"/>
      <c r="O5521" s="25"/>
    </row>
    <row r="5522" ht="15.75" customHeight="1">
      <c r="A5522" s="25" t="str">
        <f>IFERROR(__xludf.DUMMYFUNCTION("IF(B5522="""","""",RIGHT(REGEXREPLACE(B5522&amp;"""",""[^0-9]"",""""),9))"),"778113682")</f>
        <v>778113682</v>
      </c>
      <c r="B5522" s="52">
        <v>7.78113682E8</v>
      </c>
      <c r="C5522" s="28" t="s">
        <v>5479</v>
      </c>
      <c r="D5522" s="26" t="s">
        <v>49</v>
      </c>
      <c r="E5522" s="31">
        <v>46237.0</v>
      </c>
      <c r="F5522" s="26" t="s">
        <v>205</v>
      </c>
      <c r="G5522" s="26">
        <v>9.0</v>
      </c>
      <c r="I5522" s="26" t="s">
        <v>863</v>
      </c>
      <c r="J5522" s="25" t="str">
        <f t="shared" si="61"/>
        <v>No</v>
      </c>
      <c r="K5522" s="25" t="str">
        <f t="shared" si="62"/>
        <v/>
      </c>
      <c r="L5522" s="25" t="str">
        <f t="shared" si="63"/>
        <v/>
      </c>
      <c r="M5522" s="25"/>
      <c r="O5522" s="25"/>
    </row>
    <row r="5523" ht="15.75" customHeight="1">
      <c r="A5523" s="25" t="str">
        <f>IFERROR(__xludf.DUMMYFUNCTION("IF(B5523="""","""",RIGHT(REGEXREPLACE(B5523&amp;"""",""[^0-9]"",""""),9))"),"758301041")</f>
        <v>758301041</v>
      </c>
      <c r="B5523" s="52">
        <v>7.58301041E8</v>
      </c>
      <c r="C5523" s="28" t="s">
        <v>5479</v>
      </c>
      <c r="D5523" s="26" t="s">
        <v>45</v>
      </c>
      <c r="E5523" s="31">
        <v>46237.0</v>
      </c>
      <c r="F5523" s="26" t="s">
        <v>46</v>
      </c>
      <c r="G5523" s="26">
        <v>9.0</v>
      </c>
      <c r="I5523" s="26" t="s">
        <v>863</v>
      </c>
      <c r="J5523" s="25" t="str">
        <f t="shared" si="61"/>
        <v>No</v>
      </c>
      <c r="K5523" s="25" t="str">
        <f t="shared" si="62"/>
        <v/>
      </c>
      <c r="L5523" s="25" t="str">
        <f t="shared" si="63"/>
        <v/>
      </c>
      <c r="M5523" s="25"/>
      <c r="O5523" s="25"/>
    </row>
    <row r="5524" ht="15.75" customHeight="1">
      <c r="A5524" s="25" t="str">
        <f>IFERROR(__xludf.DUMMYFUNCTION("IF(B5524="""","""",RIGHT(REGEXREPLACE(B5524&amp;"""",""[^0-9]"",""""),9))"),"740235128")</f>
        <v>740235128</v>
      </c>
      <c r="B5524" s="52">
        <v>7.40235128E8</v>
      </c>
      <c r="C5524" s="28" t="s">
        <v>5480</v>
      </c>
      <c r="D5524" s="26" t="s">
        <v>82</v>
      </c>
      <c r="E5524" s="31">
        <v>46237.0</v>
      </c>
      <c r="F5524" s="26" t="s">
        <v>41</v>
      </c>
      <c r="G5524" s="26">
        <v>9.0</v>
      </c>
      <c r="I5524" s="26" t="s">
        <v>863</v>
      </c>
      <c r="J5524" s="25" t="str">
        <f t="shared" si="61"/>
        <v>No</v>
      </c>
      <c r="K5524" s="25" t="str">
        <f t="shared" si="62"/>
        <v/>
      </c>
      <c r="L5524" s="25" t="str">
        <f t="shared" si="63"/>
        <v/>
      </c>
      <c r="M5524" s="25"/>
      <c r="O5524" s="25"/>
    </row>
    <row r="5525" ht="15.75" customHeight="1">
      <c r="A5525" s="25" t="str">
        <f>IFERROR(__xludf.DUMMYFUNCTION("IF(B5525="""","""",RIGHT(REGEXREPLACE(B5525&amp;"""",""[^0-9]"",""""),9))"),"763327001")</f>
        <v>763327001</v>
      </c>
      <c r="B5525" s="52">
        <v>7.63327001E8</v>
      </c>
      <c r="C5525" s="28" t="s">
        <v>5481</v>
      </c>
      <c r="D5525" s="26" t="s">
        <v>45</v>
      </c>
      <c r="E5525" s="31">
        <v>46237.0</v>
      </c>
      <c r="F5525" s="26" t="s">
        <v>46</v>
      </c>
      <c r="G5525" s="26">
        <v>9.0</v>
      </c>
      <c r="I5525" s="26" t="s">
        <v>863</v>
      </c>
      <c r="J5525" s="25" t="str">
        <f t="shared" si="61"/>
        <v>No</v>
      </c>
      <c r="K5525" s="25" t="str">
        <f t="shared" si="62"/>
        <v/>
      </c>
      <c r="L5525" s="25" t="str">
        <f t="shared" si="63"/>
        <v/>
      </c>
      <c r="M5525" s="25"/>
      <c r="O5525" s="25"/>
    </row>
    <row r="5526" ht="15.75" customHeight="1">
      <c r="A5526" s="25" t="str">
        <f>IFERROR(__xludf.DUMMYFUNCTION("IF(B5526="""","""",RIGHT(REGEXREPLACE(B5526&amp;"""",""[^0-9]"",""""),9))"),"701827824")</f>
        <v>701827824</v>
      </c>
      <c r="B5526" s="52">
        <v>7.01827824E8</v>
      </c>
      <c r="C5526" s="28" t="s">
        <v>5482</v>
      </c>
      <c r="D5526" s="26" t="s">
        <v>82</v>
      </c>
      <c r="E5526" s="31">
        <v>46237.0</v>
      </c>
      <c r="F5526" s="26" t="s">
        <v>46</v>
      </c>
      <c r="G5526" s="26">
        <v>9.0</v>
      </c>
      <c r="I5526" s="26" t="s">
        <v>863</v>
      </c>
      <c r="J5526" s="25" t="str">
        <f t="shared" si="61"/>
        <v>No</v>
      </c>
      <c r="K5526" s="25" t="str">
        <f t="shared" si="62"/>
        <v/>
      </c>
      <c r="L5526" s="25" t="str">
        <f t="shared" si="63"/>
        <v/>
      </c>
      <c r="M5526" s="25"/>
      <c r="O5526" s="25"/>
    </row>
    <row r="5527" ht="15.75" customHeight="1">
      <c r="A5527" s="25" t="str">
        <f>IFERROR(__xludf.DUMMYFUNCTION("IF(B5527="""","""",RIGHT(REGEXREPLACE(B5527&amp;"""",""[^0-9]"",""""),9))"),"719253775")</f>
        <v>719253775</v>
      </c>
      <c r="B5527" s="52">
        <v>7.19253775E8</v>
      </c>
      <c r="C5527" s="28" t="s">
        <v>5483</v>
      </c>
      <c r="D5527" s="26" t="s">
        <v>45</v>
      </c>
      <c r="E5527" s="31">
        <v>46237.0</v>
      </c>
      <c r="F5527" s="26" t="s">
        <v>46</v>
      </c>
      <c r="G5527" s="26">
        <v>9.0</v>
      </c>
      <c r="I5527" s="26" t="s">
        <v>863</v>
      </c>
      <c r="J5527" s="25" t="str">
        <f t="shared" si="61"/>
        <v>No</v>
      </c>
      <c r="K5527" s="25" t="str">
        <f t="shared" si="62"/>
        <v/>
      </c>
      <c r="L5527" s="25" t="str">
        <f t="shared" si="63"/>
        <v/>
      </c>
      <c r="M5527" s="25"/>
      <c r="O5527" s="25"/>
    </row>
    <row r="5528" ht="15.75" customHeight="1">
      <c r="A5528" s="25" t="str">
        <f>IFERROR(__xludf.DUMMYFUNCTION("IF(B5528="""","""",RIGHT(REGEXREPLACE(B5528&amp;"""",""[^0-9]"",""""),9))"),"719238695")</f>
        <v>719238695</v>
      </c>
      <c r="B5528" s="52">
        <v>7.19238695E8</v>
      </c>
      <c r="C5528" s="28" t="s">
        <v>5484</v>
      </c>
      <c r="D5528" s="26" t="s">
        <v>45</v>
      </c>
      <c r="E5528" s="31">
        <v>46237.0</v>
      </c>
      <c r="F5528" s="26" t="s">
        <v>41</v>
      </c>
      <c r="G5528" s="26">
        <v>9.0</v>
      </c>
      <c r="I5528" s="26" t="s">
        <v>863</v>
      </c>
      <c r="J5528" s="25" t="str">
        <f t="shared" si="61"/>
        <v>No</v>
      </c>
      <c r="K5528" s="25" t="str">
        <f t="shared" si="62"/>
        <v/>
      </c>
      <c r="L5528" s="25" t="str">
        <f t="shared" si="63"/>
        <v/>
      </c>
      <c r="M5528" s="25"/>
      <c r="O5528" s="25"/>
    </row>
    <row r="5529" ht="15.75" customHeight="1">
      <c r="A5529" s="25" t="str">
        <f>IFERROR(__xludf.DUMMYFUNCTION("IF(B5529="""","""",RIGHT(REGEXREPLACE(B5529&amp;"""",""[^0-9]"",""""),9))"),"787999379")</f>
        <v>787999379</v>
      </c>
      <c r="B5529" s="52">
        <v>7.87999379E8</v>
      </c>
      <c r="C5529" s="28" t="s">
        <v>5485</v>
      </c>
      <c r="D5529" s="26" t="s">
        <v>82</v>
      </c>
      <c r="E5529" s="31">
        <v>46237.0</v>
      </c>
      <c r="F5529" s="26" t="s">
        <v>41</v>
      </c>
      <c r="G5529" s="26">
        <v>9.0</v>
      </c>
      <c r="I5529" s="26" t="s">
        <v>863</v>
      </c>
      <c r="J5529" s="25" t="str">
        <f t="shared" si="61"/>
        <v>No</v>
      </c>
      <c r="K5529" s="25" t="str">
        <f t="shared" si="62"/>
        <v/>
      </c>
      <c r="L5529" s="25" t="str">
        <f t="shared" si="63"/>
        <v/>
      </c>
      <c r="M5529" s="25"/>
      <c r="O5529" s="25"/>
    </row>
    <row r="5530" ht="15.75" customHeight="1">
      <c r="A5530" s="25" t="str">
        <f>IFERROR(__xludf.DUMMYFUNCTION("IF(B5530="""","""",RIGHT(REGEXREPLACE(B5530&amp;"""",""[^0-9]"",""""),9))"),"766354579")</f>
        <v>766354579</v>
      </c>
      <c r="B5530" s="52">
        <v>7.66354579E8</v>
      </c>
      <c r="C5530" s="28" t="s">
        <v>5486</v>
      </c>
      <c r="D5530" s="26" t="s">
        <v>45</v>
      </c>
      <c r="E5530" s="31">
        <v>46237.0</v>
      </c>
      <c r="F5530" s="26" t="s">
        <v>205</v>
      </c>
      <c r="G5530" s="26">
        <v>9.0</v>
      </c>
      <c r="I5530" s="26" t="s">
        <v>863</v>
      </c>
      <c r="J5530" s="25" t="str">
        <f t="shared" si="61"/>
        <v>No</v>
      </c>
      <c r="K5530" s="25" t="str">
        <f t="shared" si="62"/>
        <v/>
      </c>
      <c r="L5530" s="25" t="str">
        <f t="shared" si="63"/>
        <v/>
      </c>
      <c r="M5530" s="25"/>
      <c r="O5530" s="26" t="s">
        <v>51</v>
      </c>
    </row>
    <row r="5531" ht="15.75" customHeight="1">
      <c r="A5531" s="25" t="str">
        <f>IFERROR(__xludf.DUMMYFUNCTION("IF(B5531="""","""",RIGHT(REGEXREPLACE(B5531&amp;"""",""[^0-9]"",""""),9))"),"706815067")</f>
        <v>706815067</v>
      </c>
      <c r="B5531" s="52">
        <v>7.06815067E8</v>
      </c>
      <c r="C5531" s="28" t="s">
        <v>5487</v>
      </c>
      <c r="D5531" s="26" t="s">
        <v>45</v>
      </c>
      <c r="E5531" s="31">
        <v>46237.0</v>
      </c>
      <c r="F5531" s="26" t="s">
        <v>164</v>
      </c>
      <c r="G5531" s="26">
        <v>9.0</v>
      </c>
      <c r="I5531" s="26" t="s">
        <v>863</v>
      </c>
      <c r="J5531" s="25" t="str">
        <f t="shared" si="61"/>
        <v>No</v>
      </c>
      <c r="K5531" s="25" t="str">
        <f t="shared" si="62"/>
        <v/>
      </c>
      <c r="L5531" s="25" t="str">
        <f t="shared" si="63"/>
        <v/>
      </c>
      <c r="M5531" s="25"/>
      <c r="O5531" s="25"/>
    </row>
    <row r="5532" ht="15.75" customHeight="1">
      <c r="A5532" s="25" t="str">
        <f>IFERROR(__xludf.DUMMYFUNCTION("IF(B5532="""","""",RIGHT(REGEXREPLACE(B5532&amp;"""",""[^0-9]"",""""),9))"),"785969103")</f>
        <v>785969103</v>
      </c>
      <c r="B5532" s="52">
        <v>7.85969103E8</v>
      </c>
      <c r="C5532" s="28" t="s">
        <v>5488</v>
      </c>
      <c r="D5532" s="26" t="s">
        <v>82</v>
      </c>
      <c r="E5532" s="31">
        <v>46237.0</v>
      </c>
      <c r="F5532" s="26" t="s">
        <v>41</v>
      </c>
      <c r="G5532" s="26">
        <v>9.0</v>
      </c>
      <c r="I5532" s="26" t="s">
        <v>863</v>
      </c>
      <c r="J5532" s="25" t="str">
        <f t="shared" si="61"/>
        <v>No</v>
      </c>
      <c r="K5532" s="25" t="str">
        <f t="shared" si="62"/>
        <v/>
      </c>
      <c r="L5532" s="25" t="str">
        <f t="shared" si="63"/>
        <v/>
      </c>
      <c r="M5532" s="25"/>
      <c r="O5532" s="25"/>
    </row>
    <row r="5533" ht="15.75" customHeight="1">
      <c r="A5533" s="25" t="str">
        <f>IFERROR(__xludf.DUMMYFUNCTION("IF(B5533="""","""",RIGHT(REGEXREPLACE(B5533&amp;"""",""[^0-9]"",""""),9))"),"712397359")</f>
        <v>712397359</v>
      </c>
      <c r="B5533" s="52">
        <v>7.12397359E8</v>
      </c>
      <c r="C5533" s="28" t="s">
        <v>5489</v>
      </c>
      <c r="D5533" s="26" t="s">
        <v>45</v>
      </c>
      <c r="E5533" s="31">
        <v>46237.0</v>
      </c>
      <c r="F5533" s="26" t="s">
        <v>46</v>
      </c>
      <c r="G5533" s="26">
        <v>9.0</v>
      </c>
      <c r="I5533" s="26" t="s">
        <v>863</v>
      </c>
      <c r="J5533" s="25" t="str">
        <f t="shared" si="61"/>
        <v>No</v>
      </c>
      <c r="K5533" s="25" t="str">
        <f t="shared" si="62"/>
        <v/>
      </c>
      <c r="L5533" s="25" t="str">
        <f t="shared" si="63"/>
        <v/>
      </c>
      <c r="M5533" s="25"/>
      <c r="O5533" s="26" t="s">
        <v>51</v>
      </c>
    </row>
    <row r="5534" ht="15.75" customHeight="1">
      <c r="A5534" s="25" t="str">
        <f>IFERROR(__xludf.DUMMYFUNCTION("IF(B5534="""","""",RIGHT(REGEXREPLACE(B5534&amp;"""",""[^0-9]"",""""),9))"),"719367265")</f>
        <v>719367265</v>
      </c>
      <c r="B5534" s="52">
        <v>7.19367265E8</v>
      </c>
      <c r="C5534" s="28" t="s">
        <v>5490</v>
      </c>
      <c r="D5534" s="26" t="s">
        <v>45</v>
      </c>
      <c r="E5534" s="31">
        <v>46237.0</v>
      </c>
      <c r="F5534" s="26" t="s">
        <v>164</v>
      </c>
      <c r="G5534" s="26">
        <v>9.0</v>
      </c>
      <c r="I5534" s="26" t="s">
        <v>863</v>
      </c>
      <c r="J5534" s="25" t="str">
        <f t="shared" si="61"/>
        <v>No</v>
      </c>
      <c r="K5534" s="25" t="str">
        <f t="shared" si="62"/>
        <v/>
      </c>
      <c r="L5534" s="25" t="str">
        <f t="shared" si="63"/>
        <v/>
      </c>
      <c r="M5534" s="25"/>
      <c r="O5534" s="25"/>
    </row>
    <row r="5535" ht="15.75" customHeight="1">
      <c r="A5535" s="25" t="str">
        <f>IFERROR(__xludf.DUMMYFUNCTION("IF(B5535="""","""",RIGHT(REGEXREPLACE(B5535&amp;"""",""[^0-9]"",""""),9))"),"701954505")</f>
        <v>701954505</v>
      </c>
      <c r="B5535" s="52">
        <v>7.01954505E8</v>
      </c>
      <c r="C5535" s="28" t="s">
        <v>5491</v>
      </c>
      <c r="D5535" s="26" t="s">
        <v>82</v>
      </c>
      <c r="E5535" s="31">
        <v>46237.0</v>
      </c>
      <c r="F5535" s="26" t="s">
        <v>46</v>
      </c>
      <c r="G5535" s="26">
        <v>9.0</v>
      </c>
      <c r="H5535" s="26" t="s">
        <v>140</v>
      </c>
      <c r="I5535" s="26" t="s">
        <v>863</v>
      </c>
      <c r="J5535" s="25" t="str">
        <f t="shared" si="61"/>
        <v>No</v>
      </c>
      <c r="K5535" s="25" t="str">
        <f t="shared" si="62"/>
        <v/>
      </c>
      <c r="L5535" s="25" t="str">
        <f t="shared" si="63"/>
        <v/>
      </c>
      <c r="M5535" s="25"/>
      <c r="O5535" s="25"/>
    </row>
    <row r="5536" ht="15.75" customHeight="1">
      <c r="A5536" s="25" t="str">
        <f>IFERROR(__xludf.DUMMYFUNCTION("IF(B5536="""","""",RIGHT(REGEXREPLACE(B5536&amp;"""",""[^0-9]"",""""),9))"),"764128174")</f>
        <v>764128174</v>
      </c>
      <c r="B5536" s="52">
        <v>7.64128174E8</v>
      </c>
      <c r="C5536" s="28" t="s">
        <v>5492</v>
      </c>
      <c r="D5536" s="26" t="s">
        <v>45</v>
      </c>
      <c r="E5536" s="31">
        <v>46237.0</v>
      </c>
      <c r="F5536" s="26" t="s">
        <v>46</v>
      </c>
      <c r="G5536" s="26">
        <v>9.0</v>
      </c>
      <c r="I5536" s="26" t="s">
        <v>863</v>
      </c>
      <c r="J5536" s="25" t="str">
        <f t="shared" si="61"/>
        <v>No</v>
      </c>
      <c r="K5536" s="25" t="str">
        <f t="shared" si="62"/>
        <v/>
      </c>
      <c r="L5536" s="25" t="str">
        <f t="shared" si="63"/>
        <v/>
      </c>
      <c r="M5536" s="25"/>
      <c r="O5536" s="26" t="s">
        <v>51</v>
      </c>
    </row>
    <row r="5537" ht="15.75" customHeight="1">
      <c r="A5537" s="25" t="str">
        <f>IFERROR(__xludf.DUMMYFUNCTION("IF(B5537="""","""",RIGHT(REGEXREPLACE(B5537&amp;"""",""[^0-9]"",""""),9))"),"763947020")</f>
        <v>763947020</v>
      </c>
      <c r="B5537" s="52">
        <v>7.6394702E8</v>
      </c>
      <c r="C5537" s="28" t="s">
        <v>5493</v>
      </c>
      <c r="D5537" s="26" t="s">
        <v>45</v>
      </c>
      <c r="E5537" s="31">
        <v>46237.0</v>
      </c>
      <c r="F5537" s="26" t="s">
        <v>41</v>
      </c>
      <c r="G5537" s="26">
        <v>9.0</v>
      </c>
      <c r="I5537" s="26" t="s">
        <v>863</v>
      </c>
      <c r="J5537" s="25" t="str">
        <f t="shared" si="61"/>
        <v>No</v>
      </c>
      <c r="K5537" s="25" t="str">
        <f t="shared" si="62"/>
        <v/>
      </c>
      <c r="L5537" s="25" t="str">
        <f t="shared" si="63"/>
        <v/>
      </c>
      <c r="M5537" s="25"/>
      <c r="O5537" s="25"/>
    </row>
    <row r="5538" ht="15.75" customHeight="1">
      <c r="A5538" s="25" t="str">
        <f>IFERROR(__xludf.DUMMYFUNCTION("IF(B5538="""","""",RIGHT(REGEXREPLACE(B5538&amp;"""",""[^0-9]"",""""),9))"),"768292531")</f>
        <v>768292531</v>
      </c>
      <c r="B5538" s="52">
        <v>7.68292531E8</v>
      </c>
      <c r="C5538" s="28" t="s">
        <v>5494</v>
      </c>
      <c r="D5538" s="26" t="s">
        <v>82</v>
      </c>
      <c r="E5538" s="31">
        <v>46237.0</v>
      </c>
      <c r="F5538" s="26" t="s">
        <v>205</v>
      </c>
      <c r="G5538" s="26">
        <v>9.0</v>
      </c>
      <c r="I5538" s="26" t="s">
        <v>863</v>
      </c>
      <c r="J5538" s="25" t="str">
        <f t="shared" si="61"/>
        <v>No</v>
      </c>
      <c r="K5538" s="25" t="str">
        <f t="shared" si="62"/>
        <v/>
      </c>
      <c r="L5538" s="25" t="str">
        <f t="shared" si="63"/>
        <v/>
      </c>
      <c r="M5538" s="25"/>
      <c r="O5538" s="25"/>
    </row>
    <row r="5539" ht="15.75" customHeight="1">
      <c r="A5539" s="25" t="str">
        <f>IFERROR(__xludf.DUMMYFUNCTION("IF(B5539="""","""",RIGHT(REGEXREPLACE(B5539&amp;"""",""[^0-9]"",""""),9))"),"716155222")</f>
        <v>716155222</v>
      </c>
      <c r="B5539" s="52">
        <v>7.16155222E8</v>
      </c>
      <c r="C5539" s="28" t="s">
        <v>5495</v>
      </c>
      <c r="D5539" s="26" t="s">
        <v>45</v>
      </c>
      <c r="E5539" s="31">
        <v>46237.0</v>
      </c>
      <c r="F5539" s="26" t="s">
        <v>41</v>
      </c>
      <c r="G5539" s="26">
        <v>9.0</v>
      </c>
      <c r="I5539" s="26" t="s">
        <v>863</v>
      </c>
      <c r="J5539" s="25" t="str">
        <f t="shared" si="61"/>
        <v>No</v>
      </c>
      <c r="K5539" s="25" t="str">
        <f t="shared" si="62"/>
        <v/>
      </c>
      <c r="L5539" s="25" t="str">
        <f t="shared" si="63"/>
        <v/>
      </c>
      <c r="M5539" s="25"/>
      <c r="O5539" s="25"/>
    </row>
    <row r="5540" ht="15.75" customHeight="1">
      <c r="A5540" s="25" t="str">
        <f>IFERROR(__xludf.DUMMYFUNCTION("IF(B5540="""","""",RIGHT(REGEXREPLACE(B5540&amp;"""",""[^0-9]"",""""),9))"),"779647488")</f>
        <v>779647488</v>
      </c>
      <c r="B5540" s="52">
        <v>7.79647488E8</v>
      </c>
      <c r="C5540" s="28" t="s">
        <v>5496</v>
      </c>
      <c r="D5540" s="26" t="s">
        <v>45</v>
      </c>
      <c r="E5540" s="31">
        <v>46237.0</v>
      </c>
      <c r="F5540" s="26" t="s">
        <v>46</v>
      </c>
      <c r="G5540" s="26">
        <v>7.0</v>
      </c>
      <c r="I5540" s="26" t="s">
        <v>863</v>
      </c>
      <c r="J5540" s="25" t="str">
        <f t="shared" si="61"/>
        <v>No</v>
      </c>
      <c r="K5540" s="25" t="str">
        <f t="shared" si="62"/>
        <v/>
      </c>
      <c r="L5540" s="25" t="str">
        <f t="shared" si="63"/>
        <v/>
      </c>
      <c r="M5540" s="25"/>
      <c r="O5540" s="25"/>
    </row>
    <row r="5541" ht="15.75" customHeight="1">
      <c r="A5541" s="25" t="str">
        <f>IFERROR(__xludf.DUMMYFUNCTION("IF(B5541="""","""",RIGHT(REGEXREPLACE(B5541&amp;"""",""[^0-9]"",""""),9))"),"776843491")</f>
        <v>776843491</v>
      </c>
      <c r="B5541" s="52">
        <v>7.76843491E8</v>
      </c>
      <c r="C5541" s="28" t="s">
        <v>5497</v>
      </c>
      <c r="D5541" s="26" t="s">
        <v>45</v>
      </c>
      <c r="E5541" s="31">
        <v>46237.0</v>
      </c>
      <c r="F5541" s="26" t="s">
        <v>46</v>
      </c>
      <c r="G5541" s="26">
        <v>9.0</v>
      </c>
      <c r="I5541" s="26" t="s">
        <v>863</v>
      </c>
      <c r="J5541" s="25" t="str">
        <f t="shared" si="61"/>
        <v>No</v>
      </c>
      <c r="K5541" s="25" t="str">
        <f t="shared" si="62"/>
        <v/>
      </c>
      <c r="L5541" s="25" t="str">
        <f t="shared" si="63"/>
        <v/>
      </c>
      <c r="M5541" s="25"/>
      <c r="O5541" s="25"/>
    </row>
    <row r="5542" ht="15.75" customHeight="1">
      <c r="A5542" s="25" t="str">
        <f>IFERROR(__xludf.DUMMYFUNCTION("IF(B5542="""","""",RIGHT(REGEXREPLACE(B5542&amp;"""",""[^0-9]"",""""),9))"),"775220813")</f>
        <v>775220813</v>
      </c>
      <c r="B5542" s="52">
        <v>7.75220813E8</v>
      </c>
      <c r="C5542" s="28" t="s">
        <v>5498</v>
      </c>
      <c r="D5542" s="26" t="s">
        <v>45</v>
      </c>
      <c r="E5542" s="31">
        <v>46237.0</v>
      </c>
      <c r="F5542" s="26" t="s">
        <v>46</v>
      </c>
      <c r="G5542" s="26">
        <v>9.0</v>
      </c>
      <c r="I5542" s="26" t="s">
        <v>863</v>
      </c>
      <c r="J5542" s="25" t="str">
        <f t="shared" si="61"/>
        <v>No</v>
      </c>
      <c r="K5542" s="25" t="str">
        <f t="shared" si="62"/>
        <v/>
      </c>
      <c r="L5542" s="25" t="str">
        <f t="shared" si="63"/>
        <v/>
      </c>
      <c r="M5542" s="25"/>
      <c r="O5542" s="25"/>
    </row>
    <row r="5543" ht="15.75" customHeight="1">
      <c r="A5543" s="25" t="str">
        <f>IFERROR(__xludf.DUMMYFUNCTION("IF(B5543="""","""",RIGHT(REGEXREPLACE(B5543&amp;"""",""[^0-9]"",""""),9))"),"772307373")</f>
        <v>772307373</v>
      </c>
      <c r="B5543" s="52">
        <v>7.72307373E8</v>
      </c>
      <c r="C5543" s="28" t="s">
        <v>5499</v>
      </c>
      <c r="D5543" s="26" t="s">
        <v>45</v>
      </c>
      <c r="E5543" s="31">
        <v>46237.0</v>
      </c>
      <c r="F5543" s="26" t="s">
        <v>46</v>
      </c>
      <c r="I5543" s="26" t="s">
        <v>863</v>
      </c>
      <c r="J5543" s="25" t="str">
        <f t="shared" si="61"/>
        <v>No</v>
      </c>
      <c r="K5543" s="25" t="str">
        <f t="shared" si="62"/>
        <v/>
      </c>
      <c r="L5543" s="25" t="str">
        <f t="shared" si="63"/>
        <v/>
      </c>
      <c r="M5543" s="25"/>
      <c r="O5543" s="25"/>
    </row>
    <row r="5544" ht="15.75" customHeight="1">
      <c r="A5544" s="25" t="str">
        <f>IFERROR(__xludf.DUMMYFUNCTION("IF(B5544="""","""",RIGHT(REGEXREPLACE(B5544&amp;"""",""[^0-9]"",""""),9))"),"788104042")</f>
        <v>788104042</v>
      </c>
      <c r="B5544" s="52">
        <v>7.88104042E8</v>
      </c>
      <c r="C5544" s="28" t="s">
        <v>5500</v>
      </c>
      <c r="D5544" s="26" t="s">
        <v>64</v>
      </c>
      <c r="E5544" s="31">
        <v>46238.0</v>
      </c>
      <c r="F5544" s="26" t="s">
        <v>46</v>
      </c>
      <c r="G5544" s="26">
        <v>11.0</v>
      </c>
      <c r="I5544" s="26" t="s">
        <v>863</v>
      </c>
      <c r="J5544" s="25" t="str">
        <f t="shared" si="61"/>
        <v>No</v>
      </c>
      <c r="K5544" s="25" t="str">
        <f t="shared" si="62"/>
        <v/>
      </c>
      <c r="L5544" s="25" t="str">
        <f t="shared" si="63"/>
        <v/>
      </c>
      <c r="M5544" s="25"/>
      <c r="O5544" s="25"/>
    </row>
    <row r="5545" ht="15.75" customHeight="1">
      <c r="A5545" s="25" t="str">
        <f>IFERROR(__xludf.DUMMYFUNCTION("IF(B5545="""","""",RIGHT(REGEXREPLACE(B5545&amp;"""",""[^0-9]"",""""),9))"),"757952554")</f>
        <v>757952554</v>
      </c>
      <c r="B5545" s="52">
        <v>7.57952554E8</v>
      </c>
      <c r="C5545" s="28" t="s">
        <v>5501</v>
      </c>
      <c r="D5545" s="26" t="s">
        <v>64</v>
      </c>
      <c r="E5545" s="31">
        <v>46238.0</v>
      </c>
      <c r="F5545" s="26" t="s">
        <v>41</v>
      </c>
      <c r="I5545" s="26" t="s">
        <v>863</v>
      </c>
      <c r="J5545" s="25" t="str">
        <f t="shared" si="61"/>
        <v>No</v>
      </c>
      <c r="K5545" s="25" t="str">
        <f t="shared" si="62"/>
        <v/>
      </c>
      <c r="L5545" s="25" t="str">
        <f t="shared" si="63"/>
        <v/>
      </c>
      <c r="M5545" s="25"/>
      <c r="O5545" s="25"/>
    </row>
    <row r="5546" ht="15.75" customHeight="1">
      <c r="A5546" s="25" t="str">
        <f>IFERROR(__xludf.DUMMYFUNCTION("IF(B5546="""","""",RIGHT(REGEXREPLACE(B5546&amp;"""",""[^0-9]"",""""),9))"),"767960215")</f>
        <v>767960215</v>
      </c>
      <c r="B5546" s="52">
        <v>7.67960215E8</v>
      </c>
      <c r="C5546" s="28" t="s">
        <v>5502</v>
      </c>
      <c r="D5546" s="26" t="s">
        <v>64</v>
      </c>
      <c r="E5546" s="31">
        <v>46238.0</v>
      </c>
      <c r="F5546" s="26" t="s">
        <v>41</v>
      </c>
      <c r="I5546" s="26" t="s">
        <v>863</v>
      </c>
      <c r="J5546" s="25" t="str">
        <f t="shared" si="61"/>
        <v>No</v>
      </c>
      <c r="K5546" s="25" t="str">
        <f t="shared" si="62"/>
        <v/>
      </c>
      <c r="L5546" s="25" t="str">
        <f t="shared" si="63"/>
        <v/>
      </c>
      <c r="M5546" s="25"/>
      <c r="O5546" s="25"/>
    </row>
    <row r="5547" ht="15.75" customHeight="1">
      <c r="A5547" s="25" t="str">
        <f>IFERROR(__xludf.DUMMYFUNCTION("IF(B5547="""","""",RIGHT(REGEXREPLACE(B5547&amp;"""",""[^0-9]"",""""),9))"),"774900858")</f>
        <v>774900858</v>
      </c>
      <c r="B5547" s="52">
        <v>7.74900858E8</v>
      </c>
      <c r="C5547" s="28" t="s">
        <v>5503</v>
      </c>
      <c r="D5547" s="26" t="s">
        <v>64</v>
      </c>
      <c r="E5547" s="31">
        <v>46238.0</v>
      </c>
      <c r="F5547" s="26" t="s">
        <v>46</v>
      </c>
      <c r="G5547" s="26">
        <v>9.0</v>
      </c>
      <c r="I5547" s="26" t="s">
        <v>863</v>
      </c>
      <c r="J5547" s="25" t="str">
        <f t="shared" si="61"/>
        <v>No</v>
      </c>
      <c r="K5547" s="25" t="str">
        <f t="shared" si="62"/>
        <v/>
      </c>
      <c r="L5547" s="25" t="str">
        <f t="shared" si="63"/>
        <v/>
      </c>
      <c r="M5547" s="25"/>
      <c r="O5547" s="25"/>
    </row>
    <row r="5548" ht="15.75" customHeight="1">
      <c r="A5548" s="25" t="str">
        <f>IFERROR(__xludf.DUMMYFUNCTION("IF(B5548="""","""",RIGHT(REGEXREPLACE(B5548&amp;"""",""[^0-9]"",""""),9))"),"712646114")</f>
        <v>712646114</v>
      </c>
      <c r="B5548" s="52">
        <v>7.12646114E8</v>
      </c>
      <c r="C5548" s="28" t="s">
        <v>5504</v>
      </c>
      <c r="D5548" s="26" t="s">
        <v>64</v>
      </c>
      <c r="E5548" s="31">
        <v>46238.0</v>
      </c>
      <c r="F5548" s="26" t="s">
        <v>46</v>
      </c>
      <c r="G5548" s="26">
        <v>10.0</v>
      </c>
      <c r="I5548" s="26" t="s">
        <v>863</v>
      </c>
      <c r="J5548" s="25" t="str">
        <f t="shared" si="61"/>
        <v>No</v>
      </c>
      <c r="K5548" s="25" t="str">
        <f t="shared" si="62"/>
        <v/>
      </c>
      <c r="L5548" s="25" t="str">
        <f t="shared" si="63"/>
        <v/>
      </c>
      <c r="M5548" s="25"/>
      <c r="O5548" s="25"/>
    </row>
    <row r="5549" ht="15.75" customHeight="1">
      <c r="A5549" s="25" t="str">
        <f>IFERROR(__xludf.DUMMYFUNCTION("IF(B5549="""","""",RIGHT(REGEXREPLACE(B5549&amp;"""",""[^0-9]"",""""),9))"),"742028372")</f>
        <v>742028372</v>
      </c>
      <c r="B5549" s="52">
        <v>7.42028372E8</v>
      </c>
      <c r="C5549" s="28" t="s">
        <v>5505</v>
      </c>
      <c r="D5549" s="26" t="s">
        <v>49</v>
      </c>
      <c r="E5549" s="31">
        <v>46238.0</v>
      </c>
      <c r="F5549" s="26" t="s">
        <v>46</v>
      </c>
      <c r="G5549" s="26">
        <v>11.0</v>
      </c>
      <c r="H5549" s="26" t="s">
        <v>5506</v>
      </c>
      <c r="I5549" s="26" t="s">
        <v>863</v>
      </c>
      <c r="J5549" s="25" t="str">
        <f t="shared" si="61"/>
        <v>No</v>
      </c>
      <c r="K5549" s="25" t="str">
        <f t="shared" si="62"/>
        <v/>
      </c>
      <c r="L5549" s="25" t="str">
        <f t="shared" si="63"/>
        <v/>
      </c>
      <c r="M5549" s="25"/>
      <c r="O5549" s="25"/>
    </row>
    <row r="5550" ht="15.75" customHeight="1">
      <c r="A5550" s="25" t="str">
        <f>IFERROR(__xludf.DUMMYFUNCTION("IF(B5550="""","""",RIGHT(REGEXREPLACE(B5550&amp;"""",""[^0-9]"",""""),9))"),"776218302")</f>
        <v>776218302</v>
      </c>
      <c r="B5550" s="52">
        <v>7.76218302E8</v>
      </c>
      <c r="C5550" s="28" t="s">
        <v>5507</v>
      </c>
      <c r="D5550" s="26" t="s">
        <v>49</v>
      </c>
      <c r="E5550" s="31">
        <v>46238.0</v>
      </c>
      <c r="F5550" s="26" t="s">
        <v>46</v>
      </c>
      <c r="G5550" s="26">
        <v>9.0</v>
      </c>
      <c r="H5550" s="117" t="s">
        <v>5508</v>
      </c>
      <c r="I5550" s="26" t="s">
        <v>863</v>
      </c>
      <c r="J5550" s="25" t="str">
        <f t="shared" si="61"/>
        <v>No</v>
      </c>
      <c r="K5550" s="25" t="str">
        <f t="shared" si="62"/>
        <v/>
      </c>
      <c r="L5550" s="25" t="str">
        <f t="shared" si="63"/>
        <v/>
      </c>
      <c r="M5550" s="25"/>
      <c r="O5550" s="25"/>
    </row>
    <row r="5551" ht="15.75" customHeight="1">
      <c r="A5551" s="25" t="str">
        <f>IFERROR(__xludf.DUMMYFUNCTION("IF(B5551="""","""",RIGHT(REGEXREPLACE(B5551&amp;"""",""[^0-9]"",""""),9))"),"763167052")</f>
        <v>763167052</v>
      </c>
      <c r="B5551" s="52">
        <v>7.63167052E8</v>
      </c>
      <c r="C5551" s="28" t="s">
        <v>5509</v>
      </c>
      <c r="D5551" s="26" t="s">
        <v>64</v>
      </c>
      <c r="E5551" s="31">
        <v>46238.0</v>
      </c>
      <c r="F5551" s="26" t="s">
        <v>41</v>
      </c>
      <c r="G5551" s="26">
        <v>9.0</v>
      </c>
      <c r="I5551" s="26" t="s">
        <v>863</v>
      </c>
      <c r="J5551" s="25" t="str">
        <f t="shared" si="61"/>
        <v>No</v>
      </c>
      <c r="K5551" s="25" t="str">
        <f t="shared" si="62"/>
        <v/>
      </c>
      <c r="L5551" s="25" t="str">
        <f t="shared" si="63"/>
        <v/>
      </c>
      <c r="M5551" s="25"/>
      <c r="O5551" s="25"/>
    </row>
    <row r="5552" ht="15.75" customHeight="1">
      <c r="A5552" s="25" t="str">
        <f>IFERROR(__xludf.DUMMYFUNCTION("IF(B5552="""","""",RIGHT(REGEXREPLACE(B5552&amp;"""",""[^0-9]"",""""),9))"),"751692640")</f>
        <v>751692640</v>
      </c>
      <c r="B5552" s="52">
        <v>7.5169264E8</v>
      </c>
      <c r="C5552" s="28" t="s">
        <v>5510</v>
      </c>
      <c r="D5552" s="26" t="s">
        <v>82</v>
      </c>
      <c r="E5552" s="31">
        <v>46238.0</v>
      </c>
      <c r="F5552" s="26" t="s">
        <v>46</v>
      </c>
      <c r="G5552" s="26">
        <v>10.0</v>
      </c>
      <c r="I5552" s="26" t="s">
        <v>863</v>
      </c>
      <c r="J5552" s="25" t="str">
        <f t="shared" si="61"/>
        <v>No</v>
      </c>
      <c r="K5552" s="25" t="str">
        <f t="shared" si="62"/>
        <v/>
      </c>
      <c r="L5552" s="25" t="str">
        <f t="shared" si="63"/>
        <v/>
      </c>
      <c r="M5552" s="25"/>
      <c r="O5552" s="25"/>
    </row>
    <row r="5553" ht="15.75" customHeight="1">
      <c r="A5553" s="25" t="str">
        <f>IFERROR(__xludf.DUMMYFUNCTION("IF(B5553="""","""",RIGHT(REGEXREPLACE(B5553&amp;"""",""[^0-9]"",""""),9))"),"761823145")</f>
        <v>761823145</v>
      </c>
      <c r="B5553" s="52">
        <v>7.61823145E8</v>
      </c>
      <c r="C5553" s="28" t="s">
        <v>5511</v>
      </c>
      <c r="D5553" s="26" t="s">
        <v>64</v>
      </c>
      <c r="E5553" s="31">
        <v>46238.0</v>
      </c>
      <c r="F5553" s="26" t="s">
        <v>41</v>
      </c>
      <c r="I5553" s="26" t="s">
        <v>863</v>
      </c>
      <c r="J5553" s="25" t="str">
        <f t="shared" si="61"/>
        <v>No</v>
      </c>
      <c r="K5553" s="25" t="str">
        <f t="shared" si="62"/>
        <v/>
      </c>
      <c r="L5553" s="25" t="str">
        <f t="shared" si="63"/>
        <v/>
      </c>
      <c r="M5553" s="25"/>
      <c r="O5553" s="25"/>
    </row>
    <row r="5554" ht="15.75" customHeight="1">
      <c r="A5554" s="25" t="str">
        <f>IFERROR(__xludf.DUMMYFUNCTION("IF(B5554="""","""",RIGHT(REGEXREPLACE(B5554&amp;"""",""[^0-9]"",""""),9))"),"754487352")</f>
        <v>754487352</v>
      </c>
      <c r="B5554" s="52">
        <v>7.54487352E8</v>
      </c>
      <c r="C5554" s="28" t="s">
        <v>5512</v>
      </c>
      <c r="D5554" s="26" t="s">
        <v>64</v>
      </c>
      <c r="E5554" s="31">
        <v>46238.0</v>
      </c>
      <c r="F5554" s="26" t="s">
        <v>46</v>
      </c>
      <c r="G5554" s="26">
        <v>9.0</v>
      </c>
      <c r="I5554" s="26" t="s">
        <v>863</v>
      </c>
      <c r="J5554" s="25" t="str">
        <f t="shared" si="61"/>
        <v>No</v>
      </c>
      <c r="K5554" s="25" t="str">
        <f t="shared" si="62"/>
        <v/>
      </c>
      <c r="L5554" s="25" t="str">
        <f t="shared" si="63"/>
        <v/>
      </c>
      <c r="M5554" s="25"/>
      <c r="O5554" s="26" t="s">
        <v>51</v>
      </c>
    </row>
    <row r="5555" ht="15.75" customHeight="1">
      <c r="A5555" s="25" t="str">
        <f>IFERROR(__xludf.DUMMYFUNCTION("IF(B5555="""","""",RIGHT(REGEXREPLACE(B5555&amp;"""",""[^0-9]"",""""),9))"),"767095112")</f>
        <v>767095112</v>
      </c>
      <c r="B5555" s="52">
        <v>7.67095112E8</v>
      </c>
      <c r="C5555" s="28" t="s">
        <v>5513</v>
      </c>
      <c r="D5555" s="26" t="s">
        <v>82</v>
      </c>
      <c r="E5555" s="31">
        <v>46238.0</v>
      </c>
      <c r="F5555" s="26" t="s">
        <v>46</v>
      </c>
      <c r="G5555" s="26">
        <v>9.0</v>
      </c>
      <c r="I5555" s="26" t="s">
        <v>863</v>
      </c>
      <c r="J5555" s="25" t="str">
        <f t="shared" si="61"/>
        <v>No</v>
      </c>
      <c r="K5555" s="25" t="str">
        <f t="shared" si="62"/>
        <v/>
      </c>
      <c r="L5555" s="25" t="str">
        <f t="shared" si="63"/>
        <v/>
      </c>
      <c r="M5555" s="25"/>
      <c r="O5555" s="25"/>
    </row>
    <row r="5556" ht="15.75" customHeight="1">
      <c r="A5556" s="25" t="str">
        <f>IFERROR(__xludf.DUMMYFUNCTION("IF(B5556="""","""",RIGHT(REGEXREPLACE(B5556&amp;"""",""[^0-9]"",""""),9))"),"704952774")</f>
        <v>704952774</v>
      </c>
      <c r="B5556" s="52">
        <v>7.04952774E8</v>
      </c>
      <c r="C5556" s="28" t="s">
        <v>5514</v>
      </c>
      <c r="D5556" s="26" t="s">
        <v>64</v>
      </c>
      <c r="E5556" s="31">
        <v>46238.0</v>
      </c>
      <c r="F5556" s="26" t="s">
        <v>46</v>
      </c>
      <c r="G5556" s="26">
        <v>9.0</v>
      </c>
      <c r="I5556" s="26" t="s">
        <v>863</v>
      </c>
      <c r="J5556" s="25" t="str">
        <f t="shared" si="61"/>
        <v>No</v>
      </c>
      <c r="K5556" s="25" t="str">
        <f t="shared" si="62"/>
        <v/>
      </c>
      <c r="L5556" s="25" t="str">
        <f t="shared" si="63"/>
        <v/>
      </c>
      <c r="M5556" s="25"/>
      <c r="O5556" s="25"/>
    </row>
    <row r="5557" ht="15.75" customHeight="1">
      <c r="A5557" s="25" t="str">
        <f>IFERROR(__xludf.DUMMYFUNCTION("IF(B5557="""","""",RIGHT(REGEXREPLACE(B5557&amp;"""",""[^0-9]"",""""),9))"),"774059586")</f>
        <v>774059586</v>
      </c>
      <c r="B5557" s="52">
        <v>7.74059586E8</v>
      </c>
      <c r="C5557" s="28" t="s">
        <v>5515</v>
      </c>
      <c r="D5557" s="26" t="s">
        <v>64</v>
      </c>
      <c r="E5557" s="31">
        <v>46238.0</v>
      </c>
      <c r="F5557" s="26" t="s">
        <v>46</v>
      </c>
      <c r="G5557" s="26">
        <v>10.0</v>
      </c>
      <c r="I5557" s="26" t="s">
        <v>863</v>
      </c>
      <c r="J5557" s="25" t="str">
        <f t="shared" si="61"/>
        <v>No</v>
      </c>
      <c r="K5557" s="25" t="str">
        <f t="shared" si="62"/>
        <v/>
      </c>
      <c r="L5557" s="25" t="str">
        <f t="shared" si="63"/>
        <v/>
      </c>
      <c r="M5557" s="25"/>
      <c r="O5557" s="26" t="s">
        <v>51</v>
      </c>
    </row>
    <row r="5558" ht="15.75" customHeight="1">
      <c r="A5558" s="25" t="str">
        <f>IFERROR(__xludf.DUMMYFUNCTION("IF(B5558="""","""",RIGHT(REGEXREPLACE(B5558&amp;"""",""[^0-9]"",""""),9))"),"705193917")</f>
        <v>705193917</v>
      </c>
      <c r="B5558" s="52">
        <v>7.05193917E8</v>
      </c>
      <c r="C5558" s="28" t="s">
        <v>5516</v>
      </c>
      <c r="D5558" s="26" t="s">
        <v>49</v>
      </c>
      <c r="E5558" s="31">
        <v>46238.0</v>
      </c>
      <c r="F5558" s="26" t="s">
        <v>205</v>
      </c>
      <c r="G5558" s="26">
        <v>9.0</v>
      </c>
      <c r="I5558" s="26" t="s">
        <v>863</v>
      </c>
      <c r="J5558" s="25" t="str">
        <f t="shared" si="61"/>
        <v>No</v>
      </c>
      <c r="K5558" s="25" t="str">
        <f t="shared" si="62"/>
        <v/>
      </c>
      <c r="L5558" s="25" t="str">
        <f t="shared" si="63"/>
        <v/>
      </c>
      <c r="M5558" s="25"/>
      <c r="O5558" s="25"/>
    </row>
    <row r="5559" ht="15.75" customHeight="1">
      <c r="A5559" s="25" t="str">
        <f>IFERROR(__xludf.DUMMYFUNCTION("IF(B5559="""","""",RIGHT(REGEXREPLACE(B5559&amp;"""",""[^0-9]"",""""),9))"),"784354403")</f>
        <v>784354403</v>
      </c>
      <c r="B5559" s="52">
        <v>7.84354403E8</v>
      </c>
      <c r="C5559" s="28" t="s">
        <v>5517</v>
      </c>
      <c r="D5559" s="26" t="s">
        <v>82</v>
      </c>
      <c r="E5559" s="31">
        <v>46238.0</v>
      </c>
      <c r="F5559" s="26" t="s">
        <v>46</v>
      </c>
      <c r="G5559" s="26">
        <v>8.0</v>
      </c>
      <c r="I5559" s="26" t="s">
        <v>863</v>
      </c>
      <c r="J5559" s="25" t="str">
        <f t="shared" si="61"/>
        <v>No</v>
      </c>
      <c r="K5559" s="25" t="str">
        <f t="shared" si="62"/>
        <v/>
      </c>
      <c r="L5559" s="25" t="str">
        <f t="shared" si="63"/>
        <v/>
      </c>
      <c r="M5559" s="25"/>
      <c r="O5559" s="25"/>
    </row>
    <row r="5560" ht="15.75" customHeight="1">
      <c r="A5560" s="25" t="str">
        <f>IFERROR(__xludf.DUMMYFUNCTION("IF(B5560="""","""",RIGHT(REGEXREPLACE(B5560&amp;"""",""[^0-9]"",""""),9))"),"769657099")</f>
        <v>769657099</v>
      </c>
      <c r="B5560" s="52">
        <v>7.69657099E8</v>
      </c>
      <c r="C5560" s="28" t="s">
        <v>5054</v>
      </c>
      <c r="D5560" s="26" t="s">
        <v>64</v>
      </c>
      <c r="E5560" s="31">
        <v>46238.0</v>
      </c>
      <c r="F5560" s="26" t="s">
        <v>125</v>
      </c>
      <c r="G5560" s="26">
        <v>9.0</v>
      </c>
      <c r="I5560" s="26" t="s">
        <v>863</v>
      </c>
      <c r="J5560" s="25" t="str">
        <f t="shared" si="61"/>
        <v>Yes - see Previous F-Code</v>
      </c>
      <c r="K5560" s="25" t="str">
        <f t="shared" si="62"/>
        <v>DUPLICATE - CHECK</v>
      </c>
      <c r="L5560" s="25" t="str">
        <f t="shared" si="63"/>
        <v>F74607</v>
      </c>
      <c r="M5560" s="25"/>
      <c r="O5560" s="25"/>
    </row>
    <row r="5561" ht="15.75" customHeight="1">
      <c r="A5561" s="25" t="str">
        <f>IFERROR(__xludf.DUMMYFUNCTION("IF(B5561="""","""",RIGHT(REGEXREPLACE(B5561&amp;"""",""[^0-9]"",""""),9))"),"742871123")</f>
        <v>742871123</v>
      </c>
      <c r="B5561" s="52">
        <v>7.42871123E8</v>
      </c>
      <c r="C5561" s="28" t="s">
        <v>5518</v>
      </c>
      <c r="D5561" s="26" t="s">
        <v>82</v>
      </c>
      <c r="E5561" s="31">
        <v>46238.0</v>
      </c>
      <c r="F5561" s="26" t="s">
        <v>46</v>
      </c>
      <c r="G5561" s="26">
        <v>9.0</v>
      </c>
      <c r="I5561" s="26" t="s">
        <v>863</v>
      </c>
      <c r="J5561" s="25" t="str">
        <f t="shared" si="61"/>
        <v>No</v>
      </c>
      <c r="K5561" s="25" t="str">
        <f t="shared" si="62"/>
        <v/>
      </c>
      <c r="L5561" s="25" t="str">
        <f t="shared" si="63"/>
        <v/>
      </c>
      <c r="M5561" s="25"/>
      <c r="O5561" s="25"/>
    </row>
    <row r="5562" ht="15.75" customHeight="1">
      <c r="A5562" s="25" t="str">
        <f>IFERROR(__xludf.DUMMYFUNCTION("IF(B5562="""","""",RIGHT(REGEXREPLACE(B5562&amp;"""",""[^0-9]"",""""),9))"),"716769487")</f>
        <v>716769487</v>
      </c>
      <c r="B5562" s="52">
        <v>7.16769487E8</v>
      </c>
      <c r="C5562" s="28" t="s">
        <v>5519</v>
      </c>
      <c r="D5562" s="26" t="s">
        <v>64</v>
      </c>
      <c r="E5562" s="31">
        <v>46238.0</v>
      </c>
      <c r="F5562" s="26" t="s">
        <v>41</v>
      </c>
      <c r="G5562" s="26">
        <v>6.0</v>
      </c>
      <c r="I5562" s="26" t="s">
        <v>863</v>
      </c>
      <c r="J5562" s="25" t="str">
        <f t="shared" si="61"/>
        <v>No</v>
      </c>
      <c r="K5562" s="25" t="str">
        <f t="shared" si="62"/>
        <v/>
      </c>
      <c r="L5562" s="25" t="str">
        <f t="shared" si="63"/>
        <v/>
      </c>
      <c r="M5562" s="25"/>
      <c r="O5562" s="25"/>
    </row>
    <row r="5563" ht="15.75" customHeight="1">
      <c r="A5563" s="25" t="str">
        <f>IFERROR(__xludf.DUMMYFUNCTION("IF(B5563="""","""",RIGHT(REGEXREPLACE(B5563&amp;"""",""[^0-9]"",""""),9))"),"771276254")</f>
        <v>771276254</v>
      </c>
      <c r="B5563" s="52">
        <v>7.71276254E8</v>
      </c>
      <c r="C5563" s="28" t="s">
        <v>5520</v>
      </c>
      <c r="D5563" s="26" t="s">
        <v>64</v>
      </c>
      <c r="E5563" s="31">
        <v>46238.0</v>
      </c>
      <c r="F5563" s="26" t="s">
        <v>46</v>
      </c>
      <c r="G5563" s="26">
        <v>10.0</v>
      </c>
      <c r="H5563" s="26" t="s">
        <v>5252</v>
      </c>
      <c r="I5563" s="26" t="s">
        <v>863</v>
      </c>
      <c r="J5563" s="25" t="str">
        <f t="shared" si="61"/>
        <v>No</v>
      </c>
      <c r="K5563" s="25" t="str">
        <f t="shared" si="62"/>
        <v/>
      </c>
      <c r="L5563" s="25" t="str">
        <f t="shared" si="63"/>
        <v/>
      </c>
      <c r="M5563" s="25"/>
      <c r="O5563" s="25"/>
    </row>
    <row r="5564" ht="15.75" customHeight="1">
      <c r="A5564" s="25" t="str">
        <f>IFERROR(__xludf.DUMMYFUNCTION("IF(B5564="""","""",RIGHT(REGEXREPLACE(B5564&amp;"""",""[^0-9]"",""""),9))"),"762094610")</f>
        <v>762094610</v>
      </c>
      <c r="B5564" s="52">
        <v>7.6209461E8</v>
      </c>
      <c r="C5564" s="28" t="s">
        <v>5521</v>
      </c>
      <c r="D5564" s="26" t="s">
        <v>82</v>
      </c>
      <c r="E5564" s="31">
        <v>46238.0</v>
      </c>
      <c r="F5564" s="26" t="s">
        <v>46</v>
      </c>
      <c r="G5564" s="26">
        <v>9.0</v>
      </c>
      <c r="H5564" s="26" t="s">
        <v>5522</v>
      </c>
      <c r="I5564" s="26" t="s">
        <v>863</v>
      </c>
      <c r="J5564" s="25" t="str">
        <f t="shared" si="61"/>
        <v>No</v>
      </c>
      <c r="K5564" s="25" t="str">
        <f t="shared" si="62"/>
        <v/>
      </c>
      <c r="L5564" s="25" t="str">
        <f t="shared" si="63"/>
        <v/>
      </c>
      <c r="M5564" s="25"/>
      <c r="O5564" s="25"/>
    </row>
    <row r="5565" ht="15.75" customHeight="1">
      <c r="A5565" s="25" t="str">
        <f>IFERROR(__xludf.DUMMYFUNCTION("IF(B5565="""","""",RIGHT(REGEXREPLACE(B5565&amp;"""",""[^0-9]"",""""),9))"),"703389016")</f>
        <v>703389016</v>
      </c>
      <c r="B5565" s="52">
        <v>7.03389016E8</v>
      </c>
      <c r="C5565" s="28" t="s">
        <v>5523</v>
      </c>
      <c r="D5565" s="26" t="s">
        <v>49</v>
      </c>
      <c r="E5565" s="31">
        <v>46238.0</v>
      </c>
      <c r="F5565" s="26" t="s">
        <v>46</v>
      </c>
      <c r="G5565" s="26">
        <v>9.0</v>
      </c>
      <c r="H5565" s="72" t="s">
        <v>5524</v>
      </c>
      <c r="I5565" s="26" t="s">
        <v>863</v>
      </c>
      <c r="J5565" s="25" t="str">
        <f t="shared" si="61"/>
        <v>No</v>
      </c>
      <c r="K5565" s="25" t="str">
        <f t="shared" si="62"/>
        <v/>
      </c>
      <c r="L5565" s="25" t="str">
        <f t="shared" si="63"/>
        <v/>
      </c>
      <c r="M5565" s="25"/>
      <c r="O5565" s="25"/>
    </row>
    <row r="5566" ht="15.75" customHeight="1">
      <c r="A5566" s="25" t="str">
        <f>IFERROR(__xludf.DUMMYFUNCTION("IF(B5566="""","""",RIGHT(REGEXREPLACE(B5566&amp;"""",""[^0-9]"",""""),9))"),"775074754")</f>
        <v>775074754</v>
      </c>
      <c r="B5566" s="52">
        <v>7.75074754E8</v>
      </c>
      <c r="C5566" s="28" t="s">
        <v>5525</v>
      </c>
      <c r="D5566" s="26" t="s">
        <v>64</v>
      </c>
      <c r="E5566" s="31">
        <v>46238.0</v>
      </c>
      <c r="F5566" s="26" t="s">
        <v>46</v>
      </c>
      <c r="G5566" s="26">
        <v>8.0</v>
      </c>
      <c r="H5566" s="26" t="s">
        <v>78</v>
      </c>
      <c r="I5566" s="26" t="s">
        <v>863</v>
      </c>
      <c r="J5566" s="25" t="str">
        <f t="shared" si="61"/>
        <v>No</v>
      </c>
      <c r="K5566" s="25" t="str">
        <f t="shared" si="62"/>
        <v/>
      </c>
      <c r="L5566" s="25" t="str">
        <f t="shared" si="63"/>
        <v/>
      </c>
      <c r="M5566" s="25"/>
      <c r="O5566" s="25"/>
    </row>
    <row r="5567" ht="15.75" customHeight="1">
      <c r="A5567" s="25" t="str">
        <f>IFERROR(__xludf.DUMMYFUNCTION("IF(B5567="""","""",RIGHT(REGEXREPLACE(B5567&amp;"""",""[^0-9]"",""""),9))"),"763038490")</f>
        <v>763038490</v>
      </c>
      <c r="B5567" s="52">
        <v>7.6303849E8</v>
      </c>
      <c r="C5567" s="28" t="s">
        <v>5526</v>
      </c>
      <c r="D5567" s="26" t="s">
        <v>82</v>
      </c>
      <c r="E5567" s="31">
        <v>46238.0</v>
      </c>
      <c r="F5567" s="26" t="s">
        <v>46</v>
      </c>
      <c r="G5567" s="26">
        <v>7.0</v>
      </c>
      <c r="I5567" s="26" t="s">
        <v>863</v>
      </c>
      <c r="J5567" s="25" t="str">
        <f t="shared" si="61"/>
        <v>No</v>
      </c>
      <c r="K5567" s="25" t="str">
        <f t="shared" si="62"/>
        <v/>
      </c>
      <c r="L5567" s="25" t="str">
        <f t="shared" si="63"/>
        <v/>
      </c>
      <c r="M5567" s="25"/>
      <c r="O5567" s="26" t="s">
        <v>51</v>
      </c>
    </row>
    <row r="5568" ht="15.75" customHeight="1">
      <c r="A5568" s="25" t="str">
        <f>IFERROR(__xludf.DUMMYFUNCTION("IF(B5568="""","""",RIGHT(REGEXREPLACE(B5568&amp;"""",""[^0-9]"",""""),9))"),"788252809")</f>
        <v>788252809</v>
      </c>
      <c r="B5568" s="52">
        <v>7.88252809E8</v>
      </c>
      <c r="C5568" s="28" t="s">
        <v>5527</v>
      </c>
      <c r="D5568" s="26" t="s">
        <v>64</v>
      </c>
      <c r="E5568" s="31">
        <v>46238.0</v>
      </c>
      <c r="F5568" s="26" t="s">
        <v>41</v>
      </c>
      <c r="I5568" s="26" t="s">
        <v>863</v>
      </c>
      <c r="J5568" s="25" t="str">
        <f t="shared" si="61"/>
        <v>No</v>
      </c>
      <c r="K5568" s="25" t="str">
        <f t="shared" si="62"/>
        <v/>
      </c>
      <c r="L5568" s="25" t="str">
        <f t="shared" si="63"/>
        <v/>
      </c>
      <c r="M5568" s="25"/>
      <c r="O5568" s="25"/>
    </row>
    <row r="5569" ht="15.75" customHeight="1">
      <c r="A5569" s="25" t="str">
        <f>IFERROR(__xludf.DUMMYFUNCTION("IF(B5569="""","""",RIGHT(REGEXREPLACE(B5569&amp;"""",""[^0-9]"",""""),9))"),"770664569")</f>
        <v>770664569</v>
      </c>
      <c r="B5569" s="52">
        <v>7.70664569E8</v>
      </c>
      <c r="C5569" s="28" t="s">
        <v>5528</v>
      </c>
      <c r="D5569" s="26" t="s">
        <v>49</v>
      </c>
      <c r="E5569" s="31">
        <v>46238.0</v>
      </c>
      <c r="F5569" s="26" t="s">
        <v>46</v>
      </c>
      <c r="G5569" s="26">
        <v>9.0</v>
      </c>
      <c r="H5569" s="26" t="s">
        <v>4980</v>
      </c>
      <c r="I5569" s="26" t="s">
        <v>863</v>
      </c>
      <c r="J5569" s="25" t="str">
        <f t="shared" si="61"/>
        <v>No</v>
      </c>
      <c r="K5569" s="25" t="str">
        <f t="shared" si="62"/>
        <v/>
      </c>
      <c r="L5569" s="25" t="str">
        <f t="shared" si="63"/>
        <v/>
      </c>
      <c r="M5569" s="25"/>
      <c r="O5569" s="25"/>
    </row>
    <row r="5570" ht="15.75" customHeight="1">
      <c r="A5570" s="25" t="str">
        <f>IFERROR(__xludf.DUMMYFUNCTION("IF(B5570="""","""",RIGHT(REGEXREPLACE(B5570&amp;"""",""[^0-9]"",""""),9))"),"713650584")</f>
        <v>713650584</v>
      </c>
      <c r="B5570" s="52">
        <v>7.13650584E8</v>
      </c>
      <c r="C5570" s="28" t="s">
        <v>5529</v>
      </c>
      <c r="D5570" s="26" t="s">
        <v>64</v>
      </c>
      <c r="E5570" s="31">
        <v>46238.0</v>
      </c>
      <c r="F5570" s="26" t="s">
        <v>46</v>
      </c>
      <c r="G5570" s="26">
        <v>9.0</v>
      </c>
      <c r="I5570" s="26" t="s">
        <v>863</v>
      </c>
      <c r="J5570" s="25" t="str">
        <f t="shared" si="61"/>
        <v>No</v>
      </c>
      <c r="K5570" s="25" t="str">
        <f t="shared" si="62"/>
        <v/>
      </c>
      <c r="L5570" s="25" t="str">
        <f t="shared" si="63"/>
        <v/>
      </c>
      <c r="M5570" s="25"/>
      <c r="O5570" s="25"/>
    </row>
    <row r="5571" ht="15.75" customHeight="1">
      <c r="A5571" s="25" t="str">
        <f>IFERROR(__xludf.DUMMYFUNCTION("IF(B5571="""","""",RIGHT(REGEXREPLACE(B5571&amp;"""",""[^0-9]"",""""),9))"),"763526011")</f>
        <v>763526011</v>
      </c>
      <c r="B5571" s="52">
        <v>7.63526011E8</v>
      </c>
      <c r="C5571" s="28" t="s">
        <v>5530</v>
      </c>
      <c r="D5571" s="26" t="s">
        <v>82</v>
      </c>
      <c r="E5571" s="31">
        <v>46238.0</v>
      </c>
      <c r="F5571" s="26" t="s">
        <v>41</v>
      </c>
      <c r="G5571" s="26">
        <v>7.0</v>
      </c>
      <c r="I5571" s="26" t="s">
        <v>863</v>
      </c>
      <c r="J5571" s="25" t="str">
        <f t="shared" si="61"/>
        <v>No</v>
      </c>
      <c r="K5571" s="25" t="str">
        <f t="shared" si="62"/>
        <v/>
      </c>
      <c r="L5571" s="25" t="str">
        <f t="shared" si="63"/>
        <v/>
      </c>
      <c r="M5571" s="25"/>
      <c r="O5571" s="26" t="s">
        <v>51</v>
      </c>
    </row>
    <row r="5572" ht="15.75" customHeight="1">
      <c r="A5572" s="25" t="str">
        <f>IFERROR(__xludf.DUMMYFUNCTION("IF(B5572="""","""",RIGHT(REGEXREPLACE(B5572&amp;"""",""[^0-9]"",""""),9))"),"776963495")</f>
        <v>776963495</v>
      </c>
      <c r="B5572" s="52">
        <v>7.76963495E8</v>
      </c>
      <c r="C5572" s="28" t="s">
        <v>5531</v>
      </c>
      <c r="D5572" s="26" t="s">
        <v>82</v>
      </c>
      <c r="E5572" s="31">
        <v>46238.0</v>
      </c>
      <c r="F5572" s="26" t="s">
        <v>46</v>
      </c>
      <c r="G5572" s="26">
        <v>11.0</v>
      </c>
      <c r="I5572" s="26" t="s">
        <v>863</v>
      </c>
      <c r="J5572" s="25" t="str">
        <f t="shared" si="61"/>
        <v>No</v>
      </c>
      <c r="K5572" s="25" t="str">
        <f t="shared" si="62"/>
        <v/>
      </c>
      <c r="L5572" s="25" t="str">
        <f t="shared" si="63"/>
        <v/>
      </c>
      <c r="M5572" s="25"/>
      <c r="O5572" s="25"/>
    </row>
    <row r="5573" ht="15.75" customHeight="1">
      <c r="A5573" s="25" t="str">
        <f>IFERROR(__xludf.DUMMYFUNCTION("IF(B5573="""","""",RIGHT(REGEXREPLACE(B5573&amp;"""",""[^0-9]"",""""),9))"),"702973188")</f>
        <v>702973188</v>
      </c>
      <c r="B5573" s="52">
        <v>7.02973188E8</v>
      </c>
      <c r="C5573" s="28" t="s">
        <v>5532</v>
      </c>
      <c r="D5573" s="26" t="s">
        <v>64</v>
      </c>
      <c r="E5573" s="31">
        <v>46238.0</v>
      </c>
      <c r="F5573" s="26" t="s">
        <v>46</v>
      </c>
      <c r="G5573" s="26">
        <v>9.0</v>
      </c>
      <c r="I5573" s="26" t="s">
        <v>863</v>
      </c>
      <c r="J5573" s="25" t="str">
        <f t="shared" si="61"/>
        <v>No</v>
      </c>
      <c r="K5573" s="25" t="str">
        <f t="shared" si="62"/>
        <v/>
      </c>
      <c r="L5573" s="25" t="str">
        <f t="shared" si="63"/>
        <v/>
      </c>
      <c r="M5573" s="25"/>
      <c r="O5573" s="25"/>
    </row>
    <row r="5574" ht="15.75" customHeight="1">
      <c r="A5574" s="25" t="str">
        <f>IFERROR(__xludf.DUMMYFUNCTION("IF(B5574="""","""",RIGHT(REGEXREPLACE(B5574&amp;"""",""[^0-9]"",""""),9))"),"712499082")</f>
        <v>712499082</v>
      </c>
      <c r="B5574" s="52">
        <v>7.12499082E8</v>
      </c>
      <c r="C5574" s="28" t="s">
        <v>5533</v>
      </c>
      <c r="D5574" s="26" t="s">
        <v>49</v>
      </c>
      <c r="E5574" s="31">
        <v>46238.0</v>
      </c>
      <c r="F5574" s="26" t="s">
        <v>41</v>
      </c>
      <c r="I5574" s="26" t="s">
        <v>863</v>
      </c>
      <c r="J5574" s="25" t="str">
        <f t="shared" si="61"/>
        <v>No</v>
      </c>
      <c r="K5574" s="25" t="str">
        <f t="shared" si="62"/>
        <v/>
      </c>
      <c r="L5574" s="25" t="str">
        <f t="shared" si="63"/>
        <v/>
      </c>
      <c r="M5574" s="25"/>
      <c r="O5574" s="25"/>
    </row>
    <row r="5575" ht="15.75" customHeight="1">
      <c r="A5575" s="25" t="str">
        <f>IFERROR(__xludf.DUMMYFUNCTION("IF(B5575="""","""",RIGHT(REGEXREPLACE(B5575&amp;"""",""[^0-9]"",""""),9))"),"743588104")</f>
        <v>743588104</v>
      </c>
      <c r="B5575" s="52">
        <v>7.43588104E8</v>
      </c>
      <c r="C5575" s="28" t="s">
        <v>5534</v>
      </c>
      <c r="D5575" s="26" t="s">
        <v>64</v>
      </c>
      <c r="E5575" s="31">
        <v>46238.0</v>
      </c>
      <c r="F5575" s="26" t="s">
        <v>41</v>
      </c>
      <c r="G5575" s="26">
        <v>9.0</v>
      </c>
      <c r="I5575" s="26" t="s">
        <v>863</v>
      </c>
      <c r="J5575" s="25" t="str">
        <f t="shared" si="61"/>
        <v>No</v>
      </c>
      <c r="K5575" s="25" t="str">
        <f t="shared" si="62"/>
        <v/>
      </c>
      <c r="L5575" s="25" t="str">
        <f t="shared" si="63"/>
        <v/>
      </c>
      <c r="M5575" s="25"/>
      <c r="O5575" s="26" t="s">
        <v>51</v>
      </c>
    </row>
    <row r="5576" ht="15.75" customHeight="1">
      <c r="A5576" s="25" t="str">
        <f>IFERROR(__xludf.DUMMYFUNCTION("IF(B5576="""","""",RIGHT(REGEXREPLACE(B5576&amp;"""",""[^0-9]"",""""),9))"),"751188604")</f>
        <v>751188604</v>
      </c>
      <c r="B5576" s="52">
        <v>7.51188604E8</v>
      </c>
      <c r="C5576" s="28" t="s">
        <v>378</v>
      </c>
      <c r="D5576" s="26" t="s">
        <v>82</v>
      </c>
      <c r="E5576" s="31">
        <v>46238.0</v>
      </c>
      <c r="F5576" s="26" t="s">
        <v>41</v>
      </c>
      <c r="G5576" s="26">
        <v>11.0</v>
      </c>
      <c r="I5576" s="26" t="s">
        <v>863</v>
      </c>
      <c r="J5576" s="25" t="str">
        <f t="shared" si="61"/>
        <v>Yes - see Previous F-Code</v>
      </c>
      <c r="K5576" s="25" t="str">
        <f t="shared" si="62"/>
        <v/>
      </c>
      <c r="L5576" s="25" t="str">
        <f t="shared" si="63"/>
        <v>F70221</v>
      </c>
      <c r="M5576" s="25"/>
      <c r="O5576" s="25"/>
    </row>
    <row r="5577" ht="15.75" customHeight="1">
      <c r="A5577" s="25" t="str">
        <f>IFERROR(__xludf.DUMMYFUNCTION("IF(B5577="""","""",RIGHT(REGEXREPLACE(B5577&amp;"""",""[^0-9]"",""""),9))"),"786048989")</f>
        <v>786048989</v>
      </c>
      <c r="B5577" s="52">
        <v>7.86048989E8</v>
      </c>
      <c r="C5577" s="28" t="s">
        <v>5349</v>
      </c>
      <c r="D5577" s="26" t="s">
        <v>49</v>
      </c>
      <c r="E5577" s="31">
        <v>46238.0</v>
      </c>
      <c r="F5577" s="26" t="s">
        <v>41</v>
      </c>
      <c r="G5577" s="26">
        <v>9.0</v>
      </c>
      <c r="I5577" s="26" t="s">
        <v>863</v>
      </c>
      <c r="J5577" s="25" t="str">
        <f t="shared" si="61"/>
        <v>Yes - see Previous F-Code</v>
      </c>
      <c r="K5577" s="25" t="str">
        <f t="shared" si="62"/>
        <v>DUPLICATE - CHECK</v>
      </c>
      <c r="L5577" s="25" t="str">
        <f t="shared" si="63"/>
        <v>F74861</v>
      </c>
      <c r="M5577" s="25"/>
      <c r="O5577" s="25"/>
    </row>
    <row r="5578" ht="15.75" customHeight="1">
      <c r="A5578" s="25" t="str">
        <f>IFERROR(__xludf.DUMMYFUNCTION("IF(B5578="""","""",RIGHT(REGEXREPLACE(B5578&amp;"""",""[^0-9]"",""""),9))"),"778033618")</f>
        <v>778033618</v>
      </c>
      <c r="B5578" s="52">
        <v>7.78033618E8</v>
      </c>
      <c r="C5578" s="28" t="s">
        <v>5535</v>
      </c>
      <c r="D5578" s="26" t="s">
        <v>64</v>
      </c>
      <c r="E5578" s="31">
        <v>46238.0</v>
      </c>
      <c r="F5578" s="26" t="s">
        <v>46</v>
      </c>
      <c r="G5578" s="26">
        <v>9.0</v>
      </c>
      <c r="H5578" s="26" t="s">
        <v>3756</v>
      </c>
      <c r="I5578" s="26" t="s">
        <v>863</v>
      </c>
      <c r="J5578" s="25" t="str">
        <f t="shared" si="61"/>
        <v>No</v>
      </c>
      <c r="K5578" s="25" t="str">
        <f t="shared" si="62"/>
        <v/>
      </c>
      <c r="L5578" s="25" t="str">
        <f t="shared" si="63"/>
        <v/>
      </c>
      <c r="M5578" s="25"/>
      <c r="O5578" s="25"/>
    </row>
    <row r="5579" ht="15.75" customHeight="1">
      <c r="A5579" s="25" t="str">
        <f>IFERROR(__xludf.DUMMYFUNCTION("IF(B5579="""","""",RIGHT(REGEXREPLACE(B5579&amp;"""",""[^0-9]"",""""),9))"),"770544736")</f>
        <v>770544736</v>
      </c>
      <c r="B5579" s="52">
        <v>7.70544736E8</v>
      </c>
      <c r="C5579" s="28" t="s">
        <v>5536</v>
      </c>
      <c r="D5579" s="26" t="s">
        <v>82</v>
      </c>
      <c r="E5579" s="31">
        <v>46238.0</v>
      </c>
      <c r="F5579" s="26" t="s">
        <v>41</v>
      </c>
      <c r="G5579" s="26">
        <v>11.0</v>
      </c>
      <c r="I5579" s="26" t="s">
        <v>863</v>
      </c>
      <c r="J5579" s="25" t="str">
        <f t="shared" si="61"/>
        <v>No</v>
      </c>
      <c r="K5579" s="25" t="str">
        <f t="shared" si="62"/>
        <v/>
      </c>
      <c r="L5579" s="25" t="str">
        <f t="shared" si="63"/>
        <v/>
      </c>
      <c r="M5579" s="25"/>
      <c r="O5579" s="25"/>
    </row>
    <row r="5580" ht="15.75" customHeight="1">
      <c r="A5580" s="25" t="str">
        <f>IFERROR(__xludf.DUMMYFUNCTION("IF(B5580="""","""",RIGHT(REGEXREPLACE(B5580&amp;"""",""[^0-9]"",""""),9))"),"750181582")</f>
        <v>750181582</v>
      </c>
      <c r="B5580" s="52">
        <v>7.50181582E8</v>
      </c>
      <c r="C5580" s="28" t="s">
        <v>5537</v>
      </c>
      <c r="D5580" s="26" t="s">
        <v>64</v>
      </c>
      <c r="E5580" s="31">
        <v>46238.0</v>
      </c>
      <c r="F5580" s="26" t="s">
        <v>46</v>
      </c>
      <c r="G5580" s="26">
        <v>9.0</v>
      </c>
      <c r="I5580" s="26" t="s">
        <v>863</v>
      </c>
      <c r="J5580" s="25" t="str">
        <f t="shared" si="61"/>
        <v>No</v>
      </c>
      <c r="K5580" s="25" t="str">
        <f t="shared" si="62"/>
        <v/>
      </c>
      <c r="L5580" s="25" t="str">
        <f t="shared" si="63"/>
        <v/>
      </c>
      <c r="M5580" s="25"/>
      <c r="O5580" s="25"/>
    </row>
    <row r="5581" ht="15.75" customHeight="1">
      <c r="A5581" s="25" t="str">
        <f>IFERROR(__xludf.DUMMYFUNCTION("IF(B5581="""","""",RIGHT(REGEXREPLACE(B5581&amp;"""",""[^0-9]"",""""),9))"),"740919428")</f>
        <v>740919428</v>
      </c>
      <c r="B5581" s="52">
        <v>7.40919428E8</v>
      </c>
      <c r="C5581" s="28" t="s">
        <v>5538</v>
      </c>
      <c r="D5581" s="26" t="s">
        <v>82</v>
      </c>
      <c r="E5581" s="31">
        <v>46238.0</v>
      </c>
      <c r="F5581" s="26" t="s">
        <v>41</v>
      </c>
      <c r="I5581" s="26" t="s">
        <v>863</v>
      </c>
      <c r="J5581" s="25" t="str">
        <f t="shared" si="61"/>
        <v>No</v>
      </c>
      <c r="K5581" s="25" t="str">
        <f t="shared" si="62"/>
        <v/>
      </c>
      <c r="L5581" s="25" t="str">
        <f t="shared" si="63"/>
        <v/>
      </c>
      <c r="M5581" s="25"/>
      <c r="O5581" s="25"/>
    </row>
    <row r="5582" ht="15.75" customHeight="1">
      <c r="A5582" s="25" t="str">
        <f>IFERROR(__xludf.DUMMYFUNCTION("IF(B5582="""","""",RIGHT(REGEXREPLACE(B5582&amp;"""",""[^0-9]"",""""),9))"),"710442180")</f>
        <v>710442180</v>
      </c>
      <c r="B5582" s="52">
        <v>7.1044218E8</v>
      </c>
      <c r="C5582" s="28" t="s">
        <v>5539</v>
      </c>
      <c r="D5582" s="26" t="s">
        <v>49</v>
      </c>
      <c r="E5582" s="31">
        <v>46238.0</v>
      </c>
      <c r="F5582" s="26" t="s">
        <v>41</v>
      </c>
      <c r="G5582" s="26">
        <v>10.0</v>
      </c>
      <c r="I5582" s="26" t="s">
        <v>863</v>
      </c>
      <c r="J5582" s="25" t="str">
        <f t="shared" si="61"/>
        <v>No</v>
      </c>
      <c r="K5582" s="25" t="str">
        <f t="shared" si="62"/>
        <v/>
      </c>
      <c r="L5582" s="25" t="str">
        <f t="shared" si="63"/>
        <v/>
      </c>
      <c r="M5582" s="25"/>
      <c r="O5582" s="25"/>
    </row>
    <row r="5583" ht="15.75" customHeight="1">
      <c r="A5583" s="25" t="str">
        <f>IFERROR(__xludf.DUMMYFUNCTION("IF(B5583="""","""",RIGHT(REGEXREPLACE(B5583&amp;"""",""[^0-9]"",""""),9))"),"776198392")</f>
        <v>776198392</v>
      </c>
      <c r="B5583" s="52">
        <v>7.76198392E8</v>
      </c>
      <c r="C5583" s="28" t="s">
        <v>5540</v>
      </c>
      <c r="D5583" s="26" t="s">
        <v>64</v>
      </c>
      <c r="E5583" s="31">
        <v>46238.0</v>
      </c>
      <c r="F5583" s="26" t="s">
        <v>659</v>
      </c>
      <c r="G5583" s="26">
        <v>9.0</v>
      </c>
      <c r="I5583" s="26" t="s">
        <v>863</v>
      </c>
      <c r="J5583" s="25" t="str">
        <f t="shared" si="61"/>
        <v>No</v>
      </c>
      <c r="K5583" s="25" t="str">
        <f t="shared" si="62"/>
        <v/>
      </c>
      <c r="L5583" s="25" t="str">
        <f t="shared" si="63"/>
        <v/>
      </c>
      <c r="M5583" s="25"/>
      <c r="O5583" s="25"/>
    </row>
    <row r="5584" ht="15.75" customHeight="1">
      <c r="A5584" s="25" t="str">
        <f>IFERROR(__xludf.DUMMYFUNCTION("IF(B5584="""","""",RIGHT(REGEXREPLACE(B5584&amp;"""",""[^0-9]"",""""),9))"),"770783801")</f>
        <v>770783801</v>
      </c>
      <c r="B5584" s="52">
        <v>7.70783801E8</v>
      </c>
      <c r="C5584" s="28" t="s">
        <v>5541</v>
      </c>
      <c r="D5584" s="26" t="s">
        <v>64</v>
      </c>
      <c r="E5584" s="31">
        <v>46238.0</v>
      </c>
      <c r="F5584" s="26" t="s">
        <v>46</v>
      </c>
      <c r="G5584" s="26">
        <v>7.0</v>
      </c>
      <c r="H5584" s="26" t="s">
        <v>763</v>
      </c>
      <c r="I5584" s="26" t="s">
        <v>863</v>
      </c>
      <c r="J5584" s="25" t="str">
        <f t="shared" si="61"/>
        <v>No</v>
      </c>
      <c r="K5584" s="25" t="str">
        <f t="shared" si="62"/>
        <v/>
      </c>
      <c r="L5584" s="25" t="str">
        <f t="shared" si="63"/>
        <v/>
      </c>
      <c r="M5584" s="25"/>
      <c r="O5584" s="25"/>
    </row>
    <row r="5585" ht="15.75" customHeight="1">
      <c r="A5585" s="25" t="str">
        <f>IFERROR(__xludf.DUMMYFUNCTION("IF(B5585="""","""",RIGHT(REGEXREPLACE(B5585&amp;"""",""[^0-9]"",""""),9))"),"714268072")</f>
        <v>714268072</v>
      </c>
      <c r="B5585" s="52">
        <v>7.14268072E8</v>
      </c>
      <c r="C5585" s="28" t="s">
        <v>4875</v>
      </c>
      <c r="D5585" s="26" t="s">
        <v>64</v>
      </c>
      <c r="E5585" s="31">
        <v>46238.0</v>
      </c>
      <c r="F5585" s="26" t="s">
        <v>205</v>
      </c>
      <c r="G5585" s="26">
        <v>9.0</v>
      </c>
      <c r="I5585" s="26" t="s">
        <v>863</v>
      </c>
      <c r="J5585" s="25" t="str">
        <f t="shared" si="61"/>
        <v>Yes - see Previous F-Code</v>
      </c>
      <c r="K5585" s="25" t="str">
        <f t="shared" si="62"/>
        <v>DUPLICATE - CHECK</v>
      </c>
      <c r="L5585" s="25" t="str">
        <f t="shared" si="63"/>
        <v>F74839</v>
      </c>
      <c r="M5585" s="25"/>
      <c r="O5585" s="25"/>
    </row>
    <row r="5586" ht="15.75" customHeight="1">
      <c r="A5586" s="25" t="str">
        <f>IFERROR(__xludf.DUMMYFUNCTION("IF(B5586="""","""",RIGHT(REGEXREPLACE(B5586&amp;"""",""[^0-9]"",""""),9))"),"783165965")</f>
        <v>783165965</v>
      </c>
      <c r="B5586" s="52">
        <v>7.83165965E8</v>
      </c>
      <c r="C5586" s="28" t="s">
        <v>5542</v>
      </c>
      <c r="D5586" s="26" t="s">
        <v>82</v>
      </c>
      <c r="E5586" s="31">
        <v>46238.0</v>
      </c>
      <c r="F5586" s="26" t="s">
        <v>46</v>
      </c>
      <c r="G5586" s="26">
        <v>9.0</v>
      </c>
      <c r="H5586" s="26" t="s">
        <v>5543</v>
      </c>
      <c r="I5586" s="26" t="s">
        <v>863</v>
      </c>
      <c r="J5586" s="25" t="str">
        <f t="shared" si="61"/>
        <v>No</v>
      </c>
      <c r="K5586" s="25" t="str">
        <f t="shared" si="62"/>
        <v/>
      </c>
      <c r="L5586" s="25" t="str">
        <f t="shared" si="63"/>
        <v/>
      </c>
      <c r="M5586" s="25"/>
      <c r="O5586" s="25"/>
    </row>
    <row r="5587" ht="15.75" customHeight="1">
      <c r="A5587" s="25" t="str">
        <f>IFERROR(__xludf.DUMMYFUNCTION("IF(B5587="""","""",RIGHT(REGEXREPLACE(B5587&amp;"""",""[^0-9]"",""""),9))"),"756279232")</f>
        <v>756279232</v>
      </c>
      <c r="B5587" s="52">
        <v>7.56279232E8</v>
      </c>
      <c r="C5587" s="28" t="s">
        <v>4620</v>
      </c>
      <c r="D5587" s="26" t="s">
        <v>49</v>
      </c>
      <c r="E5587" s="31">
        <v>46238.0</v>
      </c>
      <c r="F5587" s="26" t="s">
        <v>41</v>
      </c>
      <c r="G5587" s="26">
        <v>10.0</v>
      </c>
      <c r="I5587" s="26" t="s">
        <v>863</v>
      </c>
      <c r="J5587" s="25" t="str">
        <f t="shared" si="61"/>
        <v>Yes - see Previous F-Code</v>
      </c>
      <c r="K5587" s="25" t="str">
        <f t="shared" si="62"/>
        <v/>
      </c>
      <c r="L5587" s="25" t="str">
        <f t="shared" si="63"/>
        <v>F74211</v>
      </c>
      <c r="M5587" s="25"/>
      <c r="O5587" s="25"/>
    </row>
    <row r="5588" ht="15.75" customHeight="1">
      <c r="A5588" s="25" t="str">
        <f>IFERROR(__xludf.DUMMYFUNCTION("IF(B5588="""","""",RIGHT(REGEXREPLACE(B5588&amp;"""",""[^0-9]"",""""),9))"),"779511421")</f>
        <v>779511421</v>
      </c>
      <c r="B5588" s="52">
        <v>7.79511421E8</v>
      </c>
      <c r="C5588" s="28" t="s">
        <v>3851</v>
      </c>
      <c r="D5588" s="26" t="s">
        <v>64</v>
      </c>
      <c r="E5588" s="31">
        <v>46238.0</v>
      </c>
      <c r="F5588" s="26" t="s">
        <v>46</v>
      </c>
      <c r="G5588" s="26" t="s">
        <v>1827</v>
      </c>
      <c r="I5588" s="26" t="s">
        <v>863</v>
      </c>
      <c r="J5588" s="25" t="str">
        <f t="shared" si="61"/>
        <v>Yes - see Previous F-Code</v>
      </c>
      <c r="K5588" s="25" t="str">
        <f t="shared" si="62"/>
        <v/>
      </c>
      <c r="L5588" s="25" t="str">
        <f t="shared" si="63"/>
        <v>F73503</v>
      </c>
      <c r="M5588" s="25"/>
      <c r="O5588" s="25"/>
    </row>
    <row r="5589" ht="15.75" customHeight="1">
      <c r="A5589" s="25" t="str">
        <f>IFERROR(__xludf.DUMMYFUNCTION("IF(B5589="""","""",RIGHT(REGEXREPLACE(B5589&amp;"""",""[^0-9]"",""""),9))"),"713216859")</f>
        <v>713216859</v>
      </c>
      <c r="B5589" s="52">
        <v>7.13216859E8</v>
      </c>
      <c r="C5589" s="28" t="s">
        <v>5544</v>
      </c>
      <c r="D5589" s="26" t="s">
        <v>49</v>
      </c>
      <c r="E5589" s="31">
        <v>46238.0</v>
      </c>
      <c r="F5589" s="26" t="s">
        <v>205</v>
      </c>
      <c r="I5589" s="26" t="s">
        <v>863</v>
      </c>
      <c r="J5589" s="25" t="str">
        <f t="shared" si="61"/>
        <v>No</v>
      </c>
      <c r="K5589" s="25" t="str">
        <f t="shared" si="62"/>
        <v/>
      </c>
      <c r="L5589" s="25" t="str">
        <f t="shared" si="63"/>
        <v/>
      </c>
      <c r="M5589" s="25"/>
      <c r="O5589" s="25"/>
    </row>
    <row r="5590" ht="15.75" customHeight="1">
      <c r="A5590" s="25" t="str">
        <f>IFERROR(__xludf.DUMMYFUNCTION("IF(B5590="""","""",RIGHT(REGEXREPLACE(B5590&amp;"""",""[^0-9]"",""""),9))"),"774026396")</f>
        <v>774026396</v>
      </c>
      <c r="B5590" s="52">
        <v>7.74026396E8</v>
      </c>
      <c r="C5590" s="28" t="s">
        <v>5545</v>
      </c>
      <c r="D5590" s="26" t="s">
        <v>82</v>
      </c>
      <c r="E5590" s="31">
        <v>46238.0</v>
      </c>
      <c r="F5590" s="26" t="s">
        <v>41</v>
      </c>
      <c r="G5590" s="26">
        <v>10.0</v>
      </c>
      <c r="I5590" s="26" t="s">
        <v>863</v>
      </c>
      <c r="J5590" s="25" t="str">
        <f t="shared" si="61"/>
        <v>No</v>
      </c>
      <c r="K5590" s="25" t="str">
        <f t="shared" si="62"/>
        <v/>
      </c>
      <c r="L5590" s="25" t="str">
        <f t="shared" si="63"/>
        <v/>
      </c>
      <c r="M5590" s="25"/>
      <c r="O5590" s="25"/>
    </row>
    <row r="5591" ht="15.75" customHeight="1">
      <c r="A5591" s="25" t="str">
        <f>IFERROR(__xludf.DUMMYFUNCTION("IF(B5591="""","""",RIGHT(REGEXREPLACE(B5591&amp;"""",""[^0-9]"",""""),9))"),"764156104")</f>
        <v>764156104</v>
      </c>
      <c r="B5591" s="52">
        <v>7.64156104E8</v>
      </c>
      <c r="C5591" s="28" t="s">
        <v>5546</v>
      </c>
      <c r="D5591" s="26" t="s">
        <v>64</v>
      </c>
      <c r="E5591" s="31">
        <v>46238.0</v>
      </c>
      <c r="F5591" s="26" t="s">
        <v>41</v>
      </c>
      <c r="G5591" s="26">
        <v>9.0</v>
      </c>
      <c r="I5591" s="26" t="s">
        <v>863</v>
      </c>
      <c r="J5591" s="25" t="str">
        <f t="shared" si="61"/>
        <v>No</v>
      </c>
      <c r="K5591" s="25" t="str">
        <f t="shared" si="62"/>
        <v/>
      </c>
      <c r="L5591" s="25" t="str">
        <f t="shared" si="63"/>
        <v/>
      </c>
      <c r="M5591" s="25"/>
      <c r="O5591" s="25"/>
    </row>
    <row r="5592" ht="15.75" customHeight="1">
      <c r="A5592" s="25" t="str">
        <f>IFERROR(__xludf.DUMMYFUNCTION("IF(B5592="""","""",RIGHT(REGEXREPLACE(B5592&amp;"""",""[^0-9]"",""""),9))"),"762686324")</f>
        <v>762686324</v>
      </c>
      <c r="B5592" s="52">
        <v>7.62686324E8</v>
      </c>
      <c r="C5592" s="28" t="s">
        <v>3851</v>
      </c>
      <c r="D5592" s="26" t="s">
        <v>64</v>
      </c>
      <c r="E5592" s="31">
        <v>46238.0</v>
      </c>
      <c r="F5592" s="26" t="s">
        <v>46</v>
      </c>
      <c r="G5592" s="26">
        <v>8.0</v>
      </c>
      <c r="I5592" s="26" t="s">
        <v>863</v>
      </c>
      <c r="J5592" s="25" t="str">
        <f t="shared" si="61"/>
        <v>No</v>
      </c>
      <c r="K5592" s="25" t="str">
        <f t="shared" si="62"/>
        <v/>
      </c>
      <c r="L5592" s="25" t="str">
        <f t="shared" si="63"/>
        <v/>
      </c>
      <c r="M5592" s="25"/>
      <c r="O5592" s="25"/>
    </row>
    <row r="5593" ht="15.75" customHeight="1">
      <c r="A5593" s="25" t="str">
        <f>IFERROR(__xludf.DUMMYFUNCTION("IF(B5593="""","""",RIGHT(REGEXREPLACE(B5593&amp;"""",""[^0-9]"",""""),9))"),"703689556")</f>
        <v>703689556</v>
      </c>
      <c r="B5593" s="52">
        <v>7.03689556E8</v>
      </c>
      <c r="C5593" s="28" t="s">
        <v>5547</v>
      </c>
      <c r="D5593" s="26" t="s">
        <v>49</v>
      </c>
      <c r="E5593" s="31">
        <v>46238.0</v>
      </c>
      <c r="F5593" s="26" t="s">
        <v>205</v>
      </c>
      <c r="G5593" s="26">
        <v>9.0</v>
      </c>
      <c r="I5593" s="26" t="s">
        <v>863</v>
      </c>
      <c r="J5593" s="25" t="str">
        <f t="shared" si="61"/>
        <v>No</v>
      </c>
      <c r="K5593" s="25" t="str">
        <f t="shared" si="62"/>
        <v/>
      </c>
      <c r="L5593" s="25" t="str">
        <f t="shared" si="63"/>
        <v/>
      </c>
      <c r="M5593" s="25"/>
      <c r="O5593" s="25"/>
    </row>
    <row r="5594" ht="15.75" customHeight="1">
      <c r="A5594" s="25" t="str">
        <f>IFERROR(__xludf.DUMMYFUNCTION("IF(B5594="""","""",RIGHT(REGEXREPLACE(B5594&amp;"""",""[^0-9]"",""""),9))"),"779033916")</f>
        <v>779033916</v>
      </c>
      <c r="B5594" s="52">
        <v>7.79033916E8</v>
      </c>
      <c r="C5594" s="28" t="s">
        <v>5548</v>
      </c>
      <c r="D5594" s="26" t="s">
        <v>82</v>
      </c>
      <c r="E5594" s="31">
        <v>46238.0</v>
      </c>
      <c r="F5594" s="26" t="s">
        <v>46</v>
      </c>
      <c r="G5594" s="26">
        <v>9.0</v>
      </c>
      <c r="I5594" s="26" t="s">
        <v>863</v>
      </c>
      <c r="J5594" s="25" t="str">
        <f t="shared" si="61"/>
        <v>No</v>
      </c>
      <c r="K5594" s="25" t="str">
        <f t="shared" si="62"/>
        <v/>
      </c>
      <c r="L5594" s="25" t="str">
        <f t="shared" si="63"/>
        <v/>
      </c>
      <c r="M5594" s="25"/>
      <c r="O5594" s="25"/>
    </row>
    <row r="5595" ht="15.75" customHeight="1">
      <c r="A5595" s="25" t="str">
        <f>IFERROR(__xludf.DUMMYFUNCTION("IF(B5595="""","""",RIGHT(REGEXREPLACE(B5595&amp;"""",""[^0-9]"",""""),9))"),"711784835")</f>
        <v>711784835</v>
      </c>
      <c r="B5595" s="52">
        <v>7.11784835E8</v>
      </c>
      <c r="C5595" s="28" t="s">
        <v>5549</v>
      </c>
      <c r="D5595" s="26" t="s">
        <v>82</v>
      </c>
      <c r="E5595" s="31">
        <v>46238.0</v>
      </c>
      <c r="F5595" s="26" t="s">
        <v>41</v>
      </c>
      <c r="G5595" s="26">
        <v>9.0</v>
      </c>
      <c r="I5595" s="26" t="s">
        <v>863</v>
      </c>
      <c r="J5595" s="25" t="str">
        <f t="shared" si="61"/>
        <v>No</v>
      </c>
      <c r="K5595" s="25" t="str">
        <f t="shared" si="62"/>
        <v/>
      </c>
      <c r="L5595" s="25" t="str">
        <f t="shared" si="63"/>
        <v/>
      </c>
      <c r="M5595" s="25"/>
      <c r="O5595" s="26" t="s">
        <v>51</v>
      </c>
    </row>
    <row r="5596" ht="15.75" customHeight="1">
      <c r="A5596" s="25" t="str">
        <f>IFERROR(__xludf.DUMMYFUNCTION("IF(B5596="""","""",RIGHT(REGEXREPLACE(B5596&amp;"""",""[^0-9]"",""""),9))"),"774949910")</f>
        <v>774949910</v>
      </c>
      <c r="B5596" s="52">
        <v>7.7494991E8</v>
      </c>
      <c r="C5596" s="28" t="s">
        <v>5550</v>
      </c>
      <c r="D5596" s="26" t="s">
        <v>64</v>
      </c>
      <c r="E5596" s="31">
        <v>46238.0</v>
      </c>
      <c r="F5596" s="26" t="s">
        <v>46</v>
      </c>
      <c r="G5596" s="26">
        <v>9.0</v>
      </c>
      <c r="I5596" s="26" t="s">
        <v>863</v>
      </c>
      <c r="J5596" s="25" t="str">
        <f t="shared" si="61"/>
        <v>No</v>
      </c>
      <c r="K5596" s="25" t="str">
        <f t="shared" si="62"/>
        <v/>
      </c>
      <c r="L5596" s="25" t="str">
        <f t="shared" si="63"/>
        <v/>
      </c>
      <c r="M5596" s="25"/>
      <c r="O5596" s="25"/>
    </row>
    <row r="5597" ht="15.75" customHeight="1">
      <c r="A5597" s="25" t="str">
        <f>IFERROR(__xludf.DUMMYFUNCTION("IF(B5597="""","""",RIGHT(REGEXREPLACE(B5597&amp;"""",""[^0-9]"",""""),9))"),"774070576")</f>
        <v>774070576</v>
      </c>
      <c r="B5597" s="52">
        <v>7.74070576E8</v>
      </c>
      <c r="C5597" s="28" t="s">
        <v>5551</v>
      </c>
      <c r="D5597" s="26" t="s">
        <v>45</v>
      </c>
      <c r="E5597" s="31">
        <v>46238.0</v>
      </c>
      <c r="F5597" s="26" t="s">
        <v>46</v>
      </c>
      <c r="G5597" s="26">
        <v>11.0</v>
      </c>
      <c r="I5597" s="26" t="s">
        <v>863</v>
      </c>
      <c r="J5597" s="25" t="str">
        <f t="shared" si="61"/>
        <v>No</v>
      </c>
      <c r="K5597" s="25" t="str">
        <f t="shared" si="62"/>
        <v/>
      </c>
      <c r="L5597" s="25" t="str">
        <f t="shared" si="63"/>
        <v/>
      </c>
      <c r="M5597" s="25"/>
      <c r="O5597" s="25"/>
    </row>
    <row r="5598" ht="15.75" customHeight="1">
      <c r="A5598" s="25" t="str">
        <f>IFERROR(__xludf.DUMMYFUNCTION("IF(B5598="""","""",RIGHT(REGEXREPLACE(B5598&amp;"""",""[^0-9]"",""""),9))"),"772180484")</f>
        <v>772180484</v>
      </c>
      <c r="B5598" s="52">
        <v>7.72180484E8</v>
      </c>
      <c r="C5598" s="28" t="s">
        <v>5552</v>
      </c>
      <c r="D5598" s="26" t="s">
        <v>49</v>
      </c>
      <c r="E5598" s="31">
        <v>46238.0</v>
      </c>
      <c r="F5598" s="26" t="s">
        <v>46</v>
      </c>
      <c r="G5598" s="26">
        <v>9.0</v>
      </c>
      <c r="H5598" s="26" t="s">
        <v>94</v>
      </c>
      <c r="I5598" s="26" t="s">
        <v>863</v>
      </c>
      <c r="J5598" s="25" t="str">
        <f t="shared" si="61"/>
        <v>No</v>
      </c>
      <c r="K5598" s="25" t="str">
        <f t="shared" si="62"/>
        <v/>
      </c>
      <c r="L5598" s="25" t="str">
        <f t="shared" si="63"/>
        <v/>
      </c>
      <c r="M5598" s="25"/>
      <c r="O5598" s="25"/>
    </row>
    <row r="5599" ht="15.75" customHeight="1">
      <c r="A5599" s="25" t="str">
        <f>IFERROR(__xludf.DUMMYFUNCTION("IF(B5599="""","""",RIGHT(REGEXREPLACE(B5599&amp;"""",""[^0-9]"",""""),9))"),"729777031")</f>
        <v>729777031</v>
      </c>
      <c r="B5599" s="52">
        <v>7.29777031E8</v>
      </c>
      <c r="C5599" s="28" t="s">
        <v>5553</v>
      </c>
      <c r="D5599" s="26" t="s">
        <v>64</v>
      </c>
      <c r="E5599" s="31">
        <v>46238.0</v>
      </c>
      <c r="F5599" s="26" t="s">
        <v>125</v>
      </c>
      <c r="G5599" s="26">
        <v>9.0</v>
      </c>
      <c r="I5599" s="26" t="s">
        <v>863</v>
      </c>
      <c r="J5599" s="25" t="str">
        <f t="shared" si="61"/>
        <v>No</v>
      </c>
      <c r="K5599" s="25" t="str">
        <f t="shared" si="62"/>
        <v/>
      </c>
      <c r="L5599" s="25" t="str">
        <f t="shared" si="63"/>
        <v/>
      </c>
      <c r="M5599" s="25"/>
      <c r="O5599" s="25"/>
    </row>
    <row r="5600" ht="15.75" customHeight="1">
      <c r="A5600" s="25" t="str">
        <f>IFERROR(__xludf.DUMMYFUNCTION("IF(B5600="""","""",RIGHT(REGEXREPLACE(B5600&amp;"""",""[^0-9]"",""""),9))"),"764272629")</f>
        <v>764272629</v>
      </c>
      <c r="B5600" s="52">
        <v>7.64272629E8</v>
      </c>
      <c r="C5600" s="28" t="s">
        <v>5554</v>
      </c>
      <c r="D5600" s="26" t="s">
        <v>82</v>
      </c>
      <c r="E5600" s="31">
        <v>46238.0</v>
      </c>
      <c r="F5600" s="26" t="s">
        <v>41</v>
      </c>
      <c r="G5600" s="26">
        <v>9.0</v>
      </c>
      <c r="I5600" s="26" t="s">
        <v>863</v>
      </c>
      <c r="J5600" s="25" t="str">
        <f t="shared" si="61"/>
        <v>No</v>
      </c>
      <c r="K5600" s="25" t="str">
        <f t="shared" si="62"/>
        <v/>
      </c>
      <c r="L5600" s="25" t="str">
        <f t="shared" si="63"/>
        <v/>
      </c>
      <c r="M5600" s="25"/>
      <c r="O5600" s="25"/>
    </row>
    <row r="5601" ht="15.75" customHeight="1">
      <c r="A5601" s="25" t="str">
        <f>IFERROR(__xludf.DUMMYFUNCTION("IF(B5601="""","""",RIGHT(REGEXREPLACE(B5601&amp;"""",""[^0-9]"",""""),9))"),"776475706")</f>
        <v>776475706</v>
      </c>
      <c r="B5601" s="52">
        <v>7.76475706E8</v>
      </c>
      <c r="C5601" s="28" t="s">
        <v>4767</v>
      </c>
      <c r="D5601" s="26" t="s">
        <v>64</v>
      </c>
      <c r="E5601" s="31">
        <v>46238.0</v>
      </c>
      <c r="F5601" s="26" t="s">
        <v>659</v>
      </c>
      <c r="I5601" s="26" t="s">
        <v>863</v>
      </c>
      <c r="J5601" s="25" t="str">
        <f t="shared" si="61"/>
        <v>Yes - see Previous F-Code</v>
      </c>
      <c r="K5601" s="25" t="str">
        <f t="shared" si="62"/>
        <v>DUPLICATE - CHECK</v>
      </c>
      <c r="L5601" s="25" t="str">
        <f t="shared" si="63"/>
        <v>F74930</v>
      </c>
      <c r="M5601" s="25"/>
      <c r="O5601" s="25"/>
    </row>
    <row r="5602" ht="15.75" customHeight="1">
      <c r="A5602" s="25" t="str">
        <f>IFERROR(__xludf.DUMMYFUNCTION("IF(B5602="""","""",RIGHT(REGEXREPLACE(B5602&amp;"""",""[^0-9]"",""""),9))"),"779233746")</f>
        <v>779233746</v>
      </c>
      <c r="B5602" s="52">
        <v>7.79233746E8</v>
      </c>
      <c r="C5602" s="28" t="s">
        <v>5555</v>
      </c>
      <c r="D5602" s="26" t="s">
        <v>82</v>
      </c>
      <c r="E5602" s="31">
        <v>46238.0</v>
      </c>
      <c r="F5602" s="26" t="s">
        <v>41</v>
      </c>
      <c r="G5602" s="26">
        <v>8.0</v>
      </c>
      <c r="I5602" s="26" t="s">
        <v>863</v>
      </c>
      <c r="J5602" s="25" t="str">
        <f t="shared" si="61"/>
        <v>No</v>
      </c>
      <c r="K5602" s="25" t="str">
        <f t="shared" si="62"/>
        <v/>
      </c>
      <c r="L5602" s="25" t="str">
        <f t="shared" si="63"/>
        <v/>
      </c>
      <c r="M5602" s="25"/>
      <c r="O5602" s="25"/>
    </row>
    <row r="5603" ht="15.75" customHeight="1">
      <c r="A5603" s="25" t="str">
        <f>IFERROR(__xludf.DUMMYFUNCTION("IF(B5603="""","""",RIGHT(REGEXREPLACE(B5603&amp;"""",""[^0-9]"",""""),9))"),"754332398")</f>
        <v>754332398</v>
      </c>
      <c r="B5603" s="52">
        <v>7.54332398E8</v>
      </c>
      <c r="C5603" s="28" t="s">
        <v>5006</v>
      </c>
      <c r="D5603" s="26" t="s">
        <v>64</v>
      </c>
      <c r="E5603" s="31">
        <v>46238.0</v>
      </c>
      <c r="F5603" s="26" t="s">
        <v>41</v>
      </c>
      <c r="G5603" s="26">
        <v>11.0</v>
      </c>
      <c r="I5603" s="26" t="s">
        <v>863</v>
      </c>
      <c r="J5603" s="25" t="str">
        <f t="shared" si="61"/>
        <v>Yes - see Previous F-Code</v>
      </c>
      <c r="K5603" s="25" t="str">
        <f t="shared" si="62"/>
        <v>DUPLICATE - CHECK</v>
      </c>
      <c r="L5603" s="25" t="str">
        <f t="shared" si="63"/>
        <v>F74645</v>
      </c>
      <c r="M5603" s="25"/>
      <c r="O5603" s="25"/>
    </row>
    <row r="5604" ht="15.75" customHeight="1">
      <c r="A5604" s="25" t="str">
        <f>IFERROR(__xludf.DUMMYFUNCTION("IF(B5604="""","""",RIGHT(REGEXREPLACE(B5604&amp;"""",""[^0-9]"",""""),9))"),"712309168")</f>
        <v>712309168</v>
      </c>
      <c r="B5604" s="52">
        <v>7.12309168E8</v>
      </c>
      <c r="C5604" s="28" t="s">
        <v>5556</v>
      </c>
      <c r="D5604" s="26" t="s">
        <v>82</v>
      </c>
      <c r="E5604" s="31">
        <v>46238.0</v>
      </c>
      <c r="F5604" s="26" t="s">
        <v>46</v>
      </c>
      <c r="G5604" s="26">
        <v>9.0</v>
      </c>
      <c r="I5604" s="26" t="s">
        <v>863</v>
      </c>
      <c r="J5604" s="25" t="str">
        <f t="shared" si="61"/>
        <v>No</v>
      </c>
      <c r="K5604" s="25" t="str">
        <f t="shared" si="62"/>
        <v/>
      </c>
      <c r="L5604" s="25" t="str">
        <f t="shared" si="63"/>
        <v/>
      </c>
      <c r="M5604" s="25"/>
      <c r="O5604" s="26" t="s">
        <v>51</v>
      </c>
    </row>
    <row r="5605" ht="15.75" customHeight="1">
      <c r="A5605" s="25" t="str">
        <f>IFERROR(__xludf.DUMMYFUNCTION("IF(B5605="""","""",RIGHT(REGEXREPLACE(B5605&amp;"""",""[^0-9]"",""""),9))"),"762134551")</f>
        <v>762134551</v>
      </c>
      <c r="B5605" s="52">
        <v>7.62134551E8</v>
      </c>
      <c r="C5605" s="28" t="s">
        <v>5557</v>
      </c>
      <c r="D5605" s="26" t="s">
        <v>49</v>
      </c>
      <c r="E5605" s="31">
        <v>46238.0</v>
      </c>
      <c r="F5605" s="26" t="s">
        <v>46</v>
      </c>
      <c r="G5605" s="26" t="s">
        <v>2105</v>
      </c>
      <c r="I5605" s="26" t="s">
        <v>863</v>
      </c>
      <c r="J5605" s="25" t="str">
        <f t="shared" si="61"/>
        <v>No</v>
      </c>
      <c r="K5605" s="25" t="str">
        <f t="shared" si="62"/>
        <v/>
      </c>
      <c r="L5605" s="25" t="str">
        <f t="shared" si="63"/>
        <v/>
      </c>
      <c r="M5605" s="25"/>
      <c r="O5605" s="25"/>
    </row>
    <row r="5606" ht="15.75" customHeight="1">
      <c r="A5606" s="25" t="str">
        <f>IFERROR(__xludf.DUMMYFUNCTION("IF(B5606="""","""",RIGHT(REGEXREPLACE(B5606&amp;"""",""[^0-9]"",""""),9))"),"782608432")</f>
        <v>782608432</v>
      </c>
      <c r="B5606" s="52">
        <v>7.82608432E8</v>
      </c>
      <c r="C5606" s="28" t="s">
        <v>5165</v>
      </c>
      <c r="D5606" s="26" t="s">
        <v>64</v>
      </c>
      <c r="E5606" s="31">
        <v>46238.0</v>
      </c>
      <c r="F5606" s="26" t="s">
        <v>41</v>
      </c>
      <c r="G5606" s="26">
        <v>9.0</v>
      </c>
      <c r="I5606" s="26" t="s">
        <v>863</v>
      </c>
      <c r="J5606" s="25" t="str">
        <f t="shared" si="61"/>
        <v>Yes - see Previous F-Code</v>
      </c>
      <c r="K5606" s="25" t="str">
        <f t="shared" si="62"/>
        <v>DUPLICATE - CHECK</v>
      </c>
      <c r="L5606" s="25" t="str">
        <f t="shared" si="63"/>
        <v>F74703</v>
      </c>
      <c r="M5606" s="25"/>
      <c r="O5606" s="25"/>
    </row>
    <row r="5607" ht="15.75" customHeight="1">
      <c r="A5607" s="25" t="str">
        <f>IFERROR(__xludf.DUMMYFUNCTION("IF(B5607="""","""",RIGHT(REGEXREPLACE(B5607&amp;"""",""[^0-9]"",""""),9))"),"762764093")</f>
        <v>762764093</v>
      </c>
      <c r="B5607" s="52">
        <v>7.62764093E8</v>
      </c>
      <c r="C5607" s="28" t="s">
        <v>5558</v>
      </c>
      <c r="D5607" s="26" t="s">
        <v>45</v>
      </c>
      <c r="E5607" s="31">
        <v>46238.0</v>
      </c>
      <c r="F5607" s="26" t="s">
        <v>46</v>
      </c>
      <c r="G5607" s="26">
        <v>9.0</v>
      </c>
      <c r="I5607" s="26" t="s">
        <v>863</v>
      </c>
      <c r="J5607" s="25" t="str">
        <f t="shared" si="61"/>
        <v>No</v>
      </c>
      <c r="K5607" s="25" t="str">
        <f t="shared" si="62"/>
        <v/>
      </c>
      <c r="L5607" s="25" t="str">
        <f t="shared" si="63"/>
        <v/>
      </c>
      <c r="M5607" s="25"/>
      <c r="O5607" s="25"/>
    </row>
    <row r="5608" ht="15.75" customHeight="1">
      <c r="A5608" s="25" t="str">
        <f>IFERROR(__xludf.DUMMYFUNCTION("IF(B5608="""","""",RIGHT(REGEXREPLACE(B5608&amp;"""",""[^0-9]"",""""),9))"),"741156445")</f>
        <v>741156445</v>
      </c>
      <c r="B5608" s="52">
        <v>7.41156445E8</v>
      </c>
      <c r="C5608" s="28" t="s">
        <v>5559</v>
      </c>
      <c r="D5608" s="26" t="s">
        <v>82</v>
      </c>
      <c r="E5608" s="31">
        <v>46238.0</v>
      </c>
      <c r="F5608" s="26" t="s">
        <v>46</v>
      </c>
      <c r="G5608" s="26">
        <v>9.0</v>
      </c>
      <c r="I5608" s="26" t="s">
        <v>863</v>
      </c>
      <c r="J5608" s="25" t="str">
        <f t="shared" si="61"/>
        <v>No</v>
      </c>
      <c r="K5608" s="25" t="str">
        <f t="shared" si="62"/>
        <v/>
      </c>
      <c r="L5608" s="25" t="str">
        <f t="shared" si="63"/>
        <v/>
      </c>
      <c r="M5608" s="25"/>
      <c r="O5608" s="25"/>
    </row>
    <row r="5609" ht="15.75" customHeight="1">
      <c r="A5609" s="25" t="str">
        <f>IFERROR(__xludf.DUMMYFUNCTION("IF(B5609="""","""",RIGHT(REGEXREPLACE(B5609&amp;"""",""[^0-9]"",""""),9))"),"743662546")</f>
        <v>743662546</v>
      </c>
      <c r="B5609" s="52">
        <v>7.43662546E8</v>
      </c>
      <c r="C5609" s="28" t="s">
        <v>5560</v>
      </c>
      <c r="D5609" s="26" t="s">
        <v>82</v>
      </c>
      <c r="E5609" s="31">
        <v>46238.0</v>
      </c>
      <c r="F5609" s="26" t="s">
        <v>46</v>
      </c>
      <c r="G5609" s="26">
        <v>9.0</v>
      </c>
      <c r="H5609" s="26" t="s">
        <v>4465</v>
      </c>
      <c r="I5609" s="26" t="s">
        <v>863</v>
      </c>
      <c r="J5609" s="25" t="str">
        <f t="shared" si="61"/>
        <v>No</v>
      </c>
      <c r="K5609" s="25" t="str">
        <f t="shared" si="62"/>
        <v/>
      </c>
      <c r="L5609" s="25" t="str">
        <f t="shared" si="63"/>
        <v/>
      </c>
      <c r="M5609" s="25"/>
      <c r="O5609" s="25"/>
    </row>
    <row r="5610" ht="15.75" customHeight="1">
      <c r="A5610" s="25" t="str">
        <f>IFERROR(__xludf.DUMMYFUNCTION("IF(B5610="""","""",RIGHT(REGEXREPLACE(B5610&amp;"""",""[^0-9]"",""""),9))"),"767374222")</f>
        <v>767374222</v>
      </c>
      <c r="B5610" s="52">
        <v>7.67374222E8</v>
      </c>
      <c r="C5610" s="28" t="s">
        <v>5561</v>
      </c>
      <c r="D5610" s="26" t="s">
        <v>64</v>
      </c>
      <c r="E5610" s="31">
        <v>46238.0</v>
      </c>
      <c r="F5610" s="26" t="s">
        <v>46</v>
      </c>
      <c r="G5610" s="26">
        <v>9.0</v>
      </c>
      <c r="H5610" s="26" t="s">
        <v>78</v>
      </c>
      <c r="I5610" s="26" t="s">
        <v>863</v>
      </c>
      <c r="J5610" s="25" t="str">
        <f t="shared" si="61"/>
        <v>No</v>
      </c>
      <c r="K5610" s="25" t="str">
        <f t="shared" si="62"/>
        <v/>
      </c>
      <c r="L5610" s="25" t="str">
        <f t="shared" si="63"/>
        <v/>
      </c>
      <c r="M5610" s="25"/>
      <c r="O5610" s="25"/>
    </row>
    <row r="5611" ht="15.75" customHeight="1">
      <c r="A5611" s="25" t="str">
        <f>IFERROR(__xludf.DUMMYFUNCTION("IF(B5611="""","""",RIGHT(REGEXREPLACE(B5611&amp;"""",""[^0-9]"",""""),9))"),"776931935")</f>
        <v>776931935</v>
      </c>
      <c r="B5611" s="52">
        <v>7.76931935E8</v>
      </c>
      <c r="C5611" s="28" t="s">
        <v>5562</v>
      </c>
      <c r="D5611" s="26" t="s">
        <v>82</v>
      </c>
      <c r="E5611" s="31">
        <v>46238.0</v>
      </c>
      <c r="F5611" s="26" t="s">
        <v>125</v>
      </c>
      <c r="G5611" s="26">
        <v>9.0</v>
      </c>
      <c r="H5611" s="26" t="s">
        <v>5563</v>
      </c>
      <c r="I5611" s="26" t="s">
        <v>863</v>
      </c>
      <c r="J5611" s="25" t="str">
        <f t="shared" si="61"/>
        <v>No</v>
      </c>
      <c r="K5611" s="25" t="str">
        <f t="shared" si="62"/>
        <v/>
      </c>
      <c r="L5611" s="25" t="str">
        <f t="shared" si="63"/>
        <v/>
      </c>
      <c r="M5611" s="25"/>
      <c r="O5611" s="25"/>
    </row>
    <row r="5612" ht="15.75" customHeight="1">
      <c r="A5612" s="25" t="str">
        <f>IFERROR(__xludf.DUMMYFUNCTION("IF(B5612="""","""",RIGHT(REGEXREPLACE(B5612&amp;"""",""[^0-9]"",""""),9))"),"760722526")</f>
        <v>760722526</v>
      </c>
      <c r="B5612" s="52">
        <v>7.60722526E8</v>
      </c>
      <c r="C5612" s="28" t="s">
        <v>5564</v>
      </c>
      <c r="D5612" s="26" t="s">
        <v>64</v>
      </c>
      <c r="E5612" s="31">
        <v>46238.0</v>
      </c>
      <c r="F5612" s="26" t="s">
        <v>46</v>
      </c>
      <c r="G5612" s="26">
        <v>10.0</v>
      </c>
      <c r="I5612" s="26" t="s">
        <v>863</v>
      </c>
      <c r="J5612" s="25" t="str">
        <f t="shared" si="61"/>
        <v>No</v>
      </c>
      <c r="K5612" s="25" t="str">
        <f t="shared" si="62"/>
        <v/>
      </c>
      <c r="L5612" s="25" t="str">
        <f t="shared" si="63"/>
        <v/>
      </c>
      <c r="M5612" s="25"/>
      <c r="O5612" s="25"/>
    </row>
    <row r="5613" ht="15.75" customHeight="1">
      <c r="A5613" s="25" t="str">
        <f>IFERROR(__xludf.DUMMYFUNCTION("IF(B5613="""","""",RIGHT(REGEXREPLACE(B5613&amp;"""",""[^0-9]"",""""),9))"),"777988600")</f>
        <v>777988600</v>
      </c>
      <c r="B5613" s="52">
        <v>7.779886E8</v>
      </c>
      <c r="C5613" s="28" t="s">
        <v>5565</v>
      </c>
      <c r="D5613" s="26" t="s">
        <v>64</v>
      </c>
      <c r="E5613" s="31">
        <v>46238.0</v>
      </c>
      <c r="F5613" s="26" t="s">
        <v>46</v>
      </c>
      <c r="G5613" s="26">
        <v>9.0</v>
      </c>
      <c r="I5613" s="26" t="s">
        <v>863</v>
      </c>
      <c r="J5613" s="25" t="str">
        <f t="shared" si="61"/>
        <v>No</v>
      </c>
      <c r="K5613" s="25" t="str">
        <f t="shared" si="62"/>
        <v/>
      </c>
      <c r="L5613" s="25" t="str">
        <f t="shared" si="63"/>
        <v/>
      </c>
      <c r="M5613" s="25"/>
      <c r="O5613" s="25"/>
    </row>
    <row r="5614" ht="15.75" customHeight="1">
      <c r="A5614" s="25" t="str">
        <f>IFERROR(__xludf.DUMMYFUNCTION("IF(B5614="""","""",RIGHT(REGEXREPLACE(B5614&amp;"""",""[^0-9]"",""""),9))"),"740230497")</f>
        <v>740230497</v>
      </c>
      <c r="B5614" s="52">
        <v>7.40230497E8</v>
      </c>
      <c r="C5614" s="28" t="s">
        <v>5566</v>
      </c>
      <c r="D5614" s="26" t="s">
        <v>49</v>
      </c>
      <c r="E5614" s="31">
        <v>46238.0</v>
      </c>
      <c r="F5614" s="26" t="s">
        <v>46</v>
      </c>
      <c r="G5614" s="26">
        <v>10.0</v>
      </c>
      <c r="H5614" s="26" t="s">
        <v>5567</v>
      </c>
      <c r="I5614" s="26" t="s">
        <v>863</v>
      </c>
      <c r="J5614" s="25" t="str">
        <f t="shared" si="61"/>
        <v>No</v>
      </c>
      <c r="K5614" s="25" t="str">
        <f t="shared" si="62"/>
        <v/>
      </c>
      <c r="L5614" s="25" t="str">
        <f t="shared" si="63"/>
        <v/>
      </c>
      <c r="M5614" s="25"/>
      <c r="O5614" s="25"/>
    </row>
    <row r="5615" ht="15.75" customHeight="1">
      <c r="A5615" s="25" t="str">
        <f>IFERROR(__xludf.DUMMYFUNCTION("IF(B5615="""","""",RIGHT(REGEXREPLACE(B5615&amp;"""",""[^0-9]"",""""),9))"),"760002953")</f>
        <v>760002953</v>
      </c>
      <c r="B5615" s="52">
        <v>7.60002953E8</v>
      </c>
      <c r="C5615" s="28" t="s">
        <v>5566</v>
      </c>
      <c r="D5615" s="26" t="s">
        <v>64</v>
      </c>
      <c r="E5615" s="31">
        <v>46238.0</v>
      </c>
      <c r="F5615" s="26" t="s">
        <v>46</v>
      </c>
      <c r="G5615" s="26">
        <v>9.0</v>
      </c>
      <c r="H5615" s="26" t="s">
        <v>5568</v>
      </c>
      <c r="I5615" s="26" t="s">
        <v>863</v>
      </c>
      <c r="J5615" s="25" t="str">
        <f t="shared" si="61"/>
        <v>No</v>
      </c>
      <c r="K5615" s="25" t="str">
        <f t="shared" si="62"/>
        <v/>
      </c>
      <c r="L5615" s="25" t="str">
        <f t="shared" si="63"/>
        <v/>
      </c>
      <c r="M5615" s="25"/>
      <c r="O5615" s="25"/>
    </row>
    <row r="5616" ht="15.75" customHeight="1">
      <c r="A5616" s="25" t="str">
        <f>IFERROR(__xludf.DUMMYFUNCTION("IF(B5616="""","""",RIGHT(REGEXREPLACE(B5616&amp;"""",""[^0-9]"",""""),9))"),"764450390")</f>
        <v>764450390</v>
      </c>
      <c r="B5616" s="52">
        <v>7.6445039E8</v>
      </c>
      <c r="C5616" s="28" t="s">
        <v>5569</v>
      </c>
      <c r="D5616" s="26" t="s">
        <v>49</v>
      </c>
      <c r="E5616" s="31">
        <v>46238.0</v>
      </c>
      <c r="F5616" s="26" t="s">
        <v>205</v>
      </c>
      <c r="G5616" s="26">
        <v>10.0</v>
      </c>
      <c r="I5616" s="26" t="s">
        <v>863</v>
      </c>
      <c r="J5616" s="25" t="str">
        <f t="shared" si="61"/>
        <v>No</v>
      </c>
      <c r="K5616" s="25" t="str">
        <f t="shared" si="62"/>
        <v/>
      </c>
      <c r="L5616" s="25" t="str">
        <f t="shared" si="63"/>
        <v/>
      </c>
      <c r="M5616" s="25"/>
      <c r="O5616" s="25"/>
    </row>
    <row r="5617" ht="15.75" customHeight="1">
      <c r="A5617" s="25" t="str">
        <f>IFERROR(__xludf.DUMMYFUNCTION("IF(B5617="""","""",RIGHT(REGEXREPLACE(B5617&amp;"""",""[^0-9]"",""""),9))"),"704143162")</f>
        <v>704143162</v>
      </c>
      <c r="B5617" s="52">
        <v>7.04143162E8</v>
      </c>
      <c r="C5617" s="28" t="s">
        <v>5570</v>
      </c>
      <c r="D5617" s="26" t="s">
        <v>82</v>
      </c>
      <c r="E5617" s="31">
        <v>46238.0</v>
      </c>
      <c r="F5617" s="26" t="s">
        <v>41</v>
      </c>
      <c r="G5617" s="26">
        <v>11.0</v>
      </c>
      <c r="I5617" s="26" t="s">
        <v>863</v>
      </c>
      <c r="J5617" s="25" t="str">
        <f t="shared" si="61"/>
        <v>No</v>
      </c>
      <c r="K5617" s="25" t="str">
        <f t="shared" si="62"/>
        <v/>
      </c>
      <c r="L5617" s="25" t="str">
        <f t="shared" si="63"/>
        <v/>
      </c>
      <c r="M5617" s="25"/>
      <c r="O5617" s="25"/>
    </row>
    <row r="5618" ht="15.75" customHeight="1">
      <c r="A5618" s="25" t="str">
        <f>IFERROR(__xludf.DUMMYFUNCTION("IF(B5618="""","""",RIGHT(REGEXREPLACE(B5618&amp;"""",""[^0-9]"",""""),9))"),"716638803")</f>
        <v>716638803</v>
      </c>
      <c r="B5618" s="52">
        <v>7.16638803E8</v>
      </c>
      <c r="C5618" s="28" t="s">
        <v>955</v>
      </c>
      <c r="D5618" s="26" t="s">
        <v>49</v>
      </c>
      <c r="E5618" s="31">
        <v>46238.0</v>
      </c>
      <c r="F5618" s="26" t="s">
        <v>46</v>
      </c>
      <c r="G5618" s="26">
        <v>10.0</v>
      </c>
      <c r="H5618" s="26" t="s">
        <v>5571</v>
      </c>
      <c r="I5618" s="26" t="s">
        <v>863</v>
      </c>
      <c r="J5618" s="25" t="str">
        <f t="shared" si="61"/>
        <v>Yes - see Previous F-Code</v>
      </c>
      <c r="K5618" s="25" t="str">
        <f t="shared" si="62"/>
        <v/>
      </c>
      <c r="L5618" s="25" t="str">
        <f t="shared" si="63"/>
        <v>F70706</v>
      </c>
      <c r="M5618" s="25"/>
      <c r="O5618" s="25"/>
    </row>
    <row r="5619" ht="15.75" customHeight="1">
      <c r="A5619" s="25" t="str">
        <f>IFERROR(__xludf.DUMMYFUNCTION("IF(B5619="""","""",RIGHT(REGEXREPLACE(B5619&amp;"""",""[^0-9]"",""""),9))"),"741871726")</f>
        <v>741871726</v>
      </c>
      <c r="B5619" s="52">
        <v>7.41871726E8</v>
      </c>
      <c r="C5619" s="28" t="s">
        <v>5572</v>
      </c>
      <c r="D5619" s="26" t="s">
        <v>82</v>
      </c>
      <c r="E5619" s="31">
        <v>46238.0</v>
      </c>
      <c r="F5619" s="26" t="s">
        <v>46</v>
      </c>
      <c r="G5619" s="26">
        <v>11.0</v>
      </c>
      <c r="I5619" s="26" t="s">
        <v>863</v>
      </c>
      <c r="J5619" s="25" t="str">
        <f t="shared" si="61"/>
        <v>No</v>
      </c>
      <c r="K5619" s="25" t="str">
        <f t="shared" si="62"/>
        <v/>
      </c>
      <c r="L5619" s="25" t="str">
        <f t="shared" si="63"/>
        <v/>
      </c>
      <c r="M5619" s="25"/>
      <c r="O5619" s="25"/>
    </row>
    <row r="5620" ht="15.75" customHeight="1">
      <c r="A5620" s="25" t="str">
        <f>IFERROR(__xludf.DUMMYFUNCTION("IF(B5620="""","""",RIGHT(REGEXREPLACE(B5620&amp;"""",""[^0-9]"",""""),9))"),"741930892")</f>
        <v>741930892</v>
      </c>
      <c r="B5620" s="52">
        <v>7.41930892E8</v>
      </c>
      <c r="C5620" s="28" t="s">
        <v>5573</v>
      </c>
      <c r="D5620" s="26" t="s">
        <v>49</v>
      </c>
      <c r="E5620" s="31">
        <v>46238.0</v>
      </c>
      <c r="F5620" s="26" t="s">
        <v>46</v>
      </c>
      <c r="G5620" s="26">
        <v>9.0</v>
      </c>
      <c r="H5620" s="26" t="s">
        <v>5574</v>
      </c>
      <c r="I5620" s="26" t="s">
        <v>863</v>
      </c>
      <c r="J5620" s="25" t="str">
        <f t="shared" si="61"/>
        <v>No</v>
      </c>
      <c r="K5620" s="25" t="str">
        <f t="shared" si="62"/>
        <v/>
      </c>
      <c r="L5620" s="25" t="str">
        <f t="shared" si="63"/>
        <v/>
      </c>
      <c r="M5620" s="25"/>
      <c r="O5620" s="25"/>
    </row>
    <row r="5621" ht="15.75" customHeight="1">
      <c r="A5621" s="25" t="str">
        <f>IFERROR(__xludf.DUMMYFUNCTION("IF(B5621="""","""",RIGHT(REGEXREPLACE(B5621&amp;"""",""[^0-9]"",""""),9))"),"769406687")</f>
        <v>769406687</v>
      </c>
      <c r="B5621" s="52">
        <v>7.69406687E8</v>
      </c>
      <c r="C5621" s="28" t="s">
        <v>5575</v>
      </c>
      <c r="D5621" s="26" t="s">
        <v>64</v>
      </c>
      <c r="E5621" s="31">
        <v>46238.0</v>
      </c>
      <c r="F5621" s="26" t="s">
        <v>46</v>
      </c>
      <c r="G5621" s="26">
        <v>9.0</v>
      </c>
      <c r="H5621" s="26" t="s">
        <v>78</v>
      </c>
      <c r="I5621" s="26" t="s">
        <v>863</v>
      </c>
      <c r="J5621" s="25" t="str">
        <f t="shared" si="61"/>
        <v>No</v>
      </c>
      <c r="K5621" s="25" t="str">
        <f t="shared" si="62"/>
        <v/>
      </c>
      <c r="L5621" s="25" t="str">
        <f t="shared" si="63"/>
        <v/>
      </c>
      <c r="M5621" s="25"/>
      <c r="O5621" s="25"/>
    </row>
    <row r="5622" ht="15.75" customHeight="1">
      <c r="A5622" s="25" t="str">
        <f>IFERROR(__xludf.DUMMYFUNCTION("IF(B5622="""","""",RIGHT(REGEXREPLACE(B5622&amp;"""",""[^0-9]"",""""),9))"),"773046900")</f>
        <v>773046900</v>
      </c>
      <c r="B5622" s="52">
        <v>7.730469E8</v>
      </c>
      <c r="C5622" s="28" t="s">
        <v>5576</v>
      </c>
      <c r="D5622" s="26" t="s">
        <v>82</v>
      </c>
      <c r="E5622" s="31">
        <v>46238.0</v>
      </c>
      <c r="F5622" s="26" t="s">
        <v>125</v>
      </c>
      <c r="G5622" s="26">
        <v>10.0</v>
      </c>
      <c r="I5622" s="26" t="s">
        <v>863</v>
      </c>
      <c r="J5622" s="25" t="str">
        <f t="shared" si="61"/>
        <v>No</v>
      </c>
      <c r="K5622" s="25" t="str">
        <f t="shared" si="62"/>
        <v/>
      </c>
      <c r="L5622" s="25" t="str">
        <f t="shared" si="63"/>
        <v/>
      </c>
      <c r="M5622" s="25"/>
      <c r="O5622" s="25"/>
    </row>
    <row r="5623" ht="15.75" customHeight="1">
      <c r="A5623" s="25" t="str">
        <f>IFERROR(__xludf.DUMMYFUNCTION("IF(B5623="""","""",RIGHT(REGEXREPLACE(B5623&amp;"""",""[^0-9]"",""""),9))"),"767292484")</f>
        <v>767292484</v>
      </c>
      <c r="B5623" s="52">
        <v>7.67292484E8</v>
      </c>
      <c r="C5623" s="28" t="s">
        <v>4723</v>
      </c>
      <c r="D5623" s="26" t="s">
        <v>64</v>
      </c>
      <c r="E5623" s="31">
        <v>46238.0</v>
      </c>
      <c r="F5623" s="26" t="s">
        <v>205</v>
      </c>
      <c r="G5623" s="26">
        <v>9.0</v>
      </c>
      <c r="I5623" s="26" t="s">
        <v>863</v>
      </c>
      <c r="J5623" s="25" t="str">
        <f t="shared" si="61"/>
        <v>Yes - see Previous F-Code</v>
      </c>
      <c r="K5623" s="25" t="str">
        <f t="shared" si="62"/>
        <v>DUPLICATE - CHECK</v>
      </c>
      <c r="L5623" s="25" t="str">
        <f t="shared" si="63"/>
        <v>F74308</v>
      </c>
      <c r="M5623" s="25"/>
      <c r="O5623" s="25"/>
    </row>
    <row r="5624" ht="15.75" customHeight="1">
      <c r="A5624" s="25" t="str">
        <f>IFERROR(__xludf.DUMMYFUNCTION("IF(B5624="""","""",RIGHT(REGEXREPLACE(B5624&amp;"""",""[^0-9]"",""""),9))"),"776374901")</f>
        <v>776374901</v>
      </c>
      <c r="B5624" s="52">
        <v>7.76374901E8</v>
      </c>
      <c r="C5624" s="28" t="s">
        <v>3955</v>
      </c>
      <c r="D5624" s="26" t="s">
        <v>49</v>
      </c>
      <c r="E5624" s="31">
        <v>46238.0</v>
      </c>
      <c r="F5624" s="26" t="s">
        <v>46</v>
      </c>
      <c r="G5624" s="26">
        <v>9.0</v>
      </c>
      <c r="H5624" s="26" t="s">
        <v>5577</v>
      </c>
      <c r="I5624" s="26" t="s">
        <v>863</v>
      </c>
      <c r="J5624" s="25" t="str">
        <f t="shared" si="61"/>
        <v>Yes - see Previous F-Code</v>
      </c>
      <c r="K5624" s="25" t="str">
        <f t="shared" si="62"/>
        <v/>
      </c>
      <c r="L5624" s="25" t="str">
        <f t="shared" si="63"/>
        <v>F73601</v>
      </c>
      <c r="M5624" s="25"/>
      <c r="O5624" s="25"/>
    </row>
    <row r="5625" ht="15.75" customHeight="1">
      <c r="A5625" s="25" t="str">
        <f>IFERROR(__xludf.DUMMYFUNCTION("IF(B5625="""","""",RIGHT(REGEXREPLACE(B5625&amp;"""",""[^0-9]"",""""),9))"),"707954242")</f>
        <v>707954242</v>
      </c>
      <c r="B5625" s="52">
        <v>7.07954242E8</v>
      </c>
      <c r="C5625" s="28" t="s">
        <v>5578</v>
      </c>
      <c r="D5625" s="26" t="s">
        <v>64</v>
      </c>
      <c r="E5625" s="31">
        <v>46238.0</v>
      </c>
      <c r="F5625" s="26" t="s">
        <v>46</v>
      </c>
      <c r="G5625" s="26">
        <v>9.0</v>
      </c>
      <c r="I5625" s="26" t="s">
        <v>863</v>
      </c>
      <c r="J5625" s="25" t="str">
        <f t="shared" si="61"/>
        <v>No</v>
      </c>
      <c r="K5625" s="25" t="str">
        <f t="shared" si="62"/>
        <v/>
      </c>
      <c r="L5625" s="25" t="str">
        <f t="shared" si="63"/>
        <v/>
      </c>
      <c r="M5625" s="25"/>
      <c r="O5625" s="25"/>
    </row>
    <row r="5626" ht="15.75" customHeight="1">
      <c r="A5626" s="25" t="str">
        <f>IFERROR(__xludf.DUMMYFUNCTION("IF(B5626="""","""",RIGHT(REGEXREPLACE(B5626&amp;"""",""[^0-9]"",""""),9))"),"718558870")</f>
        <v>718558870</v>
      </c>
      <c r="B5626" s="52">
        <v>7.1855887E8</v>
      </c>
      <c r="C5626" s="28" t="s">
        <v>5579</v>
      </c>
      <c r="D5626" s="26" t="s">
        <v>82</v>
      </c>
      <c r="E5626" s="31">
        <v>46238.0</v>
      </c>
      <c r="F5626" s="26" t="s">
        <v>46</v>
      </c>
      <c r="G5626" s="26">
        <v>11.0</v>
      </c>
      <c r="I5626" s="26" t="s">
        <v>863</v>
      </c>
      <c r="J5626" s="25" t="str">
        <f t="shared" si="61"/>
        <v>No</v>
      </c>
      <c r="K5626" s="25" t="str">
        <f t="shared" si="62"/>
        <v/>
      </c>
      <c r="L5626" s="25" t="str">
        <f t="shared" si="63"/>
        <v/>
      </c>
      <c r="M5626" s="25"/>
      <c r="O5626" s="25"/>
    </row>
    <row r="5627" ht="15.75" customHeight="1">
      <c r="A5627" s="25" t="str">
        <f>IFERROR(__xludf.DUMMYFUNCTION("IF(B5627="""","""",RIGHT(REGEXREPLACE(B5627&amp;"""",""[^0-9]"",""""),9))"),"762080258")</f>
        <v>762080258</v>
      </c>
      <c r="B5627" s="52">
        <v>7.62080258E8</v>
      </c>
      <c r="C5627" s="28" t="s">
        <v>5580</v>
      </c>
      <c r="D5627" s="26" t="s">
        <v>49</v>
      </c>
      <c r="E5627" s="31">
        <v>46238.0</v>
      </c>
      <c r="F5627" s="26" t="s">
        <v>46</v>
      </c>
      <c r="G5627" s="26">
        <v>9.0</v>
      </c>
      <c r="H5627" s="26" t="s">
        <v>5581</v>
      </c>
      <c r="I5627" s="26" t="s">
        <v>863</v>
      </c>
      <c r="J5627" s="25" t="str">
        <f t="shared" si="61"/>
        <v>No</v>
      </c>
      <c r="K5627" s="25" t="str">
        <f t="shared" si="62"/>
        <v/>
      </c>
      <c r="L5627" s="25" t="str">
        <f t="shared" si="63"/>
        <v/>
      </c>
      <c r="M5627" s="25"/>
      <c r="O5627" s="25"/>
    </row>
    <row r="5628" ht="15.75" customHeight="1">
      <c r="A5628" s="25" t="str">
        <f>IFERROR(__xludf.DUMMYFUNCTION("IF(B5628="""","""",RIGHT(REGEXREPLACE(B5628&amp;"""",""[^0-9]"",""""),9))"),"712350221")</f>
        <v>712350221</v>
      </c>
      <c r="B5628" s="52">
        <v>4.712350221E9</v>
      </c>
      <c r="C5628" s="28" t="s">
        <v>5582</v>
      </c>
      <c r="D5628" s="26" t="s">
        <v>64</v>
      </c>
      <c r="E5628" s="31">
        <v>46238.0</v>
      </c>
      <c r="F5628" s="26" t="s">
        <v>41</v>
      </c>
      <c r="I5628" s="26" t="s">
        <v>863</v>
      </c>
      <c r="J5628" s="25" t="str">
        <f t="shared" si="61"/>
        <v>No</v>
      </c>
      <c r="K5628" s="25" t="str">
        <f t="shared" si="62"/>
        <v/>
      </c>
      <c r="L5628" s="25" t="str">
        <f t="shared" si="63"/>
        <v/>
      </c>
      <c r="M5628" s="25"/>
      <c r="O5628" s="25"/>
    </row>
    <row r="5629" ht="15.75" customHeight="1">
      <c r="A5629" s="25" t="str">
        <f>IFERROR(__xludf.DUMMYFUNCTION("IF(B5629="""","""",RIGHT(REGEXREPLACE(B5629&amp;"""",""[^0-9]"",""""),9))"),"781919981")</f>
        <v>781919981</v>
      </c>
      <c r="B5629" s="52">
        <v>7.81919981E8</v>
      </c>
      <c r="C5629" s="28" t="s">
        <v>5583</v>
      </c>
      <c r="D5629" s="26" t="s">
        <v>45</v>
      </c>
      <c r="E5629" s="31">
        <v>46238.0</v>
      </c>
      <c r="F5629" s="26" t="s">
        <v>41</v>
      </c>
      <c r="I5629" s="26" t="s">
        <v>863</v>
      </c>
      <c r="J5629" s="25" t="str">
        <f t="shared" si="61"/>
        <v>No</v>
      </c>
      <c r="K5629" s="25" t="str">
        <f t="shared" si="62"/>
        <v/>
      </c>
      <c r="L5629" s="25" t="str">
        <f t="shared" si="63"/>
        <v/>
      </c>
      <c r="M5629" s="25"/>
      <c r="O5629" s="25"/>
    </row>
    <row r="5630" ht="15.75" customHeight="1">
      <c r="A5630" s="25" t="str">
        <f>IFERROR(__xludf.DUMMYFUNCTION("IF(B5630="""","""",RIGHT(REGEXREPLACE(B5630&amp;"""",""[^0-9]"",""""),9))"),"775261516")</f>
        <v>775261516</v>
      </c>
      <c r="B5630" s="52">
        <v>7.75261516E8</v>
      </c>
      <c r="C5630" s="28" t="s">
        <v>5584</v>
      </c>
      <c r="D5630" s="26" t="s">
        <v>64</v>
      </c>
      <c r="E5630" s="31">
        <v>46238.0</v>
      </c>
      <c r="F5630" s="26" t="s">
        <v>46</v>
      </c>
      <c r="G5630" s="26">
        <v>9.0</v>
      </c>
      <c r="H5630" s="26" t="s">
        <v>5585</v>
      </c>
      <c r="I5630" s="26" t="s">
        <v>863</v>
      </c>
      <c r="J5630" s="25" t="str">
        <f t="shared" si="61"/>
        <v>No</v>
      </c>
      <c r="K5630" s="25" t="str">
        <f t="shared" si="62"/>
        <v/>
      </c>
      <c r="L5630" s="25" t="str">
        <f t="shared" si="63"/>
        <v/>
      </c>
      <c r="M5630" s="25"/>
      <c r="O5630" s="25"/>
    </row>
    <row r="5631" ht="15.75" customHeight="1">
      <c r="A5631" s="25" t="str">
        <f>IFERROR(__xludf.DUMMYFUNCTION("IF(B5631="""","""",RIGHT(REGEXREPLACE(B5631&amp;"""",""[^0-9]"",""""),9))"),"742746761")</f>
        <v>742746761</v>
      </c>
      <c r="B5631" s="52">
        <v>7.42746761E8</v>
      </c>
      <c r="C5631" s="28" t="s">
        <v>5586</v>
      </c>
      <c r="D5631" s="26" t="s">
        <v>49</v>
      </c>
      <c r="E5631" s="31">
        <v>46238.0</v>
      </c>
      <c r="F5631" s="26" t="s">
        <v>46</v>
      </c>
      <c r="G5631" s="26">
        <v>9.0</v>
      </c>
      <c r="H5631" s="26" t="s">
        <v>5587</v>
      </c>
      <c r="I5631" s="26" t="s">
        <v>863</v>
      </c>
      <c r="J5631" s="25" t="str">
        <f t="shared" si="61"/>
        <v>No</v>
      </c>
      <c r="K5631" s="25" t="str">
        <f t="shared" si="62"/>
        <v/>
      </c>
      <c r="L5631" s="25" t="str">
        <f t="shared" si="63"/>
        <v/>
      </c>
      <c r="M5631" s="25"/>
      <c r="O5631" s="26" t="s">
        <v>51</v>
      </c>
    </row>
    <row r="5632" ht="15.75" customHeight="1">
      <c r="A5632" s="25" t="str">
        <f>IFERROR(__xludf.DUMMYFUNCTION("IF(B5632="""","""",RIGHT(REGEXREPLACE(B5632&amp;"""",""[^0-9]"",""""),9))"),"764758923")</f>
        <v>764758923</v>
      </c>
      <c r="B5632" s="52">
        <v>7.64758923E8</v>
      </c>
      <c r="C5632" s="28" t="s">
        <v>5588</v>
      </c>
      <c r="D5632" s="26" t="s">
        <v>82</v>
      </c>
      <c r="E5632" s="31">
        <v>46238.0</v>
      </c>
      <c r="F5632" s="26" t="s">
        <v>46</v>
      </c>
      <c r="G5632" s="26">
        <v>10.0</v>
      </c>
      <c r="I5632" s="26" t="s">
        <v>863</v>
      </c>
      <c r="J5632" s="25" t="str">
        <f t="shared" si="61"/>
        <v>No</v>
      </c>
      <c r="K5632" s="25" t="str">
        <f t="shared" si="62"/>
        <v/>
      </c>
      <c r="L5632" s="25" t="str">
        <f t="shared" si="63"/>
        <v/>
      </c>
      <c r="M5632" s="25"/>
      <c r="O5632" s="25"/>
    </row>
    <row r="5633" ht="15.75" customHeight="1">
      <c r="A5633" s="25" t="str">
        <f>IFERROR(__xludf.DUMMYFUNCTION("IF(B5633="""","""",RIGHT(REGEXREPLACE(B5633&amp;"""",""[^0-9]"",""""),9))"),"763446721")</f>
        <v>763446721</v>
      </c>
      <c r="B5633" s="52">
        <v>7.63446721E8</v>
      </c>
      <c r="C5633" s="28" t="s">
        <v>5589</v>
      </c>
      <c r="D5633" s="26" t="s">
        <v>49</v>
      </c>
      <c r="E5633" s="31">
        <v>46238.0</v>
      </c>
      <c r="F5633" s="26" t="s">
        <v>46</v>
      </c>
      <c r="G5633" s="26">
        <v>7.0</v>
      </c>
      <c r="I5633" s="26" t="s">
        <v>863</v>
      </c>
      <c r="J5633" s="25" t="str">
        <f t="shared" si="61"/>
        <v>No</v>
      </c>
      <c r="K5633" s="25" t="str">
        <f t="shared" si="62"/>
        <v/>
      </c>
      <c r="L5633" s="25" t="str">
        <f t="shared" si="63"/>
        <v/>
      </c>
      <c r="M5633" s="25"/>
      <c r="O5633" s="25"/>
    </row>
    <row r="5634" ht="15.75" customHeight="1">
      <c r="A5634" s="25" t="str">
        <f>IFERROR(__xludf.DUMMYFUNCTION("IF(B5634="""","""",RIGHT(REGEXREPLACE(B5634&amp;"""",""[^0-9]"",""""),9))"),"762264665")</f>
        <v>762264665</v>
      </c>
      <c r="B5634" s="52">
        <v>7.62264665E8</v>
      </c>
      <c r="C5634" s="28" t="s">
        <v>5590</v>
      </c>
      <c r="D5634" s="26" t="s">
        <v>64</v>
      </c>
      <c r="E5634" s="31">
        <v>46238.0</v>
      </c>
      <c r="F5634" s="26" t="s">
        <v>41</v>
      </c>
      <c r="I5634" s="26" t="s">
        <v>863</v>
      </c>
      <c r="J5634" s="25" t="str">
        <f t="shared" si="61"/>
        <v>No</v>
      </c>
      <c r="K5634" s="25" t="str">
        <f t="shared" si="62"/>
        <v/>
      </c>
      <c r="L5634" s="25" t="str">
        <f t="shared" si="63"/>
        <v/>
      </c>
      <c r="M5634" s="25"/>
      <c r="O5634" s="25"/>
    </row>
    <row r="5635" ht="15.75" customHeight="1">
      <c r="A5635" s="25" t="str">
        <f>IFERROR(__xludf.DUMMYFUNCTION("IF(B5635="""","""",RIGHT(REGEXREPLACE(B5635&amp;"""",""[^0-9]"",""""),9))"),"713500744")</f>
        <v>713500744</v>
      </c>
      <c r="B5635" s="26">
        <v>7.13500744E8</v>
      </c>
      <c r="C5635" s="28" t="s">
        <v>5591</v>
      </c>
      <c r="D5635" s="26" t="s">
        <v>45</v>
      </c>
      <c r="E5635" s="31">
        <v>46238.0</v>
      </c>
      <c r="F5635" s="26" t="s">
        <v>46</v>
      </c>
      <c r="G5635" s="26">
        <v>10.0</v>
      </c>
      <c r="I5635" s="26" t="s">
        <v>863</v>
      </c>
      <c r="J5635" s="25" t="str">
        <f t="shared" si="61"/>
        <v>No</v>
      </c>
      <c r="K5635" s="25" t="str">
        <f t="shared" si="62"/>
        <v/>
      </c>
      <c r="L5635" s="25" t="str">
        <f t="shared" si="63"/>
        <v/>
      </c>
      <c r="M5635" s="25"/>
      <c r="O5635" s="25"/>
    </row>
    <row r="5636" ht="15.75" customHeight="1">
      <c r="A5636" s="25" t="str">
        <f>IFERROR(__xludf.DUMMYFUNCTION("IF(B5636="""","""",RIGHT(REGEXREPLACE(B5636&amp;"""",""[^0-9]"",""""),9))"),"711215402")</f>
        <v>711215402</v>
      </c>
      <c r="B5636" s="52">
        <v>7.11215402E8</v>
      </c>
      <c r="C5636" s="28" t="s">
        <v>5592</v>
      </c>
      <c r="D5636" s="26" t="s">
        <v>49</v>
      </c>
      <c r="E5636" s="31">
        <v>46238.0</v>
      </c>
      <c r="F5636" s="26" t="s">
        <v>41</v>
      </c>
      <c r="I5636" s="26" t="s">
        <v>863</v>
      </c>
      <c r="J5636" s="25" t="str">
        <f t="shared" si="61"/>
        <v>No</v>
      </c>
      <c r="K5636" s="25" t="str">
        <f t="shared" si="62"/>
        <v/>
      </c>
      <c r="L5636" s="25" t="str">
        <f t="shared" si="63"/>
        <v/>
      </c>
      <c r="M5636" s="25"/>
      <c r="O5636" s="25"/>
    </row>
    <row r="5637" ht="15.75" customHeight="1">
      <c r="A5637" s="25" t="str">
        <f>IFERROR(__xludf.DUMMYFUNCTION("IF(B5637="""","""",RIGHT(REGEXREPLACE(B5637&amp;"""",""[^0-9]"",""""),9))"),"760095485")</f>
        <v>760095485</v>
      </c>
      <c r="B5637" s="52">
        <v>7.60095485E8</v>
      </c>
      <c r="C5637" s="28" t="s">
        <v>4958</v>
      </c>
      <c r="D5637" s="26" t="s">
        <v>64</v>
      </c>
      <c r="E5637" s="31">
        <v>46238.0</v>
      </c>
      <c r="F5637" s="26" t="s">
        <v>46</v>
      </c>
      <c r="G5637" s="26">
        <v>7.0</v>
      </c>
      <c r="I5637" s="26" t="s">
        <v>863</v>
      </c>
      <c r="J5637" s="25" t="str">
        <f t="shared" si="61"/>
        <v>Yes - see Previous F-Code</v>
      </c>
      <c r="K5637" s="25" t="str">
        <f t="shared" si="62"/>
        <v>DUPLICATE - CHECK</v>
      </c>
      <c r="L5637" s="25" t="str">
        <f t="shared" si="63"/>
        <v>F74523</v>
      </c>
      <c r="M5637" s="25"/>
      <c r="O5637" s="26" t="s">
        <v>51</v>
      </c>
    </row>
    <row r="5638" ht="15.75" customHeight="1">
      <c r="A5638" s="25" t="str">
        <f>IFERROR(__xludf.DUMMYFUNCTION("IF(B5638="""","""",RIGHT(REGEXREPLACE(B5638&amp;"""",""[^0-9]"",""""),9))"),"714446711")</f>
        <v>714446711</v>
      </c>
      <c r="B5638" s="52">
        <v>7.14446711E8</v>
      </c>
      <c r="C5638" s="28" t="s">
        <v>5593</v>
      </c>
      <c r="D5638" s="26" t="s">
        <v>64</v>
      </c>
      <c r="E5638" s="31">
        <v>46238.0</v>
      </c>
      <c r="F5638" s="26" t="s">
        <v>41</v>
      </c>
      <c r="I5638" s="26" t="s">
        <v>863</v>
      </c>
      <c r="J5638" s="25" t="str">
        <f t="shared" si="61"/>
        <v>No</v>
      </c>
      <c r="K5638" s="25" t="str">
        <f t="shared" si="62"/>
        <v/>
      </c>
      <c r="L5638" s="25" t="str">
        <f t="shared" si="63"/>
        <v/>
      </c>
      <c r="M5638" s="25"/>
      <c r="O5638" s="25"/>
    </row>
    <row r="5639" ht="15.75" customHeight="1">
      <c r="A5639" s="25" t="str">
        <f>IFERROR(__xludf.DUMMYFUNCTION("IF(B5639="""","""",RIGHT(REGEXREPLACE(B5639&amp;"""",""[^0-9]"",""""),9))"),"760818127")</f>
        <v>760818127</v>
      </c>
      <c r="B5639" s="52">
        <v>7.60818127E8</v>
      </c>
      <c r="C5639" s="28" t="s">
        <v>5594</v>
      </c>
      <c r="D5639" s="26" t="s">
        <v>64</v>
      </c>
      <c r="E5639" s="31">
        <v>46238.0</v>
      </c>
      <c r="F5639" s="26" t="s">
        <v>46</v>
      </c>
      <c r="G5639" s="26">
        <v>6.0</v>
      </c>
      <c r="H5639" s="26" t="s">
        <v>5595</v>
      </c>
      <c r="I5639" s="26" t="s">
        <v>863</v>
      </c>
      <c r="J5639" s="25" t="str">
        <f t="shared" si="61"/>
        <v>No</v>
      </c>
      <c r="K5639" s="25" t="str">
        <f t="shared" si="62"/>
        <v/>
      </c>
      <c r="L5639" s="25" t="str">
        <f t="shared" si="63"/>
        <v/>
      </c>
      <c r="M5639" s="25"/>
      <c r="O5639" s="25"/>
    </row>
    <row r="5640" ht="15.75" customHeight="1">
      <c r="A5640" s="25" t="str">
        <f>IFERROR(__xludf.DUMMYFUNCTION("IF(B5640="""","""",RIGHT(REGEXREPLACE(B5640&amp;"""",""[^0-9]"",""""),9))"),"760959481")</f>
        <v>760959481</v>
      </c>
      <c r="B5640" s="52">
        <v>7.60959481E8</v>
      </c>
      <c r="C5640" s="28" t="s">
        <v>5594</v>
      </c>
      <c r="D5640" s="26" t="s">
        <v>82</v>
      </c>
      <c r="E5640" s="31">
        <v>46238.0</v>
      </c>
      <c r="F5640" s="26" t="s">
        <v>704</v>
      </c>
      <c r="G5640" s="26">
        <v>7.0</v>
      </c>
      <c r="I5640" s="26" t="s">
        <v>863</v>
      </c>
      <c r="J5640" s="25" t="str">
        <f t="shared" si="61"/>
        <v>No</v>
      </c>
      <c r="K5640" s="25" t="str">
        <f t="shared" si="62"/>
        <v/>
      </c>
      <c r="L5640" s="25" t="str">
        <f t="shared" si="63"/>
        <v/>
      </c>
      <c r="M5640" s="25"/>
      <c r="O5640" s="25"/>
    </row>
    <row r="5641" ht="15.75" customHeight="1">
      <c r="A5641" s="25" t="str">
        <f>IFERROR(__xludf.DUMMYFUNCTION("IF(B5641="""","""",RIGHT(REGEXREPLACE(B5641&amp;"""",""[^0-9]"",""""),9))"),"721021726")</f>
        <v>721021726</v>
      </c>
      <c r="B5641" s="52">
        <v>7.21021726E8</v>
      </c>
      <c r="C5641" s="28" t="s">
        <v>5596</v>
      </c>
      <c r="D5641" s="26" t="s">
        <v>82</v>
      </c>
      <c r="E5641" s="31">
        <v>46238.0</v>
      </c>
      <c r="F5641" s="26" t="s">
        <v>41</v>
      </c>
      <c r="G5641" s="26">
        <v>7.0</v>
      </c>
      <c r="I5641" s="26" t="s">
        <v>863</v>
      </c>
      <c r="J5641" s="25" t="str">
        <f t="shared" si="61"/>
        <v>No</v>
      </c>
      <c r="K5641" s="25" t="str">
        <f t="shared" si="62"/>
        <v/>
      </c>
      <c r="L5641" s="25" t="str">
        <f t="shared" si="63"/>
        <v/>
      </c>
      <c r="M5641" s="25"/>
      <c r="O5641" s="25"/>
    </row>
    <row r="5642" ht="15.75" customHeight="1">
      <c r="A5642" s="25" t="str">
        <f>IFERROR(__xludf.DUMMYFUNCTION("IF(B5642="""","""",RIGHT(REGEXREPLACE(B5642&amp;"""",""[^0-9]"",""""),9))"),"712008035")</f>
        <v>712008035</v>
      </c>
      <c r="B5642" s="52">
        <v>7.12008035E8</v>
      </c>
      <c r="C5642" s="28" t="s">
        <v>5597</v>
      </c>
      <c r="D5642" s="26" t="s">
        <v>49</v>
      </c>
      <c r="E5642" s="31">
        <v>46238.0</v>
      </c>
      <c r="F5642" s="26" t="s">
        <v>41</v>
      </c>
      <c r="G5642" s="26">
        <v>10.0</v>
      </c>
      <c r="I5642" s="26" t="s">
        <v>863</v>
      </c>
      <c r="J5642" s="25" t="str">
        <f t="shared" si="61"/>
        <v>No</v>
      </c>
      <c r="K5642" s="25" t="str">
        <f t="shared" si="62"/>
        <v/>
      </c>
      <c r="L5642" s="25" t="str">
        <f t="shared" si="63"/>
        <v/>
      </c>
      <c r="M5642" s="25"/>
      <c r="O5642" s="25"/>
    </row>
    <row r="5643" ht="15.75" customHeight="1">
      <c r="A5643" s="25" t="str">
        <f>IFERROR(__xludf.DUMMYFUNCTION("IF(B5643="""","""",RIGHT(REGEXREPLACE(B5643&amp;"""",""[^0-9]"",""""),9))"),"769297507")</f>
        <v>769297507</v>
      </c>
      <c r="B5643" s="52">
        <v>7.69297507E8</v>
      </c>
      <c r="C5643" s="28" t="s">
        <v>5598</v>
      </c>
      <c r="D5643" s="26" t="s">
        <v>82</v>
      </c>
      <c r="E5643" s="31">
        <v>46238.0</v>
      </c>
      <c r="F5643" s="26" t="s">
        <v>46</v>
      </c>
      <c r="G5643" s="26">
        <v>10.0</v>
      </c>
      <c r="I5643" s="26" t="s">
        <v>863</v>
      </c>
      <c r="J5643" s="25" t="str">
        <f t="shared" si="61"/>
        <v>No</v>
      </c>
      <c r="K5643" s="25" t="str">
        <f t="shared" si="62"/>
        <v/>
      </c>
      <c r="L5643" s="25" t="str">
        <f t="shared" si="63"/>
        <v/>
      </c>
      <c r="M5643" s="25"/>
      <c r="O5643" s="25"/>
    </row>
    <row r="5644" ht="15.75" customHeight="1">
      <c r="A5644" s="25" t="str">
        <f>IFERROR(__xludf.DUMMYFUNCTION("IF(B5644="""","""",RIGHT(REGEXREPLACE(B5644&amp;"""",""[^0-9]"",""""),9))"),"760064965")</f>
        <v>760064965</v>
      </c>
      <c r="B5644" s="52">
        <v>7.60064965E8</v>
      </c>
      <c r="C5644" s="28" t="s">
        <v>5599</v>
      </c>
      <c r="D5644" s="26" t="s">
        <v>64</v>
      </c>
      <c r="E5644" s="31">
        <v>46238.0</v>
      </c>
      <c r="F5644" s="26" t="s">
        <v>167</v>
      </c>
      <c r="G5644" s="26">
        <v>10.0</v>
      </c>
      <c r="I5644" s="26" t="s">
        <v>863</v>
      </c>
      <c r="J5644" s="25" t="str">
        <f t="shared" si="61"/>
        <v>No</v>
      </c>
      <c r="K5644" s="25" t="str">
        <f t="shared" si="62"/>
        <v/>
      </c>
      <c r="L5644" s="25" t="str">
        <f t="shared" si="63"/>
        <v/>
      </c>
      <c r="M5644" s="25"/>
      <c r="O5644" s="25"/>
    </row>
    <row r="5645" ht="15.75" customHeight="1">
      <c r="A5645" s="25" t="str">
        <f>IFERROR(__xludf.DUMMYFUNCTION("IF(B5645="""","""",RIGHT(REGEXREPLACE(B5645&amp;"""",""[^0-9]"",""""),9))"),"773656673")</f>
        <v>773656673</v>
      </c>
      <c r="B5645" s="52">
        <v>7.73656673E8</v>
      </c>
      <c r="C5645" s="28" t="s">
        <v>5600</v>
      </c>
      <c r="D5645" s="26" t="s">
        <v>49</v>
      </c>
      <c r="E5645" s="31">
        <v>46238.0</v>
      </c>
      <c r="F5645" s="26" t="s">
        <v>41</v>
      </c>
      <c r="G5645" s="26">
        <v>11.0</v>
      </c>
      <c r="I5645" s="26" t="s">
        <v>863</v>
      </c>
      <c r="J5645" s="25" t="str">
        <f t="shared" si="61"/>
        <v>No</v>
      </c>
      <c r="K5645" s="25" t="str">
        <f t="shared" si="62"/>
        <v/>
      </c>
      <c r="L5645" s="25" t="str">
        <f t="shared" si="63"/>
        <v/>
      </c>
      <c r="M5645" s="25"/>
      <c r="O5645" s="25"/>
    </row>
    <row r="5646" ht="15.75" customHeight="1">
      <c r="A5646" s="25" t="str">
        <f>IFERROR(__xludf.DUMMYFUNCTION("IF(B5646="""","""",RIGHT(REGEXREPLACE(B5646&amp;"""",""[^0-9]"",""""),9))"),"760653744")</f>
        <v>760653744</v>
      </c>
      <c r="B5646" s="52">
        <v>7.60653744E8</v>
      </c>
      <c r="C5646" s="28" t="s">
        <v>5601</v>
      </c>
      <c r="D5646" s="26" t="s">
        <v>82</v>
      </c>
      <c r="E5646" s="31">
        <v>46238.0</v>
      </c>
      <c r="F5646" s="26" t="s">
        <v>41</v>
      </c>
      <c r="G5646" s="26">
        <v>8.0</v>
      </c>
      <c r="I5646" s="26" t="s">
        <v>863</v>
      </c>
      <c r="J5646" s="25" t="str">
        <f t="shared" si="61"/>
        <v>No</v>
      </c>
      <c r="K5646" s="25" t="str">
        <f t="shared" si="62"/>
        <v/>
      </c>
      <c r="L5646" s="25" t="str">
        <f t="shared" si="63"/>
        <v/>
      </c>
      <c r="M5646" s="25"/>
      <c r="O5646" s="25"/>
    </row>
    <row r="5647" ht="15.75" customHeight="1">
      <c r="A5647" s="25" t="str">
        <f>IFERROR(__xludf.DUMMYFUNCTION("IF(B5647="""","""",RIGHT(REGEXREPLACE(B5647&amp;"""",""[^0-9]"",""""),9))"),"761978365")</f>
        <v>761978365</v>
      </c>
      <c r="B5647" s="52">
        <v>7.61978365E8</v>
      </c>
      <c r="C5647" s="28" t="s">
        <v>5602</v>
      </c>
      <c r="D5647" s="26" t="s">
        <v>64</v>
      </c>
      <c r="E5647" s="31">
        <v>46238.0</v>
      </c>
      <c r="F5647" s="26" t="s">
        <v>41</v>
      </c>
      <c r="G5647" s="26">
        <v>7.0</v>
      </c>
      <c r="I5647" s="26" t="s">
        <v>863</v>
      </c>
      <c r="J5647" s="25" t="str">
        <f t="shared" si="61"/>
        <v>No</v>
      </c>
      <c r="K5647" s="25" t="str">
        <f t="shared" si="62"/>
        <v/>
      </c>
      <c r="L5647" s="25" t="str">
        <f t="shared" si="63"/>
        <v/>
      </c>
      <c r="M5647" s="25"/>
      <c r="O5647" s="25"/>
    </row>
    <row r="5648" ht="15.75" customHeight="1">
      <c r="A5648" s="25" t="str">
        <f>IFERROR(__xludf.DUMMYFUNCTION("IF(B5648="""","""",RIGHT(REGEXREPLACE(B5648&amp;"""",""[^0-9]"",""""),9))"),"764474627")</f>
        <v>764474627</v>
      </c>
      <c r="B5648" s="52">
        <v>7.64474627E8</v>
      </c>
      <c r="C5648" s="28" t="s">
        <v>5603</v>
      </c>
      <c r="D5648" s="26" t="s">
        <v>49</v>
      </c>
      <c r="E5648" s="31">
        <v>46238.0</v>
      </c>
      <c r="F5648" s="26" t="s">
        <v>46</v>
      </c>
      <c r="G5648" s="26">
        <v>7.0</v>
      </c>
      <c r="I5648" s="26" t="s">
        <v>863</v>
      </c>
      <c r="J5648" s="25" t="str">
        <f t="shared" si="61"/>
        <v>No</v>
      </c>
      <c r="K5648" s="25" t="str">
        <f t="shared" si="62"/>
        <v/>
      </c>
      <c r="L5648" s="25" t="str">
        <f t="shared" si="63"/>
        <v/>
      </c>
      <c r="M5648" s="25"/>
      <c r="O5648" s="25"/>
    </row>
    <row r="5649" ht="15.75" customHeight="1">
      <c r="A5649" s="25" t="str">
        <f>IFERROR(__xludf.DUMMYFUNCTION("IF(B5649="""","""",RIGHT(REGEXREPLACE(B5649&amp;"""",""[^0-9]"",""""),9))"),"762264665")</f>
        <v>762264665</v>
      </c>
      <c r="B5649" s="52">
        <v>7.62264665E8</v>
      </c>
      <c r="C5649" s="28" t="s">
        <v>5590</v>
      </c>
      <c r="D5649" s="26" t="s">
        <v>82</v>
      </c>
      <c r="E5649" s="31">
        <v>46238.0</v>
      </c>
      <c r="F5649" s="26" t="s">
        <v>41</v>
      </c>
      <c r="G5649" s="26">
        <v>6.0</v>
      </c>
      <c r="I5649" s="26" t="s">
        <v>863</v>
      </c>
      <c r="J5649" s="25" t="str">
        <f t="shared" si="61"/>
        <v>Yes - see Previous F-Code</v>
      </c>
      <c r="K5649" s="25" t="str">
        <f t="shared" si="62"/>
        <v>DUPLICATE - CHECK</v>
      </c>
      <c r="L5649" s="25" t="str">
        <f t="shared" si="63"/>
        <v>F75064</v>
      </c>
      <c r="M5649" s="25"/>
      <c r="O5649" s="25"/>
    </row>
    <row r="5650" ht="15.75" customHeight="1">
      <c r="A5650" s="25" t="str">
        <f>IFERROR(__xludf.DUMMYFUNCTION("IF(B5650="""","""",RIGHT(REGEXREPLACE(B5650&amp;"""",""[^0-9]"",""""),9))"),"774697109")</f>
        <v>774697109</v>
      </c>
      <c r="B5650" s="52">
        <v>7.74697109E8</v>
      </c>
      <c r="C5650" s="28" t="s">
        <v>5604</v>
      </c>
      <c r="D5650" s="26" t="s">
        <v>82</v>
      </c>
      <c r="E5650" s="31">
        <v>46238.0</v>
      </c>
      <c r="F5650" s="26" t="s">
        <v>41</v>
      </c>
      <c r="G5650" s="26">
        <v>7.0</v>
      </c>
      <c r="I5650" s="26" t="s">
        <v>863</v>
      </c>
      <c r="J5650" s="25" t="str">
        <f t="shared" si="61"/>
        <v>No</v>
      </c>
      <c r="K5650" s="25" t="str">
        <f t="shared" si="62"/>
        <v/>
      </c>
      <c r="L5650" s="25" t="str">
        <f t="shared" si="63"/>
        <v/>
      </c>
      <c r="M5650" s="25"/>
      <c r="O5650" s="25"/>
    </row>
    <row r="5651" ht="15.75" customHeight="1">
      <c r="A5651" s="25" t="str">
        <f>IFERROR(__xludf.DUMMYFUNCTION("IF(B5651="""","""",RIGHT(REGEXREPLACE(B5651&amp;"""",""[^0-9]"",""""),9))"),"740390098")</f>
        <v>740390098</v>
      </c>
      <c r="B5651" s="52">
        <v>7.40390098E8</v>
      </c>
      <c r="C5651" s="28" t="s">
        <v>5605</v>
      </c>
      <c r="D5651" s="26" t="s">
        <v>64</v>
      </c>
      <c r="E5651" s="31">
        <v>46238.0</v>
      </c>
      <c r="F5651" s="26" t="s">
        <v>46</v>
      </c>
      <c r="G5651" s="26">
        <v>11.0</v>
      </c>
      <c r="H5651" s="26" t="s">
        <v>5606</v>
      </c>
      <c r="I5651" s="26" t="s">
        <v>863</v>
      </c>
      <c r="J5651" s="25" t="str">
        <f t="shared" si="61"/>
        <v>No</v>
      </c>
      <c r="K5651" s="25" t="str">
        <f t="shared" si="62"/>
        <v/>
      </c>
      <c r="L5651" s="25" t="str">
        <f t="shared" si="63"/>
        <v/>
      </c>
      <c r="M5651" s="25"/>
      <c r="O5651" s="25"/>
    </row>
    <row r="5652" ht="15.75" customHeight="1">
      <c r="A5652" s="25" t="str">
        <f>IFERROR(__xludf.DUMMYFUNCTION("IF(B5652="""","""",RIGHT(REGEXREPLACE(B5652&amp;"""",""[^0-9]"",""""),9))"),"788358296")</f>
        <v>788358296</v>
      </c>
      <c r="B5652" s="52">
        <v>7.88358296E8</v>
      </c>
      <c r="C5652" s="28" t="s">
        <v>5607</v>
      </c>
      <c r="D5652" s="26" t="s">
        <v>49</v>
      </c>
      <c r="E5652" s="31">
        <v>46238.0</v>
      </c>
      <c r="F5652" s="26" t="s">
        <v>46</v>
      </c>
      <c r="G5652" s="26">
        <v>7.0</v>
      </c>
      <c r="H5652" s="26" t="s">
        <v>5608</v>
      </c>
      <c r="I5652" s="26" t="s">
        <v>863</v>
      </c>
      <c r="J5652" s="25" t="str">
        <f t="shared" si="61"/>
        <v>No</v>
      </c>
      <c r="K5652" s="25" t="str">
        <f t="shared" si="62"/>
        <v/>
      </c>
      <c r="L5652" s="25" t="str">
        <f t="shared" si="63"/>
        <v/>
      </c>
      <c r="M5652" s="25"/>
      <c r="O5652" s="25"/>
    </row>
    <row r="5653" ht="15.75" customHeight="1">
      <c r="A5653" s="25" t="str">
        <f>IFERROR(__xludf.DUMMYFUNCTION("IF(B5653="""","""",RIGHT(REGEXREPLACE(B5653&amp;"""",""[^0-9]"",""""),9))"),"713592899")</f>
        <v>713592899</v>
      </c>
      <c r="B5653" s="52">
        <v>7.13592899E8</v>
      </c>
      <c r="C5653" s="28" t="s">
        <v>5609</v>
      </c>
      <c r="D5653" s="26" t="s">
        <v>82</v>
      </c>
      <c r="E5653" s="31">
        <v>46238.0</v>
      </c>
      <c r="F5653" s="26" t="s">
        <v>46</v>
      </c>
      <c r="G5653" s="26">
        <v>9.0</v>
      </c>
      <c r="I5653" s="26" t="s">
        <v>863</v>
      </c>
      <c r="J5653" s="25" t="str">
        <f t="shared" si="61"/>
        <v>No</v>
      </c>
      <c r="K5653" s="25" t="str">
        <f t="shared" si="62"/>
        <v/>
      </c>
      <c r="L5653" s="25" t="str">
        <f t="shared" si="63"/>
        <v/>
      </c>
      <c r="M5653" s="25"/>
      <c r="O5653" s="26" t="s">
        <v>51</v>
      </c>
    </row>
    <row r="5654" ht="15.75" customHeight="1">
      <c r="A5654" s="25" t="str">
        <f>IFERROR(__xludf.DUMMYFUNCTION("IF(B5654="""","""",RIGHT(REGEXREPLACE(B5654&amp;"""",""[^0-9]"",""""),9))"),"772060182")</f>
        <v>772060182</v>
      </c>
      <c r="B5654" s="52">
        <v>7.72060182E8</v>
      </c>
      <c r="C5654" s="28" t="s">
        <v>5610</v>
      </c>
      <c r="D5654" s="26" t="s">
        <v>64</v>
      </c>
      <c r="E5654" s="31">
        <v>46238.0</v>
      </c>
      <c r="F5654" s="26" t="s">
        <v>41</v>
      </c>
      <c r="I5654" s="26" t="s">
        <v>863</v>
      </c>
      <c r="J5654" s="25" t="str">
        <f t="shared" si="61"/>
        <v>No</v>
      </c>
      <c r="K5654" s="25" t="str">
        <f t="shared" si="62"/>
        <v/>
      </c>
      <c r="L5654" s="25" t="str">
        <f t="shared" si="63"/>
        <v/>
      </c>
      <c r="M5654" s="25"/>
      <c r="O5654" s="25"/>
    </row>
    <row r="5655" ht="15.75" customHeight="1">
      <c r="A5655" s="25" t="str">
        <f>IFERROR(__xludf.DUMMYFUNCTION("IF(B5655="""","""",RIGHT(REGEXREPLACE(B5655&amp;"""",""[^0-9]"",""""),9))"),"760914417")</f>
        <v>760914417</v>
      </c>
      <c r="B5655" s="52">
        <v>7.60914417E8</v>
      </c>
      <c r="C5655" s="28" t="s">
        <v>5611</v>
      </c>
      <c r="D5655" s="26" t="s">
        <v>64</v>
      </c>
      <c r="E5655" s="31">
        <v>46238.0</v>
      </c>
      <c r="F5655" s="25"/>
      <c r="G5655" s="26">
        <v>7.0</v>
      </c>
      <c r="H5655" s="26" t="s">
        <v>5612</v>
      </c>
      <c r="I5655" s="26" t="s">
        <v>863</v>
      </c>
      <c r="J5655" s="25" t="str">
        <f t="shared" si="61"/>
        <v>No</v>
      </c>
      <c r="K5655" s="25" t="str">
        <f t="shared" si="62"/>
        <v/>
      </c>
      <c r="L5655" s="25" t="str">
        <f t="shared" si="63"/>
        <v/>
      </c>
      <c r="M5655" s="25"/>
      <c r="N5655" s="25"/>
      <c r="O5655" s="25"/>
      <c r="P5655" s="25"/>
    </row>
    <row r="5656" ht="15.75" customHeight="1">
      <c r="A5656" s="25" t="str">
        <f>IFERROR(__xludf.DUMMYFUNCTION("IF(B5656="""","""",RIGHT(REGEXREPLACE(B5656&amp;"""",""[^0-9]"",""""),9))"),"777864569")</f>
        <v>777864569</v>
      </c>
      <c r="B5656" s="52">
        <v>7.77864569E8</v>
      </c>
      <c r="C5656" s="28" t="s">
        <v>5613</v>
      </c>
      <c r="D5656" s="26" t="s">
        <v>49</v>
      </c>
      <c r="E5656" s="31">
        <v>46238.0</v>
      </c>
      <c r="F5656" s="26" t="s">
        <v>41</v>
      </c>
      <c r="I5656" s="26" t="s">
        <v>863</v>
      </c>
      <c r="J5656" s="25" t="str">
        <f t="shared" si="61"/>
        <v>No</v>
      </c>
      <c r="K5656" s="25" t="str">
        <f t="shared" si="62"/>
        <v/>
      </c>
      <c r="L5656" s="25" t="str">
        <f t="shared" si="63"/>
        <v/>
      </c>
      <c r="M5656" s="25"/>
      <c r="O5656" s="25"/>
    </row>
    <row r="5657" ht="15.75" customHeight="1">
      <c r="A5657" s="25" t="str">
        <f>IFERROR(__xludf.DUMMYFUNCTION("IF(B5657="""","""",RIGHT(REGEXREPLACE(B5657&amp;"""",""[^0-9]"",""""),9))"),"743316203")</f>
        <v>743316203</v>
      </c>
      <c r="B5657" s="52">
        <v>7.43316203E8</v>
      </c>
      <c r="C5657" s="28" t="s">
        <v>5614</v>
      </c>
      <c r="D5657" s="26" t="s">
        <v>82</v>
      </c>
      <c r="E5657" s="31">
        <v>46238.0</v>
      </c>
      <c r="F5657" s="26" t="s">
        <v>46</v>
      </c>
      <c r="G5657" s="26">
        <v>6.0</v>
      </c>
      <c r="H5657" s="26" t="s">
        <v>96</v>
      </c>
      <c r="I5657" s="26" t="s">
        <v>863</v>
      </c>
      <c r="J5657" s="25" t="str">
        <f t="shared" si="61"/>
        <v>No</v>
      </c>
      <c r="K5657" s="25" t="str">
        <f t="shared" si="62"/>
        <v/>
      </c>
      <c r="L5657" s="25" t="str">
        <f t="shared" si="63"/>
        <v/>
      </c>
      <c r="M5657" s="25"/>
      <c r="O5657" s="25"/>
    </row>
    <row r="5658" ht="15.75" customHeight="1">
      <c r="A5658" s="25" t="str">
        <f>IFERROR(__xludf.DUMMYFUNCTION("IF(B5658="""","""",RIGHT(REGEXREPLACE(B5658&amp;"""",""[^0-9]"",""""),9))"),"764143306")</f>
        <v>764143306</v>
      </c>
      <c r="B5658" s="52">
        <v>7.64143306E8</v>
      </c>
      <c r="C5658" s="28" t="s">
        <v>5615</v>
      </c>
      <c r="D5658" s="26" t="s">
        <v>49</v>
      </c>
      <c r="E5658" s="31">
        <v>46238.0</v>
      </c>
      <c r="F5658" s="26" t="s">
        <v>46</v>
      </c>
      <c r="G5658" s="26">
        <v>6.0</v>
      </c>
      <c r="I5658" s="26" t="s">
        <v>863</v>
      </c>
      <c r="J5658" s="25" t="str">
        <f t="shared" si="61"/>
        <v>No</v>
      </c>
      <c r="K5658" s="25" t="str">
        <f t="shared" si="62"/>
        <v/>
      </c>
      <c r="L5658" s="25" t="str">
        <f t="shared" si="63"/>
        <v/>
      </c>
      <c r="M5658" s="25"/>
      <c r="O5658" s="25"/>
    </row>
    <row r="5659" ht="15.75" customHeight="1">
      <c r="A5659" s="25" t="str">
        <f>IFERROR(__xludf.DUMMYFUNCTION("IF(B5659="""","""",RIGHT(REGEXREPLACE(B5659&amp;"""",""[^0-9]"",""""),9))"),"702299919")</f>
        <v>702299919</v>
      </c>
      <c r="B5659" s="52">
        <v>4.702299919E9</v>
      </c>
      <c r="C5659" s="28" t="s">
        <v>5616</v>
      </c>
      <c r="D5659" s="26" t="s">
        <v>64</v>
      </c>
      <c r="E5659" s="31">
        <v>46238.0</v>
      </c>
      <c r="F5659" s="26" t="s">
        <v>46</v>
      </c>
      <c r="G5659" s="26">
        <v>7.0</v>
      </c>
      <c r="I5659" s="26" t="s">
        <v>863</v>
      </c>
      <c r="J5659" s="25" t="str">
        <f t="shared" si="61"/>
        <v>No</v>
      </c>
      <c r="K5659" s="25" t="str">
        <f t="shared" si="62"/>
        <v/>
      </c>
      <c r="L5659" s="25" t="str">
        <f t="shared" si="63"/>
        <v/>
      </c>
      <c r="M5659" s="25"/>
      <c r="O5659" s="26" t="s">
        <v>51</v>
      </c>
    </row>
    <row r="5660" ht="15.75" customHeight="1">
      <c r="A5660" s="25" t="str">
        <f>IFERROR(__xludf.DUMMYFUNCTION("IF(B5660="""","""",RIGHT(REGEXREPLACE(B5660&amp;"""",""[^0-9]"",""""),9))"),"763195884")</f>
        <v>763195884</v>
      </c>
      <c r="B5660" s="52">
        <v>7.63195884E8</v>
      </c>
      <c r="C5660" s="28" t="s">
        <v>5617</v>
      </c>
      <c r="D5660" s="26" t="s">
        <v>82</v>
      </c>
      <c r="E5660" s="31">
        <v>46238.0</v>
      </c>
      <c r="F5660" s="26" t="s">
        <v>46</v>
      </c>
      <c r="G5660" s="26">
        <v>10.0</v>
      </c>
      <c r="H5660" s="26" t="s">
        <v>5618</v>
      </c>
      <c r="I5660" s="26" t="s">
        <v>863</v>
      </c>
      <c r="J5660" s="25" t="str">
        <f t="shared" si="61"/>
        <v>No</v>
      </c>
      <c r="K5660" s="25" t="str">
        <f t="shared" si="62"/>
        <v/>
      </c>
      <c r="L5660" s="25" t="str">
        <f t="shared" si="63"/>
        <v/>
      </c>
      <c r="M5660" s="25"/>
      <c r="O5660" s="25"/>
    </row>
    <row r="5661" ht="15.75" customHeight="1">
      <c r="A5661" s="25" t="str">
        <f>IFERROR(__xludf.DUMMYFUNCTION("IF(B5661="""","""",RIGHT(REGEXREPLACE(B5661&amp;"""",""[^0-9]"",""""),9))"),"761345088")</f>
        <v>761345088</v>
      </c>
      <c r="B5661" s="52">
        <v>7.61345088E8</v>
      </c>
      <c r="C5661" s="28" t="s">
        <v>5619</v>
      </c>
      <c r="D5661" s="26" t="s">
        <v>49</v>
      </c>
      <c r="E5661" s="31">
        <v>46238.0</v>
      </c>
      <c r="F5661" s="26" t="s">
        <v>46</v>
      </c>
      <c r="G5661" s="26">
        <v>7.0</v>
      </c>
      <c r="I5661" s="26" t="s">
        <v>863</v>
      </c>
      <c r="J5661" s="25" t="str">
        <f t="shared" si="61"/>
        <v>No</v>
      </c>
      <c r="K5661" s="25" t="str">
        <f t="shared" si="62"/>
        <v/>
      </c>
      <c r="L5661" s="25" t="str">
        <f t="shared" si="63"/>
        <v/>
      </c>
      <c r="M5661" s="25"/>
      <c r="O5661" s="25"/>
    </row>
    <row r="5662" ht="15.75" customHeight="1">
      <c r="A5662" s="25" t="str">
        <f>IFERROR(__xludf.DUMMYFUNCTION("IF(B5662="""","""",RIGHT(REGEXREPLACE(B5662&amp;"""",""[^0-9]"",""""),9))"),"741945557")</f>
        <v>741945557</v>
      </c>
      <c r="B5662" s="52">
        <v>7.41945557E8</v>
      </c>
      <c r="C5662" s="28" t="s">
        <v>5620</v>
      </c>
      <c r="D5662" s="26" t="s">
        <v>64</v>
      </c>
      <c r="E5662" s="31">
        <v>46238.0</v>
      </c>
      <c r="F5662" s="26" t="s">
        <v>46</v>
      </c>
      <c r="G5662" s="26">
        <v>10.0</v>
      </c>
      <c r="I5662" s="26" t="s">
        <v>863</v>
      </c>
      <c r="J5662" s="25" t="str">
        <f t="shared" si="61"/>
        <v>No</v>
      </c>
      <c r="K5662" s="25" t="str">
        <f t="shared" si="62"/>
        <v/>
      </c>
      <c r="L5662" s="25" t="str">
        <f t="shared" si="63"/>
        <v/>
      </c>
      <c r="M5662" s="25"/>
      <c r="O5662" s="25"/>
    </row>
    <row r="5663" ht="15.75" customHeight="1">
      <c r="A5663" s="25" t="str">
        <f>IFERROR(__xludf.DUMMYFUNCTION("IF(B5663="""","""",RIGHT(REGEXREPLACE(B5663&amp;"""",""[^0-9]"",""""),9))"),"779849768")</f>
        <v>779849768</v>
      </c>
      <c r="B5663" s="52">
        <v>7.79849768E8</v>
      </c>
      <c r="C5663" s="28" t="s">
        <v>5621</v>
      </c>
      <c r="D5663" s="26" t="s">
        <v>82</v>
      </c>
      <c r="E5663" s="31">
        <v>46238.0</v>
      </c>
      <c r="F5663" s="26" t="s">
        <v>41</v>
      </c>
      <c r="G5663" s="26">
        <v>7.0</v>
      </c>
      <c r="I5663" s="26" t="s">
        <v>863</v>
      </c>
      <c r="J5663" s="25" t="str">
        <f t="shared" si="61"/>
        <v>No</v>
      </c>
      <c r="K5663" s="25" t="str">
        <f t="shared" si="62"/>
        <v/>
      </c>
      <c r="L5663" s="25" t="str">
        <f t="shared" si="63"/>
        <v/>
      </c>
      <c r="M5663" s="25"/>
      <c r="O5663" s="25"/>
    </row>
    <row r="5664" ht="15.75" customHeight="1">
      <c r="A5664" s="25" t="str">
        <f>IFERROR(__xludf.DUMMYFUNCTION("IF(B5664="""","""",RIGHT(REGEXREPLACE(B5664&amp;"""",""[^0-9]"",""""),9))"),"712671130")</f>
        <v>712671130</v>
      </c>
      <c r="B5664" s="52">
        <v>7.1267113E8</v>
      </c>
      <c r="C5664" s="28" t="s">
        <v>5622</v>
      </c>
      <c r="D5664" s="26" t="s">
        <v>64</v>
      </c>
      <c r="E5664" s="31">
        <v>46238.0</v>
      </c>
      <c r="F5664" s="26" t="s">
        <v>205</v>
      </c>
      <c r="G5664" s="26">
        <v>7.0</v>
      </c>
      <c r="I5664" s="26" t="s">
        <v>863</v>
      </c>
      <c r="J5664" s="25" t="str">
        <f t="shared" si="61"/>
        <v>No</v>
      </c>
      <c r="K5664" s="25" t="str">
        <f t="shared" si="62"/>
        <v/>
      </c>
      <c r="L5664" s="25" t="str">
        <f t="shared" si="63"/>
        <v/>
      </c>
      <c r="M5664" s="25"/>
      <c r="O5664" s="25"/>
    </row>
    <row r="5665" ht="15.75" customHeight="1">
      <c r="A5665" s="25" t="str">
        <f>IFERROR(__xludf.DUMMYFUNCTION("IF(B5665="""","""",RIGHT(REGEXREPLACE(B5665&amp;"""",""[^0-9]"",""""),9))"),"758674072")</f>
        <v>758674072</v>
      </c>
      <c r="B5665" s="52">
        <v>7.58674072E8</v>
      </c>
      <c r="C5665" s="28" t="s">
        <v>5623</v>
      </c>
      <c r="D5665" s="26" t="s">
        <v>64</v>
      </c>
      <c r="E5665" s="31">
        <v>46238.0</v>
      </c>
      <c r="F5665" s="26" t="s">
        <v>46</v>
      </c>
      <c r="G5665" s="26">
        <v>8.0</v>
      </c>
      <c r="I5665" s="26" t="s">
        <v>863</v>
      </c>
      <c r="J5665" s="25" t="str">
        <f t="shared" si="61"/>
        <v>No</v>
      </c>
      <c r="K5665" s="25" t="str">
        <f t="shared" si="62"/>
        <v/>
      </c>
      <c r="L5665" s="25" t="str">
        <f t="shared" si="63"/>
        <v/>
      </c>
      <c r="M5665" s="25"/>
      <c r="O5665" s="25"/>
    </row>
    <row r="5666" ht="15.75" customHeight="1">
      <c r="A5666" s="25" t="str">
        <f>IFERROR(__xludf.DUMMYFUNCTION("IF(B5666="""","""",RIGHT(REGEXREPLACE(B5666&amp;"""",""[^0-9]"",""""),9))"),"775077589")</f>
        <v>775077589</v>
      </c>
      <c r="B5666" s="52">
        <v>7.75077589E8</v>
      </c>
      <c r="C5666" s="28" t="s">
        <v>5624</v>
      </c>
      <c r="D5666" s="26" t="s">
        <v>64</v>
      </c>
      <c r="E5666" s="31">
        <v>46238.0</v>
      </c>
      <c r="F5666" s="26" t="s">
        <v>205</v>
      </c>
      <c r="G5666" s="26">
        <v>7.0</v>
      </c>
      <c r="I5666" s="26" t="s">
        <v>863</v>
      </c>
      <c r="J5666" s="25" t="str">
        <f t="shared" si="61"/>
        <v>No</v>
      </c>
      <c r="K5666" s="25" t="str">
        <f t="shared" si="62"/>
        <v/>
      </c>
      <c r="L5666" s="25" t="str">
        <f t="shared" si="63"/>
        <v/>
      </c>
      <c r="M5666" s="25"/>
      <c r="O5666" s="25"/>
    </row>
    <row r="5667" ht="15.75" customHeight="1">
      <c r="A5667" s="25" t="str">
        <f>IFERROR(__xludf.DUMMYFUNCTION("IF(B5667="""","""",RIGHT(REGEXREPLACE(B5667&amp;"""",""[^0-9]"",""""),9))"),"766321349")</f>
        <v>766321349</v>
      </c>
      <c r="B5667" s="52">
        <v>7.66321349E8</v>
      </c>
      <c r="C5667" s="28" t="s">
        <v>1897</v>
      </c>
      <c r="D5667" s="26" t="s">
        <v>64</v>
      </c>
      <c r="E5667" s="31">
        <v>46238.0</v>
      </c>
      <c r="F5667" s="26" t="s">
        <v>205</v>
      </c>
      <c r="I5667" s="26" t="s">
        <v>863</v>
      </c>
      <c r="J5667" s="25" t="str">
        <f t="shared" si="61"/>
        <v>Yes - see Previous F-Code</v>
      </c>
      <c r="K5667" s="25" t="str">
        <f t="shared" si="62"/>
        <v/>
      </c>
      <c r="L5667" s="25" t="str">
        <f t="shared" si="63"/>
        <v>F71603</v>
      </c>
      <c r="M5667" s="25"/>
      <c r="O5667" s="25"/>
    </row>
    <row r="5668" ht="15.75" customHeight="1">
      <c r="A5668" s="25" t="str">
        <f>IFERROR(__xludf.DUMMYFUNCTION("IF(B5668="""","""",RIGHT(REGEXREPLACE(B5668&amp;"""",""[^0-9]"",""""),9))"),"775124434")</f>
        <v>775124434</v>
      </c>
      <c r="B5668" s="52">
        <v>7.75124434E8</v>
      </c>
      <c r="C5668" s="28" t="s">
        <v>5625</v>
      </c>
      <c r="D5668" s="26" t="s">
        <v>64</v>
      </c>
      <c r="E5668" s="31">
        <v>46238.0</v>
      </c>
      <c r="F5668" s="26" t="s">
        <v>41</v>
      </c>
      <c r="I5668" s="26" t="s">
        <v>883</v>
      </c>
      <c r="J5668" s="25" t="str">
        <f t="shared" si="61"/>
        <v>No</v>
      </c>
      <c r="K5668" s="25" t="str">
        <f t="shared" si="62"/>
        <v/>
      </c>
      <c r="L5668" s="25" t="str">
        <f t="shared" si="63"/>
        <v/>
      </c>
      <c r="M5668" s="25"/>
      <c r="O5668" s="25"/>
    </row>
    <row r="5669" ht="15.75" customHeight="1">
      <c r="A5669" s="25" t="str">
        <f>IFERROR(__xludf.DUMMYFUNCTION("IF(B5669="""","""",RIGHT(REGEXREPLACE(B5669&amp;"""",""[^0-9]"",""""),9))"),"714432429")</f>
        <v>714432429</v>
      </c>
      <c r="B5669" s="52">
        <v>7.14432429E8</v>
      </c>
      <c r="C5669" s="28" t="s">
        <v>5626</v>
      </c>
      <c r="D5669" s="26" t="s">
        <v>64</v>
      </c>
      <c r="E5669" s="31">
        <v>46238.0</v>
      </c>
      <c r="F5669" s="26" t="s">
        <v>46</v>
      </c>
      <c r="G5669" s="26">
        <v>8.0</v>
      </c>
      <c r="H5669" s="26" t="s">
        <v>763</v>
      </c>
      <c r="I5669" s="26" t="s">
        <v>883</v>
      </c>
      <c r="J5669" s="25" t="str">
        <f t="shared" si="61"/>
        <v>No</v>
      </c>
      <c r="K5669" s="25" t="str">
        <f t="shared" si="62"/>
        <v/>
      </c>
      <c r="L5669" s="25" t="str">
        <f t="shared" si="63"/>
        <v/>
      </c>
      <c r="M5669" s="25"/>
      <c r="O5669" s="25"/>
    </row>
    <row r="5670" ht="15.75" customHeight="1">
      <c r="A5670" s="25" t="str">
        <f>IFERROR(__xludf.DUMMYFUNCTION("IF(B5670="""","""",RIGHT(REGEXREPLACE(B5670&amp;"""",""[^0-9]"",""""),9))"),"716980462")</f>
        <v>716980462</v>
      </c>
      <c r="B5670" s="52">
        <v>7.16980462E8</v>
      </c>
      <c r="C5670" s="28" t="s">
        <v>5627</v>
      </c>
      <c r="D5670" s="26" t="s">
        <v>64</v>
      </c>
      <c r="E5670" s="31">
        <v>46238.0</v>
      </c>
      <c r="F5670" s="26" t="s">
        <v>41</v>
      </c>
      <c r="G5670" s="26">
        <v>6.0</v>
      </c>
      <c r="I5670" s="26" t="s">
        <v>883</v>
      </c>
      <c r="J5670" s="25" t="str">
        <f t="shared" si="61"/>
        <v>No</v>
      </c>
      <c r="K5670" s="25" t="str">
        <f t="shared" si="62"/>
        <v/>
      </c>
      <c r="L5670" s="25" t="str">
        <f t="shared" si="63"/>
        <v/>
      </c>
      <c r="M5670" s="25"/>
      <c r="O5670" s="25"/>
    </row>
    <row r="5671" ht="15.75" customHeight="1">
      <c r="A5671" s="25" t="str">
        <f>IFERROR(__xludf.DUMMYFUNCTION("IF(B5671="""","""",RIGHT(REGEXREPLACE(B5671&amp;"""",""[^0-9]"",""""),9))"),"719037584")</f>
        <v>719037584</v>
      </c>
      <c r="B5671" s="52">
        <v>7.19037584E8</v>
      </c>
      <c r="C5671" s="28" t="s">
        <v>5628</v>
      </c>
      <c r="D5671" s="26" t="s">
        <v>49</v>
      </c>
      <c r="E5671" s="31">
        <v>46238.0</v>
      </c>
      <c r="F5671" s="26" t="s">
        <v>46</v>
      </c>
      <c r="G5671" s="26">
        <v>9.0</v>
      </c>
      <c r="H5671" s="26" t="s">
        <v>819</v>
      </c>
      <c r="I5671" s="26" t="s">
        <v>883</v>
      </c>
      <c r="J5671" s="25" t="str">
        <f t="shared" si="61"/>
        <v>No</v>
      </c>
      <c r="K5671" s="25" t="str">
        <f t="shared" si="62"/>
        <v/>
      </c>
      <c r="L5671" s="25" t="str">
        <f t="shared" si="63"/>
        <v/>
      </c>
      <c r="M5671" s="25"/>
      <c r="O5671" s="25"/>
    </row>
    <row r="5672" ht="15.75" customHeight="1">
      <c r="A5672" s="25" t="str">
        <f>IFERROR(__xludf.DUMMYFUNCTION("IF(B5672="""","""",RIGHT(REGEXREPLACE(B5672&amp;"""",""[^0-9]"",""""),9))"),"772567040")</f>
        <v>772567040</v>
      </c>
      <c r="B5672" s="52">
        <v>7.7256704E8</v>
      </c>
      <c r="C5672" s="28" t="s">
        <v>5629</v>
      </c>
      <c r="D5672" s="26" t="s">
        <v>45</v>
      </c>
      <c r="E5672" s="31">
        <v>46238.0</v>
      </c>
      <c r="F5672" s="26" t="s">
        <v>46</v>
      </c>
      <c r="G5672" s="26">
        <v>7.0</v>
      </c>
      <c r="I5672" s="26" t="s">
        <v>883</v>
      </c>
      <c r="J5672" s="25" t="str">
        <f t="shared" si="61"/>
        <v>No</v>
      </c>
      <c r="K5672" s="25" t="str">
        <f t="shared" si="62"/>
        <v/>
      </c>
      <c r="L5672" s="25" t="str">
        <f t="shared" si="63"/>
        <v/>
      </c>
      <c r="M5672" s="25"/>
      <c r="O5672" s="25"/>
    </row>
    <row r="5673" ht="15.75" customHeight="1">
      <c r="A5673" s="25" t="str">
        <f>IFERROR(__xludf.DUMMYFUNCTION("IF(B5673="""","""",RIGHT(REGEXREPLACE(B5673&amp;"""",""[^0-9]"",""""),9))"),"743569472")</f>
        <v>743569472</v>
      </c>
      <c r="B5673" s="52">
        <v>7.43569472E8</v>
      </c>
      <c r="C5673" s="28" t="s">
        <v>5630</v>
      </c>
      <c r="D5673" s="26" t="s">
        <v>82</v>
      </c>
      <c r="E5673" s="31">
        <v>46238.0</v>
      </c>
      <c r="F5673" s="26" t="s">
        <v>704</v>
      </c>
      <c r="H5673" s="26" t="s">
        <v>5631</v>
      </c>
      <c r="I5673" s="26" t="s">
        <v>883</v>
      </c>
      <c r="J5673" s="25" t="str">
        <f t="shared" si="61"/>
        <v>No</v>
      </c>
      <c r="K5673" s="25" t="str">
        <f t="shared" si="62"/>
        <v/>
      </c>
      <c r="L5673" s="25" t="str">
        <f t="shared" si="63"/>
        <v/>
      </c>
      <c r="M5673" s="25"/>
      <c r="O5673" s="25"/>
    </row>
    <row r="5674" ht="15.75" customHeight="1">
      <c r="A5674" s="25" t="str">
        <f>IFERROR(__xludf.DUMMYFUNCTION("IF(B5674="""","""",RIGHT(REGEXREPLACE(B5674&amp;"""",""[^0-9]"",""""),9))"),"702319720")</f>
        <v>702319720</v>
      </c>
      <c r="B5674" s="52">
        <v>7.0231972E8</v>
      </c>
      <c r="C5674" s="28" t="s">
        <v>5632</v>
      </c>
      <c r="D5674" s="26" t="s">
        <v>45</v>
      </c>
      <c r="E5674" s="31">
        <v>46238.0</v>
      </c>
      <c r="F5674" s="26" t="s">
        <v>46</v>
      </c>
      <c r="H5674" s="26" t="s">
        <v>5633</v>
      </c>
      <c r="I5674" s="26" t="s">
        <v>883</v>
      </c>
      <c r="J5674" s="25" t="str">
        <f t="shared" si="61"/>
        <v>No</v>
      </c>
      <c r="K5674" s="25" t="str">
        <f t="shared" si="62"/>
        <v/>
      </c>
      <c r="L5674" s="25" t="str">
        <f t="shared" si="63"/>
        <v/>
      </c>
      <c r="M5674" s="25"/>
      <c r="O5674" s="25"/>
    </row>
    <row r="5675" ht="15.75" customHeight="1">
      <c r="A5675" s="25" t="str">
        <f>IFERROR(__xludf.DUMMYFUNCTION("IF(B5675="""","""",RIGHT(REGEXREPLACE(B5675&amp;"""",""[^0-9]"",""""),9))"),"764791893")</f>
        <v>764791893</v>
      </c>
      <c r="B5675" s="52">
        <v>7.64791893E8</v>
      </c>
      <c r="C5675" s="28" t="s">
        <v>5634</v>
      </c>
      <c r="D5675" s="26" t="s">
        <v>49</v>
      </c>
      <c r="E5675" s="31">
        <v>46238.0</v>
      </c>
      <c r="F5675" s="26" t="s">
        <v>46</v>
      </c>
      <c r="G5675" s="26" t="s">
        <v>2930</v>
      </c>
      <c r="I5675" s="26" t="s">
        <v>883</v>
      </c>
      <c r="J5675" s="25" t="str">
        <f t="shared" si="61"/>
        <v>No</v>
      </c>
      <c r="K5675" s="25" t="str">
        <f t="shared" si="62"/>
        <v/>
      </c>
      <c r="L5675" s="25" t="str">
        <f t="shared" si="63"/>
        <v/>
      </c>
      <c r="M5675" s="25"/>
      <c r="O5675" s="25"/>
    </row>
    <row r="5676" ht="15.75" customHeight="1">
      <c r="A5676" s="25" t="str">
        <f>IFERROR(__xludf.DUMMYFUNCTION("IF(B5676="""","""",RIGHT(REGEXREPLACE(B5676&amp;"""",""[^0-9]"",""""),9))"),"714594049")</f>
        <v>714594049</v>
      </c>
      <c r="B5676" s="52">
        <v>7.14594049E8</v>
      </c>
      <c r="C5676" s="28" t="s">
        <v>5635</v>
      </c>
      <c r="D5676" s="26" t="s">
        <v>82</v>
      </c>
      <c r="E5676" s="31">
        <v>46238.0</v>
      </c>
      <c r="F5676" s="26" t="s">
        <v>46</v>
      </c>
      <c r="G5676" s="26">
        <v>8.0</v>
      </c>
      <c r="I5676" s="26" t="s">
        <v>883</v>
      </c>
      <c r="J5676" s="25" t="str">
        <f t="shared" si="61"/>
        <v>No</v>
      </c>
      <c r="K5676" s="25" t="str">
        <f t="shared" si="62"/>
        <v/>
      </c>
      <c r="L5676" s="25" t="str">
        <f t="shared" si="63"/>
        <v/>
      </c>
      <c r="M5676" s="25"/>
      <c r="O5676" s="25"/>
    </row>
    <row r="5677" ht="15.75" customHeight="1">
      <c r="A5677" s="25" t="str">
        <f>IFERROR(__xludf.DUMMYFUNCTION("IF(B5677="""","""",RIGHT(REGEXREPLACE(B5677&amp;"""",""[^0-9]"",""""),9))"),"716147441")</f>
        <v>716147441</v>
      </c>
      <c r="B5677" s="52">
        <v>7.16147441E8</v>
      </c>
      <c r="C5677" s="28" t="s">
        <v>5636</v>
      </c>
      <c r="D5677" s="26" t="s">
        <v>45</v>
      </c>
      <c r="E5677" s="31">
        <v>46238.0</v>
      </c>
      <c r="F5677" s="26" t="s">
        <v>46</v>
      </c>
      <c r="I5677" s="26" t="s">
        <v>883</v>
      </c>
      <c r="J5677" s="25" t="str">
        <f t="shared" si="61"/>
        <v>No</v>
      </c>
      <c r="K5677" s="25" t="str">
        <f t="shared" si="62"/>
        <v/>
      </c>
      <c r="L5677" s="25" t="str">
        <f t="shared" si="63"/>
        <v/>
      </c>
      <c r="M5677" s="25"/>
      <c r="O5677" s="25"/>
    </row>
    <row r="5678" ht="15.75" customHeight="1">
      <c r="A5678" s="25" t="str">
        <f>IFERROR(__xludf.DUMMYFUNCTION("IF(B5678="""","""",RIGHT(REGEXREPLACE(B5678&amp;"""",""[^0-9]"",""""),9))"),"763636873")</f>
        <v>763636873</v>
      </c>
      <c r="B5678" s="52">
        <v>7.63636873E8</v>
      </c>
      <c r="C5678" s="28" t="s">
        <v>5635</v>
      </c>
      <c r="D5678" s="26" t="s">
        <v>64</v>
      </c>
      <c r="E5678" s="31">
        <v>46238.0</v>
      </c>
      <c r="F5678" s="26" t="s">
        <v>46</v>
      </c>
      <c r="G5678" s="26">
        <v>9.0</v>
      </c>
      <c r="H5678" s="26" t="s">
        <v>879</v>
      </c>
      <c r="I5678" s="26" t="s">
        <v>883</v>
      </c>
      <c r="J5678" s="25" t="str">
        <f t="shared" si="61"/>
        <v>No</v>
      </c>
      <c r="K5678" s="25" t="str">
        <f t="shared" si="62"/>
        <v/>
      </c>
      <c r="L5678" s="25" t="str">
        <f t="shared" si="63"/>
        <v/>
      </c>
      <c r="M5678" s="25"/>
      <c r="O5678" s="25"/>
    </row>
    <row r="5679" ht="15.75" customHeight="1">
      <c r="A5679" s="25" t="str">
        <f>IFERROR(__xludf.DUMMYFUNCTION("IF(B5679="""","""",RIGHT(REGEXREPLACE(B5679&amp;"""",""[^0-9]"",""""),9))"),"762491246")</f>
        <v>762491246</v>
      </c>
      <c r="B5679" s="52">
        <v>7.62491246E8</v>
      </c>
      <c r="C5679" s="28" t="s">
        <v>5637</v>
      </c>
      <c r="D5679" s="26" t="s">
        <v>64</v>
      </c>
      <c r="E5679" s="31">
        <v>46238.0</v>
      </c>
      <c r="F5679" s="26" t="s">
        <v>46</v>
      </c>
      <c r="G5679" s="26">
        <v>7.0</v>
      </c>
      <c r="I5679" s="26" t="s">
        <v>883</v>
      </c>
      <c r="J5679" s="25" t="str">
        <f t="shared" si="61"/>
        <v>No</v>
      </c>
      <c r="K5679" s="25" t="str">
        <f t="shared" si="62"/>
        <v/>
      </c>
      <c r="L5679" s="25" t="str">
        <f t="shared" si="63"/>
        <v/>
      </c>
      <c r="M5679" s="25"/>
      <c r="O5679" s="25"/>
    </row>
    <row r="5680" ht="15.75" customHeight="1">
      <c r="A5680" s="25" t="str">
        <f>IFERROR(__xludf.DUMMYFUNCTION("IF(B5680="""","""",RIGHT(REGEXREPLACE(B5680&amp;"""",""[^0-9]"",""""),9))"),"712658250")</f>
        <v>712658250</v>
      </c>
      <c r="B5680" s="52">
        <v>7.1265825E8</v>
      </c>
      <c r="C5680" s="28" t="s">
        <v>5638</v>
      </c>
      <c r="D5680" s="26" t="s">
        <v>82</v>
      </c>
      <c r="E5680" s="31">
        <v>46238.0</v>
      </c>
      <c r="F5680" s="26" t="s">
        <v>46</v>
      </c>
      <c r="G5680" s="26">
        <v>7.0</v>
      </c>
      <c r="I5680" s="26" t="s">
        <v>883</v>
      </c>
      <c r="J5680" s="25" t="str">
        <f t="shared" si="61"/>
        <v>No</v>
      </c>
      <c r="K5680" s="25" t="str">
        <f t="shared" si="62"/>
        <v/>
      </c>
      <c r="L5680" s="25" t="str">
        <f t="shared" si="63"/>
        <v/>
      </c>
      <c r="M5680" s="25"/>
      <c r="O5680" s="25"/>
    </row>
    <row r="5681" ht="15.75" customHeight="1">
      <c r="A5681" s="25" t="str">
        <f>IFERROR(__xludf.DUMMYFUNCTION("IF(B5681="""","""",RIGHT(REGEXREPLACE(B5681&amp;"""",""[^0-9]"",""""),9))"),"761126440")</f>
        <v>761126440</v>
      </c>
      <c r="B5681" s="52">
        <v>7.6112644E8</v>
      </c>
      <c r="C5681" s="28" t="s">
        <v>5639</v>
      </c>
      <c r="D5681" s="26" t="s">
        <v>49</v>
      </c>
      <c r="E5681" s="31">
        <v>46238.0</v>
      </c>
      <c r="F5681" s="26" t="s">
        <v>46</v>
      </c>
      <c r="G5681" s="26">
        <v>8.0</v>
      </c>
      <c r="I5681" s="26" t="s">
        <v>883</v>
      </c>
      <c r="J5681" s="25" t="str">
        <f t="shared" si="61"/>
        <v>No</v>
      </c>
      <c r="K5681" s="25" t="str">
        <f t="shared" si="62"/>
        <v/>
      </c>
      <c r="L5681" s="25" t="str">
        <f t="shared" si="63"/>
        <v/>
      </c>
      <c r="M5681" s="25"/>
      <c r="O5681" s="25"/>
    </row>
    <row r="5682" ht="15.75" customHeight="1">
      <c r="A5682" s="25" t="str">
        <f>IFERROR(__xludf.DUMMYFUNCTION("IF(B5682="""","""",RIGHT(REGEXREPLACE(B5682&amp;"""",""[^0-9]"",""""),9))"),"773297960")</f>
        <v>773297960</v>
      </c>
      <c r="B5682" s="52">
        <v>7.7329796E8</v>
      </c>
      <c r="C5682" s="28" t="s">
        <v>5640</v>
      </c>
      <c r="D5682" s="26" t="s">
        <v>64</v>
      </c>
      <c r="E5682" s="31">
        <v>46238.0</v>
      </c>
      <c r="F5682" s="26" t="s">
        <v>41</v>
      </c>
      <c r="I5682" s="26" t="s">
        <v>883</v>
      </c>
      <c r="J5682" s="25" t="str">
        <f t="shared" si="61"/>
        <v>No</v>
      </c>
      <c r="K5682" s="25" t="str">
        <f t="shared" si="62"/>
        <v/>
      </c>
      <c r="L5682" s="25" t="str">
        <f t="shared" si="63"/>
        <v/>
      </c>
      <c r="M5682" s="25"/>
      <c r="O5682" s="25"/>
    </row>
    <row r="5683" ht="15.75" customHeight="1">
      <c r="A5683" s="25" t="str">
        <f>IFERROR(__xludf.DUMMYFUNCTION("IF(B5683="""","""",RIGHT(REGEXREPLACE(B5683&amp;"""",""[^0-9]"",""""),9))"),"767622243")</f>
        <v>767622243</v>
      </c>
      <c r="B5683" s="52">
        <v>7.67622243E8</v>
      </c>
      <c r="C5683" s="28" t="s">
        <v>5641</v>
      </c>
      <c r="D5683" s="26" t="s">
        <v>82</v>
      </c>
      <c r="E5683" s="31">
        <v>46238.0</v>
      </c>
      <c r="F5683" s="26" t="s">
        <v>659</v>
      </c>
      <c r="I5683" s="26" t="s">
        <v>883</v>
      </c>
      <c r="J5683" s="25" t="str">
        <f t="shared" si="61"/>
        <v>No</v>
      </c>
      <c r="K5683" s="25" t="str">
        <f t="shared" si="62"/>
        <v/>
      </c>
      <c r="L5683" s="25" t="str">
        <f t="shared" si="63"/>
        <v/>
      </c>
      <c r="M5683" s="25"/>
      <c r="O5683" s="25"/>
    </row>
    <row r="5684" ht="15.75" customHeight="1">
      <c r="A5684" s="25" t="str">
        <f>IFERROR(__xludf.DUMMYFUNCTION("IF(B5684="""","""",RIGHT(REGEXREPLACE(B5684&amp;"""",""[^0-9]"",""""),9))"),"772060182")</f>
        <v>772060182</v>
      </c>
      <c r="B5684" s="52">
        <v>7.72060182E8</v>
      </c>
      <c r="C5684" s="28" t="s">
        <v>5610</v>
      </c>
      <c r="D5684" s="26" t="s">
        <v>64</v>
      </c>
      <c r="E5684" s="31">
        <v>46238.0</v>
      </c>
      <c r="F5684" s="26" t="s">
        <v>205</v>
      </c>
      <c r="G5684" s="26">
        <v>8.0</v>
      </c>
      <c r="I5684" s="26" t="s">
        <v>883</v>
      </c>
      <c r="J5684" s="25" t="str">
        <f t="shared" si="61"/>
        <v>Yes - see Previous F-Code</v>
      </c>
      <c r="K5684" s="25" t="str">
        <f t="shared" si="62"/>
        <v/>
      </c>
      <c r="L5684" s="25" t="str">
        <f t="shared" si="63"/>
        <v>F75081</v>
      </c>
      <c r="M5684" s="25"/>
      <c r="O5684" s="25"/>
    </row>
    <row r="5685" ht="15.75" customHeight="1">
      <c r="A5685" s="25" t="str">
        <f>IFERROR(__xludf.DUMMYFUNCTION("IF(B5685="""","""",RIGHT(REGEXREPLACE(B5685&amp;"""",""[^0-9]"",""""),9))"),"775999727")</f>
        <v>775999727</v>
      </c>
      <c r="B5685" s="52">
        <v>7.75999727E8</v>
      </c>
      <c r="C5685" s="28" t="s">
        <v>5642</v>
      </c>
      <c r="D5685" s="26" t="s">
        <v>49</v>
      </c>
      <c r="E5685" s="31">
        <v>46238.0</v>
      </c>
      <c r="F5685" s="26" t="s">
        <v>46</v>
      </c>
      <c r="G5685" s="26">
        <v>7.0</v>
      </c>
      <c r="I5685" s="26" t="s">
        <v>883</v>
      </c>
      <c r="J5685" s="25" t="str">
        <f t="shared" si="61"/>
        <v>No</v>
      </c>
      <c r="K5685" s="25" t="str">
        <f t="shared" si="62"/>
        <v/>
      </c>
      <c r="L5685" s="25" t="str">
        <f t="shared" si="63"/>
        <v/>
      </c>
      <c r="M5685" s="25"/>
      <c r="O5685" s="25"/>
    </row>
    <row r="5686" ht="15.75" customHeight="1">
      <c r="A5686" s="25" t="str">
        <f>IFERROR(__xludf.DUMMYFUNCTION("IF(B5686="""","""",RIGHT(REGEXREPLACE(B5686&amp;"""",""[^0-9]"",""""),9))"),"704007318")</f>
        <v>704007318</v>
      </c>
      <c r="B5686" s="52">
        <v>7.04007318E8</v>
      </c>
      <c r="C5686" s="28" t="s">
        <v>5643</v>
      </c>
      <c r="D5686" s="26" t="s">
        <v>64</v>
      </c>
      <c r="E5686" s="31">
        <v>46238.0</v>
      </c>
      <c r="F5686" s="26" t="s">
        <v>46</v>
      </c>
      <c r="G5686" s="26">
        <v>6.0</v>
      </c>
      <c r="I5686" s="26" t="s">
        <v>883</v>
      </c>
      <c r="J5686" s="25" t="str">
        <f t="shared" si="61"/>
        <v>No</v>
      </c>
      <c r="K5686" s="25" t="str">
        <f t="shared" si="62"/>
        <v/>
      </c>
      <c r="L5686" s="25" t="str">
        <f t="shared" si="63"/>
        <v/>
      </c>
      <c r="M5686" s="25"/>
      <c r="O5686" s="25"/>
    </row>
    <row r="5687" ht="15.75" customHeight="1">
      <c r="A5687" s="25" t="str">
        <f>IFERROR(__xludf.DUMMYFUNCTION("IF(B5687="""","""",RIGHT(REGEXREPLACE(B5687&amp;"""",""[^0-9]"",""""),9))"),"760766805")</f>
        <v>760766805</v>
      </c>
      <c r="B5687" s="52">
        <v>7.60766805E8</v>
      </c>
      <c r="C5687" s="28" t="s">
        <v>5644</v>
      </c>
      <c r="D5687" s="26" t="s">
        <v>82</v>
      </c>
      <c r="E5687" s="31">
        <v>46238.0</v>
      </c>
      <c r="F5687" s="26" t="s">
        <v>46</v>
      </c>
      <c r="G5687" s="26">
        <v>8.0</v>
      </c>
      <c r="I5687" s="26" t="s">
        <v>883</v>
      </c>
      <c r="J5687" s="25" t="str">
        <f t="shared" si="61"/>
        <v>No</v>
      </c>
      <c r="K5687" s="25" t="str">
        <f t="shared" si="62"/>
        <v/>
      </c>
      <c r="L5687" s="25" t="str">
        <f t="shared" si="63"/>
        <v/>
      </c>
      <c r="M5687" s="25"/>
      <c r="O5687" s="25"/>
    </row>
    <row r="5688" ht="15.75" customHeight="1">
      <c r="A5688" s="25" t="str">
        <f>IFERROR(__xludf.DUMMYFUNCTION("IF(B5688="""","""",RIGHT(REGEXREPLACE(B5688&amp;"""",""[^0-9]"",""""),9))"),"715297871")</f>
        <v>715297871</v>
      </c>
      <c r="B5688" s="52">
        <v>7.15297871E8</v>
      </c>
      <c r="C5688" s="28" t="s">
        <v>1915</v>
      </c>
      <c r="D5688" s="26" t="s">
        <v>64</v>
      </c>
      <c r="E5688" s="31">
        <v>46238.0</v>
      </c>
      <c r="F5688" s="26" t="s">
        <v>46</v>
      </c>
      <c r="G5688" s="26" t="s">
        <v>1105</v>
      </c>
      <c r="I5688" s="26" t="s">
        <v>883</v>
      </c>
      <c r="J5688" s="25" t="str">
        <f t="shared" si="61"/>
        <v>Yes - see Previous F-Code</v>
      </c>
      <c r="K5688" s="25" t="str">
        <f t="shared" si="62"/>
        <v/>
      </c>
      <c r="L5688" s="25" t="str">
        <f t="shared" si="63"/>
        <v>F71621</v>
      </c>
      <c r="M5688" s="25"/>
      <c r="O5688" s="25"/>
    </row>
    <row r="5689" ht="15.75" customHeight="1">
      <c r="A5689" s="25" t="str">
        <f>IFERROR(__xludf.DUMMYFUNCTION("IF(B5689="""","""",RIGHT(REGEXREPLACE(B5689&amp;"""",""[^0-9]"",""""),9))"),"741390183")</f>
        <v>741390183</v>
      </c>
      <c r="B5689" s="52">
        <v>7.41390183E8</v>
      </c>
      <c r="C5689" s="28" t="s">
        <v>5645</v>
      </c>
      <c r="D5689" s="26" t="s">
        <v>82</v>
      </c>
      <c r="E5689" s="31">
        <v>46238.0</v>
      </c>
      <c r="F5689" s="26" t="s">
        <v>46</v>
      </c>
      <c r="G5689" s="26">
        <v>7.0</v>
      </c>
      <c r="I5689" s="26" t="s">
        <v>883</v>
      </c>
      <c r="J5689" s="25" t="str">
        <f t="shared" si="61"/>
        <v>No</v>
      </c>
      <c r="K5689" s="25" t="str">
        <f t="shared" si="62"/>
        <v/>
      </c>
      <c r="L5689" s="25" t="str">
        <f t="shared" si="63"/>
        <v/>
      </c>
      <c r="M5689" s="25"/>
      <c r="O5689" s="25"/>
    </row>
    <row r="5690" ht="15.75" customHeight="1">
      <c r="A5690" s="25" t="str">
        <f>IFERROR(__xludf.DUMMYFUNCTION("IF(B5690="""","""",RIGHT(REGEXREPLACE(B5690&amp;"""",""[^0-9]"",""""),9))"),"705828756")</f>
        <v>705828756</v>
      </c>
      <c r="B5690" s="52">
        <v>7.05828756E8</v>
      </c>
      <c r="C5690" s="28" t="s">
        <v>2877</v>
      </c>
      <c r="D5690" s="26" t="s">
        <v>49</v>
      </c>
      <c r="E5690" s="31">
        <v>46238.0</v>
      </c>
      <c r="F5690" s="26" t="s">
        <v>46</v>
      </c>
      <c r="G5690" s="26">
        <v>6.0</v>
      </c>
      <c r="I5690" s="26" t="s">
        <v>883</v>
      </c>
      <c r="J5690" s="25" t="str">
        <f t="shared" si="61"/>
        <v>Yes - see Previous F-Code</v>
      </c>
      <c r="K5690" s="25" t="str">
        <f t="shared" si="62"/>
        <v/>
      </c>
      <c r="L5690" s="25" t="str">
        <f t="shared" si="63"/>
        <v>F72613</v>
      </c>
      <c r="M5690" s="25"/>
      <c r="O5690" s="25"/>
    </row>
    <row r="5691" ht="15.75" customHeight="1">
      <c r="A5691" s="25" t="str">
        <f>IFERROR(__xludf.DUMMYFUNCTION("IF(B5691="""","""",RIGHT(REGEXREPLACE(B5691&amp;"""",""[^0-9]"",""""),9))"),"779156170")</f>
        <v>779156170</v>
      </c>
      <c r="B5691" s="52">
        <v>7.7915617E8</v>
      </c>
      <c r="C5691" s="28" t="s">
        <v>5646</v>
      </c>
      <c r="D5691" s="26" t="s">
        <v>82</v>
      </c>
      <c r="E5691" s="31">
        <v>46238.0</v>
      </c>
      <c r="F5691" s="26" t="s">
        <v>46</v>
      </c>
      <c r="G5691" s="26">
        <v>8.0</v>
      </c>
      <c r="H5691" s="26" t="s">
        <v>5647</v>
      </c>
      <c r="I5691" s="26" t="s">
        <v>883</v>
      </c>
      <c r="J5691" s="25" t="str">
        <f t="shared" si="61"/>
        <v>No</v>
      </c>
      <c r="K5691" s="25" t="str">
        <f t="shared" si="62"/>
        <v/>
      </c>
      <c r="L5691" s="25" t="str">
        <f t="shared" si="63"/>
        <v/>
      </c>
      <c r="M5691" s="25"/>
      <c r="O5691" s="25"/>
    </row>
    <row r="5692" ht="15.75" customHeight="1">
      <c r="A5692" s="25" t="str">
        <f>IFERROR(__xludf.DUMMYFUNCTION("IF(B5692="""","""",RIGHT(REGEXREPLACE(B5692&amp;"""",""[^0-9]"",""""),9))"),"776080735")</f>
        <v>776080735</v>
      </c>
      <c r="B5692" s="52">
        <v>7.76080735E8</v>
      </c>
      <c r="C5692" s="28" t="s">
        <v>5648</v>
      </c>
      <c r="D5692" s="26" t="s">
        <v>49</v>
      </c>
      <c r="E5692" s="31">
        <v>46238.0</v>
      </c>
      <c r="F5692" s="26" t="s">
        <v>46</v>
      </c>
      <c r="G5692" s="26">
        <v>7.0</v>
      </c>
      <c r="H5692" s="72" t="s">
        <v>5649</v>
      </c>
      <c r="I5692" s="26" t="s">
        <v>883</v>
      </c>
      <c r="J5692" s="25" t="str">
        <f t="shared" si="61"/>
        <v>No</v>
      </c>
      <c r="K5692" s="25" t="str">
        <f t="shared" si="62"/>
        <v/>
      </c>
      <c r="L5692" s="25" t="str">
        <f t="shared" si="63"/>
        <v/>
      </c>
      <c r="M5692" s="25"/>
      <c r="O5692" s="26" t="s">
        <v>51</v>
      </c>
    </row>
    <row r="5693" ht="15.75" customHeight="1">
      <c r="A5693" s="25" t="str">
        <f>IFERROR(__xludf.DUMMYFUNCTION("IF(B5693="""","""",RIGHT(REGEXREPLACE(B5693&amp;"""",""[^0-9]"",""""),9))"),"772333774")</f>
        <v>772333774</v>
      </c>
      <c r="B5693" s="52">
        <v>7.72333774E8</v>
      </c>
      <c r="C5693" s="28" t="s">
        <v>2592</v>
      </c>
      <c r="D5693" s="26" t="s">
        <v>64</v>
      </c>
      <c r="E5693" s="31">
        <v>46238.0</v>
      </c>
      <c r="F5693" s="26" t="s">
        <v>46</v>
      </c>
      <c r="G5693" s="26">
        <v>11.0</v>
      </c>
      <c r="I5693" s="26" t="s">
        <v>883</v>
      </c>
      <c r="J5693" s="25" t="str">
        <f t="shared" si="61"/>
        <v>Yes - see Previous F-Code</v>
      </c>
      <c r="K5693" s="25" t="str">
        <f t="shared" si="62"/>
        <v/>
      </c>
      <c r="L5693" s="25" t="str">
        <f t="shared" si="63"/>
        <v>F72283</v>
      </c>
      <c r="M5693" s="25"/>
      <c r="O5693" s="25"/>
    </row>
    <row r="5694" ht="15.75" customHeight="1">
      <c r="A5694" s="25" t="str">
        <f>IFERROR(__xludf.DUMMYFUNCTION("IF(B5694="""","""",RIGHT(REGEXREPLACE(B5694&amp;"""",""[^0-9]"",""""),9))"),"712276615")</f>
        <v>712276615</v>
      </c>
      <c r="B5694" s="52">
        <v>7.12276615E8</v>
      </c>
      <c r="C5694" s="28" t="s">
        <v>5650</v>
      </c>
      <c r="D5694" s="26" t="s">
        <v>82</v>
      </c>
      <c r="E5694" s="31">
        <v>46238.0</v>
      </c>
      <c r="F5694" s="26" t="s">
        <v>41</v>
      </c>
      <c r="I5694" s="26" t="s">
        <v>883</v>
      </c>
      <c r="J5694" s="25" t="str">
        <f t="shared" si="61"/>
        <v>No</v>
      </c>
      <c r="K5694" s="25" t="str">
        <f t="shared" si="62"/>
        <v/>
      </c>
      <c r="L5694" s="25" t="str">
        <f t="shared" si="63"/>
        <v/>
      </c>
      <c r="M5694" s="25"/>
      <c r="O5694" s="25"/>
    </row>
    <row r="5695" ht="15.75" customHeight="1">
      <c r="A5695" s="25" t="str">
        <f>IFERROR(__xludf.DUMMYFUNCTION("IF(B5695="""","""",RIGHT(REGEXREPLACE(B5695&amp;"""",""[^0-9]"",""""),9))"),"778678739")</f>
        <v>778678739</v>
      </c>
      <c r="B5695" s="52">
        <v>7.78678739E8</v>
      </c>
      <c r="C5695" s="28" t="s">
        <v>5651</v>
      </c>
      <c r="D5695" s="26" t="s">
        <v>49</v>
      </c>
      <c r="E5695" s="31">
        <v>46238.0</v>
      </c>
      <c r="F5695" s="26" t="s">
        <v>46</v>
      </c>
      <c r="G5695" s="26">
        <v>7.0</v>
      </c>
      <c r="H5695" s="26" t="s">
        <v>5652</v>
      </c>
      <c r="I5695" s="26" t="s">
        <v>883</v>
      </c>
      <c r="J5695" s="25" t="str">
        <f t="shared" si="61"/>
        <v>No</v>
      </c>
      <c r="K5695" s="25" t="str">
        <f t="shared" si="62"/>
        <v/>
      </c>
      <c r="L5695" s="25" t="str">
        <f t="shared" si="63"/>
        <v/>
      </c>
      <c r="M5695" s="25"/>
      <c r="O5695" s="26" t="s">
        <v>51</v>
      </c>
    </row>
    <row r="5696" ht="15.75" customHeight="1">
      <c r="A5696" s="25" t="str">
        <f>IFERROR(__xludf.DUMMYFUNCTION("IF(B5696="""","""",RIGHT(REGEXREPLACE(B5696&amp;"""",""[^0-9]"",""""),9))"),"784320482")</f>
        <v>784320482</v>
      </c>
      <c r="B5696" s="52">
        <v>7.84320482E8</v>
      </c>
      <c r="C5696" s="28" t="s">
        <v>5653</v>
      </c>
      <c r="D5696" s="26" t="s">
        <v>82</v>
      </c>
      <c r="E5696" s="31">
        <v>46238.0</v>
      </c>
      <c r="F5696" s="26" t="s">
        <v>205</v>
      </c>
      <c r="G5696" s="26">
        <v>8.0</v>
      </c>
      <c r="I5696" s="26" t="s">
        <v>883</v>
      </c>
      <c r="J5696" s="25" t="str">
        <f t="shared" si="61"/>
        <v>No</v>
      </c>
      <c r="K5696" s="25" t="str">
        <f t="shared" si="62"/>
        <v/>
      </c>
      <c r="L5696" s="25" t="str">
        <f t="shared" si="63"/>
        <v/>
      </c>
      <c r="M5696" s="25"/>
      <c r="O5696" s="25"/>
    </row>
    <row r="5697" ht="15.75" customHeight="1">
      <c r="A5697" s="25" t="str">
        <f>IFERROR(__xludf.DUMMYFUNCTION("IF(B5697="""","""",RIGHT(REGEXREPLACE(B5697&amp;"""",""[^0-9]"",""""),9))"),"776670856")</f>
        <v>776670856</v>
      </c>
      <c r="B5697" s="52">
        <v>7.76670856E8</v>
      </c>
      <c r="C5697" s="28" t="s">
        <v>5654</v>
      </c>
      <c r="D5697" s="26" t="s">
        <v>64</v>
      </c>
      <c r="E5697" s="31">
        <v>46238.0</v>
      </c>
      <c r="F5697" s="26" t="s">
        <v>46</v>
      </c>
      <c r="G5697" s="26">
        <v>11.0</v>
      </c>
      <c r="I5697" s="26" t="s">
        <v>883</v>
      </c>
      <c r="J5697" s="25" t="str">
        <f t="shared" si="61"/>
        <v>No</v>
      </c>
      <c r="K5697" s="25" t="str">
        <f t="shared" si="62"/>
        <v/>
      </c>
      <c r="L5697" s="25" t="str">
        <f t="shared" si="63"/>
        <v/>
      </c>
      <c r="M5697" s="25"/>
      <c r="O5697" s="25"/>
    </row>
    <row r="5698" ht="15.75" customHeight="1">
      <c r="A5698" s="25" t="str">
        <f>IFERROR(__xludf.DUMMYFUNCTION("IF(B5698="""","""",RIGHT(REGEXREPLACE(B5698&amp;"""",""[^0-9]"",""""),9))"),"756369381")</f>
        <v>756369381</v>
      </c>
      <c r="B5698" s="52">
        <v>7.56369381E8</v>
      </c>
      <c r="C5698" s="28" t="s">
        <v>846</v>
      </c>
      <c r="D5698" s="26" t="s">
        <v>64</v>
      </c>
      <c r="E5698" s="31">
        <v>46238.0</v>
      </c>
      <c r="F5698" s="26" t="s">
        <v>46</v>
      </c>
      <c r="G5698" s="26">
        <v>11.0</v>
      </c>
      <c r="I5698" s="26" t="s">
        <v>883</v>
      </c>
      <c r="J5698" s="25" t="str">
        <f t="shared" si="61"/>
        <v>Yes - see Previous F-Code</v>
      </c>
      <c r="K5698" s="25" t="str">
        <f t="shared" si="62"/>
        <v/>
      </c>
      <c r="L5698" s="25" t="str">
        <f t="shared" si="63"/>
        <v>F70619</v>
      </c>
      <c r="M5698" s="25"/>
      <c r="O5698" s="25"/>
    </row>
    <row r="5699" ht="15.75" customHeight="1">
      <c r="A5699" s="25" t="str">
        <f>IFERROR(__xludf.DUMMYFUNCTION("IF(B5699="""","""",RIGHT(REGEXREPLACE(B5699&amp;"""",""[^0-9]"",""""),9))"),"769413813")</f>
        <v>769413813</v>
      </c>
      <c r="B5699" s="52">
        <v>7.69413813E8</v>
      </c>
      <c r="C5699" s="28" t="s">
        <v>5655</v>
      </c>
      <c r="D5699" s="26" t="s">
        <v>49</v>
      </c>
      <c r="E5699" s="31">
        <v>46238.0</v>
      </c>
      <c r="F5699" s="26" t="s">
        <v>46</v>
      </c>
      <c r="G5699" s="26">
        <v>8.0</v>
      </c>
      <c r="H5699" s="118" t="s">
        <v>5656</v>
      </c>
      <c r="I5699" s="26" t="s">
        <v>883</v>
      </c>
      <c r="J5699" s="25" t="str">
        <f t="shared" si="61"/>
        <v>No</v>
      </c>
      <c r="K5699" s="25" t="str">
        <f t="shared" si="62"/>
        <v/>
      </c>
      <c r="L5699" s="25" t="str">
        <f t="shared" si="63"/>
        <v/>
      </c>
      <c r="M5699" s="25"/>
      <c r="O5699" s="25"/>
    </row>
    <row r="5700" ht="15.75" customHeight="1">
      <c r="A5700" s="25" t="str">
        <f>IFERROR(__xludf.DUMMYFUNCTION("IF(B5700="""","""",RIGHT(REGEXREPLACE(B5700&amp;"""",""[^0-9]"",""""),9))"),"705536596")</f>
        <v>705536596</v>
      </c>
      <c r="B5700" s="52">
        <v>7.05536596E8</v>
      </c>
      <c r="C5700" s="28" t="s">
        <v>5657</v>
      </c>
      <c r="D5700" s="26" t="s">
        <v>64</v>
      </c>
      <c r="E5700" s="31">
        <v>46238.0</v>
      </c>
      <c r="F5700" s="26" t="s">
        <v>41</v>
      </c>
      <c r="G5700" s="26">
        <v>8.0</v>
      </c>
      <c r="I5700" s="26" t="s">
        <v>883</v>
      </c>
      <c r="J5700" s="25" t="str">
        <f t="shared" si="61"/>
        <v>No</v>
      </c>
      <c r="K5700" s="25" t="str">
        <f t="shared" si="62"/>
        <v/>
      </c>
      <c r="L5700" s="25" t="str">
        <f t="shared" si="63"/>
        <v/>
      </c>
      <c r="M5700" s="25"/>
      <c r="O5700" s="25"/>
    </row>
    <row r="5701" ht="15.75" customHeight="1">
      <c r="A5701" s="25" t="str">
        <f>IFERROR(__xludf.DUMMYFUNCTION("IF(B5701="""","""",RIGHT(REGEXREPLACE(B5701&amp;"""",""[^0-9]"",""""),9))"),"779577710")</f>
        <v>779577710</v>
      </c>
      <c r="B5701" s="52">
        <v>7.7957771E8</v>
      </c>
      <c r="C5701" s="28" t="s">
        <v>5658</v>
      </c>
      <c r="D5701" s="26" t="s">
        <v>45</v>
      </c>
      <c r="E5701" s="31">
        <v>46238.0</v>
      </c>
      <c r="F5701" s="26" t="s">
        <v>41</v>
      </c>
      <c r="G5701" s="26">
        <v>7.0</v>
      </c>
      <c r="I5701" s="26" t="s">
        <v>883</v>
      </c>
      <c r="J5701" s="25" t="str">
        <f t="shared" si="61"/>
        <v>No</v>
      </c>
      <c r="K5701" s="25" t="str">
        <f t="shared" si="62"/>
        <v/>
      </c>
      <c r="L5701" s="25" t="str">
        <f t="shared" si="63"/>
        <v/>
      </c>
      <c r="M5701" s="25"/>
      <c r="O5701" s="25"/>
    </row>
    <row r="5702" ht="15.75" customHeight="1">
      <c r="A5702" s="25" t="str">
        <f>IFERROR(__xludf.DUMMYFUNCTION("IF(B5702="""","""",RIGHT(REGEXREPLACE(B5702&amp;"""",""[^0-9]"",""""),9))"),"714985054")</f>
        <v>714985054</v>
      </c>
      <c r="B5702" s="52">
        <v>7.14985054E8</v>
      </c>
      <c r="C5702" s="28" t="s">
        <v>5659</v>
      </c>
      <c r="D5702" s="26" t="s">
        <v>82</v>
      </c>
      <c r="E5702" s="31">
        <v>46238.0</v>
      </c>
      <c r="F5702" s="26" t="s">
        <v>46</v>
      </c>
      <c r="G5702" s="26">
        <v>9.0</v>
      </c>
      <c r="I5702" s="26" t="s">
        <v>883</v>
      </c>
      <c r="J5702" s="25" t="str">
        <f t="shared" si="61"/>
        <v>No</v>
      </c>
      <c r="K5702" s="25" t="str">
        <f t="shared" si="62"/>
        <v/>
      </c>
      <c r="L5702" s="25" t="str">
        <f t="shared" si="63"/>
        <v/>
      </c>
      <c r="M5702" s="25"/>
      <c r="O5702" s="25"/>
    </row>
    <row r="5703" ht="15.75" customHeight="1">
      <c r="A5703" s="25" t="str">
        <f>IFERROR(__xludf.DUMMYFUNCTION("IF(B5703="""","""",RIGHT(REGEXREPLACE(B5703&amp;"""",""[^0-9]"",""""),9))"),"707075400")</f>
        <v>707075400</v>
      </c>
      <c r="B5703" s="52">
        <v>7.070754E8</v>
      </c>
      <c r="C5703" s="28" t="s">
        <v>5660</v>
      </c>
      <c r="D5703" s="26" t="s">
        <v>45</v>
      </c>
      <c r="E5703" s="31">
        <v>46238.0</v>
      </c>
      <c r="F5703" s="26" t="s">
        <v>46</v>
      </c>
      <c r="G5703" s="26">
        <v>7.0</v>
      </c>
      <c r="I5703" s="26" t="s">
        <v>883</v>
      </c>
      <c r="J5703" s="25" t="str">
        <f t="shared" si="61"/>
        <v>No</v>
      </c>
      <c r="K5703" s="25" t="str">
        <f t="shared" si="62"/>
        <v/>
      </c>
      <c r="L5703" s="25" t="str">
        <f t="shared" si="63"/>
        <v/>
      </c>
      <c r="M5703" s="25"/>
      <c r="O5703" s="25"/>
    </row>
    <row r="5704" ht="15.75" customHeight="1">
      <c r="A5704" s="25" t="str">
        <f>IFERROR(__xludf.DUMMYFUNCTION("IF(B5704="""","""",RIGHT(REGEXREPLACE(B5704&amp;"""",""[^0-9]"",""""),9))"),"719479373")</f>
        <v>719479373</v>
      </c>
      <c r="B5704" s="52">
        <v>7.19479373E8</v>
      </c>
      <c r="C5704" s="28" t="s">
        <v>5661</v>
      </c>
      <c r="D5704" s="26" t="s">
        <v>64</v>
      </c>
      <c r="E5704" s="31">
        <v>46238.0</v>
      </c>
      <c r="F5704" s="26" t="s">
        <v>659</v>
      </c>
      <c r="G5704" s="26">
        <v>10.0</v>
      </c>
      <c r="I5704" s="26" t="s">
        <v>883</v>
      </c>
      <c r="J5704" s="25" t="str">
        <f t="shared" si="61"/>
        <v>No</v>
      </c>
      <c r="K5704" s="25" t="str">
        <f t="shared" si="62"/>
        <v/>
      </c>
      <c r="L5704" s="25" t="str">
        <f t="shared" si="63"/>
        <v/>
      </c>
      <c r="M5704" s="25"/>
      <c r="O5704" s="25"/>
    </row>
    <row r="5705" ht="15.75" customHeight="1">
      <c r="A5705" s="25" t="str">
        <f>IFERROR(__xludf.DUMMYFUNCTION("IF(B5705="""","""",RIGHT(REGEXREPLACE(B5705&amp;"""",""[^0-9]"",""""),9))"),"713557547")</f>
        <v>713557547</v>
      </c>
      <c r="B5705" s="52">
        <v>7.13557547E8</v>
      </c>
      <c r="C5705" s="28" t="s">
        <v>5662</v>
      </c>
      <c r="D5705" s="26" t="s">
        <v>49</v>
      </c>
      <c r="E5705" s="31">
        <v>46238.0</v>
      </c>
      <c r="F5705" s="26" t="s">
        <v>46</v>
      </c>
      <c r="G5705" s="26">
        <v>10.0</v>
      </c>
      <c r="I5705" s="26" t="s">
        <v>883</v>
      </c>
      <c r="J5705" s="25" t="str">
        <f t="shared" si="61"/>
        <v>No</v>
      </c>
      <c r="K5705" s="25" t="str">
        <f t="shared" si="62"/>
        <v/>
      </c>
      <c r="L5705" s="25" t="str">
        <f t="shared" si="63"/>
        <v/>
      </c>
      <c r="M5705" s="25"/>
      <c r="O5705" s="25"/>
    </row>
    <row r="5706" ht="15.75" customHeight="1">
      <c r="A5706" s="25" t="str">
        <f>IFERROR(__xludf.DUMMYFUNCTION("IF(B5706="""","""",RIGHT(REGEXREPLACE(B5706&amp;"""",""[^0-9]"",""""),9))"),"766733798")</f>
        <v>766733798</v>
      </c>
      <c r="B5706" s="52">
        <v>7.66733798E8</v>
      </c>
      <c r="C5706" s="28" t="s">
        <v>5663</v>
      </c>
      <c r="D5706" s="26" t="s">
        <v>82</v>
      </c>
      <c r="E5706" s="31">
        <v>46238.0</v>
      </c>
      <c r="F5706" s="26" t="s">
        <v>46</v>
      </c>
      <c r="G5706" s="26">
        <v>8.0</v>
      </c>
      <c r="I5706" s="26" t="s">
        <v>883</v>
      </c>
      <c r="J5706" s="25" t="str">
        <f t="shared" si="61"/>
        <v>No</v>
      </c>
      <c r="K5706" s="25" t="str">
        <f t="shared" si="62"/>
        <v/>
      </c>
      <c r="L5706" s="25" t="str">
        <f t="shared" si="63"/>
        <v/>
      </c>
      <c r="M5706" s="25"/>
      <c r="O5706" s="26" t="s">
        <v>51</v>
      </c>
    </row>
    <row r="5707" ht="15.75" customHeight="1">
      <c r="A5707" s="25" t="str">
        <f>IFERROR(__xludf.DUMMYFUNCTION("IF(B5707="""","""",RIGHT(REGEXREPLACE(B5707&amp;"""",""[^0-9]"",""""),9))"),"702525030")</f>
        <v>702525030</v>
      </c>
      <c r="B5707" s="52">
        <v>7.0252503E8</v>
      </c>
      <c r="C5707" s="28" t="s">
        <v>5664</v>
      </c>
      <c r="D5707" s="26" t="s">
        <v>64</v>
      </c>
      <c r="E5707" s="31">
        <v>46238.0</v>
      </c>
      <c r="F5707" s="26" t="s">
        <v>46</v>
      </c>
      <c r="G5707" s="26">
        <v>10.0</v>
      </c>
      <c r="I5707" s="26" t="s">
        <v>883</v>
      </c>
      <c r="J5707" s="25" t="str">
        <f t="shared" si="61"/>
        <v>No</v>
      </c>
      <c r="K5707" s="25" t="str">
        <f t="shared" si="62"/>
        <v/>
      </c>
      <c r="L5707" s="25" t="str">
        <f t="shared" si="63"/>
        <v/>
      </c>
      <c r="M5707" s="25"/>
      <c r="O5707" s="25"/>
    </row>
    <row r="5708" ht="15.75" customHeight="1">
      <c r="A5708" s="25" t="str">
        <f>IFERROR(__xludf.DUMMYFUNCTION("IF(B5708="""","""",RIGHT(REGEXREPLACE(B5708&amp;"""",""[^0-9]"",""""),9))"),"778833359")</f>
        <v>778833359</v>
      </c>
      <c r="B5708" s="52">
        <v>7.78833359E8</v>
      </c>
      <c r="C5708" s="28" t="s">
        <v>5665</v>
      </c>
      <c r="D5708" s="26" t="s">
        <v>82</v>
      </c>
      <c r="E5708" s="31">
        <v>46238.0</v>
      </c>
      <c r="F5708" s="26" t="s">
        <v>46</v>
      </c>
      <c r="G5708" s="26">
        <v>8.0</v>
      </c>
      <c r="H5708" s="26" t="s">
        <v>5666</v>
      </c>
      <c r="I5708" s="26" t="s">
        <v>883</v>
      </c>
      <c r="J5708" s="25" t="str">
        <f t="shared" si="61"/>
        <v>No</v>
      </c>
      <c r="K5708" s="25" t="str">
        <f t="shared" si="62"/>
        <v/>
      </c>
      <c r="L5708" s="25" t="str">
        <f t="shared" si="63"/>
        <v/>
      </c>
      <c r="M5708" s="25"/>
      <c r="O5708" s="25"/>
    </row>
    <row r="5709" ht="15.75" customHeight="1">
      <c r="A5709" s="25" t="str">
        <f>IFERROR(__xludf.DUMMYFUNCTION("IF(B5709="""","""",RIGHT(REGEXREPLACE(B5709&amp;"""",""[^0-9]"",""""),9))"),"702620634")</f>
        <v>702620634</v>
      </c>
      <c r="B5709" s="52">
        <v>7.02620634E8</v>
      </c>
      <c r="C5709" s="28" t="s">
        <v>5667</v>
      </c>
      <c r="D5709" s="26" t="s">
        <v>82</v>
      </c>
      <c r="E5709" s="31">
        <v>46238.0</v>
      </c>
      <c r="F5709" s="26" t="s">
        <v>46</v>
      </c>
      <c r="G5709" s="26">
        <v>8.0</v>
      </c>
      <c r="H5709" s="26" t="s">
        <v>5668</v>
      </c>
      <c r="I5709" s="26" t="s">
        <v>883</v>
      </c>
      <c r="J5709" s="25" t="str">
        <f t="shared" si="61"/>
        <v>No</v>
      </c>
      <c r="K5709" s="25" t="str">
        <f t="shared" si="62"/>
        <v/>
      </c>
      <c r="L5709" s="25" t="str">
        <f t="shared" si="63"/>
        <v/>
      </c>
      <c r="M5709" s="25"/>
      <c r="O5709" s="25"/>
    </row>
    <row r="5710" ht="15.75" customHeight="1">
      <c r="A5710" s="25" t="str">
        <f>IFERROR(__xludf.DUMMYFUNCTION("IF(B5710="""","""",RIGHT(REGEXREPLACE(B5710&amp;"""",""[^0-9]"",""""),9))"),"714282651")</f>
        <v>714282651</v>
      </c>
      <c r="B5710" s="52">
        <v>7.14282651E8</v>
      </c>
      <c r="C5710" s="28" t="s">
        <v>5669</v>
      </c>
      <c r="D5710" s="26" t="s">
        <v>49</v>
      </c>
      <c r="E5710" s="31">
        <v>46238.0</v>
      </c>
      <c r="F5710" s="26" t="s">
        <v>46</v>
      </c>
      <c r="G5710" s="26">
        <v>11.0</v>
      </c>
      <c r="H5710" s="117" t="s">
        <v>5670</v>
      </c>
      <c r="I5710" s="26" t="s">
        <v>883</v>
      </c>
      <c r="J5710" s="25" t="str">
        <f t="shared" si="61"/>
        <v>No</v>
      </c>
      <c r="K5710" s="25" t="str">
        <f t="shared" si="62"/>
        <v/>
      </c>
      <c r="L5710" s="25" t="str">
        <f t="shared" si="63"/>
        <v/>
      </c>
      <c r="M5710" s="25"/>
      <c r="O5710" s="25"/>
    </row>
    <row r="5711" ht="15.75" customHeight="1">
      <c r="A5711" s="25" t="str">
        <f>IFERROR(__xludf.DUMMYFUNCTION("IF(B5711="""","""",RIGHT(REGEXREPLACE(B5711&amp;"""",""[^0-9]"",""""),9))"),"764386850")</f>
        <v>764386850</v>
      </c>
      <c r="B5711" s="52">
        <v>7.6438685E8</v>
      </c>
      <c r="C5711" s="28" t="s">
        <v>5671</v>
      </c>
      <c r="D5711" s="26" t="s">
        <v>82</v>
      </c>
      <c r="E5711" s="31">
        <v>46238.0</v>
      </c>
      <c r="F5711" s="26" t="s">
        <v>41</v>
      </c>
      <c r="G5711" s="26">
        <v>9.0</v>
      </c>
      <c r="I5711" s="26" t="s">
        <v>883</v>
      </c>
      <c r="J5711" s="25" t="str">
        <f t="shared" si="61"/>
        <v>No</v>
      </c>
      <c r="K5711" s="25" t="str">
        <f t="shared" si="62"/>
        <v/>
      </c>
      <c r="L5711" s="25" t="str">
        <f t="shared" si="63"/>
        <v/>
      </c>
      <c r="M5711" s="25"/>
      <c r="O5711" s="25"/>
    </row>
    <row r="5712" ht="15.75" customHeight="1">
      <c r="C5712" s="46"/>
      <c r="D5712" s="25"/>
      <c r="F5712" s="25"/>
      <c r="I5712" s="26" t="s">
        <v>883</v>
      </c>
      <c r="M5712" s="25"/>
      <c r="O5712" s="25"/>
    </row>
    <row r="5713" ht="15.75" customHeight="1">
      <c r="A5713" s="25" t="str">
        <f>IFERROR(__xludf.DUMMYFUNCTION("IF(B5713="""","""",RIGHT(REGEXREPLACE(B5713&amp;"""",""[^0-9]"",""""),9))"),"760713313")</f>
        <v>760713313</v>
      </c>
      <c r="B5713" s="52">
        <v>7.60713313E8</v>
      </c>
      <c r="C5713" s="28" t="s">
        <v>5672</v>
      </c>
      <c r="D5713" s="26" t="s">
        <v>49</v>
      </c>
      <c r="E5713" s="31">
        <v>46238.0</v>
      </c>
      <c r="F5713" s="26" t="s">
        <v>46</v>
      </c>
      <c r="G5713" s="26">
        <v>8.0</v>
      </c>
      <c r="I5713" s="26" t="s">
        <v>883</v>
      </c>
      <c r="J5713" s="25" t="str">
        <f t="shared" ref="J5713:J6298" si="64">IF(COUNTIF($A$2:A5712,A5713)&gt;0,"Yes - see Previous F-Code","No")</f>
        <v>No</v>
      </c>
      <c r="K5713" s="25" t="str">
        <f t="shared" ref="K5713:K6298" si="65">IF(COUNTIFS($A$2:A5713,A5713,$I$2:I5713,I5713)&gt;1,"DUPLICATE - CHECK","")</f>
        <v/>
      </c>
      <c r="L5713" s="25" t="str">
        <f t="shared" ref="L5713:L6298" si="66">IF(COUNTIF($A$2:A5712,A5713)&gt;0,INDEX($C$2:C5712,MATCH(A5713,$A$2:A5712,0)),"")</f>
        <v/>
      </c>
      <c r="M5713" s="25"/>
      <c r="O5713" s="25"/>
    </row>
    <row r="5714" ht="15.75" customHeight="1">
      <c r="A5714" s="25" t="str">
        <f>IFERROR(__xludf.DUMMYFUNCTION("IF(B5714="""","""",RIGHT(REGEXREPLACE(B5714&amp;"""",""[^0-9]"",""""),9))"),"770352873")</f>
        <v>770352873</v>
      </c>
      <c r="B5714" s="52">
        <v>7.70352873E8</v>
      </c>
      <c r="C5714" s="28" t="s">
        <v>5673</v>
      </c>
      <c r="D5714" s="26" t="s">
        <v>82</v>
      </c>
      <c r="E5714" s="31">
        <v>46238.0</v>
      </c>
      <c r="F5714" s="26" t="s">
        <v>46</v>
      </c>
      <c r="G5714" s="26">
        <v>7.0</v>
      </c>
      <c r="H5714" s="26" t="s">
        <v>5674</v>
      </c>
      <c r="I5714" s="26" t="s">
        <v>883</v>
      </c>
      <c r="J5714" s="25" t="str">
        <f t="shared" si="64"/>
        <v>No</v>
      </c>
      <c r="K5714" s="25" t="str">
        <f t="shared" si="65"/>
        <v/>
      </c>
      <c r="L5714" s="25" t="str">
        <f t="shared" si="66"/>
        <v/>
      </c>
      <c r="M5714" s="25"/>
      <c r="O5714" s="25"/>
    </row>
    <row r="5715" ht="15.75" customHeight="1">
      <c r="A5715" s="25" t="str">
        <f>IFERROR(__xludf.DUMMYFUNCTION("IF(B5715="""","""",RIGHT(REGEXREPLACE(B5715&amp;"""",""[^0-9]"",""""),9))"),"772701596")</f>
        <v>772701596</v>
      </c>
      <c r="B5715" s="52">
        <v>7.72701596E8</v>
      </c>
      <c r="C5715" s="28" t="s">
        <v>5675</v>
      </c>
      <c r="D5715" s="26" t="s">
        <v>82</v>
      </c>
      <c r="E5715" s="31">
        <v>46238.0</v>
      </c>
      <c r="F5715" s="26" t="s">
        <v>46</v>
      </c>
      <c r="G5715" s="26">
        <v>9.0</v>
      </c>
      <c r="I5715" s="26" t="s">
        <v>883</v>
      </c>
      <c r="J5715" s="25" t="str">
        <f t="shared" si="64"/>
        <v>No</v>
      </c>
      <c r="K5715" s="25" t="str">
        <f t="shared" si="65"/>
        <v/>
      </c>
      <c r="L5715" s="25" t="str">
        <f t="shared" si="66"/>
        <v/>
      </c>
      <c r="M5715" s="25"/>
      <c r="O5715" s="25"/>
    </row>
    <row r="5716" ht="15.75" customHeight="1">
      <c r="A5716" s="25" t="str">
        <f>IFERROR(__xludf.DUMMYFUNCTION("IF(B5716="""","""",RIGHT(REGEXREPLACE(B5716&amp;"""",""[^0-9]"",""""),9))"),"752045109")</f>
        <v>752045109</v>
      </c>
      <c r="B5716" s="52">
        <v>7.52045109E8</v>
      </c>
      <c r="C5716" s="28" t="s">
        <v>5676</v>
      </c>
      <c r="D5716" s="26" t="s">
        <v>49</v>
      </c>
      <c r="E5716" s="31">
        <v>46238.0</v>
      </c>
      <c r="F5716" s="26" t="s">
        <v>41</v>
      </c>
      <c r="H5716" s="26" t="s">
        <v>819</v>
      </c>
      <c r="I5716" s="26" t="s">
        <v>883</v>
      </c>
      <c r="J5716" s="25" t="str">
        <f t="shared" si="64"/>
        <v>No</v>
      </c>
      <c r="K5716" s="25" t="str">
        <f t="shared" si="65"/>
        <v/>
      </c>
      <c r="L5716" s="25" t="str">
        <f t="shared" si="66"/>
        <v/>
      </c>
      <c r="M5716" s="25"/>
      <c r="O5716" s="25"/>
    </row>
    <row r="5717" ht="15.75" customHeight="1">
      <c r="A5717" s="25" t="str">
        <f>IFERROR(__xludf.DUMMYFUNCTION("IF(B5717="""","""",RIGHT(REGEXREPLACE(B5717&amp;"""",""[^0-9]"",""""),9))"),"784333159")</f>
        <v>784333159</v>
      </c>
      <c r="B5717" s="52">
        <v>7.84333159E8</v>
      </c>
      <c r="C5717" s="28" t="s">
        <v>5677</v>
      </c>
      <c r="D5717" s="26" t="s">
        <v>64</v>
      </c>
      <c r="E5717" s="31">
        <v>46238.0</v>
      </c>
      <c r="F5717" s="26" t="s">
        <v>46</v>
      </c>
      <c r="G5717" s="26">
        <v>7.0</v>
      </c>
      <c r="I5717" s="26" t="s">
        <v>883</v>
      </c>
      <c r="J5717" s="25" t="str">
        <f t="shared" si="64"/>
        <v>No</v>
      </c>
      <c r="K5717" s="25" t="str">
        <f t="shared" si="65"/>
        <v/>
      </c>
      <c r="L5717" s="25" t="str">
        <f t="shared" si="66"/>
        <v/>
      </c>
      <c r="M5717" s="25"/>
      <c r="O5717" s="25"/>
    </row>
    <row r="5718" ht="15.75" customHeight="1">
      <c r="A5718" s="25" t="str">
        <f>IFERROR(__xludf.DUMMYFUNCTION("IF(B5718="""","""",RIGHT(REGEXREPLACE(B5718&amp;"""",""[^0-9]"",""""),9))"),"781770092")</f>
        <v>781770092</v>
      </c>
      <c r="B5718" s="52">
        <v>7.81770092E8</v>
      </c>
      <c r="C5718" s="28" t="s">
        <v>5678</v>
      </c>
      <c r="D5718" s="26" t="s">
        <v>45</v>
      </c>
      <c r="E5718" s="31">
        <v>46238.0</v>
      </c>
      <c r="F5718" s="26" t="s">
        <v>46</v>
      </c>
      <c r="G5718" s="26">
        <v>6.0</v>
      </c>
      <c r="I5718" s="26" t="s">
        <v>883</v>
      </c>
      <c r="J5718" s="25" t="str">
        <f t="shared" si="64"/>
        <v>No</v>
      </c>
      <c r="K5718" s="25" t="str">
        <f t="shared" si="65"/>
        <v/>
      </c>
      <c r="L5718" s="25" t="str">
        <f t="shared" si="66"/>
        <v/>
      </c>
      <c r="M5718" s="25"/>
      <c r="O5718" s="25"/>
    </row>
    <row r="5719" ht="15.75" customHeight="1">
      <c r="A5719" s="25" t="str">
        <f>IFERROR(__xludf.DUMMYFUNCTION("IF(B5719="""","""",RIGHT(REGEXREPLACE(B5719&amp;"""",""[^0-9]"",""""),9))"),"769198377")</f>
        <v>769198377</v>
      </c>
      <c r="B5719" s="52">
        <v>7.69198377E8</v>
      </c>
      <c r="C5719" s="28" t="s">
        <v>5679</v>
      </c>
      <c r="D5719" s="26" t="s">
        <v>82</v>
      </c>
      <c r="E5719" s="31">
        <v>46238.0</v>
      </c>
      <c r="F5719" s="26" t="s">
        <v>46</v>
      </c>
      <c r="G5719" s="26">
        <v>7.0</v>
      </c>
      <c r="H5719" s="26" t="s">
        <v>5680</v>
      </c>
      <c r="I5719" s="26" t="s">
        <v>883</v>
      </c>
      <c r="J5719" s="25" t="str">
        <f t="shared" si="64"/>
        <v>No</v>
      </c>
      <c r="K5719" s="25" t="str">
        <f t="shared" si="65"/>
        <v/>
      </c>
      <c r="L5719" s="25" t="str">
        <f t="shared" si="66"/>
        <v/>
      </c>
      <c r="M5719" s="25"/>
      <c r="O5719" s="25"/>
    </row>
    <row r="5720" ht="15.75" customHeight="1">
      <c r="A5720" s="25" t="str">
        <f>IFERROR(__xludf.DUMMYFUNCTION("IF(B5720="""","""",RIGHT(REGEXREPLACE(B5720&amp;"""",""[^0-9]"",""""),9))"),"768134190")</f>
        <v>768134190</v>
      </c>
      <c r="B5720" s="52">
        <v>7.6813419E8</v>
      </c>
      <c r="C5720" s="28" t="s">
        <v>5263</v>
      </c>
      <c r="D5720" s="26" t="s">
        <v>49</v>
      </c>
      <c r="E5720" s="31">
        <v>46238.0</v>
      </c>
      <c r="F5720" s="26" t="s">
        <v>46</v>
      </c>
      <c r="G5720" s="26">
        <v>9.0</v>
      </c>
      <c r="H5720" s="26" t="s">
        <v>5681</v>
      </c>
      <c r="I5720" s="26" t="s">
        <v>883</v>
      </c>
      <c r="J5720" s="25" t="str">
        <f t="shared" si="64"/>
        <v>Yes - see Previous F-Code</v>
      </c>
      <c r="K5720" s="25" t="str">
        <f t="shared" si="65"/>
        <v/>
      </c>
      <c r="L5720" s="25" t="str">
        <f t="shared" si="66"/>
        <v>F74784</v>
      </c>
      <c r="M5720" s="25"/>
      <c r="O5720" s="25"/>
    </row>
    <row r="5721" ht="15.75" customHeight="1">
      <c r="A5721" s="25" t="str">
        <f>IFERROR(__xludf.DUMMYFUNCTION("IF(B5721="""","""",RIGHT(REGEXREPLACE(B5721&amp;"""",""[^0-9]"",""""),9))"),"772013497")</f>
        <v>772013497</v>
      </c>
      <c r="B5721" s="52">
        <v>7.72013497E8</v>
      </c>
      <c r="C5721" s="28" t="s">
        <v>5682</v>
      </c>
      <c r="D5721" s="26" t="s">
        <v>64</v>
      </c>
      <c r="E5721" s="31">
        <v>46238.0</v>
      </c>
      <c r="F5721" s="26" t="s">
        <v>41</v>
      </c>
      <c r="G5721" s="26">
        <v>7.0</v>
      </c>
      <c r="I5721" s="26" t="s">
        <v>883</v>
      </c>
      <c r="J5721" s="25" t="str">
        <f t="shared" si="64"/>
        <v>No</v>
      </c>
      <c r="K5721" s="25" t="str">
        <f t="shared" si="65"/>
        <v/>
      </c>
      <c r="L5721" s="25" t="str">
        <f t="shared" si="66"/>
        <v/>
      </c>
      <c r="M5721" s="25"/>
      <c r="O5721" s="26" t="s">
        <v>51</v>
      </c>
    </row>
    <row r="5722" ht="15.75" customHeight="1">
      <c r="A5722" s="25" t="str">
        <f>IFERROR(__xludf.DUMMYFUNCTION("IF(B5722="""","""",RIGHT(REGEXREPLACE(B5722&amp;"""",""[^0-9]"",""""),9))"),"716516899")</f>
        <v>716516899</v>
      </c>
      <c r="B5722" s="52">
        <v>7.16516899E8</v>
      </c>
      <c r="C5722" s="28" t="s">
        <v>5683</v>
      </c>
      <c r="D5722" s="26" t="s">
        <v>64</v>
      </c>
      <c r="E5722" s="31">
        <v>46238.0</v>
      </c>
      <c r="F5722" s="26" t="s">
        <v>167</v>
      </c>
      <c r="H5722" s="26" t="s">
        <v>5684</v>
      </c>
      <c r="I5722" s="26" t="s">
        <v>883</v>
      </c>
      <c r="J5722" s="25" t="str">
        <f t="shared" si="64"/>
        <v>No</v>
      </c>
      <c r="K5722" s="25" t="str">
        <f t="shared" si="65"/>
        <v/>
      </c>
      <c r="L5722" s="25" t="str">
        <f t="shared" si="66"/>
        <v/>
      </c>
      <c r="M5722" s="25"/>
      <c r="O5722" s="25"/>
    </row>
    <row r="5723" ht="15.75" customHeight="1">
      <c r="A5723" s="25" t="str">
        <f>IFERROR(__xludf.DUMMYFUNCTION("IF(B5723="""","""",RIGHT(REGEXREPLACE(B5723&amp;"""",""[^0-9]"",""""),9))"),"763830256")</f>
        <v>763830256</v>
      </c>
      <c r="B5723" s="52">
        <v>7.63830256E8</v>
      </c>
      <c r="C5723" s="28" t="s">
        <v>2893</v>
      </c>
      <c r="D5723" s="26" t="s">
        <v>64</v>
      </c>
      <c r="E5723" s="31">
        <v>46238.0</v>
      </c>
      <c r="F5723" s="26" t="s">
        <v>46</v>
      </c>
      <c r="G5723" s="26" t="s">
        <v>5685</v>
      </c>
      <c r="I5723" s="26" t="s">
        <v>883</v>
      </c>
      <c r="J5723" s="25" t="str">
        <f t="shared" si="64"/>
        <v>Yes - see Previous F-Code</v>
      </c>
      <c r="K5723" s="25" t="str">
        <f t="shared" si="65"/>
        <v/>
      </c>
      <c r="L5723" s="25" t="str">
        <f t="shared" si="66"/>
        <v>F72682</v>
      </c>
      <c r="M5723" s="25"/>
      <c r="O5723" s="25"/>
    </row>
    <row r="5724" ht="15.75" customHeight="1">
      <c r="A5724" s="25" t="str">
        <f>IFERROR(__xludf.DUMMYFUNCTION("IF(B5724="""","""",RIGHT(REGEXREPLACE(B5724&amp;"""",""[^0-9]"",""""),9))"),"779162552")</f>
        <v>779162552</v>
      </c>
      <c r="B5724" s="52">
        <v>7.79162552E8</v>
      </c>
      <c r="C5724" s="28" t="s">
        <v>5686</v>
      </c>
      <c r="D5724" s="26" t="s">
        <v>49</v>
      </c>
      <c r="E5724" s="31">
        <v>46238.0</v>
      </c>
      <c r="F5724" s="26" t="s">
        <v>46</v>
      </c>
      <c r="G5724" s="26">
        <v>7.0</v>
      </c>
      <c r="I5724" s="26" t="s">
        <v>883</v>
      </c>
      <c r="J5724" s="25" t="str">
        <f t="shared" si="64"/>
        <v>No</v>
      </c>
      <c r="K5724" s="25" t="str">
        <f t="shared" si="65"/>
        <v/>
      </c>
      <c r="L5724" s="25" t="str">
        <f t="shared" si="66"/>
        <v/>
      </c>
      <c r="M5724" s="25"/>
      <c r="O5724" s="25"/>
    </row>
    <row r="5725" ht="15.75" customHeight="1">
      <c r="A5725" s="25" t="str">
        <f>IFERROR(__xludf.DUMMYFUNCTION("IF(B5725="""","""",RIGHT(REGEXREPLACE(B5725&amp;"""",""[^0-9]"",""""),9))"),"760901140")</f>
        <v>760901140</v>
      </c>
      <c r="B5725" s="52">
        <v>7.6090114E8</v>
      </c>
      <c r="C5725" s="28" t="s">
        <v>5687</v>
      </c>
      <c r="D5725" s="26" t="s">
        <v>82</v>
      </c>
      <c r="E5725" s="31">
        <v>46238.0</v>
      </c>
      <c r="F5725" s="26" t="s">
        <v>41</v>
      </c>
      <c r="G5725" s="26">
        <v>8.0</v>
      </c>
      <c r="I5725" s="26" t="s">
        <v>883</v>
      </c>
      <c r="J5725" s="25" t="str">
        <f t="shared" si="64"/>
        <v>No</v>
      </c>
      <c r="K5725" s="25" t="str">
        <f t="shared" si="65"/>
        <v/>
      </c>
      <c r="L5725" s="25" t="str">
        <f t="shared" si="66"/>
        <v/>
      </c>
      <c r="M5725" s="25"/>
      <c r="O5725" s="25"/>
    </row>
    <row r="5726" ht="15.75" customHeight="1">
      <c r="A5726" s="25" t="str">
        <f>IFERROR(__xludf.DUMMYFUNCTION("IF(B5726="""","""",RIGHT(REGEXREPLACE(B5726&amp;"""",""[^0-9]"",""""),9))"),"756419444")</f>
        <v>756419444</v>
      </c>
      <c r="B5726" s="52">
        <v>7.56419444E8</v>
      </c>
      <c r="C5726" s="28" t="s">
        <v>5688</v>
      </c>
      <c r="D5726" s="26" t="s">
        <v>45</v>
      </c>
      <c r="E5726" s="31">
        <v>46238.0</v>
      </c>
      <c r="F5726" s="26" t="s">
        <v>205</v>
      </c>
      <c r="G5726" s="26">
        <v>7.0</v>
      </c>
      <c r="I5726" s="26" t="s">
        <v>883</v>
      </c>
      <c r="J5726" s="25" t="str">
        <f t="shared" si="64"/>
        <v>No</v>
      </c>
      <c r="K5726" s="25" t="str">
        <f t="shared" si="65"/>
        <v/>
      </c>
      <c r="L5726" s="25" t="str">
        <f t="shared" si="66"/>
        <v/>
      </c>
      <c r="M5726" s="25"/>
      <c r="O5726" s="25"/>
    </row>
    <row r="5727" ht="15.75" customHeight="1">
      <c r="A5727" s="25" t="str">
        <f>IFERROR(__xludf.DUMMYFUNCTION("IF(B5727="""","""",RIGHT(REGEXREPLACE(B5727&amp;"""",""[^0-9]"",""""),9))"),"760901140")</f>
        <v>760901140</v>
      </c>
      <c r="B5727" s="52">
        <v>7.6090114E8</v>
      </c>
      <c r="C5727" s="28" t="s">
        <v>5687</v>
      </c>
      <c r="D5727" s="26" t="s">
        <v>45</v>
      </c>
      <c r="E5727" s="31">
        <v>46238.0</v>
      </c>
      <c r="F5727" s="26" t="s">
        <v>46</v>
      </c>
      <c r="G5727" s="26">
        <v>8.0</v>
      </c>
      <c r="I5727" s="26" t="s">
        <v>883</v>
      </c>
      <c r="J5727" s="25" t="str">
        <f t="shared" si="64"/>
        <v>Yes - see Previous F-Code</v>
      </c>
      <c r="K5727" s="25" t="str">
        <f t="shared" si="65"/>
        <v>DUPLICATE - CHECK</v>
      </c>
      <c r="L5727" s="25" t="str">
        <f t="shared" si="66"/>
        <v>F75143</v>
      </c>
      <c r="M5727" s="25"/>
      <c r="O5727" s="26" t="s">
        <v>51</v>
      </c>
    </row>
    <row r="5728" ht="15.75" customHeight="1">
      <c r="A5728" s="25" t="str">
        <f>IFERROR(__xludf.DUMMYFUNCTION("IF(B5728="""","""",RIGHT(REGEXREPLACE(B5728&amp;"""",""[^0-9]"",""""),9))"),"707409217")</f>
        <v>707409217</v>
      </c>
      <c r="B5728" s="52">
        <v>7.07409217E8</v>
      </c>
      <c r="C5728" s="28" t="s">
        <v>5689</v>
      </c>
      <c r="D5728" s="26" t="s">
        <v>49</v>
      </c>
      <c r="E5728" s="31">
        <v>46238.0</v>
      </c>
      <c r="F5728" s="26" t="s">
        <v>46</v>
      </c>
      <c r="G5728" s="26" t="s">
        <v>1105</v>
      </c>
      <c r="H5728" s="26" t="s">
        <v>4980</v>
      </c>
      <c r="I5728" s="26" t="s">
        <v>883</v>
      </c>
      <c r="J5728" s="25" t="str">
        <f t="shared" si="64"/>
        <v>No</v>
      </c>
      <c r="K5728" s="25" t="str">
        <f t="shared" si="65"/>
        <v/>
      </c>
      <c r="L5728" s="25" t="str">
        <f t="shared" si="66"/>
        <v/>
      </c>
      <c r="M5728" s="25"/>
      <c r="O5728" s="25"/>
    </row>
    <row r="5729" ht="15.75" customHeight="1">
      <c r="A5729" s="25" t="str">
        <f>IFERROR(__xludf.DUMMYFUNCTION("IF(B5729="""","""",RIGHT(REGEXREPLACE(B5729&amp;"""",""[^0-9]"",""""),9))"),"719163110")</f>
        <v>719163110</v>
      </c>
      <c r="B5729" s="52">
        <v>7.1916311E8</v>
      </c>
      <c r="C5729" s="28" t="s">
        <v>5690</v>
      </c>
      <c r="D5729" s="26" t="s">
        <v>82</v>
      </c>
      <c r="E5729" s="31">
        <v>46238.0</v>
      </c>
      <c r="F5729" s="26" t="s">
        <v>46</v>
      </c>
      <c r="G5729" s="26">
        <v>10.0</v>
      </c>
      <c r="I5729" s="26" t="s">
        <v>883</v>
      </c>
      <c r="J5729" s="25" t="str">
        <f t="shared" si="64"/>
        <v>No</v>
      </c>
      <c r="K5729" s="25" t="str">
        <f t="shared" si="65"/>
        <v/>
      </c>
      <c r="L5729" s="25" t="str">
        <f t="shared" si="66"/>
        <v/>
      </c>
      <c r="M5729" s="25"/>
      <c r="O5729" s="25"/>
    </row>
    <row r="5730" ht="15.75" customHeight="1">
      <c r="A5730" s="25" t="str">
        <f>IFERROR(__xludf.DUMMYFUNCTION("IF(B5730="""","""",RIGHT(REGEXREPLACE(B5730&amp;"""",""[^0-9]"",""""),9))"),"772902491")</f>
        <v>772902491</v>
      </c>
      <c r="B5730" s="52">
        <v>7.72902491E8</v>
      </c>
      <c r="C5730" s="28" t="s">
        <v>5691</v>
      </c>
      <c r="D5730" s="26" t="s">
        <v>45</v>
      </c>
      <c r="E5730" s="31">
        <v>46238.0</v>
      </c>
      <c r="F5730" s="26" t="s">
        <v>46</v>
      </c>
      <c r="G5730" s="26">
        <v>7.0</v>
      </c>
      <c r="I5730" s="26" t="s">
        <v>883</v>
      </c>
      <c r="J5730" s="25" t="str">
        <f t="shared" si="64"/>
        <v>No</v>
      </c>
      <c r="K5730" s="25" t="str">
        <f t="shared" si="65"/>
        <v/>
      </c>
      <c r="L5730" s="25" t="str">
        <f t="shared" si="66"/>
        <v/>
      </c>
      <c r="M5730" s="25"/>
      <c r="O5730" s="25"/>
    </row>
    <row r="5731" ht="15.75" customHeight="1">
      <c r="A5731" s="25" t="str">
        <f>IFERROR(__xludf.DUMMYFUNCTION("IF(B5731="""","""",RIGHT(REGEXREPLACE(B5731&amp;"""",""[^0-9]"",""""),9))"),"703453345")</f>
        <v>703453345</v>
      </c>
      <c r="B5731" s="52">
        <v>7.03453345E8</v>
      </c>
      <c r="C5731" s="28" t="s">
        <v>5692</v>
      </c>
      <c r="D5731" s="26" t="s">
        <v>64</v>
      </c>
      <c r="E5731" s="31">
        <v>46238.0</v>
      </c>
      <c r="F5731" s="26" t="s">
        <v>46</v>
      </c>
      <c r="G5731" s="26">
        <v>7.0</v>
      </c>
      <c r="I5731" s="26" t="s">
        <v>883</v>
      </c>
      <c r="J5731" s="25" t="str">
        <f t="shared" si="64"/>
        <v>No</v>
      </c>
      <c r="K5731" s="25" t="str">
        <f t="shared" si="65"/>
        <v/>
      </c>
      <c r="L5731" s="25" t="str">
        <f t="shared" si="66"/>
        <v/>
      </c>
      <c r="M5731" s="25"/>
      <c r="O5731" s="25"/>
    </row>
    <row r="5732" ht="15.75" customHeight="1">
      <c r="A5732" s="25" t="str">
        <f>IFERROR(__xludf.DUMMYFUNCTION("IF(B5732="""","""",RIGHT(REGEXREPLACE(B5732&amp;"""",""[^0-9]"",""""),9))"),"765300843")</f>
        <v>765300843</v>
      </c>
      <c r="B5732" s="52">
        <v>7.65300843E8</v>
      </c>
      <c r="C5732" s="28" t="s">
        <v>5693</v>
      </c>
      <c r="D5732" s="52" t="s">
        <v>82</v>
      </c>
      <c r="E5732" s="31">
        <v>46238.0</v>
      </c>
      <c r="F5732" s="26" t="s">
        <v>46</v>
      </c>
      <c r="G5732" s="26">
        <v>7.0</v>
      </c>
      <c r="I5732" s="26" t="s">
        <v>883</v>
      </c>
      <c r="J5732" s="25" t="str">
        <f t="shared" si="64"/>
        <v>No</v>
      </c>
      <c r="K5732" s="25" t="str">
        <f t="shared" si="65"/>
        <v/>
      </c>
      <c r="L5732" s="25" t="str">
        <f t="shared" si="66"/>
        <v/>
      </c>
      <c r="M5732" s="25"/>
      <c r="O5732" s="25"/>
    </row>
    <row r="5733" ht="15.75" customHeight="1">
      <c r="A5733" s="25" t="str">
        <f>IFERROR(__xludf.DUMMYFUNCTION("IF(B5733="""","""",RIGHT(REGEXREPLACE(B5733&amp;"""",""[^0-9]"",""""),9))"),"765893461")</f>
        <v>765893461</v>
      </c>
      <c r="B5733" s="52">
        <v>7.65893461E8</v>
      </c>
      <c r="C5733" s="28" t="s">
        <v>5694</v>
      </c>
      <c r="D5733" s="26" t="s">
        <v>45</v>
      </c>
      <c r="E5733" s="31">
        <v>46238.0</v>
      </c>
      <c r="F5733" s="26" t="s">
        <v>46</v>
      </c>
      <c r="G5733" s="26">
        <v>8.0</v>
      </c>
      <c r="I5733" s="26" t="s">
        <v>883</v>
      </c>
      <c r="J5733" s="25" t="str">
        <f t="shared" si="64"/>
        <v>No</v>
      </c>
      <c r="K5733" s="25" t="str">
        <f t="shared" si="65"/>
        <v/>
      </c>
      <c r="L5733" s="25" t="str">
        <f t="shared" si="66"/>
        <v/>
      </c>
      <c r="M5733" s="25"/>
      <c r="O5733" s="25"/>
    </row>
    <row r="5734" ht="15.75" customHeight="1">
      <c r="A5734" s="25" t="str">
        <f>IFERROR(__xludf.DUMMYFUNCTION("IF(B5734="""","""",RIGHT(REGEXREPLACE(B5734&amp;"""",""[^0-9]"",""""),9))"),"715999850")</f>
        <v>715999850</v>
      </c>
      <c r="B5734" s="52">
        <v>7.1599985E8</v>
      </c>
      <c r="C5734" s="28" t="s">
        <v>5695</v>
      </c>
      <c r="D5734" s="26" t="s">
        <v>49</v>
      </c>
      <c r="E5734" s="31">
        <v>46238.0</v>
      </c>
      <c r="F5734" s="26" t="s">
        <v>46</v>
      </c>
      <c r="G5734" s="26">
        <v>6.0</v>
      </c>
      <c r="I5734" s="26" t="s">
        <v>883</v>
      </c>
      <c r="J5734" s="25" t="str">
        <f t="shared" si="64"/>
        <v>No</v>
      </c>
      <c r="K5734" s="25" t="str">
        <f t="shared" si="65"/>
        <v/>
      </c>
      <c r="L5734" s="25" t="str">
        <f t="shared" si="66"/>
        <v/>
      </c>
      <c r="M5734" s="25"/>
      <c r="O5734" s="25"/>
    </row>
    <row r="5735" ht="15.75" customHeight="1">
      <c r="A5735" s="25" t="str">
        <f>IFERROR(__xludf.DUMMYFUNCTION("IF(B5735="""","""",RIGHT(REGEXREPLACE(B5735&amp;"""",""[^0-9]"",""""),9))"),"701180640")</f>
        <v>701180640</v>
      </c>
      <c r="B5735" s="52">
        <v>7.0118064E8</v>
      </c>
      <c r="C5735" s="28" t="s">
        <v>5696</v>
      </c>
      <c r="D5735" s="26" t="s">
        <v>64</v>
      </c>
      <c r="E5735" s="31">
        <v>46238.0</v>
      </c>
      <c r="F5735" s="25"/>
      <c r="G5735" s="25"/>
      <c r="H5735" s="25"/>
      <c r="I5735" s="26" t="s">
        <v>883</v>
      </c>
      <c r="J5735" s="25" t="str">
        <f t="shared" si="64"/>
        <v>No</v>
      </c>
      <c r="K5735" s="25" t="str">
        <f t="shared" si="65"/>
        <v/>
      </c>
      <c r="L5735" s="25" t="str">
        <f t="shared" si="66"/>
        <v/>
      </c>
      <c r="M5735" s="25"/>
      <c r="N5735" s="25"/>
      <c r="O5735" s="26" t="s">
        <v>51</v>
      </c>
      <c r="P5735" s="25"/>
    </row>
    <row r="5736" ht="15.75" customHeight="1">
      <c r="A5736" s="25" t="str">
        <f>IFERROR(__xludf.DUMMYFUNCTION("IF(B5736="""","""",RIGHT(REGEXREPLACE(B5736&amp;"""",""[^0-9]"",""""),9))"),"718659634")</f>
        <v>718659634</v>
      </c>
      <c r="B5736" s="52">
        <v>7.18659634E8</v>
      </c>
      <c r="C5736" s="28" t="s">
        <v>5697</v>
      </c>
      <c r="D5736" s="26" t="s">
        <v>82</v>
      </c>
      <c r="E5736" s="31">
        <v>46238.0</v>
      </c>
      <c r="F5736" s="26" t="s">
        <v>46</v>
      </c>
      <c r="G5736" s="26">
        <v>10.0</v>
      </c>
      <c r="I5736" s="26" t="s">
        <v>883</v>
      </c>
      <c r="J5736" s="25" t="str">
        <f t="shared" si="64"/>
        <v>No</v>
      </c>
      <c r="K5736" s="25" t="str">
        <f t="shared" si="65"/>
        <v/>
      </c>
      <c r="L5736" s="25" t="str">
        <f t="shared" si="66"/>
        <v/>
      </c>
      <c r="M5736" s="25"/>
      <c r="O5736" s="25"/>
    </row>
    <row r="5737" ht="15.75" customHeight="1">
      <c r="A5737" s="25" t="str">
        <f>IFERROR(__xludf.DUMMYFUNCTION("IF(B5737="""","""",RIGHT(REGEXREPLACE(B5737&amp;"""",""[^0-9]"",""""),9))"),"702184382")</f>
        <v>702184382</v>
      </c>
      <c r="B5737" s="52">
        <v>7.02184382E8</v>
      </c>
      <c r="C5737" s="28" t="s">
        <v>5698</v>
      </c>
      <c r="D5737" s="26" t="s">
        <v>82</v>
      </c>
      <c r="E5737" s="31">
        <v>46238.0</v>
      </c>
      <c r="F5737" s="26" t="s">
        <v>46</v>
      </c>
      <c r="G5737" s="26">
        <v>6.0</v>
      </c>
      <c r="H5737" s="26" t="s">
        <v>5699</v>
      </c>
      <c r="I5737" s="26" t="s">
        <v>883</v>
      </c>
      <c r="J5737" s="25" t="str">
        <f t="shared" si="64"/>
        <v>No</v>
      </c>
      <c r="K5737" s="25" t="str">
        <f t="shared" si="65"/>
        <v/>
      </c>
      <c r="L5737" s="25" t="str">
        <f t="shared" si="66"/>
        <v/>
      </c>
      <c r="M5737" s="25"/>
      <c r="O5737" s="25"/>
    </row>
    <row r="5738" ht="15.75" customHeight="1">
      <c r="A5738" s="25" t="str">
        <f>IFERROR(__xludf.DUMMYFUNCTION("IF(B5738="""","""",RIGHT(REGEXREPLACE(B5738&amp;"""",""[^0-9]"",""""),9))"),"715873024")</f>
        <v>715873024</v>
      </c>
      <c r="B5738" s="52">
        <v>7.15873024E8</v>
      </c>
      <c r="C5738" s="28" t="s">
        <v>414</v>
      </c>
      <c r="D5738" s="26" t="s">
        <v>49</v>
      </c>
      <c r="E5738" s="31">
        <v>46238.0</v>
      </c>
      <c r="F5738" s="26" t="s">
        <v>46</v>
      </c>
      <c r="G5738" s="26">
        <v>6.0</v>
      </c>
      <c r="I5738" s="26" t="s">
        <v>883</v>
      </c>
      <c r="J5738" s="25" t="str">
        <f t="shared" si="64"/>
        <v>Yes - see Previous F-Code</v>
      </c>
      <c r="K5738" s="25" t="str">
        <f t="shared" si="65"/>
        <v/>
      </c>
      <c r="L5738" s="25" t="str">
        <f t="shared" si="66"/>
        <v>F70251</v>
      </c>
      <c r="M5738" s="25"/>
      <c r="O5738" s="25"/>
    </row>
    <row r="5739" ht="15.75" customHeight="1">
      <c r="A5739" s="25" t="str">
        <f>IFERROR(__xludf.DUMMYFUNCTION("IF(B5739="""","""",RIGHT(REGEXREPLACE(B5739&amp;"""",""[^0-9]"",""""),9))"),"764928013")</f>
        <v>764928013</v>
      </c>
      <c r="B5739" s="52">
        <v>7.64928013E8</v>
      </c>
      <c r="C5739" s="28" t="s">
        <v>5700</v>
      </c>
      <c r="D5739" s="26" t="s">
        <v>82</v>
      </c>
      <c r="E5739" s="31">
        <v>46238.0</v>
      </c>
      <c r="F5739" s="26" t="s">
        <v>46</v>
      </c>
      <c r="G5739" s="26">
        <v>6.0</v>
      </c>
      <c r="I5739" s="26" t="s">
        <v>883</v>
      </c>
      <c r="J5739" s="25" t="str">
        <f t="shared" si="64"/>
        <v>No</v>
      </c>
      <c r="K5739" s="25" t="str">
        <f t="shared" si="65"/>
        <v/>
      </c>
      <c r="L5739" s="25" t="str">
        <f t="shared" si="66"/>
        <v/>
      </c>
      <c r="M5739" s="25"/>
      <c r="O5739" s="26" t="s">
        <v>51</v>
      </c>
    </row>
    <row r="5740" ht="15.75" customHeight="1">
      <c r="A5740" s="25" t="str">
        <f>IFERROR(__xludf.DUMMYFUNCTION("IF(B5740="""","""",RIGHT(REGEXREPLACE(B5740&amp;"""",""[^0-9]"",""""),9))"),"766412508")</f>
        <v>766412508</v>
      </c>
      <c r="B5740" s="52">
        <v>7.66412508E8</v>
      </c>
      <c r="C5740" s="28" t="s">
        <v>5701</v>
      </c>
      <c r="D5740" s="26" t="s">
        <v>82</v>
      </c>
      <c r="E5740" s="31">
        <v>46238.0</v>
      </c>
      <c r="F5740" s="26" t="s">
        <v>54</v>
      </c>
      <c r="I5740" s="26" t="s">
        <v>883</v>
      </c>
      <c r="J5740" s="25" t="str">
        <f t="shared" si="64"/>
        <v>No</v>
      </c>
      <c r="K5740" s="25" t="str">
        <f t="shared" si="65"/>
        <v/>
      </c>
      <c r="L5740" s="25" t="str">
        <f t="shared" si="66"/>
        <v/>
      </c>
      <c r="M5740" s="25"/>
      <c r="O5740" s="25"/>
    </row>
    <row r="5741" ht="15.75" customHeight="1">
      <c r="A5741" s="25" t="str">
        <f>IFERROR(__xludf.DUMMYFUNCTION("IF(B5741="""","""",RIGHT(REGEXREPLACE(B5741&amp;"""",""[^0-9]"",""""),9))"),"763169023")</f>
        <v>763169023</v>
      </c>
      <c r="B5741" s="52">
        <v>7.63169023E8</v>
      </c>
      <c r="C5741" s="28" t="s">
        <v>5696</v>
      </c>
      <c r="D5741" s="26" t="s">
        <v>56</v>
      </c>
      <c r="E5741" s="31">
        <v>46239.0</v>
      </c>
      <c r="F5741" s="25"/>
      <c r="G5741" s="26">
        <v>8.0</v>
      </c>
      <c r="H5741" s="25"/>
      <c r="I5741" s="26" t="s">
        <v>883</v>
      </c>
      <c r="J5741" s="25" t="str">
        <f t="shared" si="64"/>
        <v>No</v>
      </c>
      <c r="K5741" s="25" t="str">
        <f t="shared" si="65"/>
        <v/>
      </c>
      <c r="L5741" s="25" t="str">
        <f t="shared" si="66"/>
        <v/>
      </c>
      <c r="M5741" s="25"/>
      <c r="N5741" s="25"/>
      <c r="O5741" s="25"/>
      <c r="P5741" s="25"/>
    </row>
    <row r="5742" ht="15.75" customHeight="1">
      <c r="A5742" s="25" t="str">
        <f>IFERROR(__xludf.DUMMYFUNCTION("IF(B5742="""","""",RIGHT(REGEXREPLACE(B5742&amp;"""",""[^0-9]"",""""),9))"),"769017449")</f>
        <v>769017449</v>
      </c>
      <c r="B5742" s="52">
        <v>7.69017449E8</v>
      </c>
      <c r="C5742" s="28" t="s">
        <v>5702</v>
      </c>
      <c r="D5742" s="26" t="s">
        <v>45</v>
      </c>
      <c r="E5742" s="31">
        <v>46239.0</v>
      </c>
      <c r="F5742" s="26" t="s">
        <v>46</v>
      </c>
      <c r="G5742" s="26">
        <v>7.0</v>
      </c>
      <c r="I5742" s="26" t="s">
        <v>883</v>
      </c>
      <c r="J5742" s="25" t="str">
        <f t="shared" si="64"/>
        <v>No</v>
      </c>
      <c r="K5742" s="25" t="str">
        <f t="shared" si="65"/>
        <v/>
      </c>
      <c r="L5742" s="25" t="str">
        <f t="shared" si="66"/>
        <v/>
      </c>
      <c r="M5742" s="25"/>
      <c r="O5742" s="25"/>
    </row>
    <row r="5743" ht="15.75" customHeight="1">
      <c r="A5743" s="25" t="str">
        <f>IFERROR(__xludf.DUMMYFUNCTION("IF(B5743="""","""",RIGHT(REGEXREPLACE(B5743&amp;"""",""[^0-9]"",""""),9))"),"772954635")</f>
        <v>772954635</v>
      </c>
      <c r="B5743" s="52">
        <v>7.72954635E8</v>
      </c>
      <c r="C5743" s="28" t="s">
        <v>5703</v>
      </c>
      <c r="D5743" s="26" t="s">
        <v>64</v>
      </c>
      <c r="E5743" s="31">
        <v>46239.0</v>
      </c>
      <c r="F5743" s="26" t="s">
        <v>46</v>
      </c>
      <c r="G5743" s="26">
        <v>10.0</v>
      </c>
      <c r="H5743" s="26" t="s">
        <v>5704</v>
      </c>
      <c r="I5743" s="26" t="s">
        <v>883</v>
      </c>
      <c r="J5743" s="25" t="str">
        <f t="shared" si="64"/>
        <v>No</v>
      </c>
      <c r="K5743" s="25" t="str">
        <f t="shared" si="65"/>
        <v/>
      </c>
      <c r="L5743" s="25" t="str">
        <f t="shared" si="66"/>
        <v/>
      </c>
      <c r="M5743" s="25"/>
      <c r="O5743" s="25"/>
    </row>
    <row r="5744" ht="15.75" customHeight="1">
      <c r="A5744" s="25" t="str">
        <f>IFERROR(__xludf.DUMMYFUNCTION("IF(B5744="""","""",RIGHT(REGEXREPLACE(B5744&amp;"""",""[^0-9]"",""""),9))"),"766187414")</f>
        <v>766187414</v>
      </c>
      <c r="B5744" s="52">
        <v>7.66187414E8</v>
      </c>
      <c r="C5744" s="28" t="s">
        <v>5705</v>
      </c>
      <c r="D5744" s="26" t="s">
        <v>82</v>
      </c>
      <c r="E5744" s="31">
        <v>46239.0</v>
      </c>
      <c r="F5744" s="26" t="s">
        <v>41</v>
      </c>
      <c r="I5744" s="26" t="s">
        <v>883</v>
      </c>
      <c r="J5744" s="25" t="str">
        <f t="shared" si="64"/>
        <v>No</v>
      </c>
      <c r="K5744" s="25" t="str">
        <f t="shared" si="65"/>
        <v/>
      </c>
      <c r="L5744" s="25" t="str">
        <f t="shared" si="66"/>
        <v/>
      </c>
      <c r="M5744" s="25"/>
      <c r="O5744" s="25"/>
    </row>
    <row r="5745" ht="15.75" customHeight="1">
      <c r="A5745" s="25" t="str">
        <f>IFERROR(__xludf.DUMMYFUNCTION("IF(B5745="""","""",RIGHT(REGEXREPLACE(B5745&amp;"""",""[^0-9]"",""""),9))"),"743576314")</f>
        <v>743576314</v>
      </c>
      <c r="B5745" s="52">
        <v>7.43576314E8</v>
      </c>
      <c r="C5745" s="28" t="s">
        <v>5705</v>
      </c>
      <c r="D5745" s="26" t="s">
        <v>56</v>
      </c>
      <c r="E5745" s="31">
        <v>46239.0</v>
      </c>
      <c r="F5745" s="26" t="s">
        <v>46</v>
      </c>
      <c r="G5745" s="26">
        <v>7.0</v>
      </c>
      <c r="I5745" s="26" t="s">
        <v>883</v>
      </c>
      <c r="J5745" s="25" t="str">
        <f t="shared" si="64"/>
        <v>No</v>
      </c>
      <c r="K5745" s="25" t="str">
        <f t="shared" si="65"/>
        <v/>
      </c>
      <c r="L5745" s="25" t="str">
        <f t="shared" si="66"/>
        <v/>
      </c>
      <c r="M5745" s="25"/>
      <c r="O5745" s="25"/>
    </row>
    <row r="5746" ht="15.75" customHeight="1">
      <c r="A5746" s="25" t="str">
        <f>IFERROR(__xludf.DUMMYFUNCTION("IF(B5746="""","""",RIGHT(REGEXREPLACE(B5746&amp;"""",""[^0-9]"",""""),9))"),"719178130")</f>
        <v>719178130</v>
      </c>
      <c r="B5746" s="52">
        <v>7.1917813E8</v>
      </c>
      <c r="C5746" s="28" t="s">
        <v>5706</v>
      </c>
      <c r="D5746" s="26" t="s">
        <v>82</v>
      </c>
      <c r="E5746" s="31">
        <v>46239.0</v>
      </c>
      <c r="F5746" s="26" t="s">
        <v>46</v>
      </c>
      <c r="G5746" s="96">
        <v>46214.0</v>
      </c>
      <c r="I5746" s="26" t="s">
        <v>883</v>
      </c>
      <c r="J5746" s="25" t="str">
        <f t="shared" si="64"/>
        <v>No</v>
      </c>
      <c r="K5746" s="25" t="str">
        <f t="shared" si="65"/>
        <v/>
      </c>
      <c r="L5746" s="25" t="str">
        <f t="shared" si="66"/>
        <v/>
      </c>
      <c r="M5746" s="25"/>
      <c r="O5746" s="25"/>
    </row>
    <row r="5747" ht="15.75" customHeight="1">
      <c r="A5747" s="25" t="str">
        <f>IFERROR(__xludf.DUMMYFUNCTION("IF(B5747="""","""",RIGHT(REGEXREPLACE(B5747&amp;"""",""[^0-9]"",""""),9))"),"775136868")</f>
        <v>775136868</v>
      </c>
      <c r="B5747" s="52">
        <v>7.75136868E8</v>
      </c>
      <c r="C5747" s="28" t="s">
        <v>5707</v>
      </c>
      <c r="D5747" s="26" t="s">
        <v>49</v>
      </c>
      <c r="E5747" s="31">
        <v>46239.0</v>
      </c>
      <c r="F5747" s="26" t="s">
        <v>46</v>
      </c>
      <c r="G5747" s="26">
        <v>7.0</v>
      </c>
      <c r="H5747" s="117" t="s">
        <v>5708</v>
      </c>
      <c r="I5747" s="26" t="s">
        <v>883</v>
      </c>
      <c r="J5747" s="25" t="str">
        <f t="shared" si="64"/>
        <v>No</v>
      </c>
      <c r="K5747" s="25" t="str">
        <f t="shared" si="65"/>
        <v/>
      </c>
      <c r="L5747" s="25" t="str">
        <f t="shared" si="66"/>
        <v/>
      </c>
      <c r="M5747" s="25"/>
      <c r="O5747" s="25"/>
    </row>
    <row r="5748" ht="15.75" customHeight="1">
      <c r="A5748" s="25" t="str">
        <f>IFERROR(__xludf.DUMMYFUNCTION("IF(B5748="""","""",RIGHT(REGEXREPLACE(B5748&amp;"""",""[^0-9]"",""""),9))"),"719389707")</f>
        <v>719389707</v>
      </c>
      <c r="B5748" s="52">
        <v>7.19389707E8</v>
      </c>
      <c r="C5748" s="28" t="s">
        <v>5709</v>
      </c>
      <c r="D5748" s="26" t="s">
        <v>56</v>
      </c>
      <c r="E5748" s="31">
        <v>46239.0</v>
      </c>
      <c r="F5748" s="26" t="s">
        <v>631</v>
      </c>
      <c r="G5748" s="26">
        <v>7.0</v>
      </c>
      <c r="I5748" s="26" t="s">
        <v>883</v>
      </c>
      <c r="J5748" s="25" t="str">
        <f t="shared" si="64"/>
        <v>No</v>
      </c>
      <c r="K5748" s="25" t="str">
        <f t="shared" si="65"/>
        <v/>
      </c>
      <c r="L5748" s="25" t="str">
        <f t="shared" si="66"/>
        <v/>
      </c>
      <c r="M5748" s="25"/>
      <c r="O5748" s="25"/>
    </row>
    <row r="5749" ht="15.75" customHeight="1">
      <c r="A5749" s="25" t="str">
        <f>IFERROR(__xludf.DUMMYFUNCTION("IF(B5749="""","""",RIGHT(REGEXREPLACE(B5749&amp;"""",""[^0-9]"",""""),9))"),"710340931")</f>
        <v>710340931</v>
      </c>
      <c r="B5749" s="52">
        <v>7.10340931E8</v>
      </c>
      <c r="C5749" s="28" t="s">
        <v>5710</v>
      </c>
      <c r="D5749" s="26" t="s">
        <v>64</v>
      </c>
      <c r="E5749" s="31">
        <v>46239.0</v>
      </c>
      <c r="F5749" s="26" t="s">
        <v>46</v>
      </c>
      <c r="I5749" s="26" t="s">
        <v>883</v>
      </c>
      <c r="J5749" s="25" t="str">
        <f t="shared" si="64"/>
        <v>No</v>
      </c>
      <c r="K5749" s="25" t="str">
        <f t="shared" si="65"/>
        <v/>
      </c>
      <c r="L5749" s="25" t="str">
        <f t="shared" si="66"/>
        <v/>
      </c>
      <c r="M5749" s="25"/>
      <c r="O5749" s="25"/>
    </row>
    <row r="5750" ht="15.75" customHeight="1">
      <c r="A5750" s="25" t="str">
        <f>IFERROR(__xludf.DUMMYFUNCTION("IF(B5750="""","""",RIGHT(REGEXREPLACE(B5750&amp;"""",""[^0-9]"",""""),9))"),"763413825")</f>
        <v>763413825</v>
      </c>
      <c r="B5750" s="52">
        <v>7.63413825E8</v>
      </c>
      <c r="C5750" s="28" t="s">
        <v>5711</v>
      </c>
      <c r="D5750" s="26" t="s">
        <v>49</v>
      </c>
      <c r="E5750" s="31">
        <v>46239.0</v>
      </c>
      <c r="F5750" s="26" t="s">
        <v>41</v>
      </c>
      <c r="I5750" s="26" t="s">
        <v>883</v>
      </c>
      <c r="J5750" s="25" t="str">
        <f t="shared" si="64"/>
        <v>No</v>
      </c>
      <c r="K5750" s="25" t="str">
        <f t="shared" si="65"/>
        <v/>
      </c>
      <c r="L5750" s="25" t="str">
        <f t="shared" si="66"/>
        <v/>
      </c>
      <c r="M5750" s="25"/>
      <c r="O5750" s="25"/>
    </row>
    <row r="5751" ht="15.75" customHeight="1">
      <c r="A5751" s="25" t="str">
        <f>IFERROR(__xludf.DUMMYFUNCTION("IF(B5751="""","""",RIGHT(REGEXREPLACE(B5751&amp;"""",""[^0-9]"",""""),9))"),"705972777")</f>
        <v>705972777</v>
      </c>
      <c r="B5751" s="52">
        <v>7.05972777E8</v>
      </c>
      <c r="C5751" s="28" t="s">
        <v>5712</v>
      </c>
      <c r="D5751" s="26" t="s">
        <v>56</v>
      </c>
      <c r="E5751" s="31">
        <v>46239.0</v>
      </c>
      <c r="F5751" s="26" t="s">
        <v>164</v>
      </c>
      <c r="G5751" s="26">
        <v>7.0</v>
      </c>
      <c r="I5751" s="26" t="s">
        <v>883</v>
      </c>
      <c r="J5751" s="25" t="str">
        <f t="shared" si="64"/>
        <v>No</v>
      </c>
      <c r="K5751" s="25" t="str">
        <f t="shared" si="65"/>
        <v/>
      </c>
      <c r="L5751" s="25" t="str">
        <f t="shared" si="66"/>
        <v/>
      </c>
      <c r="M5751" s="25"/>
      <c r="O5751" s="25"/>
    </row>
    <row r="5752" ht="15.75" customHeight="1">
      <c r="A5752" s="25" t="str">
        <f>IFERROR(__xludf.DUMMYFUNCTION("IF(B5752="""","""",RIGHT(REGEXREPLACE(B5752&amp;"""",""[^0-9]"",""""),9))"),"716797228")</f>
        <v>716797228</v>
      </c>
      <c r="B5752" s="52">
        <v>7.16797228E8</v>
      </c>
      <c r="C5752" s="28" t="s">
        <v>5713</v>
      </c>
      <c r="D5752" s="26" t="s">
        <v>56</v>
      </c>
      <c r="E5752" s="31">
        <v>46239.0</v>
      </c>
      <c r="F5752" s="26" t="s">
        <v>41</v>
      </c>
      <c r="G5752" s="26">
        <v>7.0</v>
      </c>
      <c r="I5752" s="26" t="s">
        <v>883</v>
      </c>
      <c r="J5752" s="25" t="str">
        <f t="shared" si="64"/>
        <v>No</v>
      </c>
      <c r="K5752" s="25" t="str">
        <f t="shared" si="65"/>
        <v/>
      </c>
      <c r="L5752" s="25" t="str">
        <f t="shared" si="66"/>
        <v/>
      </c>
      <c r="M5752" s="25"/>
      <c r="O5752" s="25"/>
    </row>
    <row r="5753" ht="15.75" customHeight="1">
      <c r="A5753" s="25" t="str">
        <f>IFERROR(__xludf.DUMMYFUNCTION("IF(B5753="""","""",RIGHT(REGEXREPLACE(B5753&amp;"""",""[^0-9]"",""""),9))"),"755090273")</f>
        <v>755090273</v>
      </c>
      <c r="B5753" s="52">
        <v>7.55090273E8</v>
      </c>
      <c r="C5753" s="28" t="s">
        <v>5714</v>
      </c>
      <c r="D5753" s="26" t="s">
        <v>82</v>
      </c>
      <c r="E5753" s="31">
        <v>46239.0</v>
      </c>
      <c r="F5753" s="26" t="s">
        <v>46</v>
      </c>
      <c r="G5753" s="26">
        <v>7.0</v>
      </c>
      <c r="I5753" s="26" t="s">
        <v>883</v>
      </c>
      <c r="J5753" s="25" t="str">
        <f t="shared" si="64"/>
        <v>No</v>
      </c>
      <c r="K5753" s="25" t="str">
        <f t="shared" si="65"/>
        <v/>
      </c>
      <c r="L5753" s="25" t="str">
        <f t="shared" si="66"/>
        <v/>
      </c>
      <c r="M5753" s="25"/>
      <c r="O5753" s="25"/>
    </row>
    <row r="5754" ht="15.75" customHeight="1">
      <c r="A5754" s="25" t="str">
        <f>IFERROR(__xludf.DUMMYFUNCTION("IF(B5754="""","""",RIGHT(REGEXREPLACE(B5754&amp;"""",""[^0-9]"",""""),9))"),"716643783")</f>
        <v>716643783</v>
      </c>
      <c r="B5754" s="52">
        <v>7.16643783E8</v>
      </c>
      <c r="C5754" s="28" t="s">
        <v>5715</v>
      </c>
      <c r="D5754" s="26" t="s">
        <v>49</v>
      </c>
      <c r="E5754" s="31">
        <v>46239.0</v>
      </c>
      <c r="F5754" s="26" t="s">
        <v>46</v>
      </c>
      <c r="G5754" s="26">
        <v>5.0</v>
      </c>
      <c r="H5754" s="117" t="s">
        <v>5716</v>
      </c>
      <c r="I5754" s="26" t="s">
        <v>883</v>
      </c>
      <c r="J5754" s="25" t="str">
        <f t="shared" si="64"/>
        <v>No</v>
      </c>
      <c r="K5754" s="25" t="str">
        <f t="shared" si="65"/>
        <v/>
      </c>
      <c r="L5754" s="25" t="str">
        <f t="shared" si="66"/>
        <v/>
      </c>
      <c r="M5754" s="25"/>
      <c r="O5754" s="25"/>
    </row>
    <row r="5755" ht="15.75" customHeight="1">
      <c r="A5755" s="25" t="str">
        <f>IFERROR(__xludf.DUMMYFUNCTION("IF(B5755="""","""",RIGHT(REGEXREPLACE(B5755&amp;"""",""[^0-9]"",""""),9))"),"779033852")</f>
        <v>779033852</v>
      </c>
      <c r="B5755" s="52">
        <v>7.79033852E8</v>
      </c>
      <c r="C5755" s="28" t="s">
        <v>5717</v>
      </c>
      <c r="D5755" s="26" t="s">
        <v>56</v>
      </c>
      <c r="E5755" s="31">
        <v>46239.0</v>
      </c>
      <c r="F5755" s="26" t="s">
        <v>41</v>
      </c>
      <c r="G5755" s="26">
        <v>7.0</v>
      </c>
      <c r="I5755" s="26" t="s">
        <v>883</v>
      </c>
      <c r="J5755" s="25" t="str">
        <f t="shared" si="64"/>
        <v>No</v>
      </c>
      <c r="K5755" s="25" t="str">
        <f t="shared" si="65"/>
        <v/>
      </c>
      <c r="L5755" s="25" t="str">
        <f t="shared" si="66"/>
        <v/>
      </c>
      <c r="M5755" s="25"/>
      <c r="O5755" s="25"/>
    </row>
    <row r="5756" ht="15.75" customHeight="1">
      <c r="A5756" s="25" t="str">
        <f>IFERROR(__xludf.DUMMYFUNCTION("IF(B5756="""","""",RIGHT(REGEXREPLACE(B5756&amp;"""",""[^0-9]"",""""),9))"),"713765145")</f>
        <v>713765145</v>
      </c>
      <c r="B5756" s="52">
        <v>7.13765145E8</v>
      </c>
      <c r="C5756" s="28" t="s">
        <v>5718</v>
      </c>
      <c r="D5756" s="26" t="s">
        <v>64</v>
      </c>
      <c r="E5756" s="31">
        <v>46239.0</v>
      </c>
      <c r="F5756" s="26" t="s">
        <v>46</v>
      </c>
      <c r="G5756" s="26">
        <v>8.0</v>
      </c>
      <c r="H5756" s="26" t="s">
        <v>5719</v>
      </c>
      <c r="I5756" s="26" t="s">
        <v>883</v>
      </c>
      <c r="J5756" s="25" t="str">
        <f t="shared" si="64"/>
        <v>No</v>
      </c>
      <c r="K5756" s="25" t="str">
        <f t="shared" si="65"/>
        <v/>
      </c>
      <c r="L5756" s="25" t="str">
        <f t="shared" si="66"/>
        <v/>
      </c>
      <c r="M5756" s="25"/>
      <c r="O5756" s="25"/>
    </row>
    <row r="5757" ht="15.75" customHeight="1">
      <c r="A5757" s="25" t="str">
        <f>IFERROR(__xludf.DUMMYFUNCTION("IF(B5757="""","""",RIGHT(REGEXREPLACE(B5757&amp;"""",""[^0-9]"",""""),9))"),"769316659")</f>
        <v>769316659</v>
      </c>
      <c r="B5757" s="52">
        <v>7.69316659E8</v>
      </c>
      <c r="C5757" s="28" t="s">
        <v>5720</v>
      </c>
      <c r="D5757" s="26" t="s">
        <v>56</v>
      </c>
      <c r="E5757" s="31">
        <v>46239.0</v>
      </c>
      <c r="F5757" s="26" t="s">
        <v>41</v>
      </c>
      <c r="I5757" s="26" t="s">
        <v>883</v>
      </c>
      <c r="J5757" s="25" t="str">
        <f t="shared" si="64"/>
        <v>No</v>
      </c>
      <c r="K5757" s="25" t="str">
        <f t="shared" si="65"/>
        <v/>
      </c>
      <c r="L5757" s="25" t="str">
        <f t="shared" si="66"/>
        <v/>
      </c>
      <c r="M5757" s="25"/>
      <c r="O5757" s="25"/>
    </row>
    <row r="5758" ht="15.75" customHeight="1">
      <c r="A5758" s="25" t="str">
        <f>IFERROR(__xludf.DUMMYFUNCTION("IF(B5758="""","""",RIGHT(REGEXREPLACE(B5758&amp;"""",""[^0-9]"",""""),9))"),"768423026")</f>
        <v>768423026</v>
      </c>
      <c r="B5758" s="52">
        <v>7.68423026E8</v>
      </c>
      <c r="C5758" s="28" t="s">
        <v>5721</v>
      </c>
      <c r="D5758" s="26" t="s">
        <v>49</v>
      </c>
      <c r="E5758" s="31">
        <v>46239.0</v>
      </c>
      <c r="F5758" s="26" t="s">
        <v>46</v>
      </c>
      <c r="G5758" s="26">
        <v>8.0</v>
      </c>
      <c r="H5758" s="26" t="s">
        <v>5722</v>
      </c>
      <c r="I5758" s="26" t="s">
        <v>883</v>
      </c>
      <c r="J5758" s="25" t="str">
        <f t="shared" si="64"/>
        <v>No</v>
      </c>
      <c r="K5758" s="25" t="str">
        <f t="shared" si="65"/>
        <v/>
      </c>
      <c r="L5758" s="25" t="str">
        <f t="shared" si="66"/>
        <v/>
      </c>
      <c r="M5758" s="25"/>
      <c r="O5758" s="25"/>
    </row>
    <row r="5759" ht="15.75" customHeight="1">
      <c r="A5759" s="25" t="str">
        <f>IFERROR(__xludf.DUMMYFUNCTION("IF(B5759="""","""",RIGHT(REGEXREPLACE(B5759&amp;"""",""[^0-9]"",""""),9))"),"772513324")</f>
        <v>772513324</v>
      </c>
      <c r="B5759" s="52">
        <v>7.72513324E8</v>
      </c>
      <c r="C5759" s="28" t="s">
        <v>5723</v>
      </c>
      <c r="D5759" s="26" t="s">
        <v>64</v>
      </c>
      <c r="E5759" s="31">
        <v>46239.0</v>
      </c>
      <c r="F5759" s="26" t="s">
        <v>167</v>
      </c>
      <c r="G5759" s="26">
        <v>7.0</v>
      </c>
      <c r="H5759" s="26" t="s">
        <v>918</v>
      </c>
      <c r="I5759" s="26" t="s">
        <v>883</v>
      </c>
      <c r="J5759" s="25" t="str">
        <f t="shared" si="64"/>
        <v>No</v>
      </c>
      <c r="K5759" s="25" t="str">
        <f t="shared" si="65"/>
        <v/>
      </c>
      <c r="L5759" s="25" t="str">
        <f t="shared" si="66"/>
        <v/>
      </c>
      <c r="M5759" s="25"/>
      <c r="O5759" s="25"/>
    </row>
    <row r="5760" ht="15.75" customHeight="1">
      <c r="A5760" s="25" t="str">
        <f>IFERROR(__xludf.DUMMYFUNCTION("IF(B5760="""","""",RIGHT(REGEXREPLACE(B5760&amp;"""",""[^0-9]"",""""),9))"),"724251666")</f>
        <v>724251666</v>
      </c>
      <c r="B5760" s="52">
        <v>7.24251666E8</v>
      </c>
      <c r="C5760" s="28" t="s">
        <v>5724</v>
      </c>
      <c r="D5760" s="26" t="s">
        <v>56</v>
      </c>
      <c r="E5760" s="31">
        <v>46239.0</v>
      </c>
      <c r="F5760" s="26" t="s">
        <v>46</v>
      </c>
      <c r="G5760" s="26">
        <v>7.0</v>
      </c>
      <c r="I5760" s="26" t="s">
        <v>883</v>
      </c>
      <c r="J5760" s="25" t="str">
        <f t="shared" si="64"/>
        <v>No</v>
      </c>
      <c r="K5760" s="25" t="str">
        <f t="shared" si="65"/>
        <v/>
      </c>
      <c r="L5760" s="25" t="str">
        <f t="shared" si="66"/>
        <v/>
      </c>
      <c r="M5760" s="25"/>
      <c r="O5760" s="25"/>
    </row>
    <row r="5761" ht="15.75" customHeight="1">
      <c r="A5761" s="25" t="str">
        <f>IFERROR(__xludf.DUMMYFUNCTION("IF(B5761="""","""",RIGHT(REGEXREPLACE(B5761&amp;"""",""[^0-9]"",""""),9))"),"774499548")</f>
        <v>774499548</v>
      </c>
      <c r="B5761" s="52">
        <v>7.74499548E8</v>
      </c>
      <c r="C5761" s="28" t="s">
        <v>5725</v>
      </c>
      <c r="D5761" s="26" t="s">
        <v>82</v>
      </c>
      <c r="E5761" s="31">
        <v>46239.0</v>
      </c>
      <c r="F5761" s="26" t="s">
        <v>125</v>
      </c>
      <c r="G5761" s="26">
        <v>8.0</v>
      </c>
      <c r="I5761" s="26" t="s">
        <v>883</v>
      </c>
      <c r="J5761" s="25" t="str">
        <f t="shared" si="64"/>
        <v>No</v>
      </c>
      <c r="K5761" s="25" t="str">
        <f t="shared" si="65"/>
        <v/>
      </c>
      <c r="L5761" s="25" t="str">
        <f t="shared" si="66"/>
        <v/>
      </c>
      <c r="M5761" s="25"/>
      <c r="O5761" s="26" t="s">
        <v>51</v>
      </c>
    </row>
    <row r="5762" ht="15.75" customHeight="1">
      <c r="A5762" s="25" t="str">
        <f>IFERROR(__xludf.DUMMYFUNCTION("IF(B5762="""","""",RIGHT(REGEXREPLACE(B5762&amp;"""",""[^0-9]"",""""),9))"),"764181837")</f>
        <v>764181837</v>
      </c>
      <c r="B5762" s="52">
        <v>7.64181837E8</v>
      </c>
      <c r="C5762" s="28" t="s">
        <v>5726</v>
      </c>
      <c r="D5762" s="26" t="s">
        <v>56</v>
      </c>
      <c r="E5762" s="31">
        <v>46239.0</v>
      </c>
      <c r="F5762" s="25"/>
      <c r="G5762" s="26">
        <v>9.0</v>
      </c>
      <c r="H5762" s="25"/>
      <c r="I5762" s="26" t="s">
        <v>883</v>
      </c>
      <c r="J5762" s="25" t="str">
        <f t="shared" si="64"/>
        <v>No</v>
      </c>
      <c r="K5762" s="25" t="str">
        <f t="shared" si="65"/>
        <v/>
      </c>
      <c r="L5762" s="25" t="str">
        <f t="shared" si="66"/>
        <v/>
      </c>
      <c r="M5762" s="25"/>
      <c r="N5762" s="25"/>
      <c r="O5762" s="25"/>
      <c r="P5762" s="25"/>
    </row>
    <row r="5763" ht="15.75" customHeight="1">
      <c r="A5763" s="25" t="str">
        <f>IFERROR(__xludf.DUMMYFUNCTION("IF(B5763="""","""",RIGHT(REGEXREPLACE(B5763&amp;"""",""[^0-9]"",""""),9))"),"753192998")</f>
        <v>753192998</v>
      </c>
      <c r="B5763" s="52">
        <v>7.53192998E8</v>
      </c>
      <c r="C5763" s="28" t="s">
        <v>3932</v>
      </c>
      <c r="D5763" s="26" t="s">
        <v>64</v>
      </c>
      <c r="E5763" s="31">
        <v>46239.0</v>
      </c>
      <c r="F5763" s="26" t="s">
        <v>41</v>
      </c>
      <c r="G5763" s="26">
        <v>11.0</v>
      </c>
      <c r="I5763" s="26" t="s">
        <v>883</v>
      </c>
      <c r="J5763" s="25" t="str">
        <f t="shared" si="64"/>
        <v>Yes - see Previous F-Code</v>
      </c>
      <c r="K5763" s="25" t="str">
        <f t="shared" si="65"/>
        <v/>
      </c>
      <c r="L5763" s="25" t="str">
        <f t="shared" si="66"/>
        <v>F73579</v>
      </c>
      <c r="M5763" s="25"/>
      <c r="O5763" s="25"/>
    </row>
    <row r="5764" ht="15.75" customHeight="1">
      <c r="A5764" s="25" t="str">
        <f>IFERROR(__xludf.DUMMYFUNCTION("IF(B5764="""","""",RIGHT(REGEXREPLACE(B5764&amp;"""",""[^0-9]"",""""),9))"),"742907341")</f>
        <v>742907341</v>
      </c>
      <c r="B5764" s="52">
        <v>7.42907341E8</v>
      </c>
      <c r="C5764" s="28" t="s">
        <v>5727</v>
      </c>
      <c r="D5764" s="26" t="s">
        <v>49</v>
      </c>
      <c r="E5764" s="31">
        <v>46239.0</v>
      </c>
      <c r="F5764" s="26" t="s">
        <v>41</v>
      </c>
      <c r="G5764" s="26">
        <v>8.0</v>
      </c>
      <c r="I5764" s="26" t="s">
        <v>883</v>
      </c>
      <c r="J5764" s="25" t="str">
        <f t="shared" si="64"/>
        <v>No</v>
      </c>
      <c r="K5764" s="25" t="str">
        <f t="shared" si="65"/>
        <v/>
      </c>
      <c r="L5764" s="25" t="str">
        <f t="shared" si="66"/>
        <v/>
      </c>
      <c r="M5764" s="25"/>
      <c r="O5764" s="25"/>
    </row>
    <row r="5765" ht="15.75" customHeight="1">
      <c r="A5765" s="25" t="str">
        <f>IFERROR(__xludf.DUMMYFUNCTION("IF(B5765="""","""",RIGHT(REGEXREPLACE(B5765&amp;"""",""[^0-9]"",""""),9))"),"776198288")</f>
        <v>776198288</v>
      </c>
      <c r="B5765" s="52">
        <v>7.76198288E8</v>
      </c>
      <c r="C5765" s="28" t="s">
        <v>5728</v>
      </c>
      <c r="D5765" s="26" t="s">
        <v>82</v>
      </c>
      <c r="E5765" s="31">
        <v>46239.0</v>
      </c>
      <c r="F5765" s="26" t="s">
        <v>659</v>
      </c>
      <c r="G5765" s="26">
        <v>7.0</v>
      </c>
      <c r="I5765" s="26" t="s">
        <v>883</v>
      </c>
      <c r="J5765" s="25" t="str">
        <f t="shared" si="64"/>
        <v>No</v>
      </c>
      <c r="K5765" s="25" t="str">
        <f t="shared" si="65"/>
        <v/>
      </c>
      <c r="L5765" s="25" t="str">
        <f t="shared" si="66"/>
        <v/>
      </c>
      <c r="M5765" s="25"/>
      <c r="O5765" s="25"/>
    </row>
    <row r="5766" ht="15.75" customHeight="1">
      <c r="A5766" s="25" t="str">
        <f>IFERROR(__xludf.DUMMYFUNCTION("IF(B5766="""","""",RIGHT(REGEXREPLACE(B5766&amp;"""",""[^0-9]"",""""),9))"),"711428413")</f>
        <v>711428413</v>
      </c>
      <c r="B5766" s="52">
        <v>7.11428413E8</v>
      </c>
      <c r="C5766" s="28" t="s">
        <v>5729</v>
      </c>
      <c r="D5766" s="26" t="s">
        <v>82</v>
      </c>
      <c r="E5766" s="31">
        <v>46239.0</v>
      </c>
      <c r="F5766" s="26" t="s">
        <v>205</v>
      </c>
      <c r="I5766" s="26" t="s">
        <v>883</v>
      </c>
      <c r="J5766" s="25" t="str">
        <f t="shared" si="64"/>
        <v>No</v>
      </c>
      <c r="K5766" s="25" t="str">
        <f t="shared" si="65"/>
        <v/>
      </c>
      <c r="L5766" s="25" t="str">
        <f t="shared" si="66"/>
        <v/>
      </c>
      <c r="M5766" s="25"/>
      <c r="O5766" s="25"/>
    </row>
    <row r="5767" ht="15.75" customHeight="1">
      <c r="A5767" s="25" t="str">
        <f>IFERROR(__xludf.DUMMYFUNCTION("IF(B5767="""","""",RIGHT(REGEXREPLACE(B5767&amp;"""",""[^0-9]"",""""),9))"),"764044461")</f>
        <v>764044461</v>
      </c>
      <c r="B5767" s="52">
        <v>7.64044461E8</v>
      </c>
      <c r="C5767" s="28" t="s">
        <v>5730</v>
      </c>
      <c r="D5767" s="26" t="s">
        <v>56</v>
      </c>
      <c r="E5767" s="31">
        <v>46239.0</v>
      </c>
      <c r="F5767" s="26" t="s">
        <v>46</v>
      </c>
      <c r="G5767" s="26">
        <v>6.0</v>
      </c>
      <c r="I5767" s="26" t="s">
        <v>883</v>
      </c>
      <c r="J5767" s="25" t="str">
        <f t="shared" si="64"/>
        <v>No</v>
      </c>
      <c r="K5767" s="25" t="str">
        <f t="shared" si="65"/>
        <v/>
      </c>
      <c r="L5767" s="25" t="str">
        <f t="shared" si="66"/>
        <v/>
      </c>
      <c r="M5767" s="25"/>
      <c r="O5767" s="26" t="s">
        <v>51</v>
      </c>
    </row>
    <row r="5768" ht="15.75" customHeight="1">
      <c r="A5768" s="25" t="str">
        <f>IFERROR(__xludf.DUMMYFUNCTION("IF(B5768="""","""",RIGHT(REGEXREPLACE(B5768&amp;"""",""[^0-9]"",""""),9))"),"789430661")</f>
        <v>789430661</v>
      </c>
      <c r="B5768" s="52">
        <v>7.89430661E8</v>
      </c>
      <c r="C5768" s="28" t="s">
        <v>5731</v>
      </c>
      <c r="D5768" s="26" t="s">
        <v>49</v>
      </c>
      <c r="E5768" s="31">
        <v>46239.0</v>
      </c>
      <c r="F5768" s="26" t="s">
        <v>41</v>
      </c>
      <c r="I5768" s="26" t="s">
        <v>883</v>
      </c>
      <c r="J5768" s="25" t="str">
        <f t="shared" si="64"/>
        <v>No</v>
      </c>
      <c r="K5768" s="25" t="str">
        <f t="shared" si="65"/>
        <v/>
      </c>
      <c r="L5768" s="25" t="str">
        <f t="shared" si="66"/>
        <v/>
      </c>
      <c r="M5768" s="25"/>
      <c r="O5768" s="25"/>
    </row>
    <row r="5769" ht="15.75" customHeight="1">
      <c r="A5769" s="25" t="str">
        <f>IFERROR(__xludf.DUMMYFUNCTION("IF(B5769="""","""",RIGHT(REGEXREPLACE(B5769&amp;"""",""[^0-9]"",""""),9))"),"713612695")</f>
        <v>713612695</v>
      </c>
      <c r="B5769" s="52">
        <v>7.13612695E8</v>
      </c>
      <c r="C5769" s="28" t="s">
        <v>5732</v>
      </c>
      <c r="D5769" s="26" t="s">
        <v>82</v>
      </c>
      <c r="E5769" s="31">
        <v>46239.0</v>
      </c>
      <c r="F5769" s="26" t="s">
        <v>41</v>
      </c>
      <c r="G5769" s="26">
        <v>8.0</v>
      </c>
      <c r="I5769" s="26" t="s">
        <v>883</v>
      </c>
      <c r="J5769" s="25" t="str">
        <f t="shared" si="64"/>
        <v>No</v>
      </c>
      <c r="K5769" s="25" t="str">
        <f t="shared" si="65"/>
        <v/>
      </c>
      <c r="L5769" s="25" t="str">
        <f t="shared" si="66"/>
        <v/>
      </c>
      <c r="M5769" s="25"/>
      <c r="O5769" s="25"/>
    </row>
    <row r="5770" ht="15.75" customHeight="1">
      <c r="A5770" s="25" t="str">
        <f>IFERROR(__xludf.DUMMYFUNCTION("IF(B5770="""","""",RIGHT(REGEXREPLACE(B5770&amp;"""",""[^0-9]"",""""),9))"),"716627834")</f>
        <v>716627834</v>
      </c>
      <c r="B5770" s="52">
        <v>7.16627834E8</v>
      </c>
      <c r="C5770" s="28" t="s">
        <v>5733</v>
      </c>
      <c r="D5770" s="26" t="s">
        <v>49</v>
      </c>
      <c r="E5770" s="31">
        <v>46239.0</v>
      </c>
      <c r="F5770" s="26" t="s">
        <v>46</v>
      </c>
      <c r="G5770" s="26">
        <v>7.0</v>
      </c>
      <c r="H5770" s="26" t="s">
        <v>5734</v>
      </c>
      <c r="I5770" s="26" t="s">
        <v>883</v>
      </c>
      <c r="J5770" s="25" t="str">
        <f t="shared" si="64"/>
        <v>No</v>
      </c>
      <c r="K5770" s="25" t="str">
        <f t="shared" si="65"/>
        <v/>
      </c>
      <c r="L5770" s="25" t="str">
        <f t="shared" si="66"/>
        <v/>
      </c>
      <c r="M5770" s="25"/>
      <c r="O5770" s="25"/>
    </row>
    <row r="5771" ht="15.75" customHeight="1">
      <c r="A5771" s="25" t="str">
        <f>IFERROR(__xludf.DUMMYFUNCTION("IF(B5771="""","""",RIGHT(REGEXREPLACE(B5771&amp;"""",""[^0-9]"",""""),9))"),"765638646")</f>
        <v>765638646</v>
      </c>
      <c r="B5771" s="52">
        <v>7.65638646E8</v>
      </c>
      <c r="C5771" s="28" t="s">
        <v>5735</v>
      </c>
      <c r="D5771" s="26" t="s">
        <v>56</v>
      </c>
      <c r="E5771" s="31">
        <v>46239.0</v>
      </c>
      <c r="F5771" s="26" t="s">
        <v>46</v>
      </c>
      <c r="G5771" s="26">
        <v>7.0</v>
      </c>
      <c r="I5771" s="26" t="s">
        <v>883</v>
      </c>
      <c r="J5771" s="25" t="str">
        <f t="shared" si="64"/>
        <v>No</v>
      </c>
      <c r="K5771" s="25" t="str">
        <f t="shared" si="65"/>
        <v/>
      </c>
      <c r="L5771" s="25" t="str">
        <f t="shared" si="66"/>
        <v/>
      </c>
      <c r="M5771" s="25"/>
      <c r="O5771" s="25"/>
    </row>
    <row r="5772" ht="15.75" customHeight="1">
      <c r="A5772" s="25" t="str">
        <f>IFERROR(__xludf.DUMMYFUNCTION("IF(B5772="""","""",RIGHT(REGEXREPLACE(B5772&amp;"""",""[^0-9]"",""""),9))"),"754747051")</f>
        <v>754747051</v>
      </c>
      <c r="B5772" s="52">
        <v>7.54747051E8</v>
      </c>
      <c r="C5772" s="28" t="s">
        <v>5736</v>
      </c>
      <c r="D5772" s="26" t="s">
        <v>82</v>
      </c>
      <c r="E5772" s="31">
        <v>46239.0</v>
      </c>
      <c r="F5772" s="26" t="s">
        <v>46</v>
      </c>
      <c r="G5772" s="26">
        <v>8.0</v>
      </c>
      <c r="I5772" s="26" t="s">
        <v>883</v>
      </c>
      <c r="J5772" s="25" t="str">
        <f t="shared" si="64"/>
        <v>No</v>
      </c>
      <c r="K5772" s="25" t="str">
        <f t="shared" si="65"/>
        <v/>
      </c>
      <c r="L5772" s="25" t="str">
        <f t="shared" si="66"/>
        <v/>
      </c>
      <c r="M5772" s="25"/>
      <c r="O5772" s="25"/>
    </row>
    <row r="5773" ht="15.75" customHeight="1">
      <c r="A5773" s="25" t="str">
        <f>IFERROR(__xludf.DUMMYFUNCTION("IF(B5773="""","""",RIGHT(REGEXREPLACE(B5773&amp;"""",""[^0-9]"",""""),9))"),"774149787")</f>
        <v>774149787</v>
      </c>
      <c r="B5773" s="52">
        <v>7.74149787E8</v>
      </c>
      <c r="C5773" s="28" t="s">
        <v>5161</v>
      </c>
      <c r="D5773" s="26" t="s">
        <v>64</v>
      </c>
      <c r="E5773" s="31">
        <v>46239.0</v>
      </c>
      <c r="F5773" s="26" t="s">
        <v>41</v>
      </c>
      <c r="I5773" s="26" t="s">
        <v>883</v>
      </c>
      <c r="J5773" s="25" t="str">
        <f t="shared" si="64"/>
        <v>Yes - see Previous F-Code</v>
      </c>
      <c r="K5773" s="25" t="str">
        <f t="shared" si="65"/>
        <v/>
      </c>
      <c r="L5773" s="25" t="str">
        <f t="shared" si="66"/>
        <v>F74700</v>
      </c>
      <c r="M5773" s="25"/>
      <c r="O5773" s="25"/>
    </row>
    <row r="5774" ht="15.75" customHeight="1">
      <c r="A5774" s="25" t="str">
        <f>IFERROR(__xludf.DUMMYFUNCTION("IF(B5774="""","""",RIGHT(REGEXREPLACE(B5774&amp;"""",""[^0-9]"",""""),9))"),"779701747")</f>
        <v>779701747</v>
      </c>
      <c r="B5774" s="52">
        <v>7.79701747E8</v>
      </c>
      <c r="C5774" s="28" t="s">
        <v>5737</v>
      </c>
      <c r="D5774" s="26" t="s">
        <v>56</v>
      </c>
      <c r="E5774" s="31">
        <v>46239.0</v>
      </c>
      <c r="F5774" s="26" t="s">
        <v>659</v>
      </c>
      <c r="G5774" s="26">
        <v>8.0</v>
      </c>
      <c r="I5774" s="26" t="s">
        <v>883</v>
      </c>
      <c r="J5774" s="25" t="str">
        <f t="shared" si="64"/>
        <v>No</v>
      </c>
      <c r="K5774" s="25" t="str">
        <f t="shared" si="65"/>
        <v/>
      </c>
      <c r="L5774" s="25" t="str">
        <f t="shared" si="66"/>
        <v/>
      </c>
      <c r="M5774" s="25"/>
      <c r="O5774" s="25"/>
    </row>
    <row r="5775" ht="15.75" customHeight="1">
      <c r="A5775" s="25" t="str">
        <f>IFERROR(__xludf.DUMMYFUNCTION("IF(B5775="""","""",RIGHT(REGEXREPLACE(B5775&amp;"""",""[^0-9]"",""""),9))"),"718828079")</f>
        <v>718828079</v>
      </c>
      <c r="B5775" s="52">
        <v>7.18828079E8</v>
      </c>
      <c r="C5775" s="28" t="s">
        <v>5738</v>
      </c>
      <c r="D5775" s="26" t="s">
        <v>49</v>
      </c>
      <c r="E5775" s="31">
        <v>46239.0</v>
      </c>
      <c r="F5775" s="26" t="s">
        <v>46</v>
      </c>
      <c r="G5775" s="26">
        <v>7.0</v>
      </c>
      <c r="H5775" s="26" t="s">
        <v>5739</v>
      </c>
      <c r="I5775" s="26" t="s">
        <v>883</v>
      </c>
      <c r="J5775" s="25" t="str">
        <f t="shared" si="64"/>
        <v>No</v>
      </c>
      <c r="K5775" s="25" t="str">
        <f t="shared" si="65"/>
        <v/>
      </c>
      <c r="L5775" s="25" t="str">
        <f t="shared" si="66"/>
        <v/>
      </c>
      <c r="M5775" s="25"/>
      <c r="O5775" s="25"/>
    </row>
    <row r="5776" ht="15.75" customHeight="1">
      <c r="A5776" s="25" t="str">
        <f>IFERROR(__xludf.DUMMYFUNCTION("IF(B5776="""","""",RIGHT(REGEXREPLACE(B5776&amp;"""",""[^0-9]"",""""),9))"),"775108497")</f>
        <v>775108497</v>
      </c>
      <c r="B5776" s="52">
        <v>7.75108497E8</v>
      </c>
      <c r="C5776" s="28" t="s">
        <v>5740</v>
      </c>
      <c r="D5776" s="26" t="s">
        <v>64</v>
      </c>
      <c r="E5776" s="31">
        <v>46239.0</v>
      </c>
      <c r="F5776" s="26" t="s">
        <v>41</v>
      </c>
      <c r="G5776" s="26">
        <v>11.0</v>
      </c>
      <c r="I5776" s="26" t="s">
        <v>883</v>
      </c>
      <c r="J5776" s="25" t="str">
        <f t="shared" si="64"/>
        <v>No</v>
      </c>
      <c r="K5776" s="25" t="str">
        <f t="shared" si="65"/>
        <v/>
      </c>
      <c r="L5776" s="25" t="str">
        <f t="shared" si="66"/>
        <v/>
      </c>
      <c r="M5776" s="25"/>
      <c r="O5776" s="25"/>
    </row>
    <row r="5777" ht="15.75" customHeight="1">
      <c r="A5777" s="25" t="str">
        <f>IFERROR(__xludf.DUMMYFUNCTION("IF(B5777="""","""",RIGHT(REGEXREPLACE(B5777&amp;"""",""[^0-9]"",""""),9))"),"765506977")</f>
        <v>765506977</v>
      </c>
      <c r="B5777" s="52">
        <v>7.65506977E8</v>
      </c>
      <c r="C5777" s="28" t="s">
        <v>5741</v>
      </c>
      <c r="D5777" s="26" t="s">
        <v>82</v>
      </c>
      <c r="E5777" s="31">
        <v>46239.0</v>
      </c>
      <c r="F5777" s="26" t="s">
        <v>41</v>
      </c>
      <c r="I5777" s="26" t="s">
        <v>883</v>
      </c>
      <c r="J5777" s="25" t="str">
        <f t="shared" si="64"/>
        <v>No</v>
      </c>
      <c r="K5777" s="25" t="str">
        <f t="shared" si="65"/>
        <v/>
      </c>
      <c r="L5777" s="25" t="str">
        <f t="shared" si="66"/>
        <v/>
      </c>
      <c r="M5777" s="25"/>
      <c r="O5777" s="25"/>
    </row>
    <row r="5778" ht="15.75" customHeight="1">
      <c r="A5778" s="25" t="str">
        <f>IFERROR(__xludf.DUMMYFUNCTION("IF(B5778="""","""",RIGHT(REGEXREPLACE(B5778&amp;"""",""[^0-9]"",""""),9))"),"704204640")</f>
        <v>704204640</v>
      </c>
      <c r="B5778" s="52">
        <v>7.0420464E8</v>
      </c>
      <c r="C5778" s="28" t="s">
        <v>5742</v>
      </c>
      <c r="D5778" s="26" t="s">
        <v>64</v>
      </c>
      <c r="E5778" s="31">
        <v>46239.0</v>
      </c>
      <c r="F5778" s="26" t="s">
        <v>41</v>
      </c>
      <c r="G5778" s="26">
        <v>8.0</v>
      </c>
      <c r="I5778" s="26" t="s">
        <v>883</v>
      </c>
      <c r="J5778" s="25" t="str">
        <f t="shared" si="64"/>
        <v>No</v>
      </c>
      <c r="K5778" s="25" t="str">
        <f t="shared" si="65"/>
        <v/>
      </c>
      <c r="L5778" s="25" t="str">
        <f t="shared" si="66"/>
        <v/>
      </c>
      <c r="M5778" s="25"/>
      <c r="O5778" s="25"/>
    </row>
    <row r="5779" ht="15.75" customHeight="1">
      <c r="A5779" s="25" t="str">
        <f>IFERROR(__xludf.DUMMYFUNCTION("IF(B5779="""","""",RIGHT(REGEXREPLACE(B5779&amp;"""",""[^0-9]"",""""),9))"),"761254109")</f>
        <v>761254109</v>
      </c>
      <c r="B5779" s="52">
        <v>7.61254109E8</v>
      </c>
      <c r="C5779" s="28" t="s">
        <v>5743</v>
      </c>
      <c r="D5779" s="26" t="s">
        <v>49</v>
      </c>
      <c r="E5779" s="31">
        <v>46239.0</v>
      </c>
      <c r="F5779" s="26" t="s">
        <v>659</v>
      </c>
      <c r="G5779" s="26">
        <v>7.0</v>
      </c>
      <c r="I5779" s="26" t="s">
        <v>883</v>
      </c>
      <c r="J5779" s="25" t="str">
        <f t="shared" si="64"/>
        <v>No</v>
      </c>
      <c r="K5779" s="25" t="str">
        <f t="shared" si="65"/>
        <v/>
      </c>
      <c r="L5779" s="25" t="str">
        <f t="shared" si="66"/>
        <v/>
      </c>
      <c r="M5779" s="25"/>
      <c r="O5779" s="25"/>
    </row>
    <row r="5780" ht="15.75" customHeight="1">
      <c r="A5780" s="25" t="str">
        <f>IFERROR(__xludf.DUMMYFUNCTION("IF(B5780="""","""",RIGHT(REGEXREPLACE(B5780&amp;"""",""[^0-9]"",""""),9))"),"713128709")</f>
        <v>713128709</v>
      </c>
      <c r="B5780" s="52">
        <v>7.13128709E8</v>
      </c>
      <c r="C5780" s="28" t="s">
        <v>5744</v>
      </c>
      <c r="D5780" s="26" t="s">
        <v>56</v>
      </c>
      <c r="E5780" s="31">
        <v>46239.0</v>
      </c>
      <c r="F5780" s="26" t="s">
        <v>46</v>
      </c>
      <c r="G5780" s="26">
        <v>7.0</v>
      </c>
      <c r="I5780" s="26" t="s">
        <v>883</v>
      </c>
      <c r="J5780" s="25" t="str">
        <f t="shared" si="64"/>
        <v>No</v>
      </c>
      <c r="K5780" s="25" t="str">
        <f t="shared" si="65"/>
        <v/>
      </c>
      <c r="L5780" s="25" t="str">
        <f t="shared" si="66"/>
        <v/>
      </c>
      <c r="M5780" s="25"/>
      <c r="O5780" s="25"/>
    </row>
    <row r="5781" ht="15.75" customHeight="1">
      <c r="A5781" s="25" t="str">
        <f>IFERROR(__xludf.DUMMYFUNCTION("IF(B5781="""","""",RIGHT(REGEXREPLACE(B5781&amp;"""",""[^0-9]"",""""),9))"),"760906713")</f>
        <v>760906713</v>
      </c>
      <c r="B5781" s="52">
        <v>7.60906713E8</v>
      </c>
      <c r="C5781" s="28" t="s">
        <v>3574</v>
      </c>
      <c r="D5781" s="26" t="s">
        <v>49</v>
      </c>
      <c r="E5781" s="31">
        <v>46239.0</v>
      </c>
      <c r="F5781" s="26" t="s">
        <v>41</v>
      </c>
      <c r="I5781" s="26" t="s">
        <v>883</v>
      </c>
      <c r="J5781" s="25" t="str">
        <f t="shared" si="64"/>
        <v>Yes - see Previous F-Code</v>
      </c>
      <c r="K5781" s="25" t="str">
        <f t="shared" si="65"/>
        <v/>
      </c>
      <c r="L5781" s="25" t="str">
        <f t="shared" si="66"/>
        <v>F73232</v>
      </c>
      <c r="M5781" s="25"/>
      <c r="O5781" s="25"/>
    </row>
    <row r="5782" ht="15.75" customHeight="1">
      <c r="A5782" s="25" t="str">
        <f>IFERROR(__xludf.DUMMYFUNCTION("IF(B5782="""","""",RIGHT(REGEXREPLACE(B5782&amp;"""",""[^0-9]"",""""),9))"),"771487824")</f>
        <v>771487824</v>
      </c>
      <c r="B5782" s="52">
        <v>7.71487824E8</v>
      </c>
      <c r="C5782" s="28" t="s">
        <v>5745</v>
      </c>
      <c r="D5782" s="26" t="s">
        <v>82</v>
      </c>
      <c r="E5782" s="31">
        <v>46239.0</v>
      </c>
      <c r="F5782" s="26" t="s">
        <v>41</v>
      </c>
      <c r="G5782" s="26">
        <v>8.0</v>
      </c>
      <c r="I5782" s="26" t="s">
        <v>883</v>
      </c>
      <c r="J5782" s="25" t="str">
        <f t="shared" si="64"/>
        <v>No</v>
      </c>
      <c r="K5782" s="25" t="str">
        <f t="shared" si="65"/>
        <v/>
      </c>
      <c r="L5782" s="25" t="str">
        <f t="shared" si="66"/>
        <v/>
      </c>
      <c r="M5782" s="25"/>
      <c r="O5782" s="25"/>
    </row>
    <row r="5783" ht="15.75" customHeight="1">
      <c r="A5783" s="25" t="str">
        <f>IFERROR(__xludf.DUMMYFUNCTION("IF(B5783="""","""",RIGHT(REGEXREPLACE(B5783&amp;"""",""[^0-9]"",""""),9))"),"750293389")</f>
        <v>750293389</v>
      </c>
      <c r="B5783" s="52">
        <v>7.50293389E8</v>
      </c>
      <c r="C5783" s="28" t="s">
        <v>2107</v>
      </c>
      <c r="D5783" s="26" t="s">
        <v>56</v>
      </c>
      <c r="E5783" s="31">
        <v>46239.0</v>
      </c>
      <c r="F5783" s="26" t="s">
        <v>46</v>
      </c>
      <c r="G5783" s="26">
        <v>10.0</v>
      </c>
      <c r="H5783" s="26" t="s">
        <v>5746</v>
      </c>
      <c r="I5783" s="26" t="s">
        <v>883</v>
      </c>
      <c r="J5783" s="25" t="str">
        <f t="shared" si="64"/>
        <v>No</v>
      </c>
      <c r="K5783" s="25" t="str">
        <f t="shared" si="65"/>
        <v/>
      </c>
      <c r="L5783" s="25" t="str">
        <f t="shared" si="66"/>
        <v/>
      </c>
      <c r="M5783" s="25"/>
      <c r="O5783" s="25"/>
    </row>
    <row r="5784" ht="15.75" customHeight="1">
      <c r="A5784" s="25" t="str">
        <f>IFERROR(__xludf.DUMMYFUNCTION("IF(B5784="""","""",RIGHT(REGEXREPLACE(B5784&amp;"""",""[^0-9]"",""""),9))"),"777359218")</f>
        <v>777359218</v>
      </c>
      <c r="B5784" s="52">
        <v>7.77359218E8</v>
      </c>
      <c r="C5784" s="28" t="s">
        <v>5747</v>
      </c>
      <c r="D5784" s="26" t="s">
        <v>64</v>
      </c>
      <c r="E5784" s="31">
        <v>46239.0</v>
      </c>
      <c r="F5784" s="26" t="s">
        <v>41</v>
      </c>
      <c r="G5784" s="26">
        <v>9.0</v>
      </c>
      <c r="I5784" s="26" t="s">
        <v>883</v>
      </c>
      <c r="J5784" s="25" t="str">
        <f t="shared" si="64"/>
        <v>No</v>
      </c>
      <c r="K5784" s="25" t="str">
        <f t="shared" si="65"/>
        <v/>
      </c>
      <c r="L5784" s="25" t="str">
        <f t="shared" si="66"/>
        <v/>
      </c>
      <c r="M5784" s="25"/>
      <c r="O5784" s="25"/>
    </row>
    <row r="5785" ht="15.75" customHeight="1">
      <c r="A5785" s="25" t="str">
        <f>IFERROR(__xludf.DUMMYFUNCTION("IF(B5785="""","""",RIGHT(REGEXREPLACE(B5785&amp;"""",""[^0-9]"",""""),9))"),"710156067")</f>
        <v>710156067</v>
      </c>
      <c r="B5785" s="52">
        <v>7.10156067E8</v>
      </c>
      <c r="C5785" s="28" t="s">
        <v>5748</v>
      </c>
      <c r="D5785" s="26" t="s">
        <v>49</v>
      </c>
      <c r="E5785" s="31">
        <v>46239.0</v>
      </c>
      <c r="F5785" s="26" t="s">
        <v>46</v>
      </c>
      <c r="G5785" s="26">
        <v>11.0</v>
      </c>
      <c r="H5785" s="117" t="s">
        <v>5749</v>
      </c>
      <c r="I5785" s="26" t="s">
        <v>883</v>
      </c>
      <c r="J5785" s="25" t="str">
        <f t="shared" si="64"/>
        <v>No</v>
      </c>
      <c r="K5785" s="25" t="str">
        <f t="shared" si="65"/>
        <v/>
      </c>
      <c r="L5785" s="25" t="str">
        <f t="shared" si="66"/>
        <v/>
      </c>
      <c r="M5785" s="25"/>
      <c r="O5785" s="25"/>
    </row>
    <row r="5786" ht="15.75" customHeight="1">
      <c r="A5786" s="25" t="str">
        <f>IFERROR(__xludf.DUMMYFUNCTION("IF(B5786="""","""",RIGHT(REGEXREPLACE(B5786&amp;"""",""[^0-9]"",""""),9))"),"751472629")</f>
        <v>751472629</v>
      </c>
      <c r="B5786" s="52">
        <v>7.51472629E8</v>
      </c>
      <c r="C5786" s="28" t="s">
        <v>4859</v>
      </c>
      <c r="D5786" s="26" t="s">
        <v>64</v>
      </c>
      <c r="E5786" s="31">
        <v>46239.0</v>
      </c>
      <c r="F5786" s="26" t="s">
        <v>41</v>
      </c>
      <c r="G5786" s="26">
        <v>10.0</v>
      </c>
      <c r="I5786" s="26" t="s">
        <v>883</v>
      </c>
      <c r="J5786" s="25" t="str">
        <f t="shared" si="64"/>
        <v>Yes - see Previous F-Code</v>
      </c>
      <c r="K5786" s="25" t="str">
        <f t="shared" si="65"/>
        <v/>
      </c>
      <c r="L5786" s="25" t="str">
        <f t="shared" si="66"/>
        <v>F74431</v>
      </c>
      <c r="M5786" s="25"/>
      <c r="O5786" s="25"/>
    </row>
    <row r="5787" ht="15.75" customHeight="1">
      <c r="A5787" s="25" t="str">
        <f>IFERROR(__xludf.DUMMYFUNCTION("IF(B5787="""","""",RIGHT(REGEXREPLACE(B5787&amp;"""",""[^0-9]"",""""),9))"),"717204610")</f>
        <v>717204610</v>
      </c>
      <c r="B5787" s="52">
        <v>7.1720461E8</v>
      </c>
      <c r="C5787" s="28" t="s">
        <v>5750</v>
      </c>
      <c r="D5787" s="26" t="s">
        <v>82</v>
      </c>
      <c r="E5787" s="31">
        <v>46239.0</v>
      </c>
      <c r="F5787" s="26" t="s">
        <v>46</v>
      </c>
      <c r="G5787" s="26">
        <v>8.0</v>
      </c>
      <c r="I5787" s="26" t="s">
        <v>883</v>
      </c>
      <c r="J5787" s="25" t="str">
        <f t="shared" si="64"/>
        <v>No</v>
      </c>
      <c r="K5787" s="25" t="str">
        <f t="shared" si="65"/>
        <v/>
      </c>
      <c r="L5787" s="25" t="str">
        <f t="shared" si="66"/>
        <v/>
      </c>
      <c r="M5787" s="25"/>
      <c r="O5787" s="25"/>
    </row>
    <row r="5788" ht="15.75" customHeight="1">
      <c r="A5788" s="25" t="str">
        <f>IFERROR(__xludf.DUMMYFUNCTION("IF(B5788="""","""",RIGHT(REGEXREPLACE(B5788&amp;"""",""[^0-9]"",""""),9))"),"712592372")</f>
        <v>712592372</v>
      </c>
      <c r="B5788" s="52">
        <v>7.12592372E8</v>
      </c>
      <c r="C5788" s="28" t="s">
        <v>5751</v>
      </c>
      <c r="D5788" s="26" t="s">
        <v>82</v>
      </c>
      <c r="E5788" s="31">
        <v>46239.0</v>
      </c>
      <c r="F5788" s="26" t="s">
        <v>125</v>
      </c>
      <c r="G5788" s="26">
        <v>8.0</v>
      </c>
      <c r="H5788" s="26" t="s">
        <v>5752</v>
      </c>
      <c r="I5788" s="26" t="s">
        <v>883</v>
      </c>
      <c r="J5788" s="25" t="str">
        <f t="shared" si="64"/>
        <v>No</v>
      </c>
      <c r="K5788" s="25" t="str">
        <f t="shared" si="65"/>
        <v/>
      </c>
      <c r="L5788" s="25" t="str">
        <f t="shared" si="66"/>
        <v/>
      </c>
      <c r="M5788" s="25"/>
      <c r="O5788" s="25"/>
    </row>
    <row r="5789" ht="15.75" customHeight="1">
      <c r="A5789" s="25" t="str">
        <f>IFERROR(__xludf.DUMMYFUNCTION("IF(B5789="""","""",RIGHT(REGEXREPLACE(B5789&amp;"""",""[^0-9]"",""""),9))"),"770496543")</f>
        <v>770496543</v>
      </c>
      <c r="B5789" s="52">
        <v>7.70496543E8</v>
      </c>
      <c r="C5789" s="28" t="s">
        <v>5753</v>
      </c>
      <c r="D5789" s="26" t="s">
        <v>56</v>
      </c>
      <c r="E5789" s="31">
        <v>46239.0</v>
      </c>
      <c r="F5789" s="26" t="s">
        <v>631</v>
      </c>
      <c r="G5789" s="26">
        <v>9.0</v>
      </c>
      <c r="I5789" s="26" t="s">
        <v>883</v>
      </c>
      <c r="J5789" s="25" t="str">
        <f t="shared" si="64"/>
        <v>No</v>
      </c>
      <c r="K5789" s="25" t="str">
        <f t="shared" si="65"/>
        <v/>
      </c>
      <c r="L5789" s="25" t="str">
        <f t="shared" si="66"/>
        <v/>
      </c>
      <c r="M5789" s="25"/>
      <c r="O5789" s="25"/>
    </row>
    <row r="5790" ht="15.75" customHeight="1">
      <c r="A5790" s="25" t="str">
        <f>IFERROR(__xludf.DUMMYFUNCTION("IF(B5790="""","""",RIGHT(REGEXREPLACE(B5790&amp;"""",""[^0-9]"",""""),9))"),"752957382")</f>
        <v>752957382</v>
      </c>
      <c r="B5790" s="52">
        <v>7.52957382E8</v>
      </c>
      <c r="C5790" s="28" t="s">
        <v>5754</v>
      </c>
      <c r="D5790" s="26" t="s">
        <v>49</v>
      </c>
      <c r="E5790" s="31">
        <v>46239.0</v>
      </c>
      <c r="F5790" s="26" t="s">
        <v>205</v>
      </c>
      <c r="I5790" s="26" t="s">
        <v>883</v>
      </c>
      <c r="J5790" s="25" t="str">
        <f t="shared" si="64"/>
        <v>No</v>
      </c>
      <c r="K5790" s="25" t="str">
        <f t="shared" si="65"/>
        <v/>
      </c>
      <c r="L5790" s="25" t="str">
        <f t="shared" si="66"/>
        <v/>
      </c>
      <c r="M5790" s="25"/>
      <c r="O5790" s="25"/>
    </row>
    <row r="5791" ht="15.75" customHeight="1">
      <c r="A5791" s="25" t="str">
        <f>IFERROR(__xludf.DUMMYFUNCTION("IF(B5791="""","""",RIGHT(REGEXREPLACE(B5791&amp;"""",""[^0-9]"",""""),9))"),"779200427")</f>
        <v>779200427</v>
      </c>
      <c r="B5791" s="52">
        <v>7.79200427E8</v>
      </c>
      <c r="C5791" s="28" t="s">
        <v>5755</v>
      </c>
      <c r="D5791" s="26" t="s">
        <v>64</v>
      </c>
      <c r="E5791" s="31">
        <v>46239.0</v>
      </c>
      <c r="F5791" s="26" t="s">
        <v>205</v>
      </c>
      <c r="I5791" s="26" t="s">
        <v>883</v>
      </c>
      <c r="J5791" s="25" t="str">
        <f t="shared" si="64"/>
        <v>No</v>
      </c>
      <c r="K5791" s="25" t="str">
        <f t="shared" si="65"/>
        <v/>
      </c>
      <c r="L5791" s="25" t="str">
        <f t="shared" si="66"/>
        <v/>
      </c>
      <c r="M5791" s="25"/>
      <c r="O5791" s="25"/>
    </row>
    <row r="5792" ht="15.75" customHeight="1">
      <c r="A5792" s="25" t="str">
        <f>IFERROR(__xludf.DUMMYFUNCTION("IF(B5792="""","""",RIGHT(REGEXREPLACE(B5792&amp;"""",""[^0-9]"",""""),9))"),"753572595")</f>
        <v>753572595</v>
      </c>
      <c r="B5792" s="52">
        <v>7.53572595E8</v>
      </c>
      <c r="C5792" s="28" t="s">
        <v>5756</v>
      </c>
      <c r="D5792" s="26" t="s">
        <v>82</v>
      </c>
      <c r="E5792" s="31">
        <v>46239.0</v>
      </c>
      <c r="F5792" s="26" t="s">
        <v>46</v>
      </c>
      <c r="G5792" s="26">
        <v>8.0</v>
      </c>
      <c r="I5792" s="26" t="s">
        <v>883</v>
      </c>
      <c r="J5792" s="25" t="str">
        <f t="shared" si="64"/>
        <v>No</v>
      </c>
      <c r="K5792" s="25" t="str">
        <f t="shared" si="65"/>
        <v/>
      </c>
      <c r="L5792" s="25" t="str">
        <f t="shared" si="66"/>
        <v/>
      </c>
      <c r="M5792" s="25"/>
      <c r="O5792" s="25"/>
    </row>
    <row r="5793" ht="15.75" customHeight="1">
      <c r="A5793" s="25" t="str">
        <f>IFERROR(__xludf.DUMMYFUNCTION("IF(B5793="""","""",RIGHT(REGEXREPLACE(B5793&amp;"""",""[^0-9]"",""""),9))"),"751187140")</f>
        <v>751187140</v>
      </c>
      <c r="B5793" s="52">
        <v>7.5118714E8</v>
      </c>
      <c r="C5793" s="28" t="s">
        <v>5757</v>
      </c>
      <c r="D5793" s="26" t="s">
        <v>56</v>
      </c>
      <c r="E5793" s="31">
        <v>46239.0</v>
      </c>
      <c r="F5793" s="26" t="s">
        <v>46</v>
      </c>
      <c r="G5793" s="26">
        <v>8.0</v>
      </c>
      <c r="H5793" s="26" t="s">
        <v>5758</v>
      </c>
      <c r="I5793" s="26" t="s">
        <v>883</v>
      </c>
      <c r="J5793" s="25" t="str">
        <f t="shared" si="64"/>
        <v>No</v>
      </c>
      <c r="K5793" s="25" t="str">
        <f t="shared" si="65"/>
        <v/>
      </c>
      <c r="L5793" s="25" t="str">
        <f t="shared" si="66"/>
        <v/>
      </c>
      <c r="M5793" s="25"/>
      <c r="O5793" s="25"/>
    </row>
    <row r="5794" ht="15.75" customHeight="1">
      <c r="A5794" s="25" t="str">
        <f>IFERROR(__xludf.DUMMYFUNCTION("IF(B5794="""","""",RIGHT(REGEXREPLACE(B5794&amp;"""",""[^0-9]"",""""),9))"),"765565300")</f>
        <v>765565300</v>
      </c>
      <c r="B5794" s="52">
        <v>7.655653E8</v>
      </c>
      <c r="C5794" s="28" t="s">
        <v>4816</v>
      </c>
      <c r="D5794" s="26" t="s">
        <v>64</v>
      </c>
      <c r="E5794" s="31">
        <v>46239.0</v>
      </c>
      <c r="F5794" s="26" t="s">
        <v>46</v>
      </c>
      <c r="G5794" s="26">
        <v>10.0</v>
      </c>
      <c r="I5794" s="26" t="s">
        <v>883</v>
      </c>
      <c r="J5794" s="25" t="str">
        <f t="shared" si="64"/>
        <v>Yes - see Previous F-Code</v>
      </c>
      <c r="K5794" s="25" t="str">
        <f t="shared" si="65"/>
        <v/>
      </c>
      <c r="L5794" s="25" t="str">
        <f t="shared" si="66"/>
        <v>F74394</v>
      </c>
      <c r="M5794" s="25"/>
      <c r="O5794" s="25"/>
    </row>
    <row r="5795" ht="15.75" customHeight="1">
      <c r="A5795" s="25" t="str">
        <f>IFERROR(__xludf.DUMMYFUNCTION("IF(B5795="""","""",RIGHT(REGEXREPLACE(B5795&amp;"""",""[^0-9]"",""""),9))"),"778576293")</f>
        <v>778576293</v>
      </c>
      <c r="B5795" s="52">
        <v>7.78576293E8</v>
      </c>
      <c r="C5795" s="28" t="s">
        <v>5759</v>
      </c>
      <c r="D5795" s="26" t="s">
        <v>49</v>
      </c>
      <c r="E5795" s="31">
        <v>46239.0</v>
      </c>
      <c r="F5795" s="26" t="s">
        <v>659</v>
      </c>
      <c r="I5795" s="26" t="s">
        <v>883</v>
      </c>
      <c r="J5795" s="25" t="str">
        <f t="shared" si="64"/>
        <v>No</v>
      </c>
      <c r="K5795" s="25" t="str">
        <f t="shared" si="65"/>
        <v/>
      </c>
      <c r="L5795" s="25" t="str">
        <f t="shared" si="66"/>
        <v/>
      </c>
      <c r="M5795" s="25"/>
      <c r="O5795" s="25"/>
    </row>
    <row r="5796" ht="15.75" customHeight="1">
      <c r="A5796" s="25" t="str">
        <f>IFERROR(__xludf.DUMMYFUNCTION("IF(B5796="""","""",RIGHT(REGEXREPLACE(B5796&amp;"""",""[^0-9]"",""""),9))"),"768848481")</f>
        <v>768848481</v>
      </c>
      <c r="B5796" s="52">
        <v>7.68848481E8</v>
      </c>
      <c r="C5796" s="28" t="s">
        <v>5760</v>
      </c>
      <c r="D5796" s="26" t="s">
        <v>49</v>
      </c>
      <c r="E5796" s="31">
        <v>46239.0</v>
      </c>
      <c r="F5796" s="26" t="s">
        <v>46</v>
      </c>
      <c r="G5796" s="26">
        <v>6.0</v>
      </c>
      <c r="H5796" s="26" t="s">
        <v>5761</v>
      </c>
      <c r="I5796" s="26" t="s">
        <v>883</v>
      </c>
      <c r="J5796" s="25" t="str">
        <f t="shared" si="64"/>
        <v>No</v>
      </c>
      <c r="K5796" s="25" t="str">
        <f t="shared" si="65"/>
        <v/>
      </c>
      <c r="L5796" s="25" t="str">
        <f t="shared" si="66"/>
        <v/>
      </c>
      <c r="M5796" s="25"/>
      <c r="O5796" s="25"/>
    </row>
    <row r="5797" ht="15.75" customHeight="1">
      <c r="A5797" s="25" t="str">
        <f>IFERROR(__xludf.DUMMYFUNCTION("IF(B5797="""","""",RIGHT(REGEXREPLACE(B5797&amp;"""",""[^0-9]"",""""),9))"),"769062468")</f>
        <v>769062468</v>
      </c>
      <c r="B5797" s="52">
        <v>7.69062468E8</v>
      </c>
      <c r="C5797" s="28" t="s">
        <v>5762</v>
      </c>
      <c r="D5797" s="26" t="s">
        <v>56</v>
      </c>
      <c r="E5797" s="31">
        <v>46239.0</v>
      </c>
      <c r="F5797" s="26" t="s">
        <v>84</v>
      </c>
      <c r="H5797" s="26" t="s">
        <v>140</v>
      </c>
      <c r="I5797" s="26" t="s">
        <v>883</v>
      </c>
      <c r="J5797" s="25" t="str">
        <f t="shared" si="64"/>
        <v>No</v>
      </c>
      <c r="K5797" s="25" t="str">
        <f t="shared" si="65"/>
        <v/>
      </c>
      <c r="L5797" s="25" t="str">
        <f t="shared" si="66"/>
        <v/>
      </c>
      <c r="M5797" s="25"/>
      <c r="O5797" s="25"/>
    </row>
    <row r="5798" ht="15.75" customHeight="1">
      <c r="A5798" s="25" t="str">
        <f>IFERROR(__xludf.DUMMYFUNCTION("IF(B5798="""","""",RIGHT(REGEXREPLACE(B5798&amp;"""",""[^0-9]"",""""),9))"),"718433506")</f>
        <v>718433506</v>
      </c>
      <c r="B5798" s="52">
        <v>7.18433506E8</v>
      </c>
      <c r="C5798" s="28" t="s">
        <v>5763</v>
      </c>
      <c r="D5798" s="26" t="s">
        <v>64</v>
      </c>
      <c r="E5798" s="31">
        <v>46239.0</v>
      </c>
      <c r="F5798" s="26" t="s">
        <v>46</v>
      </c>
      <c r="G5798" s="26">
        <v>11.0</v>
      </c>
      <c r="H5798" s="26" t="s">
        <v>5764</v>
      </c>
      <c r="I5798" s="26" t="s">
        <v>883</v>
      </c>
      <c r="J5798" s="25" t="str">
        <f t="shared" si="64"/>
        <v>No</v>
      </c>
      <c r="K5798" s="25" t="str">
        <f t="shared" si="65"/>
        <v/>
      </c>
      <c r="L5798" s="25" t="str">
        <f t="shared" si="66"/>
        <v/>
      </c>
      <c r="M5798" s="25"/>
      <c r="O5798" s="25"/>
    </row>
    <row r="5799" ht="15.75" customHeight="1">
      <c r="A5799" s="25" t="str">
        <f>IFERROR(__xludf.DUMMYFUNCTION("IF(B5799="""","""",RIGHT(REGEXREPLACE(B5799&amp;"""",""[^0-9]"",""""),9))"),"704337257")</f>
        <v>704337257</v>
      </c>
      <c r="B5799" s="52">
        <v>7.04337257E8</v>
      </c>
      <c r="C5799" s="28" t="s">
        <v>5765</v>
      </c>
      <c r="D5799" s="26" t="s">
        <v>64</v>
      </c>
      <c r="E5799" s="31">
        <v>46239.0</v>
      </c>
      <c r="F5799" s="26" t="s">
        <v>205</v>
      </c>
      <c r="G5799" s="26">
        <v>10.0</v>
      </c>
      <c r="I5799" s="26" t="s">
        <v>883</v>
      </c>
      <c r="J5799" s="25" t="str">
        <f t="shared" si="64"/>
        <v>No</v>
      </c>
      <c r="K5799" s="25" t="str">
        <f t="shared" si="65"/>
        <v/>
      </c>
      <c r="L5799" s="25" t="str">
        <f t="shared" si="66"/>
        <v/>
      </c>
      <c r="M5799" s="25"/>
      <c r="O5799" s="25"/>
    </row>
    <row r="5800" ht="15.75" customHeight="1">
      <c r="A5800" s="25" t="str">
        <f>IFERROR(__xludf.DUMMYFUNCTION("IF(B5800="""","""",RIGHT(REGEXREPLACE(B5800&amp;"""",""[^0-9]"",""""),9))"),"705950750")</f>
        <v>705950750</v>
      </c>
      <c r="B5800" s="52">
        <v>7.0595075E8</v>
      </c>
      <c r="C5800" s="28" t="s">
        <v>5766</v>
      </c>
      <c r="D5800" s="26" t="s">
        <v>64</v>
      </c>
      <c r="E5800" s="31">
        <v>46239.0</v>
      </c>
      <c r="F5800" s="26" t="s">
        <v>46</v>
      </c>
      <c r="G5800" s="26">
        <v>9.0</v>
      </c>
      <c r="I5800" s="26" t="s">
        <v>883</v>
      </c>
      <c r="J5800" s="25" t="str">
        <f t="shared" si="64"/>
        <v>No</v>
      </c>
      <c r="K5800" s="25" t="str">
        <f t="shared" si="65"/>
        <v/>
      </c>
      <c r="L5800" s="25" t="str">
        <f t="shared" si="66"/>
        <v/>
      </c>
      <c r="M5800" s="25"/>
      <c r="O5800" s="25"/>
    </row>
    <row r="5801" ht="15.75" customHeight="1">
      <c r="A5801" s="25" t="str">
        <f>IFERROR(__xludf.DUMMYFUNCTION("IF(B5801="""","""",RIGHT(REGEXREPLACE(B5801&amp;"""",""[^0-9]"",""""),9))"),"754642010")</f>
        <v>754642010</v>
      </c>
      <c r="B5801" s="52">
        <v>7.5464201E8</v>
      </c>
      <c r="C5801" s="28" t="s">
        <v>5767</v>
      </c>
      <c r="D5801" s="26" t="s">
        <v>49</v>
      </c>
      <c r="E5801" s="31">
        <v>46239.0</v>
      </c>
      <c r="F5801" s="26" t="s">
        <v>205</v>
      </c>
      <c r="G5801" s="26">
        <v>7.0</v>
      </c>
      <c r="I5801" s="26" t="s">
        <v>883</v>
      </c>
      <c r="J5801" s="25" t="str">
        <f t="shared" si="64"/>
        <v>No</v>
      </c>
      <c r="K5801" s="25" t="str">
        <f t="shared" si="65"/>
        <v/>
      </c>
      <c r="L5801" s="25" t="str">
        <f t="shared" si="66"/>
        <v/>
      </c>
      <c r="M5801" s="25"/>
      <c r="O5801" s="25"/>
    </row>
    <row r="5802" ht="15.75" customHeight="1">
      <c r="A5802" s="25" t="str">
        <f>IFERROR(__xludf.DUMMYFUNCTION("IF(B5802="""","""",RIGHT(REGEXREPLACE(B5802&amp;"""",""[^0-9]"",""""),9))"),"743020769")</f>
        <v>743020769</v>
      </c>
      <c r="B5802" s="52">
        <v>7.43020769E8</v>
      </c>
      <c r="C5802" s="28" t="s">
        <v>5768</v>
      </c>
      <c r="D5802" s="26" t="s">
        <v>82</v>
      </c>
      <c r="E5802" s="31">
        <v>46239.0</v>
      </c>
      <c r="F5802" s="26" t="s">
        <v>41</v>
      </c>
      <c r="G5802" s="26">
        <v>8.0</v>
      </c>
      <c r="I5802" s="26" t="s">
        <v>883</v>
      </c>
      <c r="J5802" s="25" t="str">
        <f t="shared" si="64"/>
        <v>No</v>
      </c>
      <c r="K5802" s="25" t="str">
        <f t="shared" si="65"/>
        <v/>
      </c>
      <c r="L5802" s="25" t="str">
        <f t="shared" si="66"/>
        <v/>
      </c>
      <c r="M5802" s="25"/>
      <c r="O5802" s="25"/>
    </row>
    <row r="5803" ht="15.75" customHeight="1">
      <c r="A5803" s="25" t="str">
        <f>IFERROR(__xludf.DUMMYFUNCTION("IF(B5803="""","""",RIGHT(REGEXREPLACE(B5803&amp;"""",""[^0-9]"",""""),9))"),"764872171")</f>
        <v>764872171</v>
      </c>
      <c r="B5803" s="52">
        <v>7.64872171E8</v>
      </c>
      <c r="C5803" s="28" t="s">
        <v>5769</v>
      </c>
      <c r="D5803" s="26" t="s">
        <v>49</v>
      </c>
      <c r="E5803" s="31">
        <v>46239.0</v>
      </c>
      <c r="F5803" s="26" t="s">
        <v>205</v>
      </c>
      <c r="I5803" s="26" t="s">
        <v>883</v>
      </c>
      <c r="J5803" s="25" t="str">
        <f t="shared" si="64"/>
        <v>No</v>
      </c>
      <c r="K5803" s="25" t="str">
        <f t="shared" si="65"/>
        <v/>
      </c>
      <c r="L5803" s="25" t="str">
        <f t="shared" si="66"/>
        <v/>
      </c>
      <c r="M5803" s="25"/>
      <c r="O5803" s="25"/>
    </row>
    <row r="5804" ht="15.75" customHeight="1">
      <c r="A5804" s="25" t="str">
        <f>IFERROR(__xludf.DUMMYFUNCTION("IF(B5804="""","""",RIGHT(REGEXREPLACE(B5804&amp;"""",""[^0-9]"",""""),9))"),"765669499")</f>
        <v>765669499</v>
      </c>
      <c r="B5804" s="52">
        <v>7.65669499E8</v>
      </c>
      <c r="C5804" s="28" t="s">
        <v>5770</v>
      </c>
      <c r="D5804" s="26" t="s">
        <v>82</v>
      </c>
      <c r="E5804" s="31">
        <v>46239.0</v>
      </c>
      <c r="F5804" s="26" t="s">
        <v>704</v>
      </c>
      <c r="H5804" s="26" t="s">
        <v>5771</v>
      </c>
      <c r="I5804" s="26" t="s">
        <v>883</v>
      </c>
      <c r="J5804" s="25" t="str">
        <f t="shared" si="64"/>
        <v>No</v>
      </c>
      <c r="K5804" s="25" t="str">
        <f t="shared" si="65"/>
        <v/>
      </c>
      <c r="L5804" s="25" t="str">
        <f t="shared" si="66"/>
        <v/>
      </c>
      <c r="M5804" s="25"/>
      <c r="O5804" s="25"/>
    </row>
    <row r="5805" ht="15.75" customHeight="1">
      <c r="A5805" s="25" t="str">
        <f>IFERROR(__xludf.DUMMYFUNCTION("IF(B5805="""","""",RIGHT(REGEXREPLACE(B5805&amp;"""",""[^0-9]"",""""),9))"),"776180956")</f>
        <v>776180956</v>
      </c>
      <c r="B5805" s="52">
        <v>7.76180956E8</v>
      </c>
      <c r="C5805" s="28" t="s">
        <v>5772</v>
      </c>
      <c r="D5805" s="26" t="s">
        <v>64</v>
      </c>
      <c r="E5805" s="31">
        <v>46239.0</v>
      </c>
      <c r="F5805" s="26" t="s">
        <v>41</v>
      </c>
      <c r="G5805" s="26">
        <v>10.0</v>
      </c>
      <c r="I5805" s="26" t="s">
        <v>883</v>
      </c>
      <c r="J5805" s="25" t="str">
        <f t="shared" si="64"/>
        <v>No</v>
      </c>
      <c r="K5805" s="25" t="str">
        <f t="shared" si="65"/>
        <v/>
      </c>
      <c r="L5805" s="25" t="str">
        <f t="shared" si="66"/>
        <v/>
      </c>
      <c r="M5805" s="25"/>
      <c r="O5805" s="25"/>
    </row>
    <row r="5806" ht="15.75" customHeight="1">
      <c r="A5806" s="25" t="str">
        <f>IFERROR(__xludf.DUMMYFUNCTION("IF(B5806="""","""",RIGHT(REGEXREPLACE(B5806&amp;"""",""[^0-9]"",""""),9))"),"772784304")</f>
        <v>772784304</v>
      </c>
      <c r="B5806" s="52">
        <v>7.72784304E8</v>
      </c>
      <c r="C5806" s="28" t="s">
        <v>5773</v>
      </c>
      <c r="D5806" s="26" t="s">
        <v>56</v>
      </c>
      <c r="E5806" s="31">
        <v>46239.0</v>
      </c>
      <c r="F5806" s="26" t="s">
        <v>46</v>
      </c>
      <c r="G5806" s="26">
        <v>7.0</v>
      </c>
      <c r="I5806" s="26" t="s">
        <v>883</v>
      </c>
      <c r="J5806" s="25" t="str">
        <f t="shared" si="64"/>
        <v>No</v>
      </c>
      <c r="K5806" s="25" t="str">
        <f t="shared" si="65"/>
        <v/>
      </c>
      <c r="L5806" s="25" t="str">
        <f t="shared" si="66"/>
        <v/>
      </c>
      <c r="M5806" s="25"/>
      <c r="O5806" s="25"/>
    </row>
    <row r="5807" ht="15.75" customHeight="1">
      <c r="A5807" s="25" t="str">
        <f>IFERROR(__xludf.DUMMYFUNCTION("IF(B5807="""","""",RIGHT(REGEXREPLACE(B5807&amp;"""",""[^0-9]"",""""),9))"),"768176811")</f>
        <v>768176811</v>
      </c>
      <c r="B5807" s="52">
        <v>7.68176811E8</v>
      </c>
      <c r="C5807" s="28" t="s">
        <v>926</v>
      </c>
      <c r="D5807" s="26" t="s">
        <v>49</v>
      </c>
      <c r="E5807" s="31">
        <v>46239.0</v>
      </c>
      <c r="F5807" s="26" t="s">
        <v>46</v>
      </c>
      <c r="G5807" s="26">
        <v>11.0</v>
      </c>
      <c r="H5807" s="26" t="s">
        <v>5774</v>
      </c>
      <c r="I5807" s="26" t="s">
        <v>883</v>
      </c>
      <c r="J5807" s="25" t="str">
        <f t="shared" si="64"/>
        <v>Yes - see Previous F-Code</v>
      </c>
      <c r="K5807" s="25" t="str">
        <f t="shared" si="65"/>
        <v/>
      </c>
      <c r="L5807" s="25" t="str">
        <f t="shared" si="66"/>
        <v>F70682</v>
      </c>
      <c r="M5807" s="25"/>
      <c r="O5807" s="25"/>
    </row>
    <row r="5808" ht="15.75" customHeight="1">
      <c r="A5808" s="25" t="str">
        <f>IFERROR(__xludf.DUMMYFUNCTION("IF(B5808="""","""",RIGHT(REGEXREPLACE(B5808&amp;"""",""[^0-9]"",""""),9))"),"711863437")</f>
        <v>711863437</v>
      </c>
      <c r="B5808" s="52">
        <v>7.11863437E8</v>
      </c>
      <c r="C5808" s="28" t="s">
        <v>5775</v>
      </c>
      <c r="D5808" s="26" t="s">
        <v>82</v>
      </c>
      <c r="E5808" s="31">
        <v>46239.0</v>
      </c>
      <c r="F5808" s="26" t="s">
        <v>41</v>
      </c>
      <c r="G5808" s="26">
        <v>8.0</v>
      </c>
      <c r="I5808" s="26" t="s">
        <v>883</v>
      </c>
      <c r="J5808" s="25" t="str">
        <f t="shared" si="64"/>
        <v>No</v>
      </c>
      <c r="K5808" s="25" t="str">
        <f t="shared" si="65"/>
        <v/>
      </c>
      <c r="L5808" s="25" t="str">
        <f t="shared" si="66"/>
        <v/>
      </c>
      <c r="M5808" s="25"/>
      <c r="O5808" s="25"/>
    </row>
    <row r="5809" ht="15.75" customHeight="1">
      <c r="A5809" s="25" t="str">
        <f>IFERROR(__xludf.DUMMYFUNCTION("IF(B5809="""","""",RIGHT(REGEXREPLACE(B5809&amp;"""",""[^0-9]"",""""),9))"),"760692088")</f>
        <v>760692088</v>
      </c>
      <c r="B5809" s="52">
        <v>7.60692088E8</v>
      </c>
      <c r="C5809" s="28" t="s">
        <v>5776</v>
      </c>
      <c r="D5809" s="26" t="s">
        <v>64</v>
      </c>
      <c r="E5809" s="31">
        <v>46239.0</v>
      </c>
      <c r="F5809" s="26" t="s">
        <v>205</v>
      </c>
      <c r="I5809" s="26" t="s">
        <v>883</v>
      </c>
      <c r="J5809" s="25" t="str">
        <f t="shared" si="64"/>
        <v>No</v>
      </c>
      <c r="K5809" s="25" t="str">
        <f t="shared" si="65"/>
        <v/>
      </c>
      <c r="L5809" s="25" t="str">
        <f t="shared" si="66"/>
        <v/>
      </c>
      <c r="M5809" s="25"/>
      <c r="O5809" s="25"/>
    </row>
    <row r="5810" ht="15.75" customHeight="1">
      <c r="A5810" s="25" t="str">
        <f>IFERROR(__xludf.DUMMYFUNCTION("IF(B5810="""","""",RIGHT(REGEXREPLACE(B5810&amp;"""",""[^0-9]"",""""),9))"),"740287916")</f>
        <v>740287916</v>
      </c>
      <c r="B5810" s="52">
        <v>7.40287916E8</v>
      </c>
      <c r="C5810" s="28" t="s">
        <v>5777</v>
      </c>
      <c r="D5810" s="26" t="s">
        <v>56</v>
      </c>
      <c r="E5810" s="31">
        <v>46239.0</v>
      </c>
      <c r="F5810" s="26" t="s">
        <v>46</v>
      </c>
      <c r="G5810" s="26">
        <v>7.0</v>
      </c>
      <c r="I5810" s="26" t="s">
        <v>883</v>
      </c>
      <c r="J5810" s="25" t="str">
        <f t="shared" si="64"/>
        <v>No</v>
      </c>
      <c r="K5810" s="25" t="str">
        <f t="shared" si="65"/>
        <v/>
      </c>
      <c r="L5810" s="25" t="str">
        <f t="shared" si="66"/>
        <v/>
      </c>
      <c r="M5810" s="25"/>
      <c r="O5810" s="25"/>
    </row>
    <row r="5811" ht="15.75" customHeight="1">
      <c r="A5811" s="25" t="str">
        <f>IFERROR(__xludf.DUMMYFUNCTION("IF(B5811="""","""",RIGHT(REGEXREPLACE(B5811&amp;"""",""[^0-9]"",""""),9))"),"705875199")</f>
        <v>705875199</v>
      </c>
      <c r="B5811" s="52">
        <v>7.05875199E8</v>
      </c>
      <c r="C5811" s="28" t="s">
        <v>5778</v>
      </c>
      <c r="D5811" s="26" t="s">
        <v>64</v>
      </c>
      <c r="E5811" s="31">
        <v>46239.0</v>
      </c>
      <c r="F5811" s="26" t="s">
        <v>41</v>
      </c>
      <c r="G5811" s="26">
        <v>6.0</v>
      </c>
      <c r="I5811" s="26" t="s">
        <v>883</v>
      </c>
      <c r="J5811" s="25" t="str">
        <f t="shared" si="64"/>
        <v>No</v>
      </c>
      <c r="K5811" s="25" t="str">
        <f t="shared" si="65"/>
        <v/>
      </c>
      <c r="L5811" s="25" t="str">
        <f t="shared" si="66"/>
        <v/>
      </c>
      <c r="M5811" s="25"/>
      <c r="O5811" s="25"/>
    </row>
    <row r="5812" ht="15.75" customHeight="1">
      <c r="A5812" s="25" t="str">
        <f>IFERROR(__xludf.DUMMYFUNCTION("IF(B5812="""","""",RIGHT(REGEXREPLACE(B5812&amp;"""",""[^0-9]"",""""),9))"),"759823071")</f>
        <v>759823071</v>
      </c>
      <c r="B5812" s="52">
        <v>7.59823071E8</v>
      </c>
      <c r="C5812" s="28" t="s">
        <v>5779</v>
      </c>
      <c r="D5812" s="26" t="s">
        <v>49</v>
      </c>
      <c r="E5812" s="31">
        <v>46239.0</v>
      </c>
      <c r="F5812" s="26" t="s">
        <v>164</v>
      </c>
      <c r="G5812" s="26">
        <v>7.0</v>
      </c>
      <c r="I5812" s="26" t="s">
        <v>883</v>
      </c>
      <c r="J5812" s="25" t="str">
        <f t="shared" si="64"/>
        <v>No</v>
      </c>
      <c r="K5812" s="25" t="str">
        <f t="shared" si="65"/>
        <v/>
      </c>
      <c r="L5812" s="25" t="str">
        <f t="shared" si="66"/>
        <v/>
      </c>
      <c r="M5812" s="25"/>
      <c r="O5812" s="25"/>
    </row>
    <row r="5813" ht="15.75" customHeight="1">
      <c r="A5813" s="25" t="str">
        <f>IFERROR(__xludf.DUMMYFUNCTION("IF(B5813="""","""",RIGHT(REGEXREPLACE(B5813&amp;"""",""[^0-9]"",""""),9))"),"771779079")</f>
        <v>771779079</v>
      </c>
      <c r="B5813" s="52">
        <v>7.71779079E8</v>
      </c>
      <c r="C5813" s="28" t="s">
        <v>5780</v>
      </c>
      <c r="D5813" s="26" t="s">
        <v>56</v>
      </c>
      <c r="E5813" s="31">
        <v>46239.0</v>
      </c>
      <c r="F5813" s="26" t="s">
        <v>125</v>
      </c>
      <c r="G5813" s="26">
        <v>6.0</v>
      </c>
      <c r="I5813" s="26" t="s">
        <v>883</v>
      </c>
      <c r="J5813" s="25" t="str">
        <f t="shared" si="64"/>
        <v>No</v>
      </c>
      <c r="K5813" s="25" t="str">
        <f t="shared" si="65"/>
        <v/>
      </c>
      <c r="L5813" s="25" t="str">
        <f t="shared" si="66"/>
        <v/>
      </c>
      <c r="M5813" s="25"/>
      <c r="O5813" s="25"/>
    </row>
    <row r="5814" ht="15.75" customHeight="1">
      <c r="A5814" s="25" t="str">
        <f>IFERROR(__xludf.DUMMYFUNCTION("IF(B5814="""","""",RIGHT(REGEXREPLACE(B5814&amp;"""",""[^0-9]"",""""),9))"),"774843529")</f>
        <v>774843529</v>
      </c>
      <c r="B5814" s="52">
        <v>7.74843529E8</v>
      </c>
      <c r="C5814" s="28" t="s">
        <v>5781</v>
      </c>
      <c r="D5814" s="26" t="s">
        <v>82</v>
      </c>
      <c r="E5814" s="31">
        <v>46239.0</v>
      </c>
      <c r="F5814" s="26" t="s">
        <v>46</v>
      </c>
      <c r="G5814" s="26">
        <v>11.0</v>
      </c>
      <c r="H5814" s="26" t="s">
        <v>5782</v>
      </c>
      <c r="I5814" s="26" t="s">
        <v>883</v>
      </c>
      <c r="J5814" s="25" t="str">
        <f t="shared" si="64"/>
        <v>No</v>
      </c>
      <c r="K5814" s="25" t="str">
        <f t="shared" si="65"/>
        <v/>
      </c>
      <c r="L5814" s="25" t="str">
        <f t="shared" si="66"/>
        <v/>
      </c>
      <c r="M5814" s="25"/>
      <c r="O5814" s="25"/>
    </row>
    <row r="5815" ht="15.75" customHeight="1">
      <c r="A5815" s="25" t="str">
        <f>IFERROR(__xludf.DUMMYFUNCTION("IF(B5815="""","""",RIGHT(REGEXREPLACE(B5815&amp;"""",""[^0-9]"",""""),9))"),"741846169")</f>
        <v>741846169</v>
      </c>
      <c r="B5815" s="52">
        <v>7.41846169E8</v>
      </c>
      <c r="C5815" s="28" t="s">
        <v>5783</v>
      </c>
      <c r="D5815" s="26" t="s">
        <v>64</v>
      </c>
      <c r="E5815" s="31">
        <v>46239.0</v>
      </c>
      <c r="F5815" s="26" t="s">
        <v>46</v>
      </c>
      <c r="G5815" s="96">
        <v>46183.0</v>
      </c>
      <c r="I5815" s="26" t="s">
        <v>883</v>
      </c>
      <c r="J5815" s="25" t="str">
        <f t="shared" si="64"/>
        <v>No</v>
      </c>
      <c r="K5815" s="25" t="str">
        <f t="shared" si="65"/>
        <v/>
      </c>
      <c r="L5815" s="25" t="str">
        <f t="shared" si="66"/>
        <v/>
      </c>
      <c r="M5815" s="25"/>
      <c r="O5815" s="25"/>
    </row>
    <row r="5816" ht="15.75" customHeight="1">
      <c r="A5816" s="25" t="str">
        <f>IFERROR(__xludf.DUMMYFUNCTION("IF(B5816="""","""",RIGHT(REGEXREPLACE(B5816&amp;"""",""[^0-9]"",""""),9))"),"766399564")</f>
        <v>766399564</v>
      </c>
      <c r="B5816" s="52">
        <v>7.66399564E8</v>
      </c>
      <c r="C5816" s="28" t="s">
        <v>5784</v>
      </c>
      <c r="D5816" s="26" t="s">
        <v>56</v>
      </c>
      <c r="E5816" s="31">
        <v>46239.0</v>
      </c>
      <c r="F5816" s="26" t="s">
        <v>205</v>
      </c>
      <c r="I5816" s="26" t="s">
        <v>883</v>
      </c>
      <c r="J5816" s="25" t="str">
        <f t="shared" si="64"/>
        <v>No</v>
      </c>
      <c r="K5816" s="25" t="str">
        <f t="shared" si="65"/>
        <v/>
      </c>
      <c r="L5816" s="25" t="str">
        <f t="shared" si="66"/>
        <v/>
      </c>
      <c r="M5816" s="25"/>
      <c r="O5816" s="25"/>
    </row>
    <row r="5817" ht="15.75" customHeight="1">
      <c r="A5817" s="25" t="str">
        <f>IFERROR(__xludf.DUMMYFUNCTION("IF(B5817="""","""",RIGHT(REGEXREPLACE(B5817&amp;"""",""[^0-9]"",""""),9))"),"702051635")</f>
        <v>702051635</v>
      </c>
      <c r="B5817" s="52">
        <v>7.02051635E8</v>
      </c>
      <c r="C5817" s="28" t="s">
        <v>5785</v>
      </c>
      <c r="D5817" s="26" t="s">
        <v>49</v>
      </c>
      <c r="E5817" s="31">
        <v>46239.0</v>
      </c>
      <c r="F5817" s="26" t="s">
        <v>41</v>
      </c>
      <c r="G5817" s="26">
        <v>6.0</v>
      </c>
      <c r="I5817" s="26" t="s">
        <v>883</v>
      </c>
      <c r="J5817" s="25" t="str">
        <f t="shared" si="64"/>
        <v>No</v>
      </c>
      <c r="K5817" s="25" t="str">
        <f t="shared" si="65"/>
        <v/>
      </c>
      <c r="L5817" s="25" t="str">
        <f t="shared" si="66"/>
        <v/>
      </c>
      <c r="M5817" s="25"/>
      <c r="O5817" s="26" t="s">
        <v>51</v>
      </c>
    </row>
    <row r="5818" ht="15.75" customHeight="1">
      <c r="A5818" s="25" t="str">
        <f>IFERROR(__xludf.DUMMYFUNCTION("IF(B5818="""","""",RIGHT(REGEXREPLACE(B5818&amp;"""",""[^0-9]"",""""),9))"),"775981546")</f>
        <v>775981546</v>
      </c>
      <c r="B5818" s="52">
        <v>7.75981546E8</v>
      </c>
      <c r="C5818" s="28" t="s">
        <v>5786</v>
      </c>
      <c r="D5818" s="26" t="s">
        <v>82</v>
      </c>
      <c r="E5818" s="31">
        <v>46239.0</v>
      </c>
      <c r="F5818" s="26" t="s">
        <v>41</v>
      </c>
      <c r="G5818" s="26">
        <v>7.0</v>
      </c>
      <c r="I5818" s="26" t="s">
        <v>883</v>
      </c>
      <c r="J5818" s="25" t="str">
        <f t="shared" si="64"/>
        <v>No</v>
      </c>
      <c r="K5818" s="25" t="str">
        <f t="shared" si="65"/>
        <v/>
      </c>
      <c r="L5818" s="25" t="str">
        <f t="shared" si="66"/>
        <v/>
      </c>
      <c r="M5818" s="25"/>
      <c r="O5818" s="25"/>
    </row>
    <row r="5819" ht="15.75" customHeight="1">
      <c r="A5819" s="25" t="str">
        <f>IFERROR(__xludf.DUMMYFUNCTION("IF(B5819="""","""",RIGHT(REGEXREPLACE(B5819&amp;"""",""[^0-9]"",""""),9))"),"772560812")</f>
        <v>772560812</v>
      </c>
      <c r="B5819" s="52">
        <v>7.72560812E8</v>
      </c>
      <c r="C5819" s="28" t="s">
        <v>5787</v>
      </c>
      <c r="D5819" s="26" t="s">
        <v>64</v>
      </c>
      <c r="E5819" s="31">
        <v>46239.0</v>
      </c>
      <c r="F5819" s="26" t="s">
        <v>46</v>
      </c>
      <c r="G5819" s="26">
        <v>8.0</v>
      </c>
      <c r="I5819" s="26" t="s">
        <v>883</v>
      </c>
      <c r="J5819" s="25" t="str">
        <f t="shared" si="64"/>
        <v>No</v>
      </c>
      <c r="K5819" s="25" t="str">
        <f t="shared" si="65"/>
        <v/>
      </c>
      <c r="L5819" s="25" t="str">
        <f t="shared" si="66"/>
        <v/>
      </c>
      <c r="M5819" s="25"/>
      <c r="O5819" s="25"/>
    </row>
    <row r="5820" ht="15.75" customHeight="1">
      <c r="A5820" s="25" t="str">
        <f>IFERROR(__xludf.DUMMYFUNCTION("IF(B5820="""","""",RIGHT(REGEXREPLACE(B5820&amp;"""",""[^0-9]"",""""),9))"),"772381090")</f>
        <v>772381090</v>
      </c>
      <c r="B5820" s="52">
        <v>7.7238109E8</v>
      </c>
      <c r="C5820" s="28" t="s">
        <v>5788</v>
      </c>
      <c r="D5820" s="26" t="s">
        <v>56</v>
      </c>
      <c r="E5820" s="31">
        <v>46239.0</v>
      </c>
      <c r="F5820" s="26" t="s">
        <v>46</v>
      </c>
      <c r="G5820" s="26">
        <v>8.0</v>
      </c>
      <c r="I5820" s="26" t="s">
        <v>883</v>
      </c>
      <c r="J5820" s="25" t="str">
        <f t="shared" si="64"/>
        <v>No</v>
      </c>
      <c r="K5820" s="25" t="str">
        <f t="shared" si="65"/>
        <v/>
      </c>
      <c r="L5820" s="25" t="str">
        <f t="shared" si="66"/>
        <v/>
      </c>
      <c r="M5820" s="25"/>
      <c r="O5820" s="25"/>
    </row>
    <row r="5821" ht="15.75" customHeight="1">
      <c r="A5821" s="25" t="str">
        <f>IFERROR(__xludf.DUMMYFUNCTION("IF(B5821="""","""",RIGHT(REGEXREPLACE(B5821&amp;"""",""[^0-9]"",""""),9))"),"714838382")</f>
        <v>714838382</v>
      </c>
      <c r="B5821" s="52">
        <v>7.14838382E8</v>
      </c>
      <c r="C5821" s="28" t="s">
        <v>5789</v>
      </c>
      <c r="D5821" s="26" t="s">
        <v>82</v>
      </c>
      <c r="E5821" s="31">
        <v>46239.0</v>
      </c>
      <c r="F5821" s="26" t="s">
        <v>659</v>
      </c>
      <c r="G5821" s="26">
        <v>7.0</v>
      </c>
      <c r="I5821" s="26" t="s">
        <v>883</v>
      </c>
      <c r="J5821" s="25" t="str">
        <f t="shared" si="64"/>
        <v>No</v>
      </c>
      <c r="K5821" s="25" t="str">
        <f t="shared" si="65"/>
        <v/>
      </c>
      <c r="L5821" s="25" t="str">
        <f t="shared" si="66"/>
        <v/>
      </c>
      <c r="M5821" s="25"/>
      <c r="O5821" s="25"/>
    </row>
    <row r="5822" ht="15.75" customHeight="1">
      <c r="A5822" s="25" t="str">
        <f>IFERROR(__xludf.DUMMYFUNCTION("IF(B5822="""","""",RIGHT(REGEXREPLACE(B5822&amp;"""",""[^0-9]"",""""),9))"),"763211787")</f>
        <v>763211787</v>
      </c>
      <c r="B5822" s="52">
        <v>7.63211787E8</v>
      </c>
      <c r="C5822" s="28" t="s">
        <v>5790</v>
      </c>
      <c r="D5822" s="26" t="s">
        <v>49</v>
      </c>
      <c r="E5822" s="31">
        <v>46239.0</v>
      </c>
      <c r="F5822" s="26" t="s">
        <v>46</v>
      </c>
      <c r="G5822" s="26">
        <v>6.0</v>
      </c>
      <c r="I5822" s="26" t="s">
        <v>883</v>
      </c>
      <c r="J5822" s="25" t="str">
        <f t="shared" si="64"/>
        <v>No</v>
      </c>
      <c r="K5822" s="25" t="str">
        <f t="shared" si="65"/>
        <v/>
      </c>
      <c r="L5822" s="25" t="str">
        <f t="shared" si="66"/>
        <v/>
      </c>
      <c r="M5822" s="25"/>
      <c r="O5822" s="25"/>
    </row>
    <row r="5823" ht="15.75" customHeight="1">
      <c r="A5823" s="25" t="str">
        <f>IFERROR(__xludf.DUMMYFUNCTION("IF(B5823="""","""",RIGHT(REGEXREPLACE(B5823&amp;"""",""[^0-9]"",""""),9))"),"776736653")</f>
        <v>776736653</v>
      </c>
      <c r="B5823" s="52">
        <v>7.76736653E8</v>
      </c>
      <c r="C5823" s="28" t="s">
        <v>981</v>
      </c>
      <c r="D5823" s="26" t="s">
        <v>56</v>
      </c>
      <c r="E5823" s="31">
        <v>46239.0</v>
      </c>
      <c r="F5823" s="25"/>
      <c r="G5823" s="26">
        <v>6.0</v>
      </c>
      <c r="H5823" s="25"/>
      <c r="I5823" s="26" t="s">
        <v>883</v>
      </c>
      <c r="J5823" s="25" t="str">
        <f t="shared" si="64"/>
        <v>No</v>
      </c>
      <c r="K5823" s="25" t="str">
        <f t="shared" si="65"/>
        <v/>
      </c>
      <c r="L5823" s="25" t="str">
        <f t="shared" si="66"/>
        <v/>
      </c>
      <c r="M5823" s="25"/>
      <c r="N5823" s="25"/>
      <c r="O5823" s="25"/>
      <c r="P5823" s="25"/>
    </row>
    <row r="5824" ht="15.75" customHeight="1">
      <c r="A5824" s="25" t="str">
        <f>IFERROR(__xludf.DUMMYFUNCTION("IF(B5824="""","""",RIGHT(REGEXREPLACE(B5824&amp;"""",""[^0-9]"",""""),9))"),"766495573")</f>
        <v>766495573</v>
      </c>
      <c r="B5824" s="52">
        <v>7.66495573E8</v>
      </c>
      <c r="C5824" s="28" t="s">
        <v>5791</v>
      </c>
      <c r="D5824" s="26" t="s">
        <v>82</v>
      </c>
      <c r="E5824" s="31">
        <v>46239.0</v>
      </c>
      <c r="F5824" s="26" t="s">
        <v>125</v>
      </c>
      <c r="G5824" s="26">
        <v>8.0</v>
      </c>
      <c r="H5824" s="26" t="s">
        <v>5792</v>
      </c>
      <c r="I5824" s="26" t="s">
        <v>883</v>
      </c>
      <c r="J5824" s="25" t="str">
        <f t="shared" si="64"/>
        <v>No</v>
      </c>
      <c r="K5824" s="25" t="str">
        <f t="shared" si="65"/>
        <v/>
      </c>
      <c r="L5824" s="25" t="str">
        <f t="shared" si="66"/>
        <v/>
      </c>
      <c r="M5824" s="25"/>
      <c r="O5824" s="25"/>
    </row>
    <row r="5825" ht="15.75" customHeight="1">
      <c r="A5825" s="25" t="str">
        <f>IFERROR(__xludf.DUMMYFUNCTION("IF(B5825="""","""",RIGHT(REGEXREPLACE(B5825&amp;"""",""[^0-9]"",""""),9))"),"740726286")</f>
        <v>740726286</v>
      </c>
      <c r="B5825" s="52">
        <v>7.40726286E8</v>
      </c>
      <c r="C5825" s="28" t="s">
        <v>5793</v>
      </c>
      <c r="D5825" s="26" t="s">
        <v>82</v>
      </c>
      <c r="E5825" s="31">
        <v>46239.0</v>
      </c>
      <c r="F5825" s="26" t="s">
        <v>704</v>
      </c>
      <c r="I5825" s="26" t="s">
        <v>883</v>
      </c>
      <c r="J5825" s="25" t="str">
        <f t="shared" si="64"/>
        <v>No</v>
      </c>
      <c r="K5825" s="25" t="str">
        <f t="shared" si="65"/>
        <v/>
      </c>
      <c r="L5825" s="25" t="str">
        <f t="shared" si="66"/>
        <v/>
      </c>
      <c r="M5825" s="25"/>
      <c r="O5825" s="25"/>
    </row>
    <row r="5826" ht="15.75" customHeight="1">
      <c r="A5826" s="25" t="str">
        <f>IFERROR(__xludf.DUMMYFUNCTION("IF(B5826="""","""",RIGHT(REGEXREPLACE(B5826&amp;"""",""[^0-9]"",""""),9))"),"778314085")</f>
        <v>778314085</v>
      </c>
      <c r="B5826" s="52">
        <v>7.78314085E8</v>
      </c>
      <c r="C5826" s="28" t="s">
        <v>5794</v>
      </c>
      <c r="D5826" s="26" t="s">
        <v>45</v>
      </c>
      <c r="E5826" s="31">
        <v>46239.0</v>
      </c>
      <c r="F5826" s="26" t="s">
        <v>84</v>
      </c>
      <c r="I5826" s="26" t="s">
        <v>883</v>
      </c>
      <c r="J5826" s="25" t="str">
        <f t="shared" si="64"/>
        <v>No</v>
      </c>
      <c r="K5826" s="25" t="str">
        <f t="shared" si="65"/>
        <v/>
      </c>
      <c r="L5826" s="25" t="str">
        <f t="shared" si="66"/>
        <v/>
      </c>
      <c r="M5826" s="25"/>
      <c r="O5826" s="25"/>
    </row>
    <row r="5827" ht="15.75" customHeight="1">
      <c r="A5827" s="25" t="str">
        <f>IFERROR(__xludf.DUMMYFUNCTION("IF(B5827="""","""",RIGHT(REGEXREPLACE(B5827&amp;"""",""[^0-9]"",""""),9))"),"766078488")</f>
        <v>766078488</v>
      </c>
      <c r="B5827" s="52">
        <v>7.66078488E8</v>
      </c>
      <c r="C5827" s="28" t="s">
        <v>5795</v>
      </c>
      <c r="D5827" s="26" t="s">
        <v>64</v>
      </c>
      <c r="E5827" s="31">
        <v>46239.0</v>
      </c>
      <c r="F5827" s="26" t="s">
        <v>46</v>
      </c>
      <c r="G5827" s="26">
        <v>6.0</v>
      </c>
      <c r="I5827" s="26" t="s">
        <v>883</v>
      </c>
      <c r="J5827" s="25" t="str">
        <f t="shared" si="64"/>
        <v>No</v>
      </c>
      <c r="K5827" s="25" t="str">
        <f t="shared" si="65"/>
        <v/>
      </c>
      <c r="L5827" s="25" t="str">
        <f t="shared" si="66"/>
        <v/>
      </c>
      <c r="M5827" s="25"/>
      <c r="O5827" s="25"/>
    </row>
    <row r="5828" ht="15.75" customHeight="1">
      <c r="A5828" s="25" t="str">
        <f>IFERROR(__xludf.DUMMYFUNCTION("IF(B5828="""","""",RIGHT(REGEXREPLACE(B5828&amp;"""",""[^0-9]"",""""),9))"),"743812885")</f>
        <v>743812885</v>
      </c>
      <c r="B5828" s="52">
        <v>7.43812885E8</v>
      </c>
      <c r="C5828" s="28" t="s">
        <v>5796</v>
      </c>
      <c r="D5828" s="26" t="s">
        <v>56</v>
      </c>
      <c r="E5828" s="31">
        <v>46239.0</v>
      </c>
      <c r="F5828" s="26" t="s">
        <v>205</v>
      </c>
      <c r="G5828" s="26">
        <v>11.0</v>
      </c>
      <c r="I5828" s="26" t="s">
        <v>883</v>
      </c>
      <c r="J5828" s="25" t="str">
        <f t="shared" si="64"/>
        <v>No</v>
      </c>
      <c r="K5828" s="25" t="str">
        <f t="shared" si="65"/>
        <v/>
      </c>
      <c r="L5828" s="25" t="str">
        <f t="shared" si="66"/>
        <v/>
      </c>
      <c r="M5828" s="25"/>
      <c r="O5828" s="25"/>
    </row>
    <row r="5829" ht="15.75" customHeight="1">
      <c r="A5829" s="25" t="str">
        <f>IFERROR(__xludf.DUMMYFUNCTION("IF(B5829="""","""",RIGHT(REGEXREPLACE(B5829&amp;"""",""[^0-9]"",""""),9))"),"711547147")</f>
        <v>711547147</v>
      </c>
      <c r="B5829" s="52">
        <v>7.11547147E8</v>
      </c>
      <c r="C5829" s="28" t="s">
        <v>5797</v>
      </c>
      <c r="D5829" s="26" t="s">
        <v>49</v>
      </c>
      <c r="E5829" s="31">
        <v>46239.0</v>
      </c>
      <c r="F5829" s="26" t="s">
        <v>46</v>
      </c>
      <c r="G5829" s="26">
        <v>8.0</v>
      </c>
      <c r="H5829" s="26" t="s">
        <v>5798</v>
      </c>
      <c r="I5829" s="26" t="s">
        <v>883</v>
      </c>
      <c r="J5829" s="25" t="str">
        <f t="shared" si="64"/>
        <v>No</v>
      </c>
      <c r="K5829" s="25" t="str">
        <f t="shared" si="65"/>
        <v/>
      </c>
      <c r="L5829" s="25" t="str">
        <f t="shared" si="66"/>
        <v/>
      </c>
      <c r="M5829" s="25"/>
      <c r="O5829" s="25"/>
    </row>
    <row r="5830" ht="15.75" customHeight="1">
      <c r="A5830" s="25" t="str">
        <f>IFERROR(__xludf.DUMMYFUNCTION("IF(B5830="""","""",RIGHT(REGEXREPLACE(B5830&amp;"""",""[^0-9]"",""""),9))"),"705964354")</f>
        <v>705964354</v>
      </c>
      <c r="B5830" s="52">
        <v>7.05964354E8</v>
      </c>
      <c r="C5830" s="28" t="s">
        <v>5799</v>
      </c>
      <c r="D5830" s="26" t="s">
        <v>45</v>
      </c>
      <c r="E5830" s="31">
        <v>46239.0</v>
      </c>
      <c r="F5830" s="26" t="s">
        <v>41</v>
      </c>
      <c r="G5830" s="26" t="s">
        <v>5800</v>
      </c>
      <c r="I5830" s="26" t="s">
        <v>883</v>
      </c>
      <c r="J5830" s="25" t="str">
        <f t="shared" si="64"/>
        <v>No</v>
      </c>
      <c r="K5830" s="25" t="str">
        <f t="shared" si="65"/>
        <v/>
      </c>
      <c r="L5830" s="25" t="str">
        <f t="shared" si="66"/>
        <v/>
      </c>
      <c r="M5830" s="25"/>
      <c r="O5830" s="25"/>
    </row>
    <row r="5831" ht="15.75" customHeight="1">
      <c r="A5831" s="25" t="str">
        <f>IFERROR(__xludf.DUMMYFUNCTION("IF(B5831="""","""",RIGHT(REGEXREPLACE(B5831&amp;"""",""[^0-9]"",""""),9))"),"764392504")</f>
        <v>764392504</v>
      </c>
      <c r="B5831" s="52">
        <v>7.64392504E8</v>
      </c>
      <c r="C5831" s="28" t="s">
        <v>5801</v>
      </c>
      <c r="D5831" s="26" t="s">
        <v>82</v>
      </c>
      <c r="E5831" s="31">
        <v>46239.0</v>
      </c>
      <c r="F5831" s="26" t="s">
        <v>41</v>
      </c>
      <c r="G5831" s="26">
        <v>7.0</v>
      </c>
      <c r="I5831" s="26" t="s">
        <v>883</v>
      </c>
      <c r="J5831" s="25" t="str">
        <f t="shared" si="64"/>
        <v>No</v>
      </c>
      <c r="K5831" s="25" t="str">
        <f t="shared" si="65"/>
        <v/>
      </c>
      <c r="L5831" s="25" t="str">
        <f t="shared" si="66"/>
        <v/>
      </c>
      <c r="M5831" s="25"/>
      <c r="O5831" s="26" t="s">
        <v>51</v>
      </c>
    </row>
    <row r="5832" ht="15.75" customHeight="1">
      <c r="A5832" s="25" t="str">
        <f>IFERROR(__xludf.DUMMYFUNCTION("IF(B5832="""","""",RIGHT(REGEXREPLACE(B5832&amp;"""",""[^0-9]"",""""),9))"),"767077806")</f>
        <v>767077806</v>
      </c>
      <c r="B5832" s="52">
        <v>7.67077806E8</v>
      </c>
      <c r="C5832" s="28" t="s">
        <v>5802</v>
      </c>
      <c r="D5832" s="26" t="s">
        <v>82</v>
      </c>
      <c r="E5832" s="31">
        <v>46239.0</v>
      </c>
      <c r="F5832" s="26" t="s">
        <v>46</v>
      </c>
      <c r="G5832" s="26">
        <v>8.0</v>
      </c>
      <c r="I5832" s="26" t="s">
        <v>883</v>
      </c>
      <c r="J5832" s="25" t="str">
        <f t="shared" si="64"/>
        <v>No</v>
      </c>
      <c r="K5832" s="25" t="str">
        <f t="shared" si="65"/>
        <v/>
      </c>
      <c r="L5832" s="25" t="str">
        <f t="shared" si="66"/>
        <v/>
      </c>
      <c r="M5832" s="25"/>
      <c r="O5832" s="25"/>
    </row>
    <row r="5833" ht="15.75" customHeight="1">
      <c r="A5833" s="25" t="str">
        <f>IFERROR(__xludf.DUMMYFUNCTION("IF(B5833="""","""",RIGHT(REGEXREPLACE(B5833&amp;"""",""[^0-9]"",""""),9))"),"740145899")</f>
        <v>740145899</v>
      </c>
      <c r="B5833" s="52">
        <v>7.40145899E8</v>
      </c>
      <c r="C5833" s="28" t="s">
        <v>5795</v>
      </c>
      <c r="D5833" s="26" t="s">
        <v>64</v>
      </c>
      <c r="E5833" s="31">
        <v>46239.0</v>
      </c>
      <c r="F5833" s="26" t="s">
        <v>46</v>
      </c>
      <c r="G5833" s="26">
        <v>8.0</v>
      </c>
      <c r="I5833" s="26" t="s">
        <v>883</v>
      </c>
      <c r="J5833" s="25" t="str">
        <f t="shared" si="64"/>
        <v>No</v>
      </c>
      <c r="K5833" s="25" t="str">
        <f t="shared" si="65"/>
        <v/>
      </c>
      <c r="L5833" s="25" t="str">
        <f t="shared" si="66"/>
        <v/>
      </c>
      <c r="M5833" s="25"/>
      <c r="O5833" s="25"/>
    </row>
    <row r="5834" ht="15.75" customHeight="1">
      <c r="A5834" s="25" t="str">
        <f>IFERROR(__xludf.DUMMYFUNCTION("IF(B5834="""","""",RIGHT(REGEXREPLACE(B5834&amp;"""",""[^0-9]"",""""),9))"),"767510514")</f>
        <v>767510514</v>
      </c>
      <c r="B5834" s="52">
        <v>7.67510514E8</v>
      </c>
      <c r="C5834" s="28" t="s">
        <v>1320</v>
      </c>
      <c r="D5834" s="26" t="s">
        <v>45</v>
      </c>
      <c r="E5834" s="31">
        <v>46239.0</v>
      </c>
      <c r="F5834" s="26" t="s">
        <v>41</v>
      </c>
      <c r="I5834" s="26" t="s">
        <v>883</v>
      </c>
      <c r="J5834" s="25" t="str">
        <f t="shared" si="64"/>
        <v>Yes - see Previous F-Code</v>
      </c>
      <c r="K5834" s="25" t="str">
        <f t="shared" si="65"/>
        <v/>
      </c>
      <c r="L5834" s="25" t="str">
        <f t="shared" si="66"/>
        <v>F71051</v>
      </c>
      <c r="M5834" s="25"/>
      <c r="O5834" s="25"/>
    </row>
    <row r="5835" ht="15.75" customHeight="1">
      <c r="A5835" s="25" t="str">
        <f>IFERROR(__xludf.DUMMYFUNCTION("IF(B5835="""","""",RIGHT(REGEXREPLACE(B5835&amp;"""",""[^0-9]"",""""),9))"),"713346557")</f>
        <v>713346557</v>
      </c>
      <c r="B5835" s="52">
        <v>7.13346557E8</v>
      </c>
      <c r="C5835" s="28" t="s">
        <v>5803</v>
      </c>
      <c r="D5835" s="26" t="s">
        <v>56</v>
      </c>
      <c r="E5835" s="31">
        <v>46239.0</v>
      </c>
      <c r="F5835" s="26" t="s">
        <v>46</v>
      </c>
      <c r="G5835" s="26">
        <v>5.0</v>
      </c>
      <c r="I5835" s="26" t="s">
        <v>883</v>
      </c>
      <c r="J5835" s="25" t="str">
        <f t="shared" si="64"/>
        <v>No</v>
      </c>
      <c r="K5835" s="25" t="str">
        <f t="shared" si="65"/>
        <v/>
      </c>
      <c r="L5835" s="25" t="str">
        <f t="shared" si="66"/>
        <v/>
      </c>
      <c r="M5835" s="25"/>
      <c r="O5835" s="25"/>
    </row>
    <row r="5836" ht="15.75" customHeight="1">
      <c r="A5836" s="25" t="str">
        <f>IFERROR(__xludf.DUMMYFUNCTION("IF(B5836="""","""",RIGHT(REGEXREPLACE(B5836&amp;"""",""[^0-9]"",""""),9))"),"718497250")</f>
        <v>718497250</v>
      </c>
      <c r="B5836" s="52">
        <v>7.1849725E8</v>
      </c>
      <c r="C5836" s="28" t="s">
        <v>5804</v>
      </c>
      <c r="D5836" s="26" t="s">
        <v>45</v>
      </c>
      <c r="E5836" s="31">
        <v>46239.0</v>
      </c>
      <c r="F5836" s="26" t="s">
        <v>46</v>
      </c>
      <c r="G5836" s="26">
        <v>8.0</v>
      </c>
      <c r="I5836" s="26" t="s">
        <v>883</v>
      </c>
      <c r="J5836" s="25" t="str">
        <f t="shared" si="64"/>
        <v>No</v>
      </c>
      <c r="K5836" s="25" t="str">
        <f t="shared" si="65"/>
        <v/>
      </c>
      <c r="L5836" s="25" t="str">
        <f t="shared" si="66"/>
        <v/>
      </c>
      <c r="M5836" s="25"/>
      <c r="O5836" s="25"/>
    </row>
    <row r="5837" ht="15.75" customHeight="1">
      <c r="A5837" s="25" t="str">
        <f>IFERROR(__xludf.DUMMYFUNCTION("IF(B5837="""","""",RIGHT(REGEXREPLACE(B5837&amp;"""",""[^0-9]"",""""),9))"),"711644463")</f>
        <v>711644463</v>
      </c>
      <c r="B5837" s="52">
        <v>7.11644463E8</v>
      </c>
      <c r="C5837" s="28" t="s">
        <v>5805</v>
      </c>
      <c r="D5837" s="26" t="s">
        <v>56</v>
      </c>
      <c r="E5837" s="31">
        <v>46239.0</v>
      </c>
      <c r="F5837" s="26" t="s">
        <v>46</v>
      </c>
      <c r="G5837" s="26">
        <v>8.0</v>
      </c>
      <c r="H5837" s="26" t="s">
        <v>1648</v>
      </c>
      <c r="I5837" s="26" t="s">
        <v>883</v>
      </c>
      <c r="J5837" s="25" t="str">
        <f t="shared" si="64"/>
        <v>No</v>
      </c>
      <c r="K5837" s="25" t="str">
        <f t="shared" si="65"/>
        <v/>
      </c>
      <c r="L5837" s="25" t="str">
        <f t="shared" si="66"/>
        <v/>
      </c>
      <c r="M5837" s="25"/>
      <c r="O5837" s="25"/>
    </row>
    <row r="5838" ht="15.75" customHeight="1">
      <c r="A5838" s="25" t="str">
        <f>IFERROR(__xludf.DUMMYFUNCTION("IF(B5838="""","""",RIGHT(REGEXREPLACE(B5838&amp;"""",""[^0-9]"",""""),9))"),"765659746")</f>
        <v>765659746</v>
      </c>
      <c r="B5838" s="52">
        <v>7.65659746E8</v>
      </c>
      <c r="C5838" s="28" t="s">
        <v>5806</v>
      </c>
      <c r="D5838" s="26" t="s">
        <v>49</v>
      </c>
      <c r="E5838" s="31">
        <v>46239.0</v>
      </c>
      <c r="F5838" s="26" t="s">
        <v>41</v>
      </c>
      <c r="G5838" s="26">
        <v>7.0</v>
      </c>
      <c r="I5838" s="26" t="s">
        <v>883</v>
      </c>
      <c r="J5838" s="25" t="str">
        <f t="shared" si="64"/>
        <v>No</v>
      </c>
      <c r="K5838" s="25" t="str">
        <f t="shared" si="65"/>
        <v/>
      </c>
      <c r="L5838" s="25" t="str">
        <f t="shared" si="66"/>
        <v/>
      </c>
      <c r="M5838" s="25"/>
      <c r="O5838" s="25"/>
    </row>
    <row r="5839" ht="15.75" customHeight="1">
      <c r="A5839" s="25" t="str">
        <f>IFERROR(__xludf.DUMMYFUNCTION("IF(B5839="""","""",RIGHT(REGEXREPLACE(B5839&amp;"""",""[^0-9]"",""""),9))"),"710712571")</f>
        <v>710712571</v>
      </c>
      <c r="B5839" s="52">
        <v>7.10712571E8</v>
      </c>
      <c r="C5839" s="28" t="s">
        <v>5807</v>
      </c>
      <c r="D5839" s="26" t="s">
        <v>64</v>
      </c>
      <c r="E5839" s="31">
        <v>46239.0</v>
      </c>
      <c r="F5839" s="26" t="s">
        <v>46</v>
      </c>
      <c r="G5839" s="26">
        <v>8.0</v>
      </c>
      <c r="H5839" s="26" t="s">
        <v>78</v>
      </c>
      <c r="I5839" s="26" t="s">
        <v>883</v>
      </c>
      <c r="J5839" s="25" t="str">
        <f t="shared" si="64"/>
        <v>No</v>
      </c>
      <c r="K5839" s="25" t="str">
        <f t="shared" si="65"/>
        <v/>
      </c>
      <c r="L5839" s="25" t="str">
        <f t="shared" si="66"/>
        <v/>
      </c>
      <c r="M5839" s="25"/>
      <c r="O5839" s="25"/>
    </row>
    <row r="5840" ht="15.75" customHeight="1">
      <c r="A5840" s="25" t="str">
        <f>IFERROR(__xludf.DUMMYFUNCTION("IF(B5840="""","""",RIGHT(REGEXREPLACE(B5840&amp;"""",""[^0-9]"",""""),9))"),"761607208")</f>
        <v>761607208</v>
      </c>
      <c r="B5840" s="52">
        <v>7.61607208E8</v>
      </c>
      <c r="C5840" s="28" t="s">
        <v>5808</v>
      </c>
      <c r="D5840" s="26" t="s">
        <v>56</v>
      </c>
      <c r="E5840" s="31">
        <v>46239.0</v>
      </c>
      <c r="F5840" s="26" t="s">
        <v>46</v>
      </c>
      <c r="G5840" s="26">
        <v>6.0</v>
      </c>
      <c r="I5840" s="26" t="s">
        <v>883</v>
      </c>
      <c r="J5840" s="25" t="str">
        <f t="shared" si="64"/>
        <v>No</v>
      </c>
      <c r="K5840" s="25" t="str">
        <f t="shared" si="65"/>
        <v/>
      </c>
      <c r="L5840" s="25" t="str">
        <f t="shared" si="66"/>
        <v/>
      </c>
      <c r="M5840" s="25"/>
      <c r="O5840" s="25"/>
    </row>
    <row r="5841" ht="15.75" customHeight="1">
      <c r="A5841" s="25" t="str">
        <f>IFERROR(__xludf.DUMMYFUNCTION("IF(B5841="""","""",RIGHT(REGEXREPLACE(B5841&amp;"""",""[^0-9]"",""""),9))"),"765576746")</f>
        <v>765576746</v>
      </c>
      <c r="B5841" s="52">
        <v>7.65576746E8</v>
      </c>
      <c r="C5841" s="28" t="s">
        <v>5809</v>
      </c>
      <c r="D5841" s="26" t="s">
        <v>82</v>
      </c>
      <c r="E5841" s="31">
        <v>46239.0</v>
      </c>
      <c r="F5841" s="26" t="s">
        <v>41</v>
      </c>
      <c r="I5841" s="26" t="s">
        <v>883</v>
      </c>
      <c r="J5841" s="25" t="str">
        <f t="shared" si="64"/>
        <v>No</v>
      </c>
      <c r="K5841" s="25" t="str">
        <f t="shared" si="65"/>
        <v/>
      </c>
      <c r="L5841" s="25" t="str">
        <f t="shared" si="66"/>
        <v/>
      </c>
      <c r="M5841" s="25"/>
      <c r="O5841" s="25"/>
    </row>
    <row r="5842" ht="15.75" customHeight="1">
      <c r="A5842" s="121" t="str">
        <f>IFERROR(__xludf.DUMMYFUNCTION("IF(B5842="""","""",RIGHT(REGEXREPLACE(B5842&amp;"""",""[^0-9]"",""""),9))"),"717982098")</f>
        <v>717982098</v>
      </c>
      <c r="B5842" s="52">
        <v>7.17982098E8</v>
      </c>
      <c r="C5842" s="28" t="s">
        <v>5810</v>
      </c>
      <c r="D5842" s="26" t="s">
        <v>45</v>
      </c>
      <c r="E5842" s="31">
        <v>46239.0</v>
      </c>
      <c r="F5842" s="26" t="s">
        <v>167</v>
      </c>
      <c r="G5842" s="26">
        <v>6.0</v>
      </c>
      <c r="I5842" s="26" t="s">
        <v>883</v>
      </c>
      <c r="J5842" s="25" t="str">
        <f t="shared" si="64"/>
        <v>No</v>
      </c>
      <c r="K5842" s="25" t="str">
        <f t="shared" si="65"/>
        <v/>
      </c>
      <c r="L5842" s="25" t="str">
        <f t="shared" si="66"/>
        <v/>
      </c>
      <c r="M5842" s="25"/>
      <c r="O5842" s="26" t="s">
        <v>51</v>
      </c>
    </row>
    <row r="5843" ht="15.75" customHeight="1">
      <c r="A5843" s="25" t="str">
        <f>IFERROR(__xludf.DUMMYFUNCTION("IF(B5843="""","""",RIGHT(REGEXREPLACE(B5843&amp;"""",""[^0-9]"",""""),9))"),"710974849")</f>
        <v>710974849</v>
      </c>
      <c r="B5843" s="52">
        <v>7.10974849E8</v>
      </c>
      <c r="C5843" s="28" t="s">
        <v>5811</v>
      </c>
      <c r="D5843" s="26" t="s">
        <v>49</v>
      </c>
      <c r="E5843" s="31">
        <v>46239.0</v>
      </c>
      <c r="F5843" s="26" t="s">
        <v>46</v>
      </c>
      <c r="G5843" s="26">
        <v>7.0</v>
      </c>
      <c r="I5843" s="26" t="s">
        <v>883</v>
      </c>
      <c r="J5843" s="25" t="str">
        <f t="shared" si="64"/>
        <v>No</v>
      </c>
      <c r="K5843" s="25" t="str">
        <f t="shared" si="65"/>
        <v/>
      </c>
      <c r="L5843" s="25" t="str">
        <f t="shared" si="66"/>
        <v/>
      </c>
      <c r="M5843" s="25"/>
      <c r="O5843" s="25"/>
    </row>
    <row r="5844" ht="15.75" customHeight="1">
      <c r="A5844" s="25" t="str">
        <f>IFERROR(__xludf.DUMMYFUNCTION("IF(B5844="""","""",RIGHT(REGEXREPLACE(B5844&amp;"""",""[^0-9]"",""""),9))"),"771614180")</f>
        <v>771614180</v>
      </c>
      <c r="B5844" s="52">
        <v>7.7161418E8</v>
      </c>
      <c r="C5844" s="28" t="s">
        <v>5812</v>
      </c>
      <c r="D5844" s="26" t="s">
        <v>64</v>
      </c>
      <c r="E5844" s="31">
        <v>46239.0</v>
      </c>
      <c r="F5844" s="26" t="s">
        <v>41</v>
      </c>
      <c r="G5844" s="26">
        <v>10.0</v>
      </c>
      <c r="I5844" s="26" t="s">
        <v>883</v>
      </c>
      <c r="J5844" s="25" t="str">
        <f t="shared" si="64"/>
        <v>No</v>
      </c>
      <c r="K5844" s="25" t="str">
        <f t="shared" si="65"/>
        <v/>
      </c>
      <c r="L5844" s="25" t="str">
        <f t="shared" si="66"/>
        <v/>
      </c>
      <c r="M5844" s="25"/>
      <c r="O5844" s="25"/>
    </row>
    <row r="5845" ht="15.75" customHeight="1">
      <c r="A5845" s="25" t="str">
        <f>IFERROR(__xludf.DUMMYFUNCTION("IF(B5845="""","""",RIGHT(REGEXREPLACE(B5845&amp;"""",""[^0-9]"",""""),9))"),"713133199")</f>
        <v>713133199</v>
      </c>
      <c r="B5845" s="52">
        <v>7.13133199E8</v>
      </c>
      <c r="C5845" s="28" t="s">
        <v>5813</v>
      </c>
      <c r="D5845" s="26" t="s">
        <v>56</v>
      </c>
      <c r="E5845" s="31">
        <v>46239.0</v>
      </c>
      <c r="F5845" s="26" t="s">
        <v>205</v>
      </c>
      <c r="G5845" s="26">
        <v>8.0</v>
      </c>
      <c r="I5845" s="26" t="s">
        <v>883</v>
      </c>
      <c r="J5845" s="25" t="str">
        <f t="shared" si="64"/>
        <v>No</v>
      </c>
      <c r="K5845" s="25" t="str">
        <f t="shared" si="65"/>
        <v/>
      </c>
      <c r="L5845" s="25" t="str">
        <f t="shared" si="66"/>
        <v/>
      </c>
      <c r="M5845" s="25"/>
      <c r="O5845" s="25"/>
    </row>
    <row r="5846" ht="15.75" customHeight="1">
      <c r="A5846" s="25" t="str">
        <f>IFERROR(__xludf.DUMMYFUNCTION("IF(B5846="""","""",RIGHT(REGEXREPLACE(B5846&amp;"""",""[^0-9]"",""""),9))"),"706031345")</f>
        <v>706031345</v>
      </c>
      <c r="B5846" s="52">
        <v>7.06031345E8</v>
      </c>
      <c r="C5846" s="28" t="s">
        <v>5814</v>
      </c>
      <c r="D5846" s="26" t="s">
        <v>82</v>
      </c>
      <c r="E5846" s="31">
        <v>46239.0</v>
      </c>
      <c r="F5846" s="26" t="s">
        <v>205</v>
      </c>
      <c r="G5846" s="26">
        <v>6.0</v>
      </c>
      <c r="I5846" s="26" t="s">
        <v>883</v>
      </c>
      <c r="J5846" s="25" t="str">
        <f t="shared" si="64"/>
        <v>No</v>
      </c>
      <c r="K5846" s="25" t="str">
        <f t="shared" si="65"/>
        <v/>
      </c>
      <c r="L5846" s="25" t="str">
        <f t="shared" si="66"/>
        <v/>
      </c>
      <c r="M5846" s="25"/>
      <c r="O5846" s="25"/>
    </row>
    <row r="5847" ht="15.75" customHeight="1">
      <c r="A5847" s="25" t="str">
        <f>IFERROR(__xludf.DUMMYFUNCTION("IF(B5847="""","""",RIGHT(REGEXREPLACE(B5847&amp;"""",""[^0-9]"",""""),9))"),"774414858")</f>
        <v>774414858</v>
      </c>
      <c r="B5847" s="52">
        <v>7.74414858E8</v>
      </c>
      <c r="C5847" s="28" t="s">
        <v>5815</v>
      </c>
      <c r="D5847" s="26" t="s">
        <v>45</v>
      </c>
      <c r="E5847" s="31">
        <v>46239.0</v>
      </c>
      <c r="F5847" s="26" t="s">
        <v>41</v>
      </c>
      <c r="G5847" s="26">
        <v>8.0</v>
      </c>
      <c r="I5847" s="26" t="s">
        <v>883</v>
      </c>
      <c r="J5847" s="25" t="str">
        <f t="shared" si="64"/>
        <v>No</v>
      </c>
      <c r="K5847" s="25" t="str">
        <f t="shared" si="65"/>
        <v/>
      </c>
      <c r="L5847" s="25" t="str">
        <f t="shared" si="66"/>
        <v/>
      </c>
      <c r="M5847" s="25"/>
      <c r="O5847" s="25"/>
    </row>
    <row r="5848" ht="15.75" customHeight="1">
      <c r="A5848" s="25" t="str">
        <f>IFERROR(__xludf.DUMMYFUNCTION("IF(B5848="""","""",RIGHT(REGEXREPLACE(B5848&amp;"""",""[^0-9]"",""""),9))"),"763855612")</f>
        <v>763855612</v>
      </c>
      <c r="B5848" s="52">
        <v>7.63855612E8</v>
      </c>
      <c r="C5848" s="28" t="s">
        <v>5816</v>
      </c>
      <c r="D5848" s="26" t="s">
        <v>82</v>
      </c>
      <c r="E5848" s="31">
        <v>46239.0</v>
      </c>
      <c r="F5848" s="26" t="s">
        <v>41</v>
      </c>
      <c r="I5848" s="26" t="s">
        <v>883</v>
      </c>
      <c r="J5848" s="25" t="str">
        <f t="shared" si="64"/>
        <v>No</v>
      </c>
      <c r="K5848" s="25" t="str">
        <f t="shared" si="65"/>
        <v/>
      </c>
      <c r="L5848" s="25" t="str">
        <f t="shared" si="66"/>
        <v/>
      </c>
      <c r="M5848" s="25"/>
      <c r="O5848" s="25"/>
    </row>
    <row r="5849" ht="15.75" customHeight="1">
      <c r="A5849" s="25" t="str">
        <f>IFERROR(__xludf.DUMMYFUNCTION("IF(B5849="""","""",RIGHT(REGEXREPLACE(B5849&amp;"""",""[^0-9]"",""""),9))"),"742103089")</f>
        <v>742103089</v>
      </c>
      <c r="B5849" s="52">
        <v>7.42103089E8</v>
      </c>
      <c r="C5849" s="28" t="s">
        <v>5817</v>
      </c>
      <c r="D5849" s="26" t="s">
        <v>64</v>
      </c>
      <c r="E5849" s="31">
        <v>46239.0</v>
      </c>
      <c r="F5849" s="26" t="s">
        <v>41</v>
      </c>
      <c r="I5849" s="26" t="s">
        <v>883</v>
      </c>
      <c r="J5849" s="25" t="str">
        <f t="shared" si="64"/>
        <v>No</v>
      </c>
      <c r="K5849" s="25" t="str">
        <f t="shared" si="65"/>
        <v/>
      </c>
      <c r="L5849" s="25" t="str">
        <f t="shared" si="66"/>
        <v/>
      </c>
      <c r="M5849" s="25"/>
      <c r="O5849" s="25"/>
    </row>
    <row r="5850" ht="15.75" customHeight="1">
      <c r="A5850" s="25" t="str">
        <f>IFERROR(__xludf.DUMMYFUNCTION("IF(B5850="""","""",RIGHT(REGEXREPLACE(B5850&amp;"""",""[^0-9]"",""""),9))"),"705616952")</f>
        <v>705616952</v>
      </c>
      <c r="B5850" s="52">
        <v>7.05616952E8</v>
      </c>
      <c r="C5850" s="28" t="s">
        <v>5818</v>
      </c>
      <c r="D5850" s="26" t="s">
        <v>56</v>
      </c>
      <c r="E5850" s="31">
        <v>46239.0</v>
      </c>
      <c r="F5850" s="26" t="s">
        <v>125</v>
      </c>
      <c r="I5850" s="26" t="s">
        <v>883</v>
      </c>
      <c r="J5850" s="25" t="str">
        <f t="shared" si="64"/>
        <v>No</v>
      </c>
      <c r="K5850" s="25" t="str">
        <f t="shared" si="65"/>
        <v/>
      </c>
      <c r="L5850" s="25" t="str">
        <f t="shared" si="66"/>
        <v/>
      </c>
      <c r="M5850" s="25"/>
      <c r="O5850" s="25"/>
    </row>
    <row r="5851" ht="15.75" customHeight="1">
      <c r="A5851" s="25" t="str">
        <f>IFERROR(__xludf.DUMMYFUNCTION("IF(B5851="""","""",RIGHT(REGEXREPLACE(B5851&amp;"""",""[^0-9]"",""""),9))"),"763984504")</f>
        <v>763984504</v>
      </c>
      <c r="B5851" s="52">
        <v>7.63984504E8</v>
      </c>
      <c r="C5851" s="28" t="s">
        <v>5819</v>
      </c>
      <c r="D5851" s="26" t="s">
        <v>64</v>
      </c>
      <c r="E5851" s="31">
        <v>46239.0</v>
      </c>
      <c r="F5851" s="26" t="s">
        <v>46</v>
      </c>
      <c r="G5851" s="26">
        <v>8.0</v>
      </c>
      <c r="I5851" s="26" t="s">
        <v>883</v>
      </c>
      <c r="J5851" s="25" t="str">
        <f t="shared" si="64"/>
        <v>No</v>
      </c>
      <c r="K5851" s="25" t="str">
        <f t="shared" si="65"/>
        <v/>
      </c>
      <c r="L5851" s="25" t="str">
        <f t="shared" si="66"/>
        <v/>
      </c>
      <c r="M5851" s="25"/>
      <c r="O5851" s="25"/>
    </row>
    <row r="5852" ht="15.75" customHeight="1">
      <c r="A5852" s="25" t="str">
        <f>IFERROR(__xludf.DUMMYFUNCTION("IF(B5852="""","""",RIGHT(REGEXREPLACE(B5852&amp;"""",""[^0-9]"",""""),9))"),"722966347")</f>
        <v>722966347</v>
      </c>
      <c r="B5852" s="52">
        <v>7.22966347E8</v>
      </c>
      <c r="C5852" s="28" t="s">
        <v>5820</v>
      </c>
      <c r="D5852" s="26" t="s">
        <v>56</v>
      </c>
      <c r="E5852" s="31">
        <v>46239.0</v>
      </c>
      <c r="F5852" s="26" t="s">
        <v>46</v>
      </c>
      <c r="G5852" s="26">
        <v>7.0</v>
      </c>
      <c r="I5852" s="26" t="s">
        <v>883</v>
      </c>
      <c r="J5852" s="25" t="str">
        <f t="shared" si="64"/>
        <v>No</v>
      </c>
      <c r="K5852" s="25" t="str">
        <f t="shared" si="65"/>
        <v/>
      </c>
      <c r="L5852" s="25" t="str">
        <f t="shared" si="66"/>
        <v/>
      </c>
      <c r="M5852" s="25"/>
      <c r="O5852" s="25"/>
    </row>
    <row r="5853" ht="15.75" customHeight="1">
      <c r="A5853" s="25" t="str">
        <f>IFERROR(__xludf.DUMMYFUNCTION("IF(B5853="""","""",RIGHT(REGEXREPLACE(B5853&amp;"""",""[^0-9]"",""""),9))"),"773130185")</f>
        <v>773130185</v>
      </c>
      <c r="B5853" s="52">
        <v>7.73130185E8</v>
      </c>
      <c r="C5853" s="28" t="s">
        <v>5821</v>
      </c>
      <c r="D5853" s="26" t="s">
        <v>45</v>
      </c>
      <c r="E5853" s="31">
        <v>46239.0</v>
      </c>
      <c r="F5853" s="26" t="s">
        <v>46</v>
      </c>
      <c r="G5853" s="26">
        <v>7.0</v>
      </c>
      <c r="I5853" s="26" t="s">
        <v>883</v>
      </c>
      <c r="J5853" s="25" t="str">
        <f t="shared" si="64"/>
        <v>No</v>
      </c>
      <c r="K5853" s="25" t="str">
        <f t="shared" si="65"/>
        <v/>
      </c>
      <c r="L5853" s="25" t="str">
        <f t="shared" si="66"/>
        <v/>
      </c>
      <c r="M5853" s="25"/>
      <c r="O5853" s="25"/>
    </row>
    <row r="5854" ht="15.75" customHeight="1">
      <c r="A5854" s="25" t="str">
        <f>IFERROR(__xludf.DUMMYFUNCTION("IF(B5854="""","""",RIGHT(REGEXREPLACE(B5854&amp;"""",""[^0-9]"",""""),9))"),"715496841")</f>
        <v>715496841</v>
      </c>
      <c r="B5854" s="52">
        <v>7.15496841E8</v>
      </c>
      <c r="C5854" s="28" t="s">
        <v>5822</v>
      </c>
      <c r="D5854" s="26" t="s">
        <v>49</v>
      </c>
      <c r="E5854" s="31">
        <v>46239.0</v>
      </c>
      <c r="F5854" s="26" t="s">
        <v>46</v>
      </c>
      <c r="G5854" s="26">
        <v>8.0</v>
      </c>
      <c r="H5854" s="72" t="s">
        <v>5823</v>
      </c>
      <c r="I5854" s="26" t="s">
        <v>883</v>
      </c>
      <c r="J5854" s="25" t="str">
        <f t="shared" si="64"/>
        <v>No</v>
      </c>
      <c r="K5854" s="25" t="str">
        <f t="shared" si="65"/>
        <v/>
      </c>
      <c r="L5854" s="25" t="str">
        <f t="shared" si="66"/>
        <v/>
      </c>
      <c r="M5854" s="25"/>
      <c r="O5854" s="26" t="s">
        <v>51</v>
      </c>
    </row>
    <row r="5855" ht="15.75" customHeight="1">
      <c r="A5855" s="25" t="str">
        <f>IFERROR(__xludf.DUMMYFUNCTION("IF(B5855="""","""",RIGHT(REGEXREPLACE(B5855&amp;"""",""[^0-9]"",""""),9))"),"773565512")</f>
        <v>773565512</v>
      </c>
      <c r="B5855" s="52">
        <v>7.73565512E8</v>
      </c>
      <c r="C5855" s="28" t="s">
        <v>5824</v>
      </c>
      <c r="D5855" s="26" t="s">
        <v>82</v>
      </c>
      <c r="E5855" s="31">
        <v>46239.0</v>
      </c>
      <c r="F5855" s="26" t="s">
        <v>41</v>
      </c>
      <c r="I5855" s="26" t="s">
        <v>883</v>
      </c>
      <c r="J5855" s="25" t="str">
        <f t="shared" si="64"/>
        <v>No</v>
      </c>
      <c r="K5855" s="25" t="str">
        <f t="shared" si="65"/>
        <v/>
      </c>
      <c r="L5855" s="25" t="str">
        <f t="shared" si="66"/>
        <v/>
      </c>
      <c r="M5855" s="25"/>
      <c r="O5855" s="25"/>
    </row>
    <row r="5856" ht="15.75" customHeight="1">
      <c r="A5856" s="25" t="str">
        <f>IFERROR(__xludf.DUMMYFUNCTION("IF(B5856="""","""",RIGHT(REGEXREPLACE(B5856&amp;"""",""[^0-9]"",""""),9))"),"763043542")</f>
        <v>763043542</v>
      </c>
      <c r="B5856" s="52">
        <v>7.63043542E8</v>
      </c>
      <c r="C5856" s="28" t="s">
        <v>5825</v>
      </c>
      <c r="D5856" s="26" t="s">
        <v>64</v>
      </c>
      <c r="E5856" s="31">
        <v>46239.0</v>
      </c>
      <c r="F5856" s="26" t="s">
        <v>46</v>
      </c>
      <c r="G5856" s="26">
        <v>7.0</v>
      </c>
      <c r="I5856" s="26" t="s">
        <v>883</v>
      </c>
      <c r="J5856" s="25" t="str">
        <f t="shared" si="64"/>
        <v>No</v>
      </c>
      <c r="K5856" s="25" t="str">
        <f t="shared" si="65"/>
        <v/>
      </c>
      <c r="L5856" s="25" t="str">
        <f t="shared" si="66"/>
        <v/>
      </c>
      <c r="M5856" s="25"/>
      <c r="O5856" s="25"/>
    </row>
    <row r="5857" ht="15.75" customHeight="1">
      <c r="A5857" s="25" t="str">
        <f>IFERROR(__xludf.DUMMYFUNCTION("IF(B5857="""","""",RIGHT(REGEXREPLACE(B5857&amp;"""",""[^0-9]"",""""),9))"),"704315265")</f>
        <v>704315265</v>
      </c>
      <c r="B5857" s="52">
        <v>7.04315265E8</v>
      </c>
      <c r="C5857" s="28" t="s">
        <v>5826</v>
      </c>
      <c r="D5857" s="26" t="s">
        <v>56</v>
      </c>
      <c r="E5857" s="31">
        <v>46239.0</v>
      </c>
      <c r="F5857" s="26" t="s">
        <v>205</v>
      </c>
      <c r="G5857" s="26">
        <v>6.0</v>
      </c>
      <c r="I5857" s="26" t="s">
        <v>883</v>
      </c>
      <c r="J5857" s="25" t="str">
        <f t="shared" si="64"/>
        <v>No</v>
      </c>
      <c r="K5857" s="25" t="str">
        <f t="shared" si="65"/>
        <v/>
      </c>
      <c r="L5857" s="25" t="str">
        <f t="shared" si="66"/>
        <v/>
      </c>
      <c r="M5857" s="25"/>
      <c r="O5857" s="25"/>
    </row>
    <row r="5858" ht="15.75" customHeight="1">
      <c r="A5858" s="25" t="str">
        <f>IFERROR(__xludf.DUMMYFUNCTION("IF(B5858="""","""",RIGHT(REGEXREPLACE(B5858&amp;"""",""[^0-9]"",""""),9))"),"773711821")</f>
        <v>773711821</v>
      </c>
      <c r="B5858" s="52">
        <v>7.73711821E8</v>
      </c>
      <c r="C5858" s="28" t="s">
        <v>5827</v>
      </c>
      <c r="D5858" s="26" t="s">
        <v>45</v>
      </c>
      <c r="E5858" s="31">
        <v>46239.0</v>
      </c>
      <c r="F5858" s="26" t="s">
        <v>46</v>
      </c>
      <c r="G5858" s="26">
        <v>6.0</v>
      </c>
      <c r="I5858" s="26" t="s">
        <v>883</v>
      </c>
      <c r="J5858" s="25" t="str">
        <f t="shared" si="64"/>
        <v>No</v>
      </c>
      <c r="K5858" s="25" t="str">
        <f t="shared" si="65"/>
        <v/>
      </c>
      <c r="L5858" s="25" t="str">
        <f t="shared" si="66"/>
        <v/>
      </c>
      <c r="M5858" s="25"/>
      <c r="O5858" s="25"/>
    </row>
    <row r="5859" ht="15.75" customHeight="1">
      <c r="A5859" s="25" t="str">
        <f>IFERROR(__xludf.DUMMYFUNCTION("IF(B5859="""","""",RIGHT(REGEXREPLACE(B5859&amp;"""",""[^0-9]"",""""),9))"),"786672162")</f>
        <v>786672162</v>
      </c>
      <c r="B5859" s="52">
        <v>7.86672162E8</v>
      </c>
      <c r="C5859" s="28" t="s">
        <v>5828</v>
      </c>
      <c r="D5859" s="26" t="s">
        <v>82</v>
      </c>
      <c r="E5859" s="31">
        <v>46239.0</v>
      </c>
      <c r="F5859" s="26" t="s">
        <v>205</v>
      </c>
      <c r="G5859" s="26">
        <v>7.0</v>
      </c>
      <c r="I5859" s="26" t="s">
        <v>883</v>
      </c>
      <c r="J5859" s="25" t="str">
        <f t="shared" si="64"/>
        <v>No</v>
      </c>
      <c r="K5859" s="25" t="str">
        <f t="shared" si="65"/>
        <v/>
      </c>
      <c r="L5859" s="25" t="str">
        <f t="shared" si="66"/>
        <v/>
      </c>
      <c r="M5859" s="25"/>
      <c r="O5859" s="25"/>
    </row>
    <row r="5860" ht="15.75" customHeight="1">
      <c r="A5860" s="25" t="str">
        <f>IFERROR(__xludf.DUMMYFUNCTION("IF(B5860="""","""",RIGHT(REGEXREPLACE(B5860&amp;"""",""[^0-9]"",""""),9))"),"712349844")</f>
        <v>712349844</v>
      </c>
      <c r="B5860" s="52">
        <v>7.12349844E8</v>
      </c>
      <c r="C5860" s="28" t="s">
        <v>5829</v>
      </c>
      <c r="D5860" s="26" t="s">
        <v>49</v>
      </c>
      <c r="E5860" s="31">
        <v>46239.0</v>
      </c>
      <c r="F5860" s="26" t="s">
        <v>46</v>
      </c>
      <c r="G5860" s="26">
        <v>11.0</v>
      </c>
      <c r="H5860" s="72" t="s">
        <v>5830</v>
      </c>
      <c r="I5860" s="26" t="s">
        <v>883</v>
      </c>
      <c r="J5860" s="25" t="str">
        <f t="shared" si="64"/>
        <v>No</v>
      </c>
      <c r="K5860" s="25" t="str">
        <f t="shared" si="65"/>
        <v/>
      </c>
      <c r="L5860" s="25" t="str">
        <f t="shared" si="66"/>
        <v/>
      </c>
      <c r="M5860" s="25"/>
      <c r="O5860" s="25"/>
    </row>
    <row r="5861" ht="15.75" customHeight="1">
      <c r="A5861" s="25" t="str">
        <f>IFERROR(__xludf.DUMMYFUNCTION("IF(B5861="""","""",RIGHT(REGEXREPLACE(B5861&amp;"""",""[^0-9]"",""""),9))"),"722149346")</f>
        <v>722149346</v>
      </c>
      <c r="B5861" s="52">
        <v>7.22149346E8</v>
      </c>
      <c r="C5861" s="28" t="s">
        <v>5831</v>
      </c>
      <c r="D5861" s="26" t="s">
        <v>64</v>
      </c>
      <c r="E5861" s="31">
        <v>46239.0</v>
      </c>
      <c r="F5861" s="26" t="s">
        <v>46</v>
      </c>
      <c r="G5861" s="26">
        <v>7.0</v>
      </c>
      <c r="I5861" s="26" t="s">
        <v>883</v>
      </c>
      <c r="J5861" s="25" t="str">
        <f t="shared" si="64"/>
        <v>No</v>
      </c>
      <c r="K5861" s="25" t="str">
        <f t="shared" si="65"/>
        <v/>
      </c>
      <c r="L5861" s="25" t="str">
        <f t="shared" si="66"/>
        <v/>
      </c>
      <c r="M5861" s="25"/>
      <c r="O5861" s="25"/>
    </row>
    <row r="5862" ht="15.75" customHeight="1">
      <c r="A5862" s="25" t="str">
        <f>IFERROR(__xludf.DUMMYFUNCTION("IF(B5862="""","""",RIGHT(REGEXREPLACE(B5862&amp;"""",""[^0-9]"",""""),9))"),"767334314")</f>
        <v>767334314</v>
      </c>
      <c r="B5862" s="52">
        <v>7.67334314E8</v>
      </c>
      <c r="C5862" s="28" t="s">
        <v>5832</v>
      </c>
      <c r="D5862" s="26" t="s">
        <v>82</v>
      </c>
      <c r="E5862" s="31">
        <v>46239.0</v>
      </c>
      <c r="F5862" s="26" t="s">
        <v>46</v>
      </c>
      <c r="G5862" s="26">
        <v>7.0</v>
      </c>
      <c r="I5862" s="26" t="s">
        <v>883</v>
      </c>
      <c r="J5862" s="25" t="str">
        <f t="shared" si="64"/>
        <v>No</v>
      </c>
      <c r="K5862" s="25" t="str">
        <f t="shared" si="65"/>
        <v/>
      </c>
      <c r="L5862" s="25" t="str">
        <f t="shared" si="66"/>
        <v/>
      </c>
      <c r="M5862" s="25"/>
      <c r="O5862" s="25"/>
    </row>
    <row r="5863" ht="15.75" customHeight="1">
      <c r="A5863" s="25" t="str">
        <f>IFERROR(__xludf.DUMMYFUNCTION("IF(B5863="""","""",RIGHT(REGEXREPLACE(B5863&amp;"""",""[^0-9]"",""""),9))"),"785559296")</f>
        <v>785559296</v>
      </c>
      <c r="B5863" s="52">
        <v>7.85559296E8</v>
      </c>
      <c r="C5863" s="28" t="s">
        <v>5833</v>
      </c>
      <c r="D5863" s="26" t="s">
        <v>56</v>
      </c>
      <c r="E5863" s="31">
        <v>46239.0</v>
      </c>
      <c r="F5863" s="26" t="s">
        <v>46</v>
      </c>
      <c r="G5863" s="26">
        <v>7.0</v>
      </c>
      <c r="I5863" s="26" t="s">
        <v>883</v>
      </c>
      <c r="J5863" s="25" t="str">
        <f t="shared" si="64"/>
        <v>No</v>
      </c>
      <c r="K5863" s="25" t="str">
        <f t="shared" si="65"/>
        <v/>
      </c>
      <c r="L5863" s="25" t="str">
        <f t="shared" si="66"/>
        <v/>
      </c>
      <c r="M5863" s="25"/>
      <c r="O5863" s="25"/>
    </row>
    <row r="5864" ht="15.75" customHeight="1">
      <c r="A5864" s="25" t="str">
        <f>IFERROR(__xludf.DUMMYFUNCTION("IF(B5864="""","""",RIGHT(REGEXREPLACE(B5864&amp;"""",""[^0-9]"",""""),9))"),"741196570")</f>
        <v>741196570</v>
      </c>
      <c r="B5864" s="52">
        <v>7.4119657E8</v>
      </c>
      <c r="C5864" s="28" t="s">
        <v>5834</v>
      </c>
      <c r="D5864" s="26" t="s">
        <v>45</v>
      </c>
      <c r="E5864" s="31">
        <v>46239.0</v>
      </c>
      <c r="F5864" s="26" t="s">
        <v>46</v>
      </c>
      <c r="G5864" s="26">
        <v>9.0</v>
      </c>
      <c r="I5864" s="26" t="s">
        <v>883</v>
      </c>
      <c r="J5864" s="25" t="str">
        <f t="shared" si="64"/>
        <v>No</v>
      </c>
      <c r="K5864" s="25" t="str">
        <f t="shared" si="65"/>
        <v/>
      </c>
      <c r="L5864" s="25" t="str">
        <f t="shared" si="66"/>
        <v/>
      </c>
      <c r="M5864" s="25"/>
      <c r="O5864" s="25"/>
    </row>
    <row r="5865" ht="15.75" customHeight="1">
      <c r="A5865" s="25" t="str">
        <f>IFERROR(__xludf.DUMMYFUNCTION("IF(B5865="""","""",RIGHT(REGEXREPLACE(B5865&amp;"""",""[^0-9]"",""""),9))"),"770225101")</f>
        <v>770225101</v>
      </c>
      <c r="B5865" s="52">
        <v>7.70225101E8</v>
      </c>
      <c r="C5865" s="28" t="s">
        <v>5835</v>
      </c>
      <c r="D5865" s="26" t="s">
        <v>49</v>
      </c>
      <c r="E5865" s="31">
        <v>46239.0</v>
      </c>
      <c r="F5865" s="26" t="s">
        <v>41</v>
      </c>
      <c r="I5865" s="26" t="s">
        <v>883</v>
      </c>
      <c r="J5865" s="25" t="str">
        <f t="shared" si="64"/>
        <v>No</v>
      </c>
      <c r="K5865" s="25" t="str">
        <f t="shared" si="65"/>
        <v/>
      </c>
      <c r="L5865" s="25" t="str">
        <f t="shared" si="66"/>
        <v/>
      </c>
      <c r="M5865" s="25"/>
      <c r="O5865" s="25"/>
    </row>
    <row r="5866" ht="15.75" customHeight="1">
      <c r="A5866" s="25" t="str">
        <f>IFERROR(__xludf.DUMMYFUNCTION("IF(B5866="""","""",RIGHT(REGEXREPLACE(B5866&amp;"""",""[^0-9]"",""""),9))"),"777153384")</f>
        <v>777153384</v>
      </c>
      <c r="B5866" s="52">
        <v>7.77153384E8</v>
      </c>
      <c r="C5866" s="28" t="s">
        <v>5836</v>
      </c>
      <c r="D5866" s="26" t="s">
        <v>64</v>
      </c>
      <c r="E5866" s="31">
        <v>46239.0</v>
      </c>
      <c r="F5866" s="26" t="s">
        <v>46</v>
      </c>
      <c r="G5866" s="26">
        <v>8.0</v>
      </c>
      <c r="I5866" s="26" t="s">
        <v>883</v>
      </c>
      <c r="J5866" s="25" t="str">
        <f t="shared" si="64"/>
        <v>No</v>
      </c>
      <c r="K5866" s="25" t="str">
        <f t="shared" si="65"/>
        <v/>
      </c>
      <c r="L5866" s="25" t="str">
        <f t="shared" si="66"/>
        <v/>
      </c>
      <c r="M5866" s="25"/>
      <c r="O5866" s="25"/>
    </row>
    <row r="5867" ht="15.75" customHeight="1">
      <c r="A5867" s="25" t="str">
        <f>IFERROR(__xludf.DUMMYFUNCTION("IF(B5867="""","""",RIGHT(REGEXREPLACE(B5867&amp;"""",""[^0-9]"",""""),9))"),"776463909")</f>
        <v>776463909</v>
      </c>
      <c r="B5867" s="52">
        <v>7.76463909E8</v>
      </c>
      <c r="C5867" s="28" t="s">
        <v>1841</v>
      </c>
      <c r="D5867" s="26" t="s">
        <v>56</v>
      </c>
      <c r="E5867" s="31">
        <v>46239.0</v>
      </c>
      <c r="F5867" s="26" t="s">
        <v>46</v>
      </c>
      <c r="G5867" s="26">
        <v>7.0</v>
      </c>
      <c r="I5867" s="26" t="s">
        <v>883</v>
      </c>
      <c r="J5867" s="25" t="str">
        <f t="shared" si="64"/>
        <v>No</v>
      </c>
      <c r="K5867" s="25" t="str">
        <f t="shared" si="65"/>
        <v/>
      </c>
      <c r="L5867" s="25" t="str">
        <f t="shared" si="66"/>
        <v/>
      </c>
      <c r="M5867" s="25"/>
      <c r="O5867" s="25"/>
    </row>
    <row r="5868" ht="15.75" customHeight="1">
      <c r="A5868" s="25" t="str">
        <f>IFERROR(__xludf.DUMMYFUNCTION("IF(B5868="""","""",RIGHT(REGEXREPLACE(B5868&amp;"""",""[^0-9]"",""""),9))"),"740663316")</f>
        <v>740663316</v>
      </c>
      <c r="B5868" s="52">
        <v>7.40663316E8</v>
      </c>
      <c r="C5868" s="28" t="s">
        <v>5837</v>
      </c>
      <c r="D5868" s="26" t="s">
        <v>82</v>
      </c>
      <c r="E5868" s="31">
        <v>46239.0</v>
      </c>
      <c r="F5868" s="26" t="s">
        <v>46</v>
      </c>
      <c r="G5868" s="26">
        <v>9.0</v>
      </c>
      <c r="I5868" s="26" t="s">
        <v>883</v>
      </c>
      <c r="J5868" s="25" t="str">
        <f t="shared" si="64"/>
        <v>No</v>
      </c>
      <c r="K5868" s="25" t="str">
        <f t="shared" si="65"/>
        <v/>
      </c>
      <c r="L5868" s="25" t="str">
        <f t="shared" si="66"/>
        <v/>
      </c>
      <c r="M5868" s="25"/>
      <c r="O5868" s="26" t="s">
        <v>51</v>
      </c>
    </row>
    <row r="5869" ht="15.75" customHeight="1">
      <c r="A5869" s="25" t="str">
        <f>IFERROR(__xludf.DUMMYFUNCTION("IF(B5869="""","""",RIGHT(REGEXREPLACE(B5869&amp;"""",""[^0-9]"",""""),9))"),"764318488")</f>
        <v>764318488</v>
      </c>
      <c r="B5869" s="52">
        <v>7.64318488E8</v>
      </c>
      <c r="C5869" s="28" t="s">
        <v>5838</v>
      </c>
      <c r="D5869" s="26" t="s">
        <v>45</v>
      </c>
      <c r="E5869" s="31">
        <v>46239.0</v>
      </c>
      <c r="F5869" s="26" t="s">
        <v>41</v>
      </c>
      <c r="I5869" s="26" t="s">
        <v>883</v>
      </c>
      <c r="J5869" s="25" t="str">
        <f t="shared" si="64"/>
        <v>No</v>
      </c>
      <c r="K5869" s="25" t="str">
        <f t="shared" si="65"/>
        <v/>
      </c>
      <c r="L5869" s="25" t="str">
        <f t="shared" si="66"/>
        <v/>
      </c>
      <c r="M5869" s="25"/>
      <c r="O5869" s="25"/>
    </row>
    <row r="5870" ht="15.75" customHeight="1">
      <c r="A5870" s="25" t="str">
        <f>IFERROR(__xludf.DUMMYFUNCTION("IF(B5870="""","""",RIGHT(REGEXREPLACE(B5870&amp;"""",""[^0-9]"",""""),9))"),"768328232")</f>
        <v>768328232</v>
      </c>
      <c r="B5870" s="52">
        <v>7.68328232E8</v>
      </c>
      <c r="C5870" s="28" t="s">
        <v>4751</v>
      </c>
      <c r="D5870" s="26" t="s">
        <v>64</v>
      </c>
      <c r="E5870" s="31">
        <v>46239.0</v>
      </c>
      <c r="F5870" s="26" t="s">
        <v>41</v>
      </c>
      <c r="G5870" s="26">
        <v>8.0</v>
      </c>
      <c r="I5870" s="26" t="s">
        <v>883</v>
      </c>
      <c r="J5870" s="25" t="str">
        <f t="shared" si="64"/>
        <v>Yes - see Previous F-Code</v>
      </c>
      <c r="K5870" s="25" t="str">
        <f t="shared" si="65"/>
        <v/>
      </c>
      <c r="L5870" s="25" t="str">
        <f t="shared" si="66"/>
        <v>F74335</v>
      </c>
      <c r="M5870" s="25"/>
      <c r="O5870" s="25"/>
    </row>
    <row r="5871" ht="15.75" customHeight="1">
      <c r="A5871" s="25" t="str">
        <f>IFERROR(__xludf.DUMMYFUNCTION("IF(B5871="""","""",RIGHT(REGEXREPLACE(B5871&amp;"""",""[^0-9]"",""""),9))"),"753743020")</f>
        <v>753743020</v>
      </c>
      <c r="B5871" s="52">
        <v>7.5374302E8</v>
      </c>
      <c r="C5871" s="28" t="s">
        <v>5839</v>
      </c>
      <c r="D5871" s="26" t="s">
        <v>49</v>
      </c>
      <c r="E5871" s="31">
        <v>46239.0</v>
      </c>
      <c r="F5871" s="26" t="s">
        <v>46</v>
      </c>
      <c r="G5871" s="26">
        <v>7.0</v>
      </c>
      <c r="I5871" s="26" t="s">
        <v>883</v>
      </c>
      <c r="J5871" s="25" t="str">
        <f t="shared" si="64"/>
        <v>No</v>
      </c>
      <c r="K5871" s="25" t="str">
        <f t="shared" si="65"/>
        <v/>
      </c>
      <c r="L5871" s="25" t="str">
        <f t="shared" si="66"/>
        <v/>
      </c>
      <c r="M5871" s="25"/>
      <c r="O5871" s="25"/>
    </row>
    <row r="5872" ht="15.75" customHeight="1">
      <c r="A5872" s="25" t="str">
        <f>IFERROR(__xludf.DUMMYFUNCTION("IF(B5872="""","""",RIGHT(REGEXREPLACE(B5872&amp;"""",""[^0-9]"",""""),9))"),"762942007")</f>
        <v>762942007</v>
      </c>
      <c r="B5872" s="52">
        <v>7.62942007E8</v>
      </c>
      <c r="C5872" s="28" t="s">
        <v>5840</v>
      </c>
      <c r="D5872" s="26" t="s">
        <v>56</v>
      </c>
      <c r="E5872" s="31">
        <v>46239.0</v>
      </c>
      <c r="F5872" s="26" t="s">
        <v>41</v>
      </c>
      <c r="G5872" s="26">
        <v>7.0</v>
      </c>
      <c r="I5872" s="26" t="s">
        <v>883</v>
      </c>
      <c r="J5872" s="25" t="str">
        <f t="shared" si="64"/>
        <v>No</v>
      </c>
      <c r="K5872" s="25" t="str">
        <f t="shared" si="65"/>
        <v/>
      </c>
      <c r="L5872" s="25" t="str">
        <f t="shared" si="66"/>
        <v/>
      </c>
      <c r="M5872" s="25"/>
      <c r="O5872" s="25"/>
    </row>
    <row r="5873" ht="15.75" customHeight="1">
      <c r="A5873" s="25" t="str">
        <f>IFERROR(__xludf.DUMMYFUNCTION("IF(B5873="""","""",RIGHT(REGEXREPLACE(B5873&amp;"""",""[^0-9]"",""""),9))"),"717161997")</f>
        <v>717161997</v>
      </c>
      <c r="B5873" s="52">
        <v>7.17161997E8</v>
      </c>
      <c r="C5873" s="28" t="s">
        <v>5841</v>
      </c>
      <c r="D5873" s="26" t="s">
        <v>64</v>
      </c>
      <c r="E5873" s="31">
        <v>46239.0</v>
      </c>
      <c r="F5873" s="26" t="s">
        <v>659</v>
      </c>
      <c r="G5873" s="26">
        <v>7.0</v>
      </c>
      <c r="I5873" s="26" t="s">
        <v>883</v>
      </c>
      <c r="J5873" s="25" t="str">
        <f t="shared" si="64"/>
        <v>No</v>
      </c>
      <c r="K5873" s="25" t="str">
        <f t="shared" si="65"/>
        <v/>
      </c>
      <c r="L5873" s="25" t="str">
        <f t="shared" si="66"/>
        <v/>
      </c>
      <c r="M5873" s="25"/>
      <c r="O5873" s="25"/>
    </row>
    <row r="5874" ht="15.75" customHeight="1">
      <c r="A5874" s="25" t="str">
        <f>IFERROR(__xludf.DUMMYFUNCTION("IF(B5874="""","""",RIGHT(REGEXREPLACE(B5874&amp;"""",""[^0-9]"",""""),9))"),"728599810")</f>
        <v>728599810</v>
      </c>
      <c r="B5874" s="52">
        <v>7.2859981E8</v>
      </c>
      <c r="C5874" s="28" t="s">
        <v>5842</v>
      </c>
      <c r="D5874" s="26" t="s">
        <v>45</v>
      </c>
      <c r="E5874" s="31">
        <v>46239.0</v>
      </c>
      <c r="F5874" s="26" t="s">
        <v>205</v>
      </c>
      <c r="I5874" s="26" t="s">
        <v>883</v>
      </c>
      <c r="J5874" s="25" t="str">
        <f t="shared" si="64"/>
        <v>No</v>
      </c>
      <c r="K5874" s="25" t="str">
        <f t="shared" si="65"/>
        <v/>
      </c>
      <c r="L5874" s="25" t="str">
        <f t="shared" si="66"/>
        <v/>
      </c>
      <c r="M5874" s="25"/>
      <c r="O5874" s="25"/>
    </row>
    <row r="5875" ht="15.75" customHeight="1">
      <c r="A5875" s="25" t="str">
        <f>IFERROR(__xludf.DUMMYFUNCTION("IF(B5875="""","""",RIGHT(REGEXREPLACE(B5875&amp;"""",""[^0-9]"",""""),9))"),"712562800")</f>
        <v>712562800</v>
      </c>
      <c r="B5875" s="52">
        <v>7.125628E8</v>
      </c>
      <c r="C5875" s="28" t="s">
        <v>5843</v>
      </c>
      <c r="D5875" s="26" t="s">
        <v>49</v>
      </c>
      <c r="E5875" s="31">
        <v>46239.0</v>
      </c>
      <c r="F5875" s="26" t="s">
        <v>46</v>
      </c>
      <c r="G5875" s="26">
        <v>8.0</v>
      </c>
      <c r="I5875" s="26" t="s">
        <v>883</v>
      </c>
      <c r="J5875" s="25" t="str">
        <f t="shared" si="64"/>
        <v>No</v>
      </c>
      <c r="K5875" s="25" t="str">
        <f t="shared" si="65"/>
        <v/>
      </c>
      <c r="L5875" s="25" t="str">
        <f t="shared" si="66"/>
        <v/>
      </c>
      <c r="M5875" s="25"/>
      <c r="O5875" s="25"/>
    </row>
    <row r="5876" ht="15.75" customHeight="1">
      <c r="A5876" s="25" t="str">
        <f>IFERROR(__xludf.DUMMYFUNCTION("IF(B5876="""","""",RIGHT(REGEXREPLACE(B5876&amp;"""",""[^0-9]"",""""),9))"),"743682845")</f>
        <v>743682845</v>
      </c>
      <c r="B5876" s="52">
        <v>7.43682845E8</v>
      </c>
      <c r="C5876" s="28" t="s">
        <v>5844</v>
      </c>
      <c r="D5876" s="26" t="s">
        <v>64</v>
      </c>
      <c r="E5876" s="31">
        <v>46239.0</v>
      </c>
      <c r="F5876" s="26" t="s">
        <v>41</v>
      </c>
      <c r="G5876" s="26">
        <v>10.0</v>
      </c>
      <c r="I5876" s="26" t="s">
        <v>883</v>
      </c>
      <c r="J5876" s="25" t="str">
        <f t="shared" si="64"/>
        <v>No</v>
      </c>
      <c r="K5876" s="25" t="str">
        <f t="shared" si="65"/>
        <v/>
      </c>
      <c r="L5876" s="25" t="str">
        <f t="shared" si="66"/>
        <v/>
      </c>
      <c r="M5876" s="25"/>
      <c r="O5876" s="25"/>
    </row>
    <row r="5877" ht="15.75" customHeight="1">
      <c r="A5877" s="25" t="str">
        <f>IFERROR(__xludf.DUMMYFUNCTION("IF(B5877="""","""",RIGHT(REGEXREPLACE(B5877&amp;"""",""[^0-9]"",""""),9))"),"771513067")</f>
        <v>771513067</v>
      </c>
      <c r="B5877" s="52">
        <v>7.71513067E8</v>
      </c>
      <c r="C5877" s="28" t="s">
        <v>5845</v>
      </c>
      <c r="D5877" s="26" t="s">
        <v>56</v>
      </c>
      <c r="E5877" s="31">
        <v>46239.0</v>
      </c>
      <c r="F5877" s="26" t="s">
        <v>41</v>
      </c>
      <c r="G5877" s="26">
        <v>6.0</v>
      </c>
      <c r="I5877" s="26" t="s">
        <v>883</v>
      </c>
      <c r="J5877" s="25" t="str">
        <f t="shared" si="64"/>
        <v>No</v>
      </c>
      <c r="K5877" s="25" t="str">
        <f t="shared" si="65"/>
        <v/>
      </c>
      <c r="L5877" s="25" t="str">
        <f t="shared" si="66"/>
        <v/>
      </c>
      <c r="M5877" s="25"/>
      <c r="O5877" s="26" t="s">
        <v>51</v>
      </c>
    </row>
    <row r="5878" ht="15.75" customHeight="1">
      <c r="A5878" s="25" t="str">
        <f>IFERROR(__xludf.DUMMYFUNCTION("IF(B5878="""","""",RIGHT(REGEXREPLACE(B5878&amp;"""",""[^0-9]"",""""),9))"),"779283041")</f>
        <v>779283041</v>
      </c>
      <c r="B5878" s="52">
        <v>7.79283041E8</v>
      </c>
      <c r="C5878" s="28" t="s">
        <v>5846</v>
      </c>
      <c r="D5878" s="26" t="s">
        <v>45</v>
      </c>
      <c r="E5878" s="31">
        <v>46239.0</v>
      </c>
      <c r="F5878" s="26" t="s">
        <v>205</v>
      </c>
      <c r="G5878" s="26">
        <v>8.0</v>
      </c>
      <c r="I5878" s="26" t="s">
        <v>883</v>
      </c>
      <c r="J5878" s="25" t="str">
        <f t="shared" si="64"/>
        <v>No</v>
      </c>
      <c r="K5878" s="25" t="str">
        <f t="shared" si="65"/>
        <v/>
      </c>
      <c r="L5878" s="25" t="str">
        <f t="shared" si="66"/>
        <v/>
      </c>
      <c r="M5878" s="25"/>
      <c r="O5878" s="25"/>
    </row>
    <row r="5879" ht="15.75" customHeight="1">
      <c r="A5879" s="25" t="str">
        <f>IFERROR(__xludf.DUMMYFUNCTION("IF(B5879="""","""",RIGHT(REGEXREPLACE(B5879&amp;"""",""[^0-9]"",""""),9))"),"770829067")</f>
        <v>770829067</v>
      </c>
      <c r="B5879" s="52">
        <v>7.70829067E8</v>
      </c>
      <c r="C5879" s="28" t="s">
        <v>5847</v>
      </c>
      <c r="D5879" s="26" t="s">
        <v>64</v>
      </c>
      <c r="E5879" s="31">
        <v>46239.0</v>
      </c>
      <c r="F5879" s="26" t="s">
        <v>41</v>
      </c>
      <c r="I5879" s="26" t="s">
        <v>883</v>
      </c>
      <c r="J5879" s="25" t="str">
        <f t="shared" si="64"/>
        <v>No</v>
      </c>
      <c r="K5879" s="25" t="str">
        <f t="shared" si="65"/>
        <v/>
      </c>
      <c r="L5879" s="25" t="str">
        <f t="shared" si="66"/>
        <v/>
      </c>
      <c r="M5879" s="25"/>
      <c r="O5879" s="25"/>
    </row>
    <row r="5880" ht="15.75" customHeight="1">
      <c r="A5880" s="25" t="str">
        <f>IFERROR(__xludf.DUMMYFUNCTION("IF(B5880="""","""",RIGHT(REGEXREPLACE(B5880&amp;"""",""[^0-9]"",""""),9))"),"722855315")</f>
        <v>722855315</v>
      </c>
      <c r="B5880" s="52">
        <v>7.22855315E8</v>
      </c>
      <c r="C5880" s="28" t="s">
        <v>5848</v>
      </c>
      <c r="D5880" s="26" t="s">
        <v>49</v>
      </c>
      <c r="E5880" s="31">
        <v>46239.0</v>
      </c>
      <c r="F5880" s="26" t="s">
        <v>46</v>
      </c>
      <c r="G5880" s="26">
        <v>6.0</v>
      </c>
      <c r="H5880" s="117" t="s">
        <v>5849</v>
      </c>
      <c r="I5880" s="26" t="s">
        <v>883</v>
      </c>
      <c r="J5880" s="25" t="str">
        <f t="shared" si="64"/>
        <v>No</v>
      </c>
      <c r="K5880" s="25" t="str">
        <f t="shared" si="65"/>
        <v/>
      </c>
      <c r="L5880" s="25" t="str">
        <f t="shared" si="66"/>
        <v/>
      </c>
      <c r="M5880" s="25"/>
      <c r="O5880" s="25"/>
    </row>
    <row r="5881" ht="15.75" customHeight="1">
      <c r="A5881" s="25" t="str">
        <f>IFERROR(__xludf.DUMMYFUNCTION("IF(B5881="""","""",RIGHT(REGEXREPLACE(B5881&amp;"""",""[^0-9]"",""""),9))"),"723483616")</f>
        <v>723483616</v>
      </c>
      <c r="B5881" s="52">
        <v>7.23483616E8</v>
      </c>
      <c r="C5881" s="28" t="s">
        <v>5850</v>
      </c>
      <c r="D5881" s="26" t="s">
        <v>45</v>
      </c>
      <c r="E5881" s="31">
        <v>46239.0</v>
      </c>
      <c r="F5881" s="26" t="s">
        <v>205</v>
      </c>
      <c r="G5881" s="26">
        <v>6.0</v>
      </c>
      <c r="I5881" s="26" t="s">
        <v>883</v>
      </c>
      <c r="J5881" s="25" t="str">
        <f t="shared" si="64"/>
        <v>No</v>
      </c>
      <c r="K5881" s="25" t="str">
        <f t="shared" si="65"/>
        <v/>
      </c>
      <c r="L5881" s="25" t="str">
        <f t="shared" si="66"/>
        <v/>
      </c>
      <c r="M5881" s="25"/>
      <c r="O5881" s="25"/>
    </row>
    <row r="5882" ht="15.75" customHeight="1">
      <c r="A5882" s="25" t="str">
        <f>IFERROR(__xludf.DUMMYFUNCTION("IF(B5882="""","""",RIGHT(REGEXREPLACE(B5882&amp;"""",""[^0-9]"",""""),9))"),"716190607")</f>
        <v>716190607</v>
      </c>
      <c r="B5882" s="52">
        <v>7.16190607E8</v>
      </c>
      <c r="C5882" s="28" t="s">
        <v>5851</v>
      </c>
      <c r="D5882" s="26" t="s">
        <v>56</v>
      </c>
      <c r="E5882" s="31">
        <v>46239.0</v>
      </c>
      <c r="F5882" s="26" t="s">
        <v>46</v>
      </c>
      <c r="G5882" s="26">
        <v>7.0</v>
      </c>
      <c r="I5882" s="26" t="s">
        <v>883</v>
      </c>
      <c r="J5882" s="25" t="str">
        <f t="shared" si="64"/>
        <v>No</v>
      </c>
      <c r="K5882" s="25" t="str">
        <f t="shared" si="65"/>
        <v/>
      </c>
      <c r="L5882" s="25" t="str">
        <f t="shared" si="66"/>
        <v/>
      </c>
      <c r="M5882" s="25"/>
      <c r="O5882" s="25"/>
    </row>
    <row r="5883" ht="15.75" customHeight="1">
      <c r="A5883" s="25" t="str">
        <f>IFERROR(__xludf.DUMMYFUNCTION("IF(B5883="""","""",RIGHT(REGEXREPLACE(B5883&amp;"""",""[^0-9]"",""""),9))"),"762228948")</f>
        <v>762228948</v>
      </c>
      <c r="B5883" s="52">
        <v>7.62228948E8</v>
      </c>
      <c r="C5883" s="28" t="s">
        <v>5852</v>
      </c>
      <c r="D5883" s="26" t="s">
        <v>45</v>
      </c>
      <c r="E5883" s="31">
        <v>46239.0</v>
      </c>
      <c r="F5883" s="26" t="s">
        <v>46</v>
      </c>
      <c r="G5883" s="26">
        <v>6.0</v>
      </c>
      <c r="I5883" s="26" t="s">
        <v>883</v>
      </c>
      <c r="J5883" s="25" t="str">
        <f t="shared" si="64"/>
        <v>No</v>
      </c>
      <c r="K5883" s="25" t="str">
        <f t="shared" si="65"/>
        <v/>
      </c>
      <c r="L5883" s="25" t="str">
        <f t="shared" si="66"/>
        <v/>
      </c>
      <c r="M5883" s="25"/>
      <c r="O5883" s="26" t="s">
        <v>51</v>
      </c>
    </row>
    <row r="5884" ht="15.75" customHeight="1">
      <c r="A5884" s="25" t="str">
        <f>IFERROR(__xludf.DUMMYFUNCTION("IF(B5884="""","""",RIGHT(REGEXREPLACE(B5884&amp;"""",""[^0-9]"",""""),9))"),"712219149")</f>
        <v>712219149</v>
      </c>
      <c r="B5884" s="52">
        <v>7.12219149E8</v>
      </c>
      <c r="C5884" s="28" t="s">
        <v>5853</v>
      </c>
      <c r="D5884" s="26" t="s">
        <v>56</v>
      </c>
      <c r="E5884" s="31">
        <v>46239.0</v>
      </c>
      <c r="F5884" s="26" t="s">
        <v>205</v>
      </c>
      <c r="G5884" s="26">
        <v>8.0</v>
      </c>
      <c r="I5884" s="26" t="s">
        <v>883</v>
      </c>
      <c r="J5884" s="25" t="str">
        <f t="shared" si="64"/>
        <v>No</v>
      </c>
      <c r="K5884" s="25" t="str">
        <f t="shared" si="65"/>
        <v/>
      </c>
      <c r="L5884" s="25" t="str">
        <f t="shared" si="66"/>
        <v/>
      </c>
      <c r="M5884" s="25"/>
      <c r="O5884" s="25"/>
    </row>
    <row r="5885" ht="15.75" customHeight="1">
      <c r="A5885" s="25" t="str">
        <f>IFERROR(__xludf.DUMMYFUNCTION("IF(B5885="""","""",RIGHT(REGEXREPLACE(B5885&amp;"""",""[^0-9]"",""""),9))"),"712422395")</f>
        <v>712422395</v>
      </c>
      <c r="B5885" s="52">
        <v>7.12422395E8</v>
      </c>
      <c r="C5885" s="28" t="s">
        <v>5854</v>
      </c>
      <c r="D5885" s="26" t="s">
        <v>64</v>
      </c>
      <c r="E5885" s="31">
        <v>46239.0</v>
      </c>
      <c r="F5885" s="26" t="s">
        <v>46</v>
      </c>
      <c r="G5885" s="26">
        <v>7.0</v>
      </c>
      <c r="I5885" s="26" t="s">
        <v>883</v>
      </c>
      <c r="J5885" s="25" t="str">
        <f t="shared" si="64"/>
        <v>No</v>
      </c>
      <c r="K5885" s="25" t="str">
        <f t="shared" si="65"/>
        <v/>
      </c>
      <c r="L5885" s="25" t="str">
        <f t="shared" si="66"/>
        <v/>
      </c>
      <c r="M5885" s="25"/>
      <c r="O5885" s="25"/>
    </row>
    <row r="5886" ht="15.75" customHeight="1">
      <c r="A5886" s="25" t="str">
        <f>IFERROR(__xludf.DUMMYFUNCTION("IF(B5886="""","""",RIGHT(REGEXREPLACE(B5886&amp;"""",""[^0-9]"",""""),9))"),"774998751")</f>
        <v>774998751</v>
      </c>
      <c r="B5886" s="52">
        <v>7.74998751E8</v>
      </c>
      <c r="C5886" s="28" t="s">
        <v>687</v>
      </c>
      <c r="D5886" s="26" t="s">
        <v>56</v>
      </c>
      <c r="E5886" s="31">
        <v>46239.0</v>
      </c>
      <c r="F5886" s="26" t="s">
        <v>46</v>
      </c>
      <c r="G5886" s="26">
        <v>6.0</v>
      </c>
      <c r="H5886" s="26" t="s">
        <v>5855</v>
      </c>
      <c r="I5886" s="26" t="s">
        <v>883</v>
      </c>
      <c r="J5886" s="25" t="str">
        <f t="shared" si="64"/>
        <v>No</v>
      </c>
      <c r="K5886" s="25" t="str">
        <f t="shared" si="65"/>
        <v/>
      </c>
      <c r="L5886" s="25" t="str">
        <f t="shared" si="66"/>
        <v/>
      </c>
      <c r="M5886" s="25"/>
      <c r="O5886" s="25"/>
    </row>
    <row r="5887" ht="15.75" customHeight="1">
      <c r="A5887" s="25" t="str">
        <f>IFERROR(__xludf.DUMMYFUNCTION("IF(B5887="""","""",RIGHT(REGEXREPLACE(B5887&amp;"""",""[^0-9]"",""""),9))"),"777323023")</f>
        <v>777323023</v>
      </c>
      <c r="B5887" s="52">
        <v>7.77323023E8</v>
      </c>
      <c r="C5887" s="28" t="s">
        <v>5856</v>
      </c>
      <c r="D5887" s="26" t="s">
        <v>82</v>
      </c>
      <c r="E5887" s="31">
        <v>46239.0</v>
      </c>
      <c r="F5887" s="26" t="s">
        <v>125</v>
      </c>
      <c r="G5887" s="26">
        <v>8.0</v>
      </c>
      <c r="H5887" s="26" t="s">
        <v>5857</v>
      </c>
      <c r="I5887" s="26" t="s">
        <v>883</v>
      </c>
      <c r="J5887" s="25" t="str">
        <f t="shared" si="64"/>
        <v>No</v>
      </c>
      <c r="K5887" s="25" t="str">
        <f t="shared" si="65"/>
        <v/>
      </c>
      <c r="L5887" s="25" t="str">
        <f t="shared" si="66"/>
        <v/>
      </c>
      <c r="M5887" s="25"/>
      <c r="O5887" s="25"/>
    </row>
    <row r="5888" ht="15.75" customHeight="1">
      <c r="A5888" s="25" t="str">
        <f>IFERROR(__xludf.DUMMYFUNCTION("IF(B5888="""","""",RIGHT(REGEXREPLACE(B5888&amp;"""",""[^0-9]"",""""),9))"),"771121725")</f>
        <v>771121725</v>
      </c>
      <c r="B5888" s="52">
        <v>7.71121725E8</v>
      </c>
      <c r="C5888" s="28" t="s">
        <v>5858</v>
      </c>
      <c r="D5888" s="26" t="s">
        <v>49</v>
      </c>
      <c r="E5888" s="31">
        <v>46239.0</v>
      </c>
      <c r="F5888" s="26" t="s">
        <v>46</v>
      </c>
      <c r="G5888" s="26">
        <v>8.0</v>
      </c>
      <c r="H5888" s="117" t="s">
        <v>5859</v>
      </c>
      <c r="I5888" s="26" t="s">
        <v>883</v>
      </c>
      <c r="J5888" s="25" t="str">
        <f t="shared" si="64"/>
        <v>No</v>
      </c>
      <c r="K5888" s="25" t="str">
        <f t="shared" si="65"/>
        <v/>
      </c>
      <c r="L5888" s="25" t="str">
        <f t="shared" si="66"/>
        <v/>
      </c>
      <c r="M5888" s="25"/>
      <c r="O5888" s="25"/>
    </row>
    <row r="5889" ht="15.75" customHeight="1">
      <c r="A5889" s="25" t="str">
        <f>IFERROR(__xludf.DUMMYFUNCTION("IF(B5889="""","""",RIGHT(REGEXREPLACE(B5889&amp;"""",""[^0-9]"",""""),9))"),"773302613")</f>
        <v>773302613</v>
      </c>
      <c r="B5889" s="52">
        <v>7.73302613E8</v>
      </c>
      <c r="C5889" s="28" t="s">
        <v>5860</v>
      </c>
      <c r="D5889" s="26" t="s">
        <v>82</v>
      </c>
      <c r="E5889" s="31">
        <v>46239.0</v>
      </c>
      <c r="F5889" s="26" t="s">
        <v>125</v>
      </c>
      <c r="G5889" s="26">
        <v>10.0</v>
      </c>
      <c r="I5889" s="26" t="s">
        <v>883</v>
      </c>
      <c r="J5889" s="25" t="str">
        <f t="shared" si="64"/>
        <v>No</v>
      </c>
      <c r="K5889" s="25" t="str">
        <f t="shared" si="65"/>
        <v/>
      </c>
      <c r="L5889" s="25" t="str">
        <f t="shared" si="66"/>
        <v/>
      </c>
      <c r="M5889" s="25"/>
      <c r="O5889" s="25"/>
    </row>
    <row r="5890" ht="15.75" customHeight="1">
      <c r="A5890" s="25" t="str">
        <f>IFERROR(__xludf.DUMMYFUNCTION("IF(B5890="""","""",RIGHT(REGEXREPLACE(B5890&amp;"""",""[^0-9]"",""""),9))"),"761235577")</f>
        <v>761235577</v>
      </c>
      <c r="B5890" s="52">
        <v>7.61235577E8</v>
      </c>
      <c r="C5890" s="28" t="s">
        <v>5856</v>
      </c>
      <c r="D5890" s="26" t="s">
        <v>64</v>
      </c>
      <c r="E5890" s="31">
        <v>46239.0</v>
      </c>
      <c r="F5890" s="26" t="s">
        <v>46</v>
      </c>
      <c r="G5890" s="26">
        <v>7.0</v>
      </c>
      <c r="I5890" s="26" t="s">
        <v>883</v>
      </c>
      <c r="J5890" s="25" t="str">
        <f t="shared" si="64"/>
        <v>No</v>
      </c>
      <c r="K5890" s="25" t="str">
        <f t="shared" si="65"/>
        <v/>
      </c>
      <c r="L5890" s="25" t="str">
        <f t="shared" si="66"/>
        <v/>
      </c>
      <c r="M5890" s="25"/>
      <c r="O5890" s="25"/>
    </row>
    <row r="5891" ht="15.75" customHeight="1">
      <c r="A5891" s="25" t="str">
        <f>IFERROR(__xludf.DUMMYFUNCTION("IF(B5891="""","""",RIGHT(REGEXREPLACE(B5891&amp;"""",""[^0-9]"",""""),9))"),"775859802")</f>
        <v>775859802</v>
      </c>
      <c r="B5891" s="52">
        <v>7.75859802E8</v>
      </c>
      <c r="C5891" s="28" t="s">
        <v>5861</v>
      </c>
      <c r="D5891" s="26" t="s">
        <v>56</v>
      </c>
      <c r="E5891" s="31">
        <v>46239.0</v>
      </c>
      <c r="F5891" s="26" t="s">
        <v>46</v>
      </c>
      <c r="G5891" s="26">
        <v>10.0</v>
      </c>
      <c r="I5891" s="26" t="s">
        <v>883</v>
      </c>
      <c r="J5891" s="25" t="str">
        <f t="shared" si="64"/>
        <v>No</v>
      </c>
      <c r="K5891" s="25" t="str">
        <f t="shared" si="65"/>
        <v/>
      </c>
      <c r="L5891" s="25" t="str">
        <f t="shared" si="66"/>
        <v/>
      </c>
      <c r="M5891" s="25"/>
      <c r="O5891" s="25"/>
    </row>
    <row r="5892" ht="15.75" customHeight="1">
      <c r="A5892" s="25" t="str">
        <f>IFERROR(__xludf.DUMMYFUNCTION("IF(B5892="""","""",RIGHT(REGEXREPLACE(B5892&amp;"""",""[^0-9]"",""""),9))"),"769724299")</f>
        <v>769724299</v>
      </c>
      <c r="B5892" s="52">
        <v>7.69724299E8</v>
      </c>
      <c r="C5892" s="28" t="s">
        <v>5862</v>
      </c>
      <c r="D5892" s="26" t="s">
        <v>45</v>
      </c>
      <c r="E5892" s="31">
        <v>46239.0</v>
      </c>
      <c r="F5892" s="26" t="s">
        <v>41</v>
      </c>
      <c r="G5892" s="26">
        <v>6.0</v>
      </c>
      <c r="I5892" s="26" t="s">
        <v>883</v>
      </c>
      <c r="J5892" s="25" t="str">
        <f t="shared" si="64"/>
        <v>No</v>
      </c>
      <c r="K5892" s="25" t="str">
        <f t="shared" si="65"/>
        <v/>
      </c>
      <c r="L5892" s="25" t="str">
        <f t="shared" si="66"/>
        <v/>
      </c>
      <c r="M5892" s="25"/>
      <c r="O5892" s="25"/>
    </row>
    <row r="5893" ht="15.75" customHeight="1">
      <c r="A5893" s="25" t="str">
        <f>IFERROR(__xludf.DUMMYFUNCTION("IF(B5893="""","""",RIGHT(REGEXREPLACE(B5893&amp;"""",""[^0-9]"",""""),9))"),"770416012")</f>
        <v>770416012</v>
      </c>
      <c r="B5893" s="52">
        <v>7.70416012E8</v>
      </c>
      <c r="C5893" s="28" t="s">
        <v>5863</v>
      </c>
      <c r="D5893" s="26" t="s">
        <v>82</v>
      </c>
      <c r="E5893" s="31">
        <v>46239.0</v>
      </c>
      <c r="F5893" s="26" t="s">
        <v>41</v>
      </c>
      <c r="I5893" s="26" t="s">
        <v>883</v>
      </c>
      <c r="J5893" s="25" t="str">
        <f t="shared" si="64"/>
        <v>No</v>
      </c>
      <c r="K5893" s="25" t="str">
        <f t="shared" si="65"/>
        <v/>
      </c>
      <c r="L5893" s="25" t="str">
        <f t="shared" si="66"/>
        <v/>
      </c>
      <c r="M5893" s="25"/>
      <c r="O5893" s="25"/>
    </row>
    <row r="5894" ht="15.75" customHeight="1">
      <c r="A5894" s="25" t="str">
        <f>IFERROR(__xludf.DUMMYFUNCTION("IF(B5894="""","""",RIGHT(REGEXREPLACE(B5894&amp;"""",""[^0-9]"",""""),9))"),"711173065")</f>
        <v>711173065</v>
      </c>
      <c r="B5894" s="52">
        <v>7.11173065E8</v>
      </c>
      <c r="C5894" s="28" t="s">
        <v>5864</v>
      </c>
      <c r="D5894" s="26" t="s">
        <v>64</v>
      </c>
      <c r="E5894" s="31">
        <v>46239.0</v>
      </c>
      <c r="F5894" s="26" t="s">
        <v>46</v>
      </c>
      <c r="G5894" s="26">
        <v>6.0</v>
      </c>
      <c r="H5894" s="26" t="s">
        <v>862</v>
      </c>
      <c r="I5894" s="26" t="s">
        <v>883</v>
      </c>
      <c r="J5894" s="25" t="str">
        <f t="shared" si="64"/>
        <v>No</v>
      </c>
      <c r="K5894" s="25" t="str">
        <f t="shared" si="65"/>
        <v/>
      </c>
      <c r="L5894" s="25" t="str">
        <f t="shared" si="66"/>
        <v/>
      </c>
      <c r="M5894" s="25"/>
      <c r="O5894" s="25"/>
    </row>
    <row r="5895" ht="15.75" customHeight="1">
      <c r="A5895" s="25" t="str">
        <f>IFERROR(__xludf.DUMMYFUNCTION("IF(B5895="""","""",RIGHT(REGEXREPLACE(B5895&amp;"""",""[^0-9]"",""""),9))"),"761565583")</f>
        <v>761565583</v>
      </c>
      <c r="B5895" s="52">
        <v>7.61565583E8</v>
      </c>
      <c r="C5895" s="28" t="s">
        <v>5865</v>
      </c>
      <c r="D5895" s="26" t="s">
        <v>45</v>
      </c>
      <c r="E5895" s="31">
        <v>46239.0</v>
      </c>
      <c r="F5895" s="26" t="s">
        <v>46</v>
      </c>
      <c r="G5895" s="26">
        <v>7.0</v>
      </c>
      <c r="H5895" s="26" t="s">
        <v>720</v>
      </c>
      <c r="I5895" s="26" t="s">
        <v>883</v>
      </c>
      <c r="J5895" s="25" t="str">
        <f t="shared" si="64"/>
        <v>No</v>
      </c>
      <c r="K5895" s="25" t="str">
        <f t="shared" si="65"/>
        <v/>
      </c>
      <c r="L5895" s="25" t="str">
        <f t="shared" si="66"/>
        <v/>
      </c>
      <c r="M5895" s="25"/>
      <c r="O5895" s="25"/>
    </row>
    <row r="5896" ht="15.75" customHeight="1">
      <c r="A5896" s="25" t="str">
        <f>IFERROR(__xludf.DUMMYFUNCTION("IF(B5896="""","""",RIGHT(REGEXREPLACE(B5896&amp;"""",""[^0-9]"",""""),9))"),"777633545")</f>
        <v>777633545</v>
      </c>
      <c r="B5896" s="52">
        <v>7.77633545E8</v>
      </c>
      <c r="C5896" s="28" t="s">
        <v>5866</v>
      </c>
      <c r="D5896" s="26" t="s">
        <v>56</v>
      </c>
      <c r="E5896" s="31">
        <v>46239.0</v>
      </c>
      <c r="F5896" s="26" t="s">
        <v>46</v>
      </c>
      <c r="G5896" s="26">
        <v>7.0</v>
      </c>
      <c r="I5896" s="26" t="s">
        <v>883</v>
      </c>
      <c r="J5896" s="25" t="str">
        <f t="shared" si="64"/>
        <v>No</v>
      </c>
      <c r="K5896" s="25" t="str">
        <f t="shared" si="65"/>
        <v/>
      </c>
      <c r="L5896" s="25" t="str">
        <f t="shared" si="66"/>
        <v/>
      </c>
      <c r="M5896" s="25"/>
      <c r="O5896" s="25"/>
    </row>
    <row r="5897" ht="15.75" customHeight="1">
      <c r="A5897" s="25" t="str">
        <f>IFERROR(__xludf.DUMMYFUNCTION("IF(B5897="""","""",RIGHT(REGEXREPLACE(B5897&amp;"""",""[^0-9]"",""""),9))"),"761216328")</f>
        <v>761216328</v>
      </c>
      <c r="B5897" s="52">
        <v>7.61216328E8</v>
      </c>
      <c r="C5897" s="28" t="s">
        <v>5867</v>
      </c>
      <c r="D5897" s="26" t="s">
        <v>64</v>
      </c>
      <c r="E5897" s="31">
        <v>46239.0</v>
      </c>
      <c r="F5897" s="26" t="s">
        <v>205</v>
      </c>
      <c r="G5897" s="26">
        <v>6.0</v>
      </c>
      <c r="I5897" s="26" t="s">
        <v>883</v>
      </c>
      <c r="J5897" s="25" t="str">
        <f t="shared" si="64"/>
        <v>No</v>
      </c>
      <c r="K5897" s="25" t="str">
        <f t="shared" si="65"/>
        <v/>
      </c>
      <c r="L5897" s="25" t="str">
        <f t="shared" si="66"/>
        <v/>
      </c>
      <c r="M5897" s="25"/>
      <c r="O5897" s="25"/>
    </row>
    <row r="5898" ht="15.75" customHeight="1">
      <c r="A5898" s="25" t="str">
        <f>IFERROR(__xludf.DUMMYFUNCTION("IF(B5898="""","""",RIGHT(REGEXREPLACE(B5898&amp;"""",""[^0-9]"",""""),9))"),"770416012")</f>
        <v>770416012</v>
      </c>
      <c r="B5898" s="52">
        <v>7.70416012E8</v>
      </c>
      <c r="C5898" s="28" t="s">
        <v>5863</v>
      </c>
      <c r="D5898" s="26" t="s">
        <v>45</v>
      </c>
      <c r="E5898" s="31">
        <v>46239.0</v>
      </c>
      <c r="F5898" s="26" t="s">
        <v>41</v>
      </c>
      <c r="I5898" s="26" t="s">
        <v>883</v>
      </c>
      <c r="J5898" s="25" t="str">
        <f t="shared" si="64"/>
        <v>Yes - see Previous F-Code</v>
      </c>
      <c r="K5898" s="25" t="str">
        <f t="shared" si="65"/>
        <v>DUPLICATE - CHECK</v>
      </c>
      <c r="L5898" s="25" t="str">
        <f t="shared" si="66"/>
        <v>F75297</v>
      </c>
      <c r="M5898" s="25"/>
      <c r="O5898" s="25"/>
    </row>
    <row r="5899" ht="15.75" customHeight="1">
      <c r="A5899" s="25" t="str">
        <f>IFERROR(__xludf.DUMMYFUNCTION("IF(B5899="""","""",RIGHT(REGEXREPLACE(B5899&amp;"""",""[^0-9]"",""""),9))"),"713935300")</f>
        <v>713935300</v>
      </c>
      <c r="B5899" s="52">
        <v>7.139353E8</v>
      </c>
      <c r="C5899" s="28" t="s">
        <v>5868</v>
      </c>
      <c r="D5899" s="26" t="s">
        <v>56</v>
      </c>
      <c r="E5899" s="31">
        <v>46239.0</v>
      </c>
      <c r="F5899" s="26" t="s">
        <v>41</v>
      </c>
      <c r="I5899" s="26" t="s">
        <v>883</v>
      </c>
      <c r="J5899" s="25" t="str">
        <f t="shared" si="64"/>
        <v>No</v>
      </c>
      <c r="K5899" s="25" t="str">
        <f t="shared" si="65"/>
        <v/>
      </c>
      <c r="L5899" s="25" t="str">
        <f t="shared" si="66"/>
        <v/>
      </c>
      <c r="M5899" s="25"/>
      <c r="O5899" s="25"/>
    </row>
    <row r="5900" ht="15.75" customHeight="1">
      <c r="A5900" s="25" t="str">
        <f>IFERROR(__xludf.DUMMYFUNCTION("IF(B5900="""","""",RIGHT(REGEXREPLACE(B5900&amp;"""",""[^0-9]"",""""),9))"),"773734963")</f>
        <v>773734963</v>
      </c>
      <c r="B5900" s="52">
        <v>7.73734963E8</v>
      </c>
      <c r="C5900" s="28" t="s">
        <v>5869</v>
      </c>
      <c r="D5900" s="26" t="s">
        <v>45</v>
      </c>
      <c r="E5900" s="31">
        <v>46239.0</v>
      </c>
      <c r="F5900" s="26" t="s">
        <v>46</v>
      </c>
      <c r="G5900" s="26">
        <v>6.0</v>
      </c>
      <c r="I5900" s="26" t="s">
        <v>883</v>
      </c>
      <c r="J5900" s="25" t="str">
        <f t="shared" si="64"/>
        <v>No</v>
      </c>
      <c r="K5900" s="25" t="str">
        <f t="shared" si="65"/>
        <v/>
      </c>
      <c r="L5900" s="25" t="str">
        <f t="shared" si="66"/>
        <v/>
      </c>
      <c r="M5900" s="25"/>
      <c r="O5900" s="26" t="s">
        <v>51</v>
      </c>
    </row>
    <row r="5901" ht="15.75" customHeight="1">
      <c r="A5901" s="25" t="str">
        <f>IFERROR(__xludf.DUMMYFUNCTION("IF(B5901="""","""",RIGHT(REGEXREPLACE(B5901&amp;"""",""[^0-9]"",""""),9))"),"761253112")</f>
        <v>761253112</v>
      </c>
      <c r="B5901" s="52">
        <v>7.61253112E8</v>
      </c>
      <c r="C5901" s="28" t="s">
        <v>5870</v>
      </c>
      <c r="D5901" s="26" t="s">
        <v>56</v>
      </c>
      <c r="E5901" s="31">
        <v>46239.0</v>
      </c>
      <c r="F5901" s="26" t="s">
        <v>46</v>
      </c>
      <c r="G5901" s="26" t="s">
        <v>4011</v>
      </c>
      <c r="I5901" s="26" t="s">
        <v>883</v>
      </c>
      <c r="J5901" s="25" t="str">
        <f t="shared" si="64"/>
        <v>No</v>
      </c>
      <c r="K5901" s="25" t="str">
        <f t="shared" si="65"/>
        <v/>
      </c>
      <c r="L5901" s="25" t="str">
        <f t="shared" si="66"/>
        <v/>
      </c>
      <c r="M5901" s="25"/>
      <c r="O5901" s="25"/>
    </row>
    <row r="5902" ht="15.75" customHeight="1">
      <c r="A5902" s="25" t="str">
        <f>IFERROR(__xludf.DUMMYFUNCTION("IF(B5902="""","""",RIGHT(REGEXREPLACE(B5902&amp;"""",""[^0-9]"",""""),9))"),"767165754")</f>
        <v>767165754</v>
      </c>
      <c r="B5902" s="52">
        <v>7.67165754E8</v>
      </c>
      <c r="C5902" s="28" t="s">
        <v>5871</v>
      </c>
      <c r="D5902" s="26" t="s">
        <v>64</v>
      </c>
      <c r="E5902" s="31">
        <v>46239.0</v>
      </c>
      <c r="F5902" s="26" t="s">
        <v>46</v>
      </c>
      <c r="G5902" s="26">
        <v>8.0</v>
      </c>
      <c r="I5902" s="26" t="s">
        <v>883</v>
      </c>
      <c r="J5902" s="25" t="str">
        <f t="shared" si="64"/>
        <v>No</v>
      </c>
      <c r="K5902" s="25" t="str">
        <f t="shared" si="65"/>
        <v/>
      </c>
      <c r="L5902" s="25" t="str">
        <f t="shared" si="66"/>
        <v/>
      </c>
      <c r="M5902" s="25"/>
      <c r="O5902" s="25"/>
    </row>
    <row r="5903" ht="15.75" customHeight="1">
      <c r="A5903" s="25" t="str">
        <f>IFERROR(__xludf.DUMMYFUNCTION("IF(B5903="""","""",RIGHT(REGEXREPLACE(B5903&amp;"""",""[^0-9]"",""""),9))"),"774462715")</f>
        <v>774462715</v>
      </c>
      <c r="B5903" s="52">
        <v>7.74462715E8</v>
      </c>
      <c r="C5903" s="28" t="s">
        <v>5872</v>
      </c>
      <c r="D5903" s="26" t="s">
        <v>82</v>
      </c>
      <c r="E5903" s="31">
        <v>46239.0</v>
      </c>
      <c r="F5903" s="26" t="s">
        <v>46</v>
      </c>
      <c r="G5903" s="26">
        <v>7.0</v>
      </c>
      <c r="I5903" s="26" t="s">
        <v>883</v>
      </c>
      <c r="J5903" s="25" t="str">
        <f t="shared" si="64"/>
        <v>No</v>
      </c>
      <c r="K5903" s="25" t="str">
        <f t="shared" si="65"/>
        <v/>
      </c>
      <c r="L5903" s="25" t="str">
        <f t="shared" si="66"/>
        <v/>
      </c>
      <c r="M5903" s="25"/>
      <c r="O5903" s="26" t="s">
        <v>51</v>
      </c>
    </row>
    <row r="5904" ht="15.75" customHeight="1">
      <c r="A5904" s="25" t="str">
        <f>IFERROR(__xludf.DUMMYFUNCTION("IF(B5904="""","""",RIGHT(REGEXREPLACE(B5904&amp;"""",""[^0-9]"",""""),9))"),"703984782")</f>
        <v>703984782</v>
      </c>
      <c r="B5904" s="52">
        <v>7.03984782E8</v>
      </c>
      <c r="C5904" s="28" t="s">
        <v>5873</v>
      </c>
      <c r="D5904" s="26" t="s">
        <v>45</v>
      </c>
      <c r="E5904" s="31">
        <v>46239.0</v>
      </c>
      <c r="F5904" s="26" t="s">
        <v>46</v>
      </c>
      <c r="G5904" s="26">
        <v>7.0</v>
      </c>
      <c r="I5904" s="26" t="s">
        <v>883</v>
      </c>
      <c r="J5904" s="25" t="str">
        <f t="shared" si="64"/>
        <v>No</v>
      </c>
      <c r="K5904" s="25" t="str">
        <f t="shared" si="65"/>
        <v/>
      </c>
      <c r="L5904" s="25" t="str">
        <f t="shared" si="66"/>
        <v/>
      </c>
      <c r="M5904" s="25"/>
      <c r="O5904" s="25"/>
    </row>
    <row r="5905" ht="15.75" customHeight="1">
      <c r="A5905" s="25" t="str">
        <f>IFERROR(__xludf.DUMMYFUNCTION("IF(B5905="""","""",RIGHT(REGEXREPLACE(B5905&amp;"""",""[^0-9]"",""""),9))"),"774587134")</f>
        <v>774587134</v>
      </c>
      <c r="B5905" s="52">
        <v>7.74587134E8</v>
      </c>
      <c r="C5905" s="28" t="s">
        <v>5874</v>
      </c>
      <c r="D5905" s="26" t="s">
        <v>56</v>
      </c>
      <c r="E5905" s="31">
        <v>46239.0</v>
      </c>
      <c r="F5905" s="26" t="s">
        <v>46</v>
      </c>
      <c r="G5905" s="26">
        <v>7.0</v>
      </c>
      <c r="I5905" s="26" t="s">
        <v>883</v>
      </c>
      <c r="J5905" s="25" t="str">
        <f t="shared" si="64"/>
        <v>No</v>
      </c>
      <c r="K5905" s="25" t="str">
        <f t="shared" si="65"/>
        <v/>
      </c>
      <c r="L5905" s="25" t="str">
        <f t="shared" si="66"/>
        <v/>
      </c>
      <c r="M5905" s="25"/>
      <c r="O5905" s="25"/>
    </row>
    <row r="5906" ht="15.75" customHeight="1">
      <c r="A5906" s="25" t="str">
        <f>IFERROR(__xludf.DUMMYFUNCTION("IF(B5906="""","""",RIGHT(REGEXREPLACE(B5906&amp;"""",""[^0-9]"",""""),9))"),"719700679")</f>
        <v>719700679</v>
      </c>
      <c r="B5906" s="52">
        <v>4.719700679E9</v>
      </c>
      <c r="C5906" s="28" t="s">
        <v>5875</v>
      </c>
      <c r="D5906" s="26" t="s">
        <v>64</v>
      </c>
      <c r="E5906" s="31">
        <v>46239.0</v>
      </c>
      <c r="F5906" s="26" t="s">
        <v>46</v>
      </c>
      <c r="G5906" s="26">
        <v>9.0</v>
      </c>
      <c r="I5906" s="26" t="s">
        <v>883</v>
      </c>
      <c r="J5906" s="25" t="str">
        <f t="shared" si="64"/>
        <v>No</v>
      </c>
      <c r="K5906" s="25" t="str">
        <f t="shared" si="65"/>
        <v/>
      </c>
      <c r="L5906" s="25" t="str">
        <f t="shared" si="66"/>
        <v/>
      </c>
      <c r="M5906" s="25"/>
      <c r="O5906" s="26" t="s">
        <v>51</v>
      </c>
    </row>
    <row r="5907" ht="15.75" customHeight="1">
      <c r="A5907" s="25" t="str">
        <f>IFERROR(__xludf.DUMMYFUNCTION("IF(B5907="""","""",RIGHT(REGEXREPLACE(B5907&amp;"""",""[^0-9]"",""""),9))"),"715364737")</f>
        <v>715364737</v>
      </c>
      <c r="B5907" s="52">
        <v>7.15364737E8</v>
      </c>
      <c r="C5907" s="28" t="s">
        <v>5876</v>
      </c>
      <c r="D5907" s="26" t="s">
        <v>56</v>
      </c>
      <c r="E5907" s="31">
        <v>46239.0</v>
      </c>
      <c r="F5907" s="26" t="s">
        <v>41</v>
      </c>
      <c r="I5907" s="26" t="s">
        <v>883</v>
      </c>
      <c r="J5907" s="25" t="str">
        <f t="shared" si="64"/>
        <v>No</v>
      </c>
      <c r="K5907" s="25" t="str">
        <f t="shared" si="65"/>
        <v/>
      </c>
      <c r="L5907" s="25" t="str">
        <f t="shared" si="66"/>
        <v/>
      </c>
      <c r="M5907" s="25"/>
      <c r="O5907" s="25"/>
    </row>
    <row r="5908" ht="15.75" customHeight="1">
      <c r="A5908" s="25" t="str">
        <f>IFERROR(__xludf.DUMMYFUNCTION("IF(B5908="""","""",RIGHT(REGEXREPLACE(B5908&amp;"""",""[^0-9]"",""""),9))"),"706933867")</f>
        <v>706933867</v>
      </c>
      <c r="B5908" s="52">
        <v>7.06933867E8</v>
      </c>
      <c r="C5908" s="28" t="s">
        <v>5877</v>
      </c>
      <c r="D5908" s="26" t="s">
        <v>49</v>
      </c>
      <c r="E5908" s="31">
        <v>46239.0</v>
      </c>
      <c r="F5908" s="26" t="s">
        <v>205</v>
      </c>
      <c r="G5908" s="26">
        <v>7.0</v>
      </c>
      <c r="I5908" s="26" t="s">
        <v>883</v>
      </c>
      <c r="J5908" s="25" t="str">
        <f t="shared" si="64"/>
        <v>No</v>
      </c>
      <c r="K5908" s="25" t="str">
        <f t="shared" si="65"/>
        <v/>
      </c>
      <c r="L5908" s="25" t="str">
        <f t="shared" si="66"/>
        <v/>
      </c>
      <c r="M5908" s="25"/>
      <c r="O5908" s="26" t="s">
        <v>51</v>
      </c>
    </row>
    <row r="5909" ht="15.75" customHeight="1">
      <c r="A5909" s="25" t="str">
        <f>IFERROR(__xludf.DUMMYFUNCTION("IF(B5909="""","""",RIGHT(REGEXREPLACE(B5909&amp;"""",""[^0-9]"",""""),9))"),"762909822")</f>
        <v>762909822</v>
      </c>
      <c r="B5909" s="52">
        <v>7.62909822E8</v>
      </c>
      <c r="C5909" s="28" t="s">
        <v>5878</v>
      </c>
      <c r="D5909" s="26" t="s">
        <v>82</v>
      </c>
      <c r="E5909" s="31">
        <v>46239.0</v>
      </c>
      <c r="F5909" s="26" t="s">
        <v>46</v>
      </c>
      <c r="G5909" s="26">
        <v>7.0</v>
      </c>
      <c r="I5909" s="26" t="s">
        <v>883</v>
      </c>
      <c r="J5909" s="25" t="str">
        <f t="shared" si="64"/>
        <v>No</v>
      </c>
      <c r="K5909" s="25" t="str">
        <f t="shared" si="65"/>
        <v/>
      </c>
      <c r="L5909" s="25" t="str">
        <f t="shared" si="66"/>
        <v/>
      </c>
      <c r="M5909" s="25"/>
      <c r="O5909" s="26" t="s">
        <v>51</v>
      </c>
    </row>
    <row r="5910" ht="15.75" customHeight="1">
      <c r="A5910" s="25" t="str">
        <f>IFERROR(__xludf.DUMMYFUNCTION("IF(B5910="""","""",RIGHT(REGEXREPLACE(B5910&amp;"""",""[^0-9]"",""""),9))"),"778345206")</f>
        <v>778345206</v>
      </c>
      <c r="B5910" s="52">
        <v>7.78345206E8</v>
      </c>
      <c r="C5910" s="28" t="s">
        <v>5879</v>
      </c>
      <c r="D5910" s="26" t="s">
        <v>64</v>
      </c>
      <c r="E5910" s="31">
        <v>46239.0</v>
      </c>
      <c r="F5910" s="26" t="s">
        <v>46</v>
      </c>
      <c r="G5910" s="26">
        <v>7.0</v>
      </c>
      <c r="H5910" s="26" t="s">
        <v>918</v>
      </c>
      <c r="I5910" s="26" t="s">
        <v>883</v>
      </c>
      <c r="J5910" s="25" t="str">
        <f t="shared" si="64"/>
        <v>No</v>
      </c>
      <c r="K5910" s="25" t="str">
        <f t="shared" si="65"/>
        <v/>
      </c>
      <c r="L5910" s="25" t="str">
        <f t="shared" si="66"/>
        <v/>
      </c>
      <c r="M5910" s="25"/>
      <c r="O5910" s="25"/>
    </row>
    <row r="5911" ht="15.75" customHeight="1">
      <c r="A5911" s="25" t="str">
        <f>IFERROR(__xludf.DUMMYFUNCTION("IF(B5911="""","""",RIGHT(REGEXREPLACE(B5911&amp;"""",""[^0-9]"",""""),9))"),"770663035")</f>
        <v>770663035</v>
      </c>
      <c r="B5911" s="52">
        <v>7.70663035E8</v>
      </c>
      <c r="C5911" s="28" t="s">
        <v>5880</v>
      </c>
      <c r="D5911" s="26" t="s">
        <v>56</v>
      </c>
      <c r="E5911" s="31">
        <v>46239.0</v>
      </c>
      <c r="F5911" s="26" t="s">
        <v>46</v>
      </c>
      <c r="G5911" s="26">
        <v>9.0</v>
      </c>
      <c r="I5911" s="26" t="s">
        <v>883</v>
      </c>
      <c r="J5911" s="25" t="str">
        <f t="shared" si="64"/>
        <v>No</v>
      </c>
      <c r="K5911" s="25" t="str">
        <f t="shared" si="65"/>
        <v/>
      </c>
      <c r="L5911" s="25" t="str">
        <f t="shared" si="66"/>
        <v/>
      </c>
      <c r="M5911" s="25"/>
      <c r="O5911" s="25"/>
    </row>
    <row r="5912" ht="15.75" customHeight="1">
      <c r="A5912" s="25" t="str">
        <f>IFERROR(__xludf.DUMMYFUNCTION("IF(B5912="""","""",RIGHT(REGEXREPLACE(B5912&amp;"""",""[^0-9]"",""""),9))"),"769228197")</f>
        <v>769228197</v>
      </c>
      <c r="B5912" s="52">
        <v>7.69228197E8</v>
      </c>
      <c r="C5912" s="28" t="s">
        <v>5881</v>
      </c>
      <c r="D5912" s="26" t="s">
        <v>49</v>
      </c>
      <c r="E5912" s="31">
        <v>46239.0</v>
      </c>
      <c r="F5912" s="26" t="s">
        <v>46</v>
      </c>
      <c r="G5912" s="26">
        <v>8.0</v>
      </c>
      <c r="H5912" s="26" t="s">
        <v>5882</v>
      </c>
      <c r="I5912" s="26" t="s">
        <v>883</v>
      </c>
      <c r="J5912" s="25" t="str">
        <f t="shared" si="64"/>
        <v>No</v>
      </c>
      <c r="K5912" s="25" t="str">
        <f t="shared" si="65"/>
        <v/>
      </c>
      <c r="L5912" s="25" t="str">
        <f t="shared" si="66"/>
        <v/>
      </c>
      <c r="M5912" s="25"/>
      <c r="O5912" s="25"/>
    </row>
    <row r="5913" ht="15.75" customHeight="1">
      <c r="A5913" s="25" t="str">
        <f>IFERROR(__xludf.DUMMYFUNCTION("IF(B5913="""","""",RIGHT(REGEXREPLACE(B5913&amp;"""",""[^0-9]"",""""),9))"),"720197840")</f>
        <v>720197840</v>
      </c>
      <c r="B5913" s="52">
        <v>7.2019784E8</v>
      </c>
      <c r="C5913" s="28" t="s">
        <v>5883</v>
      </c>
      <c r="D5913" s="26" t="s">
        <v>45</v>
      </c>
      <c r="E5913" s="31">
        <v>46239.0</v>
      </c>
      <c r="F5913" s="26" t="s">
        <v>46</v>
      </c>
      <c r="G5913" s="26">
        <v>7.0</v>
      </c>
      <c r="I5913" s="26" t="s">
        <v>883</v>
      </c>
      <c r="J5913" s="25" t="str">
        <f t="shared" si="64"/>
        <v>No</v>
      </c>
      <c r="K5913" s="25" t="str">
        <f t="shared" si="65"/>
        <v/>
      </c>
      <c r="L5913" s="25" t="str">
        <f t="shared" si="66"/>
        <v/>
      </c>
      <c r="M5913" s="25"/>
      <c r="O5913" s="25"/>
    </row>
    <row r="5914" ht="15.75" customHeight="1">
      <c r="A5914" s="25" t="str">
        <f>IFERROR(__xludf.DUMMYFUNCTION("IF(B5914="""","""",RIGHT(REGEXREPLACE(B5914&amp;"""",""[^0-9]"",""""),9))"),"774566090")</f>
        <v>774566090</v>
      </c>
      <c r="B5914" s="52">
        <v>7.7456609E8</v>
      </c>
      <c r="C5914" s="28" t="s">
        <v>5884</v>
      </c>
      <c r="D5914" s="26" t="s">
        <v>82</v>
      </c>
      <c r="E5914" s="31">
        <v>46239.0</v>
      </c>
      <c r="F5914" s="26" t="s">
        <v>41</v>
      </c>
      <c r="G5914" s="26">
        <v>8.0</v>
      </c>
      <c r="I5914" s="26" t="s">
        <v>883</v>
      </c>
      <c r="J5914" s="25" t="str">
        <f t="shared" si="64"/>
        <v>No</v>
      </c>
      <c r="K5914" s="25" t="str">
        <f t="shared" si="65"/>
        <v/>
      </c>
      <c r="L5914" s="25" t="str">
        <f t="shared" si="66"/>
        <v/>
      </c>
      <c r="M5914" s="25"/>
      <c r="O5914" s="25"/>
    </row>
    <row r="5915" ht="15.75" customHeight="1">
      <c r="A5915" s="25" t="str">
        <f>IFERROR(__xludf.DUMMYFUNCTION("IF(B5915="""","""",RIGHT(REGEXREPLACE(B5915&amp;"""",""[^0-9]"",""""),9))"),"742273542")</f>
        <v>742273542</v>
      </c>
      <c r="B5915" s="52">
        <v>7.42273542E8</v>
      </c>
      <c r="C5915" s="28" t="s">
        <v>5885</v>
      </c>
      <c r="D5915" s="26" t="s">
        <v>82</v>
      </c>
      <c r="E5915" s="31">
        <v>46239.0</v>
      </c>
      <c r="F5915" s="26" t="s">
        <v>125</v>
      </c>
      <c r="G5915" s="26">
        <v>7.0</v>
      </c>
      <c r="H5915" s="26" t="s">
        <v>5886</v>
      </c>
      <c r="I5915" s="26" t="s">
        <v>883</v>
      </c>
      <c r="J5915" s="25" t="str">
        <f t="shared" si="64"/>
        <v>No</v>
      </c>
      <c r="K5915" s="25" t="str">
        <f t="shared" si="65"/>
        <v/>
      </c>
      <c r="L5915" s="25" t="str">
        <f t="shared" si="66"/>
        <v/>
      </c>
      <c r="M5915" s="25"/>
      <c r="O5915" s="25"/>
    </row>
    <row r="5916" ht="15.75" customHeight="1">
      <c r="A5916" s="25" t="str">
        <f>IFERROR(__xludf.DUMMYFUNCTION("IF(B5916="""","""",RIGHT(REGEXREPLACE(B5916&amp;"""",""[^0-9]"",""""),9))"),"775162151")</f>
        <v>775162151</v>
      </c>
      <c r="B5916" s="52">
        <v>7.75162151E8</v>
      </c>
      <c r="C5916" s="28" t="s">
        <v>5887</v>
      </c>
      <c r="D5916" s="26" t="s">
        <v>56</v>
      </c>
      <c r="E5916" s="31">
        <v>46239.0</v>
      </c>
      <c r="F5916" s="26" t="s">
        <v>46</v>
      </c>
      <c r="G5916" s="26">
        <v>7.0</v>
      </c>
      <c r="I5916" s="26" t="s">
        <v>883</v>
      </c>
      <c r="J5916" s="25" t="str">
        <f t="shared" si="64"/>
        <v>No</v>
      </c>
      <c r="K5916" s="25" t="str">
        <f t="shared" si="65"/>
        <v/>
      </c>
      <c r="L5916" s="25" t="str">
        <f t="shared" si="66"/>
        <v/>
      </c>
      <c r="M5916" s="25"/>
      <c r="O5916" s="25"/>
    </row>
    <row r="5917" ht="15.75" customHeight="1">
      <c r="A5917" s="25" t="str">
        <f>IFERROR(__xludf.DUMMYFUNCTION("IF(B5917="""","""",RIGHT(REGEXREPLACE(B5917&amp;"""",""[^0-9]"",""""),9))"),"766557130")</f>
        <v>766557130</v>
      </c>
      <c r="B5917" s="52">
        <v>7.6655713E8</v>
      </c>
      <c r="C5917" s="28" t="s">
        <v>5888</v>
      </c>
      <c r="D5917" s="26" t="s">
        <v>64</v>
      </c>
      <c r="E5917" s="31">
        <v>46239.0</v>
      </c>
      <c r="F5917" s="26" t="s">
        <v>41</v>
      </c>
      <c r="G5917" s="26">
        <v>9.0</v>
      </c>
      <c r="I5917" s="26" t="s">
        <v>883</v>
      </c>
      <c r="J5917" s="25" t="str">
        <f t="shared" si="64"/>
        <v>No</v>
      </c>
      <c r="K5917" s="25" t="str">
        <f t="shared" si="65"/>
        <v/>
      </c>
      <c r="L5917" s="25" t="str">
        <f t="shared" si="66"/>
        <v/>
      </c>
      <c r="M5917" s="25"/>
      <c r="O5917" s="25"/>
    </row>
    <row r="5918" ht="15.75" customHeight="1">
      <c r="A5918" s="25" t="str">
        <f>IFERROR(__xludf.DUMMYFUNCTION("IF(B5918="""","""",RIGHT(REGEXREPLACE(B5918&amp;"""",""[^0-9]"",""""),9))"),"713164673")</f>
        <v>713164673</v>
      </c>
      <c r="B5918" s="52">
        <v>7.13164673E8</v>
      </c>
      <c r="C5918" s="28" t="s">
        <v>5889</v>
      </c>
      <c r="D5918" s="26" t="s">
        <v>64</v>
      </c>
      <c r="E5918" s="31">
        <v>46239.0</v>
      </c>
      <c r="F5918" s="26" t="s">
        <v>46</v>
      </c>
      <c r="G5918" s="26">
        <v>7.0</v>
      </c>
      <c r="H5918" s="26" t="s">
        <v>78</v>
      </c>
      <c r="I5918" s="26" t="s">
        <v>883</v>
      </c>
      <c r="J5918" s="25" t="str">
        <f t="shared" si="64"/>
        <v>No</v>
      </c>
      <c r="K5918" s="25" t="str">
        <f t="shared" si="65"/>
        <v/>
      </c>
      <c r="L5918" s="25" t="str">
        <f t="shared" si="66"/>
        <v/>
      </c>
      <c r="M5918" s="25"/>
      <c r="O5918" s="25"/>
    </row>
    <row r="5919" ht="15.75" customHeight="1">
      <c r="A5919" s="25" t="str">
        <f>IFERROR(__xludf.DUMMYFUNCTION("IF(B5919="""","""",RIGHT(REGEXREPLACE(B5919&amp;"""",""[^0-9]"",""""),9))"),"765233057")</f>
        <v>765233057</v>
      </c>
      <c r="B5919" s="52">
        <v>7.65233057E8</v>
      </c>
      <c r="C5919" s="28" t="s">
        <v>5890</v>
      </c>
      <c r="D5919" s="26" t="s">
        <v>45</v>
      </c>
      <c r="E5919" s="31">
        <v>46239.0</v>
      </c>
      <c r="F5919" s="26" t="s">
        <v>41</v>
      </c>
      <c r="G5919" s="26">
        <v>8.0</v>
      </c>
      <c r="I5919" s="26" t="s">
        <v>883</v>
      </c>
      <c r="J5919" s="25" t="str">
        <f t="shared" si="64"/>
        <v>No</v>
      </c>
      <c r="K5919" s="25" t="str">
        <f t="shared" si="65"/>
        <v/>
      </c>
      <c r="L5919" s="25" t="str">
        <f t="shared" si="66"/>
        <v/>
      </c>
      <c r="M5919" s="25"/>
      <c r="O5919" s="25"/>
    </row>
    <row r="5920" ht="15.75" customHeight="1">
      <c r="A5920" s="25" t="str">
        <f>IFERROR(__xludf.DUMMYFUNCTION("IF(B5920="""","""",RIGHT(REGEXREPLACE(B5920&amp;"""",""[^0-9]"",""""),9))"),"767565305")</f>
        <v>767565305</v>
      </c>
      <c r="B5920" s="52">
        <v>7.67565305E8</v>
      </c>
      <c r="C5920" s="28" t="s">
        <v>5891</v>
      </c>
      <c r="D5920" s="26" t="s">
        <v>56</v>
      </c>
      <c r="E5920" s="31">
        <v>46239.0</v>
      </c>
      <c r="F5920" s="26" t="s">
        <v>46</v>
      </c>
      <c r="G5920" s="26">
        <v>6.0</v>
      </c>
      <c r="H5920" s="26" t="s">
        <v>1648</v>
      </c>
      <c r="I5920" s="26" t="s">
        <v>883</v>
      </c>
      <c r="J5920" s="25" t="str">
        <f t="shared" si="64"/>
        <v>No</v>
      </c>
      <c r="K5920" s="25" t="str">
        <f t="shared" si="65"/>
        <v/>
      </c>
      <c r="L5920" s="25" t="str">
        <f t="shared" si="66"/>
        <v/>
      </c>
      <c r="M5920" s="25"/>
      <c r="O5920" s="25"/>
    </row>
    <row r="5921" ht="15.75" customHeight="1">
      <c r="A5921" s="25" t="str">
        <f>IFERROR(__xludf.DUMMYFUNCTION("IF(B5921="""","""",RIGHT(REGEXREPLACE(B5921&amp;"""",""[^0-9]"",""""),9))"),"751434266")</f>
        <v>751434266</v>
      </c>
      <c r="B5921" s="52">
        <v>7.51434266E8</v>
      </c>
      <c r="C5921" s="28" t="s">
        <v>5892</v>
      </c>
      <c r="D5921" s="26" t="s">
        <v>64</v>
      </c>
      <c r="E5921" s="31">
        <v>46239.0</v>
      </c>
      <c r="F5921" s="26" t="s">
        <v>41</v>
      </c>
      <c r="I5921" s="26" t="s">
        <v>883</v>
      </c>
      <c r="J5921" s="25" t="str">
        <f t="shared" si="64"/>
        <v>No</v>
      </c>
      <c r="K5921" s="25" t="str">
        <f t="shared" si="65"/>
        <v/>
      </c>
      <c r="L5921" s="25" t="str">
        <f t="shared" si="66"/>
        <v/>
      </c>
      <c r="M5921" s="25"/>
      <c r="O5921" s="25"/>
    </row>
    <row r="5922" ht="15.75" customHeight="1">
      <c r="A5922" s="25" t="str">
        <f>IFERROR(__xludf.DUMMYFUNCTION("IF(B5922="""","""",RIGHT(REGEXREPLACE(B5922&amp;"""",""[^0-9]"",""""),9))"),"781617746")</f>
        <v>781617746</v>
      </c>
      <c r="B5922" s="52">
        <v>7.81617746E8</v>
      </c>
      <c r="C5922" s="28" t="s">
        <v>5893</v>
      </c>
      <c r="D5922" s="26" t="s">
        <v>45</v>
      </c>
      <c r="E5922" s="31">
        <v>46239.0</v>
      </c>
      <c r="F5922" s="26" t="s">
        <v>46</v>
      </c>
      <c r="G5922" s="26">
        <v>7.0</v>
      </c>
      <c r="I5922" s="26" t="s">
        <v>883</v>
      </c>
      <c r="J5922" s="25" t="str">
        <f t="shared" si="64"/>
        <v>No</v>
      </c>
      <c r="K5922" s="25" t="str">
        <f t="shared" si="65"/>
        <v/>
      </c>
      <c r="L5922" s="25" t="str">
        <f t="shared" si="66"/>
        <v/>
      </c>
      <c r="M5922" s="25"/>
      <c r="O5922" s="25"/>
    </row>
    <row r="5923" ht="15.75" customHeight="1">
      <c r="A5923" s="25" t="str">
        <f>IFERROR(__xludf.DUMMYFUNCTION("IF(B5923="""","""",RIGHT(REGEXREPLACE(B5923&amp;"""",""[^0-9]"",""""),9))"),"705261549")</f>
        <v>705261549</v>
      </c>
      <c r="B5923" s="52">
        <v>7.05261549E8</v>
      </c>
      <c r="C5923" s="28" t="s">
        <v>5894</v>
      </c>
      <c r="D5923" s="26" t="s">
        <v>82</v>
      </c>
      <c r="E5923" s="31">
        <v>46239.0</v>
      </c>
      <c r="F5923" s="26" t="s">
        <v>41</v>
      </c>
      <c r="G5923" s="26">
        <v>7.0</v>
      </c>
      <c r="I5923" s="26" t="s">
        <v>883</v>
      </c>
      <c r="J5923" s="25" t="str">
        <f t="shared" si="64"/>
        <v>No</v>
      </c>
      <c r="K5923" s="25" t="str">
        <f t="shared" si="65"/>
        <v/>
      </c>
      <c r="L5923" s="25" t="str">
        <f t="shared" si="66"/>
        <v/>
      </c>
      <c r="M5923" s="25"/>
      <c r="O5923" s="25"/>
    </row>
    <row r="5924" ht="15.75" customHeight="1">
      <c r="A5924" s="25" t="str">
        <f>IFERROR(__xludf.DUMMYFUNCTION("IF(B5924="""","""",RIGHT(REGEXREPLACE(B5924&amp;"""",""[^0-9]"",""""),9))"),"718467010")</f>
        <v>718467010</v>
      </c>
      <c r="B5924" s="52">
        <v>7.1846701E8</v>
      </c>
      <c r="C5924" s="28" t="s">
        <v>5895</v>
      </c>
      <c r="D5924" s="26" t="s">
        <v>49</v>
      </c>
      <c r="E5924" s="31">
        <v>46239.0</v>
      </c>
      <c r="F5924" s="26" t="s">
        <v>46</v>
      </c>
      <c r="G5924" s="26">
        <v>7.0</v>
      </c>
      <c r="H5924" s="26" t="s">
        <v>5896</v>
      </c>
      <c r="I5924" s="26" t="s">
        <v>883</v>
      </c>
      <c r="J5924" s="25" t="str">
        <f t="shared" si="64"/>
        <v>No</v>
      </c>
      <c r="K5924" s="25" t="str">
        <f t="shared" si="65"/>
        <v/>
      </c>
      <c r="L5924" s="25" t="str">
        <f t="shared" si="66"/>
        <v/>
      </c>
      <c r="M5924" s="25"/>
      <c r="O5924" s="26" t="s">
        <v>51</v>
      </c>
    </row>
    <row r="5925" ht="15.75" customHeight="1">
      <c r="A5925" s="25" t="str">
        <f>IFERROR(__xludf.DUMMYFUNCTION("IF(B5925="""","""",RIGHT(REGEXREPLACE(B5925&amp;"""",""[^0-9]"",""""),9))"),"772842872")</f>
        <v>772842872</v>
      </c>
      <c r="B5925" s="52">
        <v>7.72842872E8</v>
      </c>
      <c r="C5925" s="28" t="s">
        <v>5897</v>
      </c>
      <c r="D5925" s="26" t="s">
        <v>64</v>
      </c>
      <c r="E5925" s="31">
        <v>46239.0</v>
      </c>
      <c r="F5925" s="26" t="s">
        <v>46</v>
      </c>
      <c r="G5925" s="26">
        <v>8.0</v>
      </c>
      <c r="H5925" s="26" t="s">
        <v>78</v>
      </c>
      <c r="I5925" s="26" t="s">
        <v>883</v>
      </c>
      <c r="J5925" s="25" t="str">
        <f t="shared" si="64"/>
        <v>No</v>
      </c>
      <c r="K5925" s="25" t="str">
        <f t="shared" si="65"/>
        <v/>
      </c>
      <c r="L5925" s="25" t="str">
        <f t="shared" si="66"/>
        <v/>
      </c>
      <c r="M5925" s="25"/>
      <c r="O5925" s="25"/>
    </row>
    <row r="5926" ht="15.75" customHeight="1">
      <c r="A5926" s="25" t="str">
        <f>IFERROR(__xludf.DUMMYFUNCTION("IF(B5926="""","""",RIGHT(REGEXREPLACE(B5926&amp;"""",""[^0-9]"",""""),9))"),"762318858")</f>
        <v>762318858</v>
      </c>
      <c r="B5926" s="52">
        <v>7.62318858E8</v>
      </c>
      <c r="C5926" s="28" t="s">
        <v>5898</v>
      </c>
      <c r="D5926" s="26" t="s">
        <v>56</v>
      </c>
      <c r="E5926" s="31">
        <v>46239.0</v>
      </c>
      <c r="F5926" s="26" t="s">
        <v>164</v>
      </c>
      <c r="I5926" s="26" t="s">
        <v>883</v>
      </c>
      <c r="J5926" s="25" t="str">
        <f t="shared" si="64"/>
        <v>No</v>
      </c>
      <c r="K5926" s="25" t="str">
        <f t="shared" si="65"/>
        <v/>
      </c>
      <c r="L5926" s="25" t="str">
        <f t="shared" si="66"/>
        <v/>
      </c>
      <c r="M5926" s="25"/>
      <c r="O5926" s="25"/>
    </row>
    <row r="5927" ht="15.75" customHeight="1">
      <c r="A5927" s="25" t="str">
        <f>IFERROR(__xludf.DUMMYFUNCTION("IF(B5927="""","""",RIGHT(REGEXREPLACE(B5927&amp;"""",""[^0-9]"",""""),9))"),"775292000")</f>
        <v>775292000</v>
      </c>
      <c r="B5927" s="52">
        <v>7.75292E8</v>
      </c>
      <c r="C5927" s="28" t="s">
        <v>5899</v>
      </c>
      <c r="D5927" s="26" t="s">
        <v>64</v>
      </c>
      <c r="E5927" s="31">
        <v>46239.0</v>
      </c>
      <c r="F5927" s="26" t="s">
        <v>46</v>
      </c>
      <c r="G5927" s="26">
        <v>8.0</v>
      </c>
      <c r="I5927" s="26" t="s">
        <v>883</v>
      </c>
      <c r="J5927" s="25" t="str">
        <f t="shared" si="64"/>
        <v>No</v>
      </c>
      <c r="K5927" s="25" t="str">
        <f t="shared" si="65"/>
        <v/>
      </c>
      <c r="L5927" s="25" t="str">
        <f t="shared" si="66"/>
        <v/>
      </c>
      <c r="M5927" s="25"/>
      <c r="O5927" s="25"/>
    </row>
    <row r="5928" ht="15.75" customHeight="1">
      <c r="A5928" s="25" t="str">
        <f>IFERROR(__xludf.DUMMYFUNCTION("IF(B5928="""","""",RIGHT(REGEXREPLACE(B5928&amp;"""",""[^0-9]"",""""),9))"),"779834954")</f>
        <v>779834954</v>
      </c>
      <c r="B5928" s="52">
        <v>7.79834954E8</v>
      </c>
      <c r="C5928" s="28" t="s">
        <v>5900</v>
      </c>
      <c r="D5928" s="26" t="s">
        <v>56</v>
      </c>
      <c r="E5928" s="31">
        <v>46239.0</v>
      </c>
      <c r="F5928" s="26" t="s">
        <v>46</v>
      </c>
      <c r="G5928" s="26">
        <v>6.0</v>
      </c>
      <c r="I5928" s="26" t="s">
        <v>883</v>
      </c>
      <c r="J5928" s="25" t="str">
        <f t="shared" si="64"/>
        <v>No</v>
      </c>
      <c r="K5928" s="25" t="str">
        <f t="shared" si="65"/>
        <v/>
      </c>
      <c r="L5928" s="25" t="str">
        <f t="shared" si="66"/>
        <v/>
      </c>
      <c r="M5928" s="25"/>
      <c r="O5928" s="26" t="s">
        <v>51</v>
      </c>
    </row>
    <row r="5929" ht="15.75" customHeight="1">
      <c r="A5929" s="25" t="str">
        <f>IFERROR(__xludf.DUMMYFUNCTION("IF(B5929="""","""",RIGHT(REGEXREPLACE(B5929&amp;"""",""[^0-9]"",""""),9))"),"774697662")</f>
        <v>774697662</v>
      </c>
      <c r="B5929" s="52">
        <v>7.74697662E8</v>
      </c>
      <c r="C5929" s="28" t="s">
        <v>5901</v>
      </c>
      <c r="D5929" s="26" t="s">
        <v>64</v>
      </c>
      <c r="E5929" s="31">
        <v>46239.0</v>
      </c>
      <c r="F5929" s="26" t="s">
        <v>659</v>
      </c>
      <c r="I5929" s="26" t="s">
        <v>883</v>
      </c>
      <c r="J5929" s="25" t="str">
        <f t="shared" si="64"/>
        <v>No</v>
      </c>
      <c r="K5929" s="25" t="str">
        <f t="shared" si="65"/>
        <v/>
      </c>
      <c r="L5929" s="25" t="str">
        <f t="shared" si="66"/>
        <v/>
      </c>
      <c r="M5929" s="25"/>
      <c r="O5929" s="25"/>
    </row>
    <row r="5930" ht="15.75" customHeight="1">
      <c r="A5930" s="25" t="str">
        <f>IFERROR(__xludf.DUMMYFUNCTION("IF(B5930="""","""",RIGHT(REGEXREPLACE(B5930&amp;"""",""[^0-9]"",""""),9))"),"726153877")</f>
        <v>726153877</v>
      </c>
      <c r="B5930" s="52">
        <v>7.26153877E8</v>
      </c>
      <c r="C5930" s="28" t="s">
        <v>5902</v>
      </c>
      <c r="D5930" s="26" t="s">
        <v>82</v>
      </c>
      <c r="E5930" s="31">
        <v>46239.0</v>
      </c>
      <c r="F5930" s="26" t="s">
        <v>41</v>
      </c>
      <c r="I5930" s="26" t="s">
        <v>883</v>
      </c>
      <c r="J5930" s="25" t="str">
        <f t="shared" si="64"/>
        <v>No</v>
      </c>
      <c r="K5930" s="25" t="str">
        <f t="shared" si="65"/>
        <v/>
      </c>
      <c r="L5930" s="25" t="str">
        <f t="shared" si="66"/>
        <v/>
      </c>
      <c r="M5930" s="25"/>
      <c r="O5930" s="25"/>
    </row>
    <row r="5931" ht="15.75" customHeight="1">
      <c r="A5931" s="25" t="str">
        <f>IFERROR(__xludf.DUMMYFUNCTION("IF(B5931="""","""",RIGHT(REGEXREPLACE(B5931&amp;"""",""[^0-9]"",""""),9))"),"761648881")</f>
        <v>761648881</v>
      </c>
      <c r="B5931" s="52">
        <v>7.61648881E8</v>
      </c>
      <c r="C5931" s="28" t="s">
        <v>5903</v>
      </c>
      <c r="D5931" s="26" t="s">
        <v>49</v>
      </c>
      <c r="E5931" s="31">
        <v>46239.0</v>
      </c>
      <c r="F5931" s="26" t="s">
        <v>46</v>
      </c>
      <c r="G5931" s="26" t="s">
        <v>5800</v>
      </c>
      <c r="H5931" s="26" t="s">
        <v>5904</v>
      </c>
      <c r="I5931" s="26" t="s">
        <v>883</v>
      </c>
      <c r="J5931" s="25" t="str">
        <f t="shared" si="64"/>
        <v>No</v>
      </c>
      <c r="K5931" s="25" t="str">
        <f t="shared" si="65"/>
        <v/>
      </c>
      <c r="L5931" s="25" t="str">
        <f t="shared" si="66"/>
        <v/>
      </c>
      <c r="M5931" s="25"/>
      <c r="O5931" s="25"/>
    </row>
    <row r="5932" ht="15.75" customHeight="1">
      <c r="A5932" s="25" t="str">
        <f>IFERROR(__xludf.DUMMYFUNCTION("IF(B5932="""","""",RIGHT(REGEXREPLACE(B5932&amp;"""",""[^0-9]"",""""),9))"),"742249568")</f>
        <v>742249568</v>
      </c>
      <c r="B5932" s="52">
        <v>7.42249568E8</v>
      </c>
      <c r="C5932" s="28" t="s">
        <v>5905</v>
      </c>
      <c r="D5932" s="26" t="s">
        <v>64</v>
      </c>
      <c r="E5932" s="31">
        <v>46239.0</v>
      </c>
      <c r="F5932" s="26" t="s">
        <v>46</v>
      </c>
      <c r="G5932" s="26">
        <v>7.0</v>
      </c>
      <c r="H5932" s="26" t="s">
        <v>78</v>
      </c>
      <c r="I5932" s="26" t="s">
        <v>883</v>
      </c>
      <c r="J5932" s="25" t="str">
        <f t="shared" si="64"/>
        <v>No</v>
      </c>
      <c r="K5932" s="25" t="str">
        <f t="shared" si="65"/>
        <v/>
      </c>
      <c r="L5932" s="25" t="str">
        <f t="shared" si="66"/>
        <v/>
      </c>
      <c r="M5932" s="25"/>
      <c r="O5932" s="25"/>
    </row>
    <row r="5933" ht="15.75" customHeight="1">
      <c r="A5933" s="25" t="str">
        <f>IFERROR(__xludf.DUMMYFUNCTION("IF(B5933="""","""",RIGHT(REGEXREPLACE(B5933&amp;"""",""[^0-9]"",""""),9))"),"762719003")</f>
        <v>762719003</v>
      </c>
      <c r="B5933" s="52">
        <v>7.62719003E8</v>
      </c>
      <c r="C5933" s="28" t="s">
        <v>5906</v>
      </c>
      <c r="D5933" s="26" t="s">
        <v>56</v>
      </c>
      <c r="E5933" s="31">
        <v>46239.0</v>
      </c>
      <c r="F5933" s="26" t="s">
        <v>205</v>
      </c>
      <c r="G5933" s="26">
        <v>7.0</v>
      </c>
      <c r="I5933" s="26" t="s">
        <v>883</v>
      </c>
      <c r="J5933" s="25" t="str">
        <f t="shared" si="64"/>
        <v>No</v>
      </c>
      <c r="K5933" s="25" t="str">
        <f t="shared" si="65"/>
        <v/>
      </c>
      <c r="L5933" s="25" t="str">
        <f t="shared" si="66"/>
        <v/>
      </c>
      <c r="M5933" s="25"/>
      <c r="O5933" s="25"/>
    </row>
    <row r="5934" ht="15.75" customHeight="1">
      <c r="A5934" s="25" t="str">
        <f>IFERROR(__xludf.DUMMYFUNCTION("IF(B5934="""","""",RIGHT(REGEXREPLACE(B5934&amp;"""",""[^0-9]"",""""),9))"),"762858133")</f>
        <v>762858133</v>
      </c>
      <c r="B5934" s="52">
        <v>7.62858133E8</v>
      </c>
      <c r="C5934" s="28" t="s">
        <v>5907</v>
      </c>
      <c r="D5934" s="26" t="s">
        <v>82</v>
      </c>
      <c r="E5934" s="31">
        <v>46239.0</v>
      </c>
      <c r="F5934" s="26" t="s">
        <v>125</v>
      </c>
      <c r="G5934" s="26">
        <v>8.0</v>
      </c>
      <c r="I5934" s="26" t="s">
        <v>883</v>
      </c>
      <c r="J5934" s="25" t="str">
        <f t="shared" si="64"/>
        <v>No</v>
      </c>
      <c r="K5934" s="25" t="str">
        <f t="shared" si="65"/>
        <v/>
      </c>
      <c r="L5934" s="25" t="str">
        <f t="shared" si="66"/>
        <v/>
      </c>
      <c r="M5934" s="25"/>
      <c r="O5934" s="25"/>
    </row>
    <row r="5935" ht="15.75" customHeight="1">
      <c r="A5935" s="25" t="str">
        <f>IFERROR(__xludf.DUMMYFUNCTION("IF(B5935="""","""",RIGHT(REGEXREPLACE(B5935&amp;"""",""[^0-9]"",""""),9))"),"743041129")</f>
        <v>743041129</v>
      </c>
      <c r="B5935" s="52">
        <v>7.43041129E8</v>
      </c>
      <c r="C5935" s="28" t="s">
        <v>5908</v>
      </c>
      <c r="D5935" s="26" t="s">
        <v>56</v>
      </c>
      <c r="E5935" s="31">
        <v>46252.0</v>
      </c>
      <c r="F5935" s="25"/>
      <c r="G5935" s="26">
        <v>6.0</v>
      </c>
      <c r="H5935" s="25"/>
      <c r="I5935" s="26" t="s">
        <v>883</v>
      </c>
      <c r="J5935" s="25" t="str">
        <f t="shared" si="64"/>
        <v>No</v>
      </c>
      <c r="K5935" s="25" t="str">
        <f t="shared" si="65"/>
        <v/>
      </c>
      <c r="L5935" s="25" t="str">
        <f t="shared" si="66"/>
        <v/>
      </c>
      <c r="M5935" s="25"/>
      <c r="N5935" s="25"/>
      <c r="O5935" s="25"/>
      <c r="P5935" s="25"/>
    </row>
    <row r="5936" ht="15.75" customHeight="1">
      <c r="A5936" s="25" t="str">
        <f>IFERROR(__xludf.DUMMYFUNCTION("IF(B5936="""","""",RIGHT(REGEXREPLACE(B5936&amp;"""",""[^0-9]"",""""),9))"),"765506977")</f>
        <v>765506977</v>
      </c>
      <c r="B5936" s="52">
        <v>7.65506977E8</v>
      </c>
      <c r="C5936" s="28" t="s">
        <v>5741</v>
      </c>
      <c r="D5936" s="26" t="s">
        <v>64</v>
      </c>
      <c r="E5936" s="31">
        <v>46252.0</v>
      </c>
      <c r="F5936" s="26" t="s">
        <v>46</v>
      </c>
      <c r="G5936" s="26">
        <v>7.0</v>
      </c>
      <c r="I5936" s="26" t="s">
        <v>883</v>
      </c>
      <c r="J5936" s="25" t="str">
        <f t="shared" si="64"/>
        <v>Yes - see Previous F-Code</v>
      </c>
      <c r="K5936" s="25" t="str">
        <f t="shared" si="65"/>
        <v>DUPLICATE - CHECK</v>
      </c>
      <c r="L5936" s="25" t="str">
        <f t="shared" si="66"/>
        <v>F75189</v>
      </c>
      <c r="M5936" s="25"/>
      <c r="O5936" s="25"/>
    </row>
    <row r="5937" ht="15.75" customHeight="1">
      <c r="A5937" s="25" t="str">
        <f>IFERROR(__xludf.DUMMYFUNCTION("IF(B5937="""","""",RIGHT(REGEXREPLACE(B5937&amp;"""",""[^0-9]"",""""),9))"),"742837518")</f>
        <v>742837518</v>
      </c>
      <c r="B5937" s="52">
        <v>7.42837518E8</v>
      </c>
      <c r="C5937" s="28" t="s">
        <v>5909</v>
      </c>
      <c r="D5937" s="26" t="s">
        <v>56</v>
      </c>
      <c r="E5937" s="31">
        <v>46239.0</v>
      </c>
      <c r="F5937" s="26" t="s">
        <v>631</v>
      </c>
      <c r="G5937" s="26">
        <v>9.0</v>
      </c>
      <c r="I5937" s="26" t="s">
        <v>883</v>
      </c>
      <c r="J5937" s="25" t="str">
        <f t="shared" si="64"/>
        <v>No</v>
      </c>
      <c r="K5937" s="25" t="str">
        <f t="shared" si="65"/>
        <v/>
      </c>
      <c r="L5937" s="25" t="str">
        <f t="shared" si="66"/>
        <v/>
      </c>
      <c r="M5937" s="25"/>
      <c r="O5937" s="25"/>
    </row>
    <row r="5938" ht="15.75" customHeight="1">
      <c r="A5938" s="25" t="str">
        <f>IFERROR(__xludf.DUMMYFUNCTION("IF(B5938="""","""",RIGHT(REGEXREPLACE(B5938&amp;"""",""[^0-9]"",""""),9))"),"706153877")</f>
        <v>706153877</v>
      </c>
      <c r="B5938" s="52">
        <v>7.06153877E8</v>
      </c>
      <c r="C5938" s="28" t="s">
        <v>5910</v>
      </c>
      <c r="D5938" s="26" t="s">
        <v>82</v>
      </c>
      <c r="E5938" s="31">
        <v>46239.0</v>
      </c>
      <c r="F5938" s="26" t="s">
        <v>41</v>
      </c>
      <c r="I5938" s="26" t="s">
        <v>883</v>
      </c>
      <c r="J5938" s="25" t="str">
        <f t="shared" si="64"/>
        <v>No</v>
      </c>
      <c r="K5938" s="25" t="str">
        <f t="shared" si="65"/>
        <v/>
      </c>
      <c r="L5938" s="25" t="str">
        <f t="shared" si="66"/>
        <v/>
      </c>
      <c r="M5938" s="25"/>
      <c r="O5938" s="25"/>
    </row>
    <row r="5939" ht="15.75" customHeight="1">
      <c r="A5939" s="25" t="str">
        <f>IFERROR(__xludf.DUMMYFUNCTION("IF(B5939="""","""",RIGHT(REGEXREPLACE(B5939&amp;"""",""[^0-9]"",""""),9))"),"762329217")</f>
        <v>762329217</v>
      </c>
      <c r="B5939" s="52">
        <v>7.62329217E8</v>
      </c>
      <c r="C5939" s="28" t="s">
        <v>5911</v>
      </c>
      <c r="D5939" s="26" t="s">
        <v>49</v>
      </c>
      <c r="E5939" s="31">
        <v>46239.0</v>
      </c>
      <c r="F5939" s="26" t="s">
        <v>46</v>
      </c>
      <c r="G5939" s="26">
        <v>7.0</v>
      </c>
      <c r="I5939" s="26" t="s">
        <v>883</v>
      </c>
      <c r="J5939" s="25" t="str">
        <f t="shared" si="64"/>
        <v>No</v>
      </c>
      <c r="K5939" s="25" t="str">
        <f t="shared" si="65"/>
        <v/>
      </c>
      <c r="L5939" s="25" t="str">
        <f t="shared" si="66"/>
        <v/>
      </c>
      <c r="M5939" s="25"/>
      <c r="O5939" s="26" t="s">
        <v>51</v>
      </c>
    </row>
    <row r="5940" ht="15.75" customHeight="1">
      <c r="A5940" s="25" t="str">
        <f>IFERROR(__xludf.DUMMYFUNCTION("IF(B5940="""","""",RIGHT(REGEXREPLACE(B5940&amp;"""",""[^0-9]"",""""),9))"),"705249194")</f>
        <v>705249194</v>
      </c>
      <c r="B5940" s="52">
        <v>7.05249194E8</v>
      </c>
      <c r="C5940" s="28" t="s">
        <v>5912</v>
      </c>
      <c r="D5940" s="26" t="s">
        <v>82</v>
      </c>
      <c r="E5940" s="31">
        <v>46239.0</v>
      </c>
      <c r="F5940" s="26" t="s">
        <v>41</v>
      </c>
      <c r="I5940" s="26" t="s">
        <v>883</v>
      </c>
      <c r="J5940" s="25" t="str">
        <f t="shared" si="64"/>
        <v>No</v>
      </c>
      <c r="K5940" s="25" t="str">
        <f t="shared" si="65"/>
        <v/>
      </c>
      <c r="L5940" s="25" t="str">
        <f t="shared" si="66"/>
        <v/>
      </c>
      <c r="M5940" s="25"/>
      <c r="O5940" s="25"/>
    </row>
    <row r="5941" ht="15.75" customHeight="1">
      <c r="A5941" s="25" t="str">
        <f>IFERROR(__xludf.DUMMYFUNCTION("IF(B5941="""","""",RIGHT(REGEXREPLACE(B5941&amp;"""",""[^0-9]"",""""),9))"),"766503847")</f>
        <v>766503847</v>
      </c>
      <c r="B5941" s="52">
        <v>7.66503847E8</v>
      </c>
      <c r="C5941" s="28" t="s">
        <v>5913</v>
      </c>
      <c r="D5941" s="26" t="s">
        <v>56</v>
      </c>
      <c r="E5941" s="31">
        <v>46239.0</v>
      </c>
      <c r="F5941" s="26" t="s">
        <v>46</v>
      </c>
      <c r="G5941" s="26">
        <v>7.0</v>
      </c>
      <c r="I5941" s="26" t="s">
        <v>883</v>
      </c>
      <c r="J5941" s="25" t="str">
        <f t="shared" si="64"/>
        <v>No</v>
      </c>
      <c r="K5941" s="25" t="str">
        <f t="shared" si="65"/>
        <v/>
      </c>
      <c r="L5941" s="25" t="str">
        <f t="shared" si="66"/>
        <v/>
      </c>
      <c r="M5941" s="25"/>
      <c r="O5941" s="25"/>
    </row>
    <row r="5942" ht="15.75" customHeight="1">
      <c r="A5942" s="25" t="str">
        <f>IFERROR(__xludf.DUMMYFUNCTION("IF(B5942="""","""",RIGHT(REGEXREPLACE(B5942&amp;"""",""[^0-9]"",""""),9))"),"770774598")</f>
        <v>770774598</v>
      </c>
      <c r="B5942" s="52">
        <v>7.70774598E8</v>
      </c>
      <c r="C5942" s="28" t="s">
        <v>5914</v>
      </c>
      <c r="D5942" s="26" t="s">
        <v>64</v>
      </c>
      <c r="E5942" s="31">
        <v>46239.0</v>
      </c>
      <c r="F5942" s="26" t="s">
        <v>205</v>
      </c>
      <c r="I5942" s="26" t="s">
        <v>883</v>
      </c>
      <c r="J5942" s="25" t="str">
        <f t="shared" si="64"/>
        <v>No</v>
      </c>
      <c r="K5942" s="25" t="str">
        <f t="shared" si="65"/>
        <v/>
      </c>
      <c r="L5942" s="25" t="str">
        <f t="shared" si="66"/>
        <v/>
      </c>
      <c r="M5942" s="25"/>
      <c r="O5942" s="25"/>
    </row>
    <row r="5943" ht="15.75" customHeight="1">
      <c r="A5943" s="25" t="str">
        <f>IFERROR(__xludf.DUMMYFUNCTION("IF(B5943="""","""",RIGHT(REGEXREPLACE(B5943&amp;"""",""[^0-9]"",""""),9))"),"772187693")</f>
        <v>772187693</v>
      </c>
      <c r="B5943" s="52">
        <v>7.72187693E8</v>
      </c>
      <c r="C5943" s="28" t="s">
        <v>5915</v>
      </c>
      <c r="D5943" s="26" t="s">
        <v>82</v>
      </c>
      <c r="E5943" s="31">
        <v>46239.0</v>
      </c>
      <c r="F5943" s="26" t="s">
        <v>41</v>
      </c>
      <c r="I5943" s="26" t="s">
        <v>883</v>
      </c>
      <c r="J5943" s="25" t="str">
        <f t="shared" si="64"/>
        <v>No</v>
      </c>
      <c r="K5943" s="25" t="str">
        <f t="shared" si="65"/>
        <v/>
      </c>
      <c r="L5943" s="25" t="str">
        <f t="shared" si="66"/>
        <v/>
      </c>
      <c r="M5943" s="25"/>
      <c r="O5943" s="25"/>
    </row>
    <row r="5944" ht="15.75" customHeight="1">
      <c r="A5944" s="25" t="str">
        <f>IFERROR(__xludf.DUMMYFUNCTION("IF(B5944="""","""",RIGHT(REGEXREPLACE(B5944&amp;"""",""[^0-9]"",""""),9))"),"725498604")</f>
        <v>725498604</v>
      </c>
      <c r="B5944" s="52">
        <v>7.25498604E8</v>
      </c>
      <c r="C5944" s="28" t="s">
        <v>5916</v>
      </c>
      <c r="D5944" s="26" t="s">
        <v>64</v>
      </c>
      <c r="E5944" s="31">
        <v>46239.0</v>
      </c>
      <c r="F5944" s="26" t="s">
        <v>41</v>
      </c>
      <c r="I5944" s="26" t="s">
        <v>883</v>
      </c>
      <c r="J5944" s="25" t="str">
        <f t="shared" si="64"/>
        <v>No</v>
      </c>
      <c r="K5944" s="25" t="str">
        <f t="shared" si="65"/>
        <v/>
      </c>
      <c r="L5944" s="25" t="str">
        <f t="shared" si="66"/>
        <v/>
      </c>
      <c r="M5944" s="25"/>
      <c r="O5944" s="25"/>
    </row>
    <row r="5945" ht="15.75" customHeight="1">
      <c r="A5945" s="25" t="str">
        <f>IFERROR(__xludf.DUMMYFUNCTION("IF(B5945="""","""",RIGHT(REGEXREPLACE(B5945&amp;"""",""[^0-9]"",""""),9))"),"772547232")</f>
        <v>772547232</v>
      </c>
      <c r="B5945" s="52">
        <v>7.72547232E8</v>
      </c>
      <c r="C5945" s="28" t="s">
        <v>5916</v>
      </c>
      <c r="D5945" s="26" t="s">
        <v>49</v>
      </c>
      <c r="E5945" s="31">
        <v>46239.0</v>
      </c>
      <c r="F5945" s="26" t="s">
        <v>46</v>
      </c>
      <c r="G5945" s="26">
        <v>6.0</v>
      </c>
      <c r="I5945" s="26" t="s">
        <v>883</v>
      </c>
      <c r="J5945" s="25" t="str">
        <f t="shared" si="64"/>
        <v>No</v>
      </c>
      <c r="K5945" s="25" t="str">
        <f t="shared" si="65"/>
        <v/>
      </c>
      <c r="L5945" s="25" t="str">
        <f t="shared" si="66"/>
        <v/>
      </c>
      <c r="M5945" s="25"/>
      <c r="O5945" s="25"/>
    </row>
    <row r="5946" ht="15.75" customHeight="1">
      <c r="A5946" s="25" t="str">
        <f>IFERROR(__xludf.DUMMYFUNCTION("IF(B5946="""","""",RIGHT(REGEXREPLACE(B5946&amp;"""",""[^0-9]"",""""),9))"),"776931427")</f>
        <v>776931427</v>
      </c>
      <c r="B5946" s="52">
        <v>7.76931427E8</v>
      </c>
      <c r="C5946" s="28" t="s">
        <v>5917</v>
      </c>
      <c r="D5946" s="26" t="s">
        <v>82</v>
      </c>
      <c r="E5946" s="31">
        <v>46239.0</v>
      </c>
      <c r="F5946" s="26" t="s">
        <v>41</v>
      </c>
      <c r="G5946" s="26">
        <v>7.0</v>
      </c>
      <c r="I5946" s="26" t="s">
        <v>883</v>
      </c>
      <c r="J5946" s="25" t="str">
        <f t="shared" si="64"/>
        <v>No</v>
      </c>
      <c r="K5946" s="25" t="str">
        <f t="shared" si="65"/>
        <v/>
      </c>
      <c r="L5946" s="25" t="str">
        <f t="shared" si="66"/>
        <v/>
      </c>
      <c r="M5946" s="25"/>
      <c r="O5946" s="25"/>
    </row>
    <row r="5947" ht="15.75" customHeight="1">
      <c r="A5947" s="25" t="str">
        <f>IFERROR(__xludf.DUMMYFUNCTION("IF(B5947="""","""",RIGHT(REGEXREPLACE(B5947&amp;"""",""[^0-9]"",""""),9))"),"770829647")</f>
        <v>770829647</v>
      </c>
      <c r="B5947" s="52">
        <v>7.70829647E8</v>
      </c>
      <c r="C5947" s="28" t="s">
        <v>5918</v>
      </c>
      <c r="D5947" s="26" t="s">
        <v>56</v>
      </c>
      <c r="E5947" s="31">
        <v>46239.0</v>
      </c>
      <c r="F5947" s="26" t="s">
        <v>41</v>
      </c>
      <c r="G5947" s="26">
        <v>8.0</v>
      </c>
      <c r="I5947" s="26" t="s">
        <v>883</v>
      </c>
      <c r="J5947" s="25" t="str">
        <f t="shared" si="64"/>
        <v>No</v>
      </c>
      <c r="K5947" s="25" t="str">
        <f t="shared" si="65"/>
        <v/>
      </c>
      <c r="L5947" s="25" t="str">
        <f t="shared" si="66"/>
        <v/>
      </c>
      <c r="M5947" s="25"/>
      <c r="O5947" s="25"/>
    </row>
    <row r="5948" ht="15.75" customHeight="1">
      <c r="A5948" s="25" t="str">
        <f>IFERROR(__xludf.DUMMYFUNCTION("IF(B5948="""","""",RIGHT(REGEXREPLACE(B5948&amp;"""",""[^0-9]"",""""),9))"),"702709351")</f>
        <v>702709351</v>
      </c>
      <c r="B5948" s="52">
        <v>7.02709351E8</v>
      </c>
      <c r="C5948" s="28" t="s">
        <v>5919</v>
      </c>
      <c r="D5948" s="26" t="s">
        <v>64</v>
      </c>
      <c r="E5948" s="31">
        <v>46239.0</v>
      </c>
      <c r="F5948" s="26" t="s">
        <v>46</v>
      </c>
      <c r="G5948" s="26">
        <v>6.0</v>
      </c>
      <c r="I5948" s="26" t="s">
        <v>883</v>
      </c>
      <c r="J5948" s="25" t="str">
        <f t="shared" si="64"/>
        <v>No</v>
      </c>
      <c r="K5948" s="25" t="str">
        <f t="shared" si="65"/>
        <v/>
      </c>
      <c r="L5948" s="25" t="str">
        <f t="shared" si="66"/>
        <v/>
      </c>
      <c r="M5948" s="25"/>
      <c r="O5948" s="25"/>
    </row>
    <row r="5949" ht="15.75" customHeight="1">
      <c r="A5949" s="25" t="str">
        <f>IFERROR(__xludf.DUMMYFUNCTION("IF(B5949="""","""",RIGHT(REGEXREPLACE(B5949&amp;"""",""[^0-9]"",""""),9))"),"707877266")</f>
        <v>707877266</v>
      </c>
      <c r="B5949" s="52">
        <v>7.07877266E8</v>
      </c>
      <c r="C5949" s="28" t="s">
        <v>5920</v>
      </c>
      <c r="D5949" s="26" t="s">
        <v>64</v>
      </c>
      <c r="E5949" s="31">
        <v>46239.0</v>
      </c>
      <c r="F5949" s="26" t="s">
        <v>46</v>
      </c>
      <c r="G5949" s="26">
        <v>8.0</v>
      </c>
      <c r="I5949" s="26" t="s">
        <v>883</v>
      </c>
      <c r="J5949" s="25" t="str">
        <f t="shared" si="64"/>
        <v>No</v>
      </c>
      <c r="K5949" s="25" t="str">
        <f t="shared" si="65"/>
        <v/>
      </c>
      <c r="L5949" s="25" t="str">
        <f t="shared" si="66"/>
        <v/>
      </c>
      <c r="M5949" s="25"/>
      <c r="O5949" s="25"/>
    </row>
    <row r="5950" ht="15.75" customHeight="1">
      <c r="A5950" s="25" t="str">
        <f>IFERROR(__xludf.DUMMYFUNCTION("IF(B5950="""","""",RIGHT(REGEXREPLACE(B5950&amp;"""",""[^0-9]"",""""),9))"),"762948979")</f>
        <v>762948979</v>
      </c>
      <c r="B5950" s="52">
        <v>7.62948979E8</v>
      </c>
      <c r="C5950" s="28" t="s">
        <v>5921</v>
      </c>
      <c r="D5950" s="26" t="s">
        <v>56</v>
      </c>
      <c r="E5950" s="31">
        <v>46239.0</v>
      </c>
      <c r="F5950" s="26" t="s">
        <v>631</v>
      </c>
      <c r="G5950" s="26">
        <v>7.0</v>
      </c>
      <c r="I5950" s="26" t="s">
        <v>883</v>
      </c>
      <c r="J5950" s="25" t="str">
        <f t="shared" si="64"/>
        <v>No</v>
      </c>
      <c r="K5950" s="25" t="str">
        <f t="shared" si="65"/>
        <v/>
      </c>
      <c r="L5950" s="25" t="str">
        <f t="shared" si="66"/>
        <v/>
      </c>
      <c r="M5950" s="25"/>
      <c r="O5950" s="26" t="s">
        <v>51</v>
      </c>
    </row>
    <row r="5951" ht="15.75" customHeight="1">
      <c r="A5951" s="25" t="str">
        <f>IFERROR(__xludf.DUMMYFUNCTION("IF(B5951="""","""",RIGHT(REGEXREPLACE(B5951&amp;"""",""[^0-9]"",""""),9))"),"763109319")</f>
        <v>763109319</v>
      </c>
      <c r="B5951" s="52">
        <v>7.63109319E8</v>
      </c>
      <c r="C5951" s="28" t="s">
        <v>5922</v>
      </c>
      <c r="D5951" s="26" t="s">
        <v>45</v>
      </c>
      <c r="E5951" s="31">
        <v>46239.0</v>
      </c>
      <c r="F5951" s="26" t="s">
        <v>46</v>
      </c>
      <c r="G5951" s="26">
        <v>7.0</v>
      </c>
      <c r="H5951" s="26" t="s">
        <v>819</v>
      </c>
      <c r="I5951" s="26" t="s">
        <v>883</v>
      </c>
      <c r="J5951" s="25" t="str">
        <f t="shared" si="64"/>
        <v>No</v>
      </c>
      <c r="K5951" s="25" t="str">
        <f t="shared" si="65"/>
        <v/>
      </c>
      <c r="L5951" s="25" t="str">
        <f t="shared" si="66"/>
        <v/>
      </c>
      <c r="M5951" s="25"/>
      <c r="O5951" s="25"/>
    </row>
    <row r="5952" ht="15.75" customHeight="1">
      <c r="A5952" s="25" t="str">
        <f>IFERROR(__xludf.DUMMYFUNCTION("IF(B5952="""","""",RIGHT(REGEXREPLACE(B5952&amp;"""",""[^0-9]"",""""),9))"),"767913199")</f>
        <v>767913199</v>
      </c>
      <c r="B5952" s="52">
        <v>7.67913199E8</v>
      </c>
      <c r="C5952" s="28" t="s">
        <v>5923</v>
      </c>
      <c r="D5952" s="26" t="s">
        <v>82</v>
      </c>
      <c r="E5952" s="31">
        <v>46239.0</v>
      </c>
      <c r="F5952" s="26" t="s">
        <v>125</v>
      </c>
      <c r="G5952" s="26">
        <v>7.0</v>
      </c>
      <c r="H5952" s="26" t="s">
        <v>5924</v>
      </c>
      <c r="I5952" s="26" t="s">
        <v>883</v>
      </c>
      <c r="J5952" s="25" t="str">
        <f t="shared" si="64"/>
        <v>No</v>
      </c>
      <c r="K5952" s="25" t="str">
        <f t="shared" si="65"/>
        <v/>
      </c>
      <c r="L5952" s="25" t="str">
        <f t="shared" si="66"/>
        <v/>
      </c>
      <c r="M5952" s="25"/>
      <c r="O5952" s="25"/>
    </row>
    <row r="5953" ht="15.75" customHeight="1">
      <c r="A5953" s="25" t="str">
        <f>IFERROR(__xludf.DUMMYFUNCTION("IF(B5953="""","""",RIGHT(REGEXREPLACE(B5953&amp;"""",""[^0-9]"",""""),9))"),"713642675")</f>
        <v>713642675</v>
      </c>
      <c r="B5953" s="52">
        <v>7.13642675E8</v>
      </c>
      <c r="C5953" s="28" t="s">
        <v>5925</v>
      </c>
      <c r="D5953" s="26" t="s">
        <v>56</v>
      </c>
      <c r="E5953" s="31">
        <v>46239.0</v>
      </c>
      <c r="F5953" s="26" t="s">
        <v>46</v>
      </c>
      <c r="G5953" s="26">
        <v>7.0</v>
      </c>
      <c r="I5953" s="26" t="s">
        <v>883</v>
      </c>
      <c r="J5953" s="25" t="str">
        <f t="shared" si="64"/>
        <v>No</v>
      </c>
      <c r="K5953" s="25" t="str">
        <f t="shared" si="65"/>
        <v/>
      </c>
      <c r="L5953" s="25" t="str">
        <f t="shared" si="66"/>
        <v/>
      </c>
      <c r="M5953" s="25"/>
      <c r="O5953" s="25"/>
    </row>
    <row r="5954" ht="15.75" customHeight="1">
      <c r="A5954" s="25" t="str">
        <f>IFERROR(__xludf.DUMMYFUNCTION("IF(B5954="""","""",RIGHT(REGEXREPLACE(B5954&amp;"""",""[^0-9]"",""""),9))"),"716627834")</f>
        <v>716627834</v>
      </c>
      <c r="B5954" s="52">
        <v>4.716627834E9</v>
      </c>
      <c r="C5954" s="28" t="s">
        <v>5926</v>
      </c>
      <c r="D5954" s="26" t="s">
        <v>64</v>
      </c>
      <c r="E5954" s="31">
        <v>46239.0</v>
      </c>
      <c r="F5954" s="26" t="s">
        <v>46</v>
      </c>
      <c r="G5954" s="26">
        <v>7.0</v>
      </c>
      <c r="H5954" s="26" t="s">
        <v>4612</v>
      </c>
      <c r="I5954" s="26" t="s">
        <v>883</v>
      </c>
      <c r="J5954" s="25" t="str">
        <f t="shared" si="64"/>
        <v>Yes - see Previous F-Code</v>
      </c>
      <c r="K5954" s="25" t="str">
        <f t="shared" si="65"/>
        <v>DUPLICATE - CHECK</v>
      </c>
      <c r="L5954" s="25" t="str">
        <f t="shared" si="66"/>
        <v>F75183</v>
      </c>
      <c r="M5954" s="25"/>
      <c r="O5954" s="25"/>
    </row>
    <row r="5955" ht="15.75" customHeight="1">
      <c r="A5955" s="25" t="str">
        <f>IFERROR(__xludf.DUMMYFUNCTION("IF(B5955="""","""",RIGHT(REGEXREPLACE(B5955&amp;"""",""[^0-9]"",""""),9))"),"719998164")</f>
        <v>719998164</v>
      </c>
      <c r="B5955" s="52">
        <v>7.19998164E8</v>
      </c>
      <c r="C5955" s="28" t="s">
        <v>5927</v>
      </c>
      <c r="D5955" s="26" t="s">
        <v>56</v>
      </c>
      <c r="E5955" s="31">
        <v>46239.0</v>
      </c>
      <c r="F5955" s="26" t="s">
        <v>46</v>
      </c>
      <c r="G5955" s="26">
        <v>8.0</v>
      </c>
      <c r="I5955" s="26" t="s">
        <v>883</v>
      </c>
      <c r="J5955" s="25" t="str">
        <f t="shared" si="64"/>
        <v>No</v>
      </c>
      <c r="K5955" s="25" t="str">
        <f t="shared" si="65"/>
        <v/>
      </c>
      <c r="L5955" s="25" t="str">
        <f t="shared" si="66"/>
        <v/>
      </c>
      <c r="M5955" s="25"/>
      <c r="O5955" s="25"/>
    </row>
    <row r="5956" ht="15.75" customHeight="1">
      <c r="A5956" s="25" t="str">
        <f>IFERROR(__xludf.DUMMYFUNCTION("IF(B5956="""","""",RIGHT(REGEXREPLACE(B5956&amp;"""",""[^0-9]"",""""),9))"),"767708220")</f>
        <v>767708220</v>
      </c>
      <c r="B5956" s="52">
        <v>7.6770822E8</v>
      </c>
      <c r="C5956" s="28" t="s">
        <v>5927</v>
      </c>
      <c r="D5956" s="26" t="s">
        <v>82</v>
      </c>
      <c r="E5956" s="31">
        <v>46239.0</v>
      </c>
      <c r="F5956" s="26" t="s">
        <v>46</v>
      </c>
      <c r="G5956" s="26">
        <v>7.0</v>
      </c>
      <c r="I5956" s="26" t="s">
        <v>883</v>
      </c>
      <c r="J5956" s="25" t="str">
        <f t="shared" si="64"/>
        <v>No</v>
      </c>
      <c r="K5956" s="25" t="str">
        <f t="shared" si="65"/>
        <v/>
      </c>
      <c r="L5956" s="25" t="str">
        <f t="shared" si="66"/>
        <v/>
      </c>
      <c r="M5956" s="25"/>
      <c r="O5956" s="25"/>
    </row>
    <row r="5957" ht="15.75" customHeight="1">
      <c r="A5957" s="25" t="str">
        <f>IFERROR(__xludf.DUMMYFUNCTION("IF(B5957="""","""",RIGHT(REGEXREPLACE(B5957&amp;"""",""[^0-9]"",""""),9))"),"760860694")</f>
        <v>760860694</v>
      </c>
      <c r="B5957" s="52">
        <v>7.60860694E8</v>
      </c>
      <c r="C5957" s="28" t="s">
        <v>5928</v>
      </c>
      <c r="D5957" s="26" t="s">
        <v>49</v>
      </c>
      <c r="E5957" s="31">
        <v>46239.0</v>
      </c>
      <c r="F5957" s="26" t="s">
        <v>46</v>
      </c>
      <c r="G5957" s="26">
        <v>8.0</v>
      </c>
      <c r="I5957" s="26" t="s">
        <v>883</v>
      </c>
      <c r="J5957" s="25" t="str">
        <f t="shared" si="64"/>
        <v>No</v>
      </c>
      <c r="K5957" s="25" t="str">
        <f t="shared" si="65"/>
        <v/>
      </c>
      <c r="L5957" s="25" t="str">
        <f t="shared" si="66"/>
        <v/>
      </c>
      <c r="M5957" s="25"/>
      <c r="O5957" s="26" t="s">
        <v>51</v>
      </c>
    </row>
    <row r="5958" ht="15.75" customHeight="1">
      <c r="A5958" s="25" t="str">
        <f>IFERROR(__xludf.DUMMYFUNCTION("IF(B5958="""","""",RIGHT(REGEXREPLACE(B5958&amp;"""",""[^0-9]"",""""),9))"),"773340932")</f>
        <v>773340932</v>
      </c>
      <c r="B5958" s="52">
        <v>7.73340932E8</v>
      </c>
      <c r="C5958" s="28" t="s">
        <v>5929</v>
      </c>
      <c r="D5958" s="26" t="s">
        <v>45</v>
      </c>
      <c r="E5958" s="31">
        <v>46239.0</v>
      </c>
      <c r="F5958" s="26" t="s">
        <v>41</v>
      </c>
      <c r="G5958" s="26">
        <v>7.0</v>
      </c>
      <c r="I5958" s="26" t="s">
        <v>883</v>
      </c>
      <c r="J5958" s="25" t="str">
        <f t="shared" si="64"/>
        <v>No</v>
      </c>
      <c r="K5958" s="25" t="str">
        <f t="shared" si="65"/>
        <v/>
      </c>
      <c r="L5958" s="25" t="str">
        <f t="shared" si="66"/>
        <v/>
      </c>
      <c r="M5958" s="25"/>
      <c r="O5958" s="25"/>
    </row>
    <row r="5959" ht="15.75" customHeight="1">
      <c r="A5959" s="25" t="str">
        <f>IFERROR(__xludf.DUMMYFUNCTION("IF(B5959="""","""",RIGHT(REGEXREPLACE(B5959&amp;"""",""[^0-9]"",""""),9))"),"755149414")</f>
        <v>755149414</v>
      </c>
      <c r="B5959" s="52">
        <v>7.55149414E8</v>
      </c>
      <c r="C5959" s="28" t="s">
        <v>5930</v>
      </c>
      <c r="D5959" s="26" t="s">
        <v>56</v>
      </c>
      <c r="E5959" s="31">
        <v>46239.0</v>
      </c>
      <c r="F5959" s="26" t="s">
        <v>46</v>
      </c>
      <c r="G5959" s="26">
        <v>7.0</v>
      </c>
      <c r="I5959" s="26" t="s">
        <v>883</v>
      </c>
      <c r="J5959" s="25" t="str">
        <f t="shared" si="64"/>
        <v>No</v>
      </c>
      <c r="K5959" s="25" t="str">
        <f t="shared" si="65"/>
        <v/>
      </c>
      <c r="L5959" s="25" t="str">
        <f t="shared" si="66"/>
        <v/>
      </c>
      <c r="M5959" s="25"/>
      <c r="O5959" s="25"/>
    </row>
    <row r="5960" ht="15.75" customHeight="1">
      <c r="A5960" s="25" t="str">
        <f>IFERROR(__xludf.DUMMYFUNCTION("IF(B5960="""","""",RIGHT(REGEXREPLACE(B5960&amp;"""",""[^0-9]"",""""),9))"),"727556633")</f>
        <v>727556633</v>
      </c>
      <c r="B5960" s="52">
        <v>7.27556633E8</v>
      </c>
      <c r="C5960" s="28" t="s">
        <v>5931</v>
      </c>
      <c r="D5960" s="26" t="s">
        <v>82</v>
      </c>
      <c r="E5960" s="31">
        <v>46239.0</v>
      </c>
      <c r="F5960" s="26" t="s">
        <v>41</v>
      </c>
      <c r="G5960" s="26">
        <v>6.0</v>
      </c>
      <c r="I5960" s="26" t="s">
        <v>883</v>
      </c>
      <c r="J5960" s="25" t="str">
        <f t="shared" si="64"/>
        <v>No</v>
      </c>
      <c r="K5960" s="25" t="str">
        <f t="shared" si="65"/>
        <v/>
      </c>
      <c r="L5960" s="25" t="str">
        <f t="shared" si="66"/>
        <v/>
      </c>
      <c r="M5960" s="25"/>
      <c r="O5960" s="25"/>
    </row>
    <row r="5961" ht="15.75" customHeight="1">
      <c r="A5961" s="25" t="str">
        <f>IFERROR(__xludf.DUMMYFUNCTION("IF(B5961="""","""",RIGHT(REGEXREPLACE(B5961&amp;"""",""[^0-9]"",""""),9))"),"767278645")</f>
        <v>767278645</v>
      </c>
      <c r="B5961" s="52">
        <v>7.67278645E8</v>
      </c>
      <c r="C5961" s="28" t="s">
        <v>5932</v>
      </c>
      <c r="D5961" s="26" t="s">
        <v>45</v>
      </c>
      <c r="E5961" s="31">
        <v>46239.0</v>
      </c>
      <c r="F5961" s="26" t="s">
        <v>46</v>
      </c>
      <c r="G5961" s="26">
        <v>9.0</v>
      </c>
      <c r="H5961" s="26" t="s">
        <v>720</v>
      </c>
      <c r="I5961" s="26" t="s">
        <v>883</v>
      </c>
      <c r="J5961" s="25" t="str">
        <f t="shared" si="64"/>
        <v>No</v>
      </c>
      <c r="K5961" s="25" t="str">
        <f t="shared" si="65"/>
        <v/>
      </c>
      <c r="L5961" s="25" t="str">
        <f t="shared" si="66"/>
        <v/>
      </c>
      <c r="M5961" s="25"/>
      <c r="O5961" s="25"/>
    </row>
    <row r="5962" ht="15.75" customHeight="1">
      <c r="A5962" s="25" t="str">
        <f>IFERROR(__xludf.DUMMYFUNCTION("IF(B5962="""","""",RIGHT(REGEXREPLACE(B5962&amp;"""",""[^0-9]"",""""),9))"),"741584501")</f>
        <v>741584501</v>
      </c>
      <c r="B5962" s="52">
        <v>7.41584501E8</v>
      </c>
      <c r="C5962" s="28" t="s">
        <v>5933</v>
      </c>
      <c r="D5962" s="26" t="s">
        <v>64</v>
      </c>
      <c r="E5962" s="31">
        <v>46239.0</v>
      </c>
      <c r="F5962" s="26" t="s">
        <v>46</v>
      </c>
      <c r="G5962" s="26">
        <v>8.0</v>
      </c>
      <c r="I5962" s="26" t="s">
        <v>883</v>
      </c>
      <c r="J5962" s="25" t="str">
        <f t="shared" si="64"/>
        <v>No</v>
      </c>
      <c r="K5962" s="25" t="str">
        <f t="shared" si="65"/>
        <v/>
      </c>
      <c r="L5962" s="25" t="str">
        <f t="shared" si="66"/>
        <v/>
      </c>
      <c r="M5962" s="25"/>
      <c r="O5962" s="25"/>
    </row>
    <row r="5963" ht="15.75" customHeight="1">
      <c r="A5963" s="25" t="str">
        <f>IFERROR(__xludf.DUMMYFUNCTION("IF(B5963="""","""",RIGHT(REGEXREPLACE(B5963&amp;"""",""[^0-9]"",""""),9))"),"705313108")</f>
        <v>705313108</v>
      </c>
      <c r="B5963" s="52">
        <v>7.05313108E8</v>
      </c>
      <c r="C5963" s="28" t="s">
        <v>5934</v>
      </c>
      <c r="D5963" s="26" t="s">
        <v>49</v>
      </c>
      <c r="E5963" s="31">
        <v>46239.0</v>
      </c>
      <c r="F5963" s="26" t="s">
        <v>205</v>
      </c>
      <c r="I5963" s="26" t="s">
        <v>883</v>
      </c>
      <c r="J5963" s="25" t="str">
        <f t="shared" si="64"/>
        <v>No</v>
      </c>
      <c r="K5963" s="25" t="str">
        <f t="shared" si="65"/>
        <v/>
      </c>
      <c r="L5963" s="25" t="str">
        <f t="shared" si="66"/>
        <v/>
      </c>
      <c r="M5963" s="25"/>
      <c r="O5963" s="25"/>
    </row>
    <row r="5964" ht="15.75" customHeight="1">
      <c r="A5964" s="25" t="str">
        <f>IFERROR(__xludf.DUMMYFUNCTION("IF(B5964="""","""",RIGHT(REGEXREPLACE(B5964&amp;"""",""[^0-9]"",""""),9))"),"760211557")</f>
        <v>760211557</v>
      </c>
      <c r="B5964" s="52">
        <v>7.60211557E8</v>
      </c>
      <c r="C5964" s="28" t="s">
        <v>5935</v>
      </c>
      <c r="D5964" s="26" t="s">
        <v>82</v>
      </c>
      <c r="E5964" s="31">
        <v>46239.0</v>
      </c>
      <c r="F5964" s="26" t="s">
        <v>46</v>
      </c>
      <c r="G5964" s="26">
        <v>7.0</v>
      </c>
      <c r="H5964" s="26" t="s">
        <v>5936</v>
      </c>
      <c r="I5964" s="26" t="s">
        <v>883</v>
      </c>
      <c r="J5964" s="25" t="str">
        <f t="shared" si="64"/>
        <v>No</v>
      </c>
      <c r="K5964" s="25" t="str">
        <f t="shared" si="65"/>
        <v/>
      </c>
      <c r="L5964" s="25" t="str">
        <f t="shared" si="66"/>
        <v/>
      </c>
      <c r="M5964" s="25"/>
      <c r="O5964" s="25"/>
    </row>
    <row r="5965" ht="15.75" customHeight="1">
      <c r="A5965" s="25" t="str">
        <f>IFERROR(__xludf.DUMMYFUNCTION("IF(B5965="""","""",RIGHT(REGEXREPLACE(B5965&amp;"""",""[^0-9]"",""""),9))"),"756804426")</f>
        <v>756804426</v>
      </c>
      <c r="B5965" s="52">
        <v>7.56804426E8</v>
      </c>
      <c r="C5965" s="28" t="s">
        <v>5937</v>
      </c>
      <c r="D5965" s="26" t="s">
        <v>45</v>
      </c>
      <c r="E5965" s="31">
        <v>46239.0</v>
      </c>
      <c r="F5965" s="26" t="s">
        <v>46</v>
      </c>
      <c r="G5965" s="26">
        <v>8.0</v>
      </c>
      <c r="I5965" s="26" t="s">
        <v>883</v>
      </c>
      <c r="J5965" s="25" t="str">
        <f t="shared" si="64"/>
        <v>No</v>
      </c>
      <c r="K5965" s="25" t="str">
        <f t="shared" si="65"/>
        <v/>
      </c>
      <c r="L5965" s="25" t="str">
        <f t="shared" si="66"/>
        <v/>
      </c>
      <c r="M5965" s="25"/>
      <c r="O5965" s="25"/>
    </row>
    <row r="5966" ht="15.75" customHeight="1">
      <c r="A5966" s="25" t="str">
        <f>IFERROR(__xludf.DUMMYFUNCTION("IF(B5966="""","""",RIGHT(REGEXREPLACE(B5966&amp;"""",""[^0-9]"",""""),9))"),"783784664")</f>
        <v>783784664</v>
      </c>
      <c r="B5966" s="52">
        <v>7.83784664E8</v>
      </c>
      <c r="C5966" s="28" t="s">
        <v>5938</v>
      </c>
      <c r="D5966" s="26" t="s">
        <v>56</v>
      </c>
      <c r="E5966" s="31">
        <v>46239.0</v>
      </c>
      <c r="F5966" s="26" t="s">
        <v>46</v>
      </c>
      <c r="G5966" s="26">
        <v>6.0</v>
      </c>
      <c r="I5966" s="26" t="s">
        <v>883</v>
      </c>
      <c r="J5966" s="25" t="str">
        <f t="shared" si="64"/>
        <v>No</v>
      </c>
      <c r="K5966" s="25" t="str">
        <f t="shared" si="65"/>
        <v/>
      </c>
      <c r="L5966" s="25" t="str">
        <f t="shared" si="66"/>
        <v/>
      </c>
      <c r="M5966" s="25"/>
      <c r="O5966" s="26" t="s">
        <v>51</v>
      </c>
    </row>
    <row r="5967" ht="15.75" customHeight="1">
      <c r="A5967" s="25" t="str">
        <f>IFERROR(__xludf.DUMMYFUNCTION("IF(B5967="""","""",RIGHT(REGEXREPLACE(B5967&amp;"""",""[^0-9]"",""""),9))"),"761848289")</f>
        <v>761848289</v>
      </c>
      <c r="B5967" s="52">
        <v>7.61848289E8</v>
      </c>
      <c r="C5967" s="28" t="s">
        <v>5939</v>
      </c>
      <c r="D5967" s="26" t="s">
        <v>64</v>
      </c>
      <c r="E5967" s="31">
        <v>46239.0</v>
      </c>
      <c r="F5967" s="26" t="s">
        <v>46</v>
      </c>
      <c r="G5967" s="26">
        <v>6.0</v>
      </c>
      <c r="I5967" s="26" t="s">
        <v>883</v>
      </c>
      <c r="J5967" s="25" t="str">
        <f t="shared" si="64"/>
        <v>No</v>
      </c>
      <c r="K5967" s="25" t="str">
        <f t="shared" si="65"/>
        <v/>
      </c>
      <c r="L5967" s="25" t="str">
        <f t="shared" si="66"/>
        <v/>
      </c>
      <c r="M5967" s="25"/>
      <c r="O5967" s="25"/>
    </row>
    <row r="5968" ht="15.75" customHeight="1">
      <c r="A5968" s="25" t="str">
        <f>IFERROR(__xludf.DUMMYFUNCTION("IF(B5968="""","""",RIGHT(REGEXREPLACE(B5968&amp;"""",""[^0-9]"",""""),9))"),"774943285")</f>
        <v>774943285</v>
      </c>
      <c r="B5968" s="52">
        <v>7.74943285E8</v>
      </c>
      <c r="C5968" s="28" t="s">
        <v>5940</v>
      </c>
      <c r="D5968" s="26" t="s">
        <v>49</v>
      </c>
      <c r="E5968" s="31">
        <v>46239.0</v>
      </c>
      <c r="F5968" s="26" t="s">
        <v>41</v>
      </c>
      <c r="G5968" s="26">
        <v>8.0</v>
      </c>
      <c r="I5968" s="26" t="s">
        <v>883</v>
      </c>
      <c r="J5968" s="25" t="str">
        <f t="shared" si="64"/>
        <v>No</v>
      </c>
      <c r="K5968" s="25" t="str">
        <f t="shared" si="65"/>
        <v/>
      </c>
      <c r="L5968" s="25" t="str">
        <f t="shared" si="66"/>
        <v/>
      </c>
      <c r="M5968" s="25"/>
      <c r="O5968" s="26" t="s">
        <v>51</v>
      </c>
    </row>
    <row r="5969" ht="15.75" customHeight="1">
      <c r="A5969" s="25" t="str">
        <f>IFERROR(__xludf.DUMMYFUNCTION("IF(B5969="""","""",RIGHT(REGEXREPLACE(B5969&amp;"""",""[^0-9]"",""""),9))"),"778430457")</f>
        <v>778430457</v>
      </c>
      <c r="B5969" s="52">
        <v>7.78430457E8</v>
      </c>
      <c r="C5969" s="28" t="s">
        <v>5941</v>
      </c>
      <c r="D5969" s="26" t="s">
        <v>56</v>
      </c>
      <c r="E5969" s="31">
        <v>46239.0</v>
      </c>
      <c r="F5969" s="26" t="s">
        <v>46</v>
      </c>
      <c r="G5969" s="26">
        <v>7.0</v>
      </c>
      <c r="I5969" s="26" t="s">
        <v>883</v>
      </c>
      <c r="J5969" s="25" t="str">
        <f t="shared" si="64"/>
        <v>No</v>
      </c>
      <c r="K5969" s="25" t="str">
        <f t="shared" si="65"/>
        <v/>
      </c>
      <c r="L5969" s="25" t="str">
        <f t="shared" si="66"/>
        <v/>
      </c>
      <c r="M5969" s="25"/>
      <c r="O5969" s="25"/>
    </row>
    <row r="5970" ht="15.75" customHeight="1">
      <c r="A5970" s="25" t="str">
        <f>IFERROR(__xludf.DUMMYFUNCTION("IF(B5970="""","""",RIGHT(REGEXREPLACE(B5970&amp;"""",""[^0-9]"",""""),9))"),"770714243")</f>
        <v>770714243</v>
      </c>
      <c r="B5970" s="52">
        <v>7.70714243E8</v>
      </c>
      <c r="C5970" s="28" t="s">
        <v>5942</v>
      </c>
      <c r="D5970" s="26" t="s">
        <v>82</v>
      </c>
      <c r="E5970" s="31">
        <v>46239.0</v>
      </c>
      <c r="F5970" s="26" t="s">
        <v>41</v>
      </c>
      <c r="G5970" s="26">
        <v>7.0</v>
      </c>
      <c r="I5970" s="26" t="s">
        <v>883</v>
      </c>
      <c r="J5970" s="25" t="str">
        <f t="shared" si="64"/>
        <v>No</v>
      </c>
      <c r="K5970" s="25" t="str">
        <f t="shared" si="65"/>
        <v/>
      </c>
      <c r="L5970" s="25" t="str">
        <f t="shared" si="66"/>
        <v/>
      </c>
      <c r="M5970" s="25"/>
      <c r="O5970" s="25"/>
    </row>
    <row r="5971" ht="15.75" customHeight="1">
      <c r="A5971" s="25" t="str">
        <f>IFERROR(__xludf.DUMMYFUNCTION("IF(B5971="""","""",RIGHT(REGEXREPLACE(B5971&amp;"""",""[^0-9]"",""""),9))"),"770714243")</f>
        <v>770714243</v>
      </c>
      <c r="B5971" s="52">
        <v>7.70714243E8</v>
      </c>
      <c r="C5971" s="28" t="s">
        <v>5942</v>
      </c>
      <c r="D5971" s="26" t="s">
        <v>45</v>
      </c>
      <c r="E5971" s="31">
        <v>46239.0</v>
      </c>
      <c r="F5971" s="26" t="s">
        <v>659</v>
      </c>
      <c r="G5971" s="26">
        <v>7.0</v>
      </c>
      <c r="I5971" s="26" t="s">
        <v>883</v>
      </c>
      <c r="J5971" s="25" t="str">
        <f t="shared" si="64"/>
        <v>Yes - see Previous F-Code</v>
      </c>
      <c r="K5971" s="25" t="str">
        <f t="shared" si="65"/>
        <v>DUPLICATE - CHECK</v>
      </c>
      <c r="L5971" s="25" t="str">
        <f t="shared" si="66"/>
        <v>F75365</v>
      </c>
      <c r="M5971" s="25"/>
      <c r="O5971" s="25"/>
    </row>
    <row r="5972" ht="15.75" customHeight="1">
      <c r="A5972" s="25" t="str">
        <f>IFERROR(__xludf.DUMMYFUNCTION("IF(B5972="""","""",RIGHT(REGEXREPLACE(B5972&amp;"""",""[^0-9]"",""""),9))"),"775019899")</f>
        <v>775019899</v>
      </c>
      <c r="B5972" s="52">
        <v>7.75019899E8</v>
      </c>
      <c r="C5972" s="28" t="s">
        <v>5943</v>
      </c>
      <c r="D5972" s="26" t="s">
        <v>64</v>
      </c>
      <c r="E5972" s="31">
        <v>46239.0</v>
      </c>
      <c r="F5972" s="26" t="s">
        <v>46</v>
      </c>
      <c r="G5972" s="26">
        <v>7.0</v>
      </c>
      <c r="I5972" s="26" t="s">
        <v>883</v>
      </c>
      <c r="J5972" s="25" t="str">
        <f t="shared" si="64"/>
        <v>No</v>
      </c>
      <c r="K5972" s="25" t="str">
        <f t="shared" si="65"/>
        <v/>
      </c>
      <c r="L5972" s="25" t="str">
        <f t="shared" si="66"/>
        <v/>
      </c>
      <c r="M5972" s="25"/>
      <c r="O5972" s="25"/>
    </row>
    <row r="5973" ht="15.75" customHeight="1">
      <c r="A5973" s="25" t="str">
        <f>IFERROR(__xludf.DUMMYFUNCTION("IF(B5973="""","""",RIGHT(REGEXREPLACE(B5973&amp;"""",""[^0-9]"",""""),9))"),"774526664")</f>
        <v>774526664</v>
      </c>
      <c r="B5973" s="52">
        <v>7.74526664E8</v>
      </c>
      <c r="C5973" s="28" t="s">
        <v>5944</v>
      </c>
      <c r="D5973" s="26" t="s">
        <v>49</v>
      </c>
      <c r="E5973" s="31">
        <v>46239.0</v>
      </c>
      <c r="F5973" s="26" t="s">
        <v>46</v>
      </c>
      <c r="G5973" s="26">
        <v>10.0</v>
      </c>
      <c r="I5973" s="26" t="s">
        <v>883</v>
      </c>
      <c r="J5973" s="25" t="str">
        <f t="shared" si="64"/>
        <v>No</v>
      </c>
      <c r="K5973" s="25" t="str">
        <f t="shared" si="65"/>
        <v/>
      </c>
      <c r="L5973" s="25" t="str">
        <f t="shared" si="66"/>
        <v/>
      </c>
      <c r="M5973" s="25"/>
      <c r="O5973" s="25"/>
    </row>
    <row r="5974" ht="15.75" customHeight="1">
      <c r="A5974" s="25" t="str">
        <f>IFERROR(__xludf.DUMMYFUNCTION("IF(B5974="""","""",RIGHT(REGEXREPLACE(B5974&amp;"""",""[^0-9]"",""""),9))"),"760465618")</f>
        <v>760465618</v>
      </c>
      <c r="B5974" s="52">
        <v>7.60465618E8</v>
      </c>
      <c r="C5974" s="28" t="s">
        <v>5945</v>
      </c>
      <c r="D5974" s="26" t="s">
        <v>45</v>
      </c>
      <c r="E5974" s="31">
        <v>46252.0</v>
      </c>
      <c r="F5974" s="26" t="s">
        <v>41</v>
      </c>
      <c r="G5974" s="26">
        <v>7.0</v>
      </c>
      <c r="I5974" s="26" t="s">
        <v>883</v>
      </c>
      <c r="J5974" s="25" t="str">
        <f t="shared" si="64"/>
        <v>No</v>
      </c>
      <c r="K5974" s="25" t="str">
        <f t="shared" si="65"/>
        <v/>
      </c>
      <c r="L5974" s="25" t="str">
        <f t="shared" si="66"/>
        <v/>
      </c>
      <c r="M5974" s="25"/>
      <c r="O5974" s="25"/>
    </row>
    <row r="5975" ht="15.75" customHeight="1">
      <c r="A5975" s="25" t="str">
        <f>IFERROR(__xludf.DUMMYFUNCTION("IF(B5975="""","""",RIGHT(REGEXREPLACE(B5975&amp;"""",""[^0-9]"",""""),9))"),"714219048")</f>
        <v>714219048</v>
      </c>
      <c r="B5975" s="52">
        <v>4.714219048E9</v>
      </c>
      <c r="C5975" s="28" t="s">
        <v>5946</v>
      </c>
      <c r="D5975" s="26" t="s">
        <v>64</v>
      </c>
      <c r="E5975" s="31">
        <v>46239.0</v>
      </c>
      <c r="F5975" s="26" t="s">
        <v>46</v>
      </c>
      <c r="G5975" s="26">
        <v>9.0</v>
      </c>
      <c r="I5975" s="26" t="s">
        <v>883</v>
      </c>
      <c r="J5975" s="25" t="str">
        <f t="shared" si="64"/>
        <v>No</v>
      </c>
      <c r="K5975" s="25" t="str">
        <f t="shared" si="65"/>
        <v/>
      </c>
      <c r="L5975" s="25" t="str">
        <f t="shared" si="66"/>
        <v/>
      </c>
      <c r="M5975" s="25"/>
      <c r="O5975" s="25"/>
    </row>
    <row r="5976" ht="15.75" customHeight="1">
      <c r="A5976" s="25" t="str">
        <f>IFERROR(__xludf.DUMMYFUNCTION("IF(B5976="""","""",RIGHT(REGEXREPLACE(B5976&amp;"""",""[^0-9]"",""""),9))"),"713765033")</f>
        <v>713765033</v>
      </c>
      <c r="B5976" s="52">
        <v>7.13765033E8</v>
      </c>
      <c r="C5976" s="28" t="s">
        <v>5947</v>
      </c>
      <c r="D5976" s="26" t="s">
        <v>56</v>
      </c>
      <c r="E5976" s="31">
        <v>46239.0</v>
      </c>
      <c r="F5976" s="26" t="s">
        <v>46</v>
      </c>
      <c r="G5976" s="26">
        <v>7.0</v>
      </c>
      <c r="I5976" s="26" t="s">
        <v>883</v>
      </c>
      <c r="J5976" s="25" t="str">
        <f t="shared" si="64"/>
        <v>No</v>
      </c>
      <c r="K5976" s="25" t="str">
        <f t="shared" si="65"/>
        <v/>
      </c>
      <c r="L5976" s="25" t="str">
        <f t="shared" si="66"/>
        <v/>
      </c>
      <c r="M5976" s="25"/>
      <c r="O5976" s="25"/>
    </row>
    <row r="5977" ht="15.75" customHeight="1">
      <c r="A5977" s="25" t="str">
        <f>IFERROR(__xludf.DUMMYFUNCTION("IF(B5977="""","""",RIGHT(REGEXREPLACE(B5977&amp;"""",""[^0-9]"",""""),9))"),"705377569")</f>
        <v>705377569</v>
      </c>
      <c r="B5977" s="52">
        <v>7.05377569E8</v>
      </c>
      <c r="C5977" s="28" t="s">
        <v>5948</v>
      </c>
      <c r="D5977" s="26" t="s">
        <v>82</v>
      </c>
      <c r="E5977" s="31">
        <v>46239.0</v>
      </c>
      <c r="F5977" s="26" t="s">
        <v>46</v>
      </c>
      <c r="G5977" s="26">
        <v>7.0</v>
      </c>
      <c r="I5977" s="26" t="s">
        <v>883</v>
      </c>
      <c r="J5977" s="25" t="str">
        <f t="shared" si="64"/>
        <v>No</v>
      </c>
      <c r="K5977" s="25" t="str">
        <f t="shared" si="65"/>
        <v/>
      </c>
      <c r="L5977" s="25" t="str">
        <f t="shared" si="66"/>
        <v/>
      </c>
      <c r="M5977" s="25"/>
      <c r="O5977" s="25"/>
    </row>
    <row r="5978" ht="15.75" customHeight="1">
      <c r="A5978" s="25" t="str">
        <f>IFERROR(__xludf.DUMMYFUNCTION("IF(B5978="""","""",RIGHT(REGEXREPLACE(B5978&amp;"""",""[^0-9]"",""""),9))"),"762375672")</f>
        <v>762375672</v>
      </c>
      <c r="B5978" s="52">
        <v>7.62375672E8</v>
      </c>
      <c r="C5978" s="28" t="s">
        <v>5949</v>
      </c>
      <c r="D5978" s="26" t="s">
        <v>64</v>
      </c>
      <c r="E5978" s="31">
        <v>46239.0</v>
      </c>
      <c r="F5978" s="26" t="s">
        <v>46</v>
      </c>
      <c r="G5978" s="26">
        <v>8.0</v>
      </c>
      <c r="I5978" s="26" t="s">
        <v>883</v>
      </c>
      <c r="J5978" s="25" t="str">
        <f t="shared" si="64"/>
        <v>No</v>
      </c>
      <c r="K5978" s="25" t="str">
        <f t="shared" si="65"/>
        <v/>
      </c>
      <c r="L5978" s="25" t="str">
        <f t="shared" si="66"/>
        <v/>
      </c>
      <c r="M5978" s="25"/>
      <c r="O5978" s="25"/>
    </row>
    <row r="5979" ht="15.75" customHeight="1">
      <c r="A5979" s="25" t="str">
        <f>IFERROR(__xludf.DUMMYFUNCTION("IF(B5979="""","""",RIGHT(REGEXREPLACE(B5979&amp;"""",""[^0-9]"",""""),9))"),"762210215")</f>
        <v>762210215</v>
      </c>
      <c r="B5979" s="52">
        <v>7.62210215E8</v>
      </c>
      <c r="C5979" s="28" t="s">
        <v>5950</v>
      </c>
      <c r="D5979" s="26" t="s">
        <v>45</v>
      </c>
      <c r="E5979" s="31">
        <v>46239.0</v>
      </c>
      <c r="F5979" s="26" t="s">
        <v>46</v>
      </c>
      <c r="G5979" s="26">
        <v>10.0</v>
      </c>
      <c r="I5979" s="26" t="s">
        <v>883</v>
      </c>
      <c r="J5979" s="25" t="str">
        <f t="shared" si="64"/>
        <v>No</v>
      </c>
      <c r="K5979" s="25" t="str">
        <f t="shared" si="65"/>
        <v/>
      </c>
      <c r="L5979" s="25" t="str">
        <f t="shared" si="66"/>
        <v/>
      </c>
      <c r="M5979" s="25"/>
      <c r="O5979" s="25"/>
    </row>
    <row r="5980" ht="15.75" customHeight="1">
      <c r="A5980" s="25" t="str">
        <f>IFERROR(__xludf.DUMMYFUNCTION("IF(B5980="""","""",RIGHT(REGEXREPLACE(B5980&amp;"""",""[^0-9]"",""""),9))"),"715479279")</f>
        <v>715479279</v>
      </c>
      <c r="B5980" s="52">
        <v>7.15479279E8</v>
      </c>
      <c r="C5980" s="28" t="s">
        <v>5951</v>
      </c>
      <c r="D5980" s="26" t="s">
        <v>56</v>
      </c>
      <c r="E5980" s="31">
        <v>46239.0</v>
      </c>
      <c r="F5980" s="26" t="s">
        <v>46</v>
      </c>
      <c r="G5980" s="26">
        <v>8.0</v>
      </c>
      <c r="I5980" s="26" t="s">
        <v>883</v>
      </c>
      <c r="J5980" s="25" t="str">
        <f t="shared" si="64"/>
        <v>No</v>
      </c>
      <c r="K5980" s="25" t="str">
        <f t="shared" si="65"/>
        <v/>
      </c>
      <c r="L5980" s="25" t="str">
        <f t="shared" si="66"/>
        <v/>
      </c>
      <c r="M5980" s="25"/>
      <c r="O5980" s="25"/>
    </row>
    <row r="5981" ht="15.75" customHeight="1">
      <c r="A5981" s="25" t="str">
        <f>IFERROR(__xludf.DUMMYFUNCTION("IF(B5981="""","""",RIGHT(REGEXREPLACE(B5981&amp;"""",""[^0-9]"",""""),9))"),"701366151")</f>
        <v>701366151</v>
      </c>
      <c r="B5981" s="52">
        <v>7.01366151E8</v>
      </c>
      <c r="C5981" s="28" t="s">
        <v>5952</v>
      </c>
      <c r="D5981" s="26" t="s">
        <v>49</v>
      </c>
      <c r="E5981" s="31">
        <v>46239.0</v>
      </c>
      <c r="F5981" s="26" t="s">
        <v>46</v>
      </c>
      <c r="G5981" s="26">
        <v>7.0</v>
      </c>
      <c r="H5981" s="26" t="s">
        <v>5953</v>
      </c>
      <c r="I5981" s="26" t="s">
        <v>883</v>
      </c>
      <c r="J5981" s="25" t="str">
        <f t="shared" si="64"/>
        <v>No</v>
      </c>
      <c r="K5981" s="25" t="str">
        <f t="shared" si="65"/>
        <v/>
      </c>
      <c r="L5981" s="25" t="str">
        <f t="shared" si="66"/>
        <v/>
      </c>
      <c r="M5981" s="25"/>
      <c r="O5981" s="25"/>
    </row>
    <row r="5982" ht="15.75" customHeight="1">
      <c r="A5982" s="25" t="str">
        <f>IFERROR(__xludf.DUMMYFUNCTION("IF(B5982="""","""",RIGHT(REGEXREPLACE(B5982&amp;"""",""[^0-9]"",""""),9))"),"777194135")</f>
        <v>777194135</v>
      </c>
      <c r="B5982" s="52">
        <v>7.77194135E8</v>
      </c>
      <c r="C5982" s="28" t="s">
        <v>5954</v>
      </c>
      <c r="D5982" s="26" t="s">
        <v>45</v>
      </c>
      <c r="E5982" s="31">
        <v>46239.0</v>
      </c>
      <c r="F5982" s="26" t="s">
        <v>41</v>
      </c>
      <c r="I5982" s="26" t="s">
        <v>883</v>
      </c>
      <c r="J5982" s="25" t="str">
        <f t="shared" si="64"/>
        <v>No</v>
      </c>
      <c r="K5982" s="25" t="str">
        <f t="shared" si="65"/>
        <v/>
      </c>
      <c r="L5982" s="25" t="str">
        <f t="shared" si="66"/>
        <v/>
      </c>
      <c r="M5982" s="25"/>
      <c r="O5982" s="25"/>
    </row>
    <row r="5983" ht="15.75" customHeight="1">
      <c r="A5983" s="25" t="str">
        <f>IFERROR(__xludf.DUMMYFUNCTION("IF(B5983="""","""",RIGHT(REGEXREPLACE(B5983&amp;"""",""[^0-9]"",""""),9))"),"771006171")</f>
        <v>771006171</v>
      </c>
      <c r="B5983" s="52">
        <v>7.71006171E8</v>
      </c>
      <c r="C5983" s="28" t="s">
        <v>5955</v>
      </c>
      <c r="D5983" s="26" t="s">
        <v>56</v>
      </c>
      <c r="E5983" s="31">
        <v>46239.0</v>
      </c>
      <c r="F5983" s="26" t="s">
        <v>46</v>
      </c>
      <c r="G5983" s="26">
        <v>7.0</v>
      </c>
      <c r="I5983" s="26" t="s">
        <v>883</v>
      </c>
      <c r="J5983" s="25" t="str">
        <f t="shared" si="64"/>
        <v>No</v>
      </c>
      <c r="K5983" s="25" t="str">
        <f t="shared" si="65"/>
        <v/>
      </c>
      <c r="L5983" s="25" t="str">
        <f t="shared" si="66"/>
        <v/>
      </c>
      <c r="M5983" s="25"/>
      <c r="O5983" s="25"/>
    </row>
    <row r="5984" ht="15.75" customHeight="1">
      <c r="A5984" s="25" t="str">
        <f>IFERROR(__xludf.DUMMYFUNCTION("IF(B5984="""","""",RIGHT(REGEXREPLACE(B5984&amp;"""",""[^0-9]"",""""),9))"),"777806126")</f>
        <v>777806126</v>
      </c>
      <c r="B5984" s="52">
        <v>7.77806126E8</v>
      </c>
      <c r="C5984" s="28" t="s">
        <v>5956</v>
      </c>
      <c r="D5984" s="26" t="s">
        <v>45</v>
      </c>
      <c r="E5984" s="31">
        <v>46239.0</v>
      </c>
      <c r="F5984" s="26" t="s">
        <v>46</v>
      </c>
      <c r="G5984" s="26">
        <v>6.0</v>
      </c>
      <c r="I5984" s="26" t="s">
        <v>883</v>
      </c>
      <c r="J5984" s="25" t="str">
        <f t="shared" si="64"/>
        <v>No</v>
      </c>
      <c r="K5984" s="25" t="str">
        <f t="shared" si="65"/>
        <v/>
      </c>
      <c r="L5984" s="25" t="str">
        <f t="shared" si="66"/>
        <v/>
      </c>
      <c r="M5984" s="25"/>
      <c r="O5984" s="25"/>
    </row>
    <row r="5985" ht="15.75" customHeight="1">
      <c r="A5985" s="25" t="str">
        <f>IFERROR(__xludf.DUMMYFUNCTION("IF(B5985="""","""",RIGHT(REGEXREPLACE(B5985&amp;"""",""[^0-9]"",""""),9))"),"761643823")</f>
        <v>761643823</v>
      </c>
      <c r="B5985" s="52">
        <v>7.61643823E8</v>
      </c>
      <c r="C5985" s="28" t="s">
        <v>5957</v>
      </c>
      <c r="D5985" s="26" t="s">
        <v>82</v>
      </c>
      <c r="E5985" s="31">
        <v>46239.0</v>
      </c>
      <c r="F5985" s="26" t="s">
        <v>41</v>
      </c>
      <c r="G5985" s="26">
        <v>6.0</v>
      </c>
      <c r="I5985" s="26" t="s">
        <v>883</v>
      </c>
      <c r="J5985" s="25" t="str">
        <f t="shared" si="64"/>
        <v>No</v>
      </c>
      <c r="K5985" s="25" t="str">
        <f t="shared" si="65"/>
        <v/>
      </c>
      <c r="L5985" s="25" t="str">
        <f t="shared" si="66"/>
        <v/>
      </c>
      <c r="M5985" s="25"/>
      <c r="O5985" s="25"/>
    </row>
    <row r="5986" ht="15.75" customHeight="1">
      <c r="A5986" s="25" t="str">
        <f>IFERROR(__xludf.DUMMYFUNCTION("IF(B5986="""","""",RIGHT(REGEXREPLACE(B5986&amp;"""",""[^0-9]"",""""),9))"),"702026255")</f>
        <v>702026255</v>
      </c>
      <c r="B5986" s="52">
        <v>7.02026255E8</v>
      </c>
      <c r="C5986" s="28" t="s">
        <v>5958</v>
      </c>
      <c r="D5986" s="26" t="s">
        <v>49</v>
      </c>
      <c r="E5986" s="31">
        <v>46239.0</v>
      </c>
      <c r="F5986" s="26" t="s">
        <v>46</v>
      </c>
      <c r="G5986" s="26">
        <v>7.0</v>
      </c>
      <c r="H5986" s="26" t="s">
        <v>5959</v>
      </c>
      <c r="I5986" s="26" t="s">
        <v>883</v>
      </c>
      <c r="J5986" s="25" t="str">
        <f t="shared" si="64"/>
        <v>No</v>
      </c>
      <c r="K5986" s="25" t="str">
        <f t="shared" si="65"/>
        <v/>
      </c>
      <c r="L5986" s="25" t="str">
        <f t="shared" si="66"/>
        <v/>
      </c>
      <c r="M5986" s="25"/>
      <c r="O5986" s="25"/>
    </row>
    <row r="5987" ht="15.75" customHeight="1">
      <c r="A5987" s="25" t="str">
        <f>IFERROR(__xludf.DUMMYFUNCTION("IF(B5987="""","""",RIGHT(REGEXREPLACE(B5987&amp;"""",""[^0-9]"",""""),9))"),"718877506")</f>
        <v>718877506</v>
      </c>
      <c r="B5987" s="52">
        <v>7.18877506E8</v>
      </c>
      <c r="C5987" s="28" t="s">
        <v>5960</v>
      </c>
      <c r="D5987" s="26" t="s">
        <v>56</v>
      </c>
      <c r="E5987" s="31">
        <v>46239.0</v>
      </c>
      <c r="F5987" s="26" t="s">
        <v>41</v>
      </c>
      <c r="G5987" s="26">
        <v>7.0</v>
      </c>
      <c r="I5987" s="26" t="s">
        <v>883</v>
      </c>
      <c r="J5987" s="25" t="str">
        <f t="shared" si="64"/>
        <v>No</v>
      </c>
      <c r="K5987" s="25" t="str">
        <f t="shared" si="65"/>
        <v/>
      </c>
      <c r="L5987" s="25" t="str">
        <f t="shared" si="66"/>
        <v/>
      </c>
      <c r="M5987" s="25"/>
      <c r="O5987" s="25"/>
    </row>
    <row r="5988" ht="15.75" customHeight="1">
      <c r="A5988" s="25" t="str">
        <f>IFERROR(__xludf.DUMMYFUNCTION("IF(B5988="""","""",RIGHT(REGEXREPLACE(B5988&amp;"""",""[^0-9]"",""""),9))"),"778228855")</f>
        <v>778228855</v>
      </c>
      <c r="B5988" s="52">
        <v>7.78228855E8</v>
      </c>
      <c r="C5988" s="28" t="s">
        <v>5961</v>
      </c>
      <c r="D5988" s="26" t="s">
        <v>64</v>
      </c>
      <c r="E5988" s="31">
        <v>46239.0</v>
      </c>
      <c r="F5988" s="26" t="s">
        <v>205</v>
      </c>
      <c r="G5988" s="26">
        <v>6.0</v>
      </c>
      <c r="I5988" s="26" t="s">
        <v>883</v>
      </c>
      <c r="J5988" s="25" t="str">
        <f t="shared" si="64"/>
        <v>No</v>
      </c>
      <c r="K5988" s="25" t="str">
        <f t="shared" si="65"/>
        <v/>
      </c>
      <c r="L5988" s="25" t="str">
        <f t="shared" si="66"/>
        <v/>
      </c>
      <c r="M5988" s="25"/>
      <c r="O5988" s="25"/>
    </row>
    <row r="5989" ht="15.75" customHeight="1">
      <c r="A5989" s="25" t="str">
        <f>IFERROR(__xludf.DUMMYFUNCTION("IF(B5989="""","""",RIGHT(REGEXREPLACE(B5989&amp;"""",""[^0-9]"",""""),9))"),"717443131")</f>
        <v>717443131</v>
      </c>
      <c r="B5989" s="52">
        <v>7.17443131E8</v>
      </c>
      <c r="C5989" s="28" t="s">
        <v>4882</v>
      </c>
      <c r="D5989" s="26" t="s">
        <v>45</v>
      </c>
      <c r="E5989" s="31">
        <v>46239.0</v>
      </c>
      <c r="F5989" s="26" t="s">
        <v>41</v>
      </c>
      <c r="I5989" s="26" t="s">
        <v>883</v>
      </c>
      <c r="J5989" s="25" t="str">
        <f t="shared" si="64"/>
        <v>Yes - see Previous F-Code</v>
      </c>
      <c r="K5989" s="25" t="str">
        <f t="shared" si="65"/>
        <v/>
      </c>
      <c r="L5989" s="25" t="str">
        <f t="shared" si="66"/>
        <v>F74450</v>
      </c>
      <c r="M5989" s="25"/>
      <c r="O5989" s="25"/>
    </row>
    <row r="5990" ht="15.75" customHeight="1">
      <c r="A5990" s="25" t="str">
        <f>IFERROR(__xludf.DUMMYFUNCTION("IF(B5990="""","""",RIGHT(REGEXREPLACE(B5990&amp;"""",""[^0-9]"",""""),9))"),"714869349")</f>
        <v>714869349</v>
      </c>
      <c r="B5990" s="52">
        <v>7.14869349E8</v>
      </c>
      <c r="C5990" s="28" t="s">
        <v>5962</v>
      </c>
      <c r="D5990" s="26" t="s">
        <v>45</v>
      </c>
      <c r="E5990" s="31">
        <v>46239.0</v>
      </c>
      <c r="F5990" s="26" t="s">
        <v>46</v>
      </c>
      <c r="G5990" s="26">
        <v>7.0</v>
      </c>
      <c r="I5990" s="26" t="s">
        <v>883</v>
      </c>
      <c r="J5990" s="25" t="str">
        <f t="shared" si="64"/>
        <v>No</v>
      </c>
      <c r="K5990" s="25" t="str">
        <f t="shared" si="65"/>
        <v/>
      </c>
      <c r="L5990" s="25" t="str">
        <f t="shared" si="66"/>
        <v/>
      </c>
      <c r="M5990" s="25"/>
      <c r="O5990" s="25"/>
    </row>
    <row r="5991" ht="15.75" customHeight="1">
      <c r="A5991" s="25" t="str">
        <f>IFERROR(__xludf.DUMMYFUNCTION("IF(B5991="""","""",RIGHT(REGEXREPLACE(B5991&amp;"""",""[^0-9]"",""""),9))"),"763777407")</f>
        <v>763777407</v>
      </c>
      <c r="B5991" s="52">
        <v>7.63777407E8</v>
      </c>
      <c r="C5991" s="28" t="s">
        <v>5963</v>
      </c>
      <c r="D5991" s="26" t="s">
        <v>82</v>
      </c>
      <c r="E5991" s="31">
        <v>46239.0</v>
      </c>
      <c r="F5991" s="26" t="s">
        <v>659</v>
      </c>
      <c r="G5991" s="26">
        <v>7.0</v>
      </c>
      <c r="I5991" s="26" t="s">
        <v>883</v>
      </c>
      <c r="J5991" s="25" t="str">
        <f t="shared" si="64"/>
        <v>No</v>
      </c>
      <c r="K5991" s="25" t="str">
        <f t="shared" si="65"/>
        <v/>
      </c>
      <c r="L5991" s="25" t="str">
        <f t="shared" si="66"/>
        <v/>
      </c>
      <c r="M5991" s="25"/>
      <c r="O5991" s="25"/>
    </row>
    <row r="5992" ht="15.75" customHeight="1">
      <c r="A5992" s="25" t="str">
        <f>IFERROR(__xludf.DUMMYFUNCTION("IF(B5992="""","""",RIGHT(REGEXREPLACE(B5992&amp;"""",""[^0-9]"",""""),9))"),"706298398")</f>
        <v>706298398</v>
      </c>
      <c r="B5992" s="52">
        <v>7.06298398E8</v>
      </c>
      <c r="C5992" s="28" t="s">
        <v>5964</v>
      </c>
      <c r="D5992" s="26" t="s">
        <v>64</v>
      </c>
      <c r="E5992" s="31">
        <v>46239.0</v>
      </c>
      <c r="F5992" s="26" t="s">
        <v>46</v>
      </c>
      <c r="H5992" s="26" t="s">
        <v>4883</v>
      </c>
      <c r="I5992" s="26" t="s">
        <v>883</v>
      </c>
      <c r="J5992" s="25" t="str">
        <f t="shared" si="64"/>
        <v>No</v>
      </c>
      <c r="K5992" s="25" t="str">
        <f t="shared" si="65"/>
        <v/>
      </c>
      <c r="L5992" s="25" t="str">
        <f t="shared" si="66"/>
        <v/>
      </c>
      <c r="M5992" s="25"/>
      <c r="O5992" s="25"/>
    </row>
    <row r="5993" ht="15.75" customHeight="1">
      <c r="A5993" s="25" t="str">
        <f>IFERROR(__xludf.DUMMYFUNCTION("IF(B5993="""","""",RIGHT(REGEXREPLACE(B5993&amp;"""",""[^0-9]"",""""),9))"),"770157152")</f>
        <v>770157152</v>
      </c>
      <c r="B5993" s="52">
        <v>7.70157152E8</v>
      </c>
      <c r="C5993" s="28" t="s">
        <v>5965</v>
      </c>
      <c r="D5993" s="26" t="s">
        <v>82</v>
      </c>
      <c r="E5993" s="31">
        <v>46239.0</v>
      </c>
      <c r="F5993" s="26" t="s">
        <v>46</v>
      </c>
      <c r="G5993" s="26">
        <v>6.0</v>
      </c>
      <c r="I5993" s="26" t="s">
        <v>883</v>
      </c>
      <c r="J5993" s="25" t="str">
        <f t="shared" si="64"/>
        <v>No</v>
      </c>
      <c r="K5993" s="25" t="str">
        <f t="shared" si="65"/>
        <v/>
      </c>
      <c r="L5993" s="25" t="str">
        <f t="shared" si="66"/>
        <v/>
      </c>
      <c r="M5993" s="25"/>
      <c r="O5993" s="25"/>
    </row>
    <row r="5994" ht="15.75" customHeight="1">
      <c r="A5994" s="25" t="str">
        <f>IFERROR(__xludf.DUMMYFUNCTION("IF(B5994="""","""",RIGHT(REGEXREPLACE(B5994&amp;"""",""[^0-9]"",""""),9))"),"760639399")</f>
        <v>760639399</v>
      </c>
      <c r="B5994" s="52">
        <v>7.60639399E8</v>
      </c>
      <c r="C5994" s="28" t="s">
        <v>5966</v>
      </c>
      <c r="D5994" s="26" t="s">
        <v>64</v>
      </c>
      <c r="E5994" s="31">
        <v>46239.0</v>
      </c>
      <c r="F5994" s="26" t="s">
        <v>46</v>
      </c>
      <c r="G5994" s="26">
        <v>8.0</v>
      </c>
      <c r="I5994" s="26" t="s">
        <v>883</v>
      </c>
      <c r="J5994" s="25" t="str">
        <f t="shared" si="64"/>
        <v>No</v>
      </c>
      <c r="K5994" s="25" t="str">
        <f t="shared" si="65"/>
        <v/>
      </c>
      <c r="L5994" s="25" t="str">
        <f t="shared" si="66"/>
        <v/>
      </c>
      <c r="M5994" s="25"/>
      <c r="O5994" s="25"/>
    </row>
    <row r="5995" ht="15.75" customHeight="1">
      <c r="A5995" s="25" t="str">
        <f>IFERROR(__xludf.DUMMYFUNCTION("IF(B5995="""","""",RIGHT(REGEXREPLACE(B5995&amp;"""",""[^0-9]"",""""),9))"),"711201508")</f>
        <v>711201508</v>
      </c>
      <c r="B5995" s="52">
        <v>7.11201508E8</v>
      </c>
      <c r="C5995" s="28" t="s">
        <v>5967</v>
      </c>
      <c r="D5995" s="26" t="s">
        <v>56</v>
      </c>
      <c r="E5995" s="31">
        <v>46239.0</v>
      </c>
      <c r="F5995" s="26" t="s">
        <v>46</v>
      </c>
      <c r="G5995" s="26">
        <v>7.0</v>
      </c>
      <c r="I5995" s="26" t="s">
        <v>883</v>
      </c>
      <c r="J5995" s="25" t="str">
        <f t="shared" si="64"/>
        <v>No</v>
      </c>
      <c r="K5995" s="25" t="str">
        <f t="shared" si="65"/>
        <v/>
      </c>
      <c r="L5995" s="25" t="str">
        <f t="shared" si="66"/>
        <v/>
      </c>
      <c r="M5995" s="25"/>
      <c r="O5995" s="25"/>
    </row>
    <row r="5996" ht="15.75" customHeight="1">
      <c r="A5996" s="25" t="str">
        <f>IFERROR(__xludf.DUMMYFUNCTION("IF(B5996="""","""",RIGHT(REGEXREPLACE(B5996&amp;"""",""[^0-9]"",""""),9))"),"764673650")</f>
        <v>764673650</v>
      </c>
      <c r="B5996" s="52">
        <v>7.6467365E8</v>
      </c>
      <c r="C5996" s="28" t="s">
        <v>5968</v>
      </c>
      <c r="D5996" s="26" t="s">
        <v>49</v>
      </c>
      <c r="E5996" s="31">
        <v>46239.0</v>
      </c>
      <c r="F5996" s="26" t="s">
        <v>659</v>
      </c>
      <c r="G5996" s="26">
        <v>10.0</v>
      </c>
      <c r="I5996" s="26" t="s">
        <v>883</v>
      </c>
      <c r="J5996" s="25" t="str">
        <f t="shared" si="64"/>
        <v>No</v>
      </c>
      <c r="K5996" s="25" t="str">
        <f t="shared" si="65"/>
        <v/>
      </c>
      <c r="L5996" s="25" t="str">
        <f t="shared" si="66"/>
        <v/>
      </c>
      <c r="M5996" s="25"/>
      <c r="O5996" s="25"/>
    </row>
    <row r="5997" ht="15.75" customHeight="1">
      <c r="A5997" s="25" t="str">
        <f>IFERROR(__xludf.DUMMYFUNCTION("IF(B5997="""","""",RIGHT(REGEXREPLACE(B5997&amp;"""",""[^0-9]"",""""),9))"),"779798440")</f>
        <v>779798440</v>
      </c>
      <c r="B5997" s="52">
        <v>7.7979844E8</v>
      </c>
      <c r="C5997" s="28" t="s">
        <v>5969</v>
      </c>
      <c r="D5997" s="26" t="s">
        <v>56</v>
      </c>
      <c r="E5997" s="31">
        <v>46239.0</v>
      </c>
      <c r="F5997" s="26" t="s">
        <v>41</v>
      </c>
      <c r="I5997" s="26" t="s">
        <v>883</v>
      </c>
      <c r="J5997" s="25" t="str">
        <f t="shared" si="64"/>
        <v>No</v>
      </c>
      <c r="K5997" s="25" t="str">
        <f t="shared" si="65"/>
        <v/>
      </c>
      <c r="L5997" s="25" t="str">
        <f t="shared" si="66"/>
        <v/>
      </c>
      <c r="M5997" s="25"/>
      <c r="O5997" s="25"/>
    </row>
    <row r="5998" ht="15.75" customHeight="1">
      <c r="A5998" s="25" t="str">
        <f>IFERROR(__xludf.DUMMYFUNCTION("IF(B5998="""","""",RIGHT(REGEXREPLACE(B5998&amp;"""",""[^0-9]"",""""),9))"),"772800342")</f>
        <v>772800342</v>
      </c>
      <c r="B5998" s="52">
        <v>7.72800342E8</v>
      </c>
      <c r="C5998" s="28" t="s">
        <v>5970</v>
      </c>
      <c r="D5998" s="26" t="s">
        <v>64</v>
      </c>
      <c r="E5998" s="31">
        <v>46239.0</v>
      </c>
      <c r="F5998" s="26" t="s">
        <v>41</v>
      </c>
      <c r="G5998" s="26">
        <v>8.0</v>
      </c>
      <c r="I5998" s="26" t="s">
        <v>883</v>
      </c>
      <c r="J5998" s="25" t="str">
        <f t="shared" si="64"/>
        <v>No</v>
      </c>
      <c r="K5998" s="25" t="str">
        <f t="shared" si="65"/>
        <v/>
      </c>
      <c r="L5998" s="25" t="str">
        <f t="shared" si="66"/>
        <v/>
      </c>
      <c r="M5998" s="25"/>
      <c r="O5998" s="25"/>
    </row>
    <row r="5999" ht="15.75" customHeight="1">
      <c r="A5999" s="25" t="str">
        <f>IFERROR(__xludf.DUMMYFUNCTION("IF(B5999="""","""",RIGHT(REGEXREPLACE(B5999&amp;"""",""[^0-9]"",""""),9))"),"718941999")</f>
        <v>718941999</v>
      </c>
      <c r="B5999" s="52">
        <v>7.18941999E8</v>
      </c>
      <c r="C5999" s="28" t="s">
        <v>5971</v>
      </c>
      <c r="D5999" s="26" t="s">
        <v>45</v>
      </c>
      <c r="E5999" s="31">
        <v>46239.0</v>
      </c>
      <c r="F5999" s="26" t="s">
        <v>41</v>
      </c>
      <c r="I5999" s="26" t="s">
        <v>883</v>
      </c>
      <c r="J5999" s="25" t="str">
        <f t="shared" si="64"/>
        <v>No</v>
      </c>
      <c r="K5999" s="25" t="str">
        <f t="shared" si="65"/>
        <v/>
      </c>
      <c r="L5999" s="25" t="str">
        <f t="shared" si="66"/>
        <v/>
      </c>
      <c r="M5999" s="25"/>
      <c r="O5999" s="25"/>
    </row>
    <row r="6000" ht="15.75" customHeight="1">
      <c r="A6000" s="25" t="str">
        <f>IFERROR(__xludf.DUMMYFUNCTION("IF(B6000="""","""",RIGHT(REGEXREPLACE(B6000&amp;"""",""[^0-9]"",""""),9))"),"776308419")</f>
        <v>776308419</v>
      </c>
      <c r="B6000" s="52">
        <v>7.76308419E8</v>
      </c>
      <c r="C6000" s="28" t="s">
        <v>5972</v>
      </c>
      <c r="D6000" s="26" t="s">
        <v>49</v>
      </c>
      <c r="E6000" s="31">
        <v>46239.0</v>
      </c>
      <c r="F6000" s="26" t="s">
        <v>46</v>
      </c>
      <c r="G6000" s="26">
        <v>8.0</v>
      </c>
      <c r="H6000" s="26" t="s">
        <v>5973</v>
      </c>
      <c r="I6000" s="26" t="s">
        <v>883</v>
      </c>
      <c r="J6000" s="25" t="str">
        <f t="shared" si="64"/>
        <v>No</v>
      </c>
      <c r="K6000" s="25" t="str">
        <f t="shared" si="65"/>
        <v/>
      </c>
      <c r="L6000" s="25" t="str">
        <f t="shared" si="66"/>
        <v/>
      </c>
      <c r="M6000" s="25"/>
      <c r="O6000" s="25"/>
    </row>
    <row r="6001" ht="15.75" customHeight="1">
      <c r="A6001" s="25" t="str">
        <f>IFERROR(__xludf.DUMMYFUNCTION("IF(B6001="""","""",RIGHT(REGEXREPLACE(B6001&amp;"""",""[^0-9]"",""""),9))"),"774631876")</f>
        <v>774631876</v>
      </c>
      <c r="B6001" s="52">
        <v>7.74631876E8</v>
      </c>
      <c r="C6001" s="28" t="s">
        <v>5974</v>
      </c>
      <c r="D6001" s="26" t="s">
        <v>82</v>
      </c>
      <c r="E6001" s="31">
        <v>46239.0</v>
      </c>
      <c r="F6001" s="26" t="s">
        <v>46</v>
      </c>
      <c r="G6001" s="26">
        <v>7.0</v>
      </c>
      <c r="I6001" s="26" t="s">
        <v>883</v>
      </c>
      <c r="J6001" s="25" t="str">
        <f t="shared" si="64"/>
        <v>No</v>
      </c>
      <c r="K6001" s="25" t="str">
        <f t="shared" si="65"/>
        <v/>
      </c>
      <c r="L6001" s="25" t="str">
        <f t="shared" si="66"/>
        <v/>
      </c>
      <c r="M6001" s="25"/>
      <c r="O6001" s="25"/>
    </row>
    <row r="6002" ht="15.75" customHeight="1">
      <c r="A6002" s="25" t="str">
        <f>IFERROR(__xludf.DUMMYFUNCTION("IF(B6002="""","""",RIGHT(REGEXREPLACE(B6002&amp;"""",""[^0-9]"",""""),9))"),"776155430")</f>
        <v>776155430</v>
      </c>
      <c r="B6002" s="52">
        <v>7.7615543E8</v>
      </c>
      <c r="C6002" s="28" t="s">
        <v>5975</v>
      </c>
      <c r="D6002" s="26" t="s">
        <v>64</v>
      </c>
      <c r="E6002" s="31">
        <v>46239.0</v>
      </c>
      <c r="F6002" s="26" t="s">
        <v>659</v>
      </c>
      <c r="I6002" s="26" t="s">
        <v>883</v>
      </c>
      <c r="J6002" s="25" t="str">
        <f t="shared" si="64"/>
        <v>No</v>
      </c>
      <c r="K6002" s="25" t="str">
        <f t="shared" si="65"/>
        <v/>
      </c>
      <c r="L6002" s="25" t="str">
        <f t="shared" si="66"/>
        <v/>
      </c>
      <c r="M6002" s="25"/>
      <c r="O6002" s="25"/>
    </row>
    <row r="6003" ht="15.75" customHeight="1">
      <c r="A6003" s="25" t="str">
        <f>IFERROR(__xludf.DUMMYFUNCTION("IF(B6003="""","""",RIGHT(REGEXREPLACE(B6003&amp;"""",""[^0-9]"",""""),9))"),"763010640")</f>
        <v>763010640</v>
      </c>
      <c r="B6003" s="52">
        <v>7.6301064E8</v>
      </c>
      <c r="C6003" s="28" t="s">
        <v>5976</v>
      </c>
      <c r="D6003" s="26" t="s">
        <v>56</v>
      </c>
      <c r="E6003" s="31">
        <v>46239.0</v>
      </c>
      <c r="F6003" s="26" t="s">
        <v>46</v>
      </c>
      <c r="G6003" s="26">
        <v>7.0</v>
      </c>
      <c r="I6003" s="26" t="s">
        <v>883</v>
      </c>
      <c r="J6003" s="25" t="str">
        <f t="shared" si="64"/>
        <v>No</v>
      </c>
      <c r="K6003" s="25" t="str">
        <f t="shared" si="65"/>
        <v/>
      </c>
      <c r="L6003" s="25" t="str">
        <f t="shared" si="66"/>
        <v/>
      </c>
      <c r="M6003" s="25"/>
      <c r="O6003" s="25"/>
    </row>
    <row r="6004" ht="15.75" customHeight="1">
      <c r="A6004" s="25" t="str">
        <f>IFERROR(__xludf.DUMMYFUNCTION("IF(B6004="""","""",RIGHT(REGEXREPLACE(B6004&amp;"""",""[^0-9]"",""""),9))"),"779633130")</f>
        <v>779633130</v>
      </c>
      <c r="B6004" s="52">
        <v>7.7963313E8</v>
      </c>
      <c r="C6004" s="28" t="s">
        <v>5977</v>
      </c>
      <c r="D6004" s="26" t="s">
        <v>64</v>
      </c>
      <c r="E6004" s="31">
        <v>46239.0</v>
      </c>
      <c r="F6004" s="26" t="s">
        <v>46</v>
      </c>
      <c r="G6004" s="26">
        <v>10.0</v>
      </c>
      <c r="I6004" s="26" t="s">
        <v>883</v>
      </c>
      <c r="J6004" s="25" t="str">
        <f t="shared" si="64"/>
        <v>No</v>
      </c>
      <c r="K6004" s="25" t="str">
        <f t="shared" si="65"/>
        <v/>
      </c>
      <c r="L6004" s="25" t="str">
        <f t="shared" si="66"/>
        <v/>
      </c>
      <c r="M6004" s="25"/>
      <c r="O6004" s="25"/>
    </row>
    <row r="6005" ht="15.75" customHeight="1">
      <c r="A6005" s="25" t="str">
        <f>IFERROR(__xludf.DUMMYFUNCTION("IF(B6005="""","""",RIGHT(REGEXREPLACE(B6005&amp;"""",""[^0-9]"",""""),9))"),"724129584")</f>
        <v>724129584</v>
      </c>
      <c r="B6005" s="52">
        <v>7.24129584E8</v>
      </c>
      <c r="C6005" s="28" t="s">
        <v>5978</v>
      </c>
      <c r="D6005" s="26" t="s">
        <v>45</v>
      </c>
      <c r="E6005" s="31">
        <v>46239.0</v>
      </c>
      <c r="F6005" s="26" t="s">
        <v>46</v>
      </c>
      <c r="G6005" s="26">
        <v>7.0</v>
      </c>
      <c r="H6005" s="26" t="s">
        <v>720</v>
      </c>
      <c r="I6005" s="26" t="s">
        <v>883</v>
      </c>
      <c r="J6005" s="25" t="str">
        <f t="shared" si="64"/>
        <v>No</v>
      </c>
      <c r="K6005" s="25" t="str">
        <f t="shared" si="65"/>
        <v/>
      </c>
      <c r="L6005" s="25" t="str">
        <f t="shared" si="66"/>
        <v/>
      </c>
      <c r="M6005" s="25"/>
      <c r="O6005" s="25"/>
    </row>
    <row r="6006" ht="15.75" customHeight="1">
      <c r="A6006" s="25" t="str">
        <f>IFERROR(__xludf.DUMMYFUNCTION("IF(B6006="""","""",RIGHT(REGEXREPLACE(B6006&amp;"""",""[^0-9]"",""""),9))"),"712124764")</f>
        <v>712124764</v>
      </c>
      <c r="B6006" s="52">
        <v>7.12124764E8</v>
      </c>
      <c r="C6006" s="28" t="s">
        <v>5979</v>
      </c>
      <c r="D6006" s="26" t="s">
        <v>49</v>
      </c>
      <c r="E6006" s="31">
        <v>46239.0</v>
      </c>
      <c r="F6006" s="26" t="s">
        <v>46</v>
      </c>
      <c r="H6006" s="26" t="s">
        <v>5980</v>
      </c>
      <c r="I6006" s="26" t="s">
        <v>883</v>
      </c>
      <c r="J6006" s="25" t="str">
        <f t="shared" si="64"/>
        <v>No</v>
      </c>
      <c r="K6006" s="25" t="str">
        <f t="shared" si="65"/>
        <v/>
      </c>
      <c r="L6006" s="25" t="str">
        <f t="shared" si="66"/>
        <v/>
      </c>
      <c r="M6006" s="25"/>
      <c r="O6006" s="25"/>
    </row>
    <row r="6007" ht="15.75" customHeight="1">
      <c r="A6007" s="25" t="str">
        <f>IFERROR(__xludf.DUMMYFUNCTION("IF(B6007="""","""",RIGHT(REGEXREPLACE(B6007&amp;"""",""[^0-9]"",""""),9))"),"779761296")</f>
        <v>779761296</v>
      </c>
      <c r="B6007" s="52">
        <v>7.79761296E8</v>
      </c>
      <c r="C6007" s="28" t="s">
        <v>5981</v>
      </c>
      <c r="D6007" s="26" t="s">
        <v>64</v>
      </c>
      <c r="E6007" s="31">
        <v>46239.0</v>
      </c>
      <c r="F6007" s="26" t="s">
        <v>46</v>
      </c>
      <c r="G6007" s="26">
        <v>7.0</v>
      </c>
      <c r="I6007" s="26" t="s">
        <v>883</v>
      </c>
      <c r="J6007" s="25" t="str">
        <f t="shared" si="64"/>
        <v>No</v>
      </c>
      <c r="K6007" s="25" t="str">
        <f t="shared" si="65"/>
        <v/>
      </c>
      <c r="L6007" s="25" t="str">
        <f t="shared" si="66"/>
        <v/>
      </c>
      <c r="M6007" s="25"/>
      <c r="O6007" s="25"/>
    </row>
    <row r="6008" ht="15.75" customHeight="1">
      <c r="A6008" s="25" t="str">
        <f>IFERROR(__xludf.DUMMYFUNCTION("IF(B6008="""","""",RIGHT(REGEXREPLACE(B6008&amp;"""",""[^0-9]"",""""),9))"),"765484824")</f>
        <v>765484824</v>
      </c>
      <c r="B6008" s="52">
        <v>7.65484824E8</v>
      </c>
      <c r="C6008" s="28" t="s">
        <v>5982</v>
      </c>
      <c r="D6008" s="26" t="s">
        <v>49</v>
      </c>
      <c r="E6008" s="31">
        <v>46239.0</v>
      </c>
      <c r="F6008" s="26" t="s">
        <v>46</v>
      </c>
      <c r="G6008" s="26">
        <v>7.0</v>
      </c>
      <c r="I6008" s="26" t="s">
        <v>883</v>
      </c>
      <c r="J6008" s="25" t="str">
        <f t="shared" si="64"/>
        <v>No</v>
      </c>
      <c r="K6008" s="25" t="str">
        <f t="shared" si="65"/>
        <v/>
      </c>
      <c r="L6008" s="25" t="str">
        <f t="shared" si="66"/>
        <v/>
      </c>
      <c r="M6008" s="25"/>
      <c r="O6008" s="25"/>
    </row>
    <row r="6009" ht="15.75" customHeight="1">
      <c r="A6009" s="25" t="str">
        <f>IFERROR(__xludf.DUMMYFUNCTION("IF(B6009="""","""",RIGHT(REGEXREPLACE(B6009&amp;"""",""[^0-9]"",""""),9))"),"710741088")</f>
        <v>710741088</v>
      </c>
      <c r="B6009" s="52">
        <v>7.10741088E8</v>
      </c>
      <c r="C6009" s="28" t="s">
        <v>5983</v>
      </c>
      <c r="D6009" s="26" t="s">
        <v>56</v>
      </c>
      <c r="E6009" s="31">
        <v>46239.0</v>
      </c>
      <c r="F6009" s="26" t="s">
        <v>41</v>
      </c>
      <c r="G6009" s="26">
        <v>9.0</v>
      </c>
      <c r="I6009" s="26" t="s">
        <v>883</v>
      </c>
      <c r="J6009" s="25" t="str">
        <f t="shared" si="64"/>
        <v>No</v>
      </c>
      <c r="K6009" s="25" t="str">
        <f t="shared" si="65"/>
        <v/>
      </c>
      <c r="L6009" s="25" t="str">
        <f t="shared" si="66"/>
        <v/>
      </c>
      <c r="M6009" s="25"/>
      <c r="O6009" s="25"/>
    </row>
    <row r="6010" ht="15.75" customHeight="1">
      <c r="A6010" s="25" t="str">
        <f>IFERROR(__xludf.DUMMYFUNCTION("IF(B6010="""","""",RIGHT(REGEXREPLACE(B6010&amp;"""",""[^0-9]"",""""),9))"),"776256750")</f>
        <v>776256750</v>
      </c>
      <c r="B6010" s="52">
        <v>7.7625675E8</v>
      </c>
      <c r="C6010" s="28" t="s">
        <v>5984</v>
      </c>
      <c r="D6010" s="26" t="s">
        <v>82</v>
      </c>
      <c r="E6010" s="31">
        <v>46239.0</v>
      </c>
      <c r="F6010" s="26" t="s">
        <v>46</v>
      </c>
      <c r="G6010" s="26">
        <v>7.0</v>
      </c>
      <c r="H6010" s="26" t="s">
        <v>5985</v>
      </c>
      <c r="I6010" s="26" t="s">
        <v>883</v>
      </c>
      <c r="J6010" s="25" t="str">
        <f t="shared" si="64"/>
        <v>No</v>
      </c>
      <c r="K6010" s="25" t="str">
        <f t="shared" si="65"/>
        <v/>
      </c>
      <c r="L6010" s="25" t="str">
        <f t="shared" si="66"/>
        <v/>
      </c>
      <c r="M6010" s="25"/>
      <c r="O6010" s="25"/>
    </row>
    <row r="6011" ht="15.75" customHeight="1">
      <c r="A6011" s="25" t="str">
        <f>IFERROR(__xludf.DUMMYFUNCTION("IF(B6011="""","""",RIGHT(REGEXREPLACE(B6011&amp;"""",""[^0-9]"",""""),9))"),"782704916")</f>
        <v>782704916</v>
      </c>
      <c r="B6011" s="52">
        <v>7.82704916E8</v>
      </c>
      <c r="C6011" s="28" t="s">
        <v>5986</v>
      </c>
      <c r="D6011" s="26" t="s">
        <v>56</v>
      </c>
      <c r="E6011" s="31">
        <v>46239.0</v>
      </c>
      <c r="F6011" s="26" t="s">
        <v>46</v>
      </c>
      <c r="G6011" s="26">
        <v>7.0</v>
      </c>
      <c r="I6011" s="26" t="s">
        <v>883</v>
      </c>
      <c r="J6011" s="25" t="str">
        <f t="shared" si="64"/>
        <v>No</v>
      </c>
      <c r="K6011" s="25" t="str">
        <f t="shared" si="65"/>
        <v/>
      </c>
      <c r="L6011" s="25" t="str">
        <f t="shared" si="66"/>
        <v/>
      </c>
      <c r="M6011" s="25"/>
      <c r="O6011" s="25"/>
    </row>
    <row r="6012" ht="15.75" customHeight="1">
      <c r="A6012" s="25" t="str">
        <f>IFERROR(__xludf.DUMMYFUNCTION("IF(B6012="""","""",RIGHT(REGEXREPLACE(B6012&amp;"""",""[^0-9]"",""""),9))"),"741682272")</f>
        <v>741682272</v>
      </c>
      <c r="B6012" s="52">
        <v>7.41682272E8</v>
      </c>
      <c r="C6012" s="28" t="s">
        <v>5987</v>
      </c>
      <c r="D6012" s="26" t="s">
        <v>45</v>
      </c>
      <c r="E6012" s="31">
        <v>46239.0</v>
      </c>
      <c r="F6012" s="26" t="s">
        <v>46</v>
      </c>
      <c r="G6012" s="26">
        <v>6.0</v>
      </c>
      <c r="I6012" s="26" t="s">
        <v>883</v>
      </c>
      <c r="J6012" s="25" t="str">
        <f t="shared" si="64"/>
        <v>No</v>
      </c>
      <c r="K6012" s="25" t="str">
        <f t="shared" si="65"/>
        <v/>
      </c>
      <c r="L6012" s="25" t="str">
        <f t="shared" si="66"/>
        <v/>
      </c>
      <c r="M6012" s="25"/>
      <c r="O6012" s="25"/>
    </row>
    <row r="6013" ht="15.75" customHeight="1">
      <c r="A6013" s="25" t="str">
        <f>IFERROR(__xludf.DUMMYFUNCTION("IF(B6013="""","""",RIGHT(REGEXREPLACE(B6013&amp;"""",""[^0-9]"",""""),9))"),"769623559")</f>
        <v>769623559</v>
      </c>
      <c r="B6013" s="52">
        <v>7.69623559E8</v>
      </c>
      <c r="C6013" s="28" t="s">
        <v>5988</v>
      </c>
      <c r="D6013" s="26" t="s">
        <v>56</v>
      </c>
      <c r="E6013" s="31">
        <v>46239.0</v>
      </c>
      <c r="F6013" s="26" t="s">
        <v>46</v>
      </c>
      <c r="G6013" s="26">
        <v>7.0</v>
      </c>
      <c r="I6013" s="26" t="s">
        <v>883</v>
      </c>
      <c r="J6013" s="25" t="str">
        <f t="shared" si="64"/>
        <v>No</v>
      </c>
      <c r="K6013" s="25" t="str">
        <f t="shared" si="65"/>
        <v/>
      </c>
      <c r="L6013" s="25" t="str">
        <f t="shared" si="66"/>
        <v/>
      </c>
      <c r="M6013" s="25"/>
      <c r="O6013" s="25"/>
    </row>
    <row r="6014" ht="15.75" customHeight="1">
      <c r="A6014" s="25" t="str">
        <f>IFERROR(__xludf.DUMMYFUNCTION("IF(B6014="""","""",RIGHT(REGEXREPLACE(B6014&amp;"""",""[^0-9]"",""""),9))"),"764717192")</f>
        <v>764717192</v>
      </c>
      <c r="B6014" s="52">
        <v>7.64717192E8</v>
      </c>
      <c r="C6014" s="28" t="s">
        <v>5989</v>
      </c>
      <c r="D6014" s="26" t="s">
        <v>82</v>
      </c>
      <c r="E6014" s="31">
        <v>46239.0</v>
      </c>
      <c r="F6014" s="26" t="s">
        <v>46</v>
      </c>
      <c r="G6014" s="26">
        <v>7.0</v>
      </c>
      <c r="H6014" s="26" t="s">
        <v>5990</v>
      </c>
      <c r="I6014" s="26" t="s">
        <v>883</v>
      </c>
      <c r="J6014" s="25" t="str">
        <f t="shared" si="64"/>
        <v>No</v>
      </c>
      <c r="K6014" s="25" t="str">
        <f t="shared" si="65"/>
        <v/>
      </c>
      <c r="L6014" s="25" t="str">
        <f t="shared" si="66"/>
        <v/>
      </c>
      <c r="M6014" s="25"/>
      <c r="O6014" s="26" t="s">
        <v>51</v>
      </c>
    </row>
    <row r="6015" ht="15.75" customHeight="1">
      <c r="A6015" s="25" t="str">
        <f>IFERROR(__xludf.DUMMYFUNCTION("IF(B6015="""","""",RIGHT(REGEXREPLACE(B6015&amp;"""",""[^0-9]"",""""),9))"),"703726866")</f>
        <v>703726866</v>
      </c>
      <c r="B6015" s="52">
        <v>7.03726866E8</v>
      </c>
      <c r="C6015" s="28" t="s">
        <v>5991</v>
      </c>
      <c r="D6015" s="26" t="s">
        <v>64</v>
      </c>
      <c r="E6015" s="31">
        <v>46239.0</v>
      </c>
      <c r="F6015" s="26" t="s">
        <v>46</v>
      </c>
      <c r="G6015" s="26">
        <v>9.0</v>
      </c>
      <c r="I6015" s="26" t="s">
        <v>883</v>
      </c>
      <c r="J6015" s="25" t="str">
        <f t="shared" si="64"/>
        <v>No</v>
      </c>
      <c r="K6015" s="25" t="str">
        <f t="shared" si="65"/>
        <v/>
      </c>
      <c r="L6015" s="25" t="str">
        <f t="shared" si="66"/>
        <v/>
      </c>
      <c r="M6015" s="25"/>
      <c r="O6015" s="25"/>
    </row>
    <row r="6016" ht="15.75" customHeight="1">
      <c r="A6016" s="25" t="str">
        <f>IFERROR(__xludf.DUMMYFUNCTION("IF(B6016="""","""",RIGHT(REGEXREPLACE(B6016&amp;"""",""[^0-9]"",""""),9))"),"776384355")</f>
        <v>776384355</v>
      </c>
      <c r="B6016" s="52">
        <v>7.76384355E8</v>
      </c>
      <c r="C6016" s="28" t="s">
        <v>5992</v>
      </c>
      <c r="D6016" s="26" t="s">
        <v>56</v>
      </c>
      <c r="E6016" s="31">
        <v>46239.0</v>
      </c>
      <c r="F6016" s="26" t="s">
        <v>41</v>
      </c>
      <c r="G6016" s="26">
        <v>11.0</v>
      </c>
      <c r="I6016" s="26" t="s">
        <v>883</v>
      </c>
      <c r="J6016" s="25" t="str">
        <f t="shared" si="64"/>
        <v>No</v>
      </c>
      <c r="K6016" s="25" t="str">
        <f t="shared" si="65"/>
        <v/>
      </c>
      <c r="L6016" s="25" t="str">
        <f t="shared" si="66"/>
        <v/>
      </c>
      <c r="M6016" s="25"/>
      <c r="O6016" s="25"/>
    </row>
    <row r="6017" ht="15.75" customHeight="1">
      <c r="A6017" s="25" t="str">
        <f>IFERROR(__xludf.DUMMYFUNCTION("IF(B6017="""","""",RIGHT(REGEXREPLACE(B6017&amp;"""",""[^0-9]"",""""),9))"),"716815101")</f>
        <v>716815101</v>
      </c>
      <c r="B6017" s="52">
        <v>7.16815101E8</v>
      </c>
      <c r="C6017" s="28" t="s">
        <v>5993</v>
      </c>
      <c r="D6017" s="26" t="s">
        <v>82</v>
      </c>
      <c r="E6017" s="31">
        <v>46239.0</v>
      </c>
      <c r="F6017" s="26" t="s">
        <v>41</v>
      </c>
      <c r="G6017" s="26">
        <v>5.0</v>
      </c>
      <c r="H6017" s="26" t="s">
        <v>5994</v>
      </c>
      <c r="I6017" s="26" t="s">
        <v>883</v>
      </c>
      <c r="J6017" s="25" t="str">
        <f t="shared" si="64"/>
        <v>No</v>
      </c>
      <c r="K6017" s="25" t="str">
        <f t="shared" si="65"/>
        <v/>
      </c>
      <c r="L6017" s="25" t="str">
        <f t="shared" si="66"/>
        <v/>
      </c>
      <c r="M6017" s="25"/>
      <c r="O6017" s="25"/>
    </row>
    <row r="6018" ht="15.75" customHeight="1">
      <c r="A6018" s="25" t="str">
        <f>IFERROR(__xludf.DUMMYFUNCTION("IF(B6018="""","""",RIGHT(REGEXREPLACE(B6018&amp;"""",""[^0-9]"",""""),9))"),"701583509")</f>
        <v>701583509</v>
      </c>
      <c r="B6018" s="52">
        <v>7.01583509E8</v>
      </c>
      <c r="C6018" s="28" t="s">
        <v>440</v>
      </c>
      <c r="D6018" s="26" t="s">
        <v>45</v>
      </c>
      <c r="E6018" s="31">
        <v>46239.0</v>
      </c>
      <c r="F6018" s="26" t="s">
        <v>41</v>
      </c>
      <c r="G6018" s="26">
        <v>7.0</v>
      </c>
      <c r="I6018" s="26" t="s">
        <v>883</v>
      </c>
      <c r="J6018" s="25" t="str">
        <f t="shared" si="64"/>
        <v>Yes - see Previous F-Code</v>
      </c>
      <c r="K6018" s="25" t="str">
        <f t="shared" si="65"/>
        <v/>
      </c>
      <c r="L6018" s="25" t="str">
        <f t="shared" si="66"/>
        <v>F70275</v>
      </c>
      <c r="M6018" s="25"/>
      <c r="O6018" s="25"/>
    </row>
    <row r="6019" ht="15.75" customHeight="1">
      <c r="A6019" s="25" t="str">
        <f>IFERROR(__xludf.DUMMYFUNCTION("IF(B6019="""","""",RIGHT(REGEXREPLACE(B6019&amp;"""",""[^0-9]"",""""),9))"),"779798440")</f>
        <v>779798440</v>
      </c>
      <c r="B6019" s="52">
        <v>7.7979844E8</v>
      </c>
      <c r="C6019" s="28" t="s">
        <v>5969</v>
      </c>
      <c r="D6019" s="26" t="s">
        <v>64</v>
      </c>
      <c r="E6019" s="31">
        <v>46239.0</v>
      </c>
      <c r="F6019" s="26" t="s">
        <v>41</v>
      </c>
      <c r="H6019" s="26" t="s">
        <v>4883</v>
      </c>
      <c r="I6019" s="26" t="s">
        <v>883</v>
      </c>
      <c r="J6019" s="25" t="str">
        <f t="shared" si="64"/>
        <v>Yes - see Previous F-Code</v>
      </c>
      <c r="K6019" s="25" t="str">
        <f t="shared" si="65"/>
        <v>DUPLICATE - CHECK</v>
      </c>
      <c r="L6019" s="25" t="str">
        <f t="shared" si="66"/>
        <v>F75390</v>
      </c>
      <c r="M6019" s="25"/>
      <c r="O6019" s="25"/>
    </row>
    <row r="6020" ht="15.75" customHeight="1">
      <c r="A6020" s="25" t="str">
        <f>IFERROR(__xludf.DUMMYFUNCTION("IF(B6020="""","""",RIGHT(REGEXREPLACE(B6020&amp;"""",""[^0-9]"",""""),9))"),"740475591")</f>
        <v>740475591</v>
      </c>
      <c r="B6020" s="52">
        <v>7.40475591E8</v>
      </c>
      <c r="C6020" s="28" t="s">
        <v>4820</v>
      </c>
      <c r="D6020" s="26" t="s">
        <v>56</v>
      </c>
      <c r="E6020" s="31">
        <v>46239.0</v>
      </c>
      <c r="F6020" s="26" t="s">
        <v>46</v>
      </c>
      <c r="G6020" s="26">
        <v>7.0</v>
      </c>
      <c r="I6020" s="26" t="s">
        <v>883</v>
      </c>
      <c r="J6020" s="25" t="str">
        <f t="shared" si="64"/>
        <v>No</v>
      </c>
      <c r="K6020" s="25" t="str">
        <f t="shared" si="65"/>
        <v/>
      </c>
      <c r="L6020" s="25" t="str">
        <f t="shared" si="66"/>
        <v/>
      </c>
      <c r="M6020" s="25"/>
      <c r="O6020" s="25"/>
    </row>
    <row r="6021" ht="15.75" customHeight="1">
      <c r="A6021" s="25" t="str">
        <f>IFERROR(__xludf.DUMMYFUNCTION("IF(B6021="""","""",RIGHT(REGEXREPLACE(B6021&amp;"""",""[^0-9]"",""""),9))"),"769788186")</f>
        <v>769788186</v>
      </c>
      <c r="B6021" s="52">
        <v>7.69788186E8</v>
      </c>
      <c r="C6021" s="28" t="s">
        <v>4820</v>
      </c>
      <c r="D6021" s="26" t="s">
        <v>64</v>
      </c>
      <c r="E6021" s="31">
        <v>46239.0</v>
      </c>
      <c r="F6021" s="26" t="s">
        <v>46</v>
      </c>
      <c r="G6021" s="26">
        <v>8.0</v>
      </c>
      <c r="I6021" s="26" t="s">
        <v>883</v>
      </c>
      <c r="J6021" s="25" t="str">
        <f t="shared" si="64"/>
        <v>No</v>
      </c>
      <c r="K6021" s="25" t="str">
        <f t="shared" si="65"/>
        <v/>
      </c>
      <c r="L6021" s="25" t="str">
        <f t="shared" si="66"/>
        <v/>
      </c>
      <c r="M6021" s="25"/>
      <c r="O6021" s="25"/>
    </row>
    <row r="6022" ht="15.75" customHeight="1">
      <c r="A6022" s="25" t="str">
        <f>IFERROR(__xludf.DUMMYFUNCTION("IF(B6022="""","""",RIGHT(REGEXREPLACE(B6022&amp;"""",""[^0-9]"",""""),9))"),"742145368")</f>
        <v>742145368</v>
      </c>
      <c r="B6022" s="52">
        <v>7.42145368E8</v>
      </c>
      <c r="C6022" s="28" t="s">
        <v>5995</v>
      </c>
      <c r="D6022" s="26" t="s">
        <v>56</v>
      </c>
      <c r="E6022" s="31">
        <v>46239.0</v>
      </c>
      <c r="F6022" s="26" t="s">
        <v>46</v>
      </c>
      <c r="G6022" s="26">
        <v>6.0</v>
      </c>
      <c r="I6022" s="26" t="s">
        <v>883</v>
      </c>
      <c r="J6022" s="25" t="str">
        <f t="shared" si="64"/>
        <v>No</v>
      </c>
      <c r="K6022" s="25" t="str">
        <f t="shared" si="65"/>
        <v/>
      </c>
      <c r="L6022" s="25" t="str">
        <f t="shared" si="66"/>
        <v/>
      </c>
      <c r="M6022" s="25"/>
      <c r="O6022" s="25"/>
    </row>
    <row r="6023" ht="15.75" customHeight="1">
      <c r="A6023" s="25" t="str">
        <f>IFERROR(__xludf.DUMMYFUNCTION("IF(B6023="""","""",RIGHT(REGEXREPLACE(B6023&amp;"""",""[^0-9]"",""""),9))"),"777874545")</f>
        <v>777874545</v>
      </c>
      <c r="B6023" s="52">
        <v>7.77874545E8</v>
      </c>
      <c r="C6023" s="28" t="s">
        <v>5996</v>
      </c>
      <c r="D6023" s="26" t="s">
        <v>64</v>
      </c>
      <c r="E6023" s="31">
        <v>46239.0</v>
      </c>
      <c r="F6023" s="26" t="s">
        <v>46</v>
      </c>
      <c r="H6023" s="26" t="s">
        <v>5997</v>
      </c>
      <c r="I6023" s="26" t="s">
        <v>883</v>
      </c>
      <c r="J6023" s="25" t="str">
        <f t="shared" si="64"/>
        <v>No</v>
      </c>
      <c r="K6023" s="25" t="str">
        <f t="shared" si="65"/>
        <v/>
      </c>
      <c r="L6023" s="25" t="str">
        <f t="shared" si="66"/>
        <v/>
      </c>
      <c r="M6023" s="25"/>
      <c r="O6023" s="25"/>
    </row>
    <row r="6024" ht="15.75" customHeight="1">
      <c r="A6024" s="25" t="str">
        <f>IFERROR(__xludf.DUMMYFUNCTION("IF(B6024="""","""",RIGHT(REGEXREPLACE(B6024&amp;"""",""[^0-9]"",""""),9))"),"763334097")</f>
        <v>763334097</v>
      </c>
      <c r="B6024" s="52">
        <v>7.63334097E8</v>
      </c>
      <c r="C6024" s="28" t="s">
        <v>5998</v>
      </c>
      <c r="D6024" s="26" t="s">
        <v>64</v>
      </c>
      <c r="E6024" s="31">
        <v>46239.0</v>
      </c>
      <c r="F6024" s="26" t="s">
        <v>46</v>
      </c>
      <c r="G6024" s="26">
        <v>8.0</v>
      </c>
      <c r="I6024" s="26" t="s">
        <v>883</v>
      </c>
      <c r="J6024" s="25" t="str">
        <f t="shared" si="64"/>
        <v>No</v>
      </c>
      <c r="K6024" s="25" t="str">
        <f t="shared" si="65"/>
        <v/>
      </c>
      <c r="L6024" s="25" t="str">
        <f t="shared" si="66"/>
        <v/>
      </c>
      <c r="M6024" s="25"/>
      <c r="O6024" s="25"/>
    </row>
    <row r="6025" ht="15.75" customHeight="1">
      <c r="A6025" s="25" t="str">
        <f>IFERROR(__xludf.DUMMYFUNCTION("IF(B6025="""","""",RIGHT(REGEXREPLACE(B6025&amp;"""",""[^0-9]"",""""),9))"),"773192331")</f>
        <v>773192331</v>
      </c>
      <c r="B6025" s="52">
        <v>7.73192331E8</v>
      </c>
      <c r="C6025" s="28" t="s">
        <v>2599</v>
      </c>
      <c r="D6025" s="26" t="s">
        <v>56</v>
      </c>
      <c r="E6025" s="31">
        <v>46239.0</v>
      </c>
      <c r="F6025" s="26" t="s">
        <v>46</v>
      </c>
      <c r="G6025" s="26">
        <v>7.0</v>
      </c>
      <c r="I6025" s="26" t="s">
        <v>883</v>
      </c>
      <c r="J6025" s="25" t="str">
        <f t="shared" si="64"/>
        <v>No</v>
      </c>
      <c r="K6025" s="25" t="str">
        <f t="shared" si="65"/>
        <v/>
      </c>
      <c r="L6025" s="25" t="str">
        <f t="shared" si="66"/>
        <v/>
      </c>
      <c r="M6025" s="25"/>
      <c r="O6025" s="25"/>
    </row>
    <row r="6026" ht="15.75" customHeight="1">
      <c r="A6026" s="25" t="str">
        <f>IFERROR(__xludf.DUMMYFUNCTION("IF(B6026="""","""",RIGHT(REGEXREPLACE(B6026&amp;"""",""[^0-9]"",""""),9))"),"760127228")</f>
        <v>760127228</v>
      </c>
      <c r="B6026" s="52">
        <v>7.60127228E8</v>
      </c>
      <c r="C6026" s="28" t="s">
        <v>5999</v>
      </c>
      <c r="D6026" s="26" t="s">
        <v>82</v>
      </c>
      <c r="E6026" s="31">
        <v>46239.0</v>
      </c>
      <c r="F6026" s="26" t="s">
        <v>205</v>
      </c>
      <c r="I6026" s="26" t="s">
        <v>883</v>
      </c>
      <c r="J6026" s="25" t="str">
        <f t="shared" si="64"/>
        <v>No</v>
      </c>
      <c r="K6026" s="25" t="str">
        <f t="shared" si="65"/>
        <v/>
      </c>
      <c r="L6026" s="25" t="str">
        <f t="shared" si="66"/>
        <v/>
      </c>
      <c r="M6026" s="25"/>
      <c r="O6026" s="25"/>
    </row>
    <row r="6027" ht="15.75" customHeight="1">
      <c r="A6027" s="25" t="str">
        <f>IFERROR(__xludf.DUMMYFUNCTION("IF(B6027="""","""",RIGHT(REGEXREPLACE(B6027&amp;"""",""[^0-9]"",""""),9))"),"789557913")</f>
        <v>789557913</v>
      </c>
      <c r="B6027" s="52">
        <v>7.89557913E8</v>
      </c>
      <c r="C6027" s="28" t="s">
        <v>6000</v>
      </c>
      <c r="D6027" s="26" t="s">
        <v>82</v>
      </c>
      <c r="E6027" s="31">
        <v>46239.0</v>
      </c>
      <c r="F6027" s="26" t="s">
        <v>205</v>
      </c>
      <c r="G6027" s="26">
        <v>6.0</v>
      </c>
      <c r="I6027" s="26" t="s">
        <v>883</v>
      </c>
      <c r="J6027" s="25" t="str">
        <f t="shared" si="64"/>
        <v>No</v>
      </c>
      <c r="K6027" s="25" t="str">
        <f t="shared" si="65"/>
        <v/>
      </c>
      <c r="L6027" s="25" t="str">
        <f t="shared" si="66"/>
        <v/>
      </c>
      <c r="M6027" s="25"/>
      <c r="O6027" s="25"/>
    </row>
    <row r="6028" ht="15.75" customHeight="1">
      <c r="A6028" s="25" t="str">
        <f>IFERROR(__xludf.DUMMYFUNCTION("IF(B6028="""","""",RIGHT(REGEXREPLACE(B6028&amp;"""",""[^0-9]"",""""),9))"),"750593223")</f>
        <v>750593223</v>
      </c>
      <c r="B6028" s="52">
        <v>7.50593223E8</v>
      </c>
      <c r="C6028" s="28" t="s">
        <v>6001</v>
      </c>
      <c r="D6028" s="26" t="s">
        <v>56</v>
      </c>
      <c r="E6028" s="31">
        <v>46239.0</v>
      </c>
      <c r="F6028" s="26" t="s">
        <v>46</v>
      </c>
      <c r="G6028" s="26">
        <v>7.0</v>
      </c>
      <c r="I6028" s="26" t="s">
        <v>883</v>
      </c>
      <c r="J6028" s="25" t="str">
        <f t="shared" si="64"/>
        <v>No</v>
      </c>
      <c r="K6028" s="25" t="str">
        <f t="shared" si="65"/>
        <v/>
      </c>
      <c r="L6028" s="25" t="str">
        <f t="shared" si="66"/>
        <v/>
      </c>
      <c r="M6028" s="25"/>
      <c r="O6028" s="26" t="s">
        <v>51</v>
      </c>
    </row>
    <row r="6029" ht="15.75" customHeight="1">
      <c r="A6029" s="25" t="str">
        <f>IFERROR(__xludf.DUMMYFUNCTION("IF(B6029="""","""",RIGHT(REGEXREPLACE(B6029&amp;"""",""[^0-9]"",""""),9))"),"761779874")</f>
        <v>761779874</v>
      </c>
      <c r="B6029" s="52">
        <v>7.61779874E8</v>
      </c>
      <c r="C6029" s="28" t="s">
        <v>6001</v>
      </c>
      <c r="D6029" s="26" t="s">
        <v>64</v>
      </c>
      <c r="E6029" s="31">
        <v>46239.0</v>
      </c>
      <c r="F6029" s="26" t="s">
        <v>46</v>
      </c>
      <c r="G6029" s="26">
        <v>7.0</v>
      </c>
      <c r="I6029" s="26" t="s">
        <v>883</v>
      </c>
      <c r="J6029" s="25" t="str">
        <f t="shared" si="64"/>
        <v>No</v>
      </c>
      <c r="K6029" s="25" t="str">
        <f t="shared" si="65"/>
        <v/>
      </c>
      <c r="L6029" s="25" t="str">
        <f t="shared" si="66"/>
        <v/>
      </c>
      <c r="M6029" s="25"/>
      <c r="O6029" s="25"/>
    </row>
    <row r="6030" ht="15.75" customHeight="1">
      <c r="A6030" s="25" t="str">
        <f>IFERROR(__xludf.DUMMYFUNCTION("IF(B6030="""","""",RIGHT(REGEXREPLACE(B6030&amp;"""",""[^0-9]"",""""),9))"),"743072596")</f>
        <v>743072596</v>
      </c>
      <c r="B6030" s="52">
        <v>7.43072596E8</v>
      </c>
      <c r="C6030" s="28" t="s">
        <v>6002</v>
      </c>
      <c r="D6030" s="26" t="s">
        <v>82</v>
      </c>
      <c r="E6030" s="31">
        <v>46239.0</v>
      </c>
      <c r="F6030" s="26" t="s">
        <v>41</v>
      </c>
      <c r="G6030" s="26">
        <v>11.0</v>
      </c>
      <c r="I6030" s="26" t="s">
        <v>883</v>
      </c>
      <c r="J6030" s="25" t="str">
        <f t="shared" si="64"/>
        <v>No</v>
      </c>
      <c r="K6030" s="25" t="str">
        <f t="shared" si="65"/>
        <v/>
      </c>
      <c r="L6030" s="25" t="str">
        <f t="shared" si="66"/>
        <v/>
      </c>
      <c r="M6030" s="25"/>
      <c r="O6030" s="25"/>
    </row>
    <row r="6031" ht="15.75" customHeight="1">
      <c r="A6031" s="25" t="str">
        <f>IFERROR(__xludf.DUMMYFUNCTION("IF(B6031="""","""",RIGHT(REGEXREPLACE(B6031&amp;"""",""[^0-9]"",""""),9))"),"770471319")</f>
        <v>770471319</v>
      </c>
      <c r="B6031" s="52">
        <v>7.70471319E8</v>
      </c>
      <c r="C6031" s="28" t="s">
        <v>6003</v>
      </c>
      <c r="D6031" s="26" t="s">
        <v>49</v>
      </c>
      <c r="E6031" s="31">
        <v>46239.0</v>
      </c>
      <c r="F6031" s="26" t="s">
        <v>46</v>
      </c>
      <c r="G6031" s="26">
        <v>7.0</v>
      </c>
      <c r="I6031" s="26" t="s">
        <v>883</v>
      </c>
      <c r="J6031" s="25" t="str">
        <f t="shared" si="64"/>
        <v>No</v>
      </c>
      <c r="K6031" s="25" t="str">
        <f t="shared" si="65"/>
        <v/>
      </c>
      <c r="L6031" s="25" t="str">
        <f t="shared" si="66"/>
        <v/>
      </c>
      <c r="M6031" s="25"/>
      <c r="O6031" s="26" t="s">
        <v>51</v>
      </c>
    </row>
    <row r="6032" ht="15.75" customHeight="1">
      <c r="A6032" s="25" t="str">
        <f>IFERROR(__xludf.DUMMYFUNCTION("IF(B6032="""","""",RIGHT(REGEXREPLACE(B6032&amp;"""",""[^0-9]"",""""),9))"),"762470751")</f>
        <v>762470751</v>
      </c>
      <c r="B6032" s="52">
        <v>7.62470751E8</v>
      </c>
      <c r="C6032" s="28" t="s">
        <v>6004</v>
      </c>
      <c r="D6032" s="26" t="s">
        <v>56</v>
      </c>
      <c r="E6032" s="31">
        <v>46239.0</v>
      </c>
      <c r="F6032" s="26" t="s">
        <v>46</v>
      </c>
      <c r="G6032" s="26">
        <v>7.0</v>
      </c>
      <c r="H6032" s="26" t="s">
        <v>140</v>
      </c>
      <c r="I6032" s="26" t="s">
        <v>883</v>
      </c>
      <c r="J6032" s="25" t="str">
        <f t="shared" si="64"/>
        <v>No</v>
      </c>
      <c r="K6032" s="25" t="str">
        <f t="shared" si="65"/>
        <v/>
      </c>
      <c r="L6032" s="25" t="str">
        <f t="shared" si="66"/>
        <v/>
      </c>
      <c r="M6032" s="25"/>
      <c r="O6032" s="25"/>
    </row>
    <row r="6033" ht="15.75" customHeight="1">
      <c r="A6033" s="25" t="str">
        <f>IFERROR(__xludf.DUMMYFUNCTION("IF(B6033="""","""",RIGHT(REGEXREPLACE(B6033&amp;"""",""[^0-9]"",""""),9))"),"767685834")</f>
        <v>767685834</v>
      </c>
      <c r="B6033" s="52">
        <v>7.67685834E8</v>
      </c>
      <c r="C6033" s="28" t="s">
        <v>6005</v>
      </c>
      <c r="D6033" s="26" t="s">
        <v>64</v>
      </c>
      <c r="E6033" s="31">
        <v>46239.0</v>
      </c>
      <c r="F6033" s="26" t="s">
        <v>46</v>
      </c>
      <c r="G6033" s="26">
        <v>6.0</v>
      </c>
      <c r="I6033" s="26" t="s">
        <v>883</v>
      </c>
      <c r="J6033" s="25" t="str">
        <f t="shared" si="64"/>
        <v>No</v>
      </c>
      <c r="K6033" s="25" t="str">
        <f t="shared" si="65"/>
        <v/>
      </c>
      <c r="L6033" s="25" t="str">
        <f t="shared" si="66"/>
        <v/>
      </c>
      <c r="M6033" s="25"/>
      <c r="O6033" s="25"/>
    </row>
    <row r="6034" ht="15.75" customHeight="1">
      <c r="A6034" s="25" t="str">
        <f>IFERROR(__xludf.DUMMYFUNCTION("IF(B6034="""","""",RIGHT(REGEXREPLACE(B6034&amp;"""",""[^0-9]"",""""),9))"),"717287003")</f>
        <v>717287003</v>
      </c>
      <c r="B6034" s="52">
        <v>7.17287003E8</v>
      </c>
      <c r="C6034" s="28" t="s">
        <v>6006</v>
      </c>
      <c r="D6034" s="26" t="s">
        <v>56</v>
      </c>
      <c r="E6034" s="31">
        <v>46239.0</v>
      </c>
      <c r="F6034" s="26" t="s">
        <v>46</v>
      </c>
      <c r="G6034" s="26">
        <v>7.0</v>
      </c>
      <c r="I6034" s="26" t="s">
        <v>883</v>
      </c>
      <c r="J6034" s="25" t="str">
        <f t="shared" si="64"/>
        <v>No</v>
      </c>
      <c r="K6034" s="25" t="str">
        <f t="shared" si="65"/>
        <v/>
      </c>
      <c r="L6034" s="25" t="str">
        <f t="shared" si="66"/>
        <v/>
      </c>
      <c r="M6034" s="25"/>
      <c r="O6034" s="25"/>
    </row>
    <row r="6035" ht="15.75" customHeight="1">
      <c r="A6035" s="25" t="str">
        <f>IFERROR(__xludf.DUMMYFUNCTION("IF(B6035="""","""",RIGHT(REGEXREPLACE(B6035&amp;"""",""[^0-9]"",""""),9))"),"710812040")</f>
        <v>710812040</v>
      </c>
      <c r="B6035" s="52">
        <v>7.1081204E8</v>
      </c>
      <c r="C6035" s="28" t="s">
        <v>6007</v>
      </c>
      <c r="D6035" s="26" t="s">
        <v>82</v>
      </c>
      <c r="E6035" s="31">
        <v>46239.0</v>
      </c>
      <c r="F6035" s="25"/>
      <c r="G6035" s="25"/>
      <c r="H6035" s="25"/>
      <c r="I6035" s="26" t="s">
        <v>883</v>
      </c>
      <c r="J6035" s="25" t="str">
        <f t="shared" si="64"/>
        <v>No</v>
      </c>
      <c r="K6035" s="25" t="str">
        <f t="shared" si="65"/>
        <v/>
      </c>
      <c r="L6035" s="25" t="str">
        <f t="shared" si="66"/>
        <v/>
      </c>
      <c r="M6035" s="25"/>
      <c r="N6035" s="25"/>
      <c r="O6035" s="26" t="s">
        <v>51</v>
      </c>
      <c r="P6035" s="25"/>
    </row>
    <row r="6036" ht="15.75" customHeight="1">
      <c r="A6036" s="25" t="str">
        <f>IFERROR(__xludf.DUMMYFUNCTION("IF(B6036="""","""",RIGHT(REGEXREPLACE(B6036&amp;"""",""[^0-9]"",""""),9))"),"771568938")</f>
        <v>771568938</v>
      </c>
      <c r="B6036" s="52">
        <v>7.71568938E8</v>
      </c>
      <c r="C6036" s="28" t="s">
        <v>6008</v>
      </c>
      <c r="D6036" s="26" t="s">
        <v>64</v>
      </c>
      <c r="E6036" s="31">
        <v>46239.0</v>
      </c>
      <c r="F6036" s="26" t="s">
        <v>46</v>
      </c>
      <c r="G6036" s="26">
        <v>7.0</v>
      </c>
      <c r="I6036" s="26" t="s">
        <v>883</v>
      </c>
      <c r="J6036" s="25" t="str">
        <f t="shared" si="64"/>
        <v>No</v>
      </c>
      <c r="K6036" s="25" t="str">
        <f t="shared" si="65"/>
        <v/>
      </c>
      <c r="L6036" s="25" t="str">
        <f t="shared" si="66"/>
        <v/>
      </c>
      <c r="M6036" s="25"/>
      <c r="O6036" s="25"/>
    </row>
    <row r="6037" ht="15.75" customHeight="1">
      <c r="A6037" s="25" t="str">
        <f>IFERROR(__xludf.DUMMYFUNCTION("IF(B6037="""","""",RIGHT(REGEXREPLACE(B6037&amp;"""",""[^0-9]"",""""),9))"),"703462047")</f>
        <v>703462047</v>
      </c>
      <c r="B6037" s="52">
        <v>7.03462047E8</v>
      </c>
      <c r="C6037" s="28" t="s">
        <v>6009</v>
      </c>
      <c r="D6037" s="26" t="s">
        <v>56</v>
      </c>
      <c r="E6037" s="31">
        <v>46239.0</v>
      </c>
      <c r="F6037" s="26" t="s">
        <v>205</v>
      </c>
      <c r="I6037" s="26" t="s">
        <v>883</v>
      </c>
      <c r="J6037" s="25" t="str">
        <f t="shared" si="64"/>
        <v>No</v>
      </c>
      <c r="K6037" s="25" t="str">
        <f t="shared" si="65"/>
        <v/>
      </c>
      <c r="L6037" s="25" t="str">
        <f t="shared" si="66"/>
        <v/>
      </c>
      <c r="M6037" s="25"/>
      <c r="O6037" s="25"/>
    </row>
    <row r="6038" ht="15.75" customHeight="1">
      <c r="A6038" s="25" t="str">
        <f>IFERROR(__xludf.DUMMYFUNCTION("IF(B6038="""","""",RIGHT(REGEXREPLACE(B6038&amp;"""",""[^0-9]"",""""),9))"),"767303110")</f>
        <v>767303110</v>
      </c>
      <c r="B6038" s="52">
        <v>7.6730311E8</v>
      </c>
      <c r="C6038" s="28" t="s">
        <v>6010</v>
      </c>
      <c r="D6038" s="26" t="s">
        <v>45</v>
      </c>
      <c r="E6038" s="31">
        <v>46239.0</v>
      </c>
      <c r="F6038" s="26" t="s">
        <v>46</v>
      </c>
      <c r="G6038" s="26">
        <v>9.0</v>
      </c>
      <c r="H6038" s="26" t="s">
        <v>720</v>
      </c>
      <c r="I6038" s="26" t="s">
        <v>883</v>
      </c>
      <c r="J6038" s="25" t="str">
        <f t="shared" si="64"/>
        <v>No</v>
      </c>
      <c r="K6038" s="25" t="str">
        <f t="shared" si="65"/>
        <v/>
      </c>
      <c r="L6038" s="25" t="str">
        <f t="shared" si="66"/>
        <v/>
      </c>
      <c r="M6038" s="25"/>
      <c r="O6038" s="25"/>
    </row>
    <row r="6039" ht="15.75" customHeight="1">
      <c r="A6039" s="25" t="str">
        <f>IFERROR(__xludf.DUMMYFUNCTION("IF(B6039="""","""",RIGHT(REGEXREPLACE(B6039&amp;"""",""[^0-9]"",""""),9))"),"774455069")</f>
        <v>774455069</v>
      </c>
      <c r="B6039" s="52">
        <v>7.74455069E8</v>
      </c>
      <c r="C6039" s="28" t="s">
        <v>6011</v>
      </c>
      <c r="D6039" s="26" t="s">
        <v>56</v>
      </c>
      <c r="E6039" s="31">
        <v>46239.0</v>
      </c>
      <c r="F6039" s="26" t="s">
        <v>46</v>
      </c>
      <c r="G6039" s="26">
        <v>7.0</v>
      </c>
      <c r="I6039" s="26" t="s">
        <v>883</v>
      </c>
      <c r="J6039" s="25" t="str">
        <f t="shared" si="64"/>
        <v>No</v>
      </c>
      <c r="K6039" s="25" t="str">
        <f t="shared" si="65"/>
        <v/>
      </c>
      <c r="L6039" s="25" t="str">
        <f t="shared" si="66"/>
        <v/>
      </c>
      <c r="M6039" s="25"/>
      <c r="O6039" s="25"/>
    </row>
    <row r="6040" ht="15.75" customHeight="1">
      <c r="A6040" s="25" t="str">
        <f>IFERROR(__xludf.DUMMYFUNCTION("IF(B6040="""","""",RIGHT(REGEXREPLACE(B6040&amp;"""",""[^0-9]"",""""),9))"),"719707346")</f>
        <v>719707346</v>
      </c>
      <c r="B6040" s="52">
        <v>7.19707346E8</v>
      </c>
      <c r="C6040" s="28" t="s">
        <v>6012</v>
      </c>
      <c r="D6040" s="26" t="s">
        <v>64</v>
      </c>
      <c r="E6040" s="31">
        <v>46239.0</v>
      </c>
      <c r="F6040" s="26" t="s">
        <v>46</v>
      </c>
      <c r="G6040" s="26">
        <v>8.0</v>
      </c>
      <c r="I6040" s="26" t="s">
        <v>883</v>
      </c>
      <c r="J6040" s="25" t="str">
        <f t="shared" si="64"/>
        <v>No</v>
      </c>
      <c r="K6040" s="25" t="str">
        <f t="shared" si="65"/>
        <v/>
      </c>
      <c r="L6040" s="25" t="str">
        <f t="shared" si="66"/>
        <v/>
      </c>
      <c r="M6040" s="25"/>
      <c r="O6040" s="25"/>
    </row>
    <row r="6041" ht="15.75" customHeight="1">
      <c r="A6041" s="25" t="str">
        <f>IFERROR(__xludf.DUMMYFUNCTION("IF(B6041="""","""",RIGHT(REGEXREPLACE(B6041&amp;"""",""[^0-9]"",""""),9))"),"750593223")</f>
        <v>750593223</v>
      </c>
      <c r="B6041" s="26">
        <v>7.50593223E8</v>
      </c>
      <c r="C6041" s="28" t="s">
        <v>6001</v>
      </c>
      <c r="D6041" s="26" t="s">
        <v>45</v>
      </c>
      <c r="E6041" s="31">
        <v>46239.0</v>
      </c>
      <c r="F6041" s="26" t="s">
        <v>46</v>
      </c>
      <c r="G6041" s="26">
        <v>7.0</v>
      </c>
      <c r="I6041" s="26" t="s">
        <v>883</v>
      </c>
      <c r="J6041" s="25" t="str">
        <f t="shared" si="64"/>
        <v>Yes - see Previous F-Code</v>
      </c>
      <c r="K6041" s="25" t="str">
        <f t="shared" si="65"/>
        <v>DUPLICATE - CHECK</v>
      </c>
      <c r="L6041" s="25" t="str">
        <f t="shared" si="66"/>
        <v>F75416</v>
      </c>
      <c r="M6041" s="25"/>
      <c r="O6041" s="25"/>
    </row>
    <row r="6042" ht="15.75" customHeight="1">
      <c r="A6042" s="25" t="str">
        <f>IFERROR(__xludf.DUMMYFUNCTION("IF(B6042="""","""",RIGHT(REGEXREPLACE(B6042&amp;"""",""[^0-9]"",""""),9))"),"770085453")</f>
        <v>770085453</v>
      </c>
      <c r="B6042" s="52">
        <v>7.70085453E8</v>
      </c>
      <c r="C6042" s="28" t="s">
        <v>6013</v>
      </c>
      <c r="D6042" s="26" t="s">
        <v>49</v>
      </c>
      <c r="E6042" s="31">
        <v>46239.0</v>
      </c>
      <c r="F6042" s="26" t="s">
        <v>41</v>
      </c>
      <c r="G6042" s="26">
        <v>8.0</v>
      </c>
      <c r="I6042" s="26" t="s">
        <v>883</v>
      </c>
      <c r="J6042" s="25" t="str">
        <f t="shared" si="64"/>
        <v>No</v>
      </c>
      <c r="K6042" s="25" t="str">
        <f t="shared" si="65"/>
        <v/>
      </c>
      <c r="L6042" s="25" t="str">
        <f t="shared" si="66"/>
        <v/>
      </c>
      <c r="M6042" s="25"/>
      <c r="O6042" s="25"/>
    </row>
    <row r="6043" ht="15.75" customHeight="1">
      <c r="A6043" s="25" t="str">
        <f>IFERROR(__xludf.DUMMYFUNCTION("IF(B6043="""","""",RIGHT(REGEXREPLACE(B6043&amp;"""",""[^0-9]"",""""),9))"),"777843046")</f>
        <v>777843046</v>
      </c>
      <c r="B6043" s="52">
        <v>7.77843046E8</v>
      </c>
      <c r="C6043" s="28" t="s">
        <v>6014</v>
      </c>
      <c r="D6043" s="26" t="s">
        <v>56</v>
      </c>
      <c r="E6043" s="31">
        <v>46239.0</v>
      </c>
      <c r="F6043" s="26" t="s">
        <v>46</v>
      </c>
      <c r="G6043" s="26">
        <v>8.0</v>
      </c>
      <c r="H6043" s="26" t="s">
        <v>6015</v>
      </c>
      <c r="I6043" s="26" t="s">
        <v>883</v>
      </c>
      <c r="J6043" s="25" t="str">
        <f t="shared" si="64"/>
        <v>No</v>
      </c>
      <c r="K6043" s="25" t="str">
        <f t="shared" si="65"/>
        <v/>
      </c>
      <c r="L6043" s="25" t="str">
        <f t="shared" si="66"/>
        <v/>
      </c>
      <c r="M6043" s="25"/>
      <c r="O6043" s="25"/>
    </row>
    <row r="6044" ht="15.75" customHeight="1">
      <c r="A6044" s="25" t="str">
        <f>IFERROR(__xludf.DUMMYFUNCTION("IF(B6044="""","""",RIGHT(REGEXREPLACE(B6044&amp;"""",""[^0-9]"",""""),9))"),"762942007")</f>
        <v>762942007</v>
      </c>
      <c r="B6044" s="26">
        <v>7.62942007E8</v>
      </c>
      <c r="C6044" s="28" t="s">
        <v>5840</v>
      </c>
      <c r="D6044" s="26" t="s">
        <v>45</v>
      </c>
      <c r="E6044" s="31">
        <v>46239.0</v>
      </c>
      <c r="F6044" s="26" t="s">
        <v>46</v>
      </c>
      <c r="G6044" s="26">
        <v>7.0</v>
      </c>
      <c r="I6044" s="26" t="s">
        <v>883</v>
      </c>
      <c r="J6044" s="25" t="str">
        <f t="shared" si="64"/>
        <v>Yes - see Previous F-Code</v>
      </c>
      <c r="K6044" s="25" t="str">
        <f t="shared" si="65"/>
        <v>DUPLICATE - CHECK</v>
      </c>
      <c r="L6044" s="25" t="str">
        <f t="shared" si="66"/>
        <v>F75273</v>
      </c>
      <c r="M6044" s="25"/>
      <c r="O6044" s="26" t="s">
        <v>51</v>
      </c>
    </row>
    <row r="6045" ht="15.75" customHeight="1">
      <c r="A6045" s="25" t="str">
        <f>IFERROR(__xludf.DUMMYFUNCTION("IF(B6045="""","""",RIGHT(REGEXREPLACE(B6045&amp;"""",""[^0-9]"",""""),9))"),"767276683")</f>
        <v>767276683</v>
      </c>
      <c r="B6045" s="52">
        <v>7.67276683E8</v>
      </c>
      <c r="C6045" s="28" t="s">
        <v>6016</v>
      </c>
      <c r="D6045" s="26" t="s">
        <v>64</v>
      </c>
      <c r="E6045" s="31">
        <v>46239.0</v>
      </c>
      <c r="F6045" s="26" t="s">
        <v>41</v>
      </c>
      <c r="G6045" s="26">
        <v>8.0</v>
      </c>
      <c r="I6045" s="26" t="s">
        <v>883</v>
      </c>
      <c r="J6045" s="25" t="str">
        <f t="shared" si="64"/>
        <v>No</v>
      </c>
      <c r="K6045" s="25" t="str">
        <f t="shared" si="65"/>
        <v/>
      </c>
      <c r="L6045" s="25" t="str">
        <f t="shared" si="66"/>
        <v/>
      </c>
      <c r="M6045" s="25"/>
      <c r="O6045" s="25"/>
    </row>
    <row r="6046" ht="15.75" customHeight="1">
      <c r="A6046" s="25" t="str">
        <f>IFERROR(__xludf.DUMMYFUNCTION("IF(B6046="""","""",RIGHT(REGEXREPLACE(B6046&amp;"""",""[^0-9]"",""""),9))"),"773792825")</f>
        <v>773792825</v>
      </c>
      <c r="B6046" s="52">
        <v>7.73792825E8</v>
      </c>
      <c r="C6046" s="28" t="s">
        <v>6017</v>
      </c>
      <c r="D6046" s="26" t="s">
        <v>56</v>
      </c>
      <c r="E6046" s="31">
        <v>46239.0</v>
      </c>
      <c r="F6046" s="26" t="s">
        <v>46</v>
      </c>
      <c r="G6046" s="26">
        <v>7.0</v>
      </c>
      <c r="I6046" s="26" t="s">
        <v>883</v>
      </c>
      <c r="J6046" s="25" t="str">
        <f t="shared" si="64"/>
        <v>No</v>
      </c>
      <c r="K6046" s="25" t="str">
        <f t="shared" si="65"/>
        <v/>
      </c>
      <c r="L6046" s="25" t="str">
        <f t="shared" si="66"/>
        <v/>
      </c>
      <c r="M6046" s="25"/>
      <c r="O6046" s="25"/>
    </row>
    <row r="6047" ht="15.75" customHeight="1">
      <c r="A6047" s="25" t="str">
        <f>IFERROR(__xludf.DUMMYFUNCTION("IF(B6047="""","""",RIGHT(REGEXREPLACE(B6047&amp;"""",""[^0-9]"",""""),9))"),"767235589")</f>
        <v>767235589</v>
      </c>
      <c r="B6047" s="52">
        <v>7.67235589E8</v>
      </c>
      <c r="C6047" s="28" t="s">
        <v>6018</v>
      </c>
      <c r="D6047" s="26" t="s">
        <v>49</v>
      </c>
      <c r="E6047" s="31">
        <v>46239.0</v>
      </c>
      <c r="F6047" s="26" t="s">
        <v>46</v>
      </c>
      <c r="G6047" s="26">
        <v>6.0</v>
      </c>
      <c r="H6047" s="26" t="s">
        <v>6019</v>
      </c>
      <c r="I6047" s="26" t="s">
        <v>883</v>
      </c>
      <c r="J6047" s="25" t="str">
        <f t="shared" si="64"/>
        <v>No</v>
      </c>
      <c r="K6047" s="25" t="str">
        <f t="shared" si="65"/>
        <v/>
      </c>
      <c r="L6047" s="25" t="str">
        <f t="shared" si="66"/>
        <v/>
      </c>
      <c r="M6047" s="25"/>
      <c r="O6047" s="25"/>
    </row>
    <row r="6048" ht="15.75" customHeight="1">
      <c r="A6048" s="25" t="str">
        <f>IFERROR(__xludf.DUMMYFUNCTION("IF(B6048="""","""",RIGHT(REGEXREPLACE(B6048&amp;"""",""[^0-9]"",""""),9))"),"778544806")</f>
        <v>778544806</v>
      </c>
      <c r="B6048" s="52">
        <v>7.78544806E8</v>
      </c>
      <c r="C6048" s="28" t="s">
        <v>6020</v>
      </c>
      <c r="D6048" s="26" t="s">
        <v>82</v>
      </c>
      <c r="E6048" s="31">
        <v>46239.0</v>
      </c>
      <c r="F6048" s="26" t="s">
        <v>46</v>
      </c>
      <c r="G6048" s="26">
        <v>7.0</v>
      </c>
      <c r="I6048" s="26" t="s">
        <v>883</v>
      </c>
      <c r="J6048" s="25" t="str">
        <f t="shared" si="64"/>
        <v>No</v>
      </c>
      <c r="K6048" s="25" t="str">
        <f t="shared" si="65"/>
        <v/>
      </c>
      <c r="L6048" s="25" t="str">
        <f t="shared" si="66"/>
        <v/>
      </c>
      <c r="M6048" s="25"/>
      <c r="O6048" s="25"/>
    </row>
    <row r="6049" ht="15.75" customHeight="1">
      <c r="A6049" s="25" t="str">
        <f>IFERROR(__xludf.DUMMYFUNCTION("IF(B6049="""","""",RIGHT(REGEXREPLACE(B6049&amp;"""",""[^0-9]"",""""),9))"),"720919002")</f>
        <v>720919002</v>
      </c>
      <c r="B6049" s="52">
        <v>7.20919002E8</v>
      </c>
      <c r="C6049" s="28" t="s">
        <v>6021</v>
      </c>
      <c r="D6049" s="26" t="s">
        <v>56</v>
      </c>
      <c r="E6049" s="31">
        <v>46239.0</v>
      </c>
      <c r="F6049" s="26" t="s">
        <v>41</v>
      </c>
      <c r="I6049" s="26" t="s">
        <v>883</v>
      </c>
      <c r="J6049" s="25" t="str">
        <f t="shared" si="64"/>
        <v>No</v>
      </c>
      <c r="K6049" s="25" t="str">
        <f t="shared" si="65"/>
        <v/>
      </c>
      <c r="L6049" s="25" t="str">
        <f t="shared" si="66"/>
        <v/>
      </c>
      <c r="M6049" s="25"/>
      <c r="O6049" s="25"/>
    </row>
    <row r="6050" ht="15.75" customHeight="1">
      <c r="A6050" s="25" t="str">
        <f>IFERROR(__xludf.DUMMYFUNCTION("IF(B6050="""","""",RIGHT(REGEXREPLACE(B6050&amp;"""",""[^0-9]"",""""),9))"),"767025261")</f>
        <v>767025261</v>
      </c>
      <c r="B6050" s="52">
        <v>7.67025261E8</v>
      </c>
      <c r="C6050" s="28" t="s">
        <v>6022</v>
      </c>
      <c r="D6050" s="26" t="s">
        <v>64</v>
      </c>
      <c r="E6050" s="31">
        <v>46239.0</v>
      </c>
      <c r="F6050" s="26" t="s">
        <v>46</v>
      </c>
      <c r="H6050" s="26" t="s">
        <v>4362</v>
      </c>
      <c r="I6050" s="26" t="s">
        <v>883</v>
      </c>
      <c r="J6050" s="25" t="str">
        <f t="shared" si="64"/>
        <v>No</v>
      </c>
      <c r="K6050" s="25" t="str">
        <f t="shared" si="65"/>
        <v/>
      </c>
      <c r="L6050" s="25" t="str">
        <f t="shared" si="66"/>
        <v/>
      </c>
      <c r="M6050" s="25"/>
      <c r="O6050" s="25"/>
    </row>
    <row r="6051" ht="15.75" customHeight="1">
      <c r="A6051" s="25" t="str">
        <f>IFERROR(__xludf.DUMMYFUNCTION("IF(B6051="""","""",RIGHT(REGEXREPLACE(B6051&amp;"""",""[^0-9]"",""""),9))"),"703428307")</f>
        <v>703428307</v>
      </c>
      <c r="B6051" s="52">
        <v>7.03428307E8</v>
      </c>
      <c r="C6051" s="28" t="s">
        <v>6023</v>
      </c>
      <c r="D6051" s="26" t="s">
        <v>82</v>
      </c>
      <c r="E6051" s="31">
        <v>46239.0</v>
      </c>
      <c r="F6051" s="26" t="s">
        <v>46</v>
      </c>
      <c r="G6051" s="26">
        <v>6.0</v>
      </c>
      <c r="H6051" s="26" t="s">
        <v>6024</v>
      </c>
      <c r="I6051" s="26" t="s">
        <v>883</v>
      </c>
      <c r="J6051" s="25" t="str">
        <f t="shared" si="64"/>
        <v>No</v>
      </c>
      <c r="K6051" s="25" t="str">
        <f t="shared" si="65"/>
        <v/>
      </c>
      <c r="L6051" s="25" t="str">
        <f t="shared" si="66"/>
        <v/>
      </c>
      <c r="M6051" s="25"/>
      <c r="O6051" s="25"/>
    </row>
    <row r="6052" ht="15.75" customHeight="1">
      <c r="A6052" s="25" t="str">
        <f>IFERROR(__xludf.DUMMYFUNCTION("IF(B6052="""","""",RIGHT(REGEXREPLACE(B6052&amp;"""",""[^0-9]"",""""),9))"),"774046364")</f>
        <v>774046364</v>
      </c>
      <c r="B6052" s="52">
        <v>7.74046364E8</v>
      </c>
      <c r="C6052" s="28" t="s">
        <v>6025</v>
      </c>
      <c r="D6052" s="26" t="s">
        <v>49</v>
      </c>
      <c r="E6052" s="31">
        <v>46239.0</v>
      </c>
      <c r="F6052" s="26" t="s">
        <v>46</v>
      </c>
      <c r="G6052" s="26">
        <v>9.0</v>
      </c>
      <c r="H6052" s="26" t="s">
        <v>6026</v>
      </c>
      <c r="I6052" s="26" t="s">
        <v>883</v>
      </c>
      <c r="J6052" s="25" t="str">
        <f t="shared" si="64"/>
        <v>No</v>
      </c>
      <c r="K6052" s="25" t="str">
        <f t="shared" si="65"/>
        <v/>
      </c>
      <c r="L6052" s="25" t="str">
        <f t="shared" si="66"/>
        <v/>
      </c>
      <c r="M6052" s="25"/>
      <c r="O6052" s="25"/>
    </row>
    <row r="6053" ht="15.75" customHeight="1">
      <c r="A6053" s="25" t="str">
        <f>IFERROR(__xludf.DUMMYFUNCTION("IF(B6053="""","""",RIGHT(REGEXREPLACE(B6053&amp;"""",""[^0-9]"",""""),9))"),"702025734")</f>
        <v>702025734</v>
      </c>
      <c r="B6053" s="52">
        <v>7.02025734E8</v>
      </c>
      <c r="C6053" s="28" t="s">
        <v>6027</v>
      </c>
      <c r="D6053" s="26" t="s">
        <v>64</v>
      </c>
      <c r="E6053" s="31">
        <v>46239.0</v>
      </c>
      <c r="F6053" s="26" t="s">
        <v>659</v>
      </c>
      <c r="G6053" s="26">
        <v>8.0</v>
      </c>
      <c r="I6053" s="26" t="s">
        <v>883</v>
      </c>
      <c r="J6053" s="25" t="str">
        <f t="shared" si="64"/>
        <v>No</v>
      </c>
      <c r="K6053" s="25" t="str">
        <f t="shared" si="65"/>
        <v/>
      </c>
      <c r="L6053" s="25" t="str">
        <f t="shared" si="66"/>
        <v/>
      </c>
      <c r="M6053" s="25"/>
      <c r="O6053" s="25"/>
    </row>
    <row r="6054" ht="15.75" customHeight="1">
      <c r="A6054" s="25" t="str">
        <f>IFERROR(__xludf.DUMMYFUNCTION("IF(B6054="""","""",RIGHT(REGEXREPLACE(B6054&amp;"""",""[^0-9]"",""""),9))"),"707201002")</f>
        <v>707201002</v>
      </c>
      <c r="B6054" s="52">
        <v>7.07201002E8</v>
      </c>
      <c r="C6054" s="28" t="s">
        <v>6028</v>
      </c>
      <c r="D6054" s="26" t="s">
        <v>64</v>
      </c>
      <c r="E6054" s="31">
        <v>46239.0</v>
      </c>
      <c r="F6054" s="26" t="s">
        <v>46</v>
      </c>
      <c r="G6054" s="26">
        <v>8.0</v>
      </c>
      <c r="I6054" s="26" t="s">
        <v>883</v>
      </c>
      <c r="J6054" s="25" t="str">
        <f t="shared" si="64"/>
        <v>No</v>
      </c>
      <c r="K6054" s="25" t="str">
        <f t="shared" si="65"/>
        <v/>
      </c>
      <c r="L6054" s="25" t="str">
        <f t="shared" si="66"/>
        <v/>
      </c>
      <c r="M6054" s="25"/>
      <c r="O6054" s="25"/>
    </row>
    <row r="6055" ht="15.75" customHeight="1">
      <c r="A6055" s="25" t="str">
        <f>IFERROR(__xludf.DUMMYFUNCTION("IF(B6055="""","""",RIGHT(REGEXREPLACE(B6055&amp;"""",""[^0-9]"",""""),9))"),"779634810")</f>
        <v>779634810</v>
      </c>
      <c r="B6055" s="52">
        <v>7.7963481E8</v>
      </c>
      <c r="C6055" s="28" t="s">
        <v>6029</v>
      </c>
      <c r="D6055" s="26" t="s">
        <v>56</v>
      </c>
      <c r="E6055" s="31">
        <v>46239.0</v>
      </c>
      <c r="F6055" s="26" t="s">
        <v>46</v>
      </c>
      <c r="G6055" s="26">
        <v>11.0</v>
      </c>
      <c r="I6055" s="26" t="s">
        <v>883</v>
      </c>
      <c r="J6055" s="25" t="str">
        <f t="shared" si="64"/>
        <v>No</v>
      </c>
      <c r="K6055" s="25" t="str">
        <f t="shared" si="65"/>
        <v/>
      </c>
      <c r="L6055" s="25" t="str">
        <f t="shared" si="66"/>
        <v/>
      </c>
      <c r="M6055" s="25"/>
      <c r="O6055" s="25"/>
    </row>
    <row r="6056" ht="15.75" customHeight="1">
      <c r="A6056" s="25" t="str">
        <f>IFERROR(__xludf.DUMMYFUNCTION("IF(B6056="""","""",RIGHT(REGEXREPLACE(B6056&amp;"""",""[^0-9]"",""""),9))"),"776556320")</f>
        <v>776556320</v>
      </c>
      <c r="B6056" s="52">
        <v>7.7655632E8</v>
      </c>
      <c r="C6056" s="28" t="s">
        <v>6030</v>
      </c>
      <c r="D6056" s="26" t="s">
        <v>56</v>
      </c>
      <c r="E6056" s="31">
        <v>46239.0</v>
      </c>
      <c r="F6056" s="26" t="s">
        <v>46</v>
      </c>
      <c r="G6056" s="26">
        <v>7.0</v>
      </c>
      <c r="I6056" s="26" t="s">
        <v>883</v>
      </c>
      <c r="J6056" s="25" t="str">
        <f t="shared" si="64"/>
        <v>No</v>
      </c>
      <c r="K6056" s="25" t="str">
        <f t="shared" si="65"/>
        <v/>
      </c>
      <c r="L6056" s="25" t="str">
        <f t="shared" si="66"/>
        <v/>
      </c>
      <c r="M6056" s="25"/>
      <c r="O6056" s="26" t="s">
        <v>51</v>
      </c>
    </row>
    <row r="6057" ht="15.75" customHeight="1">
      <c r="A6057" s="25" t="str">
        <f>IFERROR(__xludf.DUMMYFUNCTION("IF(B6057="""","""",RIGHT(REGEXREPLACE(B6057&amp;"""",""[^0-9]"",""""),9))"),"754207141")</f>
        <v>754207141</v>
      </c>
      <c r="B6057" s="26">
        <v>7.54207141E8</v>
      </c>
      <c r="C6057" s="28" t="s">
        <v>6031</v>
      </c>
      <c r="D6057" s="26" t="s">
        <v>45</v>
      </c>
      <c r="E6057" s="31">
        <v>46239.0</v>
      </c>
      <c r="F6057" s="26" t="s">
        <v>46</v>
      </c>
      <c r="G6057" s="26">
        <v>11.0</v>
      </c>
      <c r="I6057" s="26" t="s">
        <v>883</v>
      </c>
      <c r="J6057" s="25" t="str">
        <f t="shared" si="64"/>
        <v>No</v>
      </c>
      <c r="K6057" s="25" t="str">
        <f t="shared" si="65"/>
        <v/>
      </c>
      <c r="L6057" s="25" t="str">
        <f t="shared" si="66"/>
        <v/>
      </c>
      <c r="M6057" s="25"/>
      <c r="O6057" s="25"/>
    </row>
    <row r="6058" ht="15.75" customHeight="1">
      <c r="A6058" s="25" t="str">
        <f>IFERROR(__xludf.DUMMYFUNCTION("IF(B6058="""","""",RIGHT(REGEXREPLACE(B6058&amp;"""",""[^0-9]"",""""),9))"),"764872171")</f>
        <v>764872171</v>
      </c>
      <c r="B6058" s="26">
        <v>7.64872171E8</v>
      </c>
      <c r="C6058" s="28" t="s">
        <v>5769</v>
      </c>
      <c r="D6058" s="26" t="s">
        <v>45</v>
      </c>
      <c r="E6058" s="31">
        <v>46239.0</v>
      </c>
      <c r="F6058" s="26" t="s">
        <v>41</v>
      </c>
      <c r="G6058" s="26">
        <v>11.0</v>
      </c>
      <c r="I6058" s="26" t="s">
        <v>883</v>
      </c>
      <c r="J6058" s="25" t="str">
        <f t="shared" si="64"/>
        <v>Yes - see Previous F-Code</v>
      </c>
      <c r="K6058" s="25" t="str">
        <f t="shared" si="65"/>
        <v>DUPLICATE - CHECK</v>
      </c>
      <c r="L6058" s="25" t="str">
        <f t="shared" si="66"/>
        <v>F75211</v>
      </c>
      <c r="M6058" s="25"/>
      <c r="O6058" s="25"/>
    </row>
    <row r="6059" ht="15.75" customHeight="1">
      <c r="A6059" s="25" t="str">
        <f>IFERROR(__xludf.DUMMYFUNCTION("IF(B6059="""","""",RIGHT(REGEXREPLACE(B6059&amp;"""",""[^0-9]"",""""),9))"),"711400921")</f>
        <v>711400921</v>
      </c>
      <c r="B6059" s="52">
        <v>7.11400921E8</v>
      </c>
      <c r="C6059" s="28" t="s">
        <v>6032</v>
      </c>
      <c r="D6059" s="26" t="s">
        <v>49</v>
      </c>
      <c r="E6059" s="31">
        <v>46239.0</v>
      </c>
      <c r="F6059" s="26" t="s">
        <v>659</v>
      </c>
      <c r="I6059" s="26" t="s">
        <v>883</v>
      </c>
      <c r="J6059" s="25" t="str">
        <f t="shared" si="64"/>
        <v>No</v>
      </c>
      <c r="K6059" s="25" t="str">
        <f t="shared" si="65"/>
        <v/>
      </c>
      <c r="L6059" s="25" t="str">
        <f t="shared" si="66"/>
        <v/>
      </c>
      <c r="M6059" s="25"/>
      <c r="O6059" s="26" t="s">
        <v>51</v>
      </c>
    </row>
    <row r="6060" ht="15.75" customHeight="1">
      <c r="A6060" s="25" t="str">
        <f>IFERROR(__xludf.DUMMYFUNCTION("IF(B6060="""","""",RIGHT(REGEXREPLACE(B6060&amp;"""",""[^0-9]"",""""),9))"),"752439550")</f>
        <v>752439550</v>
      </c>
      <c r="B6060" s="52">
        <v>7.5243955E8</v>
      </c>
      <c r="C6060" s="28" t="s">
        <v>6033</v>
      </c>
      <c r="D6060" s="26" t="s">
        <v>56</v>
      </c>
      <c r="E6060" s="31">
        <v>46239.0</v>
      </c>
      <c r="F6060" s="26" t="s">
        <v>46</v>
      </c>
      <c r="G6060" s="26">
        <v>10.0</v>
      </c>
      <c r="H6060" s="26" t="s">
        <v>483</v>
      </c>
      <c r="I6060" s="26" t="s">
        <v>883</v>
      </c>
      <c r="J6060" s="25" t="str">
        <f t="shared" si="64"/>
        <v>No</v>
      </c>
      <c r="K6060" s="25" t="str">
        <f t="shared" si="65"/>
        <v/>
      </c>
      <c r="L6060" s="25" t="str">
        <f t="shared" si="66"/>
        <v/>
      </c>
      <c r="M6060" s="25"/>
      <c r="O6060" s="25"/>
    </row>
    <row r="6061" ht="15.75" customHeight="1">
      <c r="A6061" s="25" t="str">
        <f>IFERROR(__xludf.DUMMYFUNCTION("IF(B6061="""","""",RIGHT(REGEXREPLACE(B6061&amp;"""",""[^0-9]"",""""),9))"),"778915660")</f>
        <v>778915660</v>
      </c>
      <c r="B6061" s="52">
        <v>7.7891566E8</v>
      </c>
      <c r="C6061" s="28" t="s">
        <v>6033</v>
      </c>
      <c r="D6061" s="26" t="s">
        <v>64</v>
      </c>
      <c r="E6061" s="31">
        <v>46239.0</v>
      </c>
      <c r="F6061" s="26" t="s">
        <v>46</v>
      </c>
      <c r="G6061" s="26">
        <v>8.0</v>
      </c>
      <c r="I6061" s="26" t="s">
        <v>883</v>
      </c>
      <c r="J6061" s="25" t="str">
        <f t="shared" si="64"/>
        <v>No</v>
      </c>
      <c r="K6061" s="25" t="str">
        <f t="shared" si="65"/>
        <v/>
      </c>
      <c r="L6061" s="25" t="str">
        <f t="shared" si="66"/>
        <v/>
      </c>
      <c r="M6061" s="25"/>
      <c r="O6061" s="25"/>
    </row>
    <row r="6062" ht="15.75" customHeight="1">
      <c r="A6062" s="25" t="str">
        <f>IFERROR(__xludf.DUMMYFUNCTION("IF(B6062="""","""",RIGHT(REGEXREPLACE(B6062&amp;"""",""[^0-9]"",""""),9))"),"770085453")</f>
        <v>770085453</v>
      </c>
      <c r="B6062" s="26">
        <v>7.70085453E8</v>
      </c>
      <c r="C6062" s="28" t="s">
        <v>6013</v>
      </c>
      <c r="D6062" s="26" t="s">
        <v>45</v>
      </c>
      <c r="E6062" s="31">
        <v>46239.0</v>
      </c>
      <c r="F6062" s="26" t="s">
        <v>46</v>
      </c>
      <c r="G6062" s="26">
        <v>10.0</v>
      </c>
      <c r="I6062" s="26" t="s">
        <v>883</v>
      </c>
      <c r="J6062" s="25" t="str">
        <f t="shared" si="64"/>
        <v>Yes - see Previous F-Code</v>
      </c>
      <c r="K6062" s="25" t="str">
        <f t="shared" si="65"/>
        <v>DUPLICATE - CHECK</v>
      </c>
      <c r="L6062" s="25" t="str">
        <f t="shared" si="66"/>
        <v>F75428</v>
      </c>
      <c r="M6062" s="25"/>
      <c r="O6062" s="26" t="s">
        <v>51</v>
      </c>
    </row>
    <row r="6063" ht="15.75" customHeight="1">
      <c r="A6063" s="25" t="str">
        <f>IFERROR(__xludf.DUMMYFUNCTION("IF(B6063="""","""",RIGHT(REGEXREPLACE(B6063&amp;"""",""[^0-9]"",""""),9))"),"767215471")</f>
        <v>767215471</v>
      </c>
      <c r="B6063" s="52">
        <v>7.67215471E8</v>
      </c>
      <c r="C6063" s="28" t="s">
        <v>6034</v>
      </c>
      <c r="D6063" s="26" t="s">
        <v>64</v>
      </c>
      <c r="E6063" s="31">
        <v>46239.0</v>
      </c>
      <c r="F6063" s="26" t="s">
        <v>205</v>
      </c>
      <c r="G6063" s="26">
        <v>10.0</v>
      </c>
      <c r="I6063" s="26" t="s">
        <v>883</v>
      </c>
      <c r="J6063" s="25" t="str">
        <f t="shared" si="64"/>
        <v>No</v>
      </c>
      <c r="K6063" s="25" t="str">
        <f t="shared" si="65"/>
        <v/>
      </c>
      <c r="L6063" s="25" t="str">
        <f t="shared" si="66"/>
        <v/>
      </c>
      <c r="M6063" s="25"/>
      <c r="O6063" s="25"/>
    </row>
    <row r="6064" ht="15.75" customHeight="1">
      <c r="A6064" s="25" t="str">
        <f>IFERROR(__xludf.DUMMYFUNCTION("IF(B6064="""","""",RIGHT(REGEXREPLACE(B6064&amp;"""",""[^0-9]"",""""),9))"),"743824866")</f>
        <v>743824866</v>
      </c>
      <c r="B6064" s="52">
        <v>7.43824866E8</v>
      </c>
      <c r="C6064" s="28" t="s">
        <v>6035</v>
      </c>
      <c r="D6064" s="26" t="s">
        <v>56</v>
      </c>
      <c r="E6064" s="31">
        <v>46239.0</v>
      </c>
      <c r="F6064" s="26" t="s">
        <v>46</v>
      </c>
      <c r="G6064" s="26">
        <v>7.0</v>
      </c>
      <c r="I6064" s="26" t="s">
        <v>883</v>
      </c>
      <c r="J6064" s="25" t="str">
        <f t="shared" si="64"/>
        <v>No</v>
      </c>
      <c r="K6064" s="25" t="str">
        <f t="shared" si="65"/>
        <v/>
      </c>
      <c r="L6064" s="25" t="str">
        <f t="shared" si="66"/>
        <v/>
      </c>
      <c r="M6064" s="25"/>
      <c r="O6064" s="25"/>
    </row>
    <row r="6065" ht="15.75" customHeight="1">
      <c r="A6065" s="25" t="str">
        <f>IFERROR(__xludf.DUMMYFUNCTION("IF(B6065="""","""",RIGHT(REGEXREPLACE(B6065&amp;"""",""[^0-9]"",""""),9))"),"703400737")</f>
        <v>703400737</v>
      </c>
      <c r="B6065" s="52">
        <v>7.03400737E8</v>
      </c>
      <c r="C6065" s="28" t="s">
        <v>6036</v>
      </c>
      <c r="D6065" s="26" t="s">
        <v>49</v>
      </c>
      <c r="E6065" s="31">
        <v>46239.0</v>
      </c>
      <c r="F6065" s="26" t="s">
        <v>46</v>
      </c>
      <c r="H6065" s="26" t="s">
        <v>94</v>
      </c>
      <c r="I6065" s="26" t="s">
        <v>883</v>
      </c>
      <c r="J6065" s="25" t="str">
        <f t="shared" si="64"/>
        <v>No</v>
      </c>
      <c r="K6065" s="25" t="str">
        <f t="shared" si="65"/>
        <v/>
      </c>
      <c r="L6065" s="25" t="str">
        <f t="shared" si="66"/>
        <v/>
      </c>
      <c r="M6065" s="25"/>
      <c r="O6065" s="25"/>
    </row>
    <row r="6066" ht="15.75" customHeight="1">
      <c r="A6066" s="25" t="str">
        <f>IFERROR(__xludf.DUMMYFUNCTION("IF(B6066="""","""",RIGHT(REGEXREPLACE(B6066&amp;"""",""[^0-9]"",""""),9))"),"712166330")</f>
        <v>712166330</v>
      </c>
      <c r="B6066" s="52">
        <v>7.1216633E8</v>
      </c>
      <c r="C6066" s="28" t="s">
        <v>6037</v>
      </c>
      <c r="D6066" s="26" t="s">
        <v>64</v>
      </c>
      <c r="E6066" s="31">
        <v>46239.0</v>
      </c>
      <c r="F6066" s="26" t="s">
        <v>46</v>
      </c>
      <c r="G6066" s="26">
        <v>6.0</v>
      </c>
      <c r="H6066" s="26" t="s">
        <v>78</v>
      </c>
      <c r="I6066" s="26" t="s">
        <v>883</v>
      </c>
      <c r="J6066" s="25" t="str">
        <f t="shared" si="64"/>
        <v>No</v>
      </c>
      <c r="K6066" s="25" t="str">
        <f t="shared" si="65"/>
        <v/>
      </c>
      <c r="L6066" s="25" t="str">
        <f t="shared" si="66"/>
        <v/>
      </c>
      <c r="M6066" s="25"/>
      <c r="O6066" s="25"/>
    </row>
    <row r="6067" ht="15.75" customHeight="1">
      <c r="A6067" s="25" t="str">
        <f>IFERROR(__xludf.DUMMYFUNCTION("IF(B6067="""","""",RIGHT(REGEXREPLACE(B6067&amp;"""",""[^0-9]"",""""),9))"),"760614558")</f>
        <v>760614558</v>
      </c>
      <c r="B6067" s="52">
        <v>7.60614558E8</v>
      </c>
      <c r="C6067" s="28" t="s">
        <v>6038</v>
      </c>
      <c r="D6067" s="26" t="s">
        <v>64</v>
      </c>
      <c r="E6067" s="31">
        <v>46239.0</v>
      </c>
      <c r="F6067" s="26" t="s">
        <v>46</v>
      </c>
      <c r="H6067" s="26" t="s">
        <v>6039</v>
      </c>
      <c r="I6067" s="26" t="s">
        <v>883</v>
      </c>
      <c r="J6067" s="25" t="str">
        <f t="shared" si="64"/>
        <v>No</v>
      </c>
      <c r="K6067" s="25" t="str">
        <f t="shared" si="65"/>
        <v/>
      </c>
      <c r="L6067" s="25" t="str">
        <f t="shared" si="66"/>
        <v/>
      </c>
      <c r="M6067" s="25"/>
      <c r="O6067" s="25"/>
    </row>
    <row r="6068" ht="15.75" customHeight="1">
      <c r="A6068" s="25" t="str">
        <f>IFERROR(__xludf.DUMMYFUNCTION("IF(B6068="""","""",RIGHT(REGEXREPLACE(B6068&amp;"""",""[^0-9]"",""""),9))"),"711037032")</f>
        <v>711037032</v>
      </c>
      <c r="B6068" s="52">
        <v>7.11037032E8</v>
      </c>
      <c r="C6068" s="28" t="s">
        <v>6040</v>
      </c>
      <c r="D6068" s="26" t="s">
        <v>56</v>
      </c>
      <c r="E6068" s="31">
        <v>46239.0</v>
      </c>
      <c r="F6068" s="26" t="s">
        <v>164</v>
      </c>
      <c r="I6068" s="26" t="s">
        <v>883</v>
      </c>
      <c r="J6068" s="25" t="str">
        <f t="shared" si="64"/>
        <v>No</v>
      </c>
      <c r="K6068" s="25" t="str">
        <f t="shared" si="65"/>
        <v/>
      </c>
      <c r="L6068" s="25" t="str">
        <f t="shared" si="66"/>
        <v/>
      </c>
      <c r="M6068" s="25"/>
      <c r="O6068" s="25"/>
    </row>
    <row r="6069" ht="15.75" customHeight="1">
      <c r="A6069" s="25" t="str">
        <f>IFERROR(__xludf.DUMMYFUNCTION("IF(B6069="""","""",RIGHT(REGEXREPLACE(B6069&amp;"""",""[^0-9]"",""""),9))"),"762900454")</f>
        <v>762900454</v>
      </c>
      <c r="B6069" s="52">
        <v>7.62900454E8</v>
      </c>
      <c r="C6069" s="28" t="s">
        <v>6041</v>
      </c>
      <c r="D6069" s="26" t="s">
        <v>56</v>
      </c>
      <c r="E6069" s="31">
        <v>46239.0</v>
      </c>
      <c r="F6069" s="26" t="s">
        <v>659</v>
      </c>
      <c r="G6069" s="26">
        <v>10.0</v>
      </c>
      <c r="I6069" s="26" t="s">
        <v>883</v>
      </c>
      <c r="J6069" s="25" t="str">
        <f t="shared" si="64"/>
        <v>No</v>
      </c>
      <c r="K6069" s="25" t="str">
        <f t="shared" si="65"/>
        <v/>
      </c>
      <c r="L6069" s="25" t="str">
        <f t="shared" si="66"/>
        <v/>
      </c>
      <c r="M6069" s="25"/>
      <c r="O6069" s="25"/>
    </row>
    <row r="6070" ht="15.75" customHeight="1">
      <c r="A6070" s="25" t="str">
        <f>IFERROR(__xludf.DUMMYFUNCTION("IF(B6070="""","""",RIGHT(REGEXREPLACE(B6070&amp;"""",""[^0-9]"",""""),9))"),"776458113")</f>
        <v>776458113</v>
      </c>
      <c r="B6070" s="52">
        <v>7.76458113E8</v>
      </c>
      <c r="C6070" s="28" t="s">
        <v>6042</v>
      </c>
      <c r="D6070" s="26" t="s">
        <v>64</v>
      </c>
      <c r="E6070" s="31">
        <v>46239.0</v>
      </c>
      <c r="F6070" s="26" t="s">
        <v>46</v>
      </c>
      <c r="G6070" s="26">
        <v>8.0</v>
      </c>
      <c r="I6070" s="26" t="s">
        <v>883</v>
      </c>
      <c r="J6070" s="25" t="str">
        <f t="shared" si="64"/>
        <v>No</v>
      </c>
      <c r="K6070" s="25" t="str">
        <f t="shared" si="65"/>
        <v/>
      </c>
      <c r="L6070" s="25" t="str">
        <f t="shared" si="66"/>
        <v/>
      </c>
      <c r="M6070" s="25"/>
      <c r="O6070" s="25"/>
    </row>
    <row r="6071" ht="15.75" customHeight="1">
      <c r="A6071" s="25" t="str">
        <f>IFERROR(__xludf.DUMMYFUNCTION("IF(B6071="""","""",RIGHT(REGEXREPLACE(B6071&amp;"""",""[^0-9]"",""""),9))"),"776676141")</f>
        <v>776676141</v>
      </c>
      <c r="B6071" s="52">
        <v>7.76676141E8</v>
      </c>
      <c r="C6071" s="28" t="s">
        <v>6043</v>
      </c>
      <c r="D6071" s="26" t="s">
        <v>56</v>
      </c>
      <c r="E6071" s="31">
        <v>46239.0</v>
      </c>
      <c r="F6071" s="26" t="s">
        <v>46</v>
      </c>
      <c r="G6071" s="26">
        <v>7.0</v>
      </c>
      <c r="I6071" s="26" t="s">
        <v>883</v>
      </c>
      <c r="J6071" s="25" t="str">
        <f t="shared" si="64"/>
        <v>No</v>
      </c>
      <c r="K6071" s="25" t="str">
        <f t="shared" si="65"/>
        <v/>
      </c>
      <c r="L6071" s="25" t="str">
        <f t="shared" si="66"/>
        <v/>
      </c>
      <c r="M6071" s="25"/>
      <c r="O6071" s="26" t="s">
        <v>51</v>
      </c>
    </row>
    <row r="6072" ht="15.75" customHeight="1">
      <c r="A6072" s="25" t="str">
        <f>IFERROR(__xludf.DUMMYFUNCTION("IF(B6072="""","""",RIGHT(REGEXREPLACE(B6072&amp;"""",""[^0-9]"",""""),9))"),"779679412")</f>
        <v>779679412</v>
      </c>
      <c r="B6072" s="52">
        <v>7.79679412E8</v>
      </c>
      <c r="C6072" s="28" t="s">
        <v>6008</v>
      </c>
      <c r="D6072" s="26" t="s">
        <v>64</v>
      </c>
      <c r="E6072" s="31">
        <v>46239.0</v>
      </c>
      <c r="F6072" s="26" t="s">
        <v>46</v>
      </c>
      <c r="G6072" s="26">
        <v>8.0</v>
      </c>
      <c r="H6072" s="26" t="s">
        <v>918</v>
      </c>
      <c r="I6072" s="26" t="s">
        <v>883</v>
      </c>
      <c r="J6072" s="25" t="str">
        <f t="shared" si="64"/>
        <v>No</v>
      </c>
      <c r="K6072" s="25" t="str">
        <f t="shared" si="65"/>
        <v/>
      </c>
      <c r="L6072" s="25" t="str">
        <f t="shared" si="66"/>
        <v/>
      </c>
      <c r="M6072" s="25"/>
      <c r="O6072" s="25"/>
    </row>
    <row r="6073" ht="15.75" customHeight="1">
      <c r="A6073" s="25" t="str">
        <f>IFERROR(__xludf.DUMMYFUNCTION("IF(B6073="""","""",RIGHT(REGEXREPLACE(B6073&amp;"""",""[^0-9]"",""""),9))"),"779945728")</f>
        <v>779945728</v>
      </c>
      <c r="B6073" s="52">
        <v>7.79945728E8</v>
      </c>
      <c r="C6073" s="28" t="s">
        <v>6044</v>
      </c>
      <c r="D6073" s="26" t="s">
        <v>56</v>
      </c>
      <c r="E6073" s="31">
        <v>46239.0</v>
      </c>
      <c r="F6073" s="26" t="s">
        <v>46</v>
      </c>
      <c r="G6073" s="26" t="s">
        <v>1105</v>
      </c>
      <c r="I6073" s="26" t="s">
        <v>883</v>
      </c>
      <c r="J6073" s="25" t="str">
        <f t="shared" si="64"/>
        <v>No</v>
      </c>
      <c r="K6073" s="25" t="str">
        <f t="shared" si="65"/>
        <v/>
      </c>
      <c r="L6073" s="25" t="str">
        <f t="shared" si="66"/>
        <v/>
      </c>
      <c r="M6073" s="25"/>
      <c r="O6073" s="25"/>
    </row>
    <row r="6074" ht="15.75" customHeight="1">
      <c r="A6074" s="25" t="str">
        <f>IFERROR(__xludf.DUMMYFUNCTION("IF(B6074="""","""",RIGHT(REGEXREPLACE(B6074&amp;"""",""[^0-9]"",""""),9))"),"774500856")</f>
        <v>774500856</v>
      </c>
      <c r="B6074" s="52">
        <v>7.74500856E8</v>
      </c>
      <c r="C6074" s="28" t="s">
        <v>6045</v>
      </c>
      <c r="D6074" s="26" t="s">
        <v>56</v>
      </c>
      <c r="E6074" s="31">
        <v>46239.0</v>
      </c>
      <c r="F6074" s="25"/>
      <c r="G6074" s="26">
        <v>7.0</v>
      </c>
      <c r="H6074" s="25"/>
      <c r="I6074" s="26" t="s">
        <v>883</v>
      </c>
      <c r="J6074" s="25" t="str">
        <f t="shared" si="64"/>
        <v>No</v>
      </c>
      <c r="K6074" s="25" t="str">
        <f t="shared" si="65"/>
        <v/>
      </c>
      <c r="L6074" s="25" t="str">
        <f t="shared" si="66"/>
        <v/>
      </c>
      <c r="M6074" s="25"/>
      <c r="N6074" s="25"/>
      <c r="O6074" s="25"/>
      <c r="P6074" s="25"/>
    </row>
    <row r="6075" ht="15.75" customHeight="1">
      <c r="A6075" s="25" t="str">
        <f>IFERROR(__xludf.DUMMYFUNCTION("IF(B6075="""","""",RIGHT(REGEXREPLACE(B6075&amp;"""",""[^0-9]"",""""),9))"),"712166330")</f>
        <v>712166330</v>
      </c>
      <c r="B6075" s="52">
        <v>7.1216633E8</v>
      </c>
      <c r="C6075" s="28" t="s">
        <v>6037</v>
      </c>
      <c r="D6075" s="26" t="s">
        <v>64</v>
      </c>
      <c r="E6075" s="31">
        <v>46239.0</v>
      </c>
      <c r="F6075" s="25"/>
      <c r="G6075" s="25"/>
      <c r="H6075" s="25"/>
      <c r="I6075" s="26" t="s">
        <v>883</v>
      </c>
      <c r="J6075" s="25" t="str">
        <f t="shared" si="64"/>
        <v>Yes - see Previous F-Code</v>
      </c>
      <c r="K6075" s="25" t="str">
        <f t="shared" si="65"/>
        <v>DUPLICATE - CHECK</v>
      </c>
      <c r="L6075" s="25" t="str">
        <f t="shared" si="66"/>
        <v>F75448</v>
      </c>
      <c r="M6075" s="25"/>
      <c r="N6075" s="25"/>
      <c r="O6075" s="25"/>
      <c r="P6075" s="25"/>
    </row>
    <row r="6076" ht="15.75" customHeight="1">
      <c r="A6076" s="25" t="str">
        <f>IFERROR(__xludf.DUMMYFUNCTION("IF(B6076="""","""",RIGHT(REGEXREPLACE(B6076&amp;"""",""[^0-9]"",""""),9))"),"711120998")</f>
        <v>711120998</v>
      </c>
      <c r="B6076" s="52">
        <v>7.11120998E8</v>
      </c>
      <c r="C6076" s="28" t="s">
        <v>6046</v>
      </c>
      <c r="D6076" s="26" t="s">
        <v>82</v>
      </c>
      <c r="E6076" s="31">
        <v>46239.0</v>
      </c>
      <c r="F6076" s="26" t="s">
        <v>41</v>
      </c>
      <c r="G6076" s="26">
        <v>7.0</v>
      </c>
      <c r="I6076" s="26" t="s">
        <v>883</v>
      </c>
      <c r="J6076" s="25" t="str">
        <f t="shared" si="64"/>
        <v>No</v>
      </c>
      <c r="K6076" s="25" t="str">
        <f t="shared" si="65"/>
        <v/>
      </c>
      <c r="L6076" s="25" t="str">
        <f t="shared" si="66"/>
        <v/>
      </c>
      <c r="M6076" s="25"/>
      <c r="O6076" s="25"/>
    </row>
    <row r="6077" ht="15.75" customHeight="1">
      <c r="A6077" s="25" t="str">
        <f>IFERROR(__xludf.DUMMYFUNCTION("IF(B6077="""","""",RIGHT(REGEXREPLACE(B6077&amp;"""",""[^0-9]"",""""),9))"),"729422530")</f>
        <v>729422530</v>
      </c>
      <c r="B6077" s="52">
        <v>7.2942253E8</v>
      </c>
      <c r="C6077" s="28" t="s">
        <v>6047</v>
      </c>
      <c r="D6077" s="26" t="s">
        <v>56</v>
      </c>
      <c r="E6077" s="31">
        <v>46239.0</v>
      </c>
      <c r="F6077" s="26" t="s">
        <v>659</v>
      </c>
      <c r="I6077" s="26" t="s">
        <v>883</v>
      </c>
      <c r="J6077" s="25" t="str">
        <f t="shared" si="64"/>
        <v>No</v>
      </c>
      <c r="K6077" s="25" t="str">
        <f t="shared" si="65"/>
        <v/>
      </c>
      <c r="L6077" s="25" t="str">
        <f t="shared" si="66"/>
        <v/>
      </c>
      <c r="M6077" s="25"/>
      <c r="O6077" s="25"/>
    </row>
    <row r="6078" ht="15.75" customHeight="1">
      <c r="A6078" s="25" t="str">
        <f>IFERROR(__xludf.DUMMYFUNCTION("IF(B6078="""","""",RIGHT(REGEXREPLACE(B6078&amp;"""",""[^0-9]"",""""),9))"),"776323067")</f>
        <v>776323067</v>
      </c>
      <c r="B6078" s="26">
        <v>7.76323067E8</v>
      </c>
      <c r="C6078" s="28" t="s">
        <v>6048</v>
      </c>
      <c r="D6078" s="26" t="s">
        <v>45</v>
      </c>
      <c r="E6078" s="31">
        <v>46239.0</v>
      </c>
      <c r="F6078" s="26" t="s">
        <v>41</v>
      </c>
      <c r="G6078" s="26">
        <v>11.0</v>
      </c>
      <c r="I6078" s="26" t="s">
        <v>883</v>
      </c>
      <c r="J6078" s="25" t="str">
        <f t="shared" si="64"/>
        <v>No</v>
      </c>
      <c r="K6078" s="25" t="str">
        <f t="shared" si="65"/>
        <v/>
      </c>
      <c r="L6078" s="25" t="str">
        <f t="shared" si="66"/>
        <v/>
      </c>
      <c r="M6078" s="25"/>
      <c r="O6078" s="25"/>
    </row>
    <row r="6079" ht="15.75" customHeight="1">
      <c r="A6079" s="25" t="str">
        <f>IFERROR(__xludf.DUMMYFUNCTION("IF(B6079="""","""",RIGHT(REGEXREPLACE(B6079&amp;"""",""[^0-9]"",""""),9))"),"781551204")</f>
        <v>781551204</v>
      </c>
      <c r="B6079" s="52">
        <v>7.81551204E8</v>
      </c>
      <c r="C6079" s="28" t="s">
        <v>6049</v>
      </c>
      <c r="D6079" s="26" t="s">
        <v>56</v>
      </c>
      <c r="E6079" s="31">
        <v>46239.0</v>
      </c>
      <c r="F6079" s="26" t="s">
        <v>659</v>
      </c>
      <c r="G6079" s="26">
        <v>9.0</v>
      </c>
      <c r="I6079" s="26" t="s">
        <v>883</v>
      </c>
      <c r="J6079" s="25" t="str">
        <f t="shared" si="64"/>
        <v>No</v>
      </c>
      <c r="K6079" s="25" t="str">
        <f t="shared" si="65"/>
        <v/>
      </c>
      <c r="L6079" s="25" t="str">
        <f t="shared" si="66"/>
        <v/>
      </c>
      <c r="M6079" s="25"/>
      <c r="O6079" s="25"/>
    </row>
    <row r="6080" ht="15.75" customHeight="1">
      <c r="A6080" s="25" t="str">
        <f>IFERROR(__xludf.DUMMYFUNCTION("IF(B6080="""","""",RIGHT(REGEXREPLACE(B6080&amp;"""",""[^0-9]"",""""),9))"),"707141515")</f>
        <v>707141515</v>
      </c>
      <c r="B6080" s="26">
        <v>7.07141515E8</v>
      </c>
      <c r="C6080" s="28" t="s">
        <v>6050</v>
      </c>
      <c r="D6080" s="26" t="s">
        <v>45</v>
      </c>
      <c r="E6080" s="31">
        <v>46239.0</v>
      </c>
      <c r="F6080" s="26" t="s">
        <v>46</v>
      </c>
      <c r="G6080" s="26">
        <v>10.0</v>
      </c>
      <c r="I6080" s="26" t="s">
        <v>883</v>
      </c>
      <c r="J6080" s="25" t="str">
        <f t="shared" si="64"/>
        <v>No</v>
      </c>
      <c r="K6080" s="25" t="str">
        <f t="shared" si="65"/>
        <v/>
      </c>
      <c r="L6080" s="25" t="str">
        <f t="shared" si="66"/>
        <v/>
      </c>
      <c r="M6080" s="25"/>
      <c r="O6080" s="25"/>
    </row>
    <row r="6081" ht="15.75" customHeight="1">
      <c r="A6081" s="25" t="str">
        <f>IFERROR(__xludf.DUMMYFUNCTION("IF(B6081="""","""",RIGHT(REGEXREPLACE(B6081&amp;"""",""[^0-9]"",""""),9))"),"704952918")</f>
        <v>704952918</v>
      </c>
      <c r="B6081" s="52">
        <v>7.04952918E8</v>
      </c>
      <c r="C6081" s="28" t="s">
        <v>6051</v>
      </c>
      <c r="D6081" s="26" t="s">
        <v>56</v>
      </c>
      <c r="E6081" s="31">
        <v>46239.0</v>
      </c>
      <c r="F6081" s="26" t="s">
        <v>41</v>
      </c>
      <c r="I6081" s="26" t="s">
        <v>883</v>
      </c>
      <c r="J6081" s="25" t="str">
        <f t="shared" si="64"/>
        <v>No</v>
      </c>
      <c r="K6081" s="25" t="str">
        <f t="shared" si="65"/>
        <v/>
      </c>
      <c r="L6081" s="25" t="str">
        <f t="shared" si="66"/>
        <v/>
      </c>
      <c r="M6081" s="25"/>
      <c r="O6081" s="25"/>
    </row>
    <row r="6082" ht="15.75" customHeight="1">
      <c r="A6082" s="25" t="str">
        <f>IFERROR(__xludf.DUMMYFUNCTION("IF(B6082="""","""",RIGHT(REGEXREPLACE(B6082&amp;"""",""[^0-9]"",""""),9))"),"756613621")</f>
        <v>756613621</v>
      </c>
      <c r="B6082" s="52">
        <v>7.56613621E8</v>
      </c>
      <c r="C6082" s="28" t="s">
        <v>6052</v>
      </c>
      <c r="D6082" s="26" t="s">
        <v>56</v>
      </c>
      <c r="E6082" s="31">
        <v>46239.0</v>
      </c>
      <c r="F6082" s="26" t="s">
        <v>46</v>
      </c>
      <c r="G6082" s="26">
        <v>8.0</v>
      </c>
      <c r="I6082" s="26" t="s">
        <v>883</v>
      </c>
      <c r="J6082" s="25" t="str">
        <f t="shared" si="64"/>
        <v>No</v>
      </c>
      <c r="K6082" s="25" t="str">
        <f t="shared" si="65"/>
        <v/>
      </c>
      <c r="L6082" s="25" t="str">
        <f t="shared" si="66"/>
        <v/>
      </c>
      <c r="M6082" s="25"/>
      <c r="O6082" s="25"/>
    </row>
    <row r="6083" ht="15.75" customHeight="1">
      <c r="A6083" s="25" t="str">
        <f>IFERROR(__xludf.DUMMYFUNCTION("IF(B6083="""","""",RIGHT(REGEXREPLACE(B6083&amp;"""",""[^0-9]"",""""),9))"),"764327700")</f>
        <v>764327700</v>
      </c>
      <c r="B6083" s="52">
        <v>7.643277E8</v>
      </c>
      <c r="C6083" s="28" t="s">
        <v>6053</v>
      </c>
      <c r="D6083" s="26" t="s">
        <v>82</v>
      </c>
      <c r="E6083" s="31">
        <v>46239.0</v>
      </c>
      <c r="F6083" s="26" t="s">
        <v>46</v>
      </c>
      <c r="G6083" s="26">
        <v>7.0</v>
      </c>
      <c r="I6083" s="26" t="s">
        <v>883</v>
      </c>
      <c r="J6083" s="25" t="str">
        <f t="shared" si="64"/>
        <v>No</v>
      </c>
      <c r="K6083" s="25" t="str">
        <f t="shared" si="65"/>
        <v/>
      </c>
      <c r="L6083" s="25" t="str">
        <f t="shared" si="66"/>
        <v/>
      </c>
      <c r="M6083" s="25"/>
      <c r="O6083" s="26" t="s">
        <v>51</v>
      </c>
    </row>
    <row r="6084" ht="15.75" customHeight="1">
      <c r="A6084" s="25" t="str">
        <f>IFERROR(__xludf.DUMMYFUNCTION("IF(B6084="""","""",RIGHT(REGEXREPLACE(B6084&amp;"""",""[^0-9]"",""""),9))"),"763544658")</f>
        <v>763544658</v>
      </c>
      <c r="B6084" s="52">
        <v>7.63544658E8</v>
      </c>
      <c r="C6084" s="28" t="s">
        <v>6054</v>
      </c>
      <c r="D6084" s="26" t="s">
        <v>82</v>
      </c>
      <c r="E6084" s="31">
        <v>46239.0</v>
      </c>
      <c r="F6084" s="26" t="s">
        <v>46</v>
      </c>
      <c r="G6084" s="26">
        <v>7.0</v>
      </c>
      <c r="I6084" s="26" t="s">
        <v>883</v>
      </c>
      <c r="J6084" s="25" t="str">
        <f t="shared" si="64"/>
        <v>No</v>
      </c>
      <c r="K6084" s="25" t="str">
        <f t="shared" si="65"/>
        <v/>
      </c>
      <c r="L6084" s="25" t="str">
        <f t="shared" si="66"/>
        <v/>
      </c>
      <c r="M6084" s="25"/>
      <c r="O6084" s="25"/>
    </row>
    <row r="6085" ht="15.75" customHeight="1">
      <c r="A6085" s="25" t="str">
        <f>IFERROR(__xludf.DUMMYFUNCTION("IF(B6085="""","""",RIGHT(REGEXREPLACE(B6085&amp;"""",""[^0-9]"",""""),9))"),"741660292")</f>
        <v>741660292</v>
      </c>
      <c r="B6085" s="26">
        <v>7.41660292E8</v>
      </c>
      <c r="C6085" s="28" t="s">
        <v>6055</v>
      </c>
      <c r="D6085" s="26" t="s">
        <v>45</v>
      </c>
      <c r="E6085" s="31">
        <v>46239.0</v>
      </c>
      <c r="F6085" s="26" t="s">
        <v>41</v>
      </c>
      <c r="G6085" s="26">
        <v>7.0</v>
      </c>
      <c r="I6085" s="26" t="s">
        <v>883</v>
      </c>
      <c r="J6085" s="25" t="str">
        <f t="shared" si="64"/>
        <v>No</v>
      </c>
      <c r="K6085" s="25" t="str">
        <f t="shared" si="65"/>
        <v/>
      </c>
      <c r="L6085" s="25" t="str">
        <f t="shared" si="66"/>
        <v/>
      </c>
      <c r="M6085" s="25"/>
      <c r="O6085" s="26" t="s">
        <v>51</v>
      </c>
    </row>
    <row r="6086" ht="15.75" customHeight="1">
      <c r="A6086" s="25" t="str">
        <f>IFERROR(__xludf.DUMMYFUNCTION("IF(B6086="""","""",RIGHT(REGEXREPLACE(B6086&amp;"""",""[^0-9]"",""""),9))"),"779212515")</f>
        <v>779212515</v>
      </c>
      <c r="B6086" s="26">
        <v>7.79212515E8</v>
      </c>
      <c r="C6086" s="28" t="s">
        <v>6056</v>
      </c>
      <c r="D6086" s="26" t="s">
        <v>45</v>
      </c>
      <c r="E6086" s="31">
        <v>46239.0</v>
      </c>
      <c r="F6086" s="26" t="s">
        <v>46</v>
      </c>
      <c r="G6086" s="26" t="s">
        <v>2930</v>
      </c>
      <c r="I6086" s="26" t="s">
        <v>883</v>
      </c>
      <c r="J6086" s="25" t="str">
        <f t="shared" si="64"/>
        <v>No</v>
      </c>
      <c r="K6086" s="25" t="str">
        <f t="shared" si="65"/>
        <v/>
      </c>
      <c r="L6086" s="25" t="str">
        <f t="shared" si="66"/>
        <v/>
      </c>
      <c r="M6086" s="25"/>
      <c r="O6086" s="26" t="s">
        <v>51</v>
      </c>
    </row>
    <row r="6087" ht="15.75" customHeight="1">
      <c r="A6087" s="25" t="str">
        <f>IFERROR(__xludf.DUMMYFUNCTION("IF(B6087="""","""",RIGHT(REGEXREPLACE(B6087&amp;"""",""[^0-9]"",""""),9))"),"775110247")</f>
        <v>775110247</v>
      </c>
      <c r="B6087" s="52">
        <v>7.75110247E8</v>
      </c>
      <c r="C6087" s="28" t="s">
        <v>6057</v>
      </c>
      <c r="D6087" s="26" t="s">
        <v>56</v>
      </c>
      <c r="E6087" s="31">
        <v>46239.0</v>
      </c>
      <c r="F6087" s="26" t="s">
        <v>46</v>
      </c>
      <c r="G6087" s="26">
        <v>7.0</v>
      </c>
      <c r="I6087" s="26" t="s">
        <v>883</v>
      </c>
      <c r="J6087" s="25" t="str">
        <f t="shared" si="64"/>
        <v>No</v>
      </c>
      <c r="K6087" s="25" t="str">
        <f t="shared" si="65"/>
        <v/>
      </c>
      <c r="L6087" s="25" t="str">
        <f t="shared" si="66"/>
        <v/>
      </c>
      <c r="M6087" s="25"/>
      <c r="O6087" s="25"/>
    </row>
    <row r="6088" ht="15.75" customHeight="1">
      <c r="A6088" s="25" t="str">
        <f>IFERROR(__xludf.DUMMYFUNCTION("IF(B6088="""","""",RIGHT(REGEXREPLACE(B6088&amp;"""",""[^0-9]"",""""),9))"),"741166151")</f>
        <v>741166151</v>
      </c>
      <c r="B6088" s="52">
        <v>7.41166151E8</v>
      </c>
      <c r="C6088" s="28" t="s">
        <v>6058</v>
      </c>
      <c r="D6088" s="26" t="s">
        <v>82</v>
      </c>
      <c r="E6088" s="31">
        <v>46239.0</v>
      </c>
      <c r="F6088" s="26" t="s">
        <v>659</v>
      </c>
      <c r="G6088" s="26" t="s">
        <v>6059</v>
      </c>
      <c r="I6088" s="26" t="s">
        <v>883</v>
      </c>
      <c r="J6088" s="25" t="str">
        <f t="shared" si="64"/>
        <v>No</v>
      </c>
      <c r="K6088" s="25" t="str">
        <f t="shared" si="65"/>
        <v/>
      </c>
      <c r="L6088" s="25" t="str">
        <f t="shared" si="66"/>
        <v/>
      </c>
      <c r="M6088" s="25"/>
      <c r="O6088" s="25"/>
    </row>
    <row r="6089" ht="15.75" customHeight="1">
      <c r="A6089" s="25" t="str">
        <f>IFERROR(__xludf.DUMMYFUNCTION("IF(B6089="""","""",RIGHT(REGEXREPLACE(B6089&amp;"""",""[^0-9]"",""""),9))"),"772970431")</f>
        <v>772970431</v>
      </c>
      <c r="B6089" s="26">
        <v>7.72970431E8</v>
      </c>
      <c r="C6089" s="28" t="s">
        <v>6060</v>
      </c>
      <c r="D6089" s="26" t="s">
        <v>45</v>
      </c>
      <c r="E6089" s="31">
        <v>46239.0</v>
      </c>
      <c r="F6089" s="26" t="s">
        <v>46</v>
      </c>
      <c r="G6089" s="26">
        <v>11.0</v>
      </c>
      <c r="I6089" s="26" t="s">
        <v>883</v>
      </c>
      <c r="J6089" s="25" t="str">
        <f t="shared" si="64"/>
        <v>No</v>
      </c>
      <c r="K6089" s="25" t="str">
        <f t="shared" si="65"/>
        <v/>
      </c>
      <c r="L6089" s="25" t="str">
        <f t="shared" si="66"/>
        <v/>
      </c>
      <c r="M6089" s="25"/>
      <c r="O6089" s="25"/>
    </row>
    <row r="6090" ht="15.75" customHeight="1">
      <c r="A6090" s="25" t="str">
        <f>IFERROR(__xludf.DUMMYFUNCTION("IF(B6090="""","""",RIGHT(REGEXREPLACE(B6090&amp;"""",""[^0-9]"",""""),9))"),"704800657")</f>
        <v>704800657</v>
      </c>
      <c r="B6090" s="52">
        <v>7.04800657E8</v>
      </c>
      <c r="C6090" s="28" t="s">
        <v>6061</v>
      </c>
      <c r="D6090" s="26" t="s">
        <v>56</v>
      </c>
      <c r="E6090" s="31">
        <v>46239.0</v>
      </c>
      <c r="F6090" s="26" t="s">
        <v>46</v>
      </c>
      <c r="G6090" s="26">
        <v>8.0</v>
      </c>
      <c r="I6090" s="26" t="s">
        <v>883</v>
      </c>
      <c r="J6090" s="25" t="str">
        <f t="shared" si="64"/>
        <v>No</v>
      </c>
      <c r="K6090" s="25" t="str">
        <f t="shared" si="65"/>
        <v/>
      </c>
      <c r="L6090" s="25" t="str">
        <f t="shared" si="66"/>
        <v/>
      </c>
      <c r="M6090" s="25"/>
      <c r="O6090" s="25"/>
    </row>
    <row r="6091" ht="15.75" customHeight="1">
      <c r="A6091" s="25" t="str">
        <f>IFERROR(__xludf.DUMMYFUNCTION("IF(B6091="""","""",RIGHT(REGEXREPLACE(B6091&amp;"""",""[^0-9]"",""""),9))"),"702417381")</f>
        <v>702417381</v>
      </c>
      <c r="B6091" s="52">
        <v>7.02417381E8</v>
      </c>
      <c r="C6091" s="28" t="s">
        <v>6061</v>
      </c>
      <c r="D6091" s="26" t="s">
        <v>64</v>
      </c>
      <c r="E6091" s="31">
        <v>46239.0</v>
      </c>
      <c r="F6091" s="26" t="s">
        <v>46</v>
      </c>
      <c r="G6091" s="26">
        <v>9.0</v>
      </c>
      <c r="I6091" s="26" t="s">
        <v>883</v>
      </c>
      <c r="J6091" s="25" t="str">
        <f t="shared" si="64"/>
        <v>No</v>
      </c>
      <c r="K6091" s="25" t="str">
        <f t="shared" si="65"/>
        <v/>
      </c>
      <c r="L6091" s="25" t="str">
        <f t="shared" si="66"/>
        <v/>
      </c>
      <c r="M6091" s="25"/>
      <c r="N6091" s="26" t="s">
        <v>6062</v>
      </c>
      <c r="O6091" s="25"/>
    </row>
    <row r="6092" ht="15.75" customHeight="1">
      <c r="A6092" s="25" t="str">
        <f>IFERROR(__xludf.DUMMYFUNCTION("IF(B6092="""","""",RIGHT(REGEXREPLACE(B6092&amp;"""",""[^0-9]"",""""),9))"),"765262230")</f>
        <v>765262230</v>
      </c>
      <c r="B6092" s="26">
        <v>7.6526223E8</v>
      </c>
      <c r="C6092" s="28" t="s">
        <v>6063</v>
      </c>
      <c r="D6092" s="26" t="s">
        <v>45</v>
      </c>
      <c r="E6092" s="31">
        <v>46239.0</v>
      </c>
      <c r="F6092" s="26" t="s">
        <v>46</v>
      </c>
      <c r="G6092" s="26">
        <v>8.0</v>
      </c>
      <c r="I6092" s="26" t="s">
        <v>883</v>
      </c>
      <c r="J6092" s="25" t="str">
        <f t="shared" si="64"/>
        <v>No</v>
      </c>
      <c r="K6092" s="25" t="str">
        <f t="shared" si="65"/>
        <v/>
      </c>
      <c r="L6092" s="25" t="str">
        <f t="shared" si="66"/>
        <v/>
      </c>
      <c r="M6092" s="25"/>
      <c r="O6092" s="25"/>
    </row>
    <row r="6093" ht="15.75" customHeight="1">
      <c r="A6093" s="25" t="str">
        <f>IFERROR(__xludf.DUMMYFUNCTION("IF(B6093="""","""",RIGHT(REGEXREPLACE(B6093&amp;"""",""[^0-9]"",""""),9))"),"778419167")</f>
        <v>778419167</v>
      </c>
      <c r="B6093" s="52">
        <v>7.78419167E8</v>
      </c>
      <c r="C6093" s="28" t="s">
        <v>6064</v>
      </c>
      <c r="D6093" s="26" t="s">
        <v>49</v>
      </c>
      <c r="E6093" s="31">
        <v>46239.0</v>
      </c>
      <c r="F6093" s="26" t="s">
        <v>46</v>
      </c>
      <c r="G6093" s="26">
        <v>7.0</v>
      </c>
      <c r="H6093" s="72" t="s">
        <v>6065</v>
      </c>
      <c r="I6093" s="26" t="s">
        <v>883</v>
      </c>
      <c r="J6093" s="26" t="str">
        <f t="shared" si="64"/>
        <v>No</v>
      </c>
      <c r="K6093" s="25" t="str">
        <f t="shared" si="65"/>
        <v/>
      </c>
      <c r="L6093" s="25" t="str">
        <f t="shared" si="66"/>
        <v/>
      </c>
      <c r="M6093" s="25"/>
      <c r="O6093" s="25"/>
    </row>
    <row r="6094" ht="15.75" customHeight="1">
      <c r="A6094" s="25" t="str">
        <f>IFERROR(__xludf.DUMMYFUNCTION("IF(B6094="""","""",RIGHT(REGEXREPLACE(B6094&amp;"""",""[^0-9]"",""""),9))"),"702780849")</f>
        <v>702780849</v>
      </c>
      <c r="B6094" s="52">
        <v>7.02780849E8</v>
      </c>
      <c r="C6094" s="28" t="s">
        <v>6066</v>
      </c>
      <c r="D6094" s="26" t="s">
        <v>56</v>
      </c>
      <c r="E6094" s="31">
        <v>46239.0</v>
      </c>
      <c r="F6094" s="26" t="s">
        <v>164</v>
      </c>
      <c r="G6094" s="26">
        <v>7.0</v>
      </c>
      <c r="I6094" s="26" t="s">
        <v>883</v>
      </c>
      <c r="J6094" s="25" t="str">
        <f t="shared" si="64"/>
        <v>No</v>
      </c>
      <c r="K6094" s="25" t="str">
        <f t="shared" si="65"/>
        <v/>
      </c>
      <c r="L6094" s="25" t="str">
        <f t="shared" si="66"/>
        <v/>
      </c>
      <c r="M6094" s="25"/>
      <c r="O6094" s="25"/>
    </row>
    <row r="6095" ht="15.75" customHeight="1">
      <c r="A6095" s="25" t="str">
        <f>IFERROR(__xludf.DUMMYFUNCTION("IF(B6095="""","""",RIGHT(REGEXREPLACE(B6095&amp;"""",""[^0-9]"",""""),9))"),"751298139")</f>
        <v>751298139</v>
      </c>
      <c r="B6095" s="52">
        <v>7.51298139E8</v>
      </c>
      <c r="C6095" s="28" t="s">
        <v>6067</v>
      </c>
      <c r="D6095" s="26" t="s">
        <v>56</v>
      </c>
      <c r="E6095" s="31">
        <v>46239.0</v>
      </c>
      <c r="F6095" s="26" t="s">
        <v>46</v>
      </c>
      <c r="G6095" s="26">
        <v>7.0</v>
      </c>
      <c r="I6095" s="26" t="s">
        <v>883</v>
      </c>
      <c r="J6095" s="25" t="str">
        <f t="shared" si="64"/>
        <v>No</v>
      </c>
      <c r="K6095" s="25" t="str">
        <f t="shared" si="65"/>
        <v/>
      </c>
      <c r="L6095" s="25" t="str">
        <f t="shared" si="66"/>
        <v/>
      </c>
      <c r="M6095" s="25"/>
      <c r="O6095" s="25"/>
    </row>
    <row r="6096" ht="15.75" customHeight="1">
      <c r="A6096" s="25" t="str">
        <f>IFERROR(__xludf.DUMMYFUNCTION("IF(B6096="""","""",RIGHT(REGEXREPLACE(B6096&amp;"""",""[^0-9]"",""""),9))"),"756735773")</f>
        <v>756735773</v>
      </c>
      <c r="B6096" s="26">
        <v>7.56735773E8</v>
      </c>
      <c r="C6096" s="28" t="s">
        <v>6068</v>
      </c>
      <c r="D6096" s="26" t="s">
        <v>45</v>
      </c>
      <c r="E6096" s="31">
        <v>46239.0</v>
      </c>
      <c r="F6096" s="26" t="s">
        <v>41</v>
      </c>
      <c r="G6096" s="26">
        <v>9.0</v>
      </c>
      <c r="I6096" s="26" t="s">
        <v>883</v>
      </c>
      <c r="J6096" s="25" t="str">
        <f t="shared" si="64"/>
        <v>No</v>
      </c>
      <c r="K6096" s="25" t="str">
        <f t="shared" si="65"/>
        <v/>
      </c>
      <c r="L6096" s="25" t="str">
        <f t="shared" si="66"/>
        <v/>
      </c>
      <c r="M6096" s="25"/>
      <c r="O6096" s="25"/>
    </row>
    <row r="6097" ht="15.75" customHeight="1">
      <c r="A6097" s="25" t="str">
        <f>IFERROR(__xludf.DUMMYFUNCTION("IF(B6097="""","""",RIGHT(REGEXREPLACE(B6097&amp;"""",""[^0-9]"",""""),9))"),"705197401")</f>
        <v>705197401</v>
      </c>
      <c r="B6097" s="26">
        <v>7.05197401E8</v>
      </c>
      <c r="C6097" s="28" t="s">
        <v>6069</v>
      </c>
      <c r="D6097" s="26" t="s">
        <v>45</v>
      </c>
      <c r="E6097" s="31">
        <v>46239.0</v>
      </c>
      <c r="F6097" s="26" t="s">
        <v>41</v>
      </c>
      <c r="G6097" s="26">
        <v>11.0</v>
      </c>
      <c r="I6097" s="26" t="s">
        <v>883</v>
      </c>
      <c r="J6097" s="25" t="str">
        <f t="shared" si="64"/>
        <v>No</v>
      </c>
      <c r="K6097" s="25" t="str">
        <f t="shared" si="65"/>
        <v/>
      </c>
      <c r="L6097" s="25" t="str">
        <f t="shared" si="66"/>
        <v/>
      </c>
      <c r="M6097" s="25"/>
      <c r="O6097" s="25"/>
    </row>
    <row r="6098" ht="15.75" customHeight="1">
      <c r="A6098" s="25" t="str">
        <f>IFERROR(__xludf.DUMMYFUNCTION("IF(B6098="""","""",RIGHT(REGEXREPLACE(B6098&amp;"""",""[^0-9]"",""""),9))"),"761131452")</f>
        <v>761131452</v>
      </c>
      <c r="B6098" s="52">
        <v>7.61131452E8</v>
      </c>
      <c r="C6098" s="28" t="s">
        <v>6070</v>
      </c>
      <c r="D6098" s="26" t="s">
        <v>56</v>
      </c>
      <c r="E6098" s="31">
        <v>46239.0</v>
      </c>
      <c r="F6098" s="26" t="s">
        <v>167</v>
      </c>
      <c r="G6098" s="26">
        <v>10.0</v>
      </c>
      <c r="I6098" s="26" t="s">
        <v>883</v>
      </c>
      <c r="J6098" s="25" t="str">
        <f t="shared" si="64"/>
        <v>No</v>
      </c>
      <c r="K6098" s="25" t="str">
        <f t="shared" si="65"/>
        <v/>
      </c>
      <c r="L6098" s="25" t="str">
        <f t="shared" si="66"/>
        <v/>
      </c>
      <c r="M6098" s="25"/>
      <c r="O6098" s="25"/>
    </row>
    <row r="6099" ht="15.75" customHeight="1">
      <c r="A6099" s="25" t="str">
        <f>IFERROR(__xludf.DUMMYFUNCTION("IF(B6099="""","""",RIGHT(REGEXREPLACE(B6099&amp;"""",""[^0-9]"",""""),9))"),"714038448")</f>
        <v>714038448</v>
      </c>
      <c r="B6099" s="52">
        <v>7.14038448E8</v>
      </c>
      <c r="C6099" s="28" t="s">
        <v>6070</v>
      </c>
      <c r="D6099" s="26" t="s">
        <v>56</v>
      </c>
      <c r="E6099" s="31">
        <v>46239.0</v>
      </c>
      <c r="F6099" s="26" t="s">
        <v>631</v>
      </c>
      <c r="G6099" s="26">
        <v>8.0</v>
      </c>
      <c r="I6099" s="26" t="s">
        <v>883</v>
      </c>
      <c r="J6099" s="25" t="str">
        <f t="shared" si="64"/>
        <v>No</v>
      </c>
      <c r="K6099" s="25" t="str">
        <f t="shared" si="65"/>
        <v/>
      </c>
      <c r="L6099" s="25" t="str">
        <f t="shared" si="66"/>
        <v/>
      </c>
      <c r="M6099" s="25"/>
      <c r="O6099" s="25"/>
    </row>
    <row r="6100" ht="15.75" customHeight="1">
      <c r="A6100" s="25" t="str">
        <f>IFERROR(__xludf.DUMMYFUNCTION("IF(B6100="""","""",RIGHT(REGEXREPLACE(B6100&amp;"""",""[^0-9]"",""""),9))"),"705366835")</f>
        <v>705366835</v>
      </c>
      <c r="B6100" s="26">
        <v>7.05366835E8</v>
      </c>
      <c r="C6100" s="28" t="s">
        <v>6071</v>
      </c>
      <c r="D6100" s="26" t="s">
        <v>45</v>
      </c>
      <c r="E6100" s="31">
        <v>46239.0</v>
      </c>
      <c r="F6100" s="26" t="s">
        <v>46</v>
      </c>
      <c r="G6100" s="26">
        <v>7.0</v>
      </c>
      <c r="I6100" s="26" t="s">
        <v>883</v>
      </c>
      <c r="J6100" s="25" t="str">
        <f t="shared" si="64"/>
        <v>No</v>
      </c>
      <c r="K6100" s="25" t="str">
        <f t="shared" si="65"/>
        <v/>
      </c>
      <c r="L6100" s="25" t="str">
        <f t="shared" si="66"/>
        <v/>
      </c>
      <c r="M6100" s="25"/>
      <c r="O6100" s="25"/>
    </row>
    <row r="6101" ht="15.75" customHeight="1">
      <c r="A6101" s="25" t="str">
        <f>IFERROR(__xludf.DUMMYFUNCTION("IF(B6101="""","""",RIGHT(REGEXREPLACE(B6101&amp;"""",""[^0-9]"",""""),9))"),"714395046")</f>
        <v>714395046</v>
      </c>
      <c r="B6101" s="52">
        <v>7.14395046E8</v>
      </c>
      <c r="C6101" s="28" t="s">
        <v>6072</v>
      </c>
      <c r="D6101" s="26" t="s">
        <v>56</v>
      </c>
      <c r="E6101" s="31">
        <v>46239.0</v>
      </c>
      <c r="F6101" s="26" t="s">
        <v>46</v>
      </c>
      <c r="G6101" s="26">
        <v>8.0</v>
      </c>
      <c r="I6101" s="26" t="s">
        <v>883</v>
      </c>
      <c r="J6101" s="25" t="str">
        <f t="shared" si="64"/>
        <v>No</v>
      </c>
      <c r="K6101" s="25" t="str">
        <f t="shared" si="65"/>
        <v/>
      </c>
      <c r="L6101" s="25" t="str">
        <f t="shared" si="66"/>
        <v/>
      </c>
      <c r="M6101" s="25"/>
      <c r="O6101" s="25"/>
    </row>
    <row r="6102" ht="15.75" customHeight="1">
      <c r="A6102" s="25" t="str">
        <f>IFERROR(__xludf.DUMMYFUNCTION("IF(B6102="""","""",RIGHT(REGEXREPLACE(B6102&amp;"""",""[^0-9]"",""""),9))"),"718304870")</f>
        <v>718304870</v>
      </c>
      <c r="B6102" s="52">
        <v>7.1830487E8</v>
      </c>
      <c r="C6102" s="28" t="s">
        <v>6073</v>
      </c>
      <c r="D6102" s="26" t="s">
        <v>56</v>
      </c>
      <c r="E6102" s="31">
        <v>46239.0</v>
      </c>
      <c r="F6102" s="26" t="s">
        <v>46</v>
      </c>
      <c r="G6102" s="26">
        <v>10.0</v>
      </c>
      <c r="I6102" s="26" t="s">
        <v>883</v>
      </c>
      <c r="J6102" s="25" t="str">
        <f t="shared" si="64"/>
        <v>No</v>
      </c>
      <c r="K6102" s="25" t="str">
        <f t="shared" si="65"/>
        <v/>
      </c>
      <c r="L6102" s="25" t="str">
        <f t="shared" si="66"/>
        <v/>
      </c>
      <c r="M6102" s="25"/>
      <c r="O6102" s="25"/>
    </row>
    <row r="6103" ht="15.75" customHeight="1">
      <c r="A6103" s="25" t="str">
        <f>IFERROR(__xludf.DUMMYFUNCTION("IF(B6103="""","""",RIGHT(REGEXREPLACE(B6103&amp;"""",""[^0-9]"",""""),9))"),"719417944")</f>
        <v>719417944</v>
      </c>
      <c r="B6103" s="52">
        <v>7.19417944E8</v>
      </c>
      <c r="C6103" s="28" t="s">
        <v>6074</v>
      </c>
      <c r="D6103" s="26" t="s">
        <v>82</v>
      </c>
      <c r="E6103" s="31">
        <v>46239.0</v>
      </c>
      <c r="F6103" s="26" t="s">
        <v>46</v>
      </c>
      <c r="I6103" s="26" t="s">
        <v>883</v>
      </c>
      <c r="J6103" s="25" t="str">
        <f t="shared" si="64"/>
        <v>No</v>
      </c>
      <c r="K6103" s="25" t="str">
        <f t="shared" si="65"/>
        <v/>
      </c>
      <c r="L6103" s="25" t="str">
        <f t="shared" si="66"/>
        <v/>
      </c>
      <c r="M6103" s="25"/>
      <c r="O6103" s="25"/>
    </row>
    <row r="6104" ht="15.75" customHeight="1">
      <c r="A6104" s="25" t="str">
        <f>IFERROR(__xludf.DUMMYFUNCTION("IF(B6104="""","""",RIGHT(REGEXREPLACE(B6104&amp;"""",""[^0-9]"",""""),9))"),"779217442")</f>
        <v>779217442</v>
      </c>
      <c r="B6104" s="52">
        <v>7.79217442E8</v>
      </c>
      <c r="C6104" s="28" t="s">
        <v>6075</v>
      </c>
      <c r="D6104" s="26" t="s">
        <v>56</v>
      </c>
      <c r="E6104" s="31">
        <v>46239.0</v>
      </c>
      <c r="F6104" s="26" t="s">
        <v>46</v>
      </c>
      <c r="G6104" s="26">
        <v>9.0</v>
      </c>
      <c r="H6104" s="26" t="s">
        <v>140</v>
      </c>
      <c r="I6104" s="26" t="s">
        <v>883</v>
      </c>
      <c r="J6104" s="25" t="str">
        <f t="shared" si="64"/>
        <v>No</v>
      </c>
      <c r="K6104" s="25" t="str">
        <f t="shared" si="65"/>
        <v/>
      </c>
      <c r="L6104" s="25" t="str">
        <f t="shared" si="66"/>
        <v/>
      </c>
      <c r="M6104" s="25"/>
      <c r="O6104" s="25"/>
    </row>
    <row r="6105" ht="15.75" customHeight="1">
      <c r="A6105" s="25" t="str">
        <f>IFERROR(__xludf.DUMMYFUNCTION("IF(B6105="""","""",RIGHT(REGEXREPLACE(B6105&amp;"""",""[^0-9]"",""""),9))"),"761137468")</f>
        <v>761137468</v>
      </c>
      <c r="B6105" s="52">
        <v>7.61137468E8</v>
      </c>
      <c r="C6105" s="28" t="s">
        <v>6076</v>
      </c>
      <c r="D6105" s="26" t="s">
        <v>64</v>
      </c>
      <c r="E6105" s="31">
        <v>46240.0</v>
      </c>
      <c r="F6105" s="26" t="s">
        <v>46</v>
      </c>
      <c r="G6105" s="26">
        <v>10.0</v>
      </c>
      <c r="I6105" s="26" t="s">
        <v>883</v>
      </c>
      <c r="J6105" s="25" t="str">
        <f t="shared" si="64"/>
        <v>No</v>
      </c>
      <c r="K6105" s="25" t="str">
        <f t="shared" si="65"/>
        <v/>
      </c>
      <c r="L6105" s="25" t="str">
        <f t="shared" si="66"/>
        <v/>
      </c>
      <c r="M6105" s="25"/>
      <c r="O6105" s="25"/>
    </row>
    <row r="6106" ht="15.75" customHeight="1">
      <c r="A6106" s="25" t="str">
        <f>IFERROR(__xludf.DUMMYFUNCTION("IF(B6106="""","""",RIGHT(REGEXREPLACE(B6106&amp;"""",""[^0-9]"",""""),9))"),"779327027")</f>
        <v>779327027</v>
      </c>
      <c r="B6106" s="52">
        <v>7.79327027E8</v>
      </c>
      <c r="C6106" s="28" t="s">
        <v>6077</v>
      </c>
      <c r="D6106" s="26" t="s">
        <v>56</v>
      </c>
      <c r="E6106" s="31">
        <v>46240.0</v>
      </c>
      <c r="F6106" s="26" t="s">
        <v>41</v>
      </c>
      <c r="I6106" s="26" t="s">
        <v>883</v>
      </c>
      <c r="J6106" s="25" t="str">
        <f t="shared" si="64"/>
        <v>No</v>
      </c>
      <c r="K6106" s="25" t="str">
        <f t="shared" si="65"/>
        <v/>
      </c>
      <c r="L6106" s="25" t="str">
        <f t="shared" si="66"/>
        <v/>
      </c>
      <c r="M6106" s="25"/>
      <c r="O6106" s="25"/>
    </row>
    <row r="6107" ht="15.75" customHeight="1">
      <c r="A6107" s="25" t="str">
        <f>IFERROR(__xludf.DUMMYFUNCTION("IF(B6107="""","""",RIGHT(REGEXREPLACE(B6107&amp;"""",""[^0-9]"",""""),9))"),"779838347")</f>
        <v>779838347</v>
      </c>
      <c r="B6107" s="26">
        <v>7.79838347E8</v>
      </c>
      <c r="C6107" s="28" t="s">
        <v>6078</v>
      </c>
      <c r="D6107" s="26" t="s">
        <v>56</v>
      </c>
      <c r="E6107" s="31">
        <v>46240.0</v>
      </c>
      <c r="F6107" s="26" t="s">
        <v>41</v>
      </c>
      <c r="G6107" s="26">
        <v>8.0</v>
      </c>
      <c r="I6107" s="26" t="s">
        <v>883</v>
      </c>
      <c r="J6107" s="25" t="str">
        <f t="shared" si="64"/>
        <v>No</v>
      </c>
      <c r="K6107" s="25" t="str">
        <f t="shared" si="65"/>
        <v/>
      </c>
      <c r="L6107" s="25" t="str">
        <f t="shared" si="66"/>
        <v/>
      </c>
      <c r="M6107" s="25"/>
      <c r="O6107" s="25"/>
    </row>
    <row r="6108" ht="15.75" customHeight="1">
      <c r="A6108" s="25" t="str">
        <f>IFERROR(__xludf.DUMMYFUNCTION("IF(B6108="""","""",RIGHT(REGEXREPLACE(B6108&amp;"""",""[^0-9]"",""""),9))"),"713162089")</f>
        <v>713162089</v>
      </c>
      <c r="B6108" s="52">
        <v>7.13162089E8</v>
      </c>
      <c r="C6108" s="28" t="s">
        <v>6076</v>
      </c>
      <c r="D6108" s="26" t="s">
        <v>64</v>
      </c>
      <c r="E6108" s="31">
        <v>46240.0</v>
      </c>
      <c r="F6108" s="26" t="s">
        <v>46</v>
      </c>
      <c r="G6108" s="26">
        <v>7.0</v>
      </c>
      <c r="H6108" s="26" t="s">
        <v>5595</v>
      </c>
      <c r="I6108" s="26" t="s">
        <v>883</v>
      </c>
      <c r="J6108" s="25" t="str">
        <f t="shared" si="64"/>
        <v>No</v>
      </c>
      <c r="K6108" s="25" t="str">
        <f t="shared" si="65"/>
        <v/>
      </c>
      <c r="L6108" s="25" t="str">
        <f t="shared" si="66"/>
        <v/>
      </c>
      <c r="M6108" s="25"/>
      <c r="O6108" s="25"/>
    </row>
    <row r="6109" ht="15.75" customHeight="1">
      <c r="A6109" s="25" t="str">
        <f>IFERROR(__xludf.DUMMYFUNCTION("IF(B6109="""","""",RIGHT(REGEXREPLACE(B6109&amp;"""",""[^0-9]"",""""),9))"),"778713844")</f>
        <v>778713844</v>
      </c>
      <c r="B6109" s="52">
        <v>7.78713844E8</v>
      </c>
      <c r="C6109" s="28" t="s">
        <v>6079</v>
      </c>
      <c r="D6109" s="26" t="s">
        <v>82</v>
      </c>
      <c r="E6109" s="31">
        <v>46240.0</v>
      </c>
      <c r="F6109" s="26" t="s">
        <v>41</v>
      </c>
      <c r="G6109" s="26">
        <v>7.0</v>
      </c>
      <c r="I6109" s="26" t="s">
        <v>883</v>
      </c>
      <c r="J6109" s="25" t="str">
        <f t="shared" si="64"/>
        <v>No</v>
      </c>
      <c r="K6109" s="25" t="str">
        <f t="shared" si="65"/>
        <v/>
      </c>
      <c r="L6109" s="25" t="str">
        <f t="shared" si="66"/>
        <v/>
      </c>
      <c r="M6109" s="25"/>
      <c r="O6109" s="25"/>
    </row>
    <row r="6110" ht="15.75" customHeight="1">
      <c r="A6110" s="25" t="str">
        <f>IFERROR(__xludf.DUMMYFUNCTION("IF(B6110="""","""",RIGHT(REGEXREPLACE(B6110&amp;"""",""[^0-9]"",""""),9))"),"761325888")</f>
        <v>761325888</v>
      </c>
      <c r="B6110" s="52">
        <v>7.61325888E8</v>
      </c>
      <c r="C6110" s="28" t="s">
        <v>6080</v>
      </c>
      <c r="D6110" s="26" t="s">
        <v>49</v>
      </c>
      <c r="E6110" s="31">
        <v>46240.0</v>
      </c>
      <c r="F6110" s="26" t="s">
        <v>46</v>
      </c>
      <c r="H6110" s="26" t="s">
        <v>280</v>
      </c>
      <c r="I6110" s="26" t="s">
        <v>883</v>
      </c>
      <c r="J6110" s="25" t="str">
        <f t="shared" si="64"/>
        <v>No</v>
      </c>
      <c r="K6110" s="25" t="str">
        <f t="shared" si="65"/>
        <v/>
      </c>
      <c r="L6110" s="25" t="str">
        <f t="shared" si="66"/>
        <v/>
      </c>
      <c r="M6110" s="25"/>
      <c r="O6110" s="25"/>
    </row>
    <row r="6111" ht="15.75" customHeight="1">
      <c r="A6111" s="25" t="str">
        <f>IFERROR(__xludf.DUMMYFUNCTION("IF(B6111="""","""",RIGHT(REGEXREPLACE(B6111&amp;"""",""[^0-9]"",""""),9))"),"763258341")</f>
        <v>763258341</v>
      </c>
      <c r="B6111" s="52">
        <v>7.63258341E8</v>
      </c>
      <c r="C6111" s="28" t="s">
        <v>6081</v>
      </c>
      <c r="D6111" s="26" t="s">
        <v>56</v>
      </c>
      <c r="E6111" s="31">
        <v>46240.0</v>
      </c>
      <c r="F6111" s="26" t="s">
        <v>46</v>
      </c>
      <c r="G6111" s="26">
        <v>6.0</v>
      </c>
      <c r="I6111" s="26" t="s">
        <v>883</v>
      </c>
      <c r="J6111" s="25" t="str">
        <f t="shared" si="64"/>
        <v>No</v>
      </c>
      <c r="K6111" s="25" t="str">
        <f t="shared" si="65"/>
        <v/>
      </c>
      <c r="L6111" s="25" t="str">
        <f t="shared" si="66"/>
        <v/>
      </c>
      <c r="M6111" s="25"/>
      <c r="O6111" s="25"/>
    </row>
    <row r="6112" ht="15.75" customHeight="1">
      <c r="A6112" s="25" t="str">
        <f>IFERROR(__xludf.DUMMYFUNCTION("IF(B6112="""","""",RIGHT(REGEXREPLACE(B6112&amp;"""",""[^0-9]"",""""),9))"),"767950565")</f>
        <v>767950565</v>
      </c>
      <c r="B6112" s="26">
        <v>7.67950565E8</v>
      </c>
      <c r="C6112" s="28" t="s">
        <v>6082</v>
      </c>
      <c r="D6112" s="26" t="s">
        <v>45</v>
      </c>
      <c r="E6112" s="31">
        <v>46240.0</v>
      </c>
      <c r="F6112" s="26" t="s">
        <v>46</v>
      </c>
      <c r="G6112" s="26">
        <v>11.0</v>
      </c>
      <c r="I6112" s="26" t="s">
        <v>883</v>
      </c>
      <c r="J6112" s="25" t="str">
        <f t="shared" si="64"/>
        <v>No</v>
      </c>
      <c r="K6112" s="25" t="str">
        <f t="shared" si="65"/>
        <v/>
      </c>
      <c r="L6112" s="25" t="str">
        <f t="shared" si="66"/>
        <v/>
      </c>
      <c r="M6112" s="25"/>
      <c r="O6112" s="25"/>
    </row>
    <row r="6113" ht="15.75" customHeight="1">
      <c r="A6113" s="25" t="str">
        <f>IFERROR(__xludf.DUMMYFUNCTION("IF(B6113="""","""",RIGHT(REGEXREPLACE(B6113&amp;"""",""[^0-9]"",""""),9))"),"779817506")</f>
        <v>779817506</v>
      </c>
      <c r="B6113" s="52">
        <v>7.79817506E8</v>
      </c>
      <c r="C6113" s="28" t="s">
        <v>6083</v>
      </c>
      <c r="D6113" s="26" t="s">
        <v>64</v>
      </c>
      <c r="E6113" s="31">
        <v>46240.0</v>
      </c>
      <c r="F6113" s="26" t="s">
        <v>46</v>
      </c>
      <c r="G6113" s="26">
        <v>8.0</v>
      </c>
      <c r="I6113" s="26" t="s">
        <v>883</v>
      </c>
      <c r="J6113" s="25" t="str">
        <f t="shared" si="64"/>
        <v>No</v>
      </c>
      <c r="K6113" s="25" t="str">
        <f t="shared" si="65"/>
        <v/>
      </c>
      <c r="L6113" s="25" t="str">
        <f t="shared" si="66"/>
        <v/>
      </c>
      <c r="M6113" s="25"/>
      <c r="O6113" s="25"/>
    </row>
    <row r="6114" ht="15.75" customHeight="1">
      <c r="A6114" s="25" t="str">
        <f>IFERROR(__xludf.DUMMYFUNCTION("IF(B6114="""","""",RIGHT(REGEXREPLACE(B6114&amp;"""",""[^0-9]"",""""),9))"),"765674063")</f>
        <v>765674063</v>
      </c>
      <c r="B6114" s="52">
        <v>7.65674063E8</v>
      </c>
      <c r="C6114" s="28" t="s">
        <v>6084</v>
      </c>
      <c r="D6114" s="26" t="s">
        <v>56</v>
      </c>
      <c r="E6114" s="31">
        <v>46240.0</v>
      </c>
      <c r="F6114" s="26" t="s">
        <v>41</v>
      </c>
      <c r="I6114" s="26" t="s">
        <v>883</v>
      </c>
      <c r="J6114" s="25" t="str">
        <f t="shared" si="64"/>
        <v>No</v>
      </c>
      <c r="K6114" s="25" t="str">
        <f t="shared" si="65"/>
        <v/>
      </c>
      <c r="L6114" s="25" t="str">
        <f t="shared" si="66"/>
        <v/>
      </c>
      <c r="M6114" s="25"/>
      <c r="O6114" s="25"/>
    </row>
    <row r="6115" ht="15.75" customHeight="1">
      <c r="A6115" s="25" t="str">
        <f>IFERROR(__xludf.DUMMYFUNCTION("IF(B6115="""","""",RIGHT(REGEXREPLACE(B6115&amp;"""",""[^0-9]"",""""),9))"),"767744136")</f>
        <v>767744136</v>
      </c>
      <c r="B6115" s="52">
        <v>7.67744136E8</v>
      </c>
      <c r="C6115" s="28" t="s">
        <v>6085</v>
      </c>
      <c r="D6115" s="26" t="s">
        <v>64</v>
      </c>
      <c r="E6115" s="31">
        <v>46240.0</v>
      </c>
      <c r="F6115" s="26" t="s">
        <v>205</v>
      </c>
      <c r="I6115" s="26" t="s">
        <v>883</v>
      </c>
      <c r="J6115" s="25" t="str">
        <f t="shared" si="64"/>
        <v>No</v>
      </c>
      <c r="K6115" s="25" t="str">
        <f t="shared" si="65"/>
        <v/>
      </c>
      <c r="L6115" s="25" t="str">
        <f t="shared" si="66"/>
        <v/>
      </c>
      <c r="M6115" s="25"/>
      <c r="O6115" s="25"/>
    </row>
    <row r="6116" ht="15.75" customHeight="1">
      <c r="A6116" s="25" t="str">
        <f>IFERROR(__xludf.DUMMYFUNCTION("IF(B6116="""","""",RIGHT(REGEXREPLACE(B6116&amp;"""",""[^0-9]"",""""),9))"),"713263348")</f>
        <v>713263348</v>
      </c>
      <c r="B6116" s="52">
        <v>7.13263348E8</v>
      </c>
      <c r="C6116" s="28" t="s">
        <v>6086</v>
      </c>
      <c r="D6116" s="26" t="s">
        <v>82</v>
      </c>
      <c r="E6116" s="31">
        <v>46240.0</v>
      </c>
      <c r="F6116" s="26" t="s">
        <v>46</v>
      </c>
      <c r="G6116" s="26">
        <v>7.0</v>
      </c>
      <c r="H6116" s="26" t="s">
        <v>6087</v>
      </c>
      <c r="I6116" s="26" t="s">
        <v>883</v>
      </c>
      <c r="J6116" s="25" t="str">
        <f t="shared" si="64"/>
        <v>No</v>
      </c>
      <c r="K6116" s="25" t="str">
        <f t="shared" si="65"/>
        <v/>
      </c>
      <c r="L6116" s="25" t="str">
        <f t="shared" si="66"/>
        <v/>
      </c>
      <c r="M6116" s="25"/>
      <c r="O6116" s="25"/>
    </row>
    <row r="6117" ht="15.75" customHeight="1">
      <c r="A6117" s="25" t="str">
        <f>IFERROR(__xludf.DUMMYFUNCTION("IF(B6117="""","""",RIGHT(REGEXREPLACE(B6117&amp;"""",""[^0-9]"",""""),9))"),"703159842")</f>
        <v>703159842</v>
      </c>
      <c r="B6117" s="52">
        <v>7.03159842E8</v>
      </c>
      <c r="C6117" s="28" t="s">
        <v>6088</v>
      </c>
      <c r="D6117" s="26" t="s">
        <v>49</v>
      </c>
      <c r="E6117" s="31">
        <v>46240.0</v>
      </c>
      <c r="F6117" s="26" t="s">
        <v>659</v>
      </c>
      <c r="G6117" s="26">
        <v>8.0</v>
      </c>
      <c r="I6117" s="26" t="s">
        <v>883</v>
      </c>
      <c r="J6117" s="25" t="str">
        <f t="shared" si="64"/>
        <v>No</v>
      </c>
      <c r="K6117" s="25" t="str">
        <f t="shared" si="65"/>
        <v/>
      </c>
      <c r="L6117" s="25" t="str">
        <f t="shared" si="66"/>
        <v/>
      </c>
      <c r="M6117" s="25"/>
      <c r="O6117" s="25"/>
    </row>
    <row r="6118" ht="15.75" customHeight="1">
      <c r="A6118" s="25" t="str">
        <f>IFERROR(__xludf.DUMMYFUNCTION("IF(B6118="""","""",RIGHT(REGEXREPLACE(B6118&amp;"""",""[^0-9]"",""""),9))"),"777447018")</f>
        <v>777447018</v>
      </c>
      <c r="B6118" s="52">
        <v>7.77447018E8</v>
      </c>
      <c r="C6118" s="28" t="s">
        <v>6089</v>
      </c>
      <c r="D6118" s="26" t="s">
        <v>56</v>
      </c>
      <c r="E6118" s="31">
        <v>46240.0</v>
      </c>
      <c r="F6118" s="26" t="s">
        <v>46</v>
      </c>
      <c r="H6118" s="26" t="s">
        <v>140</v>
      </c>
      <c r="I6118" s="26" t="s">
        <v>883</v>
      </c>
      <c r="J6118" s="25" t="str">
        <f t="shared" si="64"/>
        <v>No</v>
      </c>
      <c r="K6118" s="25" t="str">
        <f t="shared" si="65"/>
        <v/>
      </c>
      <c r="L6118" s="25" t="str">
        <f t="shared" si="66"/>
        <v/>
      </c>
      <c r="M6118" s="25"/>
      <c r="O6118" s="25"/>
    </row>
    <row r="6119" ht="15.75" customHeight="1">
      <c r="A6119" s="25" t="str">
        <f>IFERROR(__xludf.DUMMYFUNCTION("IF(B6119="""","""",RIGHT(REGEXREPLACE(B6119&amp;"""",""[^0-9]"",""""),9))"),"762647722")</f>
        <v>762647722</v>
      </c>
      <c r="B6119" s="52">
        <v>7.62647722E8</v>
      </c>
      <c r="C6119" s="28" t="s">
        <v>1087</v>
      </c>
      <c r="D6119" s="26" t="s">
        <v>64</v>
      </c>
      <c r="E6119" s="31">
        <v>46240.0</v>
      </c>
      <c r="F6119" s="26" t="s">
        <v>46</v>
      </c>
      <c r="G6119" s="26">
        <v>10.0</v>
      </c>
      <c r="H6119" s="26" t="s">
        <v>2293</v>
      </c>
      <c r="I6119" s="26" t="s">
        <v>883</v>
      </c>
      <c r="J6119" s="25" t="str">
        <f t="shared" si="64"/>
        <v>Yes - see Previous F-Code</v>
      </c>
      <c r="K6119" s="25" t="str">
        <f t="shared" si="65"/>
        <v/>
      </c>
      <c r="L6119" s="25" t="str">
        <f t="shared" si="66"/>
        <v>F70830</v>
      </c>
      <c r="M6119" s="25"/>
      <c r="O6119" s="25"/>
    </row>
    <row r="6120" ht="15.75" customHeight="1">
      <c r="A6120" s="25" t="str">
        <f>IFERROR(__xludf.DUMMYFUNCTION("IF(B6120="""","""",RIGHT(REGEXREPLACE(B6120&amp;"""",""[^0-9]"",""""),9))"),"776081932")</f>
        <v>776081932</v>
      </c>
      <c r="B6120" s="52">
        <v>7.76081932E8</v>
      </c>
      <c r="C6120" s="28" t="s">
        <v>6090</v>
      </c>
      <c r="D6120" s="26" t="s">
        <v>82</v>
      </c>
      <c r="E6120" s="31">
        <v>46240.0</v>
      </c>
      <c r="F6120" s="26" t="s">
        <v>41</v>
      </c>
      <c r="I6120" s="26" t="s">
        <v>883</v>
      </c>
      <c r="J6120" s="25" t="str">
        <f t="shared" si="64"/>
        <v>No</v>
      </c>
      <c r="K6120" s="25" t="str">
        <f t="shared" si="65"/>
        <v/>
      </c>
      <c r="L6120" s="25" t="str">
        <f t="shared" si="66"/>
        <v/>
      </c>
      <c r="M6120" s="25"/>
      <c r="O6120" s="25"/>
    </row>
    <row r="6121" ht="15.75" customHeight="1">
      <c r="A6121" s="25" t="str">
        <f>IFERROR(__xludf.DUMMYFUNCTION("IF(B6121="""","""",RIGHT(REGEXREPLACE(B6121&amp;"""",""[^0-9]"",""""),9))"),"719913812")</f>
        <v>719913812</v>
      </c>
      <c r="B6121" s="52">
        <v>7.19913812E8</v>
      </c>
      <c r="C6121" s="28" t="s">
        <v>6091</v>
      </c>
      <c r="D6121" s="26" t="s">
        <v>49</v>
      </c>
      <c r="E6121" s="31">
        <v>46240.0</v>
      </c>
      <c r="F6121" s="26" t="s">
        <v>46</v>
      </c>
      <c r="G6121" s="26">
        <v>7.0</v>
      </c>
      <c r="I6121" s="26" t="s">
        <v>883</v>
      </c>
      <c r="J6121" s="25" t="str">
        <f t="shared" si="64"/>
        <v>No</v>
      </c>
      <c r="K6121" s="25" t="str">
        <f t="shared" si="65"/>
        <v/>
      </c>
      <c r="L6121" s="25" t="str">
        <f t="shared" si="66"/>
        <v/>
      </c>
      <c r="M6121" s="25"/>
      <c r="O6121" s="25"/>
    </row>
    <row r="6122" ht="15.75" customHeight="1">
      <c r="A6122" s="25" t="str">
        <f>IFERROR(__xludf.DUMMYFUNCTION("IF(B6122="""","""",RIGHT(REGEXREPLACE(B6122&amp;"""",""[^0-9]"",""""),9))"),"782521445")</f>
        <v>782521445</v>
      </c>
      <c r="B6122" s="52">
        <v>7.82521445E8</v>
      </c>
      <c r="C6122" s="28" t="s">
        <v>6092</v>
      </c>
      <c r="D6122" s="26" t="s">
        <v>56</v>
      </c>
      <c r="E6122" s="31">
        <v>46240.0</v>
      </c>
      <c r="F6122" s="26" t="s">
        <v>46</v>
      </c>
      <c r="G6122" s="26">
        <v>9.0</v>
      </c>
      <c r="I6122" s="26" t="s">
        <v>883</v>
      </c>
      <c r="J6122" s="25" t="str">
        <f t="shared" si="64"/>
        <v>No</v>
      </c>
      <c r="K6122" s="25" t="str">
        <f t="shared" si="65"/>
        <v/>
      </c>
      <c r="L6122" s="25" t="str">
        <f t="shared" si="66"/>
        <v/>
      </c>
      <c r="M6122" s="25"/>
      <c r="O6122" s="25"/>
    </row>
    <row r="6123" ht="15.75" customHeight="1">
      <c r="A6123" s="25" t="str">
        <f>IFERROR(__xludf.DUMMYFUNCTION("IF(B6123="""","""",RIGHT(REGEXREPLACE(B6123&amp;"""",""[^0-9]"",""""),9))"),"760718193")</f>
        <v>760718193</v>
      </c>
      <c r="B6123" s="52">
        <v>7.60718193E8</v>
      </c>
      <c r="C6123" s="28" t="s">
        <v>6093</v>
      </c>
      <c r="D6123" s="26" t="s">
        <v>64</v>
      </c>
      <c r="E6123" s="31">
        <v>46240.0</v>
      </c>
      <c r="F6123" s="26" t="s">
        <v>41</v>
      </c>
      <c r="G6123" s="26">
        <v>7.0</v>
      </c>
      <c r="I6123" s="26" t="s">
        <v>883</v>
      </c>
      <c r="J6123" s="25" t="str">
        <f t="shared" si="64"/>
        <v>No</v>
      </c>
      <c r="K6123" s="25" t="str">
        <f t="shared" si="65"/>
        <v/>
      </c>
      <c r="L6123" s="25" t="str">
        <f t="shared" si="66"/>
        <v/>
      </c>
      <c r="M6123" s="25"/>
      <c r="O6123" s="26" t="s">
        <v>51</v>
      </c>
    </row>
    <row r="6124" ht="15.75" customHeight="1">
      <c r="A6124" s="25" t="str">
        <f>IFERROR(__xludf.DUMMYFUNCTION("IF(B6124="""","""",RIGHT(REGEXREPLACE(B6124&amp;"""",""[^0-9]"",""""),9))"),"712412950")</f>
        <v>712412950</v>
      </c>
      <c r="B6124" s="52">
        <v>7.1241295E8</v>
      </c>
      <c r="C6124" s="28" t="s">
        <v>6094</v>
      </c>
      <c r="D6124" s="26" t="s">
        <v>82</v>
      </c>
      <c r="E6124" s="31">
        <v>46240.0</v>
      </c>
      <c r="F6124" s="26" t="s">
        <v>205</v>
      </c>
      <c r="I6124" s="26" t="s">
        <v>883</v>
      </c>
      <c r="J6124" s="25" t="str">
        <f t="shared" si="64"/>
        <v>No</v>
      </c>
      <c r="K6124" s="25" t="str">
        <f t="shared" si="65"/>
        <v/>
      </c>
      <c r="L6124" s="25" t="str">
        <f t="shared" si="66"/>
        <v/>
      </c>
      <c r="M6124" s="25"/>
      <c r="O6124" s="25"/>
    </row>
    <row r="6125" ht="15.75" customHeight="1">
      <c r="A6125" s="25" t="str">
        <f>IFERROR(__xludf.DUMMYFUNCTION("IF(B6125="""","""",RIGHT(REGEXREPLACE(B6125&amp;"""",""[^0-9]"",""""),9))"),"772717249")</f>
        <v>772717249</v>
      </c>
      <c r="B6125" s="52">
        <v>7.72717249E8</v>
      </c>
      <c r="C6125" s="28" t="s">
        <v>6095</v>
      </c>
      <c r="D6125" s="26" t="s">
        <v>56</v>
      </c>
      <c r="E6125" s="31">
        <v>46240.0</v>
      </c>
      <c r="F6125" s="26" t="s">
        <v>46</v>
      </c>
      <c r="G6125" s="26">
        <v>8.0</v>
      </c>
      <c r="I6125" s="26" t="s">
        <v>883</v>
      </c>
      <c r="J6125" s="25" t="str">
        <f t="shared" si="64"/>
        <v>No</v>
      </c>
      <c r="K6125" s="25" t="str">
        <f t="shared" si="65"/>
        <v/>
      </c>
      <c r="L6125" s="25" t="str">
        <f t="shared" si="66"/>
        <v/>
      </c>
      <c r="M6125" s="25"/>
      <c r="O6125" s="25"/>
    </row>
    <row r="6126" ht="15.75" customHeight="1">
      <c r="A6126" s="25" t="str">
        <f>IFERROR(__xludf.DUMMYFUNCTION("IF(B6126="""","""",RIGHT(REGEXREPLACE(B6126&amp;"""",""[^0-9]"",""""),9))"),"762495777")</f>
        <v>762495777</v>
      </c>
      <c r="B6126" s="52">
        <v>7.62495777E8</v>
      </c>
      <c r="C6126" s="28" t="s">
        <v>6096</v>
      </c>
      <c r="D6126" s="26" t="s">
        <v>64</v>
      </c>
      <c r="E6126" s="31">
        <v>46240.0</v>
      </c>
      <c r="F6126" s="26" t="s">
        <v>46</v>
      </c>
      <c r="G6126" s="26">
        <v>10.0</v>
      </c>
      <c r="I6126" s="26" t="s">
        <v>883</v>
      </c>
      <c r="J6126" s="25" t="str">
        <f t="shared" si="64"/>
        <v>No</v>
      </c>
      <c r="K6126" s="25" t="str">
        <f t="shared" si="65"/>
        <v/>
      </c>
      <c r="L6126" s="25" t="str">
        <f t="shared" si="66"/>
        <v/>
      </c>
      <c r="M6126" s="25"/>
      <c r="O6126" s="25"/>
    </row>
    <row r="6127" ht="15.75" customHeight="1">
      <c r="A6127" s="25" t="str">
        <f>IFERROR(__xludf.DUMMYFUNCTION("IF(B6127="""","""",RIGHT(REGEXREPLACE(B6127&amp;"""",""[^0-9]"",""""),9))"),"774166740")</f>
        <v>774166740</v>
      </c>
      <c r="B6127" s="52">
        <v>7.7416674E8</v>
      </c>
      <c r="C6127" s="28" t="s">
        <v>6097</v>
      </c>
      <c r="D6127" s="26" t="s">
        <v>49</v>
      </c>
      <c r="E6127" s="31">
        <v>46240.0</v>
      </c>
      <c r="F6127" s="26" t="s">
        <v>41</v>
      </c>
      <c r="I6127" s="26" t="s">
        <v>883</v>
      </c>
      <c r="J6127" s="25" t="str">
        <f t="shared" si="64"/>
        <v>No</v>
      </c>
      <c r="K6127" s="25" t="str">
        <f t="shared" si="65"/>
        <v/>
      </c>
      <c r="L6127" s="25" t="str">
        <f t="shared" si="66"/>
        <v/>
      </c>
      <c r="M6127" s="25"/>
      <c r="O6127" s="25"/>
    </row>
    <row r="6128" ht="15.75" customHeight="1">
      <c r="A6128" s="25" t="str">
        <f>IFERROR(__xludf.DUMMYFUNCTION("IF(B6128="""","""",RIGHT(REGEXREPLACE(B6128&amp;"""",""[^0-9]"",""""),9))"),"717703635")</f>
        <v>717703635</v>
      </c>
      <c r="B6128" s="52">
        <v>7.17703635E8</v>
      </c>
      <c r="C6128" s="28" t="s">
        <v>6047</v>
      </c>
      <c r="D6128" s="26" t="s">
        <v>56</v>
      </c>
      <c r="E6128" s="31">
        <v>46240.0</v>
      </c>
      <c r="F6128" s="26" t="s">
        <v>41</v>
      </c>
      <c r="I6128" s="26" t="s">
        <v>883</v>
      </c>
      <c r="J6128" s="25" t="str">
        <f t="shared" si="64"/>
        <v>No</v>
      </c>
      <c r="K6128" s="25" t="str">
        <f t="shared" si="65"/>
        <v/>
      </c>
      <c r="L6128" s="25" t="str">
        <f t="shared" si="66"/>
        <v/>
      </c>
      <c r="M6128" s="25"/>
      <c r="O6128" s="25"/>
    </row>
    <row r="6129" ht="15.75" customHeight="1">
      <c r="A6129" s="25" t="str">
        <f>IFERROR(__xludf.DUMMYFUNCTION("IF(B6129="""","""",RIGHT(REGEXREPLACE(B6129&amp;"""",""[^0-9]"",""""),9))"),"764051556")</f>
        <v>764051556</v>
      </c>
      <c r="B6129" s="52">
        <v>7.64051556E8</v>
      </c>
      <c r="C6129" s="28" t="s">
        <v>6098</v>
      </c>
      <c r="D6129" s="26" t="s">
        <v>82</v>
      </c>
      <c r="E6129" s="31">
        <v>46240.0</v>
      </c>
      <c r="F6129" s="26" t="s">
        <v>41</v>
      </c>
      <c r="I6129" s="26" t="s">
        <v>883</v>
      </c>
      <c r="J6129" s="25" t="str">
        <f t="shared" si="64"/>
        <v>No</v>
      </c>
      <c r="K6129" s="25" t="str">
        <f t="shared" si="65"/>
        <v/>
      </c>
      <c r="L6129" s="25" t="str">
        <f t="shared" si="66"/>
        <v/>
      </c>
      <c r="M6129" s="25"/>
      <c r="O6129" s="25"/>
    </row>
    <row r="6130" ht="15.75" customHeight="1">
      <c r="A6130" s="25" t="str">
        <f>IFERROR(__xludf.DUMMYFUNCTION("IF(B6130="""","""",RIGHT(REGEXREPLACE(B6130&amp;"""",""[^0-9]"",""""),9))"),"765634150")</f>
        <v>765634150</v>
      </c>
      <c r="B6130" s="52">
        <v>7.6563415E8</v>
      </c>
      <c r="C6130" s="28" t="s">
        <v>6099</v>
      </c>
      <c r="D6130" s="26" t="s">
        <v>49</v>
      </c>
      <c r="E6130" s="31">
        <v>46240.0</v>
      </c>
      <c r="F6130" s="26" t="s">
        <v>205</v>
      </c>
      <c r="I6130" s="26" t="s">
        <v>883</v>
      </c>
      <c r="J6130" s="25" t="str">
        <f t="shared" si="64"/>
        <v>No</v>
      </c>
      <c r="K6130" s="25" t="str">
        <f t="shared" si="65"/>
        <v/>
      </c>
      <c r="L6130" s="25" t="str">
        <f t="shared" si="66"/>
        <v/>
      </c>
      <c r="M6130" s="25"/>
      <c r="O6130" s="25"/>
    </row>
    <row r="6131" ht="15.75" customHeight="1">
      <c r="A6131" s="25" t="str">
        <f>IFERROR(__xludf.DUMMYFUNCTION("IF(B6131="""","""",RIGHT(REGEXREPLACE(B6131&amp;"""",""[^0-9]"",""""),9))"),"774179415")</f>
        <v>774179415</v>
      </c>
      <c r="B6131" s="52">
        <v>7.74179415E8</v>
      </c>
      <c r="C6131" s="28" t="s">
        <v>6100</v>
      </c>
      <c r="D6131" s="26" t="s">
        <v>82</v>
      </c>
      <c r="E6131" s="31">
        <v>46240.0</v>
      </c>
      <c r="F6131" s="26" t="s">
        <v>46</v>
      </c>
      <c r="H6131" s="26" t="s">
        <v>3667</v>
      </c>
      <c r="I6131" s="26" t="s">
        <v>883</v>
      </c>
      <c r="J6131" s="25" t="str">
        <f t="shared" si="64"/>
        <v>No</v>
      </c>
      <c r="K6131" s="25" t="str">
        <f t="shared" si="65"/>
        <v/>
      </c>
      <c r="L6131" s="25" t="str">
        <f t="shared" si="66"/>
        <v/>
      </c>
      <c r="M6131" s="25"/>
      <c r="O6131" s="25"/>
    </row>
    <row r="6132" ht="15.75" customHeight="1">
      <c r="A6132" s="25" t="str">
        <f>IFERROR(__xludf.DUMMYFUNCTION("IF(B6132="""","""",RIGHT(REGEXREPLACE(B6132&amp;"""",""[^0-9]"",""""),9))"),"761640822")</f>
        <v>761640822</v>
      </c>
      <c r="B6132" s="52">
        <v>7.61640822E8</v>
      </c>
      <c r="C6132" s="28" t="s">
        <v>6101</v>
      </c>
      <c r="D6132" s="26" t="s">
        <v>56</v>
      </c>
      <c r="E6132" s="31">
        <v>46240.0</v>
      </c>
      <c r="F6132" s="26" t="s">
        <v>46</v>
      </c>
      <c r="G6132" s="26">
        <v>7.0</v>
      </c>
      <c r="H6132" s="26" t="s">
        <v>918</v>
      </c>
      <c r="I6132" s="26" t="s">
        <v>883</v>
      </c>
      <c r="J6132" s="25" t="str">
        <f t="shared" si="64"/>
        <v>No</v>
      </c>
      <c r="K6132" s="25" t="str">
        <f t="shared" si="65"/>
        <v/>
      </c>
      <c r="L6132" s="25" t="str">
        <f t="shared" si="66"/>
        <v/>
      </c>
      <c r="M6132" s="25"/>
      <c r="O6132" s="25"/>
    </row>
    <row r="6133" ht="15.75" customHeight="1">
      <c r="A6133" s="25" t="str">
        <f>IFERROR(__xludf.DUMMYFUNCTION("IF(B6133="""","""",RIGHT(REGEXREPLACE(B6133&amp;"""",""[^0-9]"",""""),9))"),"772142870")</f>
        <v>772142870</v>
      </c>
      <c r="B6133" s="52">
        <v>7.7214287E8</v>
      </c>
      <c r="C6133" s="28" t="s">
        <v>6102</v>
      </c>
      <c r="D6133" s="26" t="s">
        <v>64</v>
      </c>
      <c r="E6133" s="31">
        <v>46240.0</v>
      </c>
      <c r="F6133" s="26" t="s">
        <v>46</v>
      </c>
      <c r="G6133" s="26">
        <v>7.0</v>
      </c>
      <c r="I6133" s="26" t="s">
        <v>883</v>
      </c>
      <c r="J6133" s="25" t="str">
        <f t="shared" si="64"/>
        <v>No</v>
      </c>
      <c r="K6133" s="25" t="str">
        <f t="shared" si="65"/>
        <v/>
      </c>
      <c r="L6133" s="25" t="str">
        <f t="shared" si="66"/>
        <v/>
      </c>
      <c r="M6133" s="25"/>
      <c r="O6133" s="26" t="s">
        <v>51</v>
      </c>
    </row>
    <row r="6134" ht="15.75" customHeight="1">
      <c r="A6134" s="25" t="str">
        <f>IFERROR(__xludf.DUMMYFUNCTION("IF(B6134="""","""",RIGHT(REGEXREPLACE(B6134&amp;"""",""[^0-9]"",""""),9))"),"717231223")</f>
        <v>717231223</v>
      </c>
      <c r="B6134" s="52">
        <v>7.17231223E8</v>
      </c>
      <c r="C6134" s="28" t="s">
        <v>6103</v>
      </c>
      <c r="D6134" s="26" t="s">
        <v>82</v>
      </c>
      <c r="E6134" s="31">
        <v>46240.0</v>
      </c>
      <c r="F6134" s="26" t="s">
        <v>205</v>
      </c>
      <c r="G6134" s="26">
        <v>7.0</v>
      </c>
      <c r="I6134" s="26" t="s">
        <v>883</v>
      </c>
      <c r="J6134" s="25" t="str">
        <f t="shared" si="64"/>
        <v>No</v>
      </c>
      <c r="K6134" s="25" t="str">
        <f t="shared" si="65"/>
        <v/>
      </c>
      <c r="L6134" s="25" t="str">
        <f t="shared" si="66"/>
        <v/>
      </c>
      <c r="M6134" s="25"/>
      <c r="O6134" s="26" t="s">
        <v>51</v>
      </c>
    </row>
    <row r="6135" ht="15.75" customHeight="1">
      <c r="A6135" s="25" t="str">
        <f>IFERROR(__xludf.DUMMYFUNCTION("IF(B6135="""","""",RIGHT(REGEXREPLACE(B6135&amp;"""",""[^0-9]"",""""),9))"),"710431344")</f>
        <v>710431344</v>
      </c>
      <c r="B6135" s="26">
        <v>7.10431344E8</v>
      </c>
      <c r="C6135" s="28" t="s">
        <v>6104</v>
      </c>
      <c r="D6135" s="26" t="s">
        <v>45</v>
      </c>
      <c r="E6135" s="31">
        <v>46240.0</v>
      </c>
      <c r="F6135" s="26" t="s">
        <v>46</v>
      </c>
      <c r="G6135" s="26">
        <v>11.0</v>
      </c>
      <c r="I6135" s="26" t="s">
        <v>883</v>
      </c>
      <c r="J6135" s="25" t="str">
        <f t="shared" si="64"/>
        <v>No</v>
      </c>
      <c r="K6135" s="25" t="str">
        <f t="shared" si="65"/>
        <v/>
      </c>
      <c r="L6135" s="25" t="str">
        <f t="shared" si="66"/>
        <v/>
      </c>
      <c r="M6135" s="25"/>
      <c r="O6135" s="25"/>
    </row>
    <row r="6136" ht="15.75" customHeight="1">
      <c r="A6136" s="25" t="str">
        <f>IFERROR(__xludf.DUMMYFUNCTION("IF(B6136="""","""",RIGHT(REGEXREPLACE(B6136&amp;"""",""[^0-9]"",""""),9))"),"717128858")</f>
        <v>717128858</v>
      </c>
      <c r="B6136" s="52">
        <v>7.17128858E8</v>
      </c>
      <c r="C6136" s="28" t="s">
        <v>6105</v>
      </c>
      <c r="D6136" s="26" t="s">
        <v>56</v>
      </c>
      <c r="E6136" s="31">
        <v>46240.0</v>
      </c>
      <c r="F6136" s="26" t="s">
        <v>41</v>
      </c>
      <c r="G6136" s="26">
        <v>7.0</v>
      </c>
      <c r="I6136" s="26" t="s">
        <v>883</v>
      </c>
      <c r="J6136" s="25" t="str">
        <f t="shared" si="64"/>
        <v>No</v>
      </c>
      <c r="K6136" s="25" t="str">
        <f t="shared" si="65"/>
        <v/>
      </c>
      <c r="L6136" s="25" t="str">
        <f t="shared" si="66"/>
        <v/>
      </c>
      <c r="M6136" s="25"/>
      <c r="O6136" s="25"/>
    </row>
    <row r="6137" ht="15.75" customHeight="1">
      <c r="A6137" s="25" t="str">
        <f>IFERROR(__xludf.DUMMYFUNCTION("IF(B6137="""","""",RIGHT(REGEXREPLACE(B6137&amp;"""",""[^0-9]"",""""),9))"),"785162019")</f>
        <v>785162019</v>
      </c>
      <c r="B6137" s="52">
        <v>7.85162019E8</v>
      </c>
      <c r="C6137" s="28" t="s">
        <v>6106</v>
      </c>
      <c r="D6137" s="26" t="s">
        <v>49</v>
      </c>
      <c r="E6137" s="31">
        <v>46240.0</v>
      </c>
      <c r="F6137" s="26" t="s">
        <v>46</v>
      </c>
      <c r="G6137" s="26">
        <v>11.0</v>
      </c>
      <c r="I6137" s="26" t="s">
        <v>883</v>
      </c>
      <c r="J6137" s="25" t="str">
        <f t="shared" si="64"/>
        <v>No</v>
      </c>
      <c r="K6137" s="25" t="str">
        <f t="shared" si="65"/>
        <v/>
      </c>
      <c r="L6137" s="25" t="str">
        <f t="shared" si="66"/>
        <v/>
      </c>
      <c r="M6137" s="25"/>
      <c r="O6137" s="25"/>
    </row>
    <row r="6138" ht="15.75" customHeight="1">
      <c r="A6138" s="25" t="str">
        <f>IFERROR(__xludf.DUMMYFUNCTION("IF(B6138="""","""",RIGHT(REGEXREPLACE(B6138&amp;"""",""[^0-9]"",""""),9))"),"772439255")</f>
        <v>772439255</v>
      </c>
      <c r="B6138" s="26">
        <v>7.72439255E8</v>
      </c>
      <c r="C6138" s="28" t="s">
        <v>6107</v>
      </c>
      <c r="D6138" s="26" t="s">
        <v>45</v>
      </c>
      <c r="E6138" s="31">
        <v>46240.0</v>
      </c>
      <c r="F6138" s="26" t="s">
        <v>46</v>
      </c>
      <c r="G6138" s="26">
        <v>7.0</v>
      </c>
      <c r="I6138" s="26" t="s">
        <v>883</v>
      </c>
      <c r="J6138" s="25" t="str">
        <f t="shared" si="64"/>
        <v>No</v>
      </c>
      <c r="K6138" s="25" t="str">
        <f t="shared" si="65"/>
        <v/>
      </c>
      <c r="L6138" s="25" t="str">
        <f t="shared" si="66"/>
        <v/>
      </c>
      <c r="M6138" s="25"/>
      <c r="O6138" s="26" t="s">
        <v>51</v>
      </c>
    </row>
    <row r="6139" ht="15.75" customHeight="1">
      <c r="A6139" s="25" t="str">
        <f>IFERROR(__xludf.DUMMYFUNCTION("IF(B6139="""","""",RIGHT(REGEXREPLACE(B6139&amp;"""",""[^0-9]"",""""),9))"),"779712835")</f>
        <v>779712835</v>
      </c>
      <c r="B6139" s="52">
        <v>7.79712835E8</v>
      </c>
      <c r="C6139" s="28" t="s">
        <v>6108</v>
      </c>
      <c r="D6139" s="26" t="s">
        <v>56</v>
      </c>
      <c r="E6139" s="31">
        <v>46240.0</v>
      </c>
      <c r="F6139" s="26" t="s">
        <v>46</v>
      </c>
      <c r="H6139" s="26" t="s">
        <v>140</v>
      </c>
      <c r="I6139" s="26" t="s">
        <v>883</v>
      </c>
      <c r="J6139" s="25" t="str">
        <f t="shared" si="64"/>
        <v>No</v>
      </c>
      <c r="K6139" s="25" t="str">
        <f t="shared" si="65"/>
        <v/>
      </c>
      <c r="L6139" s="25" t="str">
        <f t="shared" si="66"/>
        <v/>
      </c>
      <c r="M6139" s="25"/>
      <c r="O6139" s="25"/>
    </row>
    <row r="6140" ht="15.75" customHeight="1">
      <c r="A6140" s="25" t="str">
        <f>IFERROR(__xludf.DUMMYFUNCTION("IF(B6140="""","""",RIGHT(REGEXREPLACE(B6140&amp;"""",""[^0-9]"",""""),9))"),"706758489")</f>
        <v>706758489</v>
      </c>
      <c r="B6140" s="52">
        <v>7.06758489E8</v>
      </c>
      <c r="C6140" s="28" t="s">
        <v>6108</v>
      </c>
      <c r="D6140" s="26" t="s">
        <v>64</v>
      </c>
      <c r="E6140" s="31">
        <v>46240.0</v>
      </c>
      <c r="F6140" s="26" t="s">
        <v>46</v>
      </c>
      <c r="G6140" s="26">
        <v>7.0</v>
      </c>
      <c r="I6140" s="26" t="s">
        <v>883</v>
      </c>
      <c r="J6140" s="25" t="str">
        <f t="shared" si="64"/>
        <v>No</v>
      </c>
      <c r="K6140" s="25" t="str">
        <f t="shared" si="65"/>
        <v/>
      </c>
      <c r="L6140" s="25" t="str">
        <f t="shared" si="66"/>
        <v/>
      </c>
      <c r="M6140" s="25"/>
      <c r="O6140" s="26" t="s">
        <v>51</v>
      </c>
    </row>
    <row r="6141" ht="15.75" customHeight="1">
      <c r="A6141" s="25" t="str">
        <f>IFERROR(__xludf.DUMMYFUNCTION("IF(B6141="""","""",RIGHT(REGEXREPLACE(B6141&amp;"""",""[^0-9]"",""""),9))"),"761680138")</f>
        <v>761680138</v>
      </c>
      <c r="B6141" s="52">
        <v>7.61680138E8</v>
      </c>
      <c r="C6141" s="28" t="s">
        <v>6109</v>
      </c>
      <c r="D6141" s="26" t="s">
        <v>82</v>
      </c>
      <c r="E6141" s="31">
        <v>46240.0</v>
      </c>
      <c r="F6141" s="26" t="s">
        <v>46</v>
      </c>
      <c r="G6141" s="26">
        <v>7.0</v>
      </c>
      <c r="I6141" s="26" t="s">
        <v>883</v>
      </c>
      <c r="J6141" s="25" t="str">
        <f t="shared" si="64"/>
        <v>No</v>
      </c>
      <c r="K6141" s="25" t="str">
        <f t="shared" si="65"/>
        <v/>
      </c>
      <c r="L6141" s="25" t="str">
        <f t="shared" si="66"/>
        <v/>
      </c>
      <c r="M6141" s="25"/>
      <c r="O6141" s="25"/>
    </row>
    <row r="6142" ht="15.75" customHeight="1">
      <c r="A6142" s="25" t="str">
        <f>IFERROR(__xludf.DUMMYFUNCTION("IF(B6142="""","""",RIGHT(REGEXREPLACE(B6142&amp;"""",""[^0-9]"",""""),9))"),"703674629")</f>
        <v>703674629</v>
      </c>
      <c r="B6142" s="52">
        <v>7.03674629E8</v>
      </c>
      <c r="C6142" s="28" t="s">
        <v>6110</v>
      </c>
      <c r="D6142" s="26" t="s">
        <v>56</v>
      </c>
      <c r="E6142" s="31">
        <v>46240.0</v>
      </c>
      <c r="F6142" s="26" t="s">
        <v>205</v>
      </c>
      <c r="I6142" s="26" t="s">
        <v>883</v>
      </c>
      <c r="J6142" s="25" t="str">
        <f t="shared" si="64"/>
        <v>No</v>
      </c>
      <c r="K6142" s="25" t="str">
        <f t="shared" si="65"/>
        <v/>
      </c>
      <c r="L6142" s="25" t="str">
        <f t="shared" si="66"/>
        <v/>
      </c>
      <c r="M6142" s="25"/>
      <c r="O6142" s="25"/>
    </row>
    <row r="6143" ht="15.75" customHeight="1">
      <c r="A6143" s="25" t="str">
        <f>IFERROR(__xludf.DUMMYFUNCTION("IF(B6143="""","""",RIGHT(REGEXREPLACE(B6143&amp;"""",""[^0-9]"",""""),9))"),"765462792")</f>
        <v>765462792</v>
      </c>
      <c r="B6143" s="52">
        <v>7.65462792E8</v>
      </c>
      <c r="C6143" s="28" t="s">
        <v>6111</v>
      </c>
      <c r="D6143" s="26" t="s">
        <v>56</v>
      </c>
      <c r="E6143" s="31">
        <v>46240.0</v>
      </c>
      <c r="F6143" s="26" t="s">
        <v>46</v>
      </c>
      <c r="G6143" s="26">
        <v>9.0</v>
      </c>
      <c r="I6143" s="26" t="s">
        <v>883</v>
      </c>
      <c r="J6143" s="25" t="str">
        <f t="shared" si="64"/>
        <v>No</v>
      </c>
      <c r="K6143" s="25" t="str">
        <f t="shared" si="65"/>
        <v/>
      </c>
      <c r="L6143" s="25" t="str">
        <f t="shared" si="66"/>
        <v/>
      </c>
      <c r="M6143" s="25"/>
      <c r="O6143" s="25"/>
    </row>
    <row r="6144" ht="15.75" customHeight="1">
      <c r="A6144" s="25" t="str">
        <f>IFERROR(__xludf.DUMMYFUNCTION("IF(B6144="""","""",RIGHT(REGEXREPLACE(B6144&amp;"""",""[^0-9]"",""""),9))"),"787210180")</f>
        <v>787210180</v>
      </c>
      <c r="B6144" s="52">
        <v>4.78721018E9</v>
      </c>
      <c r="C6144" s="28" t="s">
        <v>6112</v>
      </c>
      <c r="D6144" s="26" t="s">
        <v>64</v>
      </c>
      <c r="E6144" s="31">
        <v>46240.0</v>
      </c>
      <c r="F6144" s="26" t="s">
        <v>46</v>
      </c>
      <c r="G6144" s="26">
        <v>8.0</v>
      </c>
      <c r="I6144" s="26" t="s">
        <v>883</v>
      </c>
      <c r="J6144" s="25" t="str">
        <f t="shared" si="64"/>
        <v>No</v>
      </c>
      <c r="K6144" s="25" t="str">
        <f t="shared" si="65"/>
        <v/>
      </c>
      <c r="L6144" s="25" t="str">
        <f t="shared" si="66"/>
        <v/>
      </c>
      <c r="M6144" s="25"/>
      <c r="O6144" s="25"/>
    </row>
    <row r="6145" ht="15.75" customHeight="1">
      <c r="A6145" s="25" t="str">
        <f>IFERROR(__xludf.DUMMYFUNCTION("IF(B6145="""","""",RIGHT(REGEXREPLACE(B6145&amp;"""",""[^0-9]"",""""),9))"),"762732330")</f>
        <v>762732330</v>
      </c>
      <c r="B6145" s="52">
        <v>7.6273233E8</v>
      </c>
      <c r="C6145" s="28" t="s">
        <v>6113</v>
      </c>
      <c r="D6145" s="26" t="s">
        <v>82</v>
      </c>
      <c r="E6145" s="31">
        <v>46240.0</v>
      </c>
      <c r="F6145" s="26" t="s">
        <v>46</v>
      </c>
      <c r="G6145" s="96">
        <v>46182.0</v>
      </c>
      <c r="I6145" s="26" t="s">
        <v>883</v>
      </c>
      <c r="J6145" s="25" t="str">
        <f t="shared" si="64"/>
        <v>No</v>
      </c>
      <c r="K6145" s="25" t="str">
        <f t="shared" si="65"/>
        <v/>
      </c>
      <c r="L6145" s="25" t="str">
        <f t="shared" si="66"/>
        <v/>
      </c>
      <c r="M6145" s="25"/>
      <c r="O6145" s="25"/>
    </row>
    <row r="6146" ht="15.75" customHeight="1">
      <c r="A6146" s="25" t="str">
        <f>IFERROR(__xludf.DUMMYFUNCTION("IF(B6146="""","""",RIGHT(REGEXREPLACE(B6146&amp;"""",""[^0-9]"",""""),9))"),"768363859")</f>
        <v>768363859</v>
      </c>
      <c r="B6146" s="52">
        <v>7.68363859E8</v>
      </c>
      <c r="C6146" s="28" t="s">
        <v>6114</v>
      </c>
      <c r="D6146" s="26" t="s">
        <v>49</v>
      </c>
      <c r="E6146" s="31">
        <v>46240.0</v>
      </c>
      <c r="F6146" s="26" t="s">
        <v>46</v>
      </c>
      <c r="G6146" s="26">
        <v>7.0</v>
      </c>
      <c r="H6146" s="117" t="s">
        <v>6115</v>
      </c>
      <c r="I6146" s="26" t="s">
        <v>883</v>
      </c>
      <c r="J6146" s="25" t="str">
        <f t="shared" si="64"/>
        <v>No</v>
      </c>
      <c r="K6146" s="25" t="str">
        <f t="shared" si="65"/>
        <v/>
      </c>
      <c r="L6146" s="25" t="str">
        <f t="shared" si="66"/>
        <v/>
      </c>
      <c r="M6146" s="25"/>
      <c r="O6146" s="25"/>
    </row>
    <row r="6147" ht="15.75" customHeight="1">
      <c r="A6147" s="25" t="str">
        <f>IFERROR(__xludf.DUMMYFUNCTION("IF(B6147="""","""",RIGHT(REGEXREPLACE(B6147&amp;"""",""[^0-9]"",""""),9))"),"715717550")</f>
        <v>715717550</v>
      </c>
      <c r="B6147" s="52">
        <v>7.1571755E8</v>
      </c>
      <c r="C6147" s="28" t="s">
        <v>6116</v>
      </c>
      <c r="D6147" s="26" t="s">
        <v>56</v>
      </c>
      <c r="E6147" s="31">
        <v>46240.0</v>
      </c>
      <c r="F6147" s="26" t="s">
        <v>46</v>
      </c>
      <c r="G6147" s="26">
        <v>7.0</v>
      </c>
      <c r="I6147" s="26" t="s">
        <v>883</v>
      </c>
      <c r="J6147" s="25" t="str">
        <f t="shared" si="64"/>
        <v>No</v>
      </c>
      <c r="K6147" s="25" t="str">
        <f t="shared" si="65"/>
        <v/>
      </c>
      <c r="L6147" s="25" t="str">
        <f t="shared" si="66"/>
        <v/>
      </c>
      <c r="M6147" s="25"/>
      <c r="O6147" s="25"/>
    </row>
    <row r="6148" ht="15.75" customHeight="1">
      <c r="A6148" s="25" t="str">
        <f>IFERROR(__xludf.DUMMYFUNCTION("IF(B6148="""","""",RIGHT(REGEXREPLACE(B6148&amp;"""",""[^0-9]"",""""),9))"),"765273454")</f>
        <v>765273454</v>
      </c>
      <c r="B6148" s="64">
        <v>9.4765273454E10</v>
      </c>
      <c r="C6148" s="28" t="s">
        <v>6117</v>
      </c>
      <c r="D6148" s="26" t="s">
        <v>64</v>
      </c>
      <c r="E6148" s="31">
        <v>46240.0</v>
      </c>
      <c r="F6148" s="26" t="s">
        <v>46</v>
      </c>
      <c r="G6148" s="26">
        <v>7.0</v>
      </c>
      <c r="I6148" s="26" t="s">
        <v>883</v>
      </c>
      <c r="J6148" s="25" t="str">
        <f t="shared" si="64"/>
        <v>No</v>
      </c>
      <c r="K6148" s="25" t="str">
        <f t="shared" si="65"/>
        <v/>
      </c>
      <c r="L6148" s="25" t="str">
        <f t="shared" si="66"/>
        <v/>
      </c>
      <c r="M6148" s="25"/>
      <c r="O6148" s="25"/>
    </row>
    <row r="6149" ht="15.75" customHeight="1">
      <c r="A6149" s="25" t="str">
        <f>IFERROR(__xludf.DUMMYFUNCTION("IF(B6149="""","""",RIGHT(REGEXREPLACE(B6149&amp;"""",""[^0-9]"",""""),9))"),"783190505")</f>
        <v>783190505</v>
      </c>
      <c r="B6149" s="52">
        <v>7.83190505E8</v>
      </c>
      <c r="C6149" s="28" t="s">
        <v>6118</v>
      </c>
      <c r="D6149" s="26" t="s">
        <v>45</v>
      </c>
      <c r="E6149" s="31">
        <v>46240.0</v>
      </c>
      <c r="F6149" s="26" t="s">
        <v>46</v>
      </c>
      <c r="G6149" s="26">
        <v>7.0</v>
      </c>
      <c r="I6149" s="26" t="s">
        <v>883</v>
      </c>
      <c r="J6149" s="25" t="str">
        <f t="shared" si="64"/>
        <v>No</v>
      </c>
      <c r="K6149" s="25" t="str">
        <f t="shared" si="65"/>
        <v/>
      </c>
      <c r="L6149" s="25" t="str">
        <f t="shared" si="66"/>
        <v/>
      </c>
      <c r="M6149" s="25"/>
      <c r="O6149" s="25"/>
    </row>
    <row r="6150" ht="15.75" customHeight="1">
      <c r="A6150" s="25" t="str">
        <f>IFERROR(__xludf.DUMMYFUNCTION("IF(B6150="""","""",RIGHT(REGEXREPLACE(B6150&amp;"""",""[^0-9]"",""""),9))"),"711906052")</f>
        <v>711906052</v>
      </c>
      <c r="B6150" s="52">
        <v>7.11906052E8</v>
      </c>
      <c r="C6150" s="28" t="s">
        <v>6119</v>
      </c>
      <c r="D6150" s="26" t="s">
        <v>56</v>
      </c>
      <c r="E6150" s="31">
        <v>46240.0</v>
      </c>
      <c r="F6150" s="26" t="s">
        <v>46</v>
      </c>
      <c r="G6150" s="26">
        <v>8.0</v>
      </c>
      <c r="I6150" s="26" t="s">
        <v>883</v>
      </c>
      <c r="J6150" s="25" t="str">
        <f t="shared" si="64"/>
        <v>No</v>
      </c>
      <c r="K6150" s="25" t="str">
        <f t="shared" si="65"/>
        <v/>
      </c>
      <c r="L6150" s="25" t="str">
        <f t="shared" si="66"/>
        <v/>
      </c>
      <c r="M6150" s="25"/>
      <c r="O6150" s="25"/>
    </row>
    <row r="6151" ht="15.75" customHeight="1">
      <c r="A6151" s="25" t="str">
        <f>IFERROR(__xludf.DUMMYFUNCTION("IF(B6151="""","""",RIGHT(REGEXREPLACE(B6151&amp;"""",""[^0-9]"",""""),9))"),"741611079")</f>
        <v>741611079</v>
      </c>
      <c r="B6151" s="52">
        <v>7.41611079E8</v>
      </c>
      <c r="C6151" s="28" t="s">
        <v>6120</v>
      </c>
      <c r="D6151" s="26" t="s">
        <v>49</v>
      </c>
      <c r="E6151" s="31">
        <v>46240.0</v>
      </c>
      <c r="F6151" s="26" t="s">
        <v>164</v>
      </c>
      <c r="G6151" s="26">
        <v>6.0</v>
      </c>
      <c r="I6151" s="26" t="s">
        <v>883</v>
      </c>
      <c r="J6151" s="25" t="str">
        <f t="shared" si="64"/>
        <v>No</v>
      </c>
      <c r="K6151" s="25" t="str">
        <f t="shared" si="65"/>
        <v/>
      </c>
      <c r="L6151" s="25" t="str">
        <f t="shared" si="66"/>
        <v/>
      </c>
      <c r="M6151" s="25"/>
      <c r="O6151" s="25"/>
    </row>
    <row r="6152" ht="15.75" customHeight="1">
      <c r="A6152" s="25" t="str">
        <f>IFERROR(__xludf.DUMMYFUNCTION("IF(B6152="""","""",RIGHT(REGEXREPLACE(B6152&amp;"""",""[^0-9]"",""""),9))"),"712422780")</f>
        <v>712422780</v>
      </c>
      <c r="B6152" s="52">
        <v>7.1242278E8</v>
      </c>
      <c r="C6152" s="28" t="s">
        <v>6121</v>
      </c>
      <c r="D6152" s="26" t="s">
        <v>64</v>
      </c>
      <c r="E6152" s="31">
        <v>46240.0</v>
      </c>
      <c r="F6152" s="26" t="s">
        <v>41</v>
      </c>
      <c r="I6152" s="26" t="s">
        <v>883</v>
      </c>
      <c r="J6152" s="25" t="str">
        <f t="shared" si="64"/>
        <v>No</v>
      </c>
      <c r="K6152" s="25" t="str">
        <f t="shared" si="65"/>
        <v/>
      </c>
      <c r="L6152" s="25" t="str">
        <f t="shared" si="66"/>
        <v/>
      </c>
      <c r="M6152" s="25"/>
      <c r="O6152" s="25"/>
    </row>
    <row r="6153" ht="15.75" customHeight="1">
      <c r="A6153" s="25" t="str">
        <f>IFERROR(__xludf.DUMMYFUNCTION("IF(B6153="""","""",RIGHT(REGEXREPLACE(B6153&amp;"""",""[^0-9]"",""""),9))"),"776398554")</f>
        <v>776398554</v>
      </c>
      <c r="B6153" s="52">
        <v>7.76398554E8</v>
      </c>
      <c r="C6153" s="28" t="s">
        <v>6122</v>
      </c>
      <c r="D6153" s="26" t="s">
        <v>49</v>
      </c>
      <c r="E6153" s="31">
        <v>46240.0</v>
      </c>
      <c r="F6153" s="26" t="s">
        <v>205</v>
      </c>
      <c r="I6153" s="26" t="s">
        <v>883</v>
      </c>
      <c r="J6153" s="25" t="str">
        <f t="shared" si="64"/>
        <v>No</v>
      </c>
      <c r="K6153" s="25" t="str">
        <f t="shared" si="65"/>
        <v/>
      </c>
      <c r="L6153" s="25" t="str">
        <f t="shared" si="66"/>
        <v/>
      </c>
      <c r="M6153" s="25"/>
      <c r="O6153" s="25"/>
    </row>
    <row r="6154" ht="15.75" customHeight="1">
      <c r="A6154" s="25" t="str">
        <f>IFERROR(__xludf.DUMMYFUNCTION("IF(B6154="""","""",RIGHT(REGEXREPLACE(B6154&amp;"""",""[^0-9]"",""""),9))"),"763933199")</f>
        <v>763933199</v>
      </c>
      <c r="B6154" s="52">
        <v>7.63933199E8</v>
      </c>
      <c r="C6154" s="28" t="s">
        <v>6123</v>
      </c>
      <c r="D6154" s="26" t="s">
        <v>56</v>
      </c>
      <c r="E6154" s="31">
        <v>46240.0</v>
      </c>
      <c r="F6154" s="26" t="s">
        <v>41</v>
      </c>
      <c r="I6154" s="26" t="s">
        <v>883</v>
      </c>
      <c r="J6154" s="25" t="str">
        <f t="shared" si="64"/>
        <v>No</v>
      </c>
      <c r="K6154" s="25" t="str">
        <f t="shared" si="65"/>
        <v/>
      </c>
      <c r="L6154" s="25" t="str">
        <f t="shared" si="66"/>
        <v/>
      </c>
      <c r="M6154" s="25"/>
      <c r="O6154" s="25"/>
    </row>
    <row r="6155" ht="15.75" customHeight="1">
      <c r="A6155" s="25" t="str">
        <f>IFERROR(__xludf.DUMMYFUNCTION("IF(B6155="""","""",RIGHT(REGEXREPLACE(B6155&amp;"""",""[^0-9]"",""""),9))"),"718865998")</f>
        <v>718865998</v>
      </c>
      <c r="B6155" s="52">
        <v>7.18865998E8</v>
      </c>
      <c r="C6155" s="28" t="s">
        <v>6124</v>
      </c>
      <c r="D6155" s="26" t="s">
        <v>64</v>
      </c>
      <c r="E6155" s="31">
        <v>46240.0</v>
      </c>
      <c r="F6155" s="26" t="s">
        <v>46</v>
      </c>
      <c r="G6155" s="26">
        <v>7.0</v>
      </c>
      <c r="I6155" s="26" t="s">
        <v>883</v>
      </c>
      <c r="J6155" s="25" t="str">
        <f t="shared" si="64"/>
        <v>No</v>
      </c>
      <c r="K6155" s="25" t="str">
        <f t="shared" si="65"/>
        <v/>
      </c>
      <c r="L6155" s="25" t="str">
        <f t="shared" si="66"/>
        <v/>
      </c>
      <c r="M6155" s="25"/>
      <c r="O6155" s="25"/>
    </row>
    <row r="6156" ht="15.75" customHeight="1">
      <c r="A6156" s="25" t="str">
        <f>IFERROR(__xludf.DUMMYFUNCTION("IF(B6156="""","""",RIGHT(REGEXREPLACE(B6156&amp;"""",""[^0-9]"",""""),9))"),"751844844")</f>
        <v>751844844</v>
      </c>
      <c r="B6156" s="52">
        <v>7.51844844E8</v>
      </c>
      <c r="C6156" s="28" t="s">
        <v>6125</v>
      </c>
      <c r="D6156" s="26" t="s">
        <v>56</v>
      </c>
      <c r="E6156" s="31">
        <v>46240.0</v>
      </c>
      <c r="F6156" s="26" t="s">
        <v>46</v>
      </c>
      <c r="G6156" s="26">
        <v>7.0</v>
      </c>
      <c r="I6156" s="26" t="s">
        <v>883</v>
      </c>
      <c r="J6156" s="25" t="str">
        <f t="shared" si="64"/>
        <v>No</v>
      </c>
      <c r="K6156" s="25" t="str">
        <f t="shared" si="65"/>
        <v/>
      </c>
      <c r="L6156" s="25" t="str">
        <f t="shared" si="66"/>
        <v/>
      </c>
      <c r="M6156" s="25"/>
      <c r="O6156" s="26" t="s">
        <v>51</v>
      </c>
    </row>
    <row r="6157" ht="15.75" customHeight="1">
      <c r="A6157" s="25" t="str">
        <f>IFERROR(__xludf.DUMMYFUNCTION("IF(B6157="""","""",RIGHT(REGEXREPLACE(B6157&amp;"""",""[^0-9]"",""""),9))"),"704260731")</f>
        <v>704260731</v>
      </c>
      <c r="B6157" s="52">
        <v>7.04260731E8</v>
      </c>
      <c r="C6157" s="28" t="s">
        <v>6126</v>
      </c>
      <c r="D6157" s="26" t="s">
        <v>49</v>
      </c>
      <c r="E6157" s="31">
        <v>46240.0</v>
      </c>
      <c r="F6157" s="26" t="s">
        <v>205</v>
      </c>
      <c r="G6157" s="26">
        <v>7.0</v>
      </c>
      <c r="I6157" s="26" t="s">
        <v>883</v>
      </c>
      <c r="J6157" s="25" t="str">
        <f t="shared" si="64"/>
        <v>No</v>
      </c>
      <c r="K6157" s="25" t="str">
        <f t="shared" si="65"/>
        <v/>
      </c>
      <c r="L6157" s="25" t="str">
        <f t="shared" si="66"/>
        <v/>
      </c>
      <c r="M6157" s="25"/>
      <c r="O6157" s="25"/>
    </row>
    <row r="6158" ht="15.75" customHeight="1">
      <c r="A6158" s="25" t="str">
        <f>IFERROR(__xludf.DUMMYFUNCTION("IF(B6158="""","""",RIGHT(REGEXREPLACE(B6158&amp;"""",""[^0-9]"",""""),9))"),"742432440")</f>
        <v>742432440</v>
      </c>
      <c r="B6158" s="52">
        <v>7.4243244E8</v>
      </c>
      <c r="C6158" s="28" t="s">
        <v>6127</v>
      </c>
      <c r="D6158" s="26" t="s">
        <v>82</v>
      </c>
      <c r="E6158" s="31">
        <v>46240.0</v>
      </c>
      <c r="F6158" s="26" t="s">
        <v>205</v>
      </c>
      <c r="I6158" s="26" t="s">
        <v>883</v>
      </c>
      <c r="J6158" s="25" t="str">
        <f t="shared" si="64"/>
        <v>No</v>
      </c>
      <c r="K6158" s="25" t="str">
        <f t="shared" si="65"/>
        <v/>
      </c>
      <c r="L6158" s="25" t="str">
        <f t="shared" si="66"/>
        <v/>
      </c>
      <c r="M6158" s="25"/>
      <c r="O6158" s="25"/>
    </row>
    <row r="6159" ht="15.75" customHeight="1">
      <c r="A6159" s="25" t="str">
        <f>IFERROR(__xludf.DUMMYFUNCTION("IF(B6159="""","""",RIGHT(REGEXREPLACE(B6159&amp;"""",""[^0-9]"",""""),9))"),"742444196")</f>
        <v>742444196</v>
      </c>
      <c r="B6159" s="26">
        <v>7.42444196E8</v>
      </c>
      <c r="C6159" s="28" t="s">
        <v>6128</v>
      </c>
      <c r="D6159" s="26" t="s">
        <v>45</v>
      </c>
      <c r="E6159" s="31">
        <v>46240.0</v>
      </c>
      <c r="F6159" s="26" t="s">
        <v>46</v>
      </c>
      <c r="G6159" s="26">
        <v>10.0</v>
      </c>
      <c r="I6159" s="26" t="s">
        <v>883</v>
      </c>
      <c r="J6159" s="25" t="str">
        <f t="shared" si="64"/>
        <v>No</v>
      </c>
      <c r="K6159" s="25" t="str">
        <f t="shared" si="65"/>
        <v/>
      </c>
      <c r="L6159" s="25" t="str">
        <f t="shared" si="66"/>
        <v/>
      </c>
      <c r="M6159" s="25"/>
      <c r="O6159" s="25"/>
    </row>
    <row r="6160" ht="15.75" customHeight="1">
      <c r="A6160" s="25" t="str">
        <f>IFERROR(__xludf.DUMMYFUNCTION("IF(B6160="""","""",RIGHT(REGEXREPLACE(B6160&amp;"""",""[^0-9]"",""""),9))"),"702521323")</f>
        <v>702521323</v>
      </c>
      <c r="B6160" s="52">
        <v>7.02521323E8</v>
      </c>
      <c r="C6160" s="28" t="s">
        <v>6129</v>
      </c>
      <c r="D6160" s="26" t="s">
        <v>45</v>
      </c>
      <c r="E6160" s="31">
        <v>46240.0</v>
      </c>
      <c r="F6160" s="26" t="s">
        <v>46</v>
      </c>
      <c r="G6160" s="26">
        <v>6.0</v>
      </c>
      <c r="I6160" s="26" t="s">
        <v>883</v>
      </c>
      <c r="J6160" s="25" t="str">
        <f t="shared" si="64"/>
        <v>No</v>
      </c>
      <c r="K6160" s="25" t="str">
        <f t="shared" si="65"/>
        <v/>
      </c>
      <c r="L6160" s="25" t="str">
        <f t="shared" si="66"/>
        <v/>
      </c>
      <c r="M6160" s="25"/>
      <c r="O6160" s="25"/>
    </row>
    <row r="6161" ht="15.75" customHeight="1">
      <c r="A6161" s="25" t="str">
        <f>IFERROR(__xludf.DUMMYFUNCTION("IF(B6161="""","""",RIGHT(REGEXREPLACE(B6161&amp;"""",""[^0-9]"",""""),9))"),"760168919")</f>
        <v>760168919</v>
      </c>
      <c r="B6161" s="52">
        <v>7.60168919E8</v>
      </c>
      <c r="C6161" s="28" t="s">
        <v>5877</v>
      </c>
      <c r="D6161" s="26" t="s">
        <v>64</v>
      </c>
      <c r="E6161" s="31">
        <v>46240.0</v>
      </c>
      <c r="F6161" s="26" t="s">
        <v>205</v>
      </c>
      <c r="I6161" s="26" t="s">
        <v>883</v>
      </c>
      <c r="J6161" s="25" t="str">
        <f t="shared" si="64"/>
        <v>No</v>
      </c>
      <c r="K6161" s="25" t="str">
        <f t="shared" si="65"/>
        <v/>
      </c>
      <c r="L6161" s="25" t="str">
        <f t="shared" si="66"/>
        <v/>
      </c>
      <c r="M6161" s="25"/>
      <c r="O6161" s="25"/>
    </row>
    <row r="6162" ht="15.75" customHeight="1">
      <c r="A6162" s="25" t="str">
        <f>IFERROR(__xludf.DUMMYFUNCTION("IF(B6162="""","""",RIGHT(REGEXREPLACE(B6162&amp;"""",""[^0-9]"",""""),9))"),"766671782")</f>
        <v>766671782</v>
      </c>
      <c r="B6162" s="52">
        <v>7.66671782E8</v>
      </c>
      <c r="C6162" s="28" t="s">
        <v>6130</v>
      </c>
      <c r="D6162" s="26" t="s">
        <v>82</v>
      </c>
      <c r="E6162" s="31">
        <v>46240.0</v>
      </c>
      <c r="F6162" s="26" t="s">
        <v>41</v>
      </c>
      <c r="I6162" s="26" t="s">
        <v>883</v>
      </c>
      <c r="J6162" s="25" t="str">
        <f t="shared" si="64"/>
        <v>No</v>
      </c>
      <c r="K6162" s="25" t="str">
        <f t="shared" si="65"/>
        <v/>
      </c>
      <c r="L6162" s="25" t="str">
        <f t="shared" si="66"/>
        <v/>
      </c>
      <c r="M6162" s="25"/>
      <c r="O6162" s="25"/>
    </row>
    <row r="6163" ht="15.75" customHeight="1">
      <c r="A6163" s="25" t="str">
        <f>IFERROR(__xludf.DUMMYFUNCTION("IF(B6163="""","""",RIGHT(REGEXREPLACE(B6163&amp;"""",""[^0-9]"",""""),9))"),"764910493")</f>
        <v>764910493</v>
      </c>
      <c r="B6163" s="52">
        <v>7.64910493E8</v>
      </c>
      <c r="C6163" s="28" t="s">
        <v>6131</v>
      </c>
      <c r="D6163" s="26" t="s">
        <v>56</v>
      </c>
      <c r="E6163" s="31">
        <v>46240.0</v>
      </c>
      <c r="F6163" s="26" t="s">
        <v>205</v>
      </c>
      <c r="G6163" s="26">
        <v>8.0</v>
      </c>
      <c r="I6163" s="26" t="s">
        <v>883</v>
      </c>
      <c r="J6163" s="25" t="str">
        <f t="shared" si="64"/>
        <v>No</v>
      </c>
      <c r="K6163" s="25" t="str">
        <f t="shared" si="65"/>
        <v/>
      </c>
      <c r="L6163" s="25" t="str">
        <f t="shared" si="66"/>
        <v/>
      </c>
      <c r="M6163" s="25"/>
      <c r="O6163" s="25"/>
    </row>
    <row r="6164" ht="15.75" customHeight="1">
      <c r="A6164" s="25" t="str">
        <f>IFERROR(__xludf.DUMMYFUNCTION("IF(B6164="""","""",RIGHT(REGEXREPLACE(B6164&amp;"""",""[^0-9]"",""""),9))"),"711668787")</f>
        <v>711668787</v>
      </c>
      <c r="B6164" s="52">
        <v>7.11668787E8</v>
      </c>
      <c r="C6164" s="28" t="s">
        <v>6132</v>
      </c>
      <c r="D6164" s="26" t="s">
        <v>82</v>
      </c>
      <c r="E6164" s="31">
        <v>46240.0</v>
      </c>
      <c r="F6164" s="26" t="s">
        <v>46</v>
      </c>
      <c r="G6164" s="26">
        <v>7.0</v>
      </c>
      <c r="I6164" s="26" t="s">
        <v>883</v>
      </c>
      <c r="J6164" s="25" t="str">
        <f t="shared" si="64"/>
        <v>No</v>
      </c>
      <c r="K6164" s="25" t="str">
        <f t="shared" si="65"/>
        <v/>
      </c>
      <c r="L6164" s="25" t="str">
        <f t="shared" si="66"/>
        <v/>
      </c>
      <c r="M6164" s="25"/>
      <c r="O6164" s="25"/>
    </row>
    <row r="6165" ht="15.75" customHeight="1">
      <c r="A6165" s="25" t="str">
        <f>IFERROR(__xludf.DUMMYFUNCTION("IF(B6165="""","""",RIGHT(REGEXREPLACE(B6165&amp;"""",""[^0-9]"",""""),9))"),"766835585")</f>
        <v>766835585</v>
      </c>
      <c r="B6165" s="52">
        <v>7.66835585E8</v>
      </c>
      <c r="C6165" s="28" t="s">
        <v>6133</v>
      </c>
      <c r="D6165" s="26" t="s">
        <v>49</v>
      </c>
      <c r="E6165" s="31">
        <v>46240.0</v>
      </c>
      <c r="F6165" s="26" t="s">
        <v>46</v>
      </c>
      <c r="G6165" s="26">
        <v>7.0</v>
      </c>
      <c r="I6165" s="26" t="s">
        <v>883</v>
      </c>
      <c r="J6165" s="25" t="str">
        <f t="shared" si="64"/>
        <v>No</v>
      </c>
      <c r="K6165" s="25" t="str">
        <f t="shared" si="65"/>
        <v/>
      </c>
      <c r="L6165" s="25" t="str">
        <f t="shared" si="66"/>
        <v/>
      </c>
      <c r="M6165" s="25"/>
      <c r="O6165" s="25"/>
    </row>
    <row r="6166" ht="15.75" customHeight="1">
      <c r="A6166" s="25" t="str">
        <f>IFERROR(__xludf.DUMMYFUNCTION("IF(B6166="""","""",RIGHT(REGEXREPLACE(B6166&amp;"""",""[^0-9]"",""""),9))"),"766028095")</f>
        <v>766028095</v>
      </c>
      <c r="B6166" s="52">
        <v>7.66028095E8</v>
      </c>
      <c r="C6166" s="28" t="s">
        <v>6134</v>
      </c>
      <c r="D6166" s="26" t="s">
        <v>56</v>
      </c>
      <c r="E6166" s="31">
        <v>46240.0</v>
      </c>
      <c r="F6166" s="26" t="s">
        <v>46</v>
      </c>
      <c r="G6166" s="26">
        <v>7.0</v>
      </c>
      <c r="I6166" s="26" t="s">
        <v>883</v>
      </c>
      <c r="J6166" s="25" t="str">
        <f t="shared" si="64"/>
        <v>No</v>
      </c>
      <c r="K6166" s="25" t="str">
        <f t="shared" si="65"/>
        <v/>
      </c>
      <c r="L6166" s="25" t="str">
        <f t="shared" si="66"/>
        <v/>
      </c>
      <c r="M6166" s="25"/>
      <c r="O6166" s="25"/>
    </row>
    <row r="6167" ht="15.75" customHeight="1">
      <c r="A6167" s="25" t="str">
        <f>IFERROR(__xludf.DUMMYFUNCTION("IF(B6167="""","""",RIGHT(REGEXREPLACE(B6167&amp;"""",""[^0-9]"",""""),9))"),"701108200")</f>
        <v>701108200</v>
      </c>
      <c r="B6167" s="52">
        <v>7.011082E8</v>
      </c>
      <c r="C6167" s="28" t="s">
        <v>6135</v>
      </c>
      <c r="D6167" s="26" t="s">
        <v>64</v>
      </c>
      <c r="E6167" s="31">
        <v>46240.0</v>
      </c>
      <c r="F6167" s="26" t="s">
        <v>41</v>
      </c>
      <c r="G6167" s="26">
        <v>11.0</v>
      </c>
      <c r="I6167" s="26" t="s">
        <v>883</v>
      </c>
      <c r="J6167" s="25" t="str">
        <f t="shared" si="64"/>
        <v>No</v>
      </c>
      <c r="K6167" s="25" t="str">
        <f t="shared" si="65"/>
        <v/>
      </c>
      <c r="L6167" s="25" t="str">
        <f t="shared" si="66"/>
        <v/>
      </c>
      <c r="M6167" s="25"/>
      <c r="O6167" s="25"/>
    </row>
    <row r="6168" ht="15.75" customHeight="1">
      <c r="A6168" s="25" t="str">
        <f>IFERROR(__xludf.DUMMYFUNCTION("IF(B6168="""","""",RIGHT(REGEXREPLACE(B6168&amp;"""",""[^0-9]"",""""),9))"),"765758919")</f>
        <v>765758919</v>
      </c>
      <c r="B6168" s="52">
        <v>7.65758919E8</v>
      </c>
      <c r="C6168" s="28" t="s">
        <v>6136</v>
      </c>
      <c r="D6168" s="26" t="s">
        <v>82</v>
      </c>
      <c r="E6168" s="31">
        <v>46240.0</v>
      </c>
      <c r="F6168" s="26" t="s">
        <v>46</v>
      </c>
      <c r="G6168" s="26">
        <v>10.0</v>
      </c>
      <c r="I6168" s="26" t="s">
        <v>883</v>
      </c>
      <c r="J6168" s="25" t="str">
        <f t="shared" si="64"/>
        <v>No</v>
      </c>
      <c r="K6168" s="25" t="str">
        <f t="shared" si="65"/>
        <v/>
      </c>
      <c r="L6168" s="25" t="str">
        <f t="shared" si="66"/>
        <v/>
      </c>
      <c r="M6168" s="25"/>
      <c r="O6168" s="25"/>
    </row>
    <row r="6169" ht="15.75" customHeight="1">
      <c r="A6169" s="25" t="str">
        <f>IFERROR(__xludf.DUMMYFUNCTION("IF(B6169="""","""",RIGHT(REGEXREPLACE(B6169&amp;"""",""[^0-9]"",""""),9))"),"772617041")</f>
        <v>772617041</v>
      </c>
      <c r="B6169" s="52">
        <v>7.72617041E8</v>
      </c>
      <c r="C6169" s="28" t="s">
        <v>6137</v>
      </c>
      <c r="D6169" s="26" t="s">
        <v>49</v>
      </c>
      <c r="E6169" s="31">
        <v>46240.0</v>
      </c>
      <c r="F6169" s="26" t="s">
        <v>46</v>
      </c>
      <c r="H6169" s="26" t="s">
        <v>6138</v>
      </c>
      <c r="I6169" s="26" t="s">
        <v>883</v>
      </c>
      <c r="J6169" s="25" t="str">
        <f t="shared" si="64"/>
        <v>No</v>
      </c>
      <c r="K6169" s="25" t="str">
        <f t="shared" si="65"/>
        <v/>
      </c>
      <c r="L6169" s="25" t="str">
        <f t="shared" si="66"/>
        <v/>
      </c>
      <c r="M6169" s="25"/>
      <c r="O6169" s="25"/>
    </row>
    <row r="6170" ht="15.75" customHeight="1">
      <c r="A6170" s="25" t="str">
        <f>IFERROR(__xludf.DUMMYFUNCTION("IF(B6170="""","""",RIGHT(REGEXREPLACE(B6170&amp;"""",""[^0-9]"",""""),9))"),"771188653")</f>
        <v>771188653</v>
      </c>
      <c r="B6170" s="52">
        <v>7.71188653E8</v>
      </c>
      <c r="C6170" s="28" t="s">
        <v>6139</v>
      </c>
      <c r="D6170" s="26" t="s">
        <v>45</v>
      </c>
      <c r="E6170" s="31">
        <v>46240.0</v>
      </c>
      <c r="F6170" s="26" t="s">
        <v>41</v>
      </c>
      <c r="I6170" s="26" t="s">
        <v>883</v>
      </c>
      <c r="J6170" s="25" t="str">
        <f t="shared" si="64"/>
        <v>No</v>
      </c>
      <c r="K6170" s="25" t="str">
        <f t="shared" si="65"/>
        <v/>
      </c>
      <c r="L6170" s="25" t="str">
        <f t="shared" si="66"/>
        <v/>
      </c>
      <c r="M6170" s="25"/>
      <c r="O6170" s="25"/>
    </row>
    <row r="6171" ht="15.75" customHeight="1">
      <c r="A6171" s="25" t="str">
        <f>IFERROR(__xludf.DUMMYFUNCTION("IF(B6171="""","""",RIGHT(REGEXREPLACE(B6171&amp;"""",""[^0-9]"",""""),9))"),"770539750")</f>
        <v>770539750</v>
      </c>
      <c r="B6171" s="52">
        <v>7.7053975E8</v>
      </c>
      <c r="C6171" s="28" t="s">
        <v>6140</v>
      </c>
      <c r="D6171" s="26" t="s">
        <v>64</v>
      </c>
      <c r="E6171" s="31">
        <v>46240.0</v>
      </c>
      <c r="F6171" s="26" t="s">
        <v>46</v>
      </c>
      <c r="G6171" s="26">
        <v>7.0</v>
      </c>
      <c r="I6171" s="26" t="s">
        <v>883</v>
      </c>
      <c r="J6171" s="25" t="str">
        <f t="shared" si="64"/>
        <v>No</v>
      </c>
      <c r="K6171" s="25" t="str">
        <f t="shared" si="65"/>
        <v/>
      </c>
      <c r="L6171" s="25" t="str">
        <f t="shared" si="66"/>
        <v/>
      </c>
      <c r="M6171" s="25"/>
      <c r="O6171" s="25"/>
    </row>
    <row r="6172" ht="15.75" customHeight="1">
      <c r="A6172" s="25" t="str">
        <f>IFERROR(__xludf.DUMMYFUNCTION("IF(B6172="""","""",RIGHT(REGEXREPLACE(B6172&amp;"""",""[^0-9]"",""""),9))"),"774398623")</f>
        <v>774398623</v>
      </c>
      <c r="B6172" s="52">
        <v>7.74398623E8</v>
      </c>
      <c r="C6172" s="28" t="s">
        <v>6141</v>
      </c>
      <c r="D6172" s="26" t="s">
        <v>49</v>
      </c>
      <c r="E6172" s="31">
        <v>46240.0</v>
      </c>
      <c r="F6172" s="26" t="s">
        <v>46</v>
      </c>
      <c r="G6172" s="26">
        <v>11.0</v>
      </c>
      <c r="H6172" s="26" t="s">
        <v>4817</v>
      </c>
      <c r="I6172" s="26" t="s">
        <v>883</v>
      </c>
      <c r="J6172" s="25" t="str">
        <f t="shared" si="64"/>
        <v>No</v>
      </c>
      <c r="K6172" s="25" t="str">
        <f t="shared" si="65"/>
        <v/>
      </c>
      <c r="L6172" s="25" t="str">
        <f t="shared" si="66"/>
        <v/>
      </c>
      <c r="M6172" s="25"/>
      <c r="O6172" s="25"/>
    </row>
    <row r="6173" ht="15.75" customHeight="1">
      <c r="A6173" s="25" t="str">
        <f>IFERROR(__xludf.DUMMYFUNCTION("IF(B6173="""","""",RIGHT(REGEXREPLACE(B6173&amp;"""",""[^0-9]"",""""),9))"),"762911703")</f>
        <v>762911703</v>
      </c>
      <c r="B6173" s="52">
        <v>7.62911703E8</v>
      </c>
      <c r="C6173" s="28" t="s">
        <v>6142</v>
      </c>
      <c r="D6173" s="26" t="s">
        <v>82</v>
      </c>
      <c r="E6173" s="31">
        <v>46240.0</v>
      </c>
      <c r="F6173" s="26" t="s">
        <v>46</v>
      </c>
      <c r="G6173" s="26">
        <v>7.0</v>
      </c>
      <c r="I6173" s="26" t="s">
        <v>883</v>
      </c>
      <c r="J6173" s="25" t="str">
        <f t="shared" si="64"/>
        <v>No</v>
      </c>
      <c r="K6173" s="25" t="str">
        <f t="shared" si="65"/>
        <v/>
      </c>
      <c r="L6173" s="25" t="str">
        <f t="shared" si="66"/>
        <v/>
      </c>
      <c r="M6173" s="25"/>
      <c r="O6173" s="25"/>
    </row>
    <row r="6174" ht="15.75" customHeight="1">
      <c r="A6174" s="25" t="str">
        <f>IFERROR(__xludf.DUMMYFUNCTION("IF(B6174="""","""",RIGHT(REGEXREPLACE(B6174&amp;"""",""[^0-9]"",""""),9))"),"777818169")</f>
        <v>777818169</v>
      </c>
      <c r="B6174" s="52">
        <v>7.77818169E8</v>
      </c>
      <c r="C6174" s="28" t="s">
        <v>6143</v>
      </c>
      <c r="D6174" s="26" t="s">
        <v>56</v>
      </c>
      <c r="E6174" s="31">
        <v>46240.0</v>
      </c>
      <c r="F6174" s="26" t="s">
        <v>41</v>
      </c>
      <c r="I6174" s="26" t="s">
        <v>883</v>
      </c>
      <c r="J6174" s="25" t="str">
        <f t="shared" si="64"/>
        <v>No</v>
      </c>
      <c r="K6174" s="25" t="str">
        <f t="shared" si="65"/>
        <v/>
      </c>
      <c r="L6174" s="25" t="str">
        <f t="shared" si="66"/>
        <v/>
      </c>
      <c r="M6174" s="25"/>
      <c r="O6174" s="25"/>
    </row>
    <row r="6175" ht="15.75" customHeight="1">
      <c r="A6175" s="25" t="str">
        <f>IFERROR(__xludf.DUMMYFUNCTION("IF(B6175="""","""",RIGHT(REGEXREPLACE(B6175&amp;"""",""[^0-9]"",""""),9))"),"762832676")</f>
        <v>762832676</v>
      </c>
      <c r="B6175" s="52">
        <v>7.62832676E8</v>
      </c>
      <c r="C6175" s="28" t="s">
        <v>6144</v>
      </c>
      <c r="D6175" s="26" t="s">
        <v>45</v>
      </c>
      <c r="E6175" s="31">
        <v>46240.0</v>
      </c>
      <c r="F6175" s="26" t="s">
        <v>41</v>
      </c>
      <c r="G6175" s="26">
        <v>6.0</v>
      </c>
      <c r="I6175" s="26" t="s">
        <v>883</v>
      </c>
      <c r="J6175" s="25" t="str">
        <f t="shared" si="64"/>
        <v>No</v>
      </c>
      <c r="K6175" s="25" t="str">
        <f t="shared" si="65"/>
        <v/>
      </c>
      <c r="L6175" s="25" t="str">
        <f t="shared" si="66"/>
        <v/>
      </c>
      <c r="M6175" s="25"/>
      <c r="O6175" s="26" t="s">
        <v>51</v>
      </c>
    </row>
    <row r="6176" ht="15.75" customHeight="1">
      <c r="A6176" s="25" t="str">
        <f>IFERROR(__xludf.DUMMYFUNCTION("IF(B6176="""","""",RIGHT(REGEXREPLACE(B6176&amp;"""",""[^0-9]"",""""),9))"),"767912181")</f>
        <v>767912181</v>
      </c>
      <c r="B6176" s="52">
        <v>7.67912181E8</v>
      </c>
      <c r="C6176" s="28" t="s">
        <v>6145</v>
      </c>
      <c r="D6176" s="26" t="s">
        <v>49</v>
      </c>
      <c r="E6176" s="31">
        <v>46240.0</v>
      </c>
      <c r="F6176" s="26" t="s">
        <v>41</v>
      </c>
      <c r="G6176" s="26">
        <v>5.0</v>
      </c>
      <c r="H6176" s="26" t="s">
        <v>6146</v>
      </c>
      <c r="I6176" s="26" t="s">
        <v>883</v>
      </c>
      <c r="J6176" s="25" t="str">
        <f t="shared" si="64"/>
        <v>No</v>
      </c>
      <c r="K6176" s="25" t="str">
        <f t="shared" si="65"/>
        <v/>
      </c>
      <c r="L6176" s="25" t="str">
        <f t="shared" si="66"/>
        <v/>
      </c>
      <c r="M6176" s="25"/>
      <c r="O6176" s="25"/>
    </row>
    <row r="6177" ht="15.75" customHeight="1">
      <c r="A6177" s="25" t="str">
        <f>IFERROR(__xludf.DUMMYFUNCTION("IF(B6177="""","""",RIGHT(REGEXREPLACE(B6177&amp;"""",""[^0-9]"",""""),9))"),"778402668")</f>
        <v>778402668</v>
      </c>
      <c r="B6177" s="52">
        <v>7.78402668E8</v>
      </c>
      <c r="C6177" s="28" t="s">
        <v>6147</v>
      </c>
      <c r="D6177" s="26" t="s">
        <v>56</v>
      </c>
      <c r="E6177" s="31">
        <v>46240.0</v>
      </c>
      <c r="F6177" s="26" t="s">
        <v>46</v>
      </c>
      <c r="H6177" s="26" t="s">
        <v>6148</v>
      </c>
      <c r="I6177" s="26" t="s">
        <v>883</v>
      </c>
      <c r="J6177" s="25" t="str">
        <f t="shared" si="64"/>
        <v>No</v>
      </c>
      <c r="K6177" s="25" t="str">
        <f t="shared" si="65"/>
        <v/>
      </c>
      <c r="L6177" s="25" t="str">
        <f t="shared" si="66"/>
        <v/>
      </c>
      <c r="M6177" s="25"/>
      <c r="O6177" s="25"/>
    </row>
    <row r="6178" ht="15.75" customHeight="1">
      <c r="A6178" s="25" t="str">
        <f>IFERROR(__xludf.DUMMYFUNCTION("IF(B6178="""","""",RIGHT(REGEXREPLACE(B6178&amp;"""",""[^0-9]"",""""),9))"),"767247960")</f>
        <v>767247960</v>
      </c>
      <c r="B6178" s="52">
        <v>7.6724796E8</v>
      </c>
      <c r="C6178" s="28" t="s">
        <v>6149</v>
      </c>
      <c r="D6178" s="26" t="s">
        <v>64</v>
      </c>
      <c r="E6178" s="31">
        <v>46240.0</v>
      </c>
      <c r="F6178" s="26" t="s">
        <v>46</v>
      </c>
      <c r="G6178" s="26">
        <v>6.0</v>
      </c>
      <c r="I6178" s="26" t="s">
        <v>883</v>
      </c>
      <c r="J6178" s="25" t="str">
        <f t="shared" si="64"/>
        <v>No</v>
      </c>
      <c r="K6178" s="25" t="str">
        <f t="shared" si="65"/>
        <v/>
      </c>
      <c r="L6178" s="25" t="str">
        <f t="shared" si="66"/>
        <v/>
      </c>
      <c r="M6178" s="25"/>
      <c r="O6178" s="25"/>
    </row>
    <row r="6179" ht="15.75" customHeight="1">
      <c r="A6179" s="25" t="str">
        <f>IFERROR(__xludf.DUMMYFUNCTION("IF(B6179="""","""",RIGHT(REGEXREPLACE(B6179&amp;"""",""[^0-9]"",""""),9))"),"760059238")</f>
        <v>760059238</v>
      </c>
      <c r="B6179" s="52">
        <v>7.60059238E8</v>
      </c>
      <c r="C6179" s="28" t="s">
        <v>6150</v>
      </c>
      <c r="D6179" s="26" t="s">
        <v>82</v>
      </c>
      <c r="E6179" s="31">
        <v>46240.0</v>
      </c>
      <c r="F6179" s="26" t="s">
        <v>125</v>
      </c>
      <c r="G6179" s="26">
        <v>11.0</v>
      </c>
      <c r="I6179" s="26" t="s">
        <v>883</v>
      </c>
      <c r="J6179" s="25" t="str">
        <f t="shared" si="64"/>
        <v>No</v>
      </c>
      <c r="K6179" s="25" t="str">
        <f t="shared" si="65"/>
        <v/>
      </c>
      <c r="L6179" s="25" t="str">
        <f t="shared" si="66"/>
        <v/>
      </c>
      <c r="M6179" s="25"/>
      <c r="O6179" s="25"/>
    </row>
    <row r="6180" ht="15.75" customHeight="1">
      <c r="A6180" s="25" t="str">
        <f>IFERROR(__xludf.DUMMYFUNCTION("IF(B6180="""","""",RIGHT(REGEXREPLACE(B6180&amp;"""",""[^0-9]"",""""),9))"),"743794088")</f>
        <v>743794088</v>
      </c>
      <c r="B6180" s="52">
        <v>7.43794088E8</v>
      </c>
      <c r="C6180" s="28" t="s">
        <v>6151</v>
      </c>
      <c r="D6180" s="26" t="s">
        <v>56</v>
      </c>
      <c r="E6180" s="31">
        <v>46240.0</v>
      </c>
      <c r="F6180" s="26" t="s">
        <v>205</v>
      </c>
      <c r="G6180" s="26">
        <v>7.0</v>
      </c>
      <c r="I6180" s="26" t="s">
        <v>883</v>
      </c>
      <c r="J6180" s="25" t="str">
        <f t="shared" si="64"/>
        <v>No</v>
      </c>
      <c r="K6180" s="25" t="str">
        <f t="shared" si="65"/>
        <v/>
      </c>
      <c r="L6180" s="25" t="str">
        <f t="shared" si="66"/>
        <v/>
      </c>
      <c r="M6180" s="25"/>
      <c r="O6180" s="25"/>
    </row>
    <row r="6181" ht="15.75" customHeight="1">
      <c r="A6181" s="25" t="str">
        <f>IFERROR(__xludf.DUMMYFUNCTION("IF(B6181="""","""",RIGHT(REGEXREPLACE(B6181&amp;"""",""[^0-9]"",""""),9))"),"752433522")</f>
        <v>752433522</v>
      </c>
      <c r="B6181" s="52">
        <v>7.52433522E8</v>
      </c>
      <c r="C6181" s="28" t="s">
        <v>6152</v>
      </c>
      <c r="D6181" s="26" t="s">
        <v>49</v>
      </c>
      <c r="E6181" s="31">
        <v>46240.0</v>
      </c>
      <c r="F6181" s="26" t="s">
        <v>46</v>
      </c>
      <c r="G6181" s="26">
        <v>7.0</v>
      </c>
      <c r="H6181" s="26" t="s">
        <v>6153</v>
      </c>
      <c r="I6181" s="26" t="s">
        <v>883</v>
      </c>
      <c r="J6181" s="25" t="str">
        <f t="shared" si="64"/>
        <v>No</v>
      </c>
      <c r="K6181" s="25" t="str">
        <f t="shared" si="65"/>
        <v/>
      </c>
      <c r="L6181" s="25" t="str">
        <f t="shared" si="66"/>
        <v/>
      </c>
      <c r="M6181" s="25"/>
      <c r="O6181" s="25"/>
    </row>
    <row r="6182" ht="15.75" customHeight="1">
      <c r="A6182" s="25" t="str">
        <f>IFERROR(__xludf.DUMMYFUNCTION("IF(B6182="""","""",RIGHT(REGEXREPLACE(B6182&amp;"""",""[^0-9]"",""""),9))"),"778754798")</f>
        <v>778754798</v>
      </c>
      <c r="B6182" s="52">
        <v>7.78754798E8</v>
      </c>
      <c r="C6182" s="28" t="s">
        <v>6154</v>
      </c>
      <c r="D6182" s="26" t="s">
        <v>82</v>
      </c>
      <c r="E6182" s="31">
        <v>46240.0</v>
      </c>
      <c r="F6182" s="26" t="s">
        <v>46</v>
      </c>
      <c r="G6182" s="26">
        <v>7.0</v>
      </c>
      <c r="I6182" s="26" t="s">
        <v>883</v>
      </c>
      <c r="J6182" s="25" t="str">
        <f t="shared" si="64"/>
        <v>No</v>
      </c>
      <c r="K6182" s="25" t="str">
        <f t="shared" si="65"/>
        <v/>
      </c>
      <c r="L6182" s="25" t="str">
        <f t="shared" si="66"/>
        <v/>
      </c>
      <c r="M6182" s="25"/>
      <c r="O6182" s="25"/>
    </row>
    <row r="6183" ht="15.75" customHeight="1">
      <c r="A6183" s="25" t="str">
        <f>IFERROR(__xludf.DUMMYFUNCTION("IF(B6183="""","""",RIGHT(REGEXREPLACE(B6183&amp;"""",""[^0-9]"",""""),9))"),"712438087")</f>
        <v>712438087</v>
      </c>
      <c r="B6183" s="52">
        <v>7.12438087E8</v>
      </c>
      <c r="C6183" s="28" t="s">
        <v>6155</v>
      </c>
      <c r="D6183" s="26" t="s">
        <v>64</v>
      </c>
      <c r="E6183" s="31">
        <v>46240.0</v>
      </c>
      <c r="F6183" s="26" t="s">
        <v>46</v>
      </c>
      <c r="G6183" s="26">
        <v>7.0</v>
      </c>
      <c r="I6183" s="26" t="s">
        <v>883</v>
      </c>
      <c r="J6183" s="25" t="str">
        <f t="shared" si="64"/>
        <v>No</v>
      </c>
      <c r="K6183" s="25" t="str">
        <f t="shared" si="65"/>
        <v/>
      </c>
      <c r="L6183" s="25" t="str">
        <f t="shared" si="66"/>
        <v/>
      </c>
      <c r="M6183" s="25"/>
      <c r="O6183" s="25"/>
    </row>
    <row r="6184" ht="15.75" customHeight="1">
      <c r="A6184" s="25" t="str">
        <f>IFERROR(__xludf.DUMMYFUNCTION("IF(B6184="""","""",RIGHT(REGEXREPLACE(B6184&amp;"""",""[^0-9]"",""""),9))"),"705275048")</f>
        <v>705275048</v>
      </c>
      <c r="B6184" s="52">
        <v>7.05275048E8</v>
      </c>
      <c r="C6184" s="28" t="s">
        <v>6156</v>
      </c>
      <c r="D6184" s="26" t="s">
        <v>56</v>
      </c>
      <c r="E6184" s="31">
        <v>46240.0</v>
      </c>
      <c r="F6184" s="26" t="s">
        <v>41</v>
      </c>
      <c r="I6184" s="26" t="s">
        <v>883</v>
      </c>
      <c r="J6184" s="25" t="str">
        <f t="shared" si="64"/>
        <v>No</v>
      </c>
      <c r="K6184" s="25" t="str">
        <f t="shared" si="65"/>
        <v/>
      </c>
      <c r="L6184" s="25" t="str">
        <f t="shared" si="66"/>
        <v/>
      </c>
      <c r="M6184" s="25"/>
      <c r="O6184" s="25"/>
    </row>
    <row r="6185" ht="15.75" customHeight="1">
      <c r="A6185" s="25" t="str">
        <f>IFERROR(__xludf.DUMMYFUNCTION("IF(B6185="""","""",RIGHT(REGEXREPLACE(B6185&amp;"""",""[^0-9]"",""""),9))"),"773046180")</f>
        <v>773046180</v>
      </c>
      <c r="B6185" s="52">
        <v>7.7304618E8</v>
      </c>
      <c r="C6185" s="28" t="s">
        <v>6157</v>
      </c>
      <c r="D6185" s="26" t="s">
        <v>56</v>
      </c>
      <c r="E6185" s="31">
        <v>46240.0</v>
      </c>
      <c r="F6185" s="26" t="s">
        <v>46</v>
      </c>
      <c r="G6185" s="26">
        <v>6.0</v>
      </c>
      <c r="I6185" s="26" t="s">
        <v>883</v>
      </c>
      <c r="J6185" s="25" t="str">
        <f t="shared" si="64"/>
        <v>No</v>
      </c>
      <c r="K6185" s="25" t="str">
        <f t="shared" si="65"/>
        <v/>
      </c>
      <c r="L6185" s="25" t="str">
        <f t="shared" si="66"/>
        <v/>
      </c>
      <c r="M6185" s="25"/>
      <c r="O6185" s="25"/>
    </row>
    <row r="6186" ht="15.75" customHeight="1">
      <c r="A6186" s="25" t="str">
        <f>IFERROR(__xludf.DUMMYFUNCTION("IF(B6186="""","""",RIGHT(REGEXREPLACE(B6186&amp;"""",""[^0-9]"",""""),9))"),"763155972")</f>
        <v>763155972</v>
      </c>
      <c r="B6186" s="52">
        <v>7.63155972E8</v>
      </c>
      <c r="C6186" s="28" t="s">
        <v>6158</v>
      </c>
      <c r="D6186" s="26" t="s">
        <v>49</v>
      </c>
      <c r="E6186" s="31">
        <v>46240.0</v>
      </c>
      <c r="F6186" s="26" t="s">
        <v>41</v>
      </c>
      <c r="G6186" s="26">
        <v>7.0</v>
      </c>
      <c r="I6186" s="26" t="s">
        <v>883</v>
      </c>
      <c r="J6186" s="25" t="str">
        <f t="shared" si="64"/>
        <v>No</v>
      </c>
      <c r="K6186" s="25" t="str">
        <f t="shared" si="65"/>
        <v/>
      </c>
      <c r="L6186" s="25" t="str">
        <f t="shared" si="66"/>
        <v/>
      </c>
      <c r="M6186" s="25"/>
      <c r="O6186" s="25"/>
    </row>
    <row r="6187" ht="15.75" customHeight="1">
      <c r="A6187" s="25" t="str">
        <f>IFERROR(__xludf.DUMMYFUNCTION("IF(B6187="""","""",RIGHT(REGEXREPLACE(B6187&amp;"""",""[^0-9]"",""""),9))"),"770579337")</f>
        <v>770579337</v>
      </c>
      <c r="B6187" s="52">
        <v>7.70579337E8</v>
      </c>
      <c r="C6187" s="28" t="s">
        <v>6159</v>
      </c>
      <c r="D6187" s="26" t="s">
        <v>82</v>
      </c>
      <c r="E6187" s="31">
        <v>46240.0</v>
      </c>
      <c r="F6187" s="26" t="s">
        <v>205</v>
      </c>
      <c r="G6187" s="26">
        <v>9.0</v>
      </c>
      <c r="I6187" s="26" t="s">
        <v>883</v>
      </c>
      <c r="J6187" s="25" t="str">
        <f t="shared" si="64"/>
        <v>No</v>
      </c>
      <c r="K6187" s="25" t="str">
        <f t="shared" si="65"/>
        <v/>
      </c>
      <c r="L6187" s="25" t="str">
        <f t="shared" si="66"/>
        <v/>
      </c>
      <c r="M6187" s="25"/>
      <c r="O6187" s="25"/>
    </row>
    <row r="6188" ht="15.75" customHeight="1">
      <c r="A6188" s="25" t="str">
        <f>IFERROR(__xludf.DUMMYFUNCTION("IF(B6188="""","""",RIGHT(REGEXREPLACE(B6188&amp;"""",""[^0-9]"",""""),9))"),"782089271")</f>
        <v>782089271</v>
      </c>
      <c r="B6188" s="52">
        <v>7.82089271E8</v>
      </c>
      <c r="C6188" s="28" t="s">
        <v>6160</v>
      </c>
      <c r="D6188" s="26" t="s">
        <v>64</v>
      </c>
      <c r="E6188" s="31">
        <v>46240.0</v>
      </c>
      <c r="F6188" s="26" t="s">
        <v>46</v>
      </c>
      <c r="G6188" s="26">
        <v>10.0</v>
      </c>
      <c r="H6188" s="26" t="s">
        <v>6161</v>
      </c>
      <c r="I6188" s="26" t="s">
        <v>883</v>
      </c>
      <c r="J6188" s="25" t="str">
        <f t="shared" si="64"/>
        <v>No</v>
      </c>
      <c r="K6188" s="25" t="str">
        <f t="shared" si="65"/>
        <v/>
      </c>
      <c r="L6188" s="25" t="str">
        <f t="shared" si="66"/>
        <v/>
      </c>
      <c r="M6188" s="25"/>
      <c r="O6188" s="25"/>
    </row>
    <row r="6189" ht="15.75" customHeight="1">
      <c r="A6189" s="25" t="str">
        <f>IFERROR(__xludf.DUMMYFUNCTION("IF(B6189="""","""",RIGHT(REGEXREPLACE(B6189&amp;"""",""[^0-9]"",""""),9))"),"760748652")</f>
        <v>760748652</v>
      </c>
      <c r="B6189" s="52">
        <v>7.60748652E8</v>
      </c>
      <c r="C6189" s="28" t="s">
        <v>6162</v>
      </c>
      <c r="D6189" s="26" t="s">
        <v>49</v>
      </c>
      <c r="E6189" s="31">
        <v>46240.0</v>
      </c>
      <c r="F6189" s="26" t="s">
        <v>46</v>
      </c>
      <c r="G6189" s="26">
        <v>6.0</v>
      </c>
      <c r="I6189" s="26" t="s">
        <v>883</v>
      </c>
      <c r="J6189" s="25" t="str">
        <f t="shared" si="64"/>
        <v>No</v>
      </c>
      <c r="K6189" s="25" t="str">
        <f t="shared" si="65"/>
        <v/>
      </c>
      <c r="L6189" s="25" t="str">
        <f t="shared" si="66"/>
        <v/>
      </c>
      <c r="M6189" s="25"/>
      <c r="O6189" s="25"/>
    </row>
    <row r="6190" ht="15.75" customHeight="1">
      <c r="A6190" s="25" t="str">
        <f>IFERROR(__xludf.DUMMYFUNCTION("IF(B6190="""","""",RIGHT(REGEXREPLACE(B6190&amp;"""",""[^0-9]"",""""),9))"),"715384747")</f>
        <v>715384747</v>
      </c>
      <c r="B6190" s="52">
        <v>7.15384747E8</v>
      </c>
      <c r="C6190" s="28" t="s">
        <v>6163</v>
      </c>
      <c r="D6190" s="26" t="s">
        <v>82</v>
      </c>
      <c r="E6190" s="31">
        <v>46240.0</v>
      </c>
      <c r="F6190" s="26" t="s">
        <v>46</v>
      </c>
      <c r="G6190" s="26">
        <v>7.0</v>
      </c>
      <c r="I6190" s="26" t="s">
        <v>883</v>
      </c>
      <c r="J6190" s="25" t="str">
        <f t="shared" si="64"/>
        <v>No</v>
      </c>
      <c r="K6190" s="25" t="str">
        <f t="shared" si="65"/>
        <v/>
      </c>
      <c r="L6190" s="25" t="str">
        <f t="shared" si="66"/>
        <v/>
      </c>
      <c r="M6190" s="25"/>
      <c r="O6190" s="26" t="s">
        <v>51</v>
      </c>
    </row>
    <row r="6191" ht="15.75" customHeight="1">
      <c r="A6191" s="25" t="str">
        <f>IFERROR(__xludf.DUMMYFUNCTION("IF(B6191="""","""",RIGHT(REGEXREPLACE(B6191&amp;"""",""[^0-9]"",""""),9))"),"741455853")</f>
        <v>741455853</v>
      </c>
      <c r="B6191" s="52">
        <v>7.41455853E8</v>
      </c>
      <c r="C6191" s="28" t="s">
        <v>6164</v>
      </c>
      <c r="D6191" s="26" t="s">
        <v>64</v>
      </c>
      <c r="E6191" s="31">
        <v>46240.0</v>
      </c>
      <c r="F6191" s="26" t="s">
        <v>41</v>
      </c>
      <c r="G6191" s="26">
        <v>7.0</v>
      </c>
      <c r="I6191" s="26" t="s">
        <v>883</v>
      </c>
      <c r="J6191" s="25" t="str">
        <f t="shared" si="64"/>
        <v>No</v>
      </c>
      <c r="K6191" s="25" t="str">
        <f t="shared" si="65"/>
        <v/>
      </c>
      <c r="L6191" s="25" t="str">
        <f t="shared" si="66"/>
        <v/>
      </c>
      <c r="M6191" s="25"/>
      <c r="O6191" s="25"/>
    </row>
    <row r="6192" ht="15.75" customHeight="1">
      <c r="A6192" s="25" t="str">
        <f>IFERROR(__xludf.DUMMYFUNCTION("IF(B6192="""","""",RIGHT(REGEXREPLACE(B6192&amp;"""",""[^0-9]"",""""),9))"),"753404727")</f>
        <v>753404727</v>
      </c>
      <c r="B6192" s="52">
        <v>7.53404727E8</v>
      </c>
      <c r="C6192" s="28" t="s">
        <v>6165</v>
      </c>
      <c r="D6192" s="26" t="s">
        <v>56</v>
      </c>
      <c r="E6192" s="31">
        <v>46240.0</v>
      </c>
      <c r="F6192" s="26" t="s">
        <v>205</v>
      </c>
      <c r="I6192" s="26" t="s">
        <v>883</v>
      </c>
      <c r="J6192" s="25" t="str">
        <f t="shared" si="64"/>
        <v>No</v>
      </c>
      <c r="K6192" s="25" t="str">
        <f t="shared" si="65"/>
        <v/>
      </c>
      <c r="L6192" s="25" t="str">
        <f t="shared" si="66"/>
        <v/>
      </c>
      <c r="M6192" s="25"/>
      <c r="O6192" s="25"/>
    </row>
    <row r="6193" ht="15.75" customHeight="1">
      <c r="A6193" s="25" t="str">
        <f>IFERROR(__xludf.DUMMYFUNCTION("IF(B6193="""","""",RIGHT(REGEXREPLACE(B6193&amp;"""",""[^0-9]"",""""),9))"),"717155414")</f>
        <v>717155414</v>
      </c>
      <c r="B6193" s="52">
        <v>7.17155414E8</v>
      </c>
      <c r="C6193" s="28" t="s">
        <v>6166</v>
      </c>
      <c r="D6193" s="26" t="s">
        <v>64</v>
      </c>
      <c r="E6193" s="31">
        <v>46240.0</v>
      </c>
      <c r="F6193" s="26" t="s">
        <v>46</v>
      </c>
      <c r="G6193" s="26">
        <v>9.0</v>
      </c>
      <c r="H6193" s="26" t="s">
        <v>78</v>
      </c>
      <c r="I6193" s="26" t="s">
        <v>883</v>
      </c>
      <c r="J6193" s="25" t="str">
        <f t="shared" si="64"/>
        <v>No</v>
      </c>
      <c r="K6193" s="25" t="str">
        <f t="shared" si="65"/>
        <v/>
      </c>
      <c r="L6193" s="25" t="str">
        <f t="shared" si="66"/>
        <v/>
      </c>
      <c r="M6193" s="25"/>
      <c r="O6193" s="25"/>
    </row>
    <row r="6194" ht="15.75" customHeight="1">
      <c r="A6194" s="25" t="str">
        <f>IFERROR(__xludf.DUMMYFUNCTION("IF(B6194="""","""",RIGHT(REGEXREPLACE(B6194&amp;"""",""[^0-9]"",""""),9))"),"776618113")</f>
        <v>776618113</v>
      </c>
      <c r="B6194" s="52">
        <v>7.76618113E8</v>
      </c>
      <c r="C6194" s="28" t="s">
        <v>6167</v>
      </c>
      <c r="D6194" s="26" t="s">
        <v>56</v>
      </c>
      <c r="E6194" s="31">
        <v>46240.0</v>
      </c>
      <c r="F6194" s="26" t="s">
        <v>41</v>
      </c>
      <c r="G6194" s="26">
        <v>7.0</v>
      </c>
      <c r="I6194" s="26" t="s">
        <v>883</v>
      </c>
      <c r="J6194" s="25" t="str">
        <f t="shared" si="64"/>
        <v>No</v>
      </c>
      <c r="K6194" s="25" t="str">
        <f t="shared" si="65"/>
        <v/>
      </c>
      <c r="L6194" s="25" t="str">
        <f t="shared" si="66"/>
        <v/>
      </c>
      <c r="M6194" s="25"/>
      <c r="O6194" s="25"/>
    </row>
    <row r="6195" ht="15.75" customHeight="1">
      <c r="A6195" s="25" t="str">
        <f>IFERROR(__xludf.DUMMYFUNCTION("IF(B6195="""","""",RIGHT(REGEXREPLACE(B6195&amp;"""",""[^0-9]"",""""),9))"),"769364310")</f>
        <v>769364310</v>
      </c>
      <c r="B6195" s="52">
        <v>7.6936431E8</v>
      </c>
      <c r="C6195" s="28" t="s">
        <v>6168</v>
      </c>
      <c r="D6195" s="26" t="s">
        <v>64</v>
      </c>
      <c r="E6195" s="31">
        <v>46240.0</v>
      </c>
      <c r="F6195" s="26" t="s">
        <v>41</v>
      </c>
      <c r="I6195" s="26" t="s">
        <v>883</v>
      </c>
      <c r="J6195" s="25" t="str">
        <f t="shared" si="64"/>
        <v>No</v>
      </c>
      <c r="K6195" s="25" t="str">
        <f t="shared" si="65"/>
        <v/>
      </c>
      <c r="L6195" s="25" t="str">
        <f t="shared" si="66"/>
        <v/>
      </c>
      <c r="M6195" s="25"/>
      <c r="O6195" s="25"/>
    </row>
    <row r="6196" ht="15.75" customHeight="1">
      <c r="A6196" s="25" t="str">
        <f>IFERROR(__xludf.DUMMYFUNCTION("IF(B6196="""","""",RIGHT(REGEXREPLACE(B6196&amp;"""",""[^0-9]"",""""),9))"),"754470686")</f>
        <v>754470686</v>
      </c>
      <c r="B6196" s="52">
        <v>7.54470686E8</v>
      </c>
      <c r="C6196" s="28" t="s">
        <v>6169</v>
      </c>
      <c r="D6196" s="26" t="s">
        <v>49</v>
      </c>
      <c r="E6196" s="31">
        <v>46240.0</v>
      </c>
      <c r="F6196" s="26" t="s">
        <v>46</v>
      </c>
      <c r="G6196" s="26">
        <v>6.0</v>
      </c>
      <c r="I6196" s="26" t="s">
        <v>883</v>
      </c>
      <c r="J6196" s="25" t="str">
        <f t="shared" si="64"/>
        <v>No</v>
      </c>
      <c r="K6196" s="25" t="str">
        <f t="shared" si="65"/>
        <v/>
      </c>
      <c r="L6196" s="25" t="str">
        <f t="shared" si="66"/>
        <v/>
      </c>
      <c r="M6196" s="25"/>
      <c r="O6196" s="25"/>
    </row>
    <row r="6197" ht="15.75" customHeight="1">
      <c r="A6197" s="25" t="str">
        <f>IFERROR(__xludf.DUMMYFUNCTION("IF(B6197="""","""",RIGHT(REGEXREPLACE(B6197&amp;"""",""[^0-9]"",""""),9))"),"776239037")</f>
        <v>776239037</v>
      </c>
      <c r="B6197" s="52">
        <v>7.76239037E8</v>
      </c>
      <c r="C6197" s="28" t="s">
        <v>6170</v>
      </c>
      <c r="D6197" s="26" t="s">
        <v>82</v>
      </c>
      <c r="E6197" s="31">
        <v>46240.0</v>
      </c>
      <c r="F6197" s="26" t="s">
        <v>46</v>
      </c>
      <c r="G6197" s="26">
        <v>7.0</v>
      </c>
      <c r="I6197" s="26" t="s">
        <v>883</v>
      </c>
      <c r="J6197" s="25" t="str">
        <f t="shared" si="64"/>
        <v>No</v>
      </c>
      <c r="K6197" s="25" t="str">
        <f t="shared" si="65"/>
        <v/>
      </c>
      <c r="L6197" s="25" t="str">
        <f t="shared" si="66"/>
        <v/>
      </c>
      <c r="M6197" s="25"/>
      <c r="O6197" s="25"/>
    </row>
    <row r="6198" ht="15.75" customHeight="1">
      <c r="A6198" s="25" t="str">
        <f>IFERROR(__xludf.DUMMYFUNCTION("IF(B6198="""","""",RIGHT(REGEXREPLACE(B6198&amp;"""",""[^0-9]"",""""),9))"),"774190499")</f>
        <v>774190499</v>
      </c>
      <c r="B6198" s="52">
        <v>7.74190499E8</v>
      </c>
      <c r="C6198" s="28" t="s">
        <v>6171</v>
      </c>
      <c r="D6198" s="26" t="s">
        <v>56</v>
      </c>
      <c r="E6198" s="31">
        <v>46240.0</v>
      </c>
      <c r="F6198" s="26" t="s">
        <v>41</v>
      </c>
      <c r="G6198" s="26">
        <v>10.0</v>
      </c>
      <c r="I6198" s="26" t="s">
        <v>883</v>
      </c>
      <c r="J6198" s="25" t="str">
        <f t="shared" si="64"/>
        <v>No</v>
      </c>
      <c r="K6198" s="25" t="str">
        <f t="shared" si="65"/>
        <v/>
      </c>
      <c r="L6198" s="25" t="str">
        <f t="shared" si="66"/>
        <v/>
      </c>
      <c r="M6198" s="25"/>
      <c r="O6198" s="25"/>
    </row>
    <row r="6199" ht="15.75" customHeight="1">
      <c r="A6199" s="25" t="str">
        <f>IFERROR(__xludf.DUMMYFUNCTION("IF(B6199="""","""",RIGHT(REGEXREPLACE(B6199&amp;"""",""[^0-9]"",""""),9))"),"757586351")</f>
        <v>757586351</v>
      </c>
      <c r="B6199" s="52">
        <v>7.57586351E8</v>
      </c>
      <c r="C6199" s="28" t="s">
        <v>6172</v>
      </c>
      <c r="D6199" s="26" t="s">
        <v>64</v>
      </c>
      <c r="E6199" s="31">
        <v>46240.0</v>
      </c>
      <c r="F6199" s="26" t="s">
        <v>41</v>
      </c>
      <c r="I6199" s="26" t="s">
        <v>883</v>
      </c>
      <c r="J6199" s="25" t="str">
        <f t="shared" si="64"/>
        <v>No</v>
      </c>
      <c r="K6199" s="25" t="str">
        <f t="shared" si="65"/>
        <v/>
      </c>
      <c r="L6199" s="25" t="str">
        <f t="shared" si="66"/>
        <v/>
      </c>
      <c r="M6199" s="25"/>
      <c r="O6199" s="25"/>
    </row>
    <row r="6200" ht="15.75" customHeight="1">
      <c r="A6200" s="25" t="str">
        <f>IFERROR(__xludf.DUMMYFUNCTION("IF(B6200="""","""",RIGHT(REGEXREPLACE(B6200&amp;"""",""[^0-9]"",""""),9))"),"742415422")</f>
        <v>742415422</v>
      </c>
      <c r="B6200" s="52">
        <v>7.42415422E8</v>
      </c>
      <c r="C6200" s="28" t="s">
        <v>6173</v>
      </c>
      <c r="D6200" s="26" t="s">
        <v>82</v>
      </c>
      <c r="E6200" s="31">
        <v>46240.0</v>
      </c>
      <c r="F6200" s="26" t="s">
        <v>41</v>
      </c>
      <c r="G6200" s="26">
        <v>8.0</v>
      </c>
      <c r="I6200" s="26" t="s">
        <v>883</v>
      </c>
      <c r="J6200" s="25" t="str">
        <f t="shared" si="64"/>
        <v>No</v>
      </c>
      <c r="K6200" s="25" t="str">
        <f t="shared" si="65"/>
        <v/>
      </c>
      <c r="L6200" s="25" t="str">
        <f t="shared" si="66"/>
        <v/>
      </c>
      <c r="M6200" s="25"/>
      <c r="O6200" s="25"/>
    </row>
    <row r="6201" ht="15.75" customHeight="1">
      <c r="A6201" s="25" t="str">
        <f>IFERROR(__xludf.DUMMYFUNCTION("IF(B6201="""","""",RIGHT(REGEXREPLACE(B6201&amp;"""",""[^0-9]"",""""),9))"),"702603457")</f>
        <v>702603457</v>
      </c>
      <c r="B6201" s="52">
        <v>7.02603457E8</v>
      </c>
      <c r="C6201" s="28" t="s">
        <v>6174</v>
      </c>
      <c r="D6201" s="26" t="s">
        <v>56</v>
      </c>
      <c r="E6201" s="31">
        <v>46240.0</v>
      </c>
      <c r="F6201" s="26" t="s">
        <v>46</v>
      </c>
      <c r="G6201" s="26">
        <v>8.0</v>
      </c>
      <c r="I6201" s="26" t="s">
        <v>883</v>
      </c>
      <c r="J6201" s="25" t="str">
        <f t="shared" si="64"/>
        <v>No</v>
      </c>
      <c r="K6201" s="25" t="str">
        <f t="shared" si="65"/>
        <v/>
      </c>
      <c r="L6201" s="25" t="str">
        <f t="shared" si="66"/>
        <v/>
      </c>
      <c r="M6201" s="25"/>
      <c r="O6201" s="25"/>
    </row>
    <row r="6202" ht="15.75" customHeight="1">
      <c r="A6202" s="25" t="str">
        <f>IFERROR(__xludf.DUMMYFUNCTION("IF(B6202="""","""",RIGHT(REGEXREPLACE(B6202&amp;"""",""[^0-9]"",""""),9))"),"704041034")</f>
        <v>704041034</v>
      </c>
      <c r="B6202" s="52">
        <v>7.04041034E8</v>
      </c>
      <c r="C6202" s="28" t="s">
        <v>4436</v>
      </c>
      <c r="D6202" s="26" t="s">
        <v>64</v>
      </c>
      <c r="E6202" s="31">
        <v>46240.0</v>
      </c>
      <c r="F6202" s="26" t="s">
        <v>41</v>
      </c>
      <c r="G6202" s="26">
        <v>9.0</v>
      </c>
      <c r="I6202" s="26" t="s">
        <v>883</v>
      </c>
      <c r="J6202" s="25" t="str">
        <f t="shared" si="64"/>
        <v>No</v>
      </c>
      <c r="K6202" s="25" t="str">
        <f t="shared" si="65"/>
        <v/>
      </c>
      <c r="L6202" s="25" t="str">
        <f t="shared" si="66"/>
        <v/>
      </c>
      <c r="M6202" s="25"/>
      <c r="O6202" s="26" t="s">
        <v>51</v>
      </c>
    </row>
    <row r="6203" ht="15.75" customHeight="1">
      <c r="A6203" s="25" t="str">
        <f>IFERROR(__xludf.DUMMYFUNCTION("IF(B6203="""","""",RIGHT(REGEXREPLACE(B6203&amp;"""",""[^0-9]"",""""),9))"),"777936919")</f>
        <v>777936919</v>
      </c>
      <c r="B6203" s="52">
        <v>7.77936919E8</v>
      </c>
      <c r="C6203" s="28" t="s">
        <v>6175</v>
      </c>
      <c r="D6203" s="26" t="s">
        <v>49</v>
      </c>
      <c r="E6203" s="31">
        <v>46240.0</v>
      </c>
      <c r="F6203" s="26" t="s">
        <v>46</v>
      </c>
      <c r="G6203" s="26">
        <v>7.0</v>
      </c>
      <c r="H6203" s="26" t="s">
        <v>6176</v>
      </c>
      <c r="I6203" s="26" t="s">
        <v>883</v>
      </c>
      <c r="J6203" s="25" t="str">
        <f t="shared" si="64"/>
        <v>No</v>
      </c>
      <c r="K6203" s="25" t="str">
        <f t="shared" si="65"/>
        <v/>
      </c>
      <c r="L6203" s="25" t="str">
        <f t="shared" si="66"/>
        <v/>
      </c>
      <c r="M6203" s="25"/>
      <c r="O6203" s="25"/>
    </row>
    <row r="6204" ht="15.75" customHeight="1">
      <c r="A6204" s="25" t="str">
        <f>IFERROR(__xludf.DUMMYFUNCTION("IF(B6204="""","""",RIGHT(REGEXREPLACE(B6204&amp;"""",""[^0-9]"",""""),9))"),"719275166")</f>
        <v>719275166</v>
      </c>
      <c r="B6204" s="52">
        <v>7.19275166E8</v>
      </c>
      <c r="C6204" s="28" t="s">
        <v>6177</v>
      </c>
      <c r="D6204" s="26" t="s">
        <v>82</v>
      </c>
      <c r="E6204" s="31">
        <v>46240.0</v>
      </c>
      <c r="F6204" s="26" t="s">
        <v>205</v>
      </c>
      <c r="I6204" s="26" t="s">
        <v>883</v>
      </c>
      <c r="J6204" s="25" t="str">
        <f t="shared" si="64"/>
        <v>No</v>
      </c>
      <c r="K6204" s="25" t="str">
        <f t="shared" si="65"/>
        <v/>
      </c>
      <c r="L6204" s="25" t="str">
        <f t="shared" si="66"/>
        <v/>
      </c>
      <c r="M6204" s="25"/>
      <c r="O6204" s="25"/>
    </row>
    <row r="6205" ht="15.75" customHeight="1">
      <c r="A6205" s="25" t="str">
        <f>IFERROR(__xludf.DUMMYFUNCTION("IF(B6205="""","""",RIGHT(REGEXREPLACE(B6205&amp;"""",""[^0-9]"",""""),9))"),"778220691")</f>
        <v>778220691</v>
      </c>
      <c r="B6205" s="52">
        <v>7.78220691E8</v>
      </c>
      <c r="C6205" s="28" t="s">
        <v>4436</v>
      </c>
      <c r="D6205" s="26" t="s">
        <v>64</v>
      </c>
      <c r="E6205" s="31">
        <v>46240.0</v>
      </c>
      <c r="F6205" s="26" t="s">
        <v>46</v>
      </c>
      <c r="G6205" s="26">
        <v>6.0</v>
      </c>
      <c r="H6205" s="26" t="s">
        <v>78</v>
      </c>
      <c r="I6205" s="26" t="s">
        <v>883</v>
      </c>
      <c r="J6205" s="25" t="str">
        <f t="shared" si="64"/>
        <v>No</v>
      </c>
      <c r="K6205" s="25" t="str">
        <f t="shared" si="65"/>
        <v/>
      </c>
      <c r="L6205" s="25" t="str">
        <f t="shared" si="66"/>
        <v/>
      </c>
      <c r="M6205" s="25"/>
      <c r="O6205" s="25"/>
    </row>
    <row r="6206" ht="15.75" customHeight="1">
      <c r="A6206" s="25" t="str">
        <f>IFERROR(__xludf.DUMMYFUNCTION("IF(B6206="""","""",RIGHT(REGEXREPLACE(B6206&amp;"""",""[^0-9]"",""""),9))"),"757572998")</f>
        <v>757572998</v>
      </c>
      <c r="B6206" s="52">
        <v>7.57572998E8</v>
      </c>
      <c r="C6206" s="28" t="s">
        <v>6178</v>
      </c>
      <c r="D6206" s="26" t="s">
        <v>56</v>
      </c>
      <c r="E6206" s="31">
        <v>46240.0</v>
      </c>
      <c r="F6206" s="26" t="s">
        <v>46</v>
      </c>
      <c r="G6206" s="26">
        <v>7.0</v>
      </c>
      <c r="I6206" s="26" t="s">
        <v>883</v>
      </c>
      <c r="J6206" s="25" t="str">
        <f t="shared" si="64"/>
        <v>No</v>
      </c>
      <c r="K6206" s="25" t="str">
        <f t="shared" si="65"/>
        <v/>
      </c>
      <c r="L6206" s="25" t="str">
        <f t="shared" si="66"/>
        <v/>
      </c>
      <c r="M6206" s="25"/>
      <c r="O6206" s="25"/>
    </row>
    <row r="6207" ht="15.75" customHeight="1">
      <c r="A6207" s="25" t="str">
        <f>IFERROR(__xludf.DUMMYFUNCTION("IF(B6207="""","""",RIGHT(REGEXREPLACE(B6207&amp;"""",""[^0-9]"",""""),9))"),"776451343")</f>
        <v>776451343</v>
      </c>
      <c r="B6207" s="52">
        <v>7.76451343E8</v>
      </c>
      <c r="C6207" s="28" t="s">
        <v>6179</v>
      </c>
      <c r="D6207" s="26" t="s">
        <v>82</v>
      </c>
      <c r="E6207" s="31">
        <v>46240.0</v>
      </c>
      <c r="F6207" s="26" t="s">
        <v>125</v>
      </c>
      <c r="G6207" s="96">
        <v>46180.0</v>
      </c>
      <c r="H6207" s="26" t="s">
        <v>6180</v>
      </c>
      <c r="I6207" s="26" t="s">
        <v>883</v>
      </c>
      <c r="J6207" s="25" t="str">
        <f t="shared" si="64"/>
        <v>No</v>
      </c>
      <c r="K6207" s="25" t="str">
        <f t="shared" si="65"/>
        <v/>
      </c>
      <c r="L6207" s="25" t="str">
        <f t="shared" si="66"/>
        <v/>
      </c>
      <c r="M6207" s="25"/>
      <c r="O6207" s="25"/>
    </row>
    <row r="6208" ht="15.75" customHeight="1">
      <c r="A6208" s="25" t="str">
        <f>IFERROR(__xludf.DUMMYFUNCTION("IF(B6208="""","""",RIGHT(REGEXREPLACE(B6208&amp;"""",""[^0-9]"",""""),9))"),"784907133")</f>
        <v>784907133</v>
      </c>
      <c r="B6208" s="52">
        <v>7.84907133E8</v>
      </c>
      <c r="C6208" s="28" t="s">
        <v>2910</v>
      </c>
      <c r="D6208" s="26" t="s">
        <v>64</v>
      </c>
      <c r="E6208" s="31">
        <v>46240.0</v>
      </c>
      <c r="F6208" s="26" t="s">
        <v>46</v>
      </c>
      <c r="G6208" s="26">
        <v>7.0</v>
      </c>
      <c r="I6208" s="26" t="s">
        <v>883</v>
      </c>
      <c r="J6208" s="25" t="str">
        <f t="shared" si="64"/>
        <v>Yes - see Previous F-Code</v>
      </c>
      <c r="K6208" s="25" t="str">
        <f t="shared" si="65"/>
        <v/>
      </c>
      <c r="L6208" s="25" t="str">
        <f t="shared" si="66"/>
        <v>F72775</v>
      </c>
      <c r="M6208" s="25"/>
      <c r="O6208" s="25"/>
    </row>
    <row r="6209" ht="15.75" customHeight="1">
      <c r="A6209" s="25" t="str">
        <f>IFERROR(__xludf.DUMMYFUNCTION("IF(B6209="""","""",RIGHT(REGEXREPLACE(B6209&amp;"""",""[^0-9]"",""""),9))"),"702622815")</f>
        <v>702622815</v>
      </c>
      <c r="B6209" s="52">
        <v>7.02622815E8</v>
      </c>
      <c r="C6209" s="28" t="s">
        <v>6181</v>
      </c>
      <c r="D6209" s="26" t="s">
        <v>56</v>
      </c>
      <c r="E6209" s="31">
        <v>46240.0</v>
      </c>
      <c r="F6209" s="26" t="s">
        <v>125</v>
      </c>
      <c r="G6209" s="26">
        <v>11.0</v>
      </c>
      <c r="I6209" s="26" t="s">
        <v>883</v>
      </c>
      <c r="J6209" s="25" t="str">
        <f t="shared" si="64"/>
        <v>No</v>
      </c>
      <c r="K6209" s="25" t="str">
        <f t="shared" si="65"/>
        <v/>
      </c>
      <c r="L6209" s="25" t="str">
        <f t="shared" si="66"/>
        <v/>
      </c>
      <c r="M6209" s="25"/>
      <c r="O6209" s="25"/>
    </row>
    <row r="6210" ht="15.75" customHeight="1">
      <c r="A6210" s="25" t="str">
        <f>IFERROR(__xludf.DUMMYFUNCTION("IF(B6210="""","""",RIGHT(REGEXREPLACE(B6210&amp;"""",""[^0-9]"",""""),9))"),"711273407")</f>
        <v>711273407</v>
      </c>
      <c r="B6210" s="52">
        <v>7.11273407E8</v>
      </c>
      <c r="C6210" s="28" t="s">
        <v>6182</v>
      </c>
      <c r="D6210" s="26" t="s">
        <v>49</v>
      </c>
      <c r="E6210" s="31">
        <v>46240.0</v>
      </c>
      <c r="F6210" s="26" t="s">
        <v>46</v>
      </c>
      <c r="G6210" s="26">
        <v>6.0</v>
      </c>
      <c r="I6210" s="26" t="s">
        <v>883</v>
      </c>
      <c r="J6210" s="25" t="str">
        <f t="shared" si="64"/>
        <v>No</v>
      </c>
      <c r="K6210" s="25" t="str">
        <f t="shared" si="65"/>
        <v/>
      </c>
      <c r="L6210" s="25" t="str">
        <f t="shared" si="66"/>
        <v/>
      </c>
      <c r="M6210" s="25"/>
      <c r="O6210" s="25"/>
    </row>
    <row r="6211" ht="15.75" customHeight="1">
      <c r="A6211" s="25" t="str">
        <f>IFERROR(__xludf.DUMMYFUNCTION("IF(B6211="""","""",RIGHT(REGEXREPLACE(B6211&amp;"""",""[^0-9]"",""""),9))"),"778829920")</f>
        <v>778829920</v>
      </c>
      <c r="B6211" s="52">
        <v>7.7882992E8</v>
      </c>
      <c r="C6211" s="28" t="s">
        <v>6183</v>
      </c>
      <c r="D6211" s="26" t="s">
        <v>82</v>
      </c>
      <c r="E6211" s="31">
        <v>46240.0</v>
      </c>
      <c r="F6211" s="26" t="s">
        <v>125</v>
      </c>
      <c r="G6211" s="26">
        <v>6.0</v>
      </c>
      <c r="H6211" s="26" t="s">
        <v>6184</v>
      </c>
      <c r="I6211" s="26" t="s">
        <v>883</v>
      </c>
      <c r="J6211" s="25" t="str">
        <f t="shared" si="64"/>
        <v>No</v>
      </c>
      <c r="K6211" s="25" t="str">
        <f t="shared" si="65"/>
        <v/>
      </c>
      <c r="L6211" s="25" t="str">
        <f t="shared" si="66"/>
        <v/>
      </c>
      <c r="M6211" s="25"/>
      <c r="O6211" s="25"/>
    </row>
    <row r="6212" ht="15.75" customHeight="1">
      <c r="A6212" s="25" t="str">
        <f>IFERROR(__xludf.DUMMYFUNCTION("IF(B6212="""","""",RIGHT(REGEXREPLACE(B6212&amp;"""",""[^0-9]"",""""),9))"),"783134303")</f>
        <v>783134303</v>
      </c>
      <c r="B6212" s="52">
        <v>7.83134303E8</v>
      </c>
      <c r="C6212" s="28" t="s">
        <v>6185</v>
      </c>
      <c r="D6212" s="26" t="s">
        <v>56</v>
      </c>
      <c r="E6212" s="31">
        <v>46240.0</v>
      </c>
      <c r="F6212" s="26" t="s">
        <v>84</v>
      </c>
      <c r="H6212" s="26" t="s">
        <v>140</v>
      </c>
      <c r="I6212" s="26" t="s">
        <v>883</v>
      </c>
      <c r="J6212" s="25" t="str">
        <f t="shared" si="64"/>
        <v>No</v>
      </c>
      <c r="K6212" s="25" t="str">
        <f t="shared" si="65"/>
        <v/>
      </c>
      <c r="L6212" s="25" t="str">
        <f t="shared" si="66"/>
        <v/>
      </c>
      <c r="M6212" s="25"/>
      <c r="O6212" s="25"/>
    </row>
    <row r="6213" ht="15.75" customHeight="1">
      <c r="A6213" s="25" t="str">
        <f>IFERROR(__xludf.DUMMYFUNCTION("IF(B6213="""","""",RIGHT(REGEXREPLACE(B6213&amp;"""",""[^0-9]"",""""),9))"),"771348089")</f>
        <v>771348089</v>
      </c>
      <c r="B6213" s="52">
        <v>7.71348089E8</v>
      </c>
      <c r="C6213" s="28" t="s">
        <v>6186</v>
      </c>
      <c r="D6213" s="26" t="s">
        <v>56</v>
      </c>
      <c r="E6213" s="31">
        <v>46240.0</v>
      </c>
      <c r="F6213" s="26" t="s">
        <v>46</v>
      </c>
      <c r="G6213" s="26">
        <v>6.0</v>
      </c>
      <c r="I6213" s="26" t="s">
        <v>883</v>
      </c>
      <c r="J6213" s="25" t="str">
        <f t="shared" si="64"/>
        <v>No</v>
      </c>
      <c r="K6213" s="25" t="str">
        <f t="shared" si="65"/>
        <v/>
      </c>
      <c r="L6213" s="25" t="str">
        <f t="shared" si="66"/>
        <v/>
      </c>
      <c r="M6213" s="25"/>
      <c r="O6213" s="25"/>
    </row>
    <row r="6214" ht="15.75" customHeight="1">
      <c r="A6214" s="25" t="str">
        <f>IFERROR(__xludf.DUMMYFUNCTION("IF(B6214="""","""",RIGHT(REGEXREPLACE(B6214&amp;"""",""[^0-9]"",""""),9))"),"741790806")</f>
        <v>741790806</v>
      </c>
      <c r="B6214" s="52">
        <v>7.41790806E8</v>
      </c>
      <c r="C6214" s="28" t="s">
        <v>6187</v>
      </c>
      <c r="D6214" s="26" t="s">
        <v>64</v>
      </c>
      <c r="E6214" s="31">
        <v>46240.0</v>
      </c>
      <c r="F6214" s="26" t="s">
        <v>46</v>
      </c>
      <c r="G6214" s="26">
        <v>7.0</v>
      </c>
      <c r="I6214" s="26" t="s">
        <v>883</v>
      </c>
      <c r="J6214" s="25" t="str">
        <f t="shared" si="64"/>
        <v>No</v>
      </c>
      <c r="K6214" s="25" t="str">
        <f t="shared" si="65"/>
        <v/>
      </c>
      <c r="L6214" s="25" t="str">
        <f t="shared" si="66"/>
        <v/>
      </c>
      <c r="M6214" s="25"/>
      <c r="O6214" s="25"/>
    </row>
    <row r="6215" ht="15.75" customHeight="1">
      <c r="A6215" s="25" t="str">
        <f>IFERROR(__xludf.DUMMYFUNCTION("IF(B6215="""","""",RIGHT(REGEXREPLACE(B6215&amp;"""",""[^0-9]"",""""),9))"),"718627880")</f>
        <v>718627880</v>
      </c>
      <c r="B6215" s="52">
        <v>7.1862788E8</v>
      </c>
      <c r="C6215" s="28" t="s">
        <v>6188</v>
      </c>
      <c r="D6215" s="26" t="s">
        <v>82</v>
      </c>
      <c r="E6215" s="31">
        <v>46240.0</v>
      </c>
      <c r="F6215" s="26" t="s">
        <v>125</v>
      </c>
      <c r="H6215" s="26" t="s">
        <v>6189</v>
      </c>
      <c r="I6215" s="26" t="s">
        <v>883</v>
      </c>
      <c r="J6215" s="25" t="str">
        <f t="shared" si="64"/>
        <v>No</v>
      </c>
      <c r="K6215" s="25" t="str">
        <f t="shared" si="65"/>
        <v/>
      </c>
      <c r="L6215" s="25" t="str">
        <f t="shared" si="66"/>
        <v/>
      </c>
      <c r="M6215" s="25"/>
      <c r="O6215" s="25"/>
    </row>
    <row r="6216" ht="15.75" customHeight="1">
      <c r="A6216" s="25" t="str">
        <f>IFERROR(__xludf.DUMMYFUNCTION("IF(B6216="""","""",RIGHT(REGEXREPLACE(B6216&amp;"""",""[^0-9]"",""""),9))"),"779203332")</f>
        <v>779203332</v>
      </c>
      <c r="B6216" s="52">
        <v>7.79203332E8</v>
      </c>
      <c r="C6216" s="28" t="s">
        <v>6190</v>
      </c>
      <c r="D6216" s="26" t="s">
        <v>49</v>
      </c>
      <c r="E6216" s="31">
        <v>46240.0</v>
      </c>
      <c r="F6216" s="26" t="s">
        <v>41</v>
      </c>
      <c r="G6216" s="26">
        <v>7.0</v>
      </c>
      <c r="I6216" s="26" t="s">
        <v>883</v>
      </c>
      <c r="J6216" s="25" t="str">
        <f t="shared" si="64"/>
        <v>No</v>
      </c>
      <c r="K6216" s="25" t="str">
        <f t="shared" si="65"/>
        <v/>
      </c>
      <c r="L6216" s="25" t="str">
        <f t="shared" si="66"/>
        <v/>
      </c>
      <c r="M6216" s="25"/>
      <c r="O6216" s="25"/>
    </row>
    <row r="6217" ht="15.75" customHeight="1">
      <c r="A6217" s="25" t="str">
        <f>IFERROR(__xludf.DUMMYFUNCTION("IF(B6217="""","""",RIGHT(REGEXREPLACE(B6217&amp;"""",""[^0-9]"",""""),9))"),"773685128")</f>
        <v>773685128</v>
      </c>
      <c r="B6217" s="52">
        <v>7.73685128E8</v>
      </c>
      <c r="C6217" s="28" t="s">
        <v>6191</v>
      </c>
      <c r="D6217" s="26" t="s">
        <v>56</v>
      </c>
      <c r="E6217" s="31">
        <v>46240.0</v>
      </c>
      <c r="F6217" s="26" t="s">
        <v>41</v>
      </c>
      <c r="G6217" s="26">
        <v>7.0</v>
      </c>
      <c r="I6217" s="26" t="s">
        <v>883</v>
      </c>
      <c r="J6217" s="25" t="str">
        <f t="shared" si="64"/>
        <v>No</v>
      </c>
      <c r="K6217" s="25" t="str">
        <f t="shared" si="65"/>
        <v/>
      </c>
      <c r="L6217" s="25" t="str">
        <f t="shared" si="66"/>
        <v/>
      </c>
      <c r="M6217" s="25"/>
      <c r="O6217" s="25"/>
    </row>
    <row r="6218" ht="15.75" customHeight="1">
      <c r="A6218" s="25" t="str">
        <f>IFERROR(__xludf.DUMMYFUNCTION("IF(B6218="""","""",RIGHT(REGEXREPLACE(B6218&amp;"""",""[^0-9]"",""""),9))"),"765468566")</f>
        <v>765468566</v>
      </c>
      <c r="B6218" s="52">
        <v>7.65468566E8</v>
      </c>
      <c r="C6218" s="28" t="s">
        <v>6192</v>
      </c>
      <c r="D6218" s="26" t="s">
        <v>56</v>
      </c>
      <c r="E6218" s="31">
        <v>46240.0</v>
      </c>
      <c r="F6218" s="26" t="s">
        <v>46</v>
      </c>
      <c r="G6218" s="26">
        <v>6.0</v>
      </c>
      <c r="H6218" s="26" t="s">
        <v>309</v>
      </c>
      <c r="I6218" s="26" t="s">
        <v>883</v>
      </c>
      <c r="J6218" s="25" t="str">
        <f t="shared" si="64"/>
        <v>No</v>
      </c>
      <c r="K6218" s="25" t="str">
        <f t="shared" si="65"/>
        <v/>
      </c>
      <c r="L6218" s="25" t="str">
        <f t="shared" si="66"/>
        <v/>
      </c>
      <c r="M6218" s="25"/>
      <c r="O6218" s="25"/>
    </row>
    <row r="6219" ht="15.75" customHeight="1">
      <c r="A6219" s="25" t="str">
        <f>IFERROR(__xludf.DUMMYFUNCTION("IF(B6219="""","""",RIGHT(REGEXREPLACE(B6219&amp;"""",""[^0-9]"",""""),9))"),"741903227")</f>
        <v>741903227</v>
      </c>
      <c r="B6219" s="52">
        <v>7.41903227E8</v>
      </c>
      <c r="C6219" s="28" t="s">
        <v>6193</v>
      </c>
      <c r="D6219" s="26" t="s">
        <v>64</v>
      </c>
      <c r="E6219" s="31">
        <v>46240.0</v>
      </c>
      <c r="F6219" s="26" t="s">
        <v>46</v>
      </c>
      <c r="G6219" s="26">
        <v>8.0</v>
      </c>
      <c r="I6219" s="26" t="s">
        <v>883</v>
      </c>
      <c r="J6219" s="25" t="str">
        <f t="shared" si="64"/>
        <v>No</v>
      </c>
      <c r="K6219" s="25" t="str">
        <f t="shared" si="65"/>
        <v/>
      </c>
      <c r="L6219" s="25" t="str">
        <f t="shared" si="66"/>
        <v/>
      </c>
      <c r="M6219" s="25"/>
      <c r="O6219" s="25"/>
    </row>
    <row r="6220" ht="15.75" customHeight="1">
      <c r="A6220" s="25" t="str">
        <f>IFERROR(__xludf.DUMMYFUNCTION("IF(B6220="""","""",RIGHT(REGEXREPLACE(B6220&amp;"""",""[^0-9]"",""""),9))"),"788910314")</f>
        <v>788910314</v>
      </c>
      <c r="B6220" s="52">
        <v>7.88910314E8</v>
      </c>
      <c r="C6220" s="28" t="s">
        <v>6194</v>
      </c>
      <c r="D6220" s="26" t="s">
        <v>56</v>
      </c>
      <c r="E6220" s="31">
        <v>46240.0</v>
      </c>
      <c r="F6220" s="26" t="s">
        <v>46</v>
      </c>
      <c r="G6220" s="26">
        <v>8.0</v>
      </c>
      <c r="I6220" s="26" t="s">
        <v>883</v>
      </c>
      <c r="J6220" s="25" t="str">
        <f t="shared" si="64"/>
        <v>No</v>
      </c>
      <c r="K6220" s="25" t="str">
        <f t="shared" si="65"/>
        <v/>
      </c>
      <c r="L6220" s="25" t="str">
        <f t="shared" si="66"/>
        <v/>
      </c>
      <c r="M6220" s="25"/>
      <c r="O6220" s="25"/>
    </row>
    <row r="6221" ht="15.75" customHeight="1">
      <c r="A6221" s="25" t="str">
        <f>IFERROR(__xludf.DUMMYFUNCTION("IF(B6221="""","""",RIGHT(REGEXREPLACE(B6221&amp;"""",""[^0-9]"",""""),9))"),"772912007")</f>
        <v>772912007</v>
      </c>
      <c r="B6221" s="52">
        <v>7.72912007E8</v>
      </c>
      <c r="C6221" s="28" t="s">
        <v>6195</v>
      </c>
      <c r="D6221" s="26" t="s">
        <v>82</v>
      </c>
      <c r="E6221" s="31">
        <v>46240.0</v>
      </c>
      <c r="F6221" s="26" t="s">
        <v>46</v>
      </c>
      <c r="G6221" s="26">
        <v>11.0</v>
      </c>
      <c r="I6221" s="26" t="s">
        <v>883</v>
      </c>
      <c r="J6221" s="25" t="str">
        <f t="shared" si="64"/>
        <v>No</v>
      </c>
      <c r="K6221" s="25" t="str">
        <f t="shared" si="65"/>
        <v/>
      </c>
      <c r="L6221" s="25" t="str">
        <f t="shared" si="66"/>
        <v/>
      </c>
      <c r="M6221" s="25"/>
      <c r="O6221" s="25"/>
    </row>
    <row r="6222" ht="15.75" customHeight="1">
      <c r="A6222" s="25" t="str">
        <f>IFERROR(__xludf.DUMMYFUNCTION("IF(B6222="""","""",RIGHT(REGEXREPLACE(B6222&amp;"""",""[^0-9]"",""""),9))"),"702830850")</f>
        <v>702830850</v>
      </c>
      <c r="B6222" s="52">
        <v>7.0283085E8</v>
      </c>
      <c r="C6222" s="28" t="s">
        <v>5616</v>
      </c>
      <c r="D6222" s="26" t="s">
        <v>64</v>
      </c>
      <c r="E6222" s="31">
        <v>46240.0</v>
      </c>
      <c r="F6222" s="26" t="s">
        <v>46</v>
      </c>
      <c r="G6222" s="26">
        <v>7.0</v>
      </c>
      <c r="I6222" s="26" t="s">
        <v>883</v>
      </c>
      <c r="J6222" s="25" t="str">
        <f t="shared" si="64"/>
        <v>No</v>
      </c>
      <c r="K6222" s="25" t="str">
        <f t="shared" si="65"/>
        <v/>
      </c>
      <c r="L6222" s="25" t="str">
        <f t="shared" si="66"/>
        <v/>
      </c>
      <c r="M6222" s="25"/>
      <c r="O6222" s="25"/>
    </row>
    <row r="6223" ht="15.75" customHeight="1">
      <c r="A6223" s="25" t="str">
        <f>IFERROR(__xludf.DUMMYFUNCTION("IF(B6223="""","""",RIGHT(REGEXREPLACE(B6223&amp;"""",""[^0-9]"",""""),9))"),"711045439")</f>
        <v>711045439</v>
      </c>
      <c r="B6223" s="52">
        <v>7.11045439E8</v>
      </c>
      <c r="C6223" s="28" t="s">
        <v>6196</v>
      </c>
      <c r="D6223" s="26" t="s">
        <v>56</v>
      </c>
      <c r="E6223" s="31">
        <v>46240.0</v>
      </c>
      <c r="F6223" s="26" t="s">
        <v>46</v>
      </c>
      <c r="G6223" s="26">
        <v>7.0</v>
      </c>
      <c r="I6223" s="26" t="s">
        <v>883</v>
      </c>
      <c r="J6223" s="25" t="str">
        <f t="shared" si="64"/>
        <v>No</v>
      </c>
      <c r="K6223" s="25" t="str">
        <f t="shared" si="65"/>
        <v/>
      </c>
      <c r="L6223" s="25" t="str">
        <f t="shared" si="66"/>
        <v/>
      </c>
      <c r="M6223" s="25"/>
      <c r="O6223" s="25"/>
    </row>
    <row r="6224" ht="15.75" customHeight="1">
      <c r="A6224" s="25" t="str">
        <f>IFERROR(__xludf.DUMMYFUNCTION("IF(B6224="""","""",RIGHT(REGEXREPLACE(B6224&amp;"""",""[^0-9]"",""""),9))"),"772034711")</f>
        <v>772034711</v>
      </c>
      <c r="B6224" s="52">
        <v>7.72034711E8</v>
      </c>
      <c r="C6224" s="28" t="s">
        <v>6197</v>
      </c>
      <c r="D6224" s="26" t="s">
        <v>49</v>
      </c>
      <c r="E6224" s="31">
        <v>46240.0</v>
      </c>
      <c r="F6224" s="26" t="s">
        <v>46</v>
      </c>
      <c r="G6224" s="26">
        <v>7.0</v>
      </c>
      <c r="H6224" s="26" t="s">
        <v>6198</v>
      </c>
      <c r="I6224" s="26" t="s">
        <v>883</v>
      </c>
      <c r="J6224" s="25" t="str">
        <f t="shared" si="64"/>
        <v>No</v>
      </c>
      <c r="K6224" s="25" t="str">
        <f t="shared" si="65"/>
        <v/>
      </c>
      <c r="L6224" s="25" t="str">
        <f t="shared" si="66"/>
        <v/>
      </c>
      <c r="M6224" s="25"/>
      <c r="O6224" s="26" t="s">
        <v>51</v>
      </c>
    </row>
    <row r="6225" ht="15.75" customHeight="1">
      <c r="A6225" s="25" t="str">
        <f>IFERROR(__xludf.DUMMYFUNCTION("IF(B6225="""","""",RIGHT(REGEXREPLACE(B6225&amp;"""",""[^0-9]"",""""),9))"),"743587927")</f>
        <v>743587927</v>
      </c>
      <c r="B6225" s="64">
        <v>7.43587927E8</v>
      </c>
      <c r="C6225" s="28" t="s">
        <v>3282</v>
      </c>
      <c r="D6225" s="26" t="s">
        <v>64</v>
      </c>
      <c r="E6225" s="31">
        <v>46240.0</v>
      </c>
      <c r="F6225" s="26" t="s">
        <v>205</v>
      </c>
      <c r="I6225" s="26" t="s">
        <v>883</v>
      </c>
      <c r="J6225" s="25" t="str">
        <f t="shared" si="64"/>
        <v>Yes - see Previous F-Code</v>
      </c>
      <c r="K6225" s="25" t="str">
        <f t="shared" si="65"/>
        <v/>
      </c>
      <c r="L6225" s="25" t="str">
        <f t="shared" si="66"/>
        <v>F72944</v>
      </c>
      <c r="M6225" s="25"/>
      <c r="O6225" s="25"/>
    </row>
    <row r="6226" ht="15.75" customHeight="1">
      <c r="A6226" s="25" t="str">
        <f>IFERROR(__xludf.DUMMYFUNCTION("IF(B6226="""","""",RIGHT(REGEXREPLACE(B6226&amp;"""",""[^0-9]"",""""),9))"),"773847956")</f>
        <v>773847956</v>
      </c>
      <c r="B6226" s="52">
        <v>7.73847956E8</v>
      </c>
      <c r="C6226" s="28" t="s">
        <v>6177</v>
      </c>
      <c r="D6226" s="26" t="s">
        <v>56</v>
      </c>
      <c r="E6226" s="31">
        <v>46240.0</v>
      </c>
      <c r="F6226" s="26" t="s">
        <v>164</v>
      </c>
      <c r="I6226" s="26" t="s">
        <v>883</v>
      </c>
      <c r="J6226" s="25" t="str">
        <f t="shared" si="64"/>
        <v>No</v>
      </c>
      <c r="K6226" s="25" t="str">
        <f t="shared" si="65"/>
        <v/>
      </c>
      <c r="L6226" s="25" t="str">
        <f t="shared" si="66"/>
        <v/>
      </c>
      <c r="M6226" s="25"/>
      <c r="O6226" s="25"/>
    </row>
    <row r="6227" ht="15.75" customHeight="1">
      <c r="A6227" s="25" t="str">
        <f>IFERROR(__xludf.DUMMYFUNCTION("IF(B6227="""","""",RIGHT(REGEXREPLACE(B6227&amp;"""",""[^0-9]"",""""),9))"),"776123058")</f>
        <v>776123058</v>
      </c>
      <c r="B6227" s="52">
        <v>7.76123058E8</v>
      </c>
      <c r="C6227" s="28" t="s">
        <v>6199</v>
      </c>
      <c r="D6227" s="26" t="s">
        <v>49</v>
      </c>
      <c r="E6227" s="31">
        <v>46240.0</v>
      </c>
      <c r="F6227" s="26" t="s">
        <v>46</v>
      </c>
      <c r="G6227" s="26">
        <v>7.0</v>
      </c>
      <c r="I6227" s="26" t="s">
        <v>883</v>
      </c>
      <c r="J6227" s="25" t="str">
        <f t="shared" si="64"/>
        <v>No</v>
      </c>
      <c r="K6227" s="25" t="str">
        <f t="shared" si="65"/>
        <v/>
      </c>
      <c r="L6227" s="25" t="str">
        <f t="shared" si="66"/>
        <v/>
      </c>
      <c r="M6227" s="25"/>
      <c r="O6227" s="25"/>
    </row>
    <row r="6228" ht="15.75" customHeight="1">
      <c r="A6228" s="25" t="str">
        <f>IFERROR(__xludf.DUMMYFUNCTION("IF(B6228="""","""",RIGHT(REGEXREPLACE(B6228&amp;"""",""[^0-9]"",""""),9))"),"764184224")</f>
        <v>764184224</v>
      </c>
      <c r="B6228" s="52">
        <v>7.64184224E8</v>
      </c>
      <c r="C6228" s="28" t="s">
        <v>6200</v>
      </c>
      <c r="D6228" s="26" t="s">
        <v>82</v>
      </c>
      <c r="E6228" s="31">
        <v>46240.0</v>
      </c>
      <c r="F6228" s="26" t="s">
        <v>46</v>
      </c>
      <c r="G6228" s="26">
        <v>7.0</v>
      </c>
      <c r="H6228" s="26" t="s">
        <v>57</v>
      </c>
      <c r="I6228" s="26" t="s">
        <v>883</v>
      </c>
      <c r="J6228" s="25" t="str">
        <f t="shared" si="64"/>
        <v>No</v>
      </c>
      <c r="K6228" s="25" t="str">
        <f t="shared" si="65"/>
        <v/>
      </c>
      <c r="L6228" s="25" t="str">
        <f t="shared" si="66"/>
        <v/>
      </c>
      <c r="M6228" s="25"/>
      <c r="O6228" s="25"/>
    </row>
    <row r="6229" ht="15.75" customHeight="1">
      <c r="A6229" s="25" t="str">
        <f>IFERROR(__xludf.DUMMYFUNCTION("IF(B6229="""","""",RIGHT(REGEXREPLACE(B6229&amp;"""",""[^0-9]"",""""),9))"),"761792749")</f>
        <v>761792749</v>
      </c>
      <c r="B6229" s="52">
        <v>7.61792749E8</v>
      </c>
      <c r="C6229" s="28" t="s">
        <v>6200</v>
      </c>
      <c r="D6229" s="26" t="s">
        <v>56</v>
      </c>
      <c r="E6229" s="31">
        <v>46240.0</v>
      </c>
      <c r="F6229" s="26" t="s">
        <v>46</v>
      </c>
      <c r="G6229" s="26">
        <v>8.0</v>
      </c>
      <c r="I6229" s="26" t="s">
        <v>883</v>
      </c>
      <c r="J6229" s="25" t="str">
        <f t="shared" si="64"/>
        <v>No</v>
      </c>
      <c r="K6229" s="25" t="str">
        <f t="shared" si="65"/>
        <v/>
      </c>
      <c r="L6229" s="25" t="str">
        <f t="shared" si="66"/>
        <v/>
      </c>
      <c r="M6229" s="25"/>
      <c r="O6229" s="25"/>
    </row>
    <row r="6230" ht="15.75" customHeight="1">
      <c r="A6230" s="25" t="str">
        <f>IFERROR(__xludf.DUMMYFUNCTION("IF(B6230="""","""",RIGHT(REGEXREPLACE(B6230&amp;"""",""[^0-9]"",""""),9))"),"775642554")</f>
        <v>775642554</v>
      </c>
      <c r="B6230" s="52">
        <v>7.75642554E8</v>
      </c>
      <c r="C6230" s="28" t="s">
        <v>6201</v>
      </c>
      <c r="D6230" s="26" t="s">
        <v>82</v>
      </c>
      <c r="E6230" s="31">
        <v>46240.0</v>
      </c>
      <c r="F6230" s="26" t="s">
        <v>46</v>
      </c>
      <c r="G6230" s="26">
        <v>8.0</v>
      </c>
      <c r="H6230" s="26" t="s">
        <v>6202</v>
      </c>
      <c r="I6230" s="26" t="s">
        <v>883</v>
      </c>
      <c r="J6230" s="25" t="str">
        <f t="shared" si="64"/>
        <v>No</v>
      </c>
      <c r="K6230" s="25" t="str">
        <f t="shared" si="65"/>
        <v/>
      </c>
      <c r="L6230" s="25" t="str">
        <f t="shared" si="66"/>
        <v/>
      </c>
      <c r="M6230" s="25"/>
      <c r="O6230" s="25"/>
    </row>
    <row r="6231" ht="15.75" customHeight="1">
      <c r="A6231" s="25" t="str">
        <f>IFERROR(__xludf.DUMMYFUNCTION("IF(B6231="""","""",RIGHT(REGEXREPLACE(B6231&amp;"""",""[^0-9]"",""""),9))"),"712854780")</f>
        <v>712854780</v>
      </c>
      <c r="B6231" s="52">
        <v>7.1285478E8</v>
      </c>
      <c r="C6231" s="28" t="s">
        <v>6203</v>
      </c>
      <c r="D6231" s="26" t="s">
        <v>49</v>
      </c>
      <c r="E6231" s="31">
        <v>46240.0</v>
      </c>
      <c r="F6231" s="26" t="s">
        <v>46</v>
      </c>
      <c r="G6231" s="26">
        <v>8.0</v>
      </c>
      <c r="H6231" s="26" t="s">
        <v>6204</v>
      </c>
      <c r="I6231" s="26" t="s">
        <v>883</v>
      </c>
      <c r="J6231" s="25" t="str">
        <f t="shared" si="64"/>
        <v>No</v>
      </c>
      <c r="K6231" s="25" t="str">
        <f t="shared" si="65"/>
        <v/>
      </c>
      <c r="L6231" s="25" t="str">
        <f t="shared" si="66"/>
        <v/>
      </c>
      <c r="M6231" s="25"/>
      <c r="O6231" s="26" t="s">
        <v>51</v>
      </c>
    </row>
    <row r="6232" ht="15.75" customHeight="1">
      <c r="A6232" s="25" t="str">
        <f>IFERROR(__xludf.DUMMYFUNCTION("IF(B6232="""","""",RIGHT(REGEXREPLACE(B6232&amp;"""",""[^0-9]"",""""),9))"),"768787315")</f>
        <v>768787315</v>
      </c>
      <c r="B6232" s="52">
        <v>7.68787315E8</v>
      </c>
      <c r="C6232" s="28" t="s">
        <v>6205</v>
      </c>
      <c r="D6232" s="26" t="s">
        <v>82</v>
      </c>
      <c r="E6232" s="31">
        <v>46240.0</v>
      </c>
      <c r="F6232" s="26" t="s">
        <v>41</v>
      </c>
      <c r="G6232" s="26">
        <v>10.0</v>
      </c>
      <c r="I6232" s="26" t="s">
        <v>883</v>
      </c>
      <c r="J6232" s="25" t="str">
        <f t="shared" si="64"/>
        <v>No</v>
      </c>
      <c r="K6232" s="25" t="str">
        <f t="shared" si="65"/>
        <v/>
      </c>
      <c r="L6232" s="25" t="str">
        <f t="shared" si="66"/>
        <v/>
      </c>
      <c r="M6232" s="25"/>
      <c r="O6232" s="25"/>
    </row>
    <row r="6233" ht="15.75" customHeight="1">
      <c r="A6233" s="25" t="str">
        <f>IFERROR(__xludf.DUMMYFUNCTION("IF(B6233="""","""",RIGHT(REGEXREPLACE(B6233&amp;"""",""[^0-9]"",""""),9))"),"759878430")</f>
        <v>759878430</v>
      </c>
      <c r="B6233" s="52">
        <v>7.5987843E8</v>
      </c>
      <c r="C6233" s="28" t="s">
        <v>6206</v>
      </c>
      <c r="D6233" s="26" t="s">
        <v>56</v>
      </c>
      <c r="E6233" s="31">
        <v>46240.0</v>
      </c>
      <c r="F6233" s="26" t="s">
        <v>41</v>
      </c>
      <c r="I6233" s="26" t="s">
        <v>883</v>
      </c>
      <c r="J6233" s="25" t="str">
        <f t="shared" si="64"/>
        <v>No</v>
      </c>
      <c r="K6233" s="25" t="str">
        <f t="shared" si="65"/>
        <v/>
      </c>
      <c r="L6233" s="25" t="str">
        <f t="shared" si="66"/>
        <v/>
      </c>
      <c r="M6233" s="25"/>
      <c r="O6233" s="25"/>
    </row>
    <row r="6234" ht="15.75" customHeight="1">
      <c r="A6234" s="25" t="str">
        <f>IFERROR(__xludf.DUMMYFUNCTION("IF(B6234="""","""",RIGHT(REGEXREPLACE(B6234&amp;"""",""[^0-9]"",""""),9))"),"769286095")</f>
        <v>769286095</v>
      </c>
      <c r="B6234" s="52">
        <v>7.69286095E8</v>
      </c>
      <c r="C6234" s="28" t="s">
        <v>6207</v>
      </c>
      <c r="D6234" s="26" t="s">
        <v>56</v>
      </c>
      <c r="E6234" s="31">
        <v>46240.0</v>
      </c>
      <c r="F6234" s="26" t="s">
        <v>41</v>
      </c>
      <c r="G6234" s="26">
        <v>6.0</v>
      </c>
      <c r="I6234" s="26" t="s">
        <v>883</v>
      </c>
      <c r="J6234" s="25" t="str">
        <f t="shared" si="64"/>
        <v>No</v>
      </c>
      <c r="K6234" s="25" t="str">
        <f t="shared" si="65"/>
        <v/>
      </c>
      <c r="L6234" s="25" t="str">
        <f t="shared" si="66"/>
        <v/>
      </c>
      <c r="M6234" s="25"/>
      <c r="O6234" s="25"/>
    </row>
    <row r="6235" ht="15.75" customHeight="1">
      <c r="A6235" s="25" t="str">
        <f>IFERROR(__xludf.DUMMYFUNCTION("IF(B6235="""","""",RIGHT(REGEXREPLACE(B6235&amp;"""",""[^0-9]"",""""),9))"),"774044501")</f>
        <v>774044501</v>
      </c>
      <c r="B6235" s="52">
        <v>7.74044501E8</v>
      </c>
      <c r="C6235" s="28" t="s">
        <v>6156</v>
      </c>
      <c r="D6235" s="26" t="s">
        <v>64</v>
      </c>
      <c r="E6235" s="31">
        <v>46240.0</v>
      </c>
      <c r="F6235" s="26" t="s">
        <v>46</v>
      </c>
      <c r="G6235" s="26">
        <v>10.0</v>
      </c>
      <c r="H6235" s="26" t="s">
        <v>78</v>
      </c>
      <c r="I6235" s="26" t="s">
        <v>883</v>
      </c>
      <c r="J6235" s="25" t="str">
        <f t="shared" si="64"/>
        <v>No</v>
      </c>
      <c r="K6235" s="25" t="str">
        <f t="shared" si="65"/>
        <v/>
      </c>
      <c r="L6235" s="25" t="str">
        <f t="shared" si="66"/>
        <v/>
      </c>
      <c r="M6235" s="25"/>
      <c r="O6235" s="25"/>
    </row>
    <row r="6236" ht="15.75" customHeight="1">
      <c r="A6236" s="25" t="str">
        <f>IFERROR(__xludf.DUMMYFUNCTION("IF(B6236="""","""",RIGHT(REGEXREPLACE(B6236&amp;"""",""[^0-9]"",""""),9))"),"713290018")</f>
        <v>713290018</v>
      </c>
      <c r="B6236" s="52">
        <v>7.13290018E8</v>
      </c>
      <c r="C6236" s="28" t="s">
        <v>6208</v>
      </c>
      <c r="D6236" s="26" t="s">
        <v>49</v>
      </c>
      <c r="E6236" s="31">
        <v>46240.0</v>
      </c>
      <c r="F6236" s="26" t="s">
        <v>46</v>
      </c>
      <c r="G6236" s="26">
        <v>7.0</v>
      </c>
      <c r="H6236" s="26" t="s">
        <v>6209</v>
      </c>
      <c r="I6236" s="26" t="s">
        <v>883</v>
      </c>
      <c r="J6236" s="25" t="str">
        <f t="shared" si="64"/>
        <v>No</v>
      </c>
      <c r="K6236" s="25" t="str">
        <f t="shared" si="65"/>
        <v/>
      </c>
      <c r="L6236" s="25" t="str">
        <f t="shared" si="66"/>
        <v/>
      </c>
      <c r="M6236" s="25"/>
      <c r="O6236" s="25"/>
    </row>
    <row r="6237" ht="15.75" customHeight="1">
      <c r="A6237" s="25" t="str">
        <f>IFERROR(__xludf.DUMMYFUNCTION("IF(B6237="""","""",RIGHT(REGEXREPLACE(B6237&amp;"""",""[^0-9]"",""""),9))"),"766159250")</f>
        <v>766159250</v>
      </c>
      <c r="B6237" s="52">
        <v>7.6615925E8</v>
      </c>
      <c r="C6237" s="28" t="s">
        <v>4679</v>
      </c>
      <c r="D6237" s="26" t="s">
        <v>56</v>
      </c>
      <c r="E6237" s="31">
        <v>46240.0</v>
      </c>
      <c r="F6237" s="26" t="s">
        <v>41</v>
      </c>
      <c r="G6237" s="26">
        <v>7.0</v>
      </c>
      <c r="I6237" s="26" t="s">
        <v>883</v>
      </c>
      <c r="J6237" s="25" t="str">
        <f t="shared" si="64"/>
        <v>No</v>
      </c>
      <c r="K6237" s="25" t="str">
        <f t="shared" si="65"/>
        <v/>
      </c>
      <c r="L6237" s="25" t="str">
        <f t="shared" si="66"/>
        <v/>
      </c>
      <c r="M6237" s="25"/>
      <c r="O6237" s="25"/>
    </row>
    <row r="6238" ht="15.75" customHeight="1">
      <c r="A6238" s="25" t="str">
        <f>IFERROR(__xludf.DUMMYFUNCTION("IF(B6238="""","""",RIGHT(REGEXREPLACE(B6238&amp;"""",""[^0-9]"",""""),9))"),"717578849")</f>
        <v>717578849</v>
      </c>
      <c r="B6238" s="52">
        <v>7.17578849E8</v>
      </c>
      <c r="C6238" s="28" t="s">
        <v>6210</v>
      </c>
      <c r="D6238" s="26" t="s">
        <v>56</v>
      </c>
      <c r="E6238" s="31">
        <v>46240.0</v>
      </c>
      <c r="F6238" s="26" t="s">
        <v>205</v>
      </c>
      <c r="G6238" s="26">
        <v>6.0</v>
      </c>
      <c r="I6238" s="26" t="s">
        <v>883</v>
      </c>
      <c r="J6238" s="25" t="str">
        <f t="shared" si="64"/>
        <v>No</v>
      </c>
      <c r="K6238" s="25" t="str">
        <f t="shared" si="65"/>
        <v/>
      </c>
      <c r="L6238" s="25" t="str">
        <f t="shared" si="66"/>
        <v/>
      </c>
      <c r="M6238" s="25"/>
      <c r="O6238" s="25"/>
    </row>
    <row r="6239" ht="15.75" customHeight="1">
      <c r="A6239" s="25" t="str">
        <f>IFERROR(__xludf.DUMMYFUNCTION("IF(B6239="""","""",RIGHT(REGEXREPLACE(B6239&amp;"""",""[^0-9]"",""""),9))"),"772717932")</f>
        <v>772717932</v>
      </c>
      <c r="B6239" s="52">
        <v>7.72717932E8</v>
      </c>
      <c r="C6239" s="28" t="s">
        <v>6211</v>
      </c>
      <c r="D6239" s="26" t="s">
        <v>64</v>
      </c>
      <c r="E6239" s="31">
        <v>46240.0</v>
      </c>
      <c r="F6239" s="26" t="s">
        <v>41</v>
      </c>
      <c r="I6239" s="26" t="s">
        <v>883</v>
      </c>
      <c r="J6239" s="25" t="str">
        <f t="shared" si="64"/>
        <v>No</v>
      </c>
      <c r="K6239" s="25" t="str">
        <f t="shared" si="65"/>
        <v/>
      </c>
      <c r="L6239" s="25" t="str">
        <f t="shared" si="66"/>
        <v/>
      </c>
      <c r="M6239" s="25"/>
      <c r="O6239" s="25"/>
    </row>
    <row r="6240" ht="15.75" customHeight="1">
      <c r="A6240" s="25" t="str">
        <f>IFERROR(__xludf.DUMMYFUNCTION("IF(B6240="""","""",RIGHT(REGEXREPLACE(B6240&amp;"""",""[^0-9]"",""""),9))"),"754642010")</f>
        <v>754642010</v>
      </c>
      <c r="B6240" s="52">
        <v>7.5464201E8</v>
      </c>
      <c r="C6240" s="28" t="s">
        <v>5767</v>
      </c>
      <c r="D6240" s="26" t="s">
        <v>64</v>
      </c>
      <c r="E6240" s="31">
        <v>46240.0</v>
      </c>
      <c r="F6240" s="26" t="s">
        <v>46</v>
      </c>
      <c r="G6240" s="26">
        <v>11.0</v>
      </c>
      <c r="I6240" s="26" t="s">
        <v>883</v>
      </c>
      <c r="J6240" s="25" t="str">
        <f t="shared" si="64"/>
        <v>Yes - see Previous F-Code</v>
      </c>
      <c r="K6240" s="25" t="str">
        <f t="shared" si="65"/>
        <v>DUPLICATE - CHECK</v>
      </c>
      <c r="L6240" s="25" t="str">
        <f t="shared" si="66"/>
        <v>F75209</v>
      </c>
      <c r="M6240" s="25"/>
      <c r="O6240" s="25"/>
    </row>
    <row r="6241" ht="15.75" customHeight="1">
      <c r="A6241" s="25" t="str">
        <f>IFERROR(__xludf.DUMMYFUNCTION("IF(B6241="""","""",RIGHT(REGEXREPLACE(B6241&amp;"""",""[^0-9]"",""""),9))"),"")</f>
        <v/>
      </c>
      <c r="B6241" s="52"/>
      <c r="C6241" s="46"/>
      <c r="D6241" s="25"/>
      <c r="E6241" s="31">
        <v>46240.0</v>
      </c>
      <c r="F6241" s="25"/>
      <c r="I6241" s="26" t="s">
        <v>883</v>
      </c>
      <c r="J6241" s="25" t="str">
        <f t="shared" si="64"/>
        <v>Yes - see Previous F-Code</v>
      </c>
      <c r="K6241" s="25" t="str">
        <f t="shared" si="65"/>
        <v>DUPLICATE - CHECK</v>
      </c>
      <c r="L6241" s="25" t="str">
        <f t="shared" si="66"/>
        <v/>
      </c>
      <c r="M6241" s="25"/>
      <c r="O6241" s="25"/>
    </row>
    <row r="6242" ht="15.75" customHeight="1">
      <c r="A6242" s="25" t="str">
        <f>IFERROR(__xludf.DUMMYFUNCTION("IF(B6242="""","""",RIGHT(REGEXREPLACE(B6242&amp;"""",""[^0-9]"",""""),9))"),"764886324")</f>
        <v>764886324</v>
      </c>
      <c r="B6242" s="52">
        <v>7.64886324E8</v>
      </c>
      <c r="C6242" s="28" t="s">
        <v>6212</v>
      </c>
      <c r="D6242" s="26" t="s">
        <v>82</v>
      </c>
      <c r="E6242" s="31">
        <v>46240.0</v>
      </c>
      <c r="F6242" s="26" t="s">
        <v>46</v>
      </c>
      <c r="G6242" s="26">
        <v>10.0</v>
      </c>
      <c r="H6242" s="26" t="s">
        <v>6213</v>
      </c>
      <c r="I6242" s="26" t="s">
        <v>883</v>
      </c>
      <c r="J6242" s="25" t="str">
        <f t="shared" si="64"/>
        <v>No</v>
      </c>
      <c r="K6242" s="25" t="str">
        <f t="shared" si="65"/>
        <v/>
      </c>
      <c r="L6242" s="25" t="str">
        <f t="shared" si="66"/>
        <v/>
      </c>
      <c r="M6242" s="25"/>
      <c r="O6242" s="25"/>
    </row>
    <row r="6243" ht="15.75" customHeight="1">
      <c r="A6243" s="25" t="str">
        <f>IFERROR(__xludf.DUMMYFUNCTION("IF(B6243="""","""",RIGHT(REGEXREPLACE(B6243&amp;"""",""[^0-9]"",""""),9))"),"")</f>
        <v/>
      </c>
      <c r="B6243" s="52"/>
      <c r="C6243" s="46"/>
      <c r="D6243" s="25"/>
      <c r="E6243" s="31"/>
      <c r="F6243" s="25"/>
      <c r="I6243" s="26" t="s">
        <v>883</v>
      </c>
      <c r="J6243" s="25" t="str">
        <f t="shared" si="64"/>
        <v>Yes - see Previous F-Code</v>
      </c>
      <c r="K6243" s="25" t="str">
        <f t="shared" si="65"/>
        <v>DUPLICATE - CHECK</v>
      </c>
      <c r="L6243" s="25" t="str">
        <f t="shared" si="66"/>
        <v/>
      </c>
      <c r="M6243" s="25"/>
      <c r="O6243" s="25"/>
    </row>
    <row r="6244" ht="15.75" customHeight="1">
      <c r="A6244" s="25" t="str">
        <f>IFERROR(__xludf.DUMMYFUNCTION("IF(B6244="""","""",RIGHT(REGEXREPLACE(B6244&amp;"""",""[^0-9]"",""""),9))"),"778182391")</f>
        <v>778182391</v>
      </c>
      <c r="B6244" s="52">
        <v>7.78182391E8</v>
      </c>
      <c r="C6244" s="28" t="s">
        <v>6214</v>
      </c>
      <c r="D6244" s="26" t="s">
        <v>45</v>
      </c>
      <c r="E6244" s="31">
        <v>46240.0</v>
      </c>
      <c r="F6244" s="26" t="s">
        <v>46</v>
      </c>
      <c r="G6244" s="26">
        <v>9.0</v>
      </c>
      <c r="I6244" s="26" t="s">
        <v>883</v>
      </c>
      <c r="J6244" s="25" t="str">
        <f t="shared" si="64"/>
        <v>No</v>
      </c>
      <c r="K6244" s="25" t="str">
        <f t="shared" si="65"/>
        <v/>
      </c>
      <c r="L6244" s="25" t="str">
        <f t="shared" si="66"/>
        <v/>
      </c>
      <c r="M6244" s="25"/>
      <c r="O6244" s="25"/>
    </row>
    <row r="6245" ht="15.75" customHeight="1">
      <c r="A6245" s="25" t="str">
        <f>IFERROR(__xludf.DUMMYFUNCTION("IF(B6245="""","""",RIGHT(REGEXREPLACE(B6245&amp;"""",""[^0-9]"",""""),9))"),"769863047")</f>
        <v>769863047</v>
      </c>
      <c r="B6245" s="26">
        <v>7.69863047E8</v>
      </c>
      <c r="C6245" s="28" t="s">
        <v>6215</v>
      </c>
      <c r="D6245" s="26" t="s">
        <v>45</v>
      </c>
      <c r="E6245" s="31">
        <v>46240.0</v>
      </c>
      <c r="F6245" s="26" t="s">
        <v>41</v>
      </c>
      <c r="G6245" s="26">
        <v>11.0</v>
      </c>
      <c r="I6245" s="26" t="s">
        <v>883</v>
      </c>
      <c r="J6245" s="25" t="str">
        <f t="shared" si="64"/>
        <v>No</v>
      </c>
      <c r="K6245" s="25" t="str">
        <f t="shared" si="65"/>
        <v/>
      </c>
      <c r="L6245" s="25" t="str">
        <f t="shared" si="66"/>
        <v/>
      </c>
      <c r="M6245" s="25"/>
      <c r="O6245" s="25"/>
    </row>
    <row r="6246" ht="15.75" customHeight="1">
      <c r="A6246" s="25" t="str">
        <f>IFERROR(__xludf.DUMMYFUNCTION("IF(B6246="""","""",RIGHT(REGEXREPLACE(B6246&amp;"""",""[^0-9]"",""""),9))"),"701250549")</f>
        <v>701250549</v>
      </c>
      <c r="B6246" s="26">
        <v>7.01250549E8</v>
      </c>
      <c r="C6246" s="28" t="s">
        <v>6216</v>
      </c>
      <c r="D6246" s="26" t="s">
        <v>45</v>
      </c>
      <c r="E6246" s="31">
        <v>46240.0</v>
      </c>
      <c r="F6246" s="26" t="s">
        <v>46</v>
      </c>
      <c r="G6246" s="26">
        <v>10.0</v>
      </c>
      <c r="I6246" s="26" t="s">
        <v>883</v>
      </c>
      <c r="J6246" s="25" t="str">
        <f t="shared" si="64"/>
        <v>No</v>
      </c>
      <c r="K6246" s="25" t="str">
        <f t="shared" si="65"/>
        <v/>
      </c>
      <c r="L6246" s="25" t="str">
        <f t="shared" si="66"/>
        <v/>
      </c>
      <c r="M6246" s="25"/>
      <c r="O6246" s="25"/>
    </row>
    <row r="6247" ht="15.75" customHeight="1">
      <c r="A6247" s="25" t="str">
        <f>IFERROR(__xludf.DUMMYFUNCTION("IF(B6247="""","""",RIGHT(REGEXREPLACE(B6247&amp;"""",""[^0-9]"",""""),9))"),"714339602")</f>
        <v>714339602</v>
      </c>
      <c r="B6247" s="26">
        <v>7.14339602E8</v>
      </c>
      <c r="C6247" s="28" t="s">
        <v>6217</v>
      </c>
      <c r="D6247" s="26" t="s">
        <v>45</v>
      </c>
      <c r="E6247" s="31">
        <v>46240.0</v>
      </c>
      <c r="F6247" s="26" t="s">
        <v>46</v>
      </c>
      <c r="G6247" s="26">
        <v>7.0</v>
      </c>
      <c r="I6247" s="26" t="s">
        <v>883</v>
      </c>
      <c r="J6247" s="25" t="str">
        <f t="shared" si="64"/>
        <v>No</v>
      </c>
      <c r="K6247" s="25" t="str">
        <f t="shared" si="65"/>
        <v/>
      </c>
      <c r="L6247" s="25" t="str">
        <f t="shared" si="66"/>
        <v/>
      </c>
      <c r="M6247" s="25"/>
      <c r="O6247" s="25"/>
    </row>
    <row r="6248" ht="15.75" customHeight="1">
      <c r="A6248" s="25" t="str">
        <f>IFERROR(__xludf.DUMMYFUNCTION("IF(B6248="""","""",RIGHT(REGEXREPLACE(B6248&amp;"""",""[^0-9]"",""""),9))"),"764655267")</f>
        <v>764655267</v>
      </c>
      <c r="B6248" s="26">
        <v>7.64655267E8</v>
      </c>
      <c r="C6248" s="28" t="s">
        <v>6218</v>
      </c>
      <c r="D6248" s="26" t="s">
        <v>45</v>
      </c>
      <c r="E6248" s="31">
        <v>46240.0</v>
      </c>
      <c r="F6248" s="26" t="s">
        <v>41</v>
      </c>
      <c r="G6248" s="26">
        <v>11.0</v>
      </c>
      <c r="I6248" s="26" t="s">
        <v>883</v>
      </c>
      <c r="J6248" s="25" t="str">
        <f t="shared" si="64"/>
        <v>No</v>
      </c>
      <c r="K6248" s="25" t="str">
        <f t="shared" si="65"/>
        <v/>
      </c>
      <c r="L6248" s="25" t="str">
        <f t="shared" si="66"/>
        <v/>
      </c>
      <c r="M6248" s="25"/>
      <c r="O6248" s="25"/>
    </row>
    <row r="6249" ht="15.75" customHeight="1">
      <c r="A6249" s="25" t="str">
        <f>IFERROR(__xludf.DUMMYFUNCTION("IF(B6249="""","""",RIGHT(REGEXREPLACE(B6249&amp;"""",""[^0-9]"",""""),9))"),"703648934")</f>
        <v>703648934</v>
      </c>
      <c r="B6249" s="26">
        <v>7.03648934E8</v>
      </c>
      <c r="C6249" s="28" t="s">
        <v>6219</v>
      </c>
      <c r="D6249" s="26" t="s">
        <v>45</v>
      </c>
      <c r="E6249" s="31">
        <v>46240.0</v>
      </c>
      <c r="F6249" s="26" t="s">
        <v>41</v>
      </c>
      <c r="G6249" s="26">
        <v>9.0</v>
      </c>
      <c r="I6249" s="26" t="s">
        <v>883</v>
      </c>
      <c r="J6249" s="25" t="str">
        <f t="shared" si="64"/>
        <v>No</v>
      </c>
      <c r="K6249" s="25" t="str">
        <f t="shared" si="65"/>
        <v/>
      </c>
      <c r="L6249" s="25" t="str">
        <f t="shared" si="66"/>
        <v/>
      </c>
      <c r="M6249" s="25"/>
      <c r="O6249" s="25"/>
    </row>
    <row r="6250" ht="15.75" customHeight="1">
      <c r="A6250" s="25" t="str">
        <f>IFERROR(__xludf.DUMMYFUNCTION("IF(B6250="""","""",RIGHT(REGEXREPLACE(B6250&amp;"""",""[^0-9]"",""""),9))"),"774176370")</f>
        <v>774176370</v>
      </c>
      <c r="B6250" s="52">
        <v>7.7417637E8</v>
      </c>
      <c r="C6250" s="28" t="s">
        <v>6220</v>
      </c>
      <c r="D6250" s="26" t="s">
        <v>56</v>
      </c>
      <c r="E6250" s="31">
        <v>46240.0</v>
      </c>
      <c r="F6250" s="26" t="s">
        <v>631</v>
      </c>
      <c r="G6250" s="26">
        <v>11.0</v>
      </c>
      <c r="I6250" s="26" t="s">
        <v>883</v>
      </c>
      <c r="J6250" s="25" t="str">
        <f t="shared" si="64"/>
        <v>No</v>
      </c>
      <c r="K6250" s="25" t="str">
        <f t="shared" si="65"/>
        <v/>
      </c>
      <c r="L6250" s="25" t="str">
        <f t="shared" si="66"/>
        <v/>
      </c>
      <c r="M6250" s="25"/>
      <c r="O6250" s="25"/>
    </row>
    <row r="6251" ht="15.75" customHeight="1">
      <c r="A6251" s="25" t="str">
        <f>IFERROR(__xludf.DUMMYFUNCTION("IF(B6251="""","""",RIGHT(REGEXREPLACE(B6251&amp;"""",""[^0-9]"",""""),9))"),"770124599")</f>
        <v>770124599</v>
      </c>
      <c r="B6251" s="52">
        <v>7.70124599E8</v>
      </c>
      <c r="C6251" s="28" t="s">
        <v>4503</v>
      </c>
      <c r="D6251" s="26" t="s">
        <v>56</v>
      </c>
      <c r="E6251" s="31">
        <v>46240.0</v>
      </c>
      <c r="F6251" s="25"/>
      <c r="G6251" s="26">
        <v>9.0</v>
      </c>
      <c r="H6251" s="26" t="s">
        <v>6221</v>
      </c>
      <c r="I6251" s="26" t="s">
        <v>883</v>
      </c>
      <c r="J6251" s="25" t="str">
        <f t="shared" si="64"/>
        <v>Yes - see Previous F-Code</v>
      </c>
      <c r="K6251" s="25" t="str">
        <f t="shared" si="65"/>
        <v/>
      </c>
      <c r="L6251" s="25" t="str">
        <f t="shared" si="66"/>
        <v>F74112</v>
      </c>
      <c r="M6251" s="25"/>
      <c r="N6251" s="25"/>
      <c r="O6251" s="25"/>
      <c r="P6251" s="25"/>
    </row>
    <row r="6252" ht="15.75" customHeight="1">
      <c r="A6252" s="25" t="str">
        <f>IFERROR(__xludf.DUMMYFUNCTION("IF(B6252="""","""",RIGHT(REGEXREPLACE(B6252&amp;"""",""[^0-9]"",""""),9))"),"704664414")</f>
        <v>704664414</v>
      </c>
      <c r="B6252" s="52">
        <v>7.04664414E8</v>
      </c>
      <c r="C6252" s="28" t="s">
        <v>6222</v>
      </c>
      <c r="D6252" s="26" t="s">
        <v>56</v>
      </c>
      <c r="E6252" s="31">
        <v>46252.0</v>
      </c>
      <c r="F6252" s="25"/>
      <c r="G6252" s="26">
        <v>5.0</v>
      </c>
      <c r="H6252" s="26" t="s">
        <v>796</v>
      </c>
      <c r="I6252" s="26" t="s">
        <v>883</v>
      </c>
      <c r="J6252" s="25" t="str">
        <f t="shared" si="64"/>
        <v>No</v>
      </c>
      <c r="K6252" s="25" t="str">
        <f t="shared" si="65"/>
        <v/>
      </c>
      <c r="L6252" s="25" t="str">
        <f t="shared" si="66"/>
        <v/>
      </c>
      <c r="M6252" s="25"/>
      <c r="N6252" s="25"/>
      <c r="O6252" s="25"/>
      <c r="P6252" s="25"/>
    </row>
    <row r="6253" ht="15.75" customHeight="1">
      <c r="A6253" s="25" t="str">
        <f>IFERROR(__xludf.DUMMYFUNCTION("IF(B6253="""","""",RIGHT(REGEXREPLACE(B6253&amp;"""",""[^0-9]"",""""),9))"),"785155715")</f>
        <v>785155715</v>
      </c>
      <c r="B6253" s="52">
        <v>7.85155715E8</v>
      </c>
      <c r="C6253" s="28" t="s">
        <v>2884</v>
      </c>
      <c r="D6253" s="26" t="s">
        <v>56</v>
      </c>
      <c r="E6253" s="31">
        <v>46252.0</v>
      </c>
      <c r="F6253" s="26" t="s">
        <v>46</v>
      </c>
      <c r="G6253" s="26">
        <v>6.0</v>
      </c>
      <c r="H6253" s="26" t="s">
        <v>796</v>
      </c>
      <c r="I6253" s="26" t="s">
        <v>883</v>
      </c>
      <c r="J6253" s="25" t="str">
        <f t="shared" si="64"/>
        <v>Yes - see Previous F-Code</v>
      </c>
      <c r="K6253" s="25" t="str">
        <f t="shared" si="65"/>
        <v/>
      </c>
      <c r="L6253" s="25" t="str">
        <f t="shared" si="66"/>
        <v>F72639</v>
      </c>
      <c r="M6253" s="25"/>
      <c r="O6253" s="25"/>
    </row>
    <row r="6254" ht="15.75" customHeight="1">
      <c r="A6254" s="25" t="str">
        <f>IFERROR(__xludf.DUMMYFUNCTION("IF(B6254="""","""",RIGHT(REGEXREPLACE(B6254&amp;"""",""[^0-9]"",""""),9))"),"704183936")</f>
        <v>704183936</v>
      </c>
      <c r="B6254" s="52">
        <v>7.04183936E8</v>
      </c>
      <c r="C6254" s="28" t="s">
        <v>6223</v>
      </c>
      <c r="D6254" s="26" t="s">
        <v>56</v>
      </c>
      <c r="E6254" s="31">
        <v>46240.0</v>
      </c>
      <c r="F6254" s="26" t="s">
        <v>205</v>
      </c>
      <c r="G6254" s="26">
        <v>11.0</v>
      </c>
      <c r="H6254" s="26" t="s">
        <v>796</v>
      </c>
      <c r="I6254" s="26" t="s">
        <v>883</v>
      </c>
      <c r="J6254" s="25" t="str">
        <f t="shared" si="64"/>
        <v>No</v>
      </c>
      <c r="K6254" s="25" t="str">
        <f t="shared" si="65"/>
        <v/>
      </c>
      <c r="L6254" s="25" t="str">
        <f t="shared" si="66"/>
        <v/>
      </c>
      <c r="M6254" s="25"/>
      <c r="O6254" s="25"/>
    </row>
    <row r="6255" ht="15.75" customHeight="1">
      <c r="A6255" s="25" t="str">
        <f>IFERROR(__xludf.DUMMYFUNCTION("IF(B6255="""","""",RIGHT(REGEXREPLACE(B6255&amp;"""",""[^0-9]"",""""),9))"),"724246860")</f>
        <v>724246860</v>
      </c>
      <c r="B6255" s="52">
        <v>7.2424686E8</v>
      </c>
      <c r="C6255" s="28" t="s">
        <v>3321</v>
      </c>
      <c r="D6255" s="26" t="s">
        <v>56</v>
      </c>
      <c r="E6255" s="31">
        <v>46240.0</v>
      </c>
      <c r="F6255" s="26" t="s">
        <v>46</v>
      </c>
      <c r="G6255" s="26">
        <v>7.0</v>
      </c>
      <c r="H6255" s="26" t="s">
        <v>796</v>
      </c>
      <c r="I6255" s="26" t="s">
        <v>883</v>
      </c>
      <c r="J6255" s="25" t="str">
        <f t="shared" si="64"/>
        <v>Yes - see Previous F-Code</v>
      </c>
      <c r="K6255" s="25" t="str">
        <f t="shared" si="65"/>
        <v/>
      </c>
      <c r="L6255" s="25" t="str">
        <f t="shared" si="66"/>
        <v>F72984</v>
      </c>
      <c r="M6255" s="25"/>
      <c r="O6255" s="25"/>
    </row>
    <row r="6256" ht="15.75" customHeight="1">
      <c r="A6256" s="25" t="str">
        <f>IFERROR(__xludf.DUMMYFUNCTION("IF(B6256="""","""",RIGHT(REGEXREPLACE(B6256&amp;"""",""[^0-9]"",""""),9))"),"768726859")</f>
        <v>768726859</v>
      </c>
      <c r="B6256" s="52">
        <v>7.68726859E8</v>
      </c>
      <c r="C6256" s="28" t="s">
        <v>6224</v>
      </c>
      <c r="D6256" s="26" t="s">
        <v>56</v>
      </c>
      <c r="E6256" s="31">
        <v>46240.0</v>
      </c>
      <c r="F6256" s="26" t="s">
        <v>125</v>
      </c>
      <c r="G6256" s="26">
        <v>10.0</v>
      </c>
      <c r="H6256" s="26" t="s">
        <v>796</v>
      </c>
      <c r="I6256" s="26" t="s">
        <v>883</v>
      </c>
      <c r="J6256" s="25" t="str">
        <f t="shared" si="64"/>
        <v>No</v>
      </c>
      <c r="K6256" s="25" t="str">
        <f t="shared" si="65"/>
        <v/>
      </c>
      <c r="L6256" s="25" t="str">
        <f t="shared" si="66"/>
        <v/>
      </c>
      <c r="M6256" s="25"/>
      <c r="O6256" s="25"/>
    </row>
    <row r="6257" ht="15.75" customHeight="1">
      <c r="A6257" s="25" t="str">
        <f>IFERROR(__xludf.DUMMYFUNCTION("IF(B6257="""","""",RIGHT(REGEXREPLACE(B6257&amp;"""",""[^0-9]"",""""),9))"),"757005056")</f>
        <v>757005056</v>
      </c>
      <c r="B6257" s="52">
        <v>7.57005056E8</v>
      </c>
      <c r="C6257" s="28" t="s">
        <v>4203</v>
      </c>
      <c r="D6257" s="26" t="s">
        <v>56</v>
      </c>
      <c r="E6257" s="31">
        <v>46240.0</v>
      </c>
      <c r="F6257" s="26" t="s">
        <v>167</v>
      </c>
      <c r="G6257" s="26">
        <v>9.0</v>
      </c>
      <c r="H6257" s="26" t="s">
        <v>796</v>
      </c>
      <c r="I6257" s="26" t="s">
        <v>883</v>
      </c>
      <c r="J6257" s="25" t="str">
        <f t="shared" si="64"/>
        <v>Yes - see Previous F-Code</v>
      </c>
      <c r="K6257" s="25" t="str">
        <f t="shared" si="65"/>
        <v/>
      </c>
      <c r="L6257" s="25" t="str">
        <f t="shared" si="66"/>
        <v>F73836</v>
      </c>
      <c r="M6257" s="25"/>
      <c r="O6257" s="25"/>
    </row>
    <row r="6258" ht="15.75" customHeight="1">
      <c r="A6258" s="25" t="str">
        <f>IFERROR(__xludf.DUMMYFUNCTION("IF(B6258="""","""",RIGHT(REGEXREPLACE(B6258&amp;"""",""[^0-9]"",""""),9))"),"772151296")</f>
        <v>772151296</v>
      </c>
      <c r="B6258" s="52">
        <v>7.72151296E8</v>
      </c>
      <c r="C6258" s="28" t="s">
        <v>6225</v>
      </c>
      <c r="D6258" s="26" t="s">
        <v>56</v>
      </c>
      <c r="E6258" s="31">
        <v>46240.0</v>
      </c>
      <c r="F6258" s="26" t="s">
        <v>46</v>
      </c>
      <c r="G6258" s="26">
        <v>10.0</v>
      </c>
      <c r="H6258" s="26" t="s">
        <v>796</v>
      </c>
      <c r="I6258" s="26" t="s">
        <v>883</v>
      </c>
      <c r="J6258" s="25" t="str">
        <f t="shared" si="64"/>
        <v>No</v>
      </c>
      <c r="K6258" s="25" t="str">
        <f t="shared" si="65"/>
        <v/>
      </c>
      <c r="L6258" s="25" t="str">
        <f t="shared" si="66"/>
        <v/>
      </c>
      <c r="M6258" s="25"/>
      <c r="O6258" s="25"/>
    </row>
    <row r="6259" ht="15.75" customHeight="1">
      <c r="A6259" s="25" t="str">
        <f>IFERROR(__xludf.DUMMYFUNCTION("IF(B6259="""","""",RIGHT(REGEXREPLACE(B6259&amp;"""",""[^0-9]"",""""),9))"),"713440671")</f>
        <v>713440671</v>
      </c>
      <c r="B6259" s="52">
        <v>7.13440671E8</v>
      </c>
      <c r="C6259" s="28" t="s">
        <v>6226</v>
      </c>
      <c r="D6259" s="26" t="s">
        <v>56</v>
      </c>
      <c r="E6259" s="31">
        <v>46240.0</v>
      </c>
      <c r="F6259" s="26" t="s">
        <v>41</v>
      </c>
      <c r="G6259" s="26">
        <v>9.0</v>
      </c>
      <c r="I6259" s="26" t="s">
        <v>883</v>
      </c>
      <c r="J6259" s="25" t="str">
        <f t="shared" si="64"/>
        <v>No</v>
      </c>
      <c r="K6259" s="25" t="str">
        <f t="shared" si="65"/>
        <v/>
      </c>
      <c r="L6259" s="25" t="str">
        <f t="shared" si="66"/>
        <v/>
      </c>
      <c r="M6259" s="25"/>
      <c r="O6259" s="25"/>
    </row>
    <row r="6260" ht="15.75" customHeight="1">
      <c r="A6260" s="25" t="str">
        <f>IFERROR(__xludf.DUMMYFUNCTION("IF(B6260="""","""",RIGHT(REGEXREPLACE(B6260&amp;"""",""[^0-9]"",""""),9))"),"768623788")</f>
        <v>768623788</v>
      </c>
      <c r="B6260" s="52">
        <v>7.68623788E8</v>
      </c>
      <c r="C6260" s="28" t="s">
        <v>6227</v>
      </c>
      <c r="D6260" s="26" t="s">
        <v>64</v>
      </c>
      <c r="E6260" s="31">
        <v>46240.0</v>
      </c>
      <c r="F6260" s="26" t="s">
        <v>46</v>
      </c>
      <c r="G6260" s="26">
        <v>10.0</v>
      </c>
      <c r="H6260" s="26" t="s">
        <v>1526</v>
      </c>
      <c r="I6260" s="26" t="s">
        <v>883</v>
      </c>
      <c r="J6260" s="25" t="str">
        <f t="shared" si="64"/>
        <v>No</v>
      </c>
      <c r="K6260" s="25" t="str">
        <f t="shared" si="65"/>
        <v/>
      </c>
      <c r="L6260" s="25" t="str">
        <f t="shared" si="66"/>
        <v/>
      </c>
      <c r="M6260" s="25"/>
      <c r="O6260" s="25"/>
    </row>
    <row r="6261" ht="15.75" customHeight="1">
      <c r="A6261" s="25" t="str">
        <f>IFERROR(__xludf.DUMMYFUNCTION("IF(B6261="""","""",RIGHT(REGEXREPLACE(B6261&amp;"""",""[^0-9]"",""""),9))"),"768455949")</f>
        <v>768455949</v>
      </c>
      <c r="B6261" s="52">
        <v>7.68455949E8</v>
      </c>
      <c r="C6261" s="28" t="s">
        <v>6228</v>
      </c>
      <c r="D6261" s="26" t="s">
        <v>56</v>
      </c>
      <c r="E6261" s="31">
        <v>46240.0</v>
      </c>
      <c r="F6261" s="26" t="s">
        <v>41</v>
      </c>
      <c r="G6261" s="26">
        <v>9.0</v>
      </c>
      <c r="I6261" s="26" t="s">
        <v>883</v>
      </c>
      <c r="J6261" s="25" t="str">
        <f t="shared" si="64"/>
        <v>No</v>
      </c>
      <c r="K6261" s="25" t="str">
        <f t="shared" si="65"/>
        <v/>
      </c>
      <c r="L6261" s="25" t="str">
        <f t="shared" si="66"/>
        <v/>
      </c>
      <c r="M6261" s="25"/>
      <c r="O6261" s="25"/>
    </row>
    <row r="6262" ht="15.75" customHeight="1">
      <c r="A6262" s="25" t="str">
        <f>IFERROR(__xludf.DUMMYFUNCTION("IF(B6262="""","""",RIGHT(REGEXREPLACE(B6262&amp;"""",""[^0-9]"",""""),9))"),"740202641")</f>
        <v>740202641</v>
      </c>
      <c r="B6262" s="52">
        <v>7.40202641E8</v>
      </c>
      <c r="C6262" s="28" t="s">
        <v>6229</v>
      </c>
      <c r="D6262" s="26" t="s">
        <v>56</v>
      </c>
      <c r="E6262" s="31">
        <v>46240.0</v>
      </c>
      <c r="F6262" s="26" t="s">
        <v>41</v>
      </c>
      <c r="G6262" s="26">
        <v>9.0</v>
      </c>
      <c r="I6262" s="26" t="s">
        <v>883</v>
      </c>
      <c r="J6262" s="25" t="str">
        <f t="shared" si="64"/>
        <v>No</v>
      </c>
      <c r="K6262" s="25" t="str">
        <f t="shared" si="65"/>
        <v/>
      </c>
      <c r="L6262" s="25" t="str">
        <f t="shared" si="66"/>
        <v/>
      </c>
      <c r="M6262" s="25"/>
      <c r="O6262" s="25"/>
    </row>
    <row r="6263" ht="15.75" customHeight="1">
      <c r="A6263" s="25" t="str">
        <f>IFERROR(__xludf.DUMMYFUNCTION("IF(B6263="""","""",RIGHT(REGEXREPLACE(B6263&amp;"""",""[^0-9]"",""""),9))"),"710156067")</f>
        <v>710156067</v>
      </c>
      <c r="B6263" s="52">
        <v>7.10156067E8</v>
      </c>
      <c r="C6263" s="28" t="s">
        <v>5748</v>
      </c>
      <c r="D6263" s="26" t="s">
        <v>64</v>
      </c>
      <c r="E6263" s="31">
        <v>46240.0</v>
      </c>
      <c r="F6263" s="26" t="s">
        <v>41</v>
      </c>
      <c r="H6263" s="26" t="s">
        <v>1526</v>
      </c>
      <c r="I6263" s="26" t="s">
        <v>883</v>
      </c>
      <c r="J6263" s="25" t="str">
        <f t="shared" si="64"/>
        <v>Yes - see Previous F-Code</v>
      </c>
      <c r="K6263" s="25" t="str">
        <f t="shared" si="65"/>
        <v>DUPLICATE - CHECK</v>
      </c>
      <c r="L6263" s="25" t="str">
        <f t="shared" si="66"/>
        <v>F75195</v>
      </c>
      <c r="M6263" s="25"/>
      <c r="O6263" s="25"/>
    </row>
    <row r="6264" ht="15.75" customHeight="1">
      <c r="A6264" s="25" t="str">
        <f>IFERROR(__xludf.DUMMYFUNCTION("IF(B6264="""","""",RIGHT(REGEXREPLACE(B6264&amp;"""",""[^0-9]"",""""),9))"),"719914917")</f>
        <v>719914917</v>
      </c>
      <c r="B6264" s="52">
        <v>7.19914917E8</v>
      </c>
      <c r="C6264" s="28" t="s">
        <v>6230</v>
      </c>
      <c r="D6264" s="26" t="s">
        <v>45</v>
      </c>
      <c r="E6264" s="31">
        <v>46240.0</v>
      </c>
      <c r="F6264" s="26" t="s">
        <v>46</v>
      </c>
      <c r="G6264" s="26">
        <v>9.0</v>
      </c>
      <c r="I6264" s="26" t="s">
        <v>883</v>
      </c>
      <c r="J6264" s="25" t="str">
        <f t="shared" si="64"/>
        <v>No</v>
      </c>
      <c r="K6264" s="25" t="str">
        <f t="shared" si="65"/>
        <v/>
      </c>
      <c r="L6264" s="25" t="str">
        <f t="shared" si="66"/>
        <v/>
      </c>
      <c r="M6264" s="25"/>
      <c r="O6264" s="26" t="s">
        <v>51</v>
      </c>
    </row>
    <row r="6265" ht="15.75" customHeight="1">
      <c r="A6265" s="25" t="str">
        <f>IFERROR(__xludf.DUMMYFUNCTION("IF(B6265="""","""",RIGHT(REGEXREPLACE(B6265&amp;"""",""[^0-9]"",""""),9))"),"760059238")</f>
        <v>760059238</v>
      </c>
      <c r="B6265" s="52">
        <v>7.60059238E8</v>
      </c>
      <c r="C6265" s="28" t="s">
        <v>6150</v>
      </c>
      <c r="D6265" s="26" t="s">
        <v>56</v>
      </c>
      <c r="E6265" s="31">
        <v>46240.0</v>
      </c>
      <c r="F6265" s="26" t="s">
        <v>46</v>
      </c>
      <c r="G6265" s="26">
        <v>11.0</v>
      </c>
      <c r="I6265" s="26" t="s">
        <v>883</v>
      </c>
      <c r="J6265" s="25" t="str">
        <f t="shared" si="64"/>
        <v>Yes - see Previous F-Code</v>
      </c>
      <c r="K6265" s="25" t="str">
        <f t="shared" si="65"/>
        <v>DUPLICATE - CHECK</v>
      </c>
      <c r="L6265" s="25" t="str">
        <f t="shared" si="66"/>
        <v>F75554</v>
      </c>
      <c r="M6265" s="25"/>
      <c r="O6265" s="25"/>
    </row>
    <row r="6266" ht="15.75" customHeight="1">
      <c r="A6266" s="25" t="str">
        <f>IFERROR(__xludf.DUMMYFUNCTION("IF(B6266="""","""",RIGHT(REGEXREPLACE(B6266&amp;"""",""[^0-9]"",""""),9))"),"760726646")</f>
        <v>760726646</v>
      </c>
      <c r="B6266" s="52">
        <v>7.60726646E8</v>
      </c>
      <c r="C6266" s="28" t="s">
        <v>5059</v>
      </c>
      <c r="D6266" s="26" t="s">
        <v>64</v>
      </c>
      <c r="E6266" s="31">
        <v>46240.0</v>
      </c>
      <c r="F6266" s="26" t="s">
        <v>41</v>
      </c>
      <c r="G6266" s="26">
        <v>7.0</v>
      </c>
      <c r="I6266" s="26" t="s">
        <v>883</v>
      </c>
      <c r="J6266" s="25" t="str">
        <f t="shared" si="64"/>
        <v>Yes - see Previous F-Code</v>
      </c>
      <c r="K6266" s="25" t="str">
        <f t="shared" si="65"/>
        <v/>
      </c>
      <c r="L6266" s="25" t="str">
        <f t="shared" si="66"/>
        <v>F74610</v>
      </c>
      <c r="M6266" s="25"/>
      <c r="O6266" s="25"/>
    </row>
    <row r="6267" ht="15.75" customHeight="1">
      <c r="A6267" s="25" t="str">
        <f>IFERROR(__xludf.DUMMYFUNCTION("IF(B6267="""","""",RIGHT(REGEXREPLACE(B6267&amp;"""",""[^0-9]"",""""),9))"),"775086738")</f>
        <v>775086738</v>
      </c>
      <c r="B6267" s="52">
        <v>7.75086738E8</v>
      </c>
      <c r="C6267" s="28" t="s">
        <v>6231</v>
      </c>
      <c r="D6267" s="26" t="s">
        <v>64</v>
      </c>
      <c r="E6267" s="31">
        <v>46240.0</v>
      </c>
      <c r="F6267" s="26" t="s">
        <v>46</v>
      </c>
      <c r="G6267" s="26">
        <v>9.0</v>
      </c>
      <c r="I6267" s="26" t="s">
        <v>883</v>
      </c>
      <c r="J6267" s="25" t="str">
        <f t="shared" si="64"/>
        <v>No</v>
      </c>
      <c r="K6267" s="25" t="str">
        <f t="shared" si="65"/>
        <v/>
      </c>
      <c r="L6267" s="25" t="str">
        <f t="shared" si="66"/>
        <v/>
      </c>
      <c r="M6267" s="25"/>
      <c r="O6267" s="26" t="s">
        <v>51</v>
      </c>
    </row>
    <row r="6268" ht="15.75" customHeight="1">
      <c r="A6268" s="25" t="str">
        <f>IFERROR(__xludf.DUMMYFUNCTION("IF(B6268="""","""",RIGHT(REGEXREPLACE(B6268&amp;"""",""[^0-9]"",""""),9))"),"766951669")</f>
        <v>766951669</v>
      </c>
      <c r="B6268" s="52">
        <v>7.66951669E8</v>
      </c>
      <c r="C6268" s="28" t="s">
        <v>731</v>
      </c>
      <c r="D6268" s="26" t="s">
        <v>56</v>
      </c>
      <c r="E6268" s="31">
        <v>46240.0</v>
      </c>
      <c r="F6268" s="26" t="s">
        <v>41</v>
      </c>
      <c r="G6268" s="26">
        <v>11.0</v>
      </c>
      <c r="I6268" s="26" t="s">
        <v>883</v>
      </c>
      <c r="J6268" s="25" t="str">
        <f t="shared" si="64"/>
        <v>Yes - see Previous F-Code</v>
      </c>
      <c r="K6268" s="25" t="str">
        <f t="shared" si="65"/>
        <v/>
      </c>
      <c r="L6268" s="25" t="str">
        <f t="shared" si="66"/>
        <v>F70517</v>
      </c>
      <c r="M6268" s="25"/>
      <c r="O6268" s="25"/>
    </row>
    <row r="6269" ht="15.75" customHeight="1">
      <c r="A6269" s="25" t="str">
        <f>IFERROR(__xludf.DUMMYFUNCTION("IF(B6269="""","""",RIGHT(REGEXREPLACE(B6269&amp;"""",""[^0-9]"",""""),9))"),"764051556")</f>
        <v>764051556</v>
      </c>
      <c r="B6269" s="52">
        <v>7.64051556E8</v>
      </c>
      <c r="C6269" s="28" t="s">
        <v>6098</v>
      </c>
      <c r="D6269" s="26" t="s">
        <v>64</v>
      </c>
      <c r="E6269" s="31">
        <v>46240.0</v>
      </c>
      <c r="F6269" s="26" t="s">
        <v>41</v>
      </c>
      <c r="G6269" s="26">
        <v>10.0</v>
      </c>
      <c r="I6269" s="26" t="s">
        <v>883</v>
      </c>
      <c r="J6269" s="25" t="str">
        <f t="shared" si="64"/>
        <v>Yes - see Previous F-Code</v>
      </c>
      <c r="K6269" s="25" t="str">
        <f t="shared" si="65"/>
        <v>DUPLICATE - CHECK</v>
      </c>
      <c r="L6269" s="25" t="str">
        <f t="shared" si="66"/>
        <v>F75506</v>
      </c>
      <c r="M6269" s="25"/>
      <c r="O6269" s="25"/>
    </row>
    <row r="6270" ht="15.75" customHeight="1">
      <c r="A6270" s="25" t="str">
        <f>IFERROR(__xludf.DUMMYFUNCTION("IF(B6270="""","""",RIGHT(REGEXREPLACE(B6270&amp;"""",""[^0-9]"",""""),9))"),"775790628")</f>
        <v>775790628</v>
      </c>
      <c r="B6270" s="52">
        <v>7.75790628E8</v>
      </c>
      <c r="C6270" s="28" t="s">
        <v>6232</v>
      </c>
      <c r="D6270" s="26" t="s">
        <v>56</v>
      </c>
      <c r="E6270" s="31">
        <v>46240.0</v>
      </c>
      <c r="F6270" s="26" t="s">
        <v>659</v>
      </c>
      <c r="G6270" s="26">
        <v>10.0</v>
      </c>
      <c r="I6270" s="26" t="s">
        <v>883</v>
      </c>
      <c r="J6270" s="25" t="str">
        <f t="shared" si="64"/>
        <v>No</v>
      </c>
      <c r="K6270" s="25" t="str">
        <f t="shared" si="65"/>
        <v/>
      </c>
      <c r="L6270" s="25" t="str">
        <f t="shared" si="66"/>
        <v/>
      </c>
      <c r="M6270" s="25"/>
      <c r="O6270" s="25"/>
    </row>
    <row r="6271" ht="15.75" customHeight="1">
      <c r="A6271" s="25" t="str">
        <f>IFERROR(__xludf.DUMMYFUNCTION("IF(B6271="""","""",RIGHT(REGEXREPLACE(B6271&amp;"""",""[^0-9]"",""""),9))"),"777263746")</f>
        <v>777263746</v>
      </c>
      <c r="B6271" s="52">
        <v>7.77263746E8</v>
      </c>
      <c r="C6271" s="28" t="s">
        <v>6233</v>
      </c>
      <c r="D6271" s="52" t="s">
        <v>56</v>
      </c>
      <c r="E6271" s="31">
        <v>46240.0</v>
      </c>
      <c r="F6271" s="26" t="s">
        <v>41</v>
      </c>
      <c r="G6271" s="26">
        <v>8.0</v>
      </c>
      <c r="I6271" s="26" t="s">
        <v>883</v>
      </c>
      <c r="J6271" s="25" t="str">
        <f t="shared" si="64"/>
        <v>No</v>
      </c>
      <c r="K6271" s="25" t="str">
        <f t="shared" si="65"/>
        <v/>
      </c>
      <c r="L6271" s="25" t="str">
        <f t="shared" si="66"/>
        <v/>
      </c>
      <c r="M6271" s="25"/>
      <c r="O6271" s="25"/>
    </row>
    <row r="6272" ht="15.75" customHeight="1">
      <c r="A6272" s="25" t="str">
        <f>IFERROR(__xludf.DUMMYFUNCTION("IF(B6272="""","""",RIGHT(REGEXREPLACE(B6272&amp;"""",""[^0-9]"",""""),9))"),"716276656")</f>
        <v>716276656</v>
      </c>
      <c r="B6272" s="52">
        <v>7.16276656E8</v>
      </c>
      <c r="C6272" s="28" t="s">
        <v>3866</v>
      </c>
      <c r="D6272" s="26" t="s">
        <v>56</v>
      </c>
      <c r="E6272" s="31">
        <v>46240.0</v>
      </c>
      <c r="F6272" s="25"/>
      <c r="G6272" s="26">
        <v>11.0</v>
      </c>
      <c r="H6272" s="25"/>
      <c r="I6272" s="26" t="s">
        <v>883</v>
      </c>
      <c r="J6272" s="25" t="str">
        <f t="shared" si="64"/>
        <v>Yes - see Previous F-Code</v>
      </c>
      <c r="K6272" s="25" t="str">
        <f t="shared" si="65"/>
        <v/>
      </c>
      <c r="L6272" s="25" t="str">
        <f t="shared" si="66"/>
        <v>F73516</v>
      </c>
      <c r="M6272" s="25"/>
      <c r="N6272" s="25"/>
      <c r="O6272" s="25"/>
      <c r="P6272" s="25"/>
    </row>
    <row r="6273" ht="15.75" customHeight="1">
      <c r="A6273" s="25" t="str">
        <f>IFERROR(__xludf.DUMMYFUNCTION("IF(B6273="""","""",RIGHT(REGEXREPLACE(B6273&amp;"""",""[^0-9]"",""""),9))"),"")</f>
        <v/>
      </c>
      <c r="B6273" s="52"/>
      <c r="C6273" s="28" t="s">
        <v>6141</v>
      </c>
      <c r="D6273" s="26" t="s">
        <v>56</v>
      </c>
      <c r="E6273" s="31">
        <v>46240.0</v>
      </c>
      <c r="F6273" s="25"/>
      <c r="G6273" s="25"/>
      <c r="H6273" s="25"/>
      <c r="I6273" s="26" t="s">
        <v>883</v>
      </c>
      <c r="J6273" s="25" t="str">
        <f t="shared" si="64"/>
        <v>Yes - see Previous F-Code</v>
      </c>
      <c r="K6273" s="25" t="str">
        <f t="shared" si="65"/>
        <v>DUPLICATE - CHECK</v>
      </c>
      <c r="L6273" s="25" t="str">
        <f t="shared" si="66"/>
        <v/>
      </c>
      <c r="M6273" s="25"/>
      <c r="N6273" s="25"/>
      <c r="O6273" s="25"/>
      <c r="P6273" s="25"/>
    </row>
    <row r="6274" ht="15.75" customHeight="1">
      <c r="A6274" s="25" t="str">
        <f>IFERROR(__xludf.DUMMYFUNCTION("IF(B6274="""","""",RIGHT(REGEXREPLACE(B6274&amp;"""",""[^0-9]"",""""),9))"),"715496802")</f>
        <v>715496802</v>
      </c>
      <c r="B6274" s="52">
        <v>7.15496802E8</v>
      </c>
      <c r="C6274" s="116" t="s">
        <v>6234</v>
      </c>
      <c r="D6274" s="26" t="s">
        <v>82</v>
      </c>
      <c r="E6274" s="31">
        <v>46241.0</v>
      </c>
      <c r="F6274" s="26" t="s">
        <v>659</v>
      </c>
      <c r="G6274" s="26">
        <v>9.0</v>
      </c>
      <c r="I6274" s="26" t="s">
        <v>883</v>
      </c>
      <c r="J6274" s="25" t="str">
        <f t="shared" si="64"/>
        <v>No</v>
      </c>
      <c r="K6274" s="25" t="str">
        <f t="shared" si="65"/>
        <v/>
      </c>
      <c r="L6274" s="25" t="str">
        <f t="shared" si="66"/>
        <v/>
      </c>
      <c r="M6274" s="25"/>
      <c r="O6274" s="25"/>
    </row>
    <row r="6275" ht="15.75" customHeight="1">
      <c r="A6275" s="25" t="str">
        <f>IFERROR(__xludf.DUMMYFUNCTION("IF(B6275="""","""",RIGHT(REGEXREPLACE(B6275&amp;"""",""[^0-9]"",""""),9))"),"705313108")</f>
        <v>705313108</v>
      </c>
      <c r="B6275" s="52">
        <v>7.05313108E8</v>
      </c>
      <c r="C6275" s="28" t="s">
        <v>5934</v>
      </c>
      <c r="D6275" s="26" t="s">
        <v>45</v>
      </c>
      <c r="E6275" s="31">
        <v>46241.0</v>
      </c>
      <c r="F6275" s="26" t="s">
        <v>41</v>
      </c>
      <c r="G6275" s="26" t="s">
        <v>5800</v>
      </c>
      <c r="I6275" s="26" t="s">
        <v>883</v>
      </c>
      <c r="J6275" s="25" t="str">
        <f t="shared" si="64"/>
        <v>Yes - see Previous F-Code</v>
      </c>
      <c r="K6275" s="25" t="str">
        <f t="shared" si="65"/>
        <v>DUPLICATE - CHECK</v>
      </c>
      <c r="L6275" s="25" t="str">
        <f t="shared" si="66"/>
        <v>F75358</v>
      </c>
      <c r="M6275" s="25"/>
      <c r="O6275" s="25"/>
    </row>
    <row r="6276" ht="15.75" customHeight="1">
      <c r="A6276" s="25" t="str">
        <f>IFERROR(__xludf.DUMMYFUNCTION("IF(B6276="""","""",RIGHT(REGEXREPLACE(B6276&amp;"""",""[^0-9]"",""""),9))"),"760906713")</f>
        <v>760906713</v>
      </c>
      <c r="B6276" s="52">
        <v>7.60906713E8</v>
      </c>
      <c r="C6276" s="28" t="s">
        <v>3574</v>
      </c>
      <c r="D6276" s="26" t="s">
        <v>45</v>
      </c>
      <c r="E6276" s="31">
        <v>46241.0</v>
      </c>
      <c r="F6276" s="26" t="s">
        <v>46</v>
      </c>
      <c r="G6276" s="26">
        <v>8.0</v>
      </c>
      <c r="I6276" s="26" t="s">
        <v>883</v>
      </c>
      <c r="J6276" s="25" t="str">
        <f t="shared" si="64"/>
        <v>Yes - see Previous F-Code</v>
      </c>
      <c r="K6276" s="25" t="str">
        <f t="shared" si="65"/>
        <v>DUPLICATE - CHECK</v>
      </c>
      <c r="L6276" s="25" t="str">
        <f t="shared" si="66"/>
        <v>F73232</v>
      </c>
      <c r="M6276" s="25"/>
      <c r="O6276" s="25"/>
    </row>
    <row r="6277" ht="15.75" customHeight="1">
      <c r="A6277" s="25" t="str">
        <f>IFERROR(__xludf.DUMMYFUNCTION("IF(B6277="""","""",RIGHT(REGEXREPLACE(B6277&amp;"""",""[^0-9]"",""""),9))"),"772297938")</f>
        <v>772297938</v>
      </c>
      <c r="B6277" s="52">
        <v>7.72297938E8</v>
      </c>
      <c r="C6277" s="28" t="s">
        <v>6235</v>
      </c>
      <c r="D6277" s="26" t="s">
        <v>45</v>
      </c>
      <c r="E6277" s="31">
        <v>46241.0</v>
      </c>
      <c r="F6277" s="26" t="s">
        <v>46</v>
      </c>
      <c r="H6277" s="26" t="s">
        <v>6236</v>
      </c>
      <c r="I6277" s="26" t="s">
        <v>883</v>
      </c>
      <c r="J6277" s="25" t="str">
        <f t="shared" si="64"/>
        <v>No</v>
      </c>
      <c r="K6277" s="25" t="str">
        <f t="shared" si="65"/>
        <v/>
      </c>
      <c r="L6277" s="25" t="str">
        <f t="shared" si="66"/>
        <v/>
      </c>
      <c r="M6277" s="25"/>
      <c r="O6277" s="25"/>
    </row>
    <row r="6278" ht="15.75" customHeight="1">
      <c r="A6278" s="25" t="str">
        <f>IFERROR(__xludf.DUMMYFUNCTION("IF(B6278="""","""",RIGHT(REGEXREPLACE(B6278&amp;"""",""[^0-9]"",""""),9))"),"741528097")</f>
        <v>741528097</v>
      </c>
      <c r="B6278" s="52">
        <v>7.41528097E8</v>
      </c>
      <c r="C6278" s="28" t="s">
        <v>6237</v>
      </c>
      <c r="D6278" s="26" t="s">
        <v>82</v>
      </c>
      <c r="E6278" s="31">
        <v>46241.0</v>
      </c>
      <c r="F6278" s="26" t="s">
        <v>659</v>
      </c>
      <c r="H6278" s="26" t="s">
        <v>6236</v>
      </c>
      <c r="I6278" s="26" t="s">
        <v>883</v>
      </c>
      <c r="J6278" s="25" t="str">
        <f t="shared" si="64"/>
        <v>No</v>
      </c>
      <c r="K6278" s="25" t="str">
        <f t="shared" si="65"/>
        <v/>
      </c>
      <c r="L6278" s="25" t="str">
        <f t="shared" si="66"/>
        <v/>
      </c>
      <c r="M6278" s="25"/>
      <c r="O6278" s="25"/>
    </row>
    <row r="6279" ht="15.75" customHeight="1">
      <c r="A6279" s="25" t="str">
        <f>IFERROR(__xludf.DUMMYFUNCTION("IF(B6279="""","""",RIGHT(REGEXREPLACE(B6279&amp;"""",""[^0-9]"",""""),9))"),"740282066")</f>
        <v>740282066</v>
      </c>
      <c r="B6279" s="52">
        <v>7.40282066E8</v>
      </c>
      <c r="C6279" s="28" t="s">
        <v>6238</v>
      </c>
      <c r="D6279" s="26" t="s">
        <v>49</v>
      </c>
      <c r="E6279" s="31">
        <v>46241.0</v>
      </c>
      <c r="F6279" s="26" t="s">
        <v>205</v>
      </c>
      <c r="I6279" s="26" t="s">
        <v>883</v>
      </c>
      <c r="J6279" s="25" t="str">
        <f t="shared" si="64"/>
        <v>No</v>
      </c>
      <c r="K6279" s="25" t="str">
        <f t="shared" si="65"/>
        <v/>
      </c>
      <c r="L6279" s="25" t="str">
        <f t="shared" si="66"/>
        <v/>
      </c>
      <c r="M6279" s="25"/>
      <c r="O6279" s="25"/>
    </row>
    <row r="6280" ht="15.75" customHeight="1">
      <c r="A6280" s="25" t="str">
        <f>IFERROR(__xludf.DUMMYFUNCTION("IF(B6280="""","""",RIGHT(REGEXREPLACE(B6280&amp;"""",""[^0-9]"",""""),9))"),"714725877")</f>
        <v>714725877</v>
      </c>
      <c r="B6280" s="52">
        <v>7.14725877E8</v>
      </c>
      <c r="C6280" s="28" t="s">
        <v>6239</v>
      </c>
      <c r="D6280" s="26" t="s">
        <v>45</v>
      </c>
      <c r="E6280" s="31">
        <v>46241.0</v>
      </c>
      <c r="F6280" s="26" t="s">
        <v>46</v>
      </c>
      <c r="G6280" s="26">
        <v>9.0</v>
      </c>
      <c r="I6280" s="26" t="s">
        <v>883</v>
      </c>
      <c r="J6280" s="25" t="str">
        <f t="shared" si="64"/>
        <v>No</v>
      </c>
      <c r="K6280" s="25" t="str">
        <f t="shared" si="65"/>
        <v/>
      </c>
      <c r="L6280" s="25" t="str">
        <f t="shared" si="66"/>
        <v/>
      </c>
      <c r="M6280" s="25"/>
      <c r="O6280" s="25"/>
    </row>
    <row r="6281" ht="15.75" customHeight="1">
      <c r="A6281" s="25" t="str">
        <f>IFERROR(__xludf.DUMMYFUNCTION("IF(B6281="""","""",RIGHT(REGEXREPLACE(B6281&amp;"""",""[^0-9]"",""""),9))"),"717673398")</f>
        <v>717673398</v>
      </c>
      <c r="B6281" s="52">
        <v>7.17673398E8</v>
      </c>
      <c r="C6281" s="28" t="s">
        <v>2076</v>
      </c>
      <c r="D6281" s="26" t="s">
        <v>56</v>
      </c>
      <c r="E6281" s="31">
        <v>46241.0</v>
      </c>
      <c r="F6281" s="26" t="s">
        <v>125</v>
      </c>
      <c r="G6281" s="26">
        <v>11.0</v>
      </c>
      <c r="H6281" s="26" t="s">
        <v>6240</v>
      </c>
      <c r="I6281" s="26" t="s">
        <v>883</v>
      </c>
      <c r="J6281" s="25" t="str">
        <f t="shared" si="64"/>
        <v>Yes - see Previous F-Code</v>
      </c>
      <c r="K6281" s="25" t="str">
        <f t="shared" si="65"/>
        <v/>
      </c>
      <c r="L6281" s="25" t="str">
        <f t="shared" si="66"/>
        <v>F71777</v>
      </c>
      <c r="M6281" s="25"/>
      <c r="O6281" s="25"/>
    </row>
    <row r="6282" ht="15.75" customHeight="1">
      <c r="A6282" s="25" t="str">
        <f>IFERROR(__xludf.DUMMYFUNCTION("IF(B6282="""","""",RIGHT(REGEXREPLACE(B6282&amp;"""",""[^0-9]"",""""),9))"),"760581309")</f>
        <v>760581309</v>
      </c>
      <c r="B6282" s="52">
        <v>7.60581309E8</v>
      </c>
      <c r="C6282" s="28" t="s">
        <v>6241</v>
      </c>
      <c r="D6282" s="26" t="s">
        <v>49</v>
      </c>
      <c r="E6282" s="31">
        <v>46241.0</v>
      </c>
      <c r="F6282" s="26" t="s">
        <v>46</v>
      </c>
      <c r="G6282" s="26">
        <v>11.0</v>
      </c>
      <c r="I6282" s="26" t="s">
        <v>883</v>
      </c>
      <c r="J6282" s="25" t="str">
        <f t="shared" si="64"/>
        <v>No</v>
      </c>
      <c r="K6282" s="25" t="str">
        <f t="shared" si="65"/>
        <v/>
      </c>
      <c r="L6282" s="25" t="str">
        <f t="shared" si="66"/>
        <v/>
      </c>
      <c r="M6282" s="25"/>
      <c r="O6282" s="25"/>
    </row>
    <row r="6283" ht="15.75" customHeight="1">
      <c r="A6283" s="25" t="str">
        <f>IFERROR(__xludf.DUMMYFUNCTION("IF(B6283="""","""",RIGHT(REGEXREPLACE(B6283&amp;"""",""[^0-9]"",""""),9))"),"772523281")</f>
        <v>772523281</v>
      </c>
      <c r="B6283" s="52">
        <v>7.72523281E8</v>
      </c>
      <c r="C6283" s="28" t="s">
        <v>6242</v>
      </c>
      <c r="D6283" s="26" t="s">
        <v>82</v>
      </c>
      <c r="E6283" s="31">
        <v>46241.0</v>
      </c>
      <c r="F6283" s="26" t="s">
        <v>41</v>
      </c>
      <c r="G6283" s="26">
        <v>8.0</v>
      </c>
      <c r="I6283" s="26" t="s">
        <v>883</v>
      </c>
      <c r="J6283" s="25" t="str">
        <f t="shared" si="64"/>
        <v>No</v>
      </c>
      <c r="K6283" s="25" t="str">
        <f t="shared" si="65"/>
        <v/>
      </c>
      <c r="L6283" s="25" t="str">
        <f t="shared" si="66"/>
        <v/>
      </c>
      <c r="M6283" s="25"/>
      <c r="O6283" s="25"/>
    </row>
    <row r="6284" ht="15.75" customHeight="1">
      <c r="A6284" s="25" t="str">
        <f>IFERROR(__xludf.DUMMYFUNCTION("IF(B6284="""","""",RIGHT(REGEXREPLACE(B6284&amp;"""",""[^0-9]"",""""),9))"),"767702714")</f>
        <v>767702714</v>
      </c>
      <c r="B6284" s="52">
        <v>7.67702714E8</v>
      </c>
      <c r="C6284" s="28" t="s">
        <v>4455</v>
      </c>
      <c r="D6284" s="26" t="s">
        <v>64</v>
      </c>
      <c r="E6284" s="31">
        <v>46241.0</v>
      </c>
      <c r="F6284" s="26" t="s">
        <v>46</v>
      </c>
      <c r="H6284" s="26" t="s">
        <v>78</v>
      </c>
      <c r="I6284" s="26" t="s">
        <v>883</v>
      </c>
      <c r="J6284" s="25" t="str">
        <f t="shared" si="64"/>
        <v>Yes - see Previous F-Code</v>
      </c>
      <c r="K6284" s="25" t="str">
        <f t="shared" si="65"/>
        <v/>
      </c>
      <c r="L6284" s="25" t="str">
        <f t="shared" si="66"/>
        <v>F74072</v>
      </c>
      <c r="M6284" s="25"/>
      <c r="O6284" s="25"/>
    </row>
    <row r="6285" ht="15.75" customHeight="1">
      <c r="A6285" s="25" t="str">
        <f>IFERROR(__xludf.DUMMYFUNCTION("IF(B6285="""","""",RIGHT(REGEXREPLACE(B6285&amp;"""",""[^0-9]"",""""),9))"),"775560474")</f>
        <v>775560474</v>
      </c>
      <c r="B6285" s="52">
        <v>7.75560474E8</v>
      </c>
      <c r="C6285" s="28" t="s">
        <v>6243</v>
      </c>
      <c r="D6285" s="26" t="s">
        <v>56</v>
      </c>
      <c r="E6285" s="31">
        <v>46241.0</v>
      </c>
      <c r="F6285" s="26" t="s">
        <v>631</v>
      </c>
      <c r="G6285" s="26">
        <v>10.0</v>
      </c>
      <c r="I6285" s="26" t="s">
        <v>883</v>
      </c>
      <c r="J6285" s="25" t="str">
        <f t="shared" si="64"/>
        <v>No</v>
      </c>
      <c r="K6285" s="25" t="str">
        <f t="shared" si="65"/>
        <v/>
      </c>
      <c r="L6285" s="25" t="str">
        <f t="shared" si="66"/>
        <v/>
      </c>
      <c r="M6285" s="25"/>
      <c r="O6285" s="25"/>
    </row>
    <row r="6286" ht="15.75" customHeight="1">
      <c r="A6286" s="25" t="str">
        <f>IFERROR(__xludf.DUMMYFUNCTION("IF(B6286="""","""",RIGHT(REGEXREPLACE(B6286&amp;"""",""[^0-9]"",""""),9))"),"767474538")</f>
        <v>767474538</v>
      </c>
      <c r="B6286" s="52">
        <v>7.67474538E8</v>
      </c>
      <c r="C6286" s="28" t="s">
        <v>6244</v>
      </c>
      <c r="D6286" s="26" t="s">
        <v>82</v>
      </c>
      <c r="E6286" s="31">
        <v>46241.0</v>
      </c>
      <c r="F6286" s="26" t="s">
        <v>205</v>
      </c>
      <c r="G6286" s="26">
        <v>9.0</v>
      </c>
      <c r="I6286" s="26" t="s">
        <v>883</v>
      </c>
      <c r="J6286" s="25" t="str">
        <f t="shared" si="64"/>
        <v>No</v>
      </c>
      <c r="K6286" s="25" t="str">
        <f t="shared" si="65"/>
        <v/>
      </c>
      <c r="L6286" s="25" t="str">
        <f t="shared" si="66"/>
        <v/>
      </c>
      <c r="M6286" s="25"/>
      <c r="O6286" s="25"/>
    </row>
    <row r="6287" ht="15.75" customHeight="1">
      <c r="A6287" s="25" t="str">
        <f>IFERROR(__xludf.DUMMYFUNCTION("IF(B6287="""","""",RIGHT(REGEXREPLACE(B6287&amp;"""",""[^0-9]"",""""),9))"),"742565543")</f>
        <v>742565543</v>
      </c>
      <c r="B6287" s="52">
        <v>7.42565543E8</v>
      </c>
      <c r="C6287" s="28" t="s">
        <v>6245</v>
      </c>
      <c r="D6287" s="26" t="s">
        <v>64</v>
      </c>
      <c r="E6287" s="31">
        <v>46241.0</v>
      </c>
      <c r="F6287" s="26" t="s">
        <v>46</v>
      </c>
      <c r="G6287" s="26">
        <v>9.0</v>
      </c>
      <c r="I6287" s="26" t="s">
        <v>883</v>
      </c>
      <c r="J6287" s="25" t="str">
        <f t="shared" si="64"/>
        <v>No</v>
      </c>
      <c r="K6287" s="25" t="str">
        <f t="shared" si="65"/>
        <v/>
      </c>
      <c r="L6287" s="25" t="str">
        <f t="shared" si="66"/>
        <v/>
      </c>
      <c r="M6287" s="25"/>
      <c r="O6287" s="25"/>
    </row>
    <row r="6288" ht="15.75" customHeight="1">
      <c r="A6288" s="25" t="str">
        <f>IFERROR(__xludf.DUMMYFUNCTION("IF(B6288="""","""",RIGHT(REGEXREPLACE(B6288&amp;"""",""[^0-9]"",""""),9))"),"774820694")</f>
        <v>774820694</v>
      </c>
      <c r="B6288" s="52">
        <v>7.74820694E8</v>
      </c>
      <c r="C6288" s="28" t="s">
        <v>6246</v>
      </c>
      <c r="D6288" s="26" t="s">
        <v>45</v>
      </c>
      <c r="E6288" s="31">
        <v>46241.0</v>
      </c>
      <c r="F6288" s="26" t="s">
        <v>46</v>
      </c>
      <c r="G6288" s="26">
        <v>11.0</v>
      </c>
      <c r="I6288" s="26" t="s">
        <v>883</v>
      </c>
      <c r="J6288" s="25" t="str">
        <f t="shared" si="64"/>
        <v>No</v>
      </c>
      <c r="K6288" s="25" t="str">
        <f t="shared" si="65"/>
        <v/>
      </c>
      <c r="L6288" s="25" t="str">
        <f t="shared" si="66"/>
        <v/>
      </c>
      <c r="M6288" s="25"/>
      <c r="O6288" s="25"/>
    </row>
    <row r="6289" ht="15.75" customHeight="1">
      <c r="A6289" s="25" t="str">
        <f>IFERROR(__xludf.DUMMYFUNCTION("IF(B6289="""","""",RIGHT(REGEXREPLACE(B6289&amp;"""",""[^0-9]"",""""),9))"),"773108754")</f>
        <v>773108754</v>
      </c>
      <c r="B6289" s="52">
        <v>7.73108754E8</v>
      </c>
      <c r="C6289" s="28" t="s">
        <v>4032</v>
      </c>
      <c r="D6289" s="26" t="s">
        <v>49</v>
      </c>
      <c r="E6289" s="31">
        <v>46241.0</v>
      </c>
      <c r="F6289" s="26" t="s">
        <v>659</v>
      </c>
      <c r="G6289" s="26">
        <v>11.0</v>
      </c>
      <c r="I6289" s="26" t="s">
        <v>883</v>
      </c>
      <c r="J6289" s="25" t="str">
        <f t="shared" si="64"/>
        <v>Yes - see Previous F-Code</v>
      </c>
      <c r="K6289" s="25" t="str">
        <f t="shared" si="65"/>
        <v/>
      </c>
      <c r="L6289" s="25" t="str">
        <f t="shared" si="66"/>
        <v>F73677</v>
      </c>
      <c r="M6289" s="25"/>
      <c r="O6289" s="25"/>
    </row>
    <row r="6290" ht="15.75" customHeight="1">
      <c r="A6290" s="25" t="str">
        <f>IFERROR(__xludf.DUMMYFUNCTION("IF(B6290="""","""",RIGHT(REGEXREPLACE(B6290&amp;"""",""[^0-9]"",""""),9))"),"776621894")</f>
        <v>776621894</v>
      </c>
      <c r="B6290" s="52">
        <v>7.76621894E8</v>
      </c>
      <c r="C6290" s="28" t="s">
        <v>6247</v>
      </c>
      <c r="D6290" s="26" t="s">
        <v>56</v>
      </c>
      <c r="E6290" s="31">
        <v>46241.0</v>
      </c>
      <c r="F6290" s="26" t="s">
        <v>46</v>
      </c>
      <c r="G6290" s="26">
        <v>10.0</v>
      </c>
      <c r="I6290" s="26" t="s">
        <v>883</v>
      </c>
      <c r="J6290" s="25" t="str">
        <f t="shared" si="64"/>
        <v>No</v>
      </c>
      <c r="K6290" s="25" t="str">
        <f t="shared" si="65"/>
        <v/>
      </c>
      <c r="L6290" s="25" t="str">
        <f t="shared" si="66"/>
        <v/>
      </c>
      <c r="M6290" s="25"/>
      <c r="O6290" s="25"/>
    </row>
    <row r="6291" ht="15.75" customHeight="1">
      <c r="A6291" s="25" t="str">
        <f>IFERROR(__xludf.DUMMYFUNCTION("IF(B6291="""","""",RIGHT(REGEXREPLACE(B6291&amp;"""",""[^0-9]"",""""),9))"),"762795752")</f>
        <v>762795752</v>
      </c>
      <c r="B6291" s="52">
        <v>7.62795752E8</v>
      </c>
      <c r="C6291" s="28" t="s">
        <v>6248</v>
      </c>
      <c r="D6291" s="26" t="s">
        <v>82</v>
      </c>
      <c r="E6291" s="31">
        <v>46241.0</v>
      </c>
      <c r="F6291" s="26" t="s">
        <v>41</v>
      </c>
      <c r="G6291" s="26">
        <v>10.0</v>
      </c>
      <c r="I6291" s="26" t="s">
        <v>883</v>
      </c>
      <c r="J6291" s="25" t="str">
        <f t="shared" si="64"/>
        <v>No</v>
      </c>
      <c r="K6291" s="25" t="str">
        <f t="shared" si="65"/>
        <v/>
      </c>
      <c r="L6291" s="25" t="str">
        <f t="shared" si="66"/>
        <v/>
      </c>
      <c r="M6291" s="25"/>
      <c r="O6291" s="25"/>
    </row>
    <row r="6292" ht="15.75" customHeight="1">
      <c r="A6292" s="25" t="str">
        <f>IFERROR(__xludf.DUMMYFUNCTION("IF(B6292="""","""",RIGHT(REGEXREPLACE(B6292&amp;"""",""[^0-9]"",""""),9))"),"741018281")</f>
        <v>741018281</v>
      </c>
      <c r="B6292" s="52">
        <v>7.41018281E8</v>
      </c>
      <c r="C6292" s="28" t="s">
        <v>3989</v>
      </c>
      <c r="D6292" s="26" t="s">
        <v>45</v>
      </c>
      <c r="E6292" s="31">
        <v>46241.0</v>
      </c>
      <c r="F6292" s="26" t="s">
        <v>46</v>
      </c>
      <c r="G6292" s="26">
        <v>6.0</v>
      </c>
      <c r="H6292" s="26" t="s">
        <v>6249</v>
      </c>
      <c r="I6292" s="26" t="s">
        <v>883</v>
      </c>
      <c r="J6292" s="25" t="str">
        <f t="shared" si="64"/>
        <v>Yes - see Previous F-Code</v>
      </c>
      <c r="K6292" s="25" t="str">
        <f t="shared" si="65"/>
        <v/>
      </c>
      <c r="L6292" s="25" t="str">
        <f t="shared" si="66"/>
        <v>F73635</v>
      </c>
      <c r="M6292" s="25"/>
      <c r="O6292" s="25"/>
    </row>
    <row r="6293" ht="15.75" customHeight="1">
      <c r="A6293" s="25" t="str">
        <f>IFERROR(__xludf.DUMMYFUNCTION("IF(B6293="""","""",RIGHT(REGEXREPLACE(B6293&amp;"""",""[^0-9]"",""""),9))"),"763752478")</f>
        <v>763752478</v>
      </c>
      <c r="B6293" s="52">
        <v>7.63752478E8</v>
      </c>
      <c r="C6293" s="28" t="s">
        <v>6250</v>
      </c>
      <c r="D6293" s="26" t="s">
        <v>64</v>
      </c>
      <c r="E6293" s="31">
        <v>46241.0</v>
      </c>
      <c r="F6293" s="26" t="s">
        <v>46</v>
      </c>
      <c r="G6293" s="26">
        <v>10.0</v>
      </c>
      <c r="I6293" s="26" t="s">
        <v>883</v>
      </c>
      <c r="J6293" s="25" t="str">
        <f t="shared" si="64"/>
        <v>No</v>
      </c>
      <c r="K6293" s="25" t="str">
        <f t="shared" si="65"/>
        <v/>
      </c>
      <c r="L6293" s="25" t="str">
        <f t="shared" si="66"/>
        <v/>
      </c>
      <c r="M6293" s="25"/>
      <c r="O6293" s="25"/>
    </row>
    <row r="6294" ht="15.75" customHeight="1">
      <c r="A6294" s="25" t="str">
        <f>IFERROR(__xludf.DUMMYFUNCTION("IF(B6294="""","""",RIGHT(REGEXREPLACE(B6294&amp;"""",""[^0-9]"",""""),9))"),"707637709")</f>
        <v>707637709</v>
      </c>
      <c r="B6294" s="52">
        <v>7.07637709E8</v>
      </c>
      <c r="C6294" s="28" t="s">
        <v>6251</v>
      </c>
      <c r="D6294" s="26" t="s">
        <v>56</v>
      </c>
      <c r="E6294" s="31">
        <v>46241.0</v>
      </c>
      <c r="F6294" s="26" t="s">
        <v>41</v>
      </c>
      <c r="G6294" s="26">
        <v>11.0</v>
      </c>
      <c r="I6294" s="26" t="s">
        <v>883</v>
      </c>
      <c r="J6294" s="25" t="str">
        <f t="shared" si="64"/>
        <v>No</v>
      </c>
      <c r="K6294" s="25" t="str">
        <f t="shared" si="65"/>
        <v/>
      </c>
      <c r="L6294" s="25" t="str">
        <f t="shared" si="66"/>
        <v/>
      </c>
      <c r="M6294" s="25"/>
      <c r="O6294" s="25"/>
    </row>
    <row r="6295" ht="15.75" customHeight="1">
      <c r="A6295" s="25" t="str">
        <f>IFERROR(__xludf.DUMMYFUNCTION("IF(B6295="""","""",RIGHT(REGEXREPLACE(B6295&amp;"""",""[^0-9]"",""""),9))"),"770225101")</f>
        <v>770225101</v>
      </c>
      <c r="B6295" s="52">
        <v>7.70225101E8</v>
      </c>
      <c r="C6295" s="28" t="s">
        <v>5835</v>
      </c>
      <c r="D6295" s="26" t="s">
        <v>56</v>
      </c>
      <c r="E6295" s="31">
        <v>46241.0</v>
      </c>
      <c r="F6295" s="26" t="s">
        <v>46</v>
      </c>
      <c r="G6295" s="26">
        <v>10.0</v>
      </c>
      <c r="I6295" s="26" t="s">
        <v>883</v>
      </c>
      <c r="J6295" s="25" t="str">
        <f t="shared" si="64"/>
        <v>Yes - see Previous F-Code</v>
      </c>
      <c r="K6295" s="25" t="str">
        <f t="shared" si="65"/>
        <v>DUPLICATE - CHECK</v>
      </c>
      <c r="L6295" s="25" t="str">
        <f t="shared" si="66"/>
        <v>F75269</v>
      </c>
      <c r="M6295" s="25"/>
      <c r="O6295" s="25"/>
    </row>
    <row r="6296" ht="15.75" customHeight="1">
      <c r="A6296" s="25" t="str">
        <f>IFERROR(__xludf.DUMMYFUNCTION("IF(B6296="""","""",RIGHT(REGEXREPLACE(B6296&amp;"""",""[^0-9]"",""""),9))"),"774736373")</f>
        <v>774736373</v>
      </c>
      <c r="B6296" s="52">
        <v>7.74736373E8</v>
      </c>
      <c r="C6296" s="28" t="s">
        <v>6252</v>
      </c>
      <c r="D6296" s="26" t="s">
        <v>82</v>
      </c>
      <c r="E6296" s="31">
        <v>46241.0</v>
      </c>
      <c r="F6296" s="26" t="s">
        <v>41</v>
      </c>
      <c r="I6296" s="26" t="s">
        <v>883</v>
      </c>
      <c r="J6296" s="25" t="str">
        <f t="shared" si="64"/>
        <v>No</v>
      </c>
      <c r="K6296" s="25" t="str">
        <f t="shared" si="65"/>
        <v/>
      </c>
      <c r="L6296" s="25" t="str">
        <f t="shared" si="66"/>
        <v/>
      </c>
      <c r="M6296" s="25"/>
      <c r="O6296" s="25"/>
    </row>
    <row r="6297" ht="15.75" customHeight="1">
      <c r="A6297" s="25" t="str">
        <f>IFERROR(__xludf.DUMMYFUNCTION("IF(B6297="""","""",RIGHT(REGEXREPLACE(B6297&amp;"""",""[^0-9]"",""""),9))"),"715682301")</f>
        <v>715682301</v>
      </c>
      <c r="B6297" s="52">
        <v>7.15682301E8</v>
      </c>
      <c r="C6297" s="28" t="s">
        <v>6253</v>
      </c>
      <c r="D6297" s="26" t="s">
        <v>45</v>
      </c>
      <c r="E6297" s="31">
        <v>46241.0</v>
      </c>
      <c r="F6297" s="26" t="s">
        <v>41</v>
      </c>
      <c r="G6297" s="26">
        <v>9.0</v>
      </c>
      <c r="I6297" s="26" t="s">
        <v>883</v>
      </c>
      <c r="J6297" s="25" t="str">
        <f t="shared" si="64"/>
        <v>No</v>
      </c>
      <c r="K6297" s="25" t="str">
        <f t="shared" si="65"/>
        <v/>
      </c>
      <c r="L6297" s="25" t="str">
        <f t="shared" si="66"/>
        <v/>
      </c>
      <c r="M6297" s="25"/>
      <c r="O6297" s="25"/>
    </row>
    <row r="6298" ht="15.75" customHeight="1">
      <c r="A6298" s="25" t="str">
        <f>IFERROR(__xludf.DUMMYFUNCTION("IF(B6298="""","""",RIGHT(REGEXREPLACE(B6298&amp;"""",""[^0-9]"",""""),9))"),"768655179")</f>
        <v>768655179</v>
      </c>
      <c r="B6298" s="26">
        <v>7.68655179E8</v>
      </c>
      <c r="C6298" s="28" t="s">
        <v>6254</v>
      </c>
      <c r="D6298" s="26" t="s">
        <v>45</v>
      </c>
      <c r="E6298" s="31">
        <v>46241.0</v>
      </c>
      <c r="F6298" s="26" t="s">
        <v>41</v>
      </c>
      <c r="G6298" s="26">
        <v>11.0</v>
      </c>
      <c r="I6298" s="26" t="s">
        <v>883</v>
      </c>
      <c r="J6298" s="25" t="str">
        <f t="shared" si="64"/>
        <v>No</v>
      </c>
      <c r="K6298" s="25" t="str">
        <f t="shared" si="65"/>
        <v/>
      </c>
      <c r="L6298" s="25" t="str">
        <f t="shared" si="66"/>
        <v/>
      </c>
      <c r="M6298" s="25"/>
      <c r="O6298" s="25"/>
    </row>
    <row r="6299" ht="15.75" customHeight="1">
      <c r="C6299" s="46"/>
      <c r="D6299" s="25"/>
      <c r="F6299" s="25"/>
      <c r="I6299" s="26" t="s">
        <v>883</v>
      </c>
      <c r="M6299" s="25"/>
      <c r="O6299" s="25"/>
    </row>
    <row r="6300" ht="15.75" customHeight="1">
      <c r="A6300" s="25" t="str">
        <f>IFERROR(__xludf.DUMMYFUNCTION("IF(B6300="""","""",RIGHT(REGEXREPLACE(B6300&amp;"""",""[^0-9]"",""""),9))"),"768002160")</f>
        <v>768002160</v>
      </c>
      <c r="B6300" s="26" t="s">
        <v>6255</v>
      </c>
      <c r="C6300" s="28" t="s">
        <v>6256</v>
      </c>
      <c r="D6300" s="26" t="s">
        <v>64</v>
      </c>
      <c r="E6300" s="31">
        <v>46241.0</v>
      </c>
      <c r="F6300" s="26" t="s">
        <v>205</v>
      </c>
      <c r="I6300" s="26" t="s">
        <v>892</v>
      </c>
      <c r="J6300" s="25" t="str">
        <f t="shared" ref="J6300:J6593" si="67">IF(COUNTIF($A$2:A6299,A6300)&gt;0,"Yes - see Previous F-Code","No")</f>
        <v>No</v>
      </c>
      <c r="K6300" s="25" t="str">
        <f t="shared" ref="K6300:K6593" si="68">IF(COUNTIFS($A$2:A6300,A6300,$I$2:I6300,I6300)&gt;1,"DUPLICATE - CHECK","")</f>
        <v/>
      </c>
      <c r="L6300" s="25" t="str">
        <f t="shared" ref="L6300:L6593" si="69">IF(COUNTIF($A$2:A6299,A6300)&gt;0,INDEX($C$2:C6299,MATCH(A6300,$A$2:A6299,0)),"")</f>
        <v/>
      </c>
      <c r="M6300" s="25"/>
      <c r="O6300" s="25"/>
    </row>
    <row r="6301" ht="15.75" customHeight="1">
      <c r="A6301" s="25" t="str">
        <f>IFERROR(__xludf.DUMMYFUNCTION("IF(B6301="""","""",RIGHT(REGEXREPLACE(B6301&amp;"""",""[^0-9]"",""""),9))"),"701827824")</f>
        <v>701827824</v>
      </c>
      <c r="B6301" s="52">
        <v>7.01827824E8</v>
      </c>
      <c r="C6301" s="28" t="s">
        <v>5482</v>
      </c>
      <c r="D6301" s="26" t="s">
        <v>49</v>
      </c>
      <c r="E6301" s="31">
        <v>46241.0</v>
      </c>
      <c r="F6301" s="26" t="s">
        <v>46</v>
      </c>
      <c r="G6301" s="26">
        <v>10.0</v>
      </c>
      <c r="H6301" s="26" t="s">
        <v>6257</v>
      </c>
      <c r="I6301" s="26" t="s">
        <v>892</v>
      </c>
      <c r="J6301" s="25" t="str">
        <f t="shared" si="67"/>
        <v>Yes - see Previous F-Code</v>
      </c>
      <c r="K6301" s="25" t="str">
        <f t="shared" si="68"/>
        <v/>
      </c>
      <c r="L6301" s="25" t="str">
        <f t="shared" si="69"/>
        <v>F74970</v>
      </c>
      <c r="M6301" s="25"/>
      <c r="O6301" s="25"/>
    </row>
    <row r="6302" ht="15.75" customHeight="1">
      <c r="A6302" s="25" t="str">
        <f>IFERROR(__xludf.DUMMYFUNCTION("IF(B6302="""","""",RIGHT(REGEXREPLACE(B6302&amp;"""",""[^0-9]"",""""),9))"),"763884546")</f>
        <v>763884546</v>
      </c>
      <c r="B6302" s="26" t="s">
        <v>6258</v>
      </c>
      <c r="C6302" s="28" t="s">
        <v>6259</v>
      </c>
      <c r="D6302" s="26" t="s">
        <v>56</v>
      </c>
      <c r="E6302" s="31">
        <v>46241.0</v>
      </c>
      <c r="F6302" s="26" t="s">
        <v>631</v>
      </c>
      <c r="G6302" s="26">
        <v>7.0</v>
      </c>
      <c r="H6302" s="26" t="s">
        <v>309</v>
      </c>
      <c r="I6302" s="26" t="s">
        <v>892</v>
      </c>
      <c r="J6302" s="25" t="str">
        <f t="shared" si="67"/>
        <v>No</v>
      </c>
      <c r="K6302" s="25" t="str">
        <f t="shared" si="68"/>
        <v/>
      </c>
      <c r="L6302" s="25" t="str">
        <f t="shared" si="69"/>
        <v/>
      </c>
      <c r="M6302" s="25"/>
      <c r="O6302" s="25"/>
    </row>
    <row r="6303" ht="15.75" customHeight="1">
      <c r="A6303" s="25" t="str">
        <f>IFERROR(__xludf.DUMMYFUNCTION("IF(B6303="""","""",RIGHT(REGEXREPLACE(B6303&amp;"""",""[^0-9]"",""""),9))"),"763587157")</f>
        <v>763587157</v>
      </c>
      <c r="B6303" s="26" t="s">
        <v>6260</v>
      </c>
      <c r="C6303" s="28" t="s">
        <v>2497</v>
      </c>
      <c r="D6303" s="26" t="s">
        <v>64</v>
      </c>
      <c r="E6303" s="31">
        <v>46241.0</v>
      </c>
      <c r="F6303" s="26" t="s">
        <v>46</v>
      </c>
      <c r="G6303" s="26">
        <v>11.0</v>
      </c>
      <c r="H6303" s="26" t="s">
        <v>6261</v>
      </c>
      <c r="I6303" s="26" t="s">
        <v>892</v>
      </c>
      <c r="J6303" s="25" t="str">
        <f t="shared" si="67"/>
        <v>Yes - see Previous F-Code</v>
      </c>
      <c r="K6303" s="25" t="str">
        <f t="shared" si="68"/>
        <v/>
      </c>
      <c r="L6303" s="25" t="str">
        <f t="shared" si="69"/>
        <v>F72189</v>
      </c>
      <c r="M6303" s="25"/>
      <c r="O6303" s="25"/>
    </row>
    <row r="6304" ht="15.75" customHeight="1">
      <c r="A6304" s="25" t="str">
        <f>IFERROR(__xludf.DUMMYFUNCTION("IF(B6304="""","""",RIGHT(REGEXREPLACE(B6304&amp;"""",""[^0-9]"",""""),9))"),"766913988")</f>
        <v>766913988</v>
      </c>
      <c r="B6304" s="26" t="s">
        <v>6262</v>
      </c>
      <c r="C6304" s="28" t="s">
        <v>6263</v>
      </c>
      <c r="D6304" s="26" t="s">
        <v>82</v>
      </c>
      <c r="E6304" s="31">
        <v>46241.0</v>
      </c>
      <c r="F6304" s="26" t="s">
        <v>41</v>
      </c>
      <c r="I6304" s="26" t="s">
        <v>892</v>
      </c>
      <c r="J6304" s="25" t="str">
        <f t="shared" si="67"/>
        <v>No</v>
      </c>
      <c r="K6304" s="25" t="str">
        <f t="shared" si="68"/>
        <v/>
      </c>
      <c r="L6304" s="25" t="str">
        <f t="shared" si="69"/>
        <v/>
      </c>
      <c r="M6304" s="25"/>
      <c r="O6304" s="25"/>
    </row>
    <row r="6305" ht="15.75" customHeight="1">
      <c r="A6305" s="25" t="str">
        <f>IFERROR(__xludf.DUMMYFUNCTION("IF(B6305="""","""",RIGHT(REGEXREPLACE(B6305&amp;"""",""[^0-9]"",""""),9))"),"768887554")</f>
        <v>768887554</v>
      </c>
      <c r="B6305" s="26" t="s">
        <v>6264</v>
      </c>
      <c r="C6305" s="28" t="s">
        <v>6265</v>
      </c>
      <c r="D6305" s="26" t="s">
        <v>64</v>
      </c>
      <c r="E6305" s="31">
        <v>46241.0</v>
      </c>
      <c r="F6305" s="26" t="s">
        <v>46</v>
      </c>
      <c r="G6305" s="26">
        <v>11.0</v>
      </c>
      <c r="I6305" s="26" t="s">
        <v>892</v>
      </c>
      <c r="J6305" s="25" t="str">
        <f t="shared" si="67"/>
        <v>No</v>
      </c>
      <c r="K6305" s="25" t="str">
        <f t="shared" si="68"/>
        <v/>
      </c>
      <c r="L6305" s="25" t="str">
        <f t="shared" si="69"/>
        <v/>
      </c>
      <c r="M6305" s="25"/>
      <c r="O6305" s="25"/>
    </row>
    <row r="6306" ht="15.75" customHeight="1">
      <c r="A6306" s="25" t="str">
        <f>IFERROR(__xludf.DUMMYFUNCTION("IF(B6306="""","""",RIGHT(REGEXREPLACE(B6306&amp;"""",""[^0-9]"",""""),9))"),"743020542")</f>
        <v>743020542</v>
      </c>
      <c r="B6306" s="26" t="s">
        <v>6266</v>
      </c>
      <c r="C6306" s="28" t="s">
        <v>6267</v>
      </c>
      <c r="D6306" s="26" t="s">
        <v>82</v>
      </c>
      <c r="E6306" s="31">
        <v>46241.0</v>
      </c>
      <c r="F6306" s="26" t="s">
        <v>46</v>
      </c>
      <c r="G6306" s="26">
        <v>8.0</v>
      </c>
      <c r="I6306" s="26" t="s">
        <v>892</v>
      </c>
      <c r="J6306" s="25" t="str">
        <f t="shared" si="67"/>
        <v>No</v>
      </c>
      <c r="K6306" s="25" t="str">
        <f t="shared" si="68"/>
        <v/>
      </c>
      <c r="L6306" s="25" t="str">
        <f t="shared" si="69"/>
        <v/>
      </c>
      <c r="M6306" s="25"/>
      <c r="O6306" s="25"/>
    </row>
    <row r="6307" ht="15.75" customHeight="1">
      <c r="A6307" s="25" t="str">
        <f>IFERROR(__xludf.DUMMYFUNCTION("IF(B6307="""","""",RIGHT(REGEXREPLACE(B6307&amp;"""",""[^0-9]"",""""),9))"),"702573739")</f>
        <v>702573739</v>
      </c>
      <c r="B6307" s="26" t="s">
        <v>6268</v>
      </c>
      <c r="C6307" s="28" t="s">
        <v>6269</v>
      </c>
      <c r="D6307" s="26" t="s">
        <v>49</v>
      </c>
      <c r="E6307" s="31">
        <v>46241.0</v>
      </c>
      <c r="F6307" s="26" t="s">
        <v>46</v>
      </c>
      <c r="G6307" s="26">
        <v>7.0</v>
      </c>
      <c r="H6307" s="26" t="s">
        <v>6270</v>
      </c>
      <c r="I6307" s="26" t="s">
        <v>892</v>
      </c>
      <c r="J6307" s="25" t="str">
        <f t="shared" si="67"/>
        <v>No</v>
      </c>
      <c r="K6307" s="25" t="str">
        <f t="shared" si="68"/>
        <v/>
      </c>
      <c r="L6307" s="25" t="str">
        <f t="shared" si="69"/>
        <v/>
      </c>
      <c r="M6307" s="25"/>
      <c r="O6307" s="26" t="s">
        <v>51</v>
      </c>
    </row>
    <row r="6308" ht="15.75" customHeight="1">
      <c r="A6308" s="25" t="str">
        <f>IFERROR(__xludf.DUMMYFUNCTION("IF(B6308="""","""",RIGHT(REGEXREPLACE(B6308&amp;"""",""[^0-9]"",""""),9))"),"785862112")</f>
        <v>785862112</v>
      </c>
      <c r="B6308" s="26" t="s">
        <v>6271</v>
      </c>
      <c r="C6308" s="28" t="s">
        <v>6272</v>
      </c>
      <c r="D6308" s="26" t="s">
        <v>64</v>
      </c>
      <c r="E6308" s="31">
        <v>46241.0</v>
      </c>
      <c r="F6308" s="26" t="s">
        <v>46</v>
      </c>
      <c r="G6308" s="26">
        <v>10.0</v>
      </c>
      <c r="H6308" s="26" t="s">
        <v>6273</v>
      </c>
      <c r="I6308" s="26" t="s">
        <v>892</v>
      </c>
      <c r="J6308" s="25" t="str">
        <f t="shared" si="67"/>
        <v>No</v>
      </c>
      <c r="K6308" s="25" t="str">
        <f t="shared" si="68"/>
        <v/>
      </c>
      <c r="L6308" s="25" t="str">
        <f t="shared" si="69"/>
        <v/>
      </c>
      <c r="M6308" s="25"/>
      <c r="O6308" s="25"/>
    </row>
    <row r="6309" ht="15.75" customHeight="1">
      <c r="A6309" s="25" t="str">
        <f>IFERROR(__xludf.DUMMYFUNCTION("IF(B6309="""","""",RIGHT(REGEXREPLACE(B6309&amp;"""",""[^0-9]"",""""),9))"),"742080866")</f>
        <v>742080866</v>
      </c>
      <c r="B6309" s="26" t="s">
        <v>6274</v>
      </c>
      <c r="C6309" s="28" t="s">
        <v>6275</v>
      </c>
      <c r="D6309" s="26" t="s">
        <v>56</v>
      </c>
      <c r="E6309" s="31">
        <v>46241.0</v>
      </c>
      <c r="F6309" s="26" t="s">
        <v>205</v>
      </c>
      <c r="I6309" s="26" t="s">
        <v>892</v>
      </c>
      <c r="J6309" s="25" t="str">
        <f t="shared" si="67"/>
        <v>No</v>
      </c>
      <c r="K6309" s="25" t="str">
        <f t="shared" si="68"/>
        <v/>
      </c>
      <c r="L6309" s="25" t="str">
        <f t="shared" si="69"/>
        <v/>
      </c>
      <c r="M6309" s="25"/>
      <c r="O6309" s="25"/>
    </row>
    <row r="6310" ht="15.75" customHeight="1">
      <c r="A6310" s="25" t="str">
        <f>IFERROR(__xludf.DUMMYFUNCTION("IF(B6310="""","""",RIGHT(REGEXREPLACE(B6310&amp;"""",""[^0-9]"",""""),9))"),"789279504")</f>
        <v>789279504</v>
      </c>
      <c r="B6310" s="26" t="s">
        <v>6276</v>
      </c>
      <c r="C6310" s="28" t="s">
        <v>6277</v>
      </c>
      <c r="D6310" s="26" t="s">
        <v>64</v>
      </c>
      <c r="E6310" s="31">
        <v>46241.0</v>
      </c>
      <c r="F6310" s="26" t="s">
        <v>41</v>
      </c>
      <c r="I6310" s="26" t="s">
        <v>892</v>
      </c>
      <c r="J6310" s="25" t="str">
        <f t="shared" si="67"/>
        <v>No</v>
      </c>
      <c r="K6310" s="25" t="str">
        <f t="shared" si="68"/>
        <v/>
      </c>
      <c r="L6310" s="25" t="str">
        <f t="shared" si="69"/>
        <v/>
      </c>
      <c r="M6310" s="25"/>
      <c r="O6310" s="25"/>
    </row>
    <row r="6311" ht="15.75" customHeight="1">
      <c r="A6311" s="25" t="str">
        <f>IFERROR(__xludf.DUMMYFUNCTION("IF(B6311="""","""",RIGHT(REGEXREPLACE(B6311&amp;"""",""[^0-9]"",""""),9))"),"701943472")</f>
        <v>701943472</v>
      </c>
      <c r="B6311" s="26" t="s">
        <v>6278</v>
      </c>
      <c r="C6311" s="28" t="s">
        <v>6279</v>
      </c>
      <c r="D6311" s="26" t="s">
        <v>82</v>
      </c>
      <c r="E6311" s="31">
        <v>46241.0</v>
      </c>
      <c r="F6311" s="26" t="s">
        <v>41</v>
      </c>
      <c r="I6311" s="26" t="s">
        <v>892</v>
      </c>
      <c r="J6311" s="25" t="str">
        <f t="shared" si="67"/>
        <v>No</v>
      </c>
      <c r="K6311" s="25" t="str">
        <f t="shared" si="68"/>
        <v/>
      </c>
      <c r="L6311" s="25" t="str">
        <f t="shared" si="69"/>
        <v/>
      </c>
      <c r="M6311" s="25"/>
      <c r="O6311" s="25"/>
    </row>
    <row r="6312" ht="15.75" customHeight="1">
      <c r="A6312" s="25" t="str">
        <f>IFERROR(__xludf.DUMMYFUNCTION("IF(B6312="""","""",RIGHT(REGEXREPLACE(B6312&amp;"""",""[^0-9]"",""""),9))"),"779609871")</f>
        <v>779609871</v>
      </c>
      <c r="B6312" s="26" t="s">
        <v>6280</v>
      </c>
      <c r="C6312" s="28" t="s">
        <v>6281</v>
      </c>
      <c r="D6312" s="26" t="s">
        <v>64</v>
      </c>
      <c r="E6312" s="31">
        <v>46241.0</v>
      </c>
      <c r="F6312" s="26" t="s">
        <v>41</v>
      </c>
      <c r="I6312" s="26" t="s">
        <v>892</v>
      </c>
      <c r="J6312" s="25" t="str">
        <f t="shared" si="67"/>
        <v>No</v>
      </c>
      <c r="K6312" s="25" t="str">
        <f t="shared" si="68"/>
        <v/>
      </c>
      <c r="L6312" s="25" t="str">
        <f t="shared" si="69"/>
        <v/>
      </c>
      <c r="M6312" s="25"/>
      <c r="O6312" s="25"/>
    </row>
    <row r="6313" ht="15.75" customHeight="1">
      <c r="A6313" s="25" t="str">
        <f>IFERROR(__xludf.DUMMYFUNCTION("IF(B6313="""","""",RIGHT(REGEXREPLACE(B6313&amp;"""",""[^0-9]"",""""),9))"),"774695011")</f>
        <v>774695011</v>
      </c>
      <c r="B6313" s="26" t="s">
        <v>6282</v>
      </c>
      <c r="C6313" s="28" t="s">
        <v>6283</v>
      </c>
      <c r="D6313" s="26" t="s">
        <v>56</v>
      </c>
      <c r="E6313" s="31">
        <v>46241.0</v>
      </c>
      <c r="F6313" s="26" t="s">
        <v>46</v>
      </c>
      <c r="H6313" s="26" t="s">
        <v>280</v>
      </c>
      <c r="I6313" s="26" t="s">
        <v>892</v>
      </c>
      <c r="J6313" s="25" t="str">
        <f t="shared" si="67"/>
        <v>No</v>
      </c>
      <c r="K6313" s="25" t="str">
        <f t="shared" si="68"/>
        <v/>
      </c>
      <c r="L6313" s="25" t="str">
        <f t="shared" si="69"/>
        <v/>
      </c>
      <c r="M6313" s="25"/>
      <c r="O6313" s="25"/>
    </row>
    <row r="6314" ht="15.75" customHeight="1">
      <c r="A6314" s="25" t="str">
        <f>IFERROR(__xludf.DUMMYFUNCTION("IF(B6314="""","""",RIGHT(REGEXREPLACE(B6314&amp;"""",""[^0-9]"",""""),9))"),"774654503")</f>
        <v>774654503</v>
      </c>
      <c r="B6314" s="26" t="s">
        <v>6284</v>
      </c>
      <c r="C6314" s="28" t="s">
        <v>6285</v>
      </c>
      <c r="D6314" s="26" t="s">
        <v>82</v>
      </c>
      <c r="E6314" s="31">
        <v>46241.0</v>
      </c>
      <c r="F6314" s="26" t="s">
        <v>205</v>
      </c>
      <c r="I6314" s="26" t="s">
        <v>892</v>
      </c>
      <c r="J6314" s="25" t="str">
        <f t="shared" si="67"/>
        <v>No</v>
      </c>
      <c r="K6314" s="25" t="str">
        <f t="shared" si="68"/>
        <v/>
      </c>
      <c r="L6314" s="25" t="str">
        <f t="shared" si="69"/>
        <v/>
      </c>
      <c r="M6314" s="25"/>
      <c r="O6314" s="25"/>
    </row>
    <row r="6315" ht="15.75" customHeight="1">
      <c r="A6315" s="25" t="str">
        <f>IFERROR(__xludf.DUMMYFUNCTION("IF(B6315="""","""",RIGHT(REGEXREPLACE(B6315&amp;"""",""[^0-9]"",""""),9))"),"760312264")</f>
        <v>760312264</v>
      </c>
      <c r="B6315" s="26" t="s">
        <v>6286</v>
      </c>
      <c r="C6315" s="28" t="s">
        <v>3674</v>
      </c>
      <c r="D6315" s="26" t="s">
        <v>56</v>
      </c>
      <c r="E6315" s="31">
        <v>46241.0</v>
      </c>
      <c r="F6315" s="26" t="s">
        <v>631</v>
      </c>
      <c r="G6315" s="26">
        <v>11.0</v>
      </c>
      <c r="H6315" s="26" t="s">
        <v>309</v>
      </c>
      <c r="I6315" s="26" t="s">
        <v>892</v>
      </c>
      <c r="J6315" s="25" t="str">
        <f t="shared" si="67"/>
        <v>Yes - see Previous F-Code</v>
      </c>
      <c r="K6315" s="25" t="str">
        <f t="shared" si="68"/>
        <v/>
      </c>
      <c r="L6315" s="25" t="str">
        <f t="shared" si="69"/>
        <v>F73329</v>
      </c>
      <c r="M6315" s="25"/>
      <c r="O6315" s="25"/>
    </row>
    <row r="6316" ht="15.75" customHeight="1">
      <c r="A6316" s="25" t="str">
        <f>IFERROR(__xludf.DUMMYFUNCTION("IF(B6316="""","""",RIGHT(REGEXREPLACE(B6316&amp;"""",""[^0-9]"",""""),9))"),"720620108")</f>
        <v>720620108</v>
      </c>
      <c r="B6316" s="26" t="s">
        <v>6287</v>
      </c>
      <c r="C6316" s="28" t="s">
        <v>4269</v>
      </c>
      <c r="D6316" s="26" t="s">
        <v>64</v>
      </c>
      <c r="E6316" s="31">
        <v>46241.0</v>
      </c>
      <c r="F6316" s="26" t="s">
        <v>41</v>
      </c>
      <c r="I6316" s="26" t="s">
        <v>892</v>
      </c>
      <c r="J6316" s="25" t="str">
        <f t="shared" si="67"/>
        <v>Yes - see Previous F-Code</v>
      </c>
      <c r="K6316" s="25" t="str">
        <f t="shared" si="68"/>
        <v/>
      </c>
      <c r="L6316" s="25" t="str">
        <f t="shared" si="69"/>
        <v>F73899</v>
      </c>
      <c r="M6316" s="25"/>
      <c r="O6316" s="25"/>
    </row>
    <row r="6317" ht="15.75" customHeight="1">
      <c r="A6317" s="25" t="str">
        <f>IFERROR(__xludf.DUMMYFUNCTION("IF(B6317="""","""",RIGHT(REGEXREPLACE(B6317&amp;"""",""[^0-9]"",""""),9))"),"768279044")</f>
        <v>768279044</v>
      </c>
      <c r="B6317" s="26" t="s">
        <v>6288</v>
      </c>
      <c r="C6317" s="28" t="s">
        <v>6289</v>
      </c>
      <c r="D6317" s="26" t="s">
        <v>49</v>
      </c>
      <c r="E6317" s="31">
        <v>46241.0</v>
      </c>
      <c r="F6317" s="26" t="s">
        <v>41</v>
      </c>
      <c r="I6317" s="26" t="s">
        <v>892</v>
      </c>
      <c r="J6317" s="25" t="str">
        <f t="shared" si="67"/>
        <v>No</v>
      </c>
      <c r="K6317" s="25" t="str">
        <f t="shared" si="68"/>
        <v/>
      </c>
      <c r="L6317" s="25" t="str">
        <f t="shared" si="69"/>
        <v/>
      </c>
      <c r="M6317" s="25"/>
      <c r="O6317" s="25"/>
    </row>
    <row r="6318" ht="15.75" customHeight="1">
      <c r="A6318" s="25" t="str">
        <f>IFERROR(__xludf.DUMMYFUNCTION("IF(B6318="""","""",RIGHT(REGEXREPLACE(B6318&amp;"""",""[^0-9]"",""""),9))"),"701308230")</f>
        <v>701308230</v>
      </c>
      <c r="B6318" s="110" t="s">
        <v>6290</v>
      </c>
      <c r="C6318" s="28" t="s">
        <v>6291</v>
      </c>
      <c r="D6318" s="26" t="s">
        <v>82</v>
      </c>
      <c r="E6318" s="31">
        <v>46241.0</v>
      </c>
      <c r="F6318" s="26" t="s">
        <v>46</v>
      </c>
      <c r="G6318" s="26">
        <v>9.0</v>
      </c>
      <c r="I6318" s="26" t="s">
        <v>892</v>
      </c>
      <c r="J6318" s="25" t="str">
        <f t="shared" si="67"/>
        <v>No</v>
      </c>
      <c r="K6318" s="25" t="str">
        <f t="shared" si="68"/>
        <v/>
      </c>
      <c r="L6318" s="25" t="str">
        <f t="shared" si="69"/>
        <v/>
      </c>
      <c r="M6318" s="25"/>
      <c r="O6318" s="26" t="s">
        <v>51</v>
      </c>
    </row>
    <row r="6319" ht="15.75" customHeight="1">
      <c r="A6319" s="25" t="str">
        <f>IFERROR(__xludf.DUMMYFUNCTION("IF(B6319="""","""",RIGHT(REGEXREPLACE(B6319&amp;"""",""[^0-9]"",""""),9))"),"768282363")</f>
        <v>768282363</v>
      </c>
      <c r="B6319" s="26" t="s">
        <v>6292</v>
      </c>
      <c r="C6319" s="28" t="s">
        <v>6293</v>
      </c>
      <c r="D6319" s="26" t="s">
        <v>64</v>
      </c>
      <c r="E6319" s="31">
        <v>46241.0</v>
      </c>
      <c r="F6319" s="26" t="s">
        <v>41</v>
      </c>
      <c r="I6319" s="26" t="s">
        <v>892</v>
      </c>
      <c r="J6319" s="25" t="str">
        <f t="shared" si="67"/>
        <v>No</v>
      </c>
      <c r="K6319" s="25" t="str">
        <f t="shared" si="68"/>
        <v/>
      </c>
      <c r="L6319" s="25" t="str">
        <f t="shared" si="69"/>
        <v/>
      </c>
      <c r="M6319" s="25"/>
      <c r="O6319" s="25"/>
    </row>
    <row r="6320" ht="15.75" customHeight="1">
      <c r="A6320" s="25" t="str">
        <f>IFERROR(__xludf.DUMMYFUNCTION("IF(B6320="""","""",RIGHT(REGEXREPLACE(B6320&amp;"""",""[^0-9]"",""""),9))"),"770553363")</f>
        <v>770553363</v>
      </c>
      <c r="B6320" s="26" t="s">
        <v>6294</v>
      </c>
      <c r="C6320" s="28" t="s">
        <v>6295</v>
      </c>
      <c r="D6320" s="26" t="s">
        <v>49</v>
      </c>
      <c r="E6320" s="31">
        <v>46241.0</v>
      </c>
      <c r="F6320" s="26" t="s">
        <v>46</v>
      </c>
      <c r="G6320" s="26" t="s">
        <v>6296</v>
      </c>
      <c r="H6320" s="26" t="s">
        <v>6270</v>
      </c>
      <c r="I6320" s="26" t="s">
        <v>892</v>
      </c>
      <c r="J6320" s="25" t="str">
        <f t="shared" si="67"/>
        <v>No</v>
      </c>
      <c r="K6320" s="25" t="str">
        <f t="shared" si="68"/>
        <v/>
      </c>
      <c r="L6320" s="25" t="str">
        <f t="shared" si="69"/>
        <v/>
      </c>
      <c r="M6320" s="25"/>
      <c r="O6320" s="26" t="s">
        <v>51</v>
      </c>
    </row>
    <row r="6321" ht="15.75" customHeight="1">
      <c r="A6321" s="25" t="str">
        <f>IFERROR(__xludf.DUMMYFUNCTION("IF(B6321="""","""",RIGHT(REGEXREPLACE(B6321&amp;"""",""[^0-9]"",""""),9))"),"776726544")</f>
        <v>776726544</v>
      </c>
      <c r="B6321" s="26" t="s">
        <v>6297</v>
      </c>
      <c r="C6321" s="28" t="s">
        <v>6298</v>
      </c>
      <c r="D6321" s="26" t="s">
        <v>82</v>
      </c>
      <c r="E6321" s="31">
        <v>46241.0</v>
      </c>
      <c r="F6321" s="26" t="s">
        <v>659</v>
      </c>
      <c r="I6321" s="26" t="s">
        <v>892</v>
      </c>
      <c r="J6321" s="25" t="str">
        <f t="shared" si="67"/>
        <v>No</v>
      </c>
      <c r="K6321" s="25" t="str">
        <f t="shared" si="68"/>
        <v/>
      </c>
      <c r="L6321" s="25" t="str">
        <f t="shared" si="69"/>
        <v/>
      </c>
      <c r="M6321" s="25"/>
      <c r="O6321" s="25"/>
    </row>
    <row r="6322" ht="15.75" customHeight="1">
      <c r="A6322" s="25" t="str">
        <f>IFERROR(__xludf.DUMMYFUNCTION("IF(B6322="""","""",RIGHT(REGEXREPLACE(B6322&amp;"""",""[^0-9]"",""""),9))"),"768673841")</f>
        <v>768673841</v>
      </c>
      <c r="B6322" s="26" t="s">
        <v>6299</v>
      </c>
      <c r="C6322" s="28" t="s">
        <v>6300</v>
      </c>
      <c r="D6322" s="26" t="s">
        <v>56</v>
      </c>
      <c r="E6322" s="31">
        <v>46241.0</v>
      </c>
      <c r="F6322" s="26" t="s">
        <v>205</v>
      </c>
      <c r="I6322" s="26" t="s">
        <v>892</v>
      </c>
      <c r="J6322" s="25" t="str">
        <f t="shared" si="67"/>
        <v>No</v>
      </c>
      <c r="K6322" s="25" t="str">
        <f t="shared" si="68"/>
        <v/>
      </c>
      <c r="L6322" s="25" t="str">
        <f t="shared" si="69"/>
        <v/>
      </c>
      <c r="M6322" s="25"/>
      <c r="O6322" s="25"/>
    </row>
    <row r="6323" ht="15.75" customHeight="1">
      <c r="A6323" s="25" t="str">
        <f>IFERROR(__xludf.DUMMYFUNCTION("IF(B6323="""","""",RIGHT(REGEXREPLACE(B6323&amp;"""",""[^0-9]"",""""),9))"),"774172976")</f>
        <v>774172976</v>
      </c>
      <c r="B6323" s="26" t="s">
        <v>6301</v>
      </c>
      <c r="C6323" s="28" t="s">
        <v>6302</v>
      </c>
      <c r="D6323" s="26" t="s">
        <v>64</v>
      </c>
      <c r="E6323" s="31">
        <v>46241.0</v>
      </c>
      <c r="F6323" s="26" t="s">
        <v>205</v>
      </c>
      <c r="I6323" s="26" t="s">
        <v>892</v>
      </c>
      <c r="J6323" s="25" t="str">
        <f t="shared" si="67"/>
        <v>No</v>
      </c>
      <c r="K6323" s="25" t="str">
        <f t="shared" si="68"/>
        <v/>
      </c>
      <c r="L6323" s="25" t="str">
        <f t="shared" si="69"/>
        <v/>
      </c>
      <c r="M6323" s="25"/>
      <c r="O6323" s="25"/>
    </row>
    <row r="6324" ht="15.75" customHeight="1">
      <c r="A6324" s="25" t="str">
        <f>IFERROR(__xludf.DUMMYFUNCTION("IF(B6324="""","""",RIGHT(REGEXREPLACE(B6324&amp;"""",""[^0-9]"",""""),9))"),"742576797")</f>
        <v>742576797</v>
      </c>
      <c r="B6324" s="26" t="s">
        <v>6303</v>
      </c>
      <c r="C6324" s="28" t="s">
        <v>6304</v>
      </c>
      <c r="D6324" s="26" t="s">
        <v>82</v>
      </c>
      <c r="E6324" s="31">
        <v>46241.0</v>
      </c>
      <c r="F6324" s="26" t="s">
        <v>704</v>
      </c>
      <c r="I6324" s="26" t="s">
        <v>892</v>
      </c>
      <c r="J6324" s="25" t="str">
        <f t="shared" si="67"/>
        <v>No</v>
      </c>
      <c r="K6324" s="25" t="str">
        <f t="shared" si="68"/>
        <v/>
      </c>
      <c r="L6324" s="25" t="str">
        <f t="shared" si="69"/>
        <v/>
      </c>
      <c r="M6324" s="25"/>
      <c r="O6324" s="25"/>
    </row>
    <row r="6325" ht="15.75" customHeight="1">
      <c r="A6325" s="25" t="str">
        <f>IFERROR(__xludf.DUMMYFUNCTION("IF(B6325="""","""",RIGHT(REGEXREPLACE(B6325&amp;"""",""[^0-9]"",""""),9))"),"711510973")</f>
        <v>711510973</v>
      </c>
      <c r="B6325" s="122" t="s">
        <v>6305</v>
      </c>
      <c r="C6325" s="28" t="s">
        <v>6306</v>
      </c>
      <c r="D6325" s="26" t="s">
        <v>56</v>
      </c>
      <c r="E6325" s="31">
        <v>46241.0</v>
      </c>
      <c r="F6325" s="26" t="s">
        <v>659</v>
      </c>
      <c r="I6325" s="26" t="s">
        <v>892</v>
      </c>
      <c r="J6325" s="25" t="str">
        <f t="shared" si="67"/>
        <v>No</v>
      </c>
      <c r="K6325" s="25" t="str">
        <f t="shared" si="68"/>
        <v/>
      </c>
      <c r="L6325" s="25" t="str">
        <f t="shared" si="69"/>
        <v/>
      </c>
      <c r="M6325" s="25"/>
      <c r="O6325" s="25"/>
    </row>
    <row r="6326" ht="15.75" customHeight="1">
      <c r="A6326" s="25" t="str">
        <f>IFERROR(__xludf.DUMMYFUNCTION("IF(B6326="""","""",RIGHT(REGEXREPLACE(B6326&amp;"""",""[^0-9]"",""""),9))"),"716282237")</f>
        <v>716282237</v>
      </c>
      <c r="B6326" s="26" t="s">
        <v>6307</v>
      </c>
      <c r="C6326" s="28" t="s">
        <v>6308</v>
      </c>
      <c r="D6326" s="26" t="s">
        <v>64</v>
      </c>
      <c r="E6326" s="31">
        <v>46241.0</v>
      </c>
      <c r="F6326" s="26" t="s">
        <v>41</v>
      </c>
      <c r="I6326" s="26" t="s">
        <v>892</v>
      </c>
      <c r="J6326" s="25" t="str">
        <f t="shared" si="67"/>
        <v>No</v>
      </c>
      <c r="K6326" s="25" t="str">
        <f t="shared" si="68"/>
        <v/>
      </c>
      <c r="L6326" s="25" t="str">
        <f t="shared" si="69"/>
        <v/>
      </c>
      <c r="M6326" s="25"/>
      <c r="O6326" s="25"/>
    </row>
    <row r="6327" ht="15.75" customHeight="1">
      <c r="A6327" s="25" t="str">
        <f>IFERROR(__xludf.DUMMYFUNCTION("IF(B6327="""","""",RIGHT(REGEXREPLACE(B6327&amp;"""",""[^0-9]"",""""),9))"),"766086291")</f>
        <v>766086291</v>
      </c>
      <c r="B6327" s="26" t="s">
        <v>6309</v>
      </c>
      <c r="C6327" s="28" t="s">
        <v>6310</v>
      </c>
      <c r="D6327" s="26" t="s">
        <v>82</v>
      </c>
      <c r="E6327" s="31">
        <v>46241.0</v>
      </c>
      <c r="F6327" s="26" t="s">
        <v>46</v>
      </c>
      <c r="G6327" s="26">
        <v>11.0</v>
      </c>
      <c r="H6327" s="119" t="s">
        <v>6311</v>
      </c>
      <c r="I6327" s="26" t="s">
        <v>892</v>
      </c>
      <c r="J6327" s="25" t="str">
        <f t="shared" si="67"/>
        <v>No</v>
      </c>
      <c r="K6327" s="25" t="str">
        <f t="shared" si="68"/>
        <v/>
      </c>
      <c r="L6327" s="25" t="str">
        <f t="shared" si="69"/>
        <v/>
      </c>
      <c r="M6327" s="25"/>
      <c r="O6327" s="25"/>
    </row>
    <row r="6328" ht="15.75" customHeight="1">
      <c r="A6328" s="25" t="str">
        <f>IFERROR(__xludf.DUMMYFUNCTION("IF(B6328="""","""",RIGHT(REGEXREPLACE(B6328&amp;"""",""[^0-9]"",""""),9))"),"774850390")</f>
        <v>774850390</v>
      </c>
      <c r="B6328" s="26" t="s">
        <v>6312</v>
      </c>
      <c r="C6328" s="28" t="s">
        <v>6313</v>
      </c>
      <c r="D6328" s="26" t="s">
        <v>64</v>
      </c>
      <c r="E6328" s="31">
        <v>46241.0</v>
      </c>
      <c r="F6328" s="26" t="s">
        <v>41</v>
      </c>
      <c r="I6328" s="26" t="s">
        <v>892</v>
      </c>
      <c r="J6328" s="25" t="str">
        <f t="shared" si="67"/>
        <v>No</v>
      </c>
      <c r="K6328" s="25" t="str">
        <f t="shared" si="68"/>
        <v/>
      </c>
      <c r="L6328" s="25" t="str">
        <f t="shared" si="69"/>
        <v/>
      </c>
      <c r="M6328" s="25"/>
      <c r="O6328" s="25"/>
    </row>
    <row r="6329" ht="15.75" customHeight="1">
      <c r="A6329" s="25" t="str">
        <f>IFERROR(__xludf.DUMMYFUNCTION("IF(B6329="""","""",RIGHT(REGEXREPLACE(B6329&amp;"""",""[^0-9]"",""""),9))"),"728416579")</f>
        <v>728416579</v>
      </c>
      <c r="B6329" s="26" t="s">
        <v>6314</v>
      </c>
      <c r="C6329" s="28" t="s">
        <v>6315</v>
      </c>
      <c r="D6329" s="26" t="s">
        <v>49</v>
      </c>
      <c r="E6329" s="31">
        <v>46241.0</v>
      </c>
      <c r="F6329" s="26" t="s">
        <v>205</v>
      </c>
      <c r="I6329" s="26" t="s">
        <v>892</v>
      </c>
      <c r="J6329" s="25" t="str">
        <f t="shared" si="67"/>
        <v>No</v>
      </c>
      <c r="K6329" s="25" t="str">
        <f t="shared" si="68"/>
        <v/>
      </c>
      <c r="L6329" s="25" t="str">
        <f t="shared" si="69"/>
        <v/>
      </c>
      <c r="M6329" s="25"/>
      <c r="O6329" s="25"/>
    </row>
    <row r="6330" ht="15.75" customHeight="1">
      <c r="A6330" s="25" t="str">
        <f>IFERROR(__xludf.DUMMYFUNCTION("IF(B6330="""","""",RIGHT(REGEXREPLACE(B6330&amp;"""",""[^0-9]"",""""),9))"),"767381187")</f>
        <v>767381187</v>
      </c>
      <c r="B6330" s="26" t="s">
        <v>6316</v>
      </c>
      <c r="C6330" s="28" t="s">
        <v>6317</v>
      </c>
      <c r="D6330" s="26" t="s">
        <v>64</v>
      </c>
      <c r="E6330" s="31">
        <v>46241.0</v>
      </c>
      <c r="F6330" s="26" t="s">
        <v>46</v>
      </c>
      <c r="G6330" s="26" t="s">
        <v>1105</v>
      </c>
      <c r="H6330" s="26" t="s">
        <v>5606</v>
      </c>
      <c r="I6330" s="26" t="s">
        <v>892</v>
      </c>
      <c r="J6330" s="25" t="str">
        <f t="shared" si="67"/>
        <v>No</v>
      </c>
      <c r="K6330" s="25" t="str">
        <f t="shared" si="68"/>
        <v/>
      </c>
      <c r="L6330" s="25" t="str">
        <f t="shared" si="69"/>
        <v/>
      </c>
      <c r="M6330" s="25"/>
      <c r="O6330" s="25"/>
    </row>
    <row r="6331" ht="15.75" customHeight="1">
      <c r="A6331" s="25" t="str">
        <f>IFERROR(__xludf.DUMMYFUNCTION("IF(B6331="""","""",RIGHT(REGEXREPLACE(B6331&amp;"""",""[^0-9]"",""""),9))"),"764365808")</f>
        <v>764365808</v>
      </c>
      <c r="B6331" s="26" t="s">
        <v>6318</v>
      </c>
      <c r="C6331" s="28" t="s">
        <v>6319</v>
      </c>
      <c r="D6331" s="26" t="s">
        <v>56</v>
      </c>
      <c r="E6331" s="31">
        <v>46241.0</v>
      </c>
      <c r="F6331" s="26" t="s">
        <v>41</v>
      </c>
      <c r="I6331" s="26" t="s">
        <v>892</v>
      </c>
      <c r="J6331" s="25" t="str">
        <f t="shared" si="67"/>
        <v>No</v>
      </c>
      <c r="K6331" s="25" t="str">
        <f t="shared" si="68"/>
        <v/>
      </c>
      <c r="L6331" s="25" t="str">
        <f t="shared" si="69"/>
        <v/>
      </c>
      <c r="M6331" s="25"/>
      <c r="O6331" s="25"/>
    </row>
    <row r="6332" ht="15.75" customHeight="1">
      <c r="A6332" s="25" t="str">
        <f>IFERROR(__xludf.DUMMYFUNCTION("IF(B6332="""","""",RIGHT(REGEXREPLACE(B6332&amp;"""",""[^0-9]"",""""),9))"),"719740480")</f>
        <v>719740480</v>
      </c>
      <c r="B6332" s="26" t="s">
        <v>6320</v>
      </c>
      <c r="C6332" s="28" t="s">
        <v>6321</v>
      </c>
      <c r="D6332" s="26" t="s">
        <v>49</v>
      </c>
      <c r="E6332" s="31">
        <v>46241.0</v>
      </c>
      <c r="F6332" s="26" t="s">
        <v>46</v>
      </c>
      <c r="G6332" s="26" t="s">
        <v>177</v>
      </c>
      <c r="H6332" s="26" t="s">
        <v>291</v>
      </c>
      <c r="I6332" s="26" t="s">
        <v>892</v>
      </c>
      <c r="J6332" s="25" t="str">
        <f t="shared" si="67"/>
        <v>No</v>
      </c>
      <c r="K6332" s="25" t="str">
        <f t="shared" si="68"/>
        <v/>
      </c>
      <c r="L6332" s="25" t="str">
        <f t="shared" si="69"/>
        <v/>
      </c>
      <c r="M6332" s="25"/>
      <c r="O6332" s="25"/>
    </row>
    <row r="6333" ht="15.75" customHeight="1">
      <c r="A6333" s="25" t="str">
        <f>IFERROR(__xludf.DUMMYFUNCTION("IF(B6333="""","""",RIGHT(REGEXREPLACE(B6333&amp;"""",""[^0-9]"",""""),9))"),"767196494")</f>
        <v>767196494</v>
      </c>
      <c r="B6333" s="26" t="s">
        <v>6322</v>
      </c>
      <c r="C6333" s="28" t="s">
        <v>6323</v>
      </c>
      <c r="D6333" s="26" t="s">
        <v>56</v>
      </c>
      <c r="E6333" s="31">
        <v>46241.0</v>
      </c>
      <c r="F6333" s="26" t="s">
        <v>631</v>
      </c>
      <c r="G6333" s="26">
        <v>11.0</v>
      </c>
      <c r="H6333" s="26" t="s">
        <v>6324</v>
      </c>
      <c r="I6333" s="26" t="s">
        <v>892</v>
      </c>
      <c r="J6333" s="25" t="str">
        <f t="shared" si="67"/>
        <v>No</v>
      </c>
      <c r="K6333" s="25" t="str">
        <f t="shared" si="68"/>
        <v/>
      </c>
      <c r="L6333" s="25" t="str">
        <f t="shared" si="69"/>
        <v/>
      </c>
      <c r="M6333" s="25"/>
      <c r="O6333" s="25"/>
    </row>
    <row r="6334" ht="15.75" customHeight="1">
      <c r="A6334" s="25" t="str">
        <f>IFERROR(__xludf.DUMMYFUNCTION("IF(B6334="""","""",RIGHT(REGEXREPLACE(B6334&amp;"""",""[^0-9]"",""""),9))"),"764134507")</f>
        <v>764134507</v>
      </c>
      <c r="B6334" s="26" t="s">
        <v>6325</v>
      </c>
      <c r="C6334" s="28" t="s">
        <v>6326</v>
      </c>
      <c r="D6334" s="26" t="s">
        <v>64</v>
      </c>
      <c r="E6334" s="31">
        <v>46241.0</v>
      </c>
      <c r="F6334" s="26" t="s">
        <v>41</v>
      </c>
      <c r="I6334" s="26" t="s">
        <v>892</v>
      </c>
      <c r="J6334" s="25" t="str">
        <f t="shared" si="67"/>
        <v>No</v>
      </c>
      <c r="K6334" s="25" t="str">
        <f t="shared" si="68"/>
        <v/>
      </c>
      <c r="L6334" s="25" t="str">
        <f t="shared" si="69"/>
        <v/>
      </c>
      <c r="M6334" s="25"/>
      <c r="O6334" s="25"/>
    </row>
    <row r="6335" ht="15.75" customHeight="1">
      <c r="A6335" s="25" t="str">
        <f>IFERROR(__xludf.DUMMYFUNCTION("IF(B6335="""","""",RIGHT(REGEXREPLACE(B6335&amp;"""",""[^0-9]"",""""),9))"),"761309594")</f>
        <v>761309594</v>
      </c>
      <c r="B6335" s="26" t="s">
        <v>6327</v>
      </c>
      <c r="C6335" s="28" t="s">
        <v>6328</v>
      </c>
      <c r="D6335" s="26" t="s">
        <v>49</v>
      </c>
      <c r="E6335" s="31">
        <v>46241.0</v>
      </c>
      <c r="F6335" s="26" t="s">
        <v>46</v>
      </c>
      <c r="G6335" s="26">
        <v>9.0</v>
      </c>
      <c r="H6335" s="26" t="s">
        <v>291</v>
      </c>
      <c r="I6335" s="26" t="s">
        <v>892</v>
      </c>
      <c r="J6335" s="25" t="str">
        <f t="shared" si="67"/>
        <v>No</v>
      </c>
      <c r="K6335" s="25" t="str">
        <f t="shared" si="68"/>
        <v/>
      </c>
      <c r="L6335" s="25" t="str">
        <f t="shared" si="69"/>
        <v/>
      </c>
      <c r="M6335" s="25"/>
      <c r="O6335" s="25"/>
    </row>
    <row r="6336" ht="15.75" customHeight="1">
      <c r="A6336" s="25" t="str">
        <f>IFERROR(__xludf.DUMMYFUNCTION("IF(B6336="""","""",RIGHT(REGEXREPLACE(B6336&amp;"""",""[^0-9]"",""""),9))"),"778023380")</f>
        <v>778023380</v>
      </c>
      <c r="B6336" s="26" t="s">
        <v>6329</v>
      </c>
      <c r="C6336" s="28" t="s">
        <v>6330</v>
      </c>
      <c r="D6336" s="26" t="s">
        <v>64</v>
      </c>
      <c r="E6336" s="31">
        <v>46241.0</v>
      </c>
      <c r="F6336" s="26" t="s">
        <v>46</v>
      </c>
      <c r="H6336" s="26" t="s">
        <v>918</v>
      </c>
      <c r="I6336" s="26" t="s">
        <v>892</v>
      </c>
      <c r="J6336" s="25" t="str">
        <f t="shared" si="67"/>
        <v>No</v>
      </c>
      <c r="K6336" s="25" t="str">
        <f t="shared" si="68"/>
        <v/>
      </c>
      <c r="L6336" s="25" t="str">
        <f t="shared" si="69"/>
        <v/>
      </c>
      <c r="M6336" s="25"/>
      <c r="O6336" s="25"/>
    </row>
    <row r="6337" ht="15.75" customHeight="1">
      <c r="A6337" s="25" t="str">
        <f>IFERROR(__xludf.DUMMYFUNCTION("IF(B6337="""","""",RIGHT(REGEXREPLACE(B6337&amp;"""",""[^0-9]"",""""),9))"),"770665284")</f>
        <v>770665284</v>
      </c>
      <c r="B6337" s="26" t="s">
        <v>6331</v>
      </c>
      <c r="C6337" s="28" t="s">
        <v>6332</v>
      </c>
      <c r="D6337" s="26" t="s">
        <v>82</v>
      </c>
      <c r="E6337" s="31">
        <v>46241.0</v>
      </c>
      <c r="F6337" s="26" t="s">
        <v>46</v>
      </c>
      <c r="G6337" s="26">
        <v>11.0</v>
      </c>
      <c r="H6337" s="26" t="s">
        <v>6333</v>
      </c>
      <c r="I6337" s="26" t="s">
        <v>892</v>
      </c>
      <c r="J6337" s="25" t="str">
        <f t="shared" si="67"/>
        <v>No</v>
      </c>
      <c r="K6337" s="25" t="str">
        <f t="shared" si="68"/>
        <v/>
      </c>
      <c r="L6337" s="25" t="str">
        <f t="shared" si="69"/>
        <v/>
      </c>
      <c r="M6337" s="25"/>
      <c r="O6337" s="25"/>
    </row>
    <row r="6338" ht="15.75" customHeight="1">
      <c r="A6338" s="25" t="str">
        <f>IFERROR(__xludf.DUMMYFUNCTION("IF(B6338="""","""",RIGHT(REGEXREPLACE(B6338&amp;"""",""[^0-9]"",""""),9))"),"755634468")</f>
        <v>755634468</v>
      </c>
      <c r="B6338" s="26" t="s">
        <v>6334</v>
      </c>
      <c r="C6338" s="28" t="s">
        <v>6335</v>
      </c>
      <c r="D6338" s="26" t="s">
        <v>56</v>
      </c>
      <c r="E6338" s="31">
        <v>46241.0</v>
      </c>
      <c r="F6338" s="26" t="s">
        <v>167</v>
      </c>
      <c r="G6338" s="26">
        <v>11.0</v>
      </c>
      <c r="H6338" s="118">
        <v>7.15476821E8</v>
      </c>
      <c r="I6338" s="26" t="s">
        <v>892</v>
      </c>
      <c r="J6338" s="25" t="str">
        <f t="shared" si="67"/>
        <v>No</v>
      </c>
      <c r="K6338" s="25" t="str">
        <f t="shared" si="68"/>
        <v/>
      </c>
      <c r="L6338" s="25" t="str">
        <f t="shared" si="69"/>
        <v/>
      </c>
      <c r="M6338" s="25"/>
      <c r="O6338" s="25"/>
    </row>
    <row r="6339" ht="15.75" customHeight="1">
      <c r="A6339" s="25" t="str">
        <f>IFERROR(__xludf.DUMMYFUNCTION("IF(B6339="""","""",RIGHT(REGEXREPLACE(B6339&amp;"""",""[^0-9]"",""""),9))"),"766270571")</f>
        <v>766270571</v>
      </c>
      <c r="B6339" s="26" t="s">
        <v>6336</v>
      </c>
      <c r="C6339" s="28" t="s">
        <v>6337</v>
      </c>
      <c r="D6339" s="26" t="s">
        <v>64</v>
      </c>
      <c r="E6339" s="31">
        <v>46241.0</v>
      </c>
      <c r="F6339" s="26" t="s">
        <v>659</v>
      </c>
      <c r="I6339" s="26" t="s">
        <v>892</v>
      </c>
      <c r="J6339" s="25" t="str">
        <f t="shared" si="67"/>
        <v>No</v>
      </c>
      <c r="K6339" s="25" t="str">
        <f t="shared" si="68"/>
        <v/>
      </c>
      <c r="L6339" s="25" t="str">
        <f t="shared" si="69"/>
        <v/>
      </c>
      <c r="M6339" s="25"/>
      <c r="O6339" s="26" t="s">
        <v>51</v>
      </c>
    </row>
    <row r="6340" ht="15.75" customHeight="1">
      <c r="A6340" s="25" t="str">
        <f>IFERROR(__xludf.DUMMYFUNCTION("IF(B6340="""","""",RIGHT(REGEXREPLACE(B6340&amp;"""",""[^0-9]"",""""),9))"),"768864711")</f>
        <v>768864711</v>
      </c>
      <c r="B6340" s="26" t="s">
        <v>6338</v>
      </c>
      <c r="C6340" s="28" t="s">
        <v>6339</v>
      </c>
      <c r="D6340" s="26" t="s">
        <v>49</v>
      </c>
      <c r="E6340" s="31">
        <v>46241.0</v>
      </c>
      <c r="F6340" s="26" t="s">
        <v>46</v>
      </c>
      <c r="G6340" s="26">
        <v>11.0</v>
      </c>
      <c r="H6340" s="26" t="s">
        <v>291</v>
      </c>
      <c r="I6340" s="26" t="s">
        <v>892</v>
      </c>
      <c r="J6340" s="25" t="str">
        <f t="shared" si="67"/>
        <v>No</v>
      </c>
      <c r="K6340" s="25" t="str">
        <f t="shared" si="68"/>
        <v/>
      </c>
      <c r="L6340" s="25" t="str">
        <f t="shared" si="69"/>
        <v/>
      </c>
      <c r="M6340" s="25"/>
      <c r="O6340" s="25"/>
    </row>
    <row r="6341" ht="15.75" customHeight="1">
      <c r="A6341" s="25" t="str">
        <f>IFERROR(__xludf.DUMMYFUNCTION("IF(B6341="""","""",RIGHT(REGEXREPLACE(B6341&amp;"""",""[^0-9]"",""""),9))"),"742823648")</f>
        <v>742823648</v>
      </c>
      <c r="B6341" s="26" t="s">
        <v>6340</v>
      </c>
      <c r="C6341" s="28" t="s">
        <v>6341</v>
      </c>
      <c r="D6341" s="26" t="s">
        <v>64</v>
      </c>
      <c r="E6341" s="31">
        <v>46241.0</v>
      </c>
      <c r="F6341" s="26" t="s">
        <v>46</v>
      </c>
      <c r="G6341" s="26">
        <v>11.0</v>
      </c>
      <c r="H6341" s="26" t="s">
        <v>6342</v>
      </c>
      <c r="I6341" s="26" t="s">
        <v>892</v>
      </c>
      <c r="J6341" s="25" t="str">
        <f t="shared" si="67"/>
        <v>No</v>
      </c>
      <c r="K6341" s="25" t="str">
        <f t="shared" si="68"/>
        <v/>
      </c>
      <c r="L6341" s="25" t="str">
        <f t="shared" si="69"/>
        <v/>
      </c>
      <c r="M6341" s="25"/>
      <c r="O6341" s="25"/>
    </row>
    <row r="6342" ht="15.75" customHeight="1">
      <c r="A6342" s="25" t="str">
        <f>IFERROR(__xludf.DUMMYFUNCTION("IF(B6342="""","""",RIGHT(REGEXREPLACE(B6342&amp;"""",""[^0-9]"",""""),9))"),"786130267")</f>
        <v>786130267</v>
      </c>
      <c r="B6342" s="26" t="s">
        <v>6343</v>
      </c>
      <c r="C6342" s="28" t="s">
        <v>6344</v>
      </c>
      <c r="D6342" s="26" t="s">
        <v>82</v>
      </c>
      <c r="E6342" s="31">
        <v>46241.0</v>
      </c>
      <c r="F6342" s="26" t="s">
        <v>205</v>
      </c>
      <c r="I6342" s="26" t="s">
        <v>892</v>
      </c>
      <c r="J6342" s="25" t="str">
        <f t="shared" si="67"/>
        <v>No</v>
      </c>
      <c r="K6342" s="25" t="str">
        <f t="shared" si="68"/>
        <v/>
      </c>
      <c r="L6342" s="25" t="str">
        <f t="shared" si="69"/>
        <v/>
      </c>
      <c r="M6342" s="25"/>
      <c r="O6342" s="25"/>
    </row>
    <row r="6343" ht="15.75" customHeight="1">
      <c r="A6343" s="25" t="str">
        <f>IFERROR(__xludf.DUMMYFUNCTION("IF(B6343="""","""",RIGHT(REGEXREPLACE(B6343&amp;"""",""[^0-9]"",""""),9))"),"714777544")</f>
        <v>714777544</v>
      </c>
      <c r="B6343" s="26" t="s">
        <v>6345</v>
      </c>
      <c r="C6343" s="28" t="s">
        <v>6346</v>
      </c>
      <c r="D6343" s="26" t="s">
        <v>64</v>
      </c>
      <c r="E6343" s="31">
        <v>46241.0</v>
      </c>
      <c r="F6343" s="26" t="s">
        <v>46</v>
      </c>
      <c r="G6343" s="26">
        <v>11.0</v>
      </c>
      <c r="H6343" s="26" t="s">
        <v>6347</v>
      </c>
      <c r="I6343" s="26" t="s">
        <v>892</v>
      </c>
      <c r="J6343" s="25" t="str">
        <f t="shared" si="67"/>
        <v>No</v>
      </c>
      <c r="K6343" s="25" t="str">
        <f t="shared" si="68"/>
        <v/>
      </c>
      <c r="L6343" s="25" t="str">
        <f t="shared" si="69"/>
        <v/>
      </c>
      <c r="M6343" s="25"/>
      <c r="O6343" s="25"/>
    </row>
    <row r="6344" ht="15.75" customHeight="1">
      <c r="A6344" s="25" t="str">
        <f>IFERROR(__xludf.DUMMYFUNCTION("IF(B6344="""","""",RIGHT(REGEXREPLACE(B6344&amp;"""",""[^0-9]"",""""),9))"),"761246200")</f>
        <v>761246200</v>
      </c>
      <c r="B6344" s="26" t="s">
        <v>6348</v>
      </c>
      <c r="C6344" s="28" t="s">
        <v>6349</v>
      </c>
      <c r="D6344" s="26" t="s">
        <v>49</v>
      </c>
      <c r="E6344" s="31">
        <v>46241.0</v>
      </c>
      <c r="F6344" s="26" t="s">
        <v>164</v>
      </c>
      <c r="I6344" s="26" t="s">
        <v>892</v>
      </c>
      <c r="J6344" s="25" t="str">
        <f t="shared" si="67"/>
        <v>No</v>
      </c>
      <c r="K6344" s="25" t="str">
        <f t="shared" si="68"/>
        <v/>
      </c>
      <c r="L6344" s="25" t="str">
        <f t="shared" si="69"/>
        <v/>
      </c>
      <c r="M6344" s="25"/>
      <c r="O6344" s="25"/>
    </row>
    <row r="6345" ht="15.75" customHeight="1">
      <c r="A6345" s="25" t="str">
        <f>IFERROR(__xludf.DUMMYFUNCTION("IF(B6345="""","""",RIGHT(REGEXREPLACE(B6345&amp;"""",""[^0-9]"",""""),9))"),"765493380")</f>
        <v>765493380</v>
      </c>
      <c r="B6345" s="26" t="s">
        <v>6350</v>
      </c>
      <c r="C6345" s="28" t="s">
        <v>6351</v>
      </c>
      <c r="D6345" s="26" t="s">
        <v>56</v>
      </c>
      <c r="E6345" s="31">
        <v>46241.0</v>
      </c>
      <c r="F6345" s="26" t="s">
        <v>125</v>
      </c>
      <c r="G6345" s="26">
        <v>11.0</v>
      </c>
      <c r="H6345" s="117" t="s">
        <v>6352</v>
      </c>
      <c r="I6345" s="26" t="s">
        <v>892</v>
      </c>
      <c r="J6345" s="25" t="str">
        <f t="shared" si="67"/>
        <v>No</v>
      </c>
      <c r="K6345" s="25" t="str">
        <f t="shared" si="68"/>
        <v/>
      </c>
      <c r="L6345" s="25" t="str">
        <f t="shared" si="69"/>
        <v/>
      </c>
      <c r="M6345" s="25"/>
      <c r="O6345" s="25"/>
    </row>
    <row r="6346" ht="15.75" customHeight="1">
      <c r="A6346" s="25" t="str">
        <f>IFERROR(__xludf.DUMMYFUNCTION("IF(B6346="""","""",RIGHT(REGEXREPLACE(B6346&amp;"""",""[^0-9]"",""""),9))"),"742706328")</f>
        <v>742706328</v>
      </c>
      <c r="B6346" s="26" t="s">
        <v>6353</v>
      </c>
      <c r="C6346" s="28" t="s">
        <v>6354</v>
      </c>
      <c r="D6346" s="26" t="s">
        <v>49</v>
      </c>
      <c r="E6346" s="31">
        <v>46241.0</v>
      </c>
      <c r="F6346" s="26" t="s">
        <v>46</v>
      </c>
      <c r="G6346" s="26">
        <v>9.0</v>
      </c>
      <c r="H6346" s="26" t="s">
        <v>6355</v>
      </c>
      <c r="I6346" s="26" t="s">
        <v>892</v>
      </c>
      <c r="J6346" s="25" t="str">
        <f t="shared" si="67"/>
        <v>No</v>
      </c>
      <c r="K6346" s="25" t="str">
        <f t="shared" si="68"/>
        <v/>
      </c>
      <c r="L6346" s="25" t="str">
        <f t="shared" si="69"/>
        <v/>
      </c>
      <c r="M6346" s="25"/>
      <c r="O6346" s="25"/>
    </row>
    <row r="6347" ht="15.75" customHeight="1">
      <c r="A6347" s="25" t="str">
        <f>IFERROR(__xludf.DUMMYFUNCTION("IF(B6347="""","""",RIGHT(REGEXREPLACE(B6347&amp;"""",""[^0-9]"",""""),9))"),"740022732")</f>
        <v>740022732</v>
      </c>
      <c r="B6347" s="26" t="s">
        <v>6356</v>
      </c>
      <c r="C6347" s="28" t="s">
        <v>6357</v>
      </c>
      <c r="D6347" s="26" t="s">
        <v>64</v>
      </c>
      <c r="E6347" s="31">
        <v>46241.0</v>
      </c>
      <c r="F6347" s="26" t="s">
        <v>46</v>
      </c>
      <c r="H6347" s="26" t="s">
        <v>291</v>
      </c>
      <c r="I6347" s="26" t="s">
        <v>892</v>
      </c>
      <c r="J6347" s="25" t="str">
        <f t="shared" si="67"/>
        <v>No</v>
      </c>
      <c r="K6347" s="25" t="str">
        <f t="shared" si="68"/>
        <v/>
      </c>
      <c r="L6347" s="25" t="str">
        <f t="shared" si="69"/>
        <v/>
      </c>
      <c r="M6347" s="25"/>
      <c r="O6347" s="25"/>
    </row>
    <row r="6348" ht="15.75" customHeight="1">
      <c r="A6348" s="25" t="str">
        <f>IFERROR(__xludf.DUMMYFUNCTION("IF(B6348="""","""",RIGHT(REGEXREPLACE(B6348&amp;"""",""[^0-9]"",""""),9))"),"785778681")</f>
        <v>785778681</v>
      </c>
      <c r="B6348" s="26" t="s">
        <v>6358</v>
      </c>
      <c r="C6348" s="28" t="s">
        <v>3142</v>
      </c>
      <c r="D6348" s="26" t="s">
        <v>82</v>
      </c>
      <c r="E6348" s="31">
        <v>46241.0</v>
      </c>
      <c r="F6348" s="26" t="s">
        <v>46</v>
      </c>
      <c r="G6348" s="26">
        <v>11.0</v>
      </c>
      <c r="H6348" s="119" t="s">
        <v>6359</v>
      </c>
      <c r="I6348" s="26" t="s">
        <v>892</v>
      </c>
      <c r="J6348" s="25" t="str">
        <f t="shared" si="67"/>
        <v>Yes - see Previous F-Code</v>
      </c>
      <c r="K6348" s="25" t="str">
        <f t="shared" si="68"/>
        <v/>
      </c>
      <c r="L6348" s="25" t="str">
        <f t="shared" si="69"/>
        <v>F72783</v>
      </c>
      <c r="M6348" s="25"/>
      <c r="O6348" s="25"/>
    </row>
    <row r="6349" ht="15.75" customHeight="1">
      <c r="A6349" s="25" t="str">
        <f>IFERROR(__xludf.DUMMYFUNCTION("IF(B6349="""","""",RIGHT(REGEXREPLACE(B6349&amp;"""",""[^0-9]"",""""),9))"),"763367565")</f>
        <v>763367565</v>
      </c>
      <c r="B6349" s="26" t="s">
        <v>6360</v>
      </c>
      <c r="C6349" s="28" t="s">
        <v>6361</v>
      </c>
      <c r="D6349" s="26" t="s">
        <v>64</v>
      </c>
      <c r="E6349" s="31">
        <v>46241.0</v>
      </c>
      <c r="F6349" s="26" t="s">
        <v>46</v>
      </c>
      <c r="H6349" s="26" t="s">
        <v>6362</v>
      </c>
      <c r="I6349" s="26" t="s">
        <v>892</v>
      </c>
      <c r="J6349" s="25" t="str">
        <f t="shared" si="67"/>
        <v>No</v>
      </c>
      <c r="K6349" s="25" t="str">
        <f t="shared" si="68"/>
        <v/>
      </c>
      <c r="L6349" s="25" t="str">
        <f t="shared" si="69"/>
        <v/>
      </c>
      <c r="M6349" s="25"/>
      <c r="O6349" s="25"/>
    </row>
    <row r="6350" ht="15.75" customHeight="1">
      <c r="A6350" s="25" t="str">
        <f>IFERROR(__xludf.DUMMYFUNCTION("IF(B6350="""","""",RIGHT(REGEXREPLACE(B6350&amp;"""",""[^0-9]"",""""),9))"),"769657646")</f>
        <v>769657646</v>
      </c>
      <c r="B6350" s="26" t="s">
        <v>6363</v>
      </c>
      <c r="C6350" s="28" t="s">
        <v>6364</v>
      </c>
      <c r="D6350" s="26" t="s">
        <v>56</v>
      </c>
      <c r="E6350" s="31">
        <v>46252.0</v>
      </c>
      <c r="F6350" s="26" t="s">
        <v>167</v>
      </c>
      <c r="G6350" s="26">
        <v>8.0</v>
      </c>
      <c r="I6350" s="26" t="s">
        <v>892</v>
      </c>
      <c r="J6350" s="25" t="str">
        <f t="shared" si="67"/>
        <v>No</v>
      </c>
      <c r="K6350" s="25" t="str">
        <f t="shared" si="68"/>
        <v/>
      </c>
      <c r="L6350" s="25" t="str">
        <f t="shared" si="69"/>
        <v/>
      </c>
      <c r="M6350" s="25"/>
      <c r="O6350" s="26" t="s">
        <v>51</v>
      </c>
    </row>
    <row r="6351" ht="15.75" customHeight="1">
      <c r="A6351" s="25" t="str">
        <f>IFERROR(__xludf.DUMMYFUNCTION("IF(B6351="""","""",RIGHT(REGEXREPLACE(B6351&amp;"""",""[^0-9]"",""""),9))"),"778690150")</f>
        <v>778690150</v>
      </c>
      <c r="B6351" s="26" t="s">
        <v>6365</v>
      </c>
      <c r="C6351" s="28" t="s">
        <v>6366</v>
      </c>
      <c r="D6351" s="26" t="s">
        <v>82</v>
      </c>
      <c r="E6351" s="31">
        <v>46241.0</v>
      </c>
      <c r="F6351" s="26" t="s">
        <v>41</v>
      </c>
      <c r="I6351" s="26" t="s">
        <v>892</v>
      </c>
      <c r="J6351" s="25" t="str">
        <f t="shared" si="67"/>
        <v>No</v>
      </c>
      <c r="K6351" s="25" t="str">
        <f t="shared" si="68"/>
        <v/>
      </c>
      <c r="L6351" s="25" t="str">
        <f t="shared" si="69"/>
        <v/>
      </c>
      <c r="M6351" s="25"/>
      <c r="O6351" s="25"/>
    </row>
    <row r="6352" ht="15.75" customHeight="1">
      <c r="A6352" s="25" t="str">
        <f>IFERROR(__xludf.DUMMYFUNCTION("IF(B6352="""","""",RIGHT(REGEXREPLACE(B6352&amp;"""",""[^0-9]"",""""),9))"),"704953873")</f>
        <v>704953873</v>
      </c>
      <c r="B6352" s="26" t="s">
        <v>6367</v>
      </c>
      <c r="C6352" s="28" t="s">
        <v>6368</v>
      </c>
      <c r="D6352" s="26" t="s">
        <v>56</v>
      </c>
      <c r="E6352" s="31">
        <v>46241.0</v>
      </c>
      <c r="F6352" s="26" t="s">
        <v>46</v>
      </c>
      <c r="H6352" s="26" t="s">
        <v>342</v>
      </c>
      <c r="I6352" s="26" t="s">
        <v>892</v>
      </c>
      <c r="J6352" s="25" t="str">
        <f t="shared" si="67"/>
        <v>No</v>
      </c>
      <c r="K6352" s="25" t="str">
        <f t="shared" si="68"/>
        <v/>
      </c>
      <c r="L6352" s="25" t="str">
        <f t="shared" si="69"/>
        <v/>
      </c>
      <c r="M6352" s="25"/>
      <c r="O6352" s="25"/>
    </row>
    <row r="6353" ht="15.75" customHeight="1">
      <c r="A6353" s="25" t="str">
        <f>IFERROR(__xludf.DUMMYFUNCTION("IF(B6353="""","""",RIGHT(REGEXREPLACE(B6353&amp;"""",""[^0-9]"",""""),9))"),"773386591")</f>
        <v>773386591</v>
      </c>
      <c r="B6353" s="26" t="s">
        <v>6369</v>
      </c>
      <c r="C6353" s="28" t="s">
        <v>1675</v>
      </c>
      <c r="D6353" s="26" t="s">
        <v>49</v>
      </c>
      <c r="E6353" s="31">
        <v>46241.0</v>
      </c>
      <c r="F6353" s="26" t="s">
        <v>46</v>
      </c>
      <c r="G6353" s="26">
        <v>10.0</v>
      </c>
      <c r="H6353" s="26" t="s">
        <v>6370</v>
      </c>
      <c r="I6353" s="26" t="s">
        <v>892</v>
      </c>
      <c r="J6353" s="25" t="str">
        <f t="shared" si="67"/>
        <v>Yes - see Previous F-Code</v>
      </c>
      <c r="K6353" s="25" t="str">
        <f t="shared" si="68"/>
        <v/>
      </c>
      <c r="L6353" s="25" t="str">
        <f t="shared" si="69"/>
        <v>F71387</v>
      </c>
      <c r="M6353" s="25"/>
      <c r="O6353" s="25"/>
    </row>
    <row r="6354" ht="15.75" customHeight="1">
      <c r="A6354" s="25" t="str">
        <f>IFERROR(__xludf.DUMMYFUNCTION("IF(B6354="""","""",RIGHT(REGEXREPLACE(B6354&amp;"""",""[^0-9]"",""""),9))"),"718210243")</f>
        <v>718210243</v>
      </c>
      <c r="B6354" s="26" t="s">
        <v>6371</v>
      </c>
      <c r="C6354" s="28" t="s">
        <v>6372</v>
      </c>
      <c r="D6354" s="26" t="s">
        <v>64</v>
      </c>
      <c r="E6354" s="31">
        <v>46252.0</v>
      </c>
      <c r="F6354" s="26" t="s">
        <v>41</v>
      </c>
      <c r="I6354" s="26" t="s">
        <v>892</v>
      </c>
      <c r="J6354" s="25" t="str">
        <f t="shared" si="67"/>
        <v>No</v>
      </c>
      <c r="K6354" s="25" t="str">
        <f t="shared" si="68"/>
        <v/>
      </c>
      <c r="L6354" s="25" t="str">
        <f t="shared" si="69"/>
        <v/>
      </c>
      <c r="M6354" s="25"/>
      <c r="O6354" s="25"/>
    </row>
    <row r="6355" ht="15.75" customHeight="1">
      <c r="A6355" s="25" t="str">
        <f>IFERROR(__xludf.DUMMYFUNCTION("IF(B6355="""","""",RIGHT(REGEXREPLACE(B6355&amp;"""",""[^0-9]"",""""),9))"),"776680480")</f>
        <v>776680480</v>
      </c>
      <c r="B6355" s="26" t="s">
        <v>6373</v>
      </c>
      <c r="C6355" s="28" t="s">
        <v>6374</v>
      </c>
      <c r="D6355" s="26" t="s">
        <v>56</v>
      </c>
      <c r="E6355" s="31">
        <v>46252.0</v>
      </c>
      <c r="F6355" s="26" t="s">
        <v>46</v>
      </c>
      <c r="G6355" s="26">
        <v>10.0</v>
      </c>
      <c r="H6355" s="26" t="s">
        <v>309</v>
      </c>
      <c r="I6355" s="26" t="s">
        <v>892</v>
      </c>
      <c r="J6355" s="25" t="str">
        <f t="shared" si="67"/>
        <v>No</v>
      </c>
      <c r="K6355" s="25" t="str">
        <f t="shared" si="68"/>
        <v/>
      </c>
      <c r="L6355" s="25" t="str">
        <f t="shared" si="69"/>
        <v/>
      </c>
      <c r="M6355" s="25"/>
      <c r="O6355" s="25"/>
    </row>
    <row r="6356" ht="15.75" customHeight="1">
      <c r="A6356" s="25" t="str">
        <f>IFERROR(__xludf.DUMMYFUNCTION("IF(B6356="""","""",RIGHT(REGEXREPLACE(B6356&amp;"""",""[^0-9]"",""""),9))"),"774543886")</f>
        <v>774543886</v>
      </c>
      <c r="B6356" s="26" t="s">
        <v>6375</v>
      </c>
      <c r="C6356" s="28" t="s">
        <v>6376</v>
      </c>
      <c r="D6356" s="26" t="s">
        <v>56</v>
      </c>
      <c r="E6356" s="31">
        <v>46252.0</v>
      </c>
      <c r="F6356" s="26" t="s">
        <v>41</v>
      </c>
      <c r="I6356" s="26" t="s">
        <v>892</v>
      </c>
      <c r="J6356" s="25" t="str">
        <f t="shared" si="67"/>
        <v>No</v>
      </c>
      <c r="K6356" s="25" t="str">
        <f t="shared" si="68"/>
        <v/>
      </c>
      <c r="L6356" s="25" t="str">
        <f t="shared" si="69"/>
        <v/>
      </c>
      <c r="M6356" s="25"/>
      <c r="O6356" s="25"/>
    </row>
    <row r="6357" ht="15.75" customHeight="1">
      <c r="A6357" s="25" t="str">
        <f>IFERROR(__xludf.DUMMYFUNCTION("IF(B6357="""","""",RIGHT(REGEXREPLACE(B6357&amp;"""",""[^0-9]"",""""),9))"),"775485131")</f>
        <v>775485131</v>
      </c>
      <c r="B6357" s="26" t="s">
        <v>6377</v>
      </c>
      <c r="C6357" s="28" t="s">
        <v>6378</v>
      </c>
      <c r="D6357" s="26" t="s">
        <v>82</v>
      </c>
      <c r="E6357" s="31">
        <v>46241.0</v>
      </c>
      <c r="F6357" s="26" t="s">
        <v>41</v>
      </c>
      <c r="I6357" s="26" t="s">
        <v>892</v>
      </c>
      <c r="J6357" s="25" t="str">
        <f t="shared" si="67"/>
        <v>No</v>
      </c>
      <c r="K6357" s="25" t="str">
        <f t="shared" si="68"/>
        <v/>
      </c>
      <c r="L6357" s="25" t="str">
        <f t="shared" si="69"/>
        <v/>
      </c>
      <c r="M6357" s="25"/>
      <c r="O6357" s="25"/>
    </row>
    <row r="6358" ht="15.75" customHeight="1">
      <c r="A6358" s="25" t="str">
        <f>IFERROR(__xludf.DUMMYFUNCTION("IF(B6358="""","""",RIGHT(REGEXREPLACE(B6358&amp;"""",""[^0-9]"",""""),9))"),"705202027")</f>
        <v>705202027</v>
      </c>
      <c r="B6358" s="26" t="s">
        <v>6379</v>
      </c>
      <c r="C6358" s="28" t="s">
        <v>6380</v>
      </c>
      <c r="D6358" s="26" t="s">
        <v>82</v>
      </c>
      <c r="E6358" s="31">
        <v>46241.0</v>
      </c>
      <c r="F6358" s="26" t="s">
        <v>46</v>
      </c>
      <c r="G6358" s="26">
        <v>11.0</v>
      </c>
      <c r="H6358" s="26" t="s">
        <v>5522</v>
      </c>
      <c r="I6358" s="26" t="s">
        <v>892</v>
      </c>
      <c r="J6358" s="25" t="str">
        <f t="shared" si="67"/>
        <v>No</v>
      </c>
      <c r="K6358" s="25" t="str">
        <f t="shared" si="68"/>
        <v/>
      </c>
      <c r="L6358" s="25" t="str">
        <f t="shared" si="69"/>
        <v/>
      </c>
      <c r="M6358" s="25"/>
      <c r="O6358" s="25"/>
    </row>
    <row r="6359" ht="15.75" customHeight="1">
      <c r="A6359" s="25" t="str">
        <f>IFERROR(__xludf.DUMMYFUNCTION("IF(B6359="""","""",RIGHT(REGEXREPLACE(B6359&amp;"""",""[^0-9]"",""""),9))"),"768439503")</f>
        <v>768439503</v>
      </c>
      <c r="B6359" s="26" t="s">
        <v>6381</v>
      </c>
      <c r="C6359" s="28" t="s">
        <v>6382</v>
      </c>
      <c r="D6359" s="26" t="s">
        <v>56</v>
      </c>
      <c r="E6359" s="31">
        <v>46252.0</v>
      </c>
      <c r="F6359" s="26" t="s">
        <v>205</v>
      </c>
      <c r="I6359" s="26" t="s">
        <v>892</v>
      </c>
      <c r="J6359" s="25" t="str">
        <f t="shared" si="67"/>
        <v>No</v>
      </c>
      <c r="K6359" s="25" t="str">
        <f t="shared" si="68"/>
        <v/>
      </c>
      <c r="L6359" s="25" t="str">
        <f t="shared" si="69"/>
        <v/>
      </c>
      <c r="M6359" s="25"/>
      <c r="O6359" s="25"/>
    </row>
    <row r="6360" ht="15.75" customHeight="1">
      <c r="A6360" s="25" t="str">
        <f>IFERROR(__xludf.DUMMYFUNCTION("IF(B6360="""","""",RIGHT(REGEXREPLACE(B6360&amp;"""",""[^0-9]"",""""),9))"),"785227362")</f>
        <v>785227362</v>
      </c>
      <c r="B6360" s="26" t="s">
        <v>6383</v>
      </c>
      <c r="C6360" s="28" t="s">
        <v>6384</v>
      </c>
      <c r="D6360" s="26" t="s">
        <v>49</v>
      </c>
      <c r="E6360" s="31">
        <v>46241.0</v>
      </c>
      <c r="F6360" s="26" t="s">
        <v>46</v>
      </c>
      <c r="G6360" s="26">
        <v>10.0</v>
      </c>
      <c r="H6360" s="26" t="s">
        <v>5896</v>
      </c>
      <c r="I6360" s="26" t="s">
        <v>892</v>
      </c>
      <c r="J6360" s="25" t="str">
        <f t="shared" si="67"/>
        <v>No</v>
      </c>
      <c r="K6360" s="25" t="str">
        <f t="shared" si="68"/>
        <v/>
      </c>
      <c r="L6360" s="25" t="str">
        <f t="shared" si="69"/>
        <v/>
      </c>
      <c r="M6360" s="25"/>
      <c r="O6360" s="25"/>
    </row>
    <row r="6361" ht="15.75" customHeight="1">
      <c r="A6361" s="25" t="str">
        <f>IFERROR(__xludf.DUMMYFUNCTION("IF(B6361="""","""",RIGHT(REGEXREPLACE(B6361&amp;"""",""[^0-9]"",""""),9))"),"766397984")</f>
        <v>766397984</v>
      </c>
      <c r="B6361" s="26" t="s">
        <v>6385</v>
      </c>
      <c r="C6361" s="28" t="s">
        <v>6386</v>
      </c>
      <c r="D6361" s="26" t="s">
        <v>64</v>
      </c>
      <c r="E6361" s="31">
        <v>46241.0</v>
      </c>
      <c r="F6361" s="26" t="s">
        <v>46</v>
      </c>
      <c r="G6361" s="26">
        <v>9.0</v>
      </c>
      <c r="H6361" s="26" t="s">
        <v>6347</v>
      </c>
      <c r="I6361" s="26" t="s">
        <v>892</v>
      </c>
      <c r="J6361" s="25" t="str">
        <f t="shared" si="67"/>
        <v>No</v>
      </c>
      <c r="K6361" s="25" t="str">
        <f t="shared" si="68"/>
        <v/>
      </c>
      <c r="L6361" s="25" t="str">
        <f t="shared" si="69"/>
        <v/>
      </c>
      <c r="M6361" s="25"/>
      <c r="O6361" s="25"/>
    </row>
    <row r="6362" ht="15.75" customHeight="1">
      <c r="A6362" s="25" t="str">
        <f>IFERROR(__xludf.DUMMYFUNCTION("IF(B6362="""","""",RIGHT(REGEXREPLACE(B6362&amp;"""",""[^0-9]"",""""),9))"),"742157264")</f>
        <v>742157264</v>
      </c>
      <c r="B6362" s="26" t="s">
        <v>6387</v>
      </c>
      <c r="C6362" s="28" t="s">
        <v>6388</v>
      </c>
      <c r="D6362" s="26" t="s">
        <v>82</v>
      </c>
      <c r="E6362" s="31">
        <v>46241.0</v>
      </c>
      <c r="F6362" s="26" t="s">
        <v>46</v>
      </c>
      <c r="G6362" s="26">
        <v>10.0</v>
      </c>
      <c r="H6362" s="26" t="s">
        <v>6389</v>
      </c>
      <c r="I6362" s="26" t="s">
        <v>892</v>
      </c>
      <c r="J6362" s="25" t="str">
        <f t="shared" si="67"/>
        <v>No</v>
      </c>
      <c r="K6362" s="25" t="str">
        <f t="shared" si="68"/>
        <v/>
      </c>
      <c r="L6362" s="25" t="str">
        <f t="shared" si="69"/>
        <v/>
      </c>
      <c r="M6362" s="25"/>
      <c r="O6362" s="25"/>
    </row>
    <row r="6363" ht="15.75" customHeight="1">
      <c r="A6363" s="25" t="str">
        <f>IFERROR(__xludf.DUMMYFUNCTION("IF(B6363="""","""",RIGHT(REGEXREPLACE(B6363&amp;"""",""[^0-9]"",""""),9))"),"781100019")</f>
        <v>781100019</v>
      </c>
      <c r="B6363" s="26" t="s">
        <v>6390</v>
      </c>
      <c r="C6363" s="28" t="s">
        <v>6391</v>
      </c>
      <c r="D6363" s="26" t="s">
        <v>64</v>
      </c>
      <c r="E6363" s="31">
        <v>46241.0</v>
      </c>
      <c r="F6363" s="26" t="s">
        <v>205</v>
      </c>
      <c r="I6363" s="26" t="s">
        <v>892</v>
      </c>
      <c r="J6363" s="25" t="str">
        <f t="shared" si="67"/>
        <v>No</v>
      </c>
      <c r="K6363" s="25" t="str">
        <f t="shared" si="68"/>
        <v/>
      </c>
      <c r="L6363" s="25" t="str">
        <f t="shared" si="69"/>
        <v/>
      </c>
      <c r="M6363" s="25"/>
      <c r="O6363" s="25"/>
    </row>
    <row r="6364" ht="15.75" customHeight="1">
      <c r="A6364" s="25" t="str">
        <f>IFERROR(__xludf.DUMMYFUNCTION("IF(B6364="""","""",RIGHT(REGEXREPLACE(B6364&amp;"""",""[^0-9]"",""""),9))"),"704945435")</f>
        <v>704945435</v>
      </c>
      <c r="B6364" s="26" t="s">
        <v>6392</v>
      </c>
      <c r="C6364" s="28" t="s">
        <v>161</v>
      </c>
      <c r="D6364" s="26" t="s">
        <v>64</v>
      </c>
      <c r="E6364" s="31">
        <v>46241.0</v>
      </c>
      <c r="F6364" s="26" t="s">
        <v>46</v>
      </c>
      <c r="G6364" s="26">
        <v>10.0</v>
      </c>
      <c r="H6364" s="26" t="s">
        <v>6342</v>
      </c>
      <c r="I6364" s="26" t="s">
        <v>892</v>
      </c>
      <c r="J6364" s="25" t="str">
        <f t="shared" si="67"/>
        <v>Yes - see Previous F-Code</v>
      </c>
      <c r="K6364" s="25" t="str">
        <f t="shared" si="68"/>
        <v/>
      </c>
      <c r="L6364" s="25" t="str">
        <f t="shared" si="69"/>
        <v>F70073</v>
      </c>
      <c r="M6364" s="25"/>
      <c r="O6364" s="25"/>
    </row>
    <row r="6365" ht="15.75" customHeight="1">
      <c r="A6365" s="25" t="str">
        <f>IFERROR(__xludf.DUMMYFUNCTION("IF(B6365="""","""",RIGHT(REGEXREPLACE(B6365&amp;"""",""[^0-9]"",""""),9))"),"741209714")</f>
        <v>741209714</v>
      </c>
      <c r="B6365" s="26" t="s">
        <v>6393</v>
      </c>
      <c r="C6365" s="28" t="s">
        <v>1775</v>
      </c>
      <c r="D6365" s="26" t="s">
        <v>49</v>
      </c>
      <c r="E6365" s="31">
        <v>46241.0</v>
      </c>
      <c r="F6365" s="26" t="s">
        <v>46</v>
      </c>
      <c r="G6365" s="26">
        <v>9.0</v>
      </c>
      <c r="H6365" s="26" t="s">
        <v>291</v>
      </c>
      <c r="I6365" s="26" t="s">
        <v>892</v>
      </c>
      <c r="J6365" s="25" t="str">
        <f t="shared" si="67"/>
        <v>Yes - see Previous F-Code</v>
      </c>
      <c r="K6365" s="25" t="str">
        <f t="shared" si="68"/>
        <v/>
      </c>
      <c r="L6365" s="25" t="str">
        <f t="shared" si="69"/>
        <v>F71483</v>
      </c>
      <c r="M6365" s="25"/>
      <c r="O6365" s="25"/>
    </row>
    <row r="6366" ht="15.75" customHeight="1">
      <c r="A6366" s="25" t="str">
        <f>IFERROR(__xludf.DUMMYFUNCTION("IF(B6366="""","""",RIGHT(REGEXREPLACE(B6366&amp;"""",""[^0-9]"",""""),9))"),"712275074")</f>
        <v>712275074</v>
      </c>
      <c r="B6366" s="26" t="s">
        <v>6394</v>
      </c>
      <c r="C6366" s="28" t="s">
        <v>6395</v>
      </c>
      <c r="D6366" s="26" t="s">
        <v>82</v>
      </c>
      <c r="E6366" s="31">
        <v>46241.0</v>
      </c>
      <c r="F6366" s="26" t="s">
        <v>46</v>
      </c>
      <c r="G6366" s="26">
        <v>10.0</v>
      </c>
      <c r="H6366" s="26" t="s">
        <v>6396</v>
      </c>
      <c r="I6366" s="26" t="s">
        <v>892</v>
      </c>
      <c r="J6366" s="25" t="str">
        <f t="shared" si="67"/>
        <v>No</v>
      </c>
      <c r="K6366" s="25" t="str">
        <f t="shared" si="68"/>
        <v/>
      </c>
      <c r="L6366" s="25" t="str">
        <f t="shared" si="69"/>
        <v/>
      </c>
      <c r="M6366" s="25"/>
      <c r="O6366" s="25"/>
    </row>
    <row r="6367" ht="15.75" customHeight="1">
      <c r="A6367" s="25" t="str">
        <f>IFERROR(__xludf.DUMMYFUNCTION("IF(B6367="""","""",RIGHT(REGEXREPLACE(B6367&amp;"""",""[^0-9]"",""""),9))"),"756544788")</f>
        <v>756544788</v>
      </c>
      <c r="B6367" s="26" t="s">
        <v>6397</v>
      </c>
      <c r="C6367" s="28" t="s">
        <v>6398</v>
      </c>
      <c r="D6367" s="26" t="s">
        <v>64</v>
      </c>
      <c r="E6367" s="31">
        <v>46241.0</v>
      </c>
      <c r="F6367" s="26" t="s">
        <v>46</v>
      </c>
      <c r="H6367" s="26" t="s">
        <v>2293</v>
      </c>
      <c r="I6367" s="26" t="s">
        <v>892</v>
      </c>
      <c r="J6367" s="25" t="str">
        <f t="shared" si="67"/>
        <v>No</v>
      </c>
      <c r="K6367" s="25" t="str">
        <f t="shared" si="68"/>
        <v/>
      </c>
      <c r="L6367" s="25" t="str">
        <f t="shared" si="69"/>
        <v/>
      </c>
      <c r="M6367" s="25"/>
      <c r="O6367" s="25"/>
    </row>
    <row r="6368" ht="15.75" customHeight="1">
      <c r="A6368" s="25" t="str">
        <f>IFERROR(__xludf.DUMMYFUNCTION("IF(B6368="""","""",RIGHT(REGEXREPLACE(B6368&amp;"""",""[^0-9]"",""""),9))"),"773913305")</f>
        <v>773913305</v>
      </c>
      <c r="B6368" s="26" t="s">
        <v>6399</v>
      </c>
      <c r="C6368" s="28" t="s">
        <v>2391</v>
      </c>
      <c r="D6368" s="26" t="s">
        <v>56</v>
      </c>
      <c r="E6368" s="31">
        <v>46241.0</v>
      </c>
      <c r="F6368" s="26" t="s">
        <v>46</v>
      </c>
      <c r="G6368" s="26">
        <v>11.0</v>
      </c>
      <c r="H6368" s="26" t="s">
        <v>309</v>
      </c>
      <c r="I6368" s="26" t="s">
        <v>892</v>
      </c>
      <c r="J6368" s="25" t="str">
        <f t="shared" si="67"/>
        <v>Yes - see Previous F-Code</v>
      </c>
      <c r="K6368" s="25" t="str">
        <f t="shared" si="68"/>
        <v/>
      </c>
      <c r="L6368" s="25" t="str">
        <f t="shared" si="69"/>
        <v>F72086</v>
      </c>
      <c r="M6368" s="25"/>
      <c r="O6368" s="25"/>
    </row>
    <row r="6369" ht="15.75" customHeight="1">
      <c r="A6369" s="25" t="str">
        <f>IFERROR(__xludf.DUMMYFUNCTION("IF(B6369="""","""",RIGHT(REGEXREPLACE(B6369&amp;"""",""[^0-9]"",""""),9))"),"772061260")</f>
        <v>772061260</v>
      </c>
      <c r="B6369" s="26" t="s">
        <v>6400</v>
      </c>
      <c r="C6369" s="28" t="s">
        <v>6401</v>
      </c>
      <c r="D6369" s="26" t="s">
        <v>64</v>
      </c>
      <c r="E6369" s="31">
        <v>46241.0</v>
      </c>
      <c r="F6369" s="26" t="s">
        <v>41</v>
      </c>
      <c r="I6369" s="26" t="s">
        <v>892</v>
      </c>
      <c r="J6369" s="25" t="str">
        <f t="shared" si="67"/>
        <v>No</v>
      </c>
      <c r="K6369" s="25" t="str">
        <f t="shared" si="68"/>
        <v/>
      </c>
      <c r="L6369" s="25" t="str">
        <f t="shared" si="69"/>
        <v/>
      </c>
      <c r="M6369" s="25"/>
      <c r="O6369" s="25"/>
    </row>
    <row r="6370" ht="15.75" customHeight="1">
      <c r="A6370" s="25" t="str">
        <f>IFERROR(__xludf.DUMMYFUNCTION("IF(B6370="""","""",RIGHT(REGEXREPLACE(B6370&amp;"""",""[^0-9]"",""""),9))"),"786914180")</f>
        <v>786914180</v>
      </c>
      <c r="B6370" s="26" t="s">
        <v>6402</v>
      </c>
      <c r="C6370" s="28" t="s">
        <v>6403</v>
      </c>
      <c r="D6370" s="26" t="s">
        <v>49</v>
      </c>
      <c r="E6370" s="31">
        <v>46241.0</v>
      </c>
      <c r="F6370" s="26" t="s">
        <v>205</v>
      </c>
      <c r="I6370" s="26" t="s">
        <v>892</v>
      </c>
      <c r="J6370" s="25" t="str">
        <f t="shared" si="67"/>
        <v>No</v>
      </c>
      <c r="K6370" s="25" t="str">
        <f t="shared" si="68"/>
        <v/>
      </c>
      <c r="L6370" s="25" t="str">
        <f t="shared" si="69"/>
        <v/>
      </c>
      <c r="M6370" s="25"/>
      <c r="O6370" s="25"/>
    </row>
    <row r="6371" ht="15.75" customHeight="1">
      <c r="A6371" s="25" t="str">
        <f>IFERROR(__xludf.DUMMYFUNCTION("IF(B6371="""","""",RIGHT(REGEXREPLACE(B6371&amp;"""",""[^0-9]"",""""),9))"),"710468182")</f>
        <v>710468182</v>
      </c>
      <c r="B6371" s="26" t="s">
        <v>6404</v>
      </c>
      <c r="C6371" s="28" t="s">
        <v>2927</v>
      </c>
      <c r="D6371" s="26" t="s">
        <v>64</v>
      </c>
      <c r="E6371" s="31">
        <v>46241.0</v>
      </c>
      <c r="F6371" s="26" t="s">
        <v>46</v>
      </c>
      <c r="G6371" s="26">
        <v>8.0</v>
      </c>
      <c r="H6371" s="26" t="s">
        <v>6347</v>
      </c>
      <c r="I6371" s="26" t="s">
        <v>892</v>
      </c>
      <c r="J6371" s="25" t="str">
        <f t="shared" si="67"/>
        <v>Yes - see Previous F-Code</v>
      </c>
      <c r="K6371" s="25" t="str">
        <f t="shared" si="68"/>
        <v/>
      </c>
      <c r="L6371" s="25" t="str">
        <f t="shared" si="69"/>
        <v>F72876</v>
      </c>
      <c r="M6371" s="25"/>
      <c r="O6371" s="25"/>
    </row>
    <row r="6372" ht="15.75" customHeight="1">
      <c r="A6372" s="25" t="str">
        <f>IFERROR(__xludf.DUMMYFUNCTION("IF(B6372="""","""",RIGHT(REGEXREPLACE(B6372&amp;"""",""[^0-9]"",""""),9))"),"704204640")</f>
        <v>704204640</v>
      </c>
      <c r="B6372" s="26" t="s">
        <v>6405</v>
      </c>
      <c r="C6372" s="28" t="s">
        <v>5742</v>
      </c>
      <c r="D6372" s="26" t="s">
        <v>82</v>
      </c>
      <c r="E6372" s="31">
        <v>46241.0</v>
      </c>
      <c r="F6372" s="26" t="s">
        <v>41</v>
      </c>
      <c r="I6372" s="26" t="s">
        <v>892</v>
      </c>
      <c r="J6372" s="25" t="str">
        <f t="shared" si="67"/>
        <v>Yes - see Previous F-Code</v>
      </c>
      <c r="K6372" s="25" t="str">
        <f t="shared" si="68"/>
        <v/>
      </c>
      <c r="L6372" s="25" t="str">
        <f t="shared" si="69"/>
        <v>F75190</v>
      </c>
      <c r="M6372" s="25"/>
      <c r="O6372" s="25"/>
    </row>
    <row r="6373" ht="15.75" customHeight="1">
      <c r="A6373" s="25" t="str">
        <f>IFERROR(__xludf.DUMMYFUNCTION("IF(B6373="""","""",RIGHT(REGEXREPLACE(B6373&amp;"""",""[^0-9]"",""""),9))"),"712585907")</f>
        <v>712585907</v>
      </c>
      <c r="B6373" s="26" t="s">
        <v>6406</v>
      </c>
      <c r="C6373" s="28" t="s">
        <v>6407</v>
      </c>
      <c r="D6373" s="26" t="s">
        <v>49</v>
      </c>
      <c r="E6373" s="31">
        <v>46241.0</v>
      </c>
      <c r="F6373" s="26" t="s">
        <v>659</v>
      </c>
      <c r="I6373" s="26" t="s">
        <v>892</v>
      </c>
      <c r="J6373" s="25" t="str">
        <f t="shared" si="67"/>
        <v>No</v>
      </c>
      <c r="K6373" s="25" t="str">
        <f t="shared" si="68"/>
        <v/>
      </c>
      <c r="L6373" s="25" t="str">
        <f t="shared" si="69"/>
        <v/>
      </c>
      <c r="M6373" s="25"/>
      <c r="O6373" s="25"/>
    </row>
    <row r="6374" ht="15.75" customHeight="1">
      <c r="A6374" s="25" t="str">
        <f>IFERROR(__xludf.DUMMYFUNCTION("IF(B6374="""","""",RIGHT(REGEXREPLACE(B6374&amp;"""",""[^0-9]"",""""),9))"),"769224948")</f>
        <v>769224948</v>
      </c>
      <c r="B6374" s="26" t="s">
        <v>6408</v>
      </c>
      <c r="C6374" s="28" t="s">
        <v>6409</v>
      </c>
      <c r="D6374" s="26" t="s">
        <v>56</v>
      </c>
      <c r="E6374" s="31">
        <v>46241.0</v>
      </c>
      <c r="F6374" s="26" t="s">
        <v>41</v>
      </c>
      <c r="I6374" s="26" t="s">
        <v>892</v>
      </c>
      <c r="J6374" s="25" t="str">
        <f t="shared" si="67"/>
        <v>No</v>
      </c>
      <c r="K6374" s="25" t="str">
        <f t="shared" si="68"/>
        <v/>
      </c>
      <c r="L6374" s="25" t="str">
        <f t="shared" si="69"/>
        <v/>
      </c>
      <c r="M6374" s="25"/>
      <c r="O6374" s="25"/>
    </row>
    <row r="6375" ht="15.75" customHeight="1">
      <c r="A6375" s="25" t="str">
        <f>IFERROR(__xludf.DUMMYFUNCTION("IF(B6375="""","""",RIGHT(REGEXREPLACE(B6375&amp;"""",""[^0-9]"",""""),9))"),"768588563")</f>
        <v>768588563</v>
      </c>
      <c r="B6375" s="26" t="s">
        <v>6410</v>
      </c>
      <c r="C6375" s="28" t="s">
        <v>3622</v>
      </c>
      <c r="D6375" s="26" t="s">
        <v>82</v>
      </c>
      <c r="E6375" s="31">
        <v>46241.0</v>
      </c>
      <c r="F6375" s="26" t="s">
        <v>41</v>
      </c>
      <c r="I6375" s="26" t="s">
        <v>892</v>
      </c>
      <c r="J6375" s="25" t="str">
        <f t="shared" si="67"/>
        <v>Yes - see Previous F-Code</v>
      </c>
      <c r="K6375" s="25" t="str">
        <f t="shared" si="68"/>
        <v/>
      </c>
      <c r="L6375" s="25" t="str">
        <f t="shared" si="69"/>
        <v>F73278</v>
      </c>
      <c r="M6375" s="25"/>
      <c r="O6375" s="25"/>
    </row>
    <row r="6376" ht="15.75" customHeight="1">
      <c r="A6376" s="25" t="str">
        <f>IFERROR(__xludf.DUMMYFUNCTION("IF(B6376="""","""",RIGHT(REGEXREPLACE(B6376&amp;"""",""[^0-9]"",""""),9))"),"715340911")</f>
        <v>715340911</v>
      </c>
      <c r="B6376" s="26" t="s">
        <v>6411</v>
      </c>
      <c r="C6376" s="28" t="s">
        <v>6412</v>
      </c>
      <c r="D6376" s="26" t="s">
        <v>49</v>
      </c>
      <c r="E6376" s="31">
        <v>46241.0</v>
      </c>
      <c r="F6376" s="26" t="s">
        <v>46</v>
      </c>
      <c r="G6376" s="26">
        <v>10.0</v>
      </c>
      <c r="H6376" s="115" t="s">
        <v>6413</v>
      </c>
      <c r="I6376" s="26" t="s">
        <v>892</v>
      </c>
      <c r="J6376" s="25" t="str">
        <f t="shared" si="67"/>
        <v>No</v>
      </c>
      <c r="K6376" s="25" t="str">
        <f t="shared" si="68"/>
        <v/>
      </c>
      <c r="L6376" s="25" t="str">
        <f t="shared" si="69"/>
        <v/>
      </c>
      <c r="M6376" s="25"/>
      <c r="O6376" s="25"/>
    </row>
    <row r="6377" ht="15.75" customHeight="1">
      <c r="A6377" s="25" t="str">
        <f>IFERROR(__xludf.DUMMYFUNCTION("IF(B6377="""","""",RIGHT(REGEXREPLACE(B6377&amp;"""",""[^0-9]"",""""),9))"),"774345960")</f>
        <v>774345960</v>
      </c>
      <c r="B6377" s="26" t="s">
        <v>6414</v>
      </c>
      <c r="C6377" s="28" t="s">
        <v>6415</v>
      </c>
      <c r="D6377" s="26" t="s">
        <v>56</v>
      </c>
      <c r="E6377" s="31">
        <v>46241.0</v>
      </c>
      <c r="F6377" s="26" t="s">
        <v>46</v>
      </c>
      <c r="G6377" s="26">
        <v>10.0</v>
      </c>
      <c r="H6377" s="26" t="s">
        <v>309</v>
      </c>
      <c r="I6377" s="26" t="s">
        <v>892</v>
      </c>
      <c r="J6377" s="25" t="str">
        <f t="shared" si="67"/>
        <v>No</v>
      </c>
      <c r="K6377" s="25" t="str">
        <f t="shared" si="68"/>
        <v/>
      </c>
      <c r="L6377" s="25" t="str">
        <f t="shared" si="69"/>
        <v/>
      </c>
      <c r="M6377" s="25"/>
      <c r="O6377" s="25"/>
    </row>
    <row r="6378" ht="15.75" customHeight="1">
      <c r="A6378" s="25" t="str">
        <f>IFERROR(__xludf.DUMMYFUNCTION("IF(B6378="""","""",RIGHT(REGEXREPLACE(B6378&amp;"""",""[^0-9]"",""""),9))"),"778429325")</f>
        <v>778429325</v>
      </c>
      <c r="B6378" s="26" t="s">
        <v>6416</v>
      </c>
      <c r="C6378" s="28" t="s">
        <v>6417</v>
      </c>
      <c r="D6378" s="26" t="s">
        <v>64</v>
      </c>
      <c r="E6378" s="31">
        <v>46241.0</v>
      </c>
      <c r="F6378" s="26" t="s">
        <v>46</v>
      </c>
      <c r="G6378" s="26">
        <v>11.0</v>
      </c>
      <c r="H6378" s="26" t="s">
        <v>6342</v>
      </c>
      <c r="I6378" s="26" t="s">
        <v>892</v>
      </c>
      <c r="J6378" s="25" t="str">
        <f t="shared" si="67"/>
        <v>No</v>
      </c>
      <c r="K6378" s="25" t="str">
        <f t="shared" si="68"/>
        <v/>
      </c>
      <c r="L6378" s="25" t="str">
        <f t="shared" si="69"/>
        <v/>
      </c>
      <c r="M6378" s="25"/>
      <c r="O6378" s="25"/>
    </row>
    <row r="6379" ht="15.75" customHeight="1">
      <c r="A6379" s="25" t="str">
        <f>IFERROR(__xludf.DUMMYFUNCTION("IF(B6379="""","""",RIGHT(REGEXREPLACE(B6379&amp;"""",""[^0-9]"",""""),9))"),"711848311")</f>
        <v>711848311</v>
      </c>
      <c r="B6379" s="26" t="s">
        <v>6418</v>
      </c>
      <c r="C6379" s="28" t="s">
        <v>6419</v>
      </c>
      <c r="D6379" s="26" t="s">
        <v>82</v>
      </c>
      <c r="E6379" s="31">
        <v>46241.0</v>
      </c>
      <c r="F6379" s="26" t="s">
        <v>46</v>
      </c>
      <c r="G6379" s="26">
        <v>7.0</v>
      </c>
      <c r="H6379" s="26" t="s">
        <v>6420</v>
      </c>
      <c r="I6379" s="26" t="s">
        <v>892</v>
      </c>
      <c r="J6379" s="25" t="str">
        <f t="shared" si="67"/>
        <v>No</v>
      </c>
      <c r="K6379" s="25" t="str">
        <f t="shared" si="68"/>
        <v/>
      </c>
      <c r="L6379" s="25" t="str">
        <f t="shared" si="69"/>
        <v/>
      </c>
      <c r="M6379" s="25"/>
      <c r="O6379" s="25"/>
    </row>
    <row r="6380" ht="15.75" customHeight="1">
      <c r="A6380" s="25" t="str">
        <f>IFERROR(__xludf.DUMMYFUNCTION("IF(B6380="""","""",RIGHT(REGEXREPLACE(B6380&amp;"""",""[^0-9]"",""""),9))"),"778741186")</f>
        <v>778741186</v>
      </c>
      <c r="B6380" s="26" t="s">
        <v>6421</v>
      </c>
      <c r="C6380" s="28" t="s">
        <v>6422</v>
      </c>
      <c r="D6380" s="26" t="s">
        <v>56</v>
      </c>
      <c r="E6380" s="31">
        <v>46241.0</v>
      </c>
      <c r="F6380" s="26" t="s">
        <v>41</v>
      </c>
      <c r="I6380" s="26" t="s">
        <v>892</v>
      </c>
      <c r="J6380" s="25" t="str">
        <f t="shared" si="67"/>
        <v>No</v>
      </c>
      <c r="K6380" s="25" t="str">
        <f t="shared" si="68"/>
        <v/>
      </c>
      <c r="L6380" s="25" t="str">
        <f t="shared" si="69"/>
        <v/>
      </c>
      <c r="M6380" s="25"/>
      <c r="O6380" s="25"/>
    </row>
    <row r="6381" ht="15.75" customHeight="1">
      <c r="A6381" s="25" t="str">
        <f>IFERROR(__xludf.DUMMYFUNCTION("IF(B6381="""","""",RIGHT(REGEXREPLACE(B6381&amp;"""",""[^0-9]"",""""),9))"),"712269930")</f>
        <v>712269930</v>
      </c>
      <c r="B6381" s="26" t="s">
        <v>6423</v>
      </c>
      <c r="C6381" s="28" t="s">
        <v>6424</v>
      </c>
      <c r="D6381" s="26" t="s">
        <v>64</v>
      </c>
      <c r="E6381" s="31">
        <v>46241.0</v>
      </c>
      <c r="F6381" s="26" t="s">
        <v>41</v>
      </c>
      <c r="I6381" s="26" t="s">
        <v>892</v>
      </c>
      <c r="J6381" s="25" t="str">
        <f t="shared" si="67"/>
        <v>No</v>
      </c>
      <c r="K6381" s="25" t="str">
        <f t="shared" si="68"/>
        <v/>
      </c>
      <c r="L6381" s="25" t="str">
        <f t="shared" si="69"/>
        <v/>
      </c>
      <c r="M6381" s="25"/>
      <c r="O6381" s="25"/>
    </row>
    <row r="6382" ht="15.75" customHeight="1">
      <c r="A6382" s="25" t="str">
        <f>IFERROR(__xludf.DUMMYFUNCTION("IF(B6382="""","""",RIGHT(REGEXREPLACE(B6382&amp;"""",""[^0-9]"",""""),9))"),"740710415")</f>
        <v>740710415</v>
      </c>
      <c r="B6382" s="26" t="s">
        <v>6425</v>
      </c>
      <c r="C6382" s="28" t="s">
        <v>4856</v>
      </c>
      <c r="D6382" s="26" t="s">
        <v>82</v>
      </c>
      <c r="E6382" s="31">
        <v>46241.0</v>
      </c>
      <c r="F6382" s="26" t="s">
        <v>659</v>
      </c>
      <c r="I6382" s="26" t="s">
        <v>892</v>
      </c>
      <c r="J6382" s="25" t="str">
        <f t="shared" si="67"/>
        <v>Yes - see Previous F-Code</v>
      </c>
      <c r="K6382" s="25" t="str">
        <f t="shared" si="68"/>
        <v/>
      </c>
      <c r="L6382" s="25" t="str">
        <f t="shared" si="69"/>
        <v>F74428</v>
      </c>
      <c r="M6382" s="25"/>
      <c r="O6382" s="25"/>
    </row>
    <row r="6383" ht="15.75" customHeight="1">
      <c r="A6383" s="25" t="str">
        <f>IFERROR(__xludf.DUMMYFUNCTION("IF(B6383="""","""",RIGHT(REGEXREPLACE(B6383&amp;"""",""[^0-9]"",""""),9))"),"740315452")</f>
        <v>740315452</v>
      </c>
      <c r="B6383" s="26" t="s">
        <v>6426</v>
      </c>
      <c r="C6383" s="28" t="s">
        <v>6427</v>
      </c>
      <c r="D6383" s="26" t="s">
        <v>49</v>
      </c>
      <c r="E6383" s="31">
        <v>46241.0</v>
      </c>
      <c r="F6383" s="26" t="s">
        <v>46</v>
      </c>
      <c r="H6383" s="26" t="s">
        <v>342</v>
      </c>
      <c r="I6383" s="26" t="s">
        <v>892</v>
      </c>
      <c r="J6383" s="25" t="str">
        <f t="shared" si="67"/>
        <v>No</v>
      </c>
      <c r="K6383" s="25" t="str">
        <f t="shared" si="68"/>
        <v/>
      </c>
      <c r="L6383" s="25" t="str">
        <f t="shared" si="69"/>
        <v/>
      </c>
      <c r="M6383" s="25"/>
      <c r="O6383" s="25"/>
    </row>
    <row r="6384" ht="15.75" customHeight="1">
      <c r="A6384" s="25" t="str">
        <f>IFERROR(__xludf.DUMMYFUNCTION("IF(B6384="""","""",RIGHT(REGEXREPLACE(B6384&amp;"""",""[^0-9]"",""""),9))"),"705389445")</f>
        <v>705389445</v>
      </c>
      <c r="B6384" s="26" t="s">
        <v>6428</v>
      </c>
      <c r="C6384" s="28" t="s">
        <v>6429</v>
      </c>
      <c r="D6384" s="26" t="s">
        <v>56</v>
      </c>
      <c r="E6384" s="31">
        <v>46241.0</v>
      </c>
      <c r="F6384" s="26" t="s">
        <v>46</v>
      </c>
      <c r="G6384" s="26">
        <v>9.0</v>
      </c>
      <c r="H6384" s="26" t="s">
        <v>6430</v>
      </c>
      <c r="I6384" s="26" t="s">
        <v>892</v>
      </c>
      <c r="J6384" s="25" t="str">
        <f t="shared" si="67"/>
        <v>No</v>
      </c>
      <c r="K6384" s="25" t="str">
        <f t="shared" si="68"/>
        <v/>
      </c>
      <c r="L6384" s="25" t="str">
        <f t="shared" si="69"/>
        <v/>
      </c>
      <c r="M6384" s="25"/>
      <c r="O6384" s="25"/>
    </row>
    <row r="6385" ht="15.75" customHeight="1">
      <c r="A6385" s="25" t="str">
        <f>IFERROR(__xludf.DUMMYFUNCTION("IF(B6385="""","""",RIGHT(REGEXREPLACE(B6385&amp;"""",""[^0-9]"",""""),9))"),"703268909")</f>
        <v>703268909</v>
      </c>
      <c r="B6385" s="26" t="s">
        <v>6431</v>
      </c>
      <c r="C6385" s="28" t="s">
        <v>6432</v>
      </c>
      <c r="D6385" s="26" t="s">
        <v>64</v>
      </c>
      <c r="E6385" s="31">
        <v>46241.0</v>
      </c>
      <c r="F6385" s="26" t="s">
        <v>41</v>
      </c>
      <c r="I6385" s="26" t="s">
        <v>892</v>
      </c>
      <c r="J6385" s="25" t="str">
        <f t="shared" si="67"/>
        <v>No</v>
      </c>
      <c r="K6385" s="25" t="str">
        <f t="shared" si="68"/>
        <v/>
      </c>
      <c r="L6385" s="25" t="str">
        <f t="shared" si="69"/>
        <v/>
      </c>
      <c r="M6385" s="25"/>
      <c r="O6385" s="25"/>
    </row>
    <row r="6386" ht="15.75" customHeight="1">
      <c r="A6386" s="25" t="str">
        <f>IFERROR(__xludf.DUMMYFUNCTION("IF(B6386="""","""",RIGHT(REGEXREPLACE(B6386&amp;"""",""[^0-9]"",""""),9))"),"785865494")</f>
        <v>785865494</v>
      </c>
      <c r="B6386" s="26" t="s">
        <v>6433</v>
      </c>
      <c r="C6386" s="28" t="s">
        <v>6434</v>
      </c>
      <c r="D6386" s="26" t="s">
        <v>82</v>
      </c>
      <c r="E6386" s="31">
        <v>46241.0</v>
      </c>
      <c r="F6386" s="26" t="s">
        <v>41</v>
      </c>
      <c r="I6386" s="26" t="s">
        <v>892</v>
      </c>
      <c r="J6386" s="25" t="str">
        <f t="shared" si="67"/>
        <v>No</v>
      </c>
      <c r="K6386" s="25" t="str">
        <f t="shared" si="68"/>
        <v/>
      </c>
      <c r="L6386" s="25" t="str">
        <f t="shared" si="69"/>
        <v/>
      </c>
      <c r="M6386" s="25"/>
      <c r="O6386" s="25"/>
    </row>
    <row r="6387" ht="15.75" customHeight="1">
      <c r="A6387" s="25" t="str">
        <f>IFERROR(__xludf.DUMMYFUNCTION("IF(B6387="""","""",RIGHT(REGEXREPLACE(B6387&amp;"""",""[^0-9]"",""""),9))"),"740627933")</f>
        <v>740627933</v>
      </c>
      <c r="B6387" s="26" t="s">
        <v>6435</v>
      </c>
      <c r="C6387" s="28" t="s">
        <v>6436</v>
      </c>
      <c r="D6387" s="26" t="s">
        <v>64</v>
      </c>
      <c r="E6387" s="31">
        <v>46241.0</v>
      </c>
      <c r="F6387" s="26" t="s">
        <v>46</v>
      </c>
      <c r="G6387" s="26">
        <v>11.0</v>
      </c>
      <c r="H6387" s="26" t="s">
        <v>6347</v>
      </c>
      <c r="I6387" s="26" t="s">
        <v>892</v>
      </c>
      <c r="J6387" s="25" t="str">
        <f t="shared" si="67"/>
        <v>No</v>
      </c>
      <c r="K6387" s="25" t="str">
        <f t="shared" si="68"/>
        <v/>
      </c>
      <c r="L6387" s="25" t="str">
        <f t="shared" si="69"/>
        <v/>
      </c>
      <c r="M6387" s="25"/>
      <c r="O6387" s="25"/>
    </row>
    <row r="6388" ht="15.75" customHeight="1">
      <c r="A6388" s="25" t="str">
        <f>IFERROR(__xludf.DUMMYFUNCTION("IF(B6388="""","""",RIGHT(REGEXREPLACE(B6388&amp;"""",""[^0-9]"",""""),9))"),"704143162")</f>
        <v>704143162</v>
      </c>
      <c r="B6388" s="26" t="s">
        <v>6437</v>
      </c>
      <c r="C6388" s="28" t="s">
        <v>5570</v>
      </c>
      <c r="D6388" s="26" t="s">
        <v>49</v>
      </c>
      <c r="E6388" s="31">
        <v>46241.0</v>
      </c>
      <c r="F6388" s="26" t="s">
        <v>41</v>
      </c>
      <c r="I6388" s="26" t="s">
        <v>892</v>
      </c>
      <c r="J6388" s="25" t="str">
        <f t="shared" si="67"/>
        <v>Yes - see Previous F-Code</v>
      </c>
      <c r="K6388" s="25" t="str">
        <f t="shared" si="68"/>
        <v/>
      </c>
      <c r="L6388" s="25" t="str">
        <f t="shared" si="69"/>
        <v>F75050</v>
      </c>
      <c r="M6388" s="25"/>
      <c r="O6388" s="25"/>
    </row>
    <row r="6389" ht="15.75" customHeight="1">
      <c r="A6389" s="25" t="str">
        <f>IFERROR(__xludf.DUMMYFUNCTION("IF(B6389="""","""",RIGHT(REGEXREPLACE(B6389&amp;"""",""[^0-9]"",""""),9))"),"706086224")</f>
        <v>706086224</v>
      </c>
      <c r="B6389" s="26" t="s">
        <v>6438</v>
      </c>
      <c r="C6389" s="28" t="s">
        <v>6439</v>
      </c>
      <c r="D6389" s="26" t="s">
        <v>82</v>
      </c>
      <c r="E6389" s="31">
        <v>46241.0</v>
      </c>
      <c r="F6389" s="26" t="s">
        <v>41</v>
      </c>
      <c r="I6389" s="26" t="s">
        <v>892</v>
      </c>
      <c r="J6389" s="25" t="str">
        <f t="shared" si="67"/>
        <v>No</v>
      </c>
      <c r="K6389" s="25" t="str">
        <f t="shared" si="68"/>
        <v/>
      </c>
      <c r="L6389" s="25" t="str">
        <f t="shared" si="69"/>
        <v/>
      </c>
      <c r="M6389" s="25"/>
      <c r="O6389" s="25"/>
    </row>
    <row r="6390" ht="15.75" customHeight="1">
      <c r="A6390" s="25" t="str">
        <f>IFERROR(__xludf.DUMMYFUNCTION("IF(B6390="""","""",RIGHT(REGEXREPLACE(B6390&amp;"""",""[^0-9]"",""""),9))"),"713258390")</f>
        <v>713258390</v>
      </c>
      <c r="B6390" s="26" t="s">
        <v>6440</v>
      </c>
      <c r="C6390" s="28" t="s">
        <v>6441</v>
      </c>
      <c r="D6390" s="26" t="s">
        <v>56</v>
      </c>
      <c r="E6390" s="31">
        <v>46241.0</v>
      </c>
      <c r="F6390" s="26" t="s">
        <v>41</v>
      </c>
      <c r="I6390" s="26" t="s">
        <v>892</v>
      </c>
      <c r="J6390" s="25" t="str">
        <f t="shared" si="67"/>
        <v>No</v>
      </c>
      <c r="K6390" s="25" t="str">
        <f t="shared" si="68"/>
        <v/>
      </c>
      <c r="L6390" s="25" t="str">
        <f t="shared" si="69"/>
        <v/>
      </c>
      <c r="M6390" s="25"/>
      <c r="O6390" s="25"/>
    </row>
    <row r="6391" ht="15.75" customHeight="1">
      <c r="A6391" s="25" t="str">
        <f>IFERROR(__xludf.DUMMYFUNCTION("IF(B6391="""","""",RIGHT(REGEXREPLACE(B6391&amp;"""",""[^0-9]"",""""),9))"),"776119916")</f>
        <v>776119916</v>
      </c>
      <c r="B6391" s="26" t="s">
        <v>6442</v>
      </c>
      <c r="C6391" s="28" t="s">
        <v>6443</v>
      </c>
      <c r="D6391" s="26" t="s">
        <v>82</v>
      </c>
      <c r="E6391" s="31">
        <v>46241.0</v>
      </c>
      <c r="F6391" s="26" t="s">
        <v>46</v>
      </c>
      <c r="G6391" s="26">
        <v>10.0</v>
      </c>
      <c r="I6391" s="26" t="s">
        <v>892</v>
      </c>
      <c r="J6391" s="25" t="str">
        <f t="shared" si="67"/>
        <v>No</v>
      </c>
      <c r="K6391" s="25" t="str">
        <f t="shared" si="68"/>
        <v/>
      </c>
      <c r="L6391" s="25" t="str">
        <f t="shared" si="69"/>
        <v/>
      </c>
      <c r="M6391" s="25"/>
      <c r="O6391" s="25"/>
    </row>
    <row r="6392" ht="15.75" customHeight="1">
      <c r="A6392" s="25" t="str">
        <f>IFERROR(__xludf.DUMMYFUNCTION("IF(B6392="""","""",RIGHT(REGEXREPLACE(B6392&amp;"""",""[^0-9]"",""""),9))"),"719105482")</f>
        <v>719105482</v>
      </c>
      <c r="B6392" s="26" t="s">
        <v>6444</v>
      </c>
      <c r="C6392" s="28" t="s">
        <v>6445</v>
      </c>
      <c r="D6392" s="26" t="s">
        <v>49</v>
      </c>
      <c r="E6392" s="31">
        <v>46241.0</v>
      </c>
      <c r="F6392" s="26" t="s">
        <v>46</v>
      </c>
      <c r="G6392" s="26">
        <v>10.0</v>
      </c>
      <c r="H6392" s="119" t="s">
        <v>6446</v>
      </c>
      <c r="I6392" s="26" t="s">
        <v>892</v>
      </c>
      <c r="J6392" s="25" t="str">
        <f t="shared" si="67"/>
        <v>No</v>
      </c>
      <c r="K6392" s="25" t="str">
        <f t="shared" si="68"/>
        <v/>
      </c>
      <c r="L6392" s="25" t="str">
        <f t="shared" si="69"/>
        <v/>
      </c>
      <c r="M6392" s="25"/>
      <c r="O6392" s="25"/>
    </row>
    <row r="6393" ht="15.75" customHeight="1">
      <c r="A6393" s="25" t="str">
        <f>IFERROR(__xludf.DUMMYFUNCTION("IF(B6393="""","""",RIGHT(REGEXREPLACE(B6393&amp;"""",""[^0-9]"",""""),9))"),"701824036")</f>
        <v>701824036</v>
      </c>
      <c r="B6393" s="26" t="s">
        <v>6447</v>
      </c>
      <c r="C6393" s="28" t="s">
        <v>6448</v>
      </c>
      <c r="D6393" s="26" t="s">
        <v>56</v>
      </c>
      <c r="E6393" s="31">
        <v>46241.0</v>
      </c>
      <c r="F6393" s="26" t="s">
        <v>41</v>
      </c>
      <c r="I6393" s="26" t="s">
        <v>892</v>
      </c>
      <c r="J6393" s="25" t="str">
        <f t="shared" si="67"/>
        <v>No</v>
      </c>
      <c r="K6393" s="25" t="str">
        <f t="shared" si="68"/>
        <v/>
      </c>
      <c r="L6393" s="25" t="str">
        <f t="shared" si="69"/>
        <v/>
      </c>
      <c r="M6393" s="25"/>
      <c r="O6393" s="25"/>
    </row>
    <row r="6394" ht="15.75" customHeight="1">
      <c r="A6394" s="25" t="str">
        <f>IFERROR(__xludf.DUMMYFUNCTION("IF(B6394="""","""",RIGHT(REGEXREPLACE(B6394&amp;"""",""[^0-9]"",""""),9))"),"716977570")</f>
        <v>716977570</v>
      </c>
      <c r="B6394" s="26" t="s">
        <v>6449</v>
      </c>
      <c r="C6394" s="28" t="s">
        <v>6450</v>
      </c>
      <c r="D6394" s="26" t="s">
        <v>56</v>
      </c>
      <c r="E6394" s="31">
        <v>46241.0</v>
      </c>
      <c r="F6394" s="26" t="s">
        <v>46</v>
      </c>
      <c r="G6394" s="26">
        <v>10.0</v>
      </c>
      <c r="H6394" s="26" t="s">
        <v>6451</v>
      </c>
      <c r="I6394" s="26" t="s">
        <v>892</v>
      </c>
      <c r="J6394" s="25" t="str">
        <f t="shared" si="67"/>
        <v>No</v>
      </c>
      <c r="K6394" s="25" t="str">
        <f t="shared" si="68"/>
        <v/>
      </c>
      <c r="L6394" s="25" t="str">
        <f t="shared" si="69"/>
        <v/>
      </c>
      <c r="M6394" s="25"/>
      <c r="O6394" s="25"/>
    </row>
    <row r="6395" ht="15.75" customHeight="1">
      <c r="A6395" s="25" t="str">
        <f>IFERROR(__xludf.DUMMYFUNCTION("IF(B6395="""","""",RIGHT(REGEXREPLACE(B6395&amp;"""",""[^0-9]"",""""),9))"),"779500093")</f>
        <v>779500093</v>
      </c>
      <c r="B6395" s="26" t="s">
        <v>6452</v>
      </c>
      <c r="C6395" s="28" t="s">
        <v>6453</v>
      </c>
      <c r="D6395" s="26" t="s">
        <v>64</v>
      </c>
      <c r="E6395" s="31">
        <v>46241.0</v>
      </c>
      <c r="F6395" s="26" t="s">
        <v>659</v>
      </c>
      <c r="I6395" s="26" t="s">
        <v>892</v>
      </c>
      <c r="J6395" s="25" t="str">
        <f t="shared" si="67"/>
        <v>No</v>
      </c>
      <c r="K6395" s="25" t="str">
        <f t="shared" si="68"/>
        <v/>
      </c>
      <c r="L6395" s="25" t="str">
        <f t="shared" si="69"/>
        <v/>
      </c>
      <c r="M6395" s="25"/>
      <c r="O6395" s="25"/>
    </row>
    <row r="6396" ht="15.75" customHeight="1">
      <c r="A6396" s="25" t="str">
        <f>IFERROR(__xludf.DUMMYFUNCTION("IF(B6396="""","""",RIGHT(REGEXREPLACE(B6396&amp;"""",""[^0-9]"",""""),9))"),"718711911")</f>
        <v>718711911</v>
      </c>
      <c r="B6396" s="26" t="s">
        <v>6454</v>
      </c>
      <c r="C6396" s="28" t="s">
        <v>6455</v>
      </c>
      <c r="D6396" s="26" t="s">
        <v>82</v>
      </c>
      <c r="E6396" s="31">
        <v>46241.0</v>
      </c>
      <c r="F6396" s="26" t="s">
        <v>41</v>
      </c>
      <c r="I6396" s="26" t="s">
        <v>892</v>
      </c>
      <c r="J6396" s="25" t="str">
        <f t="shared" si="67"/>
        <v>No</v>
      </c>
      <c r="K6396" s="25" t="str">
        <f t="shared" si="68"/>
        <v/>
      </c>
      <c r="L6396" s="25" t="str">
        <f t="shared" si="69"/>
        <v/>
      </c>
      <c r="M6396" s="25"/>
      <c r="O6396" s="25"/>
    </row>
    <row r="6397" ht="15.75" customHeight="1">
      <c r="A6397" s="25" t="str">
        <f>IFERROR(__xludf.DUMMYFUNCTION("IF(B6397="""","""",RIGHT(REGEXREPLACE(B6397&amp;"""",""[^0-9]"",""""),9))"),"776780238")</f>
        <v>776780238</v>
      </c>
      <c r="B6397" s="26" t="s">
        <v>6456</v>
      </c>
      <c r="C6397" s="28" t="s">
        <v>6457</v>
      </c>
      <c r="D6397" s="26" t="s">
        <v>64</v>
      </c>
      <c r="E6397" s="31">
        <v>46241.0</v>
      </c>
      <c r="F6397" s="26" t="s">
        <v>46</v>
      </c>
      <c r="G6397" s="26">
        <v>8.0</v>
      </c>
      <c r="H6397" s="26" t="s">
        <v>6342</v>
      </c>
      <c r="I6397" s="26" t="s">
        <v>892</v>
      </c>
      <c r="J6397" s="25" t="str">
        <f t="shared" si="67"/>
        <v>No</v>
      </c>
      <c r="K6397" s="25" t="str">
        <f t="shared" si="68"/>
        <v/>
      </c>
      <c r="L6397" s="25" t="str">
        <f t="shared" si="69"/>
        <v/>
      </c>
      <c r="M6397" s="25"/>
      <c r="O6397" s="26" t="s">
        <v>51</v>
      </c>
    </row>
    <row r="6398" ht="15.75" customHeight="1">
      <c r="A6398" s="25" t="str">
        <f>IFERROR(__xludf.DUMMYFUNCTION("IF(B6398="""","""",RIGHT(REGEXREPLACE(B6398&amp;"""",""[^0-9]"",""""),9))"),"771433728")</f>
        <v>771433728</v>
      </c>
      <c r="B6398" s="26" t="s">
        <v>6458</v>
      </c>
      <c r="C6398" s="28" t="s">
        <v>6459</v>
      </c>
      <c r="D6398" s="26" t="s">
        <v>49</v>
      </c>
      <c r="E6398" s="31">
        <v>46241.0</v>
      </c>
      <c r="F6398" s="26" t="s">
        <v>46</v>
      </c>
      <c r="G6398" s="26">
        <v>10.0</v>
      </c>
      <c r="H6398" s="117" t="s">
        <v>6460</v>
      </c>
      <c r="I6398" s="26" t="s">
        <v>892</v>
      </c>
      <c r="J6398" s="25" t="str">
        <f t="shared" si="67"/>
        <v>No</v>
      </c>
      <c r="K6398" s="25" t="str">
        <f t="shared" si="68"/>
        <v/>
      </c>
      <c r="L6398" s="25" t="str">
        <f t="shared" si="69"/>
        <v/>
      </c>
      <c r="M6398" s="25"/>
      <c r="O6398" s="25"/>
    </row>
    <row r="6399" ht="15.75" customHeight="1">
      <c r="A6399" s="25" t="str">
        <f>IFERROR(__xludf.DUMMYFUNCTION("IF(B6399="""","""",RIGHT(REGEXREPLACE(B6399&amp;"""",""[^0-9]"",""""),9))"),"729670162")</f>
        <v>729670162</v>
      </c>
      <c r="B6399" s="26" t="s">
        <v>6461</v>
      </c>
      <c r="C6399" s="28" t="s">
        <v>6462</v>
      </c>
      <c r="D6399" s="26" t="s">
        <v>82</v>
      </c>
      <c r="E6399" s="31">
        <v>46241.0</v>
      </c>
      <c r="F6399" s="26" t="s">
        <v>125</v>
      </c>
      <c r="G6399" s="26">
        <v>11.0</v>
      </c>
      <c r="H6399" s="26" t="s">
        <v>6463</v>
      </c>
      <c r="I6399" s="26" t="s">
        <v>892</v>
      </c>
      <c r="J6399" s="25" t="str">
        <f t="shared" si="67"/>
        <v>No</v>
      </c>
      <c r="K6399" s="25" t="str">
        <f t="shared" si="68"/>
        <v/>
      </c>
      <c r="L6399" s="25" t="str">
        <f t="shared" si="69"/>
        <v/>
      </c>
      <c r="M6399" s="25"/>
      <c r="O6399" s="25"/>
    </row>
    <row r="6400" ht="15.75" customHeight="1">
      <c r="A6400" s="25" t="str">
        <f>IFERROR(__xludf.DUMMYFUNCTION("IF(B6400="""","""",RIGHT(REGEXREPLACE(B6400&amp;"""",""[^0-9]"",""""),9))"),"743359845")</f>
        <v>743359845</v>
      </c>
      <c r="B6400" s="26" t="s">
        <v>6464</v>
      </c>
      <c r="C6400" s="28" t="s">
        <v>6465</v>
      </c>
      <c r="D6400" s="26" t="s">
        <v>56</v>
      </c>
      <c r="E6400" s="31">
        <v>46241.0</v>
      </c>
      <c r="F6400" s="26" t="s">
        <v>164</v>
      </c>
      <c r="I6400" s="26" t="s">
        <v>892</v>
      </c>
      <c r="J6400" s="25" t="str">
        <f t="shared" si="67"/>
        <v>No</v>
      </c>
      <c r="K6400" s="25" t="str">
        <f t="shared" si="68"/>
        <v/>
      </c>
      <c r="L6400" s="25" t="str">
        <f t="shared" si="69"/>
        <v/>
      </c>
      <c r="M6400" s="25"/>
      <c r="O6400" s="25"/>
    </row>
    <row r="6401" ht="15.75" customHeight="1">
      <c r="A6401" s="25" t="str">
        <f>IFERROR(__xludf.DUMMYFUNCTION("IF(B6401="""","""",RIGHT(REGEXREPLACE(B6401&amp;"""",""[^0-9]"",""""),9))"),"776790871")</f>
        <v>776790871</v>
      </c>
      <c r="B6401" s="26" t="s">
        <v>6466</v>
      </c>
      <c r="C6401" s="28" t="s">
        <v>6467</v>
      </c>
      <c r="D6401" s="26" t="s">
        <v>56</v>
      </c>
      <c r="E6401" s="31">
        <v>46241.0</v>
      </c>
      <c r="F6401" s="26" t="s">
        <v>205</v>
      </c>
      <c r="I6401" s="26" t="s">
        <v>892</v>
      </c>
      <c r="J6401" s="25" t="str">
        <f t="shared" si="67"/>
        <v>No</v>
      </c>
      <c r="K6401" s="25" t="str">
        <f t="shared" si="68"/>
        <v/>
      </c>
      <c r="L6401" s="25" t="str">
        <f t="shared" si="69"/>
        <v/>
      </c>
      <c r="M6401" s="25"/>
      <c r="O6401" s="25"/>
    </row>
    <row r="6402" ht="15.75" customHeight="1">
      <c r="A6402" s="25" t="str">
        <f>IFERROR(__xludf.DUMMYFUNCTION("IF(B6402="""","""",RIGHT(REGEXREPLACE(B6402&amp;"""",""[^0-9]"",""""),9))"),"743404661")</f>
        <v>743404661</v>
      </c>
      <c r="B6402" s="26" t="s">
        <v>6468</v>
      </c>
      <c r="C6402" s="28" t="s">
        <v>6469</v>
      </c>
      <c r="D6402" s="26" t="s">
        <v>64</v>
      </c>
      <c r="E6402" s="31">
        <v>46241.0</v>
      </c>
      <c r="F6402" s="26" t="s">
        <v>46</v>
      </c>
      <c r="H6402" s="26" t="s">
        <v>6470</v>
      </c>
      <c r="I6402" s="26" t="s">
        <v>892</v>
      </c>
      <c r="J6402" s="25" t="str">
        <f t="shared" si="67"/>
        <v>No</v>
      </c>
      <c r="K6402" s="25" t="str">
        <f t="shared" si="68"/>
        <v/>
      </c>
      <c r="L6402" s="25" t="str">
        <f t="shared" si="69"/>
        <v/>
      </c>
      <c r="M6402" s="25"/>
      <c r="O6402" s="25"/>
    </row>
    <row r="6403" ht="15.75" customHeight="1">
      <c r="A6403" s="25" t="str">
        <f>IFERROR(__xludf.DUMMYFUNCTION("IF(B6403="""","""",RIGHT(REGEXREPLACE(B6403&amp;"""",""[^0-9]"",""""),9))"),"766784997")</f>
        <v>766784997</v>
      </c>
      <c r="B6403" s="26" t="s">
        <v>6471</v>
      </c>
      <c r="C6403" s="28" t="s">
        <v>6472</v>
      </c>
      <c r="D6403" s="26" t="s">
        <v>49</v>
      </c>
      <c r="E6403" s="31">
        <v>46241.0</v>
      </c>
      <c r="F6403" s="26" t="s">
        <v>46</v>
      </c>
      <c r="H6403" s="26" t="s">
        <v>94</v>
      </c>
      <c r="I6403" s="26" t="s">
        <v>892</v>
      </c>
      <c r="J6403" s="25" t="str">
        <f t="shared" si="67"/>
        <v>No</v>
      </c>
      <c r="K6403" s="25" t="str">
        <f t="shared" si="68"/>
        <v/>
      </c>
      <c r="L6403" s="25" t="str">
        <f t="shared" si="69"/>
        <v/>
      </c>
      <c r="M6403" s="25"/>
      <c r="O6403" s="25"/>
    </row>
    <row r="6404" ht="15.75" customHeight="1">
      <c r="A6404" s="25" t="str">
        <f>IFERROR(__xludf.DUMMYFUNCTION("IF(B6404="""","""",RIGHT(REGEXREPLACE(B6404&amp;"""",""[^0-9]"",""""),9))"),"776033596")</f>
        <v>776033596</v>
      </c>
      <c r="B6404" s="26" t="s">
        <v>6473</v>
      </c>
      <c r="C6404" s="28" t="s">
        <v>6474</v>
      </c>
      <c r="D6404" s="26" t="s">
        <v>56</v>
      </c>
      <c r="E6404" s="31">
        <v>46241.0</v>
      </c>
      <c r="F6404" s="26" t="s">
        <v>164</v>
      </c>
      <c r="I6404" s="26" t="s">
        <v>892</v>
      </c>
      <c r="J6404" s="25" t="str">
        <f t="shared" si="67"/>
        <v>No</v>
      </c>
      <c r="K6404" s="25" t="str">
        <f t="shared" si="68"/>
        <v/>
      </c>
      <c r="L6404" s="25" t="str">
        <f t="shared" si="69"/>
        <v/>
      </c>
      <c r="M6404" s="25"/>
      <c r="O6404" s="25"/>
    </row>
    <row r="6405" ht="15.75" customHeight="1">
      <c r="A6405" s="25" t="str">
        <f>IFERROR(__xludf.DUMMYFUNCTION("IF(B6405="""","""",RIGHT(REGEXREPLACE(B6405&amp;"""",""[^0-9]"",""""),9))"),"766370980")</f>
        <v>766370980</v>
      </c>
      <c r="B6405" s="26" t="s">
        <v>6475</v>
      </c>
      <c r="C6405" s="28" t="s">
        <v>6476</v>
      </c>
      <c r="D6405" s="26" t="s">
        <v>56</v>
      </c>
      <c r="E6405" s="31">
        <v>46241.0</v>
      </c>
      <c r="F6405" s="26" t="s">
        <v>46</v>
      </c>
      <c r="H6405" s="26" t="s">
        <v>483</v>
      </c>
      <c r="I6405" s="26" t="s">
        <v>892</v>
      </c>
      <c r="J6405" s="25" t="str">
        <f t="shared" si="67"/>
        <v>No</v>
      </c>
      <c r="K6405" s="25" t="str">
        <f t="shared" si="68"/>
        <v/>
      </c>
      <c r="L6405" s="25" t="str">
        <f t="shared" si="69"/>
        <v/>
      </c>
      <c r="M6405" s="25"/>
      <c r="O6405" s="25"/>
    </row>
    <row r="6406" ht="15.75" customHeight="1">
      <c r="A6406" s="25" t="str">
        <f>IFERROR(__xludf.DUMMYFUNCTION("IF(B6406="""","""",RIGHT(REGEXREPLACE(B6406&amp;"""",""[^0-9]"",""""),9))"),"702449630")</f>
        <v>702449630</v>
      </c>
      <c r="B6406" s="26" t="s">
        <v>6477</v>
      </c>
      <c r="C6406" s="28" t="s">
        <v>6478</v>
      </c>
      <c r="D6406" s="26" t="s">
        <v>82</v>
      </c>
      <c r="E6406" s="31">
        <v>46241.0</v>
      </c>
      <c r="F6406" s="26" t="s">
        <v>41</v>
      </c>
      <c r="I6406" s="26" t="s">
        <v>892</v>
      </c>
      <c r="J6406" s="25" t="str">
        <f t="shared" si="67"/>
        <v>No</v>
      </c>
      <c r="K6406" s="25" t="str">
        <f t="shared" si="68"/>
        <v/>
      </c>
      <c r="L6406" s="25" t="str">
        <f t="shared" si="69"/>
        <v/>
      </c>
      <c r="M6406" s="25"/>
      <c r="O6406" s="25"/>
    </row>
    <row r="6407" ht="15.75" customHeight="1">
      <c r="A6407" s="25" t="str">
        <f>IFERROR(__xludf.DUMMYFUNCTION("IF(B6407="""","""",RIGHT(REGEXREPLACE(B6407&amp;"""",""[^0-9]"",""""),9))"),"772484624")</f>
        <v>772484624</v>
      </c>
      <c r="B6407" s="26" t="s">
        <v>6479</v>
      </c>
      <c r="C6407" s="28" t="s">
        <v>6480</v>
      </c>
      <c r="D6407" s="26" t="s">
        <v>56</v>
      </c>
      <c r="E6407" s="31">
        <v>46241.0</v>
      </c>
      <c r="F6407" s="26" t="s">
        <v>46</v>
      </c>
      <c r="G6407" s="26">
        <v>11.0</v>
      </c>
      <c r="H6407" s="26" t="s">
        <v>6451</v>
      </c>
      <c r="I6407" s="26" t="s">
        <v>892</v>
      </c>
      <c r="J6407" s="25" t="str">
        <f t="shared" si="67"/>
        <v>No</v>
      </c>
      <c r="K6407" s="25" t="str">
        <f t="shared" si="68"/>
        <v/>
      </c>
      <c r="L6407" s="25" t="str">
        <f t="shared" si="69"/>
        <v/>
      </c>
      <c r="M6407" s="25"/>
      <c r="O6407" s="25"/>
    </row>
    <row r="6408" ht="15.75" customHeight="1">
      <c r="A6408" s="25" t="str">
        <f>IFERROR(__xludf.DUMMYFUNCTION("IF(B6408="""","""",RIGHT(REGEXREPLACE(B6408&amp;"""",""[^0-9]"",""""),9))"),"771170437")</f>
        <v>771170437</v>
      </c>
      <c r="B6408" s="26" t="s">
        <v>6481</v>
      </c>
      <c r="C6408" s="28" t="s">
        <v>1090</v>
      </c>
      <c r="D6408" s="26" t="s">
        <v>64</v>
      </c>
      <c r="E6408" s="31">
        <v>46241.0</v>
      </c>
      <c r="F6408" s="26" t="s">
        <v>41</v>
      </c>
      <c r="I6408" s="26" t="s">
        <v>892</v>
      </c>
      <c r="J6408" s="25" t="str">
        <f t="shared" si="67"/>
        <v>Yes - see Previous F-Code</v>
      </c>
      <c r="K6408" s="25" t="str">
        <f t="shared" si="68"/>
        <v/>
      </c>
      <c r="L6408" s="25" t="str">
        <f t="shared" si="69"/>
        <v>F70834</v>
      </c>
      <c r="M6408" s="25"/>
      <c r="O6408" s="25"/>
    </row>
    <row r="6409" ht="15.75" customHeight="1">
      <c r="A6409" s="25" t="str">
        <f>IFERROR(__xludf.DUMMYFUNCTION("IF(B6409="""","""",RIGHT(REGEXREPLACE(B6409&amp;"""",""[^0-9]"",""""),9))"),"773037341")</f>
        <v>773037341</v>
      </c>
      <c r="B6409" s="26" t="s">
        <v>6482</v>
      </c>
      <c r="C6409" s="28" t="s">
        <v>6483</v>
      </c>
      <c r="D6409" s="26" t="s">
        <v>49</v>
      </c>
      <c r="E6409" s="31">
        <v>46241.0</v>
      </c>
      <c r="F6409" s="26" t="s">
        <v>46</v>
      </c>
      <c r="G6409" s="26">
        <v>10.0</v>
      </c>
      <c r="H6409" s="72" t="s">
        <v>6484</v>
      </c>
      <c r="I6409" s="26" t="s">
        <v>892</v>
      </c>
      <c r="J6409" s="25" t="str">
        <f t="shared" si="67"/>
        <v>No</v>
      </c>
      <c r="K6409" s="25" t="str">
        <f t="shared" si="68"/>
        <v/>
      </c>
      <c r="L6409" s="25" t="str">
        <f t="shared" si="69"/>
        <v/>
      </c>
      <c r="M6409" s="25"/>
      <c r="O6409" s="25"/>
    </row>
    <row r="6410" ht="15.75" customHeight="1">
      <c r="A6410" s="25" t="str">
        <f>IFERROR(__xludf.DUMMYFUNCTION("IF(B6410="""","""",RIGHT(REGEXREPLACE(B6410&amp;"""",""[^0-9]"",""""),9))"),"768435773")</f>
        <v>768435773</v>
      </c>
      <c r="B6410" s="26" t="s">
        <v>6485</v>
      </c>
      <c r="C6410" s="28" t="s">
        <v>6486</v>
      </c>
      <c r="D6410" s="26" t="s">
        <v>82</v>
      </c>
      <c r="E6410" s="31">
        <v>46241.0</v>
      </c>
      <c r="F6410" s="26" t="s">
        <v>41</v>
      </c>
      <c r="I6410" s="26" t="s">
        <v>892</v>
      </c>
      <c r="J6410" s="25" t="str">
        <f t="shared" si="67"/>
        <v>No</v>
      </c>
      <c r="K6410" s="25" t="str">
        <f t="shared" si="68"/>
        <v/>
      </c>
      <c r="L6410" s="25" t="str">
        <f t="shared" si="69"/>
        <v/>
      </c>
      <c r="M6410" s="25"/>
      <c r="O6410" s="25"/>
    </row>
    <row r="6411" ht="15.75" customHeight="1">
      <c r="A6411" s="25" t="str">
        <f>IFERROR(__xludf.DUMMYFUNCTION("IF(B6411="""","""",RIGHT(REGEXREPLACE(B6411&amp;"""",""[^0-9]"",""""),9))"),"765262963")</f>
        <v>765262963</v>
      </c>
      <c r="B6411" s="26" t="s">
        <v>6487</v>
      </c>
      <c r="C6411" s="28" t="s">
        <v>6488</v>
      </c>
      <c r="D6411" s="26" t="s">
        <v>64</v>
      </c>
      <c r="E6411" s="31">
        <v>46241.0</v>
      </c>
      <c r="F6411" s="26" t="s">
        <v>41</v>
      </c>
      <c r="I6411" s="26" t="s">
        <v>892</v>
      </c>
      <c r="J6411" s="25" t="str">
        <f t="shared" si="67"/>
        <v>No</v>
      </c>
      <c r="K6411" s="25" t="str">
        <f t="shared" si="68"/>
        <v/>
      </c>
      <c r="L6411" s="25" t="str">
        <f t="shared" si="69"/>
        <v/>
      </c>
      <c r="M6411" s="25"/>
      <c r="O6411" s="25"/>
    </row>
    <row r="6412" ht="15.75" customHeight="1">
      <c r="A6412" s="25" t="str">
        <f>IFERROR(__xludf.DUMMYFUNCTION("IF(B6412="""","""",RIGHT(REGEXREPLACE(B6412&amp;"""",""[^0-9]"",""""),9))"),"726039813")</f>
        <v>726039813</v>
      </c>
      <c r="B6412" s="26" t="s">
        <v>6489</v>
      </c>
      <c r="C6412" s="28" t="s">
        <v>1914</v>
      </c>
      <c r="D6412" s="26" t="s">
        <v>64</v>
      </c>
      <c r="E6412" s="31">
        <v>46241.0</v>
      </c>
      <c r="F6412" s="26" t="s">
        <v>46</v>
      </c>
      <c r="H6412" s="26" t="s">
        <v>6362</v>
      </c>
      <c r="I6412" s="26" t="s">
        <v>892</v>
      </c>
      <c r="J6412" s="25" t="str">
        <f t="shared" si="67"/>
        <v>Yes - see Previous F-Code</v>
      </c>
      <c r="K6412" s="25" t="str">
        <f t="shared" si="68"/>
        <v/>
      </c>
      <c r="L6412" s="25" t="str">
        <f t="shared" si="69"/>
        <v>F71620</v>
      </c>
      <c r="M6412" s="25"/>
      <c r="O6412" s="25"/>
    </row>
    <row r="6413" ht="15.75" customHeight="1">
      <c r="A6413" s="25" t="str">
        <f>IFERROR(__xludf.DUMMYFUNCTION("IF(B6413="""","""",RIGHT(REGEXREPLACE(B6413&amp;"""",""[^0-9]"",""""),9))"),"767286116")</f>
        <v>767286116</v>
      </c>
      <c r="B6413" s="26" t="s">
        <v>6490</v>
      </c>
      <c r="C6413" s="28" t="s">
        <v>1225</v>
      </c>
      <c r="D6413" s="26" t="s">
        <v>82</v>
      </c>
      <c r="E6413" s="31">
        <v>46241.0</v>
      </c>
      <c r="F6413" s="26" t="s">
        <v>46</v>
      </c>
      <c r="G6413" s="26">
        <v>7.0</v>
      </c>
      <c r="H6413" s="119" t="s">
        <v>6491</v>
      </c>
      <c r="I6413" s="26" t="s">
        <v>892</v>
      </c>
      <c r="J6413" s="25" t="str">
        <f t="shared" si="67"/>
        <v>Yes - see Previous F-Code</v>
      </c>
      <c r="K6413" s="25" t="str">
        <f t="shared" si="68"/>
        <v/>
      </c>
      <c r="L6413" s="25" t="str">
        <f t="shared" si="69"/>
        <v>F70962</v>
      </c>
      <c r="M6413" s="25"/>
      <c r="O6413" s="25"/>
    </row>
    <row r="6414" ht="15.75" customHeight="1">
      <c r="A6414" s="25" t="str">
        <f>IFERROR(__xludf.DUMMYFUNCTION("IF(B6414="""","""",RIGHT(REGEXREPLACE(B6414&amp;"""",""[^0-9]"",""""),9))"),"786031396")</f>
        <v>786031396</v>
      </c>
      <c r="B6414" s="26" t="s">
        <v>6492</v>
      </c>
      <c r="C6414" s="28" t="s">
        <v>6493</v>
      </c>
      <c r="D6414" s="26" t="s">
        <v>56</v>
      </c>
      <c r="E6414" s="31">
        <v>46241.0</v>
      </c>
      <c r="F6414" s="26" t="s">
        <v>631</v>
      </c>
      <c r="G6414" s="26">
        <v>10.0</v>
      </c>
      <c r="H6414" s="26" t="s">
        <v>6430</v>
      </c>
      <c r="I6414" s="26" t="s">
        <v>892</v>
      </c>
      <c r="J6414" s="25" t="str">
        <f t="shared" si="67"/>
        <v>No</v>
      </c>
      <c r="K6414" s="25" t="str">
        <f t="shared" si="68"/>
        <v/>
      </c>
      <c r="L6414" s="25" t="str">
        <f t="shared" si="69"/>
        <v/>
      </c>
      <c r="M6414" s="25"/>
      <c r="O6414" s="25"/>
    </row>
    <row r="6415" ht="15.75" customHeight="1">
      <c r="A6415" s="25" t="str">
        <f>IFERROR(__xludf.DUMMYFUNCTION("IF(B6415="""","""",RIGHT(REGEXREPLACE(B6415&amp;"""",""[^0-9]"",""""),9))"),"767969804")</f>
        <v>767969804</v>
      </c>
      <c r="B6415" s="26" t="s">
        <v>6494</v>
      </c>
      <c r="C6415" s="28" t="s">
        <v>6495</v>
      </c>
      <c r="D6415" s="26" t="s">
        <v>49</v>
      </c>
      <c r="E6415" s="31">
        <v>46241.0</v>
      </c>
      <c r="F6415" s="26" t="s">
        <v>41</v>
      </c>
      <c r="I6415" s="26" t="s">
        <v>892</v>
      </c>
      <c r="J6415" s="25" t="str">
        <f t="shared" si="67"/>
        <v>No</v>
      </c>
      <c r="K6415" s="25" t="str">
        <f t="shared" si="68"/>
        <v/>
      </c>
      <c r="L6415" s="25" t="str">
        <f t="shared" si="69"/>
        <v/>
      </c>
      <c r="M6415" s="25"/>
      <c r="O6415" s="25"/>
    </row>
    <row r="6416" ht="15.75" customHeight="1">
      <c r="A6416" s="25" t="str">
        <f>IFERROR(__xludf.DUMMYFUNCTION("IF(B6416="""","""",RIGHT(REGEXREPLACE(B6416&amp;"""",""[^0-9]"",""""),9))"),"787462525")</f>
        <v>787462525</v>
      </c>
      <c r="B6416" s="26" t="s">
        <v>6496</v>
      </c>
      <c r="C6416" s="28" t="s">
        <v>6497</v>
      </c>
      <c r="D6416" s="26" t="s">
        <v>64</v>
      </c>
      <c r="E6416" s="31">
        <v>46241.0</v>
      </c>
      <c r="F6416" s="26" t="s">
        <v>205</v>
      </c>
      <c r="I6416" s="26" t="s">
        <v>892</v>
      </c>
      <c r="J6416" s="25" t="str">
        <f t="shared" si="67"/>
        <v>No</v>
      </c>
      <c r="K6416" s="25" t="str">
        <f t="shared" si="68"/>
        <v/>
      </c>
      <c r="L6416" s="25" t="str">
        <f t="shared" si="69"/>
        <v/>
      </c>
      <c r="M6416" s="25"/>
      <c r="O6416" s="25"/>
    </row>
    <row r="6417" ht="15.75" customHeight="1">
      <c r="A6417" s="25" t="str">
        <f>IFERROR(__xludf.DUMMYFUNCTION("IF(B6417="""","""",RIGHT(REGEXREPLACE(B6417&amp;"""",""[^0-9]"",""""),9))"),"722811911")</f>
        <v>722811911</v>
      </c>
      <c r="B6417" s="26" t="s">
        <v>6498</v>
      </c>
      <c r="C6417" s="28" t="s">
        <v>6499</v>
      </c>
      <c r="D6417" s="26" t="s">
        <v>64</v>
      </c>
      <c r="E6417" s="31">
        <v>46241.0</v>
      </c>
      <c r="F6417" s="26" t="s">
        <v>205</v>
      </c>
      <c r="I6417" s="26" t="s">
        <v>892</v>
      </c>
      <c r="J6417" s="25" t="str">
        <f t="shared" si="67"/>
        <v>No</v>
      </c>
      <c r="K6417" s="25" t="str">
        <f t="shared" si="68"/>
        <v/>
      </c>
      <c r="L6417" s="25" t="str">
        <f t="shared" si="69"/>
        <v/>
      </c>
      <c r="M6417" s="25"/>
      <c r="O6417" s="25"/>
    </row>
    <row r="6418" ht="15.75" customHeight="1">
      <c r="A6418" s="25" t="str">
        <f>IFERROR(__xludf.DUMMYFUNCTION("IF(B6418="""","""",RIGHT(REGEXREPLACE(B6418&amp;"""",""[^0-9]"",""""),9))"),"766124842")</f>
        <v>766124842</v>
      </c>
      <c r="B6418" s="26" t="s">
        <v>6500</v>
      </c>
      <c r="C6418" s="28" t="s">
        <v>6501</v>
      </c>
      <c r="D6418" s="26" t="s">
        <v>82</v>
      </c>
      <c r="E6418" s="31">
        <v>46241.0</v>
      </c>
      <c r="F6418" s="26" t="s">
        <v>125</v>
      </c>
      <c r="G6418" s="26">
        <v>10.0</v>
      </c>
      <c r="H6418" s="26" t="s">
        <v>6502</v>
      </c>
      <c r="I6418" s="26" t="s">
        <v>892</v>
      </c>
      <c r="J6418" s="25" t="str">
        <f t="shared" si="67"/>
        <v>No</v>
      </c>
      <c r="K6418" s="25" t="str">
        <f t="shared" si="68"/>
        <v/>
      </c>
      <c r="L6418" s="25" t="str">
        <f t="shared" si="69"/>
        <v/>
      </c>
      <c r="M6418" s="25"/>
      <c r="O6418" s="25"/>
    </row>
    <row r="6419" ht="15.75" customHeight="1">
      <c r="A6419" s="25" t="str">
        <f>IFERROR(__xludf.DUMMYFUNCTION("IF(B6419="""","""",RIGHT(REGEXREPLACE(B6419&amp;"""",""[^0-9]"",""""),9))"),"714443723")</f>
        <v>714443723</v>
      </c>
      <c r="B6419" s="26" t="s">
        <v>6503</v>
      </c>
      <c r="C6419" s="28" t="s">
        <v>1070</v>
      </c>
      <c r="D6419" s="26" t="s">
        <v>49</v>
      </c>
      <c r="E6419" s="31">
        <v>46241.0</v>
      </c>
      <c r="F6419" s="26" t="s">
        <v>41</v>
      </c>
      <c r="I6419" s="26" t="s">
        <v>892</v>
      </c>
      <c r="J6419" s="25" t="str">
        <f t="shared" si="67"/>
        <v>Yes - see Previous F-Code</v>
      </c>
      <c r="K6419" s="25" t="str">
        <f t="shared" si="68"/>
        <v/>
      </c>
      <c r="L6419" s="25" t="str">
        <f t="shared" si="69"/>
        <v>F70814</v>
      </c>
      <c r="M6419" s="25"/>
      <c r="O6419" s="25"/>
    </row>
    <row r="6420" ht="15.75" customHeight="1">
      <c r="A6420" s="25" t="str">
        <f>IFERROR(__xludf.DUMMYFUNCTION("IF(B6420="""","""",RIGHT(REGEXREPLACE(B6420&amp;"""",""[^0-9]"",""""),9))"),"701676371")</f>
        <v>701676371</v>
      </c>
      <c r="B6420" s="26" t="s">
        <v>6504</v>
      </c>
      <c r="C6420" s="28" t="s">
        <v>6505</v>
      </c>
      <c r="D6420" s="26" t="s">
        <v>64</v>
      </c>
      <c r="E6420" s="31">
        <v>46241.0</v>
      </c>
      <c r="F6420" s="26" t="s">
        <v>41</v>
      </c>
      <c r="I6420" s="26" t="s">
        <v>892</v>
      </c>
      <c r="J6420" s="25" t="str">
        <f t="shared" si="67"/>
        <v>No</v>
      </c>
      <c r="K6420" s="25" t="str">
        <f t="shared" si="68"/>
        <v/>
      </c>
      <c r="L6420" s="25" t="str">
        <f t="shared" si="69"/>
        <v/>
      </c>
      <c r="M6420" s="25"/>
      <c r="O6420" s="25"/>
    </row>
    <row r="6421" ht="15.75" customHeight="1">
      <c r="A6421" s="25" t="str">
        <f>IFERROR(__xludf.DUMMYFUNCTION("IF(B6421="""","""",RIGHT(REGEXREPLACE(B6421&amp;"""",""[^0-9]"",""""),9))"),"713013540")</f>
        <v>713013540</v>
      </c>
      <c r="B6421" s="26" t="s">
        <v>6506</v>
      </c>
      <c r="C6421" s="28" t="s">
        <v>4223</v>
      </c>
      <c r="D6421" s="26" t="s">
        <v>64</v>
      </c>
      <c r="E6421" s="31">
        <v>46241.0</v>
      </c>
      <c r="F6421" s="26" t="s">
        <v>46</v>
      </c>
      <c r="G6421" s="26">
        <v>10.0</v>
      </c>
      <c r="H6421" s="72" t="s">
        <v>6507</v>
      </c>
      <c r="I6421" s="26" t="s">
        <v>892</v>
      </c>
      <c r="J6421" s="25" t="str">
        <f t="shared" si="67"/>
        <v>Yes - see Previous F-Code</v>
      </c>
      <c r="K6421" s="25" t="str">
        <f t="shared" si="68"/>
        <v/>
      </c>
      <c r="L6421" s="25" t="str">
        <f t="shared" si="69"/>
        <v>F73855</v>
      </c>
      <c r="M6421" s="25"/>
      <c r="O6421" s="25"/>
    </row>
    <row r="6422" ht="15.75" customHeight="1">
      <c r="A6422" s="25" t="str">
        <f>IFERROR(__xludf.DUMMYFUNCTION("IF(B6422="""","""",RIGHT(REGEXREPLACE(B6422&amp;"""",""[^0-9]"",""""),9))"),"715860946")</f>
        <v>715860946</v>
      </c>
      <c r="B6422" s="26" t="s">
        <v>6508</v>
      </c>
      <c r="C6422" s="28" t="s">
        <v>925</v>
      </c>
      <c r="D6422" s="26" t="s">
        <v>82</v>
      </c>
      <c r="E6422" s="31">
        <v>46241.0</v>
      </c>
      <c r="F6422" s="26" t="s">
        <v>46</v>
      </c>
      <c r="G6422" s="26">
        <v>7.0</v>
      </c>
      <c r="H6422" s="26" t="s">
        <v>6509</v>
      </c>
      <c r="I6422" s="26" t="s">
        <v>892</v>
      </c>
      <c r="J6422" s="25" t="str">
        <f t="shared" si="67"/>
        <v>Yes - see Previous F-Code</v>
      </c>
      <c r="K6422" s="25" t="str">
        <f t="shared" si="68"/>
        <v/>
      </c>
      <c r="L6422" s="25" t="str">
        <f t="shared" si="69"/>
        <v>F70680</v>
      </c>
      <c r="M6422" s="25"/>
      <c r="O6422" s="25"/>
    </row>
    <row r="6423" ht="15.75" customHeight="1">
      <c r="A6423" s="25" t="str">
        <f>IFERROR(__xludf.DUMMYFUNCTION("IF(B6423="""","""",RIGHT(REGEXREPLACE(B6423&amp;"""",""[^0-9]"",""""),9))"),"763245853")</f>
        <v>763245853</v>
      </c>
      <c r="B6423" s="110" t="s">
        <v>6510</v>
      </c>
      <c r="C6423" s="28" t="s">
        <v>6511</v>
      </c>
      <c r="D6423" s="26" t="s">
        <v>56</v>
      </c>
      <c r="E6423" s="31">
        <v>46241.0</v>
      </c>
      <c r="F6423" s="26" t="s">
        <v>41</v>
      </c>
      <c r="I6423" s="26" t="s">
        <v>892</v>
      </c>
      <c r="J6423" s="25" t="str">
        <f t="shared" si="67"/>
        <v>No</v>
      </c>
      <c r="K6423" s="25" t="str">
        <f t="shared" si="68"/>
        <v/>
      </c>
      <c r="L6423" s="25" t="str">
        <f t="shared" si="69"/>
        <v/>
      </c>
      <c r="M6423" s="25"/>
      <c r="O6423" s="25"/>
    </row>
    <row r="6424" ht="15.75" customHeight="1">
      <c r="A6424" s="25" t="str">
        <f>IFERROR(__xludf.DUMMYFUNCTION("IF(B6424="""","""",RIGHT(REGEXREPLACE(B6424&amp;"""",""[^0-9]"",""""),9))"),"713837096")</f>
        <v>713837096</v>
      </c>
      <c r="B6424" s="26" t="s">
        <v>6512</v>
      </c>
      <c r="C6424" s="28" t="s">
        <v>6513</v>
      </c>
      <c r="D6424" s="26" t="s">
        <v>49</v>
      </c>
      <c r="E6424" s="31">
        <v>46241.0</v>
      </c>
      <c r="F6424" s="26" t="s">
        <v>46</v>
      </c>
      <c r="G6424" s="26">
        <v>11.0</v>
      </c>
      <c r="H6424" s="26" t="s">
        <v>5896</v>
      </c>
      <c r="I6424" s="26" t="s">
        <v>892</v>
      </c>
      <c r="J6424" s="25" t="str">
        <f t="shared" si="67"/>
        <v>No</v>
      </c>
      <c r="K6424" s="25" t="str">
        <f t="shared" si="68"/>
        <v/>
      </c>
      <c r="L6424" s="25" t="str">
        <f t="shared" si="69"/>
        <v/>
      </c>
      <c r="M6424" s="25"/>
      <c r="O6424" s="25"/>
    </row>
    <row r="6425" ht="15.75" customHeight="1">
      <c r="A6425" s="25" t="str">
        <f>IFERROR(__xludf.DUMMYFUNCTION("IF(B6425="""","""",RIGHT(REGEXREPLACE(B6425&amp;"""",""[^0-9]"",""""),9))"),"767133301")</f>
        <v>767133301</v>
      </c>
      <c r="B6425" s="26" t="s">
        <v>6514</v>
      </c>
      <c r="C6425" s="28" t="s">
        <v>6515</v>
      </c>
      <c r="D6425" s="26" t="s">
        <v>64</v>
      </c>
      <c r="E6425" s="31">
        <v>46241.0</v>
      </c>
      <c r="F6425" s="26" t="s">
        <v>46</v>
      </c>
      <c r="G6425" s="26">
        <v>11.0</v>
      </c>
      <c r="H6425" s="26" t="s">
        <v>6347</v>
      </c>
      <c r="I6425" s="26" t="s">
        <v>892</v>
      </c>
      <c r="J6425" s="25" t="str">
        <f t="shared" si="67"/>
        <v>No</v>
      </c>
      <c r="K6425" s="25" t="str">
        <f t="shared" si="68"/>
        <v/>
      </c>
      <c r="L6425" s="25" t="str">
        <f t="shared" si="69"/>
        <v/>
      </c>
      <c r="M6425" s="25"/>
      <c r="O6425" s="25"/>
    </row>
    <row r="6426" ht="15.75" customHeight="1">
      <c r="A6426" s="25" t="str">
        <f>IFERROR(__xludf.DUMMYFUNCTION("IF(B6426="""","""",RIGHT(REGEXREPLACE(B6426&amp;"""",""[^0-9]"",""""),9))"),"772747038")</f>
        <v>772747038</v>
      </c>
      <c r="B6426" s="26" t="s">
        <v>6516</v>
      </c>
      <c r="C6426" s="28" t="s">
        <v>6517</v>
      </c>
      <c r="D6426" s="26" t="s">
        <v>56</v>
      </c>
      <c r="E6426" s="31">
        <v>46241.0</v>
      </c>
      <c r="F6426" s="26" t="s">
        <v>205</v>
      </c>
      <c r="I6426" s="26" t="s">
        <v>892</v>
      </c>
      <c r="J6426" s="25" t="str">
        <f t="shared" si="67"/>
        <v>No</v>
      </c>
      <c r="K6426" s="25" t="str">
        <f t="shared" si="68"/>
        <v/>
      </c>
      <c r="L6426" s="25" t="str">
        <f t="shared" si="69"/>
        <v/>
      </c>
      <c r="M6426" s="25"/>
      <c r="O6426" s="25"/>
    </row>
    <row r="6427" ht="15.75" customHeight="1">
      <c r="A6427" s="25" t="str">
        <f>IFERROR(__xludf.DUMMYFUNCTION("IF(B6427="""","""",RIGHT(REGEXREPLACE(B6427&amp;"""",""[^0-9]"",""""),9))"),"703734910")</f>
        <v>703734910</v>
      </c>
      <c r="B6427" s="26" t="s">
        <v>6518</v>
      </c>
      <c r="C6427" s="28" t="s">
        <v>6519</v>
      </c>
      <c r="D6427" s="26" t="s">
        <v>56</v>
      </c>
      <c r="E6427" s="31">
        <v>46241.0</v>
      </c>
      <c r="F6427" s="26" t="s">
        <v>46</v>
      </c>
      <c r="H6427" s="26" t="s">
        <v>6520</v>
      </c>
      <c r="I6427" s="26" t="s">
        <v>892</v>
      </c>
      <c r="J6427" s="25" t="str">
        <f t="shared" si="67"/>
        <v>No</v>
      </c>
      <c r="K6427" s="25" t="str">
        <f t="shared" si="68"/>
        <v/>
      </c>
      <c r="L6427" s="25" t="str">
        <f t="shared" si="69"/>
        <v/>
      </c>
      <c r="M6427" s="25"/>
      <c r="O6427" s="25"/>
    </row>
    <row r="6428" ht="15.75" customHeight="1">
      <c r="A6428" s="25" t="str">
        <f>IFERROR(__xludf.DUMMYFUNCTION("IF(B6428="""","""",RIGHT(REGEXREPLACE(B6428&amp;"""",""[^0-9]"",""""),9))"),"754777013")</f>
        <v>754777013</v>
      </c>
      <c r="B6428" s="26" t="s">
        <v>6521</v>
      </c>
      <c r="C6428" s="28" t="s">
        <v>6522</v>
      </c>
      <c r="D6428" s="26" t="s">
        <v>82</v>
      </c>
      <c r="E6428" s="31">
        <v>46241.0</v>
      </c>
      <c r="F6428" s="26" t="s">
        <v>46</v>
      </c>
      <c r="G6428" s="26">
        <v>11.0</v>
      </c>
      <c r="H6428" s="26" t="s">
        <v>6523</v>
      </c>
      <c r="I6428" s="26" t="s">
        <v>892</v>
      </c>
      <c r="J6428" s="25" t="str">
        <f t="shared" si="67"/>
        <v>No</v>
      </c>
      <c r="K6428" s="25" t="str">
        <f t="shared" si="68"/>
        <v/>
      </c>
      <c r="L6428" s="25" t="str">
        <f t="shared" si="69"/>
        <v/>
      </c>
      <c r="M6428" s="25"/>
      <c r="O6428" s="25"/>
    </row>
    <row r="6429" ht="15.75" customHeight="1">
      <c r="A6429" s="25" t="str">
        <f>IFERROR(__xludf.DUMMYFUNCTION("IF(B6429="""","""",RIGHT(REGEXREPLACE(B6429&amp;"""",""[^0-9]"",""""),9))"),"724900118")</f>
        <v>724900118</v>
      </c>
      <c r="B6429" s="26" t="s">
        <v>6524</v>
      </c>
      <c r="C6429" s="28" t="s">
        <v>6525</v>
      </c>
      <c r="D6429" s="26" t="s">
        <v>64</v>
      </c>
      <c r="E6429" s="31">
        <v>46241.0</v>
      </c>
      <c r="F6429" s="26" t="s">
        <v>41</v>
      </c>
      <c r="I6429" s="26" t="s">
        <v>892</v>
      </c>
      <c r="J6429" s="25" t="str">
        <f t="shared" si="67"/>
        <v>No</v>
      </c>
      <c r="K6429" s="25" t="str">
        <f t="shared" si="68"/>
        <v/>
      </c>
      <c r="L6429" s="25" t="str">
        <f t="shared" si="69"/>
        <v/>
      </c>
      <c r="M6429" s="25"/>
      <c r="O6429" s="25"/>
    </row>
    <row r="6430" ht="15.75" customHeight="1">
      <c r="A6430" s="25" t="str">
        <f>IFERROR(__xludf.DUMMYFUNCTION("IF(B6430="""","""",RIGHT(REGEXREPLACE(B6430&amp;"""",""[^0-9]"",""""),9))"),"775513770")</f>
        <v>775513770</v>
      </c>
      <c r="B6430" s="26" t="s">
        <v>6526</v>
      </c>
      <c r="C6430" s="28" t="s">
        <v>6527</v>
      </c>
      <c r="D6430" s="26" t="s">
        <v>49</v>
      </c>
      <c r="E6430" s="31">
        <v>46241.0</v>
      </c>
      <c r="F6430" s="26" t="s">
        <v>46</v>
      </c>
      <c r="G6430" s="26">
        <v>10.0</v>
      </c>
      <c r="H6430" s="117" t="s">
        <v>6528</v>
      </c>
      <c r="I6430" s="26" t="s">
        <v>892</v>
      </c>
      <c r="J6430" s="25" t="str">
        <f t="shared" si="67"/>
        <v>No</v>
      </c>
      <c r="K6430" s="25" t="str">
        <f t="shared" si="68"/>
        <v/>
      </c>
      <c r="L6430" s="25" t="str">
        <f t="shared" si="69"/>
        <v/>
      </c>
      <c r="M6430" s="25"/>
      <c r="O6430" s="25"/>
    </row>
    <row r="6431" ht="15.75" customHeight="1">
      <c r="A6431" s="25" t="str">
        <f>IFERROR(__xludf.DUMMYFUNCTION("IF(B6431="""","""",RIGHT(REGEXREPLACE(B6431&amp;"""",""[^0-9]"",""""),9))"),"742231349")</f>
        <v>742231349</v>
      </c>
      <c r="B6431" s="26" t="s">
        <v>6529</v>
      </c>
      <c r="C6431" s="28" t="s">
        <v>6530</v>
      </c>
      <c r="D6431" s="26" t="s">
        <v>56</v>
      </c>
      <c r="E6431" s="31">
        <v>46241.0</v>
      </c>
      <c r="F6431" s="26" t="s">
        <v>46</v>
      </c>
      <c r="G6431" s="26">
        <v>11.0</v>
      </c>
      <c r="H6431" s="26" t="s">
        <v>6531</v>
      </c>
      <c r="I6431" s="26" t="s">
        <v>892</v>
      </c>
      <c r="J6431" s="25" t="str">
        <f t="shared" si="67"/>
        <v>No</v>
      </c>
      <c r="K6431" s="25" t="str">
        <f t="shared" si="68"/>
        <v/>
      </c>
      <c r="L6431" s="25" t="str">
        <f t="shared" si="69"/>
        <v/>
      </c>
      <c r="M6431" s="25"/>
      <c r="O6431" s="25"/>
    </row>
    <row r="6432" ht="15.75" customHeight="1">
      <c r="A6432" s="25" t="str">
        <f>IFERROR(__xludf.DUMMYFUNCTION("IF(B6432="""","""",RIGHT(REGEXREPLACE(B6432&amp;"""",""[^0-9]"",""""),9))"),"762074138")</f>
        <v>762074138</v>
      </c>
      <c r="B6432" s="26" t="s">
        <v>6532</v>
      </c>
      <c r="C6432" s="28" t="s">
        <v>6533</v>
      </c>
      <c r="D6432" s="26" t="s">
        <v>64</v>
      </c>
      <c r="E6432" s="31">
        <v>46241.0</v>
      </c>
      <c r="F6432" s="26" t="s">
        <v>46</v>
      </c>
      <c r="G6432" s="26">
        <v>7.0</v>
      </c>
      <c r="H6432" s="26" t="s">
        <v>6534</v>
      </c>
      <c r="I6432" s="26" t="s">
        <v>892</v>
      </c>
      <c r="J6432" s="25" t="str">
        <f t="shared" si="67"/>
        <v>No</v>
      </c>
      <c r="K6432" s="25" t="str">
        <f t="shared" si="68"/>
        <v/>
      </c>
      <c r="L6432" s="25" t="str">
        <f t="shared" si="69"/>
        <v/>
      </c>
      <c r="M6432" s="25"/>
      <c r="O6432" s="25"/>
    </row>
    <row r="6433" ht="15.75" customHeight="1">
      <c r="A6433" s="25" t="str">
        <f>IFERROR(__xludf.DUMMYFUNCTION("IF(B6433="""","""",RIGHT(REGEXREPLACE(B6433&amp;"""",""[^0-9]"",""""),9))"),"778544697")</f>
        <v>778544697</v>
      </c>
      <c r="B6433" s="26" t="s">
        <v>6535</v>
      </c>
      <c r="C6433" s="28" t="s">
        <v>6536</v>
      </c>
      <c r="D6433" s="26" t="s">
        <v>82</v>
      </c>
      <c r="E6433" s="31">
        <v>46241.0</v>
      </c>
      <c r="F6433" s="26" t="s">
        <v>41</v>
      </c>
      <c r="I6433" s="26" t="s">
        <v>892</v>
      </c>
      <c r="J6433" s="25" t="str">
        <f t="shared" si="67"/>
        <v>No</v>
      </c>
      <c r="K6433" s="25" t="str">
        <f t="shared" si="68"/>
        <v/>
      </c>
      <c r="L6433" s="25" t="str">
        <f t="shared" si="69"/>
        <v/>
      </c>
      <c r="M6433" s="25"/>
      <c r="O6433" s="25"/>
    </row>
    <row r="6434" ht="15.75" customHeight="1">
      <c r="A6434" s="25" t="str">
        <f>IFERROR(__xludf.DUMMYFUNCTION("IF(B6434="""","""",RIGHT(REGEXREPLACE(B6434&amp;"""",""[^0-9]"",""""),9))"),"743278401")</f>
        <v>743278401</v>
      </c>
      <c r="B6434" s="26" t="s">
        <v>6537</v>
      </c>
      <c r="C6434" s="28" t="s">
        <v>3731</v>
      </c>
      <c r="D6434" s="26" t="s">
        <v>82</v>
      </c>
      <c r="E6434" s="31">
        <v>46241.0</v>
      </c>
      <c r="F6434" s="26" t="s">
        <v>205</v>
      </c>
      <c r="I6434" s="26" t="s">
        <v>892</v>
      </c>
      <c r="J6434" s="25" t="str">
        <f t="shared" si="67"/>
        <v>Yes - see Previous F-Code</v>
      </c>
      <c r="K6434" s="25" t="str">
        <f t="shared" si="68"/>
        <v/>
      </c>
      <c r="L6434" s="25" t="str">
        <f t="shared" si="69"/>
        <v>F73385</v>
      </c>
      <c r="M6434" s="25"/>
      <c r="O6434" s="25"/>
    </row>
    <row r="6435" ht="15.75" customHeight="1">
      <c r="A6435" s="25" t="str">
        <f>IFERROR(__xludf.DUMMYFUNCTION("IF(B6435="""","""",RIGHT(REGEXREPLACE(B6435&amp;"""",""[^0-9]"",""""),9))"),"740131535")</f>
        <v>740131535</v>
      </c>
      <c r="B6435" s="26" t="s">
        <v>6538</v>
      </c>
      <c r="C6435" s="28" t="s">
        <v>6539</v>
      </c>
      <c r="D6435" s="26" t="s">
        <v>56</v>
      </c>
      <c r="E6435" s="31">
        <v>46241.0</v>
      </c>
      <c r="F6435" s="26" t="s">
        <v>41</v>
      </c>
      <c r="I6435" s="26" t="s">
        <v>892</v>
      </c>
      <c r="J6435" s="25" t="str">
        <f t="shared" si="67"/>
        <v>No</v>
      </c>
      <c r="K6435" s="25" t="str">
        <f t="shared" si="68"/>
        <v/>
      </c>
      <c r="L6435" s="25" t="str">
        <f t="shared" si="69"/>
        <v/>
      </c>
      <c r="M6435" s="25"/>
      <c r="O6435" s="25"/>
    </row>
    <row r="6436" ht="15.75" customHeight="1">
      <c r="A6436" s="25" t="str">
        <f>IFERROR(__xludf.DUMMYFUNCTION("IF(B6436="""","""",RIGHT(REGEXREPLACE(B6436&amp;"""",""[^0-9]"",""""),9))"),"772151296")</f>
        <v>772151296</v>
      </c>
      <c r="B6436" s="26" t="s">
        <v>6540</v>
      </c>
      <c r="C6436" s="28" t="s">
        <v>6225</v>
      </c>
      <c r="D6436" s="26" t="s">
        <v>82</v>
      </c>
      <c r="E6436" s="31">
        <v>46241.0</v>
      </c>
      <c r="F6436" s="26" t="s">
        <v>46</v>
      </c>
      <c r="G6436" s="26">
        <v>10.0</v>
      </c>
      <c r="H6436" s="26" t="s">
        <v>6541</v>
      </c>
      <c r="I6436" s="26" t="s">
        <v>892</v>
      </c>
      <c r="J6436" s="25" t="str">
        <f t="shared" si="67"/>
        <v>Yes - see Previous F-Code</v>
      </c>
      <c r="K6436" s="25" t="str">
        <f t="shared" si="68"/>
        <v/>
      </c>
      <c r="L6436" s="25" t="str">
        <f t="shared" si="69"/>
        <v>F75617</v>
      </c>
      <c r="M6436" s="25"/>
      <c r="O6436" s="25"/>
    </row>
    <row r="6437" ht="15.75" customHeight="1">
      <c r="A6437" s="25" t="str">
        <f>IFERROR(__xludf.DUMMYFUNCTION("IF(B6437="""","""",RIGHT(REGEXREPLACE(B6437&amp;"""",""[^0-9]"",""""),9))"),"769722836")</f>
        <v>769722836</v>
      </c>
      <c r="B6437" s="26" t="s">
        <v>6542</v>
      </c>
      <c r="C6437" s="28" t="s">
        <v>6543</v>
      </c>
      <c r="D6437" s="26" t="s">
        <v>64</v>
      </c>
      <c r="E6437" s="31">
        <v>46241.0</v>
      </c>
      <c r="F6437" s="26" t="s">
        <v>41</v>
      </c>
      <c r="I6437" s="26" t="s">
        <v>892</v>
      </c>
      <c r="J6437" s="25" t="str">
        <f t="shared" si="67"/>
        <v>No</v>
      </c>
      <c r="K6437" s="25" t="str">
        <f t="shared" si="68"/>
        <v/>
      </c>
      <c r="L6437" s="25" t="str">
        <f t="shared" si="69"/>
        <v/>
      </c>
      <c r="M6437" s="25"/>
      <c r="O6437" s="25"/>
    </row>
    <row r="6438" ht="15.75" customHeight="1">
      <c r="A6438" s="25" t="str">
        <f>IFERROR(__xludf.DUMMYFUNCTION("IF(B6438="""","""",RIGHT(REGEXREPLACE(B6438&amp;"""",""[^0-9]"",""""),9))"),"725833494")</f>
        <v>725833494</v>
      </c>
      <c r="B6438" s="26" t="s">
        <v>6544</v>
      </c>
      <c r="C6438" s="28" t="s">
        <v>6545</v>
      </c>
      <c r="D6438" s="26" t="s">
        <v>56</v>
      </c>
      <c r="E6438" s="31">
        <v>46241.0</v>
      </c>
      <c r="F6438" s="26" t="s">
        <v>164</v>
      </c>
      <c r="I6438" s="26" t="s">
        <v>892</v>
      </c>
      <c r="J6438" s="25" t="str">
        <f t="shared" si="67"/>
        <v>No</v>
      </c>
      <c r="K6438" s="25" t="str">
        <f t="shared" si="68"/>
        <v/>
      </c>
      <c r="L6438" s="25" t="str">
        <f t="shared" si="69"/>
        <v/>
      </c>
      <c r="M6438" s="25"/>
      <c r="O6438" s="25"/>
    </row>
    <row r="6439" ht="15.75" customHeight="1">
      <c r="A6439" s="25" t="str">
        <f>IFERROR(__xludf.DUMMYFUNCTION("IF(B6439="""","""",RIGHT(REGEXREPLACE(B6439&amp;"""",""[^0-9]"",""""),9))"),"743432534")</f>
        <v>743432534</v>
      </c>
      <c r="B6439" s="26" t="s">
        <v>6546</v>
      </c>
      <c r="C6439" s="28" t="s">
        <v>2074</v>
      </c>
      <c r="D6439" s="26" t="s">
        <v>64</v>
      </c>
      <c r="E6439" s="31">
        <v>46241.0</v>
      </c>
      <c r="F6439" s="26" t="s">
        <v>46</v>
      </c>
      <c r="H6439" s="26" t="s">
        <v>6362</v>
      </c>
      <c r="I6439" s="26" t="s">
        <v>892</v>
      </c>
      <c r="J6439" s="25" t="str">
        <f t="shared" si="67"/>
        <v>Yes - see Previous F-Code</v>
      </c>
      <c r="K6439" s="25" t="str">
        <f t="shared" si="68"/>
        <v/>
      </c>
      <c r="L6439" s="25" t="str">
        <f t="shared" si="69"/>
        <v>F71775</v>
      </c>
      <c r="M6439" s="25"/>
      <c r="O6439" s="25"/>
    </row>
    <row r="6440" ht="15.75" customHeight="1">
      <c r="A6440" s="25" t="str">
        <f>IFERROR(__xludf.DUMMYFUNCTION("IF(B6440="""","""",RIGHT(REGEXREPLACE(B6440&amp;"""",""[^0-9]"",""""),9))"),"762962891")</f>
        <v>762962891</v>
      </c>
      <c r="B6440" s="26" t="s">
        <v>6547</v>
      </c>
      <c r="C6440" s="28" t="s">
        <v>6548</v>
      </c>
      <c r="D6440" s="26" t="s">
        <v>82</v>
      </c>
      <c r="E6440" s="31">
        <v>46241.0</v>
      </c>
      <c r="F6440" s="26" t="s">
        <v>125</v>
      </c>
      <c r="G6440" s="26">
        <v>10.0</v>
      </c>
      <c r="H6440" s="26" t="s">
        <v>6549</v>
      </c>
      <c r="I6440" s="26" t="s">
        <v>892</v>
      </c>
      <c r="J6440" s="25" t="str">
        <f t="shared" si="67"/>
        <v>No</v>
      </c>
      <c r="K6440" s="25" t="str">
        <f t="shared" si="68"/>
        <v/>
      </c>
      <c r="L6440" s="25" t="str">
        <f t="shared" si="69"/>
        <v/>
      </c>
      <c r="M6440" s="25"/>
      <c r="O6440" s="25"/>
    </row>
    <row r="6441" ht="15.75" customHeight="1">
      <c r="A6441" s="25" t="str">
        <f>IFERROR(__xludf.DUMMYFUNCTION("IF(B6441="""","""",RIGHT(REGEXREPLACE(B6441&amp;"""",""[^0-9]"",""""),9))"),"779198818")</f>
        <v>779198818</v>
      </c>
      <c r="B6441" s="26" t="s">
        <v>6550</v>
      </c>
      <c r="C6441" s="28" t="s">
        <v>905</v>
      </c>
      <c r="D6441" s="26" t="s">
        <v>56</v>
      </c>
      <c r="E6441" s="31">
        <v>46241.0</v>
      </c>
      <c r="F6441" s="26" t="s">
        <v>46</v>
      </c>
      <c r="G6441" s="26">
        <v>11.0</v>
      </c>
      <c r="H6441" s="26" t="s">
        <v>6324</v>
      </c>
      <c r="I6441" s="26" t="s">
        <v>892</v>
      </c>
      <c r="J6441" s="25" t="str">
        <f t="shared" si="67"/>
        <v>Yes - see Previous F-Code</v>
      </c>
      <c r="K6441" s="25" t="str">
        <f t="shared" si="68"/>
        <v/>
      </c>
      <c r="L6441" s="25" t="str">
        <f t="shared" si="69"/>
        <v>F70668</v>
      </c>
      <c r="M6441" s="25"/>
      <c r="O6441" s="25"/>
    </row>
    <row r="6442" ht="15.75" customHeight="1">
      <c r="A6442" s="25" t="str">
        <f>IFERROR(__xludf.DUMMYFUNCTION("IF(B6442="""","""",RIGHT(REGEXREPLACE(B6442&amp;"""",""[^0-9]"",""""),9))"),"714423443")</f>
        <v>714423443</v>
      </c>
      <c r="B6442" s="26" t="s">
        <v>6551</v>
      </c>
      <c r="C6442" s="28" t="s">
        <v>31</v>
      </c>
      <c r="D6442" s="26" t="s">
        <v>49</v>
      </c>
      <c r="E6442" s="31">
        <v>46241.0</v>
      </c>
      <c r="F6442" s="26" t="s">
        <v>659</v>
      </c>
      <c r="I6442" s="26" t="s">
        <v>892</v>
      </c>
      <c r="J6442" s="25" t="str">
        <f t="shared" si="67"/>
        <v>Yes - see Previous F-Code</v>
      </c>
      <c r="K6442" s="25" t="str">
        <f t="shared" si="68"/>
        <v/>
      </c>
      <c r="L6442" s="25" t="str">
        <f t="shared" si="69"/>
        <v>F70000</v>
      </c>
      <c r="M6442" s="25"/>
      <c r="O6442" s="25"/>
    </row>
    <row r="6443" ht="15.75" customHeight="1">
      <c r="A6443" s="25" t="str">
        <f>IFERROR(__xludf.DUMMYFUNCTION("IF(B6443="""","""",RIGHT(REGEXREPLACE(B6443&amp;"""",""[^0-9]"",""""),9))"),"758027160")</f>
        <v>758027160</v>
      </c>
      <c r="B6443" s="26" t="s">
        <v>6552</v>
      </c>
      <c r="C6443" s="28" t="s">
        <v>6553</v>
      </c>
      <c r="D6443" s="26" t="s">
        <v>64</v>
      </c>
      <c r="E6443" s="31">
        <v>46241.0</v>
      </c>
      <c r="F6443" s="26" t="s">
        <v>46</v>
      </c>
      <c r="G6443" s="26">
        <v>11.0</v>
      </c>
      <c r="H6443" s="26" t="s">
        <v>140</v>
      </c>
      <c r="I6443" s="26" t="s">
        <v>892</v>
      </c>
      <c r="J6443" s="25" t="str">
        <f t="shared" si="67"/>
        <v>No</v>
      </c>
      <c r="K6443" s="25" t="str">
        <f t="shared" si="68"/>
        <v/>
      </c>
      <c r="L6443" s="25" t="str">
        <f t="shared" si="69"/>
        <v/>
      </c>
      <c r="M6443" s="25"/>
      <c r="O6443" s="25"/>
    </row>
    <row r="6444" ht="15.75" customHeight="1">
      <c r="A6444" s="25" t="str">
        <f>IFERROR(__xludf.DUMMYFUNCTION("IF(B6444="""","""",RIGHT(REGEXREPLACE(B6444&amp;"""",""[^0-9]"",""""),9))"),"773076125")</f>
        <v>773076125</v>
      </c>
      <c r="B6444" s="26" t="s">
        <v>6554</v>
      </c>
      <c r="C6444" s="28" t="s">
        <v>3686</v>
      </c>
      <c r="D6444" s="26" t="s">
        <v>82</v>
      </c>
      <c r="E6444" s="31">
        <v>46241.0</v>
      </c>
      <c r="F6444" s="26" t="s">
        <v>41</v>
      </c>
      <c r="I6444" s="26" t="s">
        <v>892</v>
      </c>
      <c r="J6444" s="25" t="str">
        <f t="shared" si="67"/>
        <v>Yes - see Previous F-Code</v>
      </c>
      <c r="K6444" s="25" t="str">
        <f t="shared" si="68"/>
        <v/>
      </c>
      <c r="L6444" s="25" t="str">
        <f t="shared" si="69"/>
        <v>F73340</v>
      </c>
      <c r="M6444" s="25"/>
      <c r="O6444" s="25"/>
    </row>
    <row r="6445" ht="15.75" customHeight="1">
      <c r="A6445" s="25" t="str">
        <f>IFERROR(__xludf.DUMMYFUNCTION("IF(B6445="""","""",RIGHT(REGEXREPLACE(B6445&amp;"""",""[^0-9]"",""""),9))"),"774586854")</f>
        <v>774586854</v>
      </c>
      <c r="B6445" s="26" t="s">
        <v>6555</v>
      </c>
      <c r="C6445" s="28" t="s">
        <v>6556</v>
      </c>
      <c r="D6445" s="26" t="s">
        <v>64</v>
      </c>
      <c r="E6445" s="31">
        <v>46241.0</v>
      </c>
      <c r="F6445" s="26" t="s">
        <v>659</v>
      </c>
      <c r="I6445" s="26" t="s">
        <v>892</v>
      </c>
      <c r="J6445" s="25" t="str">
        <f t="shared" si="67"/>
        <v>No</v>
      </c>
      <c r="K6445" s="25" t="str">
        <f t="shared" si="68"/>
        <v/>
      </c>
      <c r="L6445" s="25" t="str">
        <f t="shared" si="69"/>
        <v/>
      </c>
      <c r="M6445" s="25"/>
      <c r="O6445" s="25"/>
    </row>
    <row r="6446" ht="15.75" customHeight="1">
      <c r="A6446" s="25" t="str">
        <f>IFERROR(__xludf.DUMMYFUNCTION("IF(B6446="""","""",RIGHT(REGEXREPLACE(B6446&amp;"""",""[^0-9]"",""""),9))"),"754402640")</f>
        <v>754402640</v>
      </c>
      <c r="B6446" s="26" t="s">
        <v>6557</v>
      </c>
      <c r="C6446" s="28" t="s">
        <v>6558</v>
      </c>
      <c r="D6446" s="26" t="s">
        <v>82</v>
      </c>
      <c r="E6446" s="31">
        <v>46241.0</v>
      </c>
      <c r="F6446" s="26" t="s">
        <v>41</v>
      </c>
      <c r="I6446" s="26" t="s">
        <v>892</v>
      </c>
      <c r="J6446" s="25" t="str">
        <f t="shared" si="67"/>
        <v>No</v>
      </c>
      <c r="K6446" s="25" t="str">
        <f t="shared" si="68"/>
        <v/>
      </c>
      <c r="L6446" s="25" t="str">
        <f t="shared" si="69"/>
        <v/>
      </c>
      <c r="M6446" s="25"/>
      <c r="O6446" s="25"/>
    </row>
    <row r="6447" ht="15.75" customHeight="1">
      <c r="A6447" s="25" t="str">
        <f>IFERROR(__xludf.DUMMYFUNCTION("IF(B6447="""","""",RIGHT(REGEXREPLACE(B6447&amp;"""",""[^0-9]"",""""),9))"),"774943931")</f>
        <v>774943931</v>
      </c>
      <c r="B6447" s="26" t="s">
        <v>6559</v>
      </c>
      <c r="C6447" s="28" t="s">
        <v>1461</v>
      </c>
      <c r="D6447" s="26" t="s">
        <v>49</v>
      </c>
      <c r="E6447" s="31">
        <v>46241.0</v>
      </c>
      <c r="F6447" s="26" t="s">
        <v>205</v>
      </c>
      <c r="I6447" s="26" t="s">
        <v>892</v>
      </c>
      <c r="J6447" s="25" t="str">
        <f t="shared" si="67"/>
        <v>Yes - see Previous F-Code</v>
      </c>
      <c r="K6447" s="25" t="str">
        <f t="shared" si="68"/>
        <v/>
      </c>
      <c r="L6447" s="25" t="str">
        <f t="shared" si="69"/>
        <v>F71185</v>
      </c>
      <c r="M6447" s="25"/>
      <c r="O6447" s="25"/>
    </row>
    <row r="6448" ht="15.75" customHeight="1">
      <c r="A6448" s="25" t="str">
        <f>IFERROR(__xludf.DUMMYFUNCTION("IF(B6448="""","""",RIGHT(REGEXREPLACE(B6448&amp;"""",""[^0-9]"",""""),9))"),"776841680")</f>
        <v>776841680</v>
      </c>
      <c r="B6448" s="26" t="s">
        <v>6560</v>
      </c>
      <c r="C6448" s="28" t="s">
        <v>6561</v>
      </c>
      <c r="D6448" s="26" t="s">
        <v>64</v>
      </c>
      <c r="E6448" s="31">
        <v>46241.0</v>
      </c>
      <c r="F6448" s="26" t="s">
        <v>41</v>
      </c>
      <c r="I6448" s="26" t="s">
        <v>892</v>
      </c>
      <c r="J6448" s="25" t="str">
        <f t="shared" si="67"/>
        <v>No</v>
      </c>
      <c r="K6448" s="25" t="str">
        <f t="shared" si="68"/>
        <v/>
      </c>
      <c r="L6448" s="25" t="str">
        <f t="shared" si="69"/>
        <v/>
      </c>
      <c r="M6448" s="25"/>
      <c r="O6448" s="25"/>
    </row>
    <row r="6449" ht="15.75" customHeight="1">
      <c r="A6449" s="25" t="str">
        <f>IFERROR(__xludf.DUMMYFUNCTION("IF(B6449="""","""",RIGHT(REGEXREPLACE(B6449&amp;"""",""[^0-9]"",""""),9))"),"715676220")</f>
        <v>715676220</v>
      </c>
      <c r="B6449" s="26" t="s">
        <v>6562</v>
      </c>
      <c r="C6449" s="28" t="s">
        <v>6563</v>
      </c>
      <c r="D6449" s="26" t="s">
        <v>56</v>
      </c>
      <c r="E6449" s="31">
        <v>46241.0</v>
      </c>
      <c r="F6449" s="26" t="s">
        <v>46</v>
      </c>
      <c r="G6449" s="26">
        <v>9.0</v>
      </c>
      <c r="H6449" s="26" t="s">
        <v>6451</v>
      </c>
      <c r="I6449" s="26" t="s">
        <v>892</v>
      </c>
      <c r="J6449" s="25" t="str">
        <f t="shared" si="67"/>
        <v>No</v>
      </c>
      <c r="K6449" s="25" t="str">
        <f t="shared" si="68"/>
        <v/>
      </c>
      <c r="L6449" s="25" t="str">
        <f t="shared" si="69"/>
        <v/>
      </c>
      <c r="M6449" s="25"/>
      <c r="O6449" s="25"/>
    </row>
    <row r="6450" ht="15.75" customHeight="1">
      <c r="A6450" s="25" t="str">
        <f>IFERROR(__xludf.DUMMYFUNCTION("IF(B6450="""","""",RIGHT(REGEXREPLACE(B6450&amp;"""",""[^0-9]"",""""),9))"),"711902124")</f>
        <v>711902124</v>
      </c>
      <c r="B6450" s="26" t="s">
        <v>6564</v>
      </c>
      <c r="C6450" s="28" t="s">
        <v>2365</v>
      </c>
      <c r="D6450" s="26" t="s">
        <v>82</v>
      </c>
      <c r="E6450" s="31">
        <v>46241.0</v>
      </c>
      <c r="F6450" s="26" t="s">
        <v>704</v>
      </c>
      <c r="H6450" s="26" t="s">
        <v>6565</v>
      </c>
      <c r="I6450" s="26" t="s">
        <v>892</v>
      </c>
      <c r="J6450" s="25" t="str">
        <f t="shared" si="67"/>
        <v>Yes - see Previous F-Code</v>
      </c>
      <c r="K6450" s="25" t="str">
        <f t="shared" si="68"/>
        <v/>
      </c>
      <c r="L6450" s="25" t="str">
        <f t="shared" si="69"/>
        <v>F72061</v>
      </c>
      <c r="M6450" s="25"/>
      <c r="O6450" s="25"/>
    </row>
    <row r="6451" ht="15.75" customHeight="1">
      <c r="A6451" s="25" t="str">
        <f>IFERROR(__xludf.DUMMYFUNCTION("IF(B6451="""","""",RIGHT(REGEXREPLACE(B6451&amp;"""",""[^0-9]"",""""),9))"),"720696946")</f>
        <v>720696946</v>
      </c>
      <c r="B6451" s="26" t="s">
        <v>6566</v>
      </c>
      <c r="C6451" s="28" t="s">
        <v>6567</v>
      </c>
      <c r="D6451" s="26" t="s">
        <v>64</v>
      </c>
      <c r="E6451" s="31">
        <v>46241.0</v>
      </c>
      <c r="F6451" s="26" t="s">
        <v>41</v>
      </c>
      <c r="I6451" s="26" t="s">
        <v>892</v>
      </c>
      <c r="J6451" s="25" t="str">
        <f t="shared" si="67"/>
        <v>No</v>
      </c>
      <c r="K6451" s="25" t="str">
        <f t="shared" si="68"/>
        <v/>
      </c>
      <c r="L6451" s="25" t="str">
        <f t="shared" si="69"/>
        <v/>
      </c>
      <c r="M6451" s="25"/>
      <c r="O6451" s="25"/>
    </row>
    <row r="6452" ht="15.75" customHeight="1">
      <c r="A6452" s="25" t="str">
        <f>IFERROR(__xludf.DUMMYFUNCTION("IF(B6452="""","""",RIGHT(REGEXREPLACE(B6452&amp;"""",""[^0-9]"",""""),9))"),"750126974")</f>
        <v>750126974</v>
      </c>
      <c r="B6452" s="110" t="s">
        <v>6568</v>
      </c>
      <c r="C6452" s="28" t="s">
        <v>6569</v>
      </c>
      <c r="D6452" s="26" t="s">
        <v>49</v>
      </c>
      <c r="E6452" s="31">
        <v>46241.0</v>
      </c>
      <c r="F6452" s="26" t="s">
        <v>41</v>
      </c>
      <c r="I6452" s="26" t="s">
        <v>892</v>
      </c>
      <c r="J6452" s="25" t="str">
        <f t="shared" si="67"/>
        <v>No</v>
      </c>
      <c r="K6452" s="25" t="str">
        <f t="shared" si="68"/>
        <v/>
      </c>
      <c r="L6452" s="25" t="str">
        <f t="shared" si="69"/>
        <v/>
      </c>
      <c r="M6452" s="25"/>
      <c r="O6452" s="25"/>
    </row>
    <row r="6453" ht="15.75" customHeight="1">
      <c r="A6453" s="25" t="str">
        <f>IFERROR(__xludf.DUMMYFUNCTION("IF(B6453="""","""",RIGHT(REGEXREPLACE(B6453&amp;"""",""[^0-9]"",""""),9))"),"775134023")</f>
        <v>775134023</v>
      </c>
      <c r="B6453" s="26" t="s">
        <v>6570</v>
      </c>
      <c r="C6453" s="28" t="s">
        <v>6571</v>
      </c>
      <c r="D6453" s="26" t="s">
        <v>82</v>
      </c>
      <c r="E6453" s="31">
        <v>46241.0</v>
      </c>
      <c r="F6453" s="26" t="s">
        <v>41</v>
      </c>
      <c r="I6453" s="26" t="s">
        <v>892</v>
      </c>
      <c r="J6453" s="25" t="str">
        <f t="shared" si="67"/>
        <v>No</v>
      </c>
      <c r="K6453" s="25" t="str">
        <f t="shared" si="68"/>
        <v/>
      </c>
      <c r="L6453" s="25" t="str">
        <f t="shared" si="69"/>
        <v/>
      </c>
      <c r="M6453" s="25"/>
      <c r="O6453" s="25"/>
    </row>
    <row r="6454" ht="15.75" customHeight="1">
      <c r="A6454" s="25" t="str">
        <f>IFERROR(__xludf.DUMMYFUNCTION("IF(B6454="""","""",RIGHT(REGEXREPLACE(B6454&amp;"""",""[^0-9]"",""""),9))"),"766372126")</f>
        <v>766372126</v>
      </c>
      <c r="B6454" s="26" t="s">
        <v>6572</v>
      </c>
      <c r="C6454" s="28" t="s">
        <v>2093</v>
      </c>
      <c r="D6454" s="26" t="s">
        <v>56</v>
      </c>
      <c r="E6454" s="31">
        <v>46241.0</v>
      </c>
      <c r="F6454" s="26" t="s">
        <v>46</v>
      </c>
      <c r="G6454" s="26">
        <v>11.0</v>
      </c>
      <c r="H6454" s="26" t="s">
        <v>6451</v>
      </c>
      <c r="I6454" s="26" t="s">
        <v>892</v>
      </c>
      <c r="J6454" s="25" t="str">
        <f t="shared" si="67"/>
        <v>Yes - see Previous F-Code</v>
      </c>
      <c r="K6454" s="25" t="str">
        <f t="shared" si="68"/>
        <v/>
      </c>
      <c r="L6454" s="25" t="str">
        <f t="shared" si="69"/>
        <v>F71795</v>
      </c>
      <c r="M6454" s="25"/>
      <c r="O6454" s="25"/>
    </row>
    <row r="6455" ht="15.75" customHeight="1">
      <c r="A6455" s="25" t="str">
        <f>IFERROR(__xludf.DUMMYFUNCTION("IF(B6455="""","""",RIGHT(REGEXREPLACE(B6455&amp;"""",""[^0-9]"",""""),9))"),"770221298")</f>
        <v>770221298</v>
      </c>
      <c r="B6455" s="26" t="s">
        <v>6573</v>
      </c>
      <c r="C6455" s="28" t="s">
        <v>3631</v>
      </c>
      <c r="D6455" s="26" t="s">
        <v>56</v>
      </c>
      <c r="E6455" s="31">
        <v>46241.0</v>
      </c>
      <c r="F6455" s="26" t="s">
        <v>41</v>
      </c>
      <c r="I6455" s="26" t="s">
        <v>892</v>
      </c>
      <c r="J6455" s="25" t="str">
        <f t="shared" si="67"/>
        <v>Yes - see Previous F-Code</v>
      </c>
      <c r="K6455" s="25" t="str">
        <f t="shared" si="68"/>
        <v/>
      </c>
      <c r="L6455" s="25" t="str">
        <f t="shared" si="69"/>
        <v>F73287</v>
      </c>
      <c r="M6455" s="25"/>
      <c r="O6455" s="25"/>
    </row>
    <row r="6456" ht="15.75" customHeight="1">
      <c r="A6456" s="25" t="str">
        <f>IFERROR(__xludf.DUMMYFUNCTION("IF(B6456="""","""",RIGHT(REGEXREPLACE(B6456&amp;"""",""[^0-9]"",""""),9))"),"764674781")</f>
        <v>764674781</v>
      </c>
      <c r="B6456" s="26" t="s">
        <v>6574</v>
      </c>
      <c r="C6456" s="28" t="s">
        <v>6575</v>
      </c>
      <c r="D6456" s="26" t="s">
        <v>56</v>
      </c>
      <c r="E6456" s="31">
        <v>46241.0</v>
      </c>
      <c r="F6456" s="26" t="s">
        <v>46</v>
      </c>
      <c r="G6456" s="26">
        <v>10.0</v>
      </c>
      <c r="H6456" s="26" t="s">
        <v>6451</v>
      </c>
      <c r="I6456" s="26" t="s">
        <v>892</v>
      </c>
      <c r="J6456" s="25" t="str">
        <f t="shared" si="67"/>
        <v>No</v>
      </c>
      <c r="K6456" s="25" t="str">
        <f t="shared" si="68"/>
        <v/>
      </c>
      <c r="L6456" s="25" t="str">
        <f t="shared" si="69"/>
        <v/>
      </c>
      <c r="M6456" s="25"/>
      <c r="O6456" s="25"/>
    </row>
    <row r="6457" ht="15.75" customHeight="1">
      <c r="A6457" s="25" t="str">
        <f>IFERROR(__xludf.DUMMYFUNCTION("IF(B6457="""","""",RIGHT(REGEXREPLACE(B6457&amp;"""",""[^0-9]"",""""),9))"),"702062924")</f>
        <v>702062924</v>
      </c>
      <c r="B6457" s="26" t="s">
        <v>6576</v>
      </c>
      <c r="C6457" s="28" t="s">
        <v>6577</v>
      </c>
      <c r="D6457" s="26" t="s">
        <v>56</v>
      </c>
      <c r="E6457" s="31">
        <v>46241.0</v>
      </c>
      <c r="F6457" s="26" t="s">
        <v>41</v>
      </c>
      <c r="I6457" s="26" t="s">
        <v>892</v>
      </c>
      <c r="J6457" s="25" t="str">
        <f t="shared" si="67"/>
        <v>No</v>
      </c>
      <c r="K6457" s="25" t="str">
        <f t="shared" si="68"/>
        <v/>
      </c>
      <c r="L6457" s="25" t="str">
        <f t="shared" si="69"/>
        <v/>
      </c>
      <c r="M6457" s="25"/>
      <c r="O6457" s="25"/>
    </row>
    <row r="6458" ht="15.75" customHeight="1">
      <c r="A6458" s="25" t="str">
        <f>IFERROR(__xludf.DUMMYFUNCTION("IF(B6458="""","""",RIGHT(REGEXREPLACE(B6458&amp;"""",""[^0-9]"",""""),9))"),"764504190")</f>
        <v>764504190</v>
      </c>
      <c r="B6458" s="26" t="s">
        <v>6578</v>
      </c>
      <c r="C6458" s="28" t="s">
        <v>3930</v>
      </c>
      <c r="D6458" s="26" t="s">
        <v>56</v>
      </c>
      <c r="E6458" s="31">
        <v>46241.0</v>
      </c>
      <c r="F6458" s="26" t="s">
        <v>167</v>
      </c>
      <c r="H6458" s="26" t="s">
        <v>319</v>
      </c>
      <c r="I6458" s="26" t="s">
        <v>892</v>
      </c>
      <c r="J6458" s="25" t="str">
        <f t="shared" si="67"/>
        <v>Yes - see Previous F-Code</v>
      </c>
      <c r="K6458" s="25" t="str">
        <f t="shared" si="68"/>
        <v/>
      </c>
      <c r="L6458" s="25" t="str">
        <f t="shared" si="69"/>
        <v>F73577</v>
      </c>
      <c r="M6458" s="25"/>
      <c r="O6458" s="26" t="s">
        <v>51</v>
      </c>
    </row>
    <row r="6459" ht="15.75" customHeight="1">
      <c r="A6459" s="25" t="str">
        <f>IFERROR(__xludf.DUMMYFUNCTION("IF(B6459="""","""",RIGHT(REGEXREPLACE(B6459&amp;"""",""[^0-9]"",""""),9))"),"703500309")</f>
        <v>703500309</v>
      </c>
      <c r="B6459" s="26" t="s">
        <v>6579</v>
      </c>
      <c r="C6459" s="28" t="s">
        <v>6580</v>
      </c>
      <c r="D6459" s="26" t="s">
        <v>56</v>
      </c>
      <c r="E6459" s="31">
        <v>46241.0</v>
      </c>
      <c r="F6459" s="26" t="s">
        <v>41</v>
      </c>
      <c r="I6459" s="26" t="s">
        <v>892</v>
      </c>
      <c r="J6459" s="25" t="str">
        <f t="shared" si="67"/>
        <v>No</v>
      </c>
      <c r="K6459" s="25" t="str">
        <f t="shared" si="68"/>
        <v/>
      </c>
      <c r="L6459" s="25" t="str">
        <f t="shared" si="69"/>
        <v/>
      </c>
      <c r="M6459" s="25"/>
      <c r="O6459" s="25"/>
    </row>
    <row r="6460" ht="15.75" customHeight="1">
      <c r="A6460" s="25" t="str">
        <f>IFERROR(__xludf.DUMMYFUNCTION("IF(B6460="""","""",RIGHT(REGEXREPLACE(B6460&amp;"""",""[^0-9]"",""""),9))"),"719782889")</f>
        <v>719782889</v>
      </c>
      <c r="B6460" s="26" t="s">
        <v>6581</v>
      </c>
      <c r="C6460" s="28" t="s">
        <v>6582</v>
      </c>
      <c r="D6460" s="26" t="s">
        <v>56</v>
      </c>
      <c r="E6460" s="31">
        <v>46241.0</v>
      </c>
      <c r="F6460" s="26" t="s">
        <v>125</v>
      </c>
      <c r="H6460" s="26" t="s">
        <v>6583</v>
      </c>
      <c r="I6460" s="26" t="s">
        <v>892</v>
      </c>
      <c r="J6460" s="25" t="str">
        <f t="shared" si="67"/>
        <v>No</v>
      </c>
      <c r="K6460" s="25" t="str">
        <f t="shared" si="68"/>
        <v/>
      </c>
      <c r="L6460" s="25" t="str">
        <f t="shared" si="69"/>
        <v/>
      </c>
      <c r="M6460" s="25"/>
      <c r="O6460" s="25"/>
    </row>
    <row r="6461" ht="15.75" customHeight="1">
      <c r="A6461" s="25" t="str">
        <f>IFERROR(__xludf.DUMMYFUNCTION("IF(B6461="""","""",RIGHT(REGEXREPLACE(B6461&amp;"""",""[^0-9]"",""""),9))"),"717162674")</f>
        <v>717162674</v>
      </c>
      <c r="B6461" s="26" t="s">
        <v>6584</v>
      </c>
      <c r="C6461" s="28" t="s">
        <v>2824</v>
      </c>
      <c r="D6461" s="26" t="s">
        <v>56</v>
      </c>
      <c r="E6461" s="31">
        <v>46241.0</v>
      </c>
      <c r="F6461" s="26" t="s">
        <v>46</v>
      </c>
      <c r="G6461" s="26">
        <v>11.0</v>
      </c>
      <c r="H6461" s="26" t="s">
        <v>6451</v>
      </c>
      <c r="I6461" s="26" t="s">
        <v>892</v>
      </c>
      <c r="J6461" s="25" t="str">
        <f t="shared" si="67"/>
        <v>Yes - see Previous F-Code</v>
      </c>
      <c r="K6461" s="25" t="str">
        <f t="shared" si="68"/>
        <v/>
      </c>
      <c r="L6461" s="25" t="str">
        <f t="shared" si="69"/>
        <v>F72522</v>
      </c>
      <c r="M6461" s="25"/>
      <c r="O6461" s="25"/>
    </row>
    <row r="6462" ht="15.75" customHeight="1">
      <c r="A6462" s="25" t="str">
        <f>IFERROR(__xludf.DUMMYFUNCTION("IF(B6462="""","""",RIGHT(REGEXREPLACE(B6462&amp;"""",""[^0-9]"",""""),9))"),"775419510")</f>
        <v>775419510</v>
      </c>
      <c r="B6462" s="26" t="s">
        <v>6585</v>
      </c>
      <c r="C6462" s="28" t="s">
        <v>6586</v>
      </c>
      <c r="D6462" s="26" t="s">
        <v>56</v>
      </c>
      <c r="E6462" s="31">
        <v>46241.0</v>
      </c>
      <c r="F6462" s="26" t="s">
        <v>46</v>
      </c>
      <c r="G6462" s="26">
        <v>11.0</v>
      </c>
      <c r="H6462" s="26" t="s">
        <v>6451</v>
      </c>
      <c r="I6462" s="26" t="s">
        <v>892</v>
      </c>
      <c r="J6462" s="25" t="str">
        <f t="shared" si="67"/>
        <v>No</v>
      </c>
      <c r="K6462" s="25" t="str">
        <f t="shared" si="68"/>
        <v/>
      </c>
      <c r="L6462" s="25" t="str">
        <f t="shared" si="69"/>
        <v/>
      </c>
      <c r="M6462" s="25"/>
      <c r="O6462" s="25"/>
    </row>
    <row r="6463" ht="15.75" customHeight="1">
      <c r="A6463" s="25" t="str">
        <f>IFERROR(__xludf.DUMMYFUNCTION("IF(B6463="""","""",RIGHT(REGEXREPLACE(B6463&amp;"""",""[^0-9]"",""""),9))"),"715540471")</f>
        <v>715540471</v>
      </c>
      <c r="B6463" s="26" t="s">
        <v>6587</v>
      </c>
      <c r="C6463" s="28" t="s">
        <v>2258</v>
      </c>
      <c r="D6463" s="26" t="s">
        <v>56</v>
      </c>
      <c r="E6463" s="31">
        <v>46241.0</v>
      </c>
      <c r="F6463" s="26" t="s">
        <v>46</v>
      </c>
      <c r="G6463" s="26">
        <v>11.0</v>
      </c>
      <c r="H6463" s="26" t="s">
        <v>6451</v>
      </c>
      <c r="I6463" s="26" t="s">
        <v>892</v>
      </c>
      <c r="J6463" s="25" t="str">
        <f t="shared" si="67"/>
        <v>Yes - see Previous F-Code</v>
      </c>
      <c r="K6463" s="25" t="str">
        <f t="shared" si="68"/>
        <v/>
      </c>
      <c r="L6463" s="25" t="str">
        <f t="shared" si="69"/>
        <v>F71955</v>
      </c>
      <c r="M6463" s="25"/>
      <c r="O6463" s="25"/>
    </row>
    <row r="6464" ht="15.75" customHeight="1">
      <c r="A6464" s="25" t="str">
        <f>IFERROR(__xludf.DUMMYFUNCTION("IF(B6464="""","""",RIGHT(REGEXREPLACE(B6464&amp;"""",""[^0-9]"",""""),9))"),"743316901")</f>
        <v>743316901</v>
      </c>
      <c r="B6464" s="26" t="s">
        <v>6588</v>
      </c>
      <c r="C6464" s="28" t="s">
        <v>6589</v>
      </c>
      <c r="D6464" s="26" t="s">
        <v>56</v>
      </c>
      <c r="E6464" s="31">
        <v>46241.0</v>
      </c>
      <c r="F6464" s="26" t="s">
        <v>41</v>
      </c>
      <c r="I6464" s="26" t="s">
        <v>892</v>
      </c>
      <c r="J6464" s="25" t="str">
        <f t="shared" si="67"/>
        <v>No</v>
      </c>
      <c r="K6464" s="25" t="str">
        <f t="shared" si="68"/>
        <v/>
      </c>
      <c r="L6464" s="25" t="str">
        <f t="shared" si="69"/>
        <v/>
      </c>
      <c r="M6464" s="25"/>
      <c r="O6464" s="25"/>
    </row>
    <row r="6465" ht="15.75" customHeight="1">
      <c r="A6465" s="25" t="str">
        <f>IFERROR(__xludf.DUMMYFUNCTION("IF(B6465="""","""",RIGHT(REGEXREPLACE(B6465&amp;"""",""[^0-9]"",""""),9))"),"774312009")</f>
        <v>774312009</v>
      </c>
      <c r="B6465" s="26" t="s">
        <v>6590</v>
      </c>
      <c r="C6465" s="28" t="s">
        <v>6591</v>
      </c>
      <c r="D6465" s="26" t="s">
        <v>56</v>
      </c>
      <c r="E6465" s="31">
        <v>46241.0</v>
      </c>
      <c r="F6465" s="26" t="s">
        <v>41</v>
      </c>
      <c r="I6465" s="26" t="s">
        <v>892</v>
      </c>
      <c r="J6465" s="25" t="str">
        <f t="shared" si="67"/>
        <v>No</v>
      </c>
      <c r="K6465" s="25" t="str">
        <f t="shared" si="68"/>
        <v/>
      </c>
      <c r="L6465" s="25" t="str">
        <f t="shared" si="69"/>
        <v/>
      </c>
      <c r="M6465" s="25"/>
      <c r="O6465" s="25"/>
    </row>
    <row r="6466" ht="15.75" customHeight="1">
      <c r="A6466" s="25" t="str">
        <f>IFERROR(__xludf.DUMMYFUNCTION("IF(B6466="""","""",RIGHT(REGEXREPLACE(B6466&amp;"""",""[^0-9]"",""""),9))"),"715411739")</f>
        <v>715411739</v>
      </c>
      <c r="B6466" s="26" t="s">
        <v>6592</v>
      </c>
      <c r="C6466" s="28" t="s">
        <v>6593</v>
      </c>
      <c r="D6466" s="26" t="s">
        <v>56</v>
      </c>
      <c r="E6466" s="31">
        <v>46241.0</v>
      </c>
      <c r="F6466" s="26" t="s">
        <v>46</v>
      </c>
      <c r="H6466" s="26" t="s">
        <v>140</v>
      </c>
      <c r="I6466" s="26" t="s">
        <v>892</v>
      </c>
      <c r="J6466" s="25" t="str">
        <f t="shared" si="67"/>
        <v>No</v>
      </c>
      <c r="K6466" s="25" t="str">
        <f t="shared" si="68"/>
        <v/>
      </c>
      <c r="L6466" s="25" t="str">
        <f t="shared" si="69"/>
        <v/>
      </c>
      <c r="M6466" s="25"/>
      <c r="O6466" s="25"/>
    </row>
    <row r="6467" ht="15.75" customHeight="1">
      <c r="A6467" s="25" t="str">
        <f>IFERROR(__xludf.DUMMYFUNCTION("IF(B6467="""","""",RIGHT(REGEXREPLACE(B6467&amp;"""",""[^0-9]"",""""),9))"),"779165036")</f>
        <v>779165036</v>
      </c>
      <c r="B6467" s="26" t="s">
        <v>6594</v>
      </c>
      <c r="C6467" s="28" t="s">
        <v>6595</v>
      </c>
      <c r="D6467" s="26" t="s">
        <v>56</v>
      </c>
      <c r="E6467" s="31">
        <v>46241.0</v>
      </c>
      <c r="F6467" s="26" t="s">
        <v>46</v>
      </c>
      <c r="G6467" s="26" t="s">
        <v>1105</v>
      </c>
      <c r="H6467" s="26" t="s">
        <v>6451</v>
      </c>
      <c r="I6467" s="26" t="s">
        <v>892</v>
      </c>
      <c r="J6467" s="25" t="str">
        <f t="shared" si="67"/>
        <v>No</v>
      </c>
      <c r="K6467" s="25" t="str">
        <f t="shared" si="68"/>
        <v/>
      </c>
      <c r="L6467" s="25" t="str">
        <f t="shared" si="69"/>
        <v/>
      </c>
      <c r="M6467" s="25"/>
      <c r="O6467" s="25"/>
    </row>
    <row r="6468" ht="15.75" customHeight="1">
      <c r="A6468" s="25" t="str">
        <f>IFERROR(__xludf.DUMMYFUNCTION("IF(B6468="""","""",RIGHT(REGEXREPLACE(B6468&amp;"""",""[^0-9]"",""""),9))"),"719238695")</f>
        <v>719238695</v>
      </c>
      <c r="B6468" s="26" t="s">
        <v>6596</v>
      </c>
      <c r="C6468" s="28" t="s">
        <v>5484</v>
      </c>
      <c r="D6468" s="26" t="s">
        <v>56</v>
      </c>
      <c r="E6468" s="31">
        <v>46241.0</v>
      </c>
      <c r="F6468" s="26" t="s">
        <v>46</v>
      </c>
      <c r="G6468" s="26">
        <v>11.0</v>
      </c>
      <c r="H6468" s="26" t="s">
        <v>6451</v>
      </c>
      <c r="I6468" s="26" t="s">
        <v>892</v>
      </c>
      <c r="J6468" s="25" t="str">
        <f t="shared" si="67"/>
        <v>Yes - see Previous F-Code</v>
      </c>
      <c r="K6468" s="25" t="str">
        <f t="shared" si="68"/>
        <v/>
      </c>
      <c r="L6468" s="25" t="str">
        <f t="shared" si="69"/>
        <v>F74972</v>
      </c>
      <c r="M6468" s="25"/>
      <c r="O6468" s="25"/>
    </row>
    <row r="6469" ht="15.75" customHeight="1">
      <c r="A6469" s="25" t="str">
        <f>IFERROR(__xludf.DUMMYFUNCTION("IF(B6469="""","""",RIGHT(REGEXREPLACE(B6469&amp;"""",""[^0-9]"",""""),9))"),"766469675")</f>
        <v>766469675</v>
      </c>
      <c r="B6469" s="26" t="s">
        <v>6597</v>
      </c>
      <c r="C6469" s="28" t="s">
        <v>6598</v>
      </c>
      <c r="D6469" s="26" t="s">
        <v>56</v>
      </c>
      <c r="E6469" s="31">
        <v>46241.0</v>
      </c>
      <c r="F6469" s="26" t="s">
        <v>41</v>
      </c>
      <c r="I6469" s="26" t="s">
        <v>892</v>
      </c>
      <c r="J6469" s="25" t="str">
        <f t="shared" si="67"/>
        <v>No</v>
      </c>
      <c r="K6469" s="25" t="str">
        <f t="shared" si="68"/>
        <v/>
      </c>
      <c r="L6469" s="25" t="str">
        <f t="shared" si="69"/>
        <v/>
      </c>
      <c r="M6469" s="25"/>
      <c r="O6469" s="25"/>
    </row>
    <row r="6470" ht="15.75" customHeight="1">
      <c r="A6470" s="25" t="str">
        <f>IFERROR(__xludf.DUMMYFUNCTION("IF(B6470="""","""",RIGHT(REGEXREPLACE(B6470&amp;"""",""[^0-9]"",""""),9))"),"721048709")</f>
        <v>721048709</v>
      </c>
      <c r="B6470" s="26" t="s">
        <v>6599</v>
      </c>
      <c r="C6470" s="28" t="s">
        <v>6600</v>
      </c>
      <c r="D6470" s="26" t="s">
        <v>56</v>
      </c>
      <c r="E6470" s="31">
        <v>46241.0</v>
      </c>
      <c r="F6470" s="26" t="s">
        <v>41</v>
      </c>
      <c r="I6470" s="26" t="s">
        <v>892</v>
      </c>
      <c r="J6470" s="25" t="str">
        <f t="shared" si="67"/>
        <v>No</v>
      </c>
      <c r="K6470" s="25" t="str">
        <f t="shared" si="68"/>
        <v/>
      </c>
      <c r="L6470" s="25" t="str">
        <f t="shared" si="69"/>
        <v/>
      </c>
      <c r="M6470" s="25"/>
      <c r="O6470" s="25"/>
    </row>
    <row r="6471" ht="15.75" customHeight="1">
      <c r="A6471" s="25" t="str">
        <f>IFERROR(__xludf.DUMMYFUNCTION("IF(B6471="""","""",RIGHT(REGEXREPLACE(B6471&amp;"""",""[^0-9]"",""""),9))"),"766810706")</f>
        <v>766810706</v>
      </c>
      <c r="B6471" s="26" t="s">
        <v>6601</v>
      </c>
      <c r="C6471" s="28" t="s">
        <v>6602</v>
      </c>
      <c r="D6471" s="26" t="s">
        <v>56</v>
      </c>
      <c r="E6471" s="31">
        <v>46252.0</v>
      </c>
      <c r="F6471" s="26" t="s">
        <v>46</v>
      </c>
      <c r="G6471" s="26" t="s">
        <v>151</v>
      </c>
      <c r="H6471" s="26" t="s">
        <v>6451</v>
      </c>
      <c r="I6471" s="26" t="s">
        <v>892</v>
      </c>
      <c r="J6471" s="25" t="str">
        <f t="shared" si="67"/>
        <v>No</v>
      </c>
      <c r="K6471" s="25" t="str">
        <f t="shared" si="68"/>
        <v/>
      </c>
      <c r="L6471" s="25" t="str">
        <f t="shared" si="69"/>
        <v/>
      </c>
      <c r="M6471" s="25"/>
      <c r="O6471" s="25"/>
    </row>
    <row r="6472" ht="15.75" customHeight="1">
      <c r="A6472" s="25" t="str">
        <f>IFERROR(__xludf.DUMMYFUNCTION("IF(B6472="""","""",RIGHT(REGEXREPLACE(B6472&amp;"""",""[^0-9]"",""""),9))"),"779570100")</f>
        <v>779570100</v>
      </c>
      <c r="B6472" s="26" t="s">
        <v>6603</v>
      </c>
      <c r="C6472" s="28" t="s">
        <v>4104</v>
      </c>
      <c r="D6472" s="26" t="s">
        <v>56</v>
      </c>
      <c r="E6472" s="31">
        <v>46241.0</v>
      </c>
      <c r="F6472" s="26" t="s">
        <v>164</v>
      </c>
      <c r="I6472" s="26" t="s">
        <v>892</v>
      </c>
      <c r="J6472" s="25" t="str">
        <f t="shared" si="67"/>
        <v>Yes - see Previous F-Code</v>
      </c>
      <c r="K6472" s="25" t="str">
        <f t="shared" si="68"/>
        <v/>
      </c>
      <c r="L6472" s="25" t="str">
        <f t="shared" si="69"/>
        <v>F73745</v>
      </c>
      <c r="M6472" s="25"/>
      <c r="O6472" s="25"/>
    </row>
    <row r="6473" ht="15.75" customHeight="1">
      <c r="A6473" s="25" t="str">
        <f>IFERROR(__xludf.DUMMYFUNCTION("IF(B6473="""","""",RIGHT(REGEXREPLACE(B6473&amp;"""",""[^0-9]"",""""),9))"),"713714272")</f>
        <v>713714272</v>
      </c>
      <c r="B6473" s="26" t="s">
        <v>6604</v>
      </c>
      <c r="C6473" s="28" t="s">
        <v>6605</v>
      </c>
      <c r="D6473" s="26" t="s">
        <v>56</v>
      </c>
      <c r="E6473" s="31">
        <v>46241.0</v>
      </c>
      <c r="F6473" s="26" t="s">
        <v>167</v>
      </c>
      <c r="H6473" s="26" t="s">
        <v>319</v>
      </c>
      <c r="I6473" s="26" t="s">
        <v>892</v>
      </c>
      <c r="J6473" s="25" t="str">
        <f t="shared" si="67"/>
        <v>No</v>
      </c>
      <c r="K6473" s="25" t="str">
        <f t="shared" si="68"/>
        <v/>
      </c>
      <c r="L6473" s="25" t="str">
        <f t="shared" si="69"/>
        <v/>
      </c>
      <c r="M6473" s="25"/>
      <c r="O6473" s="25"/>
    </row>
    <row r="6474" ht="15.75" customHeight="1">
      <c r="A6474" s="25" t="str">
        <f>IFERROR(__xludf.DUMMYFUNCTION("IF(B6474="""","""",RIGHT(REGEXREPLACE(B6474&amp;"""",""[^0-9]"",""""),9))"),"715240660")</f>
        <v>715240660</v>
      </c>
      <c r="B6474" s="26" t="s">
        <v>6606</v>
      </c>
      <c r="C6474" s="28" t="s">
        <v>3776</v>
      </c>
      <c r="D6474" s="26" t="s">
        <v>56</v>
      </c>
      <c r="E6474" s="31">
        <v>46241.0</v>
      </c>
      <c r="F6474" s="26" t="s">
        <v>46</v>
      </c>
      <c r="H6474" s="26" t="s">
        <v>5221</v>
      </c>
      <c r="I6474" s="26" t="s">
        <v>892</v>
      </c>
      <c r="J6474" s="25" t="str">
        <f t="shared" si="67"/>
        <v>Yes - see Previous F-Code</v>
      </c>
      <c r="K6474" s="25" t="str">
        <f t="shared" si="68"/>
        <v/>
      </c>
      <c r="L6474" s="25" t="str">
        <f t="shared" si="69"/>
        <v>F73428</v>
      </c>
      <c r="M6474" s="25"/>
      <c r="O6474" s="25"/>
    </row>
    <row r="6475" ht="15.75" customHeight="1">
      <c r="A6475" s="25" t="str">
        <f>IFERROR(__xludf.DUMMYFUNCTION("IF(B6475="""","""",RIGHT(REGEXREPLACE(B6475&amp;"""",""[^0-9]"",""""),9))"),"719167156")</f>
        <v>719167156</v>
      </c>
      <c r="B6475" s="26" t="s">
        <v>6607</v>
      </c>
      <c r="C6475" s="28" t="s">
        <v>6608</v>
      </c>
      <c r="D6475" s="26" t="s">
        <v>56</v>
      </c>
      <c r="E6475" s="31">
        <v>46241.0</v>
      </c>
      <c r="F6475" s="26" t="s">
        <v>46</v>
      </c>
      <c r="G6475" s="26">
        <v>7.0</v>
      </c>
      <c r="H6475" s="26" t="s">
        <v>6451</v>
      </c>
      <c r="I6475" s="26" t="s">
        <v>892</v>
      </c>
      <c r="J6475" s="25" t="str">
        <f t="shared" si="67"/>
        <v>No</v>
      </c>
      <c r="K6475" s="25" t="str">
        <f t="shared" si="68"/>
        <v/>
      </c>
      <c r="L6475" s="25" t="str">
        <f t="shared" si="69"/>
        <v/>
      </c>
      <c r="M6475" s="25"/>
      <c r="O6475" s="25"/>
    </row>
    <row r="6476" ht="15.75" customHeight="1">
      <c r="A6476" s="25" t="str">
        <f>IFERROR(__xludf.DUMMYFUNCTION("IF(B6476="""","""",RIGHT(REGEXREPLACE(B6476&amp;"""",""[^0-9]"",""""),9))"),"729421712")</f>
        <v>729421712</v>
      </c>
      <c r="B6476" s="26" t="s">
        <v>6609</v>
      </c>
      <c r="C6476" s="28" t="s">
        <v>6610</v>
      </c>
      <c r="D6476" s="26" t="s">
        <v>56</v>
      </c>
      <c r="E6476" s="31">
        <v>46241.0</v>
      </c>
      <c r="F6476" s="26" t="s">
        <v>164</v>
      </c>
      <c r="I6476" s="26" t="s">
        <v>892</v>
      </c>
      <c r="J6476" s="25" t="str">
        <f t="shared" si="67"/>
        <v>No</v>
      </c>
      <c r="K6476" s="25" t="str">
        <f t="shared" si="68"/>
        <v/>
      </c>
      <c r="L6476" s="25" t="str">
        <f t="shared" si="69"/>
        <v/>
      </c>
      <c r="M6476" s="25"/>
      <c r="O6476" s="25"/>
    </row>
    <row r="6477" ht="15.75" customHeight="1">
      <c r="A6477" s="25" t="str">
        <f>IFERROR(__xludf.DUMMYFUNCTION("IF(B6477="""","""",RIGHT(REGEXREPLACE(B6477&amp;"""",""[^0-9]"",""""),9))"),"743100428")</f>
        <v>743100428</v>
      </c>
      <c r="B6477" s="26" t="s">
        <v>6611</v>
      </c>
      <c r="C6477" s="28" t="s">
        <v>6612</v>
      </c>
      <c r="D6477" s="26" t="s">
        <v>56</v>
      </c>
      <c r="E6477" s="31">
        <v>46241.0</v>
      </c>
      <c r="F6477" s="26" t="s">
        <v>659</v>
      </c>
      <c r="I6477" s="26" t="s">
        <v>892</v>
      </c>
      <c r="J6477" s="25" t="str">
        <f t="shared" si="67"/>
        <v>No</v>
      </c>
      <c r="K6477" s="25" t="str">
        <f t="shared" si="68"/>
        <v/>
      </c>
      <c r="L6477" s="25" t="str">
        <f t="shared" si="69"/>
        <v/>
      </c>
      <c r="M6477" s="25"/>
      <c r="O6477" s="25"/>
    </row>
    <row r="6478" ht="15.75" customHeight="1">
      <c r="A6478" s="25" t="str">
        <f>IFERROR(__xludf.DUMMYFUNCTION("IF(B6478="""","""",RIGHT(REGEXREPLACE(B6478&amp;"""",""[^0-9]"",""""),9))"),"711753266")</f>
        <v>711753266</v>
      </c>
      <c r="B6478" s="26" t="s">
        <v>6613</v>
      </c>
      <c r="C6478" s="28" t="s">
        <v>6614</v>
      </c>
      <c r="D6478" s="26" t="s">
        <v>56</v>
      </c>
      <c r="E6478" s="31">
        <v>46241.0</v>
      </c>
      <c r="F6478" s="26" t="s">
        <v>41</v>
      </c>
      <c r="I6478" s="26" t="s">
        <v>892</v>
      </c>
      <c r="J6478" s="25" t="str">
        <f t="shared" si="67"/>
        <v>No</v>
      </c>
      <c r="K6478" s="25" t="str">
        <f t="shared" si="68"/>
        <v/>
      </c>
      <c r="L6478" s="25" t="str">
        <f t="shared" si="69"/>
        <v/>
      </c>
      <c r="M6478" s="25"/>
      <c r="O6478" s="25"/>
    </row>
    <row r="6479" ht="15.75" customHeight="1">
      <c r="A6479" s="25" t="str">
        <f>IFERROR(__xludf.DUMMYFUNCTION("IF(B6479="""","""",RIGHT(REGEXREPLACE(B6479&amp;"""",""[^0-9]"",""""),9))"),"761217564")</f>
        <v>761217564</v>
      </c>
      <c r="B6479" s="26" t="s">
        <v>6615</v>
      </c>
      <c r="C6479" s="28" t="s">
        <v>1499</v>
      </c>
      <c r="D6479" s="26" t="s">
        <v>64</v>
      </c>
      <c r="E6479" s="31">
        <v>46241.0</v>
      </c>
      <c r="F6479" s="26" t="s">
        <v>205</v>
      </c>
      <c r="I6479" s="26" t="s">
        <v>892</v>
      </c>
      <c r="J6479" s="25" t="str">
        <f t="shared" si="67"/>
        <v>Yes - see Previous F-Code</v>
      </c>
      <c r="K6479" s="25" t="str">
        <f t="shared" si="68"/>
        <v/>
      </c>
      <c r="L6479" s="25" t="str">
        <f t="shared" si="69"/>
        <v>F71224</v>
      </c>
      <c r="M6479" s="25"/>
      <c r="O6479" s="25"/>
    </row>
    <row r="6480" ht="15.75" customHeight="1">
      <c r="A6480" s="25" t="str">
        <f>IFERROR(__xludf.DUMMYFUNCTION("IF(B6480="""","""",RIGHT(REGEXREPLACE(B6480&amp;"""",""[^0-9]"",""""),9))"),"766044973")</f>
        <v>766044973</v>
      </c>
      <c r="B6480" s="26" t="s">
        <v>6616</v>
      </c>
      <c r="C6480" s="28" t="s">
        <v>6617</v>
      </c>
      <c r="D6480" s="26" t="s">
        <v>64</v>
      </c>
      <c r="E6480" s="31">
        <v>46241.0</v>
      </c>
      <c r="F6480" s="26" t="s">
        <v>46</v>
      </c>
      <c r="G6480" s="26">
        <v>10.0</v>
      </c>
      <c r="H6480" s="26" t="s">
        <v>6618</v>
      </c>
      <c r="I6480" s="26" t="s">
        <v>892</v>
      </c>
      <c r="J6480" s="25" t="str">
        <f t="shared" si="67"/>
        <v>No</v>
      </c>
      <c r="K6480" s="25" t="str">
        <f t="shared" si="68"/>
        <v/>
      </c>
      <c r="L6480" s="25" t="str">
        <f t="shared" si="69"/>
        <v/>
      </c>
      <c r="M6480" s="25"/>
      <c r="O6480" s="25"/>
    </row>
    <row r="6481" ht="15.75" customHeight="1">
      <c r="A6481" s="25" t="str">
        <f>IFERROR(__xludf.DUMMYFUNCTION("IF(B6481="""","""",RIGHT(REGEXREPLACE(B6481&amp;"""",""[^0-9]"",""""),9))"),"715476821")</f>
        <v>715476821</v>
      </c>
      <c r="B6481" s="26" t="s">
        <v>6619</v>
      </c>
      <c r="C6481" s="28" t="s">
        <v>3911</v>
      </c>
      <c r="D6481" s="26" t="s">
        <v>64</v>
      </c>
      <c r="E6481" s="31">
        <v>46241.0</v>
      </c>
      <c r="F6481" s="26" t="s">
        <v>46</v>
      </c>
      <c r="H6481" s="26" t="s">
        <v>6620</v>
      </c>
      <c r="I6481" s="26" t="s">
        <v>892</v>
      </c>
      <c r="J6481" s="25" t="str">
        <f t="shared" si="67"/>
        <v>Yes - see Previous F-Code</v>
      </c>
      <c r="K6481" s="25" t="str">
        <f t="shared" si="68"/>
        <v/>
      </c>
      <c r="L6481" s="25" t="str">
        <f t="shared" si="69"/>
        <v>F73558</v>
      </c>
      <c r="M6481" s="25"/>
      <c r="O6481" s="26" t="s">
        <v>51</v>
      </c>
    </row>
    <row r="6482" ht="15.75" customHeight="1">
      <c r="A6482" s="25" t="str">
        <f>IFERROR(__xludf.DUMMYFUNCTION("IF(B6482="""","""",RIGHT(REGEXREPLACE(B6482&amp;"""",""[^0-9]"",""""),9))"),"755209085")</f>
        <v>755209085</v>
      </c>
      <c r="B6482" s="26" t="s">
        <v>6621</v>
      </c>
      <c r="C6482" s="28" t="s">
        <v>3903</v>
      </c>
      <c r="D6482" s="26" t="s">
        <v>56</v>
      </c>
      <c r="E6482" s="31">
        <v>46241.0</v>
      </c>
      <c r="F6482" s="26" t="s">
        <v>167</v>
      </c>
      <c r="H6482" s="26" t="s">
        <v>319</v>
      </c>
      <c r="I6482" s="26" t="s">
        <v>892</v>
      </c>
      <c r="J6482" s="25" t="str">
        <f t="shared" si="67"/>
        <v>Yes - see Previous F-Code</v>
      </c>
      <c r="K6482" s="25" t="str">
        <f t="shared" si="68"/>
        <v/>
      </c>
      <c r="L6482" s="25" t="str">
        <f t="shared" si="69"/>
        <v>F73552</v>
      </c>
      <c r="M6482" s="25"/>
      <c r="O6482" s="25"/>
    </row>
    <row r="6483" ht="15.75" customHeight="1">
      <c r="A6483" s="25" t="str">
        <f>IFERROR(__xludf.DUMMYFUNCTION("IF(B6483="""","""",RIGHT(REGEXREPLACE(B6483&amp;"""",""[^0-9]"",""""),9))"),"766827261")</f>
        <v>766827261</v>
      </c>
      <c r="B6483" s="26" t="s">
        <v>6622</v>
      </c>
      <c r="C6483" s="28" t="s">
        <v>4135</v>
      </c>
      <c r="D6483" s="26" t="s">
        <v>56</v>
      </c>
      <c r="E6483" s="31">
        <v>46241.0</v>
      </c>
      <c r="F6483" s="26" t="s">
        <v>46</v>
      </c>
      <c r="H6483" s="26" t="s">
        <v>6623</v>
      </c>
      <c r="I6483" s="26" t="s">
        <v>892</v>
      </c>
      <c r="J6483" s="25" t="str">
        <f t="shared" si="67"/>
        <v>Yes - see Previous F-Code</v>
      </c>
      <c r="K6483" s="25" t="str">
        <f t="shared" si="68"/>
        <v/>
      </c>
      <c r="L6483" s="25" t="str">
        <f t="shared" si="69"/>
        <v>F73773</v>
      </c>
      <c r="M6483" s="25"/>
      <c r="O6483" s="25"/>
    </row>
    <row r="6484" ht="15.75" customHeight="1">
      <c r="A6484" s="25" t="str">
        <f>IFERROR(__xludf.DUMMYFUNCTION("IF(B6484="""","""",RIGHT(REGEXREPLACE(B6484&amp;"""",""[^0-9]"",""""),9))"),"705799989")</f>
        <v>705799989</v>
      </c>
      <c r="B6484" s="26" t="s">
        <v>6624</v>
      </c>
      <c r="C6484" s="28" t="s">
        <v>2354</v>
      </c>
      <c r="D6484" s="26" t="s">
        <v>64</v>
      </c>
      <c r="E6484" s="31">
        <v>46241.0</v>
      </c>
      <c r="F6484" s="26" t="s">
        <v>46</v>
      </c>
      <c r="H6484" s="26" t="s">
        <v>319</v>
      </c>
      <c r="I6484" s="26" t="s">
        <v>892</v>
      </c>
      <c r="J6484" s="25" t="str">
        <f t="shared" si="67"/>
        <v>Yes - see Previous F-Code</v>
      </c>
      <c r="K6484" s="25" t="str">
        <f t="shared" si="68"/>
        <v/>
      </c>
      <c r="L6484" s="25" t="str">
        <f t="shared" si="69"/>
        <v>F72050</v>
      </c>
      <c r="M6484" s="25"/>
      <c r="O6484" s="25"/>
    </row>
    <row r="6485" ht="15.75" customHeight="1">
      <c r="A6485" s="25" t="str">
        <f>IFERROR(__xludf.DUMMYFUNCTION("IF(B6485="""","""",RIGHT(REGEXREPLACE(B6485&amp;"""",""[^0-9]"",""""),9))"),"763403956")</f>
        <v>763403956</v>
      </c>
      <c r="B6485" s="26" t="s">
        <v>6625</v>
      </c>
      <c r="C6485" s="28" t="s">
        <v>6626</v>
      </c>
      <c r="D6485" s="26" t="s">
        <v>64</v>
      </c>
      <c r="E6485" s="31">
        <v>46241.0</v>
      </c>
      <c r="F6485" s="26" t="s">
        <v>46</v>
      </c>
      <c r="G6485" s="26">
        <v>7.0</v>
      </c>
      <c r="H6485" s="26" t="s">
        <v>5896</v>
      </c>
      <c r="I6485" s="26" t="s">
        <v>892</v>
      </c>
      <c r="J6485" s="25" t="str">
        <f t="shared" si="67"/>
        <v>No</v>
      </c>
      <c r="K6485" s="25" t="str">
        <f t="shared" si="68"/>
        <v/>
      </c>
      <c r="L6485" s="25" t="str">
        <f t="shared" si="69"/>
        <v/>
      </c>
      <c r="M6485" s="25"/>
      <c r="O6485" s="26" t="s">
        <v>51</v>
      </c>
    </row>
    <row r="6486" ht="15.75" customHeight="1">
      <c r="A6486" s="25" t="str">
        <f>IFERROR(__xludf.DUMMYFUNCTION("IF(B6486="""","""",RIGHT(REGEXREPLACE(B6486&amp;"""",""[^0-9]"",""""),9))"),"771642745")</f>
        <v>771642745</v>
      </c>
      <c r="B6486" s="26" t="s">
        <v>6627</v>
      </c>
      <c r="C6486" s="28" t="s">
        <v>4709</v>
      </c>
      <c r="D6486" s="26" t="s">
        <v>56</v>
      </c>
      <c r="E6486" s="31">
        <v>46241.0</v>
      </c>
      <c r="F6486" s="26" t="s">
        <v>46</v>
      </c>
      <c r="G6486" s="26">
        <v>11.0</v>
      </c>
      <c r="H6486" s="26" t="s">
        <v>319</v>
      </c>
      <c r="I6486" s="26" t="s">
        <v>892</v>
      </c>
      <c r="J6486" s="25" t="str">
        <f t="shared" si="67"/>
        <v>Yes - see Previous F-Code</v>
      </c>
      <c r="K6486" s="25" t="str">
        <f t="shared" si="68"/>
        <v/>
      </c>
      <c r="L6486" s="25" t="str">
        <f t="shared" si="69"/>
        <v>F74297</v>
      </c>
      <c r="M6486" s="25"/>
      <c r="O6486" s="25"/>
    </row>
    <row r="6487" ht="15.75" customHeight="1">
      <c r="A6487" s="25" t="str">
        <f>IFERROR(__xludf.DUMMYFUNCTION("IF(B6487="""","""",RIGHT(REGEXREPLACE(B6487&amp;"""",""[^0-9]"",""""),9))"),"776601845")</f>
        <v>776601845</v>
      </c>
      <c r="B6487" s="26" t="s">
        <v>6628</v>
      </c>
      <c r="C6487" s="28" t="s">
        <v>6629</v>
      </c>
      <c r="D6487" s="26" t="s">
        <v>64</v>
      </c>
      <c r="E6487" s="31">
        <v>46241.0</v>
      </c>
      <c r="F6487" s="26" t="s">
        <v>41</v>
      </c>
      <c r="I6487" s="26" t="s">
        <v>892</v>
      </c>
      <c r="J6487" s="25" t="str">
        <f t="shared" si="67"/>
        <v>No</v>
      </c>
      <c r="K6487" s="25" t="str">
        <f t="shared" si="68"/>
        <v/>
      </c>
      <c r="L6487" s="25" t="str">
        <f t="shared" si="69"/>
        <v/>
      </c>
      <c r="M6487" s="25"/>
      <c r="O6487" s="25"/>
    </row>
    <row r="6488" ht="15.75" customHeight="1">
      <c r="A6488" s="25" t="str">
        <f>IFERROR(__xludf.DUMMYFUNCTION("IF(B6488="""","""",RIGHT(REGEXREPLACE(B6488&amp;"""",""[^0-9]"",""""),9))"),"724524228")</f>
        <v>724524228</v>
      </c>
      <c r="B6488" s="26" t="s">
        <v>6630</v>
      </c>
      <c r="C6488" s="28" t="s">
        <v>6631</v>
      </c>
      <c r="D6488" s="26" t="s">
        <v>56</v>
      </c>
      <c r="E6488" s="31">
        <v>46241.0</v>
      </c>
      <c r="F6488" s="26" t="s">
        <v>46</v>
      </c>
      <c r="G6488" s="26">
        <v>10.0</v>
      </c>
      <c r="H6488" s="26" t="s">
        <v>6451</v>
      </c>
      <c r="I6488" s="26" t="s">
        <v>892</v>
      </c>
      <c r="J6488" s="25" t="str">
        <f t="shared" si="67"/>
        <v>No</v>
      </c>
      <c r="K6488" s="25" t="str">
        <f t="shared" si="68"/>
        <v/>
      </c>
      <c r="L6488" s="25" t="str">
        <f t="shared" si="69"/>
        <v/>
      </c>
      <c r="M6488" s="25"/>
      <c r="O6488" s="25"/>
    </row>
    <row r="6489" ht="15.75" customHeight="1">
      <c r="A6489" s="25" t="str">
        <f>IFERROR(__xludf.DUMMYFUNCTION("IF(B6489="""","""",RIGHT(REGEXREPLACE(B6489&amp;"""",""[^0-9]"",""""),9))"),"768566758")</f>
        <v>768566758</v>
      </c>
      <c r="B6489" s="26" t="s">
        <v>6632</v>
      </c>
      <c r="C6489" s="28" t="s">
        <v>6633</v>
      </c>
      <c r="D6489" s="26" t="s">
        <v>64</v>
      </c>
      <c r="E6489" s="31">
        <v>46241.0</v>
      </c>
      <c r="F6489" s="26" t="s">
        <v>46</v>
      </c>
      <c r="H6489" s="26" t="s">
        <v>657</v>
      </c>
      <c r="I6489" s="26" t="s">
        <v>892</v>
      </c>
      <c r="J6489" s="25" t="str">
        <f t="shared" si="67"/>
        <v>No</v>
      </c>
      <c r="K6489" s="25" t="str">
        <f t="shared" si="68"/>
        <v/>
      </c>
      <c r="L6489" s="25" t="str">
        <f t="shared" si="69"/>
        <v/>
      </c>
      <c r="M6489" s="25"/>
      <c r="O6489" s="25"/>
    </row>
    <row r="6490" ht="15.75" customHeight="1">
      <c r="A6490" s="25" t="str">
        <f>IFERROR(__xludf.DUMMYFUNCTION("IF(B6490="""","""",RIGHT(REGEXREPLACE(B6490&amp;"""",""[^0-9]"",""""),9))"),"741961531")</f>
        <v>741961531</v>
      </c>
      <c r="B6490" s="26" t="s">
        <v>6634</v>
      </c>
      <c r="C6490" s="28" t="s">
        <v>6635</v>
      </c>
      <c r="D6490" s="26" t="s">
        <v>64</v>
      </c>
      <c r="E6490" s="31">
        <v>46241.0</v>
      </c>
      <c r="F6490" s="26" t="s">
        <v>46</v>
      </c>
      <c r="H6490" s="26" t="s">
        <v>6636</v>
      </c>
      <c r="I6490" s="26" t="s">
        <v>892</v>
      </c>
      <c r="J6490" s="25" t="str">
        <f t="shared" si="67"/>
        <v>No</v>
      </c>
      <c r="K6490" s="25" t="str">
        <f t="shared" si="68"/>
        <v/>
      </c>
      <c r="L6490" s="25" t="str">
        <f t="shared" si="69"/>
        <v/>
      </c>
      <c r="M6490" s="25"/>
      <c r="O6490" s="25"/>
    </row>
    <row r="6491" ht="15.75" customHeight="1">
      <c r="A6491" s="25" t="str">
        <f>IFERROR(__xludf.DUMMYFUNCTION("IF(B6491="""","""",RIGHT(REGEXREPLACE(B6491&amp;"""",""[^0-9]"",""""),9))"),"772365910")</f>
        <v>772365910</v>
      </c>
      <c r="B6491" s="26" t="s">
        <v>6637</v>
      </c>
      <c r="C6491" s="28" t="s">
        <v>6638</v>
      </c>
      <c r="D6491" s="26" t="s">
        <v>56</v>
      </c>
      <c r="E6491" s="31">
        <v>46241.0</v>
      </c>
      <c r="F6491" s="26" t="s">
        <v>41</v>
      </c>
      <c r="I6491" s="26" t="s">
        <v>892</v>
      </c>
      <c r="J6491" s="25" t="str">
        <f t="shared" si="67"/>
        <v>No</v>
      </c>
      <c r="K6491" s="25" t="str">
        <f t="shared" si="68"/>
        <v/>
      </c>
      <c r="L6491" s="25" t="str">
        <f t="shared" si="69"/>
        <v/>
      </c>
      <c r="M6491" s="25"/>
      <c r="O6491" s="25"/>
    </row>
    <row r="6492" ht="15.75" customHeight="1">
      <c r="A6492" s="25" t="str">
        <f>IFERROR(__xludf.DUMMYFUNCTION("IF(B6492="""","""",RIGHT(REGEXREPLACE(B6492&amp;"""",""[^0-9]"",""""),9))"),"701919150")</f>
        <v>701919150</v>
      </c>
      <c r="B6492" s="26" t="s">
        <v>6639</v>
      </c>
      <c r="C6492" s="28" t="s">
        <v>3979</v>
      </c>
      <c r="D6492" s="26" t="s">
        <v>64</v>
      </c>
      <c r="E6492" s="31">
        <v>46241.0</v>
      </c>
      <c r="F6492" s="26" t="s">
        <v>205</v>
      </c>
      <c r="I6492" s="26" t="s">
        <v>892</v>
      </c>
      <c r="J6492" s="25" t="str">
        <f t="shared" si="67"/>
        <v>Yes - see Previous F-Code</v>
      </c>
      <c r="K6492" s="25" t="str">
        <f t="shared" si="68"/>
        <v/>
      </c>
      <c r="L6492" s="25" t="str">
        <f t="shared" si="69"/>
        <v>F73625</v>
      </c>
      <c r="M6492" s="25"/>
      <c r="O6492" s="25"/>
    </row>
    <row r="6493" ht="15.75" customHeight="1">
      <c r="A6493" s="25" t="str">
        <f>IFERROR(__xludf.DUMMYFUNCTION("IF(B6493="""","""",RIGHT(REGEXREPLACE(B6493&amp;"""",""[^0-9]"",""""),9))"),"752385053")</f>
        <v>752385053</v>
      </c>
      <c r="B6493" s="26" t="s">
        <v>6640</v>
      </c>
      <c r="C6493" s="28" t="s">
        <v>3970</v>
      </c>
      <c r="D6493" s="26" t="s">
        <v>64</v>
      </c>
      <c r="E6493" s="31">
        <v>46241.0</v>
      </c>
      <c r="F6493" s="26" t="s">
        <v>205</v>
      </c>
      <c r="I6493" s="26" t="s">
        <v>892</v>
      </c>
      <c r="J6493" s="25" t="str">
        <f t="shared" si="67"/>
        <v>Yes - see Previous F-Code</v>
      </c>
      <c r="K6493" s="25" t="str">
        <f t="shared" si="68"/>
        <v/>
      </c>
      <c r="L6493" s="25" t="str">
        <f t="shared" si="69"/>
        <v>F73616</v>
      </c>
      <c r="M6493" s="25"/>
      <c r="O6493" s="25"/>
    </row>
    <row r="6494" ht="15.75" customHeight="1">
      <c r="A6494" s="25" t="str">
        <f>IFERROR(__xludf.DUMMYFUNCTION("IF(B6494="""","""",RIGHT(REGEXREPLACE(B6494&amp;"""",""[^0-9]"",""""),9))"),"761612501")</f>
        <v>761612501</v>
      </c>
      <c r="B6494" s="26" t="s">
        <v>6641</v>
      </c>
      <c r="C6494" s="28" t="s">
        <v>6642</v>
      </c>
      <c r="D6494" s="26" t="s">
        <v>56</v>
      </c>
      <c r="E6494" s="31">
        <v>46241.0</v>
      </c>
      <c r="F6494" s="26" t="s">
        <v>41</v>
      </c>
      <c r="I6494" s="26" t="s">
        <v>892</v>
      </c>
      <c r="J6494" s="25" t="str">
        <f t="shared" si="67"/>
        <v>No</v>
      </c>
      <c r="K6494" s="25" t="str">
        <f t="shared" si="68"/>
        <v/>
      </c>
      <c r="L6494" s="25" t="str">
        <f t="shared" si="69"/>
        <v/>
      </c>
      <c r="M6494" s="25"/>
      <c r="O6494" s="25"/>
    </row>
    <row r="6495" ht="15.75" customHeight="1">
      <c r="A6495" s="25" t="str">
        <f>IFERROR(__xludf.DUMMYFUNCTION("IF(B6495="""","""",RIGHT(REGEXREPLACE(B6495&amp;"""",""[^0-9]"",""""),9))"),"760890264")</f>
        <v>760890264</v>
      </c>
      <c r="B6495" s="26" t="s">
        <v>6643</v>
      </c>
      <c r="C6495" s="28" t="s">
        <v>6644</v>
      </c>
      <c r="D6495" s="26" t="s">
        <v>64</v>
      </c>
      <c r="E6495" s="31">
        <v>46241.0</v>
      </c>
      <c r="F6495" s="26" t="s">
        <v>46</v>
      </c>
      <c r="G6495" s="26">
        <v>10.0</v>
      </c>
      <c r="H6495" s="26" t="s">
        <v>5896</v>
      </c>
      <c r="I6495" s="26" t="s">
        <v>892</v>
      </c>
      <c r="J6495" s="25" t="str">
        <f t="shared" si="67"/>
        <v>No</v>
      </c>
      <c r="K6495" s="25" t="str">
        <f t="shared" si="68"/>
        <v/>
      </c>
      <c r="L6495" s="25" t="str">
        <f t="shared" si="69"/>
        <v/>
      </c>
      <c r="M6495" s="25"/>
      <c r="O6495" s="25"/>
    </row>
    <row r="6496" ht="15.75" customHeight="1">
      <c r="A6496" s="25" t="str">
        <f>IFERROR(__xludf.DUMMYFUNCTION("IF(B6496="""","""",RIGHT(REGEXREPLACE(B6496&amp;"""",""[^0-9]"",""""),9))"),"714913715")</f>
        <v>714913715</v>
      </c>
      <c r="B6496" s="26" t="s">
        <v>6645</v>
      </c>
      <c r="C6496" s="28" t="s">
        <v>6646</v>
      </c>
      <c r="D6496" s="26" t="s">
        <v>56</v>
      </c>
      <c r="E6496" s="31">
        <v>46241.0</v>
      </c>
      <c r="F6496" s="26" t="s">
        <v>41</v>
      </c>
      <c r="I6496" s="26" t="s">
        <v>892</v>
      </c>
      <c r="J6496" s="25" t="str">
        <f t="shared" si="67"/>
        <v>No</v>
      </c>
      <c r="K6496" s="25" t="str">
        <f t="shared" si="68"/>
        <v/>
      </c>
      <c r="L6496" s="25" t="str">
        <f t="shared" si="69"/>
        <v/>
      </c>
      <c r="M6496" s="25"/>
      <c r="O6496" s="25"/>
    </row>
    <row r="6497" ht="15.75" customHeight="1">
      <c r="A6497" s="25" t="str">
        <f>IFERROR(__xludf.DUMMYFUNCTION("IF(B6497="""","""",RIGHT(REGEXREPLACE(B6497&amp;"""",""[^0-9]"",""""),9))"),"761131452")</f>
        <v>761131452</v>
      </c>
      <c r="B6497" s="26" t="s">
        <v>6647</v>
      </c>
      <c r="C6497" s="28" t="s">
        <v>6070</v>
      </c>
      <c r="D6497" s="26" t="s">
        <v>64</v>
      </c>
      <c r="E6497" s="31">
        <v>46241.0</v>
      </c>
      <c r="F6497" s="26" t="s">
        <v>41</v>
      </c>
      <c r="I6497" s="26" t="s">
        <v>892</v>
      </c>
      <c r="J6497" s="25" t="str">
        <f t="shared" si="67"/>
        <v>Yes - see Previous F-Code</v>
      </c>
      <c r="K6497" s="25" t="str">
        <f t="shared" si="68"/>
        <v/>
      </c>
      <c r="L6497" s="25" t="str">
        <f t="shared" si="69"/>
        <v>F75478</v>
      </c>
      <c r="M6497" s="25"/>
      <c r="O6497" s="25"/>
    </row>
    <row r="6498" ht="15.75" customHeight="1">
      <c r="A6498" s="25" t="str">
        <f>IFERROR(__xludf.DUMMYFUNCTION("IF(B6498="""","""",RIGHT(REGEXREPLACE(B6498&amp;"""",""[^0-9]"",""""),9))"),"781224280")</f>
        <v>781224280</v>
      </c>
      <c r="B6498" s="26" t="s">
        <v>6648</v>
      </c>
      <c r="C6498" s="28" t="s">
        <v>4104</v>
      </c>
      <c r="D6498" s="26" t="s">
        <v>56</v>
      </c>
      <c r="E6498" s="31">
        <v>46241.0</v>
      </c>
      <c r="F6498" s="26" t="s">
        <v>46</v>
      </c>
      <c r="H6498" s="26" t="s">
        <v>319</v>
      </c>
      <c r="I6498" s="26" t="s">
        <v>892</v>
      </c>
      <c r="J6498" s="25" t="str">
        <f t="shared" si="67"/>
        <v>Yes - see Previous F-Code</v>
      </c>
      <c r="K6498" s="25" t="str">
        <f t="shared" si="68"/>
        <v/>
      </c>
      <c r="L6498" s="25" t="str">
        <f t="shared" si="69"/>
        <v>F73745</v>
      </c>
      <c r="M6498" s="25"/>
      <c r="O6498" s="25"/>
    </row>
    <row r="6499" ht="15.75" customHeight="1">
      <c r="A6499" s="25" t="str">
        <f>IFERROR(__xludf.DUMMYFUNCTION("IF(B6499="""","""",RIGHT(REGEXREPLACE(B6499&amp;"""",""[^0-9]"",""""),9))"),"704655411")</f>
        <v>704655411</v>
      </c>
      <c r="B6499" s="26" t="s">
        <v>6649</v>
      </c>
      <c r="C6499" s="28" t="s">
        <v>6650</v>
      </c>
      <c r="D6499" s="26" t="s">
        <v>64</v>
      </c>
      <c r="E6499" s="31">
        <v>46241.0</v>
      </c>
      <c r="F6499" s="26" t="s">
        <v>46</v>
      </c>
      <c r="H6499" s="26" t="s">
        <v>6651</v>
      </c>
      <c r="I6499" s="26" t="s">
        <v>892</v>
      </c>
      <c r="J6499" s="25" t="str">
        <f t="shared" si="67"/>
        <v>No</v>
      </c>
      <c r="K6499" s="25" t="str">
        <f t="shared" si="68"/>
        <v/>
      </c>
      <c r="L6499" s="25" t="str">
        <f t="shared" si="69"/>
        <v/>
      </c>
      <c r="M6499" s="25"/>
      <c r="O6499" s="25"/>
    </row>
    <row r="6500" ht="15.75" customHeight="1">
      <c r="A6500" s="25" t="str">
        <f>IFERROR(__xludf.DUMMYFUNCTION("IF(B6500="""","""",RIGHT(REGEXREPLACE(B6500&amp;"""",""[^0-9]"",""""),9))"),"784801356")</f>
        <v>784801356</v>
      </c>
      <c r="B6500" s="26" t="s">
        <v>6652</v>
      </c>
      <c r="C6500" s="28" t="s">
        <v>4129</v>
      </c>
      <c r="D6500" s="26" t="s">
        <v>56</v>
      </c>
      <c r="E6500" s="31">
        <v>46241.0</v>
      </c>
      <c r="F6500" s="26" t="s">
        <v>46</v>
      </c>
      <c r="H6500" s="26" t="s">
        <v>319</v>
      </c>
      <c r="I6500" s="26" t="s">
        <v>892</v>
      </c>
      <c r="J6500" s="25" t="str">
        <f t="shared" si="67"/>
        <v>Yes - see Previous F-Code</v>
      </c>
      <c r="K6500" s="25" t="str">
        <f t="shared" si="68"/>
        <v/>
      </c>
      <c r="L6500" s="25" t="str">
        <f t="shared" si="69"/>
        <v>F73767</v>
      </c>
      <c r="M6500" s="25"/>
      <c r="O6500" s="25"/>
    </row>
    <row r="6501" ht="15.75" customHeight="1">
      <c r="A6501" s="25" t="str">
        <f>IFERROR(__xludf.DUMMYFUNCTION("IF(B6501="""","""",RIGHT(REGEXREPLACE(B6501&amp;"""",""[^0-9]"",""""),9))"),"712959910")</f>
        <v>712959910</v>
      </c>
      <c r="B6501" s="110" t="s">
        <v>6653</v>
      </c>
      <c r="C6501" s="28" t="s">
        <v>4406</v>
      </c>
      <c r="D6501" s="26" t="s">
        <v>64</v>
      </c>
      <c r="E6501" s="31">
        <v>46241.0</v>
      </c>
      <c r="F6501" s="26" t="s">
        <v>41</v>
      </c>
      <c r="I6501" s="26" t="s">
        <v>892</v>
      </c>
      <c r="J6501" s="25" t="str">
        <f t="shared" si="67"/>
        <v>Yes - see Previous F-Code</v>
      </c>
      <c r="K6501" s="25" t="str">
        <f t="shared" si="68"/>
        <v/>
      </c>
      <c r="L6501" s="25" t="str">
        <f t="shared" si="69"/>
        <v>F74028</v>
      </c>
      <c r="M6501" s="25"/>
      <c r="O6501" s="25"/>
    </row>
    <row r="6502" ht="15.75" customHeight="1">
      <c r="A6502" s="25" t="str">
        <f>IFERROR(__xludf.DUMMYFUNCTION("IF(B6502="""","""",RIGHT(REGEXREPLACE(B6502&amp;"""",""[^0-9]"",""""),9))"),"768726859")</f>
        <v>768726859</v>
      </c>
      <c r="B6502" s="26" t="s">
        <v>6654</v>
      </c>
      <c r="C6502" s="28" t="s">
        <v>6224</v>
      </c>
      <c r="D6502" s="26" t="s">
        <v>64</v>
      </c>
      <c r="E6502" s="31">
        <v>46241.0</v>
      </c>
      <c r="F6502" s="26" t="s">
        <v>46</v>
      </c>
      <c r="H6502" s="26" t="s">
        <v>657</v>
      </c>
      <c r="I6502" s="26" t="s">
        <v>892</v>
      </c>
      <c r="J6502" s="25" t="str">
        <f t="shared" si="67"/>
        <v>Yes - see Previous F-Code</v>
      </c>
      <c r="K6502" s="25" t="str">
        <f t="shared" si="68"/>
        <v/>
      </c>
      <c r="L6502" s="25" t="str">
        <f t="shared" si="69"/>
        <v>F75616</v>
      </c>
      <c r="M6502" s="25"/>
      <c r="O6502" s="25"/>
    </row>
    <row r="6503" ht="15.75" customHeight="1">
      <c r="A6503" s="25" t="str">
        <f>IFERROR(__xludf.DUMMYFUNCTION("IF(B6503="""","""",RIGHT(REGEXREPLACE(B6503&amp;"""",""[^0-9]"",""""),9))"),"756217643")</f>
        <v>756217643</v>
      </c>
      <c r="B6503" s="26" t="s">
        <v>6655</v>
      </c>
      <c r="C6503" s="28" t="s">
        <v>6656</v>
      </c>
      <c r="D6503" s="26" t="s">
        <v>56</v>
      </c>
      <c r="E6503" s="31">
        <v>46241.0</v>
      </c>
      <c r="F6503" s="26" t="s">
        <v>46</v>
      </c>
      <c r="H6503" s="26" t="s">
        <v>342</v>
      </c>
      <c r="I6503" s="26" t="s">
        <v>892</v>
      </c>
      <c r="J6503" s="25" t="str">
        <f t="shared" si="67"/>
        <v>No</v>
      </c>
      <c r="K6503" s="25" t="str">
        <f t="shared" si="68"/>
        <v/>
      </c>
      <c r="L6503" s="25" t="str">
        <f t="shared" si="69"/>
        <v/>
      </c>
      <c r="M6503" s="25"/>
      <c r="O6503" s="25"/>
    </row>
    <row r="6504" ht="15.75" customHeight="1">
      <c r="A6504" s="25" t="str">
        <f>IFERROR(__xludf.DUMMYFUNCTION("IF(B6504="""","""",RIGHT(REGEXREPLACE(B6504&amp;"""",""[^0-9]"",""""),9))"),"771435851")</f>
        <v>771435851</v>
      </c>
      <c r="B6504" s="26" t="s">
        <v>6657</v>
      </c>
      <c r="C6504" s="28" t="s">
        <v>6658</v>
      </c>
      <c r="D6504" s="26" t="s">
        <v>64</v>
      </c>
      <c r="E6504" s="31">
        <v>46241.0</v>
      </c>
      <c r="F6504" s="26" t="s">
        <v>46</v>
      </c>
      <c r="G6504" s="26">
        <v>11.0</v>
      </c>
      <c r="H6504" s="26" t="s">
        <v>5896</v>
      </c>
      <c r="I6504" s="26" t="s">
        <v>892</v>
      </c>
      <c r="J6504" s="25" t="str">
        <f t="shared" si="67"/>
        <v>No</v>
      </c>
      <c r="K6504" s="25" t="str">
        <f t="shared" si="68"/>
        <v/>
      </c>
      <c r="L6504" s="25" t="str">
        <f t="shared" si="69"/>
        <v/>
      </c>
      <c r="M6504" s="25"/>
      <c r="O6504" s="25"/>
    </row>
    <row r="6505" ht="15.75" customHeight="1">
      <c r="A6505" s="25" t="str">
        <f>IFERROR(__xludf.DUMMYFUNCTION("IF(B6505="""","""",RIGHT(REGEXREPLACE(B6505&amp;"""",""[^0-9]"",""""),9))"),"762269929")</f>
        <v>762269929</v>
      </c>
      <c r="B6505" s="26" t="s">
        <v>6659</v>
      </c>
      <c r="C6505" s="28" t="s">
        <v>4256</v>
      </c>
      <c r="D6505" s="26" t="s">
        <v>56</v>
      </c>
      <c r="E6505" s="31">
        <v>46241.0</v>
      </c>
      <c r="F6505" s="26" t="s">
        <v>46</v>
      </c>
      <c r="H6505" s="26" t="s">
        <v>319</v>
      </c>
      <c r="I6505" s="26" t="s">
        <v>892</v>
      </c>
      <c r="J6505" s="25" t="str">
        <f t="shared" si="67"/>
        <v>Yes - see Previous F-Code</v>
      </c>
      <c r="K6505" s="25" t="str">
        <f t="shared" si="68"/>
        <v/>
      </c>
      <c r="L6505" s="25" t="str">
        <f t="shared" si="69"/>
        <v>F73888</v>
      </c>
      <c r="M6505" s="25"/>
      <c r="O6505" s="25"/>
    </row>
    <row r="6506" ht="15.75" customHeight="1">
      <c r="A6506" s="25" t="str">
        <f>IFERROR(__xludf.DUMMYFUNCTION("IF(B6506="""","""",RIGHT(REGEXREPLACE(B6506&amp;"""",""[^0-9]"",""""),9))"),"765693645")</f>
        <v>765693645</v>
      </c>
      <c r="B6506" s="26" t="s">
        <v>6660</v>
      </c>
      <c r="C6506" s="28" t="s">
        <v>6661</v>
      </c>
      <c r="D6506" s="26" t="s">
        <v>64</v>
      </c>
      <c r="E6506" s="31">
        <v>46241.0</v>
      </c>
      <c r="F6506" s="26" t="s">
        <v>41</v>
      </c>
      <c r="I6506" s="26" t="s">
        <v>892</v>
      </c>
      <c r="J6506" s="25" t="str">
        <f t="shared" si="67"/>
        <v>No</v>
      </c>
      <c r="K6506" s="25" t="str">
        <f t="shared" si="68"/>
        <v/>
      </c>
      <c r="L6506" s="25" t="str">
        <f t="shared" si="69"/>
        <v/>
      </c>
      <c r="M6506" s="25"/>
      <c r="O6506" s="25"/>
    </row>
    <row r="6507" ht="15.75" customHeight="1">
      <c r="A6507" s="25" t="str">
        <f>IFERROR(__xludf.DUMMYFUNCTION("IF(B6507="""","""",RIGHT(REGEXREPLACE(B6507&amp;"""",""[^0-9]"",""""),9))"),"779121276")</f>
        <v>779121276</v>
      </c>
      <c r="B6507" s="26" t="s">
        <v>6662</v>
      </c>
      <c r="C6507" s="28" t="s">
        <v>6663</v>
      </c>
      <c r="D6507" s="26" t="s">
        <v>56</v>
      </c>
      <c r="E6507" s="31">
        <v>46241.0</v>
      </c>
      <c r="F6507" s="26" t="s">
        <v>46</v>
      </c>
      <c r="G6507" s="26">
        <v>11.0</v>
      </c>
      <c r="H6507" s="26" t="s">
        <v>6451</v>
      </c>
      <c r="I6507" s="26" t="s">
        <v>892</v>
      </c>
      <c r="J6507" s="25" t="str">
        <f t="shared" si="67"/>
        <v>No</v>
      </c>
      <c r="K6507" s="25" t="str">
        <f t="shared" si="68"/>
        <v/>
      </c>
      <c r="L6507" s="25" t="str">
        <f t="shared" si="69"/>
        <v/>
      </c>
      <c r="M6507" s="25"/>
      <c r="O6507" s="25"/>
    </row>
    <row r="6508" ht="15.75" customHeight="1">
      <c r="A6508" s="25" t="str">
        <f>IFERROR(__xludf.DUMMYFUNCTION("IF(B6508="""","""",RIGHT(REGEXREPLACE(B6508&amp;"""",""[^0-9]"",""""),9))"),"775327382")</f>
        <v>775327382</v>
      </c>
      <c r="B6508" s="26" t="s">
        <v>6664</v>
      </c>
      <c r="C6508" s="28" t="s">
        <v>6665</v>
      </c>
      <c r="D6508" s="26" t="s">
        <v>64</v>
      </c>
      <c r="E6508" s="31">
        <v>46241.0</v>
      </c>
      <c r="F6508" s="26" t="s">
        <v>205</v>
      </c>
      <c r="I6508" s="26" t="s">
        <v>892</v>
      </c>
      <c r="J6508" s="25" t="str">
        <f t="shared" si="67"/>
        <v>No</v>
      </c>
      <c r="K6508" s="25" t="str">
        <f t="shared" si="68"/>
        <v/>
      </c>
      <c r="L6508" s="25" t="str">
        <f t="shared" si="69"/>
        <v/>
      </c>
      <c r="M6508" s="25"/>
      <c r="O6508" s="26" t="s">
        <v>51</v>
      </c>
    </row>
    <row r="6509" ht="15.75" customHeight="1">
      <c r="A6509" s="25" t="str">
        <f>IFERROR(__xludf.DUMMYFUNCTION("IF(B6509="""","""",RIGHT(REGEXREPLACE(B6509&amp;"""",""[^0-9]"",""""),9))"),"771594873")</f>
        <v>771594873</v>
      </c>
      <c r="B6509" s="26" t="s">
        <v>6666</v>
      </c>
      <c r="C6509" s="28" t="s">
        <v>4280</v>
      </c>
      <c r="D6509" s="26" t="s">
        <v>64</v>
      </c>
      <c r="E6509" s="31">
        <v>46241.0</v>
      </c>
      <c r="F6509" s="26" t="s">
        <v>46</v>
      </c>
      <c r="H6509" s="26" t="s">
        <v>657</v>
      </c>
      <c r="I6509" s="26" t="s">
        <v>892</v>
      </c>
      <c r="J6509" s="25" t="str">
        <f t="shared" si="67"/>
        <v>Yes - see Previous F-Code</v>
      </c>
      <c r="K6509" s="25" t="str">
        <f t="shared" si="68"/>
        <v/>
      </c>
      <c r="L6509" s="25" t="str">
        <f t="shared" si="69"/>
        <v>F73908</v>
      </c>
      <c r="M6509" s="25"/>
      <c r="O6509" s="25"/>
    </row>
    <row r="6510" ht="15.75" customHeight="1">
      <c r="A6510" s="25" t="str">
        <f>IFERROR(__xludf.DUMMYFUNCTION("IF(B6510="""","""",RIGHT(REGEXREPLACE(B6510&amp;"""",""[^0-9]"",""""),9))"),"763577259")</f>
        <v>763577259</v>
      </c>
      <c r="B6510" s="26" t="s">
        <v>6667</v>
      </c>
      <c r="C6510" s="28" t="s">
        <v>4304</v>
      </c>
      <c r="D6510" s="26" t="s">
        <v>64</v>
      </c>
      <c r="E6510" s="31">
        <v>46241.0</v>
      </c>
      <c r="F6510" s="26" t="s">
        <v>46</v>
      </c>
      <c r="G6510" s="26">
        <v>10.0</v>
      </c>
      <c r="H6510" s="26" t="s">
        <v>6618</v>
      </c>
      <c r="I6510" s="26" t="s">
        <v>892</v>
      </c>
      <c r="J6510" s="25" t="str">
        <f t="shared" si="67"/>
        <v>Yes - see Previous F-Code</v>
      </c>
      <c r="K6510" s="25" t="str">
        <f t="shared" si="68"/>
        <v/>
      </c>
      <c r="L6510" s="25" t="str">
        <f t="shared" si="69"/>
        <v>F73931</v>
      </c>
      <c r="M6510" s="25"/>
      <c r="O6510" s="25"/>
    </row>
    <row r="6511" ht="15.75" customHeight="1">
      <c r="A6511" s="25" t="str">
        <f>IFERROR(__xludf.DUMMYFUNCTION("IF(B6511="""","""",RIGHT(REGEXREPLACE(B6511&amp;"""",""[^0-9]"",""""),9))"),"775853597")</f>
        <v>775853597</v>
      </c>
      <c r="B6511" s="26" t="s">
        <v>6668</v>
      </c>
      <c r="C6511" s="28" t="s">
        <v>6669</v>
      </c>
      <c r="D6511" s="26" t="s">
        <v>56</v>
      </c>
      <c r="E6511" s="31">
        <v>46241.0</v>
      </c>
      <c r="F6511" s="26" t="s">
        <v>46</v>
      </c>
      <c r="G6511" s="26">
        <v>10.0</v>
      </c>
      <c r="H6511" s="26" t="s">
        <v>6670</v>
      </c>
      <c r="I6511" s="26" t="s">
        <v>892</v>
      </c>
      <c r="J6511" s="25" t="str">
        <f t="shared" si="67"/>
        <v>No</v>
      </c>
      <c r="K6511" s="25" t="str">
        <f t="shared" si="68"/>
        <v/>
      </c>
      <c r="L6511" s="25" t="str">
        <f t="shared" si="69"/>
        <v/>
      </c>
      <c r="M6511" s="25"/>
      <c r="O6511" s="25"/>
    </row>
    <row r="6512" ht="15.75" customHeight="1">
      <c r="A6512" s="25" t="str">
        <f>IFERROR(__xludf.DUMMYFUNCTION("IF(B6512="""","""",RIGHT(REGEXREPLACE(B6512&amp;"""",""[^0-9]"",""""),9))"),"760531099")</f>
        <v>760531099</v>
      </c>
      <c r="B6512" s="26" t="s">
        <v>6671</v>
      </c>
      <c r="C6512" s="28" t="s">
        <v>6672</v>
      </c>
      <c r="D6512" s="26" t="s">
        <v>64</v>
      </c>
      <c r="E6512" s="31">
        <v>46241.0</v>
      </c>
      <c r="F6512" s="26" t="s">
        <v>46</v>
      </c>
      <c r="G6512" s="26">
        <v>10.0</v>
      </c>
      <c r="H6512" s="26" t="s">
        <v>5896</v>
      </c>
      <c r="I6512" s="26" t="s">
        <v>892</v>
      </c>
      <c r="J6512" s="25" t="str">
        <f t="shared" si="67"/>
        <v>No</v>
      </c>
      <c r="K6512" s="25" t="str">
        <f t="shared" si="68"/>
        <v/>
      </c>
      <c r="L6512" s="25" t="str">
        <f t="shared" si="69"/>
        <v/>
      </c>
      <c r="M6512" s="25"/>
      <c r="O6512" s="25"/>
    </row>
    <row r="6513" ht="15.75" customHeight="1">
      <c r="A6513" s="25" t="str">
        <f>IFERROR(__xludf.DUMMYFUNCTION("IF(B6513="""","""",RIGHT(REGEXREPLACE(B6513&amp;"""",""[^0-9]"",""""),9))"),"772352943")</f>
        <v>772352943</v>
      </c>
      <c r="B6513" s="26" t="s">
        <v>6673</v>
      </c>
      <c r="C6513" s="28" t="s">
        <v>6674</v>
      </c>
      <c r="D6513" s="26" t="s">
        <v>64</v>
      </c>
      <c r="E6513" s="31">
        <v>46241.0</v>
      </c>
      <c r="F6513" s="26" t="s">
        <v>46</v>
      </c>
      <c r="G6513" s="26">
        <v>10.0</v>
      </c>
      <c r="H6513" s="26" t="s">
        <v>5896</v>
      </c>
      <c r="I6513" s="26" t="s">
        <v>892</v>
      </c>
      <c r="J6513" s="25" t="str">
        <f t="shared" si="67"/>
        <v>No</v>
      </c>
      <c r="K6513" s="25" t="str">
        <f t="shared" si="68"/>
        <v/>
      </c>
      <c r="L6513" s="25" t="str">
        <f t="shared" si="69"/>
        <v/>
      </c>
      <c r="M6513" s="25"/>
      <c r="O6513" s="25"/>
    </row>
    <row r="6514" ht="15.75" customHeight="1">
      <c r="A6514" s="25" t="str">
        <f>IFERROR(__xludf.DUMMYFUNCTION("IF(B6514="""","""",RIGHT(REGEXREPLACE(B6514&amp;"""",""[^0-9]"",""""),9))"),"719541411")</f>
        <v>719541411</v>
      </c>
      <c r="B6514" s="26" t="s">
        <v>6675</v>
      </c>
      <c r="C6514" s="28" t="s">
        <v>4412</v>
      </c>
      <c r="D6514" s="26" t="s">
        <v>64</v>
      </c>
      <c r="E6514" s="31">
        <v>46241.0</v>
      </c>
      <c r="F6514" s="26" t="s">
        <v>205</v>
      </c>
      <c r="I6514" s="26" t="s">
        <v>892</v>
      </c>
      <c r="J6514" s="25" t="str">
        <f t="shared" si="67"/>
        <v>Yes - see Previous F-Code</v>
      </c>
      <c r="K6514" s="25" t="str">
        <f t="shared" si="68"/>
        <v/>
      </c>
      <c r="L6514" s="25" t="str">
        <f t="shared" si="69"/>
        <v>F74033</v>
      </c>
      <c r="M6514" s="25"/>
      <c r="O6514" s="25"/>
    </row>
    <row r="6515" ht="15.75" customHeight="1">
      <c r="A6515" s="25" t="str">
        <f>IFERROR(__xludf.DUMMYFUNCTION("IF(B6515="""","""",RIGHT(REGEXREPLACE(B6515&amp;"""",""[^0-9]"",""""),9))"),"703967151")</f>
        <v>703967151</v>
      </c>
      <c r="B6515" s="26" t="s">
        <v>6676</v>
      </c>
      <c r="C6515" s="28" t="s">
        <v>4519</v>
      </c>
      <c r="D6515" s="26" t="s">
        <v>64</v>
      </c>
      <c r="E6515" s="31">
        <v>46241.0</v>
      </c>
      <c r="F6515" s="26" t="s">
        <v>205</v>
      </c>
      <c r="I6515" s="26" t="s">
        <v>892</v>
      </c>
      <c r="J6515" s="25" t="str">
        <f t="shared" si="67"/>
        <v>Yes - see Previous F-Code</v>
      </c>
      <c r="K6515" s="25" t="str">
        <f t="shared" si="68"/>
        <v/>
      </c>
      <c r="L6515" s="25" t="str">
        <f t="shared" si="69"/>
        <v>F74128</v>
      </c>
      <c r="M6515" s="25"/>
      <c r="O6515" s="25"/>
    </row>
    <row r="6516" ht="15.75" customHeight="1">
      <c r="A6516" s="25" t="str">
        <f>IFERROR(__xludf.DUMMYFUNCTION("IF(B6516="""","""",RIGHT(REGEXREPLACE(B6516&amp;"""",""[^0-9]"",""""),9))"),"764392504")</f>
        <v>764392504</v>
      </c>
      <c r="B6516" s="26" t="s">
        <v>6677</v>
      </c>
      <c r="C6516" s="28" t="s">
        <v>5801</v>
      </c>
      <c r="D6516" s="26" t="s">
        <v>64</v>
      </c>
      <c r="E6516" s="31">
        <v>46241.0</v>
      </c>
      <c r="F6516" s="26" t="s">
        <v>41</v>
      </c>
      <c r="I6516" s="26" t="s">
        <v>892</v>
      </c>
      <c r="J6516" s="25" t="str">
        <f t="shared" si="67"/>
        <v>Yes - see Previous F-Code</v>
      </c>
      <c r="K6516" s="25" t="str">
        <f t="shared" si="68"/>
        <v/>
      </c>
      <c r="L6516" s="25" t="str">
        <f t="shared" si="69"/>
        <v>F75237</v>
      </c>
      <c r="M6516" s="25"/>
      <c r="O6516" s="25"/>
    </row>
    <row r="6517" ht="15.75" customHeight="1">
      <c r="A6517" s="25" t="str">
        <f>IFERROR(__xludf.DUMMYFUNCTION("IF(B6517="""","""",RIGHT(REGEXREPLACE(B6517&amp;"""",""[^0-9]"",""""),9))"),"743505204")</f>
        <v>743505204</v>
      </c>
      <c r="B6517" s="26" t="s">
        <v>6678</v>
      </c>
      <c r="C6517" s="28" t="s">
        <v>6679</v>
      </c>
      <c r="D6517" s="26" t="s">
        <v>64</v>
      </c>
      <c r="E6517" s="31">
        <v>46241.0</v>
      </c>
      <c r="F6517" s="26" t="s">
        <v>205</v>
      </c>
      <c r="I6517" s="26" t="s">
        <v>892</v>
      </c>
      <c r="J6517" s="25" t="str">
        <f t="shared" si="67"/>
        <v>No</v>
      </c>
      <c r="K6517" s="25" t="str">
        <f t="shared" si="68"/>
        <v/>
      </c>
      <c r="L6517" s="25" t="str">
        <f t="shared" si="69"/>
        <v/>
      </c>
      <c r="M6517" s="25"/>
      <c r="O6517" s="25"/>
    </row>
    <row r="6518" ht="15.75" customHeight="1">
      <c r="A6518" s="25" t="str">
        <f>IFERROR(__xludf.DUMMYFUNCTION("IF(B6518="""","""",RIGHT(REGEXREPLACE(B6518&amp;"""",""[^0-9]"",""""),9))"),"775077589")</f>
        <v>775077589</v>
      </c>
      <c r="B6518" s="26" t="s">
        <v>6680</v>
      </c>
      <c r="C6518" s="28" t="s">
        <v>5624</v>
      </c>
      <c r="D6518" s="26" t="s">
        <v>64</v>
      </c>
      <c r="E6518" s="31">
        <v>46241.0</v>
      </c>
      <c r="F6518" s="26" t="s">
        <v>46</v>
      </c>
      <c r="H6518" s="26" t="s">
        <v>918</v>
      </c>
      <c r="I6518" s="26" t="s">
        <v>892</v>
      </c>
      <c r="J6518" s="25" t="str">
        <f t="shared" si="67"/>
        <v>Yes - see Previous F-Code</v>
      </c>
      <c r="K6518" s="25" t="str">
        <f t="shared" si="68"/>
        <v/>
      </c>
      <c r="L6518" s="25" t="str">
        <f t="shared" si="69"/>
        <v>F75093</v>
      </c>
      <c r="M6518" s="25"/>
      <c r="O6518" s="25"/>
    </row>
    <row r="6519" ht="15.75" customHeight="1">
      <c r="A6519" s="25" t="str">
        <f>IFERROR(__xludf.DUMMYFUNCTION("IF(B6519="""","""",RIGHT(REGEXREPLACE(B6519&amp;"""",""[^0-9]"",""""),9))"),"714909090")</f>
        <v>714909090</v>
      </c>
      <c r="B6519" s="26" t="s">
        <v>6681</v>
      </c>
      <c r="C6519" s="28" t="s">
        <v>4685</v>
      </c>
      <c r="D6519" s="26" t="s">
        <v>82</v>
      </c>
      <c r="E6519" s="31">
        <v>46241.0</v>
      </c>
      <c r="F6519" s="26" t="s">
        <v>46</v>
      </c>
      <c r="G6519" s="26">
        <v>9.0</v>
      </c>
      <c r="H6519" s="26" t="s">
        <v>6682</v>
      </c>
      <c r="I6519" s="26" t="s">
        <v>892</v>
      </c>
      <c r="J6519" s="25" t="str">
        <f t="shared" si="67"/>
        <v>Yes - see Previous F-Code</v>
      </c>
      <c r="K6519" s="25" t="str">
        <f t="shared" si="68"/>
        <v/>
      </c>
      <c r="L6519" s="25" t="str">
        <f t="shared" si="69"/>
        <v>F74273</v>
      </c>
      <c r="M6519" s="25"/>
      <c r="O6519" s="25"/>
    </row>
    <row r="6520" ht="15.75" customHeight="1">
      <c r="A6520" s="25" t="str">
        <f>IFERROR(__xludf.DUMMYFUNCTION("IF(B6520="""","""",RIGHT(REGEXREPLACE(B6520&amp;"""",""[^0-9]"",""""),9))"),"713404888")</f>
        <v>713404888</v>
      </c>
      <c r="B6520" s="26" t="s">
        <v>6683</v>
      </c>
      <c r="C6520" s="28" t="s">
        <v>6684</v>
      </c>
      <c r="D6520" s="26" t="s">
        <v>64</v>
      </c>
      <c r="E6520" s="31">
        <v>46241.0</v>
      </c>
      <c r="F6520" s="26" t="s">
        <v>46</v>
      </c>
      <c r="H6520" s="26" t="s">
        <v>6685</v>
      </c>
      <c r="I6520" s="26" t="s">
        <v>892</v>
      </c>
      <c r="J6520" s="25" t="str">
        <f t="shared" si="67"/>
        <v>No</v>
      </c>
      <c r="K6520" s="25" t="str">
        <f t="shared" si="68"/>
        <v/>
      </c>
      <c r="L6520" s="25" t="str">
        <f t="shared" si="69"/>
        <v/>
      </c>
      <c r="M6520" s="25"/>
      <c r="O6520" s="25"/>
    </row>
    <row r="6521" ht="15.75" customHeight="1">
      <c r="A6521" s="25" t="str">
        <f>IFERROR(__xludf.DUMMYFUNCTION("IF(B6521="""","""",RIGHT(REGEXREPLACE(B6521&amp;"""",""[^0-9]"",""""),9))"),"769264880")</f>
        <v>769264880</v>
      </c>
      <c r="B6521" s="26" t="s">
        <v>6686</v>
      </c>
      <c r="C6521" s="28" t="s">
        <v>6687</v>
      </c>
      <c r="D6521" s="26" t="s">
        <v>56</v>
      </c>
      <c r="E6521" s="31">
        <v>46241.0</v>
      </c>
      <c r="F6521" s="26" t="s">
        <v>631</v>
      </c>
      <c r="G6521" s="26">
        <v>11.0</v>
      </c>
      <c r="H6521" s="26" t="s">
        <v>6451</v>
      </c>
      <c r="I6521" s="26" t="s">
        <v>892</v>
      </c>
      <c r="J6521" s="25" t="str">
        <f t="shared" si="67"/>
        <v>No</v>
      </c>
      <c r="K6521" s="25" t="str">
        <f t="shared" si="68"/>
        <v/>
      </c>
      <c r="L6521" s="25" t="str">
        <f t="shared" si="69"/>
        <v/>
      </c>
      <c r="M6521" s="25"/>
      <c r="O6521" s="25"/>
    </row>
    <row r="6522" ht="15.75" customHeight="1">
      <c r="A6522" s="25" t="str">
        <f>IFERROR(__xludf.DUMMYFUNCTION("IF(B6522="""","""",RIGHT(REGEXREPLACE(B6522&amp;"""",""[^0-9]"",""""),9))"),"776491402")</f>
        <v>776491402</v>
      </c>
      <c r="B6522" s="26" t="s">
        <v>6688</v>
      </c>
      <c r="C6522" s="28" t="s">
        <v>4796</v>
      </c>
      <c r="D6522" s="26" t="s">
        <v>82</v>
      </c>
      <c r="E6522" s="31">
        <v>46241.0</v>
      </c>
      <c r="F6522" s="26" t="s">
        <v>41</v>
      </c>
      <c r="I6522" s="26" t="s">
        <v>892</v>
      </c>
      <c r="J6522" s="25" t="str">
        <f t="shared" si="67"/>
        <v>Yes - see Previous F-Code</v>
      </c>
      <c r="K6522" s="25" t="str">
        <f t="shared" si="68"/>
        <v/>
      </c>
      <c r="L6522" s="25" t="str">
        <f t="shared" si="69"/>
        <v>F74377</v>
      </c>
      <c r="M6522" s="25"/>
      <c r="O6522" s="25"/>
    </row>
    <row r="6523" ht="15.75" customHeight="1">
      <c r="A6523" s="25" t="str">
        <f>IFERROR(__xludf.DUMMYFUNCTION("IF(B6523="""","""",RIGHT(REGEXREPLACE(B6523&amp;"""",""[^0-9]"",""""),9))"),"719579352")</f>
        <v>719579352</v>
      </c>
      <c r="B6523" s="26" t="s">
        <v>6689</v>
      </c>
      <c r="C6523" s="28" t="s">
        <v>6690</v>
      </c>
      <c r="D6523" s="26" t="s">
        <v>64</v>
      </c>
      <c r="E6523" s="31">
        <v>46241.0</v>
      </c>
      <c r="F6523" s="26" t="s">
        <v>205</v>
      </c>
      <c r="I6523" s="26" t="s">
        <v>892</v>
      </c>
      <c r="J6523" s="25" t="str">
        <f t="shared" si="67"/>
        <v>No</v>
      </c>
      <c r="K6523" s="25" t="str">
        <f t="shared" si="68"/>
        <v/>
      </c>
      <c r="L6523" s="25" t="str">
        <f t="shared" si="69"/>
        <v/>
      </c>
      <c r="M6523" s="25"/>
      <c r="O6523" s="25"/>
    </row>
    <row r="6524" ht="15.75" customHeight="1">
      <c r="A6524" s="25" t="str">
        <f>IFERROR(__xludf.DUMMYFUNCTION("IF(B6524="""","""",RIGHT(REGEXREPLACE(B6524&amp;"""",""[^0-9]"",""""),9))"),"721932044")</f>
        <v>721932044</v>
      </c>
      <c r="B6524" s="26" t="s">
        <v>6691</v>
      </c>
      <c r="C6524" s="28" t="s">
        <v>6692</v>
      </c>
      <c r="D6524" s="26" t="s">
        <v>64</v>
      </c>
      <c r="E6524" s="31">
        <v>46241.0</v>
      </c>
      <c r="F6524" s="26" t="s">
        <v>205</v>
      </c>
      <c r="I6524" s="26" t="s">
        <v>892</v>
      </c>
      <c r="J6524" s="25" t="str">
        <f t="shared" si="67"/>
        <v>No</v>
      </c>
      <c r="K6524" s="25" t="str">
        <f t="shared" si="68"/>
        <v/>
      </c>
      <c r="L6524" s="25" t="str">
        <f t="shared" si="69"/>
        <v/>
      </c>
      <c r="M6524" s="25"/>
      <c r="O6524" s="25"/>
    </row>
    <row r="6525" ht="15.75" customHeight="1">
      <c r="A6525" s="25" t="str">
        <f>IFERROR(__xludf.DUMMYFUNCTION("IF(B6525="""","""",RIGHT(REGEXREPLACE(B6525&amp;"""",""[^0-9]"",""""),9))"),"715203680")</f>
        <v>715203680</v>
      </c>
      <c r="B6525" s="26" t="s">
        <v>6693</v>
      </c>
      <c r="C6525" s="28" t="s">
        <v>6694</v>
      </c>
      <c r="D6525" s="26" t="s">
        <v>82</v>
      </c>
      <c r="E6525" s="31">
        <v>46241.0</v>
      </c>
      <c r="F6525" s="26" t="s">
        <v>41</v>
      </c>
      <c r="I6525" s="26" t="s">
        <v>892</v>
      </c>
      <c r="J6525" s="25" t="str">
        <f t="shared" si="67"/>
        <v>No</v>
      </c>
      <c r="K6525" s="25" t="str">
        <f t="shared" si="68"/>
        <v/>
      </c>
      <c r="L6525" s="25" t="str">
        <f t="shared" si="69"/>
        <v/>
      </c>
      <c r="M6525" s="25"/>
      <c r="O6525" s="25"/>
    </row>
    <row r="6526" ht="15.75" customHeight="1">
      <c r="A6526" s="25" t="str">
        <f>IFERROR(__xludf.DUMMYFUNCTION("IF(B6526="""","""",RIGHT(REGEXREPLACE(B6526&amp;"""",""[^0-9]"",""""),9))"),"720756164")</f>
        <v>720756164</v>
      </c>
      <c r="B6526" s="26" t="s">
        <v>6695</v>
      </c>
      <c r="C6526" s="28" t="s">
        <v>6696</v>
      </c>
      <c r="D6526" s="26" t="s">
        <v>64</v>
      </c>
      <c r="E6526" s="31">
        <v>46241.0</v>
      </c>
      <c r="F6526" s="26" t="s">
        <v>46</v>
      </c>
      <c r="G6526" s="26">
        <v>10.0</v>
      </c>
      <c r="H6526" s="26" t="s">
        <v>6618</v>
      </c>
      <c r="I6526" s="26" t="s">
        <v>892</v>
      </c>
      <c r="J6526" s="25" t="str">
        <f t="shared" si="67"/>
        <v>No</v>
      </c>
      <c r="K6526" s="25" t="str">
        <f t="shared" si="68"/>
        <v/>
      </c>
      <c r="L6526" s="25" t="str">
        <f t="shared" si="69"/>
        <v/>
      </c>
      <c r="M6526" s="25"/>
      <c r="O6526" s="25"/>
    </row>
    <row r="6527" ht="15.75" customHeight="1">
      <c r="A6527" s="25" t="str">
        <f>IFERROR(__xludf.DUMMYFUNCTION("IF(B6527="""","""",RIGHT(REGEXREPLACE(B6527&amp;"""",""[^0-9]"",""""),9))"),"776313995")</f>
        <v>776313995</v>
      </c>
      <c r="B6527" s="26" t="s">
        <v>6697</v>
      </c>
      <c r="C6527" s="28" t="s">
        <v>4741</v>
      </c>
      <c r="D6527" s="26" t="s">
        <v>56</v>
      </c>
      <c r="E6527" s="31">
        <v>46241.0</v>
      </c>
      <c r="F6527" s="26" t="s">
        <v>631</v>
      </c>
      <c r="G6527" s="26">
        <v>10.0</v>
      </c>
      <c r="H6527" s="26" t="s">
        <v>6451</v>
      </c>
      <c r="I6527" s="26" t="s">
        <v>892</v>
      </c>
      <c r="J6527" s="25" t="str">
        <f t="shared" si="67"/>
        <v>Yes - see Previous F-Code</v>
      </c>
      <c r="K6527" s="25" t="str">
        <f t="shared" si="68"/>
        <v/>
      </c>
      <c r="L6527" s="25" t="str">
        <f t="shared" si="69"/>
        <v>F74325</v>
      </c>
      <c r="M6527" s="25"/>
      <c r="O6527" s="25"/>
    </row>
    <row r="6528" ht="15.75" customHeight="1">
      <c r="A6528" s="25" t="str">
        <f>IFERROR(__xludf.DUMMYFUNCTION("IF(B6528="""","""",RIGHT(REGEXREPLACE(B6528&amp;"""",""[^0-9]"",""""),9))"),"715205702")</f>
        <v>715205702</v>
      </c>
      <c r="B6528" s="26" t="s">
        <v>6698</v>
      </c>
      <c r="C6528" s="28" t="s">
        <v>6699</v>
      </c>
      <c r="D6528" s="26" t="s">
        <v>82</v>
      </c>
      <c r="E6528" s="31">
        <v>46241.0</v>
      </c>
      <c r="F6528" s="26" t="s">
        <v>41</v>
      </c>
      <c r="I6528" s="26" t="s">
        <v>892</v>
      </c>
      <c r="J6528" s="25" t="str">
        <f t="shared" si="67"/>
        <v>No</v>
      </c>
      <c r="K6528" s="25" t="str">
        <f t="shared" si="68"/>
        <v/>
      </c>
      <c r="L6528" s="25" t="str">
        <f t="shared" si="69"/>
        <v/>
      </c>
      <c r="M6528" s="25"/>
      <c r="O6528" s="26" t="s">
        <v>51</v>
      </c>
    </row>
    <row r="6529" ht="15.75" customHeight="1">
      <c r="A6529" s="25" t="str">
        <f>IFERROR(__xludf.DUMMYFUNCTION("IF(B6529="""","""",RIGHT(REGEXREPLACE(B6529&amp;"""",""[^0-9]"",""""),9))"),"767941049")</f>
        <v>767941049</v>
      </c>
      <c r="B6529" s="26" t="s">
        <v>6700</v>
      </c>
      <c r="C6529" s="28" t="s">
        <v>6701</v>
      </c>
      <c r="D6529" s="26" t="s">
        <v>56</v>
      </c>
      <c r="E6529" s="31">
        <v>46241.0</v>
      </c>
      <c r="F6529" s="26" t="s">
        <v>125</v>
      </c>
      <c r="G6529" s="26">
        <v>10.0</v>
      </c>
      <c r="H6529" s="26" t="s">
        <v>6451</v>
      </c>
      <c r="I6529" s="26" t="s">
        <v>892</v>
      </c>
      <c r="J6529" s="25" t="str">
        <f t="shared" si="67"/>
        <v>No</v>
      </c>
      <c r="K6529" s="25" t="str">
        <f t="shared" si="68"/>
        <v/>
      </c>
      <c r="L6529" s="25" t="str">
        <f t="shared" si="69"/>
        <v/>
      </c>
      <c r="M6529" s="25"/>
      <c r="O6529" s="25"/>
    </row>
    <row r="6530" ht="15.75" customHeight="1">
      <c r="A6530" s="25" t="str">
        <f>IFERROR(__xludf.DUMMYFUNCTION("IF(B6530="""","""",RIGHT(REGEXREPLACE(B6530&amp;"""",""[^0-9]"",""""),9))"),"743180535")</f>
        <v>743180535</v>
      </c>
      <c r="B6530" s="26" t="s">
        <v>6702</v>
      </c>
      <c r="C6530" s="28" t="s">
        <v>6703</v>
      </c>
      <c r="D6530" s="26" t="s">
        <v>64</v>
      </c>
      <c r="E6530" s="31">
        <v>46241.0</v>
      </c>
      <c r="F6530" s="26" t="s">
        <v>46</v>
      </c>
      <c r="G6530" s="26">
        <v>11.0</v>
      </c>
      <c r="H6530" s="26" t="s">
        <v>6704</v>
      </c>
      <c r="I6530" s="26" t="s">
        <v>892</v>
      </c>
      <c r="J6530" s="25" t="str">
        <f t="shared" si="67"/>
        <v>No</v>
      </c>
      <c r="K6530" s="25" t="str">
        <f t="shared" si="68"/>
        <v/>
      </c>
      <c r="L6530" s="25" t="str">
        <f t="shared" si="69"/>
        <v/>
      </c>
      <c r="M6530" s="25"/>
      <c r="O6530" s="25"/>
    </row>
    <row r="6531" ht="15.75" customHeight="1">
      <c r="A6531" s="25" t="str">
        <f>IFERROR(__xludf.DUMMYFUNCTION("IF(B6531="""","""",RIGHT(REGEXREPLACE(B6531&amp;"""",""[^0-9]"",""""),9))"),"752135522")</f>
        <v>752135522</v>
      </c>
      <c r="B6531" s="26" t="s">
        <v>6705</v>
      </c>
      <c r="C6531" s="28" t="s">
        <v>4928</v>
      </c>
      <c r="D6531" s="26" t="s">
        <v>56</v>
      </c>
      <c r="E6531" s="31">
        <v>46241.0</v>
      </c>
      <c r="F6531" s="26" t="s">
        <v>46</v>
      </c>
      <c r="G6531" s="26">
        <v>11.0</v>
      </c>
      <c r="H6531" s="26" t="s">
        <v>6706</v>
      </c>
      <c r="I6531" s="26" t="s">
        <v>892</v>
      </c>
      <c r="J6531" s="25" t="str">
        <f t="shared" si="67"/>
        <v>Yes - see Previous F-Code</v>
      </c>
      <c r="K6531" s="25" t="str">
        <f t="shared" si="68"/>
        <v/>
      </c>
      <c r="L6531" s="25" t="str">
        <f t="shared" si="69"/>
        <v>F74494</v>
      </c>
      <c r="M6531" s="25"/>
      <c r="O6531" s="25"/>
    </row>
    <row r="6532" ht="15.75" customHeight="1">
      <c r="A6532" s="25" t="str">
        <f>IFERROR(__xludf.DUMMYFUNCTION("IF(B6532="""","""",RIGHT(REGEXREPLACE(B6532&amp;"""",""[^0-9]"",""""),9))"),"719709085")</f>
        <v>719709085</v>
      </c>
      <c r="B6532" s="26" t="s">
        <v>6707</v>
      </c>
      <c r="C6532" s="28" t="s">
        <v>6708</v>
      </c>
      <c r="D6532" s="26" t="s">
        <v>64</v>
      </c>
      <c r="E6532" s="31">
        <v>46241.0</v>
      </c>
      <c r="F6532" s="26" t="s">
        <v>46</v>
      </c>
      <c r="G6532" s="26">
        <v>6.0</v>
      </c>
      <c r="H6532" s="26" t="s">
        <v>6709</v>
      </c>
      <c r="I6532" s="26" t="s">
        <v>892</v>
      </c>
      <c r="J6532" s="25" t="str">
        <f t="shared" si="67"/>
        <v>No</v>
      </c>
      <c r="K6532" s="25" t="str">
        <f t="shared" si="68"/>
        <v/>
      </c>
      <c r="L6532" s="25" t="str">
        <f t="shared" si="69"/>
        <v/>
      </c>
      <c r="M6532" s="25"/>
      <c r="O6532" s="26" t="s">
        <v>51</v>
      </c>
    </row>
    <row r="6533" ht="15.75" customHeight="1">
      <c r="A6533" s="25" t="str">
        <f>IFERROR(__xludf.DUMMYFUNCTION("IF(B6533="""","""",RIGHT(REGEXREPLACE(B6533&amp;"""",""[^0-9]"",""""),9))"),"778832558")</f>
        <v>778832558</v>
      </c>
      <c r="B6533" s="26" t="s">
        <v>6710</v>
      </c>
      <c r="C6533" s="28" t="s">
        <v>6711</v>
      </c>
      <c r="D6533" s="26" t="s">
        <v>56</v>
      </c>
      <c r="E6533" s="31">
        <v>46241.0</v>
      </c>
      <c r="F6533" s="26" t="s">
        <v>659</v>
      </c>
      <c r="I6533" s="26" t="s">
        <v>892</v>
      </c>
      <c r="J6533" s="25" t="str">
        <f t="shared" si="67"/>
        <v>No</v>
      </c>
      <c r="K6533" s="25" t="str">
        <f t="shared" si="68"/>
        <v/>
      </c>
      <c r="L6533" s="25" t="str">
        <f t="shared" si="69"/>
        <v/>
      </c>
      <c r="M6533" s="25"/>
      <c r="O6533" s="25"/>
    </row>
    <row r="6534" ht="15.75" customHeight="1">
      <c r="A6534" s="25" t="str">
        <f>IFERROR(__xludf.DUMMYFUNCTION("IF(B6534="""","""",RIGHT(REGEXREPLACE(B6534&amp;"""",""[^0-9]"",""""),9))"),"762268918")</f>
        <v>762268918</v>
      </c>
      <c r="B6534" s="26" t="s">
        <v>6712</v>
      </c>
      <c r="C6534" s="28" t="s">
        <v>6713</v>
      </c>
      <c r="D6534" s="26" t="s">
        <v>82</v>
      </c>
      <c r="E6534" s="31">
        <v>46241.0</v>
      </c>
      <c r="F6534" s="26" t="s">
        <v>205</v>
      </c>
      <c r="I6534" s="26" t="s">
        <v>892</v>
      </c>
      <c r="J6534" s="25" t="str">
        <f t="shared" si="67"/>
        <v>No</v>
      </c>
      <c r="K6534" s="25" t="str">
        <f t="shared" si="68"/>
        <v/>
      </c>
      <c r="L6534" s="25" t="str">
        <f t="shared" si="69"/>
        <v/>
      </c>
      <c r="M6534" s="25"/>
      <c r="O6534" s="25"/>
    </row>
    <row r="6535" ht="15.75" customHeight="1">
      <c r="A6535" s="25" t="str">
        <f>IFERROR(__xludf.DUMMYFUNCTION("IF(B6535="""","""",RIGHT(REGEXREPLACE(B6535&amp;"""",""[^0-9]"",""""),9))"),"753379738")</f>
        <v>753379738</v>
      </c>
      <c r="B6535" s="26" t="s">
        <v>6714</v>
      </c>
      <c r="C6535" s="28" t="s">
        <v>6715</v>
      </c>
      <c r="D6535" s="26" t="s">
        <v>64</v>
      </c>
      <c r="E6535" s="31">
        <v>46241.0</v>
      </c>
      <c r="F6535" s="26" t="s">
        <v>46</v>
      </c>
      <c r="H6535" s="26" t="s">
        <v>78</v>
      </c>
      <c r="I6535" s="26" t="s">
        <v>892</v>
      </c>
      <c r="J6535" s="25" t="str">
        <f t="shared" si="67"/>
        <v>No</v>
      </c>
      <c r="K6535" s="25" t="str">
        <f t="shared" si="68"/>
        <v/>
      </c>
      <c r="L6535" s="25" t="str">
        <f t="shared" si="69"/>
        <v/>
      </c>
      <c r="M6535" s="25"/>
      <c r="O6535" s="25"/>
    </row>
    <row r="6536" ht="15.75" customHeight="1">
      <c r="A6536" s="25" t="str">
        <f>IFERROR(__xludf.DUMMYFUNCTION("IF(B6536="""","""",RIGHT(REGEXREPLACE(B6536&amp;"""",""[^0-9]"",""""),9))"),"770445103")</f>
        <v>770445103</v>
      </c>
      <c r="B6536" s="26" t="s">
        <v>6716</v>
      </c>
      <c r="C6536" s="28" t="s">
        <v>5000</v>
      </c>
      <c r="D6536" s="26" t="s">
        <v>82</v>
      </c>
      <c r="E6536" s="31">
        <v>46241.0</v>
      </c>
      <c r="F6536" s="26" t="s">
        <v>46</v>
      </c>
      <c r="G6536" s="26">
        <v>10.0</v>
      </c>
      <c r="H6536" s="26" t="s">
        <v>6717</v>
      </c>
      <c r="I6536" s="26" t="s">
        <v>892</v>
      </c>
      <c r="J6536" s="25" t="str">
        <f t="shared" si="67"/>
        <v>Yes - see Previous F-Code</v>
      </c>
      <c r="K6536" s="25" t="str">
        <f t="shared" si="68"/>
        <v/>
      </c>
      <c r="L6536" s="25" t="str">
        <f t="shared" si="69"/>
        <v>F74558</v>
      </c>
      <c r="M6536" s="25"/>
      <c r="O6536" s="25"/>
    </row>
    <row r="6537" ht="15.75" customHeight="1">
      <c r="A6537" s="25" t="str">
        <f>IFERROR(__xludf.DUMMYFUNCTION("IF(B6537="""","""",RIGHT(REGEXREPLACE(B6537&amp;"""",""[^0-9]"",""""),9))"),"779480582")</f>
        <v>779480582</v>
      </c>
      <c r="B6537" s="26" t="s">
        <v>6718</v>
      </c>
      <c r="C6537" s="28" t="s">
        <v>6719</v>
      </c>
      <c r="D6537" s="26" t="s">
        <v>56</v>
      </c>
      <c r="E6537" s="31">
        <v>46241.0</v>
      </c>
      <c r="F6537" s="26" t="s">
        <v>205</v>
      </c>
      <c r="I6537" s="26" t="s">
        <v>892</v>
      </c>
      <c r="J6537" s="25" t="str">
        <f t="shared" si="67"/>
        <v>No</v>
      </c>
      <c r="K6537" s="25" t="str">
        <f t="shared" si="68"/>
        <v/>
      </c>
      <c r="L6537" s="25" t="str">
        <f t="shared" si="69"/>
        <v/>
      </c>
      <c r="M6537" s="25"/>
      <c r="O6537" s="25"/>
    </row>
    <row r="6538" ht="15.75" customHeight="1">
      <c r="A6538" s="25" t="str">
        <f>IFERROR(__xludf.DUMMYFUNCTION("IF(B6538="""","""",RIGHT(REGEXREPLACE(B6538&amp;"""",""[^0-9]"",""""),9))"),"767931370")</f>
        <v>767931370</v>
      </c>
      <c r="B6538" s="26" t="s">
        <v>6720</v>
      </c>
      <c r="C6538" s="28" t="s">
        <v>6721</v>
      </c>
      <c r="D6538" s="26" t="s">
        <v>64</v>
      </c>
      <c r="E6538" s="31">
        <v>46241.0</v>
      </c>
      <c r="F6538" s="26" t="s">
        <v>46</v>
      </c>
      <c r="G6538" s="26">
        <v>8.0</v>
      </c>
      <c r="H6538" s="26" t="s">
        <v>6342</v>
      </c>
      <c r="I6538" s="26" t="s">
        <v>892</v>
      </c>
      <c r="J6538" s="25" t="str">
        <f t="shared" si="67"/>
        <v>No</v>
      </c>
      <c r="K6538" s="25" t="str">
        <f t="shared" si="68"/>
        <v/>
      </c>
      <c r="L6538" s="25" t="str">
        <f t="shared" si="69"/>
        <v/>
      </c>
      <c r="M6538" s="25"/>
      <c r="O6538" s="25"/>
    </row>
    <row r="6539" ht="15.75" customHeight="1">
      <c r="A6539" s="25" t="str">
        <f>IFERROR(__xludf.DUMMYFUNCTION("IF(B6539="""","""",RIGHT(REGEXREPLACE(B6539&amp;"""",""[^0-9]"",""""),9))"),"782946306")</f>
        <v>782946306</v>
      </c>
      <c r="B6539" s="26" t="s">
        <v>6722</v>
      </c>
      <c r="C6539" s="28" t="s">
        <v>6723</v>
      </c>
      <c r="D6539" s="26" t="s">
        <v>56</v>
      </c>
      <c r="E6539" s="31">
        <v>46241.0</v>
      </c>
      <c r="F6539" s="26" t="s">
        <v>46</v>
      </c>
      <c r="G6539" s="26">
        <v>11.0</v>
      </c>
      <c r="H6539" s="26" t="s">
        <v>6451</v>
      </c>
      <c r="I6539" s="26" t="s">
        <v>892</v>
      </c>
      <c r="J6539" s="25" t="str">
        <f t="shared" si="67"/>
        <v>No</v>
      </c>
      <c r="K6539" s="25" t="str">
        <f t="shared" si="68"/>
        <v/>
      </c>
      <c r="L6539" s="25" t="str">
        <f t="shared" si="69"/>
        <v/>
      </c>
      <c r="M6539" s="25"/>
      <c r="O6539" s="25"/>
    </row>
    <row r="6540" ht="15.75" customHeight="1">
      <c r="A6540" s="25" t="str">
        <f>IFERROR(__xludf.DUMMYFUNCTION("IF(B6540="""","""",RIGHT(REGEXREPLACE(B6540&amp;"""",""[^0-9]"",""""),9))"),"788205343")</f>
        <v>788205343</v>
      </c>
      <c r="B6540" s="26" t="s">
        <v>6724</v>
      </c>
      <c r="C6540" s="28" t="s">
        <v>6725</v>
      </c>
      <c r="D6540" s="26" t="s">
        <v>64</v>
      </c>
      <c r="E6540" s="31">
        <v>46241.0</v>
      </c>
      <c r="F6540" s="26" t="s">
        <v>46</v>
      </c>
      <c r="G6540" s="26">
        <v>10.0</v>
      </c>
      <c r="H6540" s="26" t="s">
        <v>6342</v>
      </c>
      <c r="I6540" s="26" t="s">
        <v>892</v>
      </c>
      <c r="J6540" s="25" t="str">
        <f t="shared" si="67"/>
        <v>No</v>
      </c>
      <c r="K6540" s="25" t="str">
        <f t="shared" si="68"/>
        <v/>
      </c>
      <c r="L6540" s="25" t="str">
        <f t="shared" si="69"/>
        <v/>
      </c>
      <c r="M6540" s="25"/>
      <c r="O6540" s="25"/>
    </row>
    <row r="6541" ht="15.75" customHeight="1">
      <c r="A6541" s="25" t="str">
        <f>IFERROR(__xludf.DUMMYFUNCTION("IF(B6541="""","""",RIGHT(REGEXREPLACE(B6541&amp;"""",""[^0-9]"",""""),9))"),"702450517")</f>
        <v>702450517</v>
      </c>
      <c r="B6541" s="26" t="s">
        <v>6726</v>
      </c>
      <c r="C6541" s="28" t="s">
        <v>6727</v>
      </c>
      <c r="D6541" s="26" t="s">
        <v>82</v>
      </c>
      <c r="E6541" s="31">
        <v>46241.0</v>
      </c>
      <c r="F6541" s="26" t="s">
        <v>46</v>
      </c>
      <c r="G6541" s="26">
        <v>11.0</v>
      </c>
      <c r="H6541" s="26" t="s">
        <v>6728</v>
      </c>
      <c r="I6541" s="26" t="s">
        <v>892</v>
      </c>
      <c r="J6541" s="25" t="str">
        <f t="shared" si="67"/>
        <v>No</v>
      </c>
      <c r="K6541" s="25" t="str">
        <f t="shared" si="68"/>
        <v/>
      </c>
      <c r="L6541" s="25" t="str">
        <f t="shared" si="69"/>
        <v/>
      </c>
      <c r="M6541" s="25"/>
      <c r="O6541" s="25"/>
    </row>
    <row r="6542" ht="15.75" customHeight="1">
      <c r="A6542" s="25" t="str">
        <f>IFERROR(__xludf.DUMMYFUNCTION("IF(B6542="""","""",RIGHT(REGEXREPLACE(B6542&amp;"""",""[^0-9]"",""""),9))"),"761255692")</f>
        <v>761255692</v>
      </c>
      <c r="B6542" s="26" t="s">
        <v>6729</v>
      </c>
      <c r="C6542" s="28" t="s">
        <v>6730</v>
      </c>
      <c r="D6542" s="26" t="s">
        <v>56</v>
      </c>
      <c r="E6542" s="31">
        <v>46241.0</v>
      </c>
      <c r="F6542" s="26" t="s">
        <v>46</v>
      </c>
      <c r="G6542" s="26">
        <v>10.0</v>
      </c>
      <c r="H6542" s="26" t="s">
        <v>6451</v>
      </c>
      <c r="I6542" s="26" t="s">
        <v>892</v>
      </c>
      <c r="J6542" s="25" t="str">
        <f t="shared" si="67"/>
        <v>No</v>
      </c>
      <c r="K6542" s="25" t="str">
        <f t="shared" si="68"/>
        <v/>
      </c>
      <c r="L6542" s="25" t="str">
        <f t="shared" si="69"/>
        <v/>
      </c>
      <c r="M6542" s="25"/>
      <c r="O6542" s="25"/>
    </row>
    <row r="6543" ht="15.75" customHeight="1">
      <c r="A6543" s="25" t="str">
        <f>IFERROR(__xludf.DUMMYFUNCTION("IF(B6543="""","""",RIGHT(REGEXREPLACE(B6543&amp;"""",""[^0-9]"",""""),9))"),"719914089")</f>
        <v>719914089</v>
      </c>
      <c r="B6543" s="26" t="s">
        <v>6731</v>
      </c>
      <c r="C6543" s="28" t="s">
        <v>6732</v>
      </c>
      <c r="D6543" s="26" t="s">
        <v>49</v>
      </c>
      <c r="E6543" s="31">
        <v>46241.0</v>
      </c>
      <c r="F6543" s="26" t="s">
        <v>46</v>
      </c>
      <c r="G6543" s="26">
        <v>9.0</v>
      </c>
      <c r="H6543" s="26" t="s">
        <v>5896</v>
      </c>
      <c r="I6543" s="26" t="s">
        <v>892</v>
      </c>
      <c r="J6543" s="25" t="str">
        <f t="shared" si="67"/>
        <v>No</v>
      </c>
      <c r="K6543" s="25" t="str">
        <f t="shared" si="68"/>
        <v/>
      </c>
      <c r="L6543" s="25" t="str">
        <f t="shared" si="69"/>
        <v/>
      </c>
      <c r="M6543" s="25"/>
      <c r="O6543" s="25"/>
    </row>
    <row r="6544" ht="15.75" customHeight="1">
      <c r="A6544" s="25" t="str">
        <f>IFERROR(__xludf.DUMMYFUNCTION("IF(B6544="""","""",RIGHT(REGEXREPLACE(B6544&amp;"""",""[^0-9]"",""""),9))"),"760766805")</f>
        <v>760766805</v>
      </c>
      <c r="B6544" s="26" t="s">
        <v>6733</v>
      </c>
      <c r="C6544" s="28" t="s">
        <v>5644</v>
      </c>
      <c r="D6544" s="26" t="s">
        <v>56</v>
      </c>
      <c r="E6544" s="31">
        <v>46241.0</v>
      </c>
      <c r="F6544" s="26" t="s">
        <v>46</v>
      </c>
      <c r="G6544" s="26">
        <v>8.0</v>
      </c>
      <c r="H6544" s="26" t="s">
        <v>2615</v>
      </c>
      <c r="I6544" s="26" t="s">
        <v>892</v>
      </c>
      <c r="J6544" s="25" t="str">
        <f t="shared" si="67"/>
        <v>Yes - see Previous F-Code</v>
      </c>
      <c r="K6544" s="25" t="str">
        <f t="shared" si="68"/>
        <v/>
      </c>
      <c r="L6544" s="25" t="str">
        <f t="shared" si="69"/>
        <v>F75111</v>
      </c>
      <c r="M6544" s="25"/>
      <c r="O6544" s="25"/>
    </row>
    <row r="6545" ht="15.75" customHeight="1">
      <c r="A6545" s="25" t="str">
        <f>IFERROR(__xludf.DUMMYFUNCTION("IF(B6545="""","""",RIGHT(REGEXREPLACE(B6545&amp;"""",""[^0-9]"",""""),9))"),"725919391")</f>
        <v>725919391</v>
      </c>
      <c r="B6545" s="26" t="s">
        <v>6734</v>
      </c>
      <c r="C6545" s="28" t="s">
        <v>1347</v>
      </c>
      <c r="D6545" s="26" t="s">
        <v>64</v>
      </c>
      <c r="E6545" s="31">
        <v>46241.0</v>
      </c>
      <c r="F6545" s="26" t="s">
        <v>41</v>
      </c>
      <c r="I6545" s="26" t="s">
        <v>892</v>
      </c>
      <c r="J6545" s="25" t="str">
        <f t="shared" si="67"/>
        <v>Yes - see Previous F-Code</v>
      </c>
      <c r="K6545" s="25" t="str">
        <f t="shared" si="68"/>
        <v/>
      </c>
      <c r="L6545" s="25" t="str">
        <f t="shared" si="69"/>
        <v>F71077</v>
      </c>
      <c r="M6545" s="25"/>
      <c r="O6545" s="25"/>
    </row>
    <row r="6546" ht="15.75" customHeight="1">
      <c r="A6546" s="25" t="str">
        <f>IFERROR(__xludf.DUMMYFUNCTION("IF(B6546="""","""",RIGHT(REGEXREPLACE(B6546&amp;"""",""[^0-9]"",""""),9))"),"760288382")</f>
        <v>760288382</v>
      </c>
      <c r="B6546" s="26" t="s">
        <v>6735</v>
      </c>
      <c r="C6546" s="28" t="s">
        <v>6736</v>
      </c>
      <c r="D6546" s="26" t="s">
        <v>82</v>
      </c>
      <c r="E6546" s="31">
        <v>46241.0</v>
      </c>
      <c r="F6546" s="26" t="s">
        <v>46</v>
      </c>
      <c r="G6546" s="26">
        <v>10.0</v>
      </c>
      <c r="H6546" s="26" t="s">
        <v>6737</v>
      </c>
      <c r="I6546" s="26" t="s">
        <v>892</v>
      </c>
      <c r="J6546" s="25" t="str">
        <f t="shared" si="67"/>
        <v>No</v>
      </c>
      <c r="K6546" s="25" t="str">
        <f t="shared" si="68"/>
        <v/>
      </c>
      <c r="L6546" s="25" t="str">
        <f t="shared" si="69"/>
        <v/>
      </c>
      <c r="M6546" s="25"/>
      <c r="O6546" s="25"/>
    </row>
    <row r="6547" ht="15.75" customHeight="1">
      <c r="A6547" s="25" t="str">
        <f>IFERROR(__xludf.DUMMYFUNCTION("IF(B6547="""","""",RIGHT(REGEXREPLACE(B6547&amp;"""",""[^0-9]"",""""),9))"),"776456500")</f>
        <v>776456500</v>
      </c>
      <c r="B6547" s="26" t="s">
        <v>6738</v>
      </c>
      <c r="C6547" s="28" t="s">
        <v>6739</v>
      </c>
      <c r="D6547" s="26" t="s">
        <v>56</v>
      </c>
      <c r="E6547" s="31">
        <v>46241.0</v>
      </c>
      <c r="F6547" s="26" t="s">
        <v>41</v>
      </c>
      <c r="I6547" s="26" t="s">
        <v>892</v>
      </c>
      <c r="J6547" s="25" t="str">
        <f t="shared" si="67"/>
        <v>No</v>
      </c>
      <c r="K6547" s="25" t="str">
        <f t="shared" si="68"/>
        <v/>
      </c>
      <c r="L6547" s="25" t="str">
        <f t="shared" si="69"/>
        <v/>
      </c>
      <c r="M6547" s="25"/>
      <c r="O6547" s="25"/>
    </row>
    <row r="6548" ht="15.75" customHeight="1">
      <c r="A6548" s="25" t="str">
        <f>IFERROR(__xludf.DUMMYFUNCTION("IF(B6548="""","""",RIGHT(REGEXREPLACE(B6548&amp;"""",""[^0-9]"",""""),9))"),"740790430")</f>
        <v>740790430</v>
      </c>
      <c r="B6548" s="26" t="s">
        <v>6740</v>
      </c>
      <c r="C6548" s="28" t="s">
        <v>6741</v>
      </c>
      <c r="D6548" s="26" t="s">
        <v>64</v>
      </c>
      <c r="E6548" s="31">
        <v>46241.0</v>
      </c>
      <c r="F6548" s="26" t="s">
        <v>46</v>
      </c>
      <c r="G6548" s="26">
        <v>11.0</v>
      </c>
      <c r="H6548" s="26" t="s">
        <v>6742</v>
      </c>
      <c r="I6548" s="26" t="s">
        <v>892</v>
      </c>
      <c r="J6548" s="25" t="str">
        <f t="shared" si="67"/>
        <v>No</v>
      </c>
      <c r="K6548" s="25" t="str">
        <f t="shared" si="68"/>
        <v/>
      </c>
      <c r="L6548" s="25" t="str">
        <f t="shared" si="69"/>
        <v/>
      </c>
      <c r="M6548" s="25"/>
      <c r="O6548" s="25"/>
    </row>
    <row r="6549" ht="15.75" customHeight="1">
      <c r="A6549" s="25" t="str">
        <f>IFERROR(__xludf.DUMMYFUNCTION("IF(B6549="""","""",RIGHT(REGEXREPLACE(B6549&amp;"""",""[^0-9]"",""""),9))"),"763742147")</f>
        <v>763742147</v>
      </c>
      <c r="B6549" s="26" t="s">
        <v>6743</v>
      </c>
      <c r="C6549" s="28" t="s">
        <v>6744</v>
      </c>
      <c r="D6549" s="26" t="s">
        <v>49</v>
      </c>
      <c r="E6549" s="31">
        <v>46241.0</v>
      </c>
      <c r="F6549" s="26" t="s">
        <v>46</v>
      </c>
      <c r="G6549" s="26">
        <v>10.0</v>
      </c>
      <c r="H6549" s="26" t="s">
        <v>5896</v>
      </c>
      <c r="I6549" s="26" t="s">
        <v>892</v>
      </c>
      <c r="J6549" s="25" t="str">
        <f t="shared" si="67"/>
        <v>No</v>
      </c>
      <c r="K6549" s="25" t="str">
        <f t="shared" si="68"/>
        <v/>
      </c>
      <c r="L6549" s="25" t="str">
        <f t="shared" si="69"/>
        <v/>
      </c>
      <c r="M6549" s="25"/>
      <c r="O6549" s="25"/>
    </row>
    <row r="6550" ht="15.75" customHeight="1">
      <c r="A6550" s="25" t="str">
        <f>IFERROR(__xludf.DUMMYFUNCTION("IF(B6550="""","""",RIGHT(REGEXREPLACE(B6550&amp;"""",""[^0-9]"",""""),9))"),"701536550")</f>
        <v>701536550</v>
      </c>
      <c r="B6550" s="26" t="s">
        <v>6745</v>
      </c>
      <c r="C6550" s="28" t="s">
        <v>6746</v>
      </c>
      <c r="D6550" s="26" t="s">
        <v>64</v>
      </c>
      <c r="E6550" s="31">
        <v>46241.0</v>
      </c>
      <c r="F6550" s="26" t="s">
        <v>46</v>
      </c>
      <c r="G6550" s="26">
        <v>6.0</v>
      </c>
      <c r="H6550" s="26" t="s">
        <v>6742</v>
      </c>
      <c r="I6550" s="26" t="s">
        <v>892</v>
      </c>
      <c r="J6550" s="25" t="str">
        <f t="shared" si="67"/>
        <v>No</v>
      </c>
      <c r="K6550" s="25" t="str">
        <f t="shared" si="68"/>
        <v/>
      </c>
      <c r="L6550" s="25" t="str">
        <f t="shared" si="69"/>
        <v/>
      </c>
      <c r="M6550" s="25"/>
      <c r="O6550" s="25"/>
    </row>
    <row r="6551" ht="15.75" customHeight="1">
      <c r="A6551" s="25" t="str">
        <f>IFERROR(__xludf.DUMMYFUNCTION("IF(B6551="""","""",RIGHT(REGEXREPLACE(B6551&amp;"""",""[^0-9]"",""""),9))"),"773935852")</f>
        <v>773935852</v>
      </c>
      <c r="B6551" s="26" t="s">
        <v>6747</v>
      </c>
      <c r="C6551" s="28" t="s">
        <v>6748</v>
      </c>
      <c r="D6551" s="26" t="s">
        <v>82</v>
      </c>
      <c r="E6551" s="31">
        <v>46241.0</v>
      </c>
      <c r="F6551" s="26" t="s">
        <v>46</v>
      </c>
      <c r="G6551" s="26">
        <v>10.0</v>
      </c>
      <c r="H6551" s="26" t="s">
        <v>6420</v>
      </c>
      <c r="I6551" s="26" t="s">
        <v>892</v>
      </c>
      <c r="J6551" s="25" t="str">
        <f t="shared" si="67"/>
        <v>No</v>
      </c>
      <c r="K6551" s="25" t="str">
        <f t="shared" si="68"/>
        <v/>
      </c>
      <c r="L6551" s="25" t="str">
        <f t="shared" si="69"/>
        <v/>
      </c>
      <c r="M6551" s="25"/>
      <c r="O6551" s="25"/>
    </row>
    <row r="6552" ht="15.75" customHeight="1">
      <c r="A6552" s="25" t="str">
        <f>IFERROR(__xludf.DUMMYFUNCTION("IF(B6552="""","""",RIGHT(REGEXREPLACE(B6552&amp;"""",""[^0-9]"",""""),9))"),"779824366")</f>
        <v>779824366</v>
      </c>
      <c r="B6552" s="26" t="s">
        <v>6749</v>
      </c>
      <c r="C6552" s="28" t="s">
        <v>6750</v>
      </c>
      <c r="D6552" s="26" t="s">
        <v>56</v>
      </c>
      <c r="E6552" s="31">
        <v>46241.0</v>
      </c>
      <c r="F6552" s="26" t="s">
        <v>46</v>
      </c>
      <c r="G6552" s="26">
        <v>11.0</v>
      </c>
      <c r="H6552" s="26" t="s">
        <v>6451</v>
      </c>
      <c r="I6552" s="26" t="s">
        <v>892</v>
      </c>
      <c r="J6552" s="25" t="str">
        <f t="shared" si="67"/>
        <v>No</v>
      </c>
      <c r="K6552" s="25" t="str">
        <f t="shared" si="68"/>
        <v/>
      </c>
      <c r="L6552" s="25" t="str">
        <f t="shared" si="69"/>
        <v/>
      </c>
      <c r="M6552" s="25"/>
      <c r="O6552" s="25"/>
    </row>
    <row r="6553" ht="15.75" customHeight="1">
      <c r="A6553" s="25" t="str">
        <f>IFERROR(__xludf.DUMMYFUNCTION("IF(B6553="""","""",RIGHT(REGEXREPLACE(B6553&amp;"""",""[^0-9]"",""""),9))"),"773024840")</f>
        <v>773024840</v>
      </c>
      <c r="B6553" s="26" t="s">
        <v>6751</v>
      </c>
      <c r="C6553" s="28" t="s">
        <v>6752</v>
      </c>
      <c r="D6553" s="26" t="s">
        <v>64</v>
      </c>
      <c r="E6553" s="31">
        <v>46241.0</v>
      </c>
      <c r="F6553" s="26" t="s">
        <v>46</v>
      </c>
      <c r="G6553" s="26">
        <v>10.0</v>
      </c>
      <c r="H6553" s="26" t="s">
        <v>6342</v>
      </c>
      <c r="I6553" s="26" t="s">
        <v>892</v>
      </c>
      <c r="J6553" s="25" t="str">
        <f t="shared" si="67"/>
        <v>No</v>
      </c>
      <c r="K6553" s="25" t="str">
        <f t="shared" si="68"/>
        <v/>
      </c>
      <c r="L6553" s="25" t="str">
        <f t="shared" si="69"/>
        <v/>
      </c>
      <c r="M6553" s="25"/>
      <c r="O6553" s="25"/>
    </row>
    <row r="6554" ht="15.75" customHeight="1">
      <c r="A6554" s="25" t="str">
        <f>IFERROR(__xludf.DUMMYFUNCTION("IF(B6554="""","""",RIGHT(REGEXREPLACE(B6554&amp;"""",""[^0-9]"",""""),9))"),"712081371")</f>
        <v>712081371</v>
      </c>
      <c r="B6554" s="26" t="s">
        <v>6753</v>
      </c>
      <c r="C6554" s="28" t="s">
        <v>6754</v>
      </c>
      <c r="D6554" s="26" t="s">
        <v>49</v>
      </c>
      <c r="E6554" s="31">
        <v>46241.0</v>
      </c>
      <c r="F6554" s="26" t="s">
        <v>46</v>
      </c>
      <c r="G6554" s="26">
        <v>11.0</v>
      </c>
      <c r="H6554" s="72" t="s">
        <v>6755</v>
      </c>
      <c r="I6554" s="26" t="s">
        <v>892</v>
      </c>
      <c r="J6554" s="25" t="str">
        <f t="shared" si="67"/>
        <v>No</v>
      </c>
      <c r="K6554" s="25" t="str">
        <f t="shared" si="68"/>
        <v/>
      </c>
      <c r="L6554" s="25" t="str">
        <f t="shared" si="69"/>
        <v/>
      </c>
      <c r="M6554" s="25"/>
      <c r="O6554" s="25"/>
    </row>
    <row r="6555" ht="15.75" customHeight="1">
      <c r="A6555" s="25" t="str">
        <f>IFERROR(__xludf.DUMMYFUNCTION("IF(B6555="""","""",RIGHT(REGEXREPLACE(B6555&amp;"""",""[^0-9]"",""""),9))"),"741871726")</f>
        <v>741871726</v>
      </c>
      <c r="B6555" s="26" t="s">
        <v>6756</v>
      </c>
      <c r="C6555" s="28" t="s">
        <v>5572</v>
      </c>
      <c r="D6555" s="26" t="s">
        <v>56</v>
      </c>
      <c r="E6555" s="31">
        <v>46241.0</v>
      </c>
      <c r="F6555" s="26" t="s">
        <v>659</v>
      </c>
      <c r="I6555" s="26" t="s">
        <v>892</v>
      </c>
      <c r="J6555" s="25" t="str">
        <f t="shared" si="67"/>
        <v>Yes - see Previous F-Code</v>
      </c>
      <c r="K6555" s="25" t="str">
        <f t="shared" si="68"/>
        <v/>
      </c>
      <c r="L6555" s="25" t="str">
        <f t="shared" si="69"/>
        <v>F75051</v>
      </c>
      <c r="M6555" s="25"/>
      <c r="O6555" s="25"/>
    </row>
    <row r="6556" ht="15.75" customHeight="1">
      <c r="A6556" s="25" t="str">
        <f>IFERROR(__xludf.DUMMYFUNCTION("IF(B6556="""","""",RIGHT(REGEXREPLACE(B6556&amp;"""",""[^0-9]"",""""),9))"),"776752816")</f>
        <v>776752816</v>
      </c>
      <c r="B6556" s="26" t="s">
        <v>5154</v>
      </c>
      <c r="C6556" s="28" t="s">
        <v>5155</v>
      </c>
      <c r="D6556" s="26" t="s">
        <v>82</v>
      </c>
      <c r="E6556" s="31">
        <v>46241.0</v>
      </c>
      <c r="F6556" s="26" t="s">
        <v>46</v>
      </c>
      <c r="G6556" s="26">
        <v>10.0</v>
      </c>
      <c r="H6556" s="26" t="s">
        <v>6509</v>
      </c>
      <c r="I6556" s="26" t="s">
        <v>892</v>
      </c>
      <c r="J6556" s="25" t="str">
        <f t="shared" si="67"/>
        <v>Yes - see Previous F-Code</v>
      </c>
      <c r="K6556" s="25" t="str">
        <f t="shared" si="68"/>
        <v/>
      </c>
      <c r="L6556" s="25" t="str">
        <f t="shared" si="69"/>
        <v>F74695</v>
      </c>
      <c r="M6556" s="25"/>
      <c r="O6556" s="25"/>
    </row>
    <row r="6557" ht="15.75" customHeight="1">
      <c r="A6557" s="25" t="str">
        <f>IFERROR(__xludf.DUMMYFUNCTION("IF(B6557="""","""",RIGHT(REGEXREPLACE(B6557&amp;"""",""[^0-9]"",""""),9))"),"779695055")</f>
        <v>779695055</v>
      </c>
      <c r="B6557" s="26" t="s">
        <v>6757</v>
      </c>
      <c r="C6557" s="28" t="s">
        <v>6758</v>
      </c>
      <c r="D6557" s="26" t="s">
        <v>64</v>
      </c>
      <c r="E6557" s="31">
        <v>46241.0</v>
      </c>
      <c r="F6557" s="26" t="s">
        <v>41</v>
      </c>
      <c r="I6557" s="26" t="s">
        <v>892</v>
      </c>
      <c r="J6557" s="25" t="str">
        <f t="shared" si="67"/>
        <v>No</v>
      </c>
      <c r="K6557" s="25" t="str">
        <f t="shared" si="68"/>
        <v/>
      </c>
      <c r="L6557" s="25" t="str">
        <f t="shared" si="69"/>
        <v/>
      </c>
      <c r="M6557" s="25"/>
      <c r="O6557" s="25"/>
    </row>
    <row r="6558" ht="15.75" customHeight="1">
      <c r="A6558" s="25" t="str">
        <f>IFERROR(__xludf.DUMMYFUNCTION("IF(B6558="""","""",RIGHT(REGEXREPLACE(B6558&amp;"""",""[^0-9]"",""""),9))"),"713612695")</f>
        <v>713612695</v>
      </c>
      <c r="B6558" s="26" t="s">
        <v>6759</v>
      </c>
      <c r="C6558" s="28" t="s">
        <v>5732</v>
      </c>
      <c r="D6558" s="26" t="s">
        <v>56</v>
      </c>
      <c r="E6558" s="31">
        <v>46241.0</v>
      </c>
      <c r="F6558" s="26" t="s">
        <v>41</v>
      </c>
      <c r="I6558" s="26" t="s">
        <v>892</v>
      </c>
      <c r="J6558" s="25" t="str">
        <f t="shared" si="67"/>
        <v>Yes - see Previous F-Code</v>
      </c>
      <c r="K6558" s="25" t="str">
        <f t="shared" si="68"/>
        <v/>
      </c>
      <c r="L6558" s="25" t="str">
        <f t="shared" si="69"/>
        <v>F75182</v>
      </c>
      <c r="M6558" s="25"/>
      <c r="O6558" s="25"/>
    </row>
    <row r="6559" ht="15.75" customHeight="1">
      <c r="A6559" s="25" t="str">
        <f>IFERROR(__xludf.DUMMYFUNCTION("IF(B6559="""","""",RIGHT(REGEXREPLACE(B6559&amp;"""",""[^0-9]"",""""),9))"),"713331621")</f>
        <v>713331621</v>
      </c>
      <c r="B6559" s="26" t="s">
        <v>6760</v>
      </c>
      <c r="C6559" s="28" t="s">
        <v>6761</v>
      </c>
      <c r="D6559" s="26" t="s">
        <v>64</v>
      </c>
      <c r="E6559" s="31">
        <v>46241.0</v>
      </c>
      <c r="F6559" s="26" t="s">
        <v>205</v>
      </c>
      <c r="I6559" s="26" t="s">
        <v>892</v>
      </c>
      <c r="J6559" s="25" t="str">
        <f t="shared" si="67"/>
        <v>No</v>
      </c>
      <c r="K6559" s="25" t="str">
        <f t="shared" si="68"/>
        <v/>
      </c>
      <c r="L6559" s="25" t="str">
        <f t="shared" si="69"/>
        <v/>
      </c>
      <c r="M6559" s="25"/>
      <c r="O6559" s="25"/>
    </row>
    <row r="6560" ht="15.75" customHeight="1">
      <c r="A6560" s="25" t="str">
        <f>IFERROR(__xludf.DUMMYFUNCTION("IF(B6560="""","""",RIGHT(REGEXREPLACE(B6560&amp;"""",""[^0-9]"",""""),9))"),"786657610")</f>
        <v>786657610</v>
      </c>
      <c r="B6560" s="26" t="s">
        <v>6762</v>
      </c>
      <c r="C6560" s="28" t="s">
        <v>2333</v>
      </c>
      <c r="D6560" s="26" t="s">
        <v>64</v>
      </c>
      <c r="E6560" s="31">
        <v>46241.0</v>
      </c>
      <c r="F6560" s="26" t="s">
        <v>46</v>
      </c>
      <c r="G6560" s="26">
        <v>10.0</v>
      </c>
      <c r="H6560" s="26" t="s">
        <v>6342</v>
      </c>
      <c r="I6560" s="26" t="s">
        <v>892</v>
      </c>
      <c r="J6560" s="25" t="str">
        <f t="shared" si="67"/>
        <v>Yes - see Previous F-Code</v>
      </c>
      <c r="K6560" s="25" t="str">
        <f t="shared" si="68"/>
        <v/>
      </c>
      <c r="L6560" s="25" t="str">
        <f t="shared" si="69"/>
        <v>F72029</v>
      </c>
      <c r="M6560" s="25"/>
      <c r="O6560" s="25"/>
    </row>
    <row r="6561" ht="15.75" customHeight="1">
      <c r="A6561" s="25" t="str">
        <f>IFERROR(__xludf.DUMMYFUNCTION("IF(B6561="""","""",RIGHT(REGEXREPLACE(B6561&amp;"""",""[^0-9]"",""""),9))"),"767267692")</f>
        <v>767267692</v>
      </c>
      <c r="B6561" s="26" t="s">
        <v>6763</v>
      </c>
      <c r="C6561" s="28" t="s">
        <v>6764</v>
      </c>
      <c r="D6561" s="26" t="s">
        <v>56</v>
      </c>
      <c r="E6561" s="31">
        <v>46241.0</v>
      </c>
      <c r="F6561" s="26" t="s">
        <v>631</v>
      </c>
      <c r="G6561" s="26">
        <v>11.0</v>
      </c>
      <c r="H6561" s="26" t="s">
        <v>6765</v>
      </c>
      <c r="I6561" s="26" t="s">
        <v>892</v>
      </c>
      <c r="J6561" s="25" t="str">
        <f t="shared" si="67"/>
        <v>No</v>
      </c>
      <c r="K6561" s="25" t="str">
        <f t="shared" si="68"/>
        <v/>
      </c>
      <c r="L6561" s="25" t="str">
        <f t="shared" si="69"/>
        <v/>
      </c>
      <c r="M6561" s="25"/>
      <c r="O6561" s="25"/>
    </row>
    <row r="6562" ht="15.75" customHeight="1">
      <c r="A6562" s="25" t="str">
        <f>IFERROR(__xludf.DUMMYFUNCTION("IF(B6562="""","""",RIGHT(REGEXREPLACE(B6562&amp;"""",""[^0-9]"",""""),9))"),"719914917")</f>
        <v>719914917</v>
      </c>
      <c r="B6562" s="26" t="s">
        <v>6766</v>
      </c>
      <c r="C6562" s="28" t="s">
        <v>6230</v>
      </c>
      <c r="D6562" s="26" t="s">
        <v>82</v>
      </c>
      <c r="E6562" s="31">
        <v>46241.0</v>
      </c>
      <c r="F6562" s="26" t="s">
        <v>46</v>
      </c>
      <c r="G6562" s="26">
        <v>9.0</v>
      </c>
      <c r="H6562" s="26" t="s">
        <v>6767</v>
      </c>
      <c r="I6562" s="26" t="s">
        <v>892</v>
      </c>
      <c r="J6562" s="25" t="str">
        <f t="shared" si="67"/>
        <v>Yes - see Previous F-Code</v>
      </c>
      <c r="K6562" s="25" t="str">
        <f t="shared" si="68"/>
        <v/>
      </c>
      <c r="L6562" s="25" t="str">
        <f t="shared" si="69"/>
        <v>F75622</v>
      </c>
      <c r="M6562" s="25"/>
      <c r="O6562" s="25"/>
    </row>
    <row r="6563" ht="15.75" customHeight="1">
      <c r="A6563" s="25" t="str">
        <f>IFERROR(__xludf.DUMMYFUNCTION("IF(B6563="""","""",RIGHT(REGEXREPLACE(B6563&amp;"""",""[^0-9]"",""""),9))"),"781295686")</f>
        <v>781295686</v>
      </c>
      <c r="B6563" s="26" t="s">
        <v>6768</v>
      </c>
      <c r="C6563" s="28" t="s">
        <v>6769</v>
      </c>
      <c r="D6563" s="26" t="s">
        <v>56</v>
      </c>
      <c r="E6563" s="31">
        <v>46241.0</v>
      </c>
      <c r="F6563" s="26" t="s">
        <v>41</v>
      </c>
      <c r="I6563" s="26" t="s">
        <v>892</v>
      </c>
      <c r="J6563" s="25" t="str">
        <f t="shared" si="67"/>
        <v>No</v>
      </c>
      <c r="K6563" s="25" t="str">
        <f t="shared" si="68"/>
        <v/>
      </c>
      <c r="L6563" s="25" t="str">
        <f t="shared" si="69"/>
        <v/>
      </c>
      <c r="M6563" s="25"/>
      <c r="O6563" s="25"/>
    </row>
    <row r="6564" ht="15.75" customHeight="1">
      <c r="A6564" s="25" t="str">
        <f>IFERROR(__xludf.DUMMYFUNCTION("IF(B6564="""","""",RIGHT(REGEXREPLACE(B6564&amp;"""",""[^0-9]"",""""),9))"),"718910707")</f>
        <v>718910707</v>
      </c>
      <c r="B6564" s="26" t="s">
        <v>6770</v>
      </c>
      <c r="C6564" s="28" t="s">
        <v>6771</v>
      </c>
      <c r="D6564" s="26" t="s">
        <v>64</v>
      </c>
      <c r="E6564" s="31">
        <v>46241.0</v>
      </c>
      <c r="F6564" s="26" t="s">
        <v>41</v>
      </c>
      <c r="I6564" s="26" t="s">
        <v>892</v>
      </c>
      <c r="J6564" s="25" t="str">
        <f t="shared" si="67"/>
        <v>No</v>
      </c>
      <c r="K6564" s="25" t="str">
        <f t="shared" si="68"/>
        <v/>
      </c>
      <c r="L6564" s="25" t="str">
        <f t="shared" si="69"/>
        <v/>
      </c>
      <c r="M6564" s="25"/>
      <c r="O6564" s="25"/>
    </row>
    <row r="6565" ht="15.75" customHeight="1">
      <c r="A6565" s="25" t="str">
        <f>IFERROR(__xludf.DUMMYFUNCTION("IF(B6565="""","""",RIGHT(REGEXREPLACE(B6565&amp;"""",""[^0-9]"",""""),9))"),"772416030")</f>
        <v>772416030</v>
      </c>
      <c r="B6565" s="26" t="s">
        <v>6772</v>
      </c>
      <c r="C6565" s="28" t="s">
        <v>6773</v>
      </c>
      <c r="D6565" s="26" t="s">
        <v>49</v>
      </c>
      <c r="E6565" s="31">
        <v>46241.0</v>
      </c>
      <c r="F6565" s="26" t="s">
        <v>46</v>
      </c>
      <c r="G6565" s="26">
        <v>11.0</v>
      </c>
      <c r="H6565" s="26" t="s">
        <v>5896</v>
      </c>
      <c r="I6565" s="26" t="s">
        <v>892</v>
      </c>
      <c r="J6565" s="25" t="str">
        <f t="shared" si="67"/>
        <v>No</v>
      </c>
      <c r="K6565" s="25" t="str">
        <f t="shared" si="68"/>
        <v/>
      </c>
      <c r="L6565" s="25" t="str">
        <f t="shared" si="69"/>
        <v/>
      </c>
      <c r="M6565" s="25"/>
      <c r="O6565" s="25"/>
    </row>
    <row r="6566" ht="15.75" customHeight="1">
      <c r="A6566" s="25" t="str">
        <f>IFERROR(__xludf.DUMMYFUNCTION("IF(B6566="""","""",RIGHT(REGEXREPLACE(B6566&amp;"""",""[^0-9]"",""""),9))"),"787070095")</f>
        <v>787070095</v>
      </c>
      <c r="B6566" s="26" t="s">
        <v>6774</v>
      </c>
      <c r="C6566" s="28" t="s">
        <v>6775</v>
      </c>
      <c r="D6566" s="26" t="s">
        <v>82</v>
      </c>
      <c r="E6566" s="31">
        <v>46241.0</v>
      </c>
      <c r="F6566" s="26" t="s">
        <v>41</v>
      </c>
      <c r="I6566" s="26" t="s">
        <v>892</v>
      </c>
      <c r="J6566" s="25" t="str">
        <f t="shared" si="67"/>
        <v>No</v>
      </c>
      <c r="K6566" s="25" t="str">
        <f t="shared" si="68"/>
        <v/>
      </c>
      <c r="L6566" s="25" t="str">
        <f t="shared" si="69"/>
        <v/>
      </c>
      <c r="M6566" s="25"/>
      <c r="O6566" s="25"/>
    </row>
    <row r="6567" ht="15.75" customHeight="1">
      <c r="A6567" s="25" t="str">
        <f>IFERROR(__xludf.DUMMYFUNCTION("IF(B6567="""","""",RIGHT(REGEXREPLACE(B6567&amp;"""",""[^0-9]"",""""),9))"),"742966749")</f>
        <v>742966749</v>
      </c>
      <c r="B6567" s="26" t="s">
        <v>6776</v>
      </c>
      <c r="C6567" s="28" t="s">
        <v>6777</v>
      </c>
      <c r="D6567" s="26" t="s">
        <v>64</v>
      </c>
      <c r="E6567" s="31">
        <v>46241.0</v>
      </c>
      <c r="F6567" s="26" t="s">
        <v>46</v>
      </c>
      <c r="G6567" s="26">
        <v>10.0</v>
      </c>
      <c r="H6567" s="26" t="s">
        <v>6778</v>
      </c>
      <c r="I6567" s="26" t="s">
        <v>892</v>
      </c>
      <c r="J6567" s="25" t="str">
        <f t="shared" si="67"/>
        <v>No</v>
      </c>
      <c r="K6567" s="25" t="str">
        <f t="shared" si="68"/>
        <v/>
      </c>
      <c r="L6567" s="25" t="str">
        <f t="shared" si="69"/>
        <v/>
      </c>
      <c r="M6567" s="25"/>
      <c r="O6567" s="25"/>
    </row>
    <row r="6568" ht="15.75" customHeight="1">
      <c r="A6568" s="25" t="str">
        <f>IFERROR(__xludf.DUMMYFUNCTION("IF(B6568="""","""",RIGHT(REGEXREPLACE(B6568&amp;"""",""[^0-9]"",""""),9))"),"714645416")</f>
        <v>714645416</v>
      </c>
      <c r="B6568" s="26" t="s">
        <v>6779</v>
      </c>
      <c r="C6568" s="28" t="s">
        <v>6780</v>
      </c>
      <c r="D6568" s="26" t="s">
        <v>82</v>
      </c>
      <c r="E6568" s="31">
        <v>46241.0</v>
      </c>
      <c r="F6568" s="26" t="s">
        <v>46</v>
      </c>
      <c r="G6568" s="26">
        <v>9.0</v>
      </c>
      <c r="H6568" s="26" t="s">
        <v>6781</v>
      </c>
      <c r="I6568" s="26" t="s">
        <v>892</v>
      </c>
      <c r="J6568" s="25" t="str">
        <f t="shared" si="67"/>
        <v>No</v>
      </c>
      <c r="K6568" s="25" t="str">
        <f t="shared" si="68"/>
        <v/>
      </c>
      <c r="L6568" s="25" t="str">
        <f t="shared" si="69"/>
        <v/>
      </c>
      <c r="M6568" s="25"/>
      <c r="O6568" s="26" t="s">
        <v>51</v>
      </c>
    </row>
    <row r="6569" ht="15.75" customHeight="1">
      <c r="A6569" s="25" t="str">
        <f>IFERROR(__xludf.DUMMYFUNCTION("IF(B6569="""","""",RIGHT(REGEXREPLACE(B6569&amp;"""",""[^0-9]"",""""),9))"),"787577290")</f>
        <v>787577290</v>
      </c>
      <c r="B6569" s="26" t="s">
        <v>6782</v>
      </c>
      <c r="C6569" s="28" t="s">
        <v>6783</v>
      </c>
      <c r="D6569" s="26" t="s">
        <v>56</v>
      </c>
      <c r="E6569" s="31">
        <v>46241.0</v>
      </c>
      <c r="F6569" s="26" t="s">
        <v>41</v>
      </c>
      <c r="I6569" s="26" t="s">
        <v>892</v>
      </c>
      <c r="J6569" s="25" t="str">
        <f t="shared" si="67"/>
        <v>No</v>
      </c>
      <c r="K6569" s="25" t="str">
        <f t="shared" si="68"/>
        <v/>
      </c>
      <c r="L6569" s="25" t="str">
        <f t="shared" si="69"/>
        <v/>
      </c>
      <c r="M6569" s="25"/>
      <c r="O6569" s="26" t="s">
        <v>51</v>
      </c>
    </row>
    <row r="6570" ht="15.75" customHeight="1">
      <c r="A6570" s="25" t="str">
        <f>IFERROR(__xludf.DUMMYFUNCTION("IF(B6570="""","""",RIGHT(REGEXREPLACE(B6570&amp;"""",""[^0-9]"",""""),9))"),"740370305")</f>
        <v>740370305</v>
      </c>
      <c r="B6570" s="26" t="s">
        <v>6784</v>
      </c>
      <c r="C6570" s="28" t="s">
        <v>6785</v>
      </c>
      <c r="D6570" s="26" t="s">
        <v>64</v>
      </c>
      <c r="E6570" s="31">
        <v>46241.0</v>
      </c>
      <c r="F6570" s="26" t="s">
        <v>46</v>
      </c>
      <c r="H6570" s="26" t="s">
        <v>6786</v>
      </c>
      <c r="I6570" s="26" t="s">
        <v>892</v>
      </c>
      <c r="J6570" s="25" t="str">
        <f t="shared" si="67"/>
        <v>No</v>
      </c>
      <c r="K6570" s="25" t="str">
        <f t="shared" si="68"/>
        <v/>
      </c>
      <c r="L6570" s="25" t="str">
        <f t="shared" si="69"/>
        <v/>
      </c>
      <c r="M6570" s="25"/>
      <c r="O6570" s="25"/>
    </row>
    <row r="6571" ht="15.75" customHeight="1">
      <c r="A6571" s="25" t="str">
        <f>IFERROR(__xludf.DUMMYFUNCTION("IF(B6571="""","""",RIGHT(REGEXREPLACE(B6571&amp;"""",""[^0-9]"",""""),9))"),"705047491")</f>
        <v>705047491</v>
      </c>
      <c r="B6571" s="26" t="s">
        <v>6787</v>
      </c>
      <c r="C6571" s="28" t="s">
        <v>6788</v>
      </c>
      <c r="D6571" s="26" t="s">
        <v>49</v>
      </c>
      <c r="E6571" s="31">
        <v>46241.0</v>
      </c>
      <c r="F6571" s="26" t="s">
        <v>46</v>
      </c>
      <c r="G6571" s="26">
        <v>10.0</v>
      </c>
      <c r="H6571" s="26" t="s">
        <v>5896</v>
      </c>
      <c r="I6571" s="26" t="s">
        <v>892</v>
      </c>
      <c r="J6571" s="25" t="str">
        <f t="shared" si="67"/>
        <v>No</v>
      </c>
      <c r="K6571" s="25" t="str">
        <f t="shared" si="68"/>
        <v/>
      </c>
      <c r="L6571" s="25" t="str">
        <f t="shared" si="69"/>
        <v/>
      </c>
      <c r="M6571" s="25"/>
      <c r="O6571" s="25"/>
    </row>
    <row r="6572" ht="15.75" customHeight="1">
      <c r="A6572" s="25" t="str">
        <f>IFERROR(__xludf.DUMMYFUNCTION("IF(B6572="""","""",RIGHT(REGEXREPLACE(B6572&amp;"""",""[^0-9]"",""""),9))"),"743157535")</f>
        <v>743157535</v>
      </c>
      <c r="B6572" s="26" t="s">
        <v>6789</v>
      </c>
      <c r="C6572" s="28" t="s">
        <v>6790</v>
      </c>
      <c r="D6572" s="26" t="s">
        <v>56</v>
      </c>
      <c r="E6572" s="31">
        <v>46241.0</v>
      </c>
      <c r="F6572" s="26" t="s">
        <v>41</v>
      </c>
      <c r="I6572" s="26" t="s">
        <v>892</v>
      </c>
      <c r="J6572" s="25" t="str">
        <f t="shared" si="67"/>
        <v>No</v>
      </c>
      <c r="K6572" s="25" t="str">
        <f t="shared" si="68"/>
        <v/>
      </c>
      <c r="L6572" s="25" t="str">
        <f t="shared" si="69"/>
        <v/>
      </c>
      <c r="M6572" s="25"/>
      <c r="O6572" s="25"/>
    </row>
    <row r="6573" ht="15.75" customHeight="1">
      <c r="A6573" s="25" t="str">
        <f>IFERROR(__xludf.DUMMYFUNCTION("IF(B6573="""","""",RIGHT(REGEXREPLACE(B6573&amp;"""",""[^0-9]"",""""),9))"),"705845357")</f>
        <v>705845357</v>
      </c>
      <c r="B6573" s="26" t="s">
        <v>6791</v>
      </c>
      <c r="C6573" s="28" t="s">
        <v>4467</v>
      </c>
      <c r="D6573" s="26" t="s">
        <v>82</v>
      </c>
      <c r="E6573" s="31">
        <v>46241.0</v>
      </c>
      <c r="F6573" s="26" t="s">
        <v>46</v>
      </c>
      <c r="G6573" s="26">
        <v>9.0</v>
      </c>
      <c r="H6573" s="26" t="s">
        <v>6792</v>
      </c>
      <c r="I6573" s="26" t="s">
        <v>892</v>
      </c>
      <c r="J6573" s="25" t="str">
        <f t="shared" si="67"/>
        <v>Yes - see Previous F-Code</v>
      </c>
      <c r="K6573" s="25" t="str">
        <f t="shared" si="68"/>
        <v/>
      </c>
      <c r="L6573" s="25" t="str">
        <f t="shared" si="69"/>
        <v>F74080</v>
      </c>
      <c r="M6573" s="25"/>
      <c r="O6573" s="25"/>
    </row>
    <row r="6574" ht="15.75" customHeight="1">
      <c r="A6574" s="25" t="str">
        <f>IFERROR(__xludf.DUMMYFUNCTION("IF(B6574="""","""",RIGHT(REGEXREPLACE(B6574&amp;"""",""[^0-9]"",""""),9))"),"778695926")</f>
        <v>778695926</v>
      </c>
      <c r="B6574" s="26" t="s">
        <v>6793</v>
      </c>
      <c r="C6574" s="28" t="s">
        <v>6794</v>
      </c>
      <c r="D6574" s="26" t="s">
        <v>82</v>
      </c>
      <c r="E6574" s="31">
        <v>46241.0</v>
      </c>
      <c r="F6574" s="26" t="s">
        <v>46</v>
      </c>
      <c r="G6574" s="26">
        <v>11.0</v>
      </c>
      <c r="H6574" s="26" t="s">
        <v>6792</v>
      </c>
      <c r="I6574" s="26" t="s">
        <v>892</v>
      </c>
      <c r="J6574" s="25" t="str">
        <f t="shared" si="67"/>
        <v>No</v>
      </c>
      <c r="K6574" s="25" t="str">
        <f t="shared" si="68"/>
        <v/>
      </c>
      <c r="L6574" s="25" t="str">
        <f t="shared" si="69"/>
        <v/>
      </c>
      <c r="M6574" s="25"/>
      <c r="O6574" s="25"/>
    </row>
    <row r="6575" ht="15.75" customHeight="1">
      <c r="A6575" s="25" t="str">
        <f>IFERROR(__xludf.DUMMYFUNCTION("IF(B6575="""","""",RIGHT(REGEXREPLACE(B6575&amp;"""",""[^0-9]"",""""),9))"),"741526792")</f>
        <v>741526792</v>
      </c>
      <c r="B6575" s="26" t="s">
        <v>6795</v>
      </c>
      <c r="C6575" s="28" t="s">
        <v>6796</v>
      </c>
      <c r="D6575" s="26" t="s">
        <v>64</v>
      </c>
      <c r="E6575" s="31">
        <v>46241.0</v>
      </c>
      <c r="F6575" s="26" t="s">
        <v>41</v>
      </c>
      <c r="I6575" s="26" t="s">
        <v>892</v>
      </c>
      <c r="J6575" s="25" t="str">
        <f t="shared" si="67"/>
        <v>No</v>
      </c>
      <c r="K6575" s="25" t="str">
        <f t="shared" si="68"/>
        <v/>
      </c>
      <c r="L6575" s="25" t="str">
        <f t="shared" si="69"/>
        <v/>
      </c>
      <c r="M6575" s="25"/>
      <c r="O6575" s="25"/>
    </row>
    <row r="6576" ht="15.75" customHeight="1">
      <c r="A6576" s="25" t="str">
        <f>IFERROR(__xludf.DUMMYFUNCTION("IF(B6576="""","""",RIGHT(REGEXREPLACE(B6576&amp;"""",""[^0-9]"",""""),9))"),"772350878")</f>
        <v>772350878</v>
      </c>
      <c r="B6576" s="26" t="s">
        <v>6797</v>
      </c>
      <c r="C6576" s="28" t="s">
        <v>6798</v>
      </c>
      <c r="D6576" s="26" t="s">
        <v>56</v>
      </c>
      <c r="E6576" s="31">
        <v>46241.0</v>
      </c>
      <c r="F6576" s="26" t="s">
        <v>41</v>
      </c>
      <c r="I6576" s="26" t="s">
        <v>892</v>
      </c>
      <c r="J6576" s="25" t="str">
        <f t="shared" si="67"/>
        <v>No</v>
      </c>
      <c r="K6576" s="25" t="str">
        <f t="shared" si="68"/>
        <v/>
      </c>
      <c r="L6576" s="25" t="str">
        <f t="shared" si="69"/>
        <v/>
      </c>
      <c r="M6576" s="25"/>
      <c r="O6576" s="25"/>
    </row>
    <row r="6577" ht="15.75" customHeight="1">
      <c r="A6577" s="25" t="str">
        <f>IFERROR(__xludf.DUMMYFUNCTION("IF(B6577="""","""",RIGHT(REGEXREPLACE(B6577&amp;"""",""[^0-9]"",""""),9))"),"713575861")</f>
        <v>713575861</v>
      </c>
      <c r="B6577" s="26" t="s">
        <v>6799</v>
      </c>
      <c r="C6577" s="28" t="s">
        <v>6800</v>
      </c>
      <c r="D6577" s="26" t="s">
        <v>49</v>
      </c>
      <c r="E6577" s="31">
        <v>46241.0</v>
      </c>
      <c r="F6577" s="26" t="s">
        <v>41</v>
      </c>
      <c r="I6577" s="26" t="s">
        <v>892</v>
      </c>
      <c r="J6577" s="25" t="str">
        <f t="shared" si="67"/>
        <v>No</v>
      </c>
      <c r="K6577" s="25" t="str">
        <f t="shared" si="68"/>
        <v/>
      </c>
      <c r="L6577" s="25" t="str">
        <f t="shared" si="69"/>
        <v/>
      </c>
      <c r="M6577" s="25"/>
      <c r="O6577" s="26" t="s">
        <v>51</v>
      </c>
    </row>
    <row r="6578" ht="15.75" customHeight="1">
      <c r="A6578" s="25" t="str">
        <f>IFERROR(__xludf.DUMMYFUNCTION("IF(B6578="""","""",RIGHT(REGEXREPLACE(B6578&amp;"""",""[^0-9]"",""""),9))"),"740521948")</f>
        <v>740521948</v>
      </c>
      <c r="B6578" s="26" t="s">
        <v>6801</v>
      </c>
      <c r="C6578" s="28" t="s">
        <v>6802</v>
      </c>
      <c r="D6578" s="26" t="s">
        <v>64</v>
      </c>
      <c r="E6578" s="31">
        <v>46241.0</v>
      </c>
      <c r="F6578" s="26" t="s">
        <v>46</v>
      </c>
      <c r="G6578" s="26">
        <v>11.0</v>
      </c>
      <c r="H6578" s="26" t="s">
        <v>6347</v>
      </c>
      <c r="I6578" s="26" t="s">
        <v>892</v>
      </c>
      <c r="J6578" s="25" t="str">
        <f t="shared" si="67"/>
        <v>No</v>
      </c>
      <c r="K6578" s="25" t="str">
        <f t="shared" si="68"/>
        <v/>
      </c>
      <c r="L6578" s="25" t="str">
        <f t="shared" si="69"/>
        <v/>
      </c>
      <c r="M6578" s="25"/>
      <c r="O6578" s="25"/>
    </row>
    <row r="6579" ht="15.75" customHeight="1">
      <c r="A6579" s="25" t="str">
        <f>IFERROR(__xludf.DUMMYFUNCTION("IF(B6579="""","""",RIGHT(REGEXREPLACE(B6579&amp;"""",""[^0-9]"",""""),9))"),"705851965")</f>
        <v>705851965</v>
      </c>
      <c r="B6579" s="26" t="s">
        <v>6803</v>
      </c>
      <c r="C6579" s="28" t="s">
        <v>6804</v>
      </c>
      <c r="D6579" s="26" t="s">
        <v>56</v>
      </c>
      <c r="E6579" s="31">
        <v>46241.0</v>
      </c>
      <c r="F6579" s="26" t="s">
        <v>41</v>
      </c>
      <c r="I6579" s="26" t="s">
        <v>892</v>
      </c>
      <c r="J6579" s="25" t="str">
        <f t="shared" si="67"/>
        <v>No</v>
      </c>
      <c r="K6579" s="25" t="str">
        <f t="shared" si="68"/>
        <v/>
      </c>
      <c r="L6579" s="25" t="str">
        <f t="shared" si="69"/>
        <v/>
      </c>
      <c r="M6579" s="25"/>
      <c r="O6579" s="25"/>
    </row>
    <row r="6580" ht="15.75" customHeight="1">
      <c r="A6580" s="25" t="str">
        <f>IFERROR(__xludf.DUMMYFUNCTION("IF(B6580="""","""",RIGHT(REGEXREPLACE(B6580&amp;"""",""[^0-9]"",""""),9))"),"761035323")</f>
        <v>761035323</v>
      </c>
      <c r="B6580" s="26" t="s">
        <v>6805</v>
      </c>
      <c r="C6580" s="28" t="s">
        <v>6806</v>
      </c>
      <c r="D6580" s="26" t="s">
        <v>82</v>
      </c>
      <c r="E6580" s="31">
        <v>46241.0</v>
      </c>
      <c r="F6580" s="26" t="s">
        <v>46</v>
      </c>
      <c r="G6580" s="26">
        <v>11.0</v>
      </c>
      <c r="H6580" s="26" t="s">
        <v>6807</v>
      </c>
      <c r="I6580" s="26" t="s">
        <v>892</v>
      </c>
      <c r="J6580" s="25" t="str">
        <f t="shared" si="67"/>
        <v>No</v>
      </c>
      <c r="K6580" s="25" t="str">
        <f t="shared" si="68"/>
        <v/>
      </c>
      <c r="L6580" s="25" t="str">
        <f t="shared" si="69"/>
        <v/>
      </c>
      <c r="M6580" s="25"/>
      <c r="O6580" s="25"/>
    </row>
    <row r="6581" ht="15.75" customHeight="1">
      <c r="A6581" s="25" t="str">
        <f>IFERROR(__xludf.DUMMYFUNCTION("IF(B6581="""","""",RIGHT(REGEXREPLACE(B6581&amp;"""",""[^0-9]"",""""),9))"),"719222003")</f>
        <v>719222003</v>
      </c>
      <c r="B6581" s="26" t="s">
        <v>6808</v>
      </c>
      <c r="C6581" s="28" t="s">
        <v>6809</v>
      </c>
      <c r="D6581" s="26" t="s">
        <v>56</v>
      </c>
      <c r="E6581" s="31">
        <v>46241.0</v>
      </c>
      <c r="F6581" s="26" t="s">
        <v>41</v>
      </c>
      <c r="I6581" s="26" t="s">
        <v>892</v>
      </c>
      <c r="J6581" s="25" t="str">
        <f t="shared" si="67"/>
        <v>No</v>
      </c>
      <c r="K6581" s="25" t="str">
        <f t="shared" si="68"/>
        <v/>
      </c>
      <c r="L6581" s="25" t="str">
        <f t="shared" si="69"/>
        <v/>
      </c>
      <c r="M6581" s="25"/>
      <c r="O6581" s="25"/>
    </row>
    <row r="6582" ht="15.75" customHeight="1">
      <c r="A6582" s="25" t="str">
        <f>IFERROR(__xludf.DUMMYFUNCTION("IF(B6582="""","""",RIGHT(REGEXREPLACE(B6582&amp;"""",""[^0-9]"",""""),9))"),"774379136")</f>
        <v>774379136</v>
      </c>
      <c r="B6582" s="26" t="s">
        <v>6810</v>
      </c>
      <c r="C6582" s="28" t="s">
        <v>6811</v>
      </c>
      <c r="D6582" s="26" t="s">
        <v>49</v>
      </c>
      <c r="E6582" s="31">
        <v>46241.0</v>
      </c>
      <c r="F6582" s="26" t="s">
        <v>46</v>
      </c>
      <c r="H6582" s="26" t="s">
        <v>94</v>
      </c>
      <c r="I6582" s="26" t="s">
        <v>892</v>
      </c>
      <c r="J6582" s="25" t="str">
        <f t="shared" si="67"/>
        <v>No</v>
      </c>
      <c r="K6582" s="25" t="str">
        <f t="shared" si="68"/>
        <v/>
      </c>
      <c r="L6582" s="25" t="str">
        <f t="shared" si="69"/>
        <v/>
      </c>
      <c r="M6582" s="25"/>
      <c r="O6582" s="25"/>
    </row>
    <row r="6583" ht="15.75" customHeight="1">
      <c r="A6583" s="25" t="str">
        <f>IFERROR(__xludf.DUMMYFUNCTION("IF(B6583="""","""",RIGHT(REGEXREPLACE(B6583&amp;"""",""[^0-9]"",""""),9))"),"721957712")</f>
        <v>721957712</v>
      </c>
      <c r="B6583" s="26" t="s">
        <v>6812</v>
      </c>
      <c r="C6583" s="28" t="s">
        <v>6813</v>
      </c>
      <c r="D6583" s="26" t="s">
        <v>64</v>
      </c>
      <c r="E6583" s="31">
        <v>46241.0</v>
      </c>
      <c r="F6583" s="26" t="s">
        <v>46</v>
      </c>
      <c r="G6583" s="26">
        <v>11.0</v>
      </c>
      <c r="H6583" s="26" t="s">
        <v>6342</v>
      </c>
      <c r="I6583" s="26" t="s">
        <v>892</v>
      </c>
      <c r="J6583" s="25" t="str">
        <f t="shared" si="67"/>
        <v>No</v>
      </c>
      <c r="K6583" s="25" t="str">
        <f t="shared" si="68"/>
        <v/>
      </c>
      <c r="L6583" s="25" t="str">
        <f t="shared" si="69"/>
        <v/>
      </c>
      <c r="M6583" s="25"/>
      <c r="O6583" s="25"/>
    </row>
    <row r="6584" ht="15.75" customHeight="1">
      <c r="A6584" s="25" t="str">
        <f>IFERROR(__xludf.DUMMYFUNCTION("IF(B6584="""","""",RIGHT(REGEXREPLACE(B6584&amp;"""",""[^0-9]"",""""),9))"),"701792925")</f>
        <v>701792925</v>
      </c>
      <c r="B6584" s="26" t="s">
        <v>6814</v>
      </c>
      <c r="C6584" s="28" t="s">
        <v>6815</v>
      </c>
      <c r="D6584" s="26" t="s">
        <v>56</v>
      </c>
      <c r="E6584" s="31">
        <v>46241.0</v>
      </c>
      <c r="F6584" s="26" t="s">
        <v>205</v>
      </c>
      <c r="I6584" s="26" t="s">
        <v>892</v>
      </c>
      <c r="J6584" s="25" t="str">
        <f t="shared" si="67"/>
        <v>No</v>
      </c>
      <c r="K6584" s="25" t="str">
        <f t="shared" si="68"/>
        <v/>
      </c>
      <c r="L6584" s="25" t="str">
        <f t="shared" si="69"/>
        <v/>
      </c>
      <c r="M6584" s="25"/>
      <c r="O6584" s="25"/>
    </row>
    <row r="6585" ht="15.75" customHeight="1">
      <c r="A6585" s="25" t="str">
        <f>IFERROR(__xludf.DUMMYFUNCTION("IF(B6585="""","""",RIGHT(REGEXREPLACE(B6585&amp;"""",""[^0-9]"",""""),9))"),"773781330")</f>
        <v>773781330</v>
      </c>
      <c r="B6585" s="26" t="s">
        <v>6816</v>
      </c>
      <c r="C6585" s="28" t="s">
        <v>6817</v>
      </c>
      <c r="D6585" s="26" t="s">
        <v>49</v>
      </c>
      <c r="E6585" s="31">
        <v>46241.0</v>
      </c>
      <c r="F6585" s="26" t="s">
        <v>46</v>
      </c>
      <c r="G6585" s="26">
        <v>8.0</v>
      </c>
      <c r="H6585" s="26" t="s">
        <v>5896</v>
      </c>
      <c r="I6585" s="26" t="s">
        <v>892</v>
      </c>
      <c r="J6585" s="25" t="str">
        <f t="shared" si="67"/>
        <v>No</v>
      </c>
      <c r="K6585" s="25" t="str">
        <f t="shared" si="68"/>
        <v/>
      </c>
      <c r="L6585" s="25" t="str">
        <f t="shared" si="69"/>
        <v/>
      </c>
      <c r="M6585" s="25"/>
      <c r="O6585" s="25"/>
    </row>
    <row r="6586" ht="15.75" customHeight="1">
      <c r="A6586" s="25" t="str">
        <f>IFERROR(__xludf.DUMMYFUNCTION("IF(B6586="""","""",RIGHT(REGEXREPLACE(B6586&amp;"""",""[^0-9]"",""""),9))"),"770881148")</f>
        <v>770881148</v>
      </c>
      <c r="B6586" s="26" t="s">
        <v>6818</v>
      </c>
      <c r="C6586" s="28" t="s">
        <v>6819</v>
      </c>
      <c r="D6586" s="26" t="s">
        <v>82</v>
      </c>
      <c r="E6586" s="31">
        <v>46241.0</v>
      </c>
      <c r="F6586" s="26" t="s">
        <v>205</v>
      </c>
      <c r="I6586" s="26" t="s">
        <v>892</v>
      </c>
      <c r="J6586" s="25" t="str">
        <f t="shared" si="67"/>
        <v>No</v>
      </c>
      <c r="K6586" s="25" t="str">
        <f t="shared" si="68"/>
        <v/>
      </c>
      <c r="L6586" s="25" t="str">
        <f t="shared" si="69"/>
        <v/>
      </c>
      <c r="M6586" s="25"/>
      <c r="O6586" s="25"/>
    </row>
    <row r="6587" ht="15.75" customHeight="1">
      <c r="A6587" s="25" t="str">
        <f>IFERROR(__xludf.DUMMYFUNCTION("IF(B6587="""","""",RIGHT(REGEXREPLACE(B6587&amp;"""",""[^0-9]"",""""),9))"),"762278078")</f>
        <v>762278078</v>
      </c>
      <c r="B6587" s="26" t="s">
        <v>6820</v>
      </c>
      <c r="C6587" s="28" t="s">
        <v>6821</v>
      </c>
      <c r="D6587" s="26" t="s">
        <v>56</v>
      </c>
      <c r="E6587" s="31">
        <v>46241.0</v>
      </c>
      <c r="F6587" s="26" t="s">
        <v>631</v>
      </c>
      <c r="G6587" s="26">
        <v>11.0</v>
      </c>
      <c r="H6587" s="26" t="s">
        <v>6451</v>
      </c>
      <c r="I6587" s="26" t="s">
        <v>892</v>
      </c>
      <c r="J6587" s="25" t="str">
        <f t="shared" si="67"/>
        <v>No</v>
      </c>
      <c r="K6587" s="25" t="str">
        <f t="shared" si="68"/>
        <v/>
      </c>
      <c r="L6587" s="25" t="str">
        <f t="shared" si="69"/>
        <v/>
      </c>
      <c r="M6587" s="25"/>
      <c r="O6587" s="25"/>
    </row>
    <row r="6588" ht="15.75" customHeight="1">
      <c r="A6588" s="25" t="str">
        <f>IFERROR(__xludf.DUMMYFUNCTION("IF(B6588="""","""",RIGHT(REGEXREPLACE(B6588&amp;"""",""[^0-9]"",""""),9))"),"781060304")</f>
        <v>781060304</v>
      </c>
      <c r="B6588" s="26" t="s">
        <v>6822</v>
      </c>
      <c r="C6588" s="28" t="s">
        <v>6823</v>
      </c>
      <c r="D6588" s="26" t="s">
        <v>82</v>
      </c>
      <c r="E6588" s="31">
        <v>46241.0</v>
      </c>
      <c r="F6588" s="26" t="s">
        <v>41</v>
      </c>
      <c r="I6588" s="26" t="s">
        <v>892</v>
      </c>
      <c r="J6588" s="25" t="str">
        <f t="shared" si="67"/>
        <v>No</v>
      </c>
      <c r="K6588" s="25" t="str">
        <f t="shared" si="68"/>
        <v/>
      </c>
      <c r="L6588" s="25" t="str">
        <f t="shared" si="69"/>
        <v/>
      </c>
      <c r="M6588" s="25"/>
      <c r="O6588" s="25"/>
    </row>
    <row r="6589" ht="15.75" customHeight="1">
      <c r="A6589" s="25" t="str">
        <f>IFERROR(__xludf.DUMMYFUNCTION("IF(B6589="""","""",RIGHT(REGEXREPLACE(B6589&amp;"""",""[^0-9]"",""""),9))"),"762353714")</f>
        <v>762353714</v>
      </c>
      <c r="B6589" s="26" t="s">
        <v>6824</v>
      </c>
      <c r="C6589" s="28" t="s">
        <v>6825</v>
      </c>
      <c r="D6589" s="26" t="s">
        <v>56</v>
      </c>
      <c r="E6589" s="31">
        <v>46241.0</v>
      </c>
      <c r="F6589" s="26" t="s">
        <v>41</v>
      </c>
      <c r="I6589" s="26" t="s">
        <v>892</v>
      </c>
      <c r="J6589" s="25" t="str">
        <f t="shared" si="67"/>
        <v>No</v>
      </c>
      <c r="K6589" s="25" t="str">
        <f t="shared" si="68"/>
        <v/>
      </c>
      <c r="L6589" s="25" t="str">
        <f t="shared" si="69"/>
        <v/>
      </c>
      <c r="M6589" s="25"/>
      <c r="O6589" s="25"/>
    </row>
    <row r="6590" ht="15.75" customHeight="1">
      <c r="A6590" s="25" t="str">
        <f>IFERROR(__xludf.DUMMYFUNCTION("IF(B6590="""","""",RIGHT(REGEXREPLACE(B6590&amp;"""",""[^0-9]"",""""),9))"),"785634135")</f>
        <v>785634135</v>
      </c>
      <c r="B6590" s="26" t="s">
        <v>6826</v>
      </c>
      <c r="C6590" s="28" t="s">
        <v>6827</v>
      </c>
      <c r="D6590" s="26" t="s">
        <v>64</v>
      </c>
      <c r="E6590" s="31">
        <v>46241.0</v>
      </c>
      <c r="F6590" s="26" t="s">
        <v>46</v>
      </c>
      <c r="G6590" s="26">
        <v>10.0</v>
      </c>
      <c r="H6590" s="26" t="s">
        <v>6347</v>
      </c>
      <c r="I6590" s="26" t="s">
        <v>892</v>
      </c>
      <c r="J6590" s="25" t="str">
        <f t="shared" si="67"/>
        <v>No</v>
      </c>
      <c r="K6590" s="25" t="str">
        <f t="shared" si="68"/>
        <v/>
      </c>
      <c r="L6590" s="25" t="str">
        <f t="shared" si="69"/>
        <v/>
      </c>
      <c r="M6590" s="25"/>
      <c r="O6590" s="25"/>
    </row>
    <row r="6591" ht="15.75" customHeight="1">
      <c r="A6591" s="25" t="str">
        <f>IFERROR(__xludf.DUMMYFUNCTION("IF(B6591="""","""",RIGHT(REGEXREPLACE(B6591&amp;"""",""[^0-9]"",""""),9))"),"779486182")</f>
        <v>779486182</v>
      </c>
      <c r="B6591" s="26" t="s">
        <v>6828</v>
      </c>
      <c r="C6591" s="28" t="s">
        <v>6829</v>
      </c>
      <c r="D6591" s="26" t="s">
        <v>82</v>
      </c>
      <c r="E6591" s="31">
        <v>46241.0</v>
      </c>
      <c r="F6591" s="26" t="s">
        <v>46</v>
      </c>
      <c r="G6591" s="26">
        <v>6.0</v>
      </c>
      <c r="H6591" s="26" t="s">
        <v>6830</v>
      </c>
      <c r="I6591" s="26" t="s">
        <v>892</v>
      </c>
      <c r="J6591" s="25" t="str">
        <f t="shared" si="67"/>
        <v>No</v>
      </c>
      <c r="K6591" s="25" t="str">
        <f t="shared" si="68"/>
        <v/>
      </c>
      <c r="L6591" s="25" t="str">
        <f t="shared" si="69"/>
        <v/>
      </c>
      <c r="M6591" s="25"/>
      <c r="O6591" s="25"/>
    </row>
    <row r="6592" ht="15.75" customHeight="1">
      <c r="A6592" s="25" t="str">
        <f>IFERROR(__xludf.DUMMYFUNCTION("IF(B6592="""","""",RIGHT(REGEXREPLACE(B6592&amp;"""",""[^0-9]"",""""),9))"),"764108831")</f>
        <v>764108831</v>
      </c>
      <c r="B6592" s="26">
        <v>7.64108831E8</v>
      </c>
      <c r="C6592" s="28" t="s">
        <v>6831</v>
      </c>
      <c r="D6592" s="26" t="s">
        <v>45</v>
      </c>
      <c r="E6592" s="31">
        <v>46241.0</v>
      </c>
      <c r="F6592" s="26" t="s">
        <v>46</v>
      </c>
      <c r="G6592" s="26">
        <v>10.0</v>
      </c>
      <c r="I6592" s="26" t="s">
        <v>892</v>
      </c>
      <c r="J6592" s="25" t="str">
        <f t="shared" si="67"/>
        <v>No</v>
      </c>
      <c r="K6592" s="25" t="str">
        <f t="shared" si="68"/>
        <v/>
      </c>
      <c r="L6592" s="25" t="str">
        <f t="shared" si="69"/>
        <v/>
      </c>
      <c r="M6592" s="25"/>
      <c r="O6592" s="25"/>
    </row>
    <row r="6593" ht="15.75" customHeight="1">
      <c r="A6593" s="25" t="str">
        <f>IFERROR(__xludf.DUMMYFUNCTION("IF(B6593="""","""",RIGHT(REGEXREPLACE(B6593&amp;"""",""[^0-9]"",""""),9))"),"778741234")</f>
        <v>778741234</v>
      </c>
      <c r="B6593" s="26" t="s">
        <v>6832</v>
      </c>
      <c r="C6593" s="28" t="s">
        <v>6833</v>
      </c>
      <c r="D6593" s="26" t="s">
        <v>45</v>
      </c>
      <c r="E6593" s="31">
        <v>46241.0</v>
      </c>
      <c r="F6593" s="26" t="s">
        <v>46</v>
      </c>
      <c r="G6593" s="26">
        <v>11.0</v>
      </c>
      <c r="I6593" s="26" t="s">
        <v>892</v>
      </c>
      <c r="J6593" s="25" t="str">
        <f t="shared" si="67"/>
        <v>No</v>
      </c>
      <c r="K6593" s="25" t="str">
        <f t="shared" si="68"/>
        <v/>
      </c>
      <c r="L6593" s="25" t="str">
        <f t="shared" si="69"/>
        <v/>
      </c>
      <c r="M6593" s="25"/>
      <c r="O6593" s="25"/>
    </row>
    <row r="6594" ht="15.75" customHeight="1">
      <c r="C6594" s="46"/>
      <c r="D6594" s="25"/>
      <c r="F6594" s="25"/>
      <c r="I6594" s="26" t="s">
        <v>892</v>
      </c>
      <c r="M6594" s="25"/>
      <c r="O6594" s="25"/>
    </row>
    <row r="6595" ht="15.75" customHeight="1">
      <c r="A6595" s="25" t="str">
        <f>IFERROR(__xludf.DUMMYFUNCTION("IF(B6595="""","""",RIGHT(REGEXREPLACE(B6595&amp;"""",""[^0-9]"",""""),9))"),"765820700")</f>
        <v>765820700</v>
      </c>
      <c r="B6595" s="52">
        <v>7.658207E8</v>
      </c>
      <c r="C6595" s="28" t="s">
        <v>6834</v>
      </c>
      <c r="D6595" s="26" t="s">
        <v>45</v>
      </c>
      <c r="E6595" s="31">
        <v>46241.0</v>
      </c>
      <c r="F6595" s="26" t="s">
        <v>41</v>
      </c>
      <c r="G6595" s="26">
        <v>7.0</v>
      </c>
      <c r="I6595" s="26" t="s">
        <v>883</v>
      </c>
      <c r="J6595" s="25" t="str">
        <f t="shared" ref="J6595:J6641" si="70">IF(COUNTIF($A$2:A6594,A6595)&gt;0,"Yes - see Previous F-Code","No")</f>
        <v>No</v>
      </c>
      <c r="K6595" s="25" t="str">
        <f t="shared" ref="K6595:K6641" si="71">IF(COUNTIFS($A$2:A6595,A6595,$I$2:I6595,I6595)&gt;1,"DUPLICATE - CHECK","")</f>
        <v/>
      </c>
      <c r="L6595" s="25" t="str">
        <f t="shared" ref="L6595:L6641" si="72">IF(COUNTIF($A$2:A6594,A6595)&gt;0,INDEX($C$2:C6594,MATCH(A6595,$A$2:A6594,0)),"")</f>
        <v/>
      </c>
      <c r="M6595" s="25"/>
      <c r="O6595" s="26" t="s">
        <v>51</v>
      </c>
    </row>
    <row r="6596" ht="15.75" customHeight="1">
      <c r="A6596" s="25" t="str">
        <f>IFERROR(__xludf.DUMMYFUNCTION("IF(B6596="""","""",RIGHT(REGEXREPLACE(B6596&amp;"""",""[^0-9]"",""""),9))"),"776074770")</f>
        <v>776074770</v>
      </c>
      <c r="B6596" s="52">
        <v>7.7607477E8</v>
      </c>
      <c r="C6596" s="28" t="s">
        <v>6835</v>
      </c>
      <c r="D6596" s="26" t="s">
        <v>45</v>
      </c>
      <c r="E6596" s="31">
        <v>46241.0</v>
      </c>
      <c r="F6596" s="26" t="s">
        <v>41</v>
      </c>
      <c r="G6596" s="26">
        <v>9.0</v>
      </c>
      <c r="I6596" s="26" t="s">
        <v>883</v>
      </c>
      <c r="J6596" s="25" t="str">
        <f t="shared" si="70"/>
        <v>No</v>
      </c>
      <c r="K6596" s="25" t="str">
        <f t="shared" si="71"/>
        <v/>
      </c>
      <c r="L6596" s="25" t="str">
        <f t="shared" si="72"/>
        <v/>
      </c>
      <c r="M6596" s="25"/>
      <c r="O6596" s="25"/>
    </row>
    <row r="6597" ht="15.75" customHeight="1">
      <c r="A6597" s="25" t="str">
        <f>IFERROR(__xludf.DUMMYFUNCTION("IF(B6597="""","""",RIGHT(REGEXREPLACE(B6597&amp;"""",""[^0-9]"",""""),9))"),"774602245")</f>
        <v>774602245</v>
      </c>
      <c r="B6597" s="52">
        <v>7.74602245E8</v>
      </c>
      <c r="C6597" s="28" t="s">
        <v>6836</v>
      </c>
      <c r="D6597" s="26" t="s">
        <v>45</v>
      </c>
      <c r="E6597" s="31">
        <v>46241.0</v>
      </c>
      <c r="F6597" s="26" t="s">
        <v>41</v>
      </c>
      <c r="G6597" s="26">
        <v>10.0</v>
      </c>
      <c r="I6597" s="26" t="s">
        <v>883</v>
      </c>
      <c r="J6597" s="25" t="str">
        <f t="shared" si="70"/>
        <v>No</v>
      </c>
      <c r="K6597" s="25" t="str">
        <f t="shared" si="71"/>
        <v/>
      </c>
      <c r="L6597" s="25" t="str">
        <f t="shared" si="72"/>
        <v/>
      </c>
      <c r="M6597" s="25"/>
      <c r="O6597" s="25"/>
    </row>
    <row r="6598" ht="15.75" customHeight="1">
      <c r="A6598" s="25" t="str">
        <f>IFERROR(__xludf.DUMMYFUNCTION("IF(B6598="""","""",RIGHT(REGEXREPLACE(B6598&amp;"""",""[^0-9]"",""""),9))"),"774499548")</f>
        <v>774499548</v>
      </c>
      <c r="B6598" s="52">
        <v>7.74499548E8</v>
      </c>
      <c r="C6598" s="28" t="s">
        <v>5725</v>
      </c>
      <c r="D6598" s="26" t="s">
        <v>45</v>
      </c>
      <c r="E6598" s="31">
        <v>46241.0</v>
      </c>
      <c r="F6598" s="26" t="s">
        <v>631</v>
      </c>
      <c r="G6598" s="26">
        <v>8.0</v>
      </c>
      <c r="H6598" s="26" t="s">
        <v>6837</v>
      </c>
      <c r="I6598" s="26" t="s">
        <v>883</v>
      </c>
      <c r="J6598" s="25" t="str">
        <f t="shared" si="70"/>
        <v>Yes - see Previous F-Code</v>
      </c>
      <c r="K6598" s="25" t="str">
        <f t="shared" si="71"/>
        <v>DUPLICATE - CHECK</v>
      </c>
      <c r="L6598" s="25" t="str">
        <f t="shared" si="72"/>
        <v>F75175</v>
      </c>
      <c r="M6598" s="25"/>
      <c r="O6598" s="25"/>
    </row>
    <row r="6599" ht="15.75" customHeight="1">
      <c r="A6599" s="25" t="str">
        <f>IFERROR(__xludf.DUMMYFUNCTION("IF(B6599="""","""",RIGHT(REGEXREPLACE(B6599&amp;"""",""[^0-9]"",""""),9))"),"706061966")</f>
        <v>706061966</v>
      </c>
      <c r="B6599" s="52">
        <v>7.06061966E8</v>
      </c>
      <c r="C6599" s="28" t="s">
        <v>6838</v>
      </c>
      <c r="D6599" s="26" t="s">
        <v>45</v>
      </c>
      <c r="E6599" s="31">
        <v>46241.0</v>
      </c>
      <c r="F6599" s="26" t="s">
        <v>46</v>
      </c>
      <c r="G6599" s="26">
        <v>11.0</v>
      </c>
      <c r="H6599" s="26" t="s">
        <v>140</v>
      </c>
      <c r="I6599" s="26" t="s">
        <v>883</v>
      </c>
      <c r="J6599" s="25" t="str">
        <f t="shared" si="70"/>
        <v>No</v>
      </c>
      <c r="K6599" s="25" t="str">
        <f t="shared" si="71"/>
        <v/>
      </c>
      <c r="L6599" s="25" t="str">
        <f t="shared" si="72"/>
        <v/>
      </c>
      <c r="M6599" s="25"/>
      <c r="O6599" s="25"/>
    </row>
    <row r="6600" ht="15.75" customHeight="1">
      <c r="A6600" s="25" t="str">
        <f>IFERROR(__xludf.DUMMYFUNCTION("IF(B6600="""","""",RIGHT(REGEXREPLACE(B6600&amp;"""",""[^0-9]"",""""),9))"),"770539750")</f>
        <v>770539750</v>
      </c>
      <c r="B6600" s="52">
        <v>7.7053975E8</v>
      </c>
      <c r="C6600" s="28" t="s">
        <v>6140</v>
      </c>
      <c r="D6600" s="26" t="s">
        <v>45</v>
      </c>
      <c r="E6600" s="31">
        <v>46241.0</v>
      </c>
      <c r="F6600" s="26" t="s">
        <v>46</v>
      </c>
      <c r="G6600" s="26">
        <v>7.0</v>
      </c>
      <c r="I6600" s="26" t="s">
        <v>883</v>
      </c>
      <c r="J6600" s="25" t="str">
        <f t="shared" si="70"/>
        <v>Yes - see Previous F-Code</v>
      </c>
      <c r="K6600" s="25" t="str">
        <f t="shared" si="71"/>
        <v>DUPLICATE - CHECK</v>
      </c>
      <c r="L6600" s="25" t="str">
        <f t="shared" si="72"/>
        <v>F75546</v>
      </c>
      <c r="M6600" s="25"/>
      <c r="O6600" s="25"/>
    </row>
    <row r="6601" ht="15.75" customHeight="1">
      <c r="A6601" s="25" t="str">
        <f>IFERROR(__xludf.DUMMYFUNCTION("IF(B6601="""","""",RIGHT(REGEXREPLACE(B6601&amp;"""",""[^0-9]"",""""),9))"),"712349844")</f>
        <v>712349844</v>
      </c>
      <c r="B6601" s="52">
        <v>7.12349844E8</v>
      </c>
      <c r="C6601" s="28" t="s">
        <v>5829</v>
      </c>
      <c r="D6601" s="26" t="s">
        <v>45</v>
      </c>
      <c r="E6601" s="31">
        <v>46241.0</v>
      </c>
      <c r="F6601" s="26" t="s">
        <v>167</v>
      </c>
      <c r="G6601" s="26">
        <v>11.0</v>
      </c>
      <c r="H6601" s="26" t="s">
        <v>319</v>
      </c>
      <c r="I6601" s="26" t="s">
        <v>883</v>
      </c>
      <c r="J6601" s="25" t="str">
        <f t="shared" si="70"/>
        <v>Yes - see Previous F-Code</v>
      </c>
      <c r="K6601" s="25" t="str">
        <f t="shared" si="71"/>
        <v>DUPLICATE - CHECK</v>
      </c>
      <c r="L6601" s="25" t="str">
        <f t="shared" si="72"/>
        <v>F75264</v>
      </c>
      <c r="M6601" s="25"/>
      <c r="O6601" s="25"/>
    </row>
    <row r="6602" ht="15.75" customHeight="1">
      <c r="A6602" s="25" t="str">
        <f>IFERROR(__xludf.DUMMYFUNCTION("IF(B6602="""","""",RIGHT(REGEXREPLACE(B6602&amp;"""",""[^0-9]"",""""),9))"),"710778211")</f>
        <v>710778211</v>
      </c>
      <c r="B6602" s="52">
        <v>7.10778211E8</v>
      </c>
      <c r="C6602" s="28" t="s">
        <v>6839</v>
      </c>
      <c r="D6602" s="26" t="s">
        <v>45</v>
      </c>
      <c r="E6602" s="31">
        <v>46241.0</v>
      </c>
      <c r="F6602" s="26" t="s">
        <v>659</v>
      </c>
      <c r="G6602" s="26">
        <v>9.0</v>
      </c>
      <c r="I6602" s="26" t="s">
        <v>883</v>
      </c>
      <c r="J6602" s="25" t="str">
        <f t="shared" si="70"/>
        <v>No</v>
      </c>
      <c r="K6602" s="25" t="str">
        <f t="shared" si="71"/>
        <v/>
      </c>
      <c r="L6602" s="25" t="str">
        <f t="shared" si="72"/>
        <v/>
      </c>
      <c r="M6602" s="25"/>
      <c r="O6602" s="25"/>
    </row>
    <row r="6603" ht="15.75" customHeight="1">
      <c r="A6603" s="25" t="str">
        <f>IFERROR(__xludf.DUMMYFUNCTION("IF(B6603="""","""",RIGHT(REGEXREPLACE(B6603&amp;"""",""[^0-9]"",""""),9))"),"704191655")</f>
        <v>704191655</v>
      </c>
      <c r="B6603" s="52">
        <v>7.04191655E8</v>
      </c>
      <c r="C6603" s="28" t="s">
        <v>6840</v>
      </c>
      <c r="D6603" s="26" t="s">
        <v>45</v>
      </c>
      <c r="E6603" s="31">
        <v>46241.0</v>
      </c>
      <c r="F6603" s="26" t="s">
        <v>631</v>
      </c>
      <c r="G6603" s="26">
        <v>9.0</v>
      </c>
      <c r="I6603" s="26" t="s">
        <v>883</v>
      </c>
      <c r="J6603" s="25" t="str">
        <f t="shared" si="70"/>
        <v>No</v>
      </c>
      <c r="K6603" s="25" t="str">
        <f t="shared" si="71"/>
        <v/>
      </c>
      <c r="L6603" s="25" t="str">
        <f t="shared" si="72"/>
        <v/>
      </c>
      <c r="M6603" s="25"/>
      <c r="O6603" s="26" t="s">
        <v>51</v>
      </c>
    </row>
    <row r="6604" ht="15.75" customHeight="1">
      <c r="A6604" s="25" t="str">
        <f>IFERROR(__xludf.DUMMYFUNCTION("IF(B6604="""","""",RIGHT(REGEXREPLACE(B6604&amp;"""",""[^0-9]"",""""),9))"),"714645416")</f>
        <v>714645416</v>
      </c>
      <c r="B6604" s="52">
        <v>7.14645416E8</v>
      </c>
      <c r="C6604" s="28" t="s">
        <v>6780</v>
      </c>
      <c r="D6604" s="26" t="s">
        <v>45</v>
      </c>
      <c r="E6604" s="31">
        <v>46241.0</v>
      </c>
      <c r="F6604" s="26" t="s">
        <v>631</v>
      </c>
      <c r="G6604" s="26">
        <v>9.0</v>
      </c>
      <c r="I6604" s="26" t="s">
        <v>883</v>
      </c>
      <c r="J6604" s="25" t="str">
        <f t="shared" si="70"/>
        <v>Yes - see Previous F-Code</v>
      </c>
      <c r="K6604" s="25" t="str">
        <f t="shared" si="71"/>
        <v/>
      </c>
      <c r="L6604" s="25" t="str">
        <f t="shared" si="72"/>
        <v>F75840</v>
      </c>
      <c r="M6604" s="25"/>
      <c r="O6604" s="25"/>
    </row>
    <row r="6605" ht="15.75" customHeight="1">
      <c r="A6605" s="25" t="str">
        <f>IFERROR(__xludf.DUMMYFUNCTION("IF(B6605="""","""",RIGHT(REGEXREPLACE(B6605&amp;"""",""[^0-9]"",""""),9))"),"768019755")</f>
        <v>768019755</v>
      </c>
      <c r="B6605" s="52">
        <v>7.68019755E8</v>
      </c>
      <c r="C6605" s="28" t="s">
        <v>4191</v>
      </c>
      <c r="D6605" s="26" t="s">
        <v>45</v>
      </c>
      <c r="E6605" s="31">
        <v>46241.0</v>
      </c>
      <c r="F6605" s="26" t="s">
        <v>631</v>
      </c>
      <c r="G6605" s="26">
        <v>10.0</v>
      </c>
      <c r="H6605" s="26" t="s">
        <v>6841</v>
      </c>
      <c r="I6605" s="26" t="s">
        <v>883</v>
      </c>
      <c r="J6605" s="25" t="str">
        <f t="shared" si="70"/>
        <v>Yes - see Previous F-Code</v>
      </c>
      <c r="K6605" s="25" t="str">
        <f t="shared" si="71"/>
        <v/>
      </c>
      <c r="L6605" s="25" t="str">
        <f t="shared" si="72"/>
        <v>F73825</v>
      </c>
      <c r="M6605" s="25"/>
      <c r="O6605" s="25"/>
    </row>
    <row r="6606" ht="15.75" customHeight="1">
      <c r="A6606" s="25" t="str">
        <f>IFERROR(__xludf.DUMMYFUNCTION("IF(B6606="""","""",RIGHT(REGEXREPLACE(B6606&amp;"""",""[^0-9]"",""""),9))"),"759492525")</f>
        <v>759492525</v>
      </c>
      <c r="B6606" s="52">
        <v>7.59492525E8</v>
      </c>
      <c r="C6606" s="28" t="s">
        <v>6842</v>
      </c>
      <c r="D6606" s="26" t="s">
        <v>64</v>
      </c>
      <c r="E6606" s="31">
        <v>46242.0</v>
      </c>
      <c r="F6606" s="26" t="s">
        <v>659</v>
      </c>
      <c r="G6606" s="26">
        <v>9.0</v>
      </c>
      <c r="I6606" s="26" t="s">
        <v>883</v>
      </c>
      <c r="J6606" s="25" t="str">
        <f t="shared" si="70"/>
        <v>No</v>
      </c>
      <c r="K6606" s="25" t="str">
        <f t="shared" si="71"/>
        <v/>
      </c>
      <c r="L6606" s="25" t="str">
        <f t="shared" si="72"/>
        <v/>
      </c>
      <c r="M6606" s="25"/>
      <c r="O6606" s="26" t="s">
        <v>51</v>
      </c>
    </row>
    <row r="6607" ht="15.75" customHeight="1">
      <c r="A6607" s="25" t="str">
        <f>IFERROR(__xludf.DUMMYFUNCTION("IF(B6607="""","""",RIGHT(REGEXREPLACE(B6607&amp;"""",""[^0-9]"",""""),9))"),"776260290")</f>
        <v>776260290</v>
      </c>
      <c r="B6607" s="52">
        <v>7.7626029E8</v>
      </c>
      <c r="C6607" s="28" t="s">
        <v>4618</v>
      </c>
      <c r="D6607" s="26" t="s">
        <v>56</v>
      </c>
      <c r="E6607" s="31">
        <v>46242.0</v>
      </c>
      <c r="F6607" s="26" t="s">
        <v>46</v>
      </c>
      <c r="H6607" s="26" t="s">
        <v>6843</v>
      </c>
      <c r="I6607" s="26" t="s">
        <v>883</v>
      </c>
      <c r="J6607" s="25" t="str">
        <f t="shared" si="70"/>
        <v>Yes - see Previous F-Code</v>
      </c>
      <c r="K6607" s="25" t="str">
        <f t="shared" si="71"/>
        <v/>
      </c>
      <c r="L6607" s="25" t="str">
        <f t="shared" si="72"/>
        <v>F74209</v>
      </c>
      <c r="M6607" s="25"/>
      <c r="O6607" s="25"/>
    </row>
    <row r="6608" ht="15.75" customHeight="1">
      <c r="A6608" s="25" t="str">
        <f>IFERROR(__xludf.DUMMYFUNCTION("IF(B6608="""","""",RIGHT(REGEXREPLACE(B6608&amp;"""",""[^0-9]"",""""),9))"),"776867599")</f>
        <v>776867599</v>
      </c>
      <c r="B6608" s="52">
        <v>7.76867599E8</v>
      </c>
      <c r="C6608" s="28" t="s">
        <v>6844</v>
      </c>
      <c r="D6608" s="26" t="s">
        <v>64</v>
      </c>
      <c r="E6608" s="31">
        <v>46242.0</v>
      </c>
      <c r="F6608" s="26" t="s">
        <v>46</v>
      </c>
      <c r="G6608" s="26">
        <v>10.0</v>
      </c>
      <c r="H6608" s="26" t="s">
        <v>918</v>
      </c>
      <c r="I6608" s="26" t="s">
        <v>883</v>
      </c>
      <c r="J6608" s="25" t="str">
        <f t="shared" si="70"/>
        <v>No</v>
      </c>
      <c r="K6608" s="25" t="str">
        <f t="shared" si="71"/>
        <v/>
      </c>
      <c r="L6608" s="25" t="str">
        <f t="shared" si="72"/>
        <v/>
      </c>
      <c r="M6608" s="25"/>
      <c r="O6608" s="25"/>
    </row>
    <row r="6609" ht="15.75" customHeight="1">
      <c r="A6609" s="25" t="str">
        <f>IFERROR(__xludf.DUMMYFUNCTION("IF(B6609="""","""",RIGHT(REGEXREPLACE(B6609&amp;"""",""[^0-9]"",""""),9))"),"719022387")</f>
        <v>719022387</v>
      </c>
      <c r="B6609" s="26">
        <v>7.19022387E8</v>
      </c>
      <c r="C6609" s="28" t="s">
        <v>6845</v>
      </c>
      <c r="D6609" s="26" t="s">
        <v>45</v>
      </c>
      <c r="E6609" s="31">
        <v>46242.0</v>
      </c>
      <c r="F6609" s="26" t="s">
        <v>46</v>
      </c>
      <c r="G6609" s="26">
        <v>11.0</v>
      </c>
      <c r="I6609" s="26" t="s">
        <v>883</v>
      </c>
      <c r="J6609" s="25" t="str">
        <f t="shared" si="70"/>
        <v>No</v>
      </c>
      <c r="K6609" s="25" t="str">
        <f t="shared" si="71"/>
        <v/>
      </c>
      <c r="L6609" s="25" t="str">
        <f t="shared" si="72"/>
        <v/>
      </c>
      <c r="M6609" s="25"/>
      <c r="O6609" s="25"/>
    </row>
    <row r="6610" ht="15.75" customHeight="1">
      <c r="A6610" s="25" t="str">
        <f>IFERROR(__xludf.DUMMYFUNCTION("IF(B6610="""","""",RIGHT(REGEXREPLACE(B6610&amp;"""",""[^0-9]"",""""),9))"),"778609562")</f>
        <v>778609562</v>
      </c>
      <c r="B6610" s="52">
        <v>7.78609562E8</v>
      </c>
      <c r="C6610" s="28" t="s">
        <v>6846</v>
      </c>
      <c r="D6610" s="26" t="s">
        <v>49</v>
      </c>
      <c r="E6610" s="31">
        <v>46242.0</v>
      </c>
      <c r="F6610" s="26" t="s">
        <v>46</v>
      </c>
      <c r="G6610" s="26">
        <v>10.0</v>
      </c>
      <c r="I6610" s="26" t="s">
        <v>883</v>
      </c>
      <c r="J6610" s="25" t="str">
        <f t="shared" si="70"/>
        <v>No</v>
      </c>
      <c r="K6610" s="25" t="str">
        <f t="shared" si="71"/>
        <v/>
      </c>
      <c r="L6610" s="25" t="str">
        <f t="shared" si="72"/>
        <v/>
      </c>
      <c r="M6610" s="25"/>
      <c r="O6610" s="25"/>
    </row>
    <row r="6611" ht="15.75" customHeight="1">
      <c r="A6611" s="25" t="str">
        <f>IFERROR(__xludf.DUMMYFUNCTION("IF(B6611="""","""",RIGHT(REGEXREPLACE(B6611&amp;"""",""[^0-9]"",""""),9))"),"741243044")</f>
        <v>741243044</v>
      </c>
      <c r="B6611" s="52">
        <v>7.41243044E8</v>
      </c>
      <c r="C6611" s="28" t="s">
        <v>3075</v>
      </c>
      <c r="D6611" s="26" t="s">
        <v>64</v>
      </c>
      <c r="E6611" s="31">
        <v>46242.0</v>
      </c>
      <c r="F6611" s="26" t="s">
        <v>205</v>
      </c>
      <c r="G6611" s="26">
        <v>10.0</v>
      </c>
      <c r="I6611" s="26" t="s">
        <v>883</v>
      </c>
      <c r="J6611" s="25" t="str">
        <f t="shared" si="70"/>
        <v>Yes - see Previous F-Code</v>
      </c>
      <c r="K6611" s="25" t="str">
        <f t="shared" si="71"/>
        <v/>
      </c>
      <c r="L6611" s="25" t="str">
        <f t="shared" si="72"/>
        <v>F72706</v>
      </c>
      <c r="M6611" s="25"/>
      <c r="O6611" s="25"/>
    </row>
    <row r="6612" ht="15.75" customHeight="1">
      <c r="A6612" s="25" t="str">
        <f>IFERROR(__xludf.DUMMYFUNCTION("IF(B6612="""","""",RIGHT(REGEXREPLACE(B6612&amp;"""",""[^0-9]"",""""),9))"),"774393204")</f>
        <v>774393204</v>
      </c>
      <c r="B6612" s="52">
        <v>7.74393204E8</v>
      </c>
      <c r="C6612" s="28" t="s">
        <v>6847</v>
      </c>
      <c r="D6612" s="26" t="s">
        <v>56</v>
      </c>
      <c r="E6612" s="31">
        <v>46242.0</v>
      </c>
      <c r="F6612" s="26" t="s">
        <v>631</v>
      </c>
      <c r="G6612" s="26">
        <v>10.0</v>
      </c>
      <c r="I6612" s="26" t="s">
        <v>883</v>
      </c>
      <c r="J6612" s="25" t="str">
        <f t="shared" si="70"/>
        <v>No</v>
      </c>
      <c r="K6612" s="25" t="str">
        <f t="shared" si="71"/>
        <v/>
      </c>
      <c r="L6612" s="25" t="str">
        <f t="shared" si="72"/>
        <v/>
      </c>
      <c r="M6612" s="25"/>
      <c r="O6612" s="25"/>
    </row>
    <row r="6613" ht="15.75" customHeight="1">
      <c r="A6613" s="25" t="str">
        <f>IFERROR(__xludf.DUMMYFUNCTION("IF(B6613="""","""",RIGHT(REGEXREPLACE(B6613&amp;"""",""[^0-9]"",""""),9))"),"711400921")</f>
        <v>711400921</v>
      </c>
      <c r="B6613" s="52">
        <v>7.11400921E8</v>
      </c>
      <c r="C6613" s="28" t="s">
        <v>6032</v>
      </c>
      <c r="D6613" s="26" t="s">
        <v>64</v>
      </c>
      <c r="E6613" s="31">
        <v>46242.0</v>
      </c>
      <c r="F6613" s="26" t="s">
        <v>41</v>
      </c>
      <c r="G6613" s="26">
        <v>7.0</v>
      </c>
      <c r="I6613" s="26" t="s">
        <v>883</v>
      </c>
      <c r="J6613" s="25" t="str">
        <f t="shared" si="70"/>
        <v>Yes - see Previous F-Code</v>
      </c>
      <c r="K6613" s="25" t="str">
        <f t="shared" si="71"/>
        <v>DUPLICATE - CHECK</v>
      </c>
      <c r="L6613" s="25" t="str">
        <f t="shared" si="72"/>
        <v>F75443</v>
      </c>
      <c r="M6613" s="25"/>
      <c r="O6613" s="25"/>
    </row>
    <row r="6614" ht="15.75" customHeight="1">
      <c r="A6614" s="25" t="str">
        <f>IFERROR(__xludf.DUMMYFUNCTION("IF(B6614="""","""",RIGHT(REGEXREPLACE(B6614&amp;"""",""[^0-9]"",""""),9))"),"724900118")</f>
        <v>724900118</v>
      </c>
      <c r="B6614" s="52">
        <v>7.24900118E8</v>
      </c>
      <c r="C6614" s="28" t="s">
        <v>6525</v>
      </c>
      <c r="D6614" s="26" t="s">
        <v>49</v>
      </c>
      <c r="E6614" s="31">
        <v>46242.0</v>
      </c>
      <c r="F6614" s="26" t="s">
        <v>46</v>
      </c>
      <c r="G6614" s="26">
        <v>11.0</v>
      </c>
      <c r="H6614" s="26" t="s">
        <v>6848</v>
      </c>
      <c r="I6614" s="26" t="s">
        <v>883</v>
      </c>
      <c r="J6614" s="25" t="str">
        <f t="shared" si="70"/>
        <v>Yes - see Previous F-Code</v>
      </c>
      <c r="K6614" s="25" t="str">
        <f t="shared" si="71"/>
        <v/>
      </c>
      <c r="L6614" s="25" t="str">
        <f t="shared" si="72"/>
        <v>F75749</v>
      </c>
      <c r="M6614" s="25"/>
      <c r="O6614" s="25"/>
    </row>
    <row r="6615" ht="15.75" customHeight="1">
      <c r="A6615" s="25" t="str">
        <f>IFERROR(__xludf.DUMMYFUNCTION("IF(B6615="""","""",RIGHT(REGEXREPLACE(B6615&amp;"""",""[^0-9]"",""""),9))"),"704567762")</f>
        <v>704567762</v>
      </c>
      <c r="B6615" s="52">
        <v>7.04567762E8</v>
      </c>
      <c r="C6615" s="28" t="s">
        <v>6849</v>
      </c>
      <c r="D6615" s="26" t="s">
        <v>64</v>
      </c>
      <c r="E6615" s="31">
        <v>46242.0</v>
      </c>
      <c r="F6615" s="26" t="s">
        <v>205</v>
      </c>
      <c r="G6615" s="26">
        <v>10.0</v>
      </c>
      <c r="I6615" s="26" t="s">
        <v>883</v>
      </c>
      <c r="J6615" s="25" t="str">
        <f t="shared" si="70"/>
        <v>No</v>
      </c>
      <c r="K6615" s="25" t="str">
        <f t="shared" si="71"/>
        <v/>
      </c>
      <c r="L6615" s="25" t="str">
        <f t="shared" si="72"/>
        <v/>
      </c>
      <c r="M6615" s="25"/>
      <c r="O6615" s="25"/>
    </row>
    <row r="6616" ht="15.75" customHeight="1">
      <c r="A6616" s="25" t="str">
        <f>IFERROR(__xludf.DUMMYFUNCTION("IF(B6616="""","""",RIGHT(REGEXREPLACE(B6616&amp;"""",""[^0-9]"",""""),9))"),"774577634")</f>
        <v>774577634</v>
      </c>
      <c r="B6616" s="52">
        <v>7.74577634E8</v>
      </c>
      <c r="C6616" s="28" t="s">
        <v>6850</v>
      </c>
      <c r="D6616" s="26" t="s">
        <v>56</v>
      </c>
      <c r="E6616" s="31">
        <v>46242.0</v>
      </c>
      <c r="F6616" s="26" t="s">
        <v>46</v>
      </c>
      <c r="G6616" s="26">
        <v>10.0</v>
      </c>
      <c r="I6616" s="26" t="s">
        <v>883</v>
      </c>
      <c r="J6616" s="25" t="str">
        <f t="shared" si="70"/>
        <v>No</v>
      </c>
      <c r="K6616" s="25" t="str">
        <f t="shared" si="71"/>
        <v/>
      </c>
      <c r="L6616" s="25" t="str">
        <f t="shared" si="72"/>
        <v/>
      </c>
      <c r="M6616" s="25"/>
      <c r="O6616" s="25"/>
    </row>
    <row r="6617" ht="15.75" customHeight="1">
      <c r="A6617" s="25" t="str">
        <f>IFERROR(__xludf.DUMMYFUNCTION("IF(B6617="""","""",RIGHT(REGEXREPLACE(B6617&amp;"""",""[^0-9]"",""""),9))"),"772634225")</f>
        <v>772634225</v>
      </c>
      <c r="B6617" s="52">
        <v>7.72634225E8</v>
      </c>
      <c r="C6617" s="28" t="s">
        <v>6851</v>
      </c>
      <c r="D6617" s="26" t="s">
        <v>64</v>
      </c>
      <c r="E6617" s="31">
        <v>46242.0</v>
      </c>
      <c r="F6617" s="26" t="s">
        <v>41</v>
      </c>
      <c r="G6617" s="26">
        <v>10.0</v>
      </c>
      <c r="I6617" s="26" t="s">
        <v>883</v>
      </c>
      <c r="J6617" s="25" t="str">
        <f t="shared" si="70"/>
        <v>No</v>
      </c>
      <c r="K6617" s="25" t="str">
        <f t="shared" si="71"/>
        <v/>
      </c>
      <c r="L6617" s="25" t="str">
        <f t="shared" si="72"/>
        <v/>
      </c>
      <c r="M6617" s="25"/>
      <c r="O6617" s="25"/>
    </row>
    <row r="6618" ht="15.75" customHeight="1">
      <c r="A6618" s="25" t="str">
        <f>IFERROR(__xludf.DUMMYFUNCTION("IF(B6618="""","""",RIGHT(REGEXREPLACE(B6618&amp;"""",""[^0-9]"",""""),9))"),"776845186")</f>
        <v>776845186</v>
      </c>
      <c r="B6618" s="52">
        <v>7.76845186E8</v>
      </c>
      <c r="C6618" s="28" t="s">
        <v>6852</v>
      </c>
      <c r="D6618" s="26" t="s">
        <v>45</v>
      </c>
      <c r="E6618" s="31">
        <v>46242.0</v>
      </c>
      <c r="F6618" s="26" t="s">
        <v>41</v>
      </c>
      <c r="G6618" s="26">
        <v>9.0</v>
      </c>
      <c r="I6618" s="26" t="s">
        <v>883</v>
      </c>
      <c r="J6618" s="25" t="str">
        <f t="shared" si="70"/>
        <v>No</v>
      </c>
      <c r="K6618" s="25" t="str">
        <f t="shared" si="71"/>
        <v/>
      </c>
      <c r="L6618" s="25" t="str">
        <f t="shared" si="72"/>
        <v/>
      </c>
      <c r="M6618" s="25"/>
      <c r="O6618" s="26" t="s">
        <v>51</v>
      </c>
    </row>
    <row r="6619" ht="15.75" customHeight="1">
      <c r="A6619" s="25" t="str">
        <f>IFERROR(__xludf.DUMMYFUNCTION("IF(B6619="""","""",RIGHT(REGEXREPLACE(B6619&amp;"""",""[^0-9]"",""""),9))"),"753564083")</f>
        <v>753564083</v>
      </c>
      <c r="B6619" s="52">
        <v>7.53564083E8</v>
      </c>
      <c r="C6619" s="28" t="s">
        <v>3452</v>
      </c>
      <c r="D6619" s="26" t="s">
        <v>64</v>
      </c>
      <c r="E6619" s="31">
        <v>46242.0</v>
      </c>
      <c r="F6619" s="26" t="s">
        <v>41</v>
      </c>
      <c r="G6619" s="26">
        <v>9.0</v>
      </c>
      <c r="I6619" s="26" t="s">
        <v>883</v>
      </c>
      <c r="J6619" s="25" t="str">
        <f t="shared" si="70"/>
        <v>No</v>
      </c>
      <c r="K6619" s="25" t="str">
        <f t="shared" si="71"/>
        <v/>
      </c>
      <c r="L6619" s="25" t="str">
        <f t="shared" si="72"/>
        <v/>
      </c>
      <c r="M6619" s="25"/>
      <c r="O6619" s="25"/>
    </row>
    <row r="6620" ht="15.75" customHeight="1">
      <c r="A6620" s="25" t="str">
        <f>IFERROR(__xludf.DUMMYFUNCTION("IF(B6620="""","""",RIGHT(REGEXREPLACE(B6620&amp;"""",""[^0-9]"",""""),9))"),"710646572")</f>
        <v>710646572</v>
      </c>
      <c r="B6620" s="52">
        <v>7.10646572E8</v>
      </c>
      <c r="C6620" s="28" t="s">
        <v>6853</v>
      </c>
      <c r="D6620" s="26" t="s">
        <v>56</v>
      </c>
      <c r="E6620" s="31">
        <v>46242.0</v>
      </c>
      <c r="F6620" s="26" t="s">
        <v>46</v>
      </c>
      <c r="G6620" s="26">
        <v>11.0</v>
      </c>
      <c r="I6620" s="26" t="s">
        <v>883</v>
      </c>
      <c r="J6620" s="25" t="str">
        <f t="shared" si="70"/>
        <v>No</v>
      </c>
      <c r="K6620" s="25" t="str">
        <f t="shared" si="71"/>
        <v/>
      </c>
      <c r="L6620" s="25" t="str">
        <f t="shared" si="72"/>
        <v/>
      </c>
      <c r="M6620" s="25"/>
      <c r="O6620" s="25"/>
    </row>
    <row r="6621" ht="15.75" customHeight="1">
      <c r="A6621" s="25" t="str">
        <f>IFERROR(__xludf.DUMMYFUNCTION("IF(B6621="""","""",RIGHT(REGEXREPLACE(B6621&amp;"""",""[^0-9]"",""""),9))"),"704332168")</f>
        <v>704332168</v>
      </c>
      <c r="B6621" s="52">
        <v>7.04332168E8</v>
      </c>
      <c r="C6621" s="28" t="s">
        <v>6854</v>
      </c>
      <c r="D6621" s="26" t="s">
        <v>45</v>
      </c>
      <c r="E6621" s="31">
        <v>46242.0</v>
      </c>
      <c r="F6621" s="26" t="s">
        <v>46</v>
      </c>
      <c r="G6621" s="26">
        <v>7.0</v>
      </c>
      <c r="H6621" s="26" t="s">
        <v>6855</v>
      </c>
      <c r="I6621" s="26" t="s">
        <v>883</v>
      </c>
      <c r="J6621" s="25" t="str">
        <f t="shared" si="70"/>
        <v>No</v>
      </c>
      <c r="K6621" s="25" t="str">
        <f t="shared" si="71"/>
        <v/>
      </c>
      <c r="L6621" s="25" t="str">
        <f t="shared" si="72"/>
        <v/>
      </c>
      <c r="M6621" s="25"/>
      <c r="O6621" s="25"/>
    </row>
    <row r="6622" ht="15.75" customHeight="1">
      <c r="A6622" s="25" t="str">
        <f>IFERROR(__xludf.DUMMYFUNCTION("IF(B6622="""","""",RIGHT(REGEXREPLACE(B6622&amp;"""",""[^0-9]"",""""),9))"),"712023214")</f>
        <v>712023214</v>
      </c>
      <c r="B6622" s="52">
        <v>7.12023214E8</v>
      </c>
      <c r="C6622" s="28" t="s">
        <v>6856</v>
      </c>
      <c r="D6622" s="26" t="s">
        <v>49</v>
      </c>
      <c r="E6622" s="31">
        <v>46242.0</v>
      </c>
      <c r="F6622" s="26" t="s">
        <v>46</v>
      </c>
      <c r="G6622" s="26">
        <v>9.0</v>
      </c>
      <c r="H6622" s="26" t="s">
        <v>6857</v>
      </c>
      <c r="I6622" s="26" t="s">
        <v>883</v>
      </c>
      <c r="J6622" s="25" t="str">
        <f t="shared" si="70"/>
        <v>No</v>
      </c>
      <c r="K6622" s="25" t="str">
        <f t="shared" si="71"/>
        <v/>
      </c>
      <c r="L6622" s="25" t="str">
        <f t="shared" si="72"/>
        <v/>
      </c>
      <c r="M6622" s="25"/>
      <c r="O6622" s="25"/>
    </row>
    <row r="6623" ht="15.75" customHeight="1">
      <c r="A6623" s="25" t="str">
        <f>IFERROR(__xludf.DUMMYFUNCTION("IF(B6623="""","""",RIGHT(REGEXREPLACE(B6623&amp;"""",""[^0-9]"",""""),9))"),"788231344")</f>
        <v>788231344</v>
      </c>
      <c r="B6623" s="52">
        <v>7.88231344E8</v>
      </c>
      <c r="C6623" s="28" t="s">
        <v>6858</v>
      </c>
      <c r="D6623" s="26" t="s">
        <v>56</v>
      </c>
      <c r="E6623" s="31">
        <v>46242.0</v>
      </c>
      <c r="F6623" s="26" t="s">
        <v>41</v>
      </c>
      <c r="G6623" s="26">
        <v>11.0</v>
      </c>
      <c r="I6623" s="26" t="s">
        <v>883</v>
      </c>
      <c r="J6623" s="25" t="str">
        <f t="shared" si="70"/>
        <v>No</v>
      </c>
      <c r="K6623" s="25" t="str">
        <f t="shared" si="71"/>
        <v/>
      </c>
      <c r="L6623" s="25" t="str">
        <f t="shared" si="72"/>
        <v/>
      </c>
      <c r="M6623" s="25"/>
      <c r="O6623" s="25"/>
    </row>
    <row r="6624" ht="15.75" customHeight="1">
      <c r="A6624" s="25" t="str">
        <f>IFERROR(__xludf.DUMMYFUNCTION("IF(B6624="""","""",RIGHT(REGEXREPLACE(B6624&amp;"""",""[^0-9]"",""""),9))"),"758558009")</f>
        <v>758558009</v>
      </c>
      <c r="B6624" s="26">
        <v>7.58558009E8</v>
      </c>
      <c r="C6624" s="28" t="s">
        <v>3202</v>
      </c>
      <c r="D6624" s="26" t="s">
        <v>56</v>
      </c>
      <c r="E6624" s="31">
        <v>46242.0</v>
      </c>
      <c r="F6624" s="26" t="s">
        <v>631</v>
      </c>
      <c r="G6624" s="26">
        <v>11.0</v>
      </c>
      <c r="I6624" s="26" t="s">
        <v>883</v>
      </c>
      <c r="J6624" s="25" t="str">
        <f t="shared" si="70"/>
        <v>Yes - see Previous F-Code</v>
      </c>
      <c r="K6624" s="25" t="str">
        <f t="shared" si="71"/>
        <v/>
      </c>
      <c r="L6624" s="25" t="str">
        <f t="shared" si="72"/>
        <v>F72840</v>
      </c>
      <c r="M6624" s="25"/>
      <c r="O6624" s="25"/>
    </row>
    <row r="6625" ht="15.75" customHeight="1">
      <c r="A6625" s="25" t="str">
        <f>IFERROR(__xludf.DUMMYFUNCTION("IF(B6625="""","""",RIGHT(REGEXREPLACE(B6625&amp;"""",""[^0-9]"",""""),9))"),"741243044")</f>
        <v>741243044</v>
      </c>
      <c r="B6625" s="52">
        <v>7.41243044E8</v>
      </c>
      <c r="C6625" s="28" t="s">
        <v>3075</v>
      </c>
      <c r="D6625" s="26" t="s">
        <v>56</v>
      </c>
      <c r="E6625" s="31">
        <v>46242.0</v>
      </c>
      <c r="F6625" s="26" t="s">
        <v>46</v>
      </c>
      <c r="G6625" s="26">
        <v>10.0</v>
      </c>
      <c r="H6625" s="26" t="s">
        <v>6859</v>
      </c>
      <c r="I6625" s="26" t="s">
        <v>883</v>
      </c>
      <c r="J6625" s="25" t="str">
        <f t="shared" si="70"/>
        <v>Yes - see Previous F-Code</v>
      </c>
      <c r="K6625" s="25" t="str">
        <f t="shared" si="71"/>
        <v>DUPLICATE - CHECK</v>
      </c>
      <c r="L6625" s="25" t="str">
        <f t="shared" si="72"/>
        <v>F72706</v>
      </c>
      <c r="M6625" s="25"/>
      <c r="O6625" s="25"/>
    </row>
    <row r="6626" ht="15.75" customHeight="1">
      <c r="A6626" s="25" t="str">
        <f>IFERROR(__xludf.DUMMYFUNCTION("IF(B6626="""","""",RIGHT(REGEXREPLACE(B6626&amp;"""",""[^0-9]"",""""),9))"),"701814957")</f>
        <v>701814957</v>
      </c>
      <c r="B6626" s="52">
        <v>7.01814957E8</v>
      </c>
      <c r="C6626" s="28" t="s">
        <v>6860</v>
      </c>
      <c r="D6626" s="26" t="s">
        <v>49</v>
      </c>
      <c r="E6626" s="31">
        <v>46242.0</v>
      </c>
      <c r="F6626" s="26" t="s">
        <v>46</v>
      </c>
      <c r="G6626" s="26">
        <v>9.0</v>
      </c>
      <c r="H6626" s="72" t="s">
        <v>6861</v>
      </c>
      <c r="I6626" s="26" t="s">
        <v>883</v>
      </c>
      <c r="J6626" s="25" t="str">
        <f t="shared" si="70"/>
        <v>No</v>
      </c>
      <c r="K6626" s="25" t="str">
        <f t="shared" si="71"/>
        <v/>
      </c>
      <c r="L6626" s="25" t="str">
        <f t="shared" si="72"/>
        <v/>
      </c>
      <c r="M6626" s="25"/>
      <c r="O6626" s="25"/>
    </row>
    <row r="6627" ht="15.75" customHeight="1">
      <c r="A6627" s="25" t="str">
        <f>IFERROR(__xludf.DUMMYFUNCTION("IF(B6627="""","""",RIGHT(REGEXREPLACE(B6627&amp;"""",""[^0-9]"",""""),9))"),"770087836")</f>
        <v>770087836</v>
      </c>
      <c r="B6627" s="52">
        <v>7.70087836E8</v>
      </c>
      <c r="C6627" s="28" t="s">
        <v>6862</v>
      </c>
      <c r="D6627" s="26" t="s">
        <v>49</v>
      </c>
      <c r="E6627" s="31">
        <v>46242.0</v>
      </c>
      <c r="F6627" s="26" t="s">
        <v>164</v>
      </c>
      <c r="I6627" s="26" t="s">
        <v>883</v>
      </c>
      <c r="J6627" s="25" t="str">
        <f t="shared" si="70"/>
        <v>No</v>
      </c>
      <c r="K6627" s="25" t="str">
        <f t="shared" si="71"/>
        <v/>
      </c>
      <c r="L6627" s="25" t="str">
        <f t="shared" si="72"/>
        <v/>
      </c>
      <c r="M6627" s="25"/>
      <c r="O6627" s="25"/>
    </row>
    <row r="6628" ht="15.75" customHeight="1">
      <c r="A6628" s="25" t="str">
        <f>IFERROR(__xludf.DUMMYFUNCTION("IF(B6628="""","""",RIGHT(REGEXREPLACE(B6628&amp;"""",""[^0-9]"",""""),9))"),"768812182")</f>
        <v>768812182</v>
      </c>
      <c r="B6628" s="52">
        <v>7.68812182E8</v>
      </c>
      <c r="C6628" s="28" t="s">
        <v>6863</v>
      </c>
      <c r="D6628" s="26" t="s">
        <v>56</v>
      </c>
      <c r="E6628" s="31">
        <v>46242.0</v>
      </c>
      <c r="F6628" s="26" t="s">
        <v>46</v>
      </c>
      <c r="G6628" s="26">
        <v>10.0</v>
      </c>
      <c r="I6628" s="26" t="s">
        <v>883</v>
      </c>
      <c r="J6628" s="25" t="str">
        <f t="shared" si="70"/>
        <v>No</v>
      </c>
      <c r="K6628" s="25" t="str">
        <f t="shared" si="71"/>
        <v/>
      </c>
      <c r="L6628" s="25" t="str">
        <f t="shared" si="72"/>
        <v/>
      </c>
      <c r="M6628" s="25"/>
      <c r="O6628" s="25"/>
    </row>
    <row r="6629" ht="15.75" customHeight="1">
      <c r="A6629" s="25" t="str">
        <f>IFERROR(__xludf.DUMMYFUNCTION("IF(B6629="""","""",RIGHT(REGEXREPLACE(B6629&amp;"""",""[^0-9]"",""""),9))"),"760913949")</f>
        <v>760913949</v>
      </c>
      <c r="B6629" s="52">
        <v>7.60913949E8</v>
      </c>
      <c r="C6629" s="28" t="s">
        <v>6864</v>
      </c>
      <c r="D6629" s="26" t="s">
        <v>56</v>
      </c>
      <c r="E6629" s="31">
        <v>46242.0</v>
      </c>
      <c r="F6629" s="26" t="s">
        <v>659</v>
      </c>
      <c r="G6629" s="26">
        <v>11.0</v>
      </c>
      <c r="I6629" s="26" t="s">
        <v>883</v>
      </c>
      <c r="J6629" s="25" t="str">
        <f t="shared" si="70"/>
        <v>No</v>
      </c>
      <c r="K6629" s="25" t="str">
        <f t="shared" si="71"/>
        <v/>
      </c>
      <c r="L6629" s="25" t="str">
        <f t="shared" si="72"/>
        <v/>
      </c>
      <c r="M6629" s="25"/>
      <c r="O6629" s="25"/>
    </row>
    <row r="6630" ht="15.75" customHeight="1">
      <c r="A6630" s="25" t="str">
        <f>IFERROR(__xludf.DUMMYFUNCTION("IF(B6630="""","""",RIGHT(REGEXREPLACE(B6630&amp;"""",""[^0-9]"",""""),9))"),"768787315")</f>
        <v>768787315</v>
      </c>
      <c r="B6630" s="52">
        <v>7.68787315E8</v>
      </c>
      <c r="C6630" s="28" t="s">
        <v>6205</v>
      </c>
      <c r="D6630" s="26" t="s">
        <v>56</v>
      </c>
      <c r="E6630" s="31">
        <v>46242.0</v>
      </c>
      <c r="F6630" s="26" t="s">
        <v>41</v>
      </c>
      <c r="G6630" s="26">
        <v>10.0</v>
      </c>
      <c r="I6630" s="26" t="s">
        <v>883</v>
      </c>
      <c r="J6630" s="25" t="str">
        <f t="shared" si="70"/>
        <v>Yes - see Previous F-Code</v>
      </c>
      <c r="K6630" s="25" t="str">
        <f t="shared" si="71"/>
        <v>DUPLICATE - CHECK</v>
      </c>
      <c r="L6630" s="25" t="str">
        <f t="shared" si="72"/>
        <v>F75600</v>
      </c>
      <c r="M6630" s="25"/>
      <c r="O6630" s="25"/>
    </row>
    <row r="6631" ht="15.75" customHeight="1">
      <c r="A6631" s="25" t="str">
        <f>IFERROR(__xludf.DUMMYFUNCTION("IF(B6631="""","""",RIGHT(REGEXREPLACE(B6631&amp;"""",""[^0-9]"",""""),9))"),"764188815")</f>
        <v>764188815</v>
      </c>
      <c r="B6631" s="52">
        <v>7.64188815E8</v>
      </c>
      <c r="C6631" s="28" t="s">
        <v>6865</v>
      </c>
      <c r="D6631" s="26" t="s">
        <v>56</v>
      </c>
      <c r="E6631" s="31">
        <v>46242.0</v>
      </c>
      <c r="F6631" s="26" t="s">
        <v>46</v>
      </c>
      <c r="G6631" s="26">
        <v>7.0</v>
      </c>
      <c r="I6631" s="26" t="s">
        <v>883</v>
      </c>
      <c r="J6631" s="25" t="str">
        <f t="shared" si="70"/>
        <v>No</v>
      </c>
      <c r="K6631" s="25" t="str">
        <f t="shared" si="71"/>
        <v/>
      </c>
      <c r="L6631" s="25" t="str">
        <f t="shared" si="72"/>
        <v/>
      </c>
      <c r="M6631" s="25"/>
      <c r="O6631" s="25"/>
    </row>
    <row r="6632" ht="15.75" customHeight="1">
      <c r="A6632" s="25" t="str">
        <f>IFERROR(__xludf.DUMMYFUNCTION("IF(B6632="""","""",RIGHT(REGEXREPLACE(B6632&amp;"""",""[^0-9]"",""""),9))"),"704618665")</f>
        <v>704618665</v>
      </c>
      <c r="B6632" s="26" t="s">
        <v>6866</v>
      </c>
      <c r="C6632" s="28" t="s">
        <v>6867</v>
      </c>
      <c r="D6632" s="26" t="s">
        <v>56</v>
      </c>
      <c r="E6632" s="31">
        <v>46242.0</v>
      </c>
      <c r="F6632" s="26" t="s">
        <v>41</v>
      </c>
      <c r="I6632" s="26" t="s">
        <v>883</v>
      </c>
      <c r="J6632" s="25" t="str">
        <f t="shared" si="70"/>
        <v>No</v>
      </c>
      <c r="K6632" s="25" t="str">
        <f t="shared" si="71"/>
        <v/>
      </c>
      <c r="L6632" s="25" t="str">
        <f t="shared" si="72"/>
        <v/>
      </c>
      <c r="M6632" s="25"/>
      <c r="O6632" s="25"/>
    </row>
    <row r="6633" ht="15.75" customHeight="1">
      <c r="A6633" s="25" t="str">
        <f>IFERROR(__xludf.DUMMYFUNCTION("IF(B6633="""","""",RIGHT(REGEXREPLACE(B6633&amp;"""",""[^0-9]"",""""),9))"),"755173821")</f>
        <v>755173821</v>
      </c>
      <c r="B6633" s="52">
        <v>7.55173821E8</v>
      </c>
      <c r="C6633" s="28" t="s">
        <v>6868</v>
      </c>
      <c r="D6633" s="26" t="s">
        <v>56</v>
      </c>
      <c r="E6633" s="31">
        <v>46242.0</v>
      </c>
      <c r="F6633" s="26" t="s">
        <v>41</v>
      </c>
      <c r="I6633" s="26" t="s">
        <v>883</v>
      </c>
      <c r="J6633" s="25" t="str">
        <f t="shared" si="70"/>
        <v>No</v>
      </c>
      <c r="K6633" s="25" t="str">
        <f t="shared" si="71"/>
        <v/>
      </c>
      <c r="L6633" s="25" t="str">
        <f t="shared" si="72"/>
        <v/>
      </c>
      <c r="M6633" s="25"/>
      <c r="O6633" s="25"/>
    </row>
    <row r="6634" ht="15.75" customHeight="1">
      <c r="A6634" s="25" t="str">
        <f>IFERROR(__xludf.DUMMYFUNCTION("IF(B6634="""","""",RIGHT(REGEXREPLACE(B6634&amp;"""",""[^0-9]"",""""),9))"),"769949362")</f>
        <v>769949362</v>
      </c>
      <c r="B6634" s="52">
        <v>7.69949362E8</v>
      </c>
      <c r="C6634" s="28" t="s">
        <v>6869</v>
      </c>
      <c r="D6634" s="26" t="s">
        <v>56</v>
      </c>
      <c r="E6634" s="31">
        <v>46242.0</v>
      </c>
      <c r="F6634" s="26" t="s">
        <v>41</v>
      </c>
      <c r="I6634" s="26" t="s">
        <v>883</v>
      </c>
      <c r="J6634" s="25" t="str">
        <f t="shared" si="70"/>
        <v>No</v>
      </c>
      <c r="K6634" s="25" t="str">
        <f t="shared" si="71"/>
        <v/>
      </c>
      <c r="L6634" s="25" t="str">
        <f t="shared" si="72"/>
        <v/>
      </c>
      <c r="M6634" s="25"/>
      <c r="O6634" s="25"/>
    </row>
    <row r="6635" ht="15.75" customHeight="1">
      <c r="A6635" s="25" t="str">
        <f>IFERROR(__xludf.DUMMYFUNCTION("IF(B6635="""","""",RIGHT(REGEXREPLACE(B6635&amp;"""",""[^0-9]"",""""),9))"),"777830194")</f>
        <v>777830194</v>
      </c>
      <c r="B6635" s="52">
        <v>7.77830194E8</v>
      </c>
      <c r="C6635" s="28" t="s">
        <v>6870</v>
      </c>
      <c r="D6635" s="26" t="s">
        <v>49</v>
      </c>
      <c r="E6635" s="31">
        <v>46242.0</v>
      </c>
      <c r="F6635" s="26" t="s">
        <v>46</v>
      </c>
      <c r="G6635" s="26">
        <v>7.0</v>
      </c>
      <c r="I6635" s="26" t="s">
        <v>883</v>
      </c>
      <c r="J6635" s="25" t="str">
        <f t="shared" si="70"/>
        <v>No</v>
      </c>
      <c r="K6635" s="25" t="str">
        <f t="shared" si="71"/>
        <v/>
      </c>
      <c r="L6635" s="25" t="str">
        <f t="shared" si="72"/>
        <v/>
      </c>
      <c r="M6635" s="25"/>
      <c r="O6635" s="26" t="s">
        <v>51</v>
      </c>
    </row>
    <row r="6636" ht="15.75" customHeight="1">
      <c r="A6636" s="25" t="str">
        <f>IFERROR(__xludf.DUMMYFUNCTION("IF(B6636="""","""",RIGHT(REGEXREPLACE(B6636&amp;"""",""[^0-9]"",""""),9))"),"752027900")</f>
        <v>752027900</v>
      </c>
      <c r="B6636" s="52">
        <v>7.520279E8</v>
      </c>
      <c r="C6636" s="28" t="s">
        <v>2354</v>
      </c>
      <c r="D6636" s="26" t="s">
        <v>49</v>
      </c>
      <c r="E6636" s="31">
        <v>46242.0</v>
      </c>
      <c r="F6636" s="26" t="s">
        <v>46</v>
      </c>
      <c r="G6636" s="26">
        <v>10.0</v>
      </c>
      <c r="H6636" s="26" t="s">
        <v>4787</v>
      </c>
      <c r="I6636" s="26" t="s">
        <v>883</v>
      </c>
      <c r="J6636" s="25" t="str">
        <f t="shared" si="70"/>
        <v>Yes - see Previous F-Code</v>
      </c>
      <c r="K6636" s="25" t="str">
        <f t="shared" si="71"/>
        <v/>
      </c>
      <c r="L6636" s="25" t="str">
        <f t="shared" si="72"/>
        <v>F72050</v>
      </c>
      <c r="M6636" s="25"/>
      <c r="O6636" s="25"/>
    </row>
    <row r="6637" ht="15.75" customHeight="1">
      <c r="A6637" s="25" t="str">
        <f>IFERROR(__xludf.DUMMYFUNCTION("IF(B6637="""","""",RIGHT(REGEXREPLACE(B6637&amp;"""",""[^0-9]"",""""),9))"),"760921156")</f>
        <v>760921156</v>
      </c>
      <c r="B6637" s="26" t="s">
        <v>6871</v>
      </c>
      <c r="C6637" s="28" t="s">
        <v>6872</v>
      </c>
      <c r="D6637" s="26" t="s">
        <v>45</v>
      </c>
      <c r="E6637" s="31">
        <v>46242.0</v>
      </c>
      <c r="F6637" s="26" t="s">
        <v>46</v>
      </c>
      <c r="G6637" s="26">
        <v>11.0</v>
      </c>
      <c r="I6637" s="26" t="s">
        <v>883</v>
      </c>
      <c r="J6637" s="25" t="str">
        <f t="shared" si="70"/>
        <v>No</v>
      </c>
      <c r="K6637" s="25" t="str">
        <f t="shared" si="71"/>
        <v/>
      </c>
      <c r="L6637" s="25" t="str">
        <f t="shared" si="72"/>
        <v/>
      </c>
      <c r="M6637" s="25"/>
      <c r="O6637" s="25"/>
    </row>
    <row r="6638" ht="15.75" customHeight="1">
      <c r="A6638" s="25" t="str">
        <f>IFERROR(__xludf.DUMMYFUNCTION("IF(B6638="""","""",RIGHT(REGEXREPLACE(B6638&amp;"""",""[^0-9]"",""""),9))"),"717453714")</f>
        <v>717453714</v>
      </c>
      <c r="B6638" s="52">
        <v>7.17453714E8</v>
      </c>
      <c r="C6638" s="28" t="s">
        <v>3695</v>
      </c>
      <c r="D6638" s="26" t="s">
        <v>49</v>
      </c>
      <c r="E6638" s="31">
        <v>46242.0</v>
      </c>
      <c r="F6638" s="26" t="s">
        <v>46</v>
      </c>
      <c r="G6638" s="26">
        <v>10.0</v>
      </c>
      <c r="H6638" s="26" t="s">
        <v>2615</v>
      </c>
      <c r="I6638" s="26" t="s">
        <v>883</v>
      </c>
      <c r="J6638" s="25" t="str">
        <f t="shared" si="70"/>
        <v>Yes - see Previous F-Code</v>
      </c>
      <c r="K6638" s="25" t="str">
        <f t="shared" si="71"/>
        <v/>
      </c>
      <c r="L6638" s="25" t="str">
        <f t="shared" si="72"/>
        <v>F73349</v>
      </c>
      <c r="M6638" s="25"/>
      <c r="O6638" s="25"/>
    </row>
    <row r="6639" ht="15.75" customHeight="1">
      <c r="A6639" s="25" t="str">
        <f>IFERROR(__xludf.DUMMYFUNCTION("IF(B6639="""","""",RIGHT(REGEXREPLACE(B6639&amp;"""",""[^0-9]"",""""),9))"),"768540070")</f>
        <v>768540070</v>
      </c>
      <c r="B6639" s="52">
        <v>7.6854007E8</v>
      </c>
      <c r="C6639" s="28" t="s">
        <v>6873</v>
      </c>
      <c r="D6639" s="26" t="s">
        <v>49</v>
      </c>
      <c r="E6639" s="31">
        <v>46242.0</v>
      </c>
      <c r="F6639" s="26" t="s">
        <v>41</v>
      </c>
      <c r="G6639" s="26">
        <v>10.0</v>
      </c>
      <c r="H6639" s="26" t="s">
        <v>6874</v>
      </c>
      <c r="I6639" s="26" t="s">
        <v>883</v>
      </c>
      <c r="J6639" s="25" t="str">
        <f t="shared" si="70"/>
        <v>No</v>
      </c>
      <c r="K6639" s="25" t="str">
        <f t="shared" si="71"/>
        <v/>
      </c>
      <c r="L6639" s="25" t="str">
        <f t="shared" si="72"/>
        <v/>
      </c>
      <c r="M6639" s="25"/>
      <c r="O6639" s="25"/>
    </row>
    <row r="6640" ht="15.75" customHeight="1">
      <c r="A6640" s="25" t="str">
        <f>IFERROR(__xludf.DUMMYFUNCTION("IF(B6640="""","""",RIGHT(REGEXREPLACE(B6640&amp;"""",""[^0-9]"",""""),9))"),"760786251")</f>
        <v>760786251</v>
      </c>
      <c r="B6640" s="26">
        <v>7.60786251E8</v>
      </c>
      <c r="C6640" s="28" t="s">
        <v>6875</v>
      </c>
      <c r="D6640" s="26" t="s">
        <v>64</v>
      </c>
      <c r="E6640" s="31">
        <v>46242.0</v>
      </c>
      <c r="F6640" s="26" t="s">
        <v>205</v>
      </c>
      <c r="G6640" s="26">
        <v>11.0</v>
      </c>
      <c r="I6640" s="26" t="s">
        <v>883</v>
      </c>
      <c r="J6640" s="25" t="str">
        <f t="shared" si="70"/>
        <v>No</v>
      </c>
      <c r="K6640" s="25" t="str">
        <f t="shared" si="71"/>
        <v/>
      </c>
      <c r="L6640" s="25" t="str">
        <f t="shared" si="72"/>
        <v/>
      </c>
      <c r="M6640" s="25"/>
      <c r="O6640" s="25"/>
    </row>
    <row r="6641" ht="15.75" customHeight="1">
      <c r="A6641" s="25" t="str">
        <f>IFERROR(__xludf.DUMMYFUNCTION("IF(B6641="""","""",RIGHT(REGEXREPLACE(B6641&amp;"""",""[^0-9]"",""""),9))"),"743157535")</f>
        <v>743157535</v>
      </c>
      <c r="B6641" s="26" t="s">
        <v>6789</v>
      </c>
      <c r="C6641" s="28" t="s">
        <v>6790</v>
      </c>
      <c r="D6641" s="26" t="s">
        <v>45</v>
      </c>
      <c r="E6641" s="31">
        <v>46242.0</v>
      </c>
      <c r="F6641" s="26" t="s">
        <v>46</v>
      </c>
      <c r="G6641" s="26">
        <v>9.0</v>
      </c>
      <c r="I6641" s="26" t="s">
        <v>883</v>
      </c>
      <c r="J6641" s="25" t="str">
        <f t="shared" si="70"/>
        <v>Yes - see Previous F-Code</v>
      </c>
      <c r="K6641" s="25" t="str">
        <f t="shared" si="71"/>
        <v/>
      </c>
      <c r="L6641" s="25" t="str">
        <f t="shared" si="72"/>
        <v>F75844</v>
      </c>
      <c r="M6641" s="25"/>
      <c r="O6641" s="26" t="s">
        <v>51</v>
      </c>
    </row>
    <row r="6642" ht="15.75" customHeight="1">
      <c r="C6642" s="46"/>
      <c r="D6642" s="25"/>
      <c r="F6642" s="25"/>
      <c r="I6642" s="26" t="s">
        <v>883</v>
      </c>
      <c r="M6642" s="25"/>
      <c r="O6642" s="25"/>
    </row>
    <row r="6643" ht="15.75" customHeight="1">
      <c r="A6643" s="25" t="str">
        <f>IFERROR(__xludf.DUMMYFUNCTION("IF(B6643="""","""",RIGHT(REGEXREPLACE(B6643&amp;"""",""[^0-9]"",""""),9))"),"764286898")</f>
        <v>764286898</v>
      </c>
      <c r="B6643" s="110" t="s">
        <v>6876</v>
      </c>
      <c r="C6643" s="28" t="s">
        <v>6877</v>
      </c>
      <c r="D6643" s="26" t="s">
        <v>56</v>
      </c>
      <c r="E6643" s="31">
        <v>46242.0</v>
      </c>
      <c r="F6643" s="26" t="s">
        <v>46</v>
      </c>
      <c r="G6643" s="26">
        <v>10.0</v>
      </c>
      <c r="I6643" s="26" t="s">
        <v>892</v>
      </c>
      <c r="J6643" s="25" t="str">
        <f t="shared" ref="J6643:J6686" si="73">IF(COUNTIF($A$2:A6642,A6643)&gt;0,"Yes - see Previous F-Code","No")</f>
        <v>No</v>
      </c>
      <c r="K6643" s="25" t="str">
        <f t="shared" ref="K6643:K6686" si="74">IF(COUNTIFS($A$2:A6643,A6643,$I$2:I6643,I6643)&gt;1,"DUPLICATE - CHECK","")</f>
        <v/>
      </c>
      <c r="L6643" s="25" t="str">
        <f t="shared" ref="L6643:L6686" si="75">IF(COUNTIF($A$2:A6642,A6643)&gt;0,INDEX($C$2:C6642,MATCH(A6643,$A$2:A6642,0)),"")</f>
        <v/>
      </c>
      <c r="M6643" s="25"/>
      <c r="O6643" s="25"/>
    </row>
    <row r="6644" ht="15.75" customHeight="1">
      <c r="A6644" s="25" t="str">
        <f>IFERROR(__xludf.DUMMYFUNCTION("IF(B6644="""","""",RIGHT(REGEXREPLACE(B6644&amp;"""",""[^0-9]"",""""),9))"),"760691383")</f>
        <v>760691383</v>
      </c>
      <c r="B6644" s="26" t="s">
        <v>6878</v>
      </c>
      <c r="C6644" s="28" t="s">
        <v>4966</v>
      </c>
      <c r="D6644" s="26" t="s">
        <v>64</v>
      </c>
      <c r="E6644" s="31">
        <v>46242.0</v>
      </c>
      <c r="F6644" s="26" t="s">
        <v>659</v>
      </c>
      <c r="I6644" s="26" t="s">
        <v>892</v>
      </c>
      <c r="J6644" s="25" t="str">
        <f t="shared" si="73"/>
        <v>Yes - see Previous F-Code</v>
      </c>
      <c r="K6644" s="25" t="str">
        <f t="shared" si="74"/>
        <v/>
      </c>
      <c r="L6644" s="25" t="str">
        <f t="shared" si="75"/>
        <v>F74530</v>
      </c>
      <c r="M6644" s="25"/>
      <c r="O6644" s="25"/>
    </row>
    <row r="6645" ht="15.75" customHeight="1">
      <c r="A6645" s="25" t="str">
        <f>IFERROR(__xludf.DUMMYFUNCTION("IF(B6645="""","""",RIGHT(REGEXREPLACE(B6645&amp;"""",""[^0-9]"",""""),9))"),"763494078")</f>
        <v>763494078</v>
      </c>
      <c r="B6645" s="110" t="s">
        <v>6879</v>
      </c>
      <c r="C6645" s="28" t="s">
        <v>6880</v>
      </c>
      <c r="D6645" s="26" t="s">
        <v>64</v>
      </c>
      <c r="E6645" s="31">
        <v>46242.0</v>
      </c>
      <c r="F6645" s="26" t="s">
        <v>46</v>
      </c>
      <c r="G6645" s="26">
        <v>11.0</v>
      </c>
      <c r="I6645" s="26" t="s">
        <v>892</v>
      </c>
      <c r="J6645" s="25" t="str">
        <f t="shared" si="73"/>
        <v>No</v>
      </c>
      <c r="K6645" s="25" t="str">
        <f t="shared" si="74"/>
        <v/>
      </c>
      <c r="L6645" s="25" t="str">
        <f t="shared" si="75"/>
        <v/>
      </c>
      <c r="M6645" s="25"/>
      <c r="O6645" s="25"/>
    </row>
    <row r="6646" ht="15.75" customHeight="1">
      <c r="A6646" s="25" t="str">
        <f>IFERROR(__xludf.DUMMYFUNCTION("IF(B6646="""","""",RIGHT(REGEXREPLACE(B6646&amp;"""",""[^0-9]"",""""),9))"),"711510973")</f>
        <v>711510973</v>
      </c>
      <c r="B6646" s="26" t="s">
        <v>6305</v>
      </c>
      <c r="C6646" s="28" t="s">
        <v>6306</v>
      </c>
      <c r="D6646" s="26" t="s">
        <v>56</v>
      </c>
      <c r="E6646" s="31">
        <v>46242.0</v>
      </c>
      <c r="F6646" s="26" t="s">
        <v>659</v>
      </c>
      <c r="I6646" s="26" t="s">
        <v>892</v>
      </c>
      <c r="J6646" s="25" t="str">
        <f t="shared" si="73"/>
        <v>Yes - see Previous F-Code</v>
      </c>
      <c r="K6646" s="25" t="str">
        <f t="shared" si="74"/>
        <v>DUPLICATE - CHECK</v>
      </c>
      <c r="L6646" s="25" t="str">
        <f t="shared" si="75"/>
        <v>F75665</v>
      </c>
      <c r="M6646" s="25"/>
      <c r="O6646" s="25"/>
    </row>
    <row r="6647" ht="15.75" customHeight="1">
      <c r="A6647" s="25" t="str">
        <f>IFERROR(__xludf.DUMMYFUNCTION("IF(B6647="""","""",RIGHT(REGEXREPLACE(B6647&amp;"""",""[^0-9]"",""""),9))"),"774393204")</f>
        <v>774393204</v>
      </c>
      <c r="B6647" s="26" t="s">
        <v>6881</v>
      </c>
      <c r="C6647" s="28" t="s">
        <v>6847</v>
      </c>
      <c r="D6647" s="26" t="s">
        <v>64</v>
      </c>
      <c r="E6647" s="31">
        <v>46242.0</v>
      </c>
      <c r="F6647" s="26" t="s">
        <v>46</v>
      </c>
      <c r="G6647" s="26">
        <v>10.0</v>
      </c>
      <c r="H6647" s="26" t="s">
        <v>6273</v>
      </c>
      <c r="I6647" s="26" t="s">
        <v>892</v>
      </c>
      <c r="J6647" s="25" t="str">
        <f t="shared" si="73"/>
        <v>Yes - see Previous F-Code</v>
      </c>
      <c r="K6647" s="25" t="str">
        <f t="shared" si="74"/>
        <v/>
      </c>
      <c r="L6647" s="25" t="str">
        <f t="shared" si="75"/>
        <v>F75875</v>
      </c>
      <c r="M6647" s="25"/>
      <c r="O6647" s="25"/>
    </row>
    <row r="6648" ht="15.75" customHeight="1">
      <c r="A6648" s="25" t="str">
        <f>IFERROR(__xludf.DUMMYFUNCTION("IF(B6648="""","""",RIGHT(REGEXREPLACE(B6648&amp;"""",""[^0-9]"",""""),9))"),"779283041")</f>
        <v>779283041</v>
      </c>
      <c r="B6648" s="26" t="s">
        <v>6882</v>
      </c>
      <c r="C6648" s="28" t="s">
        <v>5846</v>
      </c>
      <c r="D6648" s="26" t="s">
        <v>56</v>
      </c>
      <c r="E6648" s="31">
        <v>46242.0</v>
      </c>
      <c r="F6648" s="26" t="s">
        <v>46</v>
      </c>
      <c r="H6648" s="26" t="s">
        <v>140</v>
      </c>
      <c r="I6648" s="26" t="s">
        <v>892</v>
      </c>
      <c r="J6648" s="25" t="str">
        <f t="shared" si="73"/>
        <v>Yes - see Previous F-Code</v>
      </c>
      <c r="K6648" s="25" t="str">
        <f t="shared" si="74"/>
        <v/>
      </c>
      <c r="L6648" s="25" t="str">
        <f t="shared" si="75"/>
        <v>F75280</v>
      </c>
      <c r="M6648" s="25"/>
      <c r="O6648" s="25"/>
    </row>
    <row r="6649" ht="15.75" customHeight="1">
      <c r="A6649" s="25" t="str">
        <f>IFERROR(__xludf.DUMMYFUNCTION("IF(B6649="""","""",RIGHT(REGEXREPLACE(B6649&amp;"""",""[^0-9]"",""""),9))"),"711019345")</f>
        <v>711019345</v>
      </c>
      <c r="B6649" s="26" t="s">
        <v>6883</v>
      </c>
      <c r="C6649" s="28" t="s">
        <v>6884</v>
      </c>
      <c r="D6649" s="26" t="s">
        <v>56</v>
      </c>
      <c r="E6649" s="31">
        <v>46242.0</v>
      </c>
      <c r="F6649" s="26" t="s">
        <v>205</v>
      </c>
      <c r="I6649" s="26" t="s">
        <v>892</v>
      </c>
      <c r="J6649" s="25" t="str">
        <f t="shared" si="73"/>
        <v>No</v>
      </c>
      <c r="K6649" s="25" t="str">
        <f t="shared" si="74"/>
        <v/>
      </c>
      <c r="L6649" s="25" t="str">
        <f t="shared" si="75"/>
        <v/>
      </c>
      <c r="M6649" s="25"/>
      <c r="O6649" s="25"/>
    </row>
    <row r="6650" ht="15.75" customHeight="1">
      <c r="A6650" s="25" t="str">
        <f>IFERROR(__xludf.DUMMYFUNCTION("IF(B6650="""","""",RIGHT(REGEXREPLACE(B6650&amp;"""",""[^0-9]"",""""),9))"),"767769661")</f>
        <v>767769661</v>
      </c>
      <c r="B6650" s="26" t="s">
        <v>6885</v>
      </c>
      <c r="C6650" s="28" t="s">
        <v>6886</v>
      </c>
      <c r="D6650" s="26" t="s">
        <v>45</v>
      </c>
      <c r="E6650" s="31">
        <v>46242.0</v>
      </c>
      <c r="F6650" s="26" t="s">
        <v>46</v>
      </c>
      <c r="G6650" s="26">
        <v>11.0</v>
      </c>
      <c r="H6650" s="26" t="s">
        <v>5896</v>
      </c>
      <c r="I6650" s="26" t="s">
        <v>892</v>
      </c>
      <c r="J6650" s="25" t="str">
        <f t="shared" si="73"/>
        <v>No</v>
      </c>
      <c r="K6650" s="25" t="str">
        <f t="shared" si="74"/>
        <v/>
      </c>
      <c r="L6650" s="25" t="str">
        <f t="shared" si="75"/>
        <v/>
      </c>
      <c r="M6650" s="25"/>
      <c r="O6650" s="25"/>
    </row>
    <row r="6651" ht="15.75" customHeight="1">
      <c r="A6651" s="25" t="str">
        <f>IFERROR(__xludf.DUMMYFUNCTION("IF(B6651="""","""",RIGHT(REGEXREPLACE(B6651&amp;"""",""[^0-9]"",""""),9))"),"769163119")</f>
        <v>769163119</v>
      </c>
      <c r="B6651" s="26" t="s">
        <v>6887</v>
      </c>
      <c r="C6651" s="28" t="s">
        <v>6888</v>
      </c>
      <c r="D6651" s="26" t="s">
        <v>49</v>
      </c>
      <c r="E6651" s="31">
        <v>46242.0</v>
      </c>
      <c r="F6651" s="26" t="s">
        <v>46</v>
      </c>
      <c r="G6651" s="26">
        <v>8.0</v>
      </c>
      <c r="H6651" s="117" t="s">
        <v>6889</v>
      </c>
      <c r="I6651" s="26" t="s">
        <v>892</v>
      </c>
      <c r="J6651" s="25" t="str">
        <f t="shared" si="73"/>
        <v>No</v>
      </c>
      <c r="K6651" s="25" t="str">
        <f t="shared" si="74"/>
        <v/>
      </c>
      <c r="L6651" s="25" t="str">
        <f t="shared" si="75"/>
        <v/>
      </c>
      <c r="M6651" s="25"/>
      <c r="O6651" s="25"/>
    </row>
    <row r="6652" ht="15.75" customHeight="1">
      <c r="A6652" s="25" t="str">
        <f>IFERROR(__xludf.DUMMYFUNCTION("IF(B6652="""","""",RIGHT(REGEXREPLACE(B6652&amp;"""",""[^0-9]"",""""),9))"),"775067879")</f>
        <v>775067879</v>
      </c>
      <c r="B6652" s="26" t="s">
        <v>6890</v>
      </c>
      <c r="C6652" s="28" t="s">
        <v>6891</v>
      </c>
      <c r="D6652" s="26" t="s">
        <v>49</v>
      </c>
      <c r="E6652" s="31">
        <v>46242.0</v>
      </c>
      <c r="F6652" s="26" t="s">
        <v>205</v>
      </c>
      <c r="I6652" s="26" t="s">
        <v>892</v>
      </c>
      <c r="J6652" s="25" t="str">
        <f t="shared" si="73"/>
        <v>No</v>
      </c>
      <c r="K6652" s="25" t="str">
        <f t="shared" si="74"/>
        <v/>
      </c>
      <c r="L6652" s="25" t="str">
        <f t="shared" si="75"/>
        <v/>
      </c>
      <c r="M6652" s="25"/>
      <c r="O6652" s="25"/>
    </row>
    <row r="6653" ht="15.75" customHeight="1">
      <c r="A6653" s="25" t="str">
        <f>IFERROR(__xludf.DUMMYFUNCTION("IF(B6653="""","""",RIGHT(REGEXREPLACE(B6653&amp;"""",""[^0-9]"",""""),9))"),"762321440")</f>
        <v>762321440</v>
      </c>
      <c r="B6653" s="26" t="s">
        <v>6892</v>
      </c>
      <c r="C6653" s="28" t="s">
        <v>6893</v>
      </c>
      <c r="D6653" s="26" t="s">
        <v>45</v>
      </c>
      <c r="E6653" s="31">
        <v>46242.0</v>
      </c>
      <c r="F6653" s="26" t="s">
        <v>659</v>
      </c>
      <c r="I6653" s="26" t="s">
        <v>892</v>
      </c>
      <c r="J6653" s="25" t="str">
        <f t="shared" si="73"/>
        <v>No</v>
      </c>
      <c r="K6653" s="25" t="str">
        <f t="shared" si="74"/>
        <v/>
      </c>
      <c r="L6653" s="25" t="str">
        <f t="shared" si="75"/>
        <v/>
      </c>
      <c r="M6653" s="25"/>
      <c r="O6653" s="25"/>
    </row>
    <row r="6654" ht="15.75" customHeight="1">
      <c r="A6654" s="25" t="str">
        <f>IFERROR(__xludf.DUMMYFUNCTION("IF(B6654="""","""",RIGHT(REGEXREPLACE(B6654&amp;"""",""[^0-9]"",""""),9))"),"769207558")</f>
        <v>769207558</v>
      </c>
      <c r="B6654" s="26" t="s">
        <v>6894</v>
      </c>
      <c r="C6654" s="28" t="s">
        <v>6895</v>
      </c>
      <c r="D6654" s="26" t="s">
        <v>45</v>
      </c>
      <c r="E6654" s="31">
        <v>46242.0</v>
      </c>
      <c r="F6654" s="26" t="s">
        <v>205</v>
      </c>
      <c r="I6654" s="26" t="s">
        <v>892</v>
      </c>
      <c r="J6654" s="25" t="str">
        <f t="shared" si="73"/>
        <v>No</v>
      </c>
      <c r="K6654" s="25" t="str">
        <f t="shared" si="74"/>
        <v/>
      </c>
      <c r="L6654" s="25" t="str">
        <f t="shared" si="75"/>
        <v/>
      </c>
      <c r="M6654" s="25"/>
      <c r="O6654" s="26" t="s">
        <v>51</v>
      </c>
    </row>
    <row r="6655" ht="15.75" customHeight="1">
      <c r="A6655" s="25" t="str">
        <f>IFERROR(__xludf.DUMMYFUNCTION("IF(B6655="""","""",RIGHT(REGEXREPLACE(B6655&amp;"""",""[^0-9]"",""""),9))"),"742449129")</f>
        <v>742449129</v>
      </c>
      <c r="B6655" s="26" t="s">
        <v>6896</v>
      </c>
      <c r="C6655" s="28" t="s">
        <v>6897</v>
      </c>
      <c r="D6655" s="26" t="s">
        <v>45</v>
      </c>
      <c r="E6655" s="31">
        <v>46242.0</v>
      </c>
      <c r="F6655" s="26" t="s">
        <v>46</v>
      </c>
      <c r="G6655" s="26">
        <v>10.0</v>
      </c>
      <c r="H6655" s="26" t="s">
        <v>6342</v>
      </c>
      <c r="I6655" s="26" t="s">
        <v>892</v>
      </c>
      <c r="J6655" s="25" t="str">
        <f t="shared" si="73"/>
        <v>No</v>
      </c>
      <c r="K6655" s="25" t="str">
        <f t="shared" si="74"/>
        <v/>
      </c>
      <c r="L6655" s="25" t="str">
        <f t="shared" si="75"/>
        <v/>
      </c>
      <c r="M6655" s="25"/>
      <c r="O6655" s="25"/>
    </row>
    <row r="6656" ht="15.75" customHeight="1">
      <c r="A6656" s="25" t="str">
        <f>IFERROR(__xludf.DUMMYFUNCTION("IF(B6656="""","""",RIGHT(REGEXREPLACE(B6656&amp;"""",""[^0-9]"",""""),9))"),"762058818")</f>
        <v>762058818</v>
      </c>
      <c r="B6656" s="26" t="s">
        <v>6898</v>
      </c>
      <c r="C6656" s="28" t="s">
        <v>6899</v>
      </c>
      <c r="D6656" s="26" t="s">
        <v>45</v>
      </c>
      <c r="E6656" s="31">
        <v>46242.0</v>
      </c>
      <c r="F6656" s="26" t="s">
        <v>631</v>
      </c>
      <c r="G6656" s="26">
        <v>7.0</v>
      </c>
      <c r="H6656" s="26" t="s">
        <v>6765</v>
      </c>
      <c r="I6656" s="26" t="s">
        <v>892</v>
      </c>
      <c r="J6656" s="25" t="str">
        <f t="shared" si="73"/>
        <v>No</v>
      </c>
      <c r="K6656" s="25" t="str">
        <f t="shared" si="74"/>
        <v/>
      </c>
      <c r="L6656" s="25" t="str">
        <f t="shared" si="75"/>
        <v/>
      </c>
      <c r="M6656" s="25"/>
      <c r="O6656" s="26" t="s">
        <v>51</v>
      </c>
    </row>
    <row r="6657" ht="15.75" customHeight="1">
      <c r="A6657" s="25" t="str">
        <f>IFERROR(__xludf.DUMMYFUNCTION("IF(B6657="""","""",RIGHT(REGEXREPLACE(B6657&amp;"""",""[^0-9]"",""""),9))"),"750701599")</f>
        <v>750701599</v>
      </c>
      <c r="B6657" s="26" t="s">
        <v>6900</v>
      </c>
      <c r="C6657" s="28" t="s">
        <v>6901</v>
      </c>
      <c r="D6657" s="26" t="s">
        <v>45</v>
      </c>
      <c r="E6657" s="31">
        <v>46242.0</v>
      </c>
      <c r="F6657" s="26" t="s">
        <v>46</v>
      </c>
      <c r="G6657" s="26">
        <v>10.0</v>
      </c>
      <c r="H6657" s="26" t="s">
        <v>6342</v>
      </c>
      <c r="I6657" s="26" t="s">
        <v>892</v>
      </c>
      <c r="J6657" s="25" t="str">
        <f t="shared" si="73"/>
        <v>No</v>
      </c>
      <c r="K6657" s="25" t="str">
        <f t="shared" si="74"/>
        <v/>
      </c>
      <c r="L6657" s="25" t="str">
        <f t="shared" si="75"/>
        <v/>
      </c>
      <c r="M6657" s="25"/>
      <c r="O6657" s="25"/>
    </row>
    <row r="6658" ht="15.75" customHeight="1">
      <c r="A6658" s="25" t="str">
        <f>IFERROR(__xludf.DUMMYFUNCTION("IF(B6658="""","""",RIGHT(REGEXREPLACE(B6658&amp;"""",""[^0-9]"",""""),9))"),"779359123")</f>
        <v>779359123</v>
      </c>
      <c r="B6658" s="110" t="s">
        <v>6902</v>
      </c>
      <c r="C6658" s="28" t="s">
        <v>6903</v>
      </c>
      <c r="D6658" s="26" t="s">
        <v>45</v>
      </c>
      <c r="E6658" s="31">
        <v>46242.0</v>
      </c>
      <c r="F6658" s="26" t="s">
        <v>659</v>
      </c>
      <c r="G6658" s="26">
        <v>10.0</v>
      </c>
      <c r="H6658" s="26" t="s">
        <v>6904</v>
      </c>
      <c r="I6658" s="26" t="s">
        <v>892</v>
      </c>
      <c r="J6658" s="25" t="str">
        <f t="shared" si="73"/>
        <v>No</v>
      </c>
      <c r="K6658" s="25" t="str">
        <f t="shared" si="74"/>
        <v/>
      </c>
      <c r="L6658" s="25" t="str">
        <f t="shared" si="75"/>
        <v/>
      </c>
      <c r="M6658" s="25"/>
      <c r="O6658" s="25"/>
    </row>
    <row r="6659" ht="15.75" customHeight="1">
      <c r="A6659" s="25" t="str">
        <f>IFERROR(__xludf.DUMMYFUNCTION("IF(B6659="""","""",RIGHT(REGEXREPLACE(B6659&amp;"""",""[^0-9]"",""""),9))"),"755782752")</f>
        <v>755782752</v>
      </c>
      <c r="B6659" s="110" t="s">
        <v>6905</v>
      </c>
      <c r="C6659" s="28" t="s">
        <v>6906</v>
      </c>
      <c r="D6659" s="26" t="s">
        <v>45</v>
      </c>
      <c r="E6659" s="31">
        <v>46242.0</v>
      </c>
      <c r="F6659" s="26" t="s">
        <v>46</v>
      </c>
      <c r="G6659" s="26">
        <v>8.0</v>
      </c>
      <c r="H6659" s="26" t="s">
        <v>6907</v>
      </c>
      <c r="I6659" s="26" t="s">
        <v>892</v>
      </c>
      <c r="J6659" s="25" t="str">
        <f t="shared" si="73"/>
        <v>No</v>
      </c>
      <c r="K6659" s="25" t="str">
        <f t="shared" si="74"/>
        <v/>
      </c>
      <c r="L6659" s="25" t="str">
        <f t="shared" si="75"/>
        <v/>
      </c>
      <c r="M6659" s="25"/>
      <c r="O6659" s="25"/>
    </row>
    <row r="6660" ht="15.75" customHeight="1">
      <c r="A6660" s="25" t="str">
        <f>IFERROR(__xludf.DUMMYFUNCTION("IF(B6660="""","""",RIGHT(REGEXREPLACE(B6660&amp;"""",""[^0-9]"",""""),9))"),"753379738")</f>
        <v>753379738</v>
      </c>
      <c r="B6660" s="26" t="s">
        <v>6714</v>
      </c>
      <c r="C6660" s="28" t="s">
        <v>6715</v>
      </c>
      <c r="D6660" s="26" t="s">
        <v>45</v>
      </c>
      <c r="E6660" s="31">
        <v>46242.0</v>
      </c>
      <c r="F6660" s="26" t="s">
        <v>41</v>
      </c>
      <c r="I6660" s="26" t="s">
        <v>892</v>
      </c>
      <c r="J6660" s="25" t="str">
        <f t="shared" si="73"/>
        <v>Yes - see Previous F-Code</v>
      </c>
      <c r="K6660" s="25" t="str">
        <f t="shared" si="74"/>
        <v>DUPLICATE - CHECK</v>
      </c>
      <c r="L6660" s="25" t="str">
        <f t="shared" si="75"/>
        <v>F75815</v>
      </c>
      <c r="M6660" s="25"/>
      <c r="O6660" s="25"/>
    </row>
    <row r="6661" ht="15.75" customHeight="1">
      <c r="A6661" s="25" t="str">
        <f>IFERROR(__xludf.DUMMYFUNCTION("IF(B6661="""","""",RIGHT(REGEXREPLACE(B6661&amp;"""",""[^0-9]"",""""),9))"),"702146520")</f>
        <v>702146520</v>
      </c>
      <c r="B6661" s="26" t="s">
        <v>6908</v>
      </c>
      <c r="C6661" s="28" t="s">
        <v>6909</v>
      </c>
      <c r="D6661" s="26" t="s">
        <v>45</v>
      </c>
      <c r="E6661" s="31">
        <v>46242.0</v>
      </c>
      <c r="F6661" s="26" t="s">
        <v>41</v>
      </c>
      <c r="I6661" s="26" t="s">
        <v>892</v>
      </c>
      <c r="J6661" s="25" t="str">
        <f t="shared" si="73"/>
        <v>No</v>
      </c>
      <c r="K6661" s="25" t="str">
        <f t="shared" si="74"/>
        <v/>
      </c>
      <c r="L6661" s="25" t="str">
        <f t="shared" si="75"/>
        <v/>
      </c>
      <c r="M6661" s="25"/>
      <c r="O6661" s="25"/>
    </row>
    <row r="6662" ht="15.75" customHeight="1">
      <c r="A6662" s="25" t="str">
        <f>IFERROR(__xludf.DUMMYFUNCTION("IF(B6662="""","""",RIGHT(REGEXREPLACE(B6662&amp;"""",""[^0-9]"",""""),9))"),"719498095")</f>
        <v>719498095</v>
      </c>
      <c r="B6662" s="26" t="s">
        <v>6910</v>
      </c>
      <c r="C6662" s="28" t="s">
        <v>6911</v>
      </c>
      <c r="D6662" s="26" t="s">
        <v>45</v>
      </c>
      <c r="E6662" s="31">
        <v>46242.0</v>
      </c>
      <c r="F6662" s="26" t="s">
        <v>41</v>
      </c>
      <c r="I6662" s="26" t="s">
        <v>892</v>
      </c>
      <c r="J6662" s="25" t="str">
        <f t="shared" si="73"/>
        <v>No</v>
      </c>
      <c r="K6662" s="25" t="str">
        <f t="shared" si="74"/>
        <v/>
      </c>
      <c r="L6662" s="25" t="str">
        <f t="shared" si="75"/>
        <v/>
      </c>
      <c r="M6662" s="25"/>
      <c r="O6662" s="25"/>
    </row>
    <row r="6663" ht="15.75" customHeight="1">
      <c r="A6663" s="25" t="str">
        <f>IFERROR(__xludf.DUMMYFUNCTION("IF(B6663="""","""",RIGHT(REGEXREPLACE(B6663&amp;"""",""[^0-9]"",""""),9))"),"714255324")</f>
        <v>714255324</v>
      </c>
      <c r="B6663" s="26" t="s">
        <v>6912</v>
      </c>
      <c r="C6663" s="28" t="s">
        <v>6913</v>
      </c>
      <c r="D6663" s="26" t="s">
        <v>45</v>
      </c>
      <c r="E6663" s="31">
        <v>46242.0</v>
      </c>
      <c r="F6663" s="26" t="s">
        <v>41</v>
      </c>
      <c r="I6663" s="26" t="s">
        <v>892</v>
      </c>
      <c r="J6663" s="25" t="str">
        <f t="shared" si="73"/>
        <v>No</v>
      </c>
      <c r="K6663" s="25" t="str">
        <f t="shared" si="74"/>
        <v/>
      </c>
      <c r="L6663" s="25" t="str">
        <f t="shared" si="75"/>
        <v/>
      </c>
      <c r="M6663" s="25"/>
      <c r="O6663" s="25"/>
    </row>
    <row r="6664" ht="15.75" customHeight="1">
      <c r="A6664" s="25" t="str">
        <f>IFERROR(__xludf.DUMMYFUNCTION("IF(B6664="""","""",RIGHT(REGEXREPLACE(B6664&amp;"""",""[^0-9]"",""""),9))"),"721957712")</f>
        <v>721957712</v>
      </c>
      <c r="B6664" s="26" t="s">
        <v>6812</v>
      </c>
      <c r="C6664" s="28" t="s">
        <v>6813</v>
      </c>
      <c r="D6664" s="26" t="s">
        <v>45</v>
      </c>
      <c r="E6664" s="31">
        <v>46242.0</v>
      </c>
      <c r="F6664" s="26" t="s">
        <v>41</v>
      </c>
      <c r="I6664" s="26" t="s">
        <v>892</v>
      </c>
      <c r="J6664" s="25" t="str">
        <f t="shared" si="73"/>
        <v>Yes - see Previous F-Code</v>
      </c>
      <c r="K6664" s="25" t="str">
        <f t="shared" si="74"/>
        <v>DUPLICATE - CHECK</v>
      </c>
      <c r="L6664" s="25" t="str">
        <f t="shared" si="75"/>
        <v>F75854</v>
      </c>
      <c r="M6664" s="25"/>
      <c r="O6664" s="25"/>
    </row>
    <row r="6665" ht="15.75" customHeight="1">
      <c r="A6665" s="25" t="str">
        <f>IFERROR(__xludf.DUMMYFUNCTION("IF(B6665="""","""",RIGHT(REGEXREPLACE(B6665&amp;"""",""[^0-9]"",""""),9))"),"783196510")</f>
        <v>783196510</v>
      </c>
      <c r="B6665" s="26" t="s">
        <v>6914</v>
      </c>
      <c r="C6665" s="28" t="s">
        <v>6915</v>
      </c>
      <c r="D6665" s="26" t="s">
        <v>45</v>
      </c>
      <c r="E6665" s="31">
        <v>46242.0</v>
      </c>
      <c r="F6665" s="26" t="s">
        <v>46</v>
      </c>
      <c r="G6665" s="26">
        <v>8.0</v>
      </c>
      <c r="H6665" s="26" t="s">
        <v>4112</v>
      </c>
      <c r="I6665" s="26" t="s">
        <v>892</v>
      </c>
      <c r="J6665" s="25" t="str">
        <f t="shared" si="73"/>
        <v>No</v>
      </c>
      <c r="K6665" s="25" t="str">
        <f t="shared" si="74"/>
        <v/>
      </c>
      <c r="L6665" s="25" t="str">
        <f t="shared" si="75"/>
        <v/>
      </c>
      <c r="M6665" s="25"/>
      <c r="O6665" s="25"/>
    </row>
    <row r="6666" ht="15.75" customHeight="1">
      <c r="A6666" s="25" t="str">
        <f>IFERROR(__xludf.DUMMYFUNCTION("IF(B6666="""","""",RIGHT(REGEXREPLACE(B6666&amp;"""",""[^0-9]"",""""),9))"),"787808644")</f>
        <v>787808644</v>
      </c>
      <c r="B6666" s="26" t="s">
        <v>6916</v>
      </c>
      <c r="C6666" s="28" t="s">
        <v>6917</v>
      </c>
      <c r="D6666" s="26" t="s">
        <v>45</v>
      </c>
      <c r="E6666" s="31">
        <v>46242.0</v>
      </c>
      <c r="F6666" s="26" t="s">
        <v>46</v>
      </c>
      <c r="G6666" s="26">
        <v>11.0</v>
      </c>
      <c r="H6666" s="26" t="s">
        <v>6918</v>
      </c>
      <c r="I6666" s="26" t="s">
        <v>892</v>
      </c>
      <c r="J6666" s="25" t="str">
        <f t="shared" si="73"/>
        <v>No</v>
      </c>
      <c r="K6666" s="25" t="str">
        <f t="shared" si="74"/>
        <v/>
      </c>
      <c r="L6666" s="25" t="str">
        <f t="shared" si="75"/>
        <v/>
      </c>
      <c r="M6666" s="25"/>
      <c r="O6666" s="25"/>
    </row>
    <row r="6667" ht="15.75" customHeight="1">
      <c r="A6667" s="25" t="str">
        <f>IFERROR(__xludf.DUMMYFUNCTION("IF(B6667="""","""",RIGHT(REGEXREPLACE(B6667&amp;"""",""[^0-9]"",""""),9))"),"701108200")</f>
        <v>701108200</v>
      </c>
      <c r="B6667" s="26" t="s">
        <v>6919</v>
      </c>
      <c r="C6667" s="28" t="s">
        <v>6135</v>
      </c>
      <c r="D6667" s="26" t="s">
        <v>45</v>
      </c>
      <c r="E6667" s="31">
        <v>46242.0</v>
      </c>
      <c r="F6667" s="26" t="s">
        <v>46</v>
      </c>
      <c r="G6667" s="26">
        <v>11.0</v>
      </c>
      <c r="H6667" s="26" t="s">
        <v>6920</v>
      </c>
      <c r="I6667" s="26" t="s">
        <v>892</v>
      </c>
      <c r="J6667" s="25" t="str">
        <f t="shared" si="73"/>
        <v>Yes - see Previous F-Code</v>
      </c>
      <c r="K6667" s="25" t="str">
        <f t="shared" si="74"/>
        <v/>
      </c>
      <c r="L6667" s="25" t="str">
        <f t="shared" si="75"/>
        <v>F75542</v>
      </c>
      <c r="M6667" s="25"/>
      <c r="O6667" s="25"/>
    </row>
    <row r="6668" ht="15.75" customHeight="1">
      <c r="A6668" s="25" t="str">
        <f>IFERROR(__xludf.DUMMYFUNCTION("IF(B6668="""","""",RIGHT(REGEXREPLACE(B6668&amp;"""",""[^0-9]"",""""),9))"),"774577634")</f>
        <v>774577634</v>
      </c>
      <c r="B6668" s="26" t="s">
        <v>6921</v>
      </c>
      <c r="C6668" s="28" t="s">
        <v>6850</v>
      </c>
      <c r="D6668" s="26" t="s">
        <v>45</v>
      </c>
      <c r="E6668" s="31">
        <v>46242.0</v>
      </c>
      <c r="F6668" s="26" t="s">
        <v>46</v>
      </c>
      <c r="G6668" s="26">
        <v>10.0</v>
      </c>
      <c r="H6668" s="26" t="s">
        <v>6922</v>
      </c>
      <c r="I6668" s="26" t="s">
        <v>892</v>
      </c>
      <c r="J6668" s="25" t="str">
        <f t="shared" si="73"/>
        <v>Yes - see Previous F-Code</v>
      </c>
      <c r="K6668" s="25" t="str">
        <f t="shared" si="74"/>
        <v/>
      </c>
      <c r="L6668" s="25" t="str">
        <f t="shared" si="75"/>
        <v>F75877</v>
      </c>
      <c r="M6668" s="25"/>
      <c r="O6668" s="25"/>
    </row>
    <row r="6669" ht="15.75" customHeight="1">
      <c r="A6669" s="25" t="str">
        <f>IFERROR(__xludf.DUMMYFUNCTION("IF(B6669="""","""",RIGHT(REGEXREPLACE(B6669&amp;"""",""[^0-9]"",""""),9))"),"760766805")</f>
        <v>760766805</v>
      </c>
      <c r="B6669" s="26" t="s">
        <v>6923</v>
      </c>
      <c r="C6669" s="28" t="s">
        <v>5644</v>
      </c>
      <c r="D6669" s="26" t="s">
        <v>45</v>
      </c>
      <c r="E6669" s="31">
        <v>46242.0</v>
      </c>
      <c r="F6669" s="26" t="s">
        <v>41</v>
      </c>
      <c r="I6669" s="26" t="s">
        <v>892</v>
      </c>
      <c r="J6669" s="25" t="str">
        <f t="shared" si="73"/>
        <v>Yes - see Previous F-Code</v>
      </c>
      <c r="K6669" s="25" t="str">
        <f t="shared" si="74"/>
        <v>DUPLICATE - CHECK</v>
      </c>
      <c r="L6669" s="25" t="str">
        <f t="shared" si="75"/>
        <v>F75111</v>
      </c>
      <c r="M6669" s="25"/>
      <c r="O6669" s="25"/>
    </row>
    <row r="6670" ht="15.75" customHeight="1">
      <c r="A6670" s="25" t="str">
        <f>IFERROR(__xludf.DUMMYFUNCTION("IF(B6670="""","""",RIGHT(REGEXREPLACE(B6670&amp;"""",""[^0-9]"",""""),9))"),"743402327")</f>
        <v>743402327</v>
      </c>
      <c r="B6670" s="26" t="s">
        <v>6924</v>
      </c>
      <c r="C6670" s="28" t="s">
        <v>6925</v>
      </c>
      <c r="D6670" s="26" t="s">
        <v>45</v>
      </c>
      <c r="E6670" s="31">
        <v>46242.0</v>
      </c>
      <c r="F6670" s="26" t="s">
        <v>41</v>
      </c>
      <c r="I6670" s="26" t="s">
        <v>892</v>
      </c>
      <c r="J6670" s="25" t="str">
        <f t="shared" si="73"/>
        <v>No</v>
      </c>
      <c r="K6670" s="25" t="str">
        <f t="shared" si="74"/>
        <v/>
      </c>
      <c r="L6670" s="25" t="str">
        <f t="shared" si="75"/>
        <v/>
      </c>
      <c r="M6670" s="25"/>
      <c r="O6670" s="25"/>
    </row>
    <row r="6671" ht="15.75" customHeight="1">
      <c r="A6671" s="25" t="str">
        <f>IFERROR(__xludf.DUMMYFUNCTION("IF(B6671="""","""",RIGHT(REGEXREPLACE(B6671&amp;"""",""[^0-9]"",""""),9))"),"740370305")</f>
        <v>740370305</v>
      </c>
      <c r="B6671" s="26" t="s">
        <v>6784</v>
      </c>
      <c r="C6671" s="28" t="s">
        <v>6785</v>
      </c>
      <c r="D6671" s="26" t="s">
        <v>45</v>
      </c>
      <c r="E6671" s="31">
        <v>46242.0</v>
      </c>
      <c r="F6671" s="26" t="s">
        <v>41</v>
      </c>
      <c r="I6671" s="26" t="s">
        <v>892</v>
      </c>
      <c r="J6671" s="25" t="str">
        <f t="shared" si="73"/>
        <v>Yes - see Previous F-Code</v>
      </c>
      <c r="K6671" s="25" t="str">
        <f t="shared" si="74"/>
        <v>DUPLICATE - CHECK</v>
      </c>
      <c r="L6671" s="25" t="str">
        <f t="shared" si="75"/>
        <v>F75842</v>
      </c>
      <c r="M6671" s="25"/>
      <c r="O6671" s="25"/>
    </row>
    <row r="6672" ht="15.75" customHeight="1">
      <c r="A6672" s="25" t="str">
        <f>IFERROR(__xludf.DUMMYFUNCTION("IF(B6672="""","""",RIGHT(REGEXREPLACE(B6672&amp;"""",""[^0-9]"",""""),9))"),"765749567")</f>
        <v>765749567</v>
      </c>
      <c r="B6672" s="26" t="s">
        <v>6926</v>
      </c>
      <c r="C6672" s="28" t="s">
        <v>6927</v>
      </c>
      <c r="D6672" s="26" t="s">
        <v>45</v>
      </c>
      <c r="E6672" s="31">
        <v>46242.0</v>
      </c>
      <c r="F6672" s="26" t="s">
        <v>41</v>
      </c>
      <c r="I6672" s="26" t="s">
        <v>892</v>
      </c>
      <c r="J6672" s="25" t="str">
        <f t="shared" si="73"/>
        <v>No</v>
      </c>
      <c r="K6672" s="25" t="str">
        <f t="shared" si="74"/>
        <v/>
      </c>
      <c r="L6672" s="25" t="str">
        <f t="shared" si="75"/>
        <v/>
      </c>
      <c r="M6672" s="25"/>
      <c r="O6672" s="25"/>
    </row>
    <row r="6673" ht="15.75" customHeight="1">
      <c r="A6673" s="25" t="str">
        <f>IFERROR(__xludf.DUMMYFUNCTION("IF(B6673="""","""",RIGHT(REGEXREPLACE(B6673&amp;"""",""[^0-9]"",""""),9))"),"763138977")</f>
        <v>763138977</v>
      </c>
      <c r="B6673" s="26" t="s">
        <v>6928</v>
      </c>
      <c r="C6673" s="28" t="s">
        <v>6929</v>
      </c>
      <c r="D6673" s="26" t="s">
        <v>45</v>
      </c>
      <c r="E6673" s="31">
        <v>46242.0</v>
      </c>
      <c r="F6673" s="26" t="s">
        <v>46</v>
      </c>
      <c r="G6673" s="26">
        <v>10.0</v>
      </c>
      <c r="H6673" s="26" t="s">
        <v>6460</v>
      </c>
      <c r="I6673" s="26" t="s">
        <v>892</v>
      </c>
      <c r="J6673" s="25" t="str">
        <f t="shared" si="73"/>
        <v>No</v>
      </c>
      <c r="K6673" s="25" t="str">
        <f t="shared" si="74"/>
        <v/>
      </c>
      <c r="L6673" s="25" t="str">
        <f t="shared" si="75"/>
        <v/>
      </c>
      <c r="M6673" s="25"/>
      <c r="O6673" s="25"/>
    </row>
    <row r="6674" ht="15.75" customHeight="1">
      <c r="A6674" s="25" t="str">
        <f>IFERROR(__xludf.DUMMYFUNCTION("IF(B6674="""","""",RIGHT(REGEXREPLACE(B6674&amp;"""",""[^0-9]"",""""),9))"),"743374800")</f>
        <v>743374800</v>
      </c>
      <c r="B6674" s="26" t="s">
        <v>6930</v>
      </c>
      <c r="C6674" s="28" t="s">
        <v>6931</v>
      </c>
      <c r="D6674" s="26" t="s">
        <v>45</v>
      </c>
      <c r="E6674" s="31">
        <v>46242.0</v>
      </c>
      <c r="F6674" s="26" t="s">
        <v>46</v>
      </c>
      <c r="H6674" s="26" t="s">
        <v>94</v>
      </c>
      <c r="I6674" s="26" t="s">
        <v>892</v>
      </c>
      <c r="J6674" s="25" t="str">
        <f t="shared" si="73"/>
        <v>No</v>
      </c>
      <c r="K6674" s="25" t="str">
        <f t="shared" si="74"/>
        <v/>
      </c>
      <c r="L6674" s="25" t="str">
        <f t="shared" si="75"/>
        <v/>
      </c>
      <c r="M6674" s="25"/>
      <c r="O6674" s="25"/>
    </row>
    <row r="6675" ht="15.75" customHeight="1">
      <c r="A6675" s="25" t="str">
        <f>IFERROR(__xludf.DUMMYFUNCTION("IF(B6675="""","""",RIGHT(REGEXREPLACE(B6675&amp;"""",""[^0-9]"",""""),9))"),"764391046")</f>
        <v>764391046</v>
      </c>
      <c r="B6675" s="52">
        <v>7.64391046E8</v>
      </c>
      <c r="C6675" s="28" t="s">
        <v>6932</v>
      </c>
      <c r="D6675" s="26" t="s">
        <v>56</v>
      </c>
      <c r="E6675" s="31">
        <v>46242.0</v>
      </c>
      <c r="F6675" s="26" t="s">
        <v>46</v>
      </c>
      <c r="G6675" s="26">
        <v>10.0</v>
      </c>
      <c r="I6675" s="26" t="s">
        <v>883</v>
      </c>
      <c r="J6675" s="25" t="str">
        <f t="shared" si="73"/>
        <v>No</v>
      </c>
      <c r="K6675" s="25" t="str">
        <f t="shared" si="74"/>
        <v/>
      </c>
      <c r="L6675" s="25" t="str">
        <f t="shared" si="75"/>
        <v/>
      </c>
      <c r="M6675" s="25"/>
      <c r="O6675" s="25"/>
    </row>
    <row r="6676" ht="15.75" customHeight="1">
      <c r="A6676" s="25" t="str">
        <f>IFERROR(__xludf.DUMMYFUNCTION("IF(B6676="""","""",RIGHT(REGEXREPLACE(B6676&amp;"""",""[^0-9]"",""""),9))"),"729558230")</f>
        <v>729558230</v>
      </c>
      <c r="B6676" s="52">
        <v>7.2955823E8</v>
      </c>
      <c r="C6676" s="28" t="s">
        <v>6917</v>
      </c>
      <c r="D6676" s="26" t="s">
        <v>64</v>
      </c>
      <c r="E6676" s="31">
        <v>46242.0</v>
      </c>
      <c r="F6676" s="25"/>
      <c r="G6676" s="26">
        <v>11.0</v>
      </c>
      <c r="H6676" s="25"/>
      <c r="I6676" s="26" t="s">
        <v>883</v>
      </c>
      <c r="J6676" s="25" t="str">
        <f t="shared" si="73"/>
        <v>Yes - see Previous F-Code</v>
      </c>
      <c r="K6676" s="25" t="str">
        <f t="shared" si="74"/>
        <v/>
      </c>
      <c r="L6676" s="25" t="str">
        <f t="shared" si="75"/>
        <v>F71086</v>
      </c>
      <c r="M6676" s="25"/>
      <c r="N6676" s="25"/>
      <c r="O6676" s="25"/>
      <c r="P6676" s="25"/>
    </row>
    <row r="6677" ht="15.75" customHeight="1">
      <c r="A6677" s="25" t="str">
        <f>IFERROR(__xludf.DUMMYFUNCTION("IF(B6677="""","""",RIGHT(REGEXREPLACE(B6677&amp;"""",""[^0-9]"",""""),9))"),"741162910")</f>
        <v>741162910</v>
      </c>
      <c r="B6677" s="52">
        <v>7.4116291E8</v>
      </c>
      <c r="C6677" s="28" t="s">
        <v>6933</v>
      </c>
      <c r="D6677" s="26" t="s">
        <v>56</v>
      </c>
      <c r="E6677" s="31">
        <v>46252.0</v>
      </c>
      <c r="F6677" s="26" t="s">
        <v>46</v>
      </c>
      <c r="G6677" s="26">
        <v>5.0</v>
      </c>
      <c r="H6677" s="26" t="s">
        <v>6934</v>
      </c>
      <c r="I6677" s="26" t="s">
        <v>883</v>
      </c>
      <c r="J6677" s="25" t="str">
        <f t="shared" si="73"/>
        <v>No</v>
      </c>
      <c r="K6677" s="25" t="str">
        <f t="shared" si="74"/>
        <v/>
      </c>
      <c r="L6677" s="25" t="str">
        <f t="shared" si="75"/>
        <v/>
      </c>
      <c r="M6677" s="25"/>
      <c r="O6677" s="25"/>
    </row>
    <row r="6678" ht="15.75" customHeight="1">
      <c r="A6678" s="25" t="str">
        <f>IFERROR(__xludf.DUMMYFUNCTION("IF(B6678="""","""",RIGHT(REGEXREPLACE(B6678&amp;"""",""[^0-9]"",""""),9))"),"583046401")</f>
        <v>583046401</v>
      </c>
      <c r="B6678" s="52">
        <v>9.71583046401E11</v>
      </c>
      <c r="C6678" s="28" t="s">
        <v>6935</v>
      </c>
      <c r="D6678" s="26" t="s">
        <v>49</v>
      </c>
      <c r="E6678" s="31">
        <v>46252.0</v>
      </c>
      <c r="F6678" s="25"/>
      <c r="G6678" s="25"/>
      <c r="H6678" s="25"/>
      <c r="I6678" s="26" t="s">
        <v>883</v>
      </c>
      <c r="J6678" s="25" t="str">
        <f t="shared" si="73"/>
        <v>No</v>
      </c>
      <c r="K6678" s="25" t="str">
        <f t="shared" si="74"/>
        <v/>
      </c>
      <c r="L6678" s="25" t="str">
        <f t="shared" si="75"/>
        <v/>
      </c>
      <c r="M6678" s="25"/>
      <c r="N6678" s="25"/>
      <c r="O6678" s="25"/>
      <c r="P6678" s="25"/>
    </row>
    <row r="6679" ht="15.75" customHeight="1">
      <c r="A6679" s="25" t="str">
        <f>IFERROR(__xludf.DUMMYFUNCTION("IF(B6679="""","""",RIGHT(REGEXREPLACE(B6679&amp;"""",""[^0-9]"",""""),9))"),"727812634")</f>
        <v>727812634</v>
      </c>
      <c r="B6679" s="52">
        <v>7.27812634E8</v>
      </c>
      <c r="C6679" s="28" t="s">
        <v>6936</v>
      </c>
      <c r="D6679" s="26" t="s">
        <v>64</v>
      </c>
      <c r="E6679" s="31">
        <v>46242.0</v>
      </c>
      <c r="F6679" s="25"/>
      <c r="G6679" s="26">
        <v>7.0</v>
      </c>
      <c r="H6679" s="25"/>
      <c r="I6679" s="26" t="s">
        <v>883</v>
      </c>
      <c r="J6679" s="25" t="str">
        <f t="shared" si="73"/>
        <v>No</v>
      </c>
      <c r="K6679" s="25" t="str">
        <f t="shared" si="74"/>
        <v/>
      </c>
      <c r="L6679" s="25" t="str">
        <f t="shared" si="75"/>
        <v/>
      </c>
      <c r="M6679" s="25"/>
      <c r="N6679" s="25"/>
      <c r="O6679" s="25"/>
      <c r="P6679" s="25"/>
    </row>
    <row r="6680" ht="15.75" customHeight="1">
      <c r="A6680" s="25" t="str">
        <f>IFERROR(__xludf.DUMMYFUNCTION("IF(B6680="""","""",RIGHT(REGEXREPLACE(B6680&amp;"""",""[^0-9]"",""""),9))"),"764243276")</f>
        <v>764243276</v>
      </c>
      <c r="B6680" s="26" t="s">
        <v>6937</v>
      </c>
      <c r="C6680" s="28" t="s">
        <v>6938</v>
      </c>
      <c r="D6680" s="26" t="s">
        <v>45</v>
      </c>
      <c r="E6680" s="31">
        <v>46242.0</v>
      </c>
      <c r="F6680" s="26" t="s">
        <v>164</v>
      </c>
      <c r="G6680" s="26">
        <v>10.0</v>
      </c>
      <c r="I6680" s="26" t="s">
        <v>883</v>
      </c>
      <c r="J6680" s="25" t="str">
        <f t="shared" si="73"/>
        <v>No</v>
      </c>
      <c r="K6680" s="25" t="str">
        <f t="shared" si="74"/>
        <v/>
      </c>
      <c r="L6680" s="25" t="str">
        <f t="shared" si="75"/>
        <v/>
      </c>
      <c r="M6680" s="25"/>
      <c r="O6680" s="25"/>
    </row>
    <row r="6681" ht="15.75" customHeight="1">
      <c r="A6681" s="25" t="str">
        <f>IFERROR(__xludf.DUMMYFUNCTION("IF(B6681="""","""",RIGHT(REGEXREPLACE(B6681&amp;"""",""[^0-9]"",""""),9))"),"777247985")</f>
        <v>777247985</v>
      </c>
      <c r="B6681" s="26">
        <v>7.77247985E8</v>
      </c>
      <c r="C6681" s="28" t="s">
        <v>2851</v>
      </c>
      <c r="D6681" s="26" t="s">
        <v>56</v>
      </c>
      <c r="E6681" s="31">
        <v>46242.0</v>
      </c>
      <c r="F6681" s="26" t="s">
        <v>41</v>
      </c>
      <c r="I6681" s="26" t="s">
        <v>883</v>
      </c>
      <c r="J6681" s="25" t="str">
        <f t="shared" si="73"/>
        <v>Yes - see Previous F-Code</v>
      </c>
      <c r="K6681" s="25" t="str">
        <f t="shared" si="74"/>
        <v/>
      </c>
      <c r="L6681" s="25" t="str">
        <f t="shared" si="75"/>
        <v>F72450</v>
      </c>
      <c r="M6681" s="25"/>
      <c r="O6681" s="25"/>
    </row>
    <row r="6682" ht="15.75" customHeight="1">
      <c r="A6682" s="25" t="str">
        <f>IFERROR(__xludf.DUMMYFUNCTION("IF(B6682="""","""",RIGHT(REGEXREPLACE(B6682&amp;"""",""[^0-9]"",""""),9))"),"743519522")</f>
        <v>743519522</v>
      </c>
      <c r="B6682" s="26">
        <v>7.43519522E8</v>
      </c>
      <c r="C6682" s="28" t="s">
        <v>6939</v>
      </c>
      <c r="D6682" s="26" t="s">
        <v>64</v>
      </c>
      <c r="E6682" s="31">
        <v>46242.0</v>
      </c>
      <c r="F6682" s="26" t="s">
        <v>125</v>
      </c>
      <c r="I6682" s="26" t="s">
        <v>883</v>
      </c>
      <c r="J6682" s="25" t="str">
        <f t="shared" si="73"/>
        <v>No</v>
      </c>
      <c r="K6682" s="25" t="str">
        <f t="shared" si="74"/>
        <v/>
      </c>
      <c r="L6682" s="25" t="str">
        <f t="shared" si="75"/>
        <v/>
      </c>
      <c r="M6682" s="25"/>
      <c r="O6682" s="25"/>
    </row>
    <row r="6683" ht="15.75" customHeight="1">
      <c r="A6683" s="25" t="str">
        <f>IFERROR(__xludf.DUMMYFUNCTION("IF(B6683="""","""",RIGHT(REGEXREPLACE(B6683&amp;"""",""[^0-9]"",""""),9))"),"761527676")</f>
        <v>761527676</v>
      </c>
      <c r="B6683" s="26">
        <v>7.61527676E8</v>
      </c>
      <c r="C6683" s="28" t="s">
        <v>6940</v>
      </c>
      <c r="D6683" s="26" t="s">
        <v>64</v>
      </c>
      <c r="E6683" s="31">
        <v>46242.0</v>
      </c>
      <c r="F6683" s="26" t="s">
        <v>41</v>
      </c>
      <c r="I6683" s="26" t="s">
        <v>883</v>
      </c>
      <c r="J6683" s="25" t="str">
        <f t="shared" si="73"/>
        <v>No</v>
      </c>
      <c r="K6683" s="25" t="str">
        <f t="shared" si="74"/>
        <v/>
      </c>
      <c r="L6683" s="25" t="str">
        <f t="shared" si="75"/>
        <v/>
      </c>
      <c r="M6683" s="25"/>
      <c r="O6683" s="25"/>
    </row>
    <row r="6684" ht="15.75" customHeight="1">
      <c r="A6684" s="25" t="str">
        <f>IFERROR(__xludf.DUMMYFUNCTION("IF(B6684="""","""",RIGHT(REGEXREPLACE(B6684&amp;"""",""[^0-9]"",""""),9))"),"763998750")</f>
        <v>763998750</v>
      </c>
      <c r="B6684" s="26">
        <v>7.6399875E8</v>
      </c>
      <c r="C6684" s="28" t="s">
        <v>2219</v>
      </c>
      <c r="D6684" s="26" t="s">
        <v>56</v>
      </c>
      <c r="E6684" s="31">
        <v>46242.0</v>
      </c>
      <c r="F6684" s="26" t="s">
        <v>41</v>
      </c>
      <c r="G6684" s="25"/>
      <c r="H6684" s="26" t="s">
        <v>6941</v>
      </c>
      <c r="I6684" s="26"/>
      <c r="J6684" s="25" t="str">
        <f t="shared" si="73"/>
        <v>Yes - see Previous F-Code</v>
      </c>
      <c r="K6684" s="25" t="str">
        <f t="shared" si="74"/>
        <v/>
      </c>
      <c r="L6684" s="25" t="str">
        <f t="shared" si="75"/>
        <v>F71920</v>
      </c>
      <c r="M6684" s="25"/>
      <c r="N6684" s="25"/>
      <c r="O6684" s="25"/>
      <c r="P6684" s="25"/>
    </row>
    <row r="6685" ht="15.75" customHeight="1">
      <c r="A6685" s="25" t="str">
        <f>IFERROR(__xludf.DUMMYFUNCTION("IF(B6685="""","""",RIGHT(REGEXREPLACE(B6685&amp;"""",""[^0-9]"",""""),9))"),"775697363")</f>
        <v>775697363</v>
      </c>
      <c r="B6685" s="26">
        <v>7.75697363E8</v>
      </c>
      <c r="C6685" s="28" t="s">
        <v>1907</v>
      </c>
      <c r="D6685" s="26" t="s">
        <v>45</v>
      </c>
      <c r="E6685" s="31">
        <v>46242.0</v>
      </c>
      <c r="F6685" s="26" t="s">
        <v>41</v>
      </c>
      <c r="G6685" s="25"/>
      <c r="H6685" s="25"/>
      <c r="I6685" s="26"/>
      <c r="J6685" s="25" t="str">
        <f t="shared" si="73"/>
        <v>Yes - see Previous F-Code</v>
      </c>
      <c r="K6685" s="25" t="str">
        <f t="shared" si="74"/>
        <v/>
      </c>
      <c r="L6685" s="25" t="str">
        <f t="shared" si="75"/>
        <v>F71613</v>
      </c>
      <c r="M6685" s="25"/>
      <c r="N6685" s="25"/>
      <c r="O6685" s="25"/>
      <c r="P6685" s="25"/>
    </row>
    <row r="6686" ht="15.75" customHeight="1">
      <c r="A6686" s="25" t="str">
        <f>IFERROR(__xludf.DUMMYFUNCTION("IF(B6686="""","""",RIGHT(REGEXREPLACE(B6686&amp;"""",""[^0-9]"",""""),9))"),"740363673")</f>
        <v>740363673</v>
      </c>
      <c r="B6686" s="52">
        <v>7.40363673E8</v>
      </c>
      <c r="C6686" s="28" t="s">
        <v>6942</v>
      </c>
      <c r="D6686" s="26" t="s">
        <v>56</v>
      </c>
      <c r="E6686" s="31">
        <v>46242.0</v>
      </c>
      <c r="F6686" s="26" t="s">
        <v>46</v>
      </c>
      <c r="G6686" s="26">
        <v>11.0</v>
      </c>
      <c r="H6686" s="26" t="s">
        <v>6943</v>
      </c>
      <c r="I6686" s="26"/>
      <c r="J6686" s="25" t="str">
        <f t="shared" si="73"/>
        <v>No</v>
      </c>
      <c r="K6686" s="25" t="str">
        <f t="shared" si="74"/>
        <v/>
      </c>
      <c r="L6686" s="25" t="str">
        <f t="shared" si="75"/>
        <v/>
      </c>
      <c r="M6686" s="25"/>
      <c r="N6686" s="25"/>
      <c r="O6686" s="25"/>
      <c r="P6686" s="25"/>
    </row>
    <row r="6687" ht="15.75" customHeight="1">
      <c r="C6687" s="46"/>
      <c r="D6687" s="25"/>
      <c r="F6687" s="25"/>
      <c r="I6687" s="26"/>
      <c r="M6687" s="25"/>
      <c r="O6687" s="25"/>
    </row>
    <row r="6688" ht="15.75" customHeight="1">
      <c r="A6688" s="25" t="str">
        <f>IFERROR(__xludf.DUMMYFUNCTION("IF(B6688="""","""",RIGHT(REGEXREPLACE(B6688&amp;"""",""[^0-9]"",""""),9))"),"764329562")</f>
        <v>764329562</v>
      </c>
      <c r="B6688" s="52">
        <v>7.64329562E8</v>
      </c>
      <c r="C6688" s="28" t="s">
        <v>6944</v>
      </c>
      <c r="D6688" s="26" t="s">
        <v>64</v>
      </c>
      <c r="E6688" s="31">
        <v>46243.0</v>
      </c>
      <c r="F6688" s="26" t="s">
        <v>46</v>
      </c>
      <c r="G6688" s="26">
        <v>9.0</v>
      </c>
      <c r="H6688" s="26" t="s">
        <v>5568</v>
      </c>
      <c r="I6688" s="26" t="s">
        <v>951</v>
      </c>
      <c r="J6688" s="25" t="str">
        <f t="shared" ref="J6688:J6816" si="76">IF(COUNTIF($A$2:A6687,A6688)&gt;0,"Yes - see Previous F-Code","No")</f>
        <v>No</v>
      </c>
      <c r="K6688" s="25" t="str">
        <f t="shared" ref="K6688:K6816" si="77">IF(COUNTIFS($A$2:A6688,A6688,$I$2:I6688,I6688)&gt;1,"DUPLICATE - CHECK","")</f>
        <v/>
      </c>
      <c r="L6688" s="25" t="str">
        <f t="shared" ref="L6688:L6816" si="78">IF(COUNTIF($A$2:A6687,A6688)&gt;0,INDEX($C$2:C6687,MATCH(A6688,$A$2:A6687,0)),"")</f>
        <v/>
      </c>
      <c r="M6688" s="25"/>
      <c r="O6688" s="25"/>
    </row>
    <row r="6689" ht="15.75" customHeight="1">
      <c r="A6689" s="25" t="str">
        <f>IFERROR(__xludf.DUMMYFUNCTION("IF(B6689="""","""",RIGHT(REGEXREPLACE(B6689&amp;"""",""[^0-9]"",""""),9))"),"711088095")</f>
        <v>711088095</v>
      </c>
      <c r="B6689" s="52">
        <v>7.11088095E8</v>
      </c>
      <c r="C6689" s="28" t="s">
        <v>4521</v>
      </c>
      <c r="D6689" s="26" t="s">
        <v>64</v>
      </c>
      <c r="E6689" s="31">
        <v>46243.0</v>
      </c>
      <c r="F6689" s="26" t="s">
        <v>46</v>
      </c>
      <c r="G6689" s="26">
        <v>9.0</v>
      </c>
      <c r="I6689" s="26" t="s">
        <v>951</v>
      </c>
      <c r="J6689" s="25" t="str">
        <f t="shared" si="76"/>
        <v>Yes - see Previous F-Code</v>
      </c>
      <c r="K6689" s="25" t="str">
        <f t="shared" si="77"/>
        <v/>
      </c>
      <c r="L6689" s="25" t="str">
        <f t="shared" si="78"/>
        <v>F74130</v>
      </c>
      <c r="M6689" s="25"/>
      <c r="O6689" s="25"/>
    </row>
    <row r="6690" ht="15.75" customHeight="1">
      <c r="A6690" s="25" t="str">
        <f>IFERROR(__xludf.DUMMYFUNCTION("IF(B6690="""","""",RIGHT(REGEXREPLACE(B6690&amp;"""",""[^0-9]"",""""),9))"),"704226673")</f>
        <v>704226673</v>
      </c>
      <c r="B6690" s="52">
        <v>7.04226673E8</v>
      </c>
      <c r="C6690" s="28" t="s">
        <v>6945</v>
      </c>
      <c r="D6690" s="26" t="s">
        <v>56</v>
      </c>
      <c r="E6690" s="31">
        <v>46243.0</v>
      </c>
      <c r="F6690" s="26" t="s">
        <v>164</v>
      </c>
      <c r="G6690" s="26">
        <v>9.0</v>
      </c>
      <c r="I6690" s="26" t="s">
        <v>951</v>
      </c>
      <c r="J6690" s="25" t="str">
        <f t="shared" si="76"/>
        <v>No</v>
      </c>
      <c r="K6690" s="25" t="str">
        <f t="shared" si="77"/>
        <v/>
      </c>
      <c r="L6690" s="25" t="str">
        <f t="shared" si="78"/>
        <v/>
      </c>
      <c r="M6690" s="25"/>
      <c r="O6690" s="25"/>
    </row>
    <row r="6691" ht="15.75" customHeight="1">
      <c r="A6691" s="25" t="str">
        <f>IFERROR(__xludf.DUMMYFUNCTION("IF(B6691="""","""",RIGHT(REGEXREPLACE(B6691&amp;"""",""[^0-9]"",""""),9))"),"765731662")</f>
        <v>765731662</v>
      </c>
      <c r="B6691" s="52">
        <v>7.65731662E8</v>
      </c>
      <c r="C6691" s="28" t="s">
        <v>6946</v>
      </c>
      <c r="D6691" s="26" t="s">
        <v>64</v>
      </c>
      <c r="E6691" s="31">
        <v>46243.0</v>
      </c>
      <c r="F6691" s="26" t="s">
        <v>41</v>
      </c>
      <c r="G6691" s="26">
        <v>7.0</v>
      </c>
      <c r="I6691" s="26" t="s">
        <v>951</v>
      </c>
      <c r="J6691" s="25" t="str">
        <f t="shared" si="76"/>
        <v>No</v>
      </c>
      <c r="K6691" s="25" t="str">
        <f t="shared" si="77"/>
        <v/>
      </c>
      <c r="L6691" s="25" t="str">
        <f t="shared" si="78"/>
        <v/>
      </c>
      <c r="M6691" s="25"/>
      <c r="O6691" s="25"/>
    </row>
    <row r="6692" ht="15.75" customHeight="1">
      <c r="A6692" s="25" t="str">
        <f>IFERROR(__xludf.DUMMYFUNCTION("IF(B6692="""","""",RIGHT(REGEXREPLACE(B6692&amp;"""",""[^0-9]"",""""),9))"),"706503067")</f>
        <v>706503067</v>
      </c>
      <c r="B6692" s="52">
        <v>7.06503067E8</v>
      </c>
      <c r="C6692" s="28" t="s">
        <v>4770</v>
      </c>
      <c r="D6692" s="26" t="s">
        <v>82</v>
      </c>
      <c r="E6692" s="31">
        <v>46243.0</v>
      </c>
      <c r="F6692" s="26" t="s">
        <v>41</v>
      </c>
      <c r="I6692" s="26" t="s">
        <v>951</v>
      </c>
      <c r="J6692" s="25" t="str">
        <f t="shared" si="76"/>
        <v>Yes - see Previous F-Code</v>
      </c>
      <c r="K6692" s="25" t="str">
        <f t="shared" si="77"/>
        <v/>
      </c>
      <c r="L6692" s="25" t="str">
        <f t="shared" si="78"/>
        <v>F74354</v>
      </c>
      <c r="M6692" s="25"/>
      <c r="O6692" s="25"/>
    </row>
    <row r="6693" ht="15.75" customHeight="1">
      <c r="A6693" s="25" t="str">
        <f>IFERROR(__xludf.DUMMYFUNCTION("IF(B6693="""","""",RIGHT(REGEXREPLACE(B6693&amp;"""",""[^0-9]"",""""),9))"),"702024440")</f>
        <v>702024440</v>
      </c>
      <c r="B6693" s="52">
        <v>7.0202444E8</v>
      </c>
      <c r="C6693" s="28" t="s">
        <v>6947</v>
      </c>
      <c r="D6693" s="26" t="s">
        <v>49</v>
      </c>
      <c r="E6693" s="31">
        <v>46243.0</v>
      </c>
      <c r="F6693" s="26" t="s">
        <v>41</v>
      </c>
      <c r="I6693" s="26" t="s">
        <v>951</v>
      </c>
      <c r="J6693" s="25" t="str">
        <f t="shared" si="76"/>
        <v>No</v>
      </c>
      <c r="K6693" s="25" t="str">
        <f t="shared" si="77"/>
        <v/>
      </c>
      <c r="L6693" s="25" t="str">
        <f t="shared" si="78"/>
        <v/>
      </c>
      <c r="M6693" s="25"/>
      <c r="O6693" s="25"/>
    </row>
    <row r="6694" ht="15.75" customHeight="1">
      <c r="A6694" s="25" t="str">
        <f>IFERROR(__xludf.DUMMYFUNCTION("IF(B6694="""","""",RIGHT(REGEXREPLACE(B6694&amp;"""",""[^0-9]"",""""),9))"),"770056059")</f>
        <v>770056059</v>
      </c>
      <c r="B6694" s="52">
        <v>7.70056059E8</v>
      </c>
      <c r="C6694" s="28" t="s">
        <v>6948</v>
      </c>
      <c r="D6694" s="26" t="s">
        <v>56</v>
      </c>
      <c r="E6694" s="31">
        <v>46243.0</v>
      </c>
      <c r="F6694" s="26" t="s">
        <v>631</v>
      </c>
      <c r="G6694" s="26" t="s">
        <v>177</v>
      </c>
      <c r="I6694" s="26" t="s">
        <v>951</v>
      </c>
      <c r="J6694" s="25" t="str">
        <f t="shared" si="76"/>
        <v>No</v>
      </c>
      <c r="K6694" s="25" t="str">
        <f t="shared" si="77"/>
        <v/>
      </c>
      <c r="L6694" s="25" t="str">
        <f t="shared" si="78"/>
        <v/>
      </c>
      <c r="M6694" s="25"/>
      <c r="O6694" s="25"/>
    </row>
    <row r="6695" ht="15.75" customHeight="1">
      <c r="A6695" s="25" t="str">
        <f>IFERROR(__xludf.DUMMYFUNCTION("IF(B6695="""","""",RIGHT(REGEXREPLACE(B6695&amp;"""",""[^0-9]"",""""),9))"),"719642010")</f>
        <v>719642010</v>
      </c>
      <c r="B6695" s="52">
        <v>7.1964201E8</v>
      </c>
      <c r="C6695" s="28" t="s">
        <v>3170</v>
      </c>
      <c r="D6695" s="26" t="s">
        <v>64</v>
      </c>
      <c r="E6695" s="31">
        <v>46243.0</v>
      </c>
      <c r="F6695" s="26" t="s">
        <v>41</v>
      </c>
      <c r="I6695" s="26" t="s">
        <v>951</v>
      </c>
      <c r="J6695" s="25" t="str">
        <f t="shared" si="76"/>
        <v>Yes - see Previous F-Code</v>
      </c>
      <c r="K6695" s="25" t="str">
        <f t="shared" si="77"/>
        <v/>
      </c>
      <c r="L6695" s="25" t="str">
        <f t="shared" si="78"/>
        <v>F72806</v>
      </c>
      <c r="M6695" s="25"/>
      <c r="O6695" s="25"/>
    </row>
    <row r="6696" ht="15.75" customHeight="1">
      <c r="A6696" s="25" t="str">
        <f>IFERROR(__xludf.DUMMYFUNCTION("IF(B6696="""","""",RIGHT(REGEXREPLACE(B6696&amp;"""",""[^0-9]"",""""),9))"),"726219832")</f>
        <v>726219832</v>
      </c>
      <c r="B6696" s="52">
        <v>7.26219832E8</v>
      </c>
      <c r="C6696" s="28" t="s">
        <v>6949</v>
      </c>
      <c r="D6696" s="26" t="s">
        <v>64</v>
      </c>
      <c r="E6696" s="31">
        <v>46243.0</v>
      </c>
      <c r="F6696" s="26" t="s">
        <v>125</v>
      </c>
      <c r="G6696" s="26">
        <v>7.0</v>
      </c>
      <c r="H6696" s="26" t="s">
        <v>78</v>
      </c>
      <c r="I6696" s="26" t="s">
        <v>951</v>
      </c>
      <c r="J6696" s="25" t="str">
        <f t="shared" si="76"/>
        <v>No</v>
      </c>
      <c r="K6696" s="25" t="str">
        <f t="shared" si="77"/>
        <v/>
      </c>
      <c r="L6696" s="25" t="str">
        <f t="shared" si="78"/>
        <v/>
      </c>
      <c r="M6696" s="25"/>
      <c r="O6696" s="25"/>
    </row>
    <row r="6697" ht="15.75" customHeight="1">
      <c r="A6697" s="25" t="str">
        <f>IFERROR(__xludf.DUMMYFUNCTION("IF(B6697="""","""",RIGHT(REGEXREPLACE(B6697&amp;"""",""[^0-9]"",""""),9))"),"713811014")</f>
        <v>713811014</v>
      </c>
      <c r="B6697" s="52">
        <v>7.13811014E8</v>
      </c>
      <c r="C6697" s="28" t="s">
        <v>4041</v>
      </c>
      <c r="D6697" s="26" t="s">
        <v>49</v>
      </c>
      <c r="E6697" s="31">
        <v>46243.0</v>
      </c>
      <c r="F6697" s="26" t="s">
        <v>46</v>
      </c>
      <c r="G6697" s="26">
        <v>9.0</v>
      </c>
      <c r="H6697" s="72" t="s">
        <v>6950</v>
      </c>
      <c r="I6697" s="26" t="s">
        <v>951</v>
      </c>
      <c r="J6697" s="25" t="str">
        <f t="shared" si="76"/>
        <v>Yes - see Previous F-Code</v>
      </c>
      <c r="K6697" s="25" t="str">
        <f t="shared" si="77"/>
        <v/>
      </c>
      <c r="L6697" s="25" t="str">
        <f t="shared" si="78"/>
        <v>F73686</v>
      </c>
      <c r="M6697" s="25"/>
      <c r="O6697" s="25"/>
    </row>
    <row r="6698" ht="15.75" customHeight="1">
      <c r="A6698" s="25" t="str">
        <f>IFERROR(__xludf.DUMMYFUNCTION("IF(B6698="""","""",RIGHT(REGEXREPLACE(B6698&amp;"""",""[^0-9]"",""""),9))"),"741319553")</f>
        <v>741319553</v>
      </c>
      <c r="B6698" s="52">
        <v>7.41319553E8</v>
      </c>
      <c r="C6698" s="28" t="s">
        <v>6951</v>
      </c>
      <c r="D6698" s="26" t="s">
        <v>56</v>
      </c>
      <c r="E6698" s="31">
        <v>46243.0</v>
      </c>
      <c r="F6698" s="25"/>
      <c r="G6698" s="26">
        <v>9.0</v>
      </c>
      <c r="H6698" s="25"/>
      <c r="I6698" s="26" t="s">
        <v>951</v>
      </c>
      <c r="J6698" s="25" t="str">
        <f t="shared" si="76"/>
        <v>No</v>
      </c>
      <c r="K6698" s="25" t="str">
        <f t="shared" si="77"/>
        <v/>
      </c>
      <c r="L6698" s="25" t="str">
        <f t="shared" si="78"/>
        <v/>
      </c>
      <c r="M6698" s="25"/>
      <c r="N6698" s="25"/>
      <c r="O6698" s="25"/>
      <c r="P6698" s="25"/>
    </row>
    <row r="6699" ht="15.75" customHeight="1">
      <c r="A6699" s="25" t="str">
        <f>IFERROR(__xludf.DUMMYFUNCTION("IF(B6699="""","""",RIGHT(REGEXREPLACE(B6699&amp;"""",""[^0-9]"",""""),9))"),"778506558")</f>
        <v>778506558</v>
      </c>
      <c r="B6699" s="52">
        <v>7.78506558E8</v>
      </c>
      <c r="C6699" s="28" t="s">
        <v>6952</v>
      </c>
      <c r="D6699" s="26" t="s">
        <v>82</v>
      </c>
      <c r="E6699" s="31">
        <v>46243.0</v>
      </c>
      <c r="F6699" s="26" t="s">
        <v>205</v>
      </c>
      <c r="I6699" s="26" t="s">
        <v>951</v>
      </c>
      <c r="J6699" s="25" t="str">
        <f t="shared" si="76"/>
        <v>No</v>
      </c>
      <c r="K6699" s="25" t="str">
        <f t="shared" si="77"/>
        <v/>
      </c>
      <c r="L6699" s="25" t="str">
        <f t="shared" si="78"/>
        <v/>
      </c>
      <c r="M6699" s="25"/>
      <c r="O6699" s="25"/>
    </row>
    <row r="6700" ht="15.75" customHeight="1">
      <c r="A6700" s="25" t="str">
        <f>IFERROR(__xludf.DUMMYFUNCTION("IF(B6700="""","""",RIGHT(REGEXREPLACE(B6700&amp;"""",""[^0-9]"",""""),9))"),"711327107")</f>
        <v>711327107</v>
      </c>
      <c r="B6700" s="52">
        <v>7.11327107E8</v>
      </c>
      <c r="C6700" s="28" t="s">
        <v>3491</v>
      </c>
      <c r="D6700" s="26" t="s">
        <v>64</v>
      </c>
      <c r="E6700" s="31">
        <v>46243.0</v>
      </c>
      <c r="F6700" s="26" t="s">
        <v>125</v>
      </c>
      <c r="G6700" s="26">
        <v>11.0</v>
      </c>
      <c r="I6700" s="26" t="s">
        <v>951</v>
      </c>
      <c r="J6700" s="25" t="str">
        <f t="shared" si="76"/>
        <v>Yes - see Previous F-Code</v>
      </c>
      <c r="K6700" s="25" t="str">
        <f t="shared" si="77"/>
        <v/>
      </c>
      <c r="L6700" s="25" t="str">
        <f t="shared" si="78"/>
        <v>F73151</v>
      </c>
      <c r="M6700" s="25"/>
      <c r="O6700" s="25"/>
    </row>
    <row r="6701" ht="15.75" customHeight="1">
      <c r="A6701" s="25" t="str">
        <f>IFERROR(__xludf.DUMMYFUNCTION("IF(B6701="""","""",RIGHT(REGEXREPLACE(B6701&amp;"""",""[^0-9]"",""""),9))"),"761865970")</f>
        <v>761865970</v>
      </c>
      <c r="B6701" s="52">
        <v>7.6186597E8</v>
      </c>
      <c r="C6701" s="28" t="s">
        <v>3145</v>
      </c>
      <c r="D6701" s="26" t="s">
        <v>56</v>
      </c>
      <c r="E6701" s="31">
        <v>46243.0</v>
      </c>
      <c r="F6701" s="26" t="s">
        <v>46</v>
      </c>
      <c r="G6701" s="26">
        <v>11.0</v>
      </c>
      <c r="I6701" s="26" t="s">
        <v>951</v>
      </c>
      <c r="J6701" s="25" t="str">
        <f t="shared" si="76"/>
        <v>Yes - see Previous F-Code</v>
      </c>
      <c r="K6701" s="25" t="str">
        <f t="shared" si="77"/>
        <v/>
      </c>
      <c r="L6701" s="25" t="str">
        <f t="shared" si="78"/>
        <v>F72781</v>
      </c>
      <c r="M6701" s="25"/>
      <c r="O6701" s="25"/>
    </row>
    <row r="6702" ht="15.75" customHeight="1">
      <c r="A6702" s="25" t="str">
        <f>IFERROR(__xludf.DUMMYFUNCTION("IF(B6702="""","""",RIGHT(REGEXREPLACE(B6702&amp;"""",""[^0-9]"",""""),9))"),"764861089")</f>
        <v>764861089</v>
      </c>
      <c r="B6702" s="52">
        <v>7.64861089E8</v>
      </c>
      <c r="C6702" s="28" t="s">
        <v>6953</v>
      </c>
      <c r="D6702" s="26" t="s">
        <v>64</v>
      </c>
      <c r="E6702" s="31">
        <v>46243.0</v>
      </c>
      <c r="F6702" s="26" t="s">
        <v>41</v>
      </c>
      <c r="G6702" s="26">
        <v>9.0</v>
      </c>
      <c r="I6702" s="26" t="s">
        <v>951</v>
      </c>
      <c r="J6702" s="25" t="str">
        <f t="shared" si="76"/>
        <v>No</v>
      </c>
      <c r="K6702" s="25" t="str">
        <f t="shared" si="77"/>
        <v/>
      </c>
      <c r="L6702" s="25" t="str">
        <f t="shared" si="78"/>
        <v/>
      </c>
      <c r="M6702" s="25"/>
      <c r="O6702" s="25"/>
    </row>
    <row r="6703" ht="15.75" customHeight="1">
      <c r="A6703" s="25" t="str">
        <f>IFERROR(__xludf.DUMMYFUNCTION("IF(B6703="""","""",RIGHT(REGEXREPLACE(B6703&amp;"""",""[^0-9]"",""""),9))"),"761909259")</f>
        <v>761909259</v>
      </c>
      <c r="B6703" s="52">
        <v>7.61909259E8</v>
      </c>
      <c r="C6703" s="28" t="s">
        <v>6954</v>
      </c>
      <c r="D6703" s="26" t="s">
        <v>56</v>
      </c>
      <c r="E6703" s="31">
        <v>46243.0</v>
      </c>
      <c r="F6703" s="26" t="s">
        <v>46</v>
      </c>
      <c r="G6703" s="26">
        <v>7.0</v>
      </c>
      <c r="I6703" s="26" t="s">
        <v>951</v>
      </c>
      <c r="J6703" s="25" t="str">
        <f t="shared" si="76"/>
        <v>No</v>
      </c>
      <c r="K6703" s="25" t="str">
        <f t="shared" si="77"/>
        <v/>
      </c>
      <c r="L6703" s="25" t="str">
        <f t="shared" si="78"/>
        <v/>
      </c>
      <c r="M6703" s="25"/>
      <c r="O6703" s="25"/>
    </row>
    <row r="6704" ht="15.75" customHeight="1">
      <c r="A6704" s="25" t="str">
        <f>IFERROR(__xludf.DUMMYFUNCTION("IF(B6704="""","""",RIGHT(REGEXREPLACE(B6704&amp;"""",""[^0-9]"",""""),9))"),"701851614")</f>
        <v>701851614</v>
      </c>
      <c r="B6704" s="52">
        <v>7.01851614E8</v>
      </c>
      <c r="C6704" s="28" t="s">
        <v>6955</v>
      </c>
      <c r="D6704" s="26" t="s">
        <v>64</v>
      </c>
      <c r="E6704" s="31">
        <v>46243.0</v>
      </c>
      <c r="F6704" s="26" t="s">
        <v>46</v>
      </c>
      <c r="G6704" s="26">
        <v>9.0</v>
      </c>
      <c r="I6704" s="26" t="s">
        <v>951</v>
      </c>
      <c r="J6704" s="25" t="str">
        <f t="shared" si="76"/>
        <v>No</v>
      </c>
      <c r="K6704" s="25" t="str">
        <f t="shared" si="77"/>
        <v/>
      </c>
      <c r="L6704" s="25" t="str">
        <f t="shared" si="78"/>
        <v/>
      </c>
      <c r="M6704" s="25"/>
      <c r="O6704" s="25"/>
    </row>
    <row r="6705" ht="15.75" customHeight="1">
      <c r="A6705" s="25" t="str">
        <f>IFERROR(__xludf.DUMMYFUNCTION("IF(B6705="""","""",RIGHT(REGEXREPLACE(B6705&amp;"""",""[^0-9]"",""""),9))"),"775662076")</f>
        <v>775662076</v>
      </c>
      <c r="B6705" s="52">
        <v>7.75662076E8</v>
      </c>
      <c r="C6705" s="28" t="s">
        <v>6956</v>
      </c>
      <c r="D6705" s="26" t="s">
        <v>56</v>
      </c>
      <c r="E6705" s="31">
        <v>46243.0</v>
      </c>
      <c r="F6705" s="26" t="s">
        <v>46</v>
      </c>
      <c r="G6705" s="26">
        <v>7.0</v>
      </c>
      <c r="I6705" s="26" t="s">
        <v>951</v>
      </c>
      <c r="J6705" s="25" t="str">
        <f t="shared" si="76"/>
        <v>No</v>
      </c>
      <c r="K6705" s="25" t="str">
        <f t="shared" si="77"/>
        <v/>
      </c>
      <c r="L6705" s="25" t="str">
        <f t="shared" si="78"/>
        <v/>
      </c>
      <c r="M6705" s="25"/>
      <c r="O6705" s="25"/>
    </row>
    <row r="6706" ht="15.75" customHeight="1">
      <c r="A6706" s="25" t="str">
        <f>IFERROR(__xludf.DUMMYFUNCTION("IF(B6706="""","""",RIGHT(REGEXREPLACE(B6706&amp;"""",""[^0-9]"",""""),9))"),"701266780")</f>
        <v>701266780</v>
      </c>
      <c r="B6706" s="52">
        <v>7.0126678E8</v>
      </c>
      <c r="C6706" s="28" t="s">
        <v>6957</v>
      </c>
      <c r="D6706" s="26" t="s">
        <v>49</v>
      </c>
      <c r="E6706" s="31">
        <v>46243.0</v>
      </c>
      <c r="F6706" s="26" t="s">
        <v>46</v>
      </c>
      <c r="G6706" s="26">
        <v>9.0</v>
      </c>
      <c r="H6706" s="26" t="s">
        <v>6958</v>
      </c>
      <c r="I6706" s="26" t="s">
        <v>951</v>
      </c>
      <c r="J6706" s="25" t="str">
        <f t="shared" si="76"/>
        <v>No</v>
      </c>
      <c r="K6706" s="25" t="str">
        <f t="shared" si="77"/>
        <v/>
      </c>
      <c r="L6706" s="25" t="str">
        <f t="shared" si="78"/>
        <v/>
      </c>
      <c r="M6706" s="25"/>
      <c r="O6706" s="25"/>
    </row>
    <row r="6707" ht="15.75" customHeight="1">
      <c r="A6707" s="25" t="str">
        <f>IFERROR(__xludf.DUMMYFUNCTION("IF(B6707="""","""",RIGHT(REGEXREPLACE(B6707&amp;"""",""[^0-9]"",""""),9))"),"766130497")</f>
        <v>766130497</v>
      </c>
      <c r="B6707" s="52">
        <v>7.66130497E8</v>
      </c>
      <c r="C6707" s="28" t="s">
        <v>6959</v>
      </c>
      <c r="D6707" s="26" t="s">
        <v>82</v>
      </c>
      <c r="E6707" s="31">
        <v>46243.0</v>
      </c>
      <c r="F6707" s="26" t="s">
        <v>46</v>
      </c>
      <c r="G6707" s="26">
        <v>10.0</v>
      </c>
      <c r="I6707" s="26" t="s">
        <v>951</v>
      </c>
      <c r="J6707" s="25" t="str">
        <f t="shared" si="76"/>
        <v>No</v>
      </c>
      <c r="K6707" s="25" t="str">
        <f t="shared" si="77"/>
        <v/>
      </c>
      <c r="L6707" s="25" t="str">
        <f t="shared" si="78"/>
        <v/>
      </c>
      <c r="M6707" s="25"/>
      <c r="O6707" s="25"/>
    </row>
    <row r="6708" ht="15.75" customHeight="1">
      <c r="A6708" s="25" t="str">
        <f>IFERROR(__xludf.DUMMYFUNCTION("IF(B6708="""","""",RIGHT(REGEXREPLACE(B6708&amp;"""",""[^0-9]"",""""),9))"),"705221615")</f>
        <v>705221615</v>
      </c>
      <c r="B6708" s="52">
        <v>7.05221615E8</v>
      </c>
      <c r="C6708" s="28" t="s">
        <v>6960</v>
      </c>
      <c r="D6708" s="26" t="s">
        <v>56</v>
      </c>
      <c r="E6708" s="31">
        <v>46243.0</v>
      </c>
      <c r="F6708" s="26" t="s">
        <v>205</v>
      </c>
      <c r="G6708" s="26">
        <v>9.0</v>
      </c>
      <c r="I6708" s="26" t="s">
        <v>951</v>
      </c>
      <c r="J6708" s="25" t="str">
        <f t="shared" si="76"/>
        <v>No</v>
      </c>
      <c r="K6708" s="25" t="str">
        <f t="shared" si="77"/>
        <v/>
      </c>
      <c r="L6708" s="25" t="str">
        <f t="shared" si="78"/>
        <v/>
      </c>
      <c r="M6708" s="25"/>
      <c r="O6708" s="25"/>
    </row>
    <row r="6709" ht="15.75" customHeight="1">
      <c r="A6709" s="25" t="str">
        <f>IFERROR(__xludf.DUMMYFUNCTION("IF(B6709="""","""",RIGHT(REGEXREPLACE(B6709&amp;"""",""[^0-9]"",""""),9))"),"784928694")</f>
        <v>784928694</v>
      </c>
      <c r="B6709" s="52">
        <v>7.84928694E8</v>
      </c>
      <c r="C6709" s="28" t="s">
        <v>6961</v>
      </c>
      <c r="D6709" s="26" t="s">
        <v>64</v>
      </c>
      <c r="E6709" s="31">
        <v>46243.0</v>
      </c>
      <c r="F6709" s="26" t="s">
        <v>46</v>
      </c>
      <c r="G6709" s="26">
        <v>10.0</v>
      </c>
      <c r="I6709" s="26" t="s">
        <v>951</v>
      </c>
      <c r="J6709" s="25" t="str">
        <f t="shared" si="76"/>
        <v>No</v>
      </c>
      <c r="K6709" s="25" t="str">
        <f t="shared" si="77"/>
        <v/>
      </c>
      <c r="L6709" s="25" t="str">
        <f t="shared" si="78"/>
        <v/>
      </c>
      <c r="M6709" s="25"/>
      <c r="O6709" s="25"/>
    </row>
    <row r="6710" ht="15.75" customHeight="1">
      <c r="A6710" s="25" t="str">
        <f>IFERROR(__xludf.DUMMYFUNCTION("IF(B6710="""","""",RIGHT(REGEXREPLACE(B6710&amp;"""",""[^0-9]"",""""),9))"),"773043679")</f>
        <v>773043679</v>
      </c>
      <c r="B6710" s="52">
        <v>7.73043679E8</v>
      </c>
      <c r="C6710" s="28" t="s">
        <v>6962</v>
      </c>
      <c r="D6710" s="26" t="s">
        <v>56</v>
      </c>
      <c r="E6710" s="31">
        <v>46243.0</v>
      </c>
      <c r="F6710" s="26" t="s">
        <v>46</v>
      </c>
      <c r="G6710" s="26">
        <v>7.0</v>
      </c>
      <c r="H6710" s="26" t="s">
        <v>1447</v>
      </c>
      <c r="I6710" s="26" t="s">
        <v>951</v>
      </c>
      <c r="J6710" s="25" t="str">
        <f t="shared" si="76"/>
        <v>No</v>
      </c>
      <c r="K6710" s="25" t="str">
        <f t="shared" si="77"/>
        <v/>
      </c>
      <c r="L6710" s="25" t="str">
        <f t="shared" si="78"/>
        <v/>
      </c>
      <c r="M6710" s="25"/>
      <c r="O6710" s="25"/>
    </row>
    <row r="6711" ht="15.75" customHeight="1">
      <c r="A6711" s="25" t="str">
        <f>IFERROR(__xludf.DUMMYFUNCTION("IF(B6711="""","""",RIGHT(REGEXREPLACE(B6711&amp;"""",""[^0-9]"",""""),9))"),"763407928")</f>
        <v>763407928</v>
      </c>
      <c r="B6711" s="52">
        <v>7.63407928E8</v>
      </c>
      <c r="C6711" s="28" t="s">
        <v>6963</v>
      </c>
      <c r="D6711" s="26" t="s">
        <v>82</v>
      </c>
      <c r="E6711" s="31">
        <v>46243.0</v>
      </c>
      <c r="F6711" s="26" t="s">
        <v>46</v>
      </c>
      <c r="G6711" s="26">
        <v>8.0</v>
      </c>
      <c r="I6711" s="26" t="s">
        <v>951</v>
      </c>
      <c r="J6711" s="25" t="str">
        <f t="shared" si="76"/>
        <v>No</v>
      </c>
      <c r="K6711" s="25" t="str">
        <f t="shared" si="77"/>
        <v/>
      </c>
      <c r="L6711" s="25" t="str">
        <f t="shared" si="78"/>
        <v/>
      </c>
      <c r="M6711" s="25"/>
      <c r="O6711" s="25"/>
    </row>
    <row r="6712" ht="15.75" customHeight="1">
      <c r="A6712" s="25" t="str">
        <f>IFERROR(__xludf.DUMMYFUNCTION("IF(B6712="""","""",RIGHT(REGEXREPLACE(B6712&amp;"""",""[^0-9]"",""""),9))"),"769405071")</f>
        <v>769405071</v>
      </c>
      <c r="B6712" s="52">
        <v>7.69405071E8</v>
      </c>
      <c r="C6712" s="28" t="s">
        <v>6964</v>
      </c>
      <c r="D6712" s="26" t="s">
        <v>49</v>
      </c>
      <c r="E6712" s="31">
        <v>46243.0</v>
      </c>
      <c r="F6712" s="26" t="s">
        <v>46</v>
      </c>
      <c r="G6712" s="26">
        <v>9.0</v>
      </c>
      <c r="I6712" s="26" t="s">
        <v>951</v>
      </c>
      <c r="J6712" s="25" t="str">
        <f t="shared" si="76"/>
        <v>No</v>
      </c>
      <c r="K6712" s="25" t="str">
        <f t="shared" si="77"/>
        <v/>
      </c>
      <c r="L6712" s="25" t="str">
        <f t="shared" si="78"/>
        <v/>
      </c>
      <c r="M6712" s="25"/>
      <c r="O6712" s="25"/>
    </row>
    <row r="6713" ht="15.75" customHeight="1">
      <c r="A6713" s="25" t="str">
        <f>IFERROR(__xludf.DUMMYFUNCTION("IF(B6713="""","""",RIGHT(REGEXREPLACE(B6713&amp;"""",""[^0-9]"",""""),9))"),"765475870")</f>
        <v>765475870</v>
      </c>
      <c r="B6713" s="52">
        <v>7.6547587E8</v>
      </c>
      <c r="C6713" s="28" t="s">
        <v>6965</v>
      </c>
      <c r="D6713" s="26" t="s">
        <v>56</v>
      </c>
      <c r="E6713" s="31">
        <v>46243.0</v>
      </c>
      <c r="F6713" s="26" t="s">
        <v>631</v>
      </c>
      <c r="G6713" s="26">
        <v>9.0</v>
      </c>
      <c r="I6713" s="26" t="s">
        <v>951</v>
      </c>
      <c r="J6713" s="25" t="str">
        <f t="shared" si="76"/>
        <v>No</v>
      </c>
      <c r="K6713" s="25" t="str">
        <f t="shared" si="77"/>
        <v/>
      </c>
      <c r="L6713" s="25" t="str">
        <f t="shared" si="78"/>
        <v/>
      </c>
      <c r="M6713" s="25"/>
      <c r="O6713" s="25"/>
    </row>
    <row r="6714" ht="15.75" customHeight="1">
      <c r="A6714" s="25" t="str">
        <f>IFERROR(__xludf.DUMMYFUNCTION("IF(B6714="""","""",RIGHT(REGEXREPLACE(B6714&amp;"""",""[^0-9]"",""""),9))"),"716178644")</f>
        <v>716178644</v>
      </c>
      <c r="B6714" s="52">
        <v>7.16178644E8</v>
      </c>
      <c r="C6714" s="28" t="s">
        <v>6966</v>
      </c>
      <c r="D6714" s="26" t="s">
        <v>64</v>
      </c>
      <c r="E6714" s="31">
        <v>46243.0</v>
      </c>
      <c r="F6714" s="26" t="s">
        <v>659</v>
      </c>
      <c r="G6714" s="26">
        <v>9.0</v>
      </c>
      <c r="I6714" s="26" t="s">
        <v>951</v>
      </c>
      <c r="J6714" s="25" t="str">
        <f t="shared" si="76"/>
        <v>No</v>
      </c>
      <c r="K6714" s="25" t="str">
        <f t="shared" si="77"/>
        <v/>
      </c>
      <c r="L6714" s="25" t="str">
        <f t="shared" si="78"/>
        <v/>
      </c>
      <c r="M6714" s="25"/>
      <c r="O6714" s="25"/>
    </row>
    <row r="6715" ht="15.75" customHeight="1">
      <c r="A6715" s="25" t="str">
        <f>IFERROR(__xludf.DUMMYFUNCTION("IF(B6715="""","""",RIGHT(REGEXREPLACE(B6715&amp;"""",""[^0-9]"",""""),9))"),"762232746")</f>
        <v>762232746</v>
      </c>
      <c r="B6715" s="52">
        <v>7.62232746E8</v>
      </c>
      <c r="C6715" s="28" t="s">
        <v>6967</v>
      </c>
      <c r="D6715" s="26" t="s">
        <v>64</v>
      </c>
      <c r="E6715" s="31">
        <v>46243.0</v>
      </c>
      <c r="F6715" s="26" t="s">
        <v>46</v>
      </c>
      <c r="G6715" s="26">
        <v>9.0</v>
      </c>
      <c r="H6715" s="26" t="s">
        <v>2293</v>
      </c>
      <c r="I6715" s="26" t="s">
        <v>951</v>
      </c>
      <c r="J6715" s="25" t="str">
        <f t="shared" si="76"/>
        <v>No</v>
      </c>
      <c r="K6715" s="25" t="str">
        <f t="shared" si="77"/>
        <v/>
      </c>
      <c r="L6715" s="25" t="str">
        <f t="shared" si="78"/>
        <v/>
      </c>
      <c r="M6715" s="25"/>
      <c r="O6715" s="25"/>
    </row>
    <row r="6716" ht="15.75" customHeight="1">
      <c r="A6716" s="25" t="str">
        <f>IFERROR(__xludf.DUMMYFUNCTION("IF(B6716="""","""",RIGHT(REGEXREPLACE(B6716&amp;"""",""[^0-9]"",""""),9))"),"784708193")</f>
        <v>784708193</v>
      </c>
      <c r="B6716" s="52">
        <v>7.84708193E8</v>
      </c>
      <c r="C6716" s="28" t="s">
        <v>6968</v>
      </c>
      <c r="D6716" s="26" t="s">
        <v>56</v>
      </c>
      <c r="E6716" s="31">
        <v>46243.0</v>
      </c>
      <c r="F6716" s="26" t="s">
        <v>46</v>
      </c>
      <c r="G6716" s="26">
        <v>9.0</v>
      </c>
      <c r="I6716" s="26" t="s">
        <v>951</v>
      </c>
      <c r="J6716" s="25" t="str">
        <f t="shared" si="76"/>
        <v>No</v>
      </c>
      <c r="K6716" s="25" t="str">
        <f t="shared" si="77"/>
        <v/>
      </c>
      <c r="L6716" s="25" t="str">
        <f t="shared" si="78"/>
        <v/>
      </c>
      <c r="M6716" s="25"/>
      <c r="O6716" s="25"/>
    </row>
    <row r="6717" ht="15.75" customHeight="1">
      <c r="A6717" s="25" t="str">
        <f>IFERROR(__xludf.DUMMYFUNCTION("IF(B6717="""","""",RIGHT(REGEXREPLACE(B6717&amp;"""",""[^0-9]"",""""),9))"),"771967510")</f>
        <v>771967510</v>
      </c>
      <c r="B6717" s="52">
        <v>7.7196751E8</v>
      </c>
      <c r="C6717" s="28" t="s">
        <v>6969</v>
      </c>
      <c r="D6717" s="26" t="s">
        <v>82</v>
      </c>
      <c r="E6717" s="31">
        <v>46243.0</v>
      </c>
      <c r="F6717" s="26" t="s">
        <v>41</v>
      </c>
      <c r="G6717" s="26">
        <v>10.0</v>
      </c>
      <c r="I6717" s="26" t="s">
        <v>951</v>
      </c>
      <c r="J6717" s="25" t="str">
        <f t="shared" si="76"/>
        <v>No</v>
      </c>
      <c r="K6717" s="25" t="str">
        <f t="shared" si="77"/>
        <v/>
      </c>
      <c r="L6717" s="25" t="str">
        <f t="shared" si="78"/>
        <v/>
      </c>
      <c r="M6717" s="25"/>
      <c r="O6717" s="25"/>
    </row>
    <row r="6718" ht="15.75" customHeight="1">
      <c r="A6718" s="25" t="str">
        <f>IFERROR(__xludf.DUMMYFUNCTION("IF(B6718="""","""",RIGHT(REGEXREPLACE(B6718&amp;"""",""[^0-9]"",""""),9))"),"769402273")</f>
        <v>769402273</v>
      </c>
      <c r="B6718" s="52">
        <v>7.69402273E8</v>
      </c>
      <c r="C6718" s="28" t="s">
        <v>6970</v>
      </c>
      <c r="D6718" s="26" t="s">
        <v>82</v>
      </c>
      <c r="E6718" s="31">
        <v>46243.0</v>
      </c>
      <c r="F6718" s="26" t="s">
        <v>46</v>
      </c>
      <c r="G6718" s="26">
        <v>9.0</v>
      </c>
      <c r="H6718" s="26" t="s">
        <v>6971</v>
      </c>
      <c r="I6718" s="26" t="s">
        <v>951</v>
      </c>
      <c r="J6718" s="25" t="str">
        <f t="shared" si="76"/>
        <v>No</v>
      </c>
      <c r="K6718" s="25" t="str">
        <f t="shared" si="77"/>
        <v/>
      </c>
      <c r="L6718" s="25" t="str">
        <f t="shared" si="78"/>
        <v/>
      </c>
      <c r="M6718" s="25"/>
      <c r="O6718" s="26" t="s">
        <v>51</v>
      </c>
    </row>
    <row r="6719" ht="15.75" customHeight="1">
      <c r="A6719" s="25" t="str">
        <f>IFERROR(__xludf.DUMMYFUNCTION("IF(B6719="""","""",RIGHT(REGEXREPLACE(B6719&amp;"""",""[^0-9]"",""""),9))"),"715714752")</f>
        <v>715714752</v>
      </c>
      <c r="B6719" s="52">
        <v>7.15714752E8</v>
      </c>
      <c r="C6719" s="28" t="s">
        <v>6972</v>
      </c>
      <c r="D6719" s="26" t="s">
        <v>49</v>
      </c>
      <c r="E6719" s="31">
        <v>46243.0</v>
      </c>
      <c r="F6719" s="26" t="s">
        <v>46</v>
      </c>
      <c r="G6719" s="26">
        <v>9.0</v>
      </c>
      <c r="I6719" s="26" t="s">
        <v>951</v>
      </c>
      <c r="J6719" s="25" t="str">
        <f t="shared" si="76"/>
        <v>No</v>
      </c>
      <c r="K6719" s="25" t="str">
        <f t="shared" si="77"/>
        <v/>
      </c>
      <c r="L6719" s="25" t="str">
        <f t="shared" si="78"/>
        <v/>
      </c>
      <c r="M6719" s="25"/>
      <c r="O6719" s="26" t="s">
        <v>51</v>
      </c>
    </row>
    <row r="6720" ht="15.75" customHeight="1">
      <c r="A6720" s="25" t="str">
        <f>IFERROR(__xludf.DUMMYFUNCTION("IF(B6720="""","""",RIGHT(REGEXREPLACE(B6720&amp;"""",""[^0-9]"",""""),9))"),"767734893")</f>
        <v>767734893</v>
      </c>
      <c r="B6720" s="26" t="s">
        <v>6973</v>
      </c>
      <c r="C6720" s="28" t="s">
        <v>6974</v>
      </c>
      <c r="D6720" s="26" t="s">
        <v>45</v>
      </c>
      <c r="E6720" s="31">
        <v>46243.0</v>
      </c>
      <c r="F6720" s="26" t="s">
        <v>205</v>
      </c>
      <c r="G6720" s="26">
        <v>9.0</v>
      </c>
      <c r="I6720" s="26" t="s">
        <v>951</v>
      </c>
      <c r="J6720" s="25" t="str">
        <f t="shared" si="76"/>
        <v>No</v>
      </c>
      <c r="K6720" s="25" t="str">
        <f t="shared" si="77"/>
        <v/>
      </c>
      <c r="L6720" s="25" t="str">
        <f t="shared" si="78"/>
        <v/>
      </c>
      <c r="M6720" s="25"/>
      <c r="O6720" s="25"/>
    </row>
    <row r="6721" ht="15.75" customHeight="1">
      <c r="A6721" s="25" t="str">
        <f>IFERROR(__xludf.DUMMYFUNCTION("IF(B6721="""","""",RIGHT(REGEXREPLACE(B6721&amp;"""",""[^0-9]"",""""),9))"),"703270958")</f>
        <v>703270958</v>
      </c>
      <c r="B6721" s="52">
        <v>7.03270958E8</v>
      </c>
      <c r="C6721" s="28" t="s">
        <v>6975</v>
      </c>
      <c r="D6721" s="26" t="s">
        <v>64</v>
      </c>
      <c r="E6721" s="31">
        <v>46243.0</v>
      </c>
      <c r="F6721" s="26" t="s">
        <v>46</v>
      </c>
      <c r="G6721" s="26">
        <v>9.0</v>
      </c>
      <c r="I6721" s="26" t="s">
        <v>951</v>
      </c>
      <c r="J6721" s="25" t="str">
        <f t="shared" si="76"/>
        <v>No</v>
      </c>
      <c r="K6721" s="25" t="str">
        <f t="shared" si="77"/>
        <v/>
      </c>
      <c r="L6721" s="25" t="str">
        <f t="shared" si="78"/>
        <v/>
      </c>
      <c r="M6721" s="25"/>
      <c r="O6721" s="25"/>
    </row>
    <row r="6722" ht="15.75" customHeight="1">
      <c r="A6722" s="25" t="str">
        <f>IFERROR(__xludf.DUMMYFUNCTION("IF(B6722="""","""",RIGHT(REGEXREPLACE(B6722&amp;"""",""[^0-9]"",""""),9))"),"705609947")</f>
        <v>705609947</v>
      </c>
      <c r="B6722" s="52">
        <v>7.05609947E8</v>
      </c>
      <c r="C6722" s="28" t="s">
        <v>842</v>
      </c>
      <c r="D6722" s="26" t="s">
        <v>56</v>
      </c>
      <c r="E6722" s="31">
        <v>46243.0</v>
      </c>
      <c r="F6722" s="26" t="s">
        <v>46</v>
      </c>
      <c r="G6722" s="26">
        <v>11.0</v>
      </c>
      <c r="I6722" s="26" t="s">
        <v>951</v>
      </c>
      <c r="J6722" s="25" t="str">
        <f t="shared" si="76"/>
        <v>Yes - see Previous F-Code</v>
      </c>
      <c r="K6722" s="25" t="str">
        <f t="shared" si="77"/>
        <v/>
      </c>
      <c r="L6722" s="25" t="str">
        <f t="shared" si="78"/>
        <v>F70615</v>
      </c>
      <c r="M6722" s="25"/>
      <c r="O6722" s="25"/>
    </row>
    <row r="6723" ht="15.75" customHeight="1">
      <c r="A6723" s="25" t="str">
        <f>IFERROR(__xludf.DUMMYFUNCTION("IF(B6723="""","""",RIGHT(REGEXREPLACE(B6723&amp;"""",""[^0-9]"",""""),9))"),"705845357")</f>
        <v>705845357</v>
      </c>
      <c r="B6723" s="26" t="s">
        <v>6976</v>
      </c>
      <c r="C6723" s="28" t="s">
        <v>4467</v>
      </c>
      <c r="D6723" s="26" t="s">
        <v>45</v>
      </c>
      <c r="E6723" s="31">
        <v>46243.0</v>
      </c>
      <c r="F6723" s="26" t="s">
        <v>46</v>
      </c>
      <c r="H6723" s="26" t="s">
        <v>6977</v>
      </c>
      <c r="I6723" s="26" t="s">
        <v>951</v>
      </c>
      <c r="J6723" s="25" t="str">
        <f t="shared" si="76"/>
        <v>Yes - see Previous F-Code</v>
      </c>
      <c r="K6723" s="25" t="str">
        <f t="shared" si="77"/>
        <v/>
      </c>
      <c r="L6723" s="25" t="str">
        <f t="shared" si="78"/>
        <v>F74080</v>
      </c>
      <c r="M6723" s="25"/>
      <c r="O6723" s="25"/>
    </row>
    <row r="6724" ht="15.75" customHeight="1">
      <c r="A6724" s="25" t="str">
        <f>IFERROR(__xludf.DUMMYFUNCTION("IF(B6724="""","""",RIGHT(REGEXREPLACE(B6724&amp;"""",""[^0-9]"",""""),9))"),"764548089")</f>
        <v>764548089</v>
      </c>
      <c r="B6724" s="52">
        <v>7.64548089E8</v>
      </c>
      <c r="C6724" s="28" t="s">
        <v>6978</v>
      </c>
      <c r="D6724" s="26" t="s">
        <v>82</v>
      </c>
      <c r="E6724" s="31">
        <v>46243.0</v>
      </c>
      <c r="F6724" s="26" t="s">
        <v>46</v>
      </c>
      <c r="G6724" s="26">
        <v>11.0</v>
      </c>
      <c r="H6724" s="26" t="s">
        <v>140</v>
      </c>
      <c r="I6724" s="26" t="s">
        <v>951</v>
      </c>
      <c r="J6724" s="25" t="str">
        <f t="shared" si="76"/>
        <v>No</v>
      </c>
      <c r="K6724" s="25" t="str">
        <f t="shared" si="77"/>
        <v/>
      </c>
      <c r="L6724" s="25" t="str">
        <f t="shared" si="78"/>
        <v/>
      </c>
      <c r="M6724" s="25"/>
      <c r="O6724" s="25"/>
    </row>
    <row r="6725" ht="15.75" customHeight="1">
      <c r="A6725" s="25" t="str">
        <f>IFERROR(__xludf.DUMMYFUNCTION("IF(B6725="""","""",RIGHT(REGEXREPLACE(B6725&amp;"""",""[^0-9]"",""""),9))"),"710653487")</f>
        <v>710653487</v>
      </c>
      <c r="B6725" s="52">
        <v>7.10653487E8</v>
      </c>
      <c r="C6725" s="28" t="s">
        <v>6979</v>
      </c>
      <c r="D6725" s="26" t="s">
        <v>49</v>
      </c>
      <c r="E6725" s="31">
        <v>46243.0</v>
      </c>
      <c r="F6725" s="26" t="s">
        <v>46</v>
      </c>
      <c r="G6725" s="26">
        <v>10.0</v>
      </c>
      <c r="H6725" s="26" t="s">
        <v>5896</v>
      </c>
      <c r="I6725" s="26" t="s">
        <v>951</v>
      </c>
      <c r="J6725" s="25" t="str">
        <f t="shared" si="76"/>
        <v>No</v>
      </c>
      <c r="K6725" s="25" t="str">
        <f t="shared" si="77"/>
        <v/>
      </c>
      <c r="L6725" s="25" t="str">
        <f t="shared" si="78"/>
        <v/>
      </c>
      <c r="M6725" s="25"/>
      <c r="O6725" s="25"/>
    </row>
    <row r="6726" ht="15.75" customHeight="1">
      <c r="A6726" s="25" t="str">
        <f>IFERROR(__xludf.DUMMYFUNCTION("IF(B6726="""","""",RIGHT(REGEXREPLACE(B6726&amp;"""",""[^0-9]"",""""),9))"),"763587167")</f>
        <v>763587167</v>
      </c>
      <c r="B6726" s="26">
        <v>7.63587167E8</v>
      </c>
      <c r="C6726" s="28" t="s">
        <v>6980</v>
      </c>
      <c r="D6726" s="26" t="s">
        <v>56</v>
      </c>
      <c r="E6726" s="31">
        <v>46243.0</v>
      </c>
      <c r="F6726" s="26" t="s">
        <v>46</v>
      </c>
      <c r="G6726" s="26">
        <v>9.0</v>
      </c>
      <c r="I6726" s="26" t="s">
        <v>951</v>
      </c>
      <c r="J6726" s="25" t="str">
        <f t="shared" si="76"/>
        <v>No</v>
      </c>
      <c r="K6726" s="25" t="str">
        <f t="shared" si="77"/>
        <v/>
      </c>
      <c r="L6726" s="25" t="str">
        <f t="shared" si="78"/>
        <v/>
      </c>
      <c r="M6726" s="25"/>
      <c r="O6726" s="25"/>
    </row>
    <row r="6727" ht="15.75" customHeight="1">
      <c r="A6727" s="25" t="str">
        <f>IFERROR(__xludf.DUMMYFUNCTION("IF(B6727="""","""",RIGHT(REGEXREPLACE(B6727&amp;"""",""[^0-9]"",""""),9))"),"741345950")</f>
        <v>741345950</v>
      </c>
      <c r="B6727" s="26" t="s">
        <v>6981</v>
      </c>
      <c r="C6727" s="28" t="s">
        <v>6982</v>
      </c>
      <c r="D6727" s="26" t="s">
        <v>45</v>
      </c>
      <c r="E6727" s="31">
        <v>46243.0</v>
      </c>
      <c r="F6727" s="26" t="s">
        <v>46</v>
      </c>
      <c r="G6727" s="26">
        <v>11.0</v>
      </c>
      <c r="I6727" s="26" t="s">
        <v>951</v>
      </c>
      <c r="J6727" s="25" t="str">
        <f t="shared" si="76"/>
        <v>No</v>
      </c>
      <c r="K6727" s="25" t="str">
        <f t="shared" si="77"/>
        <v/>
      </c>
      <c r="L6727" s="25" t="str">
        <f t="shared" si="78"/>
        <v/>
      </c>
      <c r="M6727" s="25"/>
      <c r="O6727" s="25"/>
    </row>
    <row r="6728" ht="15.75" customHeight="1">
      <c r="A6728" s="25" t="str">
        <f>IFERROR(__xludf.DUMMYFUNCTION("IF(B6728="""","""",RIGHT(REGEXREPLACE(B6728&amp;"""",""[^0-9]"",""""),9))"),"771770903")</f>
        <v>771770903</v>
      </c>
      <c r="B6728" s="52">
        <v>7.71770903E8</v>
      </c>
      <c r="C6728" s="28" t="s">
        <v>6983</v>
      </c>
      <c r="D6728" s="26" t="s">
        <v>82</v>
      </c>
      <c r="E6728" s="31">
        <v>46243.0</v>
      </c>
      <c r="F6728" s="26" t="s">
        <v>46</v>
      </c>
      <c r="G6728" s="26">
        <v>9.0</v>
      </c>
      <c r="I6728" s="26" t="s">
        <v>951</v>
      </c>
      <c r="J6728" s="25" t="str">
        <f t="shared" si="76"/>
        <v>No</v>
      </c>
      <c r="K6728" s="25" t="str">
        <f t="shared" si="77"/>
        <v/>
      </c>
      <c r="L6728" s="25" t="str">
        <f t="shared" si="78"/>
        <v/>
      </c>
      <c r="M6728" s="25"/>
      <c r="O6728" s="26" t="s">
        <v>51</v>
      </c>
    </row>
    <row r="6729" ht="15.75" customHeight="1">
      <c r="A6729" s="25" t="str">
        <f>IFERROR(__xludf.DUMMYFUNCTION("IF(B6729="""","""",RIGHT(REGEXREPLACE(B6729&amp;"""",""[^0-9]"",""""),9))"),"702443508")</f>
        <v>702443508</v>
      </c>
      <c r="B6729" s="52">
        <v>7.02443508E8</v>
      </c>
      <c r="C6729" s="28" t="s">
        <v>6984</v>
      </c>
      <c r="D6729" s="26" t="s">
        <v>64</v>
      </c>
      <c r="E6729" s="31">
        <v>46243.0</v>
      </c>
      <c r="F6729" s="26" t="s">
        <v>41</v>
      </c>
      <c r="I6729" s="26" t="s">
        <v>951</v>
      </c>
      <c r="J6729" s="25" t="str">
        <f t="shared" si="76"/>
        <v>No</v>
      </c>
      <c r="K6729" s="25" t="str">
        <f t="shared" si="77"/>
        <v/>
      </c>
      <c r="L6729" s="25" t="str">
        <f t="shared" si="78"/>
        <v/>
      </c>
      <c r="M6729" s="25"/>
      <c r="O6729" s="25"/>
    </row>
    <row r="6730" ht="15.75" customHeight="1">
      <c r="A6730" s="25" t="str">
        <f>IFERROR(__xludf.DUMMYFUNCTION("IF(B6730="""","""",RIGHT(REGEXREPLACE(B6730&amp;"""",""[^0-9]"",""""),9))"),"779278811")</f>
        <v>779278811</v>
      </c>
      <c r="B6730" s="52">
        <v>7.79278811E8</v>
      </c>
      <c r="C6730" s="28" t="s">
        <v>6985</v>
      </c>
      <c r="D6730" s="26" t="s">
        <v>56</v>
      </c>
      <c r="E6730" s="31">
        <v>46243.0</v>
      </c>
      <c r="F6730" s="26" t="s">
        <v>41</v>
      </c>
      <c r="G6730" s="26">
        <v>9.0</v>
      </c>
      <c r="I6730" s="26" t="s">
        <v>951</v>
      </c>
      <c r="J6730" s="25" t="str">
        <f t="shared" si="76"/>
        <v>No</v>
      </c>
      <c r="K6730" s="25" t="str">
        <f t="shared" si="77"/>
        <v/>
      </c>
      <c r="L6730" s="25" t="str">
        <f t="shared" si="78"/>
        <v/>
      </c>
      <c r="M6730" s="25"/>
      <c r="O6730" s="26" t="s">
        <v>51</v>
      </c>
    </row>
    <row r="6731" ht="15.75" customHeight="1">
      <c r="A6731" s="25" t="str">
        <f>IFERROR(__xludf.DUMMYFUNCTION("IF(B6731="""","""",RIGHT(REGEXREPLACE(B6731&amp;"""",""[^0-9]"",""""),9))"),"772473090")</f>
        <v>772473090</v>
      </c>
      <c r="B6731" s="52">
        <v>7.7247309E8</v>
      </c>
      <c r="C6731" s="28" t="s">
        <v>6986</v>
      </c>
      <c r="D6731" s="26" t="s">
        <v>64</v>
      </c>
      <c r="E6731" s="31">
        <v>46243.0</v>
      </c>
      <c r="F6731" s="26" t="s">
        <v>84</v>
      </c>
      <c r="G6731" s="26">
        <v>10.0</v>
      </c>
      <c r="H6731" s="26" t="s">
        <v>763</v>
      </c>
      <c r="I6731" s="26" t="s">
        <v>951</v>
      </c>
      <c r="J6731" s="25" t="str">
        <f t="shared" si="76"/>
        <v>No</v>
      </c>
      <c r="K6731" s="25" t="str">
        <f t="shared" si="77"/>
        <v/>
      </c>
      <c r="L6731" s="25" t="str">
        <f t="shared" si="78"/>
        <v/>
      </c>
      <c r="M6731" s="25"/>
      <c r="O6731" s="25"/>
    </row>
    <row r="6732" ht="15.75" customHeight="1">
      <c r="A6732" s="25" t="str">
        <f>IFERROR(__xludf.DUMMYFUNCTION("IF(B6732="""","""",RIGHT(REGEXREPLACE(B6732&amp;"""",""[^0-9]"",""""),9))"),"776332103")</f>
        <v>776332103</v>
      </c>
      <c r="B6732" s="52">
        <v>7.76332103E8</v>
      </c>
      <c r="C6732" s="28" t="s">
        <v>6987</v>
      </c>
      <c r="D6732" s="26" t="s">
        <v>82</v>
      </c>
      <c r="E6732" s="31">
        <v>46243.0</v>
      </c>
      <c r="F6732" s="26" t="s">
        <v>41</v>
      </c>
      <c r="G6732" s="26">
        <v>9.0</v>
      </c>
      <c r="I6732" s="26" t="s">
        <v>951</v>
      </c>
      <c r="J6732" s="25" t="str">
        <f t="shared" si="76"/>
        <v>No</v>
      </c>
      <c r="K6732" s="25" t="str">
        <f t="shared" si="77"/>
        <v/>
      </c>
      <c r="L6732" s="25" t="str">
        <f t="shared" si="78"/>
        <v/>
      </c>
      <c r="M6732" s="25"/>
      <c r="O6732" s="25"/>
    </row>
    <row r="6733" ht="15.75" customHeight="1">
      <c r="A6733" s="25" t="str">
        <f>IFERROR(__xludf.DUMMYFUNCTION("IF(B6733="""","""",RIGHT(REGEXREPLACE(B6733&amp;"""",""[^0-9]"",""""),9))"),"761009959")</f>
        <v>761009959</v>
      </c>
      <c r="B6733" s="26" t="s">
        <v>6988</v>
      </c>
      <c r="C6733" s="28" t="s">
        <v>6989</v>
      </c>
      <c r="D6733" s="26" t="s">
        <v>45</v>
      </c>
      <c r="E6733" s="31">
        <v>46243.0</v>
      </c>
      <c r="F6733" s="26" t="s">
        <v>46</v>
      </c>
      <c r="G6733" s="26">
        <v>10.0</v>
      </c>
      <c r="I6733" s="26" t="s">
        <v>951</v>
      </c>
      <c r="J6733" s="25" t="str">
        <f t="shared" si="76"/>
        <v>No</v>
      </c>
      <c r="K6733" s="25" t="str">
        <f t="shared" si="77"/>
        <v/>
      </c>
      <c r="L6733" s="25" t="str">
        <f t="shared" si="78"/>
        <v/>
      </c>
      <c r="M6733" s="25"/>
      <c r="O6733" s="25"/>
    </row>
    <row r="6734" ht="15.75" customHeight="1">
      <c r="A6734" s="25" t="str">
        <f>IFERROR(__xludf.DUMMYFUNCTION("IF(B6734="""","""",RIGHT(REGEXREPLACE(B6734&amp;"""",""[^0-9]"",""""),9))"),"718956532")</f>
        <v>718956532</v>
      </c>
      <c r="B6734" s="52">
        <v>7.18956532E8</v>
      </c>
      <c r="C6734" s="28" t="s">
        <v>6990</v>
      </c>
      <c r="D6734" s="26" t="s">
        <v>49</v>
      </c>
      <c r="E6734" s="31">
        <v>46243.0</v>
      </c>
      <c r="F6734" s="26" t="s">
        <v>46</v>
      </c>
      <c r="G6734" s="26">
        <v>9.0</v>
      </c>
      <c r="I6734" s="26" t="s">
        <v>951</v>
      </c>
      <c r="J6734" s="25" t="str">
        <f t="shared" si="76"/>
        <v>No</v>
      </c>
      <c r="K6734" s="25" t="str">
        <f t="shared" si="77"/>
        <v/>
      </c>
      <c r="L6734" s="25" t="str">
        <f t="shared" si="78"/>
        <v/>
      </c>
      <c r="M6734" s="25"/>
      <c r="O6734" s="25"/>
    </row>
    <row r="6735" ht="15.75" customHeight="1">
      <c r="A6735" s="25" t="str">
        <f>IFERROR(__xludf.DUMMYFUNCTION("IF(B6735="""","""",RIGHT(REGEXREPLACE(B6735&amp;"""",""[^0-9]"",""""),9))"),"716241481")</f>
        <v>716241481</v>
      </c>
      <c r="B6735" s="52">
        <v>7.16241481E8</v>
      </c>
      <c r="C6735" s="28" t="s">
        <v>6991</v>
      </c>
      <c r="D6735" s="26" t="s">
        <v>64</v>
      </c>
      <c r="E6735" s="31">
        <v>46243.0</v>
      </c>
      <c r="F6735" s="26" t="s">
        <v>205</v>
      </c>
      <c r="I6735" s="26" t="s">
        <v>951</v>
      </c>
      <c r="J6735" s="25" t="str">
        <f t="shared" si="76"/>
        <v>No</v>
      </c>
      <c r="K6735" s="25" t="str">
        <f t="shared" si="77"/>
        <v/>
      </c>
      <c r="L6735" s="25" t="str">
        <f t="shared" si="78"/>
        <v/>
      </c>
      <c r="M6735" s="25"/>
      <c r="O6735" s="25"/>
    </row>
    <row r="6736" ht="15.75" customHeight="1">
      <c r="A6736" s="25" t="str">
        <f>IFERROR(__xludf.DUMMYFUNCTION("IF(B6736="""","""",RIGHT(REGEXREPLACE(B6736&amp;"""",""[^0-9]"",""""),9))"),"772322340")</f>
        <v>772322340</v>
      </c>
      <c r="B6736" s="52">
        <v>7.7232234E8</v>
      </c>
      <c r="C6736" s="28" t="s">
        <v>6992</v>
      </c>
      <c r="D6736" s="26" t="s">
        <v>56</v>
      </c>
      <c r="E6736" s="31">
        <v>46243.0</v>
      </c>
      <c r="F6736" s="26" t="s">
        <v>41</v>
      </c>
      <c r="I6736" s="26" t="s">
        <v>951</v>
      </c>
      <c r="J6736" s="25" t="str">
        <f t="shared" si="76"/>
        <v>No</v>
      </c>
      <c r="K6736" s="25" t="str">
        <f t="shared" si="77"/>
        <v/>
      </c>
      <c r="L6736" s="25" t="str">
        <f t="shared" si="78"/>
        <v/>
      </c>
      <c r="M6736" s="25"/>
      <c r="O6736" s="25"/>
    </row>
    <row r="6737" ht="15.75" customHeight="1">
      <c r="A6737" s="25" t="str">
        <f>IFERROR(__xludf.DUMMYFUNCTION("IF(B6737="""","""",RIGHT(REGEXREPLACE(B6737&amp;"""",""[^0-9]"",""""),9))"),"711338374")</f>
        <v>711338374</v>
      </c>
      <c r="B6737" s="52">
        <v>7.11338374E8</v>
      </c>
      <c r="C6737" s="28" t="s">
        <v>6993</v>
      </c>
      <c r="D6737" s="26" t="s">
        <v>82</v>
      </c>
      <c r="E6737" s="31">
        <v>46243.0</v>
      </c>
      <c r="F6737" s="26" t="s">
        <v>46</v>
      </c>
      <c r="G6737" s="26">
        <v>9.0</v>
      </c>
      <c r="I6737" s="26" t="s">
        <v>951</v>
      </c>
      <c r="J6737" s="25" t="str">
        <f t="shared" si="76"/>
        <v>No</v>
      </c>
      <c r="K6737" s="25" t="str">
        <f t="shared" si="77"/>
        <v/>
      </c>
      <c r="L6737" s="25" t="str">
        <f t="shared" si="78"/>
        <v/>
      </c>
      <c r="M6737" s="25"/>
      <c r="O6737" s="25"/>
    </row>
    <row r="6738" ht="15.75" customHeight="1">
      <c r="A6738" s="25" t="str">
        <f>IFERROR(__xludf.DUMMYFUNCTION("IF(B6738="""","""",RIGHT(REGEXREPLACE(B6738&amp;"""",""[^0-9]"",""""),9))"),"772099262")</f>
        <v>772099262</v>
      </c>
      <c r="B6738" s="52">
        <v>7.72099262E8</v>
      </c>
      <c r="C6738" s="28" t="s">
        <v>6994</v>
      </c>
      <c r="D6738" s="26" t="s">
        <v>64</v>
      </c>
      <c r="E6738" s="31">
        <v>46243.0</v>
      </c>
      <c r="F6738" s="26" t="s">
        <v>46</v>
      </c>
      <c r="G6738" s="26">
        <v>11.0</v>
      </c>
      <c r="I6738" s="26" t="s">
        <v>951</v>
      </c>
      <c r="J6738" s="25" t="str">
        <f t="shared" si="76"/>
        <v>No</v>
      </c>
      <c r="K6738" s="25" t="str">
        <f t="shared" si="77"/>
        <v/>
      </c>
      <c r="L6738" s="25" t="str">
        <f t="shared" si="78"/>
        <v/>
      </c>
      <c r="M6738" s="25"/>
      <c r="O6738" s="25"/>
    </row>
    <row r="6739" ht="15.75" customHeight="1">
      <c r="A6739" s="25" t="str">
        <f>IFERROR(__xludf.DUMMYFUNCTION("IF(B6739="""","""",RIGHT(REGEXREPLACE(B6739&amp;"""",""[^0-9]"",""""),9))"),"762480829")</f>
        <v>762480829</v>
      </c>
      <c r="B6739" s="52">
        <v>7.62480829E8</v>
      </c>
      <c r="C6739" s="28" t="s">
        <v>6995</v>
      </c>
      <c r="D6739" s="26" t="s">
        <v>56</v>
      </c>
      <c r="E6739" s="31">
        <v>46243.0</v>
      </c>
      <c r="F6739" s="26" t="s">
        <v>164</v>
      </c>
      <c r="I6739" s="26" t="s">
        <v>951</v>
      </c>
      <c r="J6739" s="25" t="str">
        <f t="shared" si="76"/>
        <v>No</v>
      </c>
      <c r="K6739" s="25" t="str">
        <f t="shared" si="77"/>
        <v/>
      </c>
      <c r="L6739" s="25" t="str">
        <f t="shared" si="78"/>
        <v/>
      </c>
      <c r="M6739" s="25"/>
      <c r="O6739" s="25"/>
    </row>
    <row r="6740" ht="15.75" customHeight="1">
      <c r="A6740" s="25" t="str">
        <f>IFERROR(__xludf.DUMMYFUNCTION("IF(B6740="""","""",RIGHT(REGEXREPLACE(B6740&amp;"""",""[^0-9]"",""""),9))"),"777427567")</f>
        <v>777427567</v>
      </c>
      <c r="B6740" s="52">
        <v>7.77427567E8</v>
      </c>
      <c r="C6740" s="28" t="s">
        <v>6996</v>
      </c>
      <c r="D6740" s="26" t="s">
        <v>56</v>
      </c>
      <c r="E6740" s="31">
        <v>46243.0</v>
      </c>
      <c r="F6740" s="26" t="s">
        <v>631</v>
      </c>
      <c r="G6740" s="26">
        <v>9.0</v>
      </c>
      <c r="I6740" s="26" t="s">
        <v>951</v>
      </c>
      <c r="J6740" s="25" t="str">
        <f t="shared" si="76"/>
        <v>No</v>
      </c>
      <c r="K6740" s="25" t="str">
        <f t="shared" si="77"/>
        <v/>
      </c>
      <c r="L6740" s="25" t="str">
        <f t="shared" si="78"/>
        <v/>
      </c>
      <c r="M6740" s="25"/>
      <c r="O6740" s="25"/>
    </row>
    <row r="6741" ht="15.75" customHeight="1">
      <c r="A6741" s="25" t="str">
        <f>IFERROR(__xludf.DUMMYFUNCTION("IF(B6741="""","""",RIGHT(REGEXREPLACE(B6741&amp;"""",""[^0-9]"",""""),9))"),"772749689")</f>
        <v>772749689</v>
      </c>
      <c r="B6741" s="52">
        <v>7.72749689E8</v>
      </c>
      <c r="C6741" s="28" t="s">
        <v>6997</v>
      </c>
      <c r="D6741" s="26" t="s">
        <v>49</v>
      </c>
      <c r="E6741" s="31">
        <v>46243.0</v>
      </c>
      <c r="F6741" s="26" t="s">
        <v>41</v>
      </c>
      <c r="I6741" s="26" t="s">
        <v>951</v>
      </c>
      <c r="J6741" s="25" t="str">
        <f t="shared" si="76"/>
        <v>No</v>
      </c>
      <c r="K6741" s="25" t="str">
        <f t="shared" si="77"/>
        <v/>
      </c>
      <c r="L6741" s="25" t="str">
        <f t="shared" si="78"/>
        <v/>
      </c>
      <c r="M6741" s="25"/>
      <c r="O6741" s="25"/>
    </row>
    <row r="6742" ht="15.75" customHeight="1">
      <c r="A6742" s="25" t="str">
        <f>IFERROR(__xludf.DUMMYFUNCTION("IF(B6742="""","""",RIGHT(REGEXREPLACE(B6742&amp;"""",""[^0-9]"",""""),9))"),"762234006")</f>
        <v>762234006</v>
      </c>
      <c r="B6742" s="52">
        <v>7.62234006E8</v>
      </c>
      <c r="C6742" s="28" t="s">
        <v>6998</v>
      </c>
      <c r="D6742" s="26" t="s">
        <v>64</v>
      </c>
      <c r="E6742" s="31">
        <v>46243.0</v>
      </c>
      <c r="F6742" s="26" t="s">
        <v>205</v>
      </c>
      <c r="G6742" s="26">
        <v>10.0</v>
      </c>
      <c r="I6742" s="26" t="s">
        <v>951</v>
      </c>
      <c r="J6742" s="25" t="str">
        <f t="shared" si="76"/>
        <v>No</v>
      </c>
      <c r="K6742" s="25" t="str">
        <f t="shared" si="77"/>
        <v/>
      </c>
      <c r="L6742" s="25" t="str">
        <f t="shared" si="78"/>
        <v/>
      </c>
      <c r="M6742" s="25"/>
      <c r="O6742" s="25"/>
    </row>
    <row r="6743" ht="15.75" customHeight="1">
      <c r="A6743" s="25" t="str">
        <f>IFERROR(__xludf.DUMMYFUNCTION("IF(B6743="""","""",RIGHT(REGEXREPLACE(B6743&amp;"""",""[^0-9]"",""""),9))"),"715237714")</f>
        <v>715237714</v>
      </c>
      <c r="B6743" s="52">
        <v>7.15237714E8</v>
      </c>
      <c r="C6743" s="28" t="s">
        <v>6999</v>
      </c>
      <c r="D6743" s="26" t="s">
        <v>82</v>
      </c>
      <c r="E6743" s="31">
        <v>46243.0</v>
      </c>
      <c r="F6743" s="26" t="s">
        <v>41</v>
      </c>
      <c r="I6743" s="26" t="s">
        <v>951</v>
      </c>
      <c r="J6743" s="25" t="str">
        <f t="shared" si="76"/>
        <v>No</v>
      </c>
      <c r="K6743" s="25" t="str">
        <f t="shared" si="77"/>
        <v/>
      </c>
      <c r="L6743" s="25" t="str">
        <f t="shared" si="78"/>
        <v/>
      </c>
      <c r="M6743" s="25"/>
      <c r="O6743" s="25"/>
    </row>
    <row r="6744" ht="15.75" customHeight="1">
      <c r="A6744" s="25" t="str">
        <f>IFERROR(__xludf.DUMMYFUNCTION("IF(B6744="""","""",RIGHT(REGEXREPLACE(B6744&amp;"""",""[^0-9]"",""""),9))"),"755002995")</f>
        <v>755002995</v>
      </c>
      <c r="B6744" s="52">
        <v>7.55002995E8</v>
      </c>
      <c r="C6744" s="28" t="s">
        <v>7000</v>
      </c>
      <c r="D6744" s="26" t="s">
        <v>49</v>
      </c>
      <c r="E6744" s="31">
        <v>46243.0</v>
      </c>
      <c r="F6744" s="26" t="s">
        <v>46</v>
      </c>
      <c r="G6744" s="26">
        <v>9.0</v>
      </c>
      <c r="I6744" s="26" t="s">
        <v>951</v>
      </c>
      <c r="J6744" s="25" t="str">
        <f t="shared" si="76"/>
        <v>No</v>
      </c>
      <c r="K6744" s="25" t="str">
        <f t="shared" si="77"/>
        <v/>
      </c>
      <c r="L6744" s="25" t="str">
        <f t="shared" si="78"/>
        <v/>
      </c>
      <c r="M6744" s="25"/>
      <c r="O6744" s="26" t="s">
        <v>51</v>
      </c>
    </row>
    <row r="6745" ht="15.75" customHeight="1">
      <c r="A6745" s="25" t="str">
        <f>IFERROR(__xludf.DUMMYFUNCTION("IF(B6745="""","""",RIGHT(REGEXREPLACE(B6745&amp;"""",""[^0-9]"",""""),9))"),"774500746")</f>
        <v>774500746</v>
      </c>
      <c r="B6745" s="52">
        <v>7.74500746E8</v>
      </c>
      <c r="C6745" s="28" t="s">
        <v>7001</v>
      </c>
      <c r="D6745" s="26" t="s">
        <v>56</v>
      </c>
      <c r="E6745" s="31">
        <v>46243.0</v>
      </c>
      <c r="F6745" s="25"/>
      <c r="G6745" s="26">
        <v>9.0</v>
      </c>
      <c r="H6745" s="25"/>
      <c r="I6745" s="26" t="s">
        <v>951</v>
      </c>
      <c r="J6745" s="25" t="str">
        <f t="shared" si="76"/>
        <v>No</v>
      </c>
      <c r="K6745" s="25" t="str">
        <f t="shared" si="77"/>
        <v/>
      </c>
      <c r="L6745" s="25" t="str">
        <f t="shared" si="78"/>
        <v/>
      </c>
      <c r="M6745" s="25"/>
      <c r="N6745" s="25"/>
      <c r="O6745" s="25"/>
      <c r="P6745" s="25"/>
    </row>
    <row r="6746" ht="15.75" customHeight="1">
      <c r="A6746" s="25" t="str">
        <f>IFERROR(__xludf.DUMMYFUNCTION("IF(B6746="""","""",RIGHT(REGEXREPLACE(B6746&amp;"""",""[^0-9]"",""""),9))"),"786939993")</f>
        <v>786939993</v>
      </c>
      <c r="B6746" s="52">
        <v>7.86939993E8</v>
      </c>
      <c r="C6746" s="28" t="s">
        <v>7002</v>
      </c>
      <c r="D6746" s="26" t="s">
        <v>82</v>
      </c>
      <c r="E6746" s="31">
        <v>46243.0</v>
      </c>
      <c r="F6746" s="26" t="s">
        <v>46</v>
      </c>
      <c r="G6746" s="26">
        <v>9.0</v>
      </c>
      <c r="I6746" s="26" t="s">
        <v>951</v>
      </c>
      <c r="J6746" s="25" t="str">
        <f t="shared" si="76"/>
        <v>No</v>
      </c>
      <c r="K6746" s="25" t="str">
        <f t="shared" si="77"/>
        <v/>
      </c>
      <c r="L6746" s="25" t="str">
        <f t="shared" si="78"/>
        <v/>
      </c>
      <c r="M6746" s="25"/>
      <c r="O6746" s="25"/>
    </row>
    <row r="6747" ht="15.75" customHeight="1">
      <c r="A6747" s="25" t="str">
        <f>IFERROR(__xludf.DUMMYFUNCTION("IF(B6747="""","""",RIGHT(REGEXREPLACE(B6747&amp;"""",""[^0-9]"",""""),9))"),"760568084")</f>
        <v>760568084</v>
      </c>
      <c r="B6747" s="52">
        <v>7.60568084E8</v>
      </c>
      <c r="C6747" s="28" t="s">
        <v>7003</v>
      </c>
      <c r="D6747" s="26" t="s">
        <v>64</v>
      </c>
      <c r="E6747" s="31">
        <v>46243.0</v>
      </c>
      <c r="F6747" s="26" t="s">
        <v>46</v>
      </c>
      <c r="G6747" s="26">
        <v>9.0</v>
      </c>
      <c r="I6747" s="26" t="s">
        <v>951</v>
      </c>
      <c r="J6747" s="25" t="str">
        <f t="shared" si="76"/>
        <v>No</v>
      </c>
      <c r="K6747" s="25" t="str">
        <f t="shared" si="77"/>
        <v/>
      </c>
      <c r="L6747" s="25" t="str">
        <f t="shared" si="78"/>
        <v/>
      </c>
      <c r="M6747" s="25"/>
      <c r="O6747" s="25"/>
    </row>
    <row r="6748" ht="15.75" customHeight="1">
      <c r="A6748" s="25" t="str">
        <f>IFERROR(__xludf.DUMMYFUNCTION("IF(B6748="""","""",RIGHT(REGEXREPLACE(B6748&amp;"""",""[^0-9]"",""""),9))"),"715176052")</f>
        <v>715176052</v>
      </c>
      <c r="B6748" s="26" t="s">
        <v>7004</v>
      </c>
      <c r="C6748" s="28" t="s">
        <v>7005</v>
      </c>
      <c r="D6748" s="26" t="s">
        <v>45</v>
      </c>
      <c r="E6748" s="31">
        <v>46243.0</v>
      </c>
      <c r="F6748" s="26" t="s">
        <v>205</v>
      </c>
      <c r="G6748" s="26">
        <v>7.0</v>
      </c>
      <c r="I6748" s="26" t="s">
        <v>951</v>
      </c>
      <c r="J6748" s="25" t="str">
        <f t="shared" si="76"/>
        <v>No</v>
      </c>
      <c r="K6748" s="25" t="str">
        <f t="shared" si="77"/>
        <v/>
      </c>
      <c r="L6748" s="25" t="str">
        <f t="shared" si="78"/>
        <v/>
      </c>
      <c r="M6748" s="25"/>
      <c r="O6748" s="26" t="s">
        <v>51</v>
      </c>
    </row>
    <row r="6749" ht="15.75" customHeight="1">
      <c r="A6749" s="25" t="str">
        <f>IFERROR(__xludf.DUMMYFUNCTION("IF(B6749="""","""",RIGHT(REGEXREPLACE(B6749&amp;"""",""[^0-9]"",""""),9))"),"713188845")</f>
        <v>713188845</v>
      </c>
      <c r="B6749" s="52">
        <v>7.13188845E8</v>
      </c>
      <c r="C6749" s="28" t="s">
        <v>7006</v>
      </c>
      <c r="D6749" s="26" t="s">
        <v>56</v>
      </c>
      <c r="E6749" s="31">
        <v>46243.0</v>
      </c>
      <c r="F6749" s="26" t="s">
        <v>46</v>
      </c>
      <c r="G6749" s="26">
        <v>11.0</v>
      </c>
      <c r="I6749" s="26" t="s">
        <v>951</v>
      </c>
      <c r="J6749" s="25" t="str">
        <f t="shared" si="76"/>
        <v>No</v>
      </c>
      <c r="K6749" s="25" t="str">
        <f t="shared" si="77"/>
        <v/>
      </c>
      <c r="L6749" s="25" t="str">
        <f t="shared" si="78"/>
        <v/>
      </c>
      <c r="M6749" s="25"/>
      <c r="O6749" s="25"/>
    </row>
    <row r="6750" ht="15.75" customHeight="1">
      <c r="A6750" s="25" t="str">
        <f>IFERROR(__xludf.DUMMYFUNCTION("IF(B6750="""","""",RIGHT(REGEXREPLACE(B6750&amp;"""",""[^0-9]"",""""),9))"),"763384942")</f>
        <v>763384942</v>
      </c>
      <c r="B6750" s="52">
        <v>7.63384942E8</v>
      </c>
      <c r="C6750" s="28" t="s">
        <v>7007</v>
      </c>
      <c r="D6750" s="26" t="s">
        <v>49</v>
      </c>
      <c r="E6750" s="31">
        <v>46243.0</v>
      </c>
      <c r="F6750" s="26" t="s">
        <v>46</v>
      </c>
      <c r="H6750" s="26" t="s">
        <v>483</v>
      </c>
      <c r="I6750" s="26" t="s">
        <v>951</v>
      </c>
      <c r="J6750" s="25" t="str">
        <f t="shared" si="76"/>
        <v>No</v>
      </c>
      <c r="K6750" s="25" t="str">
        <f t="shared" si="77"/>
        <v/>
      </c>
      <c r="L6750" s="25" t="str">
        <f t="shared" si="78"/>
        <v/>
      </c>
      <c r="M6750" s="25"/>
      <c r="O6750" s="25"/>
    </row>
    <row r="6751" ht="15.75" customHeight="1">
      <c r="A6751" s="25" t="str">
        <f>IFERROR(__xludf.DUMMYFUNCTION("IF(B6751="""","""",RIGHT(REGEXREPLACE(B6751&amp;"""",""[^0-9]"",""""),9))"),"762601248")</f>
        <v>762601248</v>
      </c>
      <c r="B6751" s="52">
        <v>7.62601248E8</v>
      </c>
      <c r="C6751" s="28" t="s">
        <v>7008</v>
      </c>
      <c r="D6751" s="26" t="s">
        <v>82</v>
      </c>
      <c r="E6751" s="31">
        <v>46243.0</v>
      </c>
      <c r="F6751" s="26" t="s">
        <v>46</v>
      </c>
      <c r="G6751" s="26">
        <v>11.0</v>
      </c>
      <c r="I6751" s="26" t="s">
        <v>951</v>
      </c>
      <c r="J6751" s="25" t="str">
        <f t="shared" si="76"/>
        <v>No</v>
      </c>
      <c r="K6751" s="25" t="str">
        <f t="shared" si="77"/>
        <v/>
      </c>
      <c r="L6751" s="25" t="str">
        <f t="shared" si="78"/>
        <v/>
      </c>
      <c r="M6751" s="25"/>
      <c r="O6751" s="25"/>
    </row>
    <row r="6752" ht="15.75" customHeight="1">
      <c r="A6752" s="25" t="str">
        <f>IFERROR(__xludf.DUMMYFUNCTION("IF(B6752="""","""",RIGHT(REGEXREPLACE(B6752&amp;"""",""[^0-9]"",""""),9))"),"772907798")</f>
        <v>772907798</v>
      </c>
      <c r="B6752" s="26" t="s">
        <v>7009</v>
      </c>
      <c r="C6752" s="28" t="s">
        <v>7010</v>
      </c>
      <c r="D6752" s="26" t="s">
        <v>45</v>
      </c>
      <c r="E6752" s="31">
        <v>46243.0</v>
      </c>
      <c r="F6752" s="26" t="s">
        <v>41</v>
      </c>
      <c r="G6752" s="26">
        <v>8.0</v>
      </c>
      <c r="I6752" s="26" t="s">
        <v>951</v>
      </c>
      <c r="J6752" s="25" t="str">
        <f t="shared" si="76"/>
        <v>No</v>
      </c>
      <c r="K6752" s="25" t="str">
        <f t="shared" si="77"/>
        <v/>
      </c>
      <c r="L6752" s="25" t="str">
        <f t="shared" si="78"/>
        <v/>
      </c>
      <c r="M6752" s="25"/>
      <c r="O6752" s="26" t="s">
        <v>51</v>
      </c>
    </row>
    <row r="6753" ht="15.75" customHeight="1">
      <c r="A6753" s="25" t="str">
        <f>IFERROR(__xludf.DUMMYFUNCTION("IF(B6753="""","""",RIGHT(REGEXREPLACE(B6753&amp;"""",""[^0-9]"",""""),9))"),"704894844")</f>
        <v>704894844</v>
      </c>
      <c r="B6753" s="52">
        <v>7.04894844E8</v>
      </c>
      <c r="C6753" s="28" t="s">
        <v>7011</v>
      </c>
      <c r="D6753" s="26" t="s">
        <v>64</v>
      </c>
      <c r="E6753" s="31">
        <v>46243.0</v>
      </c>
      <c r="F6753" s="26" t="s">
        <v>46</v>
      </c>
      <c r="G6753" s="26">
        <v>9.0</v>
      </c>
      <c r="I6753" s="26" t="s">
        <v>951</v>
      </c>
      <c r="J6753" s="25" t="str">
        <f t="shared" si="76"/>
        <v>No</v>
      </c>
      <c r="K6753" s="25" t="str">
        <f t="shared" si="77"/>
        <v/>
      </c>
      <c r="L6753" s="25" t="str">
        <f t="shared" si="78"/>
        <v/>
      </c>
      <c r="M6753" s="25"/>
      <c r="O6753" s="25"/>
    </row>
    <row r="6754" ht="15.75" customHeight="1">
      <c r="A6754" s="25" t="str">
        <f>IFERROR(__xludf.DUMMYFUNCTION("IF(B6754="""","""",RIGHT(REGEXREPLACE(B6754&amp;"""",""[^0-9]"",""""),9))"),"763515498")</f>
        <v>763515498</v>
      </c>
      <c r="B6754" s="52">
        <v>7.63515498E8</v>
      </c>
      <c r="C6754" s="28" t="s">
        <v>7012</v>
      </c>
      <c r="D6754" s="26" t="s">
        <v>56</v>
      </c>
      <c r="E6754" s="31">
        <v>46243.0</v>
      </c>
      <c r="F6754" s="26" t="s">
        <v>41</v>
      </c>
      <c r="I6754" s="26" t="s">
        <v>951</v>
      </c>
      <c r="J6754" s="25" t="str">
        <f t="shared" si="76"/>
        <v>No</v>
      </c>
      <c r="K6754" s="25" t="str">
        <f t="shared" si="77"/>
        <v/>
      </c>
      <c r="L6754" s="25" t="str">
        <f t="shared" si="78"/>
        <v/>
      </c>
      <c r="M6754" s="25"/>
      <c r="O6754" s="25"/>
    </row>
    <row r="6755" ht="15.75" customHeight="1">
      <c r="A6755" s="25" t="str">
        <f>IFERROR(__xludf.DUMMYFUNCTION("IF(B6755="""","""",RIGHT(REGEXREPLACE(B6755&amp;"""",""[^0-9]"",""""),9))"),"776987050")</f>
        <v>776987050</v>
      </c>
      <c r="B6755" s="52">
        <v>7.7698705E8</v>
      </c>
      <c r="C6755" s="28" t="s">
        <v>7013</v>
      </c>
      <c r="D6755" s="26" t="s">
        <v>49</v>
      </c>
      <c r="E6755" s="31">
        <v>46243.0</v>
      </c>
      <c r="F6755" s="26" t="s">
        <v>41</v>
      </c>
      <c r="I6755" s="26" t="s">
        <v>951</v>
      </c>
      <c r="J6755" s="25" t="str">
        <f t="shared" si="76"/>
        <v>No</v>
      </c>
      <c r="K6755" s="25" t="str">
        <f t="shared" si="77"/>
        <v/>
      </c>
      <c r="L6755" s="25" t="str">
        <f t="shared" si="78"/>
        <v/>
      </c>
      <c r="M6755" s="25"/>
      <c r="O6755" s="25"/>
    </row>
    <row r="6756" ht="15.75" customHeight="1">
      <c r="A6756" s="25" t="str">
        <f>IFERROR(__xludf.DUMMYFUNCTION("IF(B6756="""","""",RIGHT(REGEXREPLACE(B6756&amp;"""",""[^0-9]"",""""),9))"),"707131251")</f>
        <v>707131251</v>
      </c>
      <c r="B6756" s="26" t="s">
        <v>7014</v>
      </c>
      <c r="C6756" s="28" t="s">
        <v>7015</v>
      </c>
      <c r="D6756" s="26" t="s">
        <v>45</v>
      </c>
      <c r="E6756" s="31">
        <v>46243.0</v>
      </c>
      <c r="F6756" s="26" t="s">
        <v>46</v>
      </c>
      <c r="G6756" s="26">
        <v>8.0</v>
      </c>
      <c r="I6756" s="26" t="s">
        <v>951</v>
      </c>
      <c r="J6756" s="25" t="str">
        <f t="shared" si="76"/>
        <v>No</v>
      </c>
      <c r="K6756" s="25" t="str">
        <f t="shared" si="77"/>
        <v/>
      </c>
      <c r="L6756" s="25" t="str">
        <f t="shared" si="78"/>
        <v/>
      </c>
      <c r="M6756" s="25"/>
      <c r="O6756" s="25"/>
    </row>
    <row r="6757" ht="15.75" customHeight="1">
      <c r="A6757" s="25" t="str">
        <f>IFERROR(__xludf.DUMMYFUNCTION("IF(B6757="""","""",RIGHT(REGEXREPLACE(B6757&amp;"""",""[^0-9]"",""""),9))"),"761867562")</f>
        <v>761867562</v>
      </c>
      <c r="B6757" s="52">
        <v>7.61867562E8</v>
      </c>
      <c r="C6757" s="28" t="s">
        <v>7016</v>
      </c>
      <c r="D6757" s="26" t="s">
        <v>82</v>
      </c>
      <c r="E6757" s="31">
        <v>46243.0</v>
      </c>
      <c r="F6757" s="26" t="s">
        <v>46</v>
      </c>
      <c r="G6757" s="26">
        <v>9.0</v>
      </c>
      <c r="I6757" s="26" t="s">
        <v>951</v>
      </c>
      <c r="J6757" s="25" t="str">
        <f t="shared" si="76"/>
        <v>No</v>
      </c>
      <c r="K6757" s="25" t="str">
        <f t="shared" si="77"/>
        <v/>
      </c>
      <c r="L6757" s="25" t="str">
        <f t="shared" si="78"/>
        <v/>
      </c>
      <c r="M6757" s="25"/>
      <c r="O6757" s="25"/>
    </row>
    <row r="6758" ht="15.75" customHeight="1">
      <c r="A6758" s="25" t="str">
        <f>IFERROR(__xludf.DUMMYFUNCTION("IF(B6758="""","""",RIGHT(REGEXREPLACE(B6758&amp;"""",""[^0-9]"",""""),9))"),"788881013")</f>
        <v>788881013</v>
      </c>
      <c r="B6758" s="52">
        <v>7.88881013E8</v>
      </c>
      <c r="C6758" s="28" t="s">
        <v>7017</v>
      </c>
      <c r="D6758" s="26" t="s">
        <v>56</v>
      </c>
      <c r="E6758" s="31">
        <v>46243.0</v>
      </c>
      <c r="F6758" s="26" t="s">
        <v>46</v>
      </c>
      <c r="G6758" s="26">
        <v>9.0</v>
      </c>
      <c r="I6758" s="26" t="s">
        <v>951</v>
      </c>
      <c r="J6758" s="25" t="str">
        <f t="shared" si="76"/>
        <v>No</v>
      </c>
      <c r="K6758" s="25" t="str">
        <f t="shared" si="77"/>
        <v/>
      </c>
      <c r="L6758" s="25" t="str">
        <f t="shared" si="78"/>
        <v/>
      </c>
      <c r="M6758" s="25"/>
      <c r="O6758" s="25"/>
    </row>
    <row r="6759" ht="15.75" customHeight="1">
      <c r="A6759" s="25" t="str">
        <f>IFERROR(__xludf.DUMMYFUNCTION("IF(B6759="""","""",RIGHT(REGEXREPLACE(B6759&amp;"""",""[^0-9]"",""""),9))"),"784618439")</f>
        <v>784618439</v>
      </c>
      <c r="B6759" s="52">
        <v>7.84618439E8</v>
      </c>
      <c r="C6759" s="28" t="s">
        <v>7018</v>
      </c>
      <c r="D6759" s="26" t="s">
        <v>49</v>
      </c>
      <c r="E6759" s="31">
        <v>46243.0</v>
      </c>
      <c r="F6759" s="26" t="s">
        <v>205</v>
      </c>
      <c r="I6759" s="26" t="s">
        <v>951</v>
      </c>
      <c r="J6759" s="25" t="str">
        <f t="shared" si="76"/>
        <v>No</v>
      </c>
      <c r="K6759" s="25" t="str">
        <f t="shared" si="77"/>
        <v/>
      </c>
      <c r="L6759" s="25" t="str">
        <f t="shared" si="78"/>
        <v/>
      </c>
      <c r="M6759" s="25"/>
      <c r="O6759" s="25"/>
    </row>
    <row r="6760" ht="15.75" customHeight="1">
      <c r="A6760" s="25" t="str">
        <f>IFERROR(__xludf.DUMMYFUNCTION("IF(B6760="""","""",RIGHT(REGEXREPLACE(B6760&amp;"""",""[^0-9]"",""""),9))"),"768468330")</f>
        <v>768468330</v>
      </c>
      <c r="B6760" s="52">
        <v>7.6846833E8</v>
      </c>
      <c r="C6760" s="28" t="s">
        <v>7019</v>
      </c>
      <c r="D6760" s="26" t="s">
        <v>64</v>
      </c>
      <c r="E6760" s="31">
        <v>46243.0</v>
      </c>
      <c r="F6760" s="26" t="s">
        <v>46</v>
      </c>
      <c r="G6760" s="26">
        <v>9.0</v>
      </c>
      <c r="I6760" s="26" t="s">
        <v>951</v>
      </c>
      <c r="J6760" s="25" t="str">
        <f t="shared" si="76"/>
        <v>No</v>
      </c>
      <c r="K6760" s="25" t="str">
        <f t="shared" si="77"/>
        <v/>
      </c>
      <c r="L6760" s="25" t="str">
        <f t="shared" si="78"/>
        <v/>
      </c>
      <c r="M6760" s="25"/>
      <c r="O6760" s="25"/>
    </row>
    <row r="6761" ht="15.75" customHeight="1">
      <c r="A6761" s="25" t="str">
        <f>IFERROR(__xludf.DUMMYFUNCTION("IF(B6761="""","""",RIGHT(REGEXREPLACE(B6761&amp;"""",""[^0-9]"",""""),9))"),"765657980")</f>
        <v>765657980</v>
      </c>
      <c r="B6761" s="52">
        <v>7.6565798E8</v>
      </c>
      <c r="C6761" s="28" t="s">
        <v>7020</v>
      </c>
      <c r="D6761" s="26" t="s">
        <v>82</v>
      </c>
      <c r="E6761" s="31">
        <v>46243.0</v>
      </c>
      <c r="F6761" s="26" t="s">
        <v>46</v>
      </c>
      <c r="G6761" s="26">
        <v>9.0</v>
      </c>
      <c r="I6761" s="26" t="s">
        <v>951</v>
      </c>
      <c r="J6761" s="25" t="str">
        <f t="shared" si="76"/>
        <v>No</v>
      </c>
      <c r="K6761" s="25" t="str">
        <f t="shared" si="77"/>
        <v/>
      </c>
      <c r="L6761" s="25" t="str">
        <f t="shared" si="78"/>
        <v/>
      </c>
      <c r="M6761" s="25"/>
      <c r="O6761" s="25"/>
    </row>
    <row r="6762" ht="15.75" customHeight="1">
      <c r="A6762" s="25" t="str">
        <f>IFERROR(__xludf.DUMMYFUNCTION("IF(B6762="""","""",RIGHT(REGEXREPLACE(B6762&amp;"""",""[^0-9]"",""""),9))"),"758428287")</f>
        <v>758428287</v>
      </c>
      <c r="B6762" s="26" t="s">
        <v>7021</v>
      </c>
      <c r="C6762" s="28" t="s">
        <v>7022</v>
      </c>
      <c r="D6762" s="26" t="s">
        <v>45</v>
      </c>
      <c r="E6762" s="31">
        <v>46243.0</v>
      </c>
      <c r="F6762" s="26" t="s">
        <v>46</v>
      </c>
      <c r="G6762" s="26">
        <v>11.0</v>
      </c>
      <c r="I6762" s="26" t="s">
        <v>951</v>
      </c>
      <c r="J6762" s="25" t="str">
        <f t="shared" si="76"/>
        <v>No</v>
      </c>
      <c r="K6762" s="25" t="str">
        <f t="shared" si="77"/>
        <v/>
      </c>
      <c r="L6762" s="25" t="str">
        <f t="shared" si="78"/>
        <v/>
      </c>
      <c r="M6762" s="25"/>
      <c r="O6762" s="25"/>
    </row>
    <row r="6763" ht="15.75" customHeight="1">
      <c r="A6763" s="25" t="str">
        <f>IFERROR(__xludf.DUMMYFUNCTION("IF(B6763="""","""",RIGHT(REGEXREPLACE(B6763&amp;"""",""[^0-9]"",""""),9))"),"764717192")</f>
        <v>764717192</v>
      </c>
      <c r="B6763" s="52">
        <v>7.64717192E8</v>
      </c>
      <c r="C6763" s="28" t="s">
        <v>5989</v>
      </c>
      <c r="D6763" s="26" t="s">
        <v>64</v>
      </c>
      <c r="E6763" s="31">
        <v>46243.0</v>
      </c>
      <c r="F6763" s="26" t="s">
        <v>46</v>
      </c>
      <c r="G6763" s="26">
        <v>11.0</v>
      </c>
      <c r="I6763" s="26" t="s">
        <v>951</v>
      </c>
      <c r="J6763" s="25" t="str">
        <f t="shared" si="76"/>
        <v>Yes - see Previous F-Code</v>
      </c>
      <c r="K6763" s="25" t="str">
        <f t="shared" si="77"/>
        <v/>
      </c>
      <c r="L6763" s="25" t="str">
        <f t="shared" si="78"/>
        <v>F75407</v>
      </c>
      <c r="M6763" s="25"/>
      <c r="O6763" s="25"/>
    </row>
    <row r="6764" ht="15.75" customHeight="1">
      <c r="A6764" s="25" t="str">
        <f>IFERROR(__xludf.DUMMYFUNCTION("IF(B6764="""","""",RIGHT(REGEXREPLACE(B6764&amp;"""",""[^0-9]"",""""),9))"),"715960693")</f>
        <v>715960693</v>
      </c>
      <c r="B6764" s="52">
        <v>7.15960693E8</v>
      </c>
      <c r="C6764" s="28" t="s">
        <v>7023</v>
      </c>
      <c r="D6764" s="26" t="s">
        <v>56</v>
      </c>
      <c r="E6764" s="31">
        <v>46243.0</v>
      </c>
      <c r="F6764" s="26" t="s">
        <v>46</v>
      </c>
      <c r="G6764" s="26" t="s">
        <v>5091</v>
      </c>
      <c r="I6764" s="26" t="s">
        <v>951</v>
      </c>
      <c r="J6764" s="25" t="str">
        <f t="shared" si="76"/>
        <v>No</v>
      </c>
      <c r="K6764" s="25" t="str">
        <f t="shared" si="77"/>
        <v/>
      </c>
      <c r="L6764" s="25" t="str">
        <f t="shared" si="78"/>
        <v/>
      </c>
      <c r="M6764" s="25"/>
      <c r="O6764" s="25"/>
    </row>
    <row r="6765" ht="15.75" customHeight="1">
      <c r="A6765" s="25" t="str">
        <f>IFERROR(__xludf.DUMMYFUNCTION("IF(B6765="""","""",RIGHT(REGEXREPLACE(B6765&amp;"""",""[^0-9]"",""""),9))"),"763465190")</f>
        <v>763465190</v>
      </c>
      <c r="B6765" s="26" t="s">
        <v>7024</v>
      </c>
      <c r="C6765" s="28" t="s">
        <v>7025</v>
      </c>
      <c r="D6765" s="26" t="s">
        <v>45</v>
      </c>
      <c r="E6765" s="31">
        <v>46243.0</v>
      </c>
      <c r="F6765" s="26" t="s">
        <v>46</v>
      </c>
      <c r="G6765" s="26">
        <v>10.0</v>
      </c>
      <c r="I6765" s="26" t="s">
        <v>951</v>
      </c>
      <c r="J6765" s="25" t="str">
        <f t="shared" si="76"/>
        <v>No</v>
      </c>
      <c r="K6765" s="25" t="str">
        <f t="shared" si="77"/>
        <v/>
      </c>
      <c r="L6765" s="25" t="str">
        <f t="shared" si="78"/>
        <v/>
      </c>
      <c r="M6765" s="25"/>
      <c r="O6765" s="25"/>
    </row>
    <row r="6766" ht="15.75" customHeight="1">
      <c r="A6766" s="25" t="str">
        <f>IFERROR(__xludf.DUMMYFUNCTION("IF(B6766="""","""",RIGHT(REGEXREPLACE(B6766&amp;"""",""[^0-9]"",""""),9))"),"703415194")</f>
        <v>703415194</v>
      </c>
      <c r="B6766" s="52">
        <v>7.03415194E8</v>
      </c>
      <c r="C6766" s="28" t="s">
        <v>7026</v>
      </c>
      <c r="D6766" s="26" t="s">
        <v>82</v>
      </c>
      <c r="E6766" s="31">
        <v>46243.0</v>
      </c>
      <c r="F6766" s="26" t="s">
        <v>46</v>
      </c>
      <c r="G6766" s="26">
        <v>9.0</v>
      </c>
      <c r="I6766" s="26" t="s">
        <v>951</v>
      </c>
      <c r="J6766" s="25" t="str">
        <f t="shared" si="76"/>
        <v>No</v>
      </c>
      <c r="K6766" s="25" t="str">
        <f t="shared" si="77"/>
        <v/>
      </c>
      <c r="L6766" s="25" t="str">
        <f t="shared" si="78"/>
        <v/>
      </c>
      <c r="M6766" s="25"/>
      <c r="O6766" s="25"/>
    </row>
    <row r="6767" ht="15.75" customHeight="1">
      <c r="A6767" s="25" t="str">
        <f>IFERROR(__xludf.DUMMYFUNCTION("IF(B6767="""","""",RIGHT(REGEXREPLACE(B6767&amp;"""",""[^0-9]"",""""),9))"),"768978537")</f>
        <v>768978537</v>
      </c>
      <c r="B6767" s="52">
        <v>7.68978537E8</v>
      </c>
      <c r="C6767" s="28" t="s">
        <v>493</v>
      </c>
      <c r="D6767" s="26" t="s">
        <v>56</v>
      </c>
      <c r="E6767" s="31">
        <v>46243.0</v>
      </c>
      <c r="F6767" s="26" t="s">
        <v>46</v>
      </c>
      <c r="G6767" s="26">
        <v>11.0</v>
      </c>
      <c r="I6767" s="26" t="s">
        <v>951</v>
      </c>
      <c r="J6767" s="25" t="str">
        <f t="shared" si="76"/>
        <v>Yes - see Previous F-Code</v>
      </c>
      <c r="K6767" s="25" t="str">
        <f t="shared" si="77"/>
        <v/>
      </c>
      <c r="L6767" s="25" t="str">
        <f t="shared" si="78"/>
        <v>F43188</v>
      </c>
      <c r="M6767" s="25"/>
      <c r="O6767" s="25"/>
    </row>
    <row r="6768" ht="15.75" customHeight="1">
      <c r="A6768" s="25" t="str">
        <f>IFERROR(__xludf.DUMMYFUNCTION("IF(B6768="""","""",RIGHT(REGEXREPLACE(B6768&amp;"""",""[^0-9]"",""""),9))"),"769664160")</f>
        <v>769664160</v>
      </c>
      <c r="B6768" s="52">
        <v>7.6966416E8</v>
      </c>
      <c r="C6768" s="28" t="s">
        <v>7027</v>
      </c>
      <c r="D6768" s="26" t="s">
        <v>82</v>
      </c>
      <c r="E6768" s="31">
        <v>46243.0</v>
      </c>
      <c r="F6768" s="26" t="s">
        <v>46</v>
      </c>
      <c r="G6768" s="26">
        <v>9.0</v>
      </c>
      <c r="I6768" s="26" t="s">
        <v>951</v>
      </c>
      <c r="J6768" s="25" t="str">
        <f t="shared" si="76"/>
        <v>No</v>
      </c>
      <c r="K6768" s="25" t="str">
        <f t="shared" si="77"/>
        <v/>
      </c>
      <c r="L6768" s="25" t="str">
        <f t="shared" si="78"/>
        <v/>
      </c>
      <c r="M6768" s="25"/>
      <c r="O6768" s="25"/>
    </row>
    <row r="6769" ht="15.75" customHeight="1">
      <c r="A6769" s="25" t="str">
        <f>IFERROR(__xludf.DUMMYFUNCTION("IF(B6769="""","""",RIGHT(REGEXREPLACE(B6769&amp;"""",""[^0-9]"",""""),9))"),"778198910")</f>
        <v>778198910</v>
      </c>
      <c r="B6769" s="52">
        <v>7.7819891E8</v>
      </c>
      <c r="C6769" s="28" t="s">
        <v>7028</v>
      </c>
      <c r="D6769" s="26" t="s">
        <v>64</v>
      </c>
      <c r="E6769" s="31">
        <v>46243.0</v>
      </c>
      <c r="F6769" s="26" t="s">
        <v>46</v>
      </c>
      <c r="G6769" s="26">
        <v>10.0</v>
      </c>
      <c r="I6769" s="26" t="s">
        <v>951</v>
      </c>
      <c r="J6769" s="25" t="str">
        <f t="shared" si="76"/>
        <v>No</v>
      </c>
      <c r="K6769" s="25" t="str">
        <f t="shared" si="77"/>
        <v/>
      </c>
      <c r="L6769" s="25" t="str">
        <f t="shared" si="78"/>
        <v/>
      </c>
      <c r="M6769" s="25"/>
      <c r="O6769" s="25"/>
    </row>
    <row r="6770" ht="15.75" customHeight="1">
      <c r="A6770" s="25" t="str">
        <f>IFERROR(__xludf.DUMMYFUNCTION("IF(B6770="""","""",RIGHT(REGEXREPLACE(B6770&amp;"""",""[^0-9]"",""""),9))"),"766198052")</f>
        <v>766198052</v>
      </c>
      <c r="B6770" s="52">
        <v>7.66198052E8</v>
      </c>
      <c r="C6770" s="28" t="s">
        <v>7029</v>
      </c>
      <c r="D6770" s="26" t="s">
        <v>45</v>
      </c>
      <c r="E6770" s="31">
        <v>46243.0</v>
      </c>
      <c r="F6770" s="26" t="s">
        <v>46</v>
      </c>
      <c r="G6770" s="26">
        <v>9.0</v>
      </c>
      <c r="I6770" s="26" t="s">
        <v>951</v>
      </c>
      <c r="J6770" s="25" t="str">
        <f t="shared" si="76"/>
        <v>No</v>
      </c>
      <c r="K6770" s="25" t="str">
        <f t="shared" si="77"/>
        <v/>
      </c>
      <c r="L6770" s="25" t="str">
        <f t="shared" si="78"/>
        <v/>
      </c>
      <c r="M6770" s="25"/>
      <c r="O6770" s="25"/>
    </row>
    <row r="6771" ht="15.75" customHeight="1">
      <c r="A6771" s="25" t="str">
        <f>IFERROR(__xludf.DUMMYFUNCTION("IF(B6771="""","""",RIGHT(REGEXREPLACE(B6771&amp;"""",""[^0-9]"",""""),9))"),"705838071")</f>
        <v>705838071</v>
      </c>
      <c r="B6771" s="52">
        <v>7.05838071E8</v>
      </c>
      <c r="C6771" s="28" t="s">
        <v>7030</v>
      </c>
      <c r="D6771" s="26" t="s">
        <v>82</v>
      </c>
      <c r="E6771" s="31">
        <v>46243.0</v>
      </c>
      <c r="F6771" s="26" t="s">
        <v>41</v>
      </c>
      <c r="I6771" s="26" t="s">
        <v>951</v>
      </c>
      <c r="J6771" s="25" t="str">
        <f t="shared" si="76"/>
        <v>No</v>
      </c>
      <c r="K6771" s="25" t="str">
        <f t="shared" si="77"/>
        <v/>
      </c>
      <c r="L6771" s="25" t="str">
        <f t="shared" si="78"/>
        <v/>
      </c>
      <c r="M6771" s="25"/>
      <c r="O6771" s="25"/>
    </row>
    <row r="6772" ht="15.75" customHeight="1">
      <c r="A6772" s="25" t="str">
        <f>IFERROR(__xludf.DUMMYFUNCTION("IF(B6772="""","""",RIGHT(REGEXREPLACE(B6772&amp;"""",""[^0-9]"",""""),9))"),"711000190")</f>
        <v>711000190</v>
      </c>
      <c r="B6772" s="52">
        <v>7.1100019E8</v>
      </c>
      <c r="C6772" s="28" t="s">
        <v>7031</v>
      </c>
      <c r="D6772" s="26" t="s">
        <v>56</v>
      </c>
      <c r="E6772" s="31">
        <v>46243.0</v>
      </c>
      <c r="F6772" s="26" t="s">
        <v>659</v>
      </c>
      <c r="I6772" s="26" t="s">
        <v>951</v>
      </c>
      <c r="J6772" s="25" t="str">
        <f t="shared" si="76"/>
        <v>No</v>
      </c>
      <c r="K6772" s="25" t="str">
        <f t="shared" si="77"/>
        <v/>
      </c>
      <c r="L6772" s="25" t="str">
        <f t="shared" si="78"/>
        <v/>
      </c>
      <c r="M6772" s="25"/>
      <c r="O6772" s="25"/>
    </row>
    <row r="6773" ht="15.75" customHeight="1">
      <c r="A6773" s="25" t="str">
        <f>IFERROR(__xludf.DUMMYFUNCTION("IF(B6773="""","""",RIGHT(REGEXREPLACE(B6773&amp;"""",""[^0-9]"",""""),9))"),"773837227")</f>
        <v>773837227</v>
      </c>
      <c r="B6773" s="52">
        <v>7.73837227E8</v>
      </c>
      <c r="C6773" s="28" t="s">
        <v>7032</v>
      </c>
      <c r="D6773" s="26" t="s">
        <v>49</v>
      </c>
      <c r="E6773" s="31">
        <v>46243.0</v>
      </c>
      <c r="F6773" s="26" t="s">
        <v>46</v>
      </c>
      <c r="G6773" s="26" t="s">
        <v>7033</v>
      </c>
      <c r="H6773" s="26" t="s">
        <v>5896</v>
      </c>
      <c r="I6773" s="26" t="s">
        <v>951</v>
      </c>
      <c r="J6773" s="25" t="str">
        <f t="shared" si="76"/>
        <v>No</v>
      </c>
      <c r="K6773" s="25" t="str">
        <f t="shared" si="77"/>
        <v/>
      </c>
      <c r="L6773" s="25" t="str">
        <f t="shared" si="78"/>
        <v/>
      </c>
      <c r="M6773" s="25"/>
      <c r="O6773" s="25"/>
    </row>
    <row r="6774" ht="15.75" customHeight="1">
      <c r="A6774" s="25" t="str">
        <f>IFERROR(__xludf.DUMMYFUNCTION("IF(B6774="""","""",RIGHT(REGEXREPLACE(B6774&amp;"""",""[^0-9]"",""""),9))"),"767749616")</f>
        <v>767749616</v>
      </c>
      <c r="B6774" s="52">
        <v>7.67749616E8</v>
      </c>
      <c r="C6774" s="28" t="s">
        <v>7034</v>
      </c>
      <c r="D6774" s="26" t="s">
        <v>56</v>
      </c>
      <c r="E6774" s="31">
        <v>46243.0</v>
      </c>
      <c r="F6774" s="26" t="s">
        <v>631</v>
      </c>
      <c r="G6774" s="26">
        <v>9.0</v>
      </c>
      <c r="I6774" s="26" t="s">
        <v>951</v>
      </c>
      <c r="J6774" s="25" t="str">
        <f t="shared" si="76"/>
        <v>No</v>
      </c>
      <c r="K6774" s="25" t="str">
        <f t="shared" si="77"/>
        <v/>
      </c>
      <c r="L6774" s="25" t="str">
        <f t="shared" si="78"/>
        <v/>
      </c>
      <c r="M6774" s="25"/>
      <c r="O6774" s="25"/>
    </row>
    <row r="6775" ht="15.75" customHeight="1">
      <c r="A6775" s="25" t="str">
        <f>IFERROR(__xludf.DUMMYFUNCTION("IF(B6775="""","""",RIGHT(REGEXREPLACE(B6775&amp;"""",""[^0-9]"",""""),9))"),"779081312")</f>
        <v>779081312</v>
      </c>
      <c r="B6775" s="52">
        <v>7.79081312E8</v>
      </c>
      <c r="C6775" s="28" t="s">
        <v>7035</v>
      </c>
      <c r="D6775" s="26" t="s">
        <v>82</v>
      </c>
      <c r="E6775" s="31">
        <v>46243.0</v>
      </c>
      <c r="F6775" s="26" t="s">
        <v>41</v>
      </c>
      <c r="G6775" s="26">
        <v>9.0</v>
      </c>
      <c r="I6775" s="26" t="s">
        <v>951</v>
      </c>
      <c r="J6775" s="25" t="str">
        <f t="shared" si="76"/>
        <v>No</v>
      </c>
      <c r="K6775" s="25" t="str">
        <f t="shared" si="77"/>
        <v/>
      </c>
      <c r="L6775" s="25" t="str">
        <f t="shared" si="78"/>
        <v/>
      </c>
      <c r="M6775" s="25"/>
      <c r="O6775" s="25"/>
    </row>
    <row r="6776" ht="15.75" customHeight="1">
      <c r="A6776" s="25" t="str">
        <f>IFERROR(__xludf.DUMMYFUNCTION("IF(B6776="""","""",RIGHT(REGEXREPLACE(B6776&amp;"""",""[^0-9]"",""""),9))"),"763703915")</f>
        <v>763703915</v>
      </c>
      <c r="B6776" s="52">
        <v>7.63703915E8</v>
      </c>
      <c r="C6776" s="28" t="s">
        <v>7036</v>
      </c>
      <c r="D6776" s="26" t="s">
        <v>45</v>
      </c>
      <c r="E6776" s="31">
        <v>46243.0</v>
      </c>
      <c r="F6776" s="26" t="s">
        <v>46</v>
      </c>
      <c r="G6776" s="26">
        <v>9.0</v>
      </c>
      <c r="I6776" s="26" t="s">
        <v>951</v>
      </c>
      <c r="J6776" s="25" t="str">
        <f t="shared" si="76"/>
        <v>No</v>
      </c>
      <c r="K6776" s="25" t="str">
        <f t="shared" si="77"/>
        <v/>
      </c>
      <c r="L6776" s="25" t="str">
        <f t="shared" si="78"/>
        <v/>
      </c>
      <c r="M6776" s="25"/>
      <c r="O6776" s="25"/>
    </row>
    <row r="6777" ht="15.75" customHeight="1">
      <c r="A6777" s="25" t="str">
        <f>IFERROR(__xludf.DUMMYFUNCTION("IF(B6777="""","""",RIGHT(REGEXREPLACE(B6777&amp;"""",""[^0-9]"",""""),9))"),"764314460")</f>
        <v>764314460</v>
      </c>
      <c r="B6777" s="52">
        <v>7.6431446E8</v>
      </c>
      <c r="C6777" s="28" t="s">
        <v>3703</v>
      </c>
      <c r="D6777" s="26" t="s">
        <v>64</v>
      </c>
      <c r="E6777" s="31">
        <v>46243.0</v>
      </c>
      <c r="F6777" s="26" t="s">
        <v>46</v>
      </c>
      <c r="G6777" s="26">
        <v>9.0</v>
      </c>
      <c r="H6777" s="26" t="s">
        <v>78</v>
      </c>
      <c r="I6777" s="26" t="s">
        <v>951</v>
      </c>
      <c r="J6777" s="25" t="str">
        <f t="shared" si="76"/>
        <v>Yes - see Previous F-Code</v>
      </c>
      <c r="K6777" s="25" t="str">
        <f t="shared" si="77"/>
        <v/>
      </c>
      <c r="L6777" s="25" t="str">
        <f t="shared" si="78"/>
        <v>F73356</v>
      </c>
      <c r="M6777" s="25"/>
      <c r="O6777" s="25"/>
    </row>
    <row r="6778" ht="15.75" customHeight="1">
      <c r="A6778" s="25" t="str">
        <f>IFERROR(__xludf.DUMMYFUNCTION("IF(B6778="""","""",RIGHT(REGEXREPLACE(B6778&amp;"""",""[^0-9]"",""""),9))"),"712422841")</f>
        <v>712422841</v>
      </c>
      <c r="B6778" s="52">
        <v>7.12422841E8</v>
      </c>
      <c r="C6778" s="28" t="s">
        <v>7037</v>
      </c>
      <c r="D6778" s="26" t="s">
        <v>45</v>
      </c>
      <c r="E6778" s="31">
        <v>46243.0</v>
      </c>
      <c r="F6778" s="26" t="s">
        <v>46</v>
      </c>
      <c r="H6778" s="26" t="s">
        <v>7038</v>
      </c>
      <c r="I6778" s="26" t="s">
        <v>951</v>
      </c>
      <c r="J6778" s="25" t="str">
        <f t="shared" si="76"/>
        <v>No</v>
      </c>
      <c r="K6778" s="25" t="str">
        <f t="shared" si="77"/>
        <v/>
      </c>
      <c r="L6778" s="25" t="str">
        <f t="shared" si="78"/>
        <v/>
      </c>
      <c r="M6778" s="25"/>
      <c r="O6778" s="25"/>
    </row>
    <row r="6779" ht="15.75" customHeight="1">
      <c r="A6779" s="25" t="str">
        <f>IFERROR(__xludf.DUMMYFUNCTION("IF(B6779="""","""",RIGHT(REGEXREPLACE(B6779&amp;"""",""[^0-9]"",""""),9))"),"721547631")</f>
        <v>721547631</v>
      </c>
      <c r="B6779" s="52">
        <v>7.21547631E8</v>
      </c>
      <c r="C6779" s="28" t="s">
        <v>7039</v>
      </c>
      <c r="D6779" s="26" t="s">
        <v>82</v>
      </c>
      <c r="E6779" s="31">
        <v>46243.0</v>
      </c>
      <c r="F6779" s="26" t="s">
        <v>205</v>
      </c>
      <c r="I6779" s="26" t="s">
        <v>951</v>
      </c>
      <c r="J6779" s="25" t="str">
        <f t="shared" si="76"/>
        <v>No</v>
      </c>
      <c r="K6779" s="25" t="str">
        <f t="shared" si="77"/>
        <v/>
      </c>
      <c r="L6779" s="25" t="str">
        <f t="shared" si="78"/>
        <v/>
      </c>
      <c r="M6779" s="25"/>
      <c r="O6779" s="25"/>
    </row>
    <row r="6780" ht="15.75" customHeight="1">
      <c r="A6780" s="25" t="str">
        <f>IFERROR(__xludf.DUMMYFUNCTION("IF(B6780="""","""",RIGHT(REGEXREPLACE(B6780&amp;"""",""[^0-9]"",""""),9))"),"779375875")</f>
        <v>779375875</v>
      </c>
      <c r="B6780" s="52">
        <v>7.79375875E8</v>
      </c>
      <c r="C6780" s="28" t="s">
        <v>7040</v>
      </c>
      <c r="D6780" s="26" t="s">
        <v>64</v>
      </c>
      <c r="E6780" s="31">
        <v>46243.0</v>
      </c>
      <c r="F6780" s="26" t="s">
        <v>41</v>
      </c>
      <c r="I6780" s="26" t="s">
        <v>951</v>
      </c>
      <c r="J6780" s="25" t="str">
        <f t="shared" si="76"/>
        <v>No</v>
      </c>
      <c r="K6780" s="25" t="str">
        <f t="shared" si="77"/>
        <v/>
      </c>
      <c r="L6780" s="25" t="str">
        <f t="shared" si="78"/>
        <v/>
      </c>
      <c r="M6780" s="25"/>
      <c r="O6780" s="25"/>
    </row>
    <row r="6781" ht="15.75" customHeight="1">
      <c r="A6781" s="25" t="str">
        <f>IFERROR(__xludf.DUMMYFUNCTION("IF(B6781="""","""",RIGHT(REGEXREPLACE(B6781&amp;"""",""[^0-9]"",""""),9))"),"717703635")</f>
        <v>717703635</v>
      </c>
      <c r="B6781" s="52">
        <v>7.17703635E8</v>
      </c>
      <c r="C6781" s="28" t="s">
        <v>6047</v>
      </c>
      <c r="D6781" s="26" t="s">
        <v>56</v>
      </c>
      <c r="E6781" s="31">
        <v>46243.0</v>
      </c>
      <c r="F6781" s="26" t="s">
        <v>631</v>
      </c>
      <c r="G6781" s="26">
        <v>9.0</v>
      </c>
      <c r="I6781" s="26" t="s">
        <v>951</v>
      </c>
      <c r="J6781" s="25" t="str">
        <f t="shared" si="76"/>
        <v>Yes - see Previous F-Code</v>
      </c>
      <c r="K6781" s="25" t="str">
        <f t="shared" si="77"/>
        <v/>
      </c>
      <c r="L6781" s="25" t="str">
        <f t="shared" si="78"/>
        <v>F75456</v>
      </c>
      <c r="M6781" s="25"/>
      <c r="O6781" s="25"/>
    </row>
    <row r="6782" ht="15.75" customHeight="1">
      <c r="A6782" s="25" t="str">
        <f>IFERROR(__xludf.DUMMYFUNCTION("IF(B6782="""","""",RIGHT(REGEXREPLACE(B6782&amp;"""",""[^0-9]"",""""),9))"),"711494042")</f>
        <v>711494042</v>
      </c>
      <c r="B6782" s="52">
        <v>7.11494042E8</v>
      </c>
      <c r="C6782" s="28" t="s">
        <v>7041</v>
      </c>
      <c r="D6782" s="26" t="s">
        <v>45</v>
      </c>
      <c r="E6782" s="31">
        <v>46243.0</v>
      </c>
      <c r="F6782" s="26" t="s">
        <v>46</v>
      </c>
      <c r="G6782" s="26">
        <v>6.0</v>
      </c>
      <c r="I6782" s="26" t="s">
        <v>951</v>
      </c>
      <c r="J6782" s="25" t="str">
        <f t="shared" si="76"/>
        <v>No</v>
      </c>
      <c r="K6782" s="25" t="str">
        <f t="shared" si="77"/>
        <v/>
      </c>
      <c r="L6782" s="25" t="str">
        <f t="shared" si="78"/>
        <v/>
      </c>
      <c r="M6782" s="25"/>
      <c r="O6782" s="25"/>
    </row>
    <row r="6783" ht="15.75" customHeight="1">
      <c r="A6783" s="25" t="str">
        <f>IFERROR(__xludf.DUMMYFUNCTION("IF(B6783="""","""",RIGHT(REGEXREPLACE(B6783&amp;"""",""[^0-9]"",""""),9))"),"703128689")</f>
        <v>703128689</v>
      </c>
      <c r="B6783" s="52">
        <v>7.03128689E8</v>
      </c>
      <c r="C6783" s="28" t="s">
        <v>7042</v>
      </c>
      <c r="D6783" s="26" t="s">
        <v>64</v>
      </c>
      <c r="E6783" s="31">
        <v>46243.0</v>
      </c>
      <c r="F6783" s="26" t="s">
        <v>205</v>
      </c>
      <c r="G6783" s="26">
        <v>9.0</v>
      </c>
      <c r="I6783" s="26" t="s">
        <v>951</v>
      </c>
      <c r="J6783" s="25" t="str">
        <f t="shared" si="76"/>
        <v>No</v>
      </c>
      <c r="K6783" s="25" t="str">
        <f t="shared" si="77"/>
        <v/>
      </c>
      <c r="L6783" s="25" t="str">
        <f t="shared" si="78"/>
        <v/>
      </c>
      <c r="M6783" s="25"/>
      <c r="O6783" s="25"/>
    </row>
    <row r="6784" ht="15.75" customHeight="1">
      <c r="A6784" s="25" t="str">
        <f>IFERROR(__xludf.DUMMYFUNCTION("IF(B6784="""","""",RIGHT(REGEXREPLACE(B6784&amp;"""",""[^0-9]"",""""),9))"),"771575336")</f>
        <v>771575336</v>
      </c>
      <c r="B6784" s="52">
        <v>7.71575336E8</v>
      </c>
      <c r="C6784" s="28" t="s">
        <v>7043</v>
      </c>
      <c r="D6784" s="26" t="s">
        <v>49</v>
      </c>
      <c r="E6784" s="31">
        <v>46243.0</v>
      </c>
      <c r="F6784" s="26" t="s">
        <v>46</v>
      </c>
      <c r="G6784" s="26">
        <v>9.0</v>
      </c>
      <c r="H6784" s="26" t="s">
        <v>7044</v>
      </c>
      <c r="I6784" s="26" t="s">
        <v>951</v>
      </c>
      <c r="J6784" s="25" t="str">
        <f t="shared" si="76"/>
        <v>No</v>
      </c>
      <c r="K6784" s="25" t="str">
        <f t="shared" si="77"/>
        <v/>
      </c>
      <c r="L6784" s="25" t="str">
        <f t="shared" si="78"/>
        <v/>
      </c>
      <c r="M6784" s="25"/>
      <c r="O6784" s="25"/>
    </row>
    <row r="6785" ht="15.75" customHeight="1">
      <c r="A6785" s="25" t="str">
        <f>IFERROR(__xludf.DUMMYFUNCTION("IF(B6785="""","""",RIGHT(REGEXREPLACE(B6785&amp;"""",""[^0-9]"",""""),9))"),"777180181")</f>
        <v>777180181</v>
      </c>
      <c r="B6785" s="52">
        <v>7.77180181E8</v>
      </c>
      <c r="C6785" s="28" t="s">
        <v>7045</v>
      </c>
      <c r="D6785" s="26" t="s">
        <v>82</v>
      </c>
      <c r="E6785" s="31">
        <v>46243.0</v>
      </c>
      <c r="F6785" s="26" t="s">
        <v>164</v>
      </c>
      <c r="G6785" s="26">
        <v>9.0</v>
      </c>
      <c r="I6785" s="26" t="s">
        <v>951</v>
      </c>
      <c r="J6785" s="25" t="str">
        <f t="shared" si="76"/>
        <v>No</v>
      </c>
      <c r="K6785" s="25" t="str">
        <f t="shared" si="77"/>
        <v/>
      </c>
      <c r="L6785" s="25" t="str">
        <f t="shared" si="78"/>
        <v/>
      </c>
      <c r="M6785" s="25"/>
      <c r="O6785" s="25"/>
    </row>
    <row r="6786" ht="15.75" customHeight="1">
      <c r="A6786" s="25" t="str">
        <f>IFERROR(__xludf.DUMMYFUNCTION("IF(B6786="""","""",RIGHT(REGEXREPLACE(B6786&amp;"""",""[^0-9]"",""""),9))"),"725659421")</f>
        <v>725659421</v>
      </c>
      <c r="B6786" s="52">
        <v>7.25659421E8</v>
      </c>
      <c r="C6786" s="28" t="s">
        <v>7046</v>
      </c>
      <c r="D6786" s="26" t="s">
        <v>82</v>
      </c>
      <c r="E6786" s="31">
        <v>46243.0</v>
      </c>
      <c r="F6786" s="26" t="s">
        <v>41</v>
      </c>
      <c r="G6786" s="26">
        <v>9.0</v>
      </c>
      <c r="I6786" s="26" t="s">
        <v>951</v>
      </c>
      <c r="J6786" s="25" t="str">
        <f t="shared" si="76"/>
        <v>No</v>
      </c>
      <c r="K6786" s="25" t="str">
        <f t="shared" si="77"/>
        <v/>
      </c>
      <c r="L6786" s="25" t="str">
        <f t="shared" si="78"/>
        <v/>
      </c>
      <c r="M6786" s="25"/>
      <c r="O6786" s="25"/>
    </row>
    <row r="6787" ht="15.75" customHeight="1">
      <c r="A6787" s="25" t="str">
        <f>IFERROR(__xludf.DUMMYFUNCTION("IF(B6787="""","""",RIGHT(REGEXREPLACE(B6787&amp;"""",""[^0-9]"",""""),9))"),"705839775")</f>
        <v>705839775</v>
      </c>
      <c r="B6787" s="52">
        <v>7.05839775E8</v>
      </c>
      <c r="C6787" s="28" t="s">
        <v>7047</v>
      </c>
      <c r="D6787" s="26" t="s">
        <v>64</v>
      </c>
      <c r="E6787" s="31">
        <v>46243.0</v>
      </c>
      <c r="F6787" s="26" t="s">
        <v>41</v>
      </c>
      <c r="I6787" s="26" t="s">
        <v>951</v>
      </c>
      <c r="J6787" s="25" t="str">
        <f t="shared" si="76"/>
        <v>No</v>
      </c>
      <c r="K6787" s="25" t="str">
        <f t="shared" si="77"/>
        <v/>
      </c>
      <c r="L6787" s="25" t="str">
        <f t="shared" si="78"/>
        <v/>
      </c>
      <c r="M6787" s="25"/>
      <c r="O6787" s="25"/>
    </row>
    <row r="6788" ht="15.75" customHeight="1">
      <c r="A6788" s="25" t="str">
        <f>IFERROR(__xludf.DUMMYFUNCTION("IF(B6788="""","""",RIGHT(REGEXREPLACE(B6788&amp;"""",""[^0-9]"",""""),9))"),"779978219")</f>
        <v>779978219</v>
      </c>
      <c r="B6788" s="52">
        <v>7.79978219E8</v>
      </c>
      <c r="C6788" s="28" t="s">
        <v>7048</v>
      </c>
      <c r="D6788" s="26" t="s">
        <v>56</v>
      </c>
      <c r="E6788" s="31">
        <v>46243.0</v>
      </c>
      <c r="F6788" s="26" t="s">
        <v>41</v>
      </c>
      <c r="G6788" s="26">
        <v>9.0</v>
      </c>
      <c r="I6788" s="26" t="s">
        <v>951</v>
      </c>
      <c r="J6788" s="25" t="str">
        <f t="shared" si="76"/>
        <v>No</v>
      </c>
      <c r="K6788" s="25" t="str">
        <f t="shared" si="77"/>
        <v/>
      </c>
      <c r="L6788" s="25" t="str">
        <f t="shared" si="78"/>
        <v/>
      </c>
      <c r="M6788" s="25"/>
      <c r="O6788" s="25"/>
    </row>
    <row r="6789" ht="15.75" customHeight="1">
      <c r="A6789" s="25" t="str">
        <f>IFERROR(__xludf.DUMMYFUNCTION("IF(B6789="""","""",RIGHT(REGEXREPLACE(B6789&amp;"""",""[^0-9]"",""""),9))"),"761674337")</f>
        <v>761674337</v>
      </c>
      <c r="B6789" s="52">
        <v>7.61674337E8</v>
      </c>
      <c r="C6789" s="28" t="s">
        <v>7049</v>
      </c>
      <c r="D6789" s="26" t="s">
        <v>49</v>
      </c>
      <c r="E6789" s="31">
        <v>46243.0</v>
      </c>
      <c r="F6789" s="26" t="s">
        <v>41</v>
      </c>
      <c r="G6789" s="26">
        <v>9.0</v>
      </c>
      <c r="I6789" s="26" t="s">
        <v>951</v>
      </c>
      <c r="J6789" s="25" t="str">
        <f t="shared" si="76"/>
        <v>No</v>
      </c>
      <c r="K6789" s="25" t="str">
        <f t="shared" si="77"/>
        <v/>
      </c>
      <c r="L6789" s="25" t="str">
        <f t="shared" si="78"/>
        <v/>
      </c>
      <c r="M6789" s="25"/>
      <c r="O6789" s="25"/>
    </row>
    <row r="6790" ht="15.75" customHeight="1">
      <c r="A6790" s="25" t="str">
        <f>IFERROR(__xludf.DUMMYFUNCTION("IF(B6790="""","""",RIGHT(REGEXREPLACE(B6790&amp;"""",""[^0-9]"",""""),9))"),"769220358")</f>
        <v>769220358</v>
      </c>
      <c r="B6790" s="52">
        <v>7.69220358E8</v>
      </c>
      <c r="C6790" s="28" t="s">
        <v>7050</v>
      </c>
      <c r="D6790" s="26" t="s">
        <v>64</v>
      </c>
      <c r="E6790" s="31">
        <v>46243.0</v>
      </c>
      <c r="F6790" s="26" t="s">
        <v>46</v>
      </c>
      <c r="G6790" s="26">
        <v>9.0</v>
      </c>
      <c r="H6790" s="26" t="s">
        <v>2293</v>
      </c>
      <c r="I6790" s="26" t="s">
        <v>951</v>
      </c>
      <c r="J6790" s="25" t="str">
        <f t="shared" si="76"/>
        <v>No</v>
      </c>
      <c r="K6790" s="25" t="str">
        <f t="shared" si="77"/>
        <v/>
      </c>
      <c r="L6790" s="25" t="str">
        <f t="shared" si="78"/>
        <v/>
      </c>
      <c r="M6790" s="25"/>
      <c r="O6790" s="26" t="s">
        <v>51</v>
      </c>
    </row>
    <row r="6791" ht="15.75" customHeight="1">
      <c r="A6791" s="25" t="str">
        <f>IFERROR(__xludf.DUMMYFUNCTION("IF(B6791="""","""",RIGHT(REGEXREPLACE(B6791&amp;"""",""[^0-9]"",""""),9))"),"769667773")</f>
        <v>769667773</v>
      </c>
      <c r="B6791" s="52">
        <v>7.69667773E8</v>
      </c>
      <c r="C6791" s="28" t="s">
        <v>7051</v>
      </c>
      <c r="D6791" s="26" t="s">
        <v>82</v>
      </c>
      <c r="E6791" s="31">
        <v>46243.0</v>
      </c>
      <c r="F6791" s="26" t="s">
        <v>46</v>
      </c>
      <c r="G6791" s="26">
        <v>9.0</v>
      </c>
      <c r="I6791" s="26" t="s">
        <v>951</v>
      </c>
      <c r="J6791" s="25" t="str">
        <f t="shared" si="76"/>
        <v>No</v>
      </c>
      <c r="K6791" s="25" t="str">
        <f t="shared" si="77"/>
        <v/>
      </c>
      <c r="L6791" s="25" t="str">
        <f t="shared" si="78"/>
        <v/>
      </c>
      <c r="M6791" s="25"/>
      <c r="O6791" s="25"/>
    </row>
    <row r="6792" ht="15.75" customHeight="1">
      <c r="A6792" s="25" t="str">
        <f>IFERROR(__xludf.DUMMYFUNCTION("IF(B6792="""","""",RIGHT(REGEXREPLACE(B6792&amp;"""",""[^0-9]"",""""),9))"),"771243742")</f>
        <v>771243742</v>
      </c>
      <c r="B6792" s="52">
        <v>7.71243742E8</v>
      </c>
      <c r="C6792" s="28" t="s">
        <v>7052</v>
      </c>
      <c r="D6792" s="26" t="s">
        <v>45</v>
      </c>
      <c r="E6792" s="31">
        <v>46243.0</v>
      </c>
      <c r="F6792" s="26" t="s">
        <v>46</v>
      </c>
      <c r="G6792" s="26" t="s">
        <v>2011</v>
      </c>
      <c r="I6792" s="26" t="s">
        <v>951</v>
      </c>
      <c r="J6792" s="25" t="str">
        <f t="shared" si="76"/>
        <v>No</v>
      </c>
      <c r="K6792" s="25" t="str">
        <f t="shared" si="77"/>
        <v/>
      </c>
      <c r="L6792" s="25" t="str">
        <f t="shared" si="78"/>
        <v/>
      </c>
      <c r="M6792" s="25"/>
      <c r="O6792" s="25"/>
    </row>
    <row r="6793" ht="15.75" customHeight="1">
      <c r="A6793" s="25" t="str">
        <f>IFERROR(__xludf.DUMMYFUNCTION("IF(B6793="""","""",RIGHT(REGEXREPLACE(B6793&amp;"""",""[^0-9]"",""""),9))"),"787967820")</f>
        <v>787967820</v>
      </c>
      <c r="B6793" s="52">
        <v>7.8796782E8</v>
      </c>
      <c r="C6793" s="28" t="s">
        <v>7053</v>
      </c>
      <c r="D6793" s="26" t="s">
        <v>56</v>
      </c>
      <c r="E6793" s="31">
        <v>46243.0</v>
      </c>
      <c r="F6793" s="26" t="s">
        <v>46</v>
      </c>
      <c r="G6793" s="26">
        <v>9.0</v>
      </c>
      <c r="I6793" s="26" t="s">
        <v>951</v>
      </c>
      <c r="J6793" s="25" t="str">
        <f t="shared" si="76"/>
        <v>No</v>
      </c>
      <c r="K6793" s="25" t="str">
        <f t="shared" si="77"/>
        <v/>
      </c>
      <c r="L6793" s="25" t="str">
        <f t="shared" si="78"/>
        <v/>
      </c>
      <c r="M6793" s="25"/>
      <c r="O6793" s="25"/>
    </row>
    <row r="6794" ht="15.75" customHeight="1">
      <c r="A6794" s="25" t="str">
        <f>IFERROR(__xludf.DUMMYFUNCTION("IF(B6794="""","""",RIGHT(REGEXREPLACE(B6794&amp;"""",""[^0-9]"",""""),9))"),"713175046")</f>
        <v>713175046</v>
      </c>
      <c r="B6794" s="52">
        <v>7.13175046E8</v>
      </c>
      <c r="C6794" s="28" t="s">
        <v>7054</v>
      </c>
      <c r="D6794" s="26" t="s">
        <v>64</v>
      </c>
      <c r="E6794" s="31">
        <v>46243.0</v>
      </c>
      <c r="F6794" s="26" t="s">
        <v>46</v>
      </c>
      <c r="G6794" s="26">
        <v>8.0</v>
      </c>
      <c r="I6794" s="26" t="s">
        <v>951</v>
      </c>
      <c r="J6794" s="25" t="str">
        <f t="shared" si="76"/>
        <v>No</v>
      </c>
      <c r="K6794" s="25" t="str">
        <f t="shared" si="77"/>
        <v/>
      </c>
      <c r="L6794" s="25" t="str">
        <f t="shared" si="78"/>
        <v/>
      </c>
      <c r="M6794" s="25"/>
      <c r="O6794" s="25"/>
    </row>
    <row r="6795" ht="15.75" customHeight="1">
      <c r="A6795" s="25" t="str">
        <f>IFERROR(__xludf.DUMMYFUNCTION("IF(B6795="""","""",RIGHT(REGEXREPLACE(B6795&amp;"""",""[^0-9]"",""""),9))"),"771190272")</f>
        <v>771190272</v>
      </c>
      <c r="B6795" s="52">
        <v>7.71190272E8</v>
      </c>
      <c r="C6795" s="28" t="s">
        <v>7055</v>
      </c>
      <c r="D6795" s="26" t="s">
        <v>49</v>
      </c>
      <c r="E6795" s="31">
        <v>46243.0</v>
      </c>
      <c r="F6795" s="26" t="s">
        <v>41</v>
      </c>
      <c r="G6795" s="26">
        <v>9.0</v>
      </c>
      <c r="I6795" s="26" t="s">
        <v>951</v>
      </c>
      <c r="J6795" s="25" t="str">
        <f t="shared" si="76"/>
        <v>No</v>
      </c>
      <c r="K6795" s="25" t="str">
        <f t="shared" si="77"/>
        <v/>
      </c>
      <c r="L6795" s="25" t="str">
        <f t="shared" si="78"/>
        <v/>
      </c>
      <c r="M6795" s="25"/>
      <c r="O6795" s="25"/>
    </row>
    <row r="6796" ht="15.75" customHeight="1">
      <c r="A6796" s="25" t="str">
        <f>IFERROR(__xludf.DUMMYFUNCTION("IF(B6796="""","""",RIGHT(REGEXREPLACE(B6796&amp;"""",""[^0-9]"",""""),9))"),"712364766")</f>
        <v>712364766</v>
      </c>
      <c r="B6796" s="52">
        <v>7.12364766E8</v>
      </c>
      <c r="C6796" s="28" t="s">
        <v>7056</v>
      </c>
      <c r="D6796" s="26" t="s">
        <v>56</v>
      </c>
      <c r="E6796" s="31">
        <v>46243.0</v>
      </c>
      <c r="F6796" s="26" t="s">
        <v>46</v>
      </c>
      <c r="G6796" s="26">
        <v>9.0</v>
      </c>
      <c r="I6796" s="26" t="s">
        <v>951</v>
      </c>
      <c r="J6796" s="25" t="str">
        <f t="shared" si="76"/>
        <v>No</v>
      </c>
      <c r="K6796" s="25" t="str">
        <f t="shared" si="77"/>
        <v/>
      </c>
      <c r="L6796" s="25" t="str">
        <f t="shared" si="78"/>
        <v/>
      </c>
      <c r="M6796" s="25"/>
      <c r="O6796" s="25"/>
    </row>
    <row r="6797" ht="15.75" customHeight="1">
      <c r="A6797" s="25" t="str">
        <f>IFERROR(__xludf.DUMMYFUNCTION("IF(B6797="""","""",RIGHT(REGEXREPLACE(B6797&amp;"""",""[^0-9]"",""""),9))"),"710342394")</f>
        <v>710342394</v>
      </c>
      <c r="B6797" s="52">
        <v>7.10342394E8</v>
      </c>
      <c r="C6797" s="28" t="s">
        <v>7057</v>
      </c>
      <c r="D6797" s="26" t="s">
        <v>82</v>
      </c>
      <c r="E6797" s="31">
        <v>46243.0</v>
      </c>
      <c r="F6797" s="26" t="s">
        <v>46</v>
      </c>
      <c r="G6797" s="26">
        <v>9.0</v>
      </c>
      <c r="I6797" s="26" t="s">
        <v>951</v>
      </c>
      <c r="J6797" s="25" t="str">
        <f t="shared" si="76"/>
        <v>No</v>
      </c>
      <c r="K6797" s="25" t="str">
        <f t="shared" si="77"/>
        <v/>
      </c>
      <c r="L6797" s="25" t="str">
        <f t="shared" si="78"/>
        <v/>
      </c>
      <c r="M6797" s="25"/>
      <c r="O6797" s="25"/>
    </row>
    <row r="6798" ht="15.75" customHeight="1">
      <c r="A6798" s="25" t="str">
        <f>IFERROR(__xludf.DUMMYFUNCTION("IF(B6798="""","""",RIGHT(REGEXREPLACE(B6798&amp;"""",""[^0-9]"",""""),9))"),"789876603")</f>
        <v>789876603</v>
      </c>
      <c r="B6798" s="52">
        <v>7.89876603E8</v>
      </c>
      <c r="C6798" s="28" t="s">
        <v>7058</v>
      </c>
      <c r="D6798" s="26" t="s">
        <v>64</v>
      </c>
      <c r="E6798" s="31">
        <v>46243.0</v>
      </c>
      <c r="F6798" s="26" t="s">
        <v>41</v>
      </c>
      <c r="G6798" s="26">
        <v>7.0</v>
      </c>
      <c r="I6798" s="26" t="s">
        <v>951</v>
      </c>
      <c r="J6798" s="25" t="str">
        <f t="shared" si="76"/>
        <v>No</v>
      </c>
      <c r="K6798" s="25" t="str">
        <f t="shared" si="77"/>
        <v/>
      </c>
      <c r="L6798" s="25" t="str">
        <f t="shared" si="78"/>
        <v/>
      </c>
      <c r="M6798" s="25"/>
      <c r="O6798" s="25"/>
    </row>
    <row r="6799" ht="15.75" customHeight="1">
      <c r="A6799" s="25" t="str">
        <f>IFERROR(__xludf.DUMMYFUNCTION("IF(B6799="""","""",RIGHT(REGEXREPLACE(B6799&amp;"""",""[^0-9]"",""""),9))"),"718586460")</f>
        <v>718586460</v>
      </c>
      <c r="B6799" s="52">
        <v>7.1858646E8</v>
      </c>
      <c r="C6799" s="28" t="s">
        <v>7059</v>
      </c>
      <c r="D6799" s="26" t="s">
        <v>82</v>
      </c>
      <c r="E6799" s="31">
        <v>46243.0</v>
      </c>
      <c r="F6799" s="26" t="s">
        <v>46</v>
      </c>
      <c r="G6799" s="26">
        <v>9.0</v>
      </c>
      <c r="I6799" s="26" t="s">
        <v>951</v>
      </c>
      <c r="J6799" s="25" t="str">
        <f t="shared" si="76"/>
        <v>No</v>
      </c>
      <c r="K6799" s="25" t="str">
        <f t="shared" si="77"/>
        <v/>
      </c>
      <c r="L6799" s="25" t="str">
        <f t="shared" si="78"/>
        <v/>
      </c>
      <c r="M6799" s="25"/>
      <c r="O6799" s="25"/>
    </row>
    <row r="6800" ht="15.75" customHeight="1">
      <c r="A6800" s="25" t="str">
        <f>IFERROR(__xludf.DUMMYFUNCTION("IF(B6800="""","""",RIGHT(REGEXREPLACE(B6800&amp;"""",""[^0-9]"",""""),9))"),"786539159")</f>
        <v>786539159</v>
      </c>
      <c r="B6800" s="52">
        <v>7.86539159E8</v>
      </c>
      <c r="C6800" s="28" t="s">
        <v>7060</v>
      </c>
      <c r="D6800" s="26" t="s">
        <v>64</v>
      </c>
      <c r="E6800" s="31">
        <v>46243.0</v>
      </c>
      <c r="F6800" s="26" t="s">
        <v>205</v>
      </c>
      <c r="I6800" s="26" t="s">
        <v>951</v>
      </c>
      <c r="J6800" s="25" t="str">
        <f t="shared" si="76"/>
        <v>No</v>
      </c>
      <c r="K6800" s="25" t="str">
        <f t="shared" si="77"/>
        <v/>
      </c>
      <c r="L6800" s="25" t="str">
        <f t="shared" si="78"/>
        <v/>
      </c>
      <c r="M6800" s="25"/>
      <c r="O6800" s="25"/>
    </row>
    <row r="6801" ht="15.75" customHeight="1">
      <c r="A6801" s="25" t="str">
        <f>IFERROR(__xludf.DUMMYFUNCTION("IF(B6801="""","""",RIGHT(REGEXREPLACE(B6801&amp;"""",""[^0-9]"",""""),9))"),"769981125")</f>
        <v>769981125</v>
      </c>
      <c r="B6801" s="52">
        <v>7.69981125E8</v>
      </c>
      <c r="C6801" s="28" t="s">
        <v>7061</v>
      </c>
      <c r="D6801" s="26" t="s">
        <v>49</v>
      </c>
      <c r="E6801" s="31">
        <v>46243.0</v>
      </c>
      <c r="F6801" s="26" t="s">
        <v>41</v>
      </c>
      <c r="I6801" s="26" t="s">
        <v>951</v>
      </c>
      <c r="J6801" s="25" t="str">
        <f t="shared" si="76"/>
        <v>No</v>
      </c>
      <c r="K6801" s="25" t="str">
        <f t="shared" si="77"/>
        <v/>
      </c>
      <c r="L6801" s="25" t="str">
        <f t="shared" si="78"/>
        <v/>
      </c>
      <c r="M6801" s="25"/>
      <c r="O6801" s="25"/>
    </row>
    <row r="6802" ht="15.75" customHeight="1">
      <c r="A6802" s="25" t="str">
        <f>IFERROR(__xludf.DUMMYFUNCTION("IF(B6802="""","""",RIGHT(REGEXREPLACE(B6802&amp;"""",""[^0-9]"",""""),9))"),"715210935")</f>
        <v>715210935</v>
      </c>
      <c r="B6802" s="52">
        <v>7.15210935E8</v>
      </c>
      <c r="C6802" s="28" t="s">
        <v>7062</v>
      </c>
      <c r="D6802" s="26" t="s">
        <v>82</v>
      </c>
      <c r="E6802" s="31">
        <v>46243.0</v>
      </c>
      <c r="F6802" s="26" t="s">
        <v>41</v>
      </c>
      <c r="I6802" s="26" t="s">
        <v>951</v>
      </c>
      <c r="J6802" s="25" t="str">
        <f t="shared" si="76"/>
        <v>No</v>
      </c>
      <c r="K6802" s="25" t="str">
        <f t="shared" si="77"/>
        <v/>
      </c>
      <c r="L6802" s="25" t="str">
        <f t="shared" si="78"/>
        <v/>
      </c>
      <c r="M6802" s="25"/>
      <c r="O6802" s="26" t="s">
        <v>51</v>
      </c>
    </row>
    <row r="6803" ht="15.75" customHeight="1">
      <c r="A6803" s="25" t="str">
        <f>IFERROR(__xludf.DUMMYFUNCTION("IF(B6803="""","""",RIGHT(REGEXREPLACE(B6803&amp;"""",""[^0-9]"",""""),9))"),"774457057")</f>
        <v>774457057</v>
      </c>
      <c r="B6803" s="52">
        <v>7.74457057E8</v>
      </c>
      <c r="C6803" s="28" t="s">
        <v>7062</v>
      </c>
      <c r="D6803" s="26" t="s">
        <v>64</v>
      </c>
      <c r="E6803" s="31">
        <v>46243.0</v>
      </c>
      <c r="F6803" s="26" t="s">
        <v>46</v>
      </c>
      <c r="G6803" s="26">
        <v>9.0</v>
      </c>
      <c r="I6803" s="26" t="s">
        <v>951</v>
      </c>
      <c r="J6803" s="25" t="str">
        <f t="shared" si="76"/>
        <v>No</v>
      </c>
      <c r="K6803" s="25" t="str">
        <f t="shared" si="77"/>
        <v/>
      </c>
      <c r="L6803" s="25" t="str">
        <f t="shared" si="78"/>
        <v/>
      </c>
      <c r="M6803" s="25"/>
      <c r="O6803" s="25"/>
    </row>
    <row r="6804" ht="15.75" customHeight="1">
      <c r="A6804" s="25" t="str">
        <f>IFERROR(__xludf.DUMMYFUNCTION("IF(B6804="""","""",RIGHT(REGEXREPLACE(B6804&amp;"""",""[^0-9]"",""""),9))"),"714372855")</f>
        <v>714372855</v>
      </c>
      <c r="B6804" s="52">
        <v>7.14372855E8</v>
      </c>
      <c r="C6804" s="28" t="s">
        <v>7063</v>
      </c>
      <c r="D6804" s="26" t="s">
        <v>45</v>
      </c>
      <c r="E6804" s="31">
        <v>46243.0</v>
      </c>
      <c r="F6804" s="26" t="s">
        <v>46</v>
      </c>
      <c r="G6804" s="26">
        <v>9.0</v>
      </c>
      <c r="H6804" s="26" t="s">
        <v>3656</v>
      </c>
      <c r="I6804" s="26" t="s">
        <v>951</v>
      </c>
      <c r="J6804" s="25" t="str">
        <f t="shared" si="76"/>
        <v>No</v>
      </c>
      <c r="K6804" s="25" t="str">
        <f t="shared" si="77"/>
        <v/>
      </c>
      <c r="L6804" s="25" t="str">
        <f t="shared" si="78"/>
        <v/>
      </c>
      <c r="M6804" s="25"/>
      <c r="O6804" s="25"/>
    </row>
    <row r="6805" ht="15.75" customHeight="1">
      <c r="A6805" s="25" t="str">
        <f>IFERROR(__xludf.DUMMYFUNCTION("IF(B6805="""","""",RIGHT(REGEXREPLACE(B6805&amp;"""",""[^0-9]"",""""),9))"),"774195370")</f>
        <v>774195370</v>
      </c>
      <c r="B6805" s="52">
        <v>7.7419537E8</v>
      </c>
      <c r="C6805" s="28" t="s">
        <v>7064</v>
      </c>
      <c r="D6805" s="26" t="s">
        <v>82</v>
      </c>
      <c r="E6805" s="31">
        <v>46243.0</v>
      </c>
      <c r="F6805" s="26" t="s">
        <v>46</v>
      </c>
      <c r="G6805" s="26">
        <v>6.0</v>
      </c>
      <c r="H6805" s="26" t="s">
        <v>7065</v>
      </c>
      <c r="I6805" s="26" t="s">
        <v>951</v>
      </c>
      <c r="J6805" s="25" t="str">
        <f t="shared" si="76"/>
        <v>No</v>
      </c>
      <c r="K6805" s="25" t="str">
        <f t="shared" si="77"/>
        <v/>
      </c>
      <c r="L6805" s="25" t="str">
        <f t="shared" si="78"/>
        <v/>
      </c>
      <c r="M6805" s="25"/>
      <c r="O6805" s="25"/>
    </row>
    <row r="6806" ht="15.75" customHeight="1">
      <c r="A6806" s="25" t="str">
        <f>IFERROR(__xludf.DUMMYFUNCTION("IF(B6806="""","""",RIGHT(REGEXREPLACE(B6806&amp;"""",""[^0-9]"",""""),9))"),"770365175")</f>
        <v>770365175</v>
      </c>
      <c r="B6806" s="52">
        <v>7.70365175E8</v>
      </c>
      <c r="C6806" s="28" t="s">
        <v>7066</v>
      </c>
      <c r="D6806" s="26" t="s">
        <v>45</v>
      </c>
      <c r="E6806" s="31">
        <v>46243.0</v>
      </c>
      <c r="F6806" s="26" t="s">
        <v>46</v>
      </c>
      <c r="G6806" s="26">
        <v>9.0</v>
      </c>
      <c r="I6806" s="26" t="s">
        <v>951</v>
      </c>
      <c r="J6806" s="25" t="str">
        <f t="shared" si="76"/>
        <v>No</v>
      </c>
      <c r="K6806" s="25" t="str">
        <f t="shared" si="77"/>
        <v/>
      </c>
      <c r="L6806" s="25" t="str">
        <f t="shared" si="78"/>
        <v/>
      </c>
      <c r="M6806" s="25"/>
      <c r="O6806" s="25"/>
    </row>
    <row r="6807" ht="15.75" customHeight="1">
      <c r="A6807" s="25" t="str">
        <f>IFERROR(__xludf.DUMMYFUNCTION("IF(B6807="""","""",RIGHT(REGEXREPLACE(B6807&amp;"""",""[^0-9]"",""""),9))"),"781698083")</f>
        <v>781698083</v>
      </c>
      <c r="B6807" s="52">
        <v>7.81698083E8</v>
      </c>
      <c r="C6807" s="28" t="s">
        <v>4729</v>
      </c>
      <c r="D6807" s="26" t="s">
        <v>56</v>
      </c>
      <c r="E6807" s="31">
        <v>46243.0</v>
      </c>
      <c r="F6807" s="26" t="s">
        <v>41</v>
      </c>
      <c r="I6807" s="26" t="s">
        <v>951</v>
      </c>
      <c r="J6807" s="25" t="str">
        <f t="shared" si="76"/>
        <v>Yes - see Previous F-Code</v>
      </c>
      <c r="K6807" s="25" t="str">
        <f t="shared" si="77"/>
        <v/>
      </c>
      <c r="L6807" s="25" t="str">
        <f t="shared" si="78"/>
        <v>F74314</v>
      </c>
      <c r="M6807" s="25"/>
      <c r="O6807" s="25"/>
    </row>
    <row r="6808" ht="15.75" customHeight="1">
      <c r="A6808" s="25" t="str">
        <f>IFERROR(__xludf.DUMMYFUNCTION("IF(B6808="""","""",RIGHT(REGEXREPLACE(B6808&amp;"""",""[^0-9]"",""""),9))"),"784675877")</f>
        <v>784675877</v>
      </c>
      <c r="B6808" s="52">
        <v>7.84675877E8</v>
      </c>
      <c r="C6808" s="28" t="s">
        <v>7067</v>
      </c>
      <c r="D6808" s="26" t="s">
        <v>82</v>
      </c>
      <c r="E6808" s="31">
        <v>46243.0</v>
      </c>
      <c r="F6808" s="26" t="s">
        <v>41</v>
      </c>
      <c r="I6808" s="26" t="s">
        <v>951</v>
      </c>
      <c r="J6808" s="25" t="str">
        <f t="shared" si="76"/>
        <v>No</v>
      </c>
      <c r="K6808" s="25" t="str">
        <f t="shared" si="77"/>
        <v/>
      </c>
      <c r="L6808" s="25" t="str">
        <f t="shared" si="78"/>
        <v/>
      </c>
      <c r="M6808" s="25"/>
      <c r="O6808" s="25"/>
    </row>
    <row r="6809" ht="15.75" customHeight="1">
      <c r="A6809" s="25" t="str">
        <f>IFERROR(__xludf.DUMMYFUNCTION("IF(B6809="""","""",RIGHT(REGEXREPLACE(B6809&amp;"""",""[^0-9]"",""""),9))"),"754456309")</f>
        <v>754456309</v>
      </c>
      <c r="B6809" s="52">
        <v>7.54456309E8</v>
      </c>
      <c r="C6809" s="28" t="s">
        <v>7068</v>
      </c>
      <c r="D6809" s="26" t="s">
        <v>49</v>
      </c>
      <c r="E6809" s="31">
        <v>46243.0</v>
      </c>
      <c r="F6809" s="26" t="s">
        <v>46</v>
      </c>
      <c r="G6809" s="26">
        <v>9.0</v>
      </c>
      <c r="I6809" s="26" t="s">
        <v>951</v>
      </c>
      <c r="J6809" s="25" t="str">
        <f t="shared" si="76"/>
        <v>No</v>
      </c>
      <c r="K6809" s="25" t="str">
        <f t="shared" si="77"/>
        <v/>
      </c>
      <c r="L6809" s="25" t="str">
        <f t="shared" si="78"/>
        <v/>
      </c>
      <c r="M6809" s="25"/>
      <c r="O6809" s="25"/>
    </row>
    <row r="6810" ht="15.75" customHeight="1">
      <c r="A6810" s="25" t="str">
        <f>IFERROR(__xludf.DUMMYFUNCTION("IF(B6810="""","""",RIGHT(REGEXREPLACE(B6810&amp;"""",""[^0-9]"",""""),9))"),"763138977")</f>
        <v>763138977</v>
      </c>
      <c r="B6810" s="52">
        <v>7.63138977E8</v>
      </c>
      <c r="C6810" s="28" t="s">
        <v>6929</v>
      </c>
      <c r="D6810" s="26" t="s">
        <v>56</v>
      </c>
      <c r="E6810" s="31">
        <v>46243.0</v>
      </c>
      <c r="F6810" s="26" t="s">
        <v>41</v>
      </c>
      <c r="G6810" s="26">
        <v>10.0</v>
      </c>
      <c r="I6810" s="26" t="s">
        <v>951</v>
      </c>
      <c r="J6810" s="25" t="str">
        <f t="shared" si="76"/>
        <v>Yes - see Previous F-Code</v>
      </c>
      <c r="K6810" s="25" t="str">
        <f t="shared" si="77"/>
        <v/>
      </c>
      <c r="L6810" s="25" t="str">
        <f t="shared" si="78"/>
        <v>F75916</v>
      </c>
      <c r="M6810" s="25"/>
      <c r="O6810" s="25"/>
    </row>
    <row r="6811" ht="15.75" customHeight="1">
      <c r="A6811" s="25" t="str">
        <f>IFERROR(__xludf.DUMMYFUNCTION("IF(B6811="""","""",RIGHT(REGEXREPLACE(B6811&amp;"""",""[^0-9]"",""""),9))"),"762590398")</f>
        <v>762590398</v>
      </c>
      <c r="B6811" s="52">
        <v>7.62590398E8</v>
      </c>
      <c r="C6811" s="28" t="s">
        <v>7069</v>
      </c>
      <c r="D6811" s="26" t="s">
        <v>82</v>
      </c>
      <c r="E6811" s="31">
        <v>46243.0</v>
      </c>
      <c r="F6811" s="26" t="s">
        <v>164</v>
      </c>
      <c r="G6811" s="26">
        <v>9.0</v>
      </c>
      <c r="I6811" s="26" t="s">
        <v>951</v>
      </c>
      <c r="J6811" s="25" t="str">
        <f t="shared" si="76"/>
        <v>No</v>
      </c>
      <c r="K6811" s="25" t="str">
        <f t="shared" si="77"/>
        <v/>
      </c>
      <c r="L6811" s="25" t="str">
        <f t="shared" si="78"/>
        <v/>
      </c>
      <c r="M6811" s="25"/>
      <c r="O6811" s="25"/>
    </row>
    <row r="6812" ht="15.75" customHeight="1">
      <c r="A6812" s="25" t="str">
        <f>IFERROR(__xludf.DUMMYFUNCTION("IF(B6812="""","""",RIGHT(REGEXREPLACE(B6812&amp;"""",""[^0-9]"",""""),9))"),"762348947")</f>
        <v>762348947</v>
      </c>
      <c r="B6812" s="52">
        <v>7.62348947E8</v>
      </c>
      <c r="C6812" s="28" t="s">
        <v>7070</v>
      </c>
      <c r="D6812" s="26" t="s">
        <v>82</v>
      </c>
      <c r="E6812" s="31">
        <v>46243.0</v>
      </c>
      <c r="F6812" s="26" t="s">
        <v>164</v>
      </c>
      <c r="I6812" s="26" t="s">
        <v>951</v>
      </c>
      <c r="J6812" s="25" t="str">
        <f t="shared" si="76"/>
        <v>No</v>
      </c>
      <c r="K6812" s="25" t="str">
        <f t="shared" si="77"/>
        <v/>
      </c>
      <c r="L6812" s="25" t="str">
        <f t="shared" si="78"/>
        <v/>
      </c>
      <c r="M6812" s="25"/>
      <c r="O6812" s="25"/>
    </row>
    <row r="6813" ht="15.75" customHeight="1">
      <c r="A6813" s="25" t="str">
        <f>IFERROR(__xludf.DUMMYFUNCTION("IF(B6813="""","""",RIGHT(REGEXREPLACE(B6813&amp;"""",""[^0-9]"",""""),9))"),"779511276")</f>
        <v>779511276</v>
      </c>
      <c r="B6813" s="52">
        <v>7.79511276E8</v>
      </c>
      <c r="C6813" s="28" t="s">
        <v>7071</v>
      </c>
      <c r="D6813" s="26" t="s">
        <v>64</v>
      </c>
      <c r="E6813" s="31">
        <v>46243.0</v>
      </c>
      <c r="F6813" s="26" t="s">
        <v>46</v>
      </c>
      <c r="G6813" s="26">
        <v>9.0</v>
      </c>
      <c r="I6813" s="26" t="s">
        <v>951</v>
      </c>
      <c r="J6813" s="25" t="str">
        <f t="shared" si="76"/>
        <v>No</v>
      </c>
      <c r="K6813" s="25" t="str">
        <f t="shared" si="77"/>
        <v/>
      </c>
      <c r="L6813" s="25" t="str">
        <f t="shared" si="78"/>
        <v/>
      </c>
      <c r="M6813" s="25"/>
      <c r="O6813" s="25"/>
    </row>
    <row r="6814" ht="15.75" customHeight="1">
      <c r="A6814" s="25" t="str">
        <f>IFERROR(__xludf.DUMMYFUNCTION("IF(B6814="""","""",RIGHT(REGEXREPLACE(B6814&amp;"""",""[^0-9]"",""""),9))"),"763853757")</f>
        <v>763853757</v>
      </c>
      <c r="B6814" s="52">
        <v>7.63853757E8</v>
      </c>
      <c r="C6814" s="28" t="s">
        <v>7072</v>
      </c>
      <c r="D6814" s="26" t="s">
        <v>45</v>
      </c>
      <c r="E6814" s="31">
        <v>46243.0</v>
      </c>
      <c r="F6814" s="26" t="s">
        <v>46</v>
      </c>
      <c r="G6814" s="26">
        <v>9.0</v>
      </c>
      <c r="I6814" s="26" t="s">
        <v>951</v>
      </c>
      <c r="J6814" s="25" t="str">
        <f t="shared" si="76"/>
        <v>No</v>
      </c>
      <c r="K6814" s="25" t="str">
        <f t="shared" si="77"/>
        <v/>
      </c>
      <c r="L6814" s="25" t="str">
        <f t="shared" si="78"/>
        <v/>
      </c>
      <c r="M6814" s="25"/>
      <c r="O6814" s="25"/>
    </row>
    <row r="6815" ht="15.75" customHeight="1">
      <c r="A6815" s="25" t="str">
        <f>IFERROR(__xludf.DUMMYFUNCTION("IF(B6815="""","""",RIGHT(REGEXREPLACE(B6815&amp;"""",""[^0-9]"",""""),9))"),"742205481")</f>
        <v>742205481</v>
      </c>
      <c r="B6815" s="52">
        <v>7.42205481E8</v>
      </c>
      <c r="C6815" s="28" t="s">
        <v>7073</v>
      </c>
      <c r="D6815" s="26" t="s">
        <v>82</v>
      </c>
      <c r="E6815" s="31">
        <v>46243.0</v>
      </c>
      <c r="F6815" s="26" t="s">
        <v>46</v>
      </c>
      <c r="G6815" s="26">
        <v>10.0</v>
      </c>
      <c r="H6815" s="26" t="s">
        <v>7074</v>
      </c>
      <c r="I6815" s="26" t="s">
        <v>951</v>
      </c>
      <c r="J6815" s="25" t="str">
        <f t="shared" si="76"/>
        <v>No</v>
      </c>
      <c r="K6815" s="25" t="str">
        <f t="shared" si="77"/>
        <v/>
      </c>
      <c r="L6815" s="25" t="str">
        <f t="shared" si="78"/>
        <v/>
      </c>
      <c r="M6815" s="25"/>
      <c r="O6815" s="25"/>
    </row>
    <row r="6816" ht="15.75" customHeight="1">
      <c r="A6816" s="25" t="str">
        <f>IFERROR(__xludf.DUMMYFUNCTION("IF(B6816="""","""",RIGHT(REGEXREPLACE(B6816&amp;"""",""[^0-9]"",""""),9))"),"711487999")</f>
        <v>711487999</v>
      </c>
      <c r="B6816" s="52">
        <v>7.11487999E8</v>
      </c>
      <c r="C6816" s="28" t="s">
        <v>7075</v>
      </c>
      <c r="D6816" s="26" t="s">
        <v>56</v>
      </c>
      <c r="E6816" s="31">
        <v>46243.0</v>
      </c>
      <c r="F6816" s="26" t="s">
        <v>46</v>
      </c>
      <c r="G6816" s="26">
        <v>9.0</v>
      </c>
      <c r="I6816" s="26" t="s">
        <v>951</v>
      </c>
      <c r="J6816" s="25" t="str">
        <f t="shared" si="76"/>
        <v>No</v>
      </c>
      <c r="K6816" s="25" t="str">
        <f t="shared" si="77"/>
        <v/>
      </c>
      <c r="L6816" s="25" t="str">
        <f t="shared" si="78"/>
        <v/>
      </c>
      <c r="M6816" s="25"/>
      <c r="O6816" s="25"/>
    </row>
    <row r="6817" ht="15.75" customHeight="1">
      <c r="C6817" s="46"/>
      <c r="D6817" s="25"/>
      <c r="F6817" s="25"/>
      <c r="I6817" s="26" t="s">
        <v>951</v>
      </c>
      <c r="M6817" s="25"/>
      <c r="O6817" s="25"/>
    </row>
    <row r="6818" ht="15.75" customHeight="1">
      <c r="A6818" s="25" t="str">
        <f>IFERROR(__xludf.DUMMYFUNCTION("IF(B6818="""","""",RIGHT(REGEXREPLACE(B6818&amp;"""",""[^0-9]"",""""),9))"),"701434374")</f>
        <v>701434374</v>
      </c>
      <c r="B6818" s="52">
        <v>7.01434374E8</v>
      </c>
      <c r="C6818" s="28" t="s">
        <v>7076</v>
      </c>
      <c r="D6818" s="26" t="s">
        <v>56</v>
      </c>
      <c r="E6818" s="31">
        <v>46243.0</v>
      </c>
      <c r="F6818" s="26" t="s">
        <v>205</v>
      </c>
      <c r="I6818" s="26" t="s">
        <v>951</v>
      </c>
      <c r="J6818" s="25" t="str">
        <f t="shared" ref="J6818:J7077" si="79">IF(COUNTIF($A$2:A6817,A6818)&gt;0,"Yes - see Previous F-Code","No")</f>
        <v>No</v>
      </c>
      <c r="K6818" s="25" t="str">
        <f t="shared" ref="K6818:K7077" si="80">IF(COUNTIFS($A$2:A6818,A6818,$I$2:I6818,I6818)&gt;1,"DUPLICATE - CHECK","")</f>
        <v/>
      </c>
      <c r="L6818" s="25" t="str">
        <f t="shared" ref="L6818:L7077" si="81">IF(COUNTIF($A$2:A6817,A6818)&gt;0,INDEX($C$2:C6817,MATCH(A6818,$A$2:A6817,0)),"")</f>
        <v/>
      </c>
      <c r="M6818" s="25"/>
      <c r="O6818" s="25"/>
    </row>
    <row r="6819" ht="15.75" customHeight="1">
      <c r="A6819" s="25" t="str">
        <f>IFERROR(__xludf.DUMMYFUNCTION("IF(B6819="""","""",RIGHT(REGEXREPLACE(B6819&amp;"""",""[^0-9]"",""""),9))"),"775791238")</f>
        <v>775791238</v>
      </c>
      <c r="B6819" s="52">
        <v>7.75791238E8</v>
      </c>
      <c r="C6819" s="28" t="s">
        <v>7077</v>
      </c>
      <c r="D6819" s="26" t="s">
        <v>49</v>
      </c>
      <c r="E6819" s="31">
        <v>46243.0</v>
      </c>
      <c r="F6819" s="26" t="s">
        <v>41</v>
      </c>
      <c r="G6819" s="26">
        <v>9.0</v>
      </c>
      <c r="I6819" s="26" t="s">
        <v>951</v>
      </c>
      <c r="J6819" s="25" t="str">
        <f t="shared" si="79"/>
        <v>No</v>
      </c>
      <c r="K6819" s="25" t="str">
        <f t="shared" si="80"/>
        <v/>
      </c>
      <c r="L6819" s="25" t="str">
        <f t="shared" si="81"/>
        <v/>
      </c>
      <c r="M6819" s="25"/>
      <c r="O6819" s="25"/>
    </row>
    <row r="6820" ht="15.75" customHeight="1">
      <c r="A6820" s="25" t="str">
        <f>IFERROR(__xludf.DUMMYFUNCTION("IF(B6820="""","""",RIGHT(REGEXREPLACE(B6820&amp;"""",""[^0-9]"",""""),9))"),"777177612")</f>
        <v>777177612</v>
      </c>
      <c r="B6820" s="52">
        <v>7.77177612E8</v>
      </c>
      <c r="C6820" s="28" t="s">
        <v>7078</v>
      </c>
      <c r="D6820" s="26" t="s">
        <v>64</v>
      </c>
      <c r="E6820" s="31">
        <v>46243.0</v>
      </c>
      <c r="F6820" s="26" t="s">
        <v>46</v>
      </c>
      <c r="G6820" s="26">
        <v>10.0</v>
      </c>
      <c r="I6820" s="26" t="s">
        <v>951</v>
      </c>
      <c r="J6820" s="25" t="str">
        <f t="shared" si="79"/>
        <v>No</v>
      </c>
      <c r="K6820" s="25" t="str">
        <f t="shared" si="80"/>
        <v/>
      </c>
      <c r="L6820" s="25" t="str">
        <f t="shared" si="81"/>
        <v/>
      </c>
      <c r="M6820" s="25"/>
      <c r="O6820" s="25"/>
    </row>
    <row r="6821" ht="15.75" customHeight="1">
      <c r="A6821" s="25" t="str">
        <f>IFERROR(__xludf.DUMMYFUNCTION("IF(B6821="""","""",RIGHT(REGEXREPLACE(B6821&amp;"""",""[^0-9]"",""""),9))"),"715784242")</f>
        <v>715784242</v>
      </c>
      <c r="B6821" s="52">
        <v>7.15784242E8</v>
      </c>
      <c r="C6821" s="28" t="s">
        <v>7079</v>
      </c>
      <c r="D6821" s="26" t="s">
        <v>82</v>
      </c>
      <c r="E6821" s="31">
        <v>46243.0</v>
      </c>
      <c r="F6821" s="26" t="s">
        <v>41</v>
      </c>
      <c r="I6821" s="26" t="s">
        <v>951</v>
      </c>
      <c r="J6821" s="25" t="str">
        <f t="shared" si="79"/>
        <v>No</v>
      </c>
      <c r="K6821" s="25" t="str">
        <f t="shared" si="80"/>
        <v/>
      </c>
      <c r="L6821" s="25" t="str">
        <f t="shared" si="81"/>
        <v/>
      </c>
      <c r="M6821" s="25"/>
      <c r="O6821" s="25"/>
    </row>
    <row r="6822" ht="15.75" customHeight="1">
      <c r="A6822" s="25" t="str">
        <f>IFERROR(__xludf.DUMMYFUNCTION("IF(B6822="""","""",RIGHT(REGEXREPLACE(B6822&amp;"""",""[^0-9]"",""""),9))"),"768961001")</f>
        <v>768961001</v>
      </c>
      <c r="B6822" s="52">
        <v>7.68961001E8</v>
      </c>
      <c r="C6822" s="28" t="s">
        <v>7080</v>
      </c>
      <c r="D6822" s="26" t="s">
        <v>49</v>
      </c>
      <c r="E6822" s="31">
        <v>46243.0</v>
      </c>
      <c r="F6822" s="26" t="s">
        <v>46</v>
      </c>
      <c r="G6822" s="26">
        <v>11.0</v>
      </c>
      <c r="H6822" s="117" t="s">
        <v>7081</v>
      </c>
      <c r="I6822" s="26" t="s">
        <v>951</v>
      </c>
      <c r="J6822" s="25" t="str">
        <f t="shared" si="79"/>
        <v>No</v>
      </c>
      <c r="K6822" s="25" t="str">
        <f t="shared" si="80"/>
        <v/>
      </c>
      <c r="L6822" s="25" t="str">
        <f t="shared" si="81"/>
        <v/>
      </c>
      <c r="M6822" s="25"/>
      <c r="O6822" s="25"/>
    </row>
    <row r="6823" ht="15.75" customHeight="1">
      <c r="A6823" s="25" t="str">
        <f>IFERROR(__xludf.DUMMYFUNCTION("IF(B6823="""","""",RIGHT(REGEXREPLACE(B6823&amp;"""",""[^0-9]"",""""),9))"),"711685071")</f>
        <v>711685071</v>
      </c>
      <c r="B6823" s="52">
        <v>7.11685071E8</v>
      </c>
      <c r="C6823" s="28" t="s">
        <v>7082</v>
      </c>
      <c r="D6823" s="26" t="s">
        <v>45</v>
      </c>
      <c r="E6823" s="31">
        <v>46243.0</v>
      </c>
      <c r="F6823" s="26" t="s">
        <v>46</v>
      </c>
      <c r="G6823" s="26">
        <v>9.0</v>
      </c>
      <c r="I6823" s="26" t="s">
        <v>951</v>
      </c>
      <c r="J6823" s="25" t="str">
        <f t="shared" si="79"/>
        <v>No</v>
      </c>
      <c r="K6823" s="25" t="str">
        <f t="shared" si="80"/>
        <v/>
      </c>
      <c r="L6823" s="25" t="str">
        <f t="shared" si="81"/>
        <v/>
      </c>
      <c r="M6823" s="25"/>
      <c r="O6823" s="25"/>
    </row>
    <row r="6824" ht="15.75" customHeight="1">
      <c r="A6824" s="25" t="str">
        <f>IFERROR(__xludf.DUMMYFUNCTION("IF(B6824="""","""",RIGHT(REGEXREPLACE(B6824&amp;"""",""[^0-9]"",""""),9))"),"751418338")</f>
        <v>751418338</v>
      </c>
      <c r="B6824" s="52">
        <v>7.51418338E8</v>
      </c>
      <c r="C6824" s="28" t="s">
        <v>7083</v>
      </c>
      <c r="D6824" s="26" t="s">
        <v>82</v>
      </c>
      <c r="E6824" s="31">
        <v>46243.0</v>
      </c>
      <c r="F6824" s="26" t="s">
        <v>704</v>
      </c>
      <c r="G6824" s="26">
        <v>9.0</v>
      </c>
      <c r="I6824" s="26" t="s">
        <v>951</v>
      </c>
      <c r="J6824" s="25" t="str">
        <f t="shared" si="79"/>
        <v>No</v>
      </c>
      <c r="K6824" s="25" t="str">
        <f t="shared" si="80"/>
        <v/>
      </c>
      <c r="L6824" s="25" t="str">
        <f t="shared" si="81"/>
        <v/>
      </c>
      <c r="M6824" s="25"/>
      <c r="O6824" s="25"/>
    </row>
    <row r="6825" ht="15.75" customHeight="1">
      <c r="A6825" s="25" t="str">
        <f>IFERROR(__xludf.DUMMYFUNCTION("IF(B6825="""","""",RIGHT(REGEXREPLACE(B6825&amp;"""",""[^0-9]"",""""),9))"),"714722488")</f>
        <v>714722488</v>
      </c>
      <c r="B6825" s="52">
        <v>7.14722488E8</v>
      </c>
      <c r="C6825" s="28" t="s">
        <v>7084</v>
      </c>
      <c r="D6825" s="26" t="s">
        <v>56</v>
      </c>
      <c r="E6825" s="31">
        <v>46243.0</v>
      </c>
      <c r="F6825" s="26" t="s">
        <v>205</v>
      </c>
      <c r="G6825" s="26">
        <v>9.0</v>
      </c>
      <c r="I6825" s="26" t="s">
        <v>951</v>
      </c>
      <c r="J6825" s="25" t="str">
        <f t="shared" si="79"/>
        <v>No</v>
      </c>
      <c r="K6825" s="25" t="str">
        <f t="shared" si="80"/>
        <v/>
      </c>
      <c r="L6825" s="25" t="str">
        <f t="shared" si="81"/>
        <v/>
      </c>
      <c r="M6825" s="25"/>
      <c r="O6825" s="25"/>
    </row>
    <row r="6826" ht="15.75" customHeight="1">
      <c r="A6826" s="25" t="str">
        <f>IFERROR(__xludf.DUMMYFUNCTION("IF(B6826="""","""",RIGHT(REGEXREPLACE(B6826&amp;"""",""[^0-9]"",""""),9))"),"701911052")</f>
        <v>701911052</v>
      </c>
      <c r="B6826" s="52">
        <v>7.01911052E8</v>
      </c>
      <c r="C6826" s="28" t="s">
        <v>7085</v>
      </c>
      <c r="D6826" s="26" t="s">
        <v>82</v>
      </c>
      <c r="E6826" s="31">
        <v>46243.0</v>
      </c>
      <c r="F6826" s="26" t="s">
        <v>46</v>
      </c>
      <c r="G6826" s="26">
        <v>8.0</v>
      </c>
      <c r="I6826" s="26" t="s">
        <v>951</v>
      </c>
      <c r="J6826" s="25" t="str">
        <f t="shared" si="79"/>
        <v>No</v>
      </c>
      <c r="K6826" s="25" t="str">
        <f t="shared" si="80"/>
        <v/>
      </c>
      <c r="L6826" s="25" t="str">
        <f t="shared" si="81"/>
        <v/>
      </c>
      <c r="M6826" s="25"/>
      <c r="O6826" s="25"/>
    </row>
    <row r="6827" ht="15.75" customHeight="1">
      <c r="A6827" s="25" t="str">
        <f>IFERROR(__xludf.DUMMYFUNCTION("IF(B6827="""","""",RIGHT(REGEXREPLACE(B6827&amp;"""",""[^0-9]"",""""),9))"),"741188073")</f>
        <v>741188073</v>
      </c>
      <c r="B6827" s="52">
        <v>7.41188073E8</v>
      </c>
      <c r="C6827" s="28" t="s">
        <v>7086</v>
      </c>
      <c r="D6827" s="26" t="s">
        <v>64</v>
      </c>
      <c r="E6827" s="31">
        <v>46243.0</v>
      </c>
      <c r="F6827" s="26" t="s">
        <v>659</v>
      </c>
      <c r="G6827" s="26">
        <v>9.0</v>
      </c>
      <c r="I6827" s="26" t="s">
        <v>951</v>
      </c>
      <c r="J6827" s="25" t="str">
        <f t="shared" si="79"/>
        <v>No</v>
      </c>
      <c r="K6827" s="25" t="str">
        <f t="shared" si="80"/>
        <v/>
      </c>
      <c r="L6827" s="25" t="str">
        <f t="shared" si="81"/>
        <v/>
      </c>
      <c r="M6827" s="25"/>
      <c r="O6827" s="25"/>
    </row>
    <row r="6828" ht="15.75" customHeight="1">
      <c r="A6828" s="25" t="str">
        <f>IFERROR(__xludf.DUMMYFUNCTION("IF(B6828="""","""",RIGHT(REGEXREPLACE(B6828&amp;"""",""[^0-9]"",""""),9))"),"701993161")</f>
        <v>701993161</v>
      </c>
      <c r="B6828" s="52">
        <v>7.01993161E8</v>
      </c>
      <c r="C6828" s="28" t="s">
        <v>7087</v>
      </c>
      <c r="D6828" s="26" t="s">
        <v>56</v>
      </c>
      <c r="E6828" s="31">
        <v>46243.0</v>
      </c>
      <c r="F6828" s="26" t="s">
        <v>631</v>
      </c>
      <c r="G6828" s="26">
        <v>9.0</v>
      </c>
      <c r="H6828" s="26" t="s">
        <v>763</v>
      </c>
      <c r="I6828" s="26" t="s">
        <v>951</v>
      </c>
      <c r="J6828" s="25" t="str">
        <f t="shared" si="79"/>
        <v>No</v>
      </c>
      <c r="K6828" s="25" t="str">
        <f t="shared" si="80"/>
        <v/>
      </c>
      <c r="L6828" s="25" t="str">
        <f t="shared" si="81"/>
        <v/>
      </c>
      <c r="M6828" s="25"/>
      <c r="O6828" s="25"/>
    </row>
    <row r="6829" ht="15.75" customHeight="1">
      <c r="A6829" s="25" t="str">
        <f>IFERROR(__xludf.DUMMYFUNCTION("IF(B6829="""","""",RIGHT(REGEXREPLACE(B6829&amp;"""",""[^0-9]"",""""),9))"),"762340374")</f>
        <v>762340374</v>
      </c>
      <c r="B6829" s="52">
        <v>7.62340374E8</v>
      </c>
      <c r="C6829" s="28" t="s">
        <v>7088</v>
      </c>
      <c r="D6829" s="26" t="s">
        <v>64</v>
      </c>
      <c r="E6829" s="31">
        <v>46243.0</v>
      </c>
      <c r="F6829" s="26" t="s">
        <v>46</v>
      </c>
      <c r="H6829" s="26" t="s">
        <v>763</v>
      </c>
      <c r="I6829" s="26" t="s">
        <v>951</v>
      </c>
      <c r="J6829" s="25" t="str">
        <f t="shared" si="79"/>
        <v>No</v>
      </c>
      <c r="K6829" s="25" t="str">
        <f t="shared" si="80"/>
        <v/>
      </c>
      <c r="L6829" s="25" t="str">
        <f t="shared" si="81"/>
        <v/>
      </c>
      <c r="M6829" s="25"/>
      <c r="O6829" s="25"/>
    </row>
    <row r="6830" ht="15.75" customHeight="1">
      <c r="A6830" s="25" t="str">
        <f>IFERROR(__xludf.DUMMYFUNCTION("IF(B6830="""","""",RIGHT(REGEXREPLACE(B6830&amp;"""",""[^0-9]"",""""),9))"),"740188503")</f>
        <v>740188503</v>
      </c>
      <c r="B6830" s="52">
        <v>7.40188503E8</v>
      </c>
      <c r="C6830" s="28" t="s">
        <v>7089</v>
      </c>
      <c r="D6830" s="26" t="s">
        <v>45</v>
      </c>
      <c r="E6830" s="31">
        <v>46243.0</v>
      </c>
      <c r="F6830" s="26" t="s">
        <v>84</v>
      </c>
      <c r="G6830" s="26">
        <v>10.0</v>
      </c>
      <c r="H6830" s="26" t="s">
        <v>7090</v>
      </c>
      <c r="I6830" s="26" t="s">
        <v>951</v>
      </c>
      <c r="J6830" s="25" t="str">
        <f t="shared" si="79"/>
        <v>No</v>
      </c>
      <c r="K6830" s="25" t="str">
        <f t="shared" si="80"/>
        <v/>
      </c>
      <c r="L6830" s="25" t="str">
        <f t="shared" si="81"/>
        <v/>
      </c>
      <c r="M6830" s="25"/>
      <c r="O6830" s="25"/>
    </row>
    <row r="6831" ht="15.75" customHeight="1">
      <c r="A6831" s="25" t="str">
        <f>IFERROR(__xludf.DUMMYFUNCTION("IF(B6831="""","""",RIGHT(REGEXREPLACE(B6831&amp;"""",""[^0-9]"",""""),9))"),"703299959")</f>
        <v>703299959</v>
      </c>
      <c r="B6831" s="52">
        <v>7.03299959E8</v>
      </c>
      <c r="C6831" s="28" t="s">
        <v>7091</v>
      </c>
      <c r="D6831" s="26" t="s">
        <v>82</v>
      </c>
      <c r="E6831" s="31">
        <v>46243.0</v>
      </c>
      <c r="F6831" s="26" t="s">
        <v>46</v>
      </c>
      <c r="G6831" s="26">
        <v>9.0</v>
      </c>
      <c r="I6831" s="26" t="s">
        <v>951</v>
      </c>
      <c r="J6831" s="25" t="str">
        <f t="shared" si="79"/>
        <v>No</v>
      </c>
      <c r="K6831" s="25" t="str">
        <f t="shared" si="80"/>
        <v/>
      </c>
      <c r="L6831" s="25" t="str">
        <f t="shared" si="81"/>
        <v/>
      </c>
      <c r="M6831" s="25"/>
      <c r="O6831" s="26" t="s">
        <v>51</v>
      </c>
    </row>
    <row r="6832" ht="15.75" customHeight="1">
      <c r="A6832" s="25" t="str">
        <f>IFERROR(__xludf.DUMMYFUNCTION("IF(B6832="""","""",RIGHT(REGEXREPLACE(B6832&amp;"""",""[^0-9]"",""""),9))"),"779415068")</f>
        <v>779415068</v>
      </c>
      <c r="B6832" s="52">
        <v>7.79415068E8</v>
      </c>
      <c r="C6832" s="28" t="s">
        <v>7092</v>
      </c>
      <c r="D6832" s="26" t="s">
        <v>64</v>
      </c>
      <c r="E6832" s="31">
        <v>46243.0</v>
      </c>
      <c r="F6832" s="26" t="s">
        <v>41</v>
      </c>
      <c r="G6832" s="26">
        <v>9.0</v>
      </c>
      <c r="I6832" s="26" t="s">
        <v>951</v>
      </c>
      <c r="J6832" s="25" t="str">
        <f t="shared" si="79"/>
        <v>No</v>
      </c>
      <c r="K6832" s="25" t="str">
        <f t="shared" si="80"/>
        <v/>
      </c>
      <c r="L6832" s="25" t="str">
        <f t="shared" si="81"/>
        <v/>
      </c>
      <c r="M6832" s="25"/>
      <c r="O6832" s="25"/>
    </row>
    <row r="6833" ht="15.75" customHeight="1">
      <c r="A6833" s="25" t="str">
        <f>IFERROR(__xludf.DUMMYFUNCTION("IF(B6833="""","""",RIGHT(REGEXREPLACE(B6833&amp;"""",""[^0-9]"",""""),9))"),"714191984")</f>
        <v>714191984</v>
      </c>
      <c r="B6833" s="52">
        <v>7.14191984E8</v>
      </c>
      <c r="C6833" s="28" t="s">
        <v>7093</v>
      </c>
      <c r="D6833" s="26" t="s">
        <v>49</v>
      </c>
      <c r="E6833" s="31">
        <v>46243.0</v>
      </c>
      <c r="F6833" s="26" t="s">
        <v>46</v>
      </c>
      <c r="G6833" s="26">
        <v>7.0</v>
      </c>
      <c r="H6833" s="26" t="s">
        <v>6958</v>
      </c>
      <c r="I6833" s="26" t="s">
        <v>951</v>
      </c>
      <c r="J6833" s="25" t="str">
        <f t="shared" si="79"/>
        <v>No</v>
      </c>
      <c r="K6833" s="25" t="str">
        <f t="shared" si="80"/>
        <v/>
      </c>
      <c r="L6833" s="25" t="str">
        <f t="shared" si="81"/>
        <v/>
      </c>
      <c r="M6833" s="25"/>
      <c r="O6833" s="25"/>
    </row>
    <row r="6834" ht="15.75" customHeight="1">
      <c r="A6834" s="25" t="str">
        <f>IFERROR(__xludf.DUMMYFUNCTION("IF(B6834="""","""",RIGHT(REGEXREPLACE(B6834&amp;"""",""[^0-9]"",""""),9))"),"740397200")</f>
        <v>740397200</v>
      </c>
      <c r="B6834" s="52">
        <v>7.403972E8</v>
      </c>
      <c r="C6834" s="28" t="s">
        <v>7094</v>
      </c>
      <c r="D6834" s="26" t="s">
        <v>45</v>
      </c>
      <c r="E6834" s="31">
        <v>46243.0</v>
      </c>
      <c r="F6834" s="26" t="s">
        <v>46</v>
      </c>
      <c r="G6834" s="26">
        <v>10.0</v>
      </c>
      <c r="H6834" s="26" t="s">
        <v>7095</v>
      </c>
      <c r="I6834" s="26" t="s">
        <v>951</v>
      </c>
      <c r="J6834" s="25" t="str">
        <f t="shared" si="79"/>
        <v>No</v>
      </c>
      <c r="K6834" s="25" t="str">
        <f t="shared" si="80"/>
        <v/>
      </c>
      <c r="L6834" s="25" t="str">
        <f t="shared" si="81"/>
        <v/>
      </c>
      <c r="M6834" s="25"/>
      <c r="O6834" s="25"/>
    </row>
    <row r="6835" ht="15.75" customHeight="1">
      <c r="A6835" s="25" t="str">
        <f>IFERROR(__xludf.DUMMYFUNCTION("IF(B6835="""","""",RIGHT(REGEXREPLACE(B6835&amp;"""",""[^0-9]"",""""),9))"),"777415352")</f>
        <v>777415352</v>
      </c>
      <c r="B6835" s="52">
        <v>7.77415352E8</v>
      </c>
      <c r="C6835" s="28" t="s">
        <v>7096</v>
      </c>
      <c r="D6835" s="26" t="s">
        <v>82</v>
      </c>
      <c r="E6835" s="31">
        <v>46243.0</v>
      </c>
      <c r="F6835" s="26" t="s">
        <v>46</v>
      </c>
      <c r="G6835" s="26">
        <v>9.0</v>
      </c>
      <c r="H6835" s="26" t="s">
        <v>7097</v>
      </c>
      <c r="I6835" s="26" t="s">
        <v>951</v>
      </c>
      <c r="J6835" s="25" t="str">
        <f t="shared" si="79"/>
        <v>No</v>
      </c>
      <c r="K6835" s="25" t="str">
        <f t="shared" si="80"/>
        <v/>
      </c>
      <c r="L6835" s="25" t="str">
        <f t="shared" si="81"/>
        <v/>
      </c>
      <c r="M6835" s="25"/>
      <c r="O6835" s="25"/>
    </row>
    <row r="6836" ht="15.75" customHeight="1">
      <c r="A6836" s="25" t="str">
        <f>IFERROR(__xludf.DUMMYFUNCTION("IF(B6836="""","""",RIGHT(REGEXREPLACE(B6836&amp;"""",""[^0-9]"",""""),9))"),"760621836")</f>
        <v>760621836</v>
      </c>
      <c r="B6836" s="52">
        <v>7.60621836E8</v>
      </c>
      <c r="C6836" s="28" t="s">
        <v>7098</v>
      </c>
      <c r="D6836" s="26" t="s">
        <v>45</v>
      </c>
      <c r="E6836" s="31">
        <v>46243.0</v>
      </c>
      <c r="F6836" s="26" t="s">
        <v>46</v>
      </c>
      <c r="G6836" s="26">
        <v>9.0</v>
      </c>
      <c r="I6836" s="26" t="s">
        <v>951</v>
      </c>
      <c r="J6836" s="25" t="str">
        <f t="shared" si="79"/>
        <v>No</v>
      </c>
      <c r="K6836" s="25" t="str">
        <f t="shared" si="80"/>
        <v/>
      </c>
      <c r="L6836" s="25" t="str">
        <f t="shared" si="81"/>
        <v/>
      </c>
      <c r="M6836" s="25"/>
      <c r="O6836" s="25"/>
    </row>
    <row r="6837" ht="15.75" customHeight="1">
      <c r="A6837" s="25" t="str">
        <f>IFERROR(__xludf.DUMMYFUNCTION("IF(B6837="""","""",RIGHT(REGEXREPLACE(B6837&amp;"""",""[^0-9]"",""""),9))"),"777652364")</f>
        <v>777652364</v>
      </c>
      <c r="B6837" s="52">
        <v>7.77652364E8</v>
      </c>
      <c r="C6837" s="28" t="s">
        <v>7099</v>
      </c>
      <c r="D6837" s="26" t="s">
        <v>56</v>
      </c>
      <c r="E6837" s="31">
        <v>46243.0</v>
      </c>
      <c r="F6837" s="26" t="s">
        <v>46</v>
      </c>
      <c r="G6837" s="26">
        <v>11.0</v>
      </c>
      <c r="I6837" s="26" t="s">
        <v>951</v>
      </c>
      <c r="J6837" s="25" t="str">
        <f t="shared" si="79"/>
        <v>No</v>
      </c>
      <c r="K6837" s="25" t="str">
        <f t="shared" si="80"/>
        <v/>
      </c>
      <c r="L6837" s="25" t="str">
        <f t="shared" si="81"/>
        <v/>
      </c>
      <c r="M6837" s="25"/>
      <c r="O6837" s="25"/>
    </row>
    <row r="6838" ht="15.75" customHeight="1">
      <c r="A6838" s="25" t="str">
        <f>IFERROR(__xludf.DUMMYFUNCTION("IF(B6838="""","""",RIGHT(REGEXREPLACE(B6838&amp;"""",""[^0-9]"",""""),9))"),"778801399")</f>
        <v>778801399</v>
      </c>
      <c r="B6838" s="52">
        <v>7.78801399E8</v>
      </c>
      <c r="C6838" s="28" t="s">
        <v>7100</v>
      </c>
      <c r="D6838" s="26" t="s">
        <v>82</v>
      </c>
      <c r="E6838" s="31">
        <v>46243.0</v>
      </c>
      <c r="F6838" s="26" t="s">
        <v>46</v>
      </c>
      <c r="G6838" s="26">
        <v>9.0</v>
      </c>
      <c r="I6838" s="26" t="s">
        <v>951</v>
      </c>
      <c r="J6838" s="25" t="str">
        <f t="shared" si="79"/>
        <v>No</v>
      </c>
      <c r="K6838" s="25" t="str">
        <f t="shared" si="80"/>
        <v/>
      </c>
      <c r="L6838" s="25" t="str">
        <f t="shared" si="81"/>
        <v/>
      </c>
      <c r="M6838" s="25"/>
      <c r="O6838" s="25"/>
    </row>
    <row r="6839" ht="15.75" customHeight="1">
      <c r="A6839" s="25" t="str">
        <f>IFERROR(__xludf.DUMMYFUNCTION("IF(B6839="""","""",RIGHT(REGEXREPLACE(B6839&amp;"""",""[^0-9]"",""""),9))"),"770482106")</f>
        <v>770482106</v>
      </c>
      <c r="B6839" s="52">
        <v>7.70482106E8</v>
      </c>
      <c r="C6839" s="28" t="s">
        <v>7101</v>
      </c>
      <c r="D6839" s="26" t="s">
        <v>49</v>
      </c>
      <c r="E6839" s="31">
        <v>46243.0</v>
      </c>
      <c r="F6839" s="26" t="s">
        <v>46</v>
      </c>
      <c r="G6839" s="26">
        <v>9.0</v>
      </c>
      <c r="I6839" s="26" t="s">
        <v>951</v>
      </c>
      <c r="J6839" s="25" t="str">
        <f t="shared" si="79"/>
        <v>No</v>
      </c>
      <c r="K6839" s="25" t="str">
        <f t="shared" si="80"/>
        <v/>
      </c>
      <c r="L6839" s="25" t="str">
        <f t="shared" si="81"/>
        <v/>
      </c>
      <c r="M6839" s="25"/>
      <c r="O6839" s="25"/>
    </row>
    <row r="6840" ht="15.75" customHeight="1">
      <c r="A6840" s="25" t="str">
        <f>IFERROR(__xludf.DUMMYFUNCTION("IF(B6840="""","""",RIGHT(REGEXREPLACE(B6840&amp;"""",""[^0-9]"",""""),9))"),"779218037")</f>
        <v>779218037</v>
      </c>
      <c r="B6840" s="52">
        <v>7.79218037E8</v>
      </c>
      <c r="C6840" s="28" t="s">
        <v>7102</v>
      </c>
      <c r="D6840" s="26" t="s">
        <v>64</v>
      </c>
      <c r="E6840" s="31">
        <v>46243.0</v>
      </c>
      <c r="F6840" s="26" t="s">
        <v>46</v>
      </c>
      <c r="G6840" s="26">
        <v>10.0</v>
      </c>
      <c r="H6840" s="26" t="s">
        <v>78</v>
      </c>
      <c r="I6840" s="26" t="s">
        <v>951</v>
      </c>
      <c r="J6840" s="25" t="str">
        <f t="shared" si="79"/>
        <v>No</v>
      </c>
      <c r="K6840" s="25" t="str">
        <f t="shared" si="80"/>
        <v/>
      </c>
      <c r="L6840" s="25" t="str">
        <f t="shared" si="81"/>
        <v/>
      </c>
      <c r="M6840" s="25"/>
      <c r="O6840" s="25"/>
    </row>
    <row r="6841" ht="15.75" customHeight="1">
      <c r="A6841" s="25" t="str">
        <f>IFERROR(__xludf.DUMMYFUNCTION("IF(B6841="""","""",RIGHT(REGEXREPLACE(B6841&amp;"""",""[^0-9]"",""""),9))"),"774084072")</f>
        <v>774084072</v>
      </c>
      <c r="B6841" s="52">
        <v>7.74084072E8</v>
      </c>
      <c r="C6841" s="28" t="s">
        <v>7103</v>
      </c>
      <c r="D6841" s="26" t="s">
        <v>45</v>
      </c>
      <c r="E6841" s="31">
        <v>46243.0</v>
      </c>
      <c r="F6841" s="26" t="s">
        <v>41</v>
      </c>
      <c r="I6841" s="26" t="s">
        <v>951</v>
      </c>
      <c r="J6841" s="25" t="str">
        <f t="shared" si="79"/>
        <v>No</v>
      </c>
      <c r="K6841" s="25" t="str">
        <f t="shared" si="80"/>
        <v/>
      </c>
      <c r="L6841" s="25" t="str">
        <f t="shared" si="81"/>
        <v/>
      </c>
      <c r="M6841" s="25"/>
      <c r="O6841" s="25"/>
    </row>
    <row r="6842" ht="15.75" customHeight="1">
      <c r="A6842" s="25" t="str">
        <f>IFERROR(__xludf.DUMMYFUNCTION("IF(B6842="""","""",RIGHT(REGEXREPLACE(B6842&amp;"""",""[^0-9]"",""""),9))"),"720891955")</f>
        <v>720891955</v>
      </c>
      <c r="B6842" s="52">
        <v>7.20891955E8</v>
      </c>
      <c r="C6842" s="28" t="s">
        <v>7104</v>
      </c>
      <c r="D6842" s="26" t="s">
        <v>45</v>
      </c>
      <c r="E6842" s="31">
        <v>46243.0</v>
      </c>
      <c r="F6842" s="26" t="s">
        <v>46</v>
      </c>
      <c r="G6842" s="26">
        <v>9.0</v>
      </c>
      <c r="I6842" s="26" t="s">
        <v>951</v>
      </c>
      <c r="J6842" s="25" t="str">
        <f t="shared" si="79"/>
        <v>No</v>
      </c>
      <c r="K6842" s="25" t="str">
        <f t="shared" si="80"/>
        <v/>
      </c>
      <c r="L6842" s="25" t="str">
        <f t="shared" si="81"/>
        <v/>
      </c>
      <c r="M6842" s="25"/>
      <c r="O6842" s="25"/>
    </row>
    <row r="6843" ht="15.75" customHeight="1">
      <c r="A6843" s="25" t="str">
        <f>IFERROR(__xludf.DUMMYFUNCTION("IF(B6843="""","""",RIGHT(REGEXREPLACE(B6843&amp;"""",""[^0-9]"",""""),9))"),"770336424")</f>
        <v>770336424</v>
      </c>
      <c r="B6843" s="52">
        <v>7.70336424E8</v>
      </c>
      <c r="C6843" s="28" t="s">
        <v>7105</v>
      </c>
      <c r="D6843" s="26" t="s">
        <v>56</v>
      </c>
      <c r="E6843" s="31">
        <v>46243.0</v>
      </c>
      <c r="F6843" s="26" t="s">
        <v>46</v>
      </c>
      <c r="G6843" s="26" t="s">
        <v>4647</v>
      </c>
      <c r="I6843" s="26" t="s">
        <v>951</v>
      </c>
      <c r="J6843" s="25" t="str">
        <f t="shared" si="79"/>
        <v>No</v>
      </c>
      <c r="K6843" s="25" t="str">
        <f t="shared" si="80"/>
        <v/>
      </c>
      <c r="L6843" s="25" t="str">
        <f t="shared" si="81"/>
        <v/>
      </c>
      <c r="M6843" s="25"/>
      <c r="O6843" s="25"/>
    </row>
    <row r="6844" ht="15.75" customHeight="1">
      <c r="A6844" s="25" t="str">
        <f>IFERROR(__xludf.DUMMYFUNCTION("IF(B6844="""","""",RIGHT(REGEXREPLACE(B6844&amp;"""",""[^0-9]"",""""),9))"),"704941388")</f>
        <v>704941388</v>
      </c>
      <c r="B6844" s="52">
        <v>7.04941388E8</v>
      </c>
      <c r="C6844" s="28" t="s">
        <v>7106</v>
      </c>
      <c r="D6844" s="26" t="s">
        <v>64</v>
      </c>
      <c r="E6844" s="31">
        <v>46243.0</v>
      </c>
      <c r="F6844" s="26" t="s">
        <v>46</v>
      </c>
      <c r="G6844" s="26">
        <v>9.0</v>
      </c>
      <c r="I6844" s="26" t="s">
        <v>951</v>
      </c>
      <c r="J6844" s="25" t="str">
        <f t="shared" si="79"/>
        <v>No</v>
      </c>
      <c r="K6844" s="25" t="str">
        <f t="shared" si="80"/>
        <v/>
      </c>
      <c r="L6844" s="25" t="str">
        <f t="shared" si="81"/>
        <v/>
      </c>
      <c r="M6844" s="25"/>
      <c r="O6844" s="26" t="s">
        <v>51</v>
      </c>
    </row>
    <row r="6845" ht="15.75" customHeight="1">
      <c r="A6845" s="25" t="str">
        <f>IFERROR(__xludf.DUMMYFUNCTION("IF(B6845="""","""",RIGHT(REGEXREPLACE(B6845&amp;"""",""[^0-9]"",""""),9))"),"769054066")</f>
        <v>769054066</v>
      </c>
      <c r="B6845" s="52">
        <v>7.69054066E8</v>
      </c>
      <c r="C6845" s="28" t="s">
        <v>7107</v>
      </c>
      <c r="D6845" s="26" t="s">
        <v>49</v>
      </c>
      <c r="E6845" s="31">
        <v>46243.0</v>
      </c>
      <c r="F6845" s="26" t="s">
        <v>46</v>
      </c>
      <c r="G6845" s="26">
        <v>9.0</v>
      </c>
      <c r="I6845" s="26" t="s">
        <v>951</v>
      </c>
      <c r="J6845" s="25" t="str">
        <f t="shared" si="79"/>
        <v>No</v>
      </c>
      <c r="K6845" s="25" t="str">
        <f t="shared" si="80"/>
        <v/>
      </c>
      <c r="L6845" s="25" t="str">
        <f t="shared" si="81"/>
        <v/>
      </c>
      <c r="M6845" s="25"/>
      <c r="O6845" s="26" t="s">
        <v>51</v>
      </c>
    </row>
    <row r="6846" ht="15.75" customHeight="1">
      <c r="A6846" s="25" t="str">
        <f>IFERROR(__xludf.DUMMYFUNCTION("IF(B6846="""","""",RIGHT(REGEXREPLACE(B6846&amp;"""",""[^0-9]"",""""),9))"),"769242893")</f>
        <v>769242893</v>
      </c>
      <c r="B6846" s="52">
        <v>7.69242893E8</v>
      </c>
      <c r="C6846" s="28" t="s">
        <v>7108</v>
      </c>
      <c r="D6846" s="26" t="s">
        <v>45</v>
      </c>
      <c r="E6846" s="31">
        <v>46243.0</v>
      </c>
      <c r="F6846" s="26" t="s">
        <v>46</v>
      </c>
      <c r="G6846" s="26">
        <v>11.0</v>
      </c>
      <c r="I6846" s="26" t="s">
        <v>951</v>
      </c>
      <c r="J6846" s="25" t="str">
        <f t="shared" si="79"/>
        <v>No</v>
      </c>
      <c r="K6846" s="25" t="str">
        <f t="shared" si="80"/>
        <v/>
      </c>
      <c r="L6846" s="25" t="str">
        <f t="shared" si="81"/>
        <v/>
      </c>
      <c r="M6846" s="25"/>
      <c r="O6846" s="25"/>
    </row>
    <row r="6847" ht="15.75" customHeight="1">
      <c r="A6847" s="25" t="str">
        <f>IFERROR(__xludf.DUMMYFUNCTION("IF(B6847="""","""",RIGHT(REGEXREPLACE(B6847&amp;"""",""[^0-9]"",""""),9))"),"767309121")</f>
        <v>767309121</v>
      </c>
      <c r="B6847" s="52">
        <v>7.67309121E8</v>
      </c>
      <c r="C6847" s="28" t="s">
        <v>7109</v>
      </c>
      <c r="D6847" s="26" t="s">
        <v>56</v>
      </c>
      <c r="E6847" s="31">
        <v>46243.0</v>
      </c>
      <c r="F6847" s="26" t="s">
        <v>659</v>
      </c>
      <c r="G6847" s="26">
        <v>9.0</v>
      </c>
      <c r="I6847" s="26" t="s">
        <v>951</v>
      </c>
      <c r="J6847" s="25" t="str">
        <f t="shared" si="79"/>
        <v>No</v>
      </c>
      <c r="K6847" s="25" t="str">
        <f t="shared" si="80"/>
        <v/>
      </c>
      <c r="L6847" s="25" t="str">
        <f t="shared" si="81"/>
        <v/>
      </c>
      <c r="M6847" s="25"/>
      <c r="O6847" s="25"/>
    </row>
    <row r="6848" ht="15.75" customHeight="1">
      <c r="A6848" s="25" t="str">
        <f>IFERROR(__xludf.DUMMYFUNCTION("IF(B6848="""","""",RIGHT(REGEXREPLACE(B6848&amp;"""",""[^0-9]"",""""),9))"),"784442371")</f>
        <v>784442371</v>
      </c>
      <c r="B6848" s="52">
        <v>7.84442371E8</v>
      </c>
      <c r="C6848" s="28" t="s">
        <v>7110</v>
      </c>
      <c r="D6848" s="26" t="s">
        <v>64</v>
      </c>
      <c r="E6848" s="31">
        <v>46243.0</v>
      </c>
      <c r="F6848" s="26" t="s">
        <v>46</v>
      </c>
      <c r="G6848" s="26">
        <v>9.0</v>
      </c>
      <c r="I6848" s="26" t="s">
        <v>951</v>
      </c>
      <c r="J6848" s="25" t="str">
        <f t="shared" si="79"/>
        <v>No</v>
      </c>
      <c r="K6848" s="25" t="str">
        <f t="shared" si="80"/>
        <v/>
      </c>
      <c r="L6848" s="25" t="str">
        <f t="shared" si="81"/>
        <v/>
      </c>
      <c r="M6848" s="25"/>
      <c r="O6848" s="25"/>
    </row>
    <row r="6849" ht="15.75" customHeight="1">
      <c r="A6849" s="25" t="str">
        <f>IFERROR(__xludf.DUMMYFUNCTION("IF(B6849="""","""",RIGHT(REGEXREPLACE(B6849&amp;"""",""[^0-9]"",""""),9))"),"714464383")</f>
        <v>714464383</v>
      </c>
      <c r="B6849" s="52">
        <v>7.14464383E8</v>
      </c>
      <c r="C6849" s="28" t="s">
        <v>7111</v>
      </c>
      <c r="D6849" s="26" t="s">
        <v>82</v>
      </c>
      <c r="E6849" s="31">
        <v>46243.0</v>
      </c>
      <c r="F6849" s="26" t="s">
        <v>46</v>
      </c>
      <c r="G6849" s="26">
        <v>9.0</v>
      </c>
      <c r="I6849" s="26" t="s">
        <v>951</v>
      </c>
      <c r="J6849" s="25" t="str">
        <f t="shared" si="79"/>
        <v>No</v>
      </c>
      <c r="K6849" s="25" t="str">
        <f t="shared" si="80"/>
        <v/>
      </c>
      <c r="L6849" s="25" t="str">
        <f t="shared" si="81"/>
        <v/>
      </c>
      <c r="M6849" s="25"/>
      <c r="O6849" s="25"/>
    </row>
    <row r="6850" ht="15.75" customHeight="1">
      <c r="A6850" s="25" t="str">
        <f>IFERROR(__xludf.DUMMYFUNCTION("IF(B6850="""","""",RIGHT(REGEXREPLACE(B6850&amp;"""",""[^0-9]"",""""),9))"),"771048910")</f>
        <v>771048910</v>
      </c>
      <c r="B6850" s="52">
        <v>7.7104891E8</v>
      </c>
      <c r="C6850" s="28" t="s">
        <v>7112</v>
      </c>
      <c r="D6850" s="26" t="s">
        <v>45</v>
      </c>
      <c r="E6850" s="31">
        <v>46243.0</v>
      </c>
      <c r="F6850" s="26" t="s">
        <v>46</v>
      </c>
      <c r="G6850" s="26">
        <v>9.0</v>
      </c>
      <c r="I6850" s="26" t="s">
        <v>951</v>
      </c>
      <c r="J6850" s="25" t="str">
        <f t="shared" si="79"/>
        <v>No</v>
      </c>
      <c r="K6850" s="25" t="str">
        <f t="shared" si="80"/>
        <v/>
      </c>
      <c r="L6850" s="25" t="str">
        <f t="shared" si="81"/>
        <v/>
      </c>
      <c r="M6850" s="25"/>
      <c r="O6850" s="25"/>
    </row>
    <row r="6851" ht="15.75" customHeight="1">
      <c r="A6851" s="25" t="str">
        <f>IFERROR(__xludf.DUMMYFUNCTION("IF(B6851="""","""",RIGHT(REGEXREPLACE(B6851&amp;"""",""[^0-9]"",""""),9))"),"784367047")</f>
        <v>784367047</v>
      </c>
      <c r="B6851" s="52">
        <v>7.84367047E8</v>
      </c>
      <c r="C6851" s="28" t="s">
        <v>7113</v>
      </c>
      <c r="D6851" s="26" t="s">
        <v>56</v>
      </c>
      <c r="E6851" s="31">
        <v>46243.0</v>
      </c>
      <c r="F6851" s="26" t="s">
        <v>41</v>
      </c>
      <c r="I6851" s="26" t="s">
        <v>951</v>
      </c>
      <c r="J6851" s="25" t="str">
        <f t="shared" si="79"/>
        <v>No</v>
      </c>
      <c r="K6851" s="25" t="str">
        <f t="shared" si="80"/>
        <v/>
      </c>
      <c r="L6851" s="25" t="str">
        <f t="shared" si="81"/>
        <v/>
      </c>
      <c r="M6851" s="25"/>
      <c r="O6851" s="25"/>
    </row>
    <row r="6852" ht="15.75" customHeight="1">
      <c r="A6852" s="25" t="str">
        <f>IFERROR(__xludf.DUMMYFUNCTION("IF(B6852="""","""",RIGHT(REGEXREPLACE(B6852&amp;"""",""[^0-9]"",""""),9))"),"775452690")</f>
        <v>775452690</v>
      </c>
      <c r="B6852" s="52">
        <v>7.7545269E8</v>
      </c>
      <c r="C6852" s="28" t="s">
        <v>7114</v>
      </c>
      <c r="D6852" s="26" t="s">
        <v>49</v>
      </c>
      <c r="E6852" s="31">
        <v>46243.0</v>
      </c>
      <c r="F6852" s="26" t="s">
        <v>46</v>
      </c>
      <c r="G6852" s="26">
        <v>9.0</v>
      </c>
      <c r="I6852" s="26" t="s">
        <v>951</v>
      </c>
      <c r="J6852" s="25" t="str">
        <f t="shared" si="79"/>
        <v>No</v>
      </c>
      <c r="K6852" s="25" t="str">
        <f t="shared" si="80"/>
        <v/>
      </c>
      <c r="L6852" s="25" t="str">
        <f t="shared" si="81"/>
        <v/>
      </c>
      <c r="M6852" s="25"/>
      <c r="O6852" s="25"/>
    </row>
    <row r="6853" ht="15.75" customHeight="1">
      <c r="A6853" s="25" t="str">
        <f>IFERROR(__xludf.DUMMYFUNCTION("IF(B6853="""","""",RIGHT(REGEXREPLACE(B6853&amp;"""",""[^0-9]"",""""),9))"),"703140749")</f>
        <v>703140749</v>
      </c>
      <c r="B6853" s="52">
        <v>7.03140749E8</v>
      </c>
      <c r="C6853" s="28" t="s">
        <v>7111</v>
      </c>
      <c r="D6853" s="26" t="s">
        <v>64</v>
      </c>
      <c r="E6853" s="31">
        <v>46243.0</v>
      </c>
      <c r="F6853" s="26" t="s">
        <v>41</v>
      </c>
      <c r="G6853" s="26">
        <v>10.0</v>
      </c>
      <c r="I6853" s="26" t="s">
        <v>951</v>
      </c>
      <c r="J6853" s="25" t="str">
        <f t="shared" si="79"/>
        <v>No</v>
      </c>
      <c r="K6853" s="25" t="str">
        <f t="shared" si="80"/>
        <v/>
      </c>
      <c r="L6853" s="25" t="str">
        <f t="shared" si="81"/>
        <v/>
      </c>
      <c r="M6853" s="25"/>
      <c r="O6853" s="25"/>
    </row>
    <row r="6854" ht="15.75" customHeight="1">
      <c r="A6854" s="25" t="str">
        <f>IFERROR(__xludf.DUMMYFUNCTION("IF(B6854="""","""",RIGHT(REGEXREPLACE(B6854&amp;"""",""[^0-9]"",""""),9))"),"771014212")</f>
        <v>771014212</v>
      </c>
      <c r="B6854" s="52">
        <v>7.71014212E8</v>
      </c>
      <c r="C6854" s="28" t="s">
        <v>7115</v>
      </c>
      <c r="D6854" s="26" t="s">
        <v>64</v>
      </c>
      <c r="E6854" s="31">
        <v>46243.0</v>
      </c>
      <c r="F6854" s="26" t="s">
        <v>659</v>
      </c>
      <c r="I6854" s="26" t="s">
        <v>951</v>
      </c>
      <c r="J6854" s="25" t="str">
        <f t="shared" si="79"/>
        <v>No</v>
      </c>
      <c r="K6854" s="25" t="str">
        <f t="shared" si="80"/>
        <v/>
      </c>
      <c r="L6854" s="25" t="str">
        <f t="shared" si="81"/>
        <v/>
      </c>
      <c r="M6854" s="25"/>
      <c r="O6854" s="25"/>
    </row>
    <row r="6855" ht="15.75" customHeight="1">
      <c r="A6855" s="25" t="str">
        <f>IFERROR(__xludf.DUMMYFUNCTION("IF(B6855="""","""",RIGHT(REGEXREPLACE(B6855&amp;"""",""[^0-9]"",""""),9))"),"779770746")</f>
        <v>779770746</v>
      </c>
      <c r="B6855" s="52">
        <v>7.79770746E8</v>
      </c>
      <c r="C6855" s="28" t="s">
        <v>7116</v>
      </c>
      <c r="D6855" s="26" t="s">
        <v>82</v>
      </c>
      <c r="E6855" s="31">
        <v>46243.0</v>
      </c>
      <c r="F6855" s="26" t="s">
        <v>46</v>
      </c>
      <c r="G6855" s="26">
        <v>9.0</v>
      </c>
      <c r="I6855" s="26" t="s">
        <v>951</v>
      </c>
      <c r="J6855" s="25" t="str">
        <f t="shared" si="79"/>
        <v>No</v>
      </c>
      <c r="K6855" s="25" t="str">
        <f t="shared" si="80"/>
        <v/>
      </c>
      <c r="L6855" s="25" t="str">
        <f t="shared" si="81"/>
        <v/>
      </c>
      <c r="M6855" s="25"/>
      <c r="O6855" s="25"/>
    </row>
    <row r="6856" ht="15.75" customHeight="1">
      <c r="A6856" s="25" t="str">
        <f>IFERROR(__xludf.DUMMYFUNCTION("IF(B6856="""","""",RIGHT(REGEXREPLACE(B6856&amp;"""",""[^0-9]"",""""),9))"),"770379385")</f>
        <v>770379385</v>
      </c>
      <c r="B6856" s="52">
        <v>7.70379385E8</v>
      </c>
      <c r="C6856" s="28" t="s">
        <v>7117</v>
      </c>
      <c r="D6856" s="26" t="s">
        <v>64</v>
      </c>
      <c r="E6856" s="31">
        <v>46243.0</v>
      </c>
      <c r="F6856" s="26" t="s">
        <v>659</v>
      </c>
      <c r="I6856" s="26" t="s">
        <v>951</v>
      </c>
      <c r="J6856" s="25" t="str">
        <f t="shared" si="79"/>
        <v>No</v>
      </c>
      <c r="K6856" s="25" t="str">
        <f t="shared" si="80"/>
        <v/>
      </c>
      <c r="L6856" s="25" t="str">
        <f t="shared" si="81"/>
        <v/>
      </c>
      <c r="M6856" s="25"/>
      <c r="O6856" s="25"/>
    </row>
    <row r="6857" ht="15.75" customHeight="1">
      <c r="A6857" s="25" t="str">
        <f>IFERROR(__xludf.DUMMYFUNCTION("IF(B6857="""","""",RIGHT(REGEXREPLACE(B6857&amp;"""",""[^0-9]"",""""),9))"),"786470111")</f>
        <v>786470111</v>
      </c>
      <c r="B6857" s="52">
        <v>7.86470111E8</v>
      </c>
      <c r="C6857" s="28" t="s">
        <v>7118</v>
      </c>
      <c r="D6857" s="26" t="s">
        <v>45</v>
      </c>
      <c r="E6857" s="31">
        <v>46243.0</v>
      </c>
      <c r="F6857" s="26" t="s">
        <v>205</v>
      </c>
      <c r="I6857" s="26" t="s">
        <v>951</v>
      </c>
      <c r="J6857" s="25" t="str">
        <f t="shared" si="79"/>
        <v>No</v>
      </c>
      <c r="K6857" s="25" t="str">
        <f t="shared" si="80"/>
        <v/>
      </c>
      <c r="L6857" s="25" t="str">
        <f t="shared" si="81"/>
        <v/>
      </c>
      <c r="M6857" s="25"/>
      <c r="O6857" s="25"/>
    </row>
    <row r="6858" ht="15.75" customHeight="1">
      <c r="A6858" s="25" t="str">
        <f>IFERROR(__xludf.DUMMYFUNCTION("IF(B6858="""","""",RIGHT(REGEXREPLACE(B6858&amp;"""",""[^0-9]"",""""),9))"),"702219969")</f>
        <v>702219969</v>
      </c>
      <c r="B6858" s="52">
        <v>7.02219969E8</v>
      </c>
      <c r="C6858" s="28" t="s">
        <v>7119</v>
      </c>
      <c r="D6858" s="26" t="s">
        <v>56</v>
      </c>
      <c r="E6858" s="31">
        <v>46243.0</v>
      </c>
      <c r="F6858" s="26" t="s">
        <v>46</v>
      </c>
      <c r="G6858" s="26">
        <v>9.0</v>
      </c>
      <c r="I6858" s="26" t="s">
        <v>951</v>
      </c>
      <c r="J6858" s="25" t="str">
        <f t="shared" si="79"/>
        <v>No</v>
      </c>
      <c r="K6858" s="25" t="str">
        <f t="shared" si="80"/>
        <v/>
      </c>
      <c r="L6858" s="25" t="str">
        <f t="shared" si="81"/>
        <v/>
      </c>
      <c r="M6858" s="25"/>
      <c r="O6858" s="25"/>
    </row>
    <row r="6859" ht="15.75" customHeight="1">
      <c r="A6859" s="25" t="str">
        <f>IFERROR(__xludf.DUMMYFUNCTION("IF(B6859="""","""",RIGHT(REGEXREPLACE(B6859&amp;"""",""[^0-9]"",""""),9))"),"768910437")</f>
        <v>768910437</v>
      </c>
      <c r="B6859" s="52">
        <v>7.68910437E8</v>
      </c>
      <c r="C6859" s="28" t="s">
        <v>7120</v>
      </c>
      <c r="D6859" s="26" t="s">
        <v>64</v>
      </c>
      <c r="E6859" s="31">
        <v>46243.0</v>
      </c>
      <c r="F6859" s="26" t="s">
        <v>41</v>
      </c>
      <c r="I6859" s="26" t="s">
        <v>951</v>
      </c>
      <c r="J6859" s="25" t="str">
        <f t="shared" si="79"/>
        <v>No</v>
      </c>
      <c r="K6859" s="25" t="str">
        <f t="shared" si="80"/>
        <v/>
      </c>
      <c r="L6859" s="25" t="str">
        <f t="shared" si="81"/>
        <v/>
      </c>
      <c r="M6859" s="25"/>
      <c r="O6859" s="25"/>
    </row>
    <row r="6860" ht="15.75" customHeight="1">
      <c r="A6860" s="25" t="str">
        <f>IFERROR(__xludf.DUMMYFUNCTION("IF(B6860="""","""",RIGHT(REGEXREPLACE(B6860&amp;"""",""[^0-9]"",""""),9))"),"701765101")</f>
        <v>701765101</v>
      </c>
      <c r="B6860" s="52">
        <v>7.01765101E8</v>
      </c>
      <c r="C6860" s="28" t="s">
        <v>7121</v>
      </c>
      <c r="D6860" s="26" t="s">
        <v>64</v>
      </c>
      <c r="E6860" s="31">
        <v>46243.0</v>
      </c>
      <c r="F6860" s="26" t="s">
        <v>46</v>
      </c>
      <c r="H6860" s="26" t="s">
        <v>763</v>
      </c>
      <c r="I6860" s="26" t="s">
        <v>951</v>
      </c>
      <c r="J6860" s="25" t="str">
        <f t="shared" si="79"/>
        <v>No</v>
      </c>
      <c r="K6860" s="25" t="str">
        <f t="shared" si="80"/>
        <v/>
      </c>
      <c r="L6860" s="25" t="str">
        <f t="shared" si="81"/>
        <v/>
      </c>
      <c r="M6860" s="25"/>
      <c r="O6860" s="25"/>
    </row>
    <row r="6861" ht="15.75" customHeight="1">
      <c r="A6861" s="25" t="str">
        <f>IFERROR(__xludf.DUMMYFUNCTION("IF(B6861="""","""",RIGHT(REGEXREPLACE(B6861&amp;"""",""[^0-9]"",""""),9))"),"777933232")</f>
        <v>777933232</v>
      </c>
      <c r="B6861" s="52">
        <v>7.77933232E8</v>
      </c>
      <c r="C6861" s="28" t="s">
        <v>7122</v>
      </c>
      <c r="D6861" s="26" t="s">
        <v>49</v>
      </c>
      <c r="E6861" s="31">
        <v>46243.0</v>
      </c>
      <c r="F6861" s="26" t="s">
        <v>46</v>
      </c>
      <c r="G6861" s="26">
        <v>9.0</v>
      </c>
      <c r="H6861" s="26" t="s">
        <v>7123</v>
      </c>
      <c r="I6861" s="26" t="s">
        <v>951</v>
      </c>
      <c r="J6861" s="25" t="str">
        <f t="shared" si="79"/>
        <v>No</v>
      </c>
      <c r="K6861" s="25" t="str">
        <f t="shared" si="80"/>
        <v/>
      </c>
      <c r="L6861" s="25" t="str">
        <f t="shared" si="81"/>
        <v/>
      </c>
      <c r="M6861" s="25"/>
      <c r="O6861" s="25"/>
    </row>
    <row r="6862" ht="15.75" customHeight="1">
      <c r="A6862" s="25" t="str">
        <f>IFERROR(__xludf.DUMMYFUNCTION("IF(B6862="""","""",RIGHT(REGEXREPLACE(B6862&amp;"""",""[^0-9]"",""""),9))"),"779916685")</f>
        <v>779916685</v>
      </c>
      <c r="B6862" s="26" t="s">
        <v>7124</v>
      </c>
      <c r="C6862" s="28" t="s">
        <v>7125</v>
      </c>
      <c r="D6862" s="26" t="s">
        <v>45</v>
      </c>
      <c r="E6862" s="31">
        <v>46243.0</v>
      </c>
      <c r="F6862" s="26" t="s">
        <v>46</v>
      </c>
      <c r="G6862" s="26">
        <v>9.0</v>
      </c>
      <c r="I6862" s="26" t="s">
        <v>951</v>
      </c>
      <c r="J6862" s="25" t="str">
        <f t="shared" si="79"/>
        <v>No</v>
      </c>
      <c r="K6862" s="25" t="str">
        <f t="shared" si="80"/>
        <v/>
      </c>
      <c r="L6862" s="25" t="str">
        <f t="shared" si="81"/>
        <v/>
      </c>
      <c r="M6862" s="25"/>
      <c r="O6862" s="26" t="s">
        <v>51</v>
      </c>
    </row>
    <row r="6863" ht="15.75" customHeight="1">
      <c r="A6863" s="25" t="str">
        <f>IFERROR(__xludf.DUMMYFUNCTION("IF(B6863="""","""",RIGHT(REGEXREPLACE(B6863&amp;"""",""[^0-9]"",""""),9))"),"717895941")</f>
        <v>717895941</v>
      </c>
      <c r="B6863" s="52">
        <v>7.17895941E8</v>
      </c>
      <c r="C6863" s="28" t="s">
        <v>7126</v>
      </c>
      <c r="D6863" s="26" t="s">
        <v>64</v>
      </c>
      <c r="E6863" s="31">
        <v>46243.0</v>
      </c>
      <c r="F6863" s="26" t="s">
        <v>46</v>
      </c>
      <c r="G6863" s="26" t="s">
        <v>2105</v>
      </c>
      <c r="I6863" s="26" t="s">
        <v>951</v>
      </c>
      <c r="J6863" s="25" t="str">
        <f t="shared" si="79"/>
        <v>No</v>
      </c>
      <c r="K6863" s="25" t="str">
        <f t="shared" si="80"/>
        <v/>
      </c>
      <c r="L6863" s="25" t="str">
        <f t="shared" si="81"/>
        <v/>
      </c>
      <c r="M6863" s="25"/>
      <c r="O6863" s="25"/>
    </row>
    <row r="6864" ht="15.75" customHeight="1">
      <c r="A6864" s="25" t="str">
        <f>IFERROR(__xludf.DUMMYFUNCTION("IF(B6864="""","""",RIGHT(REGEXREPLACE(B6864&amp;"""",""[^0-9]"",""""),9))"),"703461434")</f>
        <v>703461434</v>
      </c>
      <c r="B6864" s="52">
        <v>7.03461434E8</v>
      </c>
      <c r="C6864" s="28" t="s">
        <v>7127</v>
      </c>
      <c r="D6864" s="26" t="s">
        <v>56</v>
      </c>
      <c r="E6864" s="31">
        <v>46243.0</v>
      </c>
      <c r="F6864" s="26" t="s">
        <v>46</v>
      </c>
      <c r="G6864" s="26">
        <v>9.0</v>
      </c>
      <c r="I6864" s="26" t="s">
        <v>951</v>
      </c>
      <c r="J6864" s="25" t="str">
        <f t="shared" si="79"/>
        <v>No</v>
      </c>
      <c r="K6864" s="25" t="str">
        <f t="shared" si="80"/>
        <v/>
      </c>
      <c r="L6864" s="25" t="str">
        <f t="shared" si="81"/>
        <v/>
      </c>
      <c r="M6864" s="25"/>
      <c r="O6864" s="25"/>
    </row>
    <row r="6865" ht="15.75" customHeight="1">
      <c r="A6865" s="25" t="str">
        <f>IFERROR(__xludf.DUMMYFUNCTION("IF(B6865="""","""",RIGHT(REGEXREPLACE(B6865&amp;"""",""[^0-9]"",""""),9))"),"783627584")</f>
        <v>783627584</v>
      </c>
      <c r="B6865" s="52">
        <v>7.83627584E8</v>
      </c>
      <c r="C6865" s="28" t="s">
        <v>7128</v>
      </c>
      <c r="D6865" s="26" t="s">
        <v>82</v>
      </c>
      <c r="E6865" s="31">
        <v>46243.0</v>
      </c>
      <c r="F6865" s="26" t="s">
        <v>205</v>
      </c>
      <c r="I6865" s="26" t="s">
        <v>951</v>
      </c>
      <c r="J6865" s="25" t="str">
        <f t="shared" si="79"/>
        <v>No</v>
      </c>
      <c r="K6865" s="25" t="str">
        <f t="shared" si="80"/>
        <v/>
      </c>
      <c r="L6865" s="25" t="str">
        <f t="shared" si="81"/>
        <v/>
      </c>
      <c r="M6865" s="25"/>
      <c r="O6865" s="25"/>
    </row>
    <row r="6866" ht="15.75" customHeight="1">
      <c r="A6866" s="25" t="str">
        <f>IFERROR(__xludf.DUMMYFUNCTION("IF(B6866="""","""",RIGHT(REGEXREPLACE(B6866&amp;"""",""[^0-9]"",""""),9))"),"716075219")</f>
        <v>716075219</v>
      </c>
      <c r="B6866" s="52">
        <v>7.16075219E8</v>
      </c>
      <c r="C6866" s="28" t="s">
        <v>7129</v>
      </c>
      <c r="D6866" s="26" t="s">
        <v>49</v>
      </c>
      <c r="E6866" s="31">
        <v>46243.0</v>
      </c>
      <c r="F6866" s="26" t="s">
        <v>41</v>
      </c>
      <c r="G6866" s="26">
        <v>9.0</v>
      </c>
      <c r="I6866" s="26" t="s">
        <v>951</v>
      </c>
      <c r="J6866" s="25" t="str">
        <f t="shared" si="79"/>
        <v>No</v>
      </c>
      <c r="K6866" s="25" t="str">
        <f t="shared" si="80"/>
        <v/>
      </c>
      <c r="L6866" s="25" t="str">
        <f t="shared" si="81"/>
        <v/>
      </c>
      <c r="M6866" s="25"/>
      <c r="O6866" s="25"/>
    </row>
    <row r="6867" ht="15.75" customHeight="1">
      <c r="A6867" s="25" t="str">
        <f>IFERROR(__xludf.DUMMYFUNCTION("IF(B6867="""","""",RIGHT(REGEXREPLACE(B6867&amp;"""",""[^0-9]"",""""),9))"),"764004647")</f>
        <v>764004647</v>
      </c>
      <c r="B6867" s="52">
        <v>7.64004647E8</v>
      </c>
      <c r="C6867" s="28" t="s">
        <v>7130</v>
      </c>
      <c r="D6867" s="26" t="s">
        <v>82</v>
      </c>
      <c r="E6867" s="31">
        <v>46243.0</v>
      </c>
      <c r="F6867" s="26" t="s">
        <v>41</v>
      </c>
      <c r="G6867" s="26">
        <v>9.0</v>
      </c>
      <c r="I6867" s="26" t="s">
        <v>951</v>
      </c>
      <c r="J6867" s="25" t="str">
        <f t="shared" si="79"/>
        <v>No</v>
      </c>
      <c r="K6867" s="25" t="str">
        <f t="shared" si="80"/>
        <v/>
      </c>
      <c r="L6867" s="25" t="str">
        <f t="shared" si="81"/>
        <v/>
      </c>
      <c r="M6867" s="25"/>
      <c r="O6867" s="25"/>
    </row>
    <row r="6868" ht="15.75" customHeight="1">
      <c r="A6868" s="25" t="str">
        <f>IFERROR(__xludf.DUMMYFUNCTION("IF(B6868="""","""",RIGHT(REGEXREPLACE(B6868&amp;"""",""[^0-9]"",""""),9))"),"568567384")</f>
        <v>568567384</v>
      </c>
      <c r="B6868" s="52">
        <v>9.66568567384E11</v>
      </c>
      <c r="C6868" s="28" t="s">
        <v>7131</v>
      </c>
      <c r="D6868" s="26" t="s">
        <v>49</v>
      </c>
      <c r="E6868" s="31">
        <v>46243.0</v>
      </c>
      <c r="F6868" s="25"/>
      <c r="G6868" s="26">
        <v>9.0</v>
      </c>
      <c r="H6868" s="26" t="s">
        <v>7132</v>
      </c>
      <c r="I6868" s="26" t="s">
        <v>951</v>
      </c>
      <c r="J6868" s="25" t="str">
        <f t="shared" si="79"/>
        <v>No</v>
      </c>
      <c r="K6868" s="25" t="str">
        <f t="shared" si="80"/>
        <v/>
      </c>
      <c r="L6868" s="25" t="str">
        <f t="shared" si="81"/>
        <v/>
      </c>
      <c r="M6868" s="25"/>
      <c r="N6868" s="25"/>
      <c r="O6868" s="25"/>
      <c r="P6868" s="25"/>
    </row>
    <row r="6869" ht="15.75" customHeight="1">
      <c r="A6869" s="25" t="str">
        <f>IFERROR(__xludf.DUMMYFUNCTION("IF(B6869="""","""",RIGHT(REGEXREPLACE(B6869&amp;"""",""[^0-9]"",""""),9))"),"703309070")</f>
        <v>703309070</v>
      </c>
      <c r="B6869" s="52">
        <v>7.0330907E8</v>
      </c>
      <c r="C6869" s="28" t="s">
        <v>7133</v>
      </c>
      <c r="D6869" s="26" t="s">
        <v>45</v>
      </c>
      <c r="E6869" s="31">
        <v>46243.0</v>
      </c>
      <c r="F6869" s="26" t="s">
        <v>46</v>
      </c>
      <c r="G6869" s="26">
        <v>9.0</v>
      </c>
      <c r="I6869" s="26" t="s">
        <v>951</v>
      </c>
      <c r="J6869" s="25" t="str">
        <f t="shared" si="79"/>
        <v>No</v>
      </c>
      <c r="K6869" s="25" t="str">
        <f t="shared" si="80"/>
        <v/>
      </c>
      <c r="L6869" s="25" t="str">
        <f t="shared" si="81"/>
        <v/>
      </c>
      <c r="M6869" s="25"/>
      <c r="O6869" s="25"/>
    </row>
    <row r="6870" ht="15.75" customHeight="1">
      <c r="A6870" s="25" t="str">
        <f>IFERROR(__xludf.DUMMYFUNCTION("IF(B6870="""","""",RIGHT(REGEXREPLACE(B6870&amp;"""",""[^0-9]"",""""),9))"),"762404729")</f>
        <v>762404729</v>
      </c>
      <c r="B6870" s="52">
        <v>7.62404729E8</v>
      </c>
      <c r="C6870" s="28" t="s">
        <v>7133</v>
      </c>
      <c r="D6870" s="26" t="s">
        <v>64</v>
      </c>
      <c r="E6870" s="31">
        <v>46243.0</v>
      </c>
      <c r="F6870" s="26" t="s">
        <v>46</v>
      </c>
      <c r="G6870" s="26">
        <v>9.0</v>
      </c>
      <c r="I6870" s="26" t="s">
        <v>951</v>
      </c>
      <c r="J6870" s="25" t="str">
        <f t="shared" si="79"/>
        <v>No</v>
      </c>
      <c r="K6870" s="25" t="str">
        <f t="shared" si="80"/>
        <v/>
      </c>
      <c r="L6870" s="25" t="str">
        <f t="shared" si="81"/>
        <v/>
      </c>
      <c r="M6870" s="25"/>
      <c r="O6870" s="25"/>
    </row>
    <row r="6871" ht="15.75" customHeight="1">
      <c r="A6871" s="25" t="str">
        <f>IFERROR(__xludf.DUMMYFUNCTION("IF(B6871="""","""",RIGHT(REGEXREPLACE(B6871&amp;"""",""[^0-9]"",""""),9))"),"772073326")</f>
        <v>772073326</v>
      </c>
      <c r="B6871" s="52">
        <v>7.72073326E8</v>
      </c>
      <c r="C6871" s="28" t="s">
        <v>7134</v>
      </c>
      <c r="D6871" s="26" t="s">
        <v>82</v>
      </c>
      <c r="E6871" s="31">
        <v>46243.0</v>
      </c>
      <c r="F6871" s="26" t="s">
        <v>46</v>
      </c>
      <c r="G6871" s="26">
        <v>9.0</v>
      </c>
      <c r="I6871" s="26" t="s">
        <v>951</v>
      </c>
      <c r="J6871" s="25" t="str">
        <f t="shared" si="79"/>
        <v>No</v>
      </c>
      <c r="K6871" s="25" t="str">
        <f t="shared" si="80"/>
        <v/>
      </c>
      <c r="L6871" s="25" t="str">
        <f t="shared" si="81"/>
        <v/>
      </c>
      <c r="M6871" s="25"/>
      <c r="O6871" s="25"/>
    </row>
    <row r="6872" ht="15.75" customHeight="1">
      <c r="A6872" s="25" t="str">
        <f>IFERROR(__xludf.DUMMYFUNCTION("IF(B6872="""","""",RIGHT(REGEXREPLACE(B6872&amp;"""",""[^0-9]"",""""),9))"),"777031156")</f>
        <v>777031156</v>
      </c>
      <c r="B6872" s="52">
        <v>7.77031156E8</v>
      </c>
      <c r="C6872" s="28" t="s">
        <v>7135</v>
      </c>
      <c r="D6872" s="26" t="s">
        <v>56</v>
      </c>
      <c r="E6872" s="31">
        <v>46252.0</v>
      </c>
      <c r="F6872" s="26" t="s">
        <v>46</v>
      </c>
      <c r="G6872" s="26">
        <v>9.0</v>
      </c>
      <c r="I6872" s="26" t="s">
        <v>951</v>
      </c>
      <c r="J6872" s="25" t="str">
        <f t="shared" si="79"/>
        <v>No</v>
      </c>
      <c r="K6872" s="25" t="str">
        <f t="shared" si="80"/>
        <v/>
      </c>
      <c r="L6872" s="25" t="str">
        <f t="shared" si="81"/>
        <v/>
      </c>
      <c r="M6872" s="25"/>
      <c r="O6872" s="25"/>
    </row>
    <row r="6873" ht="15.75" customHeight="1">
      <c r="A6873" s="25" t="str">
        <f>IFERROR(__xludf.DUMMYFUNCTION("IF(B6873="""","""",RIGHT(REGEXREPLACE(B6873&amp;"""",""[^0-9]"",""""),9))"),"773016767")</f>
        <v>773016767</v>
      </c>
      <c r="B6873" s="52">
        <v>7.73016767E8</v>
      </c>
      <c r="C6873" s="28" t="s">
        <v>7136</v>
      </c>
      <c r="D6873" s="26" t="s">
        <v>45</v>
      </c>
      <c r="E6873" s="31">
        <v>46243.0</v>
      </c>
      <c r="F6873" s="26" t="s">
        <v>46</v>
      </c>
      <c r="G6873" s="26">
        <v>9.0</v>
      </c>
      <c r="I6873" s="26" t="s">
        <v>951</v>
      </c>
      <c r="J6873" s="25" t="str">
        <f t="shared" si="79"/>
        <v>No</v>
      </c>
      <c r="K6873" s="25" t="str">
        <f t="shared" si="80"/>
        <v/>
      </c>
      <c r="L6873" s="25" t="str">
        <f t="shared" si="81"/>
        <v/>
      </c>
      <c r="M6873" s="25"/>
      <c r="O6873" s="25"/>
    </row>
    <row r="6874" ht="15.75" customHeight="1">
      <c r="A6874" s="25" t="str">
        <f>IFERROR(__xludf.DUMMYFUNCTION("IF(B6874="""","""",RIGHT(REGEXREPLACE(B6874&amp;"""",""[^0-9]"",""""),9))"),"776018092")</f>
        <v>776018092</v>
      </c>
      <c r="B6874" s="52">
        <v>7.76018092E8</v>
      </c>
      <c r="C6874" s="28" t="s">
        <v>7137</v>
      </c>
      <c r="D6874" s="26" t="s">
        <v>49</v>
      </c>
      <c r="E6874" s="31">
        <v>46243.0</v>
      </c>
      <c r="F6874" s="26" t="s">
        <v>46</v>
      </c>
      <c r="G6874" s="26">
        <v>9.0</v>
      </c>
      <c r="H6874" s="26" t="s">
        <v>5896</v>
      </c>
      <c r="I6874" s="26" t="s">
        <v>951</v>
      </c>
      <c r="J6874" s="25" t="str">
        <f t="shared" si="79"/>
        <v>No</v>
      </c>
      <c r="K6874" s="25" t="str">
        <f t="shared" si="80"/>
        <v/>
      </c>
      <c r="L6874" s="25" t="str">
        <f t="shared" si="81"/>
        <v/>
      </c>
      <c r="M6874" s="25"/>
      <c r="O6874" s="25"/>
    </row>
    <row r="6875" ht="15.75" customHeight="1">
      <c r="A6875" s="25" t="str">
        <f>IFERROR(__xludf.DUMMYFUNCTION("IF(B6875="""","""",RIGHT(REGEXREPLACE(B6875&amp;"""",""[^0-9]"",""""),9))"),"761152155")</f>
        <v>761152155</v>
      </c>
      <c r="B6875" s="52">
        <v>7.61152155E8</v>
      </c>
      <c r="C6875" s="28" t="s">
        <v>7138</v>
      </c>
      <c r="D6875" s="26" t="s">
        <v>56</v>
      </c>
      <c r="E6875" s="31">
        <v>46243.0</v>
      </c>
      <c r="F6875" s="26" t="s">
        <v>631</v>
      </c>
      <c r="G6875" s="26">
        <v>9.0</v>
      </c>
      <c r="I6875" s="26" t="s">
        <v>951</v>
      </c>
      <c r="J6875" s="25" t="str">
        <f t="shared" si="79"/>
        <v>No</v>
      </c>
      <c r="K6875" s="25" t="str">
        <f t="shared" si="80"/>
        <v/>
      </c>
      <c r="L6875" s="25" t="str">
        <f t="shared" si="81"/>
        <v/>
      </c>
      <c r="M6875" s="25"/>
      <c r="O6875" s="25"/>
    </row>
    <row r="6876" ht="15.75" customHeight="1">
      <c r="A6876" s="25" t="str">
        <f>IFERROR(__xludf.DUMMYFUNCTION("IF(B6876="""","""",RIGHT(REGEXREPLACE(B6876&amp;"""",""[^0-9]"",""""),9))"),"741720666")</f>
        <v>741720666</v>
      </c>
      <c r="B6876" s="52">
        <v>7.41720666E8</v>
      </c>
      <c r="C6876" s="28" t="s">
        <v>7139</v>
      </c>
      <c r="D6876" s="26" t="s">
        <v>64</v>
      </c>
      <c r="E6876" s="31">
        <v>46243.0</v>
      </c>
      <c r="F6876" s="26" t="s">
        <v>46</v>
      </c>
      <c r="G6876" s="26">
        <v>9.0</v>
      </c>
      <c r="I6876" s="26" t="s">
        <v>951</v>
      </c>
      <c r="J6876" s="25" t="str">
        <f t="shared" si="79"/>
        <v>No</v>
      </c>
      <c r="K6876" s="25" t="str">
        <f t="shared" si="80"/>
        <v/>
      </c>
      <c r="L6876" s="25" t="str">
        <f t="shared" si="81"/>
        <v/>
      </c>
      <c r="M6876" s="25"/>
      <c r="O6876" s="25"/>
    </row>
    <row r="6877" ht="15.75" customHeight="1">
      <c r="A6877" s="25" t="str">
        <f>IFERROR(__xludf.DUMMYFUNCTION("IF(B6877="""","""",RIGHT(REGEXREPLACE(B6877&amp;"""",""[^0-9]"",""""),9))"),"751394325")</f>
        <v>751394325</v>
      </c>
      <c r="B6877" s="52">
        <v>7.51394325E8</v>
      </c>
      <c r="C6877" s="28" t="s">
        <v>7140</v>
      </c>
      <c r="D6877" s="26" t="s">
        <v>82</v>
      </c>
      <c r="E6877" s="31">
        <v>46243.0</v>
      </c>
      <c r="F6877" s="26" t="s">
        <v>41</v>
      </c>
      <c r="I6877" s="26" t="s">
        <v>951</v>
      </c>
      <c r="J6877" s="25" t="str">
        <f t="shared" si="79"/>
        <v>No</v>
      </c>
      <c r="K6877" s="25" t="str">
        <f t="shared" si="80"/>
        <v/>
      </c>
      <c r="L6877" s="25" t="str">
        <f t="shared" si="81"/>
        <v/>
      </c>
      <c r="M6877" s="25"/>
      <c r="O6877" s="25"/>
    </row>
    <row r="6878" ht="15.75" customHeight="1">
      <c r="A6878" s="25" t="str">
        <f>IFERROR(__xludf.DUMMYFUNCTION("IF(B6878="""","""",RIGHT(REGEXREPLACE(B6878&amp;"""",""[^0-9]"",""""),9))"),"701022682")</f>
        <v>701022682</v>
      </c>
      <c r="B6878" s="52">
        <v>7.01022682E8</v>
      </c>
      <c r="C6878" s="28" t="s">
        <v>7141</v>
      </c>
      <c r="D6878" s="26" t="s">
        <v>45</v>
      </c>
      <c r="E6878" s="31">
        <v>46243.0</v>
      </c>
      <c r="F6878" s="26" t="s">
        <v>205</v>
      </c>
      <c r="I6878" s="26" t="s">
        <v>951</v>
      </c>
      <c r="J6878" s="25" t="str">
        <f t="shared" si="79"/>
        <v>No</v>
      </c>
      <c r="K6878" s="25" t="str">
        <f t="shared" si="80"/>
        <v/>
      </c>
      <c r="L6878" s="25" t="str">
        <f t="shared" si="81"/>
        <v/>
      </c>
      <c r="M6878" s="25"/>
      <c r="O6878" s="25"/>
    </row>
    <row r="6879" ht="15.75" customHeight="1">
      <c r="A6879" s="25" t="str">
        <f>IFERROR(__xludf.DUMMYFUNCTION("IF(B6879="""","""",RIGHT(REGEXREPLACE(B6879&amp;"""",""[^0-9]"",""""),9))"),"701334951")</f>
        <v>701334951</v>
      </c>
      <c r="B6879" s="52">
        <v>7.01334951E8</v>
      </c>
      <c r="C6879" s="28" t="s">
        <v>7137</v>
      </c>
      <c r="D6879" s="26" t="s">
        <v>45</v>
      </c>
      <c r="E6879" s="31">
        <v>46243.0</v>
      </c>
      <c r="F6879" s="26" t="s">
        <v>46</v>
      </c>
      <c r="G6879" s="26">
        <v>9.0</v>
      </c>
      <c r="I6879" s="26" t="s">
        <v>951</v>
      </c>
      <c r="J6879" s="25" t="str">
        <f t="shared" si="79"/>
        <v>No</v>
      </c>
      <c r="K6879" s="25" t="str">
        <f t="shared" si="80"/>
        <v/>
      </c>
      <c r="L6879" s="25" t="str">
        <f t="shared" si="81"/>
        <v/>
      </c>
      <c r="M6879" s="25"/>
      <c r="O6879" s="25"/>
    </row>
    <row r="6880" ht="15.75" customHeight="1">
      <c r="A6880" s="25" t="str">
        <f>IFERROR(__xludf.DUMMYFUNCTION("IF(B6880="""","""",RIGHT(REGEXREPLACE(B6880&amp;"""",""[^0-9]"",""""),9))"),"768913199")</f>
        <v>768913199</v>
      </c>
      <c r="B6880" s="52">
        <v>7.68913199E8</v>
      </c>
      <c r="C6880" s="28" t="s">
        <v>7142</v>
      </c>
      <c r="D6880" s="26" t="s">
        <v>82</v>
      </c>
      <c r="E6880" s="31">
        <v>46243.0</v>
      </c>
      <c r="F6880" s="26" t="s">
        <v>41</v>
      </c>
      <c r="I6880" s="26" t="s">
        <v>951</v>
      </c>
      <c r="J6880" s="25" t="str">
        <f t="shared" si="79"/>
        <v>No</v>
      </c>
      <c r="K6880" s="25" t="str">
        <f t="shared" si="80"/>
        <v/>
      </c>
      <c r="L6880" s="25" t="str">
        <f t="shared" si="81"/>
        <v/>
      </c>
      <c r="M6880" s="25"/>
      <c r="O6880" s="25"/>
    </row>
    <row r="6881" ht="15.75" customHeight="1">
      <c r="A6881" s="25" t="str">
        <f>IFERROR(__xludf.DUMMYFUNCTION("IF(B6881="""","""",RIGHT(REGEXREPLACE(B6881&amp;"""",""[^0-9]"",""""),9))"),"743202397")</f>
        <v>743202397</v>
      </c>
      <c r="B6881" s="52">
        <v>7.43202397E8</v>
      </c>
      <c r="C6881" s="28" t="s">
        <v>7137</v>
      </c>
      <c r="D6881" s="26" t="s">
        <v>64</v>
      </c>
      <c r="E6881" s="31">
        <v>46243.0</v>
      </c>
      <c r="F6881" s="26" t="s">
        <v>46</v>
      </c>
      <c r="G6881" s="26">
        <v>9.0</v>
      </c>
      <c r="I6881" s="26" t="s">
        <v>951</v>
      </c>
      <c r="J6881" s="25" t="str">
        <f t="shared" si="79"/>
        <v>No</v>
      </c>
      <c r="K6881" s="25" t="str">
        <f t="shared" si="80"/>
        <v/>
      </c>
      <c r="L6881" s="25" t="str">
        <f t="shared" si="81"/>
        <v/>
      </c>
      <c r="M6881" s="25"/>
      <c r="O6881" s="25"/>
    </row>
    <row r="6882" ht="15.75" customHeight="1">
      <c r="A6882" s="25" t="str">
        <f>IFERROR(__xludf.DUMMYFUNCTION("IF(B6882="""","""",RIGHT(REGEXREPLACE(B6882&amp;"""",""[^0-9]"",""""),9))"),"720853835")</f>
        <v>720853835</v>
      </c>
      <c r="B6882" s="52">
        <v>7.20853835E8</v>
      </c>
      <c r="C6882" s="28" t="s">
        <v>7143</v>
      </c>
      <c r="D6882" s="26" t="s">
        <v>56</v>
      </c>
      <c r="E6882" s="31">
        <v>46243.0</v>
      </c>
      <c r="F6882" s="26" t="s">
        <v>46</v>
      </c>
      <c r="G6882" s="26">
        <v>9.0</v>
      </c>
      <c r="I6882" s="26" t="s">
        <v>951</v>
      </c>
      <c r="J6882" s="25" t="str">
        <f t="shared" si="79"/>
        <v>No</v>
      </c>
      <c r="K6882" s="25" t="str">
        <f t="shared" si="80"/>
        <v/>
      </c>
      <c r="L6882" s="25" t="str">
        <f t="shared" si="81"/>
        <v/>
      </c>
      <c r="M6882" s="25"/>
      <c r="O6882" s="25"/>
    </row>
    <row r="6883" ht="15.75" customHeight="1">
      <c r="A6883" s="25" t="str">
        <f>IFERROR(__xludf.DUMMYFUNCTION("IF(B6883="""","""",RIGHT(REGEXREPLACE(B6883&amp;"""",""[^0-9]"",""""),9))"),"770820840")</f>
        <v>770820840</v>
      </c>
      <c r="B6883" s="52">
        <v>7.7082084E8</v>
      </c>
      <c r="C6883" s="28" t="s">
        <v>7144</v>
      </c>
      <c r="D6883" s="26" t="s">
        <v>82</v>
      </c>
      <c r="E6883" s="31">
        <v>46243.0</v>
      </c>
      <c r="F6883" s="26" t="s">
        <v>125</v>
      </c>
      <c r="G6883" s="26">
        <v>10.0</v>
      </c>
      <c r="I6883" s="26" t="s">
        <v>951</v>
      </c>
      <c r="J6883" s="25" t="str">
        <f t="shared" si="79"/>
        <v>No</v>
      </c>
      <c r="K6883" s="25" t="str">
        <f t="shared" si="80"/>
        <v/>
      </c>
      <c r="L6883" s="25" t="str">
        <f t="shared" si="81"/>
        <v/>
      </c>
      <c r="M6883" s="25"/>
      <c r="O6883" s="25"/>
    </row>
    <row r="6884" ht="15.75" customHeight="1">
      <c r="A6884" s="25" t="str">
        <f>IFERROR(__xludf.DUMMYFUNCTION("IF(B6884="""","""",RIGHT(REGEXREPLACE(B6884&amp;"""",""[^0-9]"",""""),9))"),"766489060")</f>
        <v>766489060</v>
      </c>
      <c r="B6884" s="52">
        <v>7.6648906E8</v>
      </c>
      <c r="C6884" s="28" t="s">
        <v>7145</v>
      </c>
      <c r="D6884" s="26" t="s">
        <v>82</v>
      </c>
      <c r="E6884" s="31">
        <v>46243.0</v>
      </c>
      <c r="F6884" s="26" t="s">
        <v>41</v>
      </c>
      <c r="G6884" s="26">
        <v>9.0</v>
      </c>
      <c r="I6884" s="26" t="s">
        <v>951</v>
      </c>
      <c r="J6884" s="25" t="str">
        <f t="shared" si="79"/>
        <v>No</v>
      </c>
      <c r="K6884" s="25" t="str">
        <f t="shared" si="80"/>
        <v/>
      </c>
      <c r="L6884" s="25" t="str">
        <f t="shared" si="81"/>
        <v/>
      </c>
      <c r="M6884" s="25"/>
      <c r="O6884" s="25"/>
    </row>
    <row r="6885" ht="15.75" customHeight="1">
      <c r="A6885" s="25" t="str">
        <f>IFERROR(__xludf.DUMMYFUNCTION("IF(B6885="""","""",RIGHT(REGEXREPLACE(B6885&amp;"""",""[^0-9]"",""""),9))"),"767996895")</f>
        <v>767996895</v>
      </c>
      <c r="B6885" s="52">
        <v>7.67996895E8</v>
      </c>
      <c r="C6885" s="28" t="s">
        <v>7146</v>
      </c>
      <c r="D6885" s="26" t="s">
        <v>45</v>
      </c>
      <c r="E6885" s="31">
        <v>46243.0</v>
      </c>
      <c r="F6885" s="26" t="s">
        <v>46</v>
      </c>
      <c r="G6885" s="26">
        <v>9.0</v>
      </c>
      <c r="H6885" s="26" t="s">
        <v>3656</v>
      </c>
      <c r="I6885" s="26" t="s">
        <v>951</v>
      </c>
      <c r="J6885" s="25" t="str">
        <f t="shared" si="79"/>
        <v>No</v>
      </c>
      <c r="K6885" s="25" t="str">
        <f t="shared" si="80"/>
        <v/>
      </c>
      <c r="L6885" s="25" t="str">
        <f t="shared" si="81"/>
        <v/>
      </c>
      <c r="M6885" s="25"/>
      <c r="O6885" s="25"/>
    </row>
    <row r="6886" ht="15.75" customHeight="1">
      <c r="A6886" s="25" t="str">
        <f>IFERROR(__xludf.DUMMYFUNCTION("IF(B6886="""","""",RIGHT(REGEXREPLACE(B6886&amp;"""",""[^0-9]"",""""),9))"),"779185658")</f>
        <v>779185658</v>
      </c>
      <c r="B6886" s="52">
        <v>7.79185658E8</v>
      </c>
      <c r="C6886" s="28" t="s">
        <v>7147</v>
      </c>
      <c r="D6886" s="26" t="s">
        <v>49</v>
      </c>
      <c r="E6886" s="31">
        <v>46243.0</v>
      </c>
      <c r="F6886" s="26" t="s">
        <v>46</v>
      </c>
      <c r="G6886" s="26">
        <v>9.0</v>
      </c>
      <c r="H6886" s="26" t="s">
        <v>7148</v>
      </c>
      <c r="I6886" s="26" t="s">
        <v>951</v>
      </c>
      <c r="J6886" s="25" t="str">
        <f t="shared" si="79"/>
        <v>No</v>
      </c>
      <c r="K6886" s="25" t="str">
        <f t="shared" si="80"/>
        <v/>
      </c>
      <c r="L6886" s="25" t="str">
        <f t="shared" si="81"/>
        <v/>
      </c>
      <c r="M6886" s="25"/>
      <c r="O6886" s="25"/>
    </row>
    <row r="6887" ht="15.75" customHeight="1">
      <c r="A6887" s="25" t="str">
        <f>IFERROR(__xludf.DUMMYFUNCTION("IF(B6887="""","""",RIGHT(REGEXREPLACE(B6887&amp;"""",""[^0-9]"",""""),9))"),"788404662")</f>
        <v>788404662</v>
      </c>
      <c r="B6887" s="52">
        <v>7.88404662E8</v>
      </c>
      <c r="C6887" s="28" t="s">
        <v>7149</v>
      </c>
      <c r="D6887" s="26" t="s">
        <v>82</v>
      </c>
      <c r="E6887" s="31">
        <v>46243.0</v>
      </c>
      <c r="F6887" s="26" t="s">
        <v>41</v>
      </c>
      <c r="G6887" s="26">
        <v>9.0</v>
      </c>
      <c r="I6887" s="26" t="s">
        <v>951</v>
      </c>
      <c r="J6887" s="25" t="str">
        <f t="shared" si="79"/>
        <v>No</v>
      </c>
      <c r="K6887" s="25" t="str">
        <f t="shared" si="80"/>
        <v/>
      </c>
      <c r="L6887" s="25" t="str">
        <f t="shared" si="81"/>
        <v/>
      </c>
      <c r="M6887" s="25"/>
      <c r="O6887" s="25"/>
    </row>
    <row r="6888" ht="15.75" customHeight="1">
      <c r="A6888" s="25" t="str">
        <f>IFERROR(__xludf.DUMMYFUNCTION("IF(B6888="""","""",RIGHT(REGEXREPLACE(B6888&amp;"""",""[^0-9]"",""""),9))"),"776686649")</f>
        <v>776686649</v>
      </c>
      <c r="B6888" s="52">
        <v>7.76686649E8</v>
      </c>
      <c r="C6888" s="28" t="s">
        <v>7150</v>
      </c>
      <c r="D6888" s="26" t="s">
        <v>45</v>
      </c>
      <c r="E6888" s="31">
        <v>46243.0</v>
      </c>
      <c r="F6888" s="26" t="s">
        <v>46</v>
      </c>
      <c r="G6888" s="26">
        <v>9.0</v>
      </c>
      <c r="I6888" s="26" t="s">
        <v>951</v>
      </c>
      <c r="J6888" s="25" t="str">
        <f t="shared" si="79"/>
        <v>No</v>
      </c>
      <c r="K6888" s="25" t="str">
        <f t="shared" si="80"/>
        <v/>
      </c>
      <c r="L6888" s="25" t="str">
        <f t="shared" si="81"/>
        <v/>
      </c>
      <c r="M6888" s="25"/>
      <c r="O6888" s="25"/>
    </row>
    <row r="6889" ht="15.75" customHeight="1">
      <c r="A6889" s="25" t="str">
        <f>IFERROR(__xludf.DUMMYFUNCTION("IF(B6889="""","""",RIGHT(REGEXREPLACE(B6889&amp;"""",""[^0-9]"",""""),9))"),"771300709")</f>
        <v>771300709</v>
      </c>
      <c r="B6889" s="52">
        <v>7.71300709E8</v>
      </c>
      <c r="C6889" s="28" t="s">
        <v>7151</v>
      </c>
      <c r="D6889" s="26" t="s">
        <v>56</v>
      </c>
      <c r="E6889" s="31">
        <v>46243.0</v>
      </c>
      <c r="F6889" s="26" t="s">
        <v>41</v>
      </c>
      <c r="G6889" s="26">
        <v>9.0</v>
      </c>
      <c r="I6889" s="26" t="s">
        <v>951</v>
      </c>
      <c r="J6889" s="25" t="str">
        <f t="shared" si="79"/>
        <v>No</v>
      </c>
      <c r="K6889" s="25" t="str">
        <f t="shared" si="80"/>
        <v/>
      </c>
      <c r="L6889" s="25" t="str">
        <f t="shared" si="81"/>
        <v/>
      </c>
      <c r="M6889" s="25"/>
      <c r="O6889" s="25"/>
    </row>
    <row r="6890" ht="15.75" customHeight="1">
      <c r="A6890" s="25" t="str">
        <f>IFERROR(__xludf.DUMMYFUNCTION("IF(B6890="""","""",RIGHT(REGEXREPLACE(B6890&amp;"""",""[^0-9]"",""""),9))"),"716241481")</f>
        <v>716241481</v>
      </c>
      <c r="B6890" s="52">
        <v>7.16241481E8</v>
      </c>
      <c r="C6890" s="28" t="s">
        <v>6991</v>
      </c>
      <c r="D6890" s="26" t="s">
        <v>64</v>
      </c>
      <c r="E6890" s="31">
        <v>46243.0</v>
      </c>
      <c r="F6890" s="26" t="s">
        <v>46</v>
      </c>
      <c r="G6890" s="26">
        <v>9.0</v>
      </c>
      <c r="I6890" s="26" t="s">
        <v>951</v>
      </c>
      <c r="J6890" s="25" t="str">
        <f t="shared" si="79"/>
        <v>Yes - see Previous F-Code</v>
      </c>
      <c r="K6890" s="25" t="str">
        <f t="shared" si="80"/>
        <v>DUPLICATE - CHECK</v>
      </c>
      <c r="L6890" s="25" t="str">
        <f t="shared" si="81"/>
        <v>F75963</v>
      </c>
      <c r="M6890" s="25"/>
      <c r="O6890" s="25"/>
    </row>
    <row r="6891" ht="15.75" customHeight="1">
      <c r="A6891" s="25" t="str">
        <f>IFERROR(__xludf.DUMMYFUNCTION("IF(B6891="""","""",RIGHT(REGEXREPLACE(B6891&amp;"""",""[^0-9]"",""""),9))"),"753610793")</f>
        <v>753610793</v>
      </c>
      <c r="B6891" s="52">
        <v>7.53610793E8</v>
      </c>
      <c r="C6891" s="28" t="s">
        <v>7152</v>
      </c>
      <c r="D6891" s="26" t="s">
        <v>82</v>
      </c>
      <c r="E6891" s="31">
        <v>46243.0</v>
      </c>
      <c r="F6891" s="26" t="s">
        <v>46</v>
      </c>
      <c r="G6891" s="26">
        <v>9.0</v>
      </c>
      <c r="I6891" s="26" t="s">
        <v>951</v>
      </c>
      <c r="J6891" s="25" t="str">
        <f t="shared" si="79"/>
        <v>No</v>
      </c>
      <c r="K6891" s="25" t="str">
        <f t="shared" si="80"/>
        <v/>
      </c>
      <c r="L6891" s="25" t="str">
        <f t="shared" si="81"/>
        <v/>
      </c>
      <c r="M6891" s="25"/>
      <c r="O6891" s="26" t="s">
        <v>51</v>
      </c>
    </row>
    <row r="6892" ht="15.75" customHeight="1">
      <c r="A6892" s="25" t="str">
        <f>IFERROR(__xludf.DUMMYFUNCTION("IF(B6892="""","""",RIGHT(REGEXREPLACE(B6892&amp;"""",""[^0-9]"",""""),9))"),"768209454")</f>
        <v>768209454</v>
      </c>
      <c r="B6892" s="52">
        <v>7.68209454E8</v>
      </c>
      <c r="C6892" s="28" t="s">
        <v>7153</v>
      </c>
      <c r="D6892" s="26" t="s">
        <v>56</v>
      </c>
      <c r="E6892" s="31">
        <v>46243.0</v>
      </c>
      <c r="F6892" s="26" t="s">
        <v>46</v>
      </c>
      <c r="G6892" s="26">
        <v>9.0</v>
      </c>
      <c r="I6892" s="26" t="s">
        <v>951</v>
      </c>
      <c r="J6892" s="25" t="str">
        <f t="shared" si="79"/>
        <v>No</v>
      </c>
      <c r="K6892" s="25" t="str">
        <f t="shared" si="80"/>
        <v/>
      </c>
      <c r="L6892" s="25" t="str">
        <f t="shared" si="81"/>
        <v/>
      </c>
      <c r="M6892" s="25"/>
      <c r="O6892" s="26" t="s">
        <v>51</v>
      </c>
    </row>
    <row r="6893" ht="15.75" customHeight="1">
      <c r="A6893" s="25" t="str">
        <f>IFERROR(__xludf.DUMMYFUNCTION("IF(B6893="""","""",RIGHT(REGEXREPLACE(B6893&amp;"""",""[^0-9]"",""""),9))"),"775199316")</f>
        <v>775199316</v>
      </c>
      <c r="B6893" s="52">
        <v>7.75199316E8</v>
      </c>
      <c r="C6893" s="28" t="s">
        <v>7154</v>
      </c>
      <c r="D6893" s="26" t="s">
        <v>64</v>
      </c>
      <c r="E6893" s="31">
        <v>46243.0</v>
      </c>
      <c r="F6893" s="26" t="s">
        <v>46</v>
      </c>
      <c r="G6893" s="26">
        <v>9.0</v>
      </c>
      <c r="I6893" s="26" t="s">
        <v>951</v>
      </c>
      <c r="J6893" s="25" t="str">
        <f t="shared" si="79"/>
        <v>No</v>
      </c>
      <c r="K6893" s="25" t="str">
        <f t="shared" si="80"/>
        <v/>
      </c>
      <c r="L6893" s="25" t="str">
        <f t="shared" si="81"/>
        <v/>
      </c>
      <c r="M6893" s="25"/>
      <c r="O6893" s="25"/>
    </row>
    <row r="6894" ht="15.75" customHeight="1">
      <c r="A6894" s="25" t="str">
        <f>IFERROR(__xludf.DUMMYFUNCTION("IF(B6894="""","""",RIGHT(REGEXREPLACE(B6894&amp;"""",""[^0-9]"",""""),9))"),"766280258")</f>
        <v>766280258</v>
      </c>
      <c r="B6894" s="52">
        <v>7.66280258E8</v>
      </c>
      <c r="C6894" s="28" t="s">
        <v>7155</v>
      </c>
      <c r="D6894" s="26" t="s">
        <v>49</v>
      </c>
      <c r="E6894" s="31">
        <v>46243.0</v>
      </c>
      <c r="F6894" s="26" t="s">
        <v>46</v>
      </c>
      <c r="G6894" s="26">
        <v>11.0</v>
      </c>
      <c r="H6894" s="118" t="s">
        <v>7156</v>
      </c>
      <c r="I6894" s="26" t="s">
        <v>951</v>
      </c>
      <c r="J6894" s="25" t="str">
        <f t="shared" si="79"/>
        <v>No</v>
      </c>
      <c r="K6894" s="25" t="str">
        <f t="shared" si="80"/>
        <v/>
      </c>
      <c r="L6894" s="25" t="str">
        <f t="shared" si="81"/>
        <v/>
      </c>
      <c r="M6894" s="25"/>
      <c r="O6894" s="25"/>
    </row>
    <row r="6895" ht="15.75" customHeight="1">
      <c r="A6895" s="25" t="str">
        <f>IFERROR(__xludf.DUMMYFUNCTION("IF(B6895="""","""",RIGHT(REGEXREPLACE(B6895&amp;"""",""[^0-9]"",""""),9))"),"702643840")</f>
        <v>702643840</v>
      </c>
      <c r="B6895" s="52">
        <v>7.0264384E8</v>
      </c>
      <c r="C6895" s="28" t="s">
        <v>5030</v>
      </c>
      <c r="D6895" s="26" t="s">
        <v>45</v>
      </c>
      <c r="E6895" s="31">
        <v>46243.0</v>
      </c>
      <c r="F6895" s="26" t="s">
        <v>46</v>
      </c>
      <c r="G6895" s="26">
        <v>9.0</v>
      </c>
      <c r="I6895" s="26" t="s">
        <v>951</v>
      </c>
      <c r="J6895" s="25" t="str">
        <f t="shared" si="79"/>
        <v>Yes - see Previous F-Code</v>
      </c>
      <c r="K6895" s="25" t="str">
        <f t="shared" si="80"/>
        <v/>
      </c>
      <c r="L6895" s="25" t="str">
        <f t="shared" si="81"/>
        <v>F74585</v>
      </c>
      <c r="M6895" s="25"/>
      <c r="O6895" s="25"/>
    </row>
    <row r="6896" ht="15.75" customHeight="1">
      <c r="A6896" s="25" t="str">
        <f>IFERROR(__xludf.DUMMYFUNCTION("IF(B6896="""","""",RIGHT(REGEXREPLACE(B6896&amp;"""",""[^0-9]"",""""),9))"),"716110373")</f>
        <v>716110373</v>
      </c>
      <c r="B6896" s="52">
        <v>7.16110373E8</v>
      </c>
      <c r="C6896" s="28" t="s">
        <v>7157</v>
      </c>
      <c r="D6896" s="26" t="s">
        <v>45</v>
      </c>
      <c r="E6896" s="31">
        <v>46243.0</v>
      </c>
      <c r="F6896" s="26" t="s">
        <v>41</v>
      </c>
      <c r="G6896" s="26">
        <v>9.0</v>
      </c>
      <c r="I6896" s="26" t="s">
        <v>951</v>
      </c>
      <c r="J6896" s="25" t="str">
        <f t="shared" si="79"/>
        <v>No</v>
      </c>
      <c r="K6896" s="25" t="str">
        <f t="shared" si="80"/>
        <v/>
      </c>
      <c r="L6896" s="25" t="str">
        <f t="shared" si="81"/>
        <v/>
      </c>
      <c r="M6896" s="25"/>
      <c r="O6896" s="25"/>
    </row>
    <row r="6897" ht="15.75" customHeight="1">
      <c r="A6897" s="25" t="str">
        <f>IFERROR(__xludf.DUMMYFUNCTION("IF(B6897="""","""",RIGHT(REGEXREPLACE(B6897&amp;"""",""[^0-9]"",""""),9))"),"716609197")</f>
        <v>716609197</v>
      </c>
      <c r="B6897" s="52">
        <v>7.16609197E8</v>
      </c>
      <c r="C6897" s="28" t="s">
        <v>7158</v>
      </c>
      <c r="D6897" s="26" t="s">
        <v>56</v>
      </c>
      <c r="E6897" s="31">
        <v>46243.0</v>
      </c>
      <c r="F6897" s="26" t="s">
        <v>41</v>
      </c>
      <c r="G6897" s="26">
        <v>9.0</v>
      </c>
      <c r="I6897" s="26" t="s">
        <v>951</v>
      </c>
      <c r="J6897" s="25" t="str">
        <f t="shared" si="79"/>
        <v>No</v>
      </c>
      <c r="K6897" s="25" t="str">
        <f t="shared" si="80"/>
        <v/>
      </c>
      <c r="L6897" s="25" t="str">
        <f t="shared" si="81"/>
        <v/>
      </c>
      <c r="M6897" s="25"/>
      <c r="O6897" s="25"/>
    </row>
    <row r="6898" ht="15.75" customHeight="1">
      <c r="A6898" s="25" t="str">
        <f>IFERROR(__xludf.DUMMYFUNCTION("IF(B6898="""","""",RIGHT(REGEXREPLACE(B6898&amp;"""",""[^0-9]"",""""),9))"),"704158239")</f>
        <v>704158239</v>
      </c>
      <c r="B6898" s="52">
        <v>7.04158239E8</v>
      </c>
      <c r="C6898" s="28" t="s">
        <v>7159</v>
      </c>
      <c r="D6898" s="26" t="s">
        <v>82</v>
      </c>
      <c r="E6898" s="31">
        <v>46243.0</v>
      </c>
      <c r="F6898" s="26" t="s">
        <v>46</v>
      </c>
      <c r="G6898" s="26">
        <v>9.0</v>
      </c>
      <c r="I6898" s="26" t="s">
        <v>951</v>
      </c>
      <c r="J6898" s="25" t="str">
        <f t="shared" si="79"/>
        <v>No</v>
      </c>
      <c r="K6898" s="25" t="str">
        <f t="shared" si="80"/>
        <v/>
      </c>
      <c r="L6898" s="25" t="str">
        <f t="shared" si="81"/>
        <v/>
      </c>
      <c r="M6898" s="25"/>
      <c r="O6898" s="25"/>
    </row>
    <row r="6899" ht="15.75" customHeight="1">
      <c r="A6899" s="25" t="str">
        <f>IFERROR(__xludf.DUMMYFUNCTION("IF(B6899="""","""",RIGHT(REGEXREPLACE(B6899&amp;"""",""[^0-9]"",""""),9))"),"757863558")</f>
        <v>757863558</v>
      </c>
      <c r="B6899" s="52">
        <v>7.57863558E8</v>
      </c>
      <c r="C6899" s="28" t="s">
        <v>7160</v>
      </c>
      <c r="D6899" s="26" t="s">
        <v>45</v>
      </c>
      <c r="E6899" s="31">
        <v>46243.0</v>
      </c>
      <c r="F6899" s="26" t="s">
        <v>46</v>
      </c>
      <c r="G6899" s="26">
        <v>9.0</v>
      </c>
      <c r="I6899" s="26" t="s">
        <v>951</v>
      </c>
      <c r="J6899" s="25" t="str">
        <f t="shared" si="79"/>
        <v>No</v>
      </c>
      <c r="K6899" s="25" t="str">
        <f t="shared" si="80"/>
        <v/>
      </c>
      <c r="L6899" s="25" t="str">
        <f t="shared" si="81"/>
        <v/>
      </c>
      <c r="M6899" s="25"/>
      <c r="O6899" s="25"/>
    </row>
    <row r="6900" ht="15.75" customHeight="1">
      <c r="A6900" s="25" t="str">
        <f>IFERROR(__xludf.DUMMYFUNCTION("IF(B6900="""","""",RIGHT(REGEXREPLACE(B6900&amp;"""",""[^0-9]"",""""),9))"),"711981871")</f>
        <v>711981871</v>
      </c>
      <c r="B6900" s="52">
        <v>7.11981871E8</v>
      </c>
      <c r="C6900" s="28" t="s">
        <v>7161</v>
      </c>
      <c r="D6900" s="26" t="s">
        <v>64</v>
      </c>
      <c r="E6900" s="31">
        <v>46243.0</v>
      </c>
      <c r="F6900" s="26" t="s">
        <v>46</v>
      </c>
      <c r="G6900" s="26">
        <v>9.0</v>
      </c>
      <c r="I6900" s="26" t="s">
        <v>951</v>
      </c>
      <c r="J6900" s="25" t="str">
        <f t="shared" si="79"/>
        <v>No</v>
      </c>
      <c r="K6900" s="25" t="str">
        <f t="shared" si="80"/>
        <v/>
      </c>
      <c r="L6900" s="25" t="str">
        <f t="shared" si="81"/>
        <v/>
      </c>
      <c r="M6900" s="25"/>
      <c r="O6900" s="25"/>
    </row>
    <row r="6901" ht="15.75" customHeight="1">
      <c r="A6901" s="25" t="str">
        <f>IFERROR(__xludf.DUMMYFUNCTION("IF(B6901="""","""",RIGHT(REGEXREPLACE(B6901&amp;"""",""[^0-9]"",""""),9))"),"771344930")</f>
        <v>771344930</v>
      </c>
      <c r="B6901" s="52">
        <v>7.7134493E8</v>
      </c>
      <c r="C6901" s="28" t="s">
        <v>7162</v>
      </c>
      <c r="D6901" s="26" t="s">
        <v>56</v>
      </c>
      <c r="E6901" s="31">
        <v>46243.0</v>
      </c>
      <c r="F6901" s="26" t="s">
        <v>659</v>
      </c>
      <c r="I6901" s="26" t="s">
        <v>951</v>
      </c>
      <c r="J6901" s="25" t="str">
        <f t="shared" si="79"/>
        <v>No</v>
      </c>
      <c r="K6901" s="25" t="str">
        <f t="shared" si="80"/>
        <v/>
      </c>
      <c r="L6901" s="25" t="str">
        <f t="shared" si="81"/>
        <v/>
      </c>
      <c r="M6901" s="25"/>
      <c r="O6901" s="25"/>
    </row>
    <row r="6902" ht="15.75" customHeight="1">
      <c r="A6902" s="25" t="str">
        <f>IFERROR(__xludf.DUMMYFUNCTION("IF(B6902="""","""",RIGHT(REGEXREPLACE(B6902&amp;"""",""[^0-9]"",""""),9))"),"762958375")</f>
        <v>762958375</v>
      </c>
      <c r="B6902" s="52">
        <v>7.62958375E8</v>
      </c>
      <c r="C6902" s="28" t="s">
        <v>7163</v>
      </c>
      <c r="D6902" s="26" t="s">
        <v>49</v>
      </c>
      <c r="E6902" s="31">
        <v>46243.0</v>
      </c>
      <c r="F6902" s="26" t="s">
        <v>46</v>
      </c>
      <c r="G6902" s="26">
        <v>10.0</v>
      </c>
      <c r="H6902" s="26" t="s">
        <v>4980</v>
      </c>
      <c r="I6902" s="26" t="s">
        <v>951</v>
      </c>
      <c r="J6902" s="25" t="str">
        <f t="shared" si="79"/>
        <v>No</v>
      </c>
      <c r="K6902" s="25" t="str">
        <f t="shared" si="80"/>
        <v/>
      </c>
      <c r="L6902" s="25" t="str">
        <f t="shared" si="81"/>
        <v/>
      </c>
      <c r="M6902" s="25"/>
      <c r="O6902" s="25"/>
    </row>
    <row r="6903" ht="15.75" customHeight="1">
      <c r="A6903" s="25" t="str">
        <f>IFERROR(__xludf.DUMMYFUNCTION("IF(B6903="""","""",RIGHT(REGEXREPLACE(B6903&amp;"""",""[^0-9]"",""""),9))"),"770329530")</f>
        <v>770329530</v>
      </c>
      <c r="B6903" s="52">
        <v>7.7032953E8</v>
      </c>
      <c r="C6903" s="28" t="s">
        <v>7164</v>
      </c>
      <c r="D6903" s="26" t="s">
        <v>82</v>
      </c>
      <c r="E6903" s="31">
        <v>46243.0</v>
      </c>
      <c r="F6903" s="26" t="s">
        <v>659</v>
      </c>
      <c r="I6903" s="26" t="s">
        <v>951</v>
      </c>
      <c r="J6903" s="25" t="str">
        <f t="shared" si="79"/>
        <v>No</v>
      </c>
      <c r="K6903" s="25" t="str">
        <f t="shared" si="80"/>
        <v/>
      </c>
      <c r="L6903" s="25" t="str">
        <f t="shared" si="81"/>
        <v/>
      </c>
      <c r="M6903" s="25"/>
      <c r="O6903" s="25"/>
    </row>
    <row r="6904" ht="15.75" customHeight="1">
      <c r="A6904" s="25" t="str">
        <f>IFERROR(__xludf.DUMMYFUNCTION("IF(B6904="""","""",RIGHT(REGEXREPLACE(B6904&amp;"""",""[^0-9]"",""""),9))"),"775857218")</f>
        <v>775857218</v>
      </c>
      <c r="B6904" s="52">
        <v>7.75857218E8</v>
      </c>
      <c r="C6904" s="28" t="s">
        <v>7165</v>
      </c>
      <c r="D6904" s="26" t="s">
        <v>56</v>
      </c>
      <c r="E6904" s="31">
        <v>46243.0</v>
      </c>
      <c r="F6904" s="26" t="s">
        <v>46</v>
      </c>
      <c r="G6904" s="26">
        <v>9.0</v>
      </c>
      <c r="I6904" s="26" t="s">
        <v>951</v>
      </c>
      <c r="J6904" s="25" t="str">
        <f t="shared" si="79"/>
        <v>No</v>
      </c>
      <c r="K6904" s="25" t="str">
        <f t="shared" si="80"/>
        <v/>
      </c>
      <c r="L6904" s="25" t="str">
        <f t="shared" si="81"/>
        <v/>
      </c>
      <c r="M6904" s="25"/>
      <c r="O6904" s="25"/>
    </row>
    <row r="6905" ht="15.75" customHeight="1">
      <c r="A6905" s="25" t="str">
        <f>IFERROR(__xludf.DUMMYFUNCTION("IF(B6905="""","""",RIGHT(REGEXREPLACE(B6905&amp;"""",""[^0-9]"",""""),9))"),"717312670")</f>
        <v>717312670</v>
      </c>
      <c r="B6905" s="52">
        <v>7.1731267E8</v>
      </c>
      <c r="C6905" s="28" t="s">
        <v>7166</v>
      </c>
      <c r="D6905" s="26" t="s">
        <v>82</v>
      </c>
      <c r="E6905" s="31">
        <v>46243.0</v>
      </c>
      <c r="F6905" s="26" t="s">
        <v>46</v>
      </c>
      <c r="G6905" s="26">
        <v>8.0</v>
      </c>
      <c r="H6905" s="26" t="s">
        <v>7167</v>
      </c>
      <c r="I6905" s="26" t="s">
        <v>951</v>
      </c>
      <c r="J6905" s="25" t="str">
        <f t="shared" si="79"/>
        <v>No</v>
      </c>
      <c r="K6905" s="25" t="str">
        <f t="shared" si="80"/>
        <v/>
      </c>
      <c r="L6905" s="25" t="str">
        <f t="shared" si="81"/>
        <v/>
      </c>
      <c r="M6905" s="25"/>
      <c r="O6905" s="25"/>
    </row>
    <row r="6906" ht="15.75" customHeight="1">
      <c r="A6906" s="25" t="str">
        <f>IFERROR(__xludf.DUMMYFUNCTION("IF(B6906="""","""",RIGHT(REGEXREPLACE(B6906&amp;"""",""[^0-9]"",""""),9))"),"703701685")</f>
        <v>703701685</v>
      </c>
      <c r="B6906" s="52">
        <v>7.03701685E8</v>
      </c>
      <c r="C6906" s="28" t="s">
        <v>7168</v>
      </c>
      <c r="D6906" s="26" t="s">
        <v>45</v>
      </c>
      <c r="E6906" s="31">
        <v>46243.0</v>
      </c>
      <c r="F6906" s="26" t="s">
        <v>46</v>
      </c>
      <c r="H6906" s="26" t="s">
        <v>280</v>
      </c>
      <c r="I6906" s="26" t="s">
        <v>951</v>
      </c>
      <c r="J6906" s="25" t="str">
        <f t="shared" si="79"/>
        <v>No</v>
      </c>
      <c r="K6906" s="25" t="str">
        <f t="shared" si="80"/>
        <v/>
      </c>
      <c r="L6906" s="25" t="str">
        <f t="shared" si="81"/>
        <v/>
      </c>
      <c r="M6906" s="25"/>
      <c r="O6906" s="25"/>
    </row>
    <row r="6907" ht="15.75" customHeight="1">
      <c r="A6907" s="25" t="str">
        <f>IFERROR(__xludf.DUMMYFUNCTION("IF(B6907="""","""",RIGHT(REGEXREPLACE(B6907&amp;"""",""[^0-9]"",""""),9))"),"722954742")</f>
        <v>722954742</v>
      </c>
      <c r="B6907" s="52">
        <v>7.22954742E8</v>
      </c>
      <c r="C6907" s="28" t="s">
        <v>7169</v>
      </c>
      <c r="D6907" s="26" t="s">
        <v>49</v>
      </c>
      <c r="E6907" s="31">
        <v>46243.0</v>
      </c>
      <c r="F6907" s="26" t="s">
        <v>46</v>
      </c>
      <c r="G6907" s="26">
        <v>10.0</v>
      </c>
      <c r="H6907" s="117" t="s">
        <v>7170</v>
      </c>
      <c r="I6907" s="26" t="s">
        <v>951</v>
      </c>
      <c r="J6907" s="25" t="str">
        <f t="shared" si="79"/>
        <v>No</v>
      </c>
      <c r="K6907" s="25" t="str">
        <f t="shared" si="80"/>
        <v/>
      </c>
      <c r="L6907" s="25" t="str">
        <f t="shared" si="81"/>
        <v/>
      </c>
      <c r="M6907" s="25"/>
      <c r="O6907" s="25"/>
    </row>
    <row r="6908" ht="15.75" customHeight="1">
      <c r="A6908" s="25" t="str">
        <f>IFERROR(__xludf.DUMMYFUNCTION("IF(B6908="""","""",RIGHT(REGEXREPLACE(B6908&amp;"""",""[^0-9]"",""""),9))"),"771934454")</f>
        <v>771934454</v>
      </c>
      <c r="B6908" s="52">
        <v>7.71934454E8</v>
      </c>
      <c r="C6908" s="28" t="s">
        <v>7171</v>
      </c>
      <c r="D6908" s="26" t="s">
        <v>45</v>
      </c>
      <c r="E6908" s="31">
        <v>46243.0</v>
      </c>
      <c r="F6908" s="26" t="s">
        <v>41</v>
      </c>
      <c r="G6908" s="26">
        <v>9.0</v>
      </c>
      <c r="I6908" s="26" t="s">
        <v>951</v>
      </c>
      <c r="J6908" s="25" t="str">
        <f t="shared" si="79"/>
        <v>No</v>
      </c>
      <c r="K6908" s="25" t="str">
        <f t="shared" si="80"/>
        <v/>
      </c>
      <c r="L6908" s="25" t="str">
        <f t="shared" si="81"/>
        <v/>
      </c>
      <c r="M6908" s="25"/>
      <c r="O6908" s="25"/>
    </row>
    <row r="6909" ht="15.75" customHeight="1">
      <c r="A6909" s="25" t="str">
        <f>IFERROR(__xludf.DUMMYFUNCTION("IF(B6909="""","""",RIGHT(REGEXREPLACE(B6909&amp;"""",""[^0-9]"",""""),9))"),"716937424")</f>
        <v>716937424</v>
      </c>
      <c r="B6909" s="52">
        <v>7.16937424E8</v>
      </c>
      <c r="C6909" s="28" t="s">
        <v>7172</v>
      </c>
      <c r="D6909" s="26" t="s">
        <v>45</v>
      </c>
      <c r="E6909" s="31">
        <v>46243.0</v>
      </c>
      <c r="F6909" s="26" t="s">
        <v>46</v>
      </c>
      <c r="G6909" s="26">
        <v>9.0</v>
      </c>
      <c r="I6909" s="26" t="s">
        <v>951</v>
      </c>
      <c r="J6909" s="25" t="str">
        <f t="shared" si="79"/>
        <v>No</v>
      </c>
      <c r="K6909" s="25" t="str">
        <f t="shared" si="80"/>
        <v/>
      </c>
      <c r="L6909" s="25" t="str">
        <f t="shared" si="81"/>
        <v/>
      </c>
      <c r="M6909" s="25"/>
      <c r="O6909" s="25"/>
    </row>
    <row r="6910" ht="15.75" customHeight="1">
      <c r="A6910" s="25" t="str">
        <f>IFERROR(__xludf.DUMMYFUNCTION("IF(B6910="""","""",RIGHT(REGEXREPLACE(B6910&amp;"""",""[^0-9]"",""""),9))"),"763020250")</f>
        <v>763020250</v>
      </c>
      <c r="B6910" s="52">
        <v>7.6302025E8</v>
      </c>
      <c r="C6910" s="28" t="s">
        <v>7173</v>
      </c>
      <c r="D6910" s="26" t="s">
        <v>56</v>
      </c>
      <c r="E6910" s="31">
        <v>46243.0</v>
      </c>
      <c r="F6910" s="26" t="s">
        <v>41</v>
      </c>
      <c r="G6910" s="26">
        <v>9.0</v>
      </c>
      <c r="I6910" s="26" t="s">
        <v>951</v>
      </c>
      <c r="J6910" s="25" t="str">
        <f t="shared" si="79"/>
        <v>No</v>
      </c>
      <c r="K6910" s="25" t="str">
        <f t="shared" si="80"/>
        <v/>
      </c>
      <c r="L6910" s="25" t="str">
        <f t="shared" si="81"/>
        <v/>
      </c>
      <c r="M6910" s="25"/>
      <c r="O6910" s="25"/>
    </row>
    <row r="6911" ht="15.75" customHeight="1">
      <c r="A6911" s="25" t="str">
        <f>IFERROR(__xludf.DUMMYFUNCTION("IF(B6911="""","""",RIGHT(REGEXREPLACE(B6911&amp;"""",""[^0-9]"",""""),9))"),"773108945")</f>
        <v>773108945</v>
      </c>
      <c r="B6911" s="52">
        <v>7.73108945E8</v>
      </c>
      <c r="C6911" s="28" t="s">
        <v>7174</v>
      </c>
      <c r="D6911" s="26" t="s">
        <v>82</v>
      </c>
      <c r="E6911" s="31">
        <v>46243.0</v>
      </c>
      <c r="F6911" s="26" t="s">
        <v>46</v>
      </c>
      <c r="G6911" s="26">
        <v>11.0</v>
      </c>
      <c r="I6911" s="26" t="s">
        <v>951</v>
      </c>
      <c r="J6911" s="25" t="str">
        <f t="shared" si="79"/>
        <v>No</v>
      </c>
      <c r="K6911" s="25" t="str">
        <f t="shared" si="80"/>
        <v/>
      </c>
      <c r="L6911" s="25" t="str">
        <f t="shared" si="81"/>
        <v/>
      </c>
      <c r="M6911" s="25"/>
      <c r="O6911" s="25"/>
    </row>
    <row r="6912" ht="15.75" customHeight="1">
      <c r="A6912" s="25" t="str">
        <f>IFERROR(__xludf.DUMMYFUNCTION("IF(B6912="""","""",RIGHT(REGEXREPLACE(B6912&amp;"""",""[^0-9]"",""""),9))"),"726887337")</f>
        <v>726887337</v>
      </c>
      <c r="B6912" s="52">
        <v>7.26887337E8</v>
      </c>
      <c r="C6912" s="28" t="s">
        <v>7175</v>
      </c>
      <c r="D6912" s="26" t="s">
        <v>64</v>
      </c>
      <c r="E6912" s="31">
        <v>46243.0</v>
      </c>
      <c r="F6912" s="26" t="s">
        <v>41</v>
      </c>
      <c r="I6912" s="26" t="s">
        <v>951</v>
      </c>
      <c r="J6912" s="25" t="str">
        <f t="shared" si="79"/>
        <v>No</v>
      </c>
      <c r="K6912" s="25" t="str">
        <f t="shared" si="80"/>
        <v/>
      </c>
      <c r="L6912" s="25" t="str">
        <f t="shared" si="81"/>
        <v/>
      </c>
      <c r="M6912" s="25"/>
      <c r="O6912" s="25"/>
    </row>
    <row r="6913" ht="15.75" customHeight="1">
      <c r="A6913" s="25" t="str">
        <f>IFERROR(__xludf.DUMMYFUNCTION("IF(B6913="""","""",RIGHT(REGEXREPLACE(B6913&amp;"""",""[^0-9]"",""""),9))"),"775427493")</f>
        <v>775427493</v>
      </c>
      <c r="B6913" s="52">
        <v>7.75427493E8</v>
      </c>
      <c r="C6913" s="28" t="s">
        <v>7176</v>
      </c>
      <c r="D6913" s="26" t="s">
        <v>45</v>
      </c>
      <c r="E6913" s="31">
        <v>46243.0</v>
      </c>
      <c r="F6913" s="26" t="s">
        <v>205</v>
      </c>
      <c r="G6913" s="26">
        <v>11.0</v>
      </c>
      <c r="I6913" s="26" t="s">
        <v>951</v>
      </c>
      <c r="J6913" s="25" t="str">
        <f t="shared" si="79"/>
        <v>No</v>
      </c>
      <c r="K6913" s="25" t="str">
        <f t="shared" si="80"/>
        <v/>
      </c>
      <c r="L6913" s="25" t="str">
        <f t="shared" si="81"/>
        <v/>
      </c>
      <c r="M6913" s="25"/>
      <c r="O6913" s="25"/>
    </row>
    <row r="6914" ht="15.75" customHeight="1">
      <c r="A6914" s="25" t="str">
        <f>IFERROR(__xludf.DUMMYFUNCTION("IF(B6914="""","""",RIGHT(REGEXREPLACE(B6914&amp;"""",""[^0-9]"",""""),9))"),"770481394")</f>
        <v>770481394</v>
      </c>
      <c r="B6914" s="52">
        <v>7.70481394E8</v>
      </c>
      <c r="C6914" s="28" t="s">
        <v>7177</v>
      </c>
      <c r="D6914" s="26" t="s">
        <v>82</v>
      </c>
      <c r="E6914" s="31">
        <v>46243.0</v>
      </c>
      <c r="F6914" s="26" t="s">
        <v>125</v>
      </c>
      <c r="G6914" s="26">
        <v>9.0</v>
      </c>
      <c r="H6914" s="26" t="s">
        <v>7178</v>
      </c>
      <c r="I6914" s="26" t="s">
        <v>951</v>
      </c>
      <c r="J6914" s="25" t="str">
        <f t="shared" si="79"/>
        <v>No</v>
      </c>
      <c r="K6914" s="25" t="str">
        <f t="shared" si="80"/>
        <v/>
      </c>
      <c r="L6914" s="25" t="str">
        <f t="shared" si="81"/>
        <v/>
      </c>
      <c r="M6914" s="25"/>
      <c r="O6914" s="25"/>
    </row>
    <row r="6915" ht="15.75" customHeight="1">
      <c r="A6915" s="25" t="str">
        <f>IFERROR(__xludf.DUMMYFUNCTION("IF(B6915="""","""",RIGHT(REGEXREPLACE(B6915&amp;"""",""[^0-9]"",""""),9))"),"716483330")</f>
        <v>716483330</v>
      </c>
      <c r="B6915" s="52">
        <v>7.1648333E8</v>
      </c>
      <c r="C6915" s="28" t="s">
        <v>956</v>
      </c>
      <c r="D6915" s="26" t="s">
        <v>49</v>
      </c>
      <c r="E6915" s="31">
        <v>46243.0</v>
      </c>
      <c r="F6915" s="26" t="s">
        <v>46</v>
      </c>
      <c r="G6915" s="26">
        <v>9.0</v>
      </c>
      <c r="H6915" s="26" t="s">
        <v>5896</v>
      </c>
      <c r="I6915" s="26" t="s">
        <v>951</v>
      </c>
      <c r="J6915" s="25" t="str">
        <f t="shared" si="79"/>
        <v>Yes - see Previous F-Code</v>
      </c>
      <c r="K6915" s="25" t="str">
        <f t="shared" si="80"/>
        <v/>
      </c>
      <c r="L6915" s="25" t="str">
        <f t="shared" si="81"/>
        <v>F70707</v>
      </c>
      <c r="M6915" s="25"/>
      <c r="O6915" s="25"/>
    </row>
    <row r="6916" ht="15.75" customHeight="1">
      <c r="A6916" s="25" t="str">
        <f>IFERROR(__xludf.DUMMYFUNCTION("IF(B6916="""","""",RIGHT(REGEXREPLACE(B6916&amp;"""",""[^0-9]"",""""),9))"),"713117896")</f>
        <v>713117896</v>
      </c>
      <c r="B6916" s="52">
        <v>7.13117896E8</v>
      </c>
      <c r="C6916" s="28" t="s">
        <v>7179</v>
      </c>
      <c r="D6916" s="26" t="s">
        <v>64</v>
      </c>
      <c r="E6916" s="31">
        <v>46243.0</v>
      </c>
      <c r="F6916" s="26" t="s">
        <v>46</v>
      </c>
      <c r="G6916" s="26">
        <v>6.0</v>
      </c>
      <c r="I6916" s="26" t="s">
        <v>951</v>
      </c>
      <c r="J6916" s="25" t="str">
        <f t="shared" si="79"/>
        <v>No</v>
      </c>
      <c r="K6916" s="25" t="str">
        <f t="shared" si="80"/>
        <v/>
      </c>
      <c r="L6916" s="25" t="str">
        <f t="shared" si="81"/>
        <v/>
      </c>
      <c r="M6916" s="25"/>
      <c r="O6916" s="26" t="s">
        <v>51</v>
      </c>
    </row>
    <row r="6917" ht="15.75" customHeight="1">
      <c r="A6917" s="25" t="str">
        <f>IFERROR(__xludf.DUMMYFUNCTION("IF(B6917="""","""",RIGHT(REGEXREPLACE(B6917&amp;"""",""[^0-9]"",""""),9))"),"720920291")</f>
        <v>720920291</v>
      </c>
      <c r="B6917" s="52">
        <v>7.20920291E8</v>
      </c>
      <c r="C6917" s="28" t="s">
        <v>3399</v>
      </c>
      <c r="D6917" s="26" t="s">
        <v>45</v>
      </c>
      <c r="E6917" s="31">
        <v>46243.0</v>
      </c>
      <c r="F6917" s="26" t="s">
        <v>205</v>
      </c>
      <c r="I6917" s="26" t="s">
        <v>951</v>
      </c>
      <c r="J6917" s="25" t="str">
        <f t="shared" si="79"/>
        <v>Yes - see Previous F-Code</v>
      </c>
      <c r="K6917" s="25" t="str">
        <f t="shared" si="80"/>
        <v/>
      </c>
      <c r="L6917" s="25" t="str">
        <f t="shared" si="81"/>
        <v>F73058</v>
      </c>
      <c r="M6917" s="25"/>
      <c r="O6917" s="25"/>
    </row>
    <row r="6918" ht="15.75" customHeight="1">
      <c r="A6918" s="25" t="str">
        <f>IFERROR(__xludf.DUMMYFUNCTION("IF(B6918="""","""",RIGHT(REGEXREPLACE(B6918&amp;"""",""[^0-9]"",""""),9))"),"716310520")</f>
        <v>716310520</v>
      </c>
      <c r="B6918" s="52">
        <v>7.1631052E8</v>
      </c>
      <c r="C6918" s="28" t="s">
        <v>7180</v>
      </c>
      <c r="D6918" s="26" t="s">
        <v>82</v>
      </c>
      <c r="E6918" s="31">
        <v>46243.0</v>
      </c>
      <c r="F6918" s="26" t="s">
        <v>205</v>
      </c>
      <c r="G6918" s="26">
        <v>9.0</v>
      </c>
      <c r="I6918" s="26" t="s">
        <v>951</v>
      </c>
      <c r="J6918" s="25" t="str">
        <f t="shared" si="79"/>
        <v>No</v>
      </c>
      <c r="K6918" s="25" t="str">
        <f t="shared" si="80"/>
        <v/>
      </c>
      <c r="L6918" s="25" t="str">
        <f t="shared" si="81"/>
        <v/>
      </c>
      <c r="M6918" s="25"/>
      <c r="O6918" s="25"/>
    </row>
    <row r="6919" ht="15.75" customHeight="1">
      <c r="A6919" s="25" t="str">
        <f>IFERROR(__xludf.DUMMYFUNCTION("IF(B6919="""","""",RIGHT(REGEXREPLACE(B6919&amp;"""",""[^0-9]"",""""),9))"),"710223002")</f>
        <v>710223002</v>
      </c>
      <c r="B6919" s="52">
        <v>7.10223002E8</v>
      </c>
      <c r="C6919" s="28" t="s">
        <v>7181</v>
      </c>
      <c r="D6919" s="26" t="s">
        <v>82</v>
      </c>
      <c r="E6919" s="31">
        <v>46243.0</v>
      </c>
      <c r="F6919" s="26" t="s">
        <v>46</v>
      </c>
      <c r="G6919" s="26">
        <v>9.0</v>
      </c>
      <c r="I6919" s="26" t="s">
        <v>951</v>
      </c>
      <c r="J6919" s="25" t="str">
        <f t="shared" si="79"/>
        <v>No</v>
      </c>
      <c r="K6919" s="25" t="str">
        <f t="shared" si="80"/>
        <v/>
      </c>
      <c r="L6919" s="25" t="str">
        <f t="shared" si="81"/>
        <v/>
      </c>
      <c r="M6919" s="25"/>
      <c r="O6919" s="25"/>
    </row>
    <row r="6920" ht="15.75" customHeight="1">
      <c r="A6920" s="25" t="str">
        <f>IFERROR(__xludf.DUMMYFUNCTION("IF(B6920="""","""",RIGHT(REGEXREPLACE(B6920&amp;"""",""[^0-9]"",""""),9))"),"771925708")</f>
        <v>771925708</v>
      </c>
      <c r="B6920" s="52">
        <v>7.71925708E8</v>
      </c>
      <c r="C6920" s="28" t="s">
        <v>7182</v>
      </c>
      <c r="D6920" s="26" t="s">
        <v>45</v>
      </c>
      <c r="E6920" s="31">
        <v>46243.0</v>
      </c>
      <c r="F6920" s="26" t="s">
        <v>41</v>
      </c>
      <c r="I6920" s="26" t="s">
        <v>951</v>
      </c>
      <c r="J6920" s="25" t="str">
        <f t="shared" si="79"/>
        <v>No</v>
      </c>
      <c r="K6920" s="25" t="str">
        <f t="shared" si="80"/>
        <v/>
      </c>
      <c r="L6920" s="25" t="str">
        <f t="shared" si="81"/>
        <v/>
      </c>
      <c r="M6920" s="25"/>
      <c r="O6920" s="25"/>
    </row>
    <row r="6921" ht="15.75" customHeight="1">
      <c r="A6921" s="25" t="str">
        <f>IFERROR(__xludf.DUMMYFUNCTION("IF(B6921="""","""",RIGHT(REGEXREPLACE(B6921&amp;"""",""[^0-9]"",""""),9))"),"775311482")</f>
        <v>775311482</v>
      </c>
      <c r="B6921" s="52">
        <v>7.75311482E8</v>
      </c>
      <c r="C6921" s="28" t="s">
        <v>7183</v>
      </c>
      <c r="D6921" s="26" t="s">
        <v>56</v>
      </c>
      <c r="E6921" s="31">
        <v>46243.0</v>
      </c>
      <c r="F6921" s="26" t="s">
        <v>46</v>
      </c>
      <c r="G6921" s="26">
        <v>9.0</v>
      </c>
      <c r="I6921" s="26" t="s">
        <v>951</v>
      </c>
      <c r="J6921" s="25" t="str">
        <f t="shared" si="79"/>
        <v>No</v>
      </c>
      <c r="K6921" s="25" t="str">
        <f t="shared" si="80"/>
        <v/>
      </c>
      <c r="L6921" s="25" t="str">
        <f t="shared" si="81"/>
        <v/>
      </c>
      <c r="M6921" s="25"/>
      <c r="O6921" s="26" t="s">
        <v>51</v>
      </c>
    </row>
    <row r="6922" ht="15.75" customHeight="1">
      <c r="A6922" s="25" t="str">
        <f>IFERROR(__xludf.DUMMYFUNCTION("IF(B6922="""","""",RIGHT(REGEXREPLACE(B6922&amp;"""",""[^0-9]"",""""),9))"),"742795861")</f>
        <v>742795861</v>
      </c>
      <c r="B6922" s="52">
        <v>7.42795861E8</v>
      </c>
      <c r="C6922" s="28" t="s">
        <v>7184</v>
      </c>
      <c r="D6922" s="26" t="s">
        <v>49</v>
      </c>
      <c r="E6922" s="31">
        <v>46243.0</v>
      </c>
      <c r="F6922" s="26" t="s">
        <v>46</v>
      </c>
      <c r="H6922" s="26" t="s">
        <v>94</v>
      </c>
      <c r="I6922" s="26" t="s">
        <v>951</v>
      </c>
      <c r="J6922" s="25" t="str">
        <f t="shared" si="79"/>
        <v>No</v>
      </c>
      <c r="K6922" s="25" t="str">
        <f t="shared" si="80"/>
        <v/>
      </c>
      <c r="L6922" s="25" t="str">
        <f t="shared" si="81"/>
        <v/>
      </c>
      <c r="M6922" s="25"/>
      <c r="O6922" s="25"/>
    </row>
    <row r="6923" ht="15.75" customHeight="1">
      <c r="A6923" s="25" t="str">
        <f>IFERROR(__xludf.DUMMYFUNCTION("IF(B6923="""","""",RIGHT(REGEXREPLACE(B6923&amp;"""",""[^0-9]"",""""),9))"),"740678323")</f>
        <v>740678323</v>
      </c>
      <c r="B6923" s="52">
        <v>7.40678323E8</v>
      </c>
      <c r="C6923" s="28" t="s">
        <v>7185</v>
      </c>
      <c r="D6923" s="26" t="s">
        <v>45</v>
      </c>
      <c r="E6923" s="31">
        <v>46243.0</v>
      </c>
      <c r="F6923" s="26" t="s">
        <v>46</v>
      </c>
      <c r="G6923" s="26">
        <v>9.0</v>
      </c>
      <c r="I6923" s="26" t="s">
        <v>951</v>
      </c>
      <c r="J6923" s="25" t="str">
        <f t="shared" si="79"/>
        <v>No</v>
      </c>
      <c r="K6923" s="25" t="str">
        <f t="shared" si="80"/>
        <v/>
      </c>
      <c r="L6923" s="25" t="str">
        <f t="shared" si="81"/>
        <v/>
      </c>
      <c r="M6923" s="25"/>
      <c r="O6923" s="25"/>
    </row>
    <row r="6924" ht="15.75" customHeight="1">
      <c r="A6924" s="25" t="str">
        <f>IFERROR(__xludf.DUMMYFUNCTION("IF(B6924="""","""",RIGHT(REGEXREPLACE(B6924&amp;"""",""[^0-9]"",""""),9))"),"764354640")</f>
        <v>764354640</v>
      </c>
      <c r="B6924" s="52">
        <v>7.6435464E8</v>
      </c>
      <c r="C6924" s="28" t="s">
        <v>6964</v>
      </c>
      <c r="D6924" s="26" t="s">
        <v>64</v>
      </c>
      <c r="E6924" s="31">
        <v>46243.0</v>
      </c>
      <c r="F6924" s="26" t="s">
        <v>46</v>
      </c>
      <c r="G6924" s="26">
        <v>9.0</v>
      </c>
      <c r="I6924" s="26" t="s">
        <v>951</v>
      </c>
      <c r="J6924" s="25" t="str">
        <f t="shared" si="79"/>
        <v>No</v>
      </c>
      <c r="K6924" s="25" t="str">
        <f t="shared" si="80"/>
        <v/>
      </c>
      <c r="L6924" s="25" t="str">
        <f t="shared" si="81"/>
        <v/>
      </c>
      <c r="M6924" s="25"/>
      <c r="O6924" s="25"/>
    </row>
    <row r="6925" ht="15.75" customHeight="1">
      <c r="A6925" s="25" t="str">
        <f>IFERROR(__xludf.DUMMYFUNCTION("IF(B6925="""","""",RIGHT(REGEXREPLACE(B6925&amp;"""",""[^0-9]"",""""),9))"),"724257002")</f>
        <v>724257002</v>
      </c>
      <c r="B6925" s="52">
        <v>7.24257002E8</v>
      </c>
      <c r="C6925" s="28" t="s">
        <v>7186</v>
      </c>
      <c r="D6925" s="26" t="s">
        <v>45</v>
      </c>
      <c r="E6925" s="31">
        <v>46243.0</v>
      </c>
      <c r="F6925" s="26" t="s">
        <v>46</v>
      </c>
      <c r="G6925" s="26">
        <v>9.0</v>
      </c>
      <c r="I6925" s="26" t="s">
        <v>951</v>
      </c>
      <c r="J6925" s="25" t="str">
        <f t="shared" si="79"/>
        <v>No</v>
      </c>
      <c r="K6925" s="25" t="str">
        <f t="shared" si="80"/>
        <v/>
      </c>
      <c r="L6925" s="25" t="str">
        <f t="shared" si="81"/>
        <v/>
      </c>
      <c r="M6925" s="25"/>
      <c r="O6925" s="25"/>
    </row>
    <row r="6926" ht="15.75" customHeight="1">
      <c r="A6926" s="25" t="str">
        <f>IFERROR(__xludf.DUMMYFUNCTION("IF(B6926="""","""",RIGHT(REGEXREPLACE(B6926&amp;"""",""[^0-9]"",""""),9))"),"719576237")</f>
        <v>719576237</v>
      </c>
      <c r="B6926" s="52">
        <v>7.19576237E8</v>
      </c>
      <c r="C6926" s="28" t="s">
        <v>7187</v>
      </c>
      <c r="D6926" s="26" t="s">
        <v>45</v>
      </c>
      <c r="E6926" s="31">
        <v>46243.0</v>
      </c>
      <c r="F6926" s="26" t="s">
        <v>164</v>
      </c>
      <c r="I6926" s="26" t="s">
        <v>951</v>
      </c>
      <c r="J6926" s="25" t="str">
        <f t="shared" si="79"/>
        <v>No</v>
      </c>
      <c r="K6926" s="25" t="str">
        <f t="shared" si="80"/>
        <v/>
      </c>
      <c r="L6926" s="25" t="str">
        <f t="shared" si="81"/>
        <v/>
      </c>
      <c r="M6926" s="25"/>
      <c r="O6926" s="25"/>
    </row>
    <row r="6927" ht="15.75" customHeight="1">
      <c r="A6927" s="25" t="str">
        <f>IFERROR(__xludf.DUMMYFUNCTION("IF(B6927="""","""",RIGHT(REGEXREPLACE(B6927&amp;"""",""[^0-9]"",""""),9))"),"768369265")</f>
        <v>768369265</v>
      </c>
      <c r="B6927" s="52">
        <v>7.68369265E8</v>
      </c>
      <c r="C6927" s="28" t="s">
        <v>7188</v>
      </c>
      <c r="D6927" s="26" t="s">
        <v>45</v>
      </c>
      <c r="E6927" s="31">
        <v>46243.0</v>
      </c>
      <c r="F6927" s="26" t="s">
        <v>41</v>
      </c>
      <c r="G6927" s="26">
        <v>9.0</v>
      </c>
      <c r="I6927" s="26" t="s">
        <v>951</v>
      </c>
      <c r="J6927" s="25" t="str">
        <f t="shared" si="79"/>
        <v>No</v>
      </c>
      <c r="K6927" s="25" t="str">
        <f t="shared" si="80"/>
        <v/>
      </c>
      <c r="L6927" s="25" t="str">
        <f t="shared" si="81"/>
        <v/>
      </c>
      <c r="M6927" s="25"/>
      <c r="O6927" s="25"/>
    </row>
    <row r="6928" ht="15.75" customHeight="1">
      <c r="A6928" s="25" t="str">
        <f>IFERROR(__xludf.DUMMYFUNCTION("IF(B6928="""","""",RIGHT(REGEXREPLACE(B6928&amp;"""",""[^0-9]"",""""),9))"),"775283128")</f>
        <v>775283128</v>
      </c>
      <c r="B6928" s="52">
        <v>7.75283128E8</v>
      </c>
      <c r="C6928" s="28" t="s">
        <v>5282</v>
      </c>
      <c r="D6928" s="26" t="s">
        <v>45</v>
      </c>
      <c r="E6928" s="31">
        <v>46243.0</v>
      </c>
      <c r="F6928" s="26" t="s">
        <v>46</v>
      </c>
      <c r="G6928" s="26" t="s">
        <v>2105</v>
      </c>
      <c r="I6928" s="26" t="s">
        <v>951</v>
      </c>
      <c r="J6928" s="25" t="str">
        <f t="shared" si="79"/>
        <v>Yes - see Previous F-Code</v>
      </c>
      <c r="K6928" s="25" t="str">
        <f t="shared" si="80"/>
        <v/>
      </c>
      <c r="L6928" s="25" t="str">
        <f t="shared" si="81"/>
        <v>F74801</v>
      </c>
      <c r="M6928" s="25"/>
      <c r="O6928" s="25"/>
    </row>
    <row r="6929" ht="15.75" customHeight="1">
      <c r="A6929" s="25" t="str">
        <f>IFERROR(__xludf.DUMMYFUNCTION("IF(B6929="""","""",RIGHT(REGEXREPLACE(B6929&amp;"""",""[^0-9]"",""""),9))"),"776353835")</f>
        <v>776353835</v>
      </c>
      <c r="B6929" s="52">
        <v>7.76353835E8</v>
      </c>
      <c r="C6929" s="28" t="s">
        <v>7189</v>
      </c>
      <c r="D6929" s="26" t="s">
        <v>45</v>
      </c>
      <c r="E6929" s="31">
        <v>46243.0</v>
      </c>
      <c r="F6929" s="26" t="s">
        <v>46</v>
      </c>
      <c r="G6929" s="26">
        <v>10.0</v>
      </c>
      <c r="I6929" s="26" t="s">
        <v>951</v>
      </c>
      <c r="J6929" s="25" t="str">
        <f t="shared" si="79"/>
        <v>No</v>
      </c>
      <c r="K6929" s="25" t="str">
        <f t="shared" si="80"/>
        <v/>
      </c>
      <c r="L6929" s="25" t="str">
        <f t="shared" si="81"/>
        <v/>
      </c>
      <c r="M6929" s="25"/>
      <c r="O6929" s="25"/>
    </row>
    <row r="6930" ht="15.75" customHeight="1">
      <c r="A6930" s="25" t="str">
        <f>IFERROR(__xludf.DUMMYFUNCTION("IF(B6930="""","""",RIGHT(REGEXREPLACE(B6930&amp;"""",""[^0-9]"",""""),9))"),"768519887")</f>
        <v>768519887</v>
      </c>
      <c r="B6930" s="52">
        <v>7.68519887E8</v>
      </c>
      <c r="C6930" s="28" t="s">
        <v>7190</v>
      </c>
      <c r="D6930" s="26" t="s">
        <v>45</v>
      </c>
      <c r="E6930" s="31">
        <v>46243.0</v>
      </c>
      <c r="F6930" s="26" t="s">
        <v>46</v>
      </c>
      <c r="G6930" s="26">
        <v>9.0</v>
      </c>
      <c r="I6930" s="26" t="s">
        <v>951</v>
      </c>
      <c r="J6930" s="25" t="str">
        <f t="shared" si="79"/>
        <v>No</v>
      </c>
      <c r="K6930" s="25" t="str">
        <f t="shared" si="80"/>
        <v/>
      </c>
      <c r="L6930" s="25" t="str">
        <f t="shared" si="81"/>
        <v/>
      </c>
      <c r="M6930" s="25"/>
      <c r="O6930" s="25"/>
    </row>
    <row r="6931" ht="15.75" customHeight="1">
      <c r="A6931" s="25" t="str">
        <f>IFERROR(__xludf.DUMMYFUNCTION("IF(B6931="""","""",RIGHT(REGEXREPLACE(B6931&amp;"""",""[^0-9]"",""""),9))"),"756802157")</f>
        <v>756802157</v>
      </c>
      <c r="B6931" s="52">
        <v>7.56802157E8</v>
      </c>
      <c r="C6931" s="28" t="s">
        <v>7191</v>
      </c>
      <c r="D6931" s="26" t="s">
        <v>45</v>
      </c>
      <c r="E6931" s="31">
        <v>46243.0</v>
      </c>
      <c r="F6931" s="26" t="s">
        <v>46</v>
      </c>
      <c r="G6931" s="26">
        <v>9.0</v>
      </c>
      <c r="I6931" s="26" t="s">
        <v>951</v>
      </c>
      <c r="J6931" s="25" t="str">
        <f t="shared" si="79"/>
        <v>No</v>
      </c>
      <c r="K6931" s="25" t="str">
        <f t="shared" si="80"/>
        <v/>
      </c>
      <c r="L6931" s="25" t="str">
        <f t="shared" si="81"/>
        <v/>
      </c>
      <c r="M6931" s="25"/>
      <c r="O6931" s="25"/>
    </row>
    <row r="6932" ht="15.75" customHeight="1">
      <c r="A6932" s="25" t="str">
        <f>IFERROR(__xludf.DUMMYFUNCTION("IF(B6932="""","""",RIGHT(REGEXREPLACE(B6932&amp;"""",""[^0-9]"",""""),9))"),"777996273")</f>
        <v>777996273</v>
      </c>
      <c r="B6932" s="52">
        <v>7.77996273E8</v>
      </c>
      <c r="C6932" s="28" t="s">
        <v>7192</v>
      </c>
      <c r="D6932" s="26" t="s">
        <v>56</v>
      </c>
      <c r="E6932" s="31">
        <v>46243.0</v>
      </c>
      <c r="F6932" s="26" t="s">
        <v>631</v>
      </c>
      <c r="G6932" s="26">
        <v>9.0</v>
      </c>
      <c r="I6932" s="26" t="s">
        <v>951</v>
      </c>
      <c r="J6932" s="25" t="str">
        <f t="shared" si="79"/>
        <v>No</v>
      </c>
      <c r="K6932" s="25" t="str">
        <f t="shared" si="80"/>
        <v/>
      </c>
      <c r="L6932" s="25" t="str">
        <f t="shared" si="81"/>
        <v/>
      </c>
      <c r="M6932" s="25"/>
      <c r="O6932" s="25"/>
    </row>
    <row r="6933" ht="15.75" customHeight="1">
      <c r="A6933" s="25" t="str">
        <f>IFERROR(__xludf.DUMMYFUNCTION("IF(B6933="""","""",RIGHT(REGEXREPLACE(B6933&amp;"""",""[^0-9]"",""""),9))"),"719613942")</f>
        <v>719613942</v>
      </c>
      <c r="B6933" s="52">
        <v>7.19613942E8</v>
      </c>
      <c r="C6933" s="28" t="s">
        <v>7193</v>
      </c>
      <c r="D6933" s="26" t="s">
        <v>45</v>
      </c>
      <c r="E6933" s="31">
        <v>46243.0</v>
      </c>
      <c r="F6933" s="26" t="s">
        <v>41</v>
      </c>
      <c r="I6933" s="26" t="s">
        <v>951</v>
      </c>
      <c r="J6933" s="25" t="str">
        <f t="shared" si="79"/>
        <v>No</v>
      </c>
      <c r="K6933" s="25" t="str">
        <f t="shared" si="80"/>
        <v/>
      </c>
      <c r="L6933" s="25" t="str">
        <f t="shared" si="81"/>
        <v/>
      </c>
      <c r="M6933" s="25"/>
      <c r="O6933" s="25"/>
    </row>
    <row r="6934" ht="15.75" customHeight="1">
      <c r="A6934" s="25" t="str">
        <f>IFERROR(__xludf.DUMMYFUNCTION("IF(B6934="""","""",RIGHT(REGEXREPLACE(B6934&amp;"""",""[^0-9]"",""""),9))"),"758633886")</f>
        <v>758633886</v>
      </c>
      <c r="B6934" s="52">
        <v>7.58633886E8</v>
      </c>
      <c r="C6934" s="28" t="s">
        <v>7194</v>
      </c>
      <c r="D6934" s="26" t="s">
        <v>45</v>
      </c>
      <c r="E6934" s="31">
        <v>46243.0</v>
      </c>
      <c r="F6934" s="26" t="s">
        <v>41</v>
      </c>
      <c r="G6934" s="26">
        <v>8.0</v>
      </c>
      <c r="I6934" s="26" t="s">
        <v>951</v>
      </c>
      <c r="J6934" s="25" t="str">
        <f t="shared" si="79"/>
        <v>No</v>
      </c>
      <c r="K6934" s="25" t="str">
        <f t="shared" si="80"/>
        <v/>
      </c>
      <c r="L6934" s="25" t="str">
        <f t="shared" si="81"/>
        <v/>
      </c>
      <c r="M6934" s="25"/>
      <c r="O6934" s="25"/>
    </row>
    <row r="6935" ht="15.75" customHeight="1">
      <c r="A6935" s="25" t="str">
        <f>IFERROR(__xludf.DUMMYFUNCTION("IF(B6935="""","""",RIGHT(REGEXREPLACE(B6935&amp;"""",""[^0-9]"",""""),9))"),"702534646")</f>
        <v>702534646</v>
      </c>
      <c r="B6935" s="52">
        <v>7.02534646E8</v>
      </c>
      <c r="C6935" s="28" t="s">
        <v>7195</v>
      </c>
      <c r="D6935" s="26" t="s">
        <v>56</v>
      </c>
      <c r="E6935" s="31">
        <v>46243.0</v>
      </c>
      <c r="F6935" s="26" t="s">
        <v>631</v>
      </c>
      <c r="G6935" s="26">
        <v>9.0</v>
      </c>
      <c r="I6935" s="26" t="s">
        <v>951</v>
      </c>
      <c r="J6935" s="25" t="str">
        <f t="shared" si="79"/>
        <v>No</v>
      </c>
      <c r="K6935" s="25" t="str">
        <f t="shared" si="80"/>
        <v/>
      </c>
      <c r="L6935" s="25" t="str">
        <f t="shared" si="81"/>
        <v/>
      </c>
      <c r="M6935" s="25"/>
      <c r="O6935" s="25"/>
    </row>
    <row r="6936" ht="15.75" customHeight="1">
      <c r="A6936" s="25" t="str">
        <f>IFERROR(__xludf.DUMMYFUNCTION("IF(B6936="""","""",RIGHT(REGEXREPLACE(B6936&amp;"""",""[^0-9]"",""""),9))"),"760218620")</f>
        <v>760218620</v>
      </c>
      <c r="B6936" s="52">
        <v>7.6021862E8</v>
      </c>
      <c r="C6936" s="28" t="s">
        <v>7196</v>
      </c>
      <c r="D6936" s="26" t="s">
        <v>49</v>
      </c>
      <c r="E6936" s="31">
        <v>46243.0</v>
      </c>
      <c r="F6936" s="26" t="s">
        <v>46</v>
      </c>
      <c r="G6936" s="26">
        <v>9.0</v>
      </c>
      <c r="I6936" s="26" t="s">
        <v>951</v>
      </c>
      <c r="J6936" s="25" t="str">
        <f t="shared" si="79"/>
        <v>No</v>
      </c>
      <c r="K6936" s="25" t="str">
        <f t="shared" si="80"/>
        <v/>
      </c>
      <c r="L6936" s="25" t="str">
        <f t="shared" si="81"/>
        <v/>
      </c>
      <c r="M6936" s="25"/>
      <c r="O6936" s="25"/>
    </row>
    <row r="6937" ht="15.75" customHeight="1">
      <c r="A6937" s="25" t="str">
        <f>IFERROR(__xludf.DUMMYFUNCTION("IF(B6937="""","""",RIGHT(REGEXREPLACE(B6937&amp;"""",""[^0-9]"",""""),9))"),"710508386")</f>
        <v>710508386</v>
      </c>
      <c r="B6937" s="52">
        <v>7.10508386E8</v>
      </c>
      <c r="C6937" s="28" t="s">
        <v>7197</v>
      </c>
      <c r="D6937" s="26" t="s">
        <v>82</v>
      </c>
      <c r="E6937" s="31">
        <v>46252.0</v>
      </c>
      <c r="F6937" s="26" t="s">
        <v>46</v>
      </c>
      <c r="G6937" s="26">
        <v>7.0</v>
      </c>
      <c r="I6937" s="26" t="s">
        <v>951</v>
      </c>
      <c r="J6937" s="25" t="str">
        <f t="shared" si="79"/>
        <v>No</v>
      </c>
      <c r="K6937" s="25" t="str">
        <f t="shared" si="80"/>
        <v/>
      </c>
      <c r="L6937" s="25" t="str">
        <f t="shared" si="81"/>
        <v/>
      </c>
      <c r="M6937" s="25"/>
      <c r="O6937" s="25"/>
    </row>
    <row r="6938" ht="15.75" customHeight="1">
      <c r="A6938" s="25" t="str">
        <f>IFERROR(__xludf.DUMMYFUNCTION("IF(B6938="""","""",RIGHT(REGEXREPLACE(B6938&amp;"""",""[^0-9]"",""""),9))"),"767757987")</f>
        <v>767757987</v>
      </c>
      <c r="B6938" s="52">
        <v>7.67757987E8</v>
      </c>
      <c r="C6938" s="28" t="s">
        <v>7198</v>
      </c>
      <c r="D6938" s="26" t="s">
        <v>45</v>
      </c>
      <c r="E6938" s="31">
        <v>46243.0</v>
      </c>
      <c r="F6938" s="26" t="s">
        <v>125</v>
      </c>
      <c r="I6938" s="26" t="s">
        <v>951</v>
      </c>
      <c r="J6938" s="25" t="str">
        <f t="shared" si="79"/>
        <v>No</v>
      </c>
      <c r="K6938" s="25" t="str">
        <f t="shared" si="80"/>
        <v/>
      </c>
      <c r="L6938" s="25" t="str">
        <f t="shared" si="81"/>
        <v/>
      </c>
      <c r="M6938" s="25"/>
      <c r="O6938" s="25"/>
    </row>
    <row r="6939" ht="15.75" customHeight="1">
      <c r="A6939" s="25" t="str">
        <f>IFERROR(__xludf.DUMMYFUNCTION("IF(B6939="""","""",RIGHT(REGEXREPLACE(B6939&amp;"""",""[^0-9]"",""""),9))"),"701492228")</f>
        <v>701492228</v>
      </c>
      <c r="B6939" s="52">
        <v>7.01492228E8</v>
      </c>
      <c r="C6939" s="28" t="s">
        <v>7199</v>
      </c>
      <c r="D6939" s="26" t="s">
        <v>45</v>
      </c>
      <c r="E6939" s="31">
        <v>46243.0</v>
      </c>
      <c r="F6939" s="26" t="s">
        <v>46</v>
      </c>
      <c r="G6939" s="26">
        <v>9.0</v>
      </c>
      <c r="I6939" s="26" t="s">
        <v>951</v>
      </c>
      <c r="J6939" s="25" t="str">
        <f t="shared" si="79"/>
        <v>No</v>
      </c>
      <c r="K6939" s="25" t="str">
        <f t="shared" si="80"/>
        <v/>
      </c>
      <c r="L6939" s="25" t="str">
        <f t="shared" si="81"/>
        <v/>
      </c>
      <c r="M6939" s="25"/>
      <c r="O6939" s="26" t="s">
        <v>51</v>
      </c>
    </row>
    <row r="6940" ht="15.75" customHeight="1">
      <c r="A6940" s="25" t="str">
        <f>IFERROR(__xludf.DUMMYFUNCTION("IF(B6940="""","""",RIGHT(REGEXREPLACE(B6940&amp;"""",""[^0-9]"",""""),9))"),"760756946")</f>
        <v>760756946</v>
      </c>
      <c r="B6940" s="52">
        <v>7.60756946E8</v>
      </c>
      <c r="C6940" s="28" t="s">
        <v>7200</v>
      </c>
      <c r="D6940" s="26" t="s">
        <v>64</v>
      </c>
      <c r="E6940" s="31">
        <v>46243.0</v>
      </c>
      <c r="F6940" s="26" t="s">
        <v>46</v>
      </c>
      <c r="G6940" s="26">
        <v>9.0</v>
      </c>
      <c r="I6940" s="26" t="s">
        <v>951</v>
      </c>
      <c r="J6940" s="25" t="str">
        <f t="shared" si="79"/>
        <v>No</v>
      </c>
      <c r="K6940" s="25" t="str">
        <f t="shared" si="80"/>
        <v/>
      </c>
      <c r="L6940" s="25" t="str">
        <f t="shared" si="81"/>
        <v/>
      </c>
      <c r="M6940" s="25"/>
      <c r="O6940" s="25"/>
    </row>
    <row r="6941" ht="15.75" customHeight="1">
      <c r="A6941" s="25" t="str">
        <f>IFERROR(__xludf.DUMMYFUNCTION("IF(B6941="""","""",RIGHT(REGEXREPLACE(B6941&amp;"""",""[^0-9]"",""""),9))"),"712680308")</f>
        <v>712680308</v>
      </c>
      <c r="B6941" s="52">
        <v>7.12680308E8</v>
      </c>
      <c r="C6941" s="28" t="s">
        <v>7201</v>
      </c>
      <c r="D6941" s="26" t="s">
        <v>56</v>
      </c>
      <c r="E6941" s="31">
        <v>46243.0</v>
      </c>
      <c r="F6941" s="26" t="s">
        <v>46</v>
      </c>
      <c r="G6941" s="26">
        <v>9.0</v>
      </c>
      <c r="I6941" s="26" t="s">
        <v>951</v>
      </c>
      <c r="J6941" s="25" t="str">
        <f t="shared" si="79"/>
        <v>No</v>
      </c>
      <c r="K6941" s="25" t="str">
        <f t="shared" si="80"/>
        <v/>
      </c>
      <c r="L6941" s="25" t="str">
        <f t="shared" si="81"/>
        <v/>
      </c>
      <c r="M6941" s="25"/>
      <c r="O6941" s="25"/>
    </row>
    <row r="6942" ht="15.75" customHeight="1">
      <c r="A6942" s="25" t="str">
        <f>IFERROR(__xludf.DUMMYFUNCTION("IF(B6942="""","""",RIGHT(REGEXREPLACE(B6942&amp;"""",""[^0-9]"",""""),9))"),"778067608")</f>
        <v>778067608</v>
      </c>
      <c r="B6942" s="52">
        <v>7.78067608E8</v>
      </c>
      <c r="C6942" s="28" t="s">
        <v>7202</v>
      </c>
      <c r="D6942" s="26" t="s">
        <v>82</v>
      </c>
      <c r="E6942" s="31">
        <v>46243.0</v>
      </c>
      <c r="F6942" s="26" t="s">
        <v>659</v>
      </c>
      <c r="I6942" s="26" t="s">
        <v>951</v>
      </c>
      <c r="J6942" s="25" t="str">
        <f t="shared" si="79"/>
        <v>No</v>
      </c>
      <c r="K6942" s="25" t="str">
        <f t="shared" si="80"/>
        <v/>
      </c>
      <c r="L6942" s="25" t="str">
        <f t="shared" si="81"/>
        <v/>
      </c>
      <c r="M6942" s="25"/>
      <c r="O6942" s="25"/>
    </row>
    <row r="6943" ht="15.75" customHeight="1">
      <c r="A6943" s="25" t="str">
        <f>IFERROR(__xludf.DUMMYFUNCTION("IF(B6943="""","""",RIGHT(REGEXREPLACE(B6943&amp;"""",""[^0-9]"",""""),9))"),"772821524")</f>
        <v>772821524</v>
      </c>
      <c r="B6943" s="52">
        <v>7.72821524E8</v>
      </c>
      <c r="C6943" s="28" t="s">
        <v>7203</v>
      </c>
      <c r="D6943" s="26" t="s">
        <v>45</v>
      </c>
      <c r="E6943" s="31">
        <v>46243.0</v>
      </c>
      <c r="F6943" s="26" t="s">
        <v>46</v>
      </c>
      <c r="G6943" s="26">
        <v>11.0</v>
      </c>
      <c r="I6943" s="26" t="s">
        <v>951</v>
      </c>
      <c r="J6943" s="25" t="str">
        <f t="shared" si="79"/>
        <v>No</v>
      </c>
      <c r="K6943" s="25" t="str">
        <f t="shared" si="80"/>
        <v/>
      </c>
      <c r="L6943" s="25" t="str">
        <f t="shared" si="81"/>
        <v/>
      </c>
      <c r="M6943" s="25"/>
      <c r="O6943" s="25"/>
    </row>
    <row r="6944" ht="15.75" customHeight="1">
      <c r="A6944" s="25" t="str">
        <f>IFERROR(__xludf.DUMMYFUNCTION("IF(B6944="""","""",RIGHT(REGEXREPLACE(B6944&amp;"""",""[^0-9]"",""""),9))"),"787884334")</f>
        <v>787884334</v>
      </c>
      <c r="B6944" s="52">
        <v>7.87884334E8</v>
      </c>
      <c r="C6944" s="28" t="s">
        <v>7204</v>
      </c>
      <c r="D6944" s="26" t="s">
        <v>82</v>
      </c>
      <c r="E6944" s="31">
        <v>46243.0</v>
      </c>
      <c r="F6944" s="26" t="s">
        <v>46</v>
      </c>
      <c r="G6944" s="26">
        <v>10.0</v>
      </c>
      <c r="I6944" s="26" t="s">
        <v>951</v>
      </c>
      <c r="J6944" s="25" t="str">
        <f t="shared" si="79"/>
        <v>No</v>
      </c>
      <c r="K6944" s="25" t="str">
        <f t="shared" si="80"/>
        <v/>
      </c>
      <c r="L6944" s="25" t="str">
        <f t="shared" si="81"/>
        <v/>
      </c>
      <c r="M6944" s="25"/>
      <c r="O6944" s="25"/>
    </row>
    <row r="6945" ht="15.75" customHeight="1">
      <c r="A6945" s="25" t="str">
        <f>IFERROR(__xludf.DUMMYFUNCTION("IF(B6945="""","""",RIGHT(REGEXREPLACE(B6945&amp;"""",""[^0-9]"",""""),9))"),"711882649")</f>
        <v>711882649</v>
      </c>
      <c r="B6945" s="52">
        <v>7.11882649E8</v>
      </c>
      <c r="C6945" s="28" t="s">
        <v>7205</v>
      </c>
      <c r="D6945" s="26" t="s">
        <v>64</v>
      </c>
      <c r="E6945" s="31">
        <v>46243.0</v>
      </c>
      <c r="F6945" s="26" t="s">
        <v>205</v>
      </c>
      <c r="I6945" s="26" t="s">
        <v>951</v>
      </c>
      <c r="J6945" s="25" t="str">
        <f t="shared" si="79"/>
        <v>No</v>
      </c>
      <c r="K6945" s="25" t="str">
        <f t="shared" si="80"/>
        <v/>
      </c>
      <c r="L6945" s="25" t="str">
        <f t="shared" si="81"/>
        <v/>
      </c>
      <c r="M6945" s="25"/>
      <c r="O6945" s="25"/>
    </row>
    <row r="6946" ht="15.75" customHeight="1">
      <c r="A6946" s="25" t="str">
        <f>IFERROR(__xludf.DUMMYFUNCTION("IF(B6946="""","""",RIGHT(REGEXREPLACE(B6946&amp;"""",""[^0-9]"",""""),9))"),"715563127")</f>
        <v>715563127</v>
      </c>
      <c r="B6946" s="52">
        <v>7.15563127E8</v>
      </c>
      <c r="C6946" s="28" t="s">
        <v>7206</v>
      </c>
      <c r="D6946" s="26" t="s">
        <v>56</v>
      </c>
      <c r="E6946" s="31">
        <v>46243.0</v>
      </c>
      <c r="F6946" s="26" t="s">
        <v>46</v>
      </c>
      <c r="G6946" s="26">
        <v>8.0</v>
      </c>
      <c r="I6946" s="26" t="s">
        <v>951</v>
      </c>
      <c r="J6946" s="25" t="str">
        <f t="shared" si="79"/>
        <v>No</v>
      </c>
      <c r="K6946" s="25" t="str">
        <f t="shared" si="80"/>
        <v/>
      </c>
      <c r="L6946" s="25" t="str">
        <f t="shared" si="81"/>
        <v/>
      </c>
      <c r="M6946" s="25"/>
      <c r="O6946" s="25"/>
    </row>
    <row r="6947" ht="15.75" customHeight="1">
      <c r="A6947" s="25" t="str">
        <f>IFERROR(__xludf.DUMMYFUNCTION("IF(B6947="""","""",RIGHT(REGEXREPLACE(B6947&amp;"""",""[^0-9]"",""""),9))"),"725233665")</f>
        <v>725233665</v>
      </c>
      <c r="B6947" s="52">
        <v>7.25233665E8</v>
      </c>
      <c r="C6947" s="28" t="s">
        <v>7207</v>
      </c>
      <c r="D6947" s="26" t="s">
        <v>82</v>
      </c>
      <c r="E6947" s="31">
        <v>46243.0</v>
      </c>
      <c r="F6947" s="26" t="s">
        <v>46</v>
      </c>
      <c r="G6947" s="26">
        <v>10.0</v>
      </c>
      <c r="H6947" s="26" t="s">
        <v>7208</v>
      </c>
      <c r="I6947" s="26" t="s">
        <v>951</v>
      </c>
      <c r="J6947" s="25" t="str">
        <f t="shared" si="79"/>
        <v>No</v>
      </c>
      <c r="K6947" s="25" t="str">
        <f t="shared" si="80"/>
        <v/>
      </c>
      <c r="L6947" s="25" t="str">
        <f t="shared" si="81"/>
        <v/>
      </c>
      <c r="M6947" s="25"/>
      <c r="O6947" s="25"/>
    </row>
    <row r="6948" ht="15.75" customHeight="1">
      <c r="A6948" s="25" t="str">
        <f>IFERROR(__xludf.DUMMYFUNCTION("IF(B6948="""","""",RIGHT(REGEXREPLACE(B6948&amp;"""",""[^0-9]"",""""),9))"),"726583578")</f>
        <v>726583578</v>
      </c>
      <c r="B6948" s="52">
        <v>7.26583578E8</v>
      </c>
      <c r="C6948" s="116" t="s">
        <v>2044</v>
      </c>
      <c r="D6948" s="26" t="s">
        <v>64</v>
      </c>
      <c r="E6948" s="31">
        <v>46243.0</v>
      </c>
      <c r="F6948" s="26" t="s">
        <v>41</v>
      </c>
      <c r="I6948" s="26" t="s">
        <v>951</v>
      </c>
      <c r="J6948" s="25" t="str">
        <f t="shared" si="79"/>
        <v>No</v>
      </c>
      <c r="K6948" s="25" t="str">
        <f t="shared" si="80"/>
        <v/>
      </c>
      <c r="L6948" s="25" t="str">
        <f t="shared" si="81"/>
        <v/>
      </c>
      <c r="M6948" s="25"/>
      <c r="O6948" s="25"/>
    </row>
    <row r="6949" ht="15.75" customHeight="1">
      <c r="A6949" s="25" t="str">
        <f>IFERROR(__xludf.DUMMYFUNCTION("IF(B6949="""","""",RIGHT(REGEXREPLACE(B6949&amp;"""",""[^0-9]"",""""),9))"),"713214522")</f>
        <v>713214522</v>
      </c>
      <c r="B6949" s="52">
        <v>7.13214522E8</v>
      </c>
      <c r="C6949" s="28" t="s">
        <v>7209</v>
      </c>
      <c r="D6949" s="26" t="s">
        <v>45</v>
      </c>
      <c r="E6949" s="31">
        <v>46243.0</v>
      </c>
      <c r="F6949" s="26" t="s">
        <v>46</v>
      </c>
      <c r="G6949" s="26">
        <v>9.0</v>
      </c>
      <c r="I6949" s="26" t="s">
        <v>951</v>
      </c>
      <c r="J6949" s="25" t="str">
        <f t="shared" si="79"/>
        <v>No</v>
      </c>
      <c r="K6949" s="25" t="str">
        <f t="shared" si="80"/>
        <v/>
      </c>
      <c r="L6949" s="25" t="str">
        <f t="shared" si="81"/>
        <v/>
      </c>
      <c r="M6949" s="25"/>
      <c r="O6949" s="25"/>
    </row>
    <row r="6950" ht="15.75" customHeight="1">
      <c r="A6950" s="25" t="str">
        <f>IFERROR(__xludf.DUMMYFUNCTION("IF(B6950="""","""",RIGHT(REGEXREPLACE(B6950&amp;"""",""[^0-9]"",""""),9))"),"716270639")</f>
        <v>716270639</v>
      </c>
      <c r="B6950" s="52">
        <v>7.16270639E8</v>
      </c>
      <c r="C6950" s="28" t="s">
        <v>1875</v>
      </c>
      <c r="D6950" s="26" t="s">
        <v>49</v>
      </c>
      <c r="E6950" s="31">
        <v>46243.0</v>
      </c>
      <c r="F6950" s="26" t="s">
        <v>46</v>
      </c>
      <c r="G6950" s="26">
        <v>9.0</v>
      </c>
      <c r="I6950" s="26" t="s">
        <v>951</v>
      </c>
      <c r="J6950" s="25" t="str">
        <f t="shared" si="79"/>
        <v>Yes - see Previous F-Code</v>
      </c>
      <c r="K6950" s="25" t="str">
        <f t="shared" si="80"/>
        <v/>
      </c>
      <c r="L6950" s="25" t="str">
        <f t="shared" si="81"/>
        <v>F71581</v>
      </c>
      <c r="M6950" s="25"/>
      <c r="O6950" s="26" t="s">
        <v>51</v>
      </c>
    </row>
    <row r="6951" ht="15.75" customHeight="1">
      <c r="A6951" s="25" t="str">
        <f>IFERROR(__xludf.DUMMYFUNCTION("IF(B6951="""","""",RIGHT(REGEXREPLACE(B6951&amp;"""",""[^0-9]"",""""),9))"),"769758060")</f>
        <v>769758060</v>
      </c>
      <c r="B6951" s="52">
        <v>7.6975806E8</v>
      </c>
      <c r="C6951" s="28" t="s">
        <v>7210</v>
      </c>
      <c r="D6951" s="26" t="s">
        <v>56</v>
      </c>
      <c r="E6951" s="31">
        <v>46243.0</v>
      </c>
      <c r="F6951" s="26" t="s">
        <v>46</v>
      </c>
      <c r="G6951" s="26">
        <v>9.0</v>
      </c>
      <c r="I6951" s="26" t="s">
        <v>951</v>
      </c>
      <c r="J6951" s="25" t="str">
        <f t="shared" si="79"/>
        <v>No</v>
      </c>
      <c r="K6951" s="25" t="str">
        <f t="shared" si="80"/>
        <v/>
      </c>
      <c r="L6951" s="25" t="str">
        <f t="shared" si="81"/>
        <v/>
      </c>
      <c r="M6951" s="25"/>
      <c r="O6951" s="25"/>
    </row>
    <row r="6952" ht="15.75" customHeight="1">
      <c r="A6952" s="25" t="str">
        <f>IFERROR(__xludf.DUMMYFUNCTION("IF(B6952="""","""",RIGHT(REGEXREPLACE(B6952&amp;"""",""[^0-9]"",""""),9))"),"773691839")</f>
        <v>773691839</v>
      </c>
      <c r="B6952" s="52">
        <v>7.73691839E8</v>
      </c>
      <c r="C6952" s="28" t="s">
        <v>7211</v>
      </c>
      <c r="D6952" s="26" t="s">
        <v>45</v>
      </c>
      <c r="E6952" s="31">
        <v>46243.0</v>
      </c>
      <c r="F6952" s="26" t="s">
        <v>46</v>
      </c>
      <c r="G6952" s="26">
        <v>9.0</v>
      </c>
      <c r="I6952" s="26" t="s">
        <v>951</v>
      </c>
      <c r="J6952" s="25" t="str">
        <f t="shared" si="79"/>
        <v>No</v>
      </c>
      <c r="K6952" s="25" t="str">
        <f t="shared" si="80"/>
        <v/>
      </c>
      <c r="L6952" s="25" t="str">
        <f t="shared" si="81"/>
        <v/>
      </c>
      <c r="M6952" s="25"/>
      <c r="O6952" s="25"/>
    </row>
    <row r="6953" ht="15.75" customHeight="1">
      <c r="A6953" s="25" t="str">
        <f>IFERROR(__xludf.DUMMYFUNCTION("IF(B6953="""","""",RIGHT(REGEXREPLACE(B6953&amp;"""",""[^0-9]"",""""),9))"),"763924401")</f>
        <v>763924401</v>
      </c>
      <c r="B6953" s="52">
        <v>7.63924401E8</v>
      </c>
      <c r="C6953" s="28" t="s">
        <v>7212</v>
      </c>
      <c r="D6953" s="26" t="s">
        <v>45</v>
      </c>
      <c r="E6953" s="31">
        <v>46243.0</v>
      </c>
      <c r="F6953" s="26" t="s">
        <v>46</v>
      </c>
      <c r="G6953" s="26">
        <v>10.0</v>
      </c>
      <c r="I6953" s="26" t="s">
        <v>951</v>
      </c>
      <c r="J6953" s="25" t="str">
        <f t="shared" si="79"/>
        <v>No</v>
      </c>
      <c r="K6953" s="25" t="str">
        <f t="shared" si="80"/>
        <v/>
      </c>
      <c r="L6953" s="25" t="str">
        <f t="shared" si="81"/>
        <v/>
      </c>
      <c r="M6953" s="25"/>
      <c r="O6953" s="25"/>
    </row>
    <row r="6954" ht="15.75" customHeight="1">
      <c r="A6954" s="25" t="str">
        <f>IFERROR(__xludf.DUMMYFUNCTION("IF(B6954="""","""",RIGHT(REGEXREPLACE(B6954&amp;"""",""[^0-9]"",""""),9))"),"710107765")</f>
        <v>710107765</v>
      </c>
      <c r="B6954" s="52">
        <v>7.10107765E8</v>
      </c>
      <c r="C6954" s="28" t="s">
        <v>7213</v>
      </c>
      <c r="D6954" s="26" t="s">
        <v>82</v>
      </c>
      <c r="E6954" s="31">
        <v>46243.0</v>
      </c>
      <c r="F6954" s="26" t="s">
        <v>46</v>
      </c>
      <c r="G6954" s="26">
        <v>9.0</v>
      </c>
      <c r="I6954" s="26" t="s">
        <v>951</v>
      </c>
      <c r="J6954" s="25" t="str">
        <f t="shared" si="79"/>
        <v>No</v>
      </c>
      <c r="K6954" s="25" t="str">
        <f t="shared" si="80"/>
        <v/>
      </c>
      <c r="L6954" s="25" t="str">
        <f t="shared" si="81"/>
        <v/>
      </c>
      <c r="M6954" s="25"/>
      <c r="O6954" s="25"/>
    </row>
    <row r="6955" ht="15.75" customHeight="1">
      <c r="A6955" s="25" t="str">
        <f>IFERROR(__xludf.DUMMYFUNCTION("IF(B6955="""","""",RIGHT(REGEXREPLACE(B6955&amp;"""",""[^0-9]"",""""),9))"),"774007032")</f>
        <v>774007032</v>
      </c>
      <c r="B6955" s="52">
        <v>7.74007032E8</v>
      </c>
      <c r="C6955" s="28" t="s">
        <v>333</v>
      </c>
      <c r="D6955" s="26" t="s">
        <v>56</v>
      </c>
      <c r="E6955" s="31">
        <v>46243.0</v>
      </c>
      <c r="F6955" s="26" t="s">
        <v>631</v>
      </c>
      <c r="G6955" s="26">
        <v>11.0</v>
      </c>
      <c r="I6955" s="26" t="s">
        <v>951</v>
      </c>
      <c r="J6955" s="25" t="str">
        <f t="shared" si="79"/>
        <v>Yes - see Previous F-Code</v>
      </c>
      <c r="K6955" s="25" t="str">
        <f t="shared" si="80"/>
        <v/>
      </c>
      <c r="L6955" s="25" t="str">
        <f t="shared" si="81"/>
        <v>F70188</v>
      </c>
      <c r="M6955" s="25"/>
      <c r="O6955" s="25"/>
    </row>
    <row r="6956" ht="15.75" customHeight="1">
      <c r="A6956" s="25" t="str">
        <f>IFERROR(__xludf.DUMMYFUNCTION("IF(B6956="""","""",RIGHT(REGEXREPLACE(B6956&amp;"""",""[^0-9]"",""""),9))"),"712877162")</f>
        <v>712877162</v>
      </c>
      <c r="B6956" s="52">
        <v>7.12877162E8</v>
      </c>
      <c r="C6956" s="28" t="s">
        <v>7214</v>
      </c>
      <c r="D6956" s="26" t="s">
        <v>45</v>
      </c>
      <c r="E6956" s="31">
        <v>46243.0</v>
      </c>
      <c r="F6956" s="26" t="s">
        <v>164</v>
      </c>
      <c r="G6956" s="26">
        <v>9.0</v>
      </c>
      <c r="I6956" s="26" t="s">
        <v>951</v>
      </c>
      <c r="J6956" s="25" t="str">
        <f t="shared" si="79"/>
        <v>No</v>
      </c>
      <c r="K6956" s="25" t="str">
        <f t="shared" si="80"/>
        <v/>
      </c>
      <c r="L6956" s="25" t="str">
        <f t="shared" si="81"/>
        <v/>
      </c>
      <c r="M6956" s="25"/>
      <c r="O6956" s="25"/>
    </row>
    <row r="6957" ht="15.75" customHeight="1">
      <c r="A6957" s="25" t="str">
        <f>IFERROR(__xludf.DUMMYFUNCTION("IF(B6957="""","""",RIGHT(REGEXREPLACE(B6957&amp;"""",""[^0-9]"",""""),9))"),"778804378")</f>
        <v>778804378</v>
      </c>
      <c r="B6957" s="52">
        <v>7.78804378E8</v>
      </c>
      <c r="C6957" s="28" t="s">
        <v>7215</v>
      </c>
      <c r="D6957" s="26" t="s">
        <v>49</v>
      </c>
      <c r="E6957" s="31">
        <v>46243.0</v>
      </c>
      <c r="F6957" s="26" t="s">
        <v>46</v>
      </c>
      <c r="G6957" s="26">
        <v>9.0</v>
      </c>
      <c r="H6957" s="118" t="s">
        <v>7216</v>
      </c>
      <c r="I6957" s="26" t="s">
        <v>951</v>
      </c>
      <c r="J6957" s="25" t="str">
        <f t="shared" si="79"/>
        <v>No</v>
      </c>
      <c r="K6957" s="25" t="str">
        <f t="shared" si="80"/>
        <v/>
      </c>
      <c r="L6957" s="25" t="str">
        <f t="shared" si="81"/>
        <v/>
      </c>
      <c r="M6957" s="25"/>
      <c r="O6957" s="25"/>
    </row>
    <row r="6958" ht="15.75" customHeight="1">
      <c r="A6958" s="25" t="str">
        <f>IFERROR(__xludf.DUMMYFUNCTION("IF(B6958="""","""",RIGHT(REGEXREPLACE(B6958&amp;"""",""[^0-9]"",""""),9))"),"768638450")</f>
        <v>768638450</v>
      </c>
      <c r="B6958" s="52">
        <v>7.6863845E8</v>
      </c>
      <c r="C6958" s="28" t="s">
        <v>7217</v>
      </c>
      <c r="D6958" s="26" t="s">
        <v>82</v>
      </c>
      <c r="E6958" s="31">
        <v>46243.0</v>
      </c>
      <c r="F6958" s="26" t="s">
        <v>41</v>
      </c>
      <c r="G6958" s="26">
        <v>10.0</v>
      </c>
      <c r="I6958" s="26" t="s">
        <v>951</v>
      </c>
      <c r="J6958" s="25" t="str">
        <f t="shared" si="79"/>
        <v>No</v>
      </c>
      <c r="K6958" s="25" t="str">
        <f t="shared" si="80"/>
        <v/>
      </c>
      <c r="L6958" s="25" t="str">
        <f t="shared" si="81"/>
        <v/>
      </c>
      <c r="M6958" s="25"/>
      <c r="O6958" s="25"/>
    </row>
    <row r="6959" ht="15.75" customHeight="1">
      <c r="A6959" s="25" t="str">
        <f>IFERROR(__xludf.DUMMYFUNCTION("IF(B6959="""","""",RIGHT(REGEXREPLACE(B6959&amp;"""",""[^0-9]"",""""),9))"),"776217912")</f>
        <v>776217912</v>
      </c>
      <c r="B6959" s="52">
        <v>7.76217912E8</v>
      </c>
      <c r="C6959" s="28" t="s">
        <v>5316</v>
      </c>
      <c r="D6959" s="26" t="s">
        <v>45</v>
      </c>
      <c r="E6959" s="31">
        <v>46243.0</v>
      </c>
      <c r="F6959" s="26" t="s">
        <v>659</v>
      </c>
      <c r="G6959" s="26">
        <v>9.0</v>
      </c>
      <c r="I6959" s="26" t="s">
        <v>951</v>
      </c>
      <c r="J6959" s="25" t="str">
        <f t="shared" si="79"/>
        <v>Yes - see Previous F-Code</v>
      </c>
      <c r="K6959" s="25" t="str">
        <f t="shared" si="80"/>
        <v/>
      </c>
      <c r="L6959" s="25" t="str">
        <f t="shared" si="81"/>
        <v>F74830</v>
      </c>
      <c r="M6959" s="25"/>
      <c r="O6959" s="25"/>
    </row>
    <row r="6960" ht="15.75" customHeight="1">
      <c r="A6960" s="25" t="str">
        <f>IFERROR(__xludf.DUMMYFUNCTION("IF(B6960="""","""",RIGHT(REGEXREPLACE(B6960&amp;"""",""[^0-9]"",""""),9))"),"770040709")</f>
        <v>770040709</v>
      </c>
      <c r="B6960" s="52">
        <v>7.70040709E8</v>
      </c>
      <c r="C6960" s="28" t="s">
        <v>7218</v>
      </c>
      <c r="D6960" s="26" t="s">
        <v>56</v>
      </c>
      <c r="E6960" s="31">
        <v>46243.0</v>
      </c>
      <c r="F6960" s="26" t="s">
        <v>46</v>
      </c>
      <c r="G6960" s="26">
        <v>11.0</v>
      </c>
      <c r="I6960" s="26" t="s">
        <v>951</v>
      </c>
      <c r="J6960" s="25" t="str">
        <f t="shared" si="79"/>
        <v>No</v>
      </c>
      <c r="K6960" s="25" t="str">
        <f t="shared" si="80"/>
        <v/>
      </c>
      <c r="L6960" s="25" t="str">
        <f t="shared" si="81"/>
        <v/>
      </c>
      <c r="M6960" s="25"/>
      <c r="O6960" s="25"/>
    </row>
    <row r="6961" ht="15.75" customHeight="1">
      <c r="A6961" s="25" t="str">
        <f>IFERROR(__xludf.DUMMYFUNCTION("IF(B6961="""","""",RIGHT(REGEXREPLACE(B6961&amp;"""",""[^0-9]"",""""),9))"),"776983152")</f>
        <v>776983152</v>
      </c>
      <c r="B6961" s="52">
        <v>7.76983152E8</v>
      </c>
      <c r="C6961" s="28" t="s">
        <v>7219</v>
      </c>
      <c r="D6961" s="26" t="s">
        <v>64</v>
      </c>
      <c r="E6961" s="31">
        <v>46243.0</v>
      </c>
      <c r="F6961" s="26" t="s">
        <v>46</v>
      </c>
      <c r="G6961" s="26">
        <v>9.0</v>
      </c>
      <c r="I6961" s="26" t="s">
        <v>951</v>
      </c>
      <c r="J6961" s="25" t="str">
        <f t="shared" si="79"/>
        <v>No</v>
      </c>
      <c r="K6961" s="25" t="str">
        <f t="shared" si="80"/>
        <v/>
      </c>
      <c r="L6961" s="25" t="str">
        <f t="shared" si="81"/>
        <v/>
      </c>
      <c r="M6961" s="25"/>
      <c r="O6961" s="25"/>
    </row>
    <row r="6962" ht="15.75" customHeight="1">
      <c r="A6962" s="25" t="str">
        <f>IFERROR(__xludf.DUMMYFUNCTION("IF(B6962="""","""",RIGHT(REGEXREPLACE(B6962&amp;"""",""[^0-9]"",""""),9))"),"777354156")</f>
        <v>777354156</v>
      </c>
      <c r="B6962" s="52">
        <v>7.77354156E8</v>
      </c>
      <c r="C6962" s="28" t="s">
        <v>7220</v>
      </c>
      <c r="D6962" s="26" t="s">
        <v>49</v>
      </c>
      <c r="E6962" s="31">
        <v>46243.0</v>
      </c>
      <c r="F6962" s="26" t="s">
        <v>46</v>
      </c>
      <c r="G6962" s="26">
        <v>9.0</v>
      </c>
      <c r="H6962" s="26" t="s">
        <v>7221</v>
      </c>
      <c r="I6962" s="26" t="s">
        <v>951</v>
      </c>
      <c r="J6962" s="25" t="str">
        <f t="shared" si="79"/>
        <v>No</v>
      </c>
      <c r="K6962" s="25" t="str">
        <f t="shared" si="80"/>
        <v/>
      </c>
      <c r="L6962" s="25" t="str">
        <f t="shared" si="81"/>
        <v/>
      </c>
      <c r="M6962" s="25"/>
      <c r="O6962" s="25"/>
    </row>
    <row r="6963" ht="15.75" customHeight="1">
      <c r="A6963" s="25" t="str">
        <f>IFERROR(__xludf.DUMMYFUNCTION("IF(B6963="""","""",RIGHT(REGEXREPLACE(B6963&amp;"""",""[^0-9]"",""""),9))"),"742831045")</f>
        <v>742831045</v>
      </c>
      <c r="B6963" s="52">
        <v>7.42831045E8</v>
      </c>
      <c r="C6963" s="28" t="s">
        <v>7222</v>
      </c>
      <c r="D6963" s="26" t="s">
        <v>82</v>
      </c>
      <c r="E6963" s="31">
        <v>46243.0</v>
      </c>
      <c r="F6963" s="26" t="s">
        <v>46</v>
      </c>
      <c r="G6963" s="26">
        <v>7.0</v>
      </c>
      <c r="H6963" s="26" t="s">
        <v>7223</v>
      </c>
      <c r="I6963" s="26" t="s">
        <v>951</v>
      </c>
      <c r="J6963" s="25" t="str">
        <f t="shared" si="79"/>
        <v>No</v>
      </c>
      <c r="K6963" s="25" t="str">
        <f t="shared" si="80"/>
        <v/>
      </c>
      <c r="L6963" s="25" t="str">
        <f t="shared" si="81"/>
        <v/>
      </c>
      <c r="M6963" s="25"/>
      <c r="O6963" s="25"/>
    </row>
    <row r="6964" ht="15.75" customHeight="1">
      <c r="A6964" s="25" t="str">
        <f>IFERROR(__xludf.DUMMYFUNCTION("IF(B6964="""","""",RIGHT(REGEXREPLACE(B6964&amp;"""",""[^0-9]"",""""),9))"),"766816966")</f>
        <v>766816966</v>
      </c>
      <c r="B6964" s="52">
        <v>7.66816966E8</v>
      </c>
      <c r="C6964" s="28" t="s">
        <v>7224</v>
      </c>
      <c r="D6964" s="26" t="s">
        <v>45</v>
      </c>
      <c r="E6964" s="31">
        <v>46243.0</v>
      </c>
      <c r="F6964" s="26" t="s">
        <v>46</v>
      </c>
      <c r="I6964" s="26" t="s">
        <v>951</v>
      </c>
      <c r="J6964" s="25" t="str">
        <f t="shared" si="79"/>
        <v>No</v>
      </c>
      <c r="K6964" s="25" t="str">
        <f t="shared" si="80"/>
        <v/>
      </c>
      <c r="L6964" s="25" t="str">
        <f t="shared" si="81"/>
        <v/>
      </c>
      <c r="M6964" s="25"/>
      <c r="O6964" s="25"/>
    </row>
    <row r="6965" ht="15.75" customHeight="1">
      <c r="A6965" s="25" t="str">
        <f>IFERROR(__xludf.DUMMYFUNCTION("IF(B6965="""","""",RIGHT(REGEXREPLACE(B6965&amp;"""",""[^0-9]"",""""),9))"),"772218462")</f>
        <v>772218462</v>
      </c>
      <c r="B6965" s="52">
        <v>7.72218462E8</v>
      </c>
      <c r="C6965" s="28" t="s">
        <v>7225</v>
      </c>
      <c r="D6965" s="26" t="s">
        <v>82</v>
      </c>
      <c r="E6965" s="31">
        <v>46243.0</v>
      </c>
      <c r="F6965" s="26" t="s">
        <v>659</v>
      </c>
      <c r="I6965" s="26" t="s">
        <v>951</v>
      </c>
      <c r="J6965" s="25" t="str">
        <f t="shared" si="79"/>
        <v>No</v>
      </c>
      <c r="K6965" s="25" t="str">
        <f t="shared" si="80"/>
        <v/>
      </c>
      <c r="L6965" s="25" t="str">
        <f t="shared" si="81"/>
        <v/>
      </c>
      <c r="M6965" s="25"/>
      <c r="O6965" s="25"/>
    </row>
    <row r="6966" ht="15.75" customHeight="1">
      <c r="A6966" s="25" t="str">
        <f>IFERROR(__xludf.DUMMYFUNCTION("IF(B6966="""","""",RIGHT(REGEXREPLACE(B6966&amp;"""",""[^0-9]"",""""),9))"),"761344062")</f>
        <v>761344062</v>
      </c>
      <c r="B6966" s="52">
        <v>7.61344062E8</v>
      </c>
      <c r="C6966" s="28" t="s">
        <v>754</v>
      </c>
      <c r="D6966" s="26" t="s">
        <v>56</v>
      </c>
      <c r="E6966" s="31">
        <v>46243.0</v>
      </c>
      <c r="F6966" s="26" t="s">
        <v>46</v>
      </c>
      <c r="G6966" s="26">
        <v>11.0</v>
      </c>
      <c r="I6966" s="26" t="s">
        <v>951</v>
      </c>
      <c r="J6966" s="25" t="str">
        <f t="shared" si="79"/>
        <v>Yes - see Previous F-Code</v>
      </c>
      <c r="K6966" s="25" t="str">
        <f t="shared" si="80"/>
        <v/>
      </c>
      <c r="L6966" s="25" t="str">
        <f t="shared" si="81"/>
        <v>F70537</v>
      </c>
      <c r="M6966" s="25"/>
      <c r="O6966" s="25"/>
    </row>
    <row r="6967" ht="15.75" customHeight="1">
      <c r="A6967" s="25" t="str">
        <f>IFERROR(__xludf.DUMMYFUNCTION("IF(B6967="""","""",RIGHT(REGEXREPLACE(B6967&amp;"""",""[^0-9]"",""""),9))"),"779540881")</f>
        <v>779540881</v>
      </c>
      <c r="B6967" s="52">
        <v>7.79540881E8</v>
      </c>
      <c r="C6967" s="28" t="s">
        <v>7226</v>
      </c>
      <c r="D6967" s="26" t="s">
        <v>82</v>
      </c>
      <c r="E6967" s="31">
        <v>46243.0</v>
      </c>
      <c r="F6967" s="26" t="s">
        <v>84</v>
      </c>
      <c r="H6967" s="26" t="s">
        <v>6087</v>
      </c>
      <c r="I6967" s="26" t="s">
        <v>951</v>
      </c>
      <c r="J6967" s="25" t="str">
        <f t="shared" si="79"/>
        <v>No</v>
      </c>
      <c r="K6967" s="25" t="str">
        <f t="shared" si="80"/>
        <v/>
      </c>
      <c r="L6967" s="25" t="str">
        <f t="shared" si="81"/>
        <v/>
      </c>
      <c r="M6967" s="25"/>
      <c r="O6967" s="25"/>
    </row>
    <row r="6968" ht="15.75" customHeight="1">
      <c r="A6968" s="25" t="str">
        <f>IFERROR(__xludf.DUMMYFUNCTION("IF(B6968="""","""",RIGHT(REGEXREPLACE(B6968&amp;"""",""[^0-9]"",""""),9))"),"776292214")</f>
        <v>776292214</v>
      </c>
      <c r="B6968" s="52">
        <v>7.76292214E8</v>
      </c>
      <c r="C6968" s="28" t="s">
        <v>7227</v>
      </c>
      <c r="D6968" s="26" t="s">
        <v>49</v>
      </c>
      <c r="E6968" s="31">
        <v>46243.0</v>
      </c>
      <c r="F6968" s="26" t="s">
        <v>46</v>
      </c>
      <c r="G6968" s="26">
        <v>9.0</v>
      </c>
      <c r="H6968" s="26" t="s">
        <v>7228</v>
      </c>
      <c r="I6968" s="26" t="s">
        <v>951</v>
      </c>
      <c r="J6968" s="25" t="str">
        <f t="shared" si="79"/>
        <v>No</v>
      </c>
      <c r="K6968" s="25" t="str">
        <f t="shared" si="80"/>
        <v/>
      </c>
      <c r="L6968" s="25" t="str">
        <f t="shared" si="81"/>
        <v/>
      </c>
      <c r="M6968" s="25"/>
      <c r="O6968" s="25"/>
    </row>
    <row r="6969" ht="15.75" customHeight="1">
      <c r="A6969" s="25" t="str">
        <f>IFERROR(__xludf.DUMMYFUNCTION("IF(B6969="""","""",RIGHT(REGEXREPLACE(B6969&amp;"""",""[^0-9]"",""""),9))"),"772880801")</f>
        <v>772880801</v>
      </c>
      <c r="B6969" s="52">
        <v>7.72880801E8</v>
      </c>
      <c r="C6969" s="28" t="s">
        <v>7229</v>
      </c>
      <c r="D6969" s="26" t="s">
        <v>64</v>
      </c>
      <c r="E6969" s="31">
        <v>46243.0</v>
      </c>
      <c r="F6969" s="26" t="s">
        <v>46</v>
      </c>
      <c r="G6969" s="26">
        <v>9.0</v>
      </c>
      <c r="H6969" s="26" t="s">
        <v>918</v>
      </c>
      <c r="I6969" s="26" t="s">
        <v>951</v>
      </c>
      <c r="J6969" s="25" t="str">
        <f t="shared" si="79"/>
        <v>No</v>
      </c>
      <c r="K6969" s="25" t="str">
        <f t="shared" si="80"/>
        <v/>
      </c>
      <c r="L6969" s="25" t="str">
        <f t="shared" si="81"/>
        <v/>
      </c>
      <c r="M6969" s="25"/>
      <c r="O6969" s="25"/>
    </row>
    <row r="6970" ht="15.75" customHeight="1">
      <c r="A6970" s="25" t="str">
        <f>IFERROR(__xludf.DUMMYFUNCTION("IF(B6970="""","""",RIGHT(REGEXREPLACE(B6970&amp;"""",""[^0-9]"",""""),9))"),"726063172")</f>
        <v>726063172</v>
      </c>
      <c r="B6970" s="52">
        <v>7.26063172E8</v>
      </c>
      <c r="C6970" s="28" t="s">
        <v>7230</v>
      </c>
      <c r="D6970" s="26" t="s">
        <v>82</v>
      </c>
      <c r="E6970" s="31">
        <v>46243.0</v>
      </c>
      <c r="F6970" s="26" t="s">
        <v>41</v>
      </c>
      <c r="G6970" s="26">
        <v>9.0</v>
      </c>
      <c r="I6970" s="26" t="s">
        <v>951</v>
      </c>
      <c r="J6970" s="25" t="str">
        <f t="shared" si="79"/>
        <v>No</v>
      </c>
      <c r="K6970" s="25" t="str">
        <f t="shared" si="80"/>
        <v/>
      </c>
      <c r="L6970" s="25" t="str">
        <f t="shared" si="81"/>
        <v/>
      </c>
      <c r="M6970" s="25"/>
      <c r="O6970" s="25"/>
    </row>
    <row r="6971" ht="15.75" customHeight="1">
      <c r="A6971" s="25" t="str">
        <f>IFERROR(__xludf.DUMMYFUNCTION("IF(B6971="""","""",RIGHT(REGEXREPLACE(B6971&amp;"""",""[^0-9]"",""""),9))"),"701216688")</f>
        <v>701216688</v>
      </c>
      <c r="B6971" s="52">
        <v>7.01216688E8</v>
      </c>
      <c r="C6971" s="28" t="s">
        <v>7231</v>
      </c>
      <c r="D6971" s="26" t="s">
        <v>82</v>
      </c>
      <c r="E6971" s="31">
        <v>46243.0</v>
      </c>
      <c r="F6971" s="26" t="s">
        <v>46</v>
      </c>
      <c r="G6971" s="26">
        <v>9.0</v>
      </c>
      <c r="I6971" s="26" t="s">
        <v>951</v>
      </c>
      <c r="J6971" s="25" t="str">
        <f t="shared" si="79"/>
        <v>No</v>
      </c>
      <c r="K6971" s="25" t="str">
        <f t="shared" si="80"/>
        <v/>
      </c>
      <c r="L6971" s="25" t="str">
        <f t="shared" si="81"/>
        <v/>
      </c>
      <c r="M6971" s="25"/>
      <c r="O6971" s="26" t="s">
        <v>51</v>
      </c>
    </row>
    <row r="6972" ht="15.75" customHeight="1">
      <c r="A6972" s="25" t="str">
        <f>IFERROR(__xludf.DUMMYFUNCTION("IF(B6972="""","""",RIGHT(REGEXREPLACE(B6972&amp;"""",""[^0-9]"",""""),9))"),"778017828")</f>
        <v>778017828</v>
      </c>
      <c r="B6972" s="52">
        <v>7.78017828E8</v>
      </c>
      <c r="C6972" s="28" t="s">
        <v>7232</v>
      </c>
      <c r="D6972" s="26" t="s">
        <v>56</v>
      </c>
      <c r="E6972" s="31">
        <v>46243.0</v>
      </c>
      <c r="F6972" s="26" t="s">
        <v>46</v>
      </c>
      <c r="G6972" s="26">
        <v>9.0</v>
      </c>
      <c r="I6972" s="26" t="s">
        <v>951</v>
      </c>
      <c r="J6972" s="25" t="str">
        <f t="shared" si="79"/>
        <v>No</v>
      </c>
      <c r="K6972" s="25" t="str">
        <f t="shared" si="80"/>
        <v/>
      </c>
      <c r="L6972" s="25" t="str">
        <f t="shared" si="81"/>
        <v/>
      </c>
      <c r="M6972" s="25"/>
      <c r="O6972" s="25"/>
    </row>
    <row r="6973" ht="15.75" customHeight="1">
      <c r="A6973" s="25" t="str">
        <f>IFERROR(__xludf.DUMMYFUNCTION("IF(B6973="""","""",RIGHT(REGEXREPLACE(B6973&amp;"""",""[^0-9]"",""""),9))"),"764274118")</f>
        <v>764274118</v>
      </c>
      <c r="B6973" s="52">
        <v>7.64274118E8</v>
      </c>
      <c r="C6973" s="28" t="s">
        <v>7233</v>
      </c>
      <c r="D6973" s="26" t="s">
        <v>49</v>
      </c>
      <c r="E6973" s="31">
        <v>46243.0</v>
      </c>
      <c r="F6973" s="26" t="s">
        <v>46</v>
      </c>
      <c r="G6973" s="26">
        <v>9.0</v>
      </c>
      <c r="H6973" s="26" t="s">
        <v>7221</v>
      </c>
      <c r="I6973" s="26" t="s">
        <v>951</v>
      </c>
      <c r="J6973" s="25" t="str">
        <f t="shared" si="79"/>
        <v>No</v>
      </c>
      <c r="K6973" s="25" t="str">
        <f t="shared" si="80"/>
        <v/>
      </c>
      <c r="L6973" s="25" t="str">
        <f t="shared" si="81"/>
        <v/>
      </c>
      <c r="M6973" s="25"/>
      <c r="O6973" s="25"/>
    </row>
    <row r="6974" ht="15.75" customHeight="1">
      <c r="A6974" s="25" t="str">
        <f>IFERROR(__xludf.DUMMYFUNCTION("IF(B6974="""","""",RIGHT(REGEXREPLACE(B6974&amp;"""",""[^0-9]"",""""),9))"),"763279075")</f>
        <v>763279075</v>
      </c>
      <c r="B6974" s="52">
        <v>7.63279075E8</v>
      </c>
      <c r="C6974" s="28" t="s">
        <v>120</v>
      </c>
      <c r="D6974" s="26" t="s">
        <v>64</v>
      </c>
      <c r="E6974" s="31">
        <v>46243.0</v>
      </c>
      <c r="F6974" s="26" t="s">
        <v>46</v>
      </c>
      <c r="G6974" s="26">
        <v>10.0</v>
      </c>
      <c r="H6974" s="26" t="s">
        <v>78</v>
      </c>
      <c r="I6974" s="26" t="s">
        <v>951</v>
      </c>
      <c r="J6974" s="25" t="str">
        <f t="shared" si="79"/>
        <v>Yes - see Previous F-Code</v>
      </c>
      <c r="K6974" s="25" t="str">
        <f t="shared" si="80"/>
        <v/>
      </c>
      <c r="L6974" s="25" t="str">
        <f t="shared" si="81"/>
        <v>F70040</v>
      </c>
      <c r="M6974" s="25"/>
      <c r="O6974" s="25"/>
    </row>
    <row r="6975" ht="15.75" customHeight="1">
      <c r="A6975" s="25" t="str">
        <f>IFERROR(__xludf.DUMMYFUNCTION("IF(B6975="""","""",RIGHT(REGEXREPLACE(B6975&amp;"""",""[^0-9]"",""""),9))"),"717649364")</f>
        <v>717649364</v>
      </c>
      <c r="B6975" s="52">
        <v>7.17649364E8</v>
      </c>
      <c r="C6975" s="28" t="s">
        <v>7234</v>
      </c>
      <c r="D6975" s="26" t="s">
        <v>82</v>
      </c>
      <c r="E6975" s="31">
        <v>46243.0</v>
      </c>
      <c r="F6975" s="26" t="s">
        <v>41</v>
      </c>
      <c r="G6975" s="26">
        <v>10.0</v>
      </c>
      <c r="I6975" s="26" t="s">
        <v>951</v>
      </c>
      <c r="J6975" s="25" t="str">
        <f t="shared" si="79"/>
        <v>No</v>
      </c>
      <c r="K6975" s="25" t="str">
        <f t="shared" si="80"/>
        <v/>
      </c>
      <c r="L6975" s="25" t="str">
        <f t="shared" si="81"/>
        <v/>
      </c>
      <c r="M6975" s="25"/>
      <c r="O6975" s="25"/>
    </row>
    <row r="6976" ht="15.75" customHeight="1">
      <c r="A6976" s="25" t="str">
        <f>IFERROR(__xludf.DUMMYFUNCTION("IF(B6976="""","""",RIGHT(REGEXREPLACE(B6976&amp;"""",""[^0-9]"",""""),9))"),"768531489")</f>
        <v>768531489</v>
      </c>
      <c r="B6976" s="52">
        <v>7.68531489E8</v>
      </c>
      <c r="C6976" s="28" t="s">
        <v>7235</v>
      </c>
      <c r="D6976" s="26" t="s">
        <v>64</v>
      </c>
      <c r="E6976" s="31">
        <v>46243.0</v>
      </c>
      <c r="F6976" s="26" t="s">
        <v>41</v>
      </c>
      <c r="G6976" s="26">
        <v>7.0</v>
      </c>
      <c r="I6976" s="26" t="s">
        <v>951</v>
      </c>
      <c r="J6976" s="25" t="str">
        <f t="shared" si="79"/>
        <v>No</v>
      </c>
      <c r="K6976" s="25" t="str">
        <f t="shared" si="80"/>
        <v/>
      </c>
      <c r="L6976" s="25" t="str">
        <f t="shared" si="81"/>
        <v/>
      </c>
      <c r="M6976" s="25"/>
      <c r="O6976" s="25"/>
    </row>
    <row r="6977" ht="15.75" customHeight="1">
      <c r="A6977" s="25" t="str">
        <f>IFERROR(__xludf.DUMMYFUNCTION("IF(B6977="""","""",RIGHT(REGEXREPLACE(B6977&amp;"""",""[^0-9]"",""""),9))"),"761268230")</f>
        <v>761268230</v>
      </c>
      <c r="B6977" s="52">
        <v>7.6126823E8</v>
      </c>
      <c r="C6977" s="28" t="s">
        <v>7236</v>
      </c>
      <c r="D6977" s="26" t="s">
        <v>82</v>
      </c>
      <c r="E6977" s="31">
        <v>46243.0</v>
      </c>
      <c r="F6977" s="26" t="s">
        <v>46</v>
      </c>
      <c r="G6977" s="26">
        <v>9.0</v>
      </c>
      <c r="I6977" s="26" t="s">
        <v>951</v>
      </c>
      <c r="J6977" s="25" t="str">
        <f t="shared" si="79"/>
        <v>No</v>
      </c>
      <c r="K6977" s="25" t="str">
        <f t="shared" si="80"/>
        <v/>
      </c>
      <c r="L6977" s="25" t="str">
        <f t="shared" si="81"/>
        <v/>
      </c>
      <c r="M6977" s="25"/>
      <c r="O6977" s="25"/>
    </row>
    <row r="6978" ht="15.75" customHeight="1">
      <c r="A6978" s="25" t="str">
        <f>IFERROR(__xludf.DUMMYFUNCTION("IF(B6978="""","""",RIGHT(REGEXREPLACE(B6978&amp;"""",""[^0-9]"",""""),9))"),"785381864")</f>
        <v>785381864</v>
      </c>
      <c r="B6978" s="52">
        <v>7.85381864E8</v>
      </c>
      <c r="C6978" s="28" t="s">
        <v>7237</v>
      </c>
      <c r="D6978" s="26" t="s">
        <v>82</v>
      </c>
      <c r="E6978" s="31">
        <v>46243.0</v>
      </c>
      <c r="F6978" s="26" t="s">
        <v>41</v>
      </c>
      <c r="G6978" s="26">
        <v>9.0</v>
      </c>
      <c r="I6978" s="26" t="s">
        <v>951</v>
      </c>
      <c r="J6978" s="25" t="str">
        <f t="shared" si="79"/>
        <v>No</v>
      </c>
      <c r="K6978" s="25" t="str">
        <f t="shared" si="80"/>
        <v/>
      </c>
      <c r="L6978" s="25" t="str">
        <f t="shared" si="81"/>
        <v/>
      </c>
      <c r="M6978" s="25"/>
      <c r="O6978" s="25"/>
    </row>
    <row r="6979" ht="15.75" customHeight="1">
      <c r="A6979" s="25" t="str">
        <f>IFERROR(__xludf.DUMMYFUNCTION("IF(B6979="""","""",RIGHT(REGEXREPLACE(B6979&amp;"""",""[^0-9]"",""""),9))"),"760025028")</f>
        <v>760025028</v>
      </c>
      <c r="B6979" s="52">
        <v>7.60025028E8</v>
      </c>
      <c r="C6979" s="28" t="s">
        <v>5146</v>
      </c>
      <c r="D6979" s="26" t="s">
        <v>64</v>
      </c>
      <c r="E6979" s="31">
        <v>46243.0</v>
      </c>
      <c r="F6979" s="26" t="s">
        <v>205</v>
      </c>
      <c r="G6979" s="26">
        <v>9.0</v>
      </c>
      <c r="I6979" s="26" t="s">
        <v>951</v>
      </c>
      <c r="J6979" s="25" t="str">
        <f t="shared" si="79"/>
        <v>Yes - see Previous F-Code</v>
      </c>
      <c r="K6979" s="25" t="str">
        <f t="shared" si="80"/>
        <v/>
      </c>
      <c r="L6979" s="25" t="str">
        <f t="shared" si="81"/>
        <v>F74688</v>
      </c>
      <c r="M6979" s="25"/>
      <c r="O6979" s="25"/>
    </row>
    <row r="6980" ht="15.75" customHeight="1">
      <c r="A6980" s="25" t="str">
        <f>IFERROR(__xludf.DUMMYFUNCTION("IF(B6980="""","""",RIGHT(REGEXREPLACE(B6980&amp;"""",""[^0-9]"",""""),9))"),"776754334")</f>
        <v>776754334</v>
      </c>
      <c r="B6980" s="52">
        <v>7.76754334E8</v>
      </c>
      <c r="C6980" s="28" t="s">
        <v>7238</v>
      </c>
      <c r="D6980" s="26" t="s">
        <v>56</v>
      </c>
      <c r="E6980" s="31">
        <v>46243.0</v>
      </c>
      <c r="F6980" s="26" t="s">
        <v>84</v>
      </c>
      <c r="H6980" s="26" t="s">
        <v>7239</v>
      </c>
      <c r="I6980" s="26" t="s">
        <v>951</v>
      </c>
      <c r="J6980" s="25" t="str">
        <f t="shared" si="79"/>
        <v>No</v>
      </c>
      <c r="K6980" s="25" t="str">
        <f t="shared" si="80"/>
        <v/>
      </c>
      <c r="L6980" s="25" t="str">
        <f t="shared" si="81"/>
        <v/>
      </c>
      <c r="M6980" s="25"/>
      <c r="O6980" s="25"/>
    </row>
    <row r="6981" ht="15.75" customHeight="1">
      <c r="A6981" s="25" t="str">
        <f>IFERROR(__xludf.DUMMYFUNCTION("IF(B6981="""","""",RIGHT(REGEXREPLACE(B6981&amp;"""",""[^0-9]"",""""),9))"),"775310476")</f>
        <v>775310476</v>
      </c>
      <c r="B6981" s="52">
        <v>7.75310476E8</v>
      </c>
      <c r="C6981" s="28" t="s">
        <v>7240</v>
      </c>
      <c r="D6981" s="26" t="s">
        <v>64</v>
      </c>
      <c r="E6981" s="31">
        <v>46243.0</v>
      </c>
      <c r="F6981" s="26" t="s">
        <v>46</v>
      </c>
      <c r="G6981" s="26">
        <v>9.0</v>
      </c>
      <c r="I6981" s="26" t="s">
        <v>951</v>
      </c>
      <c r="J6981" s="25" t="str">
        <f t="shared" si="79"/>
        <v>No</v>
      </c>
      <c r="K6981" s="25" t="str">
        <f t="shared" si="80"/>
        <v/>
      </c>
      <c r="L6981" s="25" t="str">
        <f t="shared" si="81"/>
        <v/>
      </c>
      <c r="M6981" s="25"/>
      <c r="O6981" s="25"/>
    </row>
    <row r="6982" ht="15.75" customHeight="1">
      <c r="A6982" s="25" t="str">
        <f>IFERROR(__xludf.DUMMYFUNCTION("IF(B6982="""","""",RIGHT(REGEXREPLACE(B6982&amp;"""",""[^0-9]"",""""),9))"),"779004446")</f>
        <v>779004446</v>
      </c>
      <c r="B6982" s="52">
        <v>7.79004446E8</v>
      </c>
      <c r="C6982" s="28" t="s">
        <v>7241</v>
      </c>
      <c r="D6982" s="26" t="s">
        <v>64</v>
      </c>
      <c r="E6982" s="31">
        <v>46243.0</v>
      </c>
      <c r="F6982" s="26" t="s">
        <v>46</v>
      </c>
      <c r="G6982" s="26" t="s">
        <v>4647</v>
      </c>
      <c r="I6982" s="26" t="s">
        <v>951</v>
      </c>
      <c r="J6982" s="25" t="str">
        <f t="shared" si="79"/>
        <v>No</v>
      </c>
      <c r="K6982" s="25" t="str">
        <f t="shared" si="80"/>
        <v/>
      </c>
      <c r="L6982" s="25" t="str">
        <f t="shared" si="81"/>
        <v/>
      </c>
      <c r="M6982" s="25"/>
      <c r="O6982" s="25"/>
    </row>
    <row r="6983" ht="15.75" customHeight="1">
      <c r="A6983" s="25" t="str">
        <f>IFERROR(__xludf.DUMMYFUNCTION("IF(B6983="""","""",RIGHT(REGEXREPLACE(B6983&amp;"""",""[^0-9]"",""""),9))"),"717173414")</f>
        <v>717173414</v>
      </c>
      <c r="B6983" s="52">
        <v>7.17173414E8</v>
      </c>
      <c r="C6983" s="28" t="s">
        <v>7242</v>
      </c>
      <c r="D6983" s="26" t="s">
        <v>64</v>
      </c>
      <c r="E6983" s="31">
        <v>46243.0</v>
      </c>
      <c r="F6983" s="26" t="s">
        <v>46</v>
      </c>
      <c r="G6983" s="26">
        <v>9.0</v>
      </c>
      <c r="H6983" s="26" t="s">
        <v>862</v>
      </c>
      <c r="I6983" s="26" t="s">
        <v>951</v>
      </c>
      <c r="J6983" s="25" t="str">
        <f t="shared" si="79"/>
        <v>No</v>
      </c>
      <c r="K6983" s="25" t="str">
        <f t="shared" si="80"/>
        <v/>
      </c>
      <c r="L6983" s="25" t="str">
        <f t="shared" si="81"/>
        <v/>
      </c>
      <c r="M6983" s="25"/>
      <c r="O6983" s="25"/>
    </row>
    <row r="6984" ht="15.75" customHeight="1">
      <c r="A6984" s="25" t="str">
        <f>IFERROR(__xludf.DUMMYFUNCTION("IF(B6984="""","""",RIGHT(REGEXREPLACE(B6984&amp;"""",""[^0-9]"",""""),9))"),"711367131")</f>
        <v>711367131</v>
      </c>
      <c r="B6984" s="52">
        <v>7.11367131E8</v>
      </c>
      <c r="C6984" s="28" t="s">
        <v>7243</v>
      </c>
      <c r="D6984" s="26" t="s">
        <v>82</v>
      </c>
      <c r="E6984" s="31">
        <v>46243.0</v>
      </c>
      <c r="F6984" s="26" t="s">
        <v>41</v>
      </c>
      <c r="G6984" s="26">
        <v>9.0</v>
      </c>
      <c r="I6984" s="26" t="s">
        <v>951</v>
      </c>
      <c r="J6984" s="25" t="str">
        <f t="shared" si="79"/>
        <v>No</v>
      </c>
      <c r="K6984" s="25" t="str">
        <f t="shared" si="80"/>
        <v/>
      </c>
      <c r="L6984" s="25" t="str">
        <f t="shared" si="81"/>
        <v/>
      </c>
      <c r="M6984" s="25"/>
      <c r="O6984" s="25"/>
    </row>
    <row r="6985" ht="15.75" customHeight="1">
      <c r="A6985" s="25" t="str">
        <f>IFERROR(__xludf.DUMMYFUNCTION("IF(B6985="""","""",RIGHT(REGEXREPLACE(B6985&amp;"""",""[^0-9]"",""""),9))"),"783980076")</f>
        <v>783980076</v>
      </c>
      <c r="B6985" s="52">
        <v>7.83980076E8</v>
      </c>
      <c r="C6985" s="28" t="s">
        <v>7244</v>
      </c>
      <c r="D6985" s="26" t="s">
        <v>56</v>
      </c>
      <c r="E6985" s="31">
        <v>46243.0</v>
      </c>
      <c r="F6985" s="26" t="s">
        <v>46</v>
      </c>
      <c r="H6985" s="26" t="s">
        <v>140</v>
      </c>
      <c r="I6985" s="26" t="s">
        <v>951</v>
      </c>
      <c r="J6985" s="25" t="str">
        <f t="shared" si="79"/>
        <v>No</v>
      </c>
      <c r="K6985" s="25" t="str">
        <f t="shared" si="80"/>
        <v/>
      </c>
      <c r="L6985" s="25" t="str">
        <f t="shared" si="81"/>
        <v/>
      </c>
      <c r="M6985" s="25"/>
      <c r="O6985" s="25"/>
    </row>
    <row r="6986" ht="15.75" customHeight="1">
      <c r="A6986" s="25" t="str">
        <f>IFERROR(__xludf.DUMMYFUNCTION("IF(B6986="""","""",RIGHT(REGEXREPLACE(B6986&amp;"""",""[^0-9]"",""""),9))"),"760448145")</f>
        <v>760448145</v>
      </c>
      <c r="B6986" s="52">
        <v>7.60448145E8</v>
      </c>
      <c r="C6986" s="28" t="s">
        <v>7245</v>
      </c>
      <c r="D6986" s="26" t="s">
        <v>64</v>
      </c>
      <c r="E6986" s="31">
        <v>46243.0</v>
      </c>
      <c r="F6986" s="26" t="s">
        <v>46</v>
      </c>
      <c r="G6986" s="26">
        <v>8.0</v>
      </c>
      <c r="I6986" s="26" t="s">
        <v>951</v>
      </c>
      <c r="J6986" s="25" t="str">
        <f t="shared" si="79"/>
        <v>No</v>
      </c>
      <c r="K6986" s="25" t="str">
        <f t="shared" si="80"/>
        <v/>
      </c>
      <c r="L6986" s="25" t="str">
        <f t="shared" si="81"/>
        <v/>
      </c>
      <c r="M6986" s="25"/>
      <c r="O6986" s="25"/>
    </row>
    <row r="6987" ht="15.75" customHeight="1">
      <c r="A6987" s="25" t="str">
        <f>IFERROR(__xludf.DUMMYFUNCTION("IF(B6987="""","""",RIGHT(REGEXREPLACE(B6987&amp;"""",""[^0-9]"",""""),9))"),"761683637")</f>
        <v>761683637</v>
      </c>
      <c r="B6987" s="52">
        <v>7.61683637E8</v>
      </c>
      <c r="C6987" s="28" t="s">
        <v>7246</v>
      </c>
      <c r="D6987" s="26" t="s">
        <v>49</v>
      </c>
      <c r="E6987" s="31">
        <v>46243.0</v>
      </c>
      <c r="F6987" s="26" t="s">
        <v>46</v>
      </c>
      <c r="G6987" s="26">
        <v>9.0</v>
      </c>
      <c r="I6987" s="26" t="s">
        <v>951</v>
      </c>
      <c r="J6987" s="25" t="str">
        <f t="shared" si="79"/>
        <v>No</v>
      </c>
      <c r="K6987" s="25" t="str">
        <f t="shared" si="80"/>
        <v/>
      </c>
      <c r="L6987" s="25" t="str">
        <f t="shared" si="81"/>
        <v/>
      </c>
      <c r="M6987" s="25"/>
      <c r="O6987" s="25"/>
    </row>
    <row r="6988" ht="15.75" customHeight="1">
      <c r="A6988" s="25" t="str">
        <f>IFERROR(__xludf.DUMMYFUNCTION("IF(B6988="""","""",RIGHT(REGEXREPLACE(B6988&amp;"""",""[^0-9]"",""""),9))"),"762706611")</f>
        <v>762706611</v>
      </c>
      <c r="B6988" s="52">
        <v>7.62706611E8</v>
      </c>
      <c r="C6988" s="28" t="s">
        <v>7247</v>
      </c>
      <c r="D6988" s="26" t="s">
        <v>56</v>
      </c>
      <c r="E6988" s="31">
        <v>46243.0</v>
      </c>
      <c r="F6988" s="26" t="s">
        <v>46</v>
      </c>
      <c r="G6988" s="26">
        <v>7.0</v>
      </c>
      <c r="I6988" s="26" t="s">
        <v>951</v>
      </c>
      <c r="J6988" s="25" t="str">
        <f t="shared" si="79"/>
        <v>No</v>
      </c>
      <c r="K6988" s="25" t="str">
        <f t="shared" si="80"/>
        <v/>
      </c>
      <c r="L6988" s="25" t="str">
        <f t="shared" si="81"/>
        <v/>
      </c>
      <c r="M6988" s="25"/>
      <c r="O6988" s="26" t="s">
        <v>51</v>
      </c>
    </row>
    <row r="6989" ht="15.75" customHeight="1">
      <c r="A6989" s="25" t="str">
        <f>IFERROR(__xludf.DUMMYFUNCTION("IF(B6989="""","""",RIGHT(REGEXREPLACE(B6989&amp;"""",""[^0-9]"",""""),9))"),"766491255")</f>
        <v>766491255</v>
      </c>
      <c r="B6989" s="52">
        <v>7.66491255E8</v>
      </c>
      <c r="C6989" s="28" t="s">
        <v>7248</v>
      </c>
      <c r="D6989" s="26" t="s">
        <v>82</v>
      </c>
      <c r="E6989" s="31">
        <v>46243.0</v>
      </c>
      <c r="F6989" s="26" t="s">
        <v>46</v>
      </c>
      <c r="G6989" s="26">
        <v>9.0</v>
      </c>
      <c r="H6989" s="26" t="s">
        <v>3667</v>
      </c>
      <c r="I6989" s="26" t="s">
        <v>951</v>
      </c>
      <c r="J6989" s="25" t="str">
        <f t="shared" si="79"/>
        <v>No</v>
      </c>
      <c r="K6989" s="25" t="str">
        <f t="shared" si="80"/>
        <v/>
      </c>
      <c r="L6989" s="25" t="str">
        <f t="shared" si="81"/>
        <v/>
      </c>
      <c r="M6989" s="25"/>
      <c r="O6989" s="25"/>
    </row>
    <row r="6990" ht="15.75" customHeight="1">
      <c r="A6990" s="25" t="str">
        <f>IFERROR(__xludf.DUMMYFUNCTION("IF(B6990="""","""",RIGHT(REGEXREPLACE(B6990&amp;"""",""[^0-9]"",""""),9))"),"773072101")</f>
        <v>773072101</v>
      </c>
      <c r="B6990" s="52">
        <v>7.73072101E8</v>
      </c>
      <c r="C6990" s="28" t="s">
        <v>7249</v>
      </c>
      <c r="D6990" s="26" t="s">
        <v>64</v>
      </c>
      <c r="E6990" s="31">
        <v>46243.0</v>
      </c>
      <c r="F6990" s="26" t="s">
        <v>205</v>
      </c>
      <c r="I6990" s="26" t="s">
        <v>951</v>
      </c>
      <c r="J6990" s="25" t="str">
        <f t="shared" si="79"/>
        <v>No</v>
      </c>
      <c r="K6990" s="25" t="str">
        <f t="shared" si="80"/>
        <v/>
      </c>
      <c r="L6990" s="25" t="str">
        <f t="shared" si="81"/>
        <v/>
      </c>
      <c r="M6990" s="25"/>
      <c r="O6990" s="25"/>
    </row>
    <row r="6991" ht="15.75" customHeight="1">
      <c r="A6991" s="25" t="str">
        <f>IFERROR(__xludf.DUMMYFUNCTION("IF(B6991="""","""",RIGHT(REGEXREPLACE(B6991&amp;"""",""[^0-9]"",""""),9))"),"769081046")</f>
        <v>769081046</v>
      </c>
      <c r="B6991" s="52">
        <v>7.69081046E8</v>
      </c>
      <c r="C6991" s="28" t="s">
        <v>7250</v>
      </c>
      <c r="D6991" s="26" t="s">
        <v>64</v>
      </c>
      <c r="E6991" s="31">
        <v>46243.0</v>
      </c>
      <c r="F6991" s="26" t="s">
        <v>41</v>
      </c>
      <c r="G6991" s="26">
        <v>9.0</v>
      </c>
      <c r="I6991" s="26" t="s">
        <v>951</v>
      </c>
      <c r="J6991" s="25" t="str">
        <f t="shared" si="79"/>
        <v>No</v>
      </c>
      <c r="K6991" s="25" t="str">
        <f t="shared" si="80"/>
        <v/>
      </c>
      <c r="L6991" s="25" t="str">
        <f t="shared" si="81"/>
        <v/>
      </c>
      <c r="M6991" s="25"/>
      <c r="O6991" s="25"/>
    </row>
    <row r="6992" ht="15.75" customHeight="1">
      <c r="A6992" s="25" t="str">
        <f>IFERROR(__xludf.DUMMYFUNCTION("IF(B6992="""","""",RIGHT(REGEXREPLACE(B6992&amp;"""",""[^0-9]"",""""),9))"),"701043660")</f>
        <v>701043660</v>
      </c>
      <c r="B6992" s="52">
        <v>7.0104366E8</v>
      </c>
      <c r="C6992" s="28" t="s">
        <v>7251</v>
      </c>
      <c r="D6992" s="26" t="s">
        <v>82</v>
      </c>
      <c r="E6992" s="31">
        <v>46243.0</v>
      </c>
      <c r="F6992" s="26" t="s">
        <v>46</v>
      </c>
      <c r="G6992" s="26">
        <v>9.0</v>
      </c>
      <c r="I6992" s="26" t="s">
        <v>951</v>
      </c>
      <c r="J6992" s="25" t="str">
        <f t="shared" si="79"/>
        <v>No</v>
      </c>
      <c r="K6992" s="25" t="str">
        <f t="shared" si="80"/>
        <v/>
      </c>
      <c r="L6992" s="25" t="str">
        <f t="shared" si="81"/>
        <v/>
      </c>
      <c r="M6992" s="25"/>
      <c r="O6992" s="25"/>
    </row>
    <row r="6993" ht="15.75" customHeight="1">
      <c r="A6993" s="25" t="str">
        <f>IFERROR(__xludf.DUMMYFUNCTION("IF(B6993="""","""",RIGHT(REGEXREPLACE(B6993&amp;"""",""[^0-9]"",""""),9))"),"777620588")</f>
        <v>777620588</v>
      </c>
      <c r="B6993" s="52">
        <v>7.77620588E8</v>
      </c>
      <c r="C6993" s="28" t="s">
        <v>7252</v>
      </c>
      <c r="D6993" s="26" t="s">
        <v>64</v>
      </c>
      <c r="E6993" s="31">
        <v>46243.0</v>
      </c>
      <c r="F6993" s="26" t="s">
        <v>659</v>
      </c>
      <c r="I6993" s="26" t="s">
        <v>951</v>
      </c>
      <c r="J6993" s="25" t="str">
        <f t="shared" si="79"/>
        <v>No</v>
      </c>
      <c r="K6993" s="25" t="str">
        <f t="shared" si="80"/>
        <v/>
      </c>
      <c r="L6993" s="25" t="str">
        <f t="shared" si="81"/>
        <v/>
      </c>
      <c r="M6993" s="25"/>
      <c r="O6993" s="25"/>
    </row>
    <row r="6994" ht="15.75" customHeight="1">
      <c r="A6994" s="25" t="str">
        <f>IFERROR(__xludf.DUMMYFUNCTION("IF(B6994="""","""",RIGHT(REGEXREPLACE(B6994&amp;"""",""[^0-9]"",""""),9))"),"740746712")</f>
        <v>740746712</v>
      </c>
      <c r="B6994" s="52">
        <v>7.40746712E8</v>
      </c>
      <c r="C6994" s="28" t="s">
        <v>7253</v>
      </c>
      <c r="D6994" s="26" t="s">
        <v>49</v>
      </c>
      <c r="E6994" s="31">
        <v>46243.0</v>
      </c>
      <c r="F6994" s="26" t="s">
        <v>659</v>
      </c>
      <c r="I6994" s="26" t="s">
        <v>951</v>
      </c>
      <c r="J6994" s="25" t="str">
        <f t="shared" si="79"/>
        <v>No</v>
      </c>
      <c r="K6994" s="25" t="str">
        <f t="shared" si="80"/>
        <v/>
      </c>
      <c r="L6994" s="25" t="str">
        <f t="shared" si="81"/>
        <v/>
      </c>
      <c r="M6994" s="25"/>
      <c r="O6994" s="25"/>
    </row>
    <row r="6995" ht="15.75" customHeight="1">
      <c r="A6995" s="25" t="str">
        <f>IFERROR(__xludf.DUMMYFUNCTION("IF(B6995="""","""",RIGHT(REGEXREPLACE(B6995&amp;"""",""[^0-9]"",""""),9))"),"776358443")</f>
        <v>776358443</v>
      </c>
      <c r="B6995" s="52">
        <v>7.76358443E8</v>
      </c>
      <c r="C6995" s="28" t="s">
        <v>7254</v>
      </c>
      <c r="D6995" s="26" t="s">
        <v>56</v>
      </c>
      <c r="E6995" s="31">
        <v>46243.0</v>
      </c>
      <c r="F6995" s="26" t="s">
        <v>46</v>
      </c>
      <c r="G6995" s="26">
        <v>9.0</v>
      </c>
      <c r="I6995" s="26" t="s">
        <v>951</v>
      </c>
      <c r="J6995" s="25" t="str">
        <f t="shared" si="79"/>
        <v>No</v>
      </c>
      <c r="K6995" s="25" t="str">
        <f t="shared" si="80"/>
        <v/>
      </c>
      <c r="L6995" s="25" t="str">
        <f t="shared" si="81"/>
        <v/>
      </c>
      <c r="M6995" s="25"/>
      <c r="O6995" s="25"/>
    </row>
    <row r="6996" ht="15.75" customHeight="1">
      <c r="A6996" s="25" t="str">
        <f>IFERROR(__xludf.DUMMYFUNCTION("IF(B6996="""","""",RIGHT(REGEXREPLACE(B6996&amp;"""",""[^0-9]"",""""),9))"),"777350163")</f>
        <v>777350163</v>
      </c>
      <c r="B6996" s="52">
        <v>7.77350163E8</v>
      </c>
      <c r="C6996" s="28" t="s">
        <v>7255</v>
      </c>
      <c r="D6996" s="26" t="s">
        <v>82</v>
      </c>
      <c r="E6996" s="31">
        <v>46243.0</v>
      </c>
      <c r="F6996" s="26" t="s">
        <v>41</v>
      </c>
      <c r="I6996" s="26" t="s">
        <v>951</v>
      </c>
      <c r="J6996" s="25" t="str">
        <f t="shared" si="79"/>
        <v>No</v>
      </c>
      <c r="K6996" s="25" t="str">
        <f t="shared" si="80"/>
        <v/>
      </c>
      <c r="L6996" s="25" t="str">
        <f t="shared" si="81"/>
        <v/>
      </c>
      <c r="M6996" s="25"/>
      <c r="O6996" s="25"/>
    </row>
    <row r="6997" ht="15.75" customHeight="1">
      <c r="A6997" s="25" t="str">
        <f>IFERROR(__xludf.DUMMYFUNCTION("IF(B6997="""","""",RIGHT(REGEXREPLACE(B6997&amp;"""",""[^0-9]"",""""),9))"),"779284413")</f>
        <v>779284413</v>
      </c>
      <c r="B6997" s="52">
        <v>7.79284413E8</v>
      </c>
      <c r="C6997" s="28" t="s">
        <v>7256</v>
      </c>
      <c r="D6997" s="26" t="s">
        <v>64</v>
      </c>
      <c r="E6997" s="31">
        <v>46252.0</v>
      </c>
      <c r="F6997" s="26" t="s">
        <v>41</v>
      </c>
      <c r="G6997" s="26">
        <v>9.0</v>
      </c>
      <c r="I6997" s="26" t="s">
        <v>951</v>
      </c>
      <c r="J6997" s="25" t="str">
        <f t="shared" si="79"/>
        <v>No</v>
      </c>
      <c r="K6997" s="25" t="str">
        <f t="shared" si="80"/>
        <v/>
      </c>
      <c r="L6997" s="25" t="str">
        <f t="shared" si="81"/>
        <v/>
      </c>
      <c r="M6997" s="25"/>
      <c r="O6997" s="25"/>
    </row>
    <row r="6998" ht="15.75" customHeight="1">
      <c r="A6998" s="25" t="str">
        <f>IFERROR(__xludf.DUMMYFUNCTION("IF(B6998="""","""",RIGHT(REGEXREPLACE(B6998&amp;"""",""[^0-9]"",""""),9))"),"763265516")</f>
        <v>763265516</v>
      </c>
      <c r="B6998" s="52">
        <v>7.63265516E8</v>
      </c>
      <c r="C6998" s="28" t="s">
        <v>7257</v>
      </c>
      <c r="D6998" s="26" t="s">
        <v>64</v>
      </c>
      <c r="E6998" s="31">
        <v>46243.0</v>
      </c>
      <c r="F6998" s="26" t="s">
        <v>659</v>
      </c>
      <c r="I6998" s="26" t="s">
        <v>951</v>
      </c>
      <c r="J6998" s="25" t="str">
        <f t="shared" si="79"/>
        <v>No</v>
      </c>
      <c r="K6998" s="25" t="str">
        <f t="shared" si="80"/>
        <v/>
      </c>
      <c r="L6998" s="25" t="str">
        <f t="shared" si="81"/>
        <v/>
      </c>
      <c r="M6998" s="25"/>
      <c r="O6998" s="25"/>
    </row>
    <row r="6999" ht="15.75" customHeight="1">
      <c r="A6999" s="25" t="str">
        <f>IFERROR(__xludf.DUMMYFUNCTION("IF(B6999="""","""",RIGHT(REGEXREPLACE(B6999&amp;"""",""[^0-9]"",""""),9))"),"713806577")</f>
        <v>713806577</v>
      </c>
      <c r="B6999" s="52">
        <v>7.13806577E8</v>
      </c>
      <c r="C6999" s="28" t="s">
        <v>7258</v>
      </c>
      <c r="D6999" s="26" t="s">
        <v>49</v>
      </c>
      <c r="E6999" s="31">
        <v>46243.0</v>
      </c>
      <c r="F6999" s="26" t="s">
        <v>205</v>
      </c>
      <c r="G6999" s="26">
        <v>9.0</v>
      </c>
      <c r="I6999" s="26" t="s">
        <v>951</v>
      </c>
      <c r="J6999" s="25" t="str">
        <f t="shared" si="79"/>
        <v>No</v>
      </c>
      <c r="K6999" s="25" t="str">
        <f t="shared" si="80"/>
        <v/>
      </c>
      <c r="L6999" s="25" t="str">
        <f t="shared" si="81"/>
        <v/>
      </c>
      <c r="M6999" s="25"/>
      <c r="O6999" s="25"/>
    </row>
    <row r="7000" ht="15.75" customHeight="1">
      <c r="A7000" s="25" t="str">
        <f>IFERROR(__xludf.DUMMYFUNCTION("IF(B7000="""","""",RIGHT(REGEXREPLACE(B7000&amp;"""",""[^0-9]"",""""),9))"),"713122669")</f>
        <v>713122669</v>
      </c>
      <c r="B7000" s="52">
        <v>7.13122669E8</v>
      </c>
      <c r="C7000" s="28" t="s">
        <v>7259</v>
      </c>
      <c r="D7000" s="26" t="s">
        <v>45</v>
      </c>
      <c r="E7000" s="31">
        <v>46243.0</v>
      </c>
      <c r="F7000" s="26" t="s">
        <v>46</v>
      </c>
      <c r="G7000" s="26">
        <v>10.0</v>
      </c>
      <c r="I7000" s="26" t="s">
        <v>951</v>
      </c>
      <c r="J7000" s="25" t="str">
        <f t="shared" si="79"/>
        <v>No</v>
      </c>
      <c r="K7000" s="25" t="str">
        <f t="shared" si="80"/>
        <v/>
      </c>
      <c r="L7000" s="25" t="str">
        <f t="shared" si="81"/>
        <v/>
      </c>
      <c r="M7000" s="25"/>
      <c r="O7000" s="25"/>
    </row>
    <row r="7001" ht="15.75" customHeight="1">
      <c r="A7001" s="25" t="str">
        <f>IFERROR(__xludf.DUMMYFUNCTION("IF(B7001="""","""",RIGHT(REGEXREPLACE(B7001&amp;"""",""[^0-9]"",""""),9))"),"788257882")</f>
        <v>788257882</v>
      </c>
      <c r="B7001" s="52">
        <v>7.88257882E8</v>
      </c>
      <c r="C7001" s="28" t="s">
        <v>7259</v>
      </c>
      <c r="D7001" s="26" t="s">
        <v>64</v>
      </c>
      <c r="E7001" s="31">
        <v>46243.0</v>
      </c>
      <c r="F7001" s="26" t="s">
        <v>46</v>
      </c>
      <c r="G7001" s="26">
        <v>9.0</v>
      </c>
      <c r="I7001" s="26" t="s">
        <v>951</v>
      </c>
      <c r="J7001" s="25" t="str">
        <f t="shared" si="79"/>
        <v>No</v>
      </c>
      <c r="K7001" s="25" t="str">
        <f t="shared" si="80"/>
        <v/>
      </c>
      <c r="L7001" s="25" t="str">
        <f t="shared" si="81"/>
        <v/>
      </c>
      <c r="M7001" s="25"/>
      <c r="O7001" s="25"/>
    </row>
    <row r="7002" ht="15.75" customHeight="1">
      <c r="A7002" s="25" t="str">
        <f>IFERROR(__xludf.DUMMYFUNCTION("IF(B7002="""","""",RIGHT(REGEXREPLACE(B7002&amp;"""",""[^0-9]"",""""),9))"),"779309013")</f>
        <v>779309013</v>
      </c>
      <c r="B7002" s="52">
        <v>7.79309013E8</v>
      </c>
      <c r="C7002" s="28" t="s">
        <v>7260</v>
      </c>
      <c r="D7002" s="26" t="s">
        <v>82</v>
      </c>
      <c r="E7002" s="31">
        <v>46243.0</v>
      </c>
      <c r="F7002" s="26" t="s">
        <v>46</v>
      </c>
      <c r="G7002" s="26">
        <v>10.0</v>
      </c>
      <c r="I7002" s="26" t="s">
        <v>951</v>
      </c>
      <c r="J7002" s="25" t="str">
        <f t="shared" si="79"/>
        <v>No</v>
      </c>
      <c r="K7002" s="25" t="str">
        <f t="shared" si="80"/>
        <v/>
      </c>
      <c r="L7002" s="25" t="str">
        <f t="shared" si="81"/>
        <v/>
      </c>
      <c r="M7002" s="25"/>
      <c r="O7002" s="25"/>
    </row>
    <row r="7003" ht="15.75" customHeight="1">
      <c r="A7003" s="25" t="str">
        <f>IFERROR(__xludf.DUMMYFUNCTION("IF(B7003="""","""",RIGHT(REGEXREPLACE(B7003&amp;"""",""[^0-9]"",""""),9))"),"718151105")</f>
        <v>718151105</v>
      </c>
      <c r="B7003" s="52">
        <v>7.18151105E8</v>
      </c>
      <c r="C7003" s="28" t="s">
        <v>7261</v>
      </c>
      <c r="D7003" s="26" t="s">
        <v>56</v>
      </c>
      <c r="E7003" s="31">
        <v>46243.0</v>
      </c>
      <c r="F7003" s="26" t="s">
        <v>46</v>
      </c>
      <c r="G7003" s="26">
        <v>9.0</v>
      </c>
      <c r="H7003" s="26" t="s">
        <v>130</v>
      </c>
      <c r="I7003" s="26" t="s">
        <v>951</v>
      </c>
      <c r="J7003" s="25" t="str">
        <f t="shared" si="79"/>
        <v>No</v>
      </c>
      <c r="K7003" s="25" t="str">
        <f t="shared" si="80"/>
        <v/>
      </c>
      <c r="L7003" s="25" t="str">
        <f t="shared" si="81"/>
        <v/>
      </c>
      <c r="M7003" s="25"/>
      <c r="O7003" s="25"/>
    </row>
    <row r="7004" ht="15.75" customHeight="1">
      <c r="A7004" s="25" t="str">
        <f>IFERROR(__xludf.DUMMYFUNCTION("IF(B7004="""","""",RIGHT(REGEXREPLACE(B7004&amp;"""",""[^0-9]"",""""),9))"),"763930235")</f>
        <v>763930235</v>
      </c>
      <c r="B7004" s="52">
        <v>7.63930235E8</v>
      </c>
      <c r="C7004" s="28" t="s">
        <v>7262</v>
      </c>
      <c r="D7004" s="26" t="s">
        <v>49</v>
      </c>
      <c r="E7004" s="31">
        <v>46243.0</v>
      </c>
      <c r="F7004" s="26" t="s">
        <v>659</v>
      </c>
      <c r="G7004" s="26">
        <v>9.0</v>
      </c>
      <c r="I7004" s="26" t="s">
        <v>951</v>
      </c>
      <c r="J7004" s="25" t="str">
        <f t="shared" si="79"/>
        <v>No</v>
      </c>
      <c r="K7004" s="25" t="str">
        <f t="shared" si="80"/>
        <v/>
      </c>
      <c r="L7004" s="25" t="str">
        <f t="shared" si="81"/>
        <v/>
      </c>
      <c r="M7004" s="25"/>
      <c r="O7004" s="25"/>
    </row>
    <row r="7005" ht="15.75" customHeight="1">
      <c r="A7005" s="25" t="str">
        <f>IFERROR(__xludf.DUMMYFUNCTION("IF(B7005="""","""",RIGHT(REGEXREPLACE(B7005&amp;"""",""[^0-9]"",""""),9))"),"773100776")</f>
        <v>773100776</v>
      </c>
      <c r="B7005" s="52">
        <v>7.73100776E8</v>
      </c>
      <c r="C7005" s="28" t="s">
        <v>7263</v>
      </c>
      <c r="D7005" s="26" t="s">
        <v>45</v>
      </c>
      <c r="E7005" s="31">
        <v>46243.0</v>
      </c>
      <c r="F7005" s="26" t="s">
        <v>41</v>
      </c>
      <c r="G7005" s="26">
        <v>9.0</v>
      </c>
      <c r="I7005" s="26" t="s">
        <v>951</v>
      </c>
      <c r="J7005" s="25" t="str">
        <f t="shared" si="79"/>
        <v>No</v>
      </c>
      <c r="K7005" s="25" t="str">
        <f t="shared" si="80"/>
        <v/>
      </c>
      <c r="L7005" s="25" t="str">
        <f t="shared" si="81"/>
        <v/>
      </c>
      <c r="M7005" s="25"/>
      <c r="O7005" s="25"/>
    </row>
    <row r="7006" ht="15.75" customHeight="1">
      <c r="A7006" s="25" t="str">
        <f>IFERROR(__xludf.DUMMYFUNCTION("IF(B7006="""","""",RIGHT(REGEXREPLACE(B7006&amp;"""",""[^0-9]"",""""),9))"),"778492934")</f>
        <v>778492934</v>
      </c>
      <c r="B7006" s="52">
        <v>7.78492934E8</v>
      </c>
      <c r="C7006" s="28" t="s">
        <v>7264</v>
      </c>
      <c r="D7006" s="26" t="s">
        <v>64</v>
      </c>
      <c r="E7006" s="31">
        <v>46243.0</v>
      </c>
      <c r="F7006" s="26" t="s">
        <v>46</v>
      </c>
      <c r="G7006" s="26">
        <v>9.0</v>
      </c>
      <c r="I7006" s="26" t="s">
        <v>951</v>
      </c>
      <c r="J7006" s="25" t="str">
        <f t="shared" si="79"/>
        <v>No</v>
      </c>
      <c r="K7006" s="25" t="str">
        <f t="shared" si="80"/>
        <v/>
      </c>
      <c r="L7006" s="25" t="str">
        <f t="shared" si="81"/>
        <v/>
      </c>
      <c r="M7006" s="25"/>
      <c r="O7006" s="25"/>
    </row>
    <row r="7007" ht="15.75" customHeight="1">
      <c r="A7007" s="25" t="str">
        <f>IFERROR(__xludf.DUMMYFUNCTION("IF(B7007="""","""",RIGHT(REGEXREPLACE(B7007&amp;"""",""[^0-9]"",""""),9))"),"724251340")</f>
        <v>724251340</v>
      </c>
      <c r="B7007" s="52">
        <v>7.2425134E8</v>
      </c>
      <c r="C7007" s="28" t="s">
        <v>7265</v>
      </c>
      <c r="D7007" s="26" t="s">
        <v>82</v>
      </c>
      <c r="E7007" s="31">
        <v>46243.0</v>
      </c>
      <c r="F7007" s="26" t="s">
        <v>46</v>
      </c>
      <c r="G7007" s="26">
        <v>9.0</v>
      </c>
      <c r="I7007" s="26" t="s">
        <v>951</v>
      </c>
      <c r="J7007" s="25" t="str">
        <f t="shared" si="79"/>
        <v>No</v>
      </c>
      <c r="K7007" s="25" t="str">
        <f t="shared" si="80"/>
        <v/>
      </c>
      <c r="L7007" s="25" t="str">
        <f t="shared" si="81"/>
        <v/>
      </c>
      <c r="M7007" s="25"/>
      <c r="O7007" s="25"/>
    </row>
    <row r="7008" ht="15.75" customHeight="1">
      <c r="A7008" s="25" t="str">
        <f>IFERROR(__xludf.DUMMYFUNCTION("IF(B7008="""","""",RIGHT(REGEXREPLACE(B7008&amp;"""",""[^0-9]"",""""),9))"),"772739893")</f>
        <v>772739893</v>
      </c>
      <c r="B7008" s="52">
        <v>7.72739893E8</v>
      </c>
      <c r="C7008" s="28" t="s">
        <v>7266</v>
      </c>
      <c r="D7008" s="26" t="s">
        <v>45</v>
      </c>
      <c r="E7008" s="31">
        <v>46243.0</v>
      </c>
      <c r="F7008" s="26" t="s">
        <v>46</v>
      </c>
      <c r="G7008" s="26">
        <v>8.0</v>
      </c>
      <c r="I7008" s="26" t="s">
        <v>951</v>
      </c>
      <c r="J7008" s="25" t="str">
        <f t="shared" si="79"/>
        <v>No</v>
      </c>
      <c r="K7008" s="25" t="str">
        <f t="shared" si="80"/>
        <v/>
      </c>
      <c r="L7008" s="25" t="str">
        <f t="shared" si="81"/>
        <v/>
      </c>
      <c r="M7008" s="25"/>
      <c r="O7008" s="25"/>
    </row>
    <row r="7009" ht="15.75" customHeight="1">
      <c r="A7009" s="25" t="str">
        <f>IFERROR(__xludf.DUMMYFUNCTION("IF(B7009="""","""",RIGHT(REGEXREPLACE(B7009&amp;"""",""[^0-9]"",""""),9))"),"712173890")</f>
        <v>712173890</v>
      </c>
      <c r="B7009" s="52">
        <v>7.1217389E8</v>
      </c>
      <c r="C7009" s="28" t="s">
        <v>2238</v>
      </c>
      <c r="D7009" s="26" t="s">
        <v>56</v>
      </c>
      <c r="E7009" s="31">
        <v>46243.0</v>
      </c>
      <c r="F7009" s="26" t="s">
        <v>41</v>
      </c>
      <c r="I7009" s="26" t="s">
        <v>951</v>
      </c>
      <c r="J7009" s="25" t="str">
        <f t="shared" si="79"/>
        <v>Yes - see Previous F-Code</v>
      </c>
      <c r="K7009" s="25" t="str">
        <f t="shared" si="80"/>
        <v/>
      </c>
      <c r="L7009" s="25" t="str">
        <f t="shared" si="81"/>
        <v>F71936</v>
      </c>
      <c r="M7009" s="25"/>
      <c r="O7009" s="25"/>
    </row>
    <row r="7010" ht="15.75" customHeight="1">
      <c r="A7010" s="25" t="str">
        <f>IFERROR(__xludf.DUMMYFUNCTION("IF(B7010="""","""",RIGHT(REGEXREPLACE(B7010&amp;"""",""[^0-9]"",""""),9))"),"786890816")</f>
        <v>786890816</v>
      </c>
      <c r="B7010" s="52">
        <v>7.86890816E8</v>
      </c>
      <c r="C7010" s="28" t="s">
        <v>7267</v>
      </c>
      <c r="D7010" s="26" t="s">
        <v>49</v>
      </c>
      <c r="E7010" s="31">
        <v>46243.0</v>
      </c>
      <c r="F7010" s="26" t="s">
        <v>41</v>
      </c>
      <c r="G7010" s="26">
        <v>10.0</v>
      </c>
      <c r="I7010" s="26" t="s">
        <v>951</v>
      </c>
      <c r="J7010" s="25" t="str">
        <f t="shared" si="79"/>
        <v>No</v>
      </c>
      <c r="K7010" s="25" t="str">
        <f t="shared" si="80"/>
        <v/>
      </c>
      <c r="L7010" s="25" t="str">
        <f t="shared" si="81"/>
        <v/>
      </c>
      <c r="M7010" s="25"/>
      <c r="O7010" s="25"/>
    </row>
    <row r="7011" ht="15.75" customHeight="1">
      <c r="A7011" s="25" t="str">
        <f>IFERROR(__xludf.DUMMYFUNCTION("IF(B7011="""","""",RIGHT(REGEXREPLACE(B7011&amp;"""",""[^0-9]"",""""),9))"),"762171371")</f>
        <v>762171371</v>
      </c>
      <c r="B7011" s="52">
        <v>7.62171371E8</v>
      </c>
      <c r="C7011" s="28" t="s">
        <v>7268</v>
      </c>
      <c r="D7011" s="26" t="s">
        <v>64</v>
      </c>
      <c r="E7011" s="31">
        <v>46243.0</v>
      </c>
      <c r="F7011" s="26" t="s">
        <v>46</v>
      </c>
      <c r="G7011" s="26">
        <v>9.0</v>
      </c>
      <c r="I7011" s="26" t="s">
        <v>951</v>
      </c>
      <c r="J7011" s="25" t="str">
        <f t="shared" si="79"/>
        <v>No</v>
      </c>
      <c r="K7011" s="25" t="str">
        <f t="shared" si="80"/>
        <v/>
      </c>
      <c r="L7011" s="25" t="str">
        <f t="shared" si="81"/>
        <v/>
      </c>
      <c r="M7011" s="25"/>
      <c r="O7011" s="25"/>
    </row>
    <row r="7012" ht="15.75" customHeight="1">
      <c r="A7012" s="25" t="str">
        <f>IFERROR(__xludf.DUMMYFUNCTION("IF(B7012="""","""",RIGHT(REGEXREPLACE(B7012&amp;"""",""[^0-9]"",""""),9))"),"716162613")</f>
        <v>716162613</v>
      </c>
      <c r="B7012" s="52">
        <v>7.16162613E8</v>
      </c>
      <c r="C7012" s="28" t="s">
        <v>7269</v>
      </c>
      <c r="D7012" s="26" t="s">
        <v>45</v>
      </c>
      <c r="E7012" s="31">
        <v>46243.0</v>
      </c>
      <c r="F7012" s="26" t="s">
        <v>205</v>
      </c>
      <c r="G7012" s="26">
        <v>9.0</v>
      </c>
      <c r="I7012" s="26" t="s">
        <v>951</v>
      </c>
      <c r="J7012" s="25" t="str">
        <f t="shared" si="79"/>
        <v>No</v>
      </c>
      <c r="K7012" s="25" t="str">
        <f t="shared" si="80"/>
        <v/>
      </c>
      <c r="L7012" s="25" t="str">
        <f t="shared" si="81"/>
        <v/>
      </c>
      <c r="M7012" s="25"/>
      <c r="O7012" s="25"/>
    </row>
    <row r="7013" ht="15.75" customHeight="1">
      <c r="A7013" s="25" t="str">
        <f>IFERROR(__xludf.DUMMYFUNCTION("IF(B7013="""","""",RIGHT(REGEXREPLACE(B7013&amp;"""",""[^0-9]"",""""),9))"),"772181101")</f>
        <v>772181101</v>
      </c>
      <c r="B7013" s="52">
        <v>7.72181101E8</v>
      </c>
      <c r="C7013" s="28" t="s">
        <v>2300</v>
      </c>
      <c r="D7013" s="26" t="s">
        <v>45</v>
      </c>
      <c r="E7013" s="31">
        <v>46243.0</v>
      </c>
      <c r="F7013" s="26" t="s">
        <v>46</v>
      </c>
      <c r="G7013" s="26">
        <v>10.0</v>
      </c>
      <c r="I7013" s="26" t="s">
        <v>951</v>
      </c>
      <c r="J7013" s="25" t="str">
        <f t="shared" si="79"/>
        <v>Yes - see Previous F-Code</v>
      </c>
      <c r="K7013" s="25" t="str">
        <f t="shared" si="80"/>
        <v/>
      </c>
      <c r="L7013" s="25" t="str">
        <f t="shared" si="81"/>
        <v>F71997</v>
      </c>
      <c r="M7013" s="25"/>
      <c r="O7013" s="25"/>
    </row>
    <row r="7014" ht="15.75" customHeight="1">
      <c r="A7014" s="25" t="str">
        <f>IFERROR(__xludf.DUMMYFUNCTION("IF(B7014="""","""",RIGHT(REGEXREPLACE(B7014&amp;"""",""[^0-9]"",""""),9))"),"772150167")</f>
        <v>772150167</v>
      </c>
      <c r="B7014" s="52">
        <v>7.72150167E8</v>
      </c>
      <c r="C7014" s="28" t="s">
        <v>7270</v>
      </c>
      <c r="D7014" s="26" t="s">
        <v>56</v>
      </c>
      <c r="E7014" s="31">
        <v>46243.0</v>
      </c>
      <c r="F7014" s="26" t="s">
        <v>41</v>
      </c>
      <c r="I7014" s="26" t="s">
        <v>951</v>
      </c>
      <c r="J7014" s="25" t="str">
        <f t="shared" si="79"/>
        <v>No</v>
      </c>
      <c r="K7014" s="25" t="str">
        <f t="shared" si="80"/>
        <v/>
      </c>
      <c r="L7014" s="25" t="str">
        <f t="shared" si="81"/>
        <v/>
      </c>
      <c r="M7014" s="25"/>
      <c r="O7014" s="25"/>
    </row>
    <row r="7015" ht="15.75" customHeight="1">
      <c r="A7015" s="25" t="str">
        <f>IFERROR(__xludf.DUMMYFUNCTION("IF(B7015="""","""",RIGHT(REGEXREPLACE(B7015&amp;"""",""[^0-9]"",""""),9))"),"784669211")</f>
        <v>784669211</v>
      </c>
      <c r="B7015" s="52">
        <v>7.84669211E8</v>
      </c>
      <c r="C7015" s="28" t="s">
        <v>7271</v>
      </c>
      <c r="D7015" s="26" t="s">
        <v>82</v>
      </c>
      <c r="E7015" s="31">
        <v>46243.0</v>
      </c>
      <c r="F7015" s="26" t="s">
        <v>46</v>
      </c>
      <c r="G7015" s="26">
        <v>9.0</v>
      </c>
      <c r="I7015" s="26" t="s">
        <v>951</v>
      </c>
      <c r="J7015" s="25" t="str">
        <f t="shared" si="79"/>
        <v>No</v>
      </c>
      <c r="K7015" s="25" t="str">
        <f t="shared" si="80"/>
        <v/>
      </c>
      <c r="L7015" s="25" t="str">
        <f t="shared" si="81"/>
        <v/>
      </c>
      <c r="M7015" s="25"/>
      <c r="O7015" s="25"/>
    </row>
    <row r="7016" ht="15.75" customHeight="1">
      <c r="A7016" s="25" t="str">
        <f>IFERROR(__xludf.DUMMYFUNCTION("IF(B7016="""","""",RIGHT(REGEXREPLACE(B7016&amp;"""",""[^0-9]"",""""),9))"),"779674901")</f>
        <v>779674901</v>
      </c>
      <c r="B7016" s="52">
        <v>7.79674901E8</v>
      </c>
      <c r="C7016" s="28" t="s">
        <v>7272</v>
      </c>
      <c r="D7016" s="26" t="s">
        <v>64</v>
      </c>
      <c r="E7016" s="31">
        <v>46243.0</v>
      </c>
      <c r="F7016" s="26" t="s">
        <v>46</v>
      </c>
      <c r="G7016" s="26">
        <v>9.0</v>
      </c>
      <c r="I7016" s="26" t="s">
        <v>951</v>
      </c>
      <c r="J7016" s="25" t="str">
        <f t="shared" si="79"/>
        <v>No</v>
      </c>
      <c r="K7016" s="25" t="str">
        <f t="shared" si="80"/>
        <v/>
      </c>
      <c r="L7016" s="25" t="str">
        <f t="shared" si="81"/>
        <v/>
      </c>
      <c r="M7016" s="25"/>
      <c r="O7016" s="25"/>
    </row>
    <row r="7017" ht="15.75" customHeight="1">
      <c r="A7017" s="25" t="str">
        <f>IFERROR(__xludf.DUMMYFUNCTION("IF(B7017="""","""",RIGHT(REGEXREPLACE(B7017&amp;"""",""[^0-9]"",""""),9))"),"751844844")</f>
        <v>751844844</v>
      </c>
      <c r="B7017" s="52">
        <v>7.51844844E8</v>
      </c>
      <c r="C7017" s="28" t="s">
        <v>6125</v>
      </c>
      <c r="D7017" s="26" t="s">
        <v>56</v>
      </c>
      <c r="E7017" s="31">
        <v>46243.0</v>
      </c>
      <c r="F7017" s="26" t="s">
        <v>46</v>
      </c>
      <c r="G7017" s="26">
        <v>7.0</v>
      </c>
      <c r="I7017" s="26" t="s">
        <v>951</v>
      </c>
      <c r="J7017" s="25" t="str">
        <f t="shared" si="79"/>
        <v>Yes - see Previous F-Code</v>
      </c>
      <c r="K7017" s="25" t="str">
        <f t="shared" si="80"/>
        <v/>
      </c>
      <c r="L7017" s="25" t="str">
        <f t="shared" si="81"/>
        <v>F75532</v>
      </c>
      <c r="M7017" s="25"/>
      <c r="O7017" s="25"/>
    </row>
    <row r="7018" ht="15.75" customHeight="1">
      <c r="A7018" s="25" t="str">
        <f>IFERROR(__xludf.DUMMYFUNCTION("IF(B7018="""","""",RIGHT(REGEXREPLACE(B7018&amp;"""",""[^0-9]"",""""),9))"),"717767580")</f>
        <v>717767580</v>
      </c>
      <c r="B7018" s="52">
        <v>7.1776758E8</v>
      </c>
      <c r="C7018" s="28" t="s">
        <v>7273</v>
      </c>
      <c r="D7018" s="26" t="s">
        <v>49</v>
      </c>
      <c r="E7018" s="31">
        <v>46243.0</v>
      </c>
      <c r="F7018" s="26" t="s">
        <v>46</v>
      </c>
      <c r="G7018" s="26">
        <v>8.0</v>
      </c>
      <c r="H7018" s="26" t="s">
        <v>7274</v>
      </c>
      <c r="I7018" s="26" t="s">
        <v>951</v>
      </c>
      <c r="J7018" s="25" t="str">
        <f t="shared" si="79"/>
        <v>No</v>
      </c>
      <c r="K7018" s="25" t="str">
        <f t="shared" si="80"/>
        <v/>
      </c>
      <c r="L7018" s="25" t="str">
        <f t="shared" si="81"/>
        <v/>
      </c>
      <c r="M7018" s="25"/>
      <c r="O7018" s="25"/>
    </row>
    <row r="7019" ht="15.75" customHeight="1">
      <c r="A7019" s="25" t="str">
        <f>IFERROR(__xludf.DUMMYFUNCTION("IF(B7019="""","""",RIGHT(REGEXREPLACE(B7019&amp;"""",""[^0-9]"",""""),9))"),"766962884")</f>
        <v>766962884</v>
      </c>
      <c r="B7019" s="52">
        <v>7.66962884E8</v>
      </c>
      <c r="C7019" s="28" t="s">
        <v>7275</v>
      </c>
      <c r="D7019" s="26" t="s">
        <v>56</v>
      </c>
      <c r="E7019" s="31">
        <v>46243.0</v>
      </c>
      <c r="F7019" s="26" t="s">
        <v>46</v>
      </c>
      <c r="G7019" s="26" t="s">
        <v>1827</v>
      </c>
      <c r="I7019" s="26" t="s">
        <v>951</v>
      </c>
      <c r="J7019" s="25" t="str">
        <f t="shared" si="79"/>
        <v>No</v>
      </c>
      <c r="K7019" s="25" t="str">
        <f t="shared" si="80"/>
        <v/>
      </c>
      <c r="L7019" s="25" t="str">
        <f t="shared" si="81"/>
        <v/>
      </c>
      <c r="M7019" s="25"/>
      <c r="O7019" s="25"/>
    </row>
    <row r="7020" ht="15.75" customHeight="1">
      <c r="A7020" s="25" t="str">
        <f>IFERROR(__xludf.DUMMYFUNCTION("IF(B7020="""","""",RIGHT(REGEXREPLACE(B7020&amp;"""",""[^0-9]"",""""),9))"),"755253053")</f>
        <v>755253053</v>
      </c>
      <c r="B7020" s="52">
        <v>7.55253053E8</v>
      </c>
      <c r="C7020" s="28" t="s">
        <v>7276</v>
      </c>
      <c r="D7020" s="26" t="s">
        <v>82</v>
      </c>
      <c r="E7020" s="31">
        <v>46243.0</v>
      </c>
      <c r="F7020" s="26" t="s">
        <v>46</v>
      </c>
      <c r="G7020" s="26">
        <v>8.0</v>
      </c>
      <c r="I7020" s="26" t="s">
        <v>951</v>
      </c>
      <c r="J7020" s="25" t="str">
        <f t="shared" si="79"/>
        <v>No</v>
      </c>
      <c r="K7020" s="25" t="str">
        <f t="shared" si="80"/>
        <v/>
      </c>
      <c r="L7020" s="25" t="str">
        <f t="shared" si="81"/>
        <v/>
      </c>
      <c r="M7020" s="25"/>
      <c r="O7020" s="25"/>
    </row>
    <row r="7021" ht="15.75" customHeight="1">
      <c r="A7021" s="25" t="str">
        <f>IFERROR(__xludf.DUMMYFUNCTION("IF(B7021="""","""",RIGHT(REGEXREPLACE(B7021&amp;"""",""[^0-9]"",""""),9))"),"761915909")</f>
        <v>761915909</v>
      </c>
      <c r="B7021" s="52">
        <v>7.61915909E8</v>
      </c>
      <c r="C7021" s="28" t="s">
        <v>7277</v>
      </c>
      <c r="D7021" s="26" t="s">
        <v>45</v>
      </c>
      <c r="E7021" s="31">
        <v>46243.0</v>
      </c>
      <c r="F7021" s="26" t="s">
        <v>46</v>
      </c>
      <c r="G7021" s="26">
        <v>10.0</v>
      </c>
      <c r="I7021" s="26" t="s">
        <v>951</v>
      </c>
      <c r="J7021" s="25" t="str">
        <f t="shared" si="79"/>
        <v>No</v>
      </c>
      <c r="K7021" s="25" t="str">
        <f t="shared" si="80"/>
        <v/>
      </c>
      <c r="L7021" s="25" t="str">
        <f t="shared" si="81"/>
        <v/>
      </c>
      <c r="M7021" s="25"/>
      <c r="O7021" s="25"/>
    </row>
    <row r="7022" ht="15.75" customHeight="1">
      <c r="A7022" s="25" t="str">
        <f>IFERROR(__xludf.DUMMYFUNCTION("IF(B7022="""","""",RIGHT(REGEXREPLACE(B7022&amp;"""",""[^0-9]"",""""),9))"),"717871582")</f>
        <v>717871582</v>
      </c>
      <c r="B7022" s="52">
        <v>7.17871582E8</v>
      </c>
      <c r="C7022" s="28" t="s">
        <v>7278</v>
      </c>
      <c r="D7022" s="26" t="s">
        <v>64</v>
      </c>
      <c r="E7022" s="31">
        <v>46243.0</v>
      </c>
      <c r="F7022" s="26" t="s">
        <v>46</v>
      </c>
      <c r="G7022" s="26">
        <v>7.0</v>
      </c>
      <c r="I7022" s="26" t="s">
        <v>951</v>
      </c>
      <c r="J7022" s="25" t="str">
        <f t="shared" si="79"/>
        <v>No</v>
      </c>
      <c r="K7022" s="25" t="str">
        <f t="shared" si="80"/>
        <v/>
      </c>
      <c r="L7022" s="25" t="str">
        <f t="shared" si="81"/>
        <v/>
      </c>
      <c r="M7022" s="25"/>
      <c r="O7022" s="25"/>
    </row>
    <row r="7023" ht="15.75" customHeight="1">
      <c r="A7023" s="25" t="str">
        <f>IFERROR(__xludf.DUMMYFUNCTION("IF(B7023="""","""",RIGHT(REGEXREPLACE(B7023&amp;"""",""[^0-9]"",""""),9))"),"786620830")</f>
        <v>786620830</v>
      </c>
      <c r="B7023" s="52">
        <v>7.8662083E8</v>
      </c>
      <c r="C7023" s="28" t="s">
        <v>7279</v>
      </c>
      <c r="D7023" s="26" t="s">
        <v>49</v>
      </c>
      <c r="E7023" s="31">
        <v>46243.0</v>
      </c>
      <c r="F7023" s="26" t="s">
        <v>41</v>
      </c>
      <c r="G7023" s="26">
        <v>9.0</v>
      </c>
      <c r="I7023" s="26" t="s">
        <v>951</v>
      </c>
      <c r="J7023" s="25" t="str">
        <f t="shared" si="79"/>
        <v>No</v>
      </c>
      <c r="K7023" s="25" t="str">
        <f t="shared" si="80"/>
        <v/>
      </c>
      <c r="L7023" s="25" t="str">
        <f t="shared" si="81"/>
        <v/>
      </c>
      <c r="M7023" s="25"/>
      <c r="O7023" s="25"/>
    </row>
    <row r="7024" ht="15.75" customHeight="1">
      <c r="A7024" s="25" t="str">
        <f>IFERROR(__xludf.DUMMYFUNCTION("IF(B7024="""","""",RIGHT(REGEXREPLACE(B7024&amp;"""",""[^0-9]"",""""),9))"),"701965199")</f>
        <v>701965199</v>
      </c>
      <c r="B7024" s="52">
        <v>7.01965199E8</v>
      </c>
      <c r="C7024" s="28" t="s">
        <v>7280</v>
      </c>
      <c r="D7024" s="26" t="s">
        <v>45</v>
      </c>
      <c r="E7024" s="31">
        <v>46243.0</v>
      </c>
      <c r="F7024" s="26" t="s">
        <v>205</v>
      </c>
      <c r="I7024" s="26" t="s">
        <v>951</v>
      </c>
      <c r="J7024" s="25" t="str">
        <f t="shared" si="79"/>
        <v>No</v>
      </c>
      <c r="K7024" s="25" t="str">
        <f t="shared" si="80"/>
        <v/>
      </c>
      <c r="L7024" s="25" t="str">
        <f t="shared" si="81"/>
        <v/>
      </c>
      <c r="M7024" s="25"/>
      <c r="O7024" s="26" t="s">
        <v>51</v>
      </c>
    </row>
    <row r="7025" ht="15.75" customHeight="1">
      <c r="A7025" s="25" t="str">
        <f>IFERROR(__xludf.DUMMYFUNCTION("IF(B7025="""","""",RIGHT(REGEXREPLACE(B7025&amp;"""",""[^0-9]"",""""),9))"),"702927430")</f>
        <v>702927430</v>
      </c>
      <c r="B7025" s="52">
        <v>7.0292743E8</v>
      </c>
      <c r="C7025" s="28" t="s">
        <v>7281</v>
      </c>
      <c r="D7025" s="26" t="s">
        <v>64</v>
      </c>
      <c r="E7025" s="31">
        <v>46243.0</v>
      </c>
      <c r="F7025" s="26" t="s">
        <v>205</v>
      </c>
      <c r="I7025" s="26" t="s">
        <v>951</v>
      </c>
      <c r="J7025" s="25" t="str">
        <f t="shared" si="79"/>
        <v>No</v>
      </c>
      <c r="K7025" s="25" t="str">
        <f t="shared" si="80"/>
        <v/>
      </c>
      <c r="L7025" s="25" t="str">
        <f t="shared" si="81"/>
        <v/>
      </c>
      <c r="M7025" s="25"/>
      <c r="O7025" s="25"/>
    </row>
    <row r="7026" ht="15.75" customHeight="1">
      <c r="A7026" s="25" t="str">
        <f>IFERROR(__xludf.DUMMYFUNCTION("IF(B7026="""","""",RIGHT(REGEXREPLACE(B7026&amp;"""",""[^0-9]"",""""),9))"),"779457601")</f>
        <v>779457601</v>
      </c>
      <c r="B7026" s="52">
        <v>7.79457601E8</v>
      </c>
      <c r="C7026" s="28" t="s">
        <v>7282</v>
      </c>
      <c r="D7026" s="26" t="s">
        <v>45</v>
      </c>
      <c r="E7026" s="31">
        <v>46243.0</v>
      </c>
      <c r="F7026" s="26" t="s">
        <v>46</v>
      </c>
      <c r="G7026" s="26">
        <v>11.0</v>
      </c>
      <c r="I7026" s="26" t="s">
        <v>951</v>
      </c>
      <c r="J7026" s="25" t="str">
        <f t="shared" si="79"/>
        <v>No</v>
      </c>
      <c r="K7026" s="25" t="str">
        <f t="shared" si="80"/>
        <v/>
      </c>
      <c r="L7026" s="25" t="str">
        <f t="shared" si="81"/>
        <v/>
      </c>
      <c r="M7026" s="25"/>
      <c r="O7026" s="25"/>
    </row>
    <row r="7027" ht="15.75" customHeight="1">
      <c r="A7027" s="25" t="str">
        <f>IFERROR(__xludf.DUMMYFUNCTION("IF(B7027="""","""",RIGHT(REGEXREPLACE(B7027&amp;"""",""[^0-9]"",""""),9))"),"753310133")</f>
        <v>753310133</v>
      </c>
      <c r="B7027" s="52">
        <v>7.53310133E8</v>
      </c>
      <c r="C7027" s="28" t="s">
        <v>7283</v>
      </c>
      <c r="D7027" s="26" t="s">
        <v>82</v>
      </c>
      <c r="E7027" s="31">
        <v>46243.0</v>
      </c>
      <c r="F7027" s="26" t="s">
        <v>46</v>
      </c>
      <c r="G7027" s="26">
        <v>9.0</v>
      </c>
      <c r="I7027" s="26" t="s">
        <v>951</v>
      </c>
      <c r="J7027" s="25" t="str">
        <f t="shared" si="79"/>
        <v>No</v>
      </c>
      <c r="K7027" s="25" t="str">
        <f t="shared" si="80"/>
        <v/>
      </c>
      <c r="L7027" s="25" t="str">
        <f t="shared" si="81"/>
        <v/>
      </c>
      <c r="M7027" s="25"/>
      <c r="O7027" s="25"/>
    </row>
    <row r="7028" ht="15.75" customHeight="1">
      <c r="A7028" s="25" t="str">
        <f>IFERROR(__xludf.DUMMYFUNCTION("IF(B7028="""","""",RIGHT(REGEXREPLACE(B7028&amp;"""",""[^0-9]"",""""),9))"),"766296014")</f>
        <v>766296014</v>
      </c>
      <c r="B7028" s="52">
        <v>7.66296014E8</v>
      </c>
      <c r="C7028" s="28" t="s">
        <v>7284</v>
      </c>
      <c r="D7028" s="26" t="s">
        <v>82</v>
      </c>
      <c r="E7028" s="31">
        <v>46243.0</v>
      </c>
      <c r="F7028" s="26" t="s">
        <v>46</v>
      </c>
      <c r="H7028" s="26" t="s">
        <v>7285</v>
      </c>
      <c r="I7028" s="26" t="s">
        <v>951</v>
      </c>
      <c r="J7028" s="25" t="str">
        <f t="shared" si="79"/>
        <v>No</v>
      </c>
      <c r="K7028" s="25" t="str">
        <f t="shared" si="80"/>
        <v/>
      </c>
      <c r="L7028" s="25" t="str">
        <f t="shared" si="81"/>
        <v/>
      </c>
      <c r="M7028" s="25"/>
      <c r="O7028" s="25"/>
    </row>
    <row r="7029" ht="15.75" customHeight="1">
      <c r="A7029" s="25" t="str">
        <f>IFERROR(__xludf.DUMMYFUNCTION("IF(B7029="""","""",RIGHT(REGEXREPLACE(B7029&amp;"""",""[^0-9]"",""""),9))"),"719024071")</f>
        <v>719024071</v>
      </c>
      <c r="B7029" s="52">
        <v>7.19024071E8</v>
      </c>
      <c r="C7029" s="28" t="s">
        <v>7286</v>
      </c>
      <c r="D7029" s="26" t="s">
        <v>56</v>
      </c>
      <c r="E7029" s="31">
        <v>46243.0</v>
      </c>
      <c r="F7029" s="26" t="s">
        <v>46</v>
      </c>
      <c r="G7029" s="26">
        <v>9.0</v>
      </c>
      <c r="I7029" s="26" t="s">
        <v>951</v>
      </c>
      <c r="J7029" s="25" t="str">
        <f t="shared" si="79"/>
        <v>No</v>
      </c>
      <c r="K7029" s="25" t="str">
        <f t="shared" si="80"/>
        <v/>
      </c>
      <c r="L7029" s="25" t="str">
        <f t="shared" si="81"/>
        <v/>
      </c>
      <c r="M7029" s="25"/>
      <c r="O7029" s="25"/>
    </row>
    <row r="7030" ht="15.75" customHeight="1">
      <c r="A7030" s="25" t="str">
        <f>IFERROR(__xludf.DUMMYFUNCTION("IF(B7030="""","""",RIGHT(REGEXREPLACE(B7030&amp;"""",""[^0-9]"",""""),9))"),"707708777")</f>
        <v>707708777</v>
      </c>
      <c r="B7030" s="52">
        <v>7.07708777E8</v>
      </c>
      <c r="C7030" s="28" t="s">
        <v>7287</v>
      </c>
      <c r="D7030" s="26" t="s">
        <v>49</v>
      </c>
      <c r="E7030" s="31">
        <v>46243.0</v>
      </c>
      <c r="F7030" s="26" t="s">
        <v>46</v>
      </c>
      <c r="G7030" s="26">
        <v>9.0</v>
      </c>
      <c r="H7030" s="26" t="s">
        <v>7288</v>
      </c>
      <c r="I7030" s="26" t="s">
        <v>951</v>
      </c>
      <c r="J7030" s="25" t="str">
        <f t="shared" si="79"/>
        <v>No</v>
      </c>
      <c r="K7030" s="25" t="str">
        <f t="shared" si="80"/>
        <v/>
      </c>
      <c r="L7030" s="25" t="str">
        <f t="shared" si="81"/>
        <v/>
      </c>
      <c r="M7030" s="25"/>
      <c r="O7030" s="25"/>
    </row>
    <row r="7031" ht="15.75" customHeight="1">
      <c r="A7031" s="25" t="str">
        <f>IFERROR(__xludf.DUMMYFUNCTION("IF(B7031="""","""",RIGHT(REGEXREPLACE(B7031&amp;"""",""[^0-9]"",""""),9))"),"729494766")</f>
        <v>729494766</v>
      </c>
      <c r="B7031" s="52">
        <v>7.29494766E8</v>
      </c>
      <c r="C7031" s="28" t="s">
        <v>7289</v>
      </c>
      <c r="D7031" s="26" t="s">
        <v>64</v>
      </c>
      <c r="E7031" s="31">
        <v>46243.0</v>
      </c>
      <c r="F7031" s="26" t="s">
        <v>46</v>
      </c>
      <c r="G7031" s="26">
        <v>9.0</v>
      </c>
      <c r="I7031" s="26" t="s">
        <v>951</v>
      </c>
      <c r="J7031" s="25" t="str">
        <f t="shared" si="79"/>
        <v>No</v>
      </c>
      <c r="K7031" s="25" t="str">
        <f t="shared" si="80"/>
        <v/>
      </c>
      <c r="L7031" s="25" t="str">
        <f t="shared" si="81"/>
        <v/>
      </c>
      <c r="M7031" s="25"/>
      <c r="O7031" s="25"/>
    </row>
    <row r="7032" ht="15.75" customHeight="1">
      <c r="A7032" s="25" t="str">
        <f>IFERROR(__xludf.DUMMYFUNCTION("IF(B7032="""","""",RIGHT(REGEXREPLACE(B7032&amp;"""",""[^0-9]"",""""),9))"),"772458879")</f>
        <v>772458879</v>
      </c>
      <c r="B7032" s="52">
        <v>7.72458879E8</v>
      </c>
      <c r="C7032" s="28" t="s">
        <v>7290</v>
      </c>
      <c r="D7032" s="26" t="s">
        <v>45</v>
      </c>
      <c r="E7032" s="31">
        <v>46243.0</v>
      </c>
      <c r="F7032" s="26" t="s">
        <v>46</v>
      </c>
      <c r="G7032" s="26">
        <v>9.0</v>
      </c>
      <c r="I7032" s="26" t="s">
        <v>951</v>
      </c>
      <c r="J7032" s="25" t="str">
        <f t="shared" si="79"/>
        <v>No</v>
      </c>
      <c r="K7032" s="25" t="str">
        <f t="shared" si="80"/>
        <v/>
      </c>
      <c r="L7032" s="25" t="str">
        <f t="shared" si="81"/>
        <v/>
      </c>
      <c r="M7032" s="25"/>
      <c r="O7032" s="25"/>
    </row>
    <row r="7033" ht="15.75" customHeight="1">
      <c r="A7033" s="25" t="str">
        <f>IFERROR(__xludf.DUMMYFUNCTION("IF(B7033="""","""",RIGHT(REGEXREPLACE(B7033&amp;"""",""[^0-9]"",""""),9))"),"774969555")</f>
        <v>774969555</v>
      </c>
      <c r="B7033" s="52">
        <v>7.74969555E8</v>
      </c>
      <c r="C7033" s="28" t="s">
        <v>7291</v>
      </c>
      <c r="D7033" s="26" t="s">
        <v>49</v>
      </c>
      <c r="E7033" s="31">
        <v>46243.0</v>
      </c>
      <c r="F7033" s="26" t="s">
        <v>46</v>
      </c>
      <c r="G7033" s="26">
        <v>11.0</v>
      </c>
      <c r="H7033" s="117" t="s">
        <v>7292</v>
      </c>
      <c r="I7033" s="26" t="s">
        <v>951</v>
      </c>
      <c r="J7033" s="25" t="str">
        <f t="shared" si="79"/>
        <v>No</v>
      </c>
      <c r="K7033" s="25" t="str">
        <f t="shared" si="80"/>
        <v/>
      </c>
      <c r="L7033" s="25" t="str">
        <f t="shared" si="81"/>
        <v/>
      </c>
      <c r="M7033" s="25"/>
      <c r="O7033" s="25"/>
    </row>
    <row r="7034" ht="15.75" customHeight="1">
      <c r="A7034" s="25" t="str">
        <f>IFERROR(__xludf.DUMMYFUNCTION("IF(B7034="""","""",RIGHT(REGEXREPLACE(B7034&amp;"""",""[^0-9]"",""""),9))"),"713692074")</f>
        <v>713692074</v>
      </c>
      <c r="B7034" s="52">
        <v>7.13692074E8</v>
      </c>
      <c r="C7034" s="28" t="s">
        <v>7293</v>
      </c>
      <c r="D7034" s="26" t="s">
        <v>56</v>
      </c>
      <c r="E7034" s="31">
        <v>46243.0</v>
      </c>
      <c r="F7034" s="26" t="s">
        <v>41</v>
      </c>
      <c r="I7034" s="26" t="s">
        <v>951</v>
      </c>
      <c r="J7034" s="25" t="str">
        <f t="shared" si="79"/>
        <v>No</v>
      </c>
      <c r="K7034" s="25" t="str">
        <f t="shared" si="80"/>
        <v/>
      </c>
      <c r="L7034" s="25" t="str">
        <f t="shared" si="81"/>
        <v/>
      </c>
      <c r="M7034" s="25"/>
      <c r="O7034" s="25"/>
    </row>
    <row r="7035" ht="15.75" customHeight="1">
      <c r="A7035" s="25" t="str">
        <f>IFERROR(__xludf.DUMMYFUNCTION("IF(B7035="""","""",RIGHT(REGEXREPLACE(B7035&amp;"""",""[^0-9]"",""""),9))"),"774206465")</f>
        <v>774206465</v>
      </c>
      <c r="B7035" s="52">
        <v>7.74206465E8</v>
      </c>
      <c r="C7035" s="28" t="s">
        <v>7294</v>
      </c>
      <c r="D7035" s="26" t="s">
        <v>64</v>
      </c>
      <c r="E7035" s="31">
        <v>46243.0</v>
      </c>
      <c r="F7035" s="26" t="s">
        <v>205</v>
      </c>
      <c r="I7035" s="26" t="s">
        <v>951</v>
      </c>
      <c r="J7035" s="25" t="str">
        <f t="shared" si="79"/>
        <v>No</v>
      </c>
      <c r="K7035" s="25" t="str">
        <f t="shared" si="80"/>
        <v/>
      </c>
      <c r="L7035" s="25" t="str">
        <f t="shared" si="81"/>
        <v/>
      </c>
      <c r="M7035" s="25"/>
      <c r="O7035" s="25"/>
    </row>
    <row r="7036" ht="15.75" customHeight="1">
      <c r="A7036" s="25" t="str">
        <f>IFERROR(__xludf.DUMMYFUNCTION("IF(B7036="""","""",RIGHT(REGEXREPLACE(B7036&amp;"""",""[^0-9]"",""""),9))"),"769499237")</f>
        <v>769499237</v>
      </c>
      <c r="B7036" s="52">
        <v>7.69499237E8</v>
      </c>
      <c r="C7036" s="28" t="s">
        <v>7295</v>
      </c>
      <c r="D7036" s="26" t="s">
        <v>82</v>
      </c>
      <c r="E7036" s="31">
        <v>46243.0</v>
      </c>
      <c r="F7036" s="26" t="s">
        <v>41</v>
      </c>
      <c r="G7036" s="26">
        <v>9.0</v>
      </c>
      <c r="I7036" s="26" t="s">
        <v>951</v>
      </c>
      <c r="J7036" s="25" t="str">
        <f t="shared" si="79"/>
        <v>No</v>
      </c>
      <c r="K7036" s="25" t="str">
        <f t="shared" si="80"/>
        <v/>
      </c>
      <c r="L7036" s="25" t="str">
        <f t="shared" si="81"/>
        <v/>
      </c>
      <c r="M7036" s="25"/>
      <c r="O7036" s="25"/>
    </row>
    <row r="7037" ht="15.75" customHeight="1">
      <c r="A7037" s="25" t="str">
        <f>IFERROR(__xludf.DUMMYFUNCTION("IF(B7037="""","""",RIGHT(REGEXREPLACE(B7037&amp;"""",""[^0-9]"",""""),9))"),"779466715")</f>
        <v>779466715</v>
      </c>
      <c r="B7037" s="52">
        <v>7.79466715E8</v>
      </c>
      <c r="C7037" s="28" t="s">
        <v>7296</v>
      </c>
      <c r="D7037" s="26" t="s">
        <v>56</v>
      </c>
      <c r="E7037" s="31">
        <v>46243.0</v>
      </c>
      <c r="F7037" s="26" t="s">
        <v>41</v>
      </c>
      <c r="G7037" s="26">
        <v>9.0</v>
      </c>
      <c r="I7037" s="26" t="s">
        <v>951</v>
      </c>
      <c r="J7037" s="25" t="str">
        <f t="shared" si="79"/>
        <v>No</v>
      </c>
      <c r="K7037" s="25" t="str">
        <f t="shared" si="80"/>
        <v/>
      </c>
      <c r="L7037" s="25" t="str">
        <f t="shared" si="81"/>
        <v/>
      </c>
      <c r="M7037" s="25"/>
      <c r="O7037" s="26" t="s">
        <v>51</v>
      </c>
    </row>
    <row r="7038" ht="15.75" customHeight="1">
      <c r="A7038" s="25" t="str">
        <f>IFERROR(__xludf.DUMMYFUNCTION("IF(B7038="""","""",RIGHT(REGEXREPLACE(B7038&amp;"""",""[^0-9]"",""""),9))"),"702191216")</f>
        <v>702191216</v>
      </c>
      <c r="B7038" s="52">
        <v>7.02191216E8</v>
      </c>
      <c r="C7038" s="28" t="s">
        <v>7297</v>
      </c>
      <c r="D7038" s="26" t="s">
        <v>49</v>
      </c>
      <c r="E7038" s="31">
        <v>46243.0</v>
      </c>
      <c r="F7038" s="26" t="s">
        <v>46</v>
      </c>
      <c r="G7038" s="26">
        <v>8.0</v>
      </c>
      <c r="I7038" s="26" t="s">
        <v>951</v>
      </c>
      <c r="J7038" s="25" t="str">
        <f t="shared" si="79"/>
        <v>No</v>
      </c>
      <c r="K7038" s="25" t="str">
        <f t="shared" si="80"/>
        <v/>
      </c>
      <c r="L7038" s="25" t="str">
        <f t="shared" si="81"/>
        <v/>
      </c>
      <c r="M7038" s="25"/>
      <c r="O7038" s="25"/>
    </row>
    <row r="7039" ht="15.75" customHeight="1">
      <c r="A7039" s="25" t="str">
        <f>IFERROR(__xludf.DUMMYFUNCTION("IF(B7039="""","""",RIGHT(REGEXREPLACE(B7039&amp;"""",""[^0-9]"",""""),9))"),"778088889")</f>
        <v>778088889</v>
      </c>
      <c r="B7039" s="52">
        <v>7.78088889E8</v>
      </c>
      <c r="C7039" s="28" t="s">
        <v>7298</v>
      </c>
      <c r="D7039" s="26" t="s">
        <v>64</v>
      </c>
      <c r="E7039" s="31">
        <v>46243.0</v>
      </c>
      <c r="F7039" s="26" t="s">
        <v>46</v>
      </c>
      <c r="G7039" s="26" t="s">
        <v>6296</v>
      </c>
      <c r="I7039" s="26" t="s">
        <v>951</v>
      </c>
      <c r="J7039" s="25" t="str">
        <f t="shared" si="79"/>
        <v>No</v>
      </c>
      <c r="K7039" s="25" t="str">
        <f t="shared" si="80"/>
        <v/>
      </c>
      <c r="L7039" s="25" t="str">
        <f t="shared" si="81"/>
        <v/>
      </c>
      <c r="M7039" s="25"/>
      <c r="O7039" s="25"/>
    </row>
    <row r="7040" ht="15.75" customHeight="1">
      <c r="A7040" s="25" t="str">
        <f>IFERROR(__xludf.DUMMYFUNCTION("IF(B7040="""","""",RIGHT(REGEXREPLACE(B7040&amp;"""",""[^0-9]"",""""),9))"),"779111443")</f>
        <v>779111443</v>
      </c>
      <c r="B7040" s="52">
        <v>7.79111443E8</v>
      </c>
      <c r="C7040" s="28" t="s">
        <v>7299</v>
      </c>
      <c r="D7040" s="26" t="s">
        <v>82</v>
      </c>
      <c r="E7040" s="31">
        <v>46243.0</v>
      </c>
      <c r="F7040" s="26" t="s">
        <v>46</v>
      </c>
      <c r="G7040" s="26">
        <v>9.0</v>
      </c>
      <c r="I7040" s="26" t="s">
        <v>951</v>
      </c>
      <c r="J7040" s="25" t="str">
        <f t="shared" si="79"/>
        <v>No</v>
      </c>
      <c r="K7040" s="25" t="str">
        <f t="shared" si="80"/>
        <v/>
      </c>
      <c r="L7040" s="25" t="str">
        <f t="shared" si="81"/>
        <v/>
      </c>
      <c r="M7040" s="25"/>
      <c r="O7040" s="25"/>
    </row>
    <row r="7041" ht="15.75" customHeight="1">
      <c r="A7041" s="25" t="str">
        <f>IFERROR(__xludf.DUMMYFUNCTION("IF(B7041="""","""",RIGHT(REGEXREPLACE(B7041&amp;"""",""[^0-9]"",""""),9))"),"714302834")</f>
        <v>714302834</v>
      </c>
      <c r="B7041" s="52">
        <v>7.14302834E8</v>
      </c>
      <c r="C7041" s="28" t="s">
        <v>7300</v>
      </c>
      <c r="D7041" s="26" t="s">
        <v>45</v>
      </c>
      <c r="E7041" s="31">
        <v>46243.0</v>
      </c>
      <c r="F7041" s="26" t="s">
        <v>84</v>
      </c>
      <c r="G7041" s="26">
        <v>9.0</v>
      </c>
      <c r="I7041" s="26" t="s">
        <v>951</v>
      </c>
      <c r="J7041" s="25" t="str">
        <f t="shared" si="79"/>
        <v>No</v>
      </c>
      <c r="K7041" s="25" t="str">
        <f t="shared" si="80"/>
        <v/>
      </c>
      <c r="L7041" s="25" t="str">
        <f t="shared" si="81"/>
        <v/>
      </c>
      <c r="M7041" s="25"/>
      <c r="O7041" s="25"/>
    </row>
    <row r="7042" ht="15.75" customHeight="1">
      <c r="A7042" s="25" t="str">
        <f>IFERROR(__xludf.DUMMYFUNCTION("IF(B7042="""","""",RIGHT(REGEXREPLACE(B7042&amp;"""",""[^0-9]"",""""),9))"),"779420461")</f>
        <v>779420461</v>
      </c>
      <c r="B7042" s="52">
        <v>7.79420461E8</v>
      </c>
      <c r="C7042" s="28" t="s">
        <v>7301</v>
      </c>
      <c r="D7042" s="26" t="s">
        <v>56</v>
      </c>
      <c r="E7042" s="31">
        <v>46243.0</v>
      </c>
      <c r="F7042" s="26" t="s">
        <v>46</v>
      </c>
      <c r="G7042" s="26">
        <v>9.0</v>
      </c>
      <c r="I7042" s="26" t="s">
        <v>951</v>
      </c>
      <c r="J7042" s="25" t="str">
        <f t="shared" si="79"/>
        <v>No</v>
      </c>
      <c r="K7042" s="25" t="str">
        <f t="shared" si="80"/>
        <v/>
      </c>
      <c r="L7042" s="25" t="str">
        <f t="shared" si="81"/>
        <v/>
      </c>
      <c r="M7042" s="25"/>
      <c r="O7042" s="25"/>
    </row>
    <row r="7043" ht="15.75" customHeight="1">
      <c r="A7043" s="25" t="str">
        <f>IFERROR(__xludf.DUMMYFUNCTION("IF(B7043="""","""",RIGHT(REGEXREPLACE(B7043&amp;"""",""[^0-9]"",""""),9))"),"776344984")</f>
        <v>776344984</v>
      </c>
      <c r="B7043" s="52">
        <v>7.76344984E8</v>
      </c>
      <c r="C7043" s="28" t="s">
        <v>7302</v>
      </c>
      <c r="D7043" s="26" t="s">
        <v>49</v>
      </c>
      <c r="E7043" s="31">
        <v>46243.0</v>
      </c>
      <c r="F7043" s="26" t="s">
        <v>205</v>
      </c>
      <c r="I7043" s="26" t="s">
        <v>951</v>
      </c>
      <c r="J7043" s="25" t="str">
        <f t="shared" si="79"/>
        <v>No</v>
      </c>
      <c r="K7043" s="25" t="str">
        <f t="shared" si="80"/>
        <v/>
      </c>
      <c r="L7043" s="25" t="str">
        <f t="shared" si="81"/>
        <v/>
      </c>
      <c r="M7043" s="25"/>
      <c r="O7043" s="25"/>
    </row>
    <row r="7044" ht="15.75" customHeight="1">
      <c r="A7044" s="25" t="str">
        <f>IFERROR(__xludf.DUMMYFUNCTION("IF(B7044="""","""",RIGHT(REGEXREPLACE(B7044&amp;"""",""[^0-9]"",""""),9))"),"765244221")</f>
        <v>765244221</v>
      </c>
      <c r="B7044" s="52">
        <v>7.65244221E8</v>
      </c>
      <c r="C7044" s="28" t="s">
        <v>7303</v>
      </c>
      <c r="D7044" s="26" t="s">
        <v>82</v>
      </c>
      <c r="E7044" s="31">
        <v>46243.0</v>
      </c>
      <c r="F7044" s="26" t="s">
        <v>46</v>
      </c>
      <c r="G7044" s="26">
        <v>10.0</v>
      </c>
      <c r="I7044" s="26" t="s">
        <v>951</v>
      </c>
      <c r="J7044" s="25" t="str">
        <f t="shared" si="79"/>
        <v>No</v>
      </c>
      <c r="K7044" s="25" t="str">
        <f t="shared" si="80"/>
        <v/>
      </c>
      <c r="L7044" s="25" t="str">
        <f t="shared" si="81"/>
        <v/>
      </c>
      <c r="M7044" s="25"/>
      <c r="O7044" s="25"/>
    </row>
    <row r="7045" ht="15.75" customHeight="1">
      <c r="A7045" s="25" t="str">
        <f>IFERROR(__xludf.DUMMYFUNCTION("IF(B7045="""","""",RIGHT(REGEXREPLACE(B7045&amp;"""",""[^0-9]"",""""),9))"),"762759140")</f>
        <v>762759140</v>
      </c>
      <c r="B7045" s="52">
        <v>7.6275914E8</v>
      </c>
      <c r="C7045" s="28" t="s">
        <v>7304</v>
      </c>
      <c r="D7045" s="26" t="s">
        <v>49</v>
      </c>
      <c r="E7045" s="31">
        <v>46243.0</v>
      </c>
      <c r="F7045" s="26" t="s">
        <v>164</v>
      </c>
      <c r="G7045" s="26">
        <v>8.0</v>
      </c>
      <c r="I7045" s="26" t="s">
        <v>951</v>
      </c>
      <c r="J7045" s="25" t="str">
        <f t="shared" si="79"/>
        <v>No</v>
      </c>
      <c r="K7045" s="25" t="str">
        <f t="shared" si="80"/>
        <v/>
      </c>
      <c r="L7045" s="25" t="str">
        <f t="shared" si="81"/>
        <v/>
      </c>
      <c r="M7045" s="25"/>
      <c r="O7045" s="25"/>
    </row>
    <row r="7046" ht="15.75" customHeight="1">
      <c r="A7046" s="25" t="str">
        <f>IFERROR(__xludf.DUMMYFUNCTION("IF(B7046="""","""",RIGHT(REGEXREPLACE(B7046&amp;"""",""[^0-9]"",""""),9))"),"754293359")</f>
        <v>754293359</v>
      </c>
      <c r="B7046" s="52">
        <v>7.54293359E8</v>
      </c>
      <c r="C7046" s="28" t="s">
        <v>7305</v>
      </c>
      <c r="D7046" s="26" t="s">
        <v>56</v>
      </c>
      <c r="E7046" s="31">
        <v>46243.0</v>
      </c>
      <c r="F7046" s="26" t="s">
        <v>41</v>
      </c>
      <c r="I7046" s="26" t="s">
        <v>951</v>
      </c>
      <c r="J7046" s="25" t="str">
        <f t="shared" si="79"/>
        <v>No</v>
      </c>
      <c r="K7046" s="25" t="str">
        <f t="shared" si="80"/>
        <v/>
      </c>
      <c r="L7046" s="25" t="str">
        <f t="shared" si="81"/>
        <v/>
      </c>
      <c r="M7046" s="25"/>
      <c r="O7046" s="25"/>
    </row>
    <row r="7047" ht="15.75" customHeight="1">
      <c r="A7047" s="25" t="str">
        <f>IFERROR(__xludf.DUMMYFUNCTION("IF(B7047="""","""",RIGHT(REGEXREPLACE(B7047&amp;"""",""[^0-9]"",""""),9))"),"750116986")</f>
        <v>750116986</v>
      </c>
      <c r="B7047" s="52">
        <v>7.50116986E8</v>
      </c>
      <c r="C7047" s="28" t="s">
        <v>7306</v>
      </c>
      <c r="D7047" s="26" t="s">
        <v>64</v>
      </c>
      <c r="E7047" s="31">
        <v>46243.0</v>
      </c>
      <c r="F7047" s="26" t="s">
        <v>41</v>
      </c>
      <c r="I7047" s="26" t="s">
        <v>951</v>
      </c>
      <c r="J7047" s="25" t="str">
        <f t="shared" si="79"/>
        <v>No</v>
      </c>
      <c r="K7047" s="25" t="str">
        <f t="shared" si="80"/>
        <v/>
      </c>
      <c r="L7047" s="25" t="str">
        <f t="shared" si="81"/>
        <v/>
      </c>
      <c r="M7047" s="25"/>
      <c r="O7047" s="25"/>
    </row>
    <row r="7048" ht="15.75" customHeight="1">
      <c r="A7048" s="25" t="str">
        <f>IFERROR(__xludf.DUMMYFUNCTION("IF(B7048="""","""",RIGHT(REGEXREPLACE(B7048&amp;"""",""[^0-9]"",""""),9))"),"762720045")</f>
        <v>762720045</v>
      </c>
      <c r="B7048" s="52">
        <v>7.62720045E8</v>
      </c>
      <c r="C7048" s="28" t="s">
        <v>7307</v>
      </c>
      <c r="D7048" s="26" t="s">
        <v>82</v>
      </c>
      <c r="E7048" s="31">
        <v>46243.0</v>
      </c>
      <c r="F7048" s="26" t="s">
        <v>46</v>
      </c>
      <c r="G7048" s="26">
        <v>9.0</v>
      </c>
      <c r="H7048" s="26" t="s">
        <v>7308</v>
      </c>
      <c r="I7048" s="26" t="s">
        <v>951</v>
      </c>
      <c r="J7048" s="25" t="str">
        <f t="shared" si="79"/>
        <v>No</v>
      </c>
      <c r="K7048" s="25" t="str">
        <f t="shared" si="80"/>
        <v/>
      </c>
      <c r="L7048" s="25" t="str">
        <f t="shared" si="81"/>
        <v/>
      </c>
      <c r="M7048" s="25"/>
      <c r="O7048" s="25"/>
    </row>
    <row r="7049" ht="15.75" customHeight="1">
      <c r="A7049" s="25" t="str">
        <f>IFERROR(__xludf.DUMMYFUNCTION("IF(B7049="""","""",RIGHT(REGEXREPLACE(B7049&amp;"""",""[^0-9]"",""""),9))"),"772814022")</f>
        <v>772814022</v>
      </c>
      <c r="B7049" s="52">
        <v>7.72814022E8</v>
      </c>
      <c r="C7049" s="28" t="s">
        <v>7309</v>
      </c>
      <c r="D7049" s="26" t="s">
        <v>49</v>
      </c>
      <c r="E7049" s="31">
        <v>46243.0</v>
      </c>
      <c r="F7049" s="26" t="s">
        <v>46</v>
      </c>
      <c r="G7049" s="26">
        <v>9.0</v>
      </c>
      <c r="H7049" s="26" t="s">
        <v>7310</v>
      </c>
      <c r="I7049" s="26" t="s">
        <v>951</v>
      </c>
      <c r="J7049" s="25" t="str">
        <f t="shared" si="79"/>
        <v>No</v>
      </c>
      <c r="K7049" s="25" t="str">
        <f t="shared" si="80"/>
        <v/>
      </c>
      <c r="L7049" s="25" t="str">
        <f t="shared" si="81"/>
        <v/>
      </c>
      <c r="M7049" s="25"/>
      <c r="O7049" s="25"/>
    </row>
    <row r="7050" ht="15.75" customHeight="1">
      <c r="A7050" s="25" t="str">
        <f>IFERROR(__xludf.DUMMYFUNCTION("IF(B7050="""","""",RIGHT(REGEXREPLACE(B7050&amp;"""",""[^0-9]"",""""),9))"),"769867114")</f>
        <v>769867114</v>
      </c>
      <c r="B7050" s="52">
        <v>7.69867114E8</v>
      </c>
      <c r="C7050" s="28" t="s">
        <v>7311</v>
      </c>
      <c r="D7050" s="26" t="s">
        <v>45</v>
      </c>
      <c r="E7050" s="31">
        <v>46243.0</v>
      </c>
      <c r="F7050" s="26" t="s">
        <v>41</v>
      </c>
      <c r="G7050" s="26">
        <v>9.0</v>
      </c>
      <c r="I7050" s="26" t="s">
        <v>951</v>
      </c>
      <c r="J7050" s="25" t="str">
        <f t="shared" si="79"/>
        <v>No</v>
      </c>
      <c r="K7050" s="25" t="str">
        <f t="shared" si="80"/>
        <v/>
      </c>
      <c r="L7050" s="25" t="str">
        <f t="shared" si="81"/>
        <v/>
      </c>
      <c r="M7050" s="25"/>
      <c r="O7050" s="25"/>
    </row>
    <row r="7051" ht="15.75" customHeight="1">
      <c r="A7051" s="25" t="str">
        <f>IFERROR(__xludf.DUMMYFUNCTION("IF(B7051="""","""",RIGHT(REGEXREPLACE(B7051&amp;"""",""[^0-9]"",""""),9))"),"774791211")</f>
        <v>774791211</v>
      </c>
      <c r="B7051" s="52">
        <v>7.74791211E8</v>
      </c>
      <c r="C7051" s="28" t="s">
        <v>7312</v>
      </c>
      <c r="D7051" s="26" t="s">
        <v>64</v>
      </c>
      <c r="E7051" s="31">
        <v>46243.0</v>
      </c>
      <c r="F7051" s="26" t="s">
        <v>46</v>
      </c>
      <c r="G7051" s="26">
        <v>9.0</v>
      </c>
      <c r="H7051" s="26" t="s">
        <v>78</v>
      </c>
      <c r="I7051" s="26" t="s">
        <v>951</v>
      </c>
      <c r="J7051" s="25" t="str">
        <f t="shared" si="79"/>
        <v>No</v>
      </c>
      <c r="K7051" s="25" t="str">
        <f t="shared" si="80"/>
        <v/>
      </c>
      <c r="L7051" s="25" t="str">
        <f t="shared" si="81"/>
        <v/>
      </c>
      <c r="M7051" s="25"/>
      <c r="O7051" s="25"/>
    </row>
    <row r="7052" ht="15.75" customHeight="1">
      <c r="A7052" s="25" t="str">
        <f>IFERROR(__xludf.DUMMYFUNCTION("IF(B7052="""","""",RIGHT(REGEXREPLACE(B7052&amp;"""",""[^0-9]"",""""),9))"),"740314003")</f>
        <v>740314003</v>
      </c>
      <c r="B7052" s="52">
        <v>7.40314003E8</v>
      </c>
      <c r="C7052" s="28" t="s">
        <v>7313</v>
      </c>
      <c r="D7052" s="26" t="s">
        <v>82</v>
      </c>
      <c r="E7052" s="31">
        <v>46243.0</v>
      </c>
      <c r="F7052" s="26" t="s">
        <v>46</v>
      </c>
      <c r="G7052" s="26">
        <v>9.0</v>
      </c>
      <c r="I7052" s="26" t="s">
        <v>951</v>
      </c>
      <c r="J7052" s="25" t="str">
        <f t="shared" si="79"/>
        <v>No</v>
      </c>
      <c r="K7052" s="25" t="str">
        <f t="shared" si="80"/>
        <v/>
      </c>
      <c r="L7052" s="25" t="str">
        <f t="shared" si="81"/>
        <v/>
      </c>
      <c r="M7052" s="25"/>
      <c r="O7052" s="26" t="s">
        <v>51</v>
      </c>
    </row>
    <row r="7053" ht="15.75" customHeight="1">
      <c r="A7053" s="25" t="str">
        <f>IFERROR(__xludf.DUMMYFUNCTION("IF(B7053="""","""",RIGHT(REGEXREPLACE(B7053&amp;"""",""[^0-9]"",""""),9))"),"772451845")</f>
        <v>772451845</v>
      </c>
      <c r="B7053" s="52">
        <v>7.72451845E8</v>
      </c>
      <c r="C7053" s="28" t="s">
        <v>7314</v>
      </c>
      <c r="D7053" s="26" t="s">
        <v>45</v>
      </c>
      <c r="E7053" s="31">
        <v>46243.0</v>
      </c>
      <c r="F7053" s="26" t="s">
        <v>46</v>
      </c>
      <c r="G7053" s="26">
        <v>9.0</v>
      </c>
      <c r="I7053" s="26" t="s">
        <v>951</v>
      </c>
      <c r="J7053" s="25" t="str">
        <f t="shared" si="79"/>
        <v>No</v>
      </c>
      <c r="K7053" s="25" t="str">
        <f t="shared" si="80"/>
        <v/>
      </c>
      <c r="L7053" s="25" t="str">
        <f t="shared" si="81"/>
        <v/>
      </c>
      <c r="M7053" s="25"/>
      <c r="O7053" s="25"/>
    </row>
    <row r="7054" ht="15.75" customHeight="1">
      <c r="A7054" s="25" t="str">
        <f>IFERROR(__xludf.DUMMYFUNCTION("IF(B7054="""","""",RIGHT(REGEXREPLACE(B7054&amp;"""",""[^0-9]"",""""),9))"),"724517569")</f>
        <v>724517569</v>
      </c>
      <c r="B7054" s="52">
        <v>7.24517569E8</v>
      </c>
      <c r="C7054" s="28" t="s">
        <v>7315</v>
      </c>
      <c r="D7054" s="26" t="s">
        <v>49</v>
      </c>
      <c r="E7054" s="31">
        <v>46243.0</v>
      </c>
      <c r="F7054" s="26" t="s">
        <v>41</v>
      </c>
      <c r="G7054" s="26">
        <v>5.0</v>
      </c>
      <c r="H7054" s="26" t="s">
        <v>7316</v>
      </c>
      <c r="I7054" s="26" t="s">
        <v>951</v>
      </c>
      <c r="J7054" s="25" t="str">
        <f t="shared" si="79"/>
        <v>No</v>
      </c>
      <c r="K7054" s="25" t="str">
        <f t="shared" si="80"/>
        <v/>
      </c>
      <c r="L7054" s="25" t="str">
        <f t="shared" si="81"/>
        <v/>
      </c>
      <c r="M7054" s="25"/>
      <c r="O7054" s="25"/>
    </row>
    <row r="7055" ht="15.75" customHeight="1">
      <c r="A7055" s="25" t="str">
        <f>IFERROR(__xludf.DUMMYFUNCTION("IF(B7055="""","""",RIGHT(REGEXREPLACE(B7055&amp;"""",""[^0-9]"",""""),9))"),"757128311")</f>
        <v>757128311</v>
      </c>
      <c r="B7055" s="52">
        <v>7.57128311E8</v>
      </c>
      <c r="C7055" s="28" t="s">
        <v>7317</v>
      </c>
      <c r="D7055" s="26" t="s">
        <v>64</v>
      </c>
      <c r="E7055" s="31">
        <v>46243.0</v>
      </c>
      <c r="F7055" s="26" t="s">
        <v>46</v>
      </c>
      <c r="G7055" s="26" t="s">
        <v>475</v>
      </c>
      <c r="I7055" s="26" t="s">
        <v>951</v>
      </c>
      <c r="J7055" s="25" t="str">
        <f t="shared" si="79"/>
        <v>No</v>
      </c>
      <c r="K7055" s="25" t="str">
        <f t="shared" si="80"/>
        <v/>
      </c>
      <c r="L7055" s="25" t="str">
        <f t="shared" si="81"/>
        <v/>
      </c>
      <c r="M7055" s="25"/>
      <c r="O7055" s="25"/>
    </row>
    <row r="7056" ht="15.75" customHeight="1">
      <c r="A7056" s="25" t="str">
        <f>IFERROR(__xludf.DUMMYFUNCTION("IF(B7056="""","""",RIGHT(REGEXREPLACE(B7056&amp;"""",""[^0-9]"",""""),9))"),"766786434")</f>
        <v>766786434</v>
      </c>
      <c r="B7056" s="52">
        <v>7.66786434E8</v>
      </c>
      <c r="C7056" s="28" t="s">
        <v>7318</v>
      </c>
      <c r="D7056" s="26" t="s">
        <v>56</v>
      </c>
      <c r="E7056" s="31">
        <v>46243.0</v>
      </c>
      <c r="F7056" s="26" t="s">
        <v>46</v>
      </c>
      <c r="G7056" s="26">
        <v>9.0</v>
      </c>
      <c r="H7056" s="26" t="s">
        <v>140</v>
      </c>
      <c r="I7056" s="26" t="s">
        <v>951</v>
      </c>
      <c r="J7056" s="25" t="str">
        <f t="shared" si="79"/>
        <v>No</v>
      </c>
      <c r="K7056" s="25" t="str">
        <f t="shared" si="80"/>
        <v/>
      </c>
      <c r="L7056" s="25" t="str">
        <f t="shared" si="81"/>
        <v/>
      </c>
      <c r="M7056" s="25"/>
      <c r="O7056" s="25"/>
    </row>
    <row r="7057" ht="15.75" customHeight="1">
      <c r="A7057" s="25" t="str">
        <f>IFERROR(__xludf.DUMMYFUNCTION("IF(B7057="""","""",RIGHT(REGEXREPLACE(B7057&amp;"""",""[^0-9]"",""""),9))"),"741208828")</f>
        <v>741208828</v>
      </c>
      <c r="B7057" s="52">
        <v>7.41208828E8</v>
      </c>
      <c r="C7057" s="28" t="s">
        <v>7319</v>
      </c>
      <c r="D7057" s="26" t="s">
        <v>82</v>
      </c>
      <c r="E7057" s="31">
        <v>46243.0</v>
      </c>
      <c r="F7057" s="26" t="s">
        <v>46</v>
      </c>
      <c r="G7057" s="26">
        <v>9.0</v>
      </c>
      <c r="I7057" s="26" t="s">
        <v>951</v>
      </c>
      <c r="J7057" s="25" t="str">
        <f t="shared" si="79"/>
        <v>No</v>
      </c>
      <c r="K7057" s="25" t="str">
        <f t="shared" si="80"/>
        <v/>
      </c>
      <c r="L7057" s="25" t="str">
        <f t="shared" si="81"/>
        <v/>
      </c>
      <c r="M7057" s="25"/>
      <c r="O7057" s="25"/>
    </row>
    <row r="7058" ht="15.75" customHeight="1">
      <c r="A7058" s="25" t="str">
        <f>IFERROR(__xludf.DUMMYFUNCTION("IF(B7058="""","""",RIGHT(REGEXREPLACE(B7058&amp;"""",""[^0-9]"",""""),9))"),"762417260")</f>
        <v>762417260</v>
      </c>
      <c r="B7058" s="52">
        <v>7.6241726E8</v>
      </c>
      <c r="C7058" s="28" t="s">
        <v>7320</v>
      </c>
      <c r="D7058" s="26" t="s">
        <v>45</v>
      </c>
      <c r="E7058" s="31">
        <v>46243.0</v>
      </c>
      <c r="F7058" s="26" t="s">
        <v>84</v>
      </c>
      <c r="H7058" s="26" t="s">
        <v>253</v>
      </c>
      <c r="I7058" s="26" t="s">
        <v>951</v>
      </c>
      <c r="J7058" s="25" t="str">
        <f t="shared" si="79"/>
        <v>No</v>
      </c>
      <c r="K7058" s="25" t="str">
        <f t="shared" si="80"/>
        <v/>
      </c>
      <c r="L7058" s="25" t="str">
        <f t="shared" si="81"/>
        <v/>
      </c>
      <c r="M7058" s="25"/>
      <c r="O7058" s="25"/>
    </row>
    <row r="7059" ht="15.75" customHeight="1">
      <c r="A7059" s="25" t="str">
        <f>IFERROR(__xludf.DUMMYFUNCTION("IF(B7059="""","""",RIGHT(REGEXREPLACE(B7059&amp;"""",""[^0-9]"",""""),9))"),"766520372")</f>
        <v>766520372</v>
      </c>
      <c r="B7059" s="52">
        <v>7.66520372E8</v>
      </c>
      <c r="C7059" s="28" t="s">
        <v>7321</v>
      </c>
      <c r="D7059" s="26" t="s">
        <v>45</v>
      </c>
      <c r="E7059" s="31">
        <v>46243.0</v>
      </c>
      <c r="F7059" s="26" t="s">
        <v>46</v>
      </c>
      <c r="G7059" s="26">
        <v>9.0</v>
      </c>
      <c r="I7059" s="26" t="s">
        <v>951</v>
      </c>
      <c r="J7059" s="25" t="str">
        <f t="shared" si="79"/>
        <v>No</v>
      </c>
      <c r="K7059" s="25" t="str">
        <f t="shared" si="80"/>
        <v/>
      </c>
      <c r="L7059" s="25" t="str">
        <f t="shared" si="81"/>
        <v/>
      </c>
      <c r="M7059" s="25"/>
      <c r="O7059" s="25"/>
    </row>
    <row r="7060" ht="15.75" customHeight="1">
      <c r="A7060" s="25" t="str">
        <f>IFERROR(__xludf.DUMMYFUNCTION("IF(B7060="""","""",RIGHT(REGEXREPLACE(B7060&amp;"""",""[^0-9]"",""""),9))"),"765350383")</f>
        <v>765350383</v>
      </c>
      <c r="B7060" s="52">
        <v>7.65350383E8</v>
      </c>
      <c r="C7060" s="28" t="s">
        <v>7322</v>
      </c>
      <c r="D7060" s="26" t="s">
        <v>49</v>
      </c>
      <c r="E7060" s="31">
        <v>46243.0</v>
      </c>
      <c r="F7060" s="26" t="s">
        <v>46</v>
      </c>
      <c r="G7060" s="26">
        <v>9.0</v>
      </c>
      <c r="I7060" s="26" t="s">
        <v>951</v>
      </c>
      <c r="J7060" s="25" t="str">
        <f t="shared" si="79"/>
        <v>No</v>
      </c>
      <c r="K7060" s="25" t="str">
        <f t="shared" si="80"/>
        <v/>
      </c>
      <c r="L7060" s="25" t="str">
        <f t="shared" si="81"/>
        <v/>
      </c>
      <c r="M7060" s="25"/>
      <c r="O7060" s="25"/>
    </row>
    <row r="7061" ht="15.75" customHeight="1">
      <c r="A7061" s="25" t="str">
        <f>IFERROR(__xludf.DUMMYFUNCTION("IF(B7061="""","""",RIGHT(REGEXREPLACE(B7061&amp;"""",""[^0-9]"",""""),9))"),"742681219")</f>
        <v>742681219</v>
      </c>
      <c r="B7061" s="52">
        <v>7.42681219E8</v>
      </c>
      <c r="C7061" s="28" t="s">
        <v>7323</v>
      </c>
      <c r="D7061" s="26" t="s">
        <v>82</v>
      </c>
      <c r="E7061" s="31">
        <v>46243.0</v>
      </c>
      <c r="F7061" s="26" t="s">
        <v>46</v>
      </c>
      <c r="G7061" s="26">
        <v>9.0</v>
      </c>
      <c r="I7061" s="26" t="s">
        <v>951</v>
      </c>
      <c r="J7061" s="25" t="str">
        <f t="shared" si="79"/>
        <v>No</v>
      </c>
      <c r="K7061" s="25" t="str">
        <f t="shared" si="80"/>
        <v/>
      </c>
      <c r="L7061" s="25" t="str">
        <f t="shared" si="81"/>
        <v/>
      </c>
      <c r="M7061" s="25"/>
      <c r="O7061" s="25"/>
    </row>
    <row r="7062" ht="15.75" customHeight="1">
      <c r="A7062" s="25" t="str">
        <f>IFERROR(__xludf.DUMMYFUNCTION("IF(B7062="""","""",RIGHT(REGEXREPLACE(B7062&amp;"""",""[^0-9]"",""""),9))"),"701570222")</f>
        <v>701570222</v>
      </c>
      <c r="B7062" s="52">
        <v>7.01570222E8</v>
      </c>
      <c r="C7062" s="28" t="s">
        <v>7323</v>
      </c>
      <c r="D7062" s="26" t="s">
        <v>64</v>
      </c>
      <c r="E7062" s="31">
        <v>46243.0</v>
      </c>
      <c r="F7062" s="26" t="s">
        <v>46</v>
      </c>
      <c r="G7062" s="26">
        <v>9.0</v>
      </c>
      <c r="I7062" s="26" t="s">
        <v>951</v>
      </c>
      <c r="J7062" s="25" t="str">
        <f t="shared" si="79"/>
        <v>No</v>
      </c>
      <c r="K7062" s="25" t="str">
        <f t="shared" si="80"/>
        <v/>
      </c>
      <c r="L7062" s="25" t="str">
        <f t="shared" si="81"/>
        <v/>
      </c>
      <c r="M7062" s="25"/>
      <c r="O7062" s="26" t="s">
        <v>51</v>
      </c>
    </row>
    <row r="7063" ht="15.75" customHeight="1">
      <c r="A7063" s="25" t="str">
        <f>IFERROR(__xludf.DUMMYFUNCTION("IF(B7063="""","""",RIGHT(REGEXREPLACE(B7063&amp;"""",""[^0-9]"",""""),9))"),"702693905")</f>
        <v>702693905</v>
      </c>
      <c r="B7063" s="52">
        <v>7.02693905E8</v>
      </c>
      <c r="C7063" s="28" t="s">
        <v>7324</v>
      </c>
      <c r="D7063" s="26" t="s">
        <v>45</v>
      </c>
      <c r="E7063" s="31">
        <v>46243.0</v>
      </c>
      <c r="F7063" s="26" t="s">
        <v>41</v>
      </c>
      <c r="I7063" s="26" t="s">
        <v>951</v>
      </c>
      <c r="J7063" s="25" t="str">
        <f t="shared" si="79"/>
        <v>No</v>
      </c>
      <c r="K7063" s="25" t="str">
        <f t="shared" si="80"/>
        <v/>
      </c>
      <c r="L7063" s="25" t="str">
        <f t="shared" si="81"/>
        <v/>
      </c>
      <c r="M7063" s="25"/>
      <c r="O7063" s="25"/>
    </row>
    <row r="7064" ht="15.75" customHeight="1">
      <c r="A7064" s="25" t="str">
        <f>IFERROR(__xludf.DUMMYFUNCTION("IF(B7064="""","""",RIGHT(REGEXREPLACE(B7064&amp;"""",""[^0-9]"",""""),9))"),"761597871")</f>
        <v>761597871</v>
      </c>
      <c r="B7064" s="52">
        <v>7.61597871E8</v>
      </c>
      <c r="C7064" s="28" t="s">
        <v>7325</v>
      </c>
      <c r="D7064" s="26" t="s">
        <v>56</v>
      </c>
      <c r="E7064" s="31">
        <v>46243.0</v>
      </c>
      <c r="F7064" s="26" t="s">
        <v>41</v>
      </c>
      <c r="G7064" s="26">
        <v>10.0</v>
      </c>
      <c r="I7064" s="26" t="s">
        <v>951</v>
      </c>
      <c r="J7064" s="25" t="str">
        <f t="shared" si="79"/>
        <v>No</v>
      </c>
      <c r="K7064" s="25" t="str">
        <f t="shared" si="80"/>
        <v/>
      </c>
      <c r="L7064" s="25" t="str">
        <f t="shared" si="81"/>
        <v/>
      </c>
      <c r="M7064" s="25"/>
      <c r="O7064" s="25"/>
    </row>
    <row r="7065" ht="15.75" customHeight="1">
      <c r="A7065" s="25" t="str">
        <f>IFERROR(__xludf.DUMMYFUNCTION("IF(B7065="""","""",RIGHT(REGEXREPLACE(B7065&amp;"""",""[^0-9]"",""""),9))"),"767616842")</f>
        <v>767616842</v>
      </c>
      <c r="B7065" s="52">
        <v>7.67616842E8</v>
      </c>
      <c r="C7065" s="28" t="s">
        <v>7326</v>
      </c>
      <c r="D7065" s="26" t="s">
        <v>45</v>
      </c>
      <c r="E7065" s="31">
        <v>46243.0</v>
      </c>
      <c r="F7065" s="26" t="s">
        <v>46</v>
      </c>
      <c r="G7065" s="26">
        <v>9.0</v>
      </c>
      <c r="I7065" s="26" t="s">
        <v>951</v>
      </c>
      <c r="J7065" s="25" t="str">
        <f t="shared" si="79"/>
        <v>No</v>
      </c>
      <c r="K7065" s="25" t="str">
        <f t="shared" si="80"/>
        <v/>
      </c>
      <c r="L7065" s="25" t="str">
        <f t="shared" si="81"/>
        <v/>
      </c>
      <c r="M7065" s="25"/>
      <c r="O7065" s="25"/>
    </row>
    <row r="7066" ht="15.75" customHeight="1">
      <c r="A7066" s="25" t="str">
        <f>IFERROR(__xludf.DUMMYFUNCTION("IF(B7066="""","""",RIGHT(REGEXREPLACE(B7066&amp;"""",""[^0-9]"",""""),9))"),"706662050")</f>
        <v>706662050</v>
      </c>
      <c r="B7066" s="52">
        <v>7.0666205E8</v>
      </c>
      <c r="C7066" s="28" t="s">
        <v>7327</v>
      </c>
      <c r="D7066" s="26" t="s">
        <v>64</v>
      </c>
      <c r="E7066" s="31">
        <v>46243.0</v>
      </c>
      <c r="F7066" s="26" t="s">
        <v>46</v>
      </c>
      <c r="G7066" s="26">
        <v>9.0</v>
      </c>
      <c r="H7066" s="26" t="s">
        <v>78</v>
      </c>
      <c r="I7066" s="26" t="s">
        <v>951</v>
      </c>
      <c r="J7066" s="25" t="str">
        <f t="shared" si="79"/>
        <v>No</v>
      </c>
      <c r="K7066" s="25" t="str">
        <f t="shared" si="80"/>
        <v/>
      </c>
      <c r="L7066" s="25" t="str">
        <f t="shared" si="81"/>
        <v/>
      </c>
      <c r="M7066" s="25"/>
      <c r="O7066" s="25"/>
    </row>
    <row r="7067" ht="15.75" customHeight="1">
      <c r="A7067" s="25" t="str">
        <f>IFERROR(__xludf.DUMMYFUNCTION("IF(B7067="""","""",RIGHT(REGEXREPLACE(B7067&amp;"""",""[^0-9]"",""""),9))"),"712057675")</f>
        <v>712057675</v>
      </c>
      <c r="B7067" s="52">
        <v>7.12057675E8</v>
      </c>
      <c r="C7067" s="28" t="s">
        <v>7328</v>
      </c>
      <c r="D7067" s="26" t="s">
        <v>82</v>
      </c>
      <c r="E7067" s="31">
        <v>46243.0</v>
      </c>
      <c r="F7067" s="26" t="s">
        <v>41</v>
      </c>
      <c r="I7067" s="26" t="s">
        <v>951</v>
      </c>
      <c r="J7067" s="25" t="str">
        <f t="shared" si="79"/>
        <v>No</v>
      </c>
      <c r="K7067" s="25" t="str">
        <f t="shared" si="80"/>
        <v/>
      </c>
      <c r="L7067" s="25" t="str">
        <f t="shared" si="81"/>
        <v/>
      </c>
      <c r="M7067" s="25"/>
      <c r="O7067" s="25"/>
    </row>
    <row r="7068" ht="15.75" customHeight="1">
      <c r="A7068" s="25" t="str">
        <f>IFERROR(__xludf.DUMMYFUNCTION("IF(B7068="""","""",RIGHT(REGEXREPLACE(B7068&amp;"""",""[^0-9]"",""""),9))"),"768304972")</f>
        <v>768304972</v>
      </c>
      <c r="B7068" s="52">
        <v>7.68304972E8</v>
      </c>
      <c r="C7068" s="28" t="s">
        <v>7329</v>
      </c>
      <c r="D7068" s="26" t="s">
        <v>56</v>
      </c>
      <c r="E7068" s="31">
        <v>46243.0</v>
      </c>
      <c r="F7068" s="26" t="s">
        <v>46</v>
      </c>
      <c r="G7068" s="26">
        <v>8.0</v>
      </c>
      <c r="I7068" s="26" t="s">
        <v>951</v>
      </c>
      <c r="J7068" s="25" t="str">
        <f t="shared" si="79"/>
        <v>No</v>
      </c>
      <c r="K7068" s="25" t="str">
        <f t="shared" si="80"/>
        <v/>
      </c>
      <c r="L7068" s="25" t="str">
        <f t="shared" si="81"/>
        <v/>
      </c>
      <c r="M7068" s="25"/>
      <c r="O7068" s="25"/>
    </row>
    <row r="7069" ht="15.75" customHeight="1">
      <c r="A7069" s="25" t="str">
        <f>IFERROR(__xludf.DUMMYFUNCTION("IF(B7069="""","""",RIGHT(REGEXREPLACE(B7069&amp;"""",""[^0-9]"",""""),9))"),"773825874")</f>
        <v>773825874</v>
      </c>
      <c r="B7069" s="52">
        <v>7.73825874E8</v>
      </c>
      <c r="C7069" s="28" t="s">
        <v>7330</v>
      </c>
      <c r="D7069" s="26" t="s">
        <v>45</v>
      </c>
      <c r="E7069" s="31">
        <v>46243.0</v>
      </c>
      <c r="F7069" s="26" t="s">
        <v>46</v>
      </c>
      <c r="G7069" s="26">
        <v>9.0</v>
      </c>
      <c r="I7069" s="26" t="s">
        <v>951</v>
      </c>
      <c r="J7069" s="25" t="str">
        <f t="shared" si="79"/>
        <v>No</v>
      </c>
      <c r="K7069" s="25" t="str">
        <f t="shared" si="80"/>
        <v/>
      </c>
      <c r="L7069" s="25" t="str">
        <f t="shared" si="81"/>
        <v/>
      </c>
      <c r="M7069" s="25"/>
      <c r="O7069" s="25"/>
    </row>
    <row r="7070" ht="15.75" customHeight="1">
      <c r="A7070" s="25" t="str">
        <f>IFERROR(__xludf.DUMMYFUNCTION("IF(B7070="""","""",RIGHT(REGEXREPLACE(B7070&amp;"""",""[^0-9]"",""""),9))"),"742139281")</f>
        <v>742139281</v>
      </c>
      <c r="B7070" s="52">
        <v>7.42139281E8</v>
      </c>
      <c r="C7070" s="28" t="s">
        <v>7331</v>
      </c>
      <c r="D7070" s="26" t="s">
        <v>64</v>
      </c>
      <c r="E7070" s="31">
        <v>46243.0</v>
      </c>
      <c r="F7070" s="26" t="s">
        <v>46</v>
      </c>
      <c r="G7070" s="26">
        <v>9.0</v>
      </c>
      <c r="I7070" s="26" t="s">
        <v>951</v>
      </c>
      <c r="J7070" s="25" t="str">
        <f t="shared" si="79"/>
        <v>No</v>
      </c>
      <c r="K7070" s="25" t="str">
        <f t="shared" si="80"/>
        <v/>
      </c>
      <c r="L7070" s="25" t="str">
        <f t="shared" si="81"/>
        <v/>
      </c>
      <c r="M7070" s="25"/>
      <c r="O7070" s="25"/>
    </row>
    <row r="7071" ht="15.75" customHeight="1">
      <c r="A7071" s="25" t="str">
        <f>IFERROR(__xludf.DUMMYFUNCTION("IF(B7071="""","""",RIGHT(REGEXREPLACE(B7071&amp;"""",""[^0-9]"",""""),9))"),"741347165")</f>
        <v>741347165</v>
      </c>
      <c r="B7071" s="52">
        <v>7.41347165E8</v>
      </c>
      <c r="C7071" s="28" t="s">
        <v>7332</v>
      </c>
      <c r="D7071" s="26" t="s">
        <v>82</v>
      </c>
      <c r="E7071" s="31">
        <v>46243.0</v>
      </c>
      <c r="F7071" s="26" t="s">
        <v>46</v>
      </c>
      <c r="G7071" s="26">
        <v>9.0</v>
      </c>
      <c r="I7071" s="26" t="s">
        <v>951</v>
      </c>
      <c r="J7071" s="25" t="str">
        <f t="shared" si="79"/>
        <v>No</v>
      </c>
      <c r="K7071" s="25" t="str">
        <f t="shared" si="80"/>
        <v/>
      </c>
      <c r="L7071" s="25" t="str">
        <f t="shared" si="81"/>
        <v/>
      </c>
      <c r="M7071" s="25"/>
      <c r="O7071" s="25"/>
    </row>
    <row r="7072" ht="15.75" customHeight="1">
      <c r="A7072" s="25" t="str">
        <f>IFERROR(__xludf.DUMMYFUNCTION("IF(B7072="""","""",RIGHT(REGEXREPLACE(B7072&amp;"""",""[^0-9]"",""""),9))"),"714459584")</f>
        <v>714459584</v>
      </c>
      <c r="B7072" s="52">
        <v>7.14459584E8</v>
      </c>
      <c r="C7072" s="28" t="s">
        <v>7333</v>
      </c>
      <c r="D7072" s="26" t="s">
        <v>45</v>
      </c>
      <c r="E7072" s="31">
        <v>46243.0</v>
      </c>
      <c r="F7072" s="26" t="s">
        <v>46</v>
      </c>
      <c r="G7072" s="26">
        <v>9.0</v>
      </c>
      <c r="I7072" s="26" t="s">
        <v>951</v>
      </c>
      <c r="J7072" s="25" t="str">
        <f t="shared" si="79"/>
        <v>No</v>
      </c>
      <c r="K7072" s="25" t="str">
        <f t="shared" si="80"/>
        <v/>
      </c>
      <c r="L7072" s="25" t="str">
        <f t="shared" si="81"/>
        <v/>
      </c>
      <c r="M7072" s="25"/>
      <c r="O7072" s="25"/>
    </row>
    <row r="7073" ht="15.75" customHeight="1">
      <c r="A7073" s="25" t="str">
        <f>IFERROR(__xludf.DUMMYFUNCTION("IF(B7073="""","""",RIGHT(REGEXREPLACE(B7073&amp;"""",""[^0-9]"",""""),9))"),"741497928")</f>
        <v>741497928</v>
      </c>
      <c r="B7073" s="52">
        <v>7.41497928E8</v>
      </c>
      <c r="C7073" s="28" t="s">
        <v>7334</v>
      </c>
      <c r="D7073" s="26" t="s">
        <v>56</v>
      </c>
      <c r="E7073" s="31">
        <v>46243.0</v>
      </c>
      <c r="F7073" s="26" t="s">
        <v>46</v>
      </c>
      <c r="G7073" s="26">
        <v>9.0</v>
      </c>
      <c r="I7073" s="26" t="s">
        <v>951</v>
      </c>
      <c r="J7073" s="25" t="str">
        <f t="shared" si="79"/>
        <v>No</v>
      </c>
      <c r="K7073" s="25" t="str">
        <f t="shared" si="80"/>
        <v/>
      </c>
      <c r="L7073" s="25" t="str">
        <f t="shared" si="81"/>
        <v/>
      </c>
      <c r="M7073" s="25"/>
      <c r="O7073" s="25"/>
    </row>
    <row r="7074" ht="15.75" customHeight="1">
      <c r="A7074" s="25" t="str">
        <f>IFERROR(__xludf.DUMMYFUNCTION("IF(B7074="""","""",RIGHT(REGEXREPLACE(B7074&amp;"""",""[^0-9]"",""""),9))"),"775032347")</f>
        <v>775032347</v>
      </c>
      <c r="B7074" s="52">
        <v>7.75032347E8</v>
      </c>
      <c r="C7074" s="28" t="s">
        <v>7335</v>
      </c>
      <c r="D7074" s="26" t="s">
        <v>45</v>
      </c>
      <c r="E7074" s="31">
        <v>46243.0</v>
      </c>
      <c r="F7074" s="26" t="s">
        <v>46</v>
      </c>
      <c r="G7074" s="26">
        <v>9.0</v>
      </c>
      <c r="I7074" s="26" t="s">
        <v>951</v>
      </c>
      <c r="J7074" s="25" t="str">
        <f t="shared" si="79"/>
        <v>No</v>
      </c>
      <c r="K7074" s="25" t="str">
        <f t="shared" si="80"/>
        <v/>
      </c>
      <c r="L7074" s="25" t="str">
        <f t="shared" si="81"/>
        <v/>
      </c>
      <c r="M7074" s="25"/>
      <c r="O7074" s="25"/>
    </row>
    <row r="7075" ht="15.75" customHeight="1">
      <c r="A7075" s="25" t="str">
        <f>IFERROR(__xludf.DUMMYFUNCTION("IF(B7075="""","""",RIGHT(REGEXREPLACE(B7075&amp;"""",""[^0-9]"",""""),9))"),"751340292")</f>
        <v>751340292</v>
      </c>
      <c r="B7075" s="52">
        <v>7.51340292E8</v>
      </c>
      <c r="C7075" s="28" t="s">
        <v>5586</v>
      </c>
      <c r="D7075" s="26" t="s">
        <v>64</v>
      </c>
      <c r="E7075" s="31">
        <v>46243.0</v>
      </c>
      <c r="F7075" s="26" t="s">
        <v>46</v>
      </c>
      <c r="G7075" s="26">
        <v>9.0</v>
      </c>
      <c r="I7075" s="26" t="s">
        <v>951</v>
      </c>
      <c r="J7075" s="25" t="str">
        <f t="shared" si="79"/>
        <v>No</v>
      </c>
      <c r="K7075" s="25" t="str">
        <f t="shared" si="80"/>
        <v/>
      </c>
      <c r="L7075" s="25" t="str">
        <f t="shared" si="81"/>
        <v/>
      </c>
      <c r="M7075" s="25"/>
      <c r="O7075" s="25"/>
    </row>
    <row r="7076" ht="15.75" customHeight="1">
      <c r="A7076" s="25" t="str">
        <f>IFERROR(__xludf.DUMMYFUNCTION("IF(B7076="""","""",RIGHT(REGEXREPLACE(B7076&amp;"""",""[^0-9]"",""""),9))"),"771518272")</f>
        <v>771518272</v>
      </c>
      <c r="B7076" s="52">
        <v>7.71518272E8</v>
      </c>
      <c r="C7076" s="28" t="s">
        <v>7336</v>
      </c>
      <c r="D7076" s="26" t="s">
        <v>82</v>
      </c>
      <c r="E7076" s="31">
        <v>46243.0</v>
      </c>
      <c r="F7076" s="26" t="s">
        <v>41</v>
      </c>
      <c r="I7076" s="26" t="s">
        <v>951</v>
      </c>
      <c r="J7076" s="25" t="str">
        <f t="shared" si="79"/>
        <v>No</v>
      </c>
      <c r="K7076" s="25" t="str">
        <f t="shared" si="80"/>
        <v/>
      </c>
      <c r="L7076" s="25" t="str">
        <f t="shared" si="81"/>
        <v/>
      </c>
      <c r="M7076" s="25"/>
      <c r="O7076" s="25"/>
    </row>
    <row r="7077" ht="15.75" customHeight="1">
      <c r="A7077" s="25" t="str">
        <f>IFERROR(__xludf.DUMMYFUNCTION("IF(B7077="""","""",RIGHT(REGEXREPLACE(B7077&amp;"""",""[^0-9]"",""""),9))"),"705809828")</f>
        <v>705809828</v>
      </c>
      <c r="B7077" s="52">
        <v>7.05809828E8</v>
      </c>
      <c r="C7077" s="28" t="s">
        <v>7337</v>
      </c>
      <c r="D7077" s="26" t="s">
        <v>49</v>
      </c>
      <c r="E7077" s="31">
        <v>46243.0</v>
      </c>
      <c r="F7077" s="26" t="s">
        <v>205</v>
      </c>
      <c r="I7077" s="26" t="s">
        <v>951</v>
      </c>
      <c r="J7077" s="25" t="str">
        <f t="shared" si="79"/>
        <v>No</v>
      </c>
      <c r="K7077" s="25" t="str">
        <f t="shared" si="80"/>
        <v/>
      </c>
      <c r="L7077" s="25" t="str">
        <f t="shared" si="81"/>
        <v/>
      </c>
      <c r="M7077" s="25"/>
      <c r="O7077" s="25"/>
    </row>
    <row r="7078" ht="15.75" customHeight="1">
      <c r="C7078" s="46"/>
      <c r="D7078" s="25"/>
      <c r="F7078" s="25"/>
      <c r="I7078" s="26" t="s">
        <v>951</v>
      </c>
      <c r="M7078" s="25"/>
      <c r="O7078" s="25"/>
    </row>
    <row r="7079" ht="15.75" customHeight="1">
      <c r="A7079" s="25" t="str">
        <f>IFERROR(__xludf.DUMMYFUNCTION("IF(B7079="""","""",RIGHT(REGEXREPLACE(B7079&amp;"""",""[^0-9]"",""""),9))"),"705334071")</f>
        <v>705334071</v>
      </c>
      <c r="B7079" s="52">
        <v>7.05334071E8</v>
      </c>
      <c r="C7079" s="28" t="s">
        <v>7338</v>
      </c>
      <c r="D7079" s="26" t="s">
        <v>56</v>
      </c>
      <c r="E7079" s="31">
        <v>46243.0</v>
      </c>
      <c r="F7079" s="26" t="s">
        <v>659</v>
      </c>
      <c r="G7079" s="26">
        <v>10.0</v>
      </c>
      <c r="I7079" s="26" t="s">
        <v>951</v>
      </c>
      <c r="J7079" s="25" t="str">
        <f t="shared" ref="J7079:J7409" si="82">IF(COUNTIF($A$2:A7078,A7079)&gt;0,"Yes - see Previous F-Code","No")</f>
        <v>No</v>
      </c>
      <c r="K7079" s="25" t="str">
        <f t="shared" ref="K7079:K7409" si="83">IF(COUNTIFS($A$2:A7079,A7079,$I$2:I7079,I7079)&gt;1,"DUPLICATE - CHECK","")</f>
        <v/>
      </c>
      <c r="L7079" s="25" t="str">
        <f t="shared" ref="L7079:L7409" si="84">IF(COUNTIF($A$2:A7078,A7079)&gt;0,INDEX($C$2:C7078,MATCH(A7079,$A$2:A7078,0)),"")</f>
        <v/>
      </c>
      <c r="M7079" s="25"/>
      <c r="O7079" s="25"/>
    </row>
    <row r="7080" ht="15.75" customHeight="1">
      <c r="A7080" s="25" t="str">
        <f>IFERROR(__xludf.DUMMYFUNCTION("IF(B7080="""","""",RIGHT(REGEXREPLACE(B7080&amp;"""",""[^0-9]"",""""),9))"),"712617359")</f>
        <v>712617359</v>
      </c>
      <c r="B7080" s="52">
        <v>7.12617359E8</v>
      </c>
      <c r="C7080" s="28" t="s">
        <v>7339</v>
      </c>
      <c r="D7080" s="26" t="s">
        <v>49</v>
      </c>
      <c r="E7080" s="31">
        <v>46243.0</v>
      </c>
      <c r="F7080" s="26" t="s">
        <v>205</v>
      </c>
      <c r="I7080" s="26" t="s">
        <v>951</v>
      </c>
      <c r="J7080" s="25" t="str">
        <f t="shared" si="82"/>
        <v>No</v>
      </c>
      <c r="K7080" s="25" t="str">
        <f t="shared" si="83"/>
        <v/>
      </c>
      <c r="L7080" s="25" t="str">
        <f t="shared" si="84"/>
        <v/>
      </c>
      <c r="M7080" s="25"/>
      <c r="O7080" s="25"/>
    </row>
    <row r="7081" ht="15.75" customHeight="1">
      <c r="A7081" s="25" t="str">
        <f>IFERROR(__xludf.DUMMYFUNCTION("IF(B7081="""","""",RIGHT(REGEXREPLACE(B7081&amp;"""",""[^0-9]"",""""),9))"),"701547813")</f>
        <v>701547813</v>
      </c>
      <c r="B7081" s="52">
        <v>7.01547813E8</v>
      </c>
      <c r="C7081" s="28" t="s">
        <v>7340</v>
      </c>
      <c r="D7081" s="26" t="s">
        <v>82</v>
      </c>
      <c r="E7081" s="31">
        <v>46243.0</v>
      </c>
      <c r="F7081" s="26" t="s">
        <v>205</v>
      </c>
      <c r="I7081" s="26" t="s">
        <v>951</v>
      </c>
      <c r="J7081" s="25" t="str">
        <f t="shared" si="82"/>
        <v>No</v>
      </c>
      <c r="K7081" s="25" t="str">
        <f t="shared" si="83"/>
        <v/>
      </c>
      <c r="L7081" s="25" t="str">
        <f t="shared" si="84"/>
        <v/>
      </c>
      <c r="M7081" s="25"/>
      <c r="O7081" s="25"/>
    </row>
    <row r="7082" ht="15.75" customHeight="1">
      <c r="A7082" s="25" t="str">
        <f>IFERROR(__xludf.DUMMYFUNCTION("IF(B7082="""","""",RIGHT(REGEXREPLACE(B7082&amp;"""",""[^0-9]"",""""),9))"),"777731256")</f>
        <v>777731256</v>
      </c>
      <c r="B7082" s="52">
        <v>7.77731256E8</v>
      </c>
      <c r="C7082" s="28" t="s">
        <v>2310</v>
      </c>
      <c r="D7082" s="26" t="s">
        <v>56</v>
      </c>
      <c r="E7082" s="31">
        <v>46243.0</v>
      </c>
      <c r="F7082" s="26" t="s">
        <v>205</v>
      </c>
      <c r="G7082" s="26">
        <v>9.0</v>
      </c>
      <c r="I7082" s="26" t="s">
        <v>951</v>
      </c>
      <c r="J7082" s="25" t="str">
        <f t="shared" si="82"/>
        <v>Yes - see Previous F-Code</v>
      </c>
      <c r="K7082" s="25" t="str">
        <f t="shared" si="83"/>
        <v/>
      </c>
      <c r="L7082" s="25" t="str">
        <f t="shared" si="84"/>
        <v>F72007</v>
      </c>
      <c r="M7082" s="25"/>
      <c r="O7082" s="26" t="s">
        <v>51</v>
      </c>
    </row>
    <row r="7083" ht="15.75" customHeight="1">
      <c r="A7083" s="25" t="str">
        <f>IFERROR(__xludf.DUMMYFUNCTION("IF(B7083="""","""",RIGHT(REGEXREPLACE(B7083&amp;"""",""[^0-9]"",""""),9))"),"761548453")</f>
        <v>761548453</v>
      </c>
      <c r="B7083" s="52">
        <v>7.61548453E8</v>
      </c>
      <c r="C7083" s="28" t="s">
        <v>7341</v>
      </c>
      <c r="D7083" s="26" t="s">
        <v>82</v>
      </c>
      <c r="E7083" s="31">
        <v>46243.0</v>
      </c>
      <c r="F7083" s="26" t="s">
        <v>46</v>
      </c>
      <c r="G7083" s="26">
        <v>9.0</v>
      </c>
      <c r="I7083" s="26" t="s">
        <v>951</v>
      </c>
      <c r="J7083" s="25" t="str">
        <f t="shared" si="82"/>
        <v>No</v>
      </c>
      <c r="K7083" s="25" t="str">
        <f t="shared" si="83"/>
        <v/>
      </c>
      <c r="L7083" s="25" t="str">
        <f t="shared" si="84"/>
        <v/>
      </c>
      <c r="M7083" s="25"/>
      <c r="O7083" s="25"/>
    </row>
    <row r="7084" ht="15.75" customHeight="1">
      <c r="A7084" s="25" t="str">
        <f>IFERROR(__xludf.DUMMYFUNCTION("IF(B7084="""","""",RIGHT(REGEXREPLACE(B7084&amp;"""",""[^0-9]"",""""),9))"),"712964237")</f>
        <v>712964237</v>
      </c>
      <c r="B7084" s="52">
        <v>7.12964237E8</v>
      </c>
      <c r="C7084" s="28" t="s">
        <v>7342</v>
      </c>
      <c r="D7084" s="26" t="s">
        <v>45</v>
      </c>
      <c r="E7084" s="31">
        <v>46243.0</v>
      </c>
      <c r="F7084" s="26" t="s">
        <v>46</v>
      </c>
      <c r="G7084" s="26">
        <v>9.0</v>
      </c>
      <c r="I7084" s="26" t="s">
        <v>951</v>
      </c>
      <c r="J7084" s="25" t="str">
        <f t="shared" si="82"/>
        <v>No</v>
      </c>
      <c r="K7084" s="25" t="str">
        <f t="shared" si="83"/>
        <v/>
      </c>
      <c r="L7084" s="25" t="str">
        <f t="shared" si="84"/>
        <v/>
      </c>
      <c r="M7084" s="25"/>
      <c r="O7084" s="25"/>
    </row>
    <row r="7085" ht="15.75" customHeight="1">
      <c r="A7085" s="25" t="str">
        <f>IFERROR(__xludf.DUMMYFUNCTION("IF(B7085="""","""",RIGHT(REGEXREPLACE(B7085&amp;"""",""[^0-9]"",""""),9))"),"773685252")</f>
        <v>773685252</v>
      </c>
      <c r="B7085" s="52">
        <v>7.73685252E8</v>
      </c>
      <c r="C7085" s="28" t="s">
        <v>7343</v>
      </c>
      <c r="D7085" s="26" t="s">
        <v>56</v>
      </c>
      <c r="E7085" s="31">
        <v>46243.0</v>
      </c>
      <c r="F7085" s="26" t="s">
        <v>631</v>
      </c>
      <c r="G7085" s="26">
        <v>10.0</v>
      </c>
      <c r="H7085" s="26" t="s">
        <v>7344</v>
      </c>
      <c r="I7085" s="26" t="s">
        <v>951</v>
      </c>
      <c r="J7085" s="25" t="str">
        <f t="shared" si="82"/>
        <v>No</v>
      </c>
      <c r="K7085" s="25" t="str">
        <f t="shared" si="83"/>
        <v/>
      </c>
      <c r="L7085" s="25" t="str">
        <f t="shared" si="84"/>
        <v/>
      </c>
      <c r="M7085" s="25"/>
      <c r="O7085" s="25"/>
    </row>
    <row r="7086" ht="15.75" customHeight="1">
      <c r="A7086" s="25" t="str">
        <f>IFERROR(__xludf.DUMMYFUNCTION("IF(B7086="""","""",RIGHT(REGEXREPLACE(B7086&amp;"""",""[^0-9]"",""""),9))"),"741018801")</f>
        <v>741018801</v>
      </c>
      <c r="B7086" s="52">
        <v>7.41018801E8</v>
      </c>
      <c r="C7086" s="28" t="s">
        <v>7345</v>
      </c>
      <c r="D7086" s="26" t="s">
        <v>49</v>
      </c>
      <c r="E7086" s="31">
        <v>46243.0</v>
      </c>
      <c r="F7086" s="26" t="s">
        <v>41</v>
      </c>
      <c r="G7086" s="26">
        <v>9.0</v>
      </c>
      <c r="I7086" s="26" t="s">
        <v>951</v>
      </c>
      <c r="J7086" s="25" t="str">
        <f t="shared" si="82"/>
        <v>No</v>
      </c>
      <c r="K7086" s="25" t="str">
        <f t="shared" si="83"/>
        <v/>
      </c>
      <c r="L7086" s="25" t="str">
        <f t="shared" si="84"/>
        <v/>
      </c>
      <c r="M7086" s="25"/>
      <c r="O7086" s="25"/>
    </row>
    <row r="7087" ht="15.75" customHeight="1">
      <c r="A7087" s="25" t="str">
        <f>IFERROR(__xludf.DUMMYFUNCTION("IF(B7087="""","""",RIGHT(REGEXREPLACE(B7087&amp;"""",""[^0-9]"",""""),9))"),"774565796")</f>
        <v>774565796</v>
      </c>
      <c r="B7087" s="52">
        <v>7.74565796E8</v>
      </c>
      <c r="C7087" s="28" t="s">
        <v>7346</v>
      </c>
      <c r="D7087" s="26" t="s">
        <v>64</v>
      </c>
      <c r="E7087" s="31">
        <v>46243.0</v>
      </c>
      <c r="F7087" s="26" t="s">
        <v>46</v>
      </c>
      <c r="H7087" s="26" t="s">
        <v>7347</v>
      </c>
      <c r="I7087" s="26" t="s">
        <v>951</v>
      </c>
      <c r="J7087" s="25" t="str">
        <f t="shared" si="82"/>
        <v>No</v>
      </c>
      <c r="K7087" s="25" t="str">
        <f t="shared" si="83"/>
        <v/>
      </c>
      <c r="L7087" s="25" t="str">
        <f t="shared" si="84"/>
        <v/>
      </c>
      <c r="M7087" s="25"/>
      <c r="O7087" s="25"/>
    </row>
    <row r="7088" ht="15.75" customHeight="1">
      <c r="A7088" s="25" t="str">
        <f>IFERROR(__xludf.DUMMYFUNCTION("IF(B7088="""","""",RIGHT(REGEXREPLACE(B7088&amp;"""",""[^0-9]"",""""),9))"),"764015916")</f>
        <v>764015916</v>
      </c>
      <c r="B7088" s="52">
        <v>7.64015916E8</v>
      </c>
      <c r="C7088" s="28" t="s">
        <v>7348</v>
      </c>
      <c r="D7088" s="26" t="s">
        <v>56</v>
      </c>
      <c r="E7088" s="31">
        <v>46243.0</v>
      </c>
      <c r="F7088" s="26" t="s">
        <v>41</v>
      </c>
      <c r="I7088" s="26" t="s">
        <v>951</v>
      </c>
      <c r="J7088" s="25" t="str">
        <f t="shared" si="82"/>
        <v>No</v>
      </c>
      <c r="K7088" s="25" t="str">
        <f t="shared" si="83"/>
        <v/>
      </c>
      <c r="L7088" s="25" t="str">
        <f t="shared" si="84"/>
        <v/>
      </c>
      <c r="M7088" s="25"/>
      <c r="O7088" s="25"/>
    </row>
    <row r="7089" ht="15.75" customHeight="1">
      <c r="A7089" s="25" t="str">
        <f>IFERROR(__xludf.DUMMYFUNCTION("IF(B7089="""","""",RIGHT(REGEXREPLACE(B7089&amp;"""",""[^0-9]"",""""),9))"),"775090565")</f>
        <v>775090565</v>
      </c>
      <c r="B7089" s="52">
        <v>7.75090565E8</v>
      </c>
      <c r="C7089" s="28" t="s">
        <v>7349</v>
      </c>
      <c r="D7089" s="26" t="s">
        <v>64</v>
      </c>
      <c r="E7089" s="31">
        <v>46243.0</v>
      </c>
      <c r="F7089" s="26" t="s">
        <v>659</v>
      </c>
      <c r="I7089" s="26" t="s">
        <v>951</v>
      </c>
      <c r="J7089" s="25" t="str">
        <f t="shared" si="82"/>
        <v>No</v>
      </c>
      <c r="K7089" s="25" t="str">
        <f t="shared" si="83"/>
        <v/>
      </c>
      <c r="L7089" s="25" t="str">
        <f t="shared" si="84"/>
        <v/>
      </c>
      <c r="M7089" s="25"/>
      <c r="O7089" s="25"/>
    </row>
    <row r="7090" ht="15.75" customHeight="1">
      <c r="A7090" s="25" t="str">
        <f>IFERROR(__xludf.DUMMYFUNCTION("IF(B7090="""","""",RIGHT(REGEXREPLACE(B7090&amp;"""",""[^0-9]"",""""),9))"),"705158902")</f>
        <v>705158902</v>
      </c>
      <c r="B7090" s="52">
        <v>7.05158902E8</v>
      </c>
      <c r="C7090" s="28" t="s">
        <v>7350</v>
      </c>
      <c r="D7090" s="26" t="s">
        <v>82</v>
      </c>
      <c r="E7090" s="31">
        <v>46243.0</v>
      </c>
      <c r="F7090" s="26" t="s">
        <v>205</v>
      </c>
      <c r="G7090" s="26">
        <v>9.0</v>
      </c>
      <c r="I7090" s="26" t="s">
        <v>951</v>
      </c>
      <c r="J7090" s="25" t="str">
        <f t="shared" si="82"/>
        <v>No</v>
      </c>
      <c r="K7090" s="25" t="str">
        <f t="shared" si="83"/>
        <v/>
      </c>
      <c r="L7090" s="25" t="str">
        <f t="shared" si="84"/>
        <v/>
      </c>
      <c r="M7090" s="25"/>
      <c r="O7090" s="25"/>
    </row>
    <row r="7091" ht="15.75" customHeight="1">
      <c r="A7091" s="25" t="str">
        <f>IFERROR(__xludf.DUMMYFUNCTION("IF(B7091="""","""",RIGHT(REGEXREPLACE(B7091&amp;"""",""[^0-9]"",""""),9))"),"778971748")</f>
        <v>778971748</v>
      </c>
      <c r="B7091" s="26" t="s">
        <v>7351</v>
      </c>
      <c r="C7091" s="28" t="s">
        <v>7352</v>
      </c>
      <c r="D7091" s="26" t="s">
        <v>45</v>
      </c>
      <c r="E7091" s="31">
        <v>46243.0</v>
      </c>
      <c r="F7091" s="26" t="s">
        <v>46</v>
      </c>
      <c r="G7091" s="26">
        <v>9.0</v>
      </c>
      <c r="I7091" s="26" t="s">
        <v>951</v>
      </c>
      <c r="J7091" s="25" t="str">
        <f t="shared" si="82"/>
        <v>No</v>
      </c>
      <c r="K7091" s="25" t="str">
        <f t="shared" si="83"/>
        <v/>
      </c>
      <c r="L7091" s="25" t="str">
        <f t="shared" si="84"/>
        <v/>
      </c>
      <c r="M7091" s="25"/>
      <c r="O7091" s="25"/>
    </row>
    <row r="7092" ht="15.75" customHeight="1">
      <c r="A7092" s="25" t="str">
        <f>IFERROR(__xludf.DUMMYFUNCTION("IF(B7092="""","""",RIGHT(REGEXREPLACE(B7092&amp;"""",""[^0-9]"",""""),9))"),"762517084")</f>
        <v>762517084</v>
      </c>
      <c r="B7092" s="52">
        <v>7.62517084E8</v>
      </c>
      <c r="C7092" s="28" t="s">
        <v>7353</v>
      </c>
      <c r="D7092" s="26" t="s">
        <v>64</v>
      </c>
      <c r="E7092" s="31">
        <v>46243.0</v>
      </c>
      <c r="F7092" s="26" t="s">
        <v>46</v>
      </c>
      <c r="G7092" s="26">
        <v>9.0</v>
      </c>
      <c r="I7092" s="26" t="s">
        <v>951</v>
      </c>
      <c r="J7092" s="25" t="str">
        <f t="shared" si="82"/>
        <v>No</v>
      </c>
      <c r="K7092" s="25" t="str">
        <f t="shared" si="83"/>
        <v/>
      </c>
      <c r="L7092" s="25" t="str">
        <f t="shared" si="84"/>
        <v/>
      </c>
      <c r="M7092" s="25"/>
      <c r="O7092" s="25"/>
    </row>
    <row r="7093" ht="15.75" customHeight="1">
      <c r="A7093" s="25" t="str">
        <f>IFERROR(__xludf.DUMMYFUNCTION("IF(B7093="""","""",RIGHT(REGEXREPLACE(B7093&amp;"""",""[^0-9]"",""""),9))"),"701546602")</f>
        <v>701546602</v>
      </c>
      <c r="B7093" s="52">
        <v>7.01546602E8</v>
      </c>
      <c r="C7093" s="28" t="s">
        <v>7354</v>
      </c>
      <c r="D7093" s="26" t="s">
        <v>56</v>
      </c>
      <c r="E7093" s="31">
        <v>46243.0</v>
      </c>
      <c r="F7093" s="26" t="s">
        <v>41</v>
      </c>
      <c r="G7093" s="26">
        <v>11.0</v>
      </c>
      <c r="I7093" s="26" t="s">
        <v>951</v>
      </c>
      <c r="J7093" s="25" t="str">
        <f t="shared" si="82"/>
        <v>No</v>
      </c>
      <c r="K7093" s="25" t="str">
        <f t="shared" si="83"/>
        <v/>
      </c>
      <c r="L7093" s="25" t="str">
        <f t="shared" si="84"/>
        <v/>
      </c>
      <c r="M7093" s="25"/>
      <c r="O7093" s="25"/>
    </row>
    <row r="7094" ht="15.75" customHeight="1">
      <c r="A7094" s="25" t="str">
        <f>IFERROR(__xludf.DUMMYFUNCTION("IF(B7094="""","""",RIGHT(REGEXREPLACE(B7094&amp;"""",""[^0-9]"",""""),9))"),"767184104")</f>
        <v>767184104</v>
      </c>
      <c r="B7094" s="52">
        <v>7.67184104E8</v>
      </c>
      <c r="C7094" s="28" t="s">
        <v>7355</v>
      </c>
      <c r="D7094" s="26" t="s">
        <v>49</v>
      </c>
      <c r="E7094" s="31">
        <v>46243.0</v>
      </c>
      <c r="F7094" s="26" t="s">
        <v>164</v>
      </c>
      <c r="G7094" s="26">
        <v>9.0</v>
      </c>
      <c r="I7094" s="26" t="s">
        <v>951</v>
      </c>
      <c r="J7094" s="25" t="str">
        <f t="shared" si="82"/>
        <v>No</v>
      </c>
      <c r="K7094" s="25" t="str">
        <f t="shared" si="83"/>
        <v/>
      </c>
      <c r="L7094" s="25" t="str">
        <f t="shared" si="84"/>
        <v/>
      </c>
      <c r="M7094" s="25"/>
      <c r="O7094" s="25"/>
    </row>
    <row r="7095" ht="15.75" customHeight="1">
      <c r="A7095" s="25" t="str">
        <f>IFERROR(__xludf.DUMMYFUNCTION("IF(B7095="""","""",RIGHT(REGEXREPLACE(B7095&amp;"""",""[^0-9]"",""""),9))"),"771292674")</f>
        <v>771292674</v>
      </c>
      <c r="B7095" s="52">
        <v>7.71292674E8</v>
      </c>
      <c r="C7095" s="28" t="s">
        <v>7356</v>
      </c>
      <c r="D7095" s="26" t="s">
        <v>82</v>
      </c>
      <c r="E7095" s="31">
        <v>46243.0</v>
      </c>
      <c r="F7095" s="26" t="s">
        <v>46</v>
      </c>
      <c r="H7095" s="26" t="s">
        <v>3667</v>
      </c>
      <c r="I7095" s="26" t="s">
        <v>951</v>
      </c>
      <c r="J7095" s="25" t="str">
        <f t="shared" si="82"/>
        <v>No</v>
      </c>
      <c r="K7095" s="25" t="str">
        <f t="shared" si="83"/>
        <v/>
      </c>
      <c r="L7095" s="25" t="str">
        <f t="shared" si="84"/>
        <v/>
      </c>
      <c r="M7095" s="25"/>
      <c r="O7095" s="25"/>
    </row>
    <row r="7096" ht="15.75" customHeight="1">
      <c r="A7096" s="25" t="str">
        <f>IFERROR(__xludf.DUMMYFUNCTION("IF(B7096="""","""",RIGHT(REGEXREPLACE(B7096&amp;"""",""[^0-9]"",""""),9))"),"789075488")</f>
        <v>789075488</v>
      </c>
      <c r="B7096" s="52">
        <v>7.89075488E8</v>
      </c>
      <c r="C7096" s="28" t="s">
        <v>7357</v>
      </c>
      <c r="D7096" s="26" t="s">
        <v>82</v>
      </c>
      <c r="E7096" s="31">
        <v>46243.0</v>
      </c>
      <c r="F7096" s="26" t="s">
        <v>46</v>
      </c>
      <c r="G7096" s="26">
        <v>11.0</v>
      </c>
      <c r="I7096" s="26" t="s">
        <v>951</v>
      </c>
      <c r="J7096" s="25" t="str">
        <f t="shared" si="82"/>
        <v>No</v>
      </c>
      <c r="K7096" s="25" t="str">
        <f t="shared" si="83"/>
        <v/>
      </c>
      <c r="L7096" s="25" t="str">
        <f t="shared" si="84"/>
        <v/>
      </c>
      <c r="M7096" s="25"/>
      <c r="O7096" s="25"/>
    </row>
    <row r="7097" ht="15.75" customHeight="1">
      <c r="A7097" s="25" t="str">
        <f>IFERROR(__xludf.DUMMYFUNCTION("IF(B7097="""","""",RIGHT(REGEXREPLACE(B7097&amp;"""",""[^0-9]"",""""),9))"),"702085444")</f>
        <v>702085444</v>
      </c>
      <c r="B7097" s="52">
        <v>7.02085444E8</v>
      </c>
      <c r="C7097" s="28" t="s">
        <v>4484</v>
      </c>
      <c r="D7097" s="26" t="s">
        <v>64</v>
      </c>
      <c r="E7097" s="31">
        <v>46243.0</v>
      </c>
      <c r="F7097" s="26" t="s">
        <v>205</v>
      </c>
      <c r="I7097" s="26" t="s">
        <v>951</v>
      </c>
      <c r="J7097" s="25" t="str">
        <f t="shared" si="82"/>
        <v>No</v>
      </c>
      <c r="K7097" s="25" t="str">
        <f t="shared" si="83"/>
        <v/>
      </c>
      <c r="L7097" s="25" t="str">
        <f t="shared" si="84"/>
        <v/>
      </c>
      <c r="M7097" s="25"/>
      <c r="O7097" s="25"/>
    </row>
    <row r="7098" ht="15.75" customHeight="1">
      <c r="A7098" s="25" t="str">
        <f>IFERROR(__xludf.DUMMYFUNCTION("IF(B7098="""","""",RIGHT(REGEXREPLACE(B7098&amp;"""",""[^0-9]"",""""),9))"),"782397075")</f>
        <v>782397075</v>
      </c>
      <c r="B7098" s="52">
        <v>7.82397075E8</v>
      </c>
      <c r="C7098" s="28" t="s">
        <v>7358</v>
      </c>
      <c r="D7098" s="26" t="s">
        <v>45</v>
      </c>
      <c r="E7098" s="31">
        <v>46243.0</v>
      </c>
      <c r="F7098" s="26" t="s">
        <v>41</v>
      </c>
      <c r="I7098" s="26" t="s">
        <v>951</v>
      </c>
      <c r="J7098" s="25" t="str">
        <f t="shared" si="82"/>
        <v>No</v>
      </c>
      <c r="K7098" s="25" t="str">
        <f t="shared" si="83"/>
        <v/>
      </c>
      <c r="L7098" s="25" t="str">
        <f t="shared" si="84"/>
        <v/>
      </c>
      <c r="M7098" s="25"/>
      <c r="O7098" s="25"/>
    </row>
    <row r="7099" ht="15.75" customHeight="1">
      <c r="A7099" s="25" t="str">
        <f>IFERROR(__xludf.DUMMYFUNCTION("IF(B7099="""","""",RIGHT(REGEXREPLACE(B7099&amp;"""",""[^0-9]"",""""),9))"),"719241717")</f>
        <v>719241717</v>
      </c>
      <c r="B7099" s="52">
        <v>7.19241717E8</v>
      </c>
      <c r="C7099" s="28" t="s">
        <v>7359</v>
      </c>
      <c r="D7099" s="26" t="s">
        <v>56</v>
      </c>
      <c r="E7099" s="31">
        <v>46243.0</v>
      </c>
      <c r="F7099" s="26" t="s">
        <v>631</v>
      </c>
      <c r="G7099" s="26">
        <v>9.0</v>
      </c>
      <c r="I7099" s="26" t="s">
        <v>951</v>
      </c>
      <c r="J7099" s="25" t="str">
        <f t="shared" si="82"/>
        <v>No</v>
      </c>
      <c r="K7099" s="25" t="str">
        <f t="shared" si="83"/>
        <v/>
      </c>
      <c r="L7099" s="25" t="str">
        <f t="shared" si="84"/>
        <v/>
      </c>
      <c r="M7099" s="25"/>
      <c r="O7099" s="25"/>
    </row>
    <row r="7100" ht="15.75" customHeight="1">
      <c r="A7100" s="25" t="str">
        <f>IFERROR(__xludf.DUMMYFUNCTION("IF(B7100="""","""",RIGHT(REGEXREPLACE(B7100&amp;"""",""[^0-9]"",""""),9))"),"718274841")</f>
        <v>718274841</v>
      </c>
      <c r="B7100" s="52">
        <v>7.18274841E8</v>
      </c>
      <c r="C7100" s="28" t="s">
        <v>7360</v>
      </c>
      <c r="D7100" s="26" t="s">
        <v>49</v>
      </c>
      <c r="E7100" s="31">
        <v>46243.0</v>
      </c>
      <c r="F7100" s="26" t="s">
        <v>46</v>
      </c>
      <c r="G7100" s="26">
        <v>9.0</v>
      </c>
      <c r="I7100" s="26" t="s">
        <v>951</v>
      </c>
      <c r="J7100" s="25" t="str">
        <f t="shared" si="82"/>
        <v>No</v>
      </c>
      <c r="K7100" s="25" t="str">
        <f t="shared" si="83"/>
        <v/>
      </c>
      <c r="L7100" s="25" t="str">
        <f t="shared" si="84"/>
        <v/>
      </c>
      <c r="M7100" s="25"/>
      <c r="O7100" s="25"/>
    </row>
    <row r="7101" ht="15.75" customHeight="1">
      <c r="A7101" s="25" t="str">
        <f>IFERROR(__xludf.DUMMYFUNCTION("IF(B7101="""","""",RIGHT(REGEXREPLACE(B7101&amp;"""",""[^0-9]"",""""),9))"),"755935321")</f>
        <v>755935321</v>
      </c>
      <c r="B7101" s="52">
        <v>7.55935321E8</v>
      </c>
      <c r="C7101" s="28" t="s">
        <v>7361</v>
      </c>
      <c r="D7101" s="26" t="s">
        <v>45</v>
      </c>
      <c r="E7101" s="31">
        <v>46243.0</v>
      </c>
      <c r="F7101" s="26" t="s">
        <v>46</v>
      </c>
      <c r="G7101" s="26">
        <v>9.0</v>
      </c>
      <c r="I7101" s="26" t="s">
        <v>951</v>
      </c>
      <c r="J7101" s="25" t="str">
        <f t="shared" si="82"/>
        <v>No</v>
      </c>
      <c r="K7101" s="25" t="str">
        <f t="shared" si="83"/>
        <v/>
      </c>
      <c r="L7101" s="25" t="str">
        <f t="shared" si="84"/>
        <v/>
      </c>
      <c r="M7101" s="25"/>
      <c r="O7101" s="25"/>
    </row>
    <row r="7102" ht="15.75" customHeight="1">
      <c r="A7102" s="25" t="str">
        <f>IFERROR(__xludf.DUMMYFUNCTION("IF(B7102="""","""",RIGHT(REGEXREPLACE(B7102&amp;"""",""[^0-9]"",""""),9))"),"778173495")</f>
        <v>778173495</v>
      </c>
      <c r="B7102" s="52">
        <v>7.78173495E8</v>
      </c>
      <c r="C7102" s="28" t="s">
        <v>7362</v>
      </c>
      <c r="D7102" s="26" t="s">
        <v>56</v>
      </c>
      <c r="E7102" s="31">
        <v>46243.0</v>
      </c>
      <c r="F7102" s="26" t="s">
        <v>46</v>
      </c>
      <c r="G7102" s="26">
        <v>9.0</v>
      </c>
      <c r="I7102" s="26" t="s">
        <v>951</v>
      </c>
      <c r="J7102" s="25" t="str">
        <f t="shared" si="82"/>
        <v>No</v>
      </c>
      <c r="K7102" s="25" t="str">
        <f t="shared" si="83"/>
        <v/>
      </c>
      <c r="L7102" s="25" t="str">
        <f t="shared" si="84"/>
        <v/>
      </c>
      <c r="M7102" s="25"/>
      <c r="O7102" s="25"/>
    </row>
    <row r="7103" ht="15.75" customHeight="1">
      <c r="A7103" s="25" t="str">
        <f>IFERROR(__xludf.DUMMYFUNCTION("IF(B7103="""","""",RIGHT(REGEXREPLACE(B7103&amp;"""",""[^0-9]"",""""),9))"),"715622324")</f>
        <v>715622324</v>
      </c>
      <c r="B7103" s="52">
        <v>7.15622324E8</v>
      </c>
      <c r="C7103" s="28" t="s">
        <v>7363</v>
      </c>
      <c r="D7103" s="26" t="s">
        <v>82</v>
      </c>
      <c r="E7103" s="31">
        <v>46243.0</v>
      </c>
      <c r="F7103" s="26" t="s">
        <v>46</v>
      </c>
      <c r="G7103" s="26">
        <v>9.0</v>
      </c>
      <c r="I7103" s="26" t="s">
        <v>951</v>
      </c>
      <c r="J7103" s="25" t="str">
        <f t="shared" si="82"/>
        <v>No</v>
      </c>
      <c r="K7103" s="25" t="str">
        <f t="shared" si="83"/>
        <v/>
      </c>
      <c r="L7103" s="25" t="str">
        <f t="shared" si="84"/>
        <v/>
      </c>
      <c r="M7103" s="25"/>
      <c r="O7103" s="25"/>
    </row>
    <row r="7104" ht="15.75" customHeight="1">
      <c r="A7104" s="25" t="str">
        <f>IFERROR(__xludf.DUMMYFUNCTION("IF(B7104="""","""",RIGHT(REGEXREPLACE(B7104&amp;"""",""[^0-9]"",""""),9))"),"712890769")</f>
        <v>712890769</v>
      </c>
      <c r="B7104" s="52">
        <v>7.12890769E8</v>
      </c>
      <c r="C7104" s="28" t="s">
        <v>7364</v>
      </c>
      <c r="D7104" s="26" t="s">
        <v>82</v>
      </c>
      <c r="E7104" s="31">
        <v>46243.0</v>
      </c>
      <c r="F7104" s="26" t="s">
        <v>41</v>
      </c>
      <c r="G7104" s="26">
        <v>9.0</v>
      </c>
      <c r="I7104" s="26" t="s">
        <v>951</v>
      </c>
      <c r="J7104" s="25" t="str">
        <f t="shared" si="82"/>
        <v>No</v>
      </c>
      <c r="K7104" s="25" t="str">
        <f t="shared" si="83"/>
        <v/>
      </c>
      <c r="L7104" s="25" t="str">
        <f t="shared" si="84"/>
        <v/>
      </c>
      <c r="M7104" s="25"/>
      <c r="O7104" s="26" t="s">
        <v>51</v>
      </c>
    </row>
    <row r="7105" ht="15.75" customHeight="1">
      <c r="A7105" s="25" t="str">
        <f>IFERROR(__xludf.DUMMYFUNCTION("IF(B7105="""","""",RIGHT(REGEXREPLACE(B7105&amp;"""",""[^0-9]"",""""),9))"),"765279203")</f>
        <v>765279203</v>
      </c>
      <c r="B7105" s="52">
        <v>7.65279203E8</v>
      </c>
      <c r="C7105" s="28" t="s">
        <v>7365</v>
      </c>
      <c r="D7105" s="26" t="s">
        <v>49</v>
      </c>
      <c r="E7105" s="31">
        <v>46243.0</v>
      </c>
      <c r="F7105" s="26" t="s">
        <v>46</v>
      </c>
      <c r="G7105" s="26">
        <v>9.0</v>
      </c>
      <c r="I7105" s="26" t="s">
        <v>951</v>
      </c>
      <c r="J7105" s="25" t="str">
        <f t="shared" si="82"/>
        <v>No</v>
      </c>
      <c r="K7105" s="25" t="str">
        <f t="shared" si="83"/>
        <v/>
      </c>
      <c r="L7105" s="25" t="str">
        <f t="shared" si="84"/>
        <v/>
      </c>
      <c r="M7105" s="25"/>
      <c r="O7105" s="25"/>
    </row>
    <row r="7106" ht="15.75" customHeight="1">
      <c r="A7106" s="25" t="str">
        <f>IFERROR(__xludf.DUMMYFUNCTION("IF(B7106="""","""",RIGHT(REGEXREPLACE(B7106&amp;"""",""[^0-9]"",""""),9))"),"774568970")</f>
        <v>774568970</v>
      </c>
      <c r="B7106" s="52">
        <v>7.7456897E8</v>
      </c>
      <c r="C7106" s="28" t="s">
        <v>7366</v>
      </c>
      <c r="D7106" s="26" t="s">
        <v>56</v>
      </c>
      <c r="E7106" s="31">
        <v>46243.0</v>
      </c>
      <c r="F7106" s="26" t="s">
        <v>205</v>
      </c>
      <c r="G7106" s="26">
        <v>9.0</v>
      </c>
      <c r="I7106" s="26" t="s">
        <v>951</v>
      </c>
      <c r="J7106" s="25" t="str">
        <f t="shared" si="82"/>
        <v>No</v>
      </c>
      <c r="K7106" s="25" t="str">
        <f t="shared" si="83"/>
        <v/>
      </c>
      <c r="L7106" s="25" t="str">
        <f t="shared" si="84"/>
        <v/>
      </c>
      <c r="M7106" s="25"/>
      <c r="O7106" s="25"/>
    </row>
    <row r="7107" ht="15.75" customHeight="1">
      <c r="A7107" s="25" t="str">
        <f>IFERROR(__xludf.DUMMYFUNCTION("IF(B7107="""","""",RIGHT(REGEXREPLACE(B7107&amp;"""",""[^0-9]"",""""),9))"),"765932975")</f>
        <v>765932975</v>
      </c>
      <c r="B7107" s="52">
        <v>7.65932975E8</v>
      </c>
      <c r="C7107" s="28" t="s">
        <v>7367</v>
      </c>
      <c r="D7107" s="26" t="s">
        <v>82</v>
      </c>
      <c r="E7107" s="31">
        <v>46243.0</v>
      </c>
      <c r="F7107" s="26" t="s">
        <v>46</v>
      </c>
      <c r="G7107" s="26">
        <v>9.0</v>
      </c>
      <c r="I7107" s="26" t="s">
        <v>951</v>
      </c>
      <c r="J7107" s="25" t="str">
        <f t="shared" si="82"/>
        <v>No</v>
      </c>
      <c r="K7107" s="25" t="str">
        <f t="shared" si="83"/>
        <v/>
      </c>
      <c r="L7107" s="25" t="str">
        <f t="shared" si="84"/>
        <v/>
      </c>
      <c r="M7107" s="25"/>
      <c r="O7107" s="25"/>
    </row>
    <row r="7108" ht="15.75" customHeight="1">
      <c r="A7108" s="25" t="str">
        <f>IFERROR(__xludf.DUMMYFUNCTION("IF(B7108="""","""",RIGHT(REGEXREPLACE(B7108&amp;"""",""[^0-9]"",""""),9))"),"718939105")</f>
        <v>718939105</v>
      </c>
      <c r="B7108" s="52">
        <v>7.18939105E8</v>
      </c>
      <c r="C7108" s="28" t="s">
        <v>7368</v>
      </c>
      <c r="D7108" s="26" t="s">
        <v>64</v>
      </c>
      <c r="E7108" s="31">
        <v>46243.0</v>
      </c>
      <c r="F7108" s="26" t="s">
        <v>46</v>
      </c>
      <c r="G7108" s="26">
        <v>9.0</v>
      </c>
      <c r="I7108" s="26" t="s">
        <v>951</v>
      </c>
      <c r="J7108" s="25" t="str">
        <f t="shared" si="82"/>
        <v>No</v>
      </c>
      <c r="K7108" s="25" t="str">
        <f t="shared" si="83"/>
        <v/>
      </c>
      <c r="L7108" s="25" t="str">
        <f t="shared" si="84"/>
        <v/>
      </c>
      <c r="M7108" s="25"/>
      <c r="O7108" s="25"/>
    </row>
    <row r="7109" ht="15.75" customHeight="1">
      <c r="A7109" s="25" t="str">
        <f>IFERROR(__xludf.DUMMYFUNCTION("IF(B7109="""","""",RIGHT(REGEXREPLACE(B7109&amp;"""",""[^0-9]"",""""),9))"),"725629577")</f>
        <v>725629577</v>
      </c>
      <c r="B7109" s="52">
        <v>7.25629577E8</v>
      </c>
      <c r="C7109" s="28" t="s">
        <v>7369</v>
      </c>
      <c r="D7109" s="26" t="s">
        <v>56</v>
      </c>
      <c r="E7109" s="31">
        <v>46243.0</v>
      </c>
      <c r="F7109" s="26" t="s">
        <v>46</v>
      </c>
      <c r="G7109" s="26">
        <v>8.0</v>
      </c>
      <c r="I7109" s="26" t="s">
        <v>951</v>
      </c>
      <c r="J7109" s="25" t="str">
        <f t="shared" si="82"/>
        <v>No</v>
      </c>
      <c r="K7109" s="25" t="str">
        <f t="shared" si="83"/>
        <v/>
      </c>
      <c r="L7109" s="25" t="str">
        <f t="shared" si="84"/>
        <v/>
      </c>
      <c r="M7109" s="25"/>
      <c r="O7109" s="25"/>
    </row>
    <row r="7110" ht="15.75" customHeight="1">
      <c r="A7110" s="25" t="str">
        <f>IFERROR(__xludf.DUMMYFUNCTION("IF(B7110="""","""",RIGHT(REGEXREPLACE(B7110&amp;"""",""[^0-9]"",""""),9))"),"760072232")</f>
        <v>760072232</v>
      </c>
      <c r="B7110" s="52">
        <v>7.60072232E8</v>
      </c>
      <c r="C7110" s="28" t="s">
        <v>7370</v>
      </c>
      <c r="D7110" s="26" t="s">
        <v>45</v>
      </c>
      <c r="E7110" s="31">
        <v>46243.0</v>
      </c>
      <c r="F7110" s="26" t="s">
        <v>46</v>
      </c>
      <c r="G7110" s="26">
        <v>10.0</v>
      </c>
      <c r="I7110" s="26" t="s">
        <v>951</v>
      </c>
      <c r="J7110" s="25" t="str">
        <f t="shared" si="82"/>
        <v>No</v>
      </c>
      <c r="K7110" s="25" t="str">
        <f t="shared" si="83"/>
        <v/>
      </c>
      <c r="L7110" s="25" t="str">
        <f t="shared" si="84"/>
        <v/>
      </c>
      <c r="M7110" s="25"/>
      <c r="O7110" s="25"/>
    </row>
    <row r="7111" ht="15.75" customHeight="1">
      <c r="A7111" s="25" t="str">
        <f>IFERROR(__xludf.DUMMYFUNCTION("IF(B7111="""","""",RIGHT(REGEXREPLACE(B7111&amp;"""",""[^0-9]"",""""),9))"),"761672535")</f>
        <v>761672535</v>
      </c>
      <c r="B7111" s="52">
        <v>7.61672535E8</v>
      </c>
      <c r="C7111" s="28" t="s">
        <v>7371</v>
      </c>
      <c r="D7111" s="26" t="s">
        <v>82</v>
      </c>
      <c r="E7111" s="31">
        <v>46243.0</v>
      </c>
      <c r="F7111" s="26" t="s">
        <v>41</v>
      </c>
      <c r="G7111" s="26">
        <v>9.0</v>
      </c>
      <c r="I7111" s="26" t="s">
        <v>951</v>
      </c>
      <c r="J7111" s="25" t="str">
        <f t="shared" si="82"/>
        <v>No</v>
      </c>
      <c r="K7111" s="25" t="str">
        <f t="shared" si="83"/>
        <v/>
      </c>
      <c r="L7111" s="25" t="str">
        <f t="shared" si="84"/>
        <v/>
      </c>
      <c r="M7111" s="25"/>
      <c r="O7111" s="25"/>
    </row>
    <row r="7112" ht="15.75" customHeight="1">
      <c r="A7112" s="25" t="str">
        <f>IFERROR(__xludf.DUMMYFUNCTION("IF(B7112="""","""",RIGHT(REGEXREPLACE(B7112&amp;"""",""[^0-9]"",""""),9))"),"719229688")</f>
        <v>719229688</v>
      </c>
      <c r="B7112" s="52">
        <v>7.19229688E8</v>
      </c>
      <c r="C7112" s="28" t="s">
        <v>7372</v>
      </c>
      <c r="D7112" s="26" t="s">
        <v>45</v>
      </c>
      <c r="E7112" s="31">
        <v>46243.0</v>
      </c>
      <c r="F7112" s="26" t="s">
        <v>41</v>
      </c>
      <c r="I7112" s="26" t="s">
        <v>951</v>
      </c>
      <c r="J7112" s="25" t="str">
        <f t="shared" si="82"/>
        <v>No</v>
      </c>
      <c r="K7112" s="25" t="str">
        <f t="shared" si="83"/>
        <v/>
      </c>
      <c r="L7112" s="25" t="str">
        <f t="shared" si="84"/>
        <v/>
      </c>
      <c r="M7112" s="25"/>
      <c r="O7112" s="25"/>
    </row>
    <row r="7113" ht="15.75" customHeight="1">
      <c r="A7113" s="25" t="str">
        <f>IFERROR(__xludf.DUMMYFUNCTION("IF(B7113="""","""",RIGHT(REGEXREPLACE(B7113&amp;"""",""[^0-9]"",""""),9))"),"775536232")</f>
        <v>775536232</v>
      </c>
      <c r="B7113" s="52">
        <v>7.75536232E8</v>
      </c>
      <c r="C7113" s="28" t="s">
        <v>7373</v>
      </c>
      <c r="D7113" s="26" t="s">
        <v>49</v>
      </c>
      <c r="E7113" s="31">
        <v>46243.0</v>
      </c>
      <c r="F7113" s="26" t="s">
        <v>46</v>
      </c>
      <c r="G7113" s="26">
        <v>11.0</v>
      </c>
      <c r="H7113" s="26" t="s">
        <v>5896</v>
      </c>
      <c r="I7113" s="26" t="s">
        <v>951</v>
      </c>
      <c r="J7113" s="25" t="str">
        <f t="shared" si="82"/>
        <v>No</v>
      </c>
      <c r="K7113" s="25" t="str">
        <f t="shared" si="83"/>
        <v/>
      </c>
      <c r="L7113" s="25" t="str">
        <f t="shared" si="84"/>
        <v/>
      </c>
      <c r="M7113" s="25"/>
      <c r="O7113" s="25"/>
    </row>
    <row r="7114" ht="15.75" customHeight="1">
      <c r="A7114" s="25" t="str">
        <f>IFERROR(__xludf.DUMMYFUNCTION("IF(B7114="""","""",RIGHT(REGEXREPLACE(B7114&amp;"""",""[^0-9]"",""""),9))"),"740461477")</f>
        <v>740461477</v>
      </c>
      <c r="B7114" s="52">
        <v>7.40461477E8</v>
      </c>
      <c r="C7114" s="28" t="s">
        <v>7374</v>
      </c>
      <c r="D7114" s="26" t="s">
        <v>56</v>
      </c>
      <c r="E7114" s="31">
        <v>46243.0</v>
      </c>
      <c r="F7114" s="26" t="s">
        <v>46</v>
      </c>
      <c r="G7114" s="26">
        <v>9.0</v>
      </c>
      <c r="I7114" s="26" t="s">
        <v>951</v>
      </c>
      <c r="J7114" s="25" t="str">
        <f t="shared" si="82"/>
        <v>No</v>
      </c>
      <c r="K7114" s="25" t="str">
        <f t="shared" si="83"/>
        <v/>
      </c>
      <c r="L7114" s="25" t="str">
        <f t="shared" si="84"/>
        <v/>
      </c>
      <c r="M7114" s="25"/>
      <c r="O7114" s="25"/>
    </row>
    <row r="7115" ht="15.75" customHeight="1">
      <c r="A7115" s="25" t="str">
        <f>IFERROR(__xludf.DUMMYFUNCTION("IF(B7115="""","""",RIGHT(REGEXREPLACE(B7115&amp;"""",""[^0-9]"",""""),9))"),"773322039")</f>
        <v>773322039</v>
      </c>
      <c r="B7115" s="52">
        <v>7.73322039E8</v>
      </c>
      <c r="C7115" s="28" t="s">
        <v>7375</v>
      </c>
      <c r="D7115" s="26" t="s">
        <v>82</v>
      </c>
      <c r="E7115" s="31">
        <v>46243.0</v>
      </c>
      <c r="F7115" s="26" t="s">
        <v>46</v>
      </c>
      <c r="G7115" s="26">
        <v>9.0</v>
      </c>
      <c r="I7115" s="26" t="s">
        <v>951</v>
      </c>
      <c r="J7115" s="25" t="str">
        <f t="shared" si="82"/>
        <v>No</v>
      </c>
      <c r="K7115" s="25" t="str">
        <f t="shared" si="83"/>
        <v/>
      </c>
      <c r="L7115" s="25" t="str">
        <f t="shared" si="84"/>
        <v/>
      </c>
      <c r="M7115" s="25"/>
      <c r="O7115" s="26" t="s">
        <v>51</v>
      </c>
    </row>
    <row r="7116" ht="15.75" customHeight="1">
      <c r="A7116" s="25" t="str">
        <f>IFERROR(__xludf.DUMMYFUNCTION("IF(B7116="""","""",RIGHT(REGEXREPLACE(B7116&amp;"""",""[^0-9]"",""""),9))"),"721600700")</f>
        <v>721600700</v>
      </c>
      <c r="B7116" s="52">
        <v>7.216007E8</v>
      </c>
      <c r="C7116" s="28" t="s">
        <v>7376</v>
      </c>
      <c r="D7116" s="26" t="s">
        <v>64</v>
      </c>
      <c r="E7116" s="31">
        <v>46243.0</v>
      </c>
      <c r="F7116" s="26" t="s">
        <v>46</v>
      </c>
      <c r="G7116" s="26">
        <v>9.0</v>
      </c>
      <c r="H7116" s="26" t="s">
        <v>2293</v>
      </c>
      <c r="I7116" s="26" t="s">
        <v>951</v>
      </c>
      <c r="J7116" s="25" t="str">
        <f t="shared" si="82"/>
        <v>No</v>
      </c>
      <c r="K7116" s="25" t="str">
        <f t="shared" si="83"/>
        <v/>
      </c>
      <c r="L7116" s="25" t="str">
        <f t="shared" si="84"/>
        <v/>
      </c>
      <c r="M7116" s="25"/>
      <c r="O7116" s="25"/>
    </row>
    <row r="7117" ht="15.75" customHeight="1">
      <c r="A7117" s="25" t="str">
        <f>IFERROR(__xludf.DUMMYFUNCTION("IF(B7117="""","""",RIGHT(REGEXREPLACE(B7117&amp;"""",""[^0-9]"",""""),9))"),"742718744")</f>
        <v>742718744</v>
      </c>
      <c r="B7117" s="52">
        <v>7.42718744E8</v>
      </c>
      <c r="C7117" s="28" t="s">
        <v>7377</v>
      </c>
      <c r="D7117" s="26" t="s">
        <v>45</v>
      </c>
      <c r="E7117" s="31">
        <v>46243.0</v>
      </c>
      <c r="F7117" s="26" t="s">
        <v>41</v>
      </c>
      <c r="I7117" s="26" t="s">
        <v>951</v>
      </c>
      <c r="J7117" s="25" t="str">
        <f t="shared" si="82"/>
        <v>No</v>
      </c>
      <c r="K7117" s="25" t="str">
        <f t="shared" si="83"/>
        <v/>
      </c>
      <c r="L7117" s="25" t="str">
        <f t="shared" si="84"/>
        <v/>
      </c>
      <c r="M7117" s="25"/>
      <c r="O7117" s="25"/>
    </row>
    <row r="7118" ht="15.75" customHeight="1">
      <c r="A7118" s="25" t="str">
        <f>IFERROR(__xludf.DUMMYFUNCTION("IF(B7118="""","""",RIGHT(REGEXREPLACE(B7118&amp;"""",""[^0-9]"",""""),9))"),"701122956")</f>
        <v>701122956</v>
      </c>
      <c r="B7118" s="52">
        <v>7.01122956E8</v>
      </c>
      <c r="C7118" s="28" t="s">
        <v>7378</v>
      </c>
      <c r="D7118" s="26" t="s">
        <v>49</v>
      </c>
      <c r="E7118" s="31">
        <v>46243.0</v>
      </c>
      <c r="F7118" s="26" t="s">
        <v>46</v>
      </c>
      <c r="G7118" s="26">
        <v>8.0</v>
      </c>
      <c r="H7118" s="26" t="s">
        <v>94</v>
      </c>
      <c r="I7118" s="26" t="s">
        <v>951</v>
      </c>
      <c r="J7118" s="25" t="str">
        <f t="shared" si="82"/>
        <v>No</v>
      </c>
      <c r="K7118" s="25" t="str">
        <f t="shared" si="83"/>
        <v/>
      </c>
      <c r="L7118" s="25" t="str">
        <f t="shared" si="84"/>
        <v/>
      </c>
      <c r="M7118" s="25"/>
      <c r="O7118" s="25"/>
    </row>
    <row r="7119" ht="15.75" customHeight="1">
      <c r="A7119" s="25" t="str">
        <f>IFERROR(__xludf.DUMMYFUNCTION("IF(B7119="""","""",RIGHT(REGEXREPLACE(B7119&amp;"""",""[^0-9]"",""""),9))"),"755675093")</f>
        <v>755675093</v>
      </c>
      <c r="B7119" s="52">
        <v>7.55675093E8</v>
      </c>
      <c r="C7119" s="28" t="s">
        <v>7379</v>
      </c>
      <c r="D7119" s="26" t="s">
        <v>56</v>
      </c>
      <c r="E7119" s="31">
        <v>46243.0</v>
      </c>
      <c r="F7119" s="26" t="s">
        <v>205</v>
      </c>
      <c r="I7119" s="26" t="s">
        <v>951</v>
      </c>
      <c r="J7119" s="25" t="str">
        <f t="shared" si="82"/>
        <v>No</v>
      </c>
      <c r="K7119" s="25" t="str">
        <f t="shared" si="83"/>
        <v/>
      </c>
      <c r="L7119" s="25" t="str">
        <f t="shared" si="84"/>
        <v/>
      </c>
      <c r="M7119" s="25"/>
      <c r="O7119" s="25"/>
    </row>
    <row r="7120" ht="15.75" customHeight="1">
      <c r="A7120" s="25" t="str">
        <f>IFERROR(__xludf.DUMMYFUNCTION("IF(B7120="""","""",RIGHT(REGEXREPLACE(B7120&amp;"""",""[^0-9]"",""""),9))"),"775014360")</f>
        <v>775014360</v>
      </c>
      <c r="B7120" s="52">
        <v>7.7501436E8</v>
      </c>
      <c r="C7120" s="28" t="s">
        <v>7380</v>
      </c>
      <c r="D7120" s="26" t="s">
        <v>56</v>
      </c>
      <c r="E7120" s="31">
        <v>46243.0</v>
      </c>
      <c r="F7120" s="26" t="s">
        <v>205</v>
      </c>
      <c r="G7120" s="26">
        <v>9.0</v>
      </c>
      <c r="I7120" s="26" t="s">
        <v>951</v>
      </c>
      <c r="J7120" s="25" t="str">
        <f t="shared" si="82"/>
        <v>No</v>
      </c>
      <c r="K7120" s="25" t="str">
        <f t="shared" si="83"/>
        <v/>
      </c>
      <c r="L7120" s="25" t="str">
        <f t="shared" si="84"/>
        <v/>
      </c>
      <c r="M7120" s="25"/>
      <c r="O7120" s="25"/>
    </row>
    <row r="7121" ht="15.75" customHeight="1">
      <c r="A7121" s="25" t="str">
        <f>IFERROR(__xludf.DUMMYFUNCTION("IF(B7121="""","""",RIGHT(REGEXREPLACE(B7121&amp;"""",""[^0-9]"",""""),9))"),"775384488")</f>
        <v>775384488</v>
      </c>
      <c r="B7121" s="52">
        <v>7.75384488E8</v>
      </c>
      <c r="C7121" s="28" t="s">
        <v>7381</v>
      </c>
      <c r="D7121" s="26" t="s">
        <v>45</v>
      </c>
      <c r="E7121" s="31">
        <v>46243.0</v>
      </c>
      <c r="F7121" s="26" t="s">
        <v>46</v>
      </c>
      <c r="G7121" s="26">
        <v>9.0</v>
      </c>
      <c r="H7121" s="26" t="s">
        <v>819</v>
      </c>
      <c r="I7121" s="26" t="s">
        <v>951</v>
      </c>
      <c r="J7121" s="25" t="str">
        <f t="shared" si="82"/>
        <v>No</v>
      </c>
      <c r="K7121" s="25" t="str">
        <f t="shared" si="83"/>
        <v/>
      </c>
      <c r="L7121" s="25" t="str">
        <f t="shared" si="84"/>
        <v/>
      </c>
      <c r="M7121" s="25"/>
      <c r="O7121" s="25"/>
    </row>
    <row r="7122" ht="15.75" customHeight="1">
      <c r="A7122" s="25" t="str">
        <f>IFERROR(__xludf.DUMMYFUNCTION("IF(B7122="""","""",RIGHT(REGEXREPLACE(B7122&amp;"""",""[^0-9]"",""""),9))"),"764787733")</f>
        <v>764787733</v>
      </c>
      <c r="B7122" s="52">
        <v>7.64787733E8</v>
      </c>
      <c r="C7122" s="28" t="s">
        <v>7382</v>
      </c>
      <c r="D7122" s="25"/>
      <c r="E7122" s="31">
        <v>46243.0</v>
      </c>
      <c r="F7122" s="25"/>
      <c r="G7122" s="25"/>
      <c r="H7122" s="25"/>
      <c r="I7122" s="26" t="s">
        <v>951</v>
      </c>
      <c r="J7122" s="25" t="str">
        <f t="shared" si="82"/>
        <v>No</v>
      </c>
      <c r="K7122" s="25" t="str">
        <f t="shared" si="83"/>
        <v/>
      </c>
      <c r="L7122" s="25" t="str">
        <f t="shared" si="84"/>
        <v/>
      </c>
      <c r="M7122" s="25"/>
      <c r="N7122" s="25"/>
      <c r="O7122" s="25"/>
      <c r="P7122" s="25"/>
    </row>
    <row r="7123" ht="15.75" customHeight="1">
      <c r="A7123" s="25" t="str">
        <f>IFERROR(__xludf.DUMMYFUNCTION("IF(B7123="""","""",RIGHT(REGEXREPLACE(B7123&amp;"""",""[^0-9]"",""""),9))"),"764787733")</f>
        <v>764787733</v>
      </c>
      <c r="B7123" s="52">
        <v>7.64787733E8</v>
      </c>
      <c r="C7123" s="28" t="s">
        <v>7382</v>
      </c>
      <c r="D7123" s="26" t="s">
        <v>82</v>
      </c>
      <c r="E7123" s="31">
        <v>46243.0</v>
      </c>
      <c r="F7123" s="26" t="s">
        <v>41</v>
      </c>
      <c r="G7123" s="26">
        <v>9.0</v>
      </c>
      <c r="I7123" s="26" t="s">
        <v>951</v>
      </c>
      <c r="J7123" s="25" t="str">
        <f t="shared" si="82"/>
        <v>Yes - see Previous F-Code</v>
      </c>
      <c r="K7123" s="25" t="str">
        <f t="shared" si="83"/>
        <v>DUPLICATE - CHECK</v>
      </c>
      <c r="L7123" s="25" t="str">
        <f t="shared" si="84"/>
        <v>F76317</v>
      </c>
      <c r="M7123" s="25"/>
      <c r="O7123" s="25"/>
    </row>
    <row r="7124" ht="15.75" customHeight="1">
      <c r="A7124" s="25" t="str">
        <f>IFERROR(__xludf.DUMMYFUNCTION("IF(B7124="""","""",RIGHT(REGEXREPLACE(B7124&amp;"""",""[^0-9]"",""""),9))"),"770790428")</f>
        <v>770790428</v>
      </c>
      <c r="B7124" s="52">
        <v>7.70790428E8</v>
      </c>
      <c r="C7124" s="28" t="s">
        <v>7383</v>
      </c>
      <c r="D7124" s="26" t="s">
        <v>64</v>
      </c>
      <c r="E7124" s="31">
        <v>46243.0</v>
      </c>
      <c r="F7124" s="26" t="s">
        <v>46</v>
      </c>
      <c r="G7124" s="26" t="s">
        <v>2011</v>
      </c>
      <c r="I7124" s="26" t="s">
        <v>951</v>
      </c>
      <c r="J7124" s="25" t="str">
        <f t="shared" si="82"/>
        <v>No</v>
      </c>
      <c r="K7124" s="25" t="str">
        <f t="shared" si="83"/>
        <v/>
      </c>
      <c r="L7124" s="25" t="str">
        <f t="shared" si="84"/>
        <v/>
      </c>
      <c r="M7124" s="25"/>
      <c r="O7124" s="25"/>
    </row>
    <row r="7125" ht="15.75" customHeight="1">
      <c r="A7125" s="25" t="str">
        <f>IFERROR(__xludf.DUMMYFUNCTION("IF(B7125="""","""",RIGHT(REGEXREPLACE(B7125&amp;"""",""[^0-9]"",""""),9))"),"764471251")</f>
        <v>764471251</v>
      </c>
      <c r="B7125" s="52">
        <v>7.64471251E8</v>
      </c>
      <c r="C7125" s="28" t="s">
        <v>7384</v>
      </c>
      <c r="D7125" s="26" t="s">
        <v>56</v>
      </c>
      <c r="E7125" s="31">
        <v>46243.0</v>
      </c>
      <c r="F7125" s="26" t="s">
        <v>41</v>
      </c>
      <c r="I7125" s="26" t="s">
        <v>951</v>
      </c>
      <c r="J7125" s="25" t="str">
        <f t="shared" si="82"/>
        <v>No</v>
      </c>
      <c r="K7125" s="25" t="str">
        <f t="shared" si="83"/>
        <v/>
      </c>
      <c r="L7125" s="25" t="str">
        <f t="shared" si="84"/>
        <v/>
      </c>
      <c r="M7125" s="25"/>
      <c r="O7125" s="25"/>
    </row>
    <row r="7126" ht="15.75" customHeight="1">
      <c r="A7126" s="25" t="str">
        <f>IFERROR(__xludf.DUMMYFUNCTION("IF(B7126="""","""",RIGHT(REGEXREPLACE(B7126&amp;"""",""[^0-9]"",""""),9))"),"779927065")</f>
        <v>779927065</v>
      </c>
      <c r="B7126" s="52">
        <v>7.79927065E8</v>
      </c>
      <c r="C7126" s="28" t="s">
        <v>4860</v>
      </c>
      <c r="D7126" s="26" t="s">
        <v>49</v>
      </c>
      <c r="E7126" s="31">
        <v>46243.0</v>
      </c>
      <c r="F7126" s="26" t="s">
        <v>205</v>
      </c>
      <c r="I7126" s="26" t="s">
        <v>951</v>
      </c>
      <c r="J7126" s="25" t="str">
        <f t="shared" si="82"/>
        <v>Yes - see Previous F-Code</v>
      </c>
      <c r="K7126" s="25" t="str">
        <f t="shared" si="83"/>
        <v/>
      </c>
      <c r="L7126" s="25" t="str">
        <f t="shared" si="84"/>
        <v>F74432</v>
      </c>
      <c r="M7126" s="25"/>
      <c r="O7126" s="25"/>
    </row>
    <row r="7127" ht="15.75" customHeight="1">
      <c r="A7127" s="25" t="str">
        <f>IFERROR(__xludf.DUMMYFUNCTION("IF(B7127="""","""",RIGHT(REGEXREPLACE(B7127&amp;"""",""[^0-9]"",""""),9))"),"770321184")</f>
        <v>770321184</v>
      </c>
      <c r="B7127" s="52">
        <v>7.70321184E8</v>
      </c>
      <c r="C7127" s="28" t="s">
        <v>7385</v>
      </c>
      <c r="D7127" s="26" t="s">
        <v>56</v>
      </c>
      <c r="E7127" s="31">
        <v>46243.0</v>
      </c>
      <c r="F7127" s="26" t="s">
        <v>46</v>
      </c>
      <c r="G7127" s="26">
        <v>9.0</v>
      </c>
      <c r="I7127" s="26" t="s">
        <v>951</v>
      </c>
      <c r="J7127" s="25" t="str">
        <f t="shared" si="82"/>
        <v>No</v>
      </c>
      <c r="K7127" s="25" t="str">
        <f t="shared" si="83"/>
        <v/>
      </c>
      <c r="L7127" s="25" t="str">
        <f t="shared" si="84"/>
        <v/>
      </c>
      <c r="M7127" s="25"/>
      <c r="O7127" s="25"/>
    </row>
    <row r="7128" ht="15.75" customHeight="1">
      <c r="A7128" s="25" t="str">
        <f>IFERROR(__xludf.DUMMYFUNCTION("IF(B7128="""","""",RIGHT(REGEXREPLACE(B7128&amp;"""",""[^0-9]"",""""),9))"),"718301026")</f>
        <v>718301026</v>
      </c>
      <c r="B7128" s="52">
        <v>7.18301026E8</v>
      </c>
      <c r="C7128" s="28" t="s">
        <v>7386</v>
      </c>
      <c r="D7128" s="26" t="s">
        <v>82</v>
      </c>
      <c r="E7128" s="31">
        <v>46243.0</v>
      </c>
      <c r="F7128" s="26" t="s">
        <v>659</v>
      </c>
      <c r="G7128" s="26">
        <v>10.0</v>
      </c>
      <c r="I7128" s="26" t="s">
        <v>951</v>
      </c>
      <c r="J7128" s="25" t="str">
        <f t="shared" si="82"/>
        <v>No</v>
      </c>
      <c r="K7128" s="25" t="str">
        <f t="shared" si="83"/>
        <v/>
      </c>
      <c r="L7128" s="25" t="str">
        <f t="shared" si="84"/>
        <v/>
      </c>
      <c r="M7128" s="25"/>
      <c r="O7128" s="25"/>
    </row>
    <row r="7129" ht="15.75" customHeight="1">
      <c r="A7129" s="25" t="str">
        <f>IFERROR(__xludf.DUMMYFUNCTION("IF(B7129="""","""",RIGHT(REGEXREPLACE(B7129&amp;"""",""[^0-9]"",""""),9))"),"705578180")</f>
        <v>705578180</v>
      </c>
      <c r="B7129" s="52">
        <v>7.0557818E8</v>
      </c>
      <c r="C7129" s="28" t="s">
        <v>7387</v>
      </c>
      <c r="D7129" s="26" t="s">
        <v>49</v>
      </c>
      <c r="E7129" s="31">
        <v>46243.0</v>
      </c>
      <c r="F7129" s="26" t="s">
        <v>205</v>
      </c>
      <c r="G7129" s="26">
        <v>9.0</v>
      </c>
      <c r="I7129" s="26" t="s">
        <v>951</v>
      </c>
      <c r="J7129" s="25" t="str">
        <f t="shared" si="82"/>
        <v>No</v>
      </c>
      <c r="K7129" s="25" t="str">
        <f t="shared" si="83"/>
        <v/>
      </c>
      <c r="L7129" s="25" t="str">
        <f t="shared" si="84"/>
        <v/>
      </c>
      <c r="M7129" s="25"/>
      <c r="O7129" s="25"/>
    </row>
    <row r="7130" ht="15.75" customHeight="1">
      <c r="A7130" s="25" t="str">
        <f>IFERROR(__xludf.DUMMYFUNCTION("IF(B7130="""","""",RIGHT(REGEXREPLACE(B7130&amp;"""",""[^0-9]"",""""),9))"),"766417651")</f>
        <v>766417651</v>
      </c>
      <c r="B7130" s="52">
        <v>7.66417651E8</v>
      </c>
      <c r="C7130" s="28" t="s">
        <v>7388</v>
      </c>
      <c r="D7130" s="26" t="s">
        <v>82</v>
      </c>
      <c r="E7130" s="31">
        <v>46243.0</v>
      </c>
      <c r="F7130" s="26" t="s">
        <v>46</v>
      </c>
      <c r="H7130" s="26" t="s">
        <v>4801</v>
      </c>
      <c r="I7130" s="26" t="s">
        <v>951</v>
      </c>
      <c r="J7130" s="25" t="str">
        <f t="shared" si="82"/>
        <v>No</v>
      </c>
      <c r="K7130" s="25" t="str">
        <f t="shared" si="83"/>
        <v/>
      </c>
      <c r="L7130" s="25" t="str">
        <f t="shared" si="84"/>
        <v/>
      </c>
      <c r="M7130" s="25"/>
      <c r="O7130" s="25"/>
    </row>
    <row r="7131" ht="15.75" customHeight="1">
      <c r="A7131" s="25" t="str">
        <f>IFERROR(__xludf.DUMMYFUNCTION("IF(B7131="""","""",RIGHT(REGEXREPLACE(B7131&amp;"""",""[^0-9]"",""""),9))"),"714223423")</f>
        <v>714223423</v>
      </c>
      <c r="B7131" s="52">
        <v>7.14223423E8</v>
      </c>
      <c r="C7131" s="28" t="s">
        <v>2324</v>
      </c>
      <c r="D7131" s="26" t="s">
        <v>45</v>
      </c>
      <c r="E7131" s="31">
        <v>46243.0</v>
      </c>
      <c r="F7131" s="26" t="s">
        <v>41</v>
      </c>
      <c r="G7131" s="26">
        <v>9.0</v>
      </c>
      <c r="I7131" s="26" t="s">
        <v>951</v>
      </c>
      <c r="J7131" s="25" t="str">
        <f t="shared" si="82"/>
        <v>Yes - see Previous F-Code</v>
      </c>
      <c r="K7131" s="25" t="str">
        <f t="shared" si="83"/>
        <v/>
      </c>
      <c r="L7131" s="25" t="str">
        <f t="shared" si="84"/>
        <v>F72021</v>
      </c>
      <c r="M7131" s="25"/>
      <c r="O7131" s="25"/>
    </row>
    <row r="7132" ht="15.75" customHeight="1">
      <c r="A7132" s="25" t="str">
        <f>IFERROR(__xludf.DUMMYFUNCTION("IF(B7132="""","""",RIGHT(REGEXREPLACE(B7132&amp;"""",""[^0-9]"",""""),9))"),"703548356")</f>
        <v>703548356</v>
      </c>
      <c r="B7132" s="52">
        <v>7.03548356E8</v>
      </c>
      <c r="C7132" s="28" t="s">
        <v>7389</v>
      </c>
      <c r="D7132" s="26" t="s">
        <v>45</v>
      </c>
      <c r="E7132" s="31">
        <v>46243.0</v>
      </c>
      <c r="F7132" s="26" t="s">
        <v>46</v>
      </c>
      <c r="G7132" s="26">
        <v>9.0</v>
      </c>
      <c r="I7132" s="26" t="s">
        <v>951</v>
      </c>
      <c r="J7132" s="25" t="str">
        <f t="shared" si="82"/>
        <v>No</v>
      </c>
      <c r="K7132" s="25" t="str">
        <f t="shared" si="83"/>
        <v/>
      </c>
      <c r="L7132" s="25" t="str">
        <f t="shared" si="84"/>
        <v/>
      </c>
      <c r="M7132" s="25"/>
      <c r="O7132" s="25"/>
    </row>
    <row r="7133" ht="15.75" customHeight="1">
      <c r="A7133" s="25" t="str">
        <f>IFERROR(__xludf.DUMMYFUNCTION("IF(B7133="""","""",RIGHT(REGEXREPLACE(B7133&amp;"""",""[^0-9]"",""""),9))"),"756040123")</f>
        <v>756040123</v>
      </c>
      <c r="B7133" s="52">
        <v>7.56040123E8</v>
      </c>
      <c r="C7133" s="28" t="s">
        <v>7390</v>
      </c>
      <c r="D7133" s="26" t="s">
        <v>49</v>
      </c>
      <c r="E7133" s="31">
        <v>46243.0</v>
      </c>
      <c r="F7133" s="26" t="s">
        <v>46</v>
      </c>
      <c r="G7133" s="26">
        <v>9.0</v>
      </c>
      <c r="H7133" s="26" t="s">
        <v>6958</v>
      </c>
      <c r="I7133" s="26" t="s">
        <v>951</v>
      </c>
      <c r="J7133" s="25" t="str">
        <f t="shared" si="82"/>
        <v>No</v>
      </c>
      <c r="K7133" s="25" t="str">
        <f t="shared" si="83"/>
        <v/>
      </c>
      <c r="L7133" s="25" t="str">
        <f t="shared" si="84"/>
        <v/>
      </c>
      <c r="M7133" s="25"/>
      <c r="O7133" s="25"/>
    </row>
    <row r="7134" ht="15.75" customHeight="1">
      <c r="A7134" s="25" t="str">
        <f>IFERROR(__xludf.DUMMYFUNCTION("IF(B7134="""","""",RIGHT(REGEXREPLACE(B7134&amp;"""",""[^0-9]"",""""),9))"),"767302798")</f>
        <v>767302798</v>
      </c>
      <c r="B7134" s="52">
        <v>7.67302798E8</v>
      </c>
      <c r="C7134" s="28" t="s">
        <v>7391</v>
      </c>
      <c r="D7134" s="26" t="s">
        <v>56</v>
      </c>
      <c r="E7134" s="31">
        <v>46243.0</v>
      </c>
      <c r="F7134" s="26" t="s">
        <v>205</v>
      </c>
      <c r="I7134" s="26" t="s">
        <v>951</v>
      </c>
      <c r="J7134" s="25" t="str">
        <f t="shared" si="82"/>
        <v>No</v>
      </c>
      <c r="K7134" s="25" t="str">
        <f t="shared" si="83"/>
        <v/>
      </c>
      <c r="L7134" s="25" t="str">
        <f t="shared" si="84"/>
        <v/>
      </c>
      <c r="M7134" s="25"/>
      <c r="O7134" s="25"/>
    </row>
    <row r="7135" ht="15.75" customHeight="1">
      <c r="A7135" s="25" t="str">
        <f>IFERROR(__xludf.DUMMYFUNCTION("IF(B7135="""","""",RIGHT(REGEXREPLACE(B7135&amp;"""",""[^0-9]"",""""),9))"),"774489050")</f>
        <v>774489050</v>
      </c>
      <c r="B7135" s="52">
        <v>7.7448905E8</v>
      </c>
      <c r="C7135" s="28" t="s">
        <v>7392</v>
      </c>
      <c r="D7135" s="26" t="s">
        <v>64</v>
      </c>
      <c r="E7135" s="31">
        <v>46243.0</v>
      </c>
      <c r="F7135" s="26" t="s">
        <v>41</v>
      </c>
      <c r="G7135" s="26">
        <v>8.0</v>
      </c>
      <c r="I7135" s="26" t="s">
        <v>951</v>
      </c>
      <c r="J7135" s="25" t="str">
        <f t="shared" si="82"/>
        <v>No</v>
      </c>
      <c r="K7135" s="25" t="str">
        <f t="shared" si="83"/>
        <v/>
      </c>
      <c r="L7135" s="25" t="str">
        <f t="shared" si="84"/>
        <v/>
      </c>
      <c r="M7135" s="25"/>
      <c r="O7135" s="25"/>
    </row>
    <row r="7136" ht="15.75" customHeight="1">
      <c r="A7136" s="25" t="str">
        <f>IFERROR(__xludf.DUMMYFUNCTION("IF(B7136="""","""",RIGHT(REGEXREPLACE(B7136&amp;"""",""[^0-9]"",""""),9))"),"712154622")</f>
        <v>712154622</v>
      </c>
      <c r="B7136" s="52">
        <v>7.12154622E8</v>
      </c>
      <c r="C7136" s="28" t="s">
        <v>7393</v>
      </c>
      <c r="D7136" s="26" t="s">
        <v>56</v>
      </c>
      <c r="E7136" s="31">
        <v>46243.0</v>
      </c>
      <c r="F7136" s="26" t="s">
        <v>46</v>
      </c>
      <c r="G7136" s="26">
        <v>8.0</v>
      </c>
      <c r="I7136" s="26" t="s">
        <v>951</v>
      </c>
      <c r="J7136" s="25" t="str">
        <f t="shared" si="82"/>
        <v>No</v>
      </c>
      <c r="K7136" s="25" t="str">
        <f t="shared" si="83"/>
        <v/>
      </c>
      <c r="L7136" s="25" t="str">
        <f t="shared" si="84"/>
        <v/>
      </c>
      <c r="M7136" s="25"/>
      <c r="O7136" s="25"/>
    </row>
    <row r="7137" ht="15.75" customHeight="1">
      <c r="A7137" s="25" t="str">
        <f>IFERROR(__xludf.DUMMYFUNCTION("IF(B7137="""","""",RIGHT(REGEXREPLACE(B7137&amp;"""",""[^0-9]"",""""),9))"),"707605058")</f>
        <v>707605058</v>
      </c>
      <c r="B7137" s="52">
        <v>7.07605058E8</v>
      </c>
      <c r="C7137" s="28" t="s">
        <v>7389</v>
      </c>
      <c r="D7137" s="26" t="s">
        <v>64</v>
      </c>
      <c r="E7137" s="31">
        <v>46243.0</v>
      </c>
      <c r="F7137" s="26" t="s">
        <v>46</v>
      </c>
      <c r="G7137" s="26">
        <v>9.0</v>
      </c>
      <c r="I7137" s="26" t="s">
        <v>951</v>
      </c>
      <c r="J7137" s="25" t="str">
        <f t="shared" si="82"/>
        <v>No</v>
      </c>
      <c r="K7137" s="25" t="str">
        <f t="shared" si="83"/>
        <v/>
      </c>
      <c r="L7137" s="25" t="str">
        <f t="shared" si="84"/>
        <v/>
      </c>
      <c r="M7137" s="25"/>
      <c r="O7137" s="26" t="s">
        <v>51</v>
      </c>
    </row>
    <row r="7138" ht="15.75" customHeight="1">
      <c r="A7138" s="25" t="str">
        <f>IFERROR(__xludf.DUMMYFUNCTION("IF(B7138="""","""",RIGHT(REGEXREPLACE(B7138&amp;"""",""[^0-9]"",""""),9))"),"703674629")</f>
        <v>703674629</v>
      </c>
      <c r="B7138" s="52">
        <v>7.03674629E8</v>
      </c>
      <c r="C7138" s="28" t="s">
        <v>6110</v>
      </c>
      <c r="D7138" s="26" t="s">
        <v>45</v>
      </c>
      <c r="E7138" s="31">
        <v>46243.0</v>
      </c>
      <c r="F7138" s="26" t="s">
        <v>205</v>
      </c>
      <c r="I7138" s="26" t="s">
        <v>951</v>
      </c>
      <c r="J7138" s="25" t="str">
        <f t="shared" si="82"/>
        <v>Yes - see Previous F-Code</v>
      </c>
      <c r="K7138" s="25" t="str">
        <f t="shared" si="83"/>
        <v/>
      </c>
      <c r="L7138" s="25" t="str">
        <f t="shared" si="84"/>
        <v>F75518</v>
      </c>
      <c r="M7138" s="25"/>
      <c r="O7138" s="25"/>
    </row>
    <row r="7139" ht="15.75" customHeight="1">
      <c r="A7139" s="25" t="str">
        <f>IFERROR(__xludf.DUMMYFUNCTION("IF(B7139="""","""",RIGHT(REGEXREPLACE(B7139&amp;"""",""[^0-9]"",""""),9))"),"702661266")</f>
        <v>702661266</v>
      </c>
      <c r="B7139" s="52">
        <v>7.02661266E8</v>
      </c>
      <c r="C7139" s="28" t="s">
        <v>7394</v>
      </c>
      <c r="D7139" s="26" t="s">
        <v>82</v>
      </c>
      <c r="E7139" s="31">
        <v>46243.0</v>
      </c>
      <c r="F7139" s="26" t="s">
        <v>205</v>
      </c>
      <c r="G7139" s="26">
        <v>9.0</v>
      </c>
      <c r="I7139" s="26" t="s">
        <v>951</v>
      </c>
      <c r="J7139" s="25" t="str">
        <f t="shared" si="82"/>
        <v>No</v>
      </c>
      <c r="K7139" s="25" t="str">
        <f t="shared" si="83"/>
        <v/>
      </c>
      <c r="L7139" s="25" t="str">
        <f t="shared" si="84"/>
        <v/>
      </c>
      <c r="M7139" s="25"/>
      <c r="O7139" s="25"/>
    </row>
    <row r="7140" ht="15.75" customHeight="1">
      <c r="A7140" s="25" t="str">
        <f>IFERROR(__xludf.DUMMYFUNCTION("IF(B7140="""","""",RIGHT(REGEXREPLACE(B7140&amp;"""",""[^0-9]"",""""),9))"),"778778454")</f>
        <v>778778454</v>
      </c>
      <c r="B7140" s="52">
        <v>7.78778454E8</v>
      </c>
      <c r="C7140" s="28" t="s">
        <v>7395</v>
      </c>
      <c r="D7140" s="26" t="s">
        <v>45</v>
      </c>
      <c r="E7140" s="31">
        <v>46243.0</v>
      </c>
      <c r="F7140" s="26" t="s">
        <v>46</v>
      </c>
      <c r="G7140" s="26">
        <v>9.0</v>
      </c>
      <c r="I7140" s="26" t="s">
        <v>951</v>
      </c>
      <c r="J7140" s="25" t="str">
        <f t="shared" si="82"/>
        <v>No</v>
      </c>
      <c r="K7140" s="25" t="str">
        <f t="shared" si="83"/>
        <v/>
      </c>
      <c r="L7140" s="25" t="str">
        <f t="shared" si="84"/>
        <v/>
      </c>
      <c r="M7140" s="25"/>
      <c r="O7140" s="25"/>
    </row>
    <row r="7141" ht="15.75" customHeight="1">
      <c r="A7141" s="25" t="str">
        <f>IFERROR(__xludf.DUMMYFUNCTION("IF(B7141="""","""",RIGHT(REGEXREPLACE(B7141&amp;"""",""[^0-9]"",""""),9))"),"760350528")</f>
        <v>760350528</v>
      </c>
      <c r="B7141" s="52">
        <v>7.60350528E8</v>
      </c>
      <c r="C7141" s="28" t="s">
        <v>1024</v>
      </c>
      <c r="D7141" s="26" t="s">
        <v>64</v>
      </c>
      <c r="E7141" s="31">
        <v>46243.0</v>
      </c>
      <c r="F7141" s="26" t="s">
        <v>46</v>
      </c>
      <c r="H7141" s="26" t="s">
        <v>140</v>
      </c>
      <c r="I7141" s="26" t="s">
        <v>951</v>
      </c>
      <c r="J7141" s="25" t="str">
        <f t="shared" si="82"/>
        <v>No</v>
      </c>
      <c r="K7141" s="25" t="str">
        <f t="shared" si="83"/>
        <v/>
      </c>
      <c r="L7141" s="25" t="str">
        <f t="shared" si="84"/>
        <v/>
      </c>
      <c r="M7141" s="25"/>
      <c r="O7141" s="25"/>
    </row>
    <row r="7142" ht="15.75" customHeight="1">
      <c r="A7142" s="25" t="str">
        <f>IFERROR(__xludf.DUMMYFUNCTION("IF(B7142="""","""",RIGHT(REGEXREPLACE(B7142&amp;"""",""[^0-9]"",""""),9))"),"786972929")</f>
        <v>786972929</v>
      </c>
      <c r="B7142" s="52">
        <v>7.86972929E8</v>
      </c>
      <c r="C7142" s="28" t="s">
        <v>7396</v>
      </c>
      <c r="D7142" s="26" t="s">
        <v>49</v>
      </c>
      <c r="E7142" s="31">
        <v>46243.0</v>
      </c>
      <c r="F7142" s="26" t="s">
        <v>46</v>
      </c>
      <c r="G7142" s="26">
        <v>9.0</v>
      </c>
      <c r="I7142" s="26" t="s">
        <v>951</v>
      </c>
      <c r="J7142" s="25" t="str">
        <f t="shared" si="82"/>
        <v>No</v>
      </c>
      <c r="K7142" s="25" t="str">
        <f t="shared" si="83"/>
        <v/>
      </c>
      <c r="L7142" s="25" t="str">
        <f t="shared" si="84"/>
        <v/>
      </c>
      <c r="M7142" s="25"/>
      <c r="O7142" s="25"/>
    </row>
    <row r="7143" ht="15.75" customHeight="1">
      <c r="A7143" s="25" t="str">
        <f>IFERROR(__xludf.DUMMYFUNCTION("IF(B7143="""","""",RIGHT(REGEXREPLACE(B7143&amp;"""",""[^0-9]"",""""),9))"),"719852766")</f>
        <v>719852766</v>
      </c>
      <c r="B7143" s="52">
        <v>7.19852766E8</v>
      </c>
      <c r="C7143" s="28" t="s">
        <v>7397</v>
      </c>
      <c r="D7143" s="26" t="s">
        <v>82</v>
      </c>
      <c r="E7143" s="31">
        <v>46243.0</v>
      </c>
      <c r="F7143" s="26" t="s">
        <v>46</v>
      </c>
      <c r="G7143" s="26">
        <v>11.0</v>
      </c>
      <c r="H7143" s="26" t="s">
        <v>7398</v>
      </c>
      <c r="I7143" s="26" t="s">
        <v>951</v>
      </c>
      <c r="J7143" s="25" t="str">
        <f t="shared" si="82"/>
        <v>No</v>
      </c>
      <c r="K7143" s="25" t="str">
        <f t="shared" si="83"/>
        <v/>
      </c>
      <c r="L7143" s="25" t="str">
        <f t="shared" si="84"/>
        <v/>
      </c>
      <c r="M7143" s="25"/>
      <c r="O7143" s="25"/>
    </row>
    <row r="7144" ht="15.75" customHeight="1">
      <c r="A7144" s="25" t="str">
        <f>IFERROR(__xludf.DUMMYFUNCTION("IF(B7144="""","""",RIGHT(REGEXREPLACE(B7144&amp;"""",""[^0-9]"",""""),9))"),"714087162")</f>
        <v>714087162</v>
      </c>
      <c r="B7144" s="52">
        <v>7.14087162E8</v>
      </c>
      <c r="C7144" s="28" t="s">
        <v>7399</v>
      </c>
      <c r="D7144" s="26" t="s">
        <v>45</v>
      </c>
      <c r="E7144" s="31">
        <v>46243.0</v>
      </c>
      <c r="F7144" s="26" t="s">
        <v>46</v>
      </c>
      <c r="G7144" s="26">
        <v>9.0</v>
      </c>
      <c r="I7144" s="26" t="s">
        <v>951</v>
      </c>
      <c r="J7144" s="25" t="str">
        <f t="shared" si="82"/>
        <v>No</v>
      </c>
      <c r="K7144" s="25" t="str">
        <f t="shared" si="83"/>
        <v/>
      </c>
      <c r="L7144" s="25" t="str">
        <f t="shared" si="84"/>
        <v/>
      </c>
      <c r="M7144" s="25"/>
      <c r="O7144" s="25"/>
    </row>
    <row r="7145" ht="15.75" customHeight="1">
      <c r="A7145" s="25" t="str">
        <f>IFERROR(__xludf.DUMMYFUNCTION("IF(B7145="""","""",RIGHT(REGEXREPLACE(B7145&amp;"""",""[^0-9]"",""""),9))"),"755306764")</f>
        <v>755306764</v>
      </c>
      <c r="B7145" s="52">
        <v>7.55306764E8</v>
      </c>
      <c r="C7145" s="28" t="s">
        <v>7400</v>
      </c>
      <c r="D7145" s="26" t="s">
        <v>56</v>
      </c>
      <c r="E7145" s="31">
        <v>46243.0</v>
      </c>
      <c r="F7145" s="26" t="s">
        <v>46</v>
      </c>
      <c r="G7145" s="26">
        <v>9.0</v>
      </c>
      <c r="I7145" s="26" t="s">
        <v>951</v>
      </c>
      <c r="J7145" s="25" t="str">
        <f t="shared" si="82"/>
        <v>No</v>
      </c>
      <c r="K7145" s="25" t="str">
        <f t="shared" si="83"/>
        <v/>
      </c>
      <c r="L7145" s="25" t="str">
        <f t="shared" si="84"/>
        <v/>
      </c>
      <c r="M7145" s="25"/>
      <c r="O7145" s="25"/>
    </row>
    <row r="7146" ht="15.75" customHeight="1">
      <c r="A7146" s="25" t="str">
        <f>IFERROR(__xludf.DUMMYFUNCTION("IF(B7146="""","""",RIGHT(REGEXREPLACE(B7146&amp;"""",""[^0-9]"",""""),9))"),"756672549")</f>
        <v>756672549</v>
      </c>
      <c r="B7146" s="52">
        <v>7.56672549E8</v>
      </c>
      <c r="C7146" s="28" t="s">
        <v>7401</v>
      </c>
      <c r="D7146" s="26" t="s">
        <v>64</v>
      </c>
      <c r="E7146" s="31">
        <v>46243.0</v>
      </c>
      <c r="F7146" s="26" t="s">
        <v>46</v>
      </c>
      <c r="I7146" s="26" t="s">
        <v>951</v>
      </c>
      <c r="J7146" s="25" t="str">
        <f t="shared" si="82"/>
        <v>No</v>
      </c>
      <c r="K7146" s="25" t="str">
        <f t="shared" si="83"/>
        <v/>
      </c>
      <c r="L7146" s="25" t="str">
        <f t="shared" si="84"/>
        <v/>
      </c>
      <c r="M7146" s="25"/>
      <c r="O7146" s="25"/>
    </row>
    <row r="7147" ht="15.75" customHeight="1">
      <c r="A7147" s="25" t="str">
        <f>IFERROR(__xludf.DUMMYFUNCTION("IF(B7147="""","""",RIGHT(REGEXREPLACE(B7147&amp;"""",""[^0-9]"",""""),9))"),"767682570")</f>
        <v>767682570</v>
      </c>
      <c r="B7147" s="52">
        <v>7.6768257E8</v>
      </c>
      <c r="C7147" s="28" t="s">
        <v>5014</v>
      </c>
      <c r="D7147" s="26" t="s">
        <v>82</v>
      </c>
      <c r="E7147" s="31">
        <v>46243.0</v>
      </c>
      <c r="F7147" s="26" t="s">
        <v>46</v>
      </c>
      <c r="G7147" s="26">
        <v>9.0</v>
      </c>
      <c r="I7147" s="26" t="s">
        <v>951</v>
      </c>
      <c r="J7147" s="25" t="str">
        <f t="shared" si="82"/>
        <v>Yes - see Previous F-Code</v>
      </c>
      <c r="K7147" s="25" t="str">
        <f t="shared" si="83"/>
        <v/>
      </c>
      <c r="L7147" s="25" t="str">
        <f t="shared" si="84"/>
        <v>F74570</v>
      </c>
      <c r="M7147" s="25"/>
      <c r="O7147" s="26" t="s">
        <v>51</v>
      </c>
    </row>
    <row r="7148" ht="15.75" customHeight="1">
      <c r="A7148" s="25" t="str">
        <f>IFERROR(__xludf.DUMMYFUNCTION("IF(B7148="""","""",RIGHT(REGEXREPLACE(B7148&amp;"""",""[^0-9]"",""""),9))"),"761628237")</f>
        <v>761628237</v>
      </c>
      <c r="B7148" s="52">
        <v>7.61628237E8</v>
      </c>
      <c r="C7148" s="28" t="s">
        <v>7402</v>
      </c>
      <c r="D7148" s="26" t="s">
        <v>49</v>
      </c>
      <c r="E7148" s="31">
        <v>46243.0</v>
      </c>
      <c r="F7148" s="26" t="s">
        <v>46</v>
      </c>
      <c r="G7148" s="26">
        <v>9.0</v>
      </c>
      <c r="I7148" s="26" t="s">
        <v>951</v>
      </c>
      <c r="J7148" s="25" t="str">
        <f t="shared" si="82"/>
        <v>No</v>
      </c>
      <c r="K7148" s="25" t="str">
        <f t="shared" si="83"/>
        <v/>
      </c>
      <c r="L7148" s="25" t="str">
        <f t="shared" si="84"/>
        <v/>
      </c>
      <c r="M7148" s="25"/>
      <c r="O7148" s="25"/>
    </row>
    <row r="7149" ht="15.75" customHeight="1">
      <c r="A7149" s="25" t="str">
        <f>IFERROR(__xludf.DUMMYFUNCTION("IF(B7149="""","""",RIGHT(REGEXREPLACE(B7149&amp;"""",""[^0-9]"",""""),9))"),"712880978")</f>
        <v>712880978</v>
      </c>
      <c r="B7149" s="52">
        <v>7.12880978E8</v>
      </c>
      <c r="C7149" s="28" t="s">
        <v>7403</v>
      </c>
      <c r="D7149" s="26" t="s">
        <v>82</v>
      </c>
      <c r="E7149" s="31">
        <v>46243.0</v>
      </c>
      <c r="F7149" s="26" t="s">
        <v>205</v>
      </c>
      <c r="G7149" s="26">
        <v>9.0</v>
      </c>
      <c r="I7149" s="26" t="s">
        <v>951</v>
      </c>
      <c r="J7149" s="25" t="str">
        <f t="shared" si="82"/>
        <v>No</v>
      </c>
      <c r="K7149" s="25" t="str">
        <f t="shared" si="83"/>
        <v/>
      </c>
      <c r="L7149" s="25" t="str">
        <f t="shared" si="84"/>
        <v/>
      </c>
      <c r="M7149" s="25"/>
      <c r="O7149" s="25"/>
    </row>
    <row r="7150" ht="15.75" customHeight="1">
      <c r="A7150" s="25" t="str">
        <f>IFERROR(__xludf.DUMMYFUNCTION("IF(B7150="""","""",RIGHT(REGEXREPLACE(B7150&amp;"""",""[^0-9]"",""""),9))"),"717743274")</f>
        <v>717743274</v>
      </c>
      <c r="B7150" s="52">
        <v>7.17743274E8</v>
      </c>
      <c r="C7150" s="28" t="s">
        <v>7404</v>
      </c>
      <c r="D7150" s="26" t="s">
        <v>56</v>
      </c>
      <c r="E7150" s="31">
        <v>46243.0</v>
      </c>
      <c r="F7150" s="25"/>
      <c r="G7150" s="26">
        <v>9.0</v>
      </c>
      <c r="H7150" s="25"/>
      <c r="I7150" s="26" t="s">
        <v>951</v>
      </c>
      <c r="J7150" s="25" t="str">
        <f t="shared" si="82"/>
        <v>No</v>
      </c>
      <c r="K7150" s="25" t="str">
        <f t="shared" si="83"/>
        <v/>
      </c>
      <c r="L7150" s="25" t="str">
        <f t="shared" si="84"/>
        <v/>
      </c>
      <c r="M7150" s="25"/>
      <c r="N7150" s="25"/>
      <c r="O7150" s="25"/>
      <c r="P7150" s="25"/>
    </row>
    <row r="7151" ht="15.75" customHeight="1">
      <c r="A7151" s="25" t="str">
        <f>IFERROR(__xludf.DUMMYFUNCTION("IF(B7151="""","""",RIGHT(REGEXREPLACE(B7151&amp;"""",""[^0-9]"",""""),9))"),"704405638")</f>
        <v>704405638</v>
      </c>
      <c r="B7151" s="52">
        <v>7.04405638E8</v>
      </c>
      <c r="C7151" s="28" t="s">
        <v>7405</v>
      </c>
      <c r="D7151" s="26" t="s">
        <v>82</v>
      </c>
      <c r="E7151" s="31">
        <v>46243.0</v>
      </c>
      <c r="F7151" s="26" t="s">
        <v>46</v>
      </c>
      <c r="G7151" s="26">
        <v>11.0</v>
      </c>
      <c r="I7151" s="26" t="s">
        <v>951</v>
      </c>
      <c r="J7151" s="25" t="str">
        <f t="shared" si="82"/>
        <v>No</v>
      </c>
      <c r="K7151" s="25" t="str">
        <f t="shared" si="83"/>
        <v/>
      </c>
      <c r="L7151" s="25" t="str">
        <f t="shared" si="84"/>
        <v/>
      </c>
      <c r="M7151" s="25"/>
      <c r="O7151" s="25"/>
    </row>
    <row r="7152" ht="15.75" customHeight="1">
      <c r="A7152" s="25" t="str">
        <f>IFERROR(__xludf.DUMMYFUNCTION("IF(B7152="""","""",RIGHT(REGEXREPLACE(B7152&amp;"""",""[^0-9]"",""""),9))"),"774437170")</f>
        <v>774437170</v>
      </c>
      <c r="B7152" s="52">
        <v>7.7443717E8</v>
      </c>
      <c r="C7152" s="28" t="s">
        <v>7406</v>
      </c>
      <c r="D7152" s="26" t="s">
        <v>49</v>
      </c>
      <c r="E7152" s="31">
        <v>46243.0</v>
      </c>
      <c r="F7152" s="26" t="s">
        <v>41</v>
      </c>
      <c r="I7152" s="26" t="s">
        <v>951</v>
      </c>
      <c r="J7152" s="25" t="str">
        <f t="shared" si="82"/>
        <v>No</v>
      </c>
      <c r="K7152" s="25" t="str">
        <f t="shared" si="83"/>
        <v/>
      </c>
      <c r="L7152" s="25" t="str">
        <f t="shared" si="84"/>
        <v/>
      </c>
      <c r="M7152" s="25"/>
      <c r="O7152" s="25"/>
    </row>
    <row r="7153" ht="15.75" customHeight="1">
      <c r="A7153" s="25" t="str">
        <f>IFERROR(__xludf.DUMMYFUNCTION("IF(B7153="""","""",RIGHT(REGEXREPLACE(B7153&amp;"""",""[^0-9]"",""""),9))"),"717743274")</f>
        <v>717743274</v>
      </c>
      <c r="B7153" s="52">
        <v>7.17743274E8</v>
      </c>
      <c r="C7153" s="28" t="s">
        <v>7404</v>
      </c>
      <c r="D7153" s="26" t="s">
        <v>56</v>
      </c>
      <c r="E7153" s="31">
        <v>46243.0</v>
      </c>
      <c r="F7153" s="26" t="s">
        <v>46</v>
      </c>
      <c r="G7153" s="26">
        <v>9.0</v>
      </c>
      <c r="I7153" s="26" t="s">
        <v>951</v>
      </c>
      <c r="J7153" s="25" t="str">
        <f t="shared" si="82"/>
        <v>Yes - see Previous F-Code</v>
      </c>
      <c r="K7153" s="25" t="str">
        <f t="shared" si="83"/>
        <v>DUPLICATE - CHECK</v>
      </c>
      <c r="L7153" s="25" t="str">
        <f t="shared" si="84"/>
        <v>F76338</v>
      </c>
      <c r="M7153" s="25"/>
      <c r="O7153" s="25"/>
    </row>
    <row r="7154" ht="15.75" customHeight="1">
      <c r="A7154" s="25" t="str">
        <f>IFERROR(__xludf.DUMMYFUNCTION("IF(B7154="""","""",RIGHT(REGEXREPLACE(B7154&amp;"""",""[^0-9]"",""""),9))"),"770325558")</f>
        <v>770325558</v>
      </c>
      <c r="B7154" s="52">
        <v>7.70325558E8</v>
      </c>
      <c r="C7154" s="28" t="s">
        <v>7407</v>
      </c>
      <c r="D7154" s="26" t="s">
        <v>49</v>
      </c>
      <c r="E7154" s="31">
        <v>46243.0</v>
      </c>
      <c r="F7154" s="26" t="s">
        <v>46</v>
      </c>
      <c r="G7154" s="26">
        <v>9.0</v>
      </c>
      <c r="I7154" s="26" t="s">
        <v>951</v>
      </c>
      <c r="J7154" s="25" t="str">
        <f t="shared" si="82"/>
        <v>No</v>
      </c>
      <c r="K7154" s="25" t="str">
        <f t="shared" si="83"/>
        <v/>
      </c>
      <c r="L7154" s="25" t="str">
        <f t="shared" si="84"/>
        <v/>
      </c>
      <c r="M7154" s="25"/>
      <c r="O7154" s="25"/>
    </row>
    <row r="7155" ht="15.75" customHeight="1">
      <c r="A7155" s="25" t="str">
        <f>IFERROR(__xludf.DUMMYFUNCTION("IF(B7155="""","""",RIGHT(REGEXREPLACE(B7155&amp;"""",""[^0-9]"",""""),9))"),"775530874")</f>
        <v>775530874</v>
      </c>
      <c r="B7155" s="52">
        <v>7.75530874E8</v>
      </c>
      <c r="C7155" s="28" t="s">
        <v>7408</v>
      </c>
      <c r="D7155" s="26" t="s">
        <v>82</v>
      </c>
      <c r="E7155" s="31">
        <v>46243.0</v>
      </c>
      <c r="F7155" s="26" t="s">
        <v>46</v>
      </c>
      <c r="G7155" s="26">
        <v>5.0</v>
      </c>
      <c r="H7155" s="26" t="s">
        <v>7409</v>
      </c>
      <c r="I7155" s="26" t="s">
        <v>951</v>
      </c>
      <c r="J7155" s="25" t="str">
        <f t="shared" si="82"/>
        <v>No</v>
      </c>
      <c r="K7155" s="25" t="str">
        <f t="shared" si="83"/>
        <v/>
      </c>
      <c r="L7155" s="25" t="str">
        <f t="shared" si="84"/>
        <v/>
      </c>
      <c r="M7155" s="25"/>
      <c r="O7155" s="25"/>
    </row>
    <row r="7156" ht="15.75" customHeight="1">
      <c r="A7156" s="25" t="str">
        <f>IFERROR(__xludf.DUMMYFUNCTION("IF(B7156="""","""",RIGHT(REGEXREPLACE(B7156&amp;"""",""[^0-9]"",""""),9))"),"773175216")</f>
        <v>773175216</v>
      </c>
      <c r="B7156" s="52">
        <v>7.73175216E8</v>
      </c>
      <c r="C7156" s="28" t="s">
        <v>7410</v>
      </c>
      <c r="D7156" s="26" t="s">
        <v>49</v>
      </c>
      <c r="E7156" s="31">
        <v>46243.0</v>
      </c>
      <c r="F7156" s="26" t="s">
        <v>205</v>
      </c>
      <c r="I7156" s="26" t="s">
        <v>951</v>
      </c>
      <c r="J7156" s="25" t="str">
        <f t="shared" si="82"/>
        <v>No</v>
      </c>
      <c r="K7156" s="25" t="str">
        <f t="shared" si="83"/>
        <v/>
      </c>
      <c r="L7156" s="25" t="str">
        <f t="shared" si="84"/>
        <v/>
      </c>
      <c r="M7156" s="25"/>
      <c r="O7156" s="25"/>
    </row>
    <row r="7157" ht="15.75" customHeight="1">
      <c r="A7157" s="25" t="str">
        <f>IFERROR(__xludf.DUMMYFUNCTION("IF(B7157="""","""",RIGHT(REGEXREPLACE(B7157&amp;"""",""[^0-9]"",""""),9))"),"773594390")</f>
        <v>773594390</v>
      </c>
      <c r="B7157" s="52">
        <v>7.7359439E8</v>
      </c>
      <c r="C7157" s="28" t="s">
        <v>7411</v>
      </c>
      <c r="D7157" s="26" t="s">
        <v>82</v>
      </c>
      <c r="E7157" s="31">
        <v>46243.0</v>
      </c>
      <c r="F7157" s="26" t="s">
        <v>205</v>
      </c>
      <c r="G7157" s="26">
        <v>9.0</v>
      </c>
      <c r="I7157" s="26" t="s">
        <v>951</v>
      </c>
      <c r="J7157" s="25" t="str">
        <f t="shared" si="82"/>
        <v>No</v>
      </c>
      <c r="K7157" s="25" t="str">
        <f t="shared" si="83"/>
        <v/>
      </c>
      <c r="L7157" s="25" t="str">
        <f t="shared" si="84"/>
        <v/>
      </c>
      <c r="M7157" s="25"/>
      <c r="O7157" s="25"/>
    </row>
    <row r="7158" ht="15.75" customHeight="1">
      <c r="A7158" s="25" t="str">
        <f>IFERROR(__xludf.DUMMYFUNCTION("IF(B7158="""","""",RIGHT(REGEXREPLACE(B7158&amp;"""",""[^0-9]"",""""),9))"),"778788932")</f>
        <v>778788932</v>
      </c>
      <c r="B7158" s="52">
        <v>7.78788932E8</v>
      </c>
      <c r="C7158" s="28" t="s">
        <v>7412</v>
      </c>
      <c r="D7158" s="26" t="s">
        <v>56</v>
      </c>
      <c r="E7158" s="31">
        <v>46243.0</v>
      </c>
      <c r="F7158" s="26" t="s">
        <v>205</v>
      </c>
      <c r="G7158" s="26" t="s">
        <v>1827</v>
      </c>
      <c r="I7158" s="26" t="s">
        <v>951</v>
      </c>
      <c r="J7158" s="25" t="str">
        <f t="shared" si="82"/>
        <v>No</v>
      </c>
      <c r="K7158" s="25" t="str">
        <f t="shared" si="83"/>
        <v/>
      </c>
      <c r="L7158" s="25" t="str">
        <f t="shared" si="84"/>
        <v/>
      </c>
      <c r="M7158" s="25"/>
      <c r="O7158" s="25"/>
    </row>
    <row r="7159" ht="15.75" customHeight="1">
      <c r="A7159" s="25" t="str">
        <f>IFERROR(__xludf.DUMMYFUNCTION("IF(B7159="""","""",RIGHT(REGEXREPLACE(B7159&amp;"""",""[^0-9]"",""""),9))"),"717867768")</f>
        <v>717867768</v>
      </c>
      <c r="B7159" s="52">
        <v>7.17867768E8</v>
      </c>
      <c r="C7159" s="28" t="s">
        <v>7413</v>
      </c>
      <c r="D7159" s="26" t="s">
        <v>49</v>
      </c>
      <c r="E7159" s="31">
        <v>46243.0</v>
      </c>
      <c r="F7159" s="26" t="s">
        <v>41</v>
      </c>
      <c r="I7159" s="26" t="s">
        <v>951</v>
      </c>
      <c r="J7159" s="25" t="str">
        <f t="shared" si="82"/>
        <v>No</v>
      </c>
      <c r="K7159" s="25" t="str">
        <f t="shared" si="83"/>
        <v/>
      </c>
      <c r="L7159" s="25" t="str">
        <f t="shared" si="84"/>
        <v/>
      </c>
      <c r="M7159" s="25"/>
      <c r="O7159" s="25"/>
    </row>
    <row r="7160" ht="15.75" customHeight="1">
      <c r="A7160" s="25" t="str">
        <f>IFERROR(__xludf.DUMMYFUNCTION("IF(B7160="""","""",RIGHT(REGEXREPLACE(B7160&amp;"""",""[^0-9]"",""""),9))"),"777851573")</f>
        <v>777851573</v>
      </c>
      <c r="B7160" s="52">
        <v>7.77851573E8</v>
      </c>
      <c r="C7160" s="28" t="s">
        <v>7414</v>
      </c>
      <c r="D7160" s="26" t="s">
        <v>82</v>
      </c>
      <c r="E7160" s="31">
        <v>46243.0</v>
      </c>
      <c r="F7160" s="26" t="s">
        <v>125</v>
      </c>
      <c r="H7160" s="26" t="s">
        <v>7415</v>
      </c>
      <c r="I7160" s="26" t="s">
        <v>951</v>
      </c>
      <c r="J7160" s="25" t="str">
        <f t="shared" si="82"/>
        <v>No</v>
      </c>
      <c r="K7160" s="25" t="str">
        <f t="shared" si="83"/>
        <v/>
      </c>
      <c r="L7160" s="25" t="str">
        <f t="shared" si="84"/>
        <v/>
      </c>
      <c r="M7160" s="25"/>
      <c r="O7160" s="25"/>
    </row>
    <row r="7161" ht="15.75" customHeight="1">
      <c r="A7161" s="25" t="str">
        <f>IFERROR(__xludf.DUMMYFUNCTION("IF(B7161="""","""",RIGHT(REGEXREPLACE(B7161&amp;"""",""[^0-9]"",""""),9))"),"767830210")</f>
        <v>767830210</v>
      </c>
      <c r="B7161" s="52">
        <v>7.6783021E8</v>
      </c>
      <c r="C7161" s="28" t="s">
        <v>7416</v>
      </c>
      <c r="D7161" s="26" t="s">
        <v>49</v>
      </c>
      <c r="E7161" s="31">
        <v>46243.0</v>
      </c>
      <c r="F7161" s="26" t="s">
        <v>46</v>
      </c>
      <c r="G7161" s="26">
        <v>9.0</v>
      </c>
      <c r="I7161" s="26" t="s">
        <v>951</v>
      </c>
      <c r="J7161" s="25" t="str">
        <f t="shared" si="82"/>
        <v>No</v>
      </c>
      <c r="K7161" s="25" t="str">
        <f t="shared" si="83"/>
        <v/>
      </c>
      <c r="L7161" s="25" t="str">
        <f t="shared" si="84"/>
        <v/>
      </c>
      <c r="M7161" s="25"/>
      <c r="O7161" s="25"/>
    </row>
    <row r="7162" ht="15.75" customHeight="1">
      <c r="A7162" s="25" t="str">
        <f>IFERROR(__xludf.DUMMYFUNCTION("IF(B7162="""","""",RIGHT(REGEXREPLACE(B7162&amp;"""",""[^0-9]"",""""),9))"),"774703455")</f>
        <v>774703455</v>
      </c>
      <c r="B7162" s="52">
        <v>7.74703455E8</v>
      </c>
      <c r="C7162" s="28" t="s">
        <v>7417</v>
      </c>
      <c r="D7162" s="26" t="s">
        <v>82</v>
      </c>
      <c r="E7162" s="31">
        <v>46243.0</v>
      </c>
      <c r="F7162" s="26" t="s">
        <v>41</v>
      </c>
      <c r="G7162" s="26">
        <v>9.0</v>
      </c>
      <c r="I7162" s="26" t="s">
        <v>951</v>
      </c>
      <c r="J7162" s="25" t="str">
        <f t="shared" si="82"/>
        <v>No</v>
      </c>
      <c r="K7162" s="25" t="str">
        <f t="shared" si="83"/>
        <v/>
      </c>
      <c r="L7162" s="25" t="str">
        <f t="shared" si="84"/>
        <v/>
      </c>
      <c r="M7162" s="25"/>
      <c r="O7162" s="25"/>
    </row>
    <row r="7163" ht="15.75" customHeight="1">
      <c r="A7163" s="25" t="str">
        <f>IFERROR(__xludf.DUMMYFUNCTION("IF(B7163="""","""",RIGHT(REGEXREPLACE(B7163&amp;"""",""[^0-9]"",""""),9))"),"773120565")</f>
        <v>773120565</v>
      </c>
      <c r="B7163" s="52">
        <v>7.73120565E8</v>
      </c>
      <c r="C7163" s="28" t="s">
        <v>7418</v>
      </c>
      <c r="D7163" s="26" t="s">
        <v>45</v>
      </c>
      <c r="E7163" s="31">
        <v>46243.0</v>
      </c>
      <c r="F7163" s="26" t="s">
        <v>41</v>
      </c>
      <c r="I7163" s="26" t="s">
        <v>951</v>
      </c>
      <c r="J7163" s="25" t="str">
        <f t="shared" si="82"/>
        <v>No</v>
      </c>
      <c r="K7163" s="25" t="str">
        <f t="shared" si="83"/>
        <v/>
      </c>
      <c r="L7163" s="25" t="str">
        <f t="shared" si="84"/>
        <v/>
      </c>
      <c r="M7163" s="25"/>
      <c r="O7163" s="25"/>
    </row>
    <row r="7164" ht="15.75" customHeight="1">
      <c r="A7164" s="25" t="str">
        <f>IFERROR(__xludf.DUMMYFUNCTION("IF(B7164="""","""",RIGHT(REGEXREPLACE(B7164&amp;"""",""[^0-9]"",""""),9))"),"770821017")</f>
        <v>770821017</v>
      </c>
      <c r="B7164" s="52">
        <v>7.70821017E8</v>
      </c>
      <c r="C7164" s="28" t="s">
        <v>7419</v>
      </c>
      <c r="D7164" s="26" t="s">
        <v>56</v>
      </c>
      <c r="E7164" s="31">
        <v>46244.0</v>
      </c>
      <c r="F7164" s="26" t="s">
        <v>46</v>
      </c>
      <c r="G7164" s="26">
        <v>9.0</v>
      </c>
      <c r="I7164" s="26" t="s">
        <v>951</v>
      </c>
      <c r="J7164" s="25" t="str">
        <f t="shared" si="82"/>
        <v>No</v>
      </c>
      <c r="K7164" s="25" t="str">
        <f t="shared" si="83"/>
        <v/>
      </c>
      <c r="L7164" s="25" t="str">
        <f t="shared" si="84"/>
        <v/>
      </c>
      <c r="M7164" s="25"/>
      <c r="O7164" s="25"/>
    </row>
    <row r="7165" ht="15.75" customHeight="1">
      <c r="A7165" s="25" t="str">
        <f>IFERROR(__xludf.DUMMYFUNCTION("IF(B7165="""","""",RIGHT(REGEXREPLACE(B7165&amp;"""",""[^0-9]"",""""),9))"),"707601510")</f>
        <v>707601510</v>
      </c>
      <c r="B7165" s="52">
        <v>7.0760151E8</v>
      </c>
      <c r="C7165" s="28" t="s">
        <v>7420</v>
      </c>
      <c r="D7165" s="26" t="s">
        <v>56</v>
      </c>
      <c r="E7165" s="31">
        <v>46244.0</v>
      </c>
      <c r="F7165" s="26" t="s">
        <v>46</v>
      </c>
      <c r="G7165" s="26">
        <v>6.0</v>
      </c>
      <c r="I7165" s="26" t="s">
        <v>951</v>
      </c>
      <c r="J7165" s="25" t="str">
        <f t="shared" si="82"/>
        <v>No</v>
      </c>
      <c r="K7165" s="25" t="str">
        <f t="shared" si="83"/>
        <v/>
      </c>
      <c r="L7165" s="25" t="str">
        <f t="shared" si="84"/>
        <v/>
      </c>
      <c r="M7165" s="25"/>
      <c r="O7165" s="25"/>
    </row>
    <row r="7166" ht="15.75" customHeight="1">
      <c r="A7166" s="25" t="str">
        <f>IFERROR(__xludf.DUMMYFUNCTION("IF(B7166="""","""",RIGHT(REGEXREPLACE(B7166&amp;"""",""[^0-9]"",""""),9))"),"764333876")</f>
        <v>764333876</v>
      </c>
      <c r="B7166" s="52">
        <v>7.64333876E8</v>
      </c>
      <c r="C7166" s="28" t="s">
        <v>7421</v>
      </c>
      <c r="D7166" s="26" t="s">
        <v>64</v>
      </c>
      <c r="E7166" s="31">
        <v>46244.0</v>
      </c>
      <c r="F7166" s="26" t="s">
        <v>41</v>
      </c>
      <c r="G7166" s="26">
        <v>9.0</v>
      </c>
      <c r="I7166" s="26" t="s">
        <v>951</v>
      </c>
      <c r="J7166" s="25" t="str">
        <f t="shared" si="82"/>
        <v>No</v>
      </c>
      <c r="K7166" s="25" t="str">
        <f t="shared" si="83"/>
        <v/>
      </c>
      <c r="L7166" s="25" t="str">
        <f t="shared" si="84"/>
        <v/>
      </c>
      <c r="M7166" s="25"/>
      <c r="O7166" s="25"/>
    </row>
    <row r="7167" ht="15.75" customHeight="1">
      <c r="A7167" s="25" t="str">
        <f>IFERROR(__xludf.DUMMYFUNCTION("IF(B7167="""","""",RIGHT(REGEXREPLACE(B7167&amp;"""",""[^0-9]"",""""),9))"),"740947407")</f>
        <v>740947407</v>
      </c>
      <c r="B7167" s="52">
        <v>7.40947407E8</v>
      </c>
      <c r="C7167" s="28" t="s">
        <v>7422</v>
      </c>
      <c r="D7167" s="26" t="s">
        <v>64</v>
      </c>
      <c r="E7167" s="31">
        <v>46244.0</v>
      </c>
      <c r="F7167" s="26" t="s">
        <v>46</v>
      </c>
      <c r="G7167" s="26">
        <v>9.0</v>
      </c>
      <c r="I7167" s="26" t="s">
        <v>951</v>
      </c>
      <c r="J7167" s="25" t="str">
        <f t="shared" si="82"/>
        <v>No</v>
      </c>
      <c r="K7167" s="25" t="str">
        <f t="shared" si="83"/>
        <v/>
      </c>
      <c r="L7167" s="25" t="str">
        <f t="shared" si="84"/>
        <v/>
      </c>
      <c r="M7167" s="25"/>
      <c r="O7167" s="25"/>
    </row>
    <row r="7168" ht="15.75" customHeight="1">
      <c r="A7168" s="25" t="str">
        <f>IFERROR(__xludf.DUMMYFUNCTION("IF(B7168="""","""",RIGHT(REGEXREPLACE(B7168&amp;"""",""[^0-9]"",""""),9))"),"766384435")</f>
        <v>766384435</v>
      </c>
      <c r="B7168" s="52">
        <v>7.66384435E8</v>
      </c>
      <c r="C7168" s="28" t="s">
        <v>7423</v>
      </c>
      <c r="D7168" s="26" t="s">
        <v>56</v>
      </c>
      <c r="E7168" s="31">
        <v>46244.0</v>
      </c>
      <c r="F7168" s="26" t="s">
        <v>41</v>
      </c>
      <c r="G7168" s="26">
        <v>9.0</v>
      </c>
      <c r="I7168" s="26" t="s">
        <v>951</v>
      </c>
      <c r="J7168" s="25" t="str">
        <f t="shared" si="82"/>
        <v>No</v>
      </c>
      <c r="K7168" s="25" t="str">
        <f t="shared" si="83"/>
        <v/>
      </c>
      <c r="L7168" s="25" t="str">
        <f t="shared" si="84"/>
        <v/>
      </c>
      <c r="M7168" s="25"/>
      <c r="O7168" s="25"/>
    </row>
    <row r="7169" ht="15.75" customHeight="1">
      <c r="A7169" s="25" t="str">
        <f>IFERROR(__xludf.DUMMYFUNCTION("IF(B7169="""","""",RIGHT(REGEXREPLACE(B7169&amp;"""",""[^0-9]"",""""),9))"),"772675028")</f>
        <v>772675028</v>
      </c>
      <c r="B7169" s="52">
        <v>7.72675028E8</v>
      </c>
      <c r="C7169" s="28" t="s">
        <v>7424</v>
      </c>
      <c r="D7169" s="26" t="s">
        <v>64</v>
      </c>
      <c r="E7169" s="31">
        <v>46244.0</v>
      </c>
      <c r="F7169" s="26" t="s">
        <v>46</v>
      </c>
      <c r="G7169" s="26">
        <v>10.0</v>
      </c>
      <c r="H7169" s="26" t="s">
        <v>2293</v>
      </c>
      <c r="I7169" s="26" t="s">
        <v>951</v>
      </c>
      <c r="J7169" s="25" t="str">
        <f t="shared" si="82"/>
        <v>No</v>
      </c>
      <c r="K7169" s="25" t="str">
        <f t="shared" si="83"/>
        <v/>
      </c>
      <c r="L7169" s="25" t="str">
        <f t="shared" si="84"/>
        <v/>
      </c>
      <c r="M7169" s="25"/>
      <c r="O7169" s="25"/>
    </row>
    <row r="7170" ht="15.75" customHeight="1">
      <c r="A7170" s="25" t="str">
        <f>IFERROR(__xludf.DUMMYFUNCTION("IF(B7170="""","""",RIGHT(REGEXREPLACE(B7170&amp;"""",""[^0-9]"",""""),9))"),"779195788")</f>
        <v>779195788</v>
      </c>
      <c r="B7170" s="52">
        <v>7.79195788E8</v>
      </c>
      <c r="C7170" s="28" t="s">
        <v>7425</v>
      </c>
      <c r="D7170" s="26" t="s">
        <v>82</v>
      </c>
      <c r="E7170" s="31">
        <v>46244.0</v>
      </c>
      <c r="F7170" s="26" t="s">
        <v>46</v>
      </c>
      <c r="G7170" s="96">
        <v>46182.0</v>
      </c>
      <c r="H7170" s="26" t="s">
        <v>7426</v>
      </c>
      <c r="I7170" s="26" t="s">
        <v>951</v>
      </c>
      <c r="J7170" s="25" t="str">
        <f t="shared" si="82"/>
        <v>No</v>
      </c>
      <c r="K7170" s="25" t="str">
        <f t="shared" si="83"/>
        <v/>
      </c>
      <c r="L7170" s="25" t="str">
        <f t="shared" si="84"/>
        <v/>
      </c>
      <c r="M7170" s="25"/>
      <c r="O7170" s="25"/>
    </row>
    <row r="7171" ht="15.75" customHeight="1">
      <c r="A7171" s="25" t="str">
        <f>IFERROR(__xludf.DUMMYFUNCTION("IF(B7171="""","""",RIGHT(REGEXREPLACE(B7171&amp;"""",""[^0-9]"",""""),9))"),"776923506")</f>
        <v>776923506</v>
      </c>
      <c r="B7171" s="52">
        <v>7.76923506E8</v>
      </c>
      <c r="C7171" s="28" t="s">
        <v>7420</v>
      </c>
      <c r="D7171" s="26" t="s">
        <v>49</v>
      </c>
      <c r="E7171" s="31">
        <v>46244.0</v>
      </c>
      <c r="F7171" s="26" t="s">
        <v>41</v>
      </c>
      <c r="I7171" s="26" t="s">
        <v>951</v>
      </c>
      <c r="J7171" s="25" t="str">
        <f t="shared" si="82"/>
        <v>No</v>
      </c>
      <c r="K7171" s="25" t="str">
        <f t="shared" si="83"/>
        <v/>
      </c>
      <c r="L7171" s="25" t="str">
        <f t="shared" si="84"/>
        <v/>
      </c>
      <c r="M7171" s="25"/>
      <c r="O7171" s="25"/>
    </row>
    <row r="7172" ht="15.75" customHeight="1">
      <c r="A7172" s="25" t="str">
        <f>IFERROR(__xludf.DUMMYFUNCTION("IF(B7172="""","""",RIGHT(REGEXREPLACE(B7172&amp;"""",""[^0-9]"",""""),9))"),"703743655")</f>
        <v>703743655</v>
      </c>
      <c r="B7172" s="52">
        <v>4.703743655E9</v>
      </c>
      <c r="C7172" s="28" t="s">
        <v>7427</v>
      </c>
      <c r="D7172" s="26" t="s">
        <v>64</v>
      </c>
      <c r="E7172" s="31">
        <v>46244.0</v>
      </c>
      <c r="F7172" s="26" t="s">
        <v>46</v>
      </c>
      <c r="G7172" s="26">
        <v>10.0</v>
      </c>
      <c r="I7172" s="26" t="s">
        <v>951</v>
      </c>
      <c r="J7172" s="25" t="str">
        <f t="shared" si="82"/>
        <v>No</v>
      </c>
      <c r="K7172" s="25" t="str">
        <f t="shared" si="83"/>
        <v/>
      </c>
      <c r="L7172" s="25" t="str">
        <f t="shared" si="84"/>
        <v/>
      </c>
      <c r="M7172" s="25"/>
      <c r="O7172" s="25"/>
    </row>
    <row r="7173" ht="15.75" customHeight="1">
      <c r="A7173" s="25" t="str">
        <f>IFERROR(__xludf.DUMMYFUNCTION("IF(B7173="""","""",RIGHT(REGEXREPLACE(B7173&amp;"""",""[^0-9]"",""""),9))"),"705990714")</f>
        <v>705990714</v>
      </c>
      <c r="B7173" s="52">
        <v>7.05990714E8</v>
      </c>
      <c r="C7173" s="28" t="s">
        <v>7428</v>
      </c>
      <c r="D7173" s="26" t="s">
        <v>49</v>
      </c>
      <c r="E7173" s="31">
        <v>46244.0</v>
      </c>
      <c r="F7173" s="26" t="s">
        <v>46</v>
      </c>
      <c r="G7173" s="26">
        <v>9.0</v>
      </c>
      <c r="I7173" s="26" t="s">
        <v>951</v>
      </c>
      <c r="J7173" s="25" t="str">
        <f t="shared" si="82"/>
        <v>No</v>
      </c>
      <c r="K7173" s="25" t="str">
        <f t="shared" si="83"/>
        <v/>
      </c>
      <c r="L7173" s="25" t="str">
        <f t="shared" si="84"/>
        <v/>
      </c>
      <c r="M7173" s="25"/>
      <c r="O7173" s="26" t="s">
        <v>51</v>
      </c>
    </row>
    <row r="7174" ht="15.75" customHeight="1">
      <c r="A7174" s="25" t="str">
        <f>IFERROR(__xludf.DUMMYFUNCTION("IF(B7174="""","""",RIGHT(REGEXREPLACE(B7174&amp;"""",""[^0-9]"",""""),9))"),"766890701")</f>
        <v>766890701</v>
      </c>
      <c r="B7174" s="52">
        <v>7.66890701E8</v>
      </c>
      <c r="C7174" s="28" t="s">
        <v>7429</v>
      </c>
      <c r="D7174" s="26" t="s">
        <v>56</v>
      </c>
      <c r="E7174" s="31">
        <v>46244.0</v>
      </c>
      <c r="F7174" s="26" t="s">
        <v>46</v>
      </c>
      <c r="G7174" s="26">
        <v>11.0</v>
      </c>
      <c r="I7174" s="26" t="s">
        <v>951</v>
      </c>
      <c r="J7174" s="25" t="str">
        <f t="shared" si="82"/>
        <v>No</v>
      </c>
      <c r="K7174" s="25" t="str">
        <f t="shared" si="83"/>
        <v/>
      </c>
      <c r="L7174" s="25" t="str">
        <f t="shared" si="84"/>
        <v/>
      </c>
      <c r="M7174" s="25"/>
      <c r="O7174" s="25"/>
    </row>
    <row r="7175" ht="15.75" customHeight="1">
      <c r="A7175" s="25" t="str">
        <f>IFERROR(__xludf.DUMMYFUNCTION("IF(B7175="""","""",RIGHT(REGEXREPLACE(B7175&amp;"""",""[^0-9]"",""""),9))"),"772315799")</f>
        <v>772315799</v>
      </c>
      <c r="B7175" s="52">
        <v>7.72315799E8</v>
      </c>
      <c r="C7175" s="28" t="s">
        <v>7430</v>
      </c>
      <c r="D7175" s="26" t="s">
        <v>82</v>
      </c>
      <c r="E7175" s="31">
        <v>46244.0</v>
      </c>
      <c r="F7175" s="26" t="s">
        <v>659</v>
      </c>
      <c r="I7175" s="26" t="s">
        <v>951</v>
      </c>
      <c r="J7175" s="25" t="str">
        <f t="shared" si="82"/>
        <v>No</v>
      </c>
      <c r="K7175" s="25" t="str">
        <f t="shared" si="83"/>
        <v/>
      </c>
      <c r="L7175" s="25" t="str">
        <f t="shared" si="84"/>
        <v/>
      </c>
      <c r="M7175" s="25"/>
      <c r="O7175" s="25"/>
    </row>
    <row r="7176" ht="15.75" customHeight="1">
      <c r="A7176" s="25" t="str">
        <f>IFERROR(__xludf.DUMMYFUNCTION("IF(B7176="""","""",RIGHT(REGEXREPLACE(B7176&amp;"""",""[^0-9]"",""""),9))"),"751188343")</f>
        <v>751188343</v>
      </c>
      <c r="B7176" s="52">
        <v>7.51188343E8</v>
      </c>
      <c r="C7176" s="28" t="s">
        <v>3080</v>
      </c>
      <c r="D7176" s="26" t="s">
        <v>56</v>
      </c>
      <c r="E7176" s="31">
        <v>46244.0</v>
      </c>
      <c r="F7176" s="26" t="s">
        <v>167</v>
      </c>
      <c r="G7176" s="26" t="s">
        <v>7431</v>
      </c>
      <c r="I7176" s="26" t="s">
        <v>951</v>
      </c>
      <c r="J7176" s="25" t="str">
        <f t="shared" si="82"/>
        <v>Yes - see Previous F-Code</v>
      </c>
      <c r="K7176" s="25" t="str">
        <f t="shared" si="83"/>
        <v/>
      </c>
      <c r="L7176" s="25" t="str">
        <f t="shared" si="84"/>
        <v>F72709</v>
      </c>
      <c r="M7176" s="25"/>
      <c r="O7176" s="25"/>
    </row>
    <row r="7177" ht="15.75" customHeight="1">
      <c r="A7177" s="25" t="str">
        <f>IFERROR(__xludf.DUMMYFUNCTION("IF(B7177="""","""",RIGHT(REGEXREPLACE(B7177&amp;"""",""[^0-9]"",""""),9))"),"774088691")</f>
        <v>774088691</v>
      </c>
      <c r="B7177" s="52">
        <v>7.74088691E8</v>
      </c>
      <c r="C7177" s="28" t="s">
        <v>7432</v>
      </c>
      <c r="D7177" s="26" t="s">
        <v>82</v>
      </c>
      <c r="E7177" s="31">
        <v>46244.0</v>
      </c>
      <c r="F7177" s="26" t="s">
        <v>46</v>
      </c>
      <c r="G7177" s="26">
        <v>9.0</v>
      </c>
      <c r="I7177" s="26" t="s">
        <v>951</v>
      </c>
      <c r="J7177" s="25" t="str">
        <f t="shared" si="82"/>
        <v>No</v>
      </c>
      <c r="K7177" s="25" t="str">
        <f t="shared" si="83"/>
        <v/>
      </c>
      <c r="L7177" s="25" t="str">
        <f t="shared" si="84"/>
        <v/>
      </c>
      <c r="M7177" s="25"/>
      <c r="O7177" s="25"/>
    </row>
    <row r="7178" ht="15.75" customHeight="1">
      <c r="A7178" s="25" t="str">
        <f>IFERROR(__xludf.DUMMYFUNCTION("IF(B7178="""","""",RIGHT(REGEXREPLACE(B7178&amp;"""",""[^0-9]"",""""),9))"),"767448645")</f>
        <v>767448645</v>
      </c>
      <c r="B7178" s="52">
        <v>7.67448645E8</v>
      </c>
      <c r="C7178" s="28" t="s">
        <v>7433</v>
      </c>
      <c r="D7178" s="26" t="s">
        <v>49</v>
      </c>
      <c r="E7178" s="31">
        <v>46244.0</v>
      </c>
      <c r="F7178" s="26" t="s">
        <v>46</v>
      </c>
      <c r="G7178" s="26">
        <v>9.0</v>
      </c>
      <c r="I7178" s="26" t="s">
        <v>951</v>
      </c>
      <c r="J7178" s="25" t="str">
        <f t="shared" si="82"/>
        <v>No</v>
      </c>
      <c r="K7178" s="25" t="str">
        <f t="shared" si="83"/>
        <v/>
      </c>
      <c r="L7178" s="25" t="str">
        <f t="shared" si="84"/>
        <v/>
      </c>
      <c r="M7178" s="25"/>
      <c r="O7178" s="25"/>
    </row>
    <row r="7179" ht="15.75" customHeight="1">
      <c r="A7179" s="25" t="str">
        <f>IFERROR(__xludf.DUMMYFUNCTION("IF(B7179="""","""",RIGHT(REGEXREPLACE(B7179&amp;"""",""[^0-9]"",""""),9))"),"762865991")</f>
        <v>762865991</v>
      </c>
      <c r="B7179" s="52">
        <v>7.62865991E8</v>
      </c>
      <c r="C7179" s="28" t="s">
        <v>7434</v>
      </c>
      <c r="D7179" s="26" t="s">
        <v>82</v>
      </c>
      <c r="E7179" s="31">
        <v>46244.0</v>
      </c>
      <c r="F7179" s="26" t="s">
        <v>659</v>
      </c>
      <c r="G7179" s="26">
        <v>9.0</v>
      </c>
      <c r="I7179" s="26" t="s">
        <v>951</v>
      </c>
      <c r="J7179" s="25" t="str">
        <f t="shared" si="82"/>
        <v>No</v>
      </c>
      <c r="K7179" s="25" t="str">
        <f t="shared" si="83"/>
        <v/>
      </c>
      <c r="L7179" s="25" t="str">
        <f t="shared" si="84"/>
        <v/>
      </c>
      <c r="M7179" s="25"/>
      <c r="O7179" s="25"/>
    </row>
    <row r="7180" ht="15.75" customHeight="1">
      <c r="A7180" s="25" t="str">
        <f>IFERROR(__xludf.DUMMYFUNCTION("IF(B7180="""","""",RIGHT(REGEXREPLACE(B7180&amp;"""",""[^0-9]"",""""),9))"),"723168932")</f>
        <v>723168932</v>
      </c>
      <c r="B7180" s="52">
        <v>7.23168932E8</v>
      </c>
      <c r="C7180" s="28" t="s">
        <v>7434</v>
      </c>
      <c r="D7180" s="26" t="s">
        <v>64</v>
      </c>
      <c r="E7180" s="31">
        <v>46244.0</v>
      </c>
      <c r="F7180" s="26" t="s">
        <v>46</v>
      </c>
      <c r="G7180" s="26">
        <v>9.0</v>
      </c>
      <c r="I7180" s="26" t="s">
        <v>951</v>
      </c>
      <c r="J7180" s="25" t="str">
        <f t="shared" si="82"/>
        <v>No</v>
      </c>
      <c r="K7180" s="25" t="str">
        <f t="shared" si="83"/>
        <v/>
      </c>
      <c r="L7180" s="25" t="str">
        <f t="shared" si="84"/>
        <v/>
      </c>
      <c r="M7180" s="25"/>
      <c r="O7180" s="25"/>
    </row>
    <row r="7181" ht="15.75" customHeight="1">
      <c r="A7181" s="25" t="str">
        <f>IFERROR(__xludf.DUMMYFUNCTION("IF(B7181="""","""",RIGHT(REGEXREPLACE(B7181&amp;"""",""[^0-9]"",""""),9))"),"757591865")</f>
        <v>757591865</v>
      </c>
      <c r="B7181" s="52">
        <v>7.57591865E8</v>
      </c>
      <c r="C7181" s="28" t="s">
        <v>7435</v>
      </c>
      <c r="D7181" s="26" t="s">
        <v>82</v>
      </c>
      <c r="E7181" s="31">
        <v>46244.0</v>
      </c>
      <c r="F7181" s="26" t="s">
        <v>46</v>
      </c>
      <c r="G7181" s="26">
        <v>11.0</v>
      </c>
      <c r="H7181" s="26" t="s">
        <v>7436</v>
      </c>
      <c r="I7181" s="26" t="s">
        <v>951</v>
      </c>
      <c r="J7181" s="25" t="str">
        <f t="shared" si="82"/>
        <v>No</v>
      </c>
      <c r="K7181" s="25" t="str">
        <f t="shared" si="83"/>
        <v/>
      </c>
      <c r="L7181" s="25" t="str">
        <f t="shared" si="84"/>
        <v/>
      </c>
      <c r="M7181" s="25"/>
      <c r="O7181" s="25"/>
    </row>
    <row r="7182" ht="15.75" customHeight="1">
      <c r="A7182" s="25" t="str">
        <f>IFERROR(__xludf.DUMMYFUNCTION("IF(B7182="""","""",RIGHT(REGEXREPLACE(B7182&amp;"""",""[^0-9]"",""""),9))"),"764787733")</f>
        <v>764787733</v>
      </c>
      <c r="B7182" s="52">
        <v>7.64787733E8</v>
      </c>
      <c r="C7182" s="28" t="s">
        <v>7382</v>
      </c>
      <c r="D7182" s="26" t="s">
        <v>49</v>
      </c>
      <c r="E7182" s="31">
        <v>46244.0</v>
      </c>
      <c r="F7182" s="26" t="s">
        <v>659</v>
      </c>
      <c r="G7182" s="26">
        <v>9.0</v>
      </c>
      <c r="H7182" s="118" t="s">
        <v>7437</v>
      </c>
      <c r="I7182" s="26" t="s">
        <v>951</v>
      </c>
      <c r="J7182" s="25" t="str">
        <f t="shared" si="82"/>
        <v>Yes - see Previous F-Code</v>
      </c>
      <c r="K7182" s="25" t="str">
        <f t="shared" si="83"/>
        <v>DUPLICATE - CHECK</v>
      </c>
      <c r="L7182" s="25" t="str">
        <f t="shared" si="84"/>
        <v>F76317</v>
      </c>
      <c r="M7182" s="25"/>
      <c r="O7182" s="25"/>
    </row>
    <row r="7183" ht="15.75" customHeight="1">
      <c r="A7183" s="25" t="str">
        <f>IFERROR(__xludf.DUMMYFUNCTION("IF(B7183="""","""",RIGHT(REGEXREPLACE(B7183&amp;"""",""[^0-9]"",""""),9))"),"716528966")</f>
        <v>716528966</v>
      </c>
      <c r="B7183" s="52">
        <v>7.16528966E8</v>
      </c>
      <c r="C7183" s="28" t="s">
        <v>7438</v>
      </c>
      <c r="D7183" s="26" t="s">
        <v>56</v>
      </c>
      <c r="E7183" s="31">
        <v>46244.0</v>
      </c>
      <c r="F7183" s="26" t="s">
        <v>46</v>
      </c>
      <c r="G7183" s="26" t="s">
        <v>1102</v>
      </c>
      <c r="I7183" s="26" t="s">
        <v>951</v>
      </c>
      <c r="J7183" s="25" t="str">
        <f t="shared" si="82"/>
        <v>No</v>
      </c>
      <c r="K7183" s="25" t="str">
        <f t="shared" si="83"/>
        <v/>
      </c>
      <c r="L7183" s="25" t="str">
        <f t="shared" si="84"/>
        <v/>
      </c>
      <c r="M7183" s="25"/>
      <c r="O7183" s="25"/>
    </row>
    <row r="7184" ht="15.75" customHeight="1">
      <c r="A7184" s="25" t="str">
        <f>IFERROR(__xludf.DUMMYFUNCTION("IF(B7184="""","""",RIGHT(REGEXREPLACE(B7184&amp;"""",""[^0-9]"",""""),9))"),"740933574")</f>
        <v>740933574</v>
      </c>
      <c r="B7184" s="52">
        <v>7.40933574E8</v>
      </c>
      <c r="C7184" s="28" t="s">
        <v>7439</v>
      </c>
      <c r="D7184" s="26" t="s">
        <v>64</v>
      </c>
      <c r="E7184" s="31">
        <v>46244.0</v>
      </c>
      <c r="F7184" s="26" t="s">
        <v>46</v>
      </c>
      <c r="G7184" s="26">
        <v>9.0</v>
      </c>
      <c r="I7184" s="26" t="s">
        <v>951</v>
      </c>
      <c r="J7184" s="25" t="str">
        <f t="shared" si="82"/>
        <v>No</v>
      </c>
      <c r="K7184" s="25" t="str">
        <f t="shared" si="83"/>
        <v/>
      </c>
      <c r="L7184" s="25" t="str">
        <f t="shared" si="84"/>
        <v/>
      </c>
      <c r="M7184" s="25"/>
      <c r="O7184" s="25"/>
    </row>
    <row r="7185" ht="15.75" customHeight="1">
      <c r="A7185" s="25" t="str">
        <f>IFERROR(__xludf.DUMMYFUNCTION("IF(B7185="""","""",RIGHT(REGEXREPLACE(B7185&amp;"""",""[^0-9]"",""""),9))"),"703388064")</f>
        <v>703388064</v>
      </c>
      <c r="B7185" s="52">
        <v>7.03388064E8</v>
      </c>
      <c r="C7185" s="28" t="s">
        <v>7440</v>
      </c>
      <c r="D7185" s="26" t="s">
        <v>49</v>
      </c>
      <c r="E7185" s="31">
        <v>46244.0</v>
      </c>
      <c r="F7185" s="26" t="s">
        <v>5058</v>
      </c>
      <c r="I7185" s="26" t="s">
        <v>951</v>
      </c>
      <c r="J7185" s="25" t="str">
        <f t="shared" si="82"/>
        <v>No</v>
      </c>
      <c r="K7185" s="25" t="str">
        <f t="shared" si="83"/>
        <v/>
      </c>
      <c r="L7185" s="25" t="str">
        <f t="shared" si="84"/>
        <v/>
      </c>
      <c r="M7185" s="25"/>
      <c r="O7185" s="25"/>
    </row>
    <row r="7186" ht="15.75" customHeight="1">
      <c r="A7186" s="25" t="str">
        <f>IFERROR(__xludf.DUMMYFUNCTION("IF(B7186="""","""",RIGHT(REGEXREPLACE(B7186&amp;"""",""[^0-9]"",""""),9))"),"778778454")</f>
        <v>778778454</v>
      </c>
      <c r="B7186" s="52">
        <v>7.78778454E8</v>
      </c>
      <c r="C7186" s="28" t="s">
        <v>7395</v>
      </c>
      <c r="D7186" s="26" t="s">
        <v>82</v>
      </c>
      <c r="E7186" s="31">
        <v>46244.0</v>
      </c>
      <c r="F7186" s="26" t="s">
        <v>41</v>
      </c>
      <c r="G7186" s="26">
        <v>9.0</v>
      </c>
      <c r="I7186" s="26" t="s">
        <v>951</v>
      </c>
      <c r="J7186" s="25" t="str">
        <f t="shared" si="82"/>
        <v>Yes - see Previous F-Code</v>
      </c>
      <c r="K7186" s="25" t="str">
        <f t="shared" si="83"/>
        <v>DUPLICATE - CHECK</v>
      </c>
      <c r="L7186" s="25" t="str">
        <f t="shared" si="84"/>
        <v>F76330</v>
      </c>
      <c r="M7186" s="25"/>
      <c r="O7186" s="25"/>
    </row>
    <row r="7187" ht="15.75" customHeight="1">
      <c r="A7187" s="25" t="str">
        <f>IFERROR(__xludf.DUMMYFUNCTION("IF(B7187="""","""",RIGHT(REGEXREPLACE(B7187&amp;"""",""[^0-9]"",""""),9))"),"756166005")</f>
        <v>756166005</v>
      </c>
      <c r="B7187" s="52">
        <v>7.56166005E8</v>
      </c>
      <c r="C7187" s="28" t="s">
        <v>7441</v>
      </c>
      <c r="D7187" s="26" t="s">
        <v>82</v>
      </c>
      <c r="E7187" s="31">
        <v>46244.0</v>
      </c>
      <c r="F7187" s="26" t="s">
        <v>46</v>
      </c>
      <c r="G7187" s="26">
        <v>9.0</v>
      </c>
      <c r="I7187" s="26" t="s">
        <v>951</v>
      </c>
      <c r="J7187" s="25" t="str">
        <f t="shared" si="82"/>
        <v>No</v>
      </c>
      <c r="K7187" s="25" t="str">
        <f t="shared" si="83"/>
        <v/>
      </c>
      <c r="L7187" s="25" t="str">
        <f t="shared" si="84"/>
        <v/>
      </c>
      <c r="M7187" s="25"/>
      <c r="O7187" s="25"/>
    </row>
    <row r="7188" ht="15.75" customHeight="1">
      <c r="A7188" s="25" t="str">
        <f>IFERROR(__xludf.DUMMYFUNCTION("IF(B7188="""","""",RIGHT(REGEXREPLACE(B7188&amp;"""",""[^0-9]"",""""),9))"),"777113260")</f>
        <v>777113260</v>
      </c>
      <c r="B7188" s="52">
        <v>7.7711326E8</v>
      </c>
      <c r="C7188" s="28" t="s">
        <v>380</v>
      </c>
      <c r="D7188" s="26" t="s">
        <v>49</v>
      </c>
      <c r="E7188" s="31">
        <v>46244.0</v>
      </c>
      <c r="F7188" s="26" t="s">
        <v>41</v>
      </c>
      <c r="G7188" s="26">
        <v>11.0</v>
      </c>
      <c r="I7188" s="26" t="s">
        <v>951</v>
      </c>
      <c r="J7188" s="25" t="str">
        <f t="shared" si="82"/>
        <v>Yes - see Previous F-Code</v>
      </c>
      <c r="K7188" s="25" t="str">
        <f t="shared" si="83"/>
        <v/>
      </c>
      <c r="L7188" s="25" t="str">
        <f t="shared" si="84"/>
        <v>F70222</v>
      </c>
      <c r="M7188" s="25"/>
      <c r="O7188" s="25"/>
    </row>
    <row r="7189" ht="15.75" customHeight="1">
      <c r="A7189" s="25" t="str">
        <f>IFERROR(__xludf.DUMMYFUNCTION("IF(B7189="""","""",RIGHT(REGEXREPLACE(B7189&amp;"""",""[^0-9]"",""""),9))"),"774215187")</f>
        <v>774215187</v>
      </c>
      <c r="B7189" s="52">
        <v>7.74215187E8</v>
      </c>
      <c r="C7189" s="28" t="s">
        <v>7442</v>
      </c>
      <c r="D7189" s="26" t="s">
        <v>56</v>
      </c>
      <c r="E7189" s="31">
        <v>46244.0</v>
      </c>
      <c r="F7189" s="26" t="s">
        <v>46</v>
      </c>
      <c r="G7189" s="26">
        <v>10.0</v>
      </c>
      <c r="I7189" s="26" t="s">
        <v>951</v>
      </c>
      <c r="J7189" s="25" t="str">
        <f t="shared" si="82"/>
        <v>No</v>
      </c>
      <c r="K7189" s="25" t="str">
        <f t="shared" si="83"/>
        <v/>
      </c>
      <c r="L7189" s="25" t="str">
        <f t="shared" si="84"/>
        <v/>
      </c>
      <c r="M7189" s="25"/>
      <c r="O7189" s="25"/>
    </row>
    <row r="7190" ht="15.75" customHeight="1">
      <c r="A7190" s="25" t="str">
        <f>IFERROR(__xludf.DUMMYFUNCTION("IF(B7190="""","""",RIGHT(REGEXREPLACE(B7190&amp;"""",""[^0-9]"",""""),9))"),"714477686")</f>
        <v>714477686</v>
      </c>
      <c r="B7190" s="52">
        <v>7.14477686E8</v>
      </c>
      <c r="C7190" s="28" t="s">
        <v>7443</v>
      </c>
      <c r="D7190" s="26" t="s">
        <v>82</v>
      </c>
      <c r="E7190" s="31">
        <v>46244.0</v>
      </c>
      <c r="F7190" s="25"/>
      <c r="G7190" s="25"/>
      <c r="H7190" s="25"/>
      <c r="I7190" s="26" t="s">
        <v>951</v>
      </c>
      <c r="J7190" s="25" t="str">
        <f t="shared" si="82"/>
        <v>No</v>
      </c>
      <c r="K7190" s="25" t="str">
        <f t="shared" si="83"/>
        <v/>
      </c>
      <c r="L7190" s="25" t="str">
        <f t="shared" si="84"/>
        <v/>
      </c>
      <c r="M7190" s="25"/>
      <c r="N7190" s="25"/>
      <c r="O7190" s="26" t="s">
        <v>51</v>
      </c>
      <c r="P7190" s="25"/>
    </row>
    <row r="7191" ht="15.75" customHeight="1">
      <c r="A7191" s="25" t="str">
        <f>IFERROR(__xludf.DUMMYFUNCTION("IF(B7191="""","""",RIGHT(REGEXREPLACE(B7191&amp;"""",""[^0-9]"",""""),9))"),"702803416")</f>
        <v>702803416</v>
      </c>
      <c r="B7191" s="52">
        <v>7.02803416E8</v>
      </c>
      <c r="C7191" s="28" t="s">
        <v>7444</v>
      </c>
      <c r="D7191" s="26" t="s">
        <v>64</v>
      </c>
      <c r="E7191" s="31">
        <v>46244.0</v>
      </c>
      <c r="F7191" s="26" t="s">
        <v>46</v>
      </c>
      <c r="G7191" s="26">
        <v>9.0</v>
      </c>
      <c r="I7191" s="26" t="s">
        <v>951</v>
      </c>
      <c r="J7191" s="25" t="str">
        <f t="shared" si="82"/>
        <v>No</v>
      </c>
      <c r="K7191" s="25" t="str">
        <f t="shared" si="83"/>
        <v/>
      </c>
      <c r="L7191" s="25" t="str">
        <f t="shared" si="84"/>
        <v/>
      </c>
      <c r="M7191" s="25"/>
      <c r="O7191" s="26" t="s">
        <v>51</v>
      </c>
    </row>
    <row r="7192" ht="15.75" customHeight="1">
      <c r="A7192" s="25" t="str">
        <f>IFERROR(__xludf.DUMMYFUNCTION("IF(B7192="""","""",RIGHT(REGEXREPLACE(B7192&amp;"""",""[^0-9]"",""""),9))"),"774749589")</f>
        <v>774749589</v>
      </c>
      <c r="B7192" s="52">
        <v>7.74749589E8</v>
      </c>
      <c r="C7192" s="28" t="s">
        <v>7445</v>
      </c>
      <c r="D7192" s="26" t="s">
        <v>56</v>
      </c>
      <c r="E7192" s="31">
        <v>46244.0</v>
      </c>
      <c r="F7192" s="26" t="s">
        <v>41</v>
      </c>
      <c r="I7192" s="26" t="s">
        <v>951</v>
      </c>
      <c r="J7192" s="25" t="str">
        <f t="shared" si="82"/>
        <v>No</v>
      </c>
      <c r="K7192" s="25" t="str">
        <f t="shared" si="83"/>
        <v/>
      </c>
      <c r="L7192" s="25" t="str">
        <f t="shared" si="84"/>
        <v/>
      </c>
      <c r="M7192" s="25"/>
      <c r="O7192" s="25"/>
    </row>
    <row r="7193" ht="15.75" customHeight="1">
      <c r="A7193" s="25" t="str">
        <f>IFERROR(__xludf.DUMMYFUNCTION("IF(B7193="""","""",RIGHT(REGEXREPLACE(B7193&amp;"""",""[^0-9]"",""""),9))"),"771700513")</f>
        <v>771700513</v>
      </c>
      <c r="B7193" s="52">
        <v>7.71700513E8</v>
      </c>
      <c r="C7193" s="28" t="s">
        <v>7446</v>
      </c>
      <c r="D7193" s="26" t="s">
        <v>56</v>
      </c>
      <c r="E7193" s="31">
        <v>46244.0</v>
      </c>
      <c r="F7193" s="26" t="s">
        <v>46</v>
      </c>
      <c r="G7193" s="26">
        <v>6.0</v>
      </c>
      <c r="I7193" s="26" t="s">
        <v>951</v>
      </c>
      <c r="J7193" s="25" t="str">
        <f t="shared" si="82"/>
        <v>No</v>
      </c>
      <c r="K7193" s="25" t="str">
        <f t="shared" si="83"/>
        <v/>
      </c>
      <c r="L7193" s="25" t="str">
        <f t="shared" si="84"/>
        <v/>
      </c>
      <c r="M7193" s="25"/>
      <c r="O7193" s="25"/>
    </row>
    <row r="7194" ht="15.75" customHeight="1">
      <c r="A7194" s="25" t="str">
        <f>IFERROR(__xludf.DUMMYFUNCTION("IF(B7194="""","""",RIGHT(REGEXREPLACE(B7194&amp;"""",""[^0-9]"",""""),9))"),"775525405")</f>
        <v>775525405</v>
      </c>
      <c r="B7194" s="52">
        <v>7.75525405E8</v>
      </c>
      <c r="C7194" s="28" t="s">
        <v>7447</v>
      </c>
      <c r="D7194" s="26" t="s">
        <v>56</v>
      </c>
      <c r="E7194" s="31">
        <v>46244.0</v>
      </c>
      <c r="F7194" s="26" t="s">
        <v>46</v>
      </c>
      <c r="H7194" s="26" t="s">
        <v>140</v>
      </c>
      <c r="I7194" s="26" t="s">
        <v>951</v>
      </c>
      <c r="J7194" s="25" t="str">
        <f t="shared" si="82"/>
        <v>No</v>
      </c>
      <c r="K7194" s="25" t="str">
        <f t="shared" si="83"/>
        <v/>
      </c>
      <c r="L7194" s="25" t="str">
        <f t="shared" si="84"/>
        <v/>
      </c>
      <c r="M7194" s="25"/>
      <c r="O7194" s="25"/>
    </row>
    <row r="7195" ht="15.75" customHeight="1">
      <c r="A7195" s="25" t="str">
        <f>IFERROR(__xludf.DUMMYFUNCTION("IF(B7195="""","""",RIGHT(REGEXREPLACE(B7195&amp;"""",""[^0-9]"",""""),9))"),"716404100")</f>
        <v>716404100</v>
      </c>
      <c r="B7195" s="52">
        <v>7.164041E8</v>
      </c>
      <c r="C7195" s="28" t="s">
        <v>7448</v>
      </c>
      <c r="D7195" s="26" t="s">
        <v>82</v>
      </c>
      <c r="E7195" s="31">
        <v>46244.0</v>
      </c>
      <c r="F7195" s="26" t="s">
        <v>46</v>
      </c>
      <c r="G7195" s="26">
        <v>9.0</v>
      </c>
      <c r="I7195" s="26" t="s">
        <v>951</v>
      </c>
      <c r="J7195" s="25" t="str">
        <f t="shared" si="82"/>
        <v>No</v>
      </c>
      <c r="K7195" s="25" t="str">
        <f t="shared" si="83"/>
        <v/>
      </c>
      <c r="L7195" s="25" t="str">
        <f t="shared" si="84"/>
        <v/>
      </c>
      <c r="M7195" s="25"/>
      <c r="O7195" s="25"/>
    </row>
    <row r="7196" ht="15.75" customHeight="1">
      <c r="A7196" s="25" t="str">
        <f>IFERROR(__xludf.DUMMYFUNCTION("IF(B7196="""","""",RIGHT(REGEXREPLACE(B7196&amp;"""",""[^0-9]"",""""),9))"),"755937047")</f>
        <v>755937047</v>
      </c>
      <c r="B7196" s="52">
        <v>7.55937047E8</v>
      </c>
      <c r="C7196" s="28" t="s">
        <v>7449</v>
      </c>
      <c r="D7196" s="26" t="s">
        <v>49</v>
      </c>
      <c r="E7196" s="31">
        <v>46244.0</v>
      </c>
      <c r="F7196" s="26" t="s">
        <v>46</v>
      </c>
      <c r="G7196" s="26">
        <v>7.0</v>
      </c>
      <c r="H7196" s="117" t="s">
        <v>7450</v>
      </c>
      <c r="I7196" s="26" t="s">
        <v>951</v>
      </c>
      <c r="J7196" s="25" t="str">
        <f t="shared" si="82"/>
        <v>No</v>
      </c>
      <c r="K7196" s="25" t="str">
        <f t="shared" si="83"/>
        <v/>
      </c>
      <c r="L7196" s="25" t="str">
        <f t="shared" si="84"/>
        <v/>
      </c>
      <c r="M7196" s="25"/>
      <c r="O7196" s="25"/>
    </row>
    <row r="7197" ht="15.75" customHeight="1">
      <c r="A7197" s="25" t="str">
        <f>IFERROR(__xludf.DUMMYFUNCTION("IF(B7197="""","""",RIGHT(REGEXREPLACE(B7197&amp;"""",""[^0-9]"",""""),9))"),"772305536")</f>
        <v>772305536</v>
      </c>
      <c r="B7197" s="52">
        <v>7.72305536E8</v>
      </c>
      <c r="C7197" s="28" t="s">
        <v>7451</v>
      </c>
      <c r="D7197" s="26" t="s">
        <v>64</v>
      </c>
      <c r="E7197" s="31">
        <v>46244.0</v>
      </c>
      <c r="F7197" s="26" t="s">
        <v>205</v>
      </c>
      <c r="G7197" s="26">
        <v>9.0</v>
      </c>
      <c r="I7197" s="26" t="s">
        <v>951</v>
      </c>
      <c r="J7197" s="25" t="str">
        <f t="shared" si="82"/>
        <v>No</v>
      </c>
      <c r="K7197" s="25" t="str">
        <f t="shared" si="83"/>
        <v/>
      </c>
      <c r="L7197" s="25" t="str">
        <f t="shared" si="84"/>
        <v/>
      </c>
      <c r="M7197" s="25"/>
      <c r="O7197" s="25"/>
    </row>
    <row r="7198" ht="15.75" customHeight="1">
      <c r="A7198" s="25" t="str">
        <f>IFERROR(__xludf.DUMMYFUNCTION("IF(B7198="""","""",RIGHT(REGEXREPLACE(B7198&amp;"""",""[^0-9]"",""""),9))"),"776446733")</f>
        <v>776446733</v>
      </c>
      <c r="B7198" s="52">
        <v>7.76446733E8</v>
      </c>
      <c r="C7198" s="28" t="s">
        <v>7452</v>
      </c>
      <c r="D7198" s="26" t="s">
        <v>56</v>
      </c>
      <c r="E7198" s="31">
        <v>46244.0</v>
      </c>
      <c r="F7198" s="26" t="s">
        <v>46</v>
      </c>
      <c r="G7198" s="26">
        <v>10.0</v>
      </c>
      <c r="I7198" s="26" t="s">
        <v>951</v>
      </c>
      <c r="J7198" s="25" t="str">
        <f t="shared" si="82"/>
        <v>No</v>
      </c>
      <c r="K7198" s="25" t="str">
        <f t="shared" si="83"/>
        <v/>
      </c>
      <c r="L7198" s="25" t="str">
        <f t="shared" si="84"/>
        <v/>
      </c>
      <c r="M7198" s="25"/>
      <c r="O7198" s="25"/>
    </row>
    <row r="7199" ht="15.75" customHeight="1">
      <c r="A7199" s="25" t="str">
        <f>IFERROR(__xludf.DUMMYFUNCTION("IF(B7199="""","""",RIGHT(REGEXREPLACE(B7199&amp;"""",""[^0-9]"",""""),9))"),"773336818")</f>
        <v>773336818</v>
      </c>
      <c r="B7199" s="52">
        <v>7.73336818E8</v>
      </c>
      <c r="C7199" s="28" t="s">
        <v>7453</v>
      </c>
      <c r="D7199" s="26" t="s">
        <v>64</v>
      </c>
      <c r="E7199" s="31">
        <v>46244.0</v>
      </c>
      <c r="F7199" s="26" t="s">
        <v>46</v>
      </c>
      <c r="G7199" s="26">
        <v>9.0</v>
      </c>
      <c r="I7199" s="26" t="s">
        <v>951</v>
      </c>
      <c r="J7199" s="25" t="str">
        <f t="shared" si="82"/>
        <v>No</v>
      </c>
      <c r="K7199" s="25" t="str">
        <f t="shared" si="83"/>
        <v/>
      </c>
      <c r="L7199" s="25" t="str">
        <f t="shared" si="84"/>
        <v/>
      </c>
      <c r="M7199" s="25"/>
      <c r="O7199" s="25"/>
    </row>
    <row r="7200" ht="15.75" customHeight="1">
      <c r="A7200" s="25" t="str">
        <f>IFERROR(__xludf.DUMMYFUNCTION("IF(B7200="""","""",RIGHT(REGEXREPLACE(B7200&amp;"""",""[^0-9]"",""""),9))"),"755398253")</f>
        <v>755398253</v>
      </c>
      <c r="B7200" s="52">
        <v>7.55398253E8</v>
      </c>
      <c r="C7200" s="28" t="s">
        <v>7454</v>
      </c>
      <c r="D7200" s="26" t="s">
        <v>49</v>
      </c>
      <c r="E7200" s="31">
        <v>46244.0</v>
      </c>
      <c r="F7200" s="26" t="s">
        <v>41</v>
      </c>
      <c r="G7200" s="26">
        <v>8.0</v>
      </c>
      <c r="I7200" s="26" t="s">
        <v>951</v>
      </c>
      <c r="J7200" s="25" t="str">
        <f t="shared" si="82"/>
        <v>No</v>
      </c>
      <c r="K7200" s="25" t="str">
        <f t="shared" si="83"/>
        <v/>
      </c>
      <c r="L7200" s="25" t="str">
        <f t="shared" si="84"/>
        <v/>
      </c>
      <c r="M7200" s="25"/>
      <c r="O7200" s="25"/>
    </row>
    <row r="7201" ht="15.75" customHeight="1">
      <c r="A7201" s="25" t="str">
        <f>IFERROR(__xludf.DUMMYFUNCTION("IF(B7201="""","""",RIGHT(REGEXREPLACE(B7201&amp;"""",""[^0-9]"",""""),9))"),"774690118")</f>
        <v>774690118</v>
      </c>
      <c r="B7201" s="52">
        <v>7.74690118E8</v>
      </c>
      <c r="C7201" s="28" t="s">
        <v>7455</v>
      </c>
      <c r="D7201" s="26" t="s">
        <v>56</v>
      </c>
      <c r="E7201" s="31">
        <v>46244.0</v>
      </c>
      <c r="F7201" s="26" t="s">
        <v>46</v>
      </c>
      <c r="G7201" s="26">
        <v>7.0</v>
      </c>
      <c r="I7201" s="26" t="s">
        <v>951</v>
      </c>
      <c r="J7201" s="25" t="str">
        <f t="shared" si="82"/>
        <v>No</v>
      </c>
      <c r="K7201" s="25" t="str">
        <f t="shared" si="83"/>
        <v/>
      </c>
      <c r="L7201" s="25" t="str">
        <f t="shared" si="84"/>
        <v/>
      </c>
      <c r="M7201" s="25"/>
      <c r="O7201" s="25"/>
    </row>
    <row r="7202" ht="15.75" customHeight="1">
      <c r="A7202" s="25" t="str">
        <f>IFERROR(__xludf.DUMMYFUNCTION("IF(B7202="""","""",RIGHT(REGEXREPLACE(B7202&amp;"""",""[^0-9]"",""""),9))"),"715906200")</f>
        <v>715906200</v>
      </c>
      <c r="B7202" s="52">
        <v>7.159062E8</v>
      </c>
      <c r="C7202" s="28" t="s">
        <v>7456</v>
      </c>
      <c r="D7202" s="26" t="s">
        <v>64</v>
      </c>
      <c r="E7202" s="31">
        <v>46244.0</v>
      </c>
      <c r="F7202" s="26" t="s">
        <v>46</v>
      </c>
      <c r="G7202" s="26">
        <v>9.0</v>
      </c>
      <c r="I7202" s="26" t="s">
        <v>951</v>
      </c>
      <c r="J7202" s="25" t="str">
        <f t="shared" si="82"/>
        <v>No</v>
      </c>
      <c r="K7202" s="25" t="str">
        <f t="shared" si="83"/>
        <v/>
      </c>
      <c r="L7202" s="25" t="str">
        <f t="shared" si="84"/>
        <v/>
      </c>
      <c r="M7202" s="25"/>
      <c r="O7202" s="25"/>
    </row>
    <row r="7203" ht="15.75" customHeight="1">
      <c r="A7203" s="25" t="str">
        <f>IFERROR(__xludf.DUMMYFUNCTION("IF(B7203="""","""",RIGHT(REGEXREPLACE(B7203&amp;"""",""[^0-9]"",""""),9))"),"781876000")</f>
        <v>781876000</v>
      </c>
      <c r="B7203" s="52">
        <v>7.81876E8</v>
      </c>
      <c r="C7203" s="28" t="s">
        <v>7457</v>
      </c>
      <c r="D7203" s="26" t="s">
        <v>82</v>
      </c>
      <c r="E7203" s="31">
        <v>46244.0</v>
      </c>
      <c r="F7203" s="26" t="s">
        <v>46</v>
      </c>
      <c r="G7203" s="26">
        <v>9.0</v>
      </c>
      <c r="I7203" s="26" t="s">
        <v>951</v>
      </c>
      <c r="J7203" s="25" t="str">
        <f t="shared" si="82"/>
        <v>No</v>
      </c>
      <c r="K7203" s="25" t="str">
        <f t="shared" si="83"/>
        <v/>
      </c>
      <c r="L7203" s="25" t="str">
        <f t="shared" si="84"/>
        <v/>
      </c>
      <c r="M7203" s="25"/>
      <c r="O7203" s="25"/>
    </row>
    <row r="7204" ht="15.75" customHeight="1">
      <c r="A7204" s="25" t="str">
        <f>IFERROR(__xludf.DUMMYFUNCTION("IF(B7204="""","""",RIGHT(REGEXREPLACE(B7204&amp;"""",""[^0-9]"",""""),9))"),"718784846")</f>
        <v>718784846</v>
      </c>
      <c r="B7204" s="52">
        <v>7.18784846E8</v>
      </c>
      <c r="C7204" s="28" t="s">
        <v>7458</v>
      </c>
      <c r="D7204" s="26" t="s">
        <v>56</v>
      </c>
      <c r="E7204" s="31">
        <v>46244.0</v>
      </c>
      <c r="F7204" s="26" t="s">
        <v>631</v>
      </c>
      <c r="G7204" s="26">
        <v>9.0</v>
      </c>
      <c r="I7204" s="26" t="s">
        <v>951</v>
      </c>
      <c r="J7204" s="25" t="str">
        <f t="shared" si="82"/>
        <v>No</v>
      </c>
      <c r="K7204" s="25" t="str">
        <f t="shared" si="83"/>
        <v/>
      </c>
      <c r="L7204" s="25" t="str">
        <f t="shared" si="84"/>
        <v/>
      </c>
      <c r="M7204" s="25"/>
      <c r="O7204" s="25"/>
    </row>
    <row r="7205" ht="15.75" customHeight="1">
      <c r="A7205" s="25" t="str">
        <f>IFERROR(__xludf.DUMMYFUNCTION("IF(B7205="""","""",RIGHT(REGEXREPLACE(B7205&amp;"""",""[^0-9]"",""""),9))"),"774490256")</f>
        <v>774490256</v>
      </c>
      <c r="B7205" s="52">
        <v>7.74490256E8</v>
      </c>
      <c r="C7205" s="28" t="s">
        <v>3450</v>
      </c>
      <c r="D7205" s="26" t="s">
        <v>49</v>
      </c>
      <c r="E7205" s="31">
        <v>46244.0</v>
      </c>
      <c r="F7205" s="26" t="s">
        <v>46</v>
      </c>
      <c r="G7205" s="26">
        <v>11.0</v>
      </c>
      <c r="I7205" s="26" t="s">
        <v>951</v>
      </c>
      <c r="J7205" s="25" t="str">
        <f t="shared" si="82"/>
        <v>Yes - see Previous F-Code</v>
      </c>
      <c r="K7205" s="25" t="str">
        <f t="shared" si="83"/>
        <v/>
      </c>
      <c r="L7205" s="25" t="str">
        <f t="shared" si="84"/>
        <v>F73110</v>
      </c>
      <c r="M7205" s="25"/>
      <c r="O7205" s="25"/>
    </row>
    <row r="7206" ht="15.75" customHeight="1">
      <c r="A7206" s="25" t="str">
        <f>IFERROR(__xludf.DUMMYFUNCTION("IF(B7206="""","""",RIGHT(REGEXREPLACE(B7206&amp;"""",""[^0-9]"",""""),9))"),"714878914")</f>
        <v>714878914</v>
      </c>
      <c r="B7206" s="52">
        <v>7.14878914E8</v>
      </c>
      <c r="C7206" s="28" t="s">
        <v>1762</v>
      </c>
      <c r="D7206" s="26" t="s">
        <v>82</v>
      </c>
      <c r="E7206" s="31">
        <v>46244.0</v>
      </c>
      <c r="F7206" s="26" t="s">
        <v>46</v>
      </c>
      <c r="H7206" s="26" t="s">
        <v>6087</v>
      </c>
      <c r="I7206" s="26" t="s">
        <v>951</v>
      </c>
      <c r="J7206" s="25" t="str">
        <f t="shared" si="82"/>
        <v>Yes - see Previous F-Code</v>
      </c>
      <c r="K7206" s="25" t="str">
        <f t="shared" si="83"/>
        <v/>
      </c>
      <c r="L7206" s="25" t="str">
        <f t="shared" si="84"/>
        <v>F71473</v>
      </c>
      <c r="M7206" s="25"/>
      <c r="O7206" s="25"/>
    </row>
    <row r="7207" ht="15.75" customHeight="1">
      <c r="A7207" s="25" t="str">
        <f>IFERROR(__xludf.DUMMYFUNCTION("IF(B7207="""","""",RIGHT(REGEXREPLACE(B7207&amp;"""",""[^0-9]"",""""),9))"),"740866195")</f>
        <v>740866195</v>
      </c>
      <c r="B7207" s="26" t="s">
        <v>7459</v>
      </c>
      <c r="C7207" s="28" t="s">
        <v>7460</v>
      </c>
      <c r="D7207" s="26" t="s">
        <v>45</v>
      </c>
      <c r="E7207" s="31">
        <v>46244.0</v>
      </c>
      <c r="F7207" s="26" t="s">
        <v>46</v>
      </c>
      <c r="G7207" s="26">
        <v>11.0</v>
      </c>
      <c r="I7207" s="26" t="s">
        <v>951</v>
      </c>
      <c r="J7207" s="25" t="str">
        <f t="shared" si="82"/>
        <v>No</v>
      </c>
      <c r="K7207" s="25" t="str">
        <f t="shared" si="83"/>
        <v/>
      </c>
      <c r="L7207" s="25" t="str">
        <f t="shared" si="84"/>
        <v/>
      </c>
      <c r="M7207" s="25"/>
      <c r="O7207" s="25"/>
    </row>
    <row r="7208" ht="15.75" customHeight="1">
      <c r="A7208" s="25" t="str">
        <f>IFERROR(__xludf.DUMMYFUNCTION("IF(B7208="""","""",RIGHT(REGEXREPLACE(B7208&amp;"""",""[^0-9]"",""""),9))"),"718162358")</f>
        <v>718162358</v>
      </c>
      <c r="B7208" s="52">
        <v>7.18162358E8</v>
      </c>
      <c r="C7208" s="28" t="s">
        <v>7461</v>
      </c>
      <c r="D7208" s="26" t="s">
        <v>82</v>
      </c>
      <c r="E7208" s="31">
        <v>46244.0</v>
      </c>
      <c r="F7208" s="26" t="s">
        <v>46</v>
      </c>
      <c r="G7208" s="26">
        <v>10.0</v>
      </c>
      <c r="I7208" s="26" t="s">
        <v>951</v>
      </c>
      <c r="J7208" s="25" t="str">
        <f t="shared" si="82"/>
        <v>No</v>
      </c>
      <c r="K7208" s="25" t="str">
        <f t="shared" si="83"/>
        <v/>
      </c>
      <c r="L7208" s="25" t="str">
        <f t="shared" si="84"/>
        <v/>
      </c>
      <c r="M7208" s="25"/>
      <c r="O7208" s="25"/>
    </row>
    <row r="7209" ht="15.75" customHeight="1">
      <c r="A7209" s="25" t="str">
        <f>IFERROR(__xludf.DUMMYFUNCTION("IF(B7209="""","""",RIGHT(REGEXREPLACE(B7209&amp;"""",""[^0-9]"",""""),9))"),"763627921")</f>
        <v>763627921</v>
      </c>
      <c r="B7209" s="52">
        <v>7.63627921E8</v>
      </c>
      <c r="C7209" s="28" t="s">
        <v>185</v>
      </c>
      <c r="D7209" s="26" t="s">
        <v>64</v>
      </c>
      <c r="E7209" s="31">
        <v>46244.0</v>
      </c>
      <c r="F7209" s="26" t="s">
        <v>659</v>
      </c>
      <c r="I7209" s="26" t="s">
        <v>951</v>
      </c>
      <c r="J7209" s="25" t="str">
        <f t="shared" si="82"/>
        <v>Yes - see Previous F-Code</v>
      </c>
      <c r="K7209" s="25" t="str">
        <f t="shared" si="83"/>
        <v/>
      </c>
      <c r="L7209" s="25" t="str">
        <f t="shared" si="84"/>
        <v>F70081</v>
      </c>
      <c r="M7209" s="25"/>
      <c r="O7209" s="25"/>
    </row>
    <row r="7210" ht="15.75" customHeight="1">
      <c r="A7210" s="25" t="str">
        <f>IFERROR(__xludf.DUMMYFUNCTION("IF(B7210="""","""",RIGHT(REGEXREPLACE(B7210&amp;"""",""[^0-9]"",""""),9))"),"762358289")</f>
        <v>762358289</v>
      </c>
      <c r="B7210" s="52">
        <v>7.62358289E8</v>
      </c>
      <c r="C7210" s="28" t="s">
        <v>7462</v>
      </c>
      <c r="D7210" s="26" t="s">
        <v>56</v>
      </c>
      <c r="E7210" s="31">
        <v>46244.0</v>
      </c>
      <c r="F7210" s="26" t="s">
        <v>46</v>
      </c>
      <c r="G7210" s="26">
        <v>9.0</v>
      </c>
      <c r="I7210" s="26" t="s">
        <v>951</v>
      </c>
      <c r="J7210" s="25" t="str">
        <f t="shared" si="82"/>
        <v>No</v>
      </c>
      <c r="K7210" s="25" t="str">
        <f t="shared" si="83"/>
        <v/>
      </c>
      <c r="L7210" s="25" t="str">
        <f t="shared" si="84"/>
        <v/>
      </c>
      <c r="M7210" s="25"/>
      <c r="O7210" s="26" t="s">
        <v>51</v>
      </c>
    </row>
    <row r="7211" ht="15.75" customHeight="1">
      <c r="A7211" s="25" t="str">
        <f>IFERROR(__xludf.DUMMYFUNCTION("IF(B7211="""","""",RIGHT(REGEXREPLACE(B7211&amp;"""",""[^0-9]"",""""),9))"),"770379385")</f>
        <v>770379385</v>
      </c>
      <c r="B7211" s="52">
        <v>7.70379385E8</v>
      </c>
      <c r="C7211" s="28" t="s">
        <v>7117</v>
      </c>
      <c r="D7211" s="26" t="s">
        <v>64</v>
      </c>
      <c r="E7211" s="31">
        <v>46244.0</v>
      </c>
      <c r="F7211" s="26" t="s">
        <v>46</v>
      </c>
      <c r="I7211" s="26" t="s">
        <v>951</v>
      </c>
      <c r="J7211" s="25" t="str">
        <f t="shared" si="82"/>
        <v>Yes - see Previous F-Code</v>
      </c>
      <c r="K7211" s="25" t="str">
        <f t="shared" si="83"/>
        <v>DUPLICATE - CHECK</v>
      </c>
      <c r="L7211" s="25" t="str">
        <f t="shared" si="84"/>
        <v>F76076</v>
      </c>
      <c r="M7211" s="25"/>
      <c r="O7211" s="25"/>
    </row>
    <row r="7212" ht="15.75" customHeight="1">
      <c r="A7212" s="25" t="str">
        <f>IFERROR(__xludf.DUMMYFUNCTION("IF(B7212="""","""",RIGHT(REGEXREPLACE(B7212&amp;"""",""[^0-9]"",""""),9))"),"767170221")</f>
        <v>767170221</v>
      </c>
      <c r="B7212" s="26" t="s">
        <v>7463</v>
      </c>
      <c r="C7212" s="28" t="s">
        <v>7464</v>
      </c>
      <c r="D7212" s="26" t="s">
        <v>45</v>
      </c>
      <c r="E7212" s="31">
        <v>46244.0</v>
      </c>
      <c r="F7212" s="26" t="s">
        <v>659</v>
      </c>
      <c r="G7212" s="26">
        <v>10.0</v>
      </c>
      <c r="I7212" s="26" t="s">
        <v>951</v>
      </c>
      <c r="J7212" s="25" t="str">
        <f t="shared" si="82"/>
        <v>No</v>
      </c>
      <c r="K7212" s="25" t="str">
        <f t="shared" si="83"/>
        <v/>
      </c>
      <c r="L7212" s="25" t="str">
        <f t="shared" si="84"/>
        <v/>
      </c>
      <c r="M7212" s="25"/>
      <c r="O7212" s="25"/>
    </row>
    <row r="7213" ht="15.75" customHeight="1">
      <c r="A7213" s="25" t="str">
        <f>IFERROR(__xludf.DUMMYFUNCTION("IF(B7213="""","""",RIGHT(REGEXREPLACE(B7213&amp;"""",""[^0-9]"",""""),9))"),"767566583")</f>
        <v>767566583</v>
      </c>
      <c r="B7213" s="52">
        <v>7.67566583E8</v>
      </c>
      <c r="C7213" s="28" t="s">
        <v>7465</v>
      </c>
      <c r="D7213" s="26" t="s">
        <v>56</v>
      </c>
      <c r="E7213" s="31">
        <v>46244.0</v>
      </c>
      <c r="F7213" s="26" t="s">
        <v>46</v>
      </c>
      <c r="G7213" s="26">
        <v>11.0</v>
      </c>
      <c r="I7213" s="26" t="s">
        <v>951</v>
      </c>
      <c r="J7213" s="25" t="str">
        <f t="shared" si="82"/>
        <v>No</v>
      </c>
      <c r="K7213" s="25" t="str">
        <f t="shared" si="83"/>
        <v/>
      </c>
      <c r="L7213" s="25" t="str">
        <f t="shared" si="84"/>
        <v/>
      </c>
      <c r="M7213" s="25"/>
      <c r="O7213" s="25"/>
    </row>
    <row r="7214" ht="15.75" customHeight="1">
      <c r="A7214" s="25" t="str">
        <f>IFERROR(__xludf.DUMMYFUNCTION("IF(B7214="""","""",RIGHT(REGEXREPLACE(B7214&amp;"""",""[^0-9]"",""""),9))"),"786426696")</f>
        <v>786426696</v>
      </c>
      <c r="B7214" s="52">
        <v>7.86426696E8</v>
      </c>
      <c r="C7214" s="28" t="s">
        <v>7466</v>
      </c>
      <c r="D7214" s="26" t="s">
        <v>49</v>
      </c>
      <c r="E7214" s="31">
        <v>46244.0</v>
      </c>
      <c r="F7214" s="26" t="s">
        <v>46</v>
      </c>
      <c r="G7214" s="26">
        <v>7.0</v>
      </c>
      <c r="I7214" s="26" t="s">
        <v>951</v>
      </c>
      <c r="J7214" s="25" t="str">
        <f t="shared" si="82"/>
        <v>No</v>
      </c>
      <c r="K7214" s="25" t="str">
        <f t="shared" si="83"/>
        <v/>
      </c>
      <c r="L7214" s="25" t="str">
        <f t="shared" si="84"/>
        <v/>
      </c>
      <c r="M7214" s="25"/>
      <c r="O7214" s="26" t="s">
        <v>51</v>
      </c>
    </row>
    <row r="7215" ht="15.75" customHeight="1">
      <c r="A7215" s="25" t="str">
        <f>IFERROR(__xludf.DUMMYFUNCTION("IF(B7215="""","""",RIGHT(REGEXREPLACE(B7215&amp;"""",""[^0-9]"",""""),9))"),"785288792")</f>
        <v>785288792</v>
      </c>
      <c r="B7215" s="26" t="s">
        <v>7467</v>
      </c>
      <c r="C7215" s="28" t="s">
        <v>7468</v>
      </c>
      <c r="D7215" s="26" t="s">
        <v>45</v>
      </c>
      <c r="E7215" s="31">
        <v>46244.0</v>
      </c>
      <c r="F7215" s="26" t="s">
        <v>164</v>
      </c>
      <c r="I7215" s="26" t="s">
        <v>951</v>
      </c>
      <c r="J7215" s="25" t="str">
        <f t="shared" si="82"/>
        <v>No</v>
      </c>
      <c r="K7215" s="25" t="str">
        <f t="shared" si="83"/>
        <v/>
      </c>
      <c r="L7215" s="25" t="str">
        <f t="shared" si="84"/>
        <v/>
      </c>
      <c r="M7215" s="25"/>
      <c r="O7215" s="26" t="s">
        <v>51</v>
      </c>
    </row>
    <row r="7216" ht="15.75" customHeight="1">
      <c r="A7216" s="25" t="str">
        <f>IFERROR(__xludf.DUMMYFUNCTION("IF(B7216="""","""",RIGHT(REGEXREPLACE(B7216&amp;"""",""[^0-9]"",""""),9))"),"715932213")</f>
        <v>715932213</v>
      </c>
      <c r="B7216" s="52">
        <v>7.15932213E8</v>
      </c>
      <c r="C7216" s="28" t="s">
        <v>7469</v>
      </c>
      <c r="D7216" s="26" t="s">
        <v>56</v>
      </c>
      <c r="E7216" s="31">
        <v>46244.0</v>
      </c>
      <c r="F7216" s="26" t="s">
        <v>46</v>
      </c>
      <c r="G7216" s="26">
        <v>7.0</v>
      </c>
      <c r="I7216" s="26" t="s">
        <v>951</v>
      </c>
      <c r="J7216" s="25" t="str">
        <f t="shared" si="82"/>
        <v>No</v>
      </c>
      <c r="K7216" s="25" t="str">
        <f t="shared" si="83"/>
        <v/>
      </c>
      <c r="L7216" s="25" t="str">
        <f t="shared" si="84"/>
        <v/>
      </c>
      <c r="M7216" s="25"/>
      <c r="O7216" s="25"/>
    </row>
    <row r="7217" ht="15.75" customHeight="1">
      <c r="A7217" s="25" t="str">
        <f>IFERROR(__xludf.DUMMYFUNCTION("IF(B7217="""","""",RIGHT(REGEXREPLACE(B7217&amp;"""",""[^0-9]"",""""),9))"),"773116244")</f>
        <v>773116244</v>
      </c>
      <c r="B7217" s="52">
        <v>7.73116244E8</v>
      </c>
      <c r="C7217" s="28" t="s">
        <v>7470</v>
      </c>
      <c r="D7217" s="26" t="s">
        <v>64</v>
      </c>
      <c r="E7217" s="31">
        <v>46244.0</v>
      </c>
      <c r="F7217" s="26" t="s">
        <v>205</v>
      </c>
      <c r="G7217" s="26">
        <v>9.0</v>
      </c>
      <c r="I7217" s="26" t="s">
        <v>951</v>
      </c>
      <c r="J7217" s="25" t="str">
        <f t="shared" si="82"/>
        <v>No</v>
      </c>
      <c r="K7217" s="25" t="str">
        <f t="shared" si="83"/>
        <v/>
      </c>
      <c r="L7217" s="25" t="str">
        <f t="shared" si="84"/>
        <v/>
      </c>
      <c r="M7217" s="25"/>
      <c r="O7217" s="26" t="s">
        <v>51</v>
      </c>
    </row>
    <row r="7218" ht="15.75" customHeight="1">
      <c r="A7218" s="25" t="str">
        <f>IFERROR(__xludf.DUMMYFUNCTION("IF(B7218="""","""",RIGHT(REGEXREPLACE(B7218&amp;"""",""[^0-9]"",""""),9))"),"773185455")</f>
        <v>773185455</v>
      </c>
      <c r="B7218" s="26" t="s">
        <v>7471</v>
      </c>
      <c r="C7218" s="28" t="s">
        <v>7472</v>
      </c>
      <c r="D7218" s="26" t="s">
        <v>45</v>
      </c>
      <c r="E7218" s="31">
        <v>46244.0</v>
      </c>
      <c r="F7218" s="26" t="s">
        <v>41</v>
      </c>
      <c r="G7218" s="26">
        <v>9.0</v>
      </c>
      <c r="I7218" s="26" t="s">
        <v>951</v>
      </c>
      <c r="J7218" s="25" t="str">
        <f t="shared" si="82"/>
        <v>No</v>
      </c>
      <c r="K7218" s="25" t="str">
        <f t="shared" si="83"/>
        <v/>
      </c>
      <c r="L7218" s="25" t="str">
        <f t="shared" si="84"/>
        <v/>
      </c>
      <c r="M7218" s="25"/>
      <c r="O7218" s="25"/>
    </row>
    <row r="7219" ht="15.75" customHeight="1">
      <c r="A7219" s="25" t="str">
        <f>IFERROR(__xludf.DUMMYFUNCTION("IF(B7219="""","""",RIGHT(REGEXREPLACE(B7219&amp;"""",""[^0-9]"",""""),9))"),"760960905")</f>
        <v>760960905</v>
      </c>
      <c r="B7219" s="52">
        <v>7.60960905E8</v>
      </c>
      <c r="C7219" s="28" t="s">
        <v>7473</v>
      </c>
      <c r="D7219" s="26" t="s">
        <v>82</v>
      </c>
      <c r="E7219" s="31">
        <v>46244.0</v>
      </c>
      <c r="F7219" s="26" t="s">
        <v>205</v>
      </c>
      <c r="G7219" s="26">
        <v>9.0</v>
      </c>
      <c r="I7219" s="26" t="s">
        <v>951</v>
      </c>
      <c r="J7219" s="25" t="str">
        <f t="shared" si="82"/>
        <v>No</v>
      </c>
      <c r="K7219" s="25" t="str">
        <f t="shared" si="83"/>
        <v/>
      </c>
      <c r="L7219" s="25" t="str">
        <f t="shared" si="84"/>
        <v/>
      </c>
      <c r="M7219" s="25"/>
      <c r="O7219" s="25"/>
    </row>
    <row r="7220" ht="15.75" customHeight="1">
      <c r="A7220" s="25" t="str">
        <f>IFERROR(__xludf.DUMMYFUNCTION("IF(B7220="""","""",RIGHT(REGEXREPLACE(B7220&amp;"""",""[^0-9]"",""""),9))"),"762630905")</f>
        <v>762630905</v>
      </c>
      <c r="B7220" s="52">
        <v>7.62630905E8</v>
      </c>
      <c r="C7220" s="28" t="s">
        <v>7474</v>
      </c>
      <c r="D7220" s="26" t="s">
        <v>56</v>
      </c>
      <c r="E7220" s="31">
        <v>46244.0</v>
      </c>
      <c r="F7220" s="26" t="s">
        <v>46</v>
      </c>
      <c r="G7220" s="26">
        <v>6.0</v>
      </c>
      <c r="I7220" s="26" t="s">
        <v>951</v>
      </c>
      <c r="J7220" s="25" t="str">
        <f t="shared" si="82"/>
        <v>No</v>
      </c>
      <c r="K7220" s="25" t="str">
        <f t="shared" si="83"/>
        <v/>
      </c>
      <c r="L7220" s="25" t="str">
        <f t="shared" si="84"/>
        <v/>
      </c>
      <c r="M7220" s="25"/>
      <c r="O7220" s="25"/>
    </row>
    <row r="7221" ht="15.75" customHeight="1">
      <c r="A7221" s="25" t="str">
        <f>IFERROR(__xludf.DUMMYFUNCTION("IF(B7221="""","""",RIGHT(REGEXREPLACE(B7221&amp;"""",""[^0-9]"",""""),9))"),"769650051")</f>
        <v>769650051</v>
      </c>
      <c r="B7221" s="52">
        <v>7.69650051E8</v>
      </c>
      <c r="C7221" s="28" t="s">
        <v>7460</v>
      </c>
      <c r="D7221" s="26" t="s">
        <v>64</v>
      </c>
      <c r="E7221" s="31">
        <v>46244.0</v>
      </c>
      <c r="F7221" s="26" t="s">
        <v>205</v>
      </c>
      <c r="I7221" s="26" t="s">
        <v>951</v>
      </c>
      <c r="J7221" s="25" t="str">
        <f t="shared" si="82"/>
        <v>No</v>
      </c>
      <c r="K7221" s="25" t="str">
        <f t="shared" si="83"/>
        <v/>
      </c>
      <c r="L7221" s="25" t="str">
        <f t="shared" si="84"/>
        <v/>
      </c>
      <c r="M7221" s="25"/>
      <c r="O7221" s="25"/>
    </row>
    <row r="7222" ht="15.75" customHeight="1">
      <c r="A7222" s="25" t="str">
        <f>IFERROR(__xludf.DUMMYFUNCTION("IF(B7222="""","""",RIGHT(REGEXREPLACE(B7222&amp;"""",""[^0-9]"",""""),9))"),"743301786")</f>
        <v>743301786</v>
      </c>
      <c r="B7222" s="26" t="s">
        <v>7475</v>
      </c>
      <c r="C7222" s="28" t="s">
        <v>7476</v>
      </c>
      <c r="D7222" s="26" t="s">
        <v>45</v>
      </c>
      <c r="E7222" s="31">
        <v>46244.0</v>
      </c>
      <c r="F7222" s="26" t="s">
        <v>46</v>
      </c>
      <c r="G7222" s="26">
        <v>10.0</v>
      </c>
      <c r="I7222" s="26" t="s">
        <v>951</v>
      </c>
      <c r="J7222" s="25" t="str">
        <f t="shared" si="82"/>
        <v>No</v>
      </c>
      <c r="K7222" s="25" t="str">
        <f t="shared" si="83"/>
        <v/>
      </c>
      <c r="L7222" s="25" t="str">
        <f t="shared" si="84"/>
        <v/>
      </c>
      <c r="M7222" s="25"/>
      <c r="O7222" s="25"/>
    </row>
    <row r="7223" ht="15.75" customHeight="1">
      <c r="A7223" s="25" t="str">
        <f>IFERROR(__xludf.DUMMYFUNCTION("IF(B7223="""","""",RIGHT(REGEXREPLACE(B7223&amp;"""",""[^0-9]"",""""),9))"),"762599770")</f>
        <v>762599770</v>
      </c>
      <c r="B7223" s="52">
        <v>7.6259977E8</v>
      </c>
      <c r="C7223" s="28" t="s">
        <v>7477</v>
      </c>
      <c r="D7223" s="26" t="s">
        <v>82</v>
      </c>
      <c r="E7223" s="31">
        <v>46244.0</v>
      </c>
      <c r="F7223" s="26" t="s">
        <v>46</v>
      </c>
      <c r="G7223" s="26">
        <v>7.0</v>
      </c>
      <c r="I7223" s="26" t="s">
        <v>951</v>
      </c>
      <c r="J7223" s="25" t="str">
        <f t="shared" si="82"/>
        <v>No</v>
      </c>
      <c r="K7223" s="25" t="str">
        <f t="shared" si="83"/>
        <v/>
      </c>
      <c r="L7223" s="25" t="str">
        <f t="shared" si="84"/>
        <v/>
      </c>
      <c r="M7223" s="25"/>
      <c r="O7223" s="25"/>
    </row>
    <row r="7224" ht="15.75" customHeight="1">
      <c r="A7224" s="25" t="str">
        <f>IFERROR(__xludf.DUMMYFUNCTION("IF(B7224="""","""",RIGHT(REGEXREPLACE(B7224&amp;"""",""[^0-9]"",""""),9))"),"773246066")</f>
        <v>773246066</v>
      </c>
      <c r="B7224" s="52">
        <v>7.73246066E8</v>
      </c>
      <c r="C7224" s="28" t="s">
        <v>7478</v>
      </c>
      <c r="D7224" s="26" t="s">
        <v>64</v>
      </c>
      <c r="E7224" s="31">
        <v>46244.0</v>
      </c>
      <c r="F7224" s="26" t="s">
        <v>46</v>
      </c>
      <c r="G7224" s="26">
        <v>8.0</v>
      </c>
      <c r="I7224" s="26" t="s">
        <v>951</v>
      </c>
      <c r="J7224" s="25" t="str">
        <f t="shared" si="82"/>
        <v>No</v>
      </c>
      <c r="K7224" s="25" t="str">
        <f t="shared" si="83"/>
        <v/>
      </c>
      <c r="L7224" s="25" t="str">
        <f t="shared" si="84"/>
        <v/>
      </c>
      <c r="M7224" s="25"/>
      <c r="O7224" s="25"/>
    </row>
    <row r="7225" ht="15.75" customHeight="1">
      <c r="A7225" s="25" t="str">
        <f>IFERROR(__xludf.DUMMYFUNCTION("IF(B7225="""","""",RIGHT(REGEXREPLACE(B7225&amp;"""",""[^0-9]"",""""),9))"),"770090060")</f>
        <v>770090060</v>
      </c>
      <c r="B7225" s="52">
        <v>7.7009006E8</v>
      </c>
      <c r="C7225" s="28" t="s">
        <v>3740</v>
      </c>
      <c r="D7225" s="26" t="s">
        <v>49</v>
      </c>
      <c r="E7225" s="31">
        <v>46244.0</v>
      </c>
      <c r="F7225" s="26" t="s">
        <v>46</v>
      </c>
      <c r="G7225" s="26">
        <v>6.0</v>
      </c>
      <c r="H7225" s="26" t="s">
        <v>7479</v>
      </c>
      <c r="I7225" s="26" t="s">
        <v>951</v>
      </c>
      <c r="J7225" s="25" t="str">
        <f t="shared" si="82"/>
        <v>Yes - see Previous F-Code</v>
      </c>
      <c r="K7225" s="25" t="str">
        <f t="shared" si="83"/>
        <v/>
      </c>
      <c r="L7225" s="25" t="str">
        <f t="shared" si="84"/>
        <v>F73393</v>
      </c>
      <c r="M7225" s="25"/>
      <c r="O7225" s="25"/>
    </row>
    <row r="7226" ht="15.75" customHeight="1">
      <c r="A7226" s="25" t="str">
        <f>IFERROR(__xludf.DUMMYFUNCTION("IF(B7226="""","""",RIGHT(REGEXREPLACE(B7226&amp;"""",""[^0-9]"",""""),9))"),"556814165")</f>
        <v>556814165</v>
      </c>
      <c r="B7226" s="52">
        <v>2.556814165E9</v>
      </c>
      <c r="C7226" s="28" t="s">
        <v>7480</v>
      </c>
      <c r="D7226" s="26" t="s">
        <v>56</v>
      </c>
      <c r="E7226" s="31">
        <v>46244.0</v>
      </c>
      <c r="F7226" s="26" t="s">
        <v>814</v>
      </c>
      <c r="I7226" s="26" t="s">
        <v>951</v>
      </c>
      <c r="J7226" s="25" t="str">
        <f t="shared" si="82"/>
        <v>No</v>
      </c>
      <c r="K7226" s="25" t="str">
        <f t="shared" si="83"/>
        <v/>
      </c>
      <c r="L7226" s="25" t="str">
        <f t="shared" si="84"/>
        <v/>
      </c>
      <c r="M7226" s="25"/>
      <c r="O7226" s="25"/>
    </row>
    <row r="7227" ht="15.75" customHeight="1">
      <c r="A7227" s="25" t="str">
        <f>IFERROR(__xludf.DUMMYFUNCTION("IF(B7227="""","""",RIGHT(REGEXREPLACE(B7227&amp;"""",""[^0-9]"",""""),9))"),"779728083")</f>
        <v>779728083</v>
      </c>
      <c r="B7227" s="52">
        <v>7.79728083E8</v>
      </c>
      <c r="C7227" s="28" t="s">
        <v>7481</v>
      </c>
      <c r="D7227" s="26" t="s">
        <v>56</v>
      </c>
      <c r="E7227" s="31">
        <v>46244.0</v>
      </c>
      <c r="F7227" s="26" t="s">
        <v>659</v>
      </c>
      <c r="G7227" s="26">
        <v>7.0</v>
      </c>
      <c r="I7227" s="26" t="s">
        <v>951</v>
      </c>
      <c r="J7227" s="25" t="str">
        <f t="shared" si="82"/>
        <v>No</v>
      </c>
      <c r="K7227" s="25" t="str">
        <f t="shared" si="83"/>
        <v/>
      </c>
      <c r="L7227" s="25" t="str">
        <f t="shared" si="84"/>
        <v/>
      </c>
      <c r="M7227" s="25"/>
      <c r="O7227" s="26" t="s">
        <v>51</v>
      </c>
    </row>
    <row r="7228" ht="15.75" customHeight="1">
      <c r="A7228" s="25" t="str">
        <f>IFERROR(__xludf.DUMMYFUNCTION("IF(B7228="""","""",RIGHT(REGEXREPLACE(B7228&amp;"""",""[^0-9]"",""""),9))"),"721832531")</f>
        <v>721832531</v>
      </c>
      <c r="B7228" s="52">
        <v>7.21832531E8</v>
      </c>
      <c r="C7228" s="28" t="s">
        <v>7482</v>
      </c>
      <c r="D7228" s="26" t="s">
        <v>82</v>
      </c>
      <c r="E7228" s="31">
        <v>46244.0</v>
      </c>
      <c r="F7228" s="26" t="s">
        <v>659</v>
      </c>
      <c r="I7228" s="26" t="s">
        <v>951</v>
      </c>
      <c r="J7228" s="25" t="str">
        <f t="shared" si="82"/>
        <v>No</v>
      </c>
      <c r="K7228" s="25" t="str">
        <f t="shared" si="83"/>
        <v/>
      </c>
      <c r="L7228" s="25" t="str">
        <f t="shared" si="84"/>
        <v/>
      </c>
      <c r="M7228" s="25"/>
      <c r="O7228" s="25"/>
    </row>
    <row r="7229" ht="15.75" customHeight="1">
      <c r="A7229" s="25" t="str">
        <f>IFERROR(__xludf.DUMMYFUNCTION("IF(B7229="""","""",RIGHT(REGEXREPLACE(B7229&amp;"""",""[^0-9]"",""""),9))"),"766117041")</f>
        <v>766117041</v>
      </c>
      <c r="B7229" s="26" t="s">
        <v>7483</v>
      </c>
      <c r="C7229" s="28" t="s">
        <v>7484</v>
      </c>
      <c r="D7229" s="26" t="s">
        <v>45</v>
      </c>
      <c r="E7229" s="31">
        <v>46244.0</v>
      </c>
      <c r="F7229" s="26" t="s">
        <v>46</v>
      </c>
      <c r="G7229" s="26">
        <v>10.0</v>
      </c>
      <c r="I7229" s="26" t="s">
        <v>951</v>
      </c>
      <c r="J7229" s="25" t="str">
        <f t="shared" si="82"/>
        <v>No</v>
      </c>
      <c r="K7229" s="25" t="str">
        <f t="shared" si="83"/>
        <v/>
      </c>
      <c r="L7229" s="25" t="str">
        <f t="shared" si="84"/>
        <v/>
      </c>
      <c r="M7229" s="25"/>
      <c r="O7229" s="25"/>
    </row>
    <row r="7230" ht="15.75" customHeight="1">
      <c r="A7230" s="25" t="str">
        <f>IFERROR(__xludf.DUMMYFUNCTION("IF(B7230="""","""",RIGHT(REGEXREPLACE(B7230&amp;"""",""[^0-9]"",""""),9))"),"710836868")</f>
        <v>710836868</v>
      </c>
      <c r="B7230" s="52">
        <v>7.10836868E8</v>
      </c>
      <c r="C7230" s="28" t="s">
        <v>7485</v>
      </c>
      <c r="D7230" s="26" t="s">
        <v>49</v>
      </c>
      <c r="E7230" s="31">
        <v>46244.0</v>
      </c>
      <c r="F7230" s="26" t="s">
        <v>205</v>
      </c>
      <c r="G7230" s="26">
        <v>10.0</v>
      </c>
      <c r="I7230" s="26" t="s">
        <v>951</v>
      </c>
      <c r="J7230" s="25" t="str">
        <f t="shared" si="82"/>
        <v>No</v>
      </c>
      <c r="K7230" s="25" t="str">
        <f t="shared" si="83"/>
        <v/>
      </c>
      <c r="L7230" s="25" t="str">
        <f t="shared" si="84"/>
        <v/>
      </c>
      <c r="M7230" s="25"/>
      <c r="O7230" s="25"/>
    </row>
    <row r="7231" ht="15.75" customHeight="1">
      <c r="A7231" s="25" t="str">
        <f>IFERROR(__xludf.DUMMYFUNCTION("IF(B7231="""","""",RIGHT(REGEXREPLACE(B7231&amp;"""",""[^0-9]"",""""),9))"),"773769338")</f>
        <v>773769338</v>
      </c>
      <c r="B7231" s="52">
        <v>7.73769338E8</v>
      </c>
      <c r="C7231" s="28" t="s">
        <v>7486</v>
      </c>
      <c r="D7231" s="26" t="s">
        <v>56</v>
      </c>
      <c r="E7231" s="31">
        <v>46244.0</v>
      </c>
      <c r="F7231" s="26" t="s">
        <v>46</v>
      </c>
      <c r="G7231" s="26">
        <v>9.0</v>
      </c>
      <c r="I7231" s="26" t="s">
        <v>951</v>
      </c>
      <c r="J7231" s="25" t="str">
        <f t="shared" si="82"/>
        <v>No</v>
      </c>
      <c r="K7231" s="25" t="str">
        <f t="shared" si="83"/>
        <v/>
      </c>
      <c r="L7231" s="25" t="str">
        <f t="shared" si="84"/>
        <v/>
      </c>
      <c r="M7231" s="25"/>
      <c r="O7231" s="25"/>
    </row>
    <row r="7232" ht="15.75" customHeight="1">
      <c r="A7232" s="25" t="str">
        <f>IFERROR(__xludf.DUMMYFUNCTION("IF(B7232="""","""",RIGHT(REGEXREPLACE(B7232&amp;"""",""[^0-9]"",""""),9))"),"768910437")</f>
        <v>768910437</v>
      </c>
      <c r="B7232" s="52">
        <v>7.68910437E8</v>
      </c>
      <c r="C7232" s="28" t="s">
        <v>7120</v>
      </c>
      <c r="D7232" s="26" t="s">
        <v>64</v>
      </c>
      <c r="E7232" s="31">
        <v>46244.0</v>
      </c>
      <c r="F7232" s="26" t="s">
        <v>659</v>
      </c>
      <c r="G7232" s="26">
        <v>9.0</v>
      </c>
      <c r="I7232" s="26" t="s">
        <v>951</v>
      </c>
      <c r="J7232" s="25" t="str">
        <f t="shared" si="82"/>
        <v>Yes - see Previous F-Code</v>
      </c>
      <c r="K7232" s="25" t="str">
        <f t="shared" si="83"/>
        <v>DUPLICATE - CHECK</v>
      </c>
      <c r="L7232" s="25" t="str">
        <f t="shared" si="84"/>
        <v>F76079</v>
      </c>
      <c r="M7232" s="25"/>
      <c r="O7232" s="25"/>
    </row>
    <row r="7233" ht="15.75" customHeight="1">
      <c r="A7233" s="25" t="str">
        <f>IFERROR(__xludf.DUMMYFUNCTION("IF(B7233="""","""",RIGHT(REGEXREPLACE(B7233&amp;"""",""[^0-9]"",""""),9))"),"776777467")</f>
        <v>776777467</v>
      </c>
      <c r="B7233" s="52">
        <v>7.76777467E8</v>
      </c>
      <c r="C7233" s="28" t="s">
        <v>7487</v>
      </c>
      <c r="D7233" s="26" t="s">
        <v>64</v>
      </c>
      <c r="E7233" s="31">
        <v>46244.0</v>
      </c>
      <c r="F7233" s="26" t="s">
        <v>46</v>
      </c>
      <c r="G7233" s="26">
        <v>9.0</v>
      </c>
      <c r="I7233" s="26" t="s">
        <v>951</v>
      </c>
      <c r="J7233" s="25" t="str">
        <f t="shared" si="82"/>
        <v>No</v>
      </c>
      <c r="K7233" s="25" t="str">
        <f t="shared" si="83"/>
        <v/>
      </c>
      <c r="L7233" s="25" t="str">
        <f t="shared" si="84"/>
        <v/>
      </c>
      <c r="M7233" s="25"/>
      <c r="O7233" s="25"/>
    </row>
    <row r="7234" ht="15.75" customHeight="1">
      <c r="A7234" s="25" t="str">
        <f>IFERROR(__xludf.DUMMYFUNCTION("IF(B7234="""","""",RIGHT(REGEXREPLACE(B7234&amp;"""",""[^0-9]"",""""),9))"),"701547813")</f>
        <v>701547813</v>
      </c>
      <c r="B7234" s="52">
        <v>7.01547813E8</v>
      </c>
      <c r="C7234" s="28" t="s">
        <v>7340</v>
      </c>
      <c r="D7234" s="26" t="s">
        <v>56</v>
      </c>
      <c r="E7234" s="31">
        <v>46244.0</v>
      </c>
      <c r="F7234" s="26" t="s">
        <v>41</v>
      </c>
      <c r="G7234" s="26" t="s">
        <v>7488</v>
      </c>
      <c r="I7234" s="26" t="s">
        <v>951</v>
      </c>
      <c r="J7234" s="25" t="str">
        <f t="shared" si="82"/>
        <v>Yes - see Previous F-Code</v>
      </c>
      <c r="K7234" s="25" t="str">
        <f t="shared" si="83"/>
        <v>DUPLICATE - CHECK</v>
      </c>
      <c r="L7234" s="25" t="str">
        <f t="shared" si="84"/>
        <v>F76278</v>
      </c>
      <c r="M7234" s="25"/>
      <c r="O7234" s="25"/>
    </row>
    <row r="7235" ht="15.75" customHeight="1">
      <c r="A7235" s="25" t="str">
        <f>IFERROR(__xludf.DUMMYFUNCTION("IF(B7235="""","""",RIGHT(REGEXREPLACE(B7235&amp;"""",""[^0-9]"",""""),9))"),"716456371")</f>
        <v>716456371</v>
      </c>
      <c r="B7235" s="52">
        <v>7.16456371E8</v>
      </c>
      <c r="C7235" s="28" t="s">
        <v>7489</v>
      </c>
      <c r="D7235" s="26" t="s">
        <v>49</v>
      </c>
      <c r="E7235" s="31">
        <v>46244.0</v>
      </c>
      <c r="F7235" s="26" t="s">
        <v>46</v>
      </c>
      <c r="G7235" s="26">
        <v>9.0</v>
      </c>
      <c r="I7235" s="26" t="s">
        <v>951</v>
      </c>
      <c r="J7235" s="25" t="str">
        <f t="shared" si="82"/>
        <v>No</v>
      </c>
      <c r="K7235" s="25" t="str">
        <f t="shared" si="83"/>
        <v/>
      </c>
      <c r="L7235" s="25" t="str">
        <f t="shared" si="84"/>
        <v/>
      </c>
      <c r="M7235" s="25"/>
      <c r="O7235" s="25"/>
    </row>
    <row r="7236" ht="15.75" customHeight="1">
      <c r="A7236" s="25" t="str">
        <f>IFERROR(__xludf.DUMMYFUNCTION("IF(B7236="""","""",RIGHT(REGEXREPLACE(B7236&amp;"""",""[^0-9]"",""""),9))"),"760350197")</f>
        <v>760350197</v>
      </c>
      <c r="B7236" s="52">
        <v>7.60350197E8</v>
      </c>
      <c r="C7236" s="28" t="s">
        <v>7490</v>
      </c>
      <c r="D7236" s="26" t="s">
        <v>56</v>
      </c>
      <c r="E7236" s="31">
        <v>46244.0</v>
      </c>
      <c r="F7236" s="26" t="s">
        <v>46</v>
      </c>
      <c r="G7236" s="26">
        <v>9.0</v>
      </c>
      <c r="I7236" s="26" t="s">
        <v>951</v>
      </c>
      <c r="J7236" s="25" t="str">
        <f t="shared" si="82"/>
        <v>No</v>
      </c>
      <c r="K7236" s="25" t="str">
        <f t="shared" si="83"/>
        <v/>
      </c>
      <c r="L7236" s="25" t="str">
        <f t="shared" si="84"/>
        <v/>
      </c>
      <c r="M7236" s="25"/>
      <c r="O7236" s="25"/>
    </row>
    <row r="7237" ht="15.75" customHeight="1">
      <c r="A7237" s="25" t="str">
        <f>IFERROR(__xludf.DUMMYFUNCTION("IF(B7237="""","""",RIGHT(REGEXREPLACE(B7237&amp;"""",""[^0-9]"",""""),9))"),"778100111")</f>
        <v>778100111</v>
      </c>
      <c r="B7237" s="52">
        <v>7.78100111E8</v>
      </c>
      <c r="C7237" s="28" t="s">
        <v>3290</v>
      </c>
      <c r="D7237" s="26" t="s">
        <v>82</v>
      </c>
      <c r="E7237" s="31">
        <v>46244.0</v>
      </c>
      <c r="F7237" s="26" t="s">
        <v>125</v>
      </c>
      <c r="G7237" s="26">
        <v>11.0</v>
      </c>
      <c r="H7237" s="26" t="s">
        <v>7491</v>
      </c>
      <c r="I7237" s="26" t="s">
        <v>951</v>
      </c>
      <c r="J7237" s="25" t="str">
        <f t="shared" si="82"/>
        <v>Yes - see Previous F-Code</v>
      </c>
      <c r="K7237" s="25" t="str">
        <f t="shared" si="83"/>
        <v/>
      </c>
      <c r="L7237" s="25" t="str">
        <f t="shared" si="84"/>
        <v>F72952</v>
      </c>
      <c r="M7237" s="25"/>
      <c r="O7237" s="25"/>
    </row>
    <row r="7238" ht="15.75" customHeight="1">
      <c r="A7238" s="25" t="str">
        <f>IFERROR(__xludf.DUMMYFUNCTION("IF(B7238="""","""",RIGHT(REGEXREPLACE(B7238&amp;"""",""[^0-9]"",""""),9))"),"701173744")</f>
        <v>701173744</v>
      </c>
      <c r="B7238" s="26" t="s">
        <v>7492</v>
      </c>
      <c r="C7238" s="28" t="s">
        <v>7493</v>
      </c>
      <c r="D7238" s="26" t="s">
        <v>45</v>
      </c>
      <c r="E7238" s="31">
        <v>46244.0</v>
      </c>
      <c r="F7238" s="26" t="s">
        <v>41</v>
      </c>
      <c r="I7238" s="26" t="s">
        <v>951</v>
      </c>
      <c r="J7238" s="25" t="str">
        <f t="shared" si="82"/>
        <v>No</v>
      </c>
      <c r="K7238" s="25" t="str">
        <f t="shared" si="83"/>
        <v/>
      </c>
      <c r="L7238" s="25" t="str">
        <f t="shared" si="84"/>
        <v/>
      </c>
      <c r="M7238" s="25"/>
      <c r="O7238" s="25"/>
    </row>
    <row r="7239" ht="15.75" customHeight="1">
      <c r="A7239" s="25" t="str">
        <f>IFERROR(__xludf.DUMMYFUNCTION("IF(B7239="""","""",RIGHT(REGEXREPLACE(B7239&amp;"""",""[^0-9]"",""""),9))"),"760145916")</f>
        <v>760145916</v>
      </c>
      <c r="B7239" s="52">
        <v>7.60145916E8</v>
      </c>
      <c r="C7239" s="28" t="s">
        <v>7494</v>
      </c>
      <c r="D7239" s="26" t="s">
        <v>64</v>
      </c>
      <c r="E7239" s="31">
        <v>46244.0</v>
      </c>
      <c r="F7239" s="26" t="s">
        <v>205</v>
      </c>
      <c r="I7239" s="26" t="s">
        <v>951</v>
      </c>
      <c r="J7239" s="25" t="str">
        <f t="shared" si="82"/>
        <v>No</v>
      </c>
      <c r="K7239" s="25" t="str">
        <f t="shared" si="83"/>
        <v/>
      </c>
      <c r="L7239" s="25" t="str">
        <f t="shared" si="84"/>
        <v/>
      </c>
      <c r="M7239" s="25"/>
      <c r="O7239" s="25"/>
    </row>
    <row r="7240" ht="15.75" customHeight="1">
      <c r="A7240" s="25" t="str">
        <f>IFERROR(__xludf.DUMMYFUNCTION("IF(B7240="""","""",RIGHT(REGEXREPLACE(B7240&amp;"""",""[^0-9]"",""""),9))"),"761192254")</f>
        <v>761192254</v>
      </c>
      <c r="B7240" s="52">
        <v>7.61192254E8</v>
      </c>
      <c r="C7240" s="28" t="s">
        <v>7495</v>
      </c>
      <c r="D7240" s="26" t="s">
        <v>64</v>
      </c>
      <c r="E7240" s="31">
        <v>46244.0</v>
      </c>
      <c r="F7240" s="26" t="s">
        <v>41</v>
      </c>
      <c r="G7240" s="26">
        <v>11.0</v>
      </c>
      <c r="I7240" s="26" t="s">
        <v>951</v>
      </c>
      <c r="J7240" s="25" t="str">
        <f t="shared" si="82"/>
        <v>No</v>
      </c>
      <c r="K7240" s="25" t="str">
        <f t="shared" si="83"/>
        <v/>
      </c>
      <c r="L7240" s="25" t="str">
        <f t="shared" si="84"/>
        <v/>
      </c>
      <c r="M7240" s="25"/>
      <c r="O7240" s="25"/>
    </row>
    <row r="7241" ht="15.75" customHeight="1">
      <c r="A7241" s="25" t="str">
        <f>IFERROR(__xludf.DUMMYFUNCTION("IF(B7241="""","""",RIGHT(REGEXREPLACE(B7241&amp;"""",""[^0-9]"",""""),9))"),"712633840")</f>
        <v>712633840</v>
      </c>
      <c r="B7241" s="26" t="s">
        <v>7496</v>
      </c>
      <c r="C7241" s="28" t="s">
        <v>7497</v>
      </c>
      <c r="D7241" s="26" t="s">
        <v>45</v>
      </c>
      <c r="E7241" s="31">
        <v>46244.0</v>
      </c>
      <c r="F7241" s="26" t="s">
        <v>46</v>
      </c>
      <c r="G7241" s="26">
        <v>10.0</v>
      </c>
      <c r="I7241" s="26" t="s">
        <v>951</v>
      </c>
      <c r="J7241" s="25" t="str">
        <f t="shared" si="82"/>
        <v>No</v>
      </c>
      <c r="K7241" s="25" t="str">
        <f t="shared" si="83"/>
        <v/>
      </c>
      <c r="L7241" s="25" t="str">
        <f t="shared" si="84"/>
        <v/>
      </c>
      <c r="M7241" s="25"/>
      <c r="O7241" s="25"/>
    </row>
    <row r="7242" ht="15.75" customHeight="1">
      <c r="A7242" s="25" t="str">
        <f>IFERROR(__xludf.DUMMYFUNCTION("IF(B7242="""","""",RIGHT(REGEXREPLACE(B7242&amp;"""",""[^0-9]"",""""),9))"),"771399076")</f>
        <v>771399076</v>
      </c>
      <c r="B7242" s="52">
        <v>7.71399076E8</v>
      </c>
      <c r="C7242" s="28" t="s">
        <v>7498</v>
      </c>
      <c r="D7242" s="26" t="s">
        <v>82</v>
      </c>
      <c r="E7242" s="31">
        <v>46244.0</v>
      </c>
      <c r="F7242" s="26" t="s">
        <v>46</v>
      </c>
      <c r="G7242" s="26">
        <v>9.0</v>
      </c>
      <c r="I7242" s="26" t="s">
        <v>951</v>
      </c>
      <c r="J7242" s="25" t="str">
        <f t="shared" si="82"/>
        <v>No</v>
      </c>
      <c r="K7242" s="25" t="str">
        <f t="shared" si="83"/>
        <v/>
      </c>
      <c r="L7242" s="25" t="str">
        <f t="shared" si="84"/>
        <v/>
      </c>
      <c r="M7242" s="25"/>
      <c r="O7242" s="25"/>
    </row>
    <row r="7243" ht="15.75" customHeight="1">
      <c r="A7243" s="25" t="str">
        <f>IFERROR(__xludf.DUMMYFUNCTION("IF(B7243="""","""",RIGHT(REGEXREPLACE(B7243&amp;"""",""[^0-9]"",""""),9))"),"743301786")</f>
        <v>743301786</v>
      </c>
      <c r="B7243" s="52">
        <v>7.43301786E8</v>
      </c>
      <c r="C7243" s="28" t="s">
        <v>7476</v>
      </c>
      <c r="D7243" s="26" t="s">
        <v>56</v>
      </c>
      <c r="E7243" s="31">
        <v>46244.0</v>
      </c>
      <c r="F7243" s="26" t="s">
        <v>46</v>
      </c>
      <c r="G7243" s="26">
        <v>10.0</v>
      </c>
      <c r="H7243" s="26" t="s">
        <v>7499</v>
      </c>
      <c r="I7243" s="26" t="s">
        <v>951</v>
      </c>
      <c r="J7243" s="25" t="str">
        <f t="shared" si="82"/>
        <v>Yes - see Previous F-Code</v>
      </c>
      <c r="K7243" s="25" t="str">
        <f t="shared" si="83"/>
        <v>DUPLICATE - CHECK</v>
      </c>
      <c r="L7243" s="25" t="str">
        <f t="shared" si="84"/>
        <v>F76398</v>
      </c>
      <c r="M7243" s="25"/>
      <c r="O7243" s="25"/>
    </row>
    <row r="7244" ht="15.75" customHeight="1">
      <c r="A7244" s="25" t="str">
        <f>IFERROR(__xludf.DUMMYFUNCTION("IF(B7244="""","""",RIGHT(REGEXREPLACE(B7244&amp;"""",""[^0-9]"",""""),9))"),"715907282")</f>
        <v>715907282</v>
      </c>
      <c r="B7244" s="52">
        <v>7.15907282E8</v>
      </c>
      <c r="C7244" s="28" t="s">
        <v>7500</v>
      </c>
      <c r="D7244" s="26" t="s">
        <v>64</v>
      </c>
      <c r="E7244" s="31">
        <v>46244.0</v>
      </c>
      <c r="F7244" s="26" t="s">
        <v>46</v>
      </c>
      <c r="G7244" s="26">
        <v>9.0</v>
      </c>
      <c r="I7244" s="26" t="s">
        <v>951</v>
      </c>
      <c r="J7244" s="25" t="str">
        <f t="shared" si="82"/>
        <v>No</v>
      </c>
      <c r="K7244" s="25" t="str">
        <f t="shared" si="83"/>
        <v/>
      </c>
      <c r="L7244" s="25" t="str">
        <f t="shared" si="84"/>
        <v/>
      </c>
      <c r="M7244" s="25"/>
      <c r="O7244" s="25"/>
    </row>
    <row r="7245" ht="15.75" customHeight="1">
      <c r="A7245" s="25" t="str">
        <f>IFERROR(__xludf.DUMMYFUNCTION("IF(B7245="""","""",RIGHT(REGEXREPLACE(B7245&amp;"""",""[^0-9]"",""""),9))"),"717019296")</f>
        <v>717019296</v>
      </c>
      <c r="B7245" s="52">
        <v>7.17019296E8</v>
      </c>
      <c r="C7245" s="28" t="s">
        <v>7501</v>
      </c>
      <c r="D7245" s="26" t="s">
        <v>49</v>
      </c>
      <c r="E7245" s="31">
        <v>46244.0</v>
      </c>
      <c r="F7245" s="26" t="s">
        <v>46</v>
      </c>
      <c r="G7245" s="26">
        <v>11.0</v>
      </c>
      <c r="H7245" s="26" t="s">
        <v>5178</v>
      </c>
      <c r="I7245" s="26" t="s">
        <v>951</v>
      </c>
      <c r="J7245" s="25" t="str">
        <f t="shared" si="82"/>
        <v>No</v>
      </c>
      <c r="K7245" s="25" t="str">
        <f t="shared" si="83"/>
        <v/>
      </c>
      <c r="L7245" s="25" t="str">
        <f t="shared" si="84"/>
        <v/>
      </c>
      <c r="M7245" s="25"/>
      <c r="O7245" s="25"/>
    </row>
    <row r="7246" ht="15.75" customHeight="1">
      <c r="A7246" s="25" t="str">
        <f>IFERROR(__xludf.DUMMYFUNCTION("IF(B7246="""","""",RIGHT(REGEXREPLACE(B7246&amp;"""",""[^0-9]"",""""),9))"),"786121244")</f>
        <v>786121244</v>
      </c>
      <c r="B7246" s="26" t="s">
        <v>7502</v>
      </c>
      <c r="C7246" s="28" t="s">
        <v>7503</v>
      </c>
      <c r="D7246" s="26" t="s">
        <v>45</v>
      </c>
      <c r="E7246" s="31">
        <v>46244.0</v>
      </c>
      <c r="F7246" s="26" t="s">
        <v>46</v>
      </c>
      <c r="G7246" s="26">
        <v>11.0</v>
      </c>
      <c r="I7246" s="26" t="s">
        <v>951</v>
      </c>
      <c r="J7246" s="25" t="str">
        <f t="shared" si="82"/>
        <v>No</v>
      </c>
      <c r="K7246" s="25" t="str">
        <f t="shared" si="83"/>
        <v/>
      </c>
      <c r="L7246" s="25" t="str">
        <f t="shared" si="84"/>
        <v/>
      </c>
      <c r="M7246" s="25"/>
      <c r="O7246" s="25"/>
    </row>
    <row r="7247" ht="15.75" customHeight="1">
      <c r="A7247" s="25" t="str">
        <f>IFERROR(__xludf.DUMMYFUNCTION("IF(B7247="""","""",RIGHT(REGEXREPLACE(B7247&amp;"""",""[^0-9]"",""""),9))"),"787853065")</f>
        <v>787853065</v>
      </c>
      <c r="B7247" s="52">
        <v>7.87853065E8</v>
      </c>
      <c r="C7247" s="28" t="s">
        <v>7504</v>
      </c>
      <c r="D7247" s="26" t="s">
        <v>56</v>
      </c>
      <c r="E7247" s="31">
        <v>46244.0</v>
      </c>
      <c r="F7247" s="26" t="s">
        <v>46</v>
      </c>
      <c r="G7247" s="26">
        <v>9.0</v>
      </c>
      <c r="I7247" s="26" t="s">
        <v>951</v>
      </c>
      <c r="J7247" s="25" t="str">
        <f t="shared" si="82"/>
        <v>No</v>
      </c>
      <c r="K7247" s="25" t="str">
        <f t="shared" si="83"/>
        <v/>
      </c>
      <c r="L7247" s="25" t="str">
        <f t="shared" si="84"/>
        <v/>
      </c>
      <c r="M7247" s="25"/>
      <c r="O7247" s="25"/>
    </row>
    <row r="7248" ht="15.75" customHeight="1">
      <c r="A7248" s="25" t="str">
        <f>IFERROR(__xludf.DUMMYFUNCTION("IF(B7248="""","""",RIGHT(REGEXREPLACE(B7248&amp;"""",""[^0-9]"",""""),9))"),"712281826")</f>
        <v>712281826</v>
      </c>
      <c r="B7248" s="52">
        <v>7.12281826E8</v>
      </c>
      <c r="C7248" s="28" t="s">
        <v>7505</v>
      </c>
      <c r="D7248" s="26" t="s">
        <v>82</v>
      </c>
      <c r="E7248" s="31">
        <v>46244.0</v>
      </c>
      <c r="F7248" s="26" t="s">
        <v>41</v>
      </c>
      <c r="I7248" s="26" t="s">
        <v>951</v>
      </c>
      <c r="J7248" s="25" t="str">
        <f t="shared" si="82"/>
        <v>No</v>
      </c>
      <c r="K7248" s="25" t="str">
        <f t="shared" si="83"/>
        <v/>
      </c>
      <c r="L7248" s="25" t="str">
        <f t="shared" si="84"/>
        <v/>
      </c>
      <c r="M7248" s="25"/>
      <c r="O7248" s="25"/>
    </row>
    <row r="7249" ht="15.75" customHeight="1">
      <c r="A7249" s="25" t="str">
        <f>IFERROR(__xludf.DUMMYFUNCTION("IF(B7249="""","""",RIGHT(REGEXREPLACE(B7249&amp;"""",""[^0-9]"",""""),9))"),"714702970")</f>
        <v>714702970</v>
      </c>
      <c r="B7249" s="52">
        <v>7.1470297E8</v>
      </c>
      <c r="C7249" s="28" t="s">
        <v>7506</v>
      </c>
      <c r="D7249" s="26" t="s">
        <v>64</v>
      </c>
      <c r="E7249" s="31">
        <v>46244.0</v>
      </c>
      <c r="F7249" s="26" t="s">
        <v>46</v>
      </c>
      <c r="H7249" s="26" t="s">
        <v>7507</v>
      </c>
      <c r="I7249" s="26" t="s">
        <v>951</v>
      </c>
      <c r="J7249" s="25" t="str">
        <f t="shared" si="82"/>
        <v>No</v>
      </c>
      <c r="K7249" s="25" t="str">
        <f t="shared" si="83"/>
        <v/>
      </c>
      <c r="L7249" s="25" t="str">
        <f t="shared" si="84"/>
        <v/>
      </c>
      <c r="M7249" s="25"/>
      <c r="O7249" s="25"/>
    </row>
    <row r="7250" ht="15.75" customHeight="1">
      <c r="A7250" s="25" t="str">
        <f>IFERROR(__xludf.DUMMYFUNCTION("IF(B7250="""","""",RIGHT(REGEXREPLACE(B7250&amp;"""",""[^0-9]"",""""),9))"),"713058197")</f>
        <v>713058197</v>
      </c>
      <c r="B7250" s="26" t="s">
        <v>7508</v>
      </c>
      <c r="C7250" s="28" t="s">
        <v>7509</v>
      </c>
      <c r="D7250" s="26" t="s">
        <v>45</v>
      </c>
      <c r="E7250" s="31">
        <v>46244.0</v>
      </c>
      <c r="F7250" s="26" t="s">
        <v>46</v>
      </c>
      <c r="G7250" s="26">
        <v>9.0</v>
      </c>
      <c r="I7250" s="26" t="s">
        <v>951</v>
      </c>
      <c r="J7250" s="25" t="str">
        <f t="shared" si="82"/>
        <v>No</v>
      </c>
      <c r="K7250" s="25" t="str">
        <f t="shared" si="83"/>
        <v/>
      </c>
      <c r="L7250" s="25" t="str">
        <f t="shared" si="84"/>
        <v/>
      </c>
      <c r="M7250" s="25"/>
      <c r="O7250" s="26" t="s">
        <v>51</v>
      </c>
    </row>
    <row r="7251" ht="15.75" customHeight="1">
      <c r="A7251" s="25" t="str">
        <f>IFERROR(__xludf.DUMMYFUNCTION("IF(B7251="""","""",RIGHT(REGEXREPLACE(B7251&amp;"""",""[^0-9]"",""""),9))"),"772432873")</f>
        <v>772432873</v>
      </c>
      <c r="B7251" s="52">
        <v>7.72432873E8</v>
      </c>
      <c r="C7251" s="28" t="s">
        <v>7510</v>
      </c>
      <c r="D7251" s="26" t="s">
        <v>82</v>
      </c>
      <c r="E7251" s="31">
        <v>46244.0</v>
      </c>
      <c r="F7251" s="26" t="s">
        <v>41</v>
      </c>
      <c r="G7251" s="26">
        <v>9.0</v>
      </c>
      <c r="I7251" s="26" t="s">
        <v>951</v>
      </c>
      <c r="J7251" s="25" t="str">
        <f t="shared" si="82"/>
        <v>No</v>
      </c>
      <c r="K7251" s="25" t="str">
        <f t="shared" si="83"/>
        <v/>
      </c>
      <c r="L7251" s="25" t="str">
        <f t="shared" si="84"/>
        <v/>
      </c>
      <c r="M7251" s="25"/>
      <c r="O7251" s="25"/>
    </row>
    <row r="7252" ht="15.75" customHeight="1">
      <c r="A7252" s="25" t="str">
        <f>IFERROR(__xludf.DUMMYFUNCTION("IF(B7252="""","""",RIGHT(REGEXREPLACE(B7252&amp;"""",""[^0-9]"",""""),9))"),"717081600")</f>
        <v>717081600</v>
      </c>
      <c r="B7252" s="52">
        <v>7.170816E8</v>
      </c>
      <c r="C7252" s="28" t="s">
        <v>7511</v>
      </c>
      <c r="D7252" s="26" t="s">
        <v>49</v>
      </c>
      <c r="E7252" s="31">
        <v>46244.0</v>
      </c>
      <c r="F7252" s="26" t="s">
        <v>46</v>
      </c>
      <c r="G7252" s="26" t="s">
        <v>1827</v>
      </c>
      <c r="I7252" s="26" t="s">
        <v>951</v>
      </c>
      <c r="J7252" s="25" t="str">
        <f t="shared" si="82"/>
        <v>No</v>
      </c>
      <c r="K7252" s="25" t="str">
        <f t="shared" si="83"/>
        <v/>
      </c>
      <c r="L7252" s="25" t="str">
        <f t="shared" si="84"/>
        <v/>
      </c>
      <c r="M7252" s="25"/>
      <c r="O7252" s="25"/>
    </row>
    <row r="7253" ht="15.75" customHeight="1">
      <c r="A7253" s="25" t="str">
        <f>IFERROR(__xludf.DUMMYFUNCTION("IF(B7253="""","""",RIGHT(REGEXREPLACE(B7253&amp;"""",""[^0-9]"",""""),9))"),"763115929")</f>
        <v>763115929</v>
      </c>
      <c r="B7253" s="52">
        <v>7.63115929E8</v>
      </c>
      <c r="C7253" s="28" t="s">
        <v>7512</v>
      </c>
      <c r="D7253" s="26" t="s">
        <v>64</v>
      </c>
      <c r="E7253" s="31">
        <v>46244.0</v>
      </c>
      <c r="F7253" s="26" t="s">
        <v>205</v>
      </c>
      <c r="I7253" s="26" t="s">
        <v>951</v>
      </c>
      <c r="J7253" s="25" t="str">
        <f t="shared" si="82"/>
        <v>No</v>
      </c>
      <c r="K7253" s="25" t="str">
        <f t="shared" si="83"/>
        <v/>
      </c>
      <c r="L7253" s="25" t="str">
        <f t="shared" si="84"/>
        <v/>
      </c>
      <c r="M7253" s="25"/>
      <c r="O7253" s="25"/>
    </row>
    <row r="7254" ht="15.75" customHeight="1">
      <c r="A7254" s="25" t="str">
        <f>IFERROR(__xludf.DUMMYFUNCTION("IF(B7254="""","""",RIGHT(REGEXREPLACE(B7254&amp;"""",""[^0-9]"",""""),9))"),"760042099")</f>
        <v>760042099</v>
      </c>
      <c r="B7254" s="52">
        <v>7.60042099E8</v>
      </c>
      <c r="C7254" s="28" t="s">
        <v>7513</v>
      </c>
      <c r="D7254" s="26" t="s">
        <v>82</v>
      </c>
      <c r="E7254" s="31">
        <v>46244.0</v>
      </c>
      <c r="F7254" s="26" t="s">
        <v>164</v>
      </c>
      <c r="G7254" s="26">
        <v>8.0</v>
      </c>
      <c r="I7254" s="26" t="s">
        <v>951</v>
      </c>
      <c r="J7254" s="25" t="str">
        <f t="shared" si="82"/>
        <v>No</v>
      </c>
      <c r="K7254" s="25" t="str">
        <f t="shared" si="83"/>
        <v/>
      </c>
      <c r="L7254" s="25" t="str">
        <f t="shared" si="84"/>
        <v/>
      </c>
      <c r="M7254" s="25"/>
      <c r="O7254" s="25"/>
    </row>
    <row r="7255" ht="15.75" customHeight="1">
      <c r="A7255" s="25" t="str">
        <f>IFERROR(__xludf.DUMMYFUNCTION("IF(B7255="""","""",RIGHT(REGEXREPLACE(B7255&amp;"""",""[^0-9]"",""""),9))"),"715233735")</f>
        <v>715233735</v>
      </c>
      <c r="B7255" s="52">
        <v>7.15233735E8</v>
      </c>
      <c r="C7255" s="28" t="s">
        <v>7514</v>
      </c>
      <c r="D7255" s="26" t="s">
        <v>56</v>
      </c>
      <c r="E7255" s="31">
        <v>46244.0</v>
      </c>
      <c r="F7255" s="26" t="s">
        <v>205</v>
      </c>
      <c r="I7255" s="26" t="s">
        <v>951</v>
      </c>
      <c r="J7255" s="25" t="str">
        <f t="shared" si="82"/>
        <v>No</v>
      </c>
      <c r="K7255" s="25" t="str">
        <f t="shared" si="83"/>
        <v/>
      </c>
      <c r="L7255" s="25" t="str">
        <f t="shared" si="84"/>
        <v/>
      </c>
      <c r="M7255" s="25"/>
      <c r="O7255" s="25"/>
    </row>
    <row r="7256" ht="15.75" customHeight="1">
      <c r="A7256" s="25" t="str">
        <f>IFERROR(__xludf.DUMMYFUNCTION("IF(B7256="""","""",RIGHT(REGEXREPLACE(B7256&amp;"""",""[^0-9]"",""""),9))"),"714997847")</f>
        <v>714997847</v>
      </c>
      <c r="B7256" s="52">
        <v>7.14997847E8</v>
      </c>
      <c r="C7256" s="28" t="s">
        <v>7515</v>
      </c>
      <c r="D7256" s="26" t="s">
        <v>82</v>
      </c>
      <c r="E7256" s="31">
        <v>46244.0</v>
      </c>
      <c r="F7256" s="26" t="s">
        <v>46</v>
      </c>
      <c r="G7256" s="26">
        <v>8.0</v>
      </c>
      <c r="I7256" s="26" t="s">
        <v>951</v>
      </c>
      <c r="J7256" s="25" t="str">
        <f t="shared" si="82"/>
        <v>No</v>
      </c>
      <c r="K7256" s="25" t="str">
        <f t="shared" si="83"/>
        <v/>
      </c>
      <c r="L7256" s="25" t="str">
        <f t="shared" si="84"/>
        <v/>
      </c>
      <c r="M7256" s="25"/>
      <c r="O7256" s="25"/>
    </row>
    <row r="7257" ht="15.75" customHeight="1">
      <c r="A7257" s="25" t="str">
        <f>IFERROR(__xludf.DUMMYFUNCTION("IF(B7257="""","""",RIGHT(REGEXREPLACE(B7257&amp;"""",""[^0-9]"",""""),9))"),"711180684")</f>
        <v>711180684</v>
      </c>
      <c r="B7257" s="26" t="s">
        <v>7516</v>
      </c>
      <c r="C7257" s="28" t="s">
        <v>7517</v>
      </c>
      <c r="D7257" s="26" t="s">
        <v>45</v>
      </c>
      <c r="E7257" s="31">
        <v>46244.0</v>
      </c>
      <c r="F7257" s="26" t="s">
        <v>205</v>
      </c>
      <c r="G7257" s="26">
        <v>10.0</v>
      </c>
      <c r="I7257" s="26" t="s">
        <v>951</v>
      </c>
      <c r="J7257" s="25" t="str">
        <f t="shared" si="82"/>
        <v>No</v>
      </c>
      <c r="K7257" s="25" t="str">
        <f t="shared" si="83"/>
        <v/>
      </c>
      <c r="L7257" s="25" t="str">
        <f t="shared" si="84"/>
        <v/>
      </c>
      <c r="M7257" s="25"/>
      <c r="O7257" s="25"/>
    </row>
    <row r="7258" ht="15.75" customHeight="1">
      <c r="A7258" s="25" t="str">
        <f>IFERROR(__xludf.DUMMYFUNCTION("IF(B7258="""","""",RIGHT(REGEXREPLACE(B7258&amp;"""",""[^0-9]"",""""),9))"),"760616973")</f>
        <v>760616973</v>
      </c>
      <c r="B7258" s="52">
        <v>7.60616973E8</v>
      </c>
      <c r="C7258" s="28" t="s">
        <v>7518</v>
      </c>
      <c r="D7258" s="26" t="s">
        <v>64</v>
      </c>
      <c r="E7258" s="31">
        <v>46244.0</v>
      </c>
      <c r="F7258" s="26" t="s">
        <v>46</v>
      </c>
      <c r="G7258" s="26">
        <v>11.0</v>
      </c>
      <c r="H7258" s="26" t="s">
        <v>7519</v>
      </c>
      <c r="I7258" s="26" t="s">
        <v>951</v>
      </c>
      <c r="J7258" s="25" t="str">
        <f t="shared" si="82"/>
        <v>No</v>
      </c>
      <c r="K7258" s="25" t="str">
        <f t="shared" si="83"/>
        <v/>
      </c>
      <c r="L7258" s="25" t="str">
        <f t="shared" si="84"/>
        <v/>
      </c>
      <c r="M7258" s="25"/>
      <c r="O7258" s="25"/>
    </row>
    <row r="7259" ht="15.75" customHeight="1">
      <c r="A7259" s="25" t="str">
        <f>IFERROR(__xludf.DUMMYFUNCTION("IF(B7259="""","""",RIGHT(REGEXREPLACE(B7259&amp;"""",""[^0-9]"",""""),9))"),"776927572")</f>
        <v>776927572</v>
      </c>
      <c r="B7259" s="52">
        <v>7.76927572E8</v>
      </c>
      <c r="C7259" s="28" t="s">
        <v>7520</v>
      </c>
      <c r="D7259" s="26" t="s">
        <v>56</v>
      </c>
      <c r="E7259" s="31">
        <v>46244.0</v>
      </c>
      <c r="F7259" s="26" t="s">
        <v>46</v>
      </c>
      <c r="G7259" s="26">
        <v>10.0</v>
      </c>
      <c r="I7259" s="26" t="s">
        <v>951</v>
      </c>
      <c r="J7259" s="25" t="str">
        <f t="shared" si="82"/>
        <v>No</v>
      </c>
      <c r="K7259" s="25" t="str">
        <f t="shared" si="83"/>
        <v/>
      </c>
      <c r="L7259" s="25" t="str">
        <f t="shared" si="84"/>
        <v/>
      </c>
      <c r="M7259" s="25"/>
      <c r="O7259" s="25"/>
    </row>
    <row r="7260" ht="15.75" customHeight="1">
      <c r="A7260" s="25" t="str">
        <f>IFERROR(__xludf.DUMMYFUNCTION("IF(B7260="""","""",RIGHT(REGEXREPLACE(B7260&amp;"""",""[^0-9]"",""""),9))"),"775219183")</f>
        <v>775219183</v>
      </c>
      <c r="B7260" s="52">
        <v>7.75219183E8</v>
      </c>
      <c r="C7260" s="28" t="s">
        <v>7521</v>
      </c>
      <c r="D7260" s="26" t="s">
        <v>82</v>
      </c>
      <c r="E7260" s="31">
        <v>46244.0</v>
      </c>
      <c r="F7260" s="26" t="s">
        <v>46</v>
      </c>
      <c r="G7260" s="26">
        <v>10.0</v>
      </c>
      <c r="I7260" s="26" t="s">
        <v>951</v>
      </c>
      <c r="J7260" s="25" t="str">
        <f t="shared" si="82"/>
        <v>No</v>
      </c>
      <c r="K7260" s="25" t="str">
        <f t="shared" si="83"/>
        <v/>
      </c>
      <c r="L7260" s="25" t="str">
        <f t="shared" si="84"/>
        <v/>
      </c>
      <c r="M7260" s="25"/>
      <c r="O7260" s="25"/>
    </row>
    <row r="7261" ht="15.75" customHeight="1">
      <c r="A7261" s="25" t="str">
        <f>IFERROR(__xludf.DUMMYFUNCTION("IF(B7261="""","""",RIGHT(REGEXREPLACE(B7261&amp;"""",""[^0-9]"",""""),9))"),"701907065")</f>
        <v>701907065</v>
      </c>
      <c r="B7261" s="52">
        <v>7.01907065E8</v>
      </c>
      <c r="C7261" s="28" t="s">
        <v>7522</v>
      </c>
      <c r="D7261" s="26" t="s">
        <v>56</v>
      </c>
      <c r="E7261" s="31">
        <v>46244.0</v>
      </c>
      <c r="F7261" s="26" t="s">
        <v>46</v>
      </c>
      <c r="H7261" s="26" t="s">
        <v>78</v>
      </c>
      <c r="I7261" s="26" t="s">
        <v>951</v>
      </c>
      <c r="J7261" s="25" t="str">
        <f t="shared" si="82"/>
        <v>No</v>
      </c>
      <c r="K7261" s="25" t="str">
        <f t="shared" si="83"/>
        <v/>
      </c>
      <c r="L7261" s="25" t="str">
        <f t="shared" si="84"/>
        <v/>
      </c>
      <c r="M7261" s="25"/>
      <c r="O7261" s="25"/>
    </row>
    <row r="7262" ht="15.75" customHeight="1">
      <c r="A7262" s="25" t="str">
        <f>IFERROR(__xludf.DUMMYFUNCTION("IF(B7262="""","""",RIGHT(REGEXREPLACE(B7262&amp;"""",""[^0-9]"",""""),9))"),"766840861")</f>
        <v>766840861</v>
      </c>
      <c r="B7262" s="52">
        <v>7.66840861E8</v>
      </c>
      <c r="C7262" s="28" t="s">
        <v>7523</v>
      </c>
      <c r="D7262" s="26" t="s">
        <v>64</v>
      </c>
      <c r="E7262" s="31">
        <v>46244.0</v>
      </c>
      <c r="F7262" s="26" t="s">
        <v>46</v>
      </c>
      <c r="G7262" s="26">
        <v>9.0</v>
      </c>
      <c r="I7262" s="26" t="s">
        <v>951</v>
      </c>
      <c r="J7262" s="25" t="str">
        <f t="shared" si="82"/>
        <v>No</v>
      </c>
      <c r="K7262" s="25" t="str">
        <f t="shared" si="83"/>
        <v/>
      </c>
      <c r="L7262" s="25" t="str">
        <f t="shared" si="84"/>
        <v/>
      </c>
      <c r="M7262" s="25"/>
      <c r="O7262" s="25"/>
    </row>
    <row r="7263" ht="15.75" customHeight="1">
      <c r="A7263" s="25" t="str">
        <f>IFERROR(__xludf.DUMMYFUNCTION("IF(B7263="""","""",RIGHT(REGEXREPLACE(B7263&amp;"""",""[^0-9]"",""""),9))"),"740305939")</f>
        <v>740305939</v>
      </c>
      <c r="B7263" s="52">
        <v>7.40305939E8</v>
      </c>
      <c r="C7263" s="28" t="s">
        <v>7524</v>
      </c>
      <c r="D7263" s="26" t="s">
        <v>82</v>
      </c>
      <c r="E7263" s="31">
        <v>46244.0</v>
      </c>
      <c r="F7263" s="26" t="s">
        <v>41</v>
      </c>
      <c r="I7263" s="26" t="s">
        <v>951</v>
      </c>
      <c r="J7263" s="25" t="str">
        <f t="shared" si="82"/>
        <v>No</v>
      </c>
      <c r="K7263" s="25" t="str">
        <f t="shared" si="83"/>
        <v/>
      </c>
      <c r="L7263" s="25" t="str">
        <f t="shared" si="84"/>
        <v/>
      </c>
      <c r="M7263" s="25"/>
      <c r="O7263" s="25"/>
    </row>
    <row r="7264" ht="15.75" customHeight="1">
      <c r="A7264" s="25" t="str">
        <f>IFERROR(__xludf.DUMMYFUNCTION("IF(B7264="""","""",RIGHT(REGEXREPLACE(B7264&amp;"""",""[^0-9]"",""""),9))"),"711441284")</f>
        <v>711441284</v>
      </c>
      <c r="B7264" s="52">
        <v>7.11441284E8</v>
      </c>
      <c r="C7264" s="28" t="s">
        <v>7525</v>
      </c>
      <c r="D7264" s="26" t="s">
        <v>49</v>
      </c>
      <c r="E7264" s="31">
        <v>46244.0</v>
      </c>
      <c r="F7264" s="26" t="s">
        <v>46</v>
      </c>
      <c r="G7264" s="26">
        <v>9.0</v>
      </c>
      <c r="I7264" s="26" t="s">
        <v>951</v>
      </c>
      <c r="J7264" s="25" t="str">
        <f t="shared" si="82"/>
        <v>No</v>
      </c>
      <c r="K7264" s="25" t="str">
        <f t="shared" si="83"/>
        <v/>
      </c>
      <c r="L7264" s="25" t="str">
        <f t="shared" si="84"/>
        <v/>
      </c>
      <c r="M7264" s="25"/>
      <c r="O7264" s="25"/>
    </row>
    <row r="7265" ht="15.75" customHeight="1">
      <c r="A7265" s="25" t="str">
        <f>IFERROR(__xludf.DUMMYFUNCTION("IF(B7265="""","""",RIGHT(REGEXREPLACE(B7265&amp;"""",""[^0-9]"",""""),9))"),"766598746")</f>
        <v>766598746</v>
      </c>
      <c r="B7265" s="52">
        <v>7.66598746E8</v>
      </c>
      <c r="C7265" s="28" t="s">
        <v>7526</v>
      </c>
      <c r="D7265" s="26" t="s">
        <v>56</v>
      </c>
      <c r="E7265" s="31">
        <v>46244.0</v>
      </c>
      <c r="F7265" s="26" t="s">
        <v>46</v>
      </c>
      <c r="G7265" s="26">
        <v>9.0</v>
      </c>
      <c r="I7265" s="26" t="s">
        <v>951</v>
      </c>
      <c r="J7265" s="25" t="str">
        <f t="shared" si="82"/>
        <v>No</v>
      </c>
      <c r="K7265" s="25" t="str">
        <f t="shared" si="83"/>
        <v/>
      </c>
      <c r="L7265" s="25" t="str">
        <f t="shared" si="84"/>
        <v/>
      </c>
      <c r="M7265" s="25"/>
      <c r="O7265" s="25"/>
    </row>
    <row r="7266" ht="15.75" customHeight="1">
      <c r="A7266" s="25" t="str">
        <f>IFERROR(__xludf.DUMMYFUNCTION("IF(B7266="""","""",RIGHT(REGEXREPLACE(B7266&amp;"""",""[^0-9]"",""""),9))"),"774758317")</f>
        <v>774758317</v>
      </c>
      <c r="B7266" s="52">
        <v>7.74758317E8</v>
      </c>
      <c r="C7266" s="28" t="s">
        <v>7527</v>
      </c>
      <c r="D7266" s="26" t="s">
        <v>82</v>
      </c>
      <c r="E7266" s="31">
        <v>46244.0</v>
      </c>
      <c r="F7266" s="26" t="s">
        <v>41</v>
      </c>
      <c r="I7266" s="26" t="s">
        <v>951</v>
      </c>
      <c r="J7266" s="25" t="str">
        <f t="shared" si="82"/>
        <v>No</v>
      </c>
      <c r="K7266" s="25" t="str">
        <f t="shared" si="83"/>
        <v/>
      </c>
      <c r="L7266" s="25" t="str">
        <f t="shared" si="84"/>
        <v/>
      </c>
      <c r="M7266" s="25"/>
      <c r="O7266" s="25"/>
    </row>
    <row r="7267" ht="15.75" customHeight="1">
      <c r="A7267" s="25" t="str">
        <f>IFERROR(__xludf.DUMMYFUNCTION("IF(B7267="""","""",RIGHT(REGEXREPLACE(B7267&amp;"""",""[^0-9]"",""""),9))"),"763079015")</f>
        <v>763079015</v>
      </c>
      <c r="B7267" s="52">
        <v>7.63079015E8</v>
      </c>
      <c r="C7267" s="28" t="s">
        <v>7528</v>
      </c>
      <c r="D7267" s="26" t="s">
        <v>82</v>
      </c>
      <c r="E7267" s="31">
        <v>46244.0</v>
      </c>
      <c r="F7267" s="26" t="s">
        <v>46</v>
      </c>
      <c r="G7267" s="26">
        <v>6.0</v>
      </c>
      <c r="I7267" s="26" t="s">
        <v>951</v>
      </c>
      <c r="J7267" s="25" t="str">
        <f t="shared" si="82"/>
        <v>No</v>
      </c>
      <c r="K7267" s="25" t="str">
        <f t="shared" si="83"/>
        <v/>
      </c>
      <c r="L7267" s="25" t="str">
        <f t="shared" si="84"/>
        <v/>
      </c>
      <c r="M7267" s="25"/>
      <c r="O7267" s="25"/>
    </row>
    <row r="7268" ht="15.75" customHeight="1">
      <c r="A7268" s="25" t="str">
        <f>IFERROR(__xludf.DUMMYFUNCTION("IF(B7268="""","""",RIGHT(REGEXREPLACE(B7268&amp;"""",""[^0-9]"",""""),9))"),"771834078")</f>
        <v>771834078</v>
      </c>
      <c r="B7268" s="26" t="s">
        <v>7529</v>
      </c>
      <c r="C7268" s="28" t="s">
        <v>7530</v>
      </c>
      <c r="D7268" s="26" t="s">
        <v>45</v>
      </c>
      <c r="E7268" s="31">
        <v>46244.0</v>
      </c>
      <c r="F7268" s="26" t="s">
        <v>41</v>
      </c>
      <c r="G7268" s="26">
        <v>10.0</v>
      </c>
      <c r="I7268" s="26" t="s">
        <v>951</v>
      </c>
      <c r="J7268" s="25" t="str">
        <f t="shared" si="82"/>
        <v>No</v>
      </c>
      <c r="K7268" s="25" t="str">
        <f t="shared" si="83"/>
        <v/>
      </c>
      <c r="L7268" s="25" t="str">
        <f t="shared" si="84"/>
        <v/>
      </c>
      <c r="M7268" s="25"/>
      <c r="O7268" s="25"/>
    </row>
    <row r="7269" ht="15.75" customHeight="1">
      <c r="A7269" s="25" t="str">
        <f>IFERROR(__xludf.DUMMYFUNCTION("IF(B7269="""","""",RIGHT(REGEXREPLACE(B7269&amp;"""",""[^0-9]"",""""),9))"),"777611938")</f>
        <v>777611938</v>
      </c>
      <c r="B7269" s="52">
        <v>7.77611938E8</v>
      </c>
      <c r="C7269" s="28" t="s">
        <v>7531</v>
      </c>
      <c r="D7269" s="26" t="s">
        <v>64</v>
      </c>
      <c r="E7269" s="31">
        <v>46244.0</v>
      </c>
      <c r="F7269" s="26" t="s">
        <v>46</v>
      </c>
      <c r="G7269" s="26">
        <v>9.0</v>
      </c>
      <c r="I7269" s="26" t="s">
        <v>951</v>
      </c>
      <c r="J7269" s="25" t="str">
        <f t="shared" si="82"/>
        <v>No</v>
      </c>
      <c r="K7269" s="25" t="str">
        <f t="shared" si="83"/>
        <v/>
      </c>
      <c r="L7269" s="25" t="str">
        <f t="shared" si="84"/>
        <v/>
      </c>
      <c r="M7269" s="25"/>
      <c r="O7269" s="25"/>
    </row>
    <row r="7270" ht="15.75" customHeight="1">
      <c r="A7270" s="25" t="str">
        <f>IFERROR(__xludf.DUMMYFUNCTION("IF(B7270="""","""",RIGHT(REGEXREPLACE(B7270&amp;"""",""[^0-9]"",""""),9))"),"712910535")</f>
        <v>712910535</v>
      </c>
      <c r="B7270" s="52">
        <v>7.12910535E8</v>
      </c>
      <c r="C7270" s="28" t="s">
        <v>7532</v>
      </c>
      <c r="D7270" s="26" t="s">
        <v>82</v>
      </c>
      <c r="E7270" s="31">
        <v>46244.0</v>
      </c>
      <c r="F7270" s="26" t="s">
        <v>41</v>
      </c>
      <c r="G7270" s="26">
        <v>9.0</v>
      </c>
      <c r="I7270" s="26" t="s">
        <v>951</v>
      </c>
      <c r="J7270" s="25" t="str">
        <f t="shared" si="82"/>
        <v>No</v>
      </c>
      <c r="K7270" s="25" t="str">
        <f t="shared" si="83"/>
        <v/>
      </c>
      <c r="L7270" s="25" t="str">
        <f t="shared" si="84"/>
        <v/>
      </c>
      <c r="M7270" s="25"/>
      <c r="O7270" s="25"/>
    </row>
    <row r="7271" ht="15.75" customHeight="1">
      <c r="A7271" s="25" t="str">
        <f>IFERROR(__xludf.DUMMYFUNCTION("IF(B7271="""","""",RIGHT(REGEXREPLACE(B7271&amp;"""",""[^0-9]"",""""),9))"),"753379738")</f>
        <v>753379738</v>
      </c>
      <c r="B7271" s="26" t="s">
        <v>6714</v>
      </c>
      <c r="C7271" s="28" t="s">
        <v>6715</v>
      </c>
      <c r="D7271" s="26" t="s">
        <v>45</v>
      </c>
      <c r="E7271" s="31">
        <v>46244.0</v>
      </c>
      <c r="F7271" s="26" t="s">
        <v>659</v>
      </c>
      <c r="G7271" s="26">
        <v>10.0</v>
      </c>
      <c r="I7271" s="26" t="s">
        <v>951</v>
      </c>
      <c r="J7271" s="25" t="str">
        <f t="shared" si="82"/>
        <v>Yes - see Previous F-Code</v>
      </c>
      <c r="K7271" s="25" t="str">
        <f t="shared" si="83"/>
        <v/>
      </c>
      <c r="L7271" s="25" t="str">
        <f t="shared" si="84"/>
        <v>F75815</v>
      </c>
      <c r="M7271" s="25"/>
      <c r="O7271" s="25"/>
    </row>
    <row r="7272" ht="15.75" customHeight="1">
      <c r="A7272" s="25" t="str">
        <f>IFERROR(__xludf.DUMMYFUNCTION("IF(B7272="""","""",RIGHT(REGEXREPLACE(B7272&amp;"""",""[^0-9]"",""""),9))"),"775335013")</f>
        <v>775335013</v>
      </c>
      <c r="B7272" s="52">
        <v>7.75335013E8</v>
      </c>
      <c r="C7272" s="28" t="s">
        <v>7533</v>
      </c>
      <c r="D7272" s="26" t="s">
        <v>56</v>
      </c>
      <c r="E7272" s="31">
        <v>46244.0</v>
      </c>
      <c r="F7272" s="26" t="s">
        <v>46</v>
      </c>
      <c r="G7272" s="26">
        <v>9.0</v>
      </c>
      <c r="I7272" s="26" t="s">
        <v>951</v>
      </c>
      <c r="J7272" s="25" t="str">
        <f t="shared" si="82"/>
        <v>No</v>
      </c>
      <c r="K7272" s="25" t="str">
        <f t="shared" si="83"/>
        <v/>
      </c>
      <c r="L7272" s="25" t="str">
        <f t="shared" si="84"/>
        <v/>
      </c>
      <c r="M7272" s="25"/>
      <c r="O7272" s="25"/>
    </row>
    <row r="7273" ht="15.75" customHeight="1">
      <c r="A7273" s="25" t="str">
        <f>IFERROR(__xludf.DUMMYFUNCTION("IF(B7273="""","""",RIGHT(REGEXREPLACE(B7273&amp;"""",""[^0-9]"",""""),9))"),"779976110")</f>
        <v>779976110</v>
      </c>
      <c r="B7273" s="26" t="s">
        <v>7534</v>
      </c>
      <c r="C7273" s="28" t="s">
        <v>7535</v>
      </c>
      <c r="D7273" s="26" t="s">
        <v>45</v>
      </c>
      <c r="E7273" s="31">
        <v>46244.0</v>
      </c>
      <c r="F7273" s="26" t="s">
        <v>46</v>
      </c>
      <c r="G7273" s="26">
        <v>10.0</v>
      </c>
      <c r="I7273" s="26" t="s">
        <v>951</v>
      </c>
      <c r="J7273" s="25" t="str">
        <f t="shared" si="82"/>
        <v>No</v>
      </c>
      <c r="K7273" s="25" t="str">
        <f t="shared" si="83"/>
        <v/>
      </c>
      <c r="L7273" s="25" t="str">
        <f t="shared" si="84"/>
        <v/>
      </c>
      <c r="M7273" s="25"/>
      <c r="O7273" s="25"/>
    </row>
    <row r="7274" ht="15.75" customHeight="1">
      <c r="A7274" s="25" t="str">
        <f>IFERROR(__xludf.DUMMYFUNCTION("IF(B7274="""","""",RIGHT(REGEXREPLACE(B7274&amp;"""",""[^0-9]"",""""),9))"),"770529280")</f>
        <v>770529280</v>
      </c>
      <c r="B7274" s="52">
        <v>7.7052928E8</v>
      </c>
      <c r="C7274" s="28" t="s">
        <v>7536</v>
      </c>
      <c r="D7274" s="26" t="s">
        <v>49</v>
      </c>
      <c r="E7274" s="31">
        <v>46244.0</v>
      </c>
      <c r="F7274" s="26" t="s">
        <v>46</v>
      </c>
      <c r="G7274" s="26">
        <v>9.0</v>
      </c>
      <c r="H7274" s="72" t="s">
        <v>7537</v>
      </c>
      <c r="I7274" s="26" t="s">
        <v>951</v>
      </c>
      <c r="J7274" s="25" t="str">
        <f t="shared" si="82"/>
        <v>No</v>
      </c>
      <c r="K7274" s="25" t="str">
        <f t="shared" si="83"/>
        <v/>
      </c>
      <c r="L7274" s="25" t="str">
        <f t="shared" si="84"/>
        <v/>
      </c>
      <c r="M7274" s="25"/>
      <c r="O7274" s="25"/>
    </row>
    <row r="7275" ht="15.75" customHeight="1">
      <c r="A7275" s="25" t="str">
        <f>IFERROR(__xludf.DUMMYFUNCTION("IF(B7275="""","""",RIGHT(REGEXREPLACE(B7275&amp;"""",""[^0-9]"",""""),9))"),"770618448")</f>
        <v>770618448</v>
      </c>
      <c r="B7275" s="52">
        <v>7.70618448E8</v>
      </c>
      <c r="C7275" s="28" t="s">
        <v>7538</v>
      </c>
      <c r="D7275" s="26" t="s">
        <v>64</v>
      </c>
      <c r="E7275" s="31">
        <v>46244.0</v>
      </c>
      <c r="F7275" s="26" t="s">
        <v>46</v>
      </c>
      <c r="G7275" s="26">
        <v>9.0</v>
      </c>
      <c r="I7275" s="26" t="s">
        <v>951</v>
      </c>
      <c r="J7275" s="25" t="str">
        <f t="shared" si="82"/>
        <v>No</v>
      </c>
      <c r="K7275" s="25" t="str">
        <f t="shared" si="83"/>
        <v/>
      </c>
      <c r="L7275" s="25" t="str">
        <f t="shared" si="84"/>
        <v/>
      </c>
      <c r="M7275" s="25"/>
      <c r="O7275" s="25"/>
    </row>
    <row r="7276" ht="15.75" customHeight="1">
      <c r="A7276" s="25" t="str">
        <f>IFERROR(__xludf.DUMMYFUNCTION("IF(B7276="""","""",RIGHT(REGEXREPLACE(B7276&amp;"""",""[^0-9]"",""""),9))"),"772315526")</f>
        <v>772315526</v>
      </c>
      <c r="B7276" s="52">
        <v>7.72315526E8</v>
      </c>
      <c r="C7276" s="28" t="s">
        <v>7539</v>
      </c>
      <c r="D7276" s="26" t="s">
        <v>82</v>
      </c>
      <c r="E7276" s="31">
        <v>46244.0</v>
      </c>
      <c r="F7276" s="26" t="s">
        <v>46</v>
      </c>
      <c r="G7276" s="26">
        <v>10.0</v>
      </c>
      <c r="H7276" s="26" t="s">
        <v>7540</v>
      </c>
      <c r="I7276" s="26" t="s">
        <v>951</v>
      </c>
      <c r="J7276" s="25" t="str">
        <f t="shared" si="82"/>
        <v>No</v>
      </c>
      <c r="K7276" s="25" t="str">
        <f t="shared" si="83"/>
        <v/>
      </c>
      <c r="L7276" s="25" t="str">
        <f t="shared" si="84"/>
        <v/>
      </c>
      <c r="M7276" s="25"/>
      <c r="O7276" s="25"/>
    </row>
    <row r="7277" ht="15.75" customHeight="1">
      <c r="A7277" s="25" t="str">
        <f>IFERROR(__xludf.DUMMYFUNCTION("IF(B7277="""","""",RIGHT(REGEXREPLACE(B7277&amp;"""",""[^0-9]"",""""),9))"),"779181781")</f>
        <v>779181781</v>
      </c>
      <c r="B7277" s="52">
        <v>7.79181781E8</v>
      </c>
      <c r="C7277" s="28" t="s">
        <v>7541</v>
      </c>
      <c r="D7277" s="26" t="s">
        <v>56</v>
      </c>
      <c r="E7277" s="31">
        <v>46244.0</v>
      </c>
      <c r="F7277" s="26" t="s">
        <v>46</v>
      </c>
      <c r="G7277" s="26">
        <v>9.0</v>
      </c>
      <c r="I7277" s="26" t="s">
        <v>951</v>
      </c>
      <c r="J7277" s="25" t="str">
        <f t="shared" si="82"/>
        <v>No</v>
      </c>
      <c r="K7277" s="25" t="str">
        <f t="shared" si="83"/>
        <v/>
      </c>
      <c r="L7277" s="25" t="str">
        <f t="shared" si="84"/>
        <v/>
      </c>
      <c r="M7277" s="25"/>
      <c r="O7277" s="25"/>
    </row>
    <row r="7278" ht="15.75" customHeight="1">
      <c r="A7278" s="25" t="str">
        <f>IFERROR(__xludf.DUMMYFUNCTION("IF(B7278="""","""",RIGHT(REGEXREPLACE(B7278&amp;"""",""[^0-9]"",""""),9))"),"761395139")</f>
        <v>761395139</v>
      </c>
      <c r="B7278" s="52">
        <v>7.61395139E8</v>
      </c>
      <c r="C7278" s="28" t="s">
        <v>7542</v>
      </c>
      <c r="D7278" s="26" t="s">
        <v>45</v>
      </c>
      <c r="E7278" s="31">
        <v>46244.0</v>
      </c>
      <c r="F7278" s="26" t="s">
        <v>46</v>
      </c>
      <c r="G7278" s="26">
        <v>9.0</v>
      </c>
      <c r="I7278" s="26" t="s">
        <v>951</v>
      </c>
      <c r="J7278" s="25" t="str">
        <f t="shared" si="82"/>
        <v>No</v>
      </c>
      <c r="K7278" s="25" t="str">
        <f t="shared" si="83"/>
        <v/>
      </c>
      <c r="L7278" s="25" t="str">
        <f t="shared" si="84"/>
        <v/>
      </c>
      <c r="M7278" s="25"/>
      <c r="O7278" s="26" t="s">
        <v>51</v>
      </c>
    </row>
    <row r="7279" ht="15.75" customHeight="1">
      <c r="A7279" s="25" t="str">
        <f>IFERROR(__xludf.DUMMYFUNCTION("IF(B7279="""","""",RIGHT(REGEXREPLACE(B7279&amp;"""",""[^0-9]"",""""),9))"),"716047311")</f>
        <v>716047311</v>
      </c>
      <c r="B7279" s="52">
        <v>7.16047311E8</v>
      </c>
      <c r="C7279" s="28" t="s">
        <v>4871</v>
      </c>
      <c r="D7279" s="26" t="s">
        <v>45</v>
      </c>
      <c r="E7279" s="31">
        <v>46244.0</v>
      </c>
      <c r="F7279" s="26" t="s">
        <v>41</v>
      </c>
      <c r="G7279" s="26">
        <v>9.0</v>
      </c>
      <c r="I7279" s="26" t="s">
        <v>951</v>
      </c>
      <c r="J7279" s="25" t="str">
        <f t="shared" si="82"/>
        <v>Yes - see Previous F-Code</v>
      </c>
      <c r="K7279" s="25" t="str">
        <f t="shared" si="83"/>
        <v/>
      </c>
      <c r="L7279" s="25" t="str">
        <f t="shared" si="84"/>
        <v>F74441</v>
      </c>
      <c r="M7279" s="25"/>
      <c r="O7279" s="25"/>
    </row>
    <row r="7280" ht="15.75" customHeight="1">
      <c r="A7280" s="25" t="str">
        <f>IFERROR(__xludf.DUMMYFUNCTION("IF(B7280="""","""",RIGHT(REGEXREPLACE(B7280&amp;"""",""[^0-9]"",""""),9))"),"779439810")</f>
        <v>779439810</v>
      </c>
      <c r="B7280" s="52">
        <v>7.7943981E8</v>
      </c>
      <c r="C7280" s="28" t="s">
        <v>7543</v>
      </c>
      <c r="D7280" s="26" t="s">
        <v>49</v>
      </c>
      <c r="E7280" s="31">
        <v>46244.0</v>
      </c>
      <c r="F7280" s="26" t="s">
        <v>46</v>
      </c>
      <c r="G7280" s="26">
        <v>9.0</v>
      </c>
      <c r="H7280" s="26" t="s">
        <v>7544</v>
      </c>
      <c r="I7280" s="26" t="s">
        <v>951</v>
      </c>
      <c r="J7280" s="25" t="str">
        <f t="shared" si="82"/>
        <v>No</v>
      </c>
      <c r="K7280" s="25" t="str">
        <f t="shared" si="83"/>
        <v/>
      </c>
      <c r="L7280" s="25" t="str">
        <f t="shared" si="84"/>
        <v/>
      </c>
      <c r="M7280" s="25"/>
      <c r="O7280" s="25"/>
    </row>
    <row r="7281" ht="15.75" customHeight="1">
      <c r="A7281" s="25" t="str">
        <f>IFERROR(__xludf.DUMMYFUNCTION("IF(B7281="""","""",RIGHT(REGEXREPLACE(B7281&amp;"""",""[^0-9]"",""""),9))"),"754709045")</f>
        <v>754709045</v>
      </c>
      <c r="B7281" s="52">
        <v>7.54709045E8</v>
      </c>
      <c r="C7281" s="28" t="s">
        <v>7545</v>
      </c>
      <c r="D7281" s="26" t="s">
        <v>64</v>
      </c>
      <c r="E7281" s="31">
        <v>46244.0</v>
      </c>
      <c r="F7281" s="26" t="s">
        <v>205</v>
      </c>
      <c r="I7281" s="26" t="s">
        <v>951</v>
      </c>
      <c r="J7281" s="25" t="str">
        <f t="shared" si="82"/>
        <v>No</v>
      </c>
      <c r="K7281" s="25" t="str">
        <f t="shared" si="83"/>
        <v/>
      </c>
      <c r="L7281" s="25" t="str">
        <f t="shared" si="84"/>
        <v/>
      </c>
      <c r="M7281" s="25"/>
      <c r="O7281" s="25"/>
    </row>
    <row r="7282" ht="15.75" customHeight="1">
      <c r="A7282" s="25" t="str">
        <f>IFERROR(__xludf.DUMMYFUNCTION("IF(B7282="""","""",RIGHT(REGEXREPLACE(B7282&amp;"""",""[^0-9]"",""""),9))"),"742656226")</f>
        <v>742656226</v>
      </c>
      <c r="B7282" s="52">
        <v>7.42656226E8</v>
      </c>
      <c r="C7282" s="28" t="s">
        <v>7546</v>
      </c>
      <c r="D7282" s="26" t="s">
        <v>64</v>
      </c>
      <c r="E7282" s="31">
        <v>46244.0</v>
      </c>
      <c r="F7282" s="26" t="s">
        <v>41</v>
      </c>
      <c r="I7282" s="26" t="s">
        <v>951</v>
      </c>
      <c r="J7282" s="25" t="str">
        <f t="shared" si="82"/>
        <v>No</v>
      </c>
      <c r="K7282" s="25" t="str">
        <f t="shared" si="83"/>
        <v/>
      </c>
      <c r="L7282" s="25" t="str">
        <f t="shared" si="84"/>
        <v/>
      </c>
      <c r="M7282" s="25"/>
      <c r="O7282" s="25"/>
    </row>
    <row r="7283" ht="15.75" customHeight="1">
      <c r="A7283" s="25" t="str">
        <f>IFERROR(__xludf.DUMMYFUNCTION("IF(B7283="""","""",RIGHT(REGEXREPLACE(B7283&amp;"""",""[^0-9]"",""""),9))"),"711342417")</f>
        <v>711342417</v>
      </c>
      <c r="B7283" s="52">
        <v>7.11342417E8</v>
      </c>
      <c r="C7283" s="28" t="s">
        <v>173</v>
      </c>
      <c r="D7283" s="26" t="s">
        <v>45</v>
      </c>
      <c r="E7283" s="31">
        <v>46244.0</v>
      </c>
      <c r="F7283" s="26" t="s">
        <v>46</v>
      </c>
      <c r="G7283" s="26">
        <v>10.0</v>
      </c>
      <c r="I7283" s="26" t="s">
        <v>951</v>
      </c>
      <c r="J7283" s="25" t="str">
        <f t="shared" si="82"/>
        <v>Yes - see Previous F-Code</v>
      </c>
      <c r="K7283" s="25" t="str">
        <f t="shared" si="83"/>
        <v/>
      </c>
      <c r="L7283" s="25" t="str">
        <f t="shared" si="84"/>
        <v>F70075</v>
      </c>
      <c r="M7283" s="25"/>
      <c r="O7283" s="25"/>
    </row>
    <row r="7284" ht="15.75" customHeight="1">
      <c r="A7284" s="25" t="str">
        <f>IFERROR(__xludf.DUMMYFUNCTION("IF(B7284="""","""",RIGHT(REGEXREPLACE(B7284&amp;"""",""[^0-9]"",""""),9))"),"724900118")</f>
        <v>724900118</v>
      </c>
      <c r="B7284" s="52">
        <v>7.24900118E8</v>
      </c>
      <c r="C7284" s="28" t="s">
        <v>6525</v>
      </c>
      <c r="D7284" s="26" t="s">
        <v>56</v>
      </c>
      <c r="E7284" s="31">
        <v>46244.0</v>
      </c>
      <c r="F7284" s="26" t="s">
        <v>167</v>
      </c>
      <c r="G7284" s="26">
        <v>11.0</v>
      </c>
      <c r="H7284" s="26" t="s">
        <v>7547</v>
      </c>
      <c r="I7284" s="26" t="s">
        <v>951</v>
      </c>
      <c r="J7284" s="25" t="str">
        <f t="shared" si="82"/>
        <v>Yes - see Previous F-Code</v>
      </c>
      <c r="K7284" s="25" t="str">
        <f t="shared" si="83"/>
        <v/>
      </c>
      <c r="L7284" s="25" t="str">
        <f t="shared" si="84"/>
        <v>F75749</v>
      </c>
      <c r="M7284" s="25"/>
      <c r="O7284" s="25"/>
    </row>
    <row r="7285" ht="15.75" customHeight="1">
      <c r="A7285" s="25" t="str">
        <f>IFERROR(__xludf.DUMMYFUNCTION("IF(B7285="""","""",RIGHT(REGEXREPLACE(B7285&amp;"""",""[^0-9]"",""""),9))"),"718731875")</f>
        <v>718731875</v>
      </c>
      <c r="B7285" s="52">
        <v>7.18731875E8</v>
      </c>
      <c r="C7285" s="28" t="s">
        <v>7548</v>
      </c>
      <c r="D7285" s="26" t="s">
        <v>82</v>
      </c>
      <c r="E7285" s="31">
        <v>46244.0</v>
      </c>
      <c r="F7285" s="26" t="s">
        <v>125</v>
      </c>
      <c r="H7285" s="26" t="s">
        <v>6087</v>
      </c>
      <c r="I7285" s="26" t="s">
        <v>951</v>
      </c>
      <c r="J7285" s="25" t="str">
        <f t="shared" si="82"/>
        <v>No</v>
      </c>
      <c r="K7285" s="25" t="str">
        <f t="shared" si="83"/>
        <v/>
      </c>
      <c r="L7285" s="25" t="str">
        <f t="shared" si="84"/>
        <v/>
      </c>
      <c r="M7285" s="25"/>
      <c r="O7285" s="25"/>
    </row>
    <row r="7286" ht="15.75" customHeight="1">
      <c r="A7286" s="25" t="str">
        <f>IFERROR(__xludf.DUMMYFUNCTION("IF(B7286="""","""",RIGHT(REGEXREPLACE(B7286&amp;"""",""[^0-9]"",""""),9))"),"")</f>
        <v/>
      </c>
      <c r="B7286" s="52"/>
      <c r="C7286" s="46"/>
      <c r="D7286" s="25"/>
      <c r="E7286" s="31">
        <v>46244.0</v>
      </c>
      <c r="F7286" s="25"/>
      <c r="I7286" s="26" t="s">
        <v>951</v>
      </c>
      <c r="J7286" s="25" t="str">
        <f t="shared" si="82"/>
        <v>Yes - see Previous F-Code</v>
      </c>
      <c r="K7286" s="25" t="str">
        <f t="shared" si="83"/>
        <v>DUPLICATE - CHECK</v>
      </c>
      <c r="L7286" s="25" t="str">
        <f t="shared" si="84"/>
        <v/>
      </c>
      <c r="M7286" s="25"/>
      <c r="O7286" s="25"/>
    </row>
    <row r="7287" ht="15.75" customHeight="1">
      <c r="A7287" s="25" t="str">
        <f>IFERROR(__xludf.DUMMYFUNCTION("IF(B7287="""","""",RIGHT(REGEXREPLACE(B7287&amp;"""",""[^0-9]"",""""),9))"),"788519336")</f>
        <v>788519336</v>
      </c>
      <c r="B7287" s="52">
        <v>7.88519336E8</v>
      </c>
      <c r="C7287" s="28" t="s">
        <v>7549</v>
      </c>
      <c r="D7287" s="26" t="s">
        <v>82</v>
      </c>
      <c r="E7287" s="31">
        <v>46244.0</v>
      </c>
      <c r="F7287" s="26" t="s">
        <v>41</v>
      </c>
      <c r="G7287" s="26">
        <v>7.0</v>
      </c>
      <c r="I7287" s="26" t="s">
        <v>951</v>
      </c>
      <c r="J7287" s="25" t="str">
        <f t="shared" si="82"/>
        <v>No</v>
      </c>
      <c r="K7287" s="25" t="str">
        <f t="shared" si="83"/>
        <v/>
      </c>
      <c r="L7287" s="25" t="str">
        <f t="shared" si="84"/>
        <v/>
      </c>
      <c r="M7287" s="25"/>
      <c r="O7287" s="25"/>
    </row>
    <row r="7288" ht="15.75" customHeight="1">
      <c r="A7288" s="25" t="str">
        <f>IFERROR(__xludf.DUMMYFUNCTION("IF(B7288="""","""",RIGHT(REGEXREPLACE(B7288&amp;"""",""[^0-9]"",""""),9))"),"764082979")</f>
        <v>764082979</v>
      </c>
      <c r="B7288" s="52">
        <v>7.64082979E8</v>
      </c>
      <c r="C7288" s="28" t="s">
        <v>7550</v>
      </c>
      <c r="D7288" s="26" t="s">
        <v>64</v>
      </c>
      <c r="E7288" s="31">
        <v>46244.0</v>
      </c>
      <c r="F7288" s="26" t="s">
        <v>46</v>
      </c>
      <c r="G7288" s="26">
        <v>8.0</v>
      </c>
      <c r="I7288" s="26" t="s">
        <v>951</v>
      </c>
      <c r="J7288" s="25" t="str">
        <f t="shared" si="82"/>
        <v>No</v>
      </c>
      <c r="K7288" s="25" t="str">
        <f t="shared" si="83"/>
        <v/>
      </c>
      <c r="L7288" s="25" t="str">
        <f t="shared" si="84"/>
        <v/>
      </c>
      <c r="M7288" s="25"/>
      <c r="O7288" s="25"/>
    </row>
    <row r="7289" ht="15.75" customHeight="1">
      <c r="A7289" s="25" t="str">
        <f>IFERROR(__xludf.DUMMYFUNCTION("IF(B7289="""","""",RIGHT(REGEXREPLACE(B7289&amp;"""",""[^0-9]"",""""),9))"),"772310877")</f>
        <v>772310877</v>
      </c>
      <c r="B7289" s="52">
        <v>7.72310877E8</v>
      </c>
      <c r="C7289" s="28" t="s">
        <v>7551</v>
      </c>
      <c r="D7289" s="26" t="s">
        <v>49</v>
      </c>
      <c r="E7289" s="31">
        <v>46244.0</v>
      </c>
      <c r="F7289" s="26" t="s">
        <v>46</v>
      </c>
      <c r="G7289" s="26">
        <v>11.0</v>
      </c>
      <c r="H7289" s="26" t="s">
        <v>7552</v>
      </c>
      <c r="I7289" s="26" t="s">
        <v>951</v>
      </c>
      <c r="J7289" s="25" t="str">
        <f t="shared" si="82"/>
        <v>No</v>
      </c>
      <c r="K7289" s="25" t="str">
        <f t="shared" si="83"/>
        <v/>
      </c>
      <c r="L7289" s="25" t="str">
        <f t="shared" si="84"/>
        <v/>
      </c>
      <c r="M7289" s="25"/>
      <c r="O7289" s="25"/>
    </row>
    <row r="7290" ht="15.75" customHeight="1">
      <c r="A7290" s="25" t="str">
        <f>IFERROR(__xludf.DUMMYFUNCTION("IF(B7290="""","""",RIGHT(REGEXREPLACE(B7290&amp;"""",""[^0-9]"",""""),9))"),"743466536")</f>
        <v>743466536</v>
      </c>
      <c r="B7290" s="52">
        <v>7.43466536E8</v>
      </c>
      <c r="C7290" s="28" t="s">
        <v>1830</v>
      </c>
      <c r="D7290" s="26" t="s">
        <v>45</v>
      </c>
      <c r="E7290" s="31">
        <v>46244.0</v>
      </c>
      <c r="F7290" s="26" t="s">
        <v>41</v>
      </c>
      <c r="G7290" s="26">
        <v>10.0</v>
      </c>
      <c r="I7290" s="26" t="s">
        <v>951</v>
      </c>
      <c r="J7290" s="25" t="str">
        <f t="shared" si="82"/>
        <v>Yes - see Previous F-Code</v>
      </c>
      <c r="K7290" s="25" t="str">
        <f t="shared" si="83"/>
        <v/>
      </c>
      <c r="L7290" s="25" t="str">
        <f t="shared" si="84"/>
        <v>F71538</v>
      </c>
      <c r="M7290" s="25"/>
      <c r="O7290" s="25"/>
    </row>
    <row r="7291" ht="15.75" customHeight="1">
      <c r="A7291" s="25" t="str">
        <f>IFERROR(__xludf.DUMMYFUNCTION("IF(B7291="""","""",RIGHT(REGEXREPLACE(B7291&amp;"""",""[^0-9]"",""""),9))"),"758508018")</f>
        <v>758508018</v>
      </c>
      <c r="B7291" s="52">
        <v>7.58508018E8</v>
      </c>
      <c r="C7291" s="28" t="s">
        <v>7553</v>
      </c>
      <c r="D7291" s="26" t="s">
        <v>82</v>
      </c>
      <c r="E7291" s="31">
        <v>46244.0</v>
      </c>
      <c r="F7291" s="26" t="s">
        <v>41</v>
      </c>
      <c r="I7291" s="26" t="s">
        <v>951</v>
      </c>
      <c r="J7291" s="25" t="str">
        <f t="shared" si="82"/>
        <v>No</v>
      </c>
      <c r="K7291" s="25" t="str">
        <f t="shared" si="83"/>
        <v/>
      </c>
      <c r="L7291" s="25" t="str">
        <f t="shared" si="84"/>
        <v/>
      </c>
      <c r="M7291" s="25"/>
      <c r="O7291" s="25"/>
    </row>
    <row r="7292" ht="15.75" customHeight="1">
      <c r="A7292" s="25" t="str">
        <f>IFERROR(__xludf.DUMMYFUNCTION("IF(B7292="""","""",RIGHT(REGEXREPLACE(B7292&amp;"""",""[^0-9]"",""""),9))"),"773340776")</f>
        <v>773340776</v>
      </c>
      <c r="B7292" s="52">
        <v>7.73340776E8</v>
      </c>
      <c r="C7292" s="28" t="s">
        <v>7554</v>
      </c>
      <c r="D7292" s="26" t="s">
        <v>56</v>
      </c>
      <c r="E7292" s="31">
        <v>46244.0</v>
      </c>
      <c r="F7292" s="26" t="s">
        <v>46</v>
      </c>
      <c r="G7292" s="26">
        <v>9.0</v>
      </c>
      <c r="I7292" s="26" t="s">
        <v>951</v>
      </c>
      <c r="J7292" s="25" t="str">
        <f t="shared" si="82"/>
        <v>No</v>
      </c>
      <c r="K7292" s="25" t="str">
        <f t="shared" si="83"/>
        <v/>
      </c>
      <c r="L7292" s="25" t="str">
        <f t="shared" si="84"/>
        <v/>
      </c>
      <c r="M7292" s="25"/>
      <c r="O7292" s="25"/>
    </row>
    <row r="7293" ht="15.75" customHeight="1">
      <c r="A7293" s="25" t="str">
        <f>IFERROR(__xludf.DUMMYFUNCTION("IF(B7293="""","""",RIGHT(REGEXREPLACE(B7293&amp;"""",""[^0-9]"",""""),9))"),"779623194")</f>
        <v>779623194</v>
      </c>
      <c r="B7293" s="52">
        <v>7.79623194E8</v>
      </c>
      <c r="C7293" s="28" t="s">
        <v>7555</v>
      </c>
      <c r="D7293" s="26" t="s">
        <v>82</v>
      </c>
      <c r="E7293" s="31">
        <v>46244.0</v>
      </c>
      <c r="F7293" s="26" t="s">
        <v>46</v>
      </c>
      <c r="G7293" s="26">
        <v>11.0</v>
      </c>
      <c r="H7293" s="26" t="s">
        <v>7556</v>
      </c>
      <c r="I7293" s="26" t="s">
        <v>951</v>
      </c>
      <c r="J7293" s="25" t="str">
        <f t="shared" si="82"/>
        <v>No</v>
      </c>
      <c r="K7293" s="25" t="str">
        <f t="shared" si="83"/>
        <v/>
      </c>
      <c r="L7293" s="25" t="str">
        <f t="shared" si="84"/>
        <v/>
      </c>
      <c r="M7293" s="25"/>
      <c r="O7293" s="25"/>
    </row>
    <row r="7294" ht="15.75" customHeight="1">
      <c r="A7294" s="25" t="str">
        <f>IFERROR(__xludf.DUMMYFUNCTION("IF(B7294="""","""",RIGHT(REGEXREPLACE(B7294&amp;"""",""[^0-9]"",""""),9))"),"762706611")</f>
        <v>762706611</v>
      </c>
      <c r="B7294" s="52">
        <v>7.62706611E8</v>
      </c>
      <c r="C7294" s="28" t="s">
        <v>7247</v>
      </c>
      <c r="D7294" s="26" t="s">
        <v>49</v>
      </c>
      <c r="E7294" s="31">
        <v>46244.0</v>
      </c>
      <c r="F7294" s="26" t="s">
        <v>46</v>
      </c>
      <c r="G7294" s="26">
        <v>7.0</v>
      </c>
      <c r="H7294" s="26" t="s">
        <v>2615</v>
      </c>
      <c r="I7294" s="26" t="s">
        <v>951</v>
      </c>
      <c r="J7294" s="25" t="str">
        <f t="shared" si="82"/>
        <v>Yes - see Previous F-Code</v>
      </c>
      <c r="K7294" s="25" t="str">
        <f t="shared" si="83"/>
        <v>DUPLICATE - CHECK</v>
      </c>
      <c r="L7294" s="25" t="str">
        <f t="shared" si="84"/>
        <v>F76192</v>
      </c>
      <c r="M7294" s="25"/>
      <c r="O7294" s="25"/>
    </row>
    <row r="7295" ht="15.75" customHeight="1">
      <c r="A7295" s="25" t="str">
        <f>IFERROR(__xludf.DUMMYFUNCTION("IF(B7295="""","""",RIGHT(REGEXREPLACE(B7295&amp;"""",""[^0-9]"",""""),9))"),"760917197")</f>
        <v>760917197</v>
      </c>
      <c r="B7295" s="52">
        <v>7.60917197E8</v>
      </c>
      <c r="C7295" s="28" t="s">
        <v>7557</v>
      </c>
      <c r="D7295" s="26" t="s">
        <v>82</v>
      </c>
      <c r="E7295" s="31">
        <v>46244.0</v>
      </c>
      <c r="F7295" s="26" t="s">
        <v>659</v>
      </c>
      <c r="G7295" s="26">
        <v>9.0</v>
      </c>
      <c r="I7295" s="26" t="s">
        <v>951</v>
      </c>
      <c r="J7295" s="25" t="str">
        <f t="shared" si="82"/>
        <v>No</v>
      </c>
      <c r="K7295" s="25" t="str">
        <f t="shared" si="83"/>
        <v/>
      </c>
      <c r="L7295" s="25" t="str">
        <f t="shared" si="84"/>
        <v/>
      </c>
      <c r="M7295" s="25"/>
      <c r="O7295" s="25"/>
    </row>
    <row r="7296" ht="15.75" customHeight="1">
      <c r="A7296" s="25" t="str">
        <f>IFERROR(__xludf.DUMMYFUNCTION("IF(B7296="""","""",RIGHT(REGEXREPLACE(B7296&amp;"""",""[^0-9]"",""""),9))"),"774469044")</f>
        <v>774469044</v>
      </c>
      <c r="B7296" s="52">
        <v>7.74469044E8</v>
      </c>
      <c r="C7296" s="28" t="s">
        <v>7558</v>
      </c>
      <c r="D7296" s="26" t="s">
        <v>56</v>
      </c>
      <c r="E7296" s="31">
        <v>46244.0</v>
      </c>
      <c r="F7296" s="26" t="s">
        <v>659</v>
      </c>
      <c r="G7296" s="26">
        <v>10.0</v>
      </c>
      <c r="I7296" s="26" t="s">
        <v>951</v>
      </c>
      <c r="J7296" s="25" t="str">
        <f t="shared" si="82"/>
        <v>No</v>
      </c>
      <c r="K7296" s="25" t="str">
        <f t="shared" si="83"/>
        <v/>
      </c>
      <c r="L7296" s="25" t="str">
        <f t="shared" si="84"/>
        <v/>
      </c>
      <c r="M7296" s="25"/>
      <c r="O7296" s="25"/>
    </row>
    <row r="7297" ht="15.75" customHeight="1">
      <c r="A7297" s="25" t="str">
        <f>IFERROR(__xludf.DUMMYFUNCTION("IF(B7297="""","""",RIGHT(REGEXREPLACE(B7297&amp;"""",""[^0-9]"",""""),9))"),"763773755")</f>
        <v>763773755</v>
      </c>
      <c r="B7297" s="52">
        <v>7.63773755E8</v>
      </c>
      <c r="C7297" s="28" t="s">
        <v>7559</v>
      </c>
      <c r="D7297" s="26" t="s">
        <v>45</v>
      </c>
      <c r="E7297" s="31">
        <v>46244.0</v>
      </c>
      <c r="F7297" s="26" t="s">
        <v>41</v>
      </c>
      <c r="G7297" s="26">
        <v>10.0</v>
      </c>
      <c r="I7297" s="26" t="s">
        <v>951</v>
      </c>
      <c r="J7297" s="25" t="str">
        <f t="shared" si="82"/>
        <v>No</v>
      </c>
      <c r="K7297" s="25" t="str">
        <f t="shared" si="83"/>
        <v/>
      </c>
      <c r="L7297" s="25" t="str">
        <f t="shared" si="84"/>
        <v/>
      </c>
      <c r="M7297" s="25"/>
      <c r="O7297" s="25"/>
    </row>
    <row r="7298" ht="15.75" customHeight="1">
      <c r="A7298" s="25" t="str">
        <f>IFERROR(__xludf.DUMMYFUNCTION("IF(B7298="""","""",RIGHT(REGEXREPLACE(B7298&amp;"""",""[^0-9]"",""""),9))"),"771472023")</f>
        <v>771472023</v>
      </c>
      <c r="B7298" s="52">
        <v>7.71472023E8</v>
      </c>
      <c r="C7298" s="28" t="s">
        <v>7560</v>
      </c>
      <c r="D7298" s="26" t="s">
        <v>49</v>
      </c>
      <c r="E7298" s="31">
        <v>46244.0</v>
      </c>
      <c r="F7298" s="26" t="s">
        <v>46</v>
      </c>
      <c r="G7298" s="26">
        <v>9.0</v>
      </c>
      <c r="H7298" s="72" t="s">
        <v>7561</v>
      </c>
      <c r="I7298" s="26" t="s">
        <v>951</v>
      </c>
      <c r="J7298" s="25" t="str">
        <f t="shared" si="82"/>
        <v>No</v>
      </c>
      <c r="K7298" s="25" t="str">
        <f t="shared" si="83"/>
        <v/>
      </c>
      <c r="L7298" s="25" t="str">
        <f t="shared" si="84"/>
        <v/>
      </c>
      <c r="M7298" s="25"/>
      <c r="O7298" s="25"/>
    </row>
    <row r="7299" ht="15.75" customHeight="1">
      <c r="A7299" s="25" t="str">
        <f>IFERROR(__xludf.DUMMYFUNCTION("IF(B7299="""","""",RIGHT(REGEXREPLACE(B7299&amp;"""",""[^0-9]"",""""),9))"),"715673309")</f>
        <v>715673309</v>
      </c>
      <c r="B7299" s="52">
        <v>7.15673309E8</v>
      </c>
      <c r="C7299" s="28" t="s">
        <v>7562</v>
      </c>
      <c r="D7299" s="26" t="s">
        <v>82</v>
      </c>
      <c r="E7299" s="31">
        <v>46244.0</v>
      </c>
      <c r="F7299" s="26" t="s">
        <v>46</v>
      </c>
      <c r="G7299" s="26">
        <v>7.0</v>
      </c>
      <c r="I7299" s="26" t="s">
        <v>951</v>
      </c>
      <c r="J7299" s="25" t="str">
        <f t="shared" si="82"/>
        <v>No</v>
      </c>
      <c r="K7299" s="25" t="str">
        <f t="shared" si="83"/>
        <v/>
      </c>
      <c r="L7299" s="25" t="str">
        <f t="shared" si="84"/>
        <v/>
      </c>
      <c r="M7299" s="25"/>
      <c r="O7299" s="25"/>
    </row>
    <row r="7300" ht="15.75" customHeight="1">
      <c r="A7300" s="25" t="str">
        <f>IFERROR(__xludf.DUMMYFUNCTION("IF(B7300="""","""",RIGHT(REGEXREPLACE(B7300&amp;"""",""[^0-9]"",""""),9))"),"724553114")</f>
        <v>724553114</v>
      </c>
      <c r="B7300" s="52">
        <v>7.24553114E8</v>
      </c>
      <c r="C7300" s="28" t="s">
        <v>7563</v>
      </c>
      <c r="D7300" s="26" t="s">
        <v>64</v>
      </c>
      <c r="E7300" s="31">
        <v>46244.0</v>
      </c>
      <c r="F7300" s="26" t="s">
        <v>41</v>
      </c>
      <c r="I7300" s="26" t="s">
        <v>951</v>
      </c>
      <c r="J7300" s="25" t="str">
        <f t="shared" si="82"/>
        <v>No</v>
      </c>
      <c r="K7300" s="25" t="str">
        <f t="shared" si="83"/>
        <v/>
      </c>
      <c r="L7300" s="25" t="str">
        <f t="shared" si="84"/>
        <v/>
      </c>
      <c r="M7300" s="25"/>
      <c r="O7300" s="26" t="s">
        <v>51</v>
      </c>
    </row>
    <row r="7301" ht="15.75" customHeight="1">
      <c r="A7301" s="25" t="str">
        <f>IFERROR(__xludf.DUMMYFUNCTION("IF(B7301="""","""",RIGHT(REGEXREPLACE(B7301&amp;"""",""[^0-9]"",""""),9))"),"706033770")</f>
        <v>706033770</v>
      </c>
      <c r="B7301" s="52">
        <v>7.0603377E8</v>
      </c>
      <c r="C7301" s="28" t="s">
        <v>7564</v>
      </c>
      <c r="D7301" s="26" t="s">
        <v>64</v>
      </c>
      <c r="E7301" s="31">
        <v>46244.0</v>
      </c>
      <c r="F7301" s="26" t="s">
        <v>46</v>
      </c>
      <c r="G7301" s="26">
        <v>11.0</v>
      </c>
      <c r="I7301" s="26" t="s">
        <v>951</v>
      </c>
      <c r="J7301" s="25" t="str">
        <f t="shared" si="82"/>
        <v>No</v>
      </c>
      <c r="K7301" s="25" t="str">
        <f t="shared" si="83"/>
        <v/>
      </c>
      <c r="L7301" s="25" t="str">
        <f t="shared" si="84"/>
        <v/>
      </c>
      <c r="M7301" s="25"/>
      <c r="O7301" s="25"/>
    </row>
    <row r="7302" ht="15.75" customHeight="1">
      <c r="A7302" s="25" t="str">
        <f>IFERROR(__xludf.DUMMYFUNCTION("IF(B7302="""","""",RIGHT(REGEXREPLACE(B7302&amp;"""",""[^0-9]"",""""),9))"),"776315290")</f>
        <v>776315290</v>
      </c>
      <c r="B7302" s="52">
        <v>7.7631529E8</v>
      </c>
      <c r="C7302" s="28" t="s">
        <v>7565</v>
      </c>
      <c r="D7302" s="26" t="s">
        <v>45</v>
      </c>
      <c r="E7302" s="31">
        <v>46244.0</v>
      </c>
      <c r="F7302" s="26" t="s">
        <v>41</v>
      </c>
      <c r="I7302" s="26" t="s">
        <v>951</v>
      </c>
      <c r="J7302" s="25" t="str">
        <f t="shared" si="82"/>
        <v>No</v>
      </c>
      <c r="K7302" s="25" t="str">
        <f t="shared" si="83"/>
        <v/>
      </c>
      <c r="L7302" s="25" t="str">
        <f t="shared" si="84"/>
        <v/>
      </c>
      <c r="M7302" s="25"/>
      <c r="O7302" s="25"/>
    </row>
    <row r="7303" ht="15.75" customHeight="1">
      <c r="A7303" s="25" t="str">
        <f>IFERROR(__xludf.DUMMYFUNCTION("IF(B7303="""","""",RIGHT(REGEXREPLACE(B7303&amp;"""",""[^0-9]"",""""),9))"),"768455937")</f>
        <v>768455937</v>
      </c>
      <c r="B7303" s="52">
        <v>7.68455937E8</v>
      </c>
      <c r="C7303" s="28" t="s">
        <v>7566</v>
      </c>
      <c r="D7303" s="26" t="s">
        <v>82</v>
      </c>
      <c r="E7303" s="31">
        <v>46244.0</v>
      </c>
      <c r="F7303" s="26" t="s">
        <v>125</v>
      </c>
      <c r="G7303" s="26">
        <v>10.0</v>
      </c>
      <c r="H7303" s="26" t="s">
        <v>7567</v>
      </c>
      <c r="I7303" s="26" t="s">
        <v>951</v>
      </c>
      <c r="J7303" s="25" t="str">
        <f t="shared" si="82"/>
        <v>No</v>
      </c>
      <c r="K7303" s="25" t="str">
        <f t="shared" si="83"/>
        <v/>
      </c>
      <c r="L7303" s="25" t="str">
        <f t="shared" si="84"/>
        <v/>
      </c>
      <c r="M7303" s="25"/>
      <c r="O7303" s="25"/>
    </row>
    <row r="7304" ht="15.75" customHeight="1">
      <c r="A7304" s="25" t="str">
        <f>IFERROR(__xludf.DUMMYFUNCTION("IF(B7304="""","""",RIGHT(REGEXREPLACE(B7304&amp;"""",""[^0-9]"",""""),9))"),"742644930")</f>
        <v>742644930</v>
      </c>
      <c r="B7304" s="52">
        <v>7.4264493E8</v>
      </c>
      <c r="C7304" s="28" t="s">
        <v>7568</v>
      </c>
      <c r="D7304" s="26" t="s">
        <v>49</v>
      </c>
      <c r="E7304" s="31">
        <v>46244.0</v>
      </c>
      <c r="F7304" s="26" t="s">
        <v>46</v>
      </c>
      <c r="G7304" s="26">
        <v>9.0</v>
      </c>
      <c r="H7304" s="72" t="s">
        <v>7569</v>
      </c>
      <c r="I7304" s="26" t="s">
        <v>951</v>
      </c>
      <c r="J7304" s="25" t="str">
        <f t="shared" si="82"/>
        <v>No</v>
      </c>
      <c r="K7304" s="25" t="str">
        <f t="shared" si="83"/>
        <v/>
      </c>
      <c r="L7304" s="25" t="str">
        <f t="shared" si="84"/>
        <v/>
      </c>
      <c r="M7304" s="25"/>
      <c r="O7304" s="25"/>
    </row>
    <row r="7305" ht="15.75" customHeight="1">
      <c r="A7305" s="25" t="str">
        <f>IFERROR(__xludf.DUMMYFUNCTION("IF(B7305="""","""",RIGHT(REGEXREPLACE(B7305&amp;"""",""[^0-9]"",""""),9))"),"771011850")</f>
        <v>771011850</v>
      </c>
      <c r="B7305" s="52">
        <v>7.7101185E8</v>
      </c>
      <c r="C7305" s="28" t="s">
        <v>7570</v>
      </c>
      <c r="D7305" s="26" t="s">
        <v>56</v>
      </c>
      <c r="E7305" s="31">
        <v>46244.0</v>
      </c>
      <c r="F7305" s="26" t="s">
        <v>46</v>
      </c>
      <c r="G7305" s="26">
        <v>9.0</v>
      </c>
      <c r="I7305" s="26" t="s">
        <v>951</v>
      </c>
      <c r="J7305" s="25" t="str">
        <f t="shared" si="82"/>
        <v>No</v>
      </c>
      <c r="K7305" s="25" t="str">
        <f t="shared" si="83"/>
        <v/>
      </c>
      <c r="L7305" s="25" t="str">
        <f t="shared" si="84"/>
        <v/>
      </c>
      <c r="M7305" s="25"/>
      <c r="O7305" s="25"/>
    </row>
    <row r="7306" ht="15.75" customHeight="1">
      <c r="A7306" s="25" t="str">
        <f>IFERROR(__xludf.DUMMYFUNCTION("IF(B7306="""","""",RIGHT(REGEXREPLACE(B7306&amp;"""",""[^0-9]"",""""),9))"),"770302795")</f>
        <v>770302795</v>
      </c>
      <c r="B7306" s="52">
        <v>7.70302795E8</v>
      </c>
      <c r="C7306" s="28" t="s">
        <v>7571</v>
      </c>
      <c r="D7306" s="26" t="s">
        <v>82</v>
      </c>
      <c r="E7306" s="31">
        <v>46244.0</v>
      </c>
      <c r="F7306" s="26" t="s">
        <v>46</v>
      </c>
      <c r="G7306" s="96">
        <v>46276.0</v>
      </c>
      <c r="I7306" s="26" t="s">
        <v>951</v>
      </c>
      <c r="J7306" s="25" t="str">
        <f t="shared" si="82"/>
        <v>No</v>
      </c>
      <c r="K7306" s="25" t="str">
        <f t="shared" si="83"/>
        <v/>
      </c>
      <c r="L7306" s="25" t="str">
        <f t="shared" si="84"/>
        <v/>
      </c>
      <c r="M7306" s="25"/>
      <c r="O7306" s="25"/>
    </row>
    <row r="7307" ht="15.75" customHeight="1">
      <c r="A7307" s="25" t="str">
        <f>IFERROR(__xludf.DUMMYFUNCTION("IF(B7307="""","""",RIGHT(REGEXREPLACE(B7307&amp;"""",""[^0-9]"",""""),9))"),"718463607")</f>
        <v>718463607</v>
      </c>
      <c r="B7307" s="52">
        <v>7.18463607E8</v>
      </c>
      <c r="C7307" s="28" t="s">
        <v>7572</v>
      </c>
      <c r="D7307" s="26" t="s">
        <v>64</v>
      </c>
      <c r="E7307" s="31">
        <v>46244.0</v>
      </c>
      <c r="F7307" s="26" t="s">
        <v>46</v>
      </c>
      <c r="G7307" s="26">
        <v>10.0</v>
      </c>
      <c r="H7307" s="26" t="s">
        <v>7573</v>
      </c>
      <c r="I7307" s="26" t="s">
        <v>951</v>
      </c>
      <c r="J7307" s="25" t="str">
        <f t="shared" si="82"/>
        <v>No</v>
      </c>
      <c r="K7307" s="25" t="str">
        <f t="shared" si="83"/>
        <v/>
      </c>
      <c r="L7307" s="25" t="str">
        <f t="shared" si="84"/>
        <v/>
      </c>
      <c r="M7307" s="25"/>
      <c r="O7307" s="25"/>
    </row>
    <row r="7308" ht="15.75" customHeight="1">
      <c r="A7308" s="25" t="str">
        <f>IFERROR(__xludf.DUMMYFUNCTION("IF(B7308="""","""",RIGHT(REGEXREPLACE(B7308&amp;"""",""[^0-9]"",""""),9))"),"715239006")</f>
        <v>715239006</v>
      </c>
      <c r="B7308" s="52">
        <v>7.15239006E8</v>
      </c>
      <c r="C7308" s="28" t="s">
        <v>7574</v>
      </c>
      <c r="D7308" s="26" t="s">
        <v>56</v>
      </c>
      <c r="E7308" s="31">
        <v>46244.0</v>
      </c>
      <c r="F7308" s="26" t="s">
        <v>46</v>
      </c>
      <c r="G7308" s="26">
        <v>9.0</v>
      </c>
      <c r="I7308" s="26" t="s">
        <v>951</v>
      </c>
      <c r="J7308" s="25" t="str">
        <f t="shared" si="82"/>
        <v>No</v>
      </c>
      <c r="K7308" s="25" t="str">
        <f t="shared" si="83"/>
        <v/>
      </c>
      <c r="L7308" s="25" t="str">
        <f t="shared" si="84"/>
        <v/>
      </c>
      <c r="M7308" s="25"/>
      <c r="O7308" s="25"/>
    </row>
    <row r="7309" ht="15.75" customHeight="1">
      <c r="A7309" s="25" t="str">
        <f>IFERROR(__xludf.DUMMYFUNCTION("IF(B7309="""","""",RIGHT(REGEXREPLACE(B7309&amp;"""",""[^0-9]"",""""),9))"),"761192254")</f>
        <v>761192254</v>
      </c>
      <c r="B7309" s="26" t="s">
        <v>7575</v>
      </c>
      <c r="C7309" s="28" t="s">
        <v>7495</v>
      </c>
      <c r="D7309" s="26" t="s">
        <v>45</v>
      </c>
      <c r="E7309" s="31">
        <v>46244.0</v>
      </c>
      <c r="F7309" s="26" t="s">
        <v>46</v>
      </c>
      <c r="G7309" s="26">
        <v>11.0</v>
      </c>
      <c r="I7309" s="26" t="s">
        <v>951</v>
      </c>
      <c r="J7309" s="25" t="str">
        <f t="shared" si="82"/>
        <v>Yes - see Previous F-Code</v>
      </c>
      <c r="K7309" s="25" t="str">
        <f t="shared" si="83"/>
        <v>DUPLICATE - CHECK</v>
      </c>
      <c r="L7309" s="25" t="str">
        <f t="shared" si="84"/>
        <v>F76412</v>
      </c>
      <c r="M7309" s="25"/>
      <c r="O7309" s="25"/>
    </row>
    <row r="7310" ht="15.75" customHeight="1">
      <c r="A7310" s="25" t="str">
        <f>IFERROR(__xludf.DUMMYFUNCTION("IF(B7310="""","""",RIGHT(REGEXREPLACE(B7310&amp;"""",""[^0-9]"",""""),9))"),"705294835")</f>
        <v>705294835</v>
      </c>
      <c r="B7310" s="52">
        <v>7.05294835E8</v>
      </c>
      <c r="C7310" s="28" t="s">
        <v>7576</v>
      </c>
      <c r="D7310" s="26" t="s">
        <v>64</v>
      </c>
      <c r="E7310" s="31">
        <v>46244.0</v>
      </c>
      <c r="F7310" s="26" t="s">
        <v>659</v>
      </c>
      <c r="I7310" s="26" t="s">
        <v>951</v>
      </c>
      <c r="J7310" s="25" t="str">
        <f t="shared" si="82"/>
        <v>No</v>
      </c>
      <c r="K7310" s="25" t="str">
        <f t="shared" si="83"/>
        <v/>
      </c>
      <c r="L7310" s="25" t="str">
        <f t="shared" si="84"/>
        <v/>
      </c>
      <c r="M7310" s="25"/>
      <c r="O7310" s="25"/>
    </row>
    <row r="7311" ht="15.75" customHeight="1">
      <c r="A7311" s="25" t="str">
        <f>IFERROR(__xludf.DUMMYFUNCTION("IF(B7311="""","""",RIGHT(REGEXREPLACE(B7311&amp;"""",""[^0-9]"",""""),9))"),"781360222")</f>
        <v>781360222</v>
      </c>
      <c r="B7311" s="52">
        <v>7.81360222E8</v>
      </c>
      <c r="C7311" s="28" t="s">
        <v>7577</v>
      </c>
      <c r="D7311" s="26" t="s">
        <v>49</v>
      </c>
      <c r="E7311" s="31">
        <v>46244.0</v>
      </c>
      <c r="F7311" s="26" t="s">
        <v>41</v>
      </c>
      <c r="I7311" s="26" t="s">
        <v>951</v>
      </c>
      <c r="J7311" s="25" t="str">
        <f t="shared" si="82"/>
        <v>No</v>
      </c>
      <c r="K7311" s="25" t="str">
        <f t="shared" si="83"/>
        <v/>
      </c>
      <c r="L7311" s="25" t="str">
        <f t="shared" si="84"/>
        <v/>
      </c>
      <c r="M7311" s="25"/>
      <c r="O7311" s="25"/>
    </row>
    <row r="7312" ht="15.75" customHeight="1">
      <c r="A7312" s="25" t="str">
        <f>IFERROR(__xludf.DUMMYFUNCTION("IF(B7312="""","""",RIGHT(REGEXREPLACE(B7312&amp;"""",""[^0-9]"",""""),9))"),"763561090")</f>
        <v>763561090</v>
      </c>
      <c r="B7312" s="52">
        <v>7.6356109E8</v>
      </c>
      <c r="C7312" s="28" t="s">
        <v>7578</v>
      </c>
      <c r="D7312" s="26" t="s">
        <v>64</v>
      </c>
      <c r="E7312" s="31">
        <v>46244.0</v>
      </c>
      <c r="F7312" s="26" t="s">
        <v>46</v>
      </c>
      <c r="G7312" s="26">
        <v>9.0</v>
      </c>
      <c r="I7312" s="26" t="s">
        <v>951</v>
      </c>
      <c r="J7312" s="25" t="str">
        <f t="shared" si="82"/>
        <v>No</v>
      </c>
      <c r="K7312" s="25" t="str">
        <f t="shared" si="83"/>
        <v/>
      </c>
      <c r="L7312" s="25" t="str">
        <f t="shared" si="84"/>
        <v/>
      </c>
      <c r="M7312" s="25"/>
      <c r="O7312" s="25"/>
    </row>
    <row r="7313" ht="15.75" customHeight="1">
      <c r="A7313" s="25" t="str">
        <f>IFERROR(__xludf.DUMMYFUNCTION("IF(B7313="""","""",RIGHT(REGEXREPLACE(B7313&amp;"""",""[^0-9]"",""""),9))"),"771771191")</f>
        <v>771771191</v>
      </c>
      <c r="B7313" s="52">
        <v>7.71771191E8</v>
      </c>
      <c r="C7313" s="28" t="s">
        <v>7579</v>
      </c>
      <c r="D7313" s="26" t="s">
        <v>82</v>
      </c>
      <c r="E7313" s="31">
        <v>46244.0</v>
      </c>
      <c r="F7313" s="26" t="s">
        <v>46</v>
      </c>
      <c r="G7313" s="26">
        <v>9.0</v>
      </c>
      <c r="H7313" s="26" t="s">
        <v>7580</v>
      </c>
      <c r="I7313" s="26" t="s">
        <v>951</v>
      </c>
      <c r="J7313" s="25" t="str">
        <f t="shared" si="82"/>
        <v>No</v>
      </c>
      <c r="K7313" s="25" t="str">
        <f t="shared" si="83"/>
        <v/>
      </c>
      <c r="L7313" s="25" t="str">
        <f t="shared" si="84"/>
        <v/>
      </c>
      <c r="M7313" s="25"/>
      <c r="O7313" s="25"/>
    </row>
    <row r="7314" ht="15.75" customHeight="1">
      <c r="A7314" s="25" t="str">
        <f>IFERROR(__xludf.DUMMYFUNCTION("IF(B7314="""","""",RIGHT(REGEXREPLACE(B7314&amp;"""",""[^0-9]"",""""),9))"),"755600499")</f>
        <v>755600499</v>
      </c>
      <c r="B7314" s="52">
        <v>7.55600499E8</v>
      </c>
      <c r="C7314" s="28" t="s">
        <v>7581</v>
      </c>
      <c r="D7314" s="26" t="s">
        <v>45</v>
      </c>
      <c r="E7314" s="31">
        <v>46244.0</v>
      </c>
      <c r="F7314" s="26" t="s">
        <v>46</v>
      </c>
      <c r="G7314" s="26" t="s">
        <v>2011</v>
      </c>
      <c r="I7314" s="26" t="s">
        <v>951</v>
      </c>
      <c r="J7314" s="25" t="str">
        <f t="shared" si="82"/>
        <v>No</v>
      </c>
      <c r="K7314" s="25" t="str">
        <f t="shared" si="83"/>
        <v/>
      </c>
      <c r="L7314" s="25" t="str">
        <f t="shared" si="84"/>
        <v/>
      </c>
      <c r="M7314" s="25"/>
      <c r="O7314" s="25"/>
    </row>
    <row r="7315" ht="15.75" customHeight="1">
      <c r="A7315" s="25" t="str">
        <f>IFERROR(__xludf.DUMMYFUNCTION("IF(B7315="""","""",RIGHT(REGEXREPLACE(B7315&amp;"""",""[^0-9]"",""""),9))"),"766538648")</f>
        <v>766538648</v>
      </c>
      <c r="B7315" s="52">
        <v>7.66538648E8</v>
      </c>
      <c r="C7315" s="28" t="s">
        <v>7582</v>
      </c>
      <c r="D7315" s="26" t="s">
        <v>82</v>
      </c>
      <c r="E7315" s="31">
        <v>46244.0</v>
      </c>
      <c r="F7315" s="26" t="s">
        <v>46</v>
      </c>
      <c r="I7315" s="26" t="s">
        <v>951</v>
      </c>
      <c r="J7315" s="25" t="str">
        <f t="shared" si="82"/>
        <v>No</v>
      </c>
      <c r="K7315" s="25" t="str">
        <f t="shared" si="83"/>
        <v/>
      </c>
      <c r="L7315" s="25" t="str">
        <f t="shared" si="84"/>
        <v/>
      </c>
      <c r="M7315" s="25"/>
      <c r="O7315" s="25"/>
    </row>
    <row r="7316" ht="15.75" customHeight="1">
      <c r="A7316" s="25" t="str">
        <f>IFERROR(__xludf.DUMMYFUNCTION("IF(B7316="""","""",RIGHT(REGEXREPLACE(B7316&amp;"""",""[^0-9]"",""""),9))"),"767339463")</f>
        <v>767339463</v>
      </c>
      <c r="B7316" s="52">
        <v>7.67339463E8</v>
      </c>
      <c r="C7316" s="28" t="s">
        <v>7583</v>
      </c>
      <c r="D7316" s="26" t="s">
        <v>56</v>
      </c>
      <c r="E7316" s="31">
        <v>46244.0</v>
      </c>
      <c r="F7316" s="26" t="s">
        <v>46</v>
      </c>
      <c r="G7316" s="26">
        <v>9.0</v>
      </c>
      <c r="I7316" s="26" t="s">
        <v>951</v>
      </c>
      <c r="J7316" s="25" t="str">
        <f t="shared" si="82"/>
        <v>No</v>
      </c>
      <c r="K7316" s="25" t="str">
        <f t="shared" si="83"/>
        <v/>
      </c>
      <c r="L7316" s="25" t="str">
        <f t="shared" si="84"/>
        <v/>
      </c>
      <c r="M7316" s="25"/>
      <c r="O7316" s="25"/>
    </row>
    <row r="7317" ht="15.75" customHeight="1">
      <c r="A7317" s="25" t="str">
        <f>IFERROR(__xludf.DUMMYFUNCTION("IF(B7317="""","""",RIGHT(REGEXREPLACE(B7317&amp;"""",""[^0-9]"",""""),9))"),"717784768")</f>
        <v>717784768</v>
      </c>
      <c r="B7317" s="52">
        <v>7.17784768E8</v>
      </c>
      <c r="C7317" s="28" t="s">
        <v>7584</v>
      </c>
      <c r="D7317" s="26" t="s">
        <v>49</v>
      </c>
      <c r="E7317" s="31">
        <v>46244.0</v>
      </c>
      <c r="F7317" s="26" t="s">
        <v>46</v>
      </c>
      <c r="G7317" s="26">
        <v>9.0</v>
      </c>
      <c r="H7317" s="117" t="s">
        <v>7585</v>
      </c>
      <c r="I7317" s="26" t="s">
        <v>951</v>
      </c>
      <c r="J7317" s="25" t="str">
        <f t="shared" si="82"/>
        <v>No</v>
      </c>
      <c r="K7317" s="25" t="str">
        <f t="shared" si="83"/>
        <v/>
      </c>
      <c r="L7317" s="25" t="str">
        <f t="shared" si="84"/>
        <v/>
      </c>
      <c r="M7317" s="25"/>
      <c r="O7317" s="25"/>
    </row>
    <row r="7318" ht="15.75" customHeight="1">
      <c r="A7318" s="25" t="str">
        <f>IFERROR(__xludf.DUMMYFUNCTION("IF(B7318="""","""",RIGHT(REGEXREPLACE(B7318&amp;"""",""[^0-9]"",""""),9))"),"775621665")</f>
        <v>775621665</v>
      </c>
      <c r="B7318" s="52">
        <v>7.75621665E8</v>
      </c>
      <c r="C7318" s="28" t="s">
        <v>7586</v>
      </c>
      <c r="D7318" s="26" t="s">
        <v>64</v>
      </c>
      <c r="E7318" s="31">
        <v>46244.0</v>
      </c>
      <c r="F7318" s="26" t="s">
        <v>205</v>
      </c>
      <c r="I7318" s="26" t="s">
        <v>951</v>
      </c>
      <c r="J7318" s="25" t="str">
        <f t="shared" si="82"/>
        <v>No</v>
      </c>
      <c r="K7318" s="25" t="str">
        <f t="shared" si="83"/>
        <v/>
      </c>
      <c r="L7318" s="25" t="str">
        <f t="shared" si="84"/>
        <v/>
      </c>
      <c r="M7318" s="25"/>
      <c r="O7318" s="25"/>
    </row>
    <row r="7319" ht="15.75" customHeight="1">
      <c r="A7319" s="25" t="str">
        <f>IFERROR(__xludf.DUMMYFUNCTION("IF(B7319="""","""",RIGHT(REGEXREPLACE(B7319&amp;"""",""[^0-9]"",""""),9))"),"702685174")</f>
        <v>702685174</v>
      </c>
      <c r="B7319" s="52">
        <v>7.02685174E8</v>
      </c>
      <c r="C7319" s="28" t="s">
        <v>7587</v>
      </c>
      <c r="D7319" s="26" t="s">
        <v>64</v>
      </c>
      <c r="E7319" s="31">
        <v>46244.0</v>
      </c>
      <c r="F7319" s="26" t="s">
        <v>46</v>
      </c>
      <c r="G7319" s="26">
        <v>9.0</v>
      </c>
      <c r="I7319" s="26" t="s">
        <v>951</v>
      </c>
      <c r="J7319" s="25" t="str">
        <f t="shared" si="82"/>
        <v>No</v>
      </c>
      <c r="K7319" s="25" t="str">
        <f t="shared" si="83"/>
        <v/>
      </c>
      <c r="L7319" s="25" t="str">
        <f t="shared" si="84"/>
        <v/>
      </c>
      <c r="M7319" s="25"/>
      <c r="O7319" s="25"/>
    </row>
    <row r="7320" ht="15.75" customHeight="1">
      <c r="A7320" s="25" t="str">
        <f>IFERROR(__xludf.DUMMYFUNCTION("IF(B7320="""","""",RIGHT(REGEXREPLACE(B7320&amp;"""",""[^0-9]"",""""),9))"),"773792542")</f>
        <v>773792542</v>
      </c>
      <c r="B7320" s="52">
        <v>7.73792542E8</v>
      </c>
      <c r="C7320" s="28" t="s">
        <v>7588</v>
      </c>
      <c r="D7320" s="26" t="s">
        <v>56</v>
      </c>
      <c r="E7320" s="31">
        <v>46244.0</v>
      </c>
      <c r="F7320" s="26" t="s">
        <v>41</v>
      </c>
      <c r="G7320" s="26">
        <v>9.0</v>
      </c>
      <c r="I7320" s="26" t="s">
        <v>951</v>
      </c>
      <c r="J7320" s="25" t="str">
        <f t="shared" si="82"/>
        <v>No</v>
      </c>
      <c r="K7320" s="25" t="str">
        <f t="shared" si="83"/>
        <v/>
      </c>
      <c r="L7320" s="25" t="str">
        <f t="shared" si="84"/>
        <v/>
      </c>
      <c r="M7320" s="25"/>
      <c r="O7320" s="25"/>
    </row>
    <row r="7321" ht="15.75" customHeight="1">
      <c r="A7321" s="25" t="str">
        <f>IFERROR(__xludf.DUMMYFUNCTION("IF(B7321="""","""",RIGHT(REGEXREPLACE(B7321&amp;"""",""[^0-9]"",""""),9))"),"741757692")</f>
        <v>741757692</v>
      </c>
      <c r="B7321" s="52">
        <v>7.41757692E8</v>
      </c>
      <c r="C7321" s="28" t="s">
        <v>7589</v>
      </c>
      <c r="D7321" s="26" t="s">
        <v>49</v>
      </c>
      <c r="E7321" s="31">
        <v>46244.0</v>
      </c>
      <c r="F7321" s="26" t="s">
        <v>41</v>
      </c>
      <c r="G7321" s="26">
        <v>9.0</v>
      </c>
      <c r="I7321" s="26" t="s">
        <v>951</v>
      </c>
      <c r="J7321" s="25" t="str">
        <f t="shared" si="82"/>
        <v>No</v>
      </c>
      <c r="K7321" s="25" t="str">
        <f t="shared" si="83"/>
        <v/>
      </c>
      <c r="L7321" s="25" t="str">
        <f t="shared" si="84"/>
        <v/>
      </c>
      <c r="M7321" s="25"/>
      <c r="O7321" s="25"/>
    </row>
    <row r="7322" ht="15.75" customHeight="1">
      <c r="A7322" s="25" t="str">
        <f>IFERROR(__xludf.DUMMYFUNCTION("IF(B7322="""","""",RIGHT(REGEXREPLACE(B7322&amp;"""",""[^0-9]"",""""),9))"),"716660678")</f>
        <v>716660678</v>
      </c>
      <c r="B7322" s="52">
        <v>7.16660678E8</v>
      </c>
      <c r="C7322" s="28" t="s">
        <v>7590</v>
      </c>
      <c r="D7322" s="26" t="s">
        <v>82</v>
      </c>
      <c r="E7322" s="31">
        <v>46244.0</v>
      </c>
      <c r="F7322" s="26" t="s">
        <v>205</v>
      </c>
      <c r="I7322" s="26" t="s">
        <v>951</v>
      </c>
      <c r="J7322" s="25" t="str">
        <f t="shared" si="82"/>
        <v>No</v>
      </c>
      <c r="K7322" s="25" t="str">
        <f t="shared" si="83"/>
        <v/>
      </c>
      <c r="L7322" s="25" t="str">
        <f t="shared" si="84"/>
        <v/>
      </c>
      <c r="M7322" s="25"/>
      <c r="O7322" s="25"/>
    </row>
    <row r="7323" ht="15.75" customHeight="1">
      <c r="A7323" s="25" t="str">
        <f>IFERROR(__xludf.DUMMYFUNCTION("IF(B7323="""","""",RIGHT(REGEXREPLACE(B7323&amp;"""",""[^0-9]"",""""),9))"),"771418319")</f>
        <v>771418319</v>
      </c>
      <c r="B7323" s="52">
        <v>7.71418319E8</v>
      </c>
      <c r="C7323" s="28" t="s">
        <v>7591</v>
      </c>
      <c r="D7323" s="26" t="s">
        <v>82</v>
      </c>
      <c r="E7323" s="31">
        <v>46244.0</v>
      </c>
      <c r="F7323" s="26" t="s">
        <v>41</v>
      </c>
      <c r="I7323" s="26" t="s">
        <v>951</v>
      </c>
      <c r="J7323" s="25" t="str">
        <f t="shared" si="82"/>
        <v>No</v>
      </c>
      <c r="K7323" s="25" t="str">
        <f t="shared" si="83"/>
        <v/>
      </c>
      <c r="L7323" s="25" t="str">
        <f t="shared" si="84"/>
        <v/>
      </c>
      <c r="M7323" s="25"/>
      <c r="O7323" s="25"/>
    </row>
    <row r="7324" ht="15.75" customHeight="1">
      <c r="A7324" s="25" t="str">
        <f>IFERROR(__xludf.DUMMYFUNCTION("IF(B7324="""","""",RIGHT(REGEXREPLACE(B7324&amp;"""",""[^0-9]"",""""),9))"),"741843558")</f>
        <v>741843558</v>
      </c>
      <c r="B7324" s="52">
        <v>7.41843558E8</v>
      </c>
      <c r="C7324" s="28" t="s">
        <v>7592</v>
      </c>
      <c r="D7324" s="26" t="s">
        <v>56</v>
      </c>
      <c r="E7324" s="31">
        <v>46244.0</v>
      </c>
      <c r="F7324" s="26" t="s">
        <v>84</v>
      </c>
      <c r="G7324" s="26">
        <v>9.0</v>
      </c>
      <c r="H7324" s="26" t="s">
        <v>6015</v>
      </c>
      <c r="I7324" s="26" t="s">
        <v>951</v>
      </c>
      <c r="J7324" s="25" t="str">
        <f t="shared" si="82"/>
        <v>No</v>
      </c>
      <c r="K7324" s="25" t="str">
        <f t="shared" si="83"/>
        <v/>
      </c>
      <c r="L7324" s="25" t="str">
        <f t="shared" si="84"/>
        <v/>
      </c>
      <c r="M7324" s="25"/>
      <c r="O7324" s="25"/>
    </row>
    <row r="7325" ht="15.75" customHeight="1">
      <c r="A7325" s="25" t="str">
        <f>IFERROR(__xludf.DUMMYFUNCTION("IF(B7325="""","""",RIGHT(REGEXREPLACE(B7325&amp;"""",""[^0-9]"",""""),9))"),"773081695")</f>
        <v>773081695</v>
      </c>
      <c r="B7325" s="26">
        <v>7.73081695E8</v>
      </c>
      <c r="C7325" s="28" t="s">
        <v>7593</v>
      </c>
      <c r="D7325" s="26" t="s">
        <v>64</v>
      </c>
      <c r="E7325" s="31">
        <v>46244.0</v>
      </c>
      <c r="F7325" s="26" t="s">
        <v>46</v>
      </c>
      <c r="G7325" s="26">
        <v>9.0</v>
      </c>
      <c r="I7325" s="26" t="s">
        <v>951</v>
      </c>
      <c r="J7325" s="25" t="str">
        <f t="shared" si="82"/>
        <v>No</v>
      </c>
      <c r="K7325" s="25" t="str">
        <f t="shared" si="83"/>
        <v/>
      </c>
      <c r="L7325" s="25" t="str">
        <f t="shared" si="84"/>
        <v/>
      </c>
      <c r="M7325" s="25"/>
      <c r="O7325" s="26" t="s">
        <v>51</v>
      </c>
    </row>
    <row r="7326" ht="15.75" customHeight="1">
      <c r="A7326" s="25" t="str">
        <f>IFERROR(__xludf.DUMMYFUNCTION("IF(B7326="""","""",RIGHT(REGEXREPLACE(B7326&amp;"""",""[^0-9]"",""""),9))"),"767896231")</f>
        <v>767896231</v>
      </c>
      <c r="B7326" s="52">
        <v>7.67896231E8</v>
      </c>
      <c r="C7326" s="28" t="s">
        <v>7594</v>
      </c>
      <c r="D7326" s="26" t="s">
        <v>82</v>
      </c>
      <c r="E7326" s="31">
        <v>46244.0</v>
      </c>
      <c r="F7326" s="26" t="s">
        <v>46</v>
      </c>
      <c r="G7326" s="26">
        <v>9.0</v>
      </c>
      <c r="I7326" s="26" t="s">
        <v>951</v>
      </c>
      <c r="J7326" s="25" t="str">
        <f t="shared" si="82"/>
        <v>No</v>
      </c>
      <c r="K7326" s="25" t="str">
        <f t="shared" si="83"/>
        <v/>
      </c>
      <c r="L7326" s="25" t="str">
        <f t="shared" si="84"/>
        <v/>
      </c>
      <c r="M7326" s="25"/>
      <c r="O7326" s="26" t="s">
        <v>51</v>
      </c>
    </row>
    <row r="7327" ht="15.75" customHeight="1">
      <c r="A7327" s="25" t="str">
        <f>IFERROR(__xludf.DUMMYFUNCTION("IF(B7327="""","""",RIGHT(REGEXREPLACE(B7327&amp;"""",""[^0-9]"",""""),9))"),"770692003")</f>
        <v>770692003</v>
      </c>
      <c r="B7327" s="52">
        <v>7.70692003E8</v>
      </c>
      <c r="C7327" s="28" t="s">
        <v>7595</v>
      </c>
      <c r="D7327" s="26" t="s">
        <v>49</v>
      </c>
      <c r="E7327" s="31">
        <v>46244.0</v>
      </c>
      <c r="F7327" s="26" t="s">
        <v>46</v>
      </c>
      <c r="G7327" s="26">
        <v>10.0</v>
      </c>
      <c r="H7327" s="26" t="s">
        <v>5896</v>
      </c>
      <c r="I7327" s="26" t="s">
        <v>951</v>
      </c>
      <c r="J7327" s="25" t="str">
        <f t="shared" si="82"/>
        <v>No</v>
      </c>
      <c r="K7327" s="25" t="str">
        <f t="shared" si="83"/>
        <v/>
      </c>
      <c r="L7327" s="25" t="str">
        <f t="shared" si="84"/>
        <v/>
      </c>
      <c r="M7327" s="25"/>
      <c r="O7327" s="25"/>
    </row>
    <row r="7328" ht="15.75" customHeight="1">
      <c r="A7328" s="25" t="str">
        <f>IFERROR(__xludf.DUMMYFUNCTION("IF(B7328="""","""",RIGHT(REGEXREPLACE(B7328&amp;"""",""[^0-9]"",""""),9))"),"764877690")</f>
        <v>764877690</v>
      </c>
      <c r="B7328" s="52">
        <v>7.6487769E8</v>
      </c>
      <c r="C7328" s="28" t="s">
        <v>7596</v>
      </c>
      <c r="D7328" s="26" t="s">
        <v>56</v>
      </c>
      <c r="E7328" s="31">
        <v>46244.0</v>
      </c>
      <c r="F7328" s="26" t="s">
        <v>41</v>
      </c>
      <c r="G7328" s="26">
        <v>9.0</v>
      </c>
      <c r="I7328" s="26" t="s">
        <v>951</v>
      </c>
      <c r="J7328" s="25" t="str">
        <f t="shared" si="82"/>
        <v>No</v>
      </c>
      <c r="K7328" s="25" t="str">
        <f t="shared" si="83"/>
        <v/>
      </c>
      <c r="L7328" s="25" t="str">
        <f t="shared" si="84"/>
        <v/>
      </c>
      <c r="M7328" s="25"/>
      <c r="O7328" s="26" t="s">
        <v>51</v>
      </c>
    </row>
    <row r="7329" ht="15.75" customHeight="1">
      <c r="A7329" s="25" t="str">
        <f>IFERROR(__xludf.DUMMYFUNCTION("IF(B7329="""","""",RIGHT(REGEXREPLACE(B7329&amp;"""",""[^0-9]"",""""),9))"),"786152059")</f>
        <v>786152059</v>
      </c>
      <c r="B7329" s="52">
        <v>7.86152059E8</v>
      </c>
      <c r="C7329" s="28" t="s">
        <v>7597</v>
      </c>
      <c r="D7329" s="26" t="s">
        <v>64</v>
      </c>
      <c r="E7329" s="31">
        <v>46244.0</v>
      </c>
      <c r="F7329" s="26" t="s">
        <v>46</v>
      </c>
      <c r="G7329" s="26">
        <v>10.0</v>
      </c>
      <c r="I7329" s="26" t="s">
        <v>951</v>
      </c>
      <c r="J7329" s="25" t="str">
        <f t="shared" si="82"/>
        <v>No</v>
      </c>
      <c r="K7329" s="25" t="str">
        <f t="shared" si="83"/>
        <v/>
      </c>
      <c r="L7329" s="25" t="str">
        <f t="shared" si="84"/>
        <v/>
      </c>
      <c r="M7329" s="25"/>
      <c r="O7329" s="25"/>
    </row>
    <row r="7330" ht="15.75" customHeight="1">
      <c r="A7330" s="25" t="str">
        <f>IFERROR(__xludf.DUMMYFUNCTION("IF(B7330="""","""",RIGHT(REGEXREPLACE(B7330&amp;"""",""[^0-9]"",""""),9))"),"764712266")</f>
        <v>764712266</v>
      </c>
      <c r="B7330" s="52">
        <v>7.64712266E8</v>
      </c>
      <c r="C7330" s="28" t="s">
        <v>7598</v>
      </c>
      <c r="D7330" s="26" t="s">
        <v>82</v>
      </c>
      <c r="E7330" s="31">
        <v>46244.0</v>
      </c>
      <c r="F7330" s="26" t="s">
        <v>46</v>
      </c>
      <c r="G7330" s="26">
        <v>9.0</v>
      </c>
      <c r="H7330" s="26" t="s">
        <v>7599</v>
      </c>
      <c r="I7330" s="26" t="s">
        <v>951</v>
      </c>
      <c r="J7330" s="25" t="str">
        <f t="shared" si="82"/>
        <v>No</v>
      </c>
      <c r="K7330" s="25" t="str">
        <f t="shared" si="83"/>
        <v/>
      </c>
      <c r="L7330" s="25" t="str">
        <f t="shared" si="84"/>
        <v/>
      </c>
      <c r="M7330" s="25"/>
      <c r="O7330" s="25"/>
    </row>
    <row r="7331" ht="15.75" customHeight="1">
      <c r="A7331" s="25" t="str">
        <f>IFERROR(__xludf.DUMMYFUNCTION("IF(B7331="""","""",RIGHT(REGEXREPLACE(B7331&amp;"""",""[^0-9]"",""""),9))"),"775319879")</f>
        <v>775319879</v>
      </c>
      <c r="B7331" s="52">
        <v>7.75319879E8</v>
      </c>
      <c r="C7331" s="28" t="s">
        <v>1495</v>
      </c>
      <c r="D7331" s="26" t="s">
        <v>45</v>
      </c>
      <c r="E7331" s="31">
        <v>46244.0</v>
      </c>
      <c r="F7331" s="26" t="s">
        <v>41</v>
      </c>
      <c r="I7331" s="26" t="s">
        <v>951</v>
      </c>
      <c r="J7331" s="25" t="str">
        <f t="shared" si="82"/>
        <v>Yes - see Previous F-Code</v>
      </c>
      <c r="K7331" s="25" t="str">
        <f t="shared" si="83"/>
        <v/>
      </c>
      <c r="L7331" s="25" t="str">
        <f t="shared" si="84"/>
        <v>F71219</v>
      </c>
      <c r="M7331" s="25"/>
      <c r="O7331" s="25"/>
    </row>
    <row r="7332" ht="15.75" customHeight="1">
      <c r="A7332" s="25" t="str">
        <f>IFERROR(__xludf.DUMMYFUNCTION("IF(B7332="""","""",RIGHT(REGEXREPLACE(B7332&amp;"""",""[^0-9]"",""""),9))"),"714924339")</f>
        <v>714924339</v>
      </c>
      <c r="B7332" s="52">
        <v>7.14924339E8</v>
      </c>
      <c r="C7332" s="28" t="s">
        <v>7600</v>
      </c>
      <c r="D7332" s="26" t="s">
        <v>56</v>
      </c>
      <c r="E7332" s="31">
        <v>46244.0</v>
      </c>
      <c r="F7332" s="26" t="s">
        <v>41</v>
      </c>
      <c r="G7332" s="26">
        <v>7.0</v>
      </c>
      <c r="I7332" s="26" t="s">
        <v>951</v>
      </c>
      <c r="J7332" s="25" t="str">
        <f t="shared" si="82"/>
        <v>No</v>
      </c>
      <c r="K7332" s="25" t="str">
        <f t="shared" si="83"/>
        <v/>
      </c>
      <c r="L7332" s="25" t="str">
        <f t="shared" si="84"/>
        <v/>
      </c>
      <c r="M7332" s="25"/>
      <c r="O7332" s="25"/>
    </row>
    <row r="7333" ht="15.75" customHeight="1">
      <c r="A7333" s="25" t="str">
        <f>IFERROR(__xludf.DUMMYFUNCTION("IF(B7333="""","""",RIGHT(REGEXREPLACE(B7333&amp;"""",""[^0-9]"",""""),9))"),"763056361")</f>
        <v>763056361</v>
      </c>
      <c r="B7333" s="52">
        <v>7.63056361E8</v>
      </c>
      <c r="C7333" s="28" t="s">
        <v>7601</v>
      </c>
      <c r="D7333" s="26" t="s">
        <v>49</v>
      </c>
      <c r="E7333" s="31">
        <v>46244.0</v>
      </c>
      <c r="F7333" s="26" t="s">
        <v>164</v>
      </c>
      <c r="I7333" s="26" t="s">
        <v>951</v>
      </c>
      <c r="J7333" s="25" t="str">
        <f t="shared" si="82"/>
        <v>No</v>
      </c>
      <c r="K7333" s="25" t="str">
        <f t="shared" si="83"/>
        <v/>
      </c>
      <c r="L7333" s="25" t="str">
        <f t="shared" si="84"/>
        <v/>
      </c>
      <c r="M7333" s="25"/>
      <c r="O7333" s="25"/>
    </row>
    <row r="7334" ht="15.75" customHeight="1">
      <c r="A7334" s="25" t="str">
        <f>IFERROR(__xludf.DUMMYFUNCTION("IF(B7334="""","""",RIGHT(REGEXREPLACE(B7334&amp;"""",""[^0-9]"",""""),9))"),"723464147")</f>
        <v>723464147</v>
      </c>
      <c r="B7334" s="52">
        <v>7.23464147E8</v>
      </c>
      <c r="C7334" s="28" t="s">
        <v>7602</v>
      </c>
      <c r="D7334" s="26" t="s">
        <v>82</v>
      </c>
      <c r="E7334" s="31">
        <v>46244.0</v>
      </c>
      <c r="F7334" s="26" t="s">
        <v>46</v>
      </c>
      <c r="G7334" s="26">
        <v>9.0</v>
      </c>
      <c r="I7334" s="26" t="s">
        <v>951</v>
      </c>
      <c r="J7334" s="25" t="str">
        <f t="shared" si="82"/>
        <v>No</v>
      </c>
      <c r="K7334" s="25" t="str">
        <f t="shared" si="83"/>
        <v/>
      </c>
      <c r="L7334" s="25" t="str">
        <f t="shared" si="84"/>
        <v/>
      </c>
      <c r="M7334" s="25"/>
      <c r="O7334" s="25"/>
    </row>
    <row r="7335" ht="15.75" customHeight="1">
      <c r="A7335" s="25" t="str">
        <f>IFERROR(__xludf.DUMMYFUNCTION("IF(B7335="""","""",RIGHT(REGEXREPLACE(B7335&amp;"""",""[^0-9]"",""""),9))"),"741112808")</f>
        <v>741112808</v>
      </c>
      <c r="B7335" s="52">
        <v>7.41112808E8</v>
      </c>
      <c r="C7335" s="28" t="s">
        <v>7603</v>
      </c>
      <c r="D7335" s="26" t="s">
        <v>49</v>
      </c>
      <c r="E7335" s="31">
        <v>46244.0</v>
      </c>
      <c r="F7335" s="26" t="s">
        <v>46</v>
      </c>
      <c r="G7335" s="26">
        <v>9.0</v>
      </c>
      <c r="H7335" s="26" t="s">
        <v>7604</v>
      </c>
      <c r="I7335" s="26" t="s">
        <v>951</v>
      </c>
      <c r="J7335" s="25" t="str">
        <f t="shared" si="82"/>
        <v>No</v>
      </c>
      <c r="K7335" s="25" t="str">
        <f t="shared" si="83"/>
        <v/>
      </c>
      <c r="L7335" s="25" t="str">
        <f t="shared" si="84"/>
        <v/>
      </c>
      <c r="M7335" s="25"/>
      <c r="O7335" s="25"/>
    </row>
    <row r="7336" ht="15.75" customHeight="1">
      <c r="A7336" s="25" t="str">
        <f>IFERROR(__xludf.DUMMYFUNCTION("IF(B7336="""","""",RIGHT(REGEXREPLACE(B7336&amp;"""",""[^0-9]"",""""),9))"),"761889124")</f>
        <v>761889124</v>
      </c>
      <c r="B7336" s="52">
        <v>7.61889124E8</v>
      </c>
      <c r="C7336" s="28" t="s">
        <v>7605</v>
      </c>
      <c r="D7336" s="26" t="s">
        <v>64</v>
      </c>
      <c r="E7336" s="31">
        <v>46244.0</v>
      </c>
      <c r="F7336" s="26" t="s">
        <v>46</v>
      </c>
      <c r="G7336" s="26">
        <v>10.0</v>
      </c>
      <c r="I7336" s="26" t="s">
        <v>951</v>
      </c>
      <c r="J7336" s="25" t="str">
        <f t="shared" si="82"/>
        <v>No</v>
      </c>
      <c r="K7336" s="25" t="str">
        <f t="shared" si="83"/>
        <v/>
      </c>
      <c r="L7336" s="25" t="str">
        <f t="shared" si="84"/>
        <v/>
      </c>
      <c r="M7336" s="25"/>
      <c r="O7336" s="25"/>
    </row>
    <row r="7337" ht="15.75" customHeight="1">
      <c r="A7337" s="25" t="str">
        <f>IFERROR(__xludf.DUMMYFUNCTION("IF(B7337="""","""",RIGHT(REGEXREPLACE(B7337&amp;"""",""[^0-9]"",""""),9))"),"703739288")</f>
        <v>703739288</v>
      </c>
      <c r="B7337" s="52">
        <v>7.03739288E8</v>
      </c>
      <c r="C7337" s="28" t="s">
        <v>7606</v>
      </c>
      <c r="D7337" s="26" t="s">
        <v>56</v>
      </c>
      <c r="E7337" s="31">
        <v>46244.0</v>
      </c>
      <c r="F7337" s="26" t="s">
        <v>46</v>
      </c>
      <c r="G7337" s="26">
        <v>10.0</v>
      </c>
      <c r="I7337" s="26" t="s">
        <v>951</v>
      </c>
      <c r="J7337" s="25" t="str">
        <f t="shared" si="82"/>
        <v>No</v>
      </c>
      <c r="K7337" s="25" t="str">
        <f t="shared" si="83"/>
        <v/>
      </c>
      <c r="L7337" s="25" t="str">
        <f t="shared" si="84"/>
        <v/>
      </c>
      <c r="M7337" s="25"/>
      <c r="O7337" s="25"/>
    </row>
    <row r="7338" ht="15.75" customHeight="1">
      <c r="A7338" s="25" t="str">
        <f>IFERROR(__xludf.DUMMYFUNCTION("IF(B7338="""","""",RIGHT(REGEXREPLACE(B7338&amp;"""",""[^0-9]"",""""),9))"),"769602168")</f>
        <v>769602168</v>
      </c>
      <c r="B7338" s="52">
        <v>7.69602168E8</v>
      </c>
      <c r="C7338" s="28" t="s">
        <v>7607</v>
      </c>
      <c r="D7338" s="26" t="s">
        <v>82</v>
      </c>
      <c r="E7338" s="31">
        <v>46244.0</v>
      </c>
      <c r="F7338" s="26" t="s">
        <v>46</v>
      </c>
      <c r="G7338" s="26">
        <v>9.0</v>
      </c>
      <c r="I7338" s="26" t="s">
        <v>951</v>
      </c>
      <c r="J7338" s="25" t="str">
        <f t="shared" si="82"/>
        <v>No</v>
      </c>
      <c r="K7338" s="25" t="str">
        <f t="shared" si="83"/>
        <v/>
      </c>
      <c r="L7338" s="25" t="str">
        <f t="shared" si="84"/>
        <v/>
      </c>
      <c r="M7338" s="25"/>
      <c r="O7338" s="25"/>
    </row>
    <row r="7339" ht="15.75" customHeight="1">
      <c r="A7339" s="25" t="str">
        <f>IFERROR(__xludf.DUMMYFUNCTION("IF(B7339="""","""",RIGHT(REGEXREPLACE(B7339&amp;"""",""[^0-9]"",""""),9))"),"753999135")</f>
        <v>753999135</v>
      </c>
      <c r="B7339" s="52">
        <v>7.53999135E8</v>
      </c>
      <c r="C7339" s="28" t="s">
        <v>7608</v>
      </c>
      <c r="D7339" s="26" t="s">
        <v>45</v>
      </c>
      <c r="E7339" s="31">
        <v>46244.0</v>
      </c>
      <c r="F7339" s="26" t="s">
        <v>205</v>
      </c>
      <c r="I7339" s="26" t="s">
        <v>951</v>
      </c>
      <c r="J7339" s="25" t="str">
        <f t="shared" si="82"/>
        <v>No</v>
      </c>
      <c r="K7339" s="25" t="str">
        <f t="shared" si="83"/>
        <v/>
      </c>
      <c r="L7339" s="25" t="str">
        <f t="shared" si="84"/>
        <v/>
      </c>
      <c r="M7339" s="25"/>
      <c r="O7339" s="25"/>
    </row>
    <row r="7340" ht="15.75" customHeight="1">
      <c r="A7340" s="25" t="str">
        <f>IFERROR(__xludf.DUMMYFUNCTION("IF(B7340="""","""",RIGHT(REGEXREPLACE(B7340&amp;"""",""[^0-9]"",""""),9))"),"710519159")</f>
        <v>710519159</v>
      </c>
      <c r="B7340" s="52">
        <v>7.10519159E8</v>
      </c>
      <c r="C7340" s="28" t="s">
        <v>7609</v>
      </c>
      <c r="D7340" s="26" t="s">
        <v>64</v>
      </c>
      <c r="E7340" s="31">
        <v>46244.0</v>
      </c>
      <c r="F7340" s="26" t="s">
        <v>46</v>
      </c>
      <c r="G7340" s="26">
        <v>9.0</v>
      </c>
      <c r="I7340" s="26" t="s">
        <v>951</v>
      </c>
      <c r="J7340" s="25" t="str">
        <f t="shared" si="82"/>
        <v>No</v>
      </c>
      <c r="K7340" s="25" t="str">
        <f t="shared" si="83"/>
        <v/>
      </c>
      <c r="L7340" s="25" t="str">
        <f t="shared" si="84"/>
        <v/>
      </c>
      <c r="M7340" s="25"/>
      <c r="O7340" s="25"/>
    </row>
    <row r="7341" ht="15.75" customHeight="1">
      <c r="A7341" s="25" t="str">
        <f>IFERROR(__xludf.DUMMYFUNCTION("IF(B7341="""","""",RIGHT(REGEXREPLACE(B7341&amp;"""",""[^0-9]"",""""),9))"),"766554168")</f>
        <v>766554168</v>
      </c>
      <c r="B7341" s="52">
        <v>7.66554168E8</v>
      </c>
      <c r="C7341" s="28" t="s">
        <v>7610</v>
      </c>
      <c r="D7341" s="26" t="s">
        <v>49</v>
      </c>
      <c r="E7341" s="31">
        <v>46244.0</v>
      </c>
      <c r="F7341" s="26" t="s">
        <v>46</v>
      </c>
      <c r="G7341" s="26">
        <v>9.0</v>
      </c>
      <c r="I7341" s="26" t="s">
        <v>951</v>
      </c>
      <c r="J7341" s="25" t="str">
        <f t="shared" si="82"/>
        <v>No</v>
      </c>
      <c r="K7341" s="25" t="str">
        <f t="shared" si="83"/>
        <v/>
      </c>
      <c r="L7341" s="25" t="str">
        <f t="shared" si="84"/>
        <v/>
      </c>
      <c r="M7341" s="25"/>
      <c r="O7341" s="26" t="s">
        <v>51</v>
      </c>
    </row>
    <row r="7342" ht="15.75" customHeight="1">
      <c r="A7342" s="25" t="str">
        <f>IFERROR(__xludf.DUMMYFUNCTION("IF(B7342="""","""",RIGHT(REGEXREPLACE(B7342&amp;"""",""[^0-9]"",""""),9))"),"763590229")</f>
        <v>763590229</v>
      </c>
      <c r="B7342" s="52">
        <v>7.63590229E8</v>
      </c>
      <c r="C7342" s="28" t="s">
        <v>7611</v>
      </c>
      <c r="D7342" s="26" t="s">
        <v>45</v>
      </c>
      <c r="E7342" s="31">
        <v>46244.0</v>
      </c>
      <c r="F7342" s="26" t="s">
        <v>46</v>
      </c>
      <c r="H7342" s="26" t="s">
        <v>7612</v>
      </c>
      <c r="I7342" s="26" t="s">
        <v>951</v>
      </c>
      <c r="J7342" s="25" t="str">
        <f t="shared" si="82"/>
        <v>No</v>
      </c>
      <c r="K7342" s="25" t="str">
        <f t="shared" si="83"/>
        <v/>
      </c>
      <c r="L7342" s="25" t="str">
        <f t="shared" si="84"/>
        <v/>
      </c>
      <c r="M7342" s="25"/>
      <c r="O7342" s="25"/>
    </row>
    <row r="7343" ht="15.75" customHeight="1">
      <c r="A7343" s="25" t="str">
        <f>IFERROR(__xludf.DUMMYFUNCTION("IF(B7343="""","""",RIGHT(REGEXREPLACE(B7343&amp;"""",""[^0-9]"",""""),9))"),"775942840")</f>
        <v>775942840</v>
      </c>
      <c r="B7343" s="52">
        <v>7.7594284E8</v>
      </c>
      <c r="C7343" s="28" t="s">
        <v>7613</v>
      </c>
      <c r="D7343" s="26" t="s">
        <v>56</v>
      </c>
      <c r="E7343" s="31">
        <v>46244.0</v>
      </c>
      <c r="F7343" s="26" t="s">
        <v>46</v>
      </c>
      <c r="G7343" s="26">
        <v>10.0</v>
      </c>
      <c r="I7343" s="26" t="s">
        <v>951</v>
      </c>
      <c r="J7343" s="25" t="str">
        <f t="shared" si="82"/>
        <v>No</v>
      </c>
      <c r="K7343" s="25" t="str">
        <f t="shared" si="83"/>
        <v/>
      </c>
      <c r="L7343" s="25" t="str">
        <f t="shared" si="84"/>
        <v/>
      </c>
      <c r="M7343" s="25"/>
      <c r="O7343" s="25"/>
    </row>
    <row r="7344" ht="15.75" customHeight="1">
      <c r="A7344" s="25" t="str">
        <f>IFERROR(__xludf.DUMMYFUNCTION("IF(B7344="""","""",RIGHT(REGEXREPLACE(B7344&amp;"""",""[^0-9]"",""""),9))"),"702138240")</f>
        <v>702138240</v>
      </c>
      <c r="B7344" s="52">
        <v>7.0213824E8</v>
      </c>
      <c r="C7344" s="28" t="s">
        <v>7614</v>
      </c>
      <c r="D7344" s="26" t="s">
        <v>64</v>
      </c>
      <c r="E7344" s="31">
        <v>46244.0</v>
      </c>
      <c r="F7344" s="26" t="s">
        <v>46</v>
      </c>
      <c r="G7344" s="26">
        <v>9.0</v>
      </c>
      <c r="I7344" s="26" t="s">
        <v>951</v>
      </c>
      <c r="J7344" s="25" t="str">
        <f t="shared" si="82"/>
        <v>No</v>
      </c>
      <c r="K7344" s="25" t="str">
        <f t="shared" si="83"/>
        <v/>
      </c>
      <c r="L7344" s="25" t="str">
        <f t="shared" si="84"/>
        <v/>
      </c>
      <c r="M7344" s="25"/>
      <c r="O7344" s="25"/>
    </row>
    <row r="7345" ht="15.75" customHeight="1">
      <c r="A7345" s="25" t="str">
        <f>IFERROR(__xludf.DUMMYFUNCTION("IF(B7345="""","""",RIGHT(REGEXREPLACE(B7345&amp;"""",""[^0-9]"",""""),9))"),"723827391")</f>
        <v>723827391</v>
      </c>
      <c r="B7345" s="52">
        <v>7.23827391E8</v>
      </c>
      <c r="C7345" s="28" t="s">
        <v>7615</v>
      </c>
      <c r="D7345" s="26" t="s">
        <v>82</v>
      </c>
      <c r="E7345" s="31">
        <v>46244.0</v>
      </c>
      <c r="F7345" s="26" t="s">
        <v>41</v>
      </c>
      <c r="G7345" s="26">
        <v>8.0</v>
      </c>
      <c r="I7345" s="26" t="s">
        <v>951</v>
      </c>
      <c r="J7345" s="25" t="str">
        <f t="shared" si="82"/>
        <v>No</v>
      </c>
      <c r="K7345" s="25" t="str">
        <f t="shared" si="83"/>
        <v/>
      </c>
      <c r="L7345" s="25" t="str">
        <f t="shared" si="84"/>
        <v/>
      </c>
      <c r="M7345" s="25"/>
      <c r="O7345" s="25"/>
    </row>
    <row r="7346" ht="15.75" customHeight="1">
      <c r="A7346" s="25" t="str">
        <f>IFERROR(__xludf.DUMMYFUNCTION("IF(B7346="""","""",RIGHT(REGEXREPLACE(B7346&amp;"""",""[^0-9]"",""""),9))"),"771548247")</f>
        <v>771548247</v>
      </c>
      <c r="B7346" s="52">
        <v>7.71548247E8</v>
      </c>
      <c r="C7346" s="28" t="s">
        <v>7616</v>
      </c>
      <c r="D7346" s="26" t="s">
        <v>49</v>
      </c>
      <c r="E7346" s="31">
        <v>46244.0</v>
      </c>
      <c r="F7346" s="26" t="s">
        <v>46</v>
      </c>
      <c r="G7346" s="26">
        <v>11.0</v>
      </c>
      <c r="H7346" s="118" t="s">
        <v>7617</v>
      </c>
      <c r="I7346" s="26" t="s">
        <v>951</v>
      </c>
      <c r="J7346" s="25" t="str">
        <f t="shared" si="82"/>
        <v>No</v>
      </c>
      <c r="K7346" s="25" t="str">
        <f t="shared" si="83"/>
        <v/>
      </c>
      <c r="L7346" s="25" t="str">
        <f t="shared" si="84"/>
        <v/>
      </c>
      <c r="M7346" s="25"/>
      <c r="O7346" s="25"/>
    </row>
    <row r="7347" ht="15.75" customHeight="1">
      <c r="A7347" s="25" t="str">
        <f>IFERROR(__xludf.DUMMYFUNCTION("IF(B7347="""","""",RIGHT(REGEXREPLACE(B7347&amp;"""",""[^0-9]"",""""),9))"),"775511782")</f>
        <v>775511782</v>
      </c>
      <c r="B7347" s="52">
        <v>7.75511782E8</v>
      </c>
      <c r="C7347" s="28" t="s">
        <v>7618</v>
      </c>
      <c r="D7347" s="26" t="s">
        <v>64</v>
      </c>
      <c r="E7347" s="31">
        <v>46244.0</v>
      </c>
      <c r="F7347" s="26" t="s">
        <v>41</v>
      </c>
      <c r="I7347" s="26" t="s">
        <v>951</v>
      </c>
      <c r="J7347" s="25" t="str">
        <f t="shared" si="82"/>
        <v>No</v>
      </c>
      <c r="K7347" s="25" t="str">
        <f t="shared" si="83"/>
        <v/>
      </c>
      <c r="L7347" s="25" t="str">
        <f t="shared" si="84"/>
        <v/>
      </c>
      <c r="M7347" s="25"/>
      <c r="O7347" s="25"/>
    </row>
    <row r="7348" ht="15.75" customHeight="1">
      <c r="A7348" s="25" t="str">
        <f>IFERROR(__xludf.DUMMYFUNCTION("IF(B7348="""","""",RIGHT(REGEXREPLACE(B7348&amp;"""",""[^0-9]"",""""),9))"),"704815717")</f>
        <v>704815717</v>
      </c>
      <c r="B7348" s="52">
        <v>7.04815717E8</v>
      </c>
      <c r="C7348" s="28" t="s">
        <v>7619</v>
      </c>
      <c r="D7348" s="26" t="s">
        <v>45</v>
      </c>
      <c r="E7348" s="31">
        <v>46244.0</v>
      </c>
      <c r="F7348" s="26" t="s">
        <v>46</v>
      </c>
      <c r="G7348" s="26">
        <v>9.0</v>
      </c>
      <c r="I7348" s="26" t="s">
        <v>951</v>
      </c>
      <c r="J7348" s="25" t="str">
        <f t="shared" si="82"/>
        <v>No</v>
      </c>
      <c r="K7348" s="25" t="str">
        <f t="shared" si="83"/>
        <v/>
      </c>
      <c r="L7348" s="25" t="str">
        <f t="shared" si="84"/>
        <v/>
      </c>
      <c r="M7348" s="25"/>
      <c r="O7348" s="25"/>
    </row>
    <row r="7349" ht="15.75" customHeight="1">
      <c r="A7349" s="25" t="str">
        <f>IFERROR(__xludf.DUMMYFUNCTION("IF(B7349="""","""",RIGHT(REGEXREPLACE(B7349&amp;"""",""[^0-9]"",""""),9))"),"764015916")</f>
        <v>764015916</v>
      </c>
      <c r="B7349" s="52">
        <v>7.64015916E8</v>
      </c>
      <c r="C7349" s="28" t="s">
        <v>7348</v>
      </c>
      <c r="D7349" s="26" t="s">
        <v>56</v>
      </c>
      <c r="E7349" s="31">
        <v>46244.0</v>
      </c>
      <c r="F7349" s="26" t="s">
        <v>46</v>
      </c>
      <c r="G7349" s="26">
        <v>10.0</v>
      </c>
      <c r="I7349" s="26" t="s">
        <v>951</v>
      </c>
      <c r="J7349" s="25" t="str">
        <f t="shared" si="82"/>
        <v>Yes - see Previous F-Code</v>
      </c>
      <c r="K7349" s="25" t="str">
        <f t="shared" si="83"/>
        <v>DUPLICATE - CHECK</v>
      </c>
      <c r="L7349" s="25" t="str">
        <f t="shared" si="84"/>
        <v>F76284</v>
      </c>
      <c r="M7349" s="25"/>
      <c r="O7349" s="25"/>
    </row>
    <row r="7350" ht="15.75" customHeight="1">
      <c r="A7350" s="25" t="str">
        <f>IFERROR(__xludf.DUMMYFUNCTION("IF(B7350="""","""",RIGHT(REGEXREPLACE(B7350&amp;"""",""[^0-9]"",""""),9))"),"786772428")</f>
        <v>786772428</v>
      </c>
      <c r="B7350" s="52">
        <v>7.86772428E8</v>
      </c>
      <c r="C7350" s="28" t="s">
        <v>7620</v>
      </c>
      <c r="D7350" s="26" t="s">
        <v>56</v>
      </c>
      <c r="E7350" s="31">
        <v>46244.0</v>
      </c>
      <c r="F7350" s="26" t="s">
        <v>205</v>
      </c>
      <c r="I7350" s="26" t="s">
        <v>951</v>
      </c>
      <c r="J7350" s="25" t="str">
        <f t="shared" si="82"/>
        <v>No</v>
      </c>
      <c r="K7350" s="25" t="str">
        <f t="shared" si="83"/>
        <v/>
      </c>
      <c r="L7350" s="25" t="str">
        <f t="shared" si="84"/>
        <v/>
      </c>
      <c r="M7350" s="25"/>
      <c r="O7350" s="25"/>
    </row>
    <row r="7351" ht="15.75" customHeight="1">
      <c r="A7351" s="25" t="str">
        <f>IFERROR(__xludf.DUMMYFUNCTION("IF(B7351="""","""",RIGHT(REGEXREPLACE(B7351&amp;"""",""[^0-9]"",""""),9))"),"770848922")</f>
        <v>770848922</v>
      </c>
      <c r="B7351" s="52">
        <v>7.70848922E8</v>
      </c>
      <c r="C7351" s="28" t="s">
        <v>7621</v>
      </c>
      <c r="D7351" s="26" t="s">
        <v>82</v>
      </c>
      <c r="E7351" s="31">
        <v>46244.0</v>
      </c>
      <c r="F7351" s="26" t="s">
        <v>46</v>
      </c>
      <c r="H7351" s="26" t="s">
        <v>7622</v>
      </c>
      <c r="I7351" s="26" t="s">
        <v>951</v>
      </c>
      <c r="J7351" s="25" t="str">
        <f t="shared" si="82"/>
        <v>No</v>
      </c>
      <c r="K7351" s="25" t="str">
        <f t="shared" si="83"/>
        <v/>
      </c>
      <c r="L7351" s="25" t="str">
        <f t="shared" si="84"/>
        <v/>
      </c>
      <c r="M7351" s="25"/>
      <c r="O7351" s="25"/>
    </row>
    <row r="7352" ht="15.75" customHeight="1">
      <c r="A7352" s="25" t="str">
        <f>IFERROR(__xludf.DUMMYFUNCTION("IF(B7352="""","""",RIGHT(REGEXREPLACE(B7352&amp;"""",""[^0-9]"",""""),9))"),"718910069")</f>
        <v>718910069</v>
      </c>
      <c r="B7352" s="52">
        <v>7.18910069E8</v>
      </c>
      <c r="C7352" s="28" t="s">
        <v>7623</v>
      </c>
      <c r="D7352" s="26" t="s">
        <v>82</v>
      </c>
      <c r="E7352" s="31">
        <v>46244.0</v>
      </c>
      <c r="F7352" s="26" t="s">
        <v>659</v>
      </c>
      <c r="G7352" s="26">
        <v>11.0</v>
      </c>
      <c r="I7352" s="26" t="s">
        <v>951</v>
      </c>
      <c r="J7352" s="25" t="str">
        <f t="shared" si="82"/>
        <v>No</v>
      </c>
      <c r="K7352" s="25" t="str">
        <f t="shared" si="83"/>
        <v/>
      </c>
      <c r="L7352" s="25" t="str">
        <f t="shared" si="84"/>
        <v/>
      </c>
      <c r="M7352" s="25"/>
      <c r="O7352" s="25"/>
    </row>
    <row r="7353" ht="15.75" customHeight="1">
      <c r="A7353" s="25" t="str">
        <f>IFERROR(__xludf.DUMMYFUNCTION("IF(B7353="""","""",RIGHT(REGEXREPLACE(B7353&amp;"""",""[^0-9]"",""""),9))"),"775547559")</f>
        <v>775547559</v>
      </c>
      <c r="B7353" s="52">
        <v>7.75547559E8</v>
      </c>
      <c r="C7353" s="28" t="s">
        <v>7624</v>
      </c>
      <c r="D7353" s="26" t="s">
        <v>64</v>
      </c>
      <c r="E7353" s="31">
        <v>46244.0</v>
      </c>
      <c r="F7353" s="26" t="s">
        <v>46</v>
      </c>
      <c r="G7353" s="26">
        <v>7.0</v>
      </c>
      <c r="H7353" s="26" t="s">
        <v>78</v>
      </c>
      <c r="I7353" s="26" t="s">
        <v>951</v>
      </c>
      <c r="J7353" s="25" t="str">
        <f t="shared" si="82"/>
        <v>No</v>
      </c>
      <c r="K7353" s="25" t="str">
        <f t="shared" si="83"/>
        <v/>
      </c>
      <c r="L7353" s="25" t="str">
        <f t="shared" si="84"/>
        <v/>
      </c>
      <c r="M7353" s="25"/>
      <c r="O7353" s="25"/>
    </row>
    <row r="7354" ht="15.75" customHeight="1">
      <c r="A7354" s="25" t="str">
        <f>IFERROR(__xludf.DUMMYFUNCTION("IF(B7354="""","""",RIGHT(REGEXREPLACE(B7354&amp;"""",""[^0-9]"",""""),9))"),"703010323")</f>
        <v>703010323</v>
      </c>
      <c r="B7354" s="52">
        <v>7.03010323E8</v>
      </c>
      <c r="C7354" s="28" t="s">
        <v>7625</v>
      </c>
      <c r="D7354" s="26" t="s">
        <v>64</v>
      </c>
      <c r="E7354" s="31">
        <v>46244.0</v>
      </c>
      <c r="F7354" s="26" t="s">
        <v>41</v>
      </c>
      <c r="G7354" s="26">
        <v>9.0</v>
      </c>
      <c r="I7354" s="26" t="s">
        <v>951</v>
      </c>
      <c r="J7354" s="25" t="str">
        <f t="shared" si="82"/>
        <v>No</v>
      </c>
      <c r="K7354" s="25" t="str">
        <f t="shared" si="83"/>
        <v/>
      </c>
      <c r="L7354" s="25" t="str">
        <f t="shared" si="84"/>
        <v/>
      </c>
      <c r="M7354" s="25"/>
      <c r="O7354" s="25"/>
    </row>
    <row r="7355" ht="15.75" customHeight="1">
      <c r="A7355" s="25" t="str">
        <f>IFERROR(__xludf.DUMMYFUNCTION("IF(B7355="""","""",RIGHT(REGEXREPLACE(B7355&amp;"""",""[^0-9]"",""""),9))"),"766960307")</f>
        <v>766960307</v>
      </c>
      <c r="B7355" s="52">
        <v>7.66960307E8</v>
      </c>
      <c r="C7355" s="28" t="s">
        <v>7626</v>
      </c>
      <c r="D7355" s="26" t="s">
        <v>82</v>
      </c>
      <c r="E7355" s="31">
        <v>46244.0</v>
      </c>
      <c r="F7355" s="26" t="s">
        <v>125</v>
      </c>
      <c r="G7355" s="26">
        <v>9.0</v>
      </c>
      <c r="H7355" s="26" t="s">
        <v>5434</v>
      </c>
      <c r="I7355" s="26" t="s">
        <v>951</v>
      </c>
      <c r="J7355" s="25" t="str">
        <f t="shared" si="82"/>
        <v>No</v>
      </c>
      <c r="K7355" s="25" t="str">
        <f t="shared" si="83"/>
        <v/>
      </c>
      <c r="L7355" s="25" t="str">
        <f t="shared" si="84"/>
        <v/>
      </c>
      <c r="M7355" s="25"/>
      <c r="O7355" s="25"/>
    </row>
    <row r="7356" ht="15.75" customHeight="1">
      <c r="A7356" s="25" t="str">
        <f>IFERROR(__xludf.DUMMYFUNCTION("IF(B7356="""","""",RIGHT(REGEXREPLACE(B7356&amp;"""",""[^0-9]"",""""),9))"),"741216507")</f>
        <v>741216507</v>
      </c>
      <c r="B7356" s="52">
        <v>7.41216507E8</v>
      </c>
      <c r="C7356" s="28" t="s">
        <v>7627</v>
      </c>
      <c r="D7356" s="26" t="s">
        <v>49</v>
      </c>
      <c r="E7356" s="31">
        <v>46244.0</v>
      </c>
      <c r="F7356" s="26" t="s">
        <v>46</v>
      </c>
      <c r="G7356" s="26">
        <v>9.0</v>
      </c>
      <c r="I7356" s="26" t="s">
        <v>951</v>
      </c>
      <c r="J7356" s="25" t="str">
        <f t="shared" si="82"/>
        <v>No</v>
      </c>
      <c r="K7356" s="25" t="str">
        <f t="shared" si="83"/>
        <v/>
      </c>
      <c r="L7356" s="25" t="str">
        <f t="shared" si="84"/>
        <v/>
      </c>
      <c r="M7356" s="25"/>
      <c r="O7356" s="25"/>
    </row>
    <row r="7357" ht="15.75" customHeight="1">
      <c r="A7357" s="25" t="str">
        <f>IFERROR(__xludf.DUMMYFUNCTION("IF(B7357="""","""",RIGHT(REGEXREPLACE(B7357&amp;"""",""[^0-9]"",""""),9))"),"767636214")</f>
        <v>767636214</v>
      </c>
      <c r="B7357" s="52">
        <v>7.67636214E8</v>
      </c>
      <c r="C7357" s="28" t="s">
        <v>7628</v>
      </c>
      <c r="D7357" s="26" t="s">
        <v>56</v>
      </c>
      <c r="E7357" s="31">
        <v>46244.0</v>
      </c>
      <c r="F7357" s="26" t="s">
        <v>46</v>
      </c>
      <c r="G7357" s="26">
        <v>9.0</v>
      </c>
      <c r="I7357" s="26" t="s">
        <v>951</v>
      </c>
      <c r="J7357" s="25" t="str">
        <f t="shared" si="82"/>
        <v>No</v>
      </c>
      <c r="K7357" s="25" t="str">
        <f t="shared" si="83"/>
        <v/>
      </c>
      <c r="L7357" s="25" t="str">
        <f t="shared" si="84"/>
        <v/>
      </c>
      <c r="M7357" s="25"/>
      <c r="O7357" s="25"/>
    </row>
    <row r="7358" ht="15.75" customHeight="1">
      <c r="A7358" s="25" t="str">
        <f>IFERROR(__xludf.DUMMYFUNCTION("IF(B7358="""","""",RIGHT(REGEXREPLACE(B7358&amp;"""",""[^0-9]"",""""),9))"),"770695055")</f>
        <v>770695055</v>
      </c>
      <c r="B7358" s="52">
        <v>7.70695055E8</v>
      </c>
      <c r="C7358" s="28" t="s">
        <v>7629</v>
      </c>
      <c r="D7358" s="26" t="s">
        <v>45</v>
      </c>
      <c r="E7358" s="31">
        <v>46244.0</v>
      </c>
      <c r="F7358" s="26" t="s">
        <v>41</v>
      </c>
      <c r="I7358" s="26" t="s">
        <v>951</v>
      </c>
      <c r="J7358" s="25" t="str">
        <f t="shared" si="82"/>
        <v>No</v>
      </c>
      <c r="K7358" s="25" t="str">
        <f t="shared" si="83"/>
        <v/>
      </c>
      <c r="L7358" s="25" t="str">
        <f t="shared" si="84"/>
        <v/>
      </c>
      <c r="M7358" s="25"/>
      <c r="O7358" s="25"/>
    </row>
    <row r="7359" ht="15.75" customHeight="1">
      <c r="A7359" s="25" t="str">
        <f>IFERROR(__xludf.DUMMYFUNCTION("IF(B7359="""","""",RIGHT(REGEXREPLACE(B7359&amp;"""",""[^0-9]"",""""),9))"),"775692598")</f>
        <v>775692598</v>
      </c>
      <c r="B7359" s="52">
        <v>7.75692598E8</v>
      </c>
      <c r="C7359" s="28" t="s">
        <v>7630</v>
      </c>
      <c r="D7359" s="26" t="s">
        <v>64</v>
      </c>
      <c r="E7359" s="31">
        <v>46244.0</v>
      </c>
      <c r="F7359" s="26" t="s">
        <v>46</v>
      </c>
      <c r="G7359" s="26">
        <v>9.0</v>
      </c>
      <c r="I7359" s="26" t="s">
        <v>951</v>
      </c>
      <c r="J7359" s="25" t="str">
        <f t="shared" si="82"/>
        <v>No</v>
      </c>
      <c r="K7359" s="25" t="str">
        <f t="shared" si="83"/>
        <v/>
      </c>
      <c r="L7359" s="25" t="str">
        <f t="shared" si="84"/>
        <v/>
      </c>
      <c r="M7359" s="25"/>
      <c r="O7359" s="25"/>
    </row>
    <row r="7360" ht="15.75" customHeight="1">
      <c r="A7360" s="25" t="str">
        <f>IFERROR(__xludf.DUMMYFUNCTION("IF(B7360="""","""",RIGHT(REGEXREPLACE(B7360&amp;"""",""[^0-9]"",""""),9))"),"702155933")</f>
        <v>702155933</v>
      </c>
      <c r="B7360" s="52">
        <v>7.02155933E8</v>
      </c>
      <c r="C7360" s="28" t="s">
        <v>7631</v>
      </c>
      <c r="D7360" s="26" t="s">
        <v>82</v>
      </c>
      <c r="E7360" s="31">
        <v>46244.0</v>
      </c>
      <c r="F7360" s="26" t="s">
        <v>46</v>
      </c>
      <c r="G7360" s="26">
        <v>9.0</v>
      </c>
      <c r="I7360" s="26" t="s">
        <v>951</v>
      </c>
      <c r="J7360" s="25" t="str">
        <f t="shared" si="82"/>
        <v>No</v>
      </c>
      <c r="K7360" s="25" t="str">
        <f t="shared" si="83"/>
        <v/>
      </c>
      <c r="L7360" s="25" t="str">
        <f t="shared" si="84"/>
        <v/>
      </c>
      <c r="M7360" s="25"/>
      <c r="O7360" s="25"/>
    </row>
    <row r="7361" ht="15.75" customHeight="1">
      <c r="A7361" s="25" t="str">
        <f>IFERROR(__xludf.DUMMYFUNCTION("IF(B7361="""","""",RIGHT(REGEXREPLACE(B7361&amp;"""",""[^0-9]"",""""),9))"),"772976879")</f>
        <v>772976879</v>
      </c>
      <c r="B7361" s="52">
        <v>7.72976879E8</v>
      </c>
      <c r="C7361" s="28" t="s">
        <v>7632</v>
      </c>
      <c r="D7361" s="26" t="s">
        <v>45</v>
      </c>
      <c r="E7361" s="31">
        <v>46244.0</v>
      </c>
      <c r="F7361" s="26" t="s">
        <v>164</v>
      </c>
      <c r="I7361" s="26" t="s">
        <v>951</v>
      </c>
      <c r="J7361" s="25" t="str">
        <f t="shared" si="82"/>
        <v>No</v>
      </c>
      <c r="K7361" s="25" t="str">
        <f t="shared" si="83"/>
        <v/>
      </c>
      <c r="L7361" s="25" t="str">
        <f t="shared" si="84"/>
        <v/>
      </c>
      <c r="M7361" s="25"/>
      <c r="O7361" s="25"/>
    </row>
    <row r="7362" ht="15.75" customHeight="1">
      <c r="A7362" s="25" t="str">
        <f>IFERROR(__xludf.DUMMYFUNCTION("IF(B7362="""","""",RIGHT(REGEXREPLACE(B7362&amp;"""",""[^0-9]"",""""),9))"),"764445881")</f>
        <v>764445881</v>
      </c>
      <c r="B7362" s="52">
        <v>7.64445881E8</v>
      </c>
      <c r="C7362" s="28" t="s">
        <v>7633</v>
      </c>
      <c r="D7362" s="26" t="s">
        <v>45</v>
      </c>
      <c r="E7362" s="31">
        <v>46244.0</v>
      </c>
      <c r="F7362" s="26" t="s">
        <v>46</v>
      </c>
      <c r="G7362" s="26">
        <v>9.0</v>
      </c>
      <c r="I7362" s="26" t="s">
        <v>951</v>
      </c>
      <c r="J7362" s="25" t="str">
        <f t="shared" si="82"/>
        <v>No</v>
      </c>
      <c r="K7362" s="25" t="str">
        <f t="shared" si="83"/>
        <v/>
      </c>
      <c r="L7362" s="25" t="str">
        <f t="shared" si="84"/>
        <v/>
      </c>
      <c r="M7362" s="25"/>
      <c r="O7362" s="25"/>
    </row>
    <row r="7363" ht="15.75" customHeight="1">
      <c r="A7363" s="25" t="str">
        <f>IFERROR(__xludf.DUMMYFUNCTION("IF(B7363="""","""",RIGHT(REGEXREPLACE(B7363&amp;"""",""[^0-9]"",""""),9))"),"770052838")</f>
        <v>770052838</v>
      </c>
      <c r="B7363" s="52">
        <v>7.70052838E8</v>
      </c>
      <c r="C7363" s="28" t="s">
        <v>7634</v>
      </c>
      <c r="D7363" s="26" t="s">
        <v>56</v>
      </c>
      <c r="E7363" s="31">
        <v>46244.0</v>
      </c>
      <c r="F7363" s="26" t="s">
        <v>46</v>
      </c>
      <c r="G7363" s="26">
        <v>9.0</v>
      </c>
      <c r="I7363" s="26" t="s">
        <v>951</v>
      </c>
      <c r="J7363" s="25" t="str">
        <f t="shared" si="82"/>
        <v>No</v>
      </c>
      <c r="K7363" s="25" t="str">
        <f t="shared" si="83"/>
        <v/>
      </c>
      <c r="L7363" s="25" t="str">
        <f t="shared" si="84"/>
        <v/>
      </c>
      <c r="M7363" s="25"/>
      <c r="O7363" s="25"/>
    </row>
    <row r="7364" ht="15.75" customHeight="1">
      <c r="A7364" s="25" t="str">
        <f>IFERROR(__xludf.DUMMYFUNCTION("IF(B7364="""","""",RIGHT(REGEXREPLACE(B7364&amp;"""",""[^0-9]"",""""),9))"),"778227866")</f>
        <v>778227866</v>
      </c>
      <c r="B7364" s="52">
        <v>7.78227866E8</v>
      </c>
      <c r="C7364" s="28" t="s">
        <v>7635</v>
      </c>
      <c r="D7364" s="26" t="s">
        <v>49</v>
      </c>
      <c r="E7364" s="31">
        <v>46244.0</v>
      </c>
      <c r="F7364" s="26" t="s">
        <v>46</v>
      </c>
      <c r="G7364" s="26">
        <v>9.0</v>
      </c>
      <c r="I7364" s="26" t="s">
        <v>951</v>
      </c>
      <c r="J7364" s="25" t="str">
        <f t="shared" si="82"/>
        <v>No</v>
      </c>
      <c r="K7364" s="25" t="str">
        <f t="shared" si="83"/>
        <v/>
      </c>
      <c r="L7364" s="25" t="str">
        <f t="shared" si="84"/>
        <v/>
      </c>
      <c r="M7364" s="25"/>
      <c r="O7364" s="25"/>
    </row>
    <row r="7365" ht="15.75" customHeight="1">
      <c r="A7365" s="25" t="str">
        <f>IFERROR(__xludf.DUMMYFUNCTION("IF(B7365="""","""",RIGHT(REGEXREPLACE(B7365&amp;"""",""[^0-9]"",""""),9))"),"714579147")</f>
        <v>714579147</v>
      </c>
      <c r="B7365" s="52">
        <v>7.14579147E8</v>
      </c>
      <c r="C7365" s="28" t="s">
        <v>7636</v>
      </c>
      <c r="D7365" s="26" t="s">
        <v>45</v>
      </c>
      <c r="E7365" s="31">
        <v>46244.0</v>
      </c>
      <c r="F7365" s="26" t="s">
        <v>46</v>
      </c>
      <c r="G7365" s="26">
        <v>9.0</v>
      </c>
      <c r="I7365" s="26" t="s">
        <v>951</v>
      </c>
      <c r="J7365" s="25" t="str">
        <f t="shared" si="82"/>
        <v>No</v>
      </c>
      <c r="K7365" s="25" t="str">
        <f t="shared" si="83"/>
        <v/>
      </c>
      <c r="L7365" s="25" t="str">
        <f t="shared" si="84"/>
        <v/>
      </c>
      <c r="M7365" s="25"/>
      <c r="O7365" s="25"/>
    </row>
    <row r="7366" ht="15.75" customHeight="1">
      <c r="A7366" s="25" t="str">
        <f>IFERROR(__xludf.DUMMYFUNCTION("IF(B7366="""","""",RIGHT(REGEXREPLACE(B7366&amp;"""",""[^0-9]"",""""),9))"),"713288401")</f>
        <v>713288401</v>
      </c>
      <c r="B7366" s="52">
        <v>7.13288401E8</v>
      </c>
      <c r="C7366" s="28" t="s">
        <v>7637</v>
      </c>
      <c r="D7366" s="26" t="s">
        <v>45</v>
      </c>
      <c r="E7366" s="31">
        <v>46244.0</v>
      </c>
      <c r="F7366" s="26" t="s">
        <v>41</v>
      </c>
      <c r="G7366" s="26">
        <v>8.0</v>
      </c>
      <c r="I7366" s="26" t="s">
        <v>951</v>
      </c>
      <c r="J7366" s="25" t="str">
        <f t="shared" si="82"/>
        <v>No</v>
      </c>
      <c r="K7366" s="25" t="str">
        <f t="shared" si="83"/>
        <v/>
      </c>
      <c r="L7366" s="25" t="str">
        <f t="shared" si="84"/>
        <v/>
      </c>
      <c r="M7366" s="25"/>
      <c r="O7366" s="25"/>
    </row>
    <row r="7367" ht="15.75" customHeight="1">
      <c r="A7367" s="25" t="str">
        <f>IFERROR(__xludf.DUMMYFUNCTION("IF(B7367="""","""",RIGHT(REGEXREPLACE(B7367&amp;"""",""[^0-9]"",""""),9))"),"701390326")</f>
        <v>701390326</v>
      </c>
      <c r="B7367" s="52">
        <v>7.01390326E8</v>
      </c>
      <c r="C7367" s="28" t="s">
        <v>7638</v>
      </c>
      <c r="D7367" s="26" t="s">
        <v>82</v>
      </c>
      <c r="E7367" s="31">
        <v>46244.0</v>
      </c>
      <c r="F7367" s="26" t="s">
        <v>46</v>
      </c>
      <c r="G7367" s="26">
        <v>9.0</v>
      </c>
      <c r="I7367" s="26" t="s">
        <v>951</v>
      </c>
      <c r="J7367" s="25" t="str">
        <f t="shared" si="82"/>
        <v>No</v>
      </c>
      <c r="K7367" s="25" t="str">
        <f t="shared" si="83"/>
        <v/>
      </c>
      <c r="L7367" s="25" t="str">
        <f t="shared" si="84"/>
        <v/>
      </c>
      <c r="M7367" s="25"/>
      <c r="O7367" s="25"/>
    </row>
    <row r="7368" ht="15.75" customHeight="1">
      <c r="A7368" s="25" t="str">
        <f>IFERROR(__xludf.DUMMYFUNCTION("IF(B7368="""","""",RIGHT(REGEXREPLACE(B7368&amp;"""",""[^0-9]"",""""),9))"),"762477492")</f>
        <v>762477492</v>
      </c>
      <c r="B7368" s="52">
        <v>7.62477492E8</v>
      </c>
      <c r="C7368" s="28" t="s">
        <v>7639</v>
      </c>
      <c r="D7368" s="26" t="s">
        <v>64</v>
      </c>
      <c r="E7368" s="31">
        <v>46244.0</v>
      </c>
      <c r="F7368" s="26" t="s">
        <v>46</v>
      </c>
      <c r="G7368" s="26" t="s">
        <v>5091</v>
      </c>
      <c r="I7368" s="26" t="s">
        <v>951</v>
      </c>
      <c r="J7368" s="25" t="str">
        <f t="shared" si="82"/>
        <v>No</v>
      </c>
      <c r="K7368" s="25" t="str">
        <f t="shared" si="83"/>
        <v/>
      </c>
      <c r="L7368" s="25" t="str">
        <f t="shared" si="84"/>
        <v/>
      </c>
      <c r="M7368" s="25"/>
      <c r="O7368" s="26" t="s">
        <v>51</v>
      </c>
    </row>
    <row r="7369" ht="15.75" customHeight="1">
      <c r="A7369" s="25" t="str">
        <f>IFERROR(__xludf.DUMMYFUNCTION("IF(B7369="""","""",RIGHT(REGEXREPLACE(B7369&amp;"""",""[^0-9]"",""""),9))"),"741445309")</f>
        <v>741445309</v>
      </c>
      <c r="B7369" s="52">
        <v>7.41445309E8</v>
      </c>
      <c r="C7369" s="28" t="s">
        <v>4942</v>
      </c>
      <c r="D7369" s="26" t="s">
        <v>82</v>
      </c>
      <c r="E7369" s="31">
        <v>46244.0</v>
      </c>
      <c r="F7369" s="26" t="s">
        <v>659</v>
      </c>
      <c r="I7369" s="26" t="s">
        <v>951</v>
      </c>
      <c r="J7369" s="25" t="str">
        <f t="shared" si="82"/>
        <v>Yes - see Previous F-Code</v>
      </c>
      <c r="K7369" s="25" t="str">
        <f t="shared" si="83"/>
        <v/>
      </c>
      <c r="L7369" s="25" t="str">
        <f t="shared" si="84"/>
        <v>F74507</v>
      </c>
      <c r="M7369" s="25"/>
      <c r="O7369" s="25"/>
    </row>
    <row r="7370" ht="15.75" customHeight="1">
      <c r="A7370" s="25" t="str">
        <f>IFERROR(__xludf.DUMMYFUNCTION("IF(B7370="""","""",RIGHT(REGEXREPLACE(B7370&amp;"""",""[^0-9]"",""""),9))"),"712270222")</f>
        <v>712270222</v>
      </c>
      <c r="B7370" s="52">
        <v>7.12270222E8</v>
      </c>
      <c r="C7370" s="28" t="s">
        <v>7640</v>
      </c>
      <c r="D7370" s="26" t="s">
        <v>56</v>
      </c>
      <c r="E7370" s="31">
        <v>46244.0</v>
      </c>
      <c r="F7370" s="26" t="s">
        <v>46</v>
      </c>
      <c r="G7370" s="26">
        <v>9.0</v>
      </c>
      <c r="I7370" s="26" t="s">
        <v>951</v>
      </c>
      <c r="J7370" s="25" t="str">
        <f t="shared" si="82"/>
        <v>No</v>
      </c>
      <c r="K7370" s="25" t="str">
        <f t="shared" si="83"/>
        <v/>
      </c>
      <c r="L7370" s="25" t="str">
        <f t="shared" si="84"/>
        <v/>
      </c>
      <c r="M7370" s="25"/>
      <c r="O7370" s="26" t="s">
        <v>51</v>
      </c>
    </row>
    <row r="7371" ht="15.75" customHeight="1">
      <c r="A7371" s="25" t="str">
        <f>IFERROR(__xludf.DUMMYFUNCTION("IF(B7371="""","""",RIGHT(REGEXREPLACE(B7371&amp;"""",""[^0-9]"",""""),9))"),"762078740")</f>
        <v>762078740</v>
      </c>
      <c r="B7371" s="52">
        <v>7.6207874E8</v>
      </c>
      <c r="C7371" s="28" t="s">
        <v>7641</v>
      </c>
      <c r="D7371" s="26" t="s">
        <v>64</v>
      </c>
      <c r="E7371" s="31">
        <v>46244.0</v>
      </c>
      <c r="F7371" s="26" t="s">
        <v>46</v>
      </c>
      <c r="G7371" s="26">
        <v>9.0</v>
      </c>
      <c r="I7371" s="26" t="s">
        <v>951</v>
      </c>
      <c r="J7371" s="25" t="str">
        <f t="shared" si="82"/>
        <v>No</v>
      </c>
      <c r="K7371" s="25" t="str">
        <f t="shared" si="83"/>
        <v/>
      </c>
      <c r="L7371" s="25" t="str">
        <f t="shared" si="84"/>
        <v/>
      </c>
      <c r="M7371" s="25"/>
      <c r="O7371" s="25"/>
    </row>
    <row r="7372" ht="15.75" customHeight="1">
      <c r="A7372" s="25" t="str">
        <f>IFERROR(__xludf.DUMMYFUNCTION("IF(B7372="""","""",RIGHT(REGEXREPLACE(B7372&amp;"""",""[^0-9]"",""""),9))"),"740314003")</f>
        <v>740314003</v>
      </c>
      <c r="B7372" s="52">
        <v>7.40314003E8</v>
      </c>
      <c r="C7372" s="28" t="s">
        <v>7313</v>
      </c>
      <c r="D7372" s="26" t="s">
        <v>49</v>
      </c>
      <c r="E7372" s="31">
        <v>46244.0</v>
      </c>
      <c r="F7372" s="26" t="s">
        <v>41</v>
      </c>
      <c r="G7372" s="26">
        <v>9.0</v>
      </c>
      <c r="I7372" s="26" t="s">
        <v>951</v>
      </c>
      <c r="J7372" s="25" t="str">
        <f t="shared" si="82"/>
        <v>Yes - see Previous F-Code</v>
      </c>
      <c r="K7372" s="25" t="str">
        <f t="shared" si="83"/>
        <v>DUPLICATE - CHECK</v>
      </c>
      <c r="L7372" s="25" t="str">
        <f t="shared" si="84"/>
        <v>F76252</v>
      </c>
      <c r="M7372" s="25"/>
      <c r="O7372" s="25"/>
    </row>
    <row r="7373" ht="15.75" customHeight="1">
      <c r="A7373" s="25" t="str">
        <f>IFERROR(__xludf.DUMMYFUNCTION("IF(B7373="""","""",RIGHT(REGEXREPLACE(B7373&amp;"""",""[^0-9]"",""""),9))"),"775899680")</f>
        <v>775899680</v>
      </c>
      <c r="B7373" s="52">
        <v>7.7589968E8</v>
      </c>
      <c r="C7373" s="28" t="s">
        <v>7642</v>
      </c>
      <c r="D7373" s="26" t="s">
        <v>56</v>
      </c>
      <c r="E7373" s="31">
        <v>46244.0</v>
      </c>
      <c r="F7373" s="26" t="s">
        <v>46</v>
      </c>
      <c r="G7373" s="26">
        <v>9.0</v>
      </c>
      <c r="I7373" s="26" t="s">
        <v>951</v>
      </c>
      <c r="J7373" s="25" t="str">
        <f t="shared" si="82"/>
        <v>No</v>
      </c>
      <c r="K7373" s="25" t="str">
        <f t="shared" si="83"/>
        <v/>
      </c>
      <c r="L7373" s="25" t="str">
        <f t="shared" si="84"/>
        <v/>
      </c>
      <c r="M7373" s="25"/>
      <c r="O7373" s="25"/>
    </row>
    <row r="7374" ht="15.75" customHeight="1">
      <c r="A7374" s="25" t="str">
        <f>IFERROR(__xludf.DUMMYFUNCTION("IF(B7374="""","""",RIGHT(REGEXREPLACE(B7374&amp;"""",""[^0-9]"",""""),9))"),"716381934")</f>
        <v>716381934</v>
      </c>
      <c r="B7374" s="52">
        <v>7.16381934E8</v>
      </c>
      <c r="C7374" s="28" t="s">
        <v>7643</v>
      </c>
      <c r="D7374" s="26" t="s">
        <v>82</v>
      </c>
      <c r="E7374" s="31">
        <v>46244.0</v>
      </c>
      <c r="F7374" s="26" t="s">
        <v>46</v>
      </c>
      <c r="G7374" s="26">
        <v>9.0</v>
      </c>
      <c r="I7374" s="26" t="s">
        <v>951</v>
      </c>
      <c r="J7374" s="25" t="str">
        <f t="shared" si="82"/>
        <v>No</v>
      </c>
      <c r="K7374" s="25" t="str">
        <f t="shared" si="83"/>
        <v/>
      </c>
      <c r="L7374" s="25" t="str">
        <f t="shared" si="84"/>
        <v/>
      </c>
      <c r="M7374" s="25"/>
      <c r="O7374" s="25"/>
    </row>
    <row r="7375" ht="15.75" customHeight="1">
      <c r="A7375" s="25" t="str">
        <f>IFERROR(__xludf.DUMMYFUNCTION("IF(B7375="""","""",RIGHT(REGEXREPLACE(B7375&amp;"""",""[^0-9]"",""""),9))"),"768953284")</f>
        <v>768953284</v>
      </c>
      <c r="B7375" s="52">
        <v>7.68953284E8</v>
      </c>
      <c r="C7375" s="28" t="s">
        <v>7644</v>
      </c>
      <c r="D7375" s="26" t="s">
        <v>45</v>
      </c>
      <c r="E7375" s="31">
        <v>46244.0</v>
      </c>
      <c r="F7375" s="26" t="s">
        <v>46</v>
      </c>
      <c r="G7375" s="26">
        <v>9.0</v>
      </c>
      <c r="I7375" s="26" t="s">
        <v>951</v>
      </c>
      <c r="J7375" s="25" t="str">
        <f t="shared" si="82"/>
        <v>No</v>
      </c>
      <c r="K7375" s="25" t="str">
        <f t="shared" si="83"/>
        <v/>
      </c>
      <c r="L7375" s="25" t="str">
        <f t="shared" si="84"/>
        <v/>
      </c>
      <c r="M7375" s="25"/>
      <c r="O7375" s="25"/>
    </row>
    <row r="7376" ht="15.75" customHeight="1">
      <c r="A7376" s="25" t="str">
        <f>IFERROR(__xludf.DUMMYFUNCTION("IF(B7376="""","""",RIGHT(REGEXREPLACE(B7376&amp;"""",""[^0-9]"",""""),9))"),"702161986")</f>
        <v>702161986</v>
      </c>
      <c r="B7376" s="52">
        <v>7.02161986E8</v>
      </c>
      <c r="C7376" s="28" t="s">
        <v>7645</v>
      </c>
      <c r="D7376" s="26" t="s">
        <v>49</v>
      </c>
      <c r="E7376" s="31">
        <v>46244.0</v>
      </c>
      <c r="F7376" s="26" t="s">
        <v>205</v>
      </c>
      <c r="I7376" s="26" t="s">
        <v>951</v>
      </c>
      <c r="J7376" s="25" t="str">
        <f t="shared" si="82"/>
        <v>No</v>
      </c>
      <c r="K7376" s="25" t="str">
        <f t="shared" si="83"/>
        <v/>
      </c>
      <c r="L7376" s="25" t="str">
        <f t="shared" si="84"/>
        <v/>
      </c>
      <c r="M7376" s="25"/>
      <c r="O7376" s="26" t="s">
        <v>51</v>
      </c>
    </row>
    <row r="7377" ht="15.75" customHeight="1">
      <c r="A7377" s="25" t="str">
        <f>IFERROR(__xludf.DUMMYFUNCTION("IF(B7377="""","""",RIGHT(REGEXREPLACE(B7377&amp;"""",""[^0-9]"",""""),9))"),"760338579")</f>
        <v>760338579</v>
      </c>
      <c r="B7377" s="52">
        <v>7.60338579E8</v>
      </c>
      <c r="C7377" s="28" t="s">
        <v>7646</v>
      </c>
      <c r="D7377" s="26" t="s">
        <v>49</v>
      </c>
      <c r="E7377" s="31">
        <v>46244.0</v>
      </c>
      <c r="F7377" s="26" t="s">
        <v>41</v>
      </c>
      <c r="G7377" s="26">
        <v>11.0</v>
      </c>
      <c r="I7377" s="26" t="s">
        <v>951</v>
      </c>
      <c r="J7377" s="25" t="str">
        <f t="shared" si="82"/>
        <v>No</v>
      </c>
      <c r="K7377" s="25" t="str">
        <f t="shared" si="83"/>
        <v/>
      </c>
      <c r="L7377" s="25" t="str">
        <f t="shared" si="84"/>
        <v/>
      </c>
      <c r="M7377" s="25"/>
      <c r="O7377" s="25"/>
    </row>
    <row r="7378" ht="15.75" customHeight="1">
      <c r="A7378" s="25" t="str">
        <f>IFERROR(__xludf.DUMMYFUNCTION("IF(B7378="""","""",RIGHT(REGEXREPLACE(B7378&amp;"""",""[^0-9]"",""""),9))"),"713072782")</f>
        <v>713072782</v>
      </c>
      <c r="B7378" s="52">
        <v>7.13072782E8</v>
      </c>
      <c r="C7378" s="28" t="s">
        <v>7647</v>
      </c>
      <c r="D7378" s="26" t="s">
        <v>82</v>
      </c>
      <c r="E7378" s="31">
        <v>46244.0</v>
      </c>
      <c r="F7378" s="26" t="s">
        <v>46</v>
      </c>
      <c r="G7378" s="26">
        <v>9.0</v>
      </c>
      <c r="I7378" s="26" t="s">
        <v>951</v>
      </c>
      <c r="J7378" s="25" t="str">
        <f t="shared" si="82"/>
        <v>No</v>
      </c>
      <c r="K7378" s="25" t="str">
        <f t="shared" si="83"/>
        <v/>
      </c>
      <c r="L7378" s="25" t="str">
        <f t="shared" si="84"/>
        <v/>
      </c>
      <c r="M7378" s="25"/>
      <c r="O7378" s="25"/>
    </row>
    <row r="7379" ht="15.75" customHeight="1">
      <c r="A7379" s="25" t="str">
        <f>IFERROR(__xludf.DUMMYFUNCTION("IF(B7379="""","""",RIGHT(REGEXREPLACE(B7379&amp;"""",""[^0-9]"",""""),9))"),"759965020")</f>
        <v>759965020</v>
      </c>
      <c r="B7379" s="52">
        <v>7.5996502E8</v>
      </c>
      <c r="C7379" s="28" t="s">
        <v>7648</v>
      </c>
      <c r="D7379" s="26" t="s">
        <v>56</v>
      </c>
      <c r="E7379" s="31">
        <v>46244.0</v>
      </c>
      <c r="F7379" s="26" t="s">
        <v>41</v>
      </c>
      <c r="G7379" s="26">
        <v>8.0</v>
      </c>
      <c r="I7379" s="26" t="s">
        <v>951</v>
      </c>
      <c r="J7379" s="25" t="str">
        <f t="shared" si="82"/>
        <v>No</v>
      </c>
      <c r="K7379" s="25" t="str">
        <f t="shared" si="83"/>
        <v/>
      </c>
      <c r="L7379" s="25" t="str">
        <f t="shared" si="84"/>
        <v/>
      </c>
      <c r="M7379" s="25"/>
      <c r="O7379" s="25"/>
    </row>
    <row r="7380" ht="15.75" customHeight="1">
      <c r="A7380" s="25" t="str">
        <f>IFERROR(__xludf.DUMMYFUNCTION("IF(B7380="""","""",RIGHT(REGEXREPLACE(B7380&amp;"""",""[^0-9]"",""""),9))"),"787538621")</f>
        <v>787538621</v>
      </c>
      <c r="B7380" s="52">
        <v>7.87538621E8</v>
      </c>
      <c r="C7380" s="28" t="s">
        <v>4069</v>
      </c>
      <c r="D7380" s="26" t="s">
        <v>56</v>
      </c>
      <c r="E7380" s="31">
        <v>46244.0</v>
      </c>
      <c r="F7380" s="26" t="s">
        <v>46</v>
      </c>
      <c r="G7380" s="26">
        <v>9.0</v>
      </c>
      <c r="I7380" s="26" t="s">
        <v>951</v>
      </c>
      <c r="J7380" s="25" t="str">
        <f t="shared" si="82"/>
        <v>Yes - see Previous F-Code</v>
      </c>
      <c r="K7380" s="25" t="str">
        <f t="shared" si="83"/>
        <v/>
      </c>
      <c r="L7380" s="25" t="str">
        <f t="shared" si="84"/>
        <v>F73710</v>
      </c>
      <c r="M7380" s="25"/>
      <c r="O7380" s="25"/>
    </row>
    <row r="7381" ht="15.75" customHeight="1">
      <c r="A7381" s="25" t="str">
        <f>IFERROR(__xludf.DUMMYFUNCTION("IF(B7381="""","""",RIGHT(REGEXREPLACE(B7381&amp;"""",""[^0-9]"",""""),9))"),"782996798")</f>
        <v>782996798</v>
      </c>
      <c r="B7381" s="52">
        <v>7.82996798E8</v>
      </c>
      <c r="C7381" s="28" t="s">
        <v>7649</v>
      </c>
      <c r="D7381" s="26" t="s">
        <v>45</v>
      </c>
      <c r="E7381" s="31">
        <v>46244.0</v>
      </c>
      <c r="F7381" s="26" t="s">
        <v>41</v>
      </c>
      <c r="I7381" s="26" t="s">
        <v>951</v>
      </c>
      <c r="J7381" s="25" t="str">
        <f t="shared" si="82"/>
        <v>No</v>
      </c>
      <c r="K7381" s="25" t="str">
        <f t="shared" si="83"/>
        <v/>
      </c>
      <c r="L7381" s="25" t="str">
        <f t="shared" si="84"/>
        <v/>
      </c>
      <c r="M7381" s="25"/>
      <c r="O7381" s="25"/>
    </row>
    <row r="7382" ht="15.75" customHeight="1">
      <c r="A7382" s="25" t="str">
        <f>IFERROR(__xludf.DUMMYFUNCTION("IF(B7382="""","""",RIGHT(REGEXREPLACE(B7382&amp;"""",""[^0-9]"",""""),9))"),"777831112")</f>
        <v>777831112</v>
      </c>
      <c r="B7382" s="52">
        <v>7.77831112E8</v>
      </c>
      <c r="C7382" s="28" t="s">
        <v>7650</v>
      </c>
      <c r="D7382" s="26" t="s">
        <v>82</v>
      </c>
      <c r="E7382" s="31">
        <v>46244.0</v>
      </c>
      <c r="F7382" s="26" t="s">
        <v>46</v>
      </c>
      <c r="G7382" s="26">
        <v>9.0</v>
      </c>
      <c r="H7382" s="26" t="s">
        <v>7651</v>
      </c>
      <c r="I7382" s="26" t="s">
        <v>951</v>
      </c>
      <c r="J7382" s="25" t="str">
        <f t="shared" si="82"/>
        <v>No</v>
      </c>
      <c r="K7382" s="25" t="str">
        <f t="shared" si="83"/>
        <v/>
      </c>
      <c r="L7382" s="25" t="str">
        <f t="shared" si="84"/>
        <v/>
      </c>
      <c r="M7382" s="25"/>
      <c r="O7382" s="25"/>
    </row>
    <row r="7383" ht="15.75" customHeight="1">
      <c r="A7383" s="25" t="str">
        <f>IFERROR(__xludf.DUMMYFUNCTION("IF(B7383="""","""",RIGHT(REGEXREPLACE(B7383&amp;"""",""[^0-9]"",""""),9))"),"717341120")</f>
        <v>717341120</v>
      </c>
      <c r="B7383" s="52">
        <v>7.1734112E8</v>
      </c>
      <c r="C7383" s="28" t="s">
        <v>7650</v>
      </c>
      <c r="D7383" s="26" t="s">
        <v>45</v>
      </c>
      <c r="E7383" s="31">
        <v>46244.0</v>
      </c>
      <c r="F7383" s="26" t="s">
        <v>125</v>
      </c>
      <c r="I7383" s="26" t="s">
        <v>951</v>
      </c>
      <c r="J7383" s="25" t="str">
        <f t="shared" si="82"/>
        <v>No</v>
      </c>
      <c r="K7383" s="25" t="str">
        <f t="shared" si="83"/>
        <v/>
      </c>
      <c r="L7383" s="25" t="str">
        <f t="shared" si="84"/>
        <v/>
      </c>
      <c r="M7383" s="25"/>
      <c r="O7383" s="25"/>
    </row>
    <row r="7384" ht="15.75" customHeight="1">
      <c r="A7384" s="25" t="str">
        <f>IFERROR(__xludf.DUMMYFUNCTION("IF(B7384="""","""",RIGHT(REGEXREPLACE(B7384&amp;"""",""[^0-9]"",""""),9))"),"763046229")</f>
        <v>763046229</v>
      </c>
      <c r="B7384" s="52">
        <v>7.63046229E8</v>
      </c>
      <c r="C7384" s="28" t="s">
        <v>7652</v>
      </c>
      <c r="D7384" s="26" t="s">
        <v>64</v>
      </c>
      <c r="E7384" s="31">
        <v>46244.0</v>
      </c>
      <c r="F7384" s="26" t="s">
        <v>46</v>
      </c>
      <c r="G7384" s="26">
        <v>9.0</v>
      </c>
      <c r="I7384" s="26" t="s">
        <v>951</v>
      </c>
      <c r="J7384" s="25" t="str">
        <f t="shared" si="82"/>
        <v>No</v>
      </c>
      <c r="K7384" s="25" t="str">
        <f t="shared" si="83"/>
        <v/>
      </c>
      <c r="L7384" s="25" t="str">
        <f t="shared" si="84"/>
        <v/>
      </c>
      <c r="M7384" s="25"/>
      <c r="O7384" s="25"/>
    </row>
    <row r="7385" ht="15.75" customHeight="1">
      <c r="A7385" s="25" t="str">
        <f>IFERROR(__xludf.DUMMYFUNCTION("IF(B7385="""","""",RIGHT(REGEXREPLACE(B7385&amp;"""",""[^0-9]"",""""),9))"),"704480362")</f>
        <v>704480362</v>
      </c>
      <c r="B7385" s="52">
        <v>7.04480362E8</v>
      </c>
      <c r="C7385" s="28" t="s">
        <v>7653</v>
      </c>
      <c r="D7385" s="26" t="s">
        <v>49</v>
      </c>
      <c r="E7385" s="31">
        <v>46244.0</v>
      </c>
      <c r="F7385" s="26" t="s">
        <v>41</v>
      </c>
      <c r="H7385" s="26" t="s">
        <v>7654</v>
      </c>
      <c r="I7385" s="26" t="s">
        <v>951</v>
      </c>
      <c r="J7385" s="25" t="str">
        <f t="shared" si="82"/>
        <v>No</v>
      </c>
      <c r="K7385" s="25" t="str">
        <f t="shared" si="83"/>
        <v/>
      </c>
      <c r="L7385" s="25" t="str">
        <f t="shared" si="84"/>
        <v/>
      </c>
      <c r="M7385" s="25"/>
      <c r="O7385" s="25"/>
    </row>
    <row r="7386" ht="15.75" customHeight="1">
      <c r="A7386" s="25" t="str">
        <f>IFERROR(__xludf.DUMMYFUNCTION("IF(B7386="""","""",RIGHT(REGEXREPLACE(B7386&amp;"""",""[^0-9]"",""""),9))"),"756968225")</f>
        <v>756968225</v>
      </c>
      <c r="B7386" s="52">
        <v>7.56968225E8</v>
      </c>
      <c r="C7386" s="28" t="s">
        <v>7655</v>
      </c>
      <c r="D7386" s="26" t="s">
        <v>45</v>
      </c>
      <c r="E7386" s="31">
        <v>46244.0</v>
      </c>
      <c r="F7386" s="26" t="s">
        <v>84</v>
      </c>
      <c r="G7386" s="26">
        <v>9.0</v>
      </c>
      <c r="I7386" s="26" t="s">
        <v>951</v>
      </c>
      <c r="J7386" s="25" t="str">
        <f t="shared" si="82"/>
        <v>No</v>
      </c>
      <c r="K7386" s="25" t="str">
        <f t="shared" si="83"/>
        <v/>
      </c>
      <c r="L7386" s="25" t="str">
        <f t="shared" si="84"/>
        <v/>
      </c>
      <c r="M7386" s="25"/>
      <c r="O7386" s="25"/>
    </row>
    <row r="7387" ht="15.75" customHeight="1">
      <c r="A7387" s="25" t="str">
        <f>IFERROR(__xludf.DUMMYFUNCTION("IF(B7387="""","""",RIGHT(REGEXREPLACE(B7387&amp;"""",""[^0-9]"",""""),9))"),"755341035")</f>
        <v>755341035</v>
      </c>
      <c r="B7387" s="52">
        <v>7.55341035E8</v>
      </c>
      <c r="C7387" s="28" t="s">
        <v>7656</v>
      </c>
      <c r="D7387" s="26" t="s">
        <v>82</v>
      </c>
      <c r="E7387" s="31">
        <v>46244.0</v>
      </c>
      <c r="F7387" s="26" t="s">
        <v>205</v>
      </c>
      <c r="I7387" s="26" t="s">
        <v>951</v>
      </c>
      <c r="J7387" s="25" t="str">
        <f t="shared" si="82"/>
        <v>No</v>
      </c>
      <c r="K7387" s="25" t="str">
        <f t="shared" si="83"/>
        <v/>
      </c>
      <c r="L7387" s="25" t="str">
        <f t="shared" si="84"/>
        <v/>
      </c>
      <c r="M7387" s="25"/>
      <c r="O7387" s="25"/>
    </row>
    <row r="7388" ht="15.75" customHeight="1">
      <c r="A7388" s="25" t="str">
        <f>IFERROR(__xludf.DUMMYFUNCTION("IF(B7388="""","""",RIGHT(REGEXREPLACE(B7388&amp;"""",""[^0-9]"",""""),9))"),"767929931")</f>
        <v>767929931</v>
      </c>
      <c r="B7388" s="52">
        <v>7.67929931E8</v>
      </c>
      <c r="C7388" s="28" t="s">
        <v>7657</v>
      </c>
      <c r="D7388" s="26" t="s">
        <v>82</v>
      </c>
      <c r="E7388" s="31">
        <v>46244.0</v>
      </c>
      <c r="F7388" s="26" t="s">
        <v>46</v>
      </c>
      <c r="G7388" s="26">
        <v>9.0</v>
      </c>
      <c r="I7388" s="26" t="s">
        <v>951</v>
      </c>
      <c r="J7388" s="25" t="str">
        <f t="shared" si="82"/>
        <v>No</v>
      </c>
      <c r="K7388" s="25" t="str">
        <f t="shared" si="83"/>
        <v/>
      </c>
      <c r="L7388" s="25" t="str">
        <f t="shared" si="84"/>
        <v/>
      </c>
      <c r="M7388" s="25"/>
      <c r="O7388" s="25"/>
    </row>
    <row r="7389" ht="15.75" customHeight="1">
      <c r="A7389" s="25" t="str">
        <f>IFERROR(__xludf.DUMMYFUNCTION("IF(B7389="""","""",RIGHT(REGEXREPLACE(B7389&amp;"""",""[^0-9]"",""""),9))"),"766530057")</f>
        <v>766530057</v>
      </c>
      <c r="B7389" s="52">
        <v>7.66530057E8</v>
      </c>
      <c r="C7389" s="28" t="s">
        <v>7657</v>
      </c>
      <c r="D7389" s="26" t="s">
        <v>45</v>
      </c>
      <c r="E7389" s="31">
        <v>46244.0</v>
      </c>
      <c r="F7389" s="26" t="s">
        <v>205</v>
      </c>
      <c r="G7389" s="26">
        <v>7.0</v>
      </c>
      <c r="I7389" s="26" t="s">
        <v>951</v>
      </c>
      <c r="J7389" s="25" t="str">
        <f t="shared" si="82"/>
        <v>No</v>
      </c>
      <c r="K7389" s="25" t="str">
        <f t="shared" si="83"/>
        <v/>
      </c>
      <c r="L7389" s="25" t="str">
        <f t="shared" si="84"/>
        <v/>
      </c>
      <c r="M7389" s="25"/>
      <c r="O7389" s="25"/>
    </row>
    <row r="7390" ht="15.75" customHeight="1">
      <c r="A7390" s="25" t="str">
        <f>IFERROR(__xludf.DUMMYFUNCTION("IF(B7390="""","""",RIGHT(REGEXREPLACE(B7390&amp;"""",""[^0-9]"",""""),9))"),"701250737")</f>
        <v>701250737</v>
      </c>
      <c r="B7390" s="52">
        <v>7.01250737E8</v>
      </c>
      <c r="C7390" s="28" t="s">
        <v>7658</v>
      </c>
      <c r="D7390" s="26" t="s">
        <v>56</v>
      </c>
      <c r="E7390" s="31">
        <v>46244.0</v>
      </c>
      <c r="F7390" s="26" t="s">
        <v>41</v>
      </c>
      <c r="I7390" s="26" t="s">
        <v>951</v>
      </c>
      <c r="J7390" s="25" t="str">
        <f t="shared" si="82"/>
        <v>No</v>
      </c>
      <c r="K7390" s="25" t="str">
        <f t="shared" si="83"/>
        <v/>
      </c>
      <c r="L7390" s="25" t="str">
        <f t="shared" si="84"/>
        <v/>
      </c>
      <c r="M7390" s="25"/>
      <c r="O7390" s="25"/>
    </row>
    <row r="7391" ht="15.75" customHeight="1">
      <c r="A7391" s="25" t="str">
        <f>IFERROR(__xludf.DUMMYFUNCTION("IF(B7391="""","""",RIGHT(REGEXREPLACE(B7391&amp;"""",""[^0-9]"",""""),9))"),"716103602")</f>
        <v>716103602</v>
      </c>
      <c r="B7391" s="52">
        <v>7.16103602E8</v>
      </c>
      <c r="C7391" s="28" t="s">
        <v>7659</v>
      </c>
      <c r="D7391" s="26" t="s">
        <v>56</v>
      </c>
      <c r="E7391" s="31">
        <v>46244.0</v>
      </c>
      <c r="F7391" s="26" t="s">
        <v>205</v>
      </c>
      <c r="I7391" s="26" t="s">
        <v>951</v>
      </c>
      <c r="J7391" s="25" t="str">
        <f t="shared" si="82"/>
        <v>No</v>
      </c>
      <c r="K7391" s="25" t="str">
        <f t="shared" si="83"/>
        <v/>
      </c>
      <c r="L7391" s="25" t="str">
        <f t="shared" si="84"/>
        <v/>
      </c>
      <c r="M7391" s="25"/>
      <c r="O7391" s="25"/>
    </row>
    <row r="7392" ht="15.75" customHeight="1">
      <c r="A7392" s="25" t="str">
        <f>IFERROR(__xludf.DUMMYFUNCTION("IF(B7392="""","""",RIGHT(REGEXREPLACE(B7392&amp;"""",""[^0-9]"",""""),9))"),"740740331")</f>
        <v>740740331</v>
      </c>
      <c r="B7392" s="52">
        <v>7.40740331E8</v>
      </c>
      <c r="C7392" s="28" t="s">
        <v>7660</v>
      </c>
      <c r="D7392" s="26" t="s">
        <v>49</v>
      </c>
      <c r="E7392" s="31">
        <v>46244.0</v>
      </c>
      <c r="F7392" s="26" t="s">
        <v>46</v>
      </c>
      <c r="G7392" s="26">
        <v>9.0</v>
      </c>
      <c r="I7392" s="26" t="s">
        <v>951</v>
      </c>
      <c r="J7392" s="25" t="str">
        <f t="shared" si="82"/>
        <v>No</v>
      </c>
      <c r="K7392" s="25" t="str">
        <f t="shared" si="83"/>
        <v/>
      </c>
      <c r="L7392" s="25" t="str">
        <f t="shared" si="84"/>
        <v/>
      </c>
      <c r="M7392" s="25"/>
      <c r="O7392" s="25"/>
    </row>
    <row r="7393" ht="15.75" customHeight="1">
      <c r="A7393" s="25" t="str">
        <f>IFERROR(__xludf.DUMMYFUNCTION("IF(B7393="""","""",RIGHT(REGEXREPLACE(B7393&amp;"""",""[^0-9]"",""""),9))"),"771369608")</f>
        <v>771369608</v>
      </c>
      <c r="B7393" s="52">
        <v>7.71369608E8</v>
      </c>
      <c r="C7393" s="28" t="s">
        <v>7661</v>
      </c>
      <c r="D7393" s="26" t="s">
        <v>64</v>
      </c>
      <c r="E7393" s="31">
        <v>46244.0</v>
      </c>
      <c r="F7393" s="26" t="s">
        <v>46</v>
      </c>
      <c r="G7393" s="26">
        <v>9.0</v>
      </c>
      <c r="I7393" s="26" t="s">
        <v>951</v>
      </c>
      <c r="J7393" s="25" t="str">
        <f t="shared" si="82"/>
        <v>No</v>
      </c>
      <c r="K7393" s="25" t="str">
        <f t="shared" si="83"/>
        <v/>
      </c>
      <c r="L7393" s="25" t="str">
        <f t="shared" si="84"/>
        <v/>
      </c>
      <c r="M7393" s="25"/>
      <c r="O7393" s="25"/>
    </row>
    <row r="7394" ht="15.75" customHeight="1">
      <c r="A7394" s="25" t="str">
        <f>IFERROR(__xludf.DUMMYFUNCTION("IF(B7394="""","""",RIGHT(REGEXREPLACE(B7394&amp;"""",""[^0-9]"",""""),9))"),"706738899")</f>
        <v>706738899</v>
      </c>
      <c r="B7394" s="52">
        <v>7.06738899E8</v>
      </c>
      <c r="C7394" s="28" t="s">
        <v>7662</v>
      </c>
      <c r="D7394" s="26" t="s">
        <v>45</v>
      </c>
      <c r="E7394" s="31">
        <v>46244.0</v>
      </c>
      <c r="F7394" s="26" t="s">
        <v>164</v>
      </c>
      <c r="G7394" s="26">
        <v>9.0</v>
      </c>
      <c r="I7394" s="26" t="s">
        <v>951</v>
      </c>
      <c r="J7394" s="25" t="str">
        <f t="shared" si="82"/>
        <v>No</v>
      </c>
      <c r="K7394" s="25" t="str">
        <f t="shared" si="83"/>
        <v/>
      </c>
      <c r="L7394" s="25" t="str">
        <f t="shared" si="84"/>
        <v/>
      </c>
      <c r="M7394" s="25"/>
      <c r="O7394" s="25"/>
    </row>
    <row r="7395" ht="15.75" customHeight="1">
      <c r="A7395" s="25" t="str">
        <f>IFERROR(__xludf.DUMMYFUNCTION("IF(B7395="""","""",RIGHT(REGEXREPLACE(B7395&amp;"""",""[^0-9]"",""""),9))"),"775974336")</f>
        <v>775974336</v>
      </c>
      <c r="B7395" s="52">
        <v>7.75974336E8</v>
      </c>
      <c r="C7395" s="28" t="s">
        <v>7663</v>
      </c>
      <c r="D7395" s="26" t="s">
        <v>45</v>
      </c>
      <c r="E7395" s="31">
        <v>46244.0</v>
      </c>
      <c r="F7395" s="26" t="s">
        <v>46</v>
      </c>
      <c r="G7395" s="26">
        <v>9.0</v>
      </c>
      <c r="I7395" s="26" t="s">
        <v>951</v>
      </c>
      <c r="J7395" s="25" t="str">
        <f t="shared" si="82"/>
        <v>No</v>
      </c>
      <c r="K7395" s="25" t="str">
        <f t="shared" si="83"/>
        <v/>
      </c>
      <c r="L7395" s="25" t="str">
        <f t="shared" si="84"/>
        <v/>
      </c>
      <c r="M7395" s="25"/>
      <c r="O7395" s="26" t="s">
        <v>51</v>
      </c>
    </row>
    <row r="7396" ht="15.75" customHeight="1">
      <c r="A7396" s="25" t="str">
        <f>IFERROR(__xludf.DUMMYFUNCTION("IF(B7396="""","""",RIGHT(REGEXREPLACE(B7396&amp;"""",""[^0-9]"",""""),9))"),"705330300")</f>
        <v>705330300</v>
      </c>
      <c r="B7396" s="52">
        <v>7.053303E8</v>
      </c>
      <c r="C7396" s="28" t="s">
        <v>7664</v>
      </c>
      <c r="D7396" s="26" t="s">
        <v>82</v>
      </c>
      <c r="E7396" s="31">
        <v>46244.0</v>
      </c>
      <c r="F7396" s="26" t="s">
        <v>46</v>
      </c>
      <c r="H7396" s="26" t="s">
        <v>7665</v>
      </c>
      <c r="I7396" s="26" t="s">
        <v>951</v>
      </c>
      <c r="J7396" s="25" t="str">
        <f t="shared" si="82"/>
        <v>No</v>
      </c>
      <c r="K7396" s="25" t="str">
        <f t="shared" si="83"/>
        <v/>
      </c>
      <c r="L7396" s="25" t="str">
        <f t="shared" si="84"/>
        <v/>
      </c>
      <c r="M7396" s="25"/>
      <c r="O7396" s="25"/>
    </row>
    <row r="7397" ht="15.75" customHeight="1">
      <c r="A7397" s="25" t="str">
        <f>IFERROR(__xludf.DUMMYFUNCTION("IF(B7397="""","""",RIGHT(REGEXREPLACE(B7397&amp;"""",""[^0-9]"",""""),9))"),"741768827")</f>
        <v>741768827</v>
      </c>
      <c r="B7397" s="52">
        <v>7.41768827E8</v>
      </c>
      <c r="C7397" s="28" t="s">
        <v>7666</v>
      </c>
      <c r="D7397" s="26" t="s">
        <v>82</v>
      </c>
      <c r="E7397" s="31">
        <v>46244.0</v>
      </c>
      <c r="F7397" s="26" t="s">
        <v>164</v>
      </c>
      <c r="I7397" s="26" t="s">
        <v>951</v>
      </c>
      <c r="J7397" s="25" t="str">
        <f t="shared" si="82"/>
        <v>No</v>
      </c>
      <c r="K7397" s="25" t="str">
        <f t="shared" si="83"/>
        <v/>
      </c>
      <c r="L7397" s="25" t="str">
        <f t="shared" si="84"/>
        <v/>
      </c>
      <c r="M7397" s="25"/>
      <c r="O7397" s="25"/>
    </row>
    <row r="7398" ht="15.75" customHeight="1">
      <c r="A7398" s="25" t="str">
        <f>IFERROR(__xludf.DUMMYFUNCTION("IF(B7398="""","""",RIGHT(REGEXREPLACE(B7398&amp;"""",""[^0-9]"",""""),9))"),"778946646")</f>
        <v>778946646</v>
      </c>
      <c r="B7398" s="52">
        <v>7.78946646E8</v>
      </c>
      <c r="C7398" s="28" t="s">
        <v>7667</v>
      </c>
      <c r="D7398" s="26" t="s">
        <v>56</v>
      </c>
      <c r="E7398" s="31">
        <v>46244.0</v>
      </c>
      <c r="F7398" s="26" t="s">
        <v>46</v>
      </c>
      <c r="G7398" s="26">
        <v>9.0</v>
      </c>
      <c r="I7398" s="26" t="s">
        <v>951</v>
      </c>
      <c r="J7398" s="25" t="str">
        <f t="shared" si="82"/>
        <v>No</v>
      </c>
      <c r="K7398" s="25" t="str">
        <f t="shared" si="83"/>
        <v/>
      </c>
      <c r="L7398" s="25" t="str">
        <f t="shared" si="84"/>
        <v/>
      </c>
      <c r="M7398" s="25"/>
      <c r="O7398" s="25"/>
    </row>
    <row r="7399" ht="15.75" customHeight="1">
      <c r="A7399" s="25" t="str">
        <f>IFERROR(__xludf.DUMMYFUNCTION("IF(B7399="""","""",RIGHT(REGEXREPLACE(B7399&amp;"""",""[^0-9]"",""""),9))"),"774635139")</f>
        <v>774635139</v>
      </c>
      <c r="B7399" s="52">
        <v>7.74635139E8</v>
      </c>
      <c r="C7399" s="28" t="s">
        <v>7668</v>
      </c>
      <c r="D7399" s="26" t="s">
        <v>64</v>
      </c>
      <c r="E7399" s="31">
        <v>46244.0</v>
      </c>
      <c r="F7399" s="26" t="s">
        <v>41</v>
      </c>
      <c r="G7399" s="26">
        <v>9.0</v>
      </c>
      <c r="I7399" s="26" t="s">
        <v>951</v>
      </c>
      <c r="J7399" s="25" t="str">
        <f t="shared" si="82"/>
        <v>No</v>
      </c>
      <c r="K7399" s="25" t="str">
        <f t="shared" si="83"/>
        <v/>
      </c>
      <c r="L7399" s="25" t="str">
        <f t="shared" si="84"/>
        <v/>
      </c>
      <c r="M7399" s="25"/>
      <c r="O7399" s="25"/>
    </row>
    <row r="7400" ht="15.75" customHeight="1">
      <c r="A7400" s="25" t="str">
        <f>IFERROR(__xludf.DUMMYFUNCTION("IF(B7400="""","""",RIGHT(REGEXREPLACE(B7400&amp;"""",""[^0-9]"",""""),9))"),"742122050")</f>
        <v>742122050</v>
      </c>
      <c r="B7400" s="52">
        <v>7.4212205E8</v>
      </c>
      <c r="C7400" s="28" t="s">
        <v>7669</v>
      </c>
      <c r="D7400" s="26" t="s">
        <v>49</v>
      </c>
      <c r="E7400" s="31">
        <v>46244.0</v>
      </c>
      <c r="F7400" s="26" t="s">
        <v>46</v>
      </c>
      <c r="G7400" s="26">
        <v>10.0</v>
      </c>
      <c r="I7400" s="26" t="s">
        <v>951</v>
      </c>
      <c r="J7400" s="25" t="str">
        <f t="shared" si="82"/>
        <v>No</v>
      </c>
      <c r="K7400" s="25" t="str">
        <f t="shared" si="83"/>
        <v/>
      </c>
      <c r="L7400" s="25" t="str">
        <f t="shared" si="84"/>
        <v/>
      </c>
      <c r="M7400" s="25"/>
      <c r="O7400" s="25"/>
    </row>
    <row r="7401" ht="15.75" customHeight="1">
      <c r="A7401" s="25" t="str">
        <f>IFERROR(__xludf.DUMMYFUNCTION("IF(B7401="""","""",RIGHT(REGEXREPLACE(B7401&amp;"""",""[^0-9]"",""""),9))"),"740204853")</f>
        <v>740204853</v>
      </c>
      <c r="B7401" s="52">
        <v>7.40204853E8</v>
      </c>
      <c r="C7401" s="28" t="s">
        <v>7670</v>
      </c>
      <c r="D7401" s="26" t="s">
        <v>82</v>
      </c>
      <c r="E7401" s="31">
        <v>46244.0</v>
      </c>
      <c r="F7401" s="26" t="s">
        <v>205</v>
      </c>
      <c r="I7401" s="26" t="s">
        <v>951</v>
      </c>
      <c r="J7401" s="25" t="str">
        <f t="shared" si="82"/>
        <v>No</v>
      </c>
      <c r="K7401" s="25" t="str">
        <f t="shared" si="83"/>
        <v/>
      </c>
      <c r="L7401" s="25" t="str">
        <f t="shared" si="84"/>
        <v/>
      </c>
      <c r="M7401" s="25"/>
      <c r="O7401" s="25"/>
    </row>
    <row r="7402" ht="15.75" customHeight="1">
      <c r="A7402" s="25" t="str">
        <f>IFERROR(__xludf.DUMMYFUNCTION("IF(B7402="""","""",RIGHT(REGEXREPLACE(B7402&amp;"""",""[^0-9]"",""""),9))"),"759558559")</f>
        <v>759558559</v>
      </c>
      <c r="B7402" s="52">
        <v>7.59558559E8</v>
      </c>
      <c r="C7402" s="28" t="s">
        <v>7671</v>
      </c>
      <c r="D7402" s="26" t="s">
        <v>45</v>
      </c>
      <c r="E7402" s="31">
        <v>46244.0</v>
      </c>
      <c r="F7402" s="26" t="s">
        <v>659</v>
      </c>
      <c r="G7402" s="26">
        <v>9.0</v>
      </c>
      <c r="I7402" s="26" t="s">
        <v>951</v>
      </c>
      <c r="J7402" s="25" t="str">
        <f t="shared" si="82"/>
        <v>No</v>
      </c>
      <c r="K7402" s="25" t="str">
        <f t="shared" si="83"/>
        <v/>
      </c>
      <c r="L7402" s="25" t="str">
        <f t="shared" si="84"/>
        <v/>
      </c>
      <c r="M7402" s="25"/>
      <c r="O7402" s="25"/>
    </row>
    <row r="7403" ht="15.75" customHeight="1">
      <c r="A7403" s="25" t="str">
        <f>IFERROR(__xludf.DUMMYFUNCTION("IF(B7403="""","""",RIGHT(REGEXREPLACE(B7403&amp;"""",""[^0-9]"",""""),9))"),"704962617")</f>
        <v>704962617</v>
      </c>
      <c r="B7403" s="52">
        <v>7.04962617E8</v>
      </c>
      <c r="C7403" s="28" t="s">
        <v>7672</v>
      </c>
      <c r="D7403" s="26" t="s">
        <v>64</v>
      </c>
      <c r="E7403" s="31">
        <v>46244.0</v>
      </c>
      <c r="F7403" s="26" t="s">
        <v>46</v>
      </c>
      <c r="G7403" s="26">
        <v>9.0</v>
      </c>
      <c r="I7403" s="26" t="s">
        <v>951</v>
      </c>
      <c r="J7403" s="25" t="str">
        <f t="shared" si="82"/>
        <v>No</v>
      </c>
      <c r="K7403" s="25" t="str">
        <f t="shared" si="83"/>
        <v/>
      </c>
      <c r="L7403" s="25" t="str">
        <f t="shared" si="84"/>
        <v/>
      </c>
      <c r="M7403" s="25"/>
      <c r="O7403" s="25"/>
    </row>
    <row r="7404" ht="15.75" customHeight="1">
      <c r="A7404" s="25" t="str">
        <f>IFERROR(__xludf.DUMMYFUNCTION("IF(B7404="""","""",RIGHT(REGEXREPLACE(B7404&amp;"""",""[^0-9]"",""""),9))"),"769255952")</f>
        <v>769255952</v>
      </c>
      <c r="B7404" s="52">
        <v>7.69255952E8</v>
      </c>
      <c r="C7404" s="28" t="s">
        <v>2909</v>
      </c>
      <c r="D7404" s="26" t="s">
        <v>56</v>
      </c>
      <c r="E7404" s="31">
        <v>46244.0</v>
      </c>
      <c r="F7404" s="26" t="s">
        <v>46</v>
      </c>
      <c r="G7404" s="26" t="s">
        <v>7033</v>
      </c>
      <c r="I7404" s="26" t="s">
        <v>951</v>
      </c>
      <c r="J7404" s="25" t="str">
        <f t="shared" si="82"/>
        <v>Yes - see Previous F-Code</v>
      </c>
      <c r="K7404" s="25" t="str">
        <f t="shared" si="83"/>
        <v/>
      </c>
      <c r="L7404" s="25" t="str">
        <f t="shared" si="84"/>
        <v>F72769</v>
      </c>
      <c r="M7404" s="25"/>
      <c r="O7404" s="25"/>
    </row>
    <row r="7405" ht="15.75" customHeight="1">
      <c r="A7405" s="25" t="str">
        <f>IFERROR(__xludf.DUMMYFUNCTION("IF(B7405="""","""",RIGHT(REGEXREPLACE(B7405&amp;"""",""[^0-9]"",""""),9))"),"773787090")</f>
        <v>773787090</v>
      </c>
      <c r="B7405" s="52">
        <v>7.7378709E8</v>
      </c>
      <c r="C7405" s="28" t="s">
        <v>7673</v>
      </c>
      <c r="D7405" s="26" t="s">
        <v>45</v>
      </c>
      <c r="E7405" s="31">
        <v>46244.0</v>
      </c>
      <c r="F7405" s="26" t="s">
        <v>41</v>
      </c>
      <c r="G7405" s="26">
        <v>9.0</v>
      </c>
      <c r="I7405" s="26" t="s">
        <v>951</v>
      </c>
      <c r="J7405" s="25" t="str">
        <f t="shared" si="82"/>
        <v>No</v>
      </c>
      <c r="K7405" s="25" t="str">
        <f t="shared" si="83"/>
        <v/>
      </c>
      <c r="L7405" s="25" t="str">
        <f t="shared" si="84"/>
        <v/>
      </c>
      <c r="M7405" s="25"/>
      <c r="O7405" s="25"/>
    </row>
    <row r="7406" ht="15.75" customHeight="1">
      <c r="A7406" s="25" t="str">
        <f>IFERROR(__xludf.DUMMYFUNCTION("IF(B7406="""","""",RIGHT(REGEXREPLACE(B7406&amp;"""",""[^0-9]"",""""),9))"),"774871720")</f>
        <v>774871720</v>
      </c>
      <c r="B7406" s="52">
        <v>7.7487172E8</v>
      </c>
      <c r="C7406" s="28" t="s">
        <v>7674</v>
      </c>
      <c r="D7406" s="26" t="s">
        <v>82</v>
      </c>
      <c r="E7406" s="31">
        <v>46244.0</v>
      </c>
      <c r="F7406" s="26" t="s">
        <v>41</v>
      </c>
      <c r="G7406" s="26">
        <v>9.0</v>
      </c>
      <c r="I7406" s="26" t="s">
        <v>951</v>
      </c>
      <c r="J7406" s="25" t="str">
        <f t="shared" si="82"/>
        <v>No</v>
      </c>
      <c r="K7406" s="25" t="str">
        <f t="shared" si="83"/>
        <v/>
      </c>
      <c r="L7406" s="25" t="str">
        <f t="shared" si="84"/>
        <v/>
      </c>
      <c r="M7406" s="25"/>
      <c r="O7406" s="25"/>
    </row>
    <row r="7407" ht="15.75" customHeight="1">
      <c r="A7407" s="25" t="str">
        <f>IFERROR(__xludf.DUMMYFUNCTION("IF(B7407="""","""",RIGHT(REGEXREPLACE(B7407&amp;"""",""[^0-9]"",""""),9))"),"714311415")</f>
        <v>714311415</v>
      </c>
      <c r="B7407" s="52">
        <v>7.14311415E8</v>
      </c>
      <c r="C7407" s="28" t="s">
        <v>7675</v>
      </c>
      <c r="D7407" s="26" t="s">
        <v>82</v>
      </c>
      <c r="E7407" s="31">
        <v>46244.0</v>
      </c>
      <c r="F7407" s="26" t="s">
        <v>46</v>
      </c>
      <c r="G7407" s="26">
        <v>10.0</v>
      </c>
      <c r="H7407" s="26">
        <v>10.0</v>
      </c>
      <c r="I7407" s="26" t="s">
        <v>951</v>
      </c>
      <c r="J7407" s="25" t="str">
        <f t="shared" si="82"/>
        <v>No</v>
      </c>
      <c r="K7407" s="25" t="str">
        <f t="shared" si="83"/>
        <v/>
      </c>
      <c r="L7407" s="25" t="str">
        <f t="shared" si="84"/>
        <v/>
      </c>
      <c r="M7407" s="25"/>
      <c r="O7407" s="25"/>
    </row>
    <row r="7408" ht="15.75" customHeight="1">
      <c r="A7408" s="25" t="str">
        <f>IFERROR(__xludf.DUMMYFUNCTION("IF(B7408="""","""",RIGHT(REGEXREPLACE(B7408&amp;"""",""[^0-9]"",""""),9))"),"702695411")</f>
        <v>702695411</v>
      </c>
      <c r="B7408" s="52">
        <v>7.02695411E8</v>
      </c>
      <c r="C7408" s="28" t="s">
        <v>7676</v>
      </c>
      <c r="D7408" s="26" t="s">
        <v>49</v>
      </c>
      <c r="E7408" s="31">
        <v>46244.0</v>
      </c>
      <c r="F7408" s="26" t="s">
        <v>46</v>
      </c>
      <c r="G7408" s="26">
        <v>7.0</v>
      </c>
      <c r="I7408" s="26" t="s">
        <v>951</v>
      </c>
      <c r="J7408" s="25" t="str">
        <f t="shared" si="82"/>
        <v>No</v>
      </c>
      <c r="K7408" s="25" t="str">
        <f t="shared" si="83"/>
        <v/>
      </c>
      <c r="L7408" s="25" t="str">
        <f t="shared" si="84"/>
        <v/>
      </c>
      <c r="M7408" s="25"/>
      <c r="O7408" s="25"/>
    </row>
    <row r="7409" ht="15.75" customHeight="1">
      <c r="A7409" s="25" t="str">
        <f>IFERROR(__xludf.DUMMYFUNCTION("IF(B7409="""","""",RIGHT(REGEXREPLACE(B7409&amp;"""",""[^0-9]"",""""),9))"),"776549108")</f>
        <v>776549108</v>
      </c>
      <c r="B7409" s="52">
        <v>7.76549108E8</v>
      </c>
      <c r="C7409" s="28" t="s">
        <v>7677</v>
      </c>
      <c r="D7409" s="26" t="s">
        <v>45</v>
      </c>
      <c r="E7409" s="31">
        <v>46244.0</v>
      </c>
      <c r="F7409" s="26" t="s">
        <v>46</v>
      </c>
      <c r="G7409" s="26">
        <v>9.0</v>
      </c>
      <c r="I7409" s="26" t="s">
        <v>951</v>
      </c>
      <c r="J7409" s="25" t="str">
        <f t="shared" si="82"/>
        <v>No</v>
      </c>
      <c r="K7409" s="25" t="str">
        <f t="shared" si="83"/>
        <v/>
      </c>
      <c r="L7409" s="25" t="str">
        <f t="shared" si="84"/>
        <v/>
      </c>
      <c r="M7409" s="25"/>
      <c r="O7409" s="25"/>
    </row>
    <row r="7410" ht="15.75" customHeight="1">
      <c r="B7410" s="52"/>
      <c r="C7410" s="46"/>
      <c r="D7410" s="25"/>
      <c r="F7410" s="25"/>
      <c r="I7410" s="26" t="s">
        <v>951</v>
      </c>
      <c r="M7410" s="25"/>
      <c r="O7410" s="25"/>
    </row>
    <row r="7411" ht="15.75" customHeight="1">
      <c r="C7411" s="46"/>
      <c r="D7411" s="25"/>
      <c r="F7411" s="25"/>
      <c r="I7411" s="26" t="s">
        <v>951</v>
      </c>
      <c r="M7411" s="25"/>
      <c r="O7411" s="25"/>
    </row>
    <row r="7412" ht="15.75" customHeight="1">
      <c r="A7412" s="25" t="str">
        <f>IFERROR(__xludf.DUMMYFUNCTION("IF(B7412="""","""",RIGHT(REGEXREPLACE(B7412&amp;"""",""[^0-9]"",""""),9))"),"761260943")</f>
        <v>761260943</v>
      </c>
      <c r="B7412" s="52">
        <v>7.61260943E8</v>
      </c>
      <c r="C7412" s="28" t="s">
        <v>7678</v>
      </c>
      <c r="D7412" s="26" t="s">
        <v>45</v>
      </c>
      <c r="E7412" s="31">
        <v>46244.0</v>
      </c>
      <c r="F7412" s="26" t="s">
        <v>46</v>
      </c>
      <c r="G7412" s="26">
        <v>9.0</v>
      </c>
      <c r="I7412" s="26" t="s">
        <v>951</v>
      </c>
      <c r="J7412" s="25" t="str">
        <f t="shared" ref="J7412:J7698" si="85">IF(COUNTIF($A$2:A7411,A7412)&gt;0,"Yes - see Previous F-Code","No")</f>
        <v>No</v>
      </c>
      <c r="K7412" s="25" t="str">
        <f t="shared" ref="K7412:K7698" si="86">IF(COUNTIFS($A$2:A7412,A7412,$I$2:I7412,I7412)&gt;1,"DUPLICATE - CHECK","")</f>
        <v/>
      </c>
      <c r="L7412" s="25" t="str">
        <f t="shared" ref="L7412:L7698" si="87">IF(COUNTIF($A$2:A7411,A7412)&gt;0,INDEX($C$2:C7411,MATCH(A7412,$A$2:A7411,0)),"")</f>
        <v/>
      </c>
      <c r="M7412" s="25"/>
      <c r="O7412" s="25"/>
    </row>
    <row r="7413" ht="15.75" customHeight="1">
      <c r="A7413" s="25" t="str">
        <f>IFERROR(__xludf.DUMMYFUNCTION("IF(B7413="""","""",RIGHT(REGEXREPLACE(B7413&amp;"""",""[^0-9]"",""""),9))"),"740054028")</f>
        <v>740054028</v>
      </c>
      <c r="B7413" s="52">
        <v>7.40054028E8</v>
      </c>
      <c r="C7413" s="28" t="s">
        <v>7679</v>
      </c>
      <c r="D7413" s="26" t="s">
        <v>45</v>
      </c>
      <c r="E7413" s="31">
        <v>46244.0</v>
      </c>
      <c r="F7413" s="26" t="s">
        <v>46</v>
      </c>
      <c r="G7413" s="26">
        <v>9.0</v>
      </c>
      <c r="I7413" s="26" t="s">
        <v>951</v>
      </c>
      <c r="J7413" s="25" t="str">
        <f t="shared" si="85"/>
        <v>No</v>
      </c>
      <c r="K7413" s="25" t="str">
        <f t="shared" si="86"/>
        <v/>
      </c>
      <c r="L7413" s="25" t="str">
        <f t="shared" si="87"/>
        <v/>
      </c>
      <c r="M7413" s="25"/>
      <c r="O7413" s="25"/>
    </row>
    <row r="7414" ht="15.75" customHeight="1">
      <c r="A7414" s="25" t="str">
        <f>IFERROR(__xludf.DUMMYFUNCTION("IF(B7414="""","""",RIGHT(REGEXREPLACE(B7414&amp;"""",""[^0-9]"",""""),9))"),"779964231")</f>
        <v>779964231</v>
      </c>
      <c r="B7414" s="52">
        <v>7.79964231E8</v>
      </c>
      <c r="C7414" s="28" t="s">
        <v>7680</v>
      </c>
      <c r="D7414" s="26" t="s">
        <v>56</v>
      </c>
      <c r="E7414" s="31">
        <v>46244.0</v>
      </c>
      <c r="F7414" s="26" t="s">
        <v>46</v>
      </c>
      <c r="G7414" s="26">
        <v>9.0</v>
      </c>
      <c r="I7414" s="26" t="s">
        <v>951</v>
      </c>
      <c r="J7414" s="25" t="str">
        <f t="shared" si="85"/>
        <v>No</v>
      </c>
      <c r="K7414" s="25" t="str">
        <f t="shared" si="86"/>
        <v/>
      </c>
      <c r="L7414" s="25" t="str">
        <f t="shared" si="87"/>
        <v/>
      </c>
      <c r="M7414" s="25"/>
      <c r="O7414" s="25"/>
    </row>
    <row r="7415" ht="15.75" customHeight="1">
      <c r="A7415" s="25" t="str">
        <f>IFERROR(__xludf.DUMMYFUNCTION("IF(B7415="""","""",RIGHT(REGEXREPLACE(B7415&amp;"""",""[^0-9]"",""""),9))"),"784865085")</f>
        <v>784865085</v>
      </c>
      <c r="B7415" s="52">
        <v>7.84865085E8</v>
      </c>
      <c r="C7415" s="28" t="s">
        <v>7681</v>
      </c>
      <c r="D7415" s="26" t="s">
        <v>82</v>
      </c>
      <c r="E7415" s="31">
        <v>46244.0</v>
      </c>
      <c r="F7415" s="26" t="s">
        <v>41</v>
      </c>
      <c r="G7415" s="26">
        <v>9.0</v>
      </c>
      <c r="I7415" s="26" t="s">
        <v>951</v>
      </c>
      <c r="J7415" s="25" t="str">
        <f t="shared" si="85"/>
        <v>No</v>
      </c>
      <c r="K7415" s="25" t="str">
        <f t="shared" si="86"/>
        <v/>
      </c>
      <c r="L7415" s="25" t="str">
        <f t="shared" si="87"/>
        <v/>
      </c>
      <c r="M7415" s="25"/>
      <c r="O7415" s="25"/>
    </row>
    <row r="7416" ht="15.75" customHeight="1">
      <c r="A7416" s="25" t="str">
        <f>IFERROR(__xludf.DUMMYFUNCTION("IF(B7416="""","""",RIGHT(REGEXREPLACE(B7416&amp;"""",""[^0-9]"",""""),9))"),"723506331")</f>
        <v>723506331</v>
      </c>
      <c r="B7416" s="52">
        <v>7.23506331E8</v>
      </c>
      <c r="C7416" s="28" t="s">
        <v>7682</v>
      </c>
      <c r="D7416" s="26" t="s">
        <v>82</v>
      </c>
      <c r="E7416" s="31">
        <v>46244.0</v>
      </c>
      <c r="F7416" s="26" t="s">
        <v>164</v>
      </c>
      <c r="I7416" s="26" t="s">
        <v>951</v>
      </c>
      <c r="J7416" s="25" t="str">
        <f t="shared" si="85"/>
        <v>No</v>
      </c>
      <c r="K7416" s="25" t="str">
        <f t="shared" si="86"/>
        <v/>
      </c>
      <c r="L7416" s="25" t="str">
        <f t="shared" si="87"/>
        <v/>
      </c>
      <c r="M7416" s="25"/>
      <c r="O7416" s="25"/>
    </row>
    <row r="7417" ht="15.75" customHeight="1">
      <c r="A7417" s="25" t="str">
        <f>IFERROR(__xludf.DUMMYFUNCTION("IF(B7417="""","""",RIGHT(REGEXREPLACE(B7417&amp;"""",""[^0-9]"",""""),9))"),"775090565")</f>
        <v>775090565</v>
      </c>
      <c r="B7417" s="52">
        <v>7.75090565E8</v>
      </c>
      <c r="C7417" s="28" t="s">
        <v>7349</v>
      </c>
      <c r="D7417" s="26" t="s">
        <v>56</v>
      </c>
      <c r="E7417" s="31">
        <v>46244.0</v>
      </c>
      <c r="F7417" s="26" t="s">
        <v>46</v>
      </c>
      <c r="G7417" s="26">
        <v>9.0</v>
      </c>
      <c r="I7417" s="26" t="s">
        <v>951</v>
      </c>
      <c r="J7417" s="25" t="str">
        <f t="shared" si="85"/>
        <v>Yes - see Previous F-Code</v>
      </c>
      <c r="K7417" s="25" t="str">
        <f t="shared" si="86"/>
        <v>DUPLICATE - CHECK</v>
      </c>
      <c r="L7417" s="25" t="str">
        <f t="shared" si="87"/>
        <v>F76285</v>
      </c>
      <c r="M7417" s="25"/>
      <c r="O7417" s="25"/>
    </row>
    <row r="7418" ht="15.75" customHeight="1">
      <c r="A7418" s="25" t="str">
        <f>IFERROR(__xludf.DUMMYFUNCTION("IF(B7418="""","""",RIGHT(REGEXREPLACE(B7418&amp;"""",""[^0-9]"",""""),9))"),"760476564")</f>
        <v>760476564</v>
      </c>
      <c r="B7418" s="52">
        <v>7.60476564E8</v>
      </c>
      <c r="C7418" s="28" t="s">
        <v>7683</v>
      </c>
      <c r="D7418" s="26" t="s">
        <v>82</v>
      </c>
      <c r="E7418" s="31">
        <v>46244.0</v>
      </c>
      <c r="F7418" s="26" t="s">
        <v>46</v>
      </c>
      <c r="G7418" s="96">
        <v>46244.0</v>
      </c>
      <c r="I7418" s="26" t="s">
        <v>951</v>
      </c>
      <c r="J7418" s="25" t="str">
        <f t="shared" si="85"/>
        <v>No</v>
      </c>
      <c r="K7418" s="25" t="str">
        <f t="shared" si="86"/>
        <v/>
      </c>
      <c r="L7418" s="25" t="str">
        <f t="shared" si="87"/>
        <v/>
      </c>
      <c r="M7418" s="25"/>
      <c r="O7418" s="25"/>
    </row>
    <row r="7419" ht="15.75" customHeight="1">
      <c r="A7419" s="25" t="str">
        <f>IFERROR(__xludf.DUMMYFUNCTION("IF(B7419="""","""",RIGHT(REGEXREPLACE(B7419&amp;"""",""[^0-9]"",""""),9))"),"701564154")</f>
        <v>701564154</v>
      </c>
      <c r="B7419" s="52">
        <v>7.01564154E8</v>
      </c>
      <c r="C7419" s="28" t="s">
        <v>7684</v>
      </c>
      <c r="D7419" s="26" t="s">
        <v>45</v>
      </c>
      <c r="E7419" s="31">
        <v>46244.0</v>
      </c>
      <c r="F7419" s="26" t="s">
        <v>46</v>
      </c>
      <c r="H7419" s="26" t="s">
        <v>140</v>
      </c>
      <c r="I7419" s="26" t="s">
        <v>951</v>
      </c>
      <c r="J7419" s="25" t="str">
        <f t="shared" si="85"/>
        <v>No</v>
      </c>
      <c r="K7419" s="25" t="str">
        <f t="shared" si="86"/>
        <v/>
      </c>
      <c r="L7419" s="25" t="str">
        <f t="shared" si="87"/>
        <v/>
      </c>
      <c r="M7419" s="25"/>
      <c r="O7419" s="25"/>
    </row>
    <row r="7420" ht="15.75" customHeight="1">
      <c r="A7420" s="25" t="str">
        <f>IFERROR(__xludf.DUMMYFUNCTION("IF(B7420="""","""",RIGHT(REGEXREPLACE(B7420&amp;"""",""[^0-9]"",""""),9))"),"779860119")</f>
        <v>779860119</v>
      </c>
      <c r="B7420" s="52">
        <v>7.79860119E8</v>
      </c>
      <c r="C7420" s="28" t="s">
        <v>7685</v>
      </c>
      <c r="D7420" s="26" t="s">
        <v>56</v>
      </c>
      <c r="E7420" s="31">
        <v>46244.0</v>
      </c>
      <c r="F7420" s="26" t="s">
        <v>46</v>
      </c>
      <c r="G7420" s="26">
        <v>9.0</v>
      </c>
      <c r="I7420" s="26" t="s">
        <v>951</v>
      </c>
      <c r="J7420" s="25" t="str">
        <f t="shared" si="85"/>
        <v>No</v>
      </c>
      <c r="K7420" s="25" t="str">
        <f t="shared" si="86"/>
        <v/>
      </c>
      <c r="L7420" s="25" t="str">
        <f t="shared" si="87"/>
        <v/>
      </c>
      <c r="M7420" s="25"/>
      <c r="O7420" s="25"/>
    </row>
    <row r="7421" ht="15.75" customHeight="1">
      <c r="A7421" s="25" t="str">
        <f>IFERROR(__xludf.DUMMYFUNCTION("IF(B7421="""","""",RIGHT(REGEXREPLACE(B7421&amp;"""",""[^0-9]"",""""),9))"),"703975813")</f>
        <v>703975813</v>
      </c>
      <c r="B7421" s="52">
        <v>7.03975813E8</v>
      </c>
      <c r="C7421" s="28" t="s">
        <v>7686</v>
      </c>
      <c r="D7421" s="26" t="s">
        <v>45</v>
      </c>
      <c r="E7421" s="31">
        <v>46244.0</v>
      </c>
      <c r="F7421" s="26" t="s">
        <v>46</v>
      </c>
      <c r="G7421" s="26">
        <v>9.0</v>
      </c>
      <c r="I7421" s="26" t="s">
        <v>951</v>
      </c>
      <c r="J7421" s="25" t="str">
        <f t="shared" si="85"/>
        <v>No</v>
      </c>
      <c r="K7421" s="25" t="str">
        <f t="shared" si="86"/>
        <v/>
      </c>
      <c r="L7421" s="25" t="str">
        <f t="shared" si="87"/>
        <v/>
      </c>
      <c r="M7421" s="25"/>
      <c r="O7421" s="25"/>
    </row>
    <row r="7422" ht="15.75" customHeight="1">
      <c r="A7422" s="25" t="str">
        <f>IFERROR(__xludf.DUMMYFUNCTION("IF(B7422="""","""",RIGHT(REGEXREPLACE(B7422&amp;"""",""[^0-9]"",""""),9))"),"770405937")</f>
        <v>770405937</v>
      </c>
      <c r="B7422" s="52">
        <v>7.70405937E8</v>
      </c>
      <c r="C7422" s="28" t="s">
        <v>7687</v>
      </c>
      <c r="D7422" s="26" t="s">
        <v>82</v>
      </c>
      <c r="E7422" s="31">
        <v>46244.0</v>
      </c>
      <c r="F7422" s="26" t="s">
        <v>46</v>
      </c>
      <c r="G7422" s="26">
        <v>11.0</v>
      </c>
      <c r="I7422" s="26" t="s">
        <v>951</v>
      </c>
      <c r="J7422" s="25" t="str">
        <f t="shared" si="85"/>
        <v>No</v>
      </c>
      <c r="K7422" s="25" t="str">
        <f t="shared" si="86"/>
        <v/>
      </c>
      <c r="L7422" s="25" t="str">
        <f t="shared" si="87"/>
        <v/>
      </c>
      <c r="M7422" s="25"/>
      <c r="O7422" s="25"/>
    </row>
    <row r="7423" ht="15.75" customHeight="1">
      <c r="A7423" s="25" t="str">
        <f>IFERROR(__xludf.DUMMYFUNCTION("IF(B7423="""","""",RIGHT(REGEXREPLACE(B7423&amp;"""",""[^0-9]"",""""),9))"),"740762006")</f>
        <v>740762006</v>
      </c>
      <c r="B7423" s="52">
        <v>7.40762006E8</v>
      </c>
      <c r="C7423" s="28" t="s">
        <v>7688</v>
      </c>
      <c r="D7423" s="26" t="s">
        <v>56</v>
      </c>
      <c r="E7423" s="31">
        <v>46244.0</v>
      </c>
      <c r="F7423" s="26" t="s">
        <v>164</v>
      </c>
      <c r="I7423" s="26" t="s">
        <v>951</v>
      </c>
      <c r="J7423" s="25" t="str">
        <f t="shared" si="85"/>
        <v>No</v>
      </c>
      <c r="K7423" s="25" t="str">
        <f t="shared" si="86"/>
        <v/>
      </c>
      <c r="L7423" s="25" t="str">
        <f t="shared" si="87"/>
        <v/>
      </c>
      <c r="M7423" s="25"/>
      <c r="O7423" s="25"/>
    </row>
    <row r="7424" ht="15.75" customHeight="1">
      <c r="A7424" s="25" t="str">
        <f>IFERROR(__xludf.DUMMYFUNCTION("IF(B7424="""","""",RIGHT(REGEXREPLACE(B7424&amp;"""",""[^0-9]"",""""),9))"),"782674283")</f>
        <v>782674283</v>
      </c>
      <c r="B7424" s="52">
        <v>7.82674283E8</v>
      </c>
      <c r="C7424" s="28" t="s">
        <v>7689</v>
      </c>
      <c r="D7424" s="26" t="s">
        <v>45</v>
      </c>
      <c r="E7424" s="31">
        <v>46244.0</v>
      </c>
      <c r="F7424" s="26" t="s">
        <v>41</v>
      </c>
      <c r="I7424" s="26" t="s">
        <v>951</v>
      </c>
      <c r="J7424" s="25" t="str">
        <f t="shared" si="85"/>
        <v>No</v>
      </c>
      <c r="K7424" s="25" t="str">
        <f t="shared" si="86"/>
        <v/>
      </c>
      <c r="L7424" s="25" t="str">
        <f t="shared" si="87"/>
        <v/>
      </c>
      <c r="M7424" s="25"/>
      <c r="O7424" s="25"/>
    </row>
    <row r="7425" ht="15.75" customHeight="1">
      <c r="A7425" s="25" t="str">
        <f>IFERROR(__xludf.DUMMYFUNCTION("IF(B7425="""","""",RIGHT(REGEXREPLACE(B7425&amp;"""",""[^0-9]"",""""),9))"),"777896403")</f>
        <v>777896403</v>
      </c>
      <c r="B7425" s="52">
        <v>7.77896403E8</v>
      </c>
      <c r="C7425" s="28" t="s">
        <v>7690</v>
      </c>
      <c r="D7425" s="26" t="s">
        <v>82</v>
      </c>
      <c r="E7425" s="31">
        <v>46244.0</v>
      </c>
      <c r="F7425" s="26" t="s">
        <v>46</v>
      </c>
      <c r="G7425" s="26">
        <v>9.0</v>
      </c>
      <c r="H7425" s="26" t="s">
        <v>7691</v>
      </c>
      <c r="I7425" s="26" t="s">
        <v>951</v>
      </c>
      <c r="J7425" s="25" t="str">
        <f t="shared" si="85"/>
        <v>No</v>
      </c>
      <c r="K7425" s="25" t="str">
        <f t="shared" si="86"/>
        <v/>
      </c>
      <c r="L7425" s="25" t="str">
        <f t="shared" si="87"/>
        <v/>
      </c>
      <c r="M7425" s="25"/>
      <c r="O7425" s="25"/>
    </row>
    <row r="7426" ht="15.75" customHeight="1">
      <c r="A7426" s="25" t="str">
        <f>IFERROR(__xludf.DUMMYFUNCTION("IF(B7426="""","""",RIGHT(REGEXREPLACE(B7426&amp;"""",""[^0-9]"",""""),9))"),"770042733")</f>
        <v>770042733</v>
      </c>
      <c r="B7426" s="52">
        <v>7.70042733E8</v>
      </c>
      <c r="C7426" s="28" t="s">
        <v>7692</v>
      </c>
      <c r="D7426" s="26" t="s">
        <v>56</v>
      </c>
      <c r="E7426" s="31">
        <v>46244.0</v>
      </c>
      <c r="F7426" s="26" t="s">
        <v>41</v>
      </c>
      <c r="G7426" s="26">
        <v>9.0</v>
      </c>
      <c r="I7426" s="26" t="s">
        <v>951</v>
      </c>
      <c r="J7426" s="25" t="str">
        <f t="shared" si="85"/>
        <v>No</v>
      </c>
      <c r="K7426" s="25" t="str">
        <f t="shared" si="86"/>
        <v/>
      </c>
      <c r="L7426" s="25" t="str">
        <f t="shared" si="87"/>
        <v/>
      </c>
      <c r="M7426" s="25"/>
      <c r="O7426" s="25"/>
    </row>
    <row r="7427" ht="15.75" customHeight="1">
      <c r="A7427" s="25" t="str">
        <f>IFERROR(__xludf.DUMMYFUNCTION("IF(B7427="""","""",RIGHT(REGEXREPLACE(B7427&amp;"""",""[^0-9]"",""""),9))"),"711836290")</f>
        <v>711836290</v>
      </c>
      <c r="B7427" s="52">
        <v>7.1183629E8</v>
      </c>
      <c r="C7427" s="28" t="s">
        <v>7693</v>
      </c>
      <c r="D7427" s="26" t="s">
        <v>45</v>
      </c>
      <c r="E7427" s="31">
        <v>46244.0</v>
      </c>
      <c r="F7427" s="26" t="s">
        <v>46</v>
      </c>
      <c r="G7427" s="26">
        <v>9.0</v>
      </c>
      <c r="I7427" s="26" t="s">
        <v>951</v>
      </c>
      <c r="J7427" s="25" t="str">
        <f t="shared" si="85"/>
        <v>No</v>
      </c>
      <c r="K7427" s="25" t="str">
        <f t="shared" si="86"/>
        <v/>
      </c>
      <c r="L7427" s="25" t="str">
        <f t="shared" si="87"/>
        <v/>
      </c>
      <c r="M7427" s="25"/>
      <c r="O7427" s="25"/>
    </row>
    <row r="7428" ht="15.75" customHeight="1">
      <c r="A7428" s="25" t="str">
        <f>IFERROR(__xludf.DUMMYFUNCTION("IF(B7428="""","""",RIGHT(REGEXREPLACE(B7428&amp;"""",""[^0-9]"",""""),9))"),"767780718")</f>
        <v>767780718</v>
      </c>
      <c r="B7428" s="52">
        <v>7.67780718E8</v>
      </c>
      <c r="C7428" s="28" t="s">
        <v>7694</v>
      </c>
      <c r="D7428" s="26" t="s">
        <v>56</v>
      </c>
      <c r="E7428" s="31">
        <v>46244.0</v>
      </c>
      <c r="F7428" s="26" t="s">
        <v>46</v>
      </c>
      <c r="G7428" s="26">
        <v>9.0</v>
      </c>
      <c r="I7428" s="26" t="s">
        <v>951</v>
      </c>
      <c r="J7428" s="25" t="str">
        <f t="shared" si="85"/>
        <v>No</v>
      </c>
      <c r="K7428" s="25" t="str">
        <f t="shared" si="86"/>
        <v/>
      </c>
      <c r="L7428" s="25" t="str">
        <f t="shared" si="87"/>
        <v/>
      </c>
      <c r="M7428" s="25"/>
      <c r="O7428" s="25"/>
    </row>
    <row r="7429" ht="15.75" customHeight="1">
      <c r="A7429" s="25" t="str">
        <f>IFERROR(__xludf.DUMMYFUNCTION("IF(B7429="""","""",RIGHT(REGEXREPLACE(B7429&amp;"""",""[^0-9]"",""""),9))"),"772785565")</f>
        <v>772785565</v>
      </c>
      <c r="B7429" s="52">
        <v>7.72785565E8</v>
      </c>
      <c r="C7429" s="28" t="s">
        <v>7695</v>
      </c>
      <c r="D7429" s="26" t="s">
        <v>82</v>
      </c>
      <c r="E7429" s="31">
        <v>46244.0</v>
      </c>
      <c r="F7429" s="26" t="s">
        <v>41</v>
      </c>
      <c r="G7429" s="26">
        <v>10.0</v>
      </c>
      <c r="I7429" s="26" t="s">
        <v>951</v>
      </c>
      <c r="J7429" s="25" t="str">
        <f t="shared" si="85"/>
        <v>No</v>
      </c>
      <c r="K7429" s="25" t="str">
        <f t="shared" si="86"/>
        <v/>
      </c>
      <c r="L7429" s="25" t="str">
        <f t="shared" si="87"/>
        <v/>
      </c>
      <c r="M7429" s="25"/>
      <c r="O7429" s="25"/>
    </row>
    <row r="7430" ht="15.75" customHeight="1">
      <c r="A7430" s="25" t="str">
        <f>IFERROR(__xludf.DUMMYFUNCTION("IF(B7430="""","""",RIGHT(REGEXREPLACE(B7430&amp;"""",""[^0-9]"",""""),9))"),"766794406")</f>
        <v>766794406</v>
      </c>
      <c r="B7430" s="52">
        <v>7.66794406E8</v>
      </c>
      <c r="C7430" s="28" t="s">
        <v>7696</v>
      </c>
      <c r="D7430" s="26" t="s">
        <v>45</v>
      </c>
      <c r="E7430" s="31">
        <v>46244.0</v>
      </c>
      <c r="F7430" s="26" t="s">
        <v>659</v>
      </c>
      <c r="G7430" s="26">
        <v>9.0</v>
      </c>
      <c r="I7430" s="26" t="s">
        <v>951</v>
      </c>
      <c r="J7430" s="25" t="str">
        <f t="shared" si="85"/>
        <v>No</v>
      </c>
      <c r="K7430" s="25" t="str">
        <f t="shared" si="86"/>
        <v/>
      </c>
      <c r="L7430" s="25" t="str">
        <f t="shared" si="87"/>
        <v/>
      </c>
      <c r="M7430" s="25"/>
      <c r="O7430" s="25"/>
    </row>
    <row r="7431" ht="15.75" customHeight="1">
      <c r="A7431" s="25" t="str">
        <f>IFERROR(__xludf.DUMMYFUNCTION("IF(B7431="""","""",RIGHT(REGEXREPLACE(B7431&amp;"""",""[^0-9]"",""""),9))"),"773037449")</f>
        <v>773037449</v>
      </c>
      <c r="B7431" s="52">
        <v>7.73037449E8</v>
      </c>
      <c r="C7431" s="28" t="s">
        <v>7697</v>
      </c>
      <c r="D7431" s="26" t="s">
        <v>64</v>
      </c>
      <c r="E7431" s="31">
        <v>46244.0</v>
      </c>
      <c r="F7431" s="26" t="s">
        <v>46</v>
      </c>
      <c r="G7431" s="26">
        <v>11.0</v>
      </c>
      <c r="I7431" s="26" t="s">
        <v>951</v>
      </c>
      <c r="J7431" s="25" t="str">
        <f t="shared" si="85"/>
        <v>No</v>
      </c>
      <c r="K7431" s="25" t="str">
        <f t="shared" si="86"/>
        <v/>
      </c>
      <c r="L7431" s="25" t="str">
        <f t="shared" si="87"/>
        <v/>
      </c>
      <c r="M7431" s="25"/>
      <c r="O7431" s="25"/>
    </row>
    <row r="7432" ht="15.75" customHeight="1">
      <c r="A7432" s="25" t="str">
        <f>IFERROR(__xludf.DUMMYFUNCTION("IF(B7432="""","""",RIGHT(REGEXREPLACE(B7432&amp;"""",""[^0-9]"",""""),9))"),"714432593")</f>
        <v>714432593</v>
      </c>
      <c r="B7432" s="52">
        <v>7.14432593E8</v>
      </c>
      <c r="C7432" s="28" t="s">
        <v>7698</v>
      </c>
      <c r="D7432" s="26" t="s">
        <v>56</v>
      </c>
      <c r="E7432" s="31">
        <v>46244.0</v>
      </c>
      <c r="F7432" s="26" t="s">
        <v>46</v>
      </c>
      <c r="G7432" s="26">
        <v>10.0</v>
      </c>
      <c r="I7432" s="26" t="s">
        <v>951</v>
      </c>
      <c r="J7432" s="25" t="str">
        <f t="shared" si="85"/>
        <v>No</v>
      </c>
      <c r="K7432" s="25" t="str">
        <f t="shared" si="86"/>
        <v/>
      </c>
      <c r="L7432" s="25" t="str">
        <f t="shared" si="87"/>
        <v/>
      </c>
      <c r="M7432" s="25"/>
      <c r="O7432" s="25"/>
    </row>
    <row r="7433" ht="15.75" customHeight="1">
      <c r="A7433" s="25" t="str">
        <f>IFERROR(__xludf.DUMMYFUNCTION("IF(B7433="""","""",RIGHT(REGEXREPLACE(B7433&amp;"""",""[^0-9]"",""""),9))"),"769066182")</f>
        <v>769066182</v>
      </c>
      <c r="B7433" s="52">
        <v>7.69066182E8</v>
      </c>
      <c r="C7433" s="28" t="s">
        <v>7699</v>
      </c>
      <c r="D7433" s="26" t="s">
        <v>64</v>
      </c>
      <c r="E7433" s="31">
        <v>46244.0</v>
      </c>
      <c r="F7433" s="26" t="s">
        <v>46</v>
      </c>
      <c r="G7433" s="26">
        <v>9.0</v>
      </c>
      <c r="I7433" s="26" t="s">
        <v>951</v>
      </c>
      <c r="J7433" s="25" t="str">
        <f t="shared" si="85"/>
        <v>No</v>
      </c>
      <c r="K7433" s="25" t="str">
        <f t="shared" si="86"/>
        <v/>
      </c>
      <c r="L7433" s="25" t="str">
        <f t="shared" si="87"/>
        <v/>
      </c>
      <c r="M7433" s="25"/>
      <c r="O7433" s="25"/>
    </row>
    <row r="7434" ht="15.75" customHeight="1">
      <c r="A7434" s="25" t="str">
        <f>IFERROR(__xludf.DUMMYFUNCTION("IF(B7434="""","""",RIGHT(REGEXREPLACE(B7434&amp;"""",""[^0-9]"",""""),9))"),"743630166")</f>
        <v>743630166</v>
      </c>
      <c r="B7434" s="52">
        <v>7.43630166E8</v>
      </c>
      <c r="C7434" s="28" t="s">
        <v>7700</v>
      </c>
      <c r="D7434" s="26" t="s">
        <v>82</v>
      </c>
      <c r="E7434" s="31">
        <v>46244.0</v>
      </c>
      <c r="F7434" s="26" t="s">
        <v>41</v>
      </c>
      <c r="G7434" s="26">
        <v>9.0</v>
      </c>
      <c r="I7434" s="26" t="s">
        <v>951</v>
      </c>
      <c r="J7434" s="25" t="str">
        <f t="shared" si="85"/>
        <v>No</v>
      </c>
      <c r="K7434" s="25" t="str">
        <f t="shared" si="86"/>
        <v/>
      </c>
      <c r="L7434" s="25" t="str">
        <f t="shared" si="87"/>
        <v/>
      </c>
      <c r="M7434" s="25"/>
      <c r="O7434" s="25"/>
    </row>
    <row r="7435" ht="15.75" customHeight="1">
      <c r="A7435" s="25" t="str">
        <f>IFERROR(__xludf.DUMMYFUNCTION("IF(B7435="""","""",RIGHT(REGEXREPLACE(B7435&amp;"""",""[^0-9]"",""""),9))"),"773183237")</f>
        <v>773183237</v>
      </c>
      <c r="B7435" s="52">
        <v>7.73183237E8</v>
      </c>
      <c r="C7435" s="28" t="s">
        <v>7701</v>
      </c>
      <c r="D7435" s="26" t="s">
        <v>56</v>
      </c>
      <c r="E7435" s="31">
        <v>46244.0</v>
      </c>
      <c r="F7435" s="26" t="s">
        <v>46</v>
      </c>
      <c r="G7435" s="26">
        <v>8.0</v>
      </c>
      <c r="I7435" s="26" t="s">
        <v>951</v>
      </c>
      <c r="J7435" s="25" t="str">
        <f t="shared" si="85"/>
        <v>No</v>
      </c>
      <c r="K7435" s="25" t="str">
        <f t="shared" si="86"/>
        <v/>
      </c>
      <c r="L7435" s="25" t="str">
        <f t="shared" si="87"/>
        <v/>
      </c>
      <c r="M7435" s="25"/>
      <c r="O7435" s="25"/>
    </row>
    <row r="7436" ht="15.75" customHeight="1">
      <c r="A7436" s="25" t="str">
        <f>IFERROR(__xludf.DUMMYFUNCTION("IF(B7436="""","""",RIGHT(REGEXREPLACE(B7436&amp;"""",""[^0-9]"",""""),9))"),"713783551")</f>
        <v>713783551</v>
      </c>
      <c r="B7436" s="52">
        <v>7.13783551E8</v>
      </c>
      <c r="C7436" s="28" t="s">
        <v>5173</v>
      </c>
      <c r="D7436" s="26" t="s">
        <v>49</v>
      </c>
      <c r="E7436" s="31">
        <v>46244.0</v>
      </c>
      <c r="F7436" s="26" t="s">
        <v>46</v>
      </c>
      <c r="G7436" s="26">
        <v>9.0</v>
      </c>
      <c r="I7436" s="26" t="s">
        <v>951</v>
      </c>
      <c r="J7436" s="25" t="str">
        <f t="shared" si="85"/>
        <v>Yes - see Previous F-Code</v>
      </c>
      <c r="K7436" s="25" t="str">
        <f t="shared" si="86"/>
        <v/>
      </c>
      <c r="L7436" s="25" t="str">
        <f t="shared" si="87"/>
        <v>F74710</v>
      </c>
      <c r="M7436" s="25"/>
      <c r="O7436" s="25"/>
    </row>
    <row r="7437" ht="15.75" customHeight="1">
      <c r="A7437" s="25" t="str">
        <f>IFERROR(__xludf.DUMMYFUNCTION("IF(B7437="""","""",RIGHT(REGEXREPLACE(B7437&amp;"""",""[^0-9]"",""""),9))"),"768870934")</f>
        <v>768870934</v>
      </c>
      <c r="B7437" s="52">
        <v>7.68870934E8</v>
      </c>
      <c r="C7437" s="28" t="s">
        <v>4346</v>
      </c>
      <c r="D7437" s="26" t="s">
        <v>64</v>
      </c>
      <c r="E7437" s="31">
        <v>46244.0</v>
      </c>
      <c r="F7437" s="26" t="s">
        <v>41</v>
      </c>
      <c r="G7437" s="26">
        <v>10.0</v>
      </c>
      <c r="I7437" s="26" t="s">
        <v>951</v>
      </c>
      <c r="J7437" s="25" t="str">
        <f t="shared" si="85"/>
        <v>Yes - see Previous F-Code</v>
      </c>
      <c r="K7437" s="25" t="str">
        <f t="shared" si="86"/>
        <v/>
      </c>
      <c r="L7437" s="25" t="str">
        <f t="shared" si="87"/>
        <v>F73972</v>
      </c>
      <c r="M7437" s="25"/>
      <c r="O7437" s="25"/>
    </row>
    <row r="7438" ht="15.75" customHeight="1">
      <c r="A7438" s="25" t="str">
        <f>IFERROR(__xludf.DUMMYFUNCTION("IF(B7438="""","""",RIGHT(REGEXREPLACE(B7438&amp;"""",""[^0-9]"",""""),9))"),"771399776")</f>
        <v>771399776</v>
      </c>
      <c r="B7438" s="52">
        <v>7.71399776E8</v>
      </c>
      <c r="C7438" s="28" t="s">
        <v>7702</v>
      </c>
      <c r="D7438" s="26" t="s">
        <v>56</v>
      </c>
      <c r="E7438" s="31">
        <v>46244.0</v>
      </c>
      <c r="F7438" s="26" t="s">
        <v>46</v>
      </c>
      <c r="G7438" s="26">
        <v>9.0</v>
      </c>
      <c r="I7438" s="26" t="s">
        <v>951</v>
      </c>
      <c r="J7438" s="25" t="str">
        <f t="shared" si="85"/>
        <v>No</v>
      </c>
      <c r="K7438" s="25" t="str">
        <f t="shared" si="86"/>
        <v/>
      </c>
      <c r="L7438" s="25" t="str">
        <f t="shared" si="87"/>
        <v/>
      </c>
      <c r="M7438" s="25"/>
      <c r="O7438" s="25"/>
    </row>
    <row r="7439" ht="15.75" customHeight="1">
      <c r="A7439" s="25" t="str">
        <f>IFERROR(__xludf.DUMMYFUNCTION("IF(B7439="""","""",RIGHT(REGEXREPLACE(B7439&amp;"""",""[^0-9]"",""""),9))"),"769040681")</f>
        <v>769040681</v>
      </c>
      <c r="B7439" s="52">
        <v>7.69040681E8</v>
      </c>
      <c r="C7439" s="28" t="s">
        <v>2035</v>
      </c>
      <c r="D7439" s="26" t="s">
        <v>64</v>
      </c>
      <c r="E7439" s="31">
        <v>46244.0</v>
      </c>
      <c r="F7439" s="26" t="s">
        <v>41</v>
      </c>
      <c r="I7439" s="26" t="s">
        <v>951</v>
      </c>
      <c r="J7439" s="25" t="str">
        <f t="shared" si="85"/>
        <v>No</v>
      </c>
      <c r="K7439" s="25" t="str">
        <f t="shared" si="86"/>
        <v/>
      </c>
      <c r="L7439" s="25" t="str">
        <f t="shared" si="87"/>
        <v/>
      </c>
      <c r="M7439" s="25"/>
      <c r="O7439" s="25"/>
    </row>
    <row r="7440" ht="15.75" customHeight="1">
      <c r="A7440" s="25" t="str">
        <f>IFERROR(__xludf.DUMMYFUNCTION("IF(B7440="""","""",RIGHT(REGEXREPLACE(B7440&amp;"""",""[^0-9]"",""""),9))"),"755077291")</f>
        <v>755077291</v>
      </c>
      <c r="B7440" s="52">
        <v>7.55077291E8</v>
      </c>
      <c r="C7440" s="28" t="s">
        <v>7703</v>
      </c>
      <c r="D7440" s="26" t="s">
        <v>82</v>
      </c>
      <c r="E7440" s="31">
        <v>46244.0</v>
      </c>
      <c r="F7440" s="26" t="s">
        <v>125</v>
      </c>
      <c r="H7440" s="26" t="s">
        <v>7704</v>
      </c>
      <c r="I7440" s="26" t="s">
        <v>951</v>
      </c>
      <c r="J7440" s="25" t="str">
        <f t="shared" si="85"/>
        <v>No</v>
      </c>
      <c r="K7440" s="25" t="str">
        <f t="shared" si="86"/>
        <v/>
      </c>
      <c r="L7440" s="25" t="str">
        <f t="shared" si="87"/>
        <v/>
      </c>
      <c r="M7440" s="25"/>
      <c r="O7440" s="25"/>
    </row>
    <row r="7441" ht="15.75" customHeight="1">
      <c r="A7441" s="25" t="str">
        <f>IFERROR(__xludf.DUMMYFUNCTION("IF(B7441="""","""",RIGHT(REGEXREPLACE(B7441&amp;"""",""[^0-9]"",""""),9))"),"544806397")</f>
        <v>544806397</v>
      </c>
      <c r="B7441" s="52">
        <v>9.71544806397E11</v>
      </c>
      <c r="C7441" s="28" t="s">
        <v>7705</v>
      </c>
      <c r="D7441" s="26" t="s">
        <v>49</v>
      </c>
      <c r="E7441" s="31">
        <v>46244.0</v>
      </c>
      <c r="F7441" s="25"/>
      <c r="G7441" s="26">
        <v>9.0</v>
      </c>
      <c r="H7441" s="26" t="s">
        <v>7706</v>
      </c>
      <c r="I7441" s="26" t="s">
        <v>951</v>
      </c>
      <c r="J7441" s="25" t="str">
        <f t="shared" si="85"/>
        <v>No</v>
      </c>
      <c r="K7441" s="25" t="str">
        <f t="shared" si="86"/>
        <v/>
      </c>
      <c r="L7441" s="25" t="str">
        <f t="shared" si="87"/>
        <v/>
      </c>
      <c r="M7441" s="25"/>
      <c r="N7441" s="25"/>
      <c r="O7441" s="25"/>
      <c r="P7441" s="25"/>
    </row>
    <row r="7442" ht="15.75" customHeight="1">
      <c r="A7442" s="25" t="str">
        <f>IFERROR(__xludf.DUMMYFUNCTION("IF(B7442="""","""",RIGHT(REGEXREPLACE(B7442&amp;"""",""[^0-9]"",""""),9))"),"778932976")</f>
        <v>778932976</v>
      </c>
      <c r="B7442" s="52">
        <v>7.78932976E8</v>
      </c>
      <c r="C7442" s="28" t="s">
        <v>7707</v>
      </c>
      <c r="D7442" s="26" t="s">
        <v>82</v>
      </c>
      <c r="E7442" s="31">
        <v>46244.0</v>
      </c>
      <c r="F7442" s="26" t="s">
        <v>46</v>
      </c>
      <c r="G7442" s="26">
        <v>9.0</v>
      </c>
      <c r="I7442" s="26" t="s">
        <v>951</v>
      </c>
      <c r="J7442" s="25" t="str">
        <f t="shared" si="85"/>
        <v>No</v>
      </c>
      <c r="K7442" s="25" t="str">
        <f t="shared" si="86"/>
        <v/>
      </c>
      <c r="L7442" s="25" t="str">
        <f t="shared" si="87"/>
        <v/>
      </c>
      <c r="M7442" s="25"/>
      <c r="O7442" s="26" t="s">
        <v>51</v>
      </c>
    </row>
    <row r="7443" ht="15.75" customHeight="1">
      <c r="A7443" s="25" t="str">
        <f>IFERROR(__xludf.DUMMYFUNCTION("IF(B7443="""","""",RIGHT(REGEXREPLACE(B7443&amp;"""",""[^0-9]"",""""),9))"),"776701559")</f>
        <v>776701559</v>
      </c>
      <c r="B7443" s="52">
        <v>7.76701559E8</v>
      </c>
      <c r="C7443" s="28" t="s">
        <v>7708</v>
      </c>
      <c r="D7443" s="26" t="s">
        <v>56</v>
      </c>
      <c r="E7443" s="31">
        <v>46244.0</v>
      </c>
      <c r="F7443" s="26" t="s">
        <v>46</v>
      </c>
      <c r="G7443" s="26">
        <v>10.0</v>
      </c>
      <c r="I7443" s="26" t="s">
        <v>951</v>
      </c>
      <c r="J7443" s="25" t="str">
        <f t="shared" si="85"/>
        <v>No</v>
      </c>
      <c r="K7443" s="25" t="str">
        <f t="shared" si="86"/>
        <v/>
      </c>
      <c r="L7443" s="25" t="str">
        <f t="shared" si="87"/>
        <v/>
      </c>
      <c r="M7443" s="25"/>
      <c r="O7443" s="25"/>
    </row>
    <row r="7444" ht="15.75" customHeight="1">
      <c r="A7444" s="25" t="str">
        <f>IFERROR(__xludf.DUMMYFUNCTION("IF(B7444="""","""",RIGHT(REGEXREPLACE(B7444&amp;"""",""[^0-9]"",""""),9))"),"752773592")</f>
        <v>752773592</v>
      </c>
      <c r="B7444" s="52">
        <v>7.52773592E8</v>
      </c>
      <c r="C7444" s="28" t="s">
        <v>7709</v>
      </c>
      <c r="D7444" s="26" t="s">
        <v>64</v>
      </c>
      <c r="E7444" s="31">
        <v>46244.0</v>
      </c>
      <c r="F7444" s="26" t="s">
        <v>46</v>
      </c>
      <c r="H7444" s="26" t="s">
        <v>763</v>
      </c>
      <c r="I7444" s="26" t="s">
        <v>951</v>
      </c>
      <c r="J7444" s="25" t="str">
        <f t="shared" si="85"/>
        <v>No</v>
      </c>
      <c r="K7444" s="25" t="str">
        <f t="shared" si="86"/>
        <v/>
      </c>
      <c r="L7444" s="25" t="str">
        <f t="shared" si="87"/>
        <v/>
      </c>
      <c r="M7444" s="25"/>
      <c r="O7444" s="25"/>
    </row>
    <row r="7445" ht="15.75" customHeight="1">
      <c r="A7445" s="25" t="str">
        <f>IFERROR(__xludf.DUMMYFUNCTION("IF(B7445="""","""",RIGHT(REGEXREPLACE(B7445&amp;"""",""[^0-9]"",""""),9))"),"778685748")</f>
        <v>778685748</v>
      </c>
      <c r="B7445" s="52">
        <v>7.78685748E8</v>
      </c>
      <c r="C7445" s="28" t="s">
        <v>7710</v>
      </c>
      <c r="D7445" s="26" t="s">
        <v>64</v>
      </c>
      <c r="E7445" s="31">
        <v>46244.0</v>
      </c>
      <c r="F7445" s="26" t="s">
        <v>41</v>
      </c>
      <c r="G7445" s="26">
        <v>9.0</v>
      </c>
      <c r="I7445" s="26" t="s">
        <v>951</v>
      </c>
      <c r="J7445" s="25" t="str">
        <f t="shared" si="85"/>
        <v>No</v>
      </c>
      <c r="K7445" s="25" t="str">
        <f t="shared" si="86"/>
        <v/>
      </c>
      <c r="L7445" s="25" t="str">
        <f t="shared" si="87"/>
        <v/>
      </c>
      <c r="M7445" s="25"/>
      <c r="O7445" s="26" t="s">
        <v>51</v>
      </c>
    </row>
    <row r="7446" ht="15.75" customHeight="1">
      <c r="A7446" s="25" t="str">
        <f>IFERROR(__xludf.DUMMYFUNCTION("IF(B7446="""","""",RIGHT(REGEXREPLACE(B7446&amp;"""",""[^0-9]"",""""),9))"),"702993816")</f>
        <v>702993816</v>
      </c>
      <c r="B7446" s="52">
        <v>7.02993816E8</v>
      </c>
      <c r="C7446" s="28" t="s">
        <v>7711</v>
      </c>
      <c r="D7446" s="26" t="s">
        <v>82</v>
      </c>
      <c r="E7446" s="31">
        <v>46244.0</v>
      </c>
      <c r="F7446" s="26" t="s">
        <v>46</v>
      </c>
      <c r="G7446" s="26">
        <v>9.0</v>
      </c>
      <c r="I7446" s="26" t="s">
        <v>951</v>
      </c>
      <c r="J7446" s="25" t="str">
        <f t="shared" si="85"/>
        <v>No</v>
      </c>
      <c r="K7446" s="25" t="str">
        <f t="shared" si="86"/>
        <v/>
      </c>
      <c r="L7446" s="25" t="str">
        <f t="shared" si="87"/>
        <v/>
      </c>
      <c r="M7446" s="25"/>
      <c r="O7446" s="25"/>
    </row>
    <row r="7447" ht="15.75" customHeight="1">
      <c r="A7447" s="25" t="str">
        <f>IFERROR(__xludf.DUMMYFUNCTION("IF(B7447="""","""",RIGHT(REGEXREPLACE(B7447&amp;"""",""[^0-9]"",""""),9))"),"779287433")</f>
        <v>779287433</v>
      </c>
      <c r="B7447" s="52">
        <v>7.79287433E8</v>
      </c>
      <c r="C7447" s="28" t="s">
        <v>7712</v>
      </c>
      <c r="D7447" s="26" t="s">
        <v>56</v>
      </c>
      <c r="E7447" s="31">
        <v>46244.0</v>
      </c>
      <c r="F7447" s="26" t="s">
        <v>41</v>
      </c>
      <c r="G7447" s="26">
        <v>9.0</v>
      </c>
      <c r="I7447" s="26" t="s">
        <v>951</v>
      </c>
      <c r="J7447" s="25" t="str">
        <f t="shared" si="85"/>
        <v>No</v>
      </c>
      <c r="K7447" s="25" t="str">
        <f t="shared" si="86"/>
        <v/>
      </c>
      <c r="L7447" s="25" t="str">
        <f t="shared" si="87"/>
        <v/>
      </c>
      <c r="M7447" s="25"/>
      <c r="O7447" s="25"/>
    </row>
    <row r="7448" ht="15.75" customHeight="1">
      <c r="A7448" s="25" t="str">
        <f>IFERROR(__xludf.DUMMYFUNCTION("IF(B7448="""","""",RIGHT(REGEXREPLACE(B7448&amp;"""",""[^0-9]"",""""),9))"),"715683228")</f>
        <v>715683228</v>
      </c>
      <c r="B7448" s="52">
        <v>7.15683228E8</v>
      </c>
      <c r="C7448" s="28" t="s">
        <v>7712</v>
      </c>
      <c r="D7448" s="26" t="s">
        <v>49</v>
      </c>
      <c r="E7448" s="31">
        <v>46244.0</v>
      </c>
      <c r="F7448" s="26" t="s">
        <v>41</v>
      </c>
      <c r="I7448" s="26" t="s">
        <v>951</v>
      </c>
      <c r="J7448" s="25" t="str">
        <f t="shared" si="85"/>
        <v>No</v>
      </c>
      <c r="K7448" s="25" t="str">
        <f t="shared" si="86"/>
        <v/>
      </c>
      <c r="L7448" s="25" t="str">
        <f t="shared" si="87"/>
        <v/>
      </c>
      <c r="M7448" s="25"/>
      <c r="O7448" s="25"/>
    </row>
    <row r="7449" ht="15.75" customHeight="1">
      <c r="A7449" s="25" t="str">
        <f>IFERROR(__xludf.DUMMYFUNCTION("IF(B7449="""","""",RIGHT(REGEXREPLACE(B7449&amp;"""",""[^0-9]"",""""),9))"),"703353670")</f>
        <v>703353670</v>
      </c>
      <c r="B7449" s="52">
        <v>7.0335367E8</v>
      </c>
      <c r="C7449" s="28" t="s">
        <v>7713</v>
      </c>
      <c r="D7449" s="26" t="s">
        <v>64</v>
      </c>
      <c r="E7449" s="31">
        <v>46244.0</v>
      </c>
      <c r="F7449" s="26" t="s">
        <v>205</v>
      </c>
      <c r="G7449" s="26">
        <v>9.0</v>
      </c>
      <c r="I7449" s="26" t="s">
        <v>951</v>
      </c>
      <c r="J7449" s="25" t="str">
        <f t="shared" si="85"/>
        <v>No</v>
      </c>
      <c r="K7449" s="25" t="str">
        <f t="shared" si="86"/>
        <v/>
      </c>
      <c r="L7449" s="25" t="str">
        <f t="shared" si="87"/>
        <v/>
      </c>
      <c r="M7449" s="25"/>
      <c r="O7449" s="25"/>
    </row>
    <row r="7450" ht="15.75" customHeight="1">
      <c r="A7450" s="25" t="str">
        <f>IFERROR(__xludf.DUMMYFUNCTION("IF(B7450="""","""",RIGHT(REGEXREPLACE(B7450&amp;"""",""[^0-9]"",""""),9))"),"775251225")</f>
        <v>775251225</v>
      </c>
      <c r="B7450" s="52">
        <v>7.75251225E8</v>
      </c>
      <c r="C7450" s="28" t="s">
        <v>7714</v>
      </c>
      <c r="D7450" s="26" t="s">
        <v>56</v>
      </c>
      <c r="E7450" s="31">
        <v>46244.0</v>
      </c>
      <c r="F7450" s="26" t="s">
        <v>46</v>
      </c>
      <c r="G7450" s="26">
        <v>9.0</v>
      </c>
      <c r="I7450" s="26" t="s">
        <v>951</v>
      </c>
      <c r="J7450" s="25" t="str">
        <f t="shared" si="85"/>
        <v>No</v>
      </c>
      <c r="K7450" s="25" t="str">
        <f t="shared" si="86"/>
        <v/>
      </c>
      <c r="L7450" s="25" t="str">
        <f t="shared" si="87"/>
        <v/>
      </c>
      <c r="M7450" s="25"/>
      <c r="O7450" s="25"/>
    </row>
    <row r="7451" ht="15.75" customHeight="1">
      <c r="A7451" s="25" t="str">
        <f>IFERROR(__xludf.DUMMYFUNCTION("IF(B7451="""","""",RIGHT(REGEXREPLACE(B7451&amp;"""",""[^0-9]"",""""),9))"),"773296882")</f>
        <v>773296882</v>
      </c>
      <c r="B7451" s="52">
        <v>7.73296882E8</v>
      </c>
      <c r="C7451" s="28" t="s">
        <v>7715</v>
      </c>
      <c r="D7451" s="26" t="s">
        <v>56</v>
      </c>
      <c r="E7451" s="31">
        <v>46244.0</v>
      </c>
      <c r="F7451" s="26" t="s">
        <v>46</v>
      </c>
      <c r="G7451" s="26">
        <v>9.0</v>
      </c>
      <c r="I7451" s="26" t="s">
        <v>951</v>
      </c>
      <c r="J7451" s="25" t="str">
        <f t="shared" si="85"/>
        <v>No</v>
      </c>
      <c r="K7451" s="25" t="str">
        <f t="shared" si="86"/>
        <v/>
      </c>
      <c r="L7451" s="25" t="str">
        <f t="shared" si="87"/>
        <v/>
      </c>
      <c r="M7451" s="25"/>
      <c r="O7451" s="25"/>
    </row>
    <row r="7452" ht="15.75" customHeight="1">
      <c r="A7452" s="25" t="str">
        <f>IFERROR(__xludf.DUMMYFUNCTION("IF(B7452="""","""",RIGHT(REGEXREPLACE(B7452&amp;"""",""[^0-9]"",""""),9))"),"742897211")</f>
        <v>742897211</v>
      </c>
      <c r="B7452" s="52">
        <v>7.42897211E8</v>
      </c>
      <c r="C7452" s="28" t="s">
        <v>7716</v>
      </c>
      <c r="D7452" s="26" t="s">
        <v>49</v>
      </c>
      <c r="E7452" s="31">
        <v>46244.0</v>
      </c>
      <c r="F7452" s="26" t="s">
        <v>46</v>
      </c>
      <c r="G7452" s="26">
        <v>9.0</v>
      </c>
      <c r="I7452" s="26" t="s">
        <v>951</v>
      </c>
      <c r="J7452" s="25" t="str">
        <f t="shared" si="85"/>
        <v>No</v>
      </c>
      <c r="K7452" s="25" t="str">
        <f t="shared" si="86"/>
        <v/>
      </c>
      <c r="L7452" s="25" t="str">
        <f t="shared" si="87"/>
        <v/>
      </c>
      <c r="M7452" s="25"/>
      <c r="O7452" s="25"/>
    </row>
    <row r="7453" ht="15.75" customHeight="1">
      <c r="A7453" s="25" t="str">
        <f>IFERROR(__xludf.DUMMYFUNCTION("IF(B7453="""","""",RIGHT(REGEXREPLACE(B7453&amp;"""",""[^0-9]"",""""),9))"),"762578312")</f>
        <v>762578312</v>
      </c>
      <c r="B7453" s="52">
        <v>7.62578312E8</v>
      </c>
      <c r="C7453" s="28" t="s">
        <v>7717</v>
      </c>
      <c r="D7453" s="26" t="s">
        <v>82</v>
      </c>
      <c r="E7453" s="31">
        <v>46244.0</v>
      </c>
      <c r="F7453" s="26" t="s">
        <v>46</v>
      </c>
      <c r="G7453" s="26">
        <v>9.0</v>
      </c>
      <c r="I7453" s="26" t="s">
        <v>951</v>
      </c>
      <c r="J7453" s="25" t="str">
        <f t="shared" si="85"/>
        <v>No</v>
      </c>
      <c r="K7453" s="25" t="str">
        <f t="shared" si="86"/>
        <v/>
      </c>
      <c r="L7453" s="25" t="str">
        <f t="shared" si="87"/>
        <v/>
      </c>
      <c r="M7453" s="25"/>
      <c r="O7453" s="25"/>
    </row>
    <row r="7454" ht="15.75" customHeight="1">
      <c r="A7454" s="25" t="str">
        <f>IFERROR(__xludf.DUMMYFUNCTION("IF(B7454="""","""",RIGHT(REGEXREPLACE(B7454&amp;"""",""[^0-9]"",""""),9))"),"773739019")</f>
        <v>773739019</v>
      </c>
      <c r="B7454" s="52">
        <v>7.73739019E8</v>
      </c>
      <c r="C7454" s="28" t="s">
        <v>7718</v>
      </c>
      <c r="D7454" s="26" t="s">
        <v>49</v>
      </c>
      <c r="E7454" s="31">
        <v>46244.0</v>
      </c>
      <c r="F7454" s="26" t="s">
        <v>41</v>
      </c>
      <c r="I7454" s="26" t="s">
        <v>951</v>
      </c>
      <c r="J7454" s="25" t="str">
        <f t="shared" si="85"/>
        <v>No</v>
      </c>
      <c r="K7454" s="25" t="str">
        <f t="shared" si="86"/>
        <v/>
      </c>
      <c r="L7454" s="25" t="str">
        <f t="shared" si="87"/>
        <v/>
      </c>
      <c r="M7454" s="25"/>
      <c r="O7454" s="25"/>
    </row>
    <row r="7455" ht="15.75" customHeight="1">
      <c r="A7455" s="25" t="str">
        <f>IFERROR(__xludf.DUMMYFUNCTION("IF(B7455="""","""",RIGHT(REGEXREPLACE(B7455&amp;"""",""[^0-9]"",""""),9))"),"778461310")</f>
        <v>778461310</v>
      </c>
      <c r="B7455" s="52">
        <v>7.7846131E8</v>
      </c>
      <c r="C7455" s="28" t="s">
        <v>7719</v>
      </c>
      <c r="D7455" s="26" t="s">
        <v>64</v>
      </c>
      <c r="E7455" s="31">
        <v>46244.0</v>
      </c>
      <c r="F7455" s="26" t="s">
        <v>46</v>
      </c>
      <c r="H7455" s="26" t="s">
        <v>763</v>
      </c>
      <c r="I7455" s="26" t="s">
        <v>951</v>
      </c>
      <c r="J7455" s="25" t="str">
        <f t="shared" si="85"/>
        <v>No</v>
      </c>
      <c r="K7455" s="25" t="str">
        <f t="shared" si="86"/>
        <v/>
      </c>
      <c r="L7455" s="25" t="str">
        <f t="shared" si="87"/>
        <v/>
      </c>
      <c r="M7455" s="25"/>
      <c r="O7455" s="25"/>
    </row>
    <row r="7456" ht="15.75" customHeight="1">
      <c r="A7456" s="25" t="str">
        <f>IFERROR(__xludf.DUMMYFUNCTION("IF(B7456="""","""",RIGHT(REGEXREPLACE(B7456&amp;"""",""[^0-9]"",""""),9))"),"772818498")</f>
        <v>772818498</v>
      </c>
      <c r="B7456" s="52">
        <v>7.72818498E8</v>
      </c>
      <c r="C7456" s="28" t="s">
        <v>7720</v>
      </c>
      <c r="D7456" s="26" t="s">
        <v>82</v>
      </c>
      <c r="E7456" s="31">
        <v>46244.0</v>
      </c>
      <c r="F7456" s="26" t="s">
        <v>125</v>
      </c>
      <c r="G7456" s="26">
        <v>7.0</v>
      </c>
      <c r="H7456" s="26" t="s">
        <v>7721</v>
      </c>
      <c r="I7456" s="26" t="s">
        <v>951</v>
      </c>
      <c r="J7456" s="25" t="str">
        <f t="shared" si="85"/>
        <v>No</v>
      </c>
      <c r="K7456" s="25" t="str">
        <f t="shared" si="86"/>
        <v/>
      </c>
      <c r="L7456" s="25" t="str">
        <f t="shared" si="87"/>
        <v/>
      </c>
      <c r="M7456" s="25"/>
      <c r="O7456" s="25"/>
    </row>
    <row r="7457" ht="15.75" customHeight="1">
      <c r="A7457" s="25" t="str">
        <f>IFERROR(__xludf.DUMMYFUNCTION("IF(B7457="""","""",RIGHT(REGEXREPLACE(B7457&amp;"""",""[^0-9]"",""""),9))"),"766142305")</f>
        <v>766142305</v>
      </c>
      <c r="B7457" s="52">
        <v>7.66142305E8</v>
      </c>
      <c r="C7457" s="28" t="s">
        <v>7722</v>
      </c>
      <c r="D7457" s="26" t="s">
        <v>56</v>
      </c>
      <c r="E7457" s="31">
        <v>46244.0</v>
      </c>
      <c r="F7457" s="26" t="s">
        <v>46</v>
      </c>
      <c r="G7457" s="26" t="s">
        <v>2105</v>
      </c>
      <c r="I7457" s="26" t="s">
        <v>951</v>
      </c>
      <c r="J7457" s="25" t="str">
        <f t="shared" si="85"/>
        <v>No</v>
      </c>
      <c r="K7457" s="25" t="str">
        <f t="shared" si="86"/>
        <v/>
      </c>
      <c r="L7457" s="25" t="str">
        <f t="shared" si="87"/>
        <v/>
      </c>
      <c r="M7457" s="25"/>
      <c r="O7457" s="25"/>
    </row>
    <row r="7458" ht="15.75" customHeight="1">
      <c r="A7458" s="25" t="str">
        <f>IFERROR(__xludf.DUMMYFUNCTION("IF(B7458="""","""",RIGHT(REGEXREPLACE(B7458&amp;"""",""[^0-9]"",""""),9))"),"764758875")</f>
        <v>764758875</v>
      </c>
      <c r="B7458" s="52">
        <v>7.64758875E8</v>
      </c>
      <c r="C7458" s="28" t="s">
        <v>7723</v>
      </c>
      <c r="D7458" s="26" t="s">
        <v>56</v>
      </c>
      <c r="E7458" s="31">
        <v>46244.0</v>
      </c>
      <c r="F7458" s="26" t="s">
        <v>46</v>
      </c>
      <c r="G7458" s="26">
        <v>9.0</v>
      </c>
      <c r="I7458" s="26" t="s">
        <v>951</v>
      </c>
      <c r="J7458" s="25" t="str">
        <f t="shared" si="85"/>
        <v>No</v>
      </c>
      <c r="K7458" s="25" t="str">
        <f t="shared" si="86"/>
        <v/>
      </c>
      <c r="L7458" s="25" t="str">
        <f t="shared" si="87"/>
        <v/>
      </c>
      <c r="M7458" s="25"/>
      <c r="O7458" s="25"/>
    </row>
    <row r="7459" ht="15.75" customHeight="1">
      <c r="A7459" s="25" t="str">
        <f>IFERROR(__xludf.DUMMYFUNCTION("IF(B7459="""","""",RIGHT(REGEXREPLACE(B7459&amp;"""",""[^0-9]"",""""),9))"),"710161557")</f>
        <v>710161557</v>
      </c>
      <c r="B7459" s="52">
        <v>7.10161557E8</v>
      </c>
      <c r="C7459" s="28" t="s">
        <v>7724</v>
      </c>
      <c r="D7459" s="26" t="s">
        <v>49</v>
      </c>
      <c r="E7459" s="31">
        <v>46244.0</v>
      </c>
      <c r="F7459" s="26" t="s">
        <v>46</v>
      </c>
      <c r="G7459" s="26">
        <v>10.0</v>
      </c>
      <c r="I7459" s="26" t="s">
        <v>951</v>
      </c>
      <c r="J7459" s="25" t="str">
        <f t="shared" si="85"/>
        <v>No</v>
      </c>
      <c r="K7459" s="25" t="str">
        <f t="shared" si="86"/>
        <v/>
      </c>
      <c r="L7459" s="25" t="str">
        <f t="shared" si="87"/>
        <v/>
      </c>
      <c r="M7459" s="25"/>
      <c r="O7459" s="25"/>
    </row>
    <row r="7460" ht="15.75" customHeight="1">
      <c r="A7460" s="25" t="str">
        <f>IFERROR(__xludf.DUMMYFUNCTION("IF(B7460="""","""",RIGHT(REGEXREPLACE(B7460&amp;"""",""[^0-9]"",""""),9))"),"702624004")</f>
        <v>702624004</v>
      </c>
      <c r="B7460" s="52">
        <v>7.02624004E8</v>
      </c>
      <c r="C7460" s="28" t="s">
        <v>7725</v>
      </c>
      <c r="D7460" s="26" t="s">
        <v>64</v>
      </c>
      <c r="E7460" s="31">
        <v>46244.0</v>
      </c>
      <c r="F7460" s="26" t="s">
        <v>205</v>
      </c>
      <c r="I7460" s="26" t="s">
        <v>951</v>
      </c>
      <c r="J7460" s="25" t="str">
        <f t="shared" si="85"/>
        <v>No</v>
      </c>
      <c r="K7460" s="25" t="str">
        <f t="shared" si="86"/>
        <v/>
      </c>
      <c r="L7460" s="25" t="str">
        <f t="shared" si="87"/>
        <v/>
      </c>
      <c r="M7460" s="25"/>
      <c r="O7460" s="25"/>
    </row>
    <row r="7461" ht="15.75" customHeight="1">
      <c r="A7461" s="25" t="str">
        <f>IFERROR(__xludf.DUMMYFUNCTION("IF(B7461="""","""",RIGHT(REGEXREPLACE(B7461&amp;"""",""[^0-9]"",""""),9))"),"774321083")</f>
        <v>774321083</v>
      </c>
      <c r="B7461" s="52">
        <v>7.74321083E8</v>
      </c>
      <c r="C7461" s="28" t="s">
        <v>7726</v>
      </c>
      <c r="D7461" s="26" t="s">
        <v>82</v>
      </c>
      <c r="E7461" s="31">
        <v>46244.0</v>
      </c>
      <c r="F7461" s="26" t="s">
        <v>46</v>
      </c>
      <c r="G7461" s="26">
        <v>9.0</v>
      </c>
      <c r="H7461" s="26" t="s">
        <v>7727</v>
      </c>
      <c r="I7461" s="26" t="s">
        <v>951</v>
      </c>
      <c r="J7461" s="25" t="str">
        <f t="shared" si="85"/>
        <v>No</v>
      </c>
      <c r="K7461" s="25" t="str">
        <f t="shared" si="86"/>
        <v/>
      </c>
      <c r="L7461" s="25" t="str">
        <f t="shared" si="87"/>
        <v/>
      </c>
      <c r="M7461" s="25"/>
      <c r="O7461" s="25"/>
    </row>
    <row r="7462" ht="15.75" customHeight="1">
      <c r="A7462" s="25" t="str">
        <f>IFERROR(__xludf.DUMMYFUNCTION("IF(B7462="""","""",RIGHT(REGEXREPLACE(B7462&amp;"""",""[^0-9]"",""""),9))"),"753773340")</f>
        <v>753773340</v>
      </c>
      <c r="B7462" s="52">
        <v>7.5377334E8</v>
      </c>
      <c r="C7462" s="28" t="s">
        <v>7728</v>
      </c>
      <c r="D7462" s="26" t="s">
        <v>64</v>
      </c>
      <c r="E7462" s="31">
        <v>46244.0</v>
      </c>
      <c r="F7462" s="26" t="s">
        <v>46</v>
      </c>
      <c r="G7462" s="26">
        <v>9.0</v>
      </c>
      <c r="I7462" s="26" t="s">
        <v>951</v>
      </c>
      <c r="J7462" s="25" t="str">
        <f t="shared" si="85"/>
        <v>No</v>
      </c>
      <c r="K7462" s="25" t="str">
        <f t="shared" si="86"/>
        <v/>
      </c>
      <c r="L7462" s="25" t="str">
        <f t="shared" si="87"/>
        <v/>
      </c>
      <c r="M7462" s="25"/>
      <c r="O7462" s="25"/>
    </row>
    <row r="7463" ht="15.75" customHeight="1">
      <c r="A7463" s="25" t="str">
        <f>IFERROR(__xludf.DUMMYFUNCTION("IF(B7463="""","""",RIGHT(REGEXREPLACE(B7463&amp;"""",""[^0-9]"",""""),9))"),"715850187")</f>
        <v>715850187</v>
      </c>
      <c r="B7463" s="52">
        <v>7.15850187E8</v>
      </c>
      <c r="C7463" s="28" t="s">
        <v>7729</v>
      </c>
      <c r="D7463" s="26" t="s">
        <v>82</v>
      </c>
      <c r="E7463" s="31">
        <v>46244.0</v>
      </c>
      <c r="F7463" s="26" t="s">
        <v>41</v>
      </c>
      <c r="G7463" s="26">
        <v>9.0</v>
      </c>
      <c r="I7463" s="26" t="s">
        <v>951</v>
      </c>
      <c r="J7463" s="25" t="str">
        <f t="shared" si="85"/>
        <v>No</v>
      </c>
      <c r="K7463" s="25" t="str">
        <f t="shared" si="86"/>
        <v/>
      </c>
      <c r="L7463" s="25" t="str">
        <f t="shared" si="87"/>
        <v/>
      </c>
      <c r="M7463" s="25"/>
      <c r="O7463" s="25"/>
    </row>
    <row r="7464" ht="15.75" customHeight="1">
      <c r="A7464" s="25" t="str">
        <f>IFERROR(__xludf.DUMMYFUNCTION("IF(B7464="""","""",RIGHT(REGEXREPLACE(B7464&amp;"""",""[^0-9]"",""""),9))"),"740554637")</f>
        <v>740554637</v>
      </c>
      <c r="B7464" s="52">
        <v>7.40554637E8</v>
      </c>
      <c r="C7464" s="28" t="s">
        <v>7730</v>
      </c>
      <c r="D7464" s="26" t="s">
        <v>64</v>
      </c>
      <c r="E7464" s="31">
        <v>46244.0</v>
      </c>
      <c r="F7464" s="26" t="s">
        <v>46</v>
      </c>
      <c r="G7464" s="26">
        <v>7.0</v>
      </c>
      <c r="H7464" s="26" t="s">
        <v>78</v>
      </c>
      <c r="I7464" s="26" t="s">
        <v>951</v>
      </c>
      <c r="J7464" s="25" t="str">
        <f t="shared" si="85"/>
        <v>No</v>
      </c>
      <c r="K7464" s="25" t="str">
        <f t="shared" si="86"/>
        <v/>
      </c>
      <c r="L7464" s="25" t="str">
        <f t="shared" si="87"/>
        <v/>
      </c>
      <c r="M7464" s="25"/>
      <c r="O7464" s="25"/>
    </row>
    <row r="7465" ht="15.75" customHeight="1">
      <c r="A7465" s="25" t="str">
        <f>IFERROR(__xludf.DUMMYFUNCTION("IF(B7465="""","""",RIGHT(REGEXREPLACE(B7465&amp;"""",""[^0-9]"",""""),9))"),"774182871")</f>
        <v>774182871</v>
      </c>
      <c r="B7465" s="52">
        <v>7.74182871E8</v>
      </c>
      <c r="C7465" s="28" t="s">
        <v>7730</v>
      </c>
      <c r="D7465" s="26" t="s">
        <v>56</v>
      </c>
      <c r="E7465" s="31">
        <v>46244.0</v>
      </c>
      <c r="F7465" s="26" t="s">
        <v>125</v>
      </c>
      <c r="I7465" s="26" t="s">
        <v>951</v>
      </c>
      <c r="J7465" s="25" t="str">
        <f t="shared" si="85"/>
        <v>No</v>
      </c>
      <c r="K7465" s="25" t="str">
        <f t="shared" si="86"/>
        <v/>
      </c>
      <c r="L7465" s="25" t="str">
        <f t="shared" si="87"/>
        <v/>
      </c>
      <c r="M7465" s="25"/>
      <c r="O7465" s="25"/>
    </row>
    <row r="7466" ht="15.75" customHeight="1">
      <c r="A7466" s="25" t="str">
        <f>IFERROR(__xludf.DUMMYFUNCTION("IF(B7466="""","""",RIGHT(REGEXREPLACE(B7466&amp;"""",""[^0-9]"",""""),9))"),"716491044")</f>
        <v>716491044</v>
      </c>
      <c r="B7466" s="52">
        <v>7.16491044E8</v>
      </c>
      <c r="C7466" s="28" t="s">
        <v>7731</v>
      </c>
      <c r="D7466" s="26" t="s">
        <v>64</v>
      </c>
      <c r="E7466" s="31">
        <v>46244.0</v>
      </c>
      <c r="F7466" s="26" t="s">
        <v>46</v>
      </c>
      <c r="G7466" s="26">
        <v>9.0</v>
      </c>
      <c r="I7466" s="26" t="s">
        <v>951</v>
      </c>
      <c r="J7466" s="25" t="str">
        <f t="shared" si="85"/>
        <v>No</v>
      </c>
      <c r="K7466" s="25" t="str">
        <f t="shared" si="86"/>
        <v/>
      </c>
      <c r="L7466" s="25" t="str">
        <f t="shared" si="87"/>
        <v/>
      </c>
      <c r="M7466" s="25"/>
      <c r="O7466" s="26" t="s">
        <v>51</v>
      </c>
    </row>
    <row r="7467" ht="15.75" customHeight="1">
      <c r="A7467" s="25" t="str">
        <f>IFERROR(__xludf.DUMMYFUNCTION("IF(B7467="""","""",RIGHT(REGEXREPLACE(B7467&amp;"""",""[^0-9]"",""""),9))"),"774322746")</f>
        <v>774322746</v>
      </c>
      <c r="B7467" s="52">
        <v>7.74322746E8</v>
      </c>
      <c r="C7467" s="28" t="s">
        <v>1537</v>
      </c>
      <c r="D7467" s="26" t="s">
        <v>56</v>
      </c>
      <c r="E7467" s="31">
        <v>46244.0</v>
      </c>
      <c r="F7467" s="26" t="s">
        <v>46</v>
      </c>
      <c r="G7467" s="26">
        <v>11.0</v>
      </c>
      <c r="I7467" s="26" t="s">
        <v>951</v>
      </c>
      <c r="J7467" s="25" t="str">
        <f t="shared" si="85"/>
        <v>Yes - see Previous F-Code</v>
      </c>
      <c r="K7467" s="25" t="str">
        <f t="shared" si="86"/>
        <v/>
      </c>
      <c r="L7467" s="25" t="str">
        <f t="shared" si="87"/>
        <v>F71258</v>
      </c>
      <c r="M7467" s="25"/>
      <c r="O7467" s="25"/>
    </row>
    <row r="7468" ht="15.75" customHeight="1">
      <c r="A7468" s="25" t="str">
        <f>IFERROR(__xludf.DUMMYFUNCTION("IF(B7468="""","""",RIGHT(REGEXREPLACE(B7468&amp;"""",""[^0-9]"",""""),9))"),"718342888")</f>
        <v>718342888</v>
      </c>
      <c r="B7468" s="52">
        <v>7.18342888E8</v>
      </c>
      <c r="C7468" s="28" t="s">
        <v>7732</v>
      </c>
      <c r="D7468" s="26" t="s">
        <v>82</v>
      </c>
      <c r="E7468" s="31">
        <v>46244.0</v>
      </c>
      <c r="F7468" s="26" t="s">
        <v>46</v>
      </c>
      <c r="G7468" s="26">
        <v>9.0</v>
      </c>
      <c r="I7468" s="26" t="s">
        <v>951</v>
      </c>
      <c r="J7468" s="25" t="str">
        <f t="shared" si="85"/>
        <v>No</v>
      </c>
      <c r="K7468" s="25" t="str">
        <f t="shared" si="86"/>
        <v/>
      </c>
      <c r="L7468" s="25" t="str">
        <f t="shared" si="87"/>
        <v/>
      </c>
      <c r="M7468" s="25"/>
      <c r="O7468" s="25"/>
    </row>
    <row r="7469" ht="15.75" customHeight="1">
      <c r="A7469" s="25" t="str">
        <f>IFERROR(__xludf.DUMMYFUNCTION("IF(B7469="""","""",RIGHT(REGEXREPLACE(B7469&amp;"""",""[^0-9]"",""""),9))"),"724600411")</f>
        <v>724600411</v>
      </c>
      <c r="B7469" s="52">
        <v>7.24600411E8</v>
      </c>
      <c r="C7469" s="28" t="s">
        <v>7733</v>
      </c>
      <c r="D7469" s="26" t="s">
        <v>64</v>
      </c>
      <c r="E7469" s="31">
        <v>46244.0</v>
      </c>
      <c r="F7469" s="26" t="s">
        <v>41</v>
      </c>
      <c r="I7469" s="26" t="s">
        <v>951</v>
      </c>
      <c r="J7469" s="25" t="str">
        <f t="shared" si="85"/>
        <v>No</v>
      </c>
      <c r="K7469" s="25" t="str">
        <f t="shared" si="86"/>
        <v/>
      </c>
      <c r="L7469" s="25" t="str">
        <f t="shared" si="87"/>
        <v/>
      </c>
      <c r="M7469" s="25"/>
      <c r="O7469" s="25"/>
    </row>
    <row r="7470" ht="15.75" customHeight="1">
      <c r="A7470" s="25" t="str">
        <f>IFERROR(__xludf.DUMMYFUNCTION("IF(B7470="""","""",RIGHT(REGEXREPLACE(B7470&amp;"""",""[^0-9]"",""""),9))"),"772126997")</f>
        <v>772126997</v>
      </c>
      <c r="B7470" s="52">
        <v>7.72126997E8</v>
      </c>
      <c r="C7470" s="28" t="s">
        <v>7734</v>
      </c>
      <c r="D7470" s="26" t="s">
        <v>49</v>
      </c>
      <c r="E7470" s="31">
        <v>46244.0</v>
      </c>
      <c r="F7470" s="26" t="s">
        <v>41</v>
      </c>
      <c r="G7470" s="26">
        <v>7.0</v>
      </c>
      <c r="I7470" s="26" t="s">
        <v>951</v>
      </c>
      <c r="J7470" s="25" t="str">
        <f t="shared" si="85"/>
        <v>No</v>
      </c>
      <c r="K7470" s="25" t="str">
        <f t="shared" si="86"/>
        <v/>
      </c>
      <c r="L7470" s="25" t="str">
        <f t="shared" si="87"/>
        <v/>
      </c>
      <c r="M7470" s="25"/>
      <c r="O7470" s="25"/>
    </row>
    <row r="7471" ht="15.75" customHeight="1">
      <c r="A7471" s="25" t="str">
        <f>IFERROR(__xludf.DUMMYFUNCTION("IF(B7471="""","""",RIGHT(REGEXREPLACE(B7471&amp;"""",""[^0-9]"",""""),9))"),"773187611")</f>
        <v>773187611</v>
      </c>
      <c r="B7471" s="52">
        <v>7.73187611E8</v>
      </c>
      <c r="C7471" s="28" t="s">
        <v>7735</v>
      </c>
      <c r="D7471" s="26" t="s">
        <v>56</v>
      </c>
      <c r="E7471" s="31">
        <v>46244.0</v>
      </c>
      <c r="F7471" s="26" t="s">
        <v>46</v>
      </c>
      <c r="G7471" s="26">
        <v>9.0</v>
      </c>
      <c r="I7471" s="26" t="s">
        <v>951</v>
      </c>
      <c r="J7471" s="25" t="str">
        <f t="shared" si="85"/>
        <v>No</v>
      </c>
      <c r="K7471" s="25" t="str">
        <f t="shared" si="86"/>
        <v/>
      </c>
      <c r="L7471" s="25" t="str">
        <f t="shared" si="87"/>
        <v/>
      </c>
      <c r="M7471" s="25"/>
      <c r="O7471" s="25"/>
    </row>
    <row r="7472" ht="15.75" customHeight="1">
      <c r="A7472" s="25" t="str">
        <f>IFERROR(__xludf.DUMMYFUNCTION("IF(B7472="""","""",RIGHT(REGEXREPLACE(B7472&amp;"""",""[^0-9]"",""""),9))"),"713574832")</f>
        <v>713574832</v>
      </c>
      <c r="B7472" s="52">
        <v>7.13574832E8</v>
      </c>
      <c r="C7472" s="28" t="s">
        <v>7736</v>
      </c>
      <c r="D7472" s="26" t="s">
        <v>64</v>
      </c>
      <c r="E7472" s="31">
        <v>46244.0</v>
      </c>
      <c r="F7472" s="26" t="s">
        <v>46</v>
      </c>
      <c r="G7472" s="26">
        <v>9.0</v>
      </c>
      <c r="I7472" s="26" t="s">
        <v>951</v>
      </c>
      <c r="J7472" s="25" t="str">
        <f t="shared" si="85"/>
        <v>No</v>
      </c>
      <c r="K7472" s="25" t="str">
        <f t="shared" si="86"/>
        <v/>
      </c>
      <c r="L7472" s="25" t="str">
        <f t="shared" si="87"/>
        <v/>
      </c>
      <c r="M7472" s="25"/>
      <c r="O7472" s="25"/>
    </row>
    <row r="7473" ht="15.75" customHeight="1">
      <c r="A7473" s="25" t="str">
        <f>IFERROR(__xludf.DUMMYFUNCTION("IF(B7473="""","""",RIGHT(REGEXREPLACE(B7473&amp;"""",""[^0-9]"",""""),9))"),"773819069")</f>
        <v>773819069</v>
      </c>
      <c r="B7473" s="52">
        <v>7.73819069E8</v>
      </c>
      <c r="C7473" s="28" t="s">
        <v>7737</v>
      </c>
      <c r="D7473" s="26" t="s">
        <v>82</v>
      </c>
      <c r="E7473" s="31">
        <v>46244.0</v>
      </c>
      <c r="F7473" s="26" t="s">
        <v>46</v>
      </c>
      <c r="G7473" s="26">
        <v>8.0</v>
      </c>
      <c r="I7473" s="26" t="s">
        <v>951</v>
      </c>
      <c r="J7473" s="25" t="str">
        <f t="shared" si="85"/>
        <v>No</v>
      </c>
      <c r="K7473" s="25" t="str">
        <f t="shared" si="86"/>
        <v/>
      </c>
      <c r="L7473" s="25" t="str">
        <f t="shared" si="87"/>
        <v/>
      </c>
      <c r="M7473" s="25"/>
      <c r="O7473" s="25"/>
    </row>
    <row r="7474" ht="15.75" customHeight="1">
      <c r="A7474" s="25" t="str">
        <f>IFERROR(__xludf.DUMMYFUNCTION("IF(B7474="""","""",RIGHT(REGEXREPLACE(B7474&amp;"""",""[^0-9]"",""""),9))"),"716560921")</f>
        <v>716560921</v>
      </c>
      <c r="B7474" s="52">
        <v>7.16560921E8</v>
      </c>
      <c r="C7474" s="28" t="s">
        <v>7738</v>
      </c>
      <c r="D7474" s="26" t="s">
        <v>56</v>
      </c>
      <c r="E7474" s="31">
        <v>46244.0</v>
      </c>
      <c r="F7474" s="26" t="s">
        <v>41</v>
      </c>
      <c r="I7474" s="26" t="s">
        <v>951</v>
      </c>
      <c r="J7474" s="25" t="str">
        <f t="shared" si="85"/>
        <v>No</v>
      </c>
      <c r="K7474" s="25" t="str">
        <f t="shared" si="86"/>
        <v/>
      </c>
      <c r="L7474" s="25" t="str">
        <f t="shared" si="87"/>
        <v/>
      </c>
      <c r="M7474" s="25"/>
      <c r="O7474" s="25"/>
    </row>
    <row r="7475" ht="15.75" customHeight="1">
      <c r="A7475" s="25" t="str">
        <f>IFERROR(__xludf.DUMMYFUNCTION("IF(B7475="""","""",RIGHT(REGEXREPLACE(B7475&amp;"""",""[^0-9]"",""""),9))"),"705796191")</f>
        <v>705796191</v>
      </c>
      <c r="B7475" s="52">
        <v>7.05796191E8</v>
      </c>
      <c r="C7475" s="28" t="s">
        <v>7739</v>
      </c>
      <c r="D7475" s="26" t="s">
        <v>49</v>
      </c>
      <c r="E7475" s="31">
        <v>46244.0</v>
      </c>
      <c r="F7475" s="26" t="s">
        <v>46</v>
      </c>
      <c r="G7475" s="26">
        <v>10.0</v>
      </c>
      <c r="I7475" s="26" t="s">
        <v>951</v>
      </c>
      <c r="J7475" s="25" t="str">
        <f t="shared" si="85"/>
        <v>No</v>
      </c>
      <c r="K7475" s="25" t="str">
        <f t="shared" si="86"/>
        <v/>
      </c>
      <c r="L7475" s="25" t="str">
        <f t="shared" si="87"/>
        <v/>
      </c>
      <c r="M7475" s="25"/>
      <c r="O7475" s="25"/>
    </row>
    <row r="7476" ht="15.75" customHeight="1">
      <c r="A7476" s="25" t="str">
        <f>IFERROR(__xludf.DUMMYFUNCTION("IF(B7476="""","""",RIGHT(REGEXREPLACE(B7476&amp;"""",""[^0-9]"",""""),9))"),"771176943")</f>
        <v>771176943</v>
      </c>
      <c r="B7476" s="52">
        <v>7.71176943E8</v>
      </c>
      <c r="C7476" s="28" t="s">
        <v>7740</v>
      </c>
      <c r="D7476" s="26" t="s">
        <v>64</v>
      </c>
      <c r="E7476" s="31">
        <v>46244.0</v>
      </c>
      <c r="F7476" s="26" t="s">
        <v>46</v>
      </c>
      <c r="G7476" s="26">
        <v>9.0</v>
      </c>
      <c r="I7476" s="26" t="s">
        <v>951</v>
      </c>
      <c r="J7476" s="25" t="str">
        <f t="shared" si="85"/>
        <v>No</v>
      </c>
      <c r="K7476" s="25" t="str">
        <f t="shared" si="86"/>
        <v/>
      </c>
      <c r="L7476" s="25" t="str">
        <f t="shared" si="87"/>
        <v/>
      </c>
      <c r="M7476" s="25"/>
      <c r="O7476" s="25"/>
    </row>
    <row r="7477" ht="15.75" customHeight="1">
      <c r="A7477" s="25" t="str">
        <f>IFERROR(__xludf.DUMMYFUNCTION("IF(B7477="""","""",RIGHT(REGEXREPLACE(B7477&amp;"""",""[^0-9]"",""""),9))"),"766363818")</f>
        <v>766363818</v>
      </c>
      <c r="B7477" s="52">
        <v>7.66363818E8</v>
      </c>
      <c r="C7477" s="28" t="s">
        <v>7741</v>
      </c>
      <c r="D7477" s="26" t="s">
        <v>56</v>
      </c>
      <c r="E7477" s="31">
        <v>46244.0</v>
      </c>
      <c r="F7477" s="26" t="s">
        <v>46</v>
      </c>
      <c r="G7477" s="26">
        <v>9.0</v>
      </c>
      <c r="I7477" s="26" t="s">
        <v>951</v>
      </c>
      <c r="J7477" s="25" t="str">
        <f t="shared" si="85"/>
        <v>No</v>
      </c>
      <c r="K7477" s="25" t="str">
        <f t="shared" si="86"/>
        <v/>
      </c>
      <c r="L7477" s="25" t="str">
        <f t="shared" si="87"/>
        <v/>
      </c>
      <c r="M7477" s="25"/>
      <c r="O7477" s="25"/>
    </row>
    <row r="7478" ht="15.75" customHeight="1">
      <c r="A7478" s="25" t="str">
        <f>IFERROR(__xludf.DUMMYFUNCTION("IF(B7478="""","""",RIGHT(REGEXREPLACE(B7478&amp;"""",""[^0-9]"",""""),9))"),"789934770")</f>
        <v>789934770</v>
      </c>
      <c r="B7478" s="52">
        <v>7.8993477E8</v>
      </c>
      <c r="C7478" s="28" t="s">
        <v>7742</v>
      </c>
      <c r="D7478" s="26" t="s">
        <v>64</v>
      </c>
      <c r="E7478" s="31">
        <v>46244.0</v>
      </c>
      <c r="F7478" s="26" t="s">
        <v>46</v>
      </c>
      <c r="G7478" s="26">
        <v>6.0</v>
      </c>
      <c r="I7478" s="26" t="s">
        <v>951</v>
      </c>
      <c r="J7478" s="25" t="str">
        <f t="shared" si="85"/>
        <v>No</v>
      </c>
      <c r="K7478" s="25" t="str">
        <f t="shared" si="86"/>
        <v/>
      </c>
      <c r="L7478" s="25" t="str">
        <f t="shared" si="87"/>
        <v/>
      </c>
      <c r="M7478" s="25"/>
      <c r="O7478" s="25"/>
    </row>
    <row r="7479" ht="15.75" customHeight="1">
      <c r="A7479" s="25" t="str">
        <f>IFERROR(__xludf.DUMMYFUNCTION("IF(B7479="""","""",RIGHT(REGEXREPLACE(B7479&amp;"""",""[^0-9]"",""""),9))"),"741215156")</f>
        <v>741215156</v>
      </c>
      <c r="B7479" s="52">
        <v>7.41215156E8</v>
      </c>
      <c r="C7479" s="28" t="s">
        <v>7743</v>
      </c>
      <c r="D7479" s="26" t="s">
        <v>82</v>
      </c>
      <c r="E7479" s="31">
        <v>46244.0</v>
      </c>
      <c r="F7479" s="26" t="s">
        <v>41</v>
      </c>
      <c r="G7479" s="26">
        <v>9.0</v>
      </c>
      <c r="I7479" s="26" t="s">
        <v>951</v>
      </c>
      <c r="J7479" s="25" t="str">
        <f t="shared" si="85"/>
        <v>No</v>
      </c>
      <c r="K7479" s="25" t="str">
        <f t="shared" si="86"/>
        <v/>
      </c>
      <c r="L7479" s="25" t="str">
        <f t="shared" si="87"/>
        <v/>
      </c>
      <c r="M7479" s="25"/>
      <c r="O7479" s="25"/>
    </row>
    <row r="7480" ht="15.75" customHeight="1">
      <c r="A7480" s="25" t="str">
        <f>IFERROR(__xludf.DUMMYFUNCTION("IF(B7480="""","""",RIGHT(REGEXREPLACE(B7480&amp;"""",""[^0-9]"",""""),9))"),"716073905")</f>
        <v>716073905</v>
      </c>
      <c r="B7480" s="52">
        <v>7.16073905E8</v>
      </c>
      <c r="C7480" s="28" t="s">
        <v>7744</v>
      </c>
      <c r="D7480" s="26" t="s">
        <v>56</v>
      </c>
      <c r="E7480" s="31">
        <v>46244.0</v>
      </c>
      <c r="F7480" s="26" t="s">
        <v>46</v>
      </c>
      <c r="G7480" s="26">
        <v>9.0</v>
      </c>
      <c r="I7480" s="26" t="s">
        <v>951</v>
      </c>
      <c r="J7480" s="25" t="str">
        <f t="shared" si="85"/>
        <v>No</v>
      </c>
      <c r="K7480" s="25" t="str">
        <f t="shared" si="86"/>
        <v/>
      </c>
      <c r="L7480" s="25" t="str">
        <f t="shared" si="87"/>
        <v/>
      </c>
      <c r="M7480" s="25"/>
      <c r="O7480" s="25"/>
    </row>
    <row r="7481" ht="15.75" customHeight="1">
      <c r="A7481" s="25" t="str">
        <f>IFERROR(__xludf.DUMMYFUNCTION("IF(B7481="""","""",RIGHT(REGEXREPLACE(B7481&amp;"""",""[^0-9]"",""""),9))"),"717523331")</f>
        <v>717523331</v>
      </c>
      <c r="B7481" s="52">
        <v>7.17523331E8</v>
      </c>
      <c r="C7481" s="28" t="s">
        <v>7745</v>
      </c>
      <c r="D7481" s="26" t="s">
        <v>49</v>
      </c>
      <c r="E7481" s="31">
        <v>46244.0</v>
      </c>
      <c r="F7481" s="26" t="s">
        <v>659</v>
      </c>
      <c r="I7481" s="26" t="s">
        <v>951</v>
      </c>
      <c r="J7481" s="25" t="str">
        <f t="shared" si="85"/>
        <v>No</v>
      </c>
      <c r="K7481" s="25" t="str">
        <f t="shared" si="86"/>
        <v/>
      </c>
      <c r="L7481" s="25" t="str">
        <f t="shared" si="87"/>
        <v/>
      </c>
      <c r="M7481" s="25"/>
      <c r="O7481" s="25"/>
    </row>
    <row r="7482" ht="15.75" customHeight="1">
      <c r="A7482" s="25" t="str">
        <f>IFERROR(__xludf.DUMMYFUNCTION("IF(B7482="""","""",RIGHT(REGEXREPLACE(B7482&amp;"""",""[^0-9]"",""""),9))"),"764554486")</f>
        <v>764554486</v>
      </c>
      <c r="B7482" s="52">
        <v>7.64554486E8</v>
      </c>
      <c r="C7482" s="28" t="s">
        <v>7746</v>
      </c>
      <c r="D7482" s="26" t="s">
        <v>82</v>
      </c>
      <c r="E7482" s="31">
        <v>46244.0</v>
      </c>
      <c r="F7482" s="26" t="s">
        <v>46</v>
      </c>
      <c r="G7482" s="26">
        <v>9.0</v>
      </c>
      <c r="I7482" s="26" t="s">
        <v>951</v>
      </c>
      <c r="J7482" s="25" t="str">
        <f t="shared" si="85"/>
        <v>No</v>
      </c>
      <c r="K7482" s="25" t="str">
        <f t="shared" si="86"/>
        <v/>
      </c>
      <c r="L7482" s="25" t="str">
        <f t="shared" si="87"/>
        <v/>
      </c>
      <c r="M7482" s="25"/>
      <c r="O7482" s="25"/>
    </row>
    <row r="7483" ht="15.75" customHeight="1">
      <c r="A7483" s="25" t="str">
        <f>IFERROR(__xludf.DUMMYFUNCTION("IF(B7483="""","""",RIGHT(REGEXREPLACE(B7483&amp;"""",""[^0-9]"",""""),9))"),"764833062")</f>
        <v>764833062</v>
      </c>
      <c r="B7483" s="52">
        <v>7.64833062E8</v>
      </c>
      <c r="C7483" s="28" t="s">
        <v>7747</v>
      </c>
      <c r="D7483" s="26" t="s">
        <v>49</v>
      </c>
      <c r="E7483" s="31">
        <v>46244.0</v>
      </c>
      <c r="F7483" s="26" t="s">
        <v>41</v>
      </c>
      <c r="G7483" s="26">
        <v>9.0</v>
      </c>
      <c r="I7483" s="26" t="s">
        <v>951</v>
      </c>
      <c r="J7483" s="25" t="str">
        <f t="shared" si="85"/>
        <v>No</v>
      </c>
      <c r="K7483" s="25" t="str">
        <f t="shared" si="86"/>
        <v/>
      </c>
      <c r="L7483" s="25" t="str">
        <f t="shared" si="87"/>
        <v/>
      </c>
      <c r="M7483" s="25"/>
      <c r="O7483" s="25"/>
    </row>
    <row r="7484" ht="15.75" customHeight="1">
      <c r="A7484" s="25" t="str">
        <f>IFERROR(__xludf.DUMMYFUNCTION("IF(B7484="""","""",RIGHT(REGEXREPLACE(B7484&amp;"""",""[^0-9]"",""""),9))"),"701317445")</f>
        <v>701317445</v>
      </c>
      <c r="B7484" s="52">
        <v>7.01317445E8</v>
      </c>
      <c r="C7484" s="28" t="s">
        <v>7748</v>
      </c>
      <c r="D7484" s="26" t="s">
        <v>64</v>
      </c>
      <c r="E7484" s="31">
        <v>46244.0</v>
      </c>
      <c r="F7484" s="26" t="s">
        <v>205</v>
      </c>
      <c r="G7484" s="26">
        <v>9.0</v>
      </c>
      <c r="I7484" s="26" t="s">
        <v>951</v>
      </c>
      <c r="J7484" s="25" t="str">
        <f t="shared" si="85"/>
        <v>No</v>
      </c>
      <c r="K7484" s="25" t="str">
        <f t="shared" si="86"/>
        <v/>
      </c>
      <c r="L7484" s="25" t="str">
        <f t="shared" si="87"/>
        <v/>
      </c>
      <c r="M7484" s="25"/>
      <c r="O7484" s="25"/>
    </row>
    <row r="7485" ht="15.75" customHeight="1">
      <c r="A7485" s="25" t="str">
        <f>IFERROR(__xludf.DUMMYFUNCTION("IF(B7485="""","""",RIGHT(REGEXREPLACE(B7485&amp;"""",""[^0-9]"",""""),9))"),"713686545")</f>
        <v>713686545</v>
      </c>
      <c r="B7485" s="52">
        <v>7.13686545E8</v>
      </c>
      <c r="C7485" s="28" t="s">
        <v>7749</v>
      </c>
      <c r="D7485" s="26" t="s">
        <v>56</v>
      </c>
      <c r="E7485" s="31">
        <v>46244.0</v>
      </c>
      <c r="F7485" s="26" t="s">
        <v>41</v>
      </c>
      <c r="G7485" s="26">
        <v>9.0</v>
      </c>
      <c r="I7485" s="26" t="s">
        <v>951</v>
      </c>
      <c r="J7485" s="25" t="str">
        <f t="shared" si="85"/>
        <v>No</v>
      </c>
      <c r="K7485" s="25" t="str">
        <f t="shared" si="86"/>
        <v/>
      </c>
      <c r="L7485" s="25" t="str">
        <f t="shared" si="87"/>
        <v/>
      </c>
      <c r="M7485" s="25"/>
      <c r="O7485" s="25"/>
    </row>
    <row r="7486" ht="15.75" customHeight="1">
      <c r="A7486" s="25" t="str">
        <f>IFERROR(__xludf.DUMMYFUNCTION("IF(B7486="""","""",RIGHT(REGEXREPLACE(B7486&amp;"""",""[^0-9]"",""""),9))"),"774612499")</f>
        <v>774612499</v>
      </c>
      <c r="B7486" s="52">
        <v>7.74612499E8</v>
      </c>
      <c r="C7486" s="28" t="s">
        <v>7750</v>
      </c>
      <c r="D7486" s="26" t="s">
        <v>45</v>
      </c>
      <c r="E7486" s="31">
        <v>46244.0</v>
      </c>
      <c r="F7486" s="26" t="s">
        <v>46</v>
      </c>
      <c r="G7486" s="26">
        <v>10.0</v>
      </c>
      <c r="I7486" s="26" t="s">
        <v>951</v>
      </c>
      <c r="J7486" s="25" t="str">
        <f t="shared" si="85"/>
        <v>No</v>
      </c>
      <c r="K7486" s="25" t="str">
        <f t="shared" si="86"/>
        <v/>
      </c>
      <c r="L7486" s="25" t="str">
        <f t="shared" si="87"/>
        <v/>
      </c>
      <c r="M7486" s="25"/>
      <c r="O7486" s="25"/>
    </row>
    <row r="7487" ht="15.75" customHeight="1">
      <c r="A7487" s="25" t="str">
        <f>IFERROR(__xludf.DUMMYFUNCTION("IF(B7487="""","""",RIGHT(REGEXREPLACE(B7487&amp;"""",""[^0-9]"",""""),9))"),"764787733")</f>
        <v>764787733</v>
      </c>
      <c r="B7487" s="52">
        <v>7.64787733E8</v>
      </c>
      <c r="C7487" s="28" t="s">
        <v>7382</v>
      </c>
      <c r="D7487" s="26" t="s">
        <v>56</v>
      </c>
      <c r="E7487" s="31">
        <v>46244.0</v>
      </c>
      <c r="F7487" s="26" t="s">
        <v>46</v>
      </c>
      <c r="G7487" s="26">
        <v>9.0</v>
      </c>
      <c r="I7487" s="26" t="s">
        <v>951</v>
      </c>
      <c r="J7487" s="25" t="str">
        <f t="shared" si="85"/>
        <v>Yes - see Previous F-Code</v>
      </c>
      <c r="K7487" s="25" t="str">
        <f t="shared" si="86"/>
        <v>DUPLICATE - CHECK</v>
      </c>
      <c r="L7487" s="25" t="str">
        <f t="shared" si="87"/>
        <v>F76317</v>
      </c>
      <c r="M7487" s="25"/>
      <c r="O7487" s="26" t="s">
        <v>51</v>
      </c>
    </row>
    <row r="7488" ht="15.75" customHeight="1">
      <c r="A7488" s="25" t="str">
        <f>IFERROR(__xludf.DUMMYFUNCTION("IF(B7488="""","""",RIGHT(REGEXREPLACE(B7488&amp;"""",""[^0-9]"",""""),9))"),"778723877")</f>
        <v>778723877</v>
      </c>
      <c r="B7488" s="52">
        <v>7.78723877E8</v>
      </c>
      <c r="C7488" s="28" t="s">
        <v>7751</v>
      </c>
      <c r="D7488" s="26" t="s">
        <v>49</v>
      </c>
      <c r="E7488" s="31">
        <v>46244.0</v>
      </c>
      <c r="F7488" s="26" t="s">
        <v>41</v>
      </c>
      <c r="I7488" s="26" t="s">
        <v>951</v>
      </c>
      <c r="J7488" s="25" t="str">
        <f t="shared" si="85"/>
        <v>No</v>
      </c>
      <c r="K7488" s="25" t="str">
        <f t="shared" si="86"/>
        <v/>
      </c>
      <c r="L7488" s="25" t="str">
        <f t="shared" si="87"/>
        <v/>
      </c>
      <c r="M7488" s="25"/>
      <c r="O7488" s="25"/>
    </row>
    <row r="7489" ht="15.75" customHeight="1">
      <c r="A7489" s="25" t="str">
        <f>IFERROR(__xludf.DUMMYFUNCTION("IF(B7489="""","""",RIGHT(REGEXREPLACE(B7489&amp;"""",""[^0-9]"",""""),9))"),"764778430")</f>
        <v>764778430</v>
      </c>
      <c r="B7489" s="52">
        <v>7.6477843E8</v>
      </c>
      <c r="C7489" s="28" t="s">
        <v>7752</v>
      </c>
      <c r="D7489" s="26" t="s">
        <v>82</v>
      </c>
      <c r="E7489" s="31">
        <v>46244.0</v>
      </c>
      <c r="F7489" s="26" t="s">
        <v>46</v>
      </c>
      <c r="G7489" s="26">
        <v>9.0</v>
      </c>
      <c r="I7489" s="26" t="s">
        <v>951</v>
      </c>
      <c r="J7489" s="25" t="str">
        <f t="shared" si="85"/>
        <v>No</v>
      </c>
      <c r="K7489" s="25" t="str">
        <f t="shared" si="86"/>
        <v/>
      </c>
      <c r="L7489" s="25" t="str">
        <f t="shared" si="87"/>
        <v/>
      </c>
      <c r="M7489" s="25"/>
      <c r="O7489" s="25"/>
    </row>
    <row r="7490" ht="15.75" customHeight="1">
      <c r="A7490" s="25" t="str">
        <f>IFERROR(__xludf.DUMMYFUNCTION("IF(B7490="""","""",RIGHT(REGEXREPLACE(B7490&amp;"""",""[^0-9]"",""""),9))"),"768638782")</f>
        <v>768638782</v>
      </c>
      <c r="B7490" s="52">
        <v>7.68638782E8</v>
      </c>
      <c r="C7490" s="28" t="s">
        <v>7753</v>
      </c>
      <c r="D7490" s="26" t="s">
        <v>64</v>
      </c>
      <c r="E7490" s="31">
        <v>46244.0</v>
      </c>
      <c r="F7490" s="26" t="s">
        <v>205</v>
      </c>
      <c r="G7490" s="26">
        <v>11.0</v>
      </c>
      <c r="I7490" s="26" t="s">
        <v>951</v>
      </c>
      <c r="J7490" s="25" t="str">
        <f t="shared" si="85"/>
        <v>No</v>
      </c>
      <c r="K7490" s="25" t="str">
        <f t="shared" si="86"/>
        <v/>
      </c>
      <c r="L7490" s="25" t="str">
        <f t="shared" si="87"/>
        <v/>
      </c>
      <c r="M7490" s="25"/>
      <c r="O7490" s="25"/>
    </row>
    <row r="7491" ht="15.75" customHeight="1">
      <c r="A7491" s="25" t="str">
        <f>IFERROR(__xludf.DUMMYFUNCTION("IF(B7491="""","""",RIGHT(REGEXREPLACE(B7491&amp;"""",""[^0-9]"",""""),9))"),"767108644")</f>
        <v>767108644</v>
      </c>
      <c r="B7491" s="52">
        <v>7.67108644E8</v>
      </c>
      <c r="C7491" s="28" t="s">
        <v>7754</v>
      </c>
      <c r="D7491" s="26" t="s">
        <v>56</v>
      </c>
      <c r="E7491" s="31">
        <v>46244.0</v>
      </c>
      <c r="F7491" s="26" t="s">
        <v>46</v>
      </c>
      <c r="G7491" s="26">
        <v>9.0</v>
      </c>
      <c r="I7491" s="26" t="s">
        <v>951</v>
      </c>
      <c r="J7491" s="25" t="str">
        <f t="shared" si="85"/>
        <v>No</v>
      </c>
      <c r="K7491" s="25" t="str">
        <f t="shared" si="86"/>
        <v/>
      </c>
      <c r="L7491" s="25" t="str">
        <f t="shared" si="87"/>
        <v/>
      </c>
      <c r="M7491" s="25"/>
      <c r="O7491" s="26" t="s">
        <v>51</v>
      </c>
    </row>
    <row r="7492" ht="15.75" customHeight="1">
      <c r="A7492" s="25" t="str">
        <f>IFERROR(__xludf.DUMMYFUNCTION("IF(B7492="""","""",RIGHT(REGEXREPLACE(B7492&amp;"""",""[^0-9]"",""""),9))"),"740756809")</f>
        <v>740756809</v>
      </c>
      <c r="B7492" s="52">
        <v>7.40756809E8</v>
      </c>
      <c r="C7492" s="28" t="s">
        <v>7755</v>
      </c>
      <c r="D7492" s="26" t="s">
        <v>45</v>
      </c>
      <c r="E7492" s="31">
        <v>46244.0</v>
      </c>
      <c r="F7492" s="26" t="s">
        <v>125</v>
      </c>
      <c r="I7492" s="26" t="s">
        <v>951</v>
      </c>
      <c r="J7492" s="25" t="str">
        <f t="shared" si="85"/>
        <v>No</v>
      </c>
      <c r="K7492" s="25" t="str">
        <f t="shared" si="86"/>
        <v/>
      </c>
      <c r="L7492" s="25" t="str">
        <f t="shared" si="87"/>
        <v/>
      </c>
      <c r="M7492" s="25"/>
      <c r="O7492" s="25"/>
    </row>
    <row r="7493" ht="15.75" customHeight="1">
      <c r="A7493" s="25" t="str">
        <f>IFERROR(__xludf.DUMMYFUNCTION("IF(B7493="""","""",RIGHT(REGEXREPLACE(B7493&amp;"""",""[^0-9]"",""""),9))"),"768252763")</f>
        <v>768252763</v>
      </c>
      <c r="B7493" s="52">
        <v>7.68252763E8</v>
      </c>
      <c r="C7493" s="28" t="s">
        <v>7756</v>
      </c>
      <c r="D7493" s="26" t="s">
        <v>82</v>
      </c>
      <c r="E7493" s="31">
        <v>46244.0</v>
      </c>
      <c r="F7493" s="26" t="s">
        <v>46</v>
      </c>
      <c r="G7493" s="26">
        <v>9.0</v>
      </c>
      <c r="I7493" s="26" t="s">
        <v>951</v>
      </c>
      <c r="J7493" s="25" t="str">
        <f t="shared" si="85"/>
        <v>No</v>
      </c>
      <c r="K7493" s="25" t="str">
        <f t="shared" si="86"/>
        <v/>
      </c>
      <c r="L7493" s="25" t="str">
        <f t="shared" si="87"/>
        <v/>
      </c>
      <c r="M7493" s="25"/>
      <c r="O7493" s="26" t="s">
        <v>51</v>
      </c>
    </row>
    <row r="7494" ht="15.75" customHeight="1">
      <c r="A7494" s="25" t="str">
        <f>IFERROR(__xludf.DUMMYFUNCTION("IF(B7494="""","""",RIGHT(REGEXREPLACE(B7494&amp;"""",""[^0-9]"",""""),9))"),"775225103")</f>
        <v>775225103</v>
      </c>
      <c r="B7494" s="52">
        <v>7.75225103E8</v>
      </c>
      <c r="C7494" s="28" t="s">
        <v>7757</v>
      </c>
      <c r="D7494" s="26" t="s">
        <v>56</v>
      </c>
      <c r="E7494" s="31">
        <v>46244.0</v>
      </c>
      <c r="F7494" s="26" t="s">
        <v>46</v>
      </c>
      <c r="G7494" s="26">
        <v>9.0</v>
      </c>
      <c r="I7494" s="26" t="s">
        <v>951</v>
      </c>
      <c r="J7494" s="25" t="str">
        <f t="shared" si="85"/>
        <v>No</v>
      </c>
      <c r="K7494" s="25" t="str">
        <f t="shared" si="86"/>
        <v/>
      </c>
      <c r="L7494" s="25" t="str">
        <f t="shared" si="87"/>
        <v/>
      </c>
      <c r="M7494" s="25"/>
      <c r="O7494" s="25"/>
    </row>
    <row r="7495" ht="15.75" customHeight="1">
      <c r="A7495" s="25" t="str">
        <f>IFERROR(__xludf.DUMMYFUNCTION("IF(B7495="""","""",RIGHT(REGEXREPLACE(B7495&amp;"""",""[^0-9]"",""""),9))"),"741381684")</f>
        <v>741381684</v>
      </c>
      <c r="B7495" s="52">
        <v>7.41381684E8</v>
      </c>
      <c r="C7495" s="28" t="s">
        <v>7758</v>
      </c>
      <c r="D7495" s="26" t="s">
        <v>56</v>
      </c>
      <c r="E7495" s="31">
        <v>46244.0</v>
      </c>
      <c r="F7495" s="26" t="s">
        <v>46</v>
      </c>
      <c r="G7495" s="26">
        <v>10.0</v>
      </c>
      <c r="I7495" s="26" t="s">
        <v>951</v>
      </c>
      <c r="J7495" s="25" t="str">
        <f t="shared" si="85"/>
        <v>No</v>
      </c>
      <c r="K7495" s="25" t="str">
        <f t="shared" si="86"/>
        <v/>
      </c>
      <c r="L7495" s="25" t="str">
        <f t="shared" si="87"/>
        <v/>
      </c>
      <c r="M7495" s="25"/>
      <c r="O7495" s="25"/>
    </row>
    <row r="7496" ht="15.75" customHeight="1">
      <c r="A7496" s="25" t="str">
        <f>IFERROR(__xludf.DUMMYFUNCTION("IF(B7496="""","""",RIGHT(REGEXREPLACE(B7496&amp;"""",""[^0-9]"",""""),9))"),"762852619")</f>
        <v>762852619</v>
      </c>
      <c r="B7496" s="52">
        <v>7.62852619E8</v>
      </c>
      <c r="C7496" s="28" t="s">
        <v>7759</v>
      </c>
      <c r="D7496" s="26" t="s">
        <v>49</v>
      </c>
      <c r="E7496" s="31">
        <v>46244.0</v>
      </c>
      <c r="F7496" s="26" t="s">
        <v>46</v>
      </c>
      <c r="G7496" s="26">
        <v>8.0</v>
      </c>
      <c r="I7496" s="26" t="s">
        <v>951</v>
      </c>
      <c r="J7496" s="25" t="str">
        <f t="shared" si="85"/>
        <v>No</v>
      </c>
      <c r="K7496" s="25" t="str">
        <f t="shared" si="86"/>
        <v/>
      </c>
      <c r="L7496" s="25" t="str">
        <f t="shared" si="87"/>
        <v/>
      </c>
      <c r="M7496" s="25"/>
      <c r="O7496" s="25"/>
    </row>
    <row r="7497" ht="15.75" customHeight="1">
      <c r="A7497" s="25" t="str">
        <f>IFERROR(__xludf.DUMMYFUNCTION("IF(B7497="""","""",RIGHT(REGEXREPLACE(B7497&amp;"""",""[^0-9]"",""""),9))"),"766226939")</f>
        <v>766226939</v>
      </c>
      <c r="B7497" s="52">
        <v>7.66226939E8</v>
      </c>
      <c r="C7497" s="28" t="s">
        <v>7760</v>
      </c>
      <c r="D7497" s="26" t="s">
        <v>64</v>
      </c>
      <c r="E7497" s="31">
        <v>46244.0</v>
      </c>
      <c r="F7497" s="26" t="s">
        <v>41</v>
      </c>
      <c r="I7497" s="26" t="s">
        <v>951</v>
      </c>
      <c r="J7497" s="25" t="str">
        <f t="shared" si="85"/>
        <v>No</v>
      </c>
      <c r="K7497" s="25" t="str">
        <f t="shared" si="86"/>
        <v/>
      </c>
      <c r="L7497" s="25" t="str">
        <f t="shared" si="87"/>
        <v/>
      </c>
      <c r="M7497" s="25"/>
      <c r="O7497" s="25"/>
    </row>
    <row r="7498" ht="15.75" customHeight="1">
      <c r="A7498" s="25" t="str">
        <f>IFERROR(__xludf.DUMMYFUNCTION("IF(B7498="""","""",RIGHT(REGEXREPLACE(B7498&amp;"""",""[^0-9]"",""""),9))"),"777659268")</f>
        <v>777659268</v>
      </c>
      <c r="B7498" s="52">
        <v>7.77659268E8</v>
      </c>
      <c r="C7498" s="28" t="s">
        <v>7761</v>
      </c>
      <c r="D7498" s="26" t="s">
        <v>82</v>
      </c>
      <c r="E7498" s="31">
        <v>46244.0</v>
      </c>
      <c r="F7498" s="26" t="s">
        <v>46</v>
      </c>
      <c r="G7498" s="26">
        <v>9.0</v>
      </c>
      <c r="I7498" s="26" t="s">
        <v>951</v>
      </c>
      <c r="J7498" s="25" t="str">
        <f t="shared" si="85"/>
        <v>No</v>
      </c>
      <c r="K7498" s="25" t="str">
        <f t="shared" si="86"/>
        <v/>
      </c>
      <c r="L7498" s="25" t="str">
        <f t="shared" si="87"/>
        <v/>
      </c>
      <c r="M7498" s="25"/>
      <c r="O7498" s="25"/>
    </row>
    <row r="7499" ht="15.75" customHeight="1">
      <c r="A7499" s="25" t="str">
        <f>IFERROR(__xludf.DUMMYFUNCTION("IF(B7499="""","""",RIGHT(REGEXREPLACE(B7499&amp;"""",""[^0-9]"",""""),9))"),"767144715")</f>
        <v>767144715</v>
      </c>
      <c r="B7499" s="52">
        <v>7.67144715E8</v>
      </c>
      <c r="C7499" s="28" t="s">
        <v>7226</v>
      </c>
      <c r="D7499" s="26" t="s">
        <v>64</v>
      </c>
      <c r="E7499" s="31">
        <v>46244.0</v>
      </c>
      <c r="F7499" s="26" t="s">
        <v>205</v>
      </c>
      <c r="I7499" s="26" t="s">
        <v>951</v>
      </c>
      <c r="J7499" s="25" t="str">
        <f t="shared" si="85"/>
        <v>No</v>
      </c>
      <c r="K7499" s="25" t="str">
        <f t="shared" si="86"/>
        <v/>
      </c>
      <c r="L7499" s="25" t="str">
        <f t="shared" si="87"/>
        <v/>
      </c>
      <c r="M7499" s="25"/>
      <c r="O7499" s="25"/>
    </row>
    <row r="7500" ht="15.75" customHeight="1">
      <c r="A7500" s="25" t="str">
        <f>IFERROR(__xludf.DUMMYFUNCTION("IF(B7500="""","""",RIGHT(REGEXREPLACE(B7500&amp;"""",""[^0-9]"",""""),9))"),"771839053")</f>
        <v>771839053</v>
      </c>
      <c r="B7500" s="52">
        <v>7.71839053E8</v>
      </c>
      <c r="C7500" s="28" t="s">
        <v>7762</v>
      </c>
      <c r="D7500" s="26" t="s">
        <v>56</v>
      </c>
      <c r="E7500" s="31">
        <v>46244.0</v>
      </c>
      <c r="F7500" s="26" t="s">
        <v>46</v>
      </c>
      <c r="G7500" s="26">
        <v>6.0</v>
      </c>
      <c r="I7500" s="26" t="s">
        <v>951</v>
      </c>
      <c r="J7500" s="25" t="str">
        <f t="shared" si="85"/>
        <v>No</v>
      </c>
      <c r="K7500" s="25" t="str">
        <f t="shared" si="86"/>
        <v/>
      </c>
      <c r="L7500" s="25" t="str">
        <f t="shared" si="87"/>
        <v/>
      </c>
      <c r="M7500" s="25"/>
      <c r="O7500" s="26" t="s">
        <v>51</v>
      </c>
    </row>
    <row r="7501" ht="15.75" customHeight="1">
      <c r="A7501" s="25" t="str">
        <f>IFERROR(__xludf.DUMMYFUNCTION("IF(B7501="""","""",RIGHT(REGEXREPLACE(B7501&amp;"""",""[^0-9]"",""""),9))"),"771839053")</f>
        <v>771839053</v>
      </c>
      <c r="B7501" s="52">
        <v>7.71839053E8</v>
      </c>
      <c r="C7501" s="28" t="s">
        <v>7762</v>
      </c>
      <c r="D7501" s="25"/>
      <c r="E7501" s="31">
        <v>46244.0</v>
      </c>
      <c r="F7501" s="25"/>
      <c r="G7501" s="25"/>
      <c r="H7501" s="25"/>
      <c r="I7501" s="26" t="s">
        <v>951</v>
      </c>
      <c r="J7501" s="25" t="str">
        <f t="shared" si="85"/>
        <v>Yes - see Previous F-Code</v>
      </c>
      <c r="K7501" s="25" t="str">
        <f t="shared" si="86"/>
        <v>DUPLICATE - CHECK</v>
      </c>
      <c r="L7501" s="25" t="str">
        <f t="shared" si="87"/>
        <v>F76644</v>
      </c>
      <c r="M7501" s="25"/>
      <c r="N7501" s="25"/>
      <c r="O7501" s="25"/>
      <c r="P7501" s="25"/>
    </row>
    <row r="7502" ht="15.75" customHeight="1">
      <c r="A7502" s="25" t="str">
        <f>IFERROR(__xludf.DUMMYFUNCTION("IF(B7502="""","""",RIGHT(REGEXREPLACE(B7502&amp;"""",""[^0-9]"",""""),9))"),"716091067")</f>
        <v>716091067</v>
      </c>
      <c r="B7502" s="52">
        <v>7.16091067E8</v>
      </c>
      <c r="C7502" s="28" t="s">
        <v>7346</v>
      </c>
      <c r="D7502" s="26" t="s">
        <v>64</v>
      </c>
      <c r="E7502" s="31">
        <v>46244.0</v>
      </c>
      <c r="F7502" s="26" t="s">
        <v>46</v>
      </c>
      <c r="G7502" s="26">
        <v>11.0</v>
      </c>
      <c r="I7502" s="26" t="s">
        <v>951</v>
      </c>
      <c r="J7502" s="25" t="str">
        <f t="shared" si="85"/>
        <v>No</v>
      </c>
      <c r="K7502" s="25" t="str">
        <f t="shared" si="86"/>
        <v/>
      </c>
      <c r="L7502" s="25" t="str">
        <f t="shared" si="87"/>
        <v/>
      </c>
      <c r="M7502" s="25"/>
      <c r="O7502" s="25"/>
    </row>
    <row r="7503" ht="15.75" customHeight="1">
      <c r="A7503" s="25" t="str">
        <f>IFERROR(__xludf.DUMMYFUNCTION("IF(B7503="""","""",RIGHT(REGEXREPLACE(B7503&amp;"""",""[^0-9]"",""""),9))"),"715561509")</f>
        <v>715561509</v>
      </c>
      <c r="B7503" s="52">
        <v>7.15561509E8</v>
      </c>
      <c r="C7503" s="28" t="s">
        <v>7763</v>
      </c>
      <c r="D7503" s="26" t="s">
        <v>49</v>
      </c>
      <c r="E7503" s="31">
        <v>46244.0</v>
      </c>
      <c r="F7503" s="26" t="s">
        <v>41</v>
      </c>
      <c r="I7503" s="26" t="s">
        <v>951</v>
      </c>
      <c r="J7503" s="25" t="str">
        <f t="shared" si="85"/>
        <v>No</v>
      </c>
      <c r="K7503" s="25" t="str">
        <f t="shared" si="86"/>
        <v/>
      </c>
      <c r="L7503" s="25" t="str">
        <f t="shared" si="87"/>
        <v/>
      </c>
      <c r="M7503" s="25"/>
      <c r="O7503" s="25"/>
    </row>
    <row r="7504" ht="15.75" customHeight="1">
      <c r="A7504" s="25" t="str">
        <f>IFERROR(__xludf.DUMMYFUNCTION("IF(B7504="""","""",RIGHT(REGEXREPLACE(B7504&amp;"""",""[^0-9]"",""""),9))"),"719429829")</f>
        <v>719429829</v>
      </c>
      <c r="B7504" s="52">
        <v>7.19429829E8</v>
      </c>
      <c r="C7504" s="28" t="s">
        <v>7764</v>
      </c>
      <c r="D7504" s="26" t="s">
        <v>45</v>
      </c>
      <c r="E7504" s="31">
        <v>46244.0</v>
      </c>
      <c r="F7504" s="26" t="s">
        <v>46</v>
      </c>
      <c r="G7504" s="26">
        <v>9.0</v>
      </c>
      <c r="I7504" s="26" t="s">
        <v>951</v>
      </c>
      <c r="J7504" s="25" t="str">
        <f t="shared" si="85"/>
        <v>No</v>
      </c>
      <c r="K7504" s="25" t="str">
        <f t="shared" si="86"/>
        <v/>
      </c>
      <c r="L7504" s="25" t="str">
        <f t="shared" si="87"/>
        <v/>
      </c>
      <c r="M7504" s="25"/>
      <c r="O7504" s="25"/>
    </row>
    <row r="7505" ht="15.75" customHeight="1">
      <c r="A7505" s="25" t="str">
        <f>IFERROR(__xludf.DUMMYFUNCTION("IF(B7505="""","""",RIGHT(REGEXREPLACE(B7505&amp;"""",""[^0-9]"",""""),9))"),"765380069")</f>
        <v>765380069</v>
      </c>
      <c r="B7505" s="52">
        <v>7.65380069E8</v>
      </c>
      <c r="C7505" s="28" t="s">
        <v>7765</v>
      </c>
      <c r="D7505" s="26" t="s">
        <v>82</v>
      </c>
      <c r="E7505" s="31">
        <v>46244.0</v>
      </c>
      <c r="F7505" s="25"/>
      <c r="G7505" s="25"/>
      <c r="H7505" s="25"/>
      <c r="I7505" s="26" t="s">
        <v>951</v>
      </c>
      <c r="J7505" s="25" t="str">
        <f t="shared" si="85"/>
        <v>No</v>
      </c>
      <c r="K7505" s="25" t="str">
        <f t="shared" si="86"/>
        <v/>
      </c>
      <c r="L7505" s="25" t="str">
        <f t="shared" si="87"/>
        <v/>
      </c>
      <c r="M7505" s="25"/>
      <c r="N7505" s="25"/>
      <c r="O7505" s="25"/>
      <c r="P7505" s="25"/>
    </row>
    <row r="7506" ht="15.75" customHeight="1">
      <c r="A7506" s="25" t="str">
        <f>IFERROR(__xludf.DUMMYFUNCTION("IF(B7506="""","""",RIGHT(REGEXREPLACE(B7506&amp;"""",""[^0-9]"",""""),9))"),"773069660")</f>
        <v>773069660</v>
      </c>
      <c r="B7506" s="52">
        <v>7.7306966E8</v>
      </c>
      <c r="C7506" s="28" t="s">
        <v>7766</v>
      </c>
      <c r="D7506" s="26" t="s">
        <v>49</v>
      </c>
      <c r="E7506" s="31">
        <v>46244.0</v>
      </c>
      <c r="F7506" s="26" t="s">
        <v>46</v>
      </c>
      <c r="G7506" s="26">
        <v>9.0</v>
      </c>
      <c r="I7506" s="26" t="s">
        <v>951</v>
      </c>
      <c r="J7506" s="25" t="str">
        <f t="shared" si="85"/>
        <v>No</v>
      </c>
      <c r="K7506" s="25" t="str">
        <f t="shared" si="86"/>
        <v/>
      </c>
      <c r="L7506" s="25" t="str">
        <f t="shared" si="87"/>
        <v/>
      </c>
      <c r="M7506" s="25"/>
      <c r="O7506" s="25"/>
    </row>
    <row r="7507" ht="15.75" customHeight="1">
      <c r="A7507" s="25" t="str">
        <f>IFERROR(__xludf.DUMMYFUNCTION("IF(B7507="""","""",RIGHT(REGEXREPLACE(B7507&amp;"""",""[^0-9]"",""""),9))"),"784555800")</f>
        <v>784555800</v>
      </c>
      <c r="B7507" s="52">
        <v>7.845558E8</v>
      </c>
      <c r="C7507" s="28" t="s">
        <v>7767</v>
      </c>
      <c r="D7507" s="26" t="s">
        <v>56</v>
      </c>
      <c r="E7507" s="31">
        <v>46244.0</v>
      </c>
      <c r="F7507" s="26" t="s">
        <v>205</v>
      </c>
      <c r="G7507" s="26">
        <v>9.0</v>
      </c>
      <c r="I7507" s="26" t="s">
        <v>951</v>
      </c>
      <c r="J7507" s="25" t="str">
        <f t="shared" si="85"/>
        <v>No</v>
      </c>
      <c r="K7507" s="25" t="str">
        <f t="shared" si="86"/>
        <v/>
      </c>
      <c r="L7507" s="25" t="str">
        <f t="shared" si="87"/>
        <v/>
      </c>
      <c r="M7507" s="25"/>
      <c r="O7507" s="25"/>
    </row>
    <row r="7508" ht="15.75" customHeight="1">
      <c r="A7508" s="25" t="str">
        <f>IFERROR(__xludf.DUMMYFUNCTION("IF(B7508="""","""",RIGHT(REGEXREPLACE(B7508&amp;"""",""[^0-9]"",""""),9))"),"767517328")</f>
        <v>767517328</v>
      </c>
      <c r="B7508" s="52">
        <v>7.67517328E8</v>
      </c>
      <c r="C7508" s="28" t="s">
        <v>7768</v>
      </c>
      <c r="D7508" s="26" t="s">
        <v>49</v>
      </c>
      <c r="E7508" s="31">
        <v>46244.0</v>
      </c>
      <c r="F7508" s="26" t="s">
        <v>46</v>
      </c>
      <c r="G7508" s="26">
        <v>11.0</v>
      </c>
      <c r="I7508" s="26" t="s">
        <v>951</v>
      </c>
      <c r="J7508" s="25" t="str">
        <f t="shared" si="85"/>
        <v>No</v>
      </c>
      <c r="K7508" s="25" t="str">
        <f t="shared" si="86"/>
        <v/>
      </c>
      <c r="L7508" s="25" t="str">
        <f t="shared" si="87"/>
        <v/>
      </c>
      <c r="M7508" s="25"/>
      <c r="O7508" s="25"/>
    </row>
    <row r="7509" ht="15.75" customHeight="1">
      <c r="A7509" s="25" t="str">
        <f>IFERROR(__xludf.DUMMYFUNCTION("IF(B7509="""","""",RIGHT(REGEXREPLACE(B7509&amp;"""",""[^0-9]"",""""),9))"),"718033546")</f>
        <v>718033546</v>
      </c>
      <c r="B7509" s="52">
        <v>7.18033546E8</v>
      </c>
      <c r="C7509" s="28" t="s">
        <v>7232</v>
      </c>
      <c r="D7509" s="26" t="s">
        <v>56</v>
      </c>
      <c r="E7509" s="31">
        <v>46244.0</v>
      </c>
      <c r="F7509" s="26" t="s">
        <v>46</v>
      </c>
      <c r="G7509" s="26">
        <v>9.0</v>
      </c>
      <c r="I7509" s="26" t="s">
        <v>951</v>
      </c>
      <c r="J7509" s="25" t="str">
        <f t="shared" si="85"/>
        <v>No</v>
      </c>
      <c r="K7509" s="25" t="str">
        <f t="shared" si="86"/>
        <v/>
      </c>
      <c r="L7509" s="25" t="str">
        <f t="shared" si="87"/>
        <v/>
      </c>
      <c r="M7509" s="25"/>
      <c r="O7509" s="25"/>
    </row>
    <row r="7510" ht="15.75" customHeight="1">
      <c r="A7510" s="25" t="str">
        <f>IFERROR(__xludf.DUMMYFUNCTION("IF(B7510="""","""",RIGHT(REGEXREPLACE(B7510&amp;"""",""[^0-9]"",""""),9))"),"760072231")</f>
        <v>760072231</v>
      </c>
      <c r="B7510" s="52">
        <v>7.60072231E8</v>
      </c>
      <c r="C7510" s="28" t="s">
        <v>4245</v>
      </c>
      <c r="D7510" s="26" t="s">
        <v>64</v>
      </c>
      <c r="E7510" s="31">
        <v>46244.0</v>
      </c>
      <c r="F7510" s="26" t="s">
        <v>46</v>
      </c>
      <c r="G7510" s="26">
        <v>10.0</v>
      </c>
      <c r="I7510" s="26" t="s">
        <v>951</v>
      </c>
      <c r="J7510" s="25" t="str">
        <f t="shared" si="85"/>
        <v>Yes - see Previous F-Code</v>
      </c>
      <c r="K7510" s="25" t="str">
        <f t="shared" si="86"/>
        <v/>
      </c>
      <c r="L7510" s="25" t="str">
        <f t="shared" si="87"/>
        <v>F73877</v>
      </c>
      <c r="M7510" s="25"/>
      <c r="O7510" s="25"/>
    </row>
    <row r="7511" ht="15.75" customHeight="1">
      <c r="A7511" s="25" t="str">
        <f>IFERROR(__xludf.DUMMYFUNCTION("IF(B7511="""","""",RIGHT(REGEXREPLACE(B7511&amp;"""",""[^0-9]"",""""),9))"),"772393116")</f>
        <v>772393116</v>
      </c>
      <c r="B7511" s="52">
        <v>7.72393116E8</v>
      </c>
      <c r="C7511" s="28" t="s">
        <v>7769</v>
      </c>
      <c r="D7511" s="26" t="s">
        <v>49</v>
      </c>
      <c r="E7511" s="31">
        <v>46244.0</v>
      </c>
      <c r="F7511" s="26" t="s">
        <v>46</v>
      </c>
      <c r="G7511" s="26">
        <v>8.0</v>
      </c>
      <c r="H7511" s="26" t="s">
        <v>6958</v>
      </c>
      <c r="I7511" s="26" t="s">
        <v>951</v>
      </c>
      <c r="J7511" s="25" t="str">
        <f t="shared" si="85"/>
        <v>No</v>
      </c>
      <c r="K7511" s="25" t="str">
        <f t="shared" si="86"/>
        <v/>
      </c>
      <c r="L7511" s="25" t="str">
        <f t="shared" si="87"/>
        <v/>
      </c>
      <c r="M7511" s="25"/>
      <c r="O7511" s="25"/>
    </row>
    <row r="7512" ht="15.75" customHeight="1">
      <c r="A7512" s="25" t="str">
        <f>IFERROR(__xludf.DUMMYFUNCTION("IF(B7512="""","""",RIGHT(REGEXREPLACE(B7512&amp;"""",""[^0-9]"",""""),9))"),"774733541")</f>
        <v>774733541</v>
      </c>
      <c r="B7512" s="52">
        <v>7.74733541E8</v>
      </c>
      <c r="C7512" s="28" t="s">
        <v>7770</v>
      </c>
      <c r="D7512" s="26" t="s">
        <v>56</v>
      </c>
      <c r="E7512" s="31">
        <v>46244.0</v>
      </c>
      <c r="F7512" s="26" t="s">
        <v>41</v>
      </c>
      <c r="I7512" s="26" t="s">
        <v>951</v>
      </c>
      <c r="J7512" s="25" t="str">
        <f t="shared" si="85"/>
        <v>No</v>
      </c>
      <c r="K7512" s="25" t="str">
        <f t="shared" si="86"/>
        <v/>
      </c>
      <c r="L7512" s="25" t="str">
        <f t="shared" si="87"/>
        <v/>
      </c>
      <c r="M7512" s="25"/>
      <c r="O7512" s="25"/>
    </row>
    <row r="7513" ht="15.75" customHeight="1">
      <c r="A7513" s="25" t="str">
        <f>IFERROR(__xludf.DUMMYFUNCTION("IF(B7513="""","""",RIGHT(REGEXREPLACE(B7513&amp;"""",""[^0-9]"",""""),9))"),"785133849")</f>
        <v>785133849</v>
      </c>
      <c r="B7513" s="52">
        <v>7.85133849E8</v>
      </c>
      <c r="C7513" s="28" t="s">
        <v>7512</v>
      </c>
      <c r="D7513" s="26" t="s">
        <v>56</v>
      </c>
      <c r="E7513" s="31">
        <v>46244.0</v>
      </c>
      <c r="F7513" s="26" t="s">
        <v>41</v>
      </c>
      <c r="G7513" s="26">
        <v>9.0</v>
      </c>
      <c r="I7513" s="26" t="s">
        <v>951</v>
      </c>
      <c r="J7513" s="25" t="str">
        <f t="shared" si="85"/>
        <v>No</v>
      </c>
      <c r="K7513" s="25" t="str">
        <f t="shared" si="86"/>
        <v/>
      </c>
      <c r="L7513" s="25" t="str">
        <f t="shared" si="87"/>
        <v/>
      </c>
      <c r="M7513" s="25"/>
      <c r="O7513" s="25"/>
    </row>
    <row r="7514" ht="15.75" customHeight="1">
      <c r="A7514" s="25" t="str">
        <f>IFERROR(__xludf.DUMMYFUNCTION("IF(B7514="""","""",RIGHT(REGEXREPLACE(B7514&amp;"""",""[^0-9]"",""""),9))"),"762007628")</f>
        <v>762007628</v>
      </c>
      <c r="B7514" s="52">
        <v>7.62007628E8</v>
      </c>
      <c r="C7514" s="28" t="s">
        <v>7771</v>
      </c>
      <c r="D7514" s="26" t="s">
        <v>64</v>
      </c>
      <c r="E7514" s="31">
        <v>46244.0</v>
      </c>
      <c r="F7514" s="26" t="s">
        <v>41</v>
      </c>
      <c r="G7514" s="26">
        <v>9.0</v>
      </c>
      <c r="I7514" s="26" t="s">
        <v>951</v>
      </c>
      <c r="J7514" s="25" t="str">
        <f t="shared" si="85"/>
        <v>No</v>
      </c>
      <c r="K7514" s="25" t="str">
        <f t="shared" si="86"/>
        <v/>
      </c>
      <c r="L7514" s="25" t="str">
        <f t="shared" si="87"/>
        <v/>
      </c>
      <c r="M7514" s="25"/>
      <c r="O7514" s="25"/>
    </row>
    <row r="7515" ht="15.75" customHeight="1">
      <c r="A7515" s="25" t="str">
        <f>IFERROR(__xludf.DUMMYFUNCTION("IF(B7515="""","""",RIGHT(REGEXREPLACE(B7515&amp;"""",""[^0-9]"",""""),9))"),"776935409")</f>
        <v>776935409</v>
      </c>
      <c r="B7515" s="52">
        <v>7.76935409E8</v>
      </c>
      <c r="C7515" s="28" t="s">
        <v>7772</v>
      </c>
      <c r="D7515" s="26" t="s">
        <v>49</v>
      </c>
      <c r="E7515" s="31">
        <v>46244.0</v>
      </c>
      <c r="F7515" s="26" t="s">
        <v>41</v>
      </c>
      <c r="G7515" s="26">
        <v>9.0</v>
      </c>
      <c r="I7515" s="26" t="s">
        <v>951</v>
      </c>
      <c r="J7515" s="25" t="str">
        <f t="shared" si="85"/>
        <v>No</v>
      </c>
      <c r="K7515" s="25" t="str">
        <f t="shared" si="86"/>
        <v/>
      </c>
      <c r="L7515" s="25" t="str">
        <f t="shared" si="87"/>
        <v/>
      </c>
      <c r="M7515" s="25"/>
      <c r="O7515" s="25"/>
    </row>
    <row r="7516" ht="15.75" customHeight="1">
      <c r="A7516" s="25" t="str">
        <f>IFERROR(__xludf.DUMMYFUNCTION("IF(B7516="""","""",RIGHT(REGEXREPLACE(B7516&amp;"""",""[^0-9]"",""""),9))"),"776132488")</f>
        <v>776132488</v>
      </c>
      <c r="B7516" s="52">
        <v>7.76132488E8</v>
      </c>
      <c r="C7516" s="28" t="s">
        <v>7773</v>
      </c>
      <c r="D7516" s="26" t="s">
        <v>64</v>
      </c>
      <c r="E7516" s="31">
        <v>46244.0</v>
      </c>
      <c r="F7516" s="26" t="s">
        <v>46</v>
      </c>
      <c r="G7516" s="26">
        <v>9.0</v>
      </c>
      <c r="I7516" s="26" t="s">
        <v>951</v>
      </c>
      <c r="J7516" s="25" t="str">
        <f t="shared" si="85"/>
        <v>No</v>
      </c>
      <c r="K7516" s="25" t="str">
        <f t="shared" si="86"/>
        <v/>
      </c>
      <c r="L7516" s="25" t="str">
        <f t="shared" si="87"/>
        <v/>
      </c>
      <c r="M7516" s="25"/>
      <c r="O7516" s="25"/>
    </row>
    <row r="7517" ht="15.75" customHeight="1">
      <c r="A7517" s="25" t="str">
        <f>IFERROR(__xludf.DUMMYFUNCTION("IF(B7517="""","""",RIGHT(REGEXREPLACE(B7517&amp;"""",""[^0-9]"",""""),9))"),"725591321")</f>
        <v>725591321</v>
      </c>
      <c r="B7517" s="52">
        <v>7.25591321E8</v>
      </c>
      <c r="C7517" s="28" t="s">
        <v>7774</v>
      </c>
      <c r="D7517" s="26" t="s">
        <v>56</v>
      </c>
      <c r="E7517" s="31">
        <v>46244.0</v>
      </c>
      <c r="F7517" s="26" t="s">
        <v>41</v>
      </c>
      <c r="G7517" s="26">
        <v>9.0</v>
      </c>
      <c r="I7517" s="26" t="s">
        <v>951</v>
      </c>
      <c r="J7517" s="25" t="str">
        <f t="shared" si="85"/>
        <v>No</v>
      </c>
      <c r="K7517" s="25" t="str">
        <f t="shared" si="86"/>
        <v/>
      </c>
      <c r="L7517" s="25" t="str">
        <f t="shared" si="87"/>
        <v/>
      </c>
      <c r="M7517" s="25"/>
      <c r="O7517" s="25"/>
    </row>
    <row r="7518" ht="15.75" customHeight="1">
      <c r="A7518" s="25" t="str">
        <f>IFERROR(__xludf.DUMMYFUNCTION("IF(B7518="""","""",RIGHT(REGEXREPLACE(B7518&amp;"""",""[^0-9]"",""""),9))"),"713456566")</f>
        <v>713456566</v>
      </c>
      <c r="B7518" s="52">
        <v>7.13456566E8</v>
      </c>
      <c r="C7518" s="28" t="s">
        <v>7775</v>
      </c>
      <c r="D7518" s="26" t="s">
        <v>49</v>
      </c>
      <c r="E7518" s="31">
        <v>46244.0</v>
      </c>
      <c r="F7518" s="26" t="s">
        <v>46</v>
      </c>
      <c r="G7518" s="26">
        <v>9.0</v>
      </c>
      <c r="H7518" s="26" t="s">
        <v>5896</v>
      </c>
      <c r="I7518" s="26" t="s">
        <v>951</v>
      </c>
      <c r="J7518" s="25" t="str">
        <f t="shared" si="85"/>
        <v>No</v>
      </c>
      <c r="K7518" s="25" t="str">
        <f t="shared" si="86"/>
        <v/>
      </c>
      <c r="L7518" s="25" t="str">
        <f t="shared" si="87"/>
        <v/>
      </c>
      <c r="M7518" s="25"/>
      <c r="O7518" s="25"/>
    </row>
    <row r="7519" ht="15.75" customHeight="1">
      <c r="A7519" s="25" t="str">
        <f>IFERROR(__xludf.DUMMYFUNCTION("IF(B7519="""","""",RIGHT(REGEXREPLACE(B7519&amp;"""",""[^0-9]"",""""),9))"),"778686562")</f>
        <v>778686562</v>
      </c>
      <c r="B7519" s="52">
        <v>7.78686562E8</v>
      </c>
      <c r="C7519" s="28" t="s">
        <v>7776</v>
      </c>
      <c r="D7519" s="26" t="s">
        <v>56</v>
      </c>
      <c r="E7519" s="31">
        <v>46244.0</v>
      </c>
      <c r="F7519" s="26" t="s">
        <v>46</v>
      </c>
      <c r="G7519" s="26">
        <v>9.0</v>
      </c>
      <c r="I7519" s="26" t="s">
        <v>951</v>
      </c>
      <c r="J7519" s="25" t="str">
        <f t="shared" si="85"/>
        <v>No</v>
      </c>
      <c r="K7519" s="25" t="str">
        <f t="shared" si="86"/>
        <v/>
      </c>
      <c r="L7519" s="25" t="str">
        <f t="shared" si="87"/>
        <v/>
      </c>
      <c r="M7519" s="25"/>
      <c r="O7519" s="25"/>
    </row>
    <row r="7520" ht="15.75" customHeight="1">
      <c r="A7520" s="25" t="str">
        <f>IFERROR(__xludf.DUMMYFUNCTION("IF(B7520="""","""",RIGHT(REGEXREPLACE(B7520&amp;"""",""[^0-9]"",""""),9))"),"766234452")</f>
        <v>766234452</v>
      </c>
      <c r="B7520" s="26" t="s">
        <v>7777</v>
      </c>
      <c r="C7520" s="28" t="s">
        <v>7778</v>
      </c>
      <c r="D7520" s="26" t="s">
        <v>45</v>
      </c>
      <c r="E7520" s="31">
        <v>46244.0</v>
      </c>
      <c r="F7520" s="26" t="s">
        <v>46</v>
      </c>
      <c r="G7520" s="26">
        <v>9.0</v>
      </c>
      <c r="I7520" s="26" t="s">
        <v>951</v>
      </c>
      <c r="J7520" s="25" t="str">
        <f t="shared" si="85"/>
        <v>No</v>
      </c>
      <c r="K7520" s="25" t="str">
        <f t="shared" si="86"/>
        <v/>
      </c>
      <c r="L7520" s="25" t="str">
        <f t="shared" si="87"/>
        <v/>
      </c>
      <c r="M7520" s="25"/>
      <c r="O7520" s="25"/>
    </row>
    <row r="7521" ht="15.75" customHeight="1">
      <c r="A7521" s="25" t="str">
        <f>IFERROR(__xludf.DUMMYFUNCTION("IF(B7521="""","""",RIGHT(REGEXREPLACE(B7521&amp;"""",""[^0-9]"",""""),9))"),"751501815")</f>
        <v>751501815</v>
      </c>
      <c r="B7521" s="52">
        <v>7.51501815E8</v>
      </c>
      <c r="C7521" s="28" t="s">
        <v>7779</v>
      </c>
      <c r="D7521" s="26" t="s">
        <v>45</v>
      </c>
      <c r="E7521" s="31">
        <v>46244.0</v>
      </c>
      <c r="F7521" s="26" t="s">
        <v>46</v>
      </c>
      <c r="H7521" s="26" t="s">
        <v>280</v>
      </c>
      <c r="I7521" s="26" t="s">
        <v>951</v>
      </c>
      <c r="J7521" s="25" t="str">
        <f t="shared" si="85"/>
        <v>No</v>
      </c>
      <c r="K7521" s="25" t="str">
        <f t="shared" si="86"/>
        <v/>
      </c>
      <c r="L7521" s="25" t="str">
        <f t="shared" si="87"/>
        <v/>
      </c>
      <c r="M7521" s="25"/>
      <c r="O7521" s="25"/>
    </row>
    <row r="7522" ht="15.75" customHeight="1">
      <c r="A7522" s="25" t="str">
        <f>IFERROR(__xludf.DUMMYFUNCTION("IF(B7522="""","""",RIGHT(REGEXREPLACE(B7522&amp;"""",""[^0-9]"",""""),9))"),"764203552")</f>
        <v>764203552</v>
      </c>
      <c r="B7522" s="52">
        <v>7.64203552E8</v>
      </c>
      <c r="C7522" s="28" t="s">
        <v>7780</v>
      </c>
      <c r="D7522" s="26" t="s">
        <v>64</v>
      </c>
      <c r="E7522" s="31">
        <v>46244.0</v>
      </c>
      <c r="F7522" s="26" t="s">
        <v>46</v>
      </c>
      <c r="G7522" s="26">
        <v>10.0</v>
      </c>
      <c r="H7522" s="26" t="s">
        <v>78</v>
      </c>
      <c r="I7522" s="26" t="s">
        <v>951</v>
      </c>
      <c r="J7522" s="25" t="str">
        <f t="shared" si="85"/>
        <v>No</v>
      </c>
      <c r="K7522" s="25" t="str">
        <f t="shared" si="86"/>
        <v/>
      </c>
      <c r="L7522" s="25" t="str">
        <f t="shared" si="87"/>
        <v/>
      </c>
      <c r="M7522" s="25"/>
      <c r="O7522" s="25"/>
    </row>
    <row r="7523" ht="15.75" customHeight="1">
      <c r="A7523" s="25" t="str">
        <f>IFERROR(__xludf.DUMMYFUNCTION("IF(B7523="""","""",RIGHT(REGEXREPLACE(B7523&amp;"""",""[^0-9]"",""""),9))"),"769132548")</f>
        <v>769132548</v>
      </c>
      <c r="B7523" s="52">
        <v>7.69132548E8</v>
      </c>
      <c r="C7523" s="28" t="s">
        <v>7781</v>
      </c>
      <c r="D7523" s="26" t="s">
        <v>56</v>
      </c>
      <c r="E7523" s="31">
        <v>46244.0</v>
      </c>
      <c r="F7523" s="26" t="s">
        <v>46</v>
      </c>
      <c r="G7523" s="26">
        <v>9.0</v>
      </c>
      <c r="I7523" s="26" t="s">
        <v>951</v>
      </c>
      <c r="J7523" s="25" t="str">
        <f t="shared" si="85"/>
        <v>No</v>
      </c>
      <c r="K7523" s="25" t="str">
        <f t="shared" si="86"/>
        <v/>
      </c>
      <c r="L7523" s="25" t="str">
        <f t="shared" si="87"/>
        <v/>
      </c>
      <c r="M7523" s="25"/>
      <c r="O7523" s="25"/>
    </row>
    <row r="7524" ht="15.75" customHeight="1">
      <c r="A7524" s="25" t="str">
        <f>IFERROR(__xludf.DUMMYFUNCTION("IF(B7524="""","""",RIGHT(REGEXREPLACE(B7524&amp;"""",""[^0-9]"",""""),9))"),"765525676")</f>
        <v>765525676</v>
      </c>
      <c r="B7524" s="52">
        <v>7.65525676E8</v>
      </c>
      <c r="C7524" s="28" t="s">
        <v>7782</v>
      </c>
      <c r="D7524" s="26" t="s">
        <v>45</v>
      </c>
      <c r="E7524" s="31">
        <v>46244.0</v>
      </c>
      <c r="F7524" s="26" t="s">
        <v>46</v>
      </c>
      <c r="G7524" s="26">
        <v>9.0</v>
      </c>
      <c r="I7524" s="26" t="s">
        <v>951</v>
      </c>
      <c r="J7524" s="25" t="str">
        <f t="shared" si="85"/>
        <v>No</v>
      </c>
      <c r="K7524" s="25" t="str">
        <f t="shared" si="86"/>
        <v/>
      </c>
      <c r="L7524" s="25" t="str">
        <f t="shared" si="87"/>
        <v/>
      </c>
      <c r="M7524" s="25"/>
      <c r="O7524" s="25"/>
    </row>
    <row r="7525" ht="15.75" customHeight="1">
      <c r="A7525" s="25" t="str">
        <f>IFERROR(__xludf.DUMMYFUNCTION("IF(B7525="""","""",RIGHT(REGEXREPLACE(B7525&amp;"""",""[^0-9]"",""""),9))"),"765539918")</f>
        <v>765539918</v>
      </c>
      <c r="B7525" s="52">
        <v>7.65539918E8</v>
      </c>
      <c r="C7525" s="28" t="s">
        <v>7783</v>
      </c>
      <c r="D7525" s="26" t="s">
        <v>64</v>
      </c>
      <c r="E7525" s="31">
        <v>46244.0</v>
      </c>
      <c r="F7525" s="26" t="s">
        <v>46</v>
      </c>
      <c r="G7525" s="26">
        <v>9.0</v>
      </c>
      <c r="H7525" s="26" t="s">
        <v>2293</v>
      </c>
      <c r="I7525" s="26" t="s">
        <v>951</v>
      </c>
      <c r="J7525" s="25" t="str">
        <f t="shared" si="85"/>
        <v>No</v>
      </c>
      <c r="K7525" s="25" t="str">
        <f t="shared" si="86"/>
        <v/>
      </c>
      <c r="L7525" s="25" t="str">
        <f t="shared" si="87"/>
        <v/>
      </c>
      <c r="M7525" s="25"/>
      <c r="O7525" s="25"/>
    </row>
    <row r="7526" ht="15.75" customHeight="1">
      <c r="A7526" s="25" t="str">
        <f>IFERROR(__xludf.DUMMYFUNCTION("IF(B7526="""","""",RIGHT(REGEXREPLACE(B7526&amp;"""",""[^0-9]"",""""),9))"),"783982796")</f>
        <v>783982796</v>
      </c>
      <c r="B7526" s="52">
        <v>7.83982796E8</v>
      </c>
      <c r="C7526" s="28" t="s">
        <v>7784</v>
      </c>
      <c r="D7526" s="26" t="s">
        <v>49</v>
      </c>
      <c r="E7526" s="31">
        <v>46244.0</v>
      </c>
      <c r="F7526" s="26" t="s">
        <v>46</v>
      </c>
      <c r="G7526" s="26">
        <v>11.0</v>
      </c>
      <c r="H7526" s="26" t="s">
        <v>7785</v>
      </c>
      <c r="I7526" s="26" t="s">
        <v>951</v>
      </c>
      <c r="J7526" s="25" t="str">
        <f t="shared" si="85"/>
        <v>No</v>
      </c>
      <c r="K7526" s="25" t="str">
        <f t="shared" si="86"/>
        <v/>
      </c>
      <c r="L7526" s="25" t="str">
        <f t="shared" si="87"/>
        <v/>
      </c>
      <c r="M7526" s="25"/>
      <c r="O7526" s="25"/>
    </row>
    <row r="7527" ht="15.75" customHeight="1">
      <c r="A7527" s="25" t="str">
        <f>IFERROR(__xludf.DUMMYFUNCTION("IF(B7527="""","""",RIGHT(REGEXREPLACE(B7527&amp;"""",""[^0-9]"",""""),9))"),"785448855")</f>
        <v>785448855</v>
      </c>
      <c r="B7527" s="52">
        <v>7.85448855E8</v>
      </c>
      <c r="C7527" s="28" t="s">
        <v>7786</v>
      </c>
      <c r="D7527" s="26" t="s">
        <v>56</v>
      </c>
      <c r="E7527" s="31">
        <v>46244.0</v>
      </c>
      <c r="F7527" s="26" t="s">
        <v>205</v>
      </c>
      <c r="I7527" s="26" t="s">
        <v>951</v>
      </c>
      <c r="J7527" s="25" t="str">
        <f t="shared" si="85"/>
        <v>No</v>
      </c>
      <c r="K7527" s="25" t="str">
        <f t="shared" si="86"/>
        <v/>
      </c>
      <c r="L7527" s="25" t="str">
        <f t="shared" si="87"/>
        <v/>
      </c>
      <c r="M7527" s="25"/>
      <c r="O7527" s="25"/>
    </row>
    <row r="7528" ht="15.75" customHeight="1">
      <c r="A7528" s="25" t="str">
        <f>IFERROR(__xludf.DUMMYFUNCTION("IF(B7528="""","""",RIGHT(REGEXREPLACE(B7528&amp;"""",""[^0-9]"",""""),9))"),"777060755")</f>
        <v>777060755</v>
      </c>
      <c r="B7528" s="52">
        <v>7.77060755E8</v>
      </c>
      <c r="C7528" s="28" t="s">
        <v>7787</v>
      </c>
      <c r="D7528" s="26" t="s">
        <v>64</v>
      </c>
      <c r="E7528" s="31">
        <v>46244.0</v>
      </c>
      <c r="F7528" s="26" t="s">
        <v>41</v>
      </c>
      <c r="G7528" s="26">
        <v>9.0</v>
      </c>
      <c r="I7528" s="26" t="s">
        <v>951</v>
      </c>
      <c r="J7528" s="25" t="str">
        <f t="shared" si="85"/>
        <v>No</v>
      </c>
      <c r="K7528" s="25" t="str">
        <f t="shared" si="86"/>
        <v/>
      </c>
      <c r="L7528" s="25" t="str">
        <f t="shared" si="87"/>
        <v/>
      </c>
      <c r="M7528" s="25"/>
      <c r="O7528" s="26" t="s">
        <v>51</v>
      </c>
    </row>
    <row r="7529" ht="15.75" customHeight="1">
      <c r="A7529" s="25" t="str">
        <f>IFERROR(__xludf.DUMMYFUNCTION("IF(B7529="""","""",RIGHT(REGEXREPLACE(B7529&amp;"""",""[^0-9]"",""""),9))"),"715622664")</f>
        <v>715622664</v>
      </c>
      <c r="B7529" s="52">
        <v>7.15622664E8</v>
      </c>
      <c r="C7529" s="28" t="s">
        <v>7788</v>
      </c>
      <c r="D7529" s="26" t="s">
        <v>45</v>
      </c>
      <c r="E7529" s="31">
        <v>46244.0</v>
      </c>
      <c r="F7529" s="26" t="s">
        <v>41</v>
      </c>
      <c r="G7529" s="26">
        <v>9.0</v>
      </c>
      <c r="I7529" s="26" t="s">
        <v>951</v>
      </c>
      <c r="J7529" s="25" t="str">
        <f t="shared" si="85"/>
        <v>No</v>
      </c>
      <c r="K7529" s="25" t="str">
        <f t="shared" si="86"/>
        <v/>
      </c>
      <c r="L7529" s="25" t="str">
        <f t="shared" si="87"/>
        <v/>
      </c>
      <c r="M7529" s="25"/>
      <c r="O7529" s="25"/>
    </row>
    <row r="7530" ht="15.75" customHeight="1">
      <c r="A7530" s="25" t="str">
        <f>IFERROR(__xludf.DUMMYFUNCTION("IF(B7530="""","""",RIGHT(REGEXREPLACE(B7530&amp;"""",""[^0-9]"",""""),9))"),"714071400")</f>
        <v>714071400</v>
      </c>
      <c r="B7530" s="52">
        <v>7.140714E8</v>
      </c>
      <c r="C7530" s="28" t="s">
        <v>7789</v>
      </c>
      <c r="D7530" s="26" t="s">
        <v>56</v>
      </c>
      <c r="E7530" s="31">
        <v>46244.0</v>
      </c>
      <c r="F7530" s="25"/>
      <c r="G7530" s="26">
        <v>6.0</v>
      </c>
      <c r="H7530" s="25"/>
      <c r="I7530" s="26" t="s">
        <v>951</v>
      </c>
      <c r="J7530" s="25" t="str">
        <f t="shared" si="85"/>
        <v>No</v>
      </c>
      <c r="K7530" s="25" t="str">
        <f t="shared" si="86"/>
        <v/>
      </c>
      <c r="L7530" s="25" t="str">
        <f t="shared" si="87"/>
        <v/>
      </c>
      <c r="M7530" s="25"/>
      <c r="N7530" s="25"/>
      <c r="O7530" s="25"/>
      <c r="P7530" s="25"/>
    </row>
    <row r="7531" ht="15.75" customHeight="1">
      <c r="A7531" s="25" t="str">
        <f>IFERROR(__xludf.DUMMYFUNCTION("IF(B7531="""","""",RIGHT(REGEXREPLACE(B7531&amp;"""",""[^0-9]"",""""),9))"),"718044316")</f>
        <v>718044316</v>
      </c>
      <c r="B7531" s="52">
        <v>7.18044316E8</v>
      </c>
      <c r="C7531" s="28" t="s">
        <v>920</v>
      </c>
      <c r="D7531" s="26" t="s">
        <v>49</v>
      </c>
      <c r="E7531" s="31">
        <v>46244.0</v>
      </c>
      <c r="F7531" s="26" t="s">
        <v>46</v>
      </c>
      <c r="G7531" s="26">
        <v>10.0</v>
      </c>
      <c r="H7531" s="72" t="s">
        <v>7790</v>
      </c>
      <c r="I7531" s="26" t="s">
        <v>951</v>
      </c>
      <c r="J7531" s="25" t="str">
        <f t="shared" si="85"/>
        <v>Yes - see Previous F-Code</v>
      </c>
      <c r="K7531" s="25" t="str">
        <f t="shared" si="86"/>
        <v/>
      </c>
      <c r="L7531" s="25" t="str">
        <f t="shared" si="87"/>
        <v>F70677</v>
      </c>
      <c r="M7531" s="25"/>
      <c r="O7531" s="25"/>
    </row>
    <row r="7532" ht="15.75" customHeight="1">
      <c r="A7532" s="25" t="str">
        <f>IFERROR(__xludf.DUMMYFUNCTION("IF(B7532="""","""",RIGHT(REGEXREPLACE(B7532&amp;"""",""[^0-9]"",""""),9))"),"768366977")</f>
        <v>768366977</v>
      </c>
      <c r="B7532" s="52">
        <v>7.68366977E8</v>
      </c>
      <c r="C7532" s="28" t="s">
        <v>7791</v>
      </c>
      <c r="D7532" s="26" t="s">
        <v>45</v>
      </c>
      <c r="E7532" s="31">
        <v>46244.0</v>
      </c>
      <c r="F7532" s="26" t="s">
        <v>46</v>
      </c>
      <c r="G7532" s="26">
        <v>9.0</v>
      </c>
      <c r="I7532" s="26" t="s">
        <v>951</v>
      </c>
      <c r="J7532" s="25" t="str">
        <f t="shared" si="85"/>
        <v>No</v>
      </c>
      <c r="K7532" s="25" t="str">
        <f t="shared" si="86"/>
        <v/>
      </c>
      <c r="L7532" s="25" t="str">
        <f t="shared" si="87"/>
        <v/>
      </c>
      <c r="M7532" s="25"/>
      <c r="O7532" s="25"/>
    </row>
    <row r="7533" ht="15.75" customHeight="1">
      <c r="A7533" s="25" t="str">
        <f>IFERROR(__xludf.DUMMYFUNCTION("IF(B7533="""","""",RIGHT(REGEXREPLACE(B7533&amp;"""",""[^0-9]"",""""),9))"),"769685567")</f>
        <v>769685567</v>
      </c>
      <c r="B7533" s="52">
        <v>7.69685567E8</v>
      </c>
      <c r="C7533" s="28" t="s">
        <v>7792</v>
      </c>
      <c r="D7533" s="26" t="s">
        <v>64</v>
      </c>
      <c r="E7533" s="31">
        <v>46244.0</v>
      </c>
      <c r="F7533" s="25"/>
      <c r="G7533" s="26">
        <v>9.0</v>
      </c>
      <c r="H7533" s="25"/>
      <c r="I7533" s="26" t="s">
        <v>951</v>
      </c>
      <c r="J7533" s="25" t="str">
        <f t="shared" si="85"/>
        <v>No</v>
      </c>
      <c r="K7533" s="25" t="str">
        <f t="shared" si="86"/>
        <v/>
      </c>
      <c r="L7533" s="25" t="str">
        <f t="shared" si="87"/>
        <v/>
      </c>
      <c r="M7533" s="25"/>
      <c r="N7533" s="25"/>
      <c r="O7533" s="25"/>
      <c r="P7533" s="25"/>
    </row>
    <row r="7534" ht="15.75" customHeight="1">
      <c r="A7534" s="25" t="str">
        <f>IFERROR(__xludf.DUMMYFUNCTION("IF(B7534="""","""",RIGHT(REGEXREPLACE(B7534&amp;"""",""[^0-9]"",""""),9))"),"773915562")</f>
        <v>773915562</v>
      </c>
      <c r="B7534" s="52">
        <v>7.73915562E8</v>
      </c>
      <c r="C7534" s="28" t="s">
        <v>7793</v>
      </c>
      <c r="D7534" s="26" t="s">
        <v>56</v>
      </c>
      <c r="E7534" s="31">
        <v>46244.0</v>
      </c>
      <c r="F7534" s="26" t="s">
        <v>46</v>
      </c>
      <c r="G7534" s="26">
        <v>9.0</v>
      </c>
      <c r="I7534" s="26" t="s">
        <v>951</v>
      </c>
      <c r="J7534" s="25" t="str">
        <f t="shared" si="85"/>
        <v>No</v>
      </c>
      <c r="K7534" s="25" t="str">
        <f t="shared" si="86"/>
        <v/>
      </c>
      <c r="L7534" s="25" t="str">
        <f t="shared" si="87"/>
        <v/>
      </c>
      <c r="M7534" s="25"/>
      <c r="O7534" s="25"/>
    </row>
    <row r="7535" ht="15.75" customHeight="1">
      <c r="A7535" s="25" t="str">
        <f>IFERROR(__xludf.DUMMYFUNCTION("IF(B7535="""","""",RIGHT(REGEXREPLACE(B7535&amp;"""",""[^0-9]"",""""),9))"),"719606984")</f>
        <v>719606984</v>
      </c>
      <c r="B7535" s="52">
        <v>7.19606984E8</v>
      </c>
      <c r="C7535" s="28" t="s">
        <v>7794</v>
      </c>
      <c r="D7535" s="26" t="s">
        <v>49</v>
      </c>
      <c r="E7535" s="31">
        <v>46244.0</v>
      </c>
      <c r="F7535" s="26" t="s">
        <v>46</v>
      </c>
      <c r="G7535" s="26">
        <v>8.0</v>
      </c>
      <c r="I7535" s="26" t="s">
        <v>951</v>
      </c>
      <c r="J7535" s="25" t="str">
        <f t="shared" si="85"/>
        <v>No</v>
      </c>
      <c r="K7535" s="25" t="str">
        <f t="shared" si="86"/>
        <v/>
      </c>
      <c r="L7535" s="25" t="str">
        <f t="shared" si="87"/>
        <v/>
      </c>
      <c r="M7535" s="25"/>
      <c r="O7535" s="25"/>
    </row>
    <row r="7536" ht="15.75" customHeight="1">
      <c r="A7536" s="25" t="str">
        <f>IFERROR(__xludf.DUMMYFUNCTION("IF(B7536="""","""",RIGHT(REGEXREPLACE(B7536&amp;"""",""[^0-9]"",""""),9))"),"717578118")</f>
        <v>717578118</v>
      </c>
      <c r="B7536" s="52">
        <v>7.17578118E8</v>
      </c>
      <c r="C7536" s="28" t="s">
        <v>7795</v>
      </c>
      <c r="D7536" s="26" t="s">
        <v>64</v>
      </c>
      <c r="E7536" s="31">
        <v>46244.0</v>
      </c>
      <c r="F7536" s="26" t="s">
        <v>46</v>
      </c>
      <c r="G7536" s="26">
        <v>9.0</v>
      </c>
      <c r="I7536" s="26" t="s">
        <v>951</v>
      </c>
      <c r="J7536" s="25" t="str">
        <f t="shared" si="85"/>
        <v>No</v>
      </c>
      <c r="K7536" s="25" t="str">
        <f t="shared" si="86"/>
        <v/>
      </c>
      <c r="L7536" s="25" t="str">
        <f t="shared" si="87"/>
        <v/>
      </c>
      <c r="M7536" s="25"/>
      <c r="O7536" s="25"/>
    </row>
    <row r="7537" ht="15.75" customHeight="1">
      <c r="A7537" s="25" t="str">
        <f>IFERROR(__xludf.DUMMYFUNCTION("IF(B7537="""","""",RIGHT(REGEXREPLACE(B7537&amp;"""",""[^0-9]"",""""),9))"),"742952662")</f>
        <v>742952662</v>
      </c>
      <c r="B7537" s="52">
        <v>7.42952662E8</v>
      </c>
      <c r="C7537" s="28" t="s">
        <v>7796</v>
      </c>
      <c r="D7537" s="26" t="s">
        <v>49</v>
      </c>
      <c r="E7537" s="31">
        <v>46244.0</v>
      </c>
      <c r="F7537" s="26" t="s">
        <v>659</v>
      </c>
      <c r="I7537" s="26" t="s">
        <v>951</v>
      </c>
      <c r="J7537" s="25" t="str">
        <f t="shared" si="85"/>
        <v>No</v>
      </c>
      <c r="K7537" s="25" t="str">
        <f t="shared" si="86"/>
        <v/>
      </c>
      <c r="L7537" s="25" t="str">
        <f t="shared" si="87"/>
        <v/>
      </c>
      <c r="M7537" s="25"/>
      <c r="O7537" s="25"/>
    </row>
    <row r="7538" ht="15.75" customHeight="1">
      <c r="A7538" s="25" t="str">
        <f>IFERROR(__xludf.DUMMYFUNCTION("IF(B7538="""","""",RIGHT(REGEXREPLACE(B7538&amp;"""",""[^0-9]"",""""),9))"),"724136356")</f>
        <v>724136356</v>
      </c>
      <c r="B7538" s="52">
        <v>7.24136356E8</v>
      </c>
      <c r="C7538" s="28" t="s">
        <v>7797</v>
      </c>
      <c r="D7538" s="26" t="s">
        <v>45</v>
      </c>
      <c r="E7538" s="31">
        <v>46244.0</v>
      </c>
      <c r="F7538" s="26" t="s">
        <v>46</v>
      </c>
      <c r="G7538" s="26">
        <v>9.0</v>
      </c>
      <c r="I7538" s="26" t="s">
        <v>951</v>
      </c>
      <c r="J7538" s="25" t="str">
        <f t="shared" si="85"/>
        <v>No</v>
      </c>
      <c r="K7538" s="25" t="str">
        <f t="shared" si="86"/>
        <v/>
      </c>
      <c r="L7538" s="25" t="str">
        <f t="shared" si="87"/>
        <v/>
      </c>
      <c r="M7538" s="25"/>
      <c r="O7538" s="26" t="s">
        <v>51</v>
      </c>
    </row>
    <row r="7539" ht="15.75" customHeight="1">
      <c r="A7539" s="25" t="str">
        <f>IFERROR(__xludf.DUMMYFUNCTION("IF(B7539="""","""",RIGHT(REGEXREPLACE(B7539&amp;"""",""[^0-9]"",""""),9))"),"772097352")</f>
        <v>772097352</v>
      </c>
      <c r="B7539" s="52">
        <v>7.72097352E8</v>
      </c>
      <c r="C7539" s="28" t="s">
        <v>7798</v>
      </c>
      <c r="D7539" s="26" t="s">
        <v>56</v>
      </c>
      <c r="E7539" s="31">
        <v>46252.0</v>
      </c>
      <c r="F7539" s="26" t="s">
        <v>41</v>
      </c>
      <c r="H7539" s="26" t="s">
        <v>7799</v>
      </c>
      <c r="I7539" s="26" t="s">
        <v>951</v>
      </c>
      <c r="J7539" s="25" t="str">
        <f t="shared" si="85"/>
        <v>No</v>
      </c>
      <c r="K7539" s="25" t="str">
        <f t="shared" si="86"/>
        <v/>
      </c>
      <c r="L7539" s="25" t="str">
        <f t="shared" si="87"/>
        <v/>
      </c>
      <c r="M7539" s="25"/>
      <c r="O7539" s="25"/>
    </row>
    <row r="7540" ht="15.75" customHeight="1">
      <c r="A7540" s="25" t="str">
        <f>IFERROR(__xludf.DUMMYFUNCTION("IF(B7540="""","""",RIGHT(REGEXREPLACE(B7540&amp;"""",""[^0-9]"",""""),9))"),"703164231")</f>
        <v>703164231</v>
      </c>
      <c r="B7540" s="52">
        <v>7.03164231E8</v>
      </c>
      <c r="C7540" s="28" t="s">
        <v>7800</v>
      </c>
      <c r="D7540" s="26" t="s">
        <v>49</v>
      </c>
      <c r="E7540" s="31">
        <v>46244.0</v>
      </c>
      <c r="F7540" s="26" t="s">
        <v>46</v>
      </c>
      <c r="G7540" s="26">
        <v>9.0</v>
      </c>
      <c r="H7540" s="26" t="s">
        <v>7801</v>
      </c>
      <c r="I7540" s="26" t="s">
        <v>951</v>
      </c>
      <c r="J7540" s="25" t="str">
        <f t="shared" si="85"/>
        <v>No</v>
      </c>
      <c r="K7540" s="25" t="str">
        <f t="shared" si="86"/>
        <v/>
      </c>
      <c r="L7540" s="25" t="str">
        <f t="shared" si="87"/>
        <v/>
      </c>
      <c r="M7540" s="25"/>
      <c r="O7540" s="26" t="s">
        <v>51</v>
      </c>
    </row>
    <row r="7541" ht="15.75" customHeight="1">
      <c r="A7541" s="25" t="str">
        <f>IFERROR(__xludf.DUMMYFUNCTION("IF(B7541="""","""",RIGHT(REGEXREPLACE(B7541&amp;"""",""[^0-9]"",""""),9))"),"774500908")</f>
        <v>774500908</v>
      </c>
      <c r="B7541" s="52">
        <v>7.74500908E8</v>
      </c>
      <c r="C7541" s="28" t="s">
        <v>7802</v>
      </c>
      <c r="D7541" s="26" t="s">
        <v>64</v>
      </c>
      <c r="E7541" s="31">
        <v>46244.0</v>
      </c>
      <c r="F7541" s="26" t="s">
        <v>46</v>
      </c>
      <c r="G7541" s="26">
        <v>11.0</v>
      </c>
      <c r="H7541" s="26" t="s">
        <v>4607</v>
      </c>
      <c r="I7541" s="26" t="s">
        <v>951</v>
      </c>
      <c r="J7541" s="25" t="str">
        <f t="shared" si="85"/>
        <v>No</v>
      </c>
      <c r="K7541" s="25" t="str">
        <f t="shared" si="86"/>
        <v/>
      </c>
      <c r="L7541" s="25" t="str">
        <f t="shared" si="87"/>
        <v/>
      </c>
      <c r="M7541" s="25"/>
      <c r="O7541" s="25"/>
    </row>
    <row r="7542" ht="15.75" customHeight="1">
      <c r="A7542" s="25" t="str">
        <f>IFERROR(__xludf.DUMMYFUNCTION("IF(B7542="""","""",RIGHT(REGEXREPLACE(B7542&amp;"""",""[^0-9]"",""""),9))"),"751659655")</f>
        <v>751659655</v>
      </c>
      <c r="B7542" s="52">
        <v>7.51659655E8</v>
      </c>
      <c r="C7542" s="28" t="s">
        <v>7803</v>
      </c>
      <c r="D7542" s="26" t="s">
        <v>64</v>
      </c>
      <c r="E7542" s="31">
        <v>46244.0</v>
      </c>
      <c r="F7542" s="26" t="s">
        <v>41</v>
      </c>
      <c r="I7542" s="26" t="s">
        <v>951</v>
      </c>
      <c r="J7542" s="25" t="str">
        <f t="shared" si="85"/>
        <v>No</v>
      </c>
      <c r="K7542" s="25" t="str">
        <f t="shared" si="86"/>
        <v/>
      </c>
      <c r="L7542" s="25" t="str">
        <f t="shared" si="87"/>
        <v/>
      </c>
      <c r="M7542" s="25"/>
      <c r="O7542" s="25"/>
    </row>
    <row r="7543" ht="15.75" customHeight="1">
      <c r="A7543" s="25" t="str">
        <f>IFERROR(__xludf.DUMMYFUNCTION("IF(B7543="""","""",RIGHT(REGEXREPLACE(B7543&amp;"""",""[^0-9]"",""""),9))"),"721771709")</f>
        <v>721771709</v>
      </c>
      <c r="B7543" s="52">
        <v>7.21771709E8</v>
      </c>
      <c r="C7543" s="28" t="s">
        <v>7804</v>
      </c>
      <c r="D7543" s="26" t="s">
        <v>45</v>
      </c>
      <c r="E7543" s="31">
        <v>46244.0</v>
      </c>
      <c r="F7543" s="26" t="s">
        <v>41</v>
      </c>
      <c r="G7543" s="26">
        <v>9.0</v>
      </c>
      <c r="I7543" s="26" t="s">
        <v>951</v>
      </c>
      <c r="J7543" s="25" t="str">
        <f t="shared" si="85"/>
        <v>No</v>
      </c>
      <c r="K7543" s="25" t="str">
        <f t="shared" si="86"/>
        <v/>
      </c>
      <c r="L7543" s="25" t="str">
        <f t="shared" si="87"/>
        <v/>
      </c>
      <c r="M7543" s="25"/>
      <c r="O7543" s="25"/>
    </row>
    <row r="7544" ht="15.75" customHeight="1">
      <c r="A7544" s="25" t="str">
        <f>IFERROR(__xludf.DUMMYFUNCTION("IF(B7544="""","""",RIGHT(REGEXREPLACE(B7544&amp;"""",""[^0-9]"",""""),9))"),"715922593")</f>
        <v>715922593</v>
      </c>
      <c r="B7544" s="52">
        <v>7.15922593E8</v>
      </c>
      <c r="C7544" s="28" t="s">
        <v>7805</v>
      </c>
      <c r="D7544" s="26" t="s">
        <v>64</v>
      </c>
      <c r="E7544" s="31">
        <v>46244.0</v>
      </c>
      <c r="F7544" s="26" t="s">
        <v>46</v>
      </c>
      <c r="G7544" s="26">
        <v>9.0</v>
      </c>
      <c r="I7544" s="26" t="s">
        <v>951</v>
      </c>
      <c r="J7544" s="25" t="str">
        <f t="shared" si="85"/>
        <v>No</v>
      </c>
      <c r="K7544" s="25" t="str">
        <f t="shared" si="86"/>
        <v/>
      </c>
      <c r="L7544" s="25" t="str">
        <f t="shared" si="87"/>
        <v/>
      </c>
      <c r="M7544" s="25"/>
      <c r="O7544" s="25"/>
    </row>
    <row r="7545" ht="15.75" customHeight="1">
      <c r="A7545" s="25" t="str">
        <f>IFERROR(__xludf.DUMMYFUNCTION("IF(B7545="""","""",RIGHT(REGEXREPLACE(B7545&amp;"""",""[^0-9]"",""""),9))"),"764597284")</f>
        <v>764597284</v>
      </c>
      <c r="B7545" s="52">
        <v>7.64597284E8</v>
      </c>
      <c r="C7545" s="28" t="s">
        <v>7806</v>
      </c>
      <c r="D7545" s="26" t="s">
        <v>56</v>
      </c>
      <c r="E7545" s="31">
        <v>46244.0</v>
      </c>
      <c r="F7545" s="26" t="s">
        <v>46</v>
      </c>
      <c r="G7545" s="26">
        <v>9.0</v>
      </c>
      <c r="I7545" s="26" t="s">
        <v>951</v>
      </c>
      <c r="J7545" s="25" t="str">
        <f t="shared" si="85"/>
        <v>No</v>
      </c>
      <c r="K7545" s="25" t="str">
        <f t="shared" si="86"/>
        <v/>
      </c>
      <c r="L7545" s="25" t="str">
        <f t="shared" si="87"/>
        <v/>
      </c>
      <c r="M7545" s="25"/>
      <c r="O7545" s="26" t="s">
        <v>51</v>
      </c>
    </row>
    <row r="7546" ht="15.75" customHeight="1">
      <c r="A7546" s="25" t="str">
        <f>IFERROR(__xludf.DUMMYFUNCTION("IF(B7546="""","""",RIGHT(REGEXREPLACE(B7546&amp;"""",""[^0-9]"",""""),9))"),"741468081")</f>
        <v>741468081</v>
      </c>
      <c r="B7546" s="52">
        <v>7.41468081E8</v>
      </c>
      <c r="C7546" s="28" t="s">
        <v>7807</v>
      </c>
      <c r="D7546" s="26" t="s">
        <v>49</v>
      </c>
      <c r="E7546" s="31">
        <v>46244.0</v>
      </c>
      <c r="F7546" s="26" t="s">
        <v>659</v>
      </c>
      <c r="G7546" s="26">
        <v>6.0</v>
      </c>
      <c r="I7546" s="26" t="s">
        <v>951</v>
      </c>
      <c r="J7546" s="25" t="str">
        <f t="shared" si="85"/>
        <v>No</v>
      </c>
      <c r="K7546" s="25" t="str">
        <f t="shared" si="86"/>
        <v/>
      </c>
      <c r="L7546" s="25" t="str">
        <f t="shared" si="87"/>
        <v/>
      </c>
      <c r="M7546" s="25"/>
      <c r="O7546" s="25"/>
    </row>
    <row r="7547" ht="15.75" customHeight="1">
      <c r="A7547" s="25" t="str">
        <f>IFERROR(__xludf.DUMMYFUNCTION("IF(B7547="""","""",RIGHT(REGEXREPLACE(B7547&amp;"""",""[^0-9]"",""""),9))"),"768862377")</f>
        <v>768862377</v>
      </c>
      <c r="B7547" s="52">
        <v>7.68862377E8</v>
      </c>
      <c r="C7547" s="28" t="s">
        <v>7808</v>
      </c>
      <c r="D7547" s="26" t="s">
        <v>56</v>
      </c>
      <c r="E7547" s="31">
        <v>46244.0</v>
      </c>
      <c r="F7547" s="26" t="s">
        <v>46</v>
      </c>
      <c r="G7547" s="26">
        <v>9.0</v>
      </c>
      <c r="I7547" s="26" t="s">
        <v>951</v>
      </c>
      <c r="J7547" s="25" t="str">
        <f t="shared" si="85"/>
        <v>No</v>
      </c>
      <c r="K7547" s="25" t="str">
        <f t="shared" si="86"/>
        <v/>
      </c>
      <c r="L7547" s="25" t="str">
        <f t="shared" si="87"/>
        <v/>
      </c>
      <c r="M7547" s="25"/>
      <c r="O7547" s="25"/>
    </row>
    <row r="7548" ht="15.75" customHeight="1">
      <c r="A7548" s="25" t="str">
        <f>IFERROR(__xludf.DUMMYFUNCTION("IF(B7548="""","""",RIGHT(REGEXREPLACE(B7548&amp;"""",""[^0-9]"",""""),9))"),"713081797")</f>
        <v>713081797</v>
      </c>
      <c r="B7548" s="52">
        <v>7.13081797E8</v>
      </c>
      <c r="C7548" s="28" t="s">
        <v>7809</v>
      </c>
      <c r="D7548" s="26" t="s">
        <v>45</v>
      </c>
      <c r="E7548" s="31">
        <v>46244.0</v>
      </c>
      <c r="F7548" s="26" t="s">
        <v>46</v>
      </c>
      <c r="G7548" s="26">
        <v>9.0</v>
      </c>
      <c r="I7548" s="26" t="s">
        <v>951</v>
      </c>
      <c r="J7548" s="25" t="str">
        <f t="shared" si="85"/>
        <v>No</v>
      </c>
      <c r="K7548" s="25" t="str">
        <f t="shared" si="86"/>
        <v/>
      </c>
      <c r="L7548" s="25" t="str">
        <f t="shared" si="87"/>
        <v/>
      </c>
      <c r="M7548" s="25"/>
      <c r="O7548" s="25"/>
    </row>
    <row r="7549" ht="15.75" customHeight="1">
      <c r="A7549" s="25" t="str">
        <f>IFERROR(__xludf.DUMMYFUNCTION("IF(B7549="""","""",RIGHT(REGEXREPLACE(B7549&amp;"""",""[^0-9]"",""""),9))"),"762441095")</f>
        <v>762441095</v>
      </c>
      <c r="B7549" s="52">
        <v>7.62441095E8</v>
      </c>
      <c r="C7549" s="28" t="s">
        <v>7810</v>
      </c>
      <c r="D7549" s="26" t="s">
        <v>64</v>
      </c>
      <c r="E7549" s="31">
        <v>46244.0</v>
      </c>
      <c r="F7549" s="26" t="s">
        <v>41</v>
      </c>
      <c r="I7549" s="26" t="s">
        <v>951</v>
      </c>
      <c r="J7549" s="25" t="str">
        <f t="shared" si="85"/>
        <v>No</v>
      </c>
      <c r="K7549" s="25" t="str">
        <f t="shared" si="86"/>
        <v/>
      </c>
      <c r="L7549" s="25" t="str">
        <f t="shared" si="87"/>
        <v/>
      </c>
      <c r="M7549" s="25"/>
      <c r="O7549" s="25"/>
    </row>
    <row r="7550" ht="15.75" customHeight="1">
      <c r="A7550" s="25" t="str">
        <f>IFERROR(__xludf.DUMMYFUNCTION("IF(B7550="""","""",RIGHT(REGEXREPLACE(B7550&amp;"""",""[^0-9]"",""""),9))"),"773655631")</f>
        <v>773655631</v>
      </c>
      <c r="B7550" s="52">
        <v>7.73655631E8</v>
      </c>
      <c r="C7550" s="28" t="s">
        <v>7811</v>
      </c>
      <c r="D7550" s="26" t="s">
        <v>49</v>
      </c>
      <c r="E7550" s="31">
        <v>46244.0</v>
      </c>
      <c r="F7550" s="26" t="s">
        <v>46</v>
      </c>
      <c r="G7550" s="26">
        <v>9.0</v>
      </c>
      <c r="H7550" s="26" t="s">
        <v>7812</v>
      </c>
      <c r="I7550" s="26" t="s">
        <v>951</v>
      </c>
      <c r="J7550" s="25" t="str">
        <f t="shared" si="85"/>
        <v>No</v>
      </c>
      <c r="K7550" s="25" t="str">
        <f t="shared" si="86"/>
        <v/>
      </c>
      <c r="L7550" s="25" t="str">
        <f t="shared" si="87"/>
        <v/>
      </c>
      <c r="M7550" s="25"/>
      <c r="O7550" s="25"/>
    </row>
    <row r="7551" ht="15.75" customHeight="1">
      <c r="A7551" s="25" t="str">
        <f>IFERROR(__xludf.DUMMYFUNCTION("IF(B7551="""","""",RIGHT(REGEXREPLACE(B7551&amp;"""",""[^0-9]"",""""),9))"),"764895177")</f>
        <v>764895177</v>
      </c>
      <c r="B7551" s="52">
        <v>7.64895177E8</v>
      </c>
      <c r="C7551" s="28" t="s">
        <v>7813</v>
      </c>
      <c r="D7551" s="26" t="s">
        <v>56</v>
      </c>
      <c r="E7551" s="31">
        <v>46244.0</v>
      </c>
      <c r="F7551" s="26" t="s">
        <v>41</v>
      </c>
      <c r="G7551" s="26">
        <v>10.0</v>
      </c>
      <c r="I7551" s="26" t="s">
        <v>951</v>
      </c>
      <c r="J7551" s="25" t="str">
        <f t="shared" si="85"/>
        <v>No</v>
      </c>
      <c r="K7551" s="25" t="str">
        <f t="shared" si="86"/>
        <v/>
      </c>
      <c r="L7551" s="25" t="str">
        <f t="shared" si="87"/>
        <v/>
      </c>
      <c r="M7551" s="25"/>
      <c r="O7551" s="25"/>
    </row>
    <row r="7552" ht="15.75" customHeight="1">
      <c r="A7552" s="25" t="str">
        <f>IFERROR(__xludf.DUMMYFUNCTION("IF(B7552="""","""",RIGHT(REGEXREPLACE(B7552&amp;"""",""[^0-9]"",""""),9))"),"755742687")</f>
        <v>755742687</v>
      </c>
      <c r="B7552" s="52">
        <v>7.55742687E8</v>
      </c>
      <c r="C7552" s="28" t="s">
        <v>7814</v>
      </c>
      <c r="D7552" s="26" t="s">
        <v>64</v>
      </c>
      <c r="E7552" s="31">
        <v>46244.0</v>
      </c>
      <c r="F7552" s="26" t="s">
        <v>46</v>
      </c>
      <c r="G7552" s="26">
        <v>8.0</v>
      </c>
      <c r="I7552" s="26" t="s">
        <v>951</v>
      </c>
      <c r="J7552" s="25" t="str">
        <f t="shared" si="85"/>
        <v>No</v>
      </c>
      <c r="K7552" s="25" t="str">
        <f t="shared" si="86"/>
        <v/>
      </c>
      <c r="L7552" s="25" t="str">
        <f t="shared" si="87"/>
        <v/>
      </c>
      <c r="M7552" s="25"/>
      <c r="O7552" s="26" t="s">
        <v>51</v>
      </c>
    </row>
    <row r="7553" ht="15.75" customHeight="1">
      <c r="A7553" s="25" t="str">
        <f>IFERROR(__xludf.DUMMYFUNCTION("IF(B7553="""","""",RIGHT(REGEXREPLACE(B7553&amp;"""",""[^0-9]"",""""),9))"),"714783335")</f>
        <v>714783335</v>
      </c>
      <c r="B7553" s="52">
        <v>7.14783335E8</v>
      </c>
      <c r="C7553" s="28" t="s">
        <v>7815</v>
      </c>
      <c r="D7553" s="26" t="s">
        <v>45</v>
      </c>
      <c r="E7553" s="31">
        <v>46244.0</v>
      </c>
      <c r="F7553" s="26" t="s">
        <v>125</v>
      </c>
      <c r="G7553" s="26">
        <v>9.0</v>
      </c>
      <c r="H7553" s="26" t="s">
        <v>7816</v>
      </c>
      <c r="I7553" s="26" t="s">
        <v>951</v>
      </c>
      <c r="J7553" s="25" t="str">
        <f t="shared" si="85"/>
        <v>No</v>
      </c>
      <c r="K7553" s="25" t="str">
        <f t="shared" si="86"/>
        <v/>
      </c>
      <c r="L7553" s="25" t="str">
        <f t="shared" si="87"/>
        <v/>
      </c>
      <c r="M7553" s="25"/>
      <c r="O7553" s="25"/>
    </row>
    <row r="7554" ht="15.75" customHeight="1">
      <c r="A7554" s="25" t="str">
        <f>IFERROR(__xludf.DUMMYFUNCTION("IF(B7554="""","""",RIGHT(REGEXREPLACE(B7554&amp;"""",""[^0-9]"",""""),9))"),"701957936")</f>
        <v>701957936</v>
      </c>
      <c r="B7554" s="52">
        <v>7.01957936E8</v>
      </c>
      <c r="C7554" s="28" t="s">
        <v>7817</v>
      </c>
      <c r="D7554" s="26" t="s">
        <v>56</v>
      </c>
      <c r="E7554" s="31">
        <v>46244.0</v>
      </c>
      <c r="F7554" s="26" t="s">
        <v>41</v>
      </c>
      <c r="I7554" s="26" t="s">
        <v>951</v>
      </c>
      <c r="J7554" s="25" t="str">
        <f t="shared" si="85"/>
        <v>No</v>
      </c>
      <c r="K7554" s="25" t="str">
        <f t="shared" si="86"/>
        <v/>
      </c>
      <c r="L7554" s="25" t="str">
        <f t="shared" si="87"/>
        <v/>
      </c>
      <c r="M7554" s="25"/>
      <c r="O7554" s="25"/>
    </row>
    <row r="7555" ht="15.75" customHeight="1">
      <c r="A7555" s="25" t="str">
        <f>IFERROR(__xludf.DUMMYFUNCTION("IF(B7555="""","""",RIGHT(REGEXREPLACE(B7555&amp;"""",""[^0-9]"",""""),9))"),"774236804")</f>
        <v>774236804</v>
      </c>
      <c r="B7555" s="52">
        <v>7.74236804E8</v>
      </c>
      <c r="C7555" s="28" t="s">
        <v>7818</v>
      </c>
      <c r="D7555" s="26" t="s">
        <v>49</v>
      </c>
      <c r="E7555" s="31">
        <v>46244.0</v>
      </c>
      <c r="F7555" s="26" t="s">
        <v>41</v>
      </c>
      <c r="G7555" s="26">
        <v>9.0</v>
      </c>
      <c r="I7555" s="26" t="s">
        <v>951</v>
      </c>
      <c r="J7555" s="25" t="str">
        <f t="shared" si="85"/>
        <v>No</v>
      </c>
      <c r="K7555" s="25" t="str">
        <f t="shared" si="86"/>
        <v/>
      </c>
      <c r="L7555" s="25" t="str">
        <f t="shared" si="87"/>
        <v/>
      </c>
      <c r="M7555" s="25"/>
      <c r="O7555" s="26" t="s">
        <v>51</v>
      </c>
    </row>
    <row r="7556" ht="15.75" customHeight="1">
      <c r="A7556" s="25" t="str">
        <f>IFERROR(__xludf.DUMMYFUNCTION("IF(B7556="""","""",RIGHT(REGEXREPLACE(B7556&amp;"""",""[^0-9]"",""""),9))"),"772188681")</f>
        <v>772188681</v>
      </c>
      <c r="B7556" s="52">
        <v>7.72188681E8</v>
      </c>
      <c r="C7556" s="28" t="s">
        <v>7819</v>
      </c>
      <c r="D7556" s="26" t="s">
        <v>45</v>
      </c>
      <c r="E7556" s="31">
        <v>46244.0</v>
      </c>
      <c r="F7556" s="26" t="s">
        <v>205</v>
      </c>
      <c r="I7556" s="26" t="s">
        <v>951</v>
      </c>
      <c r="J7556" s="25" t="str">
        <f t="shared" si="85"/>
        <v>No</v>
      </c>
      <c r="K7556" s="25" t="str">
        <f t="shared" si="86"/>
        <v/>
      </c>
      <c r="L7556" s="25" t="str">
        <f t="shared" si="87"/>
        <v/>
      </c>
      <c r="M7556" s="25"/>
      <c r="O7556" s="25"/>
    </row>
    <row r="7557" ht="15.75" customHeight="1">
      <c r="A7557" s="25" t="str">
        <f>IFERROR(__xludf.DUMMYFUNCTION("IF(B7557="""","""",RIGHT(REGEXREPLACE(B7557&amp;"""",""[^0-9]"",""""),9))"),"763835708")</f>
        <v>763835708</v>
      </c>
      <c r="B7557" s="52">
        <v>7.63835708E8</v>
      </c>
      <c r="C7557" s="28" t="s">
        <v>7820</v>
      </c>
      <c r="D7557" s="26" t="s">
        <v>45</v>
      </c>
      <c r="E7557" s="31">
        <v>46244.0</v>
      </c>
      <c r="F7557" s="26" t="s">
        <v>46</v>
      </c>
      <c r="G7557" s="26">
        <v>9.0</v>
      </c>
      <c r="I7557" s="26" t="s">
        <v>951</v>
      </c>
      <c r="J7557" s="25" t="str">
        <f t="shared" si="85"/>
        <v>No</v>
      </c>
      <c r="K7557" s="25" t="str">
        <f t="shared" si="86"/>
        <v/>
      </c>
      <c r="L7557" s="25" t="str">
        <f t="shared" si="87"/>
        <v/>
      </c>
      <c r="M7557" s="25"/>
      <c r="O7557" s="25"/>
    </row>
    <row r="7558" ht="15.75" customHeight="1">
      <c r="A7558" s="25" t="str">
        <f>IFERROR(__xludf.DUMMYFUNCTION("IF(B7558="""","""",RIGHT(REGEXREPLACE(B7558&amp;"""",""[^0-9]"",""""),9))"),"755694374")</f>
        <v>755694374</v>
      </c>
      <c r="B7558" s="52">
        <v>7.55694374E8</v>
      </c>
      <c r="C7558" s="28" t="s">
        <v>7821</v>
      </c>
      <c r="D7558" s="26" t="s">
        <v>56</v>
      </c>
      <c r="E7558" s="31">
        <v>46244.0</v>
      </c>
      <c r="F7558" s="26" t="s">
        <v>46</v>
      </c>
      <c r="G7558" s="26">
        <v>9.0</v>
      </c>
      <c r="I7558" s="26" t="s">
        <v>951</v>
      </c>
      <c r="J7558" s="25" t="str">
        <f t="shared" si="85"/>
        <v>No</v>
      </c>
      <c r="K7558" s="25" t="str">
        <f t="shared" si="86"/>
        <v/>
      </c>
      <c r="L7558" s="25" t="str">
        <f t="shared" si="87"/>
        <v/>
      </c>
      <c r="M7558" s="25"/>
      <c r="O7558" s="26" t="s">
        <v>51</v>
      </c>
    </row>
    <row r="7559" ht="15.75" customHeight="1">
      <c r="A7559" s="25" t="str">
        <f>IFERROR(__xludf.DUMMYFUNCTION("IF(B7559="""","""",RIGHT(REGEXREPLACE(B7559&amp;"""",""[^0-9]"",""""),9))"),"763202969")</f>
        <v>763202969</v>
      </c>
      <c r="B7559" s="52">
        <v>7.63202969E8</v>
      </c>
      <c r="C7559" s="28" t="s">
        <v>7822</v>
      </c>
      <c r="D7559" s="26" t="s">
        <v>64</v>
      </c>
      <c r="E7559" s="31">
        <v>46244.0</v>
      </c>
      <c r="F7559" s="26" t="s">
        <v>46</v>
      </c>
      <c r="G7559" s="26">
        <v>9.0</v>
      </c>
      <c r="I7559" s="26" t="s">
        <v>951</v>
      </c>
      <c r="J7559" s="25" t="str">
        <f t="shared" si="85"/>
        <v>No</v>
      </c>
      <c r="K7559" s="25" t="str">
        <f t="shared" si="86"/>
        <v/>
      </c>
      <c r="L7559" s="25" t="str">
        <f t="shared" si="87"/>
        <v/>
      </c>
      <c r="M7559" s="25"/>
      <c r="O7559" s="25"/>
    </row>
    <row r="7560" ht="15.75" customHeight="1">
      <c r="A7560" s="25" t="str">
        <f>IFERROR(__xludf.DUMMYFUNCTION("IF(B7560="""","""",RIGHT(REGEXREPLACE(B7560&amp;"""",""[^0-9]"",""""),9))"),"771731841")</f>
        <v>771731841</v>
      </c>
      <c r="B7560" s="52">
        <v>7.71731841E8</v>
      </c>
      <c r="C7560" s="28" t="s">
        <v>7823</v>
      </c>
      <c r="D7560" s="26" t="s">
        <v>56</v>
      </c>
      <c r="E7560" s="31">
        <v>46244.0</v>
      </c>
      <c r="F7560" s="26" t="s">
        <v>41</v>
      </c>
      <c r="G7560" s="26">
        <v>8.0</v>
      </c>
      <c r="I7560" s="26" t="s">
        <v>951</v>
      </c>
      <c r="J7560" s="25" t="str">
        <f t="shared" si="85"/>
        <v>No</v>
      </c>
      <c r="K7560" s="25" t="str">
        <f t="shared" si="86"/>
        <v/>
      </c>
      <c r="L7560" s="25" t="str">
        <f t="shared" si="87"/>
        <v/>
      </c>
      <c r="M7560" s="25"/>
      <c r="O7560" s="25"/>
    </row>
    <row r="7561" ht="15.75" customHeight="1">
      <c r="A7561" s="25" t="str">
        <f>IFERROR(__xludf.DUMMYFUNCTION("IF(B7561="""","""",RIGHT(REGEXREPLACE(B7561&amp;"""",""[^0-9]"",""""),9))"),"770390240")</f>
        <v>770390240</v>
      </c>
      <c r="B7561" s="52">
        <v>7.7039024E8</v>
      </c>
      <c r="C7561" s="28" t="s">
        <v>7824</v>
      </c>
      <c r="D7561" s="26" t="s">
        <v>64</v>
      </c>
      <c r="E7561" s="31">
        <v>46244.0</v>
      </c>
      <c r="F7561" s="26" t="s">
        <v>46</v>
      </c>
      <c r="G7561" s="26">
        <v>9.0</v>
      </c>
      <c r="H7561" s="26" t="s">
        <v>763</v>
      </c>
      <c r="I7561" s="26" t="s">
        <v>951</v>
      </c>
      <c r="J7561" s="25" t="str">
        <f t="shared" si="85"/>
        <v>No</v>
      </c>
      <c r="K7561" s="25" t="str">
        <f t="shared" si="86"/>
        <v/>
      </c>
      <c r="L7561" s="25" t="str">
        <f t="shared" si="87"/>
        <v/>
      </c>
      <c r="M7561" s="25"/>
      <c r="O7561" s="25"/>
    </row>
    <row r="7562" ht="15.75" customHeight="1">
      <c r="A7562" s="25" t="str">
        <f>IFERROR(__xludf.DUMMYFUNCTION("IF(B7562="""","""",RIGHT(REGEXREPLACE(B7562&amp;"""",""[^0-9]"",""""),9))"),"771346325")</f>
        <v>771346325</v>
      </c>
      <c r="B7562" s="52">
        <v>7.71346325E8</v>
      </c>
      <c r="C7562" s="28" t="s">
        <v>7825</v>
      </c>
      <c r="D7562" s="26" t="s">
        <v>56</v>
      </c>
      <c r="E7562" s="31">
        <v>46244.0</v>
      </c>
      <c r="F7562" s="26" t="s">
        <v>46</v>
      </c>
      <c r="G7562" s="26">
        <v>8.0</v>
      </c>
      <c r="I7562" s="26" t="s">
        <v>951</v>
      </c>
      <c r="J7562" s="25" t="str">
        <f t="shared" si="85"/>
        <v>No</v>
      </c>
      <c r="K7562" s="25" t="str">
        <f t="shared" si="86"/>
        <v/>
      </c>
      <c r="L7562" s="25" t="str">
        <f t="shared" si="87"/>
        <v/>
      </c>
      <c r="M7562" s="25"/>
      <c r="O7562" s="25"/>
    </row>
    <row r="7563" ht="15.75" customHeight="1">
      <c r="A7563" s="25" t="str">
        <f>IFERROR(__xludf.DUMMYFUNCTION("IF(B7563="""","""",RIGHT(REGEXREPLACE(B7563&amp;"""",""[^0-9]"",""""),9))"),"773149748")</f>
        <v>773149748</v>
      </c>
      <c r="B7563" s="52">
        <v>7.73149748E8</v>
      </c>
      <c r="C7563" s="28" t="s">
        <v>7826</v>
      </c>
      <c r="D7563" s="26" t="s">
        <v>45</v>
      </c>
      <c r="E7563" s="31">
        <v>46244.0</v>
      </c>
      <c r="F7563" s="26" t="s">
        <v>46</v>
      </c>
      <c r="G7563" s="26">
        <v>9.0</v>
      </c>
      <c r="I7563" s="26" t="s">
        <v>951</v>
      </c>
      <c r="J7563" s="25" t="str">
        <f t="shared" si="85"/>
        <v>No</v>
      </c>
      <c r="K7563" s="25" t="str">
        <f t="shared" si="86"/>
        <v/>
      </c>
      <c r="L7563" s="25" t="str">
        <f t="shared" si="87"/>
        <v/>
      </c>
      <c r="M7563" s="25"/>
      <c r="O7563" s="25"/>
    </row>
    <row r="7564" ht="15.75" customHeight="1">
      <c r="A7564" s="25" t="str">
        <f>IFERROR(__xludf.DUMMYFUNCTION("IF(B7564="""","""",RIGHT(REGEXREPLACE(B7564&amp;"""",""[^0-9]"",""""),9))"),"712448599")</f>
        <v>712448599</v>
      </c>
      <c r="B7564" s="52">
        <v>7.12448599E8</v>
      </c>
      <c r="C7564" s="28" t="s">
        <v>7827</v>
      </c>
      <c r="D7564" s="26" t="s">
        <v>64</v>
      </c>
      <c r="E7564" s="31">
        <v>46244.0</v>
      </c>
      <c r="F7564" s="26" t="s">
        <v>46</v>
      </c>
      <c r="G7564" s="26">
        <v>9.0</v>
      </c>
      <c r="I7564" s="26" t="s">
        <v>951</v>
      </c>
      <c r="J7564" s="25" t="str">
        <f t="shared" si="85"/>
        <v>No</v>
      </c>
      <c r="K7564" s="25" t="str">
        <f t="shared" si="86"/>
        <v/>
      </c>
      <c r="L7564" s="25" t="str">
        <f t="shared" si="87"/>
        <v/>
      </c>
      <c r="M7564" s="25"/>
      <c r="O7564" s="26" t="s">
        <v>51</v>
      </c>
    </row>
    <row r="7565" ht="15.75" customHeight="1">
      <c r="A7565" s="25" t="str">
        <f>IFERROR(__xludf.DUMMYFUNCTION("IF(B7565="""","""",RIGHT(REGEXREPLACE(B7565&amp;"""",""[^0-9]"",""""),9))"),"724705749")</f>
        <v>724705749</v>
      </c>
      <c r="B7565" s="52">
        <v>7.24705749E8</v>
      </c>
      <c r="C7565" s="28" t="s">
        <v>7828</v>
      </c>
      <c r="D7565" s="26" t="s">
        <v>49</v>
      </c>
      <c r="E7565" s="31">
        <v>46244.0</v>
      </c>
      <c r="F7565" s="26" t="s">
        <v>46</v>
      </c>
      <c r="G7565" s="26">
        <v>10.0</v>
      </c>
      <c r="I7565" s="26" t="s">
        <v>951</v>
      </c>
      <c r="J7565" s="25" t="str">
        <f t="shared" si="85"/>
        <v>No</v>
      </c>
      <c r="K7565" s="25" t="str">
        <f t="shared" si="86"/>
        <v/>
      </c>
      <c r="L7565" s="25" t="str">
        <f t="shared" si="87"/>
        <v/>
      </c>
      <c r="M7565" s="25"/>
      <c r="O7565" s="25"/>
    </row>
    <row r="7566" ht="15.75" customHeight="1">
      <c r="A7566" s="25" t="str">
        <f>IFERROR(__xludf.DUMMYFUNCTION("IF(B7566="""","""",RIGHT(REGEXREPLACE(B7566&amp;"""",""[^0-9]"",""""),9))"),"716044598")</f>
        <v>716044598</v>
      </c>
      <c r="B7566" s="52">
        <v>7.16044598E8</v>
      </c>
      <c r="C7566" s="28" t="s">
        <v>7829</v>
      </c>
      <c r="D7566" s="26" t="s">
        <v>45</v>
      </c>
      <c r="E7566" s="31">
        <v>46244.0</v>
      </c>
      <c r="F7566" s="26" t="s">
        <v>41</v>
      </c>
      <c r="G7566" s="26">
        <v>9.0</v>
      </c>
      <c r="I7566" s="26" t="s">
        <v>951</v>
      </c>
      <c r="J7566" s="25" t="str">
        <f t="shared" si="85"/>
        <v>No</v>
      </c>
      <c r="K7566" s="25" t="str">
        <f t="shared" si="86"/>
        <v/>
      </c>
      <c r="L7566" s="25" t="str">
        <f t="shared" si="87"/>
        <v/>
      </c>
      <c r="M7566" s="25"/>
      <c r="O7566" s="25"/>
    </row>
    <row r="7567" ht="15.75" customHeight="1">
      <c r="A7567" s="25" t="str">
        <f>IFERROR(__xludf.DUMMYFUNCTION("IF(B7567="""","""",RIGHT(REGEXREPLACE(B7567&amp;"""",""[^0-9]"",""""),9))"),"752992654")</f>
        <v>752992654</v>
      </c>
      <c r="B7567" s="52">
        <v>7.52992654E8</v>
      </c>
      <c r="C7567" s="28" t="s">
        <v>7830</v>
      </c>
      <c r="D7567" s="26" t="s">
        <v>56</v>
      </c>
      <c r="E7567" s="31">
        <v>46244.0</v>
      </c>
      <c r="F7567" s="26" t="s">
        <v>41</v>
      </c>
      <c r="I7567" s="26" t="s">
        <v>951</v>
      </c>
      <c r="J7567" s="25" t="str">
        <f t="shared" si="85"/>
        <v>No</v>
      </c>
      <c r="K7567" s="25" t="str">
        <f t="shared" si="86"/>
        <v/>
      </c>
      <c r="L7567" s="25" t="str">
        <f t="shared" si="87"/>
        <v/>
      </c>
      <c r="M7567" s="25"/>
      <c r="O7567" s="26" t="s">
        <v>51</v>
      </c>
    </row>
    <row r="7568" ht="15.75" customHeight="1">
      <c r="A7568" s="25" t="str">
        <f>IFERROR(__xludf.DUMMYFUNCTION("IF(B7568="""","""",RIGHT(REGEXREPLACE(B7568&amp;"""",""[^0-9]"",""""),9))"),"765476105")</f>
        <v>765476105</v>
      </c>
      <c r="B7568" s="52">
        <v>7.65476105E8</v>
      </c>
      <c r="C7568" s="28" t="s">
        <v>7831</v>
      </c>
      <c r="D7568" s="26" t="s">
        <v>64</v>
      </c>
      <c r="E7568" s="31">
        <v>46244.0</v>
      </c>
      <c r="F7568" s="26" t="s">
        <v>46</v>
      </c>
      <c r="G7568" s="26">
        <v>9.0</v>
      </c>
      <c r="I7568" s="26" t="s">
        <v>951</v>
      </c>
      <c r="J7568" s="25" t="str">
        <f t="shared" si="85"/>
        <v>No</v>
      </c>
      <c r="K7568" s="25" t="str">
        <f t="shared" si="86"/>
        <v/>
      </c>
      <c r="L7568" s="25" t="str">
        <f t="shared" si="87"/>
        <v/>
      </c>
      <c r="M7568" s="25"/>
      <c r="O7568" s="25"/>
    </row>
    <row r="7569" ht="15.75" customHeight="1">
      <c r="A7569" s="25" t="str">
        <f>IFERROR(__xludf.DUMMYFUNCTION("IF(B7569="""","""",RIGHT(REGEXREPLACE(B7569&amp;"""",""[^0-9]"",""""),9))"),"711095655")</f>
        <v>711095655</v>
      </c>
      <c r="B7569" s="52">
        <v>7.11095655E8</v>
      </c>
      <c r="C7569" s="28" t="s">
        <v>7832</v>
      </c>
      <c r="D7569" s="26" t="s">
        <v>45</v>
      </c>
      <c r="E7569" s="31">
        <v>46244.0</v>
      </c>
      <c r="F7569" s="26" t="s">
        <v>46</v>
      </c>
      <c r="G7569" s="26">
        <v>11.0</v>
      </c>
      <c r="H7569" s="72" t="s">
        <v>7833</v>
      </c>
      <c r="I7569" s="26" t="s">
        <v>951</v>
      </c>
      <c r="J7569" s="25" t="str">
        <f t="shared" si="85"/>
        <v>No</v>
      </c>
      <c r="K7569" s="25" t="str">
        <f t="shared" si="86"/>
        <v/>
      </c>
      <c r="L7569" s="25" t="str">
        <f t="shared" si="87"/>
        <v/>
      </c>
      <c r="M7569" s="25"/>
      <c r="O7569" s="25"/>
    </row>
    <row r="7570" ht="15.75" customHeight="1">
      <c r="A7570" s="25" t="str">
        <f>IFERROR(__xludf.DUMMYFUNCTION("IF(B7570="""","""",RIGHT(REGEXREPLACE(B7570&amp;"""",""[^0-9]"",""""),9))"),"704472240")</f>
        <v>704472240</v>
      </c>
      <c r="B7570" s="52">
        <v>4.70447224E9</v>
      </c>
      <c r="C7570" s="28" t="s">
        <v>7834</v>
      </c>
      <c r="D7570" s="26" t="s">
        <v>64</v>
      </c>
      <c r="E7570" s="31">
        <v>46244.0</v>
      </c>
      <c r="F7570" s="26" t="s">
        <v>46</v>
      </c>
      <c r="G7570" s="26">
        <v>8.0</v>
      </c>
      <c r="I7570" s="26" t="s">
        <v>951</v>
      </c>
      <c r="J7570" s="25" t="str">
        <f t="shared" si="85"/>
        <v>No</v>
      </c>
      <c r="K7570" s="25" t="str">
        <f t="shared" si="86"/>
        <v/>
      </c>
      <c r="L7570" s="25" t="str">
        <f t="shared" si="87"/>
        <v/>
      </c>
      <c r="M7570" s="25"/>
      <c r="O7570" s="25"/>
    </row>
    <row r="7571" ht="15.75" customHeight="1">
      <c r="A7571" s="25" t="str">
        <f>IFERROR(__xludf.DUMMYFUNCTION("IF(B7571="""","""",RIGHT(REGEXREPLACE(B7571&amp;"""",""[^0-9]"",""""),9))"),"726204636")</f>
        <v>726204636</v>
      </c>
      <c r="B7571" s="52">
        <v>7.26204636E8</v>
      </c>
      <c r="C7571" s="28" t="s">
        <v>7835</v>
      </c>
      <c r="D7571" s="26" t="s">
        <v>56</v>
      </c>
      <c r="E7571" s="31">
        <v>46244.0</v>
      </c>
      <c r="F7571" s="26" t="s">
        <v>41</v>
      </c>
      <c r="I7571" s="26" t="s">
        <v>951</v>
      </c>
      <c r="J7571" s="25" t="str">
        <f t="shared" si="85"/>
        <v>No</v>
      </c>
      <c r="K7571" s="25" t="str">
        <f t="shared" si="86"/>
        <v/>
      </c>
      <c r="L7571" s="25" t="str">
        <f t="shared" si="87"/>
        <v/>
      </c>
      <c r="M7571" s="25"/>
      <c r="O7571" s="25"/>
    </row>
    <row r="7572" ht="15.75" customHeight="1">
      <c r="A7572" s="25" t="str">
        <f>IFERROR(__xludf.DUMMYFUNCTION("IF(B7572="""","""",RIGHT(REGEXREPLACE(B7572&amp;"""",""[^0-9]"",""""),9))"),"764443686")</f>
        <v>764443686</v>
      </c>
      <c r="B7572" s="52">
        <v>7.64443686E8</v>
      </c>
      <c r="C7572" s="28" t="s">
        <v>7836</v>
      </c>
      <c r="D7572" s="26" t="s">
        <v>56</v>
      </c>
      <c r="E7572" s="31">
        <v>46244.0</v>
      </c>
      <c r="F7572" s="26" t="s">
        <v>164</v>
      </c>
      <c r="G7572" s="26">
        <v>9.0</v>
      </c>
      <c r="I7572" s="26" t="s">
        <v>951</v>
      </c>
      <c r="J7572" s="25" t="str">
        <f t="shared" si="85"/>
        <v>No</v>
      </c>
      <c r="K7572" s="25" t="str">
        <f t="shared" si="86"/>
        <v/>
      </c>
      <c r="L7572" s="25" t="str">
        <f t="shared" si="87"/>
        <v/>
      </c>
      <c r="M7572" s="25"/>
      <c r="O7572" s="25"/>
    </row>
    <row r="7573" ht="15.75" customHeight="1">
      <c r="A7573" s="25" t="str">
        <f>IFERROR(__xludf.DUMMYFUNCTION("IF(B7573="""","""",RIGHT(REGEXREPLACE(B7573&amp;"""",""[^0-9]"",""""),9))"),"705242315")</f>
        <v>705242315</v>
      </c>
      <c r="B7573" s="52">
        <v>7.05242315E8</v>
      </c>
      <c r="C7573" s="28" t="s">
        <v>7837</v>
      </c>
      <c r="D7573" s="26" t="s">
        <v>45</v>
      </c>
      <c r="E7573" s="31">
        <v>46244.0</v>
      </c>
      <c r="F7573" s="26" t="s">
        <v>46</v>
      </c>
      <c r="G7573" s="26">
        <v>9.0</v>
      </c>
      <c r="I7573" s="26" t="s">
        <v>951</v>
      </c>
      <c r="J7573" s="25" t="str">
        <f t="shared" si="85"/>
        <v>No</v>
      </c>
      <c r="K7573" s="25" t="str">
        <f t="shared" si="86"/>
        <v/>
      </c>
      <c r="L7573" s="25" t="str">
        <f t="shared" si="87"/>
        <v/>
      </c>
      <c r="M7573" s="25"/>
      <c r="O7573" s="25"/>
    </row>
    <row r="7574" ht="15.75" customHeight="1">
      <c r="A7574" s="25" t="str">
        <f>IFERROR(__xludf.DUMMYFUNCTION("IF(B7574="""","""",RIGHT(REGEXREPLACE(B7574&amp;"""",""[^0-9]"",""""),9))"),"752423331")</f>
        <v>752423331</v>
      </c>
      <c r="B7574" s="52">
        <v>7.52423331E8</v>
      </c>
      <c r="C7574" s="28" t="s">
        <v>3560</v>
      </c>
      <c r="D7574" s="26" t="s">
        <v>64</v>
      </c>
      <c r="E7574" s="31">
        <v>46244.0</v>
      </c>
      <c r="F7574" s="26" t="s">
        <v>46</v>
      </c>
      <c r="G7574" s="26">
        <v>11.0</v>
      </c>
      <c r="I7574" s="26" t="s">
        <v>951</v>
      </c>
      <c r="J7574" s="25" t="str">
        <f t="shared" si="85"/>
        <v>Yes - see Previous F-Code</v>
      </c>
      <c r="K7574" s="25" t="str">
        <f t="shared" si="86"/>
        <v/>
      </c>
      <c r="L7574" s="25" t="str">
        <f t="shared" si="87"/>
        <v>F73218</v>
      </c>
      <c r="M7574" s="25"/>
      <c r="O7574" s="25"/>
    </row>
    <row r="7575" ht="15.75" customHeight="1">
      <c r="A7575" s="25" t="str">
        <f>IFERROR(__xludf.DUMMYFUNCTION("IF(B7575="""","""",RIGHT(REGEXREPLACE(B7575&amp;"""",""[^0-9]"",""""),9))"),"741280243")</f>
        <v>741280243</v>
      </c>
      <c r="B7575" s="52">
        <v>7.41280243E8</v>
      </c>
      <c r="C7575" s="28" t="s">
        <v>7838</v>
      </c>
      <c r="D7575" s="26" t="s">
        <v>56</v>
      </c>
      <c r="E7575" s="31">
        <v>46244.0</v>
      </c>
      <c r="F7575" s="26" t="s">
        <v>41</v>
      </c>
      <c r="G7575" s="26">
        <v>10.0</v>
      </c>
      <c r="I7575" s="26" t="s">
        <v>951</v>
      </c>
      <c r="J7575" s="25" t="str">
        <f t="shared" si="85"/>
        <v>No</v>
      </c>
      <c r="K7575" s="25" t="str">
        <f t="shared" si="86"/>
        <v/>
      </c>
      <c r="L7575" s="25" t="str">
        <f t="shared" si="87"/>
        <v/>
      </c>
      <c r="M7575" s="25"/>
      <c r="O7575" s="25"/>
    </row>
    <row r="7576" ht="15.75" customHeight="1">
      <c r="A7576" s="25" t="str">
        <f>IFERROR(__xludf.DUMMYFUNCTION("IF(B7576="""","""",RIGHT(REGEXREPLACE(B7576&amp;"""",""[^0-9]"",""""),9))"),"760622473")</f>
        <v>760622473</v>
      </c>
      <c r="B7576" s="52">
        <v>7.60622473E8</v>
      </c>
      <c r="C7576" s="28" t="s">
        <v>7839</v>
      </c>
      <c r="D7576" s="26" t="s">
        <v>49</v>
      </c>
      <c r="E7576" s="31">
        <v>46244.0</v>
      </c>
      <c r="F7576" s="26" t="s">
        <v>46</v>
      </c>
      <c r="G7576" s="26">
        <v>9.0</v>
      </c>
      <c r="I7576" s="26" t="s">
        <v>951</v>
      </c>
      <c r="J7576" s="25" t="str">
        <f t="shared" si="85"/>
        <v>No</v>
      </c>
      <c r="K7576" s="25" t="str">
        <f t="shared" si="86"/>
        <v/>
      </c>
      <c r="L7576" s="25" t="str">
        <f t="shared" si="87"/>
        <v/>
      </c>
      <c r="M7576" s="25"/>
      <c r="O7576" s="25"/>
    </row>
    <row r="7577" ht="15.75" customHeight="1">
      <c r="A7577" s="25" t="str">
        <f>IFERROR(__xludf.DUMMYFUNCTION("IF(B7577="""","""",RIGHT(REGEXREPLACE(B7577&amp;"""",""[^0-9]"",""""),9))"),"786165376")</f>
        <v>786165376</v>
      </c>
      <c r="B7577" s="52">
        <v>7.86165376E8</v>
      </c>
      <c r="C7577" s="28" t="s">
        <v>7840</v>
      </c>
      <c r="D7577" s="26" t="s">
        <v>45</v>
      </c>
      <c r="E7577" s="31">
        <v>46244.0</v>
      </c>
      <c r="F7577" s="26" t="s">
        <v>41</v>
      </c>
      <c r="G7577" s="26">
        <v>9.0</v>
      </c>
      <c r="I7577" s="26" t="s">
        <v>951</v>
      </c>
      <c r="J7577" s="25" t="str">
        <f t="shared" si="85"/>
        <v>No</v>
      </c>
      <c r="K7577" s="25" t="str">
        <f t="shared" si="86"/>
        <v/>
      </c>
      <c r="L7577" s="25" t="str">
        <f t="shared" si="87"/>
        <v/>
      </c>
      <c r="M7577" s="25"/>
      <c r="O7577" s="25"/>
    </row>
    <row r="7578" ht="15.75" customHeight="1">
      <c r="A7578" s="25" t="str">
        <f>IFERROR(__xludf.DUMMYFUNCTION("IF(B7578="""","""",RIGHT(REGEXREPLACE(B7578&amp;"""",""[^0-9]"",""""),9))"),"707601727")</f>
        <v>707601727</v>
      </c>
      <c r="B7578" s="52">
        <v>7.07601727E8</v>
      </c>
      <c r="C7578" s="28" t="s">
        <v>7841</v>
      </c>
      <c r="D7578" s="26" t="s">
        <v>56</v>
      </c>
      <c r="E7578" s="31">
        <v>46244.0</v>
      </c>
      <c r="F7578" s="26" t="s">
        <v>46</v>
      </c>
      <c r="G7578" s="26">
        <v>9.0</v>
      </c>
      <c r="I7578" s="26" t="s">
        <v>951</v>
      </c>
      <c r="J7578" s="25" t="str">
        <f t="shared" si="85"/>
        <v>No</v>
      </c>
      <c r="K7578" s="25" t="str">
        <f t="shared" si="86"/>
        <v/>
      </c>
      <c r="L7578" s="25" t="str">
        <f t="shared" si="87"/>
        <v/>
      </c>
      <c r="M7578" s="25"/>
      <c r="O7578" s="25"/>
    </row>
    <row r="7579" ht="15.75" customHeight="1">
      <c r="A7579" s="25" t="str">
        <f>IFERROR(__xludf.DUMMYFUNCTION("IF(B7579="""","""",RIGHT(REGEXREPLACE(B7579&amp;"""",""[^0-9]"",""""),9))"),"760264303")</f>
        <v>760264303</v>
      </c>
      <c r="B7579" s="52">
        <v>7.60264303E8</v>
      </c>
      <c r="C7579" s="28" t="s">
        <v>7842</v>
      </c>
      <c r="D7579" s="26" t="s">
        <v>64</v>
      </c>
      <c r="E7579" s="31">
        <v>46244.0</v>
      </c>
      <c r="F7579" s="26" t="s">
        <v>46</v>
      </c>
      <c r="G7579" s="26">
        <v>9.0</v>
      </c>
      <c r="I7579" s="26" t="s">
        <v>951</v>
      </c>
      <c r="J7579" s="25" t="str">
        <f t="shared" si="85"/>
        <v>No</v>
      </c>
      <c r="K7579" s="25" t="str">
        <f t="shared" si="86"/>
        <v/>
      </c>
      <c r="L7579" s="25" t="str">
        <f t="shared" si="87"/>
        <v/>
      </c>
      <c r="M7579" s="25"/>
      <c r="O7579" s="25"/>
    </row>
    <row r="7580" ht="15.75" customHeight="1">
      <c r="A7580" s="25" t="str">
        <f>IFERROR(__xludf.DUMMYFUNCTION("IF(B7580="""","""",RIGHT(REGEXREPLACE(B7580&amp;"""",""[^0-9]"",""""),9))"),"777436491")</f>
        <v>777436491</v>
      </c>
      <c r="B7580" s="52">
        <v>7.77436491E8</v>
      </c>
      <c r="C7580" s="28" t="s">
        <v>2815</v>
      </c>
      <c r="D7580" s="26" t="s">
        <v>56</v>
      </c>
      <c r="E7580" s="31">
        <v>46244.0</v>
      </c>
      <c r="F7580" s="26" t="s">
        <v>41</v>
      </c>
      <c r="I7580" s="26" t="s">
        <v>951</v>
      </c>
      <c r="J7580" s="25" t="str">
        <f t="shared" si="85"/>
        <v>Yes - see Previous F-Code</v>
      </c>
      <c r="K7580" s="25" t="str">
        <f t="shared" si="86"/>
        <v/>
      </c>
      <c r="L7580" s="25" t="str">
        <f t="shared" si="87"/>
        <v>F72513</v>
      </c>
      <c r="M7580" s="25"/>
      <c r="O7580" s="25"/>
    </row>
    <row r="7581" ht="15.75" customHeight="1">
      <c r="A7581" s="25" t="str">
        <f>IFERROR(__xludf.DUMMYFUNCTION("IF(B7581="""","""",RIGHT(REGEXREPLACE(B7581&amp;"""",""[^0-9]"",""""),9))"),"717333238")</f>
        <v>717333238</v>
      </c>
      <c r="B7581" s="52">
        <v>7.17333238E8</v>
      </c>
      <c r="C7581" s="28" t="s">
        <v>7843</v>
      </c>
      <c r="D7581" s="26" t="s">
        <v>45</v>
      </c>
      <c r="E7581" s="31">
        <v>46244.0</v>
      </c>
      <c r="F7581" s="26" t="s">
        <v>46</v>
      </c>
      <c r="G7581" s="26">
        <v>9.0</v>
      </c>
      <c r="I7581" s="26" t="s">
        <v>951</v>
      </c>
      <c r="J7581" s="25" t="str">
        <f t="shared" si="85"/>
        <v>No</v>
      </c>
      <c r="K7581" s="25" t="str">
        <f t="shared" si="86"/>
        <v/>
      </c>
      <c r="L7581" s="25" t="str">
        <f t="shared" si="87"/>
        <v/>
      </c>
      <c r="M7581" s="25"/>
      <c r="O7581" s="25"/>
    </row>
    <row r="7582" ht="15.75" customHeight="1">
      <c r="A7582" s="25" t="str">
        <f>IFERROR(__xludf.DUMMYFUNCTION("IF(B7582="""","""",RIGHT(REGEXREPLACE(B7582&amp;"""",""[^0-9]"",""""),9))"),"777436491")</f>
        <v>777436491</v>
      </c>
      <c r="B7582" s="52">
        <v>7.77436491E8</v>
      </c>
      <c r="C7582" s="28" t="s">
        <v>2815</v>
      </c>
      <c r="D7582" s="26" t="s">
        <v>56</v>
      </c>
      <c r="E7582" s="31">
        <v>46244.0</v>
      </c>
      <c r="F7582" s="26" t="s">
        <v>41</v>
      </c>
      <c r="I7582" s="26" t="s">
        <v>951</v>
      </c>
      <c r="J7582" s="25" t="str">
        <f t="shared" si="85"/>
        <v>Yes - see Previous F-Code</v>
      </c>
      <c r="K7582" s="25" t="str">
        <f t="shared" si="86"/>
        <v>DUPLICATE - CHECK</v>
      </c>
      <c r="L7582" s="25" t="str">
        <f t="shared" si="87"/>
        <v>F72513</v>
      </c>
      <c r="M7582" s="25"/>
      <c r="O7582" s="25"/>
    </row>
    <row r="7583" ht="15.75" customHeight="1">
      <c r="A7583" s="25" t="str">
        <f>IFERROR(__xludf.DUMMYFUNCTION("IF(B7583="""","""",RIGHT(REGEXREPLACE(B7583&amp;"""",""[^0-9]"",""""),9))"),"725008317")</f>
        <v>725008317</v>
      </c>
      <c r="B7583" s="52">
        <v>7.25008317E8</v>
      </c>
      <c r="C7583" s="28" t="s">
        <v>7844</v>
      </c>
      <c r="D7583" s="26" t="s">
        <v>64</v>
      </c>
      <c r="E7583" s="31">
        <v>46244.0</v>
      </c>
      <c r="F7583" s="26" t="s">
        <v>46</v>
      </c>
      <c r="G7583" s="26">
        <v>9.0</v>
      </c>
      <c r="I7583" s="26" t="s">
        <v>951</v>
      </c>
      <c r="J7583" s="25" t="str">
        <f t="shared" si="85"/>
        <v>No</v>
      </c>
      <c r="K7583" s="25" t="str">
        <f t="shared" si="86"/>
        <v/>
      </c>
      <c r="L7583" s="25" t="str">
        <f t="shared" si="87"/>
        <v/>
      </c>
      <c r="M7583" s="25"/>
      <c r="O7583" s="25"/>
    </row>
    <row r="7584" ht="15.75" customHeight="1">
      <c r="A7584" s="25" t="str">
        <f>IFERROR(__xludf.DUMMYFUNCTION("IF(B7584="""","""",RIGHT(REGEXREPLACE(B7584&amp;"""",""[^0-9]"",""""),9))"),"751694950")</f>
        <v>751694950</v>
      </c>
      <c r="B7584" s="52">
        <v>7.5169495E8</v>
      </c>
      <c r="C7584" s="28" t="s">
        <v>7845</v>
      </c>
      <c r="D7584" s="26" t="s">
        <v>45</v>
      </c>
      <c r="E7584" s="31">
        <v>46244.0</v>
      </c>
      <c r="F7584" s="26" t="s">
        <v>46</v>
      </c>
      <c r="G7584" s="26">
        <v>9.0</v>
      </c>
      <c r="I7584" s="26" t="s">
        <v>951</v>
      </c>
      <c r="J7584" s="25" t="str">
        <f t="shared" si="85"/>
        <v>No</v>
      </c>
      <c r="K7584" s="25" t="str">
        <f t="shared" si="86"/>
        <v/>
      </c>
      <c r="L7584" s="25" t="str">
        <f t="shared" si="87"/>
        <v/>
      </c>
      <c r="M7584" s="25"/>
      <c r="O7584" s="25"/>
    </row>
    <row r="7585" ht="15.75" customHeight="1">
      <c r="A7585" s="25" t="str">
        <f>IFERROR(__xludf.DUMMYFUNCTION("IF(B7585="""","""",RIGHT(REGEXREPLACE(B7585&amp;"""",""[^0-9]"",""""),9))"),"717656125")</f>
        <v>717656125</v>
      </c>
      <c r="B7585" s="52">
        <v>7.17656125E8</v>
      </c>
      <c r="C7585" s="28" t="s">
        <v>2923</v>
      </c>
      <c r="D7585" s="26" t="s">
        <v>49</v>
      </c>
      <c r="E7585" s="31">
        <v>46244.0</v>
      </c>
      <c r="F7585" s="26" t="s">
        <v>46</v>
      </c>
      <c r="G7585" s="26">
        <v>8.0</v>
      </c>
      <c r="I7585" s="26" t="s">
        <v>951</v>
      </c>
      <c r="J7585" s="25" t="str">
        <f t="shared" si="85"/>
        <v>Yes - see Previous F-Code</v>
      </c>
      <c r="K7585" s="25" t="str">
        <f t="shared" si="86"/>
        <v/>
      </c>
      <c r="L7585" s="25" t="str">
        <f t="shared" si="87"/>
        <v>F71217</v>
      </c>
      <c r="M7585" s="25"/>
      <c r="O7585" s="25"/>
    </row>
    <row r="7586" ht="15.75" customHeight="1">
      <c r="A7586" s="25" t="str">
        <f>IFERROR(__xludf.DUMMYFUNCTION("IF(B7586="""","""",RIGHT(REGEXREPLACE(B7586&amp;"""",""[^0-9]"",""""),9))"),"774117687")</f>
        <v>774117687</v>
      </c>
      <c r="B7586" s="52">
        <v>7.74117687E8</v>
      </c>
      <c r="C7586" s="28" t="s">
        <v>7846</v>
      </c>
      <c r="D7586" s="26" t="s">
        <v>56</v>
      </c>
      <c r="E7586" s="31">
        <v>46244.0</v>
      </c>
      <c r="F7586" s="26" t="s">
        <v>205</v>
      </c>
      <c r="G7586" s="26">
        <v>9.0</v>
      </c>
      <c r="I7586" s="26" t="s">
        <v>951</v>
      </c>
      <c r="J7586" s="25" t="str">
        <f t="shared" si="85"/>
        <v>No</v>
      </c>
      <c r="K7586" s="25" t="str">
        <f t="shared" si="86"/>
        <v/>
      </c>
      <c r="L7586" s="25" t="str">
        <f t="shared" si="87"/>
        <v/>
      </c>
      <c r="M7586" s="25"/>
      <c r="O7586" s="25"/>
    </row>
    <row r="7587" ht="15.75" customHeight="1">
      <c r="A7587" s="25" t="str">
        <f>IFERROR(__xludf.DUMMYFUNCTION("IF(B7587="""","""",RIGHT(REGEXREPLACE(B7587&amp;"""",""[^0-9]"",""""),9))"),"778495353")</f>
        <v>778495353</v>
      </c>
      <c r="B7587" s="52">
        <v>7.78495353E8</v>
      </c>
      <c r="C7587" s="28" t="s">
        <v>7847</v>
      </c>
      <c r="D7587" s="26" t="s">
        <v>56</v>
      </c>
      <c r="E7587" s="31">
        <v>46244.0</v>
      </c>
      <c r="F7587" s="26" t="s">
        <v>46</v>
      </c>
      <c r="H7587" s="26" t="s">
        <v>7848</v>
      </c>
      <c r="I7587" s="26" t="s">
        <v>951</v>
      </c>
      <c r="J7587" s="25" t="str">
        <f t="shared" si="85"/>
        <v>No</v>
      </c>
      <c r="K7587" s="25" t="str">
        <f t="shared" si="86"/>
        <v/>
      </c>
      <c r="L7587" s="25" t="str">
        <f t="shared" si="87"/>
        <v/>
      </c>
      <c r="M7587" s="25"/>
      <c r="O7587" s="25"/>
    </row>
    <row r="7588" ht="15.75" customHeight="1">
      <c r="A7588" s="25" t="str">
        <f>IFERROR(__xludf.DUMMYFUNCTION("IF(B7588="""","""",RIGHT(REGEXREPLACE(B7588&amp;"""",""[^0-9]"",""""),9))"),"775582500")</f>
        <v>775582500</v>
      </c>
      <c r="B7588" s="52">
        <v>7.755825E8</v>
      </c>
      <c r="C7588" s="28" t="s">
        <v>7849</v>
      </c>
      <c r="D7588" s="26" t="s">
        <v>64</v>
      </c>
      <c r="E7588" s="31">
        <v>46244.0</v>
      </c>
      <c r="F7588" s="26" t="s">
        <v>205</v>
      </c>
      <c r="I7588" s="26" t="s">
        <v>951</v>
      </c>
      <c r="J7588" s="25" t="str">
        <f t="shared" si="85"/>
        <v>No</v>
      </c>
      <c r="K7588" s="25" t="str">
        <f t="shared" si="86"/>
        <v/>
      </c>
      <c r="L7588" s="25" t="str">
        <f t="shared" si="87"/>
        <v/>
      </c>
      <c r="M7588" s="25"/>
      <c r="O7588" s="25"/>
    </row>
    <row r="7589" ht="15.75" customHeight="1">
      <c r="A7589" s="25" t="str">
        <f>IFERROR(__xludf.DUMMYFUNCTION("IF(B7589="""","""",RIGHT(REGEXREPLACE(B7589&amp;"""",""[^0-9]"",""""),9))"),"773364259")</f>
        <v>773364259</v>
      </c>
      <c r="B7589" s="52">
        <v>7.73364259E8</v>
      </c>
      <c r="C7589" s="28" t="s">
        <v>7850</v>
      </c>
      <c r="D7589" s="26" t="s">
        <v>64</v>
      </c>
      <c r="E7589" s="31">
        <v>46244.0</v>
      </c>
      <c r="F7589" s="26" t="s">
        <v>46</v>
      </c>
      <c r="G7589" s="26">
        <v>9.0</v>
      </c>
      <c r="I7589" s="26" t="s">
        <v>951</v>
      </c>
      <c r="J7589" s="25" t="str">
        <f t="shared" si="85"/>
        <v>No</v>
      </c>
      <c r="K7589" s="25" t="str">
        <f t="shared" si="86"/>
        <v/>
      </c>
      <c r="L7589" s="25" t="str">
        <f t="shared" si="87"/>
        <v/>
      </c>
      <c r="M7589" s="25"/>
      <c r="O7589" s="25"/>
    </row>
    <row r="7590" ht="15.75" customHeight="1">
      <c r="A7590" s="25" t="str">
        <f>IFERROR(__xludf.DUMMYFUNCTION("IF(B7590="""","""",RIGHT(REGEXREPLACE(B7590&amp;"""",""[^0-9]"",""""),9))"),"770367849")</f>
        <v>770367849</v>
      </c>
      <c r="B7590" s="52">
        <v>7.70367849E8</v>
      </c>
      <c r="C7590" s="28" t="s">
        <v>1092</v>
      </c>
      <c r="D7590" s="26" t="s">
        <v>49</v>
      </c>
      <c r="E7590" s="31">
        <v>46244.0</v>
      </c>
      <c r="F7590" s="26" t="s">
        <v>164</v>
      </c>
      <c r="G7590" s="26">
        <v>11.0</v>
      </c>
      <c r="I7590" s="26" t="s">
        <v>951</v>
      </c>
      <c r="J7590" s="25" t="str">
        <f t="shared" si="85"/>
        <v>Yes - see Previous F-Code</v>
      </c>
      <c r="K7590" s="25" t="str">
        <f t="shared" si="86"/>
        <v/>
      </c>
      <c r="L7590" s="25" t="str">
        <f t="shared" si="87"/>
        <v>F70835</v>
      </c>
      <c r="M7590" s="25"/>
      <c r="O7590" s="25"/>
    </row>
    <row r="7591" ht="15.75" customHeight="1">
      <c r="A7591" s="25" t="str">
        <f>IFERROR(__xludf.DUMMYFUNCTION("IF(B7591="""","""",RIGHT(REGEXREPLACE(B7591&amp;"""",""[^0-9]"",""""),9))"),"703439840")</f>
        <v>703439840</v>
      </c>
      <c r="B7591" s="52">
        <v>7.0343984E8</v>
      </c>
      <c r="C7591" s="28" t="s">
        <v>7851</v>
      </c>
      <c r="D7591" s="26" t="s">
        <v>56</v>
      </c>
      <c r="E7591" s="31">
        <v>46244.0</v>
      </c>
      <c r="F7591" s="26" t="s">
        <v>41</v>
      </c>
      <c r="G7591" s="26">
        <v>10.0</v>
      </c>
      <c r="I7591" s="26" t="s">
        <v>951</v>
      </c>
      <c r="J7591" s="25" t="str">
        <f t="shared" si="85"/>
        <v>No</v>
      </c>
      <c r="K7591" s="25" t="str">
        <f t="shared" si="86"/>
        <v/>
      </c>
      <c r="L7591" s="25" t="str">
        <f t="shared" si="87"/>
        <v/>
      </c>
      <c r="M7591" s="25"/>
      <c r="O7591" s="25"/>
    </row>
    <row r="7592" ht="15.75" customHeight="1">
      <c r="A7592" s="25" t="str">
        <f>IFERROR(__xludf.DUMMYFUNCTION("IF(B7592="""","""",RIGHT(REGEXREPLACE(B7592&amp;"""",""[^0-9]"",""""),9))"),"724395285")</f>
        <v>724395285</v>
      </c>
      <c r="B7592" s="52">
        <v>7.24395285E8</v>
      </c>
      <c r="C7592" s="28" t="s">
        <v>2756</v>
      </c>
      <c r="D7592" s="26" t="s">
        <v>45</v>
      </c>
      <c r="E7592" s="31">
        <v>46244.0</v>
      </c>
      <c r="F7592" s="26" t="s">
        <v>205</v>
      </c>
      <c r="G7592" s="26">
        <v>11.0</v>
      </c>
      <c r="I7592" s="26" t="s">
        <v>951</v>
      </c>
      <c r="J7592" s="25" t="str">
        <f t="shared" si="85"/>
        <v>Yes - see Previous F-Code</v>
      </c>
      <c r="K7592" s="25" t="str">
        <f t="shared" si="86"/>
        <v/>
      </c>
      <c r="L7592" s="25" t="str">
        <f t="shared" si="87"/>
        <v>F72441</v>
      </c>
      <c r="M7592" s="25"/>
      <c r="O7592" s="25"/>
    </row>
    <row r="7593" ht="15.75" customHeight="1">
      <c r="A7593" s="25" t="str">
        <f>IFERROR(__xludf.DUMMYFUNCTION("IF(B7593="""","""",RIGHT(REGEXREPLACE(B7593&amp;"""",""[^0-9]"",""""),9))"),"767051821")</f>
        <v>767051821</v>
      </c>
      <c r="B7593" s="52">
        <v>7.67051821E8</v>
      </c>
      <c r="C7593" s="28" t="s">
        <v>7852</v>
      </c>
      <c r="D7593" s="26" t="s">
        <v>45</v>
      </c>
      <c r="E7593" s="31">
        <v>46244.0</v>
      </c>
      <c r="F7593" s="26" t="s">
        <v>46</v>
      </c>
      <c r="G7593" s="26">
        <v>9.0</v>
      </c>
      <c r="I7593" s="26" t="s">
        <v>951</v>
      </c>
      <c r="J7593" s="25" t="str">
        <f t="shared" si="85"/>
        <v>No</v>
      </c>
      <c r="K7593" s="25" t="str">
        <f t="shared" si="86"/>
        <v/>
      </c>
      <c r="L7593" s="25" t="str">
        <f t="shared" si="87"/>
        <v/>
      </c>
      <c r="M7593" s="25"/>
      <c r="O7593" s="26" t="s">
        <v>51</v>
      </c>
    </row>
    <row r="7594" ht="15.75" customHeight="1">
      <c r="A7594" s="25" t="str">
        <f>IFERROR(__xludf.DUMMYFUNCTION("IF(B7594="""","""",RIGHT(REGEXREPLACE(B7594&amp;"""",""[^0-9]"",""""),9))"),"760090562")</f>
        <v>760090562</v>
      </c>
      <c r="B7594" s="52">
        <v>7.60090562E8</v>
      </c>
      <c r="C7594" s="28" t="s">
        <v>7853</v>
      </c>
      <c r="D7594" s="26" t="s">
        <v>45</v>
      </c>
      <c r="E7594" s="31">
        <v>46244.0</v>
      </c>
      <c r="F7594" s="26" t="s">
        <v>205</v>
      </c>
      <c r="I7594" s="26" t="s">
        <v>951</v>
      </c>
      <c r="J7594" s="25" t="str">
        <f t="shared" si="85"/>
        <v>No</v>
      </c>
      <c r="K7594" s="25" t="str">
        <f t="shared" si="86"/>
        <v/>
      </c>
      <c r="L7594" s="25" t="str">
        <f t="shared" si="87"/>
        <v/>
      </c>
      <c r="M7594" s="25"/>
      <c r="O7594" s="25"/>
    </row>
    <row r="7595" ht="15.75" customHeight="1">
      <c r="A7595" s="25" t="str">
        <f>IFERROR(__xludf.DUMMYFUNCTION("IF(B7595="""","""",RIGHT(REGEXREPLACE(B7595&amp;"""",""[^0-9]"",""""),9))"),"740620798")</f>
        <v>740620798</v>
      </c>
      <c r="B7595" s="52">
        <v>7.40620798E8</v>
      </c>
      <c r="C7595" s="28" t="s">
        <v>7854</v>
      </c>
      <c r="D7595" s="26" t="s">
        <v>56</v>
      </c>
      <c r="E7595" s="31">
        <v>46244.0</v>
      </c>
      <c r="F7595" s="26" t="s">
        <v>46</v>
      </c>
      <c r="G7595" s="26" t="s">
        <v>4647</v>
      </c>
      <c r="I7595" s="26" t="s">
        <v>951</v>
      </c>
      <c r="J7595" s="25" t="str">
        <f t="shared" si="85"/>
        <v>No</v>
      </c>
      <c r="K7595" s="25" t="str">
        <f t="shared" si="86"/>
        <v/>
      </c>
      <c r="L7595" s="25" t="str">
        <f t="shared" si="87"/>
        <v/>
      </c>
      <c r="M7595" s="25"/>
      <c r="O7595" s="25"/>
    </row>
    <row r="7596" ht="15.75" customHeight="1">
      <c r="A7596" s="25" t="str">
        <f>IFERROR(__xludf.DUMMYFUNCTION("IF(B7596="""","""",RIGHT(REGEXREPLACE(B7596&amp;"""",""[^0-9]"",""""),9))"),"718039999")</f>
        <v>718039999</v>
      </c>
      <c r="B7596" s="52">
        <v>7.18039999E8</v>
      </c>
      <c r="C7596" s="28" t="s">
        <v>7855</v>
      </c>
      <c r="D7596" s="26" t="s">
        <v>49</v>
      </c>
      <c r="E7596" s="31">
        <v>46244.0</v>
      </c>
      <c r="F7596" s="26" t="s">
        <v>46</v>
      </c>
      <c r="G7596" s="26">
        <v>9.0</v>
      </c>
      <c r="I7596" s="26" t="s">
        <v>951</v>
      </c>
      <c r="J7596" s="25" t="str">
        <f t="shared" si="85"/>
        <v>No</v>
      </c>
      <c r="K7596" s="25" t="str">
        <f t="shared" si="86"/>
        <v/>
      </c>
      <c r="L7596" s="25" t="str">
        <f t="shared" si="87"/>
        <v/>
      </c>
      <c r="M7596" s="25"/>
      <c r="O7596" s="25"/>
    </row>
    <row r="7597" ht="15.75" customHeight="1">
      <c r="A7597" s="25" t="str">
        <f>IFERROR(__xludf.DUMMYFUNCTION("IF(B7597="""","""",RIGHT(REGEXREPLACE(B7597&amp;"""",""[^0-9]"",""""),9))"),"772160473")</f>
        <v>772160473</v>
      </c>
      <c r="B7597" s="52">
        <v>7.72160473E8</v>
      </c>
      <c r="C7597" s="28" t="s">
        <v>4656</v>
      </c>
      <c r="D7597" s="26" t="s">
        <v>64</v>
      </c>
      <c r="E7597" s="31">
        <v>46244.0</v>
      </c>
      <c r="F7597" s="26" t="s">
        <v>41</v>
      </c>
      <c r="G7597" s="26">
        <v>9.0</v>
      </c>
      <c r="I7597" s="26" t="s">
        <v>951</v>
      </c>
      <c r="J7597" s="25" t="str">
        <f t="shared" si="85"/>
        <v>No</v>
      </c>
      <c r="K7597" s="25" t="str">
        <f t="shared" si="86"/>
        <v/>
      </c>
      <c r="L7597" s="25" t="str">
        <f t="shared" si="87"/>
        <v/>
      </c>
      <c r="M7597" s="25"/>
      <c r="O7597" s="25"/>
    </row>
    <row r="7598" ht="15.75" customHeight="1">
      <c r="A7598" s="25" t="str">
        <f>IFERROR(__xludf.DUMMYFUNCTION("IF(B7598="""","""",RIGHT(REGEXREPLACE(B7598&amp;"""",""[^0-9]"",""""),9))"),"779196928")</f>
        <v>779196928</v>
      </c>
      <c r="B7598" s="52">
        <v>7.79196928E8</v>
      </c>
      <c r="C7598" s="28" t="s">
        <v>1024</v>
      </c>
      <c r="D7598" s="26" t="s">
        <v>56</v>
      </c>
      <c r="E7598" s="31">
        <v>46244.0</v>
      </c>
      <c r="F7598" s="25"/>
      <c r="G7598" s="26">
        <v>9.0</v>
      </c>
      <c r="H7598" s="25"/>
      <c r="I7598" s="26" t="s">
        <v>951</v>
      </c>
      <c r="J7598" s="25" t="str">
        <f t="shared" si="85"/>
        <v>Yes - see Previous F-Code</v>
      </c>
      <c r="K7598" s="25" t="str">
        <f t="shared" si="86"/>
        <v/>
      </c>
      <c r="L7598" s="25" t="str">
        <f t="shared" si="87"/>
        <v>F70771</v>
      </c>
      <c r="M7598" s="25"/>
      <c r="N7598" s="25"/>
      <c r="O7598" s="25"/>
      <c r="P7598" s="25"/>
    </row>
    <row r="7599" ht="15.75" customHeight="1">
      <c r="A7599" s="25" t="str">
        <f>IFERROR(__xludf.DUMMYFUNCTION("IF(B7599="""","""",RIGHT(REGEXREPLACE(B7599&amp;"""",""[^0-9]"",""""),9))"),"716090365")</f>
        <v>716090365</v>
      </c>
      <c r="B7599" s="52">
        <v>7.16090365E8</v>
      </c>
      <c r="C7599" s="28" t="s">
        <v>7856</v>
      </c>
      <c r="D7599" s="26" t="s">
        <v>45</v>
      </c>
      <c r="E7599" s="31">
        <v>46244.0</v>
      </c>
      <c r="F7599" s="26" t="s">
        <v>659</v>
      </c>
      <c r="I7599" s="26" t="s">
        <v>951</v>
      </c>
      <c r="J7599" s="25" t="str">
        <f t="shared" si="85"/>
        <v>No</v>
      </c>
      <c r="K7599" s="25" t="str">
        <f t="shared" si="86"/>
        <v/>
      </c>
      <c r="L7599" s="25" t="str">
        <f t="shared" si="87"/>
        <v/>
      </c>
      <c r="M7599" s="25"/>
      <c r="O7599" s="25"/>
    </row>
    <row r="7600" ht="15.75" customHeight="1">
      <c r="A7600" s="25" t="str">
        <f>IFERROR(__xludf.DUMMYFUNCTION("IF(B7600="""","""",RIGHT(REGEXREPLACE(B7600&amp;"""",""[^0-9]"",""""),9))"),"766704941")</f>
        <v>766704941</v>
      </c>
      <c r="B7600" s="52">
        <v>7.66704941E8</v>
      </c>
      <c r="C7600" s="28" t="s">
        <v>7857</v>
      </c>
      <c r="D7600" s="26" t="s">
        <v>64</v>
      </c>
      <c r="E7600" s="31">
        <v>46244.0</v>
      </c>
      <c r="F7600" s="26" t="s">
        <v>41</v>
      </c>
      <c r="G7600" s="26">
        <v>9.0</v>
      </c>
      <c r="I7600" s="26" t="s">
        <v>951</v>
      </c>
      <c r="J7600" s="25" t="str">
        <f t="shared" si="85"/>
        <v>No</v>
      </c>
      <c r="K7600" s="25" t="str">
        <f t="shared" si="86"/>
        <v/>
      </c>
      <c r="L7600" s="25" t="str">
        <f t="shared" si="87"/>
        <v/>
      </c>
      <c r="M7600" s="25"/>
      <c r="O7600" s="26" t="s">
        <v>51</v>
      </c>
    </row>
    <row r="7601" ht="15.75" customHeight="1">
      <c r="A7601" s="25" t="str">
        <f>IFERROR(__xludf.DUMMYFUNCTION("IF(B7601="""","""",RIGHT(REGEXREPLACE(B7601&amp;"""",""[^0-9]"",""""),9))"),"719118732")</f>
        <v>719118732</v>
      </c>
      <c r="B7601" s="52">
        <v>7.19118732E8</v>
      </c>
      <c r="C7601" s="28" t="s">
        <v>7858</v>
      </c>
      <c r="D7601" s="26" t="s">
        <v>45</v>
      </c>
      <c r="E7601" s="31">
        <v>46244.0</v>
      </c>
      <c r="F7601" s="26" t="s">
        <v>41</v>
      </c>
      <c r="I7601" s="26" t="s">
        <v>951</v>
      </c>
      <c r="J7601" s="25" t="str">
        <f t="shared" si="85"/>
        <v>No</v>
      </c>
      <c r="K7601" s="25" t="str">
        <f t="shared" si="86"/>
        <v/>
      </c>
      <c r="L7601" s="25" t="str">
        <f t="shared" si="87"/>
        <v/>
      </c>
      <c r="M7601" s="25"/>
      <c r="O7601" s="25"/>
    </row>
    <row r="7602" ht="15.75" customHeight="1">
      <c r="A7602" s="25" t="str">
        <f>IFERROR(__xludf.DUMMYFUNCTION("IF(B7602="""","""",RIGHT(REGEXREPLACE(B7602&amp;"""",""[^0-9]"",""""),9))"),"754826450")</f>
        <v>754826450</v>
      </c>
      <c r="B7602" s="52">
        <v>7.5482645E8</v>
      </c>
      <c r="C7602" s="28" t="s">
        <v>7670</v>
      </c>
      <c r="D7602" s="26" t="s">
        <v>56</v>
      </c>
      <c r="E7602" s="31">
        <v>46244.0</v>
      </c>
      <c r="F7602" s="25"/>
      <c r="G7602" s="26" t="s">
        <v>2011</v>
      </c>
      <c r="H7602" s="25"/>
      <c r="I7602" s="26" t="s">
        <v>951</v>
      </c>
      <c r="J7602" s="25" t="str">
        <f t="shared" si="85"/>
        <v>No</v>
      </c>
      <c r="K7602" s="25" t="str">
        <f t="shared" si="86"/>
        <v/>
      </c>
      <c r="L7602" s="25" t="str">
        <f t="shared" si="87"/>
        <v/>
      </c>
      <c r="M7602" s="25"/>
      <c r="N7602" s="25"/>
      <c r="O7602" s="26" t="s">
        <v>51</v>
      </c>
      <c r="P7602" s="25"/>
    </row>
    <row r="7603" ht="15.75" customHeight="1">
      <c r="A7603" s="25" t="str">
        <f>IFERROR(__xludf.DUMMYFUNCTION("IF(B7603="""","""",RIGHT(REGEXREPLACE(B7603&amp;"""",""[^0-9]"",""""),9))"),"762644149")</f>
        <v>762644149</v>
      </c>
      <c r="B7603" s="52">
        <v>7.62644149E8</v>
      </c>
      <c r="C7603" s="28" t="s">
        <v>7859</v>
      </c>
      <c r="D7603" s="26" t="s">
        <v>45</v>
      </c>
      <c r="E7603" s="31">
        <v>46244.0</v>
      </c>
      <c r="F7603" s="26" t="s">
        <v>41</v>
      </c>
      <c r="G7603" s="26">
        <v>9.0</v>
      </c>
      <c r="I7603" s="26" t="s">
        <v>951</v>
      </c>
      <c r="J7603" s="25" t="str">
        <f t="shared" si="85"/>
        <v>No</v>
      </c>
      <c r="K7603" s="25" t="str">
        <f t="shared" si="86"/>
        <v/>
      </c>
      <c r="L7603" s="25" t="str">
        <f t="shared" si="87"/>
        <v/>
      </c>
      <c r="M7603" s="25"/>
      <c r="O7603" s="25"/>
    </row>
    <row r="7604" ht="15.75" customHeight="1">
      <c r="A7604" s="25" t="str">
        <f>IFERROR(__xludf.DUMMYFUNCTION("IF(B7604="""","""",RIGHT(REGEXREPLACE(B7604&amp;"""",""[^0-9]"",""""),9))"),"773685252")</f>
        <v>773685252</v>
      </c>
      <c r="B7604" s="52">
        <v>7.73685252E8</v>
      </c>
      <c r="C7604" s="28" t="s">
        <v>7343</v>
      </c>
      <c r="D7604" s="26" t="s">
        <v>49</v>
      </c>
      <c r="E7604" s="31">
        <v>46244.0</v>
      </c>
      <c r="F7604" s="26" t="s">
        <v>46</v>
      </c>
      <c r="G7604" s="26">
        <v>10.0</v>
      </c>
      <c r="H7604" s="26" t="s">
        <v>7860</v>
      </c>
      <c r="I7604" s="26" t="s">
        <v>951</v>
      </c>
      <c r="J7604" s="25" t="str">
        <f t="shared" si="85"/>
        <v>Yes - see Previous F-Code</v>
      </c>
      <c r="K7604" s="25" t="str">
        <f t="shared" si="86"/>
        <v>DUPLICATE - CHECK</v>
      </c>
      <c r="L7604" s="25" t="str">
        <f t="shared" si="87"/>
        <v>F76281</v>
      </c>
      <c r="M7604" s="25"/>
      <c r="O7604" s="25"/>
    </row>
    <row r="7605" ht="15.75" customHeight="1">
      <c r="A7605" s="25" t="str">
        <f>IFERROR(__xludf.DUMMYFUNCTION("IF(B7605="""","""",RIGHT(REGEXREPLACE(B7605&amp;"""",""[^0-9]"",""""),9))"),"783812604")</f>
        <v>783812604</v>
      </c>
      <c r="B7605" s="52">
        <v>7.83812604E8</v>
      </c>
      <c r="C7605" s="28" t="s">
        <v>7859</v>
      </c>
      <c r="D7605" s="26" t="s">
        <v>64</v>
      </c>
      <c r="E7605" s="31">
        <v>46244.0</v>
      </c>
      <c r="F7605" s="26" t="s">
        <v>41</v>
      </c>
      <c r="G7605" s="26">
        <v>9.0</v>
      </c>
      <c r="I7605" s="26" t="s">
        <v>951</v>
      </c>
      <c r="J7605" s="25" t="str">
        <f t="shared" si="85"/>
        <v>No</v>
      </c>
      <c r="K7605" s="25" t="str">
        <f t="shared" si="86"/>
        <v/>
      </c>
      <c r="L7605" s="25" t="str">
        <f t="shared" si="87"/>
        <v/>
      </c>
      <c r="M7605" s="25"/>
      <c r="O7605" s="25"/>
    </row>
    <row r="7606" ht="15.75" customHeight="1">
      <c r="A7606" s="25" t="str">
        <f>IFERROR(__xludf.DUMMYFUNCTION("IF(B7606="""","""",RIGHT(REGEXREPLACE(B7606&amp;"""",""[^0-9]"",""""),9))"),"702518672")</f>
        <v>702518672</v>
      </c>
      <c r="B7606" s="52">
        <v>7.02518672E8</v>
      </c>
      <c r="C7606" s="28" t="s">
        <v>7861</v>
      </c>
      <c r="D7606" s="26" t="s">
        <v>64</v>
      </c>
      <c r="E7606" s="31">
        <v>46244.0</v>
      </c>
      <c r="F7606" s="26" t="s">
        <v>659</v>
      </c>
      <c r="I7606" s="26" t="s">
        <v>951</v>
      </c>
      <c r="J7606" s="25" t="str">
        <f t="shared" si="85"/>
        <v>No</v>
      </c>
      <c r="K7606" s="25" t="str">
        <f t="shared" si="86"/>
        <v/>
      </c>
      <c r="L7606" s="25" t="str">
        <f t="shared" si="87"/>
        <v/>
      </c>
      <c r="M7606" s="25"/>
      <c r="O7606" s="25"/>
    </row>
    <row r="7607" ht="15.75" customHeight="1">
      <c r="A7607" s="25" t="str">
        <f>IFERROR(__xludf.DUMMYFUNCTION("IF(B7607="""","""",RIGHT(REGEXREPLACE(B7607&amp;"""",""[^0-9]"",""""),9))"),"718456153")</f>
        <v>718456153</v>
      </c>
      <c r="B7607" s="52">
        <v>7.18456153E8</v>
      </c>
      <c r="C7607" s="28" t="s">
        <v>7862</v>
      </c>
      <c r="D7607" s="26" t="s">
        <v>45</v>
      </c>
      <c r="E7607" s="31">
        <v>46244.0</v>
      </c>
      <c r="F7607" s="26" t="s">
        <v>41</v>
      </c>
      <c r="G7607" s="26">
        <v>9.0</v>
      </c>
      <c r="I7607" s="26" t="s">
        <v>951</v>
      </c>
      <c r="J7607" s="25" t="str">
        <f t="shared" si="85"/>
        <v>No</v>
      </c>
      <c r="K7607" s="25" t="str">
        <f t="shared" si="86"/>
        <v/>
      </c>
      <c r="L7607" s="25" t="str">
        <f t="shared" si="87"/>
        <v/>
      </c>
      <c r="M7607" s="25"/>
      <c r="O7607" s="25"/>
    </row>
    <row r="7608" ht="15.75" customHeight="1">
      <c r="A7608" s="25" t="str">
        <f>IFERROR(__xludf.DUMMYFUNCTION("IF(B7608="""","""",RIGHT(REGEXREPLACE(B7608&amp;"""",""[^0-9]"",""""),9))"),"710558738")</f>
        <v>710558738</v>
      </c>
      <c r="B7608" s="52">
        <v>7.10558738E8</v>
      </c>
      <c r="C7608" s="28" t="s">
        <v>7863</v>
      </c>
      <c r="D7608" s="26" t="s">
        <v>49</v>
      </c>
      <c r="E7608" s="31">
        <v>46244.0</v>
      </c>
      <c r="F7608" s="26" t="s">
        <v>46</v>
      </c>
      <c r="G7608" s="26">
        <v>9.0</v>
      </c>
      <c r="H7608" s="72" t="s">
        <v>7864</v>
      </c>
      <c r="I7608" s="26" t="s">
        <v>951</v>
      </c>
      <c r="J7608" s="25" t="str">
        <f t="shared" si="85"/>
        <v>No</v>
      </c>
      <c r="K7608" s="25" t="str">
        <f t="shared" si="86"/>
        <v/>
      </c>
      <c r="L7608" s="25" t="str">
        <f t="shared" si="87"/>
        <v/>
      </c>
      <c r="M7608" s="25"/>
      <c r="O7608" s="25"/>
    </row>
    <row r="7609" ht="15.75" customHeight="1">
      <c r="A7609" s="25" t="str">
        <f>IFERROR(__xludf.DUMMYFUNCTION("IF(B7609="""","""",RIGHT(REGEXREPLACE(B7609&amp;"""",""[^0-9]"",""""),9))"),"756037954")</f>
        <v>756037954</v>
      </c>
      <c r="B7609" s="52">
        <v>7.56037954E8</v>
      </c>
      <c r="C7609" s="28" t="s">
        <v>7865</v>
      </c>
      <c r="D7609" s="26" t="s">
        <v>64</v>
      </c>
      <c r="E7609" s="31">
        <v>46244.0</v>
      </c>
      <c r="F7609" s="26" t="s">
        <v>659</v>
      </c>
      <c r="I7609" s="26" t="s">
        <v>951</v>
      </c>
      <c r="J7609" s="25" t="str">
        <f t="shared" si="85"/>
        <v>No</v>
      </c>
      <c r="K7609" s="25" t="str">
        <f t="shared" si="86"/>
        <v/>
      </c>
      <c r="L7609" s="25" t="str">
        <f t="shared" si="87"/>
        <v/>
      </c>
      <c r="M7609" s="25"/>
      <c r="O7609" s="25"/>
    </row>
    <row r="7610" ht="15.75" customHeight="1">
      <c r="A7610" s="25" t="str">
        <f>IFERROR(__xludf.DUMMYFUNCTION("IF(B7610="""","""",RIGHT(REGEXREPLACE(B7610&amp;"""",""[^0-9]"",""""),9))"),"766768655")</f>
        <v>766768655</v>
      </c>
      <c r="B7610" s="52">
        <v>7.66768655E8</v>
      </c>
      <c r="C7610" s="28" t="s">
        <v>7866</v>
      </c>
      <c r="D7610" s="26" t="s">
        <v>56</v>
      </c>
      <c r="E7610" s="31">
        <v>46244.0</v>
      </c>
      <c r="F7610" s="26" t="s">
        <v>46</v>
      </c>
      <c r="G7610" s="26">
        <v>9.0</v>
      </c>
      <c r="I7610" s="26" t="s">
        <v>951</v>
      </c>
      <c r="J7610" s="25" t="str">
        <f t="shared" si="85"/>
        <v>No</v>
      </c>
      <c r="K7610" s="25" t="str">
        <f t="shared" si="86"/>
        <v/>
      </c>
      <c r="L7610" s="25" t="str">
        <f t="shared" si="87"/>
        <v/>
      </c>
      <c r="M7610" s="25"/>
      <c r="O7610" s="25"/>
    </row>
    <row r="7611" ht="15.75" customHeight="1">
      <c r="A7611" s="25" t="str">
        <f>IFERROR(__xludf.DUMMYFUNCTION("IF(B7611="""","""",RIGHT(REGEXREPLACE(B7611&amp;"""",""[^0-9]"",""""),9))"),"779517968")</f>
        <v>779517968</v>
      </c>
      <c r="B7611" s="52">
        <v>7.79517968E8</v>
      </c>
      <c r="C7611" s="28" t="s">
        <v>7867</v>
      </c>
      <c r="D7611" s="26" t="s">
        <v>64</v>
      </c>
      <c r="E7611" s="31">
        <v>46244.0</v>
      </c>
      <c r="F7611" s="26" t="s">
        <v>46</v>
      </c>
      <c r="I7611" s="26" t="s">
        <v>951</v>
      </c>
      <c r="J7611" s="25" t="str">
        <f t="shared" si="85"/>
        <v>No</v>
      </c>
      <c r="K7611" s="25" t="str">
        <f t="shared" si="86"/>
        <v/>
      </c>
      <c r="L7611" s="25" t="str">
        <f t="shared" si="87"/>
        <v/>
      </c>
      <c r="M7611" s="25"/>
      <c r="O7611" s="25"/>
    </row>
    <row r="7612" ht="15.75" customHeight="1">
      <c r="A7612" s="25" t="str">
        <f>IFERROR(__xludf.DUMMYFUNCTION("IF(B7612="""","""",RIGHT(REGEXREPLACE(B7612&amp;"""",""[^0-9]"",""""),9))"),"710823568")</f>
        <v>710823568</v>
      </c>
      <c r="B7612" s="52">
        <v>7.10823568E8</v>
      </c>
      <c r="C7612" s="28" t="s">
        <v>7868</v>
      </c>
      <c r="D7612" s="26" t="s">
        <v>56</v>
      </c>
      <c r="E7612" s="31">
        <v>46244.0</v>
      </c>
      <c r="F7612" s="26" t="s">
        <v>46</v>
      </c>
      <c r="G7612" s="26">
        <v>9.0</v>
      </c>
      <c r="I7612" s="26" t="s">
        <v>951</v>
      </c>
      <c r="J7612" s="25" t="str">
        <f t="shared" si="85"/>
        <v>No</v>
      </c>
      <c r="K7612" s="25" t="str">
        <f t="shared" si="86"/>
        <v/>
      </c>
      <c r="L7612" s="25" t="str">
        <f t="shared" si="87"/>
        <v/>
      </c>
      <c r="M7612" s="25"/>
      <c r="O7612" s="25"/>
    </row>
    <row r="7613" ht="15.75" customHeight="1">
      <c r="A7613" s="25" t="str">
        <f>IFERROR(__xludf.DUMMYFUNCTION("IF(B7613="""","""",RIGHT(REGEXREPLACE(B7613&amp;"""",""[^0-9]"",""""),9))"),"774233227")</f>
        <v>774233227</v>
      </c>
      <c r="B7613" s="52">
        <v>7.74233227E8</v>
      </c>
      <c r="C7613" s="28" t="s">
        <v>7869</v>
      </c>
      <c r="D7613" s="26" t="s">
        <v>49</v>
      </c>
      <c r="E7613" s="31">
        <v>46244.0</v>
      </c>
      <c r="F7613" s="26" t="s">
        <v>46</v>
      </c>
      <c r="G7613" s="26">
        <v>9.0</v>
      </c>
      <c r="H7613" s="26" t="s">
        <v>7870</v>
      </c>
      <c r="I7613" s="26" t="s">
        <v>951</v>
      </c>
      <c r="J7613" s="25" t="str">
        <f t="shared" si="85"/>
        <v>No</v>
      </c>
      <c r="K7613" s="25" t="str">
        <f t="shared" si="86"/>
        <v/>
      </c>
      <c r="L7613" s="25" t="str">
        <f t="shared" si="87"/>
        <v/>
      </c>
      <c r="M7613" s="25"/>
      <c r="O7613" s="25"/>
    </row>
    <row r="7614" ht="15.75" customHeight="1">
      <c r="A7614" s="25" t="str">
        <f>IFERROR(__xludf.DUMMYFUNCTION("IF(B7614="""","""",RIGHT(REGEXREPLACE(B7614&amp;"""",""[^0-9]"",""""),9))"),"774072512")</f>
        <v>774072512</v>
      </c>
      <c r="B7614" s="52">
        <v>7.74072512E8</v>
      </c>
      <c r="C7614" s="28" t="s">
        <v>7871</v>
      </c>
      <c r="D7614" s="26" t="s">
        <v>56</v>
      </c>
      <c r="E7614" s="31">
        <v>46244.0</v>
      </c>
      <c r="F7614" s="26" t="s">
        <v>659</v>
      </c>
      <c r="G7614" s="26">
        <v>9.0</v>
      </c>
      <c r="I7614" s="26" t="s">
        <v>951</v>
      </c>
      <c r="J7614" s="25" t="str">
        <f t="shared" si="85"/>
        <v>No</v>
      </c>
      <c r="K7614" s="25" t="str">
        <f t="shared" si="86"/>
        <v/>
      </c>
      <c r="L7614" s="25" t="str">
        <f t="shared" si="87"/>
        <v/>
      </c>
      <c r="M7614" s="25"/>
      <c r="O7614" s="25"/>
    </row>
    <row r="7615" ht="15.75" customHeight="1">
      <c r="A7615" s="25" t="str">
        <f>IFERROR(__xludf.DUMMYFUNCTION("IF(B7615="""","""",RIGHT(REGEXREPLACE(B7615&amp;"""",""[^0-9]"",""""),9))"),"711046768")</f>
        <v>711046768</v>
      </c>
      <c r="B7615" s="52">
        <v>7.11046768E8</v>
      </c>
      <c r="C7615" s="28" t="s">
        <v>7872</v>
      </c>
      <c r="D7615" s="26" t="s">
        <v>56</v>
      </c>
      <c r="E7615" s="31">
        <v>46244.0</v>
      </c>
      <c r="F7615" s="26" t="s">
        <v>46</v>
      </c>
      <c r="G7615" s="26">
        <v>9.0</v>
      </c>
      <c r="I7615" s="26" t="s">
        <v>951</v>
      </c>
      <c r="J7615" s="25" t="str">
        <f t="shared" si="85"/>
        <v>No</v>
      </c>
      <c r="K7615" s="25" t="str">
        <f t="shared" si="86"/>
        <v/>
      </c>
      <c r="L7615" s="25" t="str">
        <f t="shared" si="87"/>
        <v/>
      </c>
      <c r="M7615" s="25"/>
      <c r="O7615" s="25"/>
    </row>
    <row r="7616" ht="15.75" customHeight="1">
      <c r="A7616" s="25" t="str">
        <f>IFERROR(__xludf.DUMMYFUNCTION("IF(B7616="""","""",RIGHT(REGEXREPLACE(B7616&amp;"""",""[^0-9]"",""""),9))"),"743880691")</f>
        <v>743880691</v>
      </c>
      <c r="B7616" s="52">
        <v>7.43880691E8</v>
      </c>
      <c r="C7616" s="28" t="s">
        <v>7873</v>
      </c>
      <c r="D7616" s="26" t="s">
        <v>64</v>
      </c>
      <c r="E7616" s="31">
        <v>46244.0</v>
      </c>
      <c r="F7616" s="26" t="s">
        <v>46</v>
      </c>
      <c r="H7616" s="26" t="s">
        <v>4801</v>
      </c>
      <c r="I7616" s="26" t="s">
        <v>951</v>
      </c>
      <c r="J7616" s="25" t="str">
        <f t="shared" si="85"/>
        <v>No</v>
      </c>
      <c r="K7616" s="25" t="str">
        <f t="shared" si="86"/>
        <v/>
      </c>
      <c r="L7616" s="25" t="str">
        <f t="shared" si="87"/>
        <v/>
      </c>
      <c r="M7616" s="25"/>
      <c r="O7616" s="25"/>
    </row>
    <row r="7617" ht="15.75" customHeight="1">
      <c r="A7617" s="25" t="str">
        <f>IFERROR(__xludf.DUMMYFUNCTION("IF(B7617="""","""",RIGHT(REGEXREPLACE(B7617&amp;"""",""[^0-9]"",""""),9))"),"714601702")</f>
        <v>714601702</v>
      </c>
      <c r="B7617" s="52">
        <v>7.14601702E8</v>
      </c>
      <c r="C7617" s="28" t="s">
        <v>7874</v>
      </c>
      <c r="D7617" s="26" t="s">
        <v>49</v>
      </c>
      <c r="E7617" s="31">
        <v>46244.0</v>
      </c>
      <c r="F7617" s="26" t="s">
        <v>205</v>
      </c>
      <c r="G7617" s="26">
        <v>9.0</v>
      </c>
      <c r="I7617" s="26" t="s">
        <v>951</v>
      </c>
      <c r="J7617" s="25" t="str">
        <f t="shared" si="85"/>
        <v>No</v>
      </c>
      <c r="K7617" s="25" t="str">
        <f t="shared" si="86"/>
        <v/>
      </c>
      <c r="L7617" s="25" t="str">
        <f t="shared" si="87"/>
        <v/>
      </c>
      <c r="M7617" s="25"/>
      <c r="O7617" s="25"/>
    </row>
    <row r="7618" ht="15.75" customHeight="1">
      <c r="A7618" s="25" t="str">
        <f>IFERROR(__xludf.DUMMYFUNCTION("IF(B7618="""","""",RIGHT(REGEXREPLACE(B7618&amp;"""",""[^0-9]"",""""),9))"),"702161986")</f>
        <v>702161986</v>
      </c>
      <c r="B7618" s="52">
        <v>7.02161986E8</v>
      </c>
      <c r="C7618" s="28" t="s">
        <v>7645</v>
      </c>
      <c r="D7618" s="26" t="s">
        <v>56</v>
      </c>
      <c r="E7618" s="31">
        <v>46244.0</v>
      </c>
      <c r="F7618" s="26" t="s">
        <v>205</v>
      </c>
      <c r="G7618" s="26">
        <v>9.0</v>
      </c>
      <c r="I7618" s="26" t="s">
        <v>951</v>
      </c>
      <c r="J7618" s="25" t="str">
        <f t="shared" si="85"/>
        <v>Yes - see Previous F-Code</v>
      </c>
      <c r="K7618" s="25" t="str">
        <f t="shared" si="86"/>
        <v>DUPLICATE - CHECK</v>
      </c>
      <c r="L7618" s="25" t="str">
        <f t="shared" si="87"/>
        <v>F76535</v>
      </c>
      <c r="M7618" s="25"/>
      <c r="O7618" s="25"/>
    </row>
    <row r="7619" ht="15.75" customHeight="1">
      <c r="A7619" s="25" t="str">
        <f>IFERROR(__xludf.DUMMYFUNCTION("IF(B7619="""","""",RIGHT(REGEXREPLACE(B7619&amp;"""",""[^0-9]"",""""),9))"),"777976103")</f>
        <v>777976103</v>
      </c>
      <c r="B7619" s="52">
        <v>7.77976103E8</v>
      </c>
      <c r="C7619" s="28" t="s">
        <v>7875</v>
      </c>
      <c r="D7619" s="26" t="s">
        <v>64</v>
      </c>
      <c r="E7619" s="31">
        <v>46244.0</v>
      </c>
      <c r="F7619" s="26" t="s">
        <v>46</v>
      </c>
      <c r="G7619" s="26">
        <v>9.0</v>
      </c>
      <c r="I7619" s="26" t="s">
        <v>951</v>
      </c>
      <c r="J7619" s="25" t="str">
        <f t="shared" si="85"/>
        <v>No</v>
      </c>
      <c r="K7619" s="25" t="str">
        <f t="shared" si="86"/>
        <v/>
      </c>
      <c r="L7619" s="25" t="str">
        <f t="shared" si="87"/>
        <v/>
      </c>
      <c r="M7619" s="25"/>
      <c r="O7619" s="26" t="s">
        <v>51</v>
      </c>
    </row>
    <row r="7620" ht="15.75" customHeight="1">
      <c r="A7620" s="25" t="str">
        <f>IFERROR(__xludf.DUMMYFUNCTION("IF(B7620="""","""",RIGHT(REGEXREPLACE(B7620&amp;"""",""[^0-9]"",""""),9))"),"778845906")</f>
        <v>778845906</v>
      </c>
      <c r="B7620" s="52">
        <v>7.78845906E8</v>
      </c>
      <c r="C7620" s="28" t="s">
        <v>7876</v>
      </c>
      <c r="D7620" s="26" t="s">
        <v>49</v>
      </c>
      <c r="E7620" s="31">
        <v>46244.0</v>
      </c>
      <c r="F7620" s="26" t="s">
        <v>46</v>
      </c>
      <c r="G7620" s="26">
        <v>9.0</v>
      </c>
      <c r="H7620" s="26" t="s">
        <v>7877</v>
      </c>
      <c r="I7620" s="26" t="s">
        <v>951</v>
      </c>
      <c r="J7620" s="25" t="str">
        <f t="shared" si="85"/>
        <v>No</v>
      </c>
      <c r="K7620" s="25" t="str">
        <f t="shared" si="86"/>
        <v/>
      </c>
      <c r="L7620" s="25" t="str">
        <f t="shared" si="87"/>
        <v/>
      </c>
      <c r="M7620" s="25"/>
      <c r="O7620" s="25"/>
    </row>
    <row r="7621" ht="15.75" customHeight="1">
      <c r="A7621" s="25" t="str">
        <f>IFERROR(__xludf.DUMMYFUNCTION("IF(B7621="""","""",RIGHT(REGEXREPLACE(B7621&amp;"""",""[^0-9]"",""""),9))"),"765608835")</f>
        <v>765608835</v>
      </c>
      <c r="B7621" s="52">
        <v>7.65608835E8</v>
      </c>
      <c r="C7621" s="28" t="s">
        <v>7878</v>
      </c>
      <c r="D7621" s="26" t="s">
        <v>56</v>
      </c>
      <c r="E7621" s="31">
        <v>46244.0</v>
      </c>
      <c r="F7621" s="26" t="s">
        <v>125</v>
      </c>
      <c r="H7621" s="26" t="s">
        <v>7879</v>
      </c>
      <c r="I7621" s="26" t="s">
        <v>951</v>
      </c>
      <c r="J7621" s="25" t="str">
        <f t="shared" si="85"/>
        <v>No</v>
      </c>
      <c r="K7621" s="25" t="str">
        <f t="shared" si="86"/>
        <v/>
      </c>
      <c r="L7621" s="25" t="str">
        <f t="shared" si="87"/>
        <v/>
      </c>
      <c r="M7621" s="25"/>
      <c r="O7621" s="25"/>
    </row>
    <row r="7622" ht="15.75" customHeight="1">
      <c r="A7622" s="25" t="str">
        <f>IFERROR(__xludf.DUMMYFUNCTION("IF(B7622="""","""",RIGHT(REGEXREPLACE(B7622&amp;"""",""[^0-9]"",""""),9))"),"741640331")</f>
        <v>741640331</v>
      </c>
      <c r="B7622" s="52">
        <v>7.41640331E8</v>
      </c>
      <c r="C7622" s="28" t="s">
        <v>7880</v>
      </c>
      <c r="D7622" s="26" t="s">
        <v>56</v>
      </c>
      <c r="E7622" s="31">
        <v>46244.0</v>
      </c>
      <c r="F7622" s="26" t="s">
        <v>41</v>
      </c>
      <c r="I7622" s="26" t="s">
        <v>951</v>
      </c>
      <c r="J7622" s="25" t="str">
        <f t="shared" si="85"/>
        <v>No</v>
      </c>
      <c r="K7622" s="25" t="str">
        <f t="shared" si="86"/>
        <v/>
      </c>
      <c r="L7622" s="25" t="str">
        <f t="shared" si="87"/>
        <v/>
      </c>
      <c r="M7622" s="25"/>
      <c r="O7622" s="25"/>
    </row>
    <row r="7623" ht="15.75" customHeight="1">
      <c r="A7623" s="25" t="str">
        <f>IFERROR(__xludf.DUMMYFUNCTION("IF(B7623="""","""",RIGHT(REGEXREPLACE(B7623&amp;"""",""[^0-9]"",""""),9))"),"711032399")</f>
        <v>711032399</v>
      </c>
      <c r="B7623" s="52">
        <v>7.11032399E8</v>
      </c>
      <c r="C7623" s="28" t="s">
        <v>7880</v>
      </c>
      <c r="D7623" s="26" t="s">
        <v>45</v>
      </c>
      <c r="E7623" s="31">
        <v>46244.0</v>
      </c>
      <c r="F7623" s="26" t="s">
        <v>46</v>
      </c>
      <c r="G7623" s="26">
        <v>9.0</v>
      </c>
      <c r="I7623" s="26" t="s">
        <v>951</v>
      </c>
      <c r="J7623" s="25" t="str">
        <f t="shared" si="85"/>
        <v>No</v>
      </c>
      <c r="K7623" s="25" t="str">
        <f t="shared" si="86"/>
        <v/>
      </c>
      <c r="L7623" s="25" t="str">
        <f t="shared" si="87"/>
        <v/>
      </c>
      <c r="M7623" s="25"/>
      <c r="O7623" s="25"/>
    </row>
    <row r="7624" ht="15.75" customHeight="1">
      <c r="A7624" s="25" t="str">
        <f>IFERROR(__xludf.DUMMYFUNCTION("IF(B7624="""","""",RIGHT(REGEXREPLACE(B7624&amp;"""",""[^0-9]"",""""),9))"),"771595862")</f>
        <v>771595862</v>
      </c>
      <c r="B7624" s="52">
        <v>7.71595862E8</v>
      </c>
      <c r="C7624" s="28" t="s">
        <v>7881</v>
      </c>
      <c r="D7624" s="26" t="s">
        <v>64</v>
      </c>
      <c r="E7624" s="31">
        <v>46244.0</v>
      </c>
      <c r="F7624" s="26" t="s">
        <v>46</v>
      </c>
      <c r="G7624" s="26">
        <v>8.0</v>
      </c>
      <c r="I7624" s="26" t="s">
        <v>951</v>
      </c>
      <c r="J7624" s="25" t="str">
        <f t="shared" si="85"/>
        <v>No</v>
      </c>
      <c r="K7624" s="25" t="str">
        <f t="shared" si="86"/>
        <v/>
      </c>
      <c r="L7624" s="25" t="str">
        <f t="shared" si="87"/>
        <v/>
      </c>
      <c r="M7624" s="25"/>
      <c r="O7624" s="25"/>
    </row>
    <row r="7625" ht="15.75" customHeight="1">
      <c r="A7625" s="25" t="str">
        <f>IFERROR(__xludf.DUMMYFUNCTION("IF(B7625="""","""",RIGHT(REGEXREPLACE(B7625&amp;"""",""[^0-9]"",""""),9))"),"771403572")</f>
        <v>771403572</v>
      </c>
      <c r="B7625" s="52">
        <v>7.71403572E8</v>
      </c>
      <c r="C7625" s="28" t="s">
        <v>7882</v>
      </c>
      <c r="D7625" s="26" t="s">
        <v>56</v>
      </c>
      <c r="E7625" s="31">
        <v>46244.0</v>
      </c>
      <c r="F7625" s="26" t="s">
        <v>41</v>
      </c>
      <c r="I7625" s="26" t="s">
        <v>951</v>
      </c>
      <c r="J7625" s="25" t="str">
        <f t="shared" si="85"/>
        <v>No</v>
      </c>
      <c r="K7625" s="25" t="str">
        <f t="shared" si="86"/>
        <v/>
      </c>
      <c r="L7625" s="25" t="str">
        <f t="shared" si="87"/>
        <v/>
      </c>
      <c r="M7625" s="25"/>
      <c r="O7625" s="25"/>
    </row>
    <row r="7626" ht="15.75" customHeight="1">
      <c r="A7626" s="25" t="str">
        <f>IFERROR(__xludf.DUMMYFUNCTION("IF(B7626="""","""",RIGHT(REGEXREPLACE(B7626&amp;"""",""[^0-9]"",""""),9))"),"779749870")</f>
        <v>779749870</v>
      </c>
      <c r="B7626" s="52">
        <v>7.7974987E8</v>
      </c>
      <c r="C7626" s="28" t="s">
        <v>7883</v>
      </c>
      <c r="D7626" s="26" t="s">
        <v>64</v>
      </c>
      <c r="E7626" s="31">
        <v>46244.0</v>
      </c>
      <c r="F7626" s="26" t="s">
        <v>205</v>
      </c>
      <c r="G7626" s="26">
        <v>9.0</v>
      </c>
      <c r="I7626" s="26" t="s">
        <v>951</v>
      </c>
      <c r="J7626" s="25" t="str">
        <f t="shared" si="85"/>
        <v>No</v>
      </c>
      <c r="K7626" s="25" t="str">
        <f t="shared" si="86"/>
        <v/>
      </c>
      <c r="L7626" s="25" t="str">
        <f t="shared" si="87"/>
        <v/>
      </c>
      <c r="M7626" s="25"/>
      <c r="O7626" s="25"/>
    </row>
    <row r="7627" ht="15.75" customHeight="1">
      <c r="A7627" s="25" t="str">
        <f>IFERROR(__xludf.DUMMYFUNCTION("IF(B7627="""","""",RIGHT(REGEXREPLACE(B7627&amp;"""",""[^0-9]"",""""),9))"),"701303056")</f>
        <v>701303056</v>
      </c>
      <c r="B7627" s="52">
        <v>7.01303056E8</v>
      </c>
      <c r="C7627" s="28" t="s">
        <v>7884</v>
      </c>
      <c r="D7627" s="26" t="s">
        <v>49</v>
      </c>
      <c r="E7627" s="31">
        <v>46244.0</v>
      </c>
      <c r="F7627" s="26" t="s">
        <v>205</v>
      </c>
      <c r="I7627" s="26" t="s">
        <v>951</v>
      </c>
      <c r="J7627" s="25" t="str">
        <f t="shared" si="85"/>
        <v>No</v>
      </c>
      <c r="K7627" s="25" t="str">
        <f t="shared" si="86"/>
        <v/>
      </c>
      <c r="L7627" s="25" t="str">
        <f t="shared" si="87"/>
        <v/>
      </c>
      <c r="M7627" s="25"/>
      <c r="O7627" s="25"/>
    </row>
    <row r="7628" ht="15.75" customHeight="1">
      <c r="A7628" s="25" t="str">
        <f>IFERROR(__xludf.DUMMYFUNCTION("IF(B7628="""","""",RIGHT(REGEXREPLACE(B7628&amp;"""",""[^0-9]"",""""),9))"),"763347030")</f>
        <v>763347030</v>
      </c>
      <c r="B7628" s="52">
        <v>7.6334703E8</v>
      </c>
      <c r="C7628" s="28" t="s">
        <v>7885</v>
      </c>
      <c r="D7628" s="26" t="s">
        <v>56</v>
      </c>
      <c r="E7628" s="31">
        <v>46244.0</v>
      </c>
      <c r="F7628" s="26" t="s">
        <v>41</v>
      </c>
      <c r="I7628" s="26" t="s">
        <v>951</v>
      </c>
      <c r="J7628" s="25" t="str">
        <f t="shared" si="85"/>
        <v>No</v>
      </c>
      <c r="K7628" s="25" t="str">
        <f t="shared" si="86"/>
        <v/>
      </c>
      <c r="L7628" s="25" t="str">
        <f t="shared" si="87"/>
        <v/>
      </c>
      <c r="M7628" s="25"/>
      <c r="O7628" s="25"/>
    </row>
    <row r="7629" ht="15.75" customHeight="1">
      <c r="A7629" s="25" t="str">
        <f>IFERROR(__xludf.DUMMYFUNCTION("IF(B7629="""","""",RIGHT(REGEXREPLACE(B7629&amp;"""",""[^0-9]"",""""),9))"),"765469387")</f>
        <v>765469387</v>
      </c>
      <c r="B7629" s="52">
        <v>7.65469387E8</v>
      </c>
      <c r="C7629" s="28" t="s">
        <v>7886</v>
      </c>
      <c r="D7629" s="26" t="s">
        <v>64</v>
      </c>
      <c r="E7629" s="31">
        <v>46244.0</v>
      </c>
      <c r="F7629" s="26" t="s">
        <v>46</v>
      </c>
      <c r="G7629" s="26">
        <v>9.0</v>
      </c>
      <c r="I7629" s="26" t="s">
        <v>951</v>
      </c>
      <c r="J7629" s="25" t="str">
        <f t="shared" si="85"/>
        <v>No</v>
      </c>
      <c r="K7629" s="25" t="str">
        <f t="shared" si="86"/>
        <v/>
      </c>
      <c r="L7629" s="25" t="str">
        <f t="shared" si="87"/>
        <v/>
      </c>
      <c r="M7629" s="25"/>
      <c r="O7629" s="25"/>
    </row>
    <row r="7630" ht="15.75" customHeight="1">
      <c r="A7630" s="25" t="str">
        <f>IFERROR(__xludf.DUMMYFUNCTION("IF(B7630="""","""",RIGHT(REGEXREPLACE(B7630&amp;"""",""[^0-9]"",""""),9))"),"766975371")</f>
        <v>766975371</v>
      </c>
      <c r="B7630" s="52">
        <v>7.66975371E8</v>
      </c>
      <c r="C7630" s="28" t="s">
        <v>7887</v>
      </c>
      <c r="D7630" s="26" t="s">
        <v>49</v>
      </c>
      <c r="E7630" s="31">
        <v>46244.0</v>
      </c>
      <c r="F7630" s="26" t="s">
        <v>46</v>
      </c>
      <c r="G7630" s="26">
        <v>9.0</v>
      </c>
      <c r="H7630" s="26" t="s">
        <v>5953</v>
      </c>
      <c r="I7630" s="26" t="s">
        <v>951</v>
      </c>
      <c r="J7630" s="25" t="str">
        <f t="shared" si="85"/>
        <v>No</v>
      </c>
      <c r="K7630" s="25" t="str">
        <f t="shared" si="86"/>
        <v/>
      </c>
      <c r="L7630" s="25" t="str">
        <f t="shared" si="87"/>
        <v/>
      </c>
      <c r="M7630" s="25"/>
      <c r="O7630" s="25"/>
    </row>
    <row r="7631" ht="15.75" customHeight="1">
      <c r="A7631" s="25" t="str">
        <f>IFERROR(__xludf.DUMMYFUNCTION("IF(B7631="""","""",RIGHT(REGEXREPLACE(B7631&amp;"""",""[^0-9]"",""""),9))"),"765423278")</f>
        <v>765423278</v>
      </c>
      <c r="B7631" s="52">
        <v>7.65423278E8</v>
      </c>
      <c r="C7631" s="28" t="s">
        <v>7888</v>
      </c>
      <c r="D7631" s="26" t="s">
        <v>45</v>
      </c>
      <c r="E7631" s="31">
        <v>46244.0</v>
      </c>
      <c r="F7631" s="26" t="s">
        <v>41</v>
      </c>
      <c r="I7631" s="26" t="s">
        <v>951</v>
      </c>
      <c r="J7631" s="25" t="str">
        <f t="shared" si="85"/>
        <v>No</v>
      </c>
      <c r="K7631" s="25" t="str">
        <f t="shared" si="86"/>
        <v/>
      </c>
      <c r="L7631" s="25" t="str">
        <f t="shared" si="87"/>
        <v/>
      </c>
      <c r="M7631" s="25"/>
      <c r="O7631" s="25"/>
    </row>
    <row r="7632" ht="15.75" customHeight="1">
      <c r="A7632" s="25" t="str">
        <f>IFERROR(__xludf.DUMMYFUNCTION("IF(B7632="""","""",RIGHT(REGEXREPLACE(B7632&amp;"""",""[^0-9]"",""""),9))"),"774849062")</f>
        <v>774849062</v>
      </c>
      <c r="B7632" s="52">
        <v>7.74849062E8</v>
      </c>
      <c r="C7632" s="28" t="s">
        <v>7428</v>
      </c>
      <c r="D7632" s="26" t="s">
        <v>56</v>
      </c>
      <c r="E7632" s="31">
        <v>46244.0</v>
      </c>
      <c r="F7632" s="26" t="s">
        <v>205</v>
      </c>
      <c r="G7632" s="26">
        <v>8.0</v>
      </c>
      <c r="I7632" s="26" t="s">
        <v>951</v>
      </c>
      <c r="J7632" s="25" t="str">
        <f t="shared" si="85"/>
        <v>No</v>
      </c>
      <c r="K7632" s="25" t="str">
        <f t="shared" si="86"/>
        <v/>
      </c>
      <c r="L7632" s="25" t="str">
        <f t="shared" si="87"/>
        <v/>
      </c>
      <c r="M7632" s="25"/>
      <c r="O7632" s="25"/>
    </row>
    <row r="7633" ht="15.75" customHeight="1">
      <c r="A7633" s="25" t="str">
        <f>IFERROR(__xludf.DUMMYFUNCTION("IF(B7633="""","""",RIGHT(REGEXREPLACE(B7633&amp;"""",""[^0-9]"",""""),9))"),"755336941")</f>
        <v>755336941</v>
      </c>
      <c r="B7633" s="52">
        <v>7.55336941E8</v>
      </c>
      <c r="C7633" s="28" t="s">
        <v>7889</v>
      </c>
      <c r="D7633" s="26" t="s">
        <v>49</v>
      </c>
      <c r="E7633" s="31">
        <v>46244.0</v>
      </c>
      <c r="F7633" s="26" t="s">
        <v>46</v>
      </c>
      <c r="G7633" s="26">
        <v>9.0</v>
      </c>
      <c r="H7633" s="26" t="s">
        <v>7890</v>
      </c>
      <c r="I7633" s="26" t="s">
        <v>951</v>
      </c>
      <c r="J7633" s="25" t="str">
        <f t="shared" si="85"/>
        <v>No</v>
      </c>
      <c r="K7633" s="25" t="str">
        <f t="shared" si="86"/>
        <v/>
      </c>
      <c r="L7633" s="25" t="str">
        <f t="shared" si="87"/>
        <v/>
      </c>
      <c r="M7633" s="25"/>
      <c r="O7633" s="25"/>
    </row>
    <row r="7634" ht="15.75" customHeight="1">
      <c r="A7634" s="25" t="str">
        <f>IFERROR(__xludf.DUMMYFUNCTION("IF(B7634="""","""",RIGHT(REGEXREPLACE(B7634&amp;"""",""[^0-9]"",""""),9))"),"752876474")</f>
        <v>752876474</v>
      </c>
      <c r="B7634" s="52">
        <v>7.52876474E8</v>
      </c>
      <c r="C7634" s="28" t="s">
        <v>7891</v>
      </c>
      <c r="D7634" s="26" t="s">
        <v>56</v>
      </c>
      <c r="E7634" s="31">
        <v>46244.0</v>
      </c>
      <c r="F7634" s="26" t="s">
        <v>205</v>
      </c>
      <c r="G7634" s="26">
        <v>9.0</v>
      </c>
      <c r="I7634" s="26" t="s">
        <v>951</v>
      </c>
      <c r="J7634" s="25" t="str">
        <f t="shared" si="85"/>
        <v>No</v>
      </c>
      <c r="K7634" s="25" t="str">
        <f t="shared" si="86"/>
        <v/>
      </c>
      <c r="L7634" s="25" t="str">
        <f t="shared" si="87"/>
        <v/>
      </c>
      <c r="M7634" s="25"/>
      <c r="O7634" s="26" t="s">
        <v>51</v>
      </c>
    </row>
    <row r="7635" ht="15.75" customHeight="1">
      <c r="A7635" s="25" t="str">
        <f>IFERROR(__xludf.DUMMYFUNCTION("IF(B7635="""","""",RIGHT(REGEXREPLACE(B7635&amp;"""",""[^0-9]"",""""),9))"),"702565408")</f>
        <v>702565408</v>
      </c>
      <c r="B7635" s="52">
        <v>7.02565408E8</v>
      </c>
      <c r="C7635" s="28" t="s">
        <v>7892</v>
      </c>
      <c r="D7635" s="26" t="s">
        <v>45</v>
      </c>
      <c r="E7635" s="31">
        <v>46244.0</v>
      </c>
      <c r="F7635" s="26" t="s">
        <v>46</v>
      </c>
      <c r="H7635" s="119" t="s">
        <v>7893</v>
      </c>
      <c r="I7635" s="26" t="s">
        <v>951</v>
      </c>
      <c r="J7635" s="25" t="str">
        <f t="shared" si="85"/>
        <v>No</v>
      </c>
      <c r="K7635" s="25" t="str">
        <f t="shared" si="86"/>
        <v/>
      </c>
      <c r="L7635" s="25" t="str">
        <f t="shared" si="87"/>
        <v/>
      </c>
      <c r="M7635" s="25"/>
      <c r="O7635" s="25"/>
    </row>
    <row r="7636" ht="15.75" customHeight="1">
      <c r="A7636" s="25" t="str">
        <f>IFERROR(__xludf.DUMMYFUNCTION("IF(B7636="""","""",RIGHT(REGEXREPLACE(B7636&amp;"""",""[^0-9]"",""""),9))"),"771710538")</f>
        <v>771710538</v>
      </c>
      <c r="B7636" s="52">
        <v>7.71710538E8</v>
      </c>
      <c r="C7636" s="28" t="s">
        <v>7894</v>
      </c>
      <c r="D7636" s="26" t="s">
        <v>49</v>
      </c>
      <c r="E7636" s="31">
        <v>46244.0</v>
      </c>
      <c r="F7636" s="26" t="s">
        <v>46</v>
      </c>
      <c r="G7636" s="26">
        <v>10.0</v>
      </c>
      <c r="H7636" s="26" t="s">
        <v>7895</v>
      </c>
      <c r="I7636" s="26" t="s">
        <v>951</v>
      </c>
      <c r="J7636" s="25" t="str">
        <f t="shared" si="85"/>
        <v>No</v>
      </c>
      <c r="K7636" s="25" t="str">
        <f t="shared" si="86"/>
        <v/>
      </c>
      <c r="L7636" s="25" t="str">
        <f t="shared" si="87"/>
        <v/>
      </c>
      <c r="M7636" s="25"/>
      <c r="O7636" s="25"/>
    </row>
    <row r="7637" ht="15.75" customHeight="1">
      <c r="A7637" s="25" t="str">
        <f>IFERROR(__xludf.DUMMYFUNCTION("IF(B7637="""","""",RIGHT(REGEXREPLACE(B7637&amp;"""",""[^0-9]"",""""),9))"),"705345606")</f>
        <v>705345606</v>
      </c>
      <c r="B7637" s="52">
        <v>7.05345606E8</v>
      </c>
      <c r="C7637" s="28" t="s">
        <v>7896</v>
      </c>
      <c r="D7637" s="26" t="s">
        <v>56</v>
      </c>
      <c r="E7637" s="31">
        <v>46244.0</v>
      </c>
      <c r="F7637" s="26" t="s">
        <v>164</v>
      </c>
      <c r="G7637" s="26">
        <v>0.0</v>
      </c>
      <c r="I7637" s="26" t="s">
        <v>951</v>
      </c>
      <c r="J7637" s="25" t="str">
        <f t="shared" si="85"/>
        <v>No</v>
      </c>
      <c r="K7637" s="25" t="str">
        <f t="shared" si="86"/>
        <v/>
      </c>
      <c r="L7637" s="25" t="str">
        <f t="shared" si="87"/>
        <v/>
      </c>
      <c r="M7637" s="25"/>
      <c r="O7637" s="25"/>
    </row>
    <row r="7638" ht="15.75" customHeight="1">
      <c r="A7638" s="25" t="str">
        <f>IFERROR(__xludf.DUMMYFUNCTION("IF(B7638="""","""",RIGHT(REGEXREPLACE(B7638&amp;"""",""[^0-9]"",""""),9))"),"785406735")</f>
        <v>785406735</v>
      </c>
      <c r="B7638" s="52">
        <v>7.85406735E8</v>
      </c>
      <c r="C7638" s="28" t="s">
        <v>4836</v>
      </c>
      <c r="D7638" s="26" t="s">
        <v>56</v>
      </c>
      <c r="E7638" s="31">
        <v>46244.0</v>
      </c>
      <c r="F7638" s="26" t="s">
        <v>205</v>
      </c>
      <c r="G7638" s="26">
        <v>9.0</v>
      </c>
      <c r="I7638" s="26" t="s">
        <v>951</v>
      </c>
      <c r="J7638" s="25" t="str">
        <f t="shared" si="85"/>
        <v>Yes - see Previous F-Code</v>
      </c>
      <c r="K7638" s="25" t="str">
        <f t="shared" si="86"/>
        <v/>
      </c>
      <c r="L7638" s="25" t="str">
        <f t="shared" si="87"/>
        <v>F74410</v>
      </c>
      <c r="M7638" s="25"/>
      <c r="O7638" s="25"/>
    </row>
    <row r="7639" ht="15.75" customHeight="1">
      <c r="A7639" s="25" t="str">
        <f>IFERROR(__xludf.DUMMYFUNCTION("IF(B7639="""","""",RIGHT(REGEXREPLACE(B7639&amp;"""",""[^0-9]"",""""),9))"),"775702816")</f>
        <v>775702816</v>
      </c>
      <c r="B7639" s="52">
        <v>7.75702816E8</v>
      </c>
      <c r="C7639" s="28" t="s">
        <v>7897</v>
      </c>
      <c r="D7639" s="26" t="s">
        <v>49</v>
      </c>
      <c r="E7639" s="31">
        <v>46244.0</v>
      </c>
      <c r="F7639" s="26" t="s">
        <v>41</v>
      </c>
      <c r="G7639" s="26">
        <v>9.0</v>
      </c>
      <c r="H7639" s="26" t="s">
        <v>7898</v>
      </c>
      <c r="I7639" s="26" t="s">
        <v>951</v>
      </c>
      <c r="J7639" s="25" t="str">
        <f t="shared" si="85"/>
        <v>No</v>
      </c>
      <c r="K7639" s="25" t="str">
        <f t="shared" si="86"/>
        <v/>
      </c>
      <c r="L7639" s="25" t="str">
        <f t="shared" si="87"/>
        <v/>
      </c>
      <c r="M7639" s="25"/>
      <c r="O7639" s="25"/>
    </row>
    <row r="7640" ht="15.75" customHeight="1">
      <c r="A7640" s="25" t="str">
        <f>IFERROR(__xludf.DUMMYFUNCTION("IF(B7640="""","""",RIGHT(REGEXREPLACE(B7640&amp;"""",""[^0-9]"",""""),9))"),"702239879")</f>
        <v>702239879</v>
      </c>
      <c r="B7640" s="52">
        <v>7.02239879E8</v>
      </c>
      <c r="C7640" s="28" t="s">
        <v>7896</v>
      </c>
      <c r="D7640" s="26" t="s">
        <v>45</v>
      </c>
      <c r="E7640" s="31">
        <v>46244.0</v>
      </c>
      <c r="F7640" s="26" t="s">
        <v>125</v>
      </c>
      <c r="G7640" s="26">
        <v>9.0</v>
      </c>
      <c r="I7640" s="26" t="s">
        <v>951</v>
      </c>
      <c r="J7640" s="25" t="str">
        <f t="shared" si="85"/>
        <v>No</v>
      </c>
      <c r="K7640" s="25" t="str">
        <f t="shared" si="86"/>
        <v/>
      </c>
      <c r="L7640" s="25" t="str">
        <f t="shared" si="87"/>
        <v/>
      </c>
      <c r="M7640" s="25"/>
      <c r="O7640" s="25"/>
    </row>
    <row r="7641" ht="15.75" customHeight="1">
      <c r="A7641" s="25" t="str">
        <f>IFERROR(__xludf.DUMMYFUNCTION("IF(B7641="""","""",RIGHT(REGEXREPLACE(B7641&amp;"""",""[^0-9]"",""""),9))"),"765332145")</f>
        <v>765332145</v>
      </c>
      <c r="B7641" s="52">
        <v>7.65332145E8</v>
      </c>
      <c r="C7641" s="28" t="s">
        <v>7899</v>
      </c>
      <c r="D7641" s="26" t="s">
        <v>56</v>
      </c>
      <c r="E7641" s="31">
        <v>46244.0</v>
      </c>
      <c r="F7641" s="26" t="s">
        <v>46</v>
      </c>
      <c r="G7641" s="26">
        <v>7.0</v>
      </c>
      <c r="I7641" s="26" t="s">
        <v>951</v>
      </c>
      <c r="J7641" s="25" t="str">
        <f t="shared" si="85"/>
        <v>No</v>
      </c>
      <c r="K7641" s="25" t="str">
        <f t="shared" si="86"/>
        <v/>
      </c>
      <c r="L7641" s="25" t="str">
        <f t="shared" si="87"/>
        <v/>
      </c>
      <c r="M7641" s="25"/>
      <c r="O7641" s="25"/>
    </row>
    <row r="7642" ht="15.75" customHeight="1">
      <c r="A7642" s="25" t="str">
        <f>IFERROR(__xludf.DUMMYFUNCTION("IF(B7642="""","""",RIGHT(REGEXREPLACE(B7642&amp;"""",""[^0-9]"",""""),9))"),"703164231")</f>
        <v>703164231</v>
      </c>
      <c r="B7642" s="52">
        <v>7.03164231E8</v>
      </c>
      <c r="C7642" s="28" t="s">
        <v>7800</v>
      </c>
      <c r="D7642" s="26" t="s">
        <v>45</v>
      </c>
      <c r="E7642" s="31">
        <v>46244.0</v>
      </c>
      <c r="F7642" s="26" t="s">
        <v>46</v>
      </c>
      <c r="G7642" s="26">
        <v>9.0</v>
      </c>
      <c r="I7642" s="26" t="s">
        <v>951</v>
      </c>
      <c r="J7642" s="25" t="str">
        <f t="shared" si="85"/>
        <v>Yes - see Previous F-Code</v>
      </c>
      <c r="K7642" s="25" t="str">
        <f t="shared" si="86"/>
        <v>DUPLICATE - CHECK</v>
      </c>
      <c r="L7642" s="25" t="str">
        <f t="shared" si="87"/>
        <v>F76682</v>
      </c>
      <c r="M7642" s="25"/>
      <c r="O7642" s="25"/>
    </row>
    <row r="7643" ht="15.75" customHeight="1">
      <c r="A7643" s="25" t="str">
        <f>IFERROR(__xludf.DUMMYFUNCTION("IF(B7643="""","""",RIGHT(REGEXREPLACE(B7643&amp;"""",""[^0-9]"",""""),9))"),"781471289")</f>
        <v>781471289</v>
      </c>
      <c r="B7643" s="52">
        <v>7.81471289E8</v>
      </c>
      <c r="C7643" s="28" t="s">
        <v>7900</v>
      </c>
      <c r="D7643" s="26" t="s">
        <v>49</v>
      </c>
      <c r="E7643" s="31">
        <v>46244.0</v>
      </c>
      <c r="F7643" s="26" t="s">
        <v>46</v>
      </c>
      <c r="G7643" s="26">
        <v>9.0</v>
      </c>
      <c r="I7643" s="26" t="s">
        <v>951</v>
      </c>
      <c r="J7643" s="25" t="str">
        <f t="shared" si="85"/>
        <v>No</v>
      </c>
      <c r="K7643" s="25" t="str">
        <f t="shared" si="86"/>
        <v/>
      </c>
      <c r="L7643" s="25" t="str">
        <f t="shared" si="87"/>
        <v/>
      </c>
      <c r="M7643" s="25"/>
      <c r="O7643" s="25"/>
    </row>
    <row r="7644" ht="15.75" customHeight="1">
      <c r="A7644" s="25" t="str">
        <f>IFERROR(__xludf.DUMMYFUNCTION("IF(B7644="""","""",RIGHT(REGEXREPLACE(B7644&amp;"""",""[^0-9]"",""""),9))"),"741867009")</f>
        <v>741867009</v>
      </c>
      <c r="B7644" s="52">
        <v>7.41867009E8</v>
      </c>
      <c r="C7644" s="28" t="s">
        <v>7901</v>
      </c>
      <c r="D7644" s="26" t="s">
        <v>56</v>
      </c>
      <c r="E7644" s="31">
        <v>46244.0</v>
      </c>
      <c r="F7644" s="26" t="s">
        <v>46</v>
      </c>
      <c r="G7644" s="26">
        <v>0.0</v>
      </c>
      <c r="H7644" s="26" t="s">
        <v>7902</v>
      </c>
      <c r="I7644" s="26" t="s">
        <v>951</v>
      </c>
      <c r="J7644" s="25" t="str">
        <f t="shared" si="85"/>
        <v>No</v>
      </c>
      <c r="K7644" s="25" t="str">
        <f t="shared" si="86"/>
        <v/>
      </c>
      <c r="L7644" s="25" t="str">
        <f t="shared" si="87"/>
        <v/>
      </c>
      <c r="M7644" s="25"/>
      <c r="O7644" s="25"/>
    </row>
    <row r="7645" ht="15.75" customHeight="1">
      <c r="A7645" s="25" t="str">
        <f>IFERROR(__xludf.DUMMYFUNCTION("IF(B7645="""","""",RIGHT(REGEXREPLACE(B7645&amp;"""",""[^0-9]"",""""),9))"),"772749689")</f>
        <v>772749689</v>
      </c>
      <c r="B7645" s="52">
        <v>7.72749689E8</v>
      </c>
      <c r="C7645" s="28" t="s">
        <v>6997</v>
      </c>
      <c r="D7645" s="26" t="s">
        <v>45</v>
      </c>
      <c r="E7645" s="31">
        <v>46244.0</v>
      </c>
      <c r="F7645" s="26" t="s">
        <v>46</v>
      </c>
      <c r="G7645" s="26">
        <v>9.0</v>
      </c>
      <c r="I7645" s="26" t="s">
        <v>951</v>
      </c>
      <c r="J7645" s="25" t="str">
        <f t="shared" si="85"/>
        <v>Yes - see Previous F-Code</v>
      </c>
      <c r="K7645" s="25" t="str">
        <f t="shared" si="86"/>
        <v>DUPLICATE - CHECK</v>
      </c>
      <c r="L7645" s="25" t="str">
        <f t="shared" si="87"/>
        <v>F75969</v>
      </c>
      <c r="M7645" s="25"/>
      <c r="O7645" s="25"/>
    </row>
    <row r="7646" ht="15.75" customHeight="1">
      <c r="A7646" s="25" t="str">
        <f>IFERROR(__xludf.DUMMYFUNCTION("IF(B7646="""","""",RIGHT(REGEXREPLACE(B7646&amp;"""",""[^0-9]"",""""),9))"),"774615351")</f>
        <v>774615351</v>
      </c>
      <c r="B7646" s="52">
        <v>7.74615351E8</v>
      </c>
      <c r="C7646" s="28" t="s">
        <v>7903</v>
      </c>
      <c r="D7646" s="26" t="s">
        <v>49</v>
      </c>
      <c r="E7646" s="31">
        <v>46244.0</v>
      </c>
      <c r="F7646" s="26" t="s">
        <v>46</v>
      </c>
      <c r="G7646" s="26">
        <v>10.0</v>
      </c>
      <c r="H7646" s="26" t="s">
        <v>7904</v>
      </c>
      <c r="I7646" s="26" t="s">
        <v>951</v>
      </c>
      <c r="J7646" s="25" t="str">
        <f t="shared" si="85"/>
        <v>No</v>
      </c>
      <c r="K7646" s="25" t="str">
        <f t="shared" si="86"/>
        <v/>
      </c>
      <c r="L7646" s="25" t="str">
        <f t="shared" si="87"/>
        <v/>
      </c>
      <c r="M7646" s="25"/>
      <c r="O7646" s="25"/>
    </row>
    <row r="7647" ht="15.75" customHeight="1">
      <c r="A7647" s="25" t="str">
        <f>IFERROR(__xludf.DUMMYFUNCTION("IF(B7647="""","""",RIGHT(REGEXREPLACE(B7647&amp;"""",""[^0-9]"",""""),9))"),"759670554")</f>
        <v>759670554</v>
      </c>
      <c r="B7647" s="52">
        <v>7.59670554E8</v>
      </c>
      <c r="C7647" s="28" t="s">
        <v>7905</v>
      </c>
      <c r="D7647" s="26" t="s">
        <v>56</v>
      </c>
      <c r="E7647" s="31">
        <v>46244.0</v>
      </c>
      <c r="F7647" s="26" t="s">
        <v>46</v>
      </c>
      <c r="G7647" s="26">
        <v>9.0</v>
      </c>
      <c r="I7647" s="26" t="s">
        <v>951</v>
      </c>
      <c r="J7647" s="25" t="str">
        <f t="shared" si="85"/>
        <v>No</v>
      </c>
      <c r="K7647" s="25" t="str">
        <f t="shared" si="86"/>
        <v/>
      </c>
      <c r="L7647" s="25" t="str">
        <f t="shared" si="87"/>
        <v/>
      </c>
      <c r="M7647" s="25"/>
      <c r="O7647" s="25"/>
    </row>
    <row r="7648" ht="15.75" customHeight="1">
      <c r="A7648" s="25" t="str">
        <f>IFERROR(__xludf.DUMMYFUNCTION("IF(B7648="""","""",RIGHT(REGEXREPLACE(B7648&amp;"""",""[^0-9]"",""""),9))"),"752772393")</f>
        <v>752772393</v>
      </c>
      <c r="B7648" s="52">
        <v>7.52772393E8</v>
      </c>
      <c r="C7648" s="28" t="s">
        <v>7906</v>
      </c>
      <c r="D7648" s="26" t="s">
        <v>45</v>
      </c>
      <c r="E7648" s="31">
        <v>46244.0</v>
      </c>
      <c r="F7648" s="26" t="s">
        <v>41</v>
      </c>
      <c r="I7648" s="26" t="s">
        <v>951</v>
      </c>
      <c r="J7648" s="25" t="str">
        <f t="shared" si="85"/>
        <v>No</v>
      </c>
      <c r="K7648" s="25" t="str">
        <f t="shared" si="86"/>
        <v/>
      </c>
      <c r="L7648" s="25" t="str">
        <f t="shared" si="87"/>
        <v/>
      </c>
      <c r="M7648" s="25"/>
      <c r="O7648" s="25"/>
    </row>
    <row r="7649" ht="15.75" customHeight="1">
      <c r="A7649" s="25" t="str">
        <f>IFERROR(__xludf.DUMMYFUNCTION("IF(B7649="""","""",RIGHT(REGEXREPLACE(B7649&amp;"""",""[^0-9]"",""""),9))"),"742864240")</f>
        <v>742864240</v>
      </c>
      <c r="B7649" s="52">
        <v>7.4286424E8</v>
      </c>
      <c r="C7649" s="28" t="s">
        <v>7907</v>
      </c>
      <c r="D7649" s="26" t="s">
        <v>56</v>
      </c>
      <c r="E7649" s="31">
        <v>46244.0</v>
      </c>
      <c r="F7649" s="26" t="s">
        <v>46</v>
      </c>
      <c r="G7649" s="26">
        <v>9.0</v>
      </c>
      <c r="I7649" s="26" t="s">
        <v>951</v>
      </c>
      <c r="J7649" s="25" t="str">
        <f t="shared" si="85"/>
        <v>No</v>
      </c>
      <c r="K7649" s="25" t="str">
        <f t="shared" si="86"/>
        <v/>
      </c>
      <c r="L7649" s="25" t="str">
        <f t="shared" si="87"/>
        <v/>
      </c>
      <c r="M7649" s="25"/>
      <c r="O7649" s="25"/>
    </row>
    <row r="7650" ht="15.75" customHeight="1">
      <c r="A7650" s="25" t="str">
        <f>IFERROR(__xludf.DUMMYFUNCTION("IF(B7650="""","""",RIGHT(REGEXREPLACE(B7650&amp;"""",""[^0-9]"",""""),9))"),"775110247")</f>
        <v>775110247</v>
      </c>
      <c r="B7650" s="52">
        <v>7.75110247E8</v>
      </c>
      <c r="C7650" s="28" t="s">
        <v>6057</v>
      </c>
      <c r="D7650" s="26" t="s">
        <v>56</v>
      </c>
      <c r="E7650" s="31">
        <v>46244.0</v>
      </c>
      <c r="F7650" s="26" t="s">
        <v>167</v>
      </c>
      <c r="G7650" s="26">
        <v>7.0</v>
      </c>
      <c r="I7650" s="26" t="s">
        <v>951</v>
      </c>
      <c r="J7650" s="25" t="str">
        <f t="shared" si="85"/>
        <v>Yes - see Previous F-Code</v>
      </c>
      <c r="K7650" s="25" t="str">
        <f t="shared" si="86"/>
        <v/>
      </c>
      <c r="L7650" s="25" t="str">
        <f t="shared" si="87"/>
        <v>F75467</v>
      </c>
      <c r="M7650" s="25"/>
      <c r="O7650" s="25"/>
    </row>
    <row r="7651" ht="15.75" customHeight="1">
      <c r="A7651" s="25" t="str">
        <f>IFERROR(__xludf.DUMMYFUNCTION("IF(B7651="""","""",RIGHT(REGEXREPLACE(B7651&amp;"""",""[^0-9]"",""""),9))"),"716993673")</f>
        <v>716993673</v>
      </c>
      <c r="B7651" s="52">
        <v>7.16993673E8</v>
      </c>
      <c r="C7651" s="28" t="s">
        <v>7908</v>
      </c>
      <c r="D7651" s="26" t="s">
        <v>45</v>
      </c>
      <c r="E7651" s="31">
        <v>46244.0</v>
      </c>
      <c r="F7651" s="26" t="s">
        <v>46</v>
      </c>
      <c r="G7651" s="26">
        <v>9.0</v>
      </c>
      <c r="I7651" s="26" t="s">
        <v>951</v>
      </c>
      <c r="J7651" s="25" t="str">
        <f t="shared" si="85"/>
        <v>No</v>
      </c>
      <c r="K7651" s="25" t="str">
        <f t="shared" si="86"/>
        <v/>
      </c>
      <c r="L7651" s="25" t="str">
        <f t="shared" si="87"/>
        <v/>
      </c>
      <c r="M7651" s="25"/>
      <c r="O7651" s="25"/>
    </row>
    <row r="7652" ht="15.75" customHeight="1">
      <c r="A7652" s="25" t="str">
        <f>IFERROR(__xludf.DUMMYFUNCTION("IF(B7652="""","""",RIGHT(REGEXREPLACE(B7652&amp;"""",""[^0-9]"",""""),9))"),"771406041")</f>
        <v>771406041</v>
      </c>
      <c r="B7652" s="52">
        <v>7.71406041E8</v>
      </c>
      <c r="C7652" s="28" t="s">
        <v>7909</v>
      </c>
      <c r="D7652" s="26" t="s">
        <v>49</v>
      </c>
      <c r="E7652" s="31">
        <v>46244.0</v>
      </c>
      <c r="F7652" s="26" t="s">
        <v>41</v>
      </c>
      <c r="G7652" s="26">
        <v>11.0</v>
      </c>
      <c r="I7652" s="26" t="s">
        <v>951</v>
      </c>
      <c r="J7652" s="25" t="str">
        <f t="shared" si="85"/>
        <v>No</v>
      </c>
      <c r="K7652" s="25" t="str">
        <f t="shared" si="86"/>
        <v/>
      </c>
      <c r="L7652" s="25" t="str">
        <f t="shared" si="87"/>
        <v/>
      </c>
      <c r="M7652" s="25"/>
      <c r="O7652" s="25"/>
    </row>
    <row r="7653" ht="15.75" customHeight="1">
      <c r="A7653" s="25" t="str">
        <f>IFERROR(__xludf.DUMMYFUNCTION("IF(B7653="""","""",RIGHT(REGEXREPLACE(B7653&amp;"""",""[^0-9]"",""""),9))"),"773781438")</f>
        <v>773781438</v>
      </c>
      <c r="B7653" s="52">
        <v>7.73781438E8</v>
      </c>
      <c r="C7653" s="28" t="s">
        <v>7910</v>
      </c>
      <c r="D7653" s="26" t="s">
        <v>45</v>
      </c>
      <c r="E7653" s="31">
        <v>46244.0</v>
      </c>
      <c r="F7653" s="26" t="s">
        <v>46</v>
      </c>
      <c r="G7653" s="26">
        <v>9.0</v>
      </c>
      <c r="I7653" s="26" t="s">
        <v>951</v>
      </c>
      <c r="J7653" s="25" t="str">
        <f t="shared" si="85"/>
        <v>No</v>
      </c>
      <c r="K7653" s="25" t="str">
        <f t="shared" si="86"/>
        <v/>
      </c>
      <c r="L7653" s="25" t="str">
        <f t="shared" si="87"/>
        <v/>
      </c>
      <c r="M7653" s="25"/>
      <c r="O7653" s="25"/>
    </row>
    <row r="7654" ht="15.75" customHeight="1">
      <c r="A7654" s="25" t="str">
        <f>IFERROR(__xludf.DUMMYFUNCTION("IF(B7654="""","""",RIGHT(REGEXREPLACE(B7654&amp;"""",""[^0-9]"",""""),9))"),"714692555")</f>
        <v>714692555</v>
      </c>
      <c r="B7654" s="52">
        <v>7.14692555E8</v>
      </c>
      <c r="C7654" s="28" t="s">
        <v>7911</v>
      </c>
      <c r="D7654" s="26" t="s">
        <v>56</v>
      </c>
      <c r="E7654" s="31">
        <v>46244.0</v>
      </c>
      <c r="F7654" s="26" t="s">
        <v>46</v>
      </c>
      <c r="G7654" s="26">
        <v>0.0</v>
      </c>
      <c r="H7654" s="26" t="s">
        <v>6520</v>
      </c>
      <c r="I7654" s="26" t="s">
        <v>951</v>
      </c>
      <c r="J7654" s="25" t="str">
        <f t="shared" si="85"/>
        <v>No</v>
      </c>
      <c r="K7654" s="25" t="str">
        <f t="shared" si="86"/>
        <v/>
      </c>
      <c r="L7654" s="25" t="str">
        <f t="shared" si="87"/>
        <v/>
      </c>
      <c r="M7654" s="25"/>
      <c r="O7654" s="25"/>
    </row>
    <row r="7655" ht="15.75" customHeight="1">
      <c r="A7655" s="25" t="str">
        <f>IFERROR(__xludf.DUMMYFUNCTION("IF(B7655="""","""",RIGHT(REGEXREPLACE(B7655&amp;"""",""[^0-9]"",""""),9))"),"779558772")</f>
        <v>779558772</v>
      </c>
      <c r="B7655" s="52">
        <v>7.79558772E8</v>
      </c>
      <c r="C7655" s="28" t="s">
        <v>7912</v>
      </c>
      <c r="D7655" s="26" t="s">
        <v>56</v>
      </c>
      <c r="E7655" s="31">
        <v>46244.0</v>
      </c>
      <c r="F7655" s="26" t="s">
        <v>631</v>
      </c>
      <c r="G7655" s="26">
        <v>9.0</v>
      </c>
      <c r="I7655" s="26" t="s">
        <v>951</v>
      </c>
      <c r="J7655" s="25" t="str">
        <f t="shared" si="85"/>
        <v>No</v>
      </c>
      <c r="K7655" s="25" t="str">
        <f t="shared" si="86"/>
        <v/>
      </c>
      <c r="L7655" s="25" t="str">
        <f t="shared" si="87"/>
        <v/>
      </c>
      <c r="M7655" s="25"/>
      <c r="O7655" s="25"/>
    </row>
    <row r="7656" ht="15.75" customHeight="1">
      <c r="A7656" s="25" t="str">
        <f>IFERROR(__xludf.DUMMYFUNCTION("IF(B7656="""","""",RIGHT(REGEXREPLACE(B7656&amp;"""",""[^0-9]"",""""),9))"),"771473650")</f>
        <v>771473650</v>
      </c>
      <c r="B7656" s="52">
        <v>7.7147365E8</v>
      </c>
      <c r="C7656" s="28" t="s">
        <v>7913</v>
      </c>
      <c r="D7656" s="26" t="s">
        <v>49</v>
      </c>
      <c r="E7656" s="31">
        <v>46244.0</v>
      </c>
      <c r="F7656" s="26" t="s">
        <v>46</v>
      </c>
      <c r="G7656" s="26">
        <v>10.0</v>
      </c>
      <c r="H7656" s="26" t="s">
        <v>7904</v>
      </c>
      <c r="I7656" s="26" t="s">
        <v>951</v>
      </c>
      <c r="J7656" s="25" t="str">
        <f t="shared" si="85"/>
        <v>No</v>
      </c>
      <c r="K7656" s="25" t="str">
        <f t="shared" si="86"/>
        <v/>
      </c>
      <c r="L7656" s="25" t="str">
        <f t="shared" si="87"/>
        <v/>
      </c>
      <c r="M7656" s="25"/>
      <c r="O7656" s="25"/>
    </row>
    <row r="7657" ht="15.75" customHeight="1">
      <c r="A7657" s="25" t="str">
        <f>IFERROR(__xludf.DUMMYFUNCTION("IF(B7657="""","""",RIGHT(REGEXREPLACE(B7657&amp;"""",""[^0-9]"",""""),9))"),"703463514")</f>
        <v>703463514</v>
      </c>
      <c r="B7657" s="52">
        <v>7.03463514E8</v>
      </c>
      <c r="C7657" s="28" t="s">
        <v>7914</v>
      </c>
      <c r="D7657" s="26" t="s">
        <v>45</v>
      </c>
      <c r="E7657" s="31">
        <v>46244.0</v>
      </c>
      <c r="F7657" s="26" t="s">
        <v>46</v>
      </c>
      <c r="G7657" s="26">
        <v>9.0</v>
      </c>
      <c r="I7657" s="26" t="s">
        <v>951</v>
      </c>
      <c r="J7657" s="25" t="str">
        <f t="shared" si="85"/>
        <v>No</v>
      </c>
      <c r="K7657" s="25" t="str">
        <f t="shared" si="86"/>
        <v/>
      </c>
      <c r="L7657" s="25" t="str">
        <f t="shared" si="87"/>
        <v/>
      </c>
      <c r="M7657" s="25"/>
      <c r="O7657" s="25"/>
    </row>
    <row r="7658" ht="15.75" customHeight="1">
      <c r="A7658" s="25" t="str">
        <f>IFERROR(__xludf.DUMMYFUNCTION("IF(B7658="""","""",RIGHT(REGEXREPLACE(B7658&amp;"""",""[^0-9]"",""""),9))"),"778759876")</f>
        <v>778759876</v>
      </c>
      <c r="B7658" s="52">
        <v>7.78759876E8</v>
      </c>
      <c r="C7658" s="28" t="s">
        <v>7915</v>
      </c>
      <c r="D7658" s="26" t="s">
        <v>45</v>
      </c>
      <c r="E7658" s="31">
        <v>46244.0</v>
      </c>
      <c r="F7658" s="26" t="s">
        <v>46</v>
      </c>
      <c r="G7658" s="26">
        <v>9.0</v>
      </c>
      <c r="I7658" s="26" t="s">
        <v>951</v>
      </c>
      <c r="J7658" s="25" t="str">
        <f t="shared" si="85"/>
        <v>No</v>
      </c>
      <c r="K7658" s="25" t="str">
        <f t="shared" si="86"/>
        <v/>
      </c>
      <c r="L7658" s="25" t="str">
        <f t="shared" si="87"/>
        <v/>
      </c>
      <c r="M7658" s="25"/>
      <c r="O7658" s="25"/>
    </row>
    <row r="7659" ht="15.75" customHeight="1">
      <c r="A7659" s="25" t="str">
        <f>IFERROR(__xludf.DUMMYFUNCTION("IF(B7659="""","""",RIGHT(REGEXREPLACE(B7659&amp;"""",""[^0-9]"",""""),9))"),"763585348")</f>
        <v>763585348</v>
      </c>
      <c r="B7659" s="52">
        <v>7.63585348E8</v>
      </c>
      <c r="C7659" s="28" t="s">
        <v>7916</v>
      </c>
      <c r="D7659" s="26" t="s">
        <v>56</v>
      </c>
      <c r="E7659" s="31">
        <v>46244.0</v>
      </c>
      <c r="F7659" s="26" t="s">
        <v>46</v>
      </c>
      <c r="G7659" s="26" t="s">
        <v>7917</v>
      </c>
      <c r="H7659" s="26" t="s">
        <v>140</v>
      </c>
      <c r="I7659" s="26" t="s">
        <v>951</v>
      </c>
      <c r="J7659" s="25" t="str">
        <f t="shared" si="85"/>
        <v>No</v>
      </c>
      <c r="K7659" s="25" t="str">
        <f t="shared" si="86"/>
        <v/>
      </c>
      <c r="L7659" s="25" t="str">
        <f t="shared" si="87"/>
        <v/>
      </c>
      <c r="M7659" s="25"/>
      <c r="O7659" s="25"/>
    </row>
    <row r="7660" ht="15.75" customHeight="1">
      <c r="A7660" s="25" t="str">
        <f>IFERROR(__xludf.DUMMYFUNCTION("IF(B7660="""","""",RIGHT(REGEXREPLACE(B7660&amp;"""",""[^0-9]"",""""),9))"),"773179733")</f>
        <v>773179733</v>
      </c>
      <c r="B7660" s="52">
        <v>7.73179733E8</v>
      </c>
      <c r="C7660" s="28" t="s">
        <v>7918</v>
      </c>
      <c r="D7660" s="26" t="s">
        <v>56</v>
      </c>
      <c r="E7660" s="31">
        <v>46244.0</v>
      </c>
      <c r="F7660" s="26" t="s">
        <v>46</v>
      </c>
      <c r="G7660" s="26">
        <v>7.0</v>
      </c>
      <c r="I7660" s="26" t="s">
        <v>951</v>
      </c>
      <c r="J7660" s="25" t="str">
        <f t="shared" si="85"/>
        <v>No</v>
      </c>
      <c r="K7660" s="25" t="str">
        <f t="shared" si="86"/>
        <v/>
      </c>
      <c r="L7660" s="25" t="str">
        <f t="shared" si="87"/>
        <v/>
      </c>
      <c r="M7660" s="25"/>
      <c r="O7660" s="25"/>
    </row>
    <row r="7661" ht="15.75" customHeight="1">
      <c r="A7661" s="25" t="str">
        <f>IFERROR(__xludf.DUMMYFUNCTION("IF(B7661="""","""",RIGHT(REGEXREPLACE(B7661&amp;"""",""[^0-9]"",""""),9))"),"765866814")</f>
        <v>765866814</v>
      </c>
      <c r="B7661" s="52">
        <v>7.65866814E8</v>
      </c>
      <c r="C7661" s="28" t="s">
        <v>7919</v>
      </c>
      <c r="D7661" s="26" t="s">
        <v>49</v>
      </c>
      <c r="E7661" s="31">
        <v>46244.0</v>
      </c>
      <c r="F7661" s="26" t="s">
        <v>46</v>
      </c>
      <c r="G7661" s="26">
        <v>11.0</v>
      </c>
      <c r="H7661" s="26" t="s">
        <v>7920</v>
      </c>
      <c r="I7661" s="26" t="s">
        <v>951</v>
      </c>
      <c r="J7661" s="25" t="str">
        <f t="shared" si="85"/>
        <v>No</v>
      </c>
      <c r="K7661" s="25" t="str">
        <f t="shared" si="86"/>
        <v/>
      </c>
      <c r="L7661" s="25" t="str">
        <f t="shared" si="87"/>
        <v/>
      </c>
      <c r="M7661" s="25"/>
      <c r="O7661" s="25"/>
    </row>
    <row r="7662" ht="15.75" customHeight="1">
      <c r="A7662" s="25" t="str">
        <f>IFERROR(__xludf.DUMMYFUNCTION("IF(B7662="""","""",RIGHT(REGEXREPLACE(B7662&amp;"""",""[^0-9]"",""""),9))"),"769236578")</f>
        <v>769236578</v>
      </c>
      <c r="B7662" s="52">
        <v>7.69236578E8</v>
      </c>
      <c r="C7662" s="28" t="s">
        <v>7921</v>
      </c>
      <c r="D7662" s="26" t="s">
        <v>45</v>
      </c>
      <c r="E7662" s="31">
        <v>46244.0</v>
      </c>
      <c r="F7662" s="26" t="s">
        <v>125</v>
      </c>
      <c r="G7662" s="26">
        <v>9.0</v>
      </c>
      <c r="I7662" s="26" t="s">
        <v>951</v>
      </c>
      <c r="J7662" s="25" t="str">
        <f t="shared" si="85"/>
        <v>No</v>
      </c>
      <c r="K7662" s="25" t="str">
        <f t="shared" si="86"/>
        <v/>
      </c>
      <c r="L7662" s="25" t="str">
        <f t="shared" si="87"/>
        <v/>
      </c>
      <c r="M7662" s="25"/>
      <c r="O7662" s="25"/>
    </row>
    <row r="7663" ht="15.75" customHeight="1">
      <c r="A7663" s="25" t="str">
        <f>IFERROR(__xludf.DUMMYFUNCTION("IF(B7663="""","""",RIGHT(REGEXREPLACE(B7663&amp;"""",""[^0-9]"",""""),9))"),"714024020")</f>
        <v>714024020</v>
      </c>
      <c r="B7663" s="52">
        <v>7.1402402E8</v>
      </c>
      <c r="C7663" s="28" t="s">
        <v>7921</v>
      </c>
      <c r="D7663" s="26" t="s">
        <v>56</v>
      </c>
      <c r="E7663" s="31">
        <v>46244.0</v>
      </c>
      <c r="F7663" s="26" t="s">
        <v>46</v>
      </c>
      <c r="G7663" s="26">
        <v>9.0</v>
      </c>
      <c r="I7663" s="26" t="s">
        <v>951</v>
      </c>
      <c r="J7663" s="25" t="str">
        <f t="shared" si="85"/>
        <v>No</v>
      </c>
      <c r="K7663" s="25" t="str">
        <f t="shared" si="86"/>
        <v/>
      </c>
      <c r="L7663" s="25" t="str">
        <f t="shared" si="87"/>
        <v/>
      </c>
      <c r="M7663" s="25"/>
      <c r="O7663" s="25"/>
    </row>
    <row r="7664" ht="15.75" customHeight="1">
      <c r="A7664" s="25" t="str">
        <f>IFERROR(__xludf.DUMMYFUNCTION("IF(B7664="""","""",RIGHT(REGEXREPLACE(B7664&amp;"""",""[^0-9]"",""""),9))"),"768640797")</f>
        <v>768640797</v>
      </c>
      <c r="B7664" s="52">
        <v>7.68640797E8</v>
      </c>
      <c r="C7664" s="28" t="s">
        <v>7922</v>
      </c>
      <c r="D7664" s="26" t="s">
        <v>49</v>
      </c>
      <c r="E7664" s="31">
        <v>46244.0</v>
      </c>
      <c r="F7664" s="26" t="s">
        <v>46</v>
      </c>
      <c r="G7664" s="26">
        <v>8.0</v>
      </c>
      <c r="I7664" s="26" t="s">
        <v>951</v>
      </c>
      <c r="J7664" s="25" t="str">
        <f t="shared" si="85"/>
        <v>No</v>
      </c>
      <c r="K7664" s="25" t="str">
        <f t="shared" si="86"/>
        <v/>
      </c>
      <c r="L7664" s="25" t="str">
        <f t="shared" si="87"/>
        <v/>
      </c>
      <c r="M7664" s="25"/>
      <c r="O7664" s="25"/>
    </row>
    <row r="7665" ht="15.75" customHeight="1">
      <c r="A7665" s="25" t="str">
        <f>IFERROR(__xludf.DUMMYFUNCTION("IF(B7665="""","""",RIGHT(REGEXREPLACE(B7665&amp;"""",""[^0-9]"",""""),9))"),"718242827")</f>
        <v>718242827</v>
      </c>
      <c r="B7665" s="52">
        <v>7.18242827E8</v>
      </c>
      <c r="C7665" s="28" t="s">
        <v>5352</v>
      </c>
      <c r="D7665" s="26" t="s">
        <v>45</v>
      </c>
      <c r="E7665" s="31">
        <v>46244.0</v>
      </c>
      <c r="F7665" s="26" t="s">
        <v>46</v>
      </c>
      <c r="G7665" s="26">
        <v>9.0</v>
      </c>
      <c r="I7665" s="26" t="s">
        <v>951</v>
      </c>
      <c r="J7665" s="25" t="str">
        <f t="shared" si="85"/>
        <v>Yes - see Previous F-Code</v>
      </c>
      <c r="K7665" s="25" t="str">
        <f t="shared" si="86"/>
        <v/>
      </c>
      <c r="L7665" s="25" t="str">
        <f t="shared" si="87"/>
        <v>F74864</v>
      </c>
      <c r="M7665" s="25"/>
      <c r="O7665" s="25"/>
    </row>
    <row r="7666" ht="15.75" customHeight="1">
      <c r="A7666" s="25" t="str">
        <f>IFERROR(__xludf.DUMMYFUNCTION("IF(B7666="""","""",RIGHT(REGEXREPLACE(B7666&amp;"""",""[^0-9]"",""""),9))"),"775319879")</f>
        <v>775319879</v>
      </c>
      <c r="B7666" s="52">
        <v>7.75319879E8</v>
      </c>
      <c r="C7666" s="28" t="s">
        <v>1495</v>
      </c>
      <c r="D7666" s="26" t="s">
        <v>56</v>
      </c>
      <c r="E7666" s="31">
        <v>46244.0</v>
      </c>
      <c r="F7666" s="26" t="s">
        <v>125</v>
      </c>
      <c r="G7666" s="26">
        <v>10.0</v>
      </c>
      <c r="I7666" s="26" t="s">
        <v>951</v>
      </c>
      <c r="J7666" s="25" t="str">
        <f t="shared" si="85"/>
        <v>Yes - see Previous F-Code</v>
      </c>
      <c r="K7666" s="25" t="str">
        <f t="shared" si="86"/>
        <v>DUPLICATE - CHECK</v>
      </c>
      <c r="L7666" s="25" t="str">
        <f t="shared" si="87"/>
        <v>F71219</v>
      </c>
      <c r="M7666" s="25"/>
      <c r="O7666" s="25"/>
    </row>
    <row r="7667" ht="15.75" customHeight="1">
      <c r="A7667" s="25" t="str">
        <f>IFERROR(__xludf.DUMMYFUNCTION("IF(B7667="""","""",RIGHT(REGEXREPLACE(B7667&amp;"""",""[^0-9]"",""""),9))"),"742190016")</f>
        <v>742190016</v>
      </c>
      <c r="B7667" s="52">
        <v>7.42190016E8</v>
      </c>
      <c r="C7667" s="28" t="s">
        <v>7923</v>
      </c>
      <c r="D7667" s="26" t="s">
        <v>45</v>
      </c>
      <c r="E7667" s="31">
        <v>46244.0</v>
      </c>
      <c r="F7667" s="26" t="s">
        <v>46</v>
      </c>
      <c r="G7667" s="26">
        <v>9.0</v>
      </c>
      <c r="I7667" s="26" t="s">
        <v>951</v>
      </c>
      <c r="J7667" s="25" t="str">
        <f t="shared" si="85"/>
        <v>No</v>
      </c>
      <c r="K7667" s="25" t="str">
        <f t="shared" si="86"/>
        <v/>
      </c>
      <c r="L7667" s="25" t="str">
        <f t="shared" si="87"/>
        <v/>
      </c>
      <c r="M7667" s="25"/>
      <c r="O7667" s="25"/>
    </row>
    <row r="7668" ht="15.75" customHeight="1">
      <c r="A7668" s="25" t="str">
        <f>IFERROR(__xludf.DUMMYFUNCTION("IF(B7668="""","""",RIGHT(REGEXREPLACE(B7668&amp;"""",""[^0-9]"",""""),9))"),"740479787")</f>
        <v>740479787</v>
      </c>
      <c r="B7668" s="52">
        <v>7.40479787E8</v>
      </c>
      <c r="C7668" s="28" t="s">
        <v>7924</v>
      </c>
      <c r="D7668" s="26" t="s">
        <v>45</v>
      </c>
      <c r="E7668" s="31">
        <v>46244.0</v>
      </c>
      <c r="F7668" s="26" t="s">
        <v>41</v>
      </c>
      <c r="I7668" s="26" t="s">
        <v>951</v>
      </c>
      <c r="J7668" s="25" t="str">
        <f t="shared" si="85"/>
        <v>No</v>
      </c>
      <c r="K7668" s="25" t="str">
        <f t="shared" si="86"/>
        <v/>
      </c>
      <c r="L7668" s="25" t="str">
        <f t="shared" si="87"/>
        <v/>
      </c>
      <c r="M7668" s="25"/>
      <c r="O7668" s="25"/>
    </row>
    <row r="7669" ht="15.75" customHeight="1">
      <c r="A7669" s="25" t="str">
        <f>IFERROR(__xludf.DUMMYFUNCTION("IF(B7669="""","""",RIGHT(REGEXREPLACE(B7669&amp;"""",""[^0-9]"",""""),9))"),"774903908")</f>
        <v>774903908</v>
      </c>
      <c r="B7669" s="52">
        <v>7.74903908E8</v>
      </c>
      <c r="C7669" s="28" t="s">
        <v>7925</v>
      </c>
      <c r="D7669" s="26" t="s">
        <v>49</v>
      </c>
      <c r="E7669" s="31">
        <v>46244.0</v>
      </c>
      <c r="F7669" s="26" t="s">
        <v>46</v>
      </c>
      <c r="G7669" s="26">
        <v>9.0</v>
      </c>
      <c r="I7669" s="26" t="s">
        <v>951</v>
      </c>
      <c r="J7669" s="25" t="str">
        <f t="shared" si="85"/>
        <v>No</v>
      </c>
      <c r="K7669" s="25" t="str">
        <f t="shared" si="86"/>
        <v/>
      </c>
      <c r="L7669" s="25" t="str">
        <f t="shared" si="87"/>
        <v/>
      </c>
      <c r="M7669" s="25"/>
      <c r="O7669" s="25"/>
    </row>
    <row r="7670" ht="15.75" customHeight="1">
      <c r="A7670" s="25" t="str">
        <f>IFERROR(__xludf.DUMMYFUNCTION("IF(B7670="""","""",RIGHT(REGEXREPLACE(B7670&amp;"""",""[^0-9]"",""""),9))"),"701465693")</f>
        <v>701465693</v>
      </c>
      <c r="B7670" s="52">
        <v>7.01465693E8</v>
      </c>
      <c r="C7670" s="28" t="s">
        <v>7926</v>
      </c>
      <c r="D7670" s="26" t="s">
        <v>49</v>
      </c>
      <c r="E7670" s="31">
        <v>46244.0</v>
      </c>
      <c r="F7670" s="26" t="s">
        <v>46</v>
      </c>
      <c r="G7670" s="26">
        <v>10.0</v>
      </c>
      <c r="H7670" s="26" t="s">
        <v>4612</v>
      </c>
      <c r="I7670" s="26" t="s">
        <v>951</v>
      </c>
      <c r="J7670" s="25" t="str">
        <f t="shared" si="85"/>
        <v>No</v>
      </c>
      <c r="K7670" s="25" t="str">
        <f t="shared" si="86"/>
        <v/>
      </c>
      <c r="L7670" s="25" t="str">
        <f t="shared" si="87"/>
        <v/>
      </c>
      <c r="M7670" s="25"/>
      <c r="O7670" s="25"/>
    </row>
    <row r="7671" ht="15.75" customHeight="1">
      <c r="A7671" s="25" t="str">
        <f>IFERROR(__xludf.DUMMYFUNCTION("IF(B7671="""","""",RIGHT(REGEXREPLACE(B7671&amp;"""",""[^0-9]"",""""),9))"),"713716835")</f>
        <v>713716835</v>
      </c>
      <c r="B7671" s="52">
        <v>7.13716835E8</v>
      </c>
      <c r="C7671" s="28" t="s">
        <v>2941</v>
      </c>
      <c r="D7671" s="26" t="s">
        <v>45</v>
      </c>
      <c r="E7671" s="31">
        <v>46244.0</v>
      </c>
      <c r="F7671" s="26" t="s">
        <v>41</v>
      </c>
      <c r="I7671" s="26" t="s">
        <v>951</v>
      </c>
      <c r="J7671" s="25" t="str">
        <f t="shared" si="85"/>
        <v>Yes - see Previous F-Code</v>
      </c>
      <c r="K7671" s="25" t="str">
        <f t="shared" si="86"/>
        <v/>
      </c>
      <c r="L7671" s="25" t="str">
        <f t="shared" si="87"/>
        <v>F72942</v>
      </c>
      <c r="M7671" s="25"/>
      <c r="O7671" s="25"/>
    </row>
    <row r="7672" ht="15.75" customHeight="1">
      <c r="A7672" s="25" t="str">
        <f>IFERROR(__xludf.DUMMYFUNCTION("IF(B7672="""","""",RIGHT(REGEXREPLACE(B7672&amp;"""",""[^0-9]"",""""),9))"),"765482752")</f>
        <v>765482752</v>
      </c>
      <c r="B7672" s="52">
        <v>7.65482752E8</v>
      </c>
      <c r="C7672" s="28" t="s">
        <v>7927</v>
      </c>
      <c r="D7672" s="26" t="s">
        <v>45</v>
      </c>
      <c r="E7672" s="31">
        <v>46244.0</v>
      </c>
      <c r="F7672" s="26" t="s">
        <v>46</v>
      </c>
      <c r="G7672" s="26">
        <v>9.0</v>
      </c>
      <c r="I7672" s="26" t="s">
        <v>951</v>
      </c>
      <c r="J7672" s="25" t="str">
        <f t="shared" si="85"/>
        <v>No</v>
      </c>
      <c r="K7672" s="25" t="str">
        <f t="shared" si="86"/>
        <v/>
      </c>
      <c r="L7672" s="25" t="str">
        <f t="shared" si="87"/>
        <v/>
      </c>
      <c r="M7672" s="25"/>
      <c r="O7672" s="25"/>
    </row>
    <row r="7673" ht="15.75" customHeight="1">
      <c r="A7673" s="25" t="str">
        <f>IFERROR(__xludf.DUMMYFUNCTION("IF(B7673="""","""",RIGHT(REGEXREPLACE(B7673&amp;"""",""[^0-9]"",""""),9))"),"769687563")</f>
        <v>769687563</v>
      </c>
      <c r="B7673" s="52">
        <v>7.69687563E8</v>
      </c>
      <c r="C7673" s="28" t="s">
        <v>7928</v>
      </c>
      <c r="D7673" s="26" t="s">
        <v>49</v>
      </c>
      <c r="E7673" s="31">
        <v>46244.0</v>
      </c>
      <c r="F7673" s="26" t="s">
        <v>659</v>
      </c>
      <c r="G7673" s="26">
        <v>9.0</v>
      </c>
      <c r="I7673" s="26" t="s">
        <v>951</v>
      </c>
      <c r="J7673" s="25" t="str">
        <f t="shared" si="85"/>
        <v>No</v>
      </c>
      <c r="K7673" s="25" t="str">
        <f t="shared" si="86"/>
        <v/>
      </c>
      <c r="L7673" s="25" t="str">
        <f t="shared" si="87"/>
        <v/>
      </c>
      <c r="M7673" s="25"/>
      <c r="O7673" s="25"/>
    </row>
    <row r="7674" ht="15.75" customHeight="1">
      <c r="A7674" s="25" t="str">
        <f>IFERROR(__xludf.DUMMYFUNCTION("IF(B7674="""","""",RIGHT(REGEXREPLACE(B7674&amp;"""",""[^0-9]"",""""),9))"),"702933405")</f>
        <v>702933405</v>
      </c>
      <c r="B7674" s="52">
        <v>7.02933405E8</v>
      </c>
      <c r="C7674" s="28" t="s">
        <v>7927</v>
      </c>
      <c r="D7674" s="26" t="s">
        <v>56</v>
      </c>
      <c r="E7674" s="31">
        <v>46244.0</v>
      </c>
      <c r="F7674" s="26" t="s">
        <v>41</v>
      </c>
      <c r="G7674" s="26">
        <v>0.0</v>
      </c>
      <c r="I7674" s="26" t="s">
        <v>951</v>
      </c>
      <c r="J7674" s="25" t="str">
        <f t="shared" si="85"/>
        <v>No</v>
      </c>
      <c r="K7674" s="25" t="str">
        <f t="shared" si="86"/>
        <v/>
      </c>
      <c r="L7674" s="25" t="str">
        <f t="shared" si="87"/>
        <v/>
      </c>
      <c r="M7674" s="25"/>
      <c r="O7674" s="25"/>
    </row>
    <row r="7675" ht="15.75" customHeight="1">
      <c r="A7675" s="25" t="str">
        <f>IFERROR(__xludf.DUMMYFUNCTION("IF(B7675="""","""",RIGHT(REGEXREPLACE(B7675&amp;"""",""[^0-9]"",""""),9))"),"786646118")</f>
        <v>786646118</v>
      </c>
      <c r="B7675" s="52">
        <v>7.86646118E8</v>
      </c>
      <c r="C7675" s="28" t="s">
        <v>7929</v>
      </c>
      <c r="D7675" s="26" t="s">
        <v>56</v>
      </c>
      <c r="E7675" s="31">
        <v>46244.0</v>
      </c>
      <c r="F7675" s="26" t="s">
        <v>41</v>
      </c>
      <c r="G7675" s="26">
        <v>11.0</v>
      </c>
      <c r="I7675" s="26" t="s">
        <v>951</v>
      </c>
      <c r="J7675" s="25" t="str">
        <f t="shared" si="85"/>
        <v>No</v>
      </c>
      <c r="K7675" s="25" t="str">
        <f t="shared" si="86"/>
        <v/>
      </c>
      <c r="L7675" s="25" t="str">
        <f t="shared" si="87"/>
        <v/>
      </c>
      <c r="M7675" s="25"/>
      <c r="O7675" s="25"/>
    </row>
    <row r="7676" ht="15.75" customHeight="1">
      <c r="A7676" s="25" t="str">
        <f>IFERROR(__xludf.DUMMYFUNCTION("IF(B7676="""","""",RIGHT(REGEXREPLACE(B7676&amp;"""",""[^0-9]"",""""),9))"),"774571146")</f>
        <v>774571146</v>
      </c>
      <c r="B7676" s="52">
        <v>7.74571146E8</v>
      </c>
      <c r="C7676" s="28" t="s">
        <v>7930</v>
      </c>
      <c r="D7676" s="26" t="s">
        <v>45</v>
      </c>
      <c r="E7676" s="31">
        <v>46244.0</v>
      </c>
      <c r="F7676" s="26" t="s">
        <v>205</v>
      </c>
      <c r="I7676" s="26" t="s">
        <v>951</v>
      </c>
      <c r="J7676" s="25" t="str">
        <f t="shared" si="85"/>
        <v>No</v>
      </c>
      <c r="K7676" s="25" t="str">
        <f t="shared" si="86"/>
        <v/>
      </c>
      <c r="L7676" s="25" t="str">
        <f t="shared" si="87"/>
        <v/>
      </c>
      <c r="M7676" s="25"/>
      <c r="O7676" s="25"/>
    </row>
    <row r="7677" ht="15.75" customHeight="1">
      <c r="A7677" s="25" t="str">
        <f>IFERROR(__xludf.DUMMYFUNCTION("IF(B7677="""","""",RIGHT(REGEXREPLACE(B7677&amp;"""",""[^0-9]"",""""),9))"),"703036695")</f>
        <v>703036695</v>
      </c>
      <c r="B7677" s="26" t="s">
        <v>7931</v>
      </c>
      <c r="C7677" s="28" t="s">
        <v>7932</v>
      </c>
      <c r="D7677" s="26" t="s">
        <v>45</v>
      </c>
      <c r="E7677" s="31">
        <v>46245.0</v>
      </c>
      <c r="F7677" s="26" t="s">
        <v>46</v>
      </c>
      <c r="G7677" s="26">
        <v>10.0</v>
      </c>
      <c r="I7677" s="26" t="s">
        <v>951</v>
      </c>
      <c r="J7677" s="25" t="str">
        <f t="shared" si="85"/>
        <v>No</v>
      </c>
      <c r="K7677" s="25" t="str">
        <f t="shared" si="86"/>
        <v/>
      </c>
      <c r="L7677" s="25" t="str">
        <f t="shared" si="87"/>
        <v/>
      </c>
      <c r="M7677" s="25"/>
      <c r="O7677" s="25"/>
    </row>
    <row r="7678" ht="15.75" customHeight="1">
      <c r="A7678" s="25" t="str">
        <f>IFERROR(__xludf.DUMMYFUNCTION("IF(B7678="""","""",RIGHT(REGEXREPLACE(B7678&amp;"""",""[^0-9]"",""""),9))"),"741505878")</f>
        <v>741505878</v>
      </c>
      <c r="B7678" s="26" t="s">
        <v>7933</v>
      </c>
      <c r="C7678" s="28" t="s">
        <v>7934</v>
      </c>
      <c r="D7678" s="26" t="s">
        <v>45</v>
      </c>
      <c r="E7678" s="31">
        <v>46245.0</v>
      </c>
      <c r="F7678" s="26" t="s">
        <v>46</v>
      </c>
      <c r="G7678" s="26">
        <v>9.0</v>
      </c>
      <c r="I7678" s="26" t="s">
        <v>951</v>
      </c>
      <c r="J7678" s="25" t="str">
        <f t="shared" si="85"/>
        <v>No</v>
      </c>
      <c r="K7678" s="25" t="str">
        <f t="shared" si="86"/>
        <v/>
      </c>
      <c r="L7678" s="25" t="str">
        <f t="shared" si="87"/>
        <v/>
      </c>
      <c r="M7678" s="25"/>
      <c r="O7678" s="25"/>
    </row>
    <row r="7679" ht="15.75" customHeight="1">
      <c r="A7679" s="25" t="str">
        <f>IFERROR(__xludf.DUMMYFUNCTION("IF(B7679="""","""",RIGHT(REGEXREPLACE(B7679&amp;"""",""[^0-9]"",""""),9))"),"741885828")</f>
        <v>741885828</v>
      </c>
      <c r="B7679" s="26" t="s">
        <v>7935</v>
      </c>
      <c r="C7679" s="28" t="s">
        <v>7936</v>
      </c>
      <c r="D7679" s="26" t="s">
        <v>45</v>
      </c>
      <c r="E7679" s="31">
        <v>46245.0</v>
      </c>
      <c r="F7679" s="26" t="s">
        <v>46</v>
      </c>
      <c r="G7679" s="26">
        <v>11.0</v>
      </c>
      <c r="H7679" s="26" t="s">
        <v>7937</v>
      </c>
      <c r="I7679" s="26" t="s">
        <v>951</v>
      </c>
      <c r="J7679" s="25" t="str">
        <f t="shared" si="85"/>
        <v>No</v>
      </c>
      <c r="K7679" s="25" t="str">
        <f t="shared" si="86"/>
        <v/>
      </c>
      <c r="L7679" s="25" t="str">
        <f t="shared" si="87"/>
        <v/>
      </c>
      <c r="M7679" s="25"/>
      <c r="O7679" s="25"/>
    </row>
    <row r="7680" ht="15.75" customHeight="1">
      <c r="A7680" s="25" t="str">
        <f>IFERROR(__xludf.DUMMYFUNCTION("IF(B7680="""","""",RIGHT(REGEXREPLACE(B7680&amp;"""",""[^0-9]"",""""),9))"),"752728534")</f>
        <v>752728534</v>
      </c>
      <c r="B7680" s="26" t="s">
        <v>7938</v>
      </c>
      <c r="C7680" s="28" t="s">
        <v>7939</v>
      </c>
      <c r="D7680" s="26" t="s">
        <v>45</v>
      </c>
      <c r="E7680" s="31">
        <v>46245.0</v>
      </c>
      <c r="F7680" s="26" t="s">
        <v>41</v>
      </c>
      <c r="G7680" s="26">
        <v>11.0</v>
      </c>
      <c r="I7680" s="26" t="s">
        <v>951</v>
      </c>
      <c r="J7680" s="25" t="str">
        <f t="shared" si="85"/>
        <v>No</v>
      </c>
      <c r="K7680" s="25" t="str">
        <f t="shared" si="86"/>
        <v/>
      </c>
      <c r="L7680" s="25" t="str">
        <f t="shared" si="87"/>
        <v/>
      </c>
      <c r="M7680" s="25"/>
      <c r="O7680" s="25"/>
    </row>
    <row r="7681" ht="15.75" customHeight="1">
      <c r="A7681" s="25" t="str">
        <f>IFERROR(__xludf.DUMMYFUNCTION("IF(B7681="""","""",RIGHT(REGEXREPLACE(B7681&amp;"""",""[^0-9]"",""""),9))"),"778253355")</f>
        <v>778253355</v>
      </c>
      <c r="B7681" s="26" t="s">
        <v>7940</v>
      </c>
      <c r="C7681" s="28" t="s">
        <v>7941</v>
      </c>
      <c r="D7681" s="26" t="s">
        <v>45</v>
      </c>
      <c r="E7681" s="31">
        <v>46245.0</v>
      </c>
      <c r="F7681" s="26" t="s">
        <v>46</v>
      </c>
      <c r="G7681" s="26">
        <v>7.0</v>
      </c>
      <c r="I7681" s="26" t="s">
        <v>951</v>
      </c>
      <c r="J7681" s="25" t="str">
        <f t="shared" si="85"/>
        <v>No</v>
      </c>
      <c r="K7681" s="25" t="str">
        <f t="shared" si="86"/>
        <v/>
      </c>
      <c r="L7681" s="25" t="str">
        <f t="shared" si="87"/>
        <v/>
      </c>
      <c r="M7681" s="25"/>
      <c r="O7681" s="25"/>
    </row>
    <row r="7682" ht="15.75" customHeight="1">
      <c r="A7682" s="25" t="str">
        <f>IFERROR(__xludf.DUMMYFUNCTION("IF(B7682="""","""",RIGHT(REGEXREPLACE(B7682&amp;"""",""[^0-9]"",""""),9))"),"702609500")</f>
        <v>702609500</v>
      </c>
      <c r="B7682" s="52">
        <v>7.026095E8</v>
      </c>
      <c r="C7682" s="28" t="s">
        <v>7942</v>
      </c>
      <c r="D7682" s="26" t="s">
        <v>56</v>
      </c>
      <c r="E7682" s="31">
        <v>46245.0</v>
      </c>
      <c r="F7682" s="26" t="s">
        <v>46</v>
      </c>
      <c r="G7682" s="26">
        <v>10.0</v>
      </c>
      <c r="I7682" s="26" t="s">
        <v>951</v>
      </c>
      <c r="J7682" s="25" t="str">
        <f t="shared" si="85"/>
        <v>No</v>
      </c>
      <c r="K7682" s="25" t="str">
        <f t="shared" si="86"/>
        <v/>
      </c>
      <c r="L7682" s="25" t="str">
        <f t="shared" si="87"/>
        <v/>
      </c>
      <c r="M7682" s="25"/>
      <c r="O7682" s="25"/>
    </row>
    <row r="7683" ht="15.75" customHeight="1">
      <c r="A7683" s="25" t="str">
        <f>IFERROR(__xludf.DUMMYFUNCTION("IF(B7683="""","""",RIGHT(REGEXREPLACE(B7683&amp;"""",""[^0-9]"",""""),9))"),"771968625")</f>
        <v>771968625</v>
      </c>
      <c r="B7683" s="26" t="s">
        <v>7943</v>
      </c>
      <c r="C7683" s="28" t="s">
        <v>7944</v>
      </c>
      <c r="D7683" s="26" t="s">
        <v>45</v>
      </c>
      <c r="E7683" s="31">
        <v>46245.0</v>
      </c>
      <c r="F7683" s="26" t="s">
        <v>46</v>
      </c>
      <c r="G7683" s="26">
        <v>7.0</v>
      </c>
      <c r="H7683" s="26" t="s">
        <v>720</v>
      </c>
      <c r="I7683" s="26" t="s">
        <v>951</v>
      </c>
      <c r="J7683" s="25" t="str">
        <f t="shared" si="85"/>
        <v>No</v>
      </c>
      <c r="K7683" s="25" t="str">
        <f t="shared" si="86"/>
        <v/>
      </c>
      <c r="L7683" s="25" t="str">
        <f t="shared" si="87"/>
        <v/>
      </c>
      <c r="M7683" s="25"/>
      <c r="O7683" s="25"/>
    </row>
    <row r="7684" ht="15.75" customHeight="1">
      <c r="A7684" s="25" t="str">
        <f>IFERROR(__xludf.DUMMYFUNCTION("IF(B7684="""","""",RIGHT(REGEXREPLACE(B7684&amp;"""",""[^0-9]"",""""),9))"),"781360222")</f>
        <v>781360222</v>
      </c>
      <c r="B7684" s="52">
        <v>7.81360222E8</v>
      </c>
      <c r="C7684" s="28" t="s">
        <v>7577</v>
      </c>
      <c r="D7684" s="26" t="s">
        <v>56</v>
      </c>
      <c r="E7684" s="31">
        <v>46245.0</v>
      </c>
      <c r="F7684" s="26" t="s">
        <v>41</v>
      </c>
      <c r="H7684" s="26" t="s">
        <v>7945</v>
      </c>
      <c r="I7684" s="26" t="s">
        <v>951</v>
      </c>
      <c r="J7684" s="25" t="str">
        <f t="shared" si="85"/>
        <v>Yes - see Previous F-Code</v>
      </c>
      <c r="K7684" s="25" t="str">
        <f t="shared" si="86"/>
        <v>DUPLICATE - CHECK</v>
      </c>
      <c r="L7684" s="25" t="str">
        <f t="shared" si="87"/>
        <v>F76474</v>
      </c>
      <c r="M7684" s="25"/>
      <c r="O7684" s="25"/>
    </row>
    <row r="7685" ht="15.75" customHeight="1">
      <c r="A7685" s="25" t="str">
        <f>IFERROR(__xludf.DUMMYFUNCTION("IF(B7685="""","""",RIGHT(REGEXREPLACE(B7685&amp;"""",""[^0-9]"",""""),9))"),"766768655")</f>
        <v>766768655</v>
      </c>
      <c r="B7685" s="26" t="s">
        <v>7946</v>
      </c>
      <c r="C7685" s="28" t="s">
        <v>7866</v>
      </c>
      <c r="D7685" s="26" t="s">
        <v>45</v>
      </c>
      <c r="E7685" s="31">
        <v>46245.0</v>
      </c>
      <c r="F7685" s="26" t="s">
        <v>46</v>
      </c>
      <c r="G7685" s="26">
        <v>9.0</v>
      </c>
      <c r="I7685" s="26" t="s">
        <v>951</v>
      </c>
      <c r="J7685" s="25" t="str">
        <f t="shared" si="85"/>
        <v>Yes - see Previous F-Code</v>
      </c>
      <c r="K7685" s="25" t="str">
        <f t="shared" si="86"/>
        <v>DUPLICATE - CHECK</v>
      </c>
      <c r="L7685" s="25" t="str">
        <f t="shared" si="87"/>
        <v>F76752</v>
      </c>
      <c r="M7685" s="25"/>
      <c r="O7685" s="25"/>
    </row>
    <row r="7686" ht="15.75" customHeight="1">
      <c r="A7686" s="25" t="str">
        <f>IFERROR(__xludf.DUMMYFUNCTION("IF(B7686="""","""",RIGHT(REGEXREPLACE(B7686&amp;"""",""[^0-9]"",""""),9))"),"773181467")</f>
        <v>773181467</v>
      </c>
      <c r="B7686" s="26" t="s">
        <v>7947</v>
      </c>
      <c r="C7686" s="28" t="s">
        <v>7948</v>
      </c>
      <c r="D7686" s="26" t="s">
        <v>45</v>
      </c>
      <c r="E7686" s="31">
        <v>46245.0</v>
      </c>
      <c r="F7686" s="26" t="s">
        <v>46</v>
      </c>
      <c r="G7686" s="26">
        <v>10.0</v>
      </c>
      <c r="I7686" s="26" t="s">
        <v>951</v>
      </c>
      <c r="J7686" s="25" t="str">
        <f t="shared" si="85"/>
        <v>No</v>
      </c>
      <c r="K7686" s="25" t="str">
        <f t="shared" si="86"/>
        <v/>
      </c>
      <c r="L7686" s="25" t="str">
        <f t="shared" si="87"/>
        <v/>
      </c>
      <c r="M7686" s="25"/>
      <c r="O7686" s="25"/>
    </row>
    <row r="7687" ht="15.75" customHeight="1">
      <c r="A7687" s="25" t="str">
        <f>IFERROR(__xludf.DUMMYFUNCTION("IF(B7687="""","""",RIGHT(REGEXREPLACE(B7687&amp;"""",""[^0-9]"",""""),9))"),"715150281")</f>
        <v>715150281</v>
      </c>
      <c r="B7687" s="52">
        <v>7.15150281E8</v>
      </c>
      <c r="C7687" s="28" t="s">
        <v>7949</v>
      </c>
      <c r="D7687" s="26" t="s">
        <v>49</v>
      </c>
      <c r="E7687" s="31">
        <v>46245.0</v>
      </c>
      <c r="F7687" s="26" t="s">
        <v>41</v>
      </c>
      <c r="G7687" s="26">
        <v>9.0</v>
      </c>
      <c r="I7687" s="26" t="s">
        <v>951</v>
      </c>
      <c r="J7687" s="25" t="str">
        <f t="shared" si="85"/>
        <v>No</v>
      </c>
      <c r="K7687" s="25" t="str">
        <f t="shared" si="86"/>
        <v/>
      </c>
      <c r="L7687" s="25" t="str">
        <f t="shared" si="87"/>
        <v/>
      </c>
      <c r="M7687" s="25"/>
      <c r="O7687" s="25"/>
    </row>
    <row r="7688" ht="15.75" customHeight="1">
      <c r="A7688" s="25" t="str">
        <f>IFERROR(__xludf.DUMMYFUNCTION("IF(B7688="""","""",RIGHT(REGEXREPLACE(B7688&amp;"""",""[^0-9]"",""""),9))"),"753610793")</f>
        <v>753610793</v>
      </c>
      <c r="B7688" s="52">
        <v>7.53610793E8</v>
      </c>
      <c r="C7688" s="28" t="s">
        <v>7152</v>
      </c>
      <c r="D7688" s="26" t="s">
        <v>56</v>
      </c>
      <c r="E7688" s="31">
        <v>46245.0</v>
      </c>
      <c r="F7688" s="26" t="s">
        <v>41</v>
      </c>
      <c r="G7688" s="26">
        <v>9.0</v>
      </c>
      <c r="I7688" s="26" t="s">
        <v>951</v>
      </c>
      <c r="J7688" s="25" t="str">
        <f t="shared" si="85"/>
        <v>Yes - see Previous F-Code</v>
      </c>
      <c r="K7688" s="25" t="str">
        <f t="shared" si="86"/>
        <v>DUPLICATE - CHECK</v>
      </c>
      <c r="L7688" s="25" t="str">
        <f t="shared" si="87"/>
        <v>F76107</v>
      </c>
      <c r="M7688" s="25"/>
      <c r="O7688" s="25"/>
    </row>
    <row r="7689" ht="15.75" customHeight="1">
      <c r="A7689" s="25" t="str">
        <f>IFERROR(__xludf.DUMMYFUNCTION("IF(B7689="""","""",RIGHT(REGEXREPLACE(B7689&amp;"""",""[^0-9]"",""""),9))"),"766887228")</f>
        <v>766887228</v>
      </c>
      <c r="B7689" s="26" t="s">
        <v>7950</v>
      </c>
      <c r="C7689" s="28" t="s">
        <v>7951</v>
      </c>
      <c r="D7689" s="26" t="s">
        <v>45</v>
      </c>
      <c r="E7689" s="31">
        <v>46245.0</v>
      </c>
      <c r="F7689" s="26" t="s">
        <v>46</v>
      </c>
      <c r="G7689" s="26">
        <v>11.0</v>
      </c>
      <c r="I7689" s="26" t="s">
        <v>951</v>
      </c>
      <c r="J7689" s="25" t="str">
        <f t="shared" si="85"/>
        <v>No</v>
      </c>
      <c r="K7689" s="25" t="str">
        <f t="shared" si="86"/>
        <v/>
      </c>
      <c r="L7689" s="25" t="str">
        <f t="shared" si="87"/>
        <v/>
      </c>
      <c r="M7689" s="25"/>
      <c r="O7689" s="25"/>
    </row>
    <row r="7690" ht="15.75" customHeight="1">
      <c r="A7690" s="25" t="str">
        <f>IFERROR(__xludf.DUMMYFUNCTION("IF(B7690="""","""",RIGHT(REGEXREPLACE(B7690&amp;"""",""[^0-9]"",""""),9))"),"742114195")</f>
        <v>742114195</v>
      </c>
      <c r="B7690" s="26" t="s">
        <v>7952</v>
      </c>
      <c r="C7690" s="28" t="s">
        <v>7953</v>
      </c>
      <c r="D7690" s="26" t="s">
        <v>45</v>
      </c>
      <c r="E7690" s="31">
        <v>46245.0</v>
      </c>
      <c r="F7690" s="26" t="s">
        <v>41</v>
      </c>
      <c r="G7690" s="26">
        <v>9.0</v>
      </c>
      <c r="I7690" s="26" t="s">
        <v>951</v>
      </c>
      <c r="J7690" s="25" t="str">
        <f t="shared" si="85"/>
        <v>No</v>
      </c>
      <c r="K7690" s="25" t="str">
        <f t="shared" si="86"/>
        <v/>
      </c>
      <c r="L7690" s="25" t="str">
        <f t="shared" si="87"/>
        <v/>
      </c>
      <c r="M7690" s="25"/>
      <c r="O7690" s="26" t="s">
        <v>51</v>
      </c>
    </row>
    <row r="7691" ht="15.75" customHeight="1">
      <c r="A7691" s="25" t="str">
        <f>IFERROR(__xludf.DUMMYFUNCTION("IF(B7691="""","""",RIGHT(REGEXREPLACE(B7691&amp;"""",""[^0-9]"",""""),9))"),"702933405")</f>
        <v>702933405</v>
      </c>
      <c r="B7691" s="52">
        <v>7.02933405E8</v>
      </c>
      <c r="C7691" s="28" t="s">
        <v>7927</v>
      </c>
      <c r="D7691" s="26" t="s">
        <v>56</v>
      </c>
      <c r="E7691" s="31">
        <v>46245.0</v>
      </c>
      <c r="F7691" s="26" t="s">
        <v>41</v>
      </c>
      <c r="G7691" s="26">
        <v>9.0</v>
      </c>
      <c r="I7691" s="26" t="s">
        <v>951</v>
      </c>
      <c r="J7691" s="25" t="str">
        <f t="shared" si="85"/>
        <v>Yes - see Previous F-Code</v>
      </c>
      <c r="K7691" s="25" t="str">
        <f t="shared" si="86"/>
        <v>DUPLICATE - CHECK</v>
      </c>
      <c r="L7691" s="25" t="str">
        <f t="shared" si="87"/>
        <v>F76812</v>
      </c>
      <c r="M7691" s="25"/>
      <c r="O7691" s="25"/>
    </row>
    <row r="7692" ht="15.75" customHeight="1">
      <c r="A7692" s="25" t="str">
        <f>IFERROR(__xludf.DUMMYFUNCTION("IF(B7692="""","""",RIGHT(REGEXREPLACE(B7692&amp;"""",""[^0-9]"",""""),9))"),"740961098")</f>
        <v>740961098</v>
      </c>
      <c r="B7692" s="26" t="s">
        <v>7954</v>
      </c>
      <c r="C7692" s="28" t="s">
        <v>7955</v>
      </c>
      <c r="D7692" s="26" t="s">
        <v>45</v>
      </c>
      <c r="E7692" s="31">
        <v>46245.0</v>
      </c>
      <c r="F7692" s="26" t="s">
        <v>46</v>
      </c>
      <c r="G7692" s="26">
        <v>10.0</v>
      </c>
      <c r="I7692" s="26" t="s">
        <v>951</v>
      </c>
      <c r="J7692" s="25" t="str">
        <f t="shared" si="85"/>
        <v>No</v>
      </c>
      <c r="K7692" s="25" t="str">
        <f t="shared" si="86"/>
        <v/>
      </c>
      <c r="L7692" s="25" t="str">
        <f t="shared" si="87"/>
        <v/>
      </c>
      <c r="M7692" s="25"/>
      <c r="O7692" s="25"/>
    </row>
    <row r="7693" ht="15.75" customHeight="1">
      <c r="A7693" s="25" t="str">
        <f>IFERROR(__xludf.DUMMYFUNCTION("IF(B7693="""","""",RIGHT(REGEXREPLACE(B7693&amp;"""",""[^0-9]"",""""),9))"),"772097375")</f>
        <v>772097375</v>
      </c>
      <c r="B7693" s="52">
        <v>7.72097375E8</v>
      </c>
      <c r="C7693" s="28" t="s">
        <v>7956</v>
      </c>
      <c r="D7693" s="26" t="s">
        <v>56</v>
      </c>
      <c r="E7693" s="31">
        <v>46245.0</v>
      </c>
      <c r="F7693" s="26" t="s">
        <v>46</v>
      </c>
      <c r="G7693" s="26">
        <v>9.0</v>
      </c>
      <c r="I7693" s="26" t="s">
        <v>951</v>
      </c>
      <c r="J7693" s="25" t="str">
        <f t="shared" si="85"/>
        <v>No</v>
      </c>
      <c r="K7693" s="25" t="str">
        <f t="shared" si="86"/>
        <v/>
      </c>
      <c r="L7693" s="25" t="str">
        <f t="shared" si="87"/>
        <v/>
      </c>
      <c r="M7693" s="25"/>
      <c r="O7693" s="25"/>
    </row>
    <row r="7694" ht="15.75" customHeight="1">
      <c r="A7694" s="25" t="str">
        <f>IFERROR(__xludf.DUMMYFUNCTION("IF(B7694="""","""",RIGHT(REGEXREPLACE(B7694&amp;"""",""[^0-9]"",""""),9))"),"778243725")</f>
        <v>778243725</v>
      </c>
      <c r="B7694" s="52">
        <v>7.78243725E8</v>
      </c>
      <c r="C7694" s="28" t="s">
        <v>7957</v>
      </c>
      <c r="D7694" s="26" t="s">
        <v>49</v>
      </c>
      <c r="E7694" s="31">
        <v>46245.0</v>
      </c>
      <c r="F7694" s="26" t="s">
        <v>41</v>
      </c>
      <c r="I7694" s="26" t="s">
        <v>951</v>
      </c>
      <c r="J7694" s="25" t="str">
        <f t="shared" si="85"/>
        <v>No</v>
      </c>
      <c r="K7694" s="25" t="str">
        <f t="shared" si="86"/>
        <v/>
      </c>
      <c r="L7694" s="25" t="str">
        <f t="shared" si="87"/>
        <v/>
      </c>
      <c r="M7694" s="25"/>
      <c r="O7694" s="25"/>
    </row>
    <row r="7695" ht="15.75" customHeight="1">
      <c r="A7695" s="25" t="str">
        <f>IFERROR(__xludf.DUMMYFUNCTION("IF(B7695="""","""",RIGHT(REGEXREPLACE(B7695&amp;"""",""[^0-9]"",""""),9))"),"753144494")</f>
        <v>753144494</v>
      </c>
      <c r="B7695" s="52">
        <v>7.53144494E8</v>
      </c>
      <c r="C7695" s="28" t="s">
        <v>3180</v>
      </c>
      <c r="D7695" s="26" t="s">
        <v>49</v>
      </c>
      <c r="E7695" s="31">
        <v>46245.0</v>
      </c>
      <c r="F7695" s="26" t="s">
        <v>46</v>
      </c>
      <c r="G7695" s="26">
        <v>11.0</v>
      </c>
      <c r="H7695" s="117" t="s">
        <v>7958</v>
      </c>
      <c r="I7695" s="26" t="s">
        <v>951</v>
      </c>
      <c r="J7695" s="25" t="str">
        <f t="shared" si="85"/>
        <v>Yes - see Previous F-Code</v>
      </c>
      <c r="K7695" s="25" t="str">
        <f t="shared" si="86"/>
        <v/>
      </c>
      <c r="L7695" s="25" t="str">
        <f t="shared" si="87"/>
        <v>F72819</v>
      </c>
      <c r="M7695" s="25"/>
      <c r="O7695" s="25"/>
    </row>
    <row r="7696" ht="15.75" customHeight="1">
      <c r="A7696" s="25" t="str">
        <f>IFERROR(__xludf.DUMMYFUNCTION("IF(B7696="""","""",RIGHT(REGEXREPLACE(B7696&amp;"""",""[^0-9]"",""""),9))"),"767099342")</f>
        <v>767099342</v>
      </c>
      <c r="B7696" s="26" t="s">
        <v>7959</v>
      </c>
      <c r="C7696" s="28" t="s">
        <v>7960</v>
      </c>
      <c r="D7696" s="26" t="s">
        <v>45</v>
      </c>
      <c r="E7696" s="31">
        <v>46245.0</v>
      </c>
      <c r="F7696" s="26" t="s">
        <v>41</v>
      </c>
      <c r="G7696" s="26">
        <v>11.0</v>
      </c>
      <c r="I7696" s="26" t="s">
        <v>951</v>
      </c>
      <c r="J7696" s="25" t="str">
        <f t="shared" si="85"/>
        <v>No</v>
      </c>
      <c r="K7696" s="25" t="str">
        <f t="shared" si="86"/>
        <v/>
      </c>
      <c r="L7696" s="25" t="str">
        <f t="shared" si="87"/>
        <v/>
      </c>
      <c r="M7696" s="25"/>
      <c r="O7696" s="25"/>
    </row>
    <row r="7697" ht="15.75" customHeight="1">
      <c r="A7697" s="25" t="str">
        <f>IFERROR(__xludf.DUMMYFUNCTION("IF(B7697="""","""",RIGHT(REGEXREPLACE(B7697&amp;"""",""[^0-9]"",""""),9))"),"717158494")</f>
        <v>717158494</v>
      </c>
      <c r="B7697" s="52">
        <v>7.17158494E8</v>
      </c>
      <c r="C7697" s="28" t="s">
        <v>7961</v>
      </c>
      <c r="D7697" s="26" t="s">
        <v>56</v>
      </c>
      <c r="E7697" s="31">
        <v>46245.0</v>
      </c>
      <c r="F7697" s="25"/>
      <c r="G7697" s="26">
        <v>9.0</v>
      </c>
      <c r="H7697" s="25"/>
      <c r="I7697" s="26" t="s">
        <v>951</v>
      </c>
      <c r="J7697" s="25" t="str">
        <f t="shared" si="85"/>
        <v>No</v>
      </c>
      <c r="K7697" s="25" t="str">
        <f t="shared" si="86"/>
        <v/>
      </c>
      <c r="L7697" s="25" t="str">
        <f t="shared" si="87"/>
        <v/>
      </c>
      <c r="M7697" s="25"/>
      <c r="N7697" s="25"/>
      <c r="O7697" s="25"/>
      <c r="P7697" s="25"/>
    </row>
    <row r="7698" ht="15.75" customHeight="1">
      <c r="A7698" s="25" t="str">
        <f>IFERROR(__xludf.DUMMYFUNCTION("IF(B7698="""","""",RIGHT(REGEXREPLACE(B7698&amp;"""",""[^0-9]"",""""),9))"),"771450741")</f>
        <v>771450741</v>
      </c>
      <c r="B7698" s="26" t="s">
        <v>7962</v>
      </c>
      <c r="C7698" s="28" t="s">
        <v>7963</v>
      </c>
      <c r="D7698" s="26" t="s">
        <v>45</v>
      </c>
      <c r="E7698" s="31">
        <v>46245.0</v>
      </c>
      <c r="F7698" s="26" t="s">
        <v>41</v>
      </c>
      <c r="G7698" s="26">
        <v>10.0</v>
      </c>
      <c r="I7698" s="26" t="s">
        <v>951</v>
      </c>
      <c r="J7698" s="25" t="str">
        <f t="shared" si="85"/>
        <v>No</v>
      </c>
      <c r="K7698" s="25" t="str">
        <f t="shared" si="86"/>
        <v/>
      </c>
      <c r="L7698" s="25" t="str">
        <f t="shared" si="87"/>
        <v/>
      </c>
      <c r="M7698" s="25"/>
      <c r="O7698" s="25"/>
    </row>
    <row r="7699" ht="15.75" customHeight="1">
      <c r="C7699" s="46"/>
      <c r="D7699" s="25"/>
      <c r="F7699" s="25"/>
      <c r="I7699" s="26" t="s">
        <v>951</v>
      </c>
      <c r="M7699" s="25"/>
      <c r="O7699" s="25"/>
    </row>
    <row r="7700" ht="15.75" customHeight="1">
      <c r="A7700" s="25" t="str">
        <f>IFERROR(__xludf.DUMMYFUNCTION("IF(B7700="""","""",RIGHT(REGEXREPLACE(B7700&amp;"""",""[^0-9]"",""""),9))"),"719822791")</f>
        <v>719822791</v>
      </c>
      <c r="B7700" s="52">
        <v>7.19822791E8</v>
      </c>
      <c r="C7700" s="28" t="s">
        <v>7964</v>
      </c>
      <c r="D7700" s="26" t="s">
        <v>49</v>
      </c>
      <c r="E7700" s="31">
        <v>46245.0</v>
      </c>
      <c r="F7700" s="26" t="s">
        <v>46</v>
      </c>
      <c r="G7700" s="26">
        <v>9.0</v>
      </c>
      <c r="H7700" s="26" t="s">
        <v>7965</v>
      </c>
      <c r="I7700" s="26" t="s">
        <v>951</v>
      </c>
      <c r="J7700" s="25" t="str">
        <f t="shared" ref="J7700:J7817" si="88">IF(COUNTIF($A$2:A7699,A7700)&gt;0,"Yes - see Previous F-Code","No")</f>
        <v>No</v>
      </c>
      <c r="K7700" s="25" t="str">
        <f t="shared" ref="K7700:K7817" si="89">IF(COUNTIFS($A$2:A7700,A7700,$I$2:I7700,I7700)&gt;1,"DUPLICATE - CHECK","")</f>
        <v/>
      </c>
      <c r="L7700" s="25" t="str">
        <f t="shared" ref="L7700:L7817" si="90">IF(COUNTIF($A$2:A7699,A7700)&gt;0,INDEX($C$2:C7699,MATCH(A7700,$A$2:A7699,0)),"")</f>
        <v/>
      </c>
      <c r="M7700" s="25"/>
      <c r="O7700" s="25"/>
    </row>
    <row r="7701" ht="15.75" customHeight="1">
      <c r="A7701" s="25" t="str">
        <f>IFERROR(__xludf.DUMMYFUNCTION("IF(B7701="""","""",RIGHT(REGEXREPLACE(B7701&amp;"""",""[^0-9]"",""""),9))"),"773072101")</f>
        <v>773072101</v>
      </c>
      <c r="B7701" s="52">
        <v>7.73072101E8</v>
      </c>
      <c r="C7701" s="28" t="s">
        <v>7249</v>
      </c>
      <c r="D7701" s="26" t="s">
        <v>56</v>
      </c>
      <c r="E7701" s="31">
        <v>46245.0</v>
      </c>
      <c r="F7701" s="26" t="s">
        <v>205</v>
      </c>
      <c r="G7701" s="26">
        <v>11.0</v>
      </c>
      <c r="I7701" s="26" t="s">
        <v>951</v>
      </c>
      <c r="J7701" s="25" t="str">
        <f t="shared" si="88"/>
        <v>Yes - see Previous F-Code</v>
      </c>
      <c r="K7701" s="25" t="str">
        <f t="shared" si="89"/>
        <v>DUPLICATE - CHECK</v>
      </c>
      <c r="L7701" s="25" t="str">
        <f t="shared" si="90"/>
        <v>F76194</v>
      </c>
      <c r="M7701" s="25"/>
      <c r="O7701" s="25"/>
    </row>
    <row r="7702" ht="15.75" customHeight="1">
      <c r="A7702" s="25" t="str">
        <f>IFERROR(__xludf.DUMMYFUNCTION("IF(B7702="""","""",RIGHT(REGEXREPLACE(B7702&amp;"""",""[^0-9]"",""""),9))"),"778923265")</f>
        <v>778923265</v>
      </c>
      <c r="B7702" s="26" t="s">
        <v>7966</v>
      </c>
      <c r="C7702" s="28" t="s">
        <v>7967</v>
      </c>
      <c r="D7702" s="26" t="s">
        <v>45</v>
      </c>
      <c r="E7702" s="31">
        <v>46245.0</v>
      </c>
      <c r="F7702" s="26" t="s">
        <v>41</v>
      </c>
      <c r="G7702" s="26">
        <v>10.0</v>
      </c>
      <c r="I7702" s="26" t="s">
        <v>951</v>
      </c>
      <c r="J7702" s="25" t="str">
        <f t="shared" si="88"/>
        <v>No</v>
      </c>
      <c r="K7702" s="25" t="str">
        <f t="shared" si="89"/>
        <v/>
      </c>
      <c r="L7702" s="25" t="str">
        <f t="shared" si="90"/>
        <v/>
      </c>
      <c r="M7702" s="25"/>
      <c r="O7702" s="25"/>
    </row>
    <row r="7703" ht="15.75" customHeight="1">
      <c r="A7703" s="25" t="str">
        <f>IFERROR(__xludf.DUMMYFUNCTION("IF(B7703="""","""",RIGHT(REGEXREPLACE(B7703&amp;"""",""[^0-9]"",""""),9))"),"704805796")</f>
        <v>704805796</v>
      </c>
      <c r="B7703" s="52">
        <v>7.04805796E8</v>
      </c>
      <c r="C7703" s="28" t="s">
        <v>7968</v>
      </c>
      <c r="D7703" s="26" t="s">
        <v>49</v>
      </c>
      <c r="E7703" s="31">
        <v>46245.0</v>
      </c>
      <c r="F7703" s="26" t="s">
        <v>46</v>
      </c>
      <c r="G7703" s="26">
        <v>11.0</v>
      </c>
      <c r="H7703" s="26" t="s">
        <v>5896</v>
      </c>
      <c r="I7703" s="26" t="s">
        <v>951</v>
      </c>
      <c r="J7703" s="25" t="str">
        <f t="shared" si="88"/>
        <v>No</v>
      </c>
      <c r="K7703" s="25" t="str">
        <f t="shared" si="89"/>
        <v/>
      </c>
      <c r="L7703" s="25" t="str">
        <f t="shared" si="90"/>
        <v/>
      </c>
      <c r="M7703" s="25"/>
      <c r="O7703" s="25"/>
    </row>
    <row r="7704" ht="15.75" customHeight="1">
      <c r="A7704" s="25" t="str">
        <f>IFERROR(__xludf.DUMMYFUNCTION("IF(B7704="""","""",RIGHT(REGEXREPLACE(B7704&amp;"""",""[^0-9]"",""""),9))"),"764542437")</f>
        <v>764542437</v>
      </c>
      <c r="B7704" s="26" t="s">
        <v>7969</v>
      </c>
      <c r="C7704" s="28" t="s">
        <v>7970</v>
      </c>
      <c r="D7704" s="26" t="s">
        <v>45</v>
      </c>
      <c r="E7704" s="31">
        <v>46245.0</v>
      </c>
      <c r="F7704" s="26" t="s">
        <v>164</v>
      </c>
      <c r="G7704" s="26">
        <v>10.0</v>
      </c>
      <c r="I7704" s="26" t="s">
        <v>951</v>
      </c>
      <c r="J7704" s="25" t="str">
        <f t="shared" si="88"/>
        <v>No</v>
      </c>
      <c r="K7704" s="25" t="str">
        <f t="shared" si="89"/>
        <v/>
      </c>
      <c r="L7704" s="25" t="str">
        <f t="shared" si="90"/>
        <v/>
      </c>
      <c r="M7704" s="25"/>
      <c r="O7704" s="25"/>
    </row>
    <row r="7705" ht="15.75" customHeight="1">
      <c r="A7705" s="25" t="str">
        <f>IFERROR(__xludf.DUMMYFUNCTION("IF(B7705="""","""",RIGHT(REGEXREPLACE(B7705&amp;"""",""[^0-9]"",""""),9))"),"778839301")</f>
        <v>778839301</v>
      </c>
      <c r="B7705" s="26" t="s">
        <v>7971</v>
      </c>
      <c r="C7705" s="28" t="s">
        <v>7972</v>
      </c>
      <c r="D7705" s="26" t="s">
        <v>45</v>
      </c>
      <c r="E7705" s="31">
        <v>46245.0</v>
      </c>
      <c r="F7705" s="26" t="s">
        <v>205</v>
      </c>
      <c r="I7705" s="26" t="s">
        <v>951</v>
      </c>
      <c r="J7705" s="25" t="str">
        <f t="shared" si="88"/>
        <v>No</v>
      </c>
      <c r="K7705" s="25" t="str">
        <f t="shared" si="89"/>
        <v/>
      </c>
      <c r="L7705" s="25" t="str">
        <f t="shared" si="90"/>
        <v/>
      </c>
      <c r="M7705" s="25"/>
      <c r="O7705" s="25"/>
    </row>
    <row r="7706" ht="15.75" customHeight="1">
      <c r="A7706" s="25" t="str">
        <f>IFERROR(__xludf.DUMMYFUNCTION("IF(B7706="""","""",RIGHT(REGEXREPLACE(B7706&amp;"""",""[^0-9]"",""""),9))"),"772554203")</f>
        <v>772554203</v>
      </c>
      <c r="B7706" s="52">
        <v>7.72554203E8</v>
      </c>
      <c r="C7706" s="28" t="s">
        <v>7973</v>
      </c>
      <c r="D7706" s="26" t="s">
        <v>56</v>
      </c>
      <c r="E7706" s="31">
        <v>46245.0</v>
      </c>
      <c r="F7706" s="25"/>
      <c r="G7706" s="26">
        <v>5.0</v>
      </c>
      <c r="H7706" s="25"/>
      <c r="I7706" s="26" t="s">
        <v>951</v>
      </c>
      <c r="J7706" s="25" t="str">
        <f t="shared" si="88"/>
        <v>No</v>
      </c>
      <c r="K7706" s="25" t="str">
        <f t="shared" si="89"/>
        <v/>
      </c>
      <c r="L7706" s="25" t="str">
        <f t="shared" si="90"/>
        <v/>
      </c>
      <c r="M7706" s="25"/>
      <c r="N7706" s="25"/>
      <c r="O7706" s="25"/>
      <c r="P7706" s="25"/>
    </row>
    <row r="7707" ht="15.75" customHeight="1">
      <c r="A7707" s="25" t="str">
        <f>IFERROR(__xludf.DUMMYFUNCTION("IF(B7707="""","""",RIGHT(REGEXREPLACE(B7707&amp;"""",""[^0-9]"",""""),9))"),"705666565")</f>
        <v>705666565</v>
      </c>
      <c r="B7707" s="26" t="s">
        <v>7974</v>
      </c>
      <c r="C7707" s="28" t="s">
        <v>7975</v>
      </c>
      <c r="D7707" s="26" t="s">
        <v>45</v>
      </c>
      <c r="E7707" s="31">
        <v>46245.0</v>
      </c>
      <c r="F7707" s="26" t="s">
        <v>46</v>
      </c>
      <c r="G7707" s="26">
        <v>11.0</v>
      </c>
      <c r="I7707" s="26" t="s">
        <v>951</v>
      </c>
      <c r="J7707" s="25" t="str">
        <f t="shared" si="88"/>
        <v>No</v>
      </c>
      <c r="K7707" s="25" t="str">
        <f t="shared" si="89"/>
        <v/>
      </c>
      <c r="L7707" s="25" t="str">
        <f t="shared" si="90"/>
        <v/>
      </c>
      <c r="M7707" s="25"/>
      <c r="O7707" s="25"/>
    </row>
    <row r="7708" ht="15.75" customHeight="1">
      <c r="A7708" s="25" t="str">
        <f>IFERROR(__xludf.DUMMYFUNCTION("IF(B7708="""","""",RIGHT(REGEXREPLACE(B7708&amp;"""",""[^0-9]"",""""),9))"),"776935409")</f>
        <v>776935409</v>
      </c>
      <c r="B7708" s="52">
        <v>7.76935409E8</v>
      </c>
      <c r="C7708" s="28" t="s">
        <v>7772</v>
      </c>
      <c r="D7708" s="26" t="s">
        <v>49</v>
      </c>
      <c r="E7708" s="31">
        <v>46245.0</v>
      </c>
      <c r="F7708" s="26" t="s">
        <v>46</v>
      </c>
      <c r="G7708" s="26">
        <v>9.0</v>
      </c>
      <c r="H7708" s="72" t="s">
        <v>7976</v>
      </c>
      <c r="I7708" s="26" t="s">
        <v>951</v>
      </c>
      <c r="J7708" s="25" t="str">
        <f t="shared" si="88"/>
        <v>Yes - see Previous F-Code</v>
      </c>
      <c r="K7708" s="25" t="str">
        <f t="shared" si="89"/>
        <v>DUPLICATE - CHECK</v>
      </c>
      <c r="L7708" s="25" t="str">
        <f t="shared" si="90"/>
        <v>F76655</v>
      </c>
      <c r="M7708" s="25"/>
      <c r="O7708" s="26" t="s">
        <v>51</v>
      </c>
    </row>
    <row r="7709" ht="15.75" customHeight="1">
      <c r="A7709" s="25" t="str">
        <f>IFERROR(__xludf.DUMMYFUNCTION("IF(B7709="""","""",RIGHT(REGEXREPLACE(B7709&amp;"""",""[^0-9]"",""""),9))"),"774039935")</f>
        <v>774039935</v>
      </c>
      <c r="B7709" s="52">
        <v>7.74039935E8</v>
      </c>
      <c r="C7709" s="28" t="s">
        <v>7977</v>
      </c>
      <c r="D7709" s="26" t="s">
        <v>56</v>
      </c>
      <c r="E7709" s="31">
        <v>46245.0</v>
      </c>
      <c r="F7709" s="26" t="s">
        <v>46</v>
      </c>
      <c r="G7709" s="26">
        <v>9.0</v>
      </c>
      <c r="I7709" s="26" t="s">
        <v>951</v>
      </c>
      <c r="J7709" s="25" t="str">
        <f t="shared" si="88"/>
        <v>No</v>
      </c>
      <c r="K7709" s="25" t="str">
        <f t="shared" si="89"/>
        <v/>
      </c>
      <c r="L7709" s="25" t="str">
        <f t="shared" si="90"/>
        <v/>
      </c>
      <c r="M7709" s="25"/>
      <c r="O7709" s="25"/>
    </row>
    <row r="7710" ht="15.75" customHeight="1">
      <c r="A7710" s="25" t="str">
        <f>IFERROR(__xludf.DUMMYFUNCTION("IF(B7710="""","""",RIGHT(REGEXREPLACE(B7710&amp;"""",""[^0-9]"",""""),9))"),"786704789")</f>
        <v>786704789</v>
      </c>
      <c r="B7710" s="26" t="s">
        <v>7978</v>
      </c>
      <c r="C7710" s="28" t="s">
        <v>7979</v>
      </c>
      <c r="D7710" s="26" t="s">
        <v>45</v>
      </c>
      <c r="E7710" s="31">
        <v>46245.0</v>
      </c>
      <c r="F7710" s="26" t="s">
        <v>41</v>
      </c>
      <c r="G7710" s="26">
        <v>6.0</v>
      </c>
      <c r="I7710" s="26" t="s">
        <v>951</v>
      </c>
      <c r="J7710" s="25" t="str">
        <f t="shared" si="88"/>
        <v>No</v>
      </c>
      <c r="K7710" s="25" t="str">
        <f t="shared" si="89"/>
        <v/>
      </c>
      <c r="L7710" s="25" t="str">
        <f t="shared" si="90"/>
        <v/>
      </c>
      <c r="M7710" s="25"/>
      <c r="O7710" s="25"/>
    </row>
    <row r="7711" ht="15.75" customHeight="1">
      <c r="A7711" s="25" t="str">
        <f>IFERROR(__xludf.DUMMYFUNCTION("IF(B7711="""","""",RIGHT(REGEXREPLACE(B7711&amp;"""",""[^0-9]"",""""),9))"),"787808644")</f>
        <v>787808644</v>
      </c>
      <c r="B7711" s="52">
        <v>7.87808644E8</v>
      </c>
      <c r="C7711" s="28" t="s">
        <v>6917</v>
      </c>
      <c r="D7711" s="26" t="s">
        <v>49</v>
      </c>
      <c r="E7711" s="31">
        <v>46245.0</v>
      </c>
      <c r="F7711" s="26" t="s">
        <v>41</v>
      </c>
      <c r="G7711" s="26">
        <v>11.0</v>
      </c>
      <c r="I7711" s="26" t="s">
        <v>951</v>
      </c>
      <c r="J7711" s="25" t="str">
        <f t="shared" si="88"/>
        <v>Yes - see Previous F-Code</v>
      </c>
      <c r="K7711" s="25" t="str">
        <f t="shared" si="89"/>
        <v/>
      </c>
      <c r="L7711" s="25" t="str">
        <f t="shared" si="90"/>
        <v>F75913</v>
      </c>
      <c r="M7711" s="25"/>
      <c r="O7711" s="25"/>
    </row>
    <row r="7712" ht="15.75" customHeight="1">
      <c r="A7712" s="25" t="str">
        <f>IFERROR(__xludf.DUMMYFUNCTION("IF(B7712="""","""",RIGHT(REGEXREPLACE(B7712&amp;"""",""[^0-9]"",""""),9))"),"772268781")</f>
        <v>772268781</v>
      </c>
      <c r="B7712" s="26" t="s">
        <v>7980</v>
      </c>
      <c r="C7712" s="28" t="s">
        <v>7981</v>
      </c>
      <c r="D7712" s="26" t="s">
        <v>45</v>
      </c>
      <c r="E7712" s="31">
        <v>46245.0</v>
      </c>
      <c r="F7712" s="26" t="s">
        <v>46</v>
      </c>
      <c r="G7712" s="26">
        <v>8.0</v>
      </c>
      <c r="I7712" s="26" t="s">
        <v>951</v>
      </c>
      <c r="J7712" s="25" t="str">
        <f t="shared" si="88"/>
        <v>No</v>
      </c>
      <c r="K7712" s="25" t="str">
        <f t="shared" si="89"/>
        <v/>
      </c>
      <c r="L7712" s="25" t="str">
        <f t="shared" si="90"/>
        <v/>
      </c>
      <c r="M7712" s="25"/>
      <c r="O7712" s="25"/>
    </row>
    <row r="7713" ht="15.75" customHeight="1">
      <c r="A7713" s="25" t="str">
        <f>IFERROR(__xludf.DUMMYFUNCTION("IF(B7713="""","""",RIGHT(REGEXREPLACE(B7713&amp;"""",""[^0-9]"",""""),9))"),"785640576")</f>
        <v>785640576</v>
      </c>
      <c r="B7713" s="52">
        <v>7.85640576E8</v>
      </c>
      <c r="C7713" s="28" t="s">
        <v>7982</v>
      </c>
      <c r="D7713" s="26" t="s">
        <v>56</v>
      </c>
      <c r="E7713" s="31">
        <v>46245.0</v>
      </c>
      <c r="F7713" s="26" t="s">
        <v>41</v>
      </c>
      <c r="G7713" s="26">
        <v>9.0</v>
      </c>
      <c r="I7713" s="26" t="s">
        <v>951</v>
      </c>
      <c r="J7713" s="25" t="str">
        <f t="shared" si="88"/>
        <v>No</v>
      </c>
      <c r="K7713" s="25" t="str">
        <f t="shared" si="89"/>
        <v/>
      </c>
      <c r="L7713" s="25" t="str">
        <f t="shared" si="90"/>
        <v/>
      </c>
      <c r="M7713" s="25"/>
      <c r="O7713" s="25"/>
    </row>
    <row r="7714" ht="15.75" customHeight="1">
      <c r="A7714" s="25" t="str">
        <f>IFERROR(__xludf.DUMMYFUNCTION("IF(B7714="""","""",RIGHT(REGEXREPLACE(B7714&amp;"""",""[^0-9]"",""""),9))"),"724383274")</f>
        <v>724383274</v>
      </c>
      <c r="B7714" s="52">
        <v>7.24383274E8</v>
      </c>
      <c r="C7714" s="28" t="s">
        <v>7983</v>
      </c>
      <c r="D7714" s="26" t="s">
        <v>56</v>
      </c>
      <c r="E7714" s="31">
        <v>46245.0</v>
      </c>
      <c r="F7714" s="26" t="s">
        <v>46</v>
      </c>
      <c r="G7714" s="26">
        <v>9.0</v>
      </c>
      <c r="H7714" s="26" t="s">
        <v>140</v>
      </c>
      <c r="I7714" s="26" t="s">
        <v>951</v>
      </c>
      <c r="J7714" s="25" t="str">
        <f t="shared" si="88"/>
        <v>No</v>
      </c>
      <c r="K7714" s="25" t="str">
        <f t="shared" si="89"/>
        <v/>
      </c>
      <c r="L7714" s="25" t="str">
        <f t="shared" si="90"/>
        <v/>
      </c>
      <c r="M7714" s="25"/>
      <c r="O7714" s="25"/>
    </row>
    <row r="7715" ht="15.75" customHeight="1">
      <c r="A7715" s="25" t="str">
        <f>IFERROR(__xludf.DUMMYFUNCTION("IF(B7715="""","""",RIGHT(REGEXREPLACE(B7715&amp;"""",""[^0-9]"",""""),9))"),"742746761")</f>
        <v>742746761</v>
      </c>
      <c r="B7715" s="52">
        <v>7.42746761E8</v>
      </c>
      <c r="C7715" s="28" t="s">
        <v>5586</v>
      </c>
      <c r="D7715" s="26" t="s">
        <v>49</v>
      </c>
      <c r="E7715" s="31">
        <v>46245.0</v>
      </c>
      <c r="F7715" s="26" t="s">
        <v>46</v>
      </c>
      <c r="G7715" s="26">
        <v>9.0</v>
      </c>
      <c r="H7715" s="26" t="s">
        <v>7984</v>
      </c>
      <c r="I7715" s="26" t="s">
        <v>951</v>
      </c>
      <c r="J7715" s="25" t="str">
        <f t="shared" si="88"/>
        <v>Yes - see Previous F-Code</v>
      </c>
      <c r="K7715" s="25" t="str">
        <f t="shared" si="89"/>
        <v/>
      </c>
      <c r="L7715" s="25" t="str">
        <f t="shared" si="90"/>
        <v>F75061</v>
      </c>
      <c r="M7715" s="25"/>
      <c r="O7715" s="25"/>
    </row>
    <row r="7716" ht="15.75" customHeight="1">
      <c r="A7716" s="25" t="str">
        <f>IFERROR(__xludf.DUMMYFUNCTION("IF(B7716="""","""",RIGHT(REGEXREPLACE(B7716&amp;"""",""[^0-9]"",""""),9))"),"751398579")</f>
        <v>751398579</v>
      </c>
      <c r="B7716" s="26" t="s">
        <v>7985</v>
      </c>
      <c r="C7716" s="28" t="s">
        <v>7986</v>
      </c>
      <c r="D7716" s="26" t="s">
        <v>45</v>
      </c>
      <c r="E7716" s="31">
        <v>46245.0</v>
      </c>
      <c r="F7716" s="26" t="s">
        <v>84</v>
      </c>
      <c r="H7716" s="26" t="s">
        <v>253</v>
      </c>
      <c r="I7716" s="26" t="s">
        <v>951</v>
      </c>
      <c r="J7716" s="25" t="str">
        <f t="shared" si="88"/>
        <v>No</v>
      </c>
      <c r="K7716" s="25" t="str">
        <f t="shared" si="89"/>
        <v/>
      </c>
      <c r="L7716" s="25" t="str">
        <f t="shared" si="90"/>
        <v/>
      </c>
      <c r="M7716" s="25"/>
      <c r="O7716" s="25"/>
    </row>
    <row r="7717" ht="15.75" customHeight="1">
      <c r="A7717" s="25" t="str">
        <f>IFERROR(__xludf.DUMMYFUNCTION("IF(B7717="""","""",RIGHT(REGEXREPLACE(B7717&amp;"""",""[^0-9]"",""""),9))"),"701965199")</f>
        <v>701965199</v>
      </c>
      <c r="B7717" s="52">
        <v>7.01965199E8</v>
      </c>
      <c r="C7717" s="28" t="s">
        <v>7280</v>
      </c>
      <c r="D7717" s="26" t="s">
        <v>56</v>
      </c>
      <c r="E7717" s="31">
        <v>46245.0</v>
      </c>
      <c r="F7717" s="26" t="s">
        <v>205</v>
      </c>
      <c r="I7717" s="26" t="s">
        <v>951</v>
      </c>
      <c r="J7717" s="25" t="str">
        <f t="shared" si="88"/>
        <v>Yes - see Previous F-Code</v>
      </c>
      <c r="K7717" s="25" t="str">
        <f t="shared" si="89"/>
        <v>DUPLICATE - CHECK</v>
      </c>
      <c r="L7717" s="25" t="str">
        <f t="shared" si="90"/>
        <v>F76224</v>
      </c>
      <c r="M7717" s="25"/>
      <c r="O7717" s="25"/>
    </row>
    <row r="7718" ht="15.75" customHeight="1">
      <c r="A7718" s="25" t="str">
        <f>IFERROR(__xludf.DUMMYFUNCTION("IF(B7718="""","""",RIGHT(REGEXREPLACE(B7718&amp;"""",""[^0-9]"",""""),9))"),"787853065")</f>
        <v>787853065</v>
      </c>
      <c r="B7718" s="26" t="s">
        <v>7987</v>
      </c>
      <c r="C7718" s="28" t="s">
        <v>7504</v>
      </c>
      <c r="D7718" s="26" t="s">
        <v>45</v>
      </c>
      <c r="E7718" s="31">
        <v>46245.0</v>
      </c>
      <c r="F7718" s="26" t="s">
        <v>167</v>
      </c>
      <c r="G7718" s="26">
        <v>9.0</v>
      </c>
      <c r="I7718" s="26" t="s">
        <v>951</v>
      </c>
      <c r="J7718" s="25" t="str">
        <f t="shared" si="88"/>
        <v>Yes - see Previous F-Code</v>
      </c>
      <c r="K7718" s="25" t="str">
        <f t="shared" si="89"/>
        <v>DUPLICATE - CHECK</v>
      </c>
      <c r="L7718" s="25" t="str">
        <f t="shared" si="90"/>
        <v>F76418</v>
      </c>
      <c r="M7718" s="25"/>
      <c r="O7718" s="25"/>
    </row>
    <row r="7719" ht="15.75" customHeight="1">
      <c r="A7719" s="25" t="str">
        <f>IFERROR(__xludf.DUMMYFUNCTION("IF(B7719="""","""",RIGHT(REGEXREPLACE(B7719&amp;"""",""[^0-9]"",""""),9))"),"712810009")</f>
        <v>712810009</v>
      </c>
      <c r="B7719" s="52">
        <v>7.12810009E8</v>
      </c>
      <c r="C7719" s="28" t="s">
        <v>7988</v>
      </c>
      <c r="D7719" s="26" t="s">
        <v>56</v>
      </c>
      <c r="E7719" s="31">
        <v>46245.0</v>
      </c>
      <c r="F7719" s="26" t="s">
        <v>205</v>
      </c>
      <c r="I7719" s="26" t="s">
        <v>951</v>
      </c>
      <c r="J7719" s="25" t="str">
        <f t="shared" si="88"/>
        <v>No</v>
      </c>
      <c r="K7719" s="25" t="str">
        <f t="shared" si="89"/>
        <v/>
      </c>
      <c r="L7719" s="25" t="str">
        <f t="shared" si="90"/>
        <v/>
      </c>
      <c r="M7719" s="25"/>
      <c r="O7719" s="25"/>
    </row>
    <row r="7720" ht="15.75" customHeight="1">
      <c r="A7720" s="25" t="str">
        <f>IFERROR(__xludf.DUMMYFUNCTION("IF(B7720="""","""",RIGHT(REGEXREPLACE(B7720&amp;"""",""[^0-9]"",""""),9))"),"761941794")</f>
        <v>761941794</v>
      </c>
      <c r="B7720" s="26" t="s">
        <v>7989</v>
      </c>
      <c r="C7720" s="28" t="s">
        <v>7990</v>
      </c>
      <c r="D7720" s="26" t="s">
        <v>45</v>
      </c>
      <c r="E7720" s="31">
        <v>46245.0</v>
      </c>
      <c r="F7720" s="26" t="s">
        <v>41</v>
      </c>
      <c r="I7720" s="26" t="s">
        <v>951</v>
      </c>
      <c r="J7720" s="25" t="str">
        <f t="shared" si="88"/>
        <v>No</v>
      </c>
      <c r="K7720" s="25" t="str">
        <f t="shared" si="89"/>
        <v/>
      </c>
      <c r="L7720" s="25" t="str">
        <f t="shared" si="90"/>
        <v/>
      </c>
      <c r="M7720" s="25"/>
      <c r="O7720" s="25"/>
    </row>
    <row r="7721" ht="15.75" customHeight="1">
      <c r="A7721" s="25" t="str">
        <f>IFERROR(__xludf.DUMMYFUNCTION("IF(B7721="""","""",RIGHT(REGEXREPLACE(B7721&amp;"""",""[^0-9]"",""""),9))"),"718771017")</f>
        <v>718771017</v>
      </c>
      <c r="B7721" s="52">
        <v>7.18771017E8</v>
      </c>
      <c r="C7721" s="28" t="s">
        <v>7991</v>
      </c>
      <c r="D7721" s="26" t="s">
        <v>49</v>
      </c>
      <c r="E7721" s="31">
        <v>46245.0</v>
      </c>
      <c r="F7721" s="26" t="s">
        <v>46</v>
      </c>
      <c r="G7721" s="26">
        <v>9.0</v>
      </c>
      <c r="H7721" s="26" t="s">
        <v>2615</v>
      </c>
      <c r="I7721" s="26" t="s">
        <v>951</v>
      </c>
      <c r="J7721" s="25" t="str">
        <f t="shared" si="88"/>
        <v>No</v>
      </c>
      <c r="K7721" s="25" t="str">
        <f t="shared" si="89"/>
        <v/>
      </c>
      <c r="L7721" s="25" t="str">
        <f t="shared" si="90"/>
        <v/>
      </c>
      <c r="M7721" s="25"/>
      <c r="O7721" s="25"/>
    </row>
    <row r="7722" ht="15.75" customHeight="1">
      <c r="A7722" s="25" t="str">
        <f>IFERROR(__xludf.DUMMYFUNCTION("IF(B7722="""","""",RIGHT(REGEXREPLACE(B7722&amp;"""",""[^0-9]"",""""),9))"),"770336657")</f>
        <v>770336657</v>
      </c>
      <c r="B7722" s="52">
        <v>7.70336657E8</v>
      </c>
      <c r="C7722" s="28" t="s">
        <v>4148</v>
      </c>
      <c r="D7722" s="26" t="s">
        <v>56</v>
      </c>
      <c r="E7722" s="31">
        <v>46245.0</v>
      </c>
      <c r="F7722" s="26" t="s">
        <v>41</v>
      </c>
      <c r="G7722" s="26">
        <v>9.0</v>
      </c>
      <c r="I7722" s="26" t="s">
        <v>951</v>
      </c>
      <c r="J7722" s="25" t="str">
        <f t="shared" si="88"/>
        <v>Yes - see Previous F-Code</v>
      </c>
      <c r="K7722" s="25" t="str">
        <f t="shared" si="89"/>
        <v/>
      </c>
      <c r="L7722" s="25" t="str">
        <f t="shared" si="90"/>
        <v>F73783</v>
      </c>
      <c r="M7722" s="25"/>
      <c r="O7722" s="25"/>
    </row>
    <row r="7723" ht="15.75" customHeight="1">
      <c r="A7723" s="25" t="str">
        <f>IFERROR(__xludf.DUMMYFUNCTION("IF(B7723="""","""",RIGHT(REGEXREPLACE(B7723&amp;"""",""[^0-9]"",""""),9))"),"782071274")</f>
        <v>782071274</v>
      </c>
      <c r="B7723" s="52">
        <v>7.82071274E8</v>
      </c>
      <c r="C7723" s="28" t="s">
        <v>7992</v>
      </c>
      <c r="D7723" s="26" t="s">
        <v>49</v>
      </c>
      <c r="E7723" s="31">
        <v>46245.0</v>
      </c>
      <c r="F7723" s="26" t="s">
        <v>46</v>
      </c>
      <c r="G7723" s="26">
        <v>11.0</v>
      </c>
      <c r="H7723" s="26" t="s">
        <v>4539</v>
      </c>
      <c r="I7723" s="26" t="s">
        <v>951</v>
      </c>
      <c r="J7723" s="25" t="str">
        <f t="shared" si="88"/>
        <v>No</v>
      </c>
      <c r="K7723" s="25" t="str">
        <f t="shared" si="89"/>
        <v/>
      </c>
      <c r="L7723" s="25" t="str">
        <f t="shared" si="90"/>
        <v/>
      </c>
      <c r="M7723" s="25"/>
      <c r="O7723" s="25"/>
    </row>
    <row r="7724" ht="15.75" customHeight="1">
      <c r="A7724" s="25" t="str">
        <f>IFERROR(__xludf.DUMMYFUNCTION("IF(B7724="""","""",RIGHT(REGEXREPLACE(B7724&amp;"""",""[^0-9]"",""""),9))"),"")</f>
        <v/>
      </c>
      <c r="B7724" s="52"/>
      <c r="C7724" s="28" t="s">
        <v>7993</v>
      </c>
      <c r="D7724" s="25"/>
      <c r="E7724" s="31">
        <v>46245.0</v>
      </c>
      <c r="F7724" s="25"/>
      <c r="G7724" s="25"/>
      <c r="H7724" s="25"/>
      <c r="I7724" s="26" t="s">
        <v>951</v>
      </c>
      <c r="J7724" s="25" t="str">
        <f t="shared" si="88"/>
        <v>Yes - see Previous F-Code</v>
      </c>
      <c r="K7724" s="25" t="str">
        <f t="shared" si="89"/>
        <v>DUPLICATE - CHECK</v>
      </c>
      <c r="L7724" s="25" t="str">
        <f t="shared" si="90"/>
        <v/>
      </c>
      <c r="M7724" s="25"/>
      <c r="N7724" s="25"/>
      <c r="O7724" s="25"/>
      <c r="P7724" s="25"/>
    </row>
    <row r="7725" ht="15.75" customHeight="1">
      <c r="A7725" s="25" t="str">
        <f>IFERROR(__xludf.DUMMYFUNCTION("IF(B7725="""","""",RIGHT(REGEXREPLACE(B7725&amp;"""",""[^0-9]"",""""),9))"),"741354058")</f>
        <v>741354058</v>
      </c>
      <c r="B7725" s="52">
        <v>7.41354058E8</v>
      </c>
      <c r="C7725" s="28" t="s">
        <v>7994</v>
      </c>
      <c r="D7725" s="26" t="s">
        <v>49</v>
      </c>
      <c r="E7725" s="31">
        <v>46245.0</v>
      </c>
      <c r="F7725" s="26" t="s">
        <v>205</v>
      </c>
      <c r="G7725" s="26">
        <v>9.0</v>
      </c>
      <c r="I7725" s="26" t="s">
        <v>951</v>
      </c>
      <c r="J7725" s="25" t="str">
        <f t="shared" si="88"/>
        <v>No</v>
      </c>
      <c r="K7725" s="25" t="str">
        <f t="shared" si="89"/>
        <v/>
      </c>
      <c r="L7725" s="25" t="str">
        <f t="shared" si="90"/>
        <v/>
      </c>
      <c r="M7725" s="25"/>
      <c r="O7725" s="25"/>
    </row>
    <row r="7726" ht="15.75" customHeight="1">
      <c r="A7726" s="25" t="str">
        <f>IFERROR(__xludf.DUMMYFUNCTION("IF(B7726="""","""",RIGHT(REGEXREPLACE(B7726&amp;"""",""[^0-9]"",""""),9))"),"760323661")</f>
        <v>760323661</v>
      </c>
      <c r="B7726" s="52">
        <v>7.60323661E8</v>
      </c>
      <c r="C7726" s="28" t="s">
        <v>7995</v>
      </c>
      <c r="D7726" s="26" t="s">
        <v>49</v>
      </c>
      <c r="E7726" s="31">
        <v>46245.0</v>
      </c>
      <c r="F7726" s="26" t="s">
        <v>46</v>
      </c>
      <c r="G7726" s="26">
        <v>9.0</v>
      </c>
      <c r="H7726" s="72" t="s">
        <v>7996</v>
      </c>
      <c r="I7726" s="26" t="s">
        <v>951</v>
      </c>
      <c r="J7726" s="25" t="str">
        <f t="shared" si="88"/>
        <v>No</v>
      </c>
      <c r="K7726" s="25" t="str">
        <f t="shared" si="89"/>
        <v/>
      </c>
      <c r="L7726" s="25" t="str">
        <f t="shared" si="90"/>
        <v/>
      </c>
      <c r="M7726" s="25"/>
      <c r="O7726" s="25"/>
    </row>
    <row r="7727" ht="15.75" customHeight="1">
      <c r="A7727" s="25" t="str">
        <f>IFERROR(__xludf.DUMMYFUNCTION("IF(B7727="""","""",RIGHT(REGEXREPLACE(B7727&amp;"""",""[^0-9]"",""""),9))"),"740693960")</f>
        <v>740693960</v>
      </c>
      <c r="B7727" s="52">
        <v>7.4069396E8</v>
      </c>
      <c r="C7727" s="28" t="s">
        <v>7649</v>
      </c>
      <c r="D7727" s="26" t="s">
        <v>56</v>
      </c>
      <c r="E7727" s="31">
        <v>46245.0</v>
      </c>
      <c r="F7727" s="26" t="s">
        <v>41</v>
      </c>
      <c r="G7727" s="26">
        <v>9.0</v>
      </c>
      <c r="I7727" s="26" t="s">
        <v>951</v>
      </c>
      <c r="J7727" s="25" t="str">
        <f t="shared" si="88"/>
        <v>No</v>
      </c>
      <c r="K7727" s="25" t="str">
        <f t="shared" si="89"/>
        <v/>
      </c>
      <c r="L7727" s="25" t="str">
        <f t="shared" si="90"/>
        <v/>
      </c>
      <c r="M7727" s="25"/>
      <c r="O7727" s="25"/>
    </row>
    <row r="7728" ht="15.75" customHeight="1">
      <c r="A7728" s="25" t="str">
        <f>IFERROR(__xludf.DUMMYFUNCTION("IF(B7728="""","""",RIGHT(REGEXREPLACE(B7728&amp;"""",""[^0-9]"",""""),9))"),"767034156")</f>
        <v>767034156</v>
      </c>
      <c r="B7728" s="52">
        <v>7.67034156E8</v>
      </c>
      <c r="C7728" s="28" t="s">
        <v>7997</v>
      </c>
      <c r="D7728" s="26" t="s">
        <v>49</v>
      </c>
      <c r="E7728" s="31">
        <v>46245.0</v>
      </c>
      <c r="F7728" s="26" t="s">
        <v>41</v>
      </c>
      <c r="G7728" s="26">
        <v>10.0</v>
      </c>
      <c r="I7728" s="26" t="s">
        <v>951</v>
      </c>
      <c r="J7728" s="25" t="str">
        <f t="shared" si="88"/>
        <v>No</v>
      </c>
      <c r="K7728" s="25" t="str">
        <f t="shared" si="89"/>
        <v/>
      </c>
      <c r="L7728" s="25" t="str">
        <f t="shared" si="90"/>
        <v/>
      </c>
      <c r="M7728" s="25"/>
      <c r="O7728" s="25"/>
    </row>
    <row r="7729" ht="15.75" customHeight="1">
      <c r="A7729" s="25" t="str">
        <f>IFERROR(__xludf.DUMMYFUNCTION("IF(B7729="""","""",RIGHT(REGEXREPLACE(B7729&amp;"""",""[^0-9]"",""""),9))"),"718359569")</f>
        <v>718359569</v>
      </c>
      <c r="B7729" s="52">
        <v>7.18359569E8</v>
      </c>
      <c r="C7729" s="28" t="s">
        <v>7998</v>
      </c>
      <c r="D7729" s="26" t="s">
        <v>56</v>
      </c>
      <c r="E7729" s="31">
        <v>46245.0</v>
      </c>
      <c r="F7729" s="26" t="s">
        <v>41</v>
      </c>
      <c r="G7729" s="26">
        <v>9.0</v>
      </c>
      <c r="I7729" s="26" t="s">
        <v>951</v>
      </c>
      <c r="J7729" s="25" t="str">
        <f t="shared" si="88"/>
        <v>No</v>
      </c>
      <c r="K7729" s="25" t="str">
        <f t="shared" si="89"/>
        <v/>
      </c>
      <c r="L7729" s="25" t="str">
        <f t="shared" si="90"/>
        <v/>
      </c>
      <c r="M7729" s="25"/>
      <c r="O7729" s="25"/>
    </row>
    <row r="7730" ht="15.75" customHeight="1">
      <c r="A7730" s="25" t="str">
        <f>IFERROR(__xludf.DUMMYFUNCTION("IF(B7730="""","""",RIGHT(REGEXREPLACE(B7730&amp;"""",""[^0-9]"",""""),9))"),"770068517")</f>
        <v>770068517</v>
      </c>
      <c r="B7730" s="52">
        <v>7.70068517E8</v>
      </c>
      <c r="C7730" s="28" t="s">
        <v>7999</v>
      </c>
      <c r="D7730" s="26" t="s">
        <v>56</v>
      </c>
      <c r="E7730" s="31">
        <v>46245.0</v>
      </c>
      <c r="F7730" s="26" t="s">
        <v>46</v>
      </c>
      <c r="G7730" s="26">
        <v>9.0</v>
      </c>
      <c r="I7730" s="26" t="s">
        <v>951</v>
      </c>
      <c r="J7730" s="25" t="str">
        <f t="shared" si="88"/>
        <v>No</v>
      </c>
      <c r="K7730" s="25" t="str">
        <f t="shared" si="89"/>
        <v/>
      </c>
      <c r="L7730" s="25" t="str">
        <f t="shared" si="90"/>
        <v/>
      </c>
      <c r="M7730" s="25"/>
      <c r="O7730" s="26" t="s">
        <v>51</v>
      </c>
    </row>
    <row r="7731" ht="15.75" customHeight="1">
      <c r="A7731" s="25" t="str">
        <f>IFERROR(__xludf.DUMMYFUNCTION("IF(B7731="""","""",RIGHT(REGEXREPLACE(B7731&amp;"""",""[^0-9]"",""""),9))"),"759754523")</f>
        <v>759754523</v>
      </c>
      <c r="B7731" s="52">
        <v>7.59754523E8</v>
      </c>
      <c r="C7731" s="28" t="s">
        <v>8000</v>
      </c>
      <c r="D7731" s="26" t="s">
        <v>49</v>
      </c>
      <c r="E7731" s="31">
        <v>46245.0</v>
      </c>
      <c r="F7731" s="26" t="s">
        <v>46</v>
      </c>
      <c r="G7731" s="26">
        <v>9.0</v>
      </c>
      <c r="H7731" s="26" t="s">
        <v>5896</v>
      </c>
      <c r="I7731" s="26" t="s">
        <v>951</v>
      </c>
      <c r="J7731" s="25" t="str">
        <f t="shared" si="88"/>
        <v>No</v>
      </c>
      <c r="K7731" s="25" t="str">
        <f t="shared" si="89"/>
        <v/>
      </c>
      <c r="L7731" s="25" t="str">
        <f t="shared" si="90"/>
        <v/>
      </c>
      <c r="M7731" s="25"/>
      <c r="O7731" s="25"/>
    </row>
    <row r="7732" ht="15.75" customHeight="1">
      <c r="A7732" s="25" t="str">
        <f>IFERROR(__xludf.DUMMYFUNCTION("IF(B7732="""","""",RIGHT(REGEXREPLACE(B7732&amp;"""",""[^0-9]"",""""),9))"),"773775481")</f>
        <v>773775481</v>
      </c>
      <c r="B7732" s="52">
        <v>7.73775481E8</v>
      </c>
      <c r="C7732" s="28" t="s">
        <v>8001</v>
      </c>
      <c r="D7732" s="26" t="s">
        <v>56</v>
      </c>
      <c r="E7732" s="31">
        <v>46245.0</v>
      </c>
      <c r="F7732" s="26" t="s">
        <v>46</v>
      </c>
      <c r="G7732" s="26">
        <v>9.0</v>
      </c>
      <c r="I7732" s="26" t="s">
        <v>951</v>
      </c>
      <c r="J7732" s="25" t="str">
        <f t="shared" si="88"/>
        <v>No</v>
      </c>
      <c r="K7732" s="25" t="str">
        <f t="shared" si="89"/>
        <v/>
      </c>
      <c r="L7732" s="25" t="str">
        <f t="shared" si="90"/>
        <v/>
      </c>
      <c r="M7732" s="25"/>
      <c r="O7732" s="25"/>
    </row>
    <row r="7733" ht="15.75" customHeight="1">
      <c r="A7733" s="25" t="str">
        <f>IFERROR(__xludf.DUMMYFUNCTION("IF(B7733="""","""",RIGHT(REGEXREPLACE(B7733&amp;"""",""[^0-9]"",""""),9))"),"723483616")</f>
        <v>723483616</v>
      </c>
      <c r="B7733" s="52">
        <v>7.23483616E8</v>
      </c>
      <c r="C7733" s="28" t="s">
        <v>5850</v>
      </c>
      <c r="D7733" s="26" t="s">
        <v>49</v>
      </c>
      <c r="E7733" s="31">
        <v>46245.0</v>
      </c>
      <c r="F7733" s="26" t="s">
        <v>205</v>
      </c>
      <c r="G7733" s="26">
        <v>6.0</v>
      </c>
      <c r="I7733" s="26" t="s">
        <v>951</v>
      </c>
      <c r="J7733" s="25" t="str">
        <f t="shared" si="88"/>
        <v>Yes - see Previous F-Code</v>
      </c>
      <c r="K7733" s="25" t="str">
        <f t="shared" si="89"/>
        <v/>
      </c>
      <c r="L7733" s="25" t="str">
        <f t="shared" si="90"/>
        <v>F75282</v>
      </c>
      <c r="M7733" s="25"/>
      <c r="O7733" s="25"/>
    </row>
    <row r="7734" ht="15.75" customHeight="1">
      <c r="A7734" s="25" t="str">
        <f>IFERROR(__xludf.DUMMYFUNCTION("IF(B7734="""","""",RIGHT(REGEXREPLACE(B7734&amp;"""",""[^0-9]"",""""),9))"),"760157659")</f>
        <v>760157659</v>
      </c>
      <c r="B7734" s="52">
        <v>7.60157659E8</v>
      </c>
      <c r="C7734" s="28" t="s">
        <v>5357</v>
      </c>
      <c r="D7734" s="26" t="s">
        <v>49</v>
      </c>
      <c r="E7734" s="31">
        <v>46245.0</v>
      </c>
      <c r="F7734" s="26" t="s">
        <v>41</v>
      </c>
      <c r="G7734" s="26">
        <v>10.0</v>
      </c>
      <c r="I7734" s="26" t="s">
        <v>951</v>
      </c>
      <c r="J7734" s="25" t="str">
        <f t="shared" si="88"/>
        <v>Yes - see Previous F-Code</v>
      </c>
      <c r="K7734" s="25" t="str">
        <f t="shared" si="89"/>
        <v/>
      </c>
      <c r="L7734" s="25" t="str">
        <f t="shared" si="90"/>
        <v>F74868</v>
      </c>
      <c r="M7734" s="25"/>
      <c r="O7734" s="25"/>
    </row>
    <row r="7735" ht="15.75" customHeight="1">
      <c r="A7735" s="25" t="str">
        <f>IFERROR(__xludf.DUMMYFUNCTION("IF(B7735="""","""",RIGHT(REGEXREPLACE(B7735&amp;"""",""[^0-9]"",""""),9))"),"772954097")</f>
        <v>772954097</v>
      </c>
      <c r="B7735" s="52">
        <v>7.72954097E8</v>
      </c>
      <c r="C7735" s="28" t="s">
        <v>8002</v>
      </c>
      <c r="D7735" s="26" t="s">
        <v>56</v>
      </c>
      <c r="E7735" s="31">
        <v>46245.0</v>
      </c>
      <c r="F7735" s="26" t="s">
        <v>659</v>
      </c>
      <c r="I7735" s="26" t="s">
        <v>951</v>
      </c>
      <c r="J7735" s="25" t="str">
        <f t="shared" si="88"/>
        <v>No</v>
      </c>
      <c r="K7735" s="25" t="str">
        <f t="shared" si="89"/>
        <v/>
      </c>
      <c r="L7735" s="25" t="str">
        <f t="shared" si="90"/>
        <v/>
      </c>
      <c r="M7735" s="25"/>
      <c r="O7735" s="25"/>
    </row>
    <row r="7736" ht="15.75" customHeight="1">
      <c r="A7736" s="25" t="str">
        <f>IFERROR(__xludf.DUMMYFUNCTION("IF(B7736="""","""",RIGHT(REGEXREPLACE(B7736&amp;"""",""[^0-9]"",""""),9))"),"714638326")</f>
        <v>714638326</v>
      </c>
      <c r="B7736" s="52">
        <v>7.14638326E8</v>
      </c>
      <c r="C7736" s="28" t="s">
        <v>8003</v>
      </c>
      <c r="D7736" s="26" t="s">
        <v>56</v>
      </c>
      <c r="E7736" s="31">
        <v>46245.0</v>
      </c>
      <c r="F7736" s="26" t="s">
        <v>46</v>
      </c>
      <c r="G7736" s="26">
        <v>9.0</v>
      </c>
      <c r="I7736" s="26" t="s">
        <v>951</v>
      </c>
      <c r="J7736" s="25" t="str">
        <f t="shared" si="88"/>
        <v>No</v>
      </c>
      <c r="K7736" s="25" t="str">
        <f t="shared" si="89"/>
        <v/>
      </c>
      <c r="L7736" s="25" t="str">
        <f t="shared" si="90"/>
        <v/>
      </c>
      <c r="M7736" s="25"/>
      <c r="O7736" s="25"/>
    </row>
    <row r="7737" ht="15.75" customHeight="1">
      <c r="A7737" s="25" t="str">
        <f>IFERROR(__xludf.DUMMYFUNCTION("IF(B7737="""","""",RIGHT(REGEXREPLACE(B7737&amp;"""",""[^0-9]"",""""),9))"),"714692555")</f>
        <v>714692555</v>
      </c>
      <c r="B7737" s="52">
        <v>7.14692555E8</v>
      </c>
      <c r="C7737" s="28" t="s">
        <v>7911</v>
      </c>
      <c r="D7737" s="26" t="s">
        <v>49</v>
      </c>
      <c r="E7737" s="31">
        <v>46245.0</v>
      </c>
      <c r="F7737" s="26" t="s">
        <v>46</v>
      </c>
      <c r="H7737" s="26" t="s">
        <v>280</v>
      </c>
      <c r="I7737" s="26" t="s">
        <v>951</v>
      </c>
      <c r="J7737" s="25" t="str">
        <f t="shared" si="88"/>
        <v>Yes - see Previous F-Code</v>
      </c>
      <c r="K7737" s="25" t="str">
        <f t="shared" si="89"/>
        <v>DUPLICATE - CHECK</v>
      </c>
      <c r="L7737" s="25" t="str">
        <f t="shared" si="90"/>
        <v>F76797</v>
      </c>
      <c r="M7737" s="25"/>
      <c r="O7737" s="25"/>
    </row>
    <row r="7738" ht="15.75" customHeight="1">
      <c r="A7738" s="25" t="str">
        <f>IFERROR(__xludf.DUMMYFUNCTION("IF(B7738="""","""",RIGHT(REGEXREPLACE(B7738&amp;"""",""[^0-9]"",""""),9))"),"774218483")</f>
        <v>774218483</v>
      </c>
      <c r="B7738" s="52">
        <v>7.74218483E8</v>
      </c>
      <c r="C7738" s="28" t="s">
        <v>8004</v>
      </c>
      <c r="D7738" s="26" t="s">
        <v>56</v>
      </c>
      <c r="E7738" s="31">
        <v>46245.0</v>
      </c>
      <c r="F7738" s="26" t="s">
        <v>46</v>
      </c>
      <c r="H7738" s="26" t="s">
        <v>8005</v>
      </c>
      <c r="I7738" s="26" t="s">
        <v>951</v>
      </c>
      <c r="J7738" s="25" t="str">
        <f t="shared" si="88"/>
        <v>No</v>
      </c>
      <c r="K7738" s="25" t="str">
        <f t="shared" si="89"/>
        <v/>
      </c>
      <c r="L7738" s="25" t="str">
        <f t="shared" si="90"/>
        <v/>
      </c>
      <c r="M7738" s="25"/>
      <c r="O7738" s="25"/>
    </row>
    <row r="7739" ht="15.75" customHeight="1">
      <c r="A7739" s="25" t="str">
        <f>IFERROR(__xludf.DUMMYFUNCTION("IF(B7739="""","""",RIGHT(REGEXREPLACE(B7739&amp;"""",""[^0-9]"",""""),9))"),"778780300")</f>
        <v>778780300</v>
      </c>
      <c r="B7739" s="52">
        <v>7.787803E8</v>
      </c>
      <c r="C7739" s="28" t="s">
        <v>8006</v>
      </c>
      <c r="D7739" s="26" t="s">
        <v>49</v>
      </c>
      <c r="E7739" s="31">
        <v>46245.0</v>
      </c>
      <c r="F7739" s="26" t="s">
        <v>46</v>
      </c>
      <c r="G7739" s="26">
        <v>9.0</v>
      </c>
      <c r="H7739" s="117" t="s">
        <v>8007</v>
      </c>
      <c r="I7739" s="26" t="s">
        <v>951</v>
      </c>
      <c r="J7739" s="25" t="str">
        <f t="shared" si="88"/>
        <v>No</v>
      </c>
      <c r="K7739" s="25" t="str">
        <f t="shared" si="89"/>
        <v/>
      </c>
      <c r="L7739" s="25" t="str">
        <f t="shared" si="90"/>
        <v/>
      </c>
      <c r="M7739" s="25"/>
      <c r="O7739" s="25"/>
    </row>
    <row r="7740" ht="15.75" customHeight="1">
      <c r="A7740" s="25" t="str">
        <f>IFERROR(__xludf.DUMMYFUNCTION("IF(B7740="""","""",RIGHT(REGEXREPLACE(B7740&amp;"""",""[^0-9]"",""""),9))"),"717561315")</f>
        <v>717561315</v>
      </c>
      <c r="B7740" s="52">
        <v>7.17561315E8</v>
      </c>
      <c r="C7740" s="28" t="s">
        <v>8008</v>
      </c>
      <c r="D7740" s="26" t="s">
        <v>82</v>
      </c>
      <c r="E7740" s="31">
        <v>46244.0</v>
      </c>
      <c r="F7740" s="26" t="s">
        <v>205</v>
      </c>
      <c r="I7740" s="26" t="s">
        <v>970</v>
      </c>
      <c r="J7740" s="25" t="str">
        <f t="shared" si="88"/>
        <v>No</v>
      </c>
      <c r="K7740" s="25" t="str">
        <f t="shared" si="89"/>
        <v/>
      </c>
      <c r="L7740" s="25" t="str">
        <f t="shared" si="90"/>
        <v/>
      </c>
      <c r="M7740" s="25"/>
      <c r="O7740" s="25"/>
    </row>
    <row r="7741" ht="15.75" customHeight="1">
      <c r="A7741" s="25" t="str">
        <f>IFERROR(__xludf.DUMMYFUNCTION("IF(B7741="""","""",RIGHT(REGEXREPLACE(B7741&amp;"""",""[^0-9]"",""""),9))"),"741973839")</f>
        <v>741973839</v>
      </c>
      <c r="B7741" s="52">
        <v>7.41973839E8</v>
      </c>
      <c r="C7741" s="28" t="s">
        <v>8009</v>
      </c>
      <c r="D7741" s="26" t="s">
        <v>82</v>
      </c>
      <c r="E7741" s="31">
        <v>46244.0</v>
      </c>
      <c r="F7741" s="26" t="s">
        <v>46</v>
      </c>
      <c r="G7741" s="26">
        <v>9.0</v>
      </c>
      <c r="I7741" s="26" t="s">
        <v>970</v>
      </c>
      <c r="J7741" s="25" t="str">
        <f t="shared" si="88"/>
        <v>No</v>
      </c>
      <c r="K7741" s="25" t="str">
        <f t="shared" si="89"/>
        <v/>
      </c>
      <c r="L7741" s="25" t="str">
        <f t="shared" si="90"/>
        <v/>
      </c>
      <c r="M7741" s="25"/>
      <c r="O7741" s="25"/>
    </row>
    <row r="7742" ht="15.75" customHeight="1">
      <c r="A7742" s="25" t="str">
        <f>IFERROR(__xludf.DUMMYFUNCTION("IF(B7742="""","""",RIGHT(REGEXREPLACE(B7742&amp;"""",""[^0-9]"",""""),9))"),"764621332")</f>
        <v>764621332</v>
      </c>
      <c r="B7742" s="52">
        <v>7.64621332E8</v>
      </c>
      <c r="C7742" s="28" t="s">
        <v>8010</v>
      </c>
      <c r="D7742" s="26" t="s">
        <v>82</v>
      </c>
      <c r="E7742" s="31">
        <v>46244.0</v>
      </c>
      <c r="F7742" s="26" t="s">
        <v>46</v>
      </c>
      <c r="H7742" s="26" t="s">
        <v>6087</v>
      </c>
      <c r="I7742" s="26" t="s">
        <v>970</v>
      </c>
      <c r="J7742" s="25" t="str">
        <f t="shared" si="88"/>
        <v>No</v>
      </c>
      <c r="K7742" s="25" t="str">
        <f t="shared" si="89"/>
        <v/>
      </c>
      <c r="L7742" s="25" t="str">
        <f t="shared" si="90"/>
        <v/>
      </c>
      <c r="M7742" s="25"/>
      <c r="O7742" s="25"/>
    </row>
    <row r="7743" ht="15.75" customHeight="1">
      <c r="A7743" s="25" t="str">
        <f>IFERROR(__xludf.DUMMYFUNCTION("IF(B7743="""","""",RIGHT(REGEXREPLACE(B7743&amp;"""",""[^0-9]"",""""),9))"),"770496543")</f>
        <v>770496543</v>
      </c>
      <c r="B7743" s="52">
        <v>7.70496543E8</v>
      </c>
      <c r="C7743" s="28" t="s">
        <v>5753</v>
      </c>
      <c r="D7743" s="26" t="s">
        <v>82</v>
      </c>
      <c r="E7743" s="31">
        <v>46244.0</v>
      </c>
      <c r="F7743" s="26" t="s">
        <v>41</v>
      </c>
      <c r="I7743" s="26" t="s">
        <v>970</v>
      </c>
      <c r="J7743" s="25" t="str">
        <f t="shared" si="88"/>
        <v>Yes - see Previous F-Code</v>
      </c>
      <c r="K7743" s="25" t="str">
        <f t="shared" si="89"/>
        <v/>
      </c>
      <c r="L7743" s="25" t="str">
        <f t="shared" si="90"/>
        <v>F75197</v>
      </c>
      <c r="M7743" s="25"/>
      <c r="O7743" s="25"/>
    </row>
    <row r="7744" ht="15.75" customHeight="1">
      <c r="A7744" s="25" t="str">
        <f>IFERROR(__xludf.DUMMYFUNCTION("IF(B7744="""","""",RIGHT(REGEXREPLACE(B7744&amp;"""",""[^0-9]"",""""),9))"),"713963476")</f>
        <v>713963476</v>
      </c>
      <c r="B7744" s="52">
        <v>7.13963476E8</v>
      </c>
      <c r="C7744" s="28" t="s">
        <v>8011</v>
      </c>
      <c r="D7744" s="26" t="s">
        <v>82</v>
      </c>
      <c r="E7744" s="31">
        <v>46244.0</v>
      </c>
      <c r="F7744" s="26" t="s">
        <v>46</v>
      </c>
      <c r="G7744" s="26">
        <v>10.0</v>
      </c>
      <c r="I7744" s="26" t="s">
        <v>970</v>
      </c>
      <c r="J7744" s="25" t="str">
        <f t="shared" si="88"/>
        <v>No</v>
      </c>
      <c r="K7744" s="25" t="str">
        <f t="shared" si="89"/>
        <v/>
      </c>
      <c r="L7744" s="25" t="str">
        <f t="shared" si="90"/>
        <v/>
      </c>
      <c r="M7744" s="25"/>
      <c r="O7744" s="25"/>
    </row>
    <row r="7745" ht="15.75" customHeight="1">
      <c r="A7745" s="25" t="str">
        <f>IFERROR(__xludf.DUMMYFUNCTION("IF(B7745="""","""",RIGHT(REGEXREPLACE(B7745&amp;"""",""[^0-9]"",""""),9))"),"711033373")</f>
        <v>711033373</v>
      </c>
      <c r="B7745" s="52">
        <v>7.11033373E8</v>
      </c>
      <c r="C7745" s="28" t="s">
        <v>4564</v>
      </c>
      <c r="D7745" s="26" t="s">
        <v>82</v>
      </c>
      <c r="E7745" s="31">
        <v>46244.0</v>
      </c>
      <c r="F7745" s="26" t="s">
        <v>46</v>
      </c>
      <c r="H7745" s="26" t="s">
        <v>6087</v>
      </c>
      <c r="I7745" s="26" t="s">
        <v>970</v>
      </c>
      <c r="J7745" s="25" t="str">
        <f t="shared" si="88"/>
        <v>Yes - see Previous F-Code</v>
      </c>
      <c r="K7745" s="25" t="str">
        <f t="shared" si="89"/>
        <v/>
      </c>
      <c r="L7745" s="25" t="str">
        <f t="shared" si="90"/>
        <v>F74165</v>
      </c>
      <c r="M7745" s="25"/>
      <c r="O7745" s="25"/>
    </row>
    <row r="7746" ht="15.75" customHeight="1">
      <c r="A7746" s="25" t="str">
        <f>IFERROR(__xludf.DUMMYFUNCTION("IF(B7746="""","""",RIGHT(REGEXREPLACE(B7746&amp;"""",""[^0-9]"",""""),9))"),"770407574")</f>
        <v>770407574</v>
      </c>
      <c r="B7746" s="52">
        <v>7.70407574E8</v>
      </c>
      <c r="C7746" s="28" t="s">
        <v>8012</v>
      </c>
      <c r="D7746" s="26" t="s">
        <v>82</v>
      </c>
      <c r="E7746" s="31">
        <v>46244.0</v>
      </c>
      <c r="F7746" s="26" t="s">
        <v>46</v>
      </c>
      <c r="H7746" s="26" t="s">
        <v>8013</v>
      </c>
      <c r="I7746" s="26" t="s">
        <v>970</v>
      </c>
      <c r="J7746" s="25" t="str">
        <f t="shared" si="88"/>
        <v>No</v>
      </c>
      <c r="K7746" s="25" t="str">
        <f t="shared" si="89"/>
        <v/>
      </c>
      <c r="L7746" s="25" t="str">
        <f t="shared" si="90"/>
        <v/>
      </c>
      <c r="M7746" s="25"/>
      <c r="O7746" s="25"/>
    </row>
    <row r="7747" ht="15.75" customHeight="1">
      <c r="A7747" s="25" t="str">
        <f>IFERROR(__xludf.DUMMYFUNCTION("IF(B7747="""","""",RIGHT(REGEXREPLACE(B7747&amp;"""",""[^0-9]"",""""),9))"),"718125609")</f>
        <v>718125609</v>
      </c>
      <c r="B7747" s="52">
        <v>7.18125609E8</v>
      </c>
      <c r="C7747" s="28" t="s">
        <v>8014</v>
      </c>
      <c r="D7747" s="26" t="s">
        <v>82</v>
      </c>
      <c r="E7747" s="31">
        <v>46244.0</v>
      </c>
      <c r="F7747" s="26" t="s">
        <v>46</v>
      </c>
      <c r="G7747" s="26">
        <v>11.0</v>
      </c>
      <c r="I7747" s="26" t="s">
        <v>970</v>
      </c>
      <c r="J7747" s="25" t="str">
        <f t="shared" si="88"/>
        <v>No</v>
      </c>
      <c r="K7747" s="25" t="str">
        <f t="shared" si="89"/>
        <v/>
      </c>
      <c r="L7747" s="25" t="str">
        <f t="shared" si="90"/>
        <v/>
      </c>
      <c r="M7747" s="25"/>
      <c r="O7747" s="25"/>
    </row>
    <row r="7748" ht="15.75" customHeight="1">
      <c r="A7748" s="25" t="str">
        <f>IFERROR(__xludf.DUMMYFUNCTION("IF(B7748="""","""",RIGHT(REGEXREPLACE(B7748&amp;"""",""[^0-9]"",""""),9))"),"718903075")</f>
        <v>718903075</v>
      </c>
      <c r="B7748" s="52">
        <v>7.18903075E8</v>
      </c>
      <c r="C7748" s="28" t="s">
        <v>4176</v>
      </c>
      <c r="D7748" s="26" t="s">
        <v>82</v>
      </c>
      <c r="E7748" s="31">
        <v>46244.0</v>
      </c>
      <c r="F7748" s="26" t="s">
        <v>46</v>
      </c>
      <c r="G7748" s="26">
        <v>10.0</v>
      </c>
      <c r="I7748" s="26" t="s">
        <v>970</v>
      </c>
      <c r="J7748" s="25" t="str">
        <f t="shared" si="88"/>
        <v>Yes - see Previous F-Code</v>
      </c>
      <c r="K7748" s="25" t="str">
        <f t="shared" si="89"/>
        <v/>
      </c>
      <c r="L7748" s="25" t="str">
        <f t="shared" si="90"/>
        <v>F73809</v>
      </c>
      <c r="M7748" s="25"/>
      <c r="O7748" s="25"/>
    </row>
    <row r="7749" ht="15.75" customHeight="1">
      <c r="A7749" s="25" t="str">
        <f>IFERROR(__xludf.DUMMYFUNCTION("IF(B7749="""","""",RIGHT(REGEXREPLACE(B7749&amp;"""",""[^0-9]"",""""),9))"),"718018148")</f>
        <v>718018148</v>
      </c>
      <c r="B7749" s="52">
        <v>7.18018148E8</v>
      </c>
      <c r="C7749" s="28" t="s">
        <v>8015</v>
      </c>
      <c r="D7749" s="26" t="s">
        <v>82</v>
      </c>
      <c r="E7749" s="31">
        <v>46244.0</v>
      </c>
      <c r="F7749" s="26" t="s">
        <v>46</v>
      </c>
      <c r="G7749" s="26">
        <v>11.0</v>
      </c>
      <c r="I7749" s="26" t="s">
        <v>970</v>
      </c>
      <c r="J7749" s="25" t="str">
        <f t="shared" si="88"/>
        <v>No</v>
      </c>
      <c r="K7749" s="25" t="str">
        <f t="shared" si="89"/>
        <v/>
      </c>
      <c r="L7749" s="25" t="str">
        <f t="shared" si="90"/>
        <v/>
      </c>
      <c r="M7749" s="25"/>
      <c r="O7749" s="25"/>
    </row>
    <row r="7750" ht="15.75" customHeight="1">
      <c r="A7750" s="25" t="str">
        <f>IFERROR(__xludf.DUMMYFUNCTION("IF(B7750="""","""",RIGHT(REGEXREPLACE(B7750&amp;"""",""[^0-9]"",""""),9))"),"743801502")</f>
        <v>743801502</v>
      </c>
      <c r="B7750" s="52">
        <v>7.43801502E8</v>
      </c>
      <c r="C7750" s="28" t="s">
        <v>8016</v>
      </c>
      <c r="D7750" s="26" t="s">
        <v>82</v>
      </c>
      <c r="E7750" s="31">
        <v>46244.0</v>
      </c>
      <c r="F7750" s="26" t="s">
        <v>41</v>
      </c>
      <c r="I7750" s="26" t="s">
        <v>970</v>
      </c>
      <c r="J7750" s="25" t="str">
        <f t="shared" si="88"/>
        <v>No</v>
      </c>
      <c r="K7750" s="25" t="str">
        <f t="shared" si="89"/>
        <v/>
      </c>
      <c r="L7750" s="25" t="str">
        <f t="shared" si="90"/>
        <v/>
      </c>
      <c r="M7750" s="25"/>
      <c r="O7750" s="25"/>
    </row>
    <row r="7751" ht="15.75" customHeight="1">
      <c r="A7751" s="25" t="str">
        <f>IFERROR(__xludf.DUMMYFUNCTION("IF(B7751="""","""",RIGHT(REGEXREPLACE(B7751&amp;"""",""[^0-9]"",""""),9))"),"772992144")</f>
        <v>772992144</v>
      </c>
      <c r="B7751" s="52">
        <v>7.72992144E8</v>
      </c>
      <c r="C7751" s="28" t="s">
        <v>8017</v>
      </c>
      <c r="D7751" s="26" t="s">
        <v>82</v>
      </c>
      <c r="E7751" s="31">
        <v>46244.0</v>
      </c>
      <c r="F7751" s="26" t="s">
        <v>41</v>
      </c>
      <c r="I7751" s="26" t="s">
        <v>970</v>
      </c>
      <c r="J7751" s="25" t="str">
        <f t="shared" si="88"/>
        <v>No</v>
      </c>
      <c r="K7751" s="25" t="str">
        <f t="shared" si="89"/>
        <v/>
      </c>
      <c r="L7751" s="25" t="str">
        <f t="shared" si="90"/>
        <v/>
      </c>
      <c r="M7751" s="25"/>
      <c r="O7751" s="25"/>
    </row>
    <row r="7752" ht="15.75" customHeight="1">
      <c r="A7752" s="25" t="str">
        <f>IFERROR(__xludf.DUMMYFUNCTION("IF(B7752="""","""",RIGHT(REGEXREPLACE(B7752&amp;"""",""[^0-9]"",""""),9))"),"704423909")</f>
        <v>704423909</v>
      </c>
      <c r="B7752" s="52">
        <v>7.04423909E8</v>
      </c>
      <c r="C7752" s="28" t="s">
        <v>8018</v>
      </c>
      <c r="D7752" s="26" t="s">
        <v>82</v>
      </c>
      <c r="E7752" s="31">
        <v>46244.0</v>
      </c>
      <c r="F7752" s="26" t="s">
        <v>46</v>
      </c>
      <c r="H7752" s="26" t="s">
        <v>8019</v>
      </c>
      <c r="I7752" s="26" t="s">
        <v>970</v>
      </c>
      <c r="J7752" s="25" t="str">
        <f t="shared" si="88"/>
        <v>No</v>
      </c>
      <c r="K7752" s="25" t="str">
        <f t="shared" si="89"/>
        <v/>
      </c>
      <c r="L7752" s="25" t="str">
        <f t="shared" si="90"/>
        <v/>
      </c>
      <c r="M7752" s="25"/>
      <c r="O7752" s="25"/>
    </row>
    <row r="7753" ht="15.75" customHeight="1">
      <c r="A7753" s="25" t="str">
        <f>IFERROR(__xludf.DUMMYFUNCTION("IF(B7753="""","""",RIGHT(REGEXREPLACE(B7753&amp;"""",""[^0-9]"",""""),9))"),"770258767")</f>
        <v>770258767</v>
      </c>
      <c r="B7753" s="52">
        <v>7.70258767E8</v>
      </c>
      <c r="C7753" s="28" t="s">
        <v>3827</v>
      </c>
      <c r="D7753" s="26" t="s">
        <v>82</v>
      </c>
      <c r="E7753" s="31">
        <v>46244.0</v>
      </c>
      <c r="F7753" s="26" t="s">
        <v>41</v>
      </c>
      <c r="I7753" s="26" t="s">
        <v>970</v>
      </c>
      <c r="J7753" s="25" t="str">
        <f t="shared" si="88"/>
        <v>Yes - see Previous F-Code</v>
      </c>
      <c r="K7753" s="25" t="str">
        <f t="shared" si="89"/>
        <v/>
      </c>
      <c r="L7753" s="25" t="str">
        <f t="shared" si="90"/>
        <v>F73479</v>
      </c>
      <c r="M7753" s="25"/>
      <c r="O7753" s="25"/>
    </row>
    <row r="7754" ht="15.75" customHeight="1">
      <c r="A7754" s="25" t="str">
        <f>IFERROR(__xludf.DUMMYFUNCTION("IF(B7754="""","""",RIGHT(REGEXREPLACE(B7754&amp;"""",""[^0-9]"",""""),9))"),"771654490")</f>
        <v>771654490</v>
      </c>
      <c r="B7754" s="52">
        <v>7.7165449E8</v>
      </c>
      <c r="C7754" s="28" t="s">
        <v>2826</v>
      </c>
      <c r="D7754" s="26" t="s">
        <v>82</v>
      </c>
      <c r="E7754" s="31">
        <v>46244.0</v>
      </c>
      <c r="F7754" s="26" t="s">
        <v>46</v>
      </c>
      <c r="G7754" s="26">
        <v>11.0</v>
      </c>
      <c r="I7754" s="26" t="s">
        <v>970</v>
      </c>
      <c r="J7754" s="25" t="str">
        <f t="shared" si="88"/>
        <v>Yes - see Previous F-Code</v>
      </c>
      <c r="K7754" s="25" t="str">
        <f t="shared" si="89"/>
        <v/>
      </c>
      <c r="L7754" s="25" t="str">
        <f t="shared" si="90"/>
        <v>F72524</v>
      </c>
      <c r="M7754" s="25"/>
      <c r="O7754" s="25"/>
    </row>
    <row r="7755" ht="15.75" customHeight="1">
      <c r="A7755" s="25" t="str">
        <f>IFERROR(__xludf.DUMMYFUNCTION("IF(B7755="""","""",RIGHT(REGEXREPLACE(B7755&amp;"""",""[^0-9]"",""""),9))"),"767228149")</f>
        <v>767228149</v>
      </c>
      <c r="B7755" s="52">
        <v>7.67228149E8</v>
      </c>
      <c r="C7755" s="28" t="s">
        <v>8020</v>
      </c>
      <c r="D7755" s="26" t="s">
        <v>82</v>
      </c>
      <c r="E7755" s="31">
        <v>46244.0</v>
      </c>
      <c r="F7755" s="26" t="s">
        <v>46</v>
      </c>
      <c r="G7755" s="26">
        <v>11.0</v>
      </c>
      <c r="I7755" s="26" t="s">
        <v>970</v>
      </c>
      <c r="J7755" s="25" t="str">
        <f t="shared" si="88"/>
        <v>No</v>
      </c>
      <c r="K7755" s="25" t="str">
        <f t="shared" si="89"/>
        <v/>
      </c>
      <c r="L7755" s="25" t="str">
        <f t="shared" si="90"/>
        <v/>
      </c>
      <c r="M7755" s="25"/>
      <c r="O7755" s="25"/>
    </row>
    <row r="7756" ht="15.75" customHeight="1">
      <c r="A7756" s="25" t="str">
        <f>IFERROR(__xludf.DUMMYFUNCTION("IF(B7756="""","""",RIGHT(REGEXREPLACE(B7756&amp;"""",""[^0-9]"",""""),9))"),"713603571")</f>
        <v>713603571</v>
      </c>
      <c r="B7756" s="52">
        <v>7.13603571E8</v>
      </c>
      <c r="C7756" s="28" t="s">
        <v>5345</v>
      </c>
      <c r="D7756" s="26" t="s">
        <v>82</v>
      </c>
      <c r="E7756" s="31">
        <v>46244.0</v>
      </c>
      <c r="F7756" s="26" t="s">
        <v>46</v>
      </c>
      <c r="G7756" s="26">
        <v>9.0</v>
      </c>
      <c r="I7756" s="26" t="s">
        <v>970</v>
      </c>
      <c r="J7756" s="25" t="str">
        <f t="shared" si="88"/>
        <v>Yes - see Previous F-Code</v>
      </c>
      <c r="K7756" s="25" t="str">
        <f t="shared" si="89"/>
        <v/>
      </c>
      <c r="L7756" s="25" t="str">
        <f t="shared" si="90"/>
        <v>F74857</v>
      </c>
      <c r="M7756" s="25"/>
      <c r="O7756" s="25"/>
    </row>
    <row r="7757" ht="15.75" customHeight="1">
      <c r="A7757" s="25" t="str">
        <f>IFERROR(__xludf.DUMMYFUNCTION("IF(B7757="""","""",RIGHT(REGEXREPLACE(B7757&amp;"""",""[^0-9]"",""""),9))"),"715679185")</f>
        <v>715679185</v>
      </c>
      <c r="B7757" s="52">
        <v>7.15679185E8</v>
      </c>
      <c r="C7757" s="28" t="s">
        <v>4278</v>
      </c>
      <c r="D7757" s="26" t="s">
        <v>82</v>
      </c>
      <c r="E7757" s="31">
        <v>46244.0</v>
      </c>
      <c r="F7757" s="26" t="s">
        <v>46</v>
      </c>
      <c r="I7757" s="26" t="s">
        <v>970</v>
      </c>
      <c r="J7757" s="25" t="str">
        <f t="shared" si="88"/>
        <v>Yes - see Previous F-Code</v>
      </c>
      <c r="K7757" s="25" t="str">
        <f t="shared" si="89"/>
        <v/>
      </c>
      <c r="L7757" s="25" t="str">
        <f t="shared" si="90"/>
        <v>F73907</v>
      </c>
      <c r="M7757" s="25"/>
      <c r="O7757" s="25"/>
    </row>
    <row r="7758" ht="15.75" customHeight="1">
      <c r="A7758" s="25" t="str">
        <f>IFERROR(__xludf.DUMMYFUNCTION("IF(B7758="""","""",RIGHT(REGEXREPLACE(B7758&amp;"""",""[^0-9]"",""""),9))"),"721906613")</f>
        <v>721906613</v>
      </c>
      <c r="B7758" s="52">
        <v>7.21906613E8</v>
      </c>
      <c r="C7758" s="28" t="s">
        <v>437</v>
      </c>
      <c r="D7758" s="26" t="s">
        <v>82</v>
      </c>
      <c r="E7758" s="31">
        <v>46244.0</v>
      </c>
      <c r="F7758" s="26" t="s">
        <v>46</v>
      </c>
      <c r="G7758" s="26">
        <v>11.0</v>
      </c>
      <c r="I7758" s="26" t="s">
        <v>970</v>
      </c>
      <c r="J7758" s="25" t="str">
        <f t="shared" si="88"/>
        <v>Yes - see Previous F-Code</v>
      </c>
      <c r="K7758" s="25" t="str">
        <f t="shared" si="89"/>
        <v/>
      </c>
      <c r="L7758" s="25" t="str">
        <f t="shared" si="90"/>
        <v>F70272</v>
      </c>
      <c r="M7758" s="25"/>
      <c r="O7758" s="25"/>
    </row>
    <row r="7759" ht="15.75" customHeight="1">
      <c r="A7759" s="25" t="str">
        <f>IFERROR(__xludf.DUMMYFUNCTION("IF(B7759="""","""",RIGHT(REGEXREPLACE(B7759&amp;"""",""[^0-9]"",""""),9))"),"719480094")</f>
        <v>719480094</v>
      </c>
      <c r="B7759" s="52">
        <v>7.19480094E8</v>
      </c>
      <c r="C7759" s="28" t="s">
        <v>8021</v>
      </c>
      <c r="D7759" s="26" t="s">
        <v>82</v>
      </c>
      <c r="E7759" s="31">
        <v>46244.0</v>
      </c>
      <c r="F7759" s="26" t="s">
        <v>46</v>
      </c>
      <c r="G7759" s="26">
        <v>10.0</v>
      </c>
      <c r="I7759" s="26" t="s">
        <v>970</v>
      </c>
      <c r="J7759" s="25" t="str">
        <f t="shared" si="88"/>
        <v>No</v>
      </c>
      <c r="K7759" s="25" t="str">
        <f t="shared" si="89"/>
        <v/>
      </c>
      <c r="L7759" s="25" t="str">
        <f t="shared" si="90"/>
        <v/>
      </c>
      <c r="M7759" s="25"/>
      <c r="O7759" s="25"/>
    </row>
    <row r="7760" ht="15.75" customHeight="1">
      <c r="A7760" s="25" t="str">
        <f>IFERROR(__xludf.DUMMYFUNCTION("IF(B7760="""","""",RIGHT(REGEXREPLACE(B7760&amp;"""",""[^0-9]"",""""),9))"),"701998622")</f>
        <v>701998622</v>
      </c>
      <c r="B7760" s="52">
        <v>7.01998622E8</v>
      </c>
      <c r="C7760" s="28" t="s">
        <v>8022</v>
      </c>
      <c r="D7760" s="26" t="s">
        <v>82</v>
      </c>
      <c r="E7760" s="31">
        <v>46244.0</v>
      </c>
      <c r="F7760" s="26" t="s">
        <v>41</v>
      </c>
      <c r="I7760" s="26" t="s">
        <v>970</v>
      </c>
      <c r="J7760" s="25" t="str">
        <f t="shared" si="88"/>
        <v>No</v>
      </c>
      <c r="K7760" s="25" t="str">
        <f t="shared" si="89"/>
        <v/>
      </c>
      <c r="L7760" s="25" t="str">
        <f t="shared" si="90"/>
        <v/>
      </c>
      <c r="M7760" s="25"/>
      <c r="O7760" s="25"/>
    </row>
    <row r="7761" ht="15.75" customHeight="1">
      <c r="A7761" s="25" t="str">
        <f>IFERROR(__xludf.DUMMYFUNCTION("IF(B7761="""","""",RIGHT(REGEXREPLACE(B7761&amp;"""",""[^0-9]"",""""),9))"),"718323766")</f>
        <v>718323766</v>
      </c>
      <c r="B7761" s="52">
        <v>7.18323766E8</v>
      </c>
      <c r="C7761" s="28" t="s">
        <v>8023</v>
      </c>
      <c r="D7761" s="26" t="s">
        <v>82</v>
      </c>
      <c r="E7761" s="31">
        <v>46244.0</v>
      </c>
      <c r="F7761" s="26" t="s">
        <v>46</v>
      </c>
      <c r="G7761" s="26">
        <v>11.0</v>
      </c>
      <c r="I7761" s="26" t="s">
        <v>970</v>
      </c>
      <c r="J7761" s="25" t="str">
        <f t="shared" si="88"/>
        <v>No</v>
      </c>
      <c r="K7761" s="25" t="str">
        <f t="shared" si="89"/>
        <v/>
      </c>
      <c r="L7761" s="25" t="str">
        <f t="shared" si="90"/>
        <v/>
      </c>
      <c r="M7761" s="25"/>
      <c r="O7761" s="25"/>
    </row>
    <row r="7762" ht="15.75" customHeight="1">
      <c r="A7762" s="25" t="str">
        <f>IFERROR(__xludf.DUMMYFUNCTION("IF(B7762="""","""",RIGHT(REGEXREPLACE(B7762&amp;"""",""[^0-9]"",""""),9))"),"741139260")</f>
        <v>741139260</v>
      </c>
      <c r="B7762" s="52">
        <v>7.4113926E8</v>
      </c>
      <c r="C7762" s="28" t="s">
        <v>4017</v>
      </c>
      <c r="D7762" s="26" t="s">
        <v>82</v>
      </c>
      <c r="E7762" s="31">
        <v>46244.0</v>
      </c>
      <c r="F7762" s="26" t="s">
        <v>41</v>
      </c>
      <c r="I7762" s="26" t="s">
        <v>970</v>
      </c>
      <c r="J7762" s="25" t="str">
        <f t="shared" si="88"/>
        <v>Yes - see Previous F-Code</v>
      </c>
      <c r="K7762" s="25" t="str">
        <f t="shared" si="89"/>
        <v/>
      </c>
      <c r="L7762" s="25" t="str">
        <f t="shared" si="90"/>
        <v>F73662</v>
      </c>
      <c r="M7762" s="25"/>
      <c r="O7762" s="25"/>
    </row>
    <row r="7763" ht="15.75" customHeight="1">
      <c r="A7763" s="25" t="str">
        <f>IFERROR(__xludf.DUMMYFUNCTION("IF(B7763="""","""",RIGHT(REGEXREPLACE(B7763&amp;"""",""[^0-9]"",""""),9))"),"754332190")</f>
        <v>754332190</v>
      </c>
      <c r="B7763" s="52">
        <v>7.5433219E8</v>
      </c>
      <c r="C7763" s="28" t="s">
        <v>8024</v>
      </c>
      <c r="D7763" s="26" t="s">
        <v>82</v>
      </c>
      <c r="E7763" s="31">
        <v>46244.0</v>
      </c>
      <c r="F7763" s="26" t="s">
        <v>46</v>
      </c>
      <c r="G7763" s="26">
        <v>11.0</v>
      </c>
      <c r="I7763" s="26" t="s">
        <v>970</v>
      </c>
      <c r="J7763" s="25" t="str">
        <f t="shared" si="88"/>
        <v>No</v>
      </c>
      <c r="K7763" s="25" t="str">
        <f t="shared" si="89"/>
        <v/>
      </c>
      <c r="L7763" s="25" t="str">
        <f t="shared" si="90"/>
        <v/>
      </c>
      <c r="M7763" s="25"/>
      <c r="O7763" s="25"/>
    </row>
    <row r="7764" ht="15.75" customHeight="1">
      <c r="A7764" s="25" t="str">
        <f>IFERROR(__xludf.DUMMYFUNCTION("IF(B7764="""","""",RIGHT(REGEXREPLACE(B7764&amp;"""",""[^0-9]"",""""),9))"),"740653447")</f>
        <v>740653447</v>
      </c>
      <c r="B7764" s="52">
        <v>7.40653447E8</v>
      </c>
      <c r="C7764" s="28" t="s">
        <v>8025</v>
      </c>
      <c r="D7764" s="26" t="s">
        <v>82</v>
      </c>
      <c r="E7764" s="31">
        <v>46244.0</v>
      </c>
      <c r="F7764" s="26" t="s">
        <v>46</v>
      </c>
      <c r="G7764" s="26">
        <v>6.0</v>
      </c>
      <c r="I7764" s="26" t="s">
        <v>970</v>
      </c>
      <c r="J7764" s="25" t="str">
        <f t="shared" si="88"/>
        <v>No</v>
      </c>
      <c r="K7764" s="25" t="str">
        <f t="shared" si="89"/>
        <v/>
      </c>
      <c r="L7764" s="25" t="str">
        <f t="shared" si="90"/>
        <v/>
      </c>
      <c r="M7764" s="25"/>
      <c r="O7764" s="25"/>
    </row>
    <row r="7765" ht="15.75" customHeight="1">
      <c r="A7765" s="25" t="str">
        <f>IFERROR(__xludf.DUMMYFUNCTION("IF(B7765="""","""",RIGHT(REGEXREPLACE(B7765&amp;"""",""[^0-9]"",""""),9))"),"775674288")</f>
        <v>775674288</v>
      </c>
      <c r="B7765" s="52">
        <v>7.75674288E8</v>
      </c>
      <c r="C7765" s="28" t="s">
        <v>8026</v>
      </c>
      <c r="D7765" s="26" t="s">
        <v>82</v>
      </c>
      <c r="E7765" s="31">
        <v>46244.0</v>
      </c>
      <c r="F7765" s="26" t="s">
        <v>41</v>
      </c>
      <c r="I7765" s="26" t="s">
        <v>970</v>
      </c>
      <c r="J7765" s="25" t="str">
        <f t="shared" si="88"/>
        <v>No</v>
      </c>
      <c r="K7765" s="25" t="str">
        <f t="shared" si="89"/>
        <v/>
      </c>
      <c r="L7765" s="25" t="str">
        <f t="shared" si="90"/>
        <v/>
      </c>
      <c r="M7765" s="25"/>
      <c r="O7765" s="25"/>
    </row>
    <row r="7766" ht="15.75" customHeight="1">
      <c r="A7766" s="25" t="str">
        <f>IFERROR(__xludf.DUMMYFUNCTION("IF(B7766="""","""",RIGHT(REGEXREPLACE(B7766&amp;"""",""[^0-9]"",""""),9))"),"787960607")</f>
        <v>787960607</v>
      </c>
      <c r="B7766" s="52">
        <v>7.87960607E8</v>
      </c>
      <c r="C7766" s="28" t="s">
        <v>8026</v>
      </c>
      <c r="D7766" s="26" t="s">
        <v>82</v>
      </c>
      <c r="E7766" s="31">
        <v>46244.0</v>
      </c>
      <c r="F7766" s="26" t="s">
        <v>41</v>
      </c>
      <c r="I7766" s="26" t="s">
        <v>970</v>
      </c>
      <c r="J7766" s="25" t="str">
        <f t="shared" si="88"/>
        <v>No</v>
      </c>
      <c r="K7766" s="25" t="str">
        <f t="shared" si="89"/>
        <v/>
      </c>
      <c r="L7766" s="25" t="str">
        <f t="shared" si="90"/>
        <v/>
      </c>
      <c r="M7766" s="25"/>
      <c r="O7766" s="25"/>
    </row>
    <row r="7767" ht="15.75" customHeight="1">
      <c r="A7767" s="25" t="str">
        <f>IFERROR(__xludf.DUMMYFUNCTION("IF(B7767="""","""",RIGHT(REGEXREPLACE(B7767&amp;"""",""[^0-9]"",""""),9))"),"712490060")</f>
        <v>712490060</v>
      </c>
      <c r="B7767" s="52">
        <v>7.1249006E8</v>
      </c>
      <c r="C7767" s="28" t="s">
        <v>1726</v>
      </c>
      <c r="D7767" s="26" t="s">
        <v>82</v>
      </c>
      <c r="E7767" s="31">
        <v>46244.0</v>
      </c>
      <c r="F7767" s="26" t="s">
        <v>46</v>
      </c>
      <c r="H7767" s="26" t="s">
        <v>8027</v>
      </c>
      <c r="I7767" s="26" t="s">
        <v>970</v>
      </c>
      <c r="J7767" s="25" t="str">
        <f t="shared" si="88"/>
        <v>Yes - see Previous F-Code</v>
      </c>
      <c r="K7767" s="25" t="str">
        <f t="shared" si="89"/>
        <v/>
      </c>
      <c r="L7767" s="25" t="str">
        <f t="shared" si="90"/>
        <v>F71435</v>
      </c>
      <c r="M7767" s="25"/>
      <c r="O7767" s="25"/>
    </row>
    <row r="7768" ht="15.75" customHeight="1">
      <c r="A7768" s="25" t="str">
        <f>IFERROR(__xludf.DUMMYFUNCTION("IF(B7768="""","""",RIGHT(REGEXREPLACE(B7768&amp;"""",""[^0-9]"",""""),9))"),"760745576")</f>
        <v>760745576</v>
      </c>
      <c r="B7768" s="52">
        <v>7.60745576E8</v>
      </c>
      <c r="C7768" s="28" t="s">
        <v>358</v>
      </c>
      <c r="D7768" s="26" t="s">
        <v>82</v>
      </c>
      <c r="E7768" s="31">
        <v>46244.0</v>
      </c>
      <c r="F7768" s="26" t="s">
        <v>41</v>
      </c>
      <c r="I7768" s="26" t="s">
        <v>970</v>
      </c>
      <c r="J7768" s="25" t="str">
        <f t="shared" si="88"/>
        <v>Yes - see Previous F-Code</v>
      </c>
      <c r="K7768" s="25" t="str">
        <f t="shared" si="89"/>
        <v/>
      </c>
      <c r="L7768" s="25" t="str">
        <f t="shared" si="90"/>
        <v>F70207</v>
      </c>
      <c r="M7768" s="25"/>
      <c r="O7768" s="25"/>
    </row>
    <row r="7769" ht="15.75" customHeight="1">
      <c r="A7769" s="25" t="str">
        <f>IFERROR(__xludf.DUMMYFUNCTION("IF(B7769="""","""",RIGHT(REGEXREPLACE(B7769&amp;"""",""[^0-9]"",""""),9))"),"770610479")</f>
        <v>770610479</v>
      </c>
      <c r="B7769" s="52">
        <v>7.70610479E8</v>
      </c>
      <c r="C7769" s="28" t="s">
        <v>8028</v>
      </c>
      <c r="D7769" s="26" t="s">
        <v>82</v>
      </c>
      <c r="E7769" s="31">
        <v>46244.0</v>
      </c>
      <c r="F7769" s="26" t="s">
        <v>46</v>
      </c>
      <c r="I7769" s="26" t="s">
        <v>970</v>
      </c>
      <c r="J7769" s="25" t="str">
        <f t="shared" si="88"/>
        <v>No</v>
      </c>
      <c r="K7769" s="25" t="str">
        <f t="shared" si="89"/>
        <v/>
      </c>
      <c r="L7769" s="25" t="str">
        <f t="shared" si="90"/>
        <v/>
      </c>
      <c r="M7769" s="25"/>
      <c r="O7769" s="25"/>
    </row>
    <row r="7770" ht="15.75" customHeight="1">
      <c r="A7770" s="25" t="str">
        <f>IFERROR(__xludf.DUMMYFUNCTION("IF(B7770="""","""",RIGHT(REGEXREPLACE(B7770&amp;"""",""[^0-9]"",""""),9))"),"773355079")</f>
        <v>773355079</v>
      </c>
      <c r="B7770" s="52">
        <v>7.73355079E8</v>
      </c>
      <c r="C7770" s="28" t="s">
        <v>8029</v>
      </c>
      <c r="D7770" s="26" t="s">
        <v>82</v>
      </c>
      <c r="E7770" s="31">
        <v>46244.0</v>
      </c>
      <c r="F7770" s="26" t="s">
        <v>41</v>
      </c>
      <c r="I7770" s="26" t="s">
        <v>970</v>
      </c>
      <c r="J7770" s="25" t="str">
        <f t="shared" si="88"/>
        <v>No</v>
      </c>
      <c r="K7770" s="25" t="str">
        <f t="shared" si="89"/>
        <v/>
      </c>
      <c r="L7770" s="25" t="str">
        <f t="shared" si="90"/>
        <v/>
      </c>
      <c r="M7770" s="25"/>
      <c r="O7770" s="25"/>
    </row>
    <row r="7771" ht="15.75" customHeight="1">
      <c r="A7771" s="25" t="str">
        <f>IFERROR(__xludf.DUMMYFUNCTION("IF(B7771="""","""",RIGHT(REGEXREPLACE(B7771&amp;"""",""[^0-9]"",""""),9))"),"761655571")</f>
        <v>761655571</v>
      </c>
      <c r="B7771" s="52">
        <v>7.61655571E8</v>
      </c>
      <c r="C7771" s="28" t="s">
        <v>4125</v>
      </c>
      <c r="D7771" s="26" t="s">
        <v>82</v>
      </c>
      <c r="E7771" s="31">
        <v>46244.0</v>
      </c>
      <c r="F7771" s="26" t="s">
        <v>659</v>
      </c>
      <c r="I7771" s="26" t="s">
        <v>970</v>
      </c>
      <c r="J7771" s="25" t="str">
        <f t="shared" si="88"/>
        <v>Yes - see Previous F-Code</v>
      </c>
      <c r="K7771" s="25" t="str">
        <f t="shared" si="89"/>
        <v/>
      </c>
      <c r="L7771" s="25" t="str">
        <f t="shared" si="90"/>
        <v>F73763</v>
      </c>
      <c r="M7771" s="25"/>
      <c r="O7771" s="25"/>
    </row>
    <row r="7772" ht="15.75" customHeight="1">
      <c r="A7772" s="25" t="str">
        <f>IFERROR(__xludf.DUMMYFUNCTION("IF(B7772="""","""",RIGHT(REGEXREPLACE(B7772&amp;"""",""[^0-9]"",""""),9))"),"781362303")</f>
        <v>781362303</v>
      </c>
      <c r="B7772" s="52">
        <v>7.81362303E8</v>
      </c>
      <c r="C7772" s="28" t="s">
        <v>8030</v>
      </c>
      <c r="D7772" s="26" t="s">
        <v>82</v>
      </c>
      <c r="E7772" s="31">
        <v>46244.0</v>
      </c>
      <c r="F7772" s="26" t="s">
        <v>205</v>
      </c>
      <c r="I7772" s="26" t="s">
        <v>970</v>
      </c>
      <c r="J7772" s="25" t="str">
        <f t="shared" si="88"/>
        <v>No</v>
      </c>
      <c r="K7772" s="25" t="str">
        <f t="shared" si="89"/>
        <v/>
      </c>
      <c r="L7772" s="25" t="str">
        <f t="shared" si="90"/>
        <v/>
      </c>
      <c r="M7772" s="25"/>
      <c r="O7772" s="25"/>
    </row>
    <row r="7773" ht="15.75" customHeight="1">
      <c r="A7773" s="25" t="str">
        <f>IFERROR(__xludf.DUMMYFUNCTION("IF(B7773="""","""",RIGHT(REGEXREPLACE(B7773&amp;"""",""[^0-9]"",""""),9))"),"713112411")</f>
        <v>713112411</v>
      </c>
      <c r="B7773" s="52">
        <v>7.13112411E8</v>
      </c>
      <c r="C7773" s="28" t="s">
        <v>8031</v>
      </c>
      <c r="D7773" s="26" t="s">
        <v>82</v>
      </c>
      <c r="E7773" s="31">
        <v>46244.0</v>
      </c>
      <c r="F7773" s="26" t="s">
        <v>41</v>
      </c>
      <c r="I7773" s="26" t="s">
        <v>970</v>
      </c>
      <c r="J7773" s="25" t="str">
        <f t="shared" si="88"/>
        <v>No</v>
      </c>
      <c r="K7773" s="25" t="str">
        <f t="shared" si="89"/>
        <v/>
      </c>
      <c r="L7773" s="25" t="str">
        <f t="shared" si="90"/>
        <v/>
      </c>
      <c r="M7773" s="25"/>
      <c r="O7773" s="25"/>
    </row>
    <row r="7774" ht="15.75" customHeight="1">
      <c r="A7774" s="25" t="str">
        <f>IFERROR(__xludf.DUMMYFUNCTION("IF(B7774="""","""",RIGHT(REGEXREPLACE(B7774&amp;"""",""[^0-9]"",""""),9))"),"721711159")</f>
        <v>721711159</v>
      </c>
      <c r="B7774" s="52">
        <v>7.21711159E8</v>
      </c>
      <c r="C7774" s="28" t="s">
        <v>8032</v>
      </c>
      <c r="D7774" s="26" t="s">
        <v>82</v>
      </c>
      <c r="E7774" s="31">
        <v>46244.0</v>
      </c>
      <c r="F7774" s="26" t="s">
        <v>41</v>
      </c>
      <c r="I7774" s="26" t="s">
        <v>970</v>
      </c>
      <c r="J7774" s="25" t="str">
        <f t="shared" si="88"/>
        <v>No</v>
      </c>
      <c r="K7774" s="25" t="str">
        <f t="shared" si="89"/>
        <v/>
      </c>
      <c r="L7774" s="25" t="str">
        <f t="shared" si="90"/>
        <v/>
      </c>
      <c r="M7774" s="25"/>
      <c r="O7774" s="25"/>
    </row>
    <row r="7775" ht="15.75" customHeight="1">
      <c r="A7775" s="25" t="str">
        <f>IFERROR(__xludf.DUMMYFUNCTION("IF(B7775="""","""",RIGHT(REGEXREPLACE(B7775&amp;"""",""[^0-9]"",""""),9))"),"773890962")</f>
        <v>773890962</v>
      </c>
      <c r="B7775" s="52">
        <v>7.73890962E8</v>
      </c>
      <c r="C7775" s="28" t="s">
        <v>8033</v>
      </c>
      <c r="D7775" s="26" t="s">
        <v>82</v>
      </c>
      <c r="E7775" s="31">
        <v>46244.0</v>
      </c>
      <c r="F7775" s="26" t="s">
        <v>46</v>
      </c>
      <c r="G7775" s="26">
        <v>10.0</v>
      </c>
      <c r="I7775" s="26" t="s">
        <v>970</v>
      </c>
      <c r="J7775" s="25" t="str">
        <f t="shared" si="88"/>
        <v>No</v>
      </c>
      <c r="K7775" s="25" t="str">
        <f t="shared" si="89"/>
        <v/>
      </c>
      <c r="L7775" s="25" t="str">
        <f t="shared" si="90"/>
        <v/>
      </c>
      <c r="M7775" s="25"/>
      <c r="O7775" s="25"/>
    </row>
    <row r="7776" ht="15.75" customHeight="1">
      <c r="A7776" s="25" t="str">
        <f>IFERROR(__xludf.DUMMYFUNCTION("IF(B7776="""","""",RIGHT(REGEXREPLACE(B7776&amp;"""",""[^0-9]"",""""),9))"),"768094467")</f>
        <v>768094467</v>
      </c>
      <c r="B7776" s="52">
        <v>7.68094467E8</v>
      </c>
      <c r="C7776" s="28" t="s">
        <v>7900</v>
      </c>
      <c r="D7776" s="26" t="s">
        <v>82</v>
      </c>
      <c r="E7776" s="31">
        <v>46244.0</v>
      </c>
      <c r="F7776" s="26" t="s">
        <v>46</v>
      </c>
      <c r="I7776" s="26" t="s">
        <v>970</v>
      </c>
      <c r="J7776" s="25" t="str">
        <f t="shared" si="88"/>
        <v>No</v>
      </c>
      <c r="K7776" s="25" t="str">
        <f t="shared" si="89"/>
        <v/>
      </c>
      <c r="L7776" s="25" t="str">
        <f t="shared" si="90"/>
        <v/>
      </c>
      <c r="M7776" s="25"/>
      <c r="O7776" s="25"/>
    </row>
    <row r="7777" ht="15.75" customHeight="1">
      <c r="A7777" s="25" t="str">
        <f>IFERROR(__xludf.DUMMYFUNCTION("IF(B7777="""","""",RIGHT(REGEXREPLACE(B7777&amp;"""",""[^0-9]"",""""),9))"),"762971491")</f>
        <v>762971491</v>
      </c>
      <c r="B7777" s="52">
        <v>7.62971491E8</v>
      </c>
      <c r="C7777" s="28" t="s">
        <v>8034</v>
      </c>
      <c r="D7777" s="26" t="s">
        <v>82</v>
      </c>
      <c r="E7777" s="31">
        <v>46244.0</v>
      </c>
      <c r="F7777" s="26" t="s">
        <v>46</v>
      </c>
      <c r="I7777" s="26" t="s">
        <v>970</v>
      </c>
      <c r="J7777" s="25" t="str">
        <f t="shared" si="88"/>
        <v>No</v>
      </c>
      <c r="K7777" s="25" t="str">
        <f t="shared" si="89"/>
        <v/>
      </c>
      <c r="L7777" s="25" t="str">
        <f t="shared" si="90"/>
        <v/>
      </c>
      <c r="M7777" s="25"/>
      <c r="O7777" s="25"/>
    </row>
    <row r="7778" ht="15.75" customHeight="1">
      <c r="A7778" s="25" t="str">
        <f>IFERROR(__xludf.DUMMYFUNCTION("IF(B7778="""","""",RIGHT(REGEXREPLACE(B7778&amp;"""",""[^0-9]"",""""),9))"),"761534177")</f>
        <v>761534177</v>
      </c>
      <c r="B7778" s="52">
        <v>7.61534177E8</v>
      </c>
      <c r="C7778" s="28" t="s">
        <v>8035</v>
      </c>
      <c r="D7778" s="26" t="s">
        <v>82</v>
      </c>
      <c r="E7778" s="31">
        <v>46245.0</v>
      </c>
      <c r="F7778" s="26" t="s">
        <v>84</v>
      </c>
      <c r="I7778" s="26" t="s">
        <v>970</v>
      </c>
      <c r="J7778" s="25" t="str">
        <f t="shared" si="88"/>
        <v>No</v>
      </c>
      <c r="K7778" s="25" t="str">
        <f t="shared" si="89"/>
        <v/>
      </c>
      <c r="L7778" s="25" t="str">
        <f t="shared" si="90"/>
        <v/>
      </c>
      <c r="M7778" s="25"/>
      <c r="O7778" s="25"/>
    </row>
    <row r="7779" ht="15.75" customHeight="1">
      <c r="A7779" s="25" t="str">
        <f>IFERROR(__xludf.DUMMYFUNCTION("IF(B7779="""","""",RIGHT(REGEXREPLACE(B7779&amp;"""",""[^0-9]"",""""),9))"),"778565152")</f>
        <v>778565152</v>
      </c>
      <c r="B7779" s="52">
        <v>7.78565152E8</v>
      </c>
      <c r="C7779" s="28" t="s">
        <v>8036</v>
      </c>
      <c r="D7779" s="26" t="s">
        <v>82</v>
      </c>
      <c r="E7779" s="31">
        <v>46245.0</v>
      </c>
      <c r="F7779" s="26" t="s">
        <v>46</v>
      </c>
      <c r="G7779" s="26">
        <v>11.0</v>
      </c>
      <c r="H7779" s="26" t="s">
        <v>8037</v>
      </c>
      <c r="I7779" s="26" t="s">
        <v>970</v>
      </c>
      <c r="J7779" s="25" t="str">
        <f t="shared" si="88"/>
        <v>No</v>
      </c>
      <c r="K7779" s="25" t="str">
        <f t="shared" si="89"/>
        <v/>
      </c>
      <c r="L7779" s="25" t="str">
        <f t="shared" si="90"/>
        <v/>
      </c>
      <c r="M7779" s="25"/>
      <c r="O7779" s="25"/>
    </row>
    <row r="7780" ht="15.75" customHeight="1">
      <c r="A7780" s="25" t="str">
        <f>IFERROR(__xludf.DUMMYFUNCTION("IF(B7780="""","""",RIGHT(REGEXREPLACE(B7780&amp;"""",""[^0-9]"",""""),9))"),"767300257")</f>
        <v>767300257</v>
      </c>
      <c r="B7780" s="52">
        <v>7.67300257E8</v>
      </c>
      <c r="C7780" s="28" t="s">
        <v>8038</v>
      </c>
      <c r="D7780" s="26" t="s">
        <v>82</v>
      </c>
      <c r="E7780" s="31">
        <v>46245.0</v>
      </c>
      <c r="F7780" s="26" t="s">
        <v>46</v>
      </c>
      <c r="G7780" s="26">
        <v>11.0</v>
      </c>
      <c r="I7780" s="26" t="s">
        <v>970</v>
      </c>
      <c r="J7780" s="25" t="str">
        <f t="shared" si="88"/>
        <v>No</v>
      </c>
      <c r="K7780" s="25" t="str">
        <f t="shared" si="89"/>
        <v/>
      </c>
      <c r="L7780" s="25" t="str">
        <f t="shared" si="90"/>
        <v/>
      </c>
      <c r="M7780" s="25"/>
      <c r="O7780" s="25"/>
    </row>
    <row r="7781" ht="15.75" customHeight="1">
      <c r="A7781" s="25" t="str">
        <f>IFERROR(__xludf.DUMMYFUNCTION("IF(B7781="""","""",RIGHT(REGEXREPLACE(B7781&amp;"""",""[^0-9]"",""""),9))"),"788150152")</f>
        <v>788150152</v>
      </c>
      <c r="B7781" s="52">
        <v>7.88150152E8</v>
      </c>
      <c r="C7781" s="28" t="s">
        <v>2426</v>
      </c>
      <c r="D7781" s="26" t="s">
        <v>82</v>
      </c>
      <c r="E7781" s="31">
        <v>46245.0</v>
      </c>
      <c r="F7781" s="26" t="s">
        <v>46</v>
      </c>
      <c r="G7781" s="26">
        <v>10.0</v>
      </c>
      <c r="I7781" s="26" t="s">
        <v>970</v>
      </c>
      <c r="J7781" s="25" t="str">
        <f t="shared" si="88"/>
        <v>Yes - see Previous F-Code</v>
      </c>
      <c r="K7781" s="25" t="str">
        <f t="shared" si="89"/>
        <v/>
      </c>
      <c r="L7781" s="25" t="str">
        <f t="shared" si="90"/>
        <v>F72119</v>
      </c>
      <c r="M7781" s="25"/>
      <c r="O7781" s="25"/>
    </row>
    <row r="7782" ht="15.75" customHeight="1">
      <c r="A7782" s="25" t="str">
        <f>IFERROR(__xludf.DUMMYFUNCTION("IF(B7782="""","""",RIGHT(REGEXREPLACE(B7782&amp;"""",""[^0-9]"",""""),9))"),"771812467")</f>
        <v>771812467</v>
      </c>
      <c r="B7782" s="52">
        <v>7.71812467E8</v>
      </c>
      <c r="C7782" s="28" t="s">
        <v>8039</v>
      </c>
      <c r="D7782" s="26" t="s">
        <v>82</v>
      </c>
      <c r="E7782" s="31">
        <v>46245.0</v>
      </c>
      <c r="F7782" s="26" t="s">
        <v>41</v>
      </c>
      <c r="I7782" s="26" t="s">
        <v>970</v>
      </c>
      <c r="J7782" s="25" t="str">
        <f t="shared" si="88"/>
        <v>No</v>
      </c>
      <c r="K7782" s="25" t="str">
        <f t="shared" si="89"/>
        <v/>
      </c>
      <c r="L7782" s="25" t="str">
        <f t="shared" si="90"/>
        <v/>
      </c>
      <c r="M7782" s="25"/>
      <c r="O7782" s="25"/>
    </row>
    <row r="7783" ht="15.75" customHeight="1">
      <c r="A7783" s="25" t="str">
        <f>IFERROR(__xludf.DUMMYFUNCTION("IF(B7783="""","""",RIGHT(REGEXREPLACE(B7783&amp;"""",""[^0-9]"",""""),9))"),"717443131")</f>
        <v>717443131</v>
      </c>
      <c r="B7783" s="52">
        <v>7.17443131E8</v>
      </c>
      <c r="C7783" s="28" t="s">
        <v>4882</v>
      </c>
      <c r="D7783" s="26" t="s">
        <v>82</v>
      </c>
      <c r="E7783" s="31">
        <v>46245.0</v>
      </c>
      <c r="F7783" s="26" t="s">
        <v>41</v>
      </c>
      <c r="I7783" s="26" t="s">
        <v>970</v>
      </c>
      <c r="J7783" s="25" t="str">
        <f t="shared" si="88"/>
        <v>Yes - see Previous F-Code</v>
      </c>
      <c r="K7783" s="25" t="str">
        <f t="shared" si="89"/>
        <v/>
      </c>
      <c r="L7783" s="25" t="str">
        <f t="shared" si="90"/>
        <v>F74450</v>
      </c>
      <c r="M7783" s="25"/>
      <c r="O7783" s="25"/>
    </row>
    <row r="7784" ht="15.75" customHeight="1">
      <c r="A7784" s="25" t="str">
        <f>IFERROR(__xludf.DUMMYFUNCTION("IF(B7784="""","""",RIGHT(REGEXREPLACE(B7784&amp;"""",""[^0-9]"",""""),9))"),"707016045")</f>
        <v>707016045</v>
      </c>
      <c r="B7784" s="52">
        <v>7.07016045E8</v>
      </c>
      <c r="C7784" s="28" t="s">
        <v>8040</v>
      </c>
      <c r="D7784" s="26" t="s">
        <v>82</v>
      </c>
      <c r="E7784" s="31">
        <v>46245.0</v>
      </c>
      <c r="F7784" s="26" t="s">
        <v>46</v>
      </c>
      <c r="G7784" s="26">
        <v>10.0</v>
      </c>
      <c r="I7784" s="26" t="s">
        <v>970</v>
      </c>
      <c r="J7784" s="25" t="str">
        <f t="shared" si="88"/>
        <v>No</v>
      </c>
      <c r="K7784" s="25" t="str">
        <f t="shared" si="89"/>
        <v/>
      </c>
      <c r="L7784" s="25" t="str">
        <f t="shared" si="90"/>
        <v/>
      </c>
      <c r="M7784" s="25"/>
      <c r="O7784" s="25"/>
    </row>
    <row r="7785" ht="15.75" customHeight="1">
      <c r="A7785" s="25" t="str">
        <f>IFERROR(__xludf.DUMMYFUNCTION("IF(B7785="""","""",RIGHT(REGEXREPLACE(B7785&amp;"""",""[^0-9]"",""""),9))"),"712744217")</f>
        <v>712744217</v>
      </c>
      <c r="B7785" s="52">
        <v>7.12744217E8</v>
      </c>
      <c r="C7785" s="28" t="s">
        <v>624</v>
      </c>
      <c r="D7785" s="26" t="s">
        <v>82</v>
      </c>
      <c r="E7785" s="31">
        <v>46245.0</v>
      </c>
      <c r="F7785" s="26" t="s">
        <v>46</v>
      </c>
      <c r="G7785" s="26">
        <v>10.0</v>
      </c>
      <c r="I7785" s="26" t="s">
        <v>970</v>
      </c>
      <c r="J7785" s="25" t="str">
        <f t="shared" si="88"/>
        <v>Yes - see Previous F-Code</v>
      </c>
      <c r="K7785" s="25" t="str">
        <f t="shared" si="89"/>
        <v/>
      </c>
      <c r="L7785" s="25" t="str">
        <f t="shared" si="90"/>
        <v>F70433</v>
      </c>
      <c r="M7785" s="25"/>
      <c r="O7785" s="25"/>
    </row>
    <row r="7786" ht="15.75" customHeight="1">
      <c r="A7786" s="25" t="str">
        <f>IFERROR(__xludf.DUMMYFUNCTION("IF(B7786="""","""",RIGHT(REGEXREPLACE(B7786&amp;"""",""[^0-9]"",""""),9))"),"767401993")</f>
        <v>767401993</v>
      </c>
      <c r="B7786" s="52">
        <v>7.67401993E8</v>
      </c>
      <c r="C7786" s="28" t="s">
        <v>8041</v>
      </c>
      <c r="D7786" s="26" t="s">
        <v>82</v>
      </c>
      <c r="E7786" s="31">
        <v>46245.0</v>
      </c>
      <c r="F7786" s="26" t="s">
        <v>41</v>
      </c>
      <c r="I7786" s="26" t="s">
        <v>970</v>
      </c>
      <c r="J7786" s="25" t="str">
        <f t="shared" si="88"/>
        <v>No</v>
      </c>
      <c r="K7786" s="25" t="str">
        <f t="shared" si="89"/>
        <v/>
      </c>
      <c r="L7786" s="25" t="str">
        <f t="shared" si="90"/>
        <v/>
      </c>
      <c r="M7786" s="25"/>
      <c r="O7786" s="25"/>
    </row>
    <row r="7787" ht="15.75" customHeight="1">
      <c r="A7787" s="25" t="str">
        <f>IFERROR(__xludf.DUMMYFUNCTION("IF(B7787="""","""",RIGHT(REGEXREPLACE(B7787&amp;"""",""[^0-9]"",""""),9))"),"787105005")</f>
        <v>787105005</v>
      </c>
      <c r="B7787" s="52">
        <v>7.87105005E8</v>
      </c>
      <c r="C7787" s="28" t="s">
        <v>5257</v>
      </c>
      <c r="D7787" s="26" t="s">
        <v>82</v>
      </c>
      <c r="E7787" s="31">
        <v>46245.0</v>
      </c>
      <c r="F7787" s="26" t="s">
        <v>46</v>
      </c>
      <c r="G7787" s="26">
        <v>9.0</v>
      </c>
      <c r="I7787" s="26" t="s">
        <v>970</v>
      </c>
      <c r="J7787" s="25" t="str">
        <f t="shared" si="88"/>
        <v>Yes - see Previous F-Code</v>
      </c>
      <c r="K7787" s="25" t="str">
        <f t="shared" si="89"/>
        <v/>
      </c>
      <c r="L7787" s="25" t="str">
        <f t="shared" si="90"/>
        <v>F74779</v>
      </c>
      <c r="M7787" s="25"/>
      <c r="O7787" s="25"/>
    </row>
    <row r="7788" ht="15.75" customHeight="1">
      <c r="A7788" s="25" t="str">
        <f>IFERROR(__xludf.DUMMYFUNCTION("IF(B7788="""","""",RIGHT(REGEXREPLACE(B7788&amp;"""",""[^0-9]"",""""),9))"),"716848326")</f>
        <v>716848326</v>
      </c>
      <c r="B7788" s="52">
        <v>7.16848326E8</v>
      </c>
      <c r="C7788" s="28" t="s">
        <v>8042</v>
      </c>
      <c r="D7788" s="26" t="s">
        <v>82</v>
      </c>
      <c r="E7788" s="31">
        <v>46245.0</v>
      </c>
      <c r="F7788" s="26" t="s">
        <v>659</v>
      </c>
      <c r="I7788" s="26" t="s">
        <v>970</v>
      </c>
      <c r="J7788" s="25" t="str">
        <f t="shared" si="88"/>
        <v>No</v>
      </c>
      <c r="K7788" s="25" t="str">
        <f t="shared" si="89"/>
        <v/>
      </c>
      <c r="L7788" s="25" t="str">
        <f t="shared" si="90"/>
        <v/>
      </c>
      <c r="M7788" s="25"/>
      <c r="O7788" s="25"/>
    </row>
    <row r="7789" ht="15.75" customHeight="1">
      <c r="A7789" s="25" t="str">
        <f>IFERROR(__xludf.DUMMYFUNCTION("IF(B7789="""","""",RIGHT(REGEXREPLACE(B7789&amp;"""",""[^0-9]"",""""),9))"),"712024896")</f>
        <v>712024896</v>
      </c>
      <c r="B7789" s="52">
        <v>7.12024896E8</v>
      </c>
      <c r="C7789" s="28" t="s">
        <v>8043</v>
      </c>
      <c r="D7789" s="26" t="s">
        <v>82</v>
      </c>
      <c r="E7789" s="31">
        <v>46245.0</v>
      </c>
      <c r="F7789" s="26" t="s">
        <v>46</v>
      </c>
      <c r="G7789" s="26">
        <v>11.0</v>
      </c>
      <c r="I7789" s="26" t="s">
        <v>970</v>
      </c>
      <c r="J7789" s="25" t="str">
        <f t="shared" si="88"/>
        <v>No</v>
      </c>
      <c r="K7789" s="25" t="str">
        <f t="shared" si="89"/>
        <v/>
      </c>
      <c r="L7789" s="25" t="str">
        <f t="shared" si="90"/>
        <v/>
      </c>
      <c r="M7789" s="25"/>
      <c r="O7789" s="25"/>
    </row>
    <row r="7790" ht="15.75" customHeight="1">
      <c r="A7790" s="25" t="str">
        <f>IFERROR(__xludf.DUMMYFUNCTION("IF(B7790="""","""",RIGHT(REGEXREPLACE(B7790&amp;"""",""[^0-9]"",""""),9))"),"718259488")</f>
        <v>718259488</v>
      </c>
      <c r="B7790" s="52">
        <v>7.18259488E8</v>
      </c>
      <c r="C7790" s="28" t="s">
        <v>2075</v>
      </c>
      <c r="D7790" s="26" t="s">
        <v>82</v>
      </c>
      <c r="E7790" s="31">
        <v>46245.0</v>
      </c>
      <c r="F7790" s="26" t="s">
        <v>41</v>
      </c>
      <c r="I7790" s="26" t="s">
        <v>970</v>
      </c>
      <c r="J7790" s="25" t="str">
        <f t="shared" si="88"/>
        <v>Yes - see Previous F-Code</v>
      </c>
      <c r="K7790" s="25" t="str">
        <f t="shared" si="89"/>
        <v/>
      </c>
      <c r="L7790" s="25" t="str">
        <f t="shared" si="90"/>
        <v>F71776</v>
      </c>
      <c r="M7790" s="25"/>
      <c r="O7790" s="25"/>
    </row>
    <row r="7791" ht="15.75" customHeight="1">
      <c r="A7791" s="25" t="str">
        <f>IFERROR(__xludf.DUMMYFUNCTION("IF(B7791="""","""",RIGHT(REGEXREPLACE(B7791&amp;"""",""[^0-9]"",""""),9))"),"715397531")</f>
        <v>715397531</v>
      </c>
      <c r="B7791" s="52">
        <v>7.15397531E8</v>
      </c>
      <c r="C7791" s="28" t="s">
        <v>8044</v>
      </c>
      <c r="D7791" s="26" t="s">
        <v>82</v>
      </c>
      <c r="E7791" s="31">
        <v>46245.0</v>
      </c>
      <c r="F7791" s="26" t="s">
        <v>46</v>
      </c>
      <c r="G7791" s="26">
        <v>7.0</v>
      </c>
      <c r="I7791" s="26" t="s">
        <v>970</v>
      </c>
      <c r="J7791" s="25" t="str">
        <f t="shared" si="88"/>
        <v>No</v>
      </c>
      <c r="K7791" s="25" t="str">
        <f t="shared" si="89"/>
        <v/>
      </c>
      <c r="L7791" s="25" t="str">
        <f t="shared" si="90"/>
        <v/>
      </c>
      <c r="M7791" s="25"/>
      <c r="O7791" s="26" t="s">
        <v>51</v>
      </c>
    </row>
    <row r="7792" ht="15.75" customHeight="1">
      <c r="A7792" s="25" t="str">
        <f>IFERROR(__xludf.DUMMYFUNCTION("IF(B7792="""","""",RIGHT(REGEXREPLACE(B7792&amp;"""",""[^0-9]"",""""),9))"),"717656125")</f>
        <v>717656125</v>
      </c>
      <c r="B7792" s="52">
        <v>7.17656125E8</v>
      </c>
      <c r="C7792" s="28" t="s">
        <v>2923</v>
      </c>
      <c r="D7792" s="26" t="s">
        <v>82</v>
      </c>
      <c r="E7792" s="31">
        <v>46245.0</v>
      </c>
      <c r="F7792" s="26" t="s">
        <v>46</v>
      </c>
      <c r="G7792" s="26">
        <v>8.0</v>
      </c>
      <c r="I7792" s="26" t="s">
        <v>970</v>
      </c>
      <c r="J7792" s="25" t="str">
        <f t="shared" si="88"/>
        <v>Yes - see Previous F-Code</v>
      </c>
      <c r="K7792" s="25" t="str">
        <f t="shared" si="89"/>
        <v/>
      </c>
      <c r="L7792" s="25" t="str">
        <f t="shared" si="90"/>
        <v>F71217</v>
      </c>
      <c r="M7792" s="25"/>
      <c r="O7792" s="25"/>
    </row>
    <row r="7793" ht="15.75" customHeight="1">
      <c r="A7793" s="25" t="str">
        <f>IFERROR(__xludf.DUMMYFUNCTION("IF(B7793="""","""",RIGHT(REGEXREPLACE(B7793&amp;"""",""[^0-9]"",""""),9))"),"776795653")</f>
        <v>776795653</v>
      </c>
      <c r="B7793" s="52">
        <v>7.76795653E8</v>
      </c>
      <c r="C7793" s="28" t="s">
        <v>8045</v>
      </c>
      <c r="D7793" s="26" t="s">
        <v>82</v>
      </c>
      <c r="E7793" s="31">
        <v>46245.0</v>
      </c>
      <c r="F7793" s="26" t="s">
        <v>46</v>
      </c>
      <c r="G7793" s="26">
        <v>10.0</v>
      </c>
      <c r="H7793" s="26" t="s">
        <v>8046</v>
      </c>
      <c r="I7793" s="26" t="s">
        <v>970</v>
      </c>
      <c r="J7793" s="25" t="str">
        <f t="shared" si="88"/>
        <v>No</v>
      </c>
      <c r="K7793" s="25" t="str">
        <f t="shared" si="89"/>
        <v/>
      </c>
      <c r="L7793" s="25" t="str">
        <f t="shared" si="90"/>
        <v/>
      </c>
      <c r="M7793" s="25"/>
      <c r="O7793" s="25"/>
    </row>
    <row r="7794" ht="15.75" customHeight="1">
      <c r="A7794" s="25" t="str">
        <f>IFERROR(__xludf.DUMMYFUNCTION("IF(B7794="""","""",RIGHT(REGEXREPLACE(B7794&amp;"""",""[^0-9]"",""""),9))"),"750602614")</f>
        <v>750602614</v>
      </c>
      <c r="B7794" s="52">
        <v>7.50602614E8</v>
      </c>
      <c r="C7794" s="28" t="s">
        <v>8047</v>
      </c>
      <c r="D7794" s="26" t="s">
        <v>82</v>
      </c>
      <c r="E7794" s="31">
        <v>46245.0</v>
      </c>
      <c r="F7794" s="26" t="s">
        <v>41</v>
      </c>
      <c r="I7794" s="26" t="s">
        <v>970</v>
      </c>
      <c r="J7794" s="25" t="str">
        <f t="shared" si="88"/>
        <v>No</v>
      </c>
      <c r="K7794" s="25" t="str">
        <f t="shared" si="89"/>
        <v/>
      </c>
      <c r="L7794" s="25" t="str">
        <f t="shared" si="90"/>
        <v/>
      </c>
      <c r="M7794" s="25"/>
      <c r="O7794" s="25"/>
    </row>
    <row r="7795" ht="15.75" customHeight="1">
      <c r="A7795" s="25" t="str">
        <f>IFERROR(__xludf.DUMMYFUNCTION("IF(B7795="""","""",RIGHT(REGEXREPLACE(B7795&amp;"""",""[^0-9]"",""""),9))"),"772555008")</f>
        <v>772555008</v>
      </c>
      <c r="B7795" s="52">
        <v>7.72555008E8</v>
      </c>
      <c r="C7795" s="28" t="s">
        <v>8048</v>
      </c>
      <c r="D7795" s="26" t="s">
        <v>82</v>
      </c>
      <c r="E7795" s="31">
        <v>46245.0</v>
      </c>
      <c r="F7795" s="26" t="s">
        <v>125</v>
      </c>
      <c r="G7795" s="26">
        <v>11.0</v>
      </c>
      <c r="H7795" s="26" t="s">
        <v>8049</v>
      </c>
      <c r="I7795" s="26" t="s">
        <v>970</v>
      </c>
      <c r="J7795" s="25" t="str">
        <f t="shared" si="88"/>
        <v>No</v>
      </c>
      <c r="K7795" s="25" t="str">
        <f t="shared" si="89"/>
        <v/>
      </c>
      <c r="L7795" s="25" t="str">
        <f t="shared" si="90"/>
        <v/>
      </c>
      <c r="M7795" s="25"/>
      <c r="O7795" s="25"/>
    </row>
    <row r="7796" ht="15.75" customHeight="1">
      <c r="A7796" s="25" t="str">
        <f>IFERROR(__xludf.DUMMYFUNCTION("IF(B7796="""","""",RIGHT(REGEXREPLACE(B7796&amp;"""",""[^0-9]"",""""),9))"),"714021248")</f>
        <v>714021248</v>
      </c>
      <c r="B7796" s="52">
        <v>7.14021248E8</v>
      </c>
      <c r="C7796" s="28" t="s">
        <v>8050</v>
      </c>
      <c r="D7796" s="26" t="s">
        <v>82</v>
      </c>
      <c r="E7796" s="31">
        <v>46245.0</v>
      </c>
      <c r="F7796" s="26" t="s">
        <v>164</v>
      </c>
      <c r="I7796" s="26" t="s">
        <v>970</v>
      </c>
      <c r="J7796" s="25" t="str">
        <f t="shared" si="88"/>
        <v>No</v>
      </c>
      <c r="K7796" s="25" t="str">
        <f t="shared" si="89"/>
        <v/>
      </c>
      <c r="L7796" s="25" t="str">
        <f t="shared" si="90"/>
        <v/>
      </c>
      <c r="M7796" s="25"/>
      <c r="O7796" s="25"/>
    </row>
    <row r="7797" ht="15.75" customHeight="1">
      <c r="A7797" s="25" t="str">
        <f>IFERROR(__xludf.DUMMYFUNCTION("IF(B7797="""","""",RIGHT(REGEXREPLACE(B7797&amp;"""",""[^0-9]"",""""),9))"),"776195346")</f>
        <v>776195346</v>
      </c>
      <c r="B7797" s="52">
        <v>7.76195346E8</v>
      </c>
      <c r="C7797" s="28" t="s">
        <v>496</v>
      </c>
      <c r="D7797" s="26" t="s">
        <v>82</v>
      </c>
      <c r="E7797" s="31">
        <v>46245.0</v>
      </c>
      <c r="F7797" s="26" t="s">
        <v>41</v>
      </c>
      <c r="I7797" s="26" t="s">
        <v>970</v>
      </c>
      <c r="J7797" s="25" t="str">
        <f t="shared" si="88"/>
        <v>Yes - see Previous F-Code</v>
      </c>
      <c r="K7797" s="25" t="str">
        <f t="shared" si="89"/>
        <v/>
      </c>
      <c r="L7797" s="25" t="str">
        <f t="shared" si="90"/>
        <v>F70318</v>
      </c>
      <c r="M7797" s="25"/>
      <c r="O7797" s="25"/>
    </row>
    <row r="7798" ht="15.75" customHeight="1">
      <c r="A7798" s="25" t="str">
        <f>IFERROR(__xludf.DUMMYFUNCTION("IF(B7798="""","""",RIGHT(REGEXREPLACE(B7798&amp;"""",""[^0-9]"",""""),9))"),"763531144")</f>
        <v>763531144</v>
      </c>
      <c r="B7798" s="52">
        <v>7.63531144E8</v>
      </c>
      <c r="C7798" s="28" t="s">
        <v>8051</v>
      </c>
      <c r="D7798" s="26" t="s">
        <v>82</v>
      </c>
      <c r="E7798" s="31">
        <v>46245.0</v>
      </c>
      <c r="F7798" s="26" t="s">
        <v>41</v>
      </c>
      <c r="I7798" s="26" t="s">
        <v>970</v>
      </c>
      <c r="J7798" s="25" t="str">
        <f t="shared" si="88"/>
        <v>No</v>
      </c>
      <c r="K7798" s="25" t="str">
        <f t="shared" si="89"/>
        <v/>
      </c>
      <c r="L7798" s="25" t="str">
        <f t="shared" si="90"/>
        <v/>
      </c>
      <c r="M7798" s="25"/>
      <c r="O7798" s="25"/>
    </row>
    <row r="7799" ht="15.75" customHeight="1">
      <c r="A7799" s="25" t="str">
        <f>IFERROR(__xludf.DUMMYFUNCTION("IF(B7799="""","""",RIGHT(REGEXREPLACE(B7799&amp;"""",""[^0-9]"",""""),9))"),"724705749")</f>
        <v>724705749</v>
      </c>
      <c r="B7799" s="52">
        <v>7.24705749E8</v>
      </c>
      <c r="C7799" s="28" t="s">
        <v>7828</v>
      </c>
      <c r="D7799" s="26" t="s">
        <v>82</v>
      </c>
      <c r="E7799" s="31">
        <v>46245.0</v>
      </c>
      <c r="F7799" s="26" t="s">
        <v>46</v>
      </c>
      <c r="G7799" s="26">
        <v>10.0</v>
      </c>
      <c r="I7799" s="26" t="s">
        <v>970</v>
      </c>
      <c r="J7799" s="25" t="str">
        <f t="shared" si="88"/>
        <v>Yes - see Previous F-Code</v>
      </c>
      <c r="K7799" s="25" t="str">
        <f t="shared" si="89"/>
        <v/>
      </c>
      <c r="L7799" s="25" t="str">
        <f t="shared" si="90"/>
        <v>F76710</v>
      </c>
      <c r="M7799" s="25"/>
      <c r="O7799" s="25"/>
    </row>
    <row r="7800" ht="15.75" customHeight="1">
      <c r="A7800" s="25" t="str">
        <f>IFERROR(__xludf.DUMMYFUNCTION("IF(B7800="""","""",RIGHT(REGEXREPLACE(B7800&amp;"""",""[^0-9]"",""""),9))"),"723939145")</f>
        <v>723939145</v>
      </c>
      <c r="B7800" s="52">
        <v>7.23939145E8</v>
      </c>
      <c r="C7800" s="28" t="s">
        <v>8052</v>
      </c>
      <c r="D7800" s="26" t="s">
        <v>82</v>
      </c>
      <c r="E7800" s="31">
        <v>46245.0</v>
      </c>
      <c r="F7800" s="26" t="s">
        <v>46</v>
      </c>
      <c r="G7800" s="26">
        <v>10.0</v>
      </c>
      <c r="I7800" s="26" t="s">
        <v>970</v>
      </c>
      <c r="J7800" s="25" t="str">
        <f t="shared" si="88"/>
        <v>No</v>
      </c>
      <c r="K7800" s="25" t="str">
        <f t="shared" si="89"/>
        <v/>
      </c>
      <c r="L7800" s="25" t="str">
        <f t="shared" si="90"/>
        <v/>
      </c>
      <c r="M7800" s="25"/>
      <c r="O7800" s="25"/>
    </row>
    <row r="7801" ht="15.75" customHeight="1">
      <c r="A7801" s="25" t="str">
        <f>IFERROR(__xludf.DUMMYFUNCTION("IF(B7801="""","""",RIGHT(REGEXREPLACE(B7801&amp;"""",""[^0-9]"",""""),9))"),"741945023")</f>
        <v>741945023</v>
      </c>
      <c r="B7801" s="52">
        <v>7.41945023E8</v>
      </c>
      <c r="C7801" s="28" t="s">
        <v>562</v>
      </c>
      <c r="D7801" s="26" t="s">
        <v>82</v>
      </c>
      <c r="E7801" s="31">
        <v>46245.0</v>
      </c>
      <c r="F7801" s="26" t="s">
        <v>46</v>
      </c>
      <c r="G7801" s="26">
        <v>10.0</v>
      </c>
      <c r="I7801" s="26" t="s">
        <v>970</v>
      </c>
      <c r="J7801" s="25" t="str">
        <f t="shared" si="88"/>
        <v>Yes - see Previous F-Code</v>
      </c>
      <c r="K7801" s="25" t="str">
        <f t="shared" si="89"/>
        <v/>
      </c>
      <c r="L7801" s="25" t="str">
        <f t="shared" si="90"/>
        <v>F70381</v>
      </c>
      <c r="M7801" s="25"/>
      <c r="O7801" s="25"/>
    </row>
    <row r="7802" ht="15.75" customHeight="1">
      <c r="A7802" s="25" t="str">
        <f>IFERROR(__xludf.DUMMYFUNCTION("IF(B7802="""","""",RIGHT(REGEXREPLACE(B7802&amp;"""",""[^0-9]"",""""),9))"),"775256051")</f>
        <v>775256051</v>
      </c>
      <c r="B7802" s="52">
        <v>7.75256051E8</v>
      </c>
      <c r="C7802" s="28" t="s">
        <v>8053</v>
      </c>
      <c r="D7802" s="26" t="s">
        <v>82</v>
      </c>
      <c r="E7802" s="31">
        <v>46245.0</v>
      </c>
      <c r="F7802" s="26" t="s">
        <v>46</v>
      </c>
      <c r="G7802" s="26">
        <v>11.0</v>
      </c>
      <c r="I7802" s="26" t="s">
        <v>970</v>
      </c>
      <c r="J7802" s="25" t="str">
        <f t="shared" si="88"/>
        <v>No</v>
      </c>
      <c r="K7802" s="25" t="str">
        <f t="shared" si="89"/>
        <v/>
      </c>
      <c r="L7802" s="25" t="str">
        <f t="shared" si="90"/>
        <v/>
      </c>
      <c r="M7802" s="25"/>
      <c r="O7802" s="25"/>
    </row>
    <row r="7803" ht="15.75" customHeight="1">
      <c r="A7803" s="25" t="str">
        <f>IFERROR(__xludf.DUMMYFUNCTION("IF(B7803="""","""",RIGHT(REGEXREPLACE(B7803&amp;"""",""[^0-9]"",""""),9))"),"778852084")</f>
        <v>778852084</v>
      </c>
      <c r="B7803" s="52">
        <v>7.78852084E8</v>
      </c>
      <c r="C7803" s="28" t="s">
        <v>8054</v>
      </c>
      <c r="D7803" s="26" t="s">
        <v>82</v>
      </c>
      <c r="E7803" s="31">
        <v>46245.0</v>
      </c>
      <c r="F7803" s="26" t="s">
        <v>125</v>
      </c>
      <c r="H7803" s="26" t="s">
        <v>8055</v>
      </c>
      <c r="I7803" s="26" t="s">
        <v>970</v>
      </c>
      <c r="J7803" s="25" t="str">
        <f t="shared" si="88"/>
        <v>No</v>
      </c>
      <c r="K7803" s="25" t="str">
        <f t="shared" si="89"/>
        <v/>
      </c>
      <c r="L7803" s="25" t="str">
        <f t="shared" si="90"/>
        <v/>
      </c>
      <c r="M7803" s="25"/>
      <c r="O7803" s="25"/>
    </row>
    <row r="7804" ht="15.75" customHeight="1">
      <c r="A7804" s="25" t="str">
        <f>IFERROR(__xludf.DUMMYFUNCTION("IF(B7804="""","""",RIGHT(REGEXREPLACE(B7804&amp;"""",""[^0-9]"",""""),9))"),"742853497")</f>
        <v>742853497</v>
      </c>
      <c r="B7804" s="52">
        <v>7.42853497E8</v>
      </c>
      <c r="C7804" s="28" t="s">
        <v>8056</v>
      </c>
      <c r="D7804" s="26" t="s">
        <v>82</v>
      </c>
      <c r="E7804" s="31">
        <v>46245.0</v>
      </c>
      <c r="F7804" s="26" t="s">
        <v>46</v>
      </c>
      <c r="H7804" s="26" t="s">
        <v>6087</v>
      </c>
      <c r="I7804" s="26" t="s">
        <v>970</v>
      </c>
      <c r="J7804" s="25" t="str">
        <f t="shared" si="88"/>
        <v>No</v>
      </c>
      <c r="K7804" s="25" t="str">
        <f t="shared" si="89"/>
        <v/>
      </c>
      <c r="L7804" s="25" t="str">
        <f t="shared" si="90"/>
        <v/>
      </c>
      <c r="M7804" s="25"/>
      <c r="O7804" s="25"/>
    </row>
    <row r="7805" ht="15.75" customHeight="1">
      <c r="A7805" s="25" t="str">
        <f>IFERROR(__xludf.DUMMYFUNCTION("IF(B7805="""","""",RIGHT(REGEXREPLACE(B7805&amp;"""",""[^0-9]"",""""),9))"),"760339430")</f>
        <v>760339430</v>
      </c>
      <c r="B7805" s="52">
        <v>7.6033943E8</v>
      </c>
      <c r="C7805" s="28" t="s">
        <v>8057</v>
      </c>
      <c r="D7805" s="26" t="s">
        <v>82</v>
      </c>
      <c r="E7805" s="31">
        <v>46245.0</v>
      </c>
      <c r="F7805" s="26" t="s">
        <v>46</v>
      </c>
      <c r="G7805" s="26">
        <v>11.0</v>
      </c>
      <c r="I7805" s="26" t="s">
        <v>970</v>
      </c>
      <c r="J7805" s="25" t="str">
        <f t="shared" si="88"/>
        <v>No</v>
      </c>
      <c r="K7805" s="25" t="str">
        <f t="shared" si="89"/>
        <v/>
      </c>
      <c r="L7805" s="25" t="str">
        <f t="shared" si="90"/>
        <v/>
      </c>
      <c r="M7805" s="25"/>
      <c r="O7805" s="25"/>
    </row>
    <row r="7806" ht="15.75" customHeight="1">
      <c r="A7806" s="25" t="str">
        <f>IFERROR(__xludf.DUMMYFUNCTION("IF(B7806="""","""",RIGHT(REGEXREPLACE(B7806&amp;"""",""[^0-9]"",""""),9))"),"770886766")</f>
        <v>770886766</v>
      </c>
      <c r="B7806" s="52">
        <v>7.70886766E8</v>
      </c>
      <c r="C7806" s="28" t="s">
        <v>8058</v>
      </c>
      <c r="D7806" s="26" t="s">
        <v>82</v>
      </c>
      <c r="E7806" s="31">
        <v>46245.0</v>
      </c>
      <c r="F7806" s="26" t="s">
        <v>46</v>
      </c>
      <c r="G7806" s="26">
        <v>11.0</v>
      </c>
      <c r="I7806" s="26" t="s">
        <v>970</v>
      </c>
      <c r="J7806" s="25" t="str">
        <f t="shared" si="88"/>
        <v>No</v>
      </c>
      <c r="K7806" s="25" t="str">
        <f t="shared" si="89"/>
        <v/>
      </c>
      <c r="L7806" s="25" t="str">
        <f t="shared" si="90"/>
        <v/>
      </c>
      <c r="M7806" s="25"/>
      <c r="O7806" s="25"/>
    </row>
    <row r="7807" ht="15.75" customHeight="1">
      <c r="A7807" s="25" t="str">
        <f>IFERROR(__xludf.DUMMYFUNCTION("IF(B7807="""","""",RIGHT(REGEXREPLACE(B7807&amp;"""",""[^0-9]"",""""),9))"),"783906459")</f>
        <v>783906459</v>
      </c>
      <c r="B7807" s="52">
        <v>7.83906459E8</v>
      </c>
      <c r="C7807" s="28" t="s">
        <v>4132</v>
      </c>
      <c r="D7807" s="26" t="s">
        <v>82</v>
      </c>
      <c r="E7807" s="31">
        <v>46245.0</v>
      </c>
      <c r="F7807" s="26" t="s">
        <v>41</v>
      </c>
      <c r="I7807" s="26" t="s">
        <v>970</v>
      </c>
      <c r="J7807" s="25" t="str">
        <f t="shared" si="88"/>
        <v>Yes - see Previous F-Code</v>
      </c>
      <c r="K7807" s="25" t="str">
        <f t="shared" si="89"/>
        <v/>
      </c>
      <c r="L7807" s="25" t="str">
        <f t="shared" si="90"/>
        <v>F73770</v>
      </c>
      <c r="M7807" s="25"/>
      <c r="O7807" s="25"/>
    </row>
    <row r="7808" ht="15.75" customHeight="1">
      <c r="A7808" s="25" t="str">
        <f>IFERROR(__xludf.DUMMYFUNCTION("IF(B7808="""","""",RIGHT(REGEXREPLACE(B7808&amp;"""",""[^0-9]"",""""),9))"),"741766170")</f>
        <v>741766170</v>
      </c>
      <c r="B7808" s="52">
        <v>7.4176617E8</v>
      </c>
      <c r="C7808" s="28" t="s">
        <v>8059</v>
      </c>
      <c r="D7808" s="26" t="s">
        <v>82</v>
      </c>
      <c r="E7808" s="31">
        <v>46245.0</v>
      </c>
      <c r="F7808" s="26" t="s">
        <v>46</v>
      </c>
      <c r="H7808" s="26" t="s">
        <v>8060</v>
      </c>
      <c r="I7808" s="26" t="s">
        <v>970</v>
      </c>
      <c r="J7808" s="25" t="str">
        <f t="shared" si="88"/>
        <v>No</v>
      </c>
      <c r="K7808" s="25" t="str">
        <f t="shared" si="89"/>
        <v/>
      </c>
      <c r="L7808" s="25" t="str">
        <f t="shared" si="90"/>
        <v/>
      </c>
      <c r="M7808" s="25"/>
      <c r="O7808" s="25"/>
    </row>
    <row r="7809" ht="15.75" customHeight="1">
      <c r="A7809" s="25" t="str">
        <f>IFERROR(__xludf.DUMMYFUNCTION("IF(B7809="""","""",RIGHT(REGEXREPLACE(B7809&amp;"""",""[^0-9]"",""""),9))"),"788588397")</f>
        <v>788588397</v>
      </c>
      <c r="B7809" s="52">
        <v>7.88588397E8</v>
      </c>
      <c r="C7809" s="28" t="s">
        <v>430</v>
      </c>
      <c r="D7809" s="26" t="s">
        <v>82</v>
      </c>
      <c r="E7809" s="31">
        <v>46245.0</v>
      </c>
      <c r="F7809" s="26" t="s">
        <v>46</v>
      </c>
      <c r="G7809" s="26">
        <v>10.0</v>
      </c>
      <c r="I7809" s="26" t="s">
        <v>970</v>
      </c>
      <c r="J7809" s="25" t="str">
        <f t="shared" si="88"/>
        <v>Yes - see Previous F-Code</v>
      </c>
      <c r="K7809" s="25" t="str">
        <f t="shared" si="89"/>
        <v/>
      </c>
      <c r="L7809" s="25" t="str">
        <f t="shared" si="90"/>
        <v>F70266</v>
      </c>
      <c r="M7809" s="25"/>
      <c r="O7809" s="25"/>
    </row>
    <row r="7810" ht="15.75" customHeight="1">
      <c r="A7810" s="25" t="str">
        <f>IFERROR(__xludf.DUMMYFUNCTION("IF(B7810="""","""",RIGHT(REGEXREPLACE(B7810&amp;"""",""[^0-9]"",""""),9))"),"702065080")</f>
        <v>702065080</v>
      </c>
      <c r="B7810" s="52">
        <v>7.0206508E8</v>
      </c>
      <c r="C7810" s="28" t="s">
        <v>8061</v>
      </c>
      <c r="D7810" s="26" t="s">
        <v>82</v>
      </c>
      <c r="E7810" s="31">
        <v>46245.0</v>
      </c>
      <c r="F7810" s="26" t="s">
        <v>46</v>
      </c>
      <c r="I7810" s="26" t="s">
        <v>970</v>
      </c>
      <c r="J7810" s="25" t="str">
        <f t="shared" si="88"/>
        <v>No</v>
      </c>
      <c r="K7810" s="25" t="str">
        <f t="shared" si="89"/>
        <v/>
      </c>
      <c r="L7810" s="25" t="str">
        <f t="shared" si="90"/>
        <v/>
      </c>
      <c r="M7810" s="25"/>
      <c r="O7810" s="25"/>
    </row>
    <row r="7811" ht="15.75" customHeight="1">
      <c r="A7811" s="25" t="str">
        <f>IFERROR(__xludf.DUMMYFUNCTION("IF(B7811="""","""",RIGHT(REGEXREPLACE(B7811&amp;"""",""[^0-9]"",""""),9))"),"750838602")</f>
        <v>750838602</v>
      </c>
      <c r="B7811" s="52">
        <v>7.50838602E8</v>
      </c>
      <c r="C7811" s="28" t="s">
        <v>5110</v>
      </c>
      <c r="D7811" s="26" t="s">
        <v>82</v>
      </c>
      <c r="E7811" s="31">
        <v>46245.0</v>
      </c>
      <c r="F7811" s="26" t="s">
        <v>41</v>
      </c>
      <c r="G7811" s="26">
        <v>9.0</v>
      </c>
      <c r="I7811" s="26" t="s">
        <v>970</v>
      </c>
      <c r="J7811" s="25" t="str">
        <f t="shared" si="88"/>
        <v>Yes - see Previous F-Code</v>
      </c>
      <c r="K7811" s="25" t="str">
        <f t="shared" si="89"/>
        <v/>
      </c>
      <c r="L7811" s="25" t="str">
        <f t="shared" si="90"/>
        <v>F74654</v>
      </c>
      <c r="M7811" s="25"/>
      <c r="O7811" s="25"/>
    </row>
    <row r="7812" ht="15.75" customHeight="1">
      <c r="A7812" s="25" t="str">
        <f>IFERROR(__xludf.DUMMYFUNCTION("IF(B7812="""","""",RIGHT(REGEXREPLACE(B7812&amp;"""",""[^0-9]"",""""),9))"),"758966408")</f>
        <v>758966408</v>
      </c>
      <c r="B7812" s="52">
        <v>7.58966408E8</v>
      </c>
      <c r="C7812" s="28" t="s">
        <v>8062</v>
      </c>
      <c r="D7812" s="26" t="s">
        <v>82</v>
      </c>
      <c r="E7812" s="31">
        <v>46245.0</v>
      </c>
      <c r="F7812" s="26" t="s">
        <v>41</v>
      </c>
      <c r="I7812" s="26" t="s">
        <v>970</v>
      </c>
      <c r="J7812" s="25" t="str">
        <f t="shared" si="88"/>
        <v>No</v>
      </c>
      <c r="K7812" s="25" t="str">
        <f t="shared" si="89"/>
        <v/>
      </c>
      <c r="L7812" s="25" t="str">
        <f t="shared" si="90"/>
        <v/>
      </c>
      <c r="M7812" s="25"/>
      <c r="O7812" s="25"/>
    </row>
    <row r="7813" ht="15.75" customHeight="1">
      <c r="A7813" s="25" t="str">
        <f>IFERROR(__xludf.DUMMYFUNCTION("IF(B7813="""","""",RIGHT(REGEXREPLACE(B7813&amp;"""",""[^0-9]"",""""),9))"),"763286146")</f>
        <v>763286146</v>
      </c>
      <c r="B7813" s="52">
        <v>7.63286146E8</v>
      </c>
      <c r="C7813" s="28" t="s">
        <v>8063</v>
      </c>
      <c r="D7813" s="26" t="s">
        <v>82</v>
      </c>
      <c r="E7813" s="31">
        <v>46245.0</v>
      </c>
      <c r="F7813" s="26" t="s">
        <v>125</v>
      </c>
      <c r="H7813" s="26" t="s">
        <v>8064</v>
      </c>
      <c r="I7813" s="26" t="s">
        <v>970</v>
      </c>
      <c r="J7813" s="25" t="str">
        <f t="shared" si="88"/>
        <v>No</v>
      </c>
      <c r="K7813" s="25" t="str">
        <f t="shared" si="89"/>
        <v/>
      </c>
      <c r="L7813" s="25" t="str">
        <f t="shared" si="90"/>
        <v/>
      </c>
      <c r="M7813" s="25"/>
      <c r="O7813" s="25"/>
    </row>
    <row r="7814" ht="15.75" customHeight="1">
      <c r="A7814" s="25" t="str">
        <f>IFERROR(__xludf.DUMMYFUNCTION("IF(B7814="""","""",RIGHT(REGEXREPLACE(B7814&amp;"""",""[^0-9]"",""""),9))"),"754951038")</f>
        <v>754951038</v>
      </c>
      <c r="B7814" s="52">
        <v>7.54951038E8</v>
      </c>
      <c r="C7814" s="28" t="s">
        <v>980</v>
      </c>
      <c r="D7814" s="26" t="s">
        <v>82</v>
      </c>
      <c r="E7814" s="31">
        <v>46245.0</v>
      </c>
      <c r="F7814" s="26" t="s">
        <v>46</v>
      </c>
      <c r="G7814" s="26">
        <v>11.0</v>
      </c>
      <c r="I7814" s="26" t="s">
        <v>970</v>
      </c>
      <c r="J7814" s="25" t="str">
        <f t="shared" si="88"/>
        <v>Yes - see Previous F-Code</v>
      </c>
      <c r="K7814" s="25" t="str">
        <f t="shared" si="89"/>
        <v/>
      </c>
      <c r="L7814" s="25" t="str">
        <f t="shared" si="90"/>
        <v>F70727</v>
      </c>
      <c r="M7814" s="25"/>
      <c r="O7814" s="25"/>
    </row>
    <row r="7815" ht="15.75" customHeight="1">
      <c r="A7815" s="25" t="str">
        <f>IFERROR(__xludf.DUMMYFUNCTION("IF(B7815="""","""",RIGHT(REGEXREPLACE(B7815&amp;"""",""[^0-9]"",""""),9))"),"761769508")</f>
        <v>761769508</v>
      </c>
      <c r="B7815" s="52">
        <v>7.61769508E8</v>
      </c>
      <c r="C7815" s="28" t="s">
        <v>8065</v>
      </c>
      <c r="D7815" s="26" t="s">
        <v>82</v>
      </c>
      <c r="E7815" s="31">
        <v>46245.0</v>
      </c>
      <c r="F7815" s="26" t="s">
        <v>46</v>
      </c>
      <c r="G7815" s="26">
        <v>11.0</v>
      </c>
      <c r="I7815" s="26" t="s">
        <v>970</v>
      </c>
      <c r="J7815" s="25" t="str">
        <f t="shared" si="88"/>
        <v>No</v>
      </c>
      <c r="K7815" s="25" t="str">
        <f t="shared" si="89"/>
        <v/>
      </c>
      <c r="L7815" s="25" t="str">
        <f t="shared" si="90"/>
        <v/>
      </c>
      <c r="M7815" s="25"/>
      <c r="O7815" s="25"/>
    </row>
    <row r="7816" ht="15.75" customHeight="1">
      <c r="A7816" s="25" t="str">
        <f>IFERROR(__xludf.DUMMYFUNCTION("IF(B7816="""","""",RIGHT(REGEXREPLACE(B7816&amp;"""",""[^0-9]"",""""),9))"),"717945039")</f>
        <v>717945039</v>
      </c>
      <c r="B7816" s="52">
        <v>7.17945039E8</v>
      </c>
      <c r="C7816" s="28" t="s">
        <v>8066</v>
      </c>
      <c r="D7816" s="26" t="s">
        <v>82</v>
      </c>
      <c r="E7816" s="31">
        <v>46245.0</v>
      </c>
      <c r="F7816" s="26" t="s">
        <v>46</v>
      </c>
      <c r="G7816" s="26">
        <v>11.0</v>
      </c>
      <c r="I7816" s="26" t="s">
        <v>970</v>
      </c>
      <c r="J7816" s="25" t="str">
        <f t="shared" si="88"/>
        <v>No</v>
      </c>
      <c r="K7816" s="25" t="str">
        <f t="shared" si="89"/>
        <v/>
      </c>
      <c r="L7816" s="25" t="str">
        <f t="shared" si="90"/>
        <v/>
      </c>
      <c r="M7816" s="25"/>
      <c r="O7816" s="25"/>
    </row>
    <row r="7817" ht="15.75" customHeight="1">
      <c r="A7817" s="25" t="str">
        <f>IFERROR(__xludf.DUMMYFUNCTION("IF(B7817="""","""",RIGHT(REGEXREPLACE(B7817&amp;"""",""[^0-9]"",""""),9))"),"710355862")</f>
        <v>710355862</v>
      </c>
      <c r="B7817" s="52">
        <v>7.10355862E8</v>
      </c>
      <c r="C7817" s="28" t="s">
        <v>8067</v>
      </c>
      <c r="D7817" s="26" t="s">
        <v>82</v>
      </c>
      <c r="E7817" s="31">
        <v>46245.0</v>
      </c>
      <c r="F7817" s="26" t="s">
        <v>46</v>
      </c>
      <c r="I7817" s="26" t="s">
        <v>970</v>
      </c>
      <c r="J7817" s="25" t="str">
        <f t="shared" si="88"/>
        <v>No</v>
      </c>
      <c r="K7817" s="25" t="str">
        <f t="shared" si="89"/>
        <v/>
      </c>
      <c r="L7817" s="25" t="str">
        <f t="shared" si="90"/>
        <v/>
      </c>
      <c r="M7817" s="25"/>
      <c r="O7817" s="25"/>
    </row>
    <row r="7818" ht="15.75" customHeight="1">
      <c r="C7818" s="46"/>
      <c r="D7818" s="25"/>
      <c r="F7818" s="25"/>
      <c r="I7818" s="26" t="s">
        <v>970</v>
      </c>
      <c r="M7818" s="25"/>
      <c r="O7818" s="25"/>
    </row>
    <row r="7819" ht="15.75" customHeight="1">
      <c r="A7819" s="25" t="str">
        <f>IFERROR(__xludf.DUMMYFUNCTION("IF(B7819="""","""",RIGHT(REGEXREPLACE(B7819&amp;"""",""[^0-9]"",""""),9))"),"729474160")</f>
        <v>729474160</v>
      </c>
      <c r="B7819" s="52">
        <v>7.2947416E8</v>
      </c>
      <c r="C7819" s="28" t="s">
        <v>8068</v>
      </c>
      <c r="D7819" s="26" t="s">
        <v>45</v>
      </c>
      <c r="E7819" s="31">
        <v>46245.0</v>
      </c>
      <c r="F7819" s="26" t="s">
        <v>46</v>
      </c>
      <c r="G7819" s="26">
        <v>10.0</v>
      </c>
      <c r="I7819" s="26" t="s">
        <v>970</v>
      </c>
      <c r="J7819" s="25" t="str">
        <f t="shared" ref="J7819:J7914" si="91">IF(COUNTIF($A$2:A7818,A7819)&gt;0,"Yes - see Previous F-Code","No")</f>
        <v>No</v>
      </c>
      <c r="K7819" s="25" t="str">
        <f t="shared" ref="K7819:K7914" si="92">IF(COUNTIFS($A$2:A7819,A7819,$I$2:I7819,I7819)&gt;1,"DUPLICATE - CHECK","")</f>
        <v/>
      </c>
      <c r="L7819" s="25" t="str">
        <f t="shared" ref="L7819:L7914" si="93">IF(COUNTIF($A$2:A7818,A7819)&gt;0,INDEX($C$2:C7818,MATCH(A7819,$A$2:A7818,0)),"")</f>
        <v/>
      </c>
      <c r="M7819" s="25"/>
      <c r="O7819" s="25"/>
    </row>
    <row r="7820" ht="15.75" customHeight="1">
      <c r="A7820" s="25" t="str">
        <f>IFERROR(__xludf.DUMMYFUNCTION("IF(B7820="""","""",RIGHT(REGEXREPLACE(B7820&amp;"""",""[^0-9]"",""""),9))"),"768000515")</f>
        <v>768000515</v>
      </c>
      <c r="B7820" s="52">
        <v>7.68000515E8</v>
      </c>
      <c r="C7820" s="28" t="s">
        <v>8069</v>
      </c>
      <c r="D7820" s="26" t="s">
        <v>82</v>
      </c>
      <c r="E7820" s="31">
        <v>46245.0</v>
      </c>
      <c r="F7820" s="26" t="s">
        <v>46</v>
      </c>
      <c r="G7820" s="26">
        <v>10.0</v>
      </c>
      <c r="H7820" s="26" t="s">
        <v>8070</v>
      </c>
      <c r="I7820" s="26" t="s">
        <v>970</v>
      </c>
      <c r="J7820" s="25" t="str">
        <f t="shared" si="91"/>
        <v>No</v>
      </c>
      <c r="K7820" s="25" t="str">
        <f t="shared" si="92"/>
        <v/>
      </c>
      <c r="L7820" s="25" t="str">
        <f t="shared" si="93"/>
        <v/>
      </c>
      <c r="M7820" s="25"/>
      <c r="O7820" s="25"/>
    </row>
    <row r="7821" ht="15.75" customHeight="1">
      <c r="A7821" s="25" t="str">
        <f>IFERROR(__xludf.DUMMYFUNCTION("IF(B7821="""","""",RIGHT(REGEXREPLACE(B7821&amp;"""",""[^0-9]"",""""),9))"),"771707947")</f>
        <v>771707947</v>
      </c>
      <c r="B7821" s="52">
        <v>7.71707947E8</v>
      </c>
      <c r="C7821" s="28" t="s">
        <v>8071</v>
      </c>
      <c r="D7821" s="26" t="s">
        <v>82</v>
      </c>
      <c r="E7821" s="31">
        <v>46245.0</v>
      </c>
      <c r="F7821" s="26" t="s">
        <v>46</v>
      </c>
      <c r="G7821" s="26">
        <v>11.0</v>
      </c>
      <c r="I7821" s="26" t="s">
        <v>970</v>
      </c>
      <c r="J7821" s="25" t="str">
        <f t="shared" si="91"/>
        <v>No</v>
      </c>
      <c r="K7821" s="25" t="str">
        <f t="shared" si="92"/>
        <v/>
      </c>
      <c r="L7821" s="25" t="str">
        <f t="shared" si="93"/>
        <v/>
      </c>
      <c r="M7821" s="25"/>
      <c r="O7821" s="25"/>
    </row>
    <row r="7822" ht="15.75" customHeight="1">
      <c r="A7822" s="25" t="str">
        <f>IFERROR(__xludf.DUMMYFUNCTION("IF(B7822="""","""",RIGHT(REGEXREPLACE(B7822&amp;"""",""[^0-9]"",""""),9))"),"759254098")</f>
        <v>759254098</v>
      </c>
      <c r="B7822" s="52">
        <v>7.59254098E8</v>
      </c>
      <c r="C7822" s="28" t="s">
        <v>8072</v>
      </c>
      <c r="D7822" s="26" t="s">
        <v>45</v>
      </c>
      <c r="E7822" s="31">
        <v>46245.0</v>
      </c>
      <c r="F7822" s="26" t="s">
        <v>41</v>
      </c>
      <c r="I7822" s="26" t="s">
        <v>970</v>
      </c>
      <c r="J7822" s="25" t="str">
        <f t="shared" si="91"/>
        <v>No</v>
      </c>
      <c r="K7822" s="25" t="str">
        <f t="shared" si="92"/>
        <v/>
      </c>
      <c r="L7822" s="25" t="str">
        <f t="shared" si="93"/>
        <v/>
      </c>
      <c r="M7822" s="25"/>
      <c r="O7822" s="25"/>
    </row>
    <row r="7823" ht="15.75" customHeight="1">
      <c r="A7823" s="25" t="str">
        <f>IFERROR(__xludf.DUMMYFUNCTION("IF(B7823="""","""",RIGHT(REGEXREPLACE(B7823&amp;"""",""[^0-9]"",""""),9))"),"775618946")</f>
        <v>775618946</v>
      </c>
      <c r="B7823" s="52">
        <v>7.75618946E8</v>
      </c>
      <c r="C7823" s="28" t="s">
        <v>8073</v>
      </c>
      <c r="D7823" s="26" t="s">
        <v>82</v>
      </c>
      <c r="E7823" s="31">
        <v>46245.0</v>
      </c>
      <c r="F7823" s="26" t="s">
        <v>46</v>
      </c>
      <c r="I7823" s="26" t="s">
        <v>970</v>
      </c>
      <c r="J7823" s="25" t="str">
        <f t="shared" si="91"/>
        <v>No</v>
      </c>
      <c r="K7823" s="25" t="str">
        <f t="shared" si="92"/>
        <v/>
      </c>
      <c r="L7823" s="25" t="str">
        <f t="shared" si="93"/>
        <v/>
      </c>
      <c r="M7823" s="25"/>
      <c r="O7823" s="25"/>
    </row>
    <row r="7824" ht="15.75" customHeight="1">
      <c r="A7824" s="25" t="str">
        <f>IFERROR(__xludf.DUMMYFUNCTION("IF(B7824="""","""",RIGHT(REGEXREPLACE(B7824&amp;"""",""[^0-9]"",""""),9))"),"766887228")</f>
        <v>766887228</v>
      </c>
      <c r="B7824" s="52">
        <v>7.66887228E8</v>
      </c>
      <c r="C7824" s="28" t="s">
        <v>7951</v>
      </c>
      <c r="D7824" s="26" t="s">
        <v>45</v>
      </c>
      <c r="E7824" s="31">
        <v>46245.0</v>
      </c>
      <c r="F7824" s="26" t="s">
        <v>46</v>
      </c>
      <c r="G7824" s="26">
        <v>11.0</v>
      </c>
      <c r="I7824" s="26" t="s">
        <v>970</v>
      </c>
      <c r="J7824" s="25" t="str">
        <f t="shared" si="91"/>
        <v>Yes - see Previous F-Code</v>
      </c>
      <c r="K7824" s="25" t="str">
        <f t="shared" si="92"/>
        <v/>
      </c>
      <c r="L7824" s="25" t="str">
        <f t="shared" si="93"/>
        <v>F76840</v>
      </c>
      <c r="M7824" s="25"/>
      <c r="O7824" s="25"/>
    </row>
    <row r="7825" ht="15.75" customHeight="1">
      <c r="A7825" s="25" t="str">
        <f>IFERROR(__xludf.DUMMYFUNCTION("IF(B7825="""","""",RIGHT(REGEXREPLACE(B7825&amp;"""",""[^0-9]"",""""),9))"),"714084577")</f>
        <v>714084577</v>
      </c>
      <c r="B7825" s="52">
        <v>7.14084577E8</v>
      </c>
      <c r="C7825" s="28" t="s">
        <v>8074</v>
      </c>
      <c r="D7825" s="26" t="s">
        <v>82</v>
      </c>
      <c r="E7825" s="31">
        <v>46245.0</v>
      </c>
      <c r="F7825" s="26" t="s">
        <v>46</v>
      </c>
      <c r="I7825" s="26" t="s">
        <v>970</v>
      </c>
      <c r="J7825" s="25" t="str">
        <f t="shared" si="91"/>
        <v>No</v>
      </c>
      <c r="K7825" s="25" t="str">
        <f t="shared" si="92"/>
        <v/>
      </c>
      <c r="L7825" s="25" t="str">
        <f t="shared" si="93"/>
        <v/>
      </c>
      <c r="M7825" s="25"/>
      <c r="O7825" s="25"/>
    </row>
    <row r="7826" ht="15.75" customHeight="1">
      <c r="A7826" s="25" t="str">
        <f>IFERROR(__xludf.DUMMYFUNCTION("IF(B7826="""","""",RIGHT(REGEXREPLACE(B7826&amp;"""",""[^0-9]"",""""),9))"),"776390069")</f>
        <v>776390069</v>
      </c>
      <c r="B7826" s="52">
        <v>7.76390069E8</v>
      </c>
      <c r="C7826" s="28" t="s">
        <v>8075</v>
      </c>
      <c r="D7826" s="26" t="s">
        <v>45</v>
      </c>
      <c r="E7826" s="31">
        <v>46245.0</v>
      </c>
      <c r="F7826" s="26" t="s">
        <v>41</v>
      </c>
      <c r="G7826" s="26">
        <v>9.0</v>
      </c>
      <c r="I7826" s="26" t="s">
        <v>970</v>
      </c>
      <c r="J7826" s="25" t="str">
        <f t="shared" si="91"/>
        <v>No</v>
      </c>
      <c r="K7826" s="25" t="str">
        <f t="shared" si="92"/>
        <v/>
      </c>
      <c r="L7826" s="25" t="str">
        <f t="shared" si="93"/>
        <v/>
      </c>
      <c r="M7826" s="25"/>
      <c r="O7826" s="25"/>
    </row>
    <row r="7827" ht="15.75" customHeight="1">
      <c r="A7827" s="25" t="str">
        <f>IFERROR(__xludf.DUMMYFUNCTION("IF(B7827="""","""",RIGHT(REGEXREPLACE(B7827&amp;"""",""[^0-9]"",""""),9))"),"775772791")</f>
        <v>775772791</v>
      </c>
      <c r="B7827" s="52">
        <v>7.75772791E8</v>
      </c>
      <c r="C7827" s="28" t="s">
        <v>8076</v>
      </c>
      <c r="D7827" s="26" t="s">
        <v>45</v>
      </c>
      <c r="E7827" s="31">
        <v>46245.0</v>
      </c>
      <c r="F7827" s="26" t="s">
        <v>46</v>
      </c>
      <c r="G7827" s="26">
        <v>11.0</v>
      </c>
      <c r="I7827" s="26" t="s">
        <v>970</v>
      </c>
      <c r="J7827" s="25" t="str">
        <f t="shared" si="91"/>
        <v>No</v>
      </c>
      <c r="K7827" s="25" t="str">
        <f t="shared" si="92"/>
        <v/>
      </c>
      <c r="L7827" s="25" t="str">
        <f t="shared" si="93"/>
        <v/>
      </c>
      <c r="M7827" s="25"/>
      <c r="O7827" s="25"/>
    </row>
    <row r="7828" ht="15.75" customHeight="1">
      <c r="A7828" s="25" t="str">
        <f>IFERROR(__xludf.DUMMYFUNCTION("IF(B7828="""","""",RIGHT(REGEXREPLACE(B7828&amp;"""",""[^0-9]"",""""),9))"),"741148534")</f>
        <v>741148534</v>
      </c>
      <c r="B7828" s="52">
        <v>7.41148534E8</v>
      </c>
      <c r="C7828" s="28" t="s">
        <v>8077</v>
      </c>
      <c r="D7828" s="26" t="s">
        <v>82</v>
      </c>
      <c r="E7828" s="31">
        <v>46245.0</v>
      </c>
      <c r="F7828" s="26" t="s">
        <v>41</v>
      </c>
      <c r="I7828" s="26" t="s">
        <v>970</v>
      </c>
      <c r="J7828" s="25" t="str">
        <f t="shared" si="91"/>
        <v>No</v>
      </c>
      <c r="K7828" s="25" t="str">
        <f t="shared" si="92"/>
        <v/>
      </c>
      <c r="L7828" s="25" t="str">
        <f t="shared" si="93"/>
        <v/>
      </c>
      <c r="M7828" s="25"/>
      <c r="O7828" s="25"/>
    </row>
    <row r="7829" ht="15.75" customHeight="1">
      <c r="A7829" s="25" t="str">
        <f>IFERROR(__xludf.DUMMYFUNCTION("IF(B7829="""","""",RIGHT(REGEXREPLACE(B7829&amp;"""",""[^0-9]"",""""),9))"),"776145776")</f>
        <v>776145776</v>
      </c>
      <c r="B7829" s="52">
        <v>7.76145776E8</v>
      </c>
      <c r="C7829" s="28" t="s">
        <v>8078</v>
      </c>
      <c r="D7829" s="26" t="s">
        <v>82</v>
      </c>
      <c r="E7829" s="31">
        <v>46245.0</v>
      </c>
      <c r="F7829" s="26" t="s">
        <v>46</v>
      </c>
      <c r="H7829" s="26" t="s">
        <v>8079</v>
      </c>
      <c r="I7829" s="26" t="s">
        <v>970</v>
      </c>
      <c r="J7829" s="25" t="str">
        <f t="shared" si="91"/>
        <v>No</v>
      </c>
      <c r="K7829" s="25" t="str">
        <f t="shared" si="92"/>
        <v/>
      </c>
      <c r="L7829" s="25" t="str">
        <f t="shared" si="93"/>
        <v/>
      </c>
      <c r="M7829" s="25"/>
      <c r="O7829" s="25"/>
    </row>
    <row r="7830" ht="15.75" customHeight="1">
      <c r="A7830" s="25" t="str">
        <f>IFERROR(__xludf.DUMMYFUNCTION("IF(B7830="""","""",RIGHT(REGEXREPLACE(B7830&amp;"""",""[^0-9]"",""""),9))"),"711625557")</f>
        <v>711625557</v>
      </c>
      <c r="B7830" s="52">
        <v>7.11625557E8</v>
      </c>
      <c r="C7830" s="28" t="s">
        <v>8080</v>
      </c>
      <c r="D7830" s="26" t="s">
        <v>82</v>
      </c>
      <c r="E7830" s="31">
        <v>46245.0</v>
      </c>
      <c r="F7830" s="26" t="s">
        <v>46</v>
      </c>
      <c r="G7830" s="26">
        <v>10.0</v>
      </c>
      <c r="I7830" s="26" t="s">
        <v>970</v>
      </c>
      <c r="J7830" s="25" t="str">
        <f t="shared" si="91"/>
        <v>No</v>
      </c>
      <c r="K7830" s="25" t="str">
        <f t="shared" si="92"/>
        <v/>
      </c>
      <c r="L7830" s="25" t="str">
        <f t="shared" si="93"/>
        <v/>
      </c>
      <c r="M7830" s="25"/>
      <c r="O7830" s="25"/>
    </row>
    <row r="7831" ht="15.75" customHeight="1">
      <c r="A7831" s="25" t="str">
        <f>IFERROR(__xludf.DUMMYFUNCTION("IF(B7831="""","""",RIGHT(REGEXREPLACE(B7831&amp;"""",""[^0-9]"",""""),9))"),"719446418")</f>
        <v>719446418</v>
      </c>
      <c r="B7831" s="52">
        <v>7.19446418E8</v>
      </c>
      <c r="C7831" s="28" t="s">
        <v>8081</v>
      </c>
      <c r="D7831" s="26" t="s">
        <v>45</v>
      </c>
      <c r="E7831" s="31">
        <v>46245.0</v>
      </c>
      <c r="F7831" s="26" t="s">
        <v>46</v>
      </c>
      <c r="G7831" s="26">
        <v>11.0</v>
      </c>
      <c r="I7831" s="26" t="s">
        <v>970</v>
      </c>
      <c r="J7831" s="25" t="str">
        <f t="shared" si="91"/>
        <v>No</v>
      </c>
      <c r="K7831" s="25" t="str">
        <f t="shared" si="92"/>
        <v/>
      </c>
      <c r="L7831" s="25" t="str">
        <f t="shared" si="93"/>
        <v/>
      </c>
      <c r="M7831" s="25"/>
      <c r="O7831" s="25"/>
    </row>
    <row r="7832" ht="15.75" customHeight="1">
      <c r="A7832" s="25" t="str">
        <f>IFERROR(__xludf.DUMMYFUNCTION("IF(B7832="""","""",RIGHT(REGEXREPLACE(B7832&amp;"""",""[^0-9]"",""""),9))"),"773675317")</f>
        <v>773675317</v>
      </c>
      <c r="B7832" s="52">
        <v>7.73675317E8</v>
      </c>
      <c r="C7832" s="28" t="s">
        <v>8082</v>
      </c>
      <c r="D7832" s="26" t="s">
        <v>82</v>
      </c>
      <c r="E7832" s="31">
        <v>46245.0</v>
      </c>
      <c r="F7832" s="26" t="s">
        <v>46</v>
      </c>
      <c r="H7832" s="26" t="s">
        <v>8083</v>
      </c>
      <c r="I7832" s="26" t="s">
        <v>970</v>
      </c>
      <c r="J7832" s="25" t="str">
        <f t="shared" si="91"/>
        <v>No</v>
      </c>
      <c r="K7832" s="25" t="str">
        <f t="shared" si="92"/>
        <v/>
      </c>
      <c r="L7832" s="25" t="str">
        <f t="shared" si="93"/>
        <v/>
      </c>
      <c r="M7832" s="25"/>
      <c r="O7832" s="25"/>
    </row>
    <row r="7833" ht="15.75" customHeight="1">
      <c r="A7833" s="25" t="str">
        <f>IFERROR(__xludf.DUMMYFUNCTION("IF(B7833="""","""",RIGHT(REGEXREPLACE(B7833&amp;"""",""[^0-9]"",""""),9))"),"778978888")</f>
        <v>778978888</v>
      </c>
      <c r="B7833" s="52">
        <v>7.78978888E8</v>
      </c>
      <c r="C7833" s="28" t="s">
        <v>8084</v>
      </c>
      <c r="D7833" s="26" t="s">
        <v>45</v>
      </c>
      <c r="E7833" s="31">
        <v>46245.0</v>
      </c>
      <c r="F7833" s="26" t="s">
        <v>41</v>
      </c>
      <c r="I7833" s="26" t="s">
        <v>970</v>
      </c>
      <c r="J7833" s="25" t="str">
        <f t="shared" si="91"/>
        <v>No</v>
      </c>
      <c r="K7833" s="25" t="str">
        <f t="shared" si="92"/>
        <v/>
      </c>
      <c r="L7833" s="25" t="str">
        <f t="shared" si="93"/>
        <v/>
      </c>
      <c r="M7833" s="25"/>
      <c r="O7833" s="25"/>
    </row>
    <row r="7834" ht="15.75" customHeight="1">
      <c r="A7834" s="25" t="str">
        <f>IFERROR(__xludf.DUMMYFUNCTION("IF(B7834="""","""",RIGHT(REGEXREPLACE(B7834&amp;"""",""[^0-9]"",""""),9))"),"775887070")</f>
        <v>775887070</v>
      </c>
      <c r="B7834" s="52">
        <v>7.7588707E8</v>
      </c>
      <c r="C7834" s="28" t="s">
        <v>8085</v>
      </c>
      <c r="D7834" s="26" t="s">
        <v>82</v>
      </c>
      <c r="E7834" s="31">
        <v>46245.0</v>
      </c>
      <c r="F7834" s="26" t="s">
        <v>46</v>
      </c>
      <c r="G7834" s="26">
        <v>10.0</v>
      </c>
      <c r="H7834" s="26" t="s">
        <v>8086</v>
      </c>
      <c r="I7834" s="26" t="s">
        <v>970</v>
      </c>
      <c r="J7834" s="25" t="str">
        <f t="shared" si="91"/>
        <v>No</v>
      </c>
      <c r="K7834" s="25" t="str">
        <f t="shared" si="92"/>
        <v/>
      </c>
      <c r="L7834" s="25" t="str">
        <f t="shared" si="93"/>
        <v/>
      </c>
      <c r="M7834" s="25"/>
      <c r="O7834" s="25"/>
    </row>
    <row r="7835" ht="15.75" customHeight="1">
      <c r="A7835" s="25" t="str">
        <f>IFERROR(__xludf.DUMMYFUNCTION("IF(B7835="""","""",RIGHT(REGEXREPLACE(B7835&amp;"""",""[^0-9]"",""""),9))"),"718045484")</f>
        <v>718045484</v>
      </c>
      <c r="B7835" s="52">
        <v>7.18045484E8</v>
      </c>
      <c r="C7835" s="28" t="s">
        <v>8087</v>
      </c>
      <c r="D7835" s="26" t="s">
        <v>45</v>
      </c>
      <c r="E7835" s="31">
        <v>46245.0</v>
      </c>
      <c r="F7835" s="26" t="s">
        <v>46</v>
      </c>
      <c r="G7835" s="26">
        <v>10.0</v>
      </c>
      <c r="I7835" s="26" t="s">
        <v>970</v>
      </c>
      <c r="J7835" s="25" t="str">
        <f t="shared" si="91"/>
        <v>No</v>
      </c>
      <c r="K7835" s="25" t="str">
        <f t="shared" si="92"/>
        <v/>
      </c>
      <c r="L7835" s="25" t="str">
        <f t="shared" si="93"/>
        <v/>
      </c>
      <c r="M7835" s="25"/>
      <c r="O7835" s="25"/>
    </row>
    <row r="7836" ht="15.75" customHeight="1">
      <c r="A7836" s="25" t="str">
        <f>IFERROR(__xludf.DUMMYFUNCTION("IF(B7836="""","""",RIGHT(REGEXREPLACE(B7836&amp;"""",""[^0-9]"",""""),9))"),"769444352")</f>
        <v>769444352</v>
      </c>
      <c r="B7836" s="52">
        <v>7.69444352E8</v>
      </c>
      <c r="C7836" s="28" t="s">
        <v>8088</v>
      </c>
      <c r="D7836" s="26" t="s">
        <v>82</v>
      </c>
      <c r="E7836" s="31">
        <v>46245.0</v>
      </c>
      <c r="F7836" s="26" t="s">
        <v>46</v>
      </c>
      <c r="G7836" s="26">
        <v>11.0</v>
      </c>
      <c r="I7836" s="26" t="s">
        <v>970</v>
      </c>
      <c r="J7836" s="25" t="str">
        <f t="shared" si="91"/>
        <v>No</v>
      </c>
      <c r="K7836" s="25" t="str">
        <f t="shared" si="92"/>
        <v/>
      </c>
      <c r="L7836" s="25" t="str">
        <f t="shared" si="93"/>
        <v/>
      </c>
      <c r="M7836" s="25"/>
      <c r="O7836" s="25"/>
    </row>
    <row r="7837" ht="15.75" customHeight="1">
      <c r="A7837" s="25" t="str">
        <f>IFERROR(__xludf.DUMMYFUNCTION("IF(B7837="""","""",RIGHT(REGEXREPLACE(B7837&amp;"""",""[^0-9]"",""""),9))"),"777037575")</f>
        <v>777037575</v>
      </c>
      <c r="B7837" s="52">
        <v>7.77037575E8</v>
      </c>
      <c r="C7837" s="28" t="s">
        <v>8089</v>
      </c>
      <c r="D7837" s="26" t="s">
        <v>82</v>
      </c>
      <c r="E7837" s="31">
        <v>46245.0</v>
      </c>
      <c r="F7837" s="26" t="s">
        <v>41</v>
      </c>
      <c r="I7837" s="26" t="s">
        <v>970</v>
      </c>
      <c r="J7837" s="25" t="str">
        <f t="shared" si="91"/>
        <v>No</v>
      </c>
      <c r="K7837" s="25" t="str">
        <f t="shared" si="92"/>
        <v/>
      </c>
      <c r="L7837" s="25" t="str">
        <f t="shared" si="93"/>
        <v/>
      </c>
      <c r="M7837" s="25"/>
      <c r="O7837" s="25"/>
    </row>
    <row r="7838" ht="15.75" customHeight="1">
      <c r="A7838" s="25" t="str">
        <f>IFERROR(__xludf.DUMMYFUNCTION("IF(B7838="""","""",RIGHT(REGEXREPLACE(B7838&amp;"""",""[^0-9]"",""""),9))"),"717703771")</f>
        <v>717703771</v>
      </c>
      <c r="B7838" s="52">
        <v>7.17703771E8</v>
      </c>
      <c r="C7838" s="28" t="s">
        <v>8090</v>
      </c>
      <c r="D7838" s="26" t="s">
        <v>82</v>
      </c>
      <c r="E7838" s="31">
        <v>46245.0</v>
      </c>
      <c r="F7838" s="26" t="s">
        <v>659</v>
      </c>
      <c r="I7838" s="26" t="s">
        <v>970</v>
      </c>
      <c r="J7838" s="25" t="str">
        <f t="shared" si="91"/>
        <v>No</v>
      </c>
      <c r="K7838" s="25" t="str">
        <f t="shared" si="92"/>
        <v/>
      </c>
      <c r="L7838" s="25" t="str">
        <f t="shared" si="93"/>
        <v/>
      </c>
      <c r="M7838" s="25"/>
      <c r="O7838" s="25"/>
    </row>
    <row r="7839" ht="15.75" customHeight="1">
      <c r="A7839" s="25" t="str">
        <f>IFERROR(__xludf.DUMMYFUNCTION("IF(B7839="""","""",RIGHT(REGEXREPLACE(B7839&amp;"""",""[^0-9]"",""""),9))"),"716133160")</f>
        <v>716133160</v>
      </c>
      <c r="B7839" s="52">
        <v>7.1613316E8</v>
      </c>
      <c r="C7839" s="28" t="s">
        <v>8091</v>
      </c>
      <c r="D7839" s="26" t="s">
        <v>82</v>
      </c>
      <c r="E7839" s="31">
        <v>46245.0</v>
      </c>
      <c r="F7839" s="26" t="s">
        <v>46</v>
      </c>
      <c r="G7839" s="26">
        <v>10.0</v>
      </c>
      <c r="I7839" s="26" t="s">
        <v>970</v>
      </c>
      <c r="J7839" s="25" t="str">
        <f t="shared" si="91"/>
        <v>No</v>
      </c>
      <c r="K7839" s="25" t="str">
        <f t="shared" si="92"/>
        <v/>
      </c>
      <c r="L7839" s="25" t="str">
        <f t="shared" si="93"/>
        <v/>
      </c>
      <c r="M7839" s="25"/>
      <c r="O7839" s="25"/>
    </row>
    <row r="7840" ht="15.75" customHeight="1">
      <c r="A7840" s="25" t="str">
        <f>IFERROR(__xludf.DUMMYFUNCTION("IF(B7840="""","""",RIGHT(REGEXREPLACE(B7840&amp;"""",""[^0-9]"",""""),9))"),"772912007")</f>
        <v>772912007</v>
      </c>
      <c r="B7840" s="52">
        <v>7.72912007E8</v>
      </c>
      <c r="C7840" s="28" t="s">
        <v>6195</v>
      </c>
      <c r="D7840" s="26" t="s">
        <v>82</v>
      </c>
      <c r="E7840" s="31">
        <v>46245.0</v>
      </c>
      <c r="F7840" s="26" t="s">
        <v>46</v>
      </c>
      <c r="I7840" s="26" t="s">
        <v>970</v>
      </c>
      <c r="J7840" s="25" t="str">
        <f t="shared" si="91"/>
        <v>Yes - see Previous F-Code</v>
      </c>
      <c r="K7840" s="25" t="str">
        <f t="shared" si="92"/>
        <v/>
      </c>
      <c r="L7840" s="25" t="str">
        <f t="shared" si="93"/>
        <v>F75593</v>
      </c>
      <c r="M7840" s="25"/>
      <c r="O7840" s="25"/>
    </row>
    <row r="7841" ht="15.75" customHeight="1">
      <c r="A7841" s="25" t="str">
        <f>IFERROR(__xludf.DUMMYFUNCTION("IF(B7841="""","""",RIGHT(REGEXREPLACE(B7841&amp;"""",""[^0-9]"",""""),9))"),"771880526")</f>
        <v>771880526</v>
      </c>
      <c r="B7841" s="52">
        <v>7.71880526E8</v>
      </c>
      <c r="C7841" s="28" t="s">
        <v>8092</v>
      </c>
      <c r="D7841" s="26" t="s">
        <v>45</v>
      </c>
      <c r="E7841" s="31">
        <v>46245.0</v>
      </c>
      <c r="F7841" s="26" t="s">
        <v>46</v>
      </c>
      <c r="G7841" s="26">
        <v>11.0</v>
      </c>
      <c r="H7841" s="26" t="s">
        <v>253</v>
      </c>
      <c r="I7841" s="26" t="s">
        <v>970</v>
      </c>
      <c r="J7841" s="25" t="str">
        <f t="shared" si="91"/>
        <v>No</v>
      </c>
      <c r="K7841" s="25" t="str">
        <f t="shared" si="92"/>
        <v/>
      </c>
      <c r="L7841" s="25" t="str">
        <f t="shared" si="93"/>
        <v/>
      </c>
      <c r="M7841" s="25"/>
      <c r="O7841" s="25"/>
    </row>
    <row r="7842" ht="15.75" customHeight="1">
      <c r="A7842" s="25" t="str">
        <f>IFERROR(__xludf.DUMMYFUNCTION("IF(B7842="""","""",RIGHT(REGEXREPLACE(B7842&amp;"""",""[^0-9]"",""""),9))"),"704101863")</f>
        <v>704101863</v>
      </c>
      <c r="B7842" s="52">
        <v>7.04101863E8</v>
      </c>
      <c r="C7842" s="28" t="s">
        <v>8093</v>
      </c>
      <c r="D7842" s="26" t="s">
        <v>82</v>
      </c>
      <c r="E7842" s="31">
        <v>46245.0</v>
      </c>
      <c r="F7842" s="26" t="s">
        <v>659</v>
      </c>
      <c r="I7842" s="26" t="s">
        <v>970</v>
      </c>
      <c r="J7842" s="25" t="str">
        <f t="shared" si="91"/>
        <v>No</v>
      </c>
      <c r="K7842" s="25" t="str">
        <f t="shared" si="92"/>
        <v/>
      </c>
      <c r="L7842" s="25" t="str">
        <f t="shared" si="93"/>
        <v/>
      </c>
      <c r="M7842" s="25"/>
      <c r="O7842" s="25"/>
    </row>
    <row r="7843" ht="15.75" customHeight="1">
      <c r="A7843" s="25" t="str">
        <f>IFERROR(__xludf.DUMMYFUNCTION("IF(B7843="""","""",RIGHT(REGEXREPLACE(B7843&amp;"""",""[^0-9]"",""""),9))"),"776518018")</f>
        <v>776518018</v>
      </c>
      <c r="B7843" s="52">
        <v>7.76518018E8</v>
      </c>
      <c r="C7843" s="28" t="s">
        <v>8094</v>
      </c>
      <c r="D7843" s="26" t="s">
        <v>45</v>
      </c>
      <c r="E7843" s="31">
        <v>46245.0</v>
      </c>
      <c r="F7843" s="26" t="s">
        <v>46</v>
      </c>
      <c r="G7843" s="26">
        <v>11.0</v>
      </c>
      <c r="I7843" s="26" t="s">
        <v>970</v>
      </c>
      <c r="J7843" s="25" t="str">
        <f t="shared" si="91"/>
        <v>No</v>
      </c>
      <c r="K7843" s="25" t="str">
        <f t="shared" si="92"/>
        <v/>
      </c>
      <c r="L7843" s="25" t="str">
        <f t="shared" si="93"/>
        <v/>
      </c>
      <c r="M7843" s="25"/>
      <c r="O7843" s="25"/>
    </row>
    <row r="7844" ht="15.75" customHeight="1">
      <c r="A7844" s="25" t="str">
        <f>IFERROR(__xludf.DUMMYFUNCTION("IF(B7844="""","""",RIGHT(REGEXREPLACE(B7844&amp;"""",""[^0-9]"",""""),9))"),"705726969")</f>
        <v>705726969</v>
      </c>
      <c r="B7844" s="52">
        <v>7.05726969E8</v>
      </c>
      <c r="C7844" s="28" t="s">
        <v>8095</v>
      </c>
      <c r="D7844" s="26" t="s">
        <v>82</v>
      </c>
      <c r="E7844" s="31">
        <v>46245.0</v>
      </c>
      <c r="F7844" s="26" t="s">
        <v>125</v>
      </c>
      <c r="G7844" s="96">
        <v>46214.0</v>
      </c>
      <c r="H7844" s="26" t="s">
        <v>8096</v>
      </c>
      <c r="I7844" s="26" t="s">
        <v>970</v>
      </c>
      <c r="J7844" s="25" t="str">
        <f t="shared" si="91"/>
        <v>No</v>
      </c>
      <c r="K7844" s="25" t="str">
        <f t="shared" si="92"/>
        <v/>
      </c>
      <c r="L7844" s="25" t="str">
        <f t="shared" si="93"/>
        <v/>
      </c>
      <c r="M7844" s="25"/>
      <c r="O7844" s="25"/>
    </row>
    <row r="7845" ht="15.75" customHeight="1">
      <c r="A7845" s="25" t="str">
        <f>IFERROR(__xludf.DUMMYFUNCTION("IF(B7845="""","""",RIGHT(REGEXREPLACE(B7845&amp;"""",""[^0-9]"",""""),9))"),"719174184")</f>
        <v>719174184</v>
      </c>
      <c r="B7845" s="52">
        <v>7.19174184E8</v>
      </c>
      <c r="C7845" s="28" t="s">
        <v>8097</v>
      </c>
      <c r="D7845" s="26" t="s">
        <v>45</v>
      </c>
      <c r="E7845" s="31">
        <v>46245.0</v>
      </c>
      <c r="F7845" s="26" t="s">
        <v>205</v>
      </c>
      <c r="G7845" s="26">
        <v>11.0</v>
      </c>
      <c r="I7845" s="26" t="s">
        <v>970</v>
      </c>
      <c r="J7845" s="25" t="str">
        <f t="shared" si="91"/>
        <v>No</v>
      </c>
      <c r="K7845" s="25" t="str">
        <f t="shared" si="92"/>
        <v/>
      </c>
      <c r="L7845" s="25" t="str">
        <f t="shared" si="93"/>
        <v/>
      </c>
      <c r="M7845" s="25"/>
      <c r="O7845" s="25"/>
    </row>
    <row r="7846" ht="15.75" customHeight="1">
      <c r="A7846" s="25" t="str">
        <f>IFERROR(__xludf.DUMMYFUNCTION("IF(B7846="""","""",RIGHT(REGEXREPLACE(B7846&amp;"""",""[^0-9]"",""""),9))"),"712382584")</f>
        <v>712382584</v>
      </c>
      <c r="B7846" s="52">
        <v>7.12382584E8</v>
      </c>
      <c r="C7846" s="28" t="s">
        <v>8098</v>
      </c>
      <c r="D7846" s="26" t="s">
        <v>82</v>
      </c>
      <c r="E7846" s="31">
        <v>46245.0</v>
      </c>
      <c r="F7846" s="26" t="s">
        <v>46</v>
      </c>
      <c r="I7846" s="26" t="s">
        <v>970</v>
      </c>
      <c r="J7846" s="25" t="str">
        <f t="shared" si="91"/>
        <v>No</v>
      </c>
      <c r="K7846" s="25" t="str">
        <f t="shared" si="92"/>
        <v/>
      </c>
      <c r="L7846" s="25" t="str">
        <f t="shared" si="93"/>
        <v/>
      </c>
      <c r="M7846" s="25"/>
      <c r="O7846" s="25"/>
    </row>
    <row r="7847" ht="15.75" customHeight="1">
      <c r="A7847" s="25" t="str">
        <f>IFERROR(__xludf.DUMMYFUNCTION("IF(B7847="""","""",RIGHT(REGEXREPLACE(B7847&amp;"""",""[^0-9]"",""""),9))"),"776908955")</f>
        <v>776908955</v>
      </c>
      <c r="B7847" s="52">
        <v>7.76908955E8</v>
      </c>
      <c r="C7847" s="28" t="s">
        <v>8099</v>
      </c>
      <c r="D7847" s="26" t="s">
        <v>45</v>
      </c>
      <c r="E7847" s="31">
        <v>46245.0</v>
      </c>
      <c r="F7847" s="26" t="s">
        <v>205</v>
      </c>
      <c r="I7847" s="26" t="s">
        <v>970</v>
      </c>
      <c r="J7847" s="25" t="str">
        <f t="shared" si="91"/>
        <v>No</v>
      </c>
      <c r="K7847" s="25" t="str">
        <f t="shared" si="92"/>
        <v/>
      </c>
      <c r="L7847" s="25" t="str">
        <f t="shared" si="93"/>
        <v/>
      </c>
      <c r="M7847" s="25"/>
      <c r="O7847" s="25"/>
    </row>
    <row r="7848" ht="15.75" customHeight="1">
      <c r="A7848" s="25" t="str">
        <f>IFERROR(__xludf.DUMMYFUNCTION("IF(B7848="""","""",RIGHT(REGEXREPLACE(B7848&amp;"""",""[^0-9]"",""""),9))"),"701452456")</f>
        <v>701452456</v>
      </c>
      <c r="B7848" s="52">
        <v>7.01452456E8</v>
      </c>
      <c r="C7848" s="28" t="s">
        <v>8100</v>
      </c>
      <c r="D7848" s="26" t="s">
        <v>45</v>
      </c>
      <c r="E7848" s="31">
        <v>46245.0</v>
      </c>
      <c r="F7848" s="26" t="s">
        <v>164</v>
      </c>
      <c r="I7848" s="26" t="s">
        <v>970</v>
      </c>
      <c r="J7848" s="25" t="str">
        <f t="shared" si="91"/>
        <v>No</v>
      </c>
      <c r="K7848" s="25" t="str">
        <f t="shared" si="92"/>
        <v/>
      </c>
      <c r="L7848" s="25" t="str">
        <f t="shared" si="93"/>
        <v/>
      </c>
      <c r="M7848" s="25"/>
      <c r="O7848" s="25"/>
    </row>
    <row r="7849" ht="15.75" customHeight="1">
      <c r="A7849" s="25" t="str">
        <f>IFERROR(__xludf.DUMMYFUNCTION("IF(B7849="""","""",RIGHT(REGEXREPLACE(B7849&amp;"""",""[^0-9]"",""""),9))"),"717519248")</f>
        <v>717519248</v>
      </c>
      <c r="B7849" s="52">
        <v>7.17519248E8</v>
      </c>
      <c r="C7849" s="28" t="s">
        <v>8101</v>
      </c>
      <c r="D7849" s="26" t="s">
        <v>45</v>
      </c>
      <c r="E7849" s="31">
        <v>46245.0</v>
      </c>
      <c r="F7849" s="26" t="s">
        <v>46</v>
      </c>
      <c r="H7849" s="72" t="s">
        <v>8102</v>
      </c>
      <c r="I7849" s="26" t="s">
        <v>970</v>
      </c>
      <c r="J7849" s="25" t="str">
        <f t="shared" si="91"/>
        <v>No</v>
      </c>
      <c r="K7849" s="25" t="str">
        <f t="shared" si="92"/>
        <v/>
      </c>
      <c r="L7849" s="25" t="str">
        <f t="shared" si="93"/>
        <v/>
      </c>
      <c r="M7849" s="25"/>
      <c r="O7849" s="25"/>
    </row>
    <row r="7850" ht="15.75" customHeight="1">
      <c r="A7850" s="25" t="str">
        <f>IFERROR(__xludf.DUMMYFUNCTION("IF(B7850="""","""",RIGHT(REGEXREPLACE(B7850&amp;"""",""[^0-9]"",""""),9))"),"785370696")</f>
        <v>785370696</v>
      </c>
      <c r="B7850" s="52">
        <v>7.85370696E8</v>
      </c>
      <c r="C7850" s="28" t="s">
        <v>8103</v>
      </c>
      <c r="D7850" s="26" t="s">
        <v>82</v>
      </c>
      <c r="E7850" s="31">
        <v>46245.0</v>
      </c>
      <c r="F7850" s="26" t="s">
        <v>46</v>
      </c>
      <c r="G7850" s="26">
        <v>11.0</v>
      </c>
      <c r="I7850" s="26" t="s">
        <v>970</v>
      </c>
      <c r="J7850" s="25" t="str">
        <f t="shared" si="91"/>
        <v>No</v>
      </c>
      <c r="K7850" s="25" t="str">
        <f t="shared" si="92"/>
        <v/>
      </c>
      <c r="L7850" s="25" t="str">
        <f t="shared" si="93"/>
        <v/>
      </c>
      <c r="M7850" s="25"/>
      <c r="O7850" s="25"/>
    </row>
    <row r="7851" ht="15.75" customHeight="1">
      <c r="A7851" s="25" t="str">
        <f>IFERROR(__xludf.DUMMYFUNCTION("IF(B7851="""","""",RIGHT(REGEXREPLACE(B7851&amp;"""",""[^0-9]"",""""),9))"),"714393994")</f>
        <v>714393994</v>
      </c>
      <c r="B7851" s="52">
        <v>7.14393994E8</v>
      </c>
      <c r="C7851" s="28" t="s">
        <v>8104</v>
      </c>
      <c r="D7851" s="26" t="s">
        <v>45</v>
      </c>
      <c r="E7851" s="31">
        <v>46245.0</v>
      </c>
      <c r="F7851" s="26" t="s">
        <v>46</v>
      </c>
      <c r="G7851" s="26">
        <v>11.0</v>
      </c>
      <c r="I7851" s="26" t="s">
        <v>970</v>
      </c>
      <c r="J7851" s="25" t="str">
        <f t="shared" si="91"/>
        <v>No</v>
      </c>
      <c r="K7851" s="25" t="str">
        <f t="shared" si="92"/>
        <v/>
      </c>
      <c r="L7851" s="25" t="str">
        <f t="shared" si="93"/>
        <v/>
      </c>
      <c r="M7851" s="25"/>
      <c r="O7851" s="25"/>
    </row>
    <row r="7852" ht="15.75" customHeight="1">
      <c r="A7852" s="25" t="str">
        <f>IFERROR(__xludf.DUMMYFUNCTION("IF(B7852="""","""",RIGHT(REGEXREPLACE(B7852&amp;"""",""[^0-9]"",""""),9))"),"741625537")</f>
        <v>741625537</v>
      </c>
      <c r="B7852" s="52">
        <v>7.41625537E8</v>
      </c>
      <c r="C7852" s="28" t="s">
        <v>8105</v>
      </c>
      <c r="D7852" s="26" t="s">
        <v>82</v>
      </c>
      <c r="E7852" s="31">
        <v>46245.0</v>
      </c>
      <c r="F7852" s="26" t="s">
        <v>41</v>
      </c>
      <c r="I7852" s="26" t="s">
        <v>970</v>
      </c>
      <c r="J7852" s="25" t="str">
        <f t="shared" si="91"/>
        <v>No</v>
      </c>
      <c r="K7852" s="25" t="str">
        <f t="shared" si="92"/>
        <v/>
      </c>
      <c r="L7852" s="25" t="str">
        <f t="shared" si="93"/>
        <v/>
      </c>
      <c r="M7852" s="25"/>
      <c r="O7852" s="25"/>
    </row>
    <row r="7853" ht="15.75" customHeight="1">
      <c r="A7853" s="25" t="str">
        <f>IFERROR(__xludf.DUMMYFUNCTION("IF(B7853="""","""",RIGHT(REGEXREPLACE(B7853&amp;"""",""[^0-9]"",""""),9))"),"767614150")</f>
        <v>767614150</v>
      </c>
      <c r="B7853" s="52">
        <v>7.6761415E8</v>
      </c>
      <c r="C7853" s="28" t="s">
        <v>4072</v>
      </c>
      <c r="D7853" s="26" t="s">
        <v>82</v>
      </c>
      <c r="E7853" s="31">
        <v>46245.0</v>
      </c>
      <c r="F7853" s="26" t="s">
        <v>125</v>
      </c>
      <c r="H7853" s="26" t="s">
        <v>8106</v>
      </c>
      <c r="I7853" s="26" t="s">
        <v>970</v>
      </c>
      <c r="J7853" s="25" t="str">
        <f t="shared" si="91"/>
        <v>Yes - see Previous F-Code</v>
      </c>
      <c r="K7853" s="25" t="str">
        <f t="shared" si="92"/>
        <v/>
      </c>
      <c r="L7853" s="25" t="str">
        <f t="shared" si="93"/>
        <v>F73713</v>
      </c>
      <c r="M7853" s="25"/>
      <c r="O7853" s="25"/>
    </row>
    <row r="7854" ht="15.75" customHeight="1">
      <c r="A7854" s="25" t="str">
        <f>IFERROR(__xludf.DUMMYFUNCTION("IF(B7854="""","""",RIGHT(REGEXREPLACE(B7854&amp;"""",""[^0-9]"",""""),9))"),"771406041")</f>
        <v>771406041</v>
      </c>
      <c r="B7854" s="52">
        <v>7.71406041E8</v>
      </c>
      <c r="C7854" s="28" t="s">
        <v>7909</v>
      </c>
      <c r="D7854" s="26" t="s">
        <v>82</v>
      </c>
      <c r="E7854" s="31">
        <v>46245.0</v>
      </c>
      <c r="F7854" s="26" t="s">
        <v>41</v>
      </c>
      <c r="I7854" s="26" t="s">
        <v>970</v>
      </c>
      <c r="J7854" s="25" t="str">
        <f t="shared" si="91"/>
        <v>Yes - see Previous F-Code</v>
      </c>
      <c r="K7854" s="25" t="str">
        <f t="shared" si="92"/>
        <v/>
      </c>
      <c r="L7854" s="25" t="str">
        <f t="shared" si="93"/>
        <v>F76795</v>
      </c>
      <c r="M7854" s="25"/>
      <c r="O7854" s="25"/>
    </row>
    <row r="7855" ht="15.75" customHeight="1">
      <c r="A7855" s="25" t="str">
        <f>IFERROR(__xludf.DUMMYFUNCTION("IF(B7855="""","""",RIGHT(REGEXREPLACE(B7855&amp;"""",""[^0-9]"",""""),9))"),"770258767")</f>
        <v>770258767</v>
      </c>
      <c r="B7855" s="52">
        <v>7.70258767E8</v>
      </c>
      <c r="C7855" s="28" t="s">
        <v>3827</v>
      </c>
      <c r="D7855" s="26" t="s">
        <v>82</v>
      </c>
      <c r="E7855" s="31">
        <v>46245.0</v>
      </c>
      <c r="F7855" s="26" t="s">
        <v>41</v>
      </c>
      <c r="I7855" s="26" t="s">
        <v>970</v>
      </c>
      <c r="J7855" s="25" t="str">
        <f t="shared" si="91"/>
        <v>Yes - see Previous F-Code</v>
      </c>
      <c r="K7855" s="25" t="str">
        <f t="shared" si="92"/>
        <v>DUPLICATE - CHECK</v>
      </c>
      <c r="L7855" s="25" t="str">
        <f t="shared" si="93"/>
        <v>F73479</v>
      </c>
      <c r="M7855" s="25"/>
      <c r="O7855" s="25"/>
    </row>
    <row r="7856" ht="15.75" customHeight="1">
      <c r="A7856" s="25" t="str">
        <f>IFERROR(__xludf.DUMMYFUNCTION("IF(B7856="""","""",RIGHT(REGEXREPLACE(B7856&amp;"""",""[^0-9]"",""""),9))"),"753349574")</f>
        <v>753349574</v>
      </c>
      <c r="B7856" s="52">
        <v>7.53349574E8</v>
      </c>
      <c r="C7856" s="28" t="s">
        <v>608</v>
      </c>
      <c r="D7856" s="26" t="s">
        <v>82</v>
      </c>
      <c r="E7856" s="31">
        <v>46245.0</v>
      </c>
      <c r="F7856" s="26" t="s">
        <v>41</v>
      </c>
      <c r="I7856" s="26" t="s">
        <v>970</v>
      </c>
      <c r="J7856" s="25" t="str">
        <f t="shared" si="91"/>
        <v>Yes - see Previous F-Code</v>
      </c>
      <c r="K7856" s="25" t="str">
        <f t="shared" si="92"/>
        <v/>
      </c>
      <c r="L7856" s="25" t="str">
        <f t="shared" si="93"/>
        <v>F70421</v>
      </c>
      <c r="M7856" s="25"/>
      <c r="O7856" s="25"/>
    </row>
    <row r="7857" ht="15.75" customHeight="1">
      <c r="A7857" s="25" t="str">
        <f>IFERROR(__xludf.DUMMYFUNCTION("IF(B7857="""","""",RIGHT(REGEXREPLACE(B7857&amp;"""",""[^0-9]"",""""),9))"),"779955334")</f>
        <v>779955334</v>
      </c>
      <c r="B7857" s="52">
        <v>7.79955334E8</v>
      </c>
      <c r="C7857" s="28" t="s">
        <v>2397</v>
      </c>
      <c r="D7857" s="26" t="s">
        <v>45</v>
      </c>
      <c r="E7857" s="31">
        <v>46245.0</v>
      </c>
      <c r="F7857" s="26" t="s">
        <v>46</v>
      </c>
      <c r="G7857" s="26">
        <v>11.0</v>
      </c>
      <c r="I7857" s="26" t="s">
        <v>970</v>
      </c>
      <c r="J7857" s="25" t="str">
        <f t="shared" si="91"/>
        <v>Yes - see Previous F-Code</v>
      </c>
      <c r="K7857" s="25" t="str">
        <f t="shared" si="92"/>
        <v/>
      </c>
      <c r="L7857" s="25" t="str">
        <f t="shared" si="93"/>
        <v>F72092</v>
      </c>
      <c r="M7857" s="25"/>
      <c r="O7857" s="25"/>
    </row>
    <row r="7858" ht="15.75" customHeight="1">
      <c r="A7858" s="25" t="str">
        <f>IFERROR(__xludf.DUMMYFUNCTION("IF(B7858="""","""",RIGHT(REGEXREPLACE(B7858&amp;"""",""[^0-9]"",""""),9))"),"778710343")</f>
        <v>778710343</v>
      </c>
      <c r="B7858" s="52">
        <v>7.78710343E8</v>
      </c>
      <c r="C7858" s="28" t="s">
        <v>4674</v>
      </c>
      <c r="D7858" s="26" t="s">
        <v>45</v>
      </c>
      <c r="E7858" s="31">
        <v>46245.0</v>
      </c>
      <c r="F7858" s="26" t="s">
        <v>41</v>
      </c>
      <c r="I7858" s="26" t="s">
        <v>970</v>
      </c>
      <c r="J7858" s="25" t="str">
        <f t="shared" si="91"/>
        <v>Yes - see Previous F-Code</v>
      </c>
      <c r="K7858" s="25" t="str">
        <f t="shared" si="92"/>
        <v/>
      </c>
      <c r="L7858" s="25" t="str">
        <f t="shared" si="93"/>
        <v>F74262</v>
      </c>
      <c r="M7858" s="25"/>
      <c r="O7858" s="25"/>
    </row>
    <row r="7859" ht="15.75" customHeight="1">
      <c r="A7859" s="25" t="str">
        <f>IFERROR(__xludf.DUMMYFUNCTION("IF(B7859="""","""",RIGHT(REGEXREPLACE(B7859&amp;"""",""[^0-9]"",""""),9))"),"772601105")</f>
        <v>772601105</v>
      </c>
      <c r="B7859" s="52">
        <v>7.72601105E8</v>
      </c>
      <c r="C7859" s="28" t="s">
        <v>8107</v>
      </c>
      <c r="D7859" s="26" t="s">
        <v>82</v>
      </c>
      <c r="E7859" s="31">
        <v>46245.0</v>
      </c>
      <c r="F7859" s="26" t="s">
        <v>41</v>
      </c>
      <c r="I7859" s="26" t="s">
        <v>970</v>
      </c>
      <c r="J7859" s="25" t="str">
        <f t="shared" si="91"/>
        <v>No</v>
      </c>
      <c r="K7859" s="25" t="str">
        <f t="shared" si="92"/>
        <v/>
      </c>
      <c r="L7859" s="25" t="str">
        <f t="shared" si="93"/>
        <v/>
      </c>
      <c r="M7859" s="25"/>
      <c r="O7859" s="25"/>
    </row>
    <row r="7860" ht="15.75" customHeight="1">
      <c r="A7860" s="25" t="str">
        <f>IFERROR(__xludf.DUMMYFUNCTION("IF(B7860="""","""",RIGHT(REGEXREPLACE(B7860&amp;"""",""[^0-9]"",""""),9))"),"722010420")</f>
        <v>722010420</v>
      </c>
      <c r="B7860" s="52">
        <v>7.2201042E8</v>
      </c>
      <c r="C7860" s="28" t="s">
        <v>8108</v>
      </c>
      <c r="D7860" s="26" t="s">
        <v>82</v>
      </c>
      <c r="E7860" s="31">
        <v>46245.0</v>
      </c>
      <c r="F7860" s="26" t="s">
        <v>41</v>
      </c>
      <c r="I7860" s="26" t="s">
        <v>970</v>
      </c>
      <c r="J7860" s="25" t="str">
        <f t="shared" si="91"/>
        <v>No</v>
      </c>
      <c r="K7860" s="25" t="str">
        <f t="shared" si="92"/>
        <v/>
      </c>
      <c r="L7860" s="25" t="str">
        <f t="shared" si="93"/>
        <v/>
      </c>
      <c r="M7860" s="25"/>
      <c r="O7860" s="25"/>
    </row>
    <row r="7861" ht="15.75" customHeight="1">
      <c r="A7861" s="25" t="str">
        <f>IFERROR(__xludf.DUMMYFUNCTION("IF(B7861="""","""",RIGHT(REGEXREPLACE(B7861&amp;"""",""[^0-9]"",""""),9))"),"774017678")</f>
        <v>774017678</v>
      </c>
      <c r="B7861" s="52">
        <v>7.74017678E8</v>
      </c>
      <c r="C7861" s="28" t="s">
        <v>8109</v>
      </c>
      <c r="D7861" s="26" t="s">
        <v>82</v>
      </c>
      <c r="E7861" s="31">
        <v>46245.0</v>
      </c>
      <c r="F7861" s="26" t="s">
        <v>46</v>
      </c>
      <c r="G7861" s="26">
        <v>11.0</v>
      </c>
      <c r="I7861" s="26" t="s">
        <v>970</v>
      </c>
      <c r="J7861" s="25" t="str">
        <f t="shared" si="91"/>
        <v>No</v>
      </c>
      <c r="K7861" s="25" t="str">
        <f t="shared" si="92"/>
        <v/>
      </c>
      <c r="L7861" s="25" t="str">
        <f t="shared" si="93"/>
        <v/>
      </c>
      <c r="M7861" s="25"/>
      <c r="O7861" s="25"/>
    </row>
    <row r="7862" ht="15.75" customHeight="1">
      <c r="A7862" s="25" t="str">
        <f>IFERROR(__xludf.DUMMYFUNCTION("IF(B7862="""","""",RIGHT(REGEXREPLACE(B7862&amp;"""",""[^0-9]"",""""),9))"),"713055029")</f>
        <v>713055029</v>
      </c>
      <c r="B7862" s="52">
        <v>7.13055029E8</v>
      </c>
      <c r="C7862" s="28" t="s">
        <v>2138</v>
      </c>
      <c r="D7862" s="26" t="s">
        <v>45</v>
      </c>
      <c r="E7862" s="31">
        <v>46245.0</v>
      </c>
      <c r="F7862" s="26" t="s">
        <v>205</v>
      </c>
      <c r="I7862" s="26" t="s">
        <v>970</v>
      </c>
      <c r="J7862" s="25" t="str">
        <f t="shared" si="91"/>
        <v>Yes - see Previous F-Code</v>
      </c>
      <c r="K7862" s="25" t="str">
        <f t="shared" si="92"/>
        <v/>
      </c>
      <c r="L7862" s="25" t="str">
        <f t="shared" si="93"/>
        <v>F71839</v>
      </c>
      <c r="M7862" s="25"/>
      <c r="O7862" s="25"/>
    </row>
    <row r="7863" ht="15.75" customHeight="1">
      <c r="A7863" s="25" t="str">
        <f>IFERROR(__xludf.DUMMYFUNCTION("IF(B7863="""","""",RIGHT(REGEXREPLACE(B7863&amp;"""",""[^0-9]"",""""),9))"),"771535622")</f>
        <v>771535622</v>
      </c>
      <c r="B7863" s="52">
        <v>7.71535622E8</v>
      </c>
      <c r="C7863" s="28" t="s">
        <v>8110</v>
      </c>
      <c r="D7863" s="26" t="s">
        <v>82</v>
      </c>
      <c r="E7863" s="31">
        <v>46245.0</v>
      </c>
      <c r="F7863" s="26" t="s">
        <v>46</v>
      </c>
      <c r="H7863" s="26" t="s">
        <v>8111</v>
      </c>
      <c r="I7863" s="26" t="s">
        <v>970</v>
      </c>
      <c r="J7863" s="25" t="str">
        <f t="shared" si="91"/>
        <v>No</v>
      </c>
      <c r="K7863" s="25" t="str">
        <f t="shared" si="92"/>
        <v/>
      </c>
      <c r="L7863" s="25" t="str">
        <f t="shared" si="93"/>
        <v/>
      </c>
      <c r="M7863" s="25"/>
      <c r="O7863" s="25"/>
    </row>
    <row r="7864" ht="15.75" customHeight="1">
      <c r="A7864" s="25" t="str">
        <f>IFERROR(__xludf.DUMMYFUNCTION("IF(B7864="""","""",RIGHT(REGEXREPLACE(B7864&amp;"""",""[^0-9]"",""""),9))"),"710777718")</f>
        <v>710777718</v>
      </c>
      <c r="B7864" s="52">
        <v>7.10777718E8</v>
      </c>
      <c r="C7864" s="28" t="s">
        <v>8112</v>
      </c>
      <c r="D7864" s="26" t="s">
        <v>45</v>
      </c>
      <c r="E7864" s="31">
        <v>46245.0</v>
      </c>
      <c r="F7864" s="26" t="s">
        <v>46</v>
      </c>
      <c r="G7864" s="26">
        <v>11.0</v>
      </c>
      <c r="I7864" s="26" t="s">
        <v>970</v>
      </c>
      <c r="J7864" s="25" t="str">
        <f t="shared" si="91"/>
        <v>No</v>
      </c>
      <c r="K7864" s="25" t="str">
        <f t="shared" si="92"/>
        <v/>
      </c>
      <c r="L7864" s="25" t="str">
        <f t="shared" si="93"/>
        <v/>
      </c>
      <c r="M7864" s="25"/>
      <c r="O7864" s="25"/>
    </row>
    <row r="7865" ht="15.75" customHeight="1">
      <c r="A7865" s="25" t="str">
        <f>IFERROR(__xludf.DUMMYFUNCTION("IF(B7865="""","""",RIGHT(REGEXREPLACE(B7865&amp;"""",""[^0-9]"",""""),9))"),"761344062")</f>
        <v>761344062</v>
      </c>
      <c r="B7865" s="52">
        <v>7.61344062E8</v>
      </c>
      <c r="C7865" s="28" t="s">
        <v>754</v>
      </c>
      <c r="D7865" s="26" t="s">
        <v>45</v>
      </c>
      <c r="E7865" s="31">
        <v>46245.0</v>
      </c>
      <c r="F7865" s="26" t="s">
        <v>41</v>
      </c>
      <c r="I7865" s="26" t="s">
        <v>970</v>
      </c>
      <c r="J7865" s="25" t="str">
        <f t="shared" si="91"/>
        <v>Yes - see Previous F-Code</v>
      </c>
      <c r="K7865" s="25" t="str">
        <f t="shared" si="92"/>
        <v/>
      </c>
      <c r="L7865" s="25" t="str">
        <f t="shared" si="93"/>
        <v>F70537</v>
      </c>
      <c r="M7865" s="25"/>
      <c r="O7865" s="25"/>
    </row>
    <row r="7866" ht="15.75" customHeight="1">
      <c r="A7866" s="25" t="str">
        <f>IFERROR(__xludf.DUMMYFUNCTION("IF(B7866="""","""",RIGHT(REGEXREPLACE(B7866&amp;"""",""[^0-9]"",""""),9))"),"773722786")</f>
        <v>773722786</v>
      </c>
      <c r="B7866" s="52">
        <v>7.73722786E8</v>
      </c>
      <c r="C7866" s="28" t="s">
        <v>8113</v>
      </c>
      <c r="D7866" s="26" t="s">
        <v>82</v>
      </c>
      <c r="E7866" s="31">
        <v>46245.0</v>
      </c>
      <c r="F7866" s="26" t="s">
        <v>205</v>
      </c>
      <c r="I7866" s="26" t="s">
        <v>970</v>
      </c>
      <c r="J7866" s="25" t="str">
        <f t="shared" si="91"/>
        <v>No</v>
      </c>
      <c r="K7866" s="25" t="str">
        <f t="shared" si="92"/>
        <v/>
      </c>
      <c r="L7866" s="25" t="str">
        <f t="shared" si="93"/>
        <v/>
      </c>
      <c r="M7866" s="25"/>
      <c r="O7866" s="25"/>
    </row>
    <row r="7867" ht="15.75" customHeight="1">
      <c r="A7867" s="25" t="str">
        <f>IFERROR(__xludf.DUMMYFUNCTION("IF(B7867="""","""",RIGHT(REGEXREPLACE(B7867&amp;"""",""[^0-9]"",""""),9))"),"707132256")</f>
        <v>707132256</v>
      </c>
      <c r="B7867" s="52">
        <v>7.07132256E8</v>
      </c>
      <c r="C7867" s="28" t="s">
        <v>4652</v>
      </c>
      <c r="D7867" s="26" t="s">
        <v>45</v>
      </c>
      <c r="E7867" s="31">
        <v>46245.0</v>
      </c>
      <c r="F7867" s="26" t="s">
        <v>41</v>
      </c>
      <c r="I7867" s="26" t="s">
        <v>970</v>
      </c>
      <c r="J7867" s="25" t="str">
        <f t="shared" si="91"/>
        <v>Yes - see Previous F-Code</v>
      </c>
      <c r="K7867" s="25" t="str">
        <f t="shared" si="92"/>
        <v/>
      </c>
      <c r="L7867" s="25" t="str">
        <f t="shared" si="93"/>
        <v>F74239</v>
      </c>
      <c r="M7867" s="25"/>
      <c r="O7867" s="25"/>
    </row>
    <row r="7868" ht="15.75" customHeight="1">
      <c r="A7868" s="25" t="str">
        <f>IFERROR(__xludf.DUMMYFUNCTION("IF(B7868="""","""",RIGHT(REGEXREPLACE(B7868&amp;"""",""[^0-9]"",""""),9))"),"729992868")</f>
        <v>729992868</v>
      </c>
      <c r="B7868" s="52">
        <v>7.29992868E8</v>
      </c>
      <c r="C7868" s="28" t="s">
        <v>4411</v>
      </c>
      <c r="D7868" s="26" t="s">
        <v>82</v>
      </c>
      <c r="E7868" s="31">
        <v>46245.0</v>
      </c>
      <c r="F7868" s="26" t="s">
        <v>46</v>
      </c>
      <c r="I7868" s="26" t="s">
        <v>970</v>
      </c>
      <c r="J7868" s="25" t="str">
        <f t="shared" si="91"/>
        <v>Yes - see Previous F-Code</v>
      </c>
      <c r="K7868" s="25" t="str">
        <f t="shared" si="92"/>
        <v/>
      </c>
      <c r="L7868" s="25" t="str">
        <f t="shared" si="93"/>
        <v>F74035</v>
      </c>
      <c r="M7868" s="25"/>
      <c r="O7868" s="25"/>
    </row>
    <row r="7869" ht="15.75" customHeight="1">
      <c r="A7869" s="25" t="str">
        <f>IFERROR(__xludf.DUMMYFUNCTION("IF(B7869="""","""",RIGHT(REGEXREPLACE(B7869&amp;"""",""[^0-9]"",""""),9))"),"774466633")</f>
        <v>774466633</v>
      </c>
      <c r="B7869" s="52">
        <v>7.74466633E8</v>
      </c>
      <c r="C7869" s="28" t="s">
        <v>8114</v>
      </c>
      <c r="D7869" s="26" t="s">
        <v>82</v>
      </c>
      <c r="E7869" s="31">
        <v>46245.0</v>
      </c>
      <c r="F7869" s="26" t="s">
        <v>164</v>
      </c>
      <c r="I7869" s="26" t="s">
        <v>970</v>
      </c>
      <c r="J7869" s="25" t="str">
        <f t="shared" si="91"/>
        <v>No</v>
      </c>
      <c r="K7869" s="25" t="str">
        <f t="shared" si="92"/>
        <v/>
      </c>
      <c r="L7869" s="25" t="str">
        <f t="shared" si="93"/>
        <v/>
      </c>
      <c r="M7869" s="25"/>
      <c r="O7869" s="25"/>
    </row>
    <row r="7870" ht="15.75" customHeight="1">
      <c r="A7870" s="25" t="str">
        <f>IFERROR(__xludf.DUMMYFUNCTION("IF(B7870="""","""",RIGHT(REGEXREPLACE(B7870&amp;"""",""[^0-9]"",""""),9))"),"743438476")</f>
        <v>743438476</v>
      </c>
      <c r="B7870" s="52">
        <v>7.43438476E8</v>
      </c>
      <c r="C7870" s="28" t="s">
        <v>8115</v>
      </c>
      <c r="D7870" s="26" t="s">
        <v>45</v>
      </c>
      <c r="E7870" s="31">
        <v>46245.0</v>
      </c>
      <c r="F7870" s="26" t="s">
        <v>46</v>
      </c>
      <c r="G7870" s="26">
        <v>10.0</v>
      </c>
      <c r="I7870" s="26" t="s">
        <v>970</v>
      </c>
      <c r="J7870" s="25" t="str">
        <f t="shared" si="91"/>
        <v>No</v>
      </c>
      <c r="K7870" s="25" t="str">
        <f t="shared" si="92"/>
        <v/>
      </c>
      <c r="L7870" s="25" t="str">
        <f t="shared" si="93"/>
        <v/>
      </c>
      <c r="M7870" s="25"/>
      <c r="O7870" s="25"/>
    </row>
    <row r="7871" ht="15.75" customHeight="1">
      <c r="A7871" s="25" t="str">
        <f>IFERROR(__xludf.DUMMYFUNCTION("IF(B7871="""","""",RIGHT(REGEXREPLACE(B7871&amp;"""",""[^0-9]"",""""),9))"),"713066053")</f>
        <v>713066053</v>
      </c>
      <c r="B7871" s="52">
        <v>7.13066053E8</v>
      </c>
      <c r="C7871" s="28" t="s">
        <v>8116</v>
      </c>
      <c r="D7871" s="26" t="s">
        <v>82</v>
      </c>
      <c r="E7871" s="31">
        <v>46245.0</v>
      </c>
      <c r="F7871" s="26" t="s">
        <v>46</v>
      </c>
      <c r="I7871" s="26" t="s">
        <v>970</v>
      </c>
      <c r="J7871" s="25" t="str">
        <f t="shared" si="91"/>
        <v>No</v>
      </c>
      <c r="K7871" s="25" t="str">
        <f t="shared" si="92"/>
        <v/>
      </c>
      <c r="L7871" s="25" t="str">
        <f t="shared" si="93"/>
        <v/>
      </c>
      <c r="M7871" s="25"/>
      <c r="O7871" s="25"/>
    </row>
    <row r="7872" ht="15.75" customHeight="1">
      <c r="A7872" s="25" t="str">
        <f>IFERROR(__xludf.DUMMYFUNCTION("IF(B7872="""","""",RIGHT(REGEXREPLACE(B7872&amp;"""",""[^0-9]"",""""),9))"),"742268190")</f>
        <v>742268190</v>
      </c>
      <c r="B7872" s="52">
        <v>7.4226819E8</v>
      </c>
      <c r="C7872" s="28" t="s">
        <v>8117</v>
      </c>
      <c r="D7872" s="26" t="s">
        <v>82</v>
      </c>
      <c r="E7872" s="31">
        <v>46245.0</v>
      </c>
      <c r="F7872" s="26" t="s">
        <v>125</v>
      </c>
      <c r="G7872" s="26">
        <v>11.0</v>
      </c>
      <c r="I7872" s="26" t="s">
        <v>970</v>
      </c>
      <c r="J7872" s="25" t="str">
        <f t="shared" si="91"/>
        <v>No</v>
      </c>
      <c r="K7872" s="25" t="str">
        <f t="shared" si="92"/>
        <v/>
      </c>
      <c r="L7872" s="25" t="str">
        <f t="shared" si="93"/>
        <v/>
      </c>
      <c r="M7872" s="25"/>
      <c r="O7872" s="25"/>
    </row>
    <row r="7873" ht="15.75" customHeight="1">
      <c r="A7873" s="25" t="str">
        <f>IFERROR(__xludf.DUMMYFUNCTION("IF(B7873="""","""",RIGHT(REGEXREPLACE(B7873&amp;"""",""[^0-9]"",""""),9))"),"714493960")</f>
        <v>714493960</v>
      </c>
      <c r="B7873" s="52">
        <v>7.1449396E8</v>
      </c>
      <c r="C7873" s="28" t="s">
        <v>8118</v>
      </c>
      <c r="D7873" s="26" t="s">
        <v>45</v>
      </c>
      <c r="E7873" s="31">
        <v>46245.0</v>
      </c>
      <c r="F7873" s="26" t="s">
        <v>46</v>
      </c>
      <c r="G7873" s="26">
        <v>7.0</v>
      </c>
      <c r="I7873" s="26" t="s">
        <v>970</v>
      </c>
      <c r="J7873" s="25" t="str">
        <f t="shared" si="91"/>
        <v>No</v>
      </c>
      <c r="K7873" s="25" t="str">
        <f t="shared" si="92"/>
        <v/>
      </c>
      <c r="L7873" s="25" t="str">
        <f t="shared" si="93"/>
        <v/>
      </c>
      <c r="M7873" s="25"/>
      <c r="O7873" s="25"/>
    </row>
    <row r="7874" ht="15.75" customHeight="1">
      <c r="A7874" s="25" t="str">
        <f>IFERROR(__xludf.DUMMYFUNCTION("IF(B7874="""","""",RIGHT(REGEXREPLACE(B7874&amp;"""",""[^0-9]"",""""),9))"),"770771846")</f>
        <v>770771846</v>
      </c>
      <c r="B7874" s="52">
        <v>7.70771846E8</v>
      </c>
      <c r="C7874" s="28" t="s">
        <v>8119</v>
      </c>
      <c r="D7874" s="26" t="s">
        <v>82</v>
      </c>
      <c r="E7874" s="31">
        <v>46245.0</v>
      </c>
      <c r="F7874" s="26" t="s">
        <v>41</v>
      </c>
      <c r="I7874" s="26" t="s">
        <v>970</v>
      </c>
      <c r="J7874" s="25" t="str">
        <f t="shared" si="91"/>
        <v>No</v>
      </c>
      <c r="K7874" s="25" t="str">
        <f t="shared" si="92"/>
        <v/>
      </c>
      <c r="L7874" s="25" t="str">
        <f t="shared" si="93"/>
        <v/>
      </c>
      <c r="M7874" s="25"/>
      <c r="O7874" s="25"/>
    </row>
    <row r="7875" ht="15.75" customHeight="1">
      <c r="A7875" s="25" t="str">
        <f>IFERROR(__xludf.DUMMYFUNCTION("IF(B7875="""","""",RIGHT(REGEXREPLACE(B7875&amp;"""",""[^0-9]"",""""),9))"),"762365199")</f>
        <v>762365199</v>
      </c>
      <c r="B7875" s="52">
        <v>7.62365199E8</v>
      </c>
      <c r="C7875" s="28" t="s">
        <v>8120</v>
      </c>
      <c r="D7875" s="26" t="s">
        <v>82</v>
      </c>
      <c r="E7875" s="31">
        <v>46245.0</v>
      </c>
      <c r="F7875" s="26" t="s">
        <v>125</v>
      </c>
      <c r="H7875" s="26" t="s">
        <v>8121</v>
      </c>
      <c r="I7875" s="26" t="s">
        <v>970</v>
      </c>
      <c r="J7875" s="25" t="str">
        <f t="shared" si="91"/>
        <v>No</v>
      </c>
      <c r="K7875" s="25" t="str">
        <f t="shared" si="92"/>
        <v/>
      </c>
      <c r="L7875" s="25" t="str">
        <f t="shared" si="93"/>
        <v/>
      </c>
      <c r="M7875" s="25"/>
      <c r="O7875" s="25"/>
    </row>
    <row r="7876" ht="15.75" customHeight="1">
      <c r="A7876" s="25" t="str">
        <f>IFERROR(__xludf.DUMMYFUNCTION("IF(B7876="""","""",RIGHT(REGEXREPLACE(B7876&amp;"""",""[^0-9]"",""""),9))"),"769172355")</f>
        <v>769172355</v>
      </c>
      <c r="B7876" s="52">
        <v>7.69172355E8</v>
      </c>
      <c r="C7876" s="28" t="s">
        <v>8122</v>
      </c>
      <c r="D7876" s="26" t="s">
        <v>45</v>
      </c>
      <c r="E7876" s="31">
        <v>46245.0</v>
      </c>
      <c r="F7876" s="26" t="s">
        <v>41</v>
      </c>
      <c r="I7876" s="26" t="s">
        <v>970</v>
      </c>
      <c r="J7876" s="25" t="str">
        <f t="shared" si="91"/>
        <v>No</v>
      </c>
      <c r="K7876" s="25" t="str">
        <f t="shared" si="92"/>
        <v/>
      </c>
      <c r="L7876" s="25" t="str">
        <f t="shared" si="93"/>
        <v/>
      </c>
      <c r="M7876" s="25"/>
      <c r="O7876" s="25"/>
    </row>
    <row r="7877" ht="15.75" customHeight="1">
      <c r="A7877" s="25" t="str">
        <f>IFERROR(__xludf.DUMMYFUNCTION("IF(B7877="""","""",RIGHT(REGEXREPLACE(B7877&amp;"""",""[^0-9]"",""""),9))"),"712426261")</f>
        <v>712426261</v>
      </c>
      <c r="B7877" s="52">
        <v>7.12426261E8</v>
      </c>
      <c r="C7877" s="28" t="s">
        <v>8123</v>
      </c>
      <c r="D7877" s="26" t="s">
        <v>82</v>
      </c>
      <c r="E7877" s="31">
        <v>46245.0</v>
      </c>
      <c r="F7877" s="26" t="s">
        <v>46</v>
      </c>
      <c r="I7877" s="26" t="s">
        <v>970</v>
      </c>
      <c r="J7877" s="25" t="str">
        <f t="shared" si="91"/>
        <v>No</v>
      </c>
      <c r="K7877" s="25" t="str">
        <f t="shared" si="92"/>
        <v/>
      </c>
      <c r="L7877" s="25" t="str">
        <f t="shared" si="93"/>
        <v/>
      </c>
      <c r="M7877" s="25"/>
      <c r="O7877" s="25"/>
    </row>
    <row r="7878" ht="15.75" customHeight="1">
      <c r="A7878" s="25" t="str">
        <f>IFERROR(__xludf.DUMMYFUNCTION("IF(B7878="""","""",RIGHT(REGEXREPLACE(B7878&amp;"""",""[^0-9]"",""""),9))"),"707409217")</f>
        <v>707409217</v>
      </c>
      <c r="B7878" s="52">
        <v>7.07409217E8</v>
      </c>
      <c r="C7878" s="28" t="s">
        <v>5689</v>
      </c>
      <c r="D7878" s="26" t="s">
        <v>45</v>
      </c>
      <c r="E7878" s="31">
        <v>46245.0</v>
      </c>
      <c r="F7878" s="26" t="s">
        <v>46</v>
      </c>
      <c r="G7878" s="26">
        <v>10.0</v>
      </c>
      <c r="I7878" s="26" t="s">
        <v>970</v>
      </c>
      <c r="J7878" s="25" t="str">
        <f t="shared" si="91"/>
        <v>Yes - see Previous F-Code</v>
      </c>
      <c r="K7878" s="25" t="str">
        <f t="shared" si="92"/>
        <v/>
      </c>
      <c r="L7878" s="25" t="str">
        <f t="shared" si="93"/>
        <v>F75144</v>
      </c>
      <c r="M7878" s="25"/>
      <c r="O7878" s="25"/>
    </row>
    <row r="7879" ht="15.75" customHeight="1">
      <c r="A7879" s="25" t="str">
        <f>IFERROR(__xludf.DUMMYFUNCTION("IF(B7879="""","""",RIGHT(REGEXREPLACE(B7879&amp;"""",""[^0-9]"",""""),9))"),"776004616")</f>
        <v>776004616</v>
      </c>
      <c r="B7879" s="52">
        <v>7.76004616E8</v>
      </c>
      <c r="C7879" s="28" t="s">
        <v>8124</v>
      </c>
      <c r="D7879" s="26" t="s">
        <v>82</v>
      </c>
      <c r="E7879" s="31">
        <v>46245.0</v>
      </c>
      <c r="F7879" s="26" t="s">
        <v>46</v>
      </c>
      <c r="I7879" s="26" t="s">
        <v>970</v>
      </c>
      <c r="J7879" s="25" t="str">
        <f t="shared" si="91"/>
        <v>No</v>
      </c>
      <c r="K7879" s="25" t="str">
        <f t="shared" si="92"/>
        <v/>
      </c>
      <c r="L7879" s="25" t="str">
        <f t="shared" si="93"/>
        <v/>
      </c>
      <c r="M7879" s="25"/>
      <c r="O7879" s="25"/>
    </row>
    <row r="7880" ht="15.75" customHeight="1">
      <c r="A7880" s="25" t="str">
        <f>IFERROR(__xludf.DUMMYFUNCTION("IF(B7880="""","""",RIGHT(REGEXREPLACE(B7880&amp;"""",""[^0-9]"",""""),9))"),"756351602")</f>
        <v>756351602</v>
      </c>
      <c r="B7880" s="52">
        <v>7.56351602E8</v>
      </c>
      <c r="C7880" s="28" t="s">
        <v>8125</v>
      </c>
      <c r="D7880" s="26" t="s">
        <v>45</v>
      </c>
      <c r="E7880" s="31">
        <v>46245.0</v>
      </c>
      <c r="F7880" s="26" t="s">
        <v>659</v>
      </c>
      <c r="I7880" s="26" t="s">
        <v>970</v>
      </c>
      <c r="J7880" s="25" t="str">
        <f t="shared" si="91"/>
        <v>No</v>
      </c>
      <c r="K7880" s="25" t="str">
        <f t="shared" si="92"/>
        <v/>
      </c>
      <c r="L7880" s="25" t="str">
        <f t="shared" si="93"/>
        <v/>
      </c>
      <c r="M7880" s="25"/>
      <c r="O7880" s="25"/>
    </row>
    <row r="7881" ht="15.75" customHeight="1">
      <c r="A7881" s="25" t="str">
        <f>IFERROR(__xludf.DUMMYFUNCTION("IF(B7881="""","""",RIGHT(REGEXREPLACE(B7881&amp;"""",""[^0-9]"",""""),9))"),"711458001")</f>
        <v>711458001</v>
      </c>
      <c r="B7881" s="52">
        <v>7.11458001E8</v>
      </c>
      <c r="C7881" s="28" t="s">
        <v>8126</v>
      </c>
      <c r="D7881" s="26" t="s">
        <v>45</v>
      </c>
      <c r="E7881" s="31">
        <v>46245.0</v>
      </c>
      <c r="F7881" s="26" t="s">
        <v>46</v>
      </c>
      <c r="I7881" s="26" t="s">
        <v>970</v>
      </c>
      <c r="J7881" s="25" t="str">
        <f t="shared" si="91"/>
        <v>No</v>
      </c>
      <c r="K7881" s="25" t="str">
        <f t="shared" si="92"/>
        <v/>
      </c>
      <c r="L7881" s="25" t="str">
        <f t="shared" si="93"/>
        <v/>
      </c>
      <c r="M7881" s="25"/>
      <c r="O7881" s="25"/>
    </row>
    <row r="7882" ht="15.75" customHeight="1">
      <c r="A7882" s="25" t="str">
        <f>IFERROR(__xludf.DUMMYFUNCTION("IF(B7882="""","""",RIGHT(REGEXREPLACE(B7882&amp;"""",""[^0-9]"",""""),9))"),"770610479")</f>
        <v>770610479</v>
      </c>
      <c r="B7882" s="52">
        <v>7.70610479E8</v>
      </c>
      <c r="C7882" s="28" t="s">
        <v>8028</v>
      </c>
      <c r="D7882" s="26" t="s">
        <v>82</v>
      </c>
      <c r="E7882" s="31">
        <v>46245.0</v>
      </c>
      <c r="F7882" s="26" t="s">
        <v>41</v>
      </c>
      <c r="I7882" s="26" t="s">
        <v>970</v>
      </c>
      <c r="J7882" s="25" t="str">
        <f t="shared" si="91"/>
        <v>Yes - see Previous F-Code</v>
      </c>
      <c r="K7882" s="25" t="str">
        <f t="shared" si="92"/>
        <v>DUPLICATE - CHECK</v>
      </c>
      <c r="L7882" s="25" t="str">
        <f t="shared" si="93"/>
        <v>F76765</v>
      </c>
      <c r="M7882" s="25"/>
      <c r="O7882" s="25"/>
    </row>
    <row r="7883" ht="15.75" customHeight="1">
      <c r="A7883" s="25" t="str">
        <f>IFERROR(__xludf.DUMMYFUNCTION("IF(B7883="""","""",RIGHT(REGEXREPLACE(B7883&amp;"""",""[^0-9]"",""""),9))"),"772826665")</f>
        <v>772826665</v>
      </c>
      <c r="B7883" s="52">
        <v>7.72826665E8</v>
      </c>
      <c r="C7883" s="28" t="s">
        <v>8127</v>
      </c>
      <c r="D7883" s="26" t="s">
        <v>45</v>
      </c>
      <c r="E7883" s="31">
        <v>46245.0</v>
      </c>
      <c r="F7883" s="26" t="s">
        <v>46</v>
      </c>
      <c r="G7883" s="26">
        <v>8.0</v>
      </c>
      <c r="I7883" s="26" t="s">
        <v>970</v>
      </c>
      <c r="J7883" s="25" t="str">
        <f t="shared" si="91"/>
        <v>No</v>
      </c>
      <c r="K7883" s="25" t="str">
        <f t="shared" si="92"/>
        <v/>
      </c>
      <c r="L7883" s="25" t="str">
        <f t="shared" si="93"/>
        <v/>
      </c>
      <c r="M7883" s="25"/>
      <c r="O7883" s="25"/>
    </row>
    <row r="7884" ht="15.75" customHeight="1">
      <c r="A7884" s="25" t="str">
        <f>IFERROR(__xludf.DUMMYFUNCTION("IF(B7884="""","""",RIGHT(REGEXREPLACE(B7884&amp;"""",""[^0-9]"",""""),9))"),"768581258")</f>
        <v>768581258</v>
      </c>
      <c r="B7884" s="52">
        <v>7.68581258E8</v>
      </c>
      <c r="C7884" s="28" t="s">
        <v>8128</v>
      </c>
      <c r="D7884" s="26" t="s">
        <v>82</v>
      </c>
      <c r="E7884" s="31">
        <v>46245.0</v>
      </c>
      <c r="F7884" s="26" t="s">
        <v>46</v>
      </c>
      <c r="I7884" s="26" t="s">
        <v>970</v>
      </c>
      <c r="J7884" s="25" t="str">
        <f t="shared" si="91"/>
        <v>No</v>
      </c>
      <c r="K7884" s="25" t="str">
        <f t="shared" si="92"/>
        <v/>
      </c>
      <c r="L7884" s="25" t="str">
        <f t="shared" si="93"/>
        <v/>
      </c>
      <c r="M7884" s="25"/>
      <c r="O7884" s="25"/>
    </row>
    <row r="7885" ht="15.75" customHeight="1">
      <c r="A7885" s="25" t="str">
        <f>IFERROR(__xludf.DUMMYFUNCTION("IF(B7885="""","""",RIGHT(REGEXREPLACE(B7885&amp;"""",""[^0-9]"",""""),9))"),"761233427")</f>
        <v>761233427</v>
      </c>
      <c r="B7885" s="52">
        <v>7.61233427E8</v>
      </c>
      <c r="C7885" s="28" t="s">
        <v>8128</v>
      </c>
      <c r="D7885" s="26" t="s">
        <v>56</v>
      </c>
      <c r="E7885" s="31">
        <v>46245.0</v>
      </c>
      <c r="F7885" s="26" t="s">
        <v>46</v>
      </c>
      <c r="G7885" s="26">
        <v>11.0</v>
      </c>
      <c r="I7885" s="26" t="s">
        <v>970</v>
      </c>
      <c r="J7885" s="25" t="str">
        <f t="shared" si="91"/>
        <v>No</v>
      </c>
      <c r="K7885" s="25" t="str">
        <f t="shared" si="92"/>
        <v/>
      </c>
      <c r="L7885" s="25" t="str">
        <f t="shared" si="93"/>
        <v/>
      </c>
      <c r="M7885" s="25"/>
      <c r="O7885" s="25"/>
    </row>
    <row r="7886" ht="15.75" customHeight="1">
      <c r="A7886" s="25" t="str">
        <f>IFERROR(__xludf.DUMMYFUNCTION("IF(B7886="""","""",RIGHT(REGEXREPLACE(B7886&amp;"""",""[^0-9]"",""""),9))"),"719637040")</f>
        <v>719637040</v>
      </c>
      <c r="B7886" s="52">
        <v>7.1963704E8</v>
      </c>
      <c r="C7886" s="28" t="s">
        <v>8129</v>
      </c>
      <c r="D7886" s="26" t="s">
        <v>49</v>
      </c>
      <c r="E7886" s="31">
        <v>46245.0</v>
      </c>
      <c r="F7886" s="26" t="s">
        <v>205</v>
      </c>
      <c r="G7886" s="26">
        <v>9.0</v>
      </c>
      <c r="I7886" s="26" t="s">
        <v>970</v>
      </c>
      <c r="J7886" s="25" t="str">
        <f t="shared" si="91"/>
        <v>No</v>
      </c>
      <c r="K7886" s="25" t="str">
        <f t="shared" si="92"/>
        <v/>
      </c>
      <c r="L7886" s="25" t="str">
        <f t="shared" si="93"/>
        <v/>
      </c>
      <c r="M7886" s="25"/>
      <c r="O7886" s="25"/>
    </row>
    <row r="7887" ht="15.75" customHeight="1">
      <c r="A7887" s="25" t="str">
        <f>IFERROR(__xludf.DUMMYFUNCTION("IF(B7887="""","""",RIGHT(REGEXREPLACE(B7887&amp;"""",""[^0-9]"",""""),9))"),"783623694")</f>
        <v>783623694</v>
      </c>
      <c r="B7887" s="52">
        <v>7.83623694E8</v>
      </c>
      <c r="C7887" s="28" t="s">
        <v>505</v>
      </c>
      <c r="D7887" s="26" t="s">
        <v>82</v>
      </c>
      <c r="E7887" s="31">
        <v>46245.0</v>
      </c>
      <c r="F7887" s="26" t="s">
        <v>46</v>
      </c>
      <c r="I7887" s="26" t="s">
        <v>970</v>
      </c>
      <c r="J7887" s="25" t="str">
        <f t="shared" si="91"/>
        <v>Yes - see Previous F-Code</v>
      </c>
      <c r="K7887" s="25" t="str">
        <f t="shared" si="92"/>
        <v/>
      </c>
      <c r="L7887" s="25" t="str">
        <f t="shared" si="93"/>
        <v>F70325</v>
      </c>
      <c r="M7887" s="25"/>
      <c r="O7887" s="25"/>
    </row>
    <row r="7888" ht="15.75" customHeight="1">
      <c r="A7888" s="25" t="str">
        <f>IFERROR(__xludf.DUMMYFUNCTION("IF(B7888="""","""",RIGHT(REGEXREPLACE(B7888&amp;"""",""[^0-9]"",""""),9))"),"777414566")</f>
        <v>777414566</v>
      </c>
      <c r="B7888" s="52">
        <v>7.77414566E8</v>
      </c>
      <c r="C7888" s="28" t="s">
        <v>8130</v>
      </c>
      <c r="D7888" s="26" t="s">
        <v>49</v>
      </c>
      <c r="E7888" s="31">
        <v>46245.0</v>
      </c>
      <c r="F7888" s="26" t="s">
        <v>46</v>
      </c>
      <c r="G7888" s="26">
        <v>11.0</v>
      </c>
      <c r="I7888" s="26" t="s">
        <v>970</v>
      </c>
      <c r="J7888" s="25" t="str">
        <f t="shared" si="91"/>
        <v>No</v>
      </c>
      <c r="K7888" s="25" t="str">
        <f t="shared" si="92"/>
        <v/>
      </c>
      <c r="L7888" s="25" t="str">
        <f t="shared" si="93"/>
        <v/>
      </c>
      <c r="M7888" s="25"/>
      <c r="O7888" s="25"/>
    </row>
    <row r="7889" ht="15.75" customHeight="1">
      <c r="A7889" s="25" t="str">
        <f>IFERROR(__xludf.DUMMYFUNCTION("IF(B7889="""","""",RIGHT(REGEXREPLACE(B7889&amp;"""",""[^0-9]"",""""),9))"),"775438303")</f>
        <v>775438303</v>
      </c>
      <c r="B7889" s="52">
        <v>7.75438303E8</v>
      </c>
      <c r="C7889" s="28" t="s">
        <v>8131</v>
      </c>
      <c r="D7889" s="26" t="s">
        <v>82</v>
      </c>
      <c r="E7889" s="31">
        <v>46245.0</v>
      </c>
      <c r="F7889" s="26" t="s">
        <v>46</v>
      </c>
      <c r="I7889" s="26" t="s">
        <v>970</v>
      </c>
      <c r="J7889" s="25" t="str">
        <f t="shared" si="91"/>
        <v>No</v>
      </c>
      <c r="K7889" s="25" t="str">
        <f t="shared" si="92"/>
        <v/>
      </c>
      <c r="L7889" s="25" t="str">
        <f t="shared" si="93"/>
        <v/>
      </c>
      <c r="M7889" s="25"/>
      <c r="O7889" s="25"/>
    </row>
    <row r="7890" ht="15.75" customHeight="1">
      <c r="A7890" s="25" t="str">
        <f>IFERROR(__xludf.DUMMYFUNCTION("IF(B7890="""","""",RIGHT(REGEXREPLACE(B7890&amp;"""",""[^0-9]"",""""),9))"),"775809049")</f>
        <v>775809049</v>
      </c>
      <c r="B7890" s="52">
        <v>7.75809049E8</v>
      </c>
      <c r="C7890" s="28" t="s">
        <v>934</v>
      </c>
      <c r="D7890" s="26" t="s">
        <v>56</v>
      </c>
      <c r="E7890" s="31">
        <v>46245.0</v>
      </c>
      <c r="F7890" s="26" t="s">
        <v>125</v>
      </c>
      <c r="I7890" s="26" t="s">
        <v>970</v>
      </c>
      <c r="J7890" s="25" t="str">
        <f t="shared" si="91"/>
        <v>Yes - see Previous F-Code</v>
      </c>
      <c r="K7890" s="25" t="str">
        <f t="shared" si="92"/>
        <v/>
      </c>
      <c r="L7890" s="25" t="str">
        <f t="shared" si="93"/>
        <v>F70689</v>
      </c>
      <c r="M7890" s="25"/>
      <c r="O7890" s="25"/>
    </row>
    <row r="7891" ht="15.75" customHeight="1">
      <c r="A7891" s="25" t="str">
        <f>IFERROR(__xludf.DUMMYFUNCTION("IF(B7891="""","""",RIGHT(REGEXREPLACE(B7891&amp;"""",""[^0-9]"",""""),9))"),"770109014")</f>
        <v>770109014</v>
      </c>
      <c r="B7891" s="52">
        <v>7.70109014E8</v>
      </c>
      <c r="C7891" s="28" t="s">
        <v>8132</v>
      </c>
      <c r="D7891" s="26" t="s">
        <v>82</v>
      </c>
      <c r="E7891" s="31">
        <v>46245.0</v>
      </c>
      <c r="F7891" s="26" t="s">
        <v>41</v>
      </c>
      <c r="I7891" s="26" t="s">
        <v>970</v>
      </c>
      <c r="J7891" s="25" t="str">
        <f t="shared" si="91"/>
        <v>No</v>
      </c>
      <c r="K7891" s="25" t="str">
        <f t="shared" si="92"/>
        <v/>
      </c>
      <c r="L7891" s="25" t="str">
        <f t="shared" si="93"/>
        <v/>
      </c>
      <c r="M7891" s="25"/>
      <c r="O7891" s="25"/>
    </row>
    <row r="7892" ht="15.75" customHeight="1">
      <c r="A7892" s="25" t="str">
        <f>IFERROR(__xludf.DUMMYFUNCTION("IF(B7892="""","""",RIGHT(REGEXREPLACE(B7892&amp;"""",""[^0-9]"",""""),9))"),"718807725")</f>
        <v>718807725</v>
      </c>
      <c r="B7892" s="52">
        <v>7.18807725E8</v>
      </c>
      <c r="C7892" s="28" t="s">
        <v>8133</v>
      </c>
      <c r="D7892" s="26" t="s">
        <v>56</v>
      </c>
      <c r="E7892" s="31">
        <v>46245.0</v>
      </c>
      <c r="F7892" s="26" t="s">
        <v>46</v>
      </c>
      <c r="G7892" s="26">
        <v>11.0</v>
      </c>
      <c r="I7892" s="26" t="s">
        <v>970</v>
      </c>
      <c r="J7892" s="25" t="str">
        <f t="shared" si="91"/>
        <v>No</v>
      </c>
      <c r="K7892" s="25" t="str">
        <f t="shared" si="92"/>
        <v/>
      </c>
      <c r="L7892" s="25" t="str">
        <f t="shared" si="93"/>
        <v/>
      </c>
      <c r="M7892" s="25"/>
      <c r="O7892" s="25"/>
    </row>
    <row r="7893" ht="15.75" customHeight="1">
      <c r="A7893" s="25" t="str">
        <f>IFERROR(__xludf.DUMMYFUNCTION("IF(B7893="""","""",RIGHT(REGEXREPLACE(B7893&amp;"""",""[^0-9]"",""""),9))"),"706644468")</f>
        <v>706644468</v>
      </c>
      <c r="B7893" s="52">
        <v>7.06644468E8</v>
      </c>
      <c r="C7893" s="28" t="s">
        <v>8134</v>
      </c>
      <c r="D7893" s="26" t="s">
        <v>82</v>
      </c>
      <c r="E7893" s="31">
        <v>46245.0</v>
      </c>
      <c r="F7893" s="26" t="s">
        <v>46</v>
      </c>
      <c r="G7893" s="26">
        <v>11.0</v>
      </c>
      <c r="I7893" s="26" t="s">
        <v>970</v>
      </c>
      <c r="J7893" s="25" t="str">
        <f t="shared" si="91"/>
        <v>No</v>
      </c>
      <c r="K7893" s="25" t="str">
        <f t="shared" si="92"/>
        <v/>
      </c>
      <c r="L7893" s="25" t="str">
        <f t="shared" si="93"/>
        <v/>
      </c>
      <c r="M7893" s="25"/>
      <c r="O7893" s="25"/>
    </row>
    <row r="7894" ht="15.75" customHeight="1">
      <c r="A7894" s="25" t="str">
        <f>IFERROR(__xludf.DUMMYFUNCTION("IF(B7894="""","""",RIGHT(REGEXREPLACE(B7894&amp;"""",""[^0-9]"",""""),9))"),"760211070")</f>
        <v>760211070</v>
      </c>
      <c r="B7894" s="52">
        <v>7.6021107E8</v>
      </c>
      <c r="C7894" s="28" t="s">
        <v>8135</v>
      </c>
      <c r="D7894" s="26" t="s">
        <v>49</v>
      </c>
      <c r="E7894" s="31">
        <v>46245.0</v>
      </c>
      <c r="F7894" s="26" t="s">
        <v>41</v>
      </c>
      <c r="G7894" s="26">
        <v>11.0</v>
      </c>
      <c r="I7894" s="26" t="s">
        <v>970</v>
      </c>
      <c r="J7894" s="25" t="str">
        <f t="shared" si="91"/>
        <v>No</v>
      </c>
      <c r="K7894" s="25" t="str">
        <f t="shared" si="92"/>
        <v/>
      </c>
      <c r="L7894" s="25" t="str">
        <f t="shared" si="93"/>
        <v/>
      </c>
      <c r="M7894" s="25"/>
      <c r="O7894" s="25"/>
    </row>
    <row r="7895" ht="15.75" customHeight="1">
      <c r="A7895" s="25" t="str">
        <f>IFERROR(__xludf.DUMMYFUNCTION("IF(B7895="""","""",RIGHT(REGEXREPLACE(B7895&amp;"""",""[^0-9]"",""""),9))"),"725771575")</f>
        <v>725771575</v>
      </c>
      <c r="B7895" s="52">
        <v>7.25771575E8</v>
      </c>
      <c r="C7895" s="28" t="s">
        <v>8136</v>
      </c>
      <c r="D7895" s="26" t="s">
        <v>82</v>
      </c>
      <c r="E7895" s="31">
        <v>46245.0</v>
      </c>
      <c r="F7895" s="26" t="s">
        <v>46</v>
      </c>
      <c r="I7895" s="26" t="s">
        <v>970</v>
      </c>
      <c r="J7895" s="25" t="str">
        <f t="shared" si="91"/>
        <v>No</v>
      </c>
      <c r="K7895" s="25" t="str">
        <f t="shared" si="92"/>
        <v/>
      </c>
      <c r="L7895" s="25" t="str">
        <f t="shared" si="93"/>
        <v/>
      </c>
      <c r="M7895" s="25"/>
      <c r="O7895" s="25"/>
    </row>
    <row r="7896" ht="15.75" customHeight="1">
      <c r="A7896" s="25" t="str">
        <f>IFERROR(__xludf.DUMMYFUNCTION("IF(B7896="""","""",RIGHT(REGEXREPLACE(B7896&amp;"""",""[^0-9]"",""""),9))"),"705976131")</f>
        <v>705976131</v>
      </c>
      <c r="B7896" s="52">
        <v>7.05976131E8</v>
      </c>
      <c r="C7896" s="28" t="s">
        <v>8137</v>
      </c>
      <c r="D7896" s="26" t="s">
        <v>56</v>
      </c>
      <c r="E7896" s="31">
        <v>46245.0</v>
      </c>
      <c r="F7896" s="26" t="s">
        <v>46</v>
      </c>
      <c r="G7896" s="26">
        <v>11.0</v>
      </c>
      <c r="I7896" s="26" t="s">
        <v>970</v>
      </c>
      <c r="J7896" s="25" t="str">
        <f t="shared" si="91"/>
        <v>No</v>
      </c>
      <c r="K7896" s="25" t="str">
        <f t="shared" si="92"/>
        <v/>
      </c>
      <c r="L7896" s="25" t="str">
        <f t="shared" si="93"/>
        <v/>
      </c>
      <c r="M7896" s="25"/>
      <c r="O7896" s="25"/>
    </row>
    <row r="7897" ht="15.75" customHeight="1">
      <c r="A7897" s="25" t="str">
        <f>IFERROR(__xludf.DUMMYFUNCTION("IF(B7897="""","""",RIGHT(REGEXREPLACE(B7897&amp;"""",""[^0-9]"",""""),9))"),"763810570")</f>
        <v>763810570</v>
      </c>
      <c r="B7897" s="52">
        <v>7.6381057E8</v>
      </c>
      <c r="C7897" s="28" t="s">
        <v>8138</v>
      </c>
      <c r="D7897" s="26" t="s">
        <v>49</v>
      </c>
      <c r="E7897" s="31">
        <v>46245.0</v>
      </c>
      <c r="F7897" s="26" t="s">
        <v>46</v>
      </c>
      <c r="G7897" s="26">
        <v>10.0</v>
      </c>
      <c r="H7897" s="26" t="s">
        <v>8139</v>
      </c>
      <c r="I7897" s="26" t="s">
        <v>970</v>
      </c>
      <c r="J7897" s="25" t="str">
        <f t="shared" si="91"/>
        <v>No</v>
      </c>
      <c r="K7897" s="25" t="str">
        <f t="shared" si="92"/>
        <v/>
      </c>
      <c r="L7897" s="25" t="str">
        <f t="shared" si="93"/>
        <v/>
      </c>
      <c r="M7897" s="25"/>
      <c r="O7897" s="25"/>
    </row>
    <row r="7898" ht="15.75" customHeight="1">
      <c r="A7898" s="25" t="str">
        <f>IFERROR(__xludf.DUMMYFUNCTION("IF(B7898="""","""",RIGHT(REGEXREPLACE(B7898&amp;"""",""[^0-9]"",""""),9))"),"742588742")</f>
        <v>742588742</v>
      </c>
      <c r="B7898" s="52">
        <v>7.42588742E8</v>
      </c>
      <c r="C7898" s="28" t="s">
        <v>8140</v>
      </c>
      <c r="D7898" s="26" t="s">
        <v>82</v>
      </c>
      <c r="E7898" s="31">
        <v>46245.0</v>
      </c>
      <c r="F7898" s="26" t="s">
        <v>125</v>
      </c>
      <c r="H7898" s="26" t="s">
        <v>8141</v>
      </c>
      <c r="I7898" s="26" t="s">
        <v>970</v>
      </c>
      <c r="J7898" s="25" t="str">
        <f t="shared" si="91"/>
        <v>No</v>
      </c>
      <c r="K7898" s="25" t="str">
        <f t="shared" si="92"/>
        <v/>
      </c>
      <c r="L7898" s="25" t="str">
        <f t="shared" si="93"/>
        <v/>
      </c>
      <c r="M7898" s="25"/>
      <c r="O7898" s="25"/>
    </row>
    <row r="7899" ht="15.75" customHeight="1">
      <c r="A7899" s="25" t="str">
        <f>IFERROR(__xludf.DUMMYFUNCTION("IF(B7899="""","""",RIGHT(REGEXREPLACE(B7899&amp;"""",""[^0-9]"",""""),9))"),"705976131")</f>
        <v>705976131</v>
      </c>
      <c r="B7899" s="52">
        <v>7.05976131E8</v>
      </c>
      <c r="C7899" s="28" t="s">
        <v>8137</v>
      </c>
      <c r="D7899" s="26" t="s">
        <v>56</v>
      </c>
      <c r="E7899" s="31">
        <v>46245.0</v>
      </c>
      <c r="F7899" s="25"/>
      <c r="G7899" s="25"/>
      <c r="H7899" s="25"/>
      <c r="I7899" s="26" t="s">
        <v>970</v>
      </c>
      <c r="J7899" s="25" t="str">
        <f t="shared" si="91"/>
        <v>Yes - see Previous F-Code</v>
      </c>
      <c r="K7899" s="25" t="str">
        <f t="shared" si="92"/>
        <v>DUPLICATE - CHECK</v>
      </c>
      <c r="L7899" s="25" t="str">
        <f t="shared" si="93"/>
        <v>F76964</v>
      </c>
      <c r="M7899" s="25"/>
      <c r="N7899" s="25"/>
      <c r="O7899" s="25"/>
      <c r="P7899" s="25"/>
    </row>
    <row r="7900" ht="15.75" customHeight="1">
      <c r="A7900" s="25" t="str">
        <f>IFERROR(__xludf.DUMMYFUNCTION("IF(B7900="""","""",RIGHT(REGEXREPLACE(B7900&amp;"""",""[^0-9]"",""""),9))"),"740639277")</f>
        <v>740639277</v>
      </c>
      <c r="B7900" s="52">
        <v>7.40639277E8</v>
      </c>
      <c r="C7900" s="28" t="s">
        <v>8142</v>
      </c>
      <c r="D7900" s="26" t="s">
        <v>56</v>
      </c>
      <c r="E7900" s="31">
        <v>46245.0</v>
      </c>
      <c r="F7900" s="26" t="s">
        <v>46</v>
      </c>
      <c r="G7900" s="26">
        <v>10.0</v>
      </c>
      <c r="I7900" s="26" t="s">
        <v>970</v>
      </c>
      <c r="J7900" s="25" t="str">
        <f t="shared" si="91"/>
        <v>No</v>
      </c>
      <c r="K7900" s="25" t="str">
        <f t="shared" si="92"/>
        <v/>
      </c>
      <c r="L7900" s="25" t="str">
        <f t="shared" si="93"/>
        <v/>
      </c>
      <c r="M7900" s="25"/>
      <c r="O7900" s="25"/>
    </row>
    <row r="7901" ht="15.75" customHeight="1">
      <c r="A7901" s="25" t="str">
        <f>IFERROR(__xludf.DUMMYFUNCTION("IF(B7901="""","""",RIGHT(REGEXREPLACE(B7901&amp;"""",""[^0-9]"",""""),9))"),"772675824")</f>
        <v>772675824</v>
      </c>
      <c r="B7901" s="52">
        <v>7.72675824E8</v>
      </c>
      <c r="C7901" s="28" t="s">
        <v>952</v>
      </c>
      <c r="D7901" s="26" t="s">
        <v>82</v>
      </c>
      <c r="E7901" s="31">
        <v>46245.0</v>
      </c>
      <c r="F7901" s="26" t="s">
        <v>41</v>
      </c>
      <c r="I7901" s="26" t="s">
        <v>970</v>
      </c>
      <c r="J7901" s="25" t="str">
        <f t="shared" si="91"/>
        <v>Yes - see Previous F-Code</v>
      </c>
      <c r="K7901" s="25" t="str">
        <f t="shared" si="92"/>
        <v/>
      </c>
      <c r="L7901" s="25" t="str">
        <f t="shared" si="93"/>
        <v>F70703</v>
      </c>
      <c r="M7901" s="25"/>
      <c r="O7901" s="25"/>
    </row>
    <row r="7902" ht="15.75" customHeight="1">
      <c r="A7902" s="25" t="str">
        <f>IFERROR(__xludf.DUMMYFUNCTION("IF(B7902="""","""",RIGHT(REGEXREPLACE(B7902&amp;"""",""[^0-9]"",""""),9))"),"766563939")</f>
        <v>766563939</v>
      </c>
      <c r="B7902" s="52">
        <v>7.66563939E8</v>
      </c>
      <c r="C7902" s="28" t="s">
        <v>8143</v>
      </c>
      <c r="D7902" s="26" t="s">
        <v>56</v>
      </c>
      <c r="E7902" s="31">
        <v>46245.0</v>
      </c>
      <c r="F7902" s="26" t="s">
        <v>46</v>
      </c>
      <c r="G7902" s="26">
        <v>11.0</v>
      </c>
      <c r="I7902" s="26" t="s">
        <v>970</v>
      </c>
      <c r="J7902" s="25" t="str">
        <f t="shared" si="91"/>
        <v>No</v>
      </c>
      <c r="K7902" s="25" t="str">
        <f t="shared" si="92"/>
        <v/>
      </c>
      <c r="L7902" s="25" t="str">
        <f t="shared" si="93"/>
        <v/>
      </c>
      <c r="M7902" s="25"/>
      <c r="O7902" s="25"/>
    </row>
    <row r="7903" ht="15.75" customHeight="1">
      <c r="A7903" s="25" t="str">
        <f>IFERROR(__xludf.DUMMYFUNCTION("IF(B7903="""","""",RIGHT(REGEXREPLACE(B7903&amp;"""",""[^0-9]"",""""),9))"),"766344128")</f>
        <v>766344128</v>
      </c>
      <c r="B7903" s="52">
        <v>7.66344128E8</v>
      </c>
      <c r="C7903" s="28" t="s">
        <v>8144</v>
      </c>
      <c r="D7903" s="26" t="s">
        <v>56</v>
      </c>
      <c r="E7903" s="31">
        <v>46245.0</v>
      </c>
      <c r="F7903" s="26" t="s">
        <v>46</v>
      </c>
      <c r="G7903" s="26">
        <v>9.0</v>
      </c>
      <c r="I7903" s="26" t="s">
        <v>970</v>
      </c>
      <c r="J7903" s="25" t="str">
        <f t="shared" si="91"/>
        <v>No</v>
      </c>
      <c r="K7903" s="25" t="str">
        <f t="shared" si="92"/>
        <v/>
      </c>
      <c r="L7903" s="25" t="str">
        <f t="shared" si="93"/>
        <v/>
      </c>
      <c r="M7903" s="25"/>
      <c r="O7903" s="26" t="s">
        <v>51</v>
      </c>
    </row>
    <row r="7904" ht="15.75" customHeight="1">
      <c r="A7904" s="25" t="str">
        <f>IFERROR(__xludf.DUMMYFUNCTION("IF(B7904="""","""",RIGHT(REGEXREPLACE(B7904&amp;"""",""[^0-9]"",""""),9))"),"707126814")</f>
        <v>707126814</v>
      </c>
      <c r="B7904" s="52">
        <v>7.07126814E8</v>
      </c>
      <c r="C7904" s="28" t="s">
        <v>8145</v>
      </c>
      <c r="D7904" s="26" t="s">
        <v>56</v>
      </c>
      <c r="E7904" s="31">
        <v>46245.0</v>
      </c>
      <c r="F7904" s="26" t="s">
        <v>46</v>
      </c>
      <c r="G7904" s="26">
        <v>11.0</v>
      </c>
      <c r="I7904" s="26" t="s">
        <v>970</v>
      </c>
      <c r="J7904" s="25" t="str">
        <f t="shared" si="91"/>
        <v>No</v>
      </c>
      <c r="K7904" s="25" t="str">
        <f t="shared" si="92"/>
        <v/>
      </c>
      <c r="L7904" s="25" t="str">
        <f t="shared" si="93"/>
        <v/>
      </c>
      <c r="M7904" s="25"/>
      <c r="O7904" s="25"/>
    </row>
    <row r="7905" ht="15.75" customHeight="1">
      <c r="A7905" s="25" t="str">
        <f>IFERROR(__xludf.DUMMYFUNCTION("IF(B7905="""","""",RIGHT(REGEXREPLACE(B7905&amp;"""",""[^0-9]"",""""),9))"),"716363407")</f>
        <v>716363407</v>
      </c>
      <c r="B7905" s="52">
        <v>7.16363407E8</v>
      </c>
      <c r="C7905" s="28" t="s">
        <v>8146</v>
      </c>
      <c r="D7905" s="26" t="s">
        <v>45</v>
      </c>
      <c r="E7905" s="31">
        <v>46245.0</v>
      </c>
      <c r="F7905" s="26" t="s">
        <v>46</v>
      </c>
      <c r="H7905" s="26" t="s">
        <v>8147</v>
      </c>
      <c r="I7905" s="26" t="s">
        <v>970</v>
      </c>
      <c r="J7905" s="25" t="str">
        <f t="shared" si="91"/>
        <v>No</v>
      </c>
      <c r="K7905" s="25" t="str">
        <f t="shared" si="92"/>
        <v/>
      </c>
      <c r="L7905" s="25" t="str">
        <f t="shared" si="93"/>
        <v/>
      </c>
      <c r="M7905" s="25"/>
      <c r="O7905" s="25"/>
    </row>
    <row r="7906" ht="15.75" customHeight="1">
      <c r="A7906" s="25" t="str">
        <f>IFERROR(__xludf.DUMMYFUNCTION("IF(B7906="""","""",RIGHT(REGEXREPLACE(B7906&amp;"""",""[^0-9]"",""""),9))"),"714394950")</f>
        <v>714394950</v>
      </c>
      <c r="B7906" s="52">
        <v>7.1439495E8</v>
      </c>
      <c r="C7906" s="28" t="s">
        <v>8148</v>
      </c>
      <c r="D7906" s="26" t="s">
        <v>56</v>
      </c>
      <c r="E7906" s="31">
        <v>46245.0</v>
      </c>
      <c r="F7906" s="26" t="s">
        <v>46</v>
      </c>
      <c r="G7906" s="26">
        <v>11.0</v>
      </c>
      <c r="I7906" s="26" t="s">
        <v>970</v>
      </c>
      <c r="J7906" s="25" t="str">
        <f t="shared" si="91"/>
        <v>No</v>
      </c>
      <c r="K7906" s="25" t="str">
        <f t="shared" si="92"/>
        <v/>
      </c>
      <c r="L7906" s="25" t="str">
        <f t="shared" si="93"/>
        <v/>
      </c>
      <c r="M7906" s="25"/>
      <c r="O7906" s="25"/>
    </row>
    <row r="7907" ht="15.75" customHeight="1">
      <c r="A7907" s="25" t="str">
        <f>IFERROR(__xludf.DUMMYFUNCTION("IF(B7907="""","""",RIGHT(REGEXREPLACE(B7907&amp;"""",""[^0-9]"",""""),9))"),"702922510")</f>
        <v>702922510</v>
      </c>
      <c r="B7907" s="52">
        <v>7.0292251E8</v>
      </c>
      <c r="C7907" s="28" t="s">
        <v>2678</v>
      </c>
      <c r="D7907" s="26" t="s">
        <v>45</v>
      </c>
      <c r="E7907" s="31">
        <v>46245.0</v>
      </c>
      <c r="F7907" s="26" t="s">
        <v>46</v>
      </c>
      <c r="G7907" s="26">
        <v>11.0</v>
      </c>
      <c r="I7907" s="26" t="s">
        <v>970</v>
      </c>
      <c r="J7907" s="25" t="str">
        <f t="shared" si="91"/>
        <v>Yes - see Previous F-Code</v>
      </c>
      <c r="K7907" s="25" t="str">
        <f t="shared" si="92"/>
        <v/>
      </c>
      <c r="L7907" s="25" t="str">
        <f t="shared" si="93"/>
        <v>F72366</v>
      </c>
      <c r="M7907" s="25"/>
      <c r="O7907" s="25"/>
    </row>
    <row r="7908" ht="15.75" customHeight="1">
      <c r="A7908" s="25" t="str">
        <f>IFERROR(__xludf.DUMMYFUNCTION("IF(B7908="""","""",RIGHT(REGEXREPLACE(B7908&amp;"""",""[^0-9]"",""""),9))"),"767698689")</f>
        <v>767698689</v>
      </c>
      <c r="B7908" s="52">
        <v>7.67698689E8</v>
      </c>
      <c r="C7908" s="28" t="s">
        <v>8149</v>
      </c>
      <c r="D7908" s="26" t="s">
        <v>45</v>
      </c>
      <c r="E7908" s="31">
        <v>46245.0</v>
      </c>
      <c r="F7908" s="26" t="s">
        <v>167</v>
      </c>
      <c r="G7908" s="26">
        <v>10.0</v>
      </c>
      <c r="I7908" s="26" t="s">
        <v>970</v>
      </c>
      <c r="J7908" s="25" t="str">
        <f t="shared" si="91"/>
        <v>No</v>
      </c>
      <c r="K7908" s="25" t="str">
        <f t="shared" si="92"/>
        <v/>
      </c>
      <c r="L7908" s="25" t="str">
        <f t="shared" si="93"/>
        <v/>
      </c>
      <c r="M7908" s="25"/>
      <c r="O7908" s="25"/>
    </row>
    <row r="7909" ht="15.75" customHeight="1">
      <c r="A7909" s="25" t="str">
        <f>IFERROR(__xludf.DUMMYFUNCTION("IF(B7909="""","""",RIGHT(REGEXREPLACE(B7909&amp;"""",""[^0-9]"",""""),9))"),"762977987")</f>
        <v>762977987</v>
      </c>
      <c r="B7909" s="52">
        <v>7.62977987E8</v>
      </c>
      <c r="C7909" s="28" t="s">
        <v>8150</v>
      </c>
      <c r="D7909" s="26" t="s">
        <v>56</v>
      </c>
      <c r="E7909" s="31">
        <v>46245.0</v>
      </c>
      <c r="F7909" s="25"/>
      <c r="G7909" s="26">
        <v>4.0</v>
      </c>
      <c r="H7909" s="25"/>
      <c r="I7909" s="26" t="s">
        <v>970</v>
      </c>
      <c r="J7909" s="25" t="str">
        <f t="shared" si="91"/>
        <v>No</v>
      </c>
      <c r="K7909" s="25" t="str">
        <f t="shared" si="92"/>
        <v/>
      </c>
      <c r="L7909" s="25" t="str">
        <f t="shared" si="93"/>
        <v/>
      </c>
      <c r="M7909" s="25"/>
      <c r="N7909" s="25"/>
      <c r="O7909" s="25"/>
      <c r="P7909" s="25"/>
    </row>
    <row r="7910" ht="15.75" customHeight="1">
      <c r="A7910" s="25" t="str">
        <f>IFERROR(__xludf.DUMMYFUNCTION("IF(B7910="""","""",RIGHT(REGEXREPLACE(B7910&amp;"""",""[^0-9]"",""""),9))"),"718286281")</f>
        <v>718286281</v>
      </c>
      <c r="B7910" s="52">
        <v>7.18286281E8</v>
      </c>
      <c r="C7910" s="28" t="s">
        <v>8151</v>
      </c>
      <c r="D7910" s="26" t="s">
        <v>56</v>
      </c>
      <c r="E7910" s="31">
        <v>46245.0</v>
      </c>
      <c r="F7910" s="26" t="s">
        <v>46</v>
      </c>
      <c r="G7910" s="26">
        <v>11.0</v>
      </c>
      <c r="I7910" s="26" t="s">
        <v>970</v>
      </c>
      <c r="J7910" s="25" t="str">
        <f t="shared" si="91"/>
        <v>No</v>
      </c>
      <c r="K7910" s="25" t="str">
        <f t="shared" si="92"/>
        <v/>
      </c>
      <c r="L7910" s="25" t="str">
        <f t="shared" si="93"/>
        <v/>
      </c>
      <c r="M7910" s="25"/>
      <c r="O7910" s="25"/>
    </row>
    <row r="7911" ht="15.75" customHeight="1">
      <c r="A7911" s="25" t="str">
        <f>IFERROR(__xludf.DUMMYFUNCTION("IF(B7911="""","""",RIGHT(REGEXREPLACE(B7911&amp;"""",""[^0-9]"",""""),9))"),"778342814")</f>
        <v>778342814</v>
      </c>
      <c r="B7911" s="52">
        <v>7.78342814E8</v>
      </c>
      <c r="C7911" s="28" t="s">
        <v>8152</v>
      </c>
      <c r="D7911" s="26" t="s">
        <v>56</v>
      </c>
      <c r="E7911" s="31">
        <v>46245.0</v>
      </c>
      <c r="F7911" s="26" t="s">
        <v>46</v>
      </c>
      <c r="G7911" s="26">
        <v>11.0</v>
      </c>
      <c r="I7911" s="26" t="s">
        <v>970</v>
      </c>
      <c r="J7911" s="25" t="str">
        <f t="shared" si="91"/>
        <v>No</v>
      </c>
      <c r="K7911" s="25" t="str">
        <f t="shared" si="92"/>
        <v/>
      </c>
      <c r="L7911" s="25" t="str">
        <f t="shared" si="93"/>
        <v/>
      </c>
      <c r="M7911" s="25"/>
      <c r="O7911" s="25"/>
    </row>
    <row r="7912" ht="15.75" customHeight="1">
      <c r="A7912" s="25" t="str">
        <f>IFERROR(__xludf.DUMMYFUNCTION("IF(B7912="""","""",RIGHT(REGEXREPLACE(B7912&amp;"""",""[^0-9]"",""""),9))"),"769435463")</f>
        <v>769435463</v>
      </c>
      <c r="B7912" s="26" t="s">
        <v>8153</v>
      </c>
      <c r="C7912" s="28" t="s">
        <v>8154</v>
      </c>
      <c r="D7912" s="26" t="s">
        <v>45</v>
      </c>
      <c r="E7912" s="31">
        <v>46245.0</v>
      </c>
      <c r="F7912" s="26" t="s">
        <v>46</v>
      </c>
      <c r="G7912" s="26">
        <v>11.0</v>
      </c>
      <c r="I7912" s="26" t="s">
        <v>970</v>
      </c>
      <c r="J7912" s="25" t="str">
        <f t="shared" si="91"/>
        <v>Yes - see Previous F-Code</v>
      </c>
      <c r="K7912" s="25" t="str">
        <f t="shared" si="92"/>
        <v/>
      </c>
      <c r="L7912" s="25" t="str">
        <f t="shared" si="93"/>
        <v>F71195</v>
      </c>
      <c r="M7912" s="25"/>
      <c r="O7912" s="25"/>
    </row>
    <row r="7913" ht="15.75" customHeight="1">
      <c r="A7913" s="25" t="str">
        <f>IFERROR(__xludf.DUMMYFUNCTION("IF(B7913="""","""",RIGHT(REGEXREPLACE(B7913&amp;"""",""[^0-9]"",""""),9))"),"773684553")</f>
        <v>773684553</v>
      </c>
      <c r="B7913" s="52">
        <v>7.73684553E8</v>
      </c>
      <c r="C7913" s="28" t="s">
        <v>8155</v>
      </c>
      <c r="D7913" s="26" t="s">
        <v>56</v>
      </c>
      <c r="E7913" s="31">
        <v>46245.0</v>
      </c>
      <c r="F7913" s="26" t="s">
        <v>46</v>
      </c>
      <c r="G7913" s="26">
        <v>10.0</v>
      </c>
      <c r="H7913" s="26" t="s">
        <v>8156</v>
      </c>
      <c r="I7913" s="26" t="s">
        <v>970</v>
      </c>
      <c r="J7913" s="25" t="str">
        <f t="shared" si="91"/>
        <v>No</v>
      </c>
      <c r="K7913" s="25" t="str">
        <f t="shared" si="92"/>
        <v/>
      </c>
      <c r="L7913" s="25" t="str">
        <f t="shared" si="93"/>
        <v/>
      </c>
      <c r="M7913" s="25"/>
      <c r="O7913" s="25"/>
    </row>
    <row r="7914" ht="15.75" customHeight="1">
      <c r="A7914" s="25" t="str">
        <f>IFERROR(__xludf.DUMMYFUNCTION("IF(B7914="""","""",RIGHT(REGEXREPLACE(B7914&amp;"""",""[^0-9]"",""""),9))"),"715969643")</f>
        <v>715969643</v>
      </c>
      <c r="B7914" s="26" t="s">
        <v>8157</v>
      </c>
      <c r="C7914" s="28" t="s">
        <v>8158</v>
      </c>
      <c r="D7914" s="26" t="s">
        <v>45</v>
      </c>
      <c r="E7914" s="31">
        <v>46245.0</v>
      </c>
      <c r="F7914" s="26" t="s">
        <v>46</v>
      </c>
      <c r="G7914" s="26">
        <v>10.0</v>
      </c>
      <c r="I7914" s="26" t="s">
        <v>970</v>
      </c>
      <c r="J7914" s="25" t="str">
        <f t="shared" si="91"/>
        <v>No</v>
      </c>
      <c r="K7914" s="25" t="str">
        <f t="shared" si="92"/>
        <v/>
      </c>
      <c r="L7914" s="25" t="str">
        <f t="shared" si="93"/>
        <v/>
      </c>
      <c r="M7914" s="25"/>
      <c r="O7914" s="25"/>
    </row>
    <row r="7915" ht="15.75" customHeight="1">
      <c r="C7915" s="46"/>
      <c r="D7915" s="25"/>
      <c r="F7915" s="25"/>
      <c r="I7915" s="26" t="s">
        <v>970</v>
      </c>
      <c r="M7915" s="25"/>
      <c r="O7915" s="25"/>
    </row>
    <row r="7916" ht="15.75" customHeight="1">
      <c r="A7916" s="25" t="str">
        <f>IFERROR(__xludf.DUMMYFUNCTION("IF(B7916="""","""",RIGHT(REGEXREPLACE(B7916&amp;"""",""[^0-9]"",""""),9))"),"771440357")</f>
        <v>771440357</v>
      </c>
      <c r="B7916" s="52">
        <v>7.71440357E8</v>
      </c>
      <c r="C7916" s="28" t="s">
        <v>2965</v>
      </c>
      <c r="D7916" s="26" t="s">
        <v>49</v>
      </c>
      <c r="E7916" s="31">
        <v>46245.0</v>
      </c>
      <c r="F7916" s="26" t="s">
        <v>46</v>
      </c>
      <c r="G7916" s="26">
        <v>10.0</v>
      </c>
      <c r="H7916" s="26" t="s">
        <v>8159</v>
      </c>
      <c r="I7916" s="26" t="s">
        <v>970</v>
      </c>
      <c r="J7916" s="25" t="str">
        <f t="shared" ref="J7916:J7983" si="94">IF(COUNTIF($A$2:A7915,A7916)&gt;0,"Yes - see Previous F-Code","No")</f>
        <v>Yes - see Previous F-Code</v>
      </c>
      <c r="K7916" s="25" t="str">
        <f t="shared" ref="K7916:K7983" si="95">IF(COUNTIFS($A$2:A7916,A7916,$I$2:I7916,I7916)&gt;1,"DUPLICATE - CHECK","")</f>
        <v/>
      </c>
      <c r="L7916" s="25" t="str">
        <f t="shared" ref="L7916:L7983" si="96">IF(COUNTIF($A$2:A7915,A7916)&gt;0,INDEX($C$2:C7915,MATCH(A7916,$A$2:A7915,0)),"")</f>
        <v>F72565</v>
      </c>
      <c r="M7916" s="25"/>
      <c r="O7916" s="25"/>
    </row>
    <row r="7917" ht="15.75" customHeight="1">
      <c r="A7917" s="25" t="str">
        <f>IFERROR(__xludf.DUMMYFUNCTION("IF(B7917="""","""",RIGHT(REGEXREPLACE(B7917&amp;"""",""[^0-9]"",""""),9))"),"775564600")</f>
        <v>775564600</v>
      </c>
      <c r="B7917" s="52">
        <v>7.755646E8</v>
      </c>
      <c r="C7917" s="28" t="s">
        <v>8160</v>
      </c>
      <c r="D7917" s="26" t="s">
        <v>82</v>
      </c>
      <c r="E7917" s="31">
        <v>46245.0</v>
      </c>
      <c r="F7917" s="26" t="s">
        <v>125</v>
      </c>
      <c r="G7917" s="26">
        <v>10.0</v>
      </c>
      <c r="H7917" s="26" t="s">
        <v>57</v>
      </c>
      <c r="I7917" s="26" t="s">
        <v>970</v>
      </c>
      <c r="J7917" s="25" t="str">
        <f t="shared" si="94"/>
        <v>No</v>
      </c>
      <c r="K7917" s="25" t="str">
        <f t="shared" si="95"/>
        <v/>
      </c>
      <c r="L7917" s="25" t="str">
        <f t="shared" si="96"/>
        <v/>
      </c>
      <c r="M7917" s="25"/>
      <c r="O7917" s="25"/>
    </row>
    <row r="7918" ht="15.75" customHeight="1">
      <c r="A7918" s="25" t="str">
        <f>IFERROR(__xludf.DUMMYFUNCTION("IF(B7918="""","""",RIGHT(REGEXREPLACE(B7918&amp;"""",""[^0-9]"",""""),9))"),"710476248")</f>
        <v>710476248</v>
      </c>
      <c r="B7918" s="52">
        <v>7.10476248E8</v>
      </c>
      <c r="C7918" s="28" t="s">
        <v>4390</v>
      </c>
      <c r="D7918" s="26" t="s">
        <v>56</v>
      </c>
      <c r="E7918" s="31">
        <v>46245.0</v>
      </c>
      <c r="F7918" s="26" t="s">
        <v>46</v>
      </c>
      <c r="G7918" s="26">
        <v>11.0</v>
      </c>
      <c r="I7918" s="26" t="s">
        <v>970</v>
      </c>
      <c r="J7918" s="25" t="str">
        <f t="shared" si="94"/>
        <v>Yes - see Previous F-Code</v>
      </c>
      <c r="K7918" s="25" t="str">
        <f t="shared" si="95"/>
        <v/>
      </c>
      <c r="L7918" s="25" t="str">
        <f t="shared" si="96"/>
        <v>F74012</v>
      </c>
      <c r="M7918" s="25"/>
      <c r="O7918" s="25"/>
    </row>
    <row r="7919" ht="15.75" customHeight="1">
      <c r="A7919" s="25" t="str">
        <f>IFERROR(__xludf.DUMMYFUNCTION("IF(B7919="""","""",RIGHT(REGEXREPLACE(B7919&amp;"""",""[^0-9]"",""""),9))"),"772940662")</f>
        <v>772940662</v>
      </c>
      <c r="B7919" s="52">
        <v>7.72940662E8</v>
      </c>
      <c r="C7919" s="28" t="s">
        <v>8161</v>
      </c>
      <c r="D7919" s="26" t="s">
        <v>82</v>
      </c>
      <c r="E7919" s="31">
        <v>46245.0</v>
      </c>
      <c r="F7919" s="26" t="s">
        <v>125</v>
      </c>
      <c r="G7919" s="26">
        <v>11.0</v>
      </c>
      <c r="H7919" s="26" t="s">
        <v>8162</v>
      </c>
      <c r="I7919" s="26" t="s">
        <v>970</v>
      </c>
      <c r="J7919" s="25" t="str">
        <f t="shared" si="94"/>
        <v>No</v>
      </c>
      <c r="K7919" s="25" t="str">
        <f t="shared" si="95"/>
        <v/>
      </c>
      <c r="L7919" s="25" t="str">
        <f t="shared" si="96"/>
        <v/>
      </c>
      <c r="M7919" s="25"/>
      <c r="O7919" s="25"/>
    </row>
    <row r="7920" ht="15.75" customHeight="1">
      <c r="A7920" s="25" t="str">
        <f>IFERROR(__xludf.DUMMYFUNCTION("IF(B7920="""","""",RIGHT(REGEXREPLACE(B7920&amp;"""",""[^0-9]"",""""),9))"),"717908190")</f>
        <v>717908190</v>
      </c>
      <c r="B7920" s="52">
        <v>7.1790819E8</v>
      </c>
      <c r="C7920" s="28" t="s">
        <v>8163</v>
      </c>
      <c r="D7920" s="26" t="s">
        <v>82</v>
      </c>
      <c r="E7920" s="31">
        <v>46245.0</v>
      </c>
      <c r="F7920" s="26" t="s">
        <v>46</v>
      </c>
      <c r="H7920" s="26" t="s">
        <v>8164</v>
      </c>
      <c r="I7920" s="26" t="s">
        <v>970</v>
      </c>
      <c r="J7920" s="25" t="str">
        <f t="shared" si="94"/>
        <v>No</v>
      </c>
      <c r="K7920" s="25" t="str">
        <f t="shared" si="95"/>
        <v/>
      </c>
      <c r="L7920" s="25" t="str">
        <f t="shared" si="96"/>
        <v/>
      </c>
      <c r="M7920" s="25"/>
      <c r="O7920" s="25"/>
    </row>
    <row r="7921" ht="15.75" customHeight="1">
      <c r="A7921" s="25" t="str">
        <f>IFERROR(__xludf.DUMMYFUNCTION("IF(B7921="""","""",RIGHT(REGEXREPLACE(B7921&amp;"""",""[^0-9]"",""""),9))"),"743139175")</f>
        <v>743139175</v>
      </c>
      <c r="B7921" s="52">
        <v>7.43139175E8</v>
      </c>
      <c r="C7921" s="28" t="s">
        <v>8165</v>
      </c>
      <c r="D7921" s="26" t="s">
        <v>49</v>
      </c>
      <c r="E7921" s="31">
        <v>46245.0</v>
      </c>
      <c r="F7921" s="26" t="s">
        <v>46</v>
      </c>
      <c r="H7921" s="117" t="s">
        <v>8166</v>
      </c>
      <c r="I7921" s="26" t="s">
        <v>970</v>
      </c>
      <c r="J7921" s="25" t="str">
        <f t="shared" si="94"/>
        <v>No</v>
      </c>
      <c r="K7921" s="25" t="str">
        <f t="shared" si="95"/>
        <v/>
      </c>
      <c r="L7921" s="25" t="str">
        <f t="shared" si="96"/>
        <v/>
      </c>
      <c r="M7921" s="25"/>
      <c r="O7921" s="25"/>
    </row>
    <row r="7922" ht="15.75" customHeight="1">
      <c r="A7922" s="25" t="str">
        <f>IFERROR(__xludf.DUMMYFUNCTION("IF(B7922="""","""",RIGHT(REGEXREPLACE(B7922&amp;"""",""[^0-9]"",""""),9))"),"775510874")</f>
        <v>775510874</v>
      </c>
      <c r="B7922" s="52">
        <v>7.75510874E8</v>
      </c>
      <c r="C7922" s="28" t="s">
        <v>8167</v>
      </c>
      <c r="D7922" s="26" t="s">
        <v>82</v>
      </c>
      <c r="E7922" s="31">
        <v>46245.0</v>
      </c>
      <c r="F7922" s="26" t="s">
        <v>46</v>
      </c>
      <c r="G7922" s="26">
        <v>11.0</v>
      </c>
      <c r="I7922" s="26" t="s">
        <v>970</v>
      </c>
      <c r="J7922" s="25" t="str">
        <f t="shared" si="94"/>
        <v>No</v>
      </c>
      <c r="K7922" s="25" t="str">
        <f t="shared" si="95"/>
        <v/>
      </c>
      <c r="L7922" s="25" t="str">
        <f t="shared" si="96"/>
        <v/>
      </c>
      <c r="M7922" s="25"/>
      <c r="O7922" s="25"/>
    </row>
    <row r="7923" ht="15.75" customHeight="1">
      <c r="A7923" s="25" t="str">
        <f>IFERROR(__xludf.DUMMYFUNCTION("IF(B7923="""","""",RIGHT(REGEXREPLACE(B7923&amp;"""",""[^0-9]"",""""),9))"),"764218040")</f>
        <v>764218040</v>
      </c>
      <c r="B7923" s="52">
        <v>7.6421804E8</v>
      </c>
      <c r="C7923" s="28" t="s">
        <v>8168</v>
      </c>
      <c r="D7923" s="26" t="s">
        <v>49</v>
      </c>
      <c r="E7923" s="31">
        <v>46245.0</v>
      </c>
      <c r="F7923" s="26" t="s">
        <v>41</v>
      </c>
      <c r="I7923" s="26" t="s">
        <v>970</v>
      </c>
      <c r="J7923" s="25" t="str">
        <f t="shared" si="94"/>
        <v>No</v>
      </c>
      <c r="K7923" s="25" t="str">
        <f t="shared" si="95"/>
        <v/>
      </c>
      <c r="L7923" s="25" t="str">
        <f t="shared" si="96"/>
        <v/>
      </c>
      <c r="M7923" s="25"/>
      <c r="O7923" s="25"/>
    </row>
    <row r="7924" ht="15.75" customHeight="1">
      <c r="A7924" s="25" t="str">
        <f>IFERROR(__xludf.DUMMYFUNCTION("IF(B7924="""","""",RIGHT(REGEXREPLACE(B7924&amp;"""",""[^0-9]"",""""),9))"),"729157500")</f>
        <v>729157500</v>
      </c>
      <c r="B7924" s="52">
        <v>7.291575E8</v>
      </c>
      <c r="C7924" s="28" t="s">
        <v>8169</v>
      </c>
      <c r="D7924" s="26" t="s">
        <v>82</v>
      </c>
      <c r="E7924" s="31">
        <v>46245.0</v>
      </c>
      <c r="F7924" s="26" t="s">
        <v>41</v>
      </c>
      <c r="I7924" s="26" t="s">
        <v>970</v>
      </c>
      <c r="J7924" s="25" t="str">
        <f t="shared" si="94"/>
        <v>No</v>
      </c>
      <c r="K7924" s="25" t="str">
        <f t="shared" si="95"/>
        <v/>
      </c>
      <c r="L7924" s="25" t="str">
        <f t="shared" si="96"/>
        <v/>
      </c>
      <c r="M7924" s="25"/>
      <c r="O7924" s="25"/>
    </row>
    <row r="7925" ht="15.75" customHeight="1">
      <c r="A7925" s="25" t="str">
        <f>IFERROR(__xludf.DUMMYFUNCTION("IF(B7925="""","""",RIGHT(REGEXREPLACE(B7925&amp;"""",""[^0-9]"",""""),9))"),"773835786")</f>
        <v>773835786</v>
      </c>
      <c r="B7925" s="52">
        <v>7.73835786E8</v>
      </c>
      <c r="C7925" s="28" t="s">
        <v>1240</v>
      </c>
      <c r="D7925" s="26" t="s">
        <v>56</v>
      </c>
      <c r="E7925" s="31">
        <v>46245.0</v>
      </c>
      <c r="F7925" s="26" t="s">
        <v>41</v>
      </c>
      <c r="G7925" s="26">
        <v>11.0</v>
      </c>
      <c r="I7925" s="26" t="s">
        <v>970</v>
      </c>
      <c r="J7925" s="25" t="str">
        <f t="shared" si="94"/>
        <v>Yes - see Previous F-Code</v>
      </c>
      <c r="K7925" s="25" t="str">
        <f t="shared" si="95"/>
        <v/>
      </c>
      <c r="L7925" s="25" t="str">
        <f t="shared" si="96"/>
        <v>F70976</v>
      </c>
      <c r="M7925" s="25"/>
      <c r="O7925" s="25"/>
    </row>
    <row r="7926" ht="15.75" customHeight="1">
      <c r="A7926" s="25" t="str">
        <f>IFERROR(__xludf.DUMMYFUNCTION("IF(B7926="""","""",RIGHT(REGEXREPLACE(B7926&amp;"""",""[^0-9]"",""""),9))"),"760796282")</f>
        <v>760796282</v>
      </c>
      <c r="B7926" s="52">
        <v>7.60796282E8</v>
      </c>
      <c r="C7926" s="28" t="s">
        <v>4720</v>
      </c>
      <c r="D7926" s="26" t="s">
        <v>82</v>
      </c>
      <c r="E7926" s="31">
        <v>46245.0</v>
      </c>
      <c r="F7926" s="26" t="s">
        <v>46</v>
      </c>
      <c r="G7926" s="26">
        <v>9.0</v>
      </c>
      <c r="I7926" s="26" t="s">
        <v>970</v>
      </c>
      <c r="J7926" s="25" t="str">
        <f t="shared" si="94"/>
        <v>Yes - see Previous F-Code</v>
      </c>
      <c r="K7926" s="25" t="str">
        <f t="shared" si="95"/>
        <v/>
      </c>
      <c r="L7926" s="25" t="str">
        <f t="shared" si="96"/>
        <v>F74306</v>
      </c>
      <c r="M7926" s="25"/>
      <c r="O7926" s="25"/>
    </row>
    <row r="7927" ht="15.75" customHeight="1">
      <c r="A7927" s="25" t="str">
        <f>IFERROR(__xludf.DUMMYFUNCTION("IF(B7927="""","""",RIGHT(REGEXREPLACE(B7927&amp;"""",""[^0-9]"",""""),9))"),"705969360")</f>
        <v>705969360</v>
      </c>
      <c r="B7927" s="52">
        <v>7.0596936E8</v>
      </c>
      <c r="C7927" s="28" t="s">
        <v>8170</v>
      </c>
      <c r="D7927" s="26" t="s">
        <v>49</v>
      </c>
      <c r="E7927" s="31">
        <v>46245.0</v>
      </c>
      <c r="F7927" s="26" t="s">
        <v>41</v>
      </c>
      <c r="I7927" s="26" t="s">
        <v>970</v>
      </c>
      <c r="J7927" s="25" t="str">
        <f t="shared" si="94"/>
        <v>No</v>
      </c>
      <c r="K7927" s="25" t="str">
        <f t="shared" si="95"/>
        <v/>
      </c>
      <c r="L7927" s="25" t="str">
        <f t="shared" si="96"/>
        <v/>
      </c>
      <c r="M7927" s="25"/>
      <c r="O7927" s="25"/>
    </row>
    <row r="7928" ht="15.75" customHeight="1">
      <c r="A7928" s="25" t="str">
        <f>IFERROR(__xludf.DUMMYFUNCTION("IF(B7928="""","""",RIGHT(REGEXREPLACE(B7928&amp;"""",""[^0-9]"",""""),9))"),"712413399")</f>
        <v>712413399</v>
      </c>
      <c r="B7928" s="52">
        <v>7.12413399E8</v>
      </c>
      <c r="C7928" s="28" t="s">
        <v>8171</v>
      </c>
      <c r="D7928" s="26" t="s">
        <v>56</v>
      </c>
      <c r="E7928" s="31">
        <v>46245.0</v>
      </c>
      <c r="F7928" s="26" t="s">
        <v>46</v>
      </c>
      <c r="G7928" s="26">
        <v>11.0</v>
      </c>
      <c r="I7928" s="26" t="s">
        <v>970</v>
      </c>
      <c r="J7928" s="25" t="str">
        <f t="shared" si="94"/>
        <v>No</v>
      </c>
      <c r="K7928" s="25" t="str">
        <f t="shared" si="95"/>
        <v/>
      </c>
      <c r="L7928" s="25" t="str">
        <f t="shared" si="96"/>
        <v/>
      </c>
      <c r="M7928" s="25"/>
      <c r="O7928" s="25"/>
    </row>
    <row r="7929" ht="15.75" customHeight="1">
      <c r="A7929" s="25" t="str">
        <f>IFERROR(__xludf.DUMMYFUNCTION("IF(B7929="""","""",RIGHT(REGEXREPLACE(B7929&amp;"""",""[^0-9]"",""""),9))"),"740653447")</f>
        <v>740653447</v>
      </c>
      <c r="B7929" s="52">
        <v>7.40653447E8</v>
      </c>
      <c r="C7929" s="28" t="s">
        <v>8025</v>
      </c>
      <c r="D7929" s="26" t="s">
        <v>82</v>
      </c>
      <c r="E7929" s="31">
        <v>46245.0</v>
      </c>
      <c r="F7929" s="26" t="s">
        <v>41</v>
      </c>
      <c r="I7929" s="26" t="s">
        <v>970</v>
      </c>
      <c r="J7929" s="25" t="str">
        <f t="shared" si="94"/>
        <v>Yes - see Previous F-Code</v>
      </c>
      <c r="K7929" s="25" t="str">
        <f t="shared" si="95"/>
        <v>DUPLICATE - CHECK</v>
      </c>
      <c r="L7929" s="25" t="str">
        <f t="shared" si="96"/>
        <v>F76756</v>
      </c>
      <c r="M7929" s="25"/>
      <c r="O7929" s="25"/>
    </row>
    <row r="7930" ht="15.75" customHeight="1">
      <c r="A7930" s="25" t="str">
        <f>IFERROR(__xludf.DUMMYFUNCTION("IF(B7930="""","""",RIGHT(REGEXREPLACE(B7930&amp;"""",""[^0-9]"",""""),9))"),"777171800")</f>
        <v>777171800</v>
      </c>
      <c r="B7930" s="52">
        <v>7.771718E8</v>
      </c>
      <c r="C7930" s="28" t="s">
        <v>8172</v>
      </c>
      <c r="D7930" s="26" t="s">
        <v>49</v>
      </c>
      <c r="E7930" s="31">
        <v>46245.0</v>
      </c>
      <c r="F7930" s="26" t="s">
        <v>46</v>
      </c>
      <c r="G7930" s="26">
        <v>11.0</v>
      </c>
      <c r="I7930" s="26" t="s">
        <v>970</v>
      </c>
      <c r="J7930" s="25" t="str">
        <f t="shared" si="94"/>
        <v>No</v>
      </c>
      <c r="K7930" s="25" t="str">
        <f t="shared" si="95"/>
        <v/>
      </c>
      <c r="L7930" s="25" t="str">
        <f t="shared" si="96"/>
        <v/>
      </c>
      <c r="M7930" s="25"/>
      <c r="O7930" s="25"/>
    </row>
    <row r="7931" ht="15.75" customHeight="1">
      <c r="A7931" s="25" t="str">
        <f>IFERROR(__xludf.DUMMYFUNCTION("IF(B7931="""","""",RIGHT(REGEXREPLACE(B7931&amp;"""",""[^0-9]"",""""),9))"),"717963194")</f>
        <v>717963194</v>
      </c>
      <c r="B7931" s="52">
        <v>7.17963194E8</v>
      </c>
      <c r="C7931" s="28" t="s">
        <v>8173</v>
      </c>
      <c r="D7931" s="26" t="s">
        <v>82</v>
      </c>
      <c r="E7931" s="31">
        <v>46245.0</v>
      </c>
      <c r="F7931" s="26" t="s">
        <v>164</v>
      </c>
      <c r="I7931" s="26" t="s">
        <v>970</v>
      </c>
      <c r="J7931" s="25" t="str">
        <f t="shared" si="94"/>
        <v>No</v>
      </c>
      <c r="K7931" s="25" t="str">
        <f t="shared" si="95"/>
        <v/>
      </c>
      <c r="L7931" s="25" t="str">
        <f t="shared" si="96"/>
        <v/>
      </c>
      <c r="M7931" s="25"/>
      <c r="O7931" s="25"/>
    </row>
    <row r="7932" ht="15.75" customHeight="1">
      <c r="A7932" s="25" t="str">
        <f>IFERROR(__xludf.DUMMYFUNCTION("IF(B7932="""","""",RIGHT(REGEXREPLACE(B7932&amp;"""",""[^0-9]"",""""),9))"),"714308676")</f>
        <v>714308676</v>
      </c>
      <c r="B7932" s="52">
        <v>7.14308676E8</v>
      </c>
      <c r="C7932" s="28" t="s">
        <v>8174</v>
      </c>
      <c r="D7932" s="26" t="s">
        <v>82</v>
      </c>
      <c r="E7932" s="31">
        <v>46245.0</v>
      </c>
      <c r="F7932" s="26" t="s">
        <v>46</v>
      </c>
      <c r="G7932" s="26">
        <v>6.0</v>
      </c>
      <c r="I7932" s="26" t="s">
        <v>970</v>
      </c>
      <c r="J7932" s="25" t="str">
        <f t="shared" si="94"/>
        <v>No</v>
      </c>
      <c r="K7932" s="25" t="str">
        <f t="shared" si="95"/>
        <v/>
      </c>
      <c r="L7932" s="25" t="str">
        <f t="shared" si="96"/>
        <v/>
      </c>
      <c r="M7932" s="25"/>
      <c r="O7932" s="25"/>
    </row>
    <row r="7933" ht="15.75" customHeight="1">
      <c r="A7933" s="25" t="str">
        <f>IFERROR(__xludf.DUMMYFUNCTION("IF(B7933="""","""",RIGHT(REGEXREPLACE(B7933&amp;"""",""[^0-9]"",""""),9))"),"711908459")</f>
        <v>711908459</v>
      </c>
      <c r="B7933" s="52">
        <v>7.11908459E8</v>
      </c>
      <c r="C7933" s="28" t="s">
        <v>8175</v>
      </c>
      <c r="D7933" s="26" t="s">
        <v>56</v>
      </c>
      <c r="E7933" s="31">
        <v>46245.0</v>
      </c>
      <c r="F7933" s="26" t="s">
        <v>41</v>
      </c>
      <c r="I7933" s="26" t="s">
        <v>970</v>
      </c>
      <c r="J7933" s="25" t="str">
        <f t="shared" si="94"/>
        <v>No</v>
      </c>
      <c r="K7933" s="25" t="str">
        <f t="shared" si="95"/>
        <v/>
      </c>
      <c r="L7933" s="25" t="str">
        <f t="shared" si="96"/>
        <v/>
      </c>
      <c r="M7933" s="25"/>
      <c r="O7933" s="25"/>
    </row>
    <row r="7934" ht="15.75" customHeight="1">
      <c r="A7934" s="25" t="str">
        <f>IFERROR(__xludf.DUMMYFUNCTION("IF(B7934="""","""",RIGHT(REGEXREPLACE(B7934&amp;"""",""[^0-9]"",""""),9))"),"770376066")</f>
        <v>770376066</v>
      </c>
      <c r="B7934" s="52">
        <v>7.70376066E8</v>
      </c>
      <c r="C7934" s="28" t="s">
        <v>8176</v>
      </c>
      <c r="D7934" s="26" t="s">
        <v>49</v>
      </c>
      <c r="E7934" s="31">
        <v>46245.0</v>
      </c>
      <c r="F7934" s="26" t="s">
        <v>205</v>
      </c>
      <c r="I7934" s="26" t="s">
        <v>970</v>
      </c>
      <c r="J7934" s="25" t="str">
        <f t="shared" si="94"/>
        <v>No</v>
      </c>
      <c r="K7934" s="25" t="str">
        <f t="shared" si="95"/>
        <v/>
      </c>
      <c r="L7934" s="25" t="str">
        <f t="shared" si="96"/>
        <v/>
      </c>
      <c r="M7934" s="25"/>
      <c r="O7934" s="25"/>
    </row>
    <row r="7935" ht="15.75" customHeight="1">
      <c r="A7935" s="25" t="str">
        <f>IFERROR(__xludf.DUMMYFUNCTION("IF(B7935="""","""",RIGHT(REGEXREPLACE(B7935&amp;"""",""[^0-9]"",""""),9))"),"771537002")</f>
        <v>771537002</v>
      </c>
      <c r="B7935" s="52">
        <v>7.71537002E8</v>
      </c>
      <c r="C7935" s="28" t="s">
        <v>8177</v>
      </c>
      <c r="D7935" s="26" t="s">
        <v>82</v>
      </c>
      <c r="E7935" s="31">
        <v>46245.0</v>
      </c>
      <c r="F7935" s="26" t="s">
        <v>46</v>
      </c>
      <c r="H7935" s="26" t="s">
        <v>3667</v>
      </c>
      <c r="I7935" s="26" t="s">
        <v>970</v>
      </c>
      <c r="J7935" s="25" t="str">
        <f t="shared" si="94"/>
        <v>No</v>
      </c>
      <c r="K7935" s="25" t="str">
        <f t="shared" si="95"/>
        <v/>
      </c>
      <c r="L7935" s="25" t="str">
        <f t="shared" si="96"/>
        <v/>
      </c>
      <c r="M7935" s="25"/>
      <c r="O7935" s="25"/>
    </row>
    <row r="7936" ht="15.75" customHeight="1">
      <c r="A7936" s="25" t="str">
        <f>IFERROR(__xludf.DUMMYFUNCTION("IF(B7936="""","""",RIGHT(REGEXREPLACE(B7936&amp;"""",""[^0-9]"",""""),9))"),"778080722")</f>
        <v>778080722</v>
      </c>
      <c r="B7936" s="52">
        <v>7.78080722E8</v>
      </c>
      <c r="C7936" s="28" t="s">
        <v>8178</v>
      </c>
      <c r="D7936" s="26" t="s">
        <v>49</v>
      </c>
      <c r="E7936" s="31">
        <v>46245.0</v>
      </c>
      <c r="F7936" s="26" t="s">
        <v>46</v>
      </c>
      <c r="G7936" s="26">
        <v>10.0</v>
      </c>
      <c r="I7936" s="26" t="s">
        <v>970</v>
      </c>
      <c r="J7936" s="25" t="str">
        <f t="shared" si="94"/>
        <v>No</v>
      </c>
      <c r="K7936" s="25" t="str">
        <f t="shared" si="95"/>
        <v/>
      </c>
      <c r="L7936" s="25" t="str">
        <f t="shared" si="96"/>
        <v/>
      </c>
      <c r="M7936" s="25"/>
      <c r="O7936" s="25"/>
    </row>
    <row r="7937" ht="15.75" customHeight="1">
      <c r="A7937" s="25" t="str">
        <f>IFERROR(__xludf.DUMMYFUNCTION("IF(B7937="""","""",RIGHT(REGEXREPLACE(B7937&amp;"""",""[^0-9]"",""""),9))"),"779359123")</f>
        <v>779359123</v>
      </c>
      <c r="B7937" s="52">
        <v>7.79359123E8</v>
      </c>
      <c r="C7937" s="28" t="s">
        <v>6903</v>
      </c>
      <c r="D7937" s="26" t="s">
        <v>82</v>
      </c>
      <c r="E7937" s="31">
        <v>46245.0</v>
      </c>
      <c r="F7937" s="26" t="s">
        <v>46</v>
      </c>
      <c r="I7937" s="26" t="s">
        <v>970</v>
      </c>
      <c r="J7937" s="25" t="str">
        <f t="shared" si="94"/>
        <v>Yes - see Previous F-Code</v>
      </c>
      <c r="K7937" s="25" t="str">
        <f t="shared" si="95"/>
        <v/>
      </c>
      <c r="L7937" s="25" t="str">
        <f t="shared" si="96"/>
        <v>F75907</v>
      </c>
      <c r="M7937" s="25"/>
      <c r="O7937" s="25"/>
    </row>
    <row r="7938" ht="15.75" customHeight="1">
      <c r="A7938" s="25" t="str">
        <f>IFERROR(__xludf.DUMMYFUNCTION("IF(B7938="""","""",RIGHT(REGEXREPLACE(B7938&amp;"""",""[^0-9]"",""""),9))"),"760083013")</f>
        <v>760083013</v>
      </c>
      <c r="B7938" s="52">
        <v>7.60083013E8</v>
      </c>
      <c r="C7938" s="28" t="s">
        <v>8179</v>
      </c>
      <c r="D7938" s="26" t="s">
        <v>56</v>
      </c>
      <c r="E7938" s="31">
        <v>46245.0</v>
      </c>
      <c r="F7938" s="26" t="s">
        <v>205</v>
      </c>
      <c r="I7938" s="26" t="s">
        <v>970</v>
      </c>
      <c r="J7938" s="25" t="str">
        <f t="shared" si="94"/>
        <v>No</v>
      </c>
      <c r="K7938" s="25" t="str">
        <f t="shared" si="95"/>
        <v/>
      </c>
      <c r="L7938" s="25" t="str">
        <f t="shared" si="96"/>
        <v/>
      </c>
      <c r="M7938" s="25"/>
      <c r="O7938" s="25"/>
    </row>
    <row r="7939" ht="15.75" customHeight="1">
      <c r="A7939" s="25" t="str">
        <f>IFERROR(__xludf.DUMMYFUNCTION("IF(B7939="""","""",RIGHT(REGEXREPLACE(B7939&amp;"""",""[^0-9]"",""""),9))"),"702345019")</f>
        <v>702345019</v>
      </c>
      <c r="B7939" s="52">
        <v>7.02345019E8</v>
      </c>
      <c r="C7939" s="28" t="s">
        <v>8180</v>
      </c>
      <c r="D7939" s="26" t="s">
        <v>45</v>
      </c>
      <c r="E7939" s="31">
        <v>46245.0</v>
      </c>
      <c r="F7939" s="26" t="s">
        <v>46</v>
      </c>
      <c r="H7939" s="72" t="s">
        <v>8181</v>
      </c>
      <c r="I7939" s="26" t="s">
        <v>970</v>
      </c>
      <c r="J7939" s="25" t="str">
        <f t="shared" si="94"/>
        <v>No</v>
      </c>
      <c r="K7939" s="25" t="str">
        <f t="shared" si="95"/>
        <v/>
      </c>
      <c r="L7939" s="25" t="str">
        <f t="shared" si="96"/>
        <v/>
      </c>
      <c r="M7939" s="25"/>
      <c r="O7939" s="25"/>
    </row>
    <row r="7940" ht="15.75" customHeight="1">
      <c r="A7940" s="25" t="str">
        <f>IFERROR(__xludf.DUMMYFUNCTION("IF(B7940="""","""",RIGHT(REGEXREPLACE(B7940&amp;"""",""[^0-9]"",""""),9))"),"741288494")</f>
        <v>741288494</v>
      </c>
      <c r="B7940" s="52">
        <v>7.41288494E8</v>
      </c>
      <c r="C7940" s="28" t="s">
        <v>8182</v>
      </c>
      <c r="D7940" s="26" t="s">
        <v>56</v>
      </c>
      <c r="E7940" s="31">
        <v>46245.0</v>
      </c>
      <c r="F7940" s="26" t="s">
        <v>41</v>
      </c>
      <c r="I7940" s="26" t="s">
        <v>970</v>
      </c>
      <c r="J7940" s="25" t="str">
        <f t="shared" si="94"/>
        <v>No</v>
      </c>
      <c r="K7940" s="25" t="str">
        <f t="shared" si="95"/>
        <v/>
      </c>
      <c r="L7940" s="25" t="str">
        <f t="shared" si="96"/>
        <v/>
      </c>
      <c r="M7940" s="25"/>
      <c r="O7940" s="25"/>
    </row>
    <row r="7941" ht="15.75" customHeight="1">
      <c r="A7941" s="25" t="str">
        <f>IFERROR(__xludf.DUMMYFUNCTION("IF(B7941="""","""",RIGHT(REGEXREPLACE(B7941&amp;"""",""[^0-9]"",""""),9))"),"710939693")</f>
        <v>710939693</v>
      </c>
      <c r="B7941" s="52">
        <v>7.10939693E8</v>
      </c>
      <c r="C7941" s="28" t="s">
        <v>8183</v>
      </c>
      <c r="D7941" s="26" t="s">
        <v>82</v>
      </c>
      <c r="E7941" s="31">
        <v>46245.0</v>
      </c>
      <c r="F7941" s="26" t="s">
        <v>46</v>
      </c>
      <c r="H7941" s="26" t="s">
        <v>8184</v>
      </c>
      <c r="I7941" s="26" t="s">
        <v>970</v>
      </c>
      <c r="J7941" s="25" t="str">
        <f t="shared" si="94"/>
        <v>No</v>
      </c>
      <c r="K7941" s="25" t="str">
        <f t="shared" si="95"/>
        <v/>
      </c>
      <c r="L7941" s="25" t="str">
        <f t="shared" si="96"/>
        <v/>
      </c>
      <c r="M7941" s="25"/>
      <c r="O7941" s="25"/>
    </row>
    <row r="7942" ht="15.75" customHeight="1">
      <c r="A7942" s="25" t="str">
        <f>IFERROR(__xludf.DUMMYFUNCTION("IF(B7942="""","""",RIGHT(REGEXREPLACE(B7942&amp;"""",""[^0-9]"",""""),9))"),"771917548")</f>
        <v>771917548</v>
      </c>
      <c r="B7942" s="52">
        <v>7.71917548E8</v>
      </c>
      <c r="C7942" s="28" t="s">
        <v>2424</v>
      </c>
      <c r="D7942" s="26" t="s">
        <v>49</v>
      </c>
      <c r="E7942" s="31">
        <v>46245.0</v>
      </c>
      <c r="F7942" s="26" t="s">
        <v>659</v>
      </c>
      <c r="I7942" s="26" t="s">
        <v>970</v>
      </c>
      <c r="J7942" s="25" t="str">
        <f t="shared" si="94"/>
        <v>Yes - see Previous F-Code</v>
      </c>
      <c r="K7942" s="25" t="str">
        <f t="shared" si="95"/>
        <v/>
      </c>
      <c r="L7942" s="25" t="str">
        <f t="shared" si="96"/>
        <v>F72117</v>
      </c>
      <c r="M7942" s="25"/>
      <c r="O7942" s="25"/>
    </row>
    <row r="7943" ht="15.75" customHeight="1">
      <c r="A7943" s="25" t="str">
        <f>IFERROR(__xludf.DUMMYFUNCTION("IF(B7943="""","""",RIGHT(REGEXREPLACE(B7943&amp;"""",""[^0-9]"",""""),9))"),"785903022")</f>
        <v>785903022</v>
      </c>
      <c r="B7943" s="52">
        <v>7.85903022E8</v>
      </c>
      <c r="C7943" s="28" t="s">
        <v>8185</v>
      </c>
      <c r="D7943" s="26" t="s">
        <v>45</v>
      </c>
      <c r="E7943" s="31">
        <v>46245.0</v>
      </c>
      <c r="F7943" s="26" t="s">
        <v>46</v>
      </c>
      <c r="H7943" s="26" t="s">
        <v>253</v>
      </c>
      <c r="I7943" s="26" t="s">
        <v>970</v>
      </c>
      <c r="J7943" s="25" t="str">
        <f t="shared" si="94"/>
        <v>No</v>
      </c>
      <c r="K7943" s="25" t="str">
        <f t="shared" si="95"/>
        <v/>
      </c>
      <c r="L7943" s="25" t="str">
        <f t="shared" si="96"/>
        <v/>
      </c>
      <c r="M7943" s="25"/>
      <c r="O7943" s="25"/>
    </row>
    <row r="7944" ht="15.75" customHeight="1">
      <c r="A7944" s="25" t="str">
        <f>IFERROR(__xludf.DUMMYFUNCTION("IF(B7944="""","""",RIGHT(REGEXREPLACE(B7944&amp;"""",""[^0-9]"",""""),9))"),"714470067")</f>
        <v>714470067</v>
      </c>
      <c r="B7944" s="52">
        <v>7.14470067E8</v>
      </c>
      <c r="C7944" s="28" t="s">
        <v>8186</v>
      </c>
      <c r="D7944" s="26" t="s">
        <v>56</v>
      </c>
      <c r="E7944" s="31">
        <v>46245.0</v>
      </c>
      <c r="F7944" s="26" t="s">
        <v>46</v>
      </c>
      <c r="G7944" s="26">
        <v>11.0</v>
      </c>
      <c r="I7944" s="26" t="s">
        <v>970</v>
      </c>
      <c r="J7944" s="25" t="str">
        <f t="shared" si="94"/>
        <v>No</v>
      </c>
      <c r="K7944" s="25" t="str">
        <f t="shared" si="95"/>
        <v/>
      </c>
      <c r="L7944" s="25" t="str">
        <f t="shared" si="96"/>
        <v/>
      </c>
      <c r="M7944" s="25"/>
      <c r="O7944" s="25"/>
    </row>
    <row r="7945" ht="15.75" customHeight="1">
      <c r="A7945" s="25" t="str">
        <f>IFERROR(__xludf.DUMMYFUNCTION("IF(B7945="""","""",RIGHT(REGEXREPLACE(B7945&amp;"""",""[^0-9]"",""""),9))"),"760514606")</f>
        <v>760514606</v>
      </c>
      <c r="B7945" s="52">
        <v>7.60514606E8</v>
      </c>
      <c r="C7945" s="28" t="s">
        <v>8187</v>
      </c>
      <c r="D7945" s="26" t="s">
        <v>49</v>
      </c>
      <c r="E7945" s="31">
        <v>46245.0</v>
      </c>
      <c r="F7945" s="26" t="s">
        <v>41</v>
      </c>
      <c r="I7945" s="26" t="s">
        <v>970</v>
      </c>
      <c r="J7945" s="25" t="str">
        <f t="shared" si="94"/>
        <v>No</v>
      </c>
      <c r="K7945" s="25" t="str">
        <f t="shared" si="95"/>
        <v/>
      </c>
      <c r="L7945" s="25" t="str">
        <f t="shared" si="96"/>
        <v/>
      </c>
      <c r="M7945" s="25"/>
      <c r="O7945" s="25"/>
    </row>
    <row r="7946" ht="15.75" customHeight="1">
      <c r="A7946" s="25" t="str">
        <f>IFERROR(__xludf.DUMMYFUNCTION("IF(B7946="""","""",RIGHT(REGEXREPLACE(B7946&amp;"""",""[^0-9]"",""""),9))"),"753639987")</f>
        <v>753639987</v>
      </c>
      <c r="B7946" s="52">
        <v>7.53639987E8</v>
      </c>
      <c r="C7946" s="28" t="s">
        <v>8188</v>
      </c>
      <c r="D7946" s="26" t="s">
        <v>82</v>
      </c>
      <c r="E7946" s="31">
        <v>46245.0</v>
      </c>
      <c r="F7946" s="26" t="s">
        <v>205</v>
      </c>
      <c r="I7946" s="26" t="s">
        <v>970</v>
      </c>
      <c r="J7946" s="25" t="str">
        <f t="shared" si="94"/>
        <v>No</v>
      </c>
      <c r="K7946" s="25" t="str">
        <f t="shared" si="95"/>
        <v/>
      </c>
      <c r="L7946" s="25" t="str">
        <f t="shared" si="96"/>
        <v/>
      </c>
      <c r="M7946" s="25"/>
      <c r="O7946" s="25"/>
    </row>
    <row r="7947" ht="15.75" customHeight="1">
      <c r="A7947" s="25" t="str">
        <f>IFERROR(__xludf.DUMMYFUNCTION("IF(B7947="""","""",RIGHT(REGEXREPLACE(B7947&amp;"""",""[^0-9]"",""""),9))"),"783333553")</f>
        <v>783333553</v>
      </c>
      <c r="B7947" s="52">
        <v>7.83333553E8</v>
      </c>
      <c r="C7947" s="28" t="s">
        <v>8189</v>
      </c>
      <c r="D7947" s="26" t="s">
        <v>82</v>
      </c>
      <c r="E7947" s="31">
        <v>46245.0</v>
      </c>
      <c r="F7947" s="26" t="s">
        <v>46</v>
      </c>
      <c r="G7947" s="26">
        <v>10.0</v>
      </c>
      <c r="I7947" s="26" t="s">
        <v>970</v>
      </c>
      <c r="J7947" s="25" t="str">
        <f t="shared" si="94"/>
        <v>No</v>
      </c>
      <c r="K7947" s="25" t="str">
        <f t="shared" si="95"/>
        <v/>
      </c>
      <c r="L7947" s="25" t="str">
        <f t="shared" si="96"/>
        <v/>
      </c>
      <c r="M7947" s="25"/>
      <c r="O7947" s="25"/>
    </row>
    <row r="7948" ht="15.75" customHeight="1">
      <c r="A7948" s="25" t="str">
        <f>IFERROR(__xludf.DUMMYFUNCTION("IF(B7948="""","""",RIGHT(REGEXREPLACE(B7948&amp;"""",""[^0-9]"",""""),9))"),"770023853")</f>
        <v>770023853</v>
      </c>
      <c r="B7948" s="52">
        <v>7.70023853E8</v>
      </c>
      <c r="C7948" s="28" t="s">
        <v>429</v>
      </c>
      <c r="D7948" s="26" t="s">
        <v>49</v>
      </c>
      <c r="E7948" s="31">
        <v>46245.0</v>
      </c>
      <c r="F7948" s="26" t="s">
        <v>46</v>
      </c>
      <c r="H7948" s="26" t="s">
        <v>94</v>
      </c>
      <c r="I7948" s="26" t="s">
        <v>970</v>
      </c>
      <c r="J7948" s="25" t="str">
        <f t="shared" si="94"/>
        <v>Yes - see Previous F-Code</v>
      </c>
      <c r="K7948" s="25" t="str">
        <f t="shared" si="95"/>
        <v/>
      </c>
      <c r="L7948" s="25" t="str">
        <f t="shared" si="96"/>
        <v>F70265</v>
      </c>
      <c r="M7948" s="25"/>
      <c r="O7948" s="25"/>
    </row>
    <row r="7949" ht="15.75" customHeight="1">
      <c r="A7949" s="25" t="str">
        <f>IFERROR(__xludf.DUMMYFUNCTION("IF(B7949="""","""",RIGHT(REGEXREPLACE(B7949&amp;"""",""[^0-9]"",""""),9))"),"724705871")</f>
        <v>724705871</v>
      </c>
      <c r="B7949" s="52">
        <v>7.24705871E8</v>
      </c>
      <c r="C7949" s="28" t="s">
        <v>2579</v>
      </c>
      <c r="D7949" s="26" t="s">
        <v>56</v>
      </c>
      <c r="E7949" s="31">
        <v>46245.0</v>
      </c>
      <c r="F7949" s="26" t="s">
        <v>125</v>
      </c>
      <c r="G7949" s="26">
        <v>11.0</v>
      </c>
      <c r="I7949" s="26" t="s">
        <v>970</v>
      </c>
      <c r="J7949" s="25" t="str">
        <f t="shared" si="94"/>
        <v>Yes - see Previous F-Code</v>
      </c>
      <c r="K7949" s="25" t="str">
        <f t="shared" si="95"/>
        <v/>
      </c>
      <c r="L7949" s="25" t="str">
        <f t="shared" si="96"/>
        <v>F72270</v>
      </c>
      <c r="M7949" s="25"/>
      <c r="O7949" s="25"/>
    </row>
    <row r="7950" ht="15.75" customHeight="1">
      <c r="A7950" s="25" t="str">
        <f>IFERROR(__xludf.DUMMYFUNCTION("IF(B7950="""","""",RIGHT(REGEXREPLACE(B7950&amp;"""",""[^0-9]"",""""),9))"),"713556100")</f>
        <v>713556100</v>
      </c>
      <c r="B7950" s="52">
        <v>7.135561E8</v>
      </c>
      <c r="C7950" s="28" t="s">
        <v>8190</v>
      </c>
      <c r="D7950" s="26" t="s">
        <v>45</v>
      </c>
      <c r="E7950" s="31">
        <v>46245.0</v>
      </c>
      <c r="F7950" s="26" t="s">
        <v>46</v>
      </c>
      <c r="G7950" s="26">
        <v>11.0</v>
      </c>
      <c r="I7950" s="26" t="s">
        <v>970</v>
      </c>
      <c r="J7950" s="25" t="str">
        <f t="shared" si="94"/>
        <v>No</v>
      </c>
      <c r="K7950" s="25" t="str">
        <f t="shared" si="95"/>
        <v/>
      </c>
      <c r="L7950" s="25" t="str">
        <f t="shared" si="96"/>
        <v/>
      </c>
      <c r="M7950" s="25"/>
      <c r="O7950" s="25"/>
    </row>
    <row r="7951" ht="15.75" customHeight="1">
      <c r="A7951" s="25" t="str">
        <f>IFERROR(__xludf.DUMMYFUNCTION("IF(B7951="""","""",RIGHT(REGEXREPLACE(B7951&amp;"""",""[^0-9]"",""""),9))"),"759544558")</f>
        <v>759544558</v>
      </c>
      <c r="B7951" s="52">
        <v>7.59544558E8</v>
      </c>
      <c r="C7951" s="28" t="s">
        <v>8191</v>
      </c>
      <c r="D7951" s="26" t="s">
        <v>56</v>
      </c>
      <c r="E7951" s="31">
        <v>46245.0</v>
      </c>
      <c r="F7951" s="26" t="s">
        <v>46</v>
      </c>
      <c r="G7951" s="26">
        <v>11.0</v>
      </c>
      <c r="I7951" s="26" t="s">
        <v>970</v>
      </c>
      <c r="J7951" s="25" t="str">
        <f t="shared" si="94"/>
        <v>No</v>
      </c>
      <c r="K7951" s="25" t="str">
        <f t="shared" si="95"/>
        <v/>
      </c>
      <c r="L7951" s="25" t="str">
        <f t="shared" si="96"/>
        <v/>
      </c>
      <c r="M7951" s="25"/>
      <c r="O7951" s="25"/>
    </row>
    <row r="7952" ht="15.75" customHeight="1">
      <c r="A7952" s="25" t="str">
        <f>IFERROR(__xludf.DUMMYFUNCTION("IF(B7952="""","""",RIGHT(REGEXREPLACE(B7952&amp;"""",""[^0-9]"",""""),9))"),"741357397")</f>
        <v>741357397</v>
      </c>
      <c r="B7952" s="52">
        <v>7.41357397E8</v>
      </c>
      <c r="C7952" s="28" t="s">
        <v>8192</v>
      </c>
      <c r="D7952" s="26" t="s">
        <v>49</v>
      </c>
      <c r="E7952" s="31">
        <v>46245.0</v>
      </c>
      <c r="F7952" s="26" t="s">
        <v>41</v>
      </c>
      <c r="I7952" s="26" t="s">
        <v>970</v>
      </c>
      <c r="J7952" s="25" t="str">
        <f t="shared" si="94"/>
        <v>No</v>
      </c>
      <c r="K7952" s="25" t="str">
        <f t="shared" si="95"/>
        <v/>
      </c>
      <c r="L7952" s="25" t="str">
        <f t="shared" si="96"/>
        <v/>
      </c>
      <c r="M7952" s="25"/>
      <c r="O7952" s="25"/>
    </row>
    <row r="7953" ht="15.75" customHeight="1">
      <c r="A7953" s="25" t="str">
        <f>IFERROR(__xludf.DUMMYFUNCTION("IF(B7953="""","""",RIGHT(REGEXREPLACE(B7953&amp;"""",""[^0-9]"",""""),9))"),"741627714")</f>
        <v>741627714</v>
      </c>
      <c r="B7953" s="52">
        <v>7.41627714E8</v>
      </c>
      <c r="C7953" s="28" t="s">
        <v>8193</v>
      </c>
      <c r="D7953" s="26" t="s">
        <v>82</v>
      </c>
      <c r="E7953" s="31">
        <v>46245.0</v>
      </c>
      <c r="F7953" s="26" t="s">
        <v>205</v>
      </c>
      <c r="I7953" s="26" t="s">
        <v>970</v>
      </c>
      <c r="J7953" s="25" t="str">
        <f t="shared" si="94"/>
        <v>No</v>
      </c>
      <c r="K7953" s="25" t="str">
        <f t="shared" si="95"/>
        <v/>
      </c>
      <c r="L7953" s="25" t="str">
        <f t="shared" si="96"/>
        <v/>
      </c>
      <c r="M7953" s="25"/>
      <c r="O7953" s="25"/>
    </row>
    <row r="7954" ht="15.75" customHeight="1">
      <c r="A7954" s="25" t="str">
        <f>IFERROR(__xludf.DUMMYFUNCTION("IF(B7954="""","""",RIGHT(REGEXREPLACE(B7954&amp;"""",""[^0-9]"",""""),9))"),"775536232")</f>
        <v>775536232</v>
      </c>
      <c r="B7954" s="52">
        <v>7.75536232E8</v>
      </c>
      <c r="C7954" s="28" t="s">
        <v>7373</v>
      </c>
      <c r="D7954" s="26" t="s">
        <v>45</v>
      </c>
      <c r="E7954" s="31">
        <v>46245.0</v>
      </c>
      <c r="F7954" s="26" t="s">
        <v>46</v>
      </c>
      <c r="G7954" s="26">
        <v>11.0</v>
      </c>
      <c r="H7954" s="26" t="s">
        <v>8194</v>
      </c>
      <c r="I7954" s="26" t="s">
        <v>970</v>
      </c>
      <c r="J7954" s="25" t="str">
        <f t="shared" si="94"/>
        <v>Yes - see Previous F-Code</v>
      </c>
      <c r="K7954" s="25" t="str">
        <f t="shared" si="95"/>
        <v/>
      </c>
      <c r="L7954" s="25" t="str">
        <f t="shared" si="96"/>
        <v>F76308</v>
      </c>
      <c r="M7954" s="25"/>
      <c r="O7954" s="25"/>
    </row>
    <row r="7955" ht="15.75" customHeight="1">
      <c r="A7955" s="25" t="str">
        <f>IFERROR(__xludf.DUMMYFUNCTION("IF(B7955="""","""",RIGHT(REGEXREPLACE(B7955&amp;"""",""[^0-9]"",""""),9))"),"777930940")</f>
        <v>777930940</v>
      </c>
      <c r="B7955" s="52">
        <v>7.7793094E8</v>
      </c>
      <c r="C7955" s="28" t="s">
        <v>8195</v>
      </c>
      <c r="D7955" s="26" t="s">
        <v>56</v>
      </c>
      <c r="E7955" s="31">
        <v>46245.0</v>
      </c>
      <c r="F7955" s="26" t="s">
        <v>46</v>
      </c>
      <c r="H7955" s="26" t="s">
        <v>8196</v>
      </c>
      <c r="I7955" s="26" t="s">
        <v>970</v>
      </c>
      <c r="J7955" s="25" t="str">
        <f t="shared" si="94"/>
        <v>No</v>
      </c>
      <c r="K7955" s="25" t="str">
        <f t="shared" si="95"/>
        <v/>
      </c>
      <c r="L7955" s="25" t="str">
        <f t="shared" si="96"/>
        <v/>
      </c>
      <c r="M7955" s="25"/>
      <c r="O7955" s="25"/>
    </row>
    <row r="7956" ht="15.75" customHeight="1">
      <c r="A7956" s="25" t="str">
        <f>IFERROR(__xludf.DUMMYFUNCTION("IF(B7956="""","""",RIGHT(REGEXREPLACE(B7956&amp;"""",""[^0-9]"",""""),9))"),"778695114")</f>
        <v>778695114</v>
      </c>
      <c r="B7956" s="52">
        <v>7.78695114E8</v>
      </c>
      <c r="C7956" s="28" t="s">
        <v>8197</v>
      </c>
      <c r="D7956" s="26" t="s">
        <v>45</v>
      </c>
      <c r="E7956" s="31">
        <v>46245.0</v>
      </c>
      <c r="F7956" s="26" t="s">
        <v>41</v>
      </c>
      <c r="I7956" s="26" t="s">
        <v>970</v>
      </c>
      <c r="J7956" s="25" t="str">
        <f t="shared" si="94"/>
        <v>No</v>
      </c>
      <c r="K7956" s="25" t="str">
        <f t="shared" si="95"/>
        <v/>
      </c>
      <c r="L7956" s="25" t="str">
        <f t="shared" si="96"/>
        <v/>
      </c>
      <c r="M7956" s="25"/>
      <c r="O7956" s="25"/>
    </row>
    <row r="7957" ht="15.75" customHeight="1">
      <c r="A7957" s="25" t="str">
        <f>IFERROR(__xludf.DUMMYFUNCTION("IF(B7957="""","""",RIGHT(REGEXREPLACE(B7957&amp;"""",""[^0-9]"",""""),9))"),"719786325")</f>
        <v>719786325</v>
      </c>
      <c r="B7957" s="52">
        <v>7.19786325E8</v>
      </c>
      <c r="C7957" s="28" t="s">
        <v>8198</v>
      </c>
      <c r="D7957" s="26" t="s">
        <v>45</v>
      </c>
      <c r="E7957" s="31">
        <v>46245.0</v>
      </c>
      <c r="F7957" s="26" t="s">
        <v>46</v>
      </c>
      <c r="G7957" s="26">
        <v>11.0</v>
      </c>
      <c r="I7957" s="26" t="s">
        <v>970</v>
      </c>
      <c r="J7957" s="25" t="str">
        <f t="shared" si="94"/>
        <v>No</v>
      </c>
      <c r="K7957" s="25" t="str">
        <f t="shared" si="95"/>
        <v/>
      </c>
      <c r="L7957" s="25" t="str">
        <f t="shared" si="96"/>
        <v/>
      </c>
      <c r="M7957" s="25"/>
      <c r="O7957" s="25"/>
    </row>
    <row r="7958" ht="15.75" customHeight="1">
      <c r="A7958" s="25" t="str">
        <f>IFERROR(__xludf.DUMMYFUNCTION("IF(B7958="""","""",RIGHT(REGEXREPLACE(B7958&amp;"""",""[^0-9]"",""""),9))"),"771642170")</f>
        <v>771642170</v>
      </c>
      <c r="B7958" s="52">
        <v>7.7164217E8</v>
      </c>
      <c r="C7958" s="28" t="s">
        <v>8199</v>
      </c>
      <c r="D7958" s="26" t="s">
        <v>56</v>
      </c>
      <c r="E7958" s="31">
        <v>46245.0</v>
      </c>
      <c r="F7958" s="26" t="s">
        <v>41</v>
      </c>
      <c r="H7958" s="26" t="s">
        <v>8196</v>
      </c>
      <c r="I7958" s="26" t="s">
        <v>970</v>
      </c>
      <c r="J7958" s="25" t="str">
        <f t="shared" si="94"/>
        <v>No</v>
      </c>
      <c r="K7958" s="25" t="str">
        <f t="shared" si="95"/>
        <v/>
      </c>
      <c r="L7958" s="25" t="str">
        <f t="shared" si="96"/>
        <v/>
      </c>
      <c r="M7958" s="25"/>
      <c r="O7958" s="25"/>
    </row>
    <row r="7959" ht="15.75" customHeight="1">
      <c r="A7959" s="25" t="str">
        <f>IFERROR(__xludf.DUMMYFUNCTION("IF(B7959="""","""",RIGHT(REGEXREPLACE(B7959&amp;"""",""[^0-9]"",""""),9))"),"767877840")</f>
        <v>767877840</v>
      </c>
      <c r="B7959" s="52">
        <v>7.6787784E8</v>
      </c>
      <c r="C7959" s="28" t="s">
        <v>8200</v>
      </c>
      <c r="D7959" s="26" t="s">
        <v>49</v>
      </c>
      <c r="E7959" s="31">
        <v>46245.0</v>
      </c>
      <c r="F7959" s="26" t="s">
        <v>46</v>
      </c>
      <c r="G7959" s="26">
        <v>9.0</v>
      </c>
      <c r="I7959" s="26" t="s">
        <v>970</v>
      </c>
      <c r="J7959" s="25" t="str">
        <f t="shared" si="94"/>
        <v>No</v>
      </c>
      <c r="K7959" s="25" t="str">
        <f t="shared" si="95"/>
        <v/>
      </c>
      <c r="L7959" s="25" t="str">
        <f t="shared" si="96"/>
        <v/>
      </c>
      <c r="M7959" s="25"/>
      <c r="O7959" s="25"/>
    </row>
    <row r="7960" ht="15.75" customHeight="1">
      <c r="A7960" s="25" t="str">
        <f>IFERROR(__xludf.DUMMYFUNCTION("IF(B7960="""","""",RIGHT(REGEXREPLACE(B7960&amp;"""",""[^0-9]"",""""),9))"),"764043407")</f>
        <v>764043407</v>
      </c>
      <c r="B7960" s="52">
        <v>7.64043407E8</v>
      </c>
      <c r="C7960" s="28" t="s">
        <v>8201</v>
      </c>
      <c r="D7960" s="26" t="s">
        <v>82</v>
      </c>
      <c r="E7960" s="31">
        <v>46245.0</v>
      </c>
      <c r="F7960" s="26" t="s">
        <v>41</v>
      </c>
      <c r="I7960" s="26" t="s">
        <v>970</v>
      </c>
      <c r="J7960" s="25" t="str">
        <f t="shared" si="94"/>
        <v>No</v>
      </c>
      <c r="K7960" s="25" t="str">
        <f t="shared" si="95"/>
        <v/>
      </c>
      <c r="L7960" s="25" t="str">
        <f t="shared" si="96"/>
        <v/>
      </c>
      <c r="M7960" s="25"/>
      <c r="O7960" s="25"/>
    </row>
    <row r="7961" ht="15.75" customHeight="1">
      <c r="A7961" s="25" t="str">
        <f>IFERROR(__xludf.DUMMYFUNCTION("IF(B7961="""","""",RIGHT(REGEXREPLACE(B7961&amp;"""",""[^0-9]"",""""),9))"),"777652364")</f>
        <v>777652364</v>
      </c>
      <c r="B7961" s="52">
        <v>7.77652364E8</v>
      </c>
      <c r="C7961" s="28" t="s">
        <v>7099</v>
      </c>
      <c r="D7961" s="26" t="s">
        <v>56</v>
      </c>
      <c r="E7961" s="31">
        <v>46245.0</v>
      </c>
      <c r="F7961" s="26" t="s">
        <v>46</v>
      </c>
      <c r="G7961" s="26">
        <v>11.0</v>
      </c>
      <c r="I7961" s="26" t="s">
        <v>970</v>
      </c>
      <c r="J7961" s="25" t="str">
        <f t="shared" si="94"/>
        <v>Yes - see Previous F-Code</v>
      </c>
      <c r="K7961" s="25" t="str">
        <f t="shared" si="95"/>
        <v/>
      </c>
      <c r="L7961" s="25" t="str">
        <f t="shared" si="96"/>
        <v>F76058</v>
      </c>
      <c r="M7961" s="25"/>
      <c r="O7961" s="25"/>
    </row>
    <row r="7962" ht="15.75" customHeight="1">
      <c r="A7962" s="25" t="str">
        <f>IFERROR(__xludf.DUMMYFUNCTION("IF(B7962="""","""",RIGHT(REGEXREPLACE(B7962&amp;"""",""[^0-9]"",""""),9))"),"719223113")</f>
        <v>719223113</v>
      </c>
      <c r="B7962" s="52">
        <v>7.19223113E8</v>
      </c>
      <c r="C7962" s="28" t="s">
        <v>8202</v>
      </c>
      <c r="D7962" s="26" t="s">
        <v>49</v>
      </c>
      <c r="E7962" s="31">
        <v>46245.0</v>
      </c>
      <c r="F7962" s="26" t="s">
        <v>46</v>
      </c>
      <c r="G7962" s="26">
        <v>10.0</v>
      </c>
      <c r="H7962" s="118" t="s">
        <v>7552</v>
      </c>
      <c r="I7962" s="26" t="s">
        <v>970</v>
      </c>
      <c r="J7962" s="25" t="str">
        <f t="shared" si="94"/>
        <v>No</v>
      </c>
      <c r="K7962" s="25" t="str">
        <f t="shared" si="95"/>
        <v/>
      </c>
      <c r="L7962" s="25" t="str">
        <f t="shared" si="96"/>
        <v/>
      </c>
      <c r="M7962" s="25"/>
      <c r="O7962" s="25"/>
    </row>
    <row r="7963" ht="15.75" customHeight="1">
      <c r="A7963" s="25" t="str">
        <f>IFERROR(__xludf.DUMMYFUNCTION("IF(B7963="""","""",RIGHT(REGEXREPLACE(B7963&amp;"""",""[^0-9]"",""""),9))"),"714402698")</f>
        <v>714402698</v>
      </c>
      <c r="B7963" s="52">
        <v>7.14402698E8</v>
      </c>
      <c r="C7963" s="28" t="s">
        <v>8203</v>
      </c>
      <c r="D7963" s="26" t="s">
        <v>45</v>
      </c>
      <c r="E7963" s="31">
        <v>46245.0</v>
      </c>
      <c r="F7963" s="26" t="s">
        <v>125</v>
      </c>
      <c r="I7963" s="26" t="s">
        <v>970</v>
      </c>
      <c r="J7963" s="25" t="str">
        <f t="shared" si="94"/>
        <v>No</v>
      </c>
      <c r="K7963" s="25" t="str">
        <f t="shared" si="95"/>
        <v/>
      </c>
      <c r="L7963" s="25" t="str">
        <f t="shared" si="96"/>
        <v/>
      </c>
      <c r="M7963" s="25"/>
      <c r="O7963" s="25"/>
    </row>
    <row r="7964" ht="15.75" customHeight="1">
      <c r="A7964" s="25" t="str">
        <f>IFERROR(__xludf.DUMMYFUNCTION("IF(B7964="""","""",RIGHT(REGEXREPLACE(B7964&amp;"""",""[^0-9]"",""""),9))"),"723670731")</f>
        <v>723670731</v>
      </c>
      <c r="B7964" s="52">
        <v>7.23670731E8</v>
      </c>
      <c r="C7964" s="28" t="s">
        <v>8204</v>
      </c>
      <c r="D7964" s="26" t="s">
        <v>82</v>
      </c>
      <c r="E7964" s="31">
        <v>46245.0</v>
      </c>
      <c r="F7964" s="26" t="s">
        <v>46</v>
      </c>
      <c r="G7964" s="26">
        <v>10.0</v>
      </c>
      <c r="I7964" s="26" t="s">
        <v>970</v>
      </c>
      <c r="J7964" s="25" t="str">
        <f t="shared" si="94"/>
        <v>No</v>
      </c>
      <c r="K7964" s="25" t="str">
        <f t="shared" si="95"/>
        <v/>
      </c>
      <c r="L7964" s="25" t="str">
        <f t="shared" si="96"/>
        <v/>
      </c>
      <c r="M7964" s="25"/>
      <c r="O7964" s="25"/>
    </row>
    <row r="7965" ht="15.75" customHeight="1">
      <c r="A7965" s="25" t="str">
        <f>IFERROR(__xludf.DUMMYFUNCTION("IF(B7965="""","""",RIGHT(REGEXREPLACE(B7965&amp;"""",""[^0-9]"",""""),9))"),"716441964")</f>
        <v>716441964</v>
      </c>
      <c r="B7965" s="52">
        <v>7.16441964E8</v>
      </c>
      <c r="C7965" s="28" t="s">
        <v>8205</v>
      </c>
      <c r="D7965" s="26" t="s">
        <v>82</v>
      </c>
      <c r="E7965" s="31">
        <v>46245.0</v>
      </c>
      <c r="F7965" s="26" t="s">
        <v>46</v>
      </c>
      <c r="G7965" s="26">
        <v>11.0</v>
      </c>
      <c r="I7965" s="26" t="s">
        <v>970</v>
      </c>
      <c r="J7965" s="25" t="str">
        <f t="shared" si="94"/>
        <v>No</v>
      </c>
      <c r="K7965" s="25" t="str">
        <f t="shared" si="95"/>
        <v/>
      </c>
      <c r="L7965" s="25" t="str">
        <f t="shared" si="96"/>
        <v/>
      </c>
      <c r="M7965" s="25"/>
      <c r="O7965" s="25"/>
    </row>
    <row r="7966" ht="15.75" customHeight="1">
      <c r="A7966" s="25" t="str">
        <f>IFERROR(__xludf.DUMMYFUNCTION("IF(B7966="""","""",RIGHT(REGEXREPLACE(B7966&amp;"""",""[^0-9]"",""""),9))"),"716474758")</f>
        <v>716474758</v>
      </c>
      <c r="B7966" s="52">
        <v>7.16474758E8</v>
      </c>
      <c r="C7966" s="28" t="s">
        <v>572</v>
      </c>
      <c r="D7966" s="26" t="s">
        <v>49</v>
      </c>
      <c r="E7966" s="31">
        <v>46245.0</v>
      </c>
      <c r="F7966" s="26" t="s">
        <v>46</v>
      </c>
      <c r="G7966" s="26">
        <v>11.0</v>
      </c>
      <c r="H7966" s="26" t="s">
        <v>8206</v>
      </c>
      <c r="I7966" s="26" t="s">
        <v>970</v>
      </c>
      <c r="J7966" s="25" t="str">
        <f t="shared" si="94"/>
        <v>Yes - see Previous F-Code</v>
      </c>
      <c r="K7966" s="25" t="str">
        <f t="shared" si="95"/>
        <v/>
      </c>
      <c r="L7966" s="25" t="str">
        <f t="shared" si="96"/>
        <v>F70391</v>
      </c>
      <c r="M7966" s="25"/>
      <c r="O7966" s="25"/>
    </row>
    <row r="7967" ht="15.75" customHeight="1">
      <c r="A7967" s="25" t="str">
        <f>IFERROR(__xludf.DUMMYFUNCTION("IF(B7967="""","""",RIGHT(REGEXREPLACE(B7967&amp;"""",""[^0-9]"",""""),9))"),"766213091")</f>
        <v>766213091</v>
      </c>
      <c r="B7967" s="52">
        <v>7.66213091E8</v>
      </c>
      <c r="C7967" s="28" t="s">
        <v>8207</v>
      </c>
      <c r="D7967" s="26" t="s">
        <v>82</v>
      </c>
      <c r="E7967" s="31">
        <v>46245.0</v>
      </c>
      <c r="F7967" s="26" t="s">
        <v>46</v>
      </c>
      <c r="H7967" s="26" t="s">
        <v>7721</v>
      </c>
      <c r="I7967" s="26" t="s">
        <v>970</v>
      </c>
      <c r="J7967" s="25" t="str">
        <f t="shared" si="94"/>
        <v>No</v>
      </c>
      <c r="K7967" s="25" t="str">
        <f t="shared" si="95"/>
        <v/>
      </c>
      <c r="L7967" s="25" t="str">
        <f t="shared" si="96"/>
        <v/>
      </c>
      <c r="M7967" s="25"/>
      <c r="O7967" s="25"/>
    </row>
    <row r="7968" ht="15.75" customHeight="1">
      <c r="A7968" s="25" t="str">
        <f>IFERROR(__xludf.DUMMYFUNCTION("IF(B7968="""","""",RIGHT(REGEXREPLACE(B7968&amp;"""",""[^0-9]"",""""),9))"),"768728457")</f>
        <v>768728457</v>
      </c>
      <c r="B7968" s="52">
        <v>7.68728457E8</v>
      </c>
      <c r="C7968" s="28" t="s">
        <v>8208</v>
      </c>
      <c r="D7968" s="26" t="s">
        <v>82</v>
      </c>
      <c r="E7968" s="31">
        <v>46245.0</v>
      </c>
      <c r="F7968" s="26" t="s">
        <v>41</v>
      </c>
      <c r="I7968" s="26" t="s">
        <v>970</v>
      </c>
      <c r="J7968" s="25" t="str">
        <f t="shared" si="94"/>
        <v>No</v>
      </c>
      <c r="K7968" s="25" t="str">
        <f t="shared" si="95"/>
        <v/>
      </c>
      <c r="L7968" s="25" t="str">
        <f t="shared" si="96"/>
        <v/>
      </c>
      <c r="M7968" s="25"/>
      <c r="O7968" s="25"/>
    </row>
    <row r="7969" ht="15.75" customHeight="1">
      <c r="A7969" s="25" t="str">
        <f>IFERROR(__xludf.DUMMYFUNCTION("IF(B7969="""","""",RIGHT(REGEXREPLACE(B7969&amp;"""",""[^0-9]"",""""),9))"),"703019095")</f>
        <v>703019095</v>
      </c>
      <c r="B7969" s="52">
        <v>7.03019095E8</v>
      </c>
      <c r="C7969" s="28" t="s">
        <v>8209</v>
      </c>
      <c r="D7969" s="26" t="s">
        <v>56</v>
      </c>
      <c r="E7969" s="31">
        <v>46245.0</v>
      </c>
      <c r="F7969" s="26" t="s">
        <v>167</v>
      </c>
      <c r="H7969" s="26" t="s">
        <v>8196</v>
      </c>
      <c r="I7969" s="26" t="s">
        <v>970</v>
      </c>
      <c r="J7969" s="25" t="str">
        <f t="shared" si="94"/>
        <v>No</v>
      </c>
      <c r="K7969" s="25" t="str">
        <f t="shared" si="95"/>
        <v/>
      </c>
      <c r="L7969" s="25" t="str">
        <f t="shared" si="96"/>
        <v/>
      </c>
      <c r="M7969" s="25"/>
      <c r="O7969" s="25"/>
    </row>
    <row r="7970" ht="15.75" customHeight="1">
      <c r="A7970" s="25" t="str">
        <f>IFERROR(__xludf.DUMMYFUNCTION("IF(B7970="""","""",RIGHT(REGEXREPLACE(B7970&amp;"""",""[^0-9]"",""""),9))"),"743896623")</f>
        <v>743896623</v>
      </c>
      <c r="B7970" s="52">
        <v>7.43896623E8</v>
      </c>
      <c r="C7970" s="28" t="s">
        <v>8210</v>
      </c>
      <c r="D7970" s="26" t="s">
        <v>82</v>
      </c>
      <c r="E7970" s="31">
        <v>46245.0</v>
      </c>
      <c r="F7970" s="26" t="s">
        <v>46</v>
      </c>
      <c r="G7970" s="26">
        <v>9.0</v>
      </c>
      <c r="I7970" s="26" t="s">
        <v>970</v>
      </c>
      <c r="J7970" s="25" t="str">
        <f t="shared" si="94"/>
        <v>No</v>
      </c>
      <c r="K7970" s="25" t="str">
        <f t="shared" si="95"/>
        <v/>
      </c>
      <c r="L7970" s="25" t="str">
        <f t="shared" si="96"/>
        <v/>
      </c>
      <c r="M7970" s="25"/>
      <c r="O7970" s="26" t="s">
        <v>51</v>
      </c>
    </row>
    <row r="7971" ht="15.75" customHeight="1">
      <c r="A7971" s="25" t="str">
        <f>IFERROR(__xludf.DUMMYFUNCTION("IF(B7971="""","""",RIGHT(REGEXREPLACE(B7971&amp;"""",""[^0-9]"",""""),9))"),"741826679")</f>
        <v>741826679</v>
      </c>
      <c r="B7971" s="52">
        <v>7.41826679E8</v>
      </c>
      <c r="C7971" s="28" t="s">
        <v>8211</v>
      </c>
      <c r="D7971" s="26" t="s">
        <v>45</v>
      </c>
      <c r="E7971" s="31">
        <v>46245.0</v>
      </c>
      <c r="F7971" s="26" t="s">
        <v>46</v>
      </c>
      <c r="G7971" s="26">
        <v>10.0</v>
      </c>
      <c r="I7971" s="26" t="s">
        <v>970</v>
      </c>
      <c r="J7971" s="25" t="str">
        <f t="shared" si="94"/>
        <v>No</v>
      </c>
      <c r="K7971" s="25" t="str">
        <f t="shared" si="95"/>
        <v/>
      </c>
      <c r="L7971" s="25" t="str">
        <f t="shared" si="96"/>
        <v/>
      </c>
      <c r="M7971" s="25"/>
      <c r="O7971" s="25"/>
    </row>
    <row r="7972" ht="15.75" customHeight="1">
      <c r="A7972" s="25" t="str">
        <f>IFERROR(__xludf.DUMMYFUNCTION("IF(B7972="""","""",RIGHT(REGEXREPLACE(B7972&amp;"""",""[^0-9]"",""""),9))"),"766837756")</f>
        <v>766837756</v>
      </c>
      <c r="B7972" s="52">
        <v>7.66837756E8</v>
      </c>
      <c r="C7972" s="28" t="s">
        <v>8212</v>
      </c>
      <c r="D7972" s="26" t="s">
        <v>49</v>
      </c>
      <c r="E7972" s="31">
        <v>46245.0</v>
      </c>
      <c r="F7972" s="26" t="s">
        <v>205</v>
      </c>
      <c r="I7972" s="26" t="s">
        <v>970</v>
      </c>
      <c r="J7972" s="25" t="str">
        <f t="shared" si="94"/>
        <v>No</v>
      </c>
      <c r="K7972" s="25" t="str">
        <f t="shared" si="95"/>
        <v/>
      </c>
      <c r="L7972" s="25" t="str">
        <f t="shared" si="96"/>
        <v/>
      </c>
      <c r="M7972" s="25"/>
      <c r="O7972" s="25"/>
    </row>
    <row r="7973" ht="15.75" customHeight="1">
      <c r="A7973" s="25" t="str">
        <f>IFERROR(__xludf.DUMMYFUNCTION("IF(B7973="""","""",RIGHT(REGEXREPLACE(B7973&amp;"""",""[^0-9]"",""""),9))"),"714946894")</f>
        <v>714946894</v>
      </c>
      <c r="B7973" s="52">
        <v>7.14946894E8</v>
      </c>
      <c r="C7973" s="28" t="s">
        <v>8213</v>
      </c>
      <c r="D7973" s="26" t="s">
        <v>56</v>
      </c>
      <c r="E7973" s="31">
        <v>46245.0</v>
      </c>
      <c r="F7973" s="26" t="s">
        <v>46</v>
      </c>
      <c r="G7973" s="26">
        <v>11.0</v>
      </c>
      <c r="H7973" s="26" t="s">
        <v>8196</v>
      </c>
      <c r="I7973" s="26" t="s">
        <v>970</v>
      </c>
      <c r="J7973" s="25" t="str">
        <f t="shared" si="94"/>
        <v>No</v>
      </c>
      <c r="K7973" s="25" t="str">
        <f t="shared" si="95"/>
        <v/>
      </c>
      <c r="L7973" s="25" t="str">
        <f t="shared" si="96"/>
        <v/>
      </c>
      <c r="M7973" s="25"/>
      <c r="O7973" s="25"/>
    </row>
    <row r="7974" ht="15.75" customHeight="1">
      <c r="A7974" s="25" t="str">
        <f>IFERROR(__xludf.DUMMYFUNCTION("IF(B7974="""","""",RIGHT(REGEXREPLACE(B7974&amp;"""",""[^0-9]"",""""),9))"),"786573859")</f>
        <v>786573859</v>
      </c>
      <c r="B7974" s="52">
        <v>7.86573859E8</v>
      </c>
      <c r="C7974" s="28" t="s">
        <v>717</v>
      </c>
      <c r="D7974" s="26" t="s">
        <v>49</v>
      </c>
      <c r="E7974" s="31">
        <v>46245.0</v>
      </c>
      <c r="F7974" s="26" t="s">
        <v>41</v>
      </c>
      <c r="I7974" s="26" t="s">
        <v>970</v>
      </c>
      <c r="J7974" s="25" t="str">
        <f t="shared" si="94"/>
        <v>Yes - see Previous F-Code</v>
      </c>
      <c r="K7974" s="25" t="str">
        <f t="shared" si="95"/>
        <v/>
      </c>
      <c r="L7974" s="25" t="str">
        <f t="shared" si="96"/>
        <v>F70507</v>
      </c>
      <c r="M7974" s="25"/>
      <c r="O7974" s="25"/>
    </row>
    <row r="7975" ht="15.75" customHeight="1">
      <c r="A7975" s="25" t="str">
        <f>IFERROR(__xludf.DUMMYFUNCTION("IF(B7975="""","""",RIGHT(REGEXREPLACE(B7975&amp;"""",""[^0-9]"",""""),9))"),"778557721")</f>
        <v>778557721</v>
      </c>
      <c r="B7975" s="52">
        <v>7.78557721E8</v>
      </c>
      <c r="C7975" s="28" t="s">
        <v>8214</v>
      </c>
      <c r="D7975" s="26" t="s">
        <v>45</v>
      </c>
      <c r="E7975" s="31">
        <v>46245.0</v>
      </c>
      <c r="F7975" s="26" t="s">
        <v>46</v>
      </c>
      <c r="G7975" s="26">
        <v>9.0</v>
      </c>
      <c r="I7975" s="26" t="s">
        <v>970</v>
      </c>
      <c r="J7975" s="25" t="str">
        <f t="shared" si="94"/>
        <v>No</v>
      </c>
      <c r="K7975" s="25" t="str">
        <f t="shared" si="95"/>
        <v/>
      </c>
      <c r="L7975" s="25" t="str">
        <f t="shared" si="96"/>
        <v/>
      </c>
      <c r="M7975" s="25"/>
      <c r="O7975" s="25"/>
    </row>
    <row r="7976" ht="15.75" customHeight="1">
      <c r="A7976" s="25" t="str">
        <f>IFERROR(__xludf.DUMMYFUNCTION("IF(B7976="""","""",RIGHT(REGEXREPLACE(B7976&amp;"""",""[^0-9]"",""""),9))"),"778306055")</f>
        <v>778306055</v>
      </c>
      <c r="B7976" s="52">
        <v>7.78306055E8</v>
      </c>
      <c r="C7976" s="28" t="s">
        <v>3664</v>
      </c>
      <c r="D7976" s="26" t="s">
        <v>49</v>
      </c>
      <c r="E7976" s="31">
        <v>46245.0</v>
      </c>
      <c r="F7976" s="26" t="s">
        <v>41</v>
      </c>
      <c r="I7976" s="26" t="s">
        <v>970</v>
      </c>
      <c r="J7976" s="25" t="str">
        <f t="shared" si="94"/>
        <v>Yes - see Previous F-Code</v>
      </c>
      <c r="K7976" s="25" t="str">
        <f t="shared" si="95"/>
        <v/>
      </c>
      <c r="L7976" s="25" t="str">
        <f t="shared" si="96"/>
        <v>F73320</v>
      </c>
      <c r="M7976" s="25"/>
      <c r="O7976" s="25"/>
    </row>
    <row r="7977" ht="15.75" customHeight="1">
      <c r="A7977" s="25" t="str">
        <f>IFERROR(__xludf.DUMMYFUNCTION("IF(B7977="""","""",RIGHT(REGEXREPLACE(B7977&amp;"""",""[^0-9]"",""""),9))"),"751287513")</f>
        <v>751287513</v>
      </c>
      <c r="B7977" s="52">
        <v>7.51287513E8</v>
      </c>
      <c r="C7977" s="28" t="s">
        <v>8215</v>
      </c>
      <c r="D7977" s="26" t="s">
        <v>82</v>
      </c>
      <c r="E7977" s="31">
        <v>46245.0</v>
      </c>
      <c r="F7977" s="26" t="s">
        <v>46</v>
      </c>
      <c r="H7977" s="26" t="s">
        <v>57</v>
      </c>
      <c r="I7977" s="26" t="s">
        <v>970</v>
      </c>
      <c r="J7977" s="25" t="str">
        <f t="shared" si="94"/>
        <v>No</v>
      </c>
      <c r="K7977" s="25" t="str">
        <f t="shared" si="95"/>
        <v/>
      </c>
      <c r="L7977" s="25" t="str">
        <f t="shared" si="96"/>
        <v/>
      </c>
      <c r="M7977" s="25"/>
      <c r="O7977" s="25"/>
    </row>
    <row r="7978" ht="15.75" customHeight="1">
      <c r="A7978" s="25" t="str">
        <f>IFERROR(__xludf.DUMMYFUNCTION("IF(B7978="""","""",RIGHT(REGEXREPLACE(B7978&amp;"""",""[^0-9]"",""""),9))"),"775436394")</f>
        <v>775436394</v>
      </c>
      <c r="B7978" s="52">
        <v>7.75436394E8</v>
      </c>
      <c r="C7978" s="28" t="s">
        <v>8216</v>
      </c>
      <c r="D7978" s="26" t="s">
        <v>45</v>
      </c>
      <c r="E7978" s="31">
        <v>46245.0</v>
      </c>
      <c r="F7978" s="26" t="s">
        <v>41</v>
      </c>
      <c r="I7978" s="26" t="s">
        <v>970</v>
      </c>
      <c r="J7978" s="25" t="str">
        <f t="shared" si="94"/>
        <v>No</v>
      </c>
      <c r="K7978" s="25" t="str">
        <f t="shared" si="95"/>
        <v/>
      </c>
      <c r="L7978" s="25" t="str">
        <f t="shared" si="96"/>
        <v/>
      </c>
      <c r="M7978" s="25"/>
      <c r="O7978" s="25"/>
    </row>
    <row r="7979" ht="15.75" customHeight="1">
      <c r="A7979" s="25" t="str">
        <f>IFERROR(__xludf.DUMMYFUNCTION("IF(B7979="""","""",RIGHT(REGEXREPLACE(B7979&amp;"""",""[^0-9]"",""""),9))"),"778316987")</f>
        <v>778316987</v>
      </c>
      <c r="B7979" s="52">
        <v>7.78316987E8</v>
      </c>
      <c r="C7979" s="28" t="s">
        <v>8217</v>
      </c>
      <c r="D7979" s="26" t="s">
        <v>45</v>
      </c>
      <c r="E7979" s="31">
        <v>46245.0</v>
      </c>
      <c r="F7979" s="26" t="s">
        <v>125</v>
      </c>
      <c r="I7979" s="26" t="s">
        <v>970</v>
      </c>
      <c r="J7979" s="25" t="str">
        <f t="shared" si="94"/>
        <v>No</v>
      </c>
      <c r="K7979" s="25" t="str">
        <f t="shared" si="95"/>
        <v/>
      </c>
      <c r="L7979" s="25" t="str">
        <f t="shared" si="96"/>
        <v/>
      </c>
      <c r="M7979" s="25"/>
      <c r="O7979" s="25"/>
    </row>
    <row r="7980" ht="15.75" customHeight="1">
      <c r="A7980" s="25" t="str">
        <f>IFERROR(__xludf.DUMMYFUNCTION("IF(B7980="""","""",RIGHT(REGEXREPLACE(B7980&amp;"""",""[^0-9]"",""""),9))"),"713376679")</f>
        <v>713376679</v>
      </c>
      <c r="B7980" s="52">
        <v>7.13376679E8</v>
      </c>
      <c r="C7980" s="28" t="s">
        <v>8218</v>
      </c>
      <c r="D7980" s="26" t="s">
        <v>56</v>
      </c>
      <c r="E7980" s="31">
        <v>46245.0</v>
      </c>
      <c r="F7980" s="26" t="s">
        <v>41</v>
      </c>
      <c r="H7980" s="26" t="s">
        <v>8196</v>
      </c>
      <c r="I7980" s="26" t="s">
        <v>970</v>
      </c>
      <c r="J7980" s="25" t="str">
        <f t="shared" si="94"/>
        <v>No</v>
      </c>
      <c r="K7980" s="25" t="str">
        <f t="shared" si="95"/>
        <v/>
      </c>
      <c r="L7980" s="25" t="str">
        <f t="shared" si="96"/>
        <v/>
      </c>
      <c r="M7980" s="25"/>
      <c r="O7980" s="25"/>
    </row>
    <row r="7981" ht="15.75" customHeight="1">
      <c r="A7981" s="25" t="str">
        <f>IFERROR(__xludf.DUMMYFUNCTION("IF(B7981="""","""",RIGHT(REGEXREPLACE(B7981&amp;"""",""[^0-9]"",""""),9))"),"712862327")</f>
        <v>712862327</v>
      </c>
      <c r="B7981" s="52">
        <v>7.12862327E8</v>
      </c>
      <c r="C7981" s="28" t="s">
        <v>8219</v>
      </c>
      <c r="D7981" s="26" t="s">
        <v>56</v>
      </c>
      <c r="E7981" s="31">
        <v>46245.0</v>
      </c>
      <c r="F7981" s="26" t="s">
        <v>205</v>
      </c>
      <c r="I7981" s="26" t="s">
        <v>970</v>
      </c>
      <c r="J7981" s="25" t="str">
        <f t="shared" si="94"/>
        <v>No</v>
      </c>
      <c r="K7981" s="25" t="str">
        <f t="shared" si="95"/>
        <v/>
      </c>
      <c r="L7981" s="25" t="str">
        <f t="shared" si="96"/>
        <v/>
      </c>
      <c r="M7981" s="25"/>
      <c r="O7981" s="25"/>
    </row>
    <row r="7982" ht="15.75" customHeight="1">
      <c r="A7982" s="25" t="str">
        <f>IFERROR(__xludf.DUMMYFUNCTION("IF(B7982="""","""",RIGHT(REGEXREPLACE(B7982&amp;"""",""[^0-9]"",""""),9))"),"753960468")</f>
        <v>753960468</v>
      </c>
      <c r="B7982" s="52">
        <v>7.53960468E8</v>
      </c>
      <c r="C7982" s="28" t="s">
        <v>8220</v>
      </c>
      <c r="D7982" s="26" t="s">
        <v>49</v>
      </c>
      <c r="E7982" s="31">
        <v>46245.0</v>
      </c>
      <c r="F7982" s="26" t="s">
        <v>41</v>
      </c>
      <c r="G7982" s="26">
        <v>11.0</v>
      </c>
      <c r="I7982" s="26" t="s">
        <v>970</v>
      </c>
      <c r="J7982" s="25" t="str">
        <f t="shared" si="94"/>
        <v>No</v>
      </c>
      <c r="K7982" s="25" t="str">
        <f t="shared" si="95"/>
        <v/>
      </c>
      <c r="L7982" s="25" t="str">
        <f t="shared" si="96"/>
        <v/>
      </c>
      <c r="M7982" s="25"/>
      <c r="O7982" s="25"/>
    </row>
    <row r="7983" ht="15.75" customHeight="1">
      <c r="A7983" s="25" t="str">
        <f>IFERROR(__xludf.DUMMYFUNCTION("IF(B7983="""","""",RIGHT(REGEXREPLACE(B7983&amp;"""",""[^0-9]"",""""),9))"),"770840579")</f>
        <v>770840579</v>
      </c>
      <c r="B7983" s="52">
        <v>7.70840579E8</v>
      </c>
      <c r="C7983" s="28" t="s">
        <v>4659</v>
      </c>
      <c r="D7983" s="26" t="s">
        <v>56</v>
      </c>
      <c r="E7983" s="31">
        <v>46245.0</v>
      </c>
      <c r="F7983" s="26" t="s">
        <v>205</v>
      </c>
      <c r="G7983" s="26">
        <v>8.0</v>
      </c>
      <c r="I7983" s="26" t="s">
        <v>970</v>
      </c>
      <c r="J7983" s="25" t="str">
        <f t="shared" si="94"/>
        <v>No</v>
      </c>
      <c r="K7983" s="25" t="str">
        <f t="shared" si="95"/>
        <v/>
      </c>
      <c r="L7983" s="25" t="str">
        <f t="shared" si="96"/>
        <v/>
      </c>
      <c r="M7983" s="25"/>
      <c r="O7983" s="25"/>
    </row>
    <row r="7984" ht="15.75" customHeight="1">
      <c r="B7984" s="52"/>
      <c r="C7984" s="46"/>
      <c r="D7984" s="26"/>
      <c r="F7984" s="25"/>
      <c r="I7984" s="26" t="s">
        <v>970</v>
      </c>
      <c r="M7984" s="25"/>
      <c r="O7984" s="25"/>
    </row>
    <row r="7985" ht="15.75" customHeight="1">
      <c r="A7985" s="25" t="str">
        <f>IFERROR(__xludf.DUMMYFUNCTION("IF(B7985="""","""",RIGHT(REGEXREPLACE(B7985&amp;"""",""[^0-9]"",""""),9))"),"758149075")</f>
        <v>758149075</v>
      </c>
      <c r="B7985" s="52">
        <v>7.58149075E8</v>
      </c>
      <c r="C7985" s="28" t="s">
        <v>8221</v>
      </c>
      <c r="D7985" s="26" t="s">
        <v>49</v>
      </c>
      <c r="E7985" s="31">
        <v>46245.0</v>
      </c>
      <c r="F7985" s="26" t="s">
        <v>46</v>
      </c>
      <c r="G7985" s="26">
        <v>11.0</v>
      </c>
      <c r="I7985" s="26" t="s">
        <v>970</v>
      </c>
      <c r="J7985" s="25" t="str">
        <f t="shared" ref="J7985:J8019" si="97">IF(COUNTIF($A$2:A7984,A7985)&gt;0,"Yes - see Previous F-Code","No")</f>
        <v>No</v>
      </c>
      <c r="K7985" s="25" t="str">
        <f t="shared" ref="K7985:K8019" si="98">IF(COUNTIFS($A$2:A7985,A7985,$I$2:I7985,I7985)&gt;1,"DUPLICATE - CHECK","")</f>
        <v/>
      </c>
      <c r="L7985" s="25" t="str">
        <f t="shared" ref="L7985:L8019" si="99">IF(COUNTIF($A$2:A7984,A7985)&gt;0,INDEX($C$2:C7984,MATCH(A7985,$A$2:A7984,0)),"")</f>
        <v/>
      </c>
      <c r="M7985" s="25"/>
      <c r="O7985" s="25"/>
    </row>
    <row r="7986" ht="15.75" customHeight="1">
      <c r="A7986" s="25" t="str">
        <f>IFERROR(__xludf.DUMMYFUNCTION("IF(B7986="""","""",RIGHT(REGEXREPLACE(B7986&amp;"""",""[^0-9]"",""""),9))"),"768615859")</f>
        <v>768615859</v>
      </c>
      <c r="B7986" s="52">
        <v>7.68615859E8</v>
      </c>
      <c r="C7986" s="28" t="s">
        <v>2160</v>
      </c>
      <c r="D7986" s="26" t="s">
        <v>45</v>
      </c>
      <c r="E7986" s="31">
        <v>46245.0</v>
      </c>
      <c r="F7986" s="26" t="s">
        <v>46</v>
      </c>
      <c r="G7986" s="26">
        <v>11.0</v>
      </c>
      <c r="I7986" s="26" t="s">
        <v>970</v>
      </c>
      <c r="J7986" s="25" t="str">
        <f t="shared" si="97"/>
        <v>Yes - see Previous F-Code</v>
      </c>
      <c r="K7986" s="25" t="str">
        <f t="shared" si="98"/>
        <v/>
      </c>
      <c r="L7986" s="25" t="str">
        <f t="shared" si="99"/>
        <v>F71861</v>
      </c>
      <c r="M7986" s="25"/>
      <c r="O7986" s="25"/>
    </row>
    <row r="7987" ht="15.75" customHeight="1">
      <c r="A7987" s="25" t="str">
        <f>IFERROR(__xludf.DUMMYFUNCTION("IF(B7987="""","""",RIGHT(REGEXREPLACE(B7987&amp;"""",""[^0-9]"",""""),9))"),"712599117")</f>
        <v>712599117</v>
      </c>
      <c r="B7987" s="52">
        <v>7.12599117E8</v>
      </c>
      <c r="C7987" s="28" t="s">
        <v>8222</v>
      </c>
      <c r="D7987" s="26" t="s">
        <v>82</v>
      </c>
      <c r="E7987" s="31">
        <v>46245.0</v>
      </c>
      <c r="F7987" s="26" t="s">
        <v>205</v>
      </c>
      <c r="I7987" s="26" t="s">
        <v>970</v>
      </c>
      <c r="J7987" s="25" t="str">
        <f t="shared" si="97"/>
        <v>No</v>
      </c>
      <c r="K7987" s="25" t="str">
        <f t="shared" si="98"/>
        <v/>
      </c>
      <c r="L7987" s="25" t="str">
        <f t="shared" si="99"/>
        <v/>
      </c>
      <c r="M7987" s="25"/>
      <c r="O7987" s="25"/>
    </row>
    <row r="7988" ht="15.75" customHeight="1">
      <c r="A7988" s="25" t="str">
        <f>IFERROR(__xludf.DUMMYFUNCTION("IF(B7988="""","""",RIGHT(REGEXREPLACE(B7988&amp;"""",""[^0-9]"",""""),9))"),"715981754")</f>
        <v>715981754</v>
      </c>
      <c r="B7988" s="52">
        <v>7.15981754E8</v>
      </c>
      <c r="C7988" s="28" t="s">
        <v>8223</v>
      </c>
      <c r="D7988" s="26" t="s">
        <v>56</v>
      </c>
      <c r="E7988" s="31">
        <v>46245.0</v>
      </c>
      <c r="F7988" s="26" t="s">
        <v>46</v>
      </c>
      <c r="G7988" s="26">
        <v>10.0</v>
      </c>
      <c r="I7988" s="26" t="s">
        <v>970</v>
      </c>
      <c r="J7988" s="25" t="str">
        <f t="shared" si="97"/>
        <v>No</v>
      </c>
      <c r="K7988" s="25" t="str">
        <f t="shared" si="98"/>
        <v/>
      </c>
      <c r="L7988" s="25" t="str">
        <f t="shared" si="99"/>
        <v/>
      </c>
      <c r="M7988" s="25"/>
      <c r="O7988" s="25"/>
    </row>
    <row r="7989" ht="15.75" customHeight="1">
      <c r="A7989" s="25" t="str">
        <f>IFERROR(__xludf.DUMMYFUNCTION("IF(B7989="""","""",RIGHT(REGEXREPLACE(B7989&amp;"""",""[^0-9]"",""""),9))"),"716669478")</f>
        <v>716669478</v>
      </c>
      <c r="B7989" s="52">
        <v>7.16669478E8</v>
      </c>
      <c r="C7989" s="28" t="s">
        <v>8224</v>
      </c>
      <c r="D7989" s="26" t="s">
        <v>82</v>
      </c>
      <c r="E7989" s="31">
        <v>46245.0</v>
      </c>
      <c r="F7989" s="26" t="s">
        <v>41</v>
      </c>
      <c r="I7989" s="26" t="s">
        <v>970</v>
      </c>
      <c r="J7989" s="25" t="str">
        <f t="shared" si="97"/>
        <v>No</v>
      </c>
      <c r="K7989" s="25" t="str">
        <f t="shared" si="98"/>
        <v/>
      </c>
      <c r="L7989" s="25" t="str">
        <f t="shared" si="99"/>
        <v/>
      </c>
      <c r="M7989" s="25"/>
      <c r="O7989" s="26" t="s">
        <v>51</v>
      </c>
    </row>
    <row r="7990" ht="15.75" customHeight="1">
      <c r="A7990" s="25" t="str">
        <f>IFERROR(__xludf.DUMMYFUNCTION("IF(B7990="""","""",RIGHT(REGEXREPLACE(B7990&amp;"""",""[^0-9]"",""""),9))"),"701014584")</f>
        <v>701014584</v>
      </c>
      <c r="B7990" s="52">
        <v>7.01014584E8</v>
      </c>
      <c r="C7990" s="28" t="s">
        <v>8225</v>
      </c>
      <c r="D7990" s="26" t="s">
        <v>82</v>
      </c>
      <c r="E7990" s="31">
        <v>46245.0</v>
      </c>
      <c r="F7990" s="26" t="s">
        <v>41</v>
      </c>
      <c r="I7990" s="26" t="s">
        <v>970</v>
      </c>
      <c r="J7990" s="25" t="str">
        <f t="shared" si="97"/>
        <v>No</v>
      </c>
      <c r="K7990" s="25" t="str">
        <f t="shared" si="98"/>
        <v/>
      </c>
      <c r="L7990" s="25" t="str">
        <f t="shared" si="99"/>
        <v/>
      </c>
      <c r="M7990" s="25"/>
      <c r="O7990" s="25"/>
    </row>
    <row r="7991" ht="15.75" customHeight="1">
      <c r="A7991" s="25" t="str">
        <f>IFERROR(__xludf.DUMMYFUNCTION("IF(B7991="""","""",RIGHT(REGEXREPLACE(B7991&amp;"""",""[^0-9]"",""""),9))"),"768932700")</f>
        <v>768932700</v>
      </c>
      <c r="B7991" s="52">
        <v>7.689327E8</v>
      </c>
      <c r="C7991" s="28" t="s">
        <v>8226</v>
      </c>
      <c r="D7991" s="26" t="s">
        <v>49</v>
      </c>
      <c r="E7991" s="31">
        <v>46245.0</v>
      </c>
      <c r="F7991" s="26" t="s">
        <v>41</v>
      </c>
      <c r="G7991" s="26">
        <v>10.0</v>
      </c>
      <c r="I7991" s="26" t="s">
        <v>970</v>
      </c>
      <c r="J7991" s="25" t="str">
        <f t="shared" si="97"/>
        <v>No</v>
      </c>
      <c r="K7991" s="25" t="str">
        <f t="shared" si="98"/>
        <v/>
      </c>
      <c r="L7991" s="25" t="str">
        <f t="shared" si="99"/>
        <v/>
      </c>
      <c r="M7991" s="25"/>
      <c r="O7991" s="25"/>
    </row>
    <row r="7992" ht="15.75" customHeight="1">
      <c r="A7992" s="25" t="str">
        <f>IFERROR(__xludf.DUMMYFUNCTION("IF(B7992="""","""",RIGHT(REGEXREPLACE(B7992&amp;"""",""[^0-9]"",""""),9))"),"777787558")</f>
        <v>777787558</v>
      </c>
      <c r="B7992" s="52">
        <v>7.77787558E8</v>
      </c>
      <c r="C7992" s="28" t="s">
        <v>1150</v>
      </c>
      <c r="D7992" s="26" t="s">
        <v>82</v>
      </c>
      <c r="E7992" s="31">
        <v>46245.0</v>
      </c>
      <c r="F7992" s="26" t="s">
        <v>46</v>
      </c>
      <c r="H7992" s="26" t="s">
        <v>8227</v>
      </c>
      <c r="I7992" s="26" t="s">
        <v>970</v>
      </c>
      <c r="J7992" s="25" t="str">
        <f t="shared" si="97"/>
        <v>Yes - see Previous F-Code</v>
      </c>
      <c r="K7992" s="25" t="str">
        <f t="shared" si="98"/>
        <v/>
      </c>
      <c r="L7992" s="25" t="str">
        <f t="shared" si="99"/>
        <v>F70891</v>
      </c>
      <c r="M7992" s="25"/>
      <c r="O7992" s="25"/>
    </row>
    <row r="7993" ht="15.75" customHeight="1">
      <c r="A7993" s="25" t="str">
        <f>IFERROR(__xludf.DUMMYFUNCTION("IF(B7993="""","""",RIGHT(REGEXREPLACE(B7993&amp;"""",""[^0-9]"",""""),9))"),"712090279")</f>
        <v>712090279</v>
      </c>
      <c r="B7993" s="52">
        <v>7.12090279E8</v>
      </c>
      <c r="C7993" s="28" t="s">
        <v>8228</v>
      </c>
      <c r="D7993" s="26" t="s">
        <v>49</v>
      </c>
      <c r="E7993" s="31">
        <v>46245.0</v>
      </c>
      <c r="F7993" s="26" t="s">
        <v>46</v>
      </c>
      <c r="G7993" s="26">
        <v>11.0</v>
      </c>
      <c r="I7993" s="26" t="s">
        <v>970</v>
      </c>
      <c r="J7993" s="25" t="str">
        <f t="shared" si="97"/>
        <v>No</v>
      </c>
      <c r="K7993" s="25" t="str">
        <f t="shared" si="98"/>
        <v/>
      </c>
      <c r="L7993" s="25" t="str">
        <f t="shared" si="99"/>
        <v/>
      </c>
      <c r="M7993" s="25"/>
      <c r="O7993" s="25"/>
    </row>
    <row r="7994" ht="15.75" customHeight="1">
      <c r="A7994" s="25" t="str">
        <f>IFERROR(__xludf.DUMMYFUNCTION("IF(B7994="""","""",RIGHT(REGEXREPLACE(B7994&amp;"""",""[^0-9]"",""""),9))"),"701503679")</f>
        <v>701503679</v>
      </c>
      <c r="B7994" s="52">
        <v>7.01503679E8</v>
      </c>
      <c r="C7994" s="28" t="s">
        <v>8229</v>
      </c>
      <c r="D7994" s="26" t="s">
        <v>82</v>
      </c>
      <c r="E7994" s="31">
        <v>46245.0</v>
      </c>
      <c r="F7994" s="26" t="s">
        <v>46</v>
      </c>
      <c r="I7994" s="26" t="s">
        <v>970</v>
      </c>
      <c r="J7994" s="25" t="str">
        <f t="shared" si="97"/>
        <v>No</v>
      </c>
      <c r="K7994" s="25" t="str">
        <f t="shared" si="98"/>
        <v/>
      </c>
      <c r="L7994" s="25" t="str">
        <f t="shared" si="99"/>
        <v/>
      </c>
      <c r="M7994" s="25"/>
      <c r="O7994" s="25"/>
    </row>
    <row r="7995" ht="15.75" customHeight="1">
      <c r="A7995" s="25" t="str">
        <f>IFERROR(__xludf.DUMMYFUNCTION("IF(B7995="""","""",RIGHT(REGEXREPLACE(B7995&amp;"""",""[^0-9]"",""""),9))"),"777298843")</f>
        <v>777298843</v>
      </c>
      <c r="B7995" s="52">
        <v>7.77298843E8</v>
      </c>
      <c r="C7995" s="28" t="s">
        <v>8230</v>
      </c>
      <c r="D7995" s="26" t="s">
        <v>56</v>
      </c>
      <c r="E7995" s="31">
        <v>46245.0</v>
      </c>
      <c r="F7995" s="26" t="s">
        <v>46</v>
      </c>
      <c r="G7995" s="26">
        <v>10.0</v>
      </c>
      <c r="H7995" s="26" t="s">
        <v>8231</v>
      </c>
      <c r="I7995" s="26" t="s">
        <v>970</v>
      </c>
      <c r="J7995" s="25" t="str">
        <f t="shared" si="97"/>
        <v>No</v>
      </c>
      <c r="K7995" s="25" t="str">
        <f t="shared" si="98"/>
        <v/>
      </c>
      <c r="L7995" s="25" t="str">
        <f t="shared" si="99"/>
        <v/>
      </c>
      <c r="M7995" s="25"/>
      <c r="O7995" s="25"/>
    </row>
    <row r="7996" ht="15.75" customHeight="1">
      <c r="A7996" s="25" t="str">
        <f>IFERROR(__xludf.DUMMYFUNCTION("IF(B7996="""","""",RIGHT(REGEXREPLACE(B7996&amp;"""",""[^0-9]"",""""),9))"),"771772318")</f>
        <v>771772318</v>
      </c>
      <c r="B7996" s="52">
        <v>7.71772318E8</v>
      </c>
      <c r="C7996" s="28" t="s">
        <v>708</v>
      </c>
      <c r="D7996" s="26" t="s">
        <v>82</v>
      </c>
      <c r="E7996" s="31">
        <v>46245.0</v>
      </c>
      <c r="F7996" s="26" t="s">
        <v>205</v>
      </c>
      <c r="I7996" s="26" t="s">
        <v>970</v>
      </c>
      <c r="J7996" s="25" t="str">
        <f t="shared" si="97"/>
        <v>Yes - see Previous F-Code</v>
      </c>
      <c r="K7996" s="25" t="str">
        <f t="shared" si="98"/>
        <v/>
      </c>
      <c r="L7996" s="25" t="str">
        <f t="shared" si="99"/>
        <v>F70499</v>
      </c>
      <c r="M7996" s="25"/>
      <c r="O7996" s="25"/>
    </row>
    <row r="7997" ht="15.75" customHeight="1">
      <c r="A7997" s="25" t="str">
        <f>IFERROR(__xludf.DUMMYFUNCTION("IF(B7997="""","""",RIGHT(REGEXREPLACE(B7997&amp;"""",""[^0-9]"",""""),9))"),"775977290")</f>
        <v>775977290</v>
      </c>
      <c r="B7997" s="52">
        <v>7.7597729E8</v>
      </c>
      <c r="C7997" s="28" t="s">
        <v>8232</v>
      </c>
      <c r="D7997" s="26" t="s">
        <v>82</v>
      </c>
      <c r="E7997" s="31">
        <v>46245.0</v>
      </c>
      <c r="F7997" s="26" t="s">
        <v>46</v>
      </c>
      <c r="G7997" s="26">
        <v>9.0</v>
      </c>
      <c r="I7997" s="26" t="s">
        <v>970</v>
      </c>
      <c r="J7997" s="25" t="str">
        <f t="shared" si="97"/>
        <v>No</v>
      </c>
      <c r="K7997" s="25" t="str">
        <f t="shared" si="98"/>
        <v/>
      </c>
      <c r="L7997" s="25" t="str">
        <f t="shared" si="99"/>
        <v/>
      </c>
      <c r="M7997" s="25"/>
      <c r="O7997" s="25"/>
    </row>
    <row r="7998" ht="15.75" customHeight="1">
      <c r="A7998" s="25" t="str">
        <f>IFERROR(__xludf.DUMMYFUNCTION("IF(B7998="""","""",RIGHT(REGEXREPLACE(B7998&amp;"""",""[^0-9]"",""""),9))"),"717626206")</f>
        <v>717626206</v>
      </c>
      <c r="B7998" s="52">
        <v>7.17626206E8</v>
      </c>
      <c r="C7998" s="28" t="s">
        <v>8233</v>
      </c>
      <c r="D7998" s="26" t="s">
        <v>49</v>
      </c>
      <c r="E7998" s="31">
        <v>46245.0</v>
      </c>
      <c r="F7998" s="26" t="s">
        <v>46</v>
      </c>
      <c r="G7998" s="26">
        <v>11.0</v>
      </c>
      <c r="I7998" s="26" t="s">
        <v>970</v>
      </c>
      <c r="J7998" s="25" t="str">
        <f t="shared" si="97"/>
        <v>No</v>
      </c>
      <c r="K7998" s="25" t="str">
        <f t="shared" si="98"/>
        <v/>
      </c>
      <c r="L7998" s="25" t="str">
        <f t="shared" si="99"/>
        <v/>
      </c>
      <c r="M7998" s="25"/>
      <c r="O7998" s="25"/>
    </row>
    <row r="7999" ht="15.75" customHeight="1">
      <c r="A7999" s="25" t="str">
        <f>IFERROR(__xludf.DUMMYFUNCTION("IF(B7999="""","""",RIGHT(REGEXREPLACE(B7999&amp;"""",""[^0-9]"",""""),9))"),"702565408")</f>
        <v>702565408</v>
      </c>
      <c r="B7999" s="52">
        <v>7.02565408E8</v>
      </c>
      <c r="C7999" s="28" t="s">
        <v>7892</v>
      </c>
      <c r="D7999" s="26" t="s">
        <v>82</v>
      </c>
      <c r="E7999" s="31">
        <v>46245.0</v>
      </c>
      <c r="F7999" s="26" t="s">
        <v>41</v>
      </c>
      <c r="I7999" s="26" t="s">
        <v>970</v>
      </c>
      <c r="J7999" s="25" t="str">
        <f t="shared" si="97"/>
        <v>Yes - see Previous F-Code</v>
      </c>
      <c r="K7999" s="25" t="str">
        <f t="shared" si="98"/>
        <v/>
      </c>
      <c r="L7999" s="25" t="str">
        <f t="shared" si="99"/>
        <v>F76782</v>
      </c>
      <c r="M7999" s="25"/>
      <c r="O7999" s="25"/>
    </row>
    <row r="8000" ht="15.75" customHeight="1">
      <c r="A8000" s="25" t="str">
        <f>IFERROR(__xludf.DUMMYFUNCTION("IF(B8000="""","""",RIGHT(REGEXREPLACE(B8000&amp;"""",""[^0-9]"",""""),9))"),"772279475")</f>
        <v>772279475</v>
      </c>
      <c r="B8000" s="52">
        <v>7.72279475E8</v>
      </c>
      <c r="C8000" s="28" t="s">
        <v>8234</v>
      </c>
      <c r="D8000" s="26" t="s">
        <v>56</v>
      </c>
      <c r="E8000" s="31">
        <v>46245.0</v>
      </c>
      <c r="F8000" s="26" t="s">
        <v>46</v>
      </c>
      <c r="H8000" s="26" t="s">
        <v>8235</v>
      </c>
      <c r="I8000" s="26" t="s">
        <v>970</v>
      </c>
      <c r="J8000" s="25" t="str">
        <f t="shared" si="97"/>
        <v>No</v>
      </c>
      <c r="K8000" s="25" t="str">
        <f t="shared" si="98"/>
        <v/>
      </c>
      <c r="L8000" s="25" t="str">
        <f t="shared" si="99"/>
        <v/>
      </c>
      <c r="M8000" s="25"/>
      <c r="O8000" s="25"/>
    </row>
    <row r="8001" ht="15.75" customHeight="1">
      <c r="A8001" s="25" t="str">
        <f>IFERROR(__xludf.DUMMYFUNCTION("IF(B8001="""","""",RIGHT(REGEXREPLACE(B8001&amp;"""",""[^0-9]"",""""),9))"),"719281375")</f>
        <v>719281375</v>
      </c>
      <c r="B8001" s="52">
        <v>7.19281375E8</v>
      </c>
      <c r="C8001" s="28" t="s">
        <v>8236</v>
      </c>
      <c r="D8001" s="26" t="s">
        <v>82</v>
      </c>
      <c r="E8001" s="31">
        <v>46245.0</v>
      </c>
      <c r="F8001" s="26" t="s">
        <v>46</v>
      </c>
      <c r="G8001" s="26">
        <v>11.0</v>
      </c>
      <c r="H8001" s="26" t="s">
        <v>8237</v>
      </c>
      <c r="I8001" s="26" t="s">
        <v>970</v>
      </c>
      <c r="J8001" s="25" t="str">
        <f t="shared" si="97"/>
        <v>No</v>
      </c>
      <c r="K8001" s="25" t="str">
        <f t="shared" si="98"/>
        <v/>
      </c>
      <c r="L8001" s="25" t="str">
        <f t="shared" si="99"/>
        <v/>
      </c>
      <c r="M8001" s="25"/>
      <c r="O8001" s="25"/>
    </row>
    <row r="8002" ht="15.75" customHeight="1">
      <c r="A8002" s="25" t="str">
        <f>IFERROR(__xludf.DUMMYFUNCTION("IF(B8002="""","""",RIGHT(REGEXREPLACE(B8002&amp;"""",""[^0-9]"",""""),9))"),"775346253")</f>
        <v>775346253</v>
      </c>
      <c r="B8002" s="52">
        <v>7.75346253E8</v>
      </c>
      <c r="C8002" s="28" t="s">
        <v>8238</v>
      </c>
      <c r="D8002" s="26" t="s">
        <v>82</v>
      </c>
      <c r="E8002" s="31">
        <v>46245.0</v>
      </c>
      <c r="F8002" s="26" t="s">
        <v>41</v>
      </c>
      <c r="I8002" s="26" t="s">
        <v>970</v>
      </c>
      <c r="J8002" s="25" t="str">
        <f t="shared" si="97"/>
        <v>No</v>
      </c>
      <c r="K8002" s="25" t="str">
        <f t="shared" si="98"/>
        <v/>
      </c>
      <c r="L8002" s="25" t="str">
        <f t="shared" si="99"/>
        <v/>
      </c>
      <c r="M8002" s="25"/>
      <c r="O8002" s="26" t="s">
        <v>51</v>
      </c>
    </row>
    <row r="8003" ht="15.75" customHeight="1">
      <c r="A8003" s="25" t="str">
        <f>IFERROR(__xludf.DUMMYFUNCTION("IF(B8003="""","""",RIGHT(REGEXREPLACE(B8003&amp;"""",""[^0-9]"",""""),9))"),"718120771")</f>
        <v>718120771</v>
      </c>
      <c r="B8003" s="52">
        <v>7.18120771E8</v>
      </c>
      <c r="C8003" s="28" t="s">
        <v>8239</v>
      </c>
      <c r="D8003" s="26" t="s">
        <v>49</v>
      </c>
      <c r="E8003" s="31">
        <v>46245.0</v>
      </c>
      <c r="F8003" s="26" t="s">
        <v>46</v>
      </c>
      <c r="G8003" s="26">
        <v>11.0</v>
      </c>
      <c r="H8003" s="117" t="s">
        <v>5571</v>
      </c>
      <c r="I8003" s="26" t="s">
        <v>970</v>
      </c>
      <c r="J8003" s="25" t="str">
        <f t="shared" si="97"/>
        <v>No</v>
      </c>
      <c r="K8003" s="25" t="str">
        <f t="shared" si="98"/>
        <v/>
      </c>
      <c r="L8003" s="25" t="str">
        <f t="shared" si="99"/>
        <v/>
      </c>
      <c r="M8003" s="25"/>
      <c r="O8003" s="25"/>
    </row>
    <row r="8004" ht="15.75" customHeight="1">
      <c r="A8004" s="25" t="str">
        <f>IFERROR(__xludf.DUMMYFUNCTION("IF(B8004="""","""",RIGHT(REGEXREPLACE(B8004&amp;"""",""[^0-9]"",""""),9))"),"779560160")</f>
        <v>779560160</v>
      </c>
      <c r="B8004" s="52">
        <v>7.7956016E8</v>
      </c>
      <c r="C8004" s="28" t="s">
        <v>8240</v>
      </c>
      <c r="D8004" s="26" t="s">
        <v>56</v>
      </c>
      <c r="E8004" s="31">
        <v>46245.0</v>
      </c>
      <c r="F8004" s="26" t="s">
        <v>41</v>
      </c>
      <c r="H8004" s="26" t="s">
        <v>8235</v>
      </c>
      <c r="I8004" s="26" t="s">
        <v>970</v>
      </c>
      <c r="J8004" s="25" t="str">
        <f t="shared" si="97"/>
        <v>No</v>
      </c>
      <c r="K8004" s="25" t="str">
        <f t="shared" si="98"/>
        <v/>
      </c>
      <c r="L8004" s="25" t="str">
        <f t="shared" si="99"/>
        <v/>
      </c>
      <c r="M8004" s="25"/>
      <c r="O8004" s="25"/>
    </row>
    <row r="8005" ht="15.75" customHeight="1">
      <c r="A8005" s="25" t="str">
        <f>IFERROR(__xludf.DUMMYFUNCTION("IF(B8005="""","""",RIGHT(REGEXREPLACE(B8005&amp;"""",""[^0-9]"",""""),9))"),"767323007")</f>
        <v>767323007</v>
      </c>
      <c r="B8005" s="52">
        <v>7.67323007E8</v>
      </c>
      <c r="C8005" s="28" t="s">
        <v>8241</v>
      </c>
      <c r="D8005" s="26" t="s">
        <v>82</v>
      </c>
      <c r="E8005" s="31">
        <v>46245.0</v>
      </c>
      <c r="F8005" s="26" t="s">
        <v>46</v>
      </c>
      <c r="H8005" s="123">
        <v>40338.0</v>
      </c>
      <c r="I8005" s="26" t="s">
        <v>970</v>
      </c>
      <c r="J8005" s="25" t="str">
        <f t="shared" si="97"/>
        <v>No</v>
      </c>
      <c r="K8005" s="25" t="str">
        <f t="shared" si="98"/>
        <v/>
      </c>
      <c r="L8005" s="25" t="str">
        <f t="shared" si="99"/>
        <v/>
      </c>
      <c r="M8005" s="25"/>
      <c r="O8005" s="25"/>
    </row>
    <row r="8006" ht="15.75" customHeight="1">
      <c r="A8006" s="25" t="str">
        <f>IFERROR(__xludf.DUMMYFUNCTION("IF(B8006="""","""",RIGHT(REGEXREPLACE(B8006&amp;"""",""[^0-9]"",""""),9))"),"778174188")</f>
        <v>778174188</v>
      </c>
      <c r="B8006" s="52">
        <v>7.78174188E8</v>
      </c>
      <c r="C8006" s="28" t="s">
        <v>452</v>
      </c>
      <c r="D8006" s="26" t="s">
        <v>49</v>
      </c>
      <c r="E8006" s="31">
        <v>46245.0</v>
      </c>
      <c r="F8006" s="26" t="s">
        <v>46</v>
      </c>
      <c r="G8006" s="26">
        <v>11.0</v>
      </c>
      <c r="I8006" s="26" t="s">
        <v>970</v>
      </c>
      <c r="J8006" s="25" t="str">
        <f t="shared" si="97"/>
        <v>Yes - see Previous F-Code</v>
      </c>
      <c r="K8006" s="25" t="str">
        <f t="shared" si="98"/>
        <v/>
      </c>
      <c r="L8006" s="25" t="str">
        <f t="shared" si="99"/>
        <v>F70283</v>
      </c>
      <c r="M8006" s="25"/>
      <c r="O8006" s="25"/>
    </row>
    <row r="8007" ht="15.75" customHeight="1">
      <c r="A8007" s="25" t="str">
        <f>IFERROR(__xludf.DUMMYFUNCTION("IF(B8007="""","""",RIGHT(REGEXREPLACE(B8007&amp;"""",""[^0-9]"",""""),9))"),"773340257")</f>
        <v>773340257</v>
      </c>
      <c r="B8007" s="52">
        <v>7.73340257E8</v>
      </c>
      <c r="C8007" s="28" t="s">
        <v>8242</v>
      </c>
      <c r="D8007" s="26" t="s">
        <v>56</v>
      </c>
      <c r="E8007" s="31">
        <v>46245.0</v>
      </c>
      <c r="F8007" s="26" t="s">
        <v>46</v>
      </c>
      <c r="I8007" s="26" t="s">
        <v>970</v>
      </c>
      <c r="J8007" s="25" t="str">
        <f t="shared" si="97"/>
        <v>No</v>
      </c>
      <c r="K8007" s="25" t="str">
        <f t="shared" si="98"/>
        <v/>
      </c>
      <c r="L8007" s="25" t="str">
        <f t="shared" si="99"/>
        <v/>
      </c>
      <c r="M8007" s="25"/>
      <c r="O8007" s="25"/>
    </row>
    <row r="8008" ht="15.75" customHeight="1">
      <c r="A8008" s="25" t="str">
        <f>IFERROR(__xludf.DUMMYFUNCTION("IF(B8008="""","""",RIGHT(REGEXREPLACE(B8008&amp;"""",""[^0-9]"",""""),9))"),"775746503")</f>
        <v>775746503</v>
      </c>
      <c r="B8008" s="52">
        <v>7.75746503E8</v>
      </c>
      <c r="C8008" s="28" t="s">
        <v>8243</v>
      </c>
      <c r="D8008" s="26" t="s">
        <v>45</v>
      </c>
      <c r="E8008" s="31">
        <v>46245.0</v>
      </c>
      <c r="F8008" s="26" t="s">
        <v>659</v>
      </c>
      <c r="I8008" s="26" t="s">
        <v>970</v>
      </c>
      <c r="J8008" s="25" t="str">
        <f t="shared" si="97"/>
        <v>No</v>
      </c>
      <c r="K8008" s="25" t="str">
        <f t="shared" si="98"/>
        <v/>
      </c>
      <c r="L8008" s="25" t="str">
        <f t="shared" si="99"/>
        <v/>
      </c>
      <c r="M8008" s="25"/>
      <c r="O8008" s="25"/>
    </row>
    <row r="8009" ht="15.75" customHeight="1">
      <c r="A8009" s="25" t="str">
        <f>IFERROR(__xludf.DUMMYFUNCTION("IF(B8009="""","""",RIGHT(REGEXREPLACE(B8009&amp;"""",""[^0-9]"",""""),9))"),"713030665")</f>
        <v>713030665</v>
      </c>
      <c r="B8009" s="52">
        <v>7.13030665E8</v>
      </c>
      <c r="C8009" s="28" t="s">
        <v>8244</v>
      </c>
      <c r="D8009" s="26" t="s">
        <v>82</v>
      </c>
      <c r="E8009" s="31">
        <v>46245.0</v>
      </c>
      <c r="F8009" s="26" t="s">
        <v>46</v>
      </c>
      <c r="G8009" s="26">
        <v>11.0</v>
      </c>
      <c r="I8009" s="26" t="s">
        <v>970</v>
      </c>
      <c r="J8009" s="25" t="str">
        <f t="shared" si="97"/>
        <v>No</v>
      </c>
      <c r="K8009" s="25" t="str">
        <f t="shared" si="98"/>
        <v/>
      </c>
      <c r="L8009" s="25" t="str">
        <f t="shared" si="99"/>
        <v/>
      </c>
      <c r="M8009" s="25"/>
      <c r="O8009" s="25"/>
    </row>
    <row r="8010" ht="15.75" customHeight="1">
      <c r="A8010" s="25" t="str">
        <f>IFERROR(__xludf.DUMMYFUNCTION("IF(B8010="""","""",RIGHT(REGEXREPLACE(B8010&amp;"""",""[^0-9]"",""""),9))"),"705111561")</f>
        <v>705111561</v>
      </c>
      <c r="B8010" s="52">
        <v>7.05111561E8</v>
      </c>
      <c r="C8010" s="28" t="s">
        <v>8245</v>
      </c>
      <c r="D8010" s="26" t="s">
        <v>56</v>
      </c>
      <c r="E8010" s="31">
        <v>46245.0</v>
      </c>
      <c r="F8010" s="26" t="s">
        <v>46</v>
      </c>
      <c r="I8010" s="26" t="s">
        <v>970</v>
      </c>
      <c r="J8010" s="25" t="str">
        <f t="shared" si="97"/>
        <v>No</v>
      </c>
      <c r="K8010" s="25" t="str">
        <f t="shared" si="98"/>
        <v/>
      </c>
      <c r="L8010" s="25" t="str">
        <f t="shared" si="99"/>
        <v/>
      </c>
      <c r="M8010" s="25"/>
      <c r="O8010" s="25"/>
    </row>
    <row r="8011" ht="15.75" customHeight="1">
      <c r="A8011" s="25" t="str">
        <f>IFERROR(__xludf.DUMMYFUNCTION("IF(B8011="""","""",RIGHT(REGEXREPLACE(B8011&amp;"""",""[^0-9]"",""""),9))"),"774805196")</f>
        <v>774805196</v>
      </c>
      <c r="B8011" s="52">
        <v>7.74805196E8</v>
      </c>
      <c r="C8011" s="28" t="s">
        <v>8246</v>
      </c>
      <c r="D8011" s="26" t="s">
        <v>82</v>
      </c>
      <c r="E8011" s="31">
        <v>46245.0</v>
      </c>
      <c r="F8011" s="26" t="s">
        <v>125</v>
      </c>
      <c r="H8011" s="26" t="s">
        <v>8049</v>
      </c>
      <c r="I8011" s="26" t="s">
        <v>970</v>
      </c>
      <c r="J8011" s="25" t="str">
        <f t="shared" si="97"/>
        <v>No</v>
      </c>
      <c r="K8011" s="25" t="str">
        <f t="shared" si="98"/>
        <v/>
      </c>
      <c r="L8011" s="25" t="str">
        <f t="shared" si="99"/>
        <v/>
      </c>
      <c r="M8011" s="25"/>
      <c r="O8011" s="25"/>
    </row>
    <row r="8012" ht="15.75" customHeight="1">
      <c r="A8012" s="25" t="str">
        <f>IFERROR(__xludf.DUMMYFUNCTION("IF(B8012="""","""",RIGHT(REGEXREPLACE(B8012&amp;"""",""[^0-9]"",""""),9))"),"767858701")</f>
        <v>767858701</v>
      </c>
      <c r="B8012" s="52">
        <v>7.67858701E8</v>
      </c>
      <c r="C8012" s="28" t="s">
        <v>8247</v>
      </c>
      <c r="D8012" s="26" t="s">
        <v>45</v>
      </c>
      <c r="E8012" s="31">
        <v>46245.0</v>
      </c>
      <c r="F8012" s="26" t="s">
        <v>164</v>
      </c>
      <c r="I8012" s="26" t="s">
        <v>970</v>
      </c>
      <c r="J8012" s="25" t="str">
        <f t="shared" si="97"/>
        <v>No</v>
      </c>
      <c r="K8012" s="25" t="str">
        <f t="shared" si="98"/>
        <v/>
      </c>
      <c r="L8012" s="25" t="str">
        <f t="shared" si="99"/>
        <v/>
      </c>
      <c r="M8012" s="25"/>
      <c r="O8012" s="25"/>
    </row>
    <row r="8013" ht="15.75" customHeight="1">
      <c r="A8013" s="25" t="str">
        <f>IFERROR(__xludf.DUMMYFUNCTION("IF(B8013="""","""",RIGHT(REGEXREPLACE(B8013&amp;"""",""[^0-9]"",""""),9))"),"761193933")</f>
        <v>761193933</v>
      </c>
      <c r="B8013" s="52">
        <v>7.61193933E8</v>
      </c>
      <c r="C8013" s="28" t="s">
        <v>8248</v>
      </c>
      <c r="D8013" s="26" t="s">
        <v>45</v>
      </c>
      <c r="E8013" s="31">
        <v>46245.0</v>
      </c>
      <c r="F8013" s="26" t="s">
        <v>41</v>
      </c>
      <c r="I8013" s="26" t="s">
        <v>970</v>
      </c>
      <c r="J8013" s="25" t="str">
        <f t="shared" si="97"/>
        <v>No</v>
      </c>
      <c r="K8013" s="25" t="str">
        <f t="shared" si="98"/>
        <v/>
      </c>
      <c r="L8013" s="25" t="str">
        <f t="shared" si="99"/>
        <v/>
      </c>
      <c r="M8013" s="25"/>
      <c r="O8013" s="25"/>
    </row>
    <row r="8014" ht="15.75" customHeight="1">
      <c r="A8014" s="25" t="str">
        <f>IFERROR(__xludf.DUMMYFUNCTION("IF(B8014="""","""",RIGHT(REGEXREPLACE(B8014&amp;"""",""[^0-9]"",""""),9))"),"712195090")</f>
        <v>712195090</v>
      </c>
      <c r="B8014" s="52">
        <v>7.1219509E8</v>
      </c>
      <c r="C8014" s="28" t="s">
        <v>8249</v>
      </c>
      <c r="D8014" s="26" t="s">
        <v>82</v>
      </c>
      <c r="E8014" s="31">
        <v>46245.0</v>
      </c>
      <c r="F8014" s="26" t="s">
        <v>41</v>
      </c>
      <c r="I8014" s="26" t="s">
        <v>970</v>
      </c>
      <c r="J8014" s="25" t="str">
        <f t="shared" si="97"/>
        <v>No</v>
      </c>
      <c r="K8014" s="25" t="str">
        <f t="shared" si="98"/>
        <v/>
      </c>
      <c r="L8014" s="25" t="str">
        <f t="shared" si="99"/>
        <v/>
      </c>
      <c r="M8014" s="25"/>
      <c r="O8014" s="25"/>
    </row>
    <row r="8015" ht="15.75" customHeight="1">
      <c r="A8015" s="25" t="str">
        <f>IFERROR(__xludf.DUMMYFUNCTION("IF(B8015="""","""",RIGHT(REGEXREPLACE(B8015&amp;"""",""[^0-9]"",""""),9))"),"712575233")</f>
        <v>712575233</v>
      </c>
      <c r="B8015" s="52">
        <v>7.12575233E8</v>
      </c>
      <c r="C8015" s="28" t="s">
        <v>8250</v>
      </c>
      <c r="D8015" s="26" t="s">
        <v>45</v>
      </c>
      <c r="E8015" s="31">
        <v>46245.0</v>
      </c>
      <c r="F8015" s="26" t="s">
        <v>41</v>
      </c>
      <c r="I8015" s="26" t="s">
        <v>970</v>
      </c>
      <c r="J8015" s="25" t="str">
        <f t="shared" si="97"/>
        <v>No</v>
      </c>
      <c r="K8015" s="25" t="str">
        <f t="shared" si="98"/>
        <v/>
      </c>
      <c r="L8015" s="25" t="str">
        <f t="shared" si="99"/>
        <v/>
      </c>
      <c r="M8015" s="25"/>
      <c r="O8015" s="25"/>
    </row>
    <row r="8016" ht="15.75" customHeight="1">
      <c r="A8016" s="25" t="str">
        <f>IFERROR(__xludf.DUMMYFUNCTION("IF(B8016="""","""",RIGHT(REGEXREPLACE(B8016&amp;"""",""[^0-9]"",""""),9))"),"776126799")</f>
        <v>776126799</v>
      </c>
      <c r="B8016" s="52">
        <v>7.76126799E8</v>
      </c>
      <c r="C8016" s="28" t="s">
        <v>8251</v>
      </c>
      <c r="D8016" s="26" t="s">
        <v>56</v>
      </c>
      <c r="E8016" s="31">
        <v>46245.0</v>
      </c>
      <c r="F8016" s="26" t="s">
        <v>46</v>
      </c>
      <c r="H8016" s="26" t="s">
        <v>8235</v>
      </c>
      <c r="I8016" s="26" t="s">
        <v>970</v>
      </c>
      <c r="J8016" s="25" t="str">
        <f t="shared" si="97"/>
        <v>No</v>
      </c>
      <c r="K8016" s="25" t="str">
        <f t="shared" si="98"/>
        <v/>
      </c>
      <c r="L8016" s="25" t="str">
        <f t="shared" si="99"/>
        <v/>
      </c>
      <c r="M8016" s="25"/>
      <c r="O8016" s="25"/>
    </row>
    <row r="8017" ht="15.75" customHeight="1">
      <c r="A8017" s="25" t="str">
        <f>IFERROR(__xludf.DUMMYFUNCTION("IF(B8017="""","""",RIGHT(REGEXREPLACE(B8017&amp;"""",""[^0-9]"",""""),9))"),"718310134")</f>
        <v>718310134</v>
      </c>
      <c r="B8017" s="52">
        <v>7.18310134E8</v>
      </c>
      <c r="C8017" s="28" t="s">
        <v>8252</v>
      </c>
      <c r="D8017" s="26" t="s">
        <v>49</v>
      </c>
      <c r="E8017" s="31">
        <v>46245.0</v>
      </c>
      <c r="F8017" s="26" t="s">
        <v>41</v>
      </c>
      <c r="I8017" s="26" t="s">
        <v>970</v>
      </c>
      <c r="J8017" s="25" t="str">
        <f t="shared" si="97"/>
        <v>No</v>
      </c>
      <c r="K8017" s="25" t="str">
        <f t="shared" si="98"/>
        <v/>
      </c>
      <c r="L8017" s="25" t="str">
        <f t="shared" si="99"/>
        <v/>
      </c>
      <c r="M8017" s="25"/>
      <c r="O8017" s="25"/>
    </row>
    <row r="8018" ht="15.75" customHeight="1">
      <c r="A8018" s="25" t="str">
        <f>IFERROR(__xludf.DUMMYFUNCTION("IF(B8018="""","""",RIGHT(REGEXREPLACE(B8018&amp;"""",""[^0-9]"",""""),9))"),"706074141")</f>
        <v>706074141</v>
      </c>
      <c r="B8018" s="52">
        <v>7.06074141E8</v>
      </c>
      <c r="C8018" s="28" t="s">
        <v>8253</v>
      </c>
      <c r="D8018" s="26" t="s">
        <v>45</v>
      </c>
      <c r="E8018" s="31">
        <v>46245.0</v>
      </c>
      <c r="F8018" s="26" t="s">
        <v>41</v>
      </c>
      <c r="I8018" s="26" t="s">
        <v>970</v>
      </c>
      <c r="J8018" s="25" t="str">
        <f t="shared" si="97"/>
        <v>No</v>
      </c>
      <c r="K8018" s="25" t="str">
        <f t="shared" si="98"/>
        <v/>
      </c>
      <c r="L8018" s="25" t="str">
        <f t="shared" si="99"/>
        <v/>
      </c>
      <c r="M8018" s="25"/>
      <c r="O8018" s="25"/>
    </row>
    <row r="8019" ht="15.75" customHeight="1">
      <c r="A8019" s="25" t="str">
        <f>IFERROR(__xludf.DUMMYFUNCTION("IF(B8019="""","""",RIGHT(REGEXREPLACE(B8019&amp;"""",""[^0-9]"",""""),9))"),"706902453")</f>
        <v>706902453</v>
      </c>
      <c r="B8019" s="52">
        <v>7.06902453E8</v>
      </c>
      <c r="C8019" s="28" t="s">
        <v>8254</v>
      </c>
      <c r="D8019" s="26" t="s">
        <v>56</v>
      </c>
      <c r="E8019" s="31">
        <v>46245.0</v>
      </c>
      <c r="F8019" s="26" t="s">
        <v>46</v>
      </c>
      <c r="G8019" s="26">
        <v>6.0</v>
      </c>
      <c r="I8019" s="26" t="s">
        <v>970</v>
      </c>
      <c r="J8019" s="25" t="str">
        <f t="shared" si="97"/>
        <v>No</v>
      </c>
      <c r="K8019" s="25" t="str">
        <f t="shared" si="98"/>
        <v/>
      </c>
      <c r="L8019" s="25" t="str">
        <f t="shared" si="99"/>
        <v/>
      </c>
      <c r="M8019" s="25"/>
      <c r="O8019" s="25"/>
    </row>
    <row r="8020" ht="15.75" customHeight="1">
      <c r="A8020" s="25"/>
      <c r="B8020" s="25"/>
      <c r="C8020" s="28" t="s">
        <v>8255</v>
      </c>
      <c r="D8020" s="25"/>
      <c r="E8020" s="31">
        <v>46245.0</v>
      </c>
      <c r="F8020" s="25"/>
      <c r="G8020" s="25"/>
      <c r="H8020" s="25"/>
      <c r="I8020" s="26" t="s">
        <v>970</v>
      </c>
      <c r="J8020" s="25"/>
      <c r="K8020" s="25"/>
      <c r="L8020" s="25"/>
      <c r="M8020" s="25"/>
      <c r="N8020" s="25"/>
      <c r="O8020" s="25"/>
      <c r="P8020" s="25"/>
    </row>
    <row r="8021" ht="15.75" customHeight="1">
      <c r="A8021" s="25" t="str">
        <f>IFERROR(__xludf.DUMMYFUNCTION("IF(B8021="""","""",RIGHT(REGEXREPLACE(B8021&amp;"""",""[^0-9]"",""""),9))"),"761023136")</f>
        <v>761023136</v>
      </c>
      <c r="B8021" s="52">
        <v>7.61023136E8</v>
      </c>
      <c r="C8021" s="28" t="s">
        <v>8256</v>
      </c>
      <c r="D8021" s="26" t="s">
        <v>49</v>
      </c>
      <c r="E8021" s="31">
        <v>46245.0</v>
      </c>
      <c r="F8021" s="26" t="s">
        <v>46</v>
      </c>
      <c r="G8021" s="26">
        <v>11.0</v>
      </c>
      <c r="I8021" s="26" t="s">
        <v>970</v>
      </c>
      <c r="J8021" s="25" t="str">
        <f t="shared" ref="J8021:J8234" si="100">IF(COUNTIF($A$2:A8020,A8021)&gt;0,"Yes - see Previous F-Code","No")</f>
        <v>No</v>
      </c>
      <c r="K8021" s="25" t="str">
        <f t="shared" ref="K8021:K8234" si="101">IF(COUNTIFS($A$2:A8021,A8021,$I$2:I8021,I8021)&gt;1,"DUPLICATE - CHECK","")</f>
        <v/>
      </c>
      <c r="L8021" s="25" t="str">
        <f t="shared" ref="L8021:L8234" si="102">IF(COUNTIF($A$2:A8020,A8021)&gt;0,INDEX($C$2:C8020,MATCH(A8021,$A$2:A8020,0)),"")</f>
        <v/>
      </c>
      <c r="M8021" s="25"/>
      <c r="O8021" s="25"/>
    </row>
    <row r="8022" ht="15.75" customHeight="1">
      <c r="A8022" s="25" t="str">
        <f>IFERROR(__xludf.DUMMYFUNCTION("IF(B8022="""","""",RIGHT(REGEXREPLACE(B8022&amp;"""",""[^0-9]"",""""),9))"),"771581852")</f>
        <v>771581852</v>
      </c>
      <c r="B8022" s="52">
        <v>7.71581852E8</v>
      </c>
      <c r="C8022" s="28" t="s">
        <v>8257</v>
      </c>
      <c r="D8022" s="26" t="s">
        <v>82</v>
      </c>
      <c r="E8022" s="31">
        <v>46245.0</v>
      </c>
      <c r="F8022" s="26" t="s">
        <v>41</v>
      </c>
      <c r="I8022" s="26" t="s">
        <v>970</v>
      </c>
      <c r="J8022" s="25" t="str">
        <f t="shared" si="100"/>
        <v>No</v>
      </c>
      <c r="K8022" s="25" t="str">
        <f t="shared" si="101"/>
        <v/>
      </c>
      <c r="L8022" s="25" t="str">
        <f t="shared" si="102"/>
        <v/>
      </c>
      <c r="M8022" s="25"/>
      <c r="O8022" s="25"/>
    </row>
    <row r="8023" ht="15.75" customHeight="1">
      <c r="A8023" s="25" t="str">
        <f>IFERROR(__xludf.DUMMYFUNCTION("IF(B8023="""","""",RIGHT(REGEXREPLACE(B8023&amp;"""",""[^0-9]"",""""),9))"),"778593139")</f>
        <v>778593139</v>
      </c>
      <c r="B8023" s="52">
        <v>7.78593139E8</v>
      </c>
      <c r="C8023" s="28" t="s">
        <v>8258</v>
      </c>
      <c r="D8023" s="26" t="s">
        <v>56</v>
      </c>
      <c r="E8023" s="31">
        <v>46245.0</v>
      </c>
      <c r="F8023" s="26" t="s">
        <v>46</v>
      </c>
      <c r="G8023" s="26">
        <v>10.0</v>
      </c>
      <c r="H8023" s="26" t="s">
        <v>8235</v>
      </c>
      <c r="I8023" s="26" t="s">
        <v>970</v>
      </c>
      <c r="J8023" s="25" t="str">
        <f t="shared" si="100"/>
        <v>No</v>
      </c>
      <c r="K8023" s="25" t="str">
        <f t="shared" si="101"/>
        <v/>
      </c>
      <c r="L8023" s="25" t="str">
        <f t="shared" si="102"/>
        <v/>
      </c>
      <c r="M8023" s="25"/>
      <c r="O8023" s="25"/>
    </row>
    <row r="8024" ht="15.75" customHeight="1">
      <c r="A8024" s="25" t="str">
        <f>IFERROR(__xludf.DUMMYFUNCTION("IF(B8024="""","""",RIGHT(REGEXREPLACE(B8024&amp;"""",""[^0-9]"",""""),9))"),"701844226")</f>
        <v>701844226</v>
      </c>
      <c r="B8024" s="52">
        <v>7.01844226E8</v>
      </c>
      <c r="C8024" s="28" t="s">
        <v>2181</v>
      </c>
      <c r="D8024" s="26" t="s">
        <v>82</v>
      </c>
      <c r="E8024" s="31">
        <v>46245.0</v>
      </c>
      <c r="F8024" s="26" t="s">
        <v>46</v>
      </c>
      <c r="I8024" s="26" t="s">
        <v>970</v>
      </c>
      <c r="J8024" s="25" t="str">
        <f t="shared" si="100"/>
        <v>Yes - see Previous F-Code</v>
      </c>
      <c r="K8024" s="25" t="str">
        <f t="shared" si="101"/>
        <v/>
      </c>
      <c r="L8024" s="25" t="str">
        <f t="shared" si="102"/>
        <v>F71882</v>
      </c>
      <c r="M8024" s="25"/>
      <c r="O8024" s="25"/>
    </row>
    <row r="8025" ht="15.75" customHeight="1">
      <c r="A8025" s="25" t="str">
        <f>IFERROR(__xludf.DUMMYFUNCTION("IF(B8025="""","""",RIGHT(REGEXREPLACE(B8025&amp;"""",""[^0-9]"",""""),9))"),"762042480")</f>
        <v>762042480</v>
      </c>
      <c r="B8025" s="52">
        <v>7.6204248E8</v>
      </c>
      <c r="C8025" s="28" t="s">
        <v>8259</v>
      </c>
      <c r="D8025" s="26" t="s">
        <v>56</v>
      </c>
      <c r="E8025" s="31">
        <v>46245.0</v>
      </c>
      <c r="F8025" s="26" t="s">
        <v>46</v>
      </c>
      <c r="G8025" s="26">
        <v>10.0</v>
      </c>
      <c r="H8025" s="26" t="s">
        <v>8235</v>
      </c>
      <c r="I8025" s="26" t="s">
        <v>970</v>
      </c>
      <c r="J8025" s="25" t="str">
        <f t="shared" si="100"/>
        <v>No</v>
      </c>
      <c r="K8025" s="25" t="str">
        <f t="shared" si="101"/>
        <v/>
      </c>
      <c r="L8025" s="25" t="str">
        <f t="shared" si="102"/>
        <v/>
      </c>
      <c r="M8025" s="25"/>
      <c r="O8025" s="25"/>
    </row>
    <row r="8026" ht="15.75" customHeight="1">
      <c r="A8026" s="25" t="str">
        <f>IFERROR(__xludf.DUMMYFUNCTION("IF(B8026="""","""",RIGHT(REGEXREPLACE(B8026&amp;"""",""[^0-9]"",""""),9))"),"769363839")</f>
        <v>769363839</v>
      </c>
      <c r="B8026" s="52">
        <v>7.69363839E8</v>
      </c>
      <c r="C8026" s="28" t="s">
        <v>8260</v>
      </c>
      <c r="D8026" s="26" t="s">
        <v>45</v>
      </c>
      <c r="E8026" s="31">
        <v>46245.0</v>
      </c>
      <c r="F8026" s="26" t="s">
        <v>41</v>
      </c>
      <c r="I8026" s="26" t="s">
        <v>970</v>
      </c>
      <c r="J8026" s="25" t="str">
        <f t="shared" si="100"/>
        <v>No</v>
      </c>
      <c r="K8026" s="25" t="str">
        <f t="shared" si="101"/>
        <v/>
      </c>
      <c r="L8026" s="25" t="str">
        <f t="shared" si="102"/>
        <v/>
      </c>
      <c r="M8026" s="25"/>
      <c r="O8026" s="25"/>
    </row>
    <row r="8027" ht="15.75" customHeight="1">
      <c r="A8027" s="25" t="str">
        <f>IFERROR(__xludf.DUMMYFUNCTION("IF(B8027="""","""",RIGHT(REGEXREPLACE(B8027&amp;"""",""[^0-9]"",""""),9))"),"718310134")</f>
        <v>718310134</v>
      </c>
      <c r="B8027" s="52">
        <v>7.18310134E8</v>
      </c>
      <c r="C8027" s="28" t="s">
        <v>8259</v>
      </c>
      <c r="D8027" s="26" t="s">
        <v>56</v>
      </c>
      <c r="E8027" s="31">
        <v>46245.0</v>
      </c>
      <c r="F8027" s="26" t="s">
        <v>46</v>
      </c>
      <c r="I8027" s="26" t="s">
        <v>970</v>
      </c>
      <c r="J8027" s="25" t="str">
        <f t="shared" si="100"/>
        <v>Yes - see Previous F-Code</v>
      </c>
      <c r="K8027" s="25" t="str">
        <f t="shared" si="101"/>
        <v>DUPLICATE - CHECK</v>
      </c>
      <c r="L8027" s="25" t="str">
        <f t="shared" si="102"/>
        <v>F77058</v>
      </c>
      <c r="M8027" s="25"/>
      <c r="O8027" s="25"/>
    </row>
    <row r="8028" ht="15.75" customHeight="1">
      <c r="A8028" s="25" t="str">
        <f>IFERROR(__xludf.DUMMYFUNCTION("IF(B8028="""","""",RIGHT(REGEXREPLACE(B8028&amp;"""",""[^0-9]"",""""),9))"),"769300661")</f>
        <v>769300661</v>
      </c>
      <c r="B8028" s="52">
        <v>7.69300661E8</v>
      </c>
      <c r="C8028" s="28" t="s">
        <v>8261</v>
      </c>
      <c r="D8028" s="26" t="s">
        <v>45</v>
      </c>
      <c r="E8028" s="31">
        <v>46245.0</v>
      </c>
      <c r="F8028" s="26" t="s">
        <v>46</v>
      </c>
      <c r="G8028" s="26">
        <v>10.0</v>
      </c>
      <c r="I8028" s="26" t="s">
        <v>970</v>
      </c>
      <c r="J8028" s="25" t="str">
        <f t="shared" si="100"/>
        <v>No</v>
      </c>
      <c r="K8028" s="25" t="str">
        <f t="shared" si="101"/>
        <v/>
      </c>
      <c r="L8028" s="25" t="str">
        <f t="shared" si="102"/>
        <v/>
      </c>
      <c r="M8028" s="25"/>
      <c r="O8028" s="25"/>
    </row>
    <row r="8029" ht="15.75" customHeight="1">
      <c r="A8029" s="25" t="str">
        <f>IFERROR(__xludf.DUMMYFUNCTION("IF(B8029="""","""",RIGHT(REGEXREPLACE(B8029&amp;"""",""[^0-9]"",""""),9))"),"760109872")</f>
        <v>760109872</v>
      </c>
      <c r="B8029" s="52">
        <v>7.60109872E8</v>
      </c>
      <c r="C8029" s="28" t="s">
        <v>8262</v>
      </c>
      <c r="D8029" s="26" t="s">
        <v>49</v>
      </c>
      <c r="E8029" s="31">
        <v>46245.0</v>
      </c>
      <c r="F8029" s="26" t="s">
        <v>164</v>
      </c>
      <c r="I8029" s="26" t="s">
        <v>970</v>
      </c>
      <c r="J8029" s="25" t="str">
        <f t="shared" si="100"/>
        <v>No</v>
      </c>
      <c r="K8029" s="25" t="str">
        <f t="shared" si="101"/>
        <v/>
      </c>
      <c r="L8029" s="25" t="str">
        <f t="shared" si="102"/>
        <v/>
      </c>
      <c r="M8029" s="25"/>
      <c r="O8029" s="25"/>
    </row>
    <row r="8030" ht="15.75" customHeight="1">
      <c r="A8030" s="25" t="str">
        <f>IFERROR(__xludf.DUMMYFUNCTION("IF(B8030="""","""",RIGHT(REGEXREPLACE(B8030&amp;"""",""[^0-9]"",""""),9))"),"775746503")</f>
        <v>775746503</v>
      </c>
      <c r="B8030" s="52">
        <v>7.75746503E8</v>
      </c>
      <c r="C8030" s="28" t="s">
        <v>8243</v>
      </c>
      <c r="D8030" s="26" t="s">
        <v>82</v>
      </c>
      <c r="E8030" s="31">
        <v>46245.0</v>
      </c>
      <c r="F8030" s="26" t="s">
        <v>659</v>
      </c>
      <c r="I8030" s="26" t="s">
        <v>970</v>
      </c>
      <c r="J8030" s="25" t="str">
        <f t="shared" si="100"/>
        <v>Yes - see Previous F-Code</v>
      </c>
      <c r="K8030" s="25" t="str">
        <f t="shared" si="101"/>
        <v>DUPLICATE - CHECK</v>
      </c>
      <c r="L8030" s="25" t="str">
        <f t="shared" si="102"/>
        <v>F77049</v>
      </c>
      <c r="M8030" s="25"/>
      <c r="O8030" s="25"/>
    </row>
    <row r="8031" ht="15.75" customHeight="1">
      <c r="A8031" s="25" t="str">
        <f>IFERROR(__xludf.DUMMYFUNCTION("IF(B8031="""","""",RIGHT(REGEXREPLACE(B8031&amp;"""",""[^0-9]"",""""),9))"),"767858701")</f>
        <v>767858701</v>
      </c>
      <c r="B8031" s="52">
        <v>7.67858701E8</v>
      </c>
      <c r="C8031" s="28" t="s">
        <v>8263</v>
      </c>
      <c r="D8031" s="26" t="s">
        <v>82</v>
      </c>
      <c r="E8031" s="31">
        <v>46245.0</v>
      </c>
      <c r="F8031" s="26" t="s">
        <v>164</v>
      </c>
      <c r="I8031" s="26" t="s">
        <v>970</v>
      </c>
      <c r="J8031" s="25" t="str">
        <f t="shared" si="100"/>
        <v>Yes - see Previous F-Code</v>
      </c>
      <c r="K8031" s="25" t="str">
        <f t="shared" si="101"/>
        <v>DUPLICATE - CHECK</v>
      </c>
      <c r="L8031" s="25" t="str">
        <f t="shared" si="102"/>
        <v>F77053</v>
      </c>
      <c r="M8031" s="25"/>
      <c r="O8031" s="25"/>
    </row>
    <row r="8032" ht="15.75" customHeight="1">
      <c r="A8032" s="25" t="str">
        <f>IFERROR(__xludf.DUMMYFUNCTION("IF(B8032="""","""",RIGHT(REGEXREPLACE(B8032&amp;"""",""[^0-9]"",""""),9))"),"714343814")</f>
        <v>714343814</v>
      </c>
      <c r="B8032" s="52">
        <v>7.14343814E8</v>
      </c>
      <c r="C8032" s="28" t="s">
        <v>8264</v>
      </c>
      <c r="D8032" s="26" t="s">
        <v>45</v>
      </c>
      <c r="E8032" s="31">
        <v>46245.0</v>
      </c>
      <c r="F8032" s="26" t="s">
        <v>46</v>
      </c>
      <c r="G8032" s="26">
        <v>11.0</v>
      </c>
      <c r="I8032" s="26" t="s">
        <v>970</v>
      </c>
      <c r="J8032" s="25" t="str">
        <f t="shared" si="100"/>
        <v>No</v>
      </c>
      <c r="K8032" s="25" t="str">
        <f t="shared" si="101"/>
        <v/>
      </c>
      <c r="L8032" s="25" t="str">
        <f t="shared" si="102"/>
        <v/>
      </c>
      <c r="M8032" s="25"/>
      <c r="O8032" s="25"/>
    </row>
    <row r="8033" ht="15.75" customHeight="1">
      <c r="A8033" s="25" t="str">
        <f>IFERROR(__xludf.DUMMYFUNCTION("IF(B8033="""","""",RIGHT(REGEXREPLACE(B8033&amp;"""",""[^0-9]"",""""),9))"),"779480991")</f>
        <v>779480991</v>
      </c>
      <c r="B8033" s="52">
        <v>7.79480991E8</v>
      </c>
      <c r="C8033" s="28" t="s">
        <v>8265</v>
      </c>
      <c r="D8033" s="26" t="s">
        <v>56</v>
      </c>
      <c r="E8033" s="31">
        <v>46245.0</v>
      </c>
      <c r="F8033" s="26" t="s">
        <v>41</v>
      </c>
      <c r="G8033" s="26">
        <v>11.0</v>
      </c>
      <c r="I8033" s="26" t="s">
        <v>951</v>
      </c>
      <c r="J8033" s="25" t="str">
        <f t="shared" si="100"/>
        <v>No</v>
      </c>
      <c r="K8033" s="25" t="str">
        <f t="shared" si="101"/>
        <v/>
      </c>
      <c r="L8033" s="25" t="str">
        <f t="shared" si="102"/>
        <v/>
      </c>
      <c r="M8033" s="25"/>
      <c r="O8033" s="25"/>
    </row>
    <row r="8034" ht="15.75" customHeight="1">
      <c r="A8034" s="25" t="str">
        <f>IFERROR(__xludf.DUMMYFUNCTION("IF(B8034="""","""",RIGHT(REGEXREPLACE(B8034&amp;"""",""[^0-9]"",""""),9))"),"772554608")</f>
        <v>772554608</v>
      </c>
      <c r="B8034" s="52">
        <v>7.72554608E8</v>
      </c>
      <c r="C8034" s="28" t="s">
        <v>8266</v>
      </c>
      <c r="D8034" s="26" t="s">
        <v>56</v>
      </c>
      <c r="E8034" s="31">
        <v>46245.0</v>
      </c>
      <c r="F8034" s="26" t="s">
        <v>46</v>
      </c>
      <c r="G8034" s="26">
        <v>9.0</v>
      </c>
      <c r="I8034" s="26" t="s">
        <v>951</v>
      </c>
      <c r="J8034" s="25" t="str">
        <f t="shared" si="100"/>
        <v>No</v>
      </c>
      <c r="K8034" s="25" t="str">
        <f t="shared" si="101"/>
        <v/>
      </c>
      <c r="L8034" s="25" t="str">
        <f t="shared" si="102"/>
        <v/>
      </c>
      <c r="M8034" s="25"/>
      <c r="O8034" s="26" t="s">
        <v>51</v>
      </c>
    </row>
    <row r="8035" ht="15.75" customHeight="1">
      <c r="A8035" s="25" t="str">
        <f>IFERROR(__xludf.DUMMYFUNCTION("IF(B8035="""","""",RIGHT(REGEXREPLACE(B8035&amp;"""",""[^0-9]"",""""),9))"),"767927687")</f>
        <v>767927687</v>
      </c>
      <c r="B8035" s="52">
        <v>7.67927687E8</v>
      </c>
      <c r="C8035" s="28" t="s">
        <v>8267</v>
      </c>
      <c r="D8035" s="26" t="s">
        <v>49</v>
      </c>
      <c r="E8035" s="31">
        <v>46245.0</v>
      </c>
      <c r="F8035" s="26" t="s">
        <v>41</v>
      </c>
      <c r="G8035" s="26">
        <v>11.0</v>
      </c>
      <c r="H8035" s="26" t="s">
        <v>8206</v>
      </c>
      <c r="I8035" s="26" t="s">
        <v>951</v>
      </c>
      <c r="J8035" s="25" t="str">
        <f t="shared" si="100"/>
        <v>No</v>
      </c>
      <c r="K8035" s="25" t="str">
        <f t="shared" si="101"/>
        <v/>
      </c>
      <c r="L8035" s="25" t="str">
        <f t="shared" si="102"/>
        <v/>
      </c>
      <c r="M8035" s="25"/>
      <c r="O8035" s="25"/>
    </row>
    <row r="8036" ht="15.75" customHeight="1">
      <c r="A8036" s="25" t="str">
        <f>IFERROR(__xludf.DUMMYFUNCTION("IF(B8036="""","""",RIGHT(REGEXREPLACE(B8036&amp;"""",""[^0-9]"",""""),9))"),"777652892")</f>
        <v>777652892</v>
      </c>
      <c r="B8036" s="52">
        <v>7.77652892E8</v>
      </c>
      <c r="C8036" s="28" t="s">
        <v>8268</v>
      </c>
      <c r="D8036" s="26" t="s">
        <v>56</v>
      </c>
      <c r="E8036" s="31">
        <v>46245.0</v>
      </c>
      <c r="F8036" s="26" t="s">
        <v>659</v>
      </c>
      <c r="G8036" s="26">
        <v>8.0</v>
      </c>
      <c r="I8036" s="26" t="s">
        <v>951</v>
      </c>
      <c r="J8036" s="25" t="str">
        <f t="shared" si="100"/>
        <v>No</v>
      </c>
      <c r="K8036" s="25" t="str">
        <f t="shared" si="101"/>
        <v/>
      </c>
      <c r="L8036" s="25" t="str">
        <f t="shared" si="102"/>
        <v/>
      </c>
      <c r="M8036" s="25"/>
      <c r="O8036" s="25"/>
    </row>
    <row r="8037" ht="15.75" customHeight="1">
      <c r="A8037" s="25" t="str">
        <f>IFERROR(__xludf.DUMMYFUNCTION("IF(B8037="""","""",RIGHT(REGEXREPLACE(B8037&amp;"""",""[^0-9]"",""""),9))"),"772253485")</f>
        <v>772253485</v>
      </c>
      <c r="B8037" s="52">
        <v>7.72253485E8</v>
      </c>
      <c r="C8037" s="28" t="s">
        <v>8100</v>
      </c>
      <c r="D8037" s="26" t="s">
        <v>49</v>
      </c>
      <c r="E8037" s="31">
        <v>46245.0</v>
      </c>
      <c r="F8037" s="26" t="s">
        <v>46</v>
      </c>
      <c r="G8037" s="26">
        <v>7.0</v>
      </c>
      <c r="I8037" s="26" t="s">
        <v>951</v>
      </c>
      <c r="J8037" s="25" t="str">
        <f t="shared" si="100"/>
        <v>No</v>
      </c>
      <c r="K8037" s="25" t="str">
        <f t="shared" si="101"/>
        <v/>
      </c>
      <c r="L8037" s="25" t="str">
        <f t="shared" si="102"/>
        <v/>
      </c>
      <c r="M8037" s="25"/>
      <c r="O8037" s="26" t="s">
        <v>51</v>
      </c>
    </row>
    <row r="8038" ht="15.75" customHeight="1">
      <c r="A8038" s="25" t="str">
        <f>IFERROR(__xludf.DUMMYFUNCTION("IF(B8038="""","""",RIGHT(REGEXREPLACE(B8038&amp;"""",""[^0-9]"",""""),9))"),"765898979")</f>
        <v>765898979</v>
      </c>
      <c r="B8038" s="52">
        <v>7.65898979E8</v>
      </c>
      <c r="C8038" s="28" t="s">
        <v>3774</v>
      </c>
      <c r="D8038" s="26" t="s">
        <v>49</v>
      </c>
      <c r="E8038" s="31">
        <v>46245.0</v>
      </c>
      <c r="F8038" s="26" t="s">
        <v>41</v>
      </c>
      <c r="G8038" s="26">
        <v>10.0</v>
      </c>
      <c r="I8038" s="26" t="s">
        <v>951</v>
      </c>
      <c r="J8038" s="25" t="str">
        <f t="shared" si="100"/>
        <v>Yes - see Previous F-Code</v>
      </c>
      <c r="K8038" s="25" t="str">
        <f t="shared" si="101"/>
        <v/>
      </c>
      <c r="L8038" s="25" t="str">
        <f t="shared" si="102"/>
        <v>F73426</v>
      </c>
      <c r="M8038" s="25"/>
      <c r="O8038" s="25"/>
    </row>
    <row r="8039" ht="15.75" customHeight="1">
      <c r="A8039" s="25" t="str">
        <f>IFERROR(__xludf.DUMMYFUNCTION("IF(B8039="""","""",RIGHT(REGEXREPLACE(B8039&amp;"""",""[^0-9]"",""""),9))"),"718456153")</f>
        <v>718456153</v>
      </c>
      <c r="B8039" s="52">
        <v>7.18456153E8</v>
      </c>
      <c r="C8039" s="28" t="s">
        <v>7862</v>
      </c>
      <c r="D8039" s="26" t="s">
        <v>56</v>
      </c>
      <c r="E8039" s="31">
        <v>46245.0</v>
      </c>
      <c r="F8039" s="26" t="s">
        <v>41</v>
      </c>
      <c r="G8039" s="26">
        <v>9.0</v>
      </c>
      <c r="I8039" s="26" t="s">
        <v>951</v>
      </c>
      <c r="J8039" s="25" t="str">
        <f t="shared" si="100"/>
        <v>Yes - see Previous F-Code</v>
      </c>
      <c r="K8039" s="25" t="str">
        <f t="shared" si="101"/>
        <v>DUPLICATE - CHECK</v>
      </c>
      <c r="L8039" s="25" t="str">
        <f t="shared" si="102"/>
        <v>F76748</v>
      </c>
      <c r="M8039" s="25"/>
      <c r="O8039" s="25"/>
    </row>
    <row r="8040" ht="15.75" customHeight="1">
      <c r="A8040" s="25" t="str">
        <f>IFERROR(__xludf.DUMMYFUNCTION("IF(B8040="""","""",RIGHT(REGEXREPLACE(B8040&amp;"""",""[^0-9]"",""""),9))"),"778695850")</f>
        <v>778695850</v>
      </c>
      <c r="B8040" s="52">
        <v>7.7869585E8</v>
      </c>
      <c r="C8040" s="28" t="s">
        <v>8269</v>
      </c>
      <c r="D8040" s="26" t="s">
        <v>56</v>
      </c>
      <c r="E8040" s="31">
        <v>46245.0</v>
      </c>
      <c r="F8040" s="26" t="s">
        <v>41</v>
      </c>
      <c r="I8040" s="26" t="s">
        <v>951</v>
      </c>
      <c r="J8040" s="25" t="str">
        <f t="shared" si="100"/>
        <v>No</v>
      </c>
      <c r="K8040" s="25" t="str">
        <f t="shared" si="101"/>
        <v/>
      </c>
      <c r="L8040" s="25" t="str">
        <f t="shared" si="102"/>
        <v/>
      </c>
      <c r="M8040" s="25"/>
      <c r="O8040" s="25"/>
    </row>
    <row r="8041" ht="15.75" customHeight="1">
      <c r="A8041" s="25" t="str">
        <f>IFERROR(__xludf.DUMMYFUNCTION("IF(B8041="""","""",RIGHT(REGEXREPLACE(B8041&amp;"""",""[^0-9]"",""""),9))"),"741124297")</f>
        <v>741124297</v>
      </c>
      <c r="B8041" s="52">
        <v>7.41124297E8</v>
      </c>
      <c r="C8041" s="28" t="s">
        <v>8270</v>
      </c>
      <c r="D8041" s="26" t="s">
        <v>56</v>
      </c>
      <c r="E8041" s="31">
        <v>46245.0</v>
      </c>
      <c r="F8041" s="26" t="s">
        <v>46</v>
      </c>
      <c r="G8041" s="26">
        <v>9.0</v>
      </c>
      <c r="I8041" s="26" t="s">
        <v>951</v>
      </c>
      <c r="J8041" s="25" t="str">
        <f t="shared" si="100"/>
        <v>No</v>
      </c>
      <c r="K8041" s="25" t="str">
        <f t="shared" si="101"/>
        <v/>
      </c>
      <c r="L8041" s="25" t="str">
        <f t="shared" si="102"/>
        <v/>
      </c>
      <c r="M8041" s="25"/>
      <c r="O8041" s="26" t="s">
        <v>51</v>
      </c>
    </row>
    <row r="8042" ht="15.75" customHeight="1">
      <c r="A8042" s="25" t="str">
        <f>IFERROR(__xludf.DUMMYFUNCTION("IF(B8042="""","""",RIGHT(REGEXREPLACE(B8042&amp;"""",""[^0-9]"",""""),9))"),"781551204")</f>
        <v>781551204</v>
      </c>
      <c r="B8042" s="52">
        <v>7.81551204E8</v>
      </c>
      <c r="C8042" s="28" t="s">
        <v>6049</v>
      </c>
      <c r="D8042" s="26" t="s">
        <v>49</v>
      </c>
      <c r="E8042" s="31">
        <v>46245.0</v>
      </c>
      <c r="F8042" s="26" t="s">
        <v>46</v>
      </c>
      <c r="G8042" s="26">
        <v>9.0</v>
      </c>
      <c r="H8042" s="117" t="s">
        <v>8271</v>
      </c>
      <c r="I8042" s="26" t="s">
        <v>951</v>
      </c>
      <c r="J8042" s="25" t="str">
        <f t="shared" si="100"/>
        <v>Yes - see Previous F-Code</v>
      </c>
      <c r="K8042" s="25" t="str">
        <f t="shared" si="101"/>
        <v/>
      </c>
      <c r="L8042" s="25" t="str">
        <f t="shared" si="102"/>
        <v>F75459</v>
      </c>
      <c r="M8042" s="25"/>
      <c r="O8042" s="26" t="s">
        <v>51</v>
      </c>
    </row>
    <row r="8043" ht="15.75" customHeight="1">
      <c r="A8043" s="25" t="str">
        <f>IFERROR(__xludf.DUMMYFUNCTION("IF(B8043="""","""",RIGHT(REGEXREPLACE(B8043&amp;"""",""[^0-9]"",""""),9))"),"776461390")</f>
        <v>776461390</v>
      </c>
      <c r="B8043" s="52">
        <v>7.7646139E8</v>
      </c>
      <c r="C8043" s="28" t="s">
        <v>4259</v>
      </c>
      <c r="D8043" s="26" t="s">
        <v>49</v>
      </c>
      <c r="E8043" s="31">
        <v>46245.0</v>
      </c>
      <c r="F8043" s="26" t="s">
        <v>46</v>
      </c>
      <c r="G8043" s="26">
        <v>10.0</v>
      </c>
      <c r="H8043" s="26" t="s">
        <v>94</v>
      </c>
      <c r="I8043" s="26" t="s">
        <v>951</v>
      </c>
      <c r="J8043" s="25" t="str">
        <f t="shared" si="100"/>
        <v>Yes - see Previous F-Code</v>
      </c>
      <c r="K8043" s="25" t="str">
        <f t="shared" si="101"/>
        <v/>
      </c>
      <c r="L8043" s="25" t="str">
        <f t="shared" si="102"/>
        <v>F73890</v>
      </c>
      <c r="M8043" s="25"/>
      <c r="O8043" s="25"/>
    </row>
    <row r="8044" ht="15.75" customHeight="1">
      <c r="A8044" s="25" t="str">
        <f>IFERROR(__xludf.DUMMYFUNCTION("IF(B8044="""","""",RIGHT(REGEXREPLACE(B8044&amp;"""",""[^0-9]"",""""),9))"),"778898364")</f>
        <v>778898364</v>
      </c>
      <c r="B8044" s="52">
        <v>7.78898364E8</v>
      </c>
      <c r="C8044" s="28" t="s">
        <v>8272</v>
      </c>
      <c r="D8044" s="26" t="s">
        <v>49</v>
      </c>
      <c r="E8044" s="31">
        <v>46245.0</v>
      </c>
      <c r="F8044" s="26" t="s">
        <v>41</v>
      </c>
      <c r="G8044" s="26">
        <v>7.0</v>
      </c>
      <c r="I8044" s="26" t="s">
        <v>951</v>
      </c>
      <c r="J8044" s="25" t="str">
        <f t="shared" si="100"/>
        <v>No</v>
      </c>
      <c r="K8044" s="25" t="str">
        <f t="shared" si="101"/>
        <v/>
      </c>
      <c r="L8044" s="25" t="str">
        <f t="shared" si="102"/>
        <v/>
      </c>
      <c r="M8044" s="25"/>
      <c r="O8044" s="25"/>
    </row>
    <row r="8045" ht="15.75" customHeight="1">
      <c r="A8045" s="25" t="str">
        <f>IFERROR(__xludf.DUMMYFUNCTION("IF(B8045="""","""",RIGHT(REGEXREPLACE(B8045&amp;"""",""[^0-9]"",""""),9))"),"770695055")</f>
        <v>770695055</v>
      </c>
      <c r="B8045" s="52">
        <v>7.70695055E8</v>
      </c>
      <c r="C8045" s="28" t="s">
        <v>7629</v>
      </c>
      <c r="D8045" s="26" t="s">
        <v>56</v>
      </c>
      <c r="E8045" s="31">
        <v>46245.0</v>
      </c>
      <c r="F8045" s="26" t="s">
        <v>205</v>
      </c>
      <c r="G8045" s="26">
        <v>10.0</v>
      </c>
      <c r="I8045" s="26" t="s">
        <v>951</v>
      </c>
      <c r="J8045" s="25" t="str">
        <f t="shared" si="100"/>
        <v>Yes - see Previous F-Code</v>
      </c>
      <c r="K8045" s="25" t="str">
        <f t="shared" si="101"/>
        <v>DUPLICATE - CHECK</v>
      </c>
      <c r="L8045" s="25" t="str">
        <f t="shared" si="102"/>
        <v>F76519</v>
      </c>
      <c r="M8045" s="25"/>
      <c r="O8045" s="25"/>
    </row>
    <row r="8046" ht="15.75" customHeight="1">
      <c r="A8046" s="25" t="str">
        <f>IFERROR(__xludf.DUMMYFUNCTION("IF(B8046="""","""",RIGHT(REGEXREPLACE(B8046&amp;"""",""[^0-9]"",""""),9))"),"712173890")</f>
        <v>712173890</v>
      </c>
      <c r="B8046" s="52">
        <v>7.1217389E8</v>
      </c>
      <c r="C8046" s="28" t="s">
        <v>2238</v>
      </c>
      <c r="D8046" s="26" t="s">
        <v>56</v>
      </c>
      <c r="E8046" s="31">
        <v>46245.0</v>
      </c>
      <c r="F8046" s="26" t="s">
        <v>631</v>
      </c>
      <c r="G8046" s="26">
        <v>10.0</v>
      </c>
      <c r="I8046" s="26" t="s">
        <v>951</v>
      </c>
      <c r="J8046" s="25" t="str">
        <f t="shared" si="100"/>
        <v>Yes - see Previous F-Code</v>
      </c>
      <c r="K8046" s="25" t="str">
        <f t="shared" si="101"/>
        <v>DUPLICATE - CHECK</v>
      </c>
      <c r="L8046" s="25" t="str">
        <f t="shared" si="102"/>
        <v>F71936</v>
      </c>
      <c r="M8046" s="25"/>
      <c r="O8046" s="25"/>
    </row>
    <row r="8047" ht="15.75" customHeight="1">
      <c r="A8047" s="25" t="str">
        <f>IFERROR(__xludf.DUMMYFUNCTION("IF(B8047="""","""",RIGHT(REGEXREPLACE(B8047&amp;"""",""[^0-9]"",""""),9))"),"768658359")</f>
        <v>768658359</v>
      </c>
      <c r="B8047" s="52">
        <v>7.68658359E8</v>
      </c>
      <c r="C8047" s="28" t="s">
        <v>5467</v>
      </c>
      <c r="D8047" s="26" t="s">
        <v>49</v>
      </c>
      <c r="E8047" s="31">
        <v>46245.0</v>
      </c>
      <c r="F8047" s="26" t="s">
        <v>41</v>
      </c>
      <c r="G8047" s="26">
        <v>9.0</v>
      </c>
      <c r="I8047" s="26" t="s">
        <v>951</v>
      </c>
      <c r="J8047" s="25" t="str">
        <f t="shared" si="100"/>
        <v>Yes - see Previous F-Code</v>
      </c>
      <c r="K8047" s="25" t="str">
        <f t="shared" si="101"/>
        <v/>
      </c>
      <c r="L8047" s="25" t="str">
        <f t="shared" si="102"/>
        <v>F74959</v>
      </c>
      <c r="M8047" s="25"/>
      <c r="O8047" s="25"/>
    </row>
    <row r="8048" ht="15.75" customHeight="1">
      <c r="A8048" s="25" t="str">
        <f>IFERROR(__xludf.DUMMYFUNCTION("IF(B8048="""","""",RIGHT(REGEXREPLACE(B8048&amp;"""",""[^0-9]"",""""),9))"),"710120112")</f>
        <v>710120112</v>
      </c>
      <c r="B8048" s="52">
        <v>7.10120112E8</v>
      </c>
      <c r="C8048" s="28" t="s">
        <v>2238</v>
      </c>
      <c r="D8048" s="26" t="s">
        <v>56</v>
      </c>
      <c r="E8048" s="31">
        <v>46245.0</v>
      </c>
      <c r="F8048" s="26" t="s">
        <v>41</v>
      </c>
      <c r="G8048" s="26">
        <v>11.0</v>
      </c>
      <c r="I8048" s="26" t="s">
        <v>951</v>
      </c>
      <c r="J8048" s="25" t="str">
        <f t="shared" si="100"/>
        <v>No</v>
      </c>
      <c r="K8048" s="25" t="str">
        <f t="shared" si="101"/>
        <v/>
      </c>
      <c r="L8048" s="25" t="str">
        <f t="shared" si="102"/>
        <v/>
      </c>
      <c r="M8048" s="25"/>
      <c r="O8048" s="25"/>
    </row>
    <row r="8049" ht="15.75" customHeight="1">
      <c r="A8049" s="25" t="str">
        <f>IFERROR(__xludf.DUMMYFUNCTION("IF(B8049="""","""",RIGHT(REGEXREPLACE(B8049&amp;"""",""[^0-9]"",""""),9))"),"719223857")</f>
        <v>719223857</v>
      </c>
      <c r="B8049" s="52">
        <v>7.19223857E8</v>
      </c>
      <c r="C8049" s="28" t="s">
        <v>8273</v>
      </c>
      <c r="D8049" s="26" t="s">
        <v>49</v>
      </c>
      <c r="E8049" s="31">
        <v>46245.0</v>
      </c>
      <c r="F8049" s="26" t="s">
        <v>46</v>
      </c>
      <c r="H8049" s="72" t="s">
        <v>8274</v>
      </c>
      <c r="I8049" s="26" t="s">
        <v>951</v>
      </c>
      <c r="J8049" s="25" t="str">
        <f t="shared" si="100"/>
        <v>No</v>
      </c>
      <c r="K8049" s="25" t="str">
        <f t="shared" si="101"/>
        <v/>
      </c>
      <c r="L8049" s="25" t="str">
        <f t="shared" si="102"/>
        <v/>
      </c>
      <c r="M8049" s="25"/>
      <c r="O8049" s="25"/>
    </row>
    <row r="8050" ht="15.75" customHeight="1">
      <c r="A8050" s="25" t="str">
        <f>IFERROR(__xludf.DUMMYFUNCTION("IF(B8050="""","""",RIGHT(REGEXREPLACE(B8050&amp;"""",""[^0-9]"",""""),9))"),"774897250")</f>
        <v>774897250</v>
      </c>
      <c r="B8050" s="52">
        <v>7.7489725E8</v>
      </c>
      <c r="C8050" s="28" t="s">
        <v>3775</v>
      </c>
      <c r="D8050" s="26" t="s">
        <v>56</v>
      </c>
      <c r="E8050" s="31">
        <v>46245.0</v>
      </c>
      <c r="F8050" s="26" t="s">
        <v>41</v>
      </c>
      <c r="G8050" s="26">
        <v>11.0</v>
      </c>
      <c r="I8050" s="26" t="s">
        <v>951</v>
      </c>
      <c r="J8050" s="25" t="str">
        <f t="shared" si="100"/>
        <v>Yes - see Previous F-Code</v>
      </c>
      <c r="K8050" s="25" t="str">
        <f t="shared" si="101"/>
        <v/>
      </c>
      <c r="L8050" s="25" t="str">
        <f t="shared" si="102"/>
        <v>F73427</v>
      </c>
      <c r="M8050" s="25"/>
      <c r="O8050" s="25"/>
    </row>
    <row r="8051" ht="15.75" customHeight="1">
      <c r="A8051" s="25" t="str">
        <f>IFERROR(__xludf.DUMMYFUNCTION("IF(B8051="""","""",RIGHT(REGEXREPLACE(B8051&amp;"""",""[^0-9]"",""""),9))"),"773478569")</f>
        <v>773478569</v>
      </c>
      <c r="B8051" s="52">
        <v>7.73478569E8</v>
      </c>
      <c r="C8051" s="28" t="s">
        <v>8275</v>
      </c>
      <c r="D8051" s="26" t="s">
        <v>49</v>
      </c>
      <c r="E8051" s="31">
        <v>46245.0</v>
      </c>
      <c r="F8051" s="26" t="s">
        <v>46</v>
      </c>
      <c r="G8051" s="26">
        <v>9.0</v>
      </c>
      <c r="I8051" s="26" t="s">
        <v>951</v>
      </c>
      <c r="J8051" s="25" t="str">
        <f t="shared" si="100"/>
        <v>No</v>
      </c>
      <c r="K8051" s="25" t="str">
        <f t="shared" si="101"/>
        <v/>
      </c>
      <c r="L8051" s="25" t="str">
        <f t="shared" si="102"/>
        <v/>
      </c>
      <c r="M8051" s="25"/>
      <c r="O8051" s="25"/>
    </row>
    <row r="8052" ht="15.75" customHeight="1">
      <c r="A8052" s="25" t="str">
        <f>IFERROR(__xludf.DUMMYFUNCTION("IF(B8052="""","""",RIGHT(REGEXREPLACE(B8052&amp;"""",""[^0-9]"",""""),9))"),"702163395")</f>
        <v>702163395</v>
      </c>
      <c r="B8052" s="52">
        <v>7.02163395E8</v>
      </c>
      <c r="C8052" s="28" t="s">
        <v>8276</v>
      </c>
      <c r="D8052" s="26" t="s">
        <v>56</v>
      </c>
      <c r="E8052" s="31">
        <v>46245.0</v>
      </c>
      <c r="F8052" s="26" t="s">
        <v>46</v>
      </c>
      <c r="G8052" s="26">
        <v>8.0</v>
      </c>
      <c r="I8052" s="26" t="s">
        <v>951</v>
      </c>
      <c r="J8052" s="25" t="str">
        <f t="shared" si="100"/>
        <v>No</v>
      </c>
      <c r="K8052" s="25" t="str">
        <f t="shared" si="101"/>
        <v/>
      </c>
      <c r="L8052" s="25" t="str">
        <f t="shared" si="102"/>
        <v/>
      </c>
      <c r="M8052" s="25"/>
      <c r="O8052" s="26" t="s">
        <v>51</v>
      </c>
    </row>
    <row r="8053" ht="15.75" customHeight="1">
      <c r="A8053" s="25" t="str">
        <f>IFERROR(__xludf.DUMMYFUNCTION("IF(B8053="""","""",RIGHT(REGEXREPLACE(B8053&amp;"""",""[^0-9]"",""""),9))"),"717849150")</f>
        <v>717849150</v>
      </c>
      <c r="B8053" s="52">
        <v>7.1784915E8</v>
      </c>
      <c r="C8053" s="28" t="s">
        <v>8277</v>
      </c>
      <c r="D8053" s="26" t="s">
        <v>49</v>
      </c>
      <c r="E8053" s="31">
        <v>46245.0</v>
      </c>
      <c r="F8053" s="26" t="s">
        <v>41</v>
      </c>
      <c r="G8053" s="26">
        <v>7.0</v>
      </c>
      <c r="I8053" s="26" t="s">
        <v>951</v>
      </c>
      <c r="J8053" s="25" t="str">
        <f t="shared" si="100"/>
        <v>No</v>
      </c>
      <c r="K8053" s="25" t="str">
        <f t="shared" si="101"/>
        <v/>
      </c>
      <c r="L8053" s="25" t="str">
        <f t="shared" si="102"/>
        <v/>
      </c>
      <c r="M8053" s="25"/>
      <c r="O8053" s="26" t="s">
        <v>51</v>
      </c>
    </row>
    <row r="8054" ht="15.75" customHeight="1">
      <c r="A8054" s="25" t="str">
        <f>IFERROR(__xludf.DUMMYFUNCTION("IF(B8054="""","""",RIGHT(REGEXREPLACE(B8054&amp;"""",""[^0-9]"",""""),9))"),"763212841")</f>
        <v>763212841</v>
      </c>
      <c r="B8054" s="52">
        <v>7.63212841E8</v>
      </c>
      <c r="C8054" s="28" t="s">
        <v>8278</v>
      </c>
      <c r="D8054" s="26" t="s">
        <v>49</v>
      </c>
      <c r="E8054" s="31">
        <v>46245.0</v>
      </c>
      <c r="F8054" s="26" t="s">
        <v>164</v>
      </c>
      <c r="H8054" s="118" t="s">
        <v>8159</v>
      </c>
      <c r="I8054" s="26" t="s">
        <v>951</v>
      </c>
      <c r="J8054" s="25" t="str">
        <f t="shared" si="100"/>
        <v>No</v>
      </c>
      <c r="K8054" s="25" t="str">
        <f t="shared" si="101"/>
        <v/>
      </c>
      <c r="L8054" s="25" t="str">
        <f t="shared" si="102"/>
        <v/>
      </c>
      <c r="M8054" s="25"/>
      <c r="O8054" s="25"/>
    </row>
    <row r="8055" ht="15.75" customHeight="1">
      <c r="A8055" s="25" t="str">
        <f>IFERROR(__xludf.DUMMYFUNCTION("IF(B8055="""","""",RIGHT(REGEXREPLACE(B8055&amp;"""",""[^0-9]"",""""),9))"),"702161986")</f>
        <v>702161986</v>
      </c>
      <c r="B8055" s="52">
        <v>7.02161986E8</v>
      </c>
      <c r="C8055" s="28" t="s">
        <v>7645</v>
      </c>
      <c r="D8055" s="26" t="s">
        <v>56</v>
      </c>
      <c r="E8055" s="31">
        <v>46245.0</v>
      </c>
      <c r="F8055" s="26" t="s">
        <v>164</v>
      </c>
      <c r="I8055" s="26" t="s">
        <v>951</v>
      </c>
      <c r="J8055" s="25" t="str">
        <f t="shared" si="100"/>
        <v>Yes - see Previous F-Code</v>
      </c>
      <c r="K8055" s="25" t="str">
        <f t="shared" si="101"/>
        <v>DUPLICATE - CHECK</v>
      </c>
      <c r="L8055" s="25" t="str">
        <f t="shared" si="102"/>
        <v>F76535</v>
      </c>
      <c r="M8055" s="25"/>
      <c r="O8055" s="25"/>
    </row>
    <row r="8056" ht="15.75" customHeight="1">
      <c r="A8056" s="25" t="str">
        <f>IFERROR(__xludf.DUMMYFUNCTION("IF(B8056="""","""",RIGHT(REGEXREPLACE(B8056&amp;"""",""[^0-9]"",""""),9))"),"712320780")</f>
        <v>712320780</v>
      </c>
      <c r="B8056" s="52">
        <v>7.1232078E8</v>
      </c>
      <c r="C8056" s="28" t="s">
        <v>8279</v>
      </c>
      <c r="D8056" s="26" t="s">
        <v>49</v>
      </c>
      <c r="E8056" s="31">
        <v>46245.0</v>
      </c>
      <c r="F8056" s="26" t="s">
        <v>46</v>
      </c>
      <c r="G8056" s="26">
        <v>9.0</v>
      </c>
      <c r="H8056" s="118" t="s">
        <v>4799</v>
      </c>
      <c r="I8056" s="26" t="s">
        <v>951</v>
      </c>
      <c r="J8056" s="25" t="str">
        <f t="shared" si="100"/>
        <v>No</v>
      </c>
      <c r="K8056" s="25" t="str">
        <f t="shared" si="101"/>
        <v/>
      </c>
      <c r="L8056" s="25" t="str">
        <f t="shared" si="102"/>
        <v/>
      </c>
      <c r="M8056" s="25"/>
      <c r="O8056" s="25"/>
    </row>
    <row r="8057" ht="15.75" customHeight="1">
      <c r="A8057" s="25" t="str">
        <f>IFERROR(__xludf.DUMMYFUNCTION("IF(B8057="""","""",RIGHT(REGEXREPLACE(B8057&amp;"""",""[^0-9]"",""""),9))"),"702727936")</f>
        <v>702727936</v>
      </c>
      <c r="B8057" s="52">
        <v>7.02727936E8</v>
      </c>
      <c r="C8057" s="28" t="s">
        <v>4118</v>
      </c>
      <c r="D8057" s="26" t="s">
        <v>56</v>
      </c>
      <c r="E8057" s="31">
        <v>46245.0</v>
      </c>
      <c r="F8057" s="26" t="s">
        <v>205</v>
      </c>
      <c r="I8057" s="26" t="s">
        <v>951</v>
      </c>
      <c r="J8057" s="25" t="str">
        <f t="shared" si="100"/>
        <v>Yes - see Previous F-Code</v>
      </c>
      <c r="K8057" s="25" t="str">
        <f t="shared" si="101"/>
        <v/>
      </c>
      <c r="L8057" s="25" t="str">
        <f t="shared" si="102"/>
        <v>F73760</v>
      </c>
      <c r="M8057" s="25"/>
      <c r="O8057" s="25"/>
    </row>
    <row r="8058" ht="15.75" customHeight="1">
      <c r="A8058" s="25" t="str">
        <f>IFERROR(__xludf.DUMMYFUNCTION("IF(B8058="""","""",RIGHT(REGEXREPLACE(B8058&amp;"""",""[^0-9]"",""""),9))"),"719700679")</f>
        <v>719700679</v>
      </c>
      <c r="B8058" s="52">
        <v>7.19700679E8</v>
      </c>
      <c r="C8058" s="28" t="s">
        <v>5875</v>
      </c>
      <c r="D8058" s="26" t="s">
        <v>49</v>
      </c>
      <c r="E8058" s="31">
        <v>46245.0</v>
      </c>
      <c r="F8058" s="26" t="s">
        <v>46</v>
      </c>
      <c r="H8058" s="117" t="s">
        <v>8280</v>
      </c>
      <c r="I8058" s="26" t="s">
        <v>951</v>
      </c>
      <c r="J8058" s="25" t="str">
        <f t="shared" si="100"/>
        <v>Yes - see Previous F-Code</v>
      </c>
      <c r="K8058" s="25" t="str">
        <f t="shared" si="101"/>
        <v/>
      </c>
      <c r="L8058" s="25" t="str">
        <f t="shared" si="102"/>
        <v>F75304</v>
      </c>
      <c r="M8058" s="25"/>
      <c r="O8058" s="25"/>
    </row>
    <row r="8059" ht="15.75" customHeight="1">
      <c r="A8059" s="25" t="str">
        <f>IFERROR(__xludf.DUMMYFUNCTION("IF(B8059="""","""",RIGHT(REGEXREPLACE(B8059&amp;"""",""[^0-9]"",""""),9))"),"767376227")</f>
        <v>767376227</v>
      </c>
      <c r="B8059" s="52">
        <v>7.67376227E8</v>
      </c>
      <c r="C8059" s="28" t="s">
        <v>8281</v>
      </c>
      <c r="D8059" s="26" t="s">
        <v>56</v>
      </c>
      <c r="E8059" s="31">
        <v>46245.0</v>
      </c>
      <c r="F8059" s="26" t="s">
        <v>46</v>
      </c>
      <c r="G8059" s="26">
        <v>8.0</v>
      </c>
      <c r="I8059" s="26" t="s">
        <v>951</v>
      </c>
      <c r="J8059" s="25" t="str">
        <f t="shared" si="100"/>
        <v>No</v>
      </c>
      <c r="K8059" s="25" t="str">
        <f t="shared" si="101"/>
        <v/>
      </c>
      <c r="L8059" s="25" t="str">
        <f t="shared" si="102"/>
        <v/>
      </c>
      <c r="M8059" s="25"/>
      <c r="O8059" s="25"/>
    </row>
    <row r="8060" ht="15.75" customHeight="1">
      <c r="A8060" s="25" t="str">
        <f>IFERROR(__xludf.DUMMYFUNCTION("IF(B8060="""","""",RIGHT(REGEXREPLACE(B8060&amp;"""",""[^0-9]"",""""),9))"),"772383379")</f>
        <v>772383379</v>
      </c>
      <c r="B8060" s="52">
        <v>7.72383379E8</v>
      </c>
      <c r="C8060" s="28" t="s">
        <v>8282</v>
      </c>
      <c r="D8060" s="26" t="s">
        <v>45</v>
      </c>
      <c r="E8060" s="31">
        <v>46245.0</v>
      </c>
      <c r="F8060" s="26" t="s">
        <v>41</v>
      </c>
      <c r="I8060" s="26" t="s">
        <v>970</v>
      </c>
      <c r="J8060" s="25" t="str">
        <f t="shared" si="100"/>
        <v>No</v>
      </c>
      <c r="K8060" s="25" t="str">
        <f t="shared" si="101"/>
        <v/>
      </c>
      <c r="L8060" s="25" t="str">
        <f t="shared" si="102"/>
        <v/>
      </c>
      <c r="M8060" s="25"/>
      <c r="O8060" s="25"/>
    </row>
    <row r="8061" ht="15.75" customHeight="1">
      <c r="A8061" s="25" t="str">
        <f>IFERROR(__xludf.DUMMYFUNCTION("IF(B8061="""","""",RIGHT(REGEXREPLACE(B8061&amp;"""",""[^0-9]"",""""),9))"),"753808119")</f>
        <v>753808119</v>
      </c>
      <c r="B8061" s="52">
        <v>7.53808119E8</v>
      </c>
      <c r="C8061" s="28" t="s">
        <v>8283</v>
      </c>
      <c r="D8061" s="26" t="s">
        <v>45</v>
      </c>
      <c r="E8061" s="31">
        <v>46245.0</v>
      </c>
      <c r="F8061" s="26" t="s">
        <v>41</v>
      </c>
      <c r="I8061" s="26" t="s">
        <v>970</v>
      </c>
      <c r="J8061" s="25" t="str">
        <f t="shared" si="100"/>
        <v>No</v>
      </c>
      <c r="K8061" s="25" t="str">
        <f t="shared" si="101"/>
        <v/>
      </c>
      <c r="L8061" s="25" t="str">
        <f t="shared" si="102"/>
        <v/>
      </c>
      <c r="M8061" s="25"/>
      <c r="O8061" s="25"/>
    </row>
    <row r="8062" ht="15.75" customHeight="1">
      <c r="A8062" s="25" t="str">
        <f>IFERROR(__xludf.DUMMYFUNCTION("IF(B8062="""","""",RIGHT(REGEXREPLACE(B8062&amp;"""",""[^0-9]"",""""),9))"),"766555252")</f>
        <v>766555252</v>
      </c>
      <c r="B8062" s="52">
        <v>7.66555252E8</v>
      </c>
      <c r="C8062" s="28" t="s">
        <v>8284</v>
      </c>
      <c r="D8062" s="26" t="s">
        <v>45</v>
      </c>
      <c r="E8062" s="31">
        <v>46245.0</v>
      </c>
      <c r="F8062" s="26" t="s">
        <v>46</v>
      </c>
      <c r="G8062" s="26">
        <v>8.0</v>
      </c>
      <c r="I8062" s="26" t="s">
        <v>970</v>
      </c>
      <c r="J8062" s="25" t="str">
        <f t="shared" si="100"/>
        <v>No</v>
      </c>
      <c r="K8062" s="25" t="str">
        <f t="shared" si="101"/>
        <v/>
      </c>
      <c r="L8062" s="25" t="str">
        <f t="shared" si="102"/>
        <v/>
      </c>
      <c r="M8062" s="25"/>
      <c r="O8062" s="25"/>
    </row>
    <row r="8063" ht="15.75" customHeight="1">
      <c r="A8063" s="25" t="str">
        <f>IFERROR(__xludf.DUMMYFUNCTION("IF(B8063="""","""",RIGHT(REGEXREPLACE(B8063&amp;"""",""[^0-9]"",""""),9))"),"775803664")</f>
        <v>775803664</v>
      </c>
      <c r="B8063" s="52">
        <v>7.75803664E8</v>
      </c>
      <c r="C8063" s="28" t="s">
        <v>2737</v>
      </c>
      <c r="D8063" s="26" t="s">
        <v>45</v>
      </c>
      <c r="E8063" s="31">
        <v>46245.0</v>
      </c>
      <c r="F8063" s="26" t="s">
        <v>46</v>
      </c>
      <c r="G8063" s="26">
        <v>10.0</v>
      </c>
      <c r="I8063" s="26" t="s">
        <v>970</v>
      </c>
      <c r="J8063" s="25" t="str">
        <f t="shared" si="100"/>
        <v>Yes - see Previous F-Code</v>
      </c>
      <c r="K8063" s="25" t="str">
        <f t="shared" si="101"/>
        <v/>
      </c>
      <c r="L8063" s="25" t="str">
        <f t="shared" si="102"/>
        <v>F72423</v>
      </c>
      <c r="M8063" s="25"/>
      <c r="O8063" s="25"/>
    </row>
    <row r="8064" ht="15.75" customHeight="1">
      <c r="A8064" s="25" t="str">
        <f>IFERROR(__xludf.DUMMYFUNCTION("IF(B8064="""","""",RIGHT(REGEXREPLACE(B8064&amp;"""",""[^0-9]"",""""),9))"),"773580914")</f>
        <v>773580914</v>
      </c>
      <c r="B8064" s="52">
        <v>7.73580914E8</v>
      </c>
      <c r="C8064" s="28" t="s">
        <v>1032</v>
      </c>
      <c r="D8064" s="26" t="s">
        <v>45</v>
      </c>
      <c r="E8064" s="31">
        <v>46245.0</v>
      </c>
      <c r="F8064" s="26" t="s">
        <v>46</v>
      </c>
      <c r="G8064" s="26">
        <v>10.0</v>
      </c>
      <c r="I8064" s="26" t="s">
        <v>970</v>
      </c>
      <c r="J8064" s="25" t="str">
        <f t="shared" si="100"/>
        <v>Yes - see Previous F-Code</v>
      </c>
      <c r="K8064" s="25" t="str">
        <f t="shared" si="101"/>
        <v/>
      </c>
      <c r="L8064" s="25" t="str">
        <f t="shared" si="102"/>
        <v>F70779</v>
      </c>
      <c r="M8064" s="25"/>
      <c r="O8064" s="25"/>
    </row>
    <row r="8065" ht="15.75" customHeight="1">
      <c r="A8065" s="25" t="str">
        <f>IFERROR(__xludf.DUMMYFUNCTION("IF(B8065="""","""",RIGHT(REGEXREPLACE(B8065&amp;"""",""[^0-9]"",""""),9))"),"771405397")</f>
        <v>771405397</v>
      </c>
      <c r="B8065" s="52">
        <v>7.71405397E8</v>
      </c>
      <c r="C8065" s="28" t="s">
        <v>4590</v>
      </c>
      <c r="D8065" s="26" t="s">
        <v>45</v>
      </c>
      <c r="E8065" s="31">
        <v>46245.0</v>
      </c>
      <c r="F8065" s="26" t="s">
        <v>41</v>
      </c>
      <c r="I8065" s="26" t="s">
        <v>970</v>
      </c>
      <c r="J8065" s="25" t="str">
        <f t="shared" si="100"/>
        <v>Yes - see Previous F-Code</v>
      </c>
      <c r="K8065" s="25" t="str">
        <f t="shared" si="101"/>
        <v/>
      </c>
      <c r="L8065" s="25" t="str">
        <f t="shared" si="102"/>
        <v>F74185</v>
      </c>
      <c r="M8065" s="25"/>
      <c r="O8065" s="25"/>
    </row>
    <row r="8066" ht="15.75" customHeight="1">
      <c r="A8066" s="25" t="str">
        <f>IFERROR(__xludf.DUMMYFUNCTION("IF(B8066="""","""",RIGHT(REGEXREPLACE(B8066&amp;"""",""[^0-9]"",""""),9))"),"716197932")</f>
        <v>716197932</v>
      </c>
      <c r="B8066" s="52">
        <v>7.16197932E8</v>
      </c>
      <c r="C8066" s="28" t="s">
        <v>8285</v>
      </c>
      <c r="D8066" s="26" t="s">
        <v>45</v>
      </c>
      <c r="E8066" s="31">
        <v>46245.0</v>
      </c>
      <c r="F8066" s="26" t="s">
        <v>41</v>
      </c>
      <c r="I8066" s="26" t="s">
        <v>970</v>
      </c>
      <c r="J8066" s="25" t="str">
        <f t="shared" si="100"/>
        <v>No</v>
      </c>
      <c r="K8066" s="25" t="str">
        <f t="shared" si="101"/>
        <v/>
      </c>
      <c r="L8066" s="25" t="str">
        <f t="shared" si="102"/>
        <v/>
      </c>
      <c r="M8066" s="25"/>
      <c r="O8066" s="25"/>
    </row>
    <row r="8067" ht="15.75" customHeight="1">
      <c r="A8067" s="25" t="str">
        <f>IFERROR(__xludf.DUMMYFUNCTION("IF(B8067="""","""",RIGHT(REGEXREPLACE(B8067&amp;"""",""[^0-9]"",""""),9))"),"767470485")</f>
        <v>767470485</v>
      </c>
      <c r="B8067" s="52">
        <v>7.67470485E8</v>
      </c>
      <c r="C8067" s="28" t="s">
        <v>8286</v>
      </c>
      <c r="D8067" s="26" t="s">
        <v>45</v>
      </c>
      <c r="E8067" s="31">
        <v>46245.0</v>
      </c>
      <c r="F8067" s="26" t="s">
        <v>46</v>
      </c>
      <c r="G8067" s="26">
        <v>11.0</v>
      </c>
      <c r="I8067" s="26" t="s">
        <v>970</v>
      </c>
      <c r="J8067" s="25" t="str">
        <f t="shared" si="100"/>
        <v>No</v>
      </c>
      <c r="K8067" s="25" t="str">
        <f t="shared" si="101"/>
        <v/>
      </c>
      <c r="L8067" s="25" t="str">
        <f t="shared" si="102"/>
        <v/>
      </c>
      <c r="M8067" s="25"/>
      <c r="O8067" s="25"/>
    </row>
    <row r="8068" ht="15.75" customHeight="1">
      <c r="A8068" s="25" t="str">
        <f>IFERROR(__xludf.DUMMYFUNCTION("IF(B8068="""","""",RIGHT(REGEXREPLACE(B8068&amp;"""",""[^0-9]"",""""),9))"),"772518785")</f>
        <v>772518785</v>
      </c>
      <c r="B8068" s="52">
        <v>7.72518785E8</v>
      </c>
      <c r="C8068" s="28" t="s">
        <v>8287</v>
      </c>
      <c r="D8068" s="26" t="s">
        <v>45</v>
      </c>
      <c r="E8068" s="31">
        <v>46245.0</v>
      </c>
      <c r="F8068" s="26" t="s">
        <v>46</v>
      </c>
      <c r="G8068" s="26">
        <v>10.0</v>
      </c>
      <c r="I8068" s="26" t="s">
        <v>970</v>
      </c>
      <c r="J8068" s="25" t="str">
        <f t="shared" si="100"/>
        <v>No</v>
      </c>
      <c r="K8068" s="25" t="str">
        <f t="shared" si="101"/>
        <v/>
      </c>
      <c r="L8068" s="25" t="str">
        <f t="shared" si="102"/>
        <v/>
      </c>
      <c r="M8068" s="25"/>
      <c r="O8068" s="25"/>
    </row>
    <row r="8069" ht="15.75" customHeight="1">
      <c r="A8069" s="25" t="str">
        <f>IFERROR(__xludf.DUMMYFUNCTION("IF(B8069="""","""",RIGHT(REGEXREPLACE(B8069&amp;"""",""[^0-9]"",""""),9))"),"767033760")</f>
        <v>767033760</v>
      </c>
      <c r="B8069" s="52">
        <v>7.6703376E8</v>
      </c>
      <c r="C8069" s="28" t="s">
        <v>8287</v>
      </c>
      <c r="D8069" s="26" t="s">
        <v>45</v>
      </c>
      <c r="E8069" s="31">
        <v>46245.0</v>
      </c>
      <c r="F8069" s="26" t="s">
        <v>46</v>
      </c>
      <c r="G8069" s="26">
        <v>11.0</v>
      </c>
      <c r="I8069" s="26" t="s">
        <v>970</v>
      </c>
      <c r="J8069" s="25" t="str">
        <f t="shared" si="100"/>
        <v>Yes - see Previous F-Code</v>
      </c>
      <c r="K8069" s="25" t="str">
        <f t="shared" si="101"/>
        <v/>
      </c>
      <c r="L8069" s="25" t="str">
        <f t="shared" si="102"/>
        <v>F70461</v>
      </c>
      <c r="M8069" s="25"/>
      <c r="O8069" s="25"/>
    </row>
    <row r="8070" ht="15.75" customHeight="1">
      <c r="A8070" s="25" t="str">
        <f>IFERROR(__xludf.DUMMYFUNCTION("IF(B8070="""","""",RIGHT(REGEXREPLACE(B8070&amp;"""",""[^0-9]"",""""),9))"),"710381332")</f>
        <v>710381332</v>
      </c>
      <c r="B8070" s="52">
        <v>7.10381332E8</v>
      </c>
      <c r="C8070" s="28" t="s">
        <v>8288</v>
      </c>
      <c r="D8070" s="26" t="s">
        <v>45</v>
      </c>
      <c r="E8070" s="31">
        <v>46245.0</v>
      </c>
      <c r="F8070" s="26" t="s">
        <v>41</v>
      </c>
      <c r="I8070" s="26" t="s">
        <v>970</v>
      </c>
      <c r="J8070" s="25" t="str">
        <f t="shared" si="100"/>
        <v>No</v>
      </c>
      <c r="K8070" s="25" t="str">
        <f t="shared" si="101"/>
        <v/>
      </c>
      <c r="L8070" s="25" t="str">
        <f t="shared" si="102"/>
        <v/>
      </c>
      <c r="M8070" s="25"/>
      <c r="O8070" s="25"/>
    </row>
    <row r="8071" ht="15.75" customHeight="1">
      <c r="A8071" s="25" t="str">
        <f>IFERROR(__xludf.DUMMYFUNCTION("IF(B8071="""","""",RIGHT(REGEXREPLACE(B8071&amp;"""",""[^0-9]"",""""),9))"),"764667672")</f>
        <v>764667672</v>
      </c>
      <c r="B8071" s="52">
        <v>7.64667672E8</v>
      </c>
      <c r="C8071" s="28" t="s">
        <v>8289</v>
      </c>
      <c r="D8071" s="26" t="s">
        <v>45</v>
      </c>
      <c r="E8071" s="31">
        <v>46245.0</v>
      </c>
      <c r="F8071" s="26" t="s">
        <v>164</v>
      </c>
      <c r="I8071" s="26" t="s">
        <v>970</v>
      </c>
      <c r="J8071" s="25" t="str">
        <f t="shared" si="100"/>
        <v>No</v>
      </c>
      <c r="K8071" s="25" t="str">
        <f t="shared" si="101"/>
        <v/>
      </c>
      <c r="L8071" s="25" t="str">
        <f t="shared" si="102"/>
        <v/>
      </c>
      <c r="M8071" s="25"/>
      <c r="O8071" s="25"/>
    </row>
    <row r="8072" ht="15.75" customHeight="1">
      <c r="A8072" s="25" t="str">
        <f>IFERROR(__xludf.DUMMYFUNCTION("IF(B8072="""","""",RIGHT(REGEXREPLACE(B8072&amp;"""",""[^0-9]"",""""),9))"),"772757255")</f>
        <v>772757255</v>
      </c>
      <c r="B8072" s="52">
        <v>7.72757255E8</v>
      </c>
      <c r="C8072" s="28" t="s">
        <v>1049</v>
      </c>
      <c r="D8072" s="26" t="s">
        <v>45</v>
      </c>
      <c r="E8072" s="31">
        <v>46245.0</v>
      </c>
      <c r="F8072" s="26" t="s">
        <v>167</v>
      </c>
      <c r="G8072" s="26">
        <v>11.0</v>
      </c>
      <c r="I8072" s="26" t="s">
        <v>970</v>
      </c>
      <c r="J8072" s="25" t="str">
        <f t="shared" si="100"/>
        <v>Yes - see Previous F-Code</v>
      </c>
      <c r="K8072" s="25" t="str">
        <f t="shared" si="101"/>
        <v/>
      </c>
      <c r="L8072" s="25" t="str">
        <f t="shared" si="102"/>
        <v>F70794</v>
      </c>
      <c r="M8072" s="25"/>
      <c r="O8072" s="25"/>
    </row>
    <row r="8073" ht="15.75" customHeight="1">
      <c r="A8073" s="25" t="str">
        <f>IFERROR(__xludf.DUMMYFUNCTION("IF(B8073="""","""",RIGHT(REGEXREPLACE(B8073&amp;"""",""[^0-9]"",""""),9))"),"775325017")</f>
        <v>775325017</v>
      </c>
      <c r="B8073" s="52">
        <v>7.75325017E8</v>
      </c>
      <c r="C8073" s="28" t="s">
        <v>8290</v>
      </c>
      <c r="D8073" s="26" t="s">
        <v>45</v>
      </c>
      <c r="E8073" s="31">
        <v>46245.0</v>
      </c>
      <c r="F8073" s="26" t="s">
        <v>41</v>
      </c>
      <c r="I8073" s="26" t="s">
        <v>970</v>
      </c>
      <c r="J8073" s="25" t="str">
        <f t="shared" si="100"/>
        <v>No</v>
      </c>
      <c r="K8073" s="25" t="str">
        <f t="shared" si="101"/>
        <v/>
      </c>
      <c r="L8073" s="25" t="str">
        <f t="shared" si="102"/>
        <v/>
      </c>
      <c r="M8073" s="25"/>
      <c r="O8073" s="25"/>
    </row>
    <row r="8074" ht="15.75" customHeight="1">
      <c r="A8074" s="25" t="str">
        <f>IFERROR(__xludf.DUMMYFUNCTION("IF(B8074="""","""",RIGHT(REGEXREPLACE(B8074&amp;"""",""[^0-9]"",""""),9))"),"789327395")</f>
        <v>789327395</v>
      </c>
      <c r="B8074" s="52">
        <v>7.89327395E8</v>
      </c>
      <c r="C8074" s="28" t="s">
        <v>8291</v>
      </c>
      <c r="D8074" s="26" t="s">
        <v>45</v>
      </c>
      <c r="E8074" s="31">
        <v>46245.0</v>
      </c>
      <c r="F8074" s="26" t="s">
        <v>46</v>
      </c>
      <c r="I8074" s="26" t="s">
        <v>970</v>
      </c>
      <c r="J8074" s="25" t="str">
        <f t="shared" si="100"/>
        <v>No</v>
      </c>
      <c r="K8074" s="25" t="str">
        <f t="shared" si="101"/>
        <v/>
      </c>
      <c r="L8074" s="25" t="str">
        <f t="shared" si="102"/>
        <v/>
      </c>
      <c r="M8074" s="25"/>
      <c r="O8074" s="25"/>
    </row>
    <row r="8075" ht="15.75" customHeight="1">
      <c r="A8075" s="25" t="str">
        <f>IFERROR(__xludf.DUMMYFUNCTION("IF(B8075="""","""",RIGHT(REGEXREPLACE(B8075&amp;"""",""[^0-9]"",""""),9))"),"775906629")</f>
        <v>775906629</v>
      </c>
      <c r="B8075" s="52">
        <v>7.75906629E8</v>
      </c>
      <c r="C8075" s="28" t="s">
        <v>8292</v>
      </c>
      <c r="D8075" s="26" t="s">
        <v>45</v>
      </c>
      <c r="E8075" s="31">
        <v>46246.0</v>
      </c>
      <c r="F8075" s="26" t="s">
        <v>41</v>
      </c>
      <c r="I8075" s="26" t="s">
        <v>970</v>
      </c>
      <c r="J8075" s="25" t="str">
        <f t="shared" si="100"/>
        <v>Yes - see Previous F-Code</v>
      </c>
      <c r="K8075" s="25" t="str">
        <f t="shared" si="101"/>
        <v/>
      </c>
      <c r="L8075" s="25" t="str">
        <f t="shared" si="102"/>
        <v>F71628</v>
      </c>
      <c r="M8075" s="25"/>
      <c r="O8075" s="25"/>
    </row>
    <row r="8076" ht="15.75" customHeight="1">
      <c r="A8076" s="25" t="str">
        <f>IFERROR(__xludf.DUMMYFUNCTION("IF(B8076="""","""",RIGHT(REGEXREPLACE(B8076&amp;"""",""[^0-9]"",""""),9))"),"779924543")</f>
        <v>779924543</v>
      </c>
      <c r="B8076" s="52">
        <v>7.79924543E8</v>
      </c>
      <c r="C8076" s="28" t="s">
        <v>8293</v>
      </c>
      <c r="D8076" s="26" t="s">
        <v>45</v>
      </c>
      <c r="E8076" s="31">
        <v>46245.0</v>
      </c>
      <c r="F8076" s="26" t="s">
        <v>41</v>
      </c>
      <c r="I8076" s="26" t="s">
        <v>970</v>
      </c>
      <c r="J8076" s="25" t="str">
        <f t="shared" si="100"/>
        <v>No</v>
      </c>
      <c r="K8076" s="25" t="str">
        <f t="shared" si="101"/>
        <v/>
      </c>
      <c r="L8076" s="25" t="str">
        <f t="shared" si="102"/>
        <v/>
      </c>
      <c r="M8076" s="25"/>
      <c r="O8076" s="25"/>
    </row>
    <row r="8077" ht="15.75" customHeight="1">
      <c r="A8077" s="25" t="str">
        <f>IFERROR(__xludf.DUMMYFUNCTION("IF(B8077="""","""",RIGHT(REGEXREPLACE(B8077&amp;"""",""[^0-9]"",""""),9))"),"705071460")</f>
        <v>705071460</v>
      </c>
      <c r="B8077" s="52">
        <v>7.0507146E8</v>
      </c>
      <c r="C8077" s="28" t="s">
        <v>8294</v>
      </c>
      <c r="D8077" s="26" t="s">
        <v>56</v>
      </c>
      <c r="E8077" s="31">
        <v>46246.0</v>
      </c>
      <c r="F8077" s="26" t="s">
        <v>46</v>
      </c>
      <c r="G8077" s="26">
        <v>9.0</v>
      </c>
      <c r="I8077" s="26" t="s">
        <v>970</v>
      </c>
      <c r="J8077" s="25" t="str">
        <f t="shared" si="100"/>
        <v>No</v>
      </c>
      <c r="K8077" s="25" t="str">
        <f t="shared" si="101"/>
        <v/>
      </c>
      <c r="L8077" s="25" t="str">
        <f t="shared" si="102"/>
        <v/>
      </c>
      <c r="M8077" s="25"/>
      <c r="O8077" s="25"/>
    </row>
    <row r="8078" ht="15.75" customHeight="1">
      <c r="A8078" s="25" t="str">
        <f>IFERROR(__xludf.DUMMYFUNCTION("IF(B8078="""","""",RIGHT(REGEXREPLACE(B8078&amp;"""",""[^0-9]"",""""),9))"),"766827261")</f>
        <v>766827261</v>
      </c>
      <c r="B8078" s="52">
        <v>7.66827261E8</v>
      </c>
      <c r="C8078" s="28" t="s">
        <v>4135</v>
      </c>
      <c r="D8078" s="26" t="s">
        <v>64</v>
      </c>
      <c r="E8078" s="31">
        <v>46246.0</v>
      </c>
      <c r="F8078" s="26" t="s">
        <v>46</v>
      </c>
      <c r="G8078" s="26">
        <v>10.0</v>
      </c>
      <c r="H8078" s="26" t="s">
        <v>8295</v>
      </c>
      <c r="I8078" s="26" t="s">
        <v>970</v>
      </c>
      <c r="J8078" s="25" t="str">
        <f t="shared" si="100"/>
        <v>Yes - see Previous F-Code</v>
      </c>
      <c r="K8078" s="25" t="str">
        <f t="shared" si="101"/>
        <v/>
      </c>
      <c r="L8078" s="25" t="str">
        <f t="shared" si="102"/>
        <v>F73773</v>
      </c>
      <c r="M8078" s="25"/>
      <c r="O8078" s="25"/>
    </row>
    <row r="8079" ht="15.75" customHeight="1">
      <c r="A8079" s="25" t="str">
        <f>IFERROR(__xludf.DUMMYFUNCTION("IF(B8079="""","""",RIGHT(REGEXREPLACE(B8079&amp;"""",""[^0-9]"",""""),9))"),"751615758")</f>
        <v>751615758</v>
      </c>
      <c r="B8079" s="52">
        <v>7.51615758E8</v>
      </c>
      <c r="C8079" s="28" t="s">
        <v>4135</v>
      </c>
      <c r="D8079" s="26" t="s">
        <v>64</v>
      </c>
      <c r="E8079" s="31">
        <v>46246.0</v>
      </c>
      <c r="F8079" s="26" t="s">
        <v>205</v>
      </c>
      <c r="H8079" s="26" t="s">
        <v>8296</v>
      </c>
      <c r="I8079" s="26" t="s">
        <v>970</v>
      </c>
      <c r="J8079" s="25" t="str">
        <f t="shared" si="100"/>
        <v>No</v>
      </c>
      <c r="K8079" s="25" t="str">
        <f t="shared" si="101"/>
        <v/>
      </c>
      <c r="L8079" s="25" t="str">
        <f t="shared" si="102"/>
        <v/>
      </c>
      <c r="M8079" s="25"/>
      <c r="O8079" s="25"/>
    </row>
    <row r="8080" ht="15.75" customHeight="1">
      <c r="A8080" s="25" t="str">
        <f>IFERROR(__xludf.DUMMYFUNCTION("IF(B8080="""","""",RIGHT(REGEXREPLACE(B8080&amp;"""",""[^0-9]"",""""),9))"),"715342246")</f>
        <v>715342246</v>
      </c>
      <c r="B8080" s="52">
        <v>7.15342246E8</v>
      </c>
      <c r="C8080" s="28" t="s">
        <v>8297</v>
      </c>
      <c r="D8080" s="26" t="s">
        <v>56</v>
      </c>
      <c r="E8080" s="31">
        <v>46246.0</v>
      </c>
      <c r="F8080" s="26" t="s">
        <v>41</v>
      </c>
      <c r="I8080" s="26" t="s">
        <v>970</v>
      </c>
      <c r="J8080" s="25" t="str">
        <f t="shared" si="100"/>
        <v>No</v>
      </c>
      <c r="K8080" s="25" t="str">
        <f t="shared" si="101"/>
        <v/>
      </c>
      <c r="L8080" s="25" t="str">
        <f t="shared" si="102"/>
        <v/>
      </c>
      <c r="M8080" s="25"/>
      <c r="O8080" s="25"/>
    </row>
    <row r="8081" ht="15.75" customHeight="1">
      <c r="A8081" s="25" t="str">
        <f>IFERROR(__xludf.DUMMYFUNCTION("IF(B8081="""","""",RIGHT(REGEXREPLACE(B8081&amp;"""",""[^0-9]"",""""),9))"),"772387001")</f>
        <v>772387001</v>
      </c>
      <c r="B8081" s="52">
        <v>7.72387001E8</v>
      </c>
      <c r="C8081" s="28" t="s">
        <v>8298</v>
      </c>
      <c r="D8081" s="26" t="s">
        <v>56</v>
      </c>
      <c r="E8081" s="31">
        <v>46246.0</v>
      </c>
      <c r="F8081" s="26" t="s">
        <v>46</v>
      </c>
      <c r="H8081" s="26" t="s">
        <v>8235</v>
      </c>
      <c r="I8081" s="26" t="s">
        <v>970</v>
      </c>
      <c r="J8081" s="25" t="str">
        <f t="shared" si="100"/>
        <v>No</v>
      </c>
      <c r="K8081" s="25" t="str">
        <f t="shared" si="101"/>
        <v/>
      </c>
      <c r="L8081" s="25" t="str">
        <f t="shared" si="102"/>
        <v/>
      </c>
      <c r="M8081" s="25"/>
      <c r="O8081" s="25"/>
    </row>
    <row r="8082" ht="15.75" customHeight="1">
      <c r="A8082" s="25" t="str">
        <f>IFERROR(__xludf.DUMMYFUNCTION("IF(B8082="""","""",RIGHT(REGEXREPLACE(B8082&amp;"""",""[^0-9]"",""""),9))"),"769001162")</f>
        <v>769001162</v>
      </c>
      <c r="B8082" s="52">
        <v>4.769001162E9</v>
      </c>
      <c r="C8082" s="28" t="s">
        <v>8299</v>
      </c>
      <c r="D8082" s="26" t="s">
        <v>64</v>
      </c>
      <c r="E8082" s="31">
        <v>46246.0</v>
      </c>
      <c r="F8082" s="26" t="s">
        <v>46</v>
      </c>
      <c r="H8082" s="26" t="s">
        <v>4607</v>
      </c>
      <c r="I8082" s="26" t="s">
        <v>970</v>
      </c>
      <c r="J8082" s="25" t="str">
        <f t="shared" si="100"/>
        <v>Yes - see Previous F-Code</v>
      </c>
      <c r="K8082" s="25" t="str">
        <f t="shared" si="101"/>
        <v/>
      </c>
      <c r="L8082" s="25" t="str">
        <f t="shared" si="102"/>
        <v>F74114</v>
      </c>
      <c r="M8082" s="25"/>
      <c r="O8082" s="25"/>
    </row>
    <row r="8083" ht="15.75" customHeight="1">
      <c r="A8083" s="25" t="str">
        <f>IFERROR(__xludf.DUMMYFUNCTION("IF(B8083="""","""",RIGHT(REGEXREPLACE(B8083&amp;"""",""[^0-9]"",""""),9))"),"718508525")</f>
        <v>718508525</v>
      </c>
      <c r="B8083" s="52">
        <v>7.18508525E8</v>
      </c>
      <c r="C8083" s="28" t="s">
        <v>8300</v>
      </c>
      <c r="D8083" s="26" t="s">
        <v>64</v>
      </c>
      <c r="E8083" s="31">
        <v>46246.0</v>
      </c>
      <c r="F8083" s="26" t="s">
        <v>46</v>
      </c>
      <c r="H8083" s="26" t="s">
        <v>78</v>
      </c>
      <c r="I8083" s="26" t="s">
        <v>970</v>
      </c>
      <c r="J8083" s="25" t="str">
        <f t="shared" si="100"/>
        <v>No</v>
      </c>
      <c r="K8083" s="25" t="str">
        <f t="shared" si="101"/>
        <v/>
      </c>
      <c r="L8083" s="25" t="str">
        <f t="shared" si="102"/>
        <v/>
      </c>
      <c r="M8083" s="25"/>
      <c r="O8083" s="25"/>
    </row>
    <row r="8084" ht="15.75" customHeight="1">
      <c r="A8084" s="25" t="str">
        <f>IFERROR(__xludf.DUMMYFUNCTION("IF(B8084="""","""",RIGHT(REGEXREPLACE(B8084&amp;"""",""[^0-9]"",""""),9))"),"777146095")</f>
        <v>777146095</v>
      </c>
      <c r="B8084" s="52">
        <v>7.77146095E8</v>
      </c>
      <c r="C8084" s="28" t="s">
        <v>8301</v>
      </c>
      <c r="D8084" s="26" t="s">
        <v>56</v>
      </c>
      <c r="E8084" s="31">
        <v>46246.0</v>
      </c>
      <c r="F8084" s="26" t="s">
        <v>46</v>
      </c>
      <c r="H8084" s="26" t="s">
        <v>8235</v>
      </c>
      <c r="I8084" s="26" t="s">
        <v>970</v>
      </c>
      <c r="J8084" s="25" t="str">
        <f t="shared" si="100"/>
        <v>No</v>
      </c>
      <c r="K8084" s="25" t="str">
        <f t="shared" si="101"/>
        <v/>
      </c>
      <c r="L8084" s="25" t="str">
        <f t="shared" si="102"/>
        <v/>
      </c>
      <c r="M8084" s="25"/>
      <c r="O8084" s="25"/>
    </row>
    <row r="8085" ht="15.75" customHeight="1">
      <c r="A8085" s="25" t="str">
        <f>IFERROR(__xludf.DUMMYFUNCTION("IF(B8085="""","""",RIGHT(REGEXREPLACE(B8085&amp;"""",""[^0-9]"",""""),9))"),"767672291")</f>
        <v>767672291</v>
      </c>
      <c r="B8085" s="52">
        <v>7.67672291E8</v>
      </c>
      <c r="C8085" s="28" t="s">
        <v>8302</v>
      </c>
      <c r="D8085" s="26" t="s">
        <v>64</v>
      </c>
      <c r="E8085" s="31">
        <v>46246.0</v>
      </c>
      <c r="F8085" s="26" t="s">
        <v>46</v>
      </c>
      <c r="H8085" s="26" t="s">
        <v>8235</v>
      </c>
      <c r="I8085" s="26" t="s">
        <v>970</v>
      </c>
      <c r="J8085" s="25" t="str">
        <f t="shared" si="100"/>
        <v>No</v>
      </c>
      <c r="K8085" s="25" t="str">
        <f t="shared" si="101"/>
        <v/>
      </c>
      <c r="L8085" s="25" t="str">
        <f t="shared" si="102"/>
        <v/>
      </c>
      <c r="M8085" s="25"/>
      <c r="O8085" s="25"/>
    </row>
    <row r="8086" ht="15.75" customHeight="1">
      <c r="A8086" s="25" t="str">
        <f>IFERROR(__xludf.DUMMYFUNCTION("IF(B8086="""","""",RIGHT(REGEXREPLACE(B8086&amp;"""",""[^0-9]"",""""),9))"),"715651572")</f>
        <v>715651572</v>
      </c>
      <c r="B8086" s="52">
        <v>7.15651572E8</v>
      </c>
      <c r="C8086" s="28" t="s">
        <v>1845</v>
      </c>
      <c r="D8086" s="26" t="s">
        <v>56</v>
      </c>
      <c r="E8086" s="31">
        <v>46246.0</v>
      </c>
      <c r="F8086" s="26" t="s">
        <v>46</v>
      </c>
      <c r="G8086" s="26">
        <v>10.0</v>
      </c>
      <c r="I8086" s="26" t="s">
        <v>970</v>
      </c>
      <c r="J8086" s="25" t="str">
        <f t="shared" si="100"/>
        <v>Yes - see Previous F-Code</v>
      </c>
      <c r="K8086" s="25" t="str">
        <f t="shared" si="101"/>
        <v/>
      </c>
      <c r="L8086" s="25" t="str">
        <f t="shared" si="102"/>
        <v>F71551</v>
      </c>
      <c r="M8086" s="25"/>
      <c r="O8086" s="25"/>
    </row>
    <row r="8087" ht="15.75" customHeight="1">
      <c r="A8087" s="25" t="str">
        <f>IFERROR(__xludf.DUMMYFUNCTION("IF(B8087="""","""",RIGHT(REGEXREPLACE(B8087&amp;"""",""[^0-9]"",""""),9))"),"775190606")</f>
        <v>775190606</v>
      </c>
      <c r="B8087" s="52">
        <v>7.75190606E8</v>
      </c>
      <c r="C8087" s="28" t="s">
        <v>8303</v>
      </c>
      <c r="D8087" s="26" t="s">
        <v>64</v>
      </c>
      <c r="E8087" s="31">
        <v>46246.0</v>
      </c>
      <c r="F8087" s="26" t="s">
        <v>46</v>
      </c>
      <c r="H8087" s="26" t="s">
        <v>8235</v>
      </c>
      <c r="I8087" s="26" t="s">
        <v>970</v>
      </c>
      <c r="J8087" s="25" t="str">
        <f t="shared" si="100"/>
        <v>No</v>
      </c>
      <c r="K8087" s="25" t="str">
        <f t="shared" si="101"/>
        <v/>
      </c>
      <c r="L8087" s="25" t="str">
        <f t="shared" si="102"/>
        <v/>
      </c>
      <c r="M8087" s="25"/>
      <c r="O8087" s="25"/>
    </row>
    <row r="8088" ht="15.75" customHeight="1">
      <c r="A8088" s="25" t="str">
        <f>IFERROR(__xludf.DUMMYFUNCTION("IF(B8088="""","""",RIGHT(REGEXREPLACE(B8088&amp;"""",""[^0-9]"",""""),9))"),"774508665")</f>
        <v>774508665</v>
      </c>
      <c r="B8088" s="26" t="s">
        <v>8304</v>
      </c>
      <c r="C8088" s="28" t="s">
        <v>8305</v>
      </c>
      <c r="D8088" s="26" t="s">
        <v>45</v>
      </c>
      <c r="E8088" s="31">
        <v>46246.0</v>
      </c>
      <c r="F8088" s="26" t="s">
        <v>46</v>
      </c>
      <c r="G8088" s="26" t="s">
        <v>2105</v>
      </c>
      <c r="I8088" s="26" t="s">
        <v>892</v>
      </c>
      <c r="J8088" s="25" t="str">
        <f t="shared" si="100"/>
        <v>No</v>
      </c>
      <c r="K8088" s="25" t="str">
        <f t="shared" si="101"/>
        <v/>
      </c>
      <c r="L8088" s="25" t="str">
        <f t="shared" si="102"/>
        <v/>
      </c>
      <c r="M8088" s="25"/>
      <c r="O8088" s="25"/>
    </row>
    <row r="8089" ht="15.75" customHeight="1">
      <c r="A8089" s="25" t="str">
        <f>IFERROR(__xludf.DUMMYFUNCTION("IF(B8089="""","""",RIGHT(REGEXREPLACE(B8089&amp;"""",""[^0-9]"",""""),9))"),"716681663")</f>
        <v>716681663</v>
      </c>
      <c r="B8089" s="52">
        <v>7.16681663E8</v>
      </c>
      <c r="C8089" s="28" t="s">
        <v>8306</v>
      </c>
      <c r="D8089" s="26" t="s">
        <v>64</v>
      </c>
      <c r="E8089" s="31">
        <v>46246.0</v>
      </c>
      <c r="F8089" s="26" t="s">
        <v>41</v>
      </c>
      <c r="I8089" s="26" t="s">
        <v>970</v>
      </c>
      <c r="J8089" s="25" t="str">
        <f t="shared" si="100"/>
        <v>No</v>
      </c>
      <c r="K8089" s="25" t="str">
        <f t="shared" si="101"/>
        <v/>
      </c>
      <c r="L8089" s="25" t="str">
        <f t="shared" si="102"/>
        <v/>
      </c>
      <c r="M8089" s="25"/>
      <c r="O8089" s="25"/>
    </row>
    <row r="8090" ht="15.75" customHeight="1">
      <c r="A8090" s="25" t="str">
        <f>IFERROR(__xludf.DUMMYFUNCTION("IF(B8090="""","""",RIGHT(REGEXREPLACE(B8090&amp;"""",""[^0-9]"",""""),9))"),"716025655")</f>
        <v>716025655</v>
      </c>
      <c r="B8090" s="52">
        <v>7.16025655E8</v>
      </c>
      <c r="C8090" s="28" t="s">
        <v>8307</v>
      </c>
      <c r="D8090" s="26" t="s">
        <v>56</v>
      </c>
      <c r="E8090" s="31">
        <v>46246.0</v>
      </c>
      <c r="F8090" s="26" t="s">
        <v>41</v>
      </c>
      <c r="I8090" s="26" t="s">
        <v>970</v>
      </c>
      <c r="J8090" s="25" t="str">
        <f t="shared" si="100"/>
        <v>No</v>
      </c>
      <c r="K8090" s="25" t="str">
        <f t="shared" si="101"/>
        <v/>
      </c>
      <c r="L8090" s="25" t="str">
        <f t="shared" si="102"/>
        <v/>
      </c>
      <c r="M8090" s="25"/>
      <c r="O8090" s="25"/>
    </row>
    <row r="8091" ht="15.75" customHeight="1">
      <c r="A8091" s="25" t="str">
        <f>IFERROR(__xludf.DUMMYFUNCTION("IF(B8091="""","""",RIGHT(REGEXREPLACE(B8091&amp;"""",""[^0-9]"",""""),9))"),"762982760")</f>
        <v>762982760</v>
      </c>
      <c r="B8091" s="52">
        <v>7.6298276E8</v>
      </c>
      <c r="C8091" s="28" t="s">
        <v>8308</v>
      </c>
      <c r="D8091" s="26" t="s">
        <v>56</v>
      </c>
      <c r="E8091" s="31">
        <v>46246.0</v>
      </c>
      <c r="F8091" s="26" t="s">
        <v>631</v>
      </c>
      <c r="G8091" s="26">
        <v>9.0</v>
      </c>
      <c r="I8091" s="26" t="s">
        <v>970</v>
      </c>
      <c r="J8091" s="25" t="str">
        <f t="shared" si="100"/>
        <v>No</v>
      </c>
      <c r="K8091" s="25" t="str">
        <f t="shared" si="101"/>
        <v/>
      </c>
      <c r="L8091" s="25" t="str">
        <f t="shared" si="102"/>
        <v/>
      </c>
      <c r="M8091" s="25"/>
      <c r="O8091" s="25"/>
    </row>
    <row r="8092" ht="15.75" customHeight="1">
      <c r="A8092" s="25" t="str">
        <f>IFERROR(__xludf.DUMMYFUNCTION("IF(B8092="""","""",RIGHT(REGEXREPLACE(B8092&amp;"""",""[^0-9]"",""""),9))"),"764593524")</f>
        <v>764593524</v>
      </c>
      <c r="B8092" s="52">
        <v>7.64593524E8</v>
      </c>
      <c r="C8092" s="28" t="s">
        <v>8309</v>
      </c>
      <c r="D8092" s="26" t="s">
        <v>64</v>
      </c>
      <c r="E8092" s="31">
        <v>46246.0</v>
      </c>
      <c r="F8092" s="26" t="s">
        <v>46</v>
      </c>
      <c r="G8092" s="26">
        <v>11.0</v>
      </c>
      <c r="I8092" s="26" t="s">
        <v>970</v>
      </c>
      <c r="J8092" s="25" t="str">
        <f t="shared" si="100"/>
        <v>No</v>
      </c>
      <c r="K8092" s="25" t="str">
        <f t="shared" si="101"/>
        <v/>
      </c>
      <c r="L8092" s="25" t="str">
        <f t="shared" si="102"/>
        <v/>
      </c>
      <c r="M8092" s="25"/>
      <c r="O8092" s="25"/>
    </row>
    <row r="8093" ht="15.75" customHeight="1">
      <c r="A8093" s="25" t="str">
        <f>IFERROR(__xludf.DUMMYFUNCTION("IF(B8093="""","""",RIGHT(REGEXREPLACE(B8093&amp;"""",""[^0-9]"",""""),9))"),"719059976")</f>
        <v>719059976</v>
      </c>
      <c r="B8093" s="52">
        <v>7.19059976E8</v>
      </c>
      <c r="C8093" s="28" t="s">
        <v>8310</v>
      </c>
      <c r="D8093" s="26" t="s">
        <v>82</v>
      </c>
      <c r="E8093" s="31">
        <v>46246.0</v>
      </c>
      <c r="F8093" s="25"/>
      <c r="G8093" s="25"/>
      <c r="H8093" s="25"/>
      <c r="I8093" s="26" t="s">
        <v>970</v>
      </c>
      <c r="J8093" s="25" t="str">
        <f t="shared" si="100"/>
        <v>No</v>
      </c>
      <c r="K8093" s="25" t="str">
        <f t="shared" si="101"/>
        <v/>
      </c>
      <c r="L8093" s="25" t="str">
        <f t="shared" si="102"/>
        <v/>
      </c>
      <c r="M8093" s="25"/>
      <c r="N8093" s="25"/>
      <c r="O8093" s="25"/>
      <c r="P8093" s="25"/>
    </row>
    <row r="8094" ht="15.75" customHeight="1">
      <c r="A8094" s="25" t="str">
        <f>IFERROR(__xludf.DUMMYFUNCTION("IF(B8094="""","""",RIGHT(REGEXREPLACE(B8094&amp;"""",""[^0-9]"",""""),9))"),"774475855")</f>
        <v>774475855</v>
      </c>
      <c r="B8094" s="52">
        <v>7.74475855E8</v>
      </c>
      <c r="C8094" s="28" t="s">
        <v>2904</v>
      </c>
      <c r="D8094" s="26" t="s">
        <v>64</v>
      </c>
      <c r="E8094" s="31">
        <v>46246.0</v>
      </c>
      <c r="F8094" s="26" t="s">
        <v>41</v>
      </c>
      <c r="H8094" s="26" t="s">
        <v>8235</v>
      </c>
      <c r="I8094" s="26" t="s">
        <v>970</v>
      </c>
      <c r="J8094" s="25" t="str">
        <f t="shared" si="100"/>
        <v>Yes - see Previous F-Code</v>
      </c>
      <c r="K8094" s="25" t="str">
        <f t="shared" si="101"/>
        <v/>
      </c>
      <c r="L8094" s="25" t="str">
        <f t="shared" si="102"/>
        <v>F72702</v>
      </c>
      <c r="M8094" s="25"/>
      <c r="O8094" s="25"/>
    </row>
    <row r="8095" ht="15.75" customHeight="1">
      <c r="A8095" s="25" t="str">
        <f>IFERROR(__xludf.DUMMYFUNCTION("IF(B8095="""","""",RIGHT(REGEXREPLACE(B8095&amp;"""",""[^0-9]"",""""),9))"),"768820128")</f>
        <v>768820128</v>
      </c>
      <c r="B8095" s="52">
        <v>7.68820128E8</v>
      </c>
      <c r="C8095" s="28" t="s">
        <v>8311</v>
      </c>
      <c r="D8095" s="26" t="s">
        <v>82</v>
      </c>
      <c r="E8095" s="31">
        <v>46246.0</v>
      </c>
      <c r="F8095" s="26" t="s">
        <v>659</v>
      </c>
      <c r="I8095" s="26" t="s">
        <v>970</v>
      </c>
      <c r="J8095" s="25" t="str">
        <f t="shared" si="100"/>
        <v>No</v>
      </c>
      <c r="K8095" s="25" t="str">
        <f t="shared" si="101"/>
        <v/>
      </c>
      <c r="L8095" s="25" t="str">
        <f t="shared" si="102"/>
        <v/>
      </c>
      <c r="M8095" s="25"/>
      <c r="O8095" s="25"/>
    </row>
    <row r="8096" ht="15.75" customHeight="1">
      <c r="A8096" s="25" t="str">
        <f>IFERROR(__xludf.DUMMYFUNCTION("IF(B8096="""","""",RIGHT(REGEXREPLACE(B8096&amp;"""",""[^0-9]"",""""),9))"),"773565150")</f>
        <v>773565150</v>
      </c>
      <c r="B8096" s="52">
        <v>7.7356515E8</v>
      </c>
      <c r="C8096" s="28" t="s">
        <v>2400</v>
      </c>
      <c r="D8096" s="26" t="s">
        <v>64</v>
      </c>
      <c r="E8096" s="31">
        <v>46246.0</v>
      </c>
      <c r="F8096" s="26" t="s">
        <v>659</v>
      </c>
      <c r="I8096" s="26" t="s">
        <v>970</v>
      </c>
      <c r="J8096" s="25" t="str">
        <f t="shared" si="100"/>
        <v>Yes - see Previous F-Code</v>
      </c>
      <c r="K8096" s="25" t="str">
        <f t="shared" si="101"/>
        <v/>
      </c>
      <c r="L8096" s="25" t="str">
        <f t="shared" si="102"/>
        <v>F72096</v>
      </c>
      <c r="M8096" s="25"/>
      <c r="O8096" s="25"/>
    </row>
    <row r="8097" ht="15.75" customHeight="1">
      <c r="A8097" s="25" t="str">
        <f>IFERROR(__xludf.DUMMYFUNCTION("IF(B8097="""","""",RIGHT(REGEXREPLACE(B8097&amp;"""",""[^0-9]"",""""),9))"),"775559715")</f>
        <v>775559715</v>
      </c>
      <c r="B8097" s="52">
        <v>7.75559715E8</v>
      </c>
      <c r="C8097" s="28" t="s">
        <v>8312</v>
      </c>
      <c r="D8097" s="26" t="s">
        <v>64</v>
      </c>
      <c r="E8097" s="31">
        <v>46246.0</v>
      </c>
      <c r="F8097" s="26" t="s">
        <v>46</v>
      </c>
      <c r="G8097" s="26">
        <v>9.0</v>
      </c>
      <c r="H8097" s="26" t="s">
        <v>2293</v>
      </c>
      <c r="I8097" s="26" t="s">
        <v>970</v>
      </c>
      <c r="J8097" s="25" t="str">
        <f t="shared" si="100"/>
        <v>No</v>
      </c>
      <c r="K8097" s="25" t="str">
        <f t="shared" si="101"/>
        <v/>
      </c>
      <c r="L8097" s="25" t="str">
        <f t="shared" si="102"/>
        <v/>
      </c>
      <c r="M8097" s="25"/>
      <c r="O8097" s="25"/>
    </row>
    <row r="8098" ht="15.75" customHeight="1">
      <c r="A8098" s="25" t="str">
        <f>IFERROR(__xludf.DUMMYFUNCTION("IF(B8098="""","""",RIGHT(REGEXREPLACE(B8098&amp;"""",""[^0-9]"",""""),9))"),"712905309")</f>
        <v>712905309</v>
      </c>
      <c r="B8098" s="52">
        <v>7.12905309E8</v>
      </c>
      <c r="C8098" s="28" t="s">
        <v>8313</v>
      </c>
      <c r="D8098" s="26" t="s">
        <v>82</v>
      </c>
      <c r="E8098" s="31">
        <v>46246.0</v>
      </c>
      <c r="F8098" s="26" t="s">
        <v>46</v>
      </c>
      <c r="I8098" s="26" t="s">
        <v>970</v>
      </c>
      <c r="J8098" s="25" t="str">
        <f t="shared" si="100"/>
        <v>No</v>
      </c>
      <c r="K8098" s="25" t="str">
        <f t="shared" si="101"/>
        <v/>
      </c>
      <c r="L8098" s="25" t="str">
        <f t="shared" si="102"/>
        <v/>
      </c>
      <c r="M8098" s="25"/>
      <c r="O8098" s="25"/>
    </row>
    <row r="8099" ht="15.75" customHeight="1">
      <c r="A8099" s="25" t="str">
        <f>IFERROR(__xludf.DUMMYFUNCTION("IF(B8099="""","""",RIGHT(REGEXREPLACE(B8099&amp;"""",""[^0-9]"",""""),9))"),"773307382")</f>
        <v>773307382</v>
      </c>
      <c r="B8099" s="52">
        <v>7.73307382E8</v>
      </c>
      <c r="C8099" s="28" t="s">
        <v>2492</v>
      </c>
      <c r="D8099" s="26" t="s">
        <v>64</v>
      </c>
      <c r="E8099" s="31">
        <v>46246.0</v>
      </c>
      <c r="F8099" s="26" t="s">
        <v>46</v>
      </c>
      <c r="H8099" s="26" t="s">
        <v>8235</v>
      </c>
      <c r="I8099" s="26" t="s">
        <v>970</v>
      </c>
      <c r="J8099" s="25" t="str">
        <f t="shared" si="100"/>
        <v>Yes - see Previous F-Code</v>
      </c>
      <c r="K8099" s="25" t="str">
        <f t="shared" si="101"/>
        <v/>
      </c>
      <c r="L8099" s="25" t="str">
        <f t="shared" si="102"/>
        <v>F72184</v>
      </c>
      <c r="M8099" s="25"/>
      <c r="O8099" s="25"/>
    </row>
    <row r="8100" ht="15.75" customHeight="1">
      <c r="A8100" s="25" t="str">
        <f>IFERROR(__xludf.DUMMYFUNCTION("IF(B8100="""","""",RIGHT(REGEXREPLACE(B8100&amp;"""",""[^0-9]"",""""),9))"),"758651545")</f>
        <v>758651545</v>
      </c>
      <c r="B8100" s="52">
        <v>7.58651545E8</v>
      </c>
      <c r="C8100" s="28" t="s">
        <v>3052</v>
      </c>
      <c r="D8100" s="26" t="s">
        <v>56</v>
      </c>
      <c r="E8100" s="31">
        <v>46246.0</v>
      </c>
      <c r="F8100" s="26" t="s">
        <v>167</v>
      </c>
      <c r="H8100" s="26" t="s">
        <v>8235</v>
      </c>
      <c r="I8100" s="26" t="s">
        <v>970</v>
      </c>
      <c r="J8100" s="25" t="str">
        <f t="shared" si="100"/>
        <v>Yes - see Previous F-Code</v>
      </c>
      <c r="K8100" s="25" t="str">
        <f t="shared" si="101"/>
        <v/>
      </c>
      <c r="L8100" s="25" t="str">
        <f t="shared" si="102"/>
        <v>F72673</v>
      </c>
      <c r="M8100" s="25"/>
      <c r="O8100" s="25"/>
    </row>
    <row r="8101" ht="15.75" customHeight="1">
      <c r="A8101" s="25" t="str">
        <f>IFERROR(__xludf.DUMMYFUNCTION("IF(B8101="""","""",RIGHT(REGEXREPLACE(B8101&amp;"""",""[^0-9]"",""""),9))"),"781124904")</f>
        <v>781124904</v>
      </c>
      <c r="B8101" s="52">
        <v>7.81124904E8</v>
      </c>
      <c r="C8101" s="28" t="s">
        <v>8314</v>
      </c>
      <c r="D8101" s="26" t="s">
        <v>82</v>
      </c>
      <c r="E8101" s="31">
        <v>46246.0</v>
      </c>
      <c r="F8101" s="26" t="s">
        <v>205</v>
      </c>
      <c r="I8101" s="26" t="s">
        <v>970</v>
      </c>
      <c r="J8101" s="25" t="str">
        <f t="shared" si="100"/>
        <v>No</v>
      </c>
      <c r="K8101" s="25" t="str">
        <f t="shared" si="101"/>
        <v/>
      </c>
      <c r="L8101" s="25" t="str">
        <f t="shared" si="102"/>
        <v/>
      </c>
      <c r="M8101" s="25"/>
      <c r="O8101" s="25"/>
    </row>
    <row r="8102" ht="15.75" customHeight="1">
      <c r="A8102" s="25" t="str">
        <f>IFERROR(__xludf.DUMMYFUNCTION("IF(B8102="""","""",RIGHT(REGEXREPLACE(B8102&amp;"""",""[^0-9]"",""""),9))"),"774730173")</f>
        <v>774730173</v>
      </c>
      <c r="B8102" s="52">
        <v>7.74730173E8</v>
      </c>
      <c r="C8102" s="28" t="s">
        <v>4446</v>
      </c>
      <c r="D8102" s="26" t="s">
        <v>56</v>
      </c>
      <c r="E8102" s="31">
        <v>46246.0</v>
      </c>
      <c r="F8102" s="26" t="s">
        <v>46</v>
      </c>
      <c r="G8102" s="26">
        <v>10.0</v>
      </c>
      <c r="H8102" s="26" t="s">
        <v>8235</v>
      </c>
      <c r="I8102" s="26" t="s">
        <v>970</v>
      </c>
      <c r="J8102" s="25" t="str">
        <f t="shared" si="100"/>
        <v>Yes - see Previous F-Code</v>
      </c>
      <c r="K8102" s="25" t="str">
        <f t="shared" si="101"/>
        <v/>
      </c>
      <c r="L8102" s="25" t="str">
        <f t="shared" si="102"/>
        <v>F74064</v>
      </c>
      <c r="M8102" s="25"/>
      <c r="O8102" s="25"/>
    </row>
    <row r="8103" ht="15.75" customHeight="1">
      <c r="A8103" s="25" t="str">
        <f>IFERROR(__xludf.DUMMYFUNCTION("IF(B8103="""","""",RIGHT(REGEXREPLACE(B8103&amp;"""",""[^0-9]"",""""),9))"),"764913149")</f>
        <v>764913149</v>
      </c>
      <c r="B8103" s="52">
        <v>7.64913149E8</v>
      </c>
      <c r="C8103" s="28" t="s">
        <v>8315</v>
      </c>
      <c r="D8103" s="26" t="s">
        <v>82</v>
      </c>
      <c r="E8103" s="31">
        <v>46246.0</v>
      </c>
      <c r="F8103" s="26" t="s">
        <v>205</v>
      </c>
      <c r="I8103" s="26" t="s">
        <v>970</v>
      </c>
      <c r="J8103" s="25" t="str">
        <f t="shared" si="100"/>
        <v>No</v>
      </c>
      <c r="K8103" s="25" t="str">
        <f t="shared" si="101"/>
        <v/>
      </c>
      <c r="L8103" s="25" t="str">
        <f t="shared" si="102"/>
        <v/>
      </c>
      <c r="M8103" s="25"/>
      <c r="O8103" s="25"/>
    </row>
    <row r="8104" ht="15.75" customHeight="1">
      <c r="A8104" s="25" t="str">
        <f>IFERROR(__xludf.DUMMYFUNCTION("IF(B8104="""","""",RIGHT(REGEXREPLACE(B8104&amp;"""",""[^0-9]"",""""),9))"),"705707021")</f>
        <v>705707021</v>
      </c>
      <c r="B8104" s="52">
        <v>7.05707021E8</v>
      </c>
      <c r="C8104" s="28" t="s">
        <v>8316</v>
      </c>
      <c r="D8104" s="26" t="s">
        <v>64</v>
      </c>
      <c r="E8104" s="31">
        <v>46246.0</v>
      </c>
      <c r="F8104" s="26" t="s">
        <v>46</v>
      </c>
      <c r="G8104" s="26">
        <v>8.0</v>
      </c>
      <c r="H8104" s="26" t="s">
        <v>796</v>
      </c>
      <c r="I8104" s="26" t="s">
        <v>970</v>
      </c>
      <c r="J8104" s="25" t="str">
        <f t="shared" si="100"/>
        <v>No</v>
      </c>
      <c r="K8104" s="25" t="str">
        <f t="shared" si="101"/>
        <v/>
      </c>
      <c r="L8104" s="25" t="str">
        <f t="shared" si="102"/>
        <v/>
      </c>
      <c r="M8104" s="25"/>
      <c r="O8104" s="25"/>
    </row>
    <row r="8105" ht="15.75" customHeight="1">
      <c r="A8105" s="25" t="str">
        <f>IFERROR(__xludf.DUMMYFUNCTION("IF(B8105="""","""",RIGHT(REGEXREPLACE(B8105&amp;"""",""[^0-9]"",""""),9))"),"773825333")</f>
        <v>773825333</v>
      </c>
      <c r="B8105" s="52">
        <v>7.73825333E8</v>
      </c>
      <c r="C8105" s="28" t="s">
        <v>3976</v>
      </c>
      <c r="D8105" s="26" t="s">
        <v>82</v>
      </c>
      <c r="E8105" s="31">
        <v>46246.0</v>
      </c>
      <c r="F8105" s="26" t="s">
        <v>46</v>
      </c>
      <c r="G8105" s="26">
        <v>11.0</v>
      </c>
      <c r="I8105" s="26" t="s">
        <v>970</v>
      </c>
      <c r="J8105" s="25" t="str">
        <f t="shared" si="100"/>
        <v>Yes - see Previous F-Code</v>
      </c>
      <c r="K8105" s="25" t="str">
        <f t="shared" si="101"/>
        <v/>
      </c>
      <c r="L8105" s="25" t="str">
        <f t="shared" si="102"/>
        <v>F73622</v>
      </c>
      <c r="M8105" s="25"/>
      <c r="O8105" s="25"/>
    </row>
    <row r="8106" ht="15.75" customHeight="1">
      <c r="A8106" s="25" t="str">
        <f>IFERROR(__xludf.DUMMYFUNCTION("IF(B8106="""","""",RIGHT(REGEXREPLACE(B8106&amp;"""",""[^0-9]"",""""),9))"),"788883360")</f>
        <v>788883360</v>
      </c>
      <c r="B8106" s="52">
        <v>7.8888336E8</v>
      </c>
      <c r="C8106" s="28" t="s">
        <v>8317</v>
      </c>
      <c r="D8106" s="26" t="s">
        <v>56</v>
      </c>
      <c r="E8106" s="31">
        <v>46246.0</v>
      </c>
      <c r="F8106" s="26" t="s">
        <v>205</v>
      </c>
      <c r="G8106" s="26">
        <v>11.0</v>
      </c>
      <c r="I8106" s="26" t="s">
        <v>970</v>
      </c>
      <c r="J8106" s="25" t="str">
        <f t="shared" si="100"/>
        <v>No</v>
      </c>
      <c r="K8106" s="25" t="str">
        <f t="shared" si="101"/>
        <v/>
      </c>
      <c r="L8106" s="25" t="str">
        <f t="shared" si="102"/>
        <v/>
      </c>
      <c r="M8106" s="25"/>
      <c r="O8106" s="25"/>
    </row>
    <row r="8107" ht="15.75" customHeight="1">
      <c r="A8107" s="25" t="str">
        <f>IFERROR(__xludf.DUMMYFUNCTION("IF(B8107="""","""",RIGHT(REGEXREPLACE(B8107&amp;"""",""[^0-9]"",""""),9))"),"763804151")</f>
        <v>763804151</v>
      </c>
      <c r="B8107" s="52">
        <v>7.63804151E8</v>
      </c>
      <c r="C8107" s="28" t="s">
        <v>8318</v>
      </c>
      <c r="D8107" s="26" t="s">
        <v>64</v>
      </c>
      <c r="E8107" s="31">
        <v>46246.0</v>
      </c>
      <c r="F8107" s="26" t="s">
        <v>46</v>
      </c>
      <c r="I8107" s="26" t="s">
        <v>970</v>
      </c>
      <c r="J8107" s="25" t="str">
        <f t="shared" si="100"/>
        <v>No</v>
      </c>
      <c r="K8107" s="25" t="str">
        <f t="shared" si="101"/>
        <v/>
      </c>
      <c r="L8107" s="25" t="str">
        <f t="shared" si="102"/>
        <v/>
      </c>
      <c r="M8107" s="25"/>
      <c r="O8107" s="25"/>
    </row>
    <row r="8108" ht="15.75" customHeight="1">
      <c r="A8108" s="25" t="str">
        <f>IFERROR(__xludf.DUMMYFUNCTION("IF(B8108="""","""",RIGHT(REGEXREPLACE(B8108&amp;"""",""[^0-9]"",""""),9))"),"774983638")</f>
        <v>774983638</v>
      </c>
      <c r="B8108" s="52">
        <v>7.74983638E8</v>
      </c>
      <c r="C8108" s="28" t="s">
        <v>8319</v>
      </c>
      <c r="D8108" s="26" t="s">
        <v>56</v>
      </c>
      <c r="E8108" s="31">
        <v>46246.0</v>
      </c>
      <c r="F8108" s="26" t="s">
        <v>46</v>
      </c>
      <c r="G8108" s="26">
        <v>10.0</v>
      </c>
      <c r="I8108" s="26" t="s">
        <v>970</v>
      </c>
      <c r="J8108" s="25" t="str">
        <f t="shared" si="100"/>
        <v>No</v>
      </c>
      <c r="K8108" s="25" t="str">
        <f t="shared" si="101"/>
        <v/>
      </c>
      <c r="L8108" s="25" t="str">
        <f t="shared" si="102"/>
        <v/>
      </c>
      <c r="M8108" s="25"/>
      <c r="O8108" s="25"/>
    </row>
    <row r="8109" ht="15.75" customHeight="1">
      <c r="A8109" s="25" t="str">
        <f>IFERROR(__xludf.DUMMYFUNCTION("IF(B8109="""","""",RIGHT(REGEXREPLACE(B8109&amp;"""",""[^0-9]"",""""),9))"),"768430467")</f>
        <v>768430467</v>
      </c>
      <c r="B8109" s="52">
        <v>7.68430467E8</v>
      </c>
      <c r="C8109" s="28" t="s">
        <v>8320</v>
      </c>
      <c r="D8109" s="26" t="s">
        <v>82</v>
      </c>
      <c r="E8109" s="31">
        <v>46246.0</v>
      </c>
      <c r="F8109" s="26" t="s">
        <v>164</v>
      </c>
      <c r="I8109" s="26" t="s">
        <v>970</v>
      </c>
      <c r="J8109" s="25" t="str">
        <f t="shared" si="100"/>
        <v>No</v>
      </c>
      <c r="K8109" s="25" t="str">
        <f t="shared" si="101"/>
        <v/>
      </c>
      <c r="L8109" s="25" t="str">
        <f t="shared" si="102"/>
        <v/>
      </c>
      <c r="M8109" s="25"/>
      <c r="O8109" s="25"/>
    </row>
    <row r="8110" ht="15.75" customHeight="1">
      <c r="A8110" s="25" t="str">
        <f>IFERROR(__xludf.DUMMYFUNCTION("IF(B8110="""","""",RIGHT(REGEXREPLACE(B8110&amp;"""",""[^0-9]"",""""),9))"),"775834178")</f>
        <v>775834178</v>
      </c>
      <c r="B8110" s="52">
        <v>7.75834178E8</v>
      </c>
      <c r="C8110" s="28" t="s">
        <v>8321</v>
      </c>
      <c r="D8110" s="26" t="s">
        <v>82</v>
      </c>
      <c r="E8110" s="31">
        <v>46246.0</v>
      </c>
      <c r="F8110" s="26" t="s">
        <v>125</v>
      </c>
      <c r="H8110" s="26" t="s">
        <v>8322</v>
      </c>
      <c r="I8110" s="26" t="s">
        <v>970</v>
      </c>
      <c r="J8110" s="25" t="str">
        <f t="shared" si="100"/>
        <v>No</v>
      </c>
      <c r="K8110" s="25" t="str">
        <f t="shared" si="101"/>
        <v/>
      </c>
      <c r="L8110" s="25" t="str">
        <f t="shared" si="102"/>
        <v/>
      </c>
      <c r="M8110" s="25"/>
      <c r="O8110" s="25"/>
    </row>
    <row r="8111" ht="15.75" customHeight="1">
      <c r="A8111" s="25" t="str">
        <f>IFERROR(__xludf.DUMMYFUNCTION("IF(B8111="""","""",RIGHT(REGEXREPLACE(B8111&amp;"""",""[^0-9]"",""""),9))"),"763024536")</f>
        <v>763024536</v>
      </c>
      <c r="B8111" s="52">
        <v>7.63024536E8</v>
      </c>
      <c r="C8111" s="28" t="s">
        <v>8323</v>
      </c>
      <c r="D8111" s="26" t="s">
        <v>64</v>
      </c>
      <c r="E8111" s="31">
        <v>46246.0</v>
      </c>
      <c r="F8111" s="26" t="s">
        <v>46</v>
      </c>
      <c r="H8111" s="26" t="s">
        <v>4868</v>
      </c>
      <c r="I8111" s="26" t="s">
        <v>970</v>
      </c>
      <c r="J8111" s="25" t="str">
        <f t="shared" si="100"/>
        <v>No</v>
      </c>
      <c r="K8111" s="25" t="str">
        <f t="shared" si="101"/>
        <v/>
      </c>
      <c r="L8111" s="25" t="str">
        <f t="shared" si="102"/>
        <v/>
      </c>
      <c r="M8111" s="25"/>
      <c r="O8111" s="25"/>
    </row>
    <row r="8112" ht="15.75" customHeight="1">
      <c r="A8112" s="25" t="str">
        <f>IFERROR(__xludf.DUMMYFUNCTION("IF(B8112="""","""",RIGHT(REGEXREPLACE(B8112&amp;"""",""[^0-9]"",""""),9))"),"789090797")</f>
        <v>789090797</v>
      </c>
      <c r="B8112" s="52">
        <v>7.89090797E8</v>
      </c>
      <c r="C8112" s="28" t="s">
        <v>8324</v>
      </c>
      <c r="D8112" s="26" t="s">
        <v>56</v>
      </c>
      <c r="E8112" s="31">
        <v>46246.0</v>
      </c>
      <c r="F8112" s="26" t="s">
        <v>41</v>
      </c>
      <c r="G8112" s="26">
        <v>11.0</v>
      </c>
      <c r="I8112" s="26" t="s">
        <v>970</v>
      </c>
      <c r="J8112" s="25" t="str">
        <f t="shared" si="100"/>
        <v>No</v>
      </c>
      <c r="K8112" s="25" t="str">
        <f t="shared" si="101"/>
        <v/>
      </c>
      <c r="L8112" s="25" t="str">
        <f t="shared" si="102"/>
        <v/>
      </c>
      <c r="M8112" s="25"/>
      <c r="O8112" s="25"/>
    </row>
    <row r="8113" ht="15.75" customHeight="1">
      <c r="A8113" s="25" t="str">
        <f>IFERROR(__xludf.DUMMYFUNCTION("IF(B8113="""","""",RIGHT(REGEXREPLACE(B8113&amp;"""",""[^0-9]"",""""),9))"),"775772256")</f>
        <v>775772256</v>
      </c>
      <c r="B8113" s="26" t="s">
        <v>8325</v>
      </c>
      <c r="C8113" s="28" t="s">
        <v>8326</v>
      </c>
      <c r="D8113" s="26" t="s">
        <v>45</v>
      </c>
      <c r="E8113" s="31">
        <v>46246.0</v>
      </c>
      <c r="F8113" s="26" t="s">
        <v>46</v>
      </c>
      <c r="G8113" s="26">
        <v>9.0</v>
      </c>
      <c r="I8113" s="26" t="s">
        <v>892</v>
      </c>
      <c r="J8113" s="25" t="str">
        <f t="shared" si="100"/>
        <v>No</v>
      </c>
      <c r="K8113" s="25" t="str">
        <f t="shared" si="101"/>
        <v/>
      </c>
      <c r="L8113" s="25" t="str">
        <f t="shared" si="102"/>
        <v/>
      </c>
      <c r="M8113" s="25"/>
      <c r="O8113" s="25"/>
    </row>
    <row r="8114" ht="15.75" customHeight="1">
      <c r="A8114" s="25" t="str">
        <f>IFERROR(__xludf.DUMMYFUNCTION("IF(B8114="""","""",RIGHT(REGEXREPLACE(B8114&amp;"""",""[^0-9]"",""""),9))"),"742277771")</f>
        <v>742277771</v>
      </c>
      <c r="B8114" s="52">
        <v>7.42277771E8</v>
      </c>
      <c r="C8114" s="28" t="s">
        <v>8327</v>
      </c>
      <c r="D8114" s="26" t="s">
        <v>64</v>
      </c>
      <c r="E8114" s="31">
        <v>46246.0</v>
      </c>
      <c r="F8114" s="26" t="s">
        <v>46</v>
      </c>
      <c r="H8114" s="26" t="s">
        <v>8328</v>
      </c>
      <c r="I8114" s="26" t="s">
        <v>970</v>
      </c>
      <c r="J8114" s="25" t="str">
        <f t="shared" si="100"/>
        <v>No</v>
      </c>
      <c r="K8114" s="25" t="str">
        <f t="shared" si="101"/>
        <v/>
      </c>
      <c r="L8114" s="25" t="str">
        <f t="shared" si="102"/>
        <v/>
      </c>
      <c r="M8114" s="25"/>
      <c r="O8114" s="25"/>
    </row>
    <row r="8115" ht="15.75" customHeight="1">
      <c r="A8115" s="25" t="str">
        <f>IFERROR(__xludf.DUMMYFUNCTION("IF(B8115="""","""",RIGHT(REGEXREPLACE(B8115&amp;"""",""[^0-9]"",""""),9))"),"783729607")</f>
        <v>783729607</v>
      </c>
      <c r="B8115" s="26" t="s">
        <v>8329</v>
      </c>
      <c r="C8115" s="28" t="s">
        <v>8330</v>
      </c>
      <c r="D8115" s="26" t="s">
        <v>45</v>
      </c>
      <c r="E8115" s="31">
        <v>46246.0</v>
      </c>
      <c r="F8115" s="26" t="s">
        <v>46</v>
      </c>
      <c r="G8115" s="26">
        <v>9.0</v>
      </c>
      <c r="I8115" s="26" t="s">
        <v>892</v>
      </c>
      <c r="J8115" s="25" t="str">
        <f t="shared" si="100"/>
        <v>No</v>
      </c>
      <c r="K8115" s="25" t="str">
        <f t="shared" si="101"/>
        <v/>
      </c>
      <c r="L8115" s="25" t="str">
        <f t="shared" si="102"/>
        <v/>
      </c>
      <c r="M8115" s="25"/>
      <c r="O8115" s="25"/>
    </row>
    <row r="8116" ht="15.75" customHeight="1">
      <c r="A8116" s="25" t="str">
        <f>IFERROR(__xludf.DUMMYFUNCTION("IF(B8116="""","""",RIGHT(REGEXREPLACE(B8116&amp;"""",""[^0-9]"",""""),9))"),"773274936")</f>
        <v>773274936</v>
      </c>
      <c r="B8116" s="52">
        <v>7.73274936E8</v>
      </c>
      <c r="C8116" s="28" t="s">
        <v>8331</v>
      </c>
      <c r="D8116" s="26" t="s">
        <v>82</v>
      </c>
      <c r="E8116" s="31">
        <v>46246.0</v>
      </c>
      <c r="F8116" s="26" t="s">
        <v>46</v>
      </c>
      <c r="I8116" s="26" t="s">
        <v>970</v>
      </c>
      <c r="J8116" s="25" t="str">
        <f t="shared" si="100"/>
        <v>No</v>
      </c>
      <c r="K8116" s="25" t="str">
        <f t="shared" si="101"/>
        <v/>
      </c>
      <c r="L8116" s="25" t="str">
        <f t="shared" si="102"/>
        <v/>
      </c>
      <c r="M8116" s="25"/>
      <c r="O8116" s="25"/>
    </row>
    <row r="8117" ht="15.75" customHeight="1">
      <c r="A8117" s="25" t="str">
        <f>IFERROR(__xludf.DUMMYFUNCTION("IF(B8117="""","""",RIGHT(REGEXREPLACE(B8117&amp;"""",""[^0-9]"",""""),9))"),"771244565")</f>
        <v>771244565</v>
      </c>
      <c r="B8117" s="52">
        <v>7.71244565E8</v>
      </c>
      <c r="C8117" s="28" t="s">
        <v>4664</v>
      </c>
      <c r="D8117" s="26" t="s">
        <v>56</v>
      </c>
      <c r="E8117" s="31">
        <v>46246.0</v>
      </c>
      <c r="F8117" s="26" t="s">
        <v>659</v>
      </c>
      <c r="I8117" s="26" t="s">
        <v>970</v>
      </c>
      <c r="J8117" s="25" t="str">
        <f t="shared" si="100"/>
        <v>Yes - see Previous F-Code</v>
      </c>
      <c r="K8117" s="25" t="str">
        <f t="shared" si="101"/>
        <v/>
      </c>
      <c r="L8117" s="25" t="str">
        <f t="shared" si="102"/>
        <v>F74251</v>
      </c>
      <c r="M8117" s="25"/>
      <c r="O8117" s="25"/>
    </row>
    <row r="8118" ht="15.75" customHeight="1">
      <c r="A8118" s="25" t="str">
        <f>IFERROR(__xludf.DUMMYFUNCTION("IF(B8118="""","""",RIGHT(REGEXREPLACE(B8118&amp;"""",""[^0-9]"",""""),9))"),"772606653")</f>
        <v>772606653</v>
      </c>
      <c r="B8118" s="52">
        <v>7.72606653E8</v>
      </c>
      <c r="C8118" s="28" t="s">
        <v>8332</v>
      </c>
      <c r="D8118" s="26" t="s">
        <v>64</v>
      </c>
      <c r="E8118" s="31">
        <v>46246.0</v>
      </c>
      <c r="F8118" s="26" t="s">
        <v>205</v>
      </c>
      <c r="I8118" s="26" t="s">
        <v>970</v>
      </c>
      <c r="J8118" s="25" t="str">
        <f t="shared" si="100"/>
        <v>No</v>
      </c>
      <c r="K8118" s="25" t="str">
        <f t="shared" si="101"/>
        <v/>
      </c>
      <c r="L8118" s="25" t="str">
        <f t="shared" si="102"/>
        <v/>
      </c>
      <c r="M8118" s="25"/>
      <c r="O8118" s="25"/>
    </row>
    <row r="8119" ht="15.75" customHeight="1">
      <c r="A8119" s="25" t="str">
        <f>IFERROR(__xludf.DUMMYFUNCTION("IF(B8119="""","""",RIGHT(REGEXREPLACE(B8119&amp;"""",""[^0-9]"",""""),9))"),"742657003")</f>
        <v>742657003</v>
      </c>
      <c r="B8119" s="52">
        <v>7.42657003E8</v>
      </c>
      <c r="C8119" s="28" t="s">
        <v>8333</v>
      </c>
      <c r="D8119" s="26" t="s">
        <v>64</v>
      </c>
      <c r="E8119" s="31">
        <v>46246.0</v>
      </c>
      <c r="F8119" s="26" t="s">
        <v>205</v>
      </c>
      <c r="I8119" s="26" t="s">
        <v>970</v>
      </c>
      <c r="J8119" s="25" t="str">
        <f t="shared" si="100"/>
        <v>No</v>
      </c>
      <c r="K8119" s="25" t="str">
        <f t="shared" si="101"/>
        <v/>
      </c>
      <c r="L8119" s="25" t="str">
        <f t="shared" si="102"/>
        <v/>
      </c>
      <c r="M8119" s="25"/>
      <c r="O8119" s="25"/>
    </row>
    <row r="8120" ht="15.75" customHeight="1">
      <c r="A8120" s="25" t="str">
        <f>IFERROR(__xludf.DUMMYFUNCTION("IF(B8120="""","""",RIGHT(REGEXREPLACE(B8120&amp;"""",""[^0-9]"",""""),9))"),"771244565")</f>
        <v>771244565</v>
      </c>
      <c r="B8120" s="52">
        <v>7.71244565E8</v>
      </c>
      <c r="C8120" s="28" t="s">
        <v>4664</v>
      </c>
      <c r="D8120" s="26" t="s">
        <v>64</v>
      </c>
      <c r="E8120" s="31">
        <v>46246.0</v>
      </c>
      <c r="F8120" s="26" t="s">
        <v>659</v>
      </c>
      <c r="I8120" s="26" t="s">
        <v>970</v>
      </c>
      <c r="J8120" s="25" t="str">
        <f t="shared" si="100"/>
        <v>Yes - see Previous F-Code</v>
      </c>
      <c r="K8120" s="25" t="str">
        <f t="shared" si="101"/>
        <v>DUPLICATE - CHECK</v>
      </c>
      <c r="L8120" s="25" t="str">
        <f t="shared" si="102"/>
        <v>F74251</v>
      </c>
      <c r="M8120" s="25"/>
      <c r="O8120" s="25"/>
    </row>
    <row r="8121" ht="15.75" customHeight="1">
      <c r="A8121" s="25" t="str">
        <f>IFERROR(__xludf.DUMMYFUNCTION("IF(B8121="""","""",RIGHT(REGEXREPLACE(B8121&amp;"""",""[^0-9]"",""""),9))"),"702012024")</f>
        <v>702012024</v>
      </c>
      <c r="B8121" s="52">
        <v>7.02012024E8</v>
      </c>
      <c r="C8121" s="28" t="s">
        <v>8324</v>
      </c>
      <c r="D8121" s="26" t="s">
        <v>64</v>
      </c>
      <c r="E8121" s="31">
        <v>46246.0</v>
      </c>
      <c r="F8121" s="26" t="s">
        <v>659</v>
      </c>
      <c r="H8121" s="26" t="s">
        <v>8235</v>
      </c>
      <c r="I8121" s="26" t="s">
        <v>970</v>
      </c>
      <c r="J8121" s="25" t="str">
        <f t="shared" si="100"/>
        <v>Yes - see Previous F-Code</v>
      </c>
      <c r="K8121" s="25" t="str">
        <f t="shared" si="101"/>
        <v/>
      </c>
      <c r="L8121" s="25" t="str">
        <f t="shared" si="102"/>
        <v>F71707</v>
      </c>
      <c r="M8121" s="25"/>
      <c r="O8121" s="25"/>
    </row>
    <row r="8122" ht="15.75" customHeight="1">
      <c r="A8122" s="25" t="str">
        <f>IFERROR(__xludf.DUMMYFUNCTION("IF(B8122="""","""",RIGHT(REGEXREPLACE(B8122&amp;"""",""[^0-9]"",""""),9))"),"760113960")</f>
        <v>760113960</v>
      </c>
      <c r="B8122" s="52">
        <v>7.6011396E8</v>
      </c>
      <c r="C8122" s="28" t="s">
        <v>8334</v>
      </c>
      <c r="D8122" s="26" t="s">
        <v>82</v>
      </c>
      <c r="E8122" s="31">
        <v>46246.0</v>
      </c>
      <c r="F8122" s="26" t="s">
        <v>46</v>
      </c>
      <c r="H8122" s="26" t="s">
        <v>463</v>
      </c>
      <c r="I8122" s="26" t="s">
        <v>970</v>
      </c>
      <c r="J8122" s="25" t="str">
        <f t="shared" si="100"/>
        <v>No</v>
      </c>
      <c r="K8122" s="25" t="str">
        <f t="shared" si="101"/>
        <v/>
      </c>
      <c r="L8122" s="25" t="str">
        <f t="shared" si="102"/>
        <v/>
      </c>
      <c r="M8122" s="25"/>
      <c r="O8122" s="25"/>
    </row>
    <row r="8123" ht="15.75" customHeight="1">
      <c r="A8123" s="25" t="str">
        <f>IFERROR(__xludf.DUMMYFUNCTION("IF(B8123="""","""",RIGHT(REGEXREPLACE(B8123&amp;"""",""[^0-9]"",""""),9))"),"763103209")</f>
        <v>763103209</v>
      </c>
      <c r="B8123" s="26" t="s">
        <v>8335</v>
      </c>
      <c r="C8123" s="28" t="s">
        <v>8336</v>
      </c>
      <c r="D8123" s="26" t="s">
        <v>45</v>
      </c>
      <c r="E8123" s="31">
        <v>46246.0</v>
      </c>
      <c r="F8123" s="26" t="s">
        <v>659</v>
      </c>
      <c r="G8123" s="26">
        <v>8.0</v>
      </c>
      <c r="I8123" s="26" t="s">
        <v>892</v>
      </c>
      <c r="J8123" s="25" t="str">
        <f t="shared" si="100"/>
        <v>No</v>
      </c>
      <c r="K8123" s="25" t="str">
        <f t="shared" si="101"/>
        <v/>
      </c>
      <c r="L8123" s="25" t="str">
        <f t="shared" si="102"/>
        <v/>
      </c>
      <c r="M8123" s="25"/>
      <c r="O8123" s="25"/>
    </row>
    <row r="8124" ht="15.75" customHeight="1">
      <c r="A8124" s="25" t="str">
        <f>IFERROR(__xludf.DUMMYFUNCTION("IF(B8124="""","""",RIGHT(REGEXREPLACE(B8124&amp;"""",""[^0-9]"",""""),9))"),"701746611")</f>
        <v>701746611</v>
      </c>
      <c r="B8124" s="52">
        <v>7.01746611E8</v>
      </c>
      <c r="C8124" s="28" t="s">
        <v>8337</v>
      </c>
      <c r="D8124" s="26" t="s">
        <v>64</v>
      </c>
      <c r="E8124" s="31">
        <v>46246.0</v>
      </c>
      <c r="F8124" s="26" t="s">
        <v>41</v>
      </c>
      <c r="I8124" s="26" t="s">
        <v>970</v>
      </c>
      <c r="J8124" s="25" t="str">
        <f t="shared" si="100"/>
        <v>No</v>
      </c>
      <c r="K8124" s="25" t="str">
        <f t="shared" si="101"/>
        <v/>
      </c>
      <c r="L8124" s="25" t="str">
        <f t="shared" si="102"/>
        <v/>
      </c>
      <c r="M8124" s="25"/>
      <c r="O8124" s="25"/>
    </row>
    <row r="8125" ht="15.75" customHeight="1">
      <c r="A8125" s="25" t="str">
        <f>IFERROR(__xludf.DUMMYFUNCTION("IF(B8125="""","""",RIGHT(REGEXREPLACE(B8125&amp;"""",""[^0-9]"",""""),9))"),"777137998")</f>
        <v>777137998</v>
      </c>
      <c r="B8125" s="52">
        <v>7.77137998E8</v>
      </c>
      <c r="C8125" s="28" t="s">
        <v>8338</v>
      </c>
      <c r="D8125" s="26" t="s">
        <v>56</v>
      </c>
      <c r="E8125" s="31">
        <v>46246.0</v>
      </c>
      <c r="F8125" s="26" t="s">
        <v>205</v>
      </c>
      <c r="G8125" s="26">
        <v>11.0</v>
      </c>
      <c r="I8125" s="26" t="s">
        <v>970</v>
      </c>
      <c r="J8125" s="25" t="str">
        <f t="shared" si="100"/>
        <v>No</v>
      </c>
      <c r="K8125" s="25" t="str">
        <f t="shared" si="101"/>
        <v/>
      </c>
      <c r="L8125" s="25" t="str">
        <f t="shared" si="102"/>
        <v/>
      </c>
      <c r="M8125" s="25"/>
      <c r="O8125" s="25"/>
    </row>
    <row r="8126" ht="15.75" customHeight="1">
      <c r="A8126" s="25" t="str">
        <f>IFERROR(__xludf.DUMMYFUNCTION("IF(B8126="""","""",RIGHT(REGEXREPLACE(B8126&amp;"""",""[^0-9]"",""""),9))"),"702057474")</f>
        <v>702057474</v>
      </c>
      <c r="B8126" s="52">
        <v>7.02057474E8</v>
      </c>
      <c r="C8126" s="28" t="s">
        <v>8339</v>
      </c>
      <c r="D8126" s="26" t="s">
        <v>82</v>
      </c>
      <c r="E8126" s="31">
        <v>46246.0</v>
      </c>
      <c r="F8126" s="26" t="s">
        <v>125</v>
      </c>
      <c r="G8126" s="26">
        <v>10.0</v>
      </c>
      <c r="H8126" s="26" t="s">
        <v>8340</v>
      </c>
      <c r="I8126" s="26" t="s">
        <v>970</v>
      </c>
      <c r="J8126" s="25" t="str">
        <f t="shared" si="100"/>
        <v>No</v>
      </c>
      <c r="K8126" s="25" t="str">
        <f t="shared" si="101"/>
        <v/>
      </c>
      <c r="L8126" s="25" t="str">
        <f t="shared" si="102"/>
        <v/>
      </c>
      <c r="M8126" s="25"/>
      <c r="O8126" s="25"/>
    </row>
    <row r="8127" ht="15.75" customHeight="1">
      <c r="A8127" s="25" t="str">
        <f>IFERROR(__xludf.DUMMYFUNCTION("IF(B8127="""","""",RIGHT(REGEXREPLACE(B8127&amp;"""",""[^0-9]"",""""),9))"),"714410038")</f>
        <v>714410038</v>
      </c>
      <c r="B8127" s="52">
        <v>7.14410038E8</v>
      </c>
      <c r="C8127" s="28" t="s">
        <v>8341</v>
      </c>
      <c r="D8127" s="26" t="s">
        <v>64</v>
      </c>
      <c r="E8127" s="31">
        <v>46246.0</v>
      </c>
      <c r="F8127" s="26" t="s">
        <v>46</v>
      </c>
      <c r="H8127" s="26" t="s">
        <v>8235</v>
      </c>
      <c r="I8127" s="26" t="s">
        <v>970</v>
      </c>
      <c r="J8127" s="25" t="str">
        <f t="shared" si="100"/>
        <v>No</v>
      </c>
      <c r="K8127" s="25" t="str">
        <f t="shared" si="101"/>
        <v/>
      </c>
      <c r="L8127" s="25" t="str">
        <f t="shared" si="102"/>
        <v/>
      </c>
      <c r="M8127" s="25"/>
      <c r="O8127" s="25"/>
    </row>
    <row r="8128" ht="15.75" customHeight="1">
      <c r="A8128" s="25" t="str">
        <f>IFERROR(__xludf.DUMMYFUNCTION("IF(B8128="""","""",RIGHT(REGEXREPLACE(B8128&amp;"""",""[^0-9]"",""""),9))"),"729532940")</f>
        <v>729532940</v>
      </c>
      <c r="B8128" s="52">
        <v>7.2953294E8</v>
      </c>
      <c r="C8128" s="28" t="s">
        <v>8342</v>
      </c>
      <c r="D8128" s="26" t="s">
        <v>56</v>
      </c>
      <c r="E8128" s="31">
        <v>46246.0</v>
      </c>
      <c r="F8128" s="26" t="s">
        <v>46</v>
      </c>
      <c r="G8128" s="26">
        <v>10.0</v>
      </c>
      <c r="H8128" s="26" t="s">
        <v>8235</v>
      </c>
      <c r="I8128" s="26" t="s">
        <v>970</v>
      </c>
      <c r="J8128" s="25" t="str">
        <f t="shared" si="100"/>
        <v>No</v>
      </c>
      <c r="K8128" s="25" t="str">
        <f t="shared" si="101"/>
        <v/>
      </c>
      <c r="L8128" s="25" t="str">
        <f t="shared" si="102"/>
        <v/>
      </c>
      <c r="M8128" s="25"/>
      <c r="O8128" s="25"/>
    </row>
    <row r="8129" ht="15.75" customHeight="1">
      <c r="A8129" s="25" t="str">
        <f>IFERROR(__xludf.DUMMYFUNCTION("IF(B8129="""","""",RIGHT(REGEXREPLACE(B8129&amp;"""",""[^0-9]"",""""),9))"),"762095195")</f>
        <v>762095195</v>
      </c>
      <c r="B8129" s="52">
        <v>7.62095195E8</v>
      </c>
      <c r="C8129" s="28" t="s">
        <v>8343</v>
      </c>
      <c r="D8129" s="26" t="s">
        <v>82</v>
      </c>
      <c r="E8129" s="31">
        <v>46246.0</v>
      </c>
      <c r="F8129" s="26" t="s">
        <v>41</v>
      </c>
      <c r="G8129" s="26">
        <v>9.0</v>
      </c>
      <c r="I8129" s="26" t="s">
        <v>970</v>
      </c>
      <c r="J8129" s="25" t="str">
        <f t="shared" si="100"/>
        <v>No</v>
      </c>
      <c r="K8129" s="25" t="str">
        <f t="shared" si="101"/>
        <v/>
      </c>
      <c r="L8129" s="25" t="str">
        <f t="shared" si="102"/>
        <v/>
      </c>
      <c r="M8129" s="25"/>
      <c r="O8129" s="25"/>
    </row>
    <row r="8130" ht="15.75" customHeight="1">
      <c r="A8130" s="25" t="str">
        <f>IFERROR(__xludf.DUMMYFUNCTION("IF(B8130="""","""",RIGHT(REGEXREPLACE(B8130&amp;"""",""[^0-9]"",""""),9))"),"770253679")</f>
        <v>770253679</v>
      </c>
      <c r="B8130" s="52">
        <v>7.70253679E8</v>
      </c>
      <c r="C8130" s="28" t="s">
        <v>8344</v>
      </c>
      <c r="D8130" s="26" t="s">
        <v>64</v>
      </c>
      <c r="E8130" s="31">
        <v>46246.0</v>
      </c>
      <c r="F8130" s="26" t="s">
        <v>46</v>
      </c>
      <c r="G8130" s="26">
        <v>10.0</v>
      </c>
      <c r="H8130" s="26" t="s">
        <v>8345</v>
      </c>
      <c r="I8130" s="26" t="s">
        <v>970</v>
      </c>
      <c r="J8130" s="25" t="str">
        <f t="shared" si="100"/>
        <v>No</v>
      </c>
      <c r="K8130" s="25" t="str">
        <f t="shared" si="101"/>
        <v/>
      </c>
      <c r="L8130" s="25" t="str">
        <f t="shared" si="102"/>
        <v/>
      </c>
      <c r="M8130" s="25"/>
      <c r="O8130" s="25"/>
    </row>
    <row r="8131" ht="15.75" customHeight="1">
      <c r="A8131" s="25" t="str">
        <f>IFERROR(__xludf.DUMMYFUNCTION("IF(B8131="""","""",RIGHT(REGEXREPLACE(B8131&amp;"""",""[^0-9]"",""""),9))"),"718053039")</f>
        <v>718053039</v>
      </c>
      <c r="B8131" s="52">
        <v>7.18053039E8</v>
      </c>
      <c r="C8131" s="28" t="s">
        <v>8346</v>
      </c>
      <c r="D8131" s="26" t="s">
        <v>64</v>
      </c>
      <c r="E8131" s="31">
        <v>46246.0</v>
      </c>
      <c r="F8131" s="26" t="s">
        <v>46</v>
      </c>
      <c r="H8131" s="26" t="s">
        <v>8235</v>
      </c>
      <c r="I8131" s="26" t="s">
        <v>970</v>
      </c>
      <c r="J8131" s="25" t="str">
        <f t="shared" si="100"/>
        <v>No</v>
      </c>
      <c r="K8131" s="25" t="str">
        <f t="shared" si="101"/>
        <v/>
      </c>
      <c r="L8131" s="25" t="str">
        <f t="shared" si="102"/>
        <v/>
      </c>
      <c r="M8131" s="25"/>
      <c r="O8131" s="25"/>
    </row>
    <row r="8132" ht="15.75" customHeight="1">
      <c r="A8132" s="25" t="str">
        <f>IFERROR(__xludf.DUMMYFUNCTION("IF(B8132="""","""",RIGHT(REGEXREPLACE(B8132&amp;"""",""[^0-9]"",""""),9))"),"771276254")</f>
        <v>771276254</v>
      </c>
      <c r="B8132" s="52">
        <v>7.71276254E8</v>
      </c>
      <c r="C8132" s="28" t="s">
        <v>5520</v>
      </c>
      <c r="D8132" s="26" t="s">
        <v>56</v>
      </c>
      <c r="E8132" s="31">
        <v>46246.0</v>
      </c>
      <c r="F8132" s="26" t="s">
        <v>41</v>
      </c>
      <c r="H8132" s="26" t="s">
        <v>8235</v>
      </c>
      <c r="I8132" s="26" t="s">
        <v>970</v>
      </c>
      <c r="J8132" s="25" t="str">
        <f t="shared" si="100"/>
        <v>Yes - see Previous F-Code</v>
      </c>
      <c r="K8132" s="25" t="str">
        <f t="shared" si="101"/>
        <v/>
      </c>
      <c r="L8132" s="25" t="str">
        <f t="shared" si="102"/>
        <v>F75006</v>
      </c>
      <c r="M8132" s="25"/>
      <c r="O8132" s="25"/>
    </row>
    <row r="8133" ht="15.75" customHeight="1">
      <c r="A8133" s="25" t="str">
        <f>IFERROR(__xludf.DUMMYFUNCTION("IF(B8133="""","""",RIGHT(REGEXREPLACE(B8133&amp;"""",""[^0-9]"",""""),9))"),"775185177")</f>
        <v>775185177</v>
      </c>
      <c r="B8133" s="52">
        <v>7.75185177E8</v>
      </c>
      <c r="C8133" s="28" t="s">
        <v>8347</v>
      </c>
      <c r="D8133" s="26" t="s">
        <v>82</v>
      </c>
      <c r="E8133" s="31">
        <v>46246.0</v>
      </c>
      <c r="F8133" s="26" t="s">
        <v>46</v>
      </c>
      <c r="G8133" s="26">
        <v>9.0</v>
      </c>
      <c r="I8133" s="26" t="s">
        <v>970</v>
      </c>
      <c r="J8133" s="25" t="str">
        <f t="shared" si="100"/>
        <v>No</v>
      </c>
      <c r="K8133" s="25" t="str">
        <f t="shared" si="101"/>
        <v/>
      </c>
      <c r="L8133" s="25" t="str">
        <f t="shared" si="102"/>
        <v/>
      </c>
      <c r="M8133" s="25"/>
      <c r="O8133" s="25"/>
    </row>
    <row r="8134" ht="15.75" customHeight="1">
      <c r="A8134" s="25" t="str">
        <f>IFERROR(__xludf.DUMMYFUNCTION("IF(B8134="""","""",RIGHT(REGEXREPLACE(B8134&amp;"""",""[^0-9]"",""""),9))"),"782645704")</f>
        <v>782645704</v>
      </c>
      <c r="B8134" s="52">
        <v>7.82645704E8</v>
      </c>
      <c r="C8134" s="28" t="s">
        <v>8348</v>
      </c>
      <c r="D8134" s="26" t="s">
        <v>56</v>
      </c>
      <c r="E8134" s="31">
        <v>46246.0</v>
      </c>
      <c r="F8134" s="26" t="s">
        <v>46</v>
      </c>
      <c r="G8134" s="26">
        <v>10.0</v>
      </c>
      <c r="H8134" s="26" t="s">
        <v>8235</v>
      </c>
      <c r="I8134" s="26" t="s">
        <v>970</v>
      </c>
      <c r="J8134" s="25" t="str">
        <f t="shared" si="100"/>
        <v>No</v>
      </c>
      <c r="K8134" s="25" t="str">
        <f t="shared" si="101"/>
        <v/>
      </c>
      <c r="L8134" s="25" t="str">
        <f t="shared" si="102"/>
        <v/>
      </c>
      <c r="M8134" s="25"/>
      <c r="O8134" s="25"/>
    </row>
    <row r="8135" ht="15.75" customHeight="1">
      <c r="A8135" s="25" t="str">
        <f>IFERROR(__xludf.DUMMYFUNCTION("IF(B8135="""","""",RIGHT(REGEXREPLACE(B8135&amp;"""",""[^0-9]"",""""),9))"),"712389085")</f>
        <v>712389085</v>
      </c>
      <c r="B8135" s="26" t="s">
        <v>8349</v>
      </c>
      <c r="C8135" s="28" t="s">
        <v>8350</v>
      </c>
      <c r="D8135" s="26" t="s">
        <v>45</v>
      </c>
      <c r="E8135" s="31">
        <v>46246.0</v>
      </c>
      <c r="F8135" s="26" t="s">
        <v>41</v>
      </c>
      <c r="G8135" s="26">
        <v>10.0</v>
      </c>
      <c r="I8135" s="26" t="s">
        <v>892</v>
      </c>
      <c r="J8135" s="25" t="str">
        <f t="shared" si="100"/>
        <v>No</v>
      </c>
      <c r="K8135" s="25" t="str">
        <f t="shared" si="101"/>
        <v/>
      </c>
      <c r="L8135" s="25" t="str">
        <f t="shared" si="102"/>
        <v/>
      </c>
      <c r="M8135" s="25"/>
      <c r="O8135" s="25"/>
    </row>
    <row r="8136" ht="15.75" customHeight="1">
      <c r="A8136" s="25" t="str">
        <f>IFERROR(__xludf.DUMMYFUNCTION("IF(B8136="""","""",RIGHT(REGEXREPLACE(B8136&amp;"""",""[^0-9]"",""""),9))"),"773420947")</f>
        <v>773420947</v>
      </c>
      <c r="B8136" s="52">
        <v>7.73420947E8</v>
      </c>
      <c r="C8136" s="28" t="s">
        <v>8351</v>
      </c>
      <c r="D8136" s="26" t="s">
        <v>82</v>
      </c>
      <c r="E8136" s="31">
        <v>46246.0</v>
      </c>
      <c r="F8136" s="26" t="s">
        <v>41</v>
      </c>
      <c r="I8136" s="26" t="s">
        <v>970</v>
      </c>
      <c r="J8136" s="25" t="str">
        <f t="shared" si="100"/>
        <v>No</v>
      </c>
      <c r="K8136" s="25" t="str">
        <f t="shared" si="101"/>
        <v/>
      </c>
      <c r="L8136" s="25" t="str">
        <f t="shared" si="102"/>
        <v/>
      </c>
      <c r="M8136" s="25"/>
      <c r="O8136" s="26" t="s">
        <v>51</v>
      </c>
    </row>
    <row r="8137" ht="15.75" customHeight="1">
      <c r="A8137" s="25" t="str">
        <f>IFERROR(__xludf.DUMMYFUNCTION("IF(B8137="""","""",RIGHT(REGEXREPLACE(B8137&amp;"""",""[^0-9]"",""""),9))"),"777542136")</f>
        <v>777542136</v>
      </c>
      <c r="B8137" s="52">
        <v>7.77542136E8</v>
      </c>
      <c r="C8137" s="28" t="s">
        <v>551</v>
      </c>
      <c r="D8137" s="26" t="s">
        <v>64</v>
      </c>
      <c r="E8137" s="31">
        <v>46246.0</v>
      </c>
      <c r="F8137" s="26" t="s">
        <v>205</v>
      </c>
      <c r="G8137" s="26">
        <v>11.0</v>
      </c>
      <c r="I8137" s="26" t="s">
        <v>970</v>
      </c>
      <c r="J8137" s="25" t="str">
        <f t="shared" si="100"/>
        <v>Yes - see Previous F-Code</v>
      </c>
      <c r="K8137" s="25" t="str">
        <f t="shared" si="101"/>
        <v/>
      </c>
      <c r="L8137" s="25" t="str">
        <f t="shared" si="102"/>
        <v>F57200</v>
      </c>
      <c r="M8137" s="25"/>
      <c r="O8137" s="25"/>
    </row>
    <row r="8138" ht="15.75" customHeight="1">
      <c r="A8138" s="25" t="str">
        <f>IFERROR(__xludf.DUMMYFUNCTION("IF(B8138="""","""",RIGHT(REGEXREPLACE(B8138&amp;"""",""[^0-9]"",""""),9))"),"713205903")</f>
        <v>713205903</v>
      </c>
      <c r="B8138" s="52">
        <v>7.13205903E8</v>
      </c>
      <c r="C8138" s="28" t="s">
        <v>8352</v>
      </c>
      <c r="D8138" s="26" t="s">
        <v>82</v>
      </c>
      <c r="E8138" s="31">
        <v>46246.0</v>
      </c>
      <c r="F8138" s="26" t="s">
        <v>46</v>
      </c>
      <c r="G8138" s="26">
        <v>10.0</v>
      </c>
      <c r="I8138" s="26" t="s">
        <v>970</v>
      </c>
      <c r="J8138" s="25" t="str">
        <f t="shared" si="100"/>
        <v>No</v>
      </c>
      <c r="K8138" s="25" t="str">
        <f t="shared" si="101"/>
        <v/>
      </c>
      <c r="L8138" s="25" t="str">
        <f t="shared" si="102"/>
        <v/>
      </c>
      <c r="M8138" s="25"/>
      <c r="O8138" s="25"/>
    </row>
    <row r="8139" ht="15.75" customHeight="1">
      <c r="A8139" s="25" t="str">
        <f>IFERROR(__xludf.DUMMYFUNCTION("IF(B8139="""","""",RIGHT(REGEXREPLACE(B8139&amp;"""",""[^0-9]"",""""),9))"),"770804184")</f>
        <v>770804184</v>
      </c>
      <c r="B8139" s="52">
        <v>7.70804184E8</v>
      </c>
      <c r="C8139" s="28" t="s">
        <v>8353</v>
      </c>
      <c r="D8139" s="26" t="s">
        <v>64</v>
      </c>
      <c r="E8139" s="31">
        <v>46246.0</v>
      </c>
      <c r="F8139" s="26" t="s">
        <v>46</v>
      </c>
      <c r="H8139" s="26" t="s">
        <v>8235</v>
      </c>
      <c r="I8139" s="26" t="s">
        <v>970</v>
      </c>
      <c r="J8139" s="25" t="str">
        <f t="shared" si="100"/>
        <v>No</v>
      </c>
      <c r="K8139" s="25" t="str">
        <f t="shared" si="101"/>
        <v/>
      </c>
      <c r="L8139" s="25" t="str">
        <f t="shared" si="102"/>
        <v/>
      </c>
      <c r="M8139" s="25"/>
      <c r="O8139" s="25"/>
    </row>
    <row r="8140" ht="15.75" customHeight="1">
      <c r="A8140" s="25" t="str">
        <f>IFERROR(__xludf.DUMMYFUNCTION("IF(B8140="""","""",RIGHT(REGEXREPLACE(B8140&amp;"""",""[^0-9]"",""""),9))"),"584632234")</f>
        <v>584632234</v>
      </c>
      <c r="B8140" s="26" t="s">
        <v>8354</v>
      </c>
      <c r="C8140" s="28" t="s">
        <v>8355</v>
      </c>
      <c r="D8140" s="26" t="s">
        <v>45</v>
      </c>
      <c r="E8140" s="31">
        <v>46246.0</v>
      </c>
      <c r="F8140" s="26" t="s">
        <v>46</v>
      </c>
      <c r="G8140" s="26">
        <v>11.0</v>
      </c>
      <c r="I8140" s="26" t="s">
        <v>892</v>
      </c>
      <c r="J8140" s="25" t="str">
        <f t="shared" si="100"/>
        <v>No</v>
      </c>
      <c r="K8140" s="25" t="str">
        <f t="shared" si="101"/>
        <v/>
      </c>
      <c r="L8140" s="25" t="str">
        <f t="shared" si="102"/>
        <v/>
      </c>
      <c r="M8140" s="25"/>
      <c r="O8140" s="25"/>
    </row>
    <row r="8141" ht="15.75" customHeight="1">
      <c r="A8141" s="25" t="str">
        <f>IFERROR(__xludf.DUMMYFUNCTION("IF(B8141="""","""",RIGHT(REGEXREPLACE(B8141&amp;"""",""[^0-9]"",""""),9))"),"770774740")</f>
        <v>770774740</v>
      </c>
      <c r="B8141" s="52">
        <v>7.7077474E8</v>
      </c>
      <c r="C8141" s="28" t="s">
        <v>8356</v>
      </c>
      <c r="D8141" s="26" t="s">
        <v>82</v>
      </c>
      <c r="E8141" s="31">
        <v>46246.0</v>
      </c>
      <c r="F8141" s="26" t="s">
        <v>46</v>
      </c>
      <c r="H8141" s="26" t="s">
        <v>6807</v>
      </c>
      <c r="I8141" s="26" t="s">
        <v>970</v>
      </c>
      <c r="J8141" s="25" t="str">
        <f t="shared" si="100"/>
        <v>No</v>
      </c>
      <c r="K8141" s="25" t="str">
        <f t="shared" si="101"/>
        <v/>
      </c>
      <c r="L8141" s="25" t="str">
        <f t="shared" si="102"/>
        <v/>
      </c>
      <c r="M8141" s="25"/>
      <c r="O8141" s="25"/>
    </row>
    <row r="8142" ht="15.75" customHeight="1">
      <c r="A8142" s="25" t="str">
        <f>IFERROR(__xludf.DUMMYFUNCTION("IF(B8142="""","""",RIGHT(REGEXREPLACE(B8142&amp;"""",""[^0-9]"",""""),9))"),"713477704")</f>
        <v>713477704</v>
      </c>
      <c r="B8142" s="52">
        <v>7.13477704E8</v>
      </c>
      <c r="C8142" s="28" t="s">
        <v>8357</v>
      </c>
      <c r="D8142" s="26" t="s">
        <v>82</v>
      </c>
      <c r="E8142" s="31">
        <v>46246.0</v>
      </c>
      <c r="F8142" s="26" t="s">
        <v>704</v>
      </c>
      <c r="H8142" s="26" t="s">
        <v>8358</v>
      </c>
      <c r="I8142" s="26" t="s">
        <v>970</v>
      </c>
      <c r="J8142" s="25" t="str">
        <f t="shared" si="100"/>
        <v>No</v>
      </c>
      <c r="K8142" s="25" t="str">
        <f t="shared" si="101"/>
        <v/>
      </c>
      <c r="L8142" s="25" t="str">
        <f t="shared" si="102"/>
        <v/>
      </c>
      <c r="M8142" s="25"/>
      <c r="O8142" s="25"/>
    </row>
    <row r="8143" ht="15.75" customHeight="1">
      <c r="A8143" s="25" t="str">
        <f>IFERROR(__xludf.DUMMYFUNCTION("IF(B8143="""","""",RIGHT(REGEXREPLACE(B8143&amp;"""",""[^0-9]"",""""),9))"),"755378220")</f>
        <v>755378220</v>
      </c>
      <c r="B8143" s="52">
        <v>7.5537822E8</v>
      </c>
      <c r="C8143" s="28" t="s">
        <v>979</v>
      </c>
      <c r="D8143" s="26" t="s">
        <v>64</v>
      </c>
      <c r="E8143" s="31">
        <v>46246.0</v>
      </c>
      <c r="F8143" s="26" t="s">
        <v>205</v>
      </c>
      <c r="I8143" s="26" t="s">
        <v>970</v>
      </c>
      <c r="J8143" s="25" t="str">
        <f t="shared" si="100"/>
        <v>Yes - see Previous F-Code</v>
      </c>
      <c r="K8143" s="25" t="str">
        <f t="shared" si="101"/>
        <v/>
      </c>
      <c r="L8143" s="25" t="str">
        <f t="shared" si="102"/>
        <v>F70726</v>
      </c>
      <c r="M8143" s="25"/>
      <c r="O8143" s="25"/>
    </row>
    <row r="8144" ht="15.75" customHeight="1">
      <c r="A8144" s="25" t="str">
        <f>IFERROR(__xludf.DUMMYFUNCTION("IF(B8144="""","""",RIGHT(REGEXREPLACE(B8144&amp;"""",""[^0-9]"",""""),9))"),"703306151")</f>
        <v>703306151</v>
      </c>
      <c r="B8144" s="52">
        <v>7.03306151E8</v>
      </c>
      <c r="C8144" s="28" t="s">
        <v>8359</v>
      </c>
      <c r="D8144" s="26" t="s">
        <v>64</v>
      </c>
      <c r="E8144" s="31">
        <v>46246.0</v>
      </c>
      <c r="F8144" s="26" t="s">
        <v>659</v>
      </c>
      <c r="G8144" s="26">
        <v>9.0</v>
      </c>
      <c r="I8144" s="26" t="s">
        <v>970</v>
      </c>
      <c r="J8144" s="25" t="str">
        <f t="shared" si="100"/>
        <v>No</v>
      </c>
      <c r="K8144" s="25" t="str">
        <f t="shared" si="101"/>
        <v/>
      </c>
      <c r="L8144" s="25" t="str">
        <f t="shared" si="102"/>
        <v/>
      </c>
      <c r="M8144" s="25"/>
      <c r="O8144" s="25"/>
    </row>
    <row r="8145" ht="15.75" customHeight="1">
      <c r="A8145" s="25" t="str">
        <f>IFERROR(__xludf.DUMMYFUNCTION("IF(B8145="""","""",RIGHT(REGEXREPLACE(B8145&amp;"""",""[^0-9]"",""""),9))"),"779492699")</f>
        <v>779492699</v>
      </c>
      <c r="B8145" s="52">
        <v>7.79492699E8</v>
      </c>
      <c r="C8145" s="28" t="s">
        <v>8360</v>
      </c>
      <c r="D8145" s="26" t="s">
        <v>64</v>
      </c>
      <c r="E8145" s="31">
        <v>46246.0</v>
      </c>
      <c r="F8145" s="26" t="s">
        <v>46</v>
      </c>
      <c r="G8145" s="26">
        <v>10.0</v>
      </c>
      <c r="I8145" s="26" t="s">
        <v>970</v>
      </c>
      <c r="J8145" s="25" t="str">
        <f t="shared" si="100"/>
        <v>No</v>
      </c>
      <c r="K8145" s="25" t="str">
        <f t="shared" si="101"/>
        <v/>
      </c>
      <c r="L8145" s="25" t="str">
        <f t="shared" si="102"/>
        <v/>
      </c>
      <c r="M8145" s="25"/>
      <c r="O8145" s="25"/>
    </row>
    <row r="8146" ht="15.75" customHeight="1">
      <c r="A8146" s="25" t="str">
        <f>IFERROR(__xludf.DUMMYFUNCTION("IF(B8146="""","""",RIGHT(REGEXREPLACE(B8146&amp;"""",""[^0-9]"",""""),9))"),"766855803")</f>
        <v>766855803</v>
      </c>
      <c r="B8146" s="52">
        <v>7.66855803E8</v>
      </c>
      <c r="C8146" s="28" t="s">
        <v>8361</v>
      </c>
      <c r="D8146" s="26" t="s">
        <v>82</v>
      </c>
      <c r="E8146" s="31">
        <v>46246.0</v>
      </c>
      <c r="F8146" s="26" t="s">
        <v>46</v>
      </c>
      <c r="G8146" s="26">
        <v>11.0</v>
      </c>
      <c r="I8146" s="26" t="s">
        <v>970</v>
      </c>
      <c r="J8146" s="25" t="str">
        <f t="shared" si="100"/>
        <v>No</v>
      </c>
      <c r="K8146" s="25" t="str">
        <f t="shared" si="101"/>
        <v/>
      </c>
      <c r="L8146" s="25" t="str">
        <f t="shared" si="102"/>
        <v/>
      </c>
      <c r="M8146" s="25"/>
      <c r="O8146" s="25"/>
    </row>
    <row r="8147" ht="15.75" customHeight="1">
      <c r="A8147" s="25" t="str">
        <f>IFERROR(__xludf.DUMMYFUNCTION("IF(B8147="""","""",RIGHT(REGEXREPLACE(B8147&amp;"""",""[^0-9]"",""""),9))"),"770225101")</f>
        <v>770225101</v>
      </c>
      <c r="B8147" s="52">
        <v>7.70225101E8</v>
      </c>
      <c r="C8147" s="28" t="s">
        <v>5835</v>
      </c>
      <c r="D8147" s="26" t="s">
        <v>56</v>
      </c>
      <c r="E8147" s="31">
        <v>46246.0</v>
      </c>
      <c r="F8147" s="26" t="s">
        <v>659</v>
      </c>
      <c r="H8147" s="26" t="s">
        <v>8235</v>
      </c>
      <c r="I8147" s="26" t="s">
        <v>970</v>
      </c>
      <c r="J8147" s="25" t="str">
        <f t="shared" si="100"/>
        <v>Yes - see Previous F-Code</v>
      </c>
      <c r="K8147" s="25" t="str">
        <f t="shared" si="101"/>
        <v/>
      </c>
      <c r="L8147" s="25" t="str">
        <f t="shared" si="102"/>
        <v>F75269</v>
      </c>
      <c r="M8147" s="25"/>
      <c r="O8147" s="25"/>
    </row>
    <row r="8148" ht="15.75" customHeight="1">
      <c r="A8148" s="25" t="str">
        <f>IFERROR(__xludf.DUMMYFUNCTION("IF(B8148="""","""",RIGHT(REGEXREPLACE(B8148&amp;"""",""[^0-9]"",""""),9))"),"770766830")</f>
        <v>770766830</v>
      </c>
      <c r="B8148" s="52">
        <v>7.7076683E8</v>
      </c>
      <c r="C8148" s="28" t="s">
        <v>8362</v>
      </c>
      <c r="D8148" s="26" t="s">
        <v>64</v>
      </c>
      <c r="E8148" s="31">
        <v>46246.0</v>
      </c>
      <c r="F8148" s="26" t="s">
        <v>84</v>
      </c>
      <c r="H8148" s="26" t="s">
        <v>8235</v>
      </c>
      <c r="I8148" s="26" t="s">
        <v>970</v>
      </c>
      <c r="J8148" s="25" t="str">
        <f t="shared" si="100"/>
        <v>No</v>
      </c>
      <c r="K8148" s="25" t="str">
        <f t="shared" si="101"/>
        <v/>
      </c>
      <c r="L8148" s="25" t="str">
        <f t="shared" si="102"/>
        <v/>
      </c>
      <c r="M8148" s="25"/>
      <c r="O8148" s="25"/>
    </row>
    <row r="8149" ht="15.75" customHeight="1">
      <c r="A8149" s="25" t="str">
        <f>IFERROR(__xludf.DUMMYFUNCTION("IF(B8149="""","""",RIGHT(REGEXREPLACE(B8149&amp;"""",""[^0-9]"",""""),9))"),"774159816")</f>
        <v>774159816</v>
      </c>
      <c r="B8149" s="52">
        <v>7.74159816E8</v>
      </c>
      <c r="C8149" s="28" t="s">
        <v>3563</v>
      </c>
      <c r="D8149" s="26" t="s">
        <v>56</v>
      </c>
      <c r="E8149" s="31">
        <v>46246.0</v>
      </c>
      <c r="F8149" s="26" t="s">
        <v>46</v>
      </c>
      <c r="H8149" s="26" t="s">
        <v>8235</v>
      </c>
      <c r="I8149" s="26" t="s">
        <v>970</v>
      </c>
      <c r="J8149" s="25" t="str">
        <f t="shared" si="100"/>
        <v>Yes - see Previous F-Code</v>
      </c>
      <c r="K8149" s="25" t="str">
        <f t="shared" si="101"/>
        <v/>
      </c>
      <c r="L8149" s="25" t="str">
        <f t="shared" si="102"/>
        <v>F73221</v>
      </c>
      <c r="M8149" s="25"/>
      <c r="O8149" s="25"/>
    </row>
    <row r="8150" ht="15.75" customHeight="1">
      <c r="A8150" s="25" t="str">
        <f>IFERROR(__xludf.DUMMYFUNCTION("IF(B8150="""","""",RIGHT(REGEXREPLACE(B8150&amp;"""",""[^0-9]"",""""),9))"),"770225101")</f>
        <v>770225101</v>
      </c>
      <c r="B8150" s="52">
        <v>7.70225101E8</v>
      </c>
      <c r="C8150" s="28" t="s">
        <v>5835</v>
      </c>
      <c r="D8150" s="26" t="s">
        <v>82</v>
      </c>
      <c r="E8150" s="31">
        <v>46246.0</v>
      </c>
      <c r="F8150" s="26" t="s">
        <v>659</v>
      </c>
      <c r="I8150" s="26" t="s">
        <v>970</v>
      </c>
      <c r="J8150" s="25" t="str">
        <f t="shared" si="100"/>
        <v>Yes - see Previous F-Code</v>
      </c>
      <c r="K8150" s="25" t="str">
        <f t="shared" si="101"/>
        <v>DUPLICATE - CHECK</v>
      </c>
      <c r="L8150" s="25" t="str">
        <f t="shared" si="102"/>
        <v>F75269</v>
      </c>
      <c r="M8150" s="25"/>
      <c r="O8150" s="25"/>
    </row>
    <row r="8151" ht="15.75" customHeight="1">
      <c r="A8151" s="25" t="str">
        <f>IFERROR(__xludf.DUMMYFUNCTION("IF(B8151="""","""",RIGHT(REGEXREPLACE(B8151&amp;"""",""[^0-9]"",""""),9))"),"718032094")</f>
        <v>718032094</v>
      </c>
      <c r="B8151" s="52">
        <v>7.18032094E8</v>
      </c>
      <c r="C8151" s="28" t="s">
        <v>8363</v>
      </c>
      <c r="D8151" s="26" t="s">
        <v>64</v>
      </c>
      <c r="E8151" s="31">
        <v>46246.0</v>
      </c>
      <c r="F8151" s="26" t="s">
        <v>205</v>
      </c>
      <c r="I8151" s="26" t="s">
        <v>970</v>
      </c>
      <c r="J8151" s="25" t="str">
        <f t="shared" si="100"/>
        <v>No</v>
      </c>
      <c r="K8151" s="25" t="str">
        <f t="shared" si="101"/>
        <v/>
      </c>
      <c r="L8151" s="25" t="str">
        <f t="shared" si="102"/>
        <v/>
      </c>
      <c r="M8151" s="25"/>
      <c r="O8151" s="25"/>
    </row>
    <row r="8152" ht="15.75" customHeight="1">
      <c r="A8152" s="25" t="str">
        <f>IFERROR(__xludf.DUMMYFUNCTION("IF(B8152="""","""",RIGHT(REGEXREPLACE(B8152&amp;"""",""[^0-9]"",""""),9))"),"714056467")</f>
        <v>714056467</v>
      </c>
      <c r="B8152" s="26" t="s">
        <v>8364</v>
      </c>
      <c r="C8152" s="28" t="s">
        <v>8365</v>
      </c>
      <c r="D8152" s="26" t="s">
        <v>45</v>
      </c>
      <c r="E8152" s="31">
        <v>46246.0</v>
      </c>
      <c r="F8152" s="26" t="s">
        <v>41</v>
      </c>
      <c r="H8152" s="26" t="s">
        <v>8366</v>
      </c>
      <c r="I8152" s="26" t="s">
        <v>892</v>
      </c>
      <c r="J8152" s="25" t="str">
        <f t="shared" si="100"/>
        <v>No</v>
      </c>
      <c r="K8152" s="25" t="str">
        <f t="shared" si="101"/>
        <v/>
      </c>
      <c r="L8152" s="25" t="str">
        <f t="shared" si="102"/>
        <v/>
      </c>
      <c r="M8152" s="25"/>
      <c r="O8152" s="25"/>
    </row>
    <row r="8153" ht="15.75" customHeight="1">
      <c r="A8153" s="25" t="str">
        <f>IFERROR(__xludf.DUMMYFUNCTION("IF(B8153="""","""",RIGHT(REGEXREPLACE(B8153&amp;"""",""[^0-9]"",""""),9))"),"711699158")</f>
        <v>711699158</v>
      </c>
      <c r="B8153" s="52">
        <v>7.11699158E8</v>
      </c>
      <c r="C8153" s="28" t="s">
        <v>8367</v>
      </c>
      <c r="D8153" s="26" t="s">
        <v>64</v>
      </c>
      <c r="E8153" s="31">
        <v>46246.0</v>
      </c>
      <c r="F8153" s="26" t="s">
        <v>46</v>
      </c>
      <c r="H8153" s="26" t="s">
        <v>78</v>
      </c>
      <c r="I8153" s="26" t="s">
        <v>970</v>
      </c>
      <c r="J8153" s="25" t="str">
        <f t="shared" si="100"/>
        <v>No</v>
      </c>
      <c r="K8153" s="25" t="str">
        <f t="shared" si="101"/>
        <v/>
      </c>
      <c r="L8153" s="25" t="str">
        <f t="shared" si="102"/>
        <v/>
      </c>
      <c r="M8153" s="25"/>
      <c r="O8153" s="25"/>
    </row>
    <row r="8154" ht="15.75" customHeight="1">
      <c r="A8154" s="25" t="str">
        <f>IFERROR(__xludf.DUMMYFUNCTION("IF(B8154="""","""",RIGHT(REGEXREPLACE(B8154&amp;"""",""[^0-9]"",""""),9))"),"766855803")</f>
        <v>766855803</v>
      </c>
      <c r="B8154" s="52">
        <v>7.66855803E8</v>
      </c>
      <c r="C8154" s="28" t="s">
        <v>8361</v>
      </c>
      <c r="D8154" s="26" t="s">
        <v>56</v>
      </c>
      <c r="E8154" s="31">
        <v>46246.0</v>
      </c>
      <c r="F8154" s="26" t="s">
        <v>41</v>
      </c>
      <c r="I8154" s="26" t="s">
        <v>970</v>
      </c>
      <c r="J8154" s="25" t="str">
        <f t="shared" si="100"/>
        <v>Yes - see Previous F-Code</v>
      </c>
      <c r="K8154" s="25" t="str">
        <f t="shared" si="101"/>
        <v>DUPLICATE - CHECK</v>
      </c>
      <c r="L8154" s="25" t="str">
        <f t="shared" si="102"/>
        <v>F77137</v>
      </c>
      <c r="M8154" s="25"/>
      <c r="O8154" s="25"/>
    </row>
    <row r="8155" ht="15.75" customHeight="1">
      <c r="A8155" s="25" t="str">
        <f>IFERROR(__xludf.DUMMYFUNCTION("IF(B8155="""","""",RIGHT(REGEXREPLACE(B8155&amp;"""",""[^0-9]"",""""),9))"),"702100621")</f>
        <v>702100621</v>
      </c>
      <c r="B8155" s="26" t="s">
        <v>8368</v>
      </c>
      <c r="C8155" s="28" t="s">
        <v>8369</v>
      </c>
      <c r="D8155" s="26" t="s">
        <v>45</v>
      </c>
      <c r="E8155" s="31">
        <v>46246.0</v>
      </c>
      <c r="F8155" s="26" t="s">
        <v>41</v>
      </c>
      <c r="I8155" s="26" t="s">
        <v>892</v>
      </c>
      <c r="J8155" s="25" t="str">
        <f t="shared" si="100"/>
        <v>No</v>
      </c>
      <c r="K8155" s="25" t="str">
        <f t="shared" si="101"/>
        <v/>
      </c>
      <c r="L8155" s="25" t="str">
        <f t="shared" si="102"/>
        <v/>
      </c>
      <c r="M8155" s="25"/>
      <c r="O8155" s="25"/>
    </row>
    <row r="8156" ht="15.75" customHeight="1">
      <c r="A8156" s="25" t="str">
        <f>IFERROR(__xludf.DUMMYFUNCTION("IF(B8156="""","""",RIGHT(REGEXREPLACE(B8156&amp;"""",""[^0-9]"",""""),9))"),"742353094")</f>
        <v>742353094</v>
      </c>
      <c r="B8156" s="52">
        <v>7.42353094E8</v>
      </c>
      <c r="C8156" s="28" t="s">
        <v>8370</v>
      </c>
      <c r="D8156" s="26" t="s">
        <v>64</v>
      </c>
      <c r="E8156" s="31">
        <v>46246.0</v>
      </c>
      <c r="F8156" s="26" t="s">
        <v>41</v>
      </c>
      <c r="H8156" s="26" t="s">
        <v>8235</v>
      </c>
      <c r="I8156" s="26" t="s">
        <v>970</v>
      </c>
      <c r="J8156" s="25" t="str">
        <f t="shared" si="100"/>
        <v>No</v>
      </c>
      <c r="K8156" s="25" t="str">
        <f t="shared" si="101"/>
        <v/>
      </c>
      <c r="L8156" s="25" t="str">
        <f t="shared" si="102"/>
        <v/>
      </c>
      <c r="M8156" s="25"/>
      <c r="O8156" s="25"/>
    </row>
    <row r="8157" ht="15.75" customHeight="1">
      <c r="A8157" s="25" t="str">
        <f>IFERROR(__xludf.DUMMYFUNCTION("IF(B8157="""","""",RIGHT(REGEXREPLACE(B8157&amp;"""",""[^0-9]"",""""),9))"),"713477704")</f>
        <v>713477704</v>
      </c>
      <c r="B8157" s="52">
        <v>7.13477704E8</v>
      </c>
      <c r="C8157" s="28" t="s">
        <v>8357</v>
      </c>
      <c r="D8157" s="26" t="s">
        <v>56</v>
      </c>
      <c r="E8157" s="31">
        <v>46246.0</v>
      </c>
      <c r="F8157" s="26" t="s">
        <v>46</v>
      </c>
      <c r="G8157" s="26" t="s">
        <v>280</v>
      </c>
      <c r="H8157" s="26" t="s">
        <v>8235</v>
      </c>
      <c r="I8157" s="26" t="s">
        <v>970</v>
      </c>
      <c r="J8157" s="25" t="str">
        <f t="shared" si="100"/>
        <v>Yes - see Previous F-Code</v>
      </c>
      <c r="K8157" s="25" t="str">
        <f t="shared" si="101"/>
        <v>DUPLICATE - CHECK</v>
      </c>
      <c r="L8157" s="25" t="str">
        <f t="shared" si="102"/>
        <v>F77134</v>
      </c>
      <c r="M8157" s="25"/>
      <c r="O8157" s="25"/>
    </row>
    <row r="8158" ht="15.75" customHeight="1">
      <c r="A8158" s="25" t="str">
        <f>IFERROR(__xludf.DUMMYFUNCTION("IF(B8158="""","""",RIGHT(REGEXREPLACE(B8158&amp;"""",""[^0-9]"",""""),9))"),"740579986")</f>
        <v>740579986</v>
      </c>
      <c r="B8158" s="26" t="s">
        <v>8371</v>
      </c>
      <c r="C8158" s="28" t="s">
        <v>8372</v>
      </c>
      <c r="D8158" s="26" t="s">
        <v>45</v>
      </c>
      <c r="E8158" s="31">
        <v>46246.0</v>
      </c>
      <c r="F8158" s="26" t="s">
        <v>46</v>
      </c>
      <c r="G8158" s="26">
        <v>9.0</v>
      </c>
      <c r="H8158" s="26" t="s">
        <v>720</v>
      </c>
      <c r="I8158" s="26" t="s">
        <v>892</v>
      </c>
      <c r="J8158" s="25" t="str">
        <f t="shared" si="100"/>
        <v>No</v>
      </c>
      <c r="K8158" s="25" t="str">
        <f t="shared" si="101"/>
        <v/>
      </c>
      <c r="L8158" s="25" t="str">
        <f t="shared" si="102"/>
        <v/>
      </c>
      <c r="M8158" s="25"/>
      <c r="O8158" s="25"/>
    </row>
    <row r="8159" ht="15.75" customHeight="1">
      <c r="A8159" s="25" t="str">
        <f>IFERROR(__xludf.DUMMYFUNCTION("IF(B8159="""","""",RIGHT(REGEXREPLACE(B8159&amp;"""",""[^0-9]"",""""),9))"),"772951280")</f>
        <v>772951280</v>
      </c>
      <c r="B8159" s="52">
        <v>4.77295128E9</v>
      </c>
      <c r="C8159" s="28" t="s">
        <v>8373</v>
      </c>
      <c r="D8159" s="26" t="s">
        <v>64</v>
      </c>
      <c r="E8159" s="31">
        <v>46246.0</v>
      </c>
      <c r="F8159" s="26" t="s">
        <v>46</v>
      </c>
      <c r="H8159" s="26" t="s">
        <v>78</v>
      </c>
      <c r="I8159" s="26" t="s">
        <v>970</v>
      </c>
      <c r="J8159" s="25" t="str">
        <f t="shared" si="100"/>
        <v>No</v>
      </c>
      <c r="K8159" s="25" t="str">
        <f t="shared" si="101"/>
        <v/>
      </c>
      <c r="L8159" s="25" t="str">
        <f t="shared" si="102"/>
        <v/>
      </c>
      <c r="M8159" s="25"/>
      <c r="O8159" s="25"/>
    </row>
    <row r="8160" ht="15.75" customHeight="1">
      <c r="A8160" s="25" t="str">
        <f>IFERROR(__xludf.DUMMYFUNCTION("IF(B8160="""","""",RIGHT(REGEXREPLACE(B8160&amp;"""",""[^0-9]"",""""),9))"),"770774740")</f>
        <v>770774740</v>
      </c>
      <c r="B8160" s="52">
        <v>7.7077474E8</v>
      </c>
      <c r="C8160" s="28" t="s">
        <v>8356</v>
      </c>
      <c r="D8160" s="26" t="s">
        <v>56</v>
      </c>
      <c r="E8160" s="31">
        <v>46246.0</v>
      </c>
      <c r="F8160" s="26" t="s">
        <v>659</v>
      </c>
      <c r="I8160" s="26" t="s">
        <v>970</v>
      </c>
      <c r="J8160" s="25" t="str">
        <f t="shared" si="100"/>
        <v>Yes - see Previous F-Code</v>
      </c>
      <c r="K8160" s="25" t="str">
        <f t="shared" si="101"/>
        <v>DUPLICATE - CHECK</v>
      </c>
      <c r="L8160" s="25" t="str">
        <f t="shared" si="102"/>
        <v>F77133</v>
      </c>
      <c r="M8160" s="25"/>
      <c r="O8160" s="25"/>
    </row>
    <row r="8161" ht="15.75" customHeight="1">
      <c r="A8161" s="25" t="str">
        <f>IFERROR(__xludf.DUMMYFUNCTION("IF(B8161="""","""",RIGHT(REGEXREPLACE(B8161&amp;"""",""[^0-9]"",""""),9))"),"774239520")</f>
        <v>774239520</v>
      </c>
      <c r="B8161" s="52">
        <v>7.7423952E8</v>
      </c>
      <c r="C8161" s="28" t="s">
        <v>8374</v>
      </c>
      <c r="D8161" s="26" t="s">
        <v>64</v>
      </c>
      <c r="E8161" s="31">
        <v>46246.0</v>
      </c>
      <c r="F8161" s="26" t="s">
        <v>46</v>
      </c>
      <c r="G8161" s="26">
        <v>11.0</v>
      </c>
      <c r="H8161" s="26" t="s">
        <v>796</v>
      </c>
      <c r="I8161" s="26" t="s">
        <v>970</v>
      </c>
      <c r="J8161" s="25" t="str">
        <f t="shared" si="100"/>
        <v>No</v>
      </c>
      <c r="K8161" s="25" t="str">
        <f t="shared" si="101"/>
        <v/>
      </c>
      <c r="L8161" s="25" t="str">
        <f t="shared" si="102"/>
        <v/>
      </c>
      <c r="M8161" s="25"/>
      <c r="O8161" s="25"/>
    </row>
    <row r="8162" ht="15.75" customHeight="1">
      <c r="A8162" s="25" t="str">
        <f>IFERROR(__xludf.DUMMYFUNCTION("IF(B8162="""","""",RIGHT(REGEXREPLACE(B8162&amp;"""",""[^0-9]"",""""),9))"),"701452456")</f>
        <v>701452456</v>
      </c>
      <c r="B8162" s="52">
        <v>7.01452456E8</v>
      </c>
      <c r="C8162" s="28" t="s">
        <v>8100</v>
      </c>
      <c r="D8162" s="26" t="s">
        <v>82</v>
      </c>
      <c r="E8162" s="31">
        <v>46246.0</v>
      </c>
      <c r="F8162" s="26" t="s">
        <v>205</v>
      </c>
      <c r="I8162" s="26" t="s">
        <v>970</v>
      </c>
      <c r="J8162" s="25" t="str">
        <f t="shared" si="100"/>
        <v>Yes - see Previous F-Code</v>
      </c>
      <c r="K8162" s="25" t="str">
        <f t="shared" si="101"/>
        <v>DUPLICATE - CHECK</v>
      </c>
      <c r="L8162" s="25" t="str">
        <f t="shared" si="102"/>
        <v>F76919</v>
      </c>
      <c r="M8162" s="25"/>
      <c r="O8162" s="25"/>
    </row>
    <row r="8163" ht="15.75" customHeight="1">
      <c r="A8163" s="25" t="str">
        <f>IFERROR(__xludf.DUMMYFUNCTION("IF(B8163="""","""",RIGHT(REGEXREPLACE(B8163&amp;"""",""[^0-9]"",""""),9))"),"774140485")</f>
        <v>774140485</v>
      </c>
      <c r="B8163" s="26" t="s">
        <v>8375</v>
      </c>
      <c r="C8163" s="28" t="s">
        <v>8376</v>
      </c>
      <c r="D8163" s="26" t="s">
        <v>45</v>
      </c>
      <c r="E8163" s="31">
        <v>46246.0</v>
      </c>
      <c r="F8163" s="26" t="s">
        <v>46</v>
      </c>
      <c r="G8163" s="26">
        <v>10.0</v>
      </c>
      <c r="I8163" s="26" t="s">
        <v>892</v>
      </c>
      <c r="J8163" s="25" t="str">
        <f t="shared" si="100"/>
        <v>No</v>
      </c>
      <c r="K8163" s="25" t="str">
        <f t="shared" si="101"/>
        <v/>
      </c>
      <c r="L8163" s="25" t="str">
        <f t="shared" si="102"/>
        <v/>
      </c>
      <c r="M8163" s="25"/>
      <c r="O8163" s="25"/>
    </row>
    <row r="8164" ht="15.75" customHeight="1">
      <c r="A8164" s="25" t="str">
        <f>IFERROR(__xludf.DUMMYFUNCTION("IF(B8164="""","""",RIGHT(REGEXREPLACE(B8164&amp;"""",""[^0-9]"",""""),9))"),"707373799")</f>
        <v>707373799</v>
      </c>
      <c r="B8164" s="52">
        <v>7.07373799E8</v>
      </c>
      <c r="C8164" s="28" t="s">
        <v>8377</v>
      </c>
      <c r="D8164" s="26" t="s">
        <v>82</v>
      </c>
      <c r="E8164" s="31">
        <v>46246.0</v>
      </c>
      <c r="F8164" s="25"/>
      <c r="G8164" s="25"/>
      <c r="H8164" s="25"/>
      <c r="I8164" s="26" t="s">
        <v>970</v>
      </c>
      <c r="J8164" s="25" t="str">
        <f t="shared" si="100"/>
        <v>No</v>
      </c>
      <c r="K8164" s="25" t="str">
        <f t="shared" si="101"/>
        <v/>
      </c>
      <c r="L8164" s="25" t="str">
        <f t="shared" si="102"/>
        <v/>
      </c>
      <c r="M8164" s="25"/>
      <c r="N8164" s="25"/>
      <c r="O8164" s="25"/>
      <c r="P8164" s="25"/>
    </row>
    <row r="8165" ht="15.75" customHeight="1">
      <c r="A8165" s="25" t="str">
        <f>IFERROR(__xludf.DUMMYFUNCTION("IF(B8165="""","""",RIGHT(REGEXREPLACE(B8165&amp;"""",""[^0-9]"",""""),9))"),"707967059")</f>
        <v>707967059</v>
      </c>
      <c r="B8165" s="52">
        <v>7.07967059E8</v>
      </c>
      <c r="C8165" s="28" t="s">
        <v>8378</v>
      </c>
      <c r="D8165" s="26" t="s">
        <v>64</v>
      </c>
      <c r="E8165" s="31">
        <v>46246.0</v>
      </c>
      <c r="F8165" s="26" t="s">
        <v>659</v>
      </c>
      <c r="H8165" s="26" t="s">
        <v>8235</v>
      </c>
      <c r="I8165" s="26" t="s">
        <v>970</v>
      </c>
      <c r="J8165" s="25" t="str">
        <f t="shared" si="100"/>
        <v>No</v>
      </c>
      <c r="K8165" s="25" t="str">
        <f t="shared" si="101"/>
        <v/>
      </c>
      <c r="L8165" s="25" t="str">
        <f t="shared" si="102"/>
        <v/>
      </c>
      <c r="M8165" s="25"/>
      <c r="O8165" s="25"/>
    </row>
    <row r="8166" ht="15.75" customHeight="1">
      <c r="A8166" s="25" t="str">
        <f>IFERROR(__xludf.DUMMYFUNCTION("IF(B8166="""","""",RIGHT(REGEXREPLACE(B8166&amp;"""",""[^0-9]"",""""),9))"),"742845854")</f>
        <v>742845854</v>
      </c>
      <c r="B8166" s="26" t="s">
        <v>8379</v>
      </c>
      <c r="C8166" s="28" t="s">
        <v>8380</v>
      </c>
      <c r="D8166" s="26" t="s">
        <v>45</v>
      </c>
      <c r="E8166" s="31">
        <v>46246.0</v>
      </c>
      <c r="F8166" s="26" t="s">
        <v>46</v>
      </c>
      <c r="G8166" s="26">
        <v>11.0</v>
      </c>
      <c r="I8166" s="26" t="s">
        <v>892</v>
      </c>
      <c r="J8166" s="25" t="str">
        <f t="shared" si="100"/>
        <v>No</v>
      </c>
      <c r="K8166" s="25" t="str">
        <f t="shared" si="101"/>
        <v/>
      </c>
      <c r="L8166" s="25" t="str">
        <f t="shared" si="102"/>
        <v/>
      </c>
      <c r="M8166" s="25"/>
      <c r="O8166" s="25"/>
    </row>
    <row r="8167" ht="15.75" customHeight="1">
      <c r="A8167" s="25" t="str">
        <f>IFERROR(__xludf.DUMMYFUNCTION("IF(B8167="""","""",RIGHT(REGEXREPLACE(B8167&amp;"""",""[^0-9]"",""""),9))"),"778849293")</f>
        <v>778849293</v>
      </c>
      <c r="B8167" s="52">
        <v>7.78849293E8</v>
      </c>
      <c r="C8167" s="28" t="s">
        <v>8352</v>
      </c>
      <c r="D8167" s="26" t="s">
        <v>56</v>
      </c>
      <c r="E8167" s="31">
        <v>46246.0</v>
      </c>
      <c r="F8167" s="26" t="s">
        <v>46</v>
      </c>
      <c r="G8167" s="26">
        <v>9.0</v>
      </c>
      <c r="I8167" s="26" t="s">
        <v>970</v>
      </c>
      <c r="J8167" s="25" t="str">
        <f t="shared" si="100"/>
        <v>No</v>
      </c>
      <c r="K8167" s="25" t="str">
        <f t="shared" si="101"/>
        <v/>
      </c>
      <c r="L8167" s="25" t="str">
        <f t="shared" si="102"/>
        <v/>
      </c>
      <c r="M8167" s="25"/>
      <c r="O8167" s="25"/>
    </row>
    <row r="8168" ht="15.75" customHeight="1">
      <c r="A8168" s="25" t="str">
        <f>IFERROR(__xludf.DUMMYFUNCTION("IF(B8168="""","""",RIGHT(REGEXREPLACE(B8168&amp;"""",""[^0-9]"",""""),9))"),"717323924")</f>
        <v>717323924</v>
      </c>
      <c r="B8168" s="52">
        <v>7.17323924E8</v>
      </c>
      <c r="C8168" s="28" t="s">
        <v>8381</v>
      </c>
      <c r="D8168" s="26" t="s">
        <v>49</v>
      </c>
      <c r="E8168" s="31">
        <v>46246.0</v>
      </c>
      <c r="F8168" s="26" t="s">
        <v>46</v>
      </c>
      <c r="G8168" s="26">
        <v>10.0</v>
      </c>
      <c r="H8168" s="26" t="s">
        <v>94</v>
      </c>
      <c r="I8168" s="26" t="s">
        <v>970</v>
      </c>
      <c r="J8168" s="25" t="str">
        <f t="shared" si="100"/>
        <v>No</v>
      </c>
      <c r="K8168" s="25" t="str">
        <f t="shared" si="101"/>
        <v/>
      </c>
      <c r="L8168" s="25" t="str">
        <f t="shared" si="102"/>
        <v/>
      </c>
      <c r="M8168" s="25"/>
      <c r="O8168" s="25"/>
    </row>
    <row r="8169" ht="15.75" customHeight="1">
      <c r="A8169" s="25" t="str">
        <f>IFERROR(__xludf.DUMMYFUNCTION("IF(B8169="""","""",RIGHT(REGEXREPLACE(B8169&amp;"""",""[^0-9]"",""""),9))"),"776905618")</f>
        <v>776905618</v>
      </c>
      <c r="B8169" s="52">
        <v>7.76905618E8</v>
      </c>
      <c r="C8169" s="28" t="s">
        <v>8381</v>
      </c>
      <c r="D8169" s="26" t="s">
        <v>82</v>
      </c>
      <c r="E8169" s="31">
        <v>46246.0</v>
      </c>
      <c r="F8169" s="26" t="s">
        <v>46</v>
      </c>
      <c r="G8169" s="26">
        <v>8.0</v>
      </c>
      <c r="I8169" s="26" t="s">
        <v>970</v>
      </c>
      <c r="J8169" s="25" t="str">
        <f t="shared" si="100"/>
        <v>No</v>
      </c>
      <c r="K8169" s="25" t="str">
        <f t="shared" si="101"/>
        <v/>
      </c>
      <c r="L8169" s="25" t="str">
        <f t="shared" si="102"/>
        <v/>
      </c>
      <c r="M8169" s="25"/>
      <c r="O8169" s="25"/>
    </row>
    <row r="8170" ht="15.75" customHeight="1">
      <c r="A8170" s="25" t="str">
        <f>IFERROR(__xludf.DUMMYFUNCTION("IF(B8170="""","""",RIGHT(REGEXREPLACE(B8170&amp;"""",""[^0-9]"",""""),9))"),"752354663")</f>
        <v>752354663</v>
      </c>
      <c r="B8170" s="52">
        <v>7.52354663E8</v>
      </c>
      <c r="C8170" s="28" t="s">
        <v>8382</v>
      </c>
      <c r="D8170" s="26" t="s">
        <v>64</v>
      </c>
      <c r="E8170" s="31">
        <v>46246.0</v>
      </c>
      <c r="F8170" s="26" t="s">
        <v>46</v>
      </c>
      <c r="H8170" s="26" t="s">
        <v>8383</v>
      </c>
      <c r="I8170" s="26" t="s">
        <v>970</v>
      </c>
      <c r="J8170" s="25" t="str">
        <f t="shared" si="100"/>
        <v>No</v>
      </c>
      <c r="K8170" s="25" t="str">
        <f t="shared" si="101"/>
        <v/>
      </c>
      <c r="L8170" s="25" t="str">
        <f t="shared" si="102"/>
        <v/>
      </c>
      <c r="M8170" s="25"/>
      <c r="O8170" s="25"/>
    </row>
    <row r="8171" ht="15.75" customHeight="1">
      <c r="A8171" s="25" t="str">
        <f>IFERROR(__xludf.DUMMYFUNCTION("IF(B8171="""","""",RIGHT(REGEXREPLACE(B8171&amp;"""",""[^0-9]"",""""),9))"),"702086442")</f>
        <v>702086442</v>
      </c>
      <c r="B8171" s="26" t="s">
        <v>8384</v>
      </c>
      <c r="C8171" s="28" t="s">
        <v>8385</v>
      </c>
      <c r="D8171" s="26" t="s">
        <v>45</v>
      </c>
      <c r="E8171" s="31">
        <v>46246.0</v>
      </c>
      <c r="F8171" s="26" t="s">
        <v>41</v>
      </c>
      <c r="G8171" s="26">
        <v>10.0</v>
      </c>
      <c r="I8171" s="26" t="s">
        <v>892</v>
      </c>
      <c r="J8171" s="25" t="str">
        <f t="shared" si="100"/>
        <v>No</v>
      </c>
      <c r="K8171" s="25" t="str">
        <f t="shared" si="101"/>
        <v/>
      </c>
      <c r="L8171" s="25" t="str">
        <f t="shared" si="102"/>
        <v/>
      </c>
      <c r="M8171" s="25"/>
      <c r="O8171" s="25"/>
    </row>
    <row r="8172" ht="15.75" customHeight="1">
      <c r="A8172" s="25" t="str">
        <f>IFERROR(__xludf.DUMMYFUNCTION("IF(B8172="""","""",RIGHT(REGEXREPLACE(B8172&amp;"""",""[^0-9]"",""""),9))"),"763843125")</f>
        <v>763843125</v>
      </c>
      <c r="B8172" s="52">
        <v>7.63843125E8</v>
      </c>
      <c r="C8172" s="28" t="s">
        <v>8386</v>
      </c>
      <c r="D8172" s="26" t="s">
        <v>64</v>
      </c>
      <c r="E8172" s="31">
        <v>46246.0</v>
      </c>
      <c r="F8172" s="26" t="s">
        <v>46</v>
      </c>
      <c r="H8172" s="26" t="s">
        <v>8235</v>
      </c>
      <c r="I8172" s="26" t="s">
        <v>970</v>
      </c>
      <c r="J8172" s="25" t="str">
        <f t="shared" si="100"/>
        <v>No</v>
      </c>
      <c r="K8172" s="25" t="str">
        <f t="shared" si="101"/>
        <v/>
      </c>
      <c r="L8172" s="25" t="str">
        <f t="shared" si="102"/>
        <v/>
      </c>
      <c r="M8172" s="25"/>
      <c r="O8172" s="25"/>
    </row>
    <row r="8173" ht="15.75" customHeight="1">
      <c r="A8173" s="25" t="str">
        <f>IFERROR(__xludf.DUMMYFUNCTION("IF(B8173="""","""",RIGHT(REGEXREPLACE(B8173&amp;"""",""[^0-9]"",""""),9))"),"724322823")</f>
        <v>724322823</v>
      </c>
      <c r="B8173" s="26" t="s">
        <v>8387</v>
      </c>
      <c r="C8173" s="28" t="s">
        <v>8388</v>
      </c>
      <c r="D8173" s="26" t="s">
        <v>45</v>
      </c>
      <c r="E8173" s="31">
        <v>46246.0</v>
      </c>
      <c r="F8173" s="26" t="s">
        <v>41</v>
      </c>
      <c r="G8173" s="26">
        <v>10.0</v>
      </c>
      <c r="I8173" s="26" t="s">
        <v>892</v>
      </c>
      <c r="J8173" s="25" t="str">
        <f t="shared" si="100"/>
        <v>No</v>
      </c>
      <c r="K8173" s="25" t="str">
        <f t="shared" si="101"/>
        <v/>
      </c>
      <c r="L8173" s="25" t="str">
        <f t="shared" si="102"/>
        <v/>
      </c>
      <c r="M8173" s="25"/>
      <c r="O8173" s="25"/>
    </row>
    <row r="8174" ht="15.75" customHeight="1">
      <c r="A8174" s="25" t="str">
        <f>IFERROR(__xludf.DUMMYFUNCTION("IF(B8174="""","""",RIGHT(REGEXREPLACE(B8174&amp;"""",""[^0-9]"",""""),9))"),"760058401")</f>
        <v>760058401</v>
      </c>
      <c r="B8174" s="52">
        <v>7.60058401E8</v>
      </c>
      <c r="C8174" s="28" t="s">
        <v>8389</v>
      </c>
      <c r="D8174" s="26" t="s">
        <v>82</v>
      </c>
      <c r="E8174" s="31">
        <v>46246.0</v>
      </c>
      <c r="F8174" s="26" t="s">
        <v>659</v>
      </c>
      <c r="I8174" s="26" t="s">
        <v>970</v>
      </c>
      <c r="J8174" s="25" t="str">
        <f t="shared" si="100"/>
        <v>No</v>
      </c>
      <c r="K8174" s="25" t="str">
        <f t="shared" si="101"/>
        <v/>
      </c>
      <c r="L8174" s="25" t="str">
        <f t="shared" si="102"/>
        <v/>
      </c>
      <c r="M8174" s="25"/>
      <c r="O8174" s="25"/>
    </row>
    <row r="8175" ht="15.75" customHeight="1">
      <c r="A8175" s="25" t="str">
        <f>IFERROR(__xludf.DUMMYFUNCTION("IF(B8175="""","""",RIGHT(REGEXREPLACE(B8175&amp;"""",""[^0-9]"",""""),9))"),"774552004")</f>
        <v>774552004</v>
      </c>
      <c r="B8175" s="52">
        <v>7.74552004E8</v>
      </c>
      <c r="C8175" s="28" t="s">
        <v>8390</v>
      </c>
      <c r="D8175" s="26" t="s">
        <v>82</v>
      </c>
      <c r="E8175" s="31">
        <v>46246.0</v>
      </c>
      <c r="F8175" s="26" t="s">
        <v>41</v>
      </c>
      <c r="I8175" s="26" t="s">
        <v>970</v>
      </c>
      <c r="J8175" s="25" t="str">
        <f t="shared" si="100"/>
        <v>No</v>
      </c>
      <c r="K8175" s="25" t="str">
        <f t="shared" si="101"/>
        <v/>
      </c>
      <c r="L8175" s="25" t="str">
        <f t="shared" si="102"/>
        <v/>
      </c>
      <c r="M8175" s="25"/>
      <c r="O8175" s="25"/>
    </row>
    <row r="8176" ht="15.75" customHeight="1">
      <c r="A8176" s="25" t="str">
        <f>IFERROR(__xludf.DUMMYFUNCTION("IF(B8176="""","""",RIGHT(REGEXREPLACE(B8176&amp;"""",""[^0-9]"",""""),9))"),"714062014")</f>
        <v>714062014</v>
      </c>
      <c r="B8176" s="52">
        <v>7.14062014E8</v>
      </c>
      <c r="C8176" s="28" t="s">
        <v>8391</v>
      </c>
      <c r="D8176" s="26" t="s">
        <v>64</v>
      </c>
      <c r="E8176" s="31">
        <v>46246.0</v>
      </c>
      <c r="F8176" s="26" t="s">
        <v>46</v>
      </c>
      <c r="H8176" s="26" t="s">
        <v>8235</v>
      </c>
      <c r="I8176" s="26" t="s">
        <v>970</v>
      </c>
      <c r="J8176" s="25" t="str">
        <f t="shared" si="100"/>
        <v>No</v>
      </c>
      <c r="K8176" s="25" t="str">
        <f t="shared" si="101"/>
        <v/>
      </c>
      <c r="L8176" s="25" t="str">
        <f t="shared" si="102"/>
        <v/>
      </c>
      <c r="M8176" s="25"/>
      <c r="O8176" s="25"/>
    </row>
    <row r="8177" ht="15.75" customHeight="1">
      <c r="A8177" s="25" t="str">
        <f>IFERROR(__xludf.DUMMYFUNCTION("IF(B8177="""","""",RIGHT(REGEXREPLACE(B8177&amp;"""",""[^0-9]"",""""),9))"),"772944136")</f>
        <v>772944136</v>
      </c>
      <c r="B8177" s="52">
        <v>7.72944136E8</v>
      </c>
      <c r="C8177" s="28" t="s">
        <v>8392</v>
      </c>
      <c r="D8177" s="26" t="s">
        <v>82</v>
      </c>
      <c r="E8177" s="31">
        <v>46246.0</v>
      </c>
      <c r="F8177" s="26" t="s">
        <v>46</v>
      </c>
      <c r="I8177" s="26" t="s">
        <v>970</v>
      </c>
      <c r="J8177" s="25" t="str">
        <f t="shared" si="100"/>
        <v>No</v>
      </c>
      <c r="K8177" s="25" t="str">
        <f t="shared" si="101"/>
        <v/>
      </c>
      <c r="L8177" s="25" t="str">
        <f t="shared" si="102"/>
        <v/>
      </c>
      <c r="M8177" s="25"/>
      <c r="O8177" s="25"/>
    </row>
    <row r="8178" ht="15.75" customHeight="1">
      <c r="A8178" s="25" t="str">
        <f>IFERROR(__xludf.DUMMYFUNCTION("IF(B8178="""","""",RIGHT(REGEXREPLACE(B8178&amp;"""",""[^0-9]"",""""),9))"),"702944726")</f>
        <v>702944726</v>
      </c>
      <c r="B8178" s="52">
        <v>7.02944726E8</v>
      </c>
      <c r="C8178" s="28" t="s">
        <v>8393</v>
      </c>
      <c r="D8178" s="26" t="s">
        <v>56</v>
      </c>
      <c r="E8178" s="31">
        <v>46246.0</v>
      </c>
      <c r="F8178" s="26" t="s">
        <v>46</v>
      </c>
      <c r="G8178" s="26">
        <v>11.0</v>
      </c>
      <c r="I8178" s="26" t="s">
        <v>970</v>
      </c>
      <c r="J8178" s="25" t="str">
        <f t="shared" si="100"/>
        <v>No</v>
      </c>
      <c r="K8178" s="25" t="str">
        <f t="shared" si="101"/>
        <v/>
      </c>
      <c r="L8178" s="25" t="str">
        <f t="shared" si="102"/>
        <v/>
      </c>
      <c r="M8178" s="25"/>
      <c r="O8178" s="25"/>
    </row>
    <row r="8179" ht="15.75" customHeight="1">
      <c r="A8179" s="25" t="str">
        <f>IFERROR(__xludf.DUMMYFUNCTION("IF(B8179="""","""",RIGHT(REGEXREPLACE(B8179&amp;"""",""[^0-9]"",""""),9))"),"718870095")</f>
        <v>718870095</v>
      </c>
      <c r="B8179" s="52">
        <v>7.18870095E8</v>
      </c>
      <c r="C8179" s="28" t="s">
        <v>8394</v>
      </c>
      <c r="D8179" s="26" t="s">
        <v>64</v>
      </c>
      <c r="E8179" s="31">
        <v>46246.0</v>
      </c>
      <c r="F8179" s="26" t="s">
        <v>41</v>
      </c>
      <c r="H8179" s="26" t="s">
        <v>8235</v>
      </c>
      <c r="I8179" s="26" t="s">
        <v>970</v>
      </c>
      <c r="J8179" s="25" t="str">
        <f t="shared" si="100"/>
        <v>No</v>
      </c>
      <c r="K8179" s="25" t="str">
        <f t="shared" si="101"/>
        <v/>
      </c>
      <c r="L8179" s="25" t="str">
        <f t="shared" si="102"/>
        <v/>
      </c>
      <c r="M8179" s="25"/>
      <c r="O8179" s="25"/>
    </row>
    <row r="8180" ht="15.75" customHeight="1">
      <c r="A8180" s="25" t="str">
        <f>IFERROR(__xludf.DUMMYFUNCTION("IF(B8180="""","""",RIGHT(REGEXREPLACE(B8180&amp;"""",""[^0-9]"",""""),9))"),"706746343")</f>
        <v>706746343</v>
      </c>
      <c r="B8180" s="52">
        <v>7.06746343E8</v>
      </c>
      <c r="C8180" s="28" t="s">
        <v>8395</v>
      </c>
      <c r="D8180" s="26" t="s">
        <v>64</v>
      </c>
      <c r="E8180" s="31">
        <v>46246.0</v>
      </c>
      <c r="F8180" s="26" t="s">
        <v>41</v>
      </c>
      <c r="H8180" s="26" t="s">
        <v>8235</v>
      </c>
      <c r="I8180" s="26" t="s">
        <v>970</v>
      </c>
      <c r="J8180" s="25" t="str">
        <f t="shared" si="100"/>
        <v>No</v>
      </c>
      <c r="K8180" s="25" t="str">
        <f t="shared" si="101"/>
        <v/>
      </c>
      <c r="L8180" s="25" t="str">
        <f t="shared" si="102"/>
        <v/>
      </c>
      <c r="M8180" s="25"/>
      <c r="O8180" s="25"/>
    </row>
    <row r="8181" ht="15.75" customHeight="1">
      <c r="A8181" s="25" t="str">
        <f>IFERROR(__xludf.DUMMYFUNCTION("IF(B8181="""","""",RIGHT(REGEXREPLACE(B8181&amp;"""",""[^0-9]"",""""),9))"),"766244403")</f>
        <v>766244403</v>
      </c>
      <c r="B8181" s="52">
        <v>7.66244403E8</v>
      </c>
      <c r="C8181" s="28" t="s">
        <v>8396</v>
      </c>
      <c r="D8181" s="26" t="s">
        <v>82</v>
      </c>
      <c r="E8181" s="31">
        <v>46246.0</v>
      </c>
      <c r="F8181" s="26" t="s">
        <v>46</v>
      </c>
      <c r="G8181" s="26">
        <v>10.0</v>
      </c>
      <c r="I8181" s="26" t="s">
        <v>970</v>
      </c>
      <c r="J8181" s="25" t="str">
        <f t="shared" si="100"/>
        <v>No</v>
      </c>
      <c r="K8181" s="25" t="str">
        <f t="shared" si="101"/>
        <v/>
      </c>
      <c r="L8181" s="25" t="str">
        <f t="shared" si="102"/>
        <v/>
      </c>
      <c r="M8181" s="25"/>
      <c r="O8181" s="25"/>
    </row>
    <row r="8182" ht="15.75" customHeight="1">
      <c r="A8182" s="25" t="str">
        <f>IFERROR(__xludf.DUMMYFUNCTION("IF(B8182="""","""",RIGHT(REGEXREPLACE(B8182&amp;"""",""[^0-9]"",""""),9))"),"704779820")</f>
        <v>704779820</v>
      </c>
      <c r="B8182" s="26" t="s">
        <v>8397</v>
      </c>
      <c r="C8182" s="28" t="s">
        <v>8398</v>
      </c>
      <c r="D8182" s="26" t="s">
        <v>45</v>
      </c>
      <c r="E8182" s="31">
        <v>46246.0</v>
      </c>
      <c r="F8182" s="26" t="s">
        <v>659</v>
      </c>
      <c r="I8182" s="26" t="s">
        <v>892</v>
      </c>
      <c r="J8182" s="25" t="str">
        <f t="shared" si="100"/>
        <v>No</v>
      </c>
      <c r="K8182" s="25" t="str">
        <f t="shared" si="101"/>
        <v/>
      </c>
      <c r="L8182" s="25" t="str">
        <f t="shared" si="102"/>
        <v/>
      </c>
      <c r="M8182" s="25"/>
      <c r="O8182" s="25"/>
    </row>
    <row r="8183" ht="15.75" customHeight="1">
      <c r="A8183" s="25" t="str">
        <f>IFERROR(__xludf.DUMMYFUNCTION("IF(B8183="""","""",RIGHT(REGEXREPLACE(B8183&amp;"""",""[^0-9]"",""""),9))"),"768654295")</f>
        <v>768654295</v>
      </c>
      <c r="B8183" s="52">
        <v>7.68654295E8</v>
      </c>
      <c r="C8183" s="28" t="s">
        <v>8399</v>
      </c>
      <c r="D8183" s="26" t="s">
        <v>64</v>
      </c>
      <c r="E8183" s="31">
        <v>46246.0</v>
      </c>
      <c r="F8183" s="26" t="s">
        <v>46</v>
      </c>
      <c r="G8183" s="26">
        <v>9.0</v>
      </c>
      <c r="I8183" s="26" t="s">
        <v>970</v>
      </c>
      <c r="J8183" s="25" t="str">
        <f t="shared" si="100"/>
        <v>No</v>
      </c>
      <c r="K8183" s="25" t="str">
        <f t="shared" si="101"/>
        <v/>
      </c>
      <c r="L8183" s="25" t="str">
        <f t="shared" si="102"/>
        <v/>
      </c>
      <c r="M8183" s="25"/>
      <c r="O8183" s="25"/>
    </row>
    <row r="8184" ht="15.75" customHeight="1">
      <c r="A8184" s="25" t="str">
        <f>IFERROR(__xludf.DUMMYFUNCTION("IF(B8184="""","""",RIGHT(REGEXREPLACE(B8184&amp;"""",""[^0-9]"",""""),9))"),"774933176")</f>
        <v>774933176</v>
      </c>
      <c r="B8184" s="52">
        <v>7.74933176E8</v>
      </c>
      <c r="C8184" s="28" t="s">
        <v>8400</v>
      </c>
      <c r="D8184" s="26" t="s">
        <v>82</v>
      </c>
      <c r="E8184" s="31">
        <v>46246.0</v>
      </c>
      <c r="F8184" s="26" t="s">
        <v>46</v>
      </c>
      <c r="G8184" s="26">
        <v>11.0</v>
      </c>
      <c r="I8184" s="26" t="s">
        <v>970</v>
      </c>
      <c r="J8184" s="25" t="str">
        <f t="shared" si="100"/>
        <v>No</v>
      </c>
      <c r="K8184" s="25" t="str">
        <f t="shared" si="101"/>
        <v/>
      </c>
      <c r="L8184" s="25" t="str">
        <f t="shared" si="102"/>
        <v/>
      </c>
      <c r="M8184" s="25"/>
      <c r="O8184" s="25"/>
    </row>
    <row r="8185" ht="15.75" customHeight="1">
      <c r="A8185" s="25" t="str">
        <f>IFERROR(__xludf.DUMMYFUNCTION("IF(B8185="""","""",RIGHT(REGEXREPLACE(B8185&amp;"""",""[^0-9]"",""""),9))"),"767357049")</f>
        <v>767357049</v>
      </c>
      <c r="B8185" s="52">
        <v>7.67357049E8</v>
      </c>
      <c r="C8185" s="28" t="s">
        <v>8401</v>
      </c>
      <c r="D8185" s="26" t="s">
        <v>56</v>
      </c>
      <c r="E8185" s="31">
        <v>46246.0</v>
      </c>
      <c r="F8185" s="26" t="s">
        <v>46</v>
      </c>
      <c r="G8185" s="26">
        <v>8.0</v>
      </c>
      <c r="I8185" s="26" t="s">
        <v>970</v>
      </c>
      <c r="J8185" s="25" t="str">
        <f t="shared" si="100"/>
        <v>No</v>
      </c>
      <c r="K8185" s="25" t="str">
        <f t="shared" si="101"/>
        <v/>
      </c>
      <c r="L8185" s="25" t="str">
        <f t="shared" si="102"/>
        <v/>
      </c>
      <c r="M8185" s="25"/>
      <c r="O8185" s="25"/>
    </row>
    <row r="8186" ht="15.75" customHeight="1">
      <c r="A8186" s="25" t="str">
        <f>IFERROR(__xludf.DUMMYFUNCTION("IF(B8186="""","""",RIGHT(REGEXREPLACE(B8186&amp;"""",""[^0-9]"",""""),9))"),"719979865")</f>
        <v>719979865</v>
      </c>
      <c r="B8186" s="52">
        <v>7.19979865E8</v>
      </c>
      <c r="C8186" s="28" t="s">
        <v>8399</v>
      </c>
      <c r="D8186" s="26" t="s">
        <v>64</v>
      </c>
      <c r="E8186" s="31">
        <v>46246.0</v>
      </c>
      <c r="F8186" s="26" t="s">
        <v>205</v>
      </c>
      <c r="H8186" s="26" t="s">
        <v>8235</v>
      </c>
      <c r="I8186" s="26" t="s">
        <v>970</v>
      </c>
      <c r="J8186" s="25" t="str">
        <f t="shared" si="100"/>
        <v>No</v>
      </c>
      <c r="K8186" s="25" t="str">
        <f t="shared" si="101"/>
        <v/>
      </c>
      <c r="L8186" s="25" t="str">
        <f t="shared" si="102"/>
        <v/>
      </c>
      <c r="M8186" s="25"/>
      <c r="O8186" s="25"/>
    </row>
    <row r="8187" ht="15.75" customHeight="1">
      <c r="A8187" s="25" t="str">
        <f>IFERROR(__xludf.DUMMYFUNCTION("IF(B8187="""","""",RIGHT(REGEXREPLACE(B8187&amp;"""",""[^0-9]"",""""),9))"),"777552028")</f>
        <v>777552028</v>
      </c>
      <c r="B8187" s="52">
        <v>7.77552028E8</v>
      </c>
      <c r="C8187" s="28" t="s">
        <v>8402</v>
      </c>
      <c r="D8187" s="26" t="s">
        <v>56</v>
      </c>
      <c r="E8187" s="31">
        <v>46246.0</v>
      </c>
      <c r="F8187" s="26" t="s">
        <v>46</v>
      </c>
      <c r="H8187" s="26" t="s">
        <v>8235</v>
      </c>
      <c r="I8187" s="26" t="s">
        <v>970</v>
      </c>
      <c r="J8187" s="25" t="str">
        <f t="shared" si="100"/>
        <v>No</v>
      </c>
      <c r="K8187" s="25" t="str">
        <f t="shared" si="101"/>
        <v/>
      </c>
      <c r="L8187" s="25" t="str">
        <f t="shared" si="102"/>
        <v/>
      </c>
      <c r="M8187" s="25"/>
      <c r="O8187" s="25"/>
    </row>
    <row r="8188" ht="15.75" customHeight="1">
      <c r="A8188" s="25" t="str">
        <f>IFERROR(__xludf.DUMMYFUNCTION("IF(B8188="""","""",RIGHT(REGEXREPLACE(B8188&amp;"""",""[^0-9]"",""""),9))"),"771564835")</f>
        <v>771564835</v>
      </c>
      <c r="B8188" s="52">
        <v>7.71564835E8</v>
      </c>
      <c r="C8188" s="28" t="s">
        <v>8403</v>
      </c>
      <c r="D8188" s="26" t="s">
        <v>82</v>
      </c>
      <c r="E8188" s="31">
        <v>46246.0</v>
      </c>
      <c r="F8188" s="26" t="s">
        <v>659</v>
      </c>
      <c r="I8188" s="26" t="s">
        <v>970</v>
      </c>
      <c r="J8188" s="25" t="str">
        <f t="shared" si="100"/>
        <v>No</v>
      </c>
      <c r="K8188" s="25" t="str">
        <f t="shared" si="101"/>
        <v/>
      </c>
      <c r="L8188" s="25" t="str">
        <f t="shared" si="102"/>
        <v/>
      </c>
      <c r="M8188" s="25"/>
      <c r="O8188" s="25"/>
    </row>
    <row r="8189" ht="15.75" customHeight="1">
      <c r="A8189" s="25" t="str">
        <f>IFERROR(__xludf.DUMMYFUNCTION("IF(B8189="""","""",RIGHT(REGEXREPLACE(B8189&amp;"""",""[^0-9]"",""""),9))"),"740628680")</f>
        <v>740628680</v>
      </c>
      <c r="B8189" s="26" t="s">
        <v>8404</v>
      </c>
      <c r="C8189" s="28" t="s">
        <v>8403</v>
      </c>
      <c r="D8189" s="26" t="s">
        <v>45</v>
      </c>
      <c r="E8189" s="31">
        <v>46246.0</v>
      </c>
      <c r="F8189" s="26" t="s">
        <v>46</v>
      </c>
      <c r="G8189" s="26">
        <v>10.0</v>
      </c>
      <c r="I8189" s="26" t="s">
        <v>892</v>
      </c>
      <c r="J8189" s="25" t="str">
        <f t="shared" si="100"/>
        <v>No</v>
      </c>
      <c r="K8189" s="25" t="str">
        <f t="shared" si="101"/>
        <v/>
      </c>
      <c r="L8189" s="25" t="str">
        <f t="shared" si="102"/>
        <v/>
      </c>
      <c r="M8189" s="25"/>
      <c r="O8189" s="25"/>
    </row>
    <row r="8190" ht="15.75" customHeight="1">
      <c r="A8190" s="25" t="str">
        <f>IFERROR(__xludf.DUMMYFUNCTION("IF(B8190="""","""",RIGHT(REGEXREPLACE(B8190&amp;"""",""[^0-9]"",""""),9))"),"770723307")</f>
        <v>770723307</v>
      </c>
      <c r="B8190" s="52">
        <v>7.70723307E8</v>
      </c>
      <c r="C8190" s="28" t="s">
        <v>8405</v>
      </c>
      <c r="D8190" s="26" t="s">
        <v>64</v>
      </c>
      <c r="E8190" s="31">
        <v>46246.0</v>
      </c>
      <c r="F8190" s="26" t="s">
        <v>41</v>
      </c>
      <c r="I8190" s="26" t="s">
        <v>970</v>
      </c>
      <c r="J8190" s="25" t="str">
        <f t="shared" si="100"/>
        <v>No</v>
      </c>
      <c r="K8190" s="25" t="str">
        <f t="shared" si="101"/>
        <v/>
      </c>
      <c r="L8190" s="25" t="str">
        <f t="shared" si="102"/>
        <v/>
      </c>
      <c r="M8190" s="25"/>
      <c r="O8190" s="25"/>
    </row>
    <row r="8191" ht="15.75" customHeight="1">
      <c r="A8191" s="25" t="str">
        <f>IFERROR(__xludf.DUMMYFUNCTION("IF(B8191="""","""",RIGHT(REGEXREPLACE(B8191&amp;"""",""[^0-9]"",""""),9))"),"727767711")</f>
        <v>727767711</v>
      </c>
      <c r="B8191" s="52">
        <v>7.27767711E8</v>
      </c>
      <c r="C8191" s="28" t="s">
        <v>8406</v>
      </c>
      <c r="D8191" s="26" t="s">
        <v>82</v>
      </c>
      <c r="E8191" s="31">
        <v>46246.0</v>
      </c>
      <c r="F8191" s="26" t="s">
        <v>41</v>
      </c>
      <c r="I8191" s="26" t="s">
        <v>970</v>
      </c>
      <c r="J8191" s="25" t="str">
        <f t="shared" si="100"/>
        <v>No</v>
      </c>
      <c r="K8191" s="25" t="str">
        <f t="shared" si="101"/>
        <v/>
      </c>
      <c r="L8191" s="25" t="str">
        <f t="shared" si="102"/>
        <v/>
      </c>
      <c r="M8191" s="25"/>
      <c r="O8191" s="25"/>
    </row>
    <row r="8192" ht="15.75" customHeight="1">
      <c r="A8192" s="25" t="str">
        <f>IFERROR(__xludf.DUMMYFUNCTION("IF(B8192="""","""",RIGHT(REGEXREPLACE(B8192&amp;"""",""[^0-9]"",""""),9))"),"742672842")</f>
        <v>742672842</v>
      </c>
      <c r="B8192" s="26" t="s">
        <v>8407</v>
      </c>
      <c r="C8192" s="28" t="s">
        <v>8408</v>
      </c>
      <c r="D8192" s="26" t="s">
        <v>45</v>
      </c>
      <c r="E8192" s="31">
        <v>46246.0</v>
      </c>
      <c r="F8192" s="26" t="s">
        <v>46</v>
      </c>
      <c r="G8192" s="26">
        <v>10.0</v>
      </c>
      <c r="I8192" s="26" t="s">
        <v>892</v>
      </c>
      <c r="J8192" s="25" t="str">
        <f t="shared" si="100"/>
        <v>No</v>
      </c>
      <c r="K8192" s="25" t="str">
        <f t="shared" si="101"/>
        <v/>
      </c>
      <c r="L8192" s="25" t="str">
        <f t="shared" si="102"/>
        <v/>
      </c>
      <c r="M8192" s="25"/>
      <c r="O8192" s="25"/>
    </row>
    <row r="8193" ht="15.75" customHeight="1">
      <c r="A8193" s="25" t="str">
        <f>IFERROR(__xludf.DUMMYFUNCTION("IF(B8193="""","""",RIGHT(REGEXREPLACE(B8193&amp;"""",""[^0-9]"",""""),9))"),"762004086")</f>
        <v>762004086</v>
      </c>
      <c r="B8193" s="52">
        <v>7.62004086E8</v>
      </c>
      <c r="C8193" s="28" t="s">
        <v>8409</v>
      </c>
      <c r="D8193" s="26" t="s">
        <v>49</v>
      </c>
      <c r="E8193" s="31">
        <v>46246.0</v>
      </c>
      <c r="F8193" s="26" t="s">
        <v>46</v>
      </c>
      <c r="G8193" s="26">
        <v>11.0</v>
      </c>
      <c r="I8193" s="26" t="s">
        <v>970</v>
      </c>
      <c r="J8193" s="25" t="str">
        <f t="shared" si="100"/>
        <v>No</v>
      </c>
      <c r="K8193" s="25" t="str">
        <f t="shared" si="101"/>
        <v/>
      </c>
      <c r="L8193" s="25" t="str">
        <f t="shared" si="102"/>
        <v/>
      </c>
      <c r="M8193" s="25"/>
      <c r="O8193" s="25"/>
    </row>
    <row r="8194" ht="15.75" customHeight="1">
      <c r="A8194" s="25" t="str">
        <f>IFERROR(__xludf.DUMMYFUNCTION("IF(B8194="""","""",RIGHT(REGEXREPLACE(B8194&amp;"""",""[^0-9]"",""""),9))"),"768822791")</f>
        <v>768822791</v>
      </c>
      <c r="B8194" s="52">
        <v>7.68822791E8</v>
      </c>
      <c r="C8194" s="28" t="s">
        <v>8410</v>
      </c>
      <c r="D8194" s="26" t="s">
        <v>56</v>
      </c>
      <c r="E8194" s="31">
        <v>46246.0</v>
      </c>
      <c r="F8194" s="26" t="s">
        <v>46</v>
      </c>
      <c r="H8194" s="26" t="s">
        <v>8235</v>
      </c>
      <c r="I8194" s="26" t="s">
        <v>970</v>
      </c>
      <c r="J8194" s="25" t="str">
        <f t="shared" si="100"/>
        <v>No</v>
      </c>
      <c r="K8194" s="25" t="str">
        <f t="shared" si="101"/>
        <v/>
      </c>
      <c r="L8194" s="25" t="str">
        <f t="shared" si="102"/>
        <v/>
      </c>
      <c r="M8194" s="25"/>
      <c r="O8194" s="25"/>
    </row>
    <row r="8195" ht="15.75" customHeight="1">
      <c r="A8195" s="25" t="str">
        <f>IFERROR(__xludf.DUMMYFUNCTION("IF(B8195="""","""",RIGHT(REGEXREPLACE(B8195&amp;"""",""[^0-9]"",""""),9))"),"728270885")</f>
        <v>728270885</v>
      </c>
      <c r="B8195" s="52">
        <v>7.28270885E8</v>
      </c>
      <c r="C8195" s="28" t="s">
        <v>8410</v>
      </c>
      <c r="D8195" s="26" t="s">
        <v>64</v>
      </c>
      <c r="E8195" s="31">
        <v>46246.0</v>
      </c>
      <c r="F8195" s="26" t="s">
        <v>41</v>
      </c>
      <c r="H8195" s="26" t="s">
        <v>8235</v>
      </c>
      <c r="I8195" s="26" t="s">
        <v>970</v>
      </c>
      <c r="J8195" s="25" t="str">
        <f t="shared" si="100"/>
        <v>No</v>
      </c>
      <c r="K8195" s="25" t="str">
        <f t="shared" si="101"/>
        <v/>
      </c>
      <c r="L8195" s="25" t="str">
        <f t="shared" si="102"/>
        <v/>
      </c>
      <c r="M8195" s="25"/>
      <c r="O8195" s="25"/>
    </row>
    <row r="8196" ht="15.75" customHeight="1">
      <c r="A8196" s="25" t="str">
        <f>IFERROR(__xludf.DUMMYFUNCTION("IF(B8196="""","""",RIGHT(REGEXREPLACE(B8196&amp;"""",""[^0-9]"",""""),9))"),"763244969")</f>
        <v>763244969</v>
      </c>
      <c r="B8196" s="52">
        <v>7.63244969E8</v>
      </c>
      <c r="C8196" s="28" t="s">
        <v>8411</v>
      </c>
      <c r="D8196" s="26" t="s">
        <v>82</v>
      </c>
      <c r="E8196" s="31">
        <v>46246.0</v>
      </c>
      <c r="F8196" s="26" t="s">
        <v>125</v>
      </c>
      <c r="G8196" s="26">
        <v>10.0</v>
      </c>
      <c r="H8196" s="26" t="s">
        <v>8412</v>
      </c>
      <c r="I8196" s="26" t="s">
        <v>970</v>
      </c>
      <c r="J8196" s="25" t="str">
        <f t="shared" si="100"/>
        <v>No</v>
      </c>
      <c r="K8196" s="25" t="str">
        <f t="shared" si="101"/>
        <v/>
      </c>
      <c r="L8196" s="25" t="str">
        <f t="shared" si="102"/>
        <v/>
      </c>
      <c r="M8196" s="25"/>
      <c r="O8196" s="25"/>
    </row>
    <row r="8197" ht="15.75" customHeight="1">
      <c r="A8197" s="25" t="str">
        <f>IFERROR(__xludf.DUMMYFUNCTION("IF(B8197="""","""",RIGHT(REGEXREPLACE(B8197&amp;"""",""[^0-9]"",""""),9))"),"775226451")</f>
        <v>775226451</v>
      </c>
      <c r="B8197" s="52">
        <v>7.75226451E8</v>
      </c>
      <c r="C8197" s="28" t="s">
        <v>8413</v>
      </c>
      <c r="D8197" s="26" t="s">
        <v>64</v>
      </c>
      <c r="E8197" s="31">
        <v>46246.0</v>
      </c>
      <c r="F8197" s="26" t="s">
        <v>659</v>
      </c>
      <c r="H8197" s="26" t="s">
        <v>8235</v>
      </c>
      <c r="I8197" s="26" t="s">
        <v>970</v>
      </c>
      <c r="J8197" s="25" t="str">
        <f t="shared" si="100"/>
        <v>No</v>
      </c>
      <c r="K8197" s="25" t="str">
        <f t="shared" si="101"/>
        <v/>
      </c>
      <c r="L8197" s="25" t="str">
        <f t="shared" si="102"/>
        <v/>
      </c>
      <c r="M8197" s="25"/>
      <c r="O8197" s="25"/>
    </row>
    <row r="8198" ht="15.75" customHeight="1">
      <c r="A8198" s="25" t="str">
        <f>IFERROR(__xludf.DUMMYFUNCTION("IF(B8198="""","""",RIGHT(REGEXREPLACE(B8198&amp;"""",""[^0-9]"",""""),9))"),"")</f>
        <v/>
      </c>
      <c r="B8198" s="52"/>
      <c r="C8198" s="28" t="s">
        <v>8414</v>
      </c>
      <c r="D8198" s="25"/>
      <c r="E8198" s="31">
        <v>46246.0</v>
      </c>
      <c r="F8198" s="25"/>
      <c r="G8198" s="25"/>
      <c r="H8198" s="25"/>
      <c r="I8198" s="26" t="s">
        <v>970</v>
      </c>
      <c r="J8198" s="25" t="str">
        <f t="shared" si="100"/>
        <v>Yes - see Previous F-Code</v>
      </c>
      <c r="K8198" s="25" t="str">
        <f t="shared" si="101"/>
        <v>DUPLICATE - CHECK</v>
      </c>
      <c r="L8198" s="25" t="str">
        <f t="shared" si="102"/>
        <v/>
      </c>
      <c r="M8198" s="25"/>
      <c r="N8198" s="25"/>
      <c r="O8198" s="25"/>
      <c r="P8198" s="25"/>
    </row>
    <row r="8199" ht="15.75" customHeight="1">
      <c r="A8199" s="25" t="str">
        <f>IFERROR(__xludf.DUMMYFUNCTION("IF(B8199="""","""",RIGHT(REGEXREPLACE(B8199&amp;"""",""[^0-9]"",""""),9))"),"769611848")</f>
        <v>769611848</v>
      </c>
      <c r="B8199" s="52">
        <v>7.69611848E8</v>
      </c>
      <c r="C8199" s="28" t="s">
        <v>8415</v>
      </c>
      <c r="D8199" s="26" t="s">
        <v>49</v>
      </c>
      <c r="E8199" s="31">
        <v>46246.0</v>
      </c>
      <c r="F8199" s="26" t="s">
        <v>46</v>
      </c>
      <c r="G8199" s="26">
        <v>11.0</v>
      </c>
      <c r="H8199" s="117" t="s">
        <v>8416</v>
      </c>
      <c r="I8199" s="26" t="s">
        <v>970</v>
      </c>
      <c r="J8199" s="25" t="str">
        <f t="shared" si="100"/>
        <v>No</v>
      </c>
      <c r="K8199" s="25" t="str">
        <f t="shared" si="101"/>
        <v/>
      </c>
      <c r="L8199" s="25" t="str">
        <f t="shared" si="102"/>
        <v/>
      </c>
      <c r="M8199" s="25"/>
      <c r="O8199" s="25"/>
    </row>
    <row r="8200" ht="15.75" customHeight="1">
      <c r="A8200" s="25" t="str">
        <f>IFERROR(__xludf.DUMMYFUNCTION("IF(B8200="""","""",RIGHT(REGEXREPLACE(B8200&amp;"""",""[^0-9]"",""""),9))"),"760446835")</f>
        <v>760446835</v>
      </c>
      <c r="B8200" s="52">
        <v>7.60446835E8</v>
      </c>
      <c r="C8200" s="28" t="s">
        <v>8415</v>
      </c>
      <c r="D8200" s="26" t="s">
        <v>64</v>
      </c>
      <c r="E8200" s="31">
        <v>46246.0</v>
      </c>
      <c r="F8200" s="26" t="s">
        <v>41</v>
      </c>
      <c r="H8200" s="26" t="s">
        <v>8235</v>
      </c>
      <c r="I8200" s="26" t="s">
        <v>970</v>
      </c>
      <c r="J8200" s="25" t="str">
        <f t="shared" si="100"/>
        <v>No</v>
      </c>
      <c r="K8200" s="25" t="str">
        <f t="shared" si="101"/>
        <v/>
      </c>
      <c r="L8200" s="25" t="str">
        <f t="shared" si="102"/>
        <v/>
      </c>
      <c r="M8200" s="25"/>
      <c r="O8200" s="25"/>
    </row>
    <row r="8201" ht="15.75" customHeight="1">
      <c r="A8201" s="25" t="str">
        <f>IFERROR(__xludf.DUMMYFUNCTION("IF(B8201="""","""",RIGHT(REGEXREPLACE(B8201&amp;"""",""[^0-9]"",""""),9))"),"755352520")</f>
        <v>755352520</v>
      </c>
      <c r="B8201" s="52">
        <v>7.5535252E8</v>
      </c>
      <c r="C8201" s="28" t="s">
        <v>3295</v>
      </c>
      <c r="D8201" s="26" t="s">
        <v>45</v>
      </c>
      <c r="E8201" s="31">
        <v>46246.0</v>
      </c>
      <c r="F8201" s="26" t="s">
        <v>125</v>
      </c>
      <c r="I8201" s="26" t="s">
        <v>970</v>
      </c>
      <c r="J8201" s="25" t="str">
        <f t="shared" si="100"/>
        <v>Yes - see Previous F-Code</v>
      </c>
      <c r="K8201" s="25" t="str">
        <f t="shared" si="101"/>
        <v/>
      </c>
      <c r="L8201" s="25" t="str">
        <f t="shared" si="102"/>
        <v>F72956</v>
      </c>
      <c r="M8201" s="25"/>
      <c r="O8201" s="25"/>
    </row>
    <row r="8202" ht="15.75" customHeight="1">
      <c r="A8202" s="25" t="str">
        <f>IFERROR(__xludf.DUMMYFUNCTION("IF(B8202="""","""",RIGHT(REGEXREPLACE(B8202&amp;"""",""[^0-9]"",""""),9))"),"773070124")</f>
        <v>773070124</v>
      </c>
      <c r="B8202" s="52">
        <v>7.73070124E8</v>
      </c>
      <c r="C8202" s="28" t="s">
        <v>8417</v>
      </c>
      <c r="D8202" s="26" t="s">
        <v>64</v>
      </c>
      <c r="E8202" s="31">
        <v>46246.0</v>
      </c>
      <c r="F8202" s="26" t="s">
        <v>46</v>
      </c>
      <c r="H8202" s="26" t="s">
        <v>8418</v>
      </c>
      <c r="I8202" s="26" t="s">
        <v>970</v>
      </c>
      <c r="J8202" s="25" t="str">
        <f t="shared" si="100"/>
        <v>No</v>
      </c>
      <c r="K8202" s="25" t="str">
        <f t="shared" si="101"/>
        <v/>
      </c>
      <c r="L8202" s="25" t="str">
        <f t="shared" si="102"/>
        <v/>
      </c>
      <c r="M8202" s="25"/>
      <c r="O8202" s="25"/>
    </row>
    <row r="8203" ht="15.75" customHeight="1">
      <c r="A8203" s="25" t="str">
        <f>IFERROR(__xludf.DUMMYFUNCTION("IF(B8203="""","""",RIGHT(REGEXREPLACE(B8203&amp;"""",""[^0-9]"",""""),9))"),"771019474")</f>
        <v>771019474</v>
      </c>
      <c r="B8203" s="52">
        <v>7.71019474E8</v>
      </c>
      <c r="C8203" s="28" t="s">
        <v>8419</v>
      </c>
      <c r="D8203" s="26" t="s">
        <v>82</v>
      </c>
      <c r="E8203" s="31">
        <v>46246.0</v>
      </c>
      <c r="F8203" s="26" t="s">
        <v>46</v>
      </c>
      <c r="H8203" s="26" t="s">
        <v>6087</v>
      </c>
      <c r="I8203" s="26" t="s">
        <v>970</v>
      </c>
      <c r="J8203" s="25" t="str">
        <f t="shared" si="100"/>
        <v>No</v>
      </c>
      <c r="K8203" s="25" t="str">
        <f t="shared" si="101"/>
        <v/>
      </c>
      <c r="L8203" s="25" t="str">
        <f t="shared" si="102"/>
        <v/>
      </c>
      <c r="M8203" s="25"/>
      <c r="O8203" s="25"/>
    </row>
    <row r="8204" ht="15.75" customHeight="1">
      <c r="A8204" s="25" t="str">
        <f>IFERROR(__xludf.DUMMYFUNCTION("IF(B8204="""","""",RIGHT(REGEXREPLACE(B8204&amp;"""",""[^0-9]"",""""),9))"),"750635516")</f>
        <v>750635516</v>
      </c>
      <c r="B8204" s="52">
        <v>7.50635516E8</v>
      </c>
      <c r="C8204" s="28" t="s">
        <v>8420</v>
      </c>
      <c r="D8204" s="26" t="s">
        <v>45</v>
      </c>
      <c r="E8204" s="31">
        <v>46246.0</v>
      </c>
      <c r="F8204" s="26" t="s">
        <v>205</v>
      </c>
      <c r="I8204" s="26" t="s">
        <v>970</v>
      </c>
      <c r="J8204" s="25" t="str">
        <f t="shared" si="100"/>
        <v>No</v>
      </c>
      <c r="K8204" s="25" t="str">
        <f t="shared" si="101"/>
        <v/>
      </c>
      <c r="L8204" s="25" t="str">
        <f t="shared" si="102"/>
        <v/>
      </c>
      <c r="M8204" s="25"/>
      <c r="O8204" s="25"/>
    </row>
    <row r="8205" ht="15.75" customHeight="1">
      <c r="A8205" s="25" t="str">
        <f>IFERROR(__xludf.DUMMYFUNCTION("IF(B8205="""","""",RIGHT(REGEXREPLACE(B8205&amp;"""",""[^0-9]"",""""),9))"),"772239927")</f>
        <v>772239927</v>
      </c>
      <c r="B8205" s="52">
        <v>7.72239927E8</v>
      </c>
      <c r="C8205" s="28" t="s">
        <v>8421</v>
      </c>
      <c r="D8205" s="26" t="s">
        <v>45</v>
      </c>
      <c r="E8205" s="31">
        <v>46246.0</v>
      </c>
      <c r="F8205" s="26" t="s">
        <v>46</v>
      </c>
      <c r="G8205" s="26">
        <v>10.0</v>
      </c>
      <c r="I8205" s="26" t="s">
        <v>970</v>
      </c>
      <c r="J8205" s="25" t="str">
        <f t="shared" si="100"/>
        <v>No</v>
      </c>
      <c r="K8205" s="25" t="str">
        <f t="shared" si="101"/>
        <v/>
      </c>
      <c r="L8205" s="25" t="str">
        <f t="shared" si="102"/>
        <v/>
      </c>
      <c r="M8205" s="25"/>
      <c r="O8205" s="25"/>
    </row>
    <row r="8206" ht="15.75" customHeight="1">
      <c r="A8206" s="25" t="str">
        <f>IFERROR(__xludf.DUMMYFUNCTION("IF(B8206="""","""",RIGHT(REGEXREPLACE(B8206&amp;"""",""[^0-9]"",""""),9))"),"721685884")</f>
        <v>721685884</v>
      </c>
      <c r="B8206" s="52">
        <v>7.21685884E8</v>
      </c>
      <c r="C8206" s="28" t="s">
        <v>8422</v>
      </c>
      <c r="D8206" s="26" t="s">
        <v>64</v>
      </c>
      <c r="E8206" s="31">
        <v>46246.0</v>
      </c>
      <c r="F8206" s="26" t="s">
        <v>205</v>
      </c>
      <c r="I8206" s="26" t="s">
        <v>970</v>
      </c>
      <c r="J8206" s="25" t="str">
        <f t="shared" si="100"/>
        <v>No</v>
      </c>
      <c r="K8206" s="25" t="str">
        <f t="shared" si="101"/>
        <v/>
      </c>
      <c r="L8206" s="25" t="str">
        <f t="shared" si="102"/>
        <v/>
      </c>
      <c r="M8206" s="25"/>
      <c r="O8206" s="25"/>
    </row>
    <row r="8207" ht="15.75" customHeight="1">
      <c r="A8207" s="25" t="str">
        <f>IFERROR(__xludf.DUMMYFUNCTION("IF(B8207="""","""",RIGHT(REGEXREPLACE(B8207&amp;"""",""[^0-9]"",""""),9))"),"769619152")</f>
        <v>769619152</v>
      </c>
      <c r="B8207" s="52">
        <v>7.69619152E8</v>
      </c>
      <c r="C8207" s="28" t="s">
        <v>8423</v>
      </c>
      <c r="D8207" s="26" t="s">
        <v>45</v>
      </c>
      <c r="E8207" s="31">
        <v>46246.0</v>
      </c>
      <c r="F8207" s="26" t="s">
        <v>41</v>
      </c>
      <c r="I8207" s="26" t="s">
        <v>970</v>
      </c>
      <c r="J8207" s="25" t="str">
        <f t="shared" si="100"/>
        <v>No</v>
      </c>
      <c r="K8207" s="25" t="str">
        <f t="shared" si="101"/>
        <v/>
      </c>
      <c r="L8207" s="25" t="str">
        <f t="shared" si="102"/>
        <v/>
      </c>
      <c r="M8207" s="25"/>
      <c r="O8207" s="25"/>
    </row>
    <row r="8208" ht="15.75" customHeight="1">
      <c r="A8208" s="25" t="str">
        <f>IFERROR(__xludf.DUMMYFUNCTION("IF(B8208="""","""",RIGHT(REGEXREPLACE(B8208&amp;"""",""[^0-9]"",""""),9))"),"704150873")</f>
        <v>704150873</v>
      </c>
      <c r="B8208" s="52">
        <v>7.04150873E8</v>
      </c>
      <c r="C8208" s="28" t="s">
        <v>4081</v>
      </c>
      <c r="D8208" s="26" t="s">
        <v>82</v>
      </c>
      <c r="E8208" s="31">
        <v>46246.0</v>
      </c>
      <c r="F8208" s="26" t="s">
        <v>46</v>
      </c>
      <c r="H8208" s="26" t="s">
        <v>6087</v>
      </c>
      <c r="I8208" s="26" t="s">
        <v>970</v>
      </c>
      <c r="J8208" s="25" t="str">
        <f t="shared" si="100"/>
        <v>Yes - see Previous F-Code</v>
      </c>
      <c r="K8208" s="25" t="str">
        <f t="shared" si="101"/>
        <v/>
      </c>
      <c r="L8208" s="25" t="str">
        <f t="shared" si="102"/>
        <v>F73721</v>
      </c>
      <c r="M8208" s="25"/>
      <c r="O8208" s="25"/>
    </row>
    <row r="8209" ht="15.75" customHeight="1">
      <c r="A8209" s="25" t="str">
        <f>IFERROR(__xludf.DUMMYFUNCTION("IF(B8209="""","""",RIGHT(REGEXREPLACE(B8209&amp;"""",""[^0-9]"",""""),9))"),"714126422")</f>
        <v>714126422</v>
      </c>
      <c r="B8209" s="52">
        <v>7.14126422E8</v>
      </c>
      <c r="C8209" s="28" t="s">
        <v>8424</v>
      </c>
      <c r="D8209" s="26" t="s">
        <v>64</v>
      </c>
      <c r="E8209" s="31">
        <v>46246.0</v>
      </c>
      <c r="F8209" s="26" t="s">
        <v>205</v>
      </c>
      <c r="I8209" s="26" t="s">
        <v>970</v>
      </c>
      <c r="J8209" s="25" t="str">
        <f t="shared" si="100"/>
        <v>No</v>
      </c>
      <c r="K8209" s="25" t="str">
        <f t="shared" si="101"/>
        <v/>
      </c>
      <c r="L8209" s="25" t="str">
        <f t="shared" si="102"/>
        <v/>
      </c>
      <c r="M8209" s="25"/>
      <c r="O8209" s="25"/>
    </row>
    <row r="8210" ht="15.75" customHeight="1">
      <c r="A8210" s="25" t="str">
        <f>IFERROR(__xludf.DUMMYFUNCTION("IF(B8210="""","""",RIGHT(REGEXREPLACE(B8210&amp;"""",""[^0-9]"",""""),9))"),"768632277")</f>
        <v>768632277</v>
      </c>
      <c r="B8210" s="52">
        <v>7.68632277E8</v>
      </c>
      <c r="C8210" s="28" t="s">
        <v>8425</v>
      </c>
      <c r="D8210" s="26" t="s">
        <v>82</v>
      </c>
      <c r="E8210" s="31">
        <v>46246.0</v>
      </c>
      <c r="F8210" s="26" t="s">
        <v>41</v>
      </c>
      <c r="I8210" s="26" t="s">
        <v>970</v>
      </c>
      <c r="J8210" s="25" t="str">
        <f t="shared" si="100"/>
        <v>No</v>
      </c>
      <c r="K8210" s="25" t="str">
        <f t="shared" si="101"/>
        <v/>
      </c>
      <c r="L8210" s="25" t="str">
        <f t="shared" si="102"/>
        <v/>
      </c>
      <c r="M8210" s="25"/>
      <c r="O8210" s="25"/>
    </row>
    <row r="8211" ht="15.75" customHeight="1">
      <c r="A8211" s="25" t="str">
        <f>IFERROR(__xludf.DUMMYFUNCTION("IF(B8211="""","""",RIGHT(REGEXREPLACE(B8211&amp;"""",""[^0-9]"",""""),9))"),"717945039")</f>
        <v>717945039</v>
      </c>
      <c r="B8211" s="52">
        <v>7.17945039E8</v>
      </c>
      <c r="C8211" s="28" t="s">
        <v>8066</v>
      </c>
      <c r="D8211" s="26" t="s">
        <v>56</v>
      </c>
      <c r="E8211" s="31">
        <v>46246.0</v>
      </c>
      <c r="F8211" s="26" t="s">
        <v>205</v>
      </c>
      <c r="I8211" s="26" t="s">
        <v>970</v>
      </c>
      <c r="J8211" s="25" t="str">
        <f t="shared" si="100"/>
        <v>Yes - see Previous F-Code</v>
      </c>
      <c r="K8211" s="25" t="str">
        <f t="shared" si="101"/>
        <v>DUPLICATE - CHECK</v>
      </c>
      <c r="L8211" s="25" t="str">
        <f t="shared" si="102"/>
        <v>F76872</v>
      </c>
      <c r="M8211" s="25"/>
      <c r="O8211" s="25"/>
    </row>
    <row r="8212" ht="15.75" customHeight="1">
      <c r="A8212" s="25" t="str">
        <f>IFERROR(__xludf.DUMMYFUNCTION("IF(B8212="""","""",RIGHT(REGEXREPLACE(B8212&amp;"""",""[^0-9]"",""""),9))"),"713142147")</f>
        <v>713142147</v>
      </c>
      <c r="B8212" s="52">
        <v>7.13142147E8</v>
      </c>
      <c r="C8212" s="28" t="s">
        <v>8426</v>
      </c>
      <c r="D8212" s="26" t="s">
        <v>45</v>
      </c>
      <c r="E8212" s="31">
        <v>46246.0</v>
      </c>
      <c r="F8212" s="26" t="s">
        <v>46</v>
      </c>
      <c r="G8212" s="26">
        <v>11.0</v>
      </c>
      <c r="I8212" s="26" t="s">
        <v>970</v>
      </c>
      <c r="J8212" s="25" t="str">
        <f t="shared" si="100"/>
        <v>No</v>
      </c>
      <c r="K8212" s="25" t="str">
        <f t="shared" si="101"/>
        <v/>
      </c>
      <c r="L8212" s="25" t="str">
        <f t="shared" si="102"/>
        <v/>
      </c>
      <c r="M8212" s="25"/>
      <c r="O8212" s="25"/>
    </row>
    <row r="8213" ht="15.75" customHeight="1">
      <c r="A8213" s="25" t="str">
        <f>IFERROR(__xludf.DUMMYFUNCTION("IF(B8213="""","""",RIGHT(REGEXREPLACE(B8213&amp;"""",""[^0-9]"",""""),9))"),"770414428")</f>
        <v>770414428</v>
      </c>
      <c r="B8213" s="52">
        <v>7.70414428E8</v>
      </c>
      <c r="C8213" s="28" t="s">
        <v>8427</v>
      </c>
      <c r="D8213" s="26" t="s">
        <v>64</v>
      </c>
      <c r="E8213" s="31">
        <v>46246.0</v>
      </c>
      <c r="F8213" s="26" t="s">
        <v>41</v>
      </c>
      <c r="I8213" s="26" t="s">
        <v>970</v>
      </c>
      <c r="J8213" s="25" t="str">
        <f t="shared" si="100"/>
        <v>No</v>
      </c>
      <c r="K8213" s="25" t="str">
        <f t="shared" si="101"/>
        <v/>
      </c>
      <c r="L8213" s="25" t="str">
        <f t="shared" si="102"/>
        <v/>
      </c>
      <c r="M8213" s="25"/>
      <c r="O8213" s="25"/>
    </row>
    <row r="8214" ht="15.75" customHeight="1">
      <c r="A8214" s="25" t="str">
        <f>IFERROR(__xludf.DUMMYFUNCTION("IF(B8214="""","""",RIGHT(REGEXREPLACE(B8214&amp;"""",""[^0-9]"",""""),9))"),"767065218")</f>
        <v>767065218</v>
      </c>
      <c r="B8214" s="52">
        <v>7.67065218E8</v>
      </c>
      <c r="C8214" s="28" t="s">
        <v>8428</v>
      </c>
      <c r="D8214" s="26" t="s">
        <v>49</v>
      </c>
      <c r="E8214" s="31">
        <v>46246.0</v>
      </c>
      <c r="F8214" s="26" t="s">
        <v>46</v>
      </c>
      <c r="G8214" s="26">
        <v>11.0</v>
      </c>
      <c r="I8214" s="26" t="s">
        <v>970</v>
      </c>
      <c r="J8214" s="25" t="str">
        <f t="shared" si="100"/>
        <v>No</v>
      </c>
      <c r="K8214" s="25" t="str">
        <f t="shared" si="101"/>
        <v/>
      </c>
      <c r="L8214" s="25" t="str">
        <f t="shared" si="102"/>
        <v/>
      </c>
      <c r="M8214" s="25"/>
      <c r="O8214" s="25"/>
    </row>
    <row r="8215" ht="15.75" customHeight="1">
      <c r="A8215" s="25" t="str">
        <f>IFERROR(__xludf.DUMMYFUNCTION("IF(B8215="""","""",RIGHT(REGEXREPLACE(B8215&amp;"""",""[^0-9]"",""""),9))"),"761247477")</f>
        <v>761247477</v>
      </c>
      <c r="B8215" s="52">
        <v>7.61247477E8</v>
      </c>
      <c r="C8215" s="28" t="s">
        <v>8429</v>
      </c>
      <c r="D8215" s="26" t="s">
        <v>82</v>
      </c>
      <c r="E8215" s="31">
        <v>46246.0</v>
      </c>
      <c r="F8215" s="26" t="s">
        <v>46</v>
      </c>
      <c r="H8215" s="26" t="s">
        <v>8430</v>
      </c>
      <c r="I8215" s="26" t="s">
        <v>970</v>
      </c>
      <c r="J8215" s="25" t="str">
        <f t="shared" si="100"/>
        <v>No</v>
      </c>
      <c r="K8215" s="25" t="str">
        <f t="shared" si="101"/>
        <v/>
      </c>
      <c r="L8215" s="25" t="str">
        <f t="shared" si="102"/>
        <v/>
      </c>
      <c r="M8215" s="25"/>
      <c r="O8215" s="25"/>
    </row>
    <row r="8216" ht="15.75" customHeight="1">
      <c r="A8216" s="25" t="str">
        <f>IFERROR(__xludf.DUMMYFUNCTION("IF(B8216="""","""",RIGHT(REGEXREPLACE(B8216&amp;"""",""[^0-9]"",""""),9))"),"774141537")</f>
        <v>774141537</v>
      </c>
      <c r="B8216" s="52">
        <v>7.74141537E8</v>
      </c>
      <c r="C8216" s="28" t="s">
        <v>4484</v>
      </c>
      <c r="D8216" s="26" t="s">
        <v>56</v>
      </c>
      <c r="E8216" s="31">
        <v>46252.0</v>
      </c>
      <c r="F8216" s="26" t="s">
        <v>41</v>
      </c>
      <c r="I8216" s="26" t="s">
        <v>970</v>
      </c>
      <c r="J8216" s="25" t="str">
        <f t="shared" si="100"/>
        <v>Yes - see Previous F-Code</v>
      </c>
      <c r="K8216" s="25" t="str">
        <f t="shared" si="101"/>
        <v/>
      </c>
      <c r="L8216" s="25" t="str">
        <f t="shared" si="102"/>
        <v>F74095</v>
      </c>
      <c r="M8216" s="25"/>
      <c r="O8216" s="25"/>
    </row>
    <row r="8217" ht="15.75" customHeight="1">
      <c r="A8217" s="25" t="str">
        <f>IFERROR(__xludf.DUMMYFUNCTION("IF(B8217="""","""",RIGHT(REGEXREPLACE(B8217&amp;"""",""[^0-9]"",""""),9))"),"742511445")</f>
        <v>742511445</v>
      </c>
      <c r="B8217" s="52">
        <v>7.42511445E8</v>
      </c>
      <c r="C8217" s="28" t="s">
        <v>8431</v>
      </c>
      <c r="D8217" s="26" t="s">
        <v>64</v>
      </c>
      <c r="E8217" s="31">
        <v>46246.0</v>
      </c>
      <c r="F8217" s="26" t="s">
        <v>46</v>
      </c>
      <c r="G8217" s="26">
        <v>7.0</v>
      </c>
      <c r="H8217" s="26" t="s">
        <v>2293</v>
      </c>
      <c r="I8217" s="26" t="s">
        <v>970</v>
      </c>
      <c r="J8217" s="25" t="str">
        <f t="shared" si="100"/>
        <v>No</v>
      </c>
      <c r="K8217" s="25" t="str">
        <f t="shared" si="101"/>
        <v/>
      </c>
      <c r="L8217" s="25" t="str">
        <f t="shared" si="102"/>
        <v/>
      </c>
      <c r="M8217" s="25"/>
      <c r="O8217" s="25"/>
    </row>
    <row r="8218" ht="15.75" customHeight="1">
      <c r="A8218" s="25" t="str">
        <f>IFERROR(__xludf.DUMMYFUNCTION("IF(B8218="""","""",RIGHT(REGEXREPLACE(B8218&amp;"""",""[^0-9]"",""""),9))"),"740288980")</f>
        <v>740288980</v>
      </c>
      <c r="B8218" s="52">
        <v>7.4028898E8</v>
      </c>
      <c r="C8218" s="28" t="s">
        <v>8432</v>
      </c>
      <c r="D8218" s="26" t="s">
        <v>45</v>
      </c>
      <c r="E8218" s="31">
        <v>46246.0</v>
      </c>
      <c r="F8218" s="26" t="s">
        <v>41</v>
      </c>
      <c r="G8218" s="26">
        <v>10.0</v>
      </c>
      <c r="I8218" s="26" t="s">
        <v>970</v>
      </c>
      <c r="J8218" s="25" t="str">
        <f t="shared" si="100"/>
        <v>No</v>
      </c>
      <c r="K8218" s="25" t="str">
        <f t="shared" si="101"/>
        <v/>
      </c>
      <c r="L8218" s="25" t="str">
        <f t="shared" si="102"/>
        <v/>
      </c>
      <c r="M8218" s="25"/>
      <c r="O8218" s="25"/>
    </row>
    <row r="8219" ht="15.75" customHeight="1">
      <c r="A8219" s="25" t="str">
        <f>IFERROR(__xludf.DUMMYFUNCTION("IF(B8219="""","""",RIGHT(REGEXREPLACE(B8219&amp;"""",""[^0-9]"",""""),9))"),"784680876")</f>
        <v>784680876</v>
      </c>
      <c r="B8219" s="52">
        <v>7.84680876E8</v>
      </c>
      <c r="C8219" s="28" t="s">
        <v>8433</v>
      </c>
      <c r="D8219" s="26" t="s">
        <v>56</v>
      </c>
      <c r="E8219" s="31">
        <v>46246.0</v>
      </c>
      <c r="F8219" s="26" t="s">
        <v>205</v>
      </c>
      <c r="I8219" s="26" t="s">
        <v>970</v>
      </c>
      <c r="J8219" s="25" t="str">
        <f t="shared" si="100"/>
        <v>No</v>
      </c>
      <c r="K8219" s="25" t="str">
        <f t="shared" si="101"/>
        <v/>
      </c>
      <c r="L8219" s="25" t="str">
        <f t="shared" si="102"/>
        <v/>
      </c>
      <c r="M8219" s="25"/>
      <c r="O8219" s="25"/>
    </row>
    <row r="8220" ht="15.75" customHeight="1">
      <c r="A8220" s="25" t="str">
        <f>IFERROR(__xludf.DUMMYFUNCTION("IF(B8220="""","""",RIGHT(REGEXREPLACE(B8220&amp;"""",""[^0-9]"",""""),9))"),"701379961")</f>
        <v>701379961</v>
      </c>
      <c r="B8220" s="52">
        <v>7.01379961E8</v>
      </c>
      <c r="C8220" s="28" t="s">
        <v>8434</v>
      </c>
      <c r="D8220" s="26" t="s">
        <v>82</v>
      </c>
      <c r="E8220" s="31">
        <v>46246.0</v>
      </c>
      <c r="F8220" s="26" t="s">
        <v>41</v>
      </c>
      <c r="I8220" s="26" t="s">
        <v>970</v>
      </c>
      <c r="J8220" s="25" t="str">
        <f t="shared" si="100"/>
        <v>No</v>
      </c>
      <c r="K8220" s="25" t="str">
        <f t="shared" si="101"/>
        <v/>
      </c>
      <c r="L8220" s="25" t="str">
        <f t="shared" si="102"/>
        <v/>
      </c>
      <c r="M8220" s="25"/>
      <c r="O8220" s="25"/>
    </row>
    <row r="8221" ht="15.75" customHeight="1">
      <c r="A8221" s="25" t="str">
        <f>IFERROR(__xludf.DUMMYFUNCTION("IF(B8221="""","""",RIGHT(REGEXREPLACE(B8221&amp;"""",""[^0-9]"",""""),9))"),"775538524")</f>
        <v>775538524</v>
      </c>
      <c r="B8221" s="52">
        <v>7.75538524E8</v>
      </c>
      <c r="C8221" s="28" t="s">
        <v>8435</v>
      </c>
      <c r="D8221" s="26" t="s">
        <v>56</v>
      </c>
      <c r="E8221" s="31">
        <v>46247.0</v>
      </c>
      <c r="F8221" s="26" t="s">
        <v>46</v>
      </c>
      <c r="H8221" s="26" t="s">
        <v>8436</v>
      </c>
      <c r="I8221" s="26" t="s">
        <v>970</v>
      </c>
      <c r="J8221" s="25" t="str">
        <f t="shared" si="100"/>
        <v>No</v>
      </c>
      <c r="K8221" s="25" t="str">
        <f t="shared" si="101"/>
        <v/>
      </c>
      <c r="L8221" s="25" t="str">
        <f t="shared" si="102"/>
        <v/>
      </c>
      <c r="M8221" s="25"/>
      <c r="O8221" s="25"/>
    </row>
    <row r="8222" ht="15.75" customHeight="1">
      <c r="A8222" s="25" t="str">
        <f>IFERROR(__xludf.DUMMYFUNCTION("IF(B8222="""","""",RIGHT(REGEXREPLACE(B8222&amp;"""",""[^0-9]"",""""),9))"),"755324654")</f>
        <v>755324654</v>
      </c>
      <c r="B8222" s="52">
        <v>7.55324654E8</v>
      </c>
      <c r="C8222" s="28" t="s">
        <v>8437</v>
      </c>
      <c r="D8222" s="26" t="s">
        <v>45</v>
      </c>
      <c r="E8222" s="31">
        <v>46248.0</v>
      </c>
      <c r="F8222" s="26" t="s">
        <v>46</v>
      </c>
      <c r="I8222" s="26" t="s">
        <v>970</v>
      </c>
      <c r="J8222" s="25" t="str">
        <f t="shared" si="100"/>
        <v>No</v>
      </c>
      <c r="K8222" s="25" t="str">
        <f t="shared" si="101"/>
        <v/>
      </c>
      <c r="L8222" s="25" t="str">
        <f t="shared" si="102"/>
        <v/>
      </c>
      <c r="M8222" s="25"/>
      <c r="O8222" s="25"/>
    </row>
    <row r="8223" ht="15.75" customHeight="1">
      <c r="A8223" s="25" t="str">
        <f>IFERROR(__xludf.DUMMYFUNCTION("IF(B8223="""","""",RIGHT(REGEXREPLACE(B8223&amp;"""",""[^0-9]"",""""),9))"),"766992580")</f>
        <v>766992580</v>
      </c>
      <c r="B8223" s="52">
        <v>7.6699258E8</v>
      </c>
      <c r="C8223" s="28" t="s">
        <v>8438</v>
      </c>
      <c r="D8223" s="26" t="s">
        <v>49</v>
      </c>
      <c r="E8223" s="31">
        <v>46246.0</v>
      </c>
      <c r="F8223" s="26" t="s">
        <v>46</v>
      </c>
      <c r="G8223" s="26">
        <v>11.0</v>
      </c>
      <c r="I8223" s="26" t="s">
        <v>970</v>
      </c>
      <c r="J8223" s="25" t="str">
        <f t="shared" si="100"/>
        <v>No</v>
      </c>
      <c r="K8223" s="25" t="str">
        <f t="shared" si="101"/>
        <v/>
      </c>
      <c r="L8223" s="25" t="str">
        <f t="shared" si="102"/>
        <v/>
      </c>
      <c r="M8223" s="25"/>
      <c r="O8223" s="25"/>
    </row>
    <row r="8224" ht="15.75" customHeight="1">
      <c r="A8224" s="25" t="str">
        <f>IFERROR(__xludf.DUMMYFUNCTION("IF(B8224="""","""",RIGHT(REGEXREPLACE(B8224&amp;"""",""[^0-9]"",""""),9))"),"765836770")</f>
        <v>765836770</v>
      </c>
      <c r="B8224" s="52">
        <v>7.6583677E8</v>
      </c>
      <c r="C8224" s="28" t="s">
        <v>8439</v>
      </c>
      <c r="D8224" s="26" t="s">
        <v>64</v>
      </c>
      <c r="E8224" s="31">
        <v>46246.0</v>
      </c>
      <c r="F8224" s="26" t="s">
        <v>41</v>
      </c>
      <c r="I8224" s="26" t="s">
        <v>970</v>
      </c>
      <c r="J8224" s="25" t="str">
        <f t="shared" si="100"/>
        <v>No</v>
      </c>
      <c r="K8224" s="25" t="str">
        <f t="shared" si="101"/>
        <v/>
      </c>
      <c r="L8224" s="25" t="str">
        <f t="shared" si="102"/>
        <v/>
      </c>
      <c r="M8224" s="25"/>
      <c r="O8224" s="25"/>
    </row>
    <row r="8225" ht="15.75" customHeight="1">
      <c r="A8225" s="25" t="str">
        <f>IFERROR(__xludf.DUMMYFUNCTION("IF(B8225="""","""",RIGHT(REGEXREPLACE(B8225&amp;"""",""[^0-9]"",""""),9))"),"782007207")</f>
        <v>782007207</v>
      </c>
      <c r="B8225" s="52">
        <v>7.82007207E8</v>
      </c>
      <c r="C8225" s="28" t="s">
        <v>8440</v>
      </c>
      <c r="D8225" s="26" t="s">
        <v>64</v>
      </c>
      <c r="E8225" s="31">
        <v>46246.0</v>
      </c>
      <c r="F8225" s="26" t="s">
        <v>205</v>
      </c>
      <c r="I8225" s="26" t="s">
        <v>970</v>
      </c>
      <c r="J8225" s="25" t="str">
        <f t="shared" si="100"/>
        <v>No</v>
      </c>
      <c r="K8225" s="25" t="str">
        <f t="shared" si="101"/>
        <v/>
      </c>
      <c r="L8225" s="25" t="str">
        <f t="shared" si="102"/>
        <v/>
      </c>
      <c r="M8225" s="25"/>
      <c r="O8225" s="25"/>
    </row>
    <row r="8226" ht="15.75" customHeight="1">
      <c r="A8226" s="25" t="str">
        <f>IFERROR(__xludf.DUMMYFUNCTION("IF(B8226="""","""",RIGHT(REGEXREPLACE(B8226&amp;"""",""[^0-9]"",""""),9))"),"770651968")</f>
        <v>770651968</v>
      </c>
      <c r="B8226" s="52">
        <v>7.70651968E8</v>
      </c>
      <c r="C8226" s="28" t="s">
        <v>8441</v>
      </c>
      <c r="D8226" s="26" t="s">
        <v>56</v>
      </c>
      <c r="E8226" s="31">
        <v>46246.0</v>
      </c>
      <c r="F8226" s="26" t="s">
        <v>41</v>
      </c>
      <c r="I8226" s="26" t="s">
        <v>970</v>
      </c>
      <c r="J8226" s="25" t="str">
        <f t="shared" si="100"/>
        <v>No</v>
      </c>
      <c r="K8226" s="25" t="str">
        <f t="shared" si="101"/>
        <v/>
      </c>
      <c r="L8226" s="25" t="str">
        <f t="shared" si="102"/>
        <v/>
      </c>
      <c r="M8226" s="25"/>
      <c r="O8226" s="25"/>
    </row>
    <row r="8227" ht="15.75" customHeight="1">
      <c r="A8227" s="25" t="str">
        <f>IFERROR(__xludf.DUMMYFUNCTION("IF(B8227="""","""",RIGHT(REGEXREPLACE(B8227&amp;"""",""[^0-9]"",""""),9))"),"777716695")</f>
        <v>777716695</v>
      </c>
      <c r="B8227" s="52">
        <v>7.77716695E8</v>
      </c>
      <c r="C8227" s="28" t="s">
        <v>8441</v>
      </c>
      <c r="D8227" s="26" t="s">
        <v>82</v>
      </c>
      <c r="E8227" s="31">
        <v>46246.0</v>
      </c>
      <c r="F8227" s="26" t="s">
        <v>41</v>
      </c>
      <c r="I8227" s="26" t="s">
        <v>970</v>
      </c>
      <c r="J8227" s="25" t="str">
        <f t="shared" si="100"/>
        <v>Yes - see Previous F-Code</v>
      </c>
      <c r="K8227" s="25" t="str">
        <f t="shared" si="101"/>
        <v/>
      </c>
      <c r="L8227" s="25" t="str">
        <f t="shared" si="102"/>
        <v>F73530</v>
      </c>
      <c r="M8227" s="25"/>
      <c r="O8227" s="25"/>
    </row>
    <row r="8228" ht="15.75" customHeight="1">
      <c r="A8228" s="25" t="str">
        <f>IFERROR(__xludf.DUMMYFUNCTION("IF(B8228="""","""",RIGHT(REGEXREPLACE(B8228&amp;"""",""[^0-9]"",""""),9))"),"779092115")</f>
        <v>779092115</v>
      </c>
      <c r="B8228" s="52">
        <v>7.79092115E8</v>
      </c>
      <c r="C8228" s="28" t="s">
        <v>8442</v>
      </c>
      <c r="D8228" s="26" t="s">
        <v>64</v>
      </c>
      <c r="E8228" s="31">
        <v>46246.0</v>
      </c>
      <c r="F8228" s="26" t="s">
        <v>46</v>
      </c>
      <c r="G8228" s="26">
        <v>10.0</v>
      </c>
      <c r="I8228" s="26" t="s">
        <v>970</v>
      </c>
      <c r="J8228" s="25" t="str">
        <f t="shared" si="100"/>
        <v>No</v>
      </c>
      <c r="K8228" s="25" t="str">
        <f t="shared" si="101"/>
        <v/>
      </c>
      <c r="L8228" s="25" t="str">
        <f t="shared" si="102"/>
        <v/>
      </c>
      <c r="M8228" s="25"/>
      <c r="O8228" s="25"/>
    </row>
    <row r="8229" ht="15.75" customHeight="1">
      <c r="A8229" s="25" t="str">
        <f>IFERROR(__xludf.DUMMYFUNCTION("IF(B8229="""","""",RIGHT(REGEXREPLACE(B8229&amp;"""",""[^0-9]"",""""),9))"),"761858636")</f>
        <v>761858636</v>
      </c>
      <c r="B8229" s="52">
        <v>7.61858636E8</v>
      </c>
      <c r="C8229" s="28" t="s">
        <v>8443</v>
      </c>
      <c r="D8229" s="26" t="s">
        <v>45</v>
      </c>
      <c r="E8229" s="31">
        <v>46246.0</v>
      </c>
      <c r="F8229" s="26" t="s">
        <v>46</v>
      </c>
      <c r="G8229" s="26" t="s">
        <v>8444</v>
      </c>
      <c r="I8229" s="26" t="s">
        <v>970</v>
      </c>
      <c r="J8229" s="25" t="str">
        <f t="shared" si="100"/>
        <v>No</v>
      </c>
      <c r="K8229" s="25" t="str">
        <f t="shared" si="101"/>
        <v/>
      </c>
      <c r="L8229" s="25" t="str">
        <f t="shared" si="102"/>
        <v/>
      </c>
      <c r="M8229" s="25"/>
      <c r="O8229" s="25"/>
    </row>
    <row r="8230" ht="15.75" customHeight="1">
      <c r="A8230" s="25" t="str">
        <f>IFERROR(__xludf.DUMMYFUNCTION("IF(B8230="""","""",RIGHT(REGEXREPLACE(B8230&amp;"""",""[^0-9]"",""""),9))"),"777716695")</f>
        <v>777716695</v>
      </c>
      <c r="B8230" s="52">
        <v>7.77716695E8</v>
      </c>
      <c r="C8230" s="28" t="s">
        <v>3880</v>
      </c>
      <c r="D8230" s="26" t="s">
        <v>56</v>
      </c>
      <c r="E8230" s="31">
        <v>46246.0</v>
      </c>
      <c r="F8230" s="26" t="s">
        <v>205</v>
      </c>
      <c r="I8230" s="26" t="s">
        <v>970</v>
      </c>
      <c r="J8230" s="25" t="str">
        <f t="shared" si="100"/>
        <v>Yes - see Previous F-Code</v>
      </c>
      <c r="K8230" s="25" t="str">
        <f t="shared" si="101"/>
        <v>DUPLICATE - CHECK</v>
      </c>
      <c r="L8230" s="25" t="str">
        <f t="shared" si="102"/>
        <v>F73530</v>
      </c>
      <c r="M8230" s="25"/>
      <c r="O8230" s="25"/>
    </row>
    <row r="8231" ht="15.75" customHeight="1">
      <c r="A8231" s="25" t="str">
        <f>IFERROR(__xludf.DUMMYFUNCTION("IF(B8231="""","""",RIGHT(REGEXREPLACE(B8231&amp;"""",""[^0-9]"",""""),9))"),"716329188")</f>
        <v>716329188</v>
      </c>
      <c r="B8231" s="52">
        <v>7.16329188E8</v>
      </c>
      <c r="C8231" s="28" t="s">
        <v>8445</v>
      </c>
      <c r="D8231" s="26" t="s">
        <v>49</v>
      </c>
      <c r="E8231" s="31">
        <v>46246.0</v>
      </c>
      <c r="F8231" s="26" t="s">
        <v>46</v>
      </c>
      <c r="G8231" s="26">
        <v>11.0</v>
      </c>
      <c r="I8231" s="26" t="s">
        <v>970</v>
      </c>
      <c r="J8231" s="25" t="str">
        <f t="shared" si="100"/>
        <v>No</v>
      </c>
      <c r="K8231" s="25" t="str">
        <f t="shared" si="101"/>
        <v/>
      </c>
      <c r="L8231" s="25" t="str">
        <f t="shared" si="102"/>
        <v/>
      </c>
      <c r="M8231" s="25"/>
      <c r="O8231" s="25"/>
    </row>
    <row r="8232" ht="15.75" customHeight="1">
      <c r="A8232" s="25" t="str">
        <f>IFERROR(__xludf.DUMMYFUNCTION("IF(B8232="""","""",RIGHT(REGEXREPLACE(B8232&amp;"""",""[^0-9]"",""""),9))"),"712426261")</f>
        <v>712426261</v>
      </c>
      <c r="B8232" s="52">
        <v>7.12426261E8</v>
      </c>
      <c r="C8232" s="28" t="s">
        <v>8123</v>
      </c>
      <c r="D8232" s="26" t="s">
        <v>82</v>
      </c>
      <c r="E8232" s="31">
        <v>46246.0</v>
      </c>
      <c r="F8232" s="26" t="s">
        <v>46</v>
      </c>
      <c r="I8232" s="26" t="s">
        <v>970</v>
      </c>
      <c r="J8232" s="25" t="str">
        <f t="shared" si="100"/>
        <v>Yes - see Previous F-Code</v>
      </c>
      <c r="K8232" s="25" t="str">
        <f t="shared" si="101"/>
        <v>DUPLICATE - CHECK</v>
      </c>
      <c r="L8232" s="25" t="str">
        <f t="shared" si="102"/>
        <v>F76947</v>
      </c>
      <c r="M8232" s="25"/>
      <c r="O8232" s="25"/>
    </row>
    <row r="8233" ht="15.75" customHeight="1">
      <c r="A8233" s="25" t="str">
        <f>IFERROR(__xludf.DUMMYFUNCTION("IF(B8233="""","""",RIGHT(REGEXREPLACE(B8233&amp;"""",""[^0-9]"",""""),9))"),"760755464")</f>
        <v>760755464</v>
      </c>
      <c r="B8233" s="52">
        <v>7.60755464E8</v>
      </c>
      <c r="C8233" s="28" t="s">
        <v>8446</v>
      </c>
      <c r="D8233" s="26" t="s">
        <v>64</v>
      </c>
      <c r="E8233" s="31">
        <v>46246.0</v>
      </c>
      <c r="F8233" s="26" t="s">
        <v>46</v>
      </c>
      <c r="I8233" s="26" t="s">
        <v>970</v>
      </c>
      <c r="J8233" s="25" t="str">
        <f t="shared" si="100"/>
        <v>No</v>
      </c>
      <c r="K8233" s="25" t="str">
        <f t="shared" si="101"/>
        <v/>
      </c>
      <c r="L8233" s="25" t="str">
        <f t="shared" si="102"/>
        <v/>
      </c>
      <c r="M8233" s="25"/>
      <c r="O8233" s="25"/>
    </row>
    <row r="8234" ht="15.75" customHeight="1">
      <c r="A8234" s="25" t="str">
        <f>IFERROR(__xludf.DUMMYFUNCTION("IF(B8234="""","""",RIGHT(REGEXREPLACE(B8234&amp;"""",""[^0-9]"",""""),9))"),"728791859")</f>
        <v>728791859</v>
      </c>
      <c r="B8234" s="52">
        <v>7.28791859E8</v>
      </c>
      <c r="C8234" s="28" t="s">
        <v>8447</v>
      </c>
      <c r="D8234" s="26" t="s">
        <v>82</v>
      </c>
      <c r="E8234" s="31">
        <v>46246.0</v>
      </c>
      <c r="F8234" s="26" t="s">
        <v>205</v>
      </c>
      <c r="I8234" s="26" t="s">
        <v>970</v>
      </c>
      <c r="J8234" s="25" t="str">
        <f t="shared" si="100"/>
        <v>No</v>
      </c>
      <c r="K8234" s="25" t="str">
        <f t="shared" si="101"/>
        <v/>
      </c>
      <c r="L8234" s="25" t="str">
        <f t="shared" si="102"/>
        <v/>
      </c>
      <c r="M8234" s="25"/>
      <c r="O8234" s="25"/>
    </row>
    <row r="8235" ht="15.75" customHeight="1">
      <c r="C8235" s="46"/>
      <c r="D8235" s="25"/>
      <c r="F8235" s="25"/>
      <c r="I8235" s="26" t="s">
        <v>970</v>
      </c>
      <c r="M8235" s="25"/>
      <c r="O8235" s="25"/>
    </row>
    <row r="8236" ht="15.75" customHeight="1">
      <c r="A8236" s="25" t="str">
        <f>IFERROR(__xludf.DUMMYFUNCTION("IF(B8236="""","""",RIGHT(REGEXREPLACE(B8236&amp;"""",""[^0-9]"",""""),9))"),"710573905")</f>
        <v>710573905</v>
      </c>
      <c r="B8236" s="52">
        <v>7.10573905E8</v>
      </c>
      <c r="C8236" s="28" t="s">
        <v>5156</v>
      </c>
      <c r="D8236" s="26" t="s">
        <v>56</v>
      </c>
      <c r="E8236" s="31">
        <v>46246.0</v>
      </c>
      <c r="F8236" s="25"/>
      <c r="G8236" s="26">
        <v>6.0</v>
      </c>
      <c r="H8236" s="25"/>
      <c r="I8236" s="26" t="s">
        <v>970</v>
      </c>
      <c r="J8236" s="25" t="str">
        <f t="shared" ref="J8236:J8526" si="103">IF(COUNTIF($A$2:A8235,A8236)&gt;0,"Yes - see Previous F-Code","No")</f>
        <v>Yes - see Previous F-Code</v>
      </c>
      <c r="K8236" s="25" t="str">
        <f t="shared" ref="K8236:K8526" si="104">IF(COUNTIFS($A$2:A8236,A8236,$I$2:I8236,I8236)&gt;1,"DUPLICATE - CHECK","")</f>
        <v/>
      </c>
      <c r="L8236" s="25" t="str">
        <f t="shared" ref="L8236:L8526" si="105">IF(COUNTIF($A$2:A8235,A8236)&gt;0,INDEX($C$2:C8235,MATCH(A8236,$A$2:A8235,0)),"")</f>
        <v>F74696</v>
      </c>
      <c r="M8236" s="25"/>
      <c r="N8236" s="25"/>
      <c r="O8236" s="25"/>
      <c r="P8236" s="25"/>
    </row>
    <row r="8237" ht="15.75" customHeight="1">
      <c r="A8237" s="25" t="str">
        <f>IFERROR(__xludf.DUMMYFUNCTION("IF(B8237="""","""",RIGHT(REGEXREPLACE(B8237&amp;"""",""[^0-9]"",""""),9))"),"714122996")</f>
        <v>714122996</v>
      </c>
      <c r="B8237" s="52">
        <v>7.14122996E8</v>
      </c>
      <c r="C8237" s="28" t="s">
        <v>8448</v>
      </c>
      <c r="D8237" s="26" t="s">
        <v>49</v>
      </c>
      <c r="E8237" s="31">
        <v>46246.0</v>
      </c>
      <c r="F8237" s="26" t="s">
        <v>46</v>
      </c>
      <c r="H8237" s="26" t="s">
        <v>94</v>
      </c>
      <c r="I8237" s="26" t="s">
        <v>970</v>
      </c>
      <c r="J8237" s="25" t="str">
        <f t="shared" si="103"/>
        <v>No</v>
      </c>
      <c r="K8237" s="25" t="str">
        <f t="shared" si="104"/>
        <v/>
      </c>
      <c r="L8237" s="25" t="str">
        <f t="shared" si="105"/>
        <v/>
      </c>
      <c r="M8237" s="25"/>
      <c r="O8237" s="25"/>
    </row>
    <row r="8238" ht="15.75" customHeight="1">
      <c r="A8238" s="25" t="str">
        <f>IFERROR(__xludf.DUMMYFUNCTION("IF(B8238="""","""",RIGHT(REGEXREPLACE(B8238&amp;"""",""[^0-9]"",""""),9))"),"760924600")</f>
        <v>760924600</v>
      </c>
      <c r="B8238" s="52">
        <v>7.609246E8</v>
      </c>
      <c r="C8238" s="28" t="s">
        <v>8449</v>
      </c>
      <c r="D8238" s="26" t="s">
        <v>82</v>
      </c>
      <c r="E8238" s="31">
        <v>46246.0</v>
      </c>
      <c r="F8238" s="25"/>
      <c r="G8238" s="25"/>
      <c r="H8238" s="25"/>
      <c r="I8238" s="26" t="s">
        <v>970</v>
      </c>
      <c r="J8238" s="25" t="str">
        <f t="shared" si="103"/>
        <v>No</v>
      </c>
      <c r="K8238" s="25" t="str">
        <f t="shared" si="104"/>
        <v/>
      </c>
      <c r="L8238" s="25" t="str">
        <f t="shared" si="105"/>
        <v/>
      </c>
      <c r="M8238" s="25"/>
      <c r="N8238" s="25"/>
      <c r="O8238" s="25"/>
      <c r="P8238" s="25"/>
    </row>
    <row r="8239" ht="15.75" customHeight="1">
      <c r="A8239" s="25" t="str">
        <f>IFERROR(__xludf.DUMMYFUNCTION("IF(B8239="""","""",RIGHT(REGEXREPLACE(B8239&amp;"""",""[^0-9]"",""""),9))"),"769288474")</f>
        <v>769288474</v>
      </c>
      <c r="B8239" s="52">
        <v>7.69288474E8</v>
      </c>
      <c r="C8239" s="28" t="s">
        <v>8450</v>
      </c>
      <c r="D8239" s="26" t="s">
        <v>49</v>
      </c>
      <c r="E8239" s="31">
        <v>46246.0</v>
      </c>
      <c r="F8239" s="26" t="s">
        <v>46</v>
      </c>
      <c r="G8239" s="26">
        <v>11.0</v>
      </c>
      <c r="H8239" s="26" t="s">
        <v>5506</v>
      </c>
      <c r="I8239" s="26" t="s">
        <v>970</v>
      </c>
      <c r="J8239" s="25" t="str">
        <f t="shared" si="103"/>
        <v>No</v>
      </c>
      <c r="K8239" s="25" t="str">
        <f t="shared" si="104"/>
        <v/>
      </c>
      <c r="L8239" s="25" t="str">
        <f t="shared" si="105"/>
        <v/>
      </c>
      <c r="M8239" s="25"/>
      <c r="O8239" s="25"/>
    </row>
    <row r="8240" ht="15.75" customHeight="1">
      <c r="A8240" s="25" t="str">
        <f>IFERROR(__xludf.DUMMYFUNCTION("IF(B8240="""","""",RIGHT(REGEXREPLACE(B8240&amp;"""",""[^0-9]"",""""),9))"),"773124214")</f>
        <v>773124214</v>
      </c>
      <c r="B8240" s="52">
        <v>7.73124214E8</v>
      </c>
      <c r="C8240" s="28" t="s">
        <v>1123</v>
      </c>
      <c r="D8240" s="26" t="s">
        <v>64</v>
      </c>
      <c r="E8240" s="31">
        <v>46246.0</v>
      </c>
      <c r="F8240" s="26" t="s">
        <v>46</v>
      </c>
      <c r="H8240" s="26" t="s">
        <v>78</v>
      </c>
      <c r="I8240" s="26" t="s">
        <v>970</v>
      </c>
      <c r="J8240" s="25" t="str">
        <f t="shared" si="103"/>
        <v>Yes - see Previous F-Code</v>
      </c>
      <c r="K8240" s="25" t="str">
        <f t="shared" si="104"/>
        <v/>
      </c>
      <c r="L8240" s="25" t="str">
        <f t="shared" si="105"/>
        <v>F70864</v>
      </c>
      <c r="M8240" s="25"/>
      <c r="O8240" s="25"/>
    </row>
    <row r="8241" ht="15.75" customHeight="1">
      <c r="A8241" s="25" t="str">
        <f>IFERROR(__xludf.DUMMYFUNCTION("IF(B8241="""","""",RIGHT(REGEXREPLACE(B8241&amp;"""",""[^0-9]"",""""),9))"),"710607992")</f>
        <v>710607992</v>
      </c>
      <c r="B8241" s="52">
        <v>7.10607992E8</v>
      </c>
      <c r="C8241" s="28" t="s">
        <v>8451</v>
      </c>
      <c r="D8241" s="26" t="s">
        <v>82</v>
      </c>
      <c r="E8241" s="31">
        <v>46246.0</v>
      </c>
      <c r="F8241" s="26" t="s">
        <v>46</v>
      </c>
      <c r="H8241" s="26" t="s">
        <v>8452</v>
      </c>
      <c r="I8241" s="26" t="s">
        <v>970</v>
      </c>
      <c r="J8241" s="25" t="str">
        <f t="shared" si="103"/>
        <v>No</v>
      </c>
      <c r="K8241" s="25" t="str">
        <f t="shared" si="104"/>
        <v/>
      </c>
      <c r="L8241" s="25" t="str">
        <f t="shared" si="105"/>
        <v/>
      </c>
      <c r="M8241" s="25"/>
      <c r="O8241" s="25"/>
    </row>
    <row r="8242" ht="15.75" customHeight="1">
      <c r="A8242" s="25" t="str">
        <f>IFERROR(__xludf.DUMMYFUNCTION("IF(B8242="""","""",RIGHT(REGEXREPLACE(B8242&amp;"""",""[^0-9]"",""""),9))"),"761398587")</f>
        <v>761398587</v>
      </c>
      <c r="B8242" s="52">
        <v>7.61398587E8</v>
      </c>
      <c r="C8242" s="28" t="s">
        <v>8453</v>
      </c>
      <c r="D8242" s="26" t="s">
        <v>64</v>
      </c>
      <c r="E8242" s="31">
        <v>46246.0</v>
      </c>
      <c r="F8242" s="26" t="s">
        <v>46</v>
      </c>
      <c r="I8242" s="26" t="s">
        <v>970</v>
      </c>
      <c r="J8242" s="25" t="str">
        <f t="shared" si="103"/>
        <v>No</v>
      </c>
      <c r="K8242" s="25" t="str">
        <f t="shared" si="104"/>
        <v/>
      </c>
      <c r="L8242" s="25" t="str">
        <f t="shared" si="105"/>
        <v/>
      </c>
      <c r="M8242" s="25"/>
      <c r="O8242" s="25"/>
    </row>
    <row r="8243" ht="15.75" customHeight="1">
      <c r="A8243" s="25" t="str">
        <f>IFERROR(__xludf.DUMMYFUNCTION("IF(B8243="""","""",RIGHT(REGEXREPLACE(B8243&amp;"""",""[^0-9]"",""""),9))"),"762359202")</f>
        <v>762359202</v>
      </c>
      <c r="B8243" s="52">
        <v>7.62359202E8</v>
      </c>
      <c r="C8243" s="28" t="s">
        <v>8454</v>
      </c>
      <c r="D8243" s="26" t="s">
        <v>45</v>
      </c>
      <c r="E8243" s="31">
        <v>46246.0</v>
      </c>
      <c r="F8243" s="26" t="s">
        <v>46</v>
      </c>
      <c r="G8243" s="26">
        <v>10.0</v>
      </c>
      <c r="I8243" s="26" t="s">
        <v>970</v>
      </c>
      <c r="J8243" s="25" t="str">
        <f t="shared" si="103"/>
        <v>No</v>
      </c>
      <c r="K8243" s="25" t="str">
        <f t="shared" si="104"/>
        <v/>
      </c>
      <c r="L8243" s="25" t="str">
        <f t="shared" si="105"/>
        <v/>
      </c>
      <c r="M8243" s="25"/>
      <c r="O8243" s="25"/>
    </row>
    <row r="8244" ht="15.75" customHeight="1">
      <c r="A8244" s="25" t="str">
        <f>IFERROR(__xludf.DUMMYFUNCTION("IF(B8244="""","""",RIGHT(REGEXREPLACE(B8244&amp;"""",""[^0-9]"",""""),9))"),"715496202")</f>
        <v>715496202</v>
      </c>
      <c r="B8244" s="52">
        <v>7.15496202E8</v>
      </c>
      <c r="C8244" s="28" t="s">
        <v>8455</v>
      </c>
      <c r="D8244" s="26" t="s">
        <v>49</v>
      </c>
      <c r="E8244" s="31">
        <v>46246.0</v>
      </c>
      <c r="F8244" s="26" t="s">
        <v>659</v>
      </c>
      <c r="G8244" s="26">
        <v>6.0</v>
      </c>
      <c r="I8244" s="26" t="s">
        <v>970</v>
      </c>
      <c r="J8244" s="25" t="str">
        <f t="shared" si="103"/>
        <v>No</v>
      </c>
      <c r="K8244" s="25" t="str">
        <f t="shared" si="104"/>
        <v/>
      </c>
      <c r="L8244" s="25" t="str">
        <f t="shared" si="105"/>
        <v/>
      </c>
      <c r="M8244" s="25"/>
      <c r="O8244" s="25"/>
    </row>
    <row r="8245" ht="15.75" customHeight="1">
      <c r="A8245" s="25" t="str">
        <f>IFERROR(__xludf.DUMMYFUNCTION("IF(B8245="""","""",RIGHT(REGEXREPLACE(B8245&amp;"""",""[^0-9]"",""""),9))"),"743898387")</f>
        <v>743898387</v>
      </c>
      <c r="B8245" s="52">
        <v>7.43898387E8</v>
      </c>
      <c r="C8245" s="28" t="s">
        <v>1696</v>
      </c>
      <c r="D8245" s="26" t="s">
        <v>82</v>
      </c>
      <c r="E8245" s="31">
        <v>46246.0</v>
      </c>
      <c r="F8245" s="26" t="s">
        <v>46</v>
      </c>
      <c r="H8245" s="26" t="s">
        <v>3667</v>
      </c>
      <c r="I8245" s="26" t="s">
        <v>970</v>
      </c>
      <c r="J8245" s="25" t="str">
        <f t="shared" si="103"/>
        <v>Yes - see Previous F-Code</v>
      </c>
      <c r="K8245" s="25" t="str">
        <f t="shared" si="104"/>
        <v/>
      </c>
      <c r="L8245" s="25" t="str">
        <f t="shared" si="105"/>
        <v>F71409</v>
      </c>
      <c r="M8245" s="25"/>
      <c r="O8245" s="25"/>
    </row>
    <row r="8246" ht="15.75" customHeight="1">
      <c r="A8246" s="25" t="str">
        <f>IFERROR(__xludf.DUMMYFUNCTION("IF(B8246="""","""",RIGHT(REGEXREPLACE(B8246&amp;"""",""[^0-9]"",""""),9))"),"768070524")</f>
        <v>768070524</v>
      </c>
      <c r="B8246" s="52">
        <v>7.68070524E8</v>
      </c>
      <c r="C8246" s="28" t="s">
        <v>4294</v>
      </c>
      <c r="D8246" s="26" t="s">
        <v>82</v>
      </c>
      <c r="E8246" s="31">
        <v>46246.0</v>
      </c>
      <c r="F8246" s="26" t="s">
        <v>41</v>
      </c>
      <c r="I8246" s="26" t="s">
        <v>970</v>
      </c>
      <c r="J8246" s="25" t="str">
        <f t="shared" si="103"/>
        <v>Yes - see Previous F-Code</v>
      </c>
      <c r="K8246" s="25" t="str">
        <f t="shared" si="104"/>
        <v/>
      </c>
      <c r="L8246" s="25" t="str">
        <f t="shared" si="105"/>
        <v>F73921</v>
      </c>
      <c r="M8246" s="25"/>
      <c r="O8246" s="25"/>
    </row>
    <row r="8247" ht="15.75" customHeight="1">
      <c r="A8247" s="25" t="str">
        <f>IFERROR(__xludf.DUMMYFUNCTION("IF(B8247="""","""",RIGHT(REGEXREPLACE(B8247&amp;"""",""[^0-9]"",""""),9))"),"722979699")</f>
        <v>722979699</v>
      </c>
      <c r="B8247" s="52">
        <v>7.22979699E8</v>
      </c>
      <c r="C8247" s="28" t="s">
        <v>8456</v>
      </c>
      <c r="D8247" s="26" t="s">
        <v>64</v>
      </c>
      <c r="E8247" s="31">
        <v>46246.0</v>
      </c>
      <c r="F8247" s="26" t="s">
        <v>46</v>
      </c>
      <c r="G8247" s="26">
        <v>10.0</v>
      </c>
      <c r="I8247" s="26" t="s">
        <v>970</v>
      </c>
      <c r="J8247" s="25" t="str">
        <f t="shared" si="103"/>
        <v>No</v>
      </c>
      <c r="K8247" s="25" t="str">
        <f t="shared" si="104"/>
        <v/>
      </c>
      <c r="L8247" s="25" t="str">
        <f t="shared" si="105"/>
        <v/>
      </c>
      <c r="M8247" s="25"/>
      <c r="O8247" s="25"/>
    </row>
    <row r="8248" ht="15.75" customHeight="1">
      <c r="A8248" s="25" t="str">
        <f>IFERROR(__xludf.DUMMYFUNCTION("IF(B8248="""","""",RIGHT(REGEXREPLACE(B8248&amp;"""",""[^0-9]"",""""),9))"),"722495193")</f>
        <v>722495193</v>
      </c>
      <c r="B8248" s="52">
        <v>7.22495193E8</v>
      </c>
      <c r="C8248" s="28" t="s">
        <v>8457</v>
      </c>
      <c r="D8248" s="26" t="s">
        <v>49</v>
      </c>
      <c r="E8248" s="31">
        <v>46246.0</v>
      </c>
      <c r="F8248" s="26" t="s">
        <v>41</v>
      </c>
      <c r="I8248" s="26" t="s">
        <v>970</v>
      </c>
      <c r="J8248" s="25" t="str">
        <f t="shared" si="103"/>
        <v>No</v>
      </c>
      <c r="K8248" s="25" t="str">
        <f t="shared" si="104"/>
        <v/>
      </c>
      <c r="L8248" s="25" t="str">
        <f t="shared" si="105"/>
        <v/>
      </c>
      <c r="M8248" s="25"/>
      <c r="O8248" s="25"/>
    </row>
    <row r="8249" ht="15.75" customHeight="1">
      <c r="A8249" s="25" t="str">
        <f>IFERROR(__xludf.DUMMYFUNCTION("IF(B8249="""","""",RIGHT(REGEXREPLACE(B8249&amp;"""",""[^0-9]"",""""),9))"),"764147958")</f>
        <v>764147958</v>
      </c>
      <c r="B8249" s="52">
        <v>7.64147958E8</v>
      </c>
      <c r="C8249" s="28" t="s">
        <v>8458</v>
      </c>
      <c r="D8249" s="26" t="s">
        <v>82</v>
      </c>
      <c r="E8249" s="31">
        <v>46246.0</v>
      </c>
      <c r="F8249" s="26" t="s">
        <v>41</v>
      </c>
      <c r="I8249" s="26" t="s">
        <v>970</v>
      </c>
      <c r="J8249" s="25" t="str">
        <f t="shared" si="103"/>
        <v>No</v>
      </c>
      <c r="K8249" s="25" t="str">
        <f t="shared" si="104"/>
        <v/>
      </c>
      <c r="L8249" s="25" t="str">
        <f t="shared" si="105"/>
        <v/>
      </c>
      <c r="M8249" s="25"/>
      <c r="O8249" s="25"/>
    </row>
    <row r="8250" ht="15.75" customHeight="1">
      <c r="A8250" s="25" t="str">
        <f>IFERROR(__xludf.DUMMYFUNCTION("IF(B8250="""","""",RIGHT(REGEXREPLACE(B8250&amp;"""",""[^0-9]"",""""),9))"),"711482444")</f>
        <v>711482444</v>
      </c>
      <c r="B8250" s="52">
        <v>7.11482444E8</v>
      </c>
      <c r="C8250" s="28" t="s">
        <v>8459</v>
      </c>
      <c r="D8250" s="26" t="s">
        <v>64</v>
      </c>
      <c r="E8250" s="31">
        <v>46246.0</v>
      </c>
      <c r="F8250" s="26" t="s">
        <v>46</v>
      </c>
      <c r="H8250" s="26" t="s">
        <v>2293</v>
      </c>
      <c r="I8250" s="26" t="s">
        <v>970</v>
      </c>
      <c r="J8250" s="25" t="str">
        <f t="shared" si="103"/>
        <v>No</v>
      </c>
      <c r="K8250" s="25" t="str">
        <f t="shared" si="104"/>
        <v/>
      </c>
      <c r="L8250" s="25" t="str">
        <f t="shared" si="105"/>
        <v/>
      </c>
      <c r="M8250" s="25"/>
      <c r="O8250" s="25"/>
    </row>
    <row r="8251" ht="15.75" customHeight="1">
      <c r="A8251" s="25" t="str">
        <f>IFERROR(__xludf.DUMMYFUNCTION("IF(B8251="""","""",RIGHT(REGEXREPLACE(B8251&amp;"""",""[^0-9]"",""""),9))"),"718339099")</f>
        <v>718339099</v>
      </c>
      <c r="B8251" s="52">
        <v>7.18339099E8</v>
      </c>
      <c r="C8251" s="28" t="s">
        <v>8460</v>
      </c>
      <c r="D8251" s="26" t="s">
        <v>45</v>
      </c>
      <c r="E8251" s="31">
        <v>46246.0</v>
      </c>
      <c r="F8251" s="26" t="s">
        <v>46</v>
      </c>
      <c r="G8251" s="26">
        <v>11.0</v>
      </c>
      <c r="H8251" s="26" t="s">
        <v>2293</v>
      </c>
      <c r="I8251" s="26" t="s">
        <v>970</v>
      </c>
      <c r="J8251" s="25" t="str">
        <f t="shared" si="103"/>
        <v>No</v>
      </c>
      <c r="K8251" s="25" t="str">
        <f t="shared" si="104"/>
        <v/>
      </c>
      <c r="L8251" s="25" t="str">
        <f t="shared" si="105"/>
        <v/>
      </c>
      <c r="M8251" s="25"/>
      <c r="O8251" s="25"/>
    </row>
    <row r="8252" ht="15.75" customHeight="1">
      <c r="A8252" s="25" t="str">
        <f>IFERROR(__xludf.DUMMYFUNCTION("IF(B8252="""","""",RIGHT(REGEXREPLACE(B8252&amp;"""",""[^0-9]"",""""),9))"),"767532808")</f>
        <v>767532808</v>
      </c>
      <c r="B8252" s="52">
        <v>7.67532808E8</v>
      </c>
      <c r="C8252" s="28" t="s">
        <v>8461</v>
      </c>
      <c r="D8252" s="26" t="s">
        <v>49</v>
      </c>
      <c r="E8252" s="31">
        <v>46246.0</v>
      </c>
      <c r="F8252" s="26" t="s">
        <v>46</v>
      </c>
      <c r="G8252" s="26">
        <v>11.0</v>
      </c>
      <c r="H8252" s="26" t="s">
        <v>2293</v>
      </c>
      <c r="I8252" s="26" t="s">
        <v>970</v>
      </c>
      <c r="J8252" s="25" t="str">
        <f t="shared" si="103"/>
        <v>No</v>
      </c>
      <c r="K8252" s="25" t="str">
        <f t="shared" si="104"/>
        <v/>
      </c>
      <c r="L8252" s="25" t="str">
        <f t="shared" si="105"/>
        <v/>
      </c>
      <c r="M8252" s="25"/>
      <c r="O8252" s="25"/>
    </row>
    <row r="8253" ht="15.75" customHeight="1">
      <c r="A8253" s="25" t="str">
        <f>IFERROR(__xludf.DUMMYFUNCTION("IF(B8253="""","""",RIGHT(REGEXREPLACE(B8253&amp;"""",""[^0-9]"",""""),9))"),"718406427")</f>
        <v>718406427</v>
      </c>
      <c r="B8253" s="52">
        <v>7.18406427E8</v>
      </c>
      <c r="C8253" s="28" t="s">
        <v>2314</v>
      </c>
      <c r="D8253" s="26" t="s">
        <v>82</v>
      </c>
      <c r="E8253" s="31">
        <v>46246.0</v>
      </c>
      <c r="F8253" s="26" t="s">
        <v>46</v>
      </c>
      <c r="G8253" s="26">
        <v>11.0</v>
      </c>
      <c r="I8253" s="26" t="s">
        <v>970</v>
      </c>
      <c r="J8253" s="25" t="str">
        <f t="shared" si="103"/>
        <v>Yes - see Previous F-Code</v>
      </c>
      <c r="K8253" s="25" t="str">
        <f t="shared" si="104"/>
        <v/>
      </c>
      <c r="L8253" s="25" t="str">
        <f t="shared" si="105"/>
        <v>F72012</v>
      </c>
      <c r="M8253" s="25"/>
      <c r="O8253" s="25"/>
    </row>
    <row r="8254" ht="15.75" customHeight="1">
      <c r="A8254" s="25" t="str">
        <f>IFERROR(__xludf.DUMMYFUNCTION("IF(B8254="""","""",RIGHT(REGEXREPLACE(B8254&amp;"""",""[^0-9]"",""""),9))"),"727009037")</f>
        <v>727009037</v>
      </c>
      <c r="B8254" s="52">
        <v>7.27009037E8</v>
      </c>
      <c r="C8254" s="28" t="s">
        <v>88</v>
      </c>
      <c r="D8254" s="26" t="s">
        <v>64</v>
      </c>
      <c r="E8254" s="31">
        <v>46246.0</v>
      </c>
      <c r="F8254" s="26" t="s">
        <v>46</v>
      </c>
      <c r="I8254" s="26" t="s">
        <v>970</v>
      </c>
      <c r="J8254" s="25" t="str">
        <f t="shared" si="103"/>
        <v>Yes - see Previous F-Code</v>
      </c>
      <c r="K8254" s="25" t="str">
        <f t="shared" si="104"/>
        <v/>
      </c>
      <c r="L8254" s="25" t="str">
        <f t="shared" si="105"/>
        <v>F70022</v>
      </c>
      <c r="M8254" s="25"/>
      <c r="O8254" s="25"/>
    </row>
    <row r="8255" ht="15.75" customHeight="1">
      <c r="A8255" s="25" t="str">
        <f>IFERROR(__xludf.DUMMYFUNCTION("IF(B8255="""","""",RIGHT(REGEXREPLACE(B8255&amp;"""",""[^0-9]"",""""),9))"),"715185105")</f>
        <v>715185105</v>
      </c>
      <c r="B8255" s="52">
        <v>7.15185105E8</v>
      </c>
      <c r="C8255" s="28" t="s">
        <v>8462</v>
      </c>
      <c r="D8255" s="26" t="s">
        <v>64</v>
      </c>
      <c r="E8255" s="31">
        <v>46246.0</v>
      </c>
      <c r="F8255" s="26" t="s">
        <v>46</v>
      </c>
      <c r="H8255" s="26" t="s">
        <v>5568</v>
      </c>
      <c r="I8255" s="26" t="s">
        <v>970</v>
      </c>
      <c r="J8255" s="25" t="str">
        <f t="shared" si="103"/>
        <v>No</v>
      </c>
      <c r="K8255" s="25" t="str">
        <f t="shared" si="104"/>
        <v/>
      </c>
      <c r="L8255" s="25" t="str">
        <f t="shared" si="105"/>
        <v/>
      </c>
      <c r="M8255" s="25"/>
      <c r="O8255" s="25"/>
    </row>
    <row r="8256" ht="15.75" customHeight="1">
      <c r="A8256" s="25" t="str">
        <f>IFERROR(__xludf.DUMMYFUNCTION("IF(B8256="""","""",RIGHT(REGEXREPLACE(B8256&amp;"""",""[^0-9]"",""""),9))"),"741511675")</f>
        <v>741511675</v>
      </c>
      <c r="B8256" s="52">
        <v>7.41511675E8</v>
      </c>
      <c r="C8256" s="28" t="s">
        <v>3603</v>
      </c>
      <c r="D8256" s="26" t="s">
        <v>45</v>
      </c>
      <c r="E8256" s="31">
        <v>46246.0</v>
      </c>
      <c r="F8256" s="26" t="s">
        <v>46</v>
      </c>
      <c r="G8256" s="26">
        <v>11.0</v>
      </c>
      <c r="I8256" s="26" t="s">
        <v>970</v>
      </c>
      <c r="J8256" s="25" t="str">
        <f t="shared" si="103"/>
        <v>Yes - see Previous F-Code</v>
      </c>
      <c r="K8256" s="25" t="str">
        <f t="shared" si="104"/>
        <v/>
      </c>
      <c r="L8256" s="25" t="str">
        <f t="shared" si="105"/>
        <v>F73259</v>
      </c>
      <c r="M8256" s="25"/>
      <c r="O8256" s="25"/>
    </row>
    <row r="8257" ht="15.75" customHeight="1">
      <c r="A8257" s="25" t="str">
        <f>IFERROR(__xludf.DUMMYFUNCTION("IF(B8257="""","""",RIGHT(REGEXREPLACE(B8257&amp;"""",""[^0-9]"",""""),9))"),"760656858")</f>
        <v>760656858</v>
      </c>
      <c r="B8257" s="52">
        <v>7.60656858E8</v>
      </c>
      <c r="C8257" s="28" t="s">
        <v>1256</v>
      </c>
      <c r="D8257" s="26" t="s">
        <v>82</v>
      </c>
      <c r="E8257" s="31">
        <v>46246.0</v>
      </c>
      <c r="F8257" s="26" t="s">
        <v>46</v>
      </c>
      <c r="G8257" s="26">
        <v>11.0</v>
      </c>
      <c r="I8257" s="26" t="s">
        <v>970</v>
      </c>
      <c r="J8257" s="25" t="str">
        <f t="shared" si="103"/>
        <v>Yes - see Previous F-Code</v>
      </c>
      <c r="K8257" s="25" t="str">
        <f t="shared" si="104"/>
        <v/>
      </c>
      <c r="L8257" s="25" t="str">
        <f t="shared" si="105"/>
        <v>F70992</v>
      </c>
      <c r="M8257" s="25"/>
      <c r="O8257" s="25"/>
    </row>
    <row r="8258" ht="15.75" customHeight="1">
      <c r="A8258" s="25" t="str">
        <f>IFERROR(__xludf.DUMMYFUNCTION("IF(B8258="""","""",RIGHT(REGEXREPLACE(B8258&amp;"""",""[^0-9]"",""""),9))"),"770496543")</f>
        <v>770496543</v>
      </c>
      <c r="B8258" s="52">
        <v>7.70496543E8</v>
      </c>
      <c r="C8258" s="28" t="s">
        <v>5753</v>
      </c>
      <c r="D8258" s="26" t="s">
        <v>49</v>
      </c>
      <c r="E8258" s="31">
        <v>46246.0</v>
      </c>
      <c r="F8258" s="26" t="s">
        <v>46</v>
      </c>
      <c r="G8258" s="26">
        <v>11.0</v>
      </c>
      <c r="H8258" s="72" t="s">
        <v>8463</v>
      </c>
      <c r="I8258" s="26" t="s">
        <v>970</v>
      </c>
      <c r="J8258" s="25" t="str">
        <f t="shared" si="103"/>
        <v>Yes - see Previous F-Code</v>
      </c>
      <c r="K8258" s="25" t="str">
        <f t="shared" si="104"/>
        <v>DUPLICATE - CHECK</v>
      </c>
      <c r="L8258" s="25" t="str">
        <f t="shared" si="105"/>
        <v>F75197</v>
      </c>
      <c r="M8258" s="25"/>
      <c r="O8258" s="25"/>
    </row>
    <row r="8259" ht="15.75" customHeight="1">
      <c r="A8259" s="25" t="str">
        <f>IFERROR(__xludf.DUMMYFUNCTION("IF(B8259="""","""",RIGHT(REGEXREPLACE(B8259&amp;"""",""[^0-9]"",""""),9))"),"742746838")</f>
        <v>742746838</v>
      </c>
      <c r="B8259" s="52">
        <v>7.42746838E8</v>
      </c>
      <c r="C8259" s="28" t="s">
        <v>8464</v>
      </c>
      <c r="D8259" s="26" t="s">
        <v>64</v>
      </c>
      <c r="E8259" s="31">
        <v>46246.0</v>
      </c>
      <c r="F8259" s="26" t="s">
        <v>46</v>
      </c>
      <c r="G8259" s="26">
        <v>9.0</v>
      </c>
      <c r="I8259" s="26" t="s">
        <v>970</v>
      </c>
      <c r="J8259" s="25" t="str">
        <f t="shared" si="103"/>
        <v>No</v>
      </c>
      <c r="K8259" s="25" t="str">
        <f t="shared" si="104"/>
        <v/>
      </c>
      <c r="L8259" s="25" t="str">
        <f t="shared" si="105"/>
        <v/>
      </c>
      <c r="M8259" s="25"/>
      <c r="O8259" s="25"/>
    </row>
    <row r="8260" ht="15.75" customHeight="1">
      <c r="A8260" s="25" t="str">
        <f>IFERROR(__xludf.DUMMYFUNCTION("IF(B8260="""","""",RIGHT(REGEXREPLACE(B8260&amp;"""",""[^0-9]"",""""),9))"),"713555443")</f>
        <v>713555443</v>
      </c>
      <c r="B8260" s="52">
        <v>7.13555443E8</v>
      </c>
      <c r="C8260" s="28" t="s">
        <v>2227</v>
      </c>
      <c r="D8260" s="26" t="s">
        <v>49</v>
      </c>
      <c r="E8260" s="31">
        <v>46246.0</v>
      </c>
      <c r="F8260" s="26" t="s">
        <v>46</v>
      </c>
      <c r="H8260" s="26" t="s">
        <v>94</v>
      </c>
      <c r="I8260" s="26" t="s">
        <v>970</v>
      </c>
      <c r="J8260" s="25" t="str">
        <f t="shared" si="103"/>
        <v>Yes - see Previous F-Code</v>
      </c>
      <c r="K8260" s="25" t="str">
        <f t="shared" si="104"/>
        <v/>
      </c>
      <c r="L8260" s="25" t="str">
        <f t="shared" si="105"/>
        <v>F71928</v>
      </c>
      <c r="M8260" s="25"/>
      <c r="O8260" s="25"/>
    </row>
    <row r="8261" ht="15.75" customHeight="1">
      <c r="A8261" s="25" t="str">
        <f>IFERROR(__xludf.DUMMYFUNCTION("IF(B8261="""","""",RIGHT(REGEXREPLACE(B8261&amp;"""",""[^0-9]"",""""),9))"),"772061243")</f>
        <v>772061243</v>
      </c>
      <c r="B8261" s="52">
        <v>7.72061243E8</v>
      </c>
      <c r="C8261" s="28" t="s">
        <v>1313</v>
      </c>
      <c r="D8261" s="26" t="s">
        <v>45</v>
      </c>
      <c r="E8261" s="31">
        <v>46246.0</v>
      </c>
      <c r="F8261" s="26" t="s">
        <v>46</v>
      </c>
      <c r="G8261" s="26">
        <v>11.0</v>
      </c>
      <c r="I8261" s="26" t="s">
        <v>970</v>
      </c>
      <c r="J8261" s="25" t="str">
        <f t="shared" si="103"/>
        <v>Yes - see Previous F-Code</v>
      </c>
      <c r="K8261" s="25" t="str">
        <f t="shared" si="104"/>
        <v/>
      </c>
      <c r="L8261" s="25" t="str">
        <f t="shared" si="105"/>
        <v>F71044</v>
      </c>
      <c r="M8261" s="25"/>
      <c r="O8261" s="25"/>
    </row>
    <row r="8262" ht="15.75" customHeight="1">
      <c r="A8262" s="25" t="str">
        <f>IFERROR(__xludf.DUMMYFUNCTION("IF(B8262="""","""",RIGHT(REGEXREPLACE(B8262&amp;"""",""[^0-9]"",""""),9))"),"769010794")</f>
        <v>769010794</v>
      </c>
      <c r="B8262" s="52">
        <v>7.69010794E8</v>
      </c>
      <c r="C8262" s="28" t="s">
        <v>8465</v>
      </c>
      <c r="D8262" s="26" t="s">
        <v>82</v>
      </c>
      <c r="E8262" s="31">
        <v>46246.0</v>
      </c>
      <c r="F8262" s="26" t="s">
        <v>41</v>
      </c>
      <c r="I8262" s="26" t="s">
        <v>970</v>
      </c>
      <c r="J8262" s="25" t="str">
        <f t="shared" si="103"/>
        <v>No</v>
      </c>
      <c r="K8262" s="25" t="str">
        <f t="shared" si="104"/>
        <v/>
      </c>
      <c r="L8262" s="25" t="str">
        <f t="shared" si="105"/>
        <v/>
      </c>
      <c r="M8262" s="25"/>
      <c r="O8262" s="25"/>
    </row>
    <row r="8263" ht="15.75" customHeight="1">
      <c r="A8263" s="25" t="str">
        <f>IFERROR(__xludf.DUMMYFUNCTION("IF(B8263="""","""",RIGHT(REGEXREPLACE(B8263&amp;"""",""[^0-9]"",""""),9))"),"778755275")</f>
        <v>778755275</v>
      </c>
      <c r="B8263" s="52">
        <v>7.78755275E8</v>
      </c>
      <c r="C8263" s="28" t="s">
        <v>8466</v>
      </c>
      <c r="D8263" s="26" t="s">
        <v>64</v>
      </c>
      <c r="E8263" s="31">
        <v>46246.0</v>
      </c>
      <c r="F8263" s="26" t="s">
        <v>704</v>
      </c>
      <c r="I8263" s="26" t="s">
        <v>970</v>
      </c>
      <c r="J8263" s="25" t="str">
        <f t="shared" si="103"/>
        <v>No</v>
      </c>
      <c r="K8263" s="25" t="str">
        <f t="shared" si="104"/>
        <v/>
      </c>
      <c r="L8263" s="25" t="str">
        <f t="shared" si="105"/>
        <v/>
      </c>
      <c r="M8263" s="25"/>
      <c r="O8263" s="25"/>
    </row>
    <row r="8264" ht="15.75" customHeight="1">
      <c r="A8264" s="25" t="str">
        <f>IFERROR(__xludf.DUMMYFUNCTION("IF(B8264="""","""",RIGHT(REGEXREPLACE(B8264&amp;"""",""[^0-9]"",""""),9))"),"774205271")</f>
        <v>774205271</v>
      </c>
      <c r="B8264" s="52">
        <v>7.74205271E8</v>
      </c>
      <c r="C8264" s="28" t="s">
        <v>8467</v>
      </c>
      <c r="D8264" s="26" t="s">
        <v>45</v>
      </c>
      <c r="E8264" s="31">
        <v>46246.0</v>
      </c>
      <c r="F8264" s="26" t="s">
        <v>46</v>
      </c>
      <c r="G8264" s="26">
        <v>10.0</v>
      </c>
      <c r="I8264" s="26" t="s">
        <v>970</v>
      </c>
      <c r="J8264" s="25" t="str">
        <f t="shared" si="103"/>
        <v>No</v>
      </c>
      <c r="K8264" s="25" t="str">
        <f t="shared" si="104"/>
        <v/>
      </c>
      <c r="L8264" s="25" t="str">
        <f t="shared" si="105"/>
        <v/>
      </c>
      <c r="M8264" s="25"/>
      <c r="O8264" s="25"/>
    </row>
    <row r="8265" ht="15.75" customHeight="1">
      <c r="A8265" s="25" t="str">
        <f>IFERROR(__xludf.DUMMYFUNCTION("IF(B8265="""","""",RIGHT(REGEXREPLACE(B8265&amp;"""",""[^0-9]"",""""),9))"),"715956656")</f>
        <v>715956656</v>
      </c>
      <c r="B8265" s="52">
        <v>7.15956656E8</v>
      </c>
      <c r="C8265" s="28" t="s">
        <v>8468</v>
      </c>
      <c r="D8265" s="26" t="s">
        <v>82</v>
      </c>
      <c r="E8265" s="31">
        <v>46246.0</v>
      </c>
      <c r="F8265" s="26" t="s">
        <v>46</v>
      </c>
      <c r="G8265" s="26">
        <v>10.0</v>
      </c>
      <c r="I8265" s="26" t="s">
        <v>970</v>
      </c>
      <c r="J8265" s="25" t="str">
        <f t="shared" si="103"/>
        <v>No</v>
      </c>
      <c r="K8265" s="25" t="str">
        <f t="shared" si="104"/>
        <v/>
      </c>
      <c r="L8265" s="25" t="str">
        <f t="shared" si="105"/>
        <v/>
      </c>
      <c r="M8265" s="25"/>
      <c r="O8265" s="25"/>
    </row>
    <row r="8266" ht="15.75" customHeight="1">
      <c r="A8266" s="25" t="str">
        <f>IFERROR(__xludf.DUMMYFUNCTION("IF(B8266="""","""",RIGHT(REGEXREPLACE(B8266&amp;"""",""[^0-9]"",""""),9))"),"715104442")</f>
        <v>715104442</v>
      </c>
      <c r="B8266" s="52">
        <v>7.15104442E8</v>
      </c>
      <c r="C8266" s="28" t="s">
        <v>8469</v>
      </c>
      <c r="D8266" s="26" t="s">
        <v>49</v>
      </c>
      <c r="E8266" s="31">
        <v>46246.0</v>
      </c>
      <c r="F8266" s="26" t="s">
        <v>46</v>
      </c>
      <c r="G8266" s="26">
        <v>11.0</v>
      </c>
      <c r="I8266" s="26" t="s">
        <v>970</v>
      </c>
      <c r="J8266" s="25" t="str">
        <f t="shared" si="103"/>
        <v>No</v>
      </c>
      <c r="K8266" s="25" t="str">
        <f t="shared" si="104"/>
        <v/>
      </c>
      <c r="L8266" s="25" t="str">
        <f t="shared" si="105"/>
        <v/>
      </c>
      <c r="M8266" s="25"/>
      <c r="O8266" s="25"/>
    </row>
    <row r="8267" ht="15.75" customHeight="1">
      <c r="A8267" s="25" t="str">
        <f>IFERROR(__xludf.DUMMYFUNCTION("IF(B8267="""","""",RIGHT(REGEXREPLACE(B8267&amp;"""",""[^0-9]"",""""),9))"),"712390691")</f>
        <v>712390691</v>
      </c>
      <c r="B8267" s="52">
        <v>7.12390691E8</v>
      </c>
      <c r="C8267" s="28" t="s">
        <v>8470</v>
      </c>
      <c r="D8267" s="26" t="s">
        <v>64</v>
      </c>
      <c r="E8267" s="31">
        <v>46246.0</v>
      </c>
      <c r="F8267" s="26" t="s">
        <v>46</v>
      </c>
      <c r="H8267" s="26" t="s">
        <v>763</v>
      </c>
      <c r="I8267" s="26" t="s">
        <v>970</v>
      </c>
      <c r="J8267" s="25" t="str">
        <f t="shared" si="103"/>
        <v>No</v>
      </c>
      <c r="K8267" s="25" t="str">
        <f t="shared" si="104"/>
        <v/>
      </c>
      <c r="L8267" s="25" t="str">
        <f t="shared" si="105"/>
        <v/>
      </c>
      <c r="M8267" s="25"/>
      <c r="O8267" s="25"/>
    </row>
    <row r="8268" ht="15.75" customHeight="1">
      <c r="A8268" s="25" t="str">
        <f>IFERROR(__xludf.DUMMYFUNCTION("IF(B8268="""","""",RIGHT(REGEXREPLACE(B8268&amp;"""",""[^0-9]"",""""),9))"),"764283688")</f>
        <v>764283688</v>
      </c>
      <c r="B8268" s="52">
        <v>7.64283688E8</v>
      </c>
      <c r="C8268" s="28" t="s">
        <v>8471</v>
      </c>
      <c r="D8268" s="26" t="s">
        <v>64</v>
      </c>
      <c r="E8268" s="31">
        <v>46246.0</v>
      </c>
      <c r="F8268" s="26" t="s">
        <v>41</v>
      </c>
      <c r="I8268" s="26" t="s">
        <v>970</v>
      </c>
      <c r="J8268" s="25" t="str">
        <f t="shared" si="103"/>
        <v>No</v>
      </c>
      <c r="K8268" s="25" t="str">
        <f t="shared" si="104"/>
        <v/>
      </c>
      <c r="L8268" s="25" t="str">
        <f t="shared" si="105"/>
        <v/>
      </c>
      <c r="M8268" s="25"/>
      <c r="O8268" s="25"/>
    </row>
    <row r="8269" ht="15.75" customHeight="1">
      <c r="A8269" s="25" t="str">
        <f>IFERROR(__xludf.DUMMYFUNCTION("IF(B8269="""","""",RIGHT(REGEXREPLACE(B8269&amp;"""",""[^0-9]"",""""),9))"),"723652046")</f>
        <v>723652046</v>
      </c>
      <c r="B8269" s="52">
        <v>7.23652046E8</v>
      </c>
      <c r="C8269" s="28" t="s">
        <v>8472</v>
      </c>
      <c r="D8269" s="26" t="s">
        <v>45</v>
      </c>
      <c r="E8269" s="31">
        <v>46246.0</v>
      </c>
      <c r="F8269" s="26" t="s">
        <v>41</v>
      </c>
      <c r="I8269" s="26" t="s">
        <v>970</v>
      </c>
      <c r="J8269" s="25" t="str">
        <f t="shared" si="103"/>
        <v>No</v>
      </c>
      <c r="K8269" s="25" t="str">
        <f t="shared" si="104"/>
        <v/>
      </c>
      <c r="L8269" s="25" t="str">
        <f t="shared" si="105"/>
        <v/>
      </c>
      <c r="M8269" s="25"/>
      <c r="O8269" s="25"/>
    </row>
    <row r="8270" ht="15.75" customHeight="1">
      <c r="A8270" s="25" t="str">
        <f>IFERROR(__xludf.DUMMYFUNCTION("IF(B8270="""","""",RIGHT(REGEXREPLACE(B8270&amp;"""",""[^0-9]"",""""),9))"),"762159404")</f>
        <v>762159404</v>
      </c>
      <c r="B8270" s="52">
        <v>7.62159404E8</v>
      </c>
      <c r="C8270" s="28" t="s">
        <v>8473</v>
      </c>
      <c r="D8270" s="26" t="s">
        <v>64</v>
      </c>
      <c r="E8270" s="31">
        <v>46246.0</v>
      </c>
      <c r="F8270" s="26" t="s">
        <v>41</v>
      </c>
      <c r="G8270" s="26">
        <v>9.0</v>
      </c>
      <c r="I8270" s="26" t="s">
        <v>970</v>
      </c>
      <c r="J8270" s="25" t="str">
        <f t="shared" si="103"/>
        <v>No</v>
      </c>
      <c r="K8270" s="25" t="str">
        <f t="shared" si="104"/>
        <v/>
      </c>
      <c r="L8270" s="25" t="str">
        <f t="shared" si="105"/>
        <v/>
      </c>
      <c r="M8270" s="25"/>
      <c r="O8270" s="25"/>
    </row>
    <row r="8271" ht="15.75" customHeight="1">
      <c r="A8271" s="25" t="str">
        <f>IFERROR(__xludf.DUMMYFUNCTION("IF(B8271="""","""",RIGHT(REGEXREPLACE(B8271&amp;"""",""[^0-9]"",""""),9))"),"769168368")</f>
        <v>769168368</v>
      </c>
      <c r="B8271" s="52">
        <v>7.69168368E8</v>
      </c>
      <c r="C8271" s="28" t="s">
        <v>8474</v>
      </c>
      <c r="D8271" s="26" t="s">
        <v>64</v>
      </c>
      <c r="E8271" s="31">
        <v>46246.0</v>
      </c>
      <c r="F8271" s="26" t="s">
        <v>46</v>
      </c>
      <c r="H8271" s="26" t="s">
        <v>8235</v>
      </c>
      <c r="I8271" s="26" t="s">
        <v>970</v>
      </c>
      <c r="J8271" s="25" t="str">
        <f t="shared" si="103"/>
        <v>No</v>
      </c>
      <c r="K8271" s="25" t="str">
        <f t="shared" si="104"/>
        <v/>
      </c>
      <c r="L8271" s="25" t="str">
        <f t="shared" si="105"/>
        <v/>
      </c>
      <c r="M8271" s="25"/>
      <c r="O8271" s="25"/>
    </row>
    <row r="8272" ht="15.75" customHeight="1">
      <c r="A8272" s="25" t="str">
        <f>IFERROR(__xludf.DUMMYFUNCTION("IF(B8272="""","""",RIGHT(REGEXREPLACE(B8272&amp;"""",""[^0-9]"",""""),9))"),"769805326")</f>
        <v>769805326</v>
      </c>
      <c r="B8272" s="52">
        <v>7.69805326E8</v>
      </c>
      <c r="C8272" s="28" t="s">
        <v>8475</v>
      </c>
      <c r="D8272" s="26" t="s">
        <v>82</v>
      </c>
      <c r="E8272" s="31">
        <v>46246.0</v>
      </c>
      <c r="F8272" s="26" t="s">
        <v>46</v>
      </c>
      <c r="G8272" s="26">
        <v>9.0</v>
      </c>
      <c r="I8272" s="26" t="s">
        <v>970</v>
      </c>
      <c r="J8272" s="25" t="str">
        <f t="shared" si="103"/>
        <v>No</v>
      </c>
      <c r="K8272" s="25" t="str">
        <f t="shared" si="104"/>
        <v/>
      </c>
      <c r="L8272" s="25" t="str">
        <f t="shared" si="105"/>
        <v/>
      </c>
      <c r="M8272" s="25"/>
      <c r="O8272" s="25"/>
    </row>
    <row r="8273" ht="15.75" customHeight="1">
      <c r="A8273" s="25" t="str">
        <f>IFERROR(__xludf.DUMMYFUNCTION("IF(B8273="""","""",RIGHT(REGEXREPLACE(B8273&amp;"""",""[^0-9]"",""""),9))"),"753639987")</f>
        <v>753639987</v>
      </c>
      <c r="B8273" s="52">
        <v>7.53639987E8</v>
      </c>
      <c r="C8273" s="28" t="s">
        <v>8188</v>
      </c>
      <c r="D8273" s="26" t="s">
        <v>49</v>
      </c>
      <c r="E8273" s="31">
        <v>46246.0</v>
      </c>
      <c r="F8273" s="26" t="s">
        <v>205</v>
      </c>
      <c r="I8273" s="26" t="s">
        <v>970</v>
      </c>
      <c r="J8273" s="25" t="str">
        <f t="shared" si="103"/>
        <v>Yes - see Previous F-Code</v>
      </c>
      <c r="K8273" s="25" t="str">
        <f t="shared" si="104"/>
        <v>DUPLICATE - CHECK</v>
      </c>
      <c r="L8273" s="25" t="str">
        <f t="shared" si="105"/>
        <v>F77001</v>
      </c>
      <c r="M8273" s="25"/>
      <c r="O8273" s="25"/>
    </row>
    <row r="8274" ht="15.75" customHeight="1">
      <c r="A8274" s="25" t="str">
        <f>IFERROR(__xludf.DUMMYFUNCTION("IF(B8274="""","""",RIGHT(REGEXREPLACE(B8274&amp;"""",""[^0-9]"",""""),9))"),"775677446")</f>
        <v>775677446</v>
      </c>
      <c r="B8274" s="52">
        <v>7.75677446E8</v>
      </c>
      <c r="C8274" s="28" t="s">
        <v>8476</v>
      </c>
      <c r="D8274" s="26" t="s">
        <v>64</v>
      </c>
      <c r="E8274" s="31">
        <v>46246.0</v>
      </c>
      <c r="F8274" s="26" t="s">
        <v>205</v>
      </c>
      <c r="I8274" s="26" t="s">
        <v>970</v>
      </c>
      <c r="J8274" s="25" t="str">
        <f t="shared" si="103"/>
        <v>No</v>
      </c>
      <c r="K8274" s="25" t="str">
        <f t="shared" si="104"/>
        <v/>
      </c>
      <c r="L8274" s="25" t="str">
        <f t="shared" si="105"/>
        <v/>
      </c>
      <c r="M8274" s="25"/>
      <c r="O8274" s="25"/>
    </row>
    <row r="8275" ht="15.75" customHeight="1">
      <c r="A8275" s="25" t="str">
        <f>IFERROR(__xludf.DUMMYFUNCTION("IF(B8275="""","""",RIGHT(REGEXREPLACE(B8275&amp;"""",""[^0-9]"",""""),9))"),"769759173")</f>
        <v>769759173</v>
      </c>
      <c r="B8275" s="52">
        <v>7.69759173E8</v>
      </c>
      <c r="C8275" s="28" t="s">
        <v>8477</v>
      </c>
      <c r="D8275" s="26" t="s">
        <v>64</v>
      </c>
      <c r="E8275" s="31">
        <v>46246.0</v>
      </c>
      <c r="F8275" s="26" t="s">
        <v>41</v>
      </c>
      <c r="I8275" s="26" t="s">
        <v>970</v>
      </c>
      <c r="J8275" s="25" t="str">
        <f t="shared" si="103"/>
        <v>No</v>
      </c>
      <c r="K8275" s="25" t="str">
        <f t="shared" si="104"/>
        <v/>
      </c>
      <c r="L8275" s="25" t="str">
        <f t="shared" si="105"/>
        <v/>
      </c>
      <c r="M8275" s="25"/>
      <c r="O8275" s="25"/>
    </row>
    <row r="8276" ht="15.75" customHeight="1">
      <c r="A8276" s="25" t="str">
        <f>IFERROR(__xludf.DUMMYFUNCTION("IF(B8276="""","""",RIGHT(REGEXREPLACE(B8276&amp;"""",""[^0-9]"",""""),9))"),"762917215")</f>
        <v>762917215</v>
      </c>
      <c r="B8276" s="52">
        <v>7.62917215E8</v>
      </c>
      <c r="C8276" s="28" t="s">
        <v>8478</v>
      </c>
      <c r="D8276" s="26" t="s">
        <v>49</v>
      </c>
      <c r="E8276" s="31">
        <v>46246.0</v>
      </c>
      <c r="F8276" s="26" t="s">
        <v>46</v>
      </c>
      <c r="G8276" s="26">
        <v>10.0</v>
      </c>
      <c r="H8276" s="26" t="s">
        <v>8479</v>
      </c>
      <c r="I8276" s="26" t="s">
        <v>970</v>
      </c>
      <c r="J8276" s="25" t="str">
        <f t="shared" si="103"/>
        <v>No</v>
      </c>
      <c r="K8276" s="25" t="str">
        <f t="shared" si="104"/>
        <v/>
      </c>
      <c r="L8276" s="25" t="str">
        <f t="shared" si="105"/>
        <v/>
      </c>
      <c r="M8276" s="25"/>
      <c r="O8276" s="25"/>
    </row>
    <row r="8277" ht="15.75" customHeight="1">
      <c r="A8277" s="25" t="str">
        <f>IFERROR(__xludf.DUMMYFUNCTION("IF(B8277="""","""",RIGHT(REGEXREPLACE(B8277&amp;"""",""[^0-9]"",""""),9))"),"703412451")</f>
        <v>703412451</v>
      </c>
      <c r="B8277" s="52">
        <v>4.703412451E9</v>
      </c>
      <c r="C8277" s="28" t="s">
        <v>8480</v>
      </c>
      <c r="D8277" s="26" t="s">
        <v>64</v>
      </c>
      <c r="E8277" s="31">
        <v>46246.0</v>
      </c>
      <c r="F8277" s="26" t="s">
        <v>41</v>
      </c>
      <c r="H8277" s="26" t="s">
        <v>8235</v>
      </c>
      <c r="I8277" s="26" t="s">
        <v>970</v>
      </c>
      <c r="J8277" s="25" t="str">
        <f t="shared" si="103"/>
        <v>No</v>
      </c>
      <c r="K8277" s="25" t="str">
        <f t="shared" si="104"/>
        <v/>
      </c>
      <c r="L8277" s="25" t="str">
        <f t="shared" si="105"/>
        <v/>
      </c>
      <c r="M8277" s="25"/>
      <c r="O8277" s="25"/>
    </row>
    <row r="8278" ht="15.75" customHeight="1">
      <c r="A8278" s="25" t="str">
        <f>IFERROR(__xludf.DUMMYFUNCTION("IF(B8278="""","""",RIGHT(REGEXREPLACE(B8278&amp;"""",""[^0-9]"",""""),9))"),"718659634")</f>
        <v>718659634</v>
      </c>
      <c r="B8278" s="52">
        <v>7.18659634E8</v>
      </c>
      <c r="C8278" s="28" t="s">
        <v>5697</v>
      </c>
      <c r="D8278" s="26" t="s">
        <v>82</v>
      </c>
      <c r="E8278" s="31">
        <v>46246.0</v>
      </c>
      <c r="F8278" s="26" t="s">
        <v>46</v>
      </c>
      <c r="H8278" s="26" t="s">
        <v>8481</v>
      </c>
      <c r="I8278" s="26" t="s">
        <v>970</v>
      </c>
      <c r="J8278" s="25" t="str">
        <f t="shared" si="103"/>
        <v>Yes - see Previous F-Code</v>
      </c>
      <c r="K8278" s="25" t="str">
        <f t="shared" si="104"/>
        <v/>
      </c>
      <c r="L8278" s="25" t="str">
        <f t="shared" si="105"/>
        <v>F75152</v>
      </c>
      <c r="M8278" s="25"/>
      <c r="O8278" s="25"/>
    </row>
    <row r="8279" ht="15.75" customHeight="1">
      <c r="A8279" s="25" t="str">
        <f>IFERROR(__xludf.DUMMYFUNCTION("IF(B8279="""","""",RIGHT(REGEXREPLACE(B8279&amp;"""",""[^0-9]"",""""),9))"),"762473033")</f>
        <v>762473033</v>
      </c>
      <c r="B8279" s="52">
        <v>7.62473033E8</v>
      </c>
      <c r="C8279" s="28" t="s">
        <v>8482</v>
      </c>
      <c r="D8279" s="26" t="s">
        <v>64</v>
      </c>
      <c r="E8279" s="31">
        <v>46246.0</v>
      </c>
      <c r="F8279" s="26" t="s">
        <v>46</v>
      </c>
      <c r="G8279" s="26">
        <v>11.0</v>
      </c>
      <c r="I8279" s="26" t="s">
        <v>970</v>
      </c>
      <c r="J8279" s="25" t="str">
        <f t="shared" si="103"/>
        <v>No</v>
      </c>
      <c r="K8279" s="25" t="str">
        <f t="shared" si="104"/>
        <v/>
      </c>
      <c r="L8279" s="25" t="str">
        <f t="shared" si="105"/>
        <v/>
      </c>
      <c r="M8279" s="25"/>
      <c r="O8279" s="25"/>
    </row>
    <row r="8280" ht="15.75" customHeight="1">
      <c r="A8280" s="25" t="str">
        <f>IFERROR(__xludf.DUMMYFUNCTION("IF(B8280="""","""",RIGHT(REGEXREPLACE(B8280&amp;"""",""[^0-9]"",""""),9))"),"778354355")</f>
        <v>778354355</v>
      </c>
      <c r="B8280" s="52">
        <v>7.78354355E8</v>
      </c>
      <c r="C8280" s="28" t="s">
        <v>8483</v>
      </c>
      <c r="D8280" s="26" t="s">
        <v>45</v>
      </c>
      <c r="E8280" s="31">
        <v>46246.0</v>
      </c>
      <c r="F8280" s="26" t="s">
        <v>41</v>
      </c>
      <c r="I8280" s="26" t="s">
        <v>970</v>
      </c>
      <c r="J8280" s="25" t="str">
        <f t="shared" si="103"/>
        <v>No</v>
      </c>
      <c r="K8280" s="25" t="str">
        <f t="shared" si="104"/>
        <v/>
      </c>
      <c r="L8280" s="25" t="str">
        <f t="shared" si="105"/>
        <v/>
      </c>
      <c r="M8280" s="25"/>
      <c r="O8280" s="25"/>
    </row>
    <row r="8281" ht="15.75" customHeight="1">
      <c r="A8281" s="25" t="str">
        <f>IFERROR(__xludf.DUMMYFUNCTION("IF(B8281="""","""",RIGHT(REGEXREPLACE(B8281&amp;"""",""[^0-9]"",""""),9))"),"761812175")</f>
        <v>761812175</v>
      </c>
      <c r="B8281" s="52">
        <v>7.61812175E8</v>
      </c>
      <c r="C8281" s="28" t="s">
        <v>8484</v>
      </c>
      <c r="D8281" s="26" t="s">
        <v>82</v>
      </c>
      <c r="E8281" s="31">
        <v>46246.0</v>
      </c>
      <c r="F8281" s="26" t="s">
        <v>46</v>
      </c>
      <c r="I8281" s="26" t="s">
        <v>970</v>
      </c>
      <c r="J8281" s="25" t="str">
        <f t="shared" si="103"/>
        <v>No</v>
      </c>
      <c r="K8281" s="25" t="str">
        <f t="shared" si="104"/>
        <v/>
      </c>
      <c r="L8281" s="25" t="str">
        <f t="shared" si="105"/>
        <v/>
      </c>
      <c r="M8281" s="25"/>
      <c r="O8281" s="25"/>
    </row>
    <row r="8282" ht="15.75" customHeight="1">
      <c r="A8282" s="25" t="str">
        <f>IFERROR(__xludf.DUMMYFUNCTION("IF(B8282="""","""",RIGHT(REGEXREPLACE(B8282&amp;"""",""[^0-9]"",""""),9))"),"775892364")</f>
        <v>775892364</v>
      </c>
      <c r="B8282" s="52">
        <v>7.75892364E8</v>
      </c>
      <c r="C8282" s="28" t="s">
        <v>499</v>
      </c>
      <c r="D8282" s="26" t="s">
        <v>49</v>
      </c>
      <c r="E8282" s="31">
        <v>46246.0</v>
      </c>
      <c r="F8282" s="26" t="s">
        <v>46</v>
      </c>
      <c r="G8282" s="26">
        <v>11.0</v>
      </c>
      <c r="H8282" s="26" t="s">
        <v>8479</v>
      </c>
      <c r="I8282" s="26" t="s">
        <v>970</v>
      </c>
      <c r="J8282" s="25" t="str">
        <f t="shared" si="103"/>
        <v>Yes - see Previous F-Code</v>
      </c>
      <c r="K8282" s="25" t="str">
        <f t="shared" si="104"/>
        <v/>
      </c>
      <c r="L8282" s="25" t="str">
        <f t="shared" si="105"/>
        <v>F70321</v>
      </c>
      <c r="M8282" s="25"/>
      <c r="O8282" s="25"/>
    </row>
    <row r="8283" ht="15.75" customHeight="1">
      <c r="A8283" s="25" t="str">
        <f>IFERROR(__xludf.DUMMYFUNCTION("IF(B8283="""","""",RIGHT(REGEXREPLACE(B8283&amp;"""",""[^0-9]"",""""),9))"),"754528060")</f>
        <v>754528060</v>
      </c>
      <c r="B8283" s="52">
        <v>7.5452806E8</v>
      </c>
      <c r="C8283" s="28" t="s">
        <v>8485</v>
      </c>
      <c r="D8283" s="26" t="s">
        <v>45</v>
      </c>
      <c r="E8283" s="31">
        <v>46246.0</v>
      </c>
      <c r="F8283" s="26" t="s">
        <v>659</v>
      </c>
      <c r="I8283" s="26" t="s">
        <v>970</v>
      </c>
      <c r="J8283" s="25" t="str">
        <f t="shared" si="103"/>
        <v>No</v>
      </c>
      <c r="K8283" s="25" t="str">
        <f t="shared" si="104"/>
        <v/>
      </c>
      <c r="L8283" s="25" t="str">
        <f t="shared" si="105"/>
        <v/>
      </c>
      <c r="M8283" s="25"/>
      <c r="O8283" s="25"/>
    </row>
    <row r="8284" ht="15.75" customHeight="1">
      <c r="A8284" s="25" t="str">
        <f>IFERROR(__xludf.DUMMYFUNCTION("IF(B8284="""","""",RIGHT(REGEXREPLACE(B8284&amp;"""",""[^0-9]"",""""),9))"),"774375806")</f>
        <v>774375806</v>
      </c>
      <c r="B8284" s="52">
        <v>7.74375806E8</v>
      </c>
      <c r="C8284" s="28" t="s">
        <v>8486</v>
      </c>
      <c r="D8284" s="26" t="s">
        <v>45</v>
      </c>
      <c r="E8284" s="31">
        <v>46246.0</v>
      </c>
      <c r="F8284" s="26" t="s">
        <v>659</v>
      </c>
      <c r="I8284" s="26" t="s">
        <v>970</v>
      </c>
      <c r="J8284" s="25" t="str">
        <f t="shared" si="103"/>
        <v>No</v>
      </c>
      <c r="K8284" s="25" t="str">
        <f t="shared" si="104"/>
        <v/>
      </c>
      <c r="L8284" s="25" t="str">
        <f t="shared" si="105"/>
        <v/>
      </c>
      <c r="M8284" s="25"/>
      <c r="O8284" s="25"/>
    </row>
    <row r="8285" ht="15.75" customHeight="1">
      <c r="A8285" s="25" t="str">
        <f>IFERROR(__xludf.DUMMYFUNCTION("IF(B8285="""","""",RIGHT(REGEXREPLACE(B8285&amp;"""",""[^0-9]"",""""),9))"),"783381666")</f>
        <v>783381666</v>
      </c>
      <c r="B8285" s="52">
        <v>7.83381666E8</v>
      </c>
      <c r="C8285" s="28" t="s">
        <v>8487</v>
      </c>
      <c r="D8285" s="26" t="s">
        <v>64</v>
      </c>
      <c r="E8285" s="31">
        <v>46246.0</v>
      </c>
      <c r="F8285" s="26" t="s">
        <v>41</v>
      </c>
      <c r="H8285" s="26" t="s">
        <v>8436</v>
      </c>
      <c r="I8285" s="26" t="s">
        <v>970</v>
      </c>
      <c r="J8285" s="25" t="str">
        <f t="shared" si="103"/>
        <v>No</v>
      </c>
      <c r="K8285" s="25" t="str">
        <f t="shared" si="104"/>
        <v/>
      </c>
      <c r="L8285" s="25" t="str">
        <f t="shared" si="105"/>
        <v/>
      </c>
      <c r="M8285" s="25"/>
      <c r="O8285" s="25"/>
    </row>
    <row r="8286" ht="15.75" customHeight="1">
      <c r="A8286" s="25" t="str">
        <f>IFERROR(__xludf.DUMMYFUNCTION("IF(B8286="""","""",RIGHT(REGEXREPLACE(B8286&amp;"""",""[^0-9]"",""""),9))"),"712533244")</f>
        <v>712533244</v>
      </c>
      <c r="B8286" s="52">
        <v>7.12533244E8</v>
      </c>
      <c r="C8286" s="28" t="s">
        <v>8487</v>
      </c>
      <c r="D8286" s="26" t="s">
        <v>82</v>
      </c>
      <c r="E8286" s="31">
        <v>46246.0</v>
      </c>
      <c r="F8286" s="26" t="s">
        <v>46</v>
      </c>
      <c r="G8286" s="26">
        <v>10.0</v>
      </c>
      <c r="I8286" s="26" t="s">
        <v>970</v>
      </c>
      <c r="J8286" s="25" t="str">
        <f t="shared" si="103"/>
        <v>No</v>
      </c>
      <c r="K8286" s="25" t="str">
        <f t="shared" si="104"/>
        <v/>
      </c>
      <c r="L8286" s="25" t="str">
        <f t="shared" si="105"/>
        <v/>
      </c>
      <c r="M8286" s="25"/>
      <c r="O8286" s="25"/>
    </row>
    <row r="8287" ht="15.75" customHeight="1">
      <c r="A8287" s="25" t="str">
        <f>IFERROR(__xludf.DUMMYFUNCTION("IF(B8287="""","""",RIGHT(REGEXREPLACE(B8287&amp;"""",""[^0-9]"",""""),9))"),"704081419")</f>
        <v>704081419</v>
      </c>
      <c r="B8287" s="52">
        <v>7.04081419E8</v>
      </c>
      <c r="C8287" s="28" t="s">
        <v>8488</v>
      </c>
      <c r="D8287" s="26" t="s">
        <v>45</v>
      </c>
      <c r="E8287" s="31">
        <v>46246.0</v>
      </c>
      <c r="F8287" s="26" t="s">
        <v>164</v>
      </c>
      <c r="I8287" s="26" t="s">
        <v>970</v>
      </c>
      <c r="J8287" s="25" t="str">
        <f t="shared" si="103"/>
        <v>No</v>
      </c>
      <c r="K8287" s="25" t="str">
        <f t="shared" si="104"/>
        <v/>
      </c>
      <c r="L8287" s="25" t="str">
        <f t="shared" si="105"/>
        <v/>
      </c>
      <c r="M8287" s="25"/>
      <c r="O8287" s="25"/>
    </row>
    <row r="8288" ht="15.75" customHeight="1">
      <c r="A8288" s="25" t="str">
        <f>IFERROR(__xludf.DUMMYFUNCTION("IF(B8288="""","""",RIGHT(REGEXREPLACE(B8288&amp;"""",""[^0-9]"",""""),9))"),"719884217")</f>
        <v>719884217</v>
      </c>
      <c r="B8288" s="52">
        <v>7.19884217E8</v>
      </c>
      <c r="C8288" s="28" t="s">
        <v>8489</v>
      </c>
      <c r="D8288" s="26" t="s">
        <v>64</v>
      </c>
      <c r="E8288" s="31">
        <v>46246.0</v>
      </c>
      <c r="F8288" s="26" t="s">
        <v>46</v>
      </c>
      <c r="G8288" s="26">
        <v>9.0</v>
      </c>
      <c r="I8288" s="26" t="s">
        <v>970</v>
      </c>
      <c r="J8288" s="25" t="str">
        <f t="shared" si="103"/>
        <v>No</v>
      </c>
      <c r="K8288" s="25" t="str">
        <f t="shared" si="104"/>
        <v/>
      </c>
      <c r="L8288" s="25" t="str">
        <f t="shared" si="105"/>
        <v/>
      </c>
      <c r="M8288" s="25"/>
      <c r="O8288" s="25"/>
    </row>
    <row r="8289" ht="15.75" customHeight="1">
      <c r="A8289" s="25" t="str">
        <f>IFERROR(__xludf.DUMMYFUNCTION("IF(B8289="""","""",RIGHT(REGEXREPLACE(B8289&amp;"""",""[^0-9]"",""""),9))"),"775055853")</f>
        <v>775055853</v>
      </c>
      <c r="B8289" s="52">
        <v>7.75055853E8</v>
      </c>
      <c r="C8289" s="28" t="s">
        <v>8489</v>
      </c>
      <c r="D8289" s="26" t="s">
        <v>45</v>
      </c>
      <c r="E8289" s="31">
        <v>46246.0</v>
      </c>
      <c r="F8289" s="26" t="s">
        <v>46</v>
      </c>
      <c r="H8289" s="26" t="s">
        <v>140</v>
      </c>
      <c r="I8289" s="26" t="s">
        <v>970</v>
      </c>
      <c r="J8289" s="25" t="str">
        <f t="shared" si="103"/>
        <v>No</v>
      </c>
      <c r="K8289" s="25" t="str">
        <f t="shared" si="104"/>
        <v/>
      </c>
      <c r="L8289" s="25" t="str">
        <f t="shared" si="105"/>
        <v/>
      </c>
      <c r="M8289" s="25"/>
      <c r="O8289" s="25"/>
    </row>
    <row r="8290" ht="15.75" customHeight="1">
      <c r="A8290" s="25" t="str">
        <f>IFERROR(__xludf.DUMMYFUNCTION("IF(B8290="""","""",RIGHT(REGEXREPLACE(B8290&amp;"""",""[^0-9]"",""""),9))"),"714479939")</f>
        <v>714479939</v>
      </c>
      <c r="B8290" s="52">
        <v>7.14479939E8</v>
      </c>
      <c r="C8290" s="28" t="s">
        <v>8490</v>
      </c>
      <c r="D8290" s="26" t="s">
        <v>45</v>
      </c>
      <c r="E8290" s="31">
        <v>46246.0</v>
      </c>
      <c r="F8290" s="26" t="s">
        <v>46</v>
      </c>
      <c r="G8290" s="26">
        <v>11.0</v>
      </c>
      <c r="I8290" s="26" t="s">
        <v>970</v>
      </c>
      <c r="J8290" s="25" t="str">
        <f t="shared" si="103"/>
        <v>No</v>
      </c>
      <c r="K8290" s="25" t="str">
        <f t="shared" si="104"/>
        <v/>
      </c>
      <c r="L8290" s="25" t="str">
        <f t="shared" si="105"/>
        <v/>
      </c>
      <c r="M8290" s="25"/>
      <c r="O8290" s="25"/>
    </row>
    <row r="8291" ht="15.75" customHeight="1">
      <c r="A8291" s="25" t="str">
        <f>IFERROR(__xludf.DUMMYFUNCTION("IF(B8291="""","""",RIGHT(REGEXREPLACE(B8291&amp;"""",""[^0-9]"",""""),9))"),"773671399")</f>
        <v>773671399</v>
      </c>
      <c r="B8291" s="52">
        <v>7.73671399E8</v>
      </c>
      <c r="C8291" s="28" t="s">
        <v>8491</v>
      </c>
      <c r="D8291" s="26" t="s">
        <v>82</v>
      </c>
      <c r="E8291" s="31">
        <v>46246.0</v>
      </c>
      <c r="F8291" s="26" t="s">
        <v>46</v>
      </c>
      <c r="G8291" s="96">
        <v>46306.0</v>
      </c>
      <c r="H8291" s="26" t="s">
        <v>819</v>
      </c>
      <c r="I8291" s="26" t="s">
        <v>970</v>
      </c>
      <c r="J8291" s="25" t="str">
        <f t="shared" si="103"/>
        <v>No</v>
      </c>
      <c r="K8291" s="25" t="str">
        <f t="shared" si="104"/>
        <v/>
      </c>
      <c r="L8291" s="25" t="str">
        <f t="shared" si="105"/>
        <v/>
      </c>
      <c r="M8291" s="25"/>
      <c r="O8291" s="25"/>
    </row>
    <row r="8292" ht="15.75" customHeight="1">
      <c r="A8292" s="25" t="str">
        <f>IFERROR(__xludf.DUMMYFUNCTION("IF(B8292="""","""",RIGHT(REGEXREPLACE(B8292&amp;"""",""[^0-9]"",""""),9))"),"775304616")</f>
        <v>775304616</v>
      </c>
      <c r="B8292" s="52">
        <v>7.75304616E8</v>
      </c>
      <c r="C8292" s="28" t="s">
        <v>8492</v>
      </c>
      <c r="D8292" s="26" t="s">
        <v>64</v>
      </c>
      <c r="E8292" s="31">
        <v>46252.0</v>
      </c>
      <c r="F8292" s="26" t="s">
        <v>46</v>
      </c>
      <c r="G8292" s="26">
        <v>10.0</v>
      </c>
      <c r="H8292" s="26" t="s">
        <v>8436</v>
      </c>
      <c r="I8292" s="26" t="s">
        <v>970</v>
      </c>
      <c r="J8292" s="25" t="str">
        <f t="shared" si="103"/>
        <v>No</v>
      </c>
      <c r="K8292" s="25" t="str">
        <f t="shared" si="104"/>
        <v/>
      </c>
      <c r="L8292" s="25" t="str">
        <f t="shared" si="105"/>
        <v/>
      </c>
      <c r="M8292" s="25"/>
      <c r="O8292" s="25"/>
    </row>
    <row r="8293" ht="15.75" customHeight="1">
      <c r="A8293" s="25" t="str">
        <f>IFERROR(__xludf.DUMMYFUNCTION("IF(B8293="""","""",RIGHT(REGEXREPLACE(B8293&amp;"""",""[^0-9]"",""""),9))"),"777148300")</f>
        <v>777148300</v>
      </c>
      <c r="B8293" s="52">
        <v>7.771483E8</v>
      </c>
      <c r="C8293" s="28" t="s">
        <v>945</v>
      </c>
      <c r="D8293" s="26" t="s">
        <v>45</v>
      </c>
      <c r="E8293" s="31">
        <v>46246.0</v>
      </c>
      <c r="F8293" s="26" t="s">
        <v>46</v>
      </c>
      <c r="G8293" s="26">
        <v>11.0</v>
      </c>
      <c r="I8293" s="26" t="s">
        <v>970</v>
      </c>
      <c r="J8293" s="25" t="str">
        <f t="shared" si="103"/>
        <v>Yes - see Previous F-Code</v>
      </c>
      <c r="K8293" s="25" t="str">
        <f t="shared" si="104"/>
        <v/>
      </c>
      <c r="L8293" s="25" t="str">
        <f t="shared" si="105"/>
        <v>F70697</v>
      </c>
      <c r="M8293" s="25"/>
      <c r="O8293" s="25"/>
    </row>
    <row r="8294" ht="15.75" customHeight="1">
      <c r="A8294" s="25" t="str">
        <f>IFERROR(__xludf.DUMMYFUNCTION("IF(B8294="""","""",RIGHT(REGEXREPLACE(B8294&amp;"""",""[^0-9]"",""""),9))"),"759158515")</f>
        <v>759158515</v>
      </c>
      <c r="B8294" s="52">
        <v>7.59158515E8</v>
      </c>
      <c r="C8294" s="28" t="s">
        <v>3428</v>
      </c>
      <c r="D8294" s="26" t="s">
        <v>49</v>
      </c>
      <c r="E8294" s="31">
        <v>46246.0</v>
      </c>
      <c r="F8294" s="26" t="s">
        <v>46</v>
      </c>
      <c r="G8294" s="26">
        <v>11.0</v>
      </c>
      <c r="H8294" s="117" t="s">
        <v>8493</v>
      </c>
      <c r="I8294" s="26" t="s">
        <v>970</v>
      </c>
      <c r="J8294" s="25" t="str">
        <f t="shared" si="103"/>
        <v>Yes - see Previous F-Code</v>
      </c>
      <c r="K8294" s="25" t="str">
        <f t="shared" si="104"/>
        <v/>
      </c>
      <c r="L8294" s="25" t="str">
        <f t="shared" si="105"/>
        <v>F73088</v>
      </c>
      <c r="M8294" s="25"/>
      <c r="O8294" s="25"/>
    </row>
    <row r="8295" ht="15.75" customHeight="1">
      <c r="A8295" s="25" t="str">
        <f>IFERROR(__xludf.DUMMYFUNCTION("IF(B8295="""","""",RIGHT(REGEXREPLACE(B8295&amp;"""",""[^0-9]"",""""),9))"),"717132982")</f>
        <v>717132982</v>
      </c>
      <c r="B8295" s="52">
        <v>7.17132982E8</v>
      </c>
      <c r="C8295" s="28" t="s">
        <v>1304</v>
      </c>
      <c r="D8295" s="26" t="s">
        <v>45</v>
      </c>
      <c r="E8295" s="31">
        <v>46246.0</v>
      </c>
      <c r="F8295" s="26" t="s">
        <v>46</v>
      </c>
      <c r="G8295" s="26">
        <v>11.0</v>
      </c>
      <c r="I8295" s="26" t="s">
        <v>970</v>
      </c>
      <c r="J8295" s="25" t="str">
        <f t="shared" si="103"/>
        <v>Yes - see Previous F-Code</v>
      </c>
      <c r="K8295" s="25" t="str">
        <f t="shared" si="104"/>
        <v/>
      </c>
      <c r="L8295" s="25" t="str">
        <f t="shared" si="105"/>
        <v>F71037</v>
      </c>
      <c r="M8295" s="25"/>
      <c r="O8295" s="25"/>
    </row>
    <row r="8296" ht="15.75" customHeight="1">
      <c r="A8296" s="25" t="str">
        <f>IFERROR(__xludf.DUMMYFUNCTION("IF(B8296="""","""",RIGHT(REGEXREPLACE(B8296&amp;"""",""[^0-9]"",""""),9))"),"772297446")</f>
        <v>772297446</v>
      </c>
      <c r="B8296" s="52">
        <v>7.72297446E8</v>
      </c>
      <c r="C8296" s="28" t="s">
        <v>8494</v>
      </c>
      <c r="D8296" s="26" t="s">
        <v>49</v>
      </c>
      <c r="E8296" s="31">
        <v>46246.0</v>
      </c>
      <c r="F8296" s="26" t="s">
        <v>41</v>
      </c>
      <c r="I8296" s="26" t="s">
        <v>970</v>
      </c>
      <c r="J8296" s="25" t="str">
        <f t="shared" si="103"/>
        <v>No</v>
      </c>
      <c r="K8296" s="25" t="str">
        <f t="shared" si="104"/>
        <v/>
      </c>
      <c r="L8296" s="25" t="str">
        <f t="shared" si="105"/>
        <v/>
      </c>
      <c r="M8296" s="25"/>
      <c r="O8296" s="25"/>
    </row>
    <row r="8297" ht="15.75" customHeight="1">
      <c r="A8297" s="25" t="str">
        <f>IFERROR(__xludf.DUMMYFUNCTION("IF(B8297="""","""",RIGHT(REGEXREPLACE(B8297&amp;"""",""[^0-9]"",""""),9))"),"717169529")</f>
        <v>717169529</v>
      </c>
      <c r="B8297" s="52">
        <v>7.17169529E8</v>
      </c>
      <c r="C8297" s="28" t="s">
        <v>8495</v>
      </c>
      <c r="D8297" s="26" t="s">
        <v>64</v>
      </c>
      <c r="E8297" s="31">
        <v>46246.0</v>
      </c>
      <c r="F8297" s="26" t="s">
        <v>205</v>
      </c>
      <c r="I8297" s="26" t="s">
        <v>970</v>
      </c>
      <c r="J8297" s="25" t="str">
        <f t="shared" si="103"/>
        <v>No</v>
      </c>
      <c r="K8297" s="25" t="str">
        <f t="shared" si="104"/>
        <v/>
      </c>
      <c r="L8297" s="25" t="str">
        <f t="shared" si="105"/>
        <v/>
      </c>
      <c r="M8297" s="25"/>
      <c r="O8297" s="25"/>
    </row>
    <row r="8298" ht="15.75" customHeight="1">
      <c r="A8298" s="25" t="str">
        <f>IFERROR(__xludf.DUMMYFUNCTION("IF(B8298="""","""",RIGHT(REGEXREPLACE(B8298&amp;"""",""[^0-9]"",""""),9))"),"752754624")</f>
        <v>752754624</v>
      </c>
      <c r="B8298" s="52">
        <v>7.52754624E8</v>
      </c>
      <c r="C8298" s="28" t="s">
        <v>8496</v>
      </c>
      <c r="D8298" s="26" t="s">
        <v>82</v>
      </c>
      <c r="E8298" s="31">
        <v>46246.0</v>
      </c>
      <c r="F8298" s="26" t="s">
        <v>41</v>
      </c>
      <c r="I8298" s="26" t="s">
        <v>970</v>
      </c>
      <c r="J8298" s="25" t="str">
        <f t="shared" si="103"/>
        <v>No</v>
      </c>
      <c r="K8298" s="25" t="str">
        <f t="shared" si="104"/>
        <v/>
      </c>
      <c r="L8298" s="25" t="str">
        <f t="shared" si="105"/>
        <v/>
      </c>
      <c r="M8298" s="25"/>
      <c r="O8298" s="25"/>
    </row>
    <row r="8299" ht="15.75" customHeight="1">
      <c r="A8299" s="25" t="str">
        <f>IFERROR(__xludf.DUMMYFUNCTION("IF(B8299="""","""",RIGHT(REGEXREPLACE(B8299&amp;"""",""[^0-9]"",""""),9))"),"719369957")</f>
        <v>719369957</v>
      </c>
      <c r="B8299" s="52">
        <v>7.19369957E8</v>
      </c>
      <c r="C8299" s="28" t="s">
        <v>8497</v>
      </c>
      <c r="D8299" s="26" t="s">
        <v>49</v>
      </c>
      <c r="E8299" s="31">
        <v>46246.0</v>
      </c>
      <c r="F8299" s="26" t="s">
        <v>41</v>
      </c>
      <c r="I8299" s="26" t="s">
        <v>970</v>
      </c>
      <c r="J8299" s="25" t="str">
        <f t="shared" si="103"/>
        <v>No</v>
      </c>
      <c r="K8299" s="25" t="str">
        <f t="shared" si="104"/>
        <v/>
      </c>
      <c r="L8299" s="25" t="str">
        <f t="shared" si="105"/>
        <v/>
      </c>
      <c r="M8299" s="25"/>
      <c r="O8299" s="25"/>
    </row>
    <row r="8300" ht="15.75" customHeight="1">
      <c r="A8300" s="25" t="str">
        <f>IFERROR(__xludf.DUMMYFUNCTION("IF(B8300="""","""",RIGHT(REGEXREPLACE(B8300&amp;"""",""[^0-9]"",""""),9))"),"710100740")</f>
        <v>710100740</v>
      </c>
      <c r="B8300" s="52">
        <v>7.1010074E8</v>
      </c>
      <c r="C8300" s="28" t="s">
        <v>8498</v>
      </c>
      <c r="D8300" s="26" t="s">
        <v>64</v>
      </c>
      <c r="E8300" s="31">
        <v>46246.0</v>
      </c>
      <c r="F8300" s="26" t="s">
        <v>205</v>
      </c>
      <c r="I8300" s="26" t="s">
        <v>970</v>
      </c>
      <c r="J8300" s="25" t="str">
        <f t="shared" si="103"/>
        <v>No</v>
      </c>
      <c r="K8300" s="25" t="str">
        <f t="shared" si="104"/>
        <v/>
      </c>
      <c r="L8300" s="25" t="str">
        <f t="shared" si="105"/>
        <v/>
      </c>
      <c r="M8300" s="25"/>
      <c r="O8300" s="25"/>
    </row>
    <row r="8301" ht="15.75" customHeight="1">
      <c r="A8301" s="25" t="str">
        <f>IFERROR(__xludf.DUMMYFUNCTION("IF(B8301="""","""",RIGHT(REGEXREPLACE(B8301&amp;"""",""[^0-9]"",""""),9))"),"704990362")</f>
        <v>704990362</v>
      </c>
      <c r="B8301" s="52">
        <v>7.04990362E8</v>
      </c>
      <c r="C8301" s="28" t="s">
        <v>8499</v>
      </c>
      <c r="D8301" s="26" t="s">
        <v>82</v>
      </c>
      <c r="E8301" s="31">
        <v>46246.0</v>
      </c>
      <c r="F8301" s="26" t="s">
        <v>205</v>
      </c>
      <c r="I8301" s="26" t="s">
        <v>970</v>
      </c>
      <c r="J8301" s="25" t="str">
        <f t="shared" si="103"/>
        <v>No</v>
      </c>
      <c r="K8301" s="25" t="str">
        <f t="shared" si="104"/>
        <v/>
      </c>
      <c r="L8301" s="25" t="str">
        <f t="shared" si="105"/>
        <v/>
      </c>
      <c r="M8301" s="25"/>
      <c r="O8301" s="25"/>
    </row>
    <row r="8302" ht="15.75" customHeight="1">
      <c r="A8302" s="25" t="str">
        <f>IFERROR(__xludf.DUMMYFUNCTION("IF(B8302="""","""",RIGHT(REGEXREPLACE(B8302&amp;"""",""[^0-9]"",""""),9))"),"701645885")</f>
        <v>701645885</v>
      </c>
      <c r="B8302" s="52">
        <v>7.01645885E8</v>
      </c>
      <c r="C8302" s="28" t="s">
        <v>8500</v>
      </c>
      <c r="D8302" s="26" t="s">
        <v>49</v>
      </c>
      <c r="E8302" s="31">
        <v>46246.0</v>
      </c>
      <c r="F8302" s="26" t="s">
        <v>205</v>
      </c>
      <c r="I8302" s="26" t="s">
        <v>970</v>
      </c>
      <c r="J8302" s="25" t="str">
        <f t="shared" si="103"/>
        <v>No</v>
      </c>
      <c r="K8302" s="25" t="str">
        <f t="shared" si="104"/>
        <v/>
      </c>
      <c r="L8302" s="25" t="str">
        <f t="shared" si="105"/>
        <v/>
      </c>
      <c r="M8302" s="25"/>
      <c r="O8302" s="25"/>
    </row>
    <row r="8303" ht="15.75" customHeight="1">
      <c r="A8303" s="25" t="str">
        <f>IFERROR(__xludf.DUMMYFUNCTION("IF(B8303="""","""",RIGHT(REGEXREPLACE(B8303&amp;"""",""[^0-9]"",""""),9))"),"789593768")</f>
        <v>789593768</v>
      </c>
      <c r="B8303" s="52">
        <v>7.89593768E8</v>
      </c>
      <c r="C8303" s="28" t="s">
        <v>8501</v>
      </c>
      <c r="D8303" s="26" t="s">
        <v>82</v>
      </c>
      <c r="E8303" s="31">
        <v>46246.0</v>
      </c>
      <c r="F8303" s="26" t="s">
        <v>41</v>
      </c>
      <c r="I8303" s="26" t="s">
        <v>970</v>
      </c>
      <c r="J8303" s="25" t="str">
        <f t="shared" si="103"/>
        <v>No</v>
      </c>
      <c r="K8303" s="25" t="str">
        <f t="shared" si="104"/>
        <v/>
      </c>
      <c r="L8303" s="25" t="str">
        <f t="shared" si="105"/>
        <v/>
      </c>
      <c r="M8303" s="25"/>
      <c r="O8303" s="25"/>
    </row>
    <row r="8304" ht="15.75" customHeight="1">
      <c r="A8304" s="25" t="str">
        <f>IFERROR(__xludf.DUMMYFUNCTION("IF(B8304="""","""",RIGHT(REGEXREPLACE(B8304&amp;"""",""[^0-9]"",""""),9))"),"766790470")</f>
        <v>766790470</v>
      </c>
      <c r="B8304" s="52">
        <v>7.6679047E8</v>
      </c>
      <c r="C8304" s="28" t="s">
        <v>8502</v>
      </c>
      <c r="D8304" s="26" t="s">
        <v>45</v>
      </c>
      <c r="E8304" s="31">
        <v>46246.0</v>
      </c>
      <c r="F8304" s="26" t="s">
        <v>46</v>
      </c>
      <c r="G8304" s="26">
        <v>11.0</v>
      </c>
      <c r="I8304" s="26" t="s">
        <v>970</v>
      </c>
      <c r="J8304" s="25" t="str">
        <f t="shared" si="103"/>
        <v>No</v>
      </c>
      <c r="K8304" s="25" t="str">
        <f t="shared" si="104"/>
        <v/>
      </c>
      <c r="L8304" s="25" t="str">
        <f t="shared" si="105"/>
        <v/>
      </c>
      <c r="M8304" s="25"/>
      <c r="O8304" s="25"/>
    </row>
    <row r="8305" ht="15.75" customHeight="1">
      <c r="A8305" s="25" t="str">
        <f>IFERROR(__xludf.DUMMYFUNCTION("IF(B8305="""","""",RIGHT(REGEXREPLACE(B8305&amp;"""",""[^0-9]"",""""),9))"),"715208085")</f>
        <v>715208085</v>
      </c>
      <c r="B8305" s="52">
        <v>7.15208085E8</v>
      </c>
      <c r="C8305" s="28" t="s">
        <v>8503</v>
      </c>
      <c r="D8305" s="26" t="s">
        <v>49</v>
      </c>
      <c r="E8305" s="31">
        <v>46246.0</v>
      </c>
      <c r="F8305" s="26" t="s">
        <v>5058</v>
      </c>
      <c r="I8305" s="26" t="s">
        <v>970</v>
      </c>
      <c r="J8305" s="25" t="str">
        <f t="shared" si="103"/>
        <v>No</v>
      </c>
      <c r="K8305" s="25" t="str">
        <f t="shared" si="104"/>
        <v/>
      </c>
      <c r="L8305" s="25" t="str">
        <f t="shared" si="105"/>
        <v/>
      </c>
      <c r="M8305" s="25"/>
      <c r="O8305" s="25"/>
    </row>
    <row r="8306" ht="15.75" customHeight="1">
      <c r="A8306" s="25" t="str">
        <f>IFERROR(__xludf.DUMMYFUNCTION("IF(B8306="""","""",RIGHT(REGEXREPLACE(B8306&amp;"""",""[^0-9]"",""""),9))"),"717915081")</f>
        <v>717915081</v>
      </c>
      <c r="B8306" s="52">
        <v>7.17915081E8</v>
      </c>
      <c r="C8306" s="28" t="s">
        <v>8504</v>
      </c>
      <c r="D8306" s="26" t="s">
        <v>64</v>
      </c>
      <c r="E8306" s="31">
        <v>46246.0</v>
      </c>
      <c r="F8306" s="26" t="s">
        <v>205</v>
      </c>
      <c r="H8306" s="26" t="s">
        <v>8436</v>
      </c>
      <c r="I8306" s="26" t="s">
        <v>970</v>
      </c>
      <c r="J8306" s="25" t="str">
        <f t="shared" si="103"/>
        <v>No</v>
      </c>
      <c r="K8306" s="25" t="str">
        <f t="shared" si="104"/>
        <v/>
      </c>
      <c r="L8306" s="25" t="str">
        <f t="shared" si="105"/>
        <v/>
      </c>
      <c r="M8306" s="25"/>
      <c r="O8306" s="25"/>
    </row>
    <row r="8307" ht="15.75" customHeight="1">
      <c r="A8307" s="25" t="str">
        <f>IFERROR(__xludf.DUMMYFUNCTION("IF(B8307="""","""",RIGHT(REGEXREPLACE(B8307&amp;"""",""[^0-9]"",""""),9))"),"769883218")</f>
        <v>769883218</v>
      </c>
      <c r="B8307" s="52">
        <v>7.69883218E8</v>
      </c>
      <c r="C8307" s="28" t="s">
        <v>8505</v>
      </c>
      <c r="D8307" s="26" t="s">
        <v>64</v>
      </c>
      <c r="E8307" s="31">
        <v>46246.0</v>
      </c>
      <c r="F8307" s="26" t="s">
        <v>41</v>
      </c>
      <c r="H8307" s="26" t="s">
        <v>8436</v>
      </c>
      <c r="I8307" s="26" t="s">
        <v>970</v>
      </c>
      <c r="J8307" s="25" t="str">
        <f t="shared" si="103"/>
        <v>No</v>
      </c>
      <c r="K8307" s="25" t="str">
        <f t="shared" si="104"/>
        <v/>
      </c>
      <c r="L8307" s="25" t="str">
        <f t="shared" si="105"/>
        <v/>
      </c>
      <c r="M8307" s="25"/>
      <c r="O8307" s="25"/>
    </row>
    <row r="8308" ht="15.75" customHeight="1">
      <c r="A8308" s="25" t="str">
        <f>IFERROR(__xludf.DUMMYFUNCTION("IF(B8308="""","""",RIGHT(REGEXREPLACE(B8308&amp;"""",""[^0-9]"",""""),9))"),"751223401")</f>
        <v>751223401</v>
      </c>
      <c r="B8308" s="52">
        <v>7.51223401E8</v>
      </c>
      <c r="C8308" s="28" t="s">
        <v>8506</v>
      </c>
      <c r="D8308" s="26" t="s">
        <v>49</v>
      </c>
      <c r="E8308" s="31">
        <v>46246.0</v>
      </c>
      <c r="F8308" s="26" t="s">
        <v>46</v>
      </c>
      <c r="G8308" s="26">
        <v>9.0</v>
      </c>
      <c r="H8308" s="26" t="s">
        <v>8507</v>
      </c>
      <c r="I8308" s="26" t="s">
        <v>970</v>
      </c>
      <c r="J8308" s="25" t="str">
        <f t="shared" si="103"/>
        <v>No</v>
      </c>
      <c r="K8308" s="25" t="str">
        <f t="shared" si="104"/>
        <v/>
      </c>
      <c r="L8308" s="25" t="str">
        <f t="shared" si="105"/>
        <v/>
      </c>
      <c r="M8308" s="25"/>
      <c r="O8308" s="26" t="s">
        <v>51</v>
      </c>
    </row>
    <row r="8309" ht="15.75" customHeight="1">
      <c r="A8309" s="25" t="str">
        <f>IFERROR(__xludf.DUMMYFUNCTION("IF(B8309="""","""",RIGHT(REGEXREPLACE(B8309&amp;"""",""[^0-9]"",""""),9))"),"771351916")</f>
        <v>771351916</v>
      </c>
      <c r="B8309" s="52">
        <v>7.71351916E8</v>
      </c>
      <c r="C8309" s="28" t="s">
        <v>8508</v>
      </c>
      <c r="D8309" s="26" t="s">
        <v>82</v>
      </c>
      <c r="E8309" s="31">
        <v>46246.0</v>
      </c>
      <c r="F8309" s="26" t="s">
        <v>41</v>
      </c>
      <c r="I8309" s="26" t="s">
        <v>970</v>
      </c>
      <c r="J8309" s="25" t="str">
        <f t="shared" si="103"/>
        <v>No</v>
      </c>
      <c r="K8309" s="25" t="str">
        <f t="shared" si="104"/>
        <v/>
      </c>
      <c r="L8309" s="25" t="str">
        <f t="shared" si="105"/>
        <v/>
      </c>
      <c r="M8309" s="25"/>
      <c r="O8309" s="25"/>
    </row>
    <row r="8310" ht="15.75" customHeight="1">
      <c r="A8310" s="25" t="str">
        <f>IFERROR(__xludf.DUMMYFUNCTION("IF(B8310="""","""",RIGHT(REGEXREPLACE(B8310&amp;"""",""[^0-9]"",""""),9))"),"740509444")</f>
        <v>740509444</v>
      </c>
      <c r="B8310" s="52">
        <v>7.40509444E8</v>
      </c>
      <c r="C8310" s="28" t="s">
        <v>8509</v>
      </c>
      <c r="D8310" s="26" t="s">
        <v>64</v>
      </c>
      <c r="E8310" s="31">
        <v>46246.0</v>
      </c>
      <c r="F8310" s="26" t="s">
        <v>46</v>
      </c>
      <c r="G8310" s="26">
        <v>10.0</v>
      </c>
      <c r="H8310" s="26" t="s">
        <v>8436</v>
      </c>
      <c r="I8310" s="26" t="s">
        <v>970</v>
      </c>
      <c r="J8310" s="25" t="str">
        <f t="shared" si="103"/>
        <v>No</v>
      </c>
      <c r="K8310" s="25" t="str">
        <f t="shared" si="104"/>
        <v/>
      </c>
      <c r="L8310" s="25" t="str">
        <f t="shared" si="105"/>
        <v/>
      </c>
      <c r="M8310" s="25"/>
      <c r="O8310" s="25"/>
    </row>
    <row r="8311" ht="15.75" customHeight="1">
      <c r="A8311" s="25" t="str">
        <f>IFERROR(__xludf.DUMMYFUNCTION("IF(B8311="""","""",RIGHT(REGEXREPLACE(B8311&amp;"""",""[^0-9]"",""""),9))"),"701014584")</f>
        <v>701014584</v>
      </c>
      <c r="B8311" s="52">
        <v>7.01014584E8</v>
      </c>
      <c r="C8311" s="28" t="s">
        <v>8510</v>
      </c>
      <c r="D8311" s="26" t="s">
        <v>82</v>
      </c>
      <c r="E8311" s="31">
        <v>46246.0</v>
      </c>
      <c r="F8311" s="26" t="s">
        <v>41</v>
      </c>
      <c r="G8311" s="26">
        <v>10.0</v>
      </c>
      <c r="I8311" s="26" t="s">
        <v>970</v>
      </c>
      <c r="J8311" s="25" t="str">
        <f t="shared" si="103"/>
        <v>Yes - see Previous F-Code</v>
      </c>
      <c r="K8311" s="25" t="str">
        <f t="shared" si="104"/>
        <v>DUPLICATE - CHECK</v>
      </c>
      <c r="L8311" s="25" t="str">
        <f t="shared" si="105"/>
        <v>F77035</v>
      </c>
      <c r="M8311" s="25"/>
      <c r="O8311" s="25"/>
    </row>
    <row r="8312" ht="15.75" customHeight="1">
      <c r="A8312" s="25" t="str">
        <f>IFERROR(__xludf.DUMMYFUNCTION("IF(B8312="""","""",RIGHT(REGEXREPLACE(B8312&amp;"""",""[^0-9]"",""""),9))"),"784388007")</f>
        <v>784388007</v>
      </c>
      <c r="B8312" s="52">
        <v>7.84388007E8</v>
      </c>
      <c r="C8312" s="28" t="s">
        <v>8511</v>
      </c>
      <c r="D8312" s="26" t="s">
        <v>49</v>
      </c>
      <c r="E8312" s="31">
        <v>46246.0</v>
      </c>
      <c r="F8312" s="26" t="s">
        <v>46</v>
      </c>
      <c r="G8312" s="26">
        <v>10.0</v>
      </c>
      <c r="H8312" s="26" t="s">
        <v>2293</v>
      </c>
      <c r="I8312" s="26" t="s">
        <v>970</v>
      </c>
      <c r="J8312" s="25" t="str">
        <f t="shared" si="103"/>
        <v>No</v>
      </c>
      <c r="K8312" s="25" t="str">
        <f t="shared" si="104"/>
        <v/>
      </c>
      <c r="L8312" s="25" t="str">
        <f t="shared" si="105"/>
        <v/>
      </c>
      <c r="M8312" s="25"/>
      <c r="O8312" s="25"/>
    </row>
    <row r="8313" ht="15.75" customHeight="1">
      <c r="A8313" s="25" t="str">
        <f>IFERROR(__xludf.DUMMYFUNCTION("IF(B8313="""","""",RIGHT(REGEXREPLACE(B8313&amp;"""",""[^0-9]"",""""),9))"),"716840922")</f>
        <v>716840922</v>
      </c>
      <c r="B8313" s="52">
        <v>7.16840922E8</v>
      </c>
      <c r="C8313" s="28" t="s">
        <v>8512</v>
      </c>
      <c r="D8313" s="26" t="s">
        <v>64</v>
      </c>
      <c r="E8313" s="31">
        <v>46246.0</v>
      </c>
      <c r="F8313" s="26" t="s">
        <v>46</v>
      </c>
      <c r="G8313" s="26">
        <v>11.0</v>
      </c>
      <c r="H8313" s="26" t="s">
        <v>8436</v>
      </c>
      <c r="I8313" s="26" t="s">
        <v>970</v>
      </c>
      <c r="J8313" s="25" t="str">
        <f t="shared" si="103"/>
        <v>No</v>
      </c>
      <c r="K8313" s="25" t="str">
        <f t="shared" si="104"/>
        <v/>
      </c>
      <c r="L8313" s="25" t="str">
        <f t="shared" si="105"/>
        <v/>
      </c>
      <c r="M8313" s="25"/>
      <c r="O8313" s="25"/>
    </row>
    <row r="8314" ht="15.75" customHeight="1">
      <c r="A8314" s="25" t="str">
        <f>IFERROR(__xludf.DUMMYFUNCTION("IF(B8314="""","""",RIGHT(REGEXREPLACE(B8314&amp;"""",""[^0-9]"",""""),9))"),"772668049")</f>
        <v>772668049</v>
      </c>
      <c r="B8314" s="52">
        <v>7.72668049E8</v>
      </c>
      <c r="C8314" s="28" t="s">
        <v>8513</v>
      </c>
      <c r="D8314" s="26" t="s">
        <v>64</v>
      </c>
      <c r="E8314" s="31">
        <v>46246.0</v>
      </c>
      <c r="F8314" s="26" t="s">
        <v>46</v>
      </c>
      <c r="H8314" s="26" t="s">
        <v>8436</v>
      </c>
      <c r="I8314" s="26" t="s">
        <v>970</v>
      </c>
      <c r="J8314" s="25" t="str">
        <f t="shared" si="103"/>
        <v>No</v>
      </c>
      <c r="K8314" s="25" t="str">
        <f t="shared" si="104"/>
        <v/>
      </c>
      <c r="L8314" s="25" t="str">
        <f t="shared" si="105"/>
        <v/>
      </c>
      <c r="M8314" s="25"/>
      <c r="O8314" s="25"/>
    </row>
    <row r="8315" ht="15.75" customHeight="1">
      <c r="A8315" s="25" t="str">
        <f>IFERROR(__xludf.DUMMYFUNCTION("IF(B8315="""","""",RIGHT(REGEXREPLACE(B8315&amp;"""",""[^0-9]"",""""),9))"),"765855244")</f>
        <v>765855244</v>
      </c>
      <c r="B8315" s="52">
        <v>7.65855244E8</v>
      </c>
      <c r="C8315" s="28" t="s">
        <v>8514</v>
      </c>
      <c r="D8315" s="26" t="s">
        <v>64</v>
      </c>
      <c r="E8315" s="31">
        <v>46246.0</v>
      </c>
      <c r="F8315" s="26" t="s">
        <v>41</v>
      </c>
      <c r="I8315" s="26" t="s">
        <v>970</v>
      </c>
      <c r="J8315" s="25" t="str">
        <f t="shared" si="103"/>
        <v>No</v>
      </c>
      <c r="K8315" s="25" t="str">
        <f t="shared" si="104"/>
        <v/>
      </c>
      <c r="L8315" s="25" t="str">
        <f t="shared" si="105"/>
        <v/>
      </c>
      <c r="M8315" s="25"/>
      <c r="O8315" s="25"/>
    </row>
    <row r="8316" ht="15.75" customHeight="1">
      <c r="A8316" s="25" t="str">
        <f>IFERROR(__xludf.DUMMYFUNCTION("IF(B8316="""","""",RIGHT(REGEXREPLACE(B8316&amp;"""",""[^0-9]"",""""),9))"),"779432388")</f>
        <v>779432388</v>
      </c>
      <c r="B8316" s="52">
        <v>7.79432388E8</v>
      </c>
      <c r="C8316" s="28" t="s">
        <v>8510</v>
      </c>
      <c r="D8316" s="26" t="s">
        <v>82</v>
      </c>
      <c r="E8316" s="31">
        <v>46246.0</v>
      </c>
      <c r="F8316" s="26" t="s">
        <v>46</v>
      </c>
      <c r="I8316" s="26" t="s">
        <v>970</v>
      </c>
      <c r="J8316" s="25" t="str">
        <f t="shared" si="103"/>
        <v>No</v>
      </c>
      <c r="K8316" s="25" t="str">
        <f t="shared" si="104"/>
        <v/>
      </c>
      <c r="L8316" s="25" t="str">
        <f t="shared" si="105"/>
        <v/>
      </c>
      <c r="M8316" s="25"/>
      <c r="O8316" s="25"/>
    </row>
    <row r="8317" ht="15.75" customHeight="1">
      <c r="A8317" s="25" t="str">
        <f>IFERROR(__xludf.DUMMYFUNCTION("IF(B8317="""","""",RIGHT(REGEXREPLACE(B8317&amp;"""",""[^0-9]"",""""),9))"),"761270824")</f>
        <v>761270824</v>
      </c>
      <c r="B8317" s="52">
        <v>7.61270824E8</v>
      </c>
      <c r="C8317" s="28" t="s">
        <v>8515</v>
      </c>
      <c r="D8317" s="26" t="s">
        <v>82</v>
      </c>
      <c r="E8317" s="31">
        <v>46246.0</v>
      </c>
      <c r="F8317" s="26" t="s">
        <v>41</v>
      </c>
      <c r="I8317" s="26" t="s">
        <v>970</v>
      </c>
      <c r="J8317" s="25" t="str">
        <f t="shared" si="103"/>
        <v>No</v>
      </c>
      <c r="K8317" s="25" t="str">
        <f t="shared" si="104"/>
        <v/>
      </c>
      <c r="L8317" s="25" t="str">
        <f t="shared" si="105"/>
        <v/>
      </c>
      <c r="M8317" s="25"/>
      <c r="O8317" s="25"/>
    </row>
    <row r="8318" ht="15.75" customHeight="1">
      <c r="A8318" s="25" t="str">
        <f>IFERROR(__xludf.DUMMYFUNCTION("IF(B8318="""","""",RIGHT(REGEXREPLACE(B8318&amp;"""",""[^0-9]"",""""),9))"),"773732560")</f>
        <v>773732560</v>
      </c>
      <c r="B8318" s="52">
        <v>7.7373256E8</v>
      </c>
      <c r="C8318" s="28" t="s">
        <v>2435</v>
      </c>
      <c r="D8318" s="26" t="s">
        <v>45</v>
      </c>
      <c r="E8318" s="31">
        <v>46246.0</v>
      </c>
      <c r="F8318" s="26" t="s">
        <v>46</v>
      </c>
      <c r="G8318" s="26">
        <v>10.0</v>
      </c>
      <c r="I8318" s="26" t="s">
        <v>970</v>
      </c>
      <c r="J8318" s="25" t="str">
        <f t="shared" si="103"/>
        <v>Yes - see Previous F-Code</v>
      </c>
      <c r="K8318" s="25" t="str">
        <f t="shared" si="104"/>
        <v/>
      </c>
      <c r="L8318" s="25" t="str">
        <f t="shared" si="105"/>
        <v>F72127</v>
      </c>
      <c r="M8318" s="25"/>
      <c r="O8318" s="25"/>
    </row>
    <row r="8319" ht="15.75" customHeight="1">
      <c r="A8319" s="25" t="str">
        <f>IFERROR(__xludf.DUMMYFUNCTION("IF(B8319="""","""",RIGHT(REGEXREPLACE(B8319&amp;"""",""[^0-9]"",""""),9))"),"778613167")</f>
        <v>778613167</v>
      </c>
      <c r="B8319" s="52">
        <v>7.78613167E8</v>
      </c>
      <c r="C8319" s="28" t="s">
        <v>8516</v>
      </c>
      <c r="D8319" s="26" t="s">
        <v>49</v>
      </c>
      <c r="E8319" s="31">
        <v>46246.0</v>
      </c>
      <c r="F8319" s="26" t="s">
        <v>46</v>
      </c>
      <c r="G8319" s="26">
        <v>10.0</v>
      </c>
      <c r="I8319" s="26" t="s">
        <v>970</v>
      </c>
      <c r="J8319" s="25" t="str">
        <f t="shared" si="103"/>
        <v>No</v>
      </c>
      <c r="K8319" s="25" t="str">
        <f t="shared" si="104"/>
        <v/>
      </c>
      <c r="L8319" s="25" t="str">
        <f t="shared" si="105"/>
        <v/>
      </c>
      <c r="M8319" s="25"/>
      <c r="O8319" s="25"/>
    </row>
    <row r="8320" ht="15.75" customHeight="1">
      <c r="A8320" s="25" t="str">
        <f>IFERROR(__xludf.DUMMYFUNCTION("IF(B8320="""","""",RIGHT(REGEXREPLACE(B8320&amp;"""",""[^0-9]"",""""),9))"),"")</f>
        <v/>
      </c>
      <c r="B8320" s="52"/>
      <c r="C8320" s="46"/>
      <c r="D8320" s="25"/>
      <c r="E8320" s="31">
        <v>46246.0</v>
      </c>
      <c r="F8320" s="25"/>
      <c r="I8320" s="26" t="s">
        <v>970</v>
      </c>
      <c r="J8320" s="25" t="str">
        <f t="shared" si="103"/>
        <v>Yes - see Previous F-Code</v>
      </c>
      <c r="K8320" s="25" t="str">
        <f t="shared" si="104"/>
        <v>DUPLICATE - CHECK</v>
      </c>
      <c r="L8320" s="25" t="str">
        <f t="shared" si="105"/>
        <v/>
      </c>
      <c r="M8320" s="25"/>
      <c r="O8320" s="25"/>
    </row>
    <row r="8321" ht="15.75" customHeight="1">
      <c r="A8321" s="25" t="str">
        <f>IFERROR(__xludf.DUMMYFUNCTION("IF(B8321="""","""",RIGHT(REGEXREPLACE(B8321&amp;"""",""[^0-9]"",""""),9))"),"")</f>
        <v/>
      </c>
      <c r="B8321" s="52"/>
      <c r="C8321" s="28"/>
      <c r="D8321" s="25"/>
      <c r="E8321" s="31">
        <v>46246.0</v>
      </c>
      <c r="F8321" s="25"/>
      <c r="I8321" s="26" t="s">
        <v>970</v>
      </c>
      <c r="J8321" s="25" t="str">
        <f t="shared" si="103"/>
        <v>Yes - see Previous F-Code</v>
      </c>
      <c r="K8321" s="25" t="str">
        <f t="shared" si="104"/>
        <v>DUPLICATE - CHECK</v>
      </c>
      <c r="L8321" s="25" t="str">
        <f t="shared" si="105"/>
        <v/>
      </c>
      <c r="M8321" s="25"/>
      <c r="O8321" s="25"/>
    </row>
    <row r="8322" ht="15.75" customHeight="1">
      <c r="A8322" s="25" t="str">
        <f>IFERROR(__xludf.DUMMYFUNCTION("IF(B8322="""","""",RIGHT(REGEXREPLACE(B8322&amp;"""",""[^0-9]"",""""),9))"),"750245193")</f>
        <v>750245193</v>
      </c>
      <c r="B8322" s="52">
        <v>7.50245193E8</v>
      </c>
      <c r="C8322" s="28" t="s">
        <v>8517</v>
      </c>
      <c r="D8322" s="26" t="s">
        <v>45</v>
      </c>
      <c r="E8322" s="31">
        <v>46246.0</v>
      </c>
      <c r="F8322" s="26" t="s">
        <v>46</v>
      </c>
      <c r="G8322" s="26">
        <v>10.0</v>
      </c>
      <c r="I8322" s="26" t="s">
        <v>970</v>
      </c>
      <c r="J8322" s="25" t="str">
        <f t="shared" si="103"/>
        <v>No</v>
      </c>
      <c r="K8322" s="25" t="str">
        <f t="shared" si="104"/>
        <v/>
      </c>
      <c r="L8322" s="25" t="str">
        <f t="shared" si="105"/>
        <v/>
      </c>
      <c r="M8322" s="25"/>
      <c r="O8322" s="25"/>
    </row>
    <row r="8323" ht="15.75" customHeight="1">
      <c r="A8323" s="25" t="str">
        <f>IFERROR(__xludf.DUMMYFUNCTION("IF(B8323="""","""",RIGHT(REGEXREPLACE(B8323&amp;"""",""[^0-9]"",""""),9))"),"713527040")</f>
        <v>713527040</v>
      </c>
      <c r="B8323" s="26">
        <v>7.1352704E8</v>
      </c>
      <c r="C8323" s="28" t="s">
        <v>8518</v>
      </c>
      <c r="D8323" s="25"/>
      <c r="E8323" s="31">
        <v>46246.0</v>
      </c>
      <c r="F8323" s="25"/>
      <c r="G8323" s="25"/>
      <c r="H8323" s="25"/>
      <c r="I8323" s="26" t="s">
        <v>970</v>
      </c>
      <c r="J8323" s="25" t="str">
        <f t="shared" si="103"/>
        <v>No</v>
      </c>
      <c r="K8323" s="25" t="str">
        <f t="shared" si="104"/>
        <v/>
      </c>
      <c r="L8323" s="25" t="str">
        <f t="shared" si="105"/>
        <v/>
      </c>
      <c r="M8323" s="25"/>
      <c r="N8323" s="25"/>
      <c r="O8323" s="25"/>
      <c r="P8323" s="25"/>
    </row>
    <row r="8324" ht="15.75" customHeight="1">
      <c r="A8324" s="25" t="str">
        <f>IFERROR(__xludf.DUMMYFUNCTION("IF(B8324="""","""",RIGHT(REGEXREPLACE(B8324&amp;"""",""[^0-9]"",""""),9))"),"772576914")</f>
        <v>772576914</v>
      </c>
      <c r="B8324" s="52">
        <v>7.72576914E8</v>
      </c>
      <c r="C8324" s="28" t="s">
        <v>8519</v>
      </c>
      <c r="D8324" s="26" t="s">
        <v>64</v>
      </c>
      <c r="E8324" s="31">
        <v>46246.0</v>
      </c>
      <c r="F8324" s="26" t="s">
        <v>46</v>
      </c>
      <c r="H8324" s="26" t="s">
        <v>2293</v>
      </c>
      <c r="I8324" s="26" t="s">
        <v>970</v>
      </c>
      <c r="J8324" s="25" t="str">
        <f t="shared" si="103"/>
        <v>No</v>
      </c>
      <c r="K8324" s="25" t="str">
        <f t="shared" si="104"/>
        <v/>
      </c>
      <c r="L8324" s="25" t="str">
        <f t="shared" si="105"/>
        <v/>
      </c>
      <c r="M8324" s="25"/>
      <c r="O8324" s="25"/>
    </row>
    <row r="8325" ht="15.75" customHeight="1">
      <c r="A8325" s="25" t="str">
        <f>IFERROR(__xludf.DUMMYFUNCTION("IF(B8325="""","""",RIGHT(REGEXREPLACE(B8325&amp;"""",""[^0-9]"",""""),9))"),"766770764")</f>
        <v>766770764</v>
      </c>
      <c r="B8325" s="52">
        <v>7.66770764E8</v>
      </c>
      <c r="C8325" s="28" t="s">
        <v>8520</v>
      </c>
      <c r="D8325" s="26" t="s">
        <v>64</v>
      </c>
      <c r="E8325" s="31">
        <v>46246.0</v>
      </c>
      <c r="F8325" s="26" t="s">
        <v>205</v>
      </c>
      <c r="H8325" s="26" t="s">
        <v>8436</v>
      </c>
      <c r="I8325" s="26" t="s">
        <v>970</v>
      </c>
      <c r="J8325" s="25" t="str">
        <f t="shared" si="103"/>
        <v>No</v>
      </c>
      <c r="K8325" s="25" t="str">
        <f t="shared" si="104"/>
        <v/>
      </c>
      <c r="L8325" s="25" t="str">
        <f t="shared" si="105"/>
        <v/>
      </c>
      <c r="M8325" s="25"/>
      <c r="O8325" s="25"/>
    </row>
    <row r="8326" ht="15.75" customHeight="1">
      <c r="A8326" s="25" t="str">
        <f>IFERROR(__xludf.DUMMYFUNCTION("IF(B8326="""","""",RIGHT(REGEXREPLACE(B8326&amp;"""",""[^0-9]"",""""),9))"),"743736405")</f>
        <v>743736405</v>
      </c>
      <c r="B8326" s="52">
        <v>7.43736405E8</v>
      </c>
      <c r="C8326" s="28" t="s">
        <v>8521</v>
      </c>
      <c r="D8326" s="26" t="s">
        <v>64</v>
      </c>
      <c r="E8326" s="31">
        <v>46246.0</v>
      </c>
      <c r="F8326" s="26" t="s">
        <v>46</v>
      </c>
      <c r="G8326" s="26">
        <v>10.0</v>
      </c>
      <c r="H8326" s="26" t="s">
        <v>8436</v>
      </c>
      <c r="I8326" s="26" t="s">
        <v>970</v>
      </c>
      <c r="J8326" s="25" t="str">
        <f t="shared" si="103"/>
        <v>No</v>
      </c>
      <c r="K8326" s="25" t="str">
        <f t="shared" si="104"/>
        <v/>
      </c>
      <c r="L8326" s="25" t="str">
        <f t="shared" si="105"/>
        <v/>
      </c>
      <c r="M8326" s="25"/>
      <c r="O8326" s="25"/>
    </row>
    <row r="8327" ht="15.75" customHeight="1">
      <c r="A8327" s="25" t="str">
        <f>IFERROR(__xludf.DUMMYFUNCTION("IF(B8327="""","""",RIGHT(REGEXREPLACE(B8327&amp;"""",""[^0-9]"",""""),9))"),"774678849")</f>
        <v>774678849</v>
      </c>
      <c r="B8327" s="52">
        <v>7.74678849E8</v>
      </c>
      <c r="C8327" s="28" t="s">
        <v>8522</v>
      </c>
      <c r="D8327" s="26" t="s">
        <v>45</v>
      </c>
      <c r="E8327" s="31">
        <v>46246.0</v>
      </c>
      <c r="F8327" s="26" t="s">
        <v>205</v>
      </c>
      <c r="I8327" s="26" t="s">
        <v>970</v>
      </c>
      <c r="J8327" s="25" t="str">
        <f t="shared" si="103"/>
        <v>No</v>
      </c>
      <c r="K8327" s="25" t="str">
        <f t="shared" si="104"/>
        <v/>
      </c>
      <c r="L8327" s="25" t="str">
        <f t="shared" si="105"/>
        <v/>
      </c>
      <c r="M8327" s="25"/>
      <c r="O8327" s="25"/>
    </row>
    <row r="8328" ht="15.75" customHeight="1">
      <c r="A8328" s="25" t="str">
        <f>IFERROR(__xludf.DUMMYFUNCTION("IF(B8328="""","""",RIGHT(REGEXREPLACE(B8328&amp;"""",""[^0-9]"",""""),9))"),"756074826")</f>
        <v>756074826</v>
      </c>
      <c r="B8328" s="52">
        <v>7.56074826E8</v>
      </c>
      <c r="C8328" s="28" t="s">
        <v>8523</v>
      </c>
      <c r="D8328" s="26" t="s">
        <v>45</v>
      </c>
      <c r="E8328" s="31">
        <v>46246.0</v>
      </c>
      <c r="F8328" s="26" t="s">
        <v>41</v>
      </c>
      <c r="I8328" s="26" t="s">
        <v>970</v>
      </c>
      <c r="J8328" s="25" t="str">
        <f t="shared" si="103"/>
        <v>No</v>
      </c>
      <c r="K8328" s="25" t="str">
        <f t="shared" si="104"/>
        <v/>
      </c>
      <c r="L8328" s="25" t="str">
        <f t="shared" si="105"/>
        <v/>
      </c>
      <c r="M8328" s="25"/>
      <c r="O8328" s="25"/>
    </row>
    <row r="8329" ht="15.75" customHeight="1">
      <c r="A8329" s="25" t="str">
        <f>IFERROR(__xludf.DUMMYFUNCTION("IF(B8329="""","""",RIGHT(REGEXREPLACE(B8329&amp;"""",""[^0-9]"",""""),9))"),"712064834")</f>
        <v>712064834</v>
      </c>
      <c r="B8329" s="52">
        <v>7.12064834E8</v>
      </c>
      <c r="C8329" s="28" t="s">
        <v>8524</v>
      </c>
      <c r="D8329" s="26" t="s">
        <v>49</v>
      </c>
      <c r="E8329" s="31">
        <v>46246.0</v>
      </c>
      <c r="F8329" s="26" t="s">
        <v>46</v>
      </c>
      <c r="G8329" s="26">
        <v>10.0</v>
      </c>
      <c r="I8329" s="26" t="s">
        <v>970</v>
      </c>
      <c r="J8329" s="25" t="str">
        <f t="shared" si="103"/>
        <v>No</v>
      </c>
      <c r="K8329" s="25" t="str">
        <f t="shared" si="104"/>
        <v/>
      </c>
      <c r="L8329" s="25" t="str">
        <f t="shared" si="105"/>
        <v/>
      </c>
      <c r="M8329" s="25"/>
      <c r="O8329" s="25"/>
    </row>
    <row r="8330" ht="15.75" customHeight="1">
      <c r="A8330" s="25" t="str">
        <f>IFERROR(__xludf.DUMMYFUNCTION("IF(B8330="""","""",RIGHT(REGEXREPLACE(B8330&amp;"""",""[^0-9]"",""""),9))"),"719054181")</f>
        <v>719054181</v>
      </c>
      <c r="B8330" s="52">
        <v>7.19054181E8</v>
      </c>
      <c r="C8330" s="28" t="s">
        <v>8525</v>
      </c>
      <c r="D8330" s="26" t="s">
        <v>45</v>
      </c>
      <c r="E8330" s="31">
        <v>46246.0</v>
      </c>
      <c r="F8330" s="26" t="s">
        <v>46</v>
      </c>
      <c r="G8330" s="26">
        <v>11.0</v>
      </c>
      <c r="I8330" s="26" t="s">
        <v>970</v>
      </c>
      <c r="J8330" s="25" t="str">
        <f t="shared" si="103"/>
        <v>No</v>
      </c>
      <c r="K8330" s="25" t="str">
        <f t="shared" si="104"/>
        <v/>
      </c>
      <c r="L8330" s="25" t="str">
        <f t="shared" si="105"/>
        <v/>
      </c>
      <c r="M8330" s="25"/>
      <c r="O8330" s="25"/>
    </row>
    <row r="8331" ht="15.75" customHeight="1">
      <c r="A8331" s="25" t="str">
        <f>IFERROR(__xludf.DUMMYFUNCTION("IF(B8331="""","""",RIGHT(REGEXREPLACE(B8331&amp;"""",""[^0-9]"",""""),9))"),"044360095")</f>
        <v>044360095</v>
      </c>
      <c r="B8331" s="52">
        <v>2.01044360095E11</v>
      </c>
      <c r="C8331" s="28" t="s">
        <v>8526</v>
      </c>
      <c r="D8331" s="26" t="s">
        <v>45</v>
      </c>
      <c r="E8331" s="31">
        <v>46246.0</v>
      </c>
      <c r="F8331" s="26" t="s">
        <v>41</v>
      </c>
      <c r="I8331" s="26" t="s">
        <v>970</v>
      </c>
      <c r="J8331" s="25" t="str">
        <f t="shared" si="103"/>
        <v>No</v>
      </c>
      <c r="K8331" s="25" t="str">
        <f t="shared" si="104"/>
        <v/>
      </c>
      <c r="L8331" s="25" t="str">
        <f t="shared" si="105"/>
        <v/>
      </c>
      <c r="M8331" s="25"/>
      <c r="O8331" s="25"/>
    </row>
    <row r="8332" ht="15.75" customHeight="1">
      <c r="A8332" s="25" t="str">
        <f>IFERROR(__xludf.DUMMYFUNCTION("IF(B8332="""","""",RIGHT(REGEXREPLACE(B8332&amp;"""",""[^0-9]"",""""),9))"),"777281362")</f>
        <v>777281362</v>
      </c>
      <c r="B8332" s="52">
        <v>7.77281362E8</v>
      </c>
      <c r="C8332" s="28" t="s">
        <v>8527</v>
      </c>
      <c r="D8332" s="26" t="s">
        <v>45</v>
      </c>
      <c r="E8332" s="31">
        <v>46246.0</v>
      </c>
      <c r="F8332" s="26" t="s">
        <v>46</v>
      </c>
      <c r="G8332" s="26">
        <v>11.0</v>
      </c>
      <c r="I8332" s="26" t="s">
        <v>970</v>
      </c>
      <c r="J8332" s="25" t="str">
        <f t="shared" si="103"/>
        <v>No</v>
      </c>
      <c r="K8332" s="25" t="str">
        <f t="shared" si="104"/>
        <v/>
      </c>
      <c r="L8332" s="25" t="str">
        <f t="shared" si="105"/>
        <v/>
      </c>
      <c r="M8332" s="25"/>
      <c r="O8332" s="25"/>
    </row>
    <row r="8333" ht="15.75" customHeight="1">
      <c r="A8333" s="25" t="str">
        <f>IFERROR(__xludf.DUMMYFUNCTION("IF(B8333="""","""",RIGHT(REGEXREPLACE(B8333&amp;"""",""[^0-9]"",""""),9))"),"769078181")</f>
        <v>769078181</v>
      </c>
      <c r="B8333" s="52">
        <v>7.69078181E8</v>
      </c>
      <c r="C8333" s="28" t="s">
        <v>8528</v>
      </c>
      <c r="D8333" s="26" t="s">
        <v>45</v>
      </c>
      <c r="E8333" s="31">
        <v>46246.0</v>
      </c>
      <c r="F8333" s="26" t="s">
        <v>41</v>
      </c>
      <c r="I8333" s="26" t="s">
        <v>970</v>
      </c>
      <c r="J8333" s="25" t="str">
        <f t="shared" si="103"/>
        <v>No</v>
      </c>
      <c r="K8333" s="25" t="str">
        <f t="shared" si="104"/>
        <v/>
      </c>
      <c r="L8333" s="25" t="str">
        <f t="shared" si="105"/>
        <v/>
      </c>
      <c r="M8333" s="25"/>
      <c r="O8333" s="25"/>
    </row>
    <row r="8334" ht="15.75" customHeight="1">
      <c r="A8334" s="25" t="str">
        <f>IFERROR(__xludf.DUMMYFUNCTION("IF(B8334="""","""",RIGHT(REGEXREPLACE(B8334&amp;"""",""[^0-9]"",""""),9))"),"767930145")</f>
        <v>767930145</v>
      </c>
      <c r="B8334" s="52">
        <v>7.67930145E8</v>
      </c>
      <c r="C8334" s="28" t="s">
        <v>8529</v>
      </c>
      <c r="D8334" s="26" t="s">
        <v>45</v>
      </c>
      <c r="E8334" s="31">
        <v>46246.0</v>
      </c>
      <c r="F8334" s="26" t="s">
        <v>46</v>
      </c>
      <c r="H8334" s="26" t="s">
        <v>140</v>
      </c>
      <c r="I8334" s="26" t="s">
        <v>970</v>
      </c>
      <c r="J8334" s="25" t="str">
        <f t="shared" si="103"/>
        <v>No</v>
      </c>
      <c r="K8334" s="25" t="str">
        <f t="shared" si="104"/>
        <v/>
      </c>
      <c r="L8334" s="25" t="str">
        <f t="shared" si="105"/>
        <v/>
      </c>
      <c r="M8334" s="25"/>
      <c r="O8334" s="25"/>
    </row>
    <row r="8335" ht="15.75" customHeight="1">
      <c r="A8335" s="25" t="str">
        <f>IFERROR(__xludf.DUMMYFUNCTION("IF(B8335="""","""",RIGHT(REGEXREPLACE(B8335&amp;"""",""[^0-9]"",""""),9))"),"762868670")</f>
        <v>762868670</v>
      </c>
      <c r="B8335" s="52">
        <v>7.6286867E8</v>
      </c>
      <c r="C8335" s="28" t="s">
        <v>8530</v>
      </c>
      <c r="D8335" s="26" t="s">
        <v>45</v>
      </c>
      <c r="E8335" s="31">
        <v>46246.0</v>
      </c>
      <c r="F8335" s="26" t="s">
        <v>41</v>
      </c>
      <c r="I8335" s="26" t="s">
        <v>970</v>
      </c>
      <c r="J8335" s="25" t="str">
        <f t="shared" si="103"/>
        <v>No</v>
      </c>
      <c r="K8335" s="25" t="str">
        <f t="shared" si="104"/>
        <v/>
      </c>
      <c r="L8335" s="25" t="str">
        <f t="shared" si="105"/>
        <v/>
      </c>
      <c r="M8335" s="25"/>
      <c r="O8335" s="25"/>
    </row>
    <row r="8336" ht="15.75" customHeight="1">
      <c r="A8336" s="25" t="str">
        <f>IFERROR(__xludf.DUMMYFUNCTION("IF(B8336="""","""",RIGHT(REGEXREPLACE(B8336&amp;"""",""[^0-9]"",""""),9))"),"785701457")</f>
        <v>785701457</v>
      </c>
      <c r="B8336" s="52">
        <v>7.85701457E8</v>
      </c>
      <c r="C8336" s="28" t="s">
        <v>8531</v>
      </c>
      <c r="D8336" s="26" t="s">
        <v>45</v>
      </c>
      <c r="E8336" s="31">
        <v>46246.0</v>
      </c>
      <c r="F8336" s="26" t="s">
        <v>46</v>
      </c>
      <c r="G8336" s="26">
        <v>6.0</v>
      </c>
      <c r="H8336" s="26" t="s">
        <v>8532</v>
      </c>
      <c r="I8336" s="26" t="s">
        <v>970</v>
      </c>
      <c r="J8336" s="25" t="str">
        <f t="shared" si="103"/>
        <v>No</v>
      </c>
      <c r="K8336" s="25" t="str">
        <f t="shared" si="104"/>
        <v/>
      </c>
      <c r="L8336" s="25" t="str">
        <f t="shared" si="105"/>
        <v/>
      </c>
      <c r="M8336" s="25"/>
      <c r="O8336" s="25"/>
    </row>
    <row r="8337" ht="15.75" customHeight="1">
      <c r="A8337" s="25" t="str">
        <f>IFERROR(__xludf.DUMMYFUNCTION("IF(B8337="""","""",RIGHT(REGEXREPLACE(B8337&amp;"""",""[^0-9]"",""""),9))"),"772834103")</f>
        <v>772834103</v>
      </c>
      <c r="B8337" s="52">
        <v>7.72834103E8</v>
      </c>
      <c r="C8337" s="28" t="s">
        <v>8533</v>
      </c>
      <c r="D8337" s="26" t="s">
        <v>45</v>
      </c>
      <c r="E8337" s="31">
        <v>46246.0</v>
      </c>
      <c r="F8337" s="26" t="s">
        <v>205</v>
      </c>
      <c r="I8337" s="26" t="s">
        <v>970</v>
      </c>
      <c r="J8337" s="25" t="str">
        <f t="shared" si="103"/>
        <v>No</v>
      </c>
      <c r="K8337" s="25" t="str">
        <f t="shared" si="104"/>
        <v/>
      </c>
      <c r="L8337" s="25" t="str">
        <f t="shared" si="105"/>
        <v/>
      </c>
      <c r="M8337" s="25"/>
      <c r="O8337" s="25"/>
    </row>
    <row r="8338" ht="15.75" customHeight="1">
      <c r="A8338" s="25" t="str">
        <f>IFERROR(__xludf.DUMMYFUNCTION("IF(B8338="""","""",RIGHT(REGEXREPLACE(B8338&amp;"""",""[^0-9]"",""""),9))"),"776023923")</f>
        <v>776023923</v>
      </c>
      <c r="B8338" s="52">
        <v>7.76023923E8</v>
      </c>
      <c r="C8338" s="28" t="s">
        <v>8534</v>
      </c>
      <c r="D8338" s="26" t="s">
        <v>45</v>
      </c>
      <c r="E8338" s="31">
        <v>46246.0</v>
      </c>
      <c r="F8338" s="26" t="s">
        <v>659</v>
      </c>
      <c r="I8338" s="26" t="s">
        <v>970</v>
      </c>
      <c r="J8338" s="25" t="str">
        <f t="shared" si="103"/>
        <v>No</v>
      </c>
      <c r="K8338" s="25" t="str">
        <f t="shared" si="104"/>
        <v/>
      </c>
      <c r="L8338" s="25" t="str">
        <f t="shared" si="105"/>
        <v/>
      </c>
      <c r="M8338" s="25"/>
      <c r="O8338" s="25"/>
    </row>
    <row r="8339" ht="15.75" customHeight="1">
      <c r="A8339" s="25" t="str">
        <f>IFERROR(__xludf.DUMMYFUNCTION("IF(B8339="""","""",RIGHT(REGEXREPLACE(B8339&amp;"""",""[^0-9]"",""""),9))"),"778224062")</f>
        <v>778224062</v>
      </c>
      <c r="B8339" s="52">
        <v>7.78224062E8</v>
      </c>
      <c r="C8339" s="28" t="s">
        <v>8535</v>
      </c>
      <c r="D8339" s="26" t="s">
        <v>45</v>
      </c>
      <c r="E8339" s="31">
        <v>46246.0</v>
      </c>
      <c r="F8339" s="26" t="s">
        <v>46</v>
      </c>
      <c r="G8339" s="26">
        <v>10.0</v>
      </c>
      <c r="I8339" s="26" t="s">
        <v>970</v>
      </c>
      <c r="J8339" s="25" t="str">
        <f t="shared" si="103"/>
        <v>No</v>
      </c>
      <c r="K8339" s="25" t="str">
        <f t="shared" si="104"/>
        <v/>
      </c>
      <c r="L8339" s="25" t="str">
        <f t="shared" si="105"/>
        <v/>
      </c>
      <c r="M8339" s="25"/>
      <c r="O8339" s="25"/>
    </row>
    <row r="8340" ht="15.75" customHeight="1">
      <c r="A8340" s="25" t="str">
        <f>IFERROR(__xludf.DUMMYFUNCTION("IF(B8340="""","""",RIGHT(REGEXREPLACE(B8340&amp;"""",""[^0-9]"",""""),9))"),"703648158")</f>
        <v>703648158</v>
      </c>
      <c r="B8340" s="52">
        <v>7.03648158E8</v>
      </c>
      <c r="C8340" s="28" t="s">
        <v>8536</v>
      </c>
      <c r="D8340" s="26" t="s">
        <v>45</v>
      </c>
      <c r="E8340" s="31">
        <v>46246.0</v>
      </c>
      <c r="F8340" s="26" t="s">
        <v>164</v>
      </c>
      <c r="I8340" s="26" t="s">
        <v>970</v>
      </c>
      <c r="J8340" s="25" t="str">
        <f t="shared" si="103"/>
        <v>No</v>
      </c>
      <c r="K8340" s="25" t="str">
        <f t="shared" si="104"/>
        <v/>
      </c>
      <c r="L8340" s="25" t="str">
        <f t="shared" si="105"/>
        <v/>
      </c>
      <c r="M8340" s="25"/>
      <c r="O8340" s="25"/>
    </row>
    <row r="8341" ht="15.75" customHeight="1">
      <c r="A8341" s="25" t="str">
        <f>IFERROR(__xludf.DUMMYFUNCTION("IF(B8341="""","""",RIGHT(REGEXREPLACE(B8341&amp;"""",""[^0-9]"",""""),9))"),"741201570")</f>
        <v>741201570</v>
      </c>
      <c r="B8341" s="52">
        <v>7.4120157E8</v>
      </c>
      <c r="C8341" s="28" t="s">
        <v>8537</v>
      </c>
      <c r="D8341" s="26" t="s">
        <v>64</v>
      </c>
      <c r="E8341" s="31">
        <v>46246.0</v>
      </c>
      <c r="F8341" s="26" t="s">
        <v>46</v>
      </c>
      <c r="H8341" s="26" t="s">
        <v>8436</v>
      </c>
      <c r="I8341" s="26" t="s">
        <v>970</v>
      </c>
      <c r="J8341" s="25" t="str">
        <f t="shared" si="103"/>
        <v>No</v>
      </c>
      <c r="K8341" s="25" t="str">
        <f t="shared" si="104"/>
        <v/>
      </c>
      <c r="L8341" s="25" t="str">
        <f t="shared" si="105"/>
        <v/>
      </c>
      <c r="M8341" s="25"/>
      <c r="O8341" s="25"/>
    </row>
    <row r="8342" ht="15.75" customHeight="1">
      <c r="A8342" s="25" t="str">
        <f>IFERROR(__xludf.DUMMYFUNCTION("IF(B8342="""","""",RIGHT(REGEXREPLACE(B8342&amp;"""",""[^0-9]"",""""),9))"),"754359108")</f>
        <v>754359108</v>
      </c>
      <c r="B8342" s="52">
        <v>7.54359108E8</v>
      </c>
      <c r="C8342" s="28" t="s">
        <v>8538</v>
      </c>
      <c r="D8342" s="26" t="s">
        <v>45</v>
      </c>
      <c r="E8342" s="31">
        <v>46246.0</v>
      </c>
      <c r="F8342" s="26" t="s">
        <v>46</v>
      </c>
      <c r="G8342" s="26">
        <v>10.0</v>
      </c>
      <c r="I8342" s="26" t="s">
        <v>970</v>
      </c>
      <c r="J8342" s="25" t="str">
        <f t="shared" si="103"/>
        <v>No</v>
      </c>
      <c r="K8342" s="25" t="str">
        <f t="shared" si="104"/>
        <v/>
      </c>
      <c r="L8342" s="25" t="str">
        <f t="shared" si="105"/>
        <v/>
      </c>
      <c r="M8342" s="25"/>
      <c r="O8342" s="25"/>
    </row>
    <row r="8343" ht="15.75" customHeight="1">
      <c r="A8343" s="25" t="str">
        <f>IFERROR(__xludf.DUMMYFUNCTION("IF(B8343="""","""",RIGHT(REGEXREPLACE(B8343&amp;"""",""[^0-9]"",""""),9))"),"757693737")</f>
        <v>757693737</v>
      </c>
      <c r="B8343" s="52">
        <v>7.57693737E8</v>
      </c>
      <c r="C8343" s="28" t="s">
        <v>3193</v>
      </c>
      <c r="D8343" s="26" t="s">
        <v>45</v>
      </c>
      <c r="E8343" s="31">
        <v>46246.0</v>
      </c>
      <c r="F8343" s="26" t="s">
        <v>46</v>
      </c>
      <c r="G8343" s="26">
        <v>11.0</v>
      </c>
      <c r="I8343" s="26" t="s">
        <v>970</v>
      </c>
      <c r="J8343" s="25" t="str">
        <f t="shared" si="103"/>
        <v>Yes - see Previous F-Code</v>
      </c>
      <c r="K8343" s="25" t="str">
        <f t="shared" si="104"/>
        <v/>
      </c>
      <c r="L8343" s="25" t="str">
        <f t="shared" si="105"/>
        <v>F72832</v>
      </c>
      <c r="M8343" s="25"/>
      <c r="O8343" s="25"/>
    </row>
    <row r="8344" ht="15.75" customHeight="1">
      <c r="A8344" s="25" t="str">
        <f>IFERROR(__xludf.DUMMYFUNCTION("IF(B8344="""","""",RIGHT(REGEXREPLACE(B8344&amp;"""",""[^0-9]"",""""),9))"),"764355177")</f>
        <v>764355177</v>
      </c>
      <c r="B8344" s="52">
        <v>7.64355177E8</v>
      </c>
      <c r="C8344" s="28" t="s">
        <v>8539</v>
      </c>
      <c r="D8344" s="26" t="s">
        <v>45</v>
      </c>
      <c r="E8344" s="31">
        <v>46246.0</v>
      </c>
      <c r="F8344" s="26" t="s">
        <v>41</v>
      </c>
      <c r="I8344" s="26" t="s">
        <v>970</v>
      </c>
      <c r="J8344" s="25" t="str">
        <f t="shared" si="103"/>
        <v>No</v>
      </c>
      <c r="K8344" s="25" t="str">
        <f t="shared" si="104"/>
        <v/>
      </c>
      <c r="L8344" s="25" t="str">
        <f t="shared" si="105"/>
        <v/>
      </c>
      <c r="M8344" s="25"/>
      <c r="O8344" s="25"/>
    </row>
    <row r="8345" ht="15.75" customHeight="1">
      <c r="A8345" s="25" t="str">
        <f>IFERROR(__xludf.DUMMYFUNCTION("IF(B8345="""","""",RIGHT(REGEXREPLACE(B8345&amp;"""",""[^0-9]"",""""),9))"),"766356078")</f>
        <v>766356078</v>
      </c>
      <c r="B8345" s="52">
        <v>7.66356078E8</v>
      </c>
      <c r="C8345" s="28" t="s">
        <v>8540</v>
      </c>
      <c r="D8345" s="26" t="s">
        <v>64</v>
      </c>
      <c r="E8345" s="31">
        <v>46246.0</v>
      </c>
      <c r="F8345" s="26" t="s">
        <v>205</v>
      </c>
      <c r="I8345" s="26" t="s">
        <v>970</v>
      </c>
      <c r="J8345" s="25" t="str">
        <f t="shared" si="103"/>
        <v>No</v>
      </c>
      <c r="K8345" s="25" t="str">
        <f t="shared" si="104"/>
        <v/>
      </c>
      <c r="L8345" s="25" t="str">
        <f t="shared" si="105"/>
        <v/>
      </c>
      <c r="M8345" s="25"/>
      <c r="O8345" s="25"/>
    </row>
    <row r="8346" ht="15.75" customHeight="1">
      <c r="A8346" s="25" t="str">
        <f>IFERROR(__xludf.DUMMYFUNCTION("IF(B8346="""","""",RIGHT(REGEXREPLACE(B8346&amp;"""",""[^0-9]"",""""),9))"),"711373875")</f>
        <v>711373875</v>
      </c>
      <c r="B8346" s="52">
        <v>7.11373875E8</v>
      </c>
      <c r="C8346" s="28" t="s">
        <v>8541</v>
      </c>
      <c r="D8346" s="26" t="s">
        <v>64</v>
      </c>
      <c r="E8346" s="31">
        <v>46246.0</v>
      </c>
      <c r="F8346" s="26" t="s">
        <v>205</v>
      </c>
      <c r="G8346" s="26">
        <v>11.0</v>
      </c>
      <c r="I8346" s="26" t="s">
        <v>970</v>
      </c>
      <c r="J8346" s="25" t="str">
        <f t="shared" si="103"/>
        <v>No</v>
      </c>
      <c r="K8346" s="25" t="str">
        <f t="shared" si="104"/>
        <v/>
      </c>
      <c r="L8346" s="25" t="str">
        <f t="shared" si="105"/>
        <v/>
      </c>
      <c r="M8346" s="25"/>
      <c r="O8346" s="25"/>
    </row>
    <row r="8347" ht="15.75" customHeight="1">
      <c r="A8347" s="25" t="str">
        <f>IFERROR(__xludf.DUMMYFUNCTION("IF(B8347="""","""",RIGHT(REGEXREPLACE(B8347&amp;"""",""[^0-9]"",""""),9))"),"742942082")</f>
        <v>742942082</v>
      </c>
      <c r="B8347" s="52">
        <v>7.42942082E8</v>
      </c>
      <c r="C8347" s="28" t="s">
        <v>8542</v>
      </c>
      <c r="D8347" s="26" t="s">
        <v>45</v>
      </c>
      <c r="E8347" s="31">
        <v>46246.0</v>
      </c>
      <c r="F8347" s="26" t="s">
        <v>46</v>
      </c>
      <c r="G8347" s="26">
        <v>11.0</v>
      </c>
      <c r="I8347" s="26" t="s">
        <v>970</v>
      </c>
      <c r="J8347" s="25" t="str">
        <f t="shared" si="103"/>
        <v>No</v>
      </c>
      <c r="K8347" s="25" t="str">
        <f t="shared" si="104"/>
        <v/>
      </c>
      <c r="L8347" s="25" t="str">
        <f t="shared" si="105"/>
        <v/>
      </c>
      <c r="M8347" s="25"/>
      <c r="O8347" s="25"/>
    </row>
    <row r="8348" ht="15.75" customHeight="1">
      <c r="A8348" s="25" t="str">
        <f>IFERROR(__xludf.DUMMYFUNCTION("IF(B8348="""","""",RIGHT(REGEXREPLACE(B8348&amp;"""",""[^0-9]"",""""),9))"),"766351418")</f>
        <v>766351418</v>
      </c>
      <c r="B8348" s="52">
        <v>7.66351418E8</v>
      </c>
      <c r="C8348" s="28" t="s">
        <v>8543</v>
      </c>
      <c r="D8348" s="26" t="s">
        <v>64</v>
      </c>
      <c r="E8348" s="31">
        <v>46246.0</v>
      </c>
      <c r="F8348" s="26" t="s">
        <v>46</v>
      </c>
      <c r="G8348" s="26">
        <v>10.0</v>
      </c>
      <c r="H8348" s="26" t="s">
        <v>78</v>
      </c>
      <c r="I8348" s="26" t="s">
        <v>970</v>
      </c>
      <c r="J8348" s="25" t="str">
        <f t="shared" si="103"/>
        <v>No</v>
      </c>
      <c r="K8348" s="25" t="str">
        <f t="shared" si="104"/>
        <v/>
      </c>
      <c r="L8348" s="25" t="str">
        <f t="shared" si="105"/>
        <v/>
      </c>
      <c r="M8348" s="25"/>
      <c r="O8348" s="25"/>
    </row>
    <row r="8349" ht="15.75" customHeight="1">
      <c r="A8349" s="25" t="str">
        <f>IFERROR(__xludf.DUMMYFUNCTION("IF(B8349="""","""",RIGHT(REGEXREPLACE(B8349&amp;"""",""[^0-9]"",""""),9))"),"777408351")</f>
        <v>777408351</v>
      </c>
      <c r="B8349" s="52">
        <v>7.77408351E8</v>
      </c>
      <c r="C8349" s="28" t="s">
        <v>8544</v>
      </c>
      <c r="D8349" s="26" t="s">
        <v>45</v>
      </c>
      <c r="E8349" s="31">
        <v>46246.0</v>
      </c>
      <c r="F8349" s="26" t="s">
        <v>46</v>
      </c>
      <c r="G8349" s="26">
        <v>11.0</v>
      </c>
      <c r="I8349" s="26" t="s">
        <v>970</v>
      </c>
      <c r="J8349" s="25" t="str">
        <f t="shared" si="103"/>
        <v>No</v>
      </c>
      <c r="K8349" s="25" t="str">
        <f t="shared" si="104"/>
        <v/>
      </c>
      <c r="L8349" s="25" t="str">
        <f t="shared" si="105"/>
        <v/>
      </c>
      <c r="M8349" s="25"/>
      <c r="O8349" s="25"/>
    </row>
    <row r="8350" ht="15.75" customHeight="1">
      <c r="A8350" s="25" t="str">
        <f>IFERROR(__xludf.DUMMYFUNCTION("IF(B8350="""","""",RIGHT(REGEXREPLACE(B8350&amp;"""",""[^0-9]"",""""),9))"),"767110991")</f>
        <v>767110991</v>
      </c>
      <c r="B8350" s="52">
        <v>7.67110991E8</v>
      </c>
      <c r="C8350" s="28" t="s">
        <v>8545</v>
      </c>
      <c r="D8350" s="26" t="s">
        <v>64</v>
      </c>
      <c r="E8350" s="31">
        <v>46246.0</v>
      </c>
      <c r="F8350" s="26" t="s">
        <v>46</v>
      </c>
      <c r="H8350" s="26" t="s">
        <v>8436</v>
      </c>
      <c r="I8350" s="26" t="s">
        <v>970</v>
      </c>
      <c r="J8350" s="25" t="str">
        <f t="shared" si="103"/>
        <v>No</v>
      </c>
      <c r="K8350" s="25" t="str">
        <f t="shared" si="104"/>
        <v/>
      </c>
      <c r="L8350" s="25" t="str">
        <f t="shared" si="105"/>
        <v/>
      </c>
      <c r="M8350" s="25"/>
      <c r="O8350" s="25"/>
    </row>
    <row r="8351" ht="15.75" customHeight="1">
      <c r="A8351" s="25" t="str">
        <f>IFERROR(__xludf.DUMMYFUNCTION("IF(B8351="""","""",RIGHT(REGEXREPLACE(B8351&amp;"""",""[^0-9]"",""""),9))"),"778710343")</f>
        <v>778710343</v>
      </c>
      <c r="B8351" s="52">
        <v>7.78710343E8</v>
      </c>
      <c r="C8351" s="28" t="s">
        <v>4674</v>
      </c>
      <c r="D8351" s="26" t="s">
        <v>64</v>
      </c>
      <c r="E8351" s="31">
        <v>46246.0</v>
      </c>
      <c r="F8351" s="26" t="s">
        <v>46</v>
      </c>
      <c r="H8351" s="26" t="s">
        <v>8436</v>
      </c>
      <c r="I8351" s="26" t="s">
        <v>970</v>
      </c>
      <c r="J8351" s="25" t="str">
        <f t="shared" si="103"/>
        <v>Yes - see Previous F-Code</v>
      </c>
      <c r="K8351" s="25" t="str">
        <f t="shared" si="104"/>
        <v>DUPLICATE - CHECK</v>
      </c>
      <c r="L8351" s="25" t="str">
        <f t="shared" si="105"/>
        <v>F74262</v>
      </c>
      <c r="M8351" s="25"/>
      <c r="O8351" s="25"/>
    </row>
    <row r="8352" ht="15.75" customHeight="1">
      <c r="A8352" s="25" t="str">
        <f>IFERROR(__xludf.DUMMYFUNCTION("IF(B8352="""","""",RIGHT(REGEXREPLACE(B8352&amp;"""",""[^0-9]"",""""),9))"),"718378802")</f>
        <v>718378802</v>
      </c>
      <c r="B8352" s="52">
        <v>7.18378802E8</v>
      </c>
      <c r="C8352" s="28" t="s">
        <v>8546</v>
      </c>
      <c r="D8352" s="26" t="s">
        <v>45</v>
      </c>
      <c r="E8352" s="31">
        <v>46246.0</v>
      </c>
      <c r="F8352" s="26" t="s">
        <v>46</v>
      </c>
      <c r="G8352" s="26">
        <v>10.0</v>
      </c>
      <c r="I8352" s="26" t="s">
        <v>970</v>
      </c>
      <c r="J8352" s="25" t="str">
        <f t="shared" si="103"/>
        <v>No</v>
      </c>
      <c r="K8352" s="25" t="str">
        <f t="shared" si="104"/>
        <v/>
      </c>
      <c r="L8352" s="25" t="str">
        <f t="shared" si="105"/>
        <v/>
      </c>
      <c r="M8352" s="25"/>
      <c r="O8352" s="25"/>
    </row>
    <row r="8353" ht="15.75" customHeight="1">
      <c r="A8353" s="25" t="str">
        <f>IFERROR(__xludf.DUMMYFUNCTION("IF(B8353="""","""",RIGHT(REGEXREPLACE(B8353&amp;"""",""[^0-9]"",""""),9))"),"779830515")</f>
        <v>779830515</v>
      </c>
      <c r="B8353" s="52">
        <v>7.79830515E8</v>
      </c>
      <c r="C8353" s="28" t="s">
        <v>8547</v>
      </c>
      <c r="D8353" s="26" t="s">
        <v>45</v>
      </c>
      <c r="E8353" s="31">
        <v>46246.0</v>
      </c>
      <c r="F8353" s="26" t="s">
        <v>46</v>
      </c>
      <c r="G8353" s="26">
        <v>11.0</v>
      </c>
      <c r="I8353" s="26" t="s">
        <v>970</v>
      </c>
      <c r="J8353" s="25" t="str">
        <f t="shared" si="103"/>
        <v>No</v>
      </c>
      <c r="K8353" s="25" t="str">
        <f t="shared" si="104"/>
        <v/>
      </c>
      <c r="L8353" s="25" t="str">
        <f t="shared" si="105"/>
        <v/>
      </c>
      <c r="M8353" s="25"/>
      <c r="O8353" s="25"/>
    </row>
    <row r="8354" ht="15.75" customHeight="1">
      <c r="A8354" s="25" t="str">
        <f>IFERROR(__xludf.DUMMYFUNCTION("IF(B8354="""","""",RIGHT(REGEXREPLACE(B8354&amp;"""",""[^0-9]"",""""),9))"),"785477577")</f>
        <v>785477577</v>
      </c>
      <c r="B8354" s="52">
        <v>7.85477577E8</v>
      </c>
      <c r="C8354" s="28" t="s">
        <v>2597</v>
      </c>
      <c r="D8354" s="26" t="s">
        <v>64</v>
      </c>
      <c r="E8354" s="31">
        <v>46246.0</v>
      </c>
      <c r="F8354" s="26" t="s">
        <v>41</v>
      </c>
      <c r="I8354" s="26" t="s">
        <v>970</v>
      </c>
      <c r="J8354" s="25" t="str">
        <f t="shared" si="103"/>
        <v>Yes - see Previous F-Code</v>
      </c>
      <c r="K8354" s="25" t="str">
        <f t="shared" si="104"/>
        <v/>
      </c>
      <c r="L8354" s="25" t="str">
        <f t="shared" si="105"/>
        <v>F72289</v>
      </c>
      <c r="M8354" s="25"/>
      <c r="O8354" s="25"/>
    </row>
    <row r="8355" ht="15.75" customHeight="1">
      <c r="A8355" s="25" t="str">
        <f>IFERROR(__xludf.DUMMYFUNCTION("IF(B8355="""","""",RIGHT(REGEXREPLACE(B8355&amp;"""",""[^0-9]"",""""),9))"),"773048251")</f>
        <v>773048251</v>
      </c>
      <c r="B8355" s="52">
        <v>7.73048251E8</v>
      </c>
      <c r="C8355" s="28" t="s">
        <v>8548</v>
      </c>
      <c r="D8355" s="26" t="s">
        <v>45</v>
      </c>
      <c r="E8355" s="31">
        <v>46246.0</v>
      </c>
      <c r="F8355" s="26" t="s">
        <v>205</v>
      </c>
      <c r="I8355" s="26" t="s">
        <v>970</v>
      </c>
      <c r="J8355" s="25" t="str">
        <f t="shared" si="103"/>
        <v>No</v>
      </c>
      <c r="K8355" s="25" t="str">
        <f t="shared" si="104"/>
        <v/>
      </c>
      <c r="L8355" s="25" t="str">
        <f t="shared" si="105"/>
        <v/>
      </c>
      <c r="M8355" s="25"/>
      <c r="O8355" s="25"/>
    </row>
    <row r="8356" ht="15.75" customHeight="1">
      <c r="A8356" s="25" t="str">
        <f>IFERROR(__xludf.DUMMYFUNCTION("IF(B8356="""","""",RIGHT(REGEXREPLACE(B8356&amp;"""",""[^0-9]"",""""),9))"),"776204230")</f>
        <v>776204230</v>
      </c>
      <c r="B8356" s="52">
        <v>7.7620423E8</v>
      </c>
      <c r="C8356" s="28" t="s">
        <v>8549</v>
      </c>
      <c r="D8356" s="26" t="s">
        <v>64</v>
      </c>
      <c r="E8356" s="31">
        <v>46246.0</v>
      </c>
      <c r="F8356" s="26" t="s">
        <v>46</v>
      </c>
      <c r="G8356" s="96">
        <v>46303.0</v>
      </c>
      <c r="H8356" s="26" t="s">
        <v>8436</v>
      </c>
      <c r="I8356" s="26" t="s">
        <v>970</v>
      </c>
      <c r="J8356" s="25" t="str">
        <f t="shared" si="103"/>
        <v>No</v>
      </c>
      <c r="K8356" s="25" t="str">
        <f t="shared" si="104"/>
        <v/>
      </c>
      <c r="L8356" s="25" t="str">
        <f t="shared" si="105"/>
        <v/>
      </c>
      <c r="M8356" s="25"/>
      <c r="O8356" s="25"/>
    </row>
    <row r="8357" ht="15.75" customHeight="1">
      <c r="A8357" s="25" t="str">
        <f>IFERROR(__xludf.DUMMYFUNCTION("IF(B8357="""","""",RIGHT(REGEXREPLACE(B8357&amp;"""",""[^0-9]"",""""),9))"),"741184388")</f>
        <v>741184388</v>
      </c>
      <c r="B8357" s="52">
        <v>7.41184388E8</v>
      </c>
      <c r="C8357" s="28" t="s">
        <v>4089</v>
      </c>
      <c r="D8357" s="26" t="s">
        <v>45</v>
      </c>
      <c r="E8357" s="31">
        <v>46246.0</v>
      </c>
      <c r="F8357" s="26" t="s">
        <v>46</v>
      </c>
      <c r="H8357" s="26" t="s">
        <v>8550</v>
      </c>
      <c r="I8357" s="26" t="s">
        <v>970</v>
      </c>
      <c r="J8357" s="25" t="str">
        <f t="shared" si="103"/>
        <v>Yes - see Previous F-Code</v>
      </c>
      <c r="K8357" s="25" t="str">
        <f t="shared" si="104"/>
        <v/>
      </c>
      <c r="L8357" s="25" t="str">
        <f t="shared" si="105"/>
        <v>F73730</v>
      </c>
      <c r="M8357" s="25"/>
      <c r="O8357" s="25"/>
    </row>
    <row r="8358" ht="15.75" customHeight="1">
      <c r="A8358" s="25" t="str">
        <f>IFERROR(__xludf.DUMMYFUNCTION("IF(B8358="""","""",RIGHT(REGEXREPLACE(B8358&amp;"""",""[^0-9]"",""""),9))"),"772073509")</f>
        <v>772073509</v>
      </c>
      <c r="B8358" s="52">
        <v>7.72073509E8</v>
      </c>
      <c r="C8358" s="28" t="s">
        <v>8551</v>
      </c>
      <c r="D8358" s="26" t="s">
        <v>45</v>
      </c>
      <c r="E8358" s="31">
        <v>46246.0</v>
      </c>
      <c r="F8358" s="26" t="s">
        <v>46</v>
      </c>
      <c r="G8358" s="26">
        <v>11.0</v>
      </c>
      <c r="I8358" s="26" t="s">
        <v>970</v>
      </c>
      <c r="J8358" s="25" t="str">
        <f t="shared" si="103"/>
        <v>No</v>
      </c>
      <c r="K8358" s="25" t="str">
        <f t="shared" si="104"/>
        <v/>
      </c>
      <c r="L8358" s="25" t="str">
        <f t="shared" si="105"/>
        <v/>
      </c>
      <c r="M8358" s="25"/>
      <c r="O8358" s="25"/>
    </row>
    <row r="8359" ht="15.75" customHeight="1">
      <c r="A8359" s="25" t="str">
        <f>IFERROR(__xludf.DUMMYFUNCTION("IF(B8359="""","""",RIGHT(REGEXREPLACE(B8359&amp;"""",""[^0-9]"",""""),9))"),"742539101")</f>
        <v>742539101</v>
      </c>
      <c r="B8359" s="52">
        <v>7.42539101E8</v>
      </c>
      <c r="C8359" s="28" t="s">
        <v>8552</v>
      </c>
      <c r="D8359" s="26" t="s">
        <v>45</v>
      </c>
      <c r="E8359" s="31">
        <v>46246.0</v>
      </c>
      <c r="F8359" s="26" t="s">
        <v>659</v>
      </c>
      <c r="I8359" s="26" t="s">
        <v>970</v>
      </c>
      <c r="J8359" s="25" t="str">
        <f t="shared" si="103"/>
        <v>No</v>
      </c>
      <c r="K8359" s="25" t="str">
        <f t="shared" si="104"/>
        <v/>
      </c>
      <c r="L8359" s="25" t="str">
        <f t="shared" si="105"/>
        <v/>
      </c>
      <c r="M8359" s="25"/>
      <c r="O8359" s="25"/>
    </row>
    <row r="8360" ht="15.75" customHeight="1">
      <c r="A8360" s="25" t="str">
        <f>IFERROR(__xludf.DUMMYFUNCTION("IF(B8360="""","""",RIGHT(REGEXREPLACE(B8360&amp;"""",""[^0-9]"",""""),9))"),"778848152")</f>
        <v>778848152</v>
      </c>
      <c r="B8360" s="52">
        <v>7.78848152E8</v>
      </c>
      <c r="C8360" s="28" t="s">
        <v>8553</v>
      </c>
      <c r="D8360" s="26" t="s">
        <v>45</v>
      </c>
      <c r="E8360" s="31">
        <v>46246.0</v>
      </c>
      <c r="F8360" s="26" t="s">
        <v>46</v>
      </c>
      <c r="G8360" s="26">
        <v>11.0</v>
      </c>
      <c r="I8360" s="26" t="s">
        <v>970</v>
      </c>
      <c r="J8360" s="25" t="str">
        <f t="shared" si="103"/>
        <v>No</v>
      </c>
      <c r="K8360" s="25" t="str">
        <f t="shared" si="104"/>
        <v/>
      </c>
      <c r="L8360" s="25" t="str">
        <f t="shared" si="105"/>
        <v/>
      </c>
      <c r="M8360" s="25"/>
      <c r="O8360" s="25"/>
    </row>
    <row r="8361" ht="15.75" customHeight="1">
      <c r="A8361" s="25" t="str">
        <f>IFERROR(__xludf.DUMMYFUNCTION("IF(B8361="""","""",RIGHT(REGEXREPLACE(B8361&amp;"""",""[^0-9]"",""""),9))"),"716958379")</f>
        <v>716958379</v>
      </c>
      <c r="B8361" s="52">
        <v>7.16958379E8</v>
      </c>
      <c r="C8361" s="28" t="s">
        <v>8554</v>
      </c>
      <c r="D8361" s="26" t="s">
        <v>64</v>
      </c>
      <c r="E8361" s="31">
        <v>46246.0</v>
      </c>
      <c r="F8361" s="26" t="s">
        <v>46</v>
      </c>
      <c r="H8361" s="26" t="s">
        <v>8555</v>
      </c>
      <c r="I8361" s="26" t="s">
        <v>970</v>
      </c>
      <c r="J8361" s="25" t="str">
        <f t="shared" si="103"/>
        <v>No</v>
      </c>
      <c r="K8361" s="25" t="str">
        <f t="shared" si="104"/>
        <v/>
      </c>
      <c r="L8361" s="25" t="str">
        <f t="shared" si="105"/>
        <v/>
      </c>
      <c r="M8361" s="25"/>
      <c r="O8361" s="25"/>
    </row>
    <row r="8362" ht="15.75" customHeight="1">
      <c r="A8362" s="25" t="str">
        <f>IFERROR(__xludf.DUMMYFUNCTION("IF(B8362="""","""",RIGHT(REGEXREPLACE(B8362&amp;"""",""[^0-9]"",""""),9))"),"779924543")</f>
        <v>779924543</v>
      </c>
      <c r="B8362" s="26">
        <v>7.79924543E8</v>
      </c>
      <c r="C8362" s="28" t="s">
        <v>8293</v>
      </c>
      <c r="D8362" s="26" t="s">
        <v>45</v>
      </c>
      <c r="E8362" s="31">
        <v>46246.0</v>
      </c>
      <c r="F8362" s="26" t="s">
        <v>46</v>
      </c>
      <c r="G8362" s="26">
        <v>11.0</v>
      </c>
      <c r="I8362" s="26" t="s">
        <v>970</v>
      </c>
      <c r="J8362" s="25" t="str">
        <f t="shared" si="103"/>
        <v>Yes - see Previous F-Code</v>
      </c>
      <c r="K8362" s="25" t="str">
        <f t="shared" si="104"/>
        <v>DUPLICATE - CHECK</v>
      </c>
      <c r="L8362" s="25" t="str">
        <f t="shared" si="105"/>
        <v>F77081</v>
      </c>
      <c r="M8362" s="25"/>
      <c r="O8362" s="25"/>
    </row>
    <row r="8363" ht="15.75" customHeight="1">
      <c r="A8363" s="25" t="str">
        <f>IFERROR(__xludf.DUMMYFUNCTION("IF(B8363="""","""",RIGHT(REGEXREPLACE(B8363&amp;"""",""[^0-9]"",""""),9))"),"775496403")</f>
        <v>775496403</v>
      </c>
      <c r="B8363" s="52">
        <v>7.75496403E8</v>
      </c>
      <c r="C8363" s="28" t="s">
        <v>8556</v>
      </c>
      <c r="D8363" s="26" t="s">
        <v>64</v>
      </c>
      <c r="E8363" s="31">
        <v>46246.0</v>
      </c>
      <c r="F8363" s="26" t="s">
        <v>46</v>
      </c>
      <c r="H8363" s="26" t="s">
        <v>763</v>
      </c>
      <c r="I8363" s="26" t="s">
        <v>970</v>
      </c>
      <c r="J8363" s="25" t="str">
        <f t="shared" si="103"/>
        <v>No</v>
      </c>
      <c r="K8363" s="25" t="str">
        <f t="shared" si="104"/>
        <v/>
      </c>
      <c r="L8363" s="25" t="str">
        <f t="shared" si="105"/>
        <v/>
      </c>
      <c r="M8363" s="25"/>
      <c r="O8363" s="25"/>
    </row>
    <row r="8364" ht="15.75" customHeight="1">
      <c r="A8364" s="25" t="str">
        <f>IFERROR(__xludf.DUMMYFUNCTION("IF(B8364="""","""",RIGHT(REGEXREPLACE(B8364&amp;"""",""[^0-9]"",""""),9))"),"775779555")</f>
        <v>775779555</v>
      </c>
      <c r="B8364" s="52">
        <v>7.75779555E8</v>
      </c>
      <c r="C8364" s="28" t="s">
        <v>8557</v>
      </c>
      <c r="D8364" s="26" t="s">
        <v>64</v>
      </c>
      <c r="E8364" s="31">
        <v>46246.0</v>
      </c>
      <c r="F8364" s="26" t="s">
        <v>41</v>
      </c>
      <c r="I8364" s="26" t="s">
        <v>970</v>
      </c>
      <c r="J8364" s="25" t="str">
        <f t="shared" si="103"/>
        <v>No</v>
      </c>
      <c r="K8364" s="25" t="str">
        <f t="shared" si="104"/>
        <v/>
      </c>
      <c r="L8364" s="25" t="str">
        <f t="shared" si="105"/>
        <v/>
      </c>
      <c r="M8364" s="25"/>
      <c r="O8364" s="25"/>
    </row>
    <row r="8365" ht="15.75" customHeight="1">
      <c r="A8365" s="25" t="str">
        <f>IFERROR(__xludf.DUMMYFUNCTION("IF(B8365="""","""",RIGHT(REGEXREPLACE(B8365&amp;"""",""[^0-9]"",""""),9))"),"701265441")</f>
        <v>701265441</v>
      </c>
      <c r="B8365" s="52">
        <v>7.01265441E8</v>
      </c>
      <c r="C8365" s="28" t="s">
        <v>8558</v>
      </c>
      <c r="D8365" s="26" t="s">
        <v>45</v>
      </c>
      <c r="E8365" s="31">
        <v>46246.0</v>
      </c>
      <c r="F8365" s="26" t="s">
        <v>46</v>
      </c>
      <c r="H8365" s="26" t="s">
        <v>140</v>
      </c>
      <c r="I8365" s="26" t="s">
        <v>970</v>
      </c>
      <c r="J8365" s="25" t="str">
        <f t="shared" si="103"/>
        <v>No</v>
      </c>
      <c r="K8365" s="25" t="str">
        <f t="shared" si="104"/>
        <v/>
      </c>
      <c r="L8365" s="25" t="str">
        <f t="shared" si="105"/>
        <v/>
      </c>
      <c r="M8365" s="25"/>
      <c r="O8365" s="25"/>
    </row>
    <row r="8366" ht="15.75" customHeight="1">
      <c r="A8366" s="25" t="str">
        <f>IFERROR(__xludf.DUMMYFUNCTION("IF(B8366="""","""",RIGHT(REGEXREPLACE(B8366&amp;"""",""[^0-9]"",""""),9))"),"718891836")</f>
        <v>718891836</v>
      </c>
      <c r="B8366" s="52">
        <v>7.18891836E8</v>
      </c>
      <c r="C8366" s="28" t="s">
        <v>8559</v>
      </c>
      <c r="D8366" s="26" t="s">
        <v>64</v>
      </c>
      <c r="E8366" s="31">
        <v>46246.0</v>
      </c>
      <c r="F8366" s="26" t="s">
        <v>205</v>
      </c>
      <c r="I8366" s="26" t="s">
        <v>970</v>
      </c>
      <c r="J8366" s="25" t="str">
        <f t="shared" si="103"/>
        <v>No</v>
      </c>
      <c r="K8366" s="25" t="str">
        <f t="shared" si="104"/>
        <v/>
      </c>
      <c r="L8366" s="25" t="str">
        <f t="shared" si="105"/>
        <v/>
      </c>
      <c r="M8366" s="25"/>
      <c r="O8366" s="25"/>
    </row>
    <row r="8367" ht="15.75" customHeight="1">
      <c r="A8367" s="25" t="str">
        <f>IFERROR(__xludf.DUMMYFUNCTION("IF(B8367="""","""",RIGHT(REGEXREPLACE(B8367&amp;"""",""[^0-9]"",""""),9))"),"765477497")</f>
        <v>765477497</v>
      </c>
      <c r="B8367" s="52">
        <v>7.65477497E8</v>
      </c>
      <c r="C8367" s="28" t="s">
        <v>8560</v>
      </c>
      <c r="D8367" s="26" t="s">
        <v>64</v>
      </c>
      <c r="E8367" s="31">
        <v>46246.0</v>
      </c>
      <c r="F8367" s="26" t="s">
        <v>46</v>
      </c>
      <c r="I8367" s="26" t="s">
        <v>970</v>
      </c>
      <c r="J8367" s="25" t="str">
        <f t="shared" si="103"/>
        <v>No</v>
      </c>
      <c r="K8367" s="25" t="str">
        <f t="shared" si="104"/>
        <v/>
      </c>
      <c r="L8367" s="25" t="str">
        <f t="shared" si="105"/>
        <v/>
      </c>
      <c r="M8367" s="25"/>
      <c r="O8367" s="25"/>
    </row>
    <row r="8368" ht="15.75" customHeight="1">
      <c r="A8368" s="25" t="str">
        <f>IFERROR(__xludf.DUMMYFUNCTION("IF(B8368="""","""",RIGHT(REGEXREPLACE(B8368&amp;"""",""[^0-9]"",""""),9))"),"712634778")</f>
        <v>712634778</v>
      </c>
      <c r="B8368" s="52">
        <v>7.12634778E8</v>
      </c>
      <c r="C8368" s="28" t="s">
        <v>8561</v>
      </c>
      <c r="D8368" s="26" t="s">
        <v>45</v>
      </c>
      <c r="E8368" s="31">
        <v>46246.0</v>
      </c>
      <c r="F8368" s="26" t="s">
        <v>46</v>
      </c>
      <c r="G8368" s="26">
        <v>10.0</v>
      </c>
      <c r="I8368" s="26" t="s">
        <v>970</v>
      </c>
      <c r="J8368" s="25" t="str">
        <f t="shared" si="103"/>
        <v>No</v>
      </c>
      <c r="K8368" s="25" t="str">
        <f t="shared" si="104"/>
        <v/>
      </c>
      <c r="L8368" s="25" t="str">
        <f t="shared" si="105"/>
        <v/>
      </c>
      <c r="M8368" s="25"/>
      <c r="O8368" s="25"/>
    </row>
    <row r="8369" ht="15.75" customHeight="1">
      <c r="A8369" s="25" t="str">
        <f>IFERROR(__xludf.DUMMYFUNCTION("IF(B8369="""","""",RIGHT(REGEXREPLACE(B8369&amp;"""",""[^0-9]"",""""),9))"),"719679896")</f>
        <v>719679896</v>
      </c>
      <c r="B8369" s="52">
        <v>7.19679896E8</v>
      </c>
      <c r="C8369" s="28" t="s">
        <v>8562</v>
      </c>
      <c r="D8369" s="26" t="s">
        <v>64</v>
      </c>
      <c r="E8369" s="31">
        <v>46246.0</v>
      </c>
      <c r="F8369" s="26" t="s">
        <v>46</v>
      </c>
      <c r="G8369" s="26">
        <v>11.0</v>
      </c>
      <c r="H8369" s="26" t="s">
        <v>8563</v>
      </c>
      <c r="I8369" s="26" t="s">
        <v>970</v>
      </c>
      <c r="J8369" s="25" t="str">
        <f t="shared" si="103"/>
        <v>No</v>
      </c>
      <c r="K8369" s="25" t="str">
        <f t="shared" si="104"/>
        <v/>
      </c>
      <c r="L8369" s="25" t="str">
        <f t="shared" si="105"/>
        <v/>
      </c>
      <c r="M8369" s="25"/>
      <c r="O8369" s="25"/>
    </row>
    <row r="8370" ht="15.75" customHeight="1">
      <c r="A8370" s="25" t="str">
        <f>IFERROR(__xludf.DUMMYFUNCTION("IF(B8370="""","""",RIGHT(REGEXREPLACE(B8370&amp;"""",""[^0-9]"",""""),9))"),"777856714")</f>
        <v>777856714</v>
      </c>
      <c r="B8370" s="52">
        <v>7.77856714E8</v>
      </c>
      <c r="C8370" s="28" t="s">
        <v>8564</v>
      </c>
      <c r="D8370" s="26" t="s">
        <v>45</v>
      </c>
      <c r="E8370" s="31">
        <v>46246.0</v>
      </c>
      <c r="F8370" s="26" t="s">
        <v>41</v>
      </c>
      <c r="I8370" s="26" t="s">
        <v>970</v>
      </c>
      <c r="J8370" s="25" t="str">
        <f t="shared" si="103"/>
        <v>No</v>
      </c>
      <c r="K8370" s="25" t="str">
        <f t="shared" si="104"/>
        <v/>
      </c>
      <c r="L8370" s="25" t="str">
        <f t="shared" si="105"/>
        <v/>
      </c>
      <c r="M8370" s="25"/>
      <c r="O8370" s="25"/>
    </row>
    <row r="8371" ht="15.75" customHeight="1">
      <c r="A8371" s="25" t="str">
        <f>IFERROR(__xludf.DUMMYFUNCTION("IF(B8371="""","""",RIGHT(REGEXREPLACE(B8371&amp;"""",""[^0-9]"",""""),9))"),"716279889")</f>
        <v>716279889</v>
      </c>
      <c r="B8371" s="52">
        <v>7.16279889E8</v>
      </c>
      <c r="C8371" s="28" t="s">
        <v>8565</v>
      </c>
      <c r="D8371" s="26" t="s">
        <v>64</v>
      </c>
      <c r="E8371" s="31">
        <v>46246.0</v>
      </c>
      <c r="F8371" s="26" t="s">
        <v>41</v>
      </c>
      <c r="I8371" s="26" t="s">
        <v>970</v>
      </c>
      <c r="J8371" s="25" t="str">
        <f t="shared" si="103"/>
        <v>No</v>
      </c>
      <c r="K8371" s="25" t="str">
        <f t="shared" si="104"/>
        <v/>
      </c>
      <c r="L8371" s="25" t="str">
        <f t="shared" si="105"/>
        <v/>
      </c>
      <c r="M8371" s="25"/>
      <c r="O8371" s="25"/>
    </row>
    <row r="8372" ht="15.75" customHeight="1">
      <c r="A8372" s="25" t="str">
        <f>IFERROR(__xludf.DUMMYFUNCTION("IF(B8372="""","""",RIGHT(REGEXREPLACE(B8372&amp;"""",""[^0-9]"",""""),9))"),"715131183")</f>
        <v>715131183</v>
      </c>
      <c r="B8372" s="52">
        <v>7.15131183E8</v>
      </c>
      <c r="C8372" s="28" t="s">
        <v>362</v>
      </c>
      <c r="D8372" s="26" t="s">
        <v>64</v>
      </c>
      <c r="E8372" s="31">
        <v>46246.0</v>
      </c>
      <c r="F8372" s="26" t="s">
        <v>46</v>
      </c>
      <c r="I8372" s="26" t="s">
        <v>970</v>
      </c>
      <c r="J8372" s="25" t="str">
        <f t="shared" si="103"/>
        <v>Yes - see Previous F-Code</v>
      </c>
      <c r="K8372" s="25" t="str">
        <f t="shared" si="104"/>
        <v/>
      </c>
      <c r="L8372" s="25" t="str">
        <f t="shared" si="105"/>
        <v>F70209</v>
      </c>
      <c r="M8372" s="25"/>
      <c r="O8372" s="25"/>
    </row>
    <row r="8373" ht="15.75" customHeight="1">
      <c r="A8373" s="25" t="str">
        <f>IFERROR(__xludf.DUMMYFUNCTION("IF(B8373="""","""",RIGHT(REGEXREPLACE(B8373&amp;"""",""[^0-9]"",""""),9))"),"741815590")</f>
        <v>741815590</v>
      </c>
      <c r="B8373" s="52">
        <v>7.4181559E8</v>
      </c>
      <c r="C8373" s="28" t="s">
        <v>8566</v>
      </c>
      <c r="D8373" s="26" t="s">
        <v>45</v>
      </c>
      <c r="E8373" s="31">
        <v>46246.0</v>
      </c>
      <c r="F8373" s="26" t="s">
        <v>46</v>
      </c>
      <c r="G8373" s="26">
        <v>10.0</v>
      </c>
      <c r="I8373" s="26" t="s">
        <v>970</v>
      </c>
      <c r="J8373" s="25" t="str">
        <f t="shared" si="103"/>
        <v>No</v>
      </c>
      <c r="K8373" s="25" t="str">
        <f t="shared" si="104"/>
        <v/>
      </c>
      <c r="L8373" s="25" t="str">
        <f t="shared" si="105"/>
        <v/>
      </c>
      <c r="M8373" s="25"/>
      <c r="O8373" s="25"/>
    </row>
    <row r="8374" ht="15.75" customHeight="1">
      <c r="A8374" s="25" t="str">
        <f>IFERROR(__xludf.DUMMYFUNCTION("IF(B8374="""","""",RIGHT(REGEXREPLACE(B8374&amp;"""",""[^0-9]"",""""),9))"),"786488835")</f>
        <v>786488835</v>
      </c>
      <c r="B8374" s="52">
        <v>7.86488835E8</v>
      </c>
      <c r="C8374" s="28" t="s">
        <v>8567</v>
      </c>
      <c r="D8374" s="26" t="s">
        <v>45</v>
      </c>
      <c r="E8374" s="31">
        <v>46246.0</v>
      </c>
      <c r="F8374" s="26" t="s">
        <v>46</v>
      </c>
      <c r="G8374" s="26">
        <v>10.0</v>
      </c>
      <c r="I8374" s="26" t="s">
        <v>970</v>
      </c>
      <c r="J8374" s="25" t="str">
        <f t="shared" si="103"/>
        <v>No</v>
      </c>
      <c r="K8374" s="25" t="str">
        <f t="shared" si="104"/>
        <v/>
      </c>
      <c r="L8374" s="25" t="str">
        <f t="shared" si="105"/>
        <v/>
      </c>
      <c r="M8374" s="25"/>
      <c r="O8374" s="25"/>
    </row>
    <row r="8375" ht="15.75" customHeight="1">
      <c r="A8375" s="25" t="str">
        <f>IFERROR(__xludf.DUMMYFUNCTION("IF(B8375="""","""",RIGHT(REGEXREPLACE(B8375&amp;"""",""[^0-9]"",""""),9))"),"702326102")</f>
        <v>702326102</v>
      </c>
      <c r="B8375" s="52">
        <v>7.02326102E8</v>
      </c>
      <c r="C8375" s="28" t="s">
        <v>8568</v>
      </c>
      <c r="D8375" s="26" t="s">
        <v>45</v>
      </c>
      <c r="E8375" s="31">
        <v>46246.0</v>
      </c>
      <c r="F8375" s="26" t="s">
        <v>46</v>
      </c>
      <c r="G8375" s="26">
        <v>11.0</v>
      </c>
      <c r="I8375" s="26" t="s">
        <v>970</v>
      </c>
      <c r="J8375" s="25" t="str">
        <f t="shared" si="103"/>
        <v>No</v>
      </c>
      <c r="K8375" s="25" t="str">
        <f t="shared" si="104"/>
        <v/>
      </c>
      <c r="L8375" s="25" t="str">
        <f t="shared" si="105"/>
        <v/>
      </c>
      <c r="M8375" s="25"/>
      <c r="O8375" s="25"/>
    </row>
    <row r="8376" ht="15.75" customHeight="1">
      <c r="A8376" s="25" t="str">
        <f>IFERROR(__xludf.DUMMYFUNCTION("IF(B8376="""","""",RIGHT(REGEXREPLACE(B8376&amp;"""",""[^0-9]"",""""),9))"),"726580580")</f>
        <v>726580580</v>
      </c>
      <c r="B8376" s="52">
        <v>7.2658058E8</v>
      </c>
      <c r="C8376" s="28" t="s">
        <v>8569</v>
      </c>
      <c r="D8376" s="26" t="s">
        <v>64</v>
      </c>
      <c r="E8376" s="31">
        <v>46246.0</v>
      </c>
      <c r="F8376" s="26" t="s">
        <v>46</v>
      </c>
      <c r="G8376" s="26">
        <v>11.0</v>
      </c>
      <c r="I8376" s="26" t="s">
        <v>970</v>
      </c>
      <c r="J8376" s="25" t="str">
        <f t="shared" si="103"/>
        <v>No</v>
      </c>
      <c r="K8376" s="25" t="str">
        <f t="shared" si="104"/>
        <v/>
      </c>
      <c r="L8376" s="25" t="str">
        <f t="shared" si="105"/>
        <v/>
      </c>
      <c r="M8376" s="25"/>
      <c r="O8376" s="25"/>
    </row>
    <row r="8377" ht="15.75" customHeight="1">
      <c r="A8377" s="25" t="str">
        <f>IFERROR(__xludf.DUMMYFUNCTION("IF(B8377="""","""",RIGHT(REGEXREPLACE(B8377&amp;"""",""[^0-9]"",""""),9))"),"756363380")</f>
        <v>756363380</v>
      </c>
      <c r="B8377" s="52">
        <v>7.5636338E8</v>
      </c>
      <c r="C8377" s="28" t="s">
        <v>448</v>
      </c>
      <c r="D8377" s="26" t="s">
        <v>45</v>
      </c>
      <c r="E8377" s="31">
        <v>46246.0</v>
      </c>
      <c r="F8377" s="26" t="s">
        <v>41</v>
      </c>
      <c r="I8377" s="26" t="s">
        <v>970</v>
      </c>
      <c r="J8377" s="25" t="str">
        <f t="shared" si="103"/>
        <v>Yes - see Previous F-Code</v>
      </c>
      <c r="K8377" s="25" t="str">
        <f t="shared" si="104"/>
        <v/>
      </c>
      <c r="L8377" s="25" t="str">
        <f t="shared" si="105"/>
        <v>F70281</v>
      </c>
      <c r="M8377" s="25"/>
      <c r="O8377" s="25"/>
    </row>
    <row r="8378" ht="15.75" customHeight="1">
      <c r="A8378" s="25" t="str">
        <f>IFERROR(__xludf.DUMMYFUNCTION("IF(B8378="""","""",RIGHT(REGEXREPLACE(B8378&amp;"""",""[^0-9]"",""""),9))"),"703226012")</f>
        <v>703226012</v>
      </c>
      <c r="B8378" s="52">
        <v>7.03226012E8</v>
      </c>
      <c r="C8378" s="28" t="s">
        <v>1997</v>
      </c>
      <c r="D8378" s="26" t="s">
        <v>64</v>
      </c>
      <c r="E8378" s="31">
        <v>46246.0</v>
      </c>
      <c r="F8378" s="26" t="s">
        <v>704</v>
      </c>
      <c r="H8378" s="26" t="s">
        <v>8328</v>
      </c>
      <c r="I8378" s="26" t="s">
        <v>970</v>
      </c>
      <c r="J8378" s="25" t="str">
        <f t="shared" si="103"/>
        <v>Yes - see Previous F-Code</v>
      </c>
      <c r="K8378" s="25" t="str">
        <f t="shared" si="104"/>
        <v/>
      </c>
      <c r="L8378" s="25" t="str">
        <f t="shared" si="105"/>
        <v>F71701</v>
      </c>
      <c r="M8378" s="25"/>
      <c r="O8378" s="25"/>
    </row>
    <row r="8379" ht="15.75" customHeight="1">
      <c r="A8379" s="25" t="str">
        <f>IFERROR(__xludf.DUMMYFUNCTION("IF(B8379="""","""",RIGHT(REGEXREPLACE(B8379&amp;"""",""[^0-9]"",""""),9))"),"755711559")</f>
        <v>755711559</v>
      </c>
      <c r="B8379" s="52">
        <v>7.55711559E8</v>
      </c>
      <c r="C8379" s="28" t="s">
        <v>8570</v>
      </c>
      <c r="D8379" s="26" t="s">
        <v>45</v>
      </c>
      <c r="E8379" s="31">
        <v>46246.0</v>
      </c>
      <c r="F8379" s="26" t="s">
        <v>41</v>
      </c>
      <c r="I8379" s="26" t="s">
        <v>970</v>
      </c>
      <c r="J8379" s="25" t="str">
        <f t="shared" si="103"/>
        <v>No</v>
      </c>
      <c r="K8379" s="25" t="str">
        <f t="shared" si="104"/>
        <v/>
      </c>
      <c r="L8379" s="25" t="str">
        <f t="shared" si="105"/>
        <v/>
      </c>
      <c r="M8379" s="25"/>
      <c r="O8379" s="25"/>
    </row>
    <row r="8380" ht="15.75" customHeight="1">
      <c r="A8380" s="25" t="str">
        <f>IFERROR(__xludf.DUMMYFUNCTION("IF(B8380="""","""",RIGHT(REGEXREPLACE(B8380&amp;"""",""[^0-9]"",""""),9))"),"769435463")</f>
        <v>769435463</v>
      </c>
      <c r="B8380" s="52">
        <v>7.69435463E8</v>
      </c>
      <c r="C8380" s="28" t="s">
        <v>1471</v>
      </c>
      <c r="D8380" s="26" t="s">
        <v>64</v>
      </c>
      <c r="E8380" s="31">
        <v>46246.0</v>
      </c>
      <c r="F8380" s="26" t="s">
        <v>41</v>
      </c>
      <c r="I8380" s="26" t="s">
        <v>970</v>
      </c>
      <c r="J8380" s="25" t="str">
        <f t="shared" si="103"/>
        <v>Yes - see Previous F-Code</v>
      </c>
      <c r="K8380" s="25" t="str">
        <f t="shared" si="104"/>
        <v>DUPLICATE - CHECK</v>
      </c>
      <c r="L8380" s="25" t="str">
        <f t="shared" si="105"/>
        <v>F71195</v>
      </c>
      <c r="M8380" s="25"/>
      <c r="O8380" s="25"/>
    </row>
    <row r="8381" ht="15.75" customHeight="1">
      <c r="A8381" s="25" t="str">
        <f>IFERROR(__xludf.DUMMYFUNCTION("IF(B8381="""","""",RIGHT(REGEXREPLACE(B8381&amp;"""",""[^0-9]"",""""),9))"),"703737389")</f>
        <v>703737389</v>
      </c>
      <c r="B8381" s="52">
        <v>7.03737389E8</v>
      </c>
      <c r="C8381" s="28" t="s">
        <v>8571</v>
      </c>
      <c r="D8381" s="26" t="s">
        <v>45</v>
      </c>
      <c r="E8381" s="31">
        <v>46246.0</v>
      </c>
      <c r="F8381" s="26" t="s">
        <v>46</v>
      </c>
      <c r="G8381" s="26">
        <v>10.0</v>
      </c>
      <c r="I8381" s="26" t="s">
        <v>970</v>
      </c>
      <c r="J8381" s="25" t="str">
        <f t="shared" si="103"/>
        <v>No</v>
      </c>
      <c r="K8381" s="25" t="str">
        <f t="shared" si="104"/>
        <v/>
      </c>
      <c r="L8381" s="25" t="str">
        <f t="shared" si="105"/>
        <v/>
      </c>
      <c r="M8381" s="25"/>
      <c r="O8381" s="25"/>
    </row>
    <row r="8382" ht="15.75" customHeight="1">
      <c r="A8382" s="25" t="str">
        <f>IFERROR(__xludf.DUMMYFUNCTION("IF(B8382="""","""",RIGHT(REGEXREPLACE(B8382&amp;"""",""[^0-9]"",""""),9))"),"759409641")</f>
        <v>759409641</v>
      </c>
      <c r="B8382" s="52">
        <v>7.59409641E8</v>
      </c>
      <c r="C8382" s="28" t="s">
        <v>8572</v>
      </c>
      <c r="D8382" s="26" t="s">
        <v>45</v>
      </c>
      <c r="E8382" s="31">
        <v>46246.0</v>
      </c>
      <c r="F8382" s="26" t="s">
        <v>46</v>
      </c>
      <c r="H8382" s="26" t="s">
        <v>8573</v>
      </c>
      <c r="I8382" s="26" t="s">
        <v>970</v>
      </c>
      <c r="J8382" s="25" t="str">
        <f t="shared" si="103"/>
        <v>No</v>
      </c>
      <c r="K8382" s="25" t="str">
        <f t="shared" si="104"/>
        <v/>
      </c>
      <c r="L8382" s="25" t="str">
        <f t="shared" si="105"/>
        <v/>
      </c>
      <c r="M8382" s="25"/>
      <c r="O8382" s="25"/>
    </row>
    <row r="8383" ht="15.75" customHeight="1">
      <c r="A8383" s="25" t="str">
        <f>IFERROR(__xludf.DUMMYFUNCTION("IF(B8383="""","""",RIGHT(REGEXREPLACE(B8383&amp;"""",""[^0-9]"",""""),9))"),"777409589")</f>
        <v>777409589</v>
      </c>
      <c r="B8383" s="52">
        <v>7.77409589E8</v>
      </c>
      <c r="C8383" s="28" t="s">
        <v>8574</v>
      </c>
      <c r="D8383" s="26" t="s">
        <v>45</v>
      </c>
      <c r="E8383" s="31">
        <v>46246.0</v>
      </c>
      <c r="F8383" s="26" t="s">
        <v>41</v>
      </c>
      <c r="I8383" s="26" t="s">
        <v>970</v>
      </c>
      <c r="J8383" s="25" t="str">
        <f t="shared" si="103"/>
        <v>No</v>
      </c>
      <c r="K8383" s="25" t="str">
        <f t="shared" si="104"/>
        <v/>
      </c>
      <c r="L8383" s="25" t="str">
        <f t="shared" si="105"/>
        <v/>
      </c>
      <c r="M8383" s="25"/>
      <c r="O8383" s="25"/>
    </row>
    <row r="8384" ht="15.75" customHeight="1">
      <c r="A8384" s="25" t="str">
        <f>IFERROR(__xludf.DUMMYFUNCTION("IF(B8384="""","""",RIGHT(REGEXREPLACE(B8384&amp;"""",""[^0-9]"",""""),9))"),"759664033")</f>
        <v>759664033</v>
      </c>
      <c r="B8384" s="52">
        <v>7.59664033E8</v>
      </c>
      <c r="C8384" s="28" t="s">
        <v>8575</v>
      </c>
      <c r="D8384" s="26" t="s">
        <v>64</v>
      </c>
      <c r="E8384" s="31">
        <v>46246.0</v>
      </c>
      <c r="F8384" s="26" t="s">
        <v>659</v>
      </c>
      <c r="H8384" s="26" t="s">
        <v>2293</v>
      </c>
      <c r="I8384" s="26" t="s">
        <v>970</v>
      </c>
      <c r="J8384" s="25" t="str">
        <f t="shared" si="103"/>
        <v>No</v>
      </c>
      <c r="K8384" s="25" t="str">
        <f t="shared" si="104"/>
        <v/>
      </c>
      <c r="L8384" s="25" t="str">
        <f t="shared" si="105"/>
        <v/>
      </c>
      <c r="M8384" s="25"/>
      <c r="O8384" s="25"/>
    </row>
    <row r="8385" ht="15.75" customHeight="1">
      <c r="A8385" s="25" t="str">
        <f>IFERROR(__xludf.DUMMYFUNCTION("IF(B8385="""","""",RIGHT(REGEXREPLACE(B8385&amp;"""",""[^0-9]"",""""),9))"),"774596850")</f>
        <v>774596850</v>
      </c>
      <c r="B8385" s="52">
        <v>7.7459685E8</v>
      </c>
      <c r="C8385" s="28" t="s">
        <v>8576</v>
      </c>
      <c r="D8385" s="26" t="s">
        <v>64</v>
      </c>
      <c r="E8385" s="31">
        <v>46246.0</v>
      </c>
      <c r="F8385" s="26" t="s">
        <v>46</v>
      </c>
      <c r="G8385" s="26">
        <v>10.0</v>
      </c>
      <c r="I8385" s="26" t="s">
        <v>970</v>
      </c>
      <c r="J8385" s="25" t="str">
        <f t="shared" si="103"/>
        <v>No</v>
      </c>
      <c r="K8385" s="25" t="str">
        <f t="shared" si="104"/>
        <v/>
      </c>
      <c r="L8385" s="25" t="str">
        <f t="shared" si="105"/>
        <v/>
      </c>
      <c r="M8385" s="25"/>
      <c r="O8385" s="25"/>
    </row>
    <row r="8386" ht="15.75" customHeight="1">
      <c r="A8386" s="25" t="str">
        <f>IFERROR(__xludf.DUMMYFUNCTION("IF(B8386="""","""",RIGHT(REGEXREPLACE(B8386&amp;"""",""[^0-9]"",""""),9))"),"762235833")</f>
        <v>762235833</v>
      </c>
      <c r="B8386" s="52">
        <v>7.62235833E8</v>
      </c>
      <c r="C8386" s="28" t="s">
        <v>4169</v>
      </c>
      <c r="D8386" s="26" t="s">
        <v>64</v>
      </c>
      <c r="E8386" s="31">
        <v>46246.0</v>
      </c>
      <c r="F8386" s="26" t="s">
        <v>46</v>
      </c>
      <c r="G8386" s="26">
        <v>11.0</v>
      </c>
      <c r="I8386" s="26" t="s">
        <v>970</v>
      </c>
      <c r="J8386" s="25" t="str">
        <f t="shared" si="103"/>
        <v>Yes - see Previous F-Code</v>
      </c>
      <c r="K8386" s="25" t="str">
        <f t="shared" si="104"/>
        <v/>
      </c>
      <c r="L8386" s="25" t="str">
        <f t="shared" si="105"/>
        <v>F73804</v>
      </c>
      <c r="M8386" s="25"/>
      <c r="O8386" s="25"/>
    </row>
    <row r="8387" ht="15.75" customHeight="1">
      <c r="A8387" s="25" t="str">
        <f>IFERROR(__xludf.DUMMYFUNCTION("IF(B8387="""","""",RIGHT(REGEXREPLACE(B8387&amp;"""",""[^0-9]"",""""),9))"),"710120346")</f>
        <v>710120346</v>
      </c>
      <c r="B8387" s="52">
        <v>7.10120346E8</v>
      </c>
      <c r="C8387" s="28" t="s">
        <v>2692</v>
      </c>
      <c r="D8387" s="26" t="s">
        <v>64</v>
      </c>
      <c r="E8387" s="31">
        <v>46246.0</v>
      </c>
      <c r="F8387" s="26" t="s">
        <v>205</v>
      </c>
      <c r="I8387" s="26" t="s">
        <v>970</v>
      </c>
      <c r="J8387" s="25" t="str">
        <f t="shared" si="103"/>
        <v>Yes - see Previous F-Code</v>
      </c>
      <c r="K8387" s="25" t="str">
        <f t="shared" si="104"/>
        <v/>
      </c>
      <c r="L8387" s="25" t="str">
        <f t="shared" si="105"/>
        <v>F72379</v>
      </c>
      <c r="M8387" s="25"/>
      <c r="O8387" s="25"/>
    </row>
    <row r="8388" ht="15.75" customHeight="1">
      <c r="A8388" s="25" t="str">
        <f>IFERROR(__xludf.DUMMYFUNCTION("IF(B8388="""","""",RIGHT(REGEXREPLACE(B8388&amp;"""",""[^0-9]"",""""),9))"),"703507678")</f>
        <v>703507678</v>
      </c>
      <c r="B8388" s="52">
        <v>7.03507678E8</v>
      </c>
      <c r="C8388" s="28" t="s">
        <v>8577</v>
      </c>
      <c r="D8388" s="26" t="s">
        <v>64</v>
      </c>
      <c r="E8388" s="31">
        <v>46246.0</v>
      </c>
      <c r="F8388" s="26" t="s">
        <v>46</v>
      </c>
      <c r="I8388" s="26" t="s">
        <v>970</v>
      </c>
      <c r="J8388" s="25" t="str">
        <f t="shared" si="103"/>
        <v>No</v>
      </c>
      <c r="K8388" s="25" t="str">
        <f t="shared" si="104"/>
        <v/>
      </c>
      <c r="L8388" s="25" t="str">
        <f t="shared" si="105"/>
        <v/>
      </c>
      <c r="M8388" s="25"/>
      <c r="O8388" s="25"/>
    </row>
    <row r="8389" ht="15.75" customHeight="1">
      <c r="A8389" s="25" t="str">
        <f>IFERROR(__xludf.DUMMYFUNCTION("IF(B8389="""","""",RIGHT(REGEXREPLACE(B8389&amp;"""",""[^0-9]"",""""),9))"),"777478763")</f>
        <v>777478763</v>
      </c>
      <c r="B8389" s="52">
        <v>7.77478763E8</v>
      </c>
      <c r="C8389" s="28" t="s">
        <v>8578</v>
      </c>
      <c r="D8389" s="26" t="s">
        <v>64</v>
      </c>
      <c r="E8389" s="31">
        <v>46246.0</v>
      </c>
      <c r="F8389" s="26" t="s">
        <v>41</v>
      </c>
      <c r="I8389" s="26" t="s">
        <v>970</v>
      </c>
      <c r="J8389" s="25" t="str">
        <f t="shared" si="103"/>
        <v>No</v>
      </c>
      <c r="K8389" s="25" t="str">
        <f t="shared" si="104"/>
        <v/>
      </c>
      <c r="L8389" s="25" t="str">
        <f t="shared" si="105"/>
        <v/>
      </c>
      <c r="M8389" s="25"/>
      <c r="O8389" s="25"/>
    </row>
    <row r="8390" ht="15.75" customHeight="1">
      <c r="A8390" s="25" t="str">
        <f>IFERROR(__xludf.DUMMYFUNCTION("IF(B8390="""","""",RIGHT(REGEXREPLACE(B8390&amp;"""",""[^0-9]"",""""),9))"),"741522390")</f>
        <v>741522390</v>
      </c>
      <c r="B8390" s="52">
        <v>7.4152239E8</v>
      </c>
      <c r="C8390" s="28" t="s">
        <v>8579</v>
      </c>
      <c r="D8390" s="26" t="s">
        <v>64</v>
      </c>
      <c r="E8390" s="31">
        <v>46246.0</v>
      </c>
      <c r="F8390" s="26" t="s">
        <v>41</v>
      </c>
      <c r="G8390" s="26">
        <v>9.0</v>
      </c>
      <c r="I8390" s="26" t="s">
        <v>970</v>
      </c>
      <c r="J8390" s="25" t="str">
        <f t="shared" si="103"/>
        <v>No</v>
      </c>
      <c r="K8390" s="25" t="str">
        <f t="shared" si="104"/>
        <v/>
      </c>
      <c r="L8390" s="25" t="str">
        <f t="shared" si="105"/>
        <v/>
      </c>
      <c r="M8390" s="25"/>
      <c r="O8390" s="25"/>
    </row>
    <row r="8391" ht="15.75" customHeight="1">
      <c r="A8391" s="25" t="str">
        <f>IFERROR(__xludf.DUMMYFUNCTION("IF(B8391="""","""",RIGHT(REGEXREPLACE(B8391&amp;"""",""[^0-9]"",""""),9))"),"779644885")</f>
        <v>779644885</v>
      </c>
      <c r="B8391" s="52">
        <v>7.79644885E8</v>
      </c>
      <c r="C8391" s="28" t="s">
        <v>8580</v>
      </c>
      <c r="D8391" s="26" t="s">
        <v>64</v>
      </c>
      <c r="E8391" s="31">
        <v>46246.0</v>
      </c>
      <c r="F8391" s="26" t="s">
        <v>46</v>
      </c>
      <c r="G8391" s="26">
        <v>10.0</v>
      </c>
      <c r="H8391" s="26" t="s">
        <v>8581</v>
      </c>
      <c r="I8391" s="26" t="s">
        <v>970</v>
      </c>
      <c r="J8391" s="25" t="str">
        <f t="shared" si="103"/>
        <v>No</v>
      </c>
      <c r="K8391" s="25" t="str">
        <f t="shared" si="104"/>
        <v/>
      </c>
      <c r="L8391" s="25" t="str">
        <f t="shared" si="105"/>
        <v/>
      </c>
      <c r="M8391" s="25"/>
      <c r="O8391" s="25"/>
    </row>
    <row r="8392" ht="15.75" customHeight="1">
      <c r="A8392" s="25" t="str">
        <f>IFERROR(__xludf.DUMMYFUNCTION("IF(B8392="""","""",RIGHT(REGEXREPLACE(B8392&amp;"""",""[^0-9]"",""""),9))"),"775454225")</f>
        <v>775454225</v>
      </c>
      <c r="B8392" s="52">
        <v>7.75454225E8</v>
      </c>
      <c r="C8392" s="28" t="s">
        <v>8582</v>
      </c>
      <c r="D8392" s="26" t="s">
        <v>64</v>
      </c>
      <c r="E8392" s="31">
        <v>46246.0</v>
      </c>
      <c r="F8392" s="26" t="s">
        <v>46</v>
      </c>
      <c r="G8392" s="26">
        <v>11.0</v>
      </c>
      <c r="I8392" s="26" t="s">
        <v>970</v>
      </c>
      <c r="J8392" s="25" t="str">
        <f t="shared" si="103"/>
        <v>No</v>
      </c>
      <c r="K8392" s="25" t="str">
        <f t="shared" si="104"/>
        <v/>
      </c>
      <c r="L8392" s="25" t="str">
        <f t="shared" si="105"/>
        <v/>
      </c>
      <c r="M8392" s="25"/>
      <c r="O8392" s="25"/>
    </row>
    <row r="8393" ht="15.75" customHeight="1">
      <c r="A8393" s="25" t="str">
        <f>IFERROR(__xludf.DUMMYFUNCTION("IF(B8393="""","""",RIGHT(REGEXREPLACE(B8393&amp;"""",""[^0-9]"",""""),9))"),"715439990")</f>
        <v>715439990</v>
      </c>
      <c r="B8393" s="52">
        <v>7.1543999E8</v>
      </c>
      <c r="C8393" s="28" t="s">
        <v>8583</v>
      </c>
      <c r="D8393" s="26" t="s">
        <v>64</v>
      </c>
      <c r="E8393" s="31">
        <v>46246.0</v>
      </c>
      <c r="F8393" s="26" t="s">
        <v>46</v>
      </c>
      <c r="H8393" s="26" t="s">
        <v>763</v>
      </c>
      <c r="I8393" s="26" t="s">
        <v>970</v>
      </c>
      <c r="J8393" s="25" t="str">
        <f t="shared" si="103"/>
        <v>No</v>
      </c>
      <c r="K8393" s="25" t="str">
        <f t="shared" si="104"/>
        <v/>
      </c>
      <c r="L8393" s="25" t="str">
        <f t="shared" si="105"/>
        <v/>
      </c>
      <c r="M8393" s="25"/>
      <c r="O8393" s="25"/>
    </row>
    <row r="8394" ht="15.75" customHeight="1">
      <c r="A8394" s="25" t="str">
        <f>IFERROR(__xludf.DUMMYFUNCTION("IF(B8394="""","""",RIGHT(REGEXREPLACE(B8394&amp;"""",""[^0-9]"",""""),9))"),"726301840")</f>
        <v>726301840</v>
      </c>
      <c r="B8394" s="52">
        <v>7.2630184E8</v>
      </c>
      <c r="C8394" s="28" t="s">
        <v>8584</v>
      </c>
      <c r="D8394" s="26" t="s">
        <v>82</v>
      </c>
      <c r="E8394" s="31">
        <v>46246.0</v>
      </c>
      <c r="F8394" s="26" t="s">
        <v>46</v>
      </c>
      <c r="G8394" s="26">
        <v>10.0</v>
      </c>
      <c r="I8394" s="26" t="s">
        <v>970</v>
      </c>
      <c r="J8394" s="25" t="str">
        <f t="shared" si="103"/>
        <v>No</v>
      </c>
      <c r="K8394" s="25" t="str">
        <f t="shared" si="104"/>
        <v/>
      </c>
      <c r="L8394" s="25" t="str">
        <f t="shared" si="105"/>
        <v/>
      </c>
      <c r="M8394" s="25"/>
      <c r="O8394" s="25"/>
    </row>
    <row r="8395" ht="15.75" customHeight="1">
      <c r="A8395" s="25" t="str">
        <f>IFERROR(__xludf.DUMMYFUNCTION("IF(B8395="""","""",RIGHT(REGEXREPLACE(B8395&amp;"""",""[^0-9]"",""""),9))"),"704081179")</f>
        <v>704081179</v>
      </c>
      <c r="B8395" s="52">
        <v>7.04081179E8</v>
      </c>
      <c r="C8395" s="28" t="s">
        <v>8585</v>
      </c>
      <c r="D8395" s="26" t="s">
        <v>64</v>
      </c>
      <c r="E8395" s="31">
        <v>46246.0</v>
      </c>
      <c r="F8395" s="26" t="s">
        <v>46</v>
      </c>
      <c r="G8395" s="26">
        <v>11.0</v>
      </c>
      <c r="I8395" s="26" t="s">
        <v>970</v>
      </c>
      <c r="J8395" s="25" t="str">
        <f t="shared" si="103"/>
        <v>No</v>
      </c>
      <c r="K8395" s="25" t="str">
        <f t="shared" si="104"/>
        <v/>
      </c>
      <c r="L8395" s="25" t="str">
        <f t="shared" si="105"/>
        <v/>
      </c>
      <c r="M8395" s="25"/>
      <c r="O8395" s="25"/>
    </row>
    <row r="8396" ht="15.75" customHeight="1">
      <c r="A8396" s="25" t="str">
        <f>IFERROR(__xludf.DUMMYFUNCTION("IF(B8396="""","""",RIGHT(REGEXREPLACE(B8396&amp;"""",""[^0-9]"",""""),9))"),"754724095")</f>
        <v>754724095</v>
      </c>
      <c r="B8396" s="52">
        <v>7.54724095E8</v>
      </c>
      <c r="C8396" s="28" t="s">
        <v>8586</v>
      </c>
      <c r="D8396" s="26" t="s">
        <v>64</v>
      </c>
      <c r="E8396" s="31">
        <v>46246.0</v>
      </c>
      <c r="F8396" s="26" t="s">
        <v>41</v>
      </c>
      <c r="I8396" s="26" t="s">
        <v>970</v>
      </c>
      <c r="J8396" s="25" t="str">
        <f t="shared" si="103"/>
        <v>No</v>
      </c>
      <c r="K8396" s="25" t="str">
        <f t="shared" si="104"/>
        <v/>
      </c>
      <c r="L8396" s="25" t="str">
        <f t="shared" si="105"/>
        <v/>
      </c>
      <c r="M8396" s="25"/>
      <c r="O8396" s="25"/>
    </row>
    <row r="8397" ht="15.75" customHeight="1">
      <c r="A8397" s="25" t="str">
        <f>IFERROR(__xludf.DUMMYFUNCTION("IF(B8397="""","""",RIGHT(REGEXREPLACE(B8397&amp;"""",""[^0-9]"",""""),9))"),"778081824")</f>
        <v>778081824</v>
      </c>
      <c r="B8397" s="52">
        <v>7.78081824E8</v>
      </c>
      <c r="C8397" s="28" t="s">
        <v>8584</v>
      </c>
      <c r="D8397" s="26" t="s">
        <v>64</v>
      </c>
      <c r="E8397" s="31">
        <v>46246.0</v>
      </c>
      <c r="F8397" s="26" t="s">
        <v>41</v>
      </c>
      <c r="I8397" s="26" t="s">
        <v>970</v>
      </c>
      <c r="J8397" s="25" t="str">
        <f t="shared" si="103"/>
        <v>No</v>
      </c>
      <c r="K8397" s="25" t="str">
        <f t="shared" si="104"/>
        <v/>
      </c>
      <c r="L8397" s="25" t="str">
        <f t="shared" si="105"/>
        <v/>
      </c>
      <c r="M8397" s="25"/>
      <c r="O8397" s="25"/>
    </row>
    <row r="8398" ht="15.75" customHeight="1">
      <c r="A8398" s="25" t="str">
        <f>IFERROR(__xludf.DUMMYFUNCTION("IF(B8398="""","""",RIGHT(REGEXREPLACE(B8398&amp;"""",""[^0-9]"",""""),9))"),"706717282")</f>
        <v>706717282</v>
      </c>
      <c r="B8398" s="52">
        <v>7.06717282E8</v>
      </c>
      <c r="C8398" s="28" t="s">
        <v>1969</v>
      </c>
      <c r="D8398" s="26" t="s">
        <v>64</v>
      </c>
      <c r="E8398" s="31">
        <v>46246.0</v>
      </c>
      <c r="F8398" s="26" t="s">
        <v>46</v>
      </c>
      <c r="G8398" s="26">
        <v>11.0</v>
      </c>
      <c r="I8398" s="26" t="s">
        <v>970</v>
      </c>
      <c r="J8398" s="25" t="str">
        <f t="shared" si="103"/>
        <v>Yes - see Previous F-Code</v>
      </c>
      <c r="K8398" s="25" t="str">
        <f t="shared" si="104"/>
        <v/>
      </c>
      <c r="L8398" s="25" t="str">
        <f t="shared" si="105"/>
        <v>F71673</v>
      </c>
      <c r="M8398" s="25"/>
      <c r="O8398" s="25"/>
    </row>
    <row r="8399" ht="15.75" customHeight="1">
      <c r="A8399" s="25" t="str">
        <f>IFERROR(__xludf.DUMMYFUNCTION("IF(B8399="""","""",RIGHT(REGEXREPLACE(B8399&amp;"""",""[^0-9]"",""""),9))"),"713574657")</f>
        <v>713574657</v>
      </c>
      <c r="B8399" s="52">
        <v>4.713574657E9</v>
      </c>
      <c r="C8399" s="28" t="s">
        <v>8587</v>
      </c>
      <c r="D8399" s="26" t="s">
        <v>64</v>
      </c>
      <c r="E8399" s="31">
        <v>46246.0</v>
      </c>
      <c r="F8399" s="26" t="s">
        <v>41</v>
      </c>
      <c r="I8399" s="26" t="s">
        <v>970</v>
      </c>
      <c r="J8399" s="25" t="str">
        <f t="shared" si="103"/>
        <v>No</v>
      </c>
      <c r="K8399" s="25" t="str">
        <f t="shared" si="104"/>
        <v/>
      </c>
      <c r="L8399" s="25" t="str">
        <f t="shared" si="105"/>
        <v/>
      </c>
      <c r="M8399" s="25"/>
      <c r="O8399" s="25"/>
    </row>
    <row r="8400" ht="15.75" customHeight="1">
      <c r="A8400" s="25" t="str">
        <f>IFERROR(__xludf.DUMMYFUNCTION("IF(B8400="""","""",RIGHT(REGEXREPLACE(B8400&amp;"""",""[^0-9]"",""""),9))"),"714548388")</f>
        <v>714548388</v>
      </c>
      <c r="B8400" s="52">
        <v>7.14548388E8</v>
      </c>
      <c r="C8400" s="28" t="s">
        <v>8588</v>
      </c>
      <c r="D8400" s="26" t="s">
        <v>82</v>
      </c>
      <c r="E8400" s="31">
        <v>46246.0</v>
      </c>
      <c r="F8400" s="26" t="s">
        <v>205</v>
      </c>
      <c r="I8400" s="26" t="s">
        <v>970</v>
      </c>
      <c r="J8400" s="25" t="str">
        <f t="shared" si="103"/>
        <v>No</v>
      </c>
      <c r="K8400" s="25" t="str">
        <f t="shared" si="104"/>
        <v/>
      </c>
      <c r="L8400" s="25" t="str">
        <f t="shared" si="105"/>
        <v/>
      </c>
      <c r="M8400" s="25"/>
      <c r="O8400" s="25"/>
    </row>
    <row r="8401" ht="15.75" customHeight="1">
      <c r="A8401" s="25" t="str">
        <f>IFERROR(__xludf.DUMMYFUNCTION("IF(B8401="""","""",RIGHT(REGEXREPLACE(B8401&amp;"""",""[^0-9]"",""""),9))"),"761772529")</f>
        <v>761772529</v>
      </c>
      <c r="B8401" s="52">
        <v>4.761772529E9</v>
      </c>
      <c r="C8401" s="28" t="s">
        <v>8589</v>
      </c>
      <c r="D8401" s="26" t="s">
        <v>64</v>
      </c>
      <c r="E8401" s="31">
        <v>46246.0</v>
      </c>
      <c r="F8401" s="26" t="s">
        <v>46</v>
      </c>
      <c r="G8401" s="26">
        <v>11.0</v>
      </c>
      <c r="I8401" s="26" t="s">
        <v>970</v>
      </c>
      <c r="J8401" s="25" t="str">
        <f t="shared" si="103"/>
        <v>No</v>
      </c>
      <c r="K8401" s="25" t="str">
        <f t="shared" si="104"/>
        <v/>
      </c>
      <c r="L8401" s="25" t="str">
        <f t="shared" si="105"/>
        <v/>
      </c>
      <c r="M8401" s="25"/>
      <c r="O8401" s="25"/>
    </row>
    <row r="8402" ht="15.75" customHeight="1">
      <c r="A8402" s="25" t="str">
        <f>IFERROR(__xludf.DUMMYFUNCTION("IF(B8402="""","""",RIGHT(REGEXREPLACE(B8402&amp;"""",""[^0-9]"",""""),9))"),"778241843")</f>
        <v>778241843</v>
      </c>
      <c r="B8402" s="52">
        <v>7.78241843E8</v>
      </c>
      <c r="C8402" s="28" t="s">
        <v>420</v>
      </c>
      <c r="D8402" s="26" t="s">
        <v>82</v>
      </c>
      <c r="E8402" s="31">
        <v>46246.0</v>
      </c>
      <c r="F8402" s="26" t="s">
        <v>46</v>
      </c>
      <c r="H8402" s="26" t="s">
        <v>8590</v>
      </c>
      <c r="I8402" s="26" t="s">
        <v>970</v>
      </c>
      <c r="J8402" s="25" t="str">
        <f t="shared" si="103"/>
        <v>Yes - see Previous F-Code</v>
      </c>
      <c r="K8402" s="25" t="str">
        <f t="shared" si="104"/>
        <v/>
      </c>
      <c r="L8402" s="25" t="str">
        <f t="shared" si="105"/>
        <v>F70258</v>
      </c>
      <c r="M8402" s="25"/>
      <c r="O8402" s="25"/>
    </row>
    <row r="8403" ht="15.75" customHeight="1">
      <c r="A8403" s="25" t="str">
        <f>IFERROR(__xludf.DUMMYFUNCTION("IF(B8403="""","""",RIGHT(REGEXREPLACE(B8403&amp;"""",""[^0-9]"",""""),9))"),"717981384")</f>
        <v>717981384</v>
      </c>
      <c r="B8403" s="52">
        <v>7.17981384E8</v>
      </c>
      <c r="C8403" s="28" t="s">
        <v>8591</v>
      </c>
      <c r="D8403" s="26" t="s">
        <v>64</v>
      </c>
      <c r="E8403" s="31">
        <v>46246.0</v>
      </c>
      <c r="F8403" s="26" t="s">
        <v>659</v>
      </c>
      <c r="G8403" s="26">
        <v>11.0</v>
      </c>
      <c r="I8403" s="26" t="s">
        <v>970</v>
      </c>
      <c r="J8403" s="25" t="str">
        <f t="shared" si="103"/>
        <v>No</v>
      </c>
      <c r="K8403" s="25" t="str">
        <f t="shared" si="104"/>
        <v/>
      </c>
      <c r="L8403" s="25" t="str">
        <f t="shared" si="105"/>
        <v/>
      </c>
      <c r="M8403" s="25"/>
      <c r="O8403" s="25"/>
    </row>
    <row r="8404" ht="15.75" customHeight="1">
      <c r="A8404" s="25" t="str">
        <f>IFERROR(__xludf.DUMMYFUNCTION("IF(B8404="""","""",RIGHT(REGEXREPLACE(B8404&amp;"""",""[^0-9]"",""""),9))"),"775235591")</f>
        <v>775235591</v>
      </c>
      <c r="B8404" s="52">
        <v>7.75235591E8</v>
      </c>
      <c r="C8404" s="28" t="s">
        <v>4309</v>
      </c>
      <c r="D8404" s="26" t="s">
        <v>82</v>
      </c>
      <c r="E8404" s="31">
        <v>46246.0</v>
      </c>
      <c r="F8404" s="26" t="s">
        <v>41</v>
      </c>
      <c r="I8404" s="26" t="s">
        <v>970</v>
      </c>
      <c r="J8404" s="25" t="str">
        <f t="shared" si="103"/>
        <v>Yes - see Previous F-Code</v>
      </c>
      <c r="K8404" s="25" t="str">
        <f t="shared" si="104"/>
        <v/>
      </c>
      <c r="L8404" s="25" t="str">
        <f t="shared" si="105"/>
        <v>F73936</v>
      </c>
      <c r="M8404" s="25"/>
      <c r="O8404" s="25"/>
    </row>
    <row r="8405" ht="15.75" customHeight="1">
      <c r="A8405" s="25" t="str">
        <f>IFERROR(__xludf.DUMMYFUNCTION("IF(B8405="""","""",RIGHT(REGEXREPLACE(B8405&amp;"""",""[^0-9]"",""""),9))"),"755308033")</f>
        <v>755308033</v>
      </c>
      <c r="B8405" s="52">
        <v>7.55308033E8</v>
      </c>
      <c r="C8405" s="28" t="s">
        <v>8592</v>
      </c>
      <c r="D8405" s="26" t="s">
        <v>45</v>
      </c>
      <c r="E8405" s="31">
        <v>46246.0</v>
      </c>
      <c r="F8405" s="26" t="s">
        <v>46</v>
      </c>
      <c r="G8405" s="26">
        <v>10.0</v>
      </c>
      <c r="I8405" s="26" t="s">
        <v>970</v>
      </c>
      <c r="J8405" s="25" t="str">
        <f t="shared" si="103"/>
        <v>No</v>
      </c>
      <c r="K8405" s="25" t="str">
        <f t="shared" si="104"/>
        <v/>
      </c>
      <c r="L8405" s="25" t="str">
        <f t="shared" si="105"/>
        <v/>
      </c>
      <c r="M8405" s="25"/>
      <c r="O8405" s="25"/>
    </row>
    <row r="8406" ht="15.75" customHeight="1">
      <c r="A8406" s="25" t="str">
        <f>IFERROR(__xludf.DUMMYFUNCTION("IF(B8406="""","""",RIGHT(REGEXREPLACE(B8406&amp;"""",""[^0-9]"",""""),9))"),"702176875")</f>
        <v>702176875</v>
      </c>
      <c r="B8406" s="52">
        <v>7.02176875E8</v>
      </c>
      <c r="C8406" s="28" t="s">
        <v>8593</v>
      </c>
      <c r="D8406" s="26" t="s">
        <v>64</v>
      </c>
      <c r="E8406" s="31">
        <v>46246.0</v>
      </c>
      <c r="F8406" s="26" t="s">
        <v>46</v>
      </c>
      <c r="H8406" s="26" t="s">
        <v>78</v>
      </c>
      <c r="I8406" s="26" t="s">
        <v>970</v>
      </c>
      <c r="J8406" s="25" t="str">
        <f t="shared" si="103"/>
        <v>No</v>
      </c>
      <c r="K8406" s="25" t="str">
        <f t="shared" si="104"/>
        <v/>
      </c>
      <c r="L8406" s="25" t="str">
        <f t="shared" si="105"/>
        <v/>
      </c>
      <c r="M8406" s="25"/>
      <c r="O8406" s="25"/>
    </row>
    <row r="8407" ht="15.75" customHeight="1">
      <c r="A8407" s="25" t="str">
        <f>IFERROR(__xludf.DUMMYFUNCTION("IF(B8407="""","""",RIGHT(REGEXREPLACE(B8407&amp;"""",""[^0-9]"",""""),9))"),"764052256")</f>
        <v>764052256</v>
      </c>
      <c r="B8407" s="52">
        <v>7.64052256E8</v>
      </c>
      <c r="C8407" s="28" t="s">
        <v>8594</v>
      </c>
      <c r="D8407" s="26" t="s">
        <v>82</v>
      </c>
      <c r="E8407" s="31">
        <v>46246.0</v>
      </c>
      <c r="F8407" s="26" t="s">
        <v>205</v>
      </c>
      <c r="I8407" s="26" t="s">
        <v>970</v>
      </c>
      <c r="J8407" s="25" t="str">
        <f t="shared" si="103"/>
        <v>No</v>
      </c>
      <c r="K8407" s="25" t="str">
        <f t="shared" si="104"/>
        <v/>
      </c>
      <c r="L8407" s="25" t="str">
        <f t="shared" si="105"/>
        <v/>
      </c>
      <c r="M8407" s="25"/>
      <c r="O8407" s="25"/>
    </row>
    <row r="8408" ht="15.75" customHeight="1">
      <c r="A8408" s="25" t="str">
        <f>IFERROR(__xludf.DUMMYFUNCTION("IF(B8408="""","""",RIGHT(REGEXREPLACE(B8408&amp;"""",""[^0-9]"",""""),9))"),"770206619")</f>
        <v>770206619</v>
      </c>
      <c r="B8408" s="52">
        <v>7.70206619E8</v>
      </c>
      <c r="C8408" s="28" t="s">
        <v>8595</v>
      </c>
      <c r="D8408" s="26" t="s">
        <v>82</v>
      </c>
      <c r="E8408" s="31">
        <v>46246.0</v>
      </c>
      <c r="F8408" s="26" t="s">
        <v>41</v>
      </c>
      <c r="I8408" s="26" t="s">
        <v>970</v>
      </c>
      <c r="J8408" s="25" t="str">
        <f t="shared" si="103"/>
        <v>No</v>
      </c>
      <c r="K8408" s="25" t="str">
        <f t="shared" si="104"/>
        <v/>
      </c>
      <c r="L8408" s="25" t="str">
        <f t="shared" si="105"/>
        <v/>
      </c>
      <c r="M8408" s="25"/>
      <c r="O8408" s="25"/>
    </row>
    <row r="8409" ht="15.75" customHeight="1">
      <c r="A8409" s="25" t="str">
        <f>IFERROR(__xludf.DUMMYFUNCTION("IF(B8409="""","""",RIGHT(REGEXREPLACE(B8409&amp;"""",""[^0-9]"",""""),9))"),"769778403")</f>
        <v>769778403</v>
      </c>
      <c r="B8409" s="52">
        <v>7.69778403E8</v>
      </c>
      <c r="C8409" s="28" t="s">
        <v>8596</v>
      </c>
      <c r="D8409" s="26" t="s">
        <v>82</v>
      </c>
      <c r="E8409" s="31">
        <v>46252.0</v>
      </c>
      <c r="F8409" s="26" t="s">
        <v>46</v>
      </c>
      <c r="I8409" s="26" t="s">
        <v>970</v>
      </c>
      <c r="J8409" s="25" t="str">
        <f t="shared" si="103"/>
        <v>No</v>
      </c>
      <c r="K8409" s="25" t="str">
        <f t="shared" si="104"/>
        <v/>
      </c>
      <c r="L8409" s="25" t="str">
        <f t="shared" si="105"/>
        <v/>
      </c>
      <c r="M8409" s="25"/>
      <c r="O8409" s="25"/>
    </row>
    <row r="8410" ht="15.75" customHeight="1">
      <c r="A8410" s="25" t="str">
        <f>IFERROR(__xludf.DUMMYFUNCTION("IF(B8410="""","""",RIGHT(REGEXREPLACE(B8410&amp;"""",""[^0-9]"",""""),9))"),"775246601")</f>
        <v>775246601</v>
      </c>
      <c r="B8410" s="52">
        <v>7.75246601E8</v>
      </c>
      <c r="C8410" s="28" t="s">
        <v>3918</v>
      </c>
      <c r="D8410" s="26" t="s">
        <v>64</v>
      </c>
      <c r="E8410" s="31">
        <v>46246.0</v>
      </c>
      <c r="F8410" s="26" t="s">
        <v>41</v>
      </c>
      <c r="I8410" s="26" t="s">
        <v>970</v>
      </c>
      <c r="J8410" s="25" t="str">
        <f t="shared" si="103"/>
        <v>Yes - see Previous F-Code</v>
      </c>
      <c r="K8410" s="25" t="str">
        <f t="shared" si="104"/>
        <v/>
      </c>
      <c r="L8410" s="25" t="str">
        <f t="shared" si="105"/>
        <v>F73565</v>
      </c>
      <c r="M8410" s="25"/>
      <c r="O8410" s="25"/>
    </row>
    <row r="8411" ht="15.75" customHeight="1">
      <c r="A8411" s="25" t="str">
        <f>IFERROR(__xludf.DUMMYFUNCTION("IF(B8411="""","""",RIGHT(REGEXREPLACE(B8411&amp;"""",""[^0-9]"",""""),9))"),"775727415")</f>
        <v>775727415</v>
      </c>
      <c r="B8411" s="52">
        <v>7.75727415E8</v>
      </c>
      <c r="C8411" s="28" t="s">
        <v>1936</v>
      </c>
      <c r="D8411" s="26" t="s">
        <v>45</v>
      </c>
      <c r="E8411" s="31">
        <v>46246.0</v>
      </c>
      <c r="F8411" s="26" t="s">
        <v>41</v>
      </c>
      <c r="I8411" s="26" t="s">
        <v>970</v>
      </c>
      <c r="J8411" s="25" t="str">
        <f t="shared" si="103"/>
        <v>Yes - see Previous F-Code</v>
      </c>
      <c r="K8411" s="25" t="str">
        <f t="shared" si="104"/>
        <v/>
      </c>
      <c r="L8411" s="25" t="str">
        <f t="shared" si="105"/>
        <v>F71642</v>
      </c>
      <c r="M8411" s="25"/>
      <c r="O8411" s="25"/>
    </row>
    <row r="8412" ht="15.75" customHeight="1">
      <c r="A8412" s="25" t="str">
        <f>IFERROR(__xludf.DUMMYFUNCTION("IF(B8412="""","""",RIGHT(REGEXREPLACE(B8412&amp;"""",""[^0-9]"",""""),9))"),"773878386")</f>
        <v>773878386</v>
      </c>
      <c r="B8412" s="52">
        <v>7.73878386E8</v>
      </c>
      <c r="C8412" s="28" t="s">
        <v>8597</v>
      </c>
      <c r="D8412" s="26" t="s">
        <v>82</v>
      </c>
      <c r="E8412" s="31">
        <v>46246.0</v>
      </c>
      <c r="F8412" s="26" t="s">
        <v>46</v>
      </c>
      <c r="G8412" s="26">
        <v>11.0</v>
      </c>
      <c r="I8412" s="26" t="s">
        <v>970</v>
      </c>
      <c r="J8412" s="25" t="str">
        <f t="shared" si="103"/>
        <v>No</v>
      </c>
      <c r="K8412" s="25" t="str">
        <f t="shared" si="104"/>
        <v/>
      </c>
      <c r="L8412" s="25" t="str">
        <f t="shared" si="105"/>
        <v/>
      </c>
      <c r="M8412" s="25"/>
      <c r="O8412" s="25"/>
    </row>
    <row r="8413" ht="15.75" customHeight="1">
      <c r="A8413" s="25" t="str">
        <f>IFERROR(__xludf.DUMMYFUNCTION("IF(B8413="""","""",RIGHT(REGEXREPLACE(B8413&amp;"""",""[^0-9]"",""""),9))"),"771425581")</f>
        <v>771425581</v>
      </c>
      <c r="B8413" s="52">
        <v>4.771425581E9</v>
      </c>
      <c r="C8413" s="28" t="s">
        <v>8598</v>
      </c>
      <c r="D8413" s="26" t="s">
        <v>64</v>
      </c>
      <c r="E8413" s="31">
        <v>46246.0</v>
      </c>
      <c r="F8413" s="26" t="s">
        <v>46</v>
      </c>
      <c r="G8413" s="26">
        <v>11.0</v>
      </c>
      <c r="I8413" s="26" t="s">
        <v>970</v>
      </c>
      <c r="J8413" s="25" t="str">
        <f t="shared" si="103"/>
        <v>No</v>
      </c>
      <c r="K8413" s="25" t="str">
        <f t="shared" si="104"/>
        <v/>
      </c>
      <c r="L8413" s="25" t="str">
        <f t="shared" si="105"/>
        <v/>
      </c>
      <c r="M8413" s="25"/>
      <c r="O8413" s="25"/>
    </row>
    <row r="8414" ht="15.75" customHeight="1">
      <c r="A8414" s="25" t="str">
        <f>IFERROR(__xludf.DUMMYFUNCTION("IF(B8414="""","""",RIGHT(REGEXREPLACE(B8414&amp;"""",""[^0-9]"",""""),9))"),"715748732")</f>
        <v>715748732</v>
      </c>
      <c r="B8414" s="52">
        <v>7.15748732E8</v>
      </c>
      <c r="C8414" s="28" t="s">
        <v>8599</v>
      </c>
      <c r="D8414" s="26" t="s">
        <v>45</v>
      </c>
      <c r="E8414" s="31">
        <v>46246.0</v>
      </c>
      <c r="F8414" s="26" t="s">
        <v>46</v>
      </c>
      <c r="G8414" s="26">
        <v>6.0</v>
      </c>
      <c r="H8414" s="26" t="s">
        <v>8600</v>
      </c>
      <c r="I8414" s="26" t="s">
        <v>970</v>
      </c>
      <c r="J8414" s="25" t="str">
        <f t="shared" si="103"/>
        <v>No</v>
      </c>
      <c r="K8414" s="25" t="str">
        <f t="shared" si="104"/>
        <v/>
      </c>
      <c r="L8414" s="25" t="str">
        <f t="shared" si="105"/>
        <v/>
      </c>
      <c r="M8414" s="25"/>
      <c r="O8414" s="25"/>
    </row>
    <row r="8415" ht="15.75" customHeight="1">
      <c r="A8415" s="25" t="str">
        <f>IFERROR(__xludf.DUMMYFUNCTION("IF(B8415="""","""",RIGHT(REGEXREPLACE(B8415&amp;"""",""[^0-9]"",""""),9))"),"778983545")</f>
        <v>778983545</v>
      </c>
      <c r="B8415" s="52">
        <v>7.78983545E8</v>
      </c>
      <c r="C8415" s="28" t="s">
        <v>8601</v>
      </c>
      <c r="D8415" s="26" t="s">
        <v>82</v>
      </c>
      <c r="E8415" s="31">
        <v>46246.0</v>
      </c>
      <c r="F8415" s="26" t="s">
        <v>205</v>
      </c>
      <c r="I8415" s="26" t="s">
        <v>970</v>
      </c>
      <c r="J8415" s="25" t="str">
        <f t="shared" si="103"/>
        <v>No</v>
      </c>
      <c r="K8415" s="25" t="str">
        <f t="shared" si="104"/>
        <v/>
      </c>
      <c r="L8415" s="25" t="str">
        <f t="shared" si="105"/>
        <v/>
      </c>
      <c r="M8415" s="25"/>
      <c r="O8415" s="25"/>
    </row>
    <row r="8416" ht="15.75" customHeight="1">
      <c r="A8416" s="25" t="str">
        <f>IFERROR(__xludf.DUMMYFUNCTION("IF(B8416="""","""",RIGHT(REGEXREPLACE(B8416&amp;"""",""[^0-9]"",""""),9))"),"705224770")</f>
        <v>705224770</v>
      </c>
      <c r="B8416" s="52">
        <v>7.0522477E8</v>
      </c>
      <c r="C8416" s="28" t="s">
        <v>8602</v>
      </c>
      <c r="D8416" s="26" t="s">
        <v>64</v>
      </c>
      <c r="E8416" s="31">
        <v>46246.0</v>
      </c>
      <c r="F8416" s="26" t="s">
        <v>41</v>
      </c>
      <c r="I8416" s="26" t="s">
        <v>970</v>
      </c>
      <c r="J8416" s="25" t="str">
        <f t="shared" si="103"/>
        <v>No</v>
      </c>
      <c r="K8416" s="25" t="str">
        <f t="shared" si="104"/>
        <v/>
      </c>
      <c r="L8416" s="25" t="str">
        <f t="shared" si="105"/>
        <v/>
      </c>
      <c r="M8416" s="25"/>
      <c r="O8416" s="25"/>
    </row>
    <row r="8417" ht="15.75" customHeight="1">
      <c r="A8417" s="25" t="str">
        <f>IFERROR(__xludf.DUMMYFUNCTION("IF(B8417="""","""",RIGHT(REGEXREPLACE(B8417&amp;"""",""[^0-9]"",""""),9))"),"777663600")</f>
        <v>777663600</v>
      </c>
      <c r="B8417" s="52">
        <v>7.776636E8</v>
      </c>
      <c r="C8417" s="28" t="s">
        <v>2762</v>
      </c>
      <c r="D8417" s="26" t="s">
        <v>82</v>
      </c>
      <c r="E8417" s="31">
        <v>46246.0</v>
      </c>
      <c r="F8417" s="26" t="s">
        <v>46</v>
      </c>
      <c r="I8417" s="26" t="s">
        <v>970</v>
      </c>
      <c r="J8417" s="25" t="str">
        <f t="shared" si="103"/>
        <v>Yes - see Previous F-Code</v>
      </c>
      <c r="K8417" s="25" t="str">
        <f t="shared" si="104"/>
        <v/>
      </c>
      <c r="L8417" s="25" t="str">
        <f t="shared" si="105"/>
        <v>F72449</v>
      </c>
      <c r="M8417" s="25"/>
      <c r="O8417" s="25"/>
    </row>
    <row r="8418" ht="15.75" customHeight="1">
      <c r="A8418" s="25" t="str">
        <f>IFERROR(__xludf.DUMMYFUNCTION("IF(B8418="""","""",RIGHT(REGEXREPLACE(B8418&amp;"""",""[^0-9]"",""""),9))"),"778764020")</f>
        <v>778764020</v>
      </c>
      <c r="B8418" s="52">
        <v>7.7876402E8</v>
      </c>
      <c r="C8418" s="28" t="s">
        <v>8603</v>
      </c>
      <c r="D8418" s="26" t="s">
        <v>45</v>
      </c>
      <c r="E8418" s="31">
        <v>46246.0</v>
      </c>
      <c r="F8418" s="26" t="s">
        <v>46</v>
      </c>
      <c r="G8418" s="26">
        <v>9.0</v>
      </c>
      <c r="I8418" s="26" t="s">
        <v>970</v>
      </c>
      <c r="J8418" s="25" t="str">
        <f t="shared" si="103"/>
        <v>No</v>
      </c>
      <c r="K8418" s="25" t="str">
        <f t="shared" si="104"/>
        <v/>
      </c>
      <c r="L8418" s="25" t="str">
        <f t="shared" si="105"/>
        <v/>
      </c>
      <c r="M8418" s="25"/>
      <c r="O8418" s="25"/>
    </row>
    <row r="8419" ht="15.75" customHeight="1">
      <c r="A8419" s="25" t="str">
        <f>IFERROR(__xludf.DUMMYFUNCTION("IF(B8419="""","""",RIGHT(REGEXREPLACE(B8419&amp;"""",""[^0-9]"",""""),9))"),"781470625")</f>
        <v>781470625</v>
      </c>
      <c r="B8419" s="52">
        <v>7.81470625E8</v>
      </c>
      <c r="C8419" s="28" t="s">
        <v>8604</v>
      </c>
      <c r="D8419" s="26" t="s">
        <v>45</v>
      </c>
      <c r="E8419" s="31">
        <v>46246.0</v>
      </c>
      <c r="F8419" s="26" t="s">
        <v>41</v>
      </c>
      <c r="I8419" s="26" t="s">
        <v>970</v>
      </c>
      <c r="J8419" s="25" t="str">
        <f t="shared" si="103"/>
        <v>No</v>
      </c>
      <c r="K8419" s="25" t="str">
        <f t="shared" si="104"/>
        <v/>
      </c>
      <c r="L8419" s="25" t="str">
        <f t="shared" si="105"/>
        <v/>
      </c>
      <c r="M8419" s="25"/>
      <c r="O8419" s="25"/>
    </row>
    <row r="8420" ht="15.75" customHeight="1">
      <c r="A8420" s="25" t="str">
        <f>IFERROR(__xludf.DUMMYFUNCTION("IF(B8420="""","""",RIGHT(REGEXREPLACE(B8420&amp;"""",""[^0-9]"",""""),9))"),"757965854")</f>
        <v>757965854</v>
      </c>
      <c r="B8420" s="52">
        <v>7.57965854E8</v>
      </c>
      <c r="C8420" s="28" t="s">
        <v>8605</v>
      </c>
      <c r="D8420" s="26" t="s">
        <v>45</v>
      </c>
      <c r="E8420" s="31">
        <v>46246.0</v>
      </c>
      <c r="F8420" s="26" t="s">
        <v>205</v>
      </c>
      <c r="I8420" s="26" t="s">
        <v>970</v>
      </c>
      <c r="J8420" s="25" t="str">
        <f t="shared" si="103"/>
        <v>No</v>
      </c>
      <c r="K8420" s="25" t="str">
        <f t="shared" si="104"/>
        <v/>
      </c>
      <c r="L8420" s="25" t="str">
        <f t="shared" si="105"/>
        <v/>
      </c>
      <c r="M8420" s="25"/>
      <c r="O8420" s="25"/>
    </row>
    <row r="8421" ht="15.75" customHeight="1">
      <c r="A8421" s="25" t="str">
        <f>IFERROR(__xludf.DUMMYFUNCTION("IF(B8421="""","""",RIGHT(REGEXREPLACE(B8421&amp;"""",""[^0-9]"",""""),9))"),"704779820")</f>
        <v>704779820</v>
      </c>
      <c r="B8421" s="52">
        <v>7.0477982E8</v>
      </c>
      <c r="C8421" s="28" t="s">
        <v>8398</v>
      </c>
      <c r="D8421" s="26" t="s">
        <v>64</v>
      </c>
      <c r="E8421" s="31">
        <v>46246.0</v>
      </c>
      <c r="F8421" s="26" t="s">
        <v>46</v>
      </c>
      <c r="I8421" s="26" t="s">
        <v>970</v>
      </c>
      <c r="J8421" s="25" t="str">
        <f t="shared" si="103"/>
        <v>Yes - see Previous F-Code</v>
      </c>
      <c r="K8421" s="25" t="str">
        <f t="shared" si="104"/>
        <v/>
      </c>
      <c r="L8421" s="25" t="str">
        <f t="shared" si="105"/>
        <v>F77164</v>
      </c>
      <c r="M8421" s="25"/>
      <c r="O8421" s="25"/>
    </row>
    <row r="8422" ht="15.75" customHeight="1">
      <c r="A8422" s="25" t="str">
        <f>IFERROR(__xludf.DUMMYFUNCTION("IF(B8422="""","""",RIGHT(REGEXREPLACE(B8422&amp;"""",""[^0-9]"",""""),9))"),"762057686")</f>
        <v>762057686</v>
      </c>
      <c r="B8422" s="52">
        <v>7.62057686E8</v>
      </c>
      <c r="C8422" s="28" t="s">
        <v>8606</v>
      </c>
      <c r="D8422" s="26" t="s">
        <v>45</v>
      </c>
      <c r="E8422" s="31">
        <v>46246.0</v>
      </c>
      <c r="F8422" s="26" t="s">
        <v>46</v>
      </c>
      <c r="G8422" s="26">
        <v>11.0</v>
      </c>
      <c r="I8422" s="26" t="s">
        <v>970</v>
      </c>
      <c r="J8422" s="25" t="str">
        <f t="shared" si="103"/>
        <v>No</v>
      </c>
      <c r="K8422" s="25" t="str">
        <f t="shared" si="104"/>
        <v/>
      </c>
      <c r="L8422" s="25" t="str">
        <f t="shared" si="105"/>
        <v/>
      </c>
      <c r="M8422" s="25"/>
      <c r="O8422" s="25"/>
    </row>
    <row r="8423" ht="15.75" customHeight="1">
      <c r="A8423" s="25" t="str">
        <f>IFERROR(__xludf.DUMMYFUNCTION("IF(B8423="""","""",RIGHT(REGEXREPLACE(B8423&amp;"""",""[^0-9]"",""""),9))"),"710596014")</f>
        <v>710596014</v>
      </c>
      <c r="B8423" s="52">
        <v>7.10596014E8</v>
      </c>
      <c r="C8423" s="28" t="s">
        <v>8607</v>
      </c>
      <c r="D8423" s="26" t="s">
        <v>64</v>
      </c>
      <c r="E8423" s="31">
        <v>46246.0</v>
      </c>
      <c r="F8423" s="26" t="s">
        <v>41</v>
      </c>
      <c r="I8423" s="26" t="s">
        <v>970</v>
      </c>
      <c r="J8423" s="25" t="str">
        <f t="shared" si="103"/>
        <v>No</v>
      </c>
      <c r="K8423" s="25" t="str">
        <f t="shared" si="104"/>
        <v/>
      </c>
      <c r="L8423" s="25" t="str">
        <f t="shared" si="105"/>
        <v/>
      </c>
      <c r="M8423" s="25"/>
      <c r="O8423" s="25"/>
    </row>
    <row r="8424" ht="15.75" customHeight="1">
      <c r="A8424" s="25" t="str">
        <f>IFERROR(__xludf.DUMMYFUNCTION("IF(B8424="""","""",RIGHT(REGEXREPLACE(B8424&amp;"""",""[^0-9]"",""""),9))"),"778849421")</f>
        <v>778849421</v>
      </c>
      <c r="B8424" s="52">
        <v>7.78849421E8</v>
      </c>
      <c r="C8424" s="28" t="s">
        <v>8608</v>
      </c>
      <c r="D8424" s="26" t="s">
        <v>45</v>
      </c>
      <c r="E8424" s="31">
        <v>46246.0</v>
      </c>
      <c r="F8424" s="26" t="s">
        <v>46</v>
      </c>
      <c r="G8424" s="26">
        <v>11.0</v>
      </c>
      <c r="I8424" s="26" t="s">
        <v>970</v>
      </c>
      <c r="J8424" s="25" t="str">
        <f t="shared" si="103"/>
        <v>No</v>
      </c>
      <c r="K8424" s="25" t="str">
        <f t="shared" si="104"/>
        <v/>
      </c>
      <c r="L8424" s="25" t="str">
        <f t="shared" si="105"/>
        <v/>
      </c>
      <c r="M8424" s="25"/>
      <c r="O8424" s="25"/>
    </row>
    <row r="8425" ht="15.75" customHeight="1">
      <c r="A8425" s="25" t="str">
        <f>IFERROR(__xludf.DUMMYFUNCTION("IF(B8425="""","""",RIGHT(REGEXREPLACE(B8425&amp;"""",""[^0-9]"",""""),9))"),"774897143")</f>
        <v>774897143</v>
      </c>
      <c r="B8425" s="52">
        <v>7.74897143E8</v>
      </c>
      <c r="C8425" s="28" t="s">
        <v>8609</v>
      </c>
      <c r="D8425" s="26" t="s">
        <v>82</v>
      </c>
      <c r="E8425" s="31">
        <v>46246.0</v>
      </c>
      <c r="F8425" s="26" t="s">
        <v>205</v>
      </c>
      <c r="I8425" s="26" t="s">
        <v>970</v>
      </c>
      <c r="J8425" s="25" t="str">
        <f t="shared" si="103"/>
        <v>No</v>
      </c>
      <c r="K8425" s="25" t="str">
        <f t="shared" si="104"/>
        <v/>
      </c>
      <c r="L8425" s="25" t="str">
        <f t="shared" si="105"/>
        <v/>
      </c>
      <c r="M8425" s="25"/>
      <c r="O8425" s="25"/>
    </row>
    <row r="8426" ht="15.75" customHeight="1">
      <c r="A8426" s="25" t="str">
        <f>IFERROR(__xludf.DUMMYFUNCTION("IF(B8426="""","""",RIGHT(REGEXREPLACE(B8426&amp;"""",""[^0-9]"",""""),9))"),"770056608")</f>
        <v>770056608</v>
      </c>
      <c r="B8426" s="52">
        <v>7.70056608E8</v>
      </c>
      <c r="C8426" s="28" t="s">
        <v>8610</v>
      </c>
      <c r="D8426" s="26" t="s">
        <v>82</v>
      </c>
      <c r="E8426" s="31">
        <v>46246.0</v>
      </c>
      <c r="F8426" s="26" t="s">
        <v>46</v>
      </c>
      <c r="G8426" s="26">
        <v>10.0</v>
      </c>
      <c r="I8426" s="26" t="s">
        <v>970</v>
      </c>
      <c r="J8426" s="25" t="str">
        <f t="shared" si="103"/>
        <v>No</v>
      </c>
      <c r="K8426" s="25" t="str">
        <f t="shared" si="104"/>
        <v/>
      </c>
      <c r="L8426" s="25" t="str">
        <f t="shared" si="105"/>
        <v/>
      </c>
      <c r="M8426" s="25"/>
      <c r="O8426" s="25"/>
    </row>
    <row r="8427" ht="15.75" customHeight="1">
      <c r="A8427" s="25" t="str">
        <f>IFERROR(__xludf.DUMMYFUNCTION("IF(B8427="""","""",RIGHT(REGEXREPLACE(B8427&amp;"""",""[^0-9]"",""""),9))"),"776102589")</f>
        <v>776102589</v>
      </c>
      <c r="B8427" s="52">
        <v>7.76102589E8</v>
      </c>
      <c r="C8427" s="28" t="s">
        <v>8610</v>
      </c>
      <c r="D8427" s="26" t="s">
        <v>45</v>
      </c>
      <c r="E8427" s="31">
        <v>46246.0</v>
      </c>
      <c r="F8427" s="26" t="s">
        <v>41</v>
      </c>
      <c r="I8427" s="26" t="s">
        <v>970</v>
      </c>
      <c r="J8427" s="25" t="str">
        <f t="shared" si="103"/>
        <v>No</v>
      </c>
      <c r="K8427" s="25" t="str">
        <f t="shared" si="104"/>
        <v/>
      </c>
      <c r="L8427" s="25" t="str">
        <f t="shared" si="105"/>
        <v/>
      </c>
      <c r="M8427" s="25"/>
      <c r="O8427" s="25"/>
    </row>
    <row r="8428" ht="15.75" customHeight="1">
      <c r="A8428" s="25" t="str">
        <f>IFERROR(__xludf.DUMMYFUNCTION("IF(B8428="""","""",RIGHT(REGEXREPLACE(B8428&amp;"""",""[^0-9]"",""""),9))"),"743851111")</f>
        <v>743851111</v>
      </c>
      <c r="B8428" s="52">
        <v>7.43851111E8</v>
      </c>
      <c r="C8428" s="28" t="s">
        <v>8611</v>
      </c>
      <c r="D8428" s="26" t="s">
        <v>45</v>
      </c>
      <c r="E8428" s="31">
        <v>46246.0</v>
      </c>
      <c r="F8428" s="26" t="s">
        <v>164</v>
      </c>
      <c r="I8428" s="26" t="s">
        <v>970</v>
      </c>
      <c r="J8428" s="25" t="str">
        <f t="shared" si="103"/>
        <v>No</v>
      </c>
      <c r="K8428" s="25" t="str">
        <f t="shared" si="104"/>
        <v/>
      </c>
      <c r="L8428" s="25" t="str">
        <f t="shared" si="105"/>
        <v/>
      </c>
      <c r="M8428" s="25"/>
      <c r="O8428" s="25"/>
    </row>
    <row r="8429" ht="15.75" customHeight="1">
      <c r="A8429" s="25" t="str">
        <f>IFERROR(__xludf.DUMMYFUNCTION("IF(B8429="""","""",RIGHT(REGEXREPLACE(B8429&amp;"""",""[^0-9]"",""""),9))"),"766412508")</f>
        <v>766412508</v>
      </c>
      <c r="B8429" s="52">
        <v>7.66412508E8</v>
      </c>
      <c r="C8429" s="28" t="s">
        <v>5701</v>
      </c>
      <c r="D8429" s="26" t="s">
        <v>64</v>
      </c>
      <c r="E8429" s="31">
        <v>46246.0</v>
      </c>
      <c r="F8429" s="26" t="s">
        <v>205</v>
      </c>
      <c r="I8429" s="26" t="s">
        <v>970</v>
      </c>
      <c r="J8429" s="25" t="str">
        <f t="shared" si="103"/>
        <v>Yes - see Previous F-Code</v>
      </c>
      <c r="K8429" s="25" t="str">
        <f t="shared" si="104"/>
        <v/>
      </c>
      <c r="L8429" s="25" t="str">
        <f t="shared" si="105"/>
        <v>F75155</v>
      </c>
      <c r="M8429" s="25"/>
      <c r="O8429" s="25"/>
    </row>
    <row r="8430" ht="15.75" customHeight="1">
      <c r="A8430" s="25" t="str">
        <f>IFERROR(__xludf.DUMMYFUNCTION("IF(B8430="""","""",RIGHT(REGEXREPLACE(B8430&amp;"""",""[^0-9]"",""""),9))"),"720425200")</f>
        <v>720425200</v>
      </c>
      <c r="B8430" s="52">
        <v>7.204252E8</v>
      </c>
      <c r="C8430" s="28" t="s">
        <v>8612</v>
      </c>
      <c r="D8430" s="26" t="s">
        <v>45</v>
      </c>
      <c r="E8430" s="31">
        <v>46246.0</v>
      </c>
      <c r="F8430" s="26" t="s">
        <v>46</v>
      </c>
      <c r="G8430" s="26">
        <v>10.0</v>
      </c>
      <c r="I8430" s="26" t="s">
        <v>970</v>
      </c>
      <c r="J8430" s="25" t="str">
        <f t="shared" si="103"/>
        <v>No</v>
      </c>
      <c r="K8430" s="25" t="str">
        <f t="shared" si="104"/>
        <v/>
      </c>
      <c r="L8430" s="25" t="str">
        <f t="shared" si="105"/>
        <v/>
      </c>
      <c r="M8430" s="25"/>
      <c r="O8430" s="25"/>
    </row>
    <row r="8431" ht="15.75" customHeight="1">
      <c r="A8431" s="25" t="str">
        <f>IFERROR(__xludf.DUMMYFUNCTION("IF(B8431="""","""",RIGHT(REGEXREPLACE(B8431&amp;"""",""[^0-9]"",""""),9))"),"777076783")</f>
        <v>777076783</v>
      </c>
      <c r="B8431" s="52">
        <v>7.77076783E8</v>
      </c>
      <c r="C8431" s="28" t="s">
        <v>8613</v>
      </c>
      <c r="D8431" s="26" t="s">
        <v>64</v>
      </c>
      <c r="E8431" s="31">
        <v>46246.0</v>
      </c>
      <c r="F8431" s="26" t="s">
        <v>41</v>
      </c>
      <c r="I8431" s="26" t="s">
        <v>970</v>
      </c>
      <c r="J8431" s="25" t="str">
        <f t="shared" si="103"/>
        <v>No</v>
      </c>
      <c r="K8431" s="25" t="str">
        <f t="shared" si="104"/>
        <v/>
      </c>
      <c r="L8431" s="25" t="str">
        <f t="shared" si="105"/>
        <v/>
      </c>
      <c r="M8431" s="25"/>
      <c r="O8431" s="25"/>
    </row>
    <row r="8432" ht="15.75" customHeight="1">
      <c r="A8432" s="25" t="str">
        <f>IFERROR(__xludf.DUMMYFUNCTION("IF(B8432="""","""",RIGHT(REGEXREPLACE(B8432&amp;"""",""[^0-9]"",""""),9))"),"760244654")</f>
        <v>760244654</v>
      </c>
      <c r="B8432" s="52">
        <v>7.60244654E8</v>
      </c>
      <c r="C8432" s="28" t="s">
        <v>8614</v>
      </c>
      <c r="D8432" s="26" t="s">
        <v>64</v>
      </c>
      <c r="E8432" s="31">
        <v>46252.0</v>
      </c>
      <c r="F8432" s="26" t="s">
        <v>46</v>
      </c>
      <c r="I8432" s="26" t="s">
        <v>970</v>
      </c>
      <c r="J8432" s="25" t="str">
        <f t="shared" si="103"/>
        <v>No</v>
      </c>
      <c r="K8432" s="25" t="str">
        <f t="shared" si="104"/>
        <v/>
      </c>
      <c r="L8432" s="25" t="str">
        <f t="shared" si="105"/>
        <v/>
      </c>
      <c r="M8432" s="25"/>
      <c r="O8432" s="25"/>
    </row>
    <row r="8433" ht="15.75" customHeight="1">
      <c r="A8433" s="25" t="str">
        <f>IFERROR(__xludf.DUMMYFUNCTION("IF(B8433="""","""",RIGHT(REGEXREPLACE(B8433&amp;"""",""[^0-9]"",""""),9))"),"779853566")</f>
        <v>779853566</v>
      </c>
      <c r="B8433" s="52">
        <v>7.79853566E8</v>
      </c>
      <c r="C8433" s="28" t="s">
        <v>8614</v>
      </c>
      <c r="D8433" s="26" t="s">
        <v>45</v>
      </c>
      <c r="E8433" s="31">
        <v>46246.0</v>
      </c>
      <c r="F8433" s="26" t="s">
        <v>41</v>
      </c>
      <c r="I8433" s="26" t="s">
        <v>970</v>
      </c>
      <c r="J8433" s="25" t="str">
        <f t="shared" si="103"/>
        <v>No</v>
      </c>
      <c r="K8433" s="25" t="str">
        <f t="shared" si="104"/>
        <v/>
      </c>
      <c r="L8433" s="25" t="str">
        <f t="shared" si="105"/>
        <v/>
      </c>
      <c r="M8433" s="25"/>
      <c r="O8433" s="25"/>
    </row>
    <row r="8434" ht="15.75" customHeight="1">
      <c r="A8434" s="25" t="str">
        <f>IFERROR(__xludf.DUMMYFUNCTION("IF(B8434="""","""",RIGHT(REGEXREPLACE(B8434&amp;"""",""[^0-9]"",""""),9))"),"705660064")</f>
        <v>705660064</v>
      </c>
      <c r="B8434" s="52">
        <v>7.05660064E8</v>
      </c>
      <c r="C8434" s="28" t="s">
        <v>8615</v>
      </c>
      <c r="D8434" s="26" t="s">
        <v>82</v>
      </c>
      <c r="E8434" s="31">
        <v>46246.0</v>
      </c>
      <c r="F8434" s="26" t="s">
        <v>41</v>
      </c>
      <c r="I8434" s="26" t="s">
        <v>970</v>
      </c>
      <c r="J8434" s="25" t="str">
        <f t="shared" si="103"/>
        <v>No</v>
      </c>
      <c r="K8434" s="25" t="str">
        <f t="shared" si="104"/>
        <v/>
      </c>
      <c r="L8434" s="25" t="str">
        <f t="shared" si="105"/>
        <v/>
      </c>
      <c r="M8434" s="25"/>
      <c r="O8434" s="25"/>
    </row>
    <row r="8435" ht="15.75" customHeight="1">
      <c r="A8435" s="25" t="str">
        <f>IFERROR(__xludf.DUMMYFUNCTION("IF(B8435="""","""",RIGHT(REGEXREPLACE(B8435&amp;"""",""[^0-9]"",""""),9))"),"711487465")</f>
        <v>711487465</v>
      </c>
      <c r="B8435" s="52">
        <v>7.11487465E8</v>
      </c>
      <c r="C8435" s="28" t="s">
        <v>8616</v>
      </c>
      <c r="D8435" s="26" t="s">
        <v>45</v>
      </c>
      <c r="E8435" s="31">
        <v>46246.0</v>
      </c>
      <c r="F8435" s="26" t="s">
        <v>46</v>
      </c>
      <c r="G8435" s="26">
        <v>9.0</v>
      </c>
      <c r="H8435" s="26" t="s">
        <v>8617</v>
      </c>
      <c r="I8435" s="26" t="s">
        <v>970</v>
      </c>
      <c r="J8435" s="25" t="str">
        <f t="shared" si="103"/>
        <v>No</v>
      </c>
      <c r="K8435" s="25" t="str">
        <f t="shared" si="104"/>
        <v/>
      </c>
      <c r="L8435" s="25" t="str">
        <f t="shared" si="105"/>
        <v/>
      </c>
      <c r="M8435" s="25"/>
      <c r="O8435" s="25"/>
    </row>
    <row r="8436" ht="15.75" customHeight="1">
      <c r="A8436" s="25" t="str">
        <f>IFERROR(__xludf.DUMMYFUNCTION("IF(B8436="""","""",RIGHT(REGEXREPLACE(B8436&amp;"""",""[^0-9]"",""""),9))"),"765722237")</f>
        <v>765722237</v>
      </c>
      <c r="B8436" s="52">
        <v>7.65722237E8</v>
      </c>
      <c r="C8436" s="28" t="s">
        <v>8618</v>
      </c>
      <c r="D8436" s="26" t="s">
        <v>64</v>
      </c>
      <c r="E8436" s="31">
        <v>46246.0</v>
      </c>
      <c r="F8436" s="26" t="s">
        <v>46</v>
      </c>
      <c r="H8436" s="26" t="s">
        <v>763</v>
      </c>
      <c r="I8436" s="26" t="s">
        <v>970</v>
      </c>
      <c r="J8436" s="25" t="str">
        <f t="shared" si="103"/>
        <v>No</v>
      </c>
      <c r="K8436" s="25" t="str">
        <f t="shared" si="104"/>
        <v/>
      </c>
      <c r="L8436" s="25" t="str">
        <f t="shared" si="105"/>
        <v/>
      </c>
      <c r="M8436" s="25"/>
      <c r="O8436" s="25"/>
    </row>
    <row r="8437" ht="15.75" customHeight="1">
      <c r="A8437" s="25" t="str">
        <f>IFERROR(__xludf.DUMMYFUNCTION("IF(B8437="""","""",RIGHT(REGEXREPLACE(B8437&amp;"""",""[^0-9]"",""""),9))"),"771145208")</f>
        <v>771145208</v>
      </c>
      <c r="B8437" s="52">
        <v>7.71145208E8</v>
      </c>
      <c r="C8437" s="28" t="s">
        <v>8619</v>
      </c>
      <c r="D8437" s="26" t="s">
        <v>45</v>
      </c>
      <c r="E8437" s="31">
        <v>46246.0</v>
      </c>
      <c r="F8437" s="26" t="s">
        <v>46</v>
      </c>
      <c r="G8437" s="26">
        <v>11.0</v>
      </c>
      <c r="I8437" s="26" t="s">
        <v>970</v>
      </c>
      <c r="J8437" s="25" t="str">
        <f t="shared" si="103"/>
        <v>No</v>
      </c>
      <c r="K8437" s="25" t="str">
        <f t="shared" si="104"/>
        <v/>
      </c>
      <c r="L8437" s="25" t="str">
        <f t="shared" si="105"/>
        <v/>
      </c>
      <c r="M8437" s="25"/>
      <c r="O8437" s="25"/>
    </row>
    <row r="8438" ht="15.75" customHeight="1">
      <c r="A8438" s="25" t="str">
        <f>IFERROR(__xludf.DUMMYFUNCTION("IF(B8438="""","""",RIGHT(REGEXREPLACE(B8438&amp;"""",""[^0-9]"",""""),9))"),"718743999")</f>
        <v>718743999</v>
      </c>
      <c r="B8438" s="52">
        <v>7.18743999E8</v>
      </c>
      <c r="C8438" s="28" t="s">
        <v>2810</v>
      </c>
      <c r="D8438" s="26" t="s">
        <v>82</v>
      </c>
      <c r="E8438" s="31">
        <v>46246.0</v>
      </c>
      <c r="F8438" s="26" t="s">
        <v>46</v>
      </c>
      <c r="I8438" s="26" t="s">
        <v>970</v>
      </c>
      <c r="J8438" s="25" t="str">
        <f t="shared" si="103"/>
        <v>Yes - see Previous F-Code</v>
      </c>
      <c r="K8438" s="25" t="str">
        <f t="shared" si="104"/>
        <v/>
      </c>
      <c r="L8438" s="25" t="str">
        <f t="shared" si="105"/>
        <v>F72505</v>
      </c>
      <c r="M8438" s="25"/>
      <c r="O8438" s="25"/>
    </row>
    <row r="8439" ht="15.75" customHeight="1">
      <c r="A8439" s="25" t="str">
        <f>IFERROR(__xludf.DUMMYFUNCTION("IF(B8439="""","""",RIGHT(REGEXREPLACE(B8439&amp;"""",""[^0-9]"",""""),9))"),"775325017")</f>
        <v>775325017</v>
      </c>
      <c r="B8439" s="52">
        <v>7.75325017E8</v>
      </c>
      <c r="C8439" s="28" t="s">
        <v>8290</v>
      </c>
      <c r="D8439" s="26" t="s">
        <v>64</v>
      </c>
      <c r="E8439" s="31">
        <v>46246.0</v>
      </c>
      <c r="F8439" s="26" t="s">
        <v>659</v>
      </c>
      <c r="I8439" s="26" t="s">
        <v>970</v>
      </c>
      <c r="J8439" s="25" t="str">
        <f t="shared" si="103"/>
        <v>Yes - see Previous F-Code</v>
      </c>
      <c r="K8439" s="25" t="str">
        <f t="shared" si="104"/>
        <v>DUPLICATE - CHECK</v>
      </c>
      <c r="L8439" s="25" t="str">
        <f t="shared" si="105"/>
        <v>F77079</v>
      </c>
      <c r="M8439" s="25"/>
      <c r="O8439" s="25"/>
    </row>
    <row r="8440" ht="15.75" customHeight="1">
      <c r="A8440" s="25" t="str">
        <f>IFERROR(__xludf.DUMMYFUNCTION("IF(B8440="""","""",RIGHT(REGEXREPLACE(B8440&amp;"""",""[^0-9]"",""""),9))"),"778125078")</f>
        <v>778125078</v>
      </c>
      <c r="B8440" s="52">
        <v>7.78125078E8</v>
      </c>
      <c r="C8440" s="28" t="s">
        <v>8620</v>
      </c>
      <c r="D8440" s="26" t="s">
        <v>64</v>
      </c>
      <c r="E8440" s="31">
        <v>46246.0</v>
      </c>
      <c r="F8440" s="26" t="s">
        <v>46</v>
      </c>
      <c r="H8440" s="26" t="s">
        <v>8573</v>
      </c>
      <c r="I8440" s="26" t="s">
        <v>970</v>
      </c>
      <c r="J8440" s="25" t="str">
        <f t="shared" si="103"/>
        <v>No</v>
      </c>
      <c r="K8440" s="25" t="str">
        <f t="shared" si="104"/>
        <v/>
      </c>
      <c r="L8440" s="25" t="str">
        <f t="shared" si="105"/>
        <v/>
      </c>
      <c r="M8440" s="25"/>
      <c r="O8440" s="25"/>
    </row>
    <row r="8441" ht="15.75" customHeight="1">
      <c r="A8441" s="25" t="str">
        <f>IFERROR(__xludf.DUMMYFUNCTION("IF(B8441="""","""",RIGHT(REGEXREPLACE(B8441&amp;"""",""[^0-9]"",""""),9))"),"714448741")</f>
        <v>714448741</v>
      </c>
      <c r="B8441" s="52">
        <v>7.14448741E8</v>
      </c>
      <c r="C8441" s="28" t="s">
        <v>8621</v>
      </c>
      <c r="D8441" s="26" t="s">
        <v>82</v>
      </c>
      <c r="E8441" s="31">
        <v>46246.0</v>
      </c>
      <c r="F8441" s="26" t="s">
        <v>46</v>
      </c>
      <c r="G8441" s="26">
        <v>11.0</v>
      </c>
      <c r="H8441" s="26" t="s">
        <v>8622</v>
      </c>
      <c r="I8441" s="26" t="s">
        <v>970</v>
      </c>
      <c r="J8441" s="25" t="str">
        <f t="shared" si="103"/>
        <v>No</v>
      </c>
      <c r="K8441" s="25" t="str">
        <f t="shared" si="104"/>
        <v/>
      </c>
      <c r="L8441" s="25" t="str">
        <f t="shared" si="105"/>
        <v/>
      </c>
      <c r="M8441" s="25"/>
      <c r="O8441" s="25"/>
    </row>
    <row r="8442" ht="15.75" customHeight="1">
      <c r="A8442" s="25" t="str">
        <f>IFERROR(__xludf.DUMMYFUNCTION("IF(B8442="""","""",RIGHT(REGEXREPLACE(B8442&amp;"""",""[^0-9]"",""""),9))"),"717644511")</f>
        <v>717644511</v>
      </c>
      <c r="B8442" s="52">
        <v>7.17644511E8</v>
      </c>
      <c r="C8442" s="28" t="s">
        <v>8623</v>
      </c>
      <c r="D8442" s="26" t="s">
        <v>64</v>
      </c>
      <c r="E8442" s="31">
        <v>46246.0</v>
      </c>
      <c r="F8442" s="26" t="s">
        <v>704</v>
      </c>
      <c r="I8442" s="26" t="s">
        <v>970</v>
      </c>
      <c r="J8442" s="25" t="str">
        <f t="shared" si="103"/>
        <v>No</v>
      </c>
      <c r="K8442" s="25" t="str">
        <f t="shared" si="104"/>
        <v/>
      </c>
      <c r="L8442" s="25" t="str">
        <f t="shared" si="105"/>
        <v/>
      </c>
      <c r="M8442" s="25"/>
      <c r="O8442" s="25"/>
    </row>
    <row r="8443" ht="15.75" customHeight="1">
      <c r="A8443" s="25" t="str">
        <f>IFERROR(__xludf.DUMMYFUNCTION("IF(B8443="""","""",RIGHT(REGEXREPLACE(B8443&amp;"""",""[^0-9]"",""""),9))"),"773340257")</f>
        <v>773340257</v>
      </c>
      <c r="B8443" s="52">
        <v>7.73340257E8</v>
      </c>
      <c r="C8443" s="28" t="s">
        <v>8242</v>
      </c>
      <c r="D8443" s="26" t="s">
        <v>64</v>
      </c>
      <c r="E8443" s="31">
        <v>46246.0</v>
      </c>
      <c r="F8443" s="25"/>
      <c r="G8443" s="25"/>
      <c r="H8443" s="25"/>
      <c r="I8443" s="26" t="s">
        <v>970</v>
      </c>
      <c r="J8443" s="25" t="str">
        <f t="shared" si="103"/>
        <v>Yes - see Previous F-Code</v>
      </c>
      <c r="K8443" s="25" t="str">
        <f t="shared" si="104"/>
        <v>DUPLICATE - CHECK</v>
      </c>
      <c r="L8443" s="25" t="str">
        <f t="shared" si="105"/>
        <v>F77048</v>
      </c>
      <c r="M8443" s="25"/>
      <c r="N8443" s="25"/>
      <c r="O8443" s="25"/>
      <c r="P8443" s="25"/>
    </row>
    <row r="8444" ht="15.75" customHeight="1">
      <c r="A8444" s="25" t="str">
        <f>IFERROR(__xludf.DUMMYFUNCTION("IF(B8444="""","""",RIGHT(REGEXREPLACE(B8444&amp;"""",""[^0-9]"",""""),9))"),"703197104")</f>
        <v>703197104</v>
      </c>
      <c r="B8444" s="52">
        <v>7.03197104E8</v>
      </c>
      <c r="C8444" s="28" t="s">
        <v>8624</v>
      </c>
      <c r="D8444" s="26" t="s">
        <v>45</v>
      </c>
      <c r="E8444" s="31">
        <v>46246.0</v>
      </c>
      <c r="F8444" s="26" t="s">
        <v>46</v>
      </c>
      <c r="G8444" s="26">
        <v>11.0</v>
      </c>
      <c r="I8444" s="26" t="s">
        <v>970</v>
      </c>
      <c r="J8444" s="25" t="str">
        <f t="shared" si="103"/>
        <v>No</v>
      </c>
      <c r="K8444" s="25" t="str">
        <f t="shared" si="104"/>
        <v/>
      </c>
      <c r="L8444" s="25" t="str">
        <f t="shared" si="105"/>
        <v/>
      </c>
      <c r="M8444" s="25"/>
      <c r="O8444" s="25"/>
    </row>
    <row r="8445" ht="15.75" customHeight="1">
      <c r="A8445" s="25" t="str">
        <f>IFERROR(__xludf.DUMMYFUNCTION("IF(B8445="""","""",RIGHT(REGEXREPLACE(B8445&amp;"""",""[^0-9]"",""""),9))"),"740773893")</f>
        <v>740773893</v>
      </c>
      <c r="B8445" s="52">
        <v>7.40773893E8</v>
      </c>
      <c r="C8445" s="28" t="s">
        <v>8625</v>
      </c>
      <c r="D8445" s="26" t="s">
        <v>82</v>
      </c>
      <c r="E8445" s="31">
        <v>46246.0</v>
      </c>
      <c r="F8445" s="26" t="s">
        <v>41</v>
      </c>
      <c r="I8445" s="26" t="s">
        <v>970</v>
      </c>
      <c r="J8445" s="25" t="str">
        <f t="shared" si="103"/>
        <v>No</v>
      </c>
      <c r="K8445" s="25" t="str">
        <f t="shared" si="104"/>
        <v/>
      </c>
      <c r="L8445" s="25" t="str">
        <f t="shared" si="105"/>
        <v/>
      </c>
      <c r="M8445" s="25"/>
      <c r="O8445" s="25"/>
    </row>
    <row r="8446" ht="15.75" customHeight="1">
      <c r="A8446" s="25" t="str">
        <f>IFERROR(__xludf.DUMMYFUNCTION("IF(B8446="""","""",RIGHT(REGEXREPLACE(B8446&amp;"""",""[^0-9]"",""""),9))"),"763644586")</f>
        <v>763644586</v>
      </c>
      <c r="B8446" s="52">
        <v>7.63644586E8</v>
      </c>
      <c r="C8446" s="28" t="s">
        <v>8626</v>
      </c>
      <c r="D8446" s="26" t="s">
        <v>49</v>
      </c>
      <c r="E8446" s="31">
        <v>46246.0</v>
      </c>
      <c r="F8446" s="26" t="s">
        <v>46</v>
      </c>
      <c r="G8446" s="26">
        <v>11.0</v>
      </c>
      <c r="H8446" s="26" t="s">
        <v>4524</v>
      </c>
      <c r="I8446" s="26" t="s">
        <v>970</v>
      </c>
      <c r="J8446" s="25" t="str">
        <f t="shared" si="103"/>
        <v>No</v>
      </c>
      <c r="K8446" s="25" t="str">
        <f t="shared" si="104"/>
        <v/>
      </c>
      <c r="L8446" s="25" t="str">
        <f t="shared" si="105"/>
        <v/>
      </c>
      <c r="M8446" s="25"/>
      <c r="O8446" s="25"/>
    </row>
    <row r="8447" ht="15.75" customHeight="1">
      <c r="A8447" s="25" t="str">
        <f>IFERROR(__xludf.DUMMYFUNCTION("IF(B8447="""","""",RIGHT(REGEXREPLACE(B8447&amp;"""",""[^0-9]"",""""),9))"),"701104927")</f>
        <v>701104927</v>
      </c>
      <c r="B8447" s="52">
        <v>7.01104927E8</v>
      </c>
      <c r="C8447" s="28" t="s">
        <v>8627</v>
      </c>
      <c r="D8447" s="26" t="s">
        <v>64</v>
      </c>
      <c r="E8447" s="31">
        <v>46246.0</v>
      </c>
      <c r="F8447" s="26" t="s">
        <v>46</v>
      </c>
      <c r="G8447" s="26">
        <v>11.0</v>
      </c>
      <c r="I8447" s="26" t="s">
        <v>970</v>
      </c>
      <c r="J8447" s="25" t="str">
        <f t="shared" si="103"/>
        <v>No</v>
      </c>
      <c r="K8447" s="25" t="str">
        <f t="shared" si="104"/>
        <v/>
      </c>
      <c r="L8447" s="25" t="str">
        <f t="shared" si="105"/>
        <v/>
      </c>
      <c r="M8447" s="25"/>
      <c r="O8447" s="25"/>
    </row>
    <row r="8448" ht="15.75" customHeight="1">
      <c r="A8448" s="25" t="str">
        <f>IFERROR(__xludf.DUMMYFUNCTION("IF(B8448="""","""",RIGHT(REGEXREPLACE(B8448&amp;"""",""[^0-9]"",""""),9))"),"779403902")</f>
        <v>779403902</v>
      </c>
      <c r="B8448" s="52">
        <v>7.79403902E8</v>
      </c>
      <c r="C8448" s="28" t="s">
        <v>8628</v>
      </c>
      <c r="D8448" s="26" t="s">
        <v>82</v>
      </c>
      <c r="E8448" s="31">
        <v>46246.0</v>
      </c>
      <c r="F8448" s="26" t="s">
        <v>46</v>
      </c>
      <c r="H8448" s="26" t="s">
        <v>8629</v>
      </c>
      <c r="I8448" s="26" t="s">
        <v>970</v>
      </c>
      <c r="J8448" s="25" t="str">
        <f t="shared" si="103"/>
        <v>No</v>
      </c>
      <c r="K8448" s="25" t="str">
        <f t="shared" si="104"/>
        <v/>
      </c>
      <c r="L8448" s="25" t="str">
        <f t="shared" si="105"/>
        <v/>
      </c>
      <c r="M8448" s="25"/>
      <c r="O8448" s="25"/>
    </row>
    <row r="8449" ht="15.75" customHeight="1">
      <c r="A8449" s="25" t="str">
        <f>IFERROR(__xludf.DUMMYFUNCTION("IF(B8449="""","""",RIGHT(REGEXREPLACE(B8449&amp;"""",""[^0-9]"",""""),9))"),"729173559")</f>
        <v>729173559</v>
      </c>
      <c r="B8449" s="52">
        <v>7.29173559E8</v>
      </c>
      <c r="C8449" s="28" t="s">
        <v>2243</v>
      </c>
      <c r="D8449" s="26" t="s">
        <v>64</v>
      </c>
      <c r="E8449" s="31">
        <v>46246.0</v>
      </c>
      <c r="F8449" s="26" t="s">
        <v>659</v>
      </c>
      <c r="I8449" s="26" t="s">
        <v>970</v>
      </c>
      <c r="J8449" s="25" t="str">
        <f t="shared" si="103"/>
        <v>Yes - see Previous F-Code</v>
      </c>
      <c r="K8449" s="25" t="str">
        <f t="shared" si="104"/>
        <v/>
      </c>
      <c r="L8449" s="25" t="str">
        <f t="shared" si="105"/>
        <v>F71943</v>
      </c>
      <c r="M8449" s="25"/>
      <c r="O8449" s="25"/>
    </row>
    <row r="8450" ht="15.75" customHeight="1">
      <c r="A8450" s="25" t="str">
        <f>IFERROR(__xludf.DUMMYFUNCTION("IF(B8450="""","""",RIGHT(REGEXREPLACE(B8450&amp;"""",""[^0-9]"",""""),9))"),"779865246")</f>
        <v>779865246</v>
      </c>
      <c r="B8450" s="52">
        <v>7.79865246E8</v>
      </c>
      <c r="C8450" s="28" t="s">
        <v>8630</v>
      </c>
      <c r="D8450" s="26" t="s">
        <v>82</v>
      </c>
      <c r="E8450" s="31">
        <v>46246.0</v>
      </c>
      <c r="F8450" s="26" t="s">
        <v>659</v>
      </c>
      <c r="I8450" s="26" t="s">
        <v>970</v>
      </c>
      <c r="J8450" s="25" t="str">
        <f t="shared" si="103"/>
        <v>No</v>
      </c>
      <c r="K8450" s="25" t="str">
        <f t="shared" si="104"/>
        <v/>
      </c>
      <c r="L8450" s="25" t="str">
        <f t="shared" si="105"/>
        <v/>
      </c>
      <c r="M8450" s="25"/>
      <c r="O8450" s="25"/>
    </row>
    <row r="8451" ht="15.75" customHeight="1">
      <c r="A8451" s="25" t="str">
        <f>IFERROR(__xludf.DUMMYFUNCTION("IF(B8451="""","""",RIGHT(REGEXREPLACE(B8451&amp;"""",""[^0-9]"",""""),9))"),"779464139")</f>
        <v>779464139</v>
      </c>
      <c r="B8451" s="52">
        <v>7.79464139E8</v>
      </c>
      <c r="C8451" s="28" t="s">
        <v>8631</v>
      </c>
      <c r="D8451" s="26" t="s">
        <v>49</v>
      </c>
      <c r="E8451" s="31">
        <v>46246.0</v>
      </c>
      <c r="F8451" s="26" t="s">
        <v>46</v>
      </c>
      <c r="G8451" s="26">
        <v>10.0</v>
      </c>
      <c r="H8451" s="26" t="s">
        <v>8632</v>
      </c>
      <c r="I8451" s="26" t="s">
        <v>970</v>
      </c>
      <c r="J8451" s="25" t="str">
        <f t="shared" si="103"/>
        <v>No</v>
      </c>
      <c r="K8451" s="25" t="str">
        <f t="shared" si="104"/>
        <v/>
      </c>
      <c r="L8451" s="25" t="str">
        <f t="shared" si="105"/>
        <v/>
      </c>
      <c r="M8451" s="25"/>
      <c r="O8451" s="25"/>
    </row>
    <row r="8452" ht="15.75" customHeight="1">
      <c r="A8452" s="25" t="str">
        <f>IFERROR(__xludf.DUMMYFUNCTION("IF(B8452="""","""",RIGHT(REGEXREPLACE(B8452&amp;"""",""[^0-9]"",""""),9))"),"704116303")</f>
        <v>704116303</v>
      </c>
      <c r="B8452" s="52">
        <v>7.04116303E8</v>
      </c>
      <c r="C8452" s="28" t="s">
        <v>8633</v>
      </c>
      <c r="D8452" s="26" t="s">
        <v>45</v>
      </c>
      <c r="E8452" s="31">
        <v>46246.0</v>
      </c>
      <c r="F8452" s="26" t="s">
        <v>41</v>
      </c>
      <c r="I8452" s="26" t="s">
        <v>970</v>
      </c>
      <c r="J8452" s="25" t="str">
        <f t="shared" si="103"/>
        <v>No</v>
      </c>
      <c r="K8452" s="25" t="str">
        <f t="shared" si="104"/>
        <v/>
      </c>
      <c r="L8452" s="25" t="str">
        <f t="shared" si="105"/>
        <v/>
      </c>
      <c r="M8452" s="25"/>
      <c r="O8452" s="25"/>
    </row>
    <row r="8453" ht="15.75" customHeight="1">
      <c r="A8453" s="25" t="str">
        <f>IFERROR(__xludf.DUMMYFUNCTION("IF(B8453="""","""",RIGHT(REGEXREPLACE(B8453&amp;"""",""[^0-9]"",""""),9))"),"772140750")</f>
        <v>772140750</v>
      </c>
      <c r="B8453" s="52">
        <v>7.7214075E8</v>
      </c>
      <c r="C8453" s="28" t="s">
        <v>8634</v>
      </c>
      <c r="D8453" s="26" t="s">
        <v>82</v>
      </c>
      <c r="E8453" s="31">
        <v>46246.0</v>
      </c>
      <c r="F8453" s="26" t="s">
        <v>46</v>
      </c>
      <c r="H8453" s="26" t="s">
        <v>8635</v>
      </c>
      <c r="I8453" s="26" t="s">
        <v>970</v>
      </c>
      <c r="J8453" s="25" t="str">
        <f t="shared" si="103"/>
        <v>No</v>
      </c>
      <c r="K8453" s="25" t="str">
        <f t="shared" si="104"/>
        <v/>
      </c>
      <c r="L8453" s="25" t="str">
        <f t="shared" si="105"/>
        <v/>
      </c>
      <c r="M8453" s="25"/>
      <c r="O8453" s="25"/>
    </row>
    <row r="8454" ht="15.75" customHeight="1">
      <c r="A8454" s="25" t="str">
        <f>IFERROR(__xludf.DUMMYFUNCTION("IF(B8454="""","""",RIGHT(REGEXREPLACE(B8454&amp;"""",""[^0-9]"",""""),9))"),"769098027")</f>
        <v>769098027</v>
      </c>
      <c r="B8454" s="52">
        <v>7.69098027E8</v>
      </c>
      <c r="C8454" s="28" t="s">
        <v>8636</v>
      </c>
      <c r="D8454" s="26" t="s">
        <v>45</v>
      </c>
      <c r="E8454" s="31">
        <v>46246.0</v>
      </c>
      <c r="F8454" s="26" t="s">
        <v>41</v>
      </c>
      <c r="I8454" s="26" t="s">
        <v>970</v>
      </c>
      <c r="J8454" s="25" t="str">
        <f t="shared" si="103"/>
        <v>No</v>
      </c>
      <c r="K8454" s="25" t="str">
        <f t="shared" si="104"/>
        <v/>
      </c>
      <c r="L8454" s="25" t="str">
        <f t="shared" si="105"/>
        <v/>
      </c>
      <c r="M8454" s="25"/>
      <c r="O8454" s="25"/>
    </row>
    <row r="8455" ht="15.75" customHeight="1">
      <c r="A8455" s="25" t="str">
        <f>IFERROR(__xludf.DUMMYFUNCTION("IF(B8455="""","""",RIGHT(REGEXREPLACE(B8455&amp;"""",""[^0-9]"",""""),9))"),"719708405")</f>
        <v>719708405</v>
      </c>
      <c r="B8455" s="52">
        <v>7.19708405E8</v>
      </c>
      <c r="C8455" s="28" t="s">
        <v>8637</v>
      </c>
      <c r="D8455" s="26" t="s">
        <v>49</v>
      </c>
      <c r="E8455" s="31">
        <v>46246.0</v>
      </c>
      <c r="F8455" s="26" t="s">
        <v>205</v>
      </c>
      <c r="I8455" s="26" t="s">
        <v>970</v>
      </c>
      <c r="J8455" s="25" t="str">
        <f t="shared" si="103"/>
        <v>No</v>
      </c>
      <c r="K8455" s="25" t="str">
        <f t="shared" si="104"/>
        <v/>
      </c>
      <c r="L8455" s="25" t="str">
        <f t="shared" si="105"/>
        <v/>
      </c>
      <c r="M8455" s="25"/>
      <c r="O8455" s="25"/>
    </row>
    <row r="8456" ht="15.75" customHeight="1">
      <c r="A8456" s="25" t="str">
        <f>IFERROR(__xludf.DUMMYFUNCTION("IF(B8456="""","""",RIGHT(REGEXREPLACE(B8456&amp;"""",""[^0-9]"",""""),9))"),"773764962")</f>
        <v>773764962</v>
      </c>
      <c r="B8456" s="52">
        <v>7.73764962E8</v>
      </c>
      <c r="C8456" s="28" t="s">
        <v>8638</v>
      </c>
      <c r="D8456" s="26" t="s">
        <v>82</v>
      </c>
      <c r="E8456" s="31">
        <v>46246.0</v>
      </c>
      <c r="F8456" s="26" t="s">
        <v>46</v>
      </c>
      <c r="G8456" s="26">
        <v>11.0</v>
      </c>
      <c r="H8456" s="26" t="s">
        <v>8629</v>
      </c>
      <c r="I8456" s="26" t="s">
        <v>970</v>
      </c>
      <c r="J8456" s="25" t="str">
        <f t="shared" si="103"/>
        <v>No</v>
      </c>
      <c r="K8456" s="25" t="str">
        <f t="shared" si="104"/>
        <v/>
      </c>
      <c r="L8456" s="25" t="str">
        <f t="shared" si="105"/>
        <v/>
      </c>
      <c r="M8456" s="25"/>
      <c r="O8456" s="25"/>
    </row>
    <row r="8457" ht="15.75" customHeight="1">
      <c r="A8457" s="25" t="str">
        <f>IFERROR(__xludf.DUMMYFUNCTION("IF(B8457="""","""",RIGHT(REGEXREPLACE(B8457&amp;"""",""[^0-9]"",""""),9))"),"764588783")</f>
        <v>764588783</v>
      </c>
      <c r="B8457" s="52">
        <v>7.64588783E8</v>
      </c>
      <c r="C8457" s="28" t="s">
        <v>8639</v>
      </c>
      <c r="D8457" s="26" t="s">
        <v>64</v>
      </c>
      <c r="E8457" s="31">
        <v>46246.0</v>
      </c>
      <c r="F8457" s="26" t="s">
        <v>46</v>
      </c>
      <c r="I8457" s="26" t="s">
        <v>970</v>
      </c>
      <c r="J8457" s="25" t="str">
        <f t="shared" si="103"/>
        <v>No</v>
      </c>
      <c r="K8457" s="25" t="str">
        <f t="shared" si="104"/>
        <v/>
      </c>
      <c r="L8457" s="25" t="str">
        <f t="shared" si="105"/>
        <v/>
      </c>
      <c r="M8457" s="25"/>
      <c r="O8457" s="25"/>
    </row>
    <row r="8458" ht="15.75" customHeight="1">
      <c r="A8458" s="25" t="str">
        <f>IFERROR(__xludf.DUMMYFUNCTION("IF(B8458="""","""",RIGHT(REGEXREPLACE(B8458&amp;"""",""[^0-9]"",""""),9))"),"718381573")</f>
        <v>718381573</v>
      </c>
      <c r="B8458" s="52">
        <v>7.18381573E8</v>
      </c>
      <c r="C8458" s="28" t="s">
        <v>8640</v>
      </c>
      <c r="D8458" s="26" t="s">
        <v>49</v>
      </c>
      <c r="E8458" s="31">
        <v>46246.0</v>
      </c>
      <c r="F8458" s="26" t="s">
        <v>46</v>
      </c>
      <c r="G8458" s="26">
        <v>10.0</v>
      </c>
      <c r="I8458" s="26" t="s">
        <v>970</v>
      </c>
      <c r="J8458" s="25" t="str">
        <f t="shared" si="103"/>
        <v>No</v>
      </c>
      <c r="K8458" s="25" t="str">
        <f t="shared" si="104"/>
        <v/>
      </c>
      <c r="L8458" s="25" t="str">
        <f t="shared" si="105"/>
        <v/>
      </c>
      <c r="M8458" s="25"/>
      <c r="O8458" s="25"/>
    </row>
    <row r="8459" ht="15.75" customHeight="1">
      <c r="A8459" s="25" t="str">
        <f>IFERROR(__xludf.DUMMYFUNCTION("IF(B8459="""","""",RIGHT(REGEXREPLACE(B8459&amp;"""",""[^0-9]"",""""),9))"),"715654120")</f>
        <v>715654120</v>
      </c>
      <c r="B8459" s="52">
        <v>7.1565412E8</v>
      </c>
      <c r="C8459" s="28" t="s">
        <v>8641</v>
      </c>
      <c r="D8459" s="26" t="s">
        <v>45</v>
      </c>
      <c r="E8459" s="31">
        <v>46246.0</v>
      </c>
      <c r="F8459" s="26" t="s">
        <v>46</v>
      </c>
      <c r="G8459" s="26">
        <v>11.0</v>
      </c>
      <c r="I8459" s="26" t="s">
        <v>970</v>
      </c>
      <c r="J8459" s="25" t="str">
        <f t="shared" si="103"/>
        <v>No</v>
      </c>
      <c r="K8459" s="25" t="str">
        <f t="shared" si="104"/>
        <v/>
      </c>
      <c r="L8459" s="25" t="str">
        <f t="shared" si="105"/>
        <v/>
      </c>
      <c r="M8459" s="25"/>
      <c r="O8459" s="25"/>
    </row>
    <row r="8460" ht="15.75" customHeight="1">
      <c r="A8460" s="25" t="str">
        <f>IFERROR(__xludf.DUMMYFUNCTION("IF(B8460="""","""",RIGHT(REGEXREPLACE(B8460&amp;"""",""[^0-9]"",""""),9))"),"773813276")</f>
        <v>773813276</v>
      </c>
      <c r="B8460" s="52">
        <v>7.73813276E8</v>
      </c>
      <c r="C8460" s="28" t="s">
        <v>8642</v>
      </c>
      <c r="D8460" s="26" t="s">
        <v>82</v>
      </c>
      <c r="E8460" s="31">
        <v>46246.0</v>
      </c>
      <c r="F8460" s="26" t="s">
        <v>46</v>
      </c>
      <c r="H8460" s="26" t="s">
        <v>8643</v>
      </c>
      <c r="I8460" s="26" t="s">
        <v>970</v>
      </c>
      <c r="J8460" s="25" t="str">
        <f t="shared" si="103"/>
        <v>No</v>
      </c>
      <c r="K8460" s="25" t="str">
        <f t="shared" si="104"/>
        <v/>
      </c>
      <c r="L8460" s="25" t="str">
        <f t="shared" si="105"/>
        <v/>
      </c>
      <c r="M8460" s="25"/>
      <c r="O8460" s="25"/>
    </row>
    <row r="8461" ht="15.75" customHeight="1">
      <c r="A8461" s="25" t="str">
        <f>IFERROR(__xludf.DUMMYFUNCTION("IF(B8461="""","""",RIGHT(REGEXREPLACE(B8461&amp;"""",""[^0-9]"",""""),9))"),"741128396")</f>
        <v>741128396</v>
      </c>
      <c r="B8461" s="52">
        <v>7.41128396E8</v>
      </c>
      <c r="C8461" s="28" t="s">
        <v>3780</v>
      </c>
      <c r="D8461" s="26" t="s">
        <v>64</v>
      </c>
      <c r="E8461" s="31">
        <v>46246.0</v>
      </c>
      <c r="F8461" s="26" t="s">
        <v>46</v>
      </c>
      <c r="I8461" s="26" t="s">
        <v>970</v>
      </c>
      <c r="J8461" s="25" t="str">
        <f t="shared" si="103"/>
        <v>Yes - see Previous F-Code</v>
      </c>
      <c r="K8461" s="25" t="str">
        <f t="shared" si="104"/>
        <v/>
      </c>
      <c r="L8461" s="25" t="str">
        <f t="shared" si="105"/>
        <v>F73432</v>
      </c>
      <c r="M8461" s="25"/>
      <c r="O8461" s="25"/>
    </row>
    <row r="8462" ht="15.75" customHeight="1">
      <c r="A8462" s="25" t="str">
        <f>IFERROR(__xludf.DUMMYFUNCTION("IF(B8462="""","""",RIGHT(REGEXREPLACE(B8462&amp;"""",""[^0-9]"",""""),9))"),"712195090")</f>
        <v>712195090</v>
      </c>
      <c r="B8462" s="52">
        <v>7.1219509E8</v>
      </c>
      <c r="C8462" s="28" t="s">
        <v>8644</v>
      </c>
      <c r="D8462" s="26" t="s">
        <v>82</v>
      </c>
      <c r="E8462" s="31">
        <v>46252.0</v>
      </c>
      <c r="F8462" s="26" t="s">
        <v>41</v>
      </c>
      <c r="I8462" s="26" t="s">
        <v>970</v>
      </c>
      <c r="J8462" s="25" t="str">
        <f t="shared" si="103"/>
        <v>Yes - see Previous F-Code</v>
      </c>
      <c r="K8462" s="25" t="str">
        <f t="shared" si="104"/>
        <v>DUPLICATE - CHECK</v>
      </c>
      <c r="L8462" s="25" t="str">
        <f t="shared" si="105"/>
        <v>F77055</v>
      </c>
      <c r="M8462" s="25"/>
      <c r="O8462" s="25"/>
    </row>
    <row r="8463" ht="15.75" customHeight="1">
      <c r="A8463" s="25" t="str">
        <f>IFERROR(__xludf.DUMMYFUNCTION("IF(B8463="""","""",RIGHT(REGEXREPLACE(B8463&amp;"""",""[^0-9]"",""""),9))"),"772740855")</f>
        <v>772740855</v>
      </c>
      <c r="B8463" s="52">
        <v>7.72740855E8</v>
      </c>
      <c r="C8463" s="28" t="s">
        <v>8645</v>
      </c>
      <c r="D8463" s="26" t="s">
        <v>49</v>
      </c>
      <c r="E8463" s="31">
        <v>46246.0</v>
      </c>
      <c r="F8463" s="26" t="s">
        <v>41</v>
      </c>
      <c r="I8463" s="26" t="s">
        <v>970</v>
      </c>
      <c r="J8463" s="25" t="str">
        <f t="shared" si="103"/>
        <v>No</v>
      </c>
      <c r="K8463" s="25" t="str">
        <f t="shared" si="104"/>
        <v/>
      </c>
      <c r="L8463" s="25" t="str">
        <f t="shared" si="105"/>
        <v/>
      </c>
      <c r="M8463" s="25"/>
      <c r="O8463" s="25"/>
    </row>
    <row r="8464" ht="15.75" customHeight="1">
      <c r="A8464" s="25" t="str">
        <f>IFERROR(__xludf.DUMMYFUNCTION("IF(B8464="""","""",RIGHT(REGEXREPLACE(B8464&amp;"""",""[^0-9]"",""""),9))"),"714225395")</f>
        <v>714225395</v>
      </c>
      <c r="B8464" s="52">
        <v>7.14225395E8</v>
      </c>
      <c r="C8464" s="28" t="s">
        <v>8646</v>
      </c>
      <c r="D8464" s="26" t="s">
        <v>64</v>
      </c>
      <c r="E8464" s="31">
        <v>46246.0</v>
      </c>
      <c r="F8464" s="26" t="s">
        <v>41</v>
      </c>
      <c r="I8464" s="26" t="s">
        <v>970</v>
      </c>
      <c r="J8464" s="25" t="str">
        <f t="shared" si="103"/>
        <v>No</v>
      </c>
      <c r="K8464" s="25" t="str">
        <f t="shared" si="104"/>
        <v/>
      </c>
      <c r="L8464" s="25" t="str">
        <f t="shared" si="105"/>
        <v/>
      </c>
      <c r="M8464" s="25"/>
      <c r="O8464" s="25"/>
    </row>
    <row r="8465" ht="15.75" customHeight="1">
      <c r="A8465" s="25" t="str">
        <f>IFERROR(__xludf.DUMMYFUNCTION("IF(B8465="""","""",RIGHT(REGEXREPLACE(B8465&amp;"""",""[^0-9]"",""""),9))"),"768654295")</f>
        <v>768654295</v>
      </c>
      <c r="B8465" s="52">
        <v>7.68654295E8</v>
      </c>
      <c r="C8465" s="28" t="s">
        <v>8399</v>
      </c>
      <c r="D8465" s="26" t="s">
        <v>64</v>
      </c>
      <c r="E8465" s="31">
        <v>46246.0</v>
      </c>
      <c r="F8465" s="26" t="s">
        <v>46</v>
      </c>
      <c r="G8465" s="26">
        <v>9.0</v>
      </c>
      <c r="I8465" s="26" t="s">
        <v>970</v>
      </c>
      <c r="J8465" s="25" t="str">
        <f t="shared" si="103"/>
        <v>Yes - see Previous F-Code</v>
      </c>
      <c r="K8465" s="25" t="str">
        <f t="shared" si="104"/>
        <v>DUPLICATE - CHECK</v>
      </c>
      <c r="L8465" s="25" t="str">
        <f t="shared" si="105"/>
        <v>F77165</v>
      </c>
      <c r="M8465" s="25"/>
      <c r="O8465" s="25"/>
    </row>
    <row r="8466" ht="15.75" customHeight="1">
      <c r="A8466" s="25" t="str">
        <f>IFERROR(__xludf.DUMMYFUNCTION("IF(B8466="""","""",RIGHT(REGEXREPLACE(B8466&amp;"""",""[^0-9]"",""""),9))"),"704444833")</f>
        <v>704444833</v>
      </c>
      <c r="B8466" s="52">
        <v>7.04444833E8</v>
      </c>
      <c r="C8466" s="28" t="s">
        <v>8647</v>
      </c>
      <c r="D8466" s="26" t="s">
        <v>82</v>
      </c>
      <c r="E8466" s="31">
        <v>46246.0</v>
      </c>
      <c r="F8466" s="26" t="s">
        <v>46</v>
      </c>
      <c r="H8466" s="26" t="s">
        <v>8648</v>
      </c>
      <c r="I8466" s="26" t="s">
        <v>970</v>
      </c>
      <c r="J8466" s="25" t="str">
        <f t="shared" si="103"/>
        <v>No</v>
      </c>
      <c r="K8466" s="25" t="str">
        <f t="shared" si="104"/>
        <v/>
      </c>
      <c r="L8466" s="25" t="str">
        <f t="shared" si="105"/>
        <v/>
      </c>
      <c r="M8466" s="25"/>
      <c r="O8466" s="25"/>
    </row>
    <row r="8467" ht="15.75" customHeight="1">
      <c r="A8467" s="25" t="str">
        <f>IFERROR(__xludf.DUMMYFUNCTION("IF(B8467="""","""",RIGHT(REGEXREPLACE(B8467&amp;"""",""[^0-9]"",""""),9))"),"713734543")</f>
        <v>713734543</v>
      </c>
      <c r="B8467" s="52">
        <v>7.13734543E8</v>
      </c>
      <c r="C8467" s="28" t="s">
        <v>8649</v>
      </c>
      <c r="D8467" s="26" t="s">
        <v>49</v>
      </c>
      <c r="E8467" s="31">
        <v>46246.0</v>
      </c>
      <c r="F8467" s="26" t="s">
        <v>46</v>
      </c>
      <c r="G8467" s="26">
        <v>11.0</v>
      </c>
      <c r="H8467" s="26" t="s">
        <v>2293</v>
      </c>
      <c r="I8467" s="26" t="s">
        <v>970</v>
      </c>
      <c r="J8467" s="25" t="str">
        <f t="shared" si="103"/>
        <v>No</v>
      </c>
      <c r="K8467" s="25" t="str">
        <f t="shared" si="104"/>
        <v/>
      </c>
      <c r="L8467" s="25" t="str">
        <f t="shared" si="105"/>
        <v/>
      </c>
      <c r="M8467" s="25"/>
      <c r="O8467" s="25"/>
    </row>
    <row r="8468" ht="15.75" customHeight="1">
      <c r="A8468" s="25" t="str">
        <f>IFERROR(__xludf.DUMMYFUNCTION("IF(B8468="""","""",RIGHT(REGEXREPLACE(B8468&amp;"""",""[^0-9]"",""""),9))"),"764643091")</f>
        <v>764643091</v>
      </c>
      <c r="B8468" s="52">
        <v>7.64643091E8</v>
      </c>
      <c r="C8468" s="28" t="s">
        <v>4143</v>
      </c>
      <c r="D8468" s="26" t="s">
        <v>45</v>
      </c>
      <c r="E8468" s="31">
        <v>46246.0</v>
      </c>
      <c r="F8468" s="26" t="s">
        <v>205</v>
      </c>
      <c r="I8468" s="26" t="s">
        <v>970</v>
      </c>
      <c r="J8468" s="25" t="str">
        <f t="shared" si="103"/>
        <v>Yes - see Previous F-Code</v>
      </c>
      <c r="K8468" s="25" t="str">
        <f t="shared" si="104"/>
        <v/>
      </c>
      <c r="L8468" s="25" t="str">
        <f t="shared" si="105"/>
        <v>F73780</v>
      </c>
      <c r="M8468" s="25"/>
      <c r="O8468" s="25"/>
    </row>
    <row r="8469" ht="15.75" customHeight="1">
      <c r="A8469" s="25" t="str">
        <f>IFERROR(__xludf.DUMMYFUNCTION("IF(B8469="""","""",RIGHT(REGEXREPLACE(B8469&amp;"""",""[^0-9]"",""""),9))"),"743896623")</f>
        <v>743896623</v>
      </c>
      <c r="B8469" s="52">
        <v>7.43896623E8</v>
      </c>
      <c r="C8469" s="28" t="s">
        <v>8210</v>
      </c>
      <c r="D8469" s="26" t="s">
        <v>82</v>
      </c>
      <c r="E8469" s="31">
        <v>46246.0</v>
      </c>
      <c r="F8469" s="26" t="s">
        <v>46</v>
      </c>
      <c r="G8469" s="26">
        <v>9.0</v>
      </c>
      <c r="I8469" s="26" t="s">
        <v>970</v>
      </c>
      <c r="J8469" s="25" t="str">
        <f t="shared" si="103"/>
        <v>Yes - see Previous F-Code</v>
      </c>
      <c r="K8469" s="25" t="str">
        <f t="shared" si="104"/>
        <v>DUPLICATE - CHECK</v>
      </c>
      <c r="L8469" s="25" t="str">
        <f t="shared" si="105"/>
        <v>F77020</v>
      </c>
      <c r="M8469" s="25"/>
      <c r="O8469" s="25"/>
    </row>
    <row r="8470" ht="15.75" customHeight="1">
      <c r="A8470" s="25" t="str">
        <f>IFERROR(__xludf.DUMMYFUNCTION("IF(B8470="""","""",RIGHT(REGEXREPLACE(B8470&amp;"""",""[^0-9]"",""""),9))"),"715311676")</f>
        <v>715311676</v>
      </c>
      <c r="B8470" s="52">
        <v>7.15311676E8</v>
      </c>
      <c r="C8470" s="28" t="s">
        <v>8650</v>
      </c>
      <c r="D8470" s="26" t="s">
        <v>64</v>
      </c>
      <c r="E8470" s="31">
        <v>46246.0</v>
      </c>
      <c r="F8470" s="26" t="s">
        <v>205</v>
      </c>
      <c r="I8470" s="26" t="s">
        <v>970</v>
      </c>
      <c r="J8470" s="25" t="str">
        <f t="shared" si="103"/>
        <v>No</v>
      </c>
      <c r="K8470" s="25" t="str">
        <f t="shared" si="104"/>
        <v/>
      </c>
      <c r="L8470" s="25" t="str">
        <f t="shared" si="105"/>
        <v/>
      </c>
      <c r="M8470" s="25"/>
      <c r="O8470" s="25"/>
    </row>
    <row r="8471" ht="15.75" customHeight="1">
      <c r="A8471" s="25" t="str">
        <f>IFERROR(__xludf.DUMMYFUNCTION("IF(B8471="""","""",RIGHT(REGEXREPLACE(B8471&amp;"""",""[^0-9]"",""""),9))"),"740953604")</f>
        <v>740953604</v>
      </c>
      <c r="B8471" s="52">
        <v>7.40953604E8</v>
      </c>
      <c r="C8471" s="28" t="s">
        <v>8650</v>
      </c>
      <c r="D8471" s="26" t="s">
        <v>45</v>
      </c>
      <c r="E8471" s="31">
        <v>46246.0</v>
      </c>
      <c r="F8471" s="26" t="s">
        <v>41</v>
      </c>
      <c r="I8471" s="26" t="s">
        <v>970</v>
      </c>
      <c r="J8471" s="25" t="str">
        <f t="shared" si="103"/>
        <v>No</v>
      </c>
      <c r="K8471" s="25" t="str">
        <f t="shared" si="104"/>
        <v/>
      </c>
      <c r="L8471" s="25" t="str">
        <f t="shared" si="105"/>
        <v/>
      </c>
      <c r="M8471" s="25"/>
      <c r="O8471" s="25"/>
    </row>
    <row r="8472" ht="15.75" customHeight="1">
      <c r="A8472" s="25" t="str">
        <f>IFERROR(__xludf.DUMMYFUNCTION("IF(B8472="""","""",RIGHT(REGEXREPLACE(B8472&amp;"""",""[^0-9]"",""""),9))"),"779094322")</f>
        <v>779094322</v>
      </c>
      <c r="B8472" s="52">
        <v>7.79094322E8</v>
      </c>
      <c r="C8472" s="28" t="s">
        <v>8651</v>
      </c>
      <c r="D8472" s="26" t="s">
        <v>64</v>
      </c>
      <c r="E8472" s="31">
        <v>46246.0</v>
      </c>
      <c r="F8472" s="26" t="s">
        <v>46</v>
      </c>
      <c r="G8472" s="26">
        <v>10.0</v>
      </c>
      <c r="I8472" s="26" t="s">
        <v>970</v>
      </c>
      <c r="J8472" s="25" t="str">
        <f t="shared" si="103"/>
        <v>No</v>
      </c>
      <c r="K8472" s="25" t="str">
        <f t="shared" si="104"/>
        <v/>
      </c>
      <c r="L8472" s="25" t="str">
        <f t="shared" si="105"/>
        <v/>
      </c>
      <c r="M8472" s="25"/>
      <c r="O8472" s="25"/>
    </row>
    <row r="8473" ht="15.75" customHeight="1">
      <c r="A8473" s="25" t="str">
        <f>IFERROR(__xludf.DUMMYFUNCTION("IF(B8473="""","""",RIGHT(REGEXREPLACE(B8473&amp;"""",""[^0-9]"",""""),9))"),"762982760")</f>
        <v>762982760</v>
      </c>
      <c r="B8473" s="52">
        <v>7.6298276E8</v>
      </c>
      <c r="C8473" s="28" t="s">
        <v>8308</v>
      </c>
      <c r="D8473" s="26" t="s">
        <v>45</v>
      </c>
      <c r="E8473" s="31">
        <v>46246.0</v>
      </c>
      <c r="F8473" s="26" t="s">
        <v>46</v>
      </c>
      <c r="G8473" s="26">
        <v>9.0</v>
      </c>
      <c r="I8473" s="26" t="s">
        <v>970</v>
      </c>
      <c r="J8473" s="25" t="str">
        <f t="shared" si="103"/>
        <v>Yes - see Previous F-Code</v>
      </c>
      <c r="K8473" s="25" t="str">
        <f t="shared" si="104"/>
        <v>DUPLICATE - CHECK</v>
      </c>
      <c r="L8473" s="25" t="str">
        <f t="shared" si="105"/>
        <v>F77094</v>
      </c>
      <c r="M8473" s="25"/>
      <c r="O8473" s="26" t="s">
        <v>51</v>
      </c>
    </row>
    <row r="8474" ht="15.75" customHeight="1">
      <c r="A8474" s="25" t="str">
        <f>IFERROR(__xludf.DUMMYFUNCTION("IF(B8474="""","""",RIGHT(REGEXREPLACE(B8474&amp;"""",""[^0-9]"",""""),9))"),"773515217")</f>
        <v>773515217</v>
      </c>
      <c r="B8474" s="52">
        <v>7.73515217E8</v>
      </c>
      <c r="C8474" s="28" t="s">
        <v>1223</v>
      </c>
      <c r="D8474" s="26" t="s">
        <v>64</v>
      </c>
      <c r="E8474" s="31">
        <v>46246.0</v>
      </c>
      <c r="F8474" s="26" t="s">
        <v>46</v>
      </c>
      <c r="G8474" s="26">
        <v>11.0</v>
      </c>
      <c r="I8474" s="26" t="s">
        <v>970</v>
      </c>
      <c r="J8474" s="25" t="str">
        <f t="shared" si="103"/>
        <v>No</v>
      </c>
      <c r="K8474" s="25" t="str">
        <f t="shared" si="104"/>
        <v/>
      </c>
      <c r="L8474" s="25" t="str">
        <f t="shared" si="105"/>
        <v/>
      </c>
      <c r="M8474" s="25"/>
      <c r="O8474" s="25"/>
    </row>
    <row r="8475" ht="15.75" customHeight="1">
      <c r="A8475" s="25" t="str">
        <f>IFERROR(__xludf.DUMMYFUNCTION("IF(B8475="""","""",RIGHT(REGEXREPLACE(B8475&amp;"""",""[^0-9]"",""""),9))"),"763627921")</f>
        <v>763627921</v>
      </c>
      <c r="B8475" s="52">
        <v>7.63627921E8</v>
      </c>
      <c r="C8475" s="28" t="s">
        <v>185</v>
      </c>
      <c r="D8475" s="26" t="s">
        <v>82</v>
      </c>
      <c r="E8475" s="31">
        <v>46246.0</v>
      </c>
      <c r="F8475" s="26" t="s">
        <v>46</v>
      </c>
      <c r="I8475" s="26" t="s">
        <v>970</v>
      </c>
      <c r="J8475" s="25" t="str">
        <f t="shared" si="103"/>
        <v>Yes - see Previous F-Code</v>
      </c>
      <c r="K8475" s="25" t="str">
        <f t="shared" si="104"/>
        <v/>
      </c>
      <c r="L8475" s="25" t="str">
        <f t="shared" si="105"/>
        <v>F70081</v>
      </c>
      <c r="M8475" s="25"/>
      <c r="O8475" s="25"/>
    </row>
    <row r="8476" ht="15.75" customHeight="1">
      <c r="A8476" s="25" t="str">
        <f>IFERROR(__xludf.DUMMYFUNCTION("IF(B8476="""","""",RIGHT(REGEXREPLACE(B8476&amp;"""",""[^0-9]"",""""),9))"),"772122295")</f>
        <v>772122295</v>
      </c>
      <c r="B8476" s="52">
        <v>7.72122295E8</v>
      </c>
      <c r="C8476" s="28" t="s">
        <v>8652</v>
      </c>
      <c r="D8476" s="26" t="s">
        <v>49</v>
      </c>
      <c r="E8476" s="31">
        <v>46246.0</v>
      </c>
      <c r="F8476" s="26" t="s">
        <v>41</v>
      </c>
      <c r="I8476" s="26" t="s">
        <v>970</v>
      </c>
      <c r="J8476" s="25" t="str">
        <f t="shared" si="103"/>
        <v>No</v>
      </c>
      <c r="K8476" s="25" t="str">
        <f t="shared" si="104"/>
        <v/>
      </c>
      <c r="L8476" s="25" t="str">
        <f t="shared" si="105"/>
        <v/>
      </c>
      <c r="M8476" s="25"/>
      <c r="O8476" s="25"/>
    </row>
    <row r="8477" ht="15.75" customHeight="1">
      <c r="A8477" s="25" t="str">
        <f>IFERROR(__xludf.DUMMYFUNCTION("IF(B8477="""","""",RIGHT(REGEXREPLACE(B8477&amp;"""",""[^0-9]"",""""),9))"),"781177689")</f>
        <v>781177689</v>
      </c>
      <c r="B8477" s="52">
        <v>7.81177689E8</v>
      </c>
      <c r="C8477" s="28" t="s">
        <v>8653</v>
      </c>
      <c r="D8477" s="26" t="s">
        <v>64</v>
      </c>
      <c r="E8477" s="31">
        <v>46246.0</v>
      </c>
      <c r="F8477" s="26" t="s">
        <v>41</v>
      </c>
      <c r="I8477" s="26" t="s">
        <v>970</v>
      </c>
      <c r="J8477" s="25" t="str">
        <f t="shared" si="103"/>
        <v>No</v>
      </c>
      <c r="K8477" s="25" t="str">
        <f t="shared" si="104"/>
        <v/>
      </c>
      <c r="L8477" s="25" t="str">
        <f t="shared" si="105"/>
        <v/>
      </c>
      <c r="M8477" s="25"/>
      <c r="O8477" s="25"/>
    </row>
    <row r="8478" ht="15.75" customHeight="1">
      <c r="A8478" s="25" t="str">
        <f>IFERROR(__xludf.DUMMYFUNCTION("IF(B8478="""","""",RIGHT(REGEXREPLACE(B8478&amp;"""",""[^0-9]"",""""),9))"),"715226303")</f>
        <v>715226303</v>
      </c>
      <c r="B8478" s="52">
        <v>7.15226303E8</v>
      </c>
      <c r="C8478" s="28" t="s">
        <v>8654</v>
      </c>
      <c r="D8478" s="26" t="s">
        <v>45</v>
      </c>
      <c r="E8478" s="31">
        <v>46246.0</v>
      </c>
      <c r="F8478" s="26" t="s">
        <v>46</v>
      </c>
      <c r="G8478" s="26">
        <v>10.0</v>
      </c>
      <c r="I8478" s="26" t="s">
        <v>970</v>
      </c>
      <c r="J8478" s="25" t="str">
        <f t="shared" si="103"/>
        <v>No</v>
      </c>
      <c r="K8478" s="25" t="str">
        <f t="shared" si="104"/>
        <v/>
      </c>
      <c r="L8478" s="25" t="str">
        <f t="shared" si="105"/>
        <v/>
      </c>
      <c r="M8478" s="25"/>
      <c r="O8478" s="25"/>
    </row>
    <row r="8479" ht="15.75" customHeight="1">
      <c r="A8479" s="25" t="str">
        <f>IFERROR(__xludf.DUMMYFUNCTION("IF(B8479="""","""",RIGHT(REGEXREPLACE(B8479&amp;"""",""[^0-9]"",""""),9))"),"774375806")</f>
        <v>774375806</v>
      </c>
      <c r="B8479" s="52">
        <v>7.74375806E8</v>
      </c>
      <c r="C8479" s="28" t="s">
        <v>8381</v>
      </c>
      <c r="D8479" s="26" t="s">
        <v>64</v>
      </c>
      <c r="E8479" s="31">
        <v>46246.0</v>
      </c>
      <c r="F8479" s="26" t="s">
        <v>41</v>
      </c>
      <c r="G8479" s="26">
        <v>10.0</v>
      </c>
      <c r="I8479" s="26" t="s">
        <v>970</v>
      </c>
      <c r="J8479" s="25" t="str">
        <f t="shared" si="103"/>
        <v>Yes - see Previous F-Code</v>
      </c>
      <c r="K8479" s="25" t="str">
        <f t="shared" si="104"/>
        <v>DUPLICATE - CHECK</v>
      </c>
      <c r="L8479" s="25" t="str">
        <f t="shared" si="105"/>
        <v>F77245</v>
      </c>
      <c r="M8479" s="25"/>
      <c r="O8479" s="25"/>
    </row>
    <row r="8480" ht="15.75" customHeight="1">
      <c r="A8480" s="25" t="str">
        <f>IFERROR(__xludf.DUMMYFUNCTION("IF(B8480="""","""",RIGHT(REGEXREPLACE(B8480&amp;"""",""[^0-9]"",""""),9))"),"718028098")</f>
        <v>718028098</v>
      </c>
      <c r="B8480" s="52">
        <v>7.18028098E8</v>
      </c>
      <c r="C8480" s="28" t="s">
        <v>8655</v>
      </c>
      <c r="D8480" s="26" t="s">
        <v>49</v>
      </c>
      <c r="E8480" s="31">
        <v>46246.0</v>
      </c>
      <c r="F8480" s="26" t="s">
        <v>46</v>
      </c>
      <c r="G8480" s="26">
        <v>10.0</v>
      </c>
      <c r="I8480" s="26" t="s">
        <v>970</v>
      </c>
      <c r="J8480" s="25" t="str">
        <f t="shared" si="103"/>
        <v>No</v>
      </c>
      <c r="K8480" s="25" t="str">
        <f t="shared" si="104"/>
        <v/>
      </c>
      <c r="L8480" s="25" t="str">
        <f t="shared" si="105"/>
        <v/>
      </c>
      <c r="M8480" s="25"/>
      <c r="O8480" s="25"/>
    </row>
    <row r="8481" ht="15.75" customHeight="1">
      <c r="A8481" s="25" t="str">
        <f>IFERROR(__xludf.DUMMYFUNCTION("IF(B8481="""","""",RIGHT(REGEXREPLACE(B8481&amp;"""",""[^0-9]"",""""),9))"),"767525878")</f>
        <v>767525878</v>
      </c>
      <c r="B8481" s="52">
        <v>7.67525878E8</v>
      </c>
      <c r="C8481" s="28" t="s">
        <v>3963</v>
      </c>
      <c r="D8481" s="26" t="s">
        <v>82</v>
      </c>
      <c r="E8481" s="31">
        <v>46246.0</v>
      </c>
      <c r="F8481" s="26" t="s">
        <v>46</v>
      </c>
      <c r="G8481" s="26">
        <v>9.0</v>
      </c>
      <c r="I8481" s="26" t="s">
        <v>970</v>
      </c>
      <c r="J8481" s="25" t="str">
        <f t="shared" si="103"/>
        <v>Yes - see Previous F-Code</v>
      </c>
      <c r="K8481" s="25" t="str">
        <f t="shared" si="104"/>
        <v/>
      </c>
      <c r="L8481" s="25" t="str">
        <f t="shared" si="105"/>
        <v>F73609</v>
      </c>
      <c r="M8481" s="25"/>
      <c r="O8481" s="25"/>
    </row>
    <row r="8482" ht="15.75" customHeight="1">
      <c r="A8482" s="25" t="str">
        <f>IFERROR(__xludf.DUMMYFUNCTION("IF(B8482="""","""",RIGHT(REGEXREPLACE(B8482&amp;"""",""[^0-9]"",""""),9))"),"705767416")</f>
        <v>705767416</v>
      </c>
      <c r="B8482" s="52">
        <v>7.05767416E8</v>
      </c>
      <c r="C8482" s="28" t="s">
        <v>8656</v>
      </c>
      <c r="D8482" s="26" t="s">
        <v>64</v>
      </c>
      <c r="E8482" s="31">
        <v>46246.0</v>
      </c>
      <c r="F8482" s="26" t="s">
        <v>41</v>
      </c>
      <c r="I8482" s="26" t="s">
        <v>970</v>
      </c>
      <c r="J8482" s="25" t="str">
        <f t="shared" si="103"/>
        <v>No</v>
      </c>
      <c r="K8482" s="25" t="str">
        <f t="shared" si="104"/>
        <v/>
      </c>
      <c r="L8482" s="25" t="str">
        <f t="shared" si="105"/>
        <v/>
      </c>
      <c r="M8482" s="25"/>
      <c r="O8482" s="25"/>
    </row>
    <row r="8483" ht="15.75" customHeight="1">
      <c r="A8483" s="25" t="str">
        <f>IFERROR(__xludf.DUMMYFUNCTION("IF(B8483="""","""",RIGHT(REGEXREPLACE(B8483&amp;"""",""[^0-9]"",""""),9))"),"761548560")</f>
        <v>761548560</v>
      </c>
      <c r="B8483" s="52">
        <v>7.6154856E8</v>
      </c>
      <c r="C8483" s="28" t="s">
        <v>8657</v>
      </c>
      <c r="D8483" s="26" t="s">
        <v>45</v>
      </c>
      <c r="E8483" s="31">
        <v>46246.0</v>
      </c>
      <c r="F8483" s="26" t="s">
        <v>46</v>
      </c>
      <c r="G8483" s="26">
        <v>11.0</v>
      </c>
      <c r="I8483" s="26" t="s">
        <v>970</v>
      </c>
      <c r="J8483" s="25" t="str">
        <f t="shared" si="103"/>
        <v>No</v>
      </c>
      <c r="K8483" s="25" t="str">
        <f t="shared" si="104"/>
        <v/>
      </c>
      <c r="L8483" s="25" t="str">
        <f t="shared" si="105"/>
        <v/>
      </c>
      <c r="M8483" s="25"/>
      <c r="O8483" s="25"/>
    </row>
    <row r="8484" ht="15.75" customHeight="1">
      <c r="A8484" s="25" t="str">
        <f>IFERROR(__xludf.DUMMYFUNCTION("IF(B8484="""","""",RIGHT(REGEXREPLACE(B8484&amp;"""",""[^0-9]"",""""),9))"),"714276550")</f>
        <v>714276550</v>
      </c>
      <c r="B8484" s="52">
        <v>7.1427655E8</v>
      </c>
      <c r="C8484" s="28" t="s">
        <v>8658</v>
      </c>
      <c r="D8484" s="26" t="s">
        <v>49</v>
      </c>
      <c r="E8484" s="31">
        <v>46246.0</v>
      </c>
      <c r="F8484" s="26" t="s">
        <v>46</v>
      </c>
      <c r="G8484" s="26">
        <v>10.0</v>
      </c>
      <c r="I8484" s="26" t="s">
        <v>970</v>
      </c>
      <c r="J8484" s="25" t="str">
        <f t="shared" si="103"/>
        <v>No</v>
      </c>
      <c r="K8484" s="25" t="str">
        <f t="shared" si="104"/>
        <v/>
      </c>
      <c r="L8484" s="25" t="str">
        <f t="shared" si="105"/>
        <v/>
      </c>
      <c r="M8484" s="25"/>
      <c r="O8484" s="25"/>
    </row>
    <row r="8485" ht="15.75" customHeight="1">
      <c r="A8485" s="25" t="str">
        <f>IFERROR(__xludf.DUMMYFUNCTION("IF(B8485="""","""",RIGHT(REGEXREPLACE(B8485&amp;"""",""[^0-9]"",""""),9))"),"713636466")</f>
        <v>713636466</v>
      </c>
      <c r="B8485" s="52">
        <v>7.13636466E8</v>
      </c>
      <c r="C8485" s="28" t="s">
        <v>8659</v>
      </c>
      <c r="D8485" s="26" t="s">
        <v>64</v>
      </c>
      <c r="E8485" s="31">
        <v>46246.0</v>
      </c>
      <c r="F8485" s="26" t="s">
        <v>46</v>
      </c>
      <c r="I8485" s="26" t="s">
        <v>970</v>
      </c>
      <c r="J8485" s="25" t="str">
        <f t="shared" si="103"/>
        <v>No</v>
      </c>
      <c r="K8485" s="25" t="str">
        <f t="shared" si="104"/>
        <v/>
      </c>
      <c r="L8485" s="25" t="str">
        <f t="shared" si="105"/>
        <v/>
      </c>
      <c r="M8485" s="25"/>
      <c r="O8485" s="25"/>
    </row>
    <row r="8486" ht="15.75" customHeight="1">
      <c r="A8486" s="25" t="str">
        <f>IFERROR(__xludf.DUMMYFUNCTION("IF(B8486="""","""",RIGHT(REGEXREPLACE(B8486&amp;"""",""[^0-9]"",""""),9))"),"772097352")</f>
        <v>772097352</v>
      </c>
      <c r="B8486" s="52">
        <v>7.72097352E8</v>
      </c>
      <c r="C8486" s="28" t="s">
        <v>8660</v>
      </c>
      <c r="D8486" s="26" t="s">
        <v>45</v>
      </c>
      <c r="E8486" s="31">
        <v>46246.0</v>
      </c>
      <c r="F8486" s="26" t="s">
        <v>205</v>
      </c>
      <c r="I8486" s="26" t="s">
        <v>970</v>
      </c>
      <c r="J8486" s="25" t="str">
        <f t="shared" si="103"/>
        <v>Yes - see Previous F-Code</v>
      </c>
      <c r="K8486" s="25" t="str">
        <f t="shared" si="104"/>
        <v/>
      </c>
      <c r="L8486" s="25" t="str">
        <f t="shared" si="105"/>
        <v>F76683</v>
      </c>
      <c r="M8486" s="25"/>
      <c r="O8486" s="25"/>
    </row>
    <row r="8487" ht="15.75" customHeight="1">
      <c r="A8487" s="25" t="str">
        <f>IFERROR(__xludf.DUMMYFUNCTION("IF(B8487="""","""",RIGHT(REGEXREPLACE(B8487&amp;"""",""[^0-9]"",""""),9))"),"702922510")</f>
        <v>702922510</v>
      </c>
      <c r="B8487" s="52">
        <v>7.0292251E8</v>
      </c>
      <c r="C8487" s="28" t="s">
        <v>2678</v>
      </c>
      <c r="D8487" s="26" t="s">
        <v>45</v>
      </c>
      <c r="E8487" s="31">
        <v>46246.0</v>
      </c>
      <c r="F8487" s="26" t="s">
        <v>41</v>
      </c>
      <c r="I8487" s="26" t="s">
        <v>970</v>
      </c>
      <c r="J8487" s="25" t="str">
        <f t="shared" si="103"/>
        <v>Yes - see Previous F-Code</v>
      </c>
      <c r="K8487" s="25" t="str">
        <f t="shared" si="104"/>
        <v>DUPLICATE - CHECK</v>
      </c>
      <c r="L8487" s="25" t="str">
        <f t="shared" si="105"/>
        <v>F72366</v>
      </c>
      <c r="M8487" s="25"/>
      <c r="O8487" s="25"/>
    </row>
    <row r="8488" ht="15.75" customHeight="1">
      <c r="A8488" s="25" t="str">
        <f>IFERROR(__xludf.DUMMYFUNCTION("IF(B8488="""","""",RIGHT(REGEXREPLACE(B8488&amp;"""",""[^0-9]"",""""),9))"),"712015486")</f>
        <v>712015486</v>
      </c>
      <c r="B8488" s="52">
        <v>7.12015486E8</v>
      </c>
      <c r="C8488" s="28" t="s">
        <v>8661</v>
      </c>
      <c r="D8488" s="26" t="s">
        <v>64</v>
      </c>
      <c r="E8488" s="31">
        <v>46246.0</v>
      </c>
      <c r="F8488" s="26" t="s">
        <v>46</v>
      </c>
      <c r="H8488" s="26" t="s">
        <v>8573</v>
      </c>
      <c r="I8488" s="26" t="s">
        <v>970</v>
      </c>
      <c r="J8488" s="25" t="str">
        <f t="shared" si="103"/>
        <v>No</v>
      </c>
      <c r="K8488" s="25" t="str">
        <f t="shared" si="104"/>
        <v/>
      </c>
      <c r="L8488" s="25" t="str">
        <f t="shared" si="105"/>
        <v/>
      </c>
      <c r="M8488" s="25"/>
      <c r="O8488" s="25"/>
    </row>
    <row r="8489" ht="15.75" customHeight="1">
      <c r="A8489" s="25" t="str">
        <f>IFERROR(__xludf.DUMMYFUNCTION("IF(B8489="""","""",RIGHT(REGEXREPLACE(B8489&amp;"""",""[^0-9]"",""""),9))"),"774901823")</f>
        <v>774901823</v>
      </c>
      <c r="B8489" s="52">
        <v>7.74901823E8</v>
      </c>
      <c r="C8489" s="28" t="s">
        <v>8662</v>
      </c>
      <c r="D8489" s="26" t="s">
        <v>49</v>
      </c>
      <c r="E8489" s="31">
        <v>46246.0</v>
      </c>
      <c r="F8489" s="26" t="s">
        <v>46</v>
      </c>
      <c r="G8489" s="26">
        <v>10.0</v>
      </c>
      <c r="H8489" s="26" t="s">
        <v>8663</v>
      </c>
      <c r="I8489" s="26" t="s">
        <v>970</v>
      </c>
      <c r="J8489" s="25" t="str">
        <f t="shared" si="103"/>
        <v>No</v>
      </c>
      <c r="K8489" s="25" t="str">
        <f t="shared" si="104"/>
        <v/>
      </c>
      <c r="L8489" s="25" t="str">
        <f t="shared" si="105"/>
        <v/>
      </c>
      <c r="M8489" s="25"/>
      <c r="O8489" s="25"/>
    </row>
    <row r="8490" ht="15.75" customHeight="1">
      <c r="A8490" s="25" t="str">
        <f>IFERROR(__xludf.DUMMYFUNCTION("IF(B8490="""","""",RIGHT(REGEXREPLACE(B8490&amp;"""",""[^0-9]"",""""),9))"),"754116430")</f>
        <v>754116430</v>
      </c>
      <c r="B8490" s="52">
        <v>7.5411643E8</v>
      </c>
      <c r="C8490" s="28" t="s">
        <v>8664</v>
      </c>
      <c r="D8490" s="26" t="s">
        <v>82</v>
      </c>
      <c r="E8490" s="31">
        <v>46246.0</v>
      </c>
      <c r="F8490" s="26" t="s">
        <v>46</v>
      </c>
      <c r="I8490" s="26" t="s">
        <v>970</v>
      </c>
      <c r="J8490" s="25" t="str">
        <f t="shared" si="103"/>
        <v>No</v>
      </c>
      <c r="K8490" s="25" t="str">
        <f t="shared" si="104"/>
        <v/>
      </c>
      <c r="L8490" s="25" t="str">
        <f t="shared" si="105"/>
        <v/>
      </c>
      <c r="M8490" s="25"/>
      <c r="O8490" s="25"/>
    </row>
    <row r="8491" ht="15.75" customHeight="1">
      <c r="A8491" s="25" t="str">
        <f>IFERROR(__xludf.DUMMYFUNCTION("IF(B8491="""","""",RIGHT(REGEXREPLACE(B8491&amp;"""",""[^0-9]"",""""),9))"),"712292348")</f>
        <v>712292348</v>
      </c>
      <c r="B8491" s="52">
        <v>7.12292348E8</v>
      </c>
      <c r="C8491" s="28" t="s">
        <v>2454</v>
      </c>
      <c r="D8491" s="26" t="s">
        <v>64</v>
      </c>
      <c r="E8491" s="31">
        <v>46246.0</v>
      </c>
      <c r="F8491" s="26" t="s">
        <v>41</v>
      </c>
      <c r="I8491" s="26" t="s">
        <v>970</v>
      </c>
      <c r="J8491" s="25" t="str">
        <f t="shared" si="103"/>
        <v>Yes - see Previous F-Code</v>
      </c>
      <c r="K8491" s="25" t="str">
        <f t="shared" si="104"/>
        <v/>
      </c>
      <c r="L8491" s="25" t="str">
        <f t="shared" si="105"/>
        <v>F72147</v>
      </c>
      <c r="M8491" s="25"/>
      <c r="O8491" s="25"/>
    </row>
    <row r="8492" ht="15.75" customHeight="1">
      <c r="A8492" s="25" t="str">
        <f>IFERROR(__xludf.DUMMYFUNCTION("IF(B8492="""","""",RIGHT(REGEXREPLACE(B8492&amp;"""",""[^0-9]"",""""),9))"),"750245193")</f>
        <v>750245193</v>
      </c>
      <c r="B8492" s="52">
        <v>7.50245193E8</v>
      </c>
      <c r="C8492" s="28" t="s">
        <v>8517</v>
      </c>
      <c r="D8492" s="26" t="s">
        <v>56</v>
      </c>
      <c r="E8492" s="31">
        <v>46246.0</v>
      </c>
      <c r="F8492" s="26" t="s">
        <v>46</v>
      </c>
      <c r="G8492" s="26">
        <v>10.0</v>
      </c>
      <c r="H8492" s="26" t="s">
        <v>8235</v>
      </c>
      <c r="I8492" s="26" t="s">
        <v>970</v>
      </c>
      <c r="J8492" s="25" t="str">
        <f t="shared" si="103"/>
        <v>Yes - see Previous F-Code</v>
      </c>
      <c r="K8492" s="25" t="str">
        <f t="shared" si="104"/>
        <v>DUPLICATE - CHECK</v>
      </c>
      <c r="L8492" s="25" t="str">
        <f t="shared" si="105"/>
        <v>F77276</v>
      </c>
      <c r="M8492" s="25"/>
      <c r="O8492" s="25"/>
    </row>
    <row r="8493" ht="15.75" customHeight="1">
      <c r="A8493" s="25" t="str">
        <f>IFERROR(__xludf.DUMMYFUNCTION("IF(B8493="""","""",RIGHT(REGEXREPLACE(B8493&amp;"""",""[^0-9]"",""""),9))"),"717230271")</f>
        <v>717230271</v>
      </c>
      <c r="B8493" s="52">
        <v>7.17230271E8</v>
      </c>
      <c r="C8493" s="28" t="s">
        <v>8665</v>
      </c>
      <c r="D8493" s="26" t="s">
        <v>49</v>
      </c>
      <c r="E8493" s="31">
        <v>46246.0</v>
      </c>
      <c r="F8493" s="26" t="s">
        <v>46</v>
      </c>
      <c r="G8493" s="26">
        <v>10.0</v>
      </c>
      <c r="I8493" s="26" t="s">
        <v>970</v>
      </c>
      <c r="J8493" s="25" t="str">
        <f t="shared" si="103"/>
        <v>No</v>
      </c>
      <c r="K8493" s="25" t="str">
        <f t="shared" si="104"/>
        <v/>
      </c>
      <c r="L8493" s="25" t="str">
        <f t="shared" si="105"/>
        <v/>
      </c>
      <c r="M8493" s="25"/>
      <c r="O8493" s="25"/>
    </row>
    <row r="8494" ht="15.75" customHeight="1">
      <c r="A8494" s="25" t="str">
        <f>IFERROR(__xludf.DUMMYFUNCTION("IF(B8494="""","""",RIGHT(REGEXREPLACE(B8494&amp;"""",""[^0-9]"",""""),9))"),"781464645")</f>
        <v>781464645</v>
      </c>
      <c r="B8494" s="52">
        <v>7.81464645E8</v>
      </c>
      <c r="C8494" s="28" t="s">
        <v>2454</v>
      </c>
      <c r="D8494" s="26" t="s">
        <v>64</v>
      </c>
      <c r="E8494" s="31">
        <v>46246.0</v>
      </c>
      <c r="F8494" s="26" t="s">
        <v>46</v>
      </c>
      <c r="G8494" s="26">
        <v>10.0</v>
      </c>
      <c r="I8494" s="26" t="s">
        <v>970</v>
      </c>
      <c r="J8494" s="25" t="str">
        <f t="shared" si="103"/>
        <v>No</v>
      </c>
      <c r="K8494" s="25" t="str">
        <f t="shared" si="104"/>
        <v/>
      </c>
      <c r="L8494" s="25" t="str">
        <f t="shared" si="105"/>
        <v/>
      </c>
      <c r="M8494" s="25"/>
      <c r="O8494" s="25"/>
    </row>
    <row r="8495" ht="15.75" customHeight="1">
      <c r="A8495" s="25" t="str">
        <f>IFERROR(__xludf.DUMMYFUNCTION("IF(B8495="""","""",RIGHT(REGEXREPLACE(B8495&amp;"""",""[^0-9]"",""""),9))"),"779927065")</f>
        <v>779927065</v>
      </c>
      <c r="B8495" s="52">
        <v>7.79927065E8</v>
      </c>
      <c r="C8495" s="28" t="s">
        <v>4860</v>
      </c>
      <c r="D8495" s="26" t="s">
        <v>82</v>
      </c>
      <c r="E8495" s="31">
        <v>46246.0</v>
      </c>
      <c r="F8495" s="26" t="s">
        <v>41</v>
      </c>
      <c r="I8495" s="26" t="s">
        <v>970</v>
      </c>
      <c r="J8495" s="25" t="str">
        <f t="shared" si="103"/>
        <v>Yes - see Previous F-Code</v>
      </c>
      <c r="K8495" s="25" t="str">
        <f t="shared" si="104"/>
        <v/>
      </c>
      <c r="L8495" s="25" t="str">
        <f t="shared" si="105"/>
        <v>F74432</v>
      </c>
      <c r="M8495" s="25"/>
      <c r="O8495" s="25"/>
    </row>
    <row r="8496" ht="15.75" customHeight="1">
      <c r="A8496" s="25" t="str">
        <f>IFERROR(__xludf.DUMMYFUNCTION("IF(B8496="""","""",RIGHT(REGEXREPLACE(B8496&amp;"""",""[^0-9]"",""""),9))"),"702659201")</f>
        <v>702659201</v>
      </c>
      <c r="B8496" s="52">
        <v>7.02659201E8</v>
      </c>
      <c r="C8496" s="28" t="s">
        <v>1515</v>
      </c>
      <c r="D8496" s="26" t="s">
        <v>56</v>
      </c>
      <c r="E8496" s="31">
        <v>46246.0</v>
      </c>
      <c r="F8496" s="26" t="s">
        <v>659</v>
      </c>
      <c r="G8496" s="26">
        <v>11.0</v>
      </c>
      <c r="I8496" s="26" t="s">
        <v>970</v>
      </c>
      <c r="J8496" s="25" t="str">
        <f t="shared" si="103"/>
        <v>Yes - see Previous F-Code</v>
      </c>
      <c r="K8496" s="25" t="str">
        <f t="shared" si="104"/>
        <v/>
      </c>
      <c r="L8496" s="25" t="str">
        <f t="shared" si="105"/>
        <v>F71238</v>
      </c>
      <c r="M8496" s="25"/>
      <c r="O8496" s="25"/>
    </row>
    <row r="8497" ht="15.75" customHeight="1">
      <c r="A8497" s="25" t="str">
        <f>IFERROR(__xludf.DUMMYFUNCTION("IF(B8497="""","""",RIGHT(REGEXREPLACE(B8497&amp;"""",""[^0-9]"",""""),9))"),"770414675")</f>
        <v>770414675</v>
      </c>
      <c r="B8497" s="52">
        <v>7.70414675E8</v>
      </c>
      <c r="C8497" s="28" t="s">
        <v>8666</v>
      </c>
      <c r="D8497" s="26" t="s">
        <v>45</v>
      </c>
      <c r="E8497" s="31">
        <v>46246.0</v>
      </c>
      <c r="F8497" s="26" t="s">
        <v>46</v>
      </c>
      <c r="G8497" s="26">
        <v>11.0</v>
      </c>
      <c r="I8497" s="26" t="s">
        <v>970</v>
      </c>
      <c r="J8497" s="25" t="str">
        <f t="shared" si="103"/>
        <v>No</v>
      </c>
      <c r="K8497" s="25" t="str">
        <f t="shared" si="104"/>
        <v/>
      </c>
      <c r="L8497" s="25" t="str">
        <f t="shared" si="105"/>
        <v/>
      </c>
      <c r="M8497" s="25"/>
      <c r="O8497" s="25"/>
    </row>
    <row r="8498" ht="15.75" customHeight="1">
      <c r="A8498" s="25" t="str">
        <f>IFERROR(__xludf.DUMMYFUNCTION("IF(B8498="""","""",RIGHT(REGEXREPLACE(B8498&amp;"""",""[^0-9]"",""""),9))"),"774074361")</f>
        <v>774074361</v>
      </c>
      <c r="B8498" s="52">
        <v>7.74074361E8</v>
      </c>
      <c r="C8498" s="28" t="s">
        <v>8667</v>
      </c>
      <c r="D8498" s="26" t="s">
        <v>56</v>
      </c>
      <c r="E8498" s="31">
        <v>46246.0</v>
      </c>
      <c r="F8498" s="26" t="s">
        <v>631</v>
      </c>
      <c r="G8498" s="26">
        <v>11.0</v>
      </c>
      <c r="H8498" s="26" t="s">
        <v>8235</v>
      </c>
      <c r="I8498" s="26" t="s">
        <v>970</v>
      </c>
      <c r="J8498" s="25" t="str">
        <f t="shared" si="103"/>
        <v>No</v>
      </c>
      <c r="K8498" s="25" t="str">
        <f t="shared" si="104"/>
        <v/>
      </c>
      <c r="L8498" s="25" t="str">
        <f t="shared" si="105"/>
        <v/>
      </c>
      <c r="M8498" s="25"/>
      <c r="O8498" s="25"/>
    </row>
    <row r="8499" ht="15.75" customHeight="1">
      <c r="A8499" s="25" t="str">
        <f>IFERROR(__xludf.DUMMYFUNCTION("IF(B8499="""","""",RIGHT(REGEXREPLACE(B8499&amp;"""",""[^0-9]"",""""),9))"),"759623396")</f>
        <v>759623396</v>
      </c>
      <c r="B8499" s="52">
        <v>7.59623396E8</v>
      </c>
      <c r="C8499" s="28" t="s">
        <v>8668</v>
      </c>
      <c r="D8499" s="26" t="s">
        <v>49</v>
      </c>
      <c r="E8499" s="31">
        <v>46246.0</v>
      </c>
      <c r="F8499" s="26" t="s">
        <v>46</v>
      </c>
      <c r="G8499" s="26">
        <v>10.0</v>
      </c>
      <c r="I8499" s="26" t="s">
        <v>970</v>
      </c>
      <c r="J8499" s="25" t="str">
        <f t="shared" si="103"/>
        <v>No</v>
      </c>
      <c r="K8499" s="25" t="str">
        <f t="shared" si="104"/>
        <v/>
      </c>
      <c r="L8499" s="25" t="str">
        <f t="shared" si="105"/>
        <v/>
      </c>
      <c r="M8499" s="25"/>
      <c r="O8499" s="25"/>
    </row>
    <row r="8500" ht="15.75" customHeight="1">
      <c r="A8500" s="25" t="str">
        <f>IFERROR(__xludf.DUMMYFUNCTION("IF(B8500="""","""",RIGHT(REGEXREPLACE(B8500&amp;"""",""[^0-9]"",""""),9))"),"774174806")</f>
        <v>774174806</v>
      </c>
      <c r="B8500" s="52">
        <v>7.74174806E8</v>
      </c>
      <c r="C8500" s="28" t="s">
        <v>8669</v>
      </c>
      <c r="D8500" s="26" t="s">
        <v>82</v>
      </c>
      <c r="E8500" s="31">
        <v>46246.0</v>
      </c>
      <c r="F8500" s="26" t="s">
        <v>46</v>
      </c>
      <c r="G8500" s="26">
        <v>11.0</v>
      </c>
      <c r="I8500" s="26" t="s">
        <v>970</v>
      </c>
      <c r="J8500" s="25" t="str">
        <f t="shared" si="103"/>
        <v>No</v>
      </c>
      <c r="K8500" s="25" t="str">
        <f t="shared" si="104"/>
        <v/>
      </c>
      <c r="L8500" s="25" t="str">
        <f t="shared" si="105"/>
        <v/>
      </c>
      <c r="M8500" s="25"/>
      <c r="O8500" s="25"/>
    </row>
    <row r="8501" ht="15.75" customHeight="1">
      <c r="A8501" s="25" t="str">
        <f>IFERROR(__xludf.DUMMYFUNCTION("IF(B8501="""","""",RIGHT(REGEXREPLACE(B8501&amp;"""",""[^0-9]"",""""),9))"),"727458869")</f>
        <v>727458869</v>
      </c>
      <c r="B8501" s="52">
        <v>7.27458869E8</v>
      </c>
      <c r="C8501" s="28" t="s">
        <v>8670</v>
      </c>
      <c r="D8501" s="26" t="s">
        <v>45</v>
      </c>
      <c r="E8501" s="31">
        <v>46246.0</v>
      </c>
      <c r="F8501" s="26" t="s">
        <v>205</v>
      </c>
      <c r="I8501" s="26" t="s">
        <v>970</v>
      </c>
      <c r="J8501" s="25" t="str">
        <f t="shared" si="103"/>
        <v>No</v>
      </c>
      <c r="K8501" s="25" t="str">
        <f t="shared" si="104"/>
        <v/>
      </c>
      <c r="L8501" s="25" t="str">
        <f t="shared" si="105"/>
        <v/>
      </c>
      <c r="M8501" s="25"/>
      <c r="O8501" s="25"/>
    </row>
    <row r="8502" ht="15.75" customHeight="1">
      <c r="A8502" s="25" t="str">
        <f>IFERROR(__xludf.DUMMYFUNCTION("IF(B8502="""","""",RIGHT(REGEXREPLACE(B8502&amp;"""",""[^0-9]"",""""),9))"),"770358577")</f>
        <v>770358577</v>
      </c>
      <c r="B8502" s="52">
        <v>7.70358577E8</v>
      </c>
      <c r="C8502" s="28" t="s">
        <v>8668</v>
      </c>
      <c r="D8502" s="26" t="s">
        <v>64</v>
      </c>
      <c r="E8502" s="31">
        <v>46246.0</v>
      </c>
      <c r="F8502" s="26" t="s">
        <v>46</v>
      </c>
      <c r="G8502" s="26">
        <v>10.0</v>
      </c>
      <c r="I8502" s="26" t="s">
        <v>970</v>
      </c>
      <c r="J8502" s="25" t="str">
        <f t="shared" si="103"/>
        <v>No</v>
      </c>
      <c r="K8502" s="25" t="str">
        <f t="shared" si="104"/>
        <v/>
      </c>
      <c r="L8502" s="25" t="str">
        <f t="shared" si="105"/>
        <v/>
      </c>
      <c r="M8502" s="25"/>
      <c r="O8502" s="25"/>
    </row>
    <row r="8503" ht="15.75" customHeight="1">
      <c r="A8503" s="25" t="str">
        <f>IFERROR(__xludf.DUMMYFUNCTION("IF(B8503="""","""",RIGHT(REGEXREPLACE(B8503&amp;"""",""[^0-9]"",""""),9))"),"704470606")</f>
        <v>704470606</v>
      </c>
      <c r="B8503" s="52">
        <v>7.04470606E8</v>
      </c>
      <c r="C8503" s="28" t="s">
        <v>8671</v>
      </c>
      <c r="D8503" s="26" t="s">
        <v>82</v>
      </c>
      <c r="E8503" s="31">
        <v>46246.0</v>
      </c>
      <c r="F8503" s="26" t="s">
        <v>41</v>
      </c>
      <c r="I8503" s="26" t="s">
        <v>970</v>
      </c>
      <c r="J8503" s="25" t="str">
        <f t="shared" si="103"/>
        <v>No</v>
      </c>
      <c r="K8503" s="25" t="str">
        <f t="shared" si="104"/>
        <v/>
      </c>
      <c r="L8503" s="25" t="str">
        <f t="shared" si="105"/>
        <v/>
      </c>
      <c r="M8503" s="25"/>
      <c r="O8503" s="25"/>
    </row>
    <row r="8504" ht="15.75" customHeight="1">
      <c r="A8504" s="25" t="str">
        <f>IFERROR(__xludf.DUMMYFUNCTION("IF(B8504="""","""",RIGHT(REGEXREPLACE(B8504&amp;"""",""[^0-9]"",""""),9))"),"761558285")</f>
        <v>761558285</v>
      </c>
      <c r="B8504" s="52">
        <v>7.61558285E8</v>
      </c>
      <c r="C8504" s="28" t="s">
        <v>2140</v>
      </c>
      <c r="D8504" s="26" t="s">
        <v>45</v>
      </c>
      <c r="E8504" s="31">
        <v>46246.0</v>
      </c>
      <c r="F8504" s="26" t="s">
        <v>46</v>
      </c>
      <c r="G8504" s="26">
        <v>11.0</v>
      </c>
      <c r="I8504" s="26" t="s">
        <v>970</v>
      </c>
      <c r="J8504" s="25" t="str">
        <f t="shared" si="103"/>
        <v>Yes - see Previous F-Code</v>
      </c>
      <c r="K8504" s="25" t="str">
        <f t="shared" si="104"/>
        <v/>
      </c>
      <c r="L8504" s="25" t="str">
        <f t="shared" si="105"/>
        <v>F71841</v>
      </c>
      <c r="M8504" s="25"/>
      <c r="O8504" s="25"/>
    </row>
    <row r="8505" ht="15.75" customHeight="1">
      <c r="A8505" s="25" t="str">
        <f>IFERROR(__xludf.DUMMYFUNCTION("IF(B8505="""","""",RIGHT(REGEXREPLACE(B8505&amp;"""",""[^0-9]"",""""),9))"),"763800617")</f>
        <v>763800617</v>
      </c>
      <c r="B8505" s="52">
        <v>7.63800617E8</v>
      </c>
      <c r="C8505" s="28" t="s">
        <v>8672</v>
      </c>
      <c r="D8505" s="26" t="s">
        <v>82</v>
      </c>
      <c r="E8505" s="31">
        <v>46246.0</v>
      </c>
      <c r="F8505" s="26" t="s">
        <v>46</v>
      </c>
      <c r="I8505" s="26" t="s">
        <v>970</v>
      </c>
      <c r="J8505" s="25" t="str">
        <f t="shared" si="103"/>
        <v>No</v>
      </c>
      <c r="K8505" s="25" t="str">
        <f t="shared" si="104"/>
        <v/>
      </c>
      <c r="L8505" s="25" t="str">
        <f t="shared" si="105"/>
        <v/>
      </c>
      <c r="M8505" s="25"/>
      <c r="O8505" s="25"/>
    </row>
    <row r="8506" ht="15.75" customHeight="1">
      <c r="A8506" s="25" t="str">
        <f>IFERROR(__xludf.DUMMYFUNCTION("IF(B8506="""","""",RIGHT(REGEXREPLACE(B8506&amp;"""",""[^0-9]"",""""),9))"),"787300293")</f>
        <v>787300293</v>
      </c>
      <c r="B8506" s="52">
        <v>7.87300293E8</v>
      </c>
      <c r="C8506" s="28" t="s">
        <v>8673</v>
      </c>
      <c r="D8506" s="26" t="s">
        <v>49</v>
      </c>
      <c r="E8506" s="31">
        <v>46246.0</v>
      </c>
      <c r="F8506" s="26" t="s">
        <v>46</v>
      </c>
      <c r="G8506" s="26">
        <v>11.0</v>
      </c>
      <c r="I8506" s="26" t="s">
        <v>970</v>
      </c>
      <c r="J8506" s="25" t="str">
        <f t="shared" si="103"/>
        <v>No</v>
      </c>
      <c r="K8506" s="25" t="str">
        <f t="shared" si="104"/>
        <v/>
      </c>
      <c r="L8506" s="25" t="str">
        <f t="shared" si="105"/>
        <v/>
      </c>
      <c r="M8506" s="25"/>
      <c r="O8506" s="25"/>
    </row>
    <row r="8507" ht="15.75" customHeight="1">
      <c r="A8507" s="25" t="str">
        <f>IFERROR(__xludf.DUMMYFUNCTION("IF(B8507="""","""",RIGHT(REGEXREPLACE(B8507&amp;"""",""[^0-9]"",""""),9))"),"763101883")</f>
        <v>763101883</v>
      </c>
      <c r="B8507" s="52">
        <v>7.63101883E8</v>
      </c>
      <c r="C8507" s="28" t="s">
        <v>8674</v>
      </c>
      <c r="D8507" s="26" t="s">
        <v>56</v>
      </c>
      <c r="E8507" s="31">
        <v>46246.0</v>
      </c>
      <c r="F8507" s="26" t="s">
        <v>205</v>
      </c>
      <c r="H8507" s="26" t="s">
        <v>8235</v>
      </c>
      <c r="I8507" s="26" t="s">
        <v>970</v>
      </c>
      <c r="J8507" s="25" t="str">
        <f t="shared" si="103"/>
        <v>No</v>
      </c>
      <c r="K8507" s="25" t="str">
        <f t="shared" si="104"/>
        <v/>
      </c>
      <c r="L8507" s="25" t="str">
        <f t="shared" si="105"/>
        <v/>
      </c>
      <c r="M8507" s="25"/>
      <c r="O8507" s="25"/>
    </row>
    <row r="8508" ht="15.75" customHeight="1">
      <c r="A8508" s="25" t="str">
        <f>IFERROR(__xludf.DUMMYFUNCTION("IF(B8508="""","""",RIGHT(REGEXREPLACE(B8508&amp;"""",""[^0-9]"",""""),9))"),"712318003")</f>
        <v>712318003</v>
      </c>
      <c r="B8508" s="52">
        <v>7.12318003E8</v>
      </c>
      <c r="C8508" s="28" t="s">
        <v>3164</v>
      </c>
      <c r="D8508" s="26" t="s">
        <v>45</v>
      </c>
      <c r="E8508" s="31">
        <v>46246.0</v>
      </c>
      <c r="F8508" s="26" t="s">
        <v>164</v>
      </c>
      <c r="I8508" s="26" t="s">
        <v>970</v>
      </c>
      <c r="J8508" s="25" t="str">
        <f t="shared" si="103"/>
        <v>Yes - see Previous F-Code</v>
      </c>
      <c r="K8508" s="25" t="str">
        <f t="shared" si="104"/>
        <v/>
      </c>
      <c r="L8508" s="25" t="str">
        <f t="shared" si="105"/>
        <v>F72800</v>
      </c>
      <c r="M8508" s="25"/>
      <c r="O8508" s="25"/>
    </row>
    <row r="8509" ht="15.75" customHeight="1">
      <c r="A8509" s="25" t="str">
        <f>IFERROR(__xludf.DUMMYFUNCTION("IF(B8509="""","""",RIGHT(REGEXREPLACE(B8509&amp;"""",""[^0-9]"",""""),9))"),"789903033")</f>
        <v>789903033</v>
      </c>
      <c r="B8509" s="52">
        <v>7.89903033E8</v>
      </c>
      <c r="C8509" s="28" t="s">
        <v>3165</v>
      </c>
      <c r="D8509" s="26" t="s">
        <v>56</v>
      </c>
      <c r="E8509" s="31">
        <v>46252.0</v>
      </c>
      <c r="F8509" s="26" t="s">
        <v>164</v>
      </c>
      <c r="G8509" s="26">
        <v>6.0</v>
      </c>
      <c r="I8509" s="26" t="s">
        <v>970</v>
      </c>
      <c r="J8509" s="25" t="str">
        <f t="shared" si="103"/>
        <v>No</v>
      </c>
      <c r="K8509" s="25" t="str">
        <f t="shared" si="104"/>
        <v/>
      </c>
      <c r="L8509" s="25" t="str">
        <f t="shared" si="105"/>
        <v/>
      </c>
      <c r="M8509" s="25"/>
      <c r="O8509" s="25"/>
    </row>
    <row r="8510" ht="15.75" customHeight="1">
      <c r="A8510" s="25" t="str">
        <f>IFERROR(__xludf.DUMMYFUNCTION("IF(B8510="""","""",RIGHT(REGEXREPLACE(B8510&amp;"""",""[^0-9]"",""""),9))"),"715617335")</f>
        <v>715617335</v>
      </c>
      <c r="B8510" s="52">
        <v>7.15617335E8</v>
      </c>
      <c r="C8510" s="28" t="s">
        <v>3166</v>
      </c>
      <c r="D8510" s="26" t="s">
        <v>64</v>
      </c>
      <c r="E8510" s="31">
        <v>46252.0</v>
      </c>
      <c r="F8510" s="26" t="s">
        <v>46</v>
      </c>
      <c r="G8510" s="26">
        <v>10.0</v>
      </c>
      <c r="I8510" s="26" t="s">
        <v>970</v>
      </c>
      <c r="J8510" s="25" t="str">
        <f t="shared" si="103"/>
        <v>No</v>
      </c>
      <c r="K8510" s="25" t="str">
        <f t="shared" si="104"/>
        <v/>
      </c>
      <c r="L8510" s="25" t="str">
        <f t="shared" si="105"/>
        <v/>
      </c>
      <c r="M8510" s="25"/>
      <c r="O8510" s="25"/>
    </row>
    <row r="8511" ht="15.75" customHeight="1">
      <c r="A8511" s="25" t="str">
        <f>IFERROR(__xludf.DUMMYFUNCTION("IF(B8511="""","""",RIGHT(REGEXREPLACE(B8511&amp;"""",""[^0-9]"",""""),9))"),"768241272")</f>
        <v>768241272</v>
      </c>
      <c r="B8511" s="52">
        <v>7.68241272E8</v>
      </c>
      <c r="C8511" s="28" t="s">
        <v>3167</v>
      </c>
      <c r="D8511" s="26" t="s">
        <v>45</v>
      </c>
      <c r="E8511" s="31">
        <v>46246.0</v>
      </c>
      <c r="F8511" s="26" t="s">
        <v>46</v>
      </c>
      <c r="H8511" s="26" t="s">
        <v>7902</v>
      </c>
      <c r="I8511" s="26" t="s">
        <v>970</v>
      </c>
      <c r="J8511" s="25" t="str">
        <f t="shared" si="103"/>
        <v>No</v>
      </c>
      <c r="K8511" s="25" t="str">
        <f t="shared" si="104"/>
        <v/>
      </c>
      <c r="L8511" s="25" t="str">
        <f t="shared" si="105"/>
        <v/>
      </c>
      <c r="M8511" s="25"/>
      <c r="O8511" s="25"/>
    </row>
    <row r="8512" ht="15.75" customHeight="1">
      <c r="A8512" s="25" t="str">
        <f>IFERROR(__xludf.DUMMYFUNCTION("IF(B8512="""","""",RIGHT(REGEXREPLACE(B8512&amp;"""",""[^0-9]"",""""),9))"),"785124308")</f>
        <v>785124308</v>
      </c>
      <c r="B8512" s="52">
        <v>7.85124308E8</v>
      </c>
      <c r="C8512" s="28" t="s">
        <v>4296</v>
      </c>
      <c r="D8512" s="26" t="s">
        <v>49</v>
      </c>
      <c r="E8512" s="31">
        <v>46246.0</v>
      </c>
      <c r="F8512" s="26" t="s">
        <v>46</v>
      </c>
      <c r="H8512" s="26" t="s">
        <v>94</v>
      </c>
      <c r="I8512" s="26" t="s">
        <v>970</v>
      </c>
      <c r="J8512" s="25" t="str">
        <f t="shared" si="103"/>
        <v>Yes - see Previous F-Code</v>
      </c>
      <c r="K8512" s="25" t="str">
        <f t="shared" si="104"/>
        <v/>
      </c>
      <c r="L8512" s="25" t="str">
        <f t="shared" si="105"/>
        <v>F73924</v>
      </c>
      <c r="M8512" s="25"/>
      <c r="O8512" s="25"/>
    </row>
    <row r="8513" ht="15.75" customHeight="1">
      <c r="A8513" s="25" t="str">
        <f>IFERROR(__xludf.DUMMYFUNCTION("IF(B8513="""","""",RIGHT(REGEXREPLACE(B8513&amp;"""",""[^0-9]"",""""),9))"),"773170507")</f>
        <v>773170507</v>
      </c>
      <c r="B8513" s="52">
        <v>7.73170507E8</v>
      </c>
      <c r="C8513" s="28" t="s">
        <v>4298</v>
      </c>
      <c r="D8513" s="26" t="s">
        <v>56</v>
      </c>
      <c r="E8513" s="31">
        <v>46246.0</v>
      </c>
      <c r="F8513" s="26" t="s">
        <v>46</v>
      </c>
      <c r="G8513" s="26">
        <v>11.0</v>
      </c>
      <c r="I8513" s="26" t="s">
        <v>970</v>
      </c>
      <c r="J8513" s="25" t="str">
        <f t="shared" si="103"/>
        <v>No</v>
      </c>
      <c r="K8513" s="25" t="str">
        <f t="shared" si="104"/>
        <v/>
      </c>
      <c r="L8513" s="25" t="str">
        <f t="shared" si="105"/>
        <v/>
      </c>
      <c r="M8513" s="25"/>
      <c r="O8513" s="25"/>
    </row>
    <row r="8514" ht="15.75" customHeight="1">
      <c r="A8514" s="25" t="str">
        <f>IFERROR(__xludf.DUMMYFUNCTION("IF(B8514="""","""",RIGHT(REGEXREPLACE(B8514&amp;"""",""[^0-9]"",""""),9))"),"767952280")</f>
        <v>767952280</v>
      </c>
      <c r="B8514" s="52">
        <v>7.6795228E8</v>
      </c>
      <c r="C8514" s="28" t="s">
        <v>4299</v>
      </c>
      <c r="D8514" s="26" t="s">
        <v>56</v>
      </c>
      <c r="E8514" s="31">
        <v>46252.0</v>
      </c>
      <c r="F8514" s="26" t="s">
        <v>125</v>
      </c>
      <c r="H8514" s="26" t="s">
        <v>8675</v>
      </c>
      <c r="I8514" s="26" t="s">
        <v>970</v>
      </c>
      <c r="J8514" s="25" t="str">
        <f t="shared" si="103"/>
        <v>No</v>
      </c>
      <c r="K8514" s="25" t="str">
        <f t="shared" si="104"/>
        <v/>
      </c>
      <c r="L8514" s="25" t="str">
        <f t="shared" si="105"/>
        <v/>
      </c>
      <c r="M8514" s="25"/>
      <c r="O8514" s="25"/>
    </row>
    <row r="8515" ht="15.75" customHeight="1">
      <c r="A8515" s="25" t="str">
        <f>IFERROR(__xludf.DUMMYFUNCTION("IF(B8515="""","""",RIGHT(REGEXREPLACE(B8515&amp;"""",""[^0-9]"",""""),9))"),"777623495")</f>
        <v>777623495</v>
      </c>
      <c r="B8515" s="52">
        <v>7.77623495E8</v>
      </c>
      <c r="C8515" s="28" t="s">
        <v>2452</v>
      </c>
      <c r="D8515" s="26" t="s">
        <v>45</v>
      </c>
      <c r="E8515" s="31">
        <v>46246.0</v>
      </c>
      <c r="F8515" s="26" t="s">
        <v>46</v>
      </c>
      <c r="G8515" s="26">
        <v>11.0</v>
      </c>
      <c r="I8515" s="26" t="s">
        <v>970</v>
      </c>
      <c r="J8515" s="25" t="str">
        <f t="shared" si="103"/>
        <v>Yes - see Previous F-Code</v>
      </c>
      <c r="K8515" s="25" t="str">
        <f t="shared" si="104"/>
        <v/>
      </c>
      <c r="L8515" s="25" t="str">
        <f t="shared" si="105"/>
        <v>F72144</v>
      </c>
      <c r="M8515" s="25"/>
      <c r="O8515" s="25"/>
    </row>
    <row r="8516" ht="15.75" customHeight="1">
      <c r="A8516" s="25" t="str">
        <f>IFERROR(__xludf.DUMMYFUNCTION("IF(B8516="""","""",RIGHT(REGEXREPLACE(B8516&amp;"""",""[^0-9]"",""""),9))"),"779605244")</f>
        <v>779605244</v>
      </c>
      <c r="B8516" s="52">
        <v>7.79605244E8</v>
      </c>
      <c r="C8516" s="28" t="s">
        <v>8676</v>
      </c>
      <c r="D8516" s="26" t="s">
        <v>64</v>
      </c>
      <c r="E8516" s="31">
        <v>46246.0</v>
      </c>
      <c r="F8516" s="26" t="s">
        <v>46</v>
      </c>
      <c r="G8516" s="26">
        <v>11.0</v>
      </c>
      <c r="I8516" s="26" t="s">
        <v>970</v>
      </c>
      <c r="J8516" s="25" t="str">
        <f t="shared" si="103"/>
        <v>No</v>
      </c>
      <c r="K8516" s="25" t="str">
        <f t="shared" si="104"/>
        <v/>
      </c>
      <c r="L8516" s="25" t="str">
        <f t="shared" si="105"/>
        <v/>
      </c>
      <c r="M8516" s="25"/>
      <c r="O8516" s="25"/>
    </row>
    <row r="8517" ht="15.75" customHeight="1">
      <c r="A8517" s="25" t="str">
        <f>IFERROR(__xludf.DUMMYFUNCTION("IF(B8517="""","""",RIGHT(REGEXREPLACE(B8517&amp;"""",""[^0-9]"",""""),9))"),"716329188")</f>
        <v>716329188</v>
      </c>
      <c r="B8517" s="52">
        <v>7.16329188E8</v>
      </c>
      <c r="C8517" s="28" t="s">
        <v>8445</v>
      </c>
      <c r="D8517" s="26" t="s">
        <v>56</v>
      </c>
      <c r="E8517" s="31">
        <v>46246.0</v>
      </c>
      <c r="F8517" s="26" t="s">
        <v>205</v>
      </c>
      <c r="I8517" s="26" t="s">
        <v>970</v>
      </c>
      <c r="J8517" s="25" t="str">
        <f t="shared" si="103"/>
        <v>Yes - see Previous F-Code</v>
      </c>
      <c r="K8517" s="25" t="str">
        <f t="shared" si="104"/>
        <v>DUPLICATE - CHECK</v>
      </c>
      <c r="L8517" s="25" t="str">
        <f t="shared" si="105"/>
        <v>F77204</v>
      </c>
      <c r="M8517" s="25"/>
      <c r="O8517" s="25"/>
    </row>
    <row r="8518" ht="15.75" customHeight="1">
      <c r="A8518" s="25" t="str">
        <f>IFERROR(__xludf.DUMMYFUNCTION("IF(B8518="""","""",RIGHT(REGEXREPLACE(B8518&amp;"""",""[^0-9]"",""""),9))"),"778617754")</f>
        <v>778617754</v>
      </c>
      <c r="B8518" s="52">
        <v>7.78617754E8</v>
      </c>
      <c r="C8518" s="28" t="s">
        <v>8677</v>
      </c>
      <c r="D8518" s="26" t="s">
        <v>45</v>
      </c>
      <c r="E8518" s="31">
        <v>46246.0</v>
      </c>
      <c r="F8518" s="26" t="s">
        <v>125</v>
      </c>
      <c r="I8518" s="26" t="s">
        <v>970</v>
      </c>
      <c r="J8518" s="25" t="str">
        <f t="shared" si="103"/>
        <v>No</v>
      </c>
      <c r="K8518" s="25" t="str">
        <f t="shared" si="104"/>
        <v/>
      </c>
      <c r="L8518" s="25" t="str">
        <f t="shared" si="105"/>
        <v/>
      </c>
      <c r="M8518" s="25"/>
      <c r="O8518" s="25"/>
    </row>
    <row r="8519" ht="15.75" customHeight="1">
      <c r="A8519" s="25" t="str">
        <f>IFERROR(__xludf.DUMMYFUNCTION("IF(B8519="""","""",RIGHT(REGEXREPLACE(B8519&amp;"""",""[^0-9]"",""""),9))"),"762237828")</f>
        <v>762237828</v>
      </c>
      <c r="B8519" s="52">
        <v>7.62237828E8</v>
      </c>
      <c r="C8519" s="28" t="s">
        <v>3784</v>
      </c>
      <c r="D8519" s="26" t="s">
        <v>49</v>
      </c>
      <c r="E8519" s="31">
        <v>46246.0</v>
      </c>
      <c r="F8519" s="26" t="s">
        <v>46</v>
      </c>
      <c r="G8519" s="26">
        <v>11.0</v>
      </c>
      <c r="I8519" s="26" t="s">
        <v>970</v>
      </c>
      <c r="J8519" s="25" t="str">
        <f t="shared" si="103"/>
        <v>Yes - see Previous F-Code</v>
      </c>
      <c r="K8519" s="25" t="str">
        <f t="shared" si="104"/>
        <v/>
      </c>
      <c r="L8519" s="25" t="str">
        <f t="shared" si="105"/>
        <v>F73436</v>
      </c>
      <c r="M8519" s="25"/>
      <c r="O8519" s="25"/>
    </row>
    <row r="8520" ht="15.75" customHeight="1">
      <c r="A8520" s="25" t="str">
        <f>IFERROR(__xludf.DUMMYFUNCTION("IF(B8520="""","""",RIGHT(REGEXREPLACE(B8520&amp;"""",""[^0-9]"",""""),9))"),"714911108")</f>
        <v>714911108</v>
      </c>
      <c r="B8520" s="52">
        <v>7.14911108E8</v>
      </c>
      <c r="C8520" s="28" t="s">
        <v>8678</v>
      </c>
      <c r="D8520" s="26" t="s">
        <v>45</v>
      </c>
      <c r="E8520" s="31">
        <v>46246.0</v>
      </c>
      <c r="F8520" s="26" t="s">
        <v>46</v>
      </c>
      <c r="G8520" s="26">
        <v>11.0</v>
      </c>
      <c r="H8520" s="72" t="s">
        <v>8679</v>
      </c>
      <c r="I8520" s="26" t="s">
        <v>970</v>
      </c>
      <c r="J8520" s="25" t="str">
        <f t="shared" si="103"/>
        <v>No</v>
      </c>
      <c r="K8520" s="25" t="str">
        <f t="shared" si="104"/>
        <v/>
      </c>
      <c r="L8520" s="25" t="str">
        <f t="shared" si="105"/>
        <v/>
      </c>
      <c r="M8520" s="25"/>
      <c r="O8520" s="25"/>
    </row>
    <row r="8521" ht="15.75" customHeight="1">
      <c r="A8521" s="25" t="str">
        <f>IFERROR(__xludf.DUMMYFUNCTION("IF(B8521="""","""",RIGHT(REGEXREPLACE(B8521&amp;"""",""[^0-9]"",""""),9))"),"773675317")</f>
        <v>773675317</v>
      </c>
      <c r="B8521" s="52">
        <v>7.73675317E8</v>
      </c>
      <c r="C8521" s="28" t="s">
        <v>8082</v>
      </c>
      <c r="D8521" s="26" t="s">
        <v>45</v>
      </c>
      <c r="E8521" s="31">
        <v>46246.0</v>
      </c>
      <c r="F8521" s="26" t="s">
        <v>46</v>
      </c>
      <c r="G8521" s="26">
        <v>11.0</v>
      </c>
      <c r="I8521" s="26" t="s">
        <v>970</v>
      </c>
      <c r="J8521" s="25" t="str">
        <f t="shared" si="103"/>
        <v>Yes - see Previous F-Code</v>
      </c>
      <c r="K8521" s="25" t="str">
        <f t="shared" si="104"/>
        <v>DUPLICATE - CHECK</v>
      </c>
      <c r="L8521" s="25" t="str">
        <f t="shared" si="105"/>
        <v>F76895</v>
      </c>
      <c r="M8521" s="25"/>
      <c r="O8521" s="25"/>
    </row>
    <row r="8522" ht="15.75" customHeight="1">
      <c r="A8522" s="25" t="str">
        <f>IFERROR(__xludf.DUMMYFUNCTION("IF(B8522="""","""",RIGHT(REGEXREPLACE(B8522&amp;"""",""[^0-9]"",""""),9))"),"776302723")</f>
        <v>776302723</v>
      </c>
      <c r="B8522" s="52">
        <v>7.76302723E8</v>
      </c>
      <c r="C8522" s="28" t="s">
        <v>8680</v>
      </c>
      <c r="D8522" s="26" t="s">
        <v>49</v>
      </c>
      <c r="E8522" s="31">
        <v>46246.0</v>
      </c>
      <c r="F8522" s="26" t="s">
        <v>46</v>
      </c>
      <c r="H8522" s="26" t="s">
        <v>94</v>
      </c>
      <c r="I8522" s="26" t="s">
        <v>970</v>
      </c>
      <c r="J8522" s="25" t="str">
        <f t="shared" si="103"/>
        <v>No</v>
      </c>
      <c r="K8522" s="25" t="str">
        <f t="shared" si="104"/>
        <v/>
      </c>
      <c r="L8522" s="25" t="str">
        <f t="shared" si="105"/>
        <v/>
      </c>
      <c r="M8522" s="25"/>
      <c r="O8522" s="25"/>
    </row>
    <row r="8523" ht="15.75" customHeight="1">
      <c r="A8523" s="25" t="str">
        <f>IFERROR(__xludf.DUMMYFUNCTION("IF(B8523="""","""",RIGHT(REGEXREPLACE(B8523&amp;"""",""[^0-9]"",""""),9))"),"770397460")</f>
        <v>770397460</v>
      </c>
      <c r="B8523" s="52">
        <v>7.7039746E8</v>
      </c>
      <c r="C8523" s="28" t="s">
        <v>8681</v>
      </c>
      <c r="D8523" s="26" t="s">
        <v>82</v>
      </c>
      <c r="E8523" s="31">
        <v>46246.0</v>
      </c>
      <c r="F8523" s="26" t="s">
        <v>46</v>
      </c>
      <c r="H8523" s="26" t="s">
        <v>8682</v>
      </c>
      <c r="I8523" s="26" t="s">
        <v>970</v>
      </c>
      <c r="J8523" s="25" t="str">
        <f t="shared" si="103"/>
        <v>No</v>
      </c>
      <c r="K8523" s="25" t="str">
        <f t="shared" si="104"/>
        <v/>
      </c>
      <c r="L8523" s="25" t="str">
        <f t="shared" si="105"/>
        <v/>
      </c>
      <c r="M8523" s="25"/>
      <c r="O8523" s="25"/>
    </row>
    <row r="8524" ht="15.75" customHeight="1">
      <c r="A8524" s="25" t="str">
        <f>IFERROR(__xludf.DUMMYFUNCTION("IF(B8524="""","""",RIGHT(REGEXREPLACE(B8524&amp;"""",""[^0-9]"",""""),9))"),"729721811")</f>
        <v>729721811</v>
      </c>
      <c r="B8524" s="52">
        <v>7.29721811E8</v>
      </c>
      <c r="C8524" s="28" t="s">
        <v>8683</v>
      </c>
      <c r="D8524" s="26" t="s">
        <v>64</v>
      </c>
      <c r="E8524" s="31">
        <v>46246.0</v>
      </c>
      <c r="F8524" s="26" t="s">
        <v>46</v>
      </c>
      <c r="G8524" s="26">
        <v>9.0</v>
      </c>
      <c r="I8524" s="26" t="s">
        <v>970</v>
      </c>
      <c r="J8524" s="25" t="str">
        <f t="shared" si="103"/>
        <v>No</v>
      </c>
      <c r="K8524" s="25" t="str">
        <f t="shared" si="104"/>
        <v/>
      </c>
      <c r="L8524" s="25" t="str">
        <f t="shared" si="105"/>
        <v/>
      </c>
      <c r="M8524" s="25"/>
      <c r="O8524" s="25"/>
    </row>
    <row r="8525" ht="15.75" customHeight="1">
      <c r="A8525" s="25" t="str">
        <f>IFERROR(__xludf.DUMMYFUNCTION("IF(B8525="""","""",RIGHT(REGEXREPLACE(B8525&amp;"""",""[^0-9]"",""""),9))"),"766361217")</f>
        <v>766361217</v>
      </c>
      <c r="B8525" s="52">
        <v>7.66361217E8</v>
      </c>
      <c r="C8525" s="28" t="s">
        <v>8684</v>
      </c>
      <c r="D8525" s="26" t="s">
        <v>49</v>
      </c>
      <c r="E8525" s="31">
        <v>46246.0</v>
      </c>
      <c r="F8525" s="26" t="s">
        <v>41</v>
      </c>
      <c r="I8525" s="26" t="s">
        <v>970</v>
      </c>
      <c r="J8525" s="25" t="str">
        <f t="shared" si="103"/>
        <v>No</v>
      </c>
      <c r="K8525" s="25" t="str">
        <f t="shared" si="104"/>
        <v/>
      </c>
      <c r="L8525" s="25" t="str">
        <f t="shared" si="105"/>
        <v/>
      </c>
      <c r="M8525" s="25"/>
      <c r="O8525" s="25"/>
    </row>
    <row r="8526" ht="15.75" customHeight="1">
      <c r="A8526" s="25" t="str">
        <f>IFERROR(__xludf.DUMMYFUNCTION("IF(B8526="""","""",RIGHT(REGEXREPLACE(B8526&amp;"""",""[^0-9]"",""""),9))"),"713181156")</f>
        <v>713181156</v>
      </c>
      <c r="B8526" s="52">
        <v>7.13181156E8</v>
      </c>
      <c r="C8526" s="28" t="s">
        <v>8685</v>
      </c>
      <c r="D8526" s="26" t="s">
        <v>82</v>
      </c>
      <c r="E8526" s="31">
        <v>46246.0</v>
      </c>
      <c r="F8526" s="25"/>
      <c r="G8526" s="25"/>
      <c r="H8526" s="25"/>
      <c r="I8526" s="26" t="s">
        <v>970</v>
      </c>
      <c r="J8526" s="25" t="str">
        <f t="shared" si="103"/>
        <v>No</v>
      </c>
      <c r="K8526" s="25" t="str">
        <f t="shared" si="104"/>
        <v/>
      </c>
      <c r="L8526" s="25" t="str">
        <f t="shared" si="105"/>
        <v/>
      </c>
      <c r="M8526" s="25"/>
      <c r="N8526" s="25"/>
      <c r="O8526" s="25"/>
      <c r="P8526" s="25"/>
    </row>
    <row r="8527" ht="15.75" customHeight="1">
      <c r="C8527" s="46"/>
      <c r="D8527" s="25"/>
      <c r="F8527" s="25"/>
      <c r="I8527" s="26" t="s">
        <v>970</v>
      </c>
      <c r="M8527" s="25"/>
      <c r="O8527" s="25"/>
    </row>
    <row r="8528" ht="15.75" customHeight="1">
      <c r="A8528" s="25" t="str">
        <f>IFERROR(__xludf.DUMMYFUNCTION("IF(B8528="""","""",RIGHT(REGEXREPLACE(B8528&amp;"""",""[^0-9]"",""""),9))"),"769134508")</f>
        <v>769134508</v>
      </c>
      <c r="B8528" s="52">
        <v>7.69134508E8</v>
      </c>
      <c r="C8528" s="28" t="s">
        <v>8686</v>
      </c>
      <c r="D8528" s="26" t="s">
        <v>64</v>
      </c>
      <c r="E8528" s="31">
        <v>46247.0</v>
      </c>
      <c r="F8528" s="26" t="s">
        <v>46</v>
      </c>
      <c r="H8528" s="26" t="s">
        <v>8235</v>
      </c>
      <c r="I8528" s="26" t="s">
        <v>970</v>
      </c>
      <c r="J8528" s="25" t="str">
        <f t="shared" ref="J8528:J8895" si="106">IF(COUNTIF($A$2:A8527,A8528)&gt;0,"Yes - see Previous F-Code","No")</f>
        <v>No</v>
      </c>
      <c r="K8528" s="25" t="str">
        <f t="shared" ref="K8528:K8895" si="107">IF(COUNTIFS($A$2:A8528,A8528,$I$2:I8528,I8528)&gt;1,"DUPLICATE - CHECK","")</f>
        <v/>
      </c>
      <c r="L8528" s="25" t="str">
        <f t="shared" ref="L8528:L8895" si="108">IF(COUNTIF($A$2:A8527,A8528)&gt;0,INDEX($C$2:C8527,MATCH(A8528,$A$2:A8527,0)),"")</f>
        <v/>
      </c>
      <c r="M8528" s="25"/>
      <c r="O8528" s="25"/>
    </row>
    <row r="8529" ht="15.75" customHeight="1">
      <c r="A8529" s="25" t="str">
        <f>IFERROR(__xludf.DUMMYFUNCTION("IF(B8529="""","""",RIGHT(REGEXREPLACE(B8529&amp;"""",""[^0-9]"",""""),9))"),"717212711")</f>
        <v>717212711</v>
      </c>
      <c r="B8529" s="52">
        <v>7.17212711E8</v>
      </c>
      <c r="C8529" s="28" t="s">
        <v>8687</v>
      </c>
      <c r="D8529" s="26" t="s">
        <v>64</v>
      </c>
      <c r="E8529" s="31">
        <v>46247.0</v>
      </c>
      <c r="F8529" s="26" t="s">
        <v>41</v>
      </c>
      <c r="I8529" s="26" t="s">
        <v>970</v>
      </c>
      <c r="J8529" s="25" t="str">
        <f t="shared" si="106"/>
        <v>No</v>
      </c>
      <c r="K8529" s="25" t="str">
        <f t="shared" si="107"/>
        <v/>
      </c>
      <c r="L8529" s="25" t="str">
        <f t="shared" si="108"/>
        <v/>
      </c>
      <c r="M8529" s="25"/>
      <c r="O8529" s="25"/>
    </row>
    <row r="8530" ht="15.75" customHeight="1">
      <c r="A8530" s="25" t="str">
        <f>IFERROR(__xludf.DUMMYFUNCTION("IF(B8530="""","""",RIGHT(REGEXREPLACE(B8530&amp;"""",""[^0-9]"",""""),9))"),"715297871")</f>
        <v>715297871</v>
      </c>
      <c r="B8530" s="52">
        <v>7.15297871E8</v>
      </c>
      <c r="C8530" s="28" t="s">
        <v>1915</v>
      </c>
      <c r="D8530" s="26" t="s">
        <v>82</v>
      </c>
      <c r="E8530" s="31">
        <v>46247.0</v>
      </c>
      <c r="F8530" s="26" t="s">
        <v>205</v>
      </c>
      <c r="I8530" s="26" t="s">
        <v>970</v>
      </c>
      <c r="J8530" s="25" t="str">
        <f t="shared" si="106"/>
        <v>Yes - see Previous F-Code</v>
      </c>
      <c r="K8530" s="25" t="str">
        <f t="shared" si="107"/>
        <v/>
      </c>
      <c r="L8530" s="25" t="str">
        <f t="shared" si="108"/>
        <v>F71621</v>
      </c>
      <c r="M8530" s="25"/>
      <c r="O8530" s="25"/>
    </row>
    <row r="8531" ht="15.75" customHeight="1">
      <c r="A8531" s="25" t="str">
        <f>IFERROR(__xludf.DUMMYFUNCTION("IF(B8531="""","""",RIGHT(REGEXREPLACE(B8531&amp;"""",""[^0-9]"",""""),9))"),"774965639")</f>
        <v>774965639</v>
      </c>
      <c r="B8531" s="52">
        <v>7.74965639E8</v>
      </c>
      <c r="C8531" s="28" t="s">
        <v>8688</v>
      </c>
      <c r="D8531" s="26" t="s">
        <v>82</v>
      </c>
      <c r="E8531" s="31">
        <v>46247.0</v>
      </c>
      <c r="F8531" s="26" t="s">
        <v>46</v>
      </c>
      <c r="H8531" s="26" t="s">
        <v>8689</v>
      </c>
      <c r="I8531" s="26" t="s">
        <v>970</v>
      </c>
      <c r="J8531" s="25" t="str">
        <f t="shared" si="106"/>
        <v>No</v>
      </c>
      <c r="K8531" s="25" t="str">
        <f t="shared" si="107"/>
        <v/>
      </c>
      <c r="L8531" s="25" t="str">
        <f t="shared" si="108"/>
        <v/>
      </c>
      <c r="M8531" s="25"/>
      <c r="O8531" s="25"/>
    </row>
    <row r="8532" ht="15.75" customHeight="1">
      <c r="A8532" s="25" t="str">
        <f>IFERROR(__xludf.DUMMYFUNCTION("IF(B8532="""","""",RIGHT(REGEXREPLACE(B8532&amp;"""",""[^0-9]"",""""),9))"),"761378842")</f>
        <v>761378842</v>
      </c>
      <c r="B8532" s="52">
        <v>7.61378842E8</v>
      </c>
      <c r="C8532" s="28" t="s">
        <v>8690</v>
      </c>
      <c r="D8532" s="26" t="s">
        <v>64</v>
      </c>
      <c r="E8532" s="31">
        <v>46247.0</v>
      </c>
      <c r="F8532" s="26" t="s">
        <v>41</v>
      </c>
      <c r="H8532" s="26" t="s">
        <v>2293</v>
      </c>
      <c r="I8532" s="26" t="s">
        <v>970</v>
      </c>
      <c r="J8532" s="25" t="str">
        <f t="shared" si="106"/>
        <v>No</v>
      </c>
      <c r="K8532" s="25" t="str">
        <f t="shared" si="107"/>
        <v/>
      </c>
      <c r="L8532" s="25" t="str">
        <f t="shared" si="108"/>
        <v/>
      </c>
      <c r="M8532" s="25"/>
      <c r="O8532" s="25"/>
    </row>
    <row r="8533" ht="15.75" customHeight="1">
      <c r="A8533" s="25" t="str">
        <f>IFERROR(__xludf.DUMMYFUNCTION("IF(B8533="""","""",RIGHT(REGEXREPLACE(B8533&amp;"""",""[^0-9]"",""""),9))"),"712744217")</f>
        <v>712744217</v>
      </c>
      <c r="B8533" s="26" t="s">
        <v>8691</v>
      </c>
      <c r="C8533" s="28" t="s">
        <v>624</v>
      </c>
      <c r="D8533" s="26" t="s">
        <v>45</v>
      </c>
      <c r="E8533" s="31">
        <v>46247.0</v>
      </c>
      <c r="F8533" s="26" t="s">
        <v>46</v>
      </c>
      <c r="G8533" s="26">
        <v>11.0</v>
      </c>
      <c r="I8533" s="26" t="s">
        <v>970</v>
      </c>
      <c r="J8533" s="25" t="str">
        <f t="shared" si="106"/>
        <v>Yes - see Previous F-Code</v>
      </c>
      <c r="K8533" s="25" t="str">
        <f t="shared" si="107"/>
        <v>DUPLICATE - CHECK</v>
      </c>
      <c r="L8533" s="25" t="str">
        <f t="shared" si="108"/>
        <v>F70433</v>
      </c>
      <c r="M8533" s="25"/>
      <c r="O8533" s="25"/>
    </row>
    <row r="8534" ht="15.75" customHeight="1">
      <c r="A8534" s="25" t="str">
        <f>IFERROR(__xludf.DUMMYFUNCTION("IF(B8534="""","""",RIGHT(REGEXREPLACE(B8534&amp;"""",""[^0-9]"",""""),9))"),"769074310")</f>
        <v>769074310</v>
      </c>
      <c r="B8534" s="52">
        <v>7.6907431E8</v>
      </c>
      <c r="C8534" s="28" t="s">
        <v>8692</v>
      </c>
      <c r="D8534" s="26" t="s">
        <v>82</v>
      </c>
      <c r="E8534" s="31">
        <v>46247.0</v>
      </c>
      <c r="F8534" s="26" t="s">
        <v>46</v>
      </c>
      <c r="G8534" s="26">
        <v>8.0</v>
      </c>
      <c r="I8534" s="26" t="s">
        <v>970</v>
      </c>
      <c r="J8534" s="25" t="str">
        <f t="shared" si="106"/>
        <v>No</v>
      </c>
      <c r="K8534" s="25" t="str">
        <f t="shared" si="107"/>
        <v/>
      </c>
      <c r="L8534" s="25" t="str">
        <f t="shared" si="108"/>
        <v/>
      </c>
      <c r="M8534" s="25"/>
      <c r="O8534" s="25"/>
    </row>
    <row r="8535" ht="15.75" customHeight="1">
      <c r="A8535" s="25" t="str">
        <f>IFERROR(__xludf.DUMMYFUNCTION("IF(B8535="""","""",RIGHT(REGEXREPLACE(B8535&amp;"""",""[^0-9]"",""""),9))"),"774575000")</f>
        <v>774575000</v>
      </c>
      <c r="B8535" s="52">
        <v>7.74575E8</v>
      </c>
      <c r="C8535" s="28" t="s">
        <v>8693</v>
      </c>
      <c r="D8535" s="26" t="s">
        <v>64</v>
      </c>
      <c r="E8535" s="31">
        <v>46247.0</v>
      </c>
      <c r="F8535" s="26" t="s">
        <v>46</v>
      </c>
      <c r="H8535" s="26" t="s">
        <v>8436</v>
      </c>
      <c r="I8535" s="26" t="s">
        <v>970</v>
      </c>
      <c r="J8535" s="25" t="str">
        <f t="shared" si="106"/>
        <v>No</v>
      </c>
      <c r="K8535" s="25" t="str">
        <f t="shared" si="107"/>
        <v/>
      </c>
      <c r="L8535" s="25" t="str">
        <f t="shared" si="108"/>
        <v/>
      </c>
      <c r="M8535" s="25"/>
      <c r="O8535" s="25"/>
    </row>
    <row r="8536" ht="15.75" customHeight="1">
      <c r="A8536" s="25" t="str">
        <f>IFERROR(__xludf.DUMMYFUNCTION("IF(B8536="""","""",RIGHT(REGEXREPLACE(B8536&amp;"""",""[^0-9]"",""""),9))"),"755157205")</f>
        <v>755157205</v>
      </c>
      <c r="B8536" s="26" t="s">
        <v>8694</v>
      </c>
      <c r="C8536" s="28" t="s">
        <v>8695</v>
      </c>
      <c r="D8536" s="26" t="s">
        <v>45</v>
      </c>
      <c r="E8536" s="31">
        <v>46247.0</v>
      </c>
      <c r="F8536" s="26" t="s">
        <v>46</v>
      </c>
      <c r="G8536" s="26">
        <v>10.0</v>
      </c>
      <c r="H8536" s="26" t="s">
        <v>8696</v>
      </c>
      <c r="I8536" s="26" t="s">
        <v>970</v>
      </c>
      <c r="J8536" s="25" t="str">
        <f t="shared" si="106"/>
        <v>No</v>
      </c>
      <c r="K8536" s="25" t="str">
        <f t="shared" si="107"/>
        <v/>
      </c>
      <c r="L8536" s="25" t="str">
        <f t="shared" si="108"/>
        <v/>
      </c>
      <c r="M8536" s="25"/>
      <c r="O8536" s="25"/>
    </row>
    <row r="8537" ht="15.75" customHeight="1">
      <c r="A8537" s="25" t="str">
        <f>IFERROR(__xludf.DUMMYFUNCTION("IF(B8537="""","""",RIGHT(REGEXREPLACE(B8537&amp;"""",""[^0-9]"",""""),9))"),"715405653")</f>
        <v>715405653</v>
      </c>
      <c r="B8537" s="26" t="s">
        <v>8697</v>
      </c>
      <c r="C8537" s="28" t="s">
        <v>8698</v>
      </c>
      <c r="D8537" s="26" t="s">
        <v>45</v>
      </c>
      <c r="E8537" s="31">
        <v>46247.0</v>
      </c>
      <c r="F8537" s="26" t="s">
        <v>46</v>
      </c>
      <c r="G8537" s="26">
        <v>11.0</v>
      </c>
      <c r="I8537" s="26" t="s">
        <v>970</v>
      </c>
      <c r="J8537" s="25" t="str">
        <f t="shared" si="106"/>
        <v>No</v>
      </c>
      <c r="K8537" s="25" t="str">
        <f t="shared" si="107"/>
        <v/>
      </c>
      <c r="L8537" s="25" t="str">
        <f t="shared" si="108"/>
        <v/>
      </c>
      <c r="M8537" s="25"/>
      <c r="O8537" s="25"/>
    </row>
    <row r="8538" ht="15.75" customHeight="1">
      <c r="A8538" s="25" t="str">
        <f>IFERROR(__xludf.DUMMYFUNCTION("IF(B8538="""","""",RIGHT(REGEXREPLACE(B8538&amp;"""",""[^0-9]"",""""),9))"),"743548463")</f>
        <v>743548463</v>
      </c>
      <c r="B8538" s="52">
        <v>7.43548463E8</v>
      </c>
      <c r="C8538" s="28" t="s">
        <v>8699</v>
      </c>
      <c r="D8538" s="26" t="s">
        <v>82</v>
      </c>
      <c r="E8538" s="31">
        <v>46247.0</v>
      </c>
      <c r="F8538" s="26" t="s">
        <v>41</v>
      </c>
      <c r="I8538" s="26" t="s">
        <v>970</v>
      </c>
      <c r="J8538" s="25" t="str">
        <f t="shared" si="106"/>
        <v>No</v>
      </c>
      <c r="K8538" s="25" t="str">
        <f t="shared" si="107"/>
        <v/>
      </c>
      <c r="L8538" s="25" t="str">
        <f t="shared" si="108"/>
        <v/>
      </c>
      <c r="M8538" s="25"/>
      <c r="O8538" s="25"/>
    </row>
    <row r="8539" ht="15.75" customHeight="1">
      <c r="A8539" s="25" t="str">
        <f>IFERROR(__xludf.DUMMYFUNCTION("IF(B8539="""","""",RIGHT(REGEXREPLACE(B8539&amp;"""",""[^0-9]"",""""),9))"),"714549743")</f>
        <v>714549743</v>
      </c>
      <c r="B8539" s="52">
        <v>7.14549743E8</v>
      </c>
      <c r="C8539" s="28" t="s">
        <v>8700</v>
      </c>
      <c r="D8539" s="26" t="s">
        <v>82</v>
      </c>
      <c r="E8539" s="31">
        <v>46247.0</v>
      </c>
      <c r="F8539" s="26" t="s">
        <v>41</v>
      </c>
      <c r="I8539" s="26" t="s">
        <v>970</v>
      </c>
      <c r="J8539" s="25" t="str">
        <f t="shared" si="106"/>
        <v>No</v>
      </c>
      <c r="K8539" s="25" t="str">
        <f t="shared" si="107"/>
        <v/>
      </c>
      <c r="L8539" s="25" t="str">
        <f t="shared" si="108"/>
        <v/>
      </c>
      <c r="M8539" s="25"/>
      <c r="O8539" s="25"/>
    </row>
    <row r="8540" ht="15.75" customHeight="1">
      <c r="A8540" s="25" t="str">
        <f>IFERROR(__xludf.DUMMYFUNCTION("IF(B8540="""","""",RIGHT(REGEXREPLACE(B8540&amp;"""",""[^0-9]"",""""),9))"),"767334916")</f>
        <v>767334916</v>
      </c>
      <c r="B8540" s="52">
        <v>7.67334916E8</v>
      </c>
      <c r="C8540" s="28" t="s">
        <v>1096</v>
      </c>
      <c r="D8540" s="26" t="s">
        <v>82</v>
      </c>
      <c r="E8540" s="31">
        <v>46247.0</v>
      </c>
      <c r="F8540" s="26" t="s">
        <v>46</v>
      </c>
      <c r="G8540" s="26">
        <v>11.0</v>
      </c>
      <c r="H8540" s="26" t="s">
        <v>57</v>
      </c>
      <c r="I8540" s="26" t="s">
        <v>970</v>
      </c>
      <c r="J8540" s="25" t="str">
        <f t="shared" si="106"/>
        <v>Yes - see Previous F-Code</v>
      </c>
      <c r="K8540" s="25" t="str">
        <f t="shared" si="107"/>
        <v/>
      </c>
      <c r="L8540" s="25" t="str">
        <f t="shared" si="108"/>
        <v>F70840</v>
      </c>
      <c r="M8540" s="25"/>
      <c r="O8540" s="25"/>
    </row>
    <row r="8541" ht="15.75" customHeight="1">
      <c r="A8541" s="25" t="str">
        <f>IFERROR(__xludf.DUMMYFUNCTION("IF(B8541="""","""",RIGHT(REGEXREPLACE(B8541&amp;"""",""[^0-9]"",""""),9))"),"711411333")</f>
        <v>711411333</v>
      </c>
      <c r="B8541" s="52">
        <v>7.11411333E8</v>
      </c>
      <c r="C8541" s="28" t="s">
        <v>8701</v>
      </c>
      <c r="D8541" s="26" t="s">
        <v>82</v>
      </c>
      <c r="E8541" s="31">
        <v>46247.0</v>
      </c>
      <c r="F8541" s="26" t="s">
        <v>41</v>
      </c>
      <c r="I8541" s="26" t="s">
        <v>970</v>
      </c>
      <c r="J8541" s="25" t="str">
        <f t="shared" si="106"/>
        <v>No</v>
      </c>
      <c r="K8541" s="25" t="str">
        <f t="shared" si="107"/>
        <v/>
      </c>
      <c r="L8541" s="25" t="str">
        <f t="shared" si="108"/>
        <v/>
      </c>
      <c r="M8541" s="25"/>
      <c r="O8541" s="25"/>
    </row>
    <row r="8542" ht="15.75" customHeight="1">
      <c r="A8542" s="25" t="str">
        <f>IFERROR(__xludf.DUMMYFUNCTION("IF(B8542="""","""",RIGHT(REGEXREPLACE(B8542&amp;"""",""[^0-9]"",""""),9))"),"774708728")</f>
        <v>774708728</v>
      </c>
      <c r="B8542" s="52">
        <v>7.74708728E8</v>
      </c>
      <c r="C8542" s="28" t="s">
        <v>8576</v>
      </c>
      <c r="D8542" s="26" t="s">
        <v>64</v>
      </c>
      <c r="E8542" s="31">
        <v>46247.0</v>
      </c>
      <c r="F8542" s="26" t="s">
        <v>46</v>
      </c>
      <c r="G8542" s="26">
        <v>11.0</v>
      </c>
      <c r="I8542" s="26" t="s">
        <v>970</v>
      </c>
      <c r="J8542" s="25" t="str">
        <f t="shared" si="106"/>
        <v>No</v>
      </c>
      <c r="K8542" s="25" t="str">
        <f t="shared" si="107"/>
        <v/>
      </c>
      <c r="L8542" s="25" t="str">
        <f t="shared" si="108"/>
        <v/>
      </c>
      <c r="M8542" s="25"/>
      <c r="O8542" s="25"/>
    </row>
    <row r="8543" ht="15.75" customHeight="1">
      <c r="A8543" s="25" t="str">
        <f>IFERROR(__xludf.DUMMYFUNCTION("IF(B8543="""","""",RIGHT(REGEXREPLACE(B8543&amp;"""",""[^0-9]"",""""),9))"),"742511125")</f>
        <v>742511125</v>
      </c>
      <c r="B8543" s="52">
        <v>7.42511125E8</v>
      </c>
      <c r="C8543" s="28" t="s">
        <v>3689</v>
      </c>
      <c r="D8543" s="26" t="s">
        <v>82</v>
      </c>
      <c r="E8543" s="31">
        <v>46247.0</v>
      </c>
      <c r="F8543" s="26" t="s">
        <v>46</v>
      </c>
      <c r="H8543" s="26" t="s">
        <v>8702</v>
      </c>
      <c r="I8543" s="26" t="s">
        <v>970</v>
      </c>
      <c r="J8543" s="25" t="str">
        <f t="shared" si="106"/>
        <v>Yes - see Previous F-Code</v>
      </c>
      <c r="K8543" s="25" t="str">
        <f t="shared" si="107"/>
        <v/>
      </c>
      <c r="L8543" s="25" t="str">
        <f t="shared" si="108"/>
        <v>F73351</v>
      </c>
      <c r="M8543" s="25"/>
      <c r="O8543" s="25"/>
    </row>
    <row r="8544" ht="15.75" customHeight="1">
      <c r="A8544" s="25" t="str">
        <f>IFERROR(__xludf.DUMMYFUNCTION("IF(B8544="""","""",RIGHT(REGEXREPLACE(B8544&amp;"""",""[^0-9]"",""""),9))"),"775244297")</f>
        <v>775244297</v>
      </c>
      <c r="B8544" s="52">
        <v>7.75244297E8</v>
      </c>
      <c r="C8544" s="28" t="s">
        <v>8703</v>
      </c>
      <c r="D8544" s="26" t="s">
        <v>82</v>
      </c>
      <c r="E8544" s="31">
        <v>46247.0</v>
      </c>
      <c r="F8544" s="26" t="s">
        <v>46</v>
      </c>
      <c r="G8544" s="26">
        <v>11.0</v>
      </c>
      <c r="I8544" s="26" t="s">
        <v>970</v>
      </c>
      <c r="J8544" s="25" t="str">
        <f t="shared" si="106"/>
        <v>No</v>
      </c>
      <c r="K8544" s="25" t="str">
        <f t="shared" si="107"/>
        <v/>
      </c>
      <c r="L8544" s="25" t="str">
        <f t="shared" si="108"/>
        <v/>
      </c>
      <c r="M8544" s="25"/>
      <c r="O8544" s="25"/>
    </row>
    <row r="8545" ht="15.75" customHeight="1">
      <c r="A8545" s="25" t="str">
        <f>IFERROR(__xludf.DUMMYFUNCTION("IF(B8545="""","""",RIGHT(REGEXREPLACE(B8545&amp;"""",""[^0-9]"",""""),9))"),"717763897")</f>
        <v>717763897</v>
      </c>
      <c r="B8545" s="52">
        <v>7.17763897E8</v>
      </c>
      <c r="C8545" s="28" t="s">
        <v>8704</v>
      </c>
      <c r="D8545" s="26" t="s">
        <v>82</v>
      </c>
      <c r="E8545" s="31">
        <v>46247.0</v>
      </c>
      <c r="F8545" s="26" t="s">
        <v>46</v>
      </c>
      <c r="G8545" s="26">
        <v>10.0</v>
      </c>
      <c r="I8545" s="26" t="s">
        <v>970</v>
      </c>
      <c r="J8545" s="25" t="str">
        <f t="shared" si="106"/>
        <v>No</v>
      </c>
      <c r="K8545" s="25" t="str">
        <f t="shared" si="107"/>
        <v/>
      </c>
      <c r="L8545" s="25" t="str">
        <f t="shared" si="108"/>
        <v/>
      </c>
      <c r="M8545" s="25"/>
      <c r="O8545" s="25"/>
    </row>
    <row r="8546" ht="15.75" customHeight="1">
      <c r="A8546" s="25" t="str">
        <f>IFERROR(__xludf.DUMMYFUNCTION("IF(B8546="""","""",RIGHT(REGEXREPLACE(B8546&amp;"""",""[^0-9]"",""""),9))"),"768600855")</f>
        <v>768600855</v>
      </c>
      <c r="B8546" s="26">
        <v>7.68600855E8</v>
      </c>
      <c r="C8546" s="28" t="s">
        <v>8705</v>
      </c>
      <c r="D8546" s="26" t="s">
        <v>64</v>
      </c>
      <c r="E8546" s="31">
        <v>46247.0</v>
      </c>
      <c r="F8546" s="26" t="s">
        <v>41</v>
      </c>
      <c r="I8546" s="26" t="s">
        <v>970</v>
      </c>
      <c r="J8546" s="25" t="str">
        <f t="shared" si="106"/>
        <v>No</v>
      </c>
      <c r="K8546" s="25" t="str">
        <f t="shared" si="107"/>
        <v/>
      </c>
      <c r="L8546" s="25" t="str">
        <f t="shared" si="108"/>
        <v/>
      </c>
      <c r="M8546" s="25"/>
      <c r="O8546" s="25"/>
    </row>
    <row r="8547" ht="15.75" customHeight="1">
      <c r="A8547" s="25" t="str">
        <f>IFERROR(__xludf.DUMMYFUNCTION("IF(B8547="""","""",RIGHT(REGEXREPLACE(B8547&amp;"""",""[^0-9]"",""""),9))"),"760271747")</f>
        <v>760271747</v>
      </c>
      <c r="B8547" s="52">
        <v>7.60271747E8</v>
      </c>
      <c r="C8547" s="28" t="s">
        <v>8706</v>
      </c>
      <c r="D8547" s="26" t="s">
        <v>82</v>
      </c>
      <c r="E8547" s="31">
        <v>46247.0</v>
      </c>
      <c r="F8547" s="26" t="s">
        <v>46</v>
      </c>
      <c r="G8547" s="26">
        <v>10.0</v>
      </c>
      <c r="I8547" s="26" t="s">
        <v>970</v>
      </c>
      <c r="J8547" s="25" t="str">
        <f t="shared" si="106"/>
        <v>No</v>
      </c>
      <c r="K8547" s="25" t="str">
        <f t="shared" si="107"/>
        <v/>
      </c>
      <c r="L8547" s="25" t="str">
        <f t="shared" si="108"/>
        <v/>
      </c>
      <c r="M8547" s="25"/>
      <c r="O8547" s="25"/>
    </row>
    <row r="8548" ht="15.75" customHeight="1">
      <c r="A8548" s="25" t="str">
        <f>IFERROR(__xludf.DUMMYFUNCTION("IF(B8548="""","""",RIGHT(REGEXREPLACE(B8548&amp;"""",""[^0-9]"",""""),9))"),"773560605")</f>
        <v>773560605</v>
      </c>
      <c r="B8548" s="52">
        <v>7.73560605E8</v>
      </c>
      <c r="C8548" s="28" t="s">
        <v>8707</v>
      </c>
      <c r="D8548" s="26" t="s">
        <v>64</v>
      </c>
      <c r="E8548" s="31">
        <v>46247.0</v>
      </c>
      <c r="F8548" s="26" t="s">
        <v>659</v>
      </c>
      <c r="H8548" s="26" t="s">
        <v>2293</v>
      </c>
      <c r="I8548" s="26" t="s">
        <v>970</v>
      </c>
      <c r="J8548" s="25" t="str">
        <f t="shared" si="106"/>
        <v>No</v>
      </c>
      <c r="K8548" s="25" t="str">
        <f t="shared" si="107"/>
        <v/>
      </c>
      <c r="L8548" s="25" t="str">
        <f t="shared" si="108"/>
        <v/>
      </c>
      <c r="M8548" s="25"/>
      <c r="O8548" s="25"/>
    </row>
    <row r="8549" ht="15.75" customHeight="1">
      <c r="A8549" s="25" t="str">
        <f>IFERROR(__xludf.DUMMYFUNCTION("IF(B8549="""","""",RIGHT(REGEXREPLACE(B8549&amp;"""",""[^0-9]"",""""),9))"),"761614257")</f>
        <v>761614257</v>
      </c>
      <c r="B8549" s="52">
        <v>7.61614257E8</v>
      </c>
      <c r="C8549" s="28" t="s">
        <v>8708</v>
      </c>
      <c r="D8549" s="26" t="s">
        <v>82</v>
      </c>
      <c r="E8549" s="31">
        <v>46247.0</v>
      </c>
      <c r="F8549" s="26" t="s">
        <v>46</v>
      </c>
      <c r="G8549" s="26">
        <v>7.0</v>
      </c>
      <c r="I8549" s="26" t="s">
        <v>970</v>
      </c>
      <c r="J8549" s="25" t="str">
        <f t="shared" si="106"/>
        <v>No</v>
      </c>
      <c r="K8549" s="25" t="str">
        <f t="shared" si="107"/>
        <v/>
      </c>
      <c r="L8549" s="25" t="str">
        <f t="shared" si="108"/>
        <v/>
      </c>
      <c r="M8549" s="25"/>
      <c r="O8549" s="25"/>
    </row>
    <row r="8550" ht="15.75" customHeight="1">
      <c r="A8550" s="25" t="str">
        <f>IFERROR(__xludf.DUMMYFUNCTION("IF(B8550="""","""",RIGHT(REGEXREPLACE(B8550&amp;"""",""[^0-9]"",""""),9))"),"701572372")</f>
        <v>701572372</v>
      </c>
      <c r="B8550" s="52">
        <v>7.01572372E8</v>
      </c>
      <c r="C8550" s="28" t="s">
        <v>8709</v>
      </c>
      <c r="D8550" s="26" t="s">
        <v>82</v>
      </c>
      <c r="E8550" s="31">
        <v>46247.0</v>
      </c>
      <c r="F8550" s="26" t="s">
        <v>46</v>
      </c>
      <c r="G8550" s="26">
        <v>11.0</v>
      </c>
      <c r="I8550" s="26" t="s">
        <v>970</v>
      </c>
      <c r="J8550" s="25" t="str">
        <f t="shared" si="106"/>
        <v>No</v>
      </c>
      <c r="K8550" s="25" t="str">
        <f t="shared" si="107"/>
        <v/>
      </c>
      <c r="L8550" s="25" t="str">
        <f t="shared" si="108"/>
        <v/>
      </c>
      <c r="M8550" s="25"/>
      <c r="O8550" s="25"/>
    </row>
    <row r="8551" ht="15.75" customHeight="1">
      <c r="A8551" s="25" t="str">
        <f>IFERROR(__xludf.DUMMYFUNCTION("IF(B8551="""","""",RIGHT(REGEXREPLACE(B8551&amp;"""",""[^0-9]"",""""),9))"),"775779555")</f>
        <v>775779555</v>
      </c>
      <c r="B8551" s="52">
        <v>7.75779555E8</v>
      </c>
      <c r="C8551" s="28" t="s">
        <v>8557</v>
      </c>
      <c r="D8551" s="26" t="s">
        <v>64</v>
      </c>
      <c r="E8551" s="31">
        <v>46247.0</v>
      </c>
      <c r="F8551" s="26" t="s">
        <v>46</v>
      </c>
      <c r="G8551" s="26" t="s">
        <v>8444</v>
      </c>
      <c r="I8551" s="26" t="s">
        <v>970</v>
      </c>
      <c r="J8551" s="25" t="str">
        <f t="shared" si="106"/>
        <v>Yes - see Previous F-Code</v>
      </c>
      <c r="K8551" s="25" t="str">
        <f t="shared" si="107"/>
        <v>DUPLICATE - CHECK</v>
      </c>
      <c r="L8551" s="25" t="str">
        <f t="shared" si="108"/>
        <v>F77320</v>
      </c>
      <c r="M8551" s="25"/>
      <c r="O8551" s="25"/>
    </row>
    <row r="8552" ht="15.75" customHeight="1">
      <c r="A8552" s="25" t="str">
        <f>IFERROR(__xludf.DUMMYFUNCTION("IF(B8552="""","""",RIGHT(REGEXREPLACE(B8552&amp;"""",""[^0-9]"",""""),9))"),"716011907")</f>
        <v>716011907</v>
      </c>
      <c r="B8552" s="52">
        <v>7.16011907E8</v>
      </c>
      <c r="C8552" s="28" t="s">
        <v>8710</v>
      </c>
      <c r="D8552" s="26" t="s">
        <v>82</v>
      </c>
      <c r="E8552" s="31">
        <v>46247.0</v>
      </c>
      <c r="F8552" s="26" t="s">
        <v>41</v>
      </c>
      <c r="I8552" s="26" t="s">
        <v>970</v>
      </c>
      <c r="J8552" s="25" t="str">
        <f t="shared" si="106"/>
        <v>No</v>
      </c>
      <c r="K8552" s="25" t="str">
        <f t="shared" si="107"/>
        <v/>
      </c>
      <c r="L8552" s="25" t="str">
        <f t="shared" si="108"/>
        <v/>
      </c>
      <c r="M8552" s="25"/>
      <c r="O8552" s="25"/>
    </row>
    <row r="8553" ht="15.75" customHeight="1">
      <c r="A8553" s="25" t="str">
        <f>IFERROR(__xludf.DUMMYFUNCTION("IF(B8553="""","""",RIGHT(REGEXREPLACE(B8553&amp;"""",""[^0-9]"",""""),9))"),"777439362")</f>
        <v>777439362</v>
      </c>
      <c r="B8553" s="52">
        <v>7.77439362E8</v>
      </c>
      <c r="C8553" s="28" t="s">
        <v>8711</v>
      </c>
      <c r="D8553" s="26" t="s">
        <v>82</v>
      </c>
      <c r="E8553" s="31">
        <v>46247.0</v>
      </c>
      <c r="F8553" s="26" t="s">
        <v>46</v>
      </c>
      <c r="I8553" s="26" t="s">
        <v>970</v>
      </c>
      <c r="J8553" s="25" t="str">
        <f t="shared" si="106"/>
        <v>No</v>
      </c>
      <c r="K8553" s="25" t="str">
        <f t="shared" si="107"/>
        <v/>
      </c>
      <c r="L8553" s="25" t="str">
        <f t="shared" si="108"/>
        <v/>
      </c>
      <c r="M8553" s="25"/>
      <c r="O8553" s="25"/>
    </row>
    <row r="8554" ht="15.75" customHeight="1">
      <c r="A8554" s="25" t="str">
        <f>IFERROR(__xludf.DUMMYFUNCTION("IF(B8554="""","""",RIGHT(REGEXREPLACE(B8554&amp;"""",""[^0-9]"",""""),9))"),"787997585")</f>
        <v>787997585</v>
      </c>
      <c r="B8554" s="52">
        <v>7.87997585E8</v>
      </c>
      <c r="C8554" s="28" t="s">
        <v>8712</v>
      </c>
      <c r="D8554" s="26" t="s">
        <v>64</v>
      </c>
      <c r="E8554" s="31">
        <v>46247.0</v>
      </c>
      <c r="F8554" s="26" t="s">
        <v>46</v>
      </c>
      <c r="G8554" s="26">
        <v>9.0</v>
      </c>
      <c r="H8554" s="26" t="s">
        <v>8713</v>
      </c>
      <c r="I8554" s="26" t="s">
        <v>970</v>
      </c>
      <c r="J8554" s="25" t="str">
        <f t="shared" si="106"/>
        <v>No</v>
      </c>
      <c r="K8554" s="25" t="str">
        <f t="shared" si="107"/>
        <v/>
      </c>
      <c r="L8554" s="25" t="str">
        <f t="shared" si="108"/>
        <v/>
      </c>
      <c r="M8554" s="25"/>
      <c r="O8554" s="25"/>
    </row>
    <row r="8555" ht="15.75" customHeight="1">
      <c r="A8555" s="25" t="str">
        <f>IFERROR(__xludf.DUMMYFUNCTION("IF(B8555="""","""",RIGHT(REGEXREPLACE(B8555&amp;"""",""[^0-9]"",""""),9))"),"769098027")</f>
        <v>769098027</v>
      </c>
      <c r="B8555" s="52">
        <v>7.69098027E8</v>
      </c>
      <c r="C8555" s="28" t="s">
        <v>8636</v>
      </c>
      <c r="D8555" s="26" t="s">
        <v>64</v>
      </c>
      <c r="E8555" s="31">
        <v>46247.0</v>
      </c>
      <c r="F8555" s="26" t="s">
        <v>46</v>
      </c>
      <c r="G8555" s="26">
        <v>10.0</v>
      </c>
      <c r="H8555" s="26" t="s">
        <v>8714</v>
      </c>
      <c r="I8555" s="26" t="s">
        <v>970</v>
      </c>
      <c r="J8555" s="25" t="str">
        <f t="shared" si="106"/>
        <v>Yes - see Previous F-Code</v>
      </c>
      <c r="K8555" s="25" t="str">
        <f t="shared" si="107"/>
        <v>DUPLICATE - CHECK</v>
      </c>
      <c r="L8555" s="25" t="str">
        <f t="shared" si="108"/>
        <v>F77401</v>
      </c>
      <c r="M8555" s="25"/>
      <c r="O8555" s="25"/>
    </row>
    <row r="8556" ht="15.75" customHeight="1">
      <c r="A8556" s="25" t="str">
        <f>IFERROR(__xludf.DUMMYFUNCTION("IF(B8556="""","""",RIGHT(REGEXREPLACE(B8556&amp;"""",""[^0-9]"",""""),9))"),"777939834")</f>
        <v>777939834</v>
      </c>
      <c r="B8556" s="52">
        <v>7.77939834E8</v>
      </c>
      <c r="C8556" s="28" t="s">
        <v>8715</v>
      </c>
      <c r="D8556" s="26" t="s">
        <v>82</v>
      </c>
      <c r="E8556" s="31">
        <v>46247.0</v>
      </c>
      <c r="F8556" s="26" t="s">
        <v>659</v>
      </c>
      <c r="I8556" s="26" t="s">
        <v>970</v>
      </c>
      <c r="J8556" s="25" t="str">
        <f t="shared" si="106"/>
        <v>No</v>
      </c>
      <c r="K8556" s="25" t="str">
        <f t="shared" si="107"/>
        <v/>
      </c>
      <c r="L8556" s="25" t="str">
        <f t="shared" si="108"/>
        <v/>
      </c>
      <c r="M8556" s="25"/>
      <c r="O8556" s="25"/>
    </row>
    <row r="8557" ht="15.75" customHeight="1">
      <c r="A8557" s="25" t="str">
        <f>IFERROR(__xludf.DUMMYFUNCTION("IF(B8557="""","""",RIGHT(REGEXREPLACE(B8557&amp;"""",""[^0-9]"",""""),9))"),"702779393")</f>
        <v>702779393</v>
      </c>
      <c r="B8557" s="52">
        <v>7.02779393E8</v>
      </c>
      <c r="C8557" s="28" t="s">
        <v>8716</v>
      </c>
      <c r="D8557" s="26" t="s">
        <v>82</v>
      </c>
      <c r="E8557" s="31">
        <v>46247.0</v>
      </c>
      <c r="F8557" s="26" t="s">
        <v>46</v>
      </c>
      <c r="G8557" s="26">
        <v>10.0</v>
      </c>
      <c r="H8557" s="26" t="s">
        <v>3667</v>
      </c>
      <c r="I8557" s="26" t="s">
        <v>970</v>
      </c>
      <c r="J8557" s="25" t="str">
        <f t="shared" si="106"/>
        <v>No</v>
      </c>
      <c r="K8557" s="25" t="str">
        <f t="shared" si="107"/>
        <v/>
      </c>
      <c r="L8557" s="25" t="str">
        <f t="shared" si="108"/>
        <v/>
      </c>
      <c r="M8557" s="25"/>
      <c r="O8557" s="25"/>
    </row>
    <row r="8558" ht="15.75" customHeight="1">
      <c r="A8558" s="25" t="str">
        <f>IFERROR(__xludf.DUMMYFUNCTION("IF(B8558="""","""",RIGHT(REGEXREPLACE(B8558&amp;"""",""[^0-9]"",""""),9))"),"760725662")</f>
        <v>760725662</v>
      </c>
      <c r="B8558" s="52">
        <v>7.60725662E8</v>
      </c>
      <c r="C8558" s="28" t="s">
        <v>8717</v>
      </c>
      <c r="D8558" s="26" t="s">
        <v>64</v>
      </c>
      <c r="E8558" s="31">
        <v>46247.0</v>
      </c>
      <c r="F8558" s="26" t="s">
        <v>46</v>
      </c>
      <c r="I8558" s="26" t="s">
        <v>970</v>
      </c>
      <c r="J8558" s="25" t="str">
        <f t="shared" si="106"/>
        <v>No</v>
      </c>
      <c r="K8558" s="25" t="str">
        <f t="shared" si="107"/>
        <v/>
      </c>
      <c r="L8558" s="25" t="str">
        <f t="shared" si="108"/>
        <v/>
      </c>
      <c r="M8558" s="25"/>
      <c r="O8558" s="25"/>
    </row>
    <row r="8559" ht="15.75" customHeight="1">
      <c r="A8559" s="25" t="str">
        <f>IFERROR(__xludf.DUMMYFUNCTION("IF(B8559="""","""",RIGHT(REGEXREPLACE(B8559&amp;"""",""[^0-9]"",""""),9))"),"783215766")</f>
        <v>783215766</v>
      </c>
      <c r="B8559" s="52">
        <v>7.83215766E8</v>
      </c>
      <c r="C8559" s="28" t="s">
        <v>8718</v>
      </c>
      <c r="D8559" s="26" t="s">
        <v>82</v>
      </c>
      <c r="E8559" s="31">
        <v>46247.0</v>
      </c>
      <c r="F8559" s="26" t="s">
        <v>41</v>
      </c>
      <c r="I8559" s="26" t="s">
        <v>970</v>
      </c>
      <c r="J8559" s="25" t="str">
        <f t="shared" si="106"/>
        <v>No</v>
      </c>
      <c r="K8559" s="25" t="str">
        <f t="shared" si="107"/>
        <v/>
      </c>
      <c r="L8559" s="25" t="str">
        <f t="shared" si="108"/>
        <v/>
      </c>
      <c r="M8559" s="25"/>
      <c r="O8559" s="25"/>
    </row>
    <row r="8560" ht="15.75" customHeight="1">
      <c r="A8560" s="25" t="str">
        <f>IFERROR(__xludf.DUMMYFUNCTION("IF(B8560="""","""",RIGHT(REGEXREPLACE(B8560&amp;"""",""[^0-9]"",""""),9))"),"762338087")</f>
        <v>762338087</v>
      </c>
      <c r="B8560" s="52">
        <v>7.62338087E8</v>
      </c>
      <c r="C8560" s="28" t="s">
        <v>8719</v>
      </c>
      <c r="D8560" s="26" t="s">
        <v>64</v>
      </c>
      <c r="E8560" s="31">
        <v>46247.0</v>
      </c>
      <c r="F8560" s="26" t="s">
        <v>205</v>
      </c>
      <c r="G8560" s="26">
        <v>9.0</v>
      </c>
      <c r="I8560" s="26" t="s">
        <v>970</v>
      </c>
      <c r="J8560" s="25" t="str">
        <f t="shared" si="106"/>
        <v>No</v>
      </c>
      <c r="K8560" s="25" t="str">
        <f t="shared" si="107"/>
        <v/>
      </c>
      <c r="L8560" s="25" t="str">
        <f t="shared" si="108"/>
        <v/>
      </c>
      <c r="M8560" s="25"/>
      <c r="O8560" s="25"/>
    </row>
    <row r="8561" ht="15.75" customHeight="1">
      <c r="A8561" s="25" t="str">
        <f>IFERROR(__xludf.DUMMYFUNCTION("IF(B8561="""","""",RIGHT(REGEXREPLACE(B8561&amp;"""",""[^0-9]"",""""),9))"),"764880527")</f>
        <v>764880527</v>
      </c>
      <c r="B8561" s="52">
        <v>7.64880527E8</v>
      </c>
      <c r="C8561" s="28" t="s">
        <v>8720</v>
      </c>
      <c r="D8561" s="26" t="s">
        <v>82</v>
      </c>
      <c r="E8561" s="31">
        <v>46247.0</v>
      </c>
      <c r="F8561" s="26" t="s">
        <v>46</v>
      </c>
      <c r="G8561" s="26">
        <v>10.0</v>
      </c>
      <c r="I8561" s="26" t="s">
        <v>970</v>
      </c>
      <c r="J8561" s="25" t="str">
        <f t="shared" si="106"/>
        <v>No</v>
      </c>
      <c r="K8561" s="25" t="str">
        <f t="shared" si="107"/>
        <v/>
      </c>
      <c r="L8561" s="25" t="str">
        <f t="shared" si="108"/>
        <v/>
      </c>
      <c r="M8561" s="25"/>
      <c r="O8561" s="26" t="s">
        <v>51</v>
      </c>
    </row>
    <row r="8562" ht="15.75" customHeight="1">
      <c r="A8562" s="25" t="str">
        <f>IFERROR(__xludf.DUMMYFUNCTION("IF(B8562="""","""",RIGHT(REGEXREPLACE(B8562&amp;"""",""[^0-9]"",""""),9))"),"727720610")</f>
        <v>727720610</v>
      </c>
      <c r="B8562" s="52">
        <v>7.2772061E8</v>
      </c>
      <c r="C8562" s="28" t="s">
        <v>8721</v>
      </c>
      <c r="D8562" s="26" t="s">
        <v>64</v>
      </c>
      <c r="E8562" s="31">
        <v>46247.0</v>
      </c>
      <c r="F8562" s="26" t="s">
        <v>41</v>
      </c>
      <c r="I8562" s="26" t="s">
        <v>970</v>
      </c>
      <c r="J8562" s="25" t="str">
        <f t="shared" si="106"/>
        <v>No</v>
      </c>
      <c r="K8562" s="25" t="str">
        <f t="shared" si="107"/>
        <v/>
      </c>
      <c r="L8562" s="25" t="str">
        <f t="shared" si="108"/>
        <v/>
      </c>
      <c r="M8562" s="25"/>
      <c r="O8562" s="25"/>
    </row>
    <row r="8563" ht="15.75" customHeight="1">
      <c r="A8563" s="25" t="str">
        <f>IFERROR(__xludf.DUMMYFUNCTION("IF(B8563="""","""",RIGHT(REGEXREPLACE(B8563&amp;"""",""[^0-9]"",""""),9))"),"718116506")</f>
        <v>718116506</v>
      </c>
      <c r="B8563" s="52">
        <v>7.18116506E8</v>
      </c>
      <c r="C8563" s="28" t="s">
        <v>1870</v>
      </c>
      <c r="D8563" s="26" t="s">
        <v>82</v>
      </c>
      <c r="E8563" s="31">
        <v>46247.0</v>
      </c>
      <c r="F8563" s="26" t="s">
        <v>659</v>
      </c>
      <c r="I8563" s="26" t="s">
        <v>970</v>
      </c>
      <c r="J8563" s="25" t="str">
        <f t="shared" si="106"/>
        <v>Yes - see Previous F-Code</v>
      </c>
      <c r="K8563" s="25" t="str">
        <f t="shared" si="107"/>
        <v/>
      </c>
      <c r="L8563" s="25" t="str">
        <f t="shared" si="108"/>
        <v>F71576</v>
      </c>
      <c r="M8563" s="25"/>
      <c r="O8563" s="25"/>
    </row>
    <row r="8564" ht="15.75" customHeight="1">
      <c r="A8564" s="25" t="str">
        <f>IFERROR(__xludf.DUMMYFUNCTION("IF(B8564="""","""",RIGHT(REGEXREPLACE(B8564&amp;"""",""[^0-9]"",""""),9))"),"775911369")</f>
        <v>775911369</v>
      </c>
      <c r="B8564" s="52">
        <v>7.75911369E8</v>
      </c>
      <c r="C8564" s="28" t="s">
        <v>8722</v>
      </c>
      <c r="D8564" s="26" t="s">
        <v>64</v>
      </c>
      <c r="E8564" s="31">
        <v>46247.0</v>
      </c>
      <c r="F8564" s="26" t="s">
        <v>46</v>
      </c>
      <c r="G8564" s="26">
        <v>10.0</v>
      </c>
      <c r="I8564" s="26" t="s">
        <v>970</v>
      </c>
      <c r="J8564" s="25" t="str">
        <f t="shared" si="106"/>
        <v>No</v>
      </c>
      <c r="K8564" s="25" t="str">
        <f t="shared" si="107"/>
        <v/>
      </c>
      <c r="L8564" s="25" t="str">
        <f t="shared" si="108"/>
        <v/>
      </c>
      <c r="M8564" s="25"/>
      <c r="O8564" s="25"/>
    </row>
    <row r="8565" ht="15.75" customHeight="1">
      <c r="A8565" s="25" t="str">
        <f>IFERROR(__xludf.DUMMYFUNCTION("IF(B8565="""","""",RIGHT(REGEXREPLACE(B8565&amp;"""",""[^0-9]"",""""),9))"),"716103602")</f>
        <v>716103602</v>
      </c>
      <c r="B8565" s="52">
        <v>7.16103602E8</v>
      </c>
      <c r="C8565" s="28" t="s">
        <v>7659</v>
      </c>
      <c r="D8565" s="26" t="s">
        <v>82</v>
      </c>
      <c r="E8565" s="31">
        <v>46247.0</v>
      </c>
      <c r="F8565" s="26" t="s">
        <v>205</v>
      </c>
      <c r="I8565" s="26" t="s">
        <v>970</v>
      </c>
      <c r="J8565" s="25" t="str">
        <f t="shared" si="106"/>
        <v>Yes - see Previous F-Code</v>
      </c>
      <c r="K8565" s="25" t="str">
        <f t="shared" si="107"/>
        <v/>
      </c>
      <c r="L8565" s="25" t="str">
        <f t="shared" si="108"/>
        <v>F76546</v>
      </c>
      <c r="M8565" s="25"/>
      <c r="O8565" s="25"/>
    </row>
    <row r="8566" ht="15.75" customHeight="1">
      <c r="A8566" s="25" t="str">
        <f>IFERROR(__xludf.DUMMYFUNCTION("IF(B8566="""","""",RIGHT(REGEXREPLACE(B8566&amp;"""",""[^0-9]"",""""),9))"),"715691769")</f>
        <v>715691769</v>
      </c>
      <c r="B8566" s="52">
        <v>7.15691769E8</v>
      </c>
      <c r="C8566" s="28" t="s">
        <v>8723</v>
      </c>
      <c r="D8566" s="26" t="s">
        <v>82</v>
      </c>
      <c r="E8566" s="31">
        <v>46247.0</v>
      </c>
      <c r="F8566" s="26" t="s">
        <v>46</v>
      </c>
      <c r="G8566" s="26">
        <v>9.0</v>
      </c>
      <c r="I8566" s="26" t="s">
        <v>970</v>
      </c>
      <c r="J8566" s="25" t="str">
        <f t="shared" si="106"/>
        <v>No</v>
      </c>
      <c r="K8566" s="25" t="str">
        <f t="shared" si="107"/>
        <v/>
      </c>
      <c r="L8566" s="25" t="str">
        <f t="shared" si="108"/>
        <v/>
      </c>
      <c r="M8566" s="25"/>
      <c r="O8566" s="25"/>
    </row>
    <row r="8567" ht="15.75" customHeight="1">
      <c r="A8567" s="25" t="str">
        <f>IFERROR(__xludf.DUMMYFUNCTION("IF(B8567="""","""",RIGHT(REGEXREPLACE(B8567&amp;"""",""[^0-9]"",""""),9))"),"770646123")</f>
        <v>770646123</v>
      </c>
      <c r="B8567" s="52">
        <v>7.70646123E8</v>
      </c>
      <c r="C8567" s="28" t="s">
        <v>1118</v>
      </c>
      <c r="D8567" s="26" t="s">
        <v>56</v>
      </c>
      <c r="E8567" s="31">
        <v>46247.0</v>
      </c>
      <c r="F8567" s="26" t="s">
        <v>659</v>
      </c>
      <c r="H8567" s="26" t="s">
        <v>8235</v>
      </c>
      <c r="I8567" s="26" t="s">
        <v>970</v>
      </c>
      <c r="J8567" s="25" t="str">
        <f t="shared" si="106"/>
        <v>Yes - see Previous F-Code</v>
      </c>
      <c r="K8567" s="25" t="str">
        <f t="shared" si="107"/>
        <v/>
      </c>
      <c r="L8567" s="25" t="str">
        <f t="shared" si="108"/>
        <v>F70863</v>
      </c>
      <c r="M8567" s="25"/>
      <c r="O8567" s="25"/>
    </row>
    <row r="8568" ht="15.75" customHeight="1">
      <c r="A8568" s="25" t="str">
        <f>IFERROR(__xludf.DUMMYFUNCTION("IF(B8568="""","""",RIGHT(REGEXREPLACE(B8568&amp;"""",""[^0-9]"",""""),9))"),"766887228")</f>
        <v>766887228</v>
      </c>
      <c r="B8568" s="52">
        <v>7.66887228E8</v>
      </c>
      <c r="C8568" s="28" t="s">
        <v>7951</v>
      </c>
      <c r="D8568" s="26" t="s">
        <v>64</v>
      </c>
      <c r="E8568" s="31">
        <v>46247.0</v>
      </c>
      <c r="F8568" s="26" t="s">
        <v>659</v>
      </c>
      <c r="G8568" s="26">
        <v>11.0</v>
      </c>
      <c r="H8568" s="26" t="s">
        <v>8235</v>
      </c>
      <c r="I8568" s="26" t="s">
        <v>970</v>
      </c>
      <c r="J8568" s="25" t="str">
        <f t="shared" si="106"/>
        <v>Yes - see Previous F-Code</v>
      </c>
      <c r="K8568" s="25" t="str">
        <f t="shared" si="107"/>
        <v>DUPLICATE - CHECK</v>
      </c>
      <c r="L8568" s="25" t="str">
        <f t="shared" si="108"/>
        <v>F76840</v>
      </c>
      <c r="M8568" s="25"/>
      <c r="O8568" s="25"/>
    </row>
    <row r="8569" ht="15.75" customHeight="1">
      <c r="A8569" s="25" t="str">
        <f>IFERROR(__xludf.DUMMYFUNCTION("IF(B8569="""","""",RIGHT(REGEXREPLACE(B8569&amp;"""",""[^0-9]"",""""),9))"),"763347901")</f>
        <v>763347901</v>
      </c>
      <c r="B8569" s="52">
        <v>7.63347901E8</v>
      </c>
      <c r="C8569" s="28" t="s">
        <v>8724</v>
      </c>
      <c r="D8569" s="26" t="s">
        <v>64</v>
      </c>
      <c r="E8569" s="31">
        <v>46247.0</v>
      </c>
      <c r="F8569" s="26" t="s">
        <v>659</v>
      </c>
      <c r="G8569" s="26">
        <v>9.0</v>
      </c>
      <c r="I8569" s="26" t="s">
        <v>970</v>
      </c>
      <c r="J8569" s="25" t="str">
        <f t="shared" si="106"/>
        <v>No</v>
      </c>
      <c r="K8569" s="25" t="str">
        <f t="shared" si="107"/>
        <v/>
      </c>
      <c r="L8569" s="25" t="str">
        <f t="shared" si="108"/>
        <v/>
      </c>
      <c r="M8569" s="25"/>
      <c r="O8569" s="25"/>
    </row>
    <row r="8570" ht="15.75" customHeight="1">
      <c r="A8570" s="25" t="str">
        <f>IFERROR(__xludf.DUMMYFUNCTION("IF(B8570="""","""",RIGHT(REGEXREPLACE(B8570&amp;"""",""[^0-9]"",""""),9))"),"774475805")</f>
        <v>774475805</v>
      </c>
      <c r="B8570" s="52">
        <v>7.74475805E8</v>
      </c>
      <c r="C8570" s="28" t="s">
        <v>8725</v>
      </c>
      <c r="D8570" s="26" t="s">
        <v>56</v>
      </c>
      <c r="E8570" s="31">
        <v>46247.0</v>
      </c>
      <c r="F8570" s="26" t="s">
        <v>41</v>
      </c>
      <c r="H8570" s="26" t="s">
        <v>8436</v>
      </c>
      <c r="I8570" s="26" t="s">
        <v>970</v>
      </c>
      <c r="J8570" s="25" t="str">
        <f t="shared" si="106"/>
        <v>No</v>
      </c>
      <c r="K8570" s="25" t="str">
        <f t="shared" si="107"/>
        <v/>
      </c>
      <c r="L8570" s="25" t="str">
        <f t="shared" si="108"/>
        <v/>
      </c>
      <c r="M8570" s="25"/>
      <c r="O8570" s="25"/>
    </row>
    <row r="8571" ht="15.75" customHeight="1">
      <c r="A8571" s="25" t="str">
        <f>IFERROR(__xludf.DUMMYFUNCTION("IF(B8571="""","""",RIGHT(REGEXREPLACE(B8571&amp;"""",""[^0-9]"",""""),9))"),"715605540")</f>
        <v>715605540</v>
      </c>
      <c r="B8571" s="52">
        <v>7.1560554E8</v>
      </c>
      <c r="C8571" s="28" t="s">
        <v>8726</v>
      </c>
      <c r="D8571" s="26" t="s">
        <v>82</v>
      </c>
      <c r="E8571" s="31">
        <v>46247.0</v>
      </c>
      <c r="F8571" s="26" t="s">
        <v>46</v>
      </c>
      <c r="I8571" s="26" t="s">
        <v>970</v>
      </c>
      <c r="J8571" s="25" t="str">
        <f t="shared" si="106"/>
        <v>No</v>
      </c>
      <c r="K8571" s="25" t="str">
        <f t="shared" si="107"/>
        <v/>
      </c>
      <c r="L8571" s="25" t="str">
        <f t="shared" si="108"/>
        <v/>
      </c>
      <c r="M8571" s="25"/>
      <c r="O8571" s="25"/>
    </row>
    <row r="8572" ht="15.75" customHeight="1">
      <c r="A8572" s="25" t="str">
        <f>IFERROR(__xludf.DUMMYFUNCTION("IF(B8572="""","""",RIGHT(REGEXREPLACE(B8572&amp;"""",""[^0-9]"",""""),9))"),"769214809")</f>
        <v>769214809</v>
      </c>
      <c r="B8572" s="52">
        <v>7.69214809E8</v>
      </c>
      <c r="C8572" s="28" t="s">
        <v>8727</v>
      </c>
      <c r="D8572" s="26" t="s">
        <v>82</v>
      </c>
      <c r="E8572" s="31">
        <v>46247.0</v>
      </c>
      <c r="F8572" s="26" t="s">
        <v>41</v>
      </c>
      <c r="I8572" s="26" t="s">
        <v>970</v>
      </c>
      <c r="J8572" s="25" t="str">
        <f t="shared" si="106"/>
        <v>No</v>
      </c>
      <c r="K8572" s="25" t="str">
        <f t="shared" si="107"/>
        <v/>
      </c>
      <c r="L8572" s="25" t="str">
        <f t="shared" si="108"/>
        <v/>
      </c>
      <c r="M8572" s="25"/>
      <c r="O8572" s="25"/>
    </row>
    <row r="8573" ht="15.75" customHeight="1">
      <c r="A8573" s="25" t="str">
        <f>IFERROR(__xludf.DUMMYFUNCTION("IF(B8573="""","""",RIGHT(REGEXREPLACE(B8573&amp;"""",""[^0-9]"",""""),9))"),"716079032")</f>
        <v>716079032</v>
      </c>
      <c r="B8573" s="52">
        <v>7.16079032E8</v>
      </c>
      <c r="C8573" s="28" t="s">
        <v>8728</v>
      </c>
      <c r="D8573" s="26" t="s">
        <v>64</v>
      </c>
      <c r="E8573" s="31">
        <v>46247.0</v>
      </c>
      <c r="F8573" s="26" t="s">
        <v>41</v>
      </c>
      <c r="I8573" s="26" t="s">
        <v>970</v>
      </c>
      <c r="J8573" s="25" t="str">
        <f t="shared" si="106"/>
        <v>No</v>
      </c>
      <c r="K8573" s="25" t="str">
        <f t="shared" si="107"/>
        <v/>
      </c>
      <c r="L8573" s="25" t="str">
        <f t="shared" si="108"/>
        <v/>
      </c>
      <c r="M8573" s="25"/>
      <c r="O8573" s="25"/>
    </row>
    <row r="8574" ht="15.75" customHeight="1">
      <c r="A8574" s="25" t="str">
        <f>IFERROR(__xludf.DUMMYFUNCTION("IF(B8574="""","""",RIGHT(REGEXREPLACE(B8574&amp;"""",""[^0-9]"",""""),9))"),"766587917")</f>
        <v>766587917</v>
      </c>
      <c r="B8574" s="52">
        <v>7.66587917E8</v>
      </c>
      <c r="C8574" s="116" t="s">
        <v>8729</v>
      </c>
      <c r="D8574" s="26" t="s">
        <v>45</v>
      </c>
      <c r="E8574" s="31">
        <v>46247.0</v>
      </c>
      <c r="F8574" s="26" t="s">
        <v>41</v>
      </c>
      <c r="I8574" s="26" t="s">
        <v>970</v>
      </c>
      <c r="J8574" s="25" t="str">
        <f t="shared" si="106"/>
        <v>No</v>
      </c>
      <c r="K8574" s="25" t="str">
        <f t="shared" si="107"/>
        <v/>
      </c>
      <c r="L8574" s="25" t="str">
        <f t="shared" si="108"/>
        <v/>
      </c>
      <c r="M8574" s="25"/>
      <c r="O8574" s="25"/>
    </row>
    <row r="8575" ht="15.75" customHeight="1">
      <c r="A8575" s="25" t="str">
        <f>IFERROR(__xludf.DUMMYFUNCTION("IF(B8575="""","""",RIGHT(REGEXREPLACE(B8575&amp;"""",""[^0-9]"",""""),9))"),"773923089")</f>
        <v>773923089</v>
      </c>
      <c r="B8575" s="52">
        <v>7.73923089E8</v>
      </c>
      <c r="C8575" s="28" t="s">
        <v>8730</v>
      </c>
      <c r="D8575" s="26" t="s">
        <v>82</v>
      </c>
      <c r="E8575" s="31">
        <v>46247.0</v>
      </c>
      <c r="F8575" s="26" t="s">
        <v>41</v>
      </c>
      <c r="I8575" s="26" t="s">
        <v>970</v>
      </c>
      <c r="J8575" s="25" t="str">
        <f t="shared" si="106"/>
        <v>No</v>
      </c>
      <c r="K8575" s="25" t="str">
        <f t="shared" si="107"/>
        <v/>
      </c>
      <c r="L8575" s="25" t="str">
        <f t="shared" si="108"/>
        <v/>
      </c>
      <c r="M8575" s="25"/>
      <c r="O8575" s="25"/>
    </row>
    <row r="8576" ht="15.75" customHeight="1">
      <c r="A8576" s="25" t="str">
        <f>IFERROR(__xludf.DUMMYFUNCTION("IF(B8576="""","""",RIGHT(REGEXREPLACE(B8576&amp;"""",""[^0-9]"",""""),9))"),"776302723")</f>
        <v>776302723</v>
      </c>
      <c r="B8576" s="52">
        <v>7.76302723E8</v>
      </c>
      <c r="C8576" s="28" t="s">
        <v>8680</v>
      </c>
      <c r="D8576" s="26" t="s">
        <v>64</v>
      </c>
      <c r="E8576" s="31">
        <v>46247.0</v>
      </c>
      <c r="F8576" s="26" t="s">
        <v>46</v>
      </c>
      <c r="G8576" s="26">
        <v>11.0</v>
      </c>
      <c r="H8576" s="26" t="s">
        <v>8731</v>
      </c>
      <c r="I8576" s="26" t="s">
        <v>970</v>
      </c>
      <c r="J8576" s="25" t="str">
        <f t="shared" si="106"/>
        <v>Yes - see Previous F-Code</v>
      </c>
      <c r="K8576" s="25" t="str">
        <f t="shared" si="107"/>
        <v>DUPLICATE - CHECK</v>
      </c>
      <c r="L8576" s="25" t="str">
        <f t="shared" si="108"/>
        <v>F77441</v>
      </c>
      <c r="M8576" s="25"/>
      <c r="O8576" s="25"/>
    </row>
    <row r="8577" ht="15.75" customHeight="1">
      <c r="A8577" s="25" t="str">
        <f>IFERROR(__xludf.DUMMYFUNCTION("IF(B8577="""","""",RIGHT(REGEXREPLACE(B8577&amp;"""",""[^0-9]"",""""),9))"),"771363768")</f>
        <v>771363768</v>
      </c>
      <c r="B8577" s="52">
        <v>7.71363768E8</v>
      </c>
      <c r="C8577" s="28" t="s">
        <v>8732</v>
      </c>
      <c r="D8577" s="26" t="s">
        <v>82</v>
      </c>
      <c r="E8577" s="31">
        <v>46247.0</v>
      </c>
      <c r="F8577" s="26" t="s">
        <v>659</v>
      </c>
      <c r="I8577" s="26" t="s">
        <v>970</v>
      </c>
      <c r="J8577" s="25" t="str">
        <f t="shared" si="106"/>
        <v>No</v>
      </c>
      <c r="K8577" s="25" t="str">
        <f t="shared" si="107"/>
        <v/>
      </c>
      <c r="L8577" s="25" t="str">
        <f t="shared" si="108"/>
        <v/>
      </c>
      <c r="M8577" s="25"/>
      <c r="O8577" s="25"/>
    </row>
    <row r="8578" ht="15.75" customHeight="1">
      <c r="A8578" s="25" t="str">
        <f>IFERROR(__xludf.DUMMYFUNCTION("IF(B8578="""","""",RIGHT(REGEXREPLACE(B8578&amp;"""",""[^0-9]"",""""),9))"),"771931698")</f>
        <v>771931698</v>
      </c>
      <c r="B8578" s="52">
        <v>7.71931698E8</v>
      </c>
      <c r="C8578" s="28" t="s">
        <v>370</v>
      </c>
      <c r="D8578" s="26" t="s">
        <v>56</v>
      </c>
      <c r="E8578" s="31">
        <v>46247.0</v>
      </c>
      <c r="F8578" s="26" t="s">
        <v>41</v>
      </c>
      <c r="H8578" s="26" t="s">
        <v>8436</v>
      </c>
      <c r="I8578" s="26" t="s">
        <v>970</v>
      </c>
      <c r="J8578" s="25" t="str">
        <f t="shared" si="106"/>
        <v>Yes - see Previous F-Code</v>
      </c>
      <c r="K8578" s="25" t="str">
        <f t="shared" si="107"/>
        <v/>
      </c>
      <c r="L8578" s="25" t="str">
        <f t="shared" si="108"/>
        <v>F70215</v>
      </c>
      <c r="M8578" s="25"/>
      <c r="O8578" s="25"/>
    </row>
    <row r="8579" ht="15.75" customHeight="1">
      <c r="A8579" s="25" t="str">
        <f>IFERROR(__xludf.DUMMYFUNCTION("IF(B8579="""","""",RIGHT(REGEXREPLACE(B8579&amp;"""",""[^0-9]"",""""),9))"),"722759716")</f>
        <v>722759716</v>
      </c>
      <c r="B8579" s="52">
        <v>7.22759716E8</v>
      </c>
      <c r="C8579" s="28" t="s">
        <v>8733</v>
      </c>
      <c r="D8579" s="26" t="s">
        <v>82</v>
      </c>
      <c r="E8579" s="31">
        <v>46247.0</v>
      </c>
      <c r="F8579" s="26" t="s">
        <v>46</v>
      </c>
      <c r="G8579" s="26">
        <v>11.0</v>
      </c>
      <c r="I8579" s="26" t="s">
        <v>970</v>
      </c>
      <c r="J8579" s="25" t="str">
        <f t="shared" si="106"/>
        <v>No</v>
      </c>
      <c r="K8579" s="25" t="str">
        <f t="shared" si="107"/>
        <v/>
      </c>
      <c r="L8579" s="25" t="str">
        <f t="shared" si="108"/>
        <v/>
      </c>
      <c r="M8579" s="25"/>
      <c r="O8579" s="25"/>
    </row>
    <row r="8580" ht="15.75" customHeight="1">
      <c r="A8580" s="25" t="str">
        <f>IFERROR(__xludf.DUMMYFUNCTION("IF(B8580="""","""",RIGHT(REGEXREPLACE(B8580&amp;"""",""[^0-9]"",""""),9))"),"763106678")</f>
        <v>763106678</v>
      </c>
      <c r="B8580" s="52">
        <v>7.63106678E8</v>
      </c>
      <c r="C8580" s="28" t="s">
        <v>8734</v>
      </c>
      <c r="D8580" s="26" t="s">
        <v>45</v>
      </c>
      <c r="E8580" s="31">
        <v>46247.0</v>
      </c>
      <c r="F8580" s="26" t="s">
        <v>41</v>
      </c>
      <c r="I8580" s="26" t="s">
        <v>970</v>
      </c>
      <c r="J8580" s="25" t="str">
        <f t="shared" si="106"/>
        <v>No</v>
      </c>
      <c r="K8580" s="25" t="str">
        <f t="shared" si="107"/>
        <v/>
      </c>
      <c r="L8580" s="25" t="str">
        <f t="shared" si="108"/>
        <v/>
      </c>
      <c r="M8580" s="25"/>
      <c r="O8580" s="25"/>
    </row>
    <row r="8581" ht="15.75" customHeight="1">
      <c r="A8581" s="25" t="str">
        <f>IFERROR(__xludf.DUMMYFUNCTION("IF(B8581="""","""",RIGHT(REGEXREPLACE(B8581&amp;"""",""[^0-9]"",""""),9))"),"755456541")</f>
        <v>755456541</v>
      </c>
      <c r="B8581" s="52">
        <v>7.55456541E8</v>
      </c>
      <c r="C8581" s="28" t="s">
        <v>8735</v>
      </c>
      <c r="D8581" s="26" t="s">
        <v>56</v>
      </c>
      <c r="E8581" s="31">
        <v>46247.0</v>
      </c>
      <c r="F8581" s="26" t="s">
        <v>659</v>
      </c>
      <c r="I8581" s="26" t="s">
        <v>970</v>
      </c>
      <c r="J8581" s="25" t="str">
        <f t="shared" si="106"/>
        <v>No</v>
      </c>
      <c r="K8581" s="25" t="str">
        <f t="shared" si="107"/>
        <v/>
      </c>
      <c r="L8581" s="25" t="str">
        <f t="shared" si="108"/>
        <v/>
      </c>
      <c r="M8581" s="25"/>
      <c r="O8581" s="25"/>
    </row>
    <row r="8582" ht="15.75" customHeight="1">
      <c r="A8582" s="25" t="str">
        <f>IFERROR(__xludf.DUMMYFUNCTION("IF(B8582="""","""",RIGHT(REGEXREPLACE(B8582&amp;"""",""[^0-9]"",""""),9))"),"769080914")</f>
        <v>769080914</v>
      </c>
      <c r="B8582" s="52">
        <v>7.69080914E8</v>
      </c>
      <c r="C8582" s="28" t="s">
        <v>8736</v>
      </c>
      <c r="D8582" s="26" t="s">
        <v>64</v>
      </c>
      <c r="E8582" s="31">
        <v>46247.0</v>
      </c>
      <c r="F8582" s="26" t="s">
        <v>46</v>
      </c>
      <c r="G8582" s="26">
        <v>11.0</v>
      </c>
      <c r="I8582" s="26" t="s">
        <v>970</v>
      </c>
      <c r="J8582" s="25" t="str">
        <f t="shared" si="106"/>
        <v>No</v>
      </c>
      <c r="K8582" s="25" t="str">
        <f t="shared" si="107"/>
        <v/>
      </c>
      <c r="L8582" s="25" t="str">
        <f t="shared" si="108"/>
        <v/>
      </c>
      <c r="M8582" s="25"/>
      <c r="O8582" s="25"/>
    </row>
    <row r="8583" ht="15.75" customHeight="1">
      <c r="A8583" s="25" t="str">
        <f>IFERROR(__xludf.DUMMYFUNCTION("IF(B8583="""","""",RIGHT(REGEXREPLACE(B8583&amp;"""",""[^0-9]"",""""),9))"),"770577492")</f>
        <v>770577492</v>
      </c>
      <c r="B8583" s="52">
        <v>7.70577492E8</v>
      </c>
      <c r="C8583" s="28" t="s">
        <v>8737</v>
      </c>
      <c r="D8583" s="26" t="s">
        <v>82</v>
      </c>
      <c r="E8583" s="31">
        <v>46247.0</v>
      </c>
      <c r="F8583" s="26" t="s">
        <v>46</v>
      </c>
      <c r="I8583" s="26" t="s">
        <v>970</v>
      </c>
      <c r="J8583" s="25" t="str">
        <f t="shared" si="106"/>
        <v>No</v>
      </c>
      <c r="K8583" s="25" t="str">
        <f t="shared" si="107"/>
        <v/>
      </c>
      <c r="L8583" s="25" t="str">
        <f t="shared" si="108"/>
        <v/>
      </c>
      <c r="M8583" s="25"/>
      <c r="O8583" s="25"/>
    </row>
    <row r="8584" ht="15.75" customHeight="1">
      <c r="A8584" s="25" t="str">
        <f>IFERROR(__xludf.DUMMYFUNCTION("IF(B8584="""","""",RIGHT(REGEXREPLACE(B8584&amp;"""",""[^0-9]"",""""),9))"),"705300278")</f>
        <v>705300278</v>
      </c>
      <c r="B8584" s="52">
        <v>7.05300278E8</v>
      </c>
      <c r="C8584" s="28" t="s">
        <v>8738</v>
      </c>
      <c r="D8584" s="26" t="s">
        <v>45</v>
      </c>
      <c r="E8584" s="31">
        <v>46247.0</v>
      </c>
      <c r="F8584" s="26" t="s">
        <v>46</v>
      </c>
      <c r="G8584" s="26">
        <v>5.0</v>
      </c>
      <c r="H8584" s="26" t="s">
        <v>8739</v>
      </c>
      <c r="I8584" s="26" t="s">
        <v>970</v>
      </c>
      <c r="J8584" s="25" t="str">
        <f t="shared" si="106"/>
        <v>No</v>
      </c>
      <c r="K8584" s="25" t="str">
        <f t="shared" si="107"/>
        <v/>
      </c>
      <c r="L8584" s="25" t="str">
        <f t="shared" si="108"/>
        <v/>
      </c>
      <c r="M8584" s="25"/>
      <c r="O8584" s="25"/>
    </row>
    <row r="8585" ht="15.75" customHeight="1">
      <c r="A8585" s="25" t="str">
        <f>IFERROR(__xludf.DUMMYFUNCTION("IF(B8585="""","""",RIGHT(REGEXREPLACE(B8585&amp;"""",""[^0-9]"",""""),9))"),"768349917")</f>
        <v>768349917</v>
      </c>
      <c r="B8585" s="52">
        <v>7.68349917E8</v>
      </c>
      <c r="C8585" s="28" t="s">
        <v>4423</v>
      </c>
      <c r="D8585" s="26" t="s">
        <v>56</v>
      </c>
      <c r="E8585" s="31">
        <v>46247.0</v>
      </c>
      <c r="F8585" s="26" t="s">
        <v>41</v>
      </c>
      <c r="I8585" s="26" t="s">
        <v>970</v>
      </c>
      <c r="J8585" s="25" t="str">
        <f t="shared" si="106"/>
        <v>Yes - see Previous F-Code</v>
      </c>
      <c r="K8585" s="25" t="str">
        <f t="shared" si="107"/>
        <v/>
      </c>
      <c r="L8585" s="25" t="str">
        <f t="shared" si="108"/>
        <v>F74045</v>
      </c>
      <c r="M8585" s="25"/>
      <c r="O8585" s="25"/>
    </row>
    <row r="8586" ht="15.75" customHeight="1">
      <c r="A8586" s="25" t="str">
        <f>IFERROR(__xludf.DUMMYFUNCTION("IF(B8586="""","""",RIGHT(REGEXREPLACE(B8586&amp;"""",""[^0-9]"",""""),9))"),"715750491")</f>
        <v>715750491</v>
      </c>
      <c r="B8586" s="52">
        <v>7.15750491E8</v>
      </c>
      <c r="C8586" s="28" t="s">
        <v>8740</v>
      </c>
      <c r="D8586" s="26" t="s">
        <v>64</v>
      </c>
      <c r="E8586" s="31">
        <v>46247.0</v>
      </c>
      <c r="F8586" s="26" t="s">
        <v>205</v>
      </c>
      <c r="I8586" s="26" t="s">
        <v>970</v>
      </c>
      <c r="J8586" s="25" t="str">
        <f t="shared" si="106"/>
        <v>No</v>
      </c>
      <c r="K8586" s="25" t="str">
        <f t="shared" si="107"/>
        <v/>
      </c>
      <c r="L8586" s="25" t="str">
        <f t="shared" si="108"/>
        <v/>
      </c>
      <c r="M8586" s="25"/>
      <c r="O8586" s="25"/>
    </row>
    <row r="8587" ht="15.75" customHeight="1">
      <c r="A8587" s="25" t="str">
        <f>IFERROR(__xludf.DUMMYFUNCTION("IF(B8587="""","""",RIGHT(REGEXREPLACE(B8587&amp;"""",""[^0-9]"",""""),9))"),"767583688")</f>
        <v>767583688</v>
      </c>
      <c r="B8587" s="52">
        <v>7.67583688E8</v>
      </c>
      <c r="C8587" s="28" t="s">
        <v>8741</v>
      </c>
      <c r="D8587" s="26" t="s">
        <v>45</v>
      </c>
      <c r="E8587" s="31">
        <v>46247.0</v>
      </c>
      <c r="F8587" s="26" t="s">
        <v>46</v>
      </c>
      <c r="G8587" s="26">
        <v>11.0</v>
      </c>
      <c r="I8587" s="26" t="s">
        <v>970</v>
      </c>
      <c r="J8587" s="25" t="str">
        <f t="shared" si="106"/>
        <v>No</v>
      </c>
      <c r="K8587" s="25" t="str">
        <f t="shared" si="107"/>
        <v/>
      </c>
      <c r="L8587" s="25" t="str">
        <f t="shared" si="108"/>
        <v/>
      </c>
      <c r="M8587" s="25"/>
      <c r="O8587" s="25"/>
    </row>
    <row r="8588" ht="15.75" customHeight="1">
      <c r="A8588" s="25" t="str">
        <f>IFERROR(__xludf.DUMMYFUNCTION("IF(B8588="""","""",RIGHT(REGEXREPLACE(B8588&amp;"""",""[^0-9]"",""""),9))"),"741381348")</f>
        <v>741381348</v>
      </c>
      <c r="B8588" s="52">
        <v>7.41381348E8</v>
      </c>
      <c r="C8588" s="28" t="s">
        <v>427</v>
      </c>
      <c r="D8588" s="26" t="s">
        <v>56</v>
      </c>
      <c r="E8588" s="31">
        <v>46247.0</v>
      </c>
      <c r="F8588" s="26" t="s">
        <v>46</v>
      </c>
      <c r="G8588" s="26">
        <v>10.0</v>
      </c>
      <c r="H8588" s="26" t="s">
        <v>8436</v>
      </c>
      <c r="I8588" s="26" t="s">
        <v>970</v>
      </c>
      <c r="J8588" s="25" t="str">
        <f t="shared" si="106"/>
        <v>Yes - see Previous F-Code</v>
      </c>
      <c r="K8588" s="25" t="str">
        <f t="shared" si="107"/>
        <v/>
      </c>
      <c r="L8588" s="25" t="str">
        <f t="shared" si="108"/>
        <v>F70262</v>
      </c>
      <c r="M8588" s="25"/>
      <c r="O8588" s="25"/>
    </row>
    <row r="8589" ht="15.75" customHeight="1">
      <c r="A8589" s="25" t="str">
        <f>IFERROR(__xludf.DUMMYFUNCTION("IF(B8589="""","""",RIGHT(REGEXREPLACE(B8589&amp;"""",""[^0-9]"",""""),9))"),"770658958")</f>
        <v>770658958</v>
      </c>
      <c r="B8589" s="52">
        <v>7.70658958E8</v>
      </c>
      <c r="C8589" s="28" t="s">
        <v>8742</v>
      </c>
      <c r="D8589" s="26" t="s">
        <v>64</v>
      </c>
      <c r="E8589" s="31">
        <v>46247.0</v>
      </c>
      <c r="F8589" s="26" t="s">
        <v>46</v>
      </c>
      <c r="G8589" s="26">
        <v>11.0</v>
      </c>
      <c r="I8589" s="26" t="s">
        <v>970</v>
      </c>
      <c r="J8589" s="25" t="str">
        <f t="shared" si="106"/>
        <v>No</v>
      </c>
      <c r="K8589" s="25" t="str">
        <f t="shared" si="107"/>
        <v/>
      </c>
      <c r="L8589" s="25" t="str">
        <f t="shared" si="108"/>
        <v/>
      </c>
      <c r="M8589" s="25"/>
      <c r="O8589" s="25"/>
    </row>
    <row r="8590" ht="15.75" customHeight="1">
      <c r="A8590" s="25" t="str">
        <f>IFERROR(__xludf.DUMMYFUNCTION("IF(B8590="""","""",RIGHT(REGEXREPLACE(B8590&amp;"""",""[^0-9]"",""""),9))"),"768803547")</f>
        <v>768803547</v>
      </c>
      <c r="B8590" s="52">
        <v>7.68803547E8</v>
      </c>
      <c r="C8590" s="28" t="s">
        <v>8743</v>
      </c>
      <c r="D8590" s="26" t="s">
        <v>45</v>
      </c>
      <c r="E8590" s="31">
        <v>46247.0</v>
      </c>
      <c r="F8590" s="26" t="s">
        <v>41</v>
      </c>
      <c r="G8590" s="26">
        <v>10.0</v>
      </c>
      <c r="I8590" s="26" t="s">
        <v>970</v>
      </c>
      <c r="J8590" s="25" t="str">
        <f t="shared" si="106"/>
        <v>No</v>
      </c>
      <c r="K8590" s="25" t="str">
        <f t="shared" si="107"/>
        <v/>
      </c>
      <c r="L8590" s="25" t="str">
        <f t="shared" si="108"/>
        <v/>
      </c>
      <c r="M8590" s="25"/>
      <c r="O8590" s="25"/>
    </row>
    <row r="8591" ht="15.75" customHeight="1">
      <c r="A8591" s="25" t="str">
        <f>IFERROR(__xludf.DUMMYFUNCTION("IF(B8591="""","""",RIGHT(REGEXREPLACE(B8591&amp;"""",""[^0-9]"",""""),9))"),"772402313")</f>
        <v>772402313</v>
      </c>
      <c r="B8591" s="52">
        <v>7.72402313E8</v>
      </c>
      <c r="C8591" s="28" t="s">
        <v>2356</v>
      </c>
      <c r="D8591" s="26" t="s">
        <v>82</v>
      </c>
      <c r="E8591" s="31">
        <v>46247.0</v>
      </c>
      <c r="F8591" s="26" t="s">
        <v>46</v>
      </c>
      <c r="I8591" s="26" t="s">
        <v>970</v>
      </c>
      <c r="J8591" s="25" t="str">
        <f t="shared" si="106"/>
        <v>Yes - see Previous F-Code</v>
      </c>
      <c r="K8591" s="25" t="str">
        <f t="shared" si="107"/>
        <v/>
      </c>
      <c r="L8591" s="25" t="str">
        <f t="shared" si="108"/>
        <v>F72052</v>
      </c>
      <c r="M8591" s="25"/>
      <c r="O8591" s="25"/>
    </row>
    <row r="8592" ht="15.75" customHeight="1">
      <c r="A8592" s="25" t="str">
        <f>IFERROR(__xludf.DUMMYFUNCTION("IF(B8592="""","""",RIGHT(REGEXREPLACE(B8592&amp;"""",""[^0-9]"",""""),9))"),"719858951")</f>
        <v>719858951</v>
      </c>
      <c r="B8592" s="52">
        <v>7.19858951E8</v>
      </c>
      <c r="C8592" s="28" t="s">
        <v>8744</v>
      </c>
      <c r="D8592" s="26" t="s">
        <v>64</v>
      </c>
      <c r="E8592" s="31">
        <v>46247.0</v>
      </c>
      <c r="F8592" s="26" t="s">
        <v>46</v>
      </c>
      <c r="G8592" s="26">
        <v>11.0</v>
      </c>
      <c r="I8592" s="26" t="s">
        <v>970</v>
      </c>
      <c r="J8592" s="25" t="str">
        <f t="shared" si="106"/>
        <v>No</v>
      </c>
      <c r="K8592" s="25" t="str">
        <f t="shared" si="107"/>
        <v/>
      </c>
      <c r="L8592" s="25" t="str">
        <f t="shared" si="108"/>
        <v/>
      </c>
      <c r="M8592" s="25"/>
      <c r="O8592" s="25"/>
    </row>
    <row r="8593" ht="15.75" customHeight="1">
      <c r="A8593" s="25" t="str">
        <f>IFERROR(__xludf.DUMMYFUNCTION("IF(B8593="""","""",RIGHT(REGEXREPLACE(B8593&amp;"""",""[^0-9]"",""""),9))"),"704725204")</f>
        <v>704725204</v>
      </c>
      <c r="B8593" s="52">
        <v>7.04725204E8</v>
      </c>
      <c r="C8593" s="28" t="s">
        <v>5464</v>
      </c>
      <c r="D8593" s="26" t="s">
        <v>45</v>
      </c>
      <c r="E8593" s="31">
        <v>46247.0</v>
      </c>
      <c r="F8593" s="26" t="s">
        <v>41</v>
      </c>
      <c r="I8593" s="26" t="s">
        <v>970</v>
      </c>
      <c r="J8593" s="25" t="str">
        <f t="shared" si="106"/>
        <v>Yes - see Previous F-Code</v>
      </c>
      <c r="K8593" s="25" t="str">
        <f t="shared" si="107"/>
        <v/>
      </c>
      <c r="L8593" s="25" t="str">
        <f t="shared" si="108"/>
        <v>F74957</v>
      </c>
      <c r="M8593" s="25"/>
      <c r="O8593" s="25"/>
    </row>
    <row r="8594" ht="15.75" customHeight="1">
      <c r="A8594" s="25" t="str">
        <f>IFERROR(__xludf.DUMMYFUNCTION("IF(B8594="""","""",RIGHT(REGEXREPLACE(B8594&amp;"""",""[^0-9]"",""""),9))"),"763801960")</f>
        <v>763801960</v>
      </c>
      <c r="B8594" s="52">
        <v>7.6380196E8</v>
      </c>
      <c r="C8594" s="28" t="s">
        <v>5388</v>
      </c>
      <c r="D8594" s="26" t="s">
        <v>45</v>
      </c>
      <c r="E8594" s="31">
        <v>46247.0</v>
      </c>
      <c r="F8594" s="26" t="s">
        <v>41</v>
      </c>
      <c r="G8594" s="26">
        <v>10.0</v>
      </c>
      <c r="I8594" s="26" t="s">
        <v>970</v>
      </c>
      <c r="J8594" s="25" t="str">
        <f t="shared" si="106"/>
        <v>Yes - see Previous F-Code</v>
      </c>
      <c r="K8594" s="25" t="str">
        <f t="shared" si="107"/>
        <v/>
      </c>
      <c r="L8594" s="25" t="str">
        <f t="shared" si="108"/>
        <v>F74897</v>
      </c>
      <c r="M8594" s="25"/>
      <c r="O8594" s="25"/>
    </row>
    <row r="8595" ht="15.75" customHeight="1">
      <c r="A8595" s="25" t="str">
        <f>IFERROR(__xludf.DUMMYFUNCTION("IF(B8595="""","""",RIGHT(REGEXREPLACE(B8595&amp;"""",""[^0-9]"",""""),9))"),"714002277")</f>
        <v>714002277</v>
      </c>
      <c r="B8595" s="52">
        <v>7.14002277E8</v>
      </c>
      <c r="C8595" s="28" t="s">
        <v>8745</v>
      </c>
      <c r="D8595" s="26" t="s">
        <v>82</v>
      </c>
      <c r="E8595" s="31">
        <v>46247.0</v>
      </c>
      <c r="F8595" s="26" t="s">
        <v>46</v>
      </c>
      <c r="I8595" s="26" t="s">
        <v>970</v>
      </c>
      <c r="J8595" s="25" t="str">
        <f t="shared" si="106"/>
        <v>No</v>
      </c>
      <c r="K8595" s="25" t="str">
        <f t="shared" si="107"/>
        <v/>
      </c>
      <c r="L8595" s="25" t="str">
        <f t="shared" si="108"/>
        <v/>
      </c>
      <c r="M8595" s="25"/>
      <c r="O8595" s="25"/>
    </row>
    <row r="8596" ht="15.75" customHeight="1">
      <c r="A8596" s="25" t="str">
        <f>IFERROR(__xludf.DUMMYFUNCTION("IF(B8596="""","""",RIGHT(REGEXREPLACE(B8596&amp;"""",""[^0-9]"",""""),9))"),"713624835")</f>
        <v>713624835</v>
      </c>
      <c r="B8596" s="52">
        <v>7.13624835E8</v>
      </c>
      <c r="C8596" s="28" t="s">
        <v>8746</v>
      </c>
      <c r="D8596" s="26" t="s">
        <v>45</v>
      </c>
      <c r="E8596" s="31">
        <v>46247.0</v>
      </c>
      <c r="F8596" s="26" t="s">
        <v>46</v>
      </c>
      <c r="G8596" s="26">
        <v>11.0</v>
      </c>
      <c r="I8596" s="26" t="s">
        <v>970</v>
      </c>
      <c r="J8596" s="25" t="str">
        <f t="shared" si="106"/>
        <v>No</v>
      </c>
      <c r="K8596" s="25" t="str">
        <f t="shared" si="107"/>
        <v/>
      </c>
      <c r="L8596" s="25" t="str">
        <f t="shared" si="108"/>
        <v/>
      </c>
      <c r="M8596" s="25"/>
      <c r="O8596" s="25"/>
    </row>
    <row r="8597" ht="15.75" customHeight="1">
      <c r="A8597" s="25" t="str">
        <f>IFERROR(__xludf.DUMMYFUNCTION("IF(B8597="""","""",RIGHT(REGEXREPLACE(B8597&amp;"""",""[^0-9]"",""""),9))"),"716933872")</f>
        <v>716933872</v>
      </c>
      <c r="B8597" s="52">
        <v>7.16933872E8</v>
      </c>
      <c r="C8597" s="28" t="s">
        <v>8747</v>
      </c>
      <c r="D8597" s="26" t="s">
        <v>64</v>
      </c>
      <c r="E8597" s="31">
        <v>46247.0</v>
      </c>
      <c r="F8597" s="26" t="s">
        <v>46</v>
      </c>
      <c r="G8597" s="26">
        <v>10.0</v>
      </c>
      <c r="I8597" s="26" t="s">
        <v>970</v>
      </c>
      <c r="J8597" s="25" t="str">
        <f t="shared" si="106"/>
        <v>No</v>
      </c>
      <c r="K8597" s="25" t="str">
        <f t="shared" si="107"/>
        <v/>
      </c>
      <c r="L8597" s="25" t="str">
        <f t="shared" si="108"/>
        <v/>
      </c>
      <c r="M8597" s="25"/>
      <c r="O8597" s="25"/>
    </row>
    <row r="8598" ht="15.75" customHeight="1">
      <c r="A8598" s="25" t="str">
        <f>IFERROR(__xludf.DUMMYFUNCTION("IF(B8598="""","""",RIGHT(REGEXREPLACE(B8598&amp;"""",""[^0-9]"",""""),9))"),"706774993")</f>
        <v>706774993</v>
      </c>
      <c r="B8598" s="52">
        <v>7.06774993E8</v>
      </c>
      <c r="C8598" s="28" t="s">
        <v>4666</v>
      </c>
      <c r="D8598" s="26" t="s">
        <v>82</v>
      </c>
      <c r="E8598" s="31">
        <v>46247.0</v>
      </c>
      <c r="F8598" s="26" t="s">
        <v>41</v>
      </c>
      <c r="I8598" s="26" t="s">
        <v>970</v>
      </c>
      <c r="J8598" s="25" t="str">
        <f t="shared" si="106"/>
        <v>Yes - see Previous F-Code</v>
      </c>
      <c r="K8598" s="25" t="str">
        <f t="shared" si="107"/>
        <v/>
      </c>
      <c r="L8598" s="25" t="str">
        <f t="shared" si="108"/>
        <v>F74254</v>
      </c>
      <c r="M8598" s="25"/>
      <c r="O8598" s="25"/>
    </row>
    <row r="8599" ht="15.75" customHeight="1">
      <c r="A8599" s="25" t="str">
        <f>IFERROR(__xludf.DUMMYFUNCTION("IF(B8599="""","""",RIGHT(REGEXREPLACE(B8599&amp;"""",""[^0-9]"",""""),9))"),"706662050")</f>
        <v>706662050</v>
      </c>
      <c r="B8599" s="52">
        <v>7.0666205E8</v>
      </c>
      <c r="C8599" s="28" t="s">
        <v>7327</v>
      </c>
      <c r="D8599" s="26" t="s">
        <v>56</v>
      </c>
      <c r="E8599" s="31">
        <v>46246.0</v>
      </c>
      <c r="F8599" s="26" t="s">
        <v>46</v>
      </c>
      <c r="H8599" s="26" t="s">
        <v>8748</v>
      </c>
      <c r="I8599" s="26" t="s">
        <v>931</v>
      </c>
      <c r="J8599" s="25" t="str">
        <f t="shared" si="106"/>
        <v>Yes - see Previous F-Code</v>
      </c>
      <c r="K8599" s="25" t="str">
        <f t="shared" si="107"/>
        <v/>
      </c>
      <c r="L8599" s="25" t="str">
        <f t="shared" si="108"/>
        <v>F76265</v>
      </c>
      <c r="M8599" s="25"/>
      <c r="O8599" s="25"/>
    </row>
    <row r="8600" ht="15.75" customHeight="1">
      <c r="A8600" s="25" t="str">
        <f>IFERROR(__xludf.DUMMYFUNCTION("IF(B8600="""","""",RIGHT(REGEXREPLACE(B8600&amp;"""",""[^0-9]"",""""),9))"),"764386850")</f>
        <v>764386850</v>
      </c>
      <c r="B8600" s="52">
        <v>7.6438685E8</v>
      </c>
      <c r="C8600" s="28" t="s">
        <v>5671</v>
      </c>
      <c r="D8600" s="26" t="s">
        <v>56</v>
      </c>
      <c r="E8600" s="31">
        <v>46246.0</v>
      </c>
      <c r="F8600" s="26" t="s">
        <v>167</v>
      </c>
      <c r="G8600" s="26">
        <v>9.0</v>
      </c>
      <c r="I8600" s="26" t="s">
        <v>931</v>
      </c>
      <c r="J8600" s="25" t="str">
        <f t="shared" si="106"/>
        <v>Yes - see Previous F-Code</v>
      </c>
      <c r="K8600" s="25" t="str">
        <f t="shared" si="107"/>
        <v/>
      </c>
      <c r="L8600" s="25" t="str">
        <f t="shared" si="108"/>
        <v>F75131</v>
      </c>
      <c r="M8600" s="25"/>
      <c r="O8600" s="26" t="s">
        <v>51</v>
      </c>
    </row>
    <row r="8601" ht="15.75" customHeight="1">
      <c r="A8601" s="25" t="str">
        <f>IFERROR(__xludf.DUMMYFUNCTION("IF(B8601="""","""",RIGHT(REGEXREPLACE(B8601&amp;"""",""[^0-9]"",""""),9))"),"702727936")</f>
        <v>702727936</v>
      </c>
      <c r="B8601" s="52">
        <v>7.02727936E8</v>
      </c>
      <c r="C8601" s="28" t="s">
        <v>4118</v>
      </c>
      <c r="D8601" s="26" t="s">
        <v>56</v>
      </c>
      <c r="E8601" s="31">
        <v>46246.0</v>
      </c>
      <c r="F8601" s="26" t="s">
        <v>659</v>
      </c>
      <c r="I8601" s="26" t="s">
        <v>931</v>
      </c>
      <c r="J8601" s="25" t="str">
        <f t="shared" si="106"/>
        <v>Yes - see Previous F-Code</v>
      </c>
      <c r="K8601" s="25" t="str">
        <f t="shared" si="107"/>
        <v/>
      </c>
      <c r="L8601" s="25" t="str">
        <f t="shared" si="108"/>
        <v>F73760</v>
      </c>
      <c r="M8601" s="25"/>
      <c r="O8601" s="25"/>
    </row>
    <row r="8602" ht="15.75" customHeight="1">
      <c r="A8602" s="25" t="str">
        <f>IFERROR(__xludf.DUMMYFUNCTION("IF(B8602="""","""",RIGHT(REGEXREPLACE(B8602&amp;"""",""[^0-9]"",""""),9))"),"703614301")</f>
        <v>703614301</v>
      </c>
      <c r="B8602" s="52">
        <v>7.03614301E8</v>
      </c>
      <c r="C8602" s="28" t="s">
        <v>8749</v>
      </c>
      <c r="D8602" s="26" t="s">
        <v>56</v>
      </c>
      <c r="E8602" s="31">
        <v>46246.0</v>
      </c>
      <c r="F8602" s="26" t="s">
        <v>41</v>
      </c>
      <c r="G8602" s="26">
        <v>10.0</v>
      </c>
      <c r="I8602" s="26" t="s">
        <v>931</v>
      </c>
      <c r="J8602" s="25" t="str">
        <f t="shared" si="106"/>
        <v>No</v>
      </c>
      <c r="K8602" s="25" t="str">
        <f t="shared" si="107"/>
        <v/>
      </c>
      <c r="L8602" s="25" t="str">
        <f t="shared" si="108"/>
        <v/>
      </c>
      <c r="M8602" s="25"/>
      <c r="O8602" s="25"/>
    </row>
    <row r="8603" ht="15.75" customHeight="1">
      <c r="A8603" s="25" t="str">
        <f>IFERROR(__xludf.DUMMYFUNCTION("IF(B8603="""","""",RIGHT(REGEXREPLACE(B8603&amp;"""",""[^0-9]"",""""),9))"),"763512675")</f>
        <v>763512675</v>
      </c>
      <c r="B8603" s="52">
        <v>7.63512675E8</v>
      </c>
      <c r="C8603" s="28" t="s">
        <v>364</v>
      </c>
      <c r="D8603" s="26" t="s">
        <v>56</v>
      </c>
      <c r="E8603" s="31">
        <v>46246.0</v>
      </c>
      <c r="F8603" s="26" t="s">
        <v>46</v>
      </c>
      <c r="G8603" s="26">
        <v>11.0</v>
      </c>
      <c r="I8603" s="26" t="s">
        <v>931</v>
      </c>
      <c r="J8603" s="25" t="str">
        <f t="shared" si="106"/>
        <v>Yes - see Previous F-Code</v>
      </c>
      <c r="K8603" s="25" t="str">
        <f t="shared" si="107"/>
        <v/>
      </c>
      <c r="L8603" s="25" t="str">
        <f t="shared" si="108"/>
        <v>F70211</v>
      </c>
      <c r="M8603" s="25"/>
      <c r="O8603" s="25"/>
    </row>
    <row r="8604" ht="15.75" customHeight="1">
      <c r="A8604" s="25" t="str">
        <f>IFERROR(__xludf.DUMMYFUNCTION("IF(B8604="""","""",RIGHT(REGEXREPLACE(B8604&amp;"""",""[^0-9]"",""""),9))"),"776239037")</f>
        <v>776239037</v>
      </c>
      <c r="B8604" s="52">
        <v>7.76239037E8</v>
      </c>
      <c r="C8604" s="28" t="s">
        <v>6170</v>
      </c>
      <c r="D8604" s="26" t="s">
        <v>56</v>
      </c>
      <c r="E8604" s="31">
        <v>46246.0</v>
      </c>
      <c r="F8604" s="26" t="s">
        <v>167</v>
      </c>
      <c r="G8604" s="26">
        <v>8.0</v>
      </c>
      <c r="I8604" s="26" t="s">
        <v>931</v>
      </c>
      <c r="J8604" s="25" t="str">
        <f t="shared" si="106"/>
        <v>Yes - see Previous F-Code</v>
      </c>
      <c r="K8604" s="25" t="str">
        <f t="shared" si="107"/>
        <v/>
      </c>
      <c r="L8604" s="25" t="str">
        <f t="shared" si="108"/>
        <v>F75572</v>
      </c>
      <c r="M8604" s="25"/>
      <c r="O8604" s="26" t="s">
        <v>51</v>
      </c>
    </row>
    <row r="8605" ht="15.75" customHeight="1">
      <c r="A8605" s="25" t="str">
        <f>IFERROR(__xludf.DUMMYFUNCTION("IF(B8605="""","""",RIGHT(REGEXREPLACE(B8605&amp;"""",""[^0-9]"",""""),9))"),"770370305")</f>
        <v>770370305</v>
      </c>
      <c r="B8605" s="52">
        <v>7.70370305E8</v>
      </c>
      <c r="C8605" s="116" t="s">
        <v>4355</v>
      </c>
      <c r="D8605" s="26" t="s">
        <v>56</v>
      </c>
      <c r="E8605" s="31">
        <v>46246.0</v>
      </c>
      <c r="F8605" s="26" t="s">
        <v>46</v>
      </c>
      <c r="G8605" s="26">
        <v>10.0</v>
      </c>
      <c r="H8605" s="26" t="s">
        <v>8750</v>
      </c>
      <c r="I8605" s="26" t="s">
        <v>931</v>
      </c>
      <c r="J8605" s="25" t="str">
        <f t="shared" si="106"/>
        <v>Yes - see Previous F-Code</v>
      </c>
      <c r="K8605" s="25" t="str">
        <f t="shared" si="107"/>
        <v/>
      </c>
      <c r="L8605" s="25" t="str">
        <f t="shared" si="108"/>
        <v>F73981</v>
      </c>
      <c r="M8605" s="25"/>
      <c r="O8605" s="25"/>
    </row>
    <row r="8606" ht="15.75" customHeight="1">
      <c r="A8606" s="25" t="str">
        <f>IFERROR(__xludf.DUMMYFUNCTION("IF(B8606="""","""",RIGHT(REGEXREPLACE(B8606&amp;"""",""[^0-9]"",""""),9))"),"705042783")</f>
        <v>705042783</v>
      </c>
      <c r="B8606" s="52">
        <v>7.05042783E8</v>
      </c>
      <c r="C8606" s="28" t="s">
        <v>8751</v>
      </c>
      <c r="D8606" s="26" t="s">
        <v>56</v>
      </c>
      <c r="E8606" s="31">
        <v>46246.0</v>
      </c>
      <c r="F8606" s="25"/>
      <c r="G8606" s="25"/>
      <c r="H8606" s="26" t="s">
        <v>8436</v>
      </c>
      <c r="I8606" s="26" t="s">
        <v>931</v>
      </c>
      <c r="J8606" s="25" t="str">
        <f t="shared" si="106"/>
        <v>No</v>
      </c>
      <c r="K8606" s="25" t="str">
        <f t="shared" si="107"/>
        <v/>
      </c>
      <c r="L8606" s="25" t="str">
        <f t="shared" si="108"/>
        <v/>
      </c>
      <c r="M8606" s="25"/>
      <c r="N8606" s="25"/>
      <c r="O8606" s="25"/>
      <c r="P8606" s="25"/>
    </row>
    <row r="8607" ht="15.75" customHeight="1">
      <c r="A8607" s="25" t="str">
        <f>IFERROR(__xludf.DUMMYFUNCTION("IF(B8607="""","""",RIGHT(REGEXREPLACE(B8607&amp;"""",""[^0-9]"",""""),9))"),"755507099")</f>
        <v>755507099</v>
      </c>
      <c r="B8607" s="52">
        <v>7.55507099E8</v>
      </c>
      <c r="C8607" s="28" t="s">
        <v>8752</v>
      </c>
      <c r="D8607" s="26" t="s">
        <v>56</v>
      </c>
      <c r="E8607" s="31">
        <v>46246.0</v>
      </c>
      <c r="F8607" s="26" t="s">
        <v>41</v>
      </c>
      <c r="H8607" s="26" t="s">
        <v>8436</v>
      </c>
      <c r="I8607" s="26" t="s">
        <v>931</v>
      </c>
      <c r="J8607" s="25" t="str">
        <f t="shared" si="106"/>
        <v>No</v>
      </c>
      <c r="K8607" s="25" t="str">
        <f t="shared" si="107"/>
        <v/>
      </c>
      <c r="L8607" s="25" t="str">
        <f t="shared" si="108"/>
        <v/>
      </c>
      <c r="M8607" s="25"/>
      <c r="O8607" s="25"/>
    </row>
    <row r="8608" ht="15.75" customHeight="1">
      <c r="A8608" s="25" t="str">
        <f>IFERROR(__xludf.DUMMYFUNCTION("IF(B8608="""","""",RIGHT(REGEXREPLACE(B8608&amp;"""",""[^0-9]"",""""),9))"),"719700679")</f>
        <v>719700679</v>
      </c>
      <c r="B8608" s="52">
        <v>7.19700679E8</v>
      </c>
      <c r="C8608" s="28" t="s">
        <v>5875</v>
      </c>
      <c r="D8608" s="26" t="s">
        <v>56</v>
      </c>
      <c r="E8608" s="31">
        <v>46246.0</v>
      </c>
      <c r="F8608" s="26" t="s">
        <v>41</v>
      </c>
      <c r="G8608" s="26">
        <v>9.0</v>
      </c>
      <c r="I8608" s="26" t="s">
        <v>931</v>
      </c>
      <c r="J8608" s="25" t="str">
        <f t="shared" si="106"/>
        <v>Yes - see Previous F-Code</v>
      </c>
      <c r="K8608" s="25" t="str">
        <f t="shared" si="107"/>
        <v/>
      </c>
      <c r="L8608" s="25" t="str">
        <f t="shared" si="108"/>
        <v>F75304</v>
      </c>
      <c r="M8608" s="25"/>
      <c r="O8608" s="25"/>
    </row>
    <row r="8609" ht="15.75" customHeight="1">
      <c r="A8609" s="25" t="str">
        <f>IFERROR(__xludf.DUMMYFUNCTION("IF(B8609="""","""",RIGHT(REGEXREPLACE(B8609&amp;"""",""[^0-9]"",""""),9))"),"701930296")</f>
        <v>701930296</v>
      </c>
      <c r="B8609" s="52">
        <v>7.01930296E8</v>
      </c>
      <c r="C8609" s="28" t="s">
        <v>8753</v>
      </c>
      <c r="D8609" s="26" t="s">
        <v>56</v>
      </c>
      <c r="E8609" s="31">
        <v>46246.0</v>
      </c>
      <c r="F8609" s="26" t="s">
        <v>46</v>
      </c>
      <c r="G8609" s="26">
        <v>10.0</v>
      </c>
      <c r="I8609" s="26" t="s">
        <v>931</v>
      </c>
      <c r="J8609" s="25" t="str">
        <f t="shared" si="106"/>
        <v>No</v>
      </c>
      <c r="K8609" s="25" t="str">
        <f t="shared" si="107"/>
        <v/>
      </c>
      <c r="L8609" s="25" t="str">
        <f t="shared" si="108"/>
        <v/>
      </c>
      <c r="M8609" s="25"/>
      <c r="O8609" s="25"/>
    </row>
    <row r="8610" ht="15.75" customHeight="1">
      <c r="A8610" s="25" t="str">
        <f>IFERROR(__xludf.DUMMYFUNCTION("IF(B8610="""","""",RIGHT(REGEXREPLACE(B8610&amp;"""",""[^0-9]"",""""),9))"),"704779820")</f>
        <v>704779820</v>
      </c>
      <c r="B8610" s="52">
        <v>7.0477982E8</v>
      </c>
      <c r="C8610" s="28" t="s">
        <v>8398</v>
      </c>
      <c r="D8610" s="26" t="s">
        <v>56</v>
      </c>
      <c r="E8610" s="31">
        <v>46246.0</v>
      </c>
      <c r="F8610" s="26" t="s">
        <v>46</v>
      </c>
      <c r="G8610" s="26">
        <v>11.0</v>
      </c>
      <c r="I8610" s="26" t="s">
        <v>931</v>
      </c>
      <c r="J8610" s="25" t="str">
        <f t="shared" si="106"/>
        <v>Yes - see Previous F-Code</v>
      </c>
      <c r="K8610" s="25" t="str">
        <f t="shared" si="107"/>
        <v/>
      </c>
      <c r="L8610" s="25" t="str">
        <f t="shared" si="108"/>
        <v>F77164</v>
      </c>
      <c r="M8610" s="25"/>
      <c r="O8610" s="25"/>
    </row>
    <row r="8611" ht="15.75" customHeight="1">
      <c r="A8611" s="25" t="str">
        <f>IFERROR(__xludf.DUMMYFUNCTION("IF(B8611="""","""",RIGHT(REGEXREPLACE(B8611&amp;"""",""[^0-9]"",""""),9))"),"713093500")</f>
        <v>713093500</v>
      </c>
      <c r="B8611" s="52">
        <v>7.130935E8</v>
      </c>
      <c r="C8611" s="28" t="s">
        <v>8754</v>
      </c>
      <c r="D8611" s="26" t="s">
        <v>56</v>
      </c>
      <c r="E8611" s="31">
        <v>46246.0</v>
      </c>
      <c r="F8611" s="26" t="s">
        <v>164</v>
      </c>
      <c r="G8611" s="26">
        <v>6.0</v>
      </c>
      <c r="I8611" s="26" t="s">
        <v>931</v>
      </c>
      <c r="J8611" s="25" t="str">
        <f t="shared" si="106"/>
        <v>No</v>
      </c>
      <c r="K8611" s="25" t="str">
        <f t="shared" si="107"/>
        <v/>
      </c>
      <c r="L8611" s="25" t="str">
        <f t="shared" si="108"/>
        <v/>
      </c>
      <c r="M8611" s="25"/>
      <c r="O8611" s="25"/>
    </row>
    <row r="8612" ht="15.75" customHeight="1">
      <c r="A8612" s="25" t="str">
        <f>IFERROR(__xludf.DUMMYFUNCTION("IF(B8612="""","""",RIGHT(REGEXREPLACE(B8612&amp;"""",""[^0-9]"",""""),9))"),"741974834")</f>
        <v>741974834</v>
      </c>
      <c r="B8612" s="52">
        <v>7.41974834E8</v>
      </c>
      <c r="C8612" s="28" t="s">
        <v>8755</v>
      </c>
      <c r="D8612" s="26" t="s">
        <v>56</v>
      </c>
      <c r="E8612" s="31">
        <v>46246.0</v>
      </c>
      <c r="F8612" s="26" t="s">
        <v>46</v>
      </c>
      <c r="G8612" s="26">
        <v>9.0</v>
      </c>
      <c r="I8612" s="26" t="s">
        <v>931</v>
      </c>
      <c r="J8612" s="25" t="str">
        <f t="shared" si="106"/>
        <v>No</v>
      </c>
      <c r="K8612" s="25" t="str">
        <f t="shared" si="107"/>
        <v/>
      </c>
      <c r="L8612" s="25" t="str">
        <f t="shared" si="108"/>
        <v/>
      </c>
      <c r="M8612" s="25"/>
      <c r="O8612" s="25"/>
    </row>
    <row r="8613" ht="15.75" customHeight="1">
      <c r="A8613" s="25" t="str">
        <f>IFERROR(__xludf.DUMMYFUNCTION("IF(B8613="""","""",RIGHT(REGEXREPLACE(B8613&amp;"""",""[^0-9]"",""""),9))"),"756944382")</f>
        <v>756944382</v>
      </c>
      <c r="B8613" s="52">
        <v>7.56944382E8</v>
      </c>
      <c r="C8613" s="28" t="s">
        <v>4369</v>
      </c>
      <c r="D8613" s="26" t="s">
        <v>56</v>
      </c>
      <c r="E8613" s="31">
        <v>46246.0</v>
      </c>
      <c r="F8613" s="26" t="s">
        <v>46</v>
      </c>
      <c r="G8613" s="26">
        <v>10.0</v>
      </c>
      <c r="I8613" s="26" t="s">
        <v>931</v>
      </c>
      <c r="J8613" s="25" t="str">
        <f t="shared" si="106"/>
        <v>Yes - see Previous F-Code</v>
      </c>
      <c r="K8613" s="25" t="str">
        <f t="shared" si="107"/>
        <v/>
      </c>
      <c r="L8613" s="25" t="str">
        <f t="shared" si="108"/>
        <v>F73993</v>
      </c>
      <c r="M8613" s="25"/>
      <c r="O8613" s="25"/>
    </row>
    <row r="8614" ht="15.75" customHeight="1">
      <c r="A8614" s="25" t="str">
        <f>IFERROR(__xludf.DUMMYFUNCTION("IF(B8614="""","""",RIGHT(REGEXREPLACE(B8614&amp;"""",""[^0-9]"",""""),9))"),"764053190")</f>
        <v>764053190</v>
      </c>
      <c r="B8614" s="52">
        <v>7.6405319E8</v>
      </c>
      <c r="C8614" s="28" t="s">
        <v>2044</v>
      </c>
      <c r="D8614" s="26" t="s">
        <v>56</v>
      </c>
      <c r="E8614" s="31">
        <v>46246.0</v>
      </c>
      <c r="F8614" s="26"/>
      <c r="G8614" s="26" t="s">
        <v>8756</v>
      </c>
      <c r="H8614" s="25"/>
      <c r="I8614" s="26" t="s">
        <v>931</v>
      </c>
      <c r="J8614" s="25" t="str">
        <f t="shared" si="106"/>
        <v>Yes - see Previous F-Code</v>
      </c>
      <c r="K8614" s="25" t="str">
        <f t="shared" si="107"/>
        <v/>
      </c>
      <c r="L8614" s="25" t="str">
        <f t="shared" si="108"/>
        <v>F71747</v>
      </c>
      <c r="M8614" s="25"/>
      <c r="N8614" s="25"/>
      <c r="O8614" s="25"/>
      <c r="P8614" s="25"/>
    </row>
    <row r="8615" ht="15.75" customHeight="1">
      <c r="A8615" s="25" t="str">
        <f>IFERROR(__xludf.DUMMYFUNCTION("IF(B8615="""","""",RIGHT(REGEXREPLACE(B8615&amp;"""",""[^0-9]"",""""),9))"),"774420929")</f>
        <v>774420929</v>
      </c>
      <c r="B8615" s="52">
        <v>7.74420929E8</v>
      </c>
      <c r="C8615" s="28" t="s">
        <v>8757</v>
      </c>
      <c r="D8615" s="26" t="s">
        <v>56</v>
      </c>
      <c r="E8615" s="31">
        <v>46246.0</v>
      </c>
      <c r="F8615" s="26" t="s">
        <v>46</v>
      </c>
      <c r="G8615" s="26">
        <v>10.0</v>
      </c>
      <c r="I8615" s="26" t="s">
        <v>931</v>
      </c>
      <c r="J8615" s="25" t="str">
        <f t="shared" si="106"/>
        <v>No</v>
      </c>
      <c r="K8615" s="25" t="str">
        <f t="shared" si="107"/>
        <v/>
      </c>
      <c r="L8615" s="25" t="str">
        <f t="shared" si="108"/>
        <v/>
      </c>
      <c r="M8615" s="25"/>
      <c r="O8615" s="25"/>
    </row>
    <row r="8616" ht="15.75" customHeight="1">
      <c r="A8616" s="25" t="str">
        <f>IFERROR(__xludf.DUMMYFUNCTION("IF(B8616="""","""",RIGHT(REGEXREPLACE(B8616&amp;"""",""[^0-9]"",""""),9))"),"716379421")</f>
        <v>716379421</v>
      </c>
      <c r="B8616" s="52">
        <v>7.16379421E8</v>
      </c>
      <c r="C8616" s="28" t="s">
        <v>8758</v>
      </c>
      <c r="D8616" s="26" t="s">
        <v>56</v>
      </c>
      <c r="E8616" s="31">
        <v>46246.0</v>
      </c>
      <c r="F8616" s="26" t="s">
        <v>41</v>
      </c>
      <c r="G8616" s="26">
        <v>11.0</v>
      </c>
      <c r="I8616" s="26" t="s">
        <v>931</v>
      </c>
      <c r="J8616" s="25" t="str">
        <f t="shared" si="106"/>
        <v>No</v>
      </c>
      <c r="K8616" s="25" t="str">
        <f t="shared" si="107"/>
        <v/>
      </c>
      <c r="L8616" s="25" t="str">
        <f t="shared" si="108"/>
        <v/>
      </c>
      <c r="M8616" s="25"/>
      <c r="O8616" s="25"/>
    </row>
    <row r="8617" ht="15.75" customHeight="1">
      <c r="A8617" s="25" t="str">
        <f>IFERROR(__xludf.DUMMYFUNCTION("IF(B8617="""","""",RIGHT(REGEXREPLACE(B8617&amp;"""",""[^0-9]"",""""),9))"),"761438136")</f>
        <v>761438136</v>
      </c>
      <c r="B8617" s="52">
        <v>7.61438136E8</v>
      </c>
      <c r="C8617" s="28" t="s">
        <v>8759</v>
      </c>
      <c r="D8617" s="26" t="s">
        <v>56</v>
      </c>
      <c r="E8617" s="31">
        <v>46252.0</v>
      </c>
      <c r="F8617" s="26" t="s">
        <v>125</v>
      </c>
      <c r="G8617" s="26">
        <v>10.0</v>
      </c>
      <c r="H8617" s="26" t="s">
        <v>8436</v>
      </c>
      <c r="I8617" s="26" t="s">
        <v>931</v>
      </c>
      <c r="J8617" s="25" t="str">
        <f t="shared" si="106"/>
        <v>No</v>
      </c>
      <c r="K8617" s="25" t="str">
        <f t="shared" si="107"/>
        <v/>
      </c>
      <c r="L8617" s="25" t="str">
        <f t="shared" si="108"/>
        <v/>
      </c>
      <c r="M8617" s="25"/>
      <c r="O8617" s="25"/>
    </row>
    <row r="8618" ht="15.75" customHeight="1">
      <c r="A8618" s="25" t="str">
        <f>IFERROR(__xludf.DUMMYFUNCTION("IF(B8618="""","""",RIGHT(REGEXREPLACE(B8618&amp;"""",""[^0-9]"",""""),9))"),"740413422")</f>
        <v>740413422</v>
      </c>
      <c r="B8618" s="52">
        <v>7.40413422E8</v>
      </c>
      <c r="C8618" s="28" t="s">
        <v>8760</v>
      </c>
      <c r="D8618" s="26" t="s">
        <v>56</v>
      </c>
      <c r="E8618" s="31">
        <v>46246.0</v>
      </c>
      <c r="F8618" s="26" t="s">
        <v>41</v>
      </c>
      <c r="H8618" s="26" t="s">
        <v>8436</v>
      </c>
      <c r="I8618" s="26" t="s">
        <v>931</v>
      </c>
      <c r="J8618" s="25" t="str">
        <f t="shared" si="106"/>
        <v>No</v>
      </c>
      <c r="K8618" s="25" t="str">
        <f t="shared" si="107"/>
        <v/>
      </c>
      <c r="L8618" s="25" t="str">
        <f t="shared" si="108"/>
        <v/>
      </c>
      <c r="M8618" s="25"/>
      <c r="O8618" s="25"/>
    </row>
    <row r="8619" ht="15.75" customHeight="1">
      <c r="A8619" s="25" t="str">
        <f>IFERROR(__xludf.DUMMYFUNCTION("IF(B8619="""","""",RIGHT(REGEXREPLACE(B8619&amp;"""",""[^0-9]"",""""),9))"),"773116244")</f>
        <v>773116244</v>
      </c>
      <c r="B8619" s="52">
        <v>7.73116244E8</v>
      </c>
      <c r="C8619" s="28" t="s">
        <v>7470</v>
      </c>
      <c r="D8619" s="26" t="s">
        <v>56</v>
      </c>
      <c r="E8619" s="31">
        <v>46246.0</v>
      </c>
      <c r="F8619" s="25"/>
      <c r="G8619" s="25"/>
      <c r="H8619" s="25"/>
      <c r="I8619" s="26" t="s">
        <v>931</v>
      </c>
      <c r="J8619" s="25" t="str">
        <f t="shared" si="106"/>
        <v>Yes - see Previous F-Code</v>
      </c>
      <c r="K8619" s="25" t="str">
        <f t="shared" si="107"/>
        <v/>
      </c>
      <c r="L8619" s="25" t="str">
        <f t="shared" si="108"/>
        <v>F76394</v>
      </c>
      <c r="M8619" s="25"/>
      <c r="N8619" s="25"/>
      <c r="O8619" s="25"/>
      <c r="P8619" s="25"/>
    </row>
    <row r="8620" ht="15.75" customHeight="1">
      <c r="A8620" s="25" t="str">
        <f>IFERROR(__xludf.DUMMYFUNCTION("IF(B8620="""","""",RIGHT(REGEXREPLACE(B8620&amp;"""",""[^0-9]"",""""),9))"),"755742687")</f>
        <v>755742687</v>
      </c>
      <c r="B8620" s="52">
        <v>7.55742687E8</v>
      </c>
      <c r="C8620" s="28" t="s">
        <v>7814</v>
      </c>
      <c r="D8620" s="26" t="s">
        <v>56</v>
      </c>
      <c r="E8620" s="31">
        <v>46246.0</v>
      </c>
      <c r="F8620" s="26" t="s">
        <v>46</v>
      </c>
      <c r="G8620" s="26">
        <v>8.0</v>
      </c>
      <c r="H8620" s="26" t="s">
        <v>8761</v>
      </c>
      <c r="I8620" s="26" t="s">
        <v>931</v>
      </c>
      <c r="J8620" s="25" t="str">
        <f t="shared" si="106"/>
        <v>Yes - see Previous F-Code</v>
      </c>
      <c r="K8620" s="25" t="str">
        <f t="shared" si="107"/>
        <v/>
      </c>
      <c r="L8620" s="25" t="str">
        <f t="shared" si="108"/>
        <v>F76696</v>
      </c>
      <c r="M8620" s="25"/>
      <c r="O8620" s="25"/>
    </row>
    <row r="8621" ht="15.75" customHeight="1">
      <c r="A8621" s="25" t="str">
        <f>IFERROR(__xludf.DUMMYFUNCTION("IF(B8621="""","""",RIGHT(REGEXREPLACE(B8621&amp;"""",""[^0-9]"",""""),9))"),"770159847")</f>
        <v>770159847</v>
      </c>
      <c r="B8621" s="52">
        <v>7.70159847E8</v>
      </c>
      <c r="C8621" s="28" t="s">
        <v>5174</v>
      </c>
      <c r="D8621" s="26" t="s">
        <v>56</v>
      </c>
      <c r="E8621" s="31">
        <v>46246.0</v>
      </c>
      <c r="F8621" s="26" t="s">
        <v>46</v>
      </c>
      <c r="G8621" s="26">
        <v>10.0</v>
      </c>
      <c r="I8621" s="26" t="s">
        <v>931</v>
      </c>
      <c r="J8621" s="25" t="str">
        <f t="shared" si="106"/>
        <v>Yes - see Previous F-Code</v>
      </c>
      <c r="K8621" s="25" t="str">
        <f t="shared" si="107"/>
        <v/>
      </c>
      <c r="L8621" s="25" t="str">
        <f t="shared" si="108"/>
        <v>F74711</v>
      </c>
      <c r="M8621" s="25"/>
      <c r="O8621" s="25"/>
    </row>
    <row r="8622" ht="15.75" customHeight="1">
      <c r="A8622" s="25" t="str">
        <f>IFERROR(__xludf.DUMMYFUNCTION("IF(B8622="""","""",RIGHT(REGEXREPLACE(B8622&amp;"""",""[^0-9]"",""""),9))"),"779964231")</f>
        <v>779964231</v>
      </c>
      <c r="B8622" s="52">
        <v>7.79964231E8</v>
      </c>
      <c r="C8622" s="28" t="s">
        <v>7680</v>
      </c>
      <c r="D8622" s="26" t="s">
        <v>56</v>
      </c>
      <c r="E8622" s="31">
        <v>46246.0</v>
      </c>
      <c r="F8622" s="26" t="s">
        <v>631</v>
      </c>
      <c r="G8622" s="26">
        <v>9.0</v>
      </c>
      <c r="I8622" s="26" t="s">
        <v>931</v>
      </c>
      <c r="J8622" s="25" t="str">
        <f t="shared" si="106"/>
        <v>Yes - see Previous F-Code</v>
      </c>
      <c r="K8622" s="25" t="str">
        <f t="shared" si="107"/>
        <v/>
      </c>
      <c r="L8622" s="25" t="str">
        <f t="shared" si="108"/>
        <v>F76567</v>
      </c>
      <c r="M8622" s="25"/>
      <c r="O8622" s="25"/>
    </row>
    <row r="8623" ht="15.75" customHeight="1">
      <c r="A8623" s="25" t="str">
        <f>IFERROR(__xludf.DUMMYFUNCTION("IF(B8623="""","""",RIGHT(REGEXREPLACE(B8623&amp;"""",""[^0-9]"",""""),9))"),"750237446")</f>
        <v>750237446</v>
      </c>
      <c r="B8623" s="52">
        <v>7.50237446E8</v>
      </c>
      <c r="C8623" s="28" t="s">
        <v>8762</v>
      </c>
      <c r="D8623" s="26" t="s">
        <v>56</v>
      </c>
      <c r="E8623" s="31">
        <v>46246.0</v>
      </c>
      <c r="F8623" s="26" t="s">
        <v>659</v>
      </c>
      <c r="I8623" s="26" t="s">
        <v>931</v>
      </c>
      <c r="J8623" s="25" t="str">
        <f t="shared" si="106"/>
        <v>No</v>
      </c>
      <c r="K8623" s="25" t="str">
        <f t="shared" si="107"/>
        <v/>
      </c>
      <c r="L8623" s="25" t="str">
        <f t="shared" si="108"/>
        <v/>
      </c>
      <c r="M8623" s="25"/>
      <c r="O8623" s="25"/>
    </row>
    <row r="8624" ht="15.75" customHeight="1">
      <c r="A8624" s="25" t="str">
        <f>IFERROR(__xludf.DUMMYFUNCTION("IF(B8624="""","""",RIGHT(REGEXREPLACE(B8624&amp;"""",""[^0-9]"",""""),9))"),"784427709")</f>
        <v>784427709</v>
      </c>
      <c r="B8624" s="52">
        <v>7.84427709E8</v>
      </c>
      <c r="C8624" s="28" t="s">
        <v>8763</v>
      </c>
      <c r="D8624" s="26" t="s">
        <v>56</v>
      </c>
      <c r="E8624" s="31">
        <v>46246.0</v>
      </c>
      <c r="F8624" s="26" t="s">
        <v>46</v>
      </c>
      <c r="G8624" s="26">
        <v>9.0</v>
      </c>
      <c r="H8624" s="26" t="s">
        <v>8764</v>
      </c>
      <c r="I8624" s="26" t="s">
        <v>931</v>
      </c>
      <c r="J8624" s="25" t="str">
        <f t="shared" si="106"/>
        <v>No</v>
      </c>
      <c r="K8624" s="25" t="str">
        <f t="shared" si="107"/>
        <v/>
      </c>
      <c r="L8624" s="25" t="str">
        <f t="shared" si="108"/>
        <v/>
      </c>
      <c r="M8624" s="25"/>
      <c r="O8624" s="26" t="s">
        <v>51</v>
      </c>
    </row>
    <row r="8625" ht="15.75" customHeight="1">
      <c r="A8625" s="25" t="str">
        <f>IFERROR(__xludf.DUMMYFUNCTION("IF(B8625="""","""",RIGHT(REGEXREPLACE(B8625&amp;"""",""[^0-9]"",""""),9))"),"741910378")</f>
        <v>741910378</v>
      </c>
      <c r="B8625" s="52">
        <v>7.41910378E8</v>
      </c>
      <c r="C8625" s="28" t="s">
        <v>8765</v>
      </c>
      <c r="D8625" s="26" t="s">
        <v>56</v>
      </c>
      <c r="E8625" s="31">
        <v>46246.0</v>
      </c>
      <c r="F8625" s="26" t="s">
        <v>46</v>
      </c>
      <c r="G8625" s="26">
        <v>9.0</v>
      </c>
      <c r="I8625" s="26" t="s">
        <v>931</v>
      </c>
      <c r="J8625" s="25" t="str">
        <f t="shared" si="106"/>
        <v>No</v>
      </c>
      <c r="K8625" s="25" t="str">
        <f t="shared" si="107"/>
        <v/>
      </c>
      <c r="L8625" s="25" t="str">
        <f t="shared" si="108"/>
        <v/>
      </c>
      <c r="M8625" s="25"/>
      <c r="O8625" s="25"/>
    </row>
    <row r="8626" ht="15.75" customHeight="1">
      <c r="A8626" s="25" t="str">
        <f>IFERROR(__xludf.DUMMYFUNCTION("IF(B8626="""","""",RIGHT(REGEXREPLACE(B8626&amp;"""",""[^0-9]"",""""),9))"),"756491578")</f>
        <v>756491578</v>
      </c>
      <c r="B8626" s="52">
        <v>7.56491578E8</v>
      </c>
      <c r="C8626" s="28" t="s">
        <v>4163</v>
      </c>
      <c r="D8626" s="26" t="s">
        <v>56</v>
      </c>
      <c r="E8626" s="31">
        <v>46246.0</v>
      </c>
      <c r="F8626" s="26" t="s">
        <v>46</v>
      </c>
      <c r="G8626" s="26">
        <v>10.0</v>
      </c>
      <c r="I8626" s="26" t="s">
        <v>931</v>
      </c>
      <c r="J8626" s="25" t="str">
        <f t="shared" si="106"/>
        <v>Yes - see Previous F-Code</v>
      </c>
      <c r="K8626" s="25" t="str">
        <f t="shared" si="107"/>
        <v/>
      </c>
      <c r="L8626" s="25" t="str">
        <f t="shared" si="108"/>
        <v>F73799</v>
      </c>
      <c r="M8626" s="25"/>
      <c r="O8626" s="25"/>
    </row>
    <row r="8627" ht="15.75" customHeight="1">
      <c r="A8627" s="25" t="str">
        <f>IFERROR(__xludf.DUMMYFUNCTION("IF(B8627="""","""",RIGHT(REGEXREPLACE(B8627&amp;"""",""[^0-9]"",""""),9))"),"770512061")</f>
        <v>770512061</v>
      </c>
      <c r="B8627" s="52">
        <v>7.70512061E8</v>
      </c>
      <c r="C8627" s="28" t="s">
        <v>8766</v>
      </c>
      <c r="D8627" s="26" t="s">
        <v>56</v>
      </c>
      <c r="E8627" s="31">
        <v>46246.0</v>
      </c>
      <c r="F8627" s="26" t="s">
        <v>46</v>
      </c>
      <c r="H8627" s="26" t="s">
        <v>8436</v>
      </c>
      <c r="I8627" s="26" t="s">
        <v>931</v>
      </c>
      <c r="J8627" s="25" t="str">
        <f t="shared" si="106"/>
        <v>No</v>
      </c>
      <c r="K8627" s="25" t="str">
        <f t="shared" si="107"/>
        <v/>
      </c>
      <c r="L8627" s="25" t="str">
        <f t="shared" si="108"/>
        <v/>
      </c>
      <c r="M8627" s="25"/>
      <c r="O8627" s="25"/>
    </row>
    <row r="8628" ht="15.75" customHeight="1">
      <c r="A8628" s="25" t="str">
        <f>IFERROR(__xludf.DUMMYFUNCTION("IF(B8628="""","""",RIGHT(REGEXREPLACE(B8628&amp;"""",""[^0-9]"",""""),9))"),"783729607")</f>
        <v>783729607</v>
      </c>
      <c r="B8628" s="52">
        <v>7.83729607E8</v>
      </c>
      <c r="C8628" s="28" t="s">
        <v>8330</v>
      </c>
      <c r="D8628" s="26" t="s">
        <v>56</v>
      </c>
      <c r="E8628" s="31">
        <v>46246.0</v>
      </c>
      <c r="F8628" s="26" t="s">
        <v>46</v>
      </c>
      <c r="G8628" s="26">
        <v>9.0</v>
      </c>
      <c r="H8628" s="26" t="s">
        <v>8767</v>
      </c>
      <c r="I8628" s="26" t="s">
        <v>931</v>
      </c>
      <c r="J8628" s="25" t="str">
        <f t="shared" si="106"/>
        <v>Yes - see Previous F-Code</v>
      </c>
      <c r="K8628" s="25" t="str">
        <f t="shared" si="107"/>
        <v/>
      </c>
      <c r="L8628" s="25" t="str">
        <f t="shared" si="108"/>
        <v>F77112</v>
      </c>
      <c r="M8628" s="25"/>
      <c r="O8628" s="25"/>
    </row>
    <row r="8629" ht="15.75" customHeight="1">
      <c r="A8629" s="25" t="str">
        <f>IFERROR(__xludf.DUMMYFUNCTION("IF(B8629="""","""",RIGHT(REGEXREPLACE(B8629&amp;"""",""[^0-9]"",""""),9))"),"716953153")</f>
        <v>716953153</v>
      </c>
      <c r="B8629" s="52">
        <v>7.16953153E8</v>
      </c>
      <c r="C8629" s="28" t="s">
        <v>8768</v>
      </c>
      <c r="D8629" s="26" t="s">
        <v>56</v>
      </c>
      <c r="E8629" s="31">
        <v>46246.0</v>
      </c>
      <c r="F8629" s="26" t="s">
        <v>46</v>
      </c>
      <c r="G8629" s="26">
        <v>11.0</v>
      </c>
      <c r="H8629" s="26" t="s">
        <v>342</v>
      </c>
      <c r="I8629" s="26" t="s">
        <v>931</v>
      </c>
      <c r="J8629" s="25" t="str">
        <f t="shared" si="106"/>
        <v>No</v>
      </c>
      <c r="K8629" s="25" t="str">
        <f t="shared" si="107"/>
        <v/>
      </c>
      <c r="L8629" s="25" t="str">
        <f t="shared" si="108"/>
        <v/>
      </c>
      <c r="M8629" s="25"/>
      <c r="O8629" s="25"/>
    </row>
    <row r="8630" ht="15.75" customHeight="1">
      <c r="A8630" s="25" t="str">
        <f>IFERROR(__xludf.DUMMYFUNCTION("IF(B8630="""","""",RIGHT(REGEXREPLACE(B8630&amp;"""",""[^0-9]"",""""),9))"),"710589812")</f>
        <v>710589812</v>
      </c>
      <c r="B8630" s="26">
        <v>7.10589812E8</v>
      </c>
      <c r="C8630" s="28" t="s">
        <v>8769</v>
      </c>
      <c r="D8630" s="26" t="s">
        <v>56</v>
      </c>
      <c r="E8630" s="31">
        <v>46246.0</v>
      </c>
      <c r="F8630" s="26" t="s">
        <v>84</v>
      </c>
      <c r="H8630" s="26" t="s">
        <v>8436</v>
      </c>
      <c r="I8630" s="26" t="s">
        <v>931</v>
      </c>
      <c r="J8630" s="25" t="str">
        <f t="shared" si="106"/>
        <v>No</v>
      </c>
      <c r="K8630" s="25" t="str">
        <f t="shared" si="107"/>
        <v/>
      </c>
      <c r="L8630" s="25" t="str">
        <f t="shared" si="108"/>
        <v/>
      </c>
      <c r="M8630" s="25"/>
      <c r="O8630" s="25"/>
    </row>
    <row r="8631" ht="15.75" customHeight="1">
      <c r="A8631" s="25" t="str">
        <f>IFERROR(__xludf.DUMMYFUNCTION("IF(B8631="""","""",RIGHT(REGEXREPLACE(B8631&amp;"""",""[^0-9]"",""""),9))"),"761813777")</f>
        <v>761813777</v>
      </c>
      <c r="B8631" s="52">
        <v>7.61813777E8</v>
      </c>
      <c r="C8631" s="28" t="s">
        <v>8770</v>
      </c>
      <c r="D8631" s="26" t="s">
        <v>56</v>
      </c>
      <c r="E8631" s="31">
        <v>46246.0</v>
      </c>
      <c r="F8631" s="26" t="s">
        <v>46</v>
      </c>
      <c r="G8631" s="26">
        <v>8.0</v>
      </c>
      <c r="I8631" s="26" t="s">
        <v>931</v>
      </c>
      <c r="J8631" s="25" t="str">
        <f t="shared" si="106"/>
        <v>No</v>
      </c>
      <c r="K8631" s="25" t="str">
        <f t="shared" si="107"/>
        <v/>
      </c>
      <c r="L8631" s="25" t="str">
        <f t="shared" si="108"/>
        <v/>
      </c>
      <c r="M8631" s="25"/>
      <c r="O8631" s="25"/>
    </row>
    <row r="8632" ht="15.75" customHeight="1">
      <c r="A8632" s="25" t="str">
        <f>IFERROR(__xludf.DUMMYFUNCTION("IF(B8632="""","""",RIGHT(REGEXREPLACE(B8632&amp;"""",""[^0-9]"",""""),9))"),"762188498")</f>
        <v>762188498</v>
      </c>
      <c r="B8632" s="52">
        <v>7.62188498E8</v>
      </c>
      <c r="C8632" s="28" t="s">
        <v>1487</v>
      </c>
      <c r="D8632" s="26" t="s">
        <v>56</v>
      </c>
      <c r="E8632" s="31">
        <v>46246.0</v>
      </c>
      <c r="F8632" s="26" t="s">
        <v>205</v>
      </c>
      <c r="I8632" s="26" t="s">
        <v>931</v>
      </c>
      <c r="J8632" s="25" t="str">
        <f t="shared" si="106"/>
        <v>Yes - see Previous F-Code</v>
      </c>
      <c r="K8632" s="25" t="str">
        <f t="shared" si="107"/>
        <v/>
      </c>
      <c r="L8632" s="25" t="str">
        <f t="shared" si="108"/>
        <v>F71211</v>
      </c>
      <c r="M8632" s="25"/>
      <c r="O8632" s="25"/>
    </row>
    <row r="8633" ht="15.75" customHeight="1">
      <c r="A8633" s="25" t="str">
        <f>IFERROR(__xludf.DUMMYFUNCTION("IF(B8633="""","""",RIGHT(REGEXREPLACE(B8633&amp;"""",""[^0-9]"",""""),9))"),"740699186")</f>
        <v>740699186</v>
      </c>
      <c r="B8633" s="52">
        <v>7.40699186E8</v>
      </c>
      <c r="C8633" s="28" t="s">
        <v>8771</v>
      </c>
      <c r="D8633" s="26" t="s">
        <v>56</v>
      </c>
      <c r="E8633" s="31">
        <v>46246.0</v>
      </c>
      <c r="F8633" s="26" t="s">
        <v>46</v>
      </c>
      <c r="H8633" s="26" t="s">
        <v>5221</v>
      </c>
      <c r="I8633" s="26" t="s">
        <v>931</v>
      </c>
      <c r="J8633" s="25" t="str">
        <f t="shared" si="106"/>
        <v>No</v>
      </c>
      <c r="K8633" s="25" t="str">
        <f t="shared" si="107"/>
        <v/>
      </c>
      <c r="L8633" s="25" t="str">
        <f t="shared" si="108"/>
        <v/>
      </c>
      <c r="M8633" s="25"/>
      <c r="O8633" s="25"/>
    </row>
    <row r="8634" ht="15.75" customHeight="1">
      <c r="A8634" s="25" t="str">
        <f>IFERROR(__xludf.DUMMYFUNCTION("IF(B8634="""","""",RIGHT(REGEXREPLACE(B8634&amp;"""",""[^0-9]"",""""),9))"),"775454225")</f>
        <v>775454225</v>
      </c>
      <c r="B8634" s="52">
        <v>7.75454225E8</v>
      </c>
      <c r="C8634" s="28" t="s">
        <v>8582</v>
      </c>
      <c r="D8634" s="26" t="s">
        <v>82</v>
      </c>
      <c r="E8634" s="31">
        <v>46246.0</v>
      </c>
      <c r="F8634" s="26" t="s">
        <v>46</v>
      </c>
      <c r="I8634" s="26" t="s">
        <v>931</v>
      </c>
      <c r="J8634" s="25" t="str">
        <f t="shared" si="106"/>
        <v>Yes - see Previous F-Code</v>
      </c>
      <c r="K8634" s="25" t="str">
        <f t="shared" si="107"/>
        <v/>
      </c>
      <c r="L8634" s="25" t="str">
        <f t="shared" si="108"/>
        <v>F77347</v>
      </c>
      <c r="M8634" s="25"/>
      <c r="O8634" s="25"/>
    </row>
    <row r="8635" ht="15.75" customHeight="1">
      <c r="A8635" s="25" t="str">
        <f>IFERROR(__xludf.DUMMYFUNCTION("IF(B8635="""","""",RIGHT(REGEXREPLACE(B8635&amp;"""",""[^0-9]"",""""),9))"),"768766794")</f>
        <v>768766794</v>
      </c>
      <c r="B8635" s="52">
        <v>7.68766794E8</v>
      </c>
      <c r="C8635" s="28" t="s">
        <v>8772</v>
      </c>
      <c r="D8635" s="26" t="s">
        <v>56</v>
      </c>
      <c r="E8635" s="31">
        <v>46246.0</v>
      </c>
      <c r="F8635" s="26" t="s">
        <v>41</v>
      </c>
      <c r="G8635" s="26">
        <v>10.0</v>
      </c>
      <c r="I8635" s="26" t="s">
        <v>931</v>
      </c>
      <c r="J8635" s="25" t="str">
        <f t="shared" si="106"/>
        <v>No</v>
      </c>
      <c r="K8635" s="25" t="str">
        <f t="shared" si="107"/>
        <v/>
      </c>
      <c r="L8635" s="25" t="str">
        <f t="shared" si="108"/>
        <v/>
      </c>
      <c r="M8635" s="25"/>
      <c r="O8635" s="25"/>
    </row>
    <row r="8636" ht="15.75" customHeight="1">
      <c r="A8636" s="25" t="str">
        <f>IFERROR(__xludf.DUMMYFUNCTION("IF(B8636="""","""",RIGHT(REGEXREPLACE(B8636&amp;"""",""[^0-9]"",""""),9))"),"764332194")</f>
        <v>764332194</v>
      </c>
      <c r="B8636" s="52">
        <v>7.64332194E8</v>
      </c>
      <c r="C8636" s="28" t="s">
        <v>8773</v>
      </c>
      <c r="D8636" s="26" t="s">
        <v>56</v>
      </c>
      <c r="E8636" s="31">
        <v>46246.0</v>
      </c>
      <c r="F8636" s="26" t="s">
        <v>631</v>
      </c>
      <c r="G8636" s="26">
        <v>11.0</v>
      </c>
      <c r="I8636" s="26" t="s">
        <v>931</v>
      </c>
      <c r="J8636" s="25" t="str">
        <f t="shared" si="106"/>
        <v>No</v>
      </c>
      <c r="K8636" s="25" t="str">
        <f t="shared" si="107"/>
        <v/>
      </c>
      <c r="L8636" s="25" t="str">
        <f t="shared" si="108"/>
        <v/>
      </c>
      <c r="M8636" s="25"/>
      <c r="O8636" s="25"/>
    </row>
    <row r="8637" ht="15.75" customHeight="1">
      <c r="A8637" s="25" t="str">
        <f>IFERROR(__xludf.DUMMYFUNCTION("IF(B8637="""","""",RIGHT(REGEXREPLACE(B8637&amp;"""",""[^0-9]"",""""),9))"),"768921607")</f>
        <v>768921607</v>
      </c>
      <c r="B8637" s="52">
        <v>7.68921607E8</v>
      </c>
      <c r="C8637" s="28" t="s">
        <v>1836</v>
      </c>
      <c r="D8637" s="26" t="s">
        <v>56</v>
      </c>
      <c r="E8637" s="31">
        <v>46246.0</v>
      </c>
      <c r="F8637" s="26" t="s">
        <v>631</v>
      </c>
      <c r="G8637" s="26">
        <v>11.0</v>
      </c>
      <c r="I8637" s="26" t="s">
        <v>931</v>
      </c>
      <c r="J8637" s="25" t="str">
        <f t="shared" si="106"/>
        <v>Yes - see Previous F-Code</v>
      </c>
      <c r="K8637" s="25" t="str">
        <f t="shared" si="107"/>
        <v/>
      </c>
      <c r="L8637" s="25" t="str">
        <f t="shared" si="108"/>
        <v>F71545</v>
      </c>
      <c r="M8637" s="25"/>
      <c r="O8637" s="25"/>
    </row>
    <row r="8638" ht="15.75" customHeight="1">
      <c r="A8638" s="25" t="str">
        <f>IFERROR(__xludf.DUMMYFUNCTION("IF(B8638="""","""",RIGHT(REGEXREPLACE(B8638&amp;"""",""[^0-9]"",""""),9))"),"714725877")</f>
        <v>714725877</v>
      </c>
      <c r="B8638" s="52">
        <v>7.14725877E8</v>
      </c>
      <c r="C8638" s="28" t="s">
        <v>6239</v>
      </c>
      <c r="D8638" s="26" t="s">
        <v>56</v>
      </c>
      <c r="E8638" s="31">
        <v>46246.0</v>
      </c>
      <c r="F8638" s="26" t="s">
        <v>631</v>
      </c>
      <c r="G8638" s="26">
        <v>6.0</v>
      </c>
      <c r="H8638" s="26" t="s">
        <v>8774</v>
      </c>
      <c r="I8638" s="26" t="s">
        <v>931</v>
      </c>
      <c r="J8638" s="25" t="str">
        <f t="shared" si="106"/>
        <v>Yes - see Previous F-Code</v>
      </c>
      <c r="K8638" s="25" t="str">
        <f t="shared" si="107"/>
        <v/>
      </c>
      <c r="L8638" s="25" t="str">
        <f t="shared" si="108"/>
        <v>F75630</v>
      </c>
      <c r="M8638" s="25"/>
      <c r="O8638" s="25"/>
    </row>
    <row r="8639" ht="15.75" customHeight="1">
      <c r="A8639" s="25" t="str">
        <f>IFERROR(__xludf.DUMMYFUNCTION("IF(B8639="""","""",RIGHT(REGEXREPLACE(B8639&amp;"""",""[^0-9]"",""""),9))"),"740678308")</f>
        <v>740678308</v>
      </c>
      <c r="B8639" s="52">
        <v>7.40678308E8</v>
      </c>
      <c r="C8639" s="28" t="s">
        <v>8775</v>
      </c>
      <c r="D8639" s="26" t="s">
        <v>56</v>
      </c>
      <c r="E8639" s="31">
        <v>46246.0</v>
      </c>
      <c r="F8639" s="26" t="s">
        <v>41</v>
      </c>
      <c r="I8639" s="26" t="s">
        <v>931</v>
      </c>
      <c r="J8639" s="25" t="str">
        <f t="shared" si="106"/>
        <v>No</v>
      </c>
      <c r="K8639" s="25" t="str">
        <f t="shared" si="107"/>
        <v/>
      </c>
      <c r="L8639" s="25" t="str">
        <f t="shared" si="108"/>
        <v/>
      </c>
      <c r="M8639" s="25"/>
      <c r="O8639" s="25"/>
    </row>
    <row r="8640" ht="15.75" customHeight="1">
      <c r="A8640" s="25" t="str">
        <f>IFERROR(__xludf.DUMMYFUNCTION("IF(B8640="""","""",RIGHT(REGEXREPLACE(B8640&amp;"""",""[^0-9]"",""""),9))"),"775740084")</f>
        <v>775740084</v>
      </c>
      <c r="B8640" s="52">
        <v>7.75740084E8</v>
      </c>
      <c r="C8640" s="28" t="s">
        <v>8776</v>
      </c>
      <c r="D8640" s="26" t="s">
        <v>56</v>
      </c>
      <c r="E8640" s="31">
        <v>46246.0</v>
      </c>
      <c r="F8640" s="26" t="s">
        <v>46</v>
      </c>
      <c r="G8640" s="26">
        <v>9.0</v>
      </c>
      <c r="I8640" s="26" t="s">
        <v>931</v>
      </c>
      <c r="J8640" s="25" t="str">
        <f t="shared" si="106"/>
        <v>No</v>
      </c>
      <c r="K8640" s="25" t="str">
        <f t="shared" si="107"/>
        <v/>
      </c>
      <c r="L8640" s="25" t="str">
        <f t="shared" si="108"/>
        <v/>
      </c>
      <c r="M8640" s="25"/>
      <c r="O8640" s="25"/>
    </row>
    <row r="8641" ht="15.75" customHeight="1">
      <c r="A8641" s="25" t="str">
        <f>IFERROR(__xludf.DUMMYFUNCTION("IF(B8641="""","""",RIGHT(REGEXREPLACE(B8641&amp;"""",""[^0-9]"",""""),9))"),"763627921")</f>
        <v>763627921</v>
      </c>
      <c r="B8641" s="52">
        <v>7.63627921E8</v>
      </c>
      <c r="C8641" s="28" t="s">
        <v>185</v>
      </c>
      <c r="D8641" s="26" t="s">
        <v>56</v>
      </c>
      <c r="E8641" s="31">
        <v>46246.0</v>
      </c>
      <c r="F8641" s="26" t="s">
        <v>46</v>
      </c>
      <c r="G8641" s="26">
        <v>10.0</v>
      </c>
      <c r="I8641" s="26" t="s">
        <v>931</v>
      </c>
      <c r="J8641" s="25" t="str">
        <f t="shared" si="106"/>
        <v>Yes - see Previous F-Code</v>
      </c>
      <c r="K8641" s="25" t="str">
        <f t="shared" si="107"/>
        <v/>
      </c>
      <c r="L8641" s="25" t="str">
        <f t="shared" si="108"/>
        <v>F70081</v>
      </c>
      <c r="M8641" s="25"/>
      <c r="O8641" s="25"/>
    </row>
    <row r="8642" ht="15.75" customHeight="1">
      <c r="A8642" s="25" t="str">
        <f>IFERROR(__xludf.DUMMYFUNCTION("IF(B8642="""","""",RIGHT(REGEXREPLACE(B8642&amp;"""",""[^0-9]"",""""),9))"),"761896807")</f>
        <v>761896807</v>
      </c>
      <c r="B8642" s="52">
        <v>7.61896807E8</v>
      </c>
      <c r="C8642" s="28" t="s">
        <v>8777</v>
      </c>
      <c r="D8642" s="26" t="s">
        <v>56</v>
      </c>
      <c r="E8642" s="31">
        <v>46246.0</v>
      </c>
      <c r="F8642" s="26" t="s">
        <v>41</v>
      </c>
      <c r="I8642" s="26" t="s">
        <v>931</v>
      </c>
      <c r="J8642" s="25" t="str">
        <f t="shared" si="106"/>
        <v>No</v>
      </c>
      <c r="K8642" s="25" t="str">
        <f t="shared" si="107"/>
        <v/>
      </c>
      <c r="L8642" s="25" t="str">
        <f t="shared" si="108"/>
        <v/>
      </c>
      <c r="M8642" s="25"/>
      <c r="O8642" s="25"/>
    </row>
    <row r="8643" ht="15.75" customHeight="1">
      <c r="A8643" s="25" t="str">
        <f>IFERROR(__xludf.DUMMYFUNCTION("IF(B8643="""","""",RIGHT(REGEXREPLACE(B8643&amp;"""",""[^0-9]"",""""),9))"),"718815368")</f>
        <v>718815368</v>
      </c>
      <c r="B8643" s="52">
        <v>7.18815368E8</v>
      </c>
      <c r="C8643" s="28" t="s">
        <v>8778</v>
      </c>
      <c r="D8643" s="26" t="s">
        <v>56</v>
      </c>
      <c r="E8643" s="31">
        <v>46246.0</v>
      </c>
      <c r="F8643" s="26" t="s">
        <v>41</v>
      </c>
      <c r="H8643" s="26" t="s">
        <v>8235</v>
      </c>
      <c r="I8643" s="26" t="s">
        <v>931</v>
      </c>
      <c r="J8643" s="25" t="str">
        <f t="shared" si="106"/>
        <v>No</v>
      </c>
      <c r="K8643" s="25" t="str">
        <f t="shared" si="107"/>
        <v/>
      </c>
      <c r="L8643" s="25" t="str">
        <f t="shared" si="108"/>
        <v/>
      </c>
      <c r="M8643" s="25"/>
      <c r="O8643" s="25"/>
    </row>
    <row r="8644" ht="15.75" customHeight="1">
      <c r="A8644" s="25" t="str">
        <f>IFERROR(__xludf.DUMMYFUNCTION("IF(B8644="""","""",RIGHT(REGEXREPLACE(B8644&amp;"""",""[^0-9]"",""""),9))"),"714598969")</f>
        <v>714598969</v>
      </c>
      <c r="B8644" s="52">
        <v>7.14598969E8</v>
      </c>
      <c r="C8644" s="28" t="s">
        <v>8779</v>
      </c>
      <c r="D8644" s="26" t="s">
        <v>56</v>
      </c>
      <c r="E8644" s="31">
        <v>46246.0</v>
      </c>
      <c r="F8644" s="26" t="s">
        <v>46</v>
      </c>
      <c r="G8644" s="26">
        <v>10.0</v>
      </c>
      <c r="H8644" s="26" t="s">
        <v>140</v>
      </c>
      <c r="I8644" s="26" t="s">
        <v>931</v>
      </c>
      <c r="J8644" s="25" t="str">
        <f t="shared" si="106"/>
        <v>No</v>
      </c>
      <c r="K8644" s="25" t="str">
        <f t="shared" si="107"/>
        <v/>
      </c>
      <c r="L8644" s="25" t="str">
        <f t="shared" si="108"/>
        <v/>
      </c>
      <c r="M8644" s="25"/>
      <c r="O8644" s="25"/>
    </row>
    <row r="8645" ht="15.75" customHeight="1">
      <c r="A8645" s="25" t="str">
        <f>IFERROR(__xludf.DUMMYFUNCTION("IF(B8645="""","""",RIGHT(REGEXREPLACE(B8645&amp;"""",""[^0-9]"",""""),9))"),"742672842")</f>
        <v>742672842</v>
      </c>
      <c r="B8645" s="52">
        <v>7.42672842E8</v>
      </c>
      <c r="C8645" s="28" t="s">
        <v>8408</v>
      </c>
      <c r="D8645" s="26" t="s">
        <v>56</v>
      </c>
      <c r="E8645" s="31">
        <v>46246.0</v>
      </c>
      <c r="F8645" s="26" t="s">
        <v>46</v>
      </c>
      <c r="G8645" s="26">
        <v>10.0</v>
      </c>
      <c r="I8645" s="26" t="s">
        <v>931</v>
      </c>
      <c r="J8645" s="25" t="str">
        <f t="shared" si="106"/>
        <v>Yes - see Previous F-Code</v>
      </c>
      <c r="K8645" s="25" t="str">
        <f t="shared" si="107"/>
        <v/>
      </c>
      <c r="L8645" s="25" t="str">
        <f t="shared" si="108"/>
        <v>F77172</v>
      </c>
      <c r="M8645" s="25"/>
      <c r="O8645" s="25"/>
    </row>
    <row r="8646" ht="15.75" customHeight="1">
      <c r="A8646" s="25" t="str">
        <f>IFERROR(__xludf.DUMMYFUNCTION("IF(B8646="""","""",RIGHT(REGEXREPLACE(B8646&amp;"""",""[^0-9]"",""""),9))"),"764626011")</f>
        <v>764626011</v>
      </c>
      <c r="B8646" s="52">
        <v>7.64626011E8</v>
      </c>
      <c r="C8646" s="28" t="s">
        <v>8627</v>
      </c>
      <c r="D8646" s="26" t="s">
        <v>56</v>
      </c>
      <c r="E8646" s="31">
        <v>46246.0</v>
      </c>
      <c r="F8646" s="26" t="s">
        <v>46</v>
      </c>
      <c r="G8646" s="26" t="s">
        <v>7033</v>
      </c>
      <c r="I8646" s="26" t="s">
        <v>931</v>
      </c>
      <c r="J8646" s="25" t="str">
        <f t="shared" si="106"/>
        <v>No</v>
      </c>
      <c r="K8646" s="25" t="str">
        <f t="shared" si="107"/>
        <v/>
      </c>
      <c r="L8646" s="25" t="str">
        <f t="shared" si="108"/>
        <v/>
      </c>
      <c r="M8646" s="25"/>
      <c r="O8646" s="25"/>
    </row>
    <row r="8647" ht="15.75" customHeight="1">
      <c r="A8647" s="25" t="str">
        <f>IFERROR(__xludf.DUMMYFUNCTION("IF(B8647="""","""",RIGHT(REGEXREPLACE(B8647&amp;"""",""[^0-9]"",""""),9))"),"787884334")</f>
        <v>787884334</v>
      </c>
      <c r="B8647" s="52">
        <v>7.87884334E8</v>
      </c>
      <c r="C8647" s="28" t="s">
        <v>7204</v>
      </c>
      <c r="D8647" s="26" t="s">
        <v>56</v>
      </c>
      <c r="E8647" s="31">
        <v>46246.0</v>
      </c>
      <c r="F8647" s="26" t="s">
        <v>167</v>
      </c>
      <c r="G8647" s="26">
        <v>10.0</v>
      </c>
      <c r="I8647" s="26" t="s">
        <v>931</v>
      </c>
      <c r="J8647" s="25" t="str">
        <f t="shared" si="106"/>
        <v>Yes - see Previous F-Code</v>
      </c>
      <c r="K8647" s="25" t="str">
        <f t="shared" si="107"/>
        <v/>
      </c>
      <c r="L8647" s="25" t="str">
        <f t="shared" si="108"/>
        <v>F76154</v>
      </c>
      <c r="M8647" s="25"/>
      <c r="O8647" s="25"/>
    </row>
    <row r="8648" ht="15.75" customHeight="1">
      <c r="A8648" s="25" t="str">
        <f>IFERROR(__xludf.DUMMYFUNCTION("IF(B8648="""","""",RIGHT(REGEXREPLACE(B8648&amp;"""",""[^0-9]"",""""),9))"),"701308230")</f>
        <v>701308230</v>
      </c>
      <c r="B8648" s="52">
        <v>7.0130823E8</v>
      </c>
      <c r="C8648" s="28" t="s">
        <v>6291</v>
      </c>
      <c r="D8648" s="26" t="s">
        <v>56</v>
      </c>
      <c r="E8648" s="31">
        <v>46246.0</v>
      </c>
      <c r="F8648" s="26" t="s">
        <v>41</v>
      </c>
      <c r="G8648" s="26">
        <v>9.0</v>
      </c>
      <c r="I8648" s="26" t="s">
        <v>931</v>
      </c>
      <c r="J8648" s="25" t="str">
        <f t="shared" si="106"/>
        <v>Yes - see Previous F-Code</v>
      </c>
      <c r="K8648" s="25" t="str">
        <f t="shared" si="107"/>
        <v/>
      </c>
      <c r="L8648" s="25" t="str">
        <f t="shared" si="108"/>
        <v>F75658</v>
      </c>
      <c r="M8648" s="25"/>
      <c r="O8648" s="25"/>
    </row>
    <row r="8649" ht="15.75" customHeight="1">
      <c r="A8649" s="25" t="str">
        <f>IFERROR(__xludf.DUMMYFUNCTION("IF(B8649="""","""",RIGHT(REGEXREPLACE(B8649&amp;"""",""[^0-9]"",""""),9))"),"718183379")</f>
        <v>718183379</v>
      </c>
      <c r="B8649" s="52">
        <v>7.18183379E8</v>
      </c>
      <c r="C8649" s="28" t="s">
        <v>8780</v>
      </c>
      <c r="D8649" s="26" t="s">
        <v>56</v>
      </c>
      <c r="E8649" s="31">
        <v>46246.0</v>
      </c>
      <c r="F8649" s="26" t="s">
        <v>41</v>
      </c>
      <c r="G8649" s="26">
        <v>10.0</v>
      </c>
      <c r="I8649" s="26" t="s">
        <v>931</v>
      </c>
      <c r="J8649" s="25" t="str">
        <f t="shared" si="106"/>
        <v>No</v>
      </c>
      <c r="K8649" s="25" t="str">
        <f t="shared" si="107"/>
        <v/>
      </c>
      <c r="L8649" s="25" t="str">
        <f t="shared" si="108"/>
        <v/>
      </c>
      <c r="M8649" s="25"/>
      <c r="O8649" s="25"/>
    </row>
    <row r="8650" ht="15.75" customHeight="1">
      <c r="A8650" s="25" t="str">
        <f>IFERROR(__xludf.DUMMYFUNCTION("IF(B8650="""","""",RIGHT(REGEXREPLACE(B8650&amp;"""",""[^0-9]"",""""),9))"),"715651572")</f>
        <v>715651572</v>
      </c>
      <c r="B8650" s="52">
        <v>7.15651572E8</v>
      </c>
      <c r="C8650" s="28" t="s">
        <v>1845</v>
      </c>
      <c r="D8650" s="26" t="s">
        <v>56</v>
      </c>
      <c r="E8650" s="31">
        <v>46246.0</v>
      </c>
      <c r="F8650" s="26" t="s">
        <v>41</v>
      </c>
      <c r="H8650" s="26" t="s">
        <v>8436</v>
      </c>
      <c r="I8650" s="26" t="s">
        <v>931</v>
      </c>
      <c r="J8650" s="25" t="str">
        <f t="shared" si="106"/>
        <v>Yes - see Previous F-Code</v>
      </c>
      <c r="K8650" s="25" t="str">
        <f t="shared" si="107"/>
        <v/>
      </c>
      <c r="L8650" s="25" t="str">
        <f t="shared" si="108"/>
        <v>F71551</v>
      </c>
      <c r="M8650" s="25"/>
      <c r="O8650" s="25"/>
    </row>
    <row r="8651" ht="15.75" customHeight="1">
      <c r="A8651" s="25" t="str">
        <f>IFERROR(__xludf.DUMMYFUNCTION("IF(B8651="""","""",RIGHT(REGEXREPLACE(B8651&amp;"""",""[^0-9]"",""""),9))"),"755341035")</f>
        <v>755341035</v>
      </c>
      <c r="B8651" s="52">
        <v>7.55341035E8</v>
      </c>
      <c r="C8651" s="28" t="s">
        <v>7656</v>
      </c>
      <c r="D8651" s="26" t="s">
        <v>56</v>
      </c>
      <c r="E8651" s="31">
        <v>46246.0</v>
      </c>
      <c r="F8651" s="26" t="s">
        <v>46</v>
      </c>
      <c r="G8651" s="26">
        <v>9.0</v>
      </c>
      <c r="I8651" s="26" t="s">
        <v>931</v>
      </c>
      <c r="J8651" s="25" t="str">
        <f t="shared" si="106"/>
        <v>Yes - see Previous F-Code</v>
      </c>
      <c r="K8651" s="25" t="str">
        <f t="shared" si="107"/>
        <v/>
      </c>
      <c r="L8651" s="25" t="str">
        <f t="shared" si="108"/>
        <v>F76544</v>
      </c>
      <c r="M8651" s="25"/>
      <c r="O8651" s="25"/>
    </row>
    <row r="8652" ht="15.75" customHeight="1">
      <c r="A8652" s="25" t="str">
        <f>IFERROR(__xludf.DUMMYFUNCTION("IF(B8652="""","""",RIGHT(REGEXREPLACE(B8652&amp;"""",""[^0-9]"",""""),9))"),"786890816")</f>
        <v>786890816</v>
      </c>
      <c r="B8652" s="52">
        <v>7.86890816E8</v>
      </c>
      <c r="C8652" s="28" t="s">
        <v>7267</v>
      </c>
      <c r="D8652" s="26" t="s">
        <v>56</v>
      </c>
      <c r="E8652" s="31">
        <v>46246.0</v>
      </c>
      <c r="F8652" s="26" t="s">
        <v>41</v>
      </c>
      <c r="G8652" s="26">
        <v>9.0</v>
      </c>
      <c r="I8652" s="26" t="s">
        <v>931</v>
      </c>
      <c r="J8652" s="25" t="str">
        <f t="shared" si="106"/>
        <v>Yes - see Previous F-Code</v>
      </c>
      <c r="K8652" s="25" t="str">
        <f t="shared" si="107"/>
        <v/>
      </c>
      <c r="L8652" s="25" t="str">
        <f t="shared" si="108"/>
        <v>F76211</v>
      </c>
      <c r="M8652" s="25"/>
      <c r="O8652" s="25"/>
    </row>
    <row r="8653" ht="15.75" customHeight="1">
      <c r="A8653" s="25" t="str">
        <f>IFERROR(__xludf.DUMMYFUNCTION("IF(B8653="""","""",RIGHT(REGEXREPLACE(B8653&amp;"""",""[^0-9]"",""""),9))"),"778622988")</f>
        <v>778622988</v>
      </c>
      <c r="B8653" s="52">
        <v>7.78622988E8</v>
      </c>
      <c r="C8653" s="28" t="s">
        <v>8781</v>
      </c>
      <c r="D8653" s="26" t="s">
        <v>56</v>
      </c>
      <c r="E8653" s="31">
        <v>46247.0</v>
      </c>
      <c r="F8653" s="26" t="s">
        <v>631</v>
      </c>
      <c r="G8653" s="26">
        <v>7.0</v>
      </c>
      <c r="I8653" s="26" t="s">
        <v>931</v>
      </c>
      <c r="J8653" s="25" t="str">
        <f t="shared" si="106"/>
        <v>No</v>
      </c>
      <c r="K8653" s="25" t="str">
        <f t="shared" si="107"/>
        <v/>
      </c>
      <c r="L8653" s="25" t="str">
        <f t="shared" si="108"/>
        <v/>
      </c>
      <c r="M8653" s="25"/>
      <c r="O8653" s="25"/>
    </row>
    <row r="8654" ht="15.75" customHeight="1">
      <c r="A8654" s="25" t="str">
        <f>IFERROR(__xludf.DUMMYFUNCTION("IF(B8654="""","""",RIGHT(REGEXREPLACE(B8654&amp;"""",""[^0-9]"",""""),9))"),"707065527")</f>
        <v>707065527</v>
      </c>
      <c r="B8654" s="52">
        <v>7.07065527E8</v>
      </c>
      <c r="C8654" s="28" t="s">
        <v>8782</v>
      </c>
      <c r="D8654" s="26" t="s">
        <v>56</v>
      </c>
      <c r="E8654" s="31">
        <v>46247.0</v>
      </c>
      <c r="F8654" s="26" t="s">
        <v>41</v>
      </c>
      <c r="G8654" s="26">
        <v>11.0</v>
      </c>
      <c r="I8654" s="26" t="s">
        <v>931</v>
      </c>
      <c r="J8654" s="25" t="str">
        <f t="shared" si="106"/>
        <v>No</v>
      </c>
      <c r="K8654" s="25" t="str">
        <f t="shared" si="107"/>
        <v/>
      </c>
      <c r="L8654" s="25" t="str">
        <f t="shared" si="108"/>
        <v/>
      </c>
      <c r="M8654" s="25"/>
      <c r="O8654" s="25"/>
    </row>
    <row r="8655" ht="15.75" customHeight="1">
      <c r="A8655" s="25" t="str">
        <f>IFERROR(__xludf.DUMMYFUNCTION("IF(B8655="""","""",RIGHT(REGEXREPLACE(B8655&amp;"""",""[^0-9]"",""""),9))"),"764583559")</f>
        <v>764583559</v>
      </c>
      <c r="B8655" s="52">
        <v>7.64583559E8</v>
      </c>
      <c r="C8655" s="28" t="s">
        <v>2449</v>
      </c>
      <c r="D8655" s="26" t="s">
        <v>56</v>
      </c>
      <c r="E8655" s="31">
        <v>46247.0</v>
      </c>
      <c r="F8655" s="26" t="s">
        <v>631</v>
      </c>
      <c r="G8655" s="26">
        <v>11.0</v>
      </c>
      <c r="H8655" s="26" t="s">
        <v>4830</v>
      </c>
      <c r="I8655" s="26" t="s">
        <v>931</v>
      </c>
      <c r="J8655" s="25" t="str">
        <f t="shared" si="106"/>
        <v>Yes - see Previous F-Code</v>
      </c>
      <c r="K8655" s="25" t="str">
        <f t="shared" si="107"/>
        <v/>
      </c>
      <c r="L8655" s="25" t="str">
        <f t="shared" si="108"/>
        <v>F72141</v>
      </c>
      <c r="M8655" s="25"/>
      <c r="O8655" s="25"/>
    </row>
    <row r="8656" ht="15.75" customHeight="1">
      <c r="A8656" s="25" t="str">
        <f>IFERROR(__xludf.DUMMYFUNCTION("IF(B8656="""","""",RIGHT(REGEXREPLACE(B8656&amp;"""",""[^0-9]"",""""),9))"),"779170371")</f>
        <v>779170371</v>
      </c>
      <c r="B8656" s="52">
        <v>7.79170371E8</v>
      </c>
      <c r="C8656" s="28" t="s">
        <v>8783</v>
      </c>
      <c r="D8656" s="26" t="s">
        <v>56</v>
      </c>
      <c r="E8656" s="31">
        <v>46247.0</v>
      </c>
      <c r="F8656" s="26" t="s">
        <v>46</v>
      </c>
      <c r="H8656" s="26" t="s">
        <v>1447</v>
      </c>
      <c r="I8656" s="26" t="s">
        <v>931</v>
      </c>
      <c r="J8656" s="25" t="str">
        <f t="shared" si="106"/>
        <v>No</v>
      </c>
      <c r="K8656" s="25" t="str">
        <f t="shared" si="107"/>
        <v/>
      </c>
      <c r="L8656" s="25" t="str">
        <f t="shared" si="108"/>
        <v/>
      </c>
      <c r="M8656" s="25"/>
      <c r="O8656" s="25"/>
    </row>
    <row r="8657" ht="15.75" customHeight="1">
      <c r="A8657" s="25" t="str">
        <f>IFERROR(__xludf.DUMMYFUNCTION("IF(B8657="""","""",RIGHT(REGEXREPLACE(B8657&amp;"""",""[^0-9]"",""""),9))"),"763597854")</f>
        <v>763597854</v>
      </c>
      <c r="B8657" s="52">
        <v>7.63597854E8</v>
      </c>
      <c r="C8657" s="28" t="s">
        <v>8784</v>
      </c>
      <c r="D8657" s="26" t="s">
        <v>56</v>
      </c>
      <c r="E8657" s="31">
        <v>46247.0</v>
      </c>
      <c r="F8657" s="26" t="s">
        <v>631</v>
      </c>
      <c r="G8657" s="26">
        <v>11.0</v>
      </c>
      <c r="I8657" s="26" t="s">
        <v>931</v>
      </c>
      <c r="J8657" s="25" t="str">
        <f t="shared" si="106"/>
        <v>No</v>
      </c>
      <c r="K8657" s="25" t="str">
        <f t="shared" si="107"/>
        <v/>
      </c>
      <c r="L8657" s="25" t="str">
        <f t="shared" si="108"/>
        <v/>
      </c>
      <c r="M8657" s="25"/>
      <c r="O8657" s="25"/>
    </row>
    <row r="8658" ht="15.75" customHeight="1">
      <c r="A8658" s="25" t="str">
        <f>IFERROR(__xludf.DUMMYFUNCTION("IF(B8658="""","""",RIGHT(REGEXREPLACE(B8658&amp;"""",""[^0-9]"",""""),9))"),"771679093")</f>
        <v>771679093</v>
      </c>
      <c r="B8658" s="52">
        <v>7.71679093E8</v>
      </c>
      <c r="C8658" s="28" t="s">
        <v>160</v>
      </c>
      <c r="D8658" s="26" t="s">
        <v>56</v>
      </c>
      <c r="E8658" s="31">
        <v>46247.0</v>
      </c>
      <c r="F8658" s="26" t="s">
        <v>41</v>
      </c>
      <c r="I8658" s="26" t="s">
        <v>931</v>
      </c>
      <c r="J8658" s="25" t="str">
        <f t="shared" si="106"/>
        <v>Yes - see Previous F-Code</v>
      </c>
      <c r="K8658" s="25" t="str">
        <f t="shared" si="107"/>
        <v/>
      </c>
      <c r="L8658" s="25" t="str">
        <f t="shared" si="108"/>
        <v>F70069</v>
      </c>
      <c r="M8658" s="25"/>
      <c r="O8658" s="25"/>
    </row>
    <row r="8659" ht="15.75" customHeight="1">
      <c r="A8659" s="25" t="str">
        <f>IFERROR(__xludf.DUMMYFUNCTION("IF(B8659="""","""",RIGHT(REGEXREPLACE(B8659&amp;"""",""[^0-9]"",""""),9))"),"718386004")</f>
        <v>718386004</v>
      </c>
      <c r="B8659" s="52">
        <v>7.18386004E8</v>
      </c>
      <c r="C8659" s="28" t="s">
        <v>8785</v>
      </c>
      <c r="D8659" s="26" t="s">
        <v>56</v>
      </c>
      <c r="E8659" s="31">
        <v>46247.0</v>
      </c>
      <c r="F8659" s="26" t="s">
        <v>631</v>
      </c>
      <c r="G8659" s="26">
        <v>10.0</v>
      </c>
      <c r="H8659" s="26" t="s">
        <v>4830</v>
      </c>
      <c r="I8659" s="26" t="s">
        <v>931</v>
      </c>
      <c r="J8659" s="25" t="str">
        <f t="shared" si="106"/>
        <v>No</v>
      </c>
      <c r="K8659" s="25" t="str">
        <f t="shared" si="107"/>
        <v/>
      </c>
      <c r="L8659" s="25" t="str">
        <f t="shared" si="108"/>
        <v/>
      </c>
      <c r="M8659" s="25"/>
      <c r="O8659" s="25"/>
    </row>
    <row r="8660" ht="15.75" customHeight="1">
      <c r="A8660" s="25" t="str">
        <f>IFERROR(__xludf.DUMMYFUNCTION("IF(B8660="""","""",RIGHT(REGEXREPLACE(B8660&amp;"""",""[^0-9]"",""""),9))"),"706086224")</f>
        <v>706086224</v>
      </c>
      <c r="B8660" s="52">
        <v>7.06086224E8</v>
      </c>
      <c r="C8660" s="28" t="s">
        <v>6439</v>
      </c>
      <c r="D8660" s="26" t="s">
        <v>56</v>
      </c>
      <c r="E8660" s="31">
        <v>46247.0</v>
      </c>
      <c r="F8660" s="26" t="s">
        <v>46</v>
      </c>
      <c r="G8660" s="26">
        <v>8.0</v>
      </c>
      <c r="I8660" s="26" t="s">
        <v>931</v>
      </c>
      <c r="J8660" s="25" t="str">
        <f t="shared" si="106"/>
        <v>Yes - see Previous F-Code</v>
      </c>
      <c r="K8660" s="25" t="str">
        <f t="shared" si="107"/>
        <v/>
      </c>
      <c r="L8660" s="25" t="str">
        <f t="shared" si="108"/>
        <v>F75715</v>
      </c>
      <c r="M8660" s="25"/>
      <c r="O8660" s="26" t="s">
        <v>51</v>
      </c>
    </row>
    <row r="8661" ht="15.75" customHeight="1">
      <c r="A8661" s="25" t="str">
        <f>IFERROR(__xludf.DUMMYFUNCTION("IF(B8661="""","""",RIGHT(REGEXREPLACE(B8661&amp;"""",""[^0-9]"",""""),9))"),"774038612")</f>
        <v>774038612</v>
      </c>
      <c r="B8661" s="52">
        <v>7.74038612E8</v>
      </c>
      <c r="C8661" s="28" t="s">
        <v>8786</v>
      </c>
      <c r="D8661" s="26" t="s">
        <v>56</v>
      </c>
      <c r="E8661" s="31">
        <v>46247.0</v>
      </c>
      <c r="F8661" s="26" t="s">
        <v>205</v>
      </c>
      <c r="G8661" s="26">
        <v>10.0</v>
      </c>
      <c r="I8661" s="26" t="s">
        <v>931</v>
      </c>
      <c r="J8661" s="25" t="str">
        <f t="shared" si="106"/>
        <v>No</v>
      </c>
      <c r="K8661" s="25" t="str">
        <f t="shared" si="107"/>
        <v/>
      </c>
      <c r="L8661" s="25" t="str">
        <f t="shared" si="108"/>
        <v/>
      </c>
      <c r="M8661" s="25"/>
      <c r="O8661" s="25"/>
    </row>
    <row r="8662" ht="15.75" customHeight="1">
      <c r="A8662" s="25" t="str">
        <f>IFERROR(__xludf.DUMMYFUNCTION("IF(B8662="""","""",RIGHT(REGEXREPLACE(B8662&amp;"""",""[^0-9]"",""""),9))"),"762900454")</f>
        <v>762900454</v>
      </c>
      <c r="B8662" s="52">
        <v>7.62900454E8</v>
      </c>
      <c r="C8662" s="28" t="s">
        <v>6041</v>
      </c>
      <c r="D8662" s="26" t="s">
        <v>56</v>
      </c>
      <c r="E8662" s="31">
        <v>46247.0</v>
      </c>
      <c r="F8662" s="26" t="s">
        <v>41</v>
      </c>
      <c r="G8662" s="26">
        <v>10.0</v>
      </c>
      <c r="I8662" s="26" t="s">
        <v>931</v>
      </c>
      <c r="J8662" s="25" t="str">
        <f t="shared" si="106"/>
        <v>Yes - see Previous F-Code</v>
      </c>
      <c r="K8662" s="25" t="str">
        <f t="shared" si="107"/>
        <v/>
      </c>
      <c r="L8662" s="25" t="str">
        <f t="shared" si="108"/>
        <v>F75451</v>
      </c>
      <c r="M8662" s="25"/>
      <c r="O8662" s="25"/>
    </row>
    <row r="8663" ht="15.75" customHeight="1">
      <c r="A8663" s="25" t="str">
        <f>IFERROR(__xludf.DUMMYFUNCTION("IF(B8663="""","""",RIGHT(REGEXREPLACE(B8663&amp;"""",""[^0-9]"",""""),9))"),"740819722")</f>
        <v>740819722</v>
      </c>
      <c r="B8663" s="52">
        <v>7.40819722E8</v>
      </c>
      <c r="C8663" s="28" t="s">
        <v>8787</v>
      </c>
      <c r="D8663" s="26" t="s">
        <v>56</v>
      </c>
      <c r="E8663" s="31">
        <v>46247.0</v>
      </c>
      <c r="F8663" s="26" t="s">
        <v>205</v>
      </c>
      <c r="H8663" s="26" t="s">
        <v>8235</v>
      </c>
      <c r="I8663" s="26" t="s">
        <v>931</v>
      </c>
      <c r="J8663" s="25" t="str">
        <f t="shared" si="106"/>
        <v>No</v>
      </c>
      <c r="K8663" s="25" t="str">
        <f t="shared" si="107"/>
        <v/>
      </c>
      <c r="L8663" s="25" t="str">
        <f t="shared" si="108"/>
        <v/>
      </c>
      <c r="M8663" s="25"/>
      <c r="O8663" s="25"/>
    </row>
    <row r="8664" ht="15.75" customHeight="1">
      <c r="A8664" s="25" t="str">
        <f>IFERROR(__xludf.DUMMYFUNCTION("IF(B8664="""","""",RIGHT(REGEXREPLACE(B8664&amp;"""",""[^0-9]"",""""),9))"),"778919809")</f>
        <v>778919809</v>
      </c>
      <c r="B8664" s="52">
        <v>7.78919809E8</v>
      </c>
      <c r="C8664" s="28" t="s">
        <v>8788</v>
      </c>
      <c r="D8664" s="26" t="s">
        <v>56</v>
      </c>
      <c r="E8664" s="31">
        <v>46247.0</v>
      </c>
      <c r="F8664" s="26" t="s">
        <v>41</v>
      </c>
      <c r="I8664" s="26" t="s">
        <v>931</v>
      </c>
      <c r="J8664" s="25" t="str">
        <f t="shared" si="106"/>
        <v>No</v>
      </c>
      <c r="K8664" s="25" t="str">
        <f t="shared" si="107"/>
        <v/>
      </c>
      <c r="L8664" s="25" t="str">
        <f t="shared" si="108"/>
        <v/>
      </c>
      <c r="M8664" s="25"/>
      <c r="O8664" s="25"/>
    </row>
    <row r="8665" ht="15.75" customHeight="1">
      <c r="A8665" s="25" t="str">
        <f>IFERROR(__xludf.DUMMYFUNCTION("IF(B8665="""","""",RIGHT(REGEXREPLACE(B8665&amp;"""",""[^0-9]"",""""),9))"),"781598919")</f>
        <v>781598919</v>
      </c>
      <c r="B8665" s="52">
        <v>7.81598919E8</v>
      </c>
      <c r="C8665" s="28" t="s">
        <v>8789</v>
      </c>
      <c r="D8665" s="26" t="s">
        <v>56</v>
      </c>
      <c r="E8665" s="31">
        <v>46247.0</v>
      </c>
      <c r="F8665" s="26" t="s">
        <v>41</v>
      </c>
      <c r="G8665" s="26">
        <v>11.0</v>
      </c>
      <c r="I8665" s="26" t="s">
        <v>931</v>
      </c>
      <c r="J8665" s="25" t="str">
        <f t="shared" si="106"/>
        <v>No</v>
      </c>
      <c r="K8665" s="25" t="str">
        <f t="shared" si="107"/>
        <v/>
      </c>
      <c r="L8665" s="25" t="str">
        <f t="shared" si="108"/>
        <v/>
      </c>
      <c r="M8665" s="25"/>
      <c r="O8665" s="25"/>
    </row>
    <row r="8666" ht="15.75" customHeight="1">
      <c r="A8666" s="25" t="str">
        <f>IFERROR(__xludf.DUMMYFUNCTION("IF(B8666="""","""",RIGHT(REGEXREPLACE(B8666&amp;"""",""[^0-9]"",""""),9))"),"702133776")</f>
        <v>702133776</v>
      </c>
      <c r="B8666" s="52">
        <v>7.02133776E8</v>
      </c>
      <c r="C8666" s="28" t="s">
        <v>8790</v>
      </c>
      <c r="D8666" s="26" t="s">
        <v>56</v>
      </c>
      <c r="E8666" s="31">
        <v>46247.0</v>
      </c>
      <c r="F8666" s="26" t="s">
        <v>46</v>
      </c>
      <c r="G8666" s="26">
        <v>9.0</v>
      </c>
      <c r="I8666" s="26" t="s">
        <v>931</v>
      </c>
      <c r="J8666" s="25" t="str">
        <f t="shared" si="106"/>
        <v>No</v>
      </c>
      <c r="K8666" s="25" t="str">
        <f t="shared" si="107"/>
        <v/>
      </c>
      <c r="L8666" s="25" t="str">
        <f t="shared" si="108"/>
        <v/>
      </c>
      <c r="M8666" s="25"/>
      <c r="O8666" s="25"/>
    </row>
    <row r="8667" ht="15.75" customHeight="1">
      <c r="A8667" s="25" t="str">
        <f>IFERROR(__xludf.DUMMYFUNCTION("IF(B8667="""","""",RIGHT(REGEXREPLACE(B8667&amp;"""",""[^0-9]"",""""),9))"),"766641523")</f>
        <v>766641523</v>
      </c>
      <c r="B8667" s="52">
        <v>7.66641523E8</v>
      </c>
      <c r="C8667" s="28" t="s">
        <v>8791</v>
      </c>
      <c r="D8667" s="26" t="s">
        <v>56</v>
      </c>
      <c r="E8667" s="31">
        <v>46247.0</v>
      </c>
      <c r="F8667" s="26" t="s">
        <v>46</v>
      </c>
      <c r="G8667" s="26">
        <v>10.0</v>
      </c>
      <c r="I8667" s="26" t="s">
        <v>931</v>
      </c>
      <c r="J8667" s="25" t="str">
        <f t="shared" si="106"/>
        <v>No</v>
      </c>
      <c r="K8667" s="25" t="str">
        <f t="shared" si="107"/>
        <v/>
      </c>
      <c r="L8667" s="25" t="str">
        <f t="shared" si="108"/>
        <v/>
      </c>
      <c r="M8667" s="25"/>
      <c r="O8667" s="25"/>
    </row>
    <row r="8668" ht="15.75" customHeight="1">
      <c r="A8668" s="25" t="str">
        <f>IFERROR(__xludf.DUMMYFUNCTION("IF(B8668="""","""",RIGHT(REGEXREPLACE(B8668&amp;"""",""[^0-9]"",""""),9))"),"713975304")</f>
        <v>713975304</v>
      </c>
      <c r="B8668" s="52">
        <v>7.13975304E8</v>
      </c>
      <c r="C8668" s="28" t="s">
        <v>8792</v>
      </c>
      <c r="D8668" s="26" t="s">
        <v>56</v>
      </c>
      <c r="E8668" s="31">
        <v>46247.0</v>
      </c>
      <c r="F8668" s="26" t="s">
        <v>631</v>
      </c>
      <c r="G8668" s="26">
        <v>10.0</v>
      </c>
      <c r="I8668" s="26" t="s">
        <v>931</v>
      </c>
      <c r="J8668" s="25" t="str">
        <f t="shared" si="106"/>
        <v>No</v>
      </c>
      <c r="K8668" s="25" t="str">
        <f t="shared" si="107"/>
        <v/>
      </c>
      <c r="L8668" s="25" t="str">
        <f t="shared" si="108"/>
        <v/>
      </c>
      <c r="M8668" s="25"/>
      <c r="O8668" s="25"/>
    </row>
    <row r="8669" ht="15.75" customHeight="1">
      <c r="A8669" s="25" t="str">
        <f>IFERROR(__xludf.DUMMYFUNCTION("IF(B8669="""","""",RIGHT(REGEXREPLACE(B8669&amp;"""",""[^0-9]"",""""),9))"),"778617867")</f>
        <v>778617867</v>
      </c>
      <c r="B8669" s="52">
        <v>7.78617867E8</v>
      </c>
      <c r="C8669" s="28" t="s">
        <v>8793</v>
      </c>
      <c r="D8669" s="26" t="s">
        <v>56</v>
      </c>
      <c r="E8669" s="31">
        <v>46248.0</v>
      </c>
      <c r="F8669" s="26" t="s">
        <v>41</v>
      </c>
      <c r="G8669" s="26">
        <v>11.0</v>
      </c>
      <c r="I8669" s="26" t="s">
        <v>931</v>
      </c>
      <c r="J8669" s="25" t="str">
        <f t="shared" si="106"/>
        <v>No</v>
      </c>
      <c r="K8669" s="25" t="str">
        <f t="shared" si="107"/>
        <v/>
      </c>
      <c r="L8669" s="25" t="str">
        <f t="shared" si="108"/>
        <v/>
      </c>
      <c r="M8669" s="25"/>
      <c r="O8669" s="25"/>
    </row>
    <row r="8670" ht="15.75" customHeight="1">
      <c r="A8670" s="25" t="str">
        <f>IFERROR(__xludf.DUMMYFUNCTION("IF(B8670="""","""",RIGHT(REGEXREPLACE(B8670&amp;"""",""[^0-9]"",""""),9))"),"782071274")</f>
        <v>782071274</v>
      </c>
      <c r="B8670" s="52">
        <v>7.82071274E8</v>
      </c>
      <c r="C8670" s="28" t="s">
        <v>7992</v>
      </c>
      <c r="D8670" s="26" t="s">
        <v>56</v>
      </c>
      <c r="E8670" s="31">
        <v>46248.0</v>
      </c>
      <c r="F8670" s="26" t="s">
        <v>205</v>
      </c>
      <c r="I8670" s="26" t="s">
        <v>931</v>
      </c>
      <c r="J8670" s="25" t="str">
        <f t="shared" si="106"/>
        <v>Yes - see Previous F-Code</v>
      </c>
      <c r="K8670" s="25" t="str">
        <f t="shared" si="107"/>
        <v/>
      </c>
      <c r="L8670" s="25" t="str">
        <f t="shared" si="108"/>
        <v>F76874</v>
      </c>
      <c r="M8670" s="25"/>
      <c r="O8670" s="25"/>
    </row>
    <row r="8671" ht="15.75" customHeight="1">
      <c r="A8671" s="25" t="str">
        <f>IFERROR(__xludf.DUMMYFUNCTION("IF(B8671="""","""",RIGHT(REGEXREPLACE(B8671&amp;"""",""[^0-9]"",""""),9))"),"768304972")</f>
        <v>768304972</v>
      </c>
      <c r="B8671" s="52">
        <v>7.68304972E8</v>
      </c>
      <c r="C8671" s="28" t="s">
        <v>7329</v>
      </c>
      <c r="D8671" s="26" t="s">
        <v>56</v>
      </c>
      <c r="E8671" s="31">
        <v>46248.0</v>
      </c>
      <c r="F8671" s="26" t="s">
        <v>41</v>
      </c>
      <c r="G8671" s="26">
        <v>8.0</v>
      </c>
      <c r="I8671" s="26" t="s">
        <v>931</v>
      </c>
      <c r="J8671" s="25" t="str">
        <f t="shared" si="106"/>
        <v>Yes - see Previous F-Code</v>
      </c>
      <c r="K8671" s="25" t="str">
        <f t="shared" si="107"/>
        <v/>
      </c>
      <c r="L8671" s="25" t="str">
        <f t="shared" si="108"/>
        <v>F76267</v>
      </c>
      <c r="M8671" s="25"/>
      <c r="O8671" s="25"/>
    </row>
    <row r="8672" ht="15.75" customHeight="1">
      <c r="A8672" s="25" t="str">
        <f>IFERROR(__xludf.DUMMYFUNCTION("IF(B8672="""","""",RIGHT(REGEXREPLACE(B8672&amp;"""",""[^0-9]"",""""),9))"),"783129609")</f>
        <v>783129609</v>
      </c>
      <c r="B8672" s="52">
        <v>7.83129609E8</v>
      </c>
      <c r="C8672" s="28" t="s">
        <v>8794</v>
      </c>
      <c r="D8672" s="26" t="s">
        <v>56</v>
      </c>
      <c r="E8672" s="31">
        <v>46248.0</v>
      </c>
      <c r="F8672" s="26" t="s">
        <v>205</v>
      </c>
      <c r="G8672" s="26">
        <v>11.0</v>
      </c>
      <c r="I8672" s="26" t="s">
        <v>931</v>
      </c>
      <c r="J8672" s="25" t="str">
        <f t="shared" si="106"/>
        <v>No</v>
      </c>
      <c r="K8672" s="25" t="str">
        <f t="shared" si="107"/>
        <v/>
      </c>
      <c r="L8672" s="25" t="str">
        <f t="shared" si="108"/>
        <v/>
      </c>
      <c r="M8672" s="25"/>
      <c r="O8672" s="25"/>
    </row>
    <row r="8673" ht="15.75" customHeight="1">
      <c r="A8673" s="25" t="str">
        <f>IFERROR(__xludf.DUMMYFUNCTION("IF(B8673="""","""",RIGHT(REGEXREPLACE(B8673&amp;"""",""[^0-9]"",""""),9))"),"715767432")</f>
        <v>715767432</v>
      </c>
      <c r="B8673" s="52">
        <v>7.15767432E8</v>
      </c>
      <c r="C8673" s="28" t="s">
        <v>8795</v>
      </c>
      <c r="D8673" s="26" t="s">
        <v>56</v>
      </c>
      <c r="E8673" s="31">
        <v>46248.0</v>
      </c>
      <c r="F8673" s="26" t="s">
        <v>46</v>
      </c>
      <c r="G8673" s="26">
        <v>11.0</v>
      </c>
      <c r="I8673" s="26" t="s">
        <v>931</v>
      </c>
      <c r="J8673" s="25" t="str">
        <f t="shared" si="106"/>
        <v>No</v>
      </c>
      <c r="K8673" s="25" t="str">
        <f t="shared" si="107"/>
        <v/>
      </c>
      <c r="L8673" s="25" t="str">
        <f t="shared" si="108"/>
        <v/>
      </c>
      <c r="M8673" s="25"/>
      <c r="O8673" s="25"/>
    </row>
    <row r="8674" ht="15.75" customHeight="1">
      <c r="A8674" s="25" t="str">
        <f>IFERROR(__xludf.DUMMYFUNCTION("IF(B8674="""","""",RIGHT(REGEXREPLACE(B8674&amp;"""",""[^0-9]"",""""),9))"),"716124105")</f>
        <v>716124105</v>
      </c>
      <c r="B8674" s="52">
        <v>7.16124105E8</v>
      </c>
      <c r="C8674" s="28" t="s">
        <v>8796</v>
      </c>
      <c r="D8674" s="26" t="s">
        <v>56</v>
      </c>
      <c r="E8674" s="31">
        <v>46248.0</v>
      </c>
      <c r="F8674" s="26" t="s">
        <v>46</v>
      </c>
      <c r="G8674" s="26">
        <v>11.0</v>
      </c>
      <c r="H8674" s="26" t="s">
        <v>8797</v>
      </c>
      <c r="I8674" s="26" t="s">
        <v>931</v>
      </c>
      <c r="J8674" s="25" t="str">
        <f t="shared" si="106"/>
        <v>No</v>
      </c>
      <c r="K8674" s="25" t="str">
        <f t="shared" si="107"/>
        <v/>
      </c>
      <c r="L8674" s="25" t="str">
        <f t="shared" si="108"/>
        <v/>
      </c>
      <c r="M8674" s="25"/>
      <c r="O8674" s="25"/>
    </row>
    <row r="8675" ht="15.75" customHeight="1">
      <c r="A8675" s="25" t="str">
        <f>IFERROR(__xludf.DUMMYFUNCTION("IF(B8675="""","""",RIGHT(REGEXREPLACE(B8675&amp;"""",""[^0-9]"",""""),9))"),"726219832")</f>
        <v>726219832</v>
      </c>
      <c r="B8675" s="52">
        <v>7.26219832E8</v>
      </c>
      <c r="C8675" s="28" t="s">
        <v>6949</v>
      </c>
      <c r="D8675" s="26" t="s">
        <v>56</v>
      </c>
      <c r="E8675" s="31">
        <v>46248.0</v>
      </c>
      <c r="F8675" s="26" t="s">
        <v>46</v>
      </c>
      <c r="G8675" s="26">
        <v>7.0</v>
      </c>
      <c r="H8675" s="26" t="s">
        <v>8798</v>
      </c>
      <c r="I8675" s="26" t="s">
        <v>931</v>
      </c>
      <c r="J8675" s="25" t="str">
        <f t="shared" si="106"/>
        <v>Yes - see Previous F-Code</v>
      </c>
      <c r="K8675" s="25" t="str">
        <f t="shared" si="107"/>
        <v/>
      </c>
      <c r="L8675" s="25" t="str">
        <f t="shared" si="108"/>
        <v>F75929</v>
      </c>
      <c r="M8675" s="25"/>
      <c r="O8675" s="25"/>
    </row>
    <row r="8676" ht="15.75" customHeight="1">
      <c r="A8676" s="25" t="str">
        <f>IFERROR(__xludf.DUMMYFUNCTION("IF(B8676="""","""",RIGHT(REGEXREPLACE(B8676&amp;"""",""[^0-9]"",""""),9))"),"769365517")</f>
        <v>769365517</v>
      </c>
      <c r="B8676" s="52">
        <v>7.69365517E8</v>
      </c>
      <c r="C8676" s="28" t="s">
        <v>8799</v>
      </c>
      <c r="D8676" s="26" t="s">
        <v>56</v>
      </c>
      <c r="E8676" s="31">
        <v>46248.0</v>
      </c>
      <c r="F8676" s="26" t="s">
        <v>46</v>
      </c>
      <c r="G8676" s="26">
        <v>11.0</v>
      </c>
      <c r="H8676" s="26" t="s">
        <v>8436</v>
      </c>
      <c r="I8676" s="26" t="s">
        <v>931</v>
      </c>
      <c r="J8676" s="25" t="str">
        <f t="shared" si="106"/>
        <v>No</v>
      </c>
      <c r="K8676" s="25" t="str">
        <f t="shared" si="107"/>
        <v/>
      </c>
      <c r="L8676" s="25" t="str">
        <f t="shared" si="108"/>
        <v/>
      </c>
      <c r="M8676" s="25"/>
      <c r="O8676" s="25"/>
    </row>
    <row r="8677" ht="15.75" customHeight="1">
      <c r="A8677" s="25" t="str">
        <f>IFERROR(__xludf.DUMMYFUNCTION("IF(B8677="""","""",RIGHT(REGEXREPLACE(B8677&amp;"""",""[^0-9]"",""""),9))"),"779039313")</f>
        <v>779039313</v>
      </c>
      <c r="B8677" s="52">
        <v>7.79039313E8</v>
      </c>
      <c r="C8677" s="28" t="s">
        <v>8800</v>
      </c>
      <c r="D8677" s="26" t="s">
        <v>56</v>
      </c>
      <c r="E8677" s="31">
        <v>46248.0</v>
      </c>
      <c r="F8677" s="26" t="s">
        <v>46</v>
      </c>
      <c r="G8677" s="26">
        <v>9.0</v>
      </c>
      <c r="H8677" s="26" t="s">
        <v>8801</v>
      </c>
      <c r="I8677" s="26" t="s">
        <v>931</v>
      </c>
      <c r="J8677" s="25" t="str">
        <f t="shared" si="106"/>
        <v>No</v>
      </c>
      <c r="K8677" s="25" t="str">
        <f t="shared" si="107"/>
        <v/>
      </c>
      <c r="L8677" s="25" t="str">
        <f t="shared" si="108"/>
        <v/>
      </c>
      <c r="M8677" s="25"/>
      <c r="O8677" s="25"/>
    </row>
    <row r="8678" ht="15.75" customHeight="1">
      <c r="A8678" s="25" t="str">
        <f>IFERROR(__xludf.DUMMYFUNCTION("IF(B8678="""","""",RIGHT(REGEXREPLACE(B8678&amp;"""",""[^0-9]"",""""),9))"),"773663938")</f>
        <v>773663938</v>
      </c>
      <c r="B8678" s="52">
        <v>7.73663938E8</v>
      </c>
      <c r="C8678" s="28" t="s">
        <v>8802</v>
      </c>
      <c r="D8678" s="26" t="s">
        <v>56</v>
      </c>
      <c r="E8678" s="31">
        <v>46248.0</v>
      </c>
      <c r="F8678" s="26" t="s">
        <v>46</v>
      </c>
      <c r="G8678" s="26">
        <v>11.0</v>
      </c>
      <c r="H8678" s="26" t="s">
        <v>8803</v>
      </c>
      <c r="I8678" s="26" t="s">
        <v>931</v>
      </c>
      <c r="J8678" s="25" t="str">
        <f t="shared" si="106"/>
        <v>No</v>
      </c>
      <c r="K8678" s="25" t="str">
        <f t="shared" si="107"/>
        <v/>
      </c>
      <c r="L8678" s="25" t="str">
        <f t="shared" si="108"/>
        <v/>
      </c>
      <c r="M8678" s="25"/>
      <c r="O8678" s="25"/>
    </row>
    <row r="8679" ht="15.75" customHeight="1">
      <c r="A8679" s="25" t="str">
        <f>IFERROR(__xludf.DUMMYFUNCTION("IF(B8679="""","""",RIGHT(REGEXREPLACE(B8679&amp;"""",""[^0-9]"",""""),9))"),"770584418")</f>
        <v>770584418</v>
      </c>
      <c r="B8679" s="52">
        <v>7.70584418E8</v>
      </c>
      <c r="C8679" s="28" t="s">
        <v>8804</v>
      </c>
      <c r="D8679" s="26" t="s">
        <v>56</v>
      </c>
      <c r="E8679" s="31">
        <v>46248.0</v>
      </c>
      <c r="F8679" s="26" t="s">
        <v>205</v>
      </c>
      <c r="H8679" s="26" t="s">
        <v>8436</v>
      </c>
      <c r="I8679" s="26" t="s">
        <v>931</v>
      </c>
      <c r="J8679" s="25" t="str">
        <f t="shared" si="106"/>
        <v>No</v>
      </c>
      <c r="K8679" s="25" t="str">
        <f t="shared" si="107"/>
        <v/>
      </c>
      <c r="L8679" s="25" t="str">
        <f t="shared" si="108"/>
        <v/>
      </c>
      <c r="M8679" s="25"/>
      <c r="O8679" s="25"/>
    </row>
    <row r="8680" ht="15.75" customHeight="1">
      <c r="A8680" s="25" t="str">
        <f>IFERROR(__xludf.DUMMYFUNCTION("IF(B8680="""","""",RIGHT(REGEXREPLACE(B8680&amp;"""",""[^0-9]"",""""),9))"),"766447988")</f>
        <v>766447988</v>
      </c>
      <c r="B8680" s="52">
        <v>7.66447988E8</v>
      </c>
      <c r="C8680" s="28" t="s">
        <v>8805</v>
      </c>
      <c r="D8680" s="26" t="s">
        <v>56</v>
      </c>
      <c r="E8680" s="31">
        <v>46248.0</v>
      </c>
      <c r="F8680" s="26" t="s">
        <v>659</v>
      </c>
      <c r="I8680" s="26" t="s">
        <v>931</v>
      </c>
      <c r="J8680" s="25" t="str">
        <f t="shared" si="106"/>
        <v>No</v>
      </c>
      <c r="K8680" s="25" t="str">
        <f t="shared" si="107"/>
        <v/>
      </c>
      <c r="L8680" s="25" t="str">
        <f t="shared" si="108"/>
        <v/>
      </c>
      <c r="M8680" s="25"/>
      <c r="O8680" s="25"/>
    </row>
    <row r="8681" ht="15.75" customHeight="1">
      <c r="A8681" s="25" t="str">
        <f>IFERROR(__xludf.DUMMYFUNCTION("IF(B8681="""","""",RIGHT(REGEXREPLACE(B8681&amp;"""",""[^0-9]"",""""),9))"),"723821621")</f>
        <v>723821621</v>
      </c>
      <c r="B8681" s="52">
        <v>7.23821621E8</v>
      </c>
      <c r="C8681" s="28" t="s">
        <v>8806</v>
      </c>
      <c r="D8681" s="26" t="s">
        <v>56</v>
      </c>
      <c r="E8681" s="31">
        <v>46248.0</v>
      </c>
      <c r="F8681" s="26" t="s">
        <v>46</v>
      </c>
      <c r="G8681" s="26">
        <v>11.0</v>
      </c>
      <c r="I8681" s="26" t="s">
        <v>931</v>
      </c>
      <c r="J8681" s="25" t="str">
        <f t="shared" si="106"/>
        <v>No</v>
      </c>
      <c r="K8681" s="25" t="str">
        <f t="shared" si="107"/>
        <v/>
      </c>
      <c r="L8681" s="25" t="str">
        <f t="shared" si="108"/>
        <v/>
      </c>
      <c r="M8681" s="25"/>
      <c r="O8681" s="25"/>
    </row>
    <row r="8682" ht="15.75" customHeight="1">
      <c r="A8682" s="25" t="str">
        <f>IFERROR(__xludf.DUMMYFUNCTION("IF(B8682="""","""",RIGHT(REGEXREPLACE(B8682&amp;"""",""[^0-9]"",""""),9))"),"788847216")</f>
        <v>788847216</v>
      </c>
      <c r="B8682" s="52">
        <v>7.88847216E8</v>
      </c>
      <c r="C8682" s="28" t="s">
        <v>8807</v>
      </c>
      <c r="D8682" s="26" t="s">
        <v>56</v>
      </c>
      <c r="E8682" s="31">
        <v>46248.0</v>
      </c>
      <c r="F8682" s="26" t="s">
        <v>205</v>
      </c>
      <c r="I8682" s="26" t="s">
        <v>931</v>
      </c>
      <c r="J8682" s="25" t="str">
        <f t="shared" si="106"/>
        <v>No</v>
      </c>
      <c r="K8682" s="25" t="str">
        <f t="shared" si="107"/>
        <v/>
      </c>
      <c r="L8682" s="25" t="str">
        <f t="shared" si="108"/>
        <v/>
      </c>
      <c r="M8682" s="25"/>
      <c r="O8682" s="25"/>
    </row>
    <row r="8683" ht="15.75" customHeight="1">
      <c r="A8683" s="25" t="str">
        <f>IFERROR(__xludf.DUMMYFUNCTION("IF(B8683="""","""",RIGHT(REGEXREPLACE(B8683&amp;"""",""[^0-9]"",""""),9))"),"719707346")</f>
        <v>719707346</v>
      </c>
      <c r="B8683" s="52">
        <v>7.19707346E8</v>
      </c>
      <c r="C8683" s="28" t="s">
        <v>6012</v>
      </c>
      <c r="D8683" s="26" t="s">
        <v>56</v>
      </c>
      <c r="E8683" s="31">
        <v>46248.0</v>
      </c>
      <c r="F8683" s="26" t="s">
        <v>46</v>
      </c>
      <c r="H8683" s="26" t="s">
        <v>6520</v>
      </c>
      <c r="I8683" s="26" t="s">
        <v>931</v>
      </c>
      <c r="J8683" s="25" t="str">
        <f t="shared" si="106"/>
        <v>Yes - see Previous F-Code</v>
      </c>
      <c r="K8683" s="25" t="str">
        <f t="shared" si="107"/>
        <v/>
      </c>
      <c r="L8683" s="25" t="str">
        <f t="shared" si="108"/>
        <v>F75427</v>
      </c>
      <c r="M8683" s="25"/>
      <c r="O8683" s="25"/>
    </row>
    <row r="8684" ht="15.75" customHeight="1">
      <c r="A8684" s="25" t="str">
        <f>IFERROR(__xludf.DUMMYFUNCTION("IF(B8684="""","""",RIGHT(REGEXREPLACE(B8684&amp;"""",""[^0-9]"",""""),9))"),"762562028")</f>
        <v>762562028</v>
      </c>
      <c r="B8684" s="52">
        <v>7.62562028E8</v>
      </c>
      <c r="C8684" s="28" t="s">
        <v>8808</v>
      </c>
      <c r="D8684" s="26" t="s">
        <v>56</v>
      </c>
      <c r="E8684" s="31">
        <v>46248.0</v>
      </c>
      <c r="F8684" s="26" t="s">
        <v>46</v>
      </c>
      <c r="H8684" s="26" t="s">
        <v>8436</v>
      </c>
      <c r="I8684" s="26" t="s">
        <v>931</v>
      </c>
      <c r="J8684" s="25" t="str">
        <f t="shared" si="106"/>
        <v>No</v>
      </c>
      <c r="K8684" s="25" t="str">
        <f t="shared" si="107"/>
        <v/>
      </c>
      <c r="L8684" s="25" t="str">
        <f t="shared" si="108"/>
        <v/>
      </c>
      <c r="M8684" s="25"/>
      <c r="O8684" s="25"/>
    </row>
    <row r="8685" ht="15.75" customHeight="1">
      <c r="A8685" s="25" t="str">
        <f>IFERROR(__xludf.DUMMYFUNCTION("IF(B8685="""","""",RIGHT(REGEXREPLACE(B8685&amp;"""",""[^0-9]"",""""),9))"),"779039313")</f>
        <v>779039313</v>
      </c>
      <c r="B8685" s="52">
        <v>7.79039313E8</v>
      </c>
      <c r="C8685" s="28" t="s">
        <v>8809</v>
      </c>
      <c r="D8685" s="26" t="s">
        <v>56</v>
      </c>
      <c r="E8685" s="31">
        <v>46248.0</v>
      </c>
      <c r="F8685" s="26" t="s">
        <v>41</v>
      </c>
      <c r="H8685" s="26" t="s">
        <v>8436</v>
      </c>
      <c r="I8685" s="26" t="s">
        <v>931</v>
      </c>
      <c r="J8685" s="25" t="str">
        <f t="shared" si="106"/>
        <v>Yes - see Previous F-Code</v>
      </c>
      <c r="K8685" s="25" t="str">
        <f t="shared" si="107"/>
        <v>DUPLICATE - CHECK</v>
      </c>
      <c r="L8685" s="25" t="str">
        <f t="shared" si="108"/>
        <v>F77677</v>
      </c>
      <c r="M8685" s="25"/>
      <c r="O8685" s="25"/>
    </row>
    <row r="8686" ht="15.75" customHeight="1">
      <c r="A8686" s="25" t="str">
        <f>IFERROR(__xludf.DUMMYFUNCTION("IF(B8686="""","""",RIGHT(REGEXREPLACE(B8686&amp;"""",""[^0-9]"",""""),9))"),"774038612")</f>
        <v>774038612</v>
      </c>
      <c r="B8686" s="52">
        <v>7.74038612E8</v>
      </c>
      <c r="C8686" s="28" t="s">
        <v>8786</v>
      </c>
      <c r="D8686" s="26" t="s">
        <v>56</v>
      </c>
      <c r="E8686" s="31">
        <v>46248.0</v>
      </c>
      <c r="F8686" s="26" t="s">
        <v>205</v>
      </c>
      <c r="G8686" s="26">
        <v>10.0</v>
      </c>
      <c r="I8686" s="26" t="s">
        <v>931</v>
      </c>
      <c r="J8686" s="25" t="str">
        <f t="shared" si="106"/>
        <v>Yes - see Previous F-Code</v>
      </c>
      <c r="K8686" s="25" t="str">
        <f t="shared" si="107"/>
        <v>DUPLICATE - CHECK</v>
      </c>
      <c r="L8686" s="25" t="str">
        <f t="shared" si="108"/>
        <v>F77472</v>
      </c>
      <c r="M8686" s="25"/>
      <c r="O8686" s="25"/>
    </row>
    <row r="8687" ht="15.75" customHeight="1">
      <c r="A8687" s="25" t="str">
        <f>IFERROR(__xludf.DUMMYFUNCTION("IF(B8687="""","""",RIGHT(REGEXREPLACE(B8687&amp;"""",""[^0-9]"",""""),9))"),"742415422")</f>
        <v>742415422</v>
      </c>
      <c r="B8687" s="52">
        <v>7.42415422E8</v>
      </c>
      <c r="C8687" s="28" t="s">
        <v>6173</v>
      </c>
      <c r="D8687" s="26" t="s">
        <v>56</v>
      </c>
      <c r="E8687" s="31">
        <v>46248.0</v>
      </c>
      <c r="F8687" s="26" t="s">
        <v>205</v>
      </c>
      <c r="G8687" s="26">
        <v>8.0</v>
      </c>
      <c r="I8687" s="26" t="s">
        <v>931</v>
      </c>
      <c r="J8687" s="25" t="str">
        <f t="shared" si="106"/>
        <v>Yes - see Previous F-Code</v>
      </c>
      <c r="K8687" s="25" t="str">
        <f t="shared" si="107"/>
        <v/>
      </c>
      <c r="L8687" s="25" t="str">
        <f t="shared" si="108"/>
        <v>F75575</v>
      </c>
      <c r="M8687" s="25"/>
      <c r="O8687" s="25"/>
    </row>
    <row r="8688" ht="15.75" customHeight="1">
      <c r="A8688" s="25" t="str">
        <f>IFERROR(__xludf.DUMMYFUNCTION("IF(B8688="""","""",RIGHT(REGEXREPLACE(B8688&amp;"""",""[^0-9]"",""""),9))"),"711863437")</f>
        <v>711863437</v>
      </c>
      <c r="B8688" s="52">
        <v>7.11863437E8</v>
      </c>
      <c r="C8688" s="28" t="s">
        <v>5775</v>
      </c>
      <c r="D8688" s="26" t="s">
        <v>56</v>
      </c>
      <c r="E8688" s="31">
        <v>46248.0</v>
      </c>
      <c r="F8688" s="26" t="s">
        <v>41</v>
      </c>
      <c r="G8688" s="26">
        <v>8.0</v>
      </c>
      <c r="I8688" s="26" t="s">
        <v>931</v>
      </c>
      <c r="J8688" s="25" t="str">
        <f t="shared" si="106"/>
        <v>Yes - see Previous F-Code</v>
      </c>
      <c r="K8688" s="25" t="str">
        <f t="shared" si="107"/>
        <v/>
      </c>
      <c r="L8688" s="25" t="str">
        <f t="shared" si="108"/>
        <v>F75215</v>
      </c>
      <c r="M8688" s="25"/>
      <c r="O8688" s="25"/>
    </row>
    <row r="8689" ht="15.75" customHeight="1">
      <c r="A8689" s="25" t="str">
        <f>IFERROR(__xludf.DUMMYFUNCTION("IF(B8689="""","""",RIGHT(REGEXREPLACE(B8689&amp;"""",""[^0-9]"",""""),9))"),"774491259")</f>
        <v>774491259</v>
      </c>
      <c r="B8689" s="52">
        <v>7.74491259E8</v>
      </c>
      <c r="C8689" s="28" t="s">
        <v>8810</v>
      </c>
      <c r="D8689" s="26" t="s">
        <v>56</v>
      </c>
      <c r="E8689" s="31">
        <v>46249.0</v>
      </c>
      <c r="F8689" s="26" t="s">
        <v>41</v>
      </c>
      <c r="G8689" s="26">
        <v>11.0</v>
      </c>
      <c r="I8689" s="26" t="s">
        <v>931</v>
      </c>
      <c r="J8689" s="25" t="str">
        <f t="shared" si="106"/>
        <v>No</v>
      </c>
      <c r="K8689" s="25" t="str">
        <f t="shared" si="107"/>
        <v/>
      </c>
      <c r="L8689" s="25" t="str">
        <f t="shared" si="108"/>
        <v/>
      </c>
      <c r="M8689" s="25"/>
      <c r="O8689" s="25"/>
    </row>
    <row r="8690" ht="15.75" customHeight="1">
      <c r="A8690" s="25" t="str">
        <f>IFERROR(__xludf.DUMMYFUNCTION("IF(B8690="""","""",RIGHT(REGEXREPLACE(B8690&amp;"""",""[^0-9]"",""""),9))"),"767164450")</f>
        <v>767164450</v>
      </c>
      <c r="B8690" s="52">
        <v>7.6716445E8</v>
      </c>
      <c r="C8690" s="28" t="s">
        <v>8811</v>
      </c>
      <c r="D8690" s="26" t="s">
        <v>56</v>
      </c>
      <c r="E8690" s="31">
        <v>46249.0</v>
      </c>
      <c r="F8690" s="26" t="s">
        <v>46</v>
      </c>
      <c r="G8690" s="26">
        <v>8.0</v>
      </c>
      <c r="H8690" s="26" t="s">
        <v>8812</v>
      </c>
      <c r="I8690" s="26" t="s">
        <v>931</v>
      </c>
      <c r="J8690" s="25" t="str">
        <f t="shared" si="106"/>
        <v>No</v>
      </c>
      <c r="K8690" s="25" t="str">
        <f t="shared" si="107"/>
        <v/>
      </c>
      <c r="L8690" s="25" t="str">
        <f t="shared" si="108"/>
        <v/>
      </c>
      <c r="M8690" s="25"/>
      <c r="O8690" s="26" t="s">
        <v>51</v>
      </c>
    </row>
    <row r="8691" ht="15.75" customHeight="1">
      <c r="A8691" s="25" t="str">
        <f>IFERROR(__xludf.DUMMYFUNCTION("IF(B8691="""","""",RIGHT(REGEXREPLACE(B8691&amp;"""",""[^0-9]"",""""),9))"),"740862287")</f>
        <v>740862287</v>
      </c>
      <c r="B8691" s="52">
        <v>7.40862287E8</v>
      </c>
      <c r="C8691" s="28" t="s">
        <v>8813</v>
      </c>
      <c r="D8691" s="26" t="s">
        <v>56</v>
      </c>
      <c r="E8691" s="31">
        <v>46249.0</v>
      </c>
      <c r="F8691" s="26" t="s">
        <v>205</v>
      </c>
      <c r="G8691" s="26">
        <v>8.0</v>
      </c>
      <c r="I8691" s="26" t="s">
        <v>931</v>
      </c>
      <c r="J8691" s="25" t="str">
        <f t="shared" si="106"/>
        <v>No</v>
      </c>
      <c r="K8691" s="25" t="str">
        <f t="shared" si="107"/>
        <v/>
      </c>
      <c r="L8691" s="25" t="str">
        <f t="shared" si="108"/>
        <v/>
      </c>
      <c r="M8691" s="25"/>
      <c r="O8691" s="25"/>
    </row>
    <row r="8692" ht="15.75" customHeight="1">
      <c r="A8692" s="25" t="str">
        <f>IFERROR(__xludf.DUMMYFUNCTION("IF(B8692="""","""",RIGHT(REGEXREPLACE(B8692&amp;"""",""[^0-9]"",""""),9))"),"763364571")</f>
        <v>763364571</v>
      </c>
      <c r="B8692" s="52">
        <v>7.63364571E8</v>
      </c>
      <c r="C8692" s="28" t="s">
        <v>8814</v>
      </c>
      <c r="D8692" s="26" t="s">
        <v>56</v>
      </c>
      <c r="E8692" s="31">
        <v>46249.0</v>
      </c>
      <c r="F8692" s="26" t="s">
        <v>46</v>
      </c>
      <c r="G8692" s="26">
        <v>7.0</v>
      </c>
      <c r="I8692" s="26" t="s">
        <v>931</v>
      </c>
      <c r="J8692" s="25" t="str">
        <f t="shared" si="106"/>
        <v>No</v>
      </c>
      <c r="K8692" s="25" t="str">
        <f t="shared" si="107"/>
        <v/>
      </c>
      <c r="L8692" s="25" t="str">
        <f t="shared" si="108"/>
        <v/>
      </c>
      <c r="M8692" s="25"/>
      <c r="O8692" s="25"/>
    </row>
    <row r="8693" ht="15.75" customHeight="1">
      <c r="A8693" s="25" t="str">
        <f>IFERROR(__xludf.DUMMYFUNCTION("IF(B8693="""","""",RIGHT(REGEXREPLACE(B8693&amp;"""",""[^0-9]"",""""),9))"),"766722161")</f>
        <v>766722161</v>
      </c>
      <c r="B8693" s="52">
        <v>7.66722161E8</v>
      </c>
      <c r="C8693" s="28" t="s">
        <v>8815</v>
      </c>
      <c r="D8693" s="26" t="s">
        <v>56</v>
      </c>
      <c r="E8693" s="31">
        <v>46249.0</v>
      </c>
      <c r="F8693" s="26" t="s">
        <v>41</v>
      </c>
      <c r="H8693" s="26" t="s">
        <v>8436</v>
      </c>
      <c r="I8693" s="26" t="s">
        <v>931</v>
      </c>
      <c r="J8693" s="25" t="str">
        <f t="shared" si="106"/>
        <v>No</v>
      </c>
      <c r="K8693" s="25" t="str">
        <f t="shared" si="107"/>
        <v/>
      </c>
      <c r="L8693" s="25" t="str">
        <f t="shared" si="108"/>
        <v/>
      </c>
      <c r="M8693" s="25"/>
      <c r="O8693" s="25"/>
    </row>
    <row r="8694" ht="15.75" customHeight="1">
      <c r="A8694" s="25" t="str">
        <f>IFERROR(__xludf.DUMMYFUNCTION("IF(B8694="""","""",RIGHT(REGEXREPLACE(B8694&amp;"""",""[^0-9]"",""""),9))"),"716963318")</f>
        <v>716963318</v>
      </c>
      <c r="B8694" s="26" t="s">
        <v>8816</v>
      </c>
      <c r="C8694" s="28" t="s">
        <v>8817</v>
      </c>
      <c r="D8694" s="26" t="s">
        <v>45</v>
      </c>
      <c r="E8694" s="31">
        <v>46247.0</v>
      </c>
      <c r="F8694" s="26" t="s">
        <v>41</v>
      </c>
      <c r="G8694" s="26">
        <v>6.0</v>
      </c>
      <c r="H8694" s="26" t="s">
        <v>8818</v>
      </c>
      <c r="I8694" s="26" t="s">
        <v>911</v>
      </c>
      <c r="J8694" s="25" t="str">
        <f t="shared" si="106"/>
        <v>No</v>
      </c>
      <c r="K8694" s="25" t="str">
        <f t="shared" si="107"/>
        <v/>
      </c>
      <c r="L8694" s="25" t="str">
        <f t="shared" si="108"/>
        <v/>
      </c>
      <c r="M8694" s="25"/>
      <c r="O8694" s="25"/>
    </row>
    <row r="8695" ht="15.75" customHeight="1">
      <c r="A8695" s="25" t="str">
        <f>IFERROR(__xludf.DUMMYFUNCTION("IF(B8695="""","""",RIGHT(REGEXREPLACE(B8695&amp;"""",""[^0-9]"",""""),9))"),"712031898")</f>
        <v>712031898</v>
      </c>
      <c r="B8695" s="26" t="s">
        <v>8819</v>
      </c>
      <c r="C8695" s="28" t="s">
        <v>8820</v>
      </c>
      <c r="D8695" s="26" t="s">
        <v>56</v>
      </c>
      <c r="E8695" s="31">
        <v>46247.0</v>
      </c>
      <c r="F8695" s="26" t="s">
        <v>41</v>
      </c>
      <c r="G8695" s="26">
        <v>8.0</v>
      </c>
      <c r="I8695" s="26" t="s">
        <v>911</v>
      </c>
      <c r="J8695" s="25" t="str">
        <f t="shared" si="106"/>
        <v>No</v>
      </c>
      <c r="K8695" s="25" t="str">
        <f t="shared" si="107"/>
        <v/>
      </c>
      <c r="L8695" s="25" t="str">
        <f t="shared" si="108"/>
        <v/>
      </c>
      <c r="M8695" s="25"/>
      <c r="O8695" s="25"/>
    </row>
    <row r="8696" ht="15.75" customHeight="1">
      <c r="A8696" s="25" t="str">
        <f>IFERROR(__xludf.DUMMYFUNCTION("IF(B8696="""","""",RIGHT(REGEXREPLACE(B8696&amp;"""",""[^0-9]"",""""),9))"),"712048906")</f>
        <v>712048906</v>
      </c>
      <c r="B8696" s="26" t="s">
        <v>8821</v>
      </c>
      <c r="C8696" s="28" t="s">
        <v>8822</v>
      </c>
      <c r="D8696" s="26" t="s">
        <v>45</v>
      </c>
      <c r="E8696" s="31">
        <v>46247.0</v>
      </c>
      <c r="F8696" s="26" t="s">
        <v>41</v>
      </c>
      <c r="I8696" s="26" t="s">
        <v>911</v>
      </c>
      <c r="J8696" s="25" t="str">
        <f t="shared" si="106"/>
        <v>No</v>
      </c>
      <c r="K8696" s="25" t="str">
        <f t="shared" si="107"/>
        <v/>
      </c>
      <c r="L8696" s="25" t="str">
        <f t="shared" si="108"/>
        <v/>
      </c>
      <c r="M8696" s="25"/>
      <c r="O8696" s="25"/>
    </row>
    <row r="8697" ht="15.75" customHeight="1">
      <c r="A8697" s="25" t="str">
        <f>IFERROR(__xludf.DUMMYFUNCTION("IF(B8697="""","""",RIGHT(REGEXREPLACE(B8697&amp;"""",""[^0-9]"",""""),9))"),"763103209")</f>
        <v>763103209</v>
      </c>
      <c r="B8697" s="26" t="s">
        <v>8823</v>
      </c>
      <c r="C8697" s="28" t="s">
        <v>8336</v>
      </c>
      <c r="D8697" s="26" t="s">
        <v>45</v>
      </c>
      <c r="E8697" s="31">
        <v>46247.0</v>
      </c>
      <c r="F8697" s="26" t="s">
        <v>46</v>
      </c>
      <c r="G8697" s="26">
        <v>8.0</v>
      </c>
      <c r="H8697" s="117" t="s">
        <v>8824</v>
      </c>
      <c r="I8697" s="26" t="s">
        <v>911</v>
      </c>
      <c r="J8697" s="25" t="str">
        <f t="shared" si="106"/>
        <v>Yes - see Previous F-Code</v>
      </c>
      <c r="K8697" s="25" t="str">
        <f t="shared" si="107"/>
        <v/>
      </c>
      <c r="L8697" s="25" t="str">
        <f t="shared" si="108"/>
        <v>F77117</v>
      </c>
      <c r="M8697" s="25"/>
      <c r="O8697" s="25"/>
    </row>
    <row r="8698" ht="15.75" customHeight="1">
      <c r="A8698" s="25" t="str">
        <f>IFERROR(__xludf.DUMMYFUNCTION("IF(B8698="""","""",RIGHT(REGEXREPLACE(B8698&amp;"""",""[^0-9]"",""""),9))"),"711557819")</f>
        <v>711557819</v>
      </c>
      <c r="B8698" s="26" t="s">
        <v>8825</v>
      </c>
      <c r="C8698" s="28" t="s">
        <v>8826</v>
      </c>
      <c r="D8698" s="26" t="s">
        <v>45</v>
      </c>
      <c r="E8698" s="31">
        <v>46247.0</v>
      </c>
      <c r="F8698" s="26" t="s">
        <v>46</v>
      </c>
      <c r="G8698" s="26">
        <v>10.0</v>
      </c>
      <c r="I8698" s="26" t="s">
        <v>911</v>
      </c>
      <c r="J8698" s="25" t="str">
        <f t="shared" si="106"/>
        <v>No</v>
      </c>
      <c r="K8698" s="25" t="str">
        <f t="shared" si="107"/>
        <v/>
      </c>
      <c r="L8698" s="25" t="str">
        <f t="shared" si="108"/>
        <v/>
      </c>
      <c r="M8698" s="25"/>
      <c r="O8698" s="25"/>
    </row>
    <row r="8699" ht="15.75" customHeight="1">
      <c r="A8699" s="25" t="str">
        <f>IFERROR(__xludf.DUMMYFUNCTION("IF(B8699="""","""",RIGHT(REGEXREPLACE(B8699&amp;"""",""[^0-9]"",""""),9))"),"772577694")</f>
        <v>772577694</v>
      </c>
      <c r="B8699" s="26" t="s">
        <v>8827</v>
      </c>
      <c r="C8699" s="28" t="s">
        <v>8828</v>
      </c>
      <c r="D8699" s="26" t="s">
        <v>45</v>
      </c>
      <c r="E8699" s="31">
        <v>46247.0</v>
      </c>
      <c r="F8699" s="26" t="s">
        <v>46</v>
      </c>
      <c r="G8699" s="26">
        <v>11.0</v>
      </c>
      <c r="H8699" s="26" t="s">
        <v>8829</v>
      </c>
      <c r="I8699" s="26" t="s">
        <v>911</v>
      </c>
      <c r="J8699" s="25" t="str">
        <f t="shared" si="106"/>
        <v>No</v>
      </c>
      <c r="K8699" s="25" t="str">
        <f t="shared" si="107"/>
        <v/>
      </c>
      <c r="L8699" s="25" t="str">
        <f t="shared" si="108"/>
        <v/>
      </c>
      <c r="M8699" s="25"/>
      <c r="O8699" s="25"/>
    </row>
    <row r="8700" ht="15.75" customHeight="1">
      <c r="A8700" s="25" t="str">
        <f>IFERROR(__xludf.DUMMYFUNCTION("IF(B8700="""","""",RIGHT(REGEXREPLACE(B8700&amp;"""",""[^0-9]"",""""),9))"),"775490409")</f>
        <v>775490409</v>
      </c>
      <c r="B8700" s="26" t="s">
        <v>8830</v>
      </c>
      <c r="C8700" s="28" t="s">
        <v>8831</v>
      </c>
      <c r="D8700" s="26" t="s">
        <v>45</v>
      </c>
      <c r="E8700" s="31">
        <v>46247.0</v>
      </c>
      <c r="F8700" s="26" t="s">
        <v>46</v>
      </c>
      <c r="G8700" s="26">
        <v>6.0</v>
      </c>
      <c r="I8700" s="26" t="s">
        <v>911</v>
      </c>
      <c r="J8700" s="25" t="str">
        <f t="shared" si="106"/>
        <v>No</v>
      </c>
      <c r="K8700" s="25" t="str">
        <f t="shared" si="107"/>
        <v/>
      </c>
      <c r="L8700" s="25" t="str">
        <f t="shared" si="108"/>
        <v/>
      </c>
      <c r="M8700" s="25"/>
      <c r="O8700" s="25"/>
    </row>
    <row r="8701" ht="15.75" customHeight="1">
      <c r="A8701" s="25" t="str">
        <f>IFERROR(__xludf.DUMMYFUNCTION("IF(B8701="""","""",RIGHT(REGEXREPLACE(B8701&amp;"""",""[^0-9]"",""""),9))"),"779615277")</f>
        <v>779615277</v>
      </c>
      <c r="B8701" s="26" t="s">
        <v>8832</v>
      </c>
      <c r="C8701" s="28" t="s">
        <v>8833</v>
      </c>
      <c r="D8701" s="26" t="s">
        <v>45</v>
      </c>
      <c r="E8701" s="31">
        <v>46247.0</v>
      </c>
      <c r="F8701" s="26" t="s">
        <v>41</v>
      </c>
      <c r="G8701" s="26">
        <v>11.0</v>
      </c>
      <c r="I8701" s="26" t="s">
        <v>911</v>
      </c>
      <c r="J8701" s="25" t="str">
        <f t="shared" si="106"/>
        <v>No</v>
      </c>
      <c r="K8701" s="25" t="str">
        <f t="shared" si="107"/>
        <v/>
      </c>
      <c r="L8701" s="25" t="str">
        <f t="shared" si="108"/>
        <v/>
      </c>
      <c r="M8701" s="25"/>
      <c r="O8701" s="25"/>
    </row>
    <row r="8702" ht="15.75" customHeight="1">
      <c r="A8702" s="25" t="str">
        <f>IFERROR(__xludf.DUMMYFUNCTION("IF(B8702="""","""",RIGHT(REGEXREPLACE(B8702&amp;"""",""[^0-9]"",""""),9))"),"760211070")</f>
        <v>760211070</v>
      </c>
      <c r="B8702" s="26" t="s">
        <v>8834</v>
      </c>
      <c r="C8702" s="28" t="s">
        <v>8135</v>
      </c>
      <c r="D8702" s="26" t="s">
        <v>45</v>
      </c>
      <c r="E8702" s="31">
        <v>46247.0</v>
      </c>
      <c r="F8702" s="26" t="s">
        <v>41</v>
      </c>
      <c r="G8702" s="26">
        <v>11.0</v>
      </c>
      <c r="I8702" s="26" t="s">
        <v>911</v>
      </c>
      <c r="J8702" s="25" t="str">
        <f t="shared" si="106"/>
        <v>Yes - see Previous F-Code</v>
      </c>
      <c r="K8702" s="25" t="str">
        <f t="shared" si="107"/>
        <v/>
      </c>
      <c r="L8702" s="25" t="str">
        <f t="shared" si="108"/>
        <v>F76960</v>
      </c>
      <c r="M8702" s="25"/>
      <c r="O8702" s="25"/>
    </row>
    <row r="8703" ht="15.75" customHeight="1">
      <c r="A8703" s="25" t="str">
        <f>IFERROR(__xludf.DUMMYFUNCTION("IF(B8703="""","""",RIGHT(REGEXREPLACE(B8703&amp;"""",""[^0-9]"",""""),9))"),"765406906")</f>
        <v>765406906</v>
      </c>
      <c r="B8703" s="52">
        <v>7.65406906E8</v>
      </c>
      <c r="C8703" s="28" t="s">
        <v>8835</v>
      </c>
      <c r="D8703" s="26" t="s">
        <v>56</v>
      </c>
      <c r="E8703" s="31">
        <v>46247.0</v>
      </c>
      <c r="F8703" s="26" t="s">
        <v>41</v>
      </c>
      <c r="H8703" s="26" t="s">
        <v>8436</v>
      </c>
      <c r="I8703" s="26" t="s">
        <v>931</v>
      </c>
      <c r="J8703" s="25" t="str">
        <f t="shared" si="106"/>
        <v>No</v>
      </c>
      <c r="K8703" s="25" t="str">
        <f t="shared" si="107"/>
        <v/>
      </c>
      <c r="L8703" s="25" t="str">
        <f t="shared" si="108"/>
        <v/>
      </c>
      <c r="M8703" s="25"/>
      <c r="O8703" s="25"/>
    </row>
    <row r="8704" ht="15.75" customHeight="1">
      <c r="A8704" s="25" t="str">
        <f>IFERROR(__xludf.DUMMYFUNCTION("IF(B8704="""","""",RIGHT(REGEXREPLACE(B8704&amp;"""",""[^0-9]"",""""),9))"),"706086224")</f>
        <v>706086224</v>
      </c>
      <c r="B8704" s="52">
        <v>7.06086224E8</v>
      </c>
      <c r="C8704" s="28" t="s">
        <v>6439</v>
      </c>
      <c r="D8704" s="26" t="s">
        <v>56</v>
      </c>
      <c r="E8704" s="31">
        <v>46247.0</v>
      </c>
      <c r="F8704" s="26" t="s">
        <v>46</v>
      </c>
      <c r="H8704" s="26" t="s">
        <v>8836</v>
      </c>
      <c r="I8704" s="26" t="s">
        <v>931</v>
      </c>
      <c r="J8704" s="25" t="str">
        <f t="shared" si="106"/>
        <v>Yes - see Previous F-Code</v>
      </c>
      <c r="K8704" s="25" t="str">
        <f t="shared" si="107"/>
        <v>DUPLICATE - CHECK</v>
      </c>
      <c r="L8704" s="25" t="str">
        <f t="shared" si="108"/>
        <v>F75715</v>
      </c>
      <c r="M8704" s="25"/>
      <c r="O8704" s="25"/>
    </row>
    <row r="8705" ht="15.75" customHeight="1">
      <c r="A8705" s="25" t="str">
        <f>IFERROR(__xludf.DUMMYFUNCTION("IF(B8705="""","""",RIGHT(REGEXREPLACE(B8705&amp;"""",""[^0-9]"",""""),9))"),"713279443")</f>
        <v>713279443</v>
      </c>
      <c r="B8705" s="52">
        <v>7.13279443E8</v>
      </c>
      <c r="C8705" s="28" t="s">
        <v>8837</v>
      </c>
      <c r="D8705" s="26" t="s">
        <v>56</v>
      </c>
      <c r="E8705" s="31">
        <v>46247.0</v>
      </c>
      <c r="F8705" s="26" t="s">
        <v>46</v>
      </c>
      <c r="G8705" s="26">
        <v>11.0</v>
      </c>
      <c r="I8705" s="26" t="s">
        <v>931</v>
      </c>
      <c r="J8705" s="25" t="str">
        <f t="shared" si="106"/>
        <v>No</v>
      </c>
      <c r="K8705" s="25" t="str">
        <f t="shared" si="107"/>
        <v/>
      </c>
      <c r="L8705" s="25" t="str">
        <f t="shared" si="108"/>
        <v/>
      </c>
      <c r="M8705" s="25"/>
      <c r="O8705" s="25"/>
    </row>
    <row r="8706" ht="15.75" customHeight="1">
      <c r="A8706" s="25" t="str">
        <f>IFERROR(__xludf.DUMMYFUNCTION("IF(B8706="""","""",RIGHT(REGEXREPLACE(B8706&amp;"""",""[^0-9]"",""""),9))"),"705307142")</f>
        <v>705307142</v>
      </c>
      <c r="B8706" s="52">
        <v>7.05307142E8</v>
      </c>
      <c r="C8706" s="28" t="s">
        <v>8838</v>
      </c>
      <c r="D8706" s="26" t="s">
        <v>56</v>
      </c>
      <c r="E8706" s="31">
        <v>46247.0</v>
      </c>
      <c r="F8706" s="26" t="s">
        <v>125</v>
      </c>
      <c r="G8706" s="26">
        <v>8.0</v>
      </c>
      <c r="I8706" s="26" t="s">
        <v>931</v>
      </c>
      <c r="J8706" s="25" t="str">
        <f t="shared" si="106"/>
        <v>No</v>
      </c>
      <c r="K8706" s="25" t="str">
        <f t="shared" si="107"/>
        <v/>
      </c>
      <c r="L8706" s="25" t="str">
        <f t="shared" si="108"/>
        <v/>
      </c>
      <c r="M8706" s="25"/>
      <c r="O8706" s="26" t="s">
        <v>51</v>
      </c>
    </row>
    <row r="8707" ht="15.75" customHeight="1">
      <c r="A8707" s="25" t="str">
        <f>IFERROR(__xludf.DUMMYFUNCTION("IF(B8707="""","""",RIGHT(REGEXREPLACE(B8707&amp;"""",""[^0-9]"",""""),9))"),"775454840")</f>
        <v>775454840</v>
      </c>
      <c r="B8707" s="52">
        <v>7.7545484E8</v>
      </c>
      <c r="C8707" s="28" t="s">
        <v>8839</v>
      </c>
      <c r="D8707" s="26" t="s">
        <v>56</v>
      </c>
      <c r="E8707" s="31">
        <v>46247.0</v>
      </c>
      <c r="F8707" s="26" t="s">
        <v>205</v>
      </c>
      <c r="G8707" s="26">
        <v>10.0</v>
      </c>
      <c r="I8707" s="26" t="s">
        <v>931</v>
      </c>
      <c r="J8707" s="25" t="str">
        <f t="shared" si="106"/>
        <v>No</v>
      </c>
      <c r="K8707" s="25" t="str">
        <f t="shared" si="107"/>
        <v/>
      </c>
      <c r="L8707" s="25" t="str">
        <f t="shared" si="108"/>
        <v/>
      </c>
      <c r="M8707" s="25"/>
      <c r="O8707" s="25"/>
    </row>
    <row r="8708" ht="15.75" customHeight="1">
      <c r="A8708" s="25" t="str">
        <f>IFERROR(__xludf.DUMMYFUNCTION("IF(B8708="""","""",RIGHT(REGEXREPLACE(B8708&amp;"""",""[^0-9]"",""""),9))"),"720343317")</f>
        <v>720343317</v>
      </c>
      <c r="B8708" s="52">
        <v>7.20343317E8</v>
      </c>
      <c r="C8708" s="28" t="s">
        <v>8840</v>
      </c>
      <c r="D8708" s="26" t="s">
        <v>56</v>
      </c>
      <c r="E8708" s="31">
        <v>46247.0</v>
      </c>
      <c r="F8708" s="26" t="s">
        <v>46</v>
      </c>
      <c r="G8708" s="26">
        <v>8.0</v>
      </c>
      <c r="I8708" s="26" t="s">
        <v>931</v>
      </c>
      <c r="J8708" s="25" t="str">
        <f t="shared" si="106"/>
        <v>No</v>
      </c>
      <c r="K8708" s="25" t="str">
        <f t="shared" si="107"/>
        <v/>
      </c>
      <c r="L8708" s="25" t="str">
        <f t="shared" si="108"/>
        <v/>
      </c>
      <c r="M8708" s="25"/>
      <c r="O8708" s="25"/>
    </row>
    <row r="8709" ht="15.75" customHeight="1">
      <c r="A8709" s="25" t="str">
        <f>IFERROR(__xludf.DUMMYFUNCTION("IF(B8709="""","""",RIGHT(REGEXREPLACE(B8709&amp;"""",""[^0-9]"",""""),9))"),"765783687")</f>
        <v>765783687</v>
      </c>
      <c r="B8709" s="26" t="s">
        <v>8841</v>
      </c>
      <c r="C8709" s="28" t="s">
        <v>8842</v>
      </c>
      <c r="D8709" s="26" t="s">
        <v>45</v>
      </c>
      <c r="E8709" s="31">
        <v>46247.0</v>
      </c>
      <c r="F8709" s="26" t="s">
        <v>46</v>
      </c>
      <c r="G8709" s="26">
        <v>10.0</v>
      </c>
      <c r="I8709" s="26" t="s">
        <v>911</v>
      </c>
      <c r="J8709" s="25" t="str">
        <f t="shared" si="106"/>
        <v>No</v>
      </c>
      <c r="K8709" s="25" t="str">
        <f t="shared" si="107"/>
        <v/>
      </c>
      <c r="L8709" s="25" t="str">
        <f t="shared" si="108"/>
        <v/>
      </c>
      <c r="M8709" s="25"/>
      <c r="O8709" s="25"/>
    </row>
    <row r="8710" ht="15.75" customHeight="1">
      <c r="A8710" s="25" t="str">
        <f>IFERROR(__xludf.DUMMYFUNCTION("IF(B8710="""","""",RIGHT(REGEXREPLACE(B8710&amp;"""",""[^0-9]"",""""),9))"),"701272538")</f>
        <v>701272538</v>
      </c>
      <c r="B8710" s="26" t="s">
        <v>8843</v>
      </c>
      <c r="C8710" s="28" t="s">
        <v>8844</v>
      </c>
      <c r="D8710" s="26" t="s">
        <v>45</v>
      </c>
      <c r="E8710" s="31">
        <v>46247.0</v>
      </c>
      <c r="F8710" s="26" t="s">
        <v>41</v>
      </c>
      <c r="I8710" s="26" t="s">
        <v>911</v>
      </c>
      <c r="J8710" s="25" t="str">
        <f t="shared" si="106"/>
        <v>No</v>
      </c>
      <c r="K8710" s="25" t="str">
        <f t="shared" si="107"/>
        <v/>
      </c>
      <c r="L8710" s="25" t="str">
        <f t="shared" si="108"/>
        <v/>
      </c>
      <c r="M8710" s="25"/>
      <c r="O8710" s="25"/>
    </row>
    <row r="8711" ht="15.75" customHeight="1">
      <c r="A8711" s="25" t="str">
        <f>IFERROR(__xludf.DUMMYFUNCTION("IF(B8711="""","""",RIGHT(REGEXREPLACE(B8711&amp;"""",""[^0-9]"",""""),9))"),"717046591")</f>
        <v>717046591</v>
      </c>
      <c r="B8711" s="26" t="s">
        <v>8845</v>
      </c>
      <c r="C8711" s="28" t="s">
        <v>8846</v>
      </c>
      <c r="D8711" s="26" t="s">
        <v>45</v>
      </c>
      <c r="E8711" s="31">
        <v>46247.0</v>
      </c>
      <c r="F8711" s="26" t="s">
        <v>46</v>
      </c>
      <c r="G8711" s="26">
        <v>10.0</v>
      </c>
      <c r="I8711" s="26" t="s">
        <v>911</v>
      </c>
      <c r="J8711" s="25" t="str">
        <f t="shared" si="106"/>
        <v>No</v>
      </c>
      <c r="K8711" s="25" t="str">
        <f t="shared" si="107"/>
        <v/>
      </c>
      <c r="L8711" s="25" t="str">
        <f t="shared" si="108"/>
        <v/>
      </c>
      <c r="M8711" s="25"/>
      <c r="O8711" s="25"/>
    </row>
    <row r="8712" ht="15.75" customHeight="1">
      <c r="A8712" s="25" t="str">
        <f>IFERROR(__xludf.DUMMYFUNCTION("IF(B8712="""","""",RIGHT(REGEXREPLACE(B8712&amp;"""",""[^0-9]"",""""),9))"),"773228298")</f>
        <v>773228298</v>
      </c>
      <c r="B8712" s="26" t="s">
        <v>8847</v>
      </c>
      <c r="C8712" s="28" t="s">
        <v>8848</v>
      </c>
      <c r="D8712" s="26" t="s">
        <v>45</v>
      </c>
      <c r="E8712" s="31">
        <v>46247.0</v>
      </c>
      <c r="F8712" s="26" t="s">
        <v>41</v>
      </c>
      <c r="G8712" s="26">
        <v>7.0</v>
      </c>
      <c r="I8712" s="26" t="s">
        <v>911</v>
      </c>
      <c r="J8712" s="25" t="str">
        <f t="shared" si="106"/>
        <v>No</v>
      </c>
      <c r="K8712" s="25" t="str">
        <f t="shared" si="107"/>
        <v/>
      </c>
      <c r="L8712" s="25" t="str">
        <f t="shared" si="108"/>
        <v/>
      </c>
      <c r="M8712" s="25"/>
      <c r="O8712" s="25"/>
    </row>
    <row r="8713" ht="15.75" customHeight="1">
      <c r="A8713" s="25" t="str">
        <f>IFERROR(__xludf.DUMMYFUNCTION("IF(B8713="""","""",RIGHT(REGEXREPLACE(B8713&amp;"""",""[^0-9]"",""""),9))"),"741356501")</f>
        <v>741356501</v>
      </c>
      <c r="B8713" s="26">
        <v>7.41356501E8</v>
      </c>
      <c r="C8713" s="28" t="s">
        <v>8849</v>
      </c>
      <c r="D8713" s="26" t="s">
        <v>45</v>
      </c>
      <c r="E8713" s="31">
        <v>46248.0</v>
      </c>
      <c r="F8713" s="26" t="s">
        <v>46</v>
      </c>
      <c r="G8713" s="26">
        <v>9.0</v>
      </c>
      <c r="I8713" s="26" t="s">
        <v>911</v>
      </c>
      <c r="J8713" s="25" t="str">
        <f t="shared" si="106"/>
        <v>No</v>
      </c>
      <c r="K8713" s="25" t="str">
        <f t="shared" si="107"/>
        <v/>
      </c>
      <c r="L8713" s="25" t="str">
        <f t="shared" si="108"/>
        <v/>
      </c>
      <c r="M8713" s="25"/>
      <c r="O8713" s="25"/>
    </row>
    <row r="8714" ht="15.75" customHeight="1">
      <c r="A8714" s="25" t="str">
        <f>IFERROR(__xludf.DUMMYFUNCTION("IF(B8714="""","""",RIGHT(REGEXREPLACE(B8714&amp;"""",""[^0-9]"",""""),9))"),"775231977")</f>
        <v>775231977</v>
      </c>
      <c r="B8714" s="26">
        <v>7.75231977E8</v>
      </c>
      <c r="C8714" s="28" t="s">
        <v>8850</v>
      </c>
      <c r="D8714" s="26" t="s">
        <v>45</v>
      </c>
      <c r="E8714" s="31">
        <v>46248.0</v>
      </c>
      <c r="F8714" s="26" t="s">
        <v>46</v>
      </c>
      <c r="G8714" s="26">
        <v>10.0</v>
      </c>
      <c r="H8714" s="26" t="s">
        <v>8851</v>
      </c>
      <c r="I8714" s="26" t="s">
        <v>911</v>
      </c>
      <c r="J8714" s="25" t="str">
        <f t="shared" si="106"/>
        <v>No</v>
      </c>
      <c r="K8714" s="25" t="str">
        <f t="shared" si="107"/>
        <v/>
      </c>
      <c r="L8714" s="25" t="str">
        <f t="shared" si="108"/>
        <v/>
      </c>
      <c r="M8714" s="25"/>
      <c r="O8714" s="25"/>
    </row>
    <row r="8715" ht="15.75" customHeight="1">
      <c r="A8715" s="25" t="str">
        <f>IFERROR(__xludf.DUMMYFUNCTION("IF(B8715="""","""",RIGHT(REGEXREPLACE(B8715&amp;"""",""[^0-9]"",""""),9))"),"742063737")</f>
        <v>742063737</v>
      </c>
      <c r="B8715" s="26" t="s">
        <v>8852</v>
      </c>
      <c r="C8715" s="28" t="s">
        <v>8853</v>
      </c>
      <c r="D8715" s="26" t="s">
        <v>45</v>
      </c>
      <c r="E8715" s="31">
        <v>46248.0</v>
      </c>
      <c r="F8715" s="26" t="s">
        <v>46</v>
      </c>
      <c r="G8715" s="26">
        <v>11.0</v>
      </c>
      <c r="H8715" s="26" t="s">
        <v>8854</v>
      </c>
      <c r="I8715" s="26" t="s">
        <v>911</v>
      </c>
      <c r="J8715" s="25" t="str">
        <f t="shared" si="106"/>
        <v>No</v>
      </c>
      <c r="K8715" s="25" t="str">
        <f t="shared" si="107"/>
        <v/>
      </c>
      <c r="L8715" s="25" t="str">
        <f t="shared" si="108"/>
        <v/>
      </c>
      <c r="M8715" s="25"/>
      <c r="O8715" s="25"/>
    </row>
    <row r="8716" ht="15.75" customHeight="1">
      <c r="A8716" s="25" t="str">
        <f>IFERROR(__xludf.DUMMYFUNCTION("IF(B8716="""","""",RIGHT(REGEXREPLACE(B8716&amp;"""",""[^0-9]"",""""),9))"),"764618500")</f>
        <v>764618500</v>
      </c>
      <c r="B8716" s="26" t="s">
        <v>8855</v>
      </c>
      <c r="C8716" s="28" t="s">
        <v>8856</v>
      </c>
      <c r="D8716" s="26" t="s">
        <v>45</v>
      </c>
      <c r="E8716" s="31">
        <v>46248.0</v>
      </c>
      <c r="F8716" s="26" t="s">
        <v>41</v>
      </c>
      <c r="G8716" s="26">
        <v>10.0</v>
      </c>
      <c r="I8716" s="26" t="s">
        <v>911</v>
      </c>
      <c r="J8716" s="25" t="str">
        <f t="shared" si="106"/>
        <v>No</v>
      </c>
      <c r="K8716" s="25" t="str">
        <f t="shared" si="107"/>
        <v/>
      </c>
      <c r="L8716" s="25" t="str">
        <f t="shared" si="108"/>
        <v/>
      </c>
      <c r="M8716" s="25"/>
      <c r="O8716" s="25"/>
    </row>
    <row r="8717" ht="15.75" customHeight="1">
      <c r="A8717" s="25" t="str">
        <f>IFERROR(__xludf.DUMMYFUNCTION("IF(B8717="""","""",RIGHT(REGEXREPLACE(B8717&amp;"""",""[^0-9]"",""""),9))"),"710492194")</f>
        <v>710492194</v>
      </c>
      <c r="B8717" s="26" t="s">
        <v>8857</v>
      </c>
      <c r="C8717" s="28" t="s">
        <v>8858</v>
      </c>
      <c r="D8717" s="26" t="s">
        <v>45</v>
      </c>
      <c r="E8717" s="31">
        <v>46248.0</v>
      </c>
      <c r="F8717" s="26" t="s">
        <v>46</v>
      </c>
      <c r="G8717" s="26">
        <v>8.0</v>
      </c>
      <c r="I8717" s="26" t="s">
        <v>911</v>
      </c>
      <c r="J8717" s="25" t="str">
        <f t="shared" si="106"/>
        <v>No</v>
      </c>
      <c r="K8717" s="25" t="str">
        <f t="shared" si="107"/>
        <v/>
      </c>
      <c r="L8717" s="25" t="str">
        <f t="shared" si="108"/>
        <v/>
      </c>
      <c r="M8717" s="25"/>
      <c r="O8717" s="25"/>
    </row>
    <row r="8718" ht="15.75" customHeight="1">
      <c r="A8718" s="25" t="str">
        <f>IFERROR(__xludf.DUMMYFUNCTION("IF(B8718="""","""",RIGHT(REGEXREPLACE(B8718&amp;"""",""[^0-9]"",""""),9))"),"742838321")</f>
        <v>742838321</v>
      </c>
      <c r="B8718" s="52">
        <v>7.42838321E8</v>
      </c>
      <c r="C8718" s="28" t="s">
        <v>8859</v>
      </c>
      <c r="D8718" s="26" t="s">
        <v>45</v>
      </c>
      <c r="E8718" s="31">
        <v>46247.0</v>
      </c>
      <c r="F8718" s="26" t="s">
        <v>41</v>
      </c>
      <c r="G8718" s="26">
        <v>11.0</v>
      </c>
      <c r="I8718" s="26" t="s">
        <v>970</v>
      </c>
      <c r="J8718" s="25" t="str">
        <f t="shared" si="106"/>
        <v>No</v>
      </c>
      <c r="K8718" s="25" t="str">
        <f t="shared" si="107"/>
        <v/>
      </c>
      <c r="L8718" s="25" t="str">
        <f t="shared" si="108"/>
        <v/>
      </c>
      <c r="M8718" s="25"/>
      <c r="O8718" s="25"/>
    </row>
    <row r="8719" ht="15.75" customHeight="1">
      <c r="A8719" s="25" t="str">
        <f>IFERROR(__xludf.DUMMYFUNCTION("IF(B8719="""","""",RIGHT(REGEXREPLACE(B8719&amp;"""",""[^0-9]"",""""),9))"),"768030491")</f>
        <v>768030491</v>
      </c>
      <c r="B8719" s="52">
        <v>7.68030491E8</v>
      </c>
      <c r="C8719" s="28" t="s">
        <v>8860</v>
      </c>
      <c r="D8719" s="26" t="s">
        <v>64</v>
      </c>
      <c r="E8719" s="31">
        <v>46247.0</v>
      </c>
      <c r="F8719" s="26" t="s">
        <v>46</v>
      </c>
      <c r="H8719" s="26" t="s">
        <v>8861</v>
      </c>
      <c r="I8719" s="26" t="s">
        <v>970</v>
      </c>
      <c r="J8719" s="25" t="str">
        <f t="shared" si="106"/>
        <v>No</v>
      </c>
      <c r="K8719" s="25" t="str">
        <f t="shared" si="107"/>
        <v/>
      </c>
      <c r="L8719" s="25" t="str">
        <f t="shared" si="108"/>
        <v/>
      </c>
      <c r="M8719" s="25"/>
      <c r="O8719" s="25"/>
    </row>
    <row r="8720" ht="15.75" customHeight="1">
      <c r="A8720" s="25" t="str">
        <f>IFERROR(__xludf.DUMMYFUNCTION("IF(B8720="""","""",RIGHT(REGEXREPLACE(B8720&amp;"""",""[^0-9]"",""""),9))"),"740097923")</f>
        <v>740097923</v>
      </c>
      <c r="B8720" s="26">
        <v>7.40097923E8</v>
      </c>
      <c r="C8720" s="28" t="s">
        <v>8862</v>
      </c>
      <c r="D8720" s="26" t="s">
        <v>45</v>
      </c>
      <c r="E8720" s="31">
        <v>46247.0</v>
      </c>
      <c r="F8720" s="26" t="s">
        <v>46</v>
      </c>
      <c r="G8720" s="26">
        <v>11.0</v>
      </c>
      <c r="I8720" s="26" t="s">
        <v>970</v>
      </c>
      <c r="J8720" s="25" t="str">
        <f t="shared" si="106"/>
        <v>No</v>
      </c>
      <c r="K8720" s="25" t="str">
        <f t="shared" si="107"/>
        <v/>
      </c>
      <c r="L8720" s="25" t="str">
        <f t="shared" si="108"/>
        <v/>
      </c>
      <c r="M8720" s="25"/>
      <c r="O8720" s="25"/>
    </row>
    <row r="8721" ht="15.75" customHeight="1">
      <c r="A8721" s="25" t="str">
        <f>IFERROR(__xludf.DUMMYFUNCTION("IF(B8721="""","""",RIGHT(REGEXREPLACE(B8721&amp;"""",""[^0-9]"",""""),9))"),"779725528")</f>
        <v>779725528</v>
      </c>
      <c r="B8721" s="52">
        <v>7.79725528E8</v>
      </c>
      <c r="C8721" s="28" t="s">
        <v>8863</v>
      </c>
      <c r="D8721" s="26" t="s">
        <v>56</v>
      </c>
      <c r="E8721" s="31">
        <v>46247.0</v>
      </c>
      <c r="F8721" s="26" t="s">
        <v>46</v>
      </c>
      <c r="I8721" s="26" t="s">
        <v>970</v>
      </c>
      <c r="J8721" s="25" t="str">
        <f t="shared" si="106"/>
        <v>No</v>
      </c>
      <c r="K8721" s="25" t="str">
        <f t="shared" si="107"/>
        <v/>
      </c>
      <c r="L8721" s="25" t="str">
        <f t="shared" si="108"/>
        <v/>
      </c>
      <c r="M8721" s="25"/>
      <c r="O8721" s="25"/>
    </row>
    <row r="8722" ht="15.75" customHeight="1">
      <c r="A8722" s="25" t="str">
        <f>IFERROR(__xludf.DUMMYFUNCTION("IF(B8722="""","""",RIGHT(REGEXREPLACE(B8722&amp;"""",""[^0-9]"",""""),9))"),"779293531")</f>
        <v>779293531</v>
      </c>
      <c r="B8722" s="52">
        <v>7.79293531E8</v>
      </c>
      <c r="C8722" s="28" t="s">
        <v>1129</v>
      </c>
      <c r="D8722" s="26" t="s">
        <v>82</v>
      </c>
      <c r="E8722" s="31">
        <v>46247.0</v>
      </c>
      <c r="F8722" s="26" t="s">
        <v>46</v>
      </c>
      <c r="I8722" s="26" t="s">
        <v>970</v>
      </c>
      <c r="J8722" s="25" t="str">
        <f t="shared" si="106"/>
        <v>Yes - see Previous F-Code</v>
      </c>
      <c r="K8722" s="25" t="str">
        <f t="shared" si="107"/>
        <v/>
      </c>
      <c r="L8722" s="25" t="str">
        <f t="shared" si="108"/>
        <v>F70869</v>
      </c>
      <c r="M8722" s="25"/>
      <c r="O8722" s="25"/>
    </row>
    <row r="8723" ht="15.75" customHeight="1">
      <c r="A8723" s="25" t="str">
        <f>IFERROR(__xludf.DUMMYFUNCTION("IF(B8723="""","""",RIGHT(REGEXREPLACE(B8723&amp;"""",""[^0-9]"",""""),9))"),"767325625")</f>
        <v>767325625</v>
      </c>
      <c r="B8723" s="52">
        <v>7.67325625E8</v>
      </c>
      <c r="C8723" s="28" t="s">
        <v>8864</v>
      </c>
      <c r="D8723" s="26" t="s">
        <v>64</v>
      </c>
      <c r="E8723" s="31">
        <v>46247.0</v>
      </c>
      <c r="F8723" s="26" t="s">
        <v>46</v>
      </c>
      <c r="G8723" s="26">
        <v>8.0</v>
      </c>
      <c r="I8723" s="26" t="s">
        <v>970</v>
      </c>
      <c r="J8723" s="25" t="str">
        <f t="shared" si="106"/>
        <v>No</v>
      </c>
      <c r="K8723" s="25" t="str">
        <f t="shared" si="107"/>
        <v/>
      </c>
      <c r="L8723" s="25" t="str">
        <f t="shared" si="108"/>
        <v/>
      </c>
      <c r="M8723" s="25"/>
      <c r="O8723" s="25"/>
    </row>
    <row r="8724" ht="15.75" customHeight="1">
      <c r="A8724" s="25" t="str">
        <f>IFERROR(__xludf.DUMMYFUNCTION("IF(B8724="""","""",RIGHT(REGEXREPLACE(B8724&amp;"""",""[^0-9]"",""""),9))"),"712292348")</f>
        <v>712292348</v>
      </c>
      <c r="B8724" s="52">
        <v>7.12292348E8</v>
      </c>
      <c r="C8724" s="28" t="s">
        <v>2454</v>
      </c>
      <c r="D8724" s="26" t="s">
        <v>56</v>
      </c>
      <c r="E8724" s="31">
        <v>46247.0</v>
      </c>
      <c r="F8724" s="26" t="s">
        <v>46</v>
      </c>
      <c r="G8724" s="26">
        <v>11.0</v>
      </c>
      <c r="H8724" s="26" t="s">
        <v>8436</v>
      </c>
      <c r="I8724" s="26" t="s">
        <v>970</v>
      </c>
      <c r="J8724" s="25" t="str">
        <f t="shared" si="106"/>
        <v>Yes - see Previous F-Code</v>
      </c>
      <c r="K8724" s="25" t="str">
        <f t="shared" si="107"/>
        <v>DUPLICATE - CHECK</v>
      </c>
      <c r="L8724" s="25" t="str">
        <f t="shared" si="108"/>
        <v>F72147</v>
      </c>
      <c r="M8724" s="25"/>
      <c r="O8724" s="25"/>
    </row>
    <row r="8725" ht="15.75" customHeight="1">
      <c r="A8725" s="25" t="str">
        <f>IFERROR(__xludf.DUMMYFUNCTION("IF(B8725="""","""",RIGHT(REGEXREPLACE(B8725&amp;"""",""[^0-9]"",""""),9))"),"767107758")</f>
        <v>767107758</v>
      </c>
      <c r="B8725" s="52">
        <v>7.67107758E8</v>
      </c>
      <c r="C8725" s="28" t="s">
        <v>8865</v>
      </c>
      <c r="D8725" s="26" t="s">
        <v>64</v>
      </c>
      <c r="E8725" s="31">
        <v>46247.0</v>
      </c>
      <c r="F8725" s="26" t="s">
        <v>41</v>
      </c>
      <c r="H8725" s="26" t="s">
        <v>8436</v>
      </c>
      <c r="I8725" s="26" t="s">
        <v>970</v>
      </c>
      <c r="J8725" s="25" t="str">
        <f t="shared" si="106"/>
        <v>No</v>
      </c>
      <c r="K8725" s="25" t="str">
        <f t="shared" si="107"/>
        <v/>
      </c>
      <c r="L8725" s="25" t="str">
        <f t="shared" si="108"/>
        <v/>
      </c>
      <c r="M8725" s="25"/>
      <c r="O8725" s="25"/>
    </row>
    <row r="8726" ht="15.75" customHeight="1">
      <c r="A8726" s="25" t="str">
        <f>IFERROR(__xludf.DUMMYFUNCTION("IF(B8726="""","""",RIGHT(REGEXREPLACE(B8726&amp;"""",""[^0-9]"",""""),9))"),"775775097")</f>
        <v>775775097</v>
      </c>
      <c r="B8726" s="52">
        <v>7.75775097E8</v>
      </c>
      <c r="C8726" s="28" t="s">
        <v>8866</v>
      </c>
      <c r="D8726" s="26" t="s">
        <v>56</v>
      </c>
      <c r="E8726" s="31">
        <v>46247.0</v>
      </c>
      <c r="F8726" s="26" t="s">
        <v>41</v>
      </c>
      <c r="I8726" s="26" t="s">
        <v>970</v>
      </c>
      <c r="J8726" s="25" t="str">
        <f t="shared" si="106"/>
        <v>No</v>
      </c>
      <c r="K8726" s="25" t="str">
        <f t="shared" si="107"/>
        <v/>
      </c>
      <c r="L8726" s="25" t="str">
        <f t="shared" si="108"/>
        <v/>
      </c>
      <c r="M8726" s="25"/>
      <c r="O8726" s="25"/>
    </row>
    <row r="8727" ht="15.75" customHeight="1">
      <c r="A8727" s="25" t="str">
        <f>IFERROR(__xludf.DUMMYFUNCTION("IF(B8727="""","""",RIGHT(REGEXREPLACE(B8727&amp;"""",""[^0-9]"",""""),9))"),"718023052")</f>
        <v>718023052</v>
      </c>
      <c r="B8727" s="52">
        <v>7.18023052E8</v>
      </c>
      <c r="C8727" s="28" t="s">
        <v>8867</v>
      </c>
      <c r="D8727" s="26" t="s">
        <v>82</v>
      </c>
      <c r="E8727" s="31">
        <v>46247.0</v>
      </c>
      <c r="F8727" s="26" t="s">
        <v>46</v>
      </c>
      <c r="G8727" s="26">
        <v>10.0</v>
      </c>
      <c r="I8727" s="26" t="s">
        <v>970</v>
      </c>
      <c r="J8727" s="25" t="str">
        <f t="shared" si="106"/>
        <v>No</v>
      </c>
      <c r="K8727" s="25" t="str">
        <f t="shared" si="107"/>
        <v/>
      </c>
      <c r="L8727" s="25" t="str">
        <f t="shared" si="108"/>
        <v/>
      </c>
      <c r="M8727" s="25"/>
      <c r="O8727" s="25"/>
    </row>
    <row r="8728" ht="15.75" customHeight="1">
      <c r="A8728" s="25" t="str">
        <f>IFERROR(__xludf.DUMMYFUNCTION("IF(B8728="""","""",RIGHT(REGEXREPLACE(B8728&amp;"""",""[^0-9]"",""""),9))"),"704276697")</f>
        <v>704276697</v>
      </c>
      <c r="B8728" s="52">
        <v>7.04276697E8</v>
      </c>
      <c r="C8728" s="28" t="s">
        <v>8868</v>
      </c>
      <c r="D8728" s="26" t="s">
        <v>56</v>
      </c>
      <c r="E8728" s="31">
        <v>46247.0</v>
      </c>
      <c r="F8728" s="26" t="s">
        <v>41</v>
      </c>
      <c r="I8728" s="26" t="s">
        <v>970</v>
      </c>
      <c r="J8728" s="25" t="str">
        <f t="shared" si="106"/>
        <v>No</v>
      </c>
      <c r="K8728" s="25" t="str">
        <f t="shared" si="107"/>
        <v/>
      </c>
      <c r="L8728" s="25" t="str">
        <f t="shared" si="108"/>
        <v/>
      </c>
      <c r="M8728" s="25"/>
      <c r="O8728" s="25"/>
    </row>
    <row r="8729" ht="15.75" customHeight="1">
      <c r="A8729" s="25" t="str">
        <f>IFERROR(__xludf.DUMMYFUNCTION("IF(B8729="""","""",RIGHT(REGEXREPLACE(B8729&amp;"""",""[^0-9]"",""""),9))"),"761674690")</f>
        <v>761674690</v>
      </c>
      <c r="B8729" s="52">
        <v>7.6167469E8</v>
      </c>
      <c r="C8729" s="28" t="s">
        <v>8869</v>
      </c>
      <c r="D8729" s="26" t="s">
        <v>45</v>
      </c>
      <c r="E8729" s="31">
        <v>46247.0</v>
      </c>
      <c r="F8729" s="26" t="s">
        <v>41</v>
      </c>
      <c r="I8729" s="26" t="s">
        <v>970</v>
      </c>
      <c r="J8729" s="25" t="str">
        <f t="shared" si="106"/>
        <v>No</v>
      </c>
      <c r="K8729" s="25" t="str">
        <f t="shared" si="107"/>
        <v/>
      </c>
      <c r="L8729" s="25" t="str">
        <f t="shared" si="108"/>
        <v/>
      </c>
      <c r="M8729" s="25"/>
      <c r="O8729" s="25"/>
    </row>
    <row r="8730" ht="15.75" customHeight="1">
      <c r="A8730" s="25" t="str">
        <f>IFERROR(__xludf.DUMMYFUNCTION("IF(B8730="""","""",RIGHT(REGEXREPLACE(B8730&amp;"""",""[^0-9]"",""""),9))"),"755448559")</f>
        <v>755448559</v>
      </c>
      <c r="B8730" s="52">
        <v>7.55448559E8</v>
      </c>
      <c r="C8730" s="28" t="s">
        <v>8870</v>
      </c>
      <c r="D8730" s="26" t="s">
        <v>45</v>
      </c>
      <c r="E8730" s="31">
        <v>46247.0</v>
      </c>
      <c r="F8730" s="26" t="s">
        <v>205</v>
      </c>
      <c r="G8730" s="26">
        <v>10.0</v>
      </c>
      <c r="I8730" s="26" t="s">
        <v>970</v>
      </c>
      <c r="J8730" s="25" t="str">
        <f t="shared" si="106"/>
        <v>No</v>
      </c>
      <c r="K8730" s="25" t="str">
        <f t="shared" si="107"/>
        <v/>
      </c>
      <c r="L8730" s="25" t="str">
        <f t="shared" si="108"/>
        <v/>
      </c>
      <c r="M8730" s="25"/>
      <c r="O8730" s="25"/>
    </row>
    <row r="8731" ht="15.75" customHeight="1">
      <c r="A8731" s="25" t="str">
        <f>IFERROR(__xludf.DUMMYFUNCTION("IF(B8731="""","""",RIGHT(REGEXREPLACE(B8731&amp;"""",""[^0-9]"",""""),9))"),"764892582")</f>
        <v>764892582</v>
      </c>
      <c r="B8731" s="52">
        <v>7.64892582E8</v>
      </c>
      <c r="C8731" s="28" t="s">
        <v>8871</v>
      </c>
      <c r="D8731" s="26" t="s">
        <v>56</v>
      </c>
      <c r="E8731" s="31">
        <v>46247.0</v>
      </c>
      <c r="F8731" s="26" t="s">
        <v>46</v>
      </c>
      <c r="H8731" s="26" t="s">
        <v>130</v>
      </c>
      <c r="I8731" s="26" t="s">
        <v>970</v>
      </c>
      <c r="J8731" s="25" t="str">
        <f t="shared" si="106"/>
        <v>No</v>
      </c>
      <c r="K8731" s="25" t="str">
        <f t="shared" si="107"/>
        <v/>
      </c>
      <c r="L8731" s="25" t="str">
        <f t="shared" si="108"/>
        <v/>
      </c>
      <c r="M8731" s="25"/>
      <c r="O8731" s="25"/>
    </row>
    <row r="8732" ht="15.75" customHeight="1">
      <c r="A8732" s="25" t="str">
        <f>IFERROR(__xludf.DUMMYFUNCTION("IF(B8732="""","""",RIGHT(REGEXREPLACE(B8732&amp;"""",""[^0-9]"",""""),9))"),"718536676")</f>
        <v>718536676</v>
      </c>
      <c r="B8732" s="52">
        <v>7.18536676E8</v>
      </c>
      <c r="C8732" s="28" t="s">
        <v>8872</v>
      </c>
      <c r="D8732" s="26" t="s">
        <v>64</v>
      </c>
      <c r="E8732" s="31">
        <v>46247.0</v>
      </c>
      <c r="F8732" s="26" t="s">
        <v>41</v>
      </c>
      <c r="I8732" s="26" t="s">
        <v>970</v>
      </c>
      <c r="J8732" s="25" t="str">
        <f t="shared" si="106"/>
        <v>No</v>
      </c>
      <c r="K8732" s="25" t="str">
        <f t="shared" si="107"/>
        <v/>
      </c>
      <c r="L8732" s="25" t="str">
        <f t="shared" si="108"/>
        <v/>
      </c>
      <c r="M8732" s="25"/>
      <c r="O8732" s="25"/>
    </row>
    <row r="8733" ht="15.75" customHeight="1">
      <c r="A8733" s="25" t="str">
        <f>IFERROR(__xludf.DUMMYFUNCTION("IF(B8733="""","""",RIGHT(REGEXREPLACE(B8733&amp;"""",""[^0-9]"",""""),9))"),"758845583")</f>
        <v>758845583</v>
      </c>
      <c r="B8733" s="52">
        <v>7.58845583E8</v>
      </c>
      <c r="C8733" s="28" t="s">
        <v>8873</v>
      </c>
      <c r="D8733" s="26" t="s">
        <v>56</v>
      </c>
      <c r="E8733" s="31">
        <v>46247.0</v>
      </c>
      <c r="F8733" s="26" t="s">
        <v>659</v>
      </c>
      <c r="I8733" s="26" t="s">
        <v>970</v>
      </c>
      <c r="J8733" s="25" t="str">
        <f t="shared" si="106"/>
        <v>No</v>
      </c>
      <c r="K8733" s="25" t="str">
        <f t="shared" si="107"/>
        <v/>
      </c>
      <c r="L8733" s="25" t="str">
        <f t="shared" si="108"/>
        <v/>
      </c>
      <c r="M8733" s="25"/>
      <c r="O8733" s="25"/>
    </row>
    <row r="8734" ht="15.75" customHeight="1">
      <c r="A8734" s="25" t="str">
        <f>IFERROR(__xludf.DUMMYFUNCTION("IF(B8734="""","""",RIGHT(REGEXREPLACE(B8734&amp;"""",""[^0-9]"",""""),9))"),"754423886")</f>
        <v>754423886</v>
      </c>
      <c r="B8734" s="52">
        <v>7.54423886E8</v>
      </c>
      <c r="C8734" s="28" t="s">
        <v>8874</v>
      </c>
      <c r="D8734" s="26" t="s">
        <v>64</v>
      </c>
      <c r="E8734" s="31">
        <v>46247.0</v>
      </c>
      <c r="F8734" s="26" t="s">
        <v>46</v>
      </c>
      <c r="G8734" s="26">
        <v>11.0</v>
      </c>
      <c r="H8734" s="26" t="s">
        <v>8436</v>
      </c>
      <c r="I8734" s="26" t="s">
        <v>970</v>
      </c>
      <c r="J8734" s="25" t="str">
        <f t="shared" si="106"/>
        <v>No</v>
      </c>
      <c r="K8734" s="25" t="str">
        <f t="shared" si="107"/>
        <v/>
      </c>
      <c r="L8734" s="25" t="str">
        <f t="shared" si="108"/>
        <v/>
      </c>
      <c r="M8734" s="25"/>
      <c r="O8734" s="25"/>
    </row>
    <row r="8735" ht="15.75" customHeight="1">
      <c r="A8735" s="25" t="str">
        <f>IFERROR(__xludf.DUMMYFUNCTION("IF(B8735="""","""",RIGHT(REGEXREPLACE(B8735&amp;"""",""[^0-9]"",""""),9))"),"713151688")</f>
        <v>713151688</v>
      </c>
      <c r="B8735" s="52">
        <v>7.13151688E8</v>
      </c>
      <c r="C8735" s="28" t="s">
        <v>8875</v>
      </c>
      <c r="D8735" s="26" t="s">
        <v>45</v>
      </c>
      <c r="E8735" s="31">
        <v>46247.0</v>
      </c>
      <c r="F8735" s="26" t="s">
        <v>46</v>
      </c>
      <c r="G8735" s="26">
        <v>8.0</v>
      </c>
      <c r="I8735" s="26" t="s">
        <v>970</v>
      </c>
      <c r="J8735" s="25" t="str">
        <f t="shared" si="106"/>
        <v>No</v>
      </c>
      <c r="K8735" s="25" t="str">
        <f t="shared" si="107"/>
        <v/>
      </c>
      <c r="L8735" s="25" t="str">
        <f t="shared" si="108"/>
        <v/>
      </c>
      <c r="M8735" s="25"/>
      <c r="O8735" s="25"/>
    </row>
    <row r="8736" ht="15.75" customHeight="1">
      <c r="A8736" s="25" t="str">
        <f>IFERROR(__xludf.DUMMYFUNCTION("IF(B8736="""","""",RIGHT(REGEXREPLACE(B8736&amp;"""",""[^0-9]"",""""),9))"),"762696420")</f>
        <v>762696420</v>
      </c>
      <c r="B8736" s="52">
        <v>7.6269642E8</v>
      </c>
      <c r="C8736" s="28" t="s">
        <v>8876</v>
      </c>
      <c r="D8736" s="26" t="s">
        <v>82</v>
      </c>
      <c r="E8736" s="31">
        <v>46247.0</v>
      </c>
      <c r="F8736" s="26" t="s">
        <v>46</v>
      </c>
      <c r="G8736" s="26">
        <v>6.0</v>
      </c>
      <c r="H8736" s="26" t="s">
        <v>8877</v>
      </c>
      <c r="I8736" s="26" t="s">
        <v>970</v>
      </c>
      <c r="J8736" s="25" t="str">
        <f t="shared" si="106"/>
        <v>No</v>
      </c>
      <c r="K8736" s="25" t="str">
        <f t="shared" si="107"/>
        <v/>
      </c>
      <c r="L8736" s="25" t="str">
        <f t="shared" si="108"/>
        <v/>
      </c>
      <c r="M8736" s="25"/>
      <c r="O8736" s="25"/>
    </row>
    <row r="8737" ht="15.75" customHeight="1">
      <c r="A8737" s="25" t="str">
        <f>IFERROR(__xludf.DUMMYFUNCTION("IF(B8737="""","""",RIGHT(REGEXREPLACE(B8737&amp;"""",""[^0-9]"",""""),9))"),"718463054")</f>
        <v>718463054</v>
      </c>
      <c r="B8737" s="52">
        <v>7.18463054E8</v>
      </c>
      <c r="C8737" s="28" t="s">
        <v>8878</v>
      </c>
      <c r="D8737" s="26" t="s">
        <v>64</v>
      </c>
      <c r="E8737" s="31">
        <v>46247.0</v>
      </c>
      <c r="F8737" s="26" t="s">
        <v>205</v>
      </c>
      <c r="H8737" s="26" t="s">
        <v>8436</v>
      </c>
      <c r="I8737" s="26" t="s">
        <v>970</v>
      </c>
      <c r="J8737" s="25" t="str">
        <f t="shared" si="106"/>
        <v>No</v>
      </c>
      <c r="K8737" s="25" t="str">
        <f t="shared" si="107"/>
        <v/>
      </c>
      <c r="L8737" s="25" t="str">
        <f t="shared" si="108"/>
        <v/>
      </c>
      <c r="M8737" s="25"/>
      <c r="O8737" s="25"/>
    </row>
    <row r="8738" ht="15.75" customHeight="1">
      <c r="A8738" s="25" t="str">
        <f>IFERROR(__xludf.DUMMYFUNCTION("IF(B8738="""","""",RIGHT(REGEXREPLACE(B8738&amp;"""",""[^0-9]"",""""),9))"),"771693117")</f>
        <v>771693117</v>
      </c>
      <c r="B8738" s="52">
        <v>7.71693117E8</v>
      </c>
      <c r="C8738" s="28" t="s">
        <v>8879</v>
      </c>
      <c r="D8738" s="26" t="s">
        <v>56</v>
      </c>
      <c r="E8738" s="31">
        <v>46247.0</v>
      </c>
      <c r="F8738" s="26" t="s">
        <v>46</v>
      </c>
      <c r="H8738" s="26" t="s">
        <v>8436</v>
      </c>
      <c r="I8738" s="26" t="s">
        <v>970</v>
      </c>
      <c r="J8738" s="25" t="str">
        <f t="shared" si="106"/>
        <v>No</v>
      </c>
      <c r="K8738" s="25" t="str">
        <f t="shared" si="107"/>
        <v/>
      </c>
      <c r="L8738" s="25" t="str">
        <f t="shared" si="108"/>
        <v/>
      </c>
      <c r="M8738" s="25"/>
      <c r="O8738" s="25"/>
    </row>
    <row r="8739" ht="15.75" customHeight="1">
      <c r="A8739" s="25" t="str">
        <f>IFERROR(__xludf.DUMMYFUNCTION("IF(B8739="""","""",RIGHT(REGEXREPLACE(B8739&amp;"""",""[^0-9]"",""""),9))"),"713261295")</f>
        <v>713261295</v>
      </c>
      <c r="B8739" s="52">
        <v>7.13261295E8</v>
      </c>
      <c r="C8739" s="28" t="s">
        <v>8880</v>
      </c>
      <c r="D8739" s="26" t="s">
        <v>45</v>
      </c>
      <c r="E8739" s="31">
        <v>46247.0</v>
      </c>
      <c r="F8739" s="26" t="s">
        <v>41</v>
      </c>
      <c r="I8739" s="26" t="s">
        <v>970</v>
      </c>
      <c r="J8739" s="25" t="str">
        <f t="shared" si="106"/>
        <v>No</v>
      </c>
      <c r="K8739" s="25" t="str">
        <f t="shared" si="107"/>
        <v/>
      </c>
      <c r="L8739" s="25" t="str">
        <f t="shared" si="108"/>
        <v/>
      </c>
      <c r="M8739" s="25"/>
      <c r="O8739" s="25"/>
    </row>
    <row r="8740" ht="15.75" customHeight="1">
      <c r="A8740" s="25" t="str">
        <f>IFERROR(__xludf.DUMMYFUNCTION("IF(B8740="""","""",RIGHT(REGEXREPLACE(B8740&amp;"""",""[^0-9]"",""""),9))"),"775996647")</f>
        <v>775996647</v>
      </c>
      <c r="B8740" s="52">
        <v>7.75996647E8</v>
      </c>
      <c r="C8740" s="28" t="s">
        <v>2317</v>
      </c>
      <c r="D8740" s="26" t="s">
        <v>82</v>
      </c>
      <c r="E8740" s="31">
        <v>46247.0</v>
      </c>
      <c r="F8740" s="26" t="s">
        <v>46</v>
      </c>
      <c r="G8740" s="26">
        <v>10.0</v>
      </c>
      <c r="I8740" s="26" t="s">
        <v>970</v>
      </c>
      <c r="J8740" s="25" t="str">
        <f t="shared" si="106"/>
        <v>Yes - see Previous F-Code</v>
      </c>
      <c r="K8740" s="25" t="str">
        <f t="shared" si="107"/>
        <v/>
      </c>
      <c r="L8740" s="25" t="str">
        <f t="shared" si="108"/>
        <v>F72014</v>
      </c>
      <c r="M8740" s="25"/>
      <c r="O8740" s="25"/>
    </row>
    <row r="8741" ht="15.75" customHeight="1">
      <c r="A8741" s="25" t="str">
        <f>IFERROR(__xludf.DUMMYFUNCTION("IF(B8741="""","""",RIGHT(REGEXREPLACE(B8741&amp;"""",""[^0-9]"",""""),9))"),"774449917")</f>
        <v>774449917</v>
      </c>
      <c r="B8741" s="52">
        <v>7.74449917E8</v>
      </c>
      <c r="C8741" s="28" t="s">
        <v>8881</v>
      </c>
      <c r="D8741" s="26" t="s">
        <v>64</v>
      </c>
      <c r="E8741" s="31">
        <v>46247.0</v>
      </c>
      <c r="F8741" s="26" t="s">
        <v>46</v>
      </c>
      <c r="G8741" s="26">
        <v>11.0</v>
      </c>
      <c r="I8741" s="26" t="s">
        <v>970</v>
      </c>
      <c r="J8741" s="25" t="str">
        <f t="shared" si="106"/>
        <v>No</v>
      </c>
      <c r="K8741" s="25" t="str">
        <f t="shared" si="107"/>
        <v/>
      </c>
      <c r="L8741" s="25" t="str">
        <f t="shared" si="108"/>
        <v/>
      </c>
      <c r="M8741" s="25"/>
      <c r="O8741" s="25"/>
    </row>
    <row r="8742" ht="15.75" customHeight="1">
      <c r="A8742" s="25" t="str">
        <f>IFERROR(__xludf.DUMMYFUNCTION("IF(B8742="""","""",RIGHT(REGEXREPLACE(B8742&amp;"""",""[^0-9]"",""""),9))"),"775772791")</f>
        <v>775772791</v>
      </c>
      <c r="B8742" s="52">
        <v>7.75772791E8</v>
      </c>
      <c r="C8742" s="28" t="s">
        <v>8076</v>
      </c>
      <c r="D8742" s="26" t="s">
        <v>64</v>
      </c>
      <c r="E8742" s="31">
        <v>46247.0</v>
      </c>
      <c r="F8742" s="26" t="s">
        <v>41</v>
      </c>
      <c r="I8742" s="26" t="s">
        <v>970</v>
      </c>
      <c r="J8742" s="25" t="str">
        <f t="shared" si="106"/>
        <v>Yes - see Previous F-Code</v>
      </c>
      <c r="K8742" s="25" t="str">
        <f t="shared" si="107"/>
        <v>DUPLICATE - CHECK</v>
      </c>
      <c r="L8742" s="25" t="str">
        <f t="shared" si="108"/>
        <v>F76887</v>
      </c>
      <c r="M8742" s="25"/>
      <c r="O8742" s="25"/>
    </row>
    <row r="8743" ht="15.75" customHeight="1">
      <c r="A8743" s="25" t="str">
        <f>IFERROR(__xludf.DUMMYFUNCTION("IF(B8743="""","""",RIGHT(REGEXREPLACE(B8743&amp;"""",""[^0-9]"",""""),9))"),"776210700")</f>
        <v>776210700</v>
      </c>
      <c r="B8743" s="52">
        <v>7.762107E8</v>
      </c>
      <c r="C8743" s="28" t="s">
        <v>8882</v>
      </c>
      <c r="D8743" s="26" t="s">
        <v>45</v>
      </c>
      <c r="E8743" s="31">
        <v>46247.0</v>
      </c>
      <c r="F8743" s="26" t="s">
        <v>46</v>
      </c>
      <c r="G8743" s="26">
        <v>10.0</v>
      </c>
      <c r="I8743" s="26" t="s">
        <v>970</v>
      </c>
      <c r="J8743" s="25" t="str">
        <f t="shared" si="106"/>
        <v>No</v>
      </c>
      <c r="K8743" s="25" t="str">
        <f t="shared" si="107"/>
        <v/>
      </c>
      <c r="L8743" s="25" t="str">
        <f t="shared" si="108"/>
        <v/>
      </c>
      <c r="M8743" s="25"/>
      <c r="O8743" s="25"/>
    </row>
    <row r="8744" ht="15.75" customHeight="1">
      <c r="A8744" s="25" t="str">
        <f>IFERROR(__xludf.DUMMYFUNCTION("IF(B8744="""","""",RIGHT(REGEXREPLACE(B8744&amp;"""",""[^0-9]"",""""),9))"),"772827289")</f>
        <v>772827289</v>
      </c>
      <c r="B8744" s="52">
        <v>7.72827289E8</v>
      </c>
      <c r="C8744" s="28" t="s">
        <v>8883</v>
      </c>
      <c r="D8744" s="26" t="s">
        <v>64</v>
      </c>
      <c r="E8744" s="31">
        <v>46247.0</v>
      </c>
      <c r="F8744" s="26" t="s">
        <v>46</v>
      </c>
      <c r="H8744" s="26" t="s">
        <v>6934</v>
      </c>
      <c r="I8744" s="26" t="s">
        <v>970</v>
      </c>
      <c r="J8744" s="25" t="str">
        <f t="shared" si="106"/>
        <v>No</v>
      </c>
      <c r="K8744" s="25" t="str">
        <f t="shared" si="107"/>
        <v/>
      </c>
      <c r="L8744" s="25" t="str">
        <f t="shared" si="108"/>
        <v/>
      </c>
      <c r="M8744" s="25"/>
      <c r="O8744" s="25"/>
    </row>
    <row r="8745" ht="15.75" customHeight="1">
      <c r="A8745" s="25" t="str">
        <f>IFERROR(__xludf.DUMMYFUNCTION("IF(B8745="""","""",RIGHT(REGEXREPLACE(B8745&amp;"""",""[^0-9]"",""""),9))"),"774774533")</f>
        <v>774774533</v>
      </c>
      <c r="B8745" s="52">
        <v>7.74774533E8</v>
      </c>
      <c r="C8745" s="28" t="s">
        <v>8884</v>
      </c>
      <c r="D8745" s="26" t="s">
        <v>64</v>
      </c>
      <c r="E8745" s="31">
        <v>46247.0</v>
      </c>
      <c r="F8745" s="26" t="s">
        <v>46</v>
      </c>
      <c r="H8745" s="26" t="s">
        <v>8885</v>
      </c>
      <c r="I8745" s="26" t="s">
        <v>970</v>
      </c>
      <c r="J8745" s="25" t="str">
        <f t="shared" si="106"/>
        <v>No</v>
      </c>
      <c r="K8745" s="25" t="str">
        <f t="shared" si="107"/>
        <v/>
      </c>
      <c r="L8745" s="25" t="str">
        <f t="shared" si="108"/>
        <v/>
      </c>
      <c r="M8745" s="25"/>
      <c r="O8745" s="25"/>
    </row>
    <row r="8746" ht="15.75" customHeight="1">
      <c r="A8746" s="25" t="str">
        <f>IFERROR(__xludf.DUMMYFUNCTION("IF(B8746="""","""",RIGHT(REGEXREPLACE(B8746&amp;"""",""[^0-9]"",""""),9))"),"715306378")</f>
        <v>715306378</v>
      </c>
      <c r="B8746" s="52">
        <v>7.15306378E8</v>
      </c>
      <c r="C8746" s="28" t="s">
        <v>1293</v>
      </c>
      <c r="D8746" s="26" t="s">
        <v>82</v>
      </c>
      <c r="E8746" s="31">
        <v>46247.0</v>
      </c>
      <c r="F8746" s="26" t="s">
        <v>41</v>
      </c>
      <c r="I8746" s="26" t="s">
        <v>970</v>
      </c>
      <c r="J8746" s="25" t="str">
        <f t="shared" si="106"/>
        <v>Yes - see Previous F-Code</v>
      </c>
      <c r="K8746" s="25" t="str">
        <f t="shared" si="107"/>
        <v/>
      </c>
      <c r="L8746" s="25" t="str">
        <f t="shared" si="108"/>
        <v>F71026</v>
      </c>
      <c r="M8746" s="25"/>
      <c r="O8746" s="25"/>
    </row>
    <row r="8747" ht="15.75" customHeight="1">
      <c r="A8747" s="25" t="str">
        <f>IFERROR(__xludf.DUMMYFUNCTION("IF(B8747="""","""",RIGHT(REGEXREPLACE(B8747&amp;"""",""[^0-9]"",""""),9))"),"743372951")</f>
        <v>743372951</v>
      </c>
      <c r="B8747" s="52">
        <v>7.43372951E8</v>
      </c>
      <c r="C8747" s="28" t="s">
        <v>8886</v>
      </c>
      <c r="D8747" s="26" t="s">
        <v>45</v>
      </c>
      <c r="E8747" s="31">
        <v>46247.0</v>
      </c>
      <c r="F8747" s="26" t="s">
        <v>41</v>
      </c>
      <c r="G8747" s="26">
        <v>10.0</v>
      </c>
      <c r="I8747" s="26" t="s">
        <v>970</v>
      </c>
      <c r="J8747" s="25" t="str">
        <f t="shared" si="106"/>
        <v>No</v>
      </c>
      <c r="K8747" s="25" t="str">
        <f t="shared" si="107"/>
        <v/>
      </c>
      <c r="L8747" s="25" t="str">
        <f t="shared" si="108"/>
        <v/>
      </c>
      <c r="M8747" s="25"/>
      <c r="O8747" s="25"/>
    </row>
    <row r="8748" ht="15.75" customHeight="1">
      <c r="A8748" s="25" t="str">
        <f>IFERROR(__xludf.DUMMYFUNCTION("IF(B8748="""","""",RIGHT(REGEXREPLACE(B8748&amp;"""",""[^0-9]"",""""),9))"),"777759950")</f>
        <v>777759950</v>
      </c>
      <c r="B8748" s="52">
        <v>7.7775995E8</v>
      </c>
      <c r="C8748" s="28" t="s">
        <v>8887</v>
      </c>
      <c r="D8748" s="26" t="s">
        <v>64</v>
      </c>
      <c r="E8748" s="31">
        <v>46247.0</v>
      </c>
      <c r="F8748" s="26" t="s">
        <v>46</v>
      </c>
      <c r="G8748" s="26">
        <v>11.0</v>
      </c>
      <c r="H8748" s="26" t="s">
        <v>2293</v>
      </c>
      <c r="I8748" s="26" t="s">
        <v>970</v>
      </c>
      <c r="J8748" s="25" t="str">
        <f t="shared" si="106"/>
        <v>No</v>
      </c>
      <c r="K8748" s="25" t="str">
        <f t="shared" si="107"/>
        <v/>
      </c>
      <c r="L8748" s="25" t="str">
        <f t="shared" si="108"/>
        <v/>
      </c>
      <c r="M8748" s="25"/>
      <c r="O8748" s="25"/>
    </row>
    <row r="8749" ht="15.75" customHeight="1">
      <c r="A8749" s="25" t="str">
        <f>IFERROR(__xludf.DUMMYFUNCTION("IF(B8749="""","""",RIGHT(REGEXREPLACE(B8749&amp;"""",""[^0-9]"",""""),9))"),"715556343")</f>
        <v>715556343</v>
      </c>
      <c r="B8749" s="52">
        <v>7.15556343E8</v>
      </c>
      <c r="C8749" s="28" t="s">
        <v>8888</v>
      </c>
      <c r="D8749" s="26" t="s">
        <v>82</v>
      </c>
      <c r="E8749" s="31">
        <v>46247.0</v>
      </c>
      <c r="F8749" s="26" t="s">
        <v>205</v>
      </c>
      <c r="I8749" s="26" t="s">
        <v>970</v>
      </c>
      <c r="J8749" s="25" t="str">
        <f t="shared" si="106"/>
        <v>No</v>
      </c>
      <c r="K8749" s="25" t="str">
        <f t="shared" si="107"/>
        <v/>
      </c>
      <c r="L8749" s="25" t="str">
        <f t="shared" si="108"/>
        <v/>
      </c>
      <c r="M8749" s="25"/>
      <c r="O8749" s="25"/>
    </row>
    <row r="8750" ht="15.75" customHeight="1">
      <c r="A8750" s="25" t="str">
        <f>IFERROR(__xludf.DUMMYFUNCTION("IF(B8750="""","""",RIGHT(REGEXREPLACE(B8750&amp;"""",""[^0-9]"",""""),9))"),"760095035")</f>
        <v>760095035</v>
      </c>
      <c r="B8750" s="52">
        <v>7.60095035E8</v>
      </c>
      <c r="C8750" s="28" t="s">
        <v>8889</v>
      </c>
      <c r="D8750" s="26" t="s">
        <v>82</v>
      </c>
      <c r="E8750" s="31">
        <v>46247.0</v>
      </c>
      <c r="F8750" s="26" t="s">
        <v>164</v>
      </c>
      <c r="I8750" s="26" t="s">
        <v>970</v>
      </c>
      <c r="J8750" s="25" t="str">
        <f t="shared" si="106"/>
        <v>No</v>
      </c>
      <c r="K8750" s="25" t="str">
        <f t="shared" si="107"/>
        <v/>
      </c>
      <c r="L8750" s="25" t="str">
        <f t="shared" si="108"/>
        <v/>
      </c>
      <c r="M8750" s="25"/>
      <c r="O8750" s="25"/>
    </row>
    <row r="8751" ht="15.75" customHeight="1">
      <c r="A8751" s="25" t="str">
        <f>IFERROR(__xludf.DUMMYFUNCTION("IF(B8751="""","""",RIGHT(REGEXREPLACE(B8751&amp;"""",""[^0-9]"",""""),9))"),"759468009")</f>
        <v>759468009</v>
      </c>
      <c r="B8751" s="52">
        <v>7.59468009E8</v>
      </c>
      <c r="C8751" s="28" t="s">
        <v>8890</v>
      </c>
      <c r="D8751" s="26" t="s">
        <v>56</v>
      </c>
      <c r="E8751" s="31">
        <v>46247.0</v>
      </c>
      <c r="F8751" s="26" t="s">
        <v>46</v>
      </c>
      <c r="H8751" s="26" t="s">
        <v>8436</v>
      </c>
      <c r="I8751" s="26" t="s">
        <v>970</v>
      </c>
      <c r="J8751" s="25" t="str">
        <f t="shared" si="106"/>
        <v>No</v>
      </c>
      <c r="K8751" s="25" t="str">
        <f t="shared" si="107"/>
        <v/>
      </c>
      <c r="L8751" s="25" t="str">
        <f t="shared" si="108"/>
        <v/>
      </c>
      <c r="M8751" s="25"/>
      <c r="O8751" s="25"/>
    </row>
    <row r="8752" ht="15.75" customHeight="1">
      <c r="A8752" s="25" t="str">
        <f>IFERROR(__xludf.DUMMYFUNCTION("IF(B8752="""","""",RIGHT(REGEXREPLACE(B8752&amp;"""",""[^0-9]"",""""),9))"),"773268103")</f>
        <v>773268103</v>
      </c>
      <c r="B8752" s="52">
        <v>7.73268103E8</v>
      </c>
      <c r="C8752" s="28" t="s">
        <v>8890</v>
      </c>
      <c r="D8752" s="26" t="s">
        <v>82</v>
      </c>
      <c r="E8752" s="31">
        <v>46247.0</v>
      </c>
      <c r="F8752" s="26" t="s">
        <v>659</v>
      </c>
      <c r="I8752" s="26" t="s">
        <v>970</v>
      </c>
      <c r="J8752" s="25" t="str">
        <f t="shared" si="106"/>
        <v>No</v>
      </c>
      <c r="K8752" s="25" t="str">
        <f t="shared" si="107"/>
        <v/>
      </c>
      <c r="L8752" s="25" t="str">
        <f t="shared" si="108"/>
        <v/>
      </c>
      <c r="M8752" s="25"/>
      <c r="O8752" s="25"/>
    </row>
    <row r="8753" ht="15.75" customHeight="1">
      <c r="A8753" s="25" t="str">
        <f>IFERROR(__xludf.DUMMYFUNCTION("IF(B8753="""","""",RIGHT(REGEXREPLACE(B8753&amp;"""",""[^0-9]"",""""),9))"),"753639987")</f>
        <v>753639987</v>
      </c>
      <c r="B8753" s="52">
        <v>7.53639987E8</v>
      </c>
      <c r="C8753" s="28" t="s">
        <v>8188</v>
      </c>
      <c r="D8753" s="26" t="s">
        <v>64</v>
      </c>
      <c r="E8753" s="31">
        <v>46247.0</v>
      </c>
      <c r="F8753" s="26" t="s">
        <v>205</v>
      </c>
      <c r="G8753" s="26">
        <v>10.0</v>
      </c>
      <c r="I8753" s="26" t="s">
        <v>970</v>
      </c>
      <c r="J8753" s="25" t="str">
        <f t="shared" si="106"/>
        <v>Yes - see Previous F-Code</v>
      </c>
      <c r="K8753" s="25" t="str">
        <f t="shared" si="107"/>
        <v>DUPLICATE - CHECK</v>
      </c>
      <c r="L8753" s="25" t="str">
        <f t="shared" si="108"/>
        <v>F77001</v>
      </c>
      <c r="M8753" s="25"/>
      <c r="O8753" s="25"/>
    </row>
    <row r="8754" ht="15.75" customHeight="1">
      <c r="A8754" s="25" t="str">
        <f>IFERROR(__xludf.DUMMYFUNCTION("IF(B8754="""","""",RIGHT(REGEXREPLACE(B8754&amp;"""",""[^0-9]"",""""),9))"),"742403445")</f>
        <v>742403445</v>
      </c>
      <c r="B8754" s="52">
        <v>7.42403445E8</v>
      </c>
      <c r="C8754" s="28" t="s">
        <v>8891</v>
      </c>
      <c r="D8754" s="26" t="s">
        <v>45</v>
      </c>
      <c r="E8754" s="31">
        <v>46247.0</v>
      </c>
      <c r="F8754" s="26" t="s">
        <v>659</v>
      </c>
      <c r="G8754" s="26">
        <v>11.0</v>
      </c>
      <c r="I8754" s="26" t="s">
        <v>970</v>
      </c>
      <c r="J8754" s="25" t="str">
        <f t="shared" si="106"/>
        <v>No</v>
      </c>
      <c r="K8754" s="25" t="str">
        <f t="shared" si="107"/>
        <v/>
      </c>
      <c r="L8754" s="25" t="str">
        <f t="shared" si="108"/>
        <v/>
      </c>
      <c r="M8754" s="25"/>
      <c r="O8754" s="25"/>
    </row>
    <row r="8755" ht="15.75" customHeight="1">
      <c r="A8755" s="25" t="str">
        <f>IFERROR(__xludf.DUMMYFUNCTION("IF(B8755="""","""",RIGHT(REGEXREPLACE(B8755&amp;"""",""[^0-9]"",""""),9))"),"778979909")</f>
        <v>778979909</v>
      </c>
      <c r="B8755" s="52">
        <v>7.78979909E8</v>
      </c>
      <c r="C8755" s="28" t="s">
        <v>8892</v>
      </c>
      <c r="D8755" s="26" t="s">
        <v>82</v>
      </c>
      <c r="E8755" s="31">
        <v>46247.0</v>
      </c>
      <c r="F8755" s="26" t="s">
        <v>41</v>
      </c>
      <c r="I8755" s="26" t="s">
        <v>970</v>
      </c>
      <c r="J8755" s="25" t="str">
        <f t="shared" si="106"/>
        <v>No</v>
      </c>
      <c r="K8755" s="25" t="str">
        <f t="shared" si="107"/>
        <v/>
      </c>
      <c r="L8755" s="25" t="str">
        <f t="shared" si="108"/>
        <v/>
      </c>
      <c r="M8755" s="25"/>
      <c r="O8755" s="25"/>
    </row>
    <row r="8756" ht="15.75" customHeight="1">
      <c r="A8756" s="25" t="str">
        <f>IFERROR(__xludf.DUMMYFUNCTION("IF(B8756="""","""",RIGHT(REGEXREPLACE(B8756&amp;"""",""[^0-9]"",""""),9))"),"753404727")</f>
        <v>753404727</v>
      </c>
      <c r="B8756" s="52">
        <v>7.53404727E8</v>
      </c>
      <c r="C8756" s="28" t="s">
        <v>6165</v>
      </c>
      <c r="D8756" s="26" t="s">
        <v>45</v>
      </c>
      <c r="E8756" s="31">
        <v>46247.0</v>
      </c>
      <c r="F8756" s="26" t="s">
        <v>205</v>
      </c>
      <c r="I8756" s="26" t="s">
        <v>970</v>
      </c>
      <c r="J8756" s="25" t="str">
        <f t="shared" si="106"/>
        <v>Yes - see Previous F-Code</v>
      </c>
      <c r="K8756" s="25" t="str">
        <f t="shared" si="107"/>
        <v/>
      </c>
      <c r="L8756" s="25" t="str">
        <f t="shared" si="108"/>
        <v>F75567</v>
      </c>
      <c r="M8756" s="25"/>
      <c r="O8756" s="25"/>
    </row>
    <row r="8757" ht="15.75" customHeight="1">
      <c r="A8757" s="25" t="str">
        <f>IFERROR(__xludf.DUMMYFUNCTION("IF(B8757="""","""",RIGHT(REGEXREPLACE(B8757&amp;"""",""[^0-9]"",""""),9))"),"777684570")</f>
        <v>777684570</v>
      </c>
      <c r="B8757" s="52">
        <v>7.7768457E8</v>
      </c>
      <c r="C8757" s="28" t="s">
        <v>2709</v>
      </c>
      <c r="D8757" s="26" t="s">
        <v>45</v>
      </c>
      <c r="E8757" s="31">
        <v>46247.0</v>
      </c>
      <c r="F8757" s="26" t="s">
        <v>46</v>
      </c>
      <c r="G8757" s="26">
        <v>10.0</v>
      </c>
      <c r="I8757" s="26" t="s">
        <v>970</v>
      </c>
      <c r="J8757" s="25" t="str">
        <f t="shared" si="106"/>
        <v>Yes - see Previous F-Code</v>
      </c>
      <c r="K8757" s="25" t="str">
        <f t="shared" si="107"/>
        <v/>
      </c>
      <c r="L8757" s="25" t="str">
        <f t="shared" si="108"/>
        <v>F72395</v>
      </c>
      <c r="M8757" s="25"/>
      <c r="O8757" s="25"/>
    </row>
    <row r="8758" ht="15.75" customHeight="1">
      <c r="A8758" s="25" t="str">
        <f>IFERROR(__xludf.DUMMYFUNCTION("IF(B8758="""","""",RIGHT(REGEXREPLACE(B8758&amp;"""",""[^0-9]"",""""),9))"),"762868670")</f>
        <v>762868670</v>
      </c>
      <c r="B8758" s="52">
        <v>7.6286867E8</v>
      </c>
      <c r="C8758" s="28" t="s">
        <v>8530</v>
      </c>
      <c r="D8758" s="26" t="s">
        <v>56</v>
      </c>
      <c r="E8758" s="31">
        <v>46247.0</v>
      </c>
      <c r="F8758" s="26" t="s">
        <v>41</v>
      </c>
      <c r="I8758" s="26" t="s">
        <v>970</v>
      </c>
      <c r="J8758" s="25" t="str">
        <f t="shared" si="106"/>
        <v>Yes - see Previous F-Code</v>
      </c>
      <c r="K8758" s="25" t="str">
        <f t="shared" si="107"/>
        <v>DUPLICATE - CHECK</v>
      </c>
      <c r="L8758" s="25" t="str">
        <f t="shared" si="108"/>
        <v>F77292</v>
      </c>
      <c r="M8758" s="25"/>
      <c r="O8758" s="25"/>
    </row>
    <row r="8759" ht="15.75" customHeight="1">
      <c r="A8759" s="25" t="str">
        <f>IFERROR(__xludf.DUMMYFUNCTION("IF(B8759="""","""",RIGHT(REGEXREPLACE(B8759&amp;"""",""[^0-9]"",""""),9))"),"762938883")</f>
        <v>762938883</v>
      </c>
      <c r="B8759" s="52">
        <v>7.62938883E8</v>
      </c>
      <c r="C8759" s="28" t="s">
        <v>8893</v>
      </c>
      <c r="D8759" s="26" t="s">
        <v>64</v>
      </c>
      <c r="E8759" s="31">
        <v>46247.0</v>
      </c>
      <c r="F8759" s="26" t="s">
        <v>46</v>
      </c>
      <c r="G8759" s="26">
        <v>11.0</v>
      </c>
      <c r="I8759" s="26" t="s">
        <v>970</v>
      </c>
      <c r="J8759" s="25" t="str">
        <f t="shared" si="106"/>
        <v>No</v>
      </c>
      <c r="K8759" s="25" t="str">
        <f t="shared" si="107"/>
        <v/>
      </c>
      <c r="L8759" s="25" t="str">
        <f t="shared" si="108"/>
        <v/>
      </c>
      <c r="M8759" s="25"/>
      <c r="O8759" s="25"/>
    </row>
    <row r="8760" ht="15.75" customHeight="1">
      <c r="A8760" s="25" t="str">
        <f>IFERROR(__xludf.DUMMYFUNCTION("IF(B8760="""","""",RIGHT(REGEXREPLACE(B8760&amp;"""",""[^0-9]"",""""),9))"),"753188187")</f>
        <v>753188187</v>
      </c>
      <c r="B8760" s="52">
        <v>7.53188187E8</v>
      </c>
      <c r="C8760" s="28" t="s">
        <v>8894</v>
      </c>
      <c r="D8760" s="26" t="s">
        <v>82</v>
      </c>
      <c r="E8760" s="31">
        <v>46247.0</v>
      </c>
      <c r="F8760" s="26" t="s">
        <v>205</v>
      </c>
      <c r="I8760" s="26" t="s">
        <v>970</v>
      </c>
      <c r="J8760" s="25" t="str">
        <f t="shared" si="106"/>
        <v>No</v>
      </c>
      <c r="K8760" s="25" t="str">
        <f t="shared" si="107"/>
        <v/>
      </c>
      <c r="L8760" s="25" t="str">
        <f t="shared" si="108"/>
        <v/>
      </c>
      <c r="M8760" s="25"/>
      <c r="O8760" s="25"/>
    </row>
    <row r="8761" ht="15.75" customHeight="1">
      <c r="A8761" s="25" t="str">
        <f>IFERROR(__xludf.DUMMYFUNCTION("IF(B8761="""","""",RIGHT(REGEXREPLACE(B8761&amp;"""",""[^0-9]"",""""),9))"),"765940665")</f>
        <v>765940665</v>
      </c>
      <c r="B8761" s="52">
        <v>7.65940665E8</v>
      </c>
      <c r="C8761" s="28" t="s">
        <v>8895</v>
      </c>
      <c r="D8761" s="26" t="s">
        <v>82</v>
      </c>
      <c r="E8761" s="31">
        <v>46247.0</v>
      </c>
      <c r="F8761" s="26" t="s">
        <v>41</v>
      </c>
      <c r="I8761" s="26" t="s">
        <v>970</v>
      </c>
      <c r="J8761" s="25" t="str">
        <f t="shared" si="106"/>
        <v>No</v>
      </c>
      <c r="K8761" s="25" t="str">
        <f t="shared" si="107"/>
        <v/>
      </c>
      <c r="L8761" s="25" t="str">
        <f t="shared" si="108"/>
        <v/>
      </c>
      <c r="M8761" s="25"/>
      <c r="O8761" s="25"/>
    </row>
    <row r="8762" ht="15.75" customHeight="1">
      <c r="A8762" s="25" t="str">
        <f>IFERROR(__xludf.DUMMYFUNCTION("IF(B8762="""","""",RIGHT(REGEXREPLACE(B8762&amp;"""",""[^0-9]"",""""),9))"),"771221212")</f>
        <v>771221212</v>
      </c>
      <c r="B8762" s="52">
        <v>7.71221212E8</v>
      </c>
      <c r="C8762" s="28" t="s">
        <v>8896</v>
      </c>
      <c r="D8762" s="26" t="s">
        <v>45</v>
      </c>
      <c r="E8762" s="31">
        <v>46247.0</v>
      </c>
      <c r="F8762" s="26" t="s">
        <v>46</v>
      </c>
      <c r="G8762" s="26">
        <v>9.0</v>
      </c>
      <c r="H8762" s="26" t="s">
        <v>819</v>
      </c>
      <c r="I8762" s="26" t="s">
        <v>970</v>
      </c>
      <c r="J8762" s="25" t="str">
        <f t="shared" si="106"/>
        <v>No</v>
      </c>
      <c r="K8762" s="25" t="str">
        <f t="shared" si="107"/>
        <v/>
      </c>
      <c r="L8762" s="25" t="str">
        <f t="shared" si="108"/>
        <v/>
      </c>
      <c r="M8762" s="25"/>
      <c r="O8762" s="25"/>
    </row>
    <row r="8763" ht="15.75" customHeight="1">
      <c r="A8763" s="25" t="str">
        <f>IFERROR(__xludf.DUMMYFUNCTION("IF(B8763="""","""",RIGHT(REGEXREPLACE(B8763&amp;"""",""[^0-9]"",""""),9))"),"741018281")</f>
        <v>741018281</v>
      </c>
      <c r="B8763" s="52">
        <v>7.41018281E8</v>
      </c>
      <c r="C8763" s="28" t="s">
        <v>3989</v>
      </c>
      <c r="D8763" s="26" t="s">
        <v>56</v>
      </c>
      <c r="E8763" s="31">
        <v>46247.0</v>
      </c>
      <c r="F8763" s="26" t="s">
        <v>46</v>
      </c>
      <c r="G8763" s="26">
        <v>10.0</v>
      </c>
      <c r="H8763" s="26" t="s">
        <v>8436</v>
      </c>
      <c r="I8763" s="26" t="s">
        <v>970</v>
      </c>
      <c r="J8763" s="25" t="str">
        <f t="shared" si="106"/>
        <v>Yes - see Previous F-Code</v>
      </c>
      <c r="K8763" s="25" t="str">
        <f t="shared" si="107"/>
        <v/>
      </c>
      <c r="L8763" s="25" t="str">
        <f t="shared" si="108"/>
        <v>F73635</v>
      </c>
      <c r="M8763" s="25"/>
      <c r="O8763" s="25"/>
    </row>
    <row r="8764" ht="15.75" customHeight="1">
      <c r="A8764" s="25" t="str">
        <f>IFERROR(__xludf.DUMMYFUNCTION("IF(B8764="""","""",RIGHT(REGEXREPLACE(B8764&amp;"""",""[^0-9]"",""""),9))"),"777478763")</f>
        <v>777478763</v>
      </c>
      <c r="B8764" s="52">
        <v>7.77478763E8</v>
      </c>
      <c r="C8764" s="28" t="s">
        <v>8578</v>
      </c>
      <c r="D8764" s="26" t="s">
        <v>64</v>
      </c>
      <c r="E8764" s="31">
        <v>46247.0</v>
      </c>
      <c r="F8764" s="26" t="s">
        <v>46</v>
      </c>
      <c r="G8764" s="26">
        <v>11.0</v>
      </c>
      <c r="I8764" s="26" t="s">
        <v>970</v>
      </c>
      <c r="J8764" s="25" t="str">
        <f t="shared" si="106"/>
        <v>Yes - see Previous F-Code</v>
      </c>
      <c r="K8764" s="25" t="str">
        <f t="shared" si="107"/>
        <v>DUPLICATE - CHECK</v>
      </c>
      <c r="L8764" s="25" t="str">
        <f t="shared" si="108"/>
        <v>F77342</v>
      </c>
      <c r="M8764" s="25"/>
      <c r="O8764" s="25"/>
    </row>
    <row r="8765" ht="15.75" customHeight="1">
      <c r="A8765" s="25" t="str">
        <f>IFERROR(__xludf.DUMMYFUNCTION("IF(B8765="""","""",RIGHT(REGEXREPLACE(B8765&amp;"""",""[^0-9]"",""""),9))"),"715264491")</f>
        <v>715264491</v>
      </c>
      <c r="B8765" s="52">
        <v>7.15264491E8</v>
      </c>
      <c r="C8765" s="28" t="s">
        <v>8897</v>
      </c>
      <c r="D8765" s="26" t="s">
        <v>82</v>
      </c>
      <c r="E8765" s="31">
        <v>46247.0</v>
      </c>
      <c r="F8765" s="26" t="s">
        <v>46</v>
      </c>
      <c r="G8765" s="96">
        <v>46306.0</v>
      </c>
      <c r="I8765" s="26" t="s">
        <v>970</v>
      </c>
      <c r="J8765" s="25" t="str">
        <f t="shared" si="106"/>
        <v>No</v>
      </c>
      <c r="K8765" s="25" t="str">
        <f t="shared" si="107"/>
        <v/>
      </c>
      <c r="L8765" s="25" t="str">
        <f t="shared" si="108"/>
        <v/>
      </c>
      <c r="M8765" s="25"/>
      <c r="O8765" s="25"/>
    </row>
    <row r="8766" ht="15.75" customHeight="1">
      <c r="A8766" s="25" t="str">
        <f>IFERROR(__xludf.DUMMYFUNCTION("IF(B8766="""","""",RIGHT(REGEXREPLACE(B8766&amp;"""",""[^0-9]"",""""),9))"),"766696688")</f>
        <v>766696688</v>
      </c>
      <c r="B8766" s="52">
        <v>7.66696688E8</v>
      </c>
      <c r="C8766" s="28" t="s">
        <v>8897</v>
      </c>
      <c r="D8766" s="26" t="s">
        <v>45</v>
      </c>
      <c r="E8766" s="31">
        <v>46247.0</v>
      </c>
      <c r="F8766" s="26" t="s">
        <v>46</v>
      </c>
      <c r="G8766" s="26">
        <v>10.0</v>
      </c>
      <c r="I8766" s="26" t="s">
        <v>970</v>
      </c>
      <c r="J8766" s="25" t="str">
        <f t="shared" si="106"/>
        <v>No</v>
      </c>
      <c r="K8766" s="25" t="str">
        <f t="shared" si="107"/>
        <v/>
      </c>
      <c r="L8766" s="25" t="str">
        <f t="shared" si="108"/>
        <v/>
      </c>
      <c r="M8766" s="25"/>
      <c r="O8766" s="25"/>
    </row>
    <row r="8767" ht="15.75" customHeight="1">
      <c r="A8767" s="25" t="str">
        <f>IFERROR(__xludf.DUMMYFUNCTION("IF(B8767="""","""",RIGHT(REGEXREPLACE(B8767&amp;"""",""[^0-9]"",""""),9))"),"772414260")</f>
        <v>772414260</v>
      </c>
      <c r="B8767" s="52">
        <v>7.7241426E8</v>
      </c>
      <c r="C8767" s="28" t="s">
        <v>8898</v>
      </c>
      <c r="D8767" s="26" t="s">
        <v>56</v>
      </c>
      <c r="E8767" s="31">
        <v>46247.0</v>
      </c>
      <c r="F8767" s="26" t="s">
        <v>205</v>
      </c>
      <c r="I8767" s="26" t="s">
        <v>970</v>
      </c>
      <c r="J8767" s="25" t="str">
        <f t="shared" si="106"/>
        <v>No</v>
      </c>
      <c r="K8767" s="25" t="str">
        <f t="shared" si="107"/>
        <v/>
      </c>
      <c r="L8767" s="25" t="str">
        <f t="shared" si="108"/>
        <v/>
      </c>
      <c r="M8767" s="25"/>
      <c r="O8767" s="25"/>
    </row>
    <row r="8768" ht="15.75" customHeight="1">
      <c r="A8768" s="25" t="str">
        <f>IFERROR(__xludf.DUMMYFUNCTION("IF(B8768="""","""",RIGHT(REGEXREPLACE(B8768&amp;"""",""[^0-9]"",""""),9))"),"777146095")</f>
        <v>777146095</v>
      </c>
      <c r="B8768" s="52">
        <v>7.77146095E8</v>
      </c>
      <c r="C8768" s="28" t="s">
        <v>8301</v>
      </c>
      <c r="D8768" s="26" t="s">
        <v>45</v>
      </c>
      <c r="E8768" s="31">
        <v>46247.0</v>
      </c>
      <c r="F8768" s="26" t="s">
        <v>46</v>
      </c>
      <c r="G8768" s="26">
        <v>10.0</v>
      </c>
      <c r="I8768" s="26" t="s">
        <v>970</v>
      </c>
      <c r="J8768" s="25" t="str">
        <f t="shared" si="106"/>
        <v>Yes - see Previous F-Code</v>
      </c>
      <c r="K8768" s="25" t="str">
        <f t="shared" si="107"/>
        <v>DUPLICATE - CHECK</v>
      </c>
      <c r="L8768" s="25" t="str">
        <f t="shared" si="108"/>
        <v>F77088</v>
      </c>
      <c r="M8768" s="25"/>
      <c r="O8768" s="25"/>
    </row>
    <row r="8769" ht="15.75" customHeight="1">
      <c r="A8769" s="25" t="str">
        <f>IFERROR(__xludf.DUMMYFUNCTION("IF(B8769="""","""",RIGHT(REGEXREPLACE(B8769&amp;"""",""[^0-9]"",""""),9))"),"769381838")</f>
        <v>769381838</v>
      </c>
      <c r="B8769" s="52">
        <v>7.69381838E8</v>
      </c>
      <c r="C8769" s="28" t="s">
        <v>8899</v>
      </c>
      <c r="D8769" s="26" t="s">
        <v>64</v>
      </c>
      <c r="E8769" s="31">
        <v>46247.0</v>
      </c>
      <c r="F8769" s="26" t="s">
        <v>41</v>
      </c>
      <c r="I8769" s="26" t="s">
        <v>970</v>
      </c>
      <c r="J8769" s="25" t="str">
        <f t="shared" si="106"/>
        <v>No</v>
      </c>
      <c r="K8769" s="25" t="str">
        <f t="shared" si="107"/>
        <v/>
      </c>
      <c r="L8769" s="25" t="str">
        <f t="shared" si="108"/>
        <v/>
      </c>
      <c r="M8769" s="25"/>
      <c r="O8769" s="25"/>
    </row>
    <row r="8770" ht="15.75" customHeight="1">
      <c r="A8770" s="25" t="str">
        <f>IFERROR(__xludf.DUMMYFUNCTION("IF(B8770="""","""",RIGHT(REGEXREPLACE(B8770&amp;"""",""[^0-9]"",""""),9))"),"729226880")</f>
        <v>729226880</v>
      </c>
      <c r="B8770" s="52">
        <v>7.2922688E8</v>
      </c>
      <c r="C8770" s="28" t="s">
        <v>8900</v>
      </c>
      <c r="D8770" s="26" t="s">
        <v>82</v>
      </c>
      <c r="E8770" s="31">
        <v>46247.0</v>
      </c>
      <c r="F8770" s="26" t="s">
        <v>41</v>
      </c>
      <c r="H8770" s="26" t="s">
        <v>8436</v>
      </c>
      <c r="I8770" s="26" t="s">
        <v>970</v>
      </c>
      <c r="J8770" s="25" t="str">
        <f t="shared" si="106"/>
        <v>No</v>
      </c>
      <c r="K8770" s="25" t="str">
        <f t="shared" si="107"/>
        <v/>
      </c>
      <c r="L8770" s="25" t="str">
        <f t="shared" si="108"/>
        <v/>
      </c>
      <c r="M8770" s="25"/>
      <c r="O8770" s="25"/>
    </row>
    <row r="8771" ht="15.75" customHeight="1">
      <c r="A8771" s="25" t="str">
        <f>IFERROR(__xludf.DUMMYFUNCTION("IF(B8771="""","""",RIGHT(REGEXREPLACE(B8771&amp;"""",""[^0-9]"",""""),9))"),"777191332")</f>
        <v>777191332</v>
      </c>
      <c r="B8771" s="52">
        <v>7.77191332E8</v>
      </c>
      <c r="C8771" s="28" t="s">
        <v>8901</v>
      </c>
      <c r="D8771" s="26" t="s">
        <v>45</v>
      </c>
      <c r="E8771" s="31">
        <v>46247.0</v>
      </c>
      <c r="F8771" s="26" t="s">
        <v>46</v>
      </c>
      <c r="G8771" s="26">
        <v>11.0</v>
      </c>
      <c r="I8771" s="26" t="s">
        <v>970</v>
      </c>
      <c r="J8771" s="25" t="str">
        <f t="shared" si="106"/>
        <v>No</v>
      </c>
      <c r="K8771" s="25" t="str">
        <f t="shared" si="107"/>
        <v/>
      </c>
      <c r="L8771" s="25" t="str">
        <f t="shared" si="108"/>
        <v/>
      </c>
      <c r="M8771" s="25"/>
      <c r="O8771" s="25"/>
    </row>
    <row r="8772" ht="15.75" customHeight="1">
      <c r="A8772" s="25" t="str">
        <f>IFERROR(__xludf.DUMMYFUNCTION("IF(B8772="""","""",RIGHT(REGEXREPLACE(B8772&amp;"""",""[^0-9]"",""""),9))"),"774905470")</f>
        <v>774905470</v>
      </c>
      <c r="B8772" s="52">
        <v>7.7490547E8</v>
      </c>
      <c r="C8772" s="28" t="s">
        <v>8902</v>
      </c>
      <c r="D8772" s="26" t="s">
        <v>56</v>
      </c>
      <c r="E8772" s="31">
        <v>46247.0</v>
      </c>
      <c r="F8772" s="26" t="s">
        <v>41</v>
      </c>
      <c r="H8772" s="26" t="s">
        <v>8903</v>
      </c>
      <c r="I8772" s="26" t="s">
        <v>970</v>
      </c>
      <c r="J8772" s="25" t="str">
        <f t="shared" si="106"/>
        <v>No</v>
      </c>
      <c r="K8772" s="25" t="str">
        <f t="shared" si="107"/>
        <v/>
      </c>
      <c r="L8772" s="25" t="str">
        <f t="shared" si="108"/>
        <v/>
      </c>
      <c r="M8772" s="25"/>
      <c r="O8772" s="25"/>
    </row>
    <row r="8773" ht="15.75" customHeight="1">
      <c r="A8773" s="25" t="str">
        <f>IFERROR(__xludf.DUMMYFUNCTION("IF(B8773="""","""",RIGHT(REGEXREPLACE(B8773&amp;"""",""[^0-9]"",""""),9))"),"774607087")</f>
        <v>774607087</v>
      </c>
      <c r="B8773" s="52">
        <v>7.74607087E8</v>
      </c>
      <c r="C8773" s="28" t="s">
        <v>8904</v>
      </c>
      <c r="D8773" s="26" t="s">
        <v>64</v>
      </c>
      <c r="E8773" s="31">
        <v>46247.0</v>
      </c>
      <c r="F8773" s="26" t="s">
        <v>46</v>
      </c>
      <c r="H8773" s="26" t="s">
        <v>8905</v>
      </c>
      <c r="I8773" s="26" t="s">
        <v>970</v>
      </c>
      <c r="J8773" s="25" t="str">
        <f t="shared" si="106"/>
        <v>No</v>
      </c>
      <c r="K8773" s="25" t="str">
        <f t="shared" si="107"/>
        <v/>
      </c>
      <c r="L8773" s="25" t="str">
        <f t="shared" si="108"/>
        <v/>
      </c>
      <c r="M8773" s="25"/>
      <c r="O8773" s="25"/>
    </row>
    <row r="8774" ht="15.75" customHeight="1">
      <c r="A8774" s="25" t="str">
        <f>IFERROR(__xludf.DUMMYFUNCTION("IF(B8774="""","""",RIGHT(REGEXREPLACE(B8774&amp;"""",""[^0-9]"",""""),9))"),"757118720")</f>
        <v>757118720</v>
      </c>
      <c r="B8774" s="52">
        <v>7.5711872E8</v>
      </c>
      <c r="C8774" s="28" t="s">
        <v>8906</v>
      </c>
      <c r="D8774" s="26" t="s">
        <v>56</v>
      </c>
      <c r="E8774" s="31">
        <v>46247.0</v>
      </c>
      <c r="F8774" s="26" t="s">
        <v>631</v>
      </c>
      <c r="G8774" s="26">
        <v>11.0</v>
      </c>
      <c r="H8774" s="26" t="s">
        <v>8903</v>
      </c>
      <c r="I8774" s="26" t="s">
        <v>970</v>
      </c>
      <c r="J8774" s="25" t="str">
        <f t="shared" si="106"/>
        <v>No</v>
      </c>
      <c r="K8774" s="25" t="str">
        <f t="shared" si="107"/>
        <v/>
      </c>
      <c r="L8774" s="25" t="str">
        <f t="shared" si="108"/>
        <v/>
      </c>
      <c r="M8774" s="25"/>
      <c r="O8774" s="25"/>
    </row>
    <row r="8775" ht="15.75" customHeight="1">
      <c r="A8775" s="25" t="str">
        <f>IFERROR(__xludf.DUMMYFUNCTION("IF(B8775="""","""",RIGHT(REGEXREPLACE(B8775&amp;"""",""[^0-9]"",""""),9))"),"701445249")</f>
        <v>701445249</v>
      </c>
      <c r="B8775" s="52">
        <v>7.01445249E8</v>
      </c>
      <c r="C8775" s="28" t="s">
        <v>8907</v>
      </c>
      <c r="D8775" s="26" t="s">
        <v>64</v>
      </c>
      <c r="E8775" s="31">
        <v>46247.0</v>
      </c>
      <c r="F8775" s="26" t="s">
        <v>659</v>
      </c>
      <c r="G8775" s="26">
        <v>7.0</v>
      </c>
      <c r="I8775" s="26" t="s">
        <v>970</v>
      </c>
      <c r="J8775" s="25" t="str">
        <f t="shared" si="106"/>
        <v>No</v>
      </c>
      <c r="K8775" s="25" t="str">
        <f t="shared" si="107"/>
        <v/>
      </c>
      <c r="L8775" s="25" t="str">
        <f t="shared" si="108"/>
        <v/>
      </c>
      <c r="M8775" s="25"/>
      <c r="O8775" s="25"/>
    </row>
    <row r="8776" ht="15.75" customHeight="1">
      <c r="A8776" s="25" t="str">
        <f>IFERROR(__xludf.DUMMYFUNCTION("IF(B8776="""","""",RIGHT(REGEXREPLACE(B8776&amp;"""",""[^0-9]"",""""),9))"),"776237808")</f>
        <v>776237808</v>
      </c>
      <c r="B8776" s="52">
        <v>7.76237808E8</v>
      </c>
      <c r="C8776" s="28" t="s">
        <v>8908</v>
      </c>
      <c r="D8776" s="26" t="s">
        <v>45</v>
      </c>
      <c r="E8776" s="31">
        <v>46247.0</v>
      </c>
      <c r="F8776" s="26" t="s">
        <v>41</v>
      </c>
      <c r="I8776" s="26" t="s">
        <v>970</v>
      </c>
      <c r="J8776" s="25" t="str">
        <f t="shared" si="106"/>
        <v>No</v>
      </c>
      <c r="K8776" s="25" t="str">
        <f t="shared" si="107"/>
        <v/>
      </c>
      <c r="L8776" s="25" t="str">
        <f t="shared" si="108"/>
        <v/>
      </c>
      <c r="M8776" s="25"/>
      <c r="O8776" s="25"/>
    </row>
    <row r="8777" ht="15.75" customHeight="1">
      <c r="A8777" s="25" t="str">
        <f>IFERROR(__xludf.DUMMYFUNCTION("IF(B8777="""","""",RIGHT(REGEXREPLACE(B8777&amp;"""",""[^0-9]"",""""),9))"),"707694093")</f>
        <v>707694093</v>
      </c>
      <c r="B8777" s="52">
        <v>7.07694093E8</v>
      </c>
      <c r="C8777" s="28" t="s">
        <v>8908</v>
      </c>
      <c r="D8777" s="26" t="s">
        <v>82</v>
      </c>
      <c r="E8777" s="31">
        <v>46247.0</v>
      </c>
      <c r="F8777" s="26" t="s">
        <v>46</v>
      </c>
      <c r="G8777" s="26">
        <v>8.0</v>
      </c>
      <c r="H8777" s="26" t="s">
        <v>8909</v>
      </c>
      <c r="I8777" s="26" t="s">
        <v>970</v>
      </c>
      <c r="J8777" s="25" t="str">
        <f t="shared" si="106"/>
        <v>No</v>
      </c>
      <c r="K8777" s="25" t="str">
        <f t="shared" si="107"/>
        <v/>
      </c>
      <c r="L8777" s="25" t="str">
        <f t="shared" si="108"/>
        <v/>
      </c>
      <c r="M8777" s="25"/>
      <c r="O8777" s="25"/>
    </row>
    <row r="8778" ht="15.75" customHeight="1">
      <c r="A8778" s="25" t="str">
        <f>IFERROR(__xludf.DUMMYFUNCTION("IF(B8778="""","""",RIGHT(REGEXREPLACE(B8778&amp;"""",""[^0-9]"",""""),9))"),"715285403")</f>
        <v>715285403</v>
      </c>
      <c r="B8778" s="52">
        <v>7.15285403E8</v>
      </c>
      <c r="C8778" s="28" t="s">
        <v>8910</v>
      </c>
      <c r="D8778" s="26" t="s">
        <v>45</v>
      </c>
      <c r="E8778" s="31">
        <v>46247.0</v>
      </c>
      <c r="F8778" s="26" t="s">
        <v>41</v>
      </c>
      <c r="G8778" s="26">
        <v>8.0</v>
      </c>
      <c r="I8778" s="26" t="s">
        <v>970</v>
      </c>
      <c r="J8778" s="25" t="str">
        <f t="shared" si="106"/>
        <v>No</v>
      </c>
      <c r="K8778" s="25" t="str">
        <f t="shared" si="107"/>
        <v/>
      </c>
      <c r="L8778" s="25" t="str">
        <f t="shared" si="108"/>
        <v/>
      </c>
      <c r="M8778" s="25"/>
      <c r="O8778" s="25"/>
    </row>
    <row r="8779" ht="15.75" customHeight="1">
      <c r="A8779" s="25" t="str">
        <f>IFERROR(__xludf.DUMMYFUNCTION("IF(B8779="""","""",RIGHT(REGEXREPLACE(B8779&amp;"""",""[^0-9]"",""""),9))"),"769380105")</f>
        <v>769380105</v>
      </c>
      <c r="B8779" s="52">
        <v>7.69380105E8</v>
      </c>
      <c r="C8779" s="28" t="s">
        <v>8911</v>
      </c>
      <c r="D8779" s="26" t="s">
        <v>64</v>
      </c>
      <c r="E8779" s="31">
        <v>46247.0</v>
      </c>
      <c r="F8779" s="26" t="s">
        <v>46</v>
      </c>
      <c r="G8779" s="26">
        <v>11.0</v>
      </c>
      <c r="I8779" s="26" t="s">
        <v>970</v>
      </c>
      <c r="J8779" s="25" t="str">
        <f t="shared" si="106"/>
        <v>No</v>
      </c>
      <c r="K8779" s="25" t="str">
        <f t="shared" si="107"/>
        <v/>
      </c>
      <c r="L8779" s="25" t="str">
        <f t="shared" si="108"/>
        <v/>
      </c>
      <c r="M8779" s="25"/>
      <c r="O8779" s="25"/>
    </row>
    <row r="8780" ht="15.75" customHeight="1">
      <c r="A8780" s="25" t="str">
        <f>IFERROR(__xludf.DUMMYFUNCTION("IF(B8780="""","""",RIGHT(REGEXREPLACE(B8780&amp;"""",""[^0-9]"",""""),9))"),"705005700")</f>
        <v>705005700</v>
      </c>
      <c r="B8780" s="52">
        <v>7.050057E8</v>
      </c>
      <c r="C8780" s="28" t="s">
        <v>1284</v>
      </c>
      <c r="D8780" s="26" t="s">
        <v>45</v>
      </c>
      <c r="E8780" s="31">
        <v>46247.0</v>
      </c>
      <c r="F8780" s="26" t="s">
        <v>41</v>
      </c>
      <c r="I8780" s="26" t="s">
        <v>970</v>
      </c>
      <c r="J8780" s="25" t="str">
        <f t="shared" si="106"/>
        <v>Yes - see Previous F-Code</v>
      </c>
      <c r="K8780" s="25" t="str">
        <f t="shared" si="107"/>
        <v/>
      </c>
      <c r="L8780" s="25" t="str">
        <f t="shared" si="108"/>
        <v>F71017</v>
      </c>
      <c r="M8780" s="25"/>
      <c r="O8780" s="25"/>
    </row>
    <row r="8781" ht="15.75" customHeight="1">
      <c r="A8781" s="25" t="str">
        <f>IFERROR(__xludf.DUMMYFUNCTION("IF(B8781="""","""",RIGHT(REGEXREPLACE(B8781&amp;"""",""[^0-9]"",""""),9))"),"770295651")</f>
        <v>770295651</v>
      </c>
      <c r="B8781" s="52">
        <v>7.70295651E8</v>
      </c>
      <c r="C8781" s="28" t="s">
        <v>8912</v>
      </c>
      <c r="D8781" s="26" t="s">
        <v>82</v>
      </c>
      <c r="E8781" s="31">
        <v>46247.0</v>
      </c>
      <c r="F8781" s="26" t="s">
        <v>46</v>
      </c>
      <c r="H8781" s="26" t="s">
        <v>879</v>
      </c>
      <c r="I8781" s="26" t="s">
        <v>970</v>
      </c>
      <c r="J8781" s="25" t="str">
        <f t="shared" si="106"/>
        <v>No</v>
      </c>
      <c r="K8781" s="25" t="str">
        <f t="shared" si="107"/>
        <v/>
      </c>
      <c r="L8781" s="25" t="str">
        <f t="shared" si="108"/>
        <v/>
      </c>
      <c r="M8781" s="25"/>
      <c r="O8781" s="25"/>
    </row>
    <row r="8782" ht="15.75" customHeight="1">
      <c r="A8782" s="25" t="str">
        <f>IFERROR(__xludf.DUMMYFUNCTION("IF(B8782="""","""",RIGHT(REGEXREPLACE(B8782&amp;"""",""[^0-9]"",""""),9))"),"701265441")</f>
        <v>701265441</v>
      </c>
      <c r="B8782" s="52">
        <v>7.01265441E8</v>
      </c>
      <c r="C8782" s="28" t="s">
        <v>8558</v>
      </c>
      <c r="D8782" s="26" t="s">
        <v>45</v>
      </c>
      <c r="E8782" s="31">
        <v>46247.0</v>
      </c>
      <c r="F8782" s="26" t="s">
        <v>46</v>
      </c>
      <c r="G8782" s="26">
        <v>11.0</v>
      </c>
      <c r="H8782" s="26" t="s">
        <v>819</v>
      </c>
      <c r="I8782" s="26" t="s">
        <v>970</v>
      </c>
      <c r="J8782" s="25" t="str">
        <f t="shared" si="106"/>
        <v>Yes - see Previous F-Code</v>
      </c>
      <c r="K8782" s="25" t="str">
        <f t="shared" si="107"/>
        <v>DUPLICATE - CHECK</v>
      </c>
      <c r="L8782" s="25" t="str">
        <f t="shared" si="108"/>
        <v>F77321</v>
      </c>
      <c r="M8782" s="25"/>
      <c r="O8782" s="25"/>
    </row>
    <row r="8783" ht="15.75" customHeight="1">
      <c r="A8783" s="25" t="str">
        <f>IFERROR(__xludf.DUMMYFUNCTION("IF(B8783="""","""",RIGHT(REGEXREPLACE(B8783&amp;"""",""[^0-9]"",""""),9))"),"776168996")</f>
        <v>776168996</v>
      </c>
      <c r="B8783" s="52">
        <v>7.76168996E8</v>
      </c>
      <c r="C8783" s="28" t="s">
        <v>8913</v>
      </c>
      <c r="D8783" s="26" t="s">
        <v>45</v>
      </c>
      <c r="E8783" s="31">
        <v>46247.0</v>
      </c>
      <c r="F8783" s="26" t="s">
        <v>205</v>
      </c>
      <c r="I8783" s="26" t="s">
        <v>970</v>
      </c>
      <c r="J8783" s="25" t="str">
        <f t="shared" si="106"/>
        <v>No</v>
      </c>
      <c r="K8783" s="25" t="str">
        <f t="shared" si="107"/>
        <v/>
      </c>
      <c r="L8783" s="25" t="str">
        <f t="shared" si="108"/>
        <v/>
      </c>
      <c r="M8783" s="25"/>
      <c r="O8783" s="25"/>
    </row>
    <row r="8784" ht="15.75" customHeight="1">
      <c r="A8784" s="25" t="str">
        <f>IFERROR(__xludf.DUMMYFUNCTION("IF(B8784="""","""",RIGHT(REGEXREPLACE(B8784&amp;"""",""[^0-9]"",""""),9))"),"767801480")</f>
        <v>767801480</v>
      </c>
      <c r="B8784" s="52">
        <v>7.6780148E8</v>
      </c>
      <c r="C8784" s="28" t="s">
        <v>8914</v>
      </c>
      <c r="D8784" s="26" t="s">
        <v>82</v>
      </c>
      <c r="E8784" s="31">
        <v>46247.0</v>
      </c>
      <c r="F8784" s="26" t="s">
        <v>41</v>
      </c>
      <c r="I8784" s="26" t="s">
        <v>970</v>
      </c>
      <c r="J8784" s="25" t="str">
        <f t="shared" si="106"/>
        <v>No</v>
      </c>
      <c r="K8784" s="25" t="str">
        <f t="shared" si="107"/>
        <v/>
      </c>
      <c r="L8784" s="25" t="str">
        <f t="shared" si="108"/>
        <v/>
      </c>
      <c r="M8784" s="25"/>
      <c r="O8784" s="25"/>
    </row>
    <row r="8785" ht="15.75" customHeight="1">
      <c r="A8785" s="25" t="str">
        <f>IFERROR(__xludf.DUMMYFUNCTION("IF(B8785="""","""",RIGHT(REGEXREPLACE(B8785&amp;"""",""[^0-9]"",""""),9))"),"711522322")</f>
        <v>711522322</v>
      </c>
      <c r="B8785" s="52">
        <v>7.11522322E8</v>
      </c>
      <c r="C8785" s="28" t="s">
        <v>8915</v>
      </c>
      <c r="D8785" s="26" t="s">
        <v>56</v>
      </c>
      <c r="E8785" s="31">
        <v>46247.0</v>
      </c>
      <c r="F8785" s="26" t="s">
        <v>41</v>
      </c>
      <c r="H8785" s="26" t="s">
        <v>8436</v>
      </c>
      <c r="I8785" s="26" t="s">
        <v>970</v>
      </c>
      <c r="J8785" s="25" t="str">
        <f t="shared" si="106"/>
        <v>No</v>
      </c>
      <c r="K8785" s="25" t="str">
        <f t="shared" si="107"/>
        <v/>
      </c>
      <c r="L8785" s="25" t="str">
        <f t="shared" si="108"/>
        <v/>
      </c>
      <c r="M8785" s="25"/>
      <c r="O8785" s="25"/>
    </row>
    <row r="8786" ht="15.75" customHeight="1">
      <c r="A8786" s="25" t="str">
        <f>IFERROR(__xludf.DUMMYFUNCTION("IF(B8786="""","""",RIGHT(REGEXREPLACE(B8786&amp;"""",""[^0-9]"",""""),9))"),"778420085")</f>
        <v>778420085</v>
      </c>
      <c r="B8786" s="52">
        <v>7.78420085E8</v>
      </c>
      <c r="C8786" s="28" t="s">
        <v>8916</v>
      </c>
      <c r="D8786" s="26" t="s">
        <v>64</v>
      </c>
      <c r="E8786" s="31">
        <v>46247.0</v>
      </c>
      <c r="F8786" s="26" t="s">
        <v>205</v>
      </c>
      <c r="G8786" s="26">
        <v>10.0</v>
      </c>
      <c r="I8786" s="26" t="s">
        <v>970</v>
      </c>
      <c r="J8786" s="25" t="str">
        <f t="shared" si="106"/>
        <v>No</v>
      </c>
      <c r="K8786" s="25" t="str">
        <f t="shared" si="107"/>
        <v/>
      </c>
      <c r="L8786" s="25" t="str">
        <f t="shared" si="108"/>
        <v/>
      </c>
      <c r="M8786" s="25"/>
      <c r="O8786" s="25"/>
    </row>
    <row r="8787" ht="15.75" customHeight="1">
      <c r="A8787" s="25" t="str">
        <f>IFERROR(__xludf.DUMMYFUNCTION("IF(B8787="""","""",RIGHT(REGEXREPLACE(B8787&amp;"""",""[^0-9]"",""""),9))"),"764615194")</f>
        <v>764615194</v>
      </c>
      <c r="B8787" s="52">
        <v>7.64615194E8</v>
      </c>
      <c r="C8787" s="28" t="s">
        <v>8917</v>
      </c>
      <c r="D8787" s="26" t="s">
        <v>45</v>
      </c>
      <c r="E8787" s="31">
        <v>46247.0</v>
      </c>
      <c r="F8787" s="26" t="s">
        <v>41</v>
      </c>
      <c r="I8787" s="26" t="s">
        <v>970</v>
      </c>
      <c r="J8787" s="25" t="str">
        <f t="shared" si="106"/>
        <v>No</v>
      </c>
      <c r="K8787" s="25" t="str">
        <f t="shared" si="107"/>
        <v/>
      </c>
      <c r="L8787" s="25" t="str">
        <f t="shared" si="108"/>
        <v/>
      </c>
      <c r="M8787" s="25"/>
      <c r="O8787" s="25"/>
    </row>
    <row r="8788" ht="15.75" customHeight="1">
      <c r="A8788" s="25" t="str">
        <f>IFERROR(__xludf.DUMMYFUNCTION("IF(B8788="""","""",RIGHT(REGEXREPLACE(B8788&amp;"""",""[^0-9]"",""""),9))"),"778600780")</f>
        <v>778600780</v>
      </c>
      <c r="B8788" s="52">
        <v>4.77860078E9</v>
      </c>
      <c r="C8788" s="28" t="s">
        <v>8918</v>
      </c>
      <c r="D8788" s="26" t="s">
        <v>64</v>
      </c>
      <c r="E8788" s="31">
        <v>46247.0</v>
      </c>
      <c r="F8788" s="26" t="s">
        <v>41</v>
      </c>
      <c r="I8788" s="26" t="s">
        <v>970</v>
      </c>
      <c r="J8788" s="25" t="str">
        <f t="shared" si="106"/>
        <v>No</v>
      </c>
      <c r="K8788" s="25" t="str">
        <f t="shared" si="107"/>
        <v/>
      </c>
      <c r="L8788" s="25" t="str">
        <f t="shared" si="108"/>
        <v/>
      </c>
      <c r="M8788" s="25"/>
      <c r="O8788" s="25"/>
    </row>
    <row r="8789" ht="15.75" customHeight="1">
      <c r="A8789" s="25" t="str">
        <f>IFERROR(__xludf.DUMMYFUNCTION("IF(B8789="""","""",RIGHT(REGEXREPLACE(B8789&amp;"""",""[^0-9]"",""""),9))"),"766021744")</f>
        <v>766021744</v>
      </c>
      <c r="B8789" s="52">
        <v>7.66021744E8</v>
      </c>
      <c r="C8789" s="28" t="s">
        <v>8919</v>
      </c>
      <c r="D8789" s="26" t="s">
        <v>45</v>
      </c>
      <c r="E8789" s="31">
        <v>46247.0</v>
      </c>
      <c r="F8789" s="26" t="s">
        <v>46</v>
      </c>
      <c r="G8789" s="26">
        <v>11.0</v>
      </c>
      <c r="I8789" s="26" t="s">
        <v>970</v>
      </c>
      <c r="J8789" s="25" t="str">
        <f t="shared" si="106"/>
        <v>No</v>
      </c>
      <c r="K8789" s="25" t="str">
        <f t="shared" si="107"/>
        <v/>
      </c>
      <c r="L8789" s="25" t="str">
        <f t="shared" si="108"/>
        <v/>
      </c>
      <c r="M8789" s="25"/>
      <c r="O8789" s="25"/>
    </row>
    <row r="8790" ht="15.75" customHeight="1">
      <c r="A8790" s="25" t="str">
        <f>IFERROR(__xludf.DUMMYFUNCTION("IF(B8790="""","""",RIGHT(REGEXREPLACE(B8790&amp;"""",""[^0-9]"",""""),9))"),"715731272")</f>
        <v>715731272</v>
      </c>
      <c r="B8790" s="52">
        <v>7.15731272E8</v>
      </c>
      <c r="C8790" s="28" t="s">
        <v>8920</v>
      </c>
      <c r="D8790" s="26" t="s">
        <v>56</v>
      </c>
      <c r="E8790" s="31">
        <v>46247.0</v>
      </c>
      <c r="F8790" s="26" t="s">
        <v>46</v>
      </c>
      <c r="G8790" s="26">
        <v>10.0</v>
      </c>
      <c r="H8790" s="26" t="s">
        <v>8436</v>
      </c>
      <c r="I8790" s="26" t="s">
        <v>970</v>
      </c>
      <c r="J8790" s="25" t="str">
        <f t="shared" si="106"/>
        <v>No</v>
      </c>
      <c r="K8790" s="25" t="str">
        <f t="shared" si="107"/>
        <v/>
      </c>
      <c r="L8790" s="25" t="str">
        <f t="shared" si="108"/>
        <v/>
      </c>
      <c r="M8790" s="25"/>
      <c r="O8790" s="25"/>
    </row>
    <row r="8791" ht="15.75" customHeight="1">
      <c r="A8791" s="25" t="str">
        <f>IFERROR(__xludf.DUMMYFUNCTION("IF(B8791="""","""",RIGHT(REGEXREPLACE(B8791&amp;"""",""[^0-9]"",""""),9))"),"763771801")</f>
        <v>763771801</v>
      </c>
      <c r="B8791" s="52">
        <v>7.63771801E8</v>
      </c>
      <c r="C8791" s="28" t="s">
        <v>8921</v>
      </c>
      <c r="D8791" s="26" t="s">
        <v>82</v>
      </c>
      <c r="E8791" s="31">
        <v>46247.0</v>
      </c>
      <c r="F8791" s="26" t="s">
        <v>46</v>
      </c>
      <c r="G8791" s="26">
        <v>10.0</v>
      </c>
      <c r="I8791" s="26" t="s">
        <v>970</v>
      </c>
      <c r="J8791" s="25" t="str">
        <f t="shared" si="106"/>
        <v>No</v>
      </c>
      <c r="K8791" s="25" t="str">
        <f t="shared" si="107"/>
        <v/>
      </c>
      <c r="L8791" s="25" t="str">
        <f t="shared" si="108"/>
        <v/>
      </c>
      <c r="M8791" s="25"/>
      <c r="O8791" s="25"/>
    </row>
    <row r="8792" ht="15.75" customHeight="1">
      <c r="A8792" s="25" t="str">
        <f>IFERROR(__xludf.DUMMYFUNCTION("IF(B8792="""","""",RIGHT(REGEXREPLACE(B8792&amp;"""",""[^0-9]"",""""),9))"),"719507271")</f>
        <v>719507271</v>
      </c>
      <c r="B8792" s="52">
        <v>7.19507271E8</v>
      </c>
      <c r="C8792" s="28" t="s">
        <v>8922</v>
      </c>
      <c r="D8792" s="26" t="s">
        <v>64</v>
      </c>
      <c r="E8792" s="31">
        <v>46247.0</v>
      </c>
      <c r="F8792" s="26" t="s">
        <v>46</v>
      </c>
      <c r="H8792" s="26" t="s">
        <v>8923</v>
      </c>
      <c r="I8792" s="26" t="s">
        <v>970</v>
      </c>
      <c r="J8792" s="25" t="str">
        <f t="shared" si="106"/>
        <v>No</v>
      </c>
      <c r="K8792" s="25" t="str">
        <f t="shared" si="107"/>
        <v/>
      </c>
      <c r="L8792" s="25" t="str">
        <f t="shared" si="108"/>
        <v/>
      </c>
      <c r="M8792" s="25"/>
      <c r="O8792" s="25"/>
    </row>
    <row r="8793" ht="15.75" customHeight="1">
      <c r="A8793" s="25" t="str">
        <f>IFERROR(__xludf.DUMMYFUNCTION("IF(B8793="""","""",RIGHT(REGEXREPLACE(B8793&amp;"""",""[^0-9]"",""""),9))"),"778584627")</f>
        <v>778584627</v>
      </c>
      <c r="B8793" s="52">
        <v>7.78584627E8</v>
      </c>
      <c r="C8793" s="28" t="s">
        <v>8924</v>
      </c>
      <c r="D8793" s="26" t="s">
        <v>45</v>
      </c>
      <c r="E8793" s="31">
        <v>46247.0</v>
      </c>
      <c r="F8793" s="26" t="s">
        <v>46</v>
      </c>
      <c r="G8793" s="26">
        <v>9.0</v>
      </c>
      <c r="H8793" s="119" t="s">
        <v>8925</v>
      </c>
      <c r="I8793" s="26" t="s">
        <v>970</v>
      </c>
      <c r="J8793" s="25" t="str">
        <f t="shared" si="106"/>
        <v>No</v>
      </c>
      <c r="K8793" s="25" t="str">
        <f t="shared" si="107"/>
        <v/>
      </c>
      <c r="L8793" s="25" t="str">
        <f t="shared" si="108"/>
        <v/>
      </c>
      <c r="M8793" s="25"/>
      <c r="O8793" s="25"/>
    </row>
    <row r="8794" ht="15.75" customHeight="1">
      <c r="A8794" s="25" t="str">
        <f>IFERROR(__xludf.DUMMYFUNCTION("IF(B8794="""","""",RIGHT(REGEXREPLACE(B8794&amp;"""",""[^0-9]"",""""),9))"),"762424849")</f>
        <v>762424849</v>
      </c>
      <c r="B8794" s="52">
        <v>7.62424849E8</v>
      </c>
      <c r="C8794" s="28" t="s">
        <v>8926</v>
      </c>
      <c r="D8794" s="26" t="s">
        <v>64</v>
      </c>
      <c r="E8794" s="31">
        <v>46247.0</v>
      </c>
      <c r="F8794" s="26" t="s">
        <v>205</v>
      </c>
      <c r="I8794" s="26" t="s">
        <v>970</v>
      </c>
      <c r="J8794" s="25" t="str">
        <f t="shared" si="106"/>
        <v>No</v>
      </c>
      <c r="K8794" s="25" t="str">
        <f t="shared" si="107"/>
        <v/>
      </c>
      <c r="L8794" s="25" t="str">
        <f t="shared" si="108"/>
        <v/>
      </c>
      <c r="M8794" s="25"/>
      <c r="O8794" s="25"/>
    </row>
    <row r="8795" ht="15.75" customHeight="1">
      <c r="A8795" s="25" t="str">
        <f>IFERROR(__xludf.DUMMYFUNCTION("IF(B8795="""","""",RIGHT(REGEXREPLACE(B8795&amp;"""",""[^0-9]"",""""),9))"),"763165001")</f>
        <v>763165001</v>
      </c>
      <c r="B8795" s="52">
        <v>7.63165001E8</v>
      </c>
      <c r="C8795" s="28" t="s">
        <v>8927</v>
      </c>
      <c r="D8795" s="26" t="s">
        <v>64</v>
      </c>
      <c r="E8795" s="31">
        <v>46247.0</v>
      </c>
      <c r="F8795" s="26" t="s">
        <v>46</v>
      </c>
      <c r="G8795" s="26">
        <v>10.0</v>
      </c>
      <c r="I8795" s="26" t="s">
        <v>970</v>
      </c>
      <c r="J8795" s="25" t="str">
        <f t="shared" si="106"/>
        <v>No</v>
      </c>
      <c r="K8795" s="25" t="str">
        <f t="shared" si="107"/>
        <v/>
      </c>
      <c r="L8795" s="25" t="str">
        <f t="shared" si="108"/>
        <v/>
      </c>
      <c r="M8795" s="25"/>
      <c r="O8795" s="25"/>
    </row>
    <row r="8796" ht="15.75" customHeight="1">
      <c r="A8796" s="25" t="str">
        <f>IFERROR(__xludf.DUMMYFUNCTION("IF(B8796="""","""",RIGHT(REGEXREPLACE(B8796&amp;"""",""[^0-9]"",""""),9))"),"721463500")</f>
        <v>721463500</v>
      </c>
      <c r="B8796" s="52">
        <v>7.214635E8</v>
      </c>
      <c r="C8796" s="28" t="s">
        <v>1263</v>
      </c>
      <c r="D8796" s="26" t="s">
        <v>45</v>
      </c>
      <c r="E8796" s="31">
        <v>46247.0</v>
      </c>
      <c r="F8796" s="26" t="s">
        <v>41</v>
      </c>
      <c r="I8796" s="26" t="s">
        <v>970</v>
      </c>
      <c r="J8796" s="25" t="str">
        <f t="shared" si="106"/>
        <v>Yes - see Previous F-Code</v>
      </c>
      <c r="K8796" s="25" t="str">
        <f t="shared" si="107"/>
        <v/>
      </c>
      <c r="L8796" s="25" t="str">
        <f t="shared" si="108"/>
        <v>F70997</v>
      </c>
      <c r="M8796" s="25"/>
      <c r="O8796" s="25"/>
    </row>
    <row r="8797" ht="15.75" customHeight="1">
      <c r="A8797" s="25" t="str">
        <f>IFERROR(__xludf.DUMMYFUNCTION("IF(B8797="""","""",RIGHT(REGEXREPLACE(B8797&amp;"""",""[^0-9]"",""""),9))"),"707545537")</f>
        <v>707545537</v>
      </c>
      <c r="B8797" s="52">
        <v>7.07545537E8</v>
      </c>
      <c r="C8797" s="28" t="s">
        <v>8928</v>
      </c>
      <c r="D8797" s="26" t="s">
        <v>82</v>
      </c>
      <c r="E8797" s="31">
        <v>46247.0</v>
      </c>
      <c r="F8797" s="26" t="s">
        <v>46</v>
      </c>
      <c r="G8797" s="26">
        <v>10.0</v>
      </c>
      <c r="I8797" s="26" t="s">
        <v>970</v>
      </c>
      <c r="J8797" s="25" t="str">
        <f t="shared" si="106"/>
        <v>No</v>
      </c>
      <c r="K8797" s="25" t="str">
        <f t="shared" si="107"/>
        <v/>
      </c>
      <c r="L8797" s="25" t="str">
        <f t="shared" si="108"/>
        <v/>
      </c>
      <c r="M8797" s="25"/>
      <c r="O8797" s="25"/>
    </row>
    <row r="8798" ht="15.75" customHeight="1">
      <c r="A8798" s="25" t="str">
        <f>IFERROR(__xludf.DUMMYFUNCTION("IF(B8798="""","""",RIGHT(REGEXREPLACE(B8798&amp;"""",""[^0-9]"",""""),9))"),"760749538")</f>
        <v>760749538</v>
      </c>
      <c r="B8798" s="52">
        <v>7.60749538E8</v>
      </c>
      <c r="C8798" s="28" t="s">
        <v>8929</v>
      </c>
      <c r="D8798" s="26" t="s">
        <v>64</v>
      </c>
      <c r="E8798" s="31">
        <v>46247.0</v>
      </c>
      <c r="F8798" s="26" t="s">
        <v>41</v>
      </c>
      <c r="I8798" s="26" t="s">
        <v>970</v>
      </c>
      <c r="J8798" s="25" t="str">
        <f t="shared" si="106"/>
        <v>No</v>
      </c>
      <c r="K8798" s="25" t="str">
        <f t="shared" si="107"/>
        <v/>
      </c>
      <c r="L8798" s="25" t="str">
        <f t="shared" si="108"/>
        <v/>
      </c>
      <c r="M8798" s="25"/>
      <c r="O8798" s="25"/>
    </row>
    <row r="8799" ht="15.75" customHeight="1">
      <c r="A8799" s="25" t="str">
        <f>IFERROR(__xludf.DUMMYFUNCTION("IF(B8799="""","""",RIGHT(REGEXREPLACE(B8799&amp;"""",""[^0-9]"",""""),9))"),"713441629")</f>
        <v>713441629</v>
      </c>
      <c r="B8799" s="52">
        <v>7.13441629E8</v>
      </c>
      <c r="C8799" s="28" t="s">
        <v>8930</v>
      </c>
      <c r="D8799" s="26" t="s">
        <v>45</v>
      </c>
      <c r="E8799" s="31">
        <v>46247.0</v>
      </c>
      <c r="F8799" s="26" t="s">
        <v>659</v>
      </c>
      <c r="I8799" s="26" t="s">
        <v>970</v>
      </c>
      <c r="J8799" s="25" t="str">
        <f t="shared" si="106"/>
        <v>No</v>
      </c>
      <c r="K8799" s="25" t="str">
        <f t="shared" si="107"/>
        <v/>
      </c>
      <c r="L8799" s="25" t="str">
        <f t="shared" si="108"/>
        <v/>
      </c>
      <c r="M8799" s="25"/>
      <c r="O8799" s="25"/>
    </row>
    <row r="8800" ht="15.75" customHeight="1">
      <c r="A8800" s="25" t="str">
        <f>IFERROR(__xludf.DUMMYFUNCTION("IF(B8800="""","""",RIGHT(REGEXREPLACE(B8800&amp;"""",""[^0-9]"",""""),9))"),"716329188")</f>
        <v>716329188</v>
      </c>
      <c r="B8800" s="52">
        <v>7.16329188E8</v>
      </c>
      <c r="C8800" s="28" t="s">
        <v>8445</v>
      </c>
      <c r="D8800" s="26" t="s">
        <v>56</v>
      </c>
      <c r="E8800" s="31">
        <v>46247.0</v>
      </c>
      <c r="F8800" s="26" t="s">
        <v>41</v>
      </c>
      <c r="G8800" s="26">
        <v>11.0</v>
      </c>
      <c r="I8800" s="26" t="s">
        <v>970</v>
      </c>
      <c r="J8800" s="25" t="str">
        <f t="shared" si="106"/>
        <v>Yes - see Previous F-Code</v>
      </c>
      <c r="K8800" s="25" t="str">
        <f t="shared" si="107"/>
        <v>DUPLICATE - CHECK</v>
      </c>
      <c r="L8800" s="25" t="str">
        <f t="shared" si="108"/>
        <v>F77204</v>
      </c>
      <c r="M8800" s="25"/>
      <c r="O8800" s="25"/>
    </row>
    <row r="8801" ht="15.75" customHeight="1">
      <c r="A8801" s="25" t="str">
        <f>IFERROR(__xludf.DUMMYFUNCTION("IF(B8801="""","""",RIGHT(REGEXREPLACE(B8801&amp;"""",""[^0-9]"",""""),9))"),"772638002")</f>
        <v>772638002</v>
      </c>
      <c r="B8801" s="52">
        <v>7.72638002E8</v>
      </c>
      <c r="C8801" s="28" t="s">
        <v>8931</v>
      </c>
      <c r="D8801" s="26" t="s">
        <v>64</v>
      </c>
      <c r="E8801" s="31">
        <v>46247.0</v>
      </c>
      <c r="F8801" s="26" t="s">
        <v>46</v>
      </c>
      <c r="G8801" s="26">
        <v>11.0</v>
      </c>
      <c r="I8801" s="26" t="s">
        <v>970</v>
      </c>
      <c r="J8801" s="25" t="str">
        <f t="shared" si="106"/>
        <v>No</v>
      </c>
      <c r="K8801" s="25" t="str">
        <f t="shared" si="107"/>
        <v/>
      </c>
      <c r="L8801" s="25" t="str">
        <f t="shared" si="108"/>
        <v/>
      </c>
      <c r="M8801" s="25"/>
      <c r="O8801" s="25"/>
    </row>
    <row r="8802" ht="15.75" customHeight="1">
      <c r="A8802" s="25" t="str">
        <f>IFERROR(__xludf.DUMMYFUNCTION("IF(B8802="""","""",RIGHT(REGEXREPLACE(B8802&amp;"""",""[^0-9]"",""""),9))"),"758621406")</f>
        <v>758621406</v>
      </c>
      <c r="B8802" s="52">
        <v>7.58621406E8</v>
      </c>
      <c r="C8802" s="28" t="s">
        <v>8932</v>
      </c>
      <c r="D8802" s="26" t="s">
        <v>45</v>
      </c>
      <c r="E8802" s="31">
        <v>46247.0</v>
      </c>
      <c r="F8802" s="26" t="s">
        <v>205</v>
      </c>
      <c r="I8802" s="26" t="s">
        <v>970</v>
      </c>
      <c r="J8802" s="25" t="str">
        <f t="shared" si="106"/>
        <v>No</v>
      </c>
      <c r="K8802" s="25" t="str">
        <f t="shared" si="107"/>
        <v/>
      </c>
      <c r="L8802" s="25" t="str">
        <f t="shared" si="108"/>
        <v/>
      </c>
      <c r="M8802" s="25"/>
      <c r="O8802" s="25"/>
    </row>
    <row r="8803" ht="15.75" customHeight="1">
      <c r="A8803" s="25" t="str">
        <f>IFERROR(__xludf.DUMMYFUNCTION("IF(B8803="""","""",RIGHT(REGEXREPLACE(B8803&amp;"""",""[^0-9]"",""""),9))"),"773624620")</f>
        <v>773624620</v>
      </c>
      <c r="B8803" s="52">
        <v>7.7362462E8</v>
      </c>
      <c r="C8803" s="28" t="s">
        <v>8933</v>
      </c>
      <c r="D8803" s="26" t="s">
        <v>56</v>
      </c>
      <c r="E8803" s="31">
        <v>46247.0</v>
      </c>
      <c r="F8803" s="26" t="s">
        <v>41</v>
      </c>
      <c r="H8803" s="26" t="s">
        <v>8436</v>
      </c>
      <c r="I8803" s="26" t="s">
        <v>970</v>
      </c>
      <c r="J8803" s="25" t="str">
        <f t="shared" si="106"/>
        <v>No</v>
      </c>
      <c r="K8803" s="25" t="str">
        <f t="shared" si="107"/>
        <v/>
      </c>
      <c r="L8803" s="25" t="str">
        <f t="shared" si="108"/>
        <v/>
      </c>
      <c r="M8803" s="25"/>
      <c r="O8803" s="25"/>
    </row>
    <row r="8804" ht="15.75" customHeight="1">
      <c r="A8804" s="25" t="str">
        <f>IFERROR(__xludf.DUMMYFUNCTION("IF(B8804="""","""",RIGHT(REGEXREPLACE(B8804&amp;"""",""[^0-9]"",""""),9))"),"740479787")</f>
        <v>740479787</v>
      </c>
      <c r="B8804" s="52">
        <v>7.40479787E8</v>
      </c>
      <c r="C8804" s="28" t="s">
        <v>7924</v>
      </c>
      <c r="D8804" s="26" t="s">
        <v>82</v>
      </c>
      <c r="E8804" s="31">
        <v>46247.0</v>
      </c>
      <c r="F8804" s="26" t="s">
        <v>46</v>
      </c>
      <c r="G8804" s="26">
        <v>10.0</v>
      </c>
      <c r="I8804" s="26" t="s">
        <v>970</v>
      </c>
      <c r="J8804" s="25" t="str">
        <f t="shared" si="106"/>
        <v>Yes - see Previous F-Code</v>
      </c>
      <c r="K8804" s="25" t="str">
        <f t="shared" si="107"/>
        <v/>
      </c>
      <c r="L8804" s="25" t="str">
        <f t="shared" si="108"/>
        <v>F76809</v>
      </c>
      <c r="M8804" s="25"/>
      <c r="O8804" s="25"/>
    </row>
    <row r="8805" ht="15.75" customHeight="1">
      <c r="A8805" s="25" t="str">
        <f>IFERROR(__xludf.DUMMYFUNCTION("IF(B8805="""","""",RIGHT(REGEXREPLACE(B8805&amp;"""",""[^0-9]"",""""),9))"),"717852278")</f>
        <v>717852278</v>
      </c>
      <c r="B8805" s="52">
        <v>7.17852278E8</v>
      </c>
      <c r="C8805" s="28" t="s">
        <v>8934</v>
      </c>
      <c r="D8805" s="26" t="s">
        <v>45</v>
      </c>
      <c r="E8805" s="31">
        <v>46247.0</v>
      </c>
      <c r="F8805" s="26" t="s">
        <v>46</v>
      </c>
      <c r="G8805" s="26">
        <v>11.0</v>
      </c>
      <c r="I8805" s="26" t="s">
        <v>970</v>
      </c>
      <c r="J8805" s="25" t="str">
        <f t="shared" si="106"/>
        <v>No</v>
      </c>
      <c r="K8805" s="25" t="str">
        <f t="shared" si="107"/>
        <v/>
      </c>
      <c r="L8805" s="25" t="str">
        <f t="shared" si="108"/>
        <v/>
      </c>
      <c r="M8805" s="25"/>
      <c r="O8805" s="25"/>
    </row>
    <row r="8806" ht="15.75" customHeight="1">
      <c r="A8806" s="25" t="str">
        <f>IFERROR(__xludf.DUMMYFUNCTION("IF(B8806="""","""",RIGHT(REGEXREPLACE(B8806&amp;"""",""[^0-9]"",""""),9))"),"771405397")</f>
        <v>771405397</v>
      </c>
      <c r="B8806" s="52">
        <v>7.71405397E8</v>
      </c>
      <c r="C8806" s="28" t="s">
        <v>4590</v>
      </c>
      <c r="D8806" s="26" t="s">
        <v>64</v>
      </c>
      <c r="E8806" s="31">
        <v>46247.0</v>
      </c>
      <c r="F8806" s="26" t="s">
        <v>41</v>
      </c>
      <c r="G8806" s="26">
        <v>8.0</v>
      </c>
      <c r="I8806" s="26" t="s">
        <v>970</v>
      </c>
      <c r="J8806" s="25" t="str">
        <f t="shared" si="106"/>
        <v>Yes - see Previous F-Code</v>
      </c>
      <c r="K8806" s="25" t="str">
        <f t="shared" si="107"/>
        <v>DUPLICATE - CHECK</v>
      </c>
      <c r="L8806" s="25" t="str">
        <f t="shared" si="108"/>
        <v>F74185</v>
      </c>
      <c r="M8806" s="25"/>
      <c r="O8806" s="25"/>
    </row>
    <row r="8807" ht="15.75" customHeight="1">
      <c r="A8807" s="25" t="str">
        <f>IFERROR(__xludf.DUMMYFUNCTION("IF(B8807="""","""",RIGHT(REGEXREPLACE(B8807&amp;"""",""[^0-9]"",""""),9))"),"701913717")</f>
        <v>701913717</v>
      </c>
      <c r="B8807" s="52">
        <v>7.01913717E8</v>
      </c>
      <c r="C8807" s="28" t="s">
        <v>469</v>
      </c>
      <c r="D8807" s="26" t="s">
        <v>56</v>
      </c>
      <c r="E8807" s="31">
        <v>46247.0</v>
      </c>
      <c r="F8807" s="26" t="s">
        <v>46</v>
      </c>
      <c r="G8807" s="26">
        <v>11.0</v>
      </c>
      <c r="H8807" s="26" t="s">
        <v>8436</v>
      </c>
      <c r="I8807" s="26" t="s">
        <v>970</v>
      </c>
      <c r="J8807" s="25" t="str">
        <f t="shared" si="106"/>
        <v>Yes - see Previous F-Code</v>
      </c>
      <c r="K8807" s="25" t="str">
        <f t="shared" si="107"/>
        <v/>
      </c>
      <c r="L8807" s="25" t="str">
        <f t="shared" si="108"/>
        <v>F49746</v>
      </c>
      <c r="M8807" s="25"/>
      <c r="O8807" s="25"/>
    </row>
    <row r="8808" ht="15.75" customHeight="1">
      <c r="A8808" s="25" t="str">
        <f>IFERROR(__xludf.DUMMYFUNCTION("IF(B8808="""","""",RIGHT(REGEXREPLACE(B8808&amp;"""",""[^0-9]"",""""),9))"),"770177473")</f>
        <v>770177473</v>
      </c>
      <c r="B8808" s="52">
        <v>7.70177473E8</v>
      </c>
      <c r="C8808" s="28" t="s">
        <v>8935</v>
      </c>
      <c r="D8808" s="26" t="s">
        <v>56</v>
      </c>
      <c r="E8808" s="31">
        <v>46247.0</v>
      </c>
      <c r="F8808" s="26" t="s">
        <v>631</v>
      </c>
      <c r="G8808" s="26">
        <v>11.0</v>
      </c>
      <c r="I8808" s="26" t="s">
        <v>970</v>
      </c>
      <c r="J8808" s="25" t="str">
        <f t="shared" si="106"/>
        <v>No</v>
      </c>
      <c r="K8808" s="25" t="str">
        <f t="shared" si="107"/>
        <v/>
      </c>
      <c r="L8808" s="25" t="str">
        <f t="shared" si="108"/>
        <v/>
      </c>
      <c r="M8808" s="25"/>
      <c r="O8808" s="25"/>
    </row>
    <row r="8809" ht="15.75" customHeight="1">
      <c r="A8809" s="25" t="str">
        <f>IFERROR(__xludf.DUMMYFUNCTION("IF(B8809="""","""",RIGHT(REGEXREPLACE(B8809&amp;"""",""[^0-9]"",""""),9))"),"720525598")</f>
        <v>720525598</v>
      </c>
      <c r="B8809" s="52">
        <v>7.20525598E8</v>
      </c>
      <c r="C8809" s="28" t="s">
        <v>8936</v>
      </c>
      <c r="D8809" s="26" t="s">
        <v>56</v>
      </c>
      <c r="E8809" s="31">
        <v>46247.0</v>
      </c>
      <c r="F8809" s="26" t="s">
        <v>205</v>
      </c>
      <c r="H8809" s="26" t="s">
        <v>8436</v>
      </c>
      <c r="I8809" s="26" t="s">
        <v>970</v>
      </c>
      <c r="J8809" s="25" t="str">
        <f t="shared" si="106"/>
        <v>No</v>
      </c>
      <c r="K8809" s="25" t="str">
        <f t="shared" si="107"/>
        <v/>
      </c>
      <c r="L8809" s="25" t="str">
        <f t="shared" si="108"/>
        <v/>
      </c>
      <c r="M8809" s="25"/>
      <c r="O8809" s="25"/>
    </row>
    <row r="8810" ht="15.75" customHeight="1">
      <c r="A8810" s="25" t="str">
        <f>IFERROR(__xludf.DUMMYFUNCTION("IF(B8810="""","""",RIGHT(REGEXREPLACE(B8810&amp;"""",""[^0-9]"",""""),9))"),"715520576")</f>
        <v>715520576</v>
      </c>
      <c r="B8810" s="52">
        <v>7.15520576E8</v>
      </c>
      <c r="C8810" s="28" t="s">
        <v>8937</v>
      </c>
      <c r="D8810" s="26" t="s">
        <v>82</v>
      </c>
      <c r="E8810" s="31">
        <v>46247.0</v>
      </c>
      <c r="F8810" s="26" t="s">
        <v>46</v>
      </c>
      <c r="G8810" s="26">
        <v>11.0</v>
      </c>
      <c r="H8810" s="26" t="s">
        <v>8938</v>
      </c>
      <c r="I8810" s="26" t="s">
        <v>970</v>
      </c>
      <c r="J8810" s="25" t="str">
        <f t="shared" si="106"/>
        <v>No</v>
      </c>
      <c r="K8810" s="25" t="str">
        <f t="shared" si="107"/>
        <v/>
      </c>
      <c r="L8810" s="25" t="str">
        <f t="shared" si="108"/>
        <v/>
      </c>
      <c r="M8810" s="25"/>
      <c r="O8810" s="25"/>
    </row>
    <row r="8811" ht="15.75" customHeight="1">
      <c r="A8811" s="25" t="str">
        <f>IFERROR(__xludf.DUMMYFUNCTION("IF(B8811="""","""",RIGHT(REGEXREPLACE(B8811&amp;"""",""[^0-9]"",""""),9))"),"740097923")</f>
        <v>740097923</v>
      </c>
      <c r="B8811" s="52">
        <v>7.40097923E8</v>
      </c>
      <c r="C8811" s="28" t="s">
        <v>8862</v>
      </c>
      <c r="D8811" s="26" t="s">
        <v>56</v>
      </c>
      <c r="E8811" s="31">
        <v>46247.0</v>
      </c>
      <c r="F8811" s="26" t="s">
        <v>125</v>
      </c>
      <c r="H8811" s="26"/>
      <c r="I8811" s="26" t="s">
        <v>970</v>
      </c>
      <c r="J8811" s="25" t="str">
        <f t="shared" si="106"/>
        <v>Yes - see Previous F-Code</v>
      </c>
      <c r="K8811" s="25" t="str">
        <f t="shared" si="107"/>
        <v>DUPLICATE - CHECK</v>
      </c>
      <c r="L8811" s="25" t="str">
        <f t="shared" si="108"/>
        <v>F77519</v>
      </c>
      <c r="M8811" s="25"/>
      <c r="O8811" s="25"/>
    </row>
    <row r="8812" ht="15.75" customHeight="1">
      <c r="A8812" s="25" t="str">
        <f>IFERROR(__xludf.DUMMYFUNCTION("IF(B8812="""","""",RIGHT(REGEXREPLACE(B8812&amp;"""",""[^0-9]"",""""),9))"),"757269345")</f>
        <v>757269345</v>
      </c>
      <c r="B8812" s="52">
        <v>7.57269345E8</v>
      </c>
      <c r="C8812" s="28" t="s">
        <v>8939</v>
      </c>
      <c r="D8812" s="26" t="s">
        <v>56</v>
      </c>
      <c r="E8812" s="31">
        <v>46247.0</v>
      </c>
      <c r="F8812" s="26" t="s">
        <v>41</v>
      </c>
      <c r="I8812" s="26" t="s">
        <v>970</v>
      </c>
      <c r="J8812" s="25" t="str">
        <f t="shared" si="106"/>
        <v>No</v>
      </c>
      <c r="K8812" s="25" t="str">
        <f t="shared" si="107"/>
        <v/>
      </c>
      <c r="L8812" s="25" t="str">
        <f t="shared" si="108"/>
        <v/>
      </c>
      <c r="M8812" s="25"/>
      <c r="O8812" s="25"/>
    </row>
    <row r="8813" ht="15.75" customHeight="1">
      <c r="A8813" s="25" t="str">
        <f>IFERROR(__xludf.DUMMYFUNCTION("IF(B8813="""","""",RIGHT(REGEXREPLACE(B8813&amp;"""",""[^0-9]"",""""),9))"),"761341685")</f>
        <v>761341685</v>
      </c>
      <c r="B8813" s="52">
        <v>7.61341685E8</v>
      </c>
      <c r="C8813" s="28" t="s">
        <v>8940</v>
      </c>
      <c r="D8813" s="26" t="s">
        <v>56</v>
      </c>
      <c r="E8813" s="31">
        <v>46247.0</v>
      </c>
      <c r="F8813" s="26" t="s">
        <v>41</v>
      </c>
      <c r="I8813" s="26" t="s">
        <v>970</v>
      </c>
      <c r="J8813" s="25" t="str">
        <f t="shared" si="106"/>
        <v>No</v>
      </c>
      <c r="K8813" s="25" t="str">
        <f t="shared" si="107"/>
        <v/>
      </c>
      <c r="L8813" s="25" t="str">
        <f t="shared" si="108"/>
        <v/>
      </c>
      <c r="M8813" s="25"/>
      <c r="O8813" s="25"/>
    </row>
    <row r="8814" ht="15.75" customHeight="1">
      <c r="A8814" s="25" t="str">
        <f>IFERROR(__xludf.DUMMYFUNCTION("IF(B8814="""","""",RIGHT(REGEXREPLACE(B8814&amp;"""",""[^0-9]"",""""),9))"),"771260297")</f>
        <v>771260297</v>
      </c>
      <c r="B8814" s="52">
        <v>7.71260297E8</v>
      </c>
      <c r="C8814" s="28" t="s">
        <v>8941</v>
      </c>
      <c r="D8814" s="26" t="s">
        <v>82</v>
      </c>
      <c r="E8814" s="31">
        <v>46247.0</v>
      </c>
      <c r="F8814" s="26" t="s">
        <v>46</v>
      </c>
      <c r="G8814" s="26">
        <v>10.0</v>
      </c>
      <c r="I8814" s="26" t="s">
        <v>970</v>
      </c>
      <c r="J8814" s="25" t="str">
        <f t="shared" si="106"/>
        <v>No</v>
      </c>
      <c r="K8814" s="25" t="str">
        <f t="shared" si="107"/>
        <v/>
      </c>
      <c r="L8814" s="25" t="str">
        <f t="shared" si="108"/>
        <v/>
      </c>
      <c r="M8814" s="25"/>
      <c r="O8814" s="25"/>
    </row>
    <row r="8815" ht="15.75" customHeight="1">
      <c r="A8815" s="25" t="str">
        <f>IFERROR(__xludf.DUMMYFUNCTION("IF(B8815="""","""",RIGHT(REGEXREPLACE(B8815&amp;"""",""[^0-9]"",""""),9))"),"765673021")</f>
        <v>765673021</v>
      </c>
      <c r="B8815" s="52">
        <v>7.65673021E8</v>
      </c>
      <c r="C8815" s="28" t="s">
        <v>8942</v>
      </c>
      <c r="D8815" s="26" t="s">
        <v>56</v>
      </c>
      <c r="E8815" s="31">
        <v>46247.0</v>
      </c>
      <c r="F8815" s="26" t="s">
        <v>46</v>
      </c>
      <c r="G8815" s="26">
        <v>11.0</v>
      </c>
      <c r="I8815" s="26" t="s">
        <v>970</v>
      </c>
      <c r="J8815" s="25" t="str">
        <f t="shared" si="106"/>
        <v>No</v>
      </c>
      <c r="K8815" s="25" t="str">
        <f t="shared" si="107"/>
        <v/>
      </c>
      <c r="L8815" s="25" t="str">
        <f t="shared" si="108"/>
        <v/>
      </c>
      <c r="M8815" s="25"/>
      <c r="O8815" s="25"/>
    </row>
    <row r="8816" ht="15.75" customHeight="1">
      <c r="A8816" s="25" t="str">
        <f>IFERROR(__xludf.DUMMYFUNCTION("IF(B8816="""","""",RIGHT(REGEXREPLACE(B8816&amp;"""",""[^0-9]"",""""),9))"),"703311292")</f>
        <v>703311292</v>
      </c>
      <c r="B8816" s="52">
        <v>7.03311292E8</v>
      </c>
      <c r="C8816" s="28" t="s">
        <v>8943</v>
      </c>
      <c r="D8816" s="26" t="s">
        <v>56</v>
      </c>
      <c r="E8816" s="31">
        <v>46247.0</v>
      </c>
      <c r="F8816" s="26" t="s">
        <v>205</v>
      </c>
      <c r="H8816" s="26" t="s">
        <v>8436</v>
      </c>
      <c r="I8816" s="26" t="s">
        <v>970</v>
      </c>
      <c r="J8816" s="25" t="str">
        <f t="shared" si="106"/>
        <v>No</v>
      </c>
      <c r="K8816" s="25" t="str">
        <f t="shared" si="107"/>
        <v/>
      </c>
      <c r="L8816" s="25" t="str">
        <f t="shared" si="108"/>
        <v/>
      </c>
      <c r="M8816" s="25"/>
      <c r="O8816" s="25"/>
    </row>
    <row r="8817" ht="15.75" customHeight="1">
      <c r="A8817" s="25" t="str">
        <f>IFERROR(__xludf.DUMMYFUNCTION("IF(B8817="""","""",RIGHT(REGEXREPLACE(B8817&amp;"""",""[^0-9]"",""""),9))"),"763879540")</f>
        <v>763879540</v>
      </c>
      <c r="B8817" s="52">
        <v>7.6387954E8</v>
      </c>
      <c r="C8817" s="28" t="s">
        <v>8944</v>
      </c>
      <c r="D8817" s="26" t="s">
        <v>56</v>
      </c>
      <c r="E8817" s="31">
        <v>46247.0</v>
      </c>
      <c r="F8817" s="26" t="s">
        <v>46</v>
      </c>
      <c r="G8817" s="26">
        <v>11.0</v>
      </c>
      <c r="I8817" s="26" t="s">
        <v>970</v>
      </c>
      <c r="J8817" s="25" t="str">
        <f t="shared" si="106"/>
        <v>No</v>
      </c>
      <c r="K8817" s="25" t="str">
        <f t="shared" si="107"/>
        <v/>
      </c>
      <c r="L8817" s="25" t="str">
        <f t="shared" si="108"/>
        <v/>
      </c>
      <c r="M8817" s="25"/>
      <c r="O8817" s="25"/>
    </row>
    <row r="8818" ht="15.75" customHeight="1">
      <c r="A8818" s="25" t="str">
        <f>IFERROR(__xludf.DUMMYFUNCTION("IF(B8818="""","""",RIGHT(REGEXREPLACE(B8818&amp;"""",""[^0-9]"",""""),9))"),"702227051")</f>
        <v>702227051</v>
      </c>
      <c r="B8818" s="52">
        <v>7.02227051E8</v>
      </c>
      <c r="C8818" s="28" t="s">
        <v>8945</v>
      </c>
      <c r="D8818" s="26" t="s">
        <v>64</v>
      </c>
      <c r="E8818" s="31">
        <v>46247.0</v>
      </c>
      <c r="F8818" s="26" t="s">
        <v>659</v>
      </c>
      <c r="I8818" s="26" t="s">
        <v>970</v>
      </c>
      <c r="J8818" s="25" t="str">
        <f t="shared" si="106"/>
        <v>No</v>
      </c>
      <c r="K8818" s="25" t="str">
        <f t="shared" si="107"/>
        <v/>
      </c>
      <c r="L8818" s="25" t="str">
        <f t="shared" si="108"/>
        <v/>
      </c>
      <c r="M8818" s="25"/>
      <c r="O8818" s="25"/>
    </row>
    <row r="8819" ht="15.75" customHeight="1">
      <c r="A8819" s="25" t="str">
        <f>IFERROR(__xludf.DUMMYFUNCTION("IF(B8819="""","""",RIGHT(REGEXREPLACE(B8819&amp;"""",""[^0-9]"",""""),9))"),"742249568")</f>
        <v>742249568</v>
      </c>
      <c r="B8819" s="52">
        <v>7.42249568E8</v>
      </c>
      <c r="C8819" s="28" t="s">
        <v>5905</v>
      </c>
      <c r="D8819" s="26" t="s">
        <v>82</v>
      </c>
      <c r="E8819" s="31">
        <v>46247.0</v>
      </c>
      <c r="F8819" s="26" t="s">
        <v>46</v>
      </c>
      <c r="G8819" s="26">
        <v>7.0</v>
      </c>
      <c r="H8819" s="26" t="s">
        <v>3667</v>
      </c>
      <c r="I8819" s="26" t="s">
        <v>970</v>
      </c>
      <c r="J8819" s="25" t="str">
        <f t="shared" si="106"/>
        <v>Yes - see Previous F-Code</v>
      </c>
      <c r="K8819" s="25" t="str">
        <f t="shared" si="107"/>
        <v/>
      </c>
      <c r="L8819" s="25" t="str">
        <f t="shared" si="108"/>
        <v>F75331</v>
      </c>
      <c r="M8819" s="25"/>
      <c r="O8819" s="25"/>
    </row>
    <row r="8820" ht="15.75" customHeight="1">
      <c r="A8820" s="25" t="str">
        <f>IFERROR(__xludf.DUMMYFUNCTION("IF(B8820="""","""",RIGHT(REGEXREPLACE(B8820&amp;"""",""[^0-9]"",""""),9))"),"743647199")</f>
        <v>743647199</v>
      </c>
      <c r="B8820" s="52">
        <v>7.43647199E8</v>
      </c>
      <c r="C8820" s="28" t="s">
        <v>8946</v>
      </c>
      <c r="D8820" s="26" t="s">
        <v>45</v>
      </c>
      <c r="E8820" s="31">
        <v>46247.0</v>
      </c>
      <c r="F8820" s="26" t="s">
        <v>46</v>
      </c>
      <c r="G8820" s="26">
        <v>11.0</v>
      </c>
      <c r="I8820" s="26" t="s">
        <v>970</v>
      </c>
      <c r="J8820" s="25" t="str">
        <f t="shared" si="106"/>
        <v>No</v>
      </c>
      <c r="K8820" s="25" t="str">
        <f t="shared" si="107"/>
        <v/>
      </c>
      <c r="L8820" s="25" t="str">
        <f t="shared" si="108"/>
        <v/>
      </c>
      <c r="M8820" s="25"/>
      <c r="O8820" s="25"/>
    </row>
    <row r="8821" ht="15.75" customHeight="1">
      <c r="A8821" s="25" t="str">
        <f>IFERROR(__xludf.DUMMYFUNCTION("IF(B8821="""","""",RIGHT(REGEXREPLACE(B8821&amp;"""",""[^0-9]"",""""),9))"),"705953085")</f>
        <v>705953085</v>
      </c>
      <c r="B8821" s="52">
        <v>7.05953085E8</v>
      </c>
      <c r="C8821" s="28" t="s">
        <v>8947</v>
      </c>
      <c r="D8821" s="26" t="s">
        <v>56</v>
      </c>
      <c r="E8821" s="31">
        <v>46247.0</v>
      </c>
      <c r="F8821" s="26" t="s">
        <v>205</v>
      </c>
      <c r="G8821" s="26">
        <v>10.0</v>
      </c>
      <c r="I8821" s="26" t="s">
        <v>970</v>
      </c>
      <c r="J8821" s="25" t="str">
        <f t="shared" si="106"/>
        <v>No</v>
      </c>
      <c r="K8821" s="25" t="str">
        <f t="shared" si="107"/>
        <v/>
      </c>
      <c r="L8821" s="25" t="str">
        <f t="shared" si="108"/>
        <v/>
      </c>
      <c r="M8821" s="25"/>
      <c r="O8821" s="25"/>
    </row>
    <row r="8822" ht="15.75" customHeight="1">
      <c r="A8822" s="25" t="str">
        <f>IFERROR(__xludf.DUMMYFUNCTION("IF(B8822="""","""",RIGHT(REGEXREPLACE(B8822&amp;"""",""[^0-9]"",""""),9))"),"776856512")</f>
        <v>776856512</v>
      </c>
      <c r="B8822" s="52">
        <v>7.76856512E8</v>
      </c>
      <c r="C8822" s="28" t="s">
        <v>4448</v>
      </c>
      <c r="D8822" s="26" t="s">
        <v>64</v>
      </c>
      <c r="E8822" s="31">
        <v>46247.0</v>
      </c>
      <c r="F8822" s="26" t="s">
        <v>46</v>
      </c>
      <c r="G8822" s="26">
        <v>10.0</v>
      </c>
      <c r="H8822" s="26" t="s">
        <v>3667</v>
      </c>
      <c r="I8822" s="26" t="s">
        <v>970</v>
      </c>
      <c r="J8822" s="25" t="str">
        <f t="shared" si="106"/>
        <v>Yes - see Previous F-Code</v>
      </c>
      <c r="K8822" s="25" t="str">
        <f t="shared" si="107"/>
        <v/>
      </c>
      <c r="L8822" s="25" t="str">
        <f t="shared" si="108"/>
        <v>F74065</v>
      </c>
      <c r="M8822" s="25"/>
      <c r="O8822" s="25"/>
    </row>
    <row r="8823" ht="15.75" customHeight="1">
      <c r="A8823" s="25" t="str">
        <f>IFERROR(__xludf.DUMMYFUNCTION("IF(B8823="""","""",RIGHT(REGEXREPLACE(B8823&amp;"""",""[^0-9]"",""""),9))"),"712663443")</f>
        <v>712663443</v>
      </c>
      <c r="B8823" s="52">
        <v>7.12663443E8</v>
      </c>
      <c r="C8823" s="28" t="s">
        <v>8948</v>
      </c>
      <c r="D8823" s="26" t="s">
        <v>82</v>
      </c>
      <c r="E8823" s="31">
        <v>46247.0</v>
      </c>
      <c r="F8823" s="26" t="s">
        <v>41</v>
      </c>
      <c r="I8823" s="26" t="s">
        <v>970</v>
      </c>
      <c r="J8823" s="25" t="str">
        <f t="shared" si="106"/>
        <v>No</v>
      </c>
      <c r="K8823" s="25" t="str">
        <f t="shared" si="107"/>
        <v/>
      </c>
      <c r="L8823" s="25" t="str">
        <f t="shared" si="108"/>
        <v/>
      </c>
      <c r="M8823" s="25"/>
      <c r="O8823" s="25"/>
    </row>
    <row r="8824" ht="15.75" customHeight="1">
      <c r="A8824" s="25" t="str">
        <f>IFERROR(__xludf.DUMMYFUNCTION("IF(B8824="""","""",RIGHT(REGEXREPLACE(B8824&amp;"""",""[^0-9]"",""""),9))"),"704725204")</f>
        <v>704725204</v>
      </c>
      <c r="B8824" s="52">
        <v>7.04725204E8</v>
      </c>
      <c r="C8824" s="28" t="s">
        <v>5464</v>
      </c>
      <c r="D8824" s="26" t="s">
        <v>45</v>
      </c>
      <c r="E8824" s="31">
        <v>46247.0</v>
      </c>
      <c r="F8824" s="26" t="s">
        <v>41</v>
      </c>
      <c r="G8824" s="26">
        <v>9.0</v>
      </c>
      <c r="I8824" s="26" t="s">
        <v>970</v>
      </c>
      <c r="J8824" s="25" t="str">
        <f t="shared" si="106"/>
        <v>Yes - see Previous F-Code</v>
      </c>
      <c r="K8824" s="25" t="str">
        <f t="shared" si="107"/>
        <v>DUPLICATE - CHECK</v>
      </c>
      <c r="L8824" s="25" t="str">
        <f t="shared" si="108"/>
        <v>F74957</v>
      </c>
      <c r="M8824" s="25"/>
      <c r="O8824" s="26" t="s">
        <v>51</v>
      </c>
    </row>
    <row r="8825" ht="15.75" customHeight="1">
      <c r="A8825" s="25" t="str">
        <f>IFERROR(__xludf.DUMMYFUNCTION("IF(B8825="""","""",RIGHT(REGEXREPLACE(B8825&amp;"""",""[^0-9]"",""""),9))"),"763106678")</f>
        <v>763106678</v>
      </c>
      <c r="B8825" s="52">
        <v>7.63106678E8</v>
      </c>
      <c r="C8825" s="28" t="s">
        <v>8734</v>
      </c>
      <c r="D8825" s="26" t="s">
        <v>64</v>
      </c>
      <c r="E8825" s="31">
        <v>46247.0</v>
      </c>
      <c r="F8825" s="26" t="s">
        <v>46</v>
      </c>
      <c r="G8825" s="26">
        <v>11.0</v>
      </c>
      <c r="I8825" s="26" t="s">
        <v>970</v>
      </c>
      <c r="J8825" s="25" t="str">
        <f t="shared" si="106"/>
        <v>Yes - see Previous F-Code</v>
      </c>
      <c r="K8825" s="25" t="str">
        <f t="shared" si="107"/>
        <v>DUPLICATE - CHECK</v>
      </c>
      <c r="L8825" s="25" t="str">
        <f t="shared" si="108"/>
        <v>F77502</v>
      </c>
      <c r="M8825" s="25"/>
      <c r="O8825" s="25"/>
    </row>
    <row r="8826" ht="15.75" customHeight="1">
      <c r="A8826" s="25" t="str">
        <f>IFERROR(__xludf.DUMMYFUNCTION("IF(B8826="""","""",RIGHT(REGEXREPLACE(B8826&amp;"""",""[^0-9]"",""""),9))"),"710120346")</f>
        <v>710120346</v>
      </c>
      <c r="B8826" s="52">
        <v>7.10120346E8</v>
      </c>
      <c r="C8826" s="28" t="s">
        <v>2692</v>
      </c>
      <c r="D8826" s="26" t="s">
        <v>45</v>
      </c>
      <c r="E8826" s="31">
        <v>46247.0</v>
      </c>
      <c r="F8826" s="26" t="s">
        <v>164</v>
      </c>
      <c r="I8826" s="26" t="s">
        <v>970</v>
      </c>
      <c r="J8826" s="25" t="str">
        <f t="shared" si="106"/>
        <v>Yes - see Previous F-Code</v>
      </c>
      <c r="K8826" s="25" t="str">
        <f t="shared" si="107"/>
        <v>DUPLICATE - CHECK</v>
      </c>
      <c r="L8826" s="25" t="str">
        <f t="shared" si="108"/>
        <v>F72379</v>
      </c>
      <c r="M8826" s="25"/>
      <c r="O8826" s="25"/>
    </row>
    <row r="8827" ht="15.75" customHeight="1">
      <c r="A8827" s="25" t="str">
        <f>IFERROR(__xludf.DUMMYFUNCTION("IF(B8827="""","""",RIGHT(REGEXREPLACE(B8827&amp;"""",""[^0-9]"",""""),9))"),"723000076")</f>
        <v>723000076</v>
      </c>
      <c r="B8827" s="52">
        <v>7.23000076E8</v>
      </c>
      <c r="C8827" s="28" t="s">
        <v>8949</v>
      </c>
      <c r="D8827" s="26" t="s">
        <v>45</v>
      </c>
      <c r="E8827" s="31">
        <v>46247.0</v>
      </c>
      <c r="F8827" s="26" t="s">
        <v>167</v>
      </c>
      <c r="I8827" s="26" t="s">
        <v>970</v>
      </c>
      <c r="J8827" s="25" t="str">
        <f t="shared" si="106"/>
        <v>No</v>
      </c>
      <c r="K8827" s="25" t="str">
        <f t="shared" si="107"/>
        <v/>
      </c>
      <c r="L8827" s="25" t="str">
        <f t="shared" si="108"/>
        <v/>
      </c>
      <c r="M8827" s="25"/>
      <c r="O8827" s="25"/>
    </row>
    <row r="8828" ht="15.75" customHeight="1">
      <c r="A8828" s="25" t="str">
        <f>IFERROR(__xludf.DUMMYFUNCTION("IF(B8828="""","""",RIGHT(REGEXREPLACE(B8828&amp;"""",""[^0-9]"",""""),9))"),"719356369")</f>
        <v>719356369</v>
      </c>
      <c r="B8828" s="52">
        <v>7.19356369E8</v>
      </c>
      <c r="C8828" s="28" t="s">
        <v>8950</v>
      </c>
      <c r="D8828" s="26" t="s">
        <v>45</v>
      </c>
      <c r="E8828" s="31">
        <v>46247.0</v>
      </c>
      <c r="F8828" s="26" t="s">
        <v>46</v>
      </c>
      <c r="G8828" s="26">
        <v>10.0</v>
      </c>
      <c r="I8828" s="26" t="s">
        <v>970</v>
      </c>
      <c r="J8828" s="25" t="str">
        <f t="shared" si="106"/>
        <v>No</v>
      </c>
      <c r="K8828" s="25" t="str">
        <f t="shared" si="107"/>
        <v/>
      </c>
      <c r="L8828" s="25" t="str">
        <f t="shared" si="108"/>
        <v/>
      </c>
      <c r="M8828" s="25"/>
      <c r="O8828" s="25"/>
    </row>
    <row r="8829" ht="15.75" customHeight="1">
      <c r="A8829" s="25" t="str">
        <f>IFERROR(__xludf.DUMMYFUNCTION("IF(B8829="""","""",RIGHT(REGEXREPLACE(B8829&amp;"""",""[^0-9]"",""""),9))"),"767661118")</f>
        <v>767661118</v>
      </c>
      <c r="B8829" s="52">
        <v>7.67661118E8</v>
      </c>
      <c r="C8829" s="28" t="s">
        <v>8951</v>
      </c>
      <c r="D8829" s="26" t="s">
        <v>64</v>
      </c>
      <c r="E8829" s="31">
        <v>46247.0</v>
      </c>
      <c r="F8829" s="26" t="s">
        <v>46</v>
      </c>
      <c r="G8829" s="26">
        <v>11.0</v>
      </c>
      <c r="I8829" s="26" t="s">
        <v>970</v>
      </c>
      <c r="J8829" s="25" t="str">
        <f t="shared" si="106"/>
        <v>No</v>
      </c>
      <c r="K8829" s="25" t="str">
        <f t="shared" si="107"/>
        <v/>
      </c>
      <c r="L8829" s="25" t="str">
        <f t="shared" si="108"/>
        <v/>
      </c>
      <c r="M8829" s="25"/>
      <c r="O8829" s="26" t="s">
        <v>51</v>
      </c>
    </row>
    <row r="8830" ht="15.75" customHeight="1">
      <c r="A8830" s="25" t="str">
        <f>IFERROR(__xludf.DUMMYFUNCTION("IF(B8830="""","""",RIGHT(REGEXREPLACE(B8830&amp;"""",""[^0-9]"",""""),9))"),"704605141")</f>
        <v>704605141</v>
      </c>
      <c r="B8830" s="52">
        <v>7.04605141E8</v>
      </c>
      <c r="C8830" s="28" t="s">
        <v>8952</v>
      </c>
      <c r="D8830" s="26" t="s">
        <v>45</v>
      </c>
      <c r="E8830" s="31">
        <v>46247.0</v>
      </c>
      <c r="F8830" s="26" t="s">
        <v>46</v>
      </c>
      <c r="G8830" s="26">
        <v>9.0</v>
      </c>
      <c r="I8830" s="26" t="s">
        <v>970</v>
      </c>
      <c r="J8830" s="25" t="str">
        <f t="shared" si="106"/>
        <v>No</v>
      </c>
      <c r="K8830" s="25" t="str">
        <f t="shared" si="107"/>
        <v/>
      </c>
      <c r="L8830" s="25" t="str">
        <f t="shared" si="108"/>
        <v/>
      </c>
      <c r="M8830" s="25"/>
      <c r="O8830" s="25"/>
    </row>
    <row r="8831" ht="15.75" customHeight="1">
      <c r="A8831" s="25" t="str">
        <f>IFERROR(__xludf.DUMMYFUNCTION("IF(B8831="""","""",RIGHT(REGEXREPLACE(B8831&amp;"""",""[^0-9]"",""""),9))"),"713913522")</f>
        <v>713913522</v>
      </c>
      <c r="B8831" s="52">
        <v>7.13913522E8</v>
      </c>
      <c r="C8831" s="28" t="s">
        <v>8953</v>
      </c>
      <c r="D8831" s="26" t="s">
        <v>64</v>
      </c>
      <c r="E8831" s="31">
        <v>46247.0</v>
      </c>
      <c r="F8831" s="26" t="s">
        <v>46</v>
      </c>
      <c r="G8831" s="26">
        <v>10.0</v>
      </c>
      <c r="I8831" s="26" t="s">
        <v>970</v>
      </c>
      <c r="J8831" s="25" t="str">
        <f t="shared" si="106"/>
        <v>No</v>
      </c>
      <c r="K8831" s="25" t="str">
        <f t="shared" si="107"/>
        <v/>
      </c>
      <c r="L8831" s="25" t="str">
        <f t="shared" si="108"/>
        <v/>
      </c>
      <c r="M8831" s="25"/>
      <c r="O8831" s="25"/>
    </row>
    <row r="8832" ht="15.75" customHeight="1">
      <c r="A8832" s="25" t="str">
        <f>IFERROR(__xludf.DUMMYFUNCTION("IF(B8832="""","""",RIGHT(REGEXREPLACE(B8832&amp;"""",""[^0-9]"",""""),9))"),"766972578")</f>
        <v>766972578</v>
      </c>
      <c r="B8832" s="52">
        <v>7.66972578E8</v>
      </c>
      <c r="C8832" s="28" t="s">
        <v>8954</v>
      </c>
      <c r="D8832" s="26" t="s">
        <v>45</v>
      </c>
      <c r="E8832" s="31">
        <v>46247.0</v>
      </c>
      <c r="F8832" s="26" t="s">
        <v>46</v>
      </c>
      <c r="G8832" s="26">
        <v>8.0</v>
      </c>
      <c r="I8832" s="26" t="s">
        <v>970</v>
      </c>
      <c r="J8832" s="25" t="str">
        <f t="shared" si="106"/>
        <v>No</v>
      </c>
      <c r="K8832" s="25" t="str">
        <f t="shared" si="107"/>
        <v/>
      </c>
      <c r="L8832" s="25" t="str">
        <f t="shared" si="108"/>
        <v/>
      </c>
      <c r="M8832" s="25"/>
      <c r="O8832" s="25"/>
    </row>
    <row r="8833" ht="15.75" customHeight="1">
      <c r="A8833" s="25" t="str">
        <f>IFERROR(__xludf.DUMMYFUNCTION("IF(B8833="""","""",RIGHT(REGEXREPLACE(B8833&amp;"""",""[^0-9]"",""""),9))"),"714533666")</f>
        <v>714533666</v>
      </c>
      <c r="B8833" s="52">
        <v>7.14533666E8</v>
      </c>
      <c r="C8833" s="28" t="s">
        <v>8955</v>
      </c>
      <c r="D8833" s="26" t="s">
        <v>64</v>
      </c>
      <c r="E8833" s="31">
        <v>46247.0</v>
      </c>
      <c r="F8833" s="26" t="s">
        <v>46</v>
      </c>
      <c r="H8833" s="26" t="s">
        <v>763</v>
      </c>
      <c r="I8833" s="26" t="s">
        <v>970</v>
      </c>
      <c r="J8833" s="25" t="str">
        <f t="shared" si="106"/>
        <v>No</v>
      </c>
      <c r="K8833" s="25" t="str">
        <f t="shared" si="107"/>
        <v/>
      </c>
      <c r="L8833" s="25" t="str">
        <f t="shared" si="108"/>
        <v/>
      </c>
      <c r="M8833" s="25"/>
      <c r="O8833" s="25"/>
    </row>
    <row r="8834" ht="15.75" customHeight="1">
      <c r="A8834" s="25" t="str">
        <f>IFERROR(__xludf.DUMMYFUNCTION("IF(B8834="""","""",RIGHT(REGEXREPLACE(B8834&amp;"""",""[^0-9]"",""""),9))"),"710993973")</f>
        <v>710993973</v>
      </c>
      <c r="B8834" s="52">
        <v>7.10993973E8</v>
      </c>
      <c r="C8834" s="28" t="s">
        <v>8956</v>
      </c>
      <c r="D8834" s="26" t="s">
        <v>45</v>
      </c>
      <c r="E8834" s="31">
        <v>46247.0</v>
      </c>
      <c r="F8834" s="26" t="s">
        <v>659</v>
      </c>
      <c r="I8834" s="26" t="s">
        <v>970</v>
      </c>
      <c r="J8834" s="25" t="str">
        <f t="shared" si="106"/>
        <v>No</v>
      </c>
      <c r="K8834" s="25" t="str">
        <f t="shared" si="107"/>
        <v/>
      </c>
      <c r="L8834" s="25" t="str">
        <f t="shared" si="108"/>
        <v/>
      </c>
      <c r="M8834" s="25"/>
      <c r="O8834" s="25"/>
    </row>
    <row r="8835" ht="15.75" customHeight="1">
      <c r="A8835" s="25" t="str">
        <f>IFERROR(__xludf.DUMMYFUNCTION("IF(B8835="""","""",RIGHT(REGEXREPLACE(B8835&amp;"""",""[^0-9]"",""""),9))"),"718151818")</f>
        <v>718151818</v>
      </c>
      <c r="B8835" s="52">
        <v>7.18151818E8</v>
      </c>
      <c r="C8835" s="28" t="s">
        <v>8957</v>
      </c>
      <c r="D8835" s="26" t="s">
        <v>64</v>
      </c>
      <c r="E8835" s="31">
        <v>46247.0</v>
      </c>
      <c r="F8835" s="26" t="s">
        <v>46</v>
      </c>
      <c r="G8835" s="26">
        <v>10.0</v>
      </c>
      <c r="H8835" s="26" t="s">
        <v>2293</v>
      </c>
      <c r="I8835" s="26" t="s">
        <v>970</v>
      </c>
      <c r="J8835" s="25" t="str">
        <f t="shared" si="106"/>
        <v>No</v>
      </c>
      <c r="K8835" s="25" t="str">
        <f t="shared" si="107"/>
        <v/>
      </c>
      <c r="L8835" s="25" t="str">
        <f t="shared" si="108"/>
        <v/>
      </c>
      <c r="M8835" s="25"/>
      <c r="O8835" s="25"/>
    </row>
    <row r="8836" ht="15.75" customHeight="1">
      <c r="A8836" s="25" t="str">
        <f>IFERROR(__xludf.DUMMYFUNCTION("IF(B8836="""","""",RIGHT(REGEXREPLACE(B8836&amp;"""",""[^0-9]"",""""),9))"),"767693078")</f>
        <v>767693078</v>
      </c>
      <c r="B8836" s="52">
        <v>7.67693078E8</v>
      </c>
      <c r="C8836" s="28" t="s">
        <v>8958</v>
      </c>
      <c r="D8836" s="26" t="s">
        <v>45</v>
      </c>
      <c r="E8836" s="31">
        <v>46247.0</v>
      </c>
      <c r="F8836" s="26" t="s">
        <v>46</v>
      </c>
      <c r="G8836" s="26">
        <v>7.0</v>
      </c>
      <c r="I8836" s="26" t="s">
        <v>970</v>
      </c>
      <c r="J8836" s="25" t="str">
        <f t="shared" si="106"/>
        <v>No</v>
      </c>
      <c r="K8836" s="25" t="str">
        <f t="shared" si="107"/>
        <v/>
      </c>
      <c r="L8836" s="25" t="str">
        <f t="shared" si="108"/>
        <v/>
      </c>
      <c r="M8836" s="25"/>
      <c r="O8836" s="25"/>
    </row>
    <row r="8837" ht="15.75" customHeight="1">
      <c r="A8837" s="25" t="str">
        <f>IFERROR(__xludf.DUMMYFUNCTION("IF(B8837="""","""",RIGHT(REGEXREPLACE(B8837&amp;"""",""[^0-9]"",""""),9))"),"711933664")</f>
        <v>711933664</v>
      </c>
      <c r="B8837" s="52">
        <v>7.11933664E8</v>
      </c>
      <c r="C8837" s="28" t="s">
        <v>8959</v>
      </c>
      <c r="D8837" s="26" t="s">
        <v>64</v>
      </c>
      <c r="E8837" s="31">
        <v>46247.0</v>
      </c>
      <c r="F8837" s="26" t="s">
        <v>41</v>
      </c>
      <c r="I8837" s="26" t="s">
        <v>970</v>
      </c>
      <c r="J8837" s="25" t="str">
        <f t="shared" si="106"/>
        <v>No</v>
      </c>
      <c r="K8837" s="25" t="str">
        <f t="shared" si="107"/>
        <v/>
      </c>
      <c r="L8837" s="25" t="str">
        <f t="shared" si="108"/>
        <v/>
      </c>
      <c r="M8837" s="25"/>
      <c r="O8837" s="25"/>
    </row>
    <row r="8838" ht="15.75" customHeight="1">
      <c r="A8838" s="25" t="str">
        <f>IFERROR(__xludf.DUMMYFUNCTION("IF(B8838="""","""",RIGHT(REGEXREPLACE(B8838&amp;"""",""[^0-9]"",""""),9))"),"774108682")</f>
        <v>774108682</v>
      </c>
      <c r="B8838" s="52">
        <v>7.74108682E8</v>
      </c>
      <c r="C8838" s="28" t="s">
        <v>8960</v>
      </c>
      <c r="D8838" s="26" t="s">
        <v>64</v>
      </c>
      <c r="E8838" s="31">
        <v>46247.0</v>
      </c>
      <c r="F8838" s="26" t="s">
        <v>46</v>
      </c>
      <c r="G8838" s="26">
        <v>11.0</v>
      </c>
      <c r="I8838" s="26" t="s">
        <v>970</v>
      </c>
      <c r="J8838" s="25" t="str">
        <f t="shared" si="106"/>
        <v>No</v>
      </c>
      <c r="K8838" s="25" t="str">
        <f t="shared" si="107"/>
        <v/>
      </c>
      <c r="L8838" s="25" t="str">
        <f t="shared" si="108"/>
        <v/>
      </c>
      <c r="M8838" s="25"/>
      <c r="O8838" s="25"/>
    </row>
    <row r="8839" ht="15.75" customHeight="1">
      <c r="A8839" s="25" t="str">
        <f>IFERROR(__xludf.DUMMYFUNCTION("IF(B8839="""","""",RIGHT(REGEXREPLACE(B8839&amp;"""",""[^0-9]"",""""),9))"),"714225395")</f>
        <v>714225395</v>
      </c>
      <c r="B8839" s="52">
        <v>7.14225395E8</v>
      </c>
      <c r="C8839" s="28" t="s">
        <v>8646</v>
      </c>
      <c r="D8839" s="26" t="s">
        <v>56</v>
      </c>
      <c r="E8839" s="31">
        <v>46247.0</v>
      </c>
      <c r="F8839" s="26" t="s">
        <v>205</v>
      </c>
      <c r="H8839" s="26" t="s">
        <v>8436</v>
      </c>
      <c r="I8839" s="26" t="s">
        <v>970</v>
      </c>
      <c r="J8839" s="25" t="str">
        <f t="shared" si="106"/>
        <v>Yes - see Previous F-Code</v>
      </c>
      <c r="K8839" s="25" t="str">
        <f t="shared" si="107"/>
        <v>DUPLICATE - CHECK</v>
      </c>
      <c r="L8839" s="25" t="str">
        <f t="shared" si="108"/>
        <v>F77410</v>
      </c>
      <c r="M8839" s="25"/>
      <c r="O8839" s="25"/>
    </row>
    <row r="8840" ht="15.75" customHeight="1">
      <c r="A8840" s="25" t="str">
        <f>IFERROR(__xludf.DUMMYFUNCTION("IF(B8840="""","""",RIGHT(REGEXREPLACE(B8840&amp;"""",""[^0-9]"",""""),9))"),"773327206")</f>
        <v>773327206</v>
      </c>
      <c r="B8840" s="52">
        <v>7.73327206E8</v>
      </c>
      <c r="C8840" s="28" t="s">
        <v>8961</v>
      </c>
      <c r="D8840" s="26" t="s">
        <v>56</v>
      </c>
      <c r="E8840" s="31">
        <v>46247.0</v>
      </c>
      <c r="F8840" s="26" t="s">
        <v>125</v>
      </c>
      <c r="H8840" s="26" t="s">
        <v>8436</v>
      </c>
      <c r="I8840" s="26" t="s">
        <v>970</v>
      </c>
      <c r="J8840" s="25" t="str">
        <f t="shared" si="106"/>
        <v>No</v>
      </c>
      <c r="K8840" s="25" t="str">
        <f t="shared" si="107"/>
        <v/>
      </c>
      <c r="L8840" s="25" t="str">
        <f t="shared" si="108"/>
        <v/>
      </c>
      <c r="M8840" s="25"/>
      <c r="O8840" s="25"/>
    </row>
    <row r="8841" ht="15.75" customHeight="1">
      <c r="A8841" s="25" t="str">
        <f>IFERROR(__xludf.DUMMYFUNCTION("IF(B8841="""","""",RIGHT(REGEXREPLACE(B8841&amp;"""",""[^0-9]"",""""),9))"),"777305481")</f>
        <v>777305481</v>
      </c>
      <c r="B8841" s="52">
        <v>7.77305481E8</v>
      </c>
      <c r="C8841" s="28" t="s">
        <v>8962</v>
      </c>
      <c r="D8841" s="26" t="s">
        <v>64</v>
      </c>
      <c r="E8841" s="31">
        <v>46247.0</v>
      </c>
      <c r="F8841" s="26" t="s">
        <v>46</v>
      </c>
      <c r="G8841" s="26">
        <v>11.0</v>
      </c>
      <c r="I8841" s="26" t="s">
        <v>970</v>
      </c>
      <c r="J8841" s="25" t="str">
        <f t="shared" si="106"/>
        <v>No</v>
      </c>
      <c r="K8841" s="25" t="str">
        <f t="shared" si="107"/>
        <v/>
      </c>
      <c r="L8841" s="25" t="str">
        <f t="shared" si="108"/>
        <v/>
      </c>
      <c r="M8841" s="25"/>
      <c r="O8841" s="25"/>
    </row>
    <row r="8842" ht="15.75" customHeight="1">
      <c r="A8842" s="25" t="str">
        <f>IFERROR(__xludf.DUMMYFUNCTION("IF(B8842="""","""",RIGHT(REGEXREPLACE(B8842&amp;"""",""[^0-9]"",""""),9))"),"750368685")</f>
        <v>750368685</v>
      </c>
      <c r="B8842" s="52">
        <v>7.50368685E8</v>
      </c>
      <c r="C8842" s="28" t="s">
        <v>2269</v>
      </c>
      <c r="D8842" s="26" t="s">
        <v>64</v>
      </c>
      <c r="E8842" s="31">
        <v>46247.0</v>
      </c>
      <c r="F8842" s="26" t="s">
        <v>46</v>
      </c>
      <c r="H8842" s="26" t="s">
        <v>3756</v>
      </c>
      <c r="I8842" s="26" t="s">
        <v>970</v>
      </c>
      <c r="J8842" s="25" t="str">
        <f t="shared" si="106"/>
        <v>Yes - see Previous F-Code</v>
      </c>
      <c r="K8842" s="25" t="str">
        <f t="shared" si="107"/>
        <v/>
      </c>
      <c r="L8842" s="25" t="str">
        <f t="shared" si="108"/>
        <v>F71967</v>
      </c>
      <c r="M8842" s="25"/>
      <c r="O8842" s="25"/>
    </row>
    <row r="8843" ht="15.75" customHeight="1">
      <c r="A8843" s="25" t="str">
        <f>IFERROR(__xludf.DUMMYFUNCTION("IF(B8843="""","""",RIGHT(REGEXREPLACE(B8843&amp;"""",""[^0-9]"",""""),9))"),"779130599")</f>
        <v>779130599</v>
      </c>
      <c r="B8843" s="52">
        <v>7.79130599E8</v>
      </c>
      <c r="C8843" s="28" t="s">
        <v>8963</v>
      </c>
      <c r="D8843" s="26" t="s">
        <v>56</v>
      </c>
      <c r="E8843" s="31">
        <v>46247.0</v>
      </c>
      <c r="F8843" s="26" t="s">
        <v>125</v>
      </c>
      <c r="H8843" s="26" t="s">
        <v>8436</v>
      </c>
      <c r="I8843" s="26" t="s">
        <v>970</v>
      </c>
      <c r="J8843" s="25" t="str">
        <f t="shared" si="106"/>
        <v>No</v>
      </c>
      <c r="K8843" s="25" t="str">
        <f t="shared" si="107"/>
        <v/>
      </c>
      <c r="L8843" s="25" t="str">
        <f t="shared" si="108"/>
        <v/>
      </c>
      <c r="M8843" s="25"/>
      <c r="O8843" s="25"/>
    </row>
    <row r="8844" ht="15.75" customHeight="1">
      <c r="A8844" s="25" t="str">
        <f>IFERROR(__xludf.DUMMYFUNCTION("IF(B8844="""","""",RIGHT(REGEXREPLACE(B8844&amp;"""",""[^0-9]"",""""),9))"),"724669968")</f>
        <v>724669968</v>
      </c>
      <c r="B8844" s="52">
        <v>7.24669968E8</v>
      </c>
      <c r="C8844" s="28" t="s">
        <v>8964</v>
      </c>
      <c r="D8844" s="26" t="s">
        <v>64</v>
      </c>
      <c r="E8844" s="31">
        <v>46247.0</v>
      </c>
      <c r="F8844" s="26" t="s">
        <v>46</v>
      </c>
      <c r="H8844" s="26" t="s">
        <v>8573</v>
      </c>
      <c r="I8844" s="26" t="s">
        <v>970</v>
      </c>
      <c r="J8844" s="25" t="str">
        <f t="shared" si="106"/>
        <v>No</v>
      </c>
      <c r="K8844" s="25" t="str">
        <f t="shared" si="107"/>
        <v/>
      </c>
      <c r="L8844" s="25" t="str">
        <f t="shared" si="108"/>
        <v/>
      </c>
      <c r="M8844" s="25"/>
      <c r="O8844" s="25"/>
    </row>
    <row r="8845" ht="15.75" customHeight="1">
      <c r="A8845" s="25" t="str">
        <f>IFERROR(__xludf.DUMMYFUNCTION("IF(B8845="""","""",RIGHT(REGEXREPLACE(B8845&amp;"""",""[^0-9]"",""""),9))"),"754656030")</f>
        <v>754656030</v>
      </c>
      <c r="B8845" s="52">
        <v>7.5465603E8</v>
      </c>
      <c r="C8845" s="28" t="s">
        <v>8965</v>
      </c>
      <c r="D8845" s="26" t="s">
        <v>64</v>
      </c>
      <c r="E8845" s="31">
        <v>46247.0</v>
      </c>
      <c r="F8845" s="26" t="s">
        <v>125</v>
      </c>
      <c r="I8845" s="26" t="s">
        <v>970</v>
      </c>
      <c r="J8845" s="25" t="str">
        <f t="shared" si="106"/>
        <v>No</v>
      </c>
      <c r="K8845" s="25" t="str">
        <f t="shared" si="107"/>
        <v/>
      </c>
      <c r="L8845" s="25" t="str">
        <f t="shared" si="108"/>
        <v/>
      </c>
      <c r="M8845" s="25"/>
      <c r="O8845" s="25"/>
    </row>
    <row r="8846" ht="15.75" customHeight="1">
      <c r="A8846" s="25" t="str">
        <f>IFERROR(__xludf.DUMMYFUNCTION("IF(B8846="""","""",RIGHT(REGEXREPLACE(B8846&amp;"""",""[^0-9]"",""""),9))"),"761836498")</f>
        <v>761836498</v>
      </c>
      <c r="B8846" s="52">
        <v>7.61836498E8</v>
      </c>
      <c r="C8846" s="28" t="s">
        <v>8966</v>
      </c>
      <c r="D8846" s="26" t="s">
        <v>56</v>
      </c>
      <c r="E8846" s="31">
        <v>46247.0</v>
      </c>
      <c r="F8846" s="26" t="s">
        <v>164</v>
      </c>
      <c r="G8846" s="26" t="s">
        <v>8436</v>
      </c>
      <c r="I8846" s="26" t="s">
        <v>970</v>
      </c>
      <c r="J8846" s="25" t="str">
        <f t="shared" si="106"/>
        <v>No</v>
      </c>
      <c r="K8846" s="25" t="str">
        <f t="shared" si="107"/>
        <v/>
      </c>
      <c r="L8846" s="25" t="str">
        <f t="shared" si="108"/>
        <v/>
      </c>
      <c r="M8846" s="25"/>
      <c r="O8846" s="25"/>
    </row>
    <row r="8847" ht="15.75" customHeight="1">
      <c r="A8847" s="25" t="str">
        <f>IFERROR(__xludf.DUMMYFUNCTION("IF(B8847="""","""",RIGHT(REGEXREPLACE(B8847&amp;"""",""[^0-9]"",""""),9))"),"727884655")</f>
        <v>727884655</v>
      </c>
      <c r="B8847" s="52">
        <v>7.27884655E8</v>
      </c>
      <c r="C8847" s="28" t="s">
        <v>8967</v>
      </c>
      <c r="D8847" s="26" t="s">
        <v>64</v>
      </c>
      <c r="E8847" s="31">
        <v>46247.0</v>
      </c>
      <c r="F8847" s="26" t="s">
        <v>41</v>
      </c>
      <c r="I8847" s="26" t="s">
        <v>970</v>
      </c>
      <c r="J8847" s="25" t="str">
        <f t="shared" si="106"/>
        <v>No</v>
      </c>
      <c r="K8847" s="25" t="str">
        <f t="shared" si="107"/>
        <v/>
      </c>
      <c r="L8847" s="25" t="str">
        <f t="shared" si="108"/>
        <v/>
      </c>
      <c r="M8847" s="25"/>
      <c r="O8847" s="25"/>
    </row>
    <row r="8848" ht="15.75" customHeight="1">
      <c r="A8848" s="25" t="str">
        <f>IFERROR(__xludf.DUMMYFUNCTION("IF(B8848="""","""",RIGHT(REGEXREPLACE(B8848&amp;"""",""[^0-9]"",""""),9))"),"701462470")</f>
        <v>701462470</v>
      </c>
      <c r="B8848" s="52">
        <v>7.0146247E8</v>
      </c>
      <c r="C8848" s="28" t="s">
        <v>8968</v>
      </c>
      <c r="D8848" s="26" t="s">
        <v>64</v>
      </c>
      <c r="E8848" s="31">
        <v>46247.0</v>
      </c>
      <c r="F8848" s="26" t="s">
        <v>46</v>
      </c>
      <c r="G8848" s="26">
        <v>10.0</v>
      </c>
      <c r="I8848" s="26" t="s">
        <v>970</v>
      </c>
      <c r="J8848" s="25" t="str">
        <f t="shared" si="106"/>
        <v>No</v>
      </c>
      <c r="K8848" s="25" t="str">
        <f t="shared" si="107"/>
        <v/>
      </c>
      <c r="L8848" s="25" t="str">
        <f t="shared" si="108"/>
        <v/>
      </c>
      <c r="M8848" s="25"/>
      <c r="O8848" s="25"/>
    </row>
    <row r="8849" ht="15.75" customHeight="1">
      <c r="A8849" s="25" t="str">
        <f>IFERROR(__xludf.DUMMYFUNCTION("IF(B8849="""","""",RIGHT(REGEXREPLACE(B8849&amp;"""",""[^0-9]"",""""),9))"),"777483388")</f>
        <v>777483388</v>
      </c>
      <c r="B8849" s="52">
        <v>7.77483388E8</v>
      </c>
      <c r="C8849" s="28" t="s">
        <v>8969</v>
      </c>
      <c r="D8849" s="26" t="s">
        <v>56</v>
      </c>
      <c r="E8849" s="31">
        <v>46247.0</v>
      </c>
      <c r="F8849" s="26" t="s">
        <v>84</v>
      </c>
      <c r="H8849" s="26" t="s">
        <v>1648</v>
      </c>
      <c r="I8849" s="26" t="s">
        <v>970</v>
      </c>
      <c r="J8849" s="25" t="str">
        <f t="shared" si="106"/>
        <v>No</v>
      </c>
      <c r="K8849" s="25" t="str">
        <f t="shared" si="107"/>
        <v/>
      </c>
      <c r="L8849" s="25" t="str">
        <f t="shared" si="108"/>
        <v/>
      </c>
      <c r="M8849" s="25"/>
      <c r="O8849" s="25"/>
    </row>
    <row r="8850" ht="15.75" customHeight="1">
      <c r="A8850" s="25" t="str">
        <f>IFERROR(__xludf.DUMMYFUNCTION("IF(B8850="""","""",RIGHT(REGEXREPLACE(B8850&amp;"""",""[^0-9]"",""""),9))"),"778765100")</f>
        <v>778765100</v>
      </c>
      <c r="B8850" s="52">
        <v>7.787651E8</v>
      </c>
      <c r="C8850" s="28" t="s">
        <v>8970</v>
      </c>
      <c r="D8850" s="26" t="s">
        <v>64</v>
      </c>
      <c r="E8850" s="31">
        <v>46247.0</v>
      </c>
      <c r="F8850" s="26" t="s">
        <v>46</v>
      </c>
      <c r="G8850" s="26">
        <v>11.0</v>
      </c>
      <c r="I8850" s="26" t="s">
        <v>970</v>
      </c>
      <c r="J8850" s="25" t="str">
        <f t="shared" si="106"/>
        <v>No</v>
      </c>
      <c r="K8850" s="25" t="str">
        <f t="shared" si="107"/>
        <v/>
      </c>
      <c r="L8850" s="25" t="str">
        <f t="shared" si="108"/>
        <v/>
      </c>
      <c r="M8850" s="25"/>
      <c r="O8850" s="25"/>
    </row>
    <row r="8851" ht="15.75" customHeight="1">
      <c r="A8851" s="25" t="str">
        <f>IFERROR(__xludf.DUMMYFUNCTION("IF(B8851="""","""",RIGHT(REGEXREPLACE(B8851&amp;"""",""[^0-9]"",""""),9))"),"769435463")</f>
        <v>769435463</v>
      </c>
      <c r="B8851" s="52">
        <v>7.69435463E8</v>
      </c>
      <c r="C8851" s="28" t="s">
        <v>1471</v>
      </c>
      <c r="D8851" s="26" t="s">
        <v>45</v>
      </c>
      <c r="E8851" s="31">
        <v>46247.0</v>
      </c>
      <c r="F8851" s="26" t="s">
        <v>41</v>
      </c>
      <c r="I8851" s="26" t="s">
        <v>970</v>
      </c>
      <c r="J8851" s="25" t="str">
        <f t="shared" si="106"/>
        <v>Yes - see Previous F-Code</v>
      </c>
      <c r="K8851" s="25" t="str">
        <f t="shared" si="107"/>
        <v>DUPLICATE - CHECK</v>
      </c>
      <c r="L8851" s="25" t="str">
        <f t="shared" si="108"/>
        <v>F71195</v>
      </c>
      <c r="M8851" s="25"/>
      <c r="O8851" s="25"/>
    </row>
    <row r="8852" ht="15.75" customHeight="1">
      <c r="A8852" s="25" t="str">
        <f>IFERROR(__xludf.DUMMYFUNCTION("IF(B8852="""","""",RIGHT(REGEXREPLACE(B8852&amp;"""",""[^0-9]"",""""),9))"),"761785397")</f>
        <v>761785397</v>
      </c>
      <c r="B8852" s="52">
        <v>7.61785397E8</v>
      </c>
      <c r="C8852" s="28" t="s">
        <v>8971</v>
      </c>
      <c r="D8852" s="26" t="s">
        <v>64</v>
      </c>
      <c r="E8852" s="31">
        <v>46247.0</v>
      </c>
      <c r="F8852" s="26" t="s">
        <v>46</v>
      </c>
      <c r="G8852" s="26">
        <v>9.0</v>
      </c>
      <c r="I8852" s="26" t="s">
        <v>970</v>
      </c>
      <c r="J8852" s="25" t="str">
        <f t="shared" si="106"/>
        <v>No</v>
      </c>
      <c r="K8852" s="25" t="str">
        <f t="shared" si="107"/>
        <v/>
      </c>
      <c r="L8852" s="25" t="str">
        <f t="shared" si="108"/>
        <v/>
      </c>
      <c r="M8852" s="25"/>
      <c r="O8852" s="25"/>
    </row>
    <row r="8853" ht="15.75" customHeight="1">
      <c r="A8853" s="25" t="str">
        <f>IFERROR(__xludf.DUMMYFUNCTION("IF(B8853="""","""",RIGHT(REGEXREPLACE(B8853&amp;"""",""[^0-9]"",""""),9))"),"776964562")</f>
        <v>776964562</v>
      </c>
      <c r="B8853" s="52">
        <v>7.76964562E8</v>
      </c>
      <c r="C8853" s="28" t="s">
        <v>8972</v>
      </c>
      <c r="D8853" s="26" t="s">
        <v>56</v>
      </c>
      <c r="E8853" s="31">
        <v>46247.0</v>
      </c>
      <c r="F8853" s="26" t="s">
        <v>41</v>
      </c>
      <c r="I8853" s="26" t="s">
        <v>970</v>
      </c>
      <c r="J8853" s="25" t="str">
        <f t="shared" si="106"/>
        <v>No</v>
      </c>
      <c r="K8853" s="25" t="str">
        <f t="shared" si="107"/>
        <v/>
      </c>
      <c r="L8853" s="25" t="str">
        <f t="shared" si="108"/>
        <v/>
      </c>
      <c r="M8853" s="25"/>
      <c r="O8853" s="25"/>
    </row>
    <row r="8854" ht="15.75" customHeight="1">
      <c r="A8854" s="25" t="str">
        <f>IFERROR(__xludf.DUMMYFUNCTION("IF(B8854="""","""",RIGHT(REGEXREPLACE(B8854&amp;"""",""[^0-9]"",""""),9))"),"743234010")</f>
        <v>743234010</v>
      </c>
      <c r="B8854" s="52">
        <v>7.4323401E8</v>
      </c>
      <c r="C8854" s="28" t="s">
        <v>8973</v>
      </c>
      <c r="D8854" s="26" t="s">
        <v>56</v>
      </c>
      <c r="E8854" s="31">
        <v>46247.0</v>
      </c>
      <c r="F8854" s="26" t="s">
        <v>41</v>
      </c>
      <c r="G8854" s="26">
        <v>7.0</v>
      </c>
      <c r="I8854" s="26" t="s">
        <v>970</v>
      </c>
      <c r="J8854" s="25" t="str">
        <f t="shared" si="106"/>
        <v>No</v>
      </c>
      <c r="K8854" s="25" t="str">
        <f t="shared" si="107"/>
        <v/>
      </c>
      <c r="L8854" s="25" t="str">
        <f t="shared" si="108"/>
        <v/>
      </c>
      <c r="M8854" s="25"/>
      <c r="O8854" s="25"/>
    </row>
    <row r="8855" ht="15.75" customHeight="1">
      <c r="A8855" s="25" t="str">
        <f>IFERROR(__xludf.DUMMYFUNCTION("IF(B8855="""","""",RIGHT(REGEXREPLACE(B8855&amp;"""",""[^0-9]"",""""),9))"),"742879488")</f>
        <v>742879488</v>
      </c>
      <c r="B8855" s="52">
        <v>7.42879488E8</v>
      </c>
      <c r="C8855" s="28" t="s">
        <v>8974</v>
      </c>
      <c r="D8855" s="26" t="s">
        <v>64</v>
      </c>
      <c r="E8855" s="31">
        <v>46247.0</v>
      </c>
      <c r="F8855" s="26" t="s">
        <v>46</v>
      </c>
      <c r="G8855" s="26">
        <v>11.0</v>
      </c>
      <c r="I8855" s="26" t="s">
        <v>970</v>
      </c>
      <c r="J8855" s="25" t="str">
        <f t="shared" si="106"/>
        <v>No</v>
      </c>
      <c r="K8855" s="25" t="str">
        <f t="shared" si="107"/>
        <v/>
      </c>
      <c r="L8855" s="25" t="str">
        <f t="shared" si="108"/>
        <v/>
      </c>
      <c r="M8855" s="25"/>
      <c r="O8855" s="25"/>
    </row>
    <row r="8856" ht="15.75" customHeight="1">
      <c r="A8856" s="25" t="str">
        <f>IFERROR(__xludf.DUMMYFUNCTION("IF(B8856="""","""",RIGHT(REGEXREPLACE(B8856&amp;"""",""[^0-9]"",""""),9))"),"768155761")</f>
        <v>768155761</v>
      </c>
      <c r="B8856" s="52">
        <v>7.68155761E8</v>
      </c>
      <c r="C8856" s="28" t="s">
        <v>8975</v>
      </c>
      <c r="D8856" s="26" t="s">
        <v>56</v>
      </c>
      <c r="E8856" s="31">
        <v>46247.0</v>
      </c>
      <c r="F8856" s="26" t="s">
        <v>46</v>
      </c>
      <c r="G8856" s="26">
        <v>11.0</v>
      </c>
      <c r="I8856" s="26" t="s">
        <v>970</v>
      </c>
      <c r="J8856" s="25" t="str">
        <f t="shared" si="106"/>
        <v>No</v>
      </c>
      <c r="K8856" s="25" t="str">
        <f t="shared" si="107"/>
        <v/>
      </c>
      <c r="L8856" s="25" t="str">
        <f t="shared" si="108"/>
        <v/>
      </c>
      <c r="M8856" s="25"/>
      <c r="O8856" s="25"/>
    </row>
    <row r="8857" ht="15.75" customHeight="1">
      <c r="A8857" s="25" t="str">
        <f>IFERROR(__xludf.DUMMYFUNCTION("IF(B8857="""","""",RIGHT(REGEXREPLACE(B8857&amp;"""",""[^0-9]"",""""),9))"),"716898690")</f>
        <v>716898690</v>
      </c>
      <c r="B8857" s="52">
        <v>7.1689869E8</v>
      </c>
      <c r="C8857" s="28" t="s">
        <v>8976</v>
      </c>
      <c r="D8857" s="26" t="s">
        <v>64</v>
      </c>
      <c r="E8857" s="31">
        <v>46247.0</v>
      </c>
      <c r="F8857" s="26" t="s">
        <v>46</v>
      </c>
      <c r="G8857" s="26">
        <v>11.0</v>
      </c>
      <c r="I8857" s="26" t="s">
        <v>970</v>
      </c>
      <c r="J8857" s="25" t="str">
        <f t="shared" si="106"/>
        <v>No</v>
      </c>
      <c r="K8857" s="25" t="str">
        <f t="shared" si="107"/>
        <v/>
      </c>
      <c r="L8857" s="25" t="str">
        <f t="shared" si="108"/>
        <v/>
      </c>
      <c r="M8857" s="25"/>
      <c r="O8857" s="25"/>
    </row>
    <row r="8858" ht="15.75" customHeight="1">
      <c r="A8858" s="25" t="str">
        <f>IFERROR(__xludf.DUMMYFUNCTION("IF(B8858="""","""",RIGHT(REGEXREPLACE(B8858&amp;"""",""[^0-9]"",""""),9))"),"774343618")</f>
        <v>774343618</v>
      </c>
      <c r="B8858" s="52">
        <v>7.74343618E8</v>
      </c>
      <c r="C8858" s="28" t="s">
        <v>8977</v>
      </c>
      <c r="D8858" s="26" t="s">
        <v>56</v>
      </c>
      <c r="E8858" s="31">
        <v>46247.0</v>
      </c>
      <c r="F8858" s="26" t="s">
        <v>205</v>
      </c>
      <c r="I8858" s="26" t="s">
        <v>970</v>
      </c>
      <c r="J8858" s="25" t="str">
        <f t="shared" si="106"/>
        <v>No</v>
      </c>
      <c r="K8858" s="25" t="str">
        <f t="shared" si="107"/>
        <v/>
      </c>
      <c r="L8858" s="25" t="str">
        <f t="shared" si="108"/>
        <v/>
      </c>
      <c r="M8858" s="25"/>
      <c r="O8858" s="25"/>
    </row>
    <row r="8859" ht="15.75" customHeight="1">
      <c r="A8859" s="25" t="str">
        <f>IFERROR(__xludf.DUMMYFUNCTION("IF(B8859="""","""",RIGHT(REGEXREPLACE(B8859&amp;"""",""[^0-9]"",""""),9))"),"771264756")</f>
        <v>771264756</v>
      </c>
      <c r="B8859" s="52">
        <v>7.71264756E8</v>
      </c>
      <c r="C8859" s="28" t="s">
        <v>3120</v>
      </c>
      <c r="D8859" s="26" t="s">
        <v>56</v>
      </c>
      <c r="E8859" s="31">
        <v>46247.0</v>
      </c>
      <c r="F8859" s="26" t="s">
        <v>46</v>
      </c>
      <c r="G8859" s="26">
        <v>10.0</v>
      </c>
      <c r="I8859" s="26" t="s">
        <v>970</v>
      </c>
      <c r="J8859" s="25" t="str">
        <f t="shared" si="106"/>
        <v>Yes - see Previous F-Code</v>
      </c>
      <c r="K8859" s="25" t="str">
        <f t="shared" si="107"/>
        <v/>
      </c>
      <c r="L8859" s="25" t="str">
        <f t="shared" si="108"/>
        <v>F72751</v>
      </c>
      <c r="M8859" s="25"/>
      <c r="O8859" s="25"/>
    </row>
    <row r="8860" ht="15.75" customHeight="1">
      <c r="A8860" s="25" t="str">
        <f>IFERROR(__xludf.DUMMYFUNCTION("IF(B8860="""","""",RIGHT(REGEXREPLACE(B8860&amp;"""",""[^0-9]"",""""),9))"),"767560934")</f>
        <v>767560934</v>
      </c>
      <c r="B8860" s="52">
        <v>7.67560934E8</v>
      </c>
      <c r="C8860" s="28" t="s">
        <v>8978</v>
      </c>
      <c r="D8860" s="26" t="s">
        <v>64</v>
      </c>
      <c r="E8860" s="31">
        <v>46247.0</v>
      </c>
      <c r="F8860" s="26" t="s">
        <v>205</v>
      </c>
      <c r="I8860" s="26" t="s">
        <v>970</v>
      </c>
      <c r="J8860" s="25" t="str">
        <f t="shared" si="106"/>
        <v>No</v>
      </c>
      <c r="K8860" s="25" t="str">
        <f t="shared" si="107"/>
        <v/>
      </c>
      <c r="L8860" s="25" t="str">
        <f t="shared" si="108"/>
        <v/>
      </c>
      <c r="M8860" s="25"/>
      <c r="O8860" s="25"/>
    </row>
    <row r="8861" ht="15.75" customHeight="1">
      <c r="A8861" s="25" t="str">
        <f>IFERROR(__xludf.DUMMYFUNCTION("IF(B8861="""","""",RIGHT(REGEXREPLACE(B8861&amp;"""",""[^0-9]"",""""),9))"),"712663443")</f>
        <v>712663443</v>
      </c>
      <c r="B8861" s="52">
        <v>7.12663443E8</v>
      </c>
      <c r="C8861" s="28" t="s">
        <v>8948</v>
      </c>
      <c r="D8861" s="26" t="s">
        <v>64</v>
      </c>
      <c r="E8861" s="31">
        <v>46247.0</v>
      </c>
      <c r="F8861" s="26" t="s">
        <v>46</v>
      </c>
      <c r="G8861" s="26">
        <v>11.0</v>
      </c>
      <c r="I8861" s="26" t="s">
        <v>970</v>
      </c>
      <c r="J8861" s="25" t="str">
        <f t="shared" si="106"/>
        <v>Yes - see Previous F-Code</v>
      </c>
      <c r="K8861" s="25" t="str">
        <f t="shared" si="107"/>
        <v>DUPLICATE - CHECK</v>
      </c>
      <c r="L8861" s="25" t="str">
        <f t="shared" si="108"/>
        <v>F77598</v>
      </c>
      <c r="M8861" s="25"/>
      <c r="O8861" s="25"/>
    </row>
    <row r="8862" ht="15.75" customHeight="1">
      <c r="A8862" s="25" t="str">
        <f>IFERROR(__xludf.DUMMYFUNCTION("IF(B8862="""","""",RIGHT(REGEXREPLACE(B8862&amp;"""",""[^0-9]"",""""),9))"),"773420779")</f>
        <v>773420779</v>
      </c>
      <c r="B8862" s="52">
        <v>7.73420779E8</v>
      </c>
      <c r="C8862" s="28" t="s">
        <v>8979</v>
      </c>
      <c r="D8862" s="26" t="s">
        <v>56</v>
      </c>
      <c r="E8862" s="31">
        <v>46247.0</v>
      </c>
      <c r="F8862" s="26" t="s">
        <v>46</v>
      </c>
      <c r="G8862" s="26">
        <v>9.0</v>
      </c>
      <c r="H8862" s="26" t="s">
        <v>1648</v>
      </c>
      <c r="I8862" s="26" t="s">
        <v>970</v>
      </c>
      <c r="J8862" s="25" t="str">
        <f t="shared" si="106"/>
        <v>No</v>
      </c>
      <c r="K8862" s="25" t="str">
        <f t="shared" si="107"/>
        <v/>
      </c>
      <c r="L8862" s="25" t="str">
        <f t="shared" si="108"/>
        <v/>
      </c>
      <c r="M8862" s="25"/>
      <c r="O8862" s="25"/>
    </row>
    <row r="8863" ht="15.75" customHeight="1">
      <c r="A8863" s="25" t="str">
        <f>IFERROR(__xludf.DUMMYFUNCTION("IF(B8863="""","""",RIGHT(REGEXREPLACE(B8863&amp;"""",""[^0-9]"",""""),9))"),"752479841")</f>
        <v>752479841</v>
      </c>
      <c r="B8863" s="52">
        <v>7.52479841E8</v>
      </c>
      <c r="C8863" s="28" t="s">
        <v>8980</v>
      </c>
      <c r="D8863" s="26" t="s">
        <v>56</v>
      </c>
      <c r="E8863" s="31">
        <v>46247.0</v>
      </c>
      <c r="F8863" s="26" t="s">
        <v>46</v>
      </c>
      <c r="G8863" s="26">
        <v>11.0</v>
      </c>
      <c r="H8863" s="26" t="s">
        <v>8436</v>
      </c>
      <c r="I8863" s="26" t="s">
        <v>970</v>
      </c>
      <c r="J8863" s="25" t="str">
        <f t="shared" si="106"/>
        <v>No</v>
      </c>
      <c r="K8863" s="25" t="str">
        <f t="shared" si="107"/>
        <v/>
      </c>
      <c r="L8863" s="25" t="str">
        <f t="shared" si="108"/>
        <v/>
      </c>
      <c r="M8863" s="25"/>
      <c r="O8863" s="25"/>
    </row>
    <row r="8864" ht="15.75" customHeight="1">
      <c r="A8864" s="25" t="str">
        <f>IFERROR(__xludf.DUMMYFUNCTION("IF(B8864="""","""",RIGHT(REGEXREPLACE(B8864&amp;"""",""[^0-9]"",""""),9))"),"775553282")</f>
        <v>775553282</v>
      </c>
      <c r="B8864" s="52">
        <v>7.75553282E8</v>
      </c>
      <c r="C8864" s="28" t="s">
        <v>4628</v>
      </c>
      <c r="D8864" s="26" t="s">
        <v>64</v>
      </c>
      <c r="E8864" s="31">
        <v>46247.0</v>
      </c>
      <c r="F8864" s="26" t="s">
        <v>46</v>
      </c>
      <c r="G8864" s="26">
        <v>10.0</v>
      </c>
      <c r="I8864" s="26" t="s">
        <v>970</v>
      </c>
      <c r="J8864" s="25" t="str">
        <f t="shared" si="106"/>
        <v>Yes - see Previous F-Code</v>
      </c>
      <c r="K8864" s="25" t="str">
        <f t="shared" si="107"/>
        <v/>
      </c>
      <c r="L8864" s="25" t="str">
        <f t="shared" si="108"/>
        <v>F74219</v>
      </c>
      <c r="M8864" s="25"/>
      <c r="O8864" s="25"/>
    </row>
    <row r="8865" ht="15.75" customHeight="1">
      <c r="A8865" s="25" t="str">
        <f>IFERROR(__xludf.DUMMYFUNCTION("IF(B8865="""","""",RIGHT(REGEXREPLACE(B8865&amp;"""",""[^0-9]"",""""),9))"),"761621516")</f>
        <v>761621516</v>
      </c>
      <c r="B8865" s="52">
        <v>7.61621516E8</v>
      </c>
      <c r="C8865" s="28" t="s">
        <v>8981</v>
      </c>
      <c r="D8865" s="26" t="s">
        <v>56</v>
      </c>
      <c r="E8865" s="31">
        <v>46247.0</v>
      </c>
      <c r="F8865" s="26" t="s">
        <v>41</v>
      </c>
      <c r="I8865" s="26" t="s">
        <v>970</v>
      </c>
      <c r="J8865" s="25" t="str">
        <f t="shared" si="106"/>
        <v>No</v>
      </c>
      <c r="K8865" s="25" t="str">
        <f t="shared" si="107"/>
        <v/>
      </c>
      <c r="L8865" s="25" t="str">
        <f t="shared" si="108"/>
        <v/>
      </c>
      <c r="M8865" s="25"/>
      <c r="O8865" s="25"/>
    </row>
    <row r="8866" ht="15.75" customHeight="1">
      <c r="A8866" s="25" t="str">
        <f>IFERROR(__xludf.DUMMYFUNCTION("IF(B8866="""","""",RIGHT(REGEXREPLACE(B8866&amp;"""",""[^0-9]"",""""),9))"),"761621516")</f>
        <v>761621516</v>
      </c>
      <c r="B8866" s="52">
        <v>7.61621516E8</v>
      </c>
      <c r="C8866" s="28" t="s">
        <v>8981</v>
      </c>
      <c r="D8866" s="26" t="s">
        <v>64</v>
      </c>
      <c r="E8866" s="31">
        <v>46247.0</v>
      </c>
      <c r="F8866" s="26" t="s">
        <v>46</v>
      </c>
      <c r="G8866" s="26">
        <v>10.0</v>
      </c>
      <c r="I8866" s="26" t="s">
        <v>970</v>
      </c>
      <c r="J8866" s="25" t="str">
        <f t="shared" si="106"/>
        <v>Yes - see Previous F-Code</v>
      </c>
      <c r="K8866" s="25" t="str">
        <f t="shared" si="107"/>
        <v>DUPLICATE - CHECK</v>
      </c>
      <c r="L8866" s="25" t="str">
        <f t="shared" si="108"/>
        <v>F77638</v>
      </c>
      <c r="M8866" s="25"/>
      <c r="O8866" s="25"/>
    </row>
    <row r="8867" ht="15.75" customHeight="1">
      <c r="A8867" s="25" t="str">
        <f>IFERROR(__xludf.DUMMYFUNCTION("IF(B8867="""","""",RIGHT(REGEXREPLACE(B8867&amp;"""",""[^0-9]"",""""),9))"),"719236388")</f>
        <v>719236388</v>
      </c>
      <c r="B8867" s="52">
        <v>7.19236388E8</v>
      </c>
      <c r="C8867" s="28" t="s">
        <v>8982</v>
      </c>
      <c r="D8867" s="26" t="s">
        <v>56</v>
      </c>
      <c r="E8867" s="31">
        <v>46247.0</v>
      </c>
      <c r="F8867" s="26" t="s">
        <v>41</v>
      </c>
      <c r="G8867" s="26">
        <v>9.0</v>
      </c>
      <c r="I8867" s="26" t="s">
        <v>970</v>
      </c>
      <c r="J8867" s="25" t="str">
        <f t="shared" si="106"/>
        <v>No</v>
      </c>
      <c r="K8867" s="25" t="str">
        <f t="shared" si="107"/>
        <v/>
      </c>
      <c r="L8867" s="25" t="str">
        <f t="shared" si="108"/>
        <v/>
      </c>
      <c r="M8867" s="25"/>
      <c r="O8867" s="25"/>
    </row>
    <row r="8868" ht="15.75" customHeight="1">
      <c r="A8868" s="25" t="str">
        <f>IFERROR(__xludf.DUMMYFUNCTION("IF(B8868="""","""",RIGHT(REGEXREPLACE(B8868&amp;"""",""[^0-9]"",""""),9))"),"711893601")</f>
        <v>711893601</v>
      </c>
      <c r="B8868" s="52">
        <v>7.11893601E8</v>
      </c>
      <c r="C8868" s="28" t="s">
        <v>8983</v>
      </c>
      <c r="D8868" s="26" t="s">
        <v>56</v>
      </c>
      <c r="E8868" s="31">
        <v>46247.0</v>
      </c>
      <c r="F8868" s="26" t="s">
        <v>46</v>
      </c>
      <c r="G8868" s="26">
        <v>8.0</v>
      </c>
      <c r="I8868" s="26" t="s">
        <v>970</v>
      </c>
      <c r="J8868" s="25" t="str">
        <f t="shared" si="106"/>
        <v>No</v>
      </c>
      <c r="K8868" s="25" t="str">
        <f t="shared" si="107"/>
        <v/>
      </c>
      <c r="L8868" s="25" t="str">
        <f t="shared" si="108"/>
        <v/>
      </c>
      <c r="M8868" s="25"/>
      <c r="O8868" s="25"/>
    </row>
    <row r="8869" ht="15.75" customHeight="1">
      <c r="A8869" s="25" t="str">
        <f>IFERROR(__xludf.DUMMYFUNCTION("IF(B8869="""","""",RIGHT(REGEXREPLACE(B8869&amp;"""",""[^0-9]"",""""),9))"),"772072865")</f>
        <v>772072865</v>
      </c>
      <c r="B8869" s="52">
        <v>7.72072865E8</v>
      </c>
      <c r="C8869" s="28" t="s">
        <v>8984</v>
      </c>
      <c r="D8869" s="26" t="s">
        <v>64</v>
      </c>
      <c r="E8869" s="31">
        <v>46247.0</v>
      </c>
      <c r="F8869" s="26" t="s">
        <v>46</v>
      </c>
      <c r="G8869" s="26">
        <v>11.0</v>
      </c>
      <c r="I8869" s="26" t="s">
        <v>970</v>
      </c>
      <c r="J8869" s="25" t="str">
        <f t="shared" si="106"/>
        <v>No</v>
      </c>
      <c r="K8869" s="25" t="str">
        <f t="shared" si="107"/>
        <v/>
      </c>
      <c r="L8869" s="25" t="str">
        <f t="shared" si="108"/>
        <v/>
      </c>
      <c r="M8869" s="25"/>
      <c r="O8869" s="25"/>
    </row>
    <row r="8870" ht="15.75" customHeight="1">
      <c r="A8870" s="25" t="str">
        <f>IFERROR(__xludf.DUMMYFUNCTION("IF(B8870="""","""",RIGHT(REGEXREPLACE(B8870&amp;"""",""[^0-9]"",""""),9))"),"763531144")</f>
        <v>763531144</v>
      </c>
      <c r="B8870" s="52">
        <v>7.63531144E8</v>
      </c>
      <c r="C8870" s="28" t="s">
        <v>8051</v>
      </c>
      <c r="D8870" s="26" t="s">
        <v>64</v>
      </c>
      <c r="E8870" s="31">
        <v>46247.0</v>
      </c>
      <c r="F8870" s="26" t="s">
        <v>41</v>
      </c>
      <c r="I8870" s="26" t="s">
        <v>970</v>
      </c>
      <c r="J8870" s="25" t="str">
        <f t="shared" si="106"/>
        <v>Yes - see Previous F-Code</v>
      </c>
      <c r="K8870" s="25" t="str">
        <f t="shared" si="107"/>
        <v>DUPLICATE - CHECK</v>
      </c>
      <c r="L8870" s="25" t="str">
        <f t="shared" si="108"/>
        <v>F76830</v>
      </c>
      <c r="M8870" s="25"/>
      <c r="O8870" s="25"/>
    </row>
    <row r="8871" ht="15.75" customHeight="1">
      <c r="A8871" s="25" t="str">
        <f>IFERROR(__xludf.DUMMYFUNCTION("IF(B8871="""","""",RIGHT(REGEXREPLACE(B8871&amp;"""",""[^0-9]"",""""),9))"),"743890845")</f>
        <v>743890845</v>
      </c>
      <c r="B8871" s="52">
        <v>7.43890845E8</v>
      </c>
      <c r="C8871" s="28" t="s">
        <v>489</v>
      </c>
      <c r="D8871" s="26" t="s">
        <v>56</v>
      </c>
      <c r="E8871" s="31">
        <v>46247.0</v>
      </c>
      <c r="F8871" s="26" t="s">
        <v>46</v>
      </c>
      <c r="G8871" s="26">
        <v>11.0</v>
      </c>
      <c r="H8871" s="26" t="s">
        <v>94</v>
      </c>
      <c r="I8871" s="26" t="s">
        <v>970</v>
      </c>
      <c r="J8871" s="25" t="str">
        <f t="shared" si="106"/>
        <v>Yes - see Previous F-Code</v>
      </c>
      <c r="K8871" s="25" t="str">
        <f t="shared" si="107"/>
        <v/>
      </c>
      <c r="L8871" s="25" t="str">
        <f t="shared" si="108"/>
        <v>F70312</v>
      </c>
      <c r="M8871" s="25"/>
      <c r="O8871" s="25"/>
    </row>
    <row r="8872" ht="15.75" customHeight="1">
      <c r="A8872" s="25" t="str">
        <f>IFERROR(__xludf.DUMMYFUNCTION("IF(B8872="""","""",RIGHT(REGEXREPLACE(B8872&amp;"""",""[^0-9]"",""""),9))"),"743118342")</f>
        <v>743118342</v>
      </c>
      <c r="B8872" s="52">
        <v>7.43118342E8</v>
      </c>
      <c r="C8872" s="28" t="s">
        <v>8985</v>
      </c>
      <c r="D8872" s="26" t="s">
        <v>64</v>
      </c>
      <c r="E8872" s="31">
        <v>46247.0</v>
      </c>
      <c r="F8872" s="26" t="s">
        <v>659</v>
      </c>
      <c r="I8872" s="26" t="s">
        <v>970</v>
      </c>
      <c r="J8872" s="25" t="str">
        <f t="shared" si="106"/>
        <v>No</v>
      </c>
      <c r="K8872" s="25" t="str">
        <f t="shared" si="107"/>
        <v/>
      </c>
      <c r="L8872" s="25" t="str">
        <f t="shared" si="108"/>
        <v/>
      </c>
      <c r="M8872" s="25"/>
      <c r="O8872" s="25"/>
    </row>
    <row r="8873" ht="15.75" customHeight="1">
      <c r="A8873" s="25" t="str">
        <f>IFERROR(__xludf.DUMMYFUNCTION("IF(B8873="""","""",RIGHT(REGEXREPLACE(B8873&amp;"""",""[^0-9]"",""""),9))"),"767567115")</f>
        <v>767567115</v>
      </c>
      <c r="B8873" s="52">
        <v>7.67567115E8</v>
      </c>
      <c r="C8873" s="28" t="s">
        <v>8986</v>
      </c>
      <c r="D8873" s="26" t="s">
        <v>64</v>
      </c>
      <c r="E8873" s="31">
        <v>46247.0</v>
      </c>
      <c r="F8873" s="26" t="s">
        <v>46</v>
      </c>
      <c r="G8873" s="26">
        <v>11.0</v>
      </c>
      <c r="I8873" s="26" t="s">
        <v>970</v>
      </c>
      <c r="J8873" s="25" t="str">
        <f t="shared" si="106"/>
        <v>No</v>
      </c>
      <c r="K8873" s="25" t="str">
        <f t="shared" si="107"/>
        <v/>
      </c>
      <c r="L8873" s="25" t="str">
        <f t="shared" si="108"/>
        <v/>
      </c>
      <c r="M8873" s="25"/>
      <c r="O8873" s="25"/>
    </row>
    <row r="8874" ht="15.75" customHeight="1">
      <c r="A8874" s="25" t="str">
        <f>IFERROR(__xludf.DUMMYFUNCTION("IF(B8874="""","""",RIGHT(REGEXREPLACE(B8874&amp;"""",""[^0-9]"",""""),9))"),"715297871")</f>
        <v>715297871</v>
      </c>
      <c r="B8874" s="52">
        <v>7.15297871E8</v>
      </c>
      <c r="C8874" s="28" t="s">
        <v>8987</v>
      </c>
      <c r="D8874" s="26" t="s">
        <v>64</v>
      </c>
      <c r="E8874" s="31">
        <v>46247.0</v>
      </c>
      <c r="F8874" s="26" t="s">
        <v>205</v>
      </c>
      <c r="I8874" s="26" t="s">
        <v>970</v>
      </c>
      <c r="J8874" s="25" t="str">
        <f t="shared" si="106"/>
        <v>Yes - see Previous F-Code</v>
      </c>
      <c r="K8874" s="25" t="str">
        <f t="shared" si="107"/>
        <v>DUPLICATE - CHECK</v>
      </c>
      <c r="L8874" s="25" t="str">
        <f t="shared" si="108"/>
        <v>F71621</v>
      </c>
      <c r="M8874" s="25"/>
      <c r="O8874" s="25"/>
    </row>
    <row r="8875" ht="15.75" customHeight="1">
      <c r="A8875" s="25" t="str">
        <f>IFERROR(__xludf.DUMMYFUNCTION("IF(B8875="""","""",RIGHT(REGEXREPLACE(B8875&amp;"""",""[^0-9]"",""""),9))"),"783565730")</f>
        <v>783565730</v>
      </c>
      <c r="B8875" s="52">
        <v>7.8356573E8</v>
      </c>
      <c r="C8875" s="28" t="s">
        <v>8987</v>
      </c>
      <c r="D8875" s="26" t="s">
        <v>56</v>
      </c>
      <c r="E8875" s="31">
        <v>46247.0</v>
      </c>
      <c r="F8875" s="26" t="s">
        <v>46</v>
      </c>
      <c r="G8875" s="26">
        <v>11.0</v>
      </c>
      <c r="H8875" s="26" t="s">
        <v>8436</v>
      </c>
      <c r="I8875" s="26" t="s">
        <v>970</v>
      </c>
      <c r="J8875" s="25" t="str">
        <f t="shared" si="106"/>
        <v>No</v>
      </c>
      <c r="K8875" s="25" t="str">
        <f t="shared" si="107"/>
        <v/>
      </c>
      <c r="L8875" s="25" t="str">
        <f t="shared" si="108"/>
        <v/>
      </c>
      <c r="M8875" s="25"/>
      <c r="O8875" s="25"/>
    </row>
    <row r="8876" ht="15.75" customHeight="1">
      <c r="A8876" s="25" t="str">
        <f>IFERROR(__xludf.DUMMYFUNCTION("IF(B8876="""","""",RIGHT(REGEXREPLACE(B8876&amp;"""",""[^0-9]"",""""),9))"),"713231468")</f>
        <v>713231468</v>
      </c>
      <c r="B8876" s="52">
        <v>7.13231468E8</v>
      </c>
      <c r="C8876" s="28" t="s">
        <v>8988</v>
      </c>
      <c r="D8876" s="26" t="s">
        <v>64</v>
      </c>
      <c r="E8876" s="31">
        <v>46247.0</v>
      </c>
      <c r="F8876" s="26" t="s">
        <v>46</v>
      </c>
      <c r="G8876" s="26">
        <v>10.0</v>
      </c>
      <c r="I8876" s="26" t="s">
        <v>970</v>
      </c>
      <c r="J8876" s="25" t="str">
        <f t="shared" si="106"/>
        <v>No</v>
      </c>
      <c r="K8876" s="25" t="str">
        <f t="shared" si="107"/>
        <v/>
      </c>
      <c r="L8876" s="25" t="str">
        <f t="shared" si="108"/>
        <v/>
      </c>
      <c r="M8876" s="25"/>
      <c r="O8876" s="25"/>
    </row>
    <row r="8877" ht="15.75" customHeight="1">
      <c r="A8877" s="25" t="str">
        <f>IFERROR(__xludf.DUMMYFUNCTION("IF(B8877="""","""",RIGHT(REGEXREPLACE(B8877&amp;"""",""[^0-9]"",""""),9))"),"716129380")</f>
        <v>716129380</v>
      </c>
      <c r="B8877" s="52">
        <v>7.1612938E8</v>
      </c>
      <c r="C8877" s="28" t="s">
        <v>8989</v>
      </c>
      <c r="D8877" s="26" t="s">
        <v>56</v>
      </c>
      <c r="E8877" s="31">
        <v>46247.0</v>
      </c>
      <c r="F8877" s="26" t="s">
        <v>631</v>
      </c>
      <c r="G8877" s="26">
        <v>11.0</v>
      </c>
      <c r="I8877" s="26" t="s">
        <v>970</v>
      </c>
      <c r="J8877" s="25" t="str">
        <f t="shared" si="106"/>
        <v>No</v>
      </c>
      <c r="K8877" s="25" t="str">
        <f t="shared" si="107"/>
        <v/>
      </c>
      <c r="L8877" s="25" t="str">
        <f t="shared" si="108"/>
        <v/>
      </c>
      <c r="M8877" s="25"/>
      <c r="O8877" s="25"/>
    </row>
    <row r="8878" ht="15.75" customHeight="1">
      <c r="A8878" s="25" t="str">
        <f>IFERROR(__xludf.DUMMYFUNCTION("IF(B8878="""","""",RIGHT(REGEXREPLACE(B8878&amp;"""",""[^0-9]"",""""),9))"),"774678849")</f>
        <v>774678849</v>
      </c>
      <c r="B8878" s="52">
        <v>7.74678849E8</v>
      </c>
      <c r="C8878" s="28" t="s">
        <v>8522</v>
      </c>
      <c r="D8878" s="26" t="s">
        <v>45</v>
      </c>
      <c r="E8878" s="31">
        <v>46247.0</v>
      </c>
      <c r="F8878" s="26" t="s">
        <v>46</v>
      </c>
      <c r="G8878" s="26">
        <v>11.0</v>
      </c>
      <c r="I8878" s="26" t="s">
        <v>970</v>
      </c>
      <c r="J8878" s="25" t="str">
        <f t="shared" si="106"/>
        <v>Yes - see Previous F-Code</v>
      </c>
      <c r="K8878" s="25" t="str">
        <f t="shared" si="107"/>
        <v>DUPLICATE - CHECK</v>
      </c>
      <c r="L8878" s="25" t="str">
        <f t="shared" si="108"/>
        <v>F77284</v>
      </c>
      <c r="M8878" s="25"/>
      <c r="O8878" s="25"/>
    </row>
    <row r="8879" ht="15.75" customHeight="1">
      <c r="A8879" s="25" t="str">
        <f>IFERROR(__xludf.DUMMYFUNCTION("IF(B8879="""","""",RIGHT(REGEXREPLACE(B8879&amp;"""",""[^0-9]"",""""),9))"),"718463100")</f>
        <v>718463100</v>
      </c>
      <c r="B8879" s="52">
        <v>7.184631E8</v>
      </c>
      <c r="C8879" s="28" t="s">
        <v>8990</v>
      </c>
      <c r="D8879" s="26" t="s">
        <v>45</v>
      </c>
      <c r="E8879" s="31">
        <v>46247.0</v>
      </c>
      <c r="F8879" s="26" t="s">
        <v>46</v>
      </c>
      <c r="G8879" s="26">
        <v>11.0</v>
      </c>
      <c r="I8879" s="26" t="s">
        <v>970</v>
      </c>
      <c r="J8879" s="25" t="str">
        <f t="shared" si="106"/>
        <v>No</v>
      </c>
      <c r="K8879" s="25" t="str">
        <f t="shared" si="107"/>
        <v/>
      </c>
      <c r="L8879" s="25" t="str">
        <f t="shared" si="108"/>
        <v/>
      </c>
      <c r="M8879" s="25"/>
      <c r="O8879" s="25"/>
    </row>
    <row r="8880" ht="15.75" customHeight="1">
      <c r="A8880" s="25" t="str">
        <f>IFERROR(__xludf.DUMMYFUNCTION("IF(B8880="""","""",RIGHT(REGEXREPLACE(B8880&amp;"""",""[^0-9]"",""""),9))"),"762680764")</f>
        <v>762680764</v>
      </c>
      <c r="B8880" s="52">
        <v>7.62680764E8</v>
      </c>
      <c r="C8880" s="28" t="s">
        <v>8991</v>
      </c>
      <c r="D8880" s="26" t="s">
        <v>45</v>
      </c>
      <c r="E8880" s="31">
        <v>46247.0</v>
      </c>
      <c r="F8880" s="26" t="s">
        <v>41</v>
      </c>
      <c r="I8880" s="26" t="s">
        <v>970</v>
      </c>
      <c r="J8880" s="25" t="str">
        <f t="shared" si="106"/>
        <v>No</v>
      </c>
      <c r="K8880" s="25" t="str">
        <f t="shared" si="107"/>
        <v/>
      </c>
      <c r="L8880" s="25" t="str">
        <f t="shared" si="108"/>
        <v/>
      </c>
      <c r="M8880" s="25"/>
      <c r="O8880" s="25"/>
    </row>
    <row r="8881" ht="15.75" customHeight="1">
      <c r="A8881" s="25" t="str">
        <f>IFERROR(__xludf.DUMMYFUNCTION("IF(B8881="""","""",RIGHT(REGEXREPLACE(B8881&amp;"""",""[^0-9]"",""""),9))"),"743118342")</f>
        <v>743118342</v>
      </c>
      <c r="B8881" s="52">
        <v>7.43118342E8</v>
      </c>
      <c r="C8881" s="28" t="s">
        <v>8985</v>
      </c>
      <c r="D8881" s="26" t="s">
        <v>64</v>
      </c>
      <c r="E8881" s="31">
        <v>46247.0</v>
      </c>
      <c r="F8881" s="26" t="s">
        <v>659</v>
      </c>
      <c r="G8881" s="26">
        <v>10.0</v>
      </c>
      <c r="I8881" s="26" t="s">
        <v>970</v>
      </c>
      <c r="J8881" s="25" t="str">
        <f t="shared" si="106"/>
        <v>Yes - see Previous F-Code</v>
      </c>
      <c r="K8881" s="25" t="str">
        <f t="shared" si="107"/>
        <v>DUPLICATE - CHECK</v>
      </c>
      <c r="L8881" s="25" t="str">
        <f t="shared" si="108"/>
        <v>F77643</v>
      </c>
      <c r="M8881" s="25"/>
      <c r="O8881" s="25"/>
    </row>
    <row r="8882" ht="15.75" customHeight="1">
      <c r="A8882" s="25" t="str">
        <f>IFERROR(__xludf.DUMMYFUNCTION("IF(B8882="""","""",RIGHT(REGEXREPLACE(B8882&amp;"""",""[^0-9]"",""""),9))"),"717911394")</f>
        <v>717911394</v>
      </c>
      <c r="B8882" s="52">
        <v>7.17911394E8</v>
      </c>
      <c r="C8882" s="28" t="s">
        <v>8992</v>
      </c>
      <c r="D8882" s="26" t="s">
        <v>56</v>
      </c>
      <c r="E8882" s="31">
        <v>46247.0</v>
      </c>
      <c r="F8882" s="26" t="s">
        <v>41</v>
      </c>
      <c r="I8882" s="26" t="s">
        <v>970</v>
      </c>
      <c r="J8882" s="25" t="str">
        <f t="shared" si="106"/>
        <v>No</v>
      </c>
      <c r="K8882" s="25" t="str">
        <f t="shared" si="107"/>
        <v/>
      </c>
      <c r="L8882" s="25" t="str">
        <f t="shared" si="108"/>
        <v/>
      </c>
      <c r="M8882" s="25"/>
      <c r="O8882" s="25"/>
    </row>
    <row r="8883" ht="15.75" customHeight="1">
      <c r="A8883" s="25" t="str">
        <f>IFERROR(__xludf.DUMMYFUNCTION("IF(B8883="""","""",RIGHT(REGEXREPLACE(B8883&amp;"""",""[^0-9]"",""""),9))"),"720812558")</f>
        <v>720812558</v>
      </c>
      <c r="B8883" s="52">
        <v>7.20812558E8</v>
      </c>
      <c r="C8883" s="28" t="s">
        <v>8993</v>
      </c>
      <c r="D8883" s="26" t="s">
        <v>64</v>
      </c>
      <c r="E8883" s="31">
        <v>46247.0</v>
      </c>
      <c r="F8883" s="26" t="s">
        <v>46</v>
      </c>
      <c r="G8883" s="26">
        <v>11.0</v>
      </c>
      <c r="I8883" s="26" t="s">
        <v>970</v>
      </c>
      <c r="J8883" s="25" t="str">
        <f t="shared" si="106"/>
        <v>No</v>
      </c>
      <c r="K8883" s="25" t="str">
        <f t="shared" si="107"/>
        <v/>
      </c>
      <c r="L8883" s="25" t="str">
        <f t="shared" si="108"/>
        <v/>
      </c>
      <c r="M8883" s="25"/>
      <c r="O8883" s="25"/>
    </row>
    <row r="8884" ht="15.75" customHeight="1">
      <c r="A8884" s="25" t="str">
        <f>IFERROR(__xludf.DUMMYFUNCTION("IF(B8884="""","""",RIGHT(REGEXREPLACE(B8884&amp;"""",""[^0-9]"",""""),9))"),"784492349")</f>
        <v>784492349</v>
      </c>
      <c r="B8884" s="52">
        <v>7.84492349E8</v>
      </c>
      <c r="C8884" s="28" t="s">
        <v>8994</v>
      </c>
      <c r="D8884" s="26" t="s">
        <v>64</v>
      </c>
      <c r="E8884" s="31">
        <v>46247.0</v>
      </c>
      <c r="F8884" s="26" t="s">
        <v>46</v>
      </c>
      <c r="G8884" s="26">
        <v>11.0</v>
      </c>
      <c r="I8884" s="26" t="s">
        <v>970</v>
      </c>
      <c r="J8884" s="25" t="str">
        <f t="shared" si="106"/>
        <v>No</v>
      </c>
      <c r="K8884" s="25" t="str">
        <f t="shared" si="107"/>
        <v/>
      </c>
      <c r="L8884" s="25" t="str">
        <f t="shared" si="108"/>
        <v/>
      </c>
      <c r="M8884" s="25"/>
      <c r="O8884" s="25"/>
    </row>
    <row r="8885" ht="15.75" customHeight="1">
      <c r="A8885" s="25" t="str">
        <f>IFERROR(__xludf.DUMMYFUNCTION("IF(B8885="""","""",RIGHT(REGEXREPLACE(B8885&amp;"""",""[^0-9]"",""""),9))"),"718074170")</f>
        <v>718074170</v>
      </c>
      <c r="B8885" s="52">
        <v>7.1807417E8</v>
      </c>
      <c r="C8885" s="28" t="s">
        <v>8177</v>
      </c>
      <c r="D8885" s="26" t="s">
        <v>56</v>
      </c>
      <c r="E8885" s="31">
        <v>46247.0</v>
      </c>
      <c r="F8885" s="26" t="s">
        <v>46</v>
      </c>
      <c r="G8885" s="26">
        <v>11.0</v>
      </c>
      <c r="I8885" s="26" t="s">
        <v>970</v>
      </c>
      <c r="J8885" s="25" t="str">
        <f t="shared" si="106"/>
        <v>Yes - see Previous F-Code</v>
      </c>
      <c r="K8885" s="25" t="str">
        <f t="shared" si="107"/>
        <v/>
      </c>
      <c r="L8885" s="25" t="str">
        <f t="shared" si="108"/>
        <v>F72017</v>
      </c>
      <c r="M8885" s="25"/>
      <c r="O8885" s="25"/>
    </row>
    <row r="8886" ht="15.75" customHeight="1">
      <c r="A8886" s="25" t="str">
        <f>IFERROR(__xludf.DUMMYFUNCTION("IF(B8886="""","""",RIGHT(REGEXREPLACE(B8886&amp;"""",""[^0-9]"",""""),9))"),"714373189")</f>
        <v>714373189</v>
      </c>
      <c r="B8886" s="52">
        <v>7.14373189E8</v>
      </c>
      <c r="C8886" s="28" t="s">
        <v>8995</v>
      </c>
      <c r="D8886" s="26" t="s">
        <v>45</v>
      </c>
      <c r="E8886" s="31">
        <v>46247.0</v>
      </c>
      <c r="F8886" s="26" t="s">
        <v>46</v>
      </c>
      <c r="H8886" s="26" t="s">
        <v>8996</v>
      </c>
      <c r="I8886" s="26" t="s">
        <v>970</v>
      </c>
      <c r="J8886" s="25" t="str">
        <f t="shared" si="106"/>
        <v>No</v>
      </c>
      <c r="K8886" s="25" t="str">
        <f t="shared" si="107"/>
        <v/>
      </c>
      <c r="L8886" s="25" t="str">
        <f t="shared" si="108"/>
        <v/>
      </c>
      <c r="M8886" s="25"/>
      <c r="O8886" s="25"/>
    </row>
    <row r="8887" ht="15.75" customHeight="1">
      <c r="A8887" s="25" t="str">
        <f>IFERROR(__xludf.DUMMYFUNCTION("IF(B8887="""","""",RIGHT(REGEXREPLACE(B8887&amp;"""",""[^0-9]"",""""),9))"),"768019755")</f>
        <v>768019755</v>
      </c>
      <c r="B8887" s="52">
        <v>7.68019755E8</v>
      </c>
      <c r="C8887" s="28" t="s">
        <v>4191</v>
      </c>
      <c r="D8887" s="26" t="s">
        <v>56</v>
      </c>
      <c r="E8887" s="31">
        <v>46247.0</v>
      </c>
      <c r="F8887" s="26" t="s">
        <v>46</v>
      </c>
      <c r="G8887" s="26">
        <v>10.0</v>
      </c>
      <c r="H8887" s="26" t="s">
        <v>8436</v>
      </c>
      <c r="I8887" s="26" t="s">
        <v>970</v>
      </c>
      <c r="J8887" s="25" t="str">
        <f t="shared" si="106"/>
        <v>Yes - see Previous F-Code</v>
      </c>
      <c r="K8887" s="25" t="str">
        <f t="shared" si="107"/>
        <v/>
      </c>
      <c r="L8887" s="25" t="str">
        <f t="shared" si="108"/>
        <v>F73825</v>
      </c>
      <c r="M8887" s="25"/>
      <c r="O8887" s="25"/>
    </row>
    <row r="8888" ht="15.75" customHeight="1">
      <c r="A8888" s="25" t="str">
        <f>IFERROR(__xludf.DUMMYFUNCTION("IF(B8888="""","""",RIGHT(REGEXREPLACE(B8888&amp;"""",""[^0-9]"",""""),9))"),"762455017")</f>
        <v>762455017</v>
      </c>
      <c r="B8888" s="52">
        <v>7.62455017E8</v>
      </c>
      <c r="C8888" s="28" t="s">
        <v>2594</v>
      </c>
      <c r="D8888" s="26" t="s">
        <v>56</v>
      </c>
      <c r="E8888" s="31">
        <v>46247.0</v>
      </c>
      <c r="F8888" s="26" t="s">
        <v>41</v>
      </c>
      <c r="H8888" s="26" t="s">
        <v>8436</v>
      </c>
      <c r="I8888" s="26" t="s">
        <v>970</v>
      </c>
      <c r="J8888" s="25" t="str">
        <f t="shared" si="106"/>
        <v>Yes - see Previous F-Code</v>
      </c>
      <c r="K8888" s="25" t="str">
        <f t="shared" si="107"/>
        <v/>
      </c>
      <c r="L8888" s="25" t="str">
        <f t="shared" si="108"/>
        <v>F72284</v>
      </c>
      <c r="M8888" s="25"/>
      <c r="O8888" s="25"/>
    </row>
    <row r="8889" ht="15.75" customHeight="1">
      <c r="A8889" s="25" t="str">
        <f>IFERROR(__xludf.DUMMYFUNCTION("IF(B8889="""","""",RIGHT(REGEXREPLACE(B8889&amp;"""",""[^0-9]"",""""),9))"),"770523967")</f>
        <v>770523967</v>
      </c>
      <c r="B8889" s="52">
        <v>7.70523967E8</v>
      </c>
      <c r="C8889" s="28" t="s">
        <v>8990</v>
      </c>
      <c r="D8889" s="26" t="s">
        <v>56</v>
      </c>
      <c r="E8889" s="31">
        <v>46247.0</v>
      </c>
      <c r="F8889" s="26" t="s">
        <v>46</v>
      </c>
      <c r="G8889" s="26">
        <v>10.0</v>
      </c>
      <c r="I8889" s="26" t="s">
        <v>970</v>
      </c>
      <c r="J8889" s="25" t="str">
        <f t="shared" si="106"/>
        <v>No</v>
      </c>
      <c r="K8889" s="25" t="str">
        <f t="shared" si="107"/>
        <v/>
      </c>
      <c r="L8889" s="25" t="str">
        <f t="shared" si="108"/>
        <v/>
      </c>
      <c r="M8889" s="25"/>
      <c r="O8889" s="25"/>
    </row>
    <row r="8890" ht="15.75" customHeight="1">
      <c r="A8890" s="25" t="str">
        <f>IFERROR(__xludf.DUMMYFUNCTION("IF(B8890="""","""",RIGHT(REGEXREPLACE(B8890&amp;"""",""[^0-9]"",""""),9))"),"773913305")</f>
        <v>773913305</v>
      </c>
      <c r="B8890" s="52">
        <v>7.73913305E8</v>
      </c>
      <c r="C8890" s="28" t="s">
        <v>2391</v>
      </c>
      <c r="D8890" s="26" t="s">
        <v>45</v>
      </c>
      <c r="E8890" s="31">
        <v>46247.0</v>
      </c>
      <c r="F8890" s="26" t="s">
        <v>46</v>
      </c>
      <c r="G8890" s="26">
        <v>11.0</v>
      </c>
      <c r="I8890" s="26" t="s">
        <v>970</v>
      </c>
      <c r="J8890" s="25" t="str">
        <f t="shared" si="106"/>
        <v>Yes - see Previous F-Code</v>
      </c>
      <c r="K8890" s="25" t="str">
        <f t="shared" si="107"/>
        <v/>
      </c>
      <c r="L8890" s="25" t="str">
        <f t="shared" si="108"/>
        <v>F72086</v>
      </c>
      <c r="M8890" s="25"/>
      <c r="O8890" s="25"/>
    </row>
    <row r="8891" ht="15.75" customHeight="1">
      <c r="A8891" s="25" t="str">
        <f>IFERROR(__xludf.DUMMYFUNCTION("IF(B8891="""","""",RIGHT(REGEXREPLACE(B8891&amp;"""",""[^0-9]"",""""),9))"),"753127733")</f>
        <v>753127733</v>
      </c>
      <c r="B8891" s="52">
        <v>7.53127733E8</v>
      </c>
      <c r="C8891" s="28" t="s">
        <v>8997</v>
      </c>
      <c r="D8891" s="26" t="s">
        <v>56</v>
      </c>
      <c r="E8891" s="31">
        <v>46247.0</v>
      </c>
      <c r="F8891" s="26" t="s">
        <v>46</v>
      </c>
      <c r="G8891" s="26">
        <v>10.0</v>
      </c>
      <c r="H8891" s="26" t="s">
        <v>8436</v>
      </c>
      <c r="I8891" s="26" t="s">
        <v>970</v>
      </c>
      <c r="J8891" s="25" t="str">
        <f t="shared" si="106"/>
        <v>No</v>
      </c>
      <c r="K8891" s="25" t="str">
        <f t="shared" si="107"/>
        <v/>
      </c>
      <c r="L8891" s="25" t="str">
        <f t="shared" si="108"/>
        <v/>
      </c>
      <c r="M8891" s="25"/>
      <c r="O8891" s="25"/>
    </row>
    <row r="8892" ht="15.75" customHeight="1">
      <c r="A8892" s="25" t="str">
        <f>IFERROR(__xludf.DUMMYFUNCTION("IF(B8892="""","""",RIGHT(REGEXREPLACE(B8892&amp;"""",""[^0-9]"",""""),9))"),"778062900")</f>
        <v>778062900</v>
      </c>
      <c r="B8892" s="52">
        <v>7.780629E8</v>
      </c>
      <c r="C8892" s="28" t="s">
        <v>8953</v>
      </c>
      <c r="D8892" s="26" t="s">
        <v>45</v>
      </c>
      <c r="E8892" s="31">
        <v>46247.0</v>
      </c>
      <c r="F8892" s="26" t="s">
        <v>46</v>
      </c>
      <c r="G8892" s="26">
        <v>11.0</v>
      </c>
      <c r="I8892" s="26" t="s">
        <v>970</v>
      </c>
      <c r="J8892" s="25" t="str">
        <f t="shared" si="106"/>
        <v>No</v>
      </c>
      <c r="K8892" s="25" t="str">
        <f t="shared" si="107"/>
        <v/>
      </c>
      <c r="L8892" s="25" t="str">
        <f t="shared" si="108"/>
        <v/>
      </c>
      <c r="M8892" s="25"/>
      <c r="O8892" s="25"/>
    </row>
    <row r="8893" ht="15.75" customHeight="1">
      <c r="A8893" s="25" t="str">
        <f>IFERROR(__xludf.DUMMYFUNCTION("IF(B8893="""","""",RIGHT(REGEXREPLACE(B8893&amp;"""",""[^0-9]"",""""),9))"),"772195764")</f>
        <v>772195764</v>
      </c>
      <c r="B8893" s="52">
        <v>7.72195764E8</v>
      </c>
      <c r="C8893" s="28" t="s">
        <v>8998</v>
      </c>
      <c r="D8893" s="26" t="s">
        <v>56</v>
      </c>
      <c r="E8893" s="31">
        <v>46247.0</v>
      </c>
      <c r="F8893" s="26" t="s">
        <v>46</v>
      </c>
      <c r="G8893" s="26">
        <v>10.0</v>
      </c>
      <c r="I8893" s="26" t="s">
        <v>970</v>
      </c>
      <c r="J8893" s="25" t="str">
        <f t="shared" si="106"/>
        <v>No</v>
      </c>
      <c r="K8893" s="25" t="str">
        <f t="shared" si="107"/>
        <v/>
      </c>
      <c r="L8893" s="25" t="str">
        <f t="shared" si="108"/>
        <v/>
      </c>
      <c r="M8893" s="25"/>
      <c r="O8893" s="25"/>
    </row>
    <row r="8894" ht="15.75" customHeight="1">
      <c r="A8894" s="25" t="str">
        <f>IFERROR(__xludf.DUMMYFUNCTION("IF(B8894="""","""",RIGHT(REGEXREPLACE(B8894&amp;"""",""[^0-9]"",""""),9))"),"741476669")</f>
        <v>741476669</v>
      </c>
      <c r="B8894" s="52">
        <v>7.41476669E8</v>
      </c>
      <c r="C8894" s="28" t="s">
        <v>8999</v>
      </c>
      <c r="D8894" s="26" t="s">
        <v>56</v>
      </c>
      <c r="E8894" s="31">
        <v>46247.0</v>
      </c>
      <c r="F8894" s="26" t="s">
        <v>46</v>
      </c>
      <c r="I8894" s="26" t="s">
        <v>970</v>
      </c>
      <c r="J8894" s="25" t="str">
        <f t="shared" si="106"/>
        <v>No</v>
      </c>
      <c r="K8894" s="25" t="str">
        <f t="shared" si="107"/>
        <v/>
      </c>
      <c r="L8894" s="25" t="str">
        <f t="shared" si="108"/>
        <v/>
      </c>
      <c r="M8894" s="25"/>
      <c r="O8894" s="25"/>
    </row>
    <row r="8895" ht="15.75" customHeight="1">
      <c r="A8895" s="25" t="str">
        <f>IFERROR(__xludf.DUMMYFUNCTION("IF(B8895="""","""",RIGHT(REGEXREPLACE(B8895&amp;"""",""[^0-9]"",""""),9))"),"723396425")</f>
        <v>723396425</v>
      </c>
      <c r="B8895" s="52">
        <v>7.23396425E8</v>
      </c>
      <c r="C8895" s="28" t="s">
        <v>9000</v>
      </c>
      <c r="D8895" s="26" t="s">
        <v>45</v>
      </c>
      <c r="E8895" s="31">
        <v>46247.0</v>
      </c>
      <c r="F8895" s="26" t="s">
        <v>46</v>
      </c>
      <c r="G8895" s="26">
        <v>10.0</v>
      </c>
      <c r="I8895" s="26" t="s">
        <v>970</v>
      </c>
      <c r="J8895" s="25" t="str">
        <f t="shared" si="106"/>
        <v>No</v>
      </c>
      <c r="K8895" s="25" t="str">
        <f t="shared" si="107"/>
        <v/>
      </c>
      <c r="L8895" s="25" t="str">
        <f t="shared" si="108"/>
        <v/>
      </c>
      <c r="M8895" s="25"/>
      <c r="O8895" s="25"/>
    </row>
    <row r="8896" ht="15.75" customHeight="1">
      <c r="C8896" s="46"/>
      <c r="D8896" s="25"/>
      <c r="F8896" s="25"/>
      <c r="I8896" s="26" t="s">
        <v>970</v>
      </c>
      <c r="M8896" s="25"/>
      <c r="O8896" s="25"/>
    </row>
    <row r="8897" ht="15.75" customHeight="1">
      <c r="A8897" s="25" t="str">
        <f>IFERROR(__xludf.DUMMYFUNCTION("IF(B8897="""","""",RIGHT(REGEXREPLACE(B8897&amp;"""",""[^0-9]"",""""),9))"),"715173098")</f>
        <v>715173098</v>
      </c>
      <c r="B8897" s="52">
        <v>7.15173098E8</v>
      </c>
      <c r="C8897" s="28" t="s">
        <v>9001</v>
      </c>
      <c r="D8897" s="26" t="s">
        <v>64</v>
      </c>
      <c r="E8897" s="31">
        <v>46248.0</v>
      </c>
      <c r="F8897" s="26" t="s">
        <v>46</v>
      </c>
      <c r="I8897" s="26" t="s">
        <v>970</v>
      </c>
      <c r="J8897" s="25" t="str">
        <f t="shared" ref="J8897:J9137" si="109">IF(COUNTIF($A$2:A8896,A8897)&gt;0,"Yes - see Previous F-Code","No")</f>
        <v>No</v>
      </c>
      <c r="K8897" s="25" t="str">
        <f t="shared" ref="K8897:K9137" si="110">IF(COUNTIFS($A$2:A8897,A8897,$I$2:I8897,I8897)&gt;1,"DUPLICATE - CHECK","")</f>
        <v/>
      </c>
      <c r="L8897" s="25" t="str">
        <f t="shared" ref="L8897:L9137" si="111">IF(COUNTIF($A$2:A8896,A8897)&gt;0,INDEX($C$2:C8896,MATCH(A8897,$A$2:A8896,0)),"")</f>
        <v/>
      </c>
      <c r="M8897" s="25"/>
      <c r="O8897" s="25"/>
    </row>
    <row r="8898" ht="15.75" customHeight="1">
      <c r="A8898" s="25" t="str">
        <f>IFERROR(__xludf.DUMMYFUNCTION("IF(B8898="""","""",RIGHT(REGEXREPLACE(B8898&amp;"""",""[^0-9]"",""""),9))"),"761003841")</f>
        <v>761003841</v>
      </c>
      <c r="B8898" s="52">
        <v>7.61003841E8</v>
      </c>
      <c r="C8898" s="28" t="s">
        <v>9002</v>
      </c>
      <c r="D8898" s="26" t="s">
        <v>64</v>
      </c>
      <c r="E8898" s="31">
        <v>46248.0</v>
      </c>
      <c r="F8898" s="26" t="s">
        <v>659</v>
      </c>
      <c r="I8898" s="26" t="s">
        <v>970</v>
      </c>
      <c r="J8898" s="25" t="str">
        <f t="shared" si="109"/>
        <v>No</v>
      </c>
      <c r="K8898" s="25" t="str">
        <f t="shared" si="110"/>
        <v/>
      </c>
      <c r="L8898" s="25" t="str">
        <f t="shared" si="111"/>
        <v/>
      </c>
      <c r="M8898" s="25"/>
      <c r="O8898" s="25"/>
    </row>
    <row r="8899" ht="15.75" customHeight="1">
      <c r="A8899" s="25" t="str">
        <f>IFERROR(__xludf.DUMMYFUNCTION("IF(B8899="""","""",RIGHT(REGEXREPLACE(B8899&amp;"""",""[^0-9]"",""""),9))"),"713576604")</f>
        <v>713576604</v>
      </c>
      <c r="B8899" s="52">
        <v>7.13576604E8</v>
      </c>
      <c r="C8899" s="28" t="s">
        <v>9003</v>
      </c>
      <c r="D8899" s="26" t="s">
        <v>82</v>
      </c>
      <c r="E8899" s="31">
        <v>46248.0</v>
      </c>
      <c r="F8899" s="26" t="s">
        <v>164</v>
      </c>
      <c r="I8899" s="26" t="s">
        <v>970</v>
      </c>
      <c r="J8899" s="25" t="str">
        <f t="shared" si="109"/>
        <v>No</v>
      </c>
      <c r="K8899" s="25" t="str">
        <f t="shared" si="110"/>
        <v/>
      </c>
      <c r="L8899" s="25" t="str">
        <f t="shared" si="111"/>
        <v/>
      </c>
      <c r="M8899" s="25"/>
      <c r="O8899" s="25"/>
    </row>
    <row r="8900" ht="15.75" customHeight="1">
      <c r="A8900" s="25" t="str">
        <f>IFERROR(__xludf.DUMMYFUNCTION("IF(B8900="""","""",RIGHT(REGEXREPLACE(B8900&amp;"""",""[^0-9]"",""""),9))"),"722750820")</f>
        <v>722750820</v>
      </c>
      <c r="B8900" s="52">
        <v>7.2275082E8</v>
      </c>
      <c r="C8900" s="28" t="s">
        <v>9004</v>
      </c>
      <c r="D8900" s="26" t="s">
        <v>64</v>
      </c>
      <c r="E8900" s="31">
        <v>46248.0</v>
      </c>
      <c r="F8900" s="26" t="s">
        <v>41</v>
      </c>
      <c r="I8900" s="26" t="s">
        <v>970</v>
      </c>
      <c r="J8900" s="25" t="str">
        <f t="shared" si="109"/>
        <v>No</v>
      </c>
      <c r="K8900" s="25" t="str">
        <f t="shared" si="110"/>
        <v/>
      </c>
      <c r="L8900" s="25" t="str">
        <f t="shared" si="111"/>
        <v/>
      </c>
      <c r="M8900" s="25"/>
      <c r="O8900" s="25"/>
    </row>
    <row r="8901" ht="15.75" customHeight="1">
      <c r="A8901" s="25" t="str">
        <f>IFERROR(__xludf.DUMMYFUNCTION("IF(B8901="""","""",RIGHT(REGEXREPLACE(B8901&amp;"""",""[^0-9]"",""""),9))"),"703607013")</f>
        <v>703607013</v>
      </c>
      <c r="B8901" s="52">
        <v>7.03607013E8</v>
      </c>
      <c r="C8901" s="28" t="s">
        <v>9005</v>
      </c>
      <c r="D8901" s="26" t="s">
        <v>82</v>
      </c>
      <c r="E8901" s="31">
        <v>46248.0</v>
      </c>
      <c r="F8901" s="26" t="s">
        <v>46</v>
      </c>
      <c r="G8901" s="26">
        <v>11.0</v>
      </c>
      <c r="H8901" s="26" t="s">
        <v>9006</v>
      </c>
      <c r="I8901" s="26" t="s">
        <v>970</v>
      </c>
      <c r="J8901" s="25" t="str">
        <f t="shared" si="109"/>
        <v>No</v>
      </c>
      <c r="K8901" s="25" t="str">
        <f t="shared" si="110"/>
        <v/>
      </c>
      <c r="L8901" s="25" t="str">
        <f t="shared" si="111"/>
        <v/>
      </c>
      <c r="M8901" s="25"/>
      <c r="O8901" s="25"/>
    </row>
    <row r="8902" ht="15.75" customHeight="1">
      <c r="A8902" s="25" t="str">
        <f>IFERROR(__xludf.DUMMYFUNCTION("IF(B8902="""","""",RIGHT(REGEXREPLACE(B8902&amp;"""",""[^0-9]"",""""),9))"),"772525276")</f>
        <v>772525276</v>
      </c>
      <c r="B8902" s="52">
        <v>7.72525276E8</v>
      </c>
      <c r="C8902" s="28" t="s">
        <v>9007</v>
      </c>
      <c r="D8902" s="26" t="s">
        <v>82</v>
      </c>
      <c r="E8902" s="31">
        <v>46248.0</v>
      </c>
      <c r="F8902" s="26" t="s">
        <v>46</v>
      </c>
      <c r="G8902" s="26">
        <v>11.0</v>
      </c>
      <c r="H8902" s="26" t="s">
        <v>9008</v>
      </c>
      <c r="I8902" s="26" t="s">
        <v>970</v>
      </c>
      <c r="J8902" s="25" t="str">
        <f t="shared" si="109"/>
        <v>No</v>
      </c>
      <c r="K8902" s="25" t="str">
        <f t="shared" si="110"/>
        <v/>
      </c>
      <c r="L8902" s="25" t="str">
        <f t="shared" si="111"/>
        <v/>
      </c>
      <c r="M8902" s="25"/>
      <c r="O8902" s="25"/>
    </row>
    <row r="8903" ht="15.75" customHeight="1">
      <c r="A8903" s="25" t="str">
        <f>IFERROR(__xludf.DUMMYFUNCTION("IF(B8903="""","""",RIGHT(REGEXREPLACE(B8903&amp;"""",""[^0-9]"",""""),9))"),"776963765")</f>
        <v>776963765</v>
      </c>
      <c r="B8903" s="52">
        <v>7.76963765E8</v>
      </c>
      <c r="C8903" s="28" t="s">
        <v>9009</v>
      </c>
      <c r="D8903" s="26" t="s">
        <v>64</v>
      </c>
      <c r="E8903" s="31">
        <v>46248.0</v>
      </c>
      <c r="F8903" s="26" t="s">
        <v>41</v>
      </c>
      <c r="I8903" s="26" t="s">
        <v>970</v>
      </c>
      <c r="J8903" s="25" t="str">
        <f t="shared" si="109"/>
        <v>No</v>
      </c>
      <c r="K8903" s="25" t="str">
        <f t="shared" si="110"/>
        <v/>
      </c>
      <c r="L8903" s="25" t="str">
        <f t="shared" si="111"/>
        <v/>
      </c>
      <c r="M8903" s="25"/>
      <c r="O8903" s="25"/>
    </row>
    <row r="8904" ht="15.75" customHeight="1">
      <c r="A8904" s="25" t="str">
        <f>IFERROR(__xludf.DUMMYFUNCTION("IF(B8904="""","""",RIGHT(REGEXREPLACE(B8904&amp;"""",""[^0-9]"",""""),9))"),"742746761")</f>
        <v>742746761</v>
      </c>
      <c r="B8904" s="52">
        <v>7.42746761E8</v>
      </c>
      <c r="C8904" s="28" t="s">
        <v>5586</v>
      </c>
      <c r="D8904" s="26" t="s">
        <v>82</v>
      </c>
      <c r="E8904" s="31">
        <v>46248.0</v>
      </c>
      <c r="F8904" s="26" t="s">
        <v>41</v>
      </c>
      <c r="I8904" s="26" t="s">
        <v>970</v>
      </c>
      <c r="J8904" s="25" t="str">
        <f t="shared" si="109"/>
        <v>Yes - see Previous F-Code</v>
      </c>
      <c r="K8904" s="25" t="str">
        <f t="shared" si="110"/>
        <v/>
      </c>
      <c r="L8904" s="25" t="str">
        <f t="shared" si="111"/>
        <v>F75061</v>
      </c>
      <c r="M8904" s="25"/>
      <c r="O8904" s="25"/>
    </row>
    <row r="8905" ht="15.75" customHeight="1">
      <c r="A8905" s="25" t="str">
        <f>IFERROR(__xludf.DUMMYFUNCTION("IF(B8905="""","""",RIGHT(REGEXREPLACE(B8905&amp;"""",""[^0-9]"",""""),9))"),"740600559")</f>
        <v>740600559</v>
      </c>
      <c r="B8905" s="52">
        <v>7.40600559E8</v>
      </c>
      <c r="C8905" s="28" t="s">
        <v>9010</v>
      </c>
      <c r="D8905" s="26" t="s">
        <v>64</v>
      </c>
      <c r="E8905" s="31">
        <v>46248.0</v>
      </c>
      <c r="F8905" s="26" t="s">
        <v>205</v>
      </c>
      <c r="I8905" s="26" t="s">
        <v>970</v>
      </c>
      <c r="J8905" s="25" t="str">
        <f t="shared" si="109"/>
        <v>No</v>
      </c>
      <c r="K8905" s="25" t="str">
        <f t="shared" si="110"/>
        <v/>
      </c>
      <c r="L8905" s="25" t="str">
        <f t="shared" si="111"/>
        <v/>
      </c>
      <c r="M8905" s="25"/>
      <c r="O8905" s="25"/>
    </row>
    <row r="8906" ht="15.75" customHeight="1">
      <c r="A8906" s="25" t="str">
        <f>IFERROR(__xludf.DUMMYFUNCTION("IF(B8906="""","""",RIGHT(REGEXREPLACE(B8906&amp;"""",""[^0-9]"",""""),9))"),"777464772")</f>
        <v>777464772</v>
      </c>
      <c r="B8906" s="52">
        <v>7.77464772E8</v>
      </c>
      <c r="C8906" s="28" t="s">
        <v>9011</v>
      </c>
      <c r="D8906" s="26" t="s">
        <v>64</v>
      </c>
      <c r="E8906" s="31">
        <v>46248.0</v>
      </c>
      <c r="F8906" s="26" t="s">
        <v>46</v>
      </c>
      <c r="G8906" s="26">
        <v>11.0</v>
      </c>
      <c r="I8906" s="26" t="s">
        <v>970</v>
      </c>
      <c r="J8906" s="25" t="str">
        <f t="shared" si="109"/>
        <v>No</v>
      </c>
      <c r="K8906" s="25" t="str">
        <f t="shared" si="110"/>
        <v/>
      </c>
      <c r="L8906" s="25" t="str">
        <f t="shared" si="111"/>
        <v/>
      </c>
      <c r="M8906" s="25"/>
      <c r="O8906" s="25"/>
    </row>
    <row r="8907" ht="15.75" customHeight="1">
      <c r="A8907" s="25" t="str">
        <f>IFERROR(__xludf.DUMMYFUNCTION("IF(B8907="""","""",RIGHT(REGEXREPLACE(B8907&amp;"""",""[^0-9]"",""""),9))"),"779198637")</f>
        <v>779198637</v>
      </c>
      <c r="B8907" s="52">
        <v>7.79198637E8</v>
      </c>
      <c r="C8907" s="28" t="s">
        <v>9012</v>
      </c>
      <c r="D8907" s="26" t="s">
        <v>64</v>
      </c>
      <c r="E8907" s="31">
        <v>46248.0</v>
      </c>
      <c r="F8907" s="26" t="s">
        <v>46</v>
      </c>
      <c r="G8907" s="26">
        <v>11.0</v>
      </c>
      <c r="H8907" s="26" t="s">
        <v>8731</v>
      </c>
      <c r="I8907" s="26" t="s">
        <v>970</v>
      </c>
      <c r="J8907" s="25" t="str">
        <f t="shared" si="109"/>
        <v>No</v>
      </c>
      <c r="K8907" s="25" t="str">
        <f t="shared" si="110"/>
        <v/>
      </c>
      <c r="L8907" s="25" t="str">
        <f t="shared" si="111"/>
        <v/>
      </c>
      <c r="M8907" s="25"/>
      <c r="O8907" s="25"/>
    </row>
    <row r="8908" ht="15.75" customHeight="1">
      <c r="A8908" s="25" t="str">
        <f>IFERROR(__xludf.DUMMYFUNCTION("IF(B8908="""","""",RIGHT(REGEXREPLACE(B8908&amp;"""",""[^0-9]"",""""),9))"),"768551325")</f>
        <v>768551325</v>
      </c>
      <c r="B8908" s="52">
        <v>4.768551325E9</v>
      </c>
      <c r="C8908" s="28" t="s">
        <v>8802</v>
      </c>
      <c r="D8908" s="26" t="s">
        <v>64</v>
      </c>
      <c r="E8908" s="31">
        <v>46248.0</v>
      </c>
      <c r="F8908" s="26" t="s">
        <v>41</v>
      </c>
      <c r="I8908" s="26" t="s">
        <v>970</v>
      </c>
      <c r="J8908" s="25" t="str">
        <f t="shared" si="109"/>
        <v>Yes - see Previous F-Code</v>
      </c>
      <c r="K8908" s="25" t="str">
        <f t="shared" si="110"/>
        <v/>
      </c>
      <c r="L8908" s="25" t="str">
        <f t="shared" si="111"/>
        <v>F72046</v>
      </c>
      <c r="M8908" s="25"/>
      <c r="O8908" s="25"/>
    </row>
    <row r="8909" ht="15.75" customHeight="1">
      <c r="A8909" s="25" t="str">
        <f>IFERROR(__xludf.DUMMYFUNCTION("IF(B8909="""","""",RIGHT(REGEXREPLACE(B8909&amp;"""",""[^0-9]"",""""),9))"),"741458325")</f>
        <v>741458325</v>
      </c>
      <c r="B8909" s="52">
        <v>7.41458325E8</v>
      </c>
      <c r="C8909" s="28" t="s">
        <v>9013</v>
      </c>
      <c r="D8909" s="26" t="s">
        <v>64</v>
      </c>
      <c r="E8909" s="31">
        <v>46248.0</v>
      </c>
      <c r="F8909" s="26" t="s">
        <v>41</v>
      </c>
      <c r="I8909" s="26" t="s">
        <v>970</v>
      </c>
      <c r="J8909" s="25" t="str">
        <f t="shared" si="109"/>
        <v>No</v>
      </c>
      <c r="K8909" s="25" t="str">
        <f t="shared" si="110"/>
        <v/>
      </c>
      <c r="L8909" s="25" t="str">
        <f t="shared" si="111"/>
        <v/>
      </c>
      <c r="M8909" s="25"/>
      <c r="O8909" s="25"/>
    </row>
    <row r="8910" ht="15.75" customHeight="1">
      <c r="A8910" s="25" t="str">
        <f>IFERROR(__xludf.DUMMYFUNCTION("IF(B8910="""","""",RIGHT(REGEXREPLACE(B8910&amp;"""",""[^0-9]"",""""),9))"),"715750491")</f>
        <v>715750491</v>
      </c>
      <c r="B8910" s="52">
        <v>7.15750491E8</v>
      </c>
      <c r="C8910" s="28" t="s">
        <v>8740</v>
      </c>
      <c r="D8910" s="26" t="s">
        <v>64</v>
      </c>
      <c r="E8910" s="31">
        <v>46248.0</v>
      </c>
      <c r="F8910" s="26" t="s">
        <v>205</v>
      </c>
      <c r="G8910" s="26">
        <v>7.0</v>
      </c>
      <c r="H8910" s="26" t="s">
        <v>2293</v>
      </c>
      <c r="I8910" s="26" t="s">
        <v>970</v>
      </c>
      <c r="J8910" s="25" t="str">
        <f t="shared" si="109"/>
        <v>Yes - see Previous F-Code</v>
      </c>
      <c r="K8910" s="25" t="str">
        <f t="shared" si="110"/>
        <v>DUPLICATE - CHECK</v>
      </c>
      <c r="L8910" s="25" t="str">
        <f t="shared" si="111"/>
        <v>F77508</v>
      </c>
      <c r="M8910" s="25"/>
      <c r="O8910" s="25"/>
    </row>
    <row r="8911" ht="15.75" customHeight="1">
      <c r="A8911" s="25" t="str">
        <f>IFERROR(__xludf.DUMMYFUNCTION("IF(B8911="""","""",RIGHT(REGEXREPLACE(B8911&amp;"""",""[^0-9]"",""""),9))"),"777625050")</f>
        <v>777625050</v>
      </c>
      <c r="B8911" s="52">
        <v>7.7762505E8</v>
      </c>
      <c r="C8911" s="28" t="s">
        <v>9014</v>
      </c>
      <c r="D8911" s="26" t="s">
        <v>64</v>
      </c>
      <c r="E8911" s="31">
        <v>46248.0</v>
      </c>
      <c r="F8911" s="26" t="s">
        <v>659</v>
      </c>
      <c r="I8911" s="26" t="s">
        <v>970</v>
      </c>
      <c r="J8911" s="25" t="str">
        <f t="shared" si="109"/>
        <v>No</v>
      </c>
      <c r="K8911" s="25" t="str">
        <f t="shared" si="110"/>
        <v/>
      </c>
      <c r="L8911" s="25" t="str">
        <f t="shared" si="111"/>
        <v/>
      </c>
      <c r="M8911" s="25"/>
      <c r="O8911" s="25"/>
    </row>
    <row r="8912" ht="15.75" customHeight="1">
      <c r="A8912" s="25" t="str">
        <f>IFERROR(__xludf.DUMMYFUNCTION("IF(B8912="""","""",RIGHT(REGEXREPLACE(B8912&amp;"""",""[^0-9]"",""""),9))"),"703229446")</f>
        <v>703229446</v>
      </c>
      <c r="B8912" s="52">
        <v>7.03229446E8</v>
      </c>
      <c r="C8912" s="28" t="s">
        <v>9015</v>
      </c>
      <c r="D8912" s="26" t="s">
        <v>64</v>
      </c>
      <c r="E8912" s="31">
        <v>46248.0</v>
      </c>
      <c r="F8912" s="26" t="s">
        <v>46</v>
      </c>
      <c r="G8912" s="26">
        <v>11.0</v>
      </c>
      <c r="I8912" s="26" t="s">
        <v>970</v>
      </c>
      <c r="J8912" s="25" t="str">
        <f t="shared" si="109"/>
        <v>No</v>
      </c>
      <c r="K8912" s="25" t="str">
        <f t="shared" si="110"/>
        <v/>
      </c>
      <c r="L8912" s="25" t="str">
        <f t="shared" si="111"/>
        <v/>
      </c>
      <c r="M8912" s="25"/>
      <c r="O8912" s="25"/>
    </row>
    <row r="8913" ht="15.75" customHeight="1">
      <c r="A8913" s="25" t="str">
        <f>IFERROR(__xludf.DUMMYFUNCTION("IF(B8913="""","""",RIGHT(REGEXREPLACE(B8913&amp;"""",""[^0-9]"",""""),9))"),"763323395")</f>
        <v>763323395</v>
      </c>
      <c r="B8913" s="52">
        <v>7.63323395E8</v>
      </c>
      <c r="C8913" s="28" t="s">
        <v>9016</v>
      </c>
      <c r="D8913" s="26" t="s">
        <v>64</v>
      </c>
      <c r="E8913" s="31">
        <v>46248.0</v>
      </c>
      <c r="F8913" s="26" t="s">
        <v>46</v>
      </c>
      <c r="G8913" s="26">
        <v>11.0</v>
      </c>
      <c r="H8913" s="26" t="s">
        <v>9017</v>
      </c>
      <c r="I8913" s="26" t="s">
        <v>970</v>
      </c>
      <c r="J8913" s="25" t="str">
        <f t="shared" si="109"/>
        <v>No</v>
      </c>
      <c r="K8913" s="25" t="str">
        <f t="shared" si="110"/>
        <v/>
      </c>
      <c r="L8913" s="25" t="str">
        <f t="shared" si="111"/>
        <v/>
      </c>
      <c r="M8913" s="25"/>
      <c r="O8913" s="25"/>
    </row>
    <row r="8914" ht="15.75" customHeight="1">
      <c r="A8914" s="25" t="str">
        <f>IFERROR(__xludf.DUMMYFUNCTION("IF(B8914="""","""",RIGHT(REGEXREPLACE(B8914&amp;"""",""[^0-9]"",""""),9))"),"785762816")</f>
        <v>785762816</v>
      </c>
      <c r="B8914" s="52">
        <v>7.85762816E8</v>
      </c>
      <c r="C8914" s="28" t="s">
        <v>9018</v>
      </c>
      <c r="D8914" s="26" t="s">
        <v>64</v>
      </c>
      <c r="E8914" s="31">
        <v>46248.0</v>
      </c>
      <c r="F8914" s="26" t="s">
        <v>46</v>
      </c>
      <c r="H8914" s="26" t="s">
        <v>9019</v>
      </c>
      <c r="I8914" s="26" t="s">
        <v>970</v>
      </c>
      <c r="J8914" s="25" t="str">
        <f t="shared" si="109"/>
        <v>No</v>
      </c>
      <c r="K8914" s="25" t="str">
        <f t="shared" si="110"/>
        <v/>
      </c>
      <c r="L8914" s="25" t="str">
        <f t="shared" si="111"/>
        <v/>
      </c>
      <c r="M8914" s="25"/>
      <c r="O8914" s="25"/>
    </row>
    <row r="8915" ht="15.75" customHeight="1">
      <c r="A8915" s="25" t="str">
        <f>IFERROR(__xludf.DUMMYFUNCTION("IF(B8915="""","""",RIGHT(REGEXREPLACE(B8915&amp;"""",""[^0-9]"",""""),9))"),"701660905")</f>
        <v>701660905</v>
      </c>
      <c r="B8915" s="52">
        <v>7.01660905E8</v>
      </c>
      <c r="C8915" s="28" t="s">
        <v>9020</v>
      </c>
      <c r="D8915" s="26" t="s">
        <v>64</v>
      </c>
      <c r="E8915" s="31">
        <v>46248.0</v>
      </c>
      <c r="F8915" s="26" t="s">
        <v>205</v>
      </c>
      <c r="I8915" s="26" t="s">
        <v>970</v>
      </c>
      <c r="J8915" s="25" t="str">
        <f t="shared" si="109"/>
        <v>No</v>
      </c>
      <c r="K8915" s="25" t="str">
        <f t="shared" si="110"/>
        <v/>
      </c>
      <c r="L8915" s="25" t="str">
        <f t="shared" si="111"/>
        <v/>
      </c>
      <c r="M8915" s="25"/>
      <c r="O8915" s="25"/>
    </row>
    <row r="8916" ht="15.75" customHeight="1">
      <c r="A8916" s="25" t="str">
        <f>IFERROR(__xludf.DUMMYFUNCTION("IF(B8916="""","""",RIGHT(REGEXREPLACE(B8916&amp;"""",""[^0-9]"",""""),9))"),"713858897")</f>
        <v>713858897</v>
      </c>
      <c r="B8916" s="52">
        <v>7.13858897E8</v>
      </c>
      <c r="C8916" s="28" t="s">
        <v>9021</v>
      </c>
      <c r="D8916" s="26" t="s">
        <v>64</v>
      </c>
      <c r="E8916" s="31">
        <v>46248.0</v>
      </c>
      <c r="F8916" s="26" t="s">
        <v>46</v>
      </c>
      <c r="H8916" s="26" t="s">
        <v>7347</v>
      </c>
      <c r="I8916" s="26" t="s">
        <v>970</v>
      </c>
      <c r="J8916" s="25" t="str">
        <f t="shared" si="109"/>
        <v>No</v>
      </c>
      <c r="K8916" s="25" t="str">
        <f t="shared" si="110"/>
        <v/>
      </c>
      <c r="L8916" s="25" t="str">
        <f t="shared" si="111"/>
        <v/>
      </c>
      <c r="M8916" s="25"/>
      <c r="O8916" s="25"/>
    </row>
    <row r="8917" ht="15.75" customHeight="1">
      <c r="A8917" s="25" t="str">
        <f>IFERROR(__xludf.DUMMYFUNCTION("IF(B8917="""","""",RIGHT(REGEXREPLACE(B8917&amp;"""",""[^0-9]"",""""),9))"),"766368554")</f>
        <v>766368554</v>
      </c>
      <c r="B8917" s="52">
        <v>7.66368554E8</v>
      </c>
      <c r="C8917" s="28" t="s">
        <v>9022</v>
      </c>
      <c r="D8917" s="26" t="s">
        <v>64</v>
      </c>
      <c r="E8917" s="31">
        <v>46248.0</v>
      </c>
      <c r="F8917" s="26" t="s">
        <v>41</v>
      </c>
      <c r="G8917" s="26">
        <v>11.0</v>
      </c>
      <c r="I8917" s="26" t="s">
        <v>970</v>
      </c>
      <c r="J8917" s="25" t="str">
        <f t="shared" si="109"/>
        <v>No</v>
      </c>
      <c r="K8917" s="25" t="str">
        <f t="shared" si="110"/>
        <v/>
      </c>
      <c r="L8917" s="25" t="str">
        <f t="shared" si="111"/>
        <v/>
      </c>
      <c r="M8917" s="25"/>
      <c r="O8917" s="25"/>
    </row>
    <row r="8918" ht="15.75" customHeight="1">
      <c r="A8918" s="25" t="str">
        <f>IFERROR(__xludf.DUMMYFUNCTION("IF(B8918="""","""",RIGHT(REGEXREPLACE(B8918&amp;"""",""[^0-9]"",""""),9))"),"715924401")</f>
        <v>715924401</v>
      </c>
      <c r="B8918" s="52">
        <v>7.15924401E8</v>
      </c>
      <c r="C8918" s="28" t="s">
        <v>1381</v>
      </c>
      <c r="D8918" s="26" t="s">
        <v>64</v>
      </c>
      <c r="E8918" s="31">
        <v>46248.0</v>
      </c>
      <c r="F8918" s="26" t="s">
        <v>46</v>
      </c>
      <c r="G8918" s="26">
        <v>11.0</v>
      </c>
      <c r="I8918" s="26" t="s">
        <v>970</v>
      </c>
      <c r="J8918" s="25" t="str">
        <f t="shared" si="109"/>
        <v>Yes - see Previous F-Code</v>
      </c>
      <c r="K8918" s="25" t="str">
        <f t="shared" si="110"/>
        <v/>
      </c>
      <c r="L8918" s="25" t="str">
        <f t="shared" si="111"/>
        <v>F71107</v>
      </c>
      <c r="M8918" s="25"/>
      <c r="O8918" s="25"/>
    </row>
    <row r="8919" ht="15.75" customHeight="1">
      <c r="A8919" s="25" t="str">
        <f>IFERROR(__xludf.DUMMYFUNCTION("IF(B8919="""","""",RIGHT(REGEXREPLACE(B8919&amp;"""",""[^0-9]"",""""),9))"),"768250803")</f>
        <v>768250803</v>
      </c>
      <c r="B8919" s="52">
        <v>7.68250803E8</v>
      </c>
      <c r="C8919" s="28" t="s">
        <v>9023</v>
      </c>
      <c r="D8919" s="26" t="s">
        <v>56</v>
      </c>
      <c r="E8919" s="31">
        <v>46248.0</v>
      </c>
      <c r="F8919" s="26" t="s">
        <v>46</v>
      </c>
      <c r="G8919" s="26">
        <v>11.0</v>
      </c>
      <c r="I8919" s="26" t="s">
        <v>970</v>
      </c>
      <c r="J8919" s="25" t="str">
        <f t="shared" si="109"/>
        <v>No</v>
      </c>
      <c r="K8919" s="25" t="str">
        <f t="shared" si="110"/>
        <v/>
      </c>
      <c r="L8919" s="25" t="str">
        <f t="shared" si="111"/>
        <v/>
      </c>
      <c r="M8919" s="25"/>
      <c r="O8919" s="25"/>
    </row>
    <row r="8920" ht="15.75" customHeight="1">
      <c r="A8920" s="25" t="str">
        <f>IFERROR(__xludf.DUMMYFUNCTION("IF(B8920="""","""",RIGHT(REGEXREPLACE(B8920&amp;"""",""[^0-9]"",""""),9))"),"769082330")</f>
        <v>769082330</v>
      </c>
      <c r="B8920" s="52">
        <v>7.6908233E8</v>
      </c>
      <c r="C8920" s="28" t="s">
        <v>9024</v>
      </c>
      <c r="D8920" s="26" t="s">
        <v>56</v>
      </c>
      <c r="E8920" s="31">
        <v>46248.0</v>
      </c>
      <c r="F8920" s="26" t="s">
        <v>46</v>
      </c>
      <c r="G8920" s="26">
        <v>11.0</v>
      </c>
      <c r="H8920" s="26" t="s">
        <v>8436</v>
      </c>
      <c r="I8920" s="26" t="s">
        <v>970</v>
      </c>
      <c r="J8920" s="25" t="str">
        <f t="shared" si="109"/>
        <v>No</v>
      </c>
      <c r="K8920" s="25" t="str">
        <f t="shared" si="110"/>
        <v/>
      </c>
      <c r="L8920" s="25" t="str">
        <f t="shared" si="111"/>
        <v/>
      </c>
      <c r="M8920" s="25"/>
      <c r="O8920" s="25"/>
    </row>
    <row r="8921" ht="15.75" customHeight="1">
      <c r="A8921" s="25" t="str">
        <f>IFERROR(__xludf.DUMMYFUNCTION("IF(B8921="""","""",RIGHT(REGEXREPLACE(B8921&amp;"""",""[^0-9]"",""""),9))"),"776476086")</f>
        <v>776476086</v>
      </c>
      <c r="B8921" s="52">
        <v>7.76476086E8</v>
      </c>
      <c r="C8921" s="28" t="s">
        <v>9025</v>
      </c>
      <c r="D8921" s="26" t="s">
        <v>64</v>
      </c>
      <c r="E8921" s="31">
        <v>46248.0</v>
      </c>
      <c r="F8921" s="26" t="s">
        <v>46</v>
      </c>
      <c r="G8921" s="26">
        <v>11.0</v>
      </c>
      <c r="H8921" s="26" t="s">
        <v>8436</v>
      </c>
      <c r="I8921" s="26" t="s">
        <v>970</v>
      </c>
      <c r="J8921" s="25" t="str">
        <f t="shared" si="109"/>
        <v>No</v>
      </c>
      <c r="K8921" s="25" t="str">
        <f t="shared" si="110"/>
        <v/>
      </c>
      <c r="L8921" s="25" t="str">
        <f t="shared" si="111"/>
        <v/>
      </c>
      <c r="M8921" s="25"/>
      <c r="O8921" s="25"/>
    </row>
    <row r="8922" ht="15.75" customHeight="1">
      <c r="A8922" s="25" t="str">
        <f>IFERROR(__xludf.DUMMYFUNCTION("IF(B8922="""","""",RIGHT(REGEXREPLACE(B8922&amp;"""",""[^0-9]"",""""),9))"),"740216517")</f>
        <v>740216517</v>
      </c>
      <c r="B8922" s="52">
        <v>7.40216517E8</v>
      </c>
      <c r="C8922" s="28" t="s">
        <v>9026</v>
      </c>
      <c r="D8922" s="26" t="s">
        <v>64</v>
      </c>
      <c r="E8922" s="31">
        <v>46248.0</v>
      </c>
      <c r="F8922" s="26" t="s">
        <v>41</v>
      </c>
      <c r="G8922" s="26">
        <v>6.0</v>
      </c>
      <c r="I8922" s="26" t="s">
        <v>970</v>
      </c>
      <c r="J8922" s="25" t="str">
        <f t="shared" si="109"/>
        <v>No</v>
      </c>
      <c r="K8922" s="25" t="str">
        <f t="shared" si="110"/>
        <v/>
      </c>
      <c r="L8922" s="25" t="str">
        <f t="shared" si="111"/>
        <v/>
      </c>
      <c r="M8922" s="25"/>
      <c r="O8922" s="25"/>
    </row>
    <row r="8923" ht="15.75" customHeight="1">
      <c r="A8923" s="25" t="str">
        <f>IFERROR(__xludf.DUMMYFUNCTION("IF(B8923="""","""",RIGHT(REGEXREPLACE(B8923&amp;"""",""[^0-9]"",""""),9))"),"765414046")</f>
        <v>765414046</v>
      </c>
      <c r="B8923" s="52">
        <v>7.65414046E8</v>
      </c>
      <c r="C8923" s="28" t="s">
        <v>9027</v>
      </c>
      <c r="D8923" s="26" t="s">
        <v>64</v>
      </c>
      <c r="E8923" s="31">
        <v>46248.0</v>
      </c>
      <c r="F8923" s="26" t="s">
        <v>41</v>
      </c>
      <c r="I8923" s="26" t="s">
        <v>970</v>
      </c>
      <c r="J8923" s="25" t="str">
        <f t="shared" si="109"/>
        <v>No</v>
      </c>
      <c r="K8923" s="25" t="str">
        <f t="shared" si="110"/>
        <v/>
      </c>
      <c r="L8923" s="25" t="str">
        <f t="shared" si="111"/>
        <v/>
      </c>
      <c r="M8923" s="25"/>
      <c r="O8923" s="25"/>
    </row>
    <row r="8924" ht="15.75" customHeight="1">
      <c r="A8924" s="25" t="str">
        <f>IFERROR(__xludf.DUMMYFUNCTION("IF(B8924="""","""",RIGHT(REGEXREPLACE(B8924&amp;"""",""[^0-9]"",""""),9))"),"712983846")</f>
        <v>712983846</v>
      </c>
      <c r="B8924" s="52">
        <v>7.12983846E8</v>
      </c>
      <c r="C8924" s="28" t="s">
        <v>9028</v>
      </c>
      <c r="D8924" s="26" t="s">
        <v>64</v>
      </c>
      <c r="E8924" s="31">
        <v>46248.0</v>
      </c>
      <c r="F8924" s="26" t="s">
        <v>125</v>
      </c>
      <c r="G8924" s="26" t="s">
        <v>8436</v>
      </c>
      <c r="H8924" s="26" t="s">
        <v>9029</v>
      </c>
      <c r="I8924" s="26" t="s">
        <v>970</v>
      </c>
      <c r="J8924" s="25" t="str">
        <f t="shared" si="109"/>
        <v>No</v>
      </c>
      <c r="K8924" s="25" t="str">
        <f t="shared" si="110"/>
        <v/>
      </c>
      <c r="L8924" s="25" t="str">
        <f t="shared" si="111"/>
        <v/>
      </c>
      <c r="M8924" s="25"/>
      <c r="O8924" s="25"/>
    </row>
    <row r="8925" ht="15.75" customHeight="1">
      <c r="A8925" s="25" t="str">
        <f>IFERROR(__xludf.DUMMYFUNCTION("IF(B8925="""","""",RIGHT(REGEXREPLACE(B8925&amp;"""",""[^0-9]"",""""),9))"),"752091154")</f>
        <v>752091154</v>
      </c>
      <c r="B8925" s="52">
        <v>7.52091154E8</v>
      </c>
      <c r="C8925" s="28" t="s">
        <v>9030</v>
      </c>
      <c r="D8925" s="26" t="s">
        <v>56</v>
      </c>
      <c r="E8925" s="31">
        <v>46248.0</v>
      </c>
      <c r="F8925" s="26" t="s">
        <v>46</v>
      </c>
      <c r="G8925" s="26">
        <v>11.0</v>
      </c>
      <c r="H8925" s="26" t="s">
        <v>8436</v>
      </c>
      <c r="I8925" s="26" t="s">
        <v>970</v>
      </c>
      <c r="J8925" s="25" t="str">
        <f t="shared" si="109"/>
        <v>No</v>
      </c>
      <c r="K8925" s="25" t="str">
        <f t="shared" si="110"/>
        <v/>
      </c>
      <c r="L8925" s="25" t="str">
        <f t="shared" si="111"/>
        <v/>
      </c>
      <c r="M8925" s="25"/>
      <c r="O8925" s="25"/>
    </row>
    <row r="8926" ht="15.75" customHeight="1">
      <c r="A8926" s="25" t="str">
        <f>IFERROR(__xludf.DUMMYFUNCTION("IF(B8926="""","""",RIGHT(REGEXREPLACE(B8926&amp;"""",""[^0-9]"",""""),9))"),"713205418")</f>
        <v>713205418</v>
      </c>
      <c r="B8926" s="52">
        <v>4.713205418E9</v>
      </c>
      <c r="C8926" s="28" t="s">
        <v>9031</v>
      </c>
      <c r="D8926" s="26" t="s">
        <v>64</v>
      </c>
      <c r="E8926" s="31">
        <v>46248.0</v>
      </c>
      <c r="F8926" s="26" t="s">
        <v>205</v>
      </c>
      <c r="I8926" s="26" t="s">
        <v>970</v>
      </c>
      <c r="J8926" s="25" t="str">
        <f t="shared" si="109"/>
        <v>No</v>
      </c>
      <c r="K8926" s="25" t="str">
        <f t="shared" si="110"/>
        <v/>
      </c>
      <c r="L8926" s="25" t="str">
        <f t="shared" si="111"/>
        <v/>
      </c>
      <c r="M8926" s="25"/>
      <c r="O8926" s="25"/>
    </row>
    <row r="8927" ht="15.75" customHeight="1">
      <c r="A8927" s="25" t="str">
        <f>IFERROR(__xludf.DUMMYFUNCTION("IF(B8927="""","""",RIGHT(REGEXREPLACE(B8927&amp;"""",""[^0-9]"",""""),9))"),"778165717")</f>
        <v>778165717</v>
      </c>
      <c r="B8927" s="52">
        <v>7.78165717E8</v>
      </c>
      <c r="C8927" s="28" t="s">
        <v>9032</v>
      </c>
      <c r="D8927" s="26" t="s">
        <v>64</v>
      </c>
      <c r="E8927" s="31">
        <v>46248.0</v>
      </c>
      <c r="F8927" s="26" t="s">
        <v>205</v>
      </c>
      <c r="G8927" s="26">
        <v>10.0</v>
      </c>
      <c r="I8927" s="26" t="s">
        <v>970</v>
      </c>
      <c r="J8927" s="25" t="str">
        <f t="shared" si="109"/>
        <v>No</v>
      </c>
      <c r="K8927" s="25" t="str">
        <f t="shared" si="110"/>
        <v/>
      </c>
      <c r="L8927" s="25" t="str">
        <f t="shared" si="111"/>
        <v/>
      </c>
      <c r="M8927" s="25"/>
      <c r="O8927" s="25"/>
    </row>
    <row r="8928" ht="15.75" customHeight="1">
      <c r="A8928" s="25" t="str">
        <f>IFERROR(__xludf.DUMMYFUNCTION("IF(B8928="""","""",RIGHT(REGEXREPLACE(B8928&amp;"""",""[^0-9]"",""""),9))"),"788113829")</f>
        <v>788113829</v>
      </c>
      <c r="B8928" s="52">
        <v>7.88113829E8</v>
      </c>
      <c r="C8928" s="28" t="s">
        <v>1327</v>
      </c>
      <c r="D8928" s="26" t="s">
        <v>64</v>
      </c>
      <c r="E8928" s="31">
        <v>46248.0</v>
      </c>
      <c r="F8928" s="26" t="s">
        <v>205</v>
      </c>
      <c r="H8928" s="26" t="s">
        <v>8436</v>
      </c>
      <c r="I8928" s="26" t="s">
        <v>970</v>
      </c>
      <c r="J8928" s="25" t="str">
        <f t="shared" si="109"/>
        <v>Yes - see Previous F-Code</v>
      </c>
      <c r="K8928" s="25" t="str">
        <f t="shared" si="110"/>
        <v/>
      </c>
      <c r="L8928" s="25" t="str">
        <f t="shared" si="111"/>
        <v>F71061</v>
      </c>
      <c r="M8928" s="25"/>
      <c r="O8928" s="25"/>
    </row>
    <row r="8929" ht="15.75" customHeight="1">
      <c r="A8929" s="25" t="str">
        <f>IFERROR(__xludf.DUMMYFUNCTION("IF(B8929="""","""",RIGHT(REGEXREPLACE(B8929&amp;"""",""[^0-9]"",""""),9))"),"756213822")</f>
        <v>756213822</v>
      </c>
      <c r="B8929" s="52">
        <v>7.56213822E8</v>
      </c>
      <c r="C8929" s="28" t="s">
        <v>9033</v>
      </c>
      <c r="D8929" s="26" t="s">
        <v>64</v>
      </c>
      <c r="E8929" s="31">
        <v>46248.0</v>
      </c>
      <c r="F8929" s="26" t="s">
        <v>41</v>
      </c>
      <c r="I8929" s="26" t="s">
        <v>970</v>
      </c>
      <c r="J8929" s="25" t="str">
        <f t="shared" si="109"/>
        <v>No</v>
      </c>
      <c r="K8929" s="25" t="str">
        <f t="shared" si="110"/>
        <v/>
      </c>
      <c r="L8929" s="25" t="str">
        <f t="shared" si="111"/>
        <v/>
      </c>
      <c r="M8929" s="25"/>
      <c r="O8929" s="25"/>
    </row>
    <row r="8930" ht="15.75" customHeight="1">
      <c r="A8930" s="25" t="str">
        <f>IFERROR(__xludf.DUMMYFUNCTION("IF(B8930="""","""",RIGHT(REGEXREPLACE(B8930&amp;"""",""[^0-9]"",""""),9))"),"777241303")</f>
        <v>777241303</v>
      </c>
      <c r="B8930" s="52">
        <v>7.77241303E8</v>
      </c>
      <c r="C8930" s="28" t="s">
        <v>9034</v>
      </c>
      <c r="D8930" s="26" t="s">
        <v>64</v>
      </c>
      <c r="E8930" s="31">
        <v>46248.0</v>
      </c>
      <c r="F8930" s="26" t="s">
        <v>704</v>
      </c>
      <c r="I8930" s="26" t="s">
        <v>970</v>
      </c>
      <c r="J8930" s="25" t="str">
        <f t="shared" si="109"/>
        <v>No</v>
      </c>
      <c r="K8930" s="25" t="str">
        <f t="shared" si="110"/>
        <v/>
      </c>
      <c r="L8930" s="25" t="str">
        <f t="shared" si="111"/>
        <v/>
      </c>
      <c r="M8930" s="25"/>
      <c r="O8930" s="25"/>
    </row>
    <row r="8931" ht="15.75" customHeight="1">
      <c r="A8931" s="25" t="str">
        <f>IFERROR(__xludf.DUMMYFUNCTION("IF(B8931="""","""",RIGHT(REGEXREPLACE(B8931&amp;"""",""[^0-9]"",""""),9))"),"763136113")</f>
        <v>763136113</v>
      </c>
      <c r="B8931" s="52">
        <v>7.63136113E8</v>
      </c>
      <c r="C8931" s="28" t="s">
        <v>9035</v>
      </c>
      <c r="D8931" s="26" t="s">
        <v>64</v>
      </c>
      <c r="E8931" s="31">
        <v>46248.0</v>
      </c>
      <c r="F8931" s="26" t="s">
        <v>41</v>
      </c>
      <c r="I8931" s="26" t="s">
        <v>970</v>
      </c>
      <c r="J8931" s="25" t="str">
        <f t="shared" si="109"/>
        <v>No</v>
      </c>
      <c r="K8931" s="25" t="str">
        <f t="shared" si="110"/>
        <v/>
      </c>
      <c r="L8931" s="25" t="str">
        <f t="shared" si="111"/>
        <v/>
      </c>
      <c r="M8931" s="25"/>
      <c r="O8931" s="25"/>
    </row>
    <row r="8932" ht="15.75" customHeight="1">
      <c r="A8932" s="25" t="str">
        <f>IFERROR(__xludf.DUMMYFUNCTION("IF(B8932="""","""",RIGHT(REGEXREPLACE(B8932&amp;"""",""[^0-9]"",""""),9))"),"712915576")</f>
        <v>712915576</v>
      </c>
      <c r="B8932" s="52">
        <v>7.12915576E8</v>
      </c>
      <c r="C8932" s="28" t="s">
        <v>9030</v>
      </c>
      <c r="D8932" s="26" t="s">
        <v>56</v>
      </c>
      <c r="E8932" s="31">
        <v>46248.0</v>
      </c>
      <c r="F8932" s="26" t="s">
        <v>41</v>
      </c>
      <c r="I8932" s="26" t="s">
        <v>970</v>
      </c>
      <c r="J8932" s="25" t="str">
        <f t="shared" si="109"/>
        <v>No</v>
      </c>
      <c r="K8932" s="25" t="str">
        <f t="shared" si="110"/>
        <v/>
      </c>
      <c r="L8932" s="25" t="str">
        <f t="shared" si="111"/>
        <v/>
      </c>
      <c r="M8932" s="25"/>
      <c r="O8932" s="25"/>
    </row>
    <row r="8933" ht="15.75" customHeight="1">
      <c r="A8933" s="25" t="str">
        <f>IFERROR(__xludf.DUMMYFUNCTION("IF(B8933="""","""",RIGHT(REGEXREPLACE(B8933&amp;"""",""[^0-9]"",""""),9))"),"741837161")</f>
        <v>741837161</v>
      </c>
      <c r="B8933" s="52">
        <v>7.41837161E8</v>
      </c>
      <c r="C8933" s="28" t="s">
        <v>9036</v>
      </c>
      <c r="D8933" s="26" t="s">
        <v>56</v>
      </c>
      <c r="E8933" s="31">
        <v>46248.0</v>
      </c>
      <c r="F8933" s="26" t="s">
        <v>125</v>
      </c>
      <c r="H8933" s="26" t="s">
        <v>8436</v>
      </c>
      <c r="I8933" s="26" t="s">
        <v>970</v>
      </c>
      <c r="J8933" s="25" t="str">
        <f t="shared" si="109"/>
        <v>No</v>
      </c>
      <c r="K8933" s="25" t="str">
        <f t="shared" si="110"/>
        <v/>
      </c>
      <c r="L8933" s="25" t="str">
        <f t="shared" si="111"/>
        <v/>
      </c>
      <c r="M8933" s="25"/>
      <c r="O8933" s="25"/>
    </row>
    <row r="8934" ht="15.75" customHeight="1">
      <c r="A8934" s="25" t="str">
        <f>IFERROR(__xludf.DUMMYFUNCTION("IF(B8934="""","""",RIGHT(REGEXREPLACE(B8934&amp;"""",""[^0-9]"",""""),9))"),"767766820")</f>
        <v>767766820</v>
      </c>
      <c r="B8934" s="52">
        <v>7.6776682E8</v>
      </c>
      <c r="C8934" s="28" t="s">
        <v>9037</v>
      </c>
      <c r="D8934" s="26" t="s">
        <v>64</v>
      </c>
      <c r="E8934" s="31">
        <v>46248.0</v>
      </c>
      <c r="F8934" s="26" t="s">
        <v>46</v>
      </c>
      <c r="H8934" s="26" t="s">
        <v>6087</v>
      </c>
      <c r="I8934" s="26" t="s">
        <v>970</v>
      </c>
      <c r="J8934" s="25" t="str">
        <f t="shared" si="109"/>
        <v>No</v>
      </c>
      <c r="K8934" s="25" t="str">
        <f t="shared" si="110"/>
        <v/>
      </c>
      <c r="L8934" s="25" t="str">
        <f t="shared" si="111"/>
        <v/>
      </c>
      <c r="M8934" s="25"/>
      <c r="O8934" s="25"/>
    </row>
    <row r="8935" ht="15.75" customHeight="1">
      <c r="A8935" s="25" t="str">
        <f>IFERROR(__xludf.DUMMYFUNCTION("IF(B8935="""","""",RIGHT(REGEXREPLACE(B8935&amp;"""",""[^0-9]"",""""),9))"),"769818658")</f>
        <v>769818658</v>
      </c>
      <c r="B8935" s="52">
        <v>7.69818658E8</v>
      </c>
      <c r="C8935" s="28" t="s">
        <v>9038</v>
      </c>
      <c r="D8935" s="26" t="s">
        <v>56</v>
      </c>
      <c r="E8935" s="31">
        <v>46248.0</v>
      </c>
      <c r="F8935" s="26" t="s">
        <v>41</v>
      </c>
      <c r="I8935" s="26" t="s">
        <v>970</v>
      </c>
      <c r="J8935" s="25" t="str">
        <f t="shared" si="109"/>
        <v>No</v>
      </c>
      <c r="K8935" s="25" t="str">
        <f t="shared" si="110"/>
        <v/>
      </c>
      <c r="L8935" s="25" t="str">
        <f t="shared" si="111"/>
        <v/>
      </c>
      <c r="M8935" s="25"/>
      <c r="O8935" s="25"/>
    </row>
    <row r="8936" ht="15.75" customHeight="1">
      <c r="A8936" s="25" t="str">
        <f>IFERROR(__xludf.DUMMYFUNCTION("IF(B8936="""","""",RIGHT(REGEXREPLACE(B8936&amp;"""",""[^0-9]"",""""),9))"),"768978537")</f>
        <v>768978537</v>
      </c>
      <c r="B8936" s="52">
        <v>7.68978537E8</v>
      </c>
      <c r="C8936" s="28" t="s">
        <v>493</v>
      </c>
      <c r="D8936" s="26" t="s">
        <v>64</v>
      </c>
      <c r="E8936" s="31">
        <v>46248.0</v>
      </c>
      <c r="F8936" s="26" t="s">
        <v>41</v>
      </c>
      <c r="I8936" s="26" t="s">
        <v>970</v>
      </c>
      <c r="J8936" s="25" t="str">
        <f t="shared" si="109"/>
        <v>Yes - see Previous F-Code</v>
      </c>
      <c r="K8936" s="25" t="str">
        <f t="shared" si="110"/>
        <v/>
      </c>
      <c r="L8936" s="25" t="str">
        <f t="shared" si="111"/>
        <v>F43188</v>
      </c>
      <c r="M8936" s="25"/>
      <c r="O8936" s="25"/>
    </row>
    <row r="8937" ht="15.75" customHeight="1">
      <c r="A8937" s="25" t="str">
        <f>IFERROR(__xludf.DUMMYFUNCTION("IF(B8937="""","""",RIGHT(REGEXREPLACE(B8937&amp;"""",""[^0-9]"",""""),9))"),"704499296")</f>
        <v>704499296</v>
      </c>
      <c r="B8937" s="52">
        <v>7.04499296E8</v>
      </c>
      <c r="C8937" s="28" t="s">
        <v>9039</v>
      </c>
      <c r="D8937" s="26" t="s">
        <v>64</v>
      </c>
      <c r="E8937" s="31">
        <v>46248.0</v>
      </c>
      <c r="F8937" s="26" t="s">
        <v>46</v>
      </c>
      <c r="G8937" s="26">
        <v>10.0</v>
      </c>
      <c r="H8937" s="26" t="s">
        <v>9040</v>
      </c>
      <c r="I8937" s="26" t="s">
        <v>970</v>
      </c>
      <c r="J8937" s="25" t="str">
        <f t="shared" si="109"/>
        <v>No</v>
      </c>
      <c r="K8937" s="25" t="str">
        <f t="shared" si="110"/>
        <v/>
      </c>
      <c r="L8937" s="25" t="str">
        <f t="shared" si="111"/>
        <v/>
      </c>
      <c r="M8937" s="25"/>
      <c r="O8937" s="25"/>
    </row>
    <row r="8938" ht="15.75" customHeight="1">
      <c r="A8938" s="25" t="str">
        <f>IFERROR(__xludf.DUMMYFUNCTION("IF(B8938="""","""",RIGHT(REGEXREPLACE(B8938&amp;"""",""[^0-9]"",""""),9))"),"771062874")</f>
        <v>771062874</v>
      </c>
      <c r="B8938" s="52">
        <v>7.71062874E8</v>
      </c>
      <c r="C8938" s="28" t="s">
        <v>9041</v>
      </c>
      <c r="D8938" s="26" t="s">
        <v>64</v>
      </c>
      <c r="E8938" s="31">
        <v>46248.0</v>
      </c>
      <c r="F8938" s="26" t="s">
        <v>205</v>
      </c>
      <c r="H8938" s="26" t="s">
        <v>8436</v>
      </c>
      <c r="I8938" s="26" t="s">
        <v>970</v>
      </c>
      <c r="J8938" s="25" t="str">
        <f t="shared" si="109"/>
        <v>No</v>
      </c>
      <c r="K8938" s="25" t="str">
        <f t="shared" si="110"/>
        <v/>
      </c>
      <c r="L8938" s="25" t="str">
        <f t="shared" si="111"/>
        <v/>
      </c>
      <c r="M8938" s="25"/>
      <c r="O8938" s="25"/>
    </row>
    <row r="8939" ht="15.75" customHeight="1">
      <c r="A8939" s="25" t="str">
        <f>IFERROR(__xludf.DUMMYFUNCTION("IF(B8939="""","""",RIGHT(REGEXREPLACE(B8939&amp;"""",""[^0-9]"",""""),9))"),"765792985")</f>
        <v>765792985</v>
      </c>
      <c r="B8939" s="52">
        <v>7.65792985E8</v>
      </c>
      <c r="C8939" s="28" t="s">
        <v>317</v>
      </c>
      <c r="D8939" s="26" t="s">
        <v>64</v>
      </c>
      <c r="E8939" s="31">
        <v>46248.0</v>
      </c>
      <c r="F8939" s="26" t="s">
        <v>46</v>
      </c>
      <c r="G8939" s="26">
        <v>10.0</v>
      </c>
      <c r="I8939" s="26" t="s">
        <v>970</v>
      </c>
      <c r="J8939" s="25" t="str">
        <f t="shared" si="109"/>
        <v>No</v>
      </c>
      <c r="K8939" s="25" t="str">
        <f t="shared" si="110"/>
        <v/>
      </c>
      <c r="L8939" s="25" t="str">
        <f t="shared" si="111"/>
        <v/>
      </c>
      <c r="M8939" s="25"/>
      <c r="O8939" s="25"/>
    </row>
    <row r="8940" ht="15.75" customHeight="1">
      <c r="A8940" s="25" t="str">
        <f>IFERROR(__xludf.DUMMYFUNCTION("IF(B8940="""","""",RIGHT(REGEXREPLACE(B8940&amp;"""",""[^0-9]"",""""),9))"),"701128895")</f>
        <v>701128895</v>
      </c>
      <c r="B8940" s="52">
        <v>7.01128895E8</v>
      </c>
      <c r="C8940" s="28" t="s">
        <v>9042</v>
      </c>
      <c r="D8940" s="26" t="s">
        <v>64</v>
      </c>
      <c r="E8940" s="31">
        <v>46252.0</v>
      </c>
      <c r="F8940" s="26" t="s">
        <v>41</v>
      </c>
      <c r="I8940" s="26" t="s">
        <v>970</v>
      </c>
      <c r="J8940" s="25" t="str">
        <f t="shared" si="109"/>
        <v>No</v>
      </c>
      <c r="K8940" s="25" t="str">
        <f t="shared" si="110"/>
        <v/>
      </c>
      <c r="L8940" s="25" t="str">
        <f t="shared" si="111"/>
        <v/>
      </c>
      <c r="M8940" s="25"/>
      <c r="O8940" s="25"/>
    </row>
    <row r="8941" ht="15.75" customHeight="1">
      <c r="A8941" s="25" t="str">
        <f>IFERROR(__xludf.DUMMYFUNCTION("IF(B8941="""","""",RIGHT(REGEXREPLACE(B8941&amp;"""",""[^0-9]"",""""),9))"),"771480012")</f>
        <v>771480012</v>
      </c>
      <c r="B8941" s="52">
        <v>7.71480012E8</v>
      </c>
      <c r="C8941" s="28" t="s">
        <v>9043</v>
      </c>
      <c r="D8941" s="26" t="s">
        <v>64</v>
      </c>
      <c r="E8941" s="31">
        <v>46248.0</v>
      </c>
      <c r="F8941" s="26" t="s">
        <v>46</v>
      </c>
      <c r="G8941" s="26">
        <v>11.0</v>
      </c>
      <c r="H8941" s="26" t="s">
        <v>2293</v>
      </c>
      <c r="I8941" s="26" t="s">
        <v>970</v>
      </c>
      <c r="J8941" s="25" t="str">
        <f t="shared" si="109"/>
        <v>Yes - see Previous F-Code</v>
      </c>
      <c r="K8941" s="25" t="str">
        <f t="shared" si="110"/>
        <v/>
      </c>
      <c r="L8941" s="25" t="str">
        <f t="shared" si="111"/>
        <v>F71851</v>
      </c>
      <c r="M8941" s="25"/>
      <c r="O8941" s="25"/>
    </row>
    <row r="8942" ht="15.75" customHeight="1">
      <c r="A8942" s="25" t="str">
        <f>IFERROR(__xludf.DUMMYFUNCTION("IF(B8942="""","""",RIGHT(REGEXREPLACE(B8942&amp;"""",""[^0-9]"",""""),9))"),"765468566")</f>
        <v>765468566</v>
      </c>
      <c r="B8942" s="52">
        <v>7.65468566E8</v>
      </c>
      <c r="C8942" s="28" t="s">
        <v>6192</v>
      </c>
      <c r="D8942" s="26" t="s">
        <v>64</v>
      </c>
      <c r="E8942" s="31">
        <v>46248.0</v>
      </c>
      <c r="F8942" s="26" t="s">
        <v>46</v>
      </c>
      <c r="G8942" s="26">
        <v>8.0</v>
      </c>
      <c r="I8942" s="26" t="s">
        <v>970</v>
      </c>
      <c r="J8942" s="25" t="str">
        <f t="shared" si="109"/>
        <v>Yes - see Previous F-Code</v>
      </c>
      <c r="K8942" s="25" t="str">
        <f t="shared" si="110"/>
        <v/>
      </c>
      <c r="L8942" s="25" t="str">
        <f t="shared" si="111"/>
        <v>F75590</v>
      </c>
      <c r="M8942" s="25"/>
      <c r="O8942" s="25"/>
    </row>
    <row r="8943" ht="15.75" customHeight="1">
      <c r="A8943" s="25" t="str">
        <f>IFERROR(__xludf.DUMMYFUNCTION("IF(B8943="""","""",RIGHT(REGEXREPLACE(B8943&amp;"""",""[^0-9]"",""""),9))"),"770744820")</f>
        <v>770744820</v>
      </c>
      <c r="B8943" s="52">
        <v>7.7074482E8</v>
      </c>
      <c r="C8943" s="28" t="s">
        <v>9044</v>
      </c>
      <c r="D8943" s="26" t="s">
        <v>56</v>
      </c>
      <c r="E8943" s="31">
        <v>46248.0</v>
      </c>
      <c r="F8943" s="26" t="s">
        <v>125</v>
      </c>
      <c r="I8943" s="26" t="s">
        <v>970</v>
      </c>
      <c r="J8943" s="25" t="str">
        <f t="shared" si="109"/>
        <v>No</v>
      </c>
      <c r="K8943" s="25" t="str">
        <f t="shared" si="110"/>
        <v/>
      </c>
      <c r="L8943" s="25" t="str">
        <f t="shared" si="111"/>
        <v/>
      </c>
      <c r="M8943" s="25"/>
      <c r="O8943" s="25"/>
    </row>
    <row r="8944" ht="15.75" customHeight="1">
      <c r="A8944" s="25" t="str">
        <f>IFERROR(__xludf.DUMMYFUNCTION("IF(B8944="""","""",RIGHT(REGEXREPLACE(B8944&amp;"""",""[^0-9]"",""""),9))"),"764575543")</f>
        <v>764575543</v>
      </c>
      <c r="B8944" s="52">
        <v>7.64575543E8</v>
      </c>
      <c r="C8944" s="28" t="s">
        <v>271</v>
      </c>
      <c r="D8944" s="26" t="s">
        <v>45</v>
      </c>
      <c r="E8944" s="31">
        <v>46248.0</v>
      </c>
      <c r="F8944" s="26" t="s">
        <v>46</v>
      </c>
      <c r="G8944" s="26">
        <v>10.0</v>
      </c>
      <c r="H8944" s="26" t="s">
        <v>9045</v>
      </c>
      <c r="I8944" s="26" t="s">
        <v>970</v>
      </c>
      <c r="J8944" s="25" t="str">
        <f t="shared" si="109"/>
        <v>Yes - see Previous F-Code</v>
      </c>
      <c r="K8944" s="25" t="str">
        <f t="shared" si="110"/>
        <v/>
      </c>
      <c r="L8944" s="25" t="str">
        <f t="shared" si="111"/>
        <v>F70144</v>
      </c>
      <c r="M8944" s="25"/>
      <c r="O8944" s="25"/>
    </row>
    <row r="8945" ht="15.75" customHeight="1">
      <c r="A8945" s="25" t="str">
        <f>IFERROR(__xludf.DUMMYFUNCTION("IF(B8945="""","""",RIGHT(REGEXREPLACE(B8945&amp;"""",""[^0-9]"",""""),9))"),"713812600")</f>
        <v>713812600</v>
      </c>
      <c r="B8945" s="52">
        <v>7.138126E8</v>
      </c>
      <c r="C8945" s="28" t="s">
        <v>9046</v>
      </c>
      <c r="D8945" s="26" t="s">
        <v>64</v>
      </c>
      <c r="E8945" s="31">
        <v>46248.0</v>
      </c>
      <c r="F8945" s="26" t="s">
        <v>46</v>
      </c>
      <c r="G8945" s="26">
        <v>11.0</v>
      </c>
      <c r="I8945" s="26" t="s">
        <v>970</v>
      </c>
      <c r="J8945" s="25" t="str">
        <f t="shared" si="109"/>
        <v>No</v>
      </c>
      <c r="K8945" s="25" t="str">
        <f t="shared" si="110"/>
        <v/>
      </c>
      <c r="L8945" s="25" t="str">
        <f t="shared" si="111"/>
        <v/>
      </c>
      <c r="M8945" s="25"/>
      <c r="O8945" s="25"/>
    </row>
    <row r="8946" ht="15.75" customHeight="1">
      <c r="A8946" s="25" t="str">
        <f>IFERROR(__xludf.DUMMYFUNCTION("IF(B8946="""","""",RIGHT(REGEXREPLACE(B8946&amp;"""",""[^0-9]"",""""),9))"),"753855682")</f>
        <v>753855682</v>
      </c>
      <c r="B8946" s="52">
        <v>7.53855682E8</v>
      </c>
      <c r="C8946" s="28" t="s">
        <v>9047</v>
      </c>
      <c r="D8946" s="26" t="s">
        <v>56</v>
      </c>
      <c r="E8946" s="31">
        <v>46248.0</v>
      </c>
      <c r="F8946" s="26" t="s">
        <v>46</v>
      </c>
      <c r="G8946" s="26">
        <v>11.0</v>
      </c>
      <c r="H8946" s="26" t="s">
        <v>8436</v>
      </c>
      <c r="I8946" s="26" t="s">
        <v>970</v>
      </c>
      <c r="J8946" s="25" t="str">
        <f t="shared" si="109"/>
        <v>No</v>
      </c>
      <c r="K8946" s="25" t="str">
        <f t="shared" si="110"/>
        <v/>
      </c>
      <c r="L8946" s="25" t="str">
        <f t="shared" si="111"/>
        <v/>
      </c>
      <c r="M8946" s="25"/>
      <c r="O8946" s="25"/>
    </row>
    <row r="8947" ht="15.75" customHeight="1">
      <c r="A8947" s="25" t="str">
        <f>IFERROR(__xludf.DUMMYFUNCTION("IF(B8947="""","""",RIGHT(REGEXREPLACE(B8947&amp;"""",""[^0-9]"",""""),9))"),"774963676")</f>
        <v>774963676</v>
      </c>
      <c r="B8947" s="52">
        <v>7.74963676E8</v>
      </c>
      <c r="C8947" s="28" t="s">
        <v>9048</v>
      </c>
      <c r="D8947" s="26" t="s">
        <v>64</v>
      </c>
      <c r="E8947" s="31">
        <v>46248.0</v>
      </c>
      <c r="F8947" s="26" t="s">
        <v>46</v>
      </c>
      <c r="G8947" s="26">
        <v>11.0</v>
      </c>
      <c r="I8947" s="26" t="s">
        <v>970</v>
      </c>
      <c r="J8947" s="25" t="str">
        <f t="shared" si="109"/>
        <v>No</v>
      </c>
      <c r="K8947" s="25" t="str">
        <f t="shared" si="110"/>
        <v/>
      </c>
      <c r="L8947" s="25" t="str">
        <f t="shared" si="111"/>
        <v/>
      </c>
      <c r="M8947" s="25"/>
      <c r="O8947" s="25"/>
    </row>
    <row r="8948" ht="15.75" customHeight="1">
      <c r="A8948" s="25" t="str">
        <f>IFERROR(__xludf.DUMMYFUNCTION("IF(B8948="""","""",RIGHT(REGEXREPLACE(B8948&amp;"""",""[^0-9]"",""""),9))"),"727801901")</f>
        <v>727801901</v>
      </c>
      <c r="B8948" s="52">
        <v>7.27801901E8</v>
      </c>
      <c r="C8948" s="28" t="s">
        <v>9049</v>
      </c>
      <c r="D8948" s="26" t="s">
        <v>45</v>
      </c>
      <c r="E8948" s="31">
        <v>46248.0</v>
      </c>
      <c r="F8948" s="26" t="s">
        <v>125</v>
      </c>
      <c r="I8948" s="26" t="s">
        <v>970</v>
      </c>
      <c r="J8948" s="25" t="str">
        <f t="shared" si="109"/>
        <v>No</v>
      </c>
      <c r="K8948" s="25" t="str">
        <f t="shared" si="110"/>
        <v/>
      </c>
      <c r="L8948" s="25" t="str">
        <f t="shared" si="111"/>
        <v/>
      </c>
      <c r="M8948" s="25"/>
      <c r="O8948" s="25"/>
    </row>
    <row r="8949" ht="15.75" customHeight="1">
      <c r="A8949" s="25" t="str">
        <f>IFERROR(__xludf.DUMMYFUNCTION("IF(B8949="""","""",RIGHT(REGEXREPLACE(B8949&amp;"""",""[^0-9]"",""""),9))"),"781033265")</f>
        <v>781033265</v>
      </c>
      <c r="B8949" s="52">
        <v>7.81033265E8</v>
      </c>
      <c r="C8949" s="28" t="s">
        <v>9050</v>
      </c>
      <c r="D8949" s="26" t="s">
        <v>56</v>
      </c>
      <c r="E8949" s="31">
        <v>46248.0</v>
      </c>
      <c r="F8949" s="26" t="s">
        <v>46</v>
      </c>
      <c r="G8949" s="26">
        <v>8.0</v>
      </c>
      <c r="I8949" s="26" t="s">
        <v>970</v>
      </c>
      <c r="J8949" s="25" t="str">
        <f t="shared" si="109"/>
        <v>No</v>
      </c>
      <c r="K8949" s="25" t="str">
        <f t="shared" si="110"/>
        <v/>
      </c>
      <c r="L8949" s="25" t="str">
        <f t="shared" si="111"/>
        <v/>
      </c>
      <c r="M8949" s="25"/>
      <c r="O8949" s="25"/>
    </row>
    <row r="8950" ht="15.75" customHeight="1">
      <c r="A8950" s="25" t="str">
        <f>IFERROR(__xludf.DUMMYFUNCTION("IF(B8950="""","""",RIGHT(REGEXREPLACE(B8950&amp;"""",""[^0-9]"",""""),9))"),"761552091")</f>
        <v>761552091</v>
      </c>
      <c r="B8950" s="52">
        <v>7.61552091E8</v>
      </c>
      <c r="C8950" s="28" t="s">
        <v>9051</v>
      </c>
      <c r="D8950" s="26" t="s">
        <v>45</v>
      </c>
      <c r="E8950" s="31">
        <v>46248.0</v>
      </c>
      <c r="F8950" s="26" t="s">
        <v>46</v>
      </c>
      <c r="G8950" s="26">
        <v>11.0</v>
      </c>
      <c r="I8950" s="26" t="s">
        <v>970</v>
      </c>
      <c r="J8950" s="25" t="str">
        <f t="shared" si="109"/>
        <v>No</v>
      </c>
      <c r="K8950" s="25" t="str">
        <f t="shared" si="110"/>
        <v/>
      </c>
      <c r="L8950" s="25" t="str">
        <f t="shared" si="111"/>
        <v/>
      </c>
      <c r="M8950" s="25"/>
      <c r="O8950" s="25"/>
    </row>
    <row r="8951" ht="15.75" customHeight="1">
      <c r="A8951" s="25" t="str">
        <f>IFERROR(__xludf.DUMMYFUNCTION("IF(B8951="""","""",RIGHT(REGEXREPLACE(B8951&amp;"""",""[^0-9]"",""""),9))"),"715451651")</f>
        <v>715451651</v>
      </c>
      <c r="B8951" s="52">
        <v>7.15451651E8</v>
      </c>
      <c r="C8951" s="28" t="s">
        <v>1019</v>
      </c>
      <c r="D8951" s="26" t="s">
        <v>64</v>
      </c>
      <c r="E8951" s="31">
        <v>46248.0</v>
      </c>
      <c r="F8951" s="26" t="s">
        <v>205</v>
      </c>
      <c r="I8951" s="26" t="s">
        <v>970</v>
      </c>
      <c r="J8951" s="25" t="str">
        <f t="shared" si="109"/>
        <v>Yes - see Previous F-Code</v>
      </c>
      <c r="K8951" s="25" t="str">
        <f t="shared" si="110"/>
        <v/>
      </c>
      <c r="L8951" s="25" t="str">
        <f t="shared" si="111"/>
        <v>F70766</v>
      </c>
      <c r="M8951" s="25"/>
      <c r="O8951" s="25"/>
    </row>
    <row r="8952" ht="15.75" customHeight="1">
      <c r="A8952" s="25" t="str">
        <f>IFERROR(__xludf.DUMMYFUNCTION("IF(B8952="""","""",RIGHT(REGEXREPLACE(B8952&amp;"""",""[^0-9]"",""""),9))"),"775512709")</f>
        <v>775512709</v>
      </c>
      <c r="B8952" s="52">
        <v>7.75512709E8</v>
      </c>
      <c r="C8952" s="28" t="s">
        <v>9052</v>
      </c>
      <c r="D8952" s="26" t="s">
        <v>45</v>
      </c>
      <c r="E8952" s="31">
        <v>46248.0</v>
      </c>
      <c r="F8952" s="26" t="s">
        <v>46</v>
      </c>
      <c r="G8952" s="26">
        <v>11.0</v>
      </c>
      <c r="I8952" s="26" t="s">
        <v>970</v>
      </c>
      <c r="J8952" s="25" t="str">
        <f t="shared" si="109"/>
        <v>No</v>
      </c>
      <c r="K8952" s="25" t="str">
        <f t="shared" si="110"/>
        <v/>
      </c>
      <c r="L8952" s="25" t="str">
        <f t="shared" si="111"/>
        <v/>
      </c>
      <c r="M8952" s="25"/>
      <c r="O8952" s="25"/>
    </row>
    <row r="8953" ht="15.75" customHeight="1">
      <c r="A8953" s="25" t="str">
        <f>IFERROR(__xludf.DUMMYFUNCTION("IF(B8953="""","""",RIGHT(REGEXREPLACE(B8953&amp;"""",""[^0-9]"",""""),9))"),"777943176")</f>
        <v>777943176</v>
      </c>
      <c r="B8953" s="52">
        <v>7.77943176E8</v>
      </c>
      <c r="C8953" s="28" t="s">
        <v>9053</v>
      </c>
      <c r="D8953" s="26" t="s">
        <v>64</v>
      </c>
      <c r="E8953" s="31">
        <v>46248.0</v>
      </c>
      <c r="F8953" s="26" t="s">
        <v>205</v>
      </c>
      <c r="G8953" s="26">
        <v>10.0</v>
      </c>
      <c r="I8953" s="26" t="s">
        <v>970</v>
      </c>
      <c r="J8953" s="25" t="str">
        <f t="shared" si="109"/>
        <v>No</v>
      </c>
      <c r="K8953" s="25" t="str">
        <f t="shared" si="110"/>
        <v/>
      </c>
      <c r="L8953" s="25" t="str">
        <f t="shared" si="111"/>
        <v/>
      </c>
      <c r="M8953" s="25"/>
      <c r="O8953" s="25"/>
    </row>
    <row r="8954" ht="15.75" customHeight="1">
      <c r="A8954" s="25" t="str">
        <f>IFERROR(__xludf.DUMMYFUNCTION("IF(B8954="""","""",RIGHT(REGEXREPLACE(B8954&amp;"""",""[^0-9]"",""""),9))"),"762527842")</f>
        <v>762527842</v>
      </c>
      <c r="B8954" s="52">
        <v>7.62527842E8</v>
      </c>
      <c r="C8954" s="28" t="s">
        <v>9054</v>
      </c>
      <c r="D8954" s="26" t="s">
        <v>56</v>
      </c>
      <c r="E8954" s="31">
        <v>46248.0</v>
      </c>
      <c r="F8954" s="26" t="s">
        <v>631</v>
      </c>
      <c r="G8954" s="26">
        <v>11.0</v>
      </c>
      <c r="I8954" s="26" t="s">
        <v>970</v>
      </c>
      <c r="J8954" s="25" t="str">
        <f t="shared" si="109"/>
        <v>No</v>
      </c>
      <c r="K8954" s="25" t="str">
        <f t="shared" si="110"/>
        <v/>
      </c>
      <c r="L8954" s="25" t="str">
        <f t="shared" si="111"/>
        <v/>
      </c>
      <c r="M8954" s="25"/>
      <c r="O8954" s="25"/>
    </row>
    <row r="8955" ht="15.75" customHeight="1">
      <c r="A8955" s="25" t="str">
        <f>IFERROR(__xludf.DUMMYFUNCTION("IF(B8955="""","""",RIGHT(REGEXREPLACE(B8955&amp;"""",""[^0-9]"",""""),9))"),"761380910")</f>
        <v>761380910</v>
      </c>
      <c r="B8955" s="52">
        <v>7.6138091E8</v>
      </c>
      <c r="C8955" s="28" t="s">
        <v>9055</v>
      </c>
      <c r="D8955" s="26" t="s">
        <v>64</v>
      </c>
      <c r="E8955" s="31">
        <v>46248.0</v>
      </c>
      <c r="F8955" s="26" t="s">
        <v>41</v>
      </c>
      <c r="I8955" s="26" t="s">
        <v>970</v>
      </c>
      <c r="J8955" s="25" t="str">
        <f t="shared" si="109"/>
        <v>No</v>
      </c>
      <c r="K8955" s="25" t="str">
        <f t="shared" si="110"/>
        <v/>
      </c>
      <c r="L8955" s="25" t="str">
        <f t="shared" si="111"/>
        <v/>
      </c>
      <c r="M8955" s="25"/>
      <c r="O8955" s="25"/>
    </row>
    <row r="8956" ht="15.75" customHeight="1">
      <c r="A8956" s="25" t="str">
        <f>IFERROR(__xludf.DUMMYFUNCTION("IF(B8956="""","""",RIGHT(REGEXREPLACE(B8956&amp;"""",""[^0-9]"",""""),9))"),"712765399")</f>
        <v>712765399</v>
      </c>
      <c r="B8956" s="52">
        <v>7.12765399E8</v>
      </c>
      <c r="C8956" s="28" t="s">
        <v>2659</v>
      </c>
      <c r="D8956" s="26" t="s">
        <v>45</v>
      </c>
      <c r="E8956" s="31">
        <v>46248.0</v>
      </c>
      <c r="F8956" s="26" t="s">
        <v>46</v>
      </c>
      <c r="G8956" s="26">
        <v>11.0</v>
      </c>
      <c r="I8956" s="26" t="s">
        <v>970</v>
      </c>
      <c r="J8956" s="25" t="str">
        <f t="shared" si="109"/>
        <v>Yes - see Previous F-Code</v>
      </c>
      <c r="K8956" s="25" t="str">
        <f t="shared" si="110"/>
        <v/>
      </c>
      <c r="L8956" s="25" t="str">
        <f t="shared" si="111"/>
        <v>F72346</v>
      </c>
      <c r="M8956" s="25"/>
      <c r="O8956" s="25"/>
    </row>
    <row r="8957" ht="15.75" customHeight="1">
      <c r="A8957" s="25" t="str">
        <f>IFERROR(__xludf.DUMMYFUNCTION("IF(B8957="""","""",RIGHT(REGEXREPLACE(B8957&amp;"""",""[^0-9]"",""""),9))"),"771968936")</f>
        <v>771968936</v>
      </c>
      <c r="B8957" s="52">
        <v>7.71968936E8</v>
      </c>
      <c r="C8957" s="28" t="s">
        <v>9056</v>
      </c>
      <c r="D8957" s="26" t="s">
        <v>64</v>
      </c>
      <c r="E8957" s="31">
        <v>46248.0</v>
      </c>
      <c r="F8957" s="26" t="s">
        <v>46</v>
      </c>
      <c r="H8957" s="26" t="s">
        <v>8436</v>
      </c>
      <c r="I8957" s="26" t="s">
        <v>970</v>
      </c>
      <c r="J8957" s="25" t="str">
        <f t="shared" si="109"/>
        <v>No</v>
      </c>
      <c r="K8957" s="25" t="str">
        <f t="shared" si="110"/>
        <v/>
      </c>
      <c r="L8957" s="25" t="str">
        <f t="shared" si="111"/>
        <v/>
      </c>
      <c r="M8957" s="25"/>
      <c r="O8957" s="25"/>
    </row>
    <row r="8958" ht="15.75" customHeight="1">
      <c r="A8958" s="25" t="str">
        <f>IFERROR(__xludf.DUMMYFUNCTION("IF(B8958="""","""",RIGHT(REGEXREPLACE(B8958&amp;"""",""[^0-9]"",""""),9))"),"771814343")</f>
        <v>771814343</v>
      </c>
      <c r="B8958" s="52">
        <v>7.71814343E8</v>
      </c>
      <c r="C8958" s="28" t="s">
        <v>9057</v>
      </c>
      <c r="D8958" s="26" t="s">
        <v>45</v>
      </c>
      <c r="E8958" s="31">
        <v>46248.0</v>
      </c>
      <c r="F8958" s="26" t="s">
        <v>46</v>
      </c>
      <c r="G8958" s="26">
        <v>11.0</v>
      </c>
      <c r="I8958" s="26" t="s">
        <v>970</v>
      </c>
      <c r="J8958" s="25" t="str">
        <f t="shared" si="109"/>
        <v>No</v>
      </c>
      <c r="K8958" s="25" t="str">
        <f t="shared" si="110"/>
        <v/>
      </c>
      <c r="L8958" s="25" t="str">
        <f t="shared" si="111"/>
        <v/>
      </c>
      <c r="M8958" s="25"/>
      <c r="O8958" s="25"/>
    </row>
    <row r="8959" ht="15.75" customHeight="1">
      <c r="A8959" s="25" t="str">
        <f>IFERROR(__xludf.DUMMYFUNCTION("IF(B8959="""","""",RIGHT(REGEXREPLACE(B8959&amp;"""",""[^0-9]"",""""),9))"),"778294099")</f>
        <v>778294099</v>
      </c>
      <c r="B8959" s="26" t="s">
        <v>9058</v>
      </c>
      <c r="C8959" s="28" t="s">
        <v>9059</v>
      </c>
      <c r="D8959" s="26" t="s">
        <v>45</v>
      </c>
      <c r="E8959" s="31">
        <v>46248.0</v>
      </c>
      <c r="F8959" s="26" t="s">
        <v>46</v>
      </c>
      <c r="G8959" s="26">
        <v>10.0</v>
      </c>
      <c r="I8959" s="26" t="s">
        <v>911</v>
      </c>
      <c r="J8959" s="25" t="str">
        <f t="shared" si="109"/>
        <v>No</v>
      </c>
      <c r="K8959" s="25" t="str">
        <f t="shared" si="110"/>
        <v/>
      </c>
      <c r="L8959" s="25" t="str">
        <f t="shared" si="111"/>
        <v/>
      </c>
      <c r="M8959" s="25"/>
      <c r="O8959" s="25"/>
    </row>
    <row r="8960" ht="15.75" customHeight="1">
      <c r="A8960" s="25" t="str">
        <f>IFERROR(__xludf.DUMMYFUNCTION("IF(B8960="""","""",RIGHT(REGEXREPLACE(B8960&amp;"""",""[^0-9]"",""""),9))"),"771838675")</f>
        <v>771838675</v>
      </c>
      <c r="B8960" s="26" t="s">
        <v>9060</v>
      </c>
      <c r="C8960" s="28" t="s">
        <v>9061</v>
      </c>
      <c r="D8960" s="26" t="s">
        <v>45</v>
      </c>
      <c r="E8960" s="31">
        <v>46248.0</v>
      </c>
      <c r="F8960" s="26" t="s">
        <v>41</v>
      </c>
      <c r="G8960" s="26">
        <v>6.0</v>
      </c>
      <c r="I8960" s="26" t="s">
        <v>911</v>
      </c>
      <c r="J8960" s="25" t="str">
        <f t="shared" si="109"/>
        <v>No</v>
      </c>
      <c r="K8960" s="25" t="str">
        <f t="shared" si="110"/>
        <v/>
      </c>
      <c r="L8960" s="25" t="str">
        <f t="shared" si="111"/>
        <v/>
      </c>
      <c r="M8960" s="25"/>
      <c r="O8960" s="25"/>
    </row>
    <row r="8961" ht="15.75" customHeight="1">
      <c r="A8961" s="25" t="str">
        <f>IFERROR(__xludf.DUMMYFUNCTION("IF(B8961="""","""",RIGHT(REGEXREPLACE(B8961&amp;"""",""[^0-9]"",""""),9))"),"742708201")</f>
        <v>742708201</v>
      </c>
      <c r="B8961" s="26" t="s">
        <v>9062</v>
      </c>
      <c r="C8961" s="28" t="s">
        <v>9063</v>
      </c>
      <c r="D8961" s="26" t="s">
        <v>45</v>
      </c>
      <c r="E8961" s="31">
        <v>46248.0</v>
      </c>
      <c r="F8961" s="26" t="s">
        <v>46</v>
      </c>
      <c r="G8961" s="26">
        <v>11.0</v>
      </c>
      <c r="I8961" s="26" t="s">
        <v>911</v>
      </c>
      <c r="J8961" s="25" t="str">
        <f t="shared" si="109"/>
        <v>No</v>
      </c>
      <c r="K8961" s="25" t="str">
        <f t="shared" si="110"/>
        <v/>
      </c>
      <c r="L8961" s="25" t="str">
        <f t="shared" si="111"/>
        <v/>
      </c>
      <c r="M8961" s="25"/>
      <c r="O8961" s="25"/>
    </row>
    <row r="8962" ht="15.75" customHeight="1">
      <c r="A8962" s="25" t="str">
        <f>IFERROR(__xludf.DUMMYFUNCTION("IF(B8962="""","""",RIGHT(REGEXREPLACE(B8962&amp;"""",""[^0-9]"",""""),9))"),"716685932")</f>
        <v>716685932</v>
      </c>
      <c r="B8962" s="26" t="s">
        <v>9064</v>
      </c>
      <c r="C8962" s="28" t="s">
        <v>9065</v>
      </c>
      <c r="D8962" s="26" t="s">
        <v>45</v>
      </c>
      <c r="E8962" s="31">
        <v>46248.0</v>
      </c>
      <c r="F8962" s="26" t="s">
        <v>164</v>
      </c>
      <c r="G8962" s="26">
        <v>11.0</v>
      </c>
      <c r="I8962" s="26" t="s">
        <v>911</v>
      </c>
      <c r="J8962" s="25" t="str">
        <f t="shared" si="109"/>
        <v>No</v>
      </c>
      <c r="K8962" s="25" t="str">
        <f t="shared" si="110"/>
        <v/>
      </c>
      <c r="L8962" s="25" t="str">
        <f t="shared" si="111"/>
        <v/>
      </c>
      <c r="M8962" s="25"/>
      <c r="O8962" s="25"/>
    </row>
    <row r="8963" ht="15.75" customHeight="1">
      <c r="A8963" s="25" t="str">
        <f>IFERROR(__xludf.DUMMYFUNCTION("IF(B8963="""","""",RIGHT(REGEXREPLACE(B8963&amp;"""",""[^0-9]"",""""),9))"),"741307581")</f>
        <v>741307581</v>
      </c>
      <c r="B8963" s="26" t="s">
        <v>9066</v>
      </c>
      <c r="C8963" s="28" t="s">
        <v>9042</v>
      </c>
      <c r="D8963" s="26" t="s">
        <v>45</v>
      </c>
      <c r="E8963" s="31">
        <v>46248.0</v>
      </c>
      <c r="F8963" s="26" t="s">
        <v>41</v>
      </c>
      <c r="G8963" s="26">
        <v>10.0</v>
      </c>
      <c r="I8963" s="26" t="s">
        <v>911</v>
      </c>
      <c r="J8963" s="25" t="str">
        <f t="shared" si="109"/>
        <v>No</v>
      </c>
      <c r="K8963" s="25" t="str">
        <f t="shared" si="110"/>
        <v/>
      </c>
      <c r="L8963" s="25" t="str">
        <f t="shared" si="111"/>
        <v/>
      </c>
      <c r="M8963" s="25"/>
      <c r="O8963" s="25"/>
    </row>
    <row r="8964" ht="15.75" customHeight="1">
      <c r="A8964" s="25" t="str">
        <f>IFERROR(__xludf.DUMMYFUNCTION("IF(B8964="""","""",RIGHT(REGEXREPLACE(B8964&amp;"""",""[^0-9]"",""""),9))"),"714894162")</f>
        <v>714894162</v>
      </c>
      <c r="B8964" s="52">
        <v>7.14894162E8</v>
      </c>
      <c r="C8964" s="28" t="s">
        <v>9067</v>
      </c>
      <c r="D8964" s="26" t="s">
        <v>56</v>
      </c>
      <c r="E8964" s="31">
        <v>46248.0</v>
      </c>
      <c r="F8964" s="26" t="s">
        <v>41</v>
      </c>
      <c r="G8964" s="26">
        <v>10.0</v>
      </c>
      <c r="H8964" s="26" t="s">
        <v>1648</v>
      </c>
      <c r="I8964" s="26" t="s">
        <v>911</v>
      </c>
      <c r="J8964" s="25" t="str">
        <f t="shared" si="109"/>
        <v>No</v>
      </c>
      <c r="K8964" s="25" t="str">
        <f t="shared" si="110"/>
        <v/>
      </c>
      <c r="L8964" s="25" t="str">
        <f t="shared" si="111"/>
        <v/>
      </c>
      <c r="M8964" s="25"/>
      <c r="O8964" s="25"/>
    </row>
    <row r="8965" ht="15.75" customHeight="1">
      <c r="A8965" s="25" t="str">
        <f>IFERROR(__xludf.DUMMYFUNCTION("IF(B8965="""","""",RIGHT(REGEXREPLACE(B8965&amp;"""",""[^0-9]"",""""),9))"),"779280802")</f>
        <v>779280802</v>
      </c>
      <c r="B8965" s="26" t="s">
        <v>9068</v>
      </c>
      <c r="C8965" s="28" t="s">
        <v>9069</v>
      </c>
      <c r="D8965" s="26" t="s">
        <v>45</v>
      </c>
      <c r="E8965" s="31">
        <v>46252.0</v>
      </c>
      <c r="F8965" s="26" t="s">
        <v>46</v>
      </c>
      <c r="G8965" s="26">
        <v>10.0</v>
      </c>
      <c r="I8965" s="26" t="s">
        <v>911</v>
      </c>
      <c r="J8965" s="25" t="str">
        <f t="shared" si="109"/>
        <v>No</v>
      </c>
      <c r="K8965" s="25" t="str">
        <f t="shared" si="110"/>
        <v/>
      </c>
      <c r="L8965" s="25" t="str">
        <f t="shared" si="111"/>
        <v/>
      </c>
      <c r="M8965" s="25"/>
      <c r="O8965" s="25"/>
    </row>
    <row r="8966" ht="15.75" customHeight="1">
      <c r="A8966" s="25" t="str">
        <f>IFERROR(__xludf.DUMMYFUNCTION("IF(B8966="""","""",RIGHT(REGEXREPLACE(B8966&amp;"""",""[^0-9]"",""""),9))"),"741693851")</f>
        <v>741693851</v>
      </c>
      <c r="B8966" s="52" t="s">
        <v>9070</v>
      </c>
      <c r="C8966" s="28" t="s">
        <v>9071</v>
      </c>
      <c r="D8966" s="26" t="s">
        <v>45</v>
      </c>
      <c r="E8966" s="31">
        <v>46248.0</v>
      </c>
      <c r="F8966" s="26" t="s">
        <v>46</v>
      </c>
      <c r="G8966" s="26">
        <v>10.0</v>
      </c>
      <c r="I8966" s="26" t="s">
        <v>911</v>
      </c>
      <c r="J8966" s="25" t="str">
        <f t="shared" si="109"/>
        <v>No</v>
      </c>
      <c r="K8966" s="25" t="str">
        <f t="shared" si="110"/>
        <v/>
      </c>
      <c r="L8966" s="25" t="str">
        <f t="shared" si="111"/>
        <v/>
      </c>
      <c r="M8966" s="25"/>
      <c r="O8966" s="25"/>
    </row>
    <row r="8967" ht="15.75" customHeight="1">
      <c r="A8967" s="25" t="str">
        <f>IFERROR(__xludf.DUMMYFUNCTION("IF(B8967="""","""",RIGHT(REGEXREPLACE(B8967&amp;"""",""[^0-9]"",""""),9))"),"715454140")</f>
        <v>715454140</v>
      </c>
      <c r="B8967" s="52">
        <v>7.1545414E8</v>
      </c>
      <c r="C8967" s="28" t="s">
        <v>9072</v>
      </c>
      <c r="D8967" s="26" t="s">
        <v>56</v>
      </c>
      <c r="E8967" s="31">
        <v>46248.0</v>
      </c>
      <c r="F8967" s="26" t="s">
        <v>46</v>
      </c>
      <c r="G8967" s="26">
        <v>11.0</v>
      </c>
      <c r="I8967" s="26" t="s">
        <v>911</v>
      </c>
      <c r="J8967" s="25" t="str">
        <f t="shared" si="109"/>
        <v>No</v>
      </c>
      <c r="K8967" s="25" t="str">
        <f t="shared" si="110"/>
        <v/>
      </c>
      <c r="L8967" s="25" t="str">
        <f t="shared" si="111"/>
        <v/>
      </c>
      <c r="M8967" s="25"/>
      <c r="O8967" s="25"/>
    </row>
    <row r="8968" ht="15.75" customHeight="1">
      <c r="A8968" s="25" t="str">
        <f>IFERROR(__xludf.DUMMYFUNCTION("IF(B8968="""","""",RIGHT(REGEXREPLACE(B8968&amp;"""",""[^0-9]"",""""),9))"),"717435501")</f>
        <v>717435501</v>
      </c>
      <c r="B8968" s="52">
        <v>7.17435501E8</v>
      </c>
      <c r="C8968" s="28" t="s">
        <v>9073</v>
      </c>
      <c r="D8968" s="26" t="s">
        <v>56</v>
      </c>
      <c r="E8968" s="31">
        <v>46248.0</v>
      </c>
      <c r="F8968" s="26" t="s">
        <v>205</v>
      </c>
      <c r="G8968" s="26">
        <v>10.0</v>
      </c>
      <c r="I8968" s="26" t="s">
        <v>911</v>
      </c>
      <c r="J8968" s="25" t="str">
        <f t="shared" si="109"/>
        <v>No</v>
      </c>
      <c r="K8968" s="25" t="str">
        <f t="shared" si="110"/>
        <v/>
      </c>
      <c r="L8968" s="25" t="str">
        <f t="shared" si="111"/>
        <v/>
      </c>
      <c r="M8968" s="25"/>
      <c r="O8968" s="25"/>
    </row>
    <row r="8969" ht="15.75" customHeight="1">
      <c r="A8969" s="25" t="str">
        <f>IFERROR(__xludf.DUMMYFUNCTION("IF(B8969="""","""",RIGHT(REGEXREPLACE(B8969&amp;"""",""[^0-9]"",""""),9))"),"764402428")</f>
        <v>764402428</v>
      </c>
      <c r="B8969" s="52">
        <v>7.64402428E8</v>
      </c>
      <c r="C8969" s="28" t="s">
        <v>9074</v>
      </c>
      <c r="D8969" s="26" t="s">
        <v>45</v>
      </c>
      <c r="E8969" s="31">
        <v>46248.0</v>
      </c>
      <c r="F8969" s="26" t="s">
        <v>46</v>
      </c>
      <c r="G8969" s="26">
        <v>7.0</v>
      </c>
      <c r="I8969" s="26" t="s">
        <v>911</v>
      </c>
      <c r="J8969" s="25" t="str">
        <f t="shared" si="109"/>
        <v>No</v>
      </c>
      <c r="K8969" s="25" t="str">
        <f t="shared" si="110"/>
        <v/>
      </c>
      <c r="L8969" s="25" t="str">
        <f t="shared" si="111"/>
        <v/>
      </c>
      <c r="M8969" s="25"/>
      <c r="O8969" s="25"/>
    </row>
    <row r="8970" ht="15.75" customHeight="1">
      <c r="A8970" s="25" t="str">
        <f>IFERROR(__xludf.DUMMYFUNCTION("IF(B8970="""","""",RIGHT(REGEXREPLACE(B8970&amp;"""",""[^0-9]"",""""),9))"),"777624436")</f>
        <v>777624436</v>
      </c>
      <c r="B8970" s="52">
        <v>7.77624436E8</v>
      </c>
      <c r="C8970" s="28" t="s">
        <v>9075</v>
      </c>
      <c r="D8970" s="26" t="s">
        <v>56</v>
      </c>
      <c r="E8970" s="31">
        <v>46248.0</v>
      </c>
      <c r="F8970" s="26" t="s">
        <v>46</v>
      </c>
      <c r="G8970" s="26" t="s">
        <v>4456</v>
      </c>
      <c r="H8970" s="26" t="s">
        <v>9076</v>
      </c>
      <c r="I8970" s="26" t="s">
        <v>911</v>
      </c>
      <c r="J8970" s="25" t="str">
        <f t="shared" si="109"/>
        <v>No</v>
      </c>
      <c r="K8970" s="25" t="str">
        <f t="shared" si="110"/>
        <v/>
      </c>
      <c r="L8970" s="25" t="str">
        <f t="shared" si="111"/>
        <v/>
      </c>
      <c r="M8970" s="25"/>
      <c r="O8970" s="25"/>
    </row>
    <row r="8971" ht="15.75" customHeight="1">
      <c r="A8971" s="25" t="str">
        <f>IFERROR(__xludf.DUMMYFUNCTION("IF(B8971="""","""",RIGHT(REGEXREPLACE(B8971&amp;"""",""[^0-9]"",""""),9))"),"777623915")</f>
        <v>777623915</v>
      </c>
      <c r="B8971" s="52">
        <v>7.77623915E8</v>
      </c>
      <c r="C8971" s="28" t="s">
        <v>9077</v>
      </c>
      <c r="D8971" s="26" t="s">
        <v>56</v>
      </c>
      <c r="E8971" s="31">
        <v>46248.0</v>
      </c>
      <c r="F8971" s="26" t="s">
        <v>46</v>
      </c>
      <c r="G8971" s="26">
        <v>10.0</v>
      </c>
      <c r="I8971" s="26" t="s">
        <v>911</v>
      </c>
      <c r="J8971" s="25" t="str">
        <f t="shared" si="109"/>
        <v>No</v>
      </c>
      <c r="K8971" s="25" t="str">
        <f t="shared" si="110"/>
        <v/>
      </c>
      <c r="L8971" s="25" t="str">
        <f t="shared" si="111"/>
        <v/>
      </c>
      <c r="M8971" s="25"/>
      <c r="O8971" s="25"/>
    </row>
    <row r="8972" ht="15.75" customHeight="1">
      <c r="A8972" s="25" t="str">
        <f>IFERROR(__xludf.DUMMYFUNCTION("IF(B8972="""","""",RIGHT(REGEXREPLACE(B8972&amp;"""",""[^0-9]"",""""),9))"),"750393461")</f>
        <v>750393461</v>
      </c>
      <c r="B8972" s="26" t="s">
        <v>9078</v>
      </c>
      <c r="C8972" s="28" t="s">
        <v>9079</v>
      </c>
      <c r="D8972" s="26" t="s">
        <v>45</v>
      </c>
      <c r="E8972" s="31">
        <v>46248.0</v>
      </c>
      <c r="F8972" s="26" t="s">
        <v>41</v>
      </c>
      <c r="G8972" s="26">
        <v>7.0</v>
      </c>
      <c r="I8972" s="26" t="s">
        <v>911</v>
      </c>
      <c r="J8972" s="25" t="str">
        <f t="shared" si="109"/>
        <v>No</v>
      </c>
      <c r="K8972" s="25" t="str">
        <f t="shared" si="110"/>
        <v/>
      </c>
      <c r="L8972" s="25" t="str">
        <f t="shared" si="111"/>
        <v/>
      </c>
      <c r="M8972" s="25"/>
      <c r="O8972" s="25"/>
    </row>
    <row r="8973" ht="15.75" customHeight="1">
      <c r="A8973" s="25" t="str">
        <f>IFERROR(__xludf.DUMMYFUNCTION("IF(B8973="""","""",RIGHT(REGEXREPLACE(B8973&amp;"""",""[^0-9]"",""""),9))"),"761197669")</f>
        <v>761197669</v>
      </c>
      <c r="B8973" s="26" t="s">
        <v>9080</v>
      </c>
      <c r="C8973" s="28" t="s">
        <v>9081</v>
      </c>
      <c r="D8973" s="26" t="s">
        <v>45</v>
      </c>
      <c r="E8973" s="31">
        <v>46248.0</v>
      </c>
      <c r="F8973" s="26" t="s">
        <v>46</v>
      </c>
      <c r="G8973" s="26">
        <v>10.0</v>
      </c>
      <c r="I8973" s="26" t="s">
        <v>911</v>
      </c>
      <c r="J8973" s="25" t="str">
        <f t="shared" si="109"/>
        <v>No</v>
      </c>
      <c r="K8973" s="25" t="str">
        <f t="shared" si="110"/>
        <v/>
      </c>
      <c r="L8973" s="25" t="str">
        <f t="shared" si="111"/>
        <v/>
      </c>
      <c r="M8973" s="25"/>
      <c r="O8973" s="25"/>
    </row>
    <row r="8974" ht="15.75" customHeight="1">
      <c r="A8974" s="25" t="str">
        <f>IFERROR(__xludf.DUMMYFUNCTION("IF(B8974="""","""",RIGHT(REGEXREPLACE(B8974&amp;"""",""[^0-9]"",""""),9))"),"743005187")</f>
        <v>743005187</v>
      </c>
      <c r="B8974" s="26" t="s">
        <v>9082</v>
      </c>
      <c r="C8974" s="28" t="s">
        <v>9083</v>
      </c>
      <c r="D8974" s="26" t="s">
        <v>45</v>
      </c>
      <c r="E8974" s="31">
        <v>46248.0</v>
      </c>
      <c r="F8974" s="26" t="s">
        <v>46</v>
      </c>
      <c r="G8974" s="26">
        <v>11.0</v>
      </c>
      <c r="I8974" s="26" t="s">
        <v>911</v>
      </c>
      <c r="J8974" s="25" t="str">
        <f t="shared" si="109"/>
        <v>No</v>
      </c>
      <c r="K8974" s="25" t="str">
        <f t="shared" si="110"/>
        <v/>
      </c>
      <c r="L8974" s="25" t="str">
        <f t="shared" si="111"/>
        <v/>
      </c>
      <c r="M8974" s="25"/>
      <c r="O8974" s="25"/>
    </row>
    <row r="8975" ht="15.75" customHeight="1">
      <c r="A8975" s="25" t="str">
        <f>IFERROR(__xludf.DUMMYFUNCTION("IF(B8975="""","""",RIGHT(REGEXREPLACE(B8975&amp;"""",""[^0-9]"",""""),9))"),"741458325")</f>
        <v>741458325</v>
      </c>
      <c r="B8975" s="26" t="s">
        <v>9084</v>
      </c>
      <c r="C8975" s="28" t="s">
        <v>9013</v>
      </c>
      <c r="D8975" s="26" t="s">
        <v>45</v>
      </c>
      <c r="E8975" s="31">
        <v>46249.0</v>
      </c>
      <c r="F8975" s="26" t="s">
        <v>41</v>
      </c>
      <c r="I8975" s="26" t="s">
        <v>911</v>
      </c>
      <c r="J8975" s="25" t="str">
        <f t="shared" si="109"/>
        <v>Yes - see Previous F-Code</v>
      </c>
      <c r="K8975" s="25" t="str">
        <f t="shared" si="110"/>
        <v/>
      </c>
      <c r="L8975" s="25" t="str">
        <f t="shared" si="111"/>
        <v>F77680</v>
      </c>
      <c r="M8975" s="25"/>
      <c r="O8975" s="25"/>
    </row>
    <row r="8976" ht="15.75" customHeight="1">
      <c r="A8976" s="25" t="str">
        <f>IFERROR(__xludf.DUMMYFUNCTION("IF(B8976="""","""",RIGHT(REGEXREPLACE(B8976&amp;"""",""[^0-9]"",""""),9))"),"715491021")</f>
        <v>715491021</v>
      </c>
      <c r="B8976" s="26" t="s">
        <v>9085</v>
      </c>
      <c r="C8976" s="28" t="s">
        <v>9086</v>
      </c>
      <c r="D8976" s="26" t="s">
        <v>45</v>
      </c>
      <c r="E8976" s="31">
        <v>46249.0</v>
      </c>
      <c r="F8976" s="26" t="s">
        <v>205</v>
      </c>
      <c r="I8976" s="26" t="s">
        <v>911</v>
      </c>
      <c r="J8976" s="25" t="str">
        <f t="shared" si="109"/>
        <v>No</v>
      </c>
      <c r="K8976" s="25" t="str">
        <f t="shared" si="110"/>
        <v/>
      </c>
      <c r="L8976" s="25" t="str">
        <f t="shared" si="111"/>
        <v/>
      </c>
      <c r="M8976" s="25"/>
      <c r="O8976" s="25"/>
    </row>
    <row r="8977" ht="15.75" customHeight="1">
      <c r="A8977" s="25" t="str">
        <f>IFERROR(__xludf.DUMMYFUNCTION("IF(B8977="""","""",RIGHT(REGEXREPLACE(B8977&amp;"""",""[^0-9]"",""""),9))"),"769788415")</f>
        <v>769788415</v>
      </c>
      <c r="B8977" s="26" t="s">
        <v>9087</v>
      </c>
      <c r="C8977" s="28" t="s">
        <v>2938</v>
      </c>
      <c r="D8977" s="26" t="s">
        <v>45</v>
      </c>
      <c r="E8977" s="31">
        <v>46249.0</v>
      </c>
      <c r="F8977" s="26" t="s">
        <v>164</v>
      </c>
      <c r="I8977" s="26" t="s">
        <v>911</v>
      </c>
      <c r="J8977" s="25" t="str">
        <f t="shared" si="109"/>
        <v>Yes - see Previous F-Code</v>
      </c>
      <c r="K8977" s="25" t="str">
        <f t="shared" si="110"/>
        <v/>
      </c>
      <c r="L8977" s="25" t="str">
        <f t="shared" si="111"/>
        <v>F72932</v>
      </c>
      <c r="M8977" s="25"/>
      <c r="O8977" s="25"/>
    </row>
    <row r="8978" ht="15.75" customHeight="1">
      <c r="A8978" s="25" t="str">
        <f>IFERROR(__xludf.DUMMYFUNCTION("IF(B8978="""","""",RIGHT(REGEXREPLACE(B8978&amp;"""",""[^0-9]"",""""),9))"),"760845903")</f>
        <v>760845903</v>
      </c>
      <c r="B8978" s="26" t="s">
        <v>9088</v>
      </c>
      <c r="C8978" s="28" t="s">
        <v>9089</v>
      </c>
      <c r="D8978" s="26" t="s">
        <v>45</v>
      </c>
      <c r="E8978" s="31">
        <v>46249.0</v>
      </c>
      <c r="F8978" s="26" t="s">
        <v>46</v>
      </c>
      <c r="G8978" s="26">
        <v>11.0</v>
      </c>
      <c r="I8978" s="26" t="s">
        <v>911</v>
      </c>
      <c r="J8978" s="25" t="str">
        <f t="shared" si="109"/>
        <v>No</v>
      </c>
      <c r="K8978" s="25" t="str">
        <f t="shared" si="110"/>
        <v/>
      </c>
      <c r="L8978" s="25" t="str">
        <f t="shared" si="111"/>
        <v/>
      </c>
      <c r="M8978" s="25"/>
      <c r="O8978" s="25"/>
    </row>
    <row r="8979" ht="15.75" customHeight="1">
      <c r="A8979" s="25" t="str">
        <f>IFERROR(__xludf.DUMMYFUNCTION("IF(B8979="""","""",RIGHT(REGEXREPLACE(B8979&amp;"""",""[^0-9]"",""""),9))"),"740521948")</f>
        <v>740521948</v>
      </c>
      <c r="B8979" s="26" t="s">
        <v>6801</v>
      </c>
      <c r="C8979" s="28" t="s">
        <v>6802</v>
      </c>
      <c r="D8979" s="26" t="s">
        <v>45</v>
      </c>
      <c r="E8979" s="31">
        <v>46249.0</v>
      </c>
      <c r="F8979" s="26" t="s">
        <v>167</v>
      </c>
      <c r="H8979" s="26" t="s">
        <v>9090</v>
      </c>
      <c r="I8979" s="26" t="s">
        <v>911</v>
      </c>
      <c r="J8979" s="25" t="str">
        <f t="shared" si="109"/>
        <v>Yes - see Previous F-Code</v>
      </c>
      <c r="K8979" s="25" t="str">
        <f t="shared" si="110"/>
        <v/>
      </c>
      <c r="L8979" s="25" t="str">
        <f t="shared" si="111"/>
        <v>F75849</v>
      </c>
      <c r="M8979" s="25"/>
      <c r="O8979" s="25"/>
    </row>
    <row r="8980" ht="15.75" customHeight="1">
      <c r="A8980" s="25" t="str">
        <f>IFERROR(__xludf.DUMMYFUNCTION("IF(B8980="""","""",RIGHT(REGEXREPLACE(B8980&amp;"""",""[^0-9]"",""""),9))"),"741174658")</f>
        <v>741174658</v>
      </c>
      <c r="B8980" s="26" t="s">
        <v>9091</v>
      </c>
      <c r="C8980" s="28" t="s">
        <v>9092</v>
      </c>
      <c r="D8980" s="26" t="s">
        <v>45</v>
      </c>
      <c r="E8980" s="31">
        <v>46249.0</v>
      </c>
      <c r="F8980" s="26" t="s">
        <v>46</v>
      </c>
      <c r="G8980" s="26">
        <v>11.0</v>
      </c>
      <c r="I8980" s="26" t="s">
        <v>911</v>
      </c>
      <c r="J8980" s="25" t="str">
        <f t="shared" si="109"/>
        <v>No</v>
      </c>
      <c r="K8980" s="25" t="str">
        <f t="shared" si="110"/>
        <v/>
      </c>
      <c r="L8980" s="25" t="str">
        <f t="shared" si="111"/>
        <v/>
      </c>
      <c r="M8980" s="25"/>
      <c r="O8980" s="25"/>
    </row>
    <row r="8981" ht="15.75" customHeight="1">
      <c r="A8981" s="25" t="str">
        <f>IFERROR(__xludf.DUMMYFUNCTION("IF(B8981="""","""",RIGHT(REGEXREPLACE(B8981&amp;"""",""[^0-9]"",""""),9))"),"716685932")</f>
        <v>716685932</v>
      </c>
      <c r="B8981" s="26" t="s">
        <v>9064</v>
      </c>
      <c r="C8981" s="28" t="s">
        <v>9065</v>
      </c>
      <c r="D8981" s="26" t="s">
        <v>45</v>
      </c>
      <c r="E8981" s="31">
        <v>46249.0</v>
      </c>
      <c r="F8981" s="26" t="s">
        <v>164</v>
      </c>
      <c r="G8981" s="26">
        <v>9.0</v>
      </c>
      <c r="I8981" s="26" t="s">
        <v>911</v>
      </c>
      <c r="J8981" s="25" t="str">
        <f t="shared" si="109"/>
        <v>Yes - see Previous F-Code</v>
      </c>
      <c r="K8981" s="25" t="str">
        <f t="shared" si="110"/>
        <v>DUPLICATE - CHECK</v>
      </c>
      <c r="L8981" s="25" t="str">
        <f t="shared" si="111"/>
        <v>F77716</v>
      </c>
      <c r="M8981" s="25"/>
      <c r="O8981" s="25"/>
    </row>
    <row r="8982" ht="15.75" customHeight="1">
      <c r="A8982" s="25" t="str">
        <f>IFERROR(__xludf.DUMMYFUNCTION("IF(B8982="""","""",RIGHT(REGEXREPLACE(B8982&amp;"""",""[^0-9]"",""""),9))"),"761579090")</f>
        <v>761579090</v>
      </c>
      <c r="B8982" s="26" t="s">
        <v>9093</v>
      </c>
      <c r="C8982" s="28" t="s">
        <v>9094</v>
      </c>
      <c r="D8982" s="26" t="s">
        <v>45</v>
      </c>
      <c r="E8982" s="31">
        <v>46251.0</v>
      </c>
      <c r="F8982" s="26" t="s">
        <v>46</v>
      </c>
      <c r="G8982" s="26">
        <v>11.0</v>
      </c>
      <c r="I8982" s="26" t="s">
        <v>911</v>
      </c>
      <c r="J8982" s="25" t="str">
        <f t="shared" si="109"/>
        <v>No</v>
      </c>
      <c r="K8982" s="25" t="str">
        <f t="shared" si="110"/>
        <v/>
      </c>
      <c r="L8982" s="25" t="str">
        <f t="shared" si="111"/>
        <v/>
      </c>
      <c r="M8982" s="25"/>
      <c r="O8982" s="25"/>
    </row>
    <row r="8983" ht="15.75" customHeight="1">
      <c r="A8983" s="25" t="str">
        <f>IFERROR(__xludf.DUMMYFUNCTION("IF(B8983="""","""",RIGHT(REGEXREPLACE(B8983&amp;"""",""[^0-9]"",""""),9))"),"753657020")</f>
        <v>753657020</v>
      </c>
      <c r="B8983" s="26" t="s">
        <v>9095</v>
      </c>
      <c r="C8983" s="28" t="s">
        <v>9096</v>
      </c>
      <c r="D8983" s="26" t="s">
        <v>45</v>
      </c>
      <c r="E8983" s="31">
        <v>46251.0</v>
      </c>
      <c r="F8983" s="26" t="s">
        <v>205</v>
      </c>
      <c r="G8983" s="26">
        <v>10.0</v>
      </c>
      <c r="I8983" s="26" t="s">
        <v>911</v>
      </c>
      <c r="J8983" s="25" t="str">
        <f t="shared" si="109"/>
        <v>No</v>
      </c>
      <c r="K8983" s="25" t="str">
        <f t="shared" si="110"/>
        <v/>
      </c>
      <c r="L8983" s="25" t="str">
        <f t="shared" si="111"/>
        <v/>
      </c>
      <c r="M8983" s="25"/>
      <c r="O8983" s="25"/>
    </row>
    <row r="8984" ht="15.75" customHeight="1">
      <c r="A8984" s="25" t="str">
        <f>IFERROR(__xludf.DUMMYFUNCTION("IF(B8984="""","""",RIGHT(REGEXREPLACE(B8984&amp;"""",""[^0-9]"",""""),9))"),"776443057")</f>
        <v>776443057</v>
      </c>
      <c r="B8984" s="26" t="s">
        <v>9097</v>
      </c>
      <c r="C8984" s="28" t="s">
        <v>3346</v>
      </c>
      <c r="D8984" s="26" t="s">
        <v>45</v>
      </c>
      <c r="E8984" s="31">
        <v>46251.0</v>
      </c>
      <c r="F8984" s="26" t="s">
        <v>46</v>
      </c>
      <c r="G8984" s="26">
        <v>11.0</v>
      </c>
      <c r="H8984" s="26" t="s">
        <v>9098</v>
      </c>
      <c r="I8984" s="26" t="s">
        <v>911</v>
      </c>
      <c r="J8984" s="25" t="str">
        <f t="shared" si="109"/>
        <v>Yes - see Previous F-Code</v>
      </c>
      <c r="K8984" s="25" t="str">
        <f t="shared" si="110"/>
        <v/>
      </c>
      <c r="L8984" s="25" t="str">
        <f t="shared" si="111"/>
        <v>F73006</v>
      </c>
      <c r="M8984" s="25"/>
      <c r="O8984" s="25"/>
    </row>
    <row r="8985" ht="15.75" customHeight="1">
      <c r="A8985" s="25" t="str">
        <f>IFERROR(__xludf.DUMMYFUNCTION("IF(B8985="""","""",RIGHT(REGEXREPLACE(B8985&amp;"""",""[^0-9]"",""""),9))"),"741286136")</f>
        <v>741286136</v>
      </c>
      <c r="B8985" s="26" t="s">
        <v>9099</v>
      </c>
      <c r="C8985" s="28" t="s">
        <v>9100</v>
      </c>
      <c r="D8985" s="26" t="s">
        <v>45</v>
      </c>
      <c r="E8985" s="31">
        <v>46251.0</v>
      </c>
      <c r="F8985" s="26" t="s">
        <v>164</v>
      </c>
      <c r="G8985" s="26">
        <v>8.0</v>
      </c>
      <c r="I8985" s="26" t="s">
        <v>911</v>
      </c>
      <c r="J8985" s="25" t="str">
        <f t="shared" si="109"/>
        <v>No</v>
      </c>
      <c r="K8985" s="25" t="str">
        <f t="shared" si="110"/>
        <v/>
      </c>
      <c r="L8985" s="25" t="str">
        <f t="shared" si="111"/>
        <v/>
      </c>
      <c r="M8985" s="25"/>
      <c r="O8985" s="25"/>
    </row>
    <row r="8986" ht="15.75" customHeight="1">
      <c r="A8986" s="25" t="str">
        <f>IFERROR(__xludf.DUMMYFUNCTION("IF(B8986="""","""",RIGHT(REGEXREPLACE(B8986&amp;"""",""[^0-9]"",""""),9))"),"711957481")</f>
        <v>711957481</v>
      </c>
      <c r="B8986" s="26" t="s">
        <v>9101</v>
      </c>
      <c r="C8986" s="28" t="s">
        <v>9102</v>
      </c>
      <c r="D8986" s="26" t="s">
        <v>45</v>
      </c>
      <c r="E8986" s="31">
        <v>46251.0</v>
      </c>
      <c r="F8986" s="26" t="s">
        <v>41</v>
      </c>
      <c r="G8986" s="26">
        <v>10.0</v>
      </c>
      <c r="I8986" s="26" t="s">
        <v>911</v>
      </c>
      <c r="J8986" s="25" t="str">
        <f t="shared" si="109"/>
        <v>No</v>
      </c>
      <c r="K8986" s="25" t="str">
        <f t="shared" si="110"/>
        <v/>
      </c>
      <c r="L8986" s="25" t="str">
        <f t="shared" si="111"/>
        <v/>
      </c>
      <c r="M8986" s="25"/>
      <c r="O8986" s="25"/>
    </row>
    <row r="8987" ht="15.75" customHeight="1">
      <c r="A8987" s="25" t="str">
        <f>IFERROR(__xludf.DUMMYFUNCTION("IF(B8987="""","""",RIGHT(REGEXREPLACE(B8987&amp;"""",""[^0-9]"",""""),9))"),"754505868")</f>
        <v>754505868</v>
      </c>
      <c r="B8987" s="26" t="s">
        <v>9103</v>
      </c>
      <c r="C8987" s="28" t="s">
        <v>9104</v>
      </c>
      <c r="D8987" s="26" t="s">
        <v>45</v>
      </c>
      <c r="E8987" s="31">
        <v>46251.0</v>
      </c>
      <c r="F8987" s="26" t="s">
        <v>46</v>
      </c>
      <c r="G8987" s="26">
        <v>8.0</v>
      </c>
      <c r="I8987" s="26" t="s">
        <v>911</v>
      </c>
      <c r="J8987" s="25" t="str">
        <f t="shared" si="109"/>
        <v>No</v>
      </c>
      <c r="K8987" s="25" t="str">
        <f t="shared" si="110"/>
        <v/>
      </c>
      <c r="L8987" s="25" t="str">
        <f t="shared" si="111"/>
        <v/>
      </c>
      <c r="M8987" s="25"/>
      <c r="O8987" s="25"/>
    </row>
    <row r="8988" ht="15.75" customHeight="1">
      <c r="A8988" s="25" t="str">
        <f>IFERROR(__xludf.DUMMYFUNCTION("IF(B8988="""","""",RIGHT(REGEXREPLACE(B8988&amp;"""",""[^0-9]"",""""),9))"),"785725270")</f>
        <v>785725270</v>
      </c>
      <c r="B8988" s="26" t="s">
        <v>9105</v>
      </c>
      <c r="C8988" s="28" t="s">
        <v>9106</v>
      </c>
      <c r="D8988" s="26" t="s">
        <v>45</v>
      </c>
      <c r="E8988" s="31">
        <v>46251.0</v>
      </c>
      <c r="F8988" s="26" t="s">
        <v>46</v>
      </c>
      <c r="G8988" s="26">
        <v>10.0</v>
      </c>
      <c r="I8988" s="26" t="s">
        <v>911</v>
      </c>
      <c r="J8988" s="25" t="str">
        <f t="shared" si="109"/>
        <v>No</v>
      </c>
      <c r="K8988" s="25" t="str">
        <f t="shared" si="110"/>
        <v/>
      </c>
      <c r="L8988" s="25" t="str">
        <f t="shared" si="111"/>
        <v/>
      </c>
      <c r="M8988" s="25"/>
      <c r="O8988" s="25"/>
    </row>
    <row r="8989" ht="15.75" customHeight="1">
      <c r="A8989" s="25" t="str">
        <f>IFERROR(__xludf.DUMMYFUNCTION("IF(B8989="""","""",RIGHT(REGEXREPLACE(B8989&amp;"""",""[^0-9]"",""""),9))"),"711879450")</f>
        <v>711879450</v>
      </c>
      <c r="B8989" s="26" t="s">
        <v>9107</v>
      </c>
      <c r="C8989" s="28" t="s">
        <v>9108</v>
      </c>
      <c r="D8989" s="26" t="s">
        <v>45</v>
      </c>
      <c r="E8989" s="31">
        <v>46251.0</v>
      </c>
      <c r="F8989" s="26" t="s">
        <v>46</v>
      </c>
      <c r="G8989" s="26">
        <v>10.0</v>
      </c>
      <c r="I8989" s="26" t="s">
        <v>911</v>
      </c>
      <c r="J8989" s="25" t="str">
        <f t="shared" si="109"/>
        <v>No</v>
      </c>
      <c r="K8989" s="25" t="str">
        <f t="shared" si="110"/>
        <v/>
      </c>
      <c r="L8989" s="25" t="str">
        <f t="shared" si="111"/>
        <v/>
      </c>
      <c r="M8989" s="25"/>
      <c r="O8989" s="25"/>
    </row>
    <row r="8990" ht="15.75" customHeight="1">
      <c r="A8990" s="25" t="str">
        <f>IFERROR(__xludf.DUMMYFUNCTION("IF(B8990="""","""",RIGHT(REGEXREPLACE(B8990&amp;"""",""[^0-9]"",""""),9))"),"703281594")</f>
        <v>703281594</v>
      </c>
      <c r="B8990" s="26" t="s">
        <v>9109</v>
      </c>
      <c r="C8990" s="28" t="s">
        <v>9110</v>
      </c>
      <c r="D8990" s="26" t="s">
        <v>45</v>
      </c>
      <c r="E8990" s="31">
        <v>46251.0</v>
      </c>
      <c r="F8990" s="26" t="s">
        <v>46</v>
      </c>
      <c r="G8990" s="26">
        <v>11.0</v>
      </c>
      <c r="I8990" s="26" t="s">
        <v>911</v>
      </c>
      <c r="J8990" s="25" t="str">
        <f t="shared" si="109"/>
        <v>No</v>
      </c>
      <c r="K8990" s="25" t="str">
        <f t="shared" si="110"/>
        <v/>
      </c>
      <c r="L8990" s="25" t="str">
        <f t="shared" si="111"/>
        <v/>
      </c>
      <c r="M8990" s="25"/>
      <c r="O8990" s="25"/>
    </row>
    <row r="8991" ht="15.75" customHeight="1">
      <c r="A8991" s="25" t="str">
        <f>IFERROR(__xludf.DUMMYFUNCTION("IF(B8991="""","""",RIGHT(REGEXREPLACE(B8991&amp;"""",""[^0-9]"",""""),9))"),"711064783")</f>
        <v>711064783</v>
      </c>
      <c r="B8991" s="26" t="s">
        <v>9111</v>
      </c>
      <c r="C8991" s="28" t="s">
        <v>9112</v>
      </c>
      <c r="D8991" s="26" t="s">
        <v>45</v>
      </c>
      <c r="E8991" s="31">
        <v>46251.0</v>
      </c>
      <c r="F8991" s="26" t="s">
        <v>41</v>
      </c>
      <c r="G8991" s="26">
        <v>9.0</v>
      </c>
      <c r="I8991" s="26" t="s">
        <v>911</v>
      </c>
      <c r="J8991" s="25" t="str">
        <f t="shared" si="109"/>
        <v>No</v>
      </c>
      <c r="K8991" s="25" t="str">
        <f t="shared" si="110"/>
        <v/>
      </c>
      <c r="L8991" s="25" t="str">
        <f t="shared" si="111"/>
        <v/>
      </c>
      <c r="M8991" s="25"/>
      <c r="O8991" s="25"/>
    </row>
    <row r="8992" ht="15.75" customHeight="1">
      <c r="A8992" s="25" t="str">
        <f>IFERROR(__xludf.DUMMYFUNCTION("IF(B8992="""","""",RIGHT(REGEXREPLACE(B8992&amp;"""",""[^0-9]"",""""),9))"),"767639123")</f>
        <v>767639123</v>
      </c>
      <c r="B8992" s="26" t="s">
        <v>9113</v>
      </c>
      <c r="C8992" s="28" t="s">
        <v>2980</v>
      </c>
      <c r="D8992" s="26" t="s">
        <v>45</v>
      </c>
      <c r="E8992" s="31">
        <v>46251.0</v>
      </c>
      <c r="F8992" s="26" t="s">
        <v>46</v>
      </c>
      <c r="G8992" s="26">
        <v>11.0</v>
      </c>
      <c r="I8992" s="26" t="s">
        <v>911</v>
      </c>
      <c r="J8992" s="25" t="str">
        <f t="shared" si="109"/>
        <v>Yes - see Previous F-Code</v>
      </c>
      <c r="K8992" s="25" t="str">
        <f t="shared" si="110"/>
        <v/>
      </c>
      <c r="L8992" s="25" t="str">
        <f t="shared" si="111"/>
        <v>F72581</v>
      </c>
      <c r="M8992" s="25"/>
      <c r="O8992" s="25"/>
    </row>
    <row r="8993" ht="15.75" customHeight="1">
      <c r="A8993" s="25" t="str">
        <f>IFERROR(__xludf.DUMMYFUNCTION("IF(B8993="""","""",RIGHT(REGEXREPLACE(B8993&amp;"""",""[^0-9]"",""""),9))"),"758048842")</f>
        <v>758048842</v>
      </c>
      <c r="B8993" s="26" t="s">
        <v>9114</v>
      </c>
      <c r="C8993" s="28" t="s">
        <v>9115</v>
      </c>
      <c r="D8993" s="26" t="s">
        <v>45</v>
      </c>
      <c r="E8993" s="31">
        <v>46251.0</v>
      </c>
      <c r="F8993" s="26" t="s">
        <v>46</v>
      </c>
      <c r="G8993" s="26">
        <v>11.0</v>
      </c>
      <c r="I8993" s="26" t="s">
        <v>911</v>
      </c>
      <c r="J8993" s="25" t="str">
        <f t="shared" si="109"/>
        <v>No</v>
      </c>
      <c r="K8993" s="25" t="str">
        <f t="shared" si="110"/>
        <v/>
      </c>
      <c r="L8993" s="25" t="str">
        <f t="shared" si="111"/>
        <v/>
      </c>
      <c r="M8993" s="25"/>
      <c r="O8993" s="25"/>
    </row>
    <row r="8994" ht="15.75" customHeight="1">
      <c r="A8994" s="25" t="str">
        <f>IFERROR(__xludf.DUMMYFUNCTION("IF(B8994="""","""",RIGHT(REGEXREPLACE(B8994&amp;"""",""[^0-9]"",""""),9))"),"767675005")</f>
        <v>767675005</v>
      </c>
      <c r="B8994" s="26" t="s">
        <v>9116</v>
      </c>
      <c r="C8994" s="28" t="s">
        <v>9117</v>
      </c>
      <c r="D8994" s="26" t="s">
        <v>45</v>
      </c>
      <c r="E8994" s="31">
        <v>46251.0</v>
      </c>
      <c r="F8994" s="26" t="s">
        <v>46</v>
      </c>
      <c r="G8994" s="26">
        <v>10.0</v>
      </c>
      <c r="I8994" s="26" t="s">
        <v>911</v>
      </c>
      <c r="J8994" s="25" t="str">
        <f t="shared" si="109"/>
        <v>No</v>
      </c>
      <c r="K8994" s="25" t="str">
        <f t="shared" si="110"/>
        <v/>
      </c>
      <c r="L8994" s="25" t="str">
        <f t="shared" si="111"/>
        <v/>
      </c>
      <c r="M8994" s="25"/>
      <c r="O8994" s="25"/>
    </row>
    <row r="8995" ht="15.75" customHeight="1">
      <c r="A8995" s="25" t="str">
        <f>IFERROR(__xludf.DUMMYFUNCTION("IF(B8995="""","""",RIGHT(REGEXREPLACE(B8995&amp;"""",""[^0-9]"",""""),9))"),"768836994")</f>
        <v>768836994</v>
      </c>
      <c r="B8995" s="26" t="s">
        <v>9118</v>
      </c>
      <c r="C8995" s="28" t="s">
        <v>9119</v>
      </c>
      <c r="D8995" s="26" t="s">
        <v>45</v>
      </c>
      <c r="E8995" s="31">
        <v>46251.0</v>
      </c>
      <c r="F8995" s="26" t="s">
        <v>46</v>
      </c>
      <c r="G8995" s="26">
        <v>11.0</v>
      </c>
      <c r="I8995" s="26" t="s">
        <v>911</v>
      </c>
      <c r="J8995" s="25" t="str">
        <f t="shared" si="109"/>
        <v>No</v>
      </c>
      <c r="K8995" s="25" t="str">
        <f t="shared" si="110"/>
        <v/>
      </c>
      <c r="L8995" s="25" t="str">
        <f t="shared" si="111"/>
        <v/>
      </c>
      <c r="M8995" s="25"/>
      <c r="O8995" s="25"/>
    </row>
    <row r="8996" ht="15.75" customHeight="1">
      <c r="A8996" s="25" t="str">
        <f>IFERROR(__xludf.DUMMYFUNCTION("IF(B8996="""","""",RIGHT(REGEXREPLACE(B8996&amp;"""",""[^0-9]"",""""),9))"),"772185666")</f>
        <v>772185666</v>
      </c>
      <c r="B8996" s="26" t="s">
        <v>9120</v>
      </c>
      <c r="C8996" s="28" t="s">
        <v>9121</v>
      </c>
      <c r="D8996" s="26" t="s">
        <v>45</v>
      </c>
      <c r="E8996" s="31">
        <v>46251.0</v>
      </c>
      <c r="F8996" s="26" t="s">
        <v>46</v>
      </c>
      <c r="G8996" s="26">
        <v>10.0</v>
      </c>
      <c r="I8996" s="26" t="s">
        <v>911</v>
      </c>
      <c r="J8996" s="25" t="str">
        <f t="shared" si="109"/>
        <v>No</v>
      </c>
      <c r="K8996" s="25" t="str">
        <f t="shared" si="110"/>
        <v/>
      </c>
      <c r="L8996" s="25" t="str">
        <f t="shared" si="111"/>
        <v/>
      </c>
      <c r="M8996" s="25"/>
      <c r="O8996" s="25"/>
    </row>
    <row r="8997" ht="15.75" customHeight="1">
      <c r="A8997" s="25" t="str">
        <f>IFERROR(__xludf.DUMMYFUNCTION("IF(B8997="""","""",RIGHT(REGEXREPLACE(B8997&amp;"""",""[^0-9]"",""""),9))"),"717651184")</f>
        <v>717651184</v>
      </c>
      <c r="B8997" s="26" t="s">
        <v>9122</v>
      </c>
      <c r="C8997" s="28" t="s">
        <v>9123</v>
      </c>
      <c r="D8997" s="26" t="s">
        <v>45</v>
      </c>
      <c r="E8997" s="31">
        <v>46251.0</v>
      </c>
      <c r="F8997" s="26" t="s">
        <v>41</v>
      </c>
      <c r="G8997" s="26">
        <v>11.0</v>
      </c>
      <c r="I8997" s="26" t="s">
        <v>911</v>
      </c>
      <c r="J8997" s="25" t="str">
        <f t="shared" si="109"/>
        <v>No</v>
      </c>
      <c r="K8997" s="25" t="str">
        <f t="shared" si="110"/>
        <v/>
      </c>
      <c r="L8997" s="25" t="str">
        <f t="shared" si="111"/>
        <v/>
      </c>
      <c r="M8997" s="25"/>
      <c r="O8997" s="25"/>
    </row>
    <row r="8998" ht="15.75" customHeight="1">
      <c r="A8998" s="25" t="str">
        <f>IFERROR(__xludf.DUMMYFUNCTION("IF(B8998="""","""",RIGHT(REGEXREPLACE(B8998&amp;"""",""[^0-9]"",""""),9))"),"786037411")</f>
        <v>786037411</v>
      </c>
      <c r="B8998" s="26" t="s">
        <v>9124</v>
      </c>
      <c r="C8998" s="28" t="s">
        <v>9125</v>
      </c>
      <c r="D8998" s="26" t="s">
        <v>45</v>
      </c>
      <c r="E8998" s="31">
        <v>46251.0</v>
      </c>
      <c r="F8998" s="26" t="s">
        <v>205</v>
      </c>
      <c r="G8998" s="26">
        <v>10.0</v>
      </c>
      <c r="I8998" s="26" t="s">
        <v>911</v>
      </c>
      <c r="J8998" s="25" t="str">
        <f t="shared" si="109"/>
        <v>No</v>
      </c>
      <c r="K8998" s="25" t="str">
        <f t="shared" si="110"/>
        <v/>
      </c>
      <c r="L8998" s="25" t="str">
        <f t="shared" si="111"/>
        <v/>
      </c>
      <c r="M8998" s="25"/>
      <c r="O8998" s="25"/>
    </row>
    <row r="8999" ht="15.75" customHeight="1">
      <c r="A8999" s="25" t="str">
        <f>IFERROR(__xludf.DUMMYFUNCTION("IF(B8999="""","""",RIGHT(REGEXREPLACE(B8999&amp;"""",""[^0-9]"",""""),9))"),"776057341")</f>
        <v>776057341</v>
      </c>
      <c r="B8999" s="26" t="s">
        <v>9126</v>
      </c>
      <c r="C8999" s="28" t="s">
        <v>9127</v>
      </c>
      <c r="D8999" s="26" t="s">
        <v>45</v>
      </c>
      <c r="E8999" s="31">
        <v>46252.0</v>
      </c>
      <c r="F8999" s="26" t="s">
        <v>46</v>
      </c>
      <c r="G8999" s="26">
        <v>9.0</v>
      </c>
      <c r="I8999" s="26" t="s">
        <v>911</v>
      </c>
      <c r="J8999" s="25" t="str">
        <f t="shared" si="109"/>
        <v>No</v>
      </c>
      <c r="K8999" s="25" t="str">
        <f t="shared" si="110"/>
        <v/>
      </c>
      <c r="L8999" s="25" t="str">
        <f t="shared" si="111"/>
        <v/>
      </c>
      <c r="M8999" s="25"/>
      <c r="O8999" s="25"/>
    </row>
    <row r="9000" ht="15.75" customHeight="1">
      <c r="A9000" s="25" t="str">
        <f>IFERROR(__xludf.DUMMYFUNCTION("IF(B9000="""","""",RIGHT(REGEXREPLACE(B9000&amp;"""",""[^0-9]"",""""),9))"),"701832661")</f>
        <v>701832661</v>
      </c>
      <c r="B9000" s="26" t="s">
        <v>9128</v>
      </c>
      <c r="C9000" s="28" t="s">
        <v>9129</v>
      </c>
      <c r="D9000" s="26" t="s">
        <v>45</v>
      </c>
      <c r="E9000" s="31">
        <v>46252.0</v>
      </c>
      <c r="F9000" s="26" t="s">
        <v>46</v>
      </c>
      <c r="G9000" s="26">
        <v>8.0</v>
      </c>
      <c r="I9000" s="26" t="s">
        <v>911</v>
      </c>
      <c r="J9000" s="25" t="str">
        <f t="shared" si="109"/>
        <v>No</v>
      </c>
      <c r="K9000" s="25" t="str">
        <f t="shared" si="110"/>
        <v/>
      </c>
      <c r="L9000" s="25" t="str">
        <f t="shared" si="111"/>
        <v/>
      </c>
      <c r="M9000" s="25"/>
      <c r="O9000" s="25"/>
    </row>
    <row r="9001" ht="15.75" customHeight="1">
      <c r="A9001" s="25" t="str">
        <f>IFERROR(__xludf.DUMMYFUNCTION("IF(B9001="""","""",RIGHT(REGEXREPLACE(B9001&amp;"""",""[^0-9]"",""""),9))"),"775342856")</f>
        <v>775342856</v>
      </c>
      <c r="B9001" s="26" t="s">
        <v>9130</v>
      </c>
      <c r="C9001" s="28" t="s">
        <v>9131</v>
      </c>
      <c r="D9001" s="26" t="s">
        <v>45</v>
      </c>
      <c r="E9001" s="31">
        <v>46252.0</v>
      </c>
      <c r="F9001" s="26" t="s">
        <v>46</v>
      </c>
      <c r="G9001" s="26">
        <v>10.0</v>
      </c>
      <c r="I9001" s="26" t="s">
        <v>911</v>
      </c>
      <c r="J9001" s="25" t="str">
        <f t="shared" si="109"/>
        <v>No</v>
      </c>
      <c r="K9001" s="25" t="str">
        <f t="shared" si="110"/>
        <v/>
      </c>
      <c r="L9001" s="25" t="str">
        <f t="shared" si="111"/>
        <v/>
      </c>
      <c r="M9001" s="25"/>
      <c r="O9001" s="25"/>
    </row>
    <row r="9002" ht="15.75" customHeight="1">
      <c r="A9002" s="25" t="str">
        <f>IFERROR(__xludf.DUMMYFUNCTION("IF(B9002="""","""",RIGHT(REGEXREPLACE(B9002&amp;"""",""[^0-9]"",""""),9))"),"776323606")</f>
        <v>776323606</v>
      </c>
      <c r="B9002" s="26" t="s">
        <v>9132</v>
      </c>
      <c r="C9002" s="28" t="s">
        <v>9133</v>
      </c>
      <c r="D9002" s="26" t="s">
        <v>45</v>
      </c>
      <c r="E9002" s="31">
        <v>46252.0</v>
      </c>
      <c r="F9002" s="26" t="s">
        <v>46</v>
      </c>
      <c r="G9002" s="26">
        <v>10.0</v>
      </c>
      <c r="I9002" s="26" t="s">
        <v>911</v>
      </c>
      <c r="J9002" s="25" t="str">
        <f t="shared" si="109"/>
        <v>No</v>
      </c>
      <c r="K9002" s="25" t="str">
        <f t="shared" si="110"/>
        <v/>
      </c>
      <c r="L9002" s="25" t="str">
        <f t="shared" si="111"/>
        <v/>
      </c>
      <c r="M9002" s="25"/>
      <c r="O9002" s="25"/>
    </row>
    <row r="9003" ht="15.75" customHeight="1">
      <c r="A9003" s="25" t="str">
        <f>IFERROR(__xludf.DUMMYFUNCTION("IF(B9003="""","""",RIGHT(REGEXREPLACE(B9003&amp;"""",""[^0-9]"",""""),9))"),"743232949")</f>
        <v>743232949</v>
      </c>
      <c r="B9003" s="26" t="s">
        <v>9134</v>
      </c>
      <c r="C9003" s="28" t="s">
        <v>9135</v>
      </c>
      <c r="D9003" s="26" t="s">
        <v>45</v>
      </c>
      <c r="E9003" s="31">
        <v>46252.0</v>
      </c>
      <c r="F9003" s="26" t="s">
        <v>41</v>
      </c>
      <c r="G9003" s="26">
        <v>10.0</v>
      </c>
      <c r="I9003" s="26" t="s">
        <v>911</v>
      </c>
      <c r="J9003" s="25" t="str">
        <f t="shared" si="109"/>
        <v>No</v>
      </c>
      <c r="K9003" s="25" t="str">
        <f t="shared" si="110"/>
        <v/>
      </c>
      <c r="L9003" s="25" t="str">
        <f t="shared" si="111"/>
        <v/>
      </c>
      <c r="M9003" s="25"/>
      <c r="O9003" s="25"/>
    </row>
    <row r="9004" ht="15.75" customHeight="1">
      <c r="A9004" s="25" t="str">
        <f>IFERROR(__xludf.DUMMYFUNCTION("IF(B9004="""","""",RIGHT(REGEXREPLACE(B9004&amp;"""",""[^0-9]"",""""),9))"),"770664349")</f>
        <v>770664349</v>
      </c>
      <c r="B9004" s="26" t="s">
        <v>9136</v>
      </c>
      <c r="C9004" s="28" t="s">
        <v>9137</v>
      </c>
      <c r="D9004" s="26" t="s">
        <v>45</v>
      </c>
      <c r="E9004" s="31">
        <v>46252.0</v>
      </c>
      <c r="F9004" s="26" t="s">
        <v>659</v>
      </c>
      <c r="G9004" s="26">
        <v>11.0</v>
      </c>
      <c r="H9004" s="26" t="s">
        <v>8854</v>
      </c>
      <c r="I9004" s="26" t="s">
        <v>911</v>
      </c>
      <c r="J9004" s="25" t="str">
        <f t="shared" si="109"/>
        <v>No</v>
      </c>
      <c r="K9004" s="25" t="str">
        <f t="shared" si="110"/>
        <v/>
      </c>
      <c r="L9004" s="25" t="str">
        <f t="shared" si="111"/>
        <v/>
      </c>
      <c r="M9004" s="25"/>
      <c r="O9004" s="25"/>
    </row>
    <row r="9005" ht="15.75" customHeight="1">
      <c r="A9005" s="25" t="str">
        <f>IFERROR(__xludf.DUMMYFUNCTION("IF(B9005="""","""",RIGHT(REGEXREPLACE(B9005&amp;"""",""[^0-9]"",""""),9))"),"701603628")</f>
        <v>701603628</v>
      </c>
      <c r="B9005" s="26" t="s">
        <v>9138</v>
      </c>
      <c r="C9005" s="28" t="s">
        <v>9139</v>
      </c>
      <c r="D9005" s="26" t="s">
        <v>45</v>
      </c>
      <c r="E9005" s="31">
        <v>46252.0</v>
      </c>
      <c r="F9005" s="26" t="s">
        <v>46</v>
      </c>
      <c r="G9005" s="26">
        <v>11.0</v>
      </c>
      <c r="I9005" s="26" t="s">
        <v>911</v>
      </c>
      <c r="J9005" s="25" t="str">
        <f t="shared" si="109"/>
        <v>No</v>
      </c>
      <c r="K9005" s="25" t="str">
        <f t="shared" si="110"/>
        <v/>
      </c>
      <c r="L9005" s="25" t="str">
        <f t="shared" si="111"/>
        <v/>
      </c>
      <c r="M9005" s="25"/>
      <c r="O9005" s="25"/>
    </row>
    <row r="9006" ht="15.75" customHeight="1">
      <c r="A9006" s="25" t="str">
        <f>IFERROR(__xludf.DUMMYFUNCTION("IF(B9006="""","""",RIGHT(REGEXREPLACE(B9006&amp;"""",""[^0-9]"",""""),9))"),"763721486")</f>
        <v>763721486</v>
      </c>
      <c r="B9006" s="26" t="s">
        <v>9140</v>
      </c>
      <c r="C9006" s="28" t="s">
        <v>9141</v>
      </c>
      <c r="D9006" s="26" t="s">
        <v>45</v>
      </c>
      <c r="E9006" s="31">
        <v>46253.0</v>
      </c>
      <c r="F9006" s="26" t="s">
        <v>46</v>
      </c>
      <c r="G9006" s="26">
        <v>10.0</v>
      </c>
      <c r="I9006" s="26" t="s">
        <v>911</v>
      </c>
      <c r="J9006" s="25" t="str">
        <f t="shared" si="109"/>
        <v>No</v>
      </c>
      <c r="K9006" s="25" t="str">
        <f t="shared" si="110"/>
        <v/>
      </c>
      <c r="L9006" s="25" t="str">
        <f t="shared" si="111"/>
        <v/>
      </c>
      <c r="M9006" s="25"/>
      <c r="O9006" s="25"/>
    </row>
    <row r="9007" ht="15.75" customHeight="1">
      <c r="A9007" s="25" t="str">
        <f>IFERROR(__xludf.DUMMYFUNCTION("IF(B9007="""","""",RIGHT(REGEXREPLACE(B9007&amp;"""",""[^0-9]"",""""),9))"),"716657729")</f>
        <v>716657729</v>
      </c>
      <c r="B9007" s="26" t="s">
        <v>9142</v>
      </c>
      <c r="C9007" s="28" t="s">
        <v>9143</v>
      </c>
      <c r="D9007" s="26" t="s">
        <v>45</v>
      </c>
      <c r="E9007" s="31">
        <v>46253.0</v>
      </c>
      <c r="F9007" s="26" t="s">
        <v>46</v>
      </c>
      <c r="G9007" s="26" t="s">
        <v>6296</v>
      </c>
      <c r="I9007" s="26" t="s">
        <v>911</v>
      </c>
      <c r="J9007" s="25" t="str">
        <f t="shared" si="109"/>
        <v>No</v>
      </c>
      <c r="K9007" s="25" t="str">
        <f t="shared" si="110"/>
        <v/>
      </c>
      <c r="L9007" s="25" t="str">
        <f t="shared" si="111"/>
        <v/>
      </c>
      <c r="M9007" s="25"/>
      <c r="O9007" s="25"/>
    </row>
    <row r="9008" ht="15.75" customHeight="1">
      <c r="A9008" s="25" t="str">
        <f>IFERROR(__xludf.DUMMYFUNCTION("IF(B9008="""","""",RIGHT(REGEXREPLACE(B9008&amp;"""",""[^0-9]"",""""),9))"),"765734407")</f>
        <v>765734407</v>
      </c>
      <c r="B9008" s="26" t="s">
        <v>9144</v>
      </c>
      <c r="C9008" s="28" t="s">
        <v>5115</v>
      </c>
      <c r="D9008" s="26" t="s">
        <v>45</v>
      </c>
      <c r="E9008" s="31">
        <v>46253.0</v>
      </c>
      <c r="F9008" s="26" t="s">
        <v>46</v>
      </c>
      <c r="I9008" s="26" t="s">
        <v>911</v>
      </c>
      <c r="J9008" s="25" t="str">
        <f t="shared" si="109"/>
        <v>Yes - see Previous F-Code</v>
      </c>
      <c r="K9008" s="25" t="str">
        <f t="shared" si="110"/>
        <v/>
      </c>
      <c r="L9008" s="25" t="str">
        <f t="shared" si="111"/>
        <v>F74659</v>
      </c>
      <c r="M9008" s="25"/>
      <c r="O9008" s="25"/>
    </row>
    <row r="9009" ht="15.75" customHeight="1">
      <c r="A9009" s="25" t="str">
        <f>IFERROR(__xludf.DUMMYFUNCTION("IF(B9009="""","""",RIGHT(REGEXREPLACE(B9009&amp;"""",""[^0-9]"",""""),9))"),"724907009")</f>
        <v>724907009</v>
      </c>
      <c r="B9009" s="26" t="s">
        <v>9145</v>
      </c>
      <c r="C9009" s="28" t="s">
        <v>9146</v>
      </c>
      <c r="D9009" s="26" t="s">
        <v>45</v>
      </c>
      <c r="E9009" s="31">
        <v>46253.0</v>
      </c>
      <c r="F9009" s="26" t="s">
        <v>41</v>
      </c>
      <c r="G9009" s="26">
        <v>10.0</v>
      </c>
      <c r="I9009" s="26" t="s">
        <v>911</v>
      </c>
      <c r="J9009" s="25" t="str">
        <f t="shared" si="109"/>
        <v>No</v>
      </c>
      <c r="K9009" s="25" t="str">
        <f t="shared" si="110"/>
        <v/>
      </c>
      <c r="L9009" s="25" t="str">
        <f t="shared" si="111"/>
        <v/>
      </c>
      <c r="M9009" s="25"/>
      <c r="O9009" s="25"/>
    </row>
    <row r="9010" ht="15.75" customHeight="1">
      <c r="A9010" s="25" t="str">
        <f>IFERROR(__xludf.DUMMYFUNCTION("IF(B9010="""","""",RIGHT(REGEXREPLACE(B9010&amp;"""",""[^0-9]"",""""),9))"),"705583692")</f>
        <v>705583692</v>
      </c>
      <c r="B9010" s="26" t="s">
        <v>9147</v>
      </c>
      <c r="C9010" s="28" t="s">
        <v>9148</v>
      </c>
      <c r="D9010" s="26" t="s">
        <v>45</v>
      </c>
      <c r="E9010" s="31">
        <v>46253.0</v>
      </c>
      <c r="F9010" s="26" t="s">
        <v>205</v>
      </c>
      <c r="G9010" s="26">
        <v>10.0</v>
      </c>
      <c r="I9010" s="26" t="s">
        <v>911</v>
      </c>
      <c r="J9010" s="25" t="str">
        <f t="shared" si="109"/>
        <v>No</v>
      </c>
      <c r="K9010" s="25" t="str">
        <f t="shared" si="110"/>
        <v/>
      </c>
      <c r="L9010" s="25" t="str">
        <f t="shared" si="111"/>
        <v/>
      </c>
      <c r="M9010" s="25"/>
      <c r="O9010" s="25"/>
    </row>
    <row r="9011" ht="15.75" customHeight="1">
      <c r="A9011" s="25" t="str">
        <f>IFERROR(__xludf.DUMMYFUNCTION("IF(B9011="""","""",RIGHT(REGEXREPLACE(B9011&amp;"""",""[^0-9]"",""""),9))"),"701359054")</f>
        <v>701359054</v>
      </c>
      <c r="B9011" s="26" t="s">
        <v>9149</v>
      </c>
      <c r="C9011" s="28" t="s">
        <v>9150</v>
      </c>
      <c r="D9011" s="26" t="s">
        <v>45</v>
      </c>
      <c r="E9011" s="31">
        <v>46253.0</v>
      </c>
      <c r="F9011" s="26" t="s">
        <v>46</v>
      </c>
      <c r="G9011" s="26">
        <v>10.0</v>
      </c>
      <c r="H9011" s="26" t="s">
        <v>9151</v>
      </c>
      <c r="I9011" s="26" t="s">
        <v>911</v>
      </c>
      <c r="J9011" s="25" t="str">
        <f t="shared" si="109"/>
        <v>No</v>
      </c>
      <c r="K9011" s="25" t="str">
        <f t="shared" si="110"/>
        <v/>
      </c>
      <c r="L9011" s="25" t="str">
        <f t="shared" si="111"/>
        <v/>
      </c>
      <c r="M9011" s="25"/>
      <c r="O9011" s="25"/>
    </row>
    <row r="9012" ht="15.75" customHeight="1">
      <c r="A9012" s="25" t="str">
        <f>IFERROR(__xludf.DUMMYFUNCTION("IF(B9012="""","""",RIGHT(REGEXREPLACE(B9012&amp;"""",""[^0-9]"",""""),9))"),"788427999")</f>
        <v>788427999</v>
      </c>
      <c r="B9012" s="26" t="s">
        <v>9152</v>
      </c>
      <c r="C9012" s="28" t="s">
        <v>9153</v>
      </c>
      <c r="D9012" s="26" t="s">
        <v>45</v>
      </c>
      <c r="E9012" s="31">
        <v>46253.0</v>
      </c>
      <c r="F9012" s="26" t="s">
        <v>46</v>
      </c>
      <c r="G9012" s="26">
        <v>11.0</v>
      </c>
      <c r="I9012" s="26" t="s">
        <v>911</v>
      </c>
      <c r="J9012" s="25" t="str">
        <f t="shared" si="109"/>
        <v>No</v>
      </c>
      <c r="K9012" s="25" t="str">
        <f t="shared" si="110"/>
        <v/>
      </c>
      <c r="L9012" s="25" t="str">
        <f t="shared" si="111"/>
        <v/>
      </c>
      <c r="M9012" s="25"/>
      <c r="O9012" s="25"/>
    </row>
    <row r="9013" ht="15.75" customHeight="1">
      <c r="A9013" s="25" t="str">
        <f>IFERROR(__xludf.DUMMYFUNCTION("IF(B9013="""","""",RIGHT(REGEXREPLACE(B9013&amp;"""",""[^0-9]"",""""),9))"),"756964911")</f>
        <v>756964911</v>
      </c>
      <c r="B9013" s="26" t="s">
        <v>9154</v>
      </c>
      <c r="C9013" s="28" t="s">
        <v>9155</v>
      </c>
      <c r="D9013" s="26" t="s">
        <v>45</v>
      </c>
      <c r="E9013" s="31">
        <v>46253.0</v>
      </c>
      <c r="F9013" s="26" t="s">
        <v>205</v>
      </c>
      <c r="G9013" s="26" t="s">
        <v>5800</v>
      </c>
      <c r="I9013" s="26" t="s">
        <v>911</v>
      </c>
      <c r="J9013" s="25" t="str">
        <f t="shared" si="109"/>
        <v>No</v>
      </c>
      <c r="K9013" s="25" t="str">
        <f t="shared" si="110"/>
        <v/>
      </c>
      <c r="L9013" s="25" t="str">
        <f t="shared" si="111"/>
        <v/>
      </c>
      <c r="M9013" s="25"/>
      <c r="O9013" s="26" t="s">
        <v>51</v>
      </c>
    </row>
    <row r="9014" ht="15.75" customHeight="1">
      <c r="A9014" s="25" t="str">
        <f>IFERROR(__xludf.DUMMYFUNCTION("IF(B9014="""","""",RIGHT(REGEXREPLACE(B9014&amp;"""",""[^0-9]"",""""),9))"),"774830248")</f>
        <v>774830248</v>
      </c>
      <c r="B9014" s="26" t="s">
        <v>9156</v>
      </c>
      <c r="C9014" s="28" t="s">
        <v>9157</v>
      </c>
      <c r="D9014" s="26" t="s">
        <v>45</v>
      </c>
      <c r="E9014" s="31">
        <v>46254.0</v>
      </c>
      <c r="F9014" s="26" t="s">
        <v>41</v>
      </c>
      <c r="G9014" s="26">
        <v>11.0</v>
      </c>
      <c r="I9014" s="26" t="s">
        <v>911</v>
      </c>
      <c r="J9014" s="25" t="str">
        <f t="shared" si="109"/>
        <v>No</v>
      </c>
      <c r="K9014" s="25" t="str">
        <f t="shared" si="110"/>
        <v/>
      </c>
      <c r="L9014" s="25" t="str">
        <f t="shared" si="111"/>
        <v/>
      </c>
      <c r="M9014" s="25"/>
      <c r="O9014" s="25"/>
    </row>
    <row r="9015" ht="15.75" customHeight="1">
      <c r="A9015" s="25" t="str">
        <f>IFERROR(__xludf.DUMMYFUNCTION("IF(B9015="""","""",RIGHT(REGEXREPLACE(B9015&amp;"""",""[^0-9]"",""""),9))"),"714623042")</f>
        <v>714623042</v>
      </c>
      <c r="B9015" s="26" t="s">
        <v>9158</v>
      </c>
      <c r="C9015" s="28" t="s">
        <v>9159</v>
      </c>
      <c r="D9015" s="26" t="s">
        <v>45</v>
      </c>
      <c r="E9015" s="31">
        <v>46254.0</v>
      </c>
      <c r="F9015" s="26" t="s">
        <v>41</v>
      </c>
      <c r="G9015" s="26">
        <v>11.0</v>
      </c>
      <c r="I9015" s="26" t="s">
        <v>911</v>
      </c>
      <c r="J9015" s="25" t="str">
        <f t="shared" si="109"/>
        <v>No</v>
      </c>
      <c r="K9015" s="25" t="str">
        <f t="shared" si="110"/>
        <v/>
      </c>
      <c r="L9015" s="25" t="str">
        <f t="shared" si="111"/>
        <v/>
      </c>
      <c r="M9015" s="25"/>
      <c r="O9015" s="25"/>
    </row>
    <row r="9016" ht="15.75" customHeight="1">
      <c r="A9016" s="25" t="str">
        <f>IFERROR(__xludf.DUMMYFUNCTION("IF(B9016="""","""",RIGHT(REGEXREPLACE(B9016&amp;"""",""[^0-9]"",""""),9))"),"712972717")</f>
        <v>712972717</v>
      </c>
      <c r="B9016" s="52">
        <v>7.12972717E8</v>
      </c>
      <c r="C9016" s="28" t="s">
        <v>841</v>
      </c>
      <c r="D9016" s="26" t="s">
        <v>64</v>
      </c>
      <c r="E9016" s="31">
        <v>46248.0</v>
      </c>
      <c r="F9016" s="26" t="s">
        <v>41</v>
      </c>
      <c r="H9016" s="26" t="s">
        <v>8436</v>
      </c>
      <c r="I9016" s="26" t="s">
        <v>970</v>
      </c>
      <c r="J9016" s="25" t="str">
        <f t="shared" si="109"/>
        <v>Yes - see Previous F-Code</v>
      </c>
      <c r="K9016" s="25" t="str">
        <f t="shared" si="110"/>
        <v/>
      </c>
      <c r="L9016" s="25" t="str">
        <f t="shared" si="111"/>
        <v>F70614</v>
      </c>
      <c r="M9016" s="25"/>
      <c r="O9016" s="25"/>
    </row>
    <row r="9017" ht="15.75" customHeight="1">
      <c r="A9017" s="25" t="str">
        <f>IFERROR(__xludf.DUMMYFUNCTION("IF(B9017="""","""",RIGHT(REGEXREPLACE(B9017&amp;"""",""[^0-9]"",""""),9))"),"770309642")</f>
        <v>770309642</v>
      </c>
      <c r="B9017" s="52">
        <v>7.70309642E8</v>
      </c>
      <c r="C9017" s="28" t="s">
        <v>9160</v>
      </c>
      <c r="D9017" s="26" t="s">
        <v>64</v>
      </c>
      <c r="E9017" s="31">
        <v>46248.0</v>
      </c>
      <c r="F9017" s="26" t="s">
        <v>41</v>
      </c>
      <c r="I9017" s="26" t="s">
        <v>970</v>
      </c>
      <c r="J9017" s="25" t="str">
        <f t="shared" si="109"/>
        <v>No</v>
      </c>
      <c r="K9017" s="25" t="str">
        <f t="shared" si="110"/>
        <v/>
      </c>
      <c r="L9017" s="25" t="str">
        <f t="shared" si="111"/>
        <v/>
      </c>
      <c r="M9017" s="25"/>
      <c r="O9017" s="25"/>
    </row>
    <row r="9018" ht="15.75" customHeight="1">
      <c r="A9018" s="25" t="str">
        <f>IFERROR(__xludf.DUMMYFUNCTION("IF(B9018="""","""",RIGHT(REGEXREPLACE(B9018&amp;"""",""[^0-9]"",""""),9))"),"701360626")</f>
        <v>701360626</v>
      </c>
      <c r="B9018" s="52">
        <v>7.01360626E8</v>
      </c>
      <c r="C9018" s="28" t="s">
        <v>9161</v>
      </c>
      <c r="D9018" s="26" t="s">
        <v>64</v>
      </c>
      <c r="E9018" s="31">
        <v>46248.0</v>
      </c>
      <c r="F9018" s="26" t="s">
        <v>46</v>
      </c>
      <c r="H9018" s="26" t="s">
        <v>6087</v>
      </c>
      <c r="I9018" s="26" t="s">
        <v>970</v>
      </c>
      <c r="J9018" s="25" t="str">
        <f t="shared" si="109"/>
        <v>No</v>
      </c>
      <c r="K9018" s="25" t="str">
        <f t="shared" si="110"/>
        <v/>
      </c>
      <c r="L9018" s="25" t="str">
        <f t="shared" si="111"/>
        <v/>
      </c>
      <c r="M9018" s="25"/>
      <c r="O9018" s="25"/>
    </row>
    <row r="9019" ht="15.75" customHeight="1">
      <c r="A9019" s="25" t="str">
        <f>IFERROR(__xludf.DUMMYFUNCTION("IF(B9019="""","""",RIGHT(REGEXREPLACE(B9019&amp;"""",""[^0-9]"",""""),9))"),"701445249")</f>
        <v>701445249</v>
      </c>
      <c r="B9019" s="52">
        <v>7.01445249E8</v>
      </c>
      <c r="C9019" s="28" t="s">
        <v>8907</v>
      </c>
      <c r="D9019" s="26" t="s">
        <v>56</v>
      </c>
      <c r="E9019" s="31">
        <v>46248.0</v>
      </c>
      <c r="F9019" s="26" t="s">
        <v>659</v>
      </c>
      <c r="G9019" s="26">
        <v>7.0</v>
      </c>
      <c r="I9019" s="26" t="s">
        <v>970</v>
      </c>
      <c r="J9019" s="25" t="str">
        <f t="shared" si="109"/>
        <v>Yes - see Previous F-Code</v>
      </c>
      <c r="K9019" s="25" t="str">
        <f t="shared" si="110"/>
        <v>DUPLICATE - CHECK</v>
      </c>
      <c r="L9019" s="25" t="str">
        <f t="shared" si="111"/>
        <v>F77559</v>
      </c>
      <c r="M9019" s="25"/>
      <c r="O9019" s="25"/>
    </row>
    <row r="9020" ht="15.75" customHeight="1">
      <c r="A9020" s="25" t="str">
        <f>IFERROR(__xludf.DUMMYFUNCTION("IF(B9020="""","""",RIGHT(REGEXREPLACE(B9020&amp;"""",""[^0-9]"",""""),9))"),"770766830")</f>
        <v>770766830</v>
      </c>
      <c r="B9020" s="52">
        <v>7.7076683E8</v>
      </c>
      <c r="C9020" s="28" t="s">
        <v>8362</v>
      </c>
      <c r="D9020" s="26" t="s">
        <v>45</v>
      </c>
      <c r="E9020" s="31">
        <v>46248.0</v>
      </c>
      <c r="F9020" s="26" t="s">
        <v>46</v>
      </c>
      <c r="H9020" s="26" t="s">
        <v>9162</v>
      </c>
      <c r="I9020" s="26" t="s">
        <v>970</v>
      </c>
      <c r="J9020" s="25" t="str">
        <f t="shared" si="109"/>
        <v>Yes - see Previous F-Code</v>
      </c>
      <c r="K9020" s="25" t="str">
        <f t="shared" si="110"/>
        <v>DUPLICATE - CHECK</v>
      </c>
      <c r="L9020" s="25" t="str">
        <f t="shared" si="111"/>
        <v>F77138</v>
      </c>
      <c r="M9020" s="25"/>
      <c r="O9020" s="25"/>
    </row>
    <row r="9021" ht="15.75" customHeight="1">
      <c r="A9021" s="25" t="str">
        <f>IFERROR(__xludf.DUMMYFUNCTION("IF(B9021="""","""",RIGHT(REGEXREPLACE(B9021&amp;"""",""[^0-9]"",""""),9))"),"772842951")</f>
        <v>772842951</v>
      </c>
      <c r="B9021" s="52">
        <v>7.72842951E8</v>
      </c>
      <c r="C9021" s="28" t="s">
        <v>9163</v>
      </c>
      <c r="D9021" s="26" t="s">
        <v>64</v>
      </c>
      <c r="E9021" s="31">
        <v>46248.0</v>
      </c>
      <c r="F9021" s="26" t="s">
        <v>46</v>
      </c>
      <c r="H9021" s="26" t="s">
        <v>78</v>
      </c>
      <c r="I9021" s="26" t="s">
        <v>970</v>
      </c>
      <c r="J9021" s="25" t="str">
        <f t="shared" si="109"/>
        <v>No</v>
      </c>
      <c r="K9021" s="25" t="str">
        <f t="shared" si="110"/>
        <v/>
      </c>
      <c r="L9021" s="25" t="str">
        <f t="shared" si="111"/>
        <v/>
      </c>
      <c r="M9021" s="25"/>
      <c r="O9021" s="25"/>
    </row>
    <row r="9022" ht="15.75" customHeight="1">
      <c r="A9022" s="25" t="str">
        <f>IFERROR(__xludf.DUMMYFUNCTION("IF(B9022="""","""",RIGHT(REGEXREPLACE(B9022&amp;"""",""[^0-9]"",""""),9))"),"760837263")</f>
        <v>760837263</v>
      </c>
      <c r="B9022" s="52">
        <v>7.60837263E8</v>
      </c>
      <c r="C9022" s="28" t="s">
        <v>1120</v>
      </c>
      <c r="D9022" s="26" t="s">
        <v>45</v>
      </c>
      <c r="E9022" s="31">
        <v>46248.0</v>
      </c>
      <c r="F9022" s="26" t="s">
        <v>41</v>
      </c>
      <c r="I9022" s="26" t="s">
        <v>970</v>
      </c>
      <c r="J9022" s="25" t="str">
        <f t="shared" si="109"/>
        <v>Yes - see Previous F-Code</v>
      </c>
      <c r="K9022" s="25" t="str">
        <f t="shared" si="110"/>
        <v/>
      </c>
      <c r="L9022" s="25" t="str">
        <f t="shared" si="111"/>
        <v>F70860</v>
      </c>
      <c r="M9022" s="25"/>
      <c r="O9022" s="25"/>
    </row>
    <row r="9023" ht="15.75" customHeight="1">
      <c r="A9023" s="25" t="str">
        <f>IFERROR(__xludf.DUMMYFUNCTION("IF(B9023="""","""",RIGHT(REGEXREPLACE(B9023&amp;"""",""[^0-9]"",""""),9))"),"768175067")</f>
        <v>768175067</v>
      </c>
      <c r="B9023" s="52">
        <v>7.68175067E8</v>
      </c>
      <c r="C9023" s="28" t="s">
        <v>9164</v>
      </c>
      <c r="D9023" s="26" t="s">
        <v>64</v>
      </c>
      <c r="E9023" s="31">
        <v>46248.0</v>
      </c>
      <c r="F9023" s="26" t="s">
        <v>46</v>
      </c>
      <c r="I9023" s="26" t="s">
        <v>970</v>
      </c>
      <c r="J9023" s="25" t="str">
        <f t="shared" si="109"/>
        <v>No</v>
      </c>
      <c r="K9023" s="25" t="str">
        <f t="shared" si="110"/>
        <v/>
      </c>
      <c r="L9023" s="25" t="str">
        <f t="shared" si="111"/>
        <v/>
      </c>
      <c r="M9023" s="25"/>
      <c r="O9023" s="25"/>
    </row>
    <row r="9024" ht="15.75" customHeight="1">
      <c r="A9024" s="25" t="str">
        <f>IFERROR(__xludf.DUMMYFUNCTION("IF(B9024="""","""",RIGHT(REGEXREPLACE(B9024&amp;"""",""[^0-9]"",""""),9))"),"711888710")</f>
        <v>711888710</v>
      </c>
      <c r="B9024" s="52">
        <v>7.1188871E8</v>
      </c>
      <c r="C9024" s="28" t="s">
        <v>9165</v>
      </c>
      <c r="D9024" s="26" t="s">
        <v>64</v>
      </c>
      <c r="E9024" s="31">
        <v>46248.0</v>
      </c>
      <c r="F9024" s="26" t="s">
        <v>46</v>
      </c>
      <c r="I9024" s="26" t="s">
        <v>970</v>
      </c>
      <c r="J9024" s="25" t="str">
        <f t="shared" si="109"/>
        <v>No</v>
      </c>
      <c r="K9024" s="25" t="str">
        <f t="shared" si="110"/>
        <v/>
      </c>
      <c r="L9024" s="25" t="str">
        <f t="shared" si="111"/>
        <v/>
      </c>
      <c r="M9024" s="25"/>
      <c r="O9024" s="25"/>
    </row>
    <row r="9025" ht="15.75" customHeight="1">
      <c r="A9025" s="25" t="str">
        <f>IFERROR(__xludf.DUMMYFUNCTION("IF(B9025="""","""",RIGHT(REGEXREPLACE(B9025&amp;"""",""[^0-9]"",""""),9))"),"710315908")</f>
        <v>710315908</v>
      </c>
      <c r="B9025" s="52">
        <v>7.10315908E8</v>
      </c>
      <c r="C9025" s="28" t="s">
        <v>9166</v>
      </c>
      <c r="D9025" s="26" t="s">
        <v>45</v>
      </c>
      <c r="E9025" s="31">
        <v>46248.0</v>
      </c>
      <c r="F9025" s="26" t="s">
        <v>46</v>
      </c>
      <c r="G9025" s="26">
        <v>10.0</v>
      </c>
      <c r="I9025" s="26" t="s">
        <v>970</v>
      </c>
      <c r="J9025" s="25" t="str">
        <f t="shared" si="109"/>
        <v>No</v>
      </c>
      <c r="K9025" s="25" t="str">
        <f t="shared" si="110"/>
        <v/>
      </c>
      <c r="L9025" s="25" t="str">
        <f t="shared" si="111"/>
        <v/>
      </c>
      <c r="M9025" s="25"/>
      <c r="O9025" s="25"/>
    </row>
    <row r="9026" ht="15.75" customHeight="1">
      <c r="A9026" s="25" t="str">
        <f>IFERROR(__xludf.DUMMYFUNCTION("IF(B9026="""","""",RIGHT(REGEXREPLACE(B9026&amp;"""",""[^0-9]"",""""),9))"),"710315908")</f>
        <v>710315908</v>
      </c>
      <c r="B9026" s="52">
        <v>7.10315908E8</v>
      </c>
      <c r="C9026" s="28" t="s">
        <v>9166</v>
      </c>
      <c r="D9026" s="26" t="s">
        <v>64</v>
      </c>
      <c r="E9026" s="31">
        <v>46248.0</v>
      </c>
      <c r="F9026" s="26" t="s">
        <v>46</v>
      </c>
      <c r="H9026" s="26" t="s">
        <v>9167</v>
      </c>
      <c r="I9026" s="26" t="s">
        <v>970</v>
      </c>
      <c r="J9026" s="25" t="str">
        <f t="shared" si="109"/>
        <v>Yes - see Previous F-Code</v>
      </c>
      <c r="K9026" s="25" t="str">
        <f t="shared" si="110"/>
        <v>DUPLICATE - CHECK</v>
      </c>
      <c r="L9026" s="25" t="str">
        <f t="shared" si="111"/>
        <v>F77738</v>
      </c>
      <c r="M9026" s="25"/>
      <c r="O9026" s="25"/>
    </row>
    <row r="9027" ht="15.75" customHeight="1">
      <c r="A9027" s="25" t="str">
        <f>IFERROR(__xludf.DUMMYFUNCTION("IF(B9027="""","""",RIGHT(REGEXREPLACE(B9027&amp;"""",""[^0-9]"",""""),9))"),"713441765")</f>
        <v>713441765</v>
      </c>
      <c r="B9027" s="52">
        <v>7.13441765E8</v>
      </c>
      <c r="C9027" s="28" t="s">
        <v>8362</v>
      </c>
      <c r="D9027" s="26" t="s">
        <v>64</v>
      </c>
      <c r="E9027" s="31">
        <v>46248.0</v>
      </c>
      <c r="F9027" s="26" t="s">
        <v>205</v>
      </c>
      <c r="I9027" s="26" t="s">
        <v>970</v>
      </c>
      <c r="J9027" s="25" t="str">
        <f t="shared" si="109"/>
        <v>No</v>
      </c>
      <c r="K9027" s="25" t="str">
        <f t="shared" si="110"/>
        <v/>
      </c>
      <c r="L9027" s="25" t="str">
        <f t="shared" si="111"/>
        <v/>
      </c>
      <c r="M9027" s="25"/>
      <c r="O9027" s="25"/>
    </row>
    <row r="9028" ht="15.75" customHeight="1">
      <c r="A9028" s="25" t="str">
        <f>IFERROR(__xludf.DUMMYFUNCTION("IF(B9028="""","""",RIGHT(REGEXREPLACE(B9028&amp;"""",""[^0-9]"",""""),9))"),"765366729")</f>
        <v>765366729</v>
      </c>
      <c r="B9028" s="52">
        <v>7.65366729E8</v>
      </c>
      <c r="C9028" s="28" t="s">
        <v>9168</v>
      </c>
      <c r="D9028" s="26" t="s">
        <v>56</v>
      </c>
      <c r="E9028" s="31">
        <v>46248.0</v>
      </c>
      <c r="F9028" s="26" t="s">
        <v>46</v>
      </c>
      <c r="G9028" s="26">
        <v>11.0</v>
      </c>
      <c r="H9028" s="26" t="s">
        <v>8436</v>
      </c>
      <c r="I9028" s="26" t="s">
        <v>970</v>
      </c>
      <c r="J9028" s="25" t="str">
        <f t="shared" si="109"/>
        <v>No</v>
      </c>
      <c r="K9028" s="25" t="str">
        <f t="shared" si="110"/>
        <v/>
      </c>
      <c r="L9028" s="25" t="str">
        <f t="shared" si="111"/>
        <v/>
      </c>
      <c r="M9028" s="25"/>
      <c r="O9028" s="25"/>
    </row>
    <row r="9029" ht="15.75" customHeight="1">
      <c r="A9029" s="25" t="str">
        <f>IFERROR(__xludf.DUMMYFUNCTION("IF(B9029="""","""",RIGHT(REGEXREPLACE(B9029&amp;"""",""[^0-9]"",""""),9))"),"774402174")</f>
        <v>774402174</v>
      </c>
      <c r="B9029" s="52">
        <v>7.74402174E8</v>
      </c>
      <c r="C9029" s="28" t="s">
        <v>9169</v>
      </c>
      <c r="D9029" s="26" t="s">
        <v>64</v>
      </c>
      <c r="E9029" s="31">
        <v>46248.0</v>
      </c>
      <c r="F9029" s="26" t="s">
        <v>205</v>
      </c>
      <c r="I9029" s="26" t="s">
        <v>970</v>
      </c>
      <c r="J9029" s="25" t="str">
        <f t="shared" si="109"/>
        <v>No</v>
      </c>
      <c r="K9029" s="25" t="str">
        <f t="shared" si="110"/>
        <v/>
      </c>
      <c r="L9029" s="25" t="str">
        <f t="shared" si="111"/>
        <v/>
      </c>
      <c r="M9029" s="25"/>
      <c r="O9029" s="25"/>
    </row>
    <row r="9030" ht="15.75" customHeight="1">
      <c r="A9030" s="25" t="str">
        <f>IFERROR(__xludf.DUMMYFUNCTION("IF(B9030="""","""",RIGHT(REGEXREPLACE(B9030&amp;"""",""[^0-9]"",""""),9))"),"777619738")</f>
        <v>777619738</v>
      </c>
      <c r="B9030" s="52">
        <v>7.77619738E8</v>
      </c>
      <c r="C9030" s="28" t="s">
        <v>881</v>
      </c>
      <c r="D9030" s="26" t="s">
        <v>45</v>
      </c>
      <c r="E9030" s="31">
        <v>46248.0</v>
      </c>
      <c r="F9030" s="26" t="s">
        <v>41</v>
      </c>
      <c r="I9030" s="26" t="s">
        <v>970</v>
      </c>
      <c r="J9030" s="25" t="str">
        <f t="shared" si="109"/>
        <v>Yes - see Previous F-Code</v>
      </c>
      <c r="K9030" s="25" t="str">
        <f t="shared" si="110"/>
        <v/>
      </c>
      <c r="L9030" s="25" t="str">
        <f t="shared" si="111"/>
        <v>F70646</v>
      </c>
      <c r="M9030" s="25"/>
      <c r="O9030" s="25"/>
    </row>
    <row r="9031" ht="15.75" customHeight="1">
      <c r="A9031" s="25" t="str">
        <f>IFERROR(__xludf.DUMMYFUNCTION("IF(B9031="""","""",RIGHT(REGEXREPLACE(B9031&amp;"""",""[^0-9]"",""""),9))"),"771293122")</f>
        <v>771293122</v>
      </c>
      <c r="B9031" s="52">
        <v>7.71293122E8</v>
      </c>
      <c r="C9031" s="28" t="s">
        <v>9170</v>
      </c>
      <c r="D9031" s="26" t="s">
        <v>56</v>
      </c>
      <c r="E9031" s="31">
        <v>46248.0</v>
      </c>
      <c r="F9031" s="26" t="s">
        <v>46</v>
      </c>
      <c r="G9031" s="26">
        <v>10.0</v>
      </c>
      <c r="H9031" s="26" t="s">
        <v>1447</v>
      </c>
      <c r="I9031" s="26" t="s">
        <v>970</v>
      </c>
      <c r="J9031" s="25" t="str">
        <f t="shared" si="109"/>
        <v>No</v>
      </c>
      <c r="K9031" s="25" t="str">
        <f t="shared" si="110"/>
        <v/>
      </c>
      <c r="L9031" s="25" t="str">
        <f t="shared" si="111"/>
        <v/>
      </c>
      <c r="M9031" s="25"/>
      <c r="O9031" s="25"/>
    </row>
    <row r="9032" ht="15.75" customHeight="1">
      <c r="A9032" s="25" t="str">
        <f>IFERROR(__xludf.DUMMYFUNCTION("IF(B9032="""","""",RIGHT(REGEXREPLACE(B9032&amp;"""",""[^0-9]"",""""),9))"),"766018316")</f>
        <v>766018316</v>
      </c>
      <c r="B9032" s="52">
        <v>7.66018316E8</v>
      </c>
      <c r="C9032" s="28" t="s">
        <v>9171</v>
      </c>
      <c r="D9032" s="26" t="s">
        <v>64</v>
      </c>
      <c r="E9032" s="31">
        <v>46248.0</v>
      </c>
      <c r="F9032" s="26" t="s">
        <v>46</v>
      </c>
      <c r="G9032" s="26">
        <v>11.0</v>
      </c>
      <c r="I9032" s="26" t="s">
        <v>970</v>
      </c>
      <c r="J9032" s="25" t="str">
        <f t="shared" si="109"/>
        <v>No</v>
      </c>
      <c r="K9032" s="25" t="str">
        <f t="shared" si="110"/>
        <v/>
      </c>
      <c r="L9032" s="25" t="str">
        <f t="shared" si="111"/>
        <v/>
      </c>
      <c r="M9032" s="25"/>
      <c r="O9032" s="25"/>
    </row>
    <row r="9033" ht="15.75" customHeight="1">
      <c r="A9033" s="25" t="str">
        <f>IFERROR(__xludf.DUMMYFUNCTION("IF(B9033="""","""",RIGHT(REGEXREPLACE(B9033&amp;"""",""[^0-9]"",""""),9))"),"703504010")</f>
        <v>703504010</v>
      </c>
      <c r="B9033" s="52">
        <v>7.0350401E8</v>
      </c>
      <c r="C9033" s="28" t="s">
        <v>9172</v>
      </c>
      <c r="D9033" s="26" t="s">
        <v>45</v>
      </c>
      <c r="E9033" s="31">
        <v>46248.0</v>
      </c>
      <c r="F9033" s="26" t="s">
        <v>46</v>
      </c>
      <c r="G9033" s="26">
        <v>11.0</v>
      </c>
      <c r="I9033" s="26" t="s">
        <v>970</v>
      </c>
      <c r="J9033" s="25" t="str">
        <f t="shared" si="109"/>
        <v>No</v>
      </c>
      <c r="K9033" s="25" t="str">
        <f t="shared" si="110"/>
        <v/>
      </c>
      <c r="L9033" s="25" t="str">
        <f t="shared" si="111"/>
        <v/>
      </c>
      <c r="M9033" s="25"/>
      <c r="O9033" s="25"/>
    </row>
    <row r="9034" ht="15.75" customHeight="1">
      <c r="A9034" s="25" t="str">
        <f>IFERROR(__xludf.DUMMYFUNCTION("IF(B9034="""","""",RIGHT(REGEXREPLACE(B9034&amp;"""",""[^0-9]"",""""),9))"),"717692734")</f>
        <v>717692734</v>
      </c>
      <c r="B9034" s="52">
        <v>7.17692734E8</v>
      </c>
      <c r="C9034" s="28" t="s">
        <v>9173</v>
      </c>
      <c r="D9034" s="26" t="s">
        <v>45</v>
      </c>
      <c r="E9034" s="31">
        <v>46248.0</v>
      </c>
      <c r="F9034" s="26" t="s">
        <v>125</v>
      </c>
      <c r="I9034" s="26" t="s">
        <v>970</v>
      </c>
      <c r="J9034" s="25" t="str">
        <f t="shared" si="109"/>
        <v>No</v>
      </c>
      <c r="K9034" s="25" t="str">
        <f t="shared" si="110"/>
        <v/>
      </c>
      <c r="L9034" s="25" t="str">
        <f t="shared" si="111"/>
        <v/>
      </c>
      <c r="M9034" s="25"/>
      <c r="O9034" s="25"/>
    </row>
    <row r="9035" ht="15.75" customHeight="1">
      <c r="A9035" s="25" t="str">
        <f>IFERROR(__xludf.DUMMYFUNCTION("IF(B9035="""","""",RIGHT(REGEXREPLACE(B9035&amp;"""",""[^0-9]"",""""),9))"),"779035892")</f>
        <v>779035892</v>
      </c>
      <c r="B9035" s="52">
        <v>7.79035892E8</v>
      </c>
      <c r="C9035" s="28" t="s">
        <v>9174</v>
      </c>
      <c r="D9035" s="26" t="s">
        <v>56</v>
      </c>
      <c r="E9035" s="31">
        <v>46248.0</v>
      </c>
      <c r="F9035" s="26" t="s">
        <v>46</v>
      </c>
      <c r="H9035" s="26" t="s">
        <v>140</v>
      </c>
      <c r="I9035" s="26" t="s">
        <v>970</v>
      </c>
      <c r="J9035" s="25" t="str">
        <f t="shared" si="109"/>
        <v>No</v>
      </c>
      <c r="K9035" s="25" t="str">
        <f t="shared" si="110"/>
        <v/>
      </c>
      <c r="L9035" s="25" t="str">
        <f t="shared" si="111"/>
        <v/>
      </c>
      <c r="M9035" s="25"/>
      <c r="O9035" s="25"/>
    </row>
    <row r="9036" ht="15.75" customHeight="1">
      <c r="A9036" s="25" t="str">
        <f>IFERROR(__xludf.DUMMYFUNCTION("IF(B9036="""","""",RIGHT(REGEXREPLACE(B9036&amp;"""",""[^0-9]"",""""),9))"),"706681783")</f>
        <v>706681783</v>
      </c>
      <c r="B9036" s="52">
        <v>7.06681783E8</v>
      </c>
      <c r="C9036" s="28" t="s">
        <v>9175</v>
      </c>
      <c r="D9036" s="26" t="s">
        <v>64</v>
      </c>
      <c r="E9036" s="31">
        <v>46248.0</v>
      </c>
      <c r="F9036" s="26" t="s">
        <v>46</v>
      </c>
      <c r="G9036" s="26">
        <v>10.0</v>
      </c>
      <c r="I9036" s="26" t="s">
        <v>970</v>
      </c>
      <c r="J9036" s="25" t="str">
        <f t="shared" si="109"/>
        <v>No</v>
      </c>
      <c r="K9036" s="25" t="str">
        <f t="shared" si="110"/>
        <v/>
      </c>
      <c r="L9036" s="25" t="str">
        <f t="shared" si="111"/>
        <v/>
      </c>
      <c r="M9036" s="25"/>
      <c r="O9036" s="25"/>
    </row>
    <row r="9037" ht="15.75" customHeight="1">
      <c r="A9037" s="25" t="str">
        <f>IFERROR(__xludf.DUMMYFUNCTION("IF(B9037="""","""",RIGHT(REGEXREPLACE(B9037&amp;"""",""[^0-9]"",""""),9))"),"762547600")</f>
        <v>762547600</v>
      </c>
      <c r="B9037" s="52">
        <v>7.625476E8</v>
      </c>
      <c r="C9037" s="28" t="s">
        <v>9176</v>
      </c>
      <c r="D9037" s="26" t="s">
        <v>56</v>
      </c>
      <c r="E9037" s="31">
        <v>46248.0</v>
      </c>
      <c r="F9037" s="26" t="s">
        <v>205</v>
      </c>
      <c r="H9037" s="26" t="s">
        <v>8436</v>
      </c>
      <c r="I9037" s="26" t="s">
        <v>970</v>
      </c>
      <c r="J9037" s="25" t="str">
        <f t="shared" si="109"/>
        <v>No</v>
      </c>
      <c r="K9037" s="25" t="str">
        <f t="shared" si="110"/>
        <v/>
      </c>
      <c r="L9037" s="25" t="str">
        <f t="shared" si="111"/>
        <v/>
      </c>
      <c r="M9037" s="25"/>
      <c r="O9037" s="25"/>
    </row>
    <row r="9038" ht="15.75" customHeight="1">
      <c r="A9038" s="25" t="str">
        <f>IFERROR(__xludf.DUMMYFUNCTION("IF(B9038="""","""",RIGHT(REGEXREPLACE(B9038&amp;"""",""[^0-9]"",""""),9))"),"760990180")</f>
        <v>760990180</v>
      </c>
      <c r="B9038" s="52">
        <v>7.6099018E8</v>
      </c>
      <c r="C9038" s="28" t="s">
        <v>9177</v>
      </c>
      <c r="D9038" s="26" t="s">
        <v>45</v>
      </c>
      <c r="E9038" s="31">
        <v>46248.0</v>
      </c>
      <c r="F9038" s="26" t="s">
        <v>46</v>
      </c>
      <c r="G9038" s="26" t="s">
        <v>9178</v>
      </c>
      <c r="H9038" s="26" t="s">
        <v>9179</v>
      </c>
      <c r="I9038" s="26" t="s">
        <v>970</v>
      </c>
      <c r="J9038" s="25" t="str">
        <f t="shared" si="109"/>
        <v>No</v>
      </c>
      <c r="K9038" s="25" t="str">
        <f t="shared" si="110"/>
        <v/>
      </c>
      <c r="L9038" s="25" t="str">
        <f t="shared" si="111"/>
        <v/>
      </c>
      <c r="M9038" s="25"/>
      <c r="O9038" s="25"/>
    </row>
    <row r="9039" ht="15.75" customHeight="1">
      <c r="A9039" s="25" t="str">
        <f>IFERROR(__xludf.DUMMYFUNCTION("IF(B9039="""","""",RIGHT(REGEXREPLACE(B9039&amp;"""",""[^0-9]"",""""),9))"),"705363131")</f>
        <v>705363131</v>
      </c>
      <c r="B9039" s="52">
        <v>7.05363131E8</v>
      </c>
      <c r="C9039" s="28" t="s">
        <v>9180</v>
      </c>
      <c r="D9039" s="26" t="s">
        <v>64</v>
      </c>
      <c r="E9039" s="31">
        <v>46248.0</v>
      </c>
      <c r="F9039" s="26" t="s">
        <v>41</v>
      </c>
      <c r="I9039" s="26" t="s">
        <v>970</v>
      </c>
      <c r="J9039" s="25" t="str">
        <f t="shared" si="109"/>
        <v>No</v>
      </c>
      <c r="K9039" s="25" t="str">
        <f t="shared" si="110"/>
        <v/>
      </c>
      <c r="L9039" s="25" t="str">
        <f t="shared" si="111"/>
        <v/>
      </c>
      <c r="M9039" s="25"/>
      <c r="O9039" s="25"/>
    </row>
    <row r="9040" ht="15.75" customHeight="1">
      <c r="A9040" s="25" t="str">
        <f>IFERROR(__xludf.DUMMYFUNCTION("IF(B9040="""","""",RIGHT(REGEXREPLACE(B9040&amp;"""",""[^0-9]"",""""),9))"),"775399282")</f>
        <v>775399282</v>
      </c>
      <c r="B9040" s="52">
        <v>7.75399282E8</v>
      </c>
      <c r="C9040" s="28" t="s">
        <v>9181</v>
      </c>
      <c r="D9040" s="26" t="s">
        <v>56</v>
      </c>
      <c r="E9040" s="31">
        <v>46248.0</v>
      </c>
      <c r="F9040" s="26" t="s">
        <v>659</v>
      </c>
      <c r="I9040" s="26" t="s">
        <v>970</v>
      </c>
      <c r="J9040" s="25" t="str">
        <f t="shared" si="109"/>
        <v>No</v>
      </c>
      <c r="K9040" s="25" t="str">
        <f t="shared" si="110"/>
        <v/>
      </c>
      <c r="L9040" s="25" t="str">
        <f t="shared" si="111"/>
        <v/>
      </c>
      <c r="M9040" s="25"/>
      <c r="O9040" s="25"/>
    </row>
    <row r="9041" ht="15.75" customHeight="1">
      <c r="A9041" s="25" t="str">
        <f>IFERROR(__xludf.DUMMYFUNCTION("IF(B9041="""","""",RIGHT(REGEXREPLACE(B9041&amp;"""",""[^0-9]"",""""),9))"),"716255912")</f>
        <v>716255912</v>
      </c>
      <c r="B9041" s="52">
        <v>7.16255912E8</v>
      </c>
      <c r="C9041" s="28" t="s">
        <v>9182</v>
      </c>
      <c r="D9041" s="26" t="s">
        <v>45</v>
      </c>
      <c r="E9041" s="31">
        <v>46248.0</v>
      </c>
      <c r="F9041" s="26" t="s">
        <v>46</v>
      </c>
      <c r="G9041" s="26">
        <v>10.0</v>
      </c>
      <c r="H9041" s="26" t="s">
        <v>819</v>
      </c>
      <c r="I9041" s="26" t="s">
        <v>970</v>
      </c>
      <c r="J9041" s="25" t="str">
        <f t="shared" si="109"/>
        <v>No</v>
      </c>
      <c r="K9041" s="25" t="str">
        <f t="shared" si="110"/>
        <v/>
      </c>
      <c r="L9041" s="25" t="str">
        <f t="shared" si="111"/>
        <v/>
      </c>
      <c r="M9041" s="25"/>
      <c r="O9041" s="25"/>
    </row>
    <row r="9042" ht="15.75" customHeight="1">
      <c r="A9042" s="25" t="str">
        <f>IFERROR(__xludf.DUMMYFUNCTION("IF(B9042="""","""",RIGHT(REGEXREPLACE(B9042&amp;"""",""[^0-9]"",""""),9))"),"722166124")</f>
        <v>722166124</v>
      </c>
      <c r="B9042" s="52">
        <v>7.22166124E8</v>
      </c>
      <c r="C9042" s="28" t="s">
        <v>9183</v>
      </c>
      <c r="D9042" s="26" t="s">
        <v>64</v>
      </c>
      <c r="E9042" s="31">
        <v>46248.0</v>
      </c>
      <c r="F9042" s="26" t="s">
        <v>41</v>
      </c>
      <c r="I9042" s="26" t="s">
        <v>970</v>
      </c>
      <c r="J9042" s="25" t="str">
        <f t="shared" si="109"/>
        <v>No</v>
      </c>
      <c r="K9042" s="25" t="str">
        <f t="shared" si="110"/>
        <v/>
      </c>
      <c r="L9042" s="25" t="str">
        <f t="shared" si="111"/>
        <v/>
      </c>
      <c r="M9042" s="25"/>
      <c r="O9042" s="25"/>
    </row>
    <row r="9043" ht="15.75" customHeight="1">
      <c r="A9043" s="25" t="str">
        <f>IFERROR(__xludf.DUMMYFUNCTION("IF(B9043="""","""",RIGHT(REGEXREPLACE(B9043&amp;"""",""[^0-9]"",""""),9))"),"771559906")</f>
        <v>771559906</v>
      </c>
      <c r="B9043" s="52">
        <v>7.71559906E8</v>
      </c>
      <c r="C9043" s="28" t="s">
        <v>9184</v>
      </c>
      <c r="D9043" s="26" t="s">
        <v>56</v>
      </c>
      <c r="E9043" s="31">
        <v>46252.0</v>
      </c>
      <c r="F9043" s="26" t="s">
        <v>205</v>
      </c>
      <c r="I9043" s="26" t="s">
        <v>970</v>
      </c>
      <c r="J9043" s="25" t="str">
        <f t="shared" si="109"/>
        <v>No</v>
      </c>
      <c r="K9043" s="25" t="str">
        <f t="shared" si="110"/>
        <v/>
      </c>
      <c r="L9043" s="25" t="str">
        <f t="shared" si="111"/>
        <v/>
      </c>
      <c r="M9043" s="25"/>
      <c r="O9043" s="25"/>
    </row>
    <row r="9044" ht="15.75" customHeight="1">
      <c r="A9044" s="25" t="str">
        <f>IFERROR(__xludf.DUMMYFUNCTION("IF(B9044="""","""",RIGHT(REGEXREPLACE(B9044&amp;"""",""[^0-9]"",""""),9))"),"778283464")</f>
        <v>778283464</v>
      </c>
      <c r="B9044" s="52">
        <v>7.78283464E8</v>
      </c>
      <c r="C9044" s="28" t="s">
        <v>9185</v>
      </c>
      <c r="D9044" s="26" t="s">
        <v>64</v>
      </c>
      <c r="E9044" s="31">
        <v>46248.0</v>
      </c>
      <c r="F9044" s="26" t="s">
        <v>41</v>
      </c>
      <c r="I9044" s="26" t="s">
        <v>970</v>
      </c>
      <c r="J9044" s="25" t="str">
        <f t="shared" si="109"/>
        <v>No</v>
      </c>
      <c r="K9044" s="25" t="str">
        <f t="shared" si="110"/>
        <v/>
      </c>
      <c r="L9044" s="25" t="str">
        <f t="shared" si="111"/>
        <v/>
      </c>
      <c r="M9044" s="25"/>
      <c r="O9044" s="25"/>
    </row>
    <row r="9045" ht="15.75" customHeight="1">
      <c r="A9045" s="25" t="str">
        <f>IFERROR(__xludf.DUMMYFUNCTION("IF(B9045="""","""",RIGHT(REGEXREPLACE(B9045&amp;"""",""[^0-9]"",""""),9))"),"774759305")</f>
        <v>774759305</v>
      </c>
      <c r="B9045" s="52">
        <v>7.74759305E8</v>
      </c>
      <c r="C9045" s="28" t="s">
        <v>9186</v>
      </c>
      <c r="D9045" s="26" t="s">
        <v>56</v>
      </c>
      <c r="E9045" s="31">
        <v>46248.0</v>
      </c>
      <c r="F9045" s="26" t="s">
        <v>659</v>
      </c>
      <c r="G9045" s="26">
        <v>10.0</v>
      </c>
      <c r="H9045" s="26" t="s">
        <v>8436</v>
      </c>
      <c r="I9045" s="26" t="s">
        <v>970</v>
      </c>
      <c r="J9045" s="25" t="str">
        <f t="shared" si="109"/>
        <v>No</v>
      </c>
      <c r="K9045" s="25" t="str">
        <f t="shared" si="110"/>
        <v/>
      </c>
      <c r="L9045" s="25" t="str">
        <f t="shared" si="111"/>
        <v/>
      </c>
      <c r="M9045" s="25"/>
      <c r="O9045" s="25"/>
    </row>
    <row r="9046" ht="15.75" customHeight="1">
      <c r="A9046" s="25" t="str">
        <f>IFERROR(__xludf.DUMMYFUNCTION("IF(B9046="""","""",RIGHT(REGEXREPLACE(B9046&amp;"""",""[^0-9]"",""""),9))"),"766609071")</f>
        <v>766609071</v>
      </c>
      <c r="B9046" s="52">
        <v>7.66609071E8</v>
      </c>
      <c r="C9046" s="28" t="s">
        <v>9187</v>
      </c>
      <c r="D9046" s="26" t="s">
        <v>45</v>
      </c>
      <c r="E9046" s="31">
        <v>46248.0</v>
      </c>
      <c r="F9046" s="26" t="s">
        <v>46</v>
      </c>
      <c r="H9046" s="26" t="s">
        <v>253</v>
      </c>
      <c r="I9046" s="26" t="s">
        <v>970</v>
      </c>
      <c r="J9046" s="25" t="str">
        <f t="shared" si="109"/>
        <v>No</v>
      </c>
      <c r="K9046" s="25" t="str">
        <f t="shared" si="110"/>
        <v/>
      </c>
      <c r="L9046" s="25" t="str">
        <f t="shared" si="111"/>
        <v/>
      </c>
      <c r="M9046" s="25"/>
      <c r="O9046" s="25"/>
    </row>
    <row r="9047" ht="15.75" customHeight="1">
      <c r="A9047" s="25" t="str">
        <f>IFERROR(__xludf.DUMMYFUNCTION("IF(B9047="""","""",RIGHT(REGEXREPLACE(B9047&amp;"""",""[^0-9]"",""""),9))"),"779276261")</f>
        <v>779276261</v>
      </c>
      <c r="B9047" s="52">
        <v>7.79276261E8</v>
      </c>
      <c r="C9047" s="28" t="s">
        <v>9188</v>
      </c>
      <c r="D9047" s="26" t="s">
        <v>64</v>
      </c>
      <c r="E9047" s="31">
        <v>46248.0</v>
      </c>
      <c r="F9047" s="26" t="s">
        <v>46</v>
      </c>
      <c r="H9047" s="26" t="s">
        <v>8436</v>
      </c>
      <c r="I9047" s="26" t="s">
        <v>970</v>
      </c>
      <c r="J9047" s="25" t="str">
        <f t="shared" si="109"/>
        <v>No</v>
      </c>
      <c r="K9047" s="25" t="str">
        <f t="shared" si="110"/>
        <v/>
      </c>
      <c r="L9047" s="25" t="str">
        <f t="shared" si="111"/>
        <v/>
      </c>
      <c r="M9047" s="25"/>
      <c r="O9047" s="25"/>
    </row>
    <row r="9048" ht="15.75" customHeight="1">
      <c r="A9048" s="25" t="str">
        <f>IFERROR(__xludf.DUMMYFUNCTION("IF(B9048="""","""",RIGHT(REGEXREPLACE(B9048&amp;"""",""[^0-9]"",""""),9))"),"725549669")</f>
        <v>725549669</v>
      </c>
      <c r="B9048" s="52">
        <v>7.25549669E8</v>
      </c>
      <c r="C9048" s="28" t="s">
        <v>9189</v>
      </c>
      <c r="D9048" s="26" t="s">
        <v>64</v>
      </c>
      <c r="E9048" s="31">
        <v>46248.0</v>
      </c>
      <c r="F9048" s="26" t="s">
        <v>41</v>
      </c>
      <c r="G9048" s="26">
        <v>7.0</v>
      </c>
      <c r="I9048" s="26" t="s">
        <v>970</v>
      </c>
      <c r="J9048" s="25" t="str">
        <f t="shared" si="109"/>
        <v>No</v>
      </c>
      <c r="K9048" s="25" t="str">
        <f t="shared" si="110"/>
        <v/>
      </c>
      <c r="L9048" s="25" t="str">
        <f t="shared" si="111"/>
        <v/>
      </c>
      <c r="M9048" s="25"/>
      <c r="O9048" s="25"/>
    </row>
    <row r="9049" ht="15.75" customHeight="1">
      <c r="A9049" s="25" t="str">
        <f>IFERROR(__xludf.DUMMYFUNCTION("IF(B9049="""","""",RIGHT(REGEXREPLACE(B9049&amp;"""",""[^0-9]"",""""),9))"),"712683404")</f>
        <v>712683404</v>
      </c>
      <c r="B9049" s="52">
        <v>7.12683404E8</v>
      </c>
      <c r="C9049" s="28" t="s">
        <v>9190</v>
      </c>
      <c r="D9049" s="26" t="s">
        <v>56</v>
      </c>
      <c r="E9049" s="31">
        <v>46248.0</v>
      </c>
      <c r="F9049" s="26" t="s">
        <v>46</v>
      </c>
      <c r="G9049" s="26">
        <v>10.0</v>
      </c>
      <c r="I9049" s="26" t="s">
        <v>970</v>
      </c>
      <c r="J9049" s="25" t="str">
        <f t="shared" si="109"/>
        <v>No</v>
      </c>
      <c r="K9049" s="25" t="str">
        <f t="shared" si="110"/>
        <v/>
      </c>
      <c r="L9049" s="25" t="str">
        <f t="shared" si="111"/>
        <v/>
      </c>
      <c r="M9049" s="25"/>
      <c r="O9049" s="25"/>
    </row>
    <row r="9050" ht="15.75" customHeight="1">
      <c r="A9050" s="25" t="str">
        <f>IFERROR(__xludf.DUMMYFUNCTION("IF(B9050="""","""",RIGHT(REGEXREPLACE(B9050&amp;"""",""[^0-9]"",""""),9))"),"762992915")</f>
        <v>762992915</v>
      </c>
      <c r="B9050" s="52">
        <v>7.62992915E8</v>
      </c>
      <c r="C9050" s="28" t="s">
        <v>146</v>
      </c>
      <c r="D9050" s="26" t="s">
        <v>64</v>
      </c>
      <c r="E9050" s="31">
        <v>46248.0</v>
      </c>
      <c r="F9050" s="26" t="s">
        <v>46</v>
      </c>
      <c r="G9050" s="26">
        <v>11.0</v>
      </c>
      <c r="I9050" s="26" t="s">
        <v>970</v>
      </c>
      <c r="J9050" s="25" t="str">
        <f t="shared" si="109"/>
        <v>Yes - see Previous F-Code</v>
      </c>
      <c r="K9050" s="25" t="str">
        <f t="shared" si="110"/>
        <v/>
      </c>
      <c r="L9050" s="25" t="str">
        <f t="shared" si="111"/>
        <v>F70061</v>
      </c>
      <c r="M9050" s="25"/>
      <c r="O9050" s="25"/>
    </row>
    <row r="9051" ht="15.75" customHeight="1">
      <c r="A9051" s="25" t="str">
        <f>IFERROR(__xludf.DUMMYFUNCTION("IF(B9051="""","""",RIGHT(REGEXREPLACE(B9051&amp;"""",""[^0-9]"",""""),9))"),"762562077")</f>
        <v>762562077</v>
      </c>
      <c r="B9051" s="124">
        <v>7.62562077E8</v>
      </c>
      <c r="C9051" s="28" t="s">
        <v>9191</v>
      </c>
      <c r="D9051" s="26" t="s">
        <v>45</v>
      </c>
      <c r="E9051" s="31">
        <v>46248.0</v>
      </c>
      <c r="F9051" s="26" t="s">
        <v>46</v>
      </c>
      <c r="H9051" s="26" t="s">
        <v>9192</v>
      </c>
      <c r="I9051" s="26" t="s">
        <v>970</v>
      </c>
      <c r="J9051" s="25" t="str">
        <f t="shared" si="109"/>
        <v>No</v>
      </c>
      <c r="K9051" s="25" t="str">
        <f t="shared" si="110"/>
        <v/>
      </c>
      <c r="L9051" s="25" t="str">
        <f t="shared" si="111"/>
        <v/>
      </c>
      <c r="M9051" s="25"/>
      <c r="O9051" s="25"/>
    </row>
    <row r="9052" ht="15.75" customHeight="1">
      <c r="A9052" s="25" t="str">
        <f>IFERROR(__xludf.DUMMYFUNCTION("IF(B9052="""","""",RIGHT(REGEXREPLACE(B9052&amp;"""",""[^0-9]"",""""),9))"),"774623292")</f>
        <v>774623292</v>
      </c>
      <c r="B9052" s="52">
        <v>7.74623292E8</v>
      </c>
      <c r="C9052" s="28" t="s">
        <v>4310</v>
      </c>
      <c r="D9052" s="26" t="s">
        <v>64</v>
      </c>
      <c r="E9052" s="31">
        <v>46248.0</v>
      </c>
      <c r="F9052" s="26" t="s">
        <v>46</v>
      </c>
      <c r="G9052" s="26">
        <v>10.0</v>
      </c>
      <c r="I9052" s="26" t="s">
        <v>970</v>
      </c>
      <c r="J9052" s="25" t="str">
        <f t="shared" si="109"/>
        <v>Yes - see Previous F-Code</v>
      </c>
      <c r="K9052" s="25" t="str">
        <f t="shared" si="110"/>
        <v/>
      </c>
      <c r="L9052" s="25" t="str">
        <f t="shared" si="111"/>
        <v>F73937</v>
      </c>
      <c r="M9052" s="25"/>
      <c r="O9052" s="25"/>
    </row>
    <row r="9053" ht="15.75" customHeight="1">
      <c r="A9053" s="25" t="str">
        <f>IFERROR(__xludf.DUMMYFUNCTION("IF(B9053="""","""",RIGHT(REGEXREPLACE(B9053&amp;"""",""[^0-9]"",""""),9))"),"783845785")</f>
        <v>783845785</v>
      </c>
      <c r="B9053" s="52">
        <v>7.83845785E8</v>
      </c>
      <c r="C9053" s="28" t="s">
        <v>9193</v>
      </c>
      <c r="D9053" s="26" t="s">
        <v>45</v>
      </c>
      <c r="E9053" s="31">
        <v>46252.0</v>
      </c>
      <c r="F9053" s="26" t="s">
        <v>46</v>
      </c>
      <c r="G9053" s="26">
        <v>10.0</v>
      </c>
      <c r="I9053" s="26" t="s">
        <v>970</v>
      </c>
      <c r="J9053" s="25" t="str">
        <f t="shared" si="109"/>
        <v>No</v>
      </c>
      <c r="K9053" s="25" t="str">
        <f t="shared" si="110"/>
        <v/>
      </c>
      <c r="L9053" s="25" t="str">
        <f t="shared" si="111"/>
        <v/>
      </c>
      <c r="M9053" s="25"/>
      <c r="O9053" s="25"/>
    </row>
    <row r="9054" ht="15.75" customHeight="1">
      <c r="A9054" s="25" t="str">
        <f>IFERROR(__xludf.DUMMYFUNCTION("IF(B9054="""","""",RIGHT(REGEXREPLACE(B9054&amp;"""",""[^0-9]"",""""),9))"),"715523008")</f>
        <v>715523008</v>
      </c>
      <c r="B9054" s="52">
        <v>7.15523008E8</v>
      </c>
      <c r="C9054" s="28" t="s">
        <v>9194</v>
      </c>
      <c r="D9054" s="26" t="s">
        <v>64</v>
      </c>
      <c r="E9054" s="31">
        <v>46248.0</v>
      </c>
      <c r="F9054" s="26" t="s">
        <v>205</v>
      </c>
      <c r="I9054" s="26" t="s">
        <v>970</v>
      </c>
      <c r="J9054" s="25" t="str">
        <f t="shared" si="109"/>
        <v>No</v>
      </c>
      <c r="K9054" s="25" t="str">
        <f t="shared" si="110"/>
        <v/>
      </c>
      <c r="L9054" s="25" t="str">
        <f t="shared" si="111"/>
        <v/>
      </c>
      <c r="M9054" s="25"/>
      <c r="O9054" s="25"/>
    </row>
    <row r="9055" ht="15.75" customHeight="1">
      <c r="A9055" s="25" t="str">
        <f>IFERROR(__xludf.DUMMYFUNCTION("IF(B9055="""","""",RIGHT(REGEXREPLACE(B9055&amp;"""",""[^0-9]"",""""),9))"),"718408121")</f>
        <v>718408121</v>
      </c>
      <c r="B9055" s="52">
        <v>7.18408121E8</v>
      </c>
      <c r="C9055" s="28" t="s">
        <v>9194</v>
      </c>
      <c r="D9055" s="26" t="s">
        <v>64</v>
      </c>
      <c r="E9055" s="31">
        <v>46248.0</v>
      </c>
      <c r="F9055" s="26" t="s">
        <v>205</v>
      </c>
      <c r="I9055" s="26" t="s">
        <v>970</v>
      </c>
      <c r="J9055" s="25" t="str">
        <f t="shared" si="109"/>
        <v>No</v>
      </c>
      <c r="K9055" s="25" t="str">
        <f t="shared" si="110"/>
        <v/>
      </c>
      <c r="L9055" s="25" t="str">
        <f t="shared" si="111"/>
        <v/>
      </c>
      <c r="M9055" s="25"/>
      <c r="O9055" s="25"/>
    </row>
    <row r="9056" ht="15.75" customHeight="1">
      <c r="A9056" s="25" t="str">
        <f>IFERROR(__xludf.DUMMYFUNCTION("IF(B9056="""","""",RIGHT(REGEXREPLACE(B9056&amp;"""",""[^0-9]"",""""),9))"),"752247229")</f>
        <v>752247229</v>
      </c>
      <c r="B9056" s="52">
        <v>7.52247229E8</v>
      </c>
      <c r="C9056" s="28" t="s">
        <v>9195</v>
      </c>
      <c r="D9056" s="26" t="s">
        <v>64</v>
      </c>
      <c r="E9056" s="31">
        <v>46248.0</v>
      </c>
      <c r="F9056" s="26" t="s">
        <v>46</v>
      </c>
      <c r="G9056" s="26">
        <v>11.0</v>
      </c>
      <c r="I9056" s="26" t="s">
        <v>970</v>
      </c>
      <c r="J9056" s="25" t="str">
        <f t="shared" si="109"/>
        <v>No</v>
      </c>
      <c r="K9056" s="25" t="str">
        <f t="shared" si="110"/>
        <v/>
      </c>
      <c r="L9056" s="25" t="str">
        <f t="shared" si="111"/>
        <v/>
      </c>
      <c r="M9056" s="25"/>
      <c r="O9056" s="25"/>
    </row>
    <row r="9057" ht="15.75" customHeight="1">
      <c r="A9057" s="25" t="str">
        <f>IFERROR(__xludf.DUMMYFUNCTION("IF(B9057="""","""",RIGHT(REGEXREPLACE(B9057&amp;"""",""[^0-9]"",""""),9))"),"706050063")</f>
        <v>706050063</v>
      </c>
      <c r="B9057" s="52">
        <v>7.06050063E8</v>
      </c>
      <c r="C9057" s="28" t="s">
        <v>9069</v>
      </c>
      <c r="D9057" s="26" t="s">
        <v>56</v>
      </c>
      <c r="E9057" s="31">
        <v>46252.0</v>
      </c>
      <c r="F9057" s="26" t="s">
        <v>205</v>
      </c>
      <c r="I9057" s="26" t="s">
        <v>970</v>
      </c>
      <c r="J9057" s="25" t="str">
        <f t="shared" si="109"/>
        <v>No</v>
      </c>
      <c r="K9057" s="25" t="str">
        <f t="shared" si="110"/>
        <v/>
      </c>
      <c r="L9057" s="25" t="str">
        <f t="shared" si="111"/>
        <v/>
      </c>
      <c r="M9057" s="25"/>
      <c r="O9057" s="25"/>
    </row>
    <row r="9058" ht="15.75" customHeight="1">
      <c r="A9058" s="25" t="str">
        <f>IFERROR(__xludf.DUMMYFUNCTION("IF(B9058="""","""",RIGHT(REGEXREPLACE(B9058&amp;"""",""[^0-9]"",""""),9))"),"786657610")</f>
        <v>786657610</v>
      </c>
      <c r="B9058" s="52">
        <v>7.8665761E8</v>
      </c>
      <c r="C9058" s="28" t="s">
        <v>2333</v>
      </c>
      <c r="D9058" s="26" t="s">
        <v>64</v>
      </c>
      <c r="E9058" s="31">
        <v>46252.0</v>
      </c>
      <c r="F9058" s="26" t="s">
        <v>46</v>
      </c>
      <c r="G9058" s="26">
        <v>10.0</v>
      </c>
      <c r="I9058" s="26" t="s">
        <v>970</v>
      </c>
      <c r="J9058" s="25" t="str">
        <f t="shared" si="109"/>
        <v>Yes - see Previous F-Code</v>
      </c>
      <c r="K9058" s="25" t="str">
        <f t="shared" si="110"/>
        <v/>
      </c>
      <c r="L9058" s="25" t="str">
        <f t="shared" si="111"/>
        <v>F72029</v>
      </c>
      <c r="M9058" s="25"/>
      <c r="O9058" s="25"/>
    </row>
    <row r="9059" ht="15.75" customHeight="1">
      <c r="A9059" s="25" t="str">
        <f>IFERROR(__xludf.DUMMYFUNCTION("IF(B9059="""","""",RIGHT(REGEXREPLACE(B9059&amp;"""",""[^0-9]"",""""),9))"),"779043490")</f>
        <v>779043490</v>
      </c>
      <c r="B9059" s="52">
        <v>7.7904349E8</v>
      </c>
      <c r="C9059" s="28" t="s">
        <v>9196</v>
      </c>
      <c r="D9059" s="26" t="s">
        <v>56</v>
      </c>
      <c r="E9059" s="31">
        <v>46248.0</v>
      </c>
      <c r="F9059" s="26" t="s">
        <v>46</v>
      </c>
      <c r="G9059" s="26">
        <v>11.0</v>
      </c>
      <c r="H9059" s="26" t="s">
        <v>8436</v>
      </c>
      <c r="I9059" s="26" t="s">
        <v>970</v>
      </c>
      <c r="J9059" s="25" t="str">
        <f t="shared" si="109"/>
        <v>No</v>
      </c>
      <c r="K9059" s="25" t="str">
        <f t="shared" si="110"/>
        <v/>
      </c>
      <c r="L9059" s="25" t="str">
        <f t="shared" si="111"/>
        <v/>
      </c>
      <c r="M9059" s="25"/>
      <c r="O9059" s="25"/>
    </row>
    <row r="9060" ht="15.75" customHeight="1">
      <c r="A9060" s="25" t="str">
        <f>IFERROR(__xludf.DUMMYFUNCTION("IF(B9060="""","""",RIGHT(REGEXREPLACE(B9060&amp;"""",""[^0-9]"",""""),9))"),"711474251")</f>
        <v>711474251</v>
      </c>
      <c r="B9060" s="52">
        <v>7.11474251E8</v>
      </c>
      <c r="C9060" s="28" t="s">
        <v>9197</v>
      </c>
      <c r="D9060" s="26" t="s">
        <v>64</v>
      </c>
      <c r="E9060" s="31">
        <v>46248.0</v>
      </c>
      <c r="F9060" s="26" t="s">
        <v>46</v>
      </c>
      <c r="G9060" s="26">
        <v>11.0</v>
      </c>
      <c r="I9060" s="26" t="s">
        <v>970</v>
      </c>
      <c r="J9060" s="25" t="str">
        <f t="shared" si="109"/>
        <v>No</v>
      </c>
      <c r="K9060" s="25" t="str">
        <f t="shared" si="110"/>
        <v/>
      </c>
      <c r="L9060" s="25" t="str">
        <f t="shared" si="111"/>
        <v/>
      </c>
      <c r="M9060" s="25"/>
      <c r="O9060" s="25"/>
    </row>
    <row r="9061" ht="15.75" customHeight="1">
      <c r="A9061" s="25" t="str">
        <f>IFERROR(__xludf.DUMMYFUNCTION("IF(B9061="""","""",RIGHT(REGEXREPLACE(B9061&amp;"""",""[^0-9]"",""""),9))"),"762505191")</f>
        <v>762505191</v>
      </c>
      <c r="B9061" s="52">
        <v>7.62505191E8</v>
      </c>
      <c r="C9061" s="28" t="s">
        <v>9198</v>
      </c>
      <c r="D9061" s="26" t="s">
        <v>56</v>
      </c>
      <c r="E9061" s="31">
        <v>46248.0</v>
      </c>
      <c r="F9061" s="26" t="s">
        <v>46</v>
      </c>
      <c r="G9061" s="26">
        <v>11.0</v>
      </c>
      <c r="H9061" s="26" t="s">
        <v>8436</v>
      </c>
      <c r="I9061" s="26" t="s">
        <v>970</v>
      </c>
      <c r="J9061" s="25" t="str">
        <f t="shared" si="109"/>
        <v>Yes - see Previous F-Code</v>
      </c>
      <c r="K9061" s="25" t="str">
        <f t="shared" si="110"/>
        <v/>
      </c>
      <c r="L9061" s="25" t="str">
        <f t="shared" si="111"/>
        <v>F70984</v>
      </c>
      <c r="M9061" s="25"/>
      <c r="O9061" s="25"/>
    </row>
    <row r="9062" ht="15.75" customHeight="1">
      <c r="A9062" s="25" t="str">
        <f>IFERROR(__xludf.DUMMYFUNCTION("IF(B9062="""","""",RIGHT(REGEXREPLACE(B9062&amp;"""",""[^0-9]"",""""),9))"),"774228869")</f>
        <v>774228869</v>
      </c>
      <c r="B9062" s="52">
        <v>7.74228869E8</v>
      </c>
      <c r="C9062" s="28" t="s">
        <v>9199</v>
      </c>
      <c r="D9062" s="26" t="s">
        <v>64</v>
      </c>
      <c r="E9062" s="31">
        <v>46252.0</v>
      </c>
      <c r="F9062" s="26" t="s">
        <v>46</v>
      </c>
      <c r="G9062" s="26">
        <v>9.0</v>
      </c>
      <c r="H9062" s="26" t="s">
        <v>8436</v>
      </c>
      <c r="I9062" s="26" t="s">
        <v>970</v>
      </c>
      <c r="J9062" s="25" t="str">
        <f t="shared" si="109"/>
        <v>No</v>
      </c>
      <c r="K9062" s="25" t="str">
        <f t="shared" si="110"/>
        <v/>
      </c>
      <c r="L9062" s="25" t="str">
        <f t="shared" si="111"/>
        <v/>
      </c>
      <c r="M9062" s="25"/>
      <c r="O9062" s="25"/>
    </row>
    <row r="9063" ht="15.75" customHeight="1">
      <c r="A9063" s="25" t="str">
        <f>IFERROR(__xludf.DUMMYFUNCTION("IF(B9063="""","""",RIGHT(REGEXREPLACE(B9063&amp;"""",""[^0-9]"",""""),9))"),"782954918")</f>
        <v>782954918</v>
      </c>
      <c r="B9063" s="52">
        <v>7.82954918E8</v>
      </c>
      <c r="C9063" s="28" t="s">
        <v>9200</v>
      </c>
      <c r="D9063" s="26" t="s">
        <v>45</v>
      </c>
      <c r="E9063" s="31">
        <v>46248.0</v>
      </c>
      <c r="F9063" s="26" t="s">
        <v>46</v>
      </c>
      <c r="H9063" s="26" t="s">
        <v>6138</v>
      </c>
      <c r="I9063" s="26" t="s">
        <v>970</v>
      </c>
      <c r="J9063" s="25" t="str">
        <f t="shared" si="109"/>
        <v>No</v>
      </c>
      <c r="K9063" s="25" t="str">
        <f t="shared" si="110"/>
        <v/>
      </c>
      <c r="L9063" s="25" t="str">
        <f t="shared" si="111"/>
        <v/>
      </c>
      <c r="M9063" s="25"/>
      <c r="O9063" s="25"/>
    </row>
    <row r="9064" ht="15.75" customHeight="1">
      <c r="A9064" s="25" t="str">
        <f>IFERROR(__xludf.DUMMYFUNCTION("IF(B9064="""","""",RIGHT(REGEXREPLACE(B9064&amp;"""",""[^0-9]"",""""),9))"),"779853566")</f>
        <v>779853566</v>
      </c>
      <c r="B9064" s="52">
        <v>7.79853566E8</v>
      </c>
      <c r="C9064" s="28" t="s">
        <v>8614</v>
      </c>
      <c r="D9064" s="26" t="s">
        <v>56</v>
      </c>
      <c r="E9064" s="31">
        <v>46248.0</v>
      </c>
      <c r="F9064" s="26" t="s">
        <v>41</v>
      </c>
      <c r="H9064" s="26" t="s">
        <v>8436</v>
      </c>
      <c r="I9064" s="26" t="s">
        <v>970</v>
      </c>
      <c r="J9064" s="25" t="str">
        <f t="shared" si="109"/>
        <v>Yes - see Previous F-Code</v>
      </c>
      <c r="K9064" s="25" t="str">
        <f t="shared" si="110"/>
        <v>DUPLICATE - CHECK</v>
      </c>
      <c r="L9064" s="25" t="str">
        <f t="shared" si="111"/>
        <v>F77384</v>
      </c>
      <c r="M9064" s="25"/>
      <c r="O9064" s="25"/>
    </row>
    <row r="9065" ht="15.75" customHeight="1">
      <c r="A9065" s="25" t="str">
        <f>IFERROR(__xludf.DUMMYFUNCTION("IF(B9065="""","""",RIGHT(REGEXREPLACE(B9065&amp;"""",""[^0-9]"",""""),9))"),"783274829")</f>
        <v>783274829</v>
      </c>
      <c r="B9065" s="52">
        <v>7.83274829E8</v>
      </c>
      <c r="C9065" s="28" t="s">
        <v>9201</v>
      </c>
      <c r="D9065" s="26" t="s">
        <v>56</v>
      </c>
      <c r="E9065" s="31">
        <v>46248.0</v>
      </c>
      <c r="F9065" s="26" t="s">
        <v>41</v>
      </c>
      <c r="G9065" s="26">
        <v>10.0</v>
      </c>
      <c r="I9065" s="26" t="s">
        <v>970</v>
      </c>
      <c r="J9065" s="25" t="str">
        <f t="shared" si="109"/>
        <v>No</v>
      </c>
      <c r="K9065" s="25" t="str">
        <f t="shared" si="110"/>
        <v/>
      </c>
      <c r="L9065" s="25" t="str">
        <f t="shared" si="111"/>
        <v/>
      </c>
      <c r="M9065" s="25"/>
      <c r="O9065" s="25"/>
    </row>
    <row r="9066" ht="15.75" customHeight="1">
      <c r="A9066" s="25" t="str">
        <f>IFERROR(__xludf.DUMMYFUNCTION("IF(B9066="""","""",RIGHT(REGEXREPLACE(B9066&amp;"""",""[^0-9]"",""""),9))"),"772414260")</f>
        <v>772414260</v>
      </c>
      <c r="B9066" s="52">
        <v>7.7241426E8</v>
      </c>
      <c r="C9066" s="28" t="s">
        <v>8898</v>
      </c>
      <c r="D9066" s="26" t="s">
        <v>45</v>
      </c>
      <c r="E9066" s="31">
        <v>46248.0</v>
      </c>
      <c r="F9066" s="26" t="s">
        <v>205</v>
      </c>
      <c r="I9066" s="26" t="s">
        <v>970</v>
      </c>
      <c r="J9066" s="25" t="str">
        <f t="shared" si="109"/>
        <v>Yes - see Previous F-Code</v>
      </c>
      <c r="K9066" s="25" t="str">
        <f t="shared" si="110"/>
        <v>DUPLICATE - CHECK</v>
      </c>
      <c r="L9066" s="25" t="str">
        <f t="shared" si="111"/>
        <v>F77552</v>
      </c>
      <c r="M9066" s="25"/>
      <c r="O9066" s="25"/>
    </row>
    <row r="9067" ht="15.75" customHeight="1">
      <c r="A9067" s="25" t="str">
        <f>IFERROR(__xludf.DUMMYFUNCTION("IF(B9067="""","""",RIGHT(REGEXREPLACE(B9067&amp;"""",""[^0-9]"",""""),9))"),"774170174")</f>
        <v>774170174</v>
      </c>
      <c r="B9067" s="52">
        <v>7.74170174E8</v>
      </c>
      <c r="C9067" s="28" t="s">
        <v>9202</v>
      </c>
      <c r="D9067" s="26" t="s">
        <v>45</v>
      </c>
      <c r="E9067" s="31">
        <v>46248.0</v>
      </c>
      <c r="F9067" s="26" t="s">
        <v>659</v>
      </c>
      <c r="I9067" s="26" t="s">
        <v>970</v>
      </c>
      <c r="J9067" s="25" t="str">
        <f t="shared" si="109"/>
        <v>No</v>
      </c>
      <c r="K9067" s="25" t="str">
        <f t="shared" si="110"/>
        <v/>
      </c>
      <c r="L9067" s="25" t="str">
        <f t="shared" si="111"/>
        <v/>
      </c>
      <c r="M9067" s="25"/>
      <c r="O9067" s="25"/>
    </row>
    <row r="9068" ht="15.75" customHeight="1">
      <c r="A9068" s="25" t="str">
        <f>IFERROR(__xludf.DUMMYFUNCTION("IF(B9068="""","""",RIGHT(REGEXREPLACE(B9068&amp;"""",""[^0-9]"",""""),9))"),"777008653")</f>
        <v>777008653</v>
      </c>
      <c r="B9068" s="52">
        <v>7.77008653E8</v>
      </c>
      <c r="C9068" s="28" t="s">
        <v>9203</v>
      </c>
      <c r="D9068" s="26" t="s">
        <v>56</v>
      </c>
      <c r="E9068" s="31">
        <v>46248.0</v>
      </c>
      <c r="F9068" s="26" t="s">
        <v>46</v>
      </c>
      <c r="G9068" s="26">
        <v>11.0</v>
      </c>
      <c r="I9068" s="26" t="s">
        <v>970</v>
      </c>
      <c r="J9068" s="25" t="str">
        <f t="shared" si="109"/>
        <v>No</v>
      </c>
      <c r="K9068" s="25" t="str">
        <f t="shared" si="110"/>
        <v/>
      </c>
      <c r="L9068" s="25" t="str">
        <f t="shared" si="111"/>
        <v/>
      </c>
      <c r="M9068" s="25"/>
      <c r="O9068" s="25"/>
    </row>
    <row r="9069" ht="15.75" customHeight="1">
      <c r="A9069" s="25" t="str">
        <f>IFERROR(__xludf.DUMMYFUNCTION("IF(B9069="""","""",RIGHT(REGEXREPLACE(B9069&amp;"""",""[^0-9]"",""""),9))"),"773506877")</f>
        <v>773506877</v>
      </c>
      <c r="B9069" s="52">
        <v>7.73506877E8</v>
      </c>
      <c r="C9069" s="28" t="s">
        <v>9204</v>
      </c>
      <c r="D9069" s="26" t="s">
        <v>64</v>
      </c>
      <c r="E9069" s="31">
        <v>46248.0</v>
      </c>
      <c r="F9069" s="26" t="s">
        <v>41</v>
      </c>
      <c r="I9069" s="26" t="s">
        <v>970</v>
      </c>
      <c r="J9069" s="25" t="str">
        <f t="shared" si="109"/>
        <v>No</v>
      </c>
      <c r="K9069" s="25" t="str">
        <f t="shared" si="110"/>
        <v/>
      </c>
      <c r="L9069" s="25" t="str">
        <f t="shared" si="111"/>
        <v/>
      </c>
      <c r="M9069" s="25"/>
      <c r="O9069" s="25"/>
    </row>
    <row r="9070" ht="15.75" customHeight="1">
      <c r="A9070" s="25" t="str">
        <f>IFERROR(__xludf.DUMMYFUNCTION("IF(B9070="""","""",RIGHT(REGEXREPLACE(B9070&amp;"""",""[^0-9]"",""""),9))"),"779346131")</f>
        <v>779346131</v>
      </c>
      <c r="B9070" s="52">
        <v>7.79346131E8</v>
      </c>
      <c r="C9070" s="28" t="s">
        <v>9205</v>
      </c>
      <c r="D9070" s="26" t="s">
        <v>56</v>
      </c>
      <c r="E9070" s="31">
        <v>46248.0</v>
      </c>
      <c r="F9070" s="26" t="s">
        <v>46</v>
      </c>
      <c r="H9070" s="26" t="s">
        <v>8436</v>
      </c>
      <c r="I9070" s="26" t="s">
        <v>970</v>
      </c>
      <c r="J9070" s="25" t="str">
        <f t="shared" si="109"/>
        <v>No</v>
      </c>
      <c r="K9070" s="25" t="str">
        <f t="shared" si="110"/>
        <v/>
      </c>
      <c r="L9070" s="25" t="str">
        <f t="shared" si="111"/>
        <v/>
      </c>
      <c r="M9070" s="25"/>
      <c r="O9070" s="25"/>
    </row>
    <row r="9071" ht="15.75" customHeight="1">
      <c r="A9071" s="25" t="str">
        <f>IFERROR(__xludf.DUMMYFUNCTION("IF(B9071="""","""",RIGHT(REGEXREPLACE(B9071&amp;"""",""[^0-9]"",""""),9))"),"703143898")</f>
        <v>703143898</v>
      </c>
      <c r="B9071" s="52">
        <v>7.03143898E8</v>
      </c>
      <c r="C9071" s="28" t="s">
        <v>9206</v>
      </c>
      <c r="D9071" s="26" t="s">
        <v>45</v>
      </c>
      <c r="E9071" s="31">
        <v>46248.0</v>
      </c>
      <c r="F9071" s="26" t="s">
        <v>41</v>
      </c>
      <c r="I9071" s="26" t="s">
        <v>970</v>
      </c>
      <c r="J9071" s="25" t="str">
        <f t="shared" si="109"/>
        <v>Yes - see Previous F-Code</v>
      </c>
      <c r="K9071" s="25" t="str">
        <f t="shared" si="110"/>
        <v/>
      </c>
      <c r="L9071" s="25" t="str">
        <f t="shared" si="111"/>
        <v>F73255</v>
      </c>
      <c r="M9071" s="25"/>
      <c r="O9071" s="25"/>
    </row>
    <row r="9072" ht="15.75" customHeight="1">
      <c r="A9072" s="25" t="str">
        <f>IFERROR(__xludf.DUMMYFUNCTION("IF(B9072="""","""",RIGHT(REGEXREPLACE(B9072&amp;"""",""[^0-9]"",""""),9))"),"762699039")</f>
        <v>762699039</v>
      </c>
      <c r="B9072" s="52">
        <v>7.62699039E8</v>
      </c>
      <c r="C9072" s="28" t="s">
        <v>9207</v>
      </c>
      <c r="D9072" s="26" t="s">
        <v>64</v>
      </c>
      <c r="E9072" s="31">
        <v>46248.0</v>
      </c>
      <c r="F9072" s="26" t="s">
        <v>46</v>
      </c>
      <c r="G9072" s="26">
        <v>11.0</v>
      </c>
      <c r="I9072" s="26" t="s">
        <v>970</v>
      </c>
      <c r="J9072" s="25" t="str">
        <f t="shared" si="109"/>
        <v>No</v>
      </c>
      <c r="K9072" s="25" t="str">
        <f t="shared" si="110"/>
        <v/>
      </c>
      <c r="L9072" s="25" t="str">
        <f t="shared" si="111"/>
        <v/>
      </c>
      <c r="M9072" s="25"/>
      <c r="O9072" s="25"/>
    </row>
    <row r="9073" ht="15.75" customHeight="1">
      <c r="A9073" s="25" t="str">
        <f>IFERROR(__xludf.DUMMYFUNCTION("IF(B9073="""","""",RIGHT(REGEXREPLACE(B9073&amp;"""",""[^0-9]"",""""),9))"),"701380450")</f>
        <v>701380450</v>
      </c>
      <c r="B9073" s="52">
        <v>7.0138045E8</v>
      </c>
      <c r="C9073" s="28" t="s">
        <v>9208</v>
      </c>
      <c r="D9073" s="26" t="s">
        <v>45</v>
      </c>
      <c r="E9073" s="31">
        <v>46248.0</v>
      </c>
      <c r="F9073" s="26" t="s">
        <v>41</v>
      </c>
      <c r="I9073" s="26" t="s">
        <v>970</v>
      </c>
      <c r="J9073" s="25" t="str">
        <f t="shared" si="109"/>
        <v>No</v>
      </c>
      <c r="K9073" s="25" t="str">
        <f t="shared" si="110"/>
        <v/>
      </c>
      <c r="L9073" s="25" t="str">
        <f t="shared" si="111"/>
        <v/>
      </c>
      <c r="M9073" s="25"/>
      <c r="O9073" s="25"/>
    </row>
    <row r="9074" ht="15.75" customHeight="1">
      <c r="A9074" s="25" t="str">
        <f>IFERROR(__xludf.DUMMYFUNCTION("IF(B9074="""","""",RIGHT(REGEXREPLACE(B9074&amp;"""",""[^0-9]"",""""),9))"),"774257520")</f>
        <v>774257520</v>
      </c>
      <c r="B9074" s="52">
        <v>7.7425752E8</v>
      </c>
      <c r="C9074" s="28" t="s">
        <v>9209</v>
      </c>
      <c r="D9074" s="26" t="s">
        <v>56</v>
      </c>
      <c r="E9074" s="31">
        <v>46248.0</v>
      </c>
      <c r="F9074" s="26" t="s">
        <v>41</v>
      </c>
      <c r="H9074" s="26" t="s">
        <v>8436</v>
      </c>
      <c r="I9074" s="26" t="s">
        <v>970</v>
      </c>
      <c r="J9074" s="25" t="str">
        <f t="shared" si="109"/>
        <v>No</v>
      </c>
      <c r="K9074" s="25" t="str">
        <f t="shared" si="110"/>
        <v/>
      </c>
      <c r="L9074" s="25" t="str">
        <f t="shared" si="111"/>
        <v/>
      </c>
      <c r="M9074" s="25"/>
      <c r="O9074" s="25"/>
    </row>
    <row r="9075" ht="15.75" customHeight="1">
      <c r="A9075" s="25" t="str">
        <f>IFERROR(__xludf.DUMMYFUNCTION("IF(B9075="""","""",RIGHT(REGEXREPLACE(B9075&amp;"""",""[^0-9]"",""""),9))"),"769056341")</f>
        <v>769056341</v>
      </c>
      <c r="B9075" s="52">
        <v>7.69056341E8</v>
      </c>
      <c r="C9075" s="28" t="s">
        <v>9207</v>
      </c>
      <c r="D9075" s="26" t="s">
        <v>64</v>
      </c>
      <c r="E9075" s="31">
        <v>46248.0</v>
      </c>
      <c r="F9075" s="26" t="s">
        <v>46</v>
      </c>
      <c r="G9075" s="26">
        <v>8.0</v>
      </c>
      <c r="I9075" s="26" t="s">
        <v>970</v>
      </c>
      <c r="J9075" s="25" t="str">
        <f t="shared" si="109"/>
        <v>No</v>
      </c>
      <c r="K9075" s="25" t="str">
        <f t="shared" si="110"/>
        <v/>
      </c>
      <c r="L9075" s="25" t="str">
        <f t="shared" si="111"/>
        <v/>
      </c>
      <c r="M9075" s="25"/>
      <c r="O9075" s="25"/>
    </row>
    <row r="9076" ht="15.75" customHeight="1">
      <c r="A9076" s="25" t="str">
        <f>IFERROR(__xludf.DUMMYFUNCTION("IF(B9076="""","""",RIGHT(REGEXREPLACE(B9076&amp;"""",""[^0-9]"",""""),9))"),"750756577")</f>
        <v>750756577</v>
      </c>
      <c r="B9076" s="52">
        <v>7.50756577E8</v>
      </c>
      <c r="C9076" s="28" t="s">
        <v>9210</v>
      </c>
      <c r="D9076" s="26" t="s">
        <v>45</v>
      </c>
      <c r="E9076" s="31">
        <v>46248.0</v>
      </c>
      <c r="F9076" s="26" t="s">
        <v>46</v>
      </c>
      <c r="G9076" s="26">
        <v>11.0</v>
      </c>
      <c r="I9076" s="26" t="s">
        <v>970</v>
      </c>
      <c r="J9076" s="25" t="str">
        <f t="shared" si="109"/>
        <v>No</v>
      </c>
      <c r="K9076" s="25" t="str">
        <f t="shared" si="110"/>
        <v/>
      </c>
      <c r="L9076" s="25" t="str">
        <f t="shared" si="111"/>
        <v/>
      </c>
      <c r="M9076" s="25"/>
      <c r="O9076" s="25"/>
    </row>
    <row r="9077" ht="15.75" customHeight="1">
      <c r="A9077" s="25" t="str">
        <f>IFERROR(__xludf.DUMMYFUNCTION("IF(B9077="""","""",RIGHT(REGEXREPLACE(B9077&amp;"""",""[^0-9]"",""""),9))"),"771515784")</f>
        <v>771515784</v>
      </c>
      <c r="B9077" s="52">
        <v>7.71515784E8</v>
      </c>
      <c r="C9077" s="28" t="s">
        <v>9211</v>
      </c>
      <c r="D9077" s="26" t="s">
        <v>45</v>
      </c>
      <c r="E9077" s="31">
        <v>46248.0</v>
      </c>
      <c r="F9077" s="26" t="s">
        <v>41</v>
      </c>
      <c r="I9077" s="26" t="s">
        <v>970</v>
      </c>
      <c r="J9077" s="25" t="str">
        <f t="shared" si="109"/>
        <v>No</v>
      </c>
      <c r="K9077" s="25" t="str">
        <f t="shared" si="110"/>
        <v/>
      </c>
      <c r="L9077" s="25" t="str">
        <f t="shared" si="111"/>
        <v/>
      </c>
      <c r="M9077" s="25"/>
      <c r="O9077" s="25"/>
    </row>
    <row r="9078" ht="15.75" customHeight="1">
      <c r="A9078" s="25" t="str">
        <f>IFERROR(__xludf.DUMMYFUNCTION("IF(B9078="""","""",RIGHT(REGEXREPLACE(B9078&amp;"""",""[^0-9]"",""""),9))"),"785240144")</f>
        <v>785240144</v>
      </c>
      <c r="B9078" s="52">
        <v>7.85240144E8</v>
      </c>
      <c r="C9078" s="28" t="s">
        <v>9212</v>
      </c>
      <c r="D9078" s="26" t="s">
        <v>64</v>
      </c>
      <c r="E9078" s="31">
        <v>46248.0</v>
      </c>
      <c r="F9078" s="26" t="s">
        <v>46</v>
      </c>
      <c r="H9078" s="26" t="s">
        <v>9213</v>
      </c>
      <c r="I9078" s="26" t="s">
        <v>970</v>
      </c>
      <c r="J9078" s="25" t="str">
        <f t="shared" si="109"/>
        <v>No</v>
      </c>
      <c r="K9078" s="25" t="str">
        <f t="shared" si="110"/>
        <v/>
      </c>
      <c r="L9078" s="25" t="str">
        <f t="shared" si="111"/>
        <v/>
      </c>
      <c r="M9078" s="25"/>
      <c r="O9078" s="25"/>
    </row>
    <row r="9079" ht="15.75" customHeight="1">
      <c r="A9079" s="25" t="str">
        <f>IFERROR(__xludf.DUMMYFUNCTION("IF(B9079="""","""",RIGHT(REGEXREPLACE(B9079&amp;"""",""[^0-9]"",""""),9))"),"775258370")</f>
        <v>775258370</v>
      </c>
      <c r="B9079" s="52">
        <v>7.7525837E8</v>
      </c>
      <c r="C9079" s="28" t="s">
        <v>563</v>
      </c>
      <c r="D9079" s="26" t="s">
        <v>45</v>
      </c>
      <c r="E9079" s="31">
        <v>46248.0</v>
      </c>
      <c r="F9079" s="26" t="s">
        <v>659</v>
      </c>
      <c r="I9079" s="26" t="s">
        <v>970</v>
      </c>
      <c r="J9079" s="25" t="str">
        <f t="shared" si="109"/>
        <v>Yes - see Previous F-Code</v>
      </c>
      <c r="K9079" s="25" t="str">
        <f t="shared" si="110"/>
        <v/>
      </c>
      <c r="L9079" s="25" t="str">
        <f t="shared" si="111"/>
        <v>F70382</v>
      </c>
      <c r="M9079" s="25"/>
      <c r="O9079" s="25"/>
    </row>
    <row r="9080" ht="15.75" customHeight="1">
      <c r="A9080" s="25" t="str">
        <f>IFERROR(__xludf.DUMMYFUNCTION("IF(B9080="""","""",RIGHT(REGEXREPLACE(B9080&amp;"""",""[^0-9]"",""""),9))"),"711236768")</f>
        <v>711236768</v>
      </c>
      <c r="B9080" s="52">
        <v>7.11236768E8</v>
      </c>
      <c r="C9080" s="28" t="s">
        <v>9214</v>
      </c>
      <c r="D9080" s="26" t="s">
        <v>64</v>
      </c>
      <c r="E9080" s="31">
        <v>46248.0</v>
      </c>
      <c r="F9080" s="26" t="s">
        <v>46</v>
      </c>
      <c r="G9080" s="26">
        <v>10.0</v>
      </c>
      <c r="I9080" s="26" t="s">
        <v>970</v>
      </c>
      <c r="J9080" s="25" t="str">
        <f t="shared" si="109"/>
        <v>No</v>
      </c>
      <c r="K9080" s="25" t="str">
        <f t="shared" si="110"/>
        <v/>
      </c>
      <c r="L9080" s="25" t="str">
        <f t="shared" si="111"/>
        <v/>
      </c>
      <c r="M9080" s="25"/>
      <c r="O9080" s="25"/>
    </row>
    <row r="9081" ht="15.75" customHeight="1">
      <c r="A9081" s="25" t="str">
        <f>IFERROR(__xludf.DUMMYFUNCTION("IF(B9081="""","""",RIGHT(REGEXREPLACE(B9081&amp;"""",""[^0-9]"",""""),9))"),"718829728")</f>
        <v>718829728</v>
      </c>
      <c r="B9081" s="52">
        <v>7.18829728E8</v>
      </c>
      <c r="C9081" s="28" t="s">
        <v>9215</v>
      </c>
      <c r="D9081" s="26" t="s">
        <v>45</v>
      </c>
      <c r="E9081" s="31">
        <v>46248.0</v>
      </c>
      <c r="F9081" s="26" t="s">
        <v>46</v>
      </c>
      <c r="G9081" s="26">
        <v>10.0</v>
      </c>
      <c r="I9081" s="26" t="s">
        <v>970</v>
      </c>
      <c r="J9081" s="25" t="str">
        <f t="shared" si="109"/>
        <v>No</v>
      </c>
      <c r="K9081" s="25" t="str">
        <f t="shared" si="110"/>
        <v/>
      </c>
      <c r="L9081" s="25" t="str">
        <f t="shared" si="111"/>
        <v/>
      </c>
      <c r="M9081" s="25"/>
      <c r="O9081" s="25"/>
    </row>
    <row r="9082" ht="15.75" customHeight="1">
      <c r="A9082" s="25" t="str">
        <f>IFERROR(__xludf.DUMMYFUNCTION("IF(B9082="""","""",RIGHT(REGEXREPLACE(B9082&amp;"""",""[^0-9]"",""""),9))"),"711065509")</f>
        <v>711065509</v>
      </c>
      <c r="B9082" s="52">
        <v>7.11065509E8</v>
      </c>
      <c r="C9082" s="28" t="s">
        <v>9216</v>
      </c>
      <c r="D9082" s="26" t="s">
        <v>45</v>
      </c>
      <c r="E9082" s="31">
        <v>46248.0</v>
      </c>
      <c r="F9082" s="26" t="s">
        <v>46</v>
      </c>
      <c r="G9082" s="26">
        <v>10.0</v>
      </c>
      <c r="I9082" s="26" t="s">
        <v>970</v>
      </c>
      <c r="J9082" s="25" t="str">
        <f t="shared" si="109"/>
        <v>No</v>
      </c>
      <c r="K9082" s="25" t="str">
        <f t="shared" si="110"/>
        <v/>
      </c>
      <c r="L9082" s="25" t="str">
        <f t="shared" si="111"/>
        <v/>
      </c>
      <c r="M9082" s="25"/>
      <c r="O9082" s="25"/>
    </row>
    <row r="9083" ht="15.75" customHeight="1">
      <c r="A9083" s="25" t="str">
        <f>IFERROR(__xludf.DUMMYFUNCTION("IF(B9083="""","""",RIGHT(REGEXREPLACE(B9083&amp;"""",""[^0-9]"",""""),9))"),"774166845")</f>
        <v>774166845</v>
      </c>
      <c r="B9083" s="52">
        <v>7.74166845E8</v>
      </c>
      <c r="C9083" s="28" t="s">
        <v>9217</v>
      </c>
      <c r="D9083" s="26" t="s">
        <v>64</v>
      </c>
      <c r="E9083" s="31">
        <v>46248.0</v>
      </c>
      <c r="F9083" s="26" t="s">
        <v>46</v>
      </c>
      <c r="G9083" s="26">
        <v>10.0</v>
      </c>
      <c r="I9083" s="26" t="s">
        <v>970</v>
      </c>
      <c r="J9083" s="25" t="str">
        <f t="shared" si="109"/>
        <v>No</v>
      </c>
      <c r="K9083" s="25" t="str">
        <f t="shared" si="110"/>
        <v/>
      </c>
      <c r="L9083" s="25" t="str">
        <f t="shared" si="111"/>
        <v/>
      </c>
      <c r="M9083" s="25"/>
      <c r="O9083" s="25"/>
    </row>
    <row r="9084" ht="15.75" customHeight="1">
      <c r="A9084" s="25" t="str">
        <f>IFERROR(__xludf.DUMMYFUNCTION("IF(B9084="""","""",RIGHT(REGEXREPLACE(B9084&amp;"""",""[^0-9]"",""""),9))"),"763139206")</f>
        <v>763139206</v>
      </c>
      <c r="B9084" s="52">
        <v>7.63139206E8</v>
      </c>
      <c r="C9084" s="28" t="s">
        <v>9218</v>
      </c>
      <c r="D9084" s="26" t="s">
        <v>56</v>
      </c>
      <c r="E9084" s="31">
        <v>46248.0</v>
      </c>
      <c r="F9084" s="26" t="s">
        <v>46</v>
      </c>
      <c r="G9084" s="26">
        <v>10.0</v>
      </c>
      <c r="H9084" s="26" t="s">
        <v>8436</v>
      </c>
      <c r="I9084" s="26" t="s">
        <v>970</v>
      </c>
      <c r="J9084" s="25" t="str">
        <f t="shared" si="109"/>
        <v>No</v>
      </c>
      <c r="K9084" s="25" t="str">
        <f t="shared" si="110"/>
        <v/>
      </c>
      <c r="L9084" s="25" t="str">
        <f t="shared" si="111"/>
        <v/>
      </c>
      <c r="M9084" s="25"/>
      <c r="O9084" s="25"/>
    </row>
    <row r="9085" ht="15.75" customHeight="1">
      <c r="A9085" s="25" t="str">
        <f>IFERROR(__xludf.DUMMYFUNCTION("IF(B9085="""","""",RIGHT(REGEXREPLACE(B9085&amp;"""",""[^0-9]"",""""),9))"),"706737561")</f>
        <v>706737561</v>
      </c>
      <c r="B9085" s="52">
        <v>7.06737561E8</v>
      </c>
      <c r="C9085" s="28" t="s">
        <v>9219</v>
      </c>
      <c r="D9085" s="26" t="s">
        <v>45</v>
      </c>
      <c r="E9085" s="31">
        <v>46248.0</v>
      </c>
      <c r="F9085" s="26" t="s">
        <v>46</v>
      </c>
      <c r="G9085" s="26">
        <v>9.0</v>
      </c>
      <c r="H9085" s="117" t="s">
        <v>9220</v>
      </c>
      <c r="I9085" s="26" t="s">
        <v>970</v>
      </c>
      <c r="J9085" s="25" t="str">
        <f t="shared" si="109"/>
        <v>No</v>
      </c>
      <c r="K9085" s="25" t="str">
        <f t="shared" si="110"/>
        <v/>
      </c>
      <c r="L9085" s="25" t="str">
        <f t="shared" si="111"/>
        <v/>
      </c>
      <c r="M9085" s="25"/>
      <c r="O9085" s="25"/>
    </row>
    <row r="9086" ht="15.75" customHeight="1">
      <c r="A9086" s="25" t="str">
        <f>IFERROR(__xludf.DUMMYFUNCTION("IF(B9086="""","""",RIGHT(REGEXREPLACE(B9086&amp;"""",""[^0-9]"",""""),9))"),"768704451")</f>
        <v>768704451</v>
      </c>
      <c r="B9086" s="52">
        <v>7.68704451E8</v>
      </c>
      <c r="C9086" s="28" t="s">
        <v>9221</v>
      </c>
      <c r="D9086" s="26" t="s">
        <v>45</v>
      </c>
      <c r="E9086" s="31">
        <v>46248.0</v>
      </c>
      <c r="F9086" s="26" t="s">
        <v>46</v>
      </c>
      <c r="H9086" s="26" t="s">
        <v>9222</v>
      </c>
      <c r="I9086" s="26" t="s">
        <v>970</v>
      </c>
      <c r="J9086" s="25" t="str">
        <f t="shared" si="109"/>
        <v>No</v>
      </c>
      <c r="K9086" s="25" t="str">
        <f t="shared" si="110"/>
        <v/>
      </c>
      <c r="L9086" s="25" t="str">
        <f t="shared" si="111"/>
        <v/>
      </c>
      <c r="M9086" s="25"/>
      <c r="O9086" s="25"/>
    </row>
    <row r="9087" ht="15.75" customHeight="1">
      <c r="A9087" s="25" t="str">
        <f>IFERROR(__xludf.DUMMYFUNCTION("IF(B9087="""","""",RIGHT(REGEXREPLACE(B9087&amp;"""",""[^0-9]"",""""),9))"),"729494454")</f>
        <v>729494454</v>
      </c>
      <c r="B9087" s="52">
        <v>7.29494454E8</v>
      </c>
      <c r="C9087" s="28" t="s">
        <v>9223</v>
      </c>
      <c r="D9087" s="26" t="s">
        <v>45</v>
      </c>
      <c r="E9087" s="31">
        <v>46248.0</v>
      </c>
      <c r="F9087" s="26" t="s">
        <v>46</v>
      </c>
      <c r="G9087" s="26">
        <v>10.0</v>
      </c>
      <c r="I9087" s="26" t="s">
        <v>970</v>
      </c>
      <c r="J9087" s="25" t="str">
        <f t="shared" si="109"/>
        <v>No</v>
      </c>
      <c r="K9087" s="25" t="str">
        <f t="shared" si="110"/>
        <v/>
      </c>
      <c r="L9087" s="25" t="str">
        <f t="shared" si="111"/>
        <v/>
      </c>
      <c r="M9087" s="25"/>
      <c r="O9087" s="25"/>
    </row>
    <row r="9088" ht="15.75" customHeight="1">
      <c r="A9088" s="25" t="str">
        <f>IFERROR(__xludf.DUMMYFUNCTION("IF(B9088="""","""",RIGHT(REGEXREPLACE(B9088&amp;"""",""[^0-9]"",""""),9))"),"777901296")</f>
        <v>777901296</v>
      </c>
      <c r="B9088" s="52">
        <v>7.77901296E8</v>
      </c>
      <c r="C9088" s="28" t="s">
        <v>9224</v>
      </c>
      <c r="D9088" s="26" t="s">
        <v>45</v>
      </c>
      <c r="E9088" s="31">
        <v>46248.0</v>
      </c>
      <c r="F9088" s="26" t="s">
        <v>46</v>
      </c>
      <c r="G9088" s="26">
        <v>10.0</v>
      </c>
      <c r="I9088" s="26" t="s">
        <v>970</v>
      </c>
      <c r="J9088" s="25" t="str">
        <f t="shared" si="109"/>
        <v>No</v>
      </c>
      <c r="K9088" s="25" t="str">
        <f t="shared" si="110"/>
        <v/>
      </c>
      <c r="L9088" s="25" t="str">
        <f t="shared" si="111"/>
        <v/>
      </c>
      <c r="M9088" s="25"/>
      <c r="O9088" s="25"/>
    </row>
    <row r="9089" ht="15.75" customHeight="1">
      <c r="A9089" s="25" t="str">
        <f>IFERROR(__xludf.DUMMYFUNCTION("IF(B9089="""","""",RIGHT(REGEXREPLACE(B9089&amp;"""",""[^0-9]"",""""),9))"),"717101314")</f>
        <v>717101314</v>
      </c>
      <c r="B9089" s="52">
        <v>7.17101314E8</v>
      </c>
      <c r="C9089" s="28" t="s">
        <v>9225</v>
      </c>
      <c r="D9089" s="26" t="s">
        <v>45</v>
      </c>
      <c r="E9089" s="31">
        <v>46248.0</v>
      </c>
      <c r="F9089" s="26" t="s">
        <v>164</v>
      </c>
      <c r="I9089" s="26" t="s">
        <v>970</v>
      </c>
      <c r="J9089" s="25" t="str">
        <f t="shared" si="109"/>
        <v>No</v>
      </c>
      <c r="K9089" s="25" t="str">
        <f t="shared" si="110"/>
        <v/>
      </c>
      <c r="L9089" s="25" t="str">
        <f t="shared" si="111"/>
        <v/>
      </c>
      <c r="M9089" s="25"/>
      <c r="O9089" s="25"/>
    </row>
    <row r="9090" ht="15.75" customHeight="1">
      <c r="A9090" s="25" t="str">
        <f>IFERROR(__xludf.DUMMYFUNCTION("IF(B9090="""","""",RIGHT(REGEXREPLACE(B9090&amp;"""",""[^0-9]"",""""),9))"),"713042017")</f>
        <v>713042017</v>
      </c>
      <c r="B9090" s="52">
        <v>7.13042017E8</v>
      </c>
      <c r="C9090" s="28" t="s">
        <v>9226</v>
      </c>
      <c r="D9090" s="26" t="s">
        <v>45</v>
      </c>
      <c r="E9090" s="31">
        <v>46248.0</v>
      </c>
      <c r="F9090" s="26" t="s">
        <v>41</v>
      </c>
      <c r="I9090" s="26" t="s">
        <v>970</v>
      </c>
      <c r="J9090" s="25" t="str">
        <f t="shared" si="109"/>
        <v>No</v>
      </c>
      <c r="K9090" s="25" t="str">
        <f t="shared" si="110"/>
        <v/>
      </c>
      <c r="L9090" s="25" t="str">
        <f t="shared" si="111"/>
        <v/>
      </c>
      <c r="M9090" s="25"/>
      <c r="O9090" s="25"/>
    </row>
    <row r="9091" ht="15.75" customHeight="1">
      <c r="A9091" s="25" t="str">
        <f>IFERROR(__xludf.DUMMYFUNCTION("IF(B9091="""","""",RIGHT(REGEXREPLACE(B9091&amp;"""",""[^0-9]"",""""),9))"),"775558406")</f>
        <v>775558406</v>
      </c>
      <c r="B9091" s="52">
        <v>7.75558406E8</v>
      </c>
      <c r="C9091" s="28" t="s">
        <v>1241</v>
      </c>
      <c r="D9091" s="26" t="s">
        <v>45</v>
      </c>
      <c r="E9091" s="31">
        <v>46248.0</v>
      </c>
      <c r="F9091" s="26" t="s">
        <v>41</v>
      </c>
      <c r="G9091" s="26">
        <v>10.0</v>
      </c>
      <c r="I9091" s="26" t="s">
        <v>970</v>
      </c>
      <c r="J9091" s="25" t="str">
        <f t="shared" si="109"/>
        <v>Yes - see Previous F-Code</v>
      </c>
      <c r="K9091" s="25" t="str">
        <f t="shared" si="110"/>
        <v/>
      </c>
      <c r="L9091" s="25" t="str">
        <f t="shared" si="111"/>
        <v>F70978</v>
      </c>
      <c r="M9091" s="25"/>
      <c r="O9091" s="25"/>
    </row>
    <row r="9092" ht="15.75" customHeight="1">
      <c r="A9092" s="25" t="str">
        <f>IFERROR(__xludf.DUMMYFUNCTION("IF(B9092="""","""",RIGHT(REGEXREPLACE(B9092&amp;"""",""[^0-9]"",""""),9))"),"741469945")</f>
        <v>741469945</v>
      </c>
      <c r="B9092" s="52">
        <v>7.41469945E8</v>
      </c>
      <c r="C9092" s="28" t="s">
        <v>9227</v>
      </c>
      <c r="D9092" s="26" t="s">
        <v>45</v>
      </c>
      <c r="E9092" s="31">
        <v>46248.0</v>
      </c>
      <c r="F9092" s="26" t="s">
        <v>46</v>
      </c>
      <c r="G9092" s="26">
        <v>11.0</v>
      </c>
      <c r="I9092" s="26" t="s">
        <v>970</v>
      </c>
      <c r="J9092" s="25" t="str">
        <f t="shared" si="109"/>
        <v>No</v>
      </c>
      <c r="K9092" s="25" t="str">
        <f t="shared" si="110"/>
        <v/>
      </c>
      <c r="L9092" s="25" t="str">
        <f t="shared" si="111"/>
        <v/>
      </c>
      <c r="M9092" s="25"/>
      <c r="O9092" s="25"/>
    </row>
    <row r="9093" ht="15.75" customHeight="1">
      <c r="A9093" s="25" t="str">
        <f>IFERROR(__xludf.DUMMYFUNCTION("IF(B9093="""","""",RIGHT(REGEXREPLACE(B9093&amp;"""",""[^0-9]"",""""),9))"),"766387340")</f>
        <v>766387340</v>
      </c>
      <c r="B9093" s="52">
        <v>7.6638734E8</v>
      </c>
      <c r="C9093" s="28" t="s">
        <v>9228</v>
      </c>
      <c r="D9093" s="26" t="s">
        <v>45</v>
      </c>
      <c r="E9093" s="31">
        <v>46248.0</v>
      </c>
      <c r="F9093" s="26" t="s">
        <v>46</v>
      </c>
      <c r="G9093" s="26">
        <v>10.0</v>
      </c>
      <c r="I9093" s="26" t="s">
        <v>970</v>
      </c>
      <c r="J9093" s="25" t="str">
        <f t="shared" si="109"/>
        <v>No</v>
      </c>
      <c r="K9093" s="25" t="str">
        <f t="shared" si="110"/>
        <v/>
      </c>
      <c r="L9093" s="25" t="str">
        <f t="shared" si="111"/>
        <v/>
      </c>
      <c r="M9093" s="25"/>
      <c r="O9093" s="25"/>
    </row>
    <row r="9094" ht="15.75" customHeight="1">
      <c r="A9094" s="25" t="str">
        <f>IFERROR(__xludf.DUMMYFUNCTION("IF(B9094="""","""",RIGHT(REGEXREPLACE(B9094&amp;"""",""[^0-9]"",""""),9))"),"763533015")</f>
        <v>763533015</v>
      </c>
      <c r="B9094" s="52">
        <v>7.63533015E8</v>
      </c>
      <c r="C9094" s="28" t="s">
        <v>292</v>
      </c>
      <c r="D9094" s="26" t="s">
        <v>45</v>
      </c>
      <c r="E9094" s="31">
        <v>46248.0</v>
      </c>
      <c r="F9094" s="26" t="s">
        <v>125</v>
      </c>
      <c r="I9094" s="26" t="s">
        <v>970</v>
      </c>
      <c r="J9094" s="25" t="str">
        <f t="shared" si="109"/>
        <v>Yes - see Previous F-Code</v>
      </c>
      <c r="K9094" s="25" t="str">
        <f t="shared" si="110"/>
        <v/>
      </c>
      <c r="L9094" s="25" t="str">
        <f t="shared" si="111"/>
        <v>F70157</v>
      </c>
      <c r="M9094" s="25"/>
      <c r="O9094" s="25"/>
    </row>
    <row r="9095" ht="15.75" customHeight="1">
      <c r="A9095" s="25" t="str">
        <f>IFERROR(__xludf.DUMMYFUNCTION("IF(B9095="""","""",RIGHT(REGEXREPLACE(B9095&amp;"""",""[^0-9]"",""""),9))"),"717435501")</f>
        <v>717435501</v>
      </c>
      <c r="B9095" s="52">
        <v>4.717435501E9</v>
      </c>
      <c r="C9095" s="28" t="s">
        <v>9073</v>
      </c>
      <c r="D9095" s="26" t="s">
        <v>64</v>
      </c>
      <c r="E9095" s="31">
        <v>46248.0</v>
      </c>
      <c r="F9095" s="26" t="s">
        <v>205</v>
      </c>
      <c r="I9095" s="26" t="s">
        <v>970</v>
      </c>
      <c r="J9095" s="25" t="str">
        <f t="shared" si="109"/>
        <v>Yes - see Previous F-Code</v>
      </c>
      <c r="K9095" s="25" t="str">
        <f t="shared" si="110"/>
        <v/>
      </c>
      <c r="L9095" s="25" t="str">
        <f t="shared" si="111"/>
        <v>F77797</v>
      </c>
      <c r="M9095" s="25"/>
      <c r="O9095" s="25"/>
    </row>
    <row r="9096" ht="15.75" customHeight="1">
      <c r="A9096" s="25" t="str">
        <f>IFERROR(__xludf.DUMMYFUNCTION("IF(B9096="""","""",RIGHT(REGEXREPLACE(B9096&amp;"""",""[^0-9]"",""""),9))"),"761604664")</f>
        <v>761604664</v>
      </c>
      <c r="B9096" s="52">
        <v>7.61604664E8</v>
      </c>
      <c r="C9096" s="28" t="s">
        <v>9229</v>
      </c>
      <c r="D9096" s="26" t="s">
        <v>64</v>
      </c>
      <c r="E9096" s="31">
        <v>46248.0</v>
      </c>
      <c r="F9096" s="26" t="s">
        <v>205</v>
      </c>
      <c r="I9096" s="26" t="s">
        <v>970</v>
      </c>
      <c r="J9096" s="25" t="str">
        <f t="shared" si="109"/>
        <v>No</v>
      </c>
      <c r="K9096" s="25" t="str">
        <f t="shared" si="110"/>
        <v/>
      </c>
      <c r="L9096" s="25" t="str">
        <f t="shared" si="111"/>
        <v/>
      </c>
      <c r="M9096" s="25"/>
      <c r="O9096" s="25"/>
    </row>
    <row r="9097" ht="15.75" customHeight="1">
      <c r="A9097" s="25" t="str">
        <f>IFERROR(__xludf.DUMMYFUNCTION("IF(B9097="""","""",RIGHT(REGEXREPLACE(B9097&amp;"""",""[^0-9]"",""""),9))"),"702025946")</f>
        <v>702025946</v>
      </c>
      <c r="B9097" s="52">
        <v>7.02025946E8</v>
      </c>
      <c r="C9097" s="28" t="s">
        <v>9230</v>
      </c>
      <c r="D9097" s="26" t="s">
        <v>64</v>
      </c>
      <c r="E9097" s="31">
        <v>46248.0</v>
      </c>
      <c r="F9097" s="26" t="s">
        <v>46</v>
      </c>
      <c r="H9097" s="26" t="s">
        <v>8436</v>
      </c>
      <c r="I9097" s="26" t="s">
        <v>970</v>
      </c>
      <c r="J9097" s="25" t="str">
        <f t="shared" si="109"/>
        <v>No</v>
      </c>
      <c r="K9097" s="25" t="str">
        <f t="shared" si="110"/>
        <v/>
      </c>
      <c r="L9097" s="25" t="str">
        <f t="shared" si="111"/>
        <v/>
      </c>
      <c r="M9097" s="25"/>
      <c r="O9097" s="25"/>
    </row>
    <row r="9098" ht="15.75" customHeight="1">
      <c r="A9098" s="25" t="str">
        <f>IFERROR(__xludf.DUMMYFUNCTION("IF(B9098="""","""",RIGHT(REGEXREPLACE(B9098&amp;"""",""[^0-9]"",""""),9))"),"776732872")</f>
        <v>776732872</v>
      </c>
      <c r="B9098" s="52">
        <v>7.76732872E8</v>
      </c>
      <c r="C9098" s="28" t="s">
        <v>9231</v>
      </c>
      <c r="D9098" s="26" t="s">
        <v>64</v>
      </c>
      <c r="E9098" s="31">
        <v>46248.0</v>
      </c>
      <c r="F9098" s="26" t="s">
        <v>125</v>
      </c>
      <c r="H9098" s="26" t="s">
        <v>78</v>
      </c>
      <c r="I9098" s="26" t="s">
        <v>970</v>
      </c>
      <c r="J9098" s="25" t="str">
        <f t="shared" si="109"/>
        <v>No</v>
      </c>
      <c r="K9098" s="25" t="str">
        <f t="shared" si="110"/>
        <v/>
      </c>
      <c r="L9098" s="25" t="str">
        <f t="shared" si="111"/>
        <v/>
      </c>
      <c r="M9098" s="25"/>
      <c r="O9098" s="25"/>
    </row>
    <row r="9099" ht="15.75" customHeight="1">
      <c r="A9099" s="25" t="str">
        <f>IFERROR(__xludf.DUMMYFUNCTION("IF(B9099="""","""",RIGHT(REGEXREPLACE(B9099&amp;"""",""[^0-9]"",""""),9))"),"715356767")</f>
        <v>715356767</v>
      </c>
      <c r="B9099" s="52">
        <v>7.15356767E8</v>
      </c>
      <c r="C9099" s="28" t="s">
        <v>9232</v>
      </c>
      <c r="D9099" s="26" t="s">
        <v>64</v>
      </c>
      <c r="E9099" s="31">
        <v>46248.0</v>
      </c>
      <c r="F9099" s="26" t="s">
        <v>659</v>
      </c>
      <c r="G9099" s="26">
        <v>11.0</v>
      </c>
      <c r="I9099" s="26" t="s">
        <v>970</v>
      </c>
      <c r="J9099" s="25" t="str">
        <f t="shared" si="109"/>
        <v>No</v>
      </c>
      <c r="K9099" s="25" t="str">
        <f t="shared" si="110"/>
        <v/>
      </c>
      <c r="L9099" s="25" t="str">
        <f t="shared" si="111"/>
        <v/>
      </c>
      <c r="M9099" s="25"/>
      <c r="O9099" s="25"/>
    </row>
    <row r="9100" ht="15.75" customHeight="1">
      <c r="A9100" s="25" t="str">
        <f>IFERROR(__xludf.DUMMYFUNCTION("IF(B9100="""","""",RIGHT(REGEXREPLACE(B9100&amp;"""",""[^0-9]"",""""),9))"),"766404350")</f>
        <v>766404350</v>
      </c>
      <c r="B9100" s="52">
        <v>7.6640435E8</v>
      </c>
      <c r="C9100" s="28" t="s">
        <v>9233</v>
      </c>
      <c r="D9100" s="26" t="s">
        <v>64</v>
      </c>
      <c r="E9100" s="31">
        <v>46248.0</v>
      </c>
      <c r="F9100" s="26" t="s">
        <v>41</v>
      </c>
      <c r="I9100" s="26" t="s">
        <v>970</v>
      </c>
      <c r="J9100" s="25" t="str">
        <f t="shared" si="109"/>
        <v>No</v>
      </c>
      <c r="K9100" s="25" t="str">
        <f t="shared" si="110"/>
        <v/>
      </c>
      <c r="L9100" s="25" t="str">
        <f t="shared" si="111"/>
        <v/>
      </c>
      <c r="M9100" s="25"/>
      <c r="O9100" s="25"/>
    </row>
    <row r="9101" ht="15.75" customHeight="1">
      <c r="A9101" s="25" t="str">
        <f>IFERROR(__xludf.DUMMYFUNCTION("IF(B9101="""","""",RIGHT(REGEXREPLACE(B9101&amp;"""",""[^0-9]"",""""),9))"),"776433352")</f>
        <v>776433352</v>
      </c>
      <c r="B9101" s="52">
        <v>7.76433352E8</v>
      </c>
      <c r="C9101" s="28" t="s">
        <v>9234</v>
      </c>
      <c r="D9101" s="26" t="s">
        <v>64</v>
      </c>
      <c r="E9101" s="31">
        <v>46248.0</v>
      </c>
      <c r="F9101" s="26" t="s">
        <v>164</v>
      </c>
      <c r="I9101" s="26" t="s">
        <v>970</v>
      </c>
      <c r="J9101" s="25" t="str">
        <f t="shared" si="109"/>
        <v>No</v>
      </c>
      <c r="K9101" s="25" t="str">
        <f t="shared" si="110"/>
        <v/>
      </c>
      <c r="L9101" s="25" t="str">
        <f t="shared" si="111"/>
        <v/>
      </c>
      <c r="M9101" s="25"/>
      <c r="O9101" s="25"/>
    </row>
    <row r="9102" ht="15.75" customHeight="1">
      <c r="A9102" s="25" t="str">
        <f>IFERROR(__xludf.DUMMYFUNCTION("IF(B9102="""","""",RIGHT(REGEXREPLACE(B9102&amp;"""",""[^0-9]"",""""),9))"),"740678716")</f>
        <v>740678716</v>
      </c>
      <c r="B9102" s="52">
        <v>7.40678716E8</v>
      </c>
      <c r="C9102" s="28" t="s">
        <v>9235</v>
      </c>
      <c r="D9102" s="26" t="s">
        <v>64</v>
      </c>
      <c r="E9102" s="31">
        <v>46248.0</v>
      </c>
      <c r="F9102" s="26" t="s">
        <v>46</v>
      </c>
      <c r="G9102" s="26">
        <v>10.0</v>
      </c>
      <c r="I9102" s="26" t="s">
        <v>970</v>
      </c>
      <c r="J9102" s="25" t="str">
        <f t="shared" si="109"/>
        <v>No</v>
      </c>
      <c r="K9102" s="25" t="str">
        <f t="shared" si="110"/>
        <v/>
      </c>
      <c r="L9102" s="25" t="str">
        <f t="shared" si="111"/>
        <v/>
      </c>
      <c r="M9102" s="25"/>
      <c r="O9102" s="25"/>
    </row>
    <row r="9103" ht="15.75" customHeight="1">
      <c r="A9103" s="25" t="str">
        <f>IFERROR(__xludf.DUMMYFUNCTION("IF(B9103="""","""",RIGHT(REGEXREPLACE(B9103&amp;"""",""[^0-9]"",""""),9))"),"764643091")</f>
        <v>764643091</v>
      </c>
      <c r="B9103" s="52">
        <v>7.64643091E8</v>
      </c>
      <c r="C9103" s="28" t="s">
        <v>4143</v>
      </c>
      <c r="D9103" s="26" t="s">
        <v>64</v>
      </c>
      <c r="E9103" s="31">
        <v>46248.0</v>
      </c>
      <c r="F9103" s="26" t="s">
        <v>205</v>
      </c>
      <c r="I9103" s="26" t="s">
        <v>970</v>
      </c>
      <c r="J9103" s="25" t="str">
        <f t="shared" si="109"/>
        <v>Yes - see Previous F-Code</v>
      </c>
      <c r="K9103" s="25" t="str">
        <f t="shared" si="110"/>
        <v>DUPLICATE - CHECK</v>
      </c>
      <c r="L9103" s="25" t="str">
        <f t="shared" si="111"/>
        <v>F73780</v>
      </c>
      <c r="M9103" s="25"/>
      <c r="O9103" s="25"/>
    </row>
    <row r="9104" ht="15.75" customHeight="1">
      <c r="A9104" s="25" t="str">
        <f>IFERROR(__xludf.DUMMYFUNCTION("IF(B9104="""","""",RIGHT(REGEXREPLACE(B9104&amp;"""",""[^0-9]"",""""),9))"),"704933581")</f>
        <v>704933581</v>
      </c>
      <c r="B9104" s="52">
        <v>7.04933581E8</v>
      </c>
      <c r="C9104" s="28" t="s">
        <v>9236</v>
      </c>
      <c r="D9104" s="26" t="s">
        <v>64</v>
      </c>
      <c r="E9104" s="31">
        <v>46248.0</v>
      </c>
      <c r="F9104" s="26" t="s">
        <v>46</v>
      </c>
      <c r="G9104" s="26">
        <v>10.0</v>
      </c>
      <c r="H9104" s="26" t="s">
        <v>8436</v>
      </c>
      <c r="I9104" s="26" t="s">
        <v>970</v>
      </c>
      <c r="J9104" s="25" t="str">
        <f t="shared" si="109"/>
        <v>No</v>
      </c>
      <c r="K9104" s="25" t="str">
        <f t="shared" si="110"/>
        <v/>
      </c>
      <c r="L9104" s="25" t="str">
        <f t="shared" si="111"/>
        <v/>
      </c>
      <c r="M9104" s="25"/>
      <c r="O9104" s="25"/>
    </row>
    <row r="9105" ht="15.75" customHeight="1">
      <c r="A9105" s="25" t="str">
        <f>IFERROR(__xludf.DUMMYFUNCTION("IF(B9105="""","""",RIGHT(REGEXREPLACE(B9105&amp;"""",""[^0-9]"",""""),9))"),"718408722")</f>
        <v>718408722</v>
      </c>
      <c r="B9105" s="52">
        <v>7.18408722E8</v>
      </c>
      <c r="C9105" s="28" t="s">
        <v>1748</v>
      </c>
      <c r="D9105" s="26" t="s">
        <v>56</v>
      </c>
      <c r="E9105" s="31">
        <v>46248.0</v>
      </c>
      <c r="F9105" s="26" t="s">
        <v>164</v>
      </c>
      <c r="H9105" s="26" t="s">
        <v>8436</v>
      </c>
      <c r="I9105" s="26" t="s">
        <v>970</v>
      </c>
      <c r="J9105" s="25" t="str">
        <f t="shared" si="109"/>
        <v>Yes - see Previous F-Code</v>
      </c>
      <c r="K9105" s="25" t="str">
        <f t="shared" si="110"/>
        <v/>
      </c>
      <c r="L9105" s="25" t="str">
        <f t="shared" si="111"/>
        <v>F71457</v>
      </c>
      <c r="M9105" s="25"/>
      <c r="O9105" s="25"/>
    </row>
    <row r="9106" ht="15.75" customHeight="1">
      <c r="A9106" s="25" t="str">
        <f>IFERROR(__xludf.DUMMYFUNCTION("IF(B9106="""","""",RIGHT(REGEXREPLACE(B9106&amp;"""",""[^0-9]"",""""),9))"),"778200566")</f>
        <v>778200566</v>
      </c>
      <c r="B9106" s="52">
        <v>7.78200566E8</v>
      </c>
      <c r="C9106" s="28" t="s">
        <v>9237</v>
      </c>
      <c r="D9106" s="26" t="s">
        <v>64</v>
      </c>
      <c r="E9106" s="31">
        <v>46248.0</v>
      </c>
      <c r="F9106" s="26" t="s">
        <v>46</v>
      </c>
      <c r="G9106" s="26">
        <v>11.0</v>
      </c>
      <c r="I9106" s="26" t="s">
        <v>970</v>
      </c>
      <c r="J9106" s="25" t="str">
        <f t="shared" si="109"/>
        <v>No</v>
      </c>
      <c r="K9106" s="25" t="str">
        <f t="shared" si="110"/>
        <v/>
      </c>
      <c r="L9106" s="25" t="str">
        <f t="shared" si="111"/>
        <v/>
      </c>
      <c r="M9106" s="25"/>
      <c r="O9106" s="25"/>
    </row>
    <row r="9107" ht="15.75" customHeight="1">
      <c r="A9107" s="25" t="str">
        <f>IFERROR(__xludf.DUMMYFUNCTION("IF(B9107="""","""",RIGHT(REGEXREPLACE(B9107&amp;"""",""[^0-9]"",""""),9))"),"719766956")</f>
        <v>719766956</v>
      </c>
      <c r="B9107" s="52">
        <v>7.19766956E8</v>
      </c>
      <c r="C9107" s="28" t="s">
        <v>9238</v>
      </c>
      <c r="D9107" s="26" t="s">
        <v>64</v>
      </c>
      <c r="E9107" s="31">
        <v>46248.0</v>
      </c>
      <c r="F9107" s="26" t="s">
        <v>46</v>
      </c>
      <c r="H9107" s="26" t="s">
        <v>5434</v>
      </c>
      <c r="I9107" s="26" t="s">
        <v>970</v>
      </c>
      <c r="J9107" s="25" t="str">
        <f t="shared" si="109"/>
        <v>No</v>
      </c>
      <c r="K9107" s="25" t="str">
        <f t="shared" si="110"/>
        <v/>
      </c>
      <c r="L9107" s="25" t="str">
        <f t="shared" si="111"/>
        <v/>
      </c>
      <c r="M9107" s="25"/>
      <c r="O9107" s="25"/>
    </row>
    <row r="9108" ht="15.75" customHeight="1">
      <c r="A9108" s="25" t="str">
        <f>IFERROR(__xludf.DUMMYFUNCTION("IF(B9108="""","""",RIGHT(REGEXREPLACE(B9108&amp;"""",""[^0-9]"",""""),9))"),"569827850")</f>
        <v>569827850</v>
      </c>
      <c r="B9108" s="52">
        <v>7.156982785E10</v>
      </c>
      <c r="C9108" s="28" t="s">
        <v>9239</v>
      </c>
      <c r="D9108" s="26" t="s">
        <v>64</v>
      </c>
      <c r="E9108" s="31">
        <v>46248.0</v>
      </c>
      <c r="F9108" s="26" t="s">
        <v>814</v>
      </c>
      <c r="I9108" s="26" t="s">
        <v>970</v>
      </c>
      <c r="J9108" s="25" t="str">
        <f t="shared" si="109"/>
        <v>No</v>
      </c>
      <c r="K9108" s="25" t="str">
        <f t="shared" si="110"/>
        <v/>
      </c>
      <c r="L9108" s="25" t="str">
        <f t="shared" si="111"/>
        <v/>
      </c>
      <c r="M9108" s="25"/>
      <c r="O9108" s="25"/>
    </row>
    <row r="9109" ht="15.75" customHeight="1">
      <c r="A9109" s="25" t="str">
        <f>IFERROR(__xludf.DUMMYFUNCTION("IF(B9109="""","""",RIGHT(REGEXREPLACE(B9109&amp;"""",""[^0-9]"",""""),9))"),"722916017")</f>
        <v>722916017</v>
      </c>
      <c r="B9109" s="52">
        <v>7.22916017E8</v>
      </c>
      <c r="C9109" s="28" t="s">
        <v>2650</v>
      </c>
      <c r="D9109" s="26" t="s">
        <v>56</v>
      </c>
      <c r="E9109" s="31">
        <v>46248.0</v>
      </c>
      <c r="F9109" s="26" t="s">
        <v>41</v>
      </c>
      <c r="I9109" s="26" t="s">
        <v>970</v>
      </c>
      <c r="J9109" s="25" t="str">
        <f t="shared" si="109"/>
        <v>Yes - see Previous F-Code</v>
      </c>
      <c r="K9109" s="25" t="str">
        <f t="shared" si="110"/>
        <v/>
      </c>
      <c r="L9109" s="25" t="str">
        <f t="shared" si="111"/>
        <v>F72338</v>
      </c>
      <c r="M9109" s="25"/>
      <c r="O9109" s="25"/>
    </row>
    <row r="9110" ht="15.75" customHeight="1">
      <c r="A9110" s="25" t="str">
        <f>IFERROR(__xludf.DUMMYFUNCTION("IF(B9110="""","""",RIGHT(REGEXREPLACE(B9110&amp;"""",""[^0-9]"",""""),9))"),"714348798")</f>
        <v>714348798</v>
      </c>
      <c r="B9110" s="26">
        <v>7.14348798E8</v>
      </c>
      <c r="C9110" s="28" t="s">
        <v>9240</v>
      </c>
      <c r="D9110" s="26" t="s">
        <v>56</v>
      </c>
      <c r="E9110" s="31">
        <v>46248.0</v>
      </c>
      <c r="F9110" s="26" t="s">
        <v>659</v>
      </c>
      <c r="I9110" s="26" t="s">
        <v>970</v>
      </c>
      <c r="J9110" s="25" t="str">
        <f t="shared" si="109"/>
        <v>No</v>
      </c>
      <c r="K9110" s="25" t="str">
        <f t="shared" si="110"/>
        <v/>
      </c>
      <c r="L9110" s="25" t="str">
        <f t="shared" si="111"/>
        <v/>
      </c>
      <c r="M9110" s="25"/>
      <c r="O9110" s="25"/>
    </row>
    <row r="9111" ht="15.75" customHeight="1">
      <c r="A9111" s="25" t="str">
        <f>IFERROR(__xludf.DUMMYFUNCTION("IF(B9111="""","""",RIGHT(REGEXREPLACE(B9111&amp;"""",""[^0-9]"",""""),9))"),"775936320")</f>
        <v>775936320</v>
      </c>
      <c r="B9111" s="52">
        <v>7.7593632E8</v>
      </c>
      <c r="C9111" s="28" t="s">
        <v>9241</v>
      </c>
      <c r="D9111" s="26" t="s">
        <v>56</v>
      </c>
      <c r="E9111" s="31">
        <v>46248.0</v>
      </c>
      <c r="F9111" s="26" t="s">
        <v>46</v>
      </c>
      <c r="G9111" s="26">
        <v>10.0</v>
      </c>
      <c r="H9111" s="26" t="s">
        <v>8436</v>
      </c>
      <c r="I9111" s="26" t="s">
        <v>970</v>
      </c>
      <c r="J9111" s="25" t="str">
        <f t="shared" si="109"/>
        <v>No</v>
      </c>
      <c r="K9111" s="25" t="str">
        <f t="shared" si="110"/>
        <v/>
      </c>
      <c r="L9111" s="25" t="str">
        <f t="shared" si="111"/>
        <v/>
      </c>
      <c r="M9111" s="25"/>
      <c r="O9111" s="25"/>
    </row>
    <row r="9112" ht="15.75" customHeight="1">
      <c r="A9112" s="25" t="str">
        <f>IFERROR(__xludf.DUMMYFUNCTION("IF(B9112="""","""",RIGHT(REGEXREPLACE(B9112&amp;"""",""[^0-9]"",""""),9))"),"766508721")</f>
        <v>766508721</v>
      </c>
      <c r="B9112" s="52">
        <v>7.66508721E8</v>
      </c>
      <c r="C9112" s="28" t="s">
        <v>9242</v>
      </c>
      <c r="D9112" s="26" t="s">
        <v>64</v>
      </c>
      <c r="E9112" s="31">
        <v>46248.0</v>
      </c>
      <c r="F9112" s="26" t="s">
        <v>46</v>
      </c>
      <c r="H9112" s="26" t="s">
        <v>9243</v>
      </c>
      <c r="I9112" s="26" t="s">
        <v>970</v>
      </c>
      <c r="J9112" s="25" t="str">
        <f t="shared" si="109"/>
        <v>No</v>
      </c>
      <c r="K9112" s="25" t="str">
        <f t="shared" si="110"/>
        <v/>
      </c>
      <c r="L9112" s="25" t="str">
        <f t="shared" si="111"/>
        <v/>
      </c>
      <c r="M9112" s="25"/>
      <c r="O9112" s="25"/>
    </row>
    <row r="9113" ht="15.75" customHeight="1">
      <c r="A9113" s="25" t="str">
        <f>IFERROR(__xludf.DUMMYFUNCTION("IF(B9113="""","""",RIGHT(REGEXREPLACE(B9113&amp;"""",""[^0-9]"",""""),9))"),"761997517")</f>
        <v>761997517</v>
      </c>
      <c r="B9113" s="52">
        <v>7.61997517E8</v>
      </c>
      <c r="C9113" s="28" t="s">
        <v>4240</v>
      </c>
      <c r="D9113" s="26" t="s">
        <v>64</v>
      </c>
      <c r="E9113" s="31">
        <v>46248.0</v>
      </c>
      <c r="F9113" s="26" t="s">
        <v>46</v>
      </c>
      <c r="H9113" s="26" t="s">
        <v>9244</v>
      </c>
      <c r="I9113" s="26" t="s">
        <v>970</v>
      </c>
      <c r="J9113" s="25" t="str">
        <f t="shared" si="109"/>
        <v>Yes - see Previous F-Code</v>
      </c>
      <c r="K9113" s="25" t="str">
        <f t="shared" si="110"/>
        <v/>
      </c>
      <c r="L9113" s="25" t="str">
        <f t="shared" si="111"/>
        <v>F73871</v>
      </c>
      <c r="M9113" s="25"/>
      <c r="O9113" s="25"/>
    </row>
    <row r="9114" ht="15.75" customHeight="1">
      <c r="A9114" s="25" t="str">
        <f>IFERROR(__xludf.DUMMYFUNCTION("IF(B9114="""","""",RIGHT(REGEXREPLACE(B9114&amp;"""",""[^0-9]"",""""),9))"),"788080185")</f>
        <v>788080185</v>
      </c>
      <c r="B9114" s="52">
        <v>7.88080185E8</v>
      </c>
      <c r="C9114" s="28" t="s">
        <v>4239</v>
      </c>
      <c r="D9114" s="26" t="s">
        <v>64</v>
      </c>
      <c r="E9114" s="31">
        <v>46252.0</v>
      </c>
      <c r="F9114" s="26" t="s">
        <v>205</v>
      </c>
      <c r="I9114" s="26" t="s">
        <v>970</v>
      </c>
      <c r="J9114" s="25" t="str">
        <f t="shared" si="109"/>
        <v>No</v>
      </c>
      <c r="K9114" s="25" t="str">
        <f t="shared" si="110"/>
        <v/>
      </c>
      <c r="L9114" s="25" t="str">
        <f t="shared" si="111"/>
        <v/>
      </c>
      <c r="M9114" s="25"/>
      <c r="O9114" s="25"/>
    </row>
    <row r="9115" ht="15.75" customHeight="1">
      <c r="A9115" s="25" t="str">
        <f>IFERROR(__xludf.DUMMYFUNCTION("IF(B9115="""","""",RIGHT(REGEXREPLACE(B9115&amp;"""",""[^0-9]"",""""),9))"),"761044857")</f>
        <v>761044857</v>
      </c>
      <c r="B9115" s="52">
        <v>7.61044857E8</v>
      </c>
      <c r="C9115" s="28" t="s">
        <v>9245</v>
      </c>
      <c r="D9115" s="26" t="s">
        <v>64</v>
      </c>
      <c r="E9115" s="31">
        <v>46248.0</v>
      </c>
      <c r="F9115" s="26" t="s">
        <v>41</v>
      </c>
      <c r="I9115" s="26" t="s">
        <v>970</v>
      </c>
      <c r="J9115" s="25" t="str">
        <f t="shared" si="109"/>
        <v>No</v>
      </c>
      <c r="K9115" s="25" t="str">
        <f t="shared" si="110"/>
        <v/>
      </c>
      <c r="L9115" s="25" t="str">
        <f t="shared" si="111"/>
        <v/>
      </c>
      <c r="M9115" s="25"/>
      <c r="O9115" s="25"/>
    </row>
    <row r="9116" ht="15.75" customHeight="1">
      <c r="A9116" s="25" t="str">
        <f>IFERROR(__xludf.DUMMYFUNCTION("IF(B9116="""","""",RIGHT(REGEXREPLACE(B9116&amp;"""",""[^0-9]"",""""),9))"),"766322693")</f>
        <v>766322693</v>
      </c>
      <c r="B9116" s="52">
        <v>7.66322693E8</v>
      </c>
      <c r="C9116" s="28" t="s">
        <v>9246</v>
      </c>
      <c r="D9116" s="26" t="s">
        <v>64</v>
      </c>
      <c r="E9116" s="31">
        <v>46248.0</v>
      </c>
      <c r="F9116" s="26" t="s">
        <v>46</v>
      </c>
      <c r="G9116" s="26">
        <v>11.0</v>
      </c>
      <c r="I9116" s="26" t="s">
        <v>970</v>
      </c>
      <c r="J9116" s="25" t="str">
        <f t="shared" si="109"/>
        <v>No</v>
      </c>
      <c r="K9116" s="25" t="str">
        <f t="shared" si="110"/>
        <v/>
      </c>
      <c r="L9116" s="25" t="str">
        <f t="shared" si="111"/>
        <v/>
      </c>
      <c r="M9116" s="25"/>
      <c r="O9116" s="25"/>
    </row>
    <row r="9117" ht="15.75" customHeight="1">
      <c r="A9117" s="25" t="str">
        <f>IFERROR(__xludf.DUMMYFUNCTION("IF(B9117="""","""",RIGHT(REGEXREPLACE(B9117&amp;"""",""[^0-9]"",""""),9))"),"763141972")</f>
        <v>763141972</v>
      </c>
      <c r="B9117" s="52">
        <v>7.63141972E8</v>
      </c>
      <c r="C9117" s="28" t="s">
        <v>9247</v>
      </c>
      <c r="D9117" s="26" t="s">
        <v>64</v>
      </c>
      <c r="E9117" s="31">
        <v>46248.0</v>
      </c>
      <c r="F9117" s="26" t="s">
        <v>46</v>
      </c>
      <c r="G9117" s="26">
        <v>11.0</v>
      </c>
      <c r="I9117" s="26" t="s">
        <v>970</v>
      </c>
      <c r="J9117" s="25" t="str">
        <f t="shared" si="109"/>
        <v>No</v>
      </c>
      <c r="K9117" s="25" t="str">
        <f t="shared" si="110"/>
        <v/>
      </c>
      <c r="L9117" s="25" t="str">
        <f t="shared" si="111"/>
        <v/>
      </c>
      <c r="M9117" s="25"/>
      <c r="O9117" s="25"/>
    </row>
    <row r="9118" ht="15.75" customHeight="1">
      <c r="A9118" s="25" t="str">
        <f>IFERROR(__xludf.DUMMYFUNCTION("IF(B9118="""","""",RIGHT(REGEXREPLACE(B9118&amp;"""",""[^0-9]"",""""),9))"),"760636059")</f>
        <v>760636059</v>
      </c>
      <c r="B9118" s="52">
        <v>7.60636059E8</v>
      </c>
      <c r="C9118" s="28" t="s">
        <v>9248</v>
      </c>
      <c r="D9118" s="26" t="s">
        <v>64</v>
      </c>
      <c r="E9118" s="31">
        <v>46248.0</v>
      </c>
      <c r="F9118" s="26" t="s">
        <v>41</v>
      </c>
      <c r="I9118" s="26" t="s">
        <v>970</v>
      </c>
      <c r="J9118" s="25" t="str">
        <f t="shared" si="109"/>
        <v>No</v>
      </c>
      <c r="K9118" s="25" t="str">
        <f t="shared" si="110"/>
        <v/>
      </c>
      <c r="L9118" s="25" t="str">
        <f t="shared" si="111"/>
        <v/>
      </c>
      <c r="M9118" s="25"/>
      <c r="O9118" s="25"/>
    </row>
    <row r="9119" ht="15.75" customHeight="1">
      <c r="A9119" s="25" t="str">
        <f>IFERROR(__xludf.DUMMYFUNCTION("IF(B9119="""","""",RIGHT(REGEXREPLACE(B9119&amp;"""",""[^0-9]"",""""),9))"),"778694153")</f>
        <v>778694153</v>
      </c>
      <c r="B9119" s="52">
        <v>7.78694153E8</v>
      </c>
      <c r="C9119" s="28" t="s">
        <v>563</v>
      </c>
      <c r="D9119" s="26" t="s">
        <v>64</v>
      </c>
      <c r="E9119" s="31">
        <v>46248.0</v>
      </c>
      <c r="F9119" s="26" t="s">
        <v>46</v>
      </c>
      <c r="G9119" s="26">
        <v>11.0</v>
      </c>
      <c r="I9119" s="26" t="s">
        <v>970</v>
      </c>
      <c r="J9119" s="25" t="str">
        <f t="shared" si="109"/>
        <v>No</v>
      </c>
      <c r="K9119" s="25" t="str">
        <f t="shared" si="110"/>
        <v/>
      </c>
      <c r="L9119" s="25" t="str">
        <f t="shared" si="111"/>
        <v/>
      </c>
      <c r="M9119" s="25"/>
      <c r="O9119" s="25"/>
    </row>
    <row r="9120" ht="15.75" customHeight="1">
      <c r="A9120" s="25" t="str">
        <f>IFERROR(__xludf.DUMMYFUNCTION("IF(B9120="""","""",RIGHT(REGEXREPLACE(B9120&amp;"""",""[^0-9]"",""""),9))"),"772245377")</f>
        <v>772245377</v>
      </c>
      <c r="B9120" s="52">
        <v>7.72245377E8</v>
      </c>
      <c r="C9120" s="28" t="s">
        <v>9249</v>
      </c>
      <c r="D9120" s="26" t="s">
        <v>64</v>
      </c>
      <c r="E9120" s="31">
        <v>46248.0</v>
      </c>
      <c r="F9120" s="26" t="s">
        <v>41</v>
      </c>
      <c r="I9120" s="26" t="s">
        <v>970</v>
      </c>
      <c r="J9120" s="25" t="str">
        <f t="shared" si="109"/>
        <v>No</v>
      </c>
      <c r="K9120" s="25" t="str">
        <f t="shared" si="110"/>
        <v/>
      </c>
      <c r="L9120" s="25" t="str">
        <f t="shared" si="111"/>
        <v/>
      </c>
      <c r="M9120" s="25"/>
      <c r="O9120" s="25"/>
    </row>
    <row r="9121" ht="15.75" customHeight="1">
      <c r="A9121" s="25" t="str">
        <f>IFERROR(__xludf.DUMMYFUNCTION("IF(B9121="""","""",RIGHT(REGEXREPLACE(B9121&amp;"""",""[^0-9]"",""""),9))"),"762672800")</f>
        <v>762672800</v>
      </c>
      <c r="B9121" s="52">
        <v>7.626728E8</v>
      </c>
      <c r="C9121" s="28" t="s">
        <v>9250</v>
      </c>
      <c r="D9121" s="26" t="s">
        <v>64</v>
      </c>
      <c r="E9121" s="31">
        <v>46248.0</v>
      </c>
      <c r="F9121" s="26" t="s">
        <v>41</v>
      </c>
      <c r="I9121" s="26" t="s">
        <v>970</v>
      </c>
      <c r="J9121" s="25" t="str">
        <f t="shared" si="109"/>
        <v>No</v>
      </c>
      <c r="K9121" s="25" t="str">
        <f t="shared" si="110"/>
        <v/>
      </c>
      <c r="L9121" s="25" t="str">
        <f t="shared" si="111"/>
        <v/>
      </c>
      <c r="M9121" s="25"/>
      <c r="O9121" s="25"/>
    </row>
    <row r="9122" ht="15.75" customHeight="1">
      <c r="A9122" s="25" t="str">
        <f>IFERROR(__xludf.DUMMYFUNCTION("IF(B9122="""","""",RIGHT(REGEXREPLACE(B9122&amp;"""",""[^0-9]"",""""),9))"),"766357408")</f>
        <v>766357408</v>
      </c>
      <c r="B9122" s="52">
        <v>7.66357408E8</v>
      </c>
      <c r="C9122" s="28" t="s">
        <v>9251</v>
      </c>
      <c r="D9122" s="26" t="s">
        <v>64</v>
      </c>
      <c r="E9122" s="31">
        <v>46248.0</v>
      </c>
      <c r="F9122" s="26" t="s">
        <v>41</v>
      </c>
      <c r="I9122" s="26" t="s">
        <v>970</v>
      </c>
      <c r="J9122" s="25" t="str">
        <f t="shared" si="109"/>
        <v>No</v>
      </c>
      <c r="K9122" s="25" t="str">
        <f t="shared" si="110"/>
        <v/>
      </c>
      <c r="L9122" s="25" t="str">
        <f t="shared" si="111"/>
        <v/>
      </c>
      <c r="M9122" s="25"/>
      <c r="O9122" s="25"/>
    </row>
    <row r="9123" ht="15.75" customHeight="1">
      <c r="A9123" s="25" t="str">
        <f>IFERROR(__xludf.DUMMYFUNCTION("IF(B9123="""","""",RIGHT(REGEXREPLACE(B9123&amp;"""",""[^0-9]"",""""),9))"),"778500393")</f>
        <v>778500393</v>
      </c>
      <c r="B9123" s="52">
        <v>7.78500393E8</v>
      </c>
      <c r="C9123" s="28" t="s">
        <v>9245</v>
      </c>
      <c r="D9123" s="26" t="s">
        <v>64</v>
      </c>
      <c r="E9123" s="31">
        <v>46248.0</v>
      </c>
      <c r="F9123" s="26" t="s">
        <v>46</v>
      </c>
      <c r="G9123" s="26">
        <v>9.0</v>
      </c>
      <c r="I9123" s="26" t="s">
        <v>970</v>
      </c>
      <c r="J9123" s="25" t="str">
        <f t="shared" si="109"/>
        <v>No</v>
      </c>
      <c r="K9123" s="25" t="str">
        <f t="shared" si="110"/>
        <v/>
      </c>
      <c r="L9123" s="25" t="str">
        <f t="shared" si="111"/>
        <v/>
      </c>
      <c r="M9123" s="25"/>
      <c r="O9123" s="25"/>
    </row>
    <row r="9124" ht="15.75" customHeight="1">
      <c r="A9124" s="25" t="str">
        <f>IFERROR(__xludf.DUMMYFUNCTION("IF(B9124="""","""",RIGHT(REGEXREPLACE(B9124&amp;"""",""[^0-9]"",""""),9))"),"714165549")</f>
        <v>714165549</v>
      </c>
      <c r="B9124" s="52">
        <v>7.14165549E8</v>
      </c>
      <c r="C9124" s="28" t="s">
        <v>9252</v>
      </c>
      <c r="D9124" s="26" t="s">
        <v>64</v>
      </c>
      <c r="E9124" s="31">
        <v>46248.0</v>
      </c>
      <c r="F9124" s="26" t="s">
        <v>46</v>
      </c>
      <c r="G9124" s="26">
        <v>10.0</v>
      </c>
      <c r="I9124" s="26" t="s">
        <v>970</v>
      </c>
      <c r="J9124" s="25" t="str">
        <f t="shared" si="109"/>
        <v>No</v>
      </c>
      <c r="K9124" s="25" t="str">
        <f t="shared" si="110"/>
        <v/>
      </c>
      <c r="L9124" s="25" t="str">
        <f t="shared" si="111"/>
        <v/>
      </c>
      <c r="M9124" s="25"/>
      <c r="O9124" s="25"/>
    </row>
    <row r="9125" ht="15.75" customHeight="1">
      <c r="A9125" s="25" t="str">
        <f>IFERROR(__xludf.DUMMYFUNCTION("IF(B9125="""","""",RIGHT(REGEXREPLACE(B9125&amp;"""",""[^0-9]"",""""),9))"),"766601037")</f>
        <v>766601037</v>
      </c>
      <c r="B9125" s="52">
        <v>7.66601037E8</v>
      </c>
      <c r="C9125" s="28" t="s">
        <v>9253</v>
      </c>
      <c r="D9125" s="26" t="s">
        <v>56</v>
      </c>
      <c r="E9125" s="31">
        <v>46252.0</v>
      </c>
      <c r="F9125" s="26" t="s">
        <v>631</v>
      </c>
      <c r="G9125" s="26">
        <v>10.0</v>
      </c>
      <c r="I9125" s="26" t="s">
        <v>970</v>
      </c>
      <c r="J9125" s="25" t="str">
        <f t="shared" si="109"/>
        <v>No</v>
      </c>
      <c r="K9125" s="25" t="str">
        <f t="shared" si="110"/>
        <v/>
      </c>
      <c r="L9125" s="25" t="str">
        <f t="shared" si="111"/>
        <v/>
      </c>
      <c r="M9125" s="25"/>
      <c r="O9125" s="25"/>
    </row>
    <row r="9126" ht="15.75" customHeight="1">
      <c r="A9126" s="25" t="str">
        <f>IFERROR(__xludf.DUMMYFUNCTION("IF(B9126="""","""",RIGHT(REGEXREPLACE(B9126&amp;"""",""[^0-9]"",""""),9))"),"711258871")</f>
        <v>711258871</v>
      </c>
      <c r="B9126" s="52">
        <v>4.711258871E9</v>
      </c>
      <c r="C9126" s="28" t="s">
        <v>9254</v>
      </c>
      <c r="D9126" s="26" t="s">
        <v>64</v>
      </c>
      <c r="E9126" s="31">
        <v>46248.0</v>
      </c>
      <c r="F9126" s="26" t="s">
        <v>46</v>
      </c>
      <c r="G9126" s="26">
        <v>9.0</v>
      </c>
      <c r="H9126" s="26" t="s">
        <v>3667</v>
      </c>
      <c r="I9126" s="26" t="s">
        <v>970</v>
      </c>
      <c r="J9126" s="25" t="str">
        <f t="shared" si="109"/>
        <v>No</v>
      </c>
      <c r="K9126" s="25" t="str">
        <f t="shared" si="110"/>
        <v/>
      </c>
      <c r="L9126" s="25" t="str">
        <f t="shared" si="111"/>
        <v/>
      </c>
      <c r="M9126" s="25"/>
      <c r="O9126" s="25"/>
    </row>
    <row r="9127" ht="15.75" customHeight="1">
      <c r="A9127" s="25" t="str">
        <f>IFERROR(__xludf.DUMMYFUNCTION("IF(B9127="""","""",RIGHT(REGEXREPLACE(B9127&amp;"""",""[^0-9]"",""""),9))"),"717100901")</f>
        <v>717100901</v>
      </c>
      <c r="B9127" s="52">
        <v>4.717100901E9</v>
      </c>
      <c r="C9127" s="28" t="s">
        <v>8362</v>
      </c>
      <c r="D9127" s="26" t="s">
        <v>64</v>
      </c>
      <c r="E9127" s="31">
        <v>46248.0</v>
      </c>
      <c r="F9127" s="26" t="s">
        <v>41</v>
      </c>
      <c r="H9127" s="26" t="s">
        <v>9029</v>
      </c>
      <c r="I9127" s="26" t="s">
        <v>970</v>
      </c>
      <c r="J9127" s="25" t="str">
        <f t="shared" si="109"/>
        <v>No</v>
      </c>
      <c r="K9127" s="25" t="str">
        <f t="shared" si="110"/>
        <v/>
      </c>
      <c r="L9127" s="25" t="str">
        <f t="shared" si="111"/>
        <v/>
      </c>
      <c r="M9127" s="25"/>
      <c r="O9127" s="25"/>
    </row>
    <row r="9128" ht="15.75" customHeight="1">
      <c r="A9128" s="25" t="str">
        <f>IFERROR(__xludf.DUMMYFUNCTION("IF(B9128="""","""",RIGHT(REGEXREPLACE(B9128&amp;"""",""[^0-9]"",""""),9))"),"762742451")</f>
        <v>762742451</v>
      </c>
      <c r="B9128" s="52">
        <v>7.62742451E8</v>
      </c>
      <c r="C9128" s="28" t="s">
        <v>9255</v>
      </c>
      <c r="D9128" s="26" t="s">
        <v>56</v>
      </c>
      <c r="E9128" s="31">
        <v>46248.0</v>
      </c>
      <c r="F9128" s="26" t="s">
        <v>46</v>
      </c>
      <c r="G9128" s="26">
        <v>9.0</v>
      </c>
      <c r="H9128" s="26" t="s">
        <v>140</v>
      </c>
      <c r="I9128" s="26" t="s">
        <v>970</v>
      </c>
      <c r="J9128" s="25" t="str">
        <f t="shared" si="109"/>
        <v>No</v>
      </c>
      <c r="K9128" s="25" t="str">
        <f t="shared" si="110"/>
        <v/>
      </c>
      <c r="L9128" s="25" t="str">
        <f t="shared" si="111"/>
        <v/>
      </c>
      <c r="M9128" s="25"/>
      <c r="O9128" s="25"/>
    </row>
    <row r="9129" ht="15.75" customHeight="1">
      <c r="A9129" s="25" t="str">
        <f>IFERROR(__xludf.DUMMYFUNCTION("IF(B9129="""","""",RIGHT(REGEXREPLACE(B9129&amp;"""",""[^0-9]"",""""),9))"),"743103886")</f>
        <v>743103886</v>
      </c>
      <c r="B9129" s="52">
        <v>7.43103886E8</v>
      </c>
      <c r="C9129" s="28" t="s">
        <v>9256</v>
      </c>
      <c r="D9129" s="26" t="s">
        <v>56</v>
      </c>
      <c r="E9129" s="31">
        <v>46248.0</v>
      </c>
      <c r="F9129" s="26" t="s">
        <v>41</v>
      </c>
      <c r="I9129" s="26" t="s">
        <v>970</v>
      </c>
      <c r="J9129" s="25" t="str">
        <f t="shared" si="109"/>
        <v>No</v>
      </c>
      <c r="K9129" s="25" t="str">
        <f t="shared" si="110"/>
        <v/>
      </c>
      <c r="L9129" s="25" t="str">
        <f t="shared" si="111"/>
        <v/>
      </c>
      <c r="M9129" s="25"/>
      <c r="O9129" s="25"/>
    </row>
    <row r="9130" ht="15.75" customHeight="1">
      <c r="A9130" s="25" t="str">
        <f>IFERROR(__xludf.DUMMYFUNCTION("IF(B9130="""","""",RIGHT(REGEXREPLACE(B9130&amp;"""",""[^0-9]"",""""),9))"),"761795070")</f>
        <v>761795070</v>
      </c>
      <c r="B9130" s="52">
        <v>7.6179507E8</v>
      </c>
      <c r="C9130" s="28" t="s">
        <v>9257</v>
      </c>
      <c r="D9130" s="26" t="s">
        <v>64</v>
      </c>
      <c r="E9130" s="31">
        <v>46248.0</v>
      </c>
      <c r="F9130" s="26" t="s">
        <v>46</v>
      </c>
      <c r="G9130" s="26">
        <v>10.0</v>
      </c>
      <c r="I9130" s="26" t="s">
        <v>970</v>
      </c>
      <c r="J9130" s="25" t="str">
        <f t="shared" si="109"/>
        <v>No</v>
      </c>
      <c r="K9130" s="25" t="str">
        <f t="shared" si="110"/>
        <v/>
      </c>
      <c r="L9130" s="25" t="str">
        <f t="shared" si="111"/>
        <v/>
      </c>
      <c r="M9130" s="25"/>
      <c r="O9130" s="25"/>
    </row>
    <row r="9131" ht="15.75" customHeight="1">
      <c r="A9131" s="25" t="str">
        <f>IFERROR(__xludf.DUMMYFUNCTION("IF(B9131="""","""",RIGHT(REGEXREPLACE(B9131&amp;"""",""[^0-9]"",""""),9))"),"702777571")</f>
        <v>702777571</v>
      </c>
      <c r="B9131" s="52">
        <v>7.02777571E8</v>
      </c>
      <c r="C9131" s="28" t="s">
        <v>9258</v>
      </c>
      <c r="D9131" s="26" t="s">
        <v>56</v>
      </c>
      <c r="E9131" s="31">
        <v>46248.0</v>
      </c>
      <c r="F9131" s="26" t="s">
        <v>205</v>
      </c>
      <c r="H9131" s="26" t="s">
        <v>8436</v>
      </c>
      <c r="I9131" s="26" t="s">
        <v>970</v>
      </c>
      <c r="J9131" s="25" t="str">
        <f t="shared" si="109"/>
        <v>No</v>
      </c>
      <c r="K9131" s="25" t="str">
        <f t="shared" si="110"/>
        <v/>
      </c>
      <c r="L9131" s="25" t="str">
        <f t="shared" si="111"/>
        <v/>
      </c>
      <c r="M9131" s="25"/>
      <c r="O9131" s="25"/>
    </row>
    <row r="9132" ht="15.75" customHeight="1">
      <c r="A9132" s="25" t="str">
        <f>IFERROR(__xludf.DUMMYFUNCTION("IF(B9132="""","""",RIGHT(REGEXREPLACE(B9132&amp;"""",""[^0-9]"",""""),9))"),"761564866")</f>
        <v>761564866</v>
      </c>
      <c r="B9132" s="52">
        <v>7.61564866E8</v>
      </c>
      <c r="C9132" s="28" t="s">
        <v>9259</v>
      </c>
      <c r="D9132" s="26" t="s">
        <v>64</v>
      </c>
      <c r="E9132" s="31">
        <v>46248.0</v>
      </c>
      <c r="F9132" s="26" t="s">
        <v>41</v>
      </c>
      <c r="I9132" s="26" t="s">
        <v>970</v>
      </c>
      <c r="J9132" s="25" t="str">
        <f t="shared" si="109"/>
        <v>No</v>
      </c>
      <c r="K9132" s="25" t="str">
        <f t="shared" si="110"/>
        <v/>
      </c>
      <c r="L9132" s="25" t="str">
        <f t="shared" si="111"/>
        <v/>
      </c>
      <c r="M9132" s="25"/>
      <c r="O9132" s="25"/>
    </row>
    <row r="9133" ht="15.75" customHeight="1">
      <c r="A9133" s="25" t="str">
        <f>IFERROR(__xludf.DUMMYFUNCTION("IF(B9133="""","""",RIGHT(REGEXREPLACE(B9133&amp;"""",""[^0-9]"",""""),9))"),"776799038")</f>
        <v>776799038</v>
      </c>
      <c r="B9133" s="52">
        <v>7.76799038E8</v>
      </c>
      <c r="C9133" s="28" t="s">
        <v>9260</v>
      </c>
      <c r="D9133" s="26" t="s">
        <v>64</v>
      </c>
      <c r="E9133" s="31">
        <v>46248.0</v>
      </c>
      <c r="F9133" s="26" t="s">
        <v>46</v>
      </c>
      <c r="I9133" s="26" t="s">
        <v>970</v>
      </c>
      <c r="J9133" s="25" t="str">
        <f t="shared" si="109"/>
        <v>No</v>
      </c>
      <c r="K9133" s="25" t="str">
        <f t="shared" si="110"/>
        <v/>
      </c>
      <c r="L9133" s="25" t="str">
        <f t="shared" si="111"/>
        <v/>
      </c>
      <c r="M9133" s="25"/>
      <c r="O9133" s="25"/>
    </row>
    <row r="9134" ht="15.75" customHeight="1">
      <c r="A9134" s="25" t="str">
        <f>IFERROR(__xludf.DUMMYFUNCTION("IF(B9134="""","""",RIGHT(REGEXREPLACE(B9134&amp;"""",""[^0-9]"",""""),9))"),"701000365")</f>
        <v>701000365</v>
      </c>
      <c r="B9134" s="52">
        <v>7.01000365E8</v>
      </c>
      <c r="C9134" s="28" t="s">
        <v>9261</v>
      </c>
      <c r="D9134" s="26" t="s">
        <v>45</v>
      </c>
      <c r="E9134" s="31">
        <v>46248.0</v>
      </c>
      <c r="F9134" s="26" t="s">
        <v>125</v>
      </c>
      <c r="I9134" s="26" t="s">
        <v>970</v>
      </c>
      <c r="J9134" s="25" t="str">
        <f t="shared" si="109"/>
        <v>No</v>
      </c>
      <c r="K9134" s="25" t="str">
        <f t="shared" si="110"/>
        <v/>
      </c>
      <c r="L9134" s="25" t="str">
        <f t="shared" si="111"/>
        <v/>
      </c>
      <c r="M9134" s="25"/>
      <c r="O9134" s="25"/>
    </row>
    <row r="9135" ht="15.75" customHeight="1">
      <c r="A9135" s="25" t="str">
        <f>IFERROR(__xludf.DUMMYFUNCTION("IF(B9135="""","""",RIGHT(REGEXREPLACE(B9135&amp;"""",""[^0-9]"",""""),9))"),"777171151")</f>
        <v>777171151</v>
      </c>
      <c r="B9135" s="52">
        <v>7.77171151E8</v>
      </c>
      <c r="C9135" s="28" t="s">
        <v>9262</v>
      </c>
      <c r="D9135" s="26" t="s">
        <v>45</v>
      </c>
      <c r="E9135" s="31">
        <v>46248.0</v>
      </c>
      <c r="F9135" s="26" t="s">
        <v>46</v>
      </c>
      <c r="H9135" s="26" t="s">
        <v>280</v>
      </c>
      <c r="I9135" s="26" t="s">
        <v>970</v>
      </c>
      <c r="J9135" s="25" t="str">
        <f t="shared" si="109"/>
        <v>No</v>
      </c>
      <c r="K9135" s="25" t="str">
        <f t="shared" si="110"/>
        <v/>
      </c>
      <c r="L9135" s="25" t="str">
        <f t="shared" si="111"/>
        <v/>
      </c>
      <c r="M9135" s="25"/>
      <c r="O9135" s="25"/>
    </row>
    <row r="9136" ht="15.75" customHeight="1">
      <c r="A9136" s="25" t="str">
        <f>IFERROR(__xludf.DUMMYFUNCTION("IF(B9136="""","""",RIGHT(REGEXREPLACE(B9136&amp;"""",""[^0-9]"",""""),9))"),"767489140")</f>
        <v>767489140</v>
      </c>
      <c r="B9136" s="52">
        <v>7.6748914E8</v>
      </c>
      <c r="C9136" s="28" t="s">
        <v>9263</v>
      </c>
      <c r="D9136" s="26" t="s">
        <v>45</v>
      </c>
      <c r="E9136" s="31">
        <v>46248.0</v>
      </c>
      <c r="F9136" s="26" t="s">
        <v>41</v>
      </c>
      <c r="I9136" s="26" t="s">
        <v>970</v>
      </c>
      <c r="J9136" s="25" t="str">
        <f t="shared" si="109"/>
        <v>No</v>
      </c>
      <c r="K9136" s="25" t="str">
        <f t="shared" si="110"/>
        <v/>
      </c>
      <c r="L9136" s="25" t="str">
        <f t="shared" si="111"/>
        <v/>
      </c>
      <c r="M9136" s="25"/>
      <c r="O9136" s="25"/>
    </row>
    <row r="9137" ht="15.75" customHeight="1">
      <c r="A9137" s="25" t="str">
        <f>IFERROR(__xludf.DUMMYFUNCTION("IF(B9137="""","""",RIGHT(REGEXREPLACE(B9137&amp;"""",""[^0-9]"",""""),9))"),"771337352")</f>
        <v>771337352</v>
      </c>
      <c r="B9137" s="52">
        <v>7.71337352E8</v>
      </c>
      <c r="C9137" s="28" t="s">
        <v>9264</v>
      </c>
      <c r="D9137" s="26" t="s">
        <v>45</v>
      </c>
      <c r="E9137" s="31">
        <v>46248.0</v>
      </c>
      <c r="F9137" s="26" t="s">
        <v>46</v>
      </c>
      <c r="G9137" s="26">
        <v>10.0</v>
      </c>
      <c r="I9137" s="26" t="s">
        <v>970</v>
      </c>
      <c r="J9137" s="25" t="str">
        <f t="shared" si="109"/>
        <v>Yes - see Previous F-Code</v>
      </c>
      <c r="K9137" s="25" t="str">
        <f t="shared" si="110"/>
        <v/>
      </c>
      <c r="L9137" s="25" t="str">
        <f t="shared" si="111"/>
        <v>F74147</v>
      </c>
      <c r="M9137" s="25"/>
      <c r="O9137" s="25"/>
    </row>
    <row r="9138" ht="15.75" customHeight="1">
      <c r="C9138" s="46"/>
      <c r="D9138" s="25"/>
      <c r="F9138" s="25"/>
      <c r="I9138" s="26" t="s">
        <v>970</v>
      </c>
      <c r="M9138" s="25"/>
      <c r="O9138" s="25"/>
    </row>
    <row r="9139" ht="15.75" customHeight="1">
      <c r="A9139" s="25" t="str">
        <f>IFERROR(__xludf.DUMMYFUNCTION("IF(B9139="""","""",RIGHT(REGEXREPLACE(B9139&amp;"""",""[^0-9]"",""""),9))"),"711045960")</f>
        <v>711045960</v>
      </c>
      <c r="B9139" s="52">
        <v>7.1104596E8</v>
      </c>
      <c r="C9139" s="28" t="s">
        <v>9260</v>
      </c>
      <c r="D9139" s="26" t="s">
        <v>64</v>
      </c>
      <c r="E9139" s="31">
        <v>46249.0</v>
      </c>
      <c r="F9139" s="26" t="s">
        <v>46</v>
      </c>
      <c r="H9139" s="26" t="s">
        <v>8436</v>
      </c>
      <c r="I9139" s="26" t="s">
        <v>902</v>
      </c>
      <c r="J9139" s="25" t="str">
        <f t="shared" ref="J9139:J9188" si="112">IF(COUNTIF($A$2:A9138,A9139)&gt;0,"Yes - see Previous F-Code","No")</f>
        <v>No</v>
      </c>
      <c r="K9139" s="25" t="str">
        <f t="shared" ref="K9139:K9188" si="113">IF(COUNTIFS($A$2:A9139,A9139,$I$2:I9139,I9139)&gt;1,"DUPLICATE - CHECK","")</f>
        <v/>
      </c>
      <c r="L9139" s="25" t="str">
        <f t="shared" ref="L9139:L9188" si="114">IF(COUNTIF($A$2:A9138,A9139)&gt;0,INDEX($C$2:C9138,MATCH(A9139,$A$2:A9138,0)),"")</f>
        <v/>
      </c>
      <c r="M9139" s="25"/>
      <c r="O9139" s="25"/>
    </row>
    <row r="9140" ht="15.75" customHeight="1">
      <c r="A9140" s="25" t="str">
        <f>IFERROR(__xludf.DUMMYFUNCTION("IF(B9140="""","""",RIGHT(REGEXREPLACE(B9140&amp;"""",""[^0-9]"",""""),9))"),"767164450")</f>
        <v>767164450</v>
      </c>
      <c r="B9140" s="52">
        <v>7.6716445E8</v>
      </c>
      <c r="C9140" s="28" t="s">
        <v>8811</v>
      </c>
      <c r="D9140" s="26" t="s">
        <v>49</v>
      </c>
      <c r="E9140" s="31">
        <v>46249.0</v>
      </c>
      <c r="F9140" s="26" t="s">
        <v>46</v>
      </c>
      <c r="G9140" s="26">
        <v>8.0</v>
      </c>
      <c r="H9140" s="26" t="s">
        <v>9265</v>
      </c>
      <c r="I9140" s="26" t="s">
        <v>902</v>
      </c>
      <c r="J9140" s="25" t="str">
        <f t="shared" si="112"/>
        <v>Yes - see Previous F-Code</v>
      </c>
      <c r="K9140" s="25" t="str">
        <f t="shared" si="113"/>
        <v/>
      </c>
      <c r="L9140" s="25" t="str">
        <f t="shared" si="114"/>
        <v>F77840</v>
      </c>
      <c r="M9140" s="25"/>
      <c r="O9140" s="25"/>
    </row>
    <row r="9141" ht="15.75" customHeight="1">
      <c r="A9141" s="25" t="str">
        <f>IFERROR(__xludf.DUMMYFUNCTION("IF(B9141="""","""",RIGHT(REGEXREPLACE(B9141&amp;"""",""[^0-9]"",""""),9))"),"763323395")</f>
        <v>763323395</v>
      </c>
      <c r="B9141" s="52">
        <v>7.63323395E8</v>
      </c>
      <c r="C9141" s="28" t="s">
        <v>9260</v>
      </c>
      <c r="D9141" s="26" t="s">
        <v>64</v>
      </c>
      <c r="E9141" s="31">
        <v>46249.0</v>
      </c>
      <c r="F9141" s="26" t="s">
        <v>46</v>
      </c>
      <c r="G9141" s="26">
        <v>11.0</v>
      </c>
      <c r="I9141" s="26" t="s">
        <v>902</v>
      </c>
      <c r="J9141" s="25" t="str">
        <f t="shared" si="112"/>
        <v>Yes - see Previous F-Code</v>
      </c>
      <c r="K9141" s="25" t="str">
        <f t="shared" si="113"/>
        <v/>
      </c>
      <c r="L9141" s="25" t="str">
        <f t="shared" si="114"/>
        <v>F77686</v>
      </c>
      <c r="M9141" s="25"/>
      <c r="O9141" s="25"/>
    </row>
    <row r="9142" ht="15.75" customHeight="1">
      <c r="A9142" s="25" t="str">
        <f>IFERROR(__xludf.DUMMYFUNCTION("IF(B9142="""","""",RIGHT(REGEXREPLACE(B9142&amp;"""",""[^0-9]"",""""),9))"),"757094663")</f>
        <v>757094663</v>
      </c>
      <c r="B9142" s="52">
        <v>7.57094663E8</v>
      </c>
      <c r="C9142" s="28" t="s">
        <v>9266</v>
      </c>
      <c r="D9142" s="26" t="s">
        <v>49</v>
      </c>
      <c r="E9142" s="31">
        <v>46249.0</v>
      </c>
      <c r="F9142" s="26" t="s">
        <v>41</v>
      </c>
      <c r="H9142" s="26" t="s">
        <v>8479</v>
      </c>
      <c r="I9142" s="26" t="s">
        <v>902</v>
      </c>
      <c r="J9142" s="25" t="str">
        <f t="shared" si="112"/>
        <v>No</v>
      </c>
      <c r="K9142" s="25" t="str">
        <f t="shared" si="113"/>
        <v/>
      </c>
      <c r="L9142" s="25" t="str">
        <f t="shared" si="114"/>
        <v/>
      </c>
      <c r="M9142" s="25"/>
      <c r="O9142" s="25"/>
    </row>
    <row r="9143" ht="15.75" customHeight="1">
      <c r="A9143" s="25" t="str">
        <f>IFERROR(__xludf.DUMMYFUNCTION("IF(B9143="""","""",RIGHT(REGEXREPLACE(B9143&amp;"""",""[^0-9]"",""""),9))"),"765399989")</f>
        <v>765399989</v>
      </c>
      <c r="B9143" s="52">
        <v>7.65399989E8</v>
      </c>
      <c r="C9143" s="28" t="s">
        <v>9267</v>
      </c>
      <c r="D9143" s="26" t="s">
        <v>64</v>
      </c>
      <c r="E9143" s="31">
        <v>46249.0</v>
      </c>
      <c r="F9143" s="26" t="s">
        <v>46</v>
      </c>
      <c r="H9143" s="26" t="s">
        <v>4607</v>
      </c>
      <c r="I9143" s="26" t="s">
        <v>902</v>
      </c>
      <c r="J9143" s="25" t="str">
        <f t="shared" si="112"/>
        <v>No</v>
      </c>
      <c r="K9143" s="25" t="str">
        <f t="shared" si="113"/>
        <v/>
      </c>
      <c r="L9143" s="25" t="str">
        <f t="shared" si="114"/>
        <v/>
      </c>
      <c r="M9143" s="25"/>
      <c r="O9143" s="25"/>
    </row>
    <row r="9144" ht="15.75" customHeight="1">
      <c r="A9144" s="25" t="str">
        <f>IFERROR(__xludf.DUMMYFUNCTION("IF(B9144="""","""",RIGHT(REGEXREPLACE(B9144&amp;"""",""[^0-9]"",""""),9))"),"740710406")</f>
        <v>740710406</v>
      </c>
      <c r="B9144" s="52">
        <v>7.40710406E8</v>
      </c>
      <c r="C9144" s="28" t="s">
        <v>9268</v>
      </c>
      <c r="D9144" s="26" t="s">
        <v>49</v>
      </c>
      <c r="E9144" s="31">
        <v>46249.0</v>
      </c>
      <c r="F9144" s="26" t="s">
        <v>46</v>
      </c>
      <c r="G9144" s="26">
        <v>11.0</v>
      </c>
      <c r="H9144" s="26" t="s">
        <v>9269</v>
      </c>
      <c r="I9144" s="26" t="s">
        <v>902</v>
      </c>
      <c r="J9144" s="25" t="str">
        <f t="shared" si="112"/>
        <v>No</v>
      </c>
      <c r="K9144" s="25" t="str">
        <f t="shared" si="113"/>
        <v/>
      </c>
      <c r="L9144" s="25" t="str">
        <f t="shared" si="114"/>
        <v/>
      </c>
      <c r="M9144" s="25"/>
      <c r="O9144" s="25"/>
    </row>
    <row r="9145" ht="15.75" customHeight="1">
      <c r="A9145" s="25" t="str">
        <f>IFERROR(__xludf.DUMMYFUNCTION("IF(B9145="""","""",RIGHT(REGEXREPLACE(B9145&amp;"""",""[^0-9]"",""""),9))"),"764438121")</f>
        <v>764438121</v>
      </c>
      <c r="B9145" s="52">
        <v>7.64438121E8</v>
      </c>
      <c r="C9145" s="28" t="s">
        <v>9270</v>
      </c>
      <c r="D9145" s="26" t="s">
        <v>49</v>
      </c>
      <c r="E9145" s="31">
        <v>46249.0</v>
      </c>
      <c r="F9145" s="26" t="s">
        <v>205</v>
      </c>
      <c r="H9145" s="26" t="s">
        <v>8479</v>
      </c>
      <c r="I9145" s="26" t="s">
        <v>902</v>
      </c>
      <c r="J9145" s="25" t="str">
        <f t="shared" si="112"/>
        <v>No</v>
      </c>
      <c r="K9145" s="25" t="str">
        <f t="shared" si="113"/>
        <v/>
      </c>
      <c r="L9145" s="25" t="str">
        <f t="shared" si="114"/>
        <v/>
      </c>
      <c r="M9145" s="25"/>
      <c r="O9145" s="25"/>
    </row>
    <row r="9146" ht="15.75" customHeight="1">
      <c r="A9146" s="25" t="str">
        <f>IFERROR(__xludf.DUMMYFUNCTION("IF(B9146="""","""",RIGHT(REGEXREPLACE(B9146&amp;"""",""[^0-9]"",""""),9))"),"761573710")</f>
        <v>761573710</v>
      </c>
      <c r="B9146" s="52">
        <v>7.6157371E8</v>
      </c>
      <c r="C9146" s="28" t="s">
        <v>9271</v>
      </c>
      <c r="D9146" s="26" t="s">
        <v>64</v>
      </c>
      <c r="E9146" s="31">
        <v>46249.0</v>
      </c>
      <c r="F9146" s="26" t="s">
        <v>46</v>
      </c>
      <c r="G9146" s="26">
        <v>11.0</v>
      </c>
      <c r="H9146" s="26" t="s">
        <v>8479</v>
      </c>
      <c r="I9146" s="26" t="s">
        <v>902</v>
      </c>
      <c r="J9146" s="25" t="str">
        <f t="shared" si="112"/>
        <v>No</v>
      </c>
      <c r="K9146" s="25" t="str">
        <f t="shared" si="113"/>
        <v/>
      </c>
      <c r="L9146" s="25" t="str">
        <f t="shared" si="114"/>
        <v/>
      </c>
      <c r="M9146" s="25"/>
      <c r="O9146" s="25"/>
    </row>
    <row r="9147" ht="15.75" customHeight="1">
      <c r="A9147" s="25" t="str">
        <f>IFERROR(__xludf.DUMMYFUNCTION("IF(B9147="""","""",RIGHT(REGEXREPLACE(B9147&amp;"""",""[^0-9]"",""""),9))"),"728364353")</f>
        <v>728364353</v>
      </c>
      <c r="B9147" s="52">
        <v>7.28364353E8</v>
      </c>
      <c r="C9147" s="28" t="s">
        <v>9272</v>
      </c>
      <c r="D9147" s="26" t="s">
        <v>49</v>
      </c>
      <c r="E9147" s="31">
        <v>46249.0</v>
      </c>
      <c r="F9147" s="26" t="s">
        <v>46</v>
      </c>
      <c r="G9147" s="26">
        <v>10.0</v>
      </c>
      <c r="H9147" s="26" t="s">
        <v>7044</v>
      </c>
      <c r="I9147" s="26" t="s">
        <v>902</v>
      </c>
      <c r="J9147" s="25" t="str">
        <f t="shared" si="112"/>
        <v>No</v>
      </c>
      <c r="K9147" s="25" t="str">
        <f t="shared" si="113"/>
        <v/>
      </c>
      <c r="L9147" s="25" t="str">
        <f t="shared" si="114"/>
        <v/>
      </c>
      <c r="M9147" s="25"/>
      <c r="O9147" s="25"/>
    </row>
    <row r="9148" ht="15.75" customHeight="1">
      <c r="A9148" s="25" t="str">
        <f>IFERROR(__xludf.DUMMYFUNCTION("IF(B9148="""","""",RIGHT(REGEXREPLACE(B9148&amp;"""",""[^0-9]"",""""),9))"),"741458325")</f>
        <v>741458325</v>
      </c>
      <c r="B9148" s="52">
        <v>7.41458325E8</v>
      </c>
      <c r="C9148" s="28" t="s">
        <v>9013</v>
      </c>
      <c r="D9148" s="26" t="s">
        <v>64</v>
      </c>
      <c r="E9148" s="31">
        <v>46249.0</v>
      </c>
      <c r="F9148" s="26" t="s">
        <v>41</v>
      </c>
      <c r="G9148" s="26">
        <v>11.0</v>
      </c>
      <c r="I9148" s="26" t="s">
        <v>902</v>
      </c>
      <c r="J9148" s="25" t="str">
        <f t="shared" si="112"/>
        <v>Yes - see Previous F-Code</v>
      </c>
      <c r="K9148" s="25" t="str">
        <f t="shared" si="113"/>
        <v/>
      </c>
      <c r="L9148" s="25" t="str">
        <f t="shared" si="114"/>
        <v>F77680</v>
      </c>
      <c r="M9148" s="25"/>
      <c r="O9148" s="25"/>
    </row>
    <row r="9149" ht="15.75" customHeight="1">
      <c r="A9149" s="25" t="str">
        <f>IFERROR(__xludf.DUMMYFUNCTION("IF(B9149="""","""",RIGHT(REGEXREPLACE(B9149&amp;"""",""[^0-9]"",""""),9))"),"761013172")</f>
        <v>761013172</v>
      </c>
      <c r="B9149" s="52">
        <v>7.61013172E8</v>
      </c>
      <c r="C9149" s="28" t="s">
        <v>9273</v>
      </c>
      <c r="D9149" s="26" t="s">
        <v>64</v>
      </c>
      <c r="E9149" s="31">
        <v>46249.0</v>
      </c>
      <c r="F9149" s="26" t="s">
        <v>205</v>
      </c>
      <c r="I9149" s="26" t="s">
        <v>902</v>
      </c>
      <c r="J9149" s="25" t="str">
        <f t="shared" si="112"/>
        <v>No</v>
      </c>
      <c r="K9149" s="25" t="str">
        <f t="shared" si="113"/>
        <v/>
      </c>
      <c r="L9149" s="25" t="str">
        <f t="shared" si="114"/>
        <v/>
      </c>
      <c r="M9149" s="25"/>
      <c r="O9149" s="25"/>
    </row>
    <row r="9150" ht="15.75" customHeight="1">
      <c r="A9150" s="25" t="str">
        <f>IFERROR(__xludf.DUMMYFUNCTION("IF(B9150="""","""",RIGHT(REGEXREPLACE(B9150&amp;"""",""[^0-9]"",""""),9))"),"785807574")</f>
        <v>785807574</v>
      </c>
      <c r="B9150" s="52">
        <v>7.85807574E8</v>
      </c>
      <c r="C9150" s="28" t="s">
        <v>9274</v>
      </c>
      <c r="D9150" s="26" t="s">
        <v>64</v>
      </c>
      <c r="E9150" s="31">
        <v>46249.0</v>
      </c>
      <c r="F9150" s="26" t="s">
        <v>46</v>
      </c>
      <c r="G9150" s="26">
        <v>11.0</v>
      </c>
      <c r="I9150" s="26" t="s">
        <v>902</v>
      </c>
      <c r="J9150" s="25" t="str">
        <f t="shared" si="112"/>
        <v>No</v>
      </c>
      <c r="K9150" s="25" t="str">
        <f t="shared" si="113"/>
        <v/>
      </c>
      <c r="L9150" s="25" t="str">
        <f t="shared" si="114"/>
        <v/>
      </c>
      <c r="M9150" s="25"/>
      <c r="O9150" s="25"/>
    </row>
    <row r="9151" ht="15.75" customHeight="1">
      <c r="A9151" s="25" t="str">
        <f>IFERROR(__xludf.DUMMYFUNCTION("IF(B9151="""","""",RIGHT(REGEXREPLACE(B9151&amp;"""",""[^0-9]"",""""),9))"),"718047317")</f>
        <v>718047317</v>
      </c>
      <c r="B9151" s="52">
        <v>7.18047317E8</v>
      </c>
      <c r="C9151" s="28" t="s">
        <v>9275</v>
      </c>
      <c r="D9151" s="26" t="s">
        <v>49</v>
      </c>
      <c r="E9151" s="31">
        <v>46249.0</v>
      </c>
      <c r="F9151" s="26" t="s">
        <v>46</v>
      </c>
      <c r="H9151" s="26" t="s">
        <v>9276</v>
      </c>
      <c r="I9151" s="26" t="s">
        <v>902</v>
      </c>
      <c r="J9151" s="25" t="str">
        <f t="shared" si="112"/>
        <v>No</v>
      </c>
      <c r="K9151" s="25" t="str">
        <f t="shared" si="113"/>
        <v/>
      </c>
      <c r="L9151" s="25" t="str">
        <f t="shared" si="114"/>
        <v/>
      </c>
      <c r="M9151" s="25"/>
      <c r="O9151" s="25"/>
    </row>
    <row r="9152" ht="15.75" customHeight="1">
      <c r="A9152" s="25" t="str">
        <f>IFERROR(__xludf.DUMMYFUNCTION("IF(B9152="""","""",RIGHT(REGEXREPLACE(B9152&amp;"""",""[^0-9]"",""""),9))"),"767316015")</f>
        <v>767316015</v>
      </c>
      <c r="B9152" s="52">
        <v>7.67316015E8</v>
      </c>
      <c r="C9152" s="28" t="s">
        <v>9277</v>
      </c>
      <c r="D9152" s="26" t="s">
        <v>49</v>
      </c>
      <c r="E9152" s="31">
        <v>46249.0</v>
      </c>
      <c r="F9152" s="26" t="s">
        <v>46</v>
      </c>
      <c r="H9152" s="26" t="s">
        <v>9278</v>
      </c>
      <c r="I9152" s="26" t="s">
        <v>902</v>
      </c>
      <c r="J9152" s="25" t="str">
        <f t="shared" si="112"/>
        <v>No</v>
      </c>
      <c r="K9152" s="25" t="str">
        <f t="shared" si="113"/>
        <v/>
      </c>
      <c r="L9152" s="25" t="str">
        <f t="shared" si="114"/>
        <v/>
      </c>
      <c r="M9152" s="25"/>
      <c r="O9152" s="25"/>
    </row>
    <row r="9153" ht="15.75" customHeight="1">
      <c r="A9153" s="25" t="str">
        <f>IFERROR(__xludf.DUMMYFUNCTION("IF(B9153="""","""",RIGHT(REGEXREPLACE(B9153&amp;"""",""[^0-9]"",""""),9))"),"775160841")</f>
        <v>775160841</v>
      </c>
      <c r="B9153" s="52">
        <v>7.75160841E8</v>
      </c>
      <c r="C9153" s="28" t="s">
        <v>9279</v>
      </c>
      <c r="D9153" s="26" t="s">
        <v>64</v>
      </c>
      <c r="E9153" s="31">
        <v>46249.0</v>
      </c>
      <c r="F9153" s="26" t="s">
        <v>46</v>
      </c>
      <c r="H9153" s="26" t="s">
        <v>8555</v>
      </c>
      <c r="I9153" s="26" t="s">
        <v>902</v>
      </c>
      <c r="J9153" s="25" t="str">
        <f t="shared" si="112"/>
        <v>No</v>
      </c>
      <c r="K9153" s="25" t="str">
        <f t="shared" si="113"/>
        <v/>
      </c>
      <c r="L9153" s="25" t="str">
        <f t="shared" si="114"/>
        <v/>
      </c>
      <c r="M9153" s="25"/>
      <c r="O9153" s="25"/>
    </row>
    <row r="9154" ht="15.75" customHeight="1">
      <c r="A9154" s="25" t="str">
        <f>IFERROR(__xludf.DUMMYFUNCTION("IF(B9154="""","""",RIGHT(REGEXREPLACE(B9154&amp;"""",""[^0-9]"",""""),9))"),"741392697")</f>
        <v>741392697</v>
      </c>
      <c r="B9154" s="52">
        <v>7.41392697E8</v>
      </c>
      <c r="C9154" s="28" t="s">
        <v>9280</v>
      </c>
      <c r="D9154" s="26" t="s">
        <v>49</v>
      </c>
      <c r="E9154" s="31">
        <v>46249.0</v>
      </c>
      <c r="F9154" s="26" t="s">
        <v>41</v>
      </c>
      <c r="I9154" s="26" t="s">
        <v>902</v>
      </c>
      <c r="J9154" s="25" t="str">
        <f t="shared" si="112"/>
        <v>No</v>
      </c>
      <c r="K9154" s="25" t="str">
        <f t="shared" si="113"/>
        <v/>
      </c>
      <c r="L9154" s="25" t="str">
        <f t="shared" si="114"/>
        <v/>
      </c>
      <c r="M9154" s="25"/>
      <c r="O9154" s="25"/>
    </row>
    <row r="9155" ht="15.75" customHeight="1">
      <c r="A9155" s="25" t="str">
        <f>IFERROR(__xludf.DUMMYFUNCTION("IF(B9155="""","""",RIGHT(REGEXREPLACE(B9155&amp;"""",""[^0-9]"",""""),9))"),"770772634")</f>
        <v>770772634</v>
      </c>
      <c r="B9155" s="52">
        <v>7.70772634E8</v>
      </c>
      <c r="C9155" s="28" t="s">
        <v>9281</v>
      </c>
      <c r="D9155" s="26" t="s">
        <v>64</v>
      </c>
      <c r="E9155" s="31">
        <v>46249.0</v>
      </c>
      <c r="F9155" s="26" t="s">
        <v>46</v>
      </c>
      <c r="G9155" s="26">
        <v>11.0</v>
      </c>
      <c r="H9155" s="26" t="s">
        <v>8436</v>
      </c>
      <c r="I9155" s="26" t="s">
        <v>902</v>
      </c>
      <c r="J9155" s="25" t="str">
        <f t="shared" si="112"/>
        <v>No</v>
      </c>
      <c r="K9155" s="25" t="str">
        <f t="shared" si="113"/>
        <v/>
      </c>
      <c r="L9155" s="25" t="str">
        <f t="shared" si="114"/>
        <v/>
      </c>
      <c r="M9155" s="25"/>
      <c r="O9155" s="25"/>
    </row>
    <row r="9156" ht="15.75" customHeight="1">
      <c r="A9156" s="25" t="str">
        <f>IFERROR(__xludf.DUMMYFUNCTION("IF(B9156="""","""",RIGHT(REGEXREPLACE(B9156&amp;"""",""[^0-9]"",""""),9))"),"779674765")</f>
        <v>779674765</v>
      </c>
      <c r="B9156" s="52">
        <v>7.79674765E8</v>
      </c>
      <c r="C9156" s="28" t="s">
        <v>9282</v>
      </c>
      <c r="D9156" s="26" t="s">
        <v>49</v>
      </c>
      <c r="E9156" s="31">
        <v>46249.0</v>
      </c>
      <c r="F9156" s="26" t="s">
        <v>46</v>
      </c>
      <c r="H9156" s="26" t="s">
        <v>5896</v>
      </c>
      <c r="I9156" s="26" t="s">
        <v>902</v>
      </c>
      <c r="J9156" s="25" t="str">
        <f t="shared" si="112"/>
        <v>No</v>
      </c>
      <c r="K9156" s="25" t="str">
        <f t="shared" si="113"/>
        <v/>
      </c>
      <c r="L9156" s="25" t="str">
        <f t="shared" si="114"/>
        <v/>
      </c>
      <c r="M9156" s="25"/>
      <c r="O9156" s="25"/>
    </row>
    <row r="9157" ht="15.75" customHeight="1">
      <c r="A9157" s="25" t="str">
        <f>IFERROR(__xludf.DUMMYFUNCTION("IF(B9157="""","""",RIGHT(REGEXREPLACE(B9157&amp;"""",""[^0-9]"",""""),9))"),"771911974")</f>
        <v>771911974</v>
      </c>
      <c r="B9157" s="52">
        <v>7.71911974E8</v>
      </c>
      <c r="C9157" s="28" t="s">
        <v>2232</v>
      </c>
      <c r="D9157" s="26" t="s">
        <v>49</v>
      </c>
      <c r="E9157" s="31">
        <v>46249.0</v>
      </c>
      <c r="F9157" s="26" t="s">
        <v>46</v>
      </c>
      <c r="G9157" s="26">
        <v>10.0</v>
      </c>
      <c r="H9157" s="26" t="s">
        <v>8479</v>
      </c>
      <c r="I9157" s="26" t="s">
        <v>902</v>
      </c>
      <c r="J9157" s="25" t="str">
        <f t="shared" si="112"/>
        <v>Yes - see Previous F-Code</v>
      </c>
      <c r="K9157" s="25" t="str">
        <f t="shared" si="113"/>
        <v/>
      </c>
      <c r="L9157" s="25" t="str">
        <f t="shared" si="114"/>
        <v>F71932</v>
      </c>
      <c r="M9157" s="25"/>
      <c r="O9157" s="25"/>
    </row>
    <row r="9158" ht="15.75" customHeight="1">
      <c r="A9158" s="25" t="str">
        <f>IFERROR(__xludf.DUMMYFUNCTION("IF(B9158="""","""",RIGHT(REGEXREPLACE(B9158&amp;"""",""[^0-9]"",""""),9))"),"717212711")</f>
        <v>717212711</v>
      </c>
      <c r="B9158" s="52">
        <v>9.4717212711E10</v>
      </c>
      <c r="C9158" s="28" t="s">
        <v>8687</v>
      </c>
      <c r="D9158" s="26" t="s">
        <v>49</v>
      </c>
      <c r="E9158" s="31">
        <v>46249.0</v>
      </c>
      <c r="F9158" s="26" t="s">
        <v>46</v>
      </c>
      <c r="H9158" s="26" t="s">
        <v>8436</v>
      </c>
      <c r="I9158" s="26" t="s">
        <v>902</v>
      </c>
      <c r="J9158" s="25" t="str">
        <f t="shared" si="112"/>
        <v>Yes - see Previous F-Code</v>
      </c>
      <c r="K9158" s="25" t="str">
        <f t="shared" si="113"/>
        <v/>
      </c>
      <c r="L9158" s="25" t="str">
        <f t="shared" si="114"/>
        <v>F77448</v>
      </c>
      <c r="M9158" s="25"/>
      <c r="O9158" s="25"/>
    </row>
    <row r="9159" ht="15.75" customHeight="1">
      <c r="A9159" s="25" t="str">
        <f>IFERROR(__xludf.DUMMYFUNCTION("IF(B9159="""","""",RIGHT(REGEXREPLACE(B9159&amp;"""",""[^0-9]"",""""),9))"),"717645952")</f>
        <v>717645952</v>
      </c>
      <c r="B9159" s="52">
        <v>7.17645952E8</v>
      </c>
      <c r="C9159" s="28" t="s">
        <v>9283</v>
      </c>
      <c r="D9159" s="26" t="s">
        <v>64</v>
      </c>
      <c r="E9159" s="31">
        <v>46249.0</v>
      </c>
      <c r="F9159" s="26" t="s">
        <v>46</v>
      </c>
      <c r="G9159" s="26">
        <v>10.0</v>
      </c>
      <c r="H9159" s="26" t="s">
        <v>8436</v>
      </c>
      <c r="I9159" s="26" t="s">
        <v>902</v>
      </c>
      <c r="J9159" s="25" t="str">
        <f t="shared" si="112"/>
        <v>No</v>
      </c>
      <c r="K9159" s="25" t="str">
        <f t="shared" si="113"/>
        <v/>
      </c>
      <c r="L9159" s="25" t="str">
        <f t="shared" si="114"/>
        <v/>
      </c>
      <c r="M9159" s="25"/>
      <c r="O9159" s="25"/>
    </row>
    <row r="9160" ht="15.75" customHeight="1">
      <c r="A9160" s="25" t="str">
        <f>IFERROR(__xludf.DUMMYFUNCTION("IF(B9160="""","""",RIGHT(REGEXREPLACE(B9160&amp;"""",""[^0-9]"",""""),9))"),"762921471")</f>
        <v>762921471</v>
      </c>
      <c r="B9160" s="52">
        <v>7.62921471E8</v>
      </c>
      <c r="C9160" s="28" t="s">
        <v>9284</v>
      </c>
      <c r="D9160" s="26" t="s">
        <v>49</v>
      </c>
      <c r="E9160" s="31">
        <v>46249.0</v>
      </c>
      <c r="F9160" s="26" t="s">
        <v>41</v>
      </c>
      <c r="I9160" s="26" t="s">
        <v>902</v>
      </c>
      <c r="J9160" s="25" t="str">
        <f t="shared" si="112"/>
        <v>No</v>
      </c>
      <c r="K9160" s="25" t="str">
        <f t="shared" si="113"/>
        <v/>
      </c>
      <c r="L9160" s="25" t="str">
        <f t="shared" si="114"/>
        <v/>
      </c>
      <c r="M9160" s="25"/>
      <c r="O9160" s="25"/>
    </row>
    <row r="9161" ht="15.75" customHeight="1">
      <c r="A9161" s="25" t="str">
        <f>IFERROR(__xludf.DUMMYFUNCTION("IF(B9161="""","""",RIGHT(REGEXREPLACE(B9161&amp;"""",""[^0-9]"",""""),9))"),"715398026")</f>
        <v>715398026</v>
      </c>
      <c r="B9161" s="52">
        <v>7.15398026E8</v>
      </c>
      <c r="C9161" s="28" t="s">
        <v>9285</v>
      </c>
      <c r="D9161" s="26" t="s">
        <v>49</v>
      </c>
      <c r="E9161" s="31">
        <v>46250.0</v>
      </c>
      <c r="F9161" s="26" t="s">
        <v>125</v>
      </c>
      <c r="H9161" s="26" t="s">
        <v>8479</v>
      </c>
      <c r="I9161" s="26" t="s">
        <v>902</v>
      </c>
      <c r="J9161" s="25" t="str">
        <f t="shared" si="112"/>
        <v>No</v>
      </c>
      <c r="K9161" s="25" t="str">
        <f t="shared" si="113"/>
        <v/>
      </c>
      <c r="L9161" s="25" t="str">
        <f t="shared" si="114"/>
        <v/>
      </c>
      <c r="M9161" s="25"/>
      <c r="O9161" s="25"/>
    </row>
    <row r="9162" ht="15.75" customHeight="1">
      <c r="A9162" s="25" t="str">
        <f>IFERROR(__xludf.DUMMYFUNCTION("IF(B9162="""","""",RIGHT(REGEXREPLACE(B9162&amp;"""",""[^0-9]"",""""),9))"),"775173755")</f>
        <v>775173755</v>
      </c>
      <c r="B9162" s="52">
        <v>7.75173755E8</v>
      </c>
      <c r="C9162" s="28" t="s">
        <v>9286</v>
      </c>
      <c r="D9162" s="26" t="s">
        <v>64</v>
      </c>
      <c r="E9162" s="31">
        <v>46250.0</v>
      </c>
      <c r="F9162" s="26" t="s">
        <v>205</v>
      </c>
      <c r="I9162" s="26" t="s">
        <v>902</v>
      </c>
      <c r="J9162" s="25" t="str">
        <f t="shared" si="112"/>
        <v>No</v>
      </c>
      <c r="K9162" s="25" t="str">
        <f t="shared" si="113"/>
        <v/>
      </c>
      <c r="L9162" s="25" t="str">
        <f t="shared" si="114"/>
        <v/>
      </c>
      <c r="M9162" s="25"/>
      <c r="O9162" s="25"/>
    </row>
    <row r="9163" ht="15.75" customHeight="1">
      <c r="A9163" s="25" t="str">
        <f>IFERROR(__xludf.DUMMYFUNCTION("IF(B9163="""","""",RIGHT(REGEXREPLACE(B9163&amp;"""",""[^0-9]"",""""),9))"),"772245377")</f>
        <v>772245377</v>
      </c>
      <c r="B9163" s="52">
        <v>7.72245377E8</v>
      </c>
      <c r="C9163" s="28" t="s">
        <v>9249</v>
      </c>
      <c r="D9163" s="26" t="s">
        <v>64</v>
      </c>
      <c r="E9163" s="31">
        <v>46250.0</v>
      </c>
      <c r="F9163" s="26" t="s">
        <v>46</v>
      </c>
      <c r="G9163" s="26">
        <v>11.0</v>
      </c>
      <c r="H9163" s="26" t="s">
        <v>8436</v>
      </c>
      <c r="I9163" s="26" t="s">
        <v>902</v>
      </c>
      <c r="J9163" s="25" t="str">
        <f t="shared" si="112"/>
        <v>Yes - see Previous F-Code</v>
      </c>
      <c r="K9163" s="25" t="str">
        <f t="shared" si="113"/>
        <v/>
      </c>
      <c r="L9163" s="25" t="str">
        <f t="shared" si="114"/>
        <v>F77817</v>
      </c>
      <c r="M9163" s="25"/>
      <c r="O9163" s="25"/>
    </row>
    <row r="9164" ht="15.75" customHeight="1">
      <c r="A9164" s="25" t="str">
        <f>IFERROR(__xludf.DUMMYFUNCTION("IF(B9164="""","""",RIGHT(REGEXREPLACE(B9164&amp;"""",""[^0-9]"",""""),9))"),"763821491")</f>
        <v>763821491</v>
      </c>
      <c r="B9164" s="52">
        <v>7.63821491E8</v>
      </c>
      <c r="C9164" s="28" t="s">
        <v>9287</v>
      </c>
      <c r="D9164" s="26" t="s">
        <v>56</v>
      </c>
      <c r="E9164" s="31">
        <v>46250.0</v>
      </c>
      <c r="F9164" s="26" t="s">
        <v>46</v>
      </c>
      <c r="G9164" s="26" t="s">
        <v>1827</v>
      </c>
      <c r="I9164" s="26" t="s">
        <v>902</v>
      </c>
      <c r="J9164" s="25" t="str">
        <f t="shared" si="112"/>
        <v>No</v>
      </c>
      <c r="K9164" s="25" t="str">
        <f t="shared" si="113"/>
        <v/>
      </c>
      <c r="L9164" s="25" t="str">
        <f t="shared" si="114"/>
        <v/>
      </c>
      <c r="M9164" s="25"/>
      <c r="O9164" s="25"/>
    </row>
    <row r="9165" ht="15.75" customHeight="1">
      <c r="A9165" s="25" t="str">
        <f>IFERROR(__xludf.DUMMYFUNCTION("IF(B9165="""","""",RIGHT(REGEXREPLACE(B9165&amp;"""",""[^0-9]"",""""),9))"),"715679185")</f>
        <v>715679185</v>
      </c>
      <c r="B9165" s="52">
        <v>7.15679185E8</v>
      </c>
      <c r="C9165" s="28" t="s">
        <v>4278</v>
      </c>
      <c r="D9165" s="26" t="s">
        <v>56</v>
      </c>
      <c r="E9165" s="31">
        <v>46250.0</v>
      </c>
      <c r="F9165" s="26" t="s">
        <v>41</v>
      </c>
      <c r="H9165" s="26" t="s">
        <v>8436</v>
      </c>
      <c r="I9165" s="26" t="s">
        <v>902</v>
      </c>
      <c r="J9165" s="25" t="str">
        <f t="shared" si="112"/>
        <v>Yes - see Previous F-Code</v>
      </c>
      <c r="K9165" s="25" t="str">
        <f t="shared" si="113"/>
        <v/>
      </c>
      <c r="L9165" s="25" t="str">
        <f t="shared" si="114"/>
        <v>F73907</v>
      </c>
      <c r="M9165" s="25"/>
      <c r="O9165" s="25"/>
    </row>
    <row r="9166" ht="15.75" customHeight="1">
      <c r="A9166" s="25" t="str">
        <f>IFERROR(__xludf.DUMMYFUNCTION("IF(B9166="""","""",RIGHT(REGEXREPLACE(B9166&amp;"""",""[^0-9]"",""""),9))"),"773268103")</f>
        <v>773268103</v>
      </c>
      <c r="B9166" s="52">
        <v>7.73268103E8</v>
      </c>
      <c r="C9166" s="28" t="s">
        <v>8890</v>
      </c>
      <c r="D9166" s="26" t="s">
        <v>64</v>
      </c>
      <c r="E9166" s="31">
        <v>46251.0</v>
      </c>
      <c r="F9166" s="26" t="s">
        <v>46</v>
      </c>
      <c r="H9166" s="26" t="s">
        <v>6087</v>
      </c>
      <c r="I9166" s="26" t="s">
        <v>902</v>
      </c>
      <c r="J9166" s="25" t="str">
        <f t="shared" si="112"/>
        <v>Yes - see Previous F-Code</v>
      </c>
      <c r="K9166" s="25" t="str">
        <f t="shared" si="113"/>
        <v/>
      </c>
      <c r="L9166" s="25" t="str">
        <f t="shared" si="114"/>
        <v>F77544</v>
      </c>
      <c r="M9166" s="25"/>
      <c r="O9166" s="25"/>
    </row>
    <row r="9167" ht="15.75" customHeight="1">
      <c r="A9167" s="25" t="str">
        <f>IFERROR(__xludf.DUMMYFUNCTION("IF(B9167="""","""",RIGHT(REGEXREPLACE(B9167&amp;"""",""[^0-9]"",""""),9))"),"763533015")</f>
        <v>763533015</v>
      </c>
      <c r="B9167" s="52">
        <v>7.63533015E8</v>
      </c>
      <c r="C9167" s="28" t="s">
        <v>292</v>
      </c>
      <c r="D9167" s="26" t="s">
        <v>64</v>
      </c>
      <c r="E9167" s="31">
        <v>46251.0</v>
      </c>
      <c r="F9167" s="26" t="s">
        <v>46</v>
      </c>
      <c r="G9167" s="26">
        <v>11.0</v>
      </c>
      <c r="I9167" s="26" t="s">
        <v>902</v>
      </c>
      <c r="J9167" s="25" t="str">
        <f t="shared" si="112"/>
        <v>Yes - see Previous F-Code</v>
      </c>
      <c r="K9167" s="25" t="str">
        <f t="shared" si="113"/>
        <v/>
      </c>
      <c r="L9167" s="25" t="str">
        <f t="shared" si="114"/>
        <v>F70157</v>
      </c>
      <c r="M9167" s="25"/>
      <c r="O9167" s="25"/>
    </row>
    <row r="9168" ht="15.75" customHeight="1">
      <c r="A9168" s="25" t="str">
        <f>IFERROR(__xludf.DUMMYFUNCTION("IF(B9168="""","""",RIGHT(REGEXREPLACE(B9168&amp;"""",""[^0-9]"",""""),9))"),"765366729")</f>
        <v>765366729</v>
      </c>
      <c r="B9168" s="52">
        <v>7.65366729E8</v>
      </c>
      <c r="C9168" s="28" t="s">
        <v>9168</v>
      </c>
      <c r="D9168" s="26" t="s">
        <v>49</v>
      </c>
      <c r="E9168" s="31">
        <v>46251.0</v>
      </c>
      <c r="F9168" s="26" t="s">
        <v>46</v>
      </c>
      <c r="G9168" s="26">
        <v>11.0</v>
      </c>
      <c r="H9168" s="117" t="s">
        <v>9288</v>
      </c>
      <c r="I9168" s="26" t="s">
        <v>902</v>
      </c>
      <c r="J9168" s="25" t="str">
        <f t="shared" si="112"/>
        <v>Yes - see Previous F-Code</v>
      </c>
      <c r="K9168" s="25" t="str">
        <f t="shared" si="113"/>
        <v/>
      </c>
      <c r="L9168" s="25" t="str">
        <f t="shared" si="114"/>
        <v>F77739</v>
      </c>
      <c r="M9168" s="25"/>
      <c r="O9168" s="25"/>
    </row>
    <row r="9169" ht="15.75" customHeight="1">
      <c r="A9169" s="25" t="str">
        <f>IFERROR(__xludf.DUMMYFUNCTION("IF(B9169="""","""",RIGHT(REGEXREPLACE(B9169&amp;"""",""[^0-9]"",""""),9))"),"769949362")</f>
        <v>769949362</v>
      </c>
      <c r="B9169" s="52">
        <v>7.69949362E8</v>
      </c>
      <c r="C9169" s="28" t="s">
        <v>6869</v>
      </c>
      <c r="D9169" s="26" t="s">
        <v>49</v>
      </c>
      <c r="E9169" s="31">
        <v>46251.0</v>
      </c>
      <c r="F9169" s="26" t="s">
        <v>205</v>
      </c>
      <c r="G9169" s="26">
        <v>10.0</v>
      </c>
      <c r="I9169" s="26" t="s">
        <v>902</v>
      </c>
      <c r="J9169" s="25" t="str">
        <f t="shared" si="112"/>
        <v>Yes - see Previous F-Code</v>
      </c>
      <c r="K9169" s="25" t="str">
        <f t="shared" si="113"/>
        <v/>
      </c>
      <c r="L9169" s="25" t="str">
        <f t="shared" si="114"/>
        <v>F75891</v>
      </c>
      <c r="M9169" s="25"/>
      <c r="O9169" s="25"/>
    </row>
    <row r="9170" ht="15.75" customHeight="1">
      <c r="A9170" s="25" t="str">
        <f>IFERROR(__xludf.DUMMYFUNCTION("IF(B9170="""","""",RIGHT(REGEXREPLACE(B9170&amp;"""",""[^0-9]"",""""),9))"),"702745824")</f>
        <v>702745824</v>
      </c>
      <c r="B9170" s="52">
        <v>7.02745824E8</v>
      </c>
      <c r="C9170" s="28" t="s">
        <v>9289</v>
      </c>
      <c r="D9170" s="26" t="s">
        <v>64</v>
      </c>
      <c r="E9170" s="31">
        <v>46251.0</v>
      </c>
      <c r="F9170" s="26" t="s">
        <v>41</v>
      </c>
      <c r="I9170" s="26" t="s">
        <v>902</v>
      </c>
      <c r="J9170" s="25" t="str">
        <f t="shared" si="112"/>
        <v>No</v>
      </c>
      <c r="K9170" s="25" t="str">
        <f t="shared" si="113"/>
        <v/>
      </c>
      <c r="L9170" s="25" t="str">
        <f t="shared" si="114"/>
        <v/>
      </c>
      <c r="M9170" s="25"/>
      <c r="O9170" s="25"/>
    </row>
    <row r="9171" ht="15.75" customHeight="1">
      <c r="A9171" s="25" t="str">
        <f>IFERROR(__xludf.DUMMYFUNCTION("IF(B9171="""","""",RIGHT(REGEXREPLACE(B9171&amp;"""",""[^0-9]"",""""),9))"),"763771801")</f>
        <v>763771801</v>
      </c>
      <c r="B9171" s="52">
        <v>7.63771801E8</v>
      </c>
      <c r="C9171" s="28" t="s">
        <v>8921</v>
      </c>
      <c r="D9171" s="26" t="s">
        <v>64</v>
      </c>
      <c r="E9171" s="31">
        <v>46252.0</v>
      </c>
      <c r="F9171" s="26" t="s">
        <v>46</v>
      </c>
      <c r="H9171" s="26" t="s">
        <v>8436</v>
      </c>
      <c r="I9171" s="26" t="s">
        <v>902</v>
      </c>
      <c r="J9171" s="25" t="str">
        <f t="shared" si="112"/>
        <v>Yes - see Previous F-Code</v>
      </c>
      <c r="K9171" s="25" t="str">
        <f t="shared" si="113"/>
        <v/>
      </c>
      <c r="L9171" s="25" t="str">
        <f t="shared" si="114"/>
        <v>F77572</v>
      </c>
      <c r="M9171" s="25"/>
      <c r="O9171" s="25"/>
    </row>
    <row r="9172" ht="15.75" customHeight="1">
      <c r="A9172" s="25" t="str">
        <f>IFERROR(__xludf.DUMMYFUNCTION("IF(B9172="""","""",RIGHT(REGEXREPLACE(B9172&amp;"""",""[^0-9]"",""""),9))"),"703737389")</f>
        <v>703737389</v>
      </c>
      <c r="B9172" s="52">
        <v>7.03737389E8</v>
      </c>
      <c r="C9172" s="28" t="s">
        <v>8571</v>
      </c>
      <c r="D9172" s="26" t="s">
        <v>64</v>
      </c>
      <c r="E9172" s="31">
        <v>46252.0</v>
      </c>
      <c r="F9172" s="25"/>
      <c r="G9172" s="25"/>
      <c r="H9172" s="25"/>
      <c r="I9172" s="26" t="s">
        <v>902</v>
      </c>
      <c r="J9172" s="25" t="str">
        <f t="shared" si="112"/>
        <v>Yes - see Previous F-Code</v>
      </c>
      <c r="K9172" s="25" t="str">
        <f t="shared" si="113"/>
        <v/>
      </c>
      <c r="L9172" s="25" t="str">
        <f t="shared" si="114"/>
        <v>F77334</v>
      </c>
      <c r="M9172" s="25"/>
      <c r="N9172" s="25"/>
      <c r="O9172" s="25"/>
      <c r="P9172" s="25"/>
    </row>
    <row r="9173" ht="15.75" customHeight="1">
      <c r="A9173" s="25" t="str">
        <f>IFERROR(__xludf.DUMMYFUNCTION("IF(B9173="""","""",RIGHT(REGEXREPLACE(B9173&amp;"""",""[^0-9]"",""""),9))"),"758600911")</f>
        <v>758600911</v>
      </c>
      <c r="B9173" s="52">
        <v>7.58600911E8</v>
      </c>
      <c r="C9173" s="28" t="s">
        <v>9290</v>
      </c>
      <c r="D9173" s="26" t="s">
        <v>49</v>
      </c>
      <c r="E9173" s="31">
        <v>46252.0</v>
      </c>
      <c r="F9173" s="26" t="s">
        <v>46</v>
      </c>
      <c r="G9173" s="26">
        <v>8.0</v>
      </c>
      <c r="I9173" s="26" t="s">
        <v>902</v>
      </c>
      <c r="J9173" s="25" t="str">
        <f t="shared" si="112"/>
        <v>No</v>
      </c>
      <c r="K9173" s="25" t="str">
        <f t="shared" si="113"/>
        <v/>
      </c>
      <c r="L9173" s="25" t="str">
        <f t="shared" si="114"/>
        <v/>
      </c>
      <c r="M9173" s="25"/>
      <c r="O9173" s="25"/>
    </row>
    <row r="9174" ht="15.75" customHeight="1">
      <c r="A9174" s="25" t="str">
        <f>IFERROR(__xludf.DUMMYFUNCTION("IF(B9174="""","""",RIGHT(REGEXREPLACE(B9174&amp;"""",""[^0-9]"",""""),9))"),"711136796")</f>
        <v>711136796</v>
      </c>
      <c r="B9174" s="52">
        <v>7.11136796E8</v>
      </c>
      <c r="C9174" s="28" t="s">
        <v>9291</v>
      </c>
      <c r="D9174" s="26" t="s">
        <v>49</v>
      </c>
      <c r="E9174" s="31">
        <v>46252.0</v>
      </c>
      <c r="F9174" s="26" t="s">
        <v>46</v>
      </c>
      <c r="G9174" s="26">
        <v>10.0</v>
      </c>
      <c r="I9174" s="26" t="s">
        <v>902</v>
      </c>
      <c r="J9174" s="25" t="str">
        <f t="shared" si="112"/>
        <v>No</v>
      </c>
      <c r="K9174" s="25" t="str">
        <f t="shared" si="113"/>
        <v/>
      </c>
      <c r="L9174" s="25" t="str">
        <f t="shared" si="114"/>
        <v/>
      </c>
      <c r="M9174" s="25"/>
      <c r="O9174" s="25"/>
    </row>
    <row r="9175" ht="15.75" customHeight="1">
      <c r="A9175" s="25" t="str">
        <f>IFERROR(__xludf.DUMMYFUNCTION("IF(B9175="""","""",RIGHT(REGEXREPLACE(B9175&amp;"""",""[^0-9]"",""""),9))"),"771220094")</f>
        <v>771220094</v>
      </c>
      <c r="B9175" s="52">
        <v>7.71220094E8</v>
      </c>
      <c r="C9175" s="28" t="s">
        <v>9292</v>
      </c>
      <c r="D9175" s="26" t="s">
        <v>49</v>
      </c>
      <c r="E9175" s="31">
        <v>46252.0</v>
      </c>
      <c r="F9175" s="26" t="s">
        <v>164</v>
      </c>
      <c r="H9175" s="26" t="s">
        <v>9293</v>
      </c>
      <c r="I9175" s="26" t="s">
        <v>902</v>
      </c>
      <c r="J9175" s="25" t="str">
        <f t="shared" si="112"/>
        <v>No</v>
      </c>
      <c r="K9175" s="25" t="str">
        <f t="shared" si="113"/>
        <v/>
      </c>
      <c r="L9175" s="25" t="str">
        <f t="shared" si="114"/>
        <v/>
      </c>
      <c r="M9175" s="25"/>
      <c r="O9175" s="25"/>
    </row>
    <row r="9176" ht="15.75" customHeight="1">
      <c r="A9176" s="25" t="str">
        <f>IFERROR(__xludf.DUMMYFUNCTION("IF(B9176="""","""",RIGHT(REGEXREPLACE(B9176&amp;"""",""[^0-9]"",""""),9))"),"714407537")</f>
        <v>714407537</v>
      </c>
      <c r="B9176" s="52">
        <v>7.14407537E8</v>
      </c>
      <c r="C9176" s="28" t="s">
        <v>4900</v>
      </c>
      <c r="D9176" s="26" t="s">
        <v>64</v>
      </c>
      <c r="E9176" s="31">
        <v>46253.0</v>
      </c>
      <c r="F9176" s="26" t="s">
        <v>46</v>
      </c>
      <c r="G9176" s="26">
        <v>9.0</v>
      </c>
      <c r="I9176" s="26" t="s">
        <v>902</v>
      </c>
      <c r="J9176" s="25" t="str">
        <f t="shared" si="112"/>
        <v>Yes - see Previous F-Code</v>
      </c>
      <c r="K9176" s="25" t="str">
        <f t="shared" si="113"/>
        <v/>
      </c>
      <c r="L9176" s="25" t="str">
        <f t="shared" si="114"/>
        <v>F74466</v>
      </c>
      <c r="M9176" s="25"/>
      <c r="O9176" s="25"/>
    </row>
    <row r="9177" ht="15.75" customHeight="1">
      <c r="A9177" s="25" t="str">
        <f>IFERROR(__xludf.DUMMYFUNCTION("IF(B9177="""","""",RIGHT(REGEXREPLACE(B9177&amp;"""",""[^0-9]"",""""),9))"),"773530763")</f>
        <v>773530763</v>
      </c>
      <c r="B9177" s="52">
        <v>7.73530763E8</v>
      </c>
      <c r="C9177" s="28" t="s">
        <v>9294</v>
      </c>
      <c r="D9177" s="26" t="s">
        <v>64</v>
      </c>
      <c r="E9177" s="31">
        <v>46253.0</v>
      </c>
      <c r="F9177" s="26" t="s">
        <v>46</v>
      </c>
      <c r="G9177" s="26">
        <v>10.0</v>
      </c>
      <c r="I9177" s="26" t="s">
        <v>902</v>
      </c>
      <c r="J9177" s="25" t="str">
        <f t="shared" si="112"/>
        <v>No</v>
      </c>
      <c r="K9177" s="25" t="str">
        <f t="shared" si="113"/>
        <v/>
      </c>
      <c r="L9177" s="25" t="str">
        <f t="shared" si="114"/>
        <v/>
      </c>
      <c r="M9177" s="25"/>
      <c r="O9177" s="25"/>
    </row>
    <row r="9178" ht="15.75" customHeight="1">
      <c r="A9178" s="25" t="str">
        <f>IFERROR(__xludf.DUMMYFUNCTION("IF(B9178="""","""",RIGHT(REGEXREPLACE(B9178&amp;"""",""[^0-9]"",""""),9))"),"740802766")</f>
        <v>740802766</v>
      </c>
      <c r="B9178" s="52">
        <v>7.40802766E8</v>
      </c>
      <c r="C9178" s="28" t="s">
        <v>9295</v>
      </c>
      <c r="D9178" s="26" t="s">
        <v>64</v>
      </c>
      <c r="E9178" s="31">
        <v>46253.0</v>
      </c>
      <c r="F9178" s="26" t="s">
        <v>205</v>
      </c>
      <c r="G9178" s="26">
        <v>10.0</v>
      </c>
      <c r="I9178" s="26" t="s">
        <v>902</v>
      </c>
      <c r="J9178" s="25" t="str">
        <f t="shared" si="112"/>
        <v>No</v>
      </c>
      <c r="K9178" s="25" t="str">
        <f t="shared" si="113"/>
        <v/>
      </c>
      <c r="L9178" s="25" t="str">
        <f t="shared" si="114"/>
        <v/>
      </c>
      <c r="M9178" s="25"/>
      <c r="O9178" s="25"/>
    </row>
    <row r="9179" ht="15.75" customHeight="1">
      <c r="A9179" s="25" t="str">
        <f>IFERROR(__xludf.DUMMYFUNCTION("IF(B9179="""","""",RIGHT(REGEXREPLACE(B9179&amp;"""",""[^0-9]"",""""),9))"),"719106102")</f>
        <v>719106102</v>
      </c>
      <c r="B9179" s="52">
        <v>7.19106102E8</v>
      </c>
      <c r="C9179" s="28" t="s">
        <v>9296</v>
      </c>
      <c r="D9179" s="26" t="s">
        <v>64</v>
      </c>
      <c r="E9179" s="31">
        <v>46253.0</v>
      </c>
      <c r="F9179" s="26" t="s">
        <v>46</v>
      </c>
      <c r="G9179" s="26">
        <v>11.0</v>
      </c>
      <c r="H9179" s="26" t="s">
        <v>8436</v>
      </c>
      <c r="I9179" s="26" t="s">
        <v>902</v>
      </c>
      <c r="J9179" s="25" t="str">
        <f t="shared" si="112"/>
        <v>No</v>
      </c>
      <c r="K9179" s="25" t="str">
        <f t="shared" si="113"/>
        <v/>
      </c>
      <c r="L9179" s="25" t="str">
        <f t="shared" si="114"/>
        <v/>
      </c>
      <c r="M9179" s="25"/>
      <c r="O9179" s="25"/>
    </row>
    <row r="9180" ht="15.75" customHeight="1">
      <c r="A9180" s="25" t="str">
        <f>IFERROR(__xludf.DUMMYFUNCTION("IF(B9180="""","""",RIGHT(REGEXREPLACE(B9180&amp;"""",""[^0-9]"",""""),9))"),"778344925")</f>
        <v>778344925</v>
      </c>
      <c r="B9180" s="52">
        <v>7.78344925E8</v>
      </c>
      <c r="C9180" s="28" t="s">
        <v>9297</v>
      </c>
      <c r="D9180" s="26" t="s">
        <v>64</v>
      </c>
      <c r="E9180" s="31">
        <v>46253.0</v>
      </c>
      <c r="F9180" s="26" t="s">
        <v>46</v>
      </c>
      <c r="G9180" s="96">
        <v>46213.0</v>
      </c>
      <c r="I9180" s="26" t="s">
        <v>902</v>
      </c>
      <c r="J9180" s="25" t="str">
        <f t="shared" si="112"/>
        <v>No</v>
      </c>
      <c r="K9180" s="25" t="str">
        <f t="shared" si="113"/>
        <v/>
      </c>
      <c r="L9180" s="25" t="str">
        <f t="shared" si="114"/>
        <v/>
      </c>
      <c r="M9180" s="25"/>
      <c r="O9180" s="25"/>
      <c r="Z9180" s="26" t="s">
        <v>9298</v>
      </c>
    </row>
    <row r="9181" ht="15.75" customHeight="1">
      <c r="A9181" s="25" t="str">
        <f>IFERROR(__xludf.DUMMYFUNCTION("IF(B9181="""","""",RIGHT(REGEXREPLACE(B9181&amp;"""",""[^0-9]"",""""),9))"),"704834656")</f>
        <v>704834656</v>
      </c>
      <c r="B9181" s="52">
        <v>7.04834656E8</v>
      </c>
      <c r="C9181" s="28" t="s">
        <v>9299</v>
      </c>
      <c r="D9181" s="26" t="s">
        <v>49</v>
      </c>
      <c r="E9181" s="31">
        <v>46253.0</v>
      </c>
      <c r="F9181" s="26" t="s">
        <v>46</v>
      </c>
      <c r="G9181" s="26">
        <v>10.0</v>
      </c>
      <c r="H9181" s="26" t="s">
        <v>9300</v>
      </c>
      <c r="I9181" s="26" t="s">
        <v>902</v>
      </c>
      <c r="J9181" s="25" t="str">
        <f t="shared" si="112"/>
        <v>No</v>
      </c>
      <c r="K9181" s="25" t="str">
        <f t="shared" si="113"/>
        <v/>
      </c>
      <c r="L9181" s="25" t="str">
        <f t="shared" si="114"/>
        <v/>
      </c>
      <c r="M9181" s="25"/>
      <c r="O9181" s="25"/>
    </row>
    <row r="9182" ht="15.75" customHeight="1">
      <c r="A9182" s="25" t="str">
        <f>IFERROR(__xludf.DUMMYFUNCTION("IF(B9182="""","""",RIGHT(REGEXREPLACE(B9182&amp;"""",""[^0-9]"",""""),9))"),"722166124")</f>
        <v>722166124</v>
      </c>
      <c r="B9182" s="52">
        <v>7.22166124E8</v>
      </c>
      <c r="C9182" s="28" t="s">
        <v>9183</v>
      </c>
      <c r="D9182" s="26" t="s">
        <v>49</v>
      </c>
      <c r="E9182" s="31">
        <v>46254.0</v>
      </c>
      <c r="F9182" s="26" t="s">
        <v>46</v>
      </c>
      <c r="G9182" s="26">
        <v>10.0</v>
      </c>
      <c r="H9182" s="26" t="s">
        <v>94</v>
      </c>
      <c r="I9182" s="26" t="s">
        <v>902</v>
      </c>
      <c r="J9182" s="25" t="str">
        <f t="shared" si="112"/>
        <v>Yes - see Previous F-Code</v>
      </c>
      <c r="K9182" s="25" t="str">
        <f t="shared" si="113"/>
        <v/>
      </c>
      <c r="L9182" s="25" t="str">
        <f t="shared" si="114"/>
        <v>F77751</v>
      </c>
      <c r="M9182" s="25"/>
      <c r="O9182" s="25"/>
    </row>
    <row r="9183" ht="15.75" customHeight="1">
      <c r="A9183" s="25" t="str">
        <f>IFERROR(__xludf.DUMMYFUNCTION("IF(B9183="""","""",RIGHT(REGEXREPLACE(B9183&amp;"""",""[^0-9]"",""""),9))"),"715654120")</f>
        <v>715654120</v>
      </c>
      <c r="B9183" s="52">
        <v>7.1565412E8</v>
      </c>
      <c r="C9183" s="28" t="s">
        <v>8641</v>
      </c>
      <c r="D9183" s="26" t="s">
        <v>64</v>
      </c>
      <c r="E9183" s="31">
        <v>46254.0</v>
      </c>
      <c r="F9183" s="26" t="s">
        <v>659</v>
      </c>
      <c r="G9183" s="26">
        <v>7.0</v>
      </c>
      <c r="I9183" s="26" t="s">
        <v>902</v>
      </c>
      <c r="J9183" s="25" t="str">
        <f t="shared" si="112"/>
        <v>Yes - see Previous F-Code</v>
      </c>
      <c r="K9183" s="25" t="str">
        <f t="shared" si="113"/>
        <v/>
      </c>
      <c r="L9183" s="25" t="str">
        <f t="shared" si="114"/>
        <v>F77406</v>
      </c>
      <c r="M9183" s="25"/>
      <c r="O9183" s="25"/>
    </row>
    <row r="9184" ht="15.75" customHeight="1">
      <c r="A9184" s="25" t="str">
        <f>IFERROR(__xludf.DUMMYFUNCTION("IF(B9184="""","""",RIGHT(REGEXREPLACE(B9184&amp;"""",""[^0-9]"",""""),9))"),"714093727")</f>
        <v>714093727</v>
      </c>
      <c r="B9184" s="52">
        <v>7.14093727E8</v>
      </c>
      <c r="C9184" s="28" t="s">
        <v>9301</v>
      </c>
      <c r="D9184" s="26" t="s">
        <v>49</v>
      </c>
      <c r="E9184" s="31">
        <v>46254.0</v>
      </c>
      <c r="F9184" s="26" t="s">
        <v>659</v>
      </c>
      <c r="G9184" s="26">
        <v>7.0</v>
      </c>
      <c r="I9184" s="26" t="s">
        <v>902</v>
      </c>
      <c r="J9184" s="25" t="str">
        <f t="shared" si="112"/>
        <v>No</v>
      </c>
      <c r="K9184" s="25" t="str">
        <f t="shared" si="113"/>
        <v/>
      </c>
      <c r="L9184" s="25" t="str">
        <f t="shared" si="114"/>
        <v/>
      </c>
      <c r="M9184" s="25"/>
      <c r="O9184" s="25"/>
    </row>
    <row r="9185" ht="15.75" customHeight="1">
      <c r="A9185" s="25" t="str">
        <f>IFERROR(__xludf.DUMMYFUNCTION("IF(B9185="""","""",RIGHT(REGEXREPLACE(B9185&amp;"""",""[^0-9]"",""""),9))"),"764218040")</f>
        <v>764218040</v>
      </c>
      <c r="B9185" s="52">
        <v>7.6421804E8</v>
      </c>
      <c r="C9185" s="28" t="s">
        <v>8168</v>
      </c>
      <c r="D9185" s="26" t="s">
        <v>64</v>
      </c>
      <c r="E9185" s="31">
        <v>46255.0</v>
      </c>
      <c r="F9185" s="26" t="s">
        <v>46</v>
      </c>
      <c r="G9185" s="26">
        <v>11.0</v>
      </c>
      <c r="H9185" s="26" t="s">
        <v>8436</v>
      </c>
      <c r="I9185" s="26" t="s">
        <v>902</v>
      </c>
      <c r="J9185" s="25" t="str">
        <f t="shared" si="112"/>
        <v>Yes - see Previous F-Code</v>
      </c>
      <c r="K9185" s="25" t="str">
        <f t="shared" si="113"/>
        <v/>
      </c>
      <c r="L9185" s="25" t="str">
        <f t="shared" si="114"/>
        <v>F76983</v>
      </c>
      <c r="M9185" s="25"/>
      <c r="O9185" s="25"/>
    </row>
    <row r="9186" ht="15.75" customHeight="1">
      <c r="A9186" s="25" t="str">
        <f>IFERROR(__xludf.DUMMYFUNCTION("IF(B9186="""","""",RIGHT(REGEXREPLACE(B9186&amp;"""",""[^0-9]"",""""),9))"),"716079032")</f>
        <v>716079032</v>
      </c>
      <c r="B9186" s="52">
        <v>7.16079032E8</v>
      </c>
      <c r="C9186" s="28" t="s">
        <v>8728</v>
      </c>
      <c r="D9186" s="26" t="s">
        <v>64</v>
      </c>
      <c r="E9186" s="31">
        <v>46255.0</v>
      </c>
      <c r="F9186" s="26" t="s">
        <v>41</v>
      </c>
      <c r="H9186" s="26" t="s">
        <v>8436</v>
      </c>
      <c r="I9186" s="26" t="s">
        <v>902</v>
      </c>
      <c r="J9186" s="25" t="str">
        <f t="shared" si="112"/>
        <v>Yes - see Previous F-Code</v>
      </c>
      <c r="K9186" s="25" t="str">
        <f t="shared" si="113"/>
        <v/>
      </c>
      <c r="L9186" s="25" t="str">
        <f t="shared" si="114"/>
        <v>F77496</v>
      </c>
      <c r="M9186" s="25"/>
      <c r="O9186" s="25"/>
    </row>
    <row r="9187" ht="15.75" customHeight="1">
      <c r="A9187" s="25" t="str">
        <f>IFERROR(__xludf.DUMMYFUNCTION("IF(B9187="""","""",RIGHT(REGEXREPLACE(B9187&amp;"""",""[^0-9]"",""""),9))"),"741208860")</f>
        <v>741208860</v>
      </c>
      <c r="B9187" s="52">
        <v>7.4120886E8</v>
      </c>
      <c r="C9187" s="28" t="s">
        <v>9302</v>
      </c>
      <c r="D9187" s="26" t="s">
        <v>49</v>
      </c>
      <c r="E9187" s="31">
        <v>46256.0</v>
      </c>
      <c r="F9187" s="26" t="s">
        <v>41</v>
      </c>
      <c r="G9187" s="26">
        <v>10.0</v>
      </c>
      <c r="I9187" s="26" t="s">
        <v>902</v>
      </c>
      <c r="J9187" s="25" t="str">
        <f t="shared" si="112"/>
        <v>No</v>
      </c>
      <c r="K9187" s="25" t="str">
        <f t="shared" si="113"/>
        <v/>
      </c>
      <c r="L9187" s="25" t="str">
        <f t="shared" si="114"/>
        <v/>
      </c>
      <c r="M9187" s="25"/>
      <c r="O9187" s="25"/>
    </row>
    <row r="9188" ht="15.75" customHeight="1">
      <c r="A9188" s="25" t="str">
        <f>IFERROR(__xludf.DUMMYFUNCTION("IF(B9188="""","""",RIGHT(REGEXREPLACE(B9188&amp;"""",""[^0-9]"",""""),9))"),"740710406")</f>
        <v>740710406</v>
      </c>
      <c r="B9188" s="52">
        <v>7.40710406E8</v>
      </c>
      <c r="C9188" s="28" t="s">
        <v>9268</v>
      </c>
      <c r="D9188" s="26" t="s">
        <v>49</v>
      </c>
      <c r="E9188" s="31">
        <v>46256.0</v>
      </c>
      <c r="F9188" s="26" t="s">
        <v>659</v>
      </c>
      <c r="I9188" s="26" t="s">
        <v>902</v>
      </c>
      <c r="J9188" s="25" t="str">
        <f t="shared" si="112"/>
        <v>Yes - see Previous F-Code</v>
      </c>
      <c r="K9188" s="25" t="str">
        <f t="shared" si="113"/>
        <v>DUPLICATE - CHECK</v>
      </c>
      <c r="L9188" s="25" t="str">
        <f t="shared" si="114"/>
        <v>F77845</v>
      </c>
      <c r="M9188" s="25"/>
      <c r="O9188" s="25"/>
    </row>
    <row r="9189" ht="15.75" customHeight="1">
      <c r="C9189" s="46"/>
      <c r="D9189" s="25"/>
      <c r="F9189" s="25"/>
      <c r="I9189" s="26" t="s">
        <v>902</v>
      </c>
      <c r="M9189" s="25"/>
      <c r="O9189" s="25"/>
    </row>
    <row r="9190" ht="15.75" customHeight="1">
      <c r="C9190" s="46"/>
      <c r="D9190" s="25"/>
      <c r="F9190" s="25"/>
      <c r="I9190" s="26" t="s">
        <v>902</v>
      </c>
      <c r="M9190" s="25"/>
      <c r="O9190" s="25"/>
    </row>
    <row r="9191" ht="15.75" customHeight="1">
      <c r="C9191" s="46"/>
      <c r="D9191" s="25"/>
      <c r="F9191" s="25"/>
      <c r="I9191" s="26" t="s">
        <v>902</v>
      </c>
      <c r="M9191" s="25"/>
      <c r="O9191" s="25"/>
    </row>
    <row r="9192" ht="15.75" customHeight="1">
      <c r="C9192" s="46"/>
      <c r="D9192" s="25"/>
      <c r="F9192" s="25"/>
      <c r="I9192" s="26" t="s">
        <v>902</v>
      </c>
      <c r="M9192" s="25"/>
      <c r="O9192" s="25"/>
    </row>
    <row r="9193" ht="15.75" customHeight="1">
      <c r="C9193" s="46"/>
      <c r="D9193" s="25"/>
      <c r="F9193" s="25"/>
      <c r="I9193" s="26" t="s">
        <v>902</v>
      </c>
      <c r="M9193" s="25"/>
      <c r="O9193" s="25"/>
    </row>
    <row r="9194" ht="15.75" customHeight="1">
      <c r="C9194" s="46"/>
      <c r="D9194" s="25"/>
      <c r="F9194" s="25"/>
      <c r="I9194" s="26" t="s">
        <v>902</v>
      </c>
      <c r="M9194" s="25"/>
      <c r="O9194" s="25"/>
    </row>
    <row r="9195" ht="15.75" customHeight="1">
      <c r="C9195" s="46"/>
      <c r="D9195" s="25"/>
      <c r="F9195" s="25"/>
      <c r="I9195" s="26" t="s">
        <v>902</v>
      </c>
      <c r="M9195" s="25"/>
      <c r="O9195" s="25"/>
    </row>
    <row r="9196" ht="15.75" customHeight="1">
      <c r="C9196" s="46"/>
      <c r="D9196" s="25"/>
      <c r="F9196" s="25"/>
      <c r="I9196" s="26" t="s">
        <v>902</v>
      </c>
      <c r="M9196" s="25"/>
      <c r="O9196" s="25"/>
    </row>
    <row r="9197" ht="15.75" customHeight="1">
      <c r="C9197" s="46"/>
      <c r="D9197" s="25"/>
      <c r="F9197" s="25"/>
      <c r="I9197" s="26" t="s">
        <v>902</v>
      </c>
      <c r="M9197" s="25"/>
      <c r="O9197" s="25"/>
    </row>
    <row r="9198" ht="15.75" customHeight="1">
      <c r="A9198" s="25" t="str">
        <f>IFERROR(__xludf.DUMMYFUNCTION("IF(B9198="""","""",RIGHT(REGEXREPLACE(B9198&amp;"""",""[^0-9]"",""""),9))"),"767302798")</f>
        <v>767302798</v>
      </c>
      <c r="B9198" s="52">
        <v>7.67302798E8</v>
      </c>
      <c r="C9198" s="28" t="s">
        <v>7391</v>
      </c>
      <c r="D9198" s="26" t="s">
        <v>56</v>
      </c>
      <c r="E9198" s="31">
        <v>46249.0</v>
      </c>
      <c r="F9198" s="26" t="s">
        <v>164</v>
      </c>
      <c r="G9198" s="26">
        <v>10.0</v>
      </c>
      <c r="I9198" s="26" t="s">
        <v>931</v>
      </c>
      <c r="J9198" s="25" t="str">
        <f t="shared" ref="J9198:J9252" si="115">IF(COUNTIF($A$2:A9197,A9198)&gt;0,"Yes - see Previous F-Code","No")</f>
        <v>Yes - see Previous F-Code</v>
      </c>
      <c r="K9198" s="25" t="str">
        <f t="shared" ref="K9198:K9252" si="116">IF(COUNTIFS($A$2:A9198,A9198,$I$2:I9198,I9198)&gt;1,"DUPLICATE - CHECK","")</f>
        <v/>
      </c>
      <c r="L9198" s="25" t="str">
        <f t="shared" ref="L9198:L9252" si="117">IF(COUNTIF($A$2:A9197,A9198)&gt;0,INDEX($C$2:C9197,MATCH(A9198,$A$2:A9197,0)),"")</f>
        <v>F76326</v>
      </c>
      <c r="M9198" s="25"/>
      <c r="O9198" s="25"/>
    </row>
    <row r="9199" ht="15.75" customHeight="1">
      <c r="A9199" s="25" t="str">
        <f>IFERROR(__xludf.DUMMYFUNCTION("IF(B9199="""","""",RIGHT(REGEXREPLACE(B9199&amp;"""",""[^0-9]"",""""),9))"),"742127154")</f>
        <v>742127154</v>
      </c>
      <c r="B9199" s="52">
        <v>7.42127154E8</v>
      </c>
      <c r="C9199" s="28" t="s">
        <v>9303</v>
      </c>
      <c r="D9199" s="26" t="s">
        <v>56</v>
      </c>
      <c r="E9199" s="31">
        <v>46249.0</v>
      </c>
      <c r="F9199" s="26" t="s">
        <v>205</v>
      </c>
      <c r="G9199" s="26">
        <v>11.0</v>
      </c>
      <c r="I9199" s="26" t="s">
        <v>931</v>
      </c>
      <c r="J9199" s="25" t="str">
        <f t="shared" si="115"/>
        <v>No</v>
      </c>
      <c r="K9199" s="25" t="str">
        <f t="shared" si="116"/>
        <v/>
      </c>
      <c r="L9199" s="25" t="str">
        <f t="shared" si="117"/>
        <v/>
      </c>
      <c r="M9199" s="25"/>
      <c r="O9199" s="25"/>
    </row>
    <row r="9200" ht="15.75" customHeight="1">
      <c r="A9200" s="25" t="str">
        <f>IFERROR(__xludf.DUMMYFUNCTION("IF(B9200="""","""",RIGHT(REGEXREPLACE(B9200&amp;"""",""[^0-9]"",""""),9))"),"703727377")</f>
        <v>703727377</v>
      </c>
      <c r="B9200" s="52">
        <v>7.03727377E8</v>
      </c>
      <c r="C9200" s="28" t="s">
        <v>2250</v>
      </c>
      <c r="D9200" s="26" t="s">
        <v>56</v>
      </c>
      <c r="E9200" s="31">
        <v>46249.0</v>
      </c>
      <c r="F9200" s="26" t="s">
        <v>46</v>
      </c>
      <c r="G9200" s="26">
        <v>10.0</v>
      </c>
      <c r="I9200" s="26" t="s">
        <v>931</v>
      </c>
      <c r="J9200" s="25" t="str">
        <f t="shared" si="115"/>
        <v>Yes - see Previous F-Code</v>
      </c>
      <c r="K9200" s="25" t="str">
        <f t="shared" si="116"/>
        <v/>
      </c>
      <c r="L9200" s="25" t="str">
        <f t="shared" si="117"/>
        <v>F71948</v>
      </c>
      <c r="M9200" s="25"/>
      <c r="O9200" s="25"/>
    </row>
    <row r="9201" ht="15.75" customHeight="1">
      <c r="A9201" s="25" t="str">
        <f>IFERROR(__xludf.DUMMYFUNCTION("IF(B9201="""","""",RIGHT(REGEXREPLACE(B9201&amp;"""",""[^0-9]"",""""),9))"),"784492349")</f>
        <v>784492349</v>
      </c>
      <c r="B9201" s="52">
        <v>7.84492349E8</v>
      </c>
      <c r="C9201" s="28" t="s">
        <v>8994</v>
      </c>
      <c r="D9201" s="26" t="s">
        <v>56</v>
      </c>
      <c r="E9201" s="31">
        <v>46249.0</v>
      </c>
      <c r="F9201" s="26" t="s">
        <v>167</v>
      </c>
      <c r="G9201" s="26">
        <v>11.0</v>
      </c>
      <c r="I9201" s="26" t="s">
        <v>931</v>
      </c>
      <c r="J9201" s="25" t="str">
        <f t="shared" si="115"/>
        <v>Yes - see Previous F-Code</v>
      </c>
      <c r="K9201" s="25" t="str">
        <f t="shared" si="116"/>
        <v/>
      </c>
      <c r="L9201" s="25" t="str">
        <f t="shared" si="117"/>
        <v>F77652</v>
      </c>
      <c r="M9201" s="25"/>
      <c r="O9201" s="25"/>
    </row>
    <row r="9202" ht="15.75" customHeight="1">
      <c r="A9202" s="25" t="str">
        <f>IFERROR(__xludf.DUMMYFUNCTION("IF(B9202="""","""",RIGHT(REGEXREPLACE(B9202&amp;"""",""[^0-9]"",""""),9))"),"716382754")</f>
        <v>716382754</v>
      </c>
      <c r="B9202" s="52">
        <v>7.16382754E8</v>
      </c>
      <c r="C9202" s="28" t="s">
        <v>4990</v>
      </c>
      <c r="D9202" s="26" t="s">
        <v>56</v>
      </c>
      <c r="E9202" s="31">
        <v>46249.0</v>
      </c>
      <c r="F9202" s="26" t="s">
        <v>46</v>
      </c>
      <c r="G9202" s="26">
        <v>9.0</v>
      </c>
      <c r="H9202" s="26" t="s">
        <v>9304</v>
      </c>
      <c r="I9202" s="26" t="s">
        <v>931</v>
      </c>
      <c r="J9202" s="25" t="str">
        <f t="shared" si="115"/>
        <v>Yes - see Previous F-Code</v>
      </c>
      <c r="K9202" s="25" t="str">
        <f t="shared" si="116"/>
        <v/>
      </c>
      <c r="L9202" s="25" t="str">
        <f t="shared" si="117"/>
        <v>F74550</v>
      </c>
      <c r="M9202" s="25"/>
      <c r="O9202" s="25"/>
    </row>
    <row r="9203" ht="15.75" customHeight="1">
      <c r="A9203" s="25" t="str">
        <f>IFERROR(__xludf.DUMMYFUNCTION("IF(B9203="""","""",RIGHT(REGEXREPLACE(B9203&amp;"""",""[^0-9]"",""""),9))"),"718225180")</f>
        <v>718225180</v>
      </c>
      <c r="B9203" s="52">
        <v>7.1822518E8</v>
      </c>
      <c r="C9203" s="28" t="s">
        <v>9305</v>
      </c>
      <c r="D9203" s="26" t="s">
        <v>56</v>
      </c>
      <c r="E9203" s="31">
        <v>46249.0</v>
      </c>
      <c r="F9203" s="26" t="s">
        <v>205</v>
      </c>
      <c r="H9203" s="26" t="s">
        <v>7208</v>
      </c>
      <c r="I9203" s="26" t="s">
        <v>931</v>
      </c>
      <c r="J9203" s="25" t="str">
        <f t="shared" si="115"/>
        <v>No</v>
      </c>
      <c r="K9203" s="25" t="str">
        <f t="shared" si="116"/>
        <v/>
      </c>
      <c r="L9203" s="25" t="str">
        <f t="shared" si="117"/>
        <v/>
      </c>
      <c r="M9203" s="25"/>
      <c r="O9203" s="25"/>
    </row>
    <row r="9204" ht="15.75" customHeight="1">
      <c r="A9204" s="25" t="str">
        <f>IFERROR(__xludf.DUMMYFUNCTION("IF(B9204="""","""",RIGHT(REGEXREPLACE(B9204&amp;"""",""[^0-9]"",""""),9))"),"503098711")</f>
        <v>503098711</v>
      </c>
      <c r="B9204" s="52">
        <v>2.503098711E9</v>
      </c>
      <c r="C9204" s="28" t="s">
        <v>9306</v>
      </c>
      <c r="D9204" s="26" t="s">
        <v>56</v>
      </c>
      <c r="E9204" s="31">
        <v>46249.0</v>
      </c>
      <c r="F9204" s="26" t="s">
        <v>814</v>
      </c>
      <c r="I9204" s="26" t="s">
        <v>931</v>
      </c>
      <c r="J9204" s="25" t="str">
        <f t="shared" si="115"/>
        <v>No</v>
      </c>
      <c r="K9204" s="25" t="str">
        <f t="shared" si="116"/>
        <v/>
      </c>
      <c r="L9204" s="25" t="str">
        <f t="shared" si="117"/>
        <v/>
      </c>
      <c r="M9204" s="25"/>
      <c r="O9204" s="25"/>
    </row>
    <row r="9205" ht="15.75" customHeight="1">
      <c r="A9205" s="25" t="str">
        <f>IFERROR(__xludf.DUMMYFUNCTION("IF(B9205="""","""",RIGHT(REGEXREPLACE(B9205&amp;"""",""[^0-9]"",""""),9))"),"707358535")</f>
        <v>707358535</v>
      </c>
      <c r="B9205" s="52">
        <v>7.07358535E8</v>
      </c>
      <c r="C9205" s="28" t="s">
        <v>936</v>
      </c>
      <c r="D9205" s="26" t="s">
        <v>56</v>
      </c>
      <c r="E9205" s="31">
        <v>46249.0</v>
      </c>
      <c r="F9205" s="26" t="s">
        <v>205</v>
      </c>
      <c r="H9205" s="26" t="s">
        <v>8436</v>
      </c>
      <c r="I9205" s="26" t="s">
        <v>931</v>
      </c>
      <c r="J9205" s="25" t="str">
        <f t="shared" si="115"/>
        <v>Yes - see Previous F-Code</v>
      </c>
      <c r="K9205" s="25" t="str">
        <f t="shared" si="116"/>
        <v/>
      </c>
      <c r="L9205" s="25" t="str">
        <f t="shared" si="117"/>
        <v>F70698</v>
      </c>
      <c r="M9205" s="25"/>
      <c r="O9205" s="25"/>
    </row>
    <row r="9206" ht="15.75" customHeight="1">
      <c r="A9206" s="25" t="str">
        <f>IFERROR(__xludf.DUMMYFUNCTION("IF(B9206="""","""",RIGHT(REGEXREPLACE(B9206&amp;"""",""[^0-9]"",""""),9))"),"775454840")</f>
        <v>775454840</v>
      </c>
      <c r="B9206" s="52">
        <v>7.7545484E8</v>
      </c>
      <c r="C9206" s="28" t="s">
        <v>8839</v>
      </c>
      <c r="D9206" s="26" t="s">
        <v>56</v>
      </c>
      <c r="E9206" s="31">
        <v>46249.0</v>
      </c>
      <c r="F9206" s="26" t="s">
        <v>205</v>
      </c>
      <c r="G9206" s="26">
        <v>10.0</v>
      </c>
      <c r="I9206" s="26" t="s">
        <v>931</v>
      </c>
      <c r="J9206" s="25" t="str">
        <f t="shared" si="115"/>
        <v>Yes - see Previous F-Code</v>
      </c>
      <c r="K9206" s="25" t="str">
        <f t="shared" si="116"/>
        <v>DUPLICATE - CHECK</v>
      </c>
      <c r="L9206" s="25" t="str">
        <f t="shared" si="117"/>
        <v>F77612</v>
      </c>
      <c r="M9206" s="25"/>
      <c r="O9206" s="25"/>
    </row>
    <row r="9207" ht="15.75" customHeight="1">
      <c r="A9207" s="25" t="str">
        <f>IFERROR(__xludf.DUMMYFUNCTION("IF(B9207="""","""",RIGHT(REGEXREPLACE(B9207&amp;"""",""[^0-9]"",""""),9))"),"767354834")</f>
        <v>767354834</v>
      </c>
      <c r="B9207" s="26">
        <v>7.67354834E8</v>
      </c>
      <c r="C9207" s="28" t="s">
        <v>9089</v>
      </c>
      <c r="D9207" s="26" t="s">
        <v>56</v>
      </c>
      <c r="E9207" s="31">
        <v>46249.0</v>
      </c>
      <c r="F9207" s="26" t="s">
        <v>205</v>
      </c>
      <c r="H9207" s="26" t="s">
        <v>9307</v>
      </c>
      <c r="I9207" s="26" t="s">
        <v>931</v>
      </c>
      <c r="J9207" s="25" t="str">
        <f t="shared" si="115"/>
        <v>No</v>
      </c>
      <c r="K9207" s="25" t="str">
        <f t="shared" si="116"/>
        <v/>
      </c>
      <c r="L9207" s="25" t="str">
        <f t="shared" si="117"/>
        <v/>
      </c>
      <c r="M9207" s="25"/>
      <c r="O9207" s="25"/>
    </row>
    <row r="9208" ht="15.75" customHeight="1">
      <c r="A9208" s="25" t="str">
        <f>IFERROR(__xludf.DUMMYFUNCTION("IF(B9208="""","""",RIGHT(REGEXREPLACE(B9208&amp;"""",""[^0-9]"",""""),9))"),"786470111")</f>
        <v>786470111</v>
      </c>
      <c r="B9208" s="52">
        <v>7.86470111E8</v>
      </c>
      <c r="C9208" s="28" t="s">
        <v>7118</v>
      </c>
      <c r="D9208" s="26" t="s">
        <v>56</v>
      </c>
      <c r="E9208" s="31">
        <v>46249.0</v>
      </c>
      <c r="F9208" s="26" t="s">
        <v>205</v>
      </c>
      <c r="G9208" s="26">
        <v>9.0</v>
      </c>
      <c r="I9208" s="26" t="s">
        <v>931</v>
      </c>
      <c r="J9208" s="25" t="str">
        <f t="shared" si="115"/>
        <v>Yes - see Previous F-Code</v>
      </c>
      <c r="K9208" s="25" t="str">
        <f t="shared" si="116"/>
        <v/>
      </c>
      <c r="L9208" s="25" t="str">
        <f t="shared" si="117"/>
        <v>F76077</v>
      </c>
      <c r="M9208" s="25"/>
      <c r="O9208" s="25"/>
    </row>
    <row r="9209" ht="15.75" customHeight="1">
      <c r="A9209" s="25" t="str">
        <f>IFERROR(__xludf.DUMMYFUNCTION("IF(B9209="""","""",RIGHT(REGEXREPLACE(B9209&amp;"""",""[^0-9]"",""""),9))"),"741861974")</f>
        <v>741861974</v>
      </c>
      <c r="B9209" s="52">
        <v>7.41861974E8</v>
      </c>
      <c r="C9209" s="28" t="s">
        <v>9308</v>
      </c>
      <c r="D9209" s="26" t="s">
        <v>56</v>
      </c>
      <c r="E9209" s="31">
        <v>46249.0</v>
      </c>
      <c r="F9209" s="26" t="s">
        <v>46</v>
      </c>
      <c r="G9209" s="26">
        <v>10.0</v>
      </c>
      <c r="H9209" s="26" t="s">
        <v>8436</v>
      </c>
      <c r="I9209" s="26" t="s">
        <v>931</v>
      </c>
      <c r="J9209" s="25" t="str">
        <f t="shared" si="115"/>
        <v>No</v>
      </c>
      <c r="K9209" s="25" t="str">
        <f t="shared" si="116"/>
        <v/>
      </c>
      <c r="L9209" s="25" t="str">
        <f t="shared" si="117"/>
        <v/>
      </c>
      <c r="M9209" s="25"/>
      <c r="O9209" s="25"/>
    </row>
    <row r="9210" ht="15.75" customHeight="1">
      <c r="A9210" s="25" t="str">
        <f>IFERROR(__xludf.DUMMYFUNCTION("IF(B9210="""","""",RIGHT(REGEXREPLACE(B9210&amp;"""",""[^0-9]"",""""),9))"),"778154896")</f>
        <v>778154896</v>
      </c>
      <c r="B9210" s="52">
        <v>7.78154896E8</v>
      </c>
      <c r="C9210" s="28" t="s">
        <v>9309</v>
      </c>
      <c r="D9210" s="26" t="s">
        <v>56</v>
      </c>
      <c r="E9210" s="31">
        <v>46249.0</v>
      </c>
      <c r="F9210" s="26" t="s">
        <v>659</v>
      </c>
      <c r="H9210" s="26" t="s">
        <v>8436</v>
      </c>
      <c r="I9210" s="26" t="s">
        <v>931</v>
      </c>
      <c r="J9210" s="25" t="str">
        <f t="shared" si="115"/>
        <v>No</v>
      </c>
      <c r="K9210" s="25" t="str">
        <f t="shared" si="116"/>
        <v/>
      </c>
      <c r="L9210" s="25" t="str">
        <f t="shared" si="117"/>
        <v/>
      </c>
      <c r="M9210" s="25"/>
      <c r="O9210" s="25"/>
    </row>
    <row r="9211" ht="15.75" customHeight="1">
      <c r="A9211" s="25" t="str">
        <f>IFERROR(__xludf.DUMMYFUNCTION("IF(B9211="""","""",RIGHT(REGEXREPLACE(B9211&amp;"""",""[^0-9]"",""""),9))"),"719818224")</f>
        <v>719818224</v>
      </c>
      <c r="B9211" s="52">
        <v>7.19818224E8</v>
      </c>
      <c r="C9211" s="28" t="s">
        <v>2162</v>
      </c>
      <c r="D9211" s="26" t="s">
        <v>45</v>
      </c>
      <c r="E9211" s="31">
        <v>46249.0</v>
      </c>
      <c r="F9211" s="26" t="s">
        <v>164</v>
      </c>
      <c r="I9211" s="26" t="s">
        <v>931</v>
      </c>
      <c r="J9211" s="25" t="str">
        <f t="shared" si="115"/>
        <v>Yes - see Previous F-Code</v>
      </c>
      <c r="K9211" s="25" t="str">
        <f t="shared" si="116"/>
        <v/>
      </c>
      <c r="L9211" s="25" t="str">
        <f t="shared" si="117"/>
        <v>F71863</v>
      </c>
      <c r="M9211" s="25"/>
      <c r="O9211" s="25"/>
    </row>
    <row r="9212" ht="15.75" customHeight="1">
      <c r="A9212" s="25" t="str">
        <f>IFERROR(__xludf.DUMMYFUNCTION("IF(B9212="""","""",RIGHT(REGEXREPLACE(B9212&amp;"""",""[^0-9]"",""""),9))"),"779669627")</f>
        <v>779669627</v>
      </c>
      <c r="B9212" s="52">
        <v>7.79669627E8</v>
      </c>
      <c r="C9212" s="28" t="s">
        <v>9310</v>
      </c>
      <c r="D9212" s="26" t="s">
        <v>45</v>
      </c>
      <c r="E9212" s="31">
        <v>46249.0</v>
      </c>
      <c r="F9212" s="26" t="s">
        <v>41</v>
      </c>
      <c r="G9212" s="26">
        <v>11.0</v>
      </c>
      <c r="I9212" s="26" t="s">
        <v>931</v>
      </c>
      <c r="J9212" s="25" t="str">
        <f t="shared" si="115"/>
        <v>No</v>
      </c>
      <c r="K9212" s="25" t="str">
        <f t="shared" si="116"/>
        <v/>
      </c>
      <c r="L9212" s="25" t="str">
        <f t="shared" si="117"/>
        <v/>
      </c>
      <c r="M9212" s="25"/>
      <c r="O9212" s="25"/>
    </row>
    <row r="9213" ht="15.75" customHeight="1">
      <c r="A9213" s="25" t="str">
        <f>IFERROR(__xludf.DUMMYFUNCTION("IF(B9213="""","""",RIGHT(REGEXREPLACE(B9213&amp;"""",""[^0-9]"",""""),9))"),"771353222")</f>
        <v>771353222</v>
      </c>
      <c r="B9213" s="52">
        <v>7.71353222E8</v>
      </c>
      <c r="C9213" s="28" t="s">
        <v>2953</v>
      </c>
      <c r="D9213" s="26" t="s">
        <v>56</v>
      </c>
      <c r="E9213" s="31">
        <v>46250.0</v>
      </c>
      <c r="F9213" s="26" t="s">
        <v>46</v>
      </c>
      <c r="G9213" s="26">
        <v>11.0</v>
      </c>
      <c r="I9213" s="26" t="s">
        <v>931</v>
      </c>
      <c r="J9213" s="25" t="str">
        <f t="shared" si="115"/>
        <v>Yes - see Previous F-Code</v>
      </c>
      <c r="K9213" s="25" t="str">
        <f t="shared" si="116"/>
        <v/>
      </c>
      <c r="L9213" s="25" t="str">
        <f t="shared" si="117"/>
        <v>F72551</v>
      </c>
      <c r="M9213" s="25"/>
      <c r="O9213" s="25"/>
    </row>
    <row r="9214" ht="15.75" customHeight="1">
      <c r="A9214" s="25" t="str">
        <f>IFERROR(__xludf.DUMMYFUNCTION("IF(B9214="""","""",RIGHT(REGEXREPLACE(B9214&amp;"""",""[^0-9]"",""""),9))"),"775582006")</f>
        <v>775582006</v>
      </c>
      <c r="B9214" s="52">
        <v>7.75582006E8</v>
      </c>
      <c r="C9214" s="28" t="s">
        <v>9311</v>
      </c>
      <c r="D9214" s="26" t="s">
        <v>56</v>
      </c>
      <c r="E9214" s="31">
        <v>46250.0</v>
      </c>
      <c r="F9214" s="26" t="s">
        <v>41</v>
      </c>
      <c r="G9214" s="26">
        <v>11.0</v>
      </c>
      <c r="I9214" s="26" t="s">
        <v>931</v>
      </c>
      <c r="J9214" s="25" t="str">
        <f t="shared" si="115"/>
        <v>No</v>
      </c>
      <c r="K9214" s="25" t="str">
        <f t="shared" si="116"/>
        <v/>
      </c>
      <c r="L9214" s="25" t="str">
        <f t="shared" si="117"/>
        <v/>
      </c>
      <c r="M9214" s="25"/>
      <c r="O9214" s="25"/>
    </row>
    <row r="9215" ht="15.75" customHeight="1">
      <c r="A9215" s="25" t="str">
        <f>IFERROR(__xludf.DUMMYFUNCTION("IF(B9215="""","""",RIGHT(REGEXREPLACE(B9215&amp;"""",""[^0-9]"",""""),9))"),"742415422")</f>
        <v>742415422</v>
      </c>
      <c r="B9215" s="52">
        <v>7.42415422E8</v>
      </c>
      <c r="C9215" s="28" t="s">
        <v>6173</v>
      </c>
      <c r="D9215" s="26" t="s">
        <v>56</v>
      </c>
      <c r="E9215" s="31">
        <v>46250.0</v>
      </c>
      <c r="F9215" s="26" t="s">
        <v>167</v>
      </c>
      <c r="G9215" s="26">
        <v>8.0</v>
      </c>
      <c r="H9215" s="26" t="s">
        <v>9312</v>
      </c>
      <c r="I9215" s="26" t="s">
        <v>931</v>
      </c>
      <c r="J9215" s="25" t="str">
        <f t="shared" si="115"/>
        <v>Yes - see Previous F-Code</v>
      </c>
      <c r="K9215" s="25" t="str">
        <f t="shared" si="116"/>
        <v>DUPLICATE - CHECK</v>
      </c>
      <c r="L9215" s="25" t="str">
        <f t="shared" si="117"/>
        <v>F75575</v>
      </c>
      <c r="M9215" s="25"/>
      <c r="O9215" s="26" t="s">
        <v>51</v>
      </c>
    </row>
    <row r="9216" ht="15.75" customHeight="1">
      <c r="A9216" s="25" t="str">
        <f>IFERROR(__xludf.DUMMYFUNCTION("IF(B9216="""","""",RIGHT(REGEXREPLACE(B9216&amp;"""",""[^0-9]"",""""),9))"),"703620455")</f>
        <v>703620455</v>
      </c>
      <c r="B9216" s="52">
        <v>7.03620455E8</v>
      </c>
      <c r="C9216" s="28" t="s">
        <v>9313</v>
      </c>
      <c r="D9216" s="26" t="s">
        <v>56</v>
      </c>
      <c r="E9216" s="31">
        <v>46250.0</v>
      </c>
      <c r="F9216" s="26" t="s">
        <v>46</v>
      </c>
      <c r="G9216" s="26">
        <v>9.0</v>
      </c>
      <c r="I9216" s="26" t="s">
        <v>931</v>
      </c>
      <c r="J9216" s="25" t="str">
        <f t="shared" si="115"/>
        <v>No</v>
      </c>
      <c r="K9216" s="25" t="str">
        <f t="shared" si="116"/>
        <v/>
      </c>
      <c r="L9216" s="25" t="str">
        <f t="shared" si="117"/>
        <v/>
      </c>
      <c r="M9216" s="25"/>
      <c r="O9216" s="25"/>
    </row>
    <row r="9217" ht="15.75" customHeight="1">
      <c r="A9217" s="25" t="str">
        <f>IFERROR(__xludf.DUMMYFUNCTION("IF(B9217="""","""",RIGHT(REGEXREPLACE(B9217&amp;"""",""[^0-9]"",""""),9))"),"726219832")</f>
        <v>726219832</v>
      </c>
      <c r="B9217" s="52">
        <v>7.26219832E8</v>
      </c>
      <c r="C9217" s="28" t="s">
        <v>6949</v>
      </c>
      <c r="D9217" s="26" t="s">
        <v>56</v>
      </c>
      <c r="E9217" s="31">
        <v>46250.0</v>
      </c>
      <c r="F9217" s="26" t="s">
        <v>46</v>
      </c>
      <c r="G9217" s="26">
        <v>7.0</v>
      </c>
      <c r="I9217" s="26" t="s">
        <v>931</v>
      </c>
      <c r="J9217" s="25" t="str">
        <f t="shared" si="115"/>
        <v>Yes - see Previous F-Code</v>
      </c>
      <c r="K9217" s="25" t="str">
        <f t="shared" si="116"/>
        <v>DUPLICATE - CHECK</v>
      </c>
      <c r="L9217" s="25" t="str">
        <f t="shared" si="117"/>
        <v>F75929</v>
      </c>
      <c r="M9217" s="25"/>
      <c r="O9217" s="25"/>
    </row>
    <row r="9218" ht="15.75" customHeight="1">
      <c r="A9218" s="25" t="str">
        <f>IFERROR(__xludf.DUMMYFUNCTION("IF(B9218="""","""",RIGHT(REGEXREPLACE(B9218&amp;"""",""[^0-9]"",""""),9))"),"725756406")</f>
        <v>725756406</v>
      </c>
      <c r="B9218" s="52">
        <v>7.25756406E8</v>
      </c>
      <c r="C9218" s="28" t="s">
        <v>9314</v>
      </c>
      <c r="D9218" s="26" t="s">
        <v>56</v>
      </c>
      <c r="E9218" s="31">
        <v>46250.0</v>
      </c>
      <c r="F9218" s="26" t="s">
        <v>205</v>
      </c>
      <c r="I9218" s="26" t="s">
        <v>931</v>
      </c>
      <c r="J9218" s="25" t="str">
        <f t="shared" si="115"/>
        <v>No</v>
      </c>
      <c r="K9218" s="25" t="str">
        <f t="shared" si="116"/>
        <v/>
      </c>
      <c r="L9218" s="25" t="str">
        <f t="shared" si="117"/>
        <v/>
      </c>
      <c r="M9218" s="25"/>
      <c r="O9218" s="25"/>
    </row>
    <row r="9219" ht="15.75" customHeight="1">
      <c r="A9219" s="25" t="str">
        <f>IFERROR(__xludf.DUMMYFUNCTION("IF(B9219="""","""",RIGHT(REGEXREPLACE(B9219&amp;"""",""[^0-9]"",""""),9))"),"773340144")</f>
        <v>773340144</v>
      </c>
      <c r="B9219" s="52">
        <v>7.73340144E8</v>
      </c>
      <c r="C9219" s="28" t="s">
        <v>9315</v>
      </c>
      <c r="D9219" s="26" t="s">
        <v>56</v>
      </c>
      <c r="E9219" s="31">
        <v>46250.0</v>
      </c>
      <c r="F9219" s="26" t="s">
        <v>46</v>
      </c>
      <c r="G9219" s="26">
        <v>10.0</v>
      </c>
      <c r="I9219" s="26" t="s">
        <v>931</v>
      </c>
      <c r="J9219" s="25" t="str">
        <f t="shared" si="115"/>
        <v>No</v>
      </c>
      <c r="K9219" s="25" t="str">
        <f t="shared" si="116"/>
        <v/>
      </c>
      <c r="L9219" s="25" t="str">
        <f t="shared" si="117"/>
        <v/>
      </c>
      <c r="M9219" s="25"/>
      <c r="O9219" s="25"/>
    </row>
    <row r="9220" ht="15.75" customHeight="1">
      <c r="A9220" s="25" t="str">
        <f>IFERROR(__xludf.DUMMYFUNCTION("IF(B9220="""","""",RIGHT(REGEXREPLACE(B9220&amp;"""",""[^0-9]"",""""),9))"),"783813395")</f>
        <v>783813395</v>
      </c>
      <c r="B9220" s="52">
        <v>7.83813395E8</v>
      </c>
      <c r="C9220" s="28" t="s">
        <v>157</v>
      </c>
      <c r="D9220" s="26" t="s">
        <v>56</v>
      </c>
      <c r="E9220" s="31">
        <v>46250.0</v>
      </c>
      <c r="F9220" s="26" t="s">
        <v>46</v>
      </c>
      <c r="G9220" s="26">
        <v>11.0</v>
      </c>
      <c r="I9220" s="26" t="s">
        <v>931</v>
      </c>
      <c r="J9220" s="25" t="str">
        <f t="shared" si="115"/>
        <v>Yes - see Previous F-Code</v>
      </c>
      <c r="K9220" s="25" t="str">
        <f t="shared" si="116"/>
        <v/>
      </c>
      <c r="L9220" s="25" t="str">
        <f t="shared" si="117"/>
        <v>F70074</v>
      </c>
      <c r="M9220" s="25"/>
      <c r="O9220" s="25"/>
    </row>
    <row r="9221" ht="15.75" customHeight="1">
      <c r="A9221" s="25" t="str">
        <f>IFERROR(__xludf.DUMMYFUNCTION("IF(B9221="""","""",RIGHT(REGEXREPLACE(B9221&amp;"""",""[^0-9]"",""""),9))"),"767001052")</f>
        <v>767001052</v>
      </c>
      <c r="B9221" s="52">
        <v>7.67001052E8</v>
      </c>
      <c r="C9221" s="28" t="s">
        <v>9316</v>
      </c>
      <c r="D9221" s="26" t="s">
        <v>56</v>
      </c>
      <c r="E9221" s="31">
        <v>46250.0</v>
      </c>
      <c r="F9221" s="26" t="s">
        <v>46</v>
      </c>
      <c r="G9221" s="26" t="s">
        <v>2930</v>
      </c>
      <c r="I9221" s="26" t="s">
        <v>931</v>
      </c>
      <c r="J9221" s="25" t="str">
        <f t="shared" si="115"/>
        <v>No</v>
      </c>
      <c r="K9221" s="25" t="str">
        <f t="shared" si="116"/>
        <v/>
      </c>
      <c r="L9221" s="25" t="str">
        <f t="shared" si="117"/>
        <v/>
      </c>
      <c r="M9221" s="25"/>
      <c r="O9221" s="26" t="s">
        <v>51</v>
      </c>
    </row>
    <row r="9222" ht="15.75" customHeight="1">
      <c r="A9222" s="25" t="str">
        <f>IFERROR(__xludf.DUMMYFUNCTION("IF(B9222="""","""",RIGHT(REGEXREPLACE(B9222&amp;"""",""[^0-9]"",""""),9))"),"769767442")</f>
        <v>769767442</v>
      </c>
      <c r="B9222" s="52">
        <v>7.69767442E8</v>
      </c>
      <c r="C9222" s="28" t="s">
        <v>9317</v>
      </c>
      <c r="D9222" s="26" t="s">
        <v>56</v>
      </c>
      <c r="E9222" s="31">
        <v>46250.0</v>
      </c>
      <c r="F9222" s="26" t="s">
        <v>41</v>
      </c>
      <c r="G9222" s="26">
        <v>10.0</v>
      </c>
      <c r="I9222" s="26" t="s">
        <v>931</v>
      </c>
      <c r="J9222" s="25" t="str">
        <f t="shared" si="115"/>
        <v>No</v>
      </c>
      <c r="K9222" s="25" t="str">
        <f t="shared" si="116"/>
        <v/>
      </c>
      <c r="L9222" s="25" t="str">
        <f t="shared" si="117"/>
        <v/>
      </c>
      <c r="M9222" s="25"/>
      <c r="O9222" s="25"/>
    </row>
    <row r="9223" ht="15.75" customHeight="1">
      <c r="A9223" s="25" t="str">
        <f>IFERROR(__xludf.DUMMYFUNCTION("IF(B9223="""","""",RIGHT(REGEXREPLACE(B9223&amp;"""",""[^0-9]"",""""),9))"),"760403300")</f>
        <v>760403300</v>
      </c>
      <c r="B9223" s="52">
        <v>7.604033E8</v>
      </c>
      <c r="C9223" s="28" t="s">
        <v>9318</v>
      </c>
      <c r="D9223" s="26" t="s">
        <v>64</v>
      </c>
      <c r="E9223" s="31">
        <v>46250.0</v>
      </c>
      <c r="F9223" s="26" t="s">
        <v>46</v>
      </c>
      <c r="H9223" s="26" t="s">
        <v>6934</v>
      </c>
      <c r="I9223" s="26" t="s">
        <v>931</v>
      </c>
      <c r="J9223" s="25" t="str">
        <f t="shared" si="115"/>
        <v>No</v>
      </c>
      <c r="K9223" s="25" t="str">
        <f t="shared" si="116"/>
        <v/>
      </c>
      <c r="L9223" s="25" t="str">
        <f t="shared" si="117"/>
        <v/>
      </c>
      <c r="M9223" s="25"/>
      <c r="O9223" s="25"/>
    </row>
    <row r="9224" ht="15.75" customHeight="1">
      <c r="A9224" s="25" t="str">
        <f>IFERROR(__xludf.DUMMYFUNCTION("IF(B9224="""","""",RIGHT(REGEXREPLACE(B9224&amp;"""",""[^0-9]"",""""),9))"),"764845170")</f>
        <v>764845170</v>
      </c>
      <c r="B9224" s="52">
        <v>7.6484517E8</v>
      </c>
      <c r="C9224" s="28" t="s">
        <v>9319</v>
      </c>
      <c r="D9224" s="26" t="s">
        <v>64</v>
      </c>
      <c r="E9224" s="31">
        <v>46250.0</v>
      </c>
      <c r="F9224" s="26" t="s">
        <v>205</v>
      </c>
      <c r="G9224" s="26">
        <v>10.0</v>
      </c>
      <c r="I9224" s="26" t="s">
        <v>931</v>
      </c>
      <c r="J9224" s="25" t="str">
        <f t="shared" si="115"/>
        <v>No</v>
      </c>
      <c r="K9224" s="25" t="str">
        <f t="shared" si="116"/>
        <v/>
      </c>
      <c r="L9224" s="25" t="str">
        <f t="shared" si="117"/>
        <v/>
      </c>
      <c r="M9224" s="25"/>
      <c r="O9224" s="25"/>
    </row>
    <row r="9225" ht="15.75" customHeight="1">
      <c r="A9225" s="25" t="str">
        <f>IFERROR(__xludf.DUMMYFUNCTION("IF(B9225="""","""",RIGHT(REGEXREPLACE(B9225&amp;"""",""[^0-9]"",""""),9))"),"784737088")</f>
        <v>784737088</v>
      </c>
      <c r="B9225" s="52">
        <v>7.84737088E8</v>
      </c>
      <c r="C9225" s="28" t="s">
        <v>4177</v>
      </c>
      <c r="D9225" s="26" t="s">
        <v>64</v>
      </c>
      <c r="E9225" s="31">
        <v>46250.0</v>
      </c>
      <c r="F9225" s="26" t="s">
        <v>46</v>
      </c>
      <c r="G9225" s="26">
        <v>11.0</v>
      </c>
      <c r="H9225" s="26" t="s">
        <v>8436</v>
      </c>
      <c r="I9225" s="26" t="s">
        <v>931</v>
      </c>
      <c r="J9225" s="25" t="str">
        <f t="shared" si="115"/>
        <v>Yes - see Previous F-Code</v>
      </c>
      <c r="K9225" s="25" t="str">
        <f t="shared" si="116"/>
        <v/>
      </c>
      <c r="L9225" s="25" t="str">
        <f t="shared" si="117"/>
        <v>F73810</v>
      </c>
      <c r="M9225" s="25"/>
      <c r="O9225" s="25"/>
    </row>
    <row r="9226" ht="15.75" customHeight="1">
      <c r="A9226" s="25" t="str">
        <f>IFERROR(__xludf.DUMMYFUNCTION("IF(B9226="""","""",RIGHT(REGEXREPLACE(B9226&amp;"""",""[^0-9]"",""""),9))"),"778057316")</f>
        <v>778057316</v>
      </c>
      <c r="B9226" s="52">
        <v>7.78057316E8</v>
      </c>
      <c r="C9226" s="28" t="s">
        <v>9320</v>
      </c>
      <c r="D9226" s="26" t="s">
        <v>64</v>
      </c>
      <c r="E9226" s="31">
        <v>46250.0</v>
      </c>
      <c r="F9226" s="26" t="s">
        <v>46</v>
      </c>
      <c r="G9226" s="26">
        <v>7.0</v>
      </c>
      <c r="I9226" s="26" t="s">
        <v>931</v>
      </c>
      <c r="J9226" s="25" t="str">
        <f t="shared" si="115"/>
        <v>No</v>
      </c>
      <c r="K9226" s="25" t="str">
        <f t="shared" si="116"/>
        <v/>
      </c>
      <c r="L9226" s="25" t="str">
        <f t="shared" si="117"/>
        <v/>
      </c>
      <c r="M9226" s="25"/>
      <c r="O9226" s="26" t="s">
        <v>51</v>
      </c>
    </row>
    <row r="9227" ht="15.75" customHeight="1">
      <c r="A9227" s="25" t="str">
        <f>IFERROR(__xludf.DUMMYFUNCTION("IF(B9227="""","""",RIGHT(REGEXREPLACE(B9227&amp;"""",""[^0-9]"",""""),9))"),"719700679")</f>
        <v>719700679</v>
      </c>
      <c r="B9227" s="52">
        <v>7.19700679E8</v>
      </c>
      <c r="C9227" s="116" t="s">
        <v>5875</v>
      </c>
      <c r="D9227" s="26" t="s">
        <v>56</v>
      </c>
      <c r="E9227" s="31">
        <v>46250.0</v>
      </c>
      <c r="F9227" s="26" t="s">
        <v>41</v>
      </c>
      <c r="I9227" s="26" t="s">
        <v>931</v>
      </c>
      <c r="J9227" s="25" t="str">
        <f t="shared" si="115"/>
        <v>Yes - see Previous F-Code</v>
      </c>
      <c r="K9227" s="25" t="str">
        <f t="shared" si="116"/>
        <v>DUPLICATE - CHECK</v>
      </c>
      <c r="L9227" s="25" t="str">
        <f t="shared" si="117"/>
        <v>F75304</v>
      </c>
      <c r="M9227" s="25"/>
      <c r="O9227" s="25"/>
    </row>
    <row r="9228" ht="15.75" customHeight="1">
      <c r="A9228" s="25" t="str">
        <f>IFERROR(__xludf.DUMMYFUNCTION("IF(B9228="""","""",RIGHT(REGEXREPLACE(B9228&amp;"""",""[^0-9]"",""""),9))"),"717651184")</f>
        <v>717651184</v>
      </c>
      <c r="B9228" s="52">
        <v>7.17651184E8</v>
      </c>
      <c r="C9228" s="28" t="s">
        <v>9123</v>
      </c>
      <c r="D9228" s="26" t="s">
        <v>64</v>
      </c>
      <c r="E9228" s="31">
        <v>46251.0</v>
      </c>
      <c r="F9228" s="26" t="s">
        <v>46</v>
      </c>
      <c r="G9228" s="26">
        <v>11.0</v>
      </c>
      <c r="I9228" s="26" t="s">
        <v>931</v>
      </c>
      <c r="J9228" s="25" t="str">
        <f t="shared" si="115"/>
        <v>Yes - see Previous F-Code</v>
      </c>
      <c r="K9228" s="25" t="str">
        <f t="shared" si="116"/>
        <v/>
      </c>
      <c r="L9228" s="25" t="str">
        <f t="shared" si="117"/>
        <v>F77881</v>
      </c>
      <c r="M9228" s="25"/>
      <c r="O9228" s="25"/>
    </row>
    <row r="9229" ht="15.75" customHeight="1">
      <c r="A9229" s="25" t="str">
        <f>IFERROR(__xludf.DUMMYFUNCTION("IF(B9229="""","""",RIGHT(REGEXREPLACE(B9229&amp;"""",""[^0-9]"",""""),9))"),"740517212")</f>
        <v>740517212</v>
      </c>
      <c r="B9229" s="52">
        <v>7.40517212E8</v>
      </c>
      <c r="C9229" s="28" t="s">
        <v>9321</v>
      </c>
      <c r="D9229" s="26" t="s">
        <v>64</v>
      </c>
      <c r="E9229" s="31">
        <v>46251.0</v>
      </c>
      <c r="F9229" s="26" t="s">
        <v>46</v>
      </c>
      <c r="G9229" s="26">
        <v>11.0</v>
      </c>
      <c r="I9229" s="26" t="s">
        <v>931</v>
      </c>
      <c r="J9229" s="25" t="str">
        <f t="shared" si="115"/>
        <v>No</v>
      </c>
      <c r="K9229" s="25" t="str">
        <f t="shared" si="116"/>
        <v/>
      </c>
      <c r="L9229" s="25" t="str">
        <f t="shared" si="117"/>
        <v/>
      </c>
      <c r="M9229" s="25"/>
      <c r="O9229" s="25"/>
    </row>
    <row r="9230" ht="15.75" customHeight="1">
      <c r="A9230" s="25" t="str">
        <f>IFERROR(__xludf.DUMMYFUNCTION("IF(B9230="""","""",RIGHT(REGEXREPLACE(B9230&amp;"""",""[^0-9]"",""""),9))"),"752377107")</f>
        <v>752377107</v>
      </c>
      <c r="B9230" s="52">
        <v>7.52377107E8</v>
      </c>
      <c r="C9230" s="28" t="s">
        <v>9322</v>
      </c>
      <c r="D9230" s="26" t="s">
        <v>64</v>
      </c>
      <c r="E9230" s="31">
        <v>46251.0</v>
      </c>
      <c r="F9230" s="26" t="s">
        <v>46</v>
      </c>
      <c r="G9230" s="26">
        <v>11.0</v>
      </c>
      <c r="H9230" s="26" t="s">
        <v>8555</v>
      </c>
      <c r="I9230" s="26" t="s">
        <v>931</v>
      </c>
      <c r="J9230" s="25" t="str">
        <f t="shared" si="115"/>
        <v>No</v>
      </c>
      <c r="K9230" s="25" t="str">
        <f t="shared" si="116"/>
        <v/>
      </c>
      <c r="L9230" s="25" t="str">
        <f t="shared" si="117"/>
        <v/>
      </c>
      <c r="M9230" s="25"/>
      <c r="O9230" s="25"/>
    </row>
    <row r="9231" ht="15.75" customHeight="1">
      <c r="A9231" s="25" t="str">
        <f>IFERROR(__xludf.DUMMYFUNCTION("IF(B9231="""","""",RIGHT(REGEXREPLACE(B9231&amp;"""",""[^0-9]"",""""),9))"),"714446711")</f>
        <v>714446711</v>
      </c>
      <c r="B9231" s="52">
        <v>7.14446711E8</v>
      </c>
      <c r="C9231" s="28" t="s">
        <v>5593</v>
      </c>
      <c r="D9231" s="26" t="s">
        <v>64</v>
      </c>
      <c r="E9231" s="31">
        <v>46251.0</v>
      </c>
      <c r="F9231" s="26" t="s">
        <v>41</v>
      </c>
      <c r="G9231" s="26">
        <v>10.0</v>
      </c>
      <c r="I9231" s="26" t="s">
        <v>931</v>
      </c>
      <c r="J9231" s="25" t="str">
        <f t="shared" si="115"/>
        <v>Yes - see Previous F-Code</v>
      </c>
      <c r="K9231" s="25" t="str">
        <f t="shared" si="116"/>
        <v/>
      </c>
      <c r="L9231" s="25" t="str">
        <f t="shared" si="117"/>
        <v>F75067</v>
      </c>
      <c r="M9231" s="25"/>
      <c r="O9231" s="25"/>
    </row>
    <row r="9232" ht="15.75" customHeight="1">
      <c r="A9232" s="25" t="str">
        <f>IFERROR(__xludf.DUMMYFUNCTION("IF(B9232="""","""",RIGHT(REGEXREPLACE(B9232&amp;"""",""[^0-9]"",""""),9))"),"714403435")</f>
        <v>714403435</v>
      </c>
      <c r="B9232" s="52">
        <v>7.14403435E8</v>
      </c>
      <c r="C9232" s="28" t="s">
        <v>5593</v>
      </c>
      <c r="D9232" s="26" t="s">
        <v>64</v>
      </c>
      <c r="E9232" s="31">
        <v>46251.0</v>
      </c>
      <c r="F9232" s="26" t="s">
        <v>41</v>
      </c>
      <c r="G9232" s="26">
        <v>10.0</v>
      </c>
      <c r="I9232" s="26" t="s">
        <v>931</v>
      </c>
      <c r="J9232" s="25" t="str">
        <f t="shared" si="115"/>
        <v>No</v>
      </c>
      <c r="K9232" s="25" t="str">
        <f t="shared" si="116"/>
        <v/>
      </c>
      <c r="L9232" s="25" t="str">
        <f t="shared" si="117"/>
        <v/>
      </c>
      <c r="M9232" s="25"/>
      <c r="O9232" s="25"/>
    </row>
    <row r="9233" ht="15.75" customHeight="1">
      <c r="A9233" s="25" t="str">
        <f>IFERROR(__xludf.DUMMYFUNCTION("IF(B9233="""","""",RIGHT(REGEXREPLACE(B9233&amp;"""",""[^0-9]"",""""),9))"),"768370732")</f>
        <v>768370732</v>
      </c>
      <c r="B9233" s="52">
        <v>7.68370732E8</v>
      </c>
      <c r="C9233" s="28" t="s">
        <v>9323</v>
      </c>
      <c r="D9233" s="26" t="s">
        <v>49</v>
      </c>
      <c r="E9233" s="31">
        <v>46251.0</v>
      </c>
      <c r="F9233" s="26" t="s">
        <v>46</v>
      </c>
      <c r="G9233" s="26">
        <v>9.0</v>
      </c>
      <c r="I9233" s="26" t="s">
        <v>931</v>
      </c>
      <c r="J9233" s="25" t="str">
        <f t="shared" si="115"/>
        <v>No</v>
      </c>
      <c r="K9233" s="25" t="str">
        <f t="shared" si="116"/>
        <v/>
      </c>
      <c r="L9233" s="25" t="str">
        <f t="shared" si="117"/>
        <v/>
      </c>
      <c r="M9233" s="25"/>
      <c r="O9233" s="25"/>
    </row>
    <row r="9234" ht="15.75" customHeight="1">
      <c r="A9234" s="25" t="str">
        <f>IFERROR(__xludf.DUMMYFUNCTION("IF(B9234="""","""",RIGHT(REGEXREPLACE(B9234&amp;"""",""[^0-9]"",""""),9))"),"762600677")</f>
        <v>762600677</v>
      </c>
      <c r="B9234" s="52">
        <v>7.62600677E8</v>
      </c>
      <c r="C9234" s="28" t="s">
        <v>9324</v>
      </c>
      <c r="D9234" s="26" t="s">
        <v>49</v>
      </c>
      <c r="E9234" s="31">
        <v>46251.0</v>
      </c>
      <c r="F9234" s="26" t="s">
        <v>164</v>
      </c>
      <c r="G9234" s="26">
        <v>11.0</v>
      </c>
      <c r="I9234" s="26" t="s">
        <v>931</v>
      </c>
      <c r="J9234" s="25" t="str">
        <f t="shared" si="115"/>
        <v>No</v>
      </c>
      <c r="K9234" s="25" t="str">
        <f t="shared" si="116"/>
        <v/>
      </c>
      <c r="L9234" s="25" t="str">
        <f t="shared" si="117"/>
        <v/>
      </c>
      <c r="M9234" s="25"/>
      <c r="O9234" s="25"/>
    </row>
    <row r="9235" ht="15.75" customHeight="1">
      <c r="A9235" s="25" t="str">
        <f>IFERROR(__xludf.DUMMYFUNCTION("IF(B9235="""","""",RIGHT(REGEXREPLACE(B9235&amp;"""",""[^0-9]"",""""),9))"),"765406906")</f>
        <v>765406906</v>
      </c>
      <c r="B9235" s="52">
        <v>7.65406906E8</v>
      </c>
      <c r="C9235" s="28" t="s">
        <v>8835</v>
      </c>
      <c r="D9235" s="26" t="s">
        <v>49</v>
      </c>
      <c r="E9235" s="31">
        <v>46251.0</v>
      </c>
      <c r="F9235" s="26" t="s">
        <v>46</v>
      </c>
      <c r="H9235" s="26" t="s">
        <v>9325</v>
      </c>
      <c r="I9235" s="26" t="s">
        <v>931</v>
      </c>
      <c r="J9235" s="25" t="str">
        <f t="shared" si="115"/>
        <v>Yes - see Previous F-Code</v>
      </c>
      <c r="K9235" s="25" t="str">
        <f t="shared" si="116"/>
        <v>DUPLICATE - CHECK</v>
      </c>
      <c r="L9235" s="25" t="str">
        <f t="shared" si="117"/>
        <v>F77597</v>
      </c>
      <c r="M9235" s="25"/>
      <c r="O9235" s="25"/>
    </row>
    <row r="9236" ht="15.75" customHeight="1">
      <c r="A9236" s="25" t="str">
        <f>IFERROR(__xludf.DUMMYFUNCTION("IF(B9236="""","""",RIGHT(REGEXREPLACE(B9236&amp;"""",""[^0-9]"",""""),9))"),"764830086")</f>
        <v>764830086</v>
      </c>
      <c r="B9236" s="52">
        <v>7.64830086E8</v>
      </c>
      <c r="C9236" s="28" t="s">
        <v>9326</v>
      </c>
      <c r="D9236" s="26" t="s">
        <v>64</v>
      </c>
      <c r="E9236" s="31">
        <v>46251.0</v>
      </c>
      <c r="F9236" s="26" t="s">
        <v>46</v>
      </c>
      <c r="G9236" s="26">
        <v>11.0</v>
      </c>
      <c r="I9236" s="26" t="s">
        <v>931</v>
      </c>
      <c r="J9236" s="25" t="str">
        <f t="shared" si="115"/>
        <v>No</v>
      </c>
      <c r="K9236" s="25" t="str">
        <f t="shared" si="116"/>
        <v/>
      </c>
      <c r="L9236" s="25" t="str">
        <f t="shared" si="117"/>
        <v/>
      </c>
      <c r="M9236" s="25"/>
      <c r="O9236" s="25"/>
    </row>
    <row r="9237" ht="15.75" customHeight="1">
      <c r="A9237" s="25" t="str">
        <f>IFERROR(__xludf.DUMMYFUNCTION("IF(B9237="""","""",RIGHT(REGEXREPLACE(B9237&amp;"""",""[^0-9]"",""""),9))"),"743631811")</f>
        <v>743631811</v>
      </c>
      <c r="B9237" s="52">
        <v>7.43631811E8</v>
      </c>
      <c r="C9237" s="28" t="s">
        <v>9327</v>
      </c>
      <c r="D9237" s="26" t="s">
        <v>49</v>
      </c>
      <c r="E9237" s="31">
        <v>46251.0</v>
      </c>
      <c r="F9237" s="26" t="s">
        <v>46</v>
      </c>
      <c r="G9237" s="26">
        <v>11.0</v>
      </c>
      <c r="I9237" s="26" t="s">
        <v>931</v>
      </c>
      <c r="J9237" s="25" t="str">
        <f t="shared" si="115"/>
        <v>No</v>
      </c>
      <c r="K9237" s="25" t="str">
        <f t="shared" si="116"/>
        <v/>
      </c>
      <c r="L9237" s="25" t="str">
        <f t="shared" si="117"/>
        <v/>
      </c>
      <c r="M9237" s="25"/>
      <c r="O9237" s="25"/>
    </row>
    <row r="9238" ht="15.75" customHeight="1">
      <c r="A9238" s="25" t="str">
        <f>IFERROR(__xludf.DUMMYFUNCTION("IF(B9238="""","""",RIGHT(REGEXREPLACE(B9238&amp;"""",""[^0-9]"",""""),9))"),"763610893")</f>
        <v>763610893</v>
      </c>
      <c r="B9238" s="52">
        <v>7.63610893E8</v>
      </c>
      <c r="C9238" s="28" t="s">
        <v>8769</v>
      </c>
      <c r="D9238" s="26" t="s">
        <v>64</v>
      </c>
      <c r="E9238" s="31">
        <v>46251.0</v>
      </c>
      <c r="F9238" s="26" t="s">
        <v>41</v>
      </c>
      <c r="G9238" s="26">
        <v>8.0</v>
      </c>
      <c r="I9238" s="26" t="s">
        <v>931</v>
      </c>
      <c r="J9238" s="25" t="str">
        <f t="shared" si="115"/>
        <v>No</v>
      </c>
      <c r="K9238" s="25" t="str">
        <f t="shared" si="116"/>
        <v/>
      </c>
      <c r="L9238" s="25" t="str">
        <f t="shared" si="117"/>
        <v/>
      </c>
      <c r="M9238" s="25"/>
      <c r="O9238" s="25"/>
    </row>
    <row r="9239" ht="15.75" customHeight="1">
      <c r="A9239" s="25" t="str">
        <f>IFERROR(__xludf.DUMMYFUNCTION("IF(B9239="""","""",RIGHT(REGEXREPLACE(B9239&amp;"""",""[^0-9]"",""""),9))"),"710707430")</f>
        <v>710707430</v>
      </c>
      <c r="B9239" s="52">
        <v>7.1070743E8</v>
      </c>
      <c r="C9239" s="28" t="s">
        <v>9328</v>
      </c>
      <c r="D9239" s="26" t="s">
        <v>49</v>
      </c>
      <c r="E9239" s="31">
        <v>46251.0</v>
      </c>
      <c r="F9239" s="26" t="s">
        <v>41</v>
      </c>
      <c r="G9239" s="26">
        <v>11.0</v>
      </c>
      <c r="I9239" s="26" t="s">
        <v>931</v>
      </c>
      <c r="J9239" s="25" t="str">
        <f t="shared" si="115"/>
        <v>No</v>
      </c>
      <c r="K9239" s="25" t="str">
        <f t="shared" si="116"/>
        <v/>
      </c>
      <c r="L9239" s="25" t="str">
        <f t="shared" si="117"/>
        <v/>
      </c>
      <c r="M9239" s="25"/>
      <c r="O9239" s="25"/>
    </row>
    <row r="9240" ht="15.75" customHeight="1">
      <c r="A9240" s="25" t="str">
        <f>IFERROR(__xludf.DUMMYFUNCTION("IF(B9240="""","""",RIGHT(REGEXREPLACE(B9240&amp;"""",""[^0-9]"",""""),9))"),"702339840")</f>
        <v>702339840</v>
      </c>
      <c r="B9240" s="52">
        <v>7.0233984E8</v>
      </c>
      <c r="C9240" s="28" t="s">
        <v>9329</v>
      </c>
      <c r="D9240" s="26" t="s">
        <v>64</v>
      </c>
      <c r="E9240" s="31">
        <v>46251.0</v>
      </c>
      <c r="F9240" s="26" t="s">
        <v>205</v>
      </c>
      <c r="G9240" s="26">
        <v>11.0</v>
      </c>
      <c r="I9240" s="26" t="s">
        <v>931</v>
      </c>
      <c r="J9240" s="25" t="str">
        <f t="shared" si="115"/>
        <v>No</v>
      </c>
      <c r="K9240" s="25" t="str">
        <f t="shared" si="116"/>
        <v/>
      </c>
      <c r="L9240" s="25" t="str">
        <f t="shared" si="117"/>
        <v/>
      </c>
      <c r="M9240" s="25"/>
      <c r="O9240" s="25"/>
    </row>
    <row r="9241" ht="15.75" customHeight="1">
      <c r="A9241" s="25" t="str">
        <f>IFERROR(__xludf.DUMMYFUNCTION("IF(B9241="""","""",RIGHT(REGEXREPLACE(B9241&amp;"""",""[^0-9]"",""""),9))"),"781551204")</f>
        <v>781551204</v>
      </c>
      <c r="B9241" s="52">
        <v>7.81551204E8</v>
      </c>
      <c r="C9241" s="28" t="s">
        <v>6049</v>
      </c>
      <c r="D9241" s="26" t="s">
        <v>49</v>
      </c>
      <c r="E9241" s="31">
        <v>46251.0</v>
      </c>
      <c r="F9241" s="26" t="s">
        <v>46</v>
      </c>
      <c r="G9241" s="26">
        <v>9.0</v>
      </c>
      <c r="H9241" s="26" t="s">
        <v>9330</v>
      </c>
      <c r="I9241" s="26" t="s">
        <v>931</v>
      </c>
      <c r="J9241" s="25" t="str">
        <f t="shared" si="115"/>
        <v>Yes - see Previous F-Code</v>
      </c>
      <c r="K9241" s="25" t="str">
        <f t="shared" si="116"/>
        <v/>
      </c>
      <c r="L9241" s="25" t="str">
        <f t="shared" si="117"/>
        <v>F75459</v>
      </c>
      <c r="M9241" s="25"/>
      <c r="O9241" s="25"/>
    </row>
    <row r="9242" ht="15.75" customHeight="1">
      <c r="A9242" s="25" t="str">
        <f>IFERROR(__xludf.DUMMYFUNCTION("IF(B9242="""","""",RIGHT(REGEXREPLACE(B9242&amp;"""",""[^0-9]"",""""),9))"),"786937481")</f>
        <v>786937481</v>
      </c>
      <c r="B9242" s="52">
        <v>7.86937481E8</v>
      </c>
      <c r="C9242" s="28" t="s">
        <v>9331</v>
      </c>
      <c r="D9242" s="26" t="s">
        <v>49</v>
      </c>
      <c r="E9242" s="31">
        <v>46251.0</v>
      </c>
      <c r="F9242" s="26" t="s">
        <v>41</v>
      </c>
      <c r="G9242" s="26">
        <v>9.0</v>
      </c>
      <c r="I9242" s="26" t="s">
        <v>931</v>
      </c>
      <c r="J9242" s="25" t="str">
        <f t="shared" si="115"/>
        <v>No</v>
      </c>
      <c r="K9242" s="25" t="str">
        <f t="shared" si="116"/>
        <v/>
      </c>
      <c r="L9242" s="25" t="str">
        <f t="shared" si="117"/>
        <v/>
      </c>
      <c r="M9242" s="25"/>
      <c r="O9242" s="25"/>
    </row>
    <row r="9243" ht="15.75" customHeight="1">
      <c r="A9243" s="25" t="str">
        <f>IFERROR(__xludf.DUMMYFUNCTION("IF(B9243="""","""",RIGHT(REGEXREPLACE(B9243&amp;"""",""[^0-9]"",""""),9))"),"742672842")</f>
        <v>742672842</v>
      </c>
      <c r="B9243" s="52">
        <v>7.42672842E8</v>
      </c>
      <c r="C9243" s="28" t="s">
        <v>8408</v>
      </c>
      <c r="D9243" s="26" t="s">
        <v>49</v>
      </c>
      <c r="E9243" s="31">
        <v>46252.0</v>
      </c>
      <c r="F9243" s="26" t="s">
        <v>46</v>
      </c>
      <c r="G9243" s="26">
        <v>10.0</v>
      </c>
      <c r="I9243" s="26" t="s">
        <v>931</v>
      </c>
      <c r="J9243" s="25" t="str">
        <f t="shared" si="115"/>
        <v>Yes - see Previous F-Code</v>
      </c>
      <c r="K9243" s="25" t="str">
        <f t="shared" si="116"/>
        <v>DUPLICATE - CHECK</v>
      </c>
      <c r="L9243" s="25" t="str">
        <f t="shared" si="117"/>
        <v>F77172</v>
      </c>
      <c r="M9243" s="25"/>
      <c r="O9243" s="25"/>
    </row>
    <row r="9244" ht="15.75" customHeight="1">
      <c r="A9244" s="25" t="str">
        <f>IFERROR(__xludf.DUMMYFUNCTION("IF(B9244="""","""",RIGHT(REGEXREPLACE(B9244&amp;"""",""[^0-9]"",""""),9))"),"779964231")</f>
        <v>779964231</v>
      </c>
      <c r="B9244" s="52">
        <v>7.79964231E8</v>
      </c>
      <c r="C9244" s="28" t="s">
        <v>7680</v>
      </c>
      <c r="D9244" s="26" t="s">
        <v>49</v>
      </c>
      <c r="E9244" s="31">
        <v>46252.0</v>
      </c>
      <c r="F9244" s="26" t="s">
        <v>46</v>
      </c>
      <c r="G9244" s="26">
        <v>9.0</v>
      </c>
      <c r="H9244" s="26" t="s">
        <v>4894</v>
      </c>
      <c r="I9244" s="26" t="s">
        <v>931</v>
      </c>
      <c r="J9244" s="25" t="str">
        <f t="shared" si="115"/>
        <v>Yes - see Previous F-Code</v>
      </c>
      <c r="K9244" s="25" t="str">
        <f t="shared" si="116"/>
        <v>DUPLICATE - CHECK</v>
      </c>
      <c r="L9244" s="25" t="str">
        <f t="shared" si="117"/>
        <v>F76567</v>
      </c>
      <c r="M9244" s="25"/>
      <c r="O9244" s="25"/>
    </row>
    <row r="9245" ht="15.75" customHeight="1">
      <c r="A9245" s="25" t="str">
        <f>IFERROR(__xludf.DUMMYFUNCTION("IF(B9245="""","""",RIGHT(REGEXREPLACE(B9245&amp;"""",""[^0-9]"",""""),9))"),"743157535")</f>
        <v>743157535</v>
      </c>
      <c r="B9245" s="52">
        <v>7.43157535E8</v>
      </c>
      <c r="C9245" s="28" t="s">
        <v>6790</v>
      </c>
      <c r="D9245" s="26" t="s">
        <v>49</v>
      </c>
      <c r="E9245" s="31">
        <v>46252.0</v>
      </c>
      <c r="F9245" s="26" t="s">
        <v>46</v>
      </c>
      <c r="G9245" s="26">
        <v>9.0</v>
      </c>
      <c r="H9245" s="26" t="s">
        <v>9332</v>
      </c>
      <c r="I9245" s="26" t="s">
        <v>931</v>
      </c>
      <c r="J9245" s="25" t="str">
        <f t="shared" si="115"/>
        <v>Yes - see Previous F-Code</v>
      </c>
      <c r="K9245" s="25" t="str">
        <f t="shared" si="116"/>
        <v/>
      </c>
      <c r="L9245" s="25" t="str">
        <f t="shared" si="117"/>
        <v>F75844</v>
      </c>
      <c r="M9245" s="25"/>
      <c r="O9245" s="25"/>
    </row>
    <row r="9246" ht="15.75" customHeight="1">
      <c r="A9246" s="25" t="str">
        <f>IFERROR(__xludf.DUMMYFUNCTION("IF(B9246="""","""",RIGHT(REGEXREPLACE(B9246&amp;"""",""[^0-9]"",""""),9))"),"775918374")</f>
        <v>775918374</v>
      </c>
      <c r="B9246" s="26">
        <v>7.75918374E8</v>
      </c>
      <c r="C9246" s="28" t="s">
        <v>9333</v>
      </c>
      <c r="D9246" s="26" t="s">
        <v>56</v>
      </c>
      <c r="E9246" s="31">
        <v>46252.0</v>
      </c>
      <c r="F9246" s="26" t="s">
        <v>46</v>
      </c>
      <c r="G9246" s="26">
        <v>9.0</v>
      </c>
      <c r="I9246" s="26" t="s">
        <v>931</v>
      </c>
      <c r="J9246" s="25" t="str">
        <f t="shared" si="115"/>
        <v>No</v>
      </c>
      <c r="K9246" s="25" t="str">
        <f t="shared" si="116"/>
        <v/>
      </c>
      <c r="L9246" s="25" t="str">
        <f t="shared" si="117"/>
        <v/>
      </c>
      <c r="M9246" s="25"/>
      <c r="O9246" s="25"/>
    </row>
    <row r="9247" ht="15.75" customHeight="1">
      <c r="A9247" s="25" t="str">
        <f>IFERROR(__xludf.DUMMYFUNCTION("IF(B9247="""","""",RIGHT(REGEXREPLACE(B9247&amp;"""",""[^0-9]"",""""),9))"),"768932700")</f>
        <v>768932700</v>
      </c>
      <c r="B9247" s="52">
        <v>7.689327E8</v>
      </c>
      <c r="C9247" s="28" t="s">
        <v>8226</v>
      </c>
      <c r="D9247" s="26" t="s">
        <v>56</v>
      </c>
      <c r="E9247" s="31">
        <v>46252.0</v>
      </c>
      <c r="F9247" s="26" t="s">
        <v>41</v>
      </c>
      <c r="G9247" s="26">
        <v>11.0</v>
      </c>
      <c r="I9247" s="26" t="s">
        <v>931</v>
      </c>
      <c r="J9247" s="25" t="str">
        <f t="shared" si="115"/>
        <v>Yes - see Previous F-Code</v>
      </c>
      <c r="K9247" s="25" t="str">
        <f t="shared" si="116"/>
        <v/>
      </c>
      <c r="L9247" s="25" t="str">
        <f t="shared" si="117"/>
        <v>F77036</v>
      </c>
      <c r="M9247" s="25"/>
      <c r="O9247" s="25"/>
    </row>
    <row r="9248" ht="15.75" customHeight="1">
      <c r="A9248" s="25" t="str">
        <f>IFERROR(__xludf.DUMMYFUNCTION("IF(B9248="""","""",RIGHT(REGEXREPLACE(B9248&amp;"""",""[^0-9]"",""""),9))"),"713592899")</f>
        <v>713592899</v>
      </c>
      <c r="B9248" s="26">
        <v>7.13592899E8</v>
      </c>
      <c r="C9248" s="28" t="s">
        <v>5609</v>
      </c>
      <c r="D9248" s="26" t="s">
        <v>49</v>
      </c>
      <c r="E9248" s="31">
        <v>46252.0</v>
      </c>
      <c r="F9248" s="26" t="s">
        <v>46</v>
      </c>
      <c r="G9248" s="26">
        <v>9.0</v>
      </c>
      <c r="H9248" s="117" t="s">
        <v>9334</v>
      </c>
      <c r="I9248" s="26" t="s">
        <v>931</v>
      </c>
      <c r="J9248" s="25" t="str">
        <f t="shared" si="115"/>
        <v>Yes - see Previous F-Code</v>
      </c>
      <c r="K9248" s="25" t="str">
        <f t="shared" si="116"/>
        <v/>
      </c>
      <c r="L9248" s="25" t="str">
        <f t="shared" si="117"/>
        <v>F75080</v>
      </c>
      <c r="M9248" s="25"/>
      <c r="O9248" s="25"/>
    </row>
    <row r="9249" ht="15.75" customHeight="1">
      <c r="A9249" s="25" t="str">
        <f>IFERROR(__xludf.DUMMYFUNCTION("IF(B9249="""","""",RIGHT(REGEXREPLACE(B9249&amp;"""",""[^0-9]"",""""),9))"),"786930103")</f>
        <v>786930103</v>
      </c>
      <c r="B9249" s="52">
        <v>7.86930103E8</v>
      </c>
      <c r="C9249" s="28" t="s">
        <v>8571</v>
      </c>
      <c r="D9249" s="26" t="s">
        <v>64</v>
      </c>
      <c r="E9249" s="31">
        <v>46252.0</v>
      </c>
      <c r="F9249" s="26" t="s">
        <v>46</v>
      </c>
      <c r="G9249" s="26">
        <v>9.0</v>
      </c>
      <c r="H9249" s="26" t="s">
        <v>9335</v>
      </c>
      <c r="I9249" s="26" t="s">
        <v>931</v>
      </c>
      <c r="J9249" s="25" t="str">
        <f t="shared" si="115"/>
        <v>No</v>
      </c>
      <c r="K9249" s="25" t="str">
        <f t="shared" si="116"/>
        <v/>
      </c>
      <c r="L9249" s="25" t="str">
        <f t="shared" si="117"/>
        <v/>
      </c>
      <c r="M9249" s="25"/>
      <c r="O9249" s="25"/>
    </row>
    <row r="9250" ht="15.75" customHeight="1">
      <c r="A9250" s="25" t="str">
        <f>IFERROR(__xludf.DUMMYFUNCTION("IF(B9250="""","""",RIGHT(REGEXREPLACE(B9250&amp;"""",""[^0-9]"",""""),9))"),"762477492")</f>
        <v>762477492</v>
      </c>
      <c r="B9250" s="52">
        <v>7.62477492E8</v>
      </c>
      <c r="C9250" s="28" t="s">
        <v>7639</v>
      </c>
      <c r="D9250" s="26" t="s">
        <v>49</v>
      </c>
      <c r="E9250" s="31">
        <v>46252.0</v>
      </c>
      <c r="F9250" s="26" t="s">
        <v>46</v>
      </c>
      <c r="G9250" s="26">
        <v>11.0</v>
      </c>
      <c r="H9250" s="26" t="s">
        <v>9336</v>
      </c>
      <c r="I9250" s="26" t="s">
        <v>931</v>
      </c>
      <c r="J9250" s="25" t="str">
        <f t="shared" si="115"/>
        <v>Yes - see Previous F-Code</v>
      </c>
      <c r="K9250" s="25" t="str">
        <f t="shared" si="116"/>
        <v/>
      </c>
      <c r="L9250" s="25" t="str">
        <f t="shared" si="117"/>
        <v>F76528</v>
      </c>
      <c r="M9250" s="25"/>
      <c r="O9250" s="25"/>
    </row>
    <row r="9251" ht="15.75" customHeight="1">
      <c r="A9251" s="25" t="str">
        <f>IFERROR(__xludf.DUMMYFUNCTION("IF(B9251="""","""",RIGHT(REGEXREPLACE(B9251&amp;"""",""[^0-9]"",""""),9))"),"741124297")</f>
        <v>741124297</v>
      </c>
      <c r="B9251" s="52">
        <v>7.41124297E8</v>
      </c>
      <c r="C9251" s="28" t="s">
        <v>8270</v>
      </c>
      <c r="D9251" s="26" t="s">
        <v>49</v>
      </c>
      <c r="E9251" s="31">
        <v>46252.0</v>
      </c>
      <c r="F9251" s="26" t="s">
        <v>46</v>
      </c>
      <c r="G9251" s="26">
        <v>9.0</v>
      </c>
      <c r="H9251" s="26" t="s">
        <v>9337</v>
      </c>
      <c r="I9251" s="26" t="s">
        <v>931</v>
      </c>
      <c r="J9251" s="25" t="str">
        <f t="shared" si="115"/>
        <v>Yes - see Previous F-Code</v>
      </c>
      <c r="K9251" s="25" t="str">
        <f t="shared" si="116"/>
        <v/>
      </c>
      <c r="L9251" s="25" t="str">
        <f t="shared" si="117"/>
        <v>F76925</v>
      </c>
      <c r="M9251" s="25"/>
      <c r="O9251" s="25"/>
    </row>
    <row r="9252" ht="15.75" customHeight="1">
      <c r="A9252" s="25" t="str">
        <f>IFERROR(__xludf.DUMMYFUNCTION("IF(B9252="""","""",RIGHT(REGEXREPLACE(B9252&amp;"""",""[^0-9]"",""""),9))"),"775918374")</f>
        <v>775918374</v>
      </c>
      <c r="B9252" s="52">
        <v>7.75918374E8</v>
      </c>
      <c r="C9252" s="28" t="s">
        <v>9338</v>
      </c>
      <c r="D9252" s="26" t="s">
        <v>64</v>
      </c>
      <c r="E9252" s="31">
        <v>46252.0</v>
      </c>
      <c r="F9252" s="26" t="s">
        <v>46</v>
      </c>
      <c r="G9252" s="26">
        <v>9.0</v>
      </c>
      <c r="I9252" s="26" t="s">
        <v>931</v>
      </c>
      <c r="J9252" s="25" t="str">
        <f t="shared" si="115"/>
        <v>Yes - see Previous F-Code</v>
      </c>
      <c r="K9252" s="25" t="str">
        <f t="shared" si="116"/>
        <v>DUPLICATE - CHECK</v>
      </c>
      <c r="L9252" s="25" t="str">
        <f t="shared" si="117"/>
        <v>F77910</v>
      </c>
      <c r="M9252" s="25"/>
      <c r="O9252" s="25"/>
    </row>
    <row r="9253" ht="15.75" customHeight="1">
      <c r="A9253" s="25" t="str">
        <f>IFERROR(__xludf.DUMMYFUNCTION("IF(B9253="""","""",RIGHT(REGEXREPLACE(B9253&amp;"""",""[^0-9]"",""""),9))"),"")</f>
        <v/>
      </c>
      <c r="C9253" s="46"/>
      <c r="D9253" s="25"/>
      <c r="F9253" s="25"/>
      <c r="I9253" s="26" t="s">
        <v>931</v>
      </c>
      <c r="M9253" s="25"/>
      <c r="O9253" s="25"/>
    </row>
    <row r="9254" ht="15.75" customHeight="1">
      <c r="A9254" s="25" t="str">
        <f>IFERROR(__xludf.DUMMYFUNCTION("IF(B9254="""","""",RIGHT(REGEXREPLACE(B9254&amp;"""",""[^0-9]"",""""),9))"),"741861974")</f>
        <v>741861974</v>
      </c>
      <c r="B9254" s="52">
        <v>7.41861974E8</v>
      </c>
      <c r="C9254" s="28" t="s">
        <v>9308</v>
      </c>
      <c r="D9254" s="26" t="s">
        <v>49</v>
      </c>
      <c r="E9254" s="31">
        <v>46252.0</v>
      </c>
      <c r="F9254" s="26" t="s">
        <v>46</v>
      </c>
      <c r="G9254" s="26">
        <v>10.0</v>
      </c>
      <c r="H9254" s="26" t="s">
        <v>9339</v>
      </c>
      <c r="I9254" s="26" t="s">
        <v>931</v>
      </c>
      <c r="J9254" s="25" t="str">
        <f t="shared" ref="J9254:J9256" si="118">IF(COUNTIF($A$2:A9253,A9254)&gt;0,"Yes - see Previous F-Code","No")</f>
        <v>Yes - see Previous F-Code</v>
      </c>
      <c r="K9254" s="25" t="str">
        <f t="shared" ref="K9254:K9256" si="119">IF(COUNTIFS($A$2:A9254,A9254,$I$2:I9254,I9254)&gt;1,"DUPLICATE - CHECK","")</f>
        <v>DUPLICATE - CHECK</v>
      </c>
      <c r="L9254" s="25" t="str">
        <f t="shared" ref="L9254:L9256" si="120">IF(COUNTIF($A$2:A9253,A9254)&gt;0,INDEX($C$2:C9253,MATCH(A9254,$A$2:A9253,0)),"")</f>
        <v>F77865</v>
      </c>
      <c r="M9254" s="25"/>
      <c r="O9254" s="25"/>
    </row>
    <row r="9255" ht="15.75" customHeight="1">
      <c r="A9255" s="25" t="str">
        <f>IFERROR(__xludf.DUMMYFUNCTION("IF(B9255="""","""",RIGHT(REGEXREPLACE(B9255&amp;"""",""[^0-9]"",""""),9))"),"771760171")</f>
        <v>771760171</v>
      </c>
      <c r="B9255" s="52">
        <v>7.71760171E8</v>
      </c>
      <c r="C9255" s="28" t="s">
        <v>1166</v>
      </c>
      <c r="D9255" s="26" t="s">
        <v>56</v>
      </c>
      <c r="E9255" s="31">
        <v>46252.0</v>
      </c>
      <c r="F9255" s="26" t="s">
        <v>41</v>
      </c>
      <c r="I9255" s="26" t="s">
        <v>931</v>
      </c>
      <c r="J9255" s="25" t="str">
        <f t="shared" si="118"/>
        <v>Yes - see Previous F-Code</v>
      </c>
      <c r="K9255" s="25" t="str">
        <f t="shared" si="119"/>
        <v/>
      </c>
      <c r="L9255" s="25" t="str">
        <f t="shared" si="120"/>
        <v>F70905</v>
      </c>
      <c r="M9255" s="25"/>
      <c r="O9255" s="25"/>
    </row>
    <row r="9256" ht="15.75" customHeight="1">
      <c r="A9256" s="25" t="str">
        <f>IFERROR(__xludf.DUMMYFUNCTION("IF(B9256="""","""",RIGHT(REGEXREPLACE(B9256&amp;"""",""[^0-9]"",""""),9))"),"705523663")</f>
        <v>705523663</v>
      </c>
      <c r="B9256" s="52">
        <v>7.05523663E8</v>
      </c>
      <c r="C9256" s="28" t="s">
        <v>9340</v>
      </c>
      <c r="D9256" s="26" t="s">
        <v>56</v>
      </c>
      <c r="E9256" s="31">
        <v>46252.0</v>
      </c>
      <c r="F9256" s="26" t="s">
        <v>46</v>
      </c>
      <c r="G9256" s="26">
        <v>10.0</v>
      </c>
      <c r="I9256" s="26" t="s">
        <v>931</v>
      </c>
      <c r="J9256" s="25" t="str">
        <f t="shared" si="118"/>
        <v>No</v>
      </c>
      <c r="K9256" s="25" t="str">
        <f t="shared" si="119"/>
        <v/>
      </c>
      <c r="L9256" s="25" t="str">
        <f t="shared" si="120"/>
        <v/>
      </c>
      <c r="M9256" s="25"/>
      <c r="O9256" s="25"/>
    </row>
    <row r="9257" ht="15.75" customHeight="1">
      <c r="A9257" s="25" t="str">
        <f>IFERROR(__xludf.DUMMYFUNCTION("IF(B9257="""","""",RIGHT(REGEXREPLACE(B9257&amp;"""",""[^0-9]"",""""),9))"),"")</f>
        <v/>
      </c>
      <c r="C9257" s="46"/>
      <c r="D9257" s="25"/>
      <c r="F9257" s="25"/>
      <c r="I9257" s="26" t="s">
        <v>931</v>
      </c>
      <c r="M9257" s="25"/>
      <c r="O9257" s="25"/>
    </row>
    <row r="9258" ht="15.75" customHeight="1">
      <c r="A9258" s="25" t="str">
        <f>IFERROR(__xludf.DUMMYFUNCTION("IF(B9258="""","""",RIGHT(REGEXREPLACE(B9258&amp;"""",""[^0-9]"",""""),9))"),"702745824")</f>
        <v>702745824</v>
      </c>
      <c r="B9258" s="52">
        <v>7.02745824E8</v>
      </c>
      <c r="C9258" s="28" t="s">
        <v>9289</v>
      </c>
      <c r="D9258" s="26" t="s">
        <v>49</v>
      </c>
      <c r="E9258" s="31">
        <v>46252.0</v>
      </c>
      <c r="F9258" s="26" t="s">
        <v>41</v>
      </c>
      <c r="H9258" s="26" t="s">
        <v>8479</v>
      </c>
      <c r="I9258" s="26" t="s">
        <v>931</v>
      </c>
      <c r="J9258" s="25" t="str">
        <f t="shared" ref="J9258:J9279" si="121">IF(COUNTIF($A$2:A9257,A9258)&gt;0,"Yes - see Previous F-Code","No")</f>
        <v>Yes - see Previous F-Code</v>
      </c>
      <c r="K9258" s="25" t="str">
        <f t="shared" ref="K9258:K9279" si="122">IF(COUNTIFS($A$2:A9258,A9258,$I$2:I9258,I9258)&gt;1,"DUPLICATE - CHECK","")</f>
        <v/>
      </c>
      <c r="L9258" s="25" t="str">
        <f t="shared" ref="L9258:L9279" si="123">IF(COUNTIF($A$2:A9257,A9258)&gt;0,INDEX($C$2:C9257,MATCH(A9258,$A$2:A9257,0)),"")</f>
        <v>F77905</v>
      </c>
      <c r="M9258" s="25"/>
      <c r="O9258" s="25"/>
    </row>
    <row r="9259" ht="15.75" customHeight="1">
      <c r="A9259" s="25" t="str">
        <f>IFERROR(__xludf.DUMMYFUNCTION("IF(B9259="""","""",RIGHT(REGEXREPLACE(B9259&amp;"""",""[^0-9]"",""""),9))"),"753610793")</f>
        <v>753610793</v>
      </c>
      <c r="B9259" s="52">
        <v>7.53610793E8</v>
      </c>
      <c r="C9259" s="28" t="s">
        <v>7152</v>
      </c>
      <c r="D9259" s="26" t="s">
        <v>56</v>
      </c>
      <c r="E9259" s="31">
        <v>46252.0</v>
      </c>
      <c r="F9259" s="26" t="s">
        <v>46</v>
      </c>
      <c r="G9259" s="26">
        <v>9.0</v>
      </c>
      <c r="H9259" s="26" t="s">
        <v>9341</v>
      </c>
      <c r="I9259" s="26" t="s">
        <v>931</v>
      </c>
      <c r="J9259" s="25" t="str">
        <f t="shared" si="121"/>
        <v>Yes - see Previous F-Code</v>
      </c>
      <c r="K9259" s="25" t="str">
        <f t="shared" si="122"/>
        <v/>
      </c>
      <c r="L9259" s="25" t="str">
        <f t="shared" si="123"/>
        <v>F76107</v>
      </c>
      <c r="M9259" s="25"/>
      <c r="O9259" s="25"/>
    </row>
    <row r="9260" ht="15.75" customHeight="1">
      <c r="A9260" s="25" t="str">
        <f>IFERROR(__xludf.DUMMYFUNCTION("IF(B9260="""","""",RIGHT(REGEXREPLACE(B9260&amp;"""",""[^0-9]"",""""),9))"),"778057316")</f>
        <v>778057316</v>
      </c>
      <c r="B9260" s="52">
        <v>7.78057316E8</v>
      </c>
      <c r="C9260" s="28" t="s">
        <v>9320</v>
      </c>
      <c r="D9260" s="26" t="s">
        <v>49</v>
      </c>
      <c r="E9260" s="31">
        <v>46252.0</v>
      </c>
      <c r="F9260" s="26" t="s">
        <v>46</v>
      </c>
      <c r="G9260" s="26">
        <v>7.0</v>
      </c>
      <c r="H9260" s="118" t="s">
        <v>9342</v>
      </c>
      <c r="I9260" s="26" t="s">
        <v>931</v>
      </c>
      <c r="J9260" s="25" t="str">
        <f t="shared" si="121"/>
        <v>Yes - see Previous F-Code</v>
      </c>
      <c r="K9260" s="25" t="str">
        <f t="shared" si="122"/>
        <v>DUPLICATE - CHECK</v>
      </c>
      <c r="L9260" s="25" t="str">
        <f t="shared" si="123"/>
        <v>F77880</v>
      </c>
      <c r="M9260" s="25"/>
      <c r="O9260" s="25"/>
    </row>
    <row r="9261" ht="15.75" customHeight="1">
      <c r="A9261" s="25" t="str">
        <f>IFERROR(__xludf.DUMMYFUNCTION("IF(B9261="""","""",RIGHT(REGEXREPLACE(B9261&amp;"""",""[^0-9]"",""""),9))"),"765438053")</f>
        <v>765438053</v>
      </c>
      <c r="B9261" s="52">
        <v>7.65438053E8</v>
      </c>
      <c r="C9261" s="28" t="s">
        <v>9343</v>
      </c>
      <c r="D9261" s="26" t="s">
        <v>56</v>
      </c>
      <c r="E9261" s="31">
        <v>46252.0</v>
      </c>
      <c r="F9261" s="26" t="s">
        <v>41</v>
      </c>
      <c r="H9261" s="26" t="s">
        <v>8436</v>
      </c>
      <c r="I9261" s="26" t="s">
        <v>931</v>
      </c>
      <c r="J9261" s="25" t="str">
        <f t="shared" si="121"/>
        <v>No</v>
      </c>
      <c r="K9261" s="25" t="str">
        <f t="shared" si="122"/>
        <v/>
      </c>
      <c r="L9261" s="25" t="str">
        <f t="shared" si="123"/>
        <v/>
      </c>
      <c r="M9261" s="25"/>
      <c r="O9261" s="25"/>
    </row>
    <row r="9262" ht="15.75" customHeight="1">
      <c r="A9262" s="25" t="str">
        <f>IFERROR(__xludf.DUMMYFUNCTION("IF(B9262="""","""",RIGHT(REGEXREPLACE(B9262&amp;"""",""[^0-9]"",""""),9))"),"778642156")</f>
        <v>778642156</v>
      </c>
      <c r="B9262" s="52">
        <v>7.78642156E8</v>
      </c>
      <c r="C9262" s="28" t="s">
        <v>9344</v>
      </c>
      <c r="D9262" s="26" t="s">
        <v>64</v>
      </c>
      <c r="E9262" s="31">
        <v>46252.0</v>
      </c>
      <c r="F9262" s="26" t="s">
        <v>46</v>
      </c>
      <c r="G9262" s="26">
        <v>11.0</v>
      </c>
      <c r="H9262" s="26" t="s">
        <v>9345</v>
      </c>
      <c r="I9262" s="26" t="s">
        <v>931</v>
      </c>
      <c r="J9262" s="25" t="str">
        <f t="shared" si="121"/>
        <v>No</v>
      </c>
      <c r="K9262" s="25" t="str">
        <f t="shared" si="122"/>
        <v/>
      </c>
      <c r="L9262" s="25" t="str">
        <f t="shared" si="123"/>
        <v/>
      </c>
      <c r="M9262" s="25"/>
      <c r="O9262" s="25"/>
    </row>
    <row r="9263" ht="15.75" customHeight="1">
      <c r="A9263" s="25" t="str">
        <f>IFERROR(__xludf.DUMMYFUNCTION("IF(B9263="""","""",RIGHT(REGEXREPLACE(B9263&amp;"""",""[^0-9]"",""""),9))"),"778424272")</f>
        <v>778424272</v>
      </c>
      <c r="B9263" s="52">
        <v>7.78424272E8</v>
      </c>
      <c r="C9263" s="28" t="s">
        <v>4150</v>
      </c>
      <c r="D9263" s="26" t="s">
        <v>49</v>
      </c>
      <c r="E9263" s="31">
        <v>46252.0</v>
      </c>
      <c r="F9263" s="26" t="s">
        <v>46</v>
      </c>
      <c r="G9263" s="26">
        <v>10.0</v>
      </c>
      <c r="H9263" s="26" t="s">
        <v>9346</v>
      </c>
      <c r="I9263" s="26" t="s">
        <v>931</v>
      </c>
      <c r="J9263" s="25" t="str">
        <f t="shared" si="121"/>
        <v>Yes - see Previous F-Code</v>
      </c>
      <c r="K9263" s="25" t="str">
        <f t="shared" si="122"/>
        <v/>
      </c>
      <c r="L9263" s="25" t="str">
        <f t="shared" si="123"/>
        <v>F73786</v>
      </c>
      <c r="M9263" s="25"/>
      <c r="O9263" s="25"/>
    </row>
    <row r="9264" ht="15.75" customHeight="1">
      <c r="A9264" s="25" t="str">
        <f>IFERROR(__xludf.DUMMYFUNCTION("IF(B9264="""","""",RIGHT(REGEXREPLACE(B9264&amp;"""",""[^0-9]"",""""),9))"),"710679476")</f>
        <v>710679476</v>
      </c>
      <c r="B9264" s="52">
        <v>7.10679476E8</v>
      </c>
      <c r="C9264" s="28" t="s">
        <v>9139</v>
      </c>
      <c r="D9264" s="26" t="s">
        <v>56</v>
      </c>
      <c r="E9264" s="31">
        <v>46252.0</v>
      </c>
      <c r="F9264" s="26" t="s">
        <v>41</v>
      </c>
      <c r="G9264" s="26">
        <v>6.0</v>
      </c>
      <c r="I9264" s="26" t="s">
        <v>931</v>
      </c>
      <c r="J9264" s="25" t="str">
        <f t="shared" si="121"/>
        <v>No</v>
      </c>
      <c r="K9264" s="25" t="str">
        <f t="shared" si="122"/>
        <v/>
      </c>
      <c r="L9264" s="25" t="str">
        <f t="shared" si="123"/>
        <v/>
      </c>
      <c r="M9264" s="25"/>
      <c r="O9264" s="25"/>
    </row>
    <row r="9265" ht="15.75" customHeight="1">
      <c r="A9265" s="25" t="str">
        <f>IFERROR(__xludf.DUMMYFUNCTION("IF(B9265="""","""",RIGHT(REGEXREPLACE(B9265&amp;"""",""[^0-9]"",""""),9))"),"763424890")</f>
        <v>763424890</v>
      </c>
      <c r="B9265" s="52">
        <v>7.6342489E8</v>
      </c>
      <c r="C9265" s="28" t="s">
        <v>9347</v>
      </c>
      <c r="D9265" s="26" t="s">
        <v>49</v>
      </c>
      <c r="E9265" s="31">
        <v>46252.0</v>
      </c>
      <c r="F9265" s="26" t="s">
        <v>46</v>
      </c>
      <c r="G9265" s="26">
        <v>9.0</v>
      </c>
      <c r="I9265" s="26" t="s">
        <v>931</v>
      </c>
      <c r="J9265" s="25" t="str">
        <f t="shared" si="121"/>
        <v>No</v>
      </c>
      <c r="K9265" s="25" t="str">
        <f t="shared" si="122"/>
        <v/>
      </c>
      <c r="L9265" s="25" t="str">
        <f t="shared" si="123"/>
        <v/>
      </c>
      <c r="M9265" s="25"/>
      <c r="O9265" s="25"/>
    </row>
    <row r="9266" ht="15.75" customHeight="1">
      <c r="A9266" s="25" t="str">
        <f>IFERROR(__xludf.DUMMYFUNCTION("IF(B9266="""","""",RIGHT(REGEXREPLACE(B9266&amp;"""",""[^0-9]"",""""),9))"),"750678821")</f>
        <v>750678821</v>
      </c>
      <c r="B9266" s="52">
        <v>7.50678821E8</v>
      </c>
      <c r="C9266" s="28" t="s">
        <v>780</v>
      </c>
      <c r="D9266" s="26" t="s">
        <v>56</v>
      </c>
      <c r="E9266" s="31">
        <v>46253.0</v>
      </c>
      <c r="F9266" s="26" t="s">
        <v>46</v>
      </c>
      <c r="G9266" s="26">
        <v>11.0</v>
      </c>
      <c r="I9266" s="26" t="s">
        <v>931</v>
      </c>
      <c r="J9266" s="25" t="str">
        <f t="shared" si="121"/>
        <v>Yes - see Previous F-Code</v>
      </c>
      <c r="K9266" s="25" t="str">
        <f t="shared" si="122"/>
        <v/>
      </c>
      <c r="L9266" s="25" t="str">
        <f t="shared" si="123"/>
        <v>F70560</v>
      </c>
      <c r="M9266" s="25"/>
      <c r="O9266" s="25"/>
    </row>
    <row r="9267" ht="15.75" customHeight="1">
      <c r="A9267" s="25" t="str">
        <f>IFERROR(__xludf.DUMMYFUNCTION("IF(B9267="""","""",RIGHT(REGEXREPLACE(B9267&amp;"""",""[^0-9]"",""""),9))"),"716004076")</f>
        <v>716004076</v>
      </c>
      <c r="B9267" s="52">
        <v>7.16004076E8</v>
      </c>
      <c r="C9267" s="28" t="s">
        <v>9348</v>
      </c>
      <c r="D9267" s="26" t="s">
        <v>56</v>
      </c>
      <c r="E9267" s="31">
        <v>46253.0</v>
      </c>
      <c r="F9267" s="26" t="s">
        <v>46</v>
      </c>
      <c r="G9267" s="26">
        <v>10.0</v>
      </c>
      <c r="H9267" s="26" t="s">
        <v>8231</v>
      </c>
      <c r="I9267" s="26" t="s">
        <v>931</v>
      </c>
      <c r="J9267" s="25" t="str">
        <f t="shared" si="121"/>
        <v>No</v>
      </c>
      <c r="K9267" s="25" t="str">
        <f t="shared" si="122"/>
        <v/>
      </c>
      <c r="L9267" s="25" t="str">
        <f t="shared" si="123"/>
        <v/>
      </c>
      <c r="M9267" s="25"/>
      <c r="O9267" s="25"/>
    </row>
    <row r="9268" ht="15.75" customHeight="1">
      <c r="A9268" s="25" t="str">
        <f>IFERROR(__xludf.DUMMYFUNCTION("IF(B9268="""","""",RIGHT(REGEXREPLACE(B9268&amp;"""",""[^0-9]"",""""),9))"),"712394300")</f>
        <v>712394300</v>
      </c>
      <c r="B9268" s="52">
        <v>7.123943E8</v>
      </c>
      <c r="C9268" s="28" t="s">
        <v>9349</v>
      </c>
      <c r="D9268" s="26" t="s">
        <v>56</v>
      </c>
      <c r="E9268" s="31">
        <v>46253.0</v>
      </c>
      <c r="F9268" s="26" t="s">
        <v>41</v>
      </c>
      <c r="G9268" s="26">
        <v>11.0</v>
      </c>
      <c r="I9268" s="26" t="s">
        <v>931</v>
      </c>
      <c r="J9268" s="25" t="str">
        <f t="shared" si="121"/>
        <v>No</v>
      </c>
      <c r="K9268" s="25" t="str">
        <f t="shared" si="122"/>
        <v/>
      </c>
      <c r="L9268" s="25" t="str">
        <f t="shared" si="123"/>
        <v/>
      </c>
      <c r="M9268" s="25"/>
      <c r="O9268" s="25"/>
    </row>
    <row r="9269" ht="15.75" customHeight="1">
      <c r="A9269" s="25" t="str">
        <f>IFERROR(__xludf.DUMMYFUNCTION("IF(B9269="""","""",RIGHT(REGEXREPLACE(B9269&amp;"""",""[^0-9]"",""""),9))"),"771612189")</f>
        <v>771612189</v>
      </c>
      <c r="B9269" s="52">
        <v>7.71612189E8</v>
      </c>
      <c r="C9269" s="28" t="s">
        <v>9349</v>
      </c>
      <c r="D9269" s="26" t="s">
        <v>56</v>
      </c>
      <c r="E9269" s="31">
        <v>46253.0</v>
      </c>
      <c r="F9269" s="26" t="s">
        <v>41</v>
      </c>
      <c r="H9269" s="26" t="s">
        <v>8436</v>
      </c>
      <c r="I9269" s="26" t="s">
        <v>931</v>
      </c>
      <c r="J9269" s="25" t="str">
        <f t="shared" si="121"/>
        <v>No</v>
      </c>
      <c r="K9269" s="25" t="str">
        <f t="shared" si="122"/>
        <v/>
      </c>
      <c r="L9269" s="25" t="str">
        <f t="shared" si="123"/>
        <v/>
      </c>
      <c r="M9269" s="25"/>
      <c r="O9269" s="25"/>
    </row>
    <row r="9270" ht="15.75" customHeight="1">
      <c r="A9270" s="25" t="str">
        <f>IFERROR(__xludf.DUMMYFUNCTION("IF(B9270="""","""",RIGHT(REGEXREPLACE(B9270&amp;"""",""[^0-9]"",""""),9))"),"715146606")</f>
        <v>715146606</v>
      </c>
      <c r="B9270" s="52">
        <v>7.15146606E8</v>
      </c>
      <c r="C9270" s="28" t="s">
        <v>9350</v>
      </c>
      <c r="D9270" s="26" t="s">
        <v>56</v>
      </c>
      <c r="E9270" s="31">
        <v>46253.0</v>
      </c>
      <c r="F9270" s="26" t="s">
        <v>46</v>
      </c>
      <c r="G9270" s="26">
        <v>9.0</v>
      </c>
      <c r="I9270" s="26" t="s">
        <v>931</v>
      </c>
      <c r="J9270" s="25" t="str">
        <f t="shared" si="121"/>
        <v>No</v>
      </c>
      <c r="K9270" s="25" t="str">
        <f t="shared" si="122"/>
        <v/>
      </c>
      <c r="L9270" s="25" t="str">
        <f t="shared" si="123"/>
        <v/>
      </c>
      <c r="M9270" s="25"/>
      <c r="O9270" s="25"/>
    </row>
    <row r="9271" ht="15.75" customHeight="1">
      <c r="A9271" s="25" t="str">
        <f>IFERROR(__xludf.DUMMYFUNCTION("IF(B9271="""","""",RIGHT(REGEXREPLACE(B9271&amp;"""",""[^0-9]"",""""),9))"),"704834656")</f>
        <v>704834656</v>
      </c>
      <c r="B9271" s="52">
        <v>7.04834656E8</v>
      </c>
      <c r="C9271" s="28" t="s">
        <v>9299</v>
      </c>
      <c r="D9271" s="26" t="s">
        <v>56</v>
      </c>
      <c r="E9271" s="31">
        <v>46253.0</v>
      </c>
      <c r="F9271" s="26" t="s">
        <v>46</v>
      </c>
      <c r="G9271" s="26">
        <v>10.0</v>
      </c>
      <c r="H9271" s="26" t="s">
        <v>9351</v>
      </c>
      <c r="I9271" s="26" t="s">
        <v>931</v>
      </c>
      <c r="J9271" s="25" t="str">
        <f t="shared" si="121"/>
        <v>Yes - see Previous F-Code</v>
      </c>
      <c r="K9271" s="25" t="str">
        <f t="shared" si="122"/>
        <v/>
      </c>
      <c r="L9271" s="25" t="str">
        <f t="shared" si="123"/>
        <v>F77943</v>
      </c>
      <c r="M9271" s="25"/>
      <c r="O9271" s="25"/>
    </row>
    <row r="9272" ht="15.75" customHeight="1">
      <c r="A9272" s="25" t="str">
        <f>IFERROR(__xludf.DUMMYFUNCTION("IF(B9272="""","""",RIGHT(REGEXREPLACE(B9272&amp;"""",""[^0-9]"",""""),9))"),"756964911")</f>
        <v>756964911</v>
      </c>
      <c r="B9272" s="52">
        <v>7.56964911E8</v>
      </c>
      <c r="C9272" s="28" t="s">
        <v>9352</v>
      </c>
      <c r="D9272" s="26" t="s">
        <v>56</v>
      </c>
      <c r="E9272" s="31">
        <v>46253.0</v>
      </c>
      <c r="F9272" s="26" t="s">
        <v>205</v>
      </c>
      <c r="G9272" s="26">
        <v>7.0</v>
      </c>
      <c r="I9272" s="26" t="s">
        <v>931</v>
      </c>
      <c r="J9272" s="25" t="str">
        <f t="shared" si="121"/>
        <v>Yes - see Previous F-Code</v>
      </c>
      <c r="K9272" s="25" t="str">
        <f t="shared" si="122"/>
        <v/>
      </c>
      <c r="L9272" s="25" t="str">
        <f t="shared" si="123"/>
        <v>F77945</v>
      </c>
      <c r="M9272" s="25"/>
      <c r="O9272" s="25"/>
    </row>
    <row r="9273" ht="15.75" customHeight="1">
      <c r="A9273" s="25" t="str">
        <f>IFERROR(__xludf.DUMMYFUNCTION("IF(B9273="""","""",RIGHT(REGEXREPLACE(B9273&amp;"""",""[^0-9]"",""""),9))"),"775582006")</f>
        <v>775582006</v>
      </c>
      <c r="B9273" s="52">
        <v>7.75582006E8</v>
      </c>
      <c r="C9273" s="28" t="s">
        <v>9311</v>
      </c>
      <c r="D9273" s="26" t="s">
        <v>56</v>
      </c>
      <c r="E9273" s="31">
        <v>46253.0</v>
      </c>
      <c r="F9273" s="26" t="s">
        <v>46</v>
      </c>
      <c r="G9273" s="26">
        <v>11.0</v>
      </c>
      <c r="H9273" s="26" t="s">
        <v>9353</v>
      </c>
      <c r="I9273" s="26" t="s">
        <v>931</v>
      </c>
      <c r="J9273" s="25" t="str">
        <f t="shared" si="121"/>
        <v>Yes - see Previous F-Code</v>
      </c>
      <c r="K9273" s="25" t="str">
        <f t="shared" si="122"/>
        <v>DUPLICATE - CHECK</v>
      </c>
      <c r="L9273" s="25" t="str">
        <f t="shared" si="123"/>
        <v>F77871</v>
      </c>
      <c r="M9273" s="25"/>
      <c r="O9273" s="25"/>
    </row>
    <row r="9274" ht="15.75" customHeight="1">
      <c r="A9274" s="25" t="str">
        <f>IFERROR(__xludf.DUMMYFUNCTION("IF(B9274="""","""",RIGHT(REGEXREPLACE(B9274&amp;"""",""[^0-9]"",""""),9))"),"782071274")</f>
        <v>782071274</v>
      </c>
      <c r="B9274" s="52">
        <v>7.82071274E8</v>
      </c>
      <c r="C9274" s="28" t="s">
        <v>7992</v>
      </c>
      <c r="D9274" s="26" t="s">
        <v>64</v>
      </c>
      <c r="E9274" s="31">
        <v>46253.0</v>
      </c>
      <c r="F9274" s="26" t="s">
        <v>205</v>
      </c>
      <c r="I9274" s="26" t="s">
        <v>931</v>
      </c>
      <c r="J9274" s="25" t="str">
        <f t="shared" si="121"/>
        <v>Yes - see Previous F-Code</v>
      </c>
      <c r="K9274" s="25" t="str">
        <f t="shared" si="122"/>
        <v>DUPLICATE - CHECK</v>
      </c>
      <c r="L9274" s="25" t="str">
        <f t="shared" si="123"/>
        <v>F76874</v>
      </c>
      <c r="M9274" s="25"/>
      <c r="O9274" s="25"/>
    </row>
    <row r="9275" ht="15.75" customHeight="1">
      <c r="A9275" s="25" t="str">
        <f>IFERROR(__xludf.DUMMYFUNCTION("IF(B9275="""","""",RIGHT(REGEXREPLACE(B9275&amp;"""",""[^0-9]"",""""),9))"),"705987960")</f>
        <v>705987960</v>
      </c>
      <c r="B9275" s="52">
        <v>7.0598796E8</v>
      </c>
      <c r="C9275" s="28" t="s">
        <v>9354</v>
      </c>
      <c r="D9275" s="26" t="s">
        <v>56</v>
      </c>
      <c r="E9275" s="31">
        <v>46254.0</v>
      </c>
      <c r="F9275" s="26" t="s">
        <v>631</v>
      </c>
      <c r="G9275" s="26">
        <v>10.0</v>
      </c>
      <c r="I9275" s="26" t="s">
        <v>931</v>
      </c>
      <c r="J9275" s="25" t="str">
        <f t="shared" si="121"/>
        <v>No</v>
      </c>
      <c r="K9275" s="25" t="str">
        <f t="shared" si="122"/>
        <v/>
      </c>
      <c r="L9275" s="25" t="str">
        <f t="shared" si="123"/>
        <v/>
      </c>
      <c r="M9275" s="25"/>
      <c r="O9275" s="25"/>
    </row>
    <row r="9276" ht="15.75" customHeight="1">
      <c r="A9276" s="25" t="str">
        <f>IFERROR(__xludf.DUMMYFUNCTION("IF(B9276="""","""",RIGHT(REGEXREPLACE(B9276&amp;"""",""[^0-9]"",""""),9))"),"742708201")</f>
        <v>742708201</v>
      </c>
      <c r="B9276" s="52">
        <v>7.42708201E8</v>
      </c>
      <c r="C9276" s="28" t="s">
        <v>9063</v>
      </c>
      <c r="D9276" s="26" t="s">
        <v>56</v>
      </c>
      <c r="E9276" s="31">
        <v>46254.0</v>
      </c>
      <c r="F9276" s="26" t="s">
        <v>46</v>
      </c>
      <c r="G9276" s="26">
        <v>11.0</v>
      </c>
      <c r="I9276" s="26" t="s">
        <v>931</v>
      </c>
      <c r="J9276" s="25" t="str">
        <f t="shared" si="121"/>
        <v>Yes - see Previous F-Code</v>
      </c>
      <c r="K9276" s="25" t="str">
        <f t="shared" si="122"/>
        <v/>
      </c>
      <c r="L9276" s="25" t="str">
        <f t="shared" si="123"/>
        <v>F77714</v>
      </c>
      <c r="M9276" s="25"/>
      <c r="O9276" s="25"/>
    </row>
    <row r="9277" ht="15.75" customHeight="1">
      <c r="A9277" s="25" t="str">
        <f>IFERROR(__xludf.DUMMYFUNCTION("IF(B9277="""","""",RIGHT(REGEXREPLACE(B9277&amp;"""",""[^0-9]"",""""),9))"),"741056930")</f>
        <v>741056930</v>
      </c>
      <c r="B9277" s="26" t="s">
        <v>9355</v>
      </c>
      <c r="C9277" s="28" t="s">
        <v>9356</v>
      </c>
      <c r="D9277" s="26" t="s">
        <v>45</v>
      </c>
      <c r="E9277" s="31">
        <v>46254.0</v>
      </c>
      <c r="F9277" s="26" t="s">
        <v>41</v>
      </c>
      <c r="G9277" s="26">
        <v>11.0</v>
      </c>
      <c r="I9277" s="26" t="s">
        <v>911</v>
      </c>
      <c r="J9277" s="25" t="str">
        <f t="shared" si="121"/>
        <v>No</v>
      </c>
      <c r="K9277" s="25" t="str">
        <f t="shared" si="122"/>
        <v/>
      </c>
      <c r="L9277" s="25" t="str">
        <f t="shared" si="123"/>
        <v/>
      </c>
      <c r="M9277" s="25"/>
      <c r="O9277" s="25"/>
    </row>
    <row r="9278" ht="15.75" customHeight="1">
      <c r="A9278" s="25" t="str">
        <f>IFERROR(__xludf.DUMMYFUNCTION("IF(B9278="""","""",RIGHT(REGEXREPLACE(B9278&amp;"""",""[^0-9]"",""""),9))"),"716866696")</f>
        <v>716866696</v>
      </c>
      <c r="B9278" s="26" t="s">
        <v>9357</v>
      </c>
      <c r="C9278" s="28" t="s">
        <v>9358</v>
      </c>
      <c r="D9278" s="26" t="s">
        <v>45</v>
      </c>
      <c r="E9278" s="31">
        <v>46254.0</v>
      </c>
      <c r="F9278" s="26" t="s">
        <v>46</v>
      </c>
      <c r="G9278" s="26" t="s">
        <v>2011</v>
      </c>
      <c r="H9278" s="26" t="s">
        <v>819</v>
      </c>
      <c r="I9278" s="26" t="s">
        <v>911</v>
      </c>
      <c r="J9278" s="25" t="str">
        <f t="shared" si="121"/>
        <v>No</v>
      </c>
      <c r="K9278" s="25" t="str">
        <f t="shared" si="122"/>
        <v/>
      </c>
      <c r="L9278" s="25" t="str">
        <f t="shared" si="123"/>
        <v/>
      </c>
      <c r="M9278" s="25"/>
      <c r="O9278" s="25"/>
    </row>
    <row r="9279" ht="15.75" customHeight="1">
      <c r="A9279" s="25" t="str">
        <f>IFERROR(__xludf.DUMMYFUNCTION("IF(B9279="""","""",RIGHT(REGEXREPLACE(B9279&amp;"""",""[^0-9]"",""""),9))"),"743725173")</f>
        <v>743725173</v>
      </c>
      <c r="B9279" s="26" t="s">
        <v>9359</v>
      </c>
      <c r="C9279" s="28" t="s">
        <v>9360</v>
      </c>
      <c r="D9279" s="26" t="s">
        <v>45</v>
      </c>
      <c r="E9279" s="31">
        <v>46254.0</v>
      </c>
      <c r="F9279" s="26" t="s">
        <v>46</v>
      </c>
      <c r="G9279" s="26">
        <v>10.0</v>
      </c>
      <c r="I9279" s="26" t="s">
        <v>911</v>
      </c>
      <c r="J9279" s="25" t="str">
        <f t="shared" si="121"/>
        <v>No</v>
      </c>
      <c r="K9279" s="25" t="str">
        <f t="shared" si="122"/>
        <v/>
      </c>
      <c r="L9279" s="25" t="str">
        <f t="shared" si="123"/>
        <v/>
      </c>
      <c r="M9279" s="25"/>
      <c r="O9279" s="25"/>
    </row>
    <row r="9280" ht="15.75" customHeight="1">
      <c r="A9280" s="25" t="str">
        <f>IFERROR(__xludf.DUMMYFUNCTION("IF(B9280="""","""",RIGHT(REGEXREPLACE(B9280&amp;"""",""[^0-9]"",""""),9))"),"")</f>
        <v/>
      </c>
      <c r="C9280" s="46"/>
      <c r="D9280" s="25"/>
      <c r="F9280" s="25"/>
      <c r="I9280" s="26" t="s">
        <v>911</v>
      </c>
      <c r="M9280" s="25"/>
      <c r="O9280" s="25"/>
    </row>
    <row r="9281" ht="15.75" customHeight="1">
      <c r="A9281" s="25" t="str">
        <f>IFERROR(__xludf.DUMMYFUNCTION("IF(B9281="""","""",RIGHT(REGEXREPLACE(B9281&amp;"""",""[^0-9]"",""""),9))"),"772089020")</f>
        <v>772089020</v>
      </c>
      <c r="B9281" s="52">
        <v>7.7208902E8</v>
      </c>
      <c r="C9281" s="28" t="s">
        <v>9361</v>
      </c>
      <c r="D9281" s="26" t="s">
        <v>56</v>
      </c>
      <c r="E9281" s="31">
        <v>46254.0</v>
      </c>
      <c r="F9281" s="26" t="s">
        <v>46</v>
      </c>
      <c r="G9281" s="26">
        <v>6.0</v>
      </c>
      <c r="I9281" s="26" t="s">
        <v>942</v>
      </c>
      <c r="J9281" s="25" t="str">
        <f t="shared" ref="J9281:J9285" si="124">IF(COUNTIF($A$2:A9280,A9281)&gt;0,"Yes - see Previous F-Code","No")</f>
        <v>No</v>
      </c>
      <c r="K9281" s="25" t="str">
        <f t="shared" ref="K9281:K9285" si="125">IF(COUNTIFS($A$2:A9281,A9281,$I$2:I9281,I9281)&gt;1,"DUPLICATE - CHECK","")</f>
        <v/>
      </c>
      <c r="L9281" s="25" t="str">
        <f t="shared" ref="L9281:L9285" si="126">IF(COUNTIF($A$2:A9280,A9281)&gt;0,INDEX($C$2:C9280,MATCH(A9281,$A$2:A9280,0)),"")</f>
        <v/>
      </c>
      <c r="M9281" s="25"/>
      <c r="O9281" s="25"/>
    </row>
    <row r="9282" ht="15.75" customHeight="1">
      <c r="A9282" s="25" t="str">
        <f>IFERROR(__xludf.DUMMYFUNCTION("IF(B9282="""","""",RIGHT(REGEXREPLACE(B9282&amp;"""",""[^0-9]"",""""),9))"),"773168958")</f>
        <v>773168958</v>
      </c>
      <c r="B9282" s="52">
        <v>7.73168958E8</v>
      </c>
      <c r="C9282" s="28" t="s">
        <v>9362</v>
      </c>
      <c r="D9282" s="26" t="s">
        <v>56</v>
      </c>
      <c r="E9282" s="31">
        <v>46254.0</v>
      </c>
      <c r="F9282" s="26" t="s">
        <v>41</v>
      </c>
      <c r="G9282" s="26">
        <v>10.0</v>
      </c>
      <c r="I9282" s="26" t="s">
        <v>942</v>
      </c>
      <c r="J9282" s="25" t="str">
        <f t="shared" si="124"/>
        <v>No</v>
      </c>
      <c r="K9282" s="25" t="str">
        <f t="shared" si="125"/>
        <v/>
      </c>
      <c r="L9282" s="25" t="str">
        <f t="shared" si="126"/>
        <v/>
      </c>
      <c r="M9282" s="25"/>
      <c r="O9282" s="25"/>
    </row>
    <row r="9283" ht="15.75" customHeight="1">
      <c r="A9283" s="25" t="str">
        <f>IFERROR(__xludf.DUMMYFUNCTION("IF(B9283="""","""",RIGHT(REGEXREPLACE(B9283&amp;"""",""[^0-9]"",""""),9))"),"766130497")</f>
        <v>766130497</v>
      </c>
      <c r="B9283" s="52">
        <v>7.66130497E8</v>
      </c>
      <c r="C9283" s="28" t="s">
        <v>6959</v>
      </c>
      <c r="D9283" s="26" t="s">
        <v>56</v>
      </c>
      <c r="E9283" s="31">
        <v>46254.0</v>
      </c>
      <c r="F9283" s="26" t="s">
        <v>631</v>
      </c>
      <c r="G9283" s="26">
        <v>10.0</v>
      </c>
      <c r="I9283" s="26" t="s">
        <v>942</v>
      </c>
      <c r="J9283" s="25" t="str">
        <f t="shared" si="124"/>
        <v>Yes - see Previous F-Code</v>
      </c>
      <c r="K9283" s="25" t="str">
        <f t="shared" si="125"/>
        <v/>
      </c>
      <c r="L9283" s="25" t="str">
        <f t="shared" si="126"/>
        <v>F75937</v>
      </c>
      <c r="M9283" s="25"/>
      <c r="O9283" s="25"/>
    </row>
    <row r="9284" ht="15.75" customHeight="1">
      <c r="A9284" s="25" t="str">
        <f>IFERROR(__xludf.DUMMYFUNCTION("IF(B9284="""","""",RIGHT(REGEXREPLACE(B9284&amp;"""",""[^0-9]"",""""),9))"),"701739867")</f>
        <v>701739867</v>
      </c>
      <c r="B9284" s="52">
        <v>7.01739867E8</v>
      </c>
      <c r="C9284" s="28" t="s">
        <v>9363</v>
      </c>
      <c r="D9284" s="26" t="s">
        <v>56</v>
      </c>
      <c r="E9284" s="31">
        <v>46254.0</v>
      </c>
      <c r="F9284" s="26" t="s">
        <v>41</v>
      </c>
      <c r="I9284" s="26" t="s">
        <v>942</v>
      </c>
      <c r="J9284" s="25" t="str">
        <f t="shared" si="124"/>
        <v>No</v>
      </c>
      <c r="K9284" s="25" t="str">
        <f t="shared" si="125"/>
        <v/>
      </c>
      <c r="L9284" s="25" t="str">
        <f t="shared" si="126"/>
        <v/>
      </c>
      <c r="M9284" s="25"/>
      <c r="O9284" s="25"/>
    </row>
    <row r="9285" ht="15.75" customHeight="1">
      <c r="A9285" s="25" t="str">
        <f>IFERROR(__xludf.DUMMYFUNCTION("IF(B9285="""","""",RIGHT(REGEXREPLACE(B9285&amp;"""",""[^0-9]"",""""),9))"),"743085149")</f>
        <v>743085149</v>
      </c>
      <c r="B9285" s="52">
        <v>7.43085149E8</v>
      </c>
      <c r="C9285" s="28" t="s">
        <v>9364</v>
      </c>
      <c r="D9285" s="26" t="s">
        <v>56</v>
      </c>
      <c r="E9285" s="31">
        <v>46255.0</v>
      </c>
      <c r="F9285" s="26" t="s">
        <v>46</v>
      </c>
      <c r="G9285" s="26">
        <v>10.0</v>
      </c>
      <c r="I9285" s="26" t="s">
        <v>942</v>
      </c>
      <c r="J9285" s="25" t="str">
        <f t="shared" si="124"/>
        <v>No</v>
      </c>
      <c r="K9285" s="25" t="str">
        <f t="shared" si="125"/>
        <v/>
      </c>
      <c r="L9285" s="25" t="str">
        <f t="shared" si="126"/>
        <v/>
      </c>
      <c r="M9285" s="25"/>
      <c r="O9285" s="25"/>
    </row>
    <row r="9286" ht="15.75" customHeight="1">
      <c r="A9286" s="25" t="str">
        <f>IFERROR(__xludf.DUMMYFUNCTION("IF(B9286="""","""",RIGHT(REGEXREPLACE(B9286&amp;"""",""[^0-9]"",""""),9))"),"")</f>
        <v/>
      </c>
      <c r="C9286" s="46"/>
      <c r="D9286" s="25"/>
      <c r="F9286" s="25"/>
      <c r="I9286" s="26" t="s">
        <v>942</v>
      </c>
      <c r="M9286" s="25"/>
      <c r="O9286" s="25"/>
    </row>
    <row r="9287" ht="15.75" customHeight="1">
      <c r="A9287" s="25" t="str">
        <f>IFERROR(__xludf.DUMMYFUNCTION("IF(B9287="""","""",RIGHT(REGEXREPLACE(B9287&amp;"""",""[^0-9]"",""""),9))"),"755490962")</f>
        <v>755490962</v>
      </c>
      <c r="B9287" s="52">
        <v>7.55490962E8</v>
      </c>
      <c r="C9287" s="28" t="s">
        <v>9365</v>
      </c>
      <c r="D9287" s="26" t="s">
        <v>64</v>
      </c>
      <c r="E9287" s="31">
        <v>46255.0</v>
      </c>
      <c r="F9287" s="26" t="s">
        <v>46</v>
      </c>
      <c r="G9287" s="26">
        <v>10.0</v>
      </c>
      <c r="I9287" s="26" t="s">
        <v>942</v>
      </c>
      <c r="J9287" s="25" t="str">
        <f t="shared" ref="J9287:J9305" si="127">IF(COUNTIF($A$2:A9286,A9287)&gt;0,"Yes - see Previous F-Code","No")</f>
        <v>No</v>
      </c>
      <c r="K9287" s="25" t="str">
        <f t="shared" ref="K9287:K9305" si="128">IF(COUNTIFS($A$2:A9287,A9287,$I$2:I9287,I9287)&gt;1,"DUPLICATE - CHECK","")</f>
        <v/>
      </c>
      <c r="L9287" s="25" t="str">
        <f t="shared" ref="L9287:L9305" si="129">IF(COUNTIF($A$2:A9286,A9287)&gt;0,INDEX($C$2:C9286,MATCH(A9287,$A$2:A9286,0)),"")</f>
        <v/>
      </c>
      <c r="M9287" s="25"/>
      <c r="O9287" s="25"/>
    </row>
    <row r="9288" ht="15.75" customHeight="1">
      <c r="A9288" s="25" t="str">
        <f>IFERROR(__xludf.DUMMYFUNCTION("IF(B9288="""","""",RIGHT(REGEXREPLACE(B9288&amp;"""",""[^0-9]"",""""),9))"),"717919713")</f>
        <v>717919713</v>
      </c>
      <c r="B9288" s="26" t="s">
        <v>9366</v>
      </c>
      <c r="C9288" s="28" t="s">
        <v>9367</v>
      </c>
      <c r="D9288" s="26" t="s">
        <v>49</v>
      </c>
      <c r="E9288" s="31">
        <v>46255.0</v>
      </c>
      <c r="F9288" s="26" t="s">
        <v>46</v>
      </c>
      <c r="G9288" s="26">
        <v>9.0</v>
      </c>
      <c r="H9288" s="26" t="s">
        <v>6355</v>
      </c>
      <c r="I9288" s="26" t="s">
        <v>921</v>
      </c>
      <c r="J9288" s="25" t="str">
        <f t="shared" si="127"/>
        <v>No</v>
      </c>
      <c r="K9288" s="25" t="str">
        <f t="shared" si="128"/>
        <v/>
      </c>
      <c r="L9288" s="25" t="str">
        <f t="shared" si="129"/>
        <v/>
      </c>
      <c r="M9288" s="25"/>
      <c r="O9288" s="25"/>
    </row>
    <row r="9289" ht="15.75" customHeight="1">
      <c r="A9289" s="25" t="str">
        <f>IFERROR(__xludf.DUMMYFUNCTION("IF(B9289="""","""",RIGHT(REGEXREPLACE(B9289&amp;"""",""[^0-9]"",""""),9))"),"775352506")</f>
        <v>775352506</v>
      </c>
      <c r="B9289" s="52">
        <v>7.75352506E8</v>
      </c>
      <c r="C9289" s="28" t="s">
        <v>9368</v>
      </c>
      <c r="D9289" s="26" t="s">
        <v>56</v>
      </c>
      <c r="E9289" s="31">
        <v>46255.0</v>
      </c>
      <c r="F9289" s="26" t="s">
        <v>46</v>
      </c>
      <c r="G9289" s="26">
        <v>8.0</v>
      </c>
      <c r="H9289" s="26" t="s">
        <v>140</v>
      </c>
      <c r="I9289" s="26" t="s">
        <v>942</v>
      </c>
      <c r="J9289" s="25" t="str">
        <f t="shared" si="127"/>
        <v>No</v>
      </c>
      <c r="K9289" s="25" t="str">
        <f t="shared" si="128"/>
        <v/>
      </c>
      <c r="L9289" s="25" t="str">
        <f t="shared" si="129"/>
        <v/>
      </c>
      <c r="M9289" s="25"/>
      <c r="O9289" s="25"/>
    </row>
    <row r="9290" ht="15.75" customHeight="1">
      <c r="A9290" s="25" t="str">
        <f>IFERROR(__xludf.DUMMYFUNCTION("IF(B9290="""","""",RIGHT(REGEXREPLACE(B9290&amp;"""",""[^0-9]"",""""),9))"),"778978888")</f>
        <v>778978888</v>
      </c>
      <c r="B9290" s="26" t="s">
        <v>9369</v>
      </c>
      <c r="C9290" s="28" t="s">
        <v>8084</v>
      </c>
      <c r="D9290" s="26" t="s">
        <v>49</v>
      </c>
      <c r="E9290" s="31">
        <v>46255.0</v>
      </c>
      <c r="F9290" s="26" t="s">
        <v>41</v>
      </c>
      <c r="G9290" s="26">
        <v>11.0</v>
      </c>
      <c r="I9290" s="26" t="s">
        <v>921</v>
      </c>
      <c r="J9290" s="25" t="str">
        <f t="shared" si="127"/>
        <v>Yes - see Previous F-Code</v>
      </c>
      <c r="K9290" s="25" t="str">
        <f t="shared" si="128"/>
        <v/>
      </c>
      <c r="L9290" s="25" t="str">
        <f t="shared" si="129"/>
        <v>F76896</v>
      </c>
      <c r="M9290" s="25"/>
      <c r="O9290" s="25"/>
    </row>
    <row r="9291" ht="15.75" customHeight="1">
      <c r="A9291" s="25" t="str">
        <f>IFERROR(__xludf.DUMMYFUNCTION("IF(B9291="""","""",RIGHT(REGEXREPLACE(B9291&amp;"""",""[^0-9]"",""""),9))"),"713929408")</f>
        <v>713929408</v>
      </c>
      <c r="B9291" s="52">
        <v>7.13929408E8</v>
      </c>
      <c r="C9291" s="28" t="s">
        <v>5324</v>
      </c>
      <c r="D9291" s="26" t="s">
        <v>56</v>
      </c>
      <c r="E9291" s="31">
        <v>46255.0</v>
      </c>
      <c r="F9291" s="26" t="s">
        <v>46</v>
      </c>
      <c r="G9291" s="26">
        <v>9.0</v>
      </c>
      <c r="I9291" s="26" t="s">
        <v>942</v>
      </c>
      <c r="J9291" s="25" t="str">
        <f t="shared" si="127"/>
        <v>Yes - see Previous F-Code</v>
      </c>
      <c r="K9291" s="25" t="str">
        <f t="shared" si="128"/>
        <v/>
      </c>
      <c r="L9291" s="25" t="str">
        <f t="shared" si="129"/>
        <v>F74837</v>
      </c>
      <c r="M9291" s="25"/>
      <c r="O9291" s="25"/>
    </row>
    <row r="9292" ht="15.75" customHeight="1">
      <c r="A9292" s="25" t="str">
        <f>IFERROR(__xludf.DUMMYFUNCTION("IF(B9292="""","""",RIGHT(REGEXREPLACE(B9292&amp;"""",""[^0-9]"",""""),9))"),"723988408")</f>
        <v>723988408</v>
      </c>
      <c r="B9292" s="52">
        <v>7.23988408E8</v>
      </c>
      <c r="C9292" s="28" t="s">
        <v>9370</v>
      </c>
      <c r="D9292" s="26" t="s">
        <v>56</v>
      </c>
      <c r="E9292" s="31">
        <v>46255.0</v>
      </c>
      <c r="F9292" s="26" t="s">
        <v>41</v>
      </c>
      <c r="G9292" s="26">
        <v>10.0</v>
      </c>
      <c r="I9292" s="26" t="s">
        <v>942</v>
      </c>
      <c r="J9292" s="25" t="str">
        <f t="shared" si="127"/>
        <v>No</v>
      </c>
      <c r="K9292" s="25" t="str">
        <f t="shared" si="128"/>
        <v/>
      </c>
      <c r="L9292" s="25" t="str">
        <f t="shared" si="129"/>
        <v/>
      </c>
      <c r="M9292" s="25"/>
      <c r="O9292" s="25"/>
    </row>
    <row r="9293" ht="15.75" customHeight="1">
      <c r="A9293" s="25" t="str">
        <f>IFERROR(__xludf.DUMMYFUNCTION("IF(B9293="""","""",RIGHT(REGEXREPLACE(B9293&amp;"""",""[^0-9]"",""""),9))"),"715238325")</f>
        <v>715238325</v>
      </c>
      <c r="B9293" s="52">
        <v>7.15238325E8</v>
      </c>
      <c r="C9293" s="28" t="s">
        <v>9371</v>
      </c>
      <c r="D9293" s="26" t="s">
        <v>64</v>
      </c>
      <c r="E9293" s="31">
        <v>46255.0</v>
      </c>
      <c r="F9293" s="26" t="s">
        <v>46</v>
      </c>
      <c r="G9293" s="26">
        <v>11.0</v>
      </c>
      <c r="I9293" s="26" t="s">
        <v>942</v>
      </c>
      <c r="J9293" s="25" t="str">
        <f t="shared" si="127"/>
        <v>No</v>
      </c>
      <c r="K9293" s="25" t="str">
        <f t="shared" si="128"/>
        <v/>
      </c>
      <c r="L9293" s="25" t="str">
        <f t="shared" si="129"/>
        <v/>
      </c>
      <c r="M9293" s="25"/>
      <c r="O9293" s="25"/>
    </row>
    <row r="9294" ht="15.75" customHeight="1">
      <c r="A9294" s="25" t="str">
        <f>IFERROR(__xludf.DUMMYFUNCTION("IF(B9294="""","""",RIGHT(REGEXREPLACE(B9294&amp;"""",""[^0-9]"",""""),9))"),"702622815")</f>
        <v>702622815</v>
      </c>
      <c r="B9294" s="52">
        <v>7.02622815E8</v>
      </c>
      <c r="C9294" s="28" t="s">
        <v>6181</v>
      </c>
      <c r="D9294" s="26" t="s">
        <v>56</v>
      </c>
      <c r="E9294" s="31">
        <v>46255.0</v>
      </c>
      <c r="F9294" s="26" t="s">
        <v>46</v>
      </c>
      <c r="G9294" s="26">
        <v>11.0</v>
      </c>
      <c r="H9294" s="26" t="s">
        <v>140</v>
      </c>
      <c r="I9294" s="26" t="s">
        <v>942</v>
      </c>
      <c r="J9294" s="25" t="str">
        <f t="shared" si="127"/>
        <v>Yes - see Previous F-Code</v>
      </c>
      <c r="K9294" s="25" t="str">
        <f t="shared" si="128"/>
        <v/>
      </c>
      <c r="L9294" s="25" t="str">
        <f t="shared" si="129"/>
        <v>F75581</v>
      </c>
      <c r="M9294" s="25"/>
      <c r="O9294" s="25"/>
    </row>
    <row r="9295" ht="15.75" customHeight="1">
      <c r="A9295" s="25" t="str">
        <f>IFERROR(__xludf.DUMMYFUNCTION("IF(B9295="""","""",RIGHT(REGEXREPLACE(B9295&amp;"""",""[^0-9]"",""""),9))"),"740370305")</f>
        <v>740370305</v>
      </c>
      <c r="B9295" s="52">
        <v>7.40370305E8</v>
      </c>
      <c r="C9295" s="28" t="s">
        <v>6785</v>
      </c>
      <c r="D9295" s="26" t="s">
        <v>56</v>
      </c>
      <c r="E9295" s="31">
        <v>46255.0</v>
      </c>
      <c r="F9295" s="26" t="s">
        <v>46</v>
      </c>
      <c r="G9295" s="26">
        <v>10.0</v>
      </c>
      <c r="I9295" s="26" t="s">
        <v>942</v>
      </c>
      <c r="J9295" s="25" t="str">
        <f t="shared" si="127"/>
        <v>Yes - see Previous F-Code</v>
      </c>
      <c r="K9295" s="25" t="str">
        <f t="shared" si="128"/>
        <v/>
      </c>
      <c r="L9295" s="25" t="str">
        <f t="shared" si="129"/>
        <v>F75842</v>
      </c>
      <c r="M9295" s="25"/>
      <c r="O9295" s="25"/>
    </row>
    <row r="9296" ht="15.75" customHeight="1">
      <c r="A9296" s="25" t="str">
        <f>IFERROR(__xludf.DUMMYFUNCTION("IF(B9296="""","""",RIGHT(REGEXREPLACE(B9296&amp;"""",""[^0-9]"",""""),9))"),"777395222")</f>
        <v>777395222</v>
      </c>
      <c r="B9296" s="52">
        <v>7.77395222E8</v>
      </c>
      <c r="C9296" s="28" t="s">
        <v>1866</v>
      </c>
      <c r="D9296" s="26" t="s">
        <v>56</v>
      </c>
      <c r="E9296" s="31">
        <v>46255.0</v>
      </c>
      <c r="F9296" s="26" t="s">
        <v>46</v>
      </c>
      <c r="G9296" s="26">
        <v>11.0</v>
      </c>
      <c r="I9296" s="26" t="s">
        <v>942</v>
      </c>
      <c r="J9296" s="25" t="str">
        <f t="shared" si="127"/>
        <v>Yes - see Previous F-Code</v>
      </c>
      <c r="K9296" s="25" t="str">
        <f t="shared" si="128"/>
        <v/>
      </c>
      <c r="L9296" s="25" t="str">
        <f t="shared" si="129"/>
        <v>F71572</v>
      </c>
      <c r="M9296" s="25"/>
      <c r="O9296" s="25"/>
    </row>
    <row r="9297" ht="15.75" customHeight="1">
      <c r="A9297" s="25" t="str">
        <f>IFERROR(__xludf.DUMMYFUNCTION("IF(B9297="""","""",RIGHT(REGEXREPLACE(B9297&amp;"""",""[^0-9]"",""""),9))"),"760786251")</f>
        <v>760786251</v>
      </c>
      <c r="B9297" s="52">
        <v>7.60786251E8</v>
      </c>
      <c r="C9297" s="28" t="s">
        <v>6875</v>
      </c>
      <c r="D9297" s="26" t="s">
        <v>56</v>
      </c>
      <c r="E9297" s="31">
        <v>46256.0</v>
      </c>
      <c r="F9297" s="26" t="s">
        <v>41</v>
      </c>
      <c r="I9297" s="26" t="s">
        <v>942</v>
      </c>
      <c r="J9297" s="25" t="str">
        <f t="shared" si="127"/>
        <v>Yes - see Previous F-Code</v>
      </c>
      <c r="K9297" s="25" t="str">
        <f t="shared" si="128"/>
        <v/>
      </c>
      <c r="L9297" s="25" t="str">
        <f t="shared" si="129"/>
        <v>F75895</v>
      </c>
      <c r="M9297" s="25"/>
      <c r="O9297" s="25"/>
    </row>
    <row r="9298" ht="15.75" customHeight="1">
      <c r="A9298" s="25" t="str">
        <f>IFERROR(__xludf.DUMMYFUNCTION("IF(B9298="""","""",RIGHT(REGEXREPLACE(B9298&amp;"""",""[^0-9]"",""""),9))"),"770809300")</f>
        <v>770809300</v>
      </c>
      <c r="B9298" s="52">
        <v>7.708093E8</v>
      </c>
      <c r="C9298" s="28" t="s">
        <v>9372</v>
      </c>
      <c r="D9298" s="26" t="s">
        <v>64</v>
      </c>
      <c r="E9298" s="31">
        <v>46256.0</v>
      </c>
      <c r="F9298" s="26" t="s">
        <v>41</v>
      </c>
      <c r="I9298" s="26" t="s">
        <v>942</v>
      </c>
      <c r="J9298" s="25" t="str">
        <f t="shared" si="127"/>
        <v>No</v>
      </c>
      <c r="K9298" s="25" t="str">
        <f t="shared" si="128"/>
        <v/>
      </c>
      <c r="L9298" s="25" t="str">
        <f t="shared" si="129"/>
        <v/>
      </c>
      <c r="M9298" s="25"/>
      <c r="O9298" s="25"/>
    </row>
    <row r="9299" ht="15.75" customHeight="1">
      <c r="A9299" s="25" t="str">
        <f>IFERROR(__xludf.DUMMYFUNCTION("IF(B9299="""","""",RIGHT(REGEXREPLACE(B9299&amp;"""",""[^0-9]"",""""),9))"),"774411073")</f>
        <v>774411073</v>
      </c>
      <c r="B9299" s="52">
        <v>7.74411073E8</v>
      </c>
      <c r="C9299" s="28" t="s">
        <v>9373</v>
      </c>
      <c r="D9299" s="26" t="s">
        <v>56</v>
      </c>
      <c r="E9299" s="31">
        <v>46256.0</v>
      </c>
      <c r="F9299" s="26" t="s">
        <v>659</v>
      </c>
      <c r="I9299" s="26" t="s">
        <v>942</v>
      </c>
      <c r="J9299" s="25" t="str">
        <f t="shared" si="127"/>
        <v>No</v>
      </c>
      <c r="K9299" s="25" t="str">
        <f t="shared" si="128"/>
        <v/>
      </c>
      <c r="L9299" s="25" t="str">
        <f t="shared" si="129"/>
        <v/>
      </c>
      <c r="M9299" s="25"/>
      <c r="O9299" s="25"/>
    </row>
    <row r="9300" ht="15.75" customHeight="1">
      <c r="A9300" s="25" t="str">
        <f>IFERROR(__xludf.DUMMYFUNCTION("IF(B9300="""","""",RIGHT(REGEXREPLACE(B9300&amp;"""",""[^0-9]"",""""),9))"),"716382754")</f>
        <v>716382754</v>
      </c>
      <c r="B9300" s="52">
        <v>7.16382754E8</v>
      </c>
      <c r="C9300" s="28" t="s">
        <v>4990</v>
      </c>
      <c r="D9300" s="26" t="s">
        <v>64</v>
      </c>
      <c r="E9300" s="31">
        <v>46256.0</v>
      </c>
      <c r="F9300" s="26" t="s">
        <v>46</v>
      </c>
      <c r="H9300" s="26" t="s">
        <v>9374</v>
      </c>
      <c r="I9300" s="26" t="s">
        <v>942</v>
      </c>
      <c r="J9300" s="25" t="str">
        <f t="shared" si="127"/>
        <v>Yes - see Previous F-Code</v>
      </c>
      <c r="K9300" s="25" t="str">
        <f t="shared" si="128"/>
        <v/>
      </c>
      <c r="L9300" s="25" t="str">
        <f t="shared" si="129"/>
        <v>F74550</v>
      </c>
      <c r="M9300" s="25"/>
      <c r="O9300" s="25"/>
    </row>
    <row r="9301" ht="15.75" customHeight="1">
      <c r="A9301" s="25" t="str">
        <f>IFERROR(__xludf.DUMMYFUNCTION("IF(B9301="""","""",RIGHT(REGEXREPLACE(B9301&amp;"""",""[^0-9]"",""""),9))"),"782071274")</f>
        <v>782071274</v>
      </c>
      <c r="B9301" s="52">
        <v>7.82071274E8</v>
      </c>
      <c r="C9301" s="28" t="s">
        <v>7992</v>
      </c>
      <c r="D9301" s="26" t="s">
        <v>64</v>
      </c>
      <c r="E9301" s="31">
        <v>46256.0</v>
      </c>
      <c r="F9301" s="26" t="s">
        <v>205</v>
      </c>
      <c r="I9301" s="26" t="s">
        <v>942</v>
      </c>
      <c r="J9301" s="25" t="str">
        <f t="shared" si="127"/>
        <v>Yes - see Previous F-Code</v>
      </c>
      <c r="K9301" s="25" t="str">
        <f t="shared" si="128"/>
        <v/>
      </c>
      <c r="L9301" s="25" t="str">
        <f t="shared" si="129"/>
        <v>F76874</v>
      </c>
      <c r="M9301" s="25"/>
      <c r="O9301" s="25"/>
    </row>
    <row r="9302" ht="15.75" customHeight="1">
      <c r="A9302" s="25" t="str">
        <f>IFERROR(__xludf.DUMMYFUNCTION("IF(B9302="""","""",RIGHT(REGEXREPLACE(B9302&amp;"""",""[^0-9]"",""""),9))"),"741595236")</f>
        <v>741595236</v>
      </c>
      <c r="B9302" s="52">
        <v>7.41595236E8</v>
      </c>
      <c r="C9302" s="28" t="s">
        <v>9375</v>
      </c>
      <c r="D9302" s="26" t="s">
        <v>56</v>
      </c>
      <c r="E9302" s="31">
        <v>46256.0</v>
      </c>
      <c r="F9302" s="26" t="s">
        <v>46</v>
      </c>
      <c r="G9302" s="26">
        <v>11.0</v>
      </c>
      <c r="I9302" s="26" t="s">
        <v>942</v>
      </c>
      <c r="J9302" s="25" t="str">
        <f t="shared" si="127"/>
        <v>No</v>
      </c>
      <c r="K9302" s="25" t="str">
        <f t="shared" si="128"/>
        <v/>
      </c>
      <c r="L9302" s="25" t="str">
        <f t="shared" si="129"/>
        <v/>
      </c>
      <c r="M9302" s="25"/>
      <c r="O9302" s="25"/>
    </row>
    <row r="9303" ht="15.75" customHeight="1">
      <c r="A9303" s="25" t="str">
        <f>IFERROR(__xludf.DUMMYFUNCTION("IF(B9303="""","""",RIGHT(REGEXREPLACE(B9303&amp;"""",""[^0-9]"",""""),9))"),"770809300")</f>
        <v>770809300</v>
      </c>
      <c r="B9303" s="52">
        <v>7.708093E8</v>
      </c>
      <c r="C9303" s="28" t="s">
        <v>9376</v>
      </c>
      <c r="D9303" s="26" t="s">
        <v>64</v>
      </c>
      <c r="E9303" s="31">
        <v>46256.0</v>
      </c>
      <c r="F9303" s="26" t="s">
        <v>46</v>
      </c>
      <c r="G9303" s="26">
        <v>10.0</v>
      </c>
      <c r="I9303" s="26" t="s">
        <v>942</v>
      </c>
      <c r="J9303" s="25" t="str">
        <f t="shared" si="127"/>
        <v>Yes - see Previous F-Code</v>
      </c>
      <c r="K9303" s="25" t="str">
        <f t="shared" si="128"/>
        <v>DUPLICATE - CHECK</v>
      </c>
      <c r="L9303" s="25" t="str">
        <f t="shared" si="129"/>
        <v>F77967</v>
      </c>
      <c r="M9303" s="25"/>
      <c r="O9303" s="25"/>
    </row>
    <row r="9304" ht="15.75" customHeight="1">
      <c r="A9304" s="25" t="str">
        <f>IFERROR(__xludf.DUMMYFUNCTION("IF(B9304="""","""",RIGHT(REGEXREPLACE(B9304&amp;"""",""[^0-9]"",""""),9))"),"772120052")</f>
        <v>772120052</v>
      </c>
      <c r="B9304" s="52">
        <v>7.72120052E8</v>
      </c>
      <c r="C9304" s="28" t="s">
        <v>9377</v>
      </c>
      <c r="D9304" s="26" t="s">
        <v>56</v>
      </c>
      <c r="E9304" s="31">
        <v>46256.0</v>
      </c>
      <c r="F9304" s="26" t="s">
        <v>46</v>
      </c>
      <c r="G9304" s="26">
        <v>9.0</v>
      </c>
      <c r="I9304" s="26" t="s">
        <v>942</v>
      </c>
      <c r="J9304" s="25" t="str">
        <f t="shared" si="127"/>
        <v>No</v>
      </c>
      <c r="K9304" s="25" t="str">
        <f t="shared" si="128"/>
        <v/>
      </c>
      <c r="L9304" s="25" t="str">
        <f t="shared" si="129"/>
        <v/>
      </c>
      <c r="M9304" s="25"/>
      <c r="O9304" s="25"/>
    </row>
    <row r="9305" ht="15.75" customHeight="1">
      <c r="A9305" s="25" t="str">
        <f>IFERROR(__xludf.DUMMYFUNCTION("IF(B9305="""","""",RIGHT(REGEXREPLACE(B9305&amp;"""",""[^0-9]"",""""),9))"),"775559788")</f>
        <v>775559788</v>
      </c>
      <c r="B9305" s="52">
        <v>7.75559788E8</v>
      </c>
      <c r="C9305" s="28" t="s">
        <v>9378</v>
      </c>
      <c r="D9305" s="26" t="s">
        <v>64</v>
      </c>
      <c r="E9305" s="31">
        <v>46256.0</v>
      </c>
      <c r="F9305" s="26" t="s">
        <v>46</v>
      </c>
      <c r="I9305" s="26" t="s">
        <v>942</v>
      </c>
      <c r="J9305" s="25" t="str">
        <f t="shared" si="127"/>
        <v>No</v>
      </c>
      <c r="K9305" s="25" t="str">
        <f t="shared" si="128"/>
        <v/>
      </c>
      <c r="L9305" s="25" t="str">
        <f t="shared" si="129"/>
        <v/>
      </c>
      <c r="M9305" s="25"/>
      <c r="O9305" s="25"/>
    </row>
    <row r="9306" ht="15.75" customHeight="1">
      <c r="A9306" s="25" t="str">
        <f>IFERROR(__xludf.DUMMYFUNCTION("IF(B9306="""","""",RIGHT(REGEXREPLACE(B9306&amp;"""",""[^0-9]"",""""),9))"),"")</f>
        <v/>
      </c>
      <c r="C9306" s="46"/>
      <c r="D9306" s="25"/>
      <c r="F9306" s="25"/>
      <c r="M9306" s="25"/>
      <c r="O9306" s="25"/>
    </row>
    <row r="9307" ht="15.75" customHeight="1">
      <c r="A9307" s="25" t="str">
        <f>IFERROR(__xludf.DUMMYFUNCTION("IF(B9307="""","""",RIGHT(REGEXREPLACE(B9307&amp;"""",""[^0-9]"",""""),9))"),"704734317")</f>
        <v>704734317</v>
      </c>
      <c r="B9307" s="26" t="s">
        <v>9379</v>
      </c>
      <c r="C9307" s="28" t="s">
        <v>9380</v>
      </c>
      <c r="D9307" s="26" t="s">
        <v>49</v>
      </c>
      <c r="E9307" s="31">
        <v>46255.0</v>
      </c>
      <c r="F9307" s="26" t="s">
        <v>46</v>
      </c>
      <c r="G9307" s="26">
        <v>11.0</v>
      </c>
      <c r="H9307" s="26" t="s">
        <v>9381</v>
      </c>
      <c r="I9307" s="26" t="s">
        <v>921</v>
      </c>
      <c r="J9307" s="25" t="str">
        <f t="shared" ref="J9307:J9322" si="130">IF(COUNTIF($A$2:A9306,A9307)&gt;0,"Yes - see Previous F-Code","No")</f>
        <v>No</v>
      </c>
      <c r="K9307" s="25" t="str">
        <f t="shared" ref="K9307:K9322" si="131">IF(COUNTIFS($A$2:A9307,A9307,$I$2:I9307,I9307)&gt;1,"DUPLICATE - CHECK","")</f>
        <v/>
      </c>
      <c r="L9307" s="25" t="str">
        <f t="shared" ref="L9307:L9322" si="132">IF(COUNTIF($A$2:A9306,A9307)&gt;0,INDEX($C$2:C9306,MATCH(A9307,$A$2:A9306,0)),"")</f>
        <v/>
      </c>
      <c r="M9307" s="25"/>
      <c r="O9307" s="25"/>
    </row>
    <row r="9308" ht="15.75" customHeight="1">
      <c r="A9308" s="25" t="str">
        <f>IFERROR(__xludf.DUMMYFUNCTION("IF(B9308="""","""",RIGHT(REGEXREPLACE(B9308&amp;"""",""[^0-9]"",""""),9))"),"755477698")</f>
        <v>755477698</v>
      </c>
      <c r="B9308" s="26" t="s">
        <v>9382</v>
      </c>
      <c r="C9308" s="28" t="s">
        <v>4942</v>
      </c>
      <c r="D9308" s="26" t="s">
        <v>49</v>
      </c>
      <c r="E9308" s="31">
        <v>46255.0</v>
      </c>
      <c r="F9308" s="26" t="s">
        <v>41</v>
      </c>
      <c r="G9308" s="26">
        <v>11.0</v>
      </c>
      <c r="H9308" s="26" t="s">
        <v>9383</v>
      </c>
      <c r="I9308" s="26" t="s">
        <v>921</v>
      </c>
      <c r="J9308" s="25" t="str">
        <f t="shared" si="130"/>
        <v>Yes - see Previous F-Code</v>
      </c>
      <c r="K9308" s="25" t="str">
        <f t="shared" si="131"/>
        <v/>
      </c>
      <c r="L9308" s="25" t="str">
        <f t="shared" si="132"/>
        <v>F74507</v>
      </c>
      <c r="M9308" s="25"/>
      <c r="O9308" s="25"/>
    </row>
    <row r="9309" ht="15.75" customHeight="1">
      <c r="A9309" s="25" t="str">
        <f>IFERROR(__xludf.DUMMYFUNCTION("IF(B9309="""","""",RIGHT(REGEXREPLACE(B9309&amp;"""",""[^0-9]"",""""),9))"),"703894351")</f>
        <v>703894351</v>
      </c>
      <c r="B9309" s="26" t="s">
        <v>9384</v>
      </c>
      <c r="C9309" s="28" t="s">
        <v>9385</v>
      </c>
      <c r="D9309" s="26" t="s">
        <v>49</v>
      </c>
      <c r="E9309" s="31">
        <v>46255.0</v>
      </c>
      <c r="F9309" s="26" t="s">
        <v>46</v>
      </c>
      <c r="G9309" s="26">
        <v>8.0</v>
      </c>
      <c r="H9309" s="26" t="s">
        <v>9386</v>
      </c>
      <c r="I9309" s="26" t="s">
        <v>921</v>
      </c>
      <c r="J9309" s="25" t="str">
        <f t="shared" si="130"/>
        <v>No</v>
      </c>
      <c r="K9309" s="25" t="str">
        <f t="shared" si="131"/>
        <v/>
      </c>
      <c r="L9309" s="25" t="str">
        <f t="shared" si="132"/>
        <v/>
      </c>
      <c r="M9309" s="25"/>
      <c r="O9309" s="25"/>
    </row>
    <row r="9310" ht="15.75" customHeight="1">
      <c r="A9310" s="25" t="str">
        <f>IFERROR(__xludf.DUMMYFUNCTION("IF(B9310="""","""",RIGHT(REGEXREPLACE(B9310&amp;"""",""[^0-9]"",""""),9))"),"776071355")</f>
        <v>776071355</v>
      </c>
      <c r="B9310" s="26" t="s">
        <v>9387</v>
      </c>
      <c r="C9310" s="28" t="s">
        <v>9388</v>
      </c>
      <c r="D9310" s="26" t="s">
        <v>49</v>
      </c>
      <c r="E9310" s="31">
        <v>46255.0</v>
      </c>
      <c r="F9310" s="26" t="s">
        <v>41</v>
      </c>
      <c r="I9310" s="26" t="s">
        <v>921</v>
      </c>
      <c r="J9310" s="25" t="str">
        <f t="shared" si="130"/>
        <v>No</v>
      </c>
      <c r="K9310" s="25" t="str">
        <f t="shared" si="131"/>
        <v/>
      </c>
      <c r="L9310" s="25" t="str">
        <f t="shared" si="132"/>
        <v/>
      </c>
      <c r="M9310" s="25"/>
      <c r="O9310" s="25"/>
    </row>
    <row r="9311" ht="15.75" customHeight="1">
      <c r="A9311" s="25" t="str">
        <f>IFERROR(__xludf.DUMMYFUNCTION("IF(B9311="""","""",RIGHT(REGEXREPLACE(B9311&amp;"""",""[^0-9]"",""""),9))"),"769789764")</f>
        <v>769789764</v>
      </c>
      <c r="B9311" s="26" t="s">
        <v>9389</v>
      </c>
      <c r="C9311" s="28" t="s">
        <v>9390</v>
      </c>
      <c r="D9311" s="26" t="s">
        <v>49</v>
      </c>
      <c r="E9311" s="31">
        <v>46255.0</v>
      </c>
      <c r="F9311" s="26" t="s">
        <v>46</v>
      </c>
      <c r="G9311" s="26">
        <v>11.0</v>
      </c>
      <c r="H9311" s="26" t="s">
        <v>9391</v>
      </c>
      <c r="I9311" s="26" t="s">
        <v>921</v>
      </c>
      <c r="J9311" s="25" t="str">
        <f t="shared" si="130"/>
        <v>No</v>
      </c>
      <c r="K9311" s="25" t="str">
        <f t="shared" si="131"/>
        <v/>
      </c>
      <c r="L9311" s="25" t="str">
        <f t="shared" si="132"/>
        <v/>
      </c>
      <c r="M9311" s="25"/>
      <c r="O9311" s="25"/>
    </row>
    <row r="9312" ht="15.75" customHeight="1">
      <c r="A9312" s="25" t="str">
        <f>IFERROR(__xludf.DUMMYFUNCTION("IF(B9312="""","""",RIGHT(REGEXREPLACE(B9312&amp;"""",""[^0-9]"",""""),9))"),"721942825")</f>
        <v>721942825</v>
      </c>
      <c r="B9312" s="26" t="s">
        <v>9392</v>
      </c>
      <c r="C9312" s="28" t="s">
        <v>9393</v>
      </c>
      <c r="D9312" s="26" t="s">
        <v>49</v>
      </c>
      <c r="E9312" s="31">
        <v>46255.0</v>
      </c>
      <c r="F9312" s="26" t="s">
        <v>41</v>
      </c>
      <c r="G9312" s="26">
        <v>9.0</v>
      </c>
      <c r="I9312" s="26" t="s">
        <v>921</v>
      </c>
      <c r="J9312" s="25" t="str">
        <f t="shared" si="130"/>
        <v>No</v>
      </c>
      <c r="K9312" s="25" t="str">
        <f t="shared" si="131"/>
        <v/>
      </c>
      <c r="L9312" s="25" t="str">
        <f t="shared" si="132"/>
        <v/>
      </c>
      <c r="M9312" s="25"/>
      <c r="O9312" s="25"/>
    </row>
    <row r="9313" ht="15.75" customHeight="1">
      <c r="A9313" s="25" t="str">
        <f>IFERROR(__xludf.DUMMYFUNCTION("IF(B9313="""","""",RIGHT(REGEXREPLACE(B9313&amp;"""",""[^0-9]"",""""),9))"),"762181781")</f>
        <v>762181781</v>
      </c>
      <c r="B9313" s="26" t="s">
        <v>9394</v>
      </c>
      <c r="C9313" s="28" t="s">
        <v>9395</v>
      </c>
      <c r="D9313" s="26" t="s">
        <v>45</v>
      </c>
      <c r="E9313" s="31">
        <v>46256.0</v>
      </c>
      <c r="F9313" s="26" t="s">
        <v>46</v>
      </c>
      <c r="G9313" s="26">
        <v>10.0</v>
      </c>
      <c r="I9313" s="26" t="s">
        <v>921</v>
      </c>
      <c r="J9313" s="25" t="str">
        <f t="shared" si="130"/>
        <v>No</v>
      </c>
      <c r="K9313" s="25" t="str">
        <f t="shared" si="131"/>
        <v/>
      </c>
      <c r="L9313" s="25" t="str">
        <f t="shared" si="132"/>
        <v/>
      </c>
      <c r="M9313" s="25"/>
      <c r="O9313" s="25"/>
    </row>
    <row r="9314" ht="15.75" customHeight="1">
      <c r="A9314" s="25" t="str">
        <f>IFERROR(__xludf.DUMMYFUNCTION("IF(B9314="""","""",RIGHT(REGEXREPLACE(B9314&amp;"""",""[^0-9]"",""""),9))"),"740162174")</f>
        <v>740162174</v>
      </c>
      <c r="B9314" s="26" t="s">
        <v>9396</v>
      </c>
      <c r="C9314" s="28" t="s">
        <v>9397</v>
      </c>
      <c r="D9314" s="26" t="s">
        <v>45</v>
      </c>
      <c r="E9314" s="31">
        <v>46256.0</v>
      </c>
      <c r="F9314" s="26" t="s">
        <v>46</v>
      </c>
      <c r="G9314" s="26">
        <v>10.0</v>
      </c>
      <c r="I9314" s="26" t="s">
        <v>921</v>
      </c>
      <c r="J9314" s="25" t="str">
        <f t="shared" si="130"/>
        <v>No</v>
      </c>
      <c r="K9314" s="25" t="str">
        <f t="shared" si="131"/>
        <v/>
      </c>
      <c r="L9314" s="25" t="str">
        <f t="shared" si="132"/>
        <v/>
      </c>
      <c r="M9314" s="25"/>
      <c r="O9314" s="25"/>
    </row>
    <row r="9315" ht="15.75" customHeight="1">
      <c r="A9315" s="25" t="str">
        <f>IFERROR(__xludf.DUMMYFUNCTION("IF(B9315="""","""",RIGHT(REGEXREPLACE(B9315&amp;"""",""[^0-9]"",""""),9))"),"768771502")</f>
        <v>768771502</v>
      </c>
      <c r="B9315" s="26" t="s">
        <v>9398</v>
      </c>
      <c r="C9315" s="28" t="s">
        <v>9399</v>
      </c>
      <c r="D9315" s="26" t="s">
        <v>45</v>
      </c>
      <c r="E9315" s="31">
        <v>46256.0</v>
      </c>
      <c r="F9315" s="26" t="s">
        <v>46</v>
      </c>
      <c r="G9315" s="26">
        <v>11.0</v>
      </c>
      <c r="I9315" s="26" t="s">
        <v>921</v>
      </c>
      <c r="J9315" s="25" t="str">
        <f t="shared" si="130"/>
        <v>No</v>
      </c>
      <c r="K9315" s="25" t="str">
        <f t="shared" si="131"/>
        <v/>
      </c>
      <c r="L9315" s="25" t="str">
        <f t="shared" si="132"/>
        <v/>
      </c>
      <c r="M9315" s="25"/>
      <c r="O9315" s="25"/>
    </row>
    <row r="9316" ht="15.75" customHeight="1">
      <c r="A9316" s="25" t="str">
        <f>IFERROR(__xludf.DUMMYFUNCTION("IF(B9316="""","""",RIGHT(REGEXREPLACE(B9316&amp;"""",""[^0-9]"",""""),9))"),"717292667")</f>
        <v>717292667</v>
      </c>
      <c r="B9316" s="26" t="s">
        <v>9400</v>
      </c>
      <c r="C9316" s="28" t="s">
        <v>9401</v>
      </c>
      <c r="D9316" s="26" t="s">
        <v>45</v>
      </c>
      <c r="E9316" s="31">
        <v>46256.0</v>
      </c>
      <c r="F9316" s="26" t="s">
        <v>41</v>
      </c>
      <c r="G9316" s="26">
        <v>11.0</v>
      </c>
      <c r="I9316" s="26" t="s">
        <v>921</v>
      </c>
      <c r="J9316" s="25" t="str">
        <f t="shared" si="130"/>
        <v>No</v>
      </c>
      <c r="K9316" s="25" t="str">
        <f t="shared" si="131"/>
        <v/>
      </c>
      <c r="L9316" s="25" t="str">
        <f t="shared" si="132"/>
        <v/>
      </c>
      <c r="M9316" s="25"/>
      <c r="O9316" s="25"/>
    </row>
    <row r="9317" ht="15.75" customHeight="1">
      <c r="A9317" s="25" t="str">
        <f>IFERROR(__xludf.DUMMYFUNCTION("IF(B9317="""","""",RIGHT(REGEXREPLACE(B9317&amp;"""",""[^0-9]"",""""),9))"),"740464200")</f>
        <v>740464200</v>
      </c>
      <c r="B9317" s="26" t="s">
        <v>9402</v>
      </c>
      <c r="C9317" s="28" t="s">
        <v>9403</v>
      </c>
      <c r="D9317" s="26" t="s">
        <v>45</v>
      </c>
      <c r="E9317" s="31">
        <v>46256.0</v>
      </c>
      <c r="F9317" s="26" t="s">
        <v>46</v>
      </c>
      <c r="G9317" s="26">
        <v>11.0</v>
      </c>
      <c r="I9317" s="26" t="s">
        <v>921</v>
      </c>
      <c r="J9317" s="25" t="str">
        <f t="shared" si="130"/>
        <v>No</v>
      </c>
      <c r="K9317" s="25" t="str">
        <f t="shared" si="131"/>
        <v/>
      </c>
      <c r="L9317" s="25" t="str">
        <f t="shared" si="132"/>
        <v/>
      </c>
      <c r="M9317" s="25"/>
      <c r="O9317" s="25"/>
    </row>
    <row r="9318" ht="15.75" customHeight="1">
      <c r="A9318" s="25" t="str">
        <f>IFERROR(__xludf.DUMMYFUNCTION("IF(B9318="""","""",RIGHT(REGEXREPLACE(B9318&amp;"""",""[^0-9]"",""""),9))"),"779252467")</f>
        <v>779252467</v>
      </c>
      <c r="B9318" s="26" t="s">
        <v>9404</v>
      </c>
      <c r="C9318" s="28" t="s">
        <v>9405</v>
      </c>
      <c r="D9318" s="26" t="s">
        <v>45</v>
      </c>
      <c r="E9318" s="31">
        <v>46256.0</v>
      </c>
      <c r="F9318" s="26" t="s">
        <v>46</v>
      </c>
      <c r="G9318" s="26">
        <v>11.0</v>
      </c>
      <c r="I9318" s="26" t="s">
        <v>921</v>
      </c>
      <c r="J9318" s="25" t="str">
        <f t="shared" si="130"/>
        <v>No</v>
      </c>
      <c r="K9318" s="25" t="str">
        <f t="shared" si="131"/>
        <v/>
      </c>
      <c r="L9318" s="25" t="str">
        <f t="shared" si="132"/>
        <v/>
      </c>
      <c r="M9318" s="25"/>
      <c r="O9318" s="25"/>
    </row>
    <row r="9319" ht="15.75" customHeight="1">
      <c r="A9319" s="25" t="str">
        <f>IFERROR(__xludf.DUMMYFUNCTION("IF(B9319="""","""",RIGHT(REGEXREPLACE(B9319&amp;"""",""[^0-9]"",""""),9))"),"741595236")</f>
        <v>741595236</v>
      </c>
      <c r="B9319" s="26" t="s">
        <v>9406</v>
      </c>
      <c r="C9319" s="28" t="s">
        <v>9375</v>
      </c>
      <c r="D9319" s="26" t="s">
        <v>45</v>
      </c>
      <c r="E9319" s="31">
        <v>46256.0</v>
      </c>
      <c r="F9319" s="26" t="s">
        <v>46</v>
      </c>
      <c r="G9319" s="26">
        <v>11.0</v>
      </c>
      <c r="I9319" s="26" t="s">
        <v>921</v>
      </c>
      <c r="J9319" s="25" t="str">
        <f t="shared" si="130"/>
        <v>Yes - see Previous F-Code</v>
      </c>
      <c r="K9319" s="25" t="str">
        <f t="shared" si="131"/>
        <v/>
      </c>
      <c r="L9319" s="25" t="str">
        <f t="shared" si="132"/>
        <v>F77970</v>
      </c>
      <c r="M9319" s="25"/>
      <c r="O9319" s="25"/>
    </row>
    <row r="9320" ht="15.75" customHeight="1">
      <c r="A9320" s="25" t="str">
        <f>IFERROR(__xludf.DUMMYFUNCTION("IF(B9320="""","""",RIGHT(REGEXREPLACE(B9320&amp;"""",""[^0-9]"",""""),9))"),"753563519")</f>
        <v>753563519</v>
      </c>
      <c r="B9320" s="26" t="s">
        <v>9407</v>
      </c>
      <c r="C9320" s="28" t="s">
        <v>9408</v>
      </c>
      <c r="D9320" s="26" t="s">
        <v>45</v>
      </c>
      <c r="E9320" s="31">
        <v>46256.0</v>
      </c>
      <c r="F9320" s="26" t="s">
        <v>46</v>
      </c>
      <c r="G9320" s="26">
        <v>11.0</v>
      </c>
      <c r="I9320" s="26" t="s">
        <v>921</v>
      </c>
      <c r="J9320" s="25" t="str">
        <f t="shared" si="130"/>
        <v>No</v>
      </c>
      <c r="K9320" s="25" t="str">
        <f t="shared" si="131"/>
        <v/>
      </c>
      <c r="L9320" s="25" t="str">
        <f t="shared" si="132"/>
        <v/>
      </c>
      <c r="M9320" s="25"/>
      <c r="O9320" s="25"/>
    </row>
    <row r="9321" ht="15.75" customHeight="1">
      <c r="A9321" s="25" t="str">
        <f>IFERROR(__xludf.DUMMYFUNCTION("IF(B9321="""","""",RIGHT(REGEXREPLACE(B9321&amp;"""",""[^0-9]"",""""),9))"),"762777301")</f>
        <v>762777301</v>
      </c>
      <c r="B9321" s="26" t="s">
        <v>9409</v>
      </c>
      <c r="C9321" s="28" t="s">
        <v>9410</v>
      </c>
      <c r="D9321" s="26" t="s">
        <v>45</v>
      </c>
      <c r="E9321" s="31">
        <v>46256.0</v>
      </c>
      <c r="F9321" s="26" t="s">
        <v>205</v>
      </c>
      <c r="G9321" s="26">
        <v>10.0</v>
      </c>
      <c r="I9321" s="26" t="s">
        <v>921</v>
      </c>
      <c r="J9321" s="25" t="str">
        <f t="shared" si="130"/>
        <v>No</v>
      </c>
      <c r="K9321" s="25" t="str">
        <f t="shared" si="131"/>
        <v/>
      </c>
      <c r="L9321" s="25" t="str">
        <f t="shared" si="132"/>
        <v/>
      </c>
      <c r="M9321" s="25"/>
      <c r="O9321" s="25"/>
    </row>
    <row r="9322" ht="15.75" customHeight="1">
      <c r="A9322" s="25" t="str">
        <f>IFERROR(__xludf.DUMMYFUNCTION("IF(B9322="""","""",RIGHT(REGEXREPLACE(B9322&amp;"""",""[^0-9]"",""""),9))"),"714344060")</f>
        <v>714344060</v>
      </c>
      <c r="B9322" s="26" t="s">
        <v>9411</v>
      </c>
      <c r="C9322" s="28" t="s">
        <v>9412</v>
      </c>
      <c r="D9322" s="26" t="s">
        <v>45</v>
      </c>
      <c r="E9322" s="31">
        <v>46256.0</v>
      </c>
      <c r="F9322" s="26" t="s">
        <v>46</v>
      </c>
      <c r="G9322" s="26" t="s">
        <v>2105</v>
      </c>
      <c r="I9322" s="26" t="s">
        <v>921</v>
      </c>
      <c r="J9322" s="25" t="str">
        <f t="shared" si="130"/>
        <v>No</v>
      </c>
      <c r="K9322" s="25" t="str">
        <f t="shared" si="131"/>
        <v/>
      </c>
      <c r="L9322" s="25" t="str">
        <f t="shared" si="132"/>
        <v/>
      </c>
      <c r="M9322" s="25"/>
      <c r="O9322" s="25"/>
    </row>
    <row r="9323" ht="15.75" customHeight="1">
      <c r="A9323" s="25" t="str">
        <f>IFERROR(__xludf.DUMMYFUNCTION("IF(B9323="""","""",RIGHT(REGEXREPLACE(B9323&amp;"""",""[^0-9]"",""""),9))"),"")</f>
        <v/>
      </c>
      <c r="C9323" s="46"/>
      <c r="D9323" s="25"/>
      <c r="F9323" s="25"/>
      <c r="I9323" s="26" t="s">
        <v>921</v>
      </c>
      <c r="M9323" s="25"/>
      <c r="O9323" s="25"/>
    </row>
    <row r="9324" ht="15.75" customHeight="1">
      <c r="A9324" s="25" t="str">
        <f>IFERROR(__xludf.DUMMYFUNCTION("IF(B9324="""","""",RIGHT(REGEXREPLACE(B9324&amp;"""",""[^0-9]"",""""),9))"),"")</f>
        <v/>
      </c>
      <c r="C9324" s="46"/>
      <c r="D9324" s="25"/>
      <c r="F9324" s="25"/>
      <c r="I9324" s="26" t="s">
        <v>921</v>
      </c>
      <c r="M9324" s="25"/>
      <c r="O9324" s="25"/>
    </row>
    <row r="9325" ht="15.75" customHeight="1">
      <c r="A9325" s="25" t="str">
        <f>IFERROR(__xludf.DUMMYFUNCTION("IF(B9325="""","""",RIGHT(REGEXREPLACE(B9325&amp;"""",""[^0-9]"",""""),9))"),"")</f>
        <v/>
      </c>
      <c r="C9325" s="46"/>
      <c r="D9325" s="25"/>
      <c r="F9325" s="25"/>
      <c r="I9325" s="26" t="s">
        <v>921</v>
      </c>
      <c r="M9325" s="25"/>
      <c r="O9325" s="25"/>
    </row>
    <row r="9326" ht="15.75" customHeight="1">
      <c r="A9326" s="25" t="str">
        <f>IFERROR(__xludf.DUMMYFUNCTION("IF(B9326="""","""",RIGHT(REGEXREPLACE(B9326&amp;"""",""[^0-9]"",""""),9))"),"")</f>
        <v/>
      </c>
      <c r="C9326" s="46"/>
      <c r="D9326" s="25"/>
      <c r="F9326" s="25"/>
      <c r="I9326" s="26" t="s">
        <v>921</v>
      </c>
      <c r="M9326" s="25"/>
      <c r="O9326" s="25"/>
    </row>
    <row r="9327" ht="15.75" customHeight="1">
      <c r="A9327" s="25" t="str">
        <f>IFERROR(__xludf.DUMMYFUNCTION("IF(B9327="""","""",RIGHT(REGEXREPLACE(B9327&amp;"""",""[^0-9]"",""""),9))"),"")</f>
        <v/>
      </c>
      <c r="C9327" s="46"/>
      <c r="D9327" s="25"/>
      <c r="F9327" s="25"/>
      <c r="I9327" s="26" t="s">
        <v>921</v>
      </c>
      <c r="M9327" s="25"/>
      <c r="O9327" s="25"/>
    </row>
    <row r="9328" ht="15.75" customHeight="1">
      <c r="A9328" s="25" t="str">
        <f>IFERROR(__xludf.DUMMYFUNCTION("IF(B9328="""","""",RIGHT(REGEXREPLACE(B9328&amp;"""",""[^0-9]"",""""),9))"),"")</f>
        <v/>
      </c>
      <c r="C9328" s="46"/>
      <c r="D9328" s="25"/>
      <c r="F9328" s="25"/>
      <c r="I9328" s="26" t="s">
        <v>921</v>
      </c>
      <c r="M9328" s="25"/>
      <c r="O9328" s="25"/>
    </row>
    <row r="9329" ht="15.75" customHeight="1">
      <c r="A9329" s="25" t="str">
        <f>IFERROR(__xludf.DUMMYFUNCTION("IF(B9329="""","""",RIGHT(REGEXREPLACE(B9329&amp;"""",""[^0-9]"",""""),9))"),"")</f>
        <v/>
      </c>
      <c r="C9329" s="46"/>
      <c r="D9329" s="25"/>
      <c r="F9329" s="25"/>
      <c r="I9329" s="26" t="s">
        <v>921</v>
      </c>
      <c r="M9329" s="25"/>
      <c r="O9329" s="25"/>
    </row>
    <row r="9330" ht="15.75" customHeight="1">
      <c r="A9330" s="25" t="str">
        <f>IFERROR(__xludf.DUMMYFUNCTION("IF(B9330="""","""",RIGHT(REGEXREPLACE(B9330&amp;"""",""[^0-9]"",""""),9))"),"")</f>
        <v/>
      </c>
      <c r="C9330" s="46"/>
      <c r="D9330" s="25"/>
      <c r="F9330" s="25"/>
      <c r="I9330" s="26" t="s">
        <v>921</v>
      </c>
      <c r="M9330" s="25"/>
      <c r="O9330" s="25"/>
    </row>
    <row r="9331" ht="15.75" customHeight="1">
      <c r="A9331" s="25" t="str">
        <f>IFERROR(__xludf.DUMMYFUNCTION("IF(B9331="""","""",RIGHT(REGEXREPLACE(B9331&amp;"""",""[^0-9]"",""""),9))"),"")</f>
        <v/>
      </c>
      <c r="C9331" s="46"/>
      <c r="D9331" s="25"/>
      <c r="F9331" s="25"/>
      <c r="I9331" s="26" t="s">
        <v>921</v>
      </c>
      <c r="M9331" s="25"/>
      <c r="O9331" s="25"/>
    </row>
    <row r="9332" ht="15.75" customHeight="1">
      <c r="A9332" s="25" t="str">
        <f>IFERROR(__xludf.DUMMYFUNCTION("IF(B9332="""","""",RIGHT(REGEXREPLACE(B9332&amp;"""",""[^0-9]"",""""),9))"),"")</f>
        <v/>
      </c>
      <c r="C9332" s="46"/>
      <c r="D9332" s="25"/>
      <c r="F9332" s="25"/>
      <c r="I9332" s="26" t="s">
        <v>921</v>
      </c>
      <c r="M9332" s="25"/>
      <c r="O9332" s="25"/>
    </row>
    <row r="9333" ht="15.75" customHeight="1">
      <c r="A9333" s="25" t="str">
        <f>IFERROR(__xludf.DUMMYFUNCTION("IF(B9333="""","""",RIGHT(REGEXREPLACE(B9333&amp;"""",""[^0-9]"",""""),9))"),"")</f>
        <v/>
      </c>
      <c r="C9333" s="46"/>
      <c r="D9333" s="25"/>
      <c r="F9333" s="25"/>
      <c r="I9333" s="26" t="s">
        <v>921</v>
      </c>
      <c r="M9333" s="25"/>
      <c r="O9333" s="25"/>
    </row>
    <row r="9334" ht="15.75" customHeight="1">
      <c r="A9334" s="25" t="str">
        <f>IFERROR(__xludf.DUMMYFUNCTION("IF(B9334="""","""",RIGHT(REGEXREPLACE(B9334&amp;"""",""[^0-9]"",""""),9))"),"")</f>
        <v/>
      </c>
      <c r="C9334" s="46"/>
      <c r="D9334" s="25"/>
      <c r="F9334" s="25"/>
      <c r="I9334" s="26" t="s">
        <v>921</v>
      </c>
      <c r="M9334" s="25"/>
      <c r="O9334" s="25"/>
    </row>
    <row r="9335" ht="15.75" customHeight="1">
      <c r="A9335" s="25" t="str">
        <f>IFERROR(__xludf.DUMMYFUNCTION("IF(B9335="""","""",RIGHT(REGEXREPLACE(B9335&amp;"""",""[^0-9]"",""""),9))"),"")</f>
        <v/>
      </c>
      <c r="C9335" s="46"/>
      <c r="D9335" s="25"/>
      <c r="F9335" s="25"/>
      <c r="I9335" s="26" t="s">
        <v>921</v>
      </c>
      <c r="M9335" s="25"/>
      <c r="O9335" s="25"/>
    </row>
    <row r="9336" ht="15.75" customHeight="1">
      <c r="A9336" s="25" t="str">
        <f>IFERROR(__xludf.DUMMYFUNCTION("IF(B9336="""","""",RIGHT(REGEXREPLACE(B9336&amp;"""",""[^0-9]"",""""),9))"),"")</f>
        <v/>
      </c>
      <c r="C9336" s="46"/>
      <c r="D9336" s="25"/>
      <c r="F9336" s="25"/>
      <c r="I9336" s="26" t="s">
        <v>921</v>
      </c>
      <c r="M9336" s="25"/>
      <c r="O9336" s="25"/>
    </row>
    <row r="9337" ht="15.75" customHeight="1">
      <c r="A9337" s="25" t="str">
        <f>IFERROR(__xludf.DUMMYFUNCTION("IF(B9337="""","""",RIGHT(REGEXREPLACE(B9337&amp;"""",""[^0-9]"",""""),9))"),"")</f>
        <v/>
      </c>
      <c r="C9337" s="46"/>
      <c r="D9337" s="25"/>
      <c r="F9337" s="25"/>
      <c r="I9337" s="26" t="s">
        <v>921</v>
      </c>
      <c r="M9337" s="25"/>
      <c r="O9337" s="25"/>
    </row>
    <row r="9338" ht="15.75" customHeight="1">
      <c r="A9338" s="25" t="str">
        <f>IFERROR(__xludf.DUMMYFUNCTION("IF(B9338="""","""",RIGHT(REGEXREPLACE(B9338&amp;"""",""[^0-9]"",""""),9))"),"")</f>
        <v/>
      </c>
      <c r="C9338" s="46"/>
      <c r="D9338" s="25"/>
      <c r="F9338" s="25"/>
      <c r="I9338" s="26" t="s">
        <v>921</v>
      </c>
      <c r="M9338" s="25"/>
      <c r="O9338" s="25"/>
    </row>
    <row r="9339" ht="15.75" customHeight="1">
      <c r="A9339" s="25" t="str">
        <f>IFERROR(__xludf.DUMMYFUNCTION("IF(B9339="""","""",RIGHT(REGEXREPLACE(B9339&amp;"""",""[^0-9]"",""""),9))"),"")</f>
        <v/>
      </c>
      <c r="C9339" s="46"/>
      <c r="D9339" s="25"/>
      <c r="F9339" s="25"/>
      <c r="I9339" s="26" t="s">
        <v>921</v>
      </c>
      <c r="M9339" s="25"/>
      <c r="O9339" s="25"/>
    </row>
    <row r="9340" ht="15.75" customHeight="1">
      <c r="A9340" s="25" t="str">
        <f>IFERROR(__xludf.DUMMYFUNCTION("IF(B9340="""","""",RIGHT(REGEXREPLACE(B9340&amp;"""",""[^0-9]"",""""),9))"),"")</f>
        <v/>
      </c>
      <c r="C9340" s="46"/>
      <c r="D9340" s="25"/>
      <c r="F9340" s="25"/>
      <c r="I9340" s="26" t="s">
        <v>921</v>
      </c>
      <c r="M9340" s="25"/>
      <c r="O9340" s="25"/>
    </row>
    <row r="9341" ht="15.75" customHeight="1">
      <c r="A9341" s="25" t="str">
        <f>IFERROR(__xludf.DUMMYFUNCTION("IF(B9341="""","""",RIGHT(REGEXREPLACE(B9341&amp;"""",""[^0-9]"",""""),9))"),"")</f>
        <v/>
      </c>
      <c r="C9341" s="46"/>
      <c r="D9341" s="25"/>
      <c r="F9341" s="25"/>
      <c r="I9341" s="26" t="s">
        <v>921</v>
      </c>
      <c r="M9341" s="25"/>
      <c r="O9341" s="25"/>
    </row>
    <row r="9342" ht="15.75" customHeight="1">
      <c r="A9342" s="25" t="str">
        <f>IFERROR(__xludf.DUMMYFUNCTION("IF(B9342="""","""",RIGHT(REGEXREPLACE(B9342&amp;"""",""[^0-9]"",""""),9))"),"")</f>
        <v/>
      </c>
      <c r="C9342" s="46"/>
      <c r="D9342" s="25"/>
      <c r="F9342" s="25"/>
      <c r="I9342" s="26" t="s">
        <v>921</v>
      </c>
      <c r="M9342" s="25"/>
      <c r="O9342" s="25"/>
    </row>
    <row r="9343" ht="15.75" customHeight="1">
      <c r="A9343" s="25" t="str">
        <f>IFERROR(__xludf.DUMMYFUNCTION("IF(B9343="""","""",RIGHT(REGEXREPLACE(B9343&amp;"""",""[^0-9]"",""""),9))"),"")</f>
        <v/>
      </c>
      <c r="C9343" s="46"/>
      <c r="D9343" s="25"/>
      <c r="F9343" s="25"/>
      <c r="I9343" s="26" t="s">
        <v>921</v>
      </c>
      <c r="M9343" s="25"/>
      <c r="O9343" s="25"/>
    </row>
    <row r="9344" ht="15.75" customHeight="1">
      <c r="A9344" s="25" t="str">
        <f>IFERROR(__xludf.DUMMYFUNCTION("IF(B9344="""","""",RIGHT(REGEXREPLACE(B9344&amp;"""",""[^0-9]"",""""),9))"),"")</f>
        <v/>
      </c>
      <c r="C9344" s="46"/>
      <c r="D9344" s="25"/>
      <c r="F9344" s="25"/>
      <c r="I9344" s="26" t="s">
        <v>921</v>
      </c>
      <c r="M9344" s="25"/>
      <c r="O9344" s="25"/>
    </row>
    <row r="9345" ht="15.75" customHeight="1">
      <c r="A9345" s="25" t="str">
        <f>IFERROR(__xludf.DUMMYFUNCTION("IF(B9345="""","""",RIGHT(REGEXREPLACE(B9345&amp;"""",""[^0-9]"",""""),9))"),"")</f>
        <v/>
      </c>
      <c r="C9345" s="46"/>
      <c r="D9345" s="25"/>
      <c r="F9345" s="25"/>
      <c r="I9345" s="26" t="s">
        <v>921</v>
      </c>
      <c r="M9345" s="25"/>
      <c r="O9345" s="25"/>
    </row>
    <row r="9346" ht="15.75" customHeight="1">
      <c r="A9346" s="25" t="str">
        <f>IFERROR(__xludf.DUMMYFUNCTION("IF(B9346="""","""",RIGHT(REGEXREPLACE(B9346&amp;"""",""[^0-9]"",""""),9))"),"")</f>
        <v/>
      </c>
      <c r="C9346" s="46"/>
      <c r="D9346" s="25"/>
      <c r="F9346" s="25"/>
      <c r="I9346" s="26" t="s">
        <v>921</v>
      </c>
      <c r="M9346" s="25"/>
      <c r="O9346" s="25"/>
    </row>
    <row r="9347" ht="15.75" customHeight="1">
      <c r="A9347" s="25" t="str">
        <f>IFERROR(__xludf.DUMMYFUNCTION("IF(B9347="""","""",RIGHT(REGEXREPLACE(B9347&amp;"""",""[^0-9]"",""""),9))"),"")</f>
        <v/>
      </c>
      <c r="C9347" s="46"/>
      <c r="D9347" s="25"/>
      <c r="F9347" s="25"/>
      <c r="I9347" s="26" t="s">
        <v>921</v>
      </c>
      <c r="M9347" s="25"/>
      <c r="O9347" s="25"/>
    </row>
    <row r="9348" ht="15.75" customHeight="1">
      <c r="A9348" s="25" t="str">
        <f>IFERROR(__xludf.DUMMYFUNCTION("IF(B9348="""","""",RIGHT(REGEXREPLACE(B9348&amp;"""",""[^0-9]"",""""),9))"),"")</f>
        <v/>
      </c>
      <c r="C9348" s="46"/>
      <c r="D9348" s="25"/>
      <c r="F9348" s="25"/>
      <c r="I9348" s="26"/>
      <c r="M9348" s="25"/>
      <c r="O9348" s="25"/>
    </row>
    <row r="9349" ht="15.75" customHeight="1">
      <c r="A9349" s="25" t="str">
        <f>IFERROR(__xludf.DUMMYFUNCTION("IF(B9349="""","""",RIGHT(REGEXREPLACE(B9349&amp;"""",""[^0-9]"",""""),9))"),"")</f>
        <v/>
      </c>
      <c r="C9349" s="46"/>
      <c r="D9349" s="25"/>
      <c r="F9349" s="25"/>
      <c r="I9349" s="26"/>
      <c r="M9349" s="25"/>
      <c r="O9349" s="25"/>
    </row>
    <row r="9350" ht="15.75" customHeight="1">
      <c r="A9350" s="25" t="str">
        <f>IFERROR(__xludf.DUMMYFUNCTION("IF(B9350="""","""",RIGHT(REGEXREPLACE(B9350&amp;"""",""[^0-9]"",""""),9))"),"")</f>
        <v/>
      </c>
      <c r="C9350" s="46"/>
      <c r="D9350" s="25"/>
      <c r="F9350" s="25"/>
      <c r="I9350" s="26"/>
      <c r="M9350" s="25"/>
      <c r="O9350" s="25"/>
    </row>
    <row r="9351" ht="15.75" customHeight="1">
      <c r="A9351" s="25" t="str">
        <f>IFERROR(__xludf.DUMMYFUNCTION("IF(B9351="""","""",RIGHT(REGEXREPLACE(B9351&amp;"""",""[^0-9]"",""""),9))"),"")</f>
        <v/>
      </c>
      <c r="C9351" s="46"/>
      <c r="D9351" s="25"/>
      <c r="F9351" s="25"/>
      <c r="I9351" s="26"/>
      <c r="M9351" s="25"/>
      <c r="O9351" s="25"/>
    </row>
    <row r="9352" ht="15.75" customHeight="1">
      <c r="A9352" s="25" t="str">
        <f>IFERROR(__xludf.DUMMYFUNCTION("IF(B9352="""","""",RIGHT(REGEXREPLACE(B9352&amp;"""",""[^0-9]"",""""),9))"),"")</f>
        <v/>
      </c>
      <c r="C9352" s="46"/>
      <c r="D9352" s="25"/>
      <c r="F9352" s="25"/>
      <c r="I9352" s="26"/>
      <c r="M9352" s="25"/>
      <c r="O9352" s="25"/>
    </row>
    <row r="9353" ht="15.75" customHeight="1">
      <c r="A9353" s="25" t="str">
        <f>IFERROR(__xludf.DUMMYFUNCTION("IF(B9353="""","""",RIGHT(REGEXREPLACE(B9353&amp;"""",""[^0-9]"",""""),9))"),"")</f>
        <v/>
      </c>
      <c r="C9353" s="46"/>
      <c r="D9353" s="25"/>
      <c r="F9353" s="25"/>
      <c r="I9353" s="26"/>
      <c r="M9353" s="25"/>
      <c r="O9353" s="25"/>
    </row>
    <row r="9354" ht="15.75" customHeight="1">
      <c r="A9354" s="25" t="str">
        <f>IFERROR(__xludf.DUMMYFUNCTION("IF(B9354="""","""",RIGHT(REGEXREPLACE(B9354&amp;"""",""[^0-9]"",""""),9))"),"")</f>
        <v/>
      </c>
      <c r="C9354" s="46"/>
      <c r="D9354" s="25"/>
      <c r="F9354" s="25"/>
      <c r="I9354" s="26"/>
      <c r="M9354" s="25"/>
      <c r="O9354" s="25"/>
    </row>
    <row r="9355" ht="15.75" customHeight="1">
      <c r="A9355" s="25" t="str">
        <f>IFERROR(__xludf.DUMMYFUNCTION("IF(B9355="""","""",RIGHT(REGEXREPLACE(B9355&amp;"""",""[^0-9]"",""""),9))"),"")</f>
        <v/>
      </c>
      <c r="C9355" s="46"/>
      <c r="D9355" s="25"/>
      <c r="F9355" s="25"/>
      <c r="I9355" s="26"/>
      <c r="M9355" s="25"/>
      <c r="O9355" s="25"/>
    </row>
    <row r="9356" ht="15.75" customHeight="1">
      <c r="A9356" s="25" t="str">
        <f>IFERROR(__xludf.DUMMYFUNCTION("IF(B9356="""","""",RIGHT(REGEXREPLACE(B9356&amp;"""",""[^0-9]"",""""),9))"),"")</f>
        <v/>
      </c>
      <c r="C9356" s="46"/>
      <c r="D9356" s="25"/>
      <c r="F9356" s="25"/>
      <c r="I9356" s="26"/>
      <c r="M9356" s="25"/>
      <c r="O9356" s="25"/>
    </row>
    <row r="9357" ht="15.75" customHeight="1">
      <c r="A9357" s="25" t="str">
        <f>IFERROR(__xludf.DUMMYFUNCTION("IF(B9357="""","""",RIGHT(REGEXREPLACE(B9357&amp;"""",""[^0-9]"",""""),9))"),"")</f>
        <v/>
      </c>
      <c r="C9357" s="46"/>
      <c r="D9357" s="25"/>
      <c r="F9357" s="25"/>
      <c r="I9357" s="26"/>
      <c r="M9357" s="25"/>
      <c r="O9357" s="25"/>
    </row>
    <row r="9358" ht="15.75" customHeight="1">
      <c r="A9358" s="25" t="str">
        <f>IFERROR(__xludf.DUMMYFUNCTION("IF(B9358="""","""",RIGHT(REGEXREPLACE(B9358&amp;"""",""[^0-9]"",""""),9))"),"")</f>
        <v/>
      </c>
      <c r="C9358" s="46"/>
      <c r="D9358" s="25"/>
      <c r="F9358" s="25"/>
      <c r="I9358" s="26"/>
      <c r="M9358" s="25"/>
      <c r="O9358" s="25"/>
    </row>
    <row r="9359" ht="15.75" customHeight="1">
      <c r="A9359" s="25" t="str">
        <f>IFERROR(__xludf.DUMMYFUNCTION("IF(B9359="""","""",RIGHT(REGEXREPLACE(B9359&amp;"""",""[^0-9]"",""""),9))"),"")</f>
        <v/>
      </c>
      <c r="C9359" s="46"/>
      <c r="D9359" s="25"/>
      <c r="F9359" s="25"/>
      <c r="I9359" s="26"/>
      <c r="M9359" s="25"/>
      <c r="O9359" s="25"/>
    </row>
    <row r="9360" ht="15.75" customHeight="1">
      <c r="A9360" s="25" t="str">
        <f>IFERROR(__xludf.DUMMYFUNCTION("IF(B9360="""","""",RIGHT(REGEXREPLACE(B9360&amp;"""",""[^0-9]"",""""),9))"),"")</f>
        <v/>
      </c>
      <c r="C9360" s="46"/>
      <c r="D9360" s="25"/>
      <c r="F9360" s="25"/>
      <c r="I9360" s="26"/>
      <c r="M9360" s="25"/>
      <c r="O9360" s="25"/>
    </row>
    <row r="9361" ht="15.75" customHeight="1">
      <c r="A9361" s="25" t="str">
        <f>IFERROR(__xludf.DUMMYFUNCTION("IF(B9361="""","""",RIGHT(REGEXREPLACE(B9361&amp;"""",""[^0-9]"",""""),9))"),"")</f>
        <v/>
      </c>
      <c r="C9361" s="46"/>
      <c r="D9361" s="25"/>
      <c r="F9361" s="25"/>
      <c r="I9361" s="26"/>
      <c r="M9361" s="25"/>
      <c r="O9361" s="25"/>
    </row>
    <row r="9362" ht="15.75" customHeight="1">
      <c r="A9362" s="25" t="str">
        <f>IFERROR(__xludf.DUMMYFUNCTION("IF(B9362="""","""",RIGHT(REGEXREPLACE(B9362&amp;"""",""[^0-9]"",""""),9))"),"")</f>
        <v/>
      </c>
      <c r="C9362" s="46"/>
      <c r="D9362" s="25"/>
      <c r="F9362" s="25"/>
      <c r="I9362" s="26"/>
      <c r="M9362" s="25"/>
      <c r="O9362" s="25"/>
    </row>
    <row r="9363" ht="15.75" customHeight="1">
      <c r="A9363" s="25" t="str">
        <f>IFERROR(__xludf.DUMMYFUNCTION("IF(B9363="""","""",RIGHT(REGEXREPLACE(B9363&amp;"""",""[^0-9]"",""""),9))"),"")</f>
        <v/>
      </c>
      <c r="C9363" s="46"/>
      <c r="D9363" s="25"/>
      <c r="F9363" s="25"/>
      <c r="I9363" s="26"/>
      <c r="M9363" s="25"/>
      <c r="O9363" s="25"/>
    </row>
    <row r="9364" ht="15.75" customHeight="1">
      <c r="A9364" s="25" t="str">
        <f>IFERROR(__xludf.DUMMYFUNCTION("IF(B9364="""","""",RIGHT(REGEXREPLACE(B9364&amp;"""",""[^0-9]"",""""),9))"),"")</f>
        <v/>
      </c>
      <c r="C9364" s="46"/>
      <c r="D9364" s="25"/>
      <c r="F9364" s="25"/>
      <c r="I9364" s="26"/>
      <c r="M9364" s="25"/>
      <c r="O9364" s="25"/>
    </row>
    <row r="9365" ht="15.75" customHeight="1">
      <c r="A9365" s="25" t="str">
        <f>IFERROR(__xludf.DUMMYFUNCTION("IF(B9365="""","""",RIGHT(REGEXREPLACE(B9365&amp;"""",""[^0-9]"",""""),9))"),"")</f>
        <v/>
      </c>
      <c r="C9365" s="46"/>
      <c r="D9365" s="25"/>
      <c r="F9365" s="25"/>
      <c r="I9365" s="26"/>
      <c r="M9365" s="25"/>
      <c r="O9365" s="25"/>
    </row>
    <row r="9366" ht="15.75" customHeight="1">
      <c r="A9366" s="25" t="str">
        <f>IFERROR(__xludf.DUMMYFUNCTION("IF(B9366="""","""",RIGHT(REGEXREPLACE(B9366&amp;"""",""[^0-9]"",""""),9))"),"")</f>
        <v/>
      </c>
      <c r="C9366" s="46"/>
      <c r="D9366" s="25"/>
      <c r="F9366" s="25"/>
      <c r="I9366" s="26"/>
      <c r="M9366" s="25"/>
      <c r="O9366" s="25"/>
    </row>
    <row r="9367" ht="15.75" customHeight="1">
      <c r="A9367" s="25" t="str">
        <f>IFERROR(__xludf.DUMMYFUNCTION("IF(B9367="""","""",RIGHT(REGEXREPLACE(B9367&amp;"""",""[^0-9]"",""""),9))"),"")</f>
        <v/>
      </c>
      <c r="C9367" s="46"/>
      <c r="D9367" s="25"/>
      <c r="F9367" s="25"/>
      <c r="I9367" s="26"/>
      <c r="M9367" s="25"/>
      <c r="O9367" s="25"/>
    </row>
    <row r="9368" ht="15.75" customHeight="1">
      <c r="A9368" s="25" t="str">
        <f>IFERROR(__xludf.DUMMYFUNCTION("IF(B9368="""","""",RIGHT(REGEXREPLACE(B9368&amp;"""",""[^0-9]"",""""),9))"),"")</f>
        <v/>
      </c>
      <c r="C9368" s="46"/>
      <c r="D9368" s="25"/>
      <c r="F9368" s="25"/>
      <c r="I9368" s="26"/>
      <c r="M9368" s="25"/>
      <c r="O9368" s="25"/>
    </row>
    <row r="9369" ht="15.75" customHeight="1">
      <c r="A9369" s="25" t="str">
        <f>IFERROR(__xludf.DUMMYFUNCTION("IF(B9369="""","""",RIGHT(REGEXREPLACE(B9369&amp;"""",""[^0-9]"",""""),9))"),"")</f>
        <v/>
      </c>
      <c r="C9369" s="46"/>
      <c r="D9369" s="25"/>
      <c r="F9369" s="25"/>
      <c r="I9369" s="26"/>
      <c r="M9369" s="25"/>
      <c r="O9369" s="25"/>
    </row>
    <row r="9370" ht="15.75" customHeight="1">
      <c r="A9370" s="25" t="str">
        <f>IFERROR(__xludf.DUMMYFUNCTION("IF(B9370="""","""",RIGHT(REGEXREPLACE(B9370&amp;"""",""[^0-9]"",""""),9))"),"")</f>
        <v/>
      </c>
      <c r="C9370" s="46"/>
      <c r="D9370" s="25"/>
      <c r="F9370" s="25"/>
      <c r="I9370" s="26"/>
      <c r="M9370" s="25"/>
      <c r="O9370" s="25"/>
    </row>
    <row r="9371" ht="15.75" customHeight="1">
      <c r="A9371" s="25" t="str">
        <f>IFERROR(__xludf.DUMMYFUNCTION("IF(B9371="""","""",RIGHT(REGEXREPLACE(B9371&amp;"""",""[^0-9]"",""""),9))"),"")</f>
        <v/>
      </c>
      <c r="C9371" s="46"/>
      <c r="D9371" s="25"/>
      <c r="F9371" s="25"/>
      <c r="I9371" s="26"/>
      <c r="M9371" s="25"/>
      <c r="O9371" s="25"/>
    </row>
    <row r="9372" ht="15.75" customHeight="1">
      <c r="A9372" s="25" t="str">
        <f>IFERROR(__xludf.DUMMYFUNCTION("IF(B9372="""","""",RIGHT(REGEXREPLACE(B9372&amp;"""",""[^0-9]"",""""),9))"),"")</f>
        <v/>
      </c>
      <c r="C9372" s="46"/>
      <c r="D9372" s="25"/>
      <c r="F9372" s="25"/>
      <c r="I9372" s="26"/>
      <c r="M9372" s="25"/>
      <c r="O9372" s="25"/>
    </row>
    <row r="9373" ht="15.75" customHeight="1">
      <c r="A9373" s="25" t="str">
        <f>IFERROR(__xludf.DUMMYFUNCTION("IF(B9373="""","""",RIGHT(REGEXREPLACE(B9373&amp;"""",""[^0-9]"",""""),9))"),"")</f>
        <v/>
      </c>
      <c r="C9373" s="46"/>
      <c r="D9373" s="25"/>
      <c r="F9373" s="25"/>
      <c r="I9373" s="26"/>
      <c r="M9373" s="25"/>
      <c r="O9373" s="25"/>
    </row>
    <row r="9374" ht="15.75" customHeight="1">
      <c r="A9374" s="25" t="str">
        <f>IFERROR(__xludf.DUMMYFUNCTION("IF(B9374="""","""",RIGHT(REGEXREPLACE(B9374&amp;"""",""[^0-9]"",""""),9))"),"")</f>
        <v/>
      </c>
      <c r="C9374" s="46"/>
      <c r="D9374" s="25"/>
      <c r="F9374" s="25"/>
      <c r="I9374" s="26"/>
      <c r="M9374" s="25"/>
      <c r="O9374" s="25"/>
    </row>
    <row r="9375" ht="15.75" customHeight="1">
      <c r="A9375" s="25" t="str">
        <f>IFERROR(__xludf.DUMMYFUNCTION("IF(B9375="""","""",RIGHT(REGEXREPLACE(B9375&amp;"""",""[^0-9]"",""""),9))"),"")</f>
        <v/>
      </c>
      <c r="C9375" s="46"/>
      <c r="D9375" s="25"/>
      <c r="F9375" s="25"/>
      <c r="I9375" s="26"/>
      <c r="M9375" s="25"/>
      <c r="O9375" s="25"/>
    </row>
    <row r="9376" ht="15.75" customHeight="1">
      <c r="A9376" s="25" t="str">
        <f>IFERROR(__xludf.DUMMYFUNCTION("IF(B9376="""","""",RIGHT(REGEXREPLACE(B9376&amp;"""",""[^0-9]"",""""),9))"),"")</f>
        <v/>
      </c>
      <c r="C9376" s="46"/>
      <c r="D9376" s="25"/>
      <c r="F9376" s="25"/>
      <c r="I9376" s="26"/>
      <c r="M9376" s="25"/>
      <c r="O9376" s="25"/>
    </row>
    <row r="9377" ht="15.75" customHeight="1">
      <c r="A9377" s="25" t="str">
        <f>IFERROR(__xludf.DUMMYFUNCTION("IF(B9377="""","""",RIGHT(REGEXREPLACE(B9377&amp;"""",""[^0-9]"",""""),9))"),"")</f>
        <v/>
      </c>
      <c r="C9377" s="46"/>
      <c r="D9377" s="25"/>
      <c r="F9377" s="25"/>
      <c r="I9377" s="26"/>
      <c r="M9377" s="25"/>
      <c r="O9377" s="25"/>
    </row>
    <row r="9378" ht="15.75" customHeight="1">
      <c r="A9378" s="25" t="str">
        <f>IFERROR(__xludf.DUMMYFUNCTION("IF(B9378="""","""",RIGHT(REGEXREPLACE(B9378&amp;"""",""[^0-9]"",""""),9))"),"")</f>
        <v/>
      </c>
      <c r="C9378" s="46"/>
      <c r="D9378" s="25"/>
      <c r="F9378" s="25"/>
      <c r="I9378" s="26"/>
      <c r="M9378" s="25"/>
      <c r="O9378" s="25"/>
    </row>
    <row r="9379" ht="15.75" customHeight="1">
      <c r="A9379" s="25" t="str">
        <f>IFERROR(__xludf.DUMMYFUNCTION("IF(B9379="""","""",RIGHT(REGEXREPLACE(B9379&amp;"""",""[^0-9]"",""""),9))"),"")</f>
        <v/>
      </c>
      <c r="C9379" s="46"/>
      <c r="D9379" s="25"/>
      <c r="F9379" s="25"/>
      <c r="I9379" s="26"/>
      <c r="M9379" s="25"/>
      <c r="O9379" s="25"/>
    </row>
    <row r="9380" ht="15.75" customHeight="1">
      <c r="A9380" s="25" t="str">
        <f>IFERROR(__xludf.DUMMYFUNCTION("IF(B9380="""","""",RIGHT(REGEXREPLACE(B9380&amp;"""",""[^0-9]"",""""),9))"),"")</f>
        <v/>
      </c>
      <c r="C9380" s="46"/>
      <c r="D9380" s="25"/>
      <c r="F9380" s="25"/>
      <c r="I9380" s="26"/>
      <c r="M9380" s="25"/>
      <c r="O9380" s="25"/>
    </row>
    <row r="9381" ht="15.75" customHeight="1">
      <c r="A9381" s="25" t="str">
        <f>IFERROR(__xludf.DUMMYFUNCTION("IF(B9381="""","""",RIGHT(REGEXREPLACE(B9381&amp;"""",""[^0-9]"",""""),9))"),"")</f>
        <v/>
      </c>
      <c r="C9381" s="46"/>
      <c r="D9381" s="25"/>
      <c r="F9381" s="25"/>
      <c r="I9381" s="26"/>
      <c r="M9381" s="25"/>
      <c r="O9381" s="25"/>
    </row>
    <row r="9382" ht="15.75" customHeight="1">
      <c r="A9382" s="25" t="str">
        <f>IFERROR(__xludf.DUMMYFUNCTION("IF(B9382="""","""",RIGHT(REGEXREPLACE(B9382&amp;"""",""[^0-9]"",""""),9))"),"")</f>
        <v/>
      </c>
      <c r="C9382" s="46"/>
      <c r="D9382" s="25"/>
      <c r="F9382" s="25"/>
      <c r="I9382" s="26"/>
      <c r="M9382" s="25"/>
      <c r="O9382" s="25"/>
    </row>
    <row r="9383" ht="15.75" customHeight="1">
      <c r="A9383" s="25" t="str">
        <f>IFERROR(__xludf.DUMMYFUNCTION("IF(B9383="""","""",RIGHT(REGEXREPLACE(B9383&amp;"""",""[^0-9]"",""""),9))"),"")</f>
        <v/>
      </c>
      <c r="C9383" s="46"/>
      <c r="D9383" s="25"/>
      <c r="F9383" s="25"/>
      <c r="I9383" s="26"/>
      <c r="M9383" s="25"/>
      <c r="O9383" s="25"/>
    </row>
    <row r="9384" ht="15.75" customHeight="1">
      <c r="A9384" s="25" t="str">
        <f>IFERROR(__xludf.DUMMYFUNCTION("IF(B9384="""","""",RIGHT(REGEXREPLACE(B9384&amp;"""",""[^0-9]"",""""),9))"),"")</f>
        <v/>
      </c>
      <c r="C9384" s="46"/>
      <c r="D9384" s="25"/>
      <c r="F9384" s="25"/>
      <c r="I9384" s="26"/>
      <c r="M9384" s="25"/>
      <c r="O9384" s="25"/>
    </row>
    <row r="9385" ht="15.75" customHeight="1">
      <c r="A9385" s="25" t="str">
        <f>IFERROR(__xludf.DUMMYFUNCTION("IF(B9385="""","""",RIGHT(REGEXREPLACE(B9385&amp;"""",""[^0-9]"",""""),9))"),"")</f>
        <v/>
      </c>
      <c r="C9385" s="46"/>
      <c r="D9385" s="25"/>
      <c r="F9385" s="25"/>
      <c r="I9385" s="26"/>
      <c r="M9385" s="25"/>
      <c r="O9385" s="25"/>
    </row>
    <row r="9386" ht="15.75" customHeight="1">
      <c r="A9386" s="25" t="str">
        <f>IFERROR(__xludf.DUMMYFUNCTION("IF(B9386="""","""",RIGHT(REGEXREPLACE(B9386&amp;"""",""[^0-9]"",""""),9))"),"")</f>
        <v/>
      </c>
      <c r="C9386" s="46"/>
      <c r="D9386" s="25"/>
      <c r="F9386" s="25"/>
      <c r="I9386" s="26"/>
      <c r="M9386" s="25"/>
      <c r="O9386" s="25"/>
    </row>
    <row r="9387" ht="15.75" customHeight="1">
      <c r="A9387" s="25" t="str">
        <f>IFERROR(__xludf.DUMMYFUNCTION("IF(B9387="""","""",RIGHT(REGEXREPLACE(B9387&amp;"""",""[^0-9]"",""""),9))"),"")</f>
        <v/>
      </c>
      <c r="C9387" s="46"/>
      <c r="D9387" s="25"/>
      <c r="F9387" s="25"/>
      <c r="I9387" s="26"/>
      <c r="M9387" s="25"/>
      <c r="O9387" s="25"/>
    </row>
    <row r="9388" ht="15.75" customHeight="1">
      <c r="A9388" s="25" t="str">
        <f>IFERROR(__xludf.DUMMYFUNCTION("IF(B9388="""","""",RIGHT(REGEXREPLACE(B9388&amp;"""",""[^0-9]"",""""),9))"),"")</f>
        <v/>
      </c>
      <c r="C9388" s="46"/>
      <c r="D9388" s="25"/>
      <c r="F9388" s="25"/>
      <c r="I9388" s="26"/>
      <c r="M9388" s="25"/>
      <c r="O9388" s="25"/>
    </row>
    <row r="9389" ht="15.75" customHeight="1">
      <c r="A9389" s="25" t="str">
        <f>IFERROR(__xludf.DUMMYFUNCTION("IF(B9389="""","""",RIGHT(REGEXREPLACE(B9389&amp;"""",""[^0-9]"",""""),9))"),"")</f>
        <v/>
      </c>
      <c r="C9389" s="46"/>
      <c r="D9389" s="25"/>
      <c r="F9389" s="25"/>
      <c r="I9389" s="26"/>
      <c r="M9389" s="25"/>
      <c r="O9389" s="25"/>
    </row>
    <row r="9390" ht="15.75" customHeight="1">
      <c r="A9390" s="25" t="str">
        <f>IFERROR(__xludf.DUMMYFUNCTION("IF(B9390="""","""",RIGHT(REGEXREPLACE(B9390&amp;"""",""[^0-9]"",""""),9))"),"")</f>
        <v/>
      </c>
      <c r="C9390" s="46"/>
      <c r="D9390" s="25"/>
      <c r="F9390" s="25"/>
      <c r="I9390" s="26"/>
      <c r="M9390" s="25"/>
      <c r="O9390" s="25"/>
    </row>
    <row r="9391" ht="15.75" customHeight="1">
      <c r="A9391" s="25" t="str">
        <f>IFERROR(__xludf.DUMMYFUNCTION("IF(B9391="""","""",RIGHT(REGEXREPLACE(B9391&amp;"""",""[^0-9]"",""""),9))"),"")</f>
        <v/>
      </c>
      <c r="C9391" s="46"/>
      <c r="D9391" s="25"/>
      <c r="F9391" s="25"/>
      <c r="I9391" s="26"/>
      <c r="M9391" s="25"/>
      <c r="O9391" s="25"/>
    </row>
    <row r="9392" ht="15.75" customHeight="1">
      <c r="A9392" s="25" t="str">
        <f>IFERROR(__xludf.DUMMYFUNCTION("IF(B9392="""","""",RIGHT(REGEXREPLACE(B9392&amp;"""",""[^0-9]"",""""),9))"),"")</f>
        <v/>
      </c>
      <c r="C9392" s="46"/>
      <c r="D9392" s="25"/>
      <c r="F9392" s="25"/>
      <c r="I9392" s="26"/>
      <c r="M9392" s="25"/>
      <c r="O9392" s="25"/>
    </row>
    <row r="9393" ht="15.75" customHeight="1">
      <c r="A9393" s="25" t="str">
        <f>IFERROR(__xludf.DUMMYFUNCTION("IF(B9393="""","""",RIGHT(REGEXREPLACE(B9393&amp;"""",""[^0-9]"",""""),9))"),"")</f>
        <v/>
      </c>
      <c r="C9393" s="46"/>
      <c r="D9393" s="25"/>
      <c r="F9393" s="25"/>
      <c r="I9393" s="26"/>
      <c r="M9393" s="25"/>
      <c r="O9393" s="25"/>
    </row>
    <row r="9394" ht="15.75" customHeight="1">
      <c r="A9394" s="25" t="str">
        <f>IFERROR(__xludf.DUMMYFUNCTION("IF(B9394="""","""",RIGHT(REGEXREPLACE(B9394&amp;"""",""[^0-9]"",""""),9))"),"")</f>
        <v/>
      </c>
      <c r="C9394" s="46"/>
      <c r="D9394" s="25"/>
      <c r="F9394" s="25"/>
      <c r="I9394" s="26"/>
      <c r="M9394" s="25"/>
      <c r="O9394" s="25"/>
    </row>
    <row r="9395" ht="15.75" customHeight="1">
      <c r="A9395" s="25" t="str">
        <f>IFERROR(__xludf.DUMMYFUNCTION("IF(B9395="""","""",RIGHT(REGEXREPLACE(B9395&amp;"""",""[^0-9]"",""""),9))"),"")</f>
        <v/>
      </c>
      <c r="C9395" s="46"/>
      <c r="D9395" s="25"/>
      <c r="F9395" s="25"/>
      <c r="I9395" s="26"/>
      <c r="M9395" s="25"/>
      <c r="O9395" s="25"/>
    </row>
    <row r="9396" ht="15.75" customHeight="1">
      <c r="A9396" s="25" t="str">
        <f>IFERROR(__xludf.DUMMYFUNCTION("IF(B9396="""","""",RIGHT(REGEXREPLACE(B9396&amp;"""",""[^0-9]"",""""),9))"),"")</f>
        <v/>
      </c>
      <c r="C9396" s="46"/>
      <c r="D9396" s="25"/>
      <c r="F9396" s="25"/>
      <c r="I9396" s="26"/>
      <c r="M9396" s="25"/>
      <c r="O9396" s="25"/>
    </row>
    <row r="9397" ht="15.75" customHeight="1">
      <c r="A9397" s="25" t="str">
        <f>IFERROR(__xludf.DUMMYFUNCTION("IF(B9397="""","""",RIGHT(REGEXREPLACE(B9397&amp;"""",""[^0-9]"",""""),9))"),"")</f>
        <v/>
      </c>
      <c r="C9397" s="46"/>
      <c r="D9397" s="25"/>
      <c r="F9397" s="25"/>
      <c r="I9397" s="26"/>
      <c r="M9397" s="25"/>
      <c r="O9397" s="25"/>
    </row>
    <row r="9398" ht="15.75" customHeight="1">
      <c r="A9398" s="25" t="str">
        <f>IFERROR(__xludf.DUMMYFUNCTION("IF(B9398="""","""",RIGHT(REGEXREPLACE(B9398&amp;"""",""[^0-9]"",""""),9))"),"")</f>
        <v/>
      </c>
      <c r="C9398" s="46"/>
      <c r="D9398" s="25"/>
      <c r="F9398" s="25"/>
      <c r="I9398" s="26"/>
      <c r="M9398" s="25"/>
      <c r="O9398" s="25"/>
    </row>
    <row r="9399" ht="15.75" customHeight="1">
      <c r="A9399" s="25" t="str">
        <f>IFERROR(__xludf.DUMMYFUNCTION("IF(B9399="""","""",RIGHT(REGEXREPLACE(B9399&amp;"""",""[^0-9]"",""""),9))"),"")</f>
        <v/>
      </c>
      <c r="C9399" s="46"/>
      <c r="D9399" s="25"/>
      <c r="F9399" s="25"/>
      <c r="I9399" s="26"/>
      <c r="M9399" s="25"/>
      <c r="O9399" s="25"/>
    </row>
    <row r="9400" ht="15.75" customHeight="1">
      <c r="A9400" s="25" t="str">
        <f>IFERROR(__xludf.DUMMYFUNCTION("IF(B9400="""","""",RIGHT(REGEXREPLACE(B9400&amp;"""",""[^0-9]"",""""),9))"),"")</f>
        <v/>
      </c>
      <c r="C9400" s="46"/>
      <c r="D9400" s="25"/>
      <c r="F9400" s="25"/>
      <c r="I9400" s="26"/>
      <c r="M9400" s="25"/>
      <c r="O9400" s="25"/>
    </row>
    <row r="9401" ht="15.75" customHeight="1">
      <c r="A9401" s="25" t="str">
        <f>IFERROR(__xludf.DUMMYFUNCTION("IF(B9401="""","""",RIGHT(REGEXREPLACE(B9401&amp;"""",""[^0-9]"",""""),9))"),"")</f>
        <v/>
      </c>
      <c r="C9401" s="46"/>
      <c r="D9401" s="25"/>
      <c r="F9401" s="25"/>
      <c r="I9401" s="26"/>
      <c r="M9401" s="25"/>
      <c r="O9401" s="25"/>
    </row>
    <row r="9402" ht="15.75" customHeight="1">
      <c r="A9402" s="25" t="str">
        <f>IFERROR(__xludf.DUMMYFUNCTION("IF(B9402="""","""",RIGHT(REGEXREPLACE(B9402&amp;"""",""[^0-9]"",""""),9))"),"")</f>
        <v/>
      </c>
      <c r="C9402" s="46"/>
      <c r="D9402" s="25"/>
      <c r="F9402" s="25"/>
      <c r="I9402" s="26"/>
      <c r="M9402" s="25"/>
      <c r="O9402" s="25"/>
    </row>
    <row r="9403" ht="15.75" customHeight="1">
      <c r="A9403" s="25" t="str">
        <f>IFERROR(__xludf.DUMMYFUNCTION("IF(B9403="""","""",RIGHT(REGEXREPLACE(B9403&amp;"""",""[^0-9]"",""""),9))"),"")</f>
        <v/>
      </c>
      <c r="C9403" s="46"/>
      <c r="D9403" s="25"/>
      <c r="F9403" s="25"/>
      <c r="I9403" s="26"/>
      <c r="M9403" s="25"/>
      <c r="O9403" s="25"/>
    </row>
    <row r="9404" ht="15.75" customHeight="1">
      <c r="A9404" s="25" t="str">
        <f>IFERROR(__xludf.DUMMYFUNCTION("IF(B9404="""","""",RIGHT(REGEXREPLACE(B9404&amp;"""",""[^0-9]"",""""),9))"),"")</f>
        <v/>
      </c>
      <c r="C9404" s="46"/>
      <c r="D9404" s="25"/>
      <c r="F9404" s="25"/>
      <c r="I9404" s="26"/>
      <c r="M9404" s="25"/>
      <c r="O9404" s="25"/>
    </row>
    <row r="9405" ht="15.75" customHeight="1">
      <c r="A9405" s="25" t="str">
        <f>IFERROR(__xludf.DUMMYFUNCTION("IF(B9405="""","""",RIGHT(REGEXREPLACE(B9405&amp;"""",""[^0-9]"",""""),9))"),"")</f>
        <v/>
      </c>
      <c r="C9405" s="46"/>
      <c r="D9405" s="25"/>
      <c r="F9405" s="25"/>
      <c r="I9405" s="26"/>
      <c r="M9405" s="25"/>
      <c r="O9405" s="25"/>
    </row>
    <row r="9406" ht="15.75" customHeight="1">
      <c r="A9406" s="25" t="str">
        <f>IFERROR(__xludf.DUMMYFUNCTION("IF(B9406="""","""",RIGHT(REGEXREPLACE(B9406&amp;"""",""[^0-9]"",""""),9))"),"")</f>
        <v/>
      </c>
      <c r="C9406" s="46"/>
      <c r="D9406" s="25"/>
      <c r="F9406" s="25"/>
      <c r="I9406" s="26"/>
      <c r="M9406" s="25"/>
      <c r="O9406" s="25"/>
    </row>
    <row r="9407" ht="15.75" customHeight="1">
      <c r="A9407" s="25" t="str">
        <f>IFERROR(__xludf.DUMMYFUNCTION("IF(B9407="""","""",RIGHT(REGEXREPLACE(B9407&amp;"""",""[^0-9]"",""""),9))"),"")</f>
        <v/>
      </c>
      <c r="C9407" s="46"/>
      <c r="D9407" s="25"/>
      <c r="F9407" s="25"/>
      <c r="I9407" s="26"/>
      <c r="M9407" s="25"/>
      <c r="O9407" s="25"/>
    </row>
    <row r="9408" ht="15.75" customHeight="1">
      <c r="A9408" s="25" t="str">
        <f>IFERROR(__xludf.DUMMYFUNCTION("IF(B9408="""","""",RIGHT(REGEXREPLACE(B9408&amp;"""",""[^0-9]"",""""),9))"),"")</f>
        <v/>
      </c>
      <c r="C9408" s="46"/>
      <c r="D9408" s="25"/>
      <c r="F9408" s="25"/>
      <c r="I9408" s="26"/>
      <c r="M9408" s="25"/>
      <c r="O9408" s="25"/>
    </row>
    <row r="9409" ht="15.75" customHeight="1">
      <c r="A9409" s="25" t="str">
        <f>IFERROR(__xludf.DUMMYFUNCTION("IF(B9409="""","""",RIGHT(REGEXREPLACE(B9409&amp;"""",""[^0-9]"",""""),9))"),"")</f>
        <v/>
      </c>
      <c r="C9409" s="46"/>
      <c r="D9409" s="25"/>
      <c r="F9409" s="25"/>
      <c r="I9409" s="26"/>
      <c r="M9409" s="25"/>
      <c r="O9409" s="25"/>
    </row>
    <row r="9410" ht="15.75" customHeight="1">
      <c r="A9410" s="25" t="str">
        <f>IFERROR(__xludf.DUMMYFUNCTION("IF(B9410="""","""",RIGHT(REGEXREPLACE(B9410&amp;"""",""[^0-9]"",""""),9))"),"")</f>
        <v/>
      </c>
      <c r="C9410" s="46"/>
      <c r="D9410" s="25"/>
      <c r="F9410" s="25"/>
      <c r="I9410" s="26"/>
      <c r="M9410" s="25"/>
      <c r="O9410" s="25"/>
    </row>
    <row r="9411" ht="15.75" customHeight="1">
      <c r="A9411" s="25" t="str">
        <f>IFERROR(__xludf.DUMMYFUNCTION("IF(B9411="""","""",RIGHT(REGEXREPLACE(B9411&amp;"""",""[^0-9]"",""""),9))"),"")</f>
        <v/>
      </c>
      <c r="C9411" s="46"/>
      <c r="D9411" s="25"/>
      <c r="F9411" s="25"/>
      <c r="I9411" s="26"/>
      <c r="M9411" s="25"/>
      <c r="O9411" s="25"/>
    </row>
    <row r="9412" ht="15.75" customHeight="1">
      <c r="A9412" s="25" t="str">
        <f>IFERROR(__xludf.DUMMYFUNCTION("IF(B9412="""","""",RIGHT(REGEXREPLACE(B9412&amp;"""",""[^0-9]"",""""),9))"),"")</f>
        <v/>
      </c>
      <c r="C9412" s="46"/>
      <c r="D9412" s="25"/>
      <c r="F9412" s="25"/>
      <c r="I9412" s="26"/>
      <c r="M9412" s="25"/>
      <c r="O9412" s="25"/>
    </row>
    <row r="9413" ht="15.75" customHeight="1">
      <c r="A9413" s="25" t="str">
        <f>IFERROR(__xludf.DUMMYFUNCTION("IF(B9413="""","""",RIGHT(REGEXREPLACE(B9413&amp;"""",""[^0-9]"",""""),9))"),"")</f>
        <v/>
      </c>
      <c r="C9413" s="46"/>
      <c r="D9413" s="25"/>
      <c r="F9413" s="25"/>
      <c r="I9413" s="26"/>
      <c r="M9413" s="25"/>
      <c r="O9413" s="25"/>
    </row>
    <row r="9414" ht="15.75" customHeight="1">
      <c r="A9414" s="25" t="str">
        <f>IFERROR(__xludf.DUMMYFUNCTION("IF(B9414="""","""",RIGHT(REGEXREPLACE(B9414&amp;"""",""[^0-9]"",""""),9))"),"")</f>
        <v/>
      </c>
      <c r="C9414" s="46"/>
      <c r="D9414" s="25"/>
      <c r="F9414" s="25"/>
      <c r="I9414" s="26"/>
      <c r="M9414" s="25"/>
      <c r="O9414" s="25"/>
    </row>
    <row r="9415" ht="15.75" customHeight="1">
      <c r="A9415" s="25" t="str">
        <f>IFERROR(__xludf.DUMMYFUNCTION("IF(B9415="""","""",RIGHT(REGEXREPLACE(B9415&amp;"""",""[^0-9]"",""""),9))"),"")</f>
        <v/>
      </c>
      <c r="C9415" s="46"/>
      <c r="D9415" s="25"/>
      <c r="F9415" s="25"/>
      <c r="I9415" s="26"/>
      <c r="M9415" s="25"/>
      <c r="O9415" s="25"/>
    </row>
    <row r="9416" ht="15.75" customHeight="1">
      <c r="A9416" s="25" t="str">
        <f>IFERROR(__xludf.DUMMYFUNCTION("IF(B9416="""","""",RIGHT(REGEXREPLACE(B9416&amp;"""",""[^0-9]"",""""),9))"),"")</f>
        <v/>
      </c>
      <c r="C9416" s="46"/>
      <c r="D9416" s="25"/>
      <c r="F9416" s="25"/>
      <c r="I9416" s="26"/>
      <c r="M9416" s="25"/>
      <c r="O9416" s="25"/>
    </row>
    <row r="9417" ht="15.75" customHeight="1">
      <c r="A9417" s="25" t="str">
        <f>IFERROR(__xludf.DUMMYFUNCTION("IF(B9417="""","""",RIGHT(REGEXREPLACE(B9417&amp;"""",""[^0-9]"",""""),9))"),"")</f>
        <v/>
      </c>
      <c r="C9417" s="46"/>
      <c r="D9417" s="25"/>
      <c r="F9417" s="25"/>
      <c r="I9417" s="26"/>
      <c r="M9417" s="25"/>
      <c r="O9417" s="25"/>
    </row>
    <row r="9418" ht="15.75" customHeight="1">
      <c r="A9418" s="25" t="str">
        <f>IFERROR(__xludf.DUMMYFUNCTION("IF(B9418="""","""",RIGHT(REGEXREPLACE(B9418&amp;"""",""[^0-9]"",""""),9))"),"")</f>
        <v/>
      </c>
      <c r="C9418" s="46"/>
      <c r="D9418" s="25"/>
      <c r="F9418" s="25"/>
      <c r="I9418" s="26"/>
      <c r="M9418" s="25"/>
      <c r="O9418" s="25"/>
    </row>
    <row r="9419" ht="15.75" customHeight="1">
      <c r="A9419" s="25" t="str">
        <f>IFERROR(__xludf.DUMMYFUNCTION("IF(B9419="""","""",RIGHT(REGEXREPLACE(B9419&amp;"""",""[^0-9]"",""""),9))"),"")</f>
        <v/>
      </c>
      <c r="C9419" s="46"/>
      <c r="D9419" s="25"/>
      <c r="F9419" s="25"/>
      <c r="I9419" s="26"/>
      <c r="M9419" s="25"/>
      <c r="O9419" s="25"/>
    </row>
    <row r="9420" ht="15.75" customHeight="1">
      <c r="C9420" s="46"/>
      <c r="D9420" s="25"/>
      <c r="F9420" s="25"/>
      <c r="I9420" s="26"/>
      <c r="M9420" s="25"/>
      <c r="O9420" s="25"/>
    </row>
    <row r="9421" ht="15.75" customHeight="1">
      <c r="C9421" s="46"/>
      <c r="D9421" s="25"/>
      <c r="F9421" s="25"/>
      <c r="I9421" s="26"/>
      <c r="M9421" s="25"/>
      <c r="O9421" s="25"/>
    </row>
    <row r="9422" ht="15.75" customHeight="1">
      <c r="C9422" s="46"/>
      <c r="D9422" s="25"/>
      <c r="F9422" s="25"/>
      <c r="I9422" s="26"/>
      <c r="M9422" s="25"/>
      <c r="O9422" s="25"/>
    </row>
    <row r="9423" ht="15.75" customHeight="1">
      <c r="C9423" s="46"/>
      <c r="D9423" s="25"/>
      <c r="F9423" s="25"/>
      <c r="I9423" s="26"/>
      <c r="M9423" s="25"/>
      <c r="O9423" s="25"/>
    </row>
    <row r="9424" ht="15.75" customHeight="1">
      <c r="C9424" s="46"/>
      <c r="D9424" s="25"/>
      <c r="F9424" s="25"/>
      <c r="I9424" s="26"/>
      <c r="M9424" s="25"/>
      <c r="O9424" s="25"/>
    </row>
    <row r="9425" ht="15.75" customHeight="1">
      <c r="C9425" s="46"/>
      <c r="D9425" s="25"/>
      <c r="F9425" s="25"/>
      <c r="I9425" s="26"/>
      <c r="M9425" s="25"/>
      <c r="O9425" s="25"/>
    </row>
    <row r="9426" ht="15.75" customHeight="1">
      <c r="C9426" s="46"/>
      <c r="D9426" s="25"/>
      <c r="F9426" s="25"/>
      <c r="I9426" s="26"/>
      <c r="M9426" s="25"/>
      <c r="O9426" s="25"/>
    </row>
    <row r="9427" ht="15.75" customHeight="1">
      <c r="C9427" s="46"/>
      <c r="D9427" s="25"/>
      <c r="F9427" s="25"/>
      <c r="I9427" s="26"/>
      <c r="M9427" s="25"/>
      <c r="O9427" s="25"/>
    </row>
    <row r="9428" ht="15.75" customHeight="1">
      <c r="C9428" s="46"/>
      <c r="D9428" s="25"/>
      <c r="F9428" s="25"/>
      <c r="I9428" s="26"/>
      <c r="M9428" s="25"/>
      <c r="O9428" s="25"/>
    </row>
    <row r="9429" ht="15.75" customHeight="1">
      <c r="C9429" s="46"/>
      <c r="D9429" s="25"/>
      <c r="F9429" s="25"/>
      <c r="I9429" s="26"/>
      <c r="M9429" s="25"/>
      <c r="O9429" s="25"/>
    </row>
    <row r="9430" ht="15.75" customHeight="1">
      <c r="C9430" s="46"/>
      <c r="D9430" s="25"/>
      <c r="F9430" s="25"/>
      <c r="I9430" s="26"/>
      <c r="M9430" s="25"/>
      <c r="O9430" s="25"/>
    </row>
    <row r="9431" ht="15.75" customHeight="1">
      <c r="C9431" s="46"/>
      <c r="D9431" s="25"/>
      <c r="F9431" s="25"/>
      <c r="I9431" s="26"/>
      <c r="M9431" s="25"/>
      <c r="O9431" s="25"/>
    </row>
    <row r="9432" ht="15.75" customHeight="1">
      <c r="C9432" s="46"/>
      <c r="D9432" s="25"/>
      <c r="F9432" s="25"/>
      <c r="I9432" s="26"/>
      <c r="M9432" s="25"/>
      <c r="O9432" s="25"/>
    </row>
    <row r="9433" ht="15.75" customHeight="1">
      <c r="C9433" s="46"/>
      <c r="D9433" s="25"/>
      <c r="F9433" s="25"/>
      <c r="I9433" s="26"/>
      <c r="M9433" s="25"/>
      <c r="O9433" s="25"/>
    </row>
    <row r="9434" ht="15.75" customHeight="1">
      <c r="C9434" s="46"/>
      <c r="D9434" s="25"/>
      <c r="F9434" s="25"/>
      <c r="I9434" s="26"/>
      <c r="M9434" s="25"/>
      <c r="O9434" s="25"/>
    </row>
    <row r="9435" ht="15.75" customHeight="1">
      <c r="C9435" s="46"/>
      <c r="D9435" s="25"/>
      <c r="F9435" s="25"/>
      <c r="I9435" s="26"/>
      <c r="M9435" s="25"/>
      <c r="O9435" s="25"/>
    </row>
    <row r="9436" ht="15.75" customHeight="1">
      <c r="C9436" s="46"/>
      <c r="D9436" s="25"/>
      <c r="F9436" s="25"/>
      <c r="I9436" s="26"/>
      <c r="M9436" s="25"/>
      <c r="O9436" s="25"/>
    </row>
    <row r="9437" ht="15.75" customHeight="1">
      <c r="C9437" s="46"/>
      <c r="D9437" s="25"/>
      <c r="F9437" s="25"/>
      <c r="I9437" s="26"/>
      <c r="M9437" s="25"/>
      <c r="O9437" s="25"/>
    </row>
    <row r="9438" ht="15.75" customHeight="1">
      <c r="C9438" s="46"/>
      <c r="D9438" s="25"/>
      <c r="F9438" s="25"/>
      <c r="I9438" s="26"/>
      <c r="M9438" s="25"/>
      <c r="O9438" s="25"/>
    </row>
    <row r="9439" ht="15.75" customHeight="1">
      <c r="C9439" s="46"/>
      <c r="D9439" s="25"/>
      <c r="F9439" s="25"/>
      <c r="I9439" s="26"/>
      <c r="M9439" s="25"/>
      <c r="O9439" s="25"/>
    </row>
    <row r="9440" ht="15.75" customHeight="1">
      <c r="C9440" s="46"/>
      <c r="D9440" s="25"/>
      <c r="F9440" s="25"/>
      <c r="I9440" s="26"/>
      <c r="M9440" s="25"/>
      <c r="O9440" s="25"/>
    </row>
    <row r="9441" ht="15.75" customHeight="1">
      <c r="C9441" s="46"/>
      <c r="D9441" s="25"/>
      <c r="F9441" s="25"/>
      <c r="I9441" s="26"/>
      <c r="M9441" s="25"/>
      <c r="O9441" s="25"/>
    </row>
    <row r="9442" ht="15.75" customHeight="1">
      <c r="C9442" s="46"/>
      <c r="D9442" s="25"/>
      <c r="F9442" s="25"/>
      <c r="I9442" s="26"/>
      <c r="M9442" s="25"/>
      <c r="O9442" s="25"/>
    </row>
    <row r="9443" ht="15.75" customHeight="1">
      <c r="C9443" s="46"/>
      <c r="D9443" s="25"/>
      <c r="F9443" s="25"/>
      <c r="I9443" s="26"/>
      <c r="M9443" s="25"/>
      <c r="O9443" s="25"/>
    </row>
    <row r="9444" ht="15.75" customHeight="1">
      <c r="C9444" s="46"/>
      <c r="D9444" s="25"/>
      <c r="F9444" s="25"/>
      <c r="I9444" s="26"/>
      <c r="M9444" s="25"/>
      <c r="O9444" s="25"/>
    </row>
    <row r="9445" ht="15.75" customHeight="1">
      <c r="C9445" s="46"/>
      <c r="D9445" s="25"/>
      <c r="F9445" s="25"/>
      <c r="I9445" s="26"/>
      <c r="M9445" s="25"/>
      <c r="O9445" s="25"/>
    </row>
    <row r="9446" ht="15.75" customHeight="1">
      <c r="C9446" s="46"/>
      <c r="D9446" s="25"/>
      <c r="F9446" s="25"/>
      <c r="I9446" s="26"/>
      <c r="M9446" s="25"/>
      <c r="O9446" s="25"/>
    </row>
    <row r="9447" ht="15.75" customHeight="1">
      <c r="C9447" s="46"/>
      <c r="D9447" s="25"/>
      <c r="F9447" s="25"/>
      <c r="I9447" s="26"/>
      <c r="M9447" s="25"/>
      <c r="O9447" s="25"/>
    </row>
    <row r="9448" ht="15.75" customHeight="1">
      <c r="C9448" s="46"/>
      <c r="D9448" s="25"/>
      <c r="F9448" s="25"/>
      <c r="I9448" s="26"/>
      <c r="M9448" s="25"/>
      <c r="O9448" s="25"/>
    </row>
    <row r="9449" ht="15.75" customHeight="1">
      <c r="C9449" s="46"/>
      <c r="D9449" s="25"/>
      <c r="F9449" s="25"/>
      <c r="I9449" s="26"/>
      <c r="M9449" s="25"/>
      <c r="O9449" s="25"/>
    </row>
    <row r="9450" ht="15.75" customHeight="1">
      <c r="C9450" s="46"/>
      <c r="D9450" s="25"/>
      <c r="F9450" s="25"/>
      <c r="I9450" s="26"/>
      <c r="M9450" s="25"/>
      <c r="O9450" s="25"/>
    </row>
    <row r="9451" ht="15.75" customHeight="1">
      <c r="C9451" s="46"/>
      <c r="D9451" s="25"/>
      <c r="F9451" s="25"/>
      <c r="I9451" s="26"/>
      <c r="M9451" s="25"/>
      <c r="O9451" s="25"/>
    </row>
    <row r="9452" ht="15.75" customHeight="1">
      <c r="C9452" s="46"/>
      <c r="D9452" s="25"/>
      <c r="F9452" s="25"/>
      <c r="I9452" s="26"/>
      <c r="M9452" s="25"/>
      <c r="O9452" s="25"/>
    </row>
    <row r="9453" ht="15.75" customHeight="1">
      <c r="C9453" s="46"/>
      <c r="D9453" s="25"/>
      <c r="F9453" s="25"/>
      <c r="I9453" s="26"/>
      <c r="M9453" s="25"/>
      <c r="O9453" s="25"/>
    </row>
    <row r="9454" ht="15.75" customHeight="1">
      <c r="C9454" s="46"/>
      <c r="D9454" s="25"/>
      <c r="F9454" s="25"/>
      <c r="I9454" s="26"/>
      <c r="M9454" s="25"/>
      <c r="O9454" s="25"/>
    </row>
    <row r="9455" ht="15.75" customHeight="1">
      <c r="C9455" s="46"/>
      <c r="D9455" s="25"/>
      <c r="F9455" s="25"/>
      <c r="I9455" s="26"/>
      <c r="M9455" s="25"/>
      <c r="O9455" s="25"/>
    </row>
    <row r="9456" ht="15.75" customHeight="1">
      <c r="C9456" s="46"/>
      <c r="D9456" s="25"/>
      <c r="F9456" s="25"/>
      <c r="I9456" s="26"/>
      <c r="M9456" s="25"/>
      <c r="O9456" s="25"/>
    </row>
    <row r="9457" ht="15.75" customHeight="1">
      <c r="C9457" s="46"/>
      <c r="D9457" s="25"/>
      <c r="F9457" s="25"/>
      <c r="I9457" s="26"/>
      <c r="M9457" s="25"/>
      <c r="O9457" s="25"/>
    </row>
    <row r="9458" ht="15.75" customHeight="1">
      <c r="C9458" s="46"/>
      <c r="D9458" s="25"/>
      <c r="F9458" s="25"/>
      <c r="I9458" s="26"/>
      <c r="M9458" s="25"/>
      <c r="O9458" s="25"/>
    </row>
    <row r="9459" ht="15.75" customHeight="1">
      <c r="C9459" s="46"/>
      <c r="D9459" s="25"/>
      <c r="F9459" s="25"/>
      <c r="I9459" s="26"/>
      <c r="M9459" s="25"/>
      <c r="O9459" s="25"/>
    </row>
    <row r="9460" ht="15.75" customHeight="1">
      <c r="C9460" s="46"/>
      <c r="D9460" s="25"/>
      <c r="F9460" s="25"/>
      <c r="I9460" s="26"/>
      <c r="M9460" s="25"/>
      <c r="O9460" s="25"/>
    </row>
    <row r="9461" ht="15.75" customHeight="1">
      <c r="C9461" s="46"/>
      <c r="D9461" s="25"/>
      <c r="F9461" s="25"/>
      <c r="I9461" s="26"/>
      <c r="M9461" s="25"/>
      <c r="O9461" s="25"/>
    </row>
    <row r="9462" ht="15.75" customHeight="1">
      <c r="C9462" s="46"/>
      <c r="D9462" s="25"/>
      <c r="F9462" s="25"/>
      <c r="I9462" s="26"/>
      <c r="M9462" s="25"/>
      <c r="O9462" s="25"/>
    </row>
    <row r="9463" ht="15.75" customHeight="1">
      <c r="C9463" s="46"/>
      <c r="D9463" s="25"/>
      <c r="F9463" s="25"/>
      <c r="I9463" s="26"/>
      <c r="M9463" s="25"/>
      <c r="O9463" s="25"/>
    </row>
    <row r="9464" ht="15.75" customHeight="1">
      <c r="C9464" s="46"/>
      <c r="D9464" s="25"/>
      <c r="F9464" s="25"/>
      <c r="I9464" s="26"/>
      <c r="M9464" s="25"/>
      <c r="O9464" s="25"/>
    </row>
    <row r="9465" ht="15.75" customHeight="1">
      <c r="C9465" s="46"/>
      <c r="D9465" s="25"/>
      <c r="F9465" s="25"/>
      <c r="I9465" s="26"/>
      <c r="M9465" s="25"/>
      <c r="O9465" s="25"/>
    </row>
    <row r="9466" ht="15.75" customHeight="1">
      <c r="C9466" s="46"/>
      <c r="D9466" s="25"/>
      <c r="F9466" s="25"/>
      <c r="I9466" s="26"/>
      <c r="M9466" s="25"/>
      <c r="O9466" s="25"/>
    </row>
    <row r="9467" ht="15.75" customHeight="1">
      <c r="C9467" s="46"/>
      <c r="D9467" s="25"/>
      <c r="F9467" s="25"/>
      <c r="I9467" s="26"/>
      <c r="M9467" s="25"/>
      <c r="O9467" s="25"/>
    </row>
    <row r="9468" ht="15.75" customHeight="1">
      <c r="C9468" s="46"/>
      <c r="D9468" s="25"/>
      <c r="F9468" s="25"/>
      <c r="I9468" s="26"/>
      <c r="M9468" s="25"/>
      <c r="O9468" s="25"/>
    </row>
    <row r="9469" ht="15.75" customHeight="1">
      <c r="C9469" s="46"/>
      <c r="D9469" s="25"/>
      <c r="F9469" s="25"/>
      <c r="I9469" s="26"/>
      <c r="M9469" s="25"/>
      <c r="O9469" s="25"/>
    </row>
    <row r="9470" ht="15.75" customHeight="1">
      <c r="C9470" s="46"/>
      <c r="D9470" s="25"/>
      <c r="F9470" s="25"/>
      <c r="I9470" s="26"/>
      <c r="M9470" s="25"/>
      <c r="O9470" s="25"/>
    </row>
    <row r="9471" ht="15.75" customHeight="1">
      <c r="C9471" s="46"/>
      <c r="D9471" s="25"/>
      <c r="F9471" s="25"/>
      <c r="I9471" s="26"/>
      <c r="M9471" s="25"/>
      <c r="O9471" s="25"/>
    </row>
    <row r="9472" ht="15.75" customHeight="1">
      <c r="C9472" s="46"/>
      <c r="D9472" s="25"/>
      <c r="F9472" s="25"/>
      <c r="I9472" s="26"/>
      <c r="M9472" s="25"/>
      <c r="O9472" s="25"/>
    </row>
    <row r="9473" ht="15.75" customHeight="1">
      <c r="C9473" s="46"/>
      <c r="D9473" s="25"/>
      <c r="F9473" s="25"/>
      <c r="I9473" s="26"/>
      <c r="M9473" s="25"/>
      <c r="O9473" s="25"/>
    </row>
    <row r="9474" ht="15.75" customHeight="1">
      <c r="C9474" s="46"/>
      <c r="D9474" s="25"/>
      <c r="F9474" s="25"/>
      <c r="I9474" s="26"/>
      <c r="M9474" s="25"/>
      <c r="O9474" s="25"/>
    </row>
    <row r="9475" ht="15.75" customHeight="1">
      <c r="C9475" s="46"/>
      <c r="D9475" s="25"/>
      <c r="F9475" s="25"/>
      <c r="I9475" s="26"/>
      <c r="M9475" s="25"/>
      <c r="O9475" s="25"/>
    </row>
    <row r="9476" ht="15.75" customHeight="1">
      <c r="C9476" s="46"/>
      <c r="D9476" s="25"/>
      <c r="F9476" s="25"/>
      <c r="I9476" s="26"/>
      <c r="M9476" s="25"/>
      <c r="O9476" s="25"/>
    </row>
    <row r="9477" ht="15.75" customHeight="1">
      <c r="C9477" s="46"/>
      <c r="D9477" s="25"/>
      <c r="F9477" s="25"/>
      <c r="I9477" s="26"/>
      <c r="M9477" s="25"/>
      <c r="O9477" s="25"/>
    </row>
    <row r="9478" ht="15.75" customHeight="1">
      <c r="C9478" s="46"/>
      <c r="D9478" s="25"/>
      <c r="F9478" s="25"/>
      <c r="I9478" s="26"/>
      <c r="M9478" s="25"/>
      <c r="O9478" s="25"/>
    </row>
    <row r="9479" ht="15.75" customHeight="1">
      <c r="C9479" s="46"/>
      <c r="D9479" s="25"/>
      <c r="F9479" s="25"/>
      <c r="I9479" s="26"/>
      <c r="M9479" s="25"/>
      <c r="O9479" s="25"/>
    </row>
    <row r="9480" ht="15.75" customHeight="1">
      <c r="C9480" s="46"/>
      <c r="D9480" s="25"/>
      <c r="F9480" s="25"/>
      <c r="I9480" s="26"/>
      <c r="M9480" s="25"/>
      <c r="O9480" s="25"/>
    </row>
    <row r="9481" ht="15.75" customHeight="1">
      <c r="C9481" s="46"/>
      <c r="D9481" s="25"/>
      <c r="F9481" s="25"/>
      <c r="I9481" s="26"/>
      <c r="M9481" s="25"/>
      <c r="O9481" s="25"/>
    </row>
    <row r="9482" ht="15.75" customHeight="1">
      <c r="C9482" s="46"/>
      <c r="D9482" s="25"/>
      <c r="F9482" s="25"/>
      <c r="I9482" s="26"/>
      <c r="M9482" s="25"/>
      <c r="O9482" s="25"/>
    </row>
    <row r="9483" ht="15.75" customHeight="1">
      <c r="C9483" s="46"/>
      <c r="D9483" s="25"/>
      <c r="F9483" s="25"/>
      <c r="I9483" s="26"/>
      <c r="M9483" s="25"/>
      <c r="O9483" s="25"/>
    </row>
    <row r="9484" ht="15.75" customHeight="1">
      <c r="C9484" s="46"/>
      <c r="D9484" s="25"/>
      <c r="F9484" s="25"/>
      <c r="I9484" s="26"/>
      <c r="M9484" s="25"/>
      <c r="O9484" s="25"/>
    </row>
    <row r="9485" ht="15.75" customHeight="1">
      <c r="C9485" s="46"/>
      <c r="D9485" s="25"/>
      <c r="F9485" s="25"/>
      <c r="I9485" s="26"/>
      <c r="M9485" s="25"/>
      <c r="O9485" s="25"/>
    </row>
    <row r="9486" ht="15.75" customHeight="1">
      <c r="C9486" s="46"/>
      <c r="D9486" s="25"/>
      <c r="F9486" s="25"/>
      <c r="I9486" s="26"/>
      <c r="M9486" s="25"/>
      <c r="O9486" s="25"/>
    </row>
    <row r="9487" ht="15.75" customHeight="1">
      <c r="C9487" s="46"/>
      <c r="D9487" s="25"/>
      <c r="F9487" s="25"/>
      <c r="I9487" s="26"/>
      <c r="M9487" s="25"/>
      <c r="O9487" s="25"/>
    </row>
    <row r="9488" ht="15.75" customHeight="1">
      <c r="C9488" s="46"/>
      <c r="D9488" s="25"/>
      <c r="F9488" s="25"/>
      <c r="I9488" s="26"/>
      <c r="M9488" s="25"/>
      <c r="O9488" s="25"/>
    </row>
    <row r="9489" ht="15.75" customHeight="1">
      <c r="C9489" s="46"/>
      <c r="D9489" s="25"/>
      <c r="F9489" s="25"/>
      <c r="I9489" s="26"/>
      <c r="M9489" s="25"/>
      <c r="O9489" s="25"/>
    </row>
    <row r="9490" ht="15.75" customHeight="1">
      <c r="C9490" s="46"/>
      <c r="D9490" s="25"/>
      <c r="F9490" s="25"/>
      <c r="I9490" s="26"/>
      <c r="M9490" s="25"/>
      <c r="O9490" s="25"/>
    </row>
    <row r="9491" ht="15.75" customHeight="1">
      <c r="C9491" s="46"/>
      <c r="D9491" s="25"/>
      <c r="F9491" s="25"/>
      <c r="I9491" s="26"/>
      <c r="M9491" s="25"/>
      <c r="O9491" s="25"/>
    </row>
    <row r="9492" ht="15.75" customHeight="1">
      <c r="C9492" s="46"/>
      <c r="D9492" s="25"/>
      <c r="F9492" s="25"/>
      <c r="I9492" s="26"/>
      <c r="M9492" s="25"/>
      <c r="O9492" s="25"/>
    </row>
    <row r="9493" ht="15.75" customHeight="1">
      <c r="C9493" s="46"/>
      <c r="D9493" s="25"/>
      <c r="F9493" s="25"/>
      <c r="I9493" s="26"/>
      <c r="M9493" s="25"/>
      <c r="O9493" s="25"/>
    </row>
    <row r="9494" ht="15.75" customHeight="1">
      <c r="C9494" s="46"/>
      <c r="D9494" s="25"/>
      <c r="F9494" s="25"/>
      <c r="I9494" s="26"/>
      <c r="M9494" s="25"/>
      <c r="O9494" s="25"/>
    </row>
    <row r="9495" ht="15.75" customHeight="1">
      <c r="C9495" s="46"/>
      <c r="D9495" s="25"/>
      <c r="F9495" s="25"/>
      <c r="I9495" s="26"/>
      <c r="M9495" s="25"/>
      <c r="O9495" s="25"/>
    </row>
    <row r="9496" ht="15.75" customHeight="1">
      <c r="C9496" s="46"/>
      <c r="D9496" s="25"/>
      <c r="F9496" s="25"/>
      <c r="I9496" s="26"/>
      <c r="M9496" s="25"/>
      <c r="O9496" s="25"/>
    </row>
    <row r="9497" ht="15.75" customHeight="1">
      <c r="C9497" s="46"/>
      <c r="D9497" s="25"/>
      <c r="F9497" s="25"/>
      <c r="I9497" s="26"/>
      <c r="M9497" s="25"/>
      <c r="O9497" s="25"/>
    </row>
    <row r="9498" ht="15.75" customHeight="1">
      <c r="C9498" s="46"/>
      <c r="D9498" s="25"/>
      <c r="F9498" s="25"/>
      <c r="I9498" s="26"/>
      <c r="M9498" s="25"/>
      <c r="O9498" s="25"/>
    </row>
    <row r="9499" ht="15.75" customHeight="1">
      <c r="C9499" s="46"/>
      <c r="D9499" s="25"/>
      <c r="F9499" s="25"/>
      <c r="I9499" s="26"/>
      <c r="M9499" s="25"/>
      <c r="O9499" s="25"/>
    </row>
    <row r="9500" ht="15.75" customHeight="1">
      <c r="C9500" s="46"/>
      <c r="D9500" s="25"/>
      <c r="F9500" s="25"/>
      <c r="I9500" s="26"/>
      <c r="M9500" s="25"/>
      <c r="O9500" s="25"/>
    </row>
    <row r="9501" ht="15.75" customHeight="1">
      <c r="C9501" s="46"/>
      <c r="D9501" s="25"/>
      <c r="F9501" s="25"/>
      <c r="I9501" s="26"/>
      <c r="M9501" s="25"/>
      <c r="O9501" s="25"/>
    </row>
    <row r="9502" ht="15.75" customHeight="1">
      <c r="C9502" s="46"/>
      <c r="D9502" s="25"/>
      <c r="F9502" s="25"/>
      <c r="I9502" s="26"/>
      <c r="M9502" s="25"/>
      <c r="O9502" s="25"/>
    </row>
    <row r="9503" ht="15.75" customHeight="1">
      <c r="C9503" s="46"/>
      <c r="D9503" s="25"/>
      <c r="F9503" s="25"/>
      <c r="I9503" s="26"/>
      <c r="M9503" s="25"/>
      <c r="O9503" s="25"/>
    </row>
    <row r="9504" ht="15.75" customHeight="1">
      <c r="C9504" s="46"/>
      <c r="D9504" s="25"/>
      <c r="F9504" s="25"/>
      <c r="I9504" s="26"/>
      <c r="M9504" s="25"/>
      <c r="O9504" s="25"/>
    </row>
    <row r="9505" ht="15.75" customHeight="1">
      <c r="C9505" s="46"/>
      <c r="D9505" s="25"/>
      <c r="F9505" s="25"/>
      <c r="I9505" s="26"/>
      <c r="M9505" s="25"/>
      <c r="O9505" s="25"/>
    </row>
    <row r="9506" ht="15.75" customHeight="1">
      <c r="C9506" s="46"/>
      <c r="D9506" s="25"/>
      <c r="F9506" s="25"/>
      <c r="I9506" s="26"/>
      <c r="M9506" s="25"/>
      <c r="O9506" s="25"/>
    </row>
    <row r="9507" ht="15.75" customHeight="1">
      <c r="C9507" s="46"/>
      <c r="D9507" s="25"/>
      <c r="F9507" s="25"/>
      <c r="I9507" s="26"/>
      <c r="M9507" s="25"/>
      <c r="O9507" s="25"/>
    </row>
    <row r="9508" ht="15.75" customHeight="1">
      <c r="C9508" s="46"/>
      <c r="D9508" s="25"/>
      <c r="F9508" s="25"/>
      <c r="I9508" s="26"/>
      <c r="M9508" s="25"/>
      <c r="O9508" s="25"/>
    </row>
    <row r="9509" ht="15.75" customHeight="1">
      <c r="C9509" s="46"/>
      <c r="D9509" s="25"/>
      <c r="F9509" s="25"/>
      <c r="I9509" s="26"/>
      <c r="M9509" s="25"/>
      <c r="O9509" s="25"/>
    </row>
    <row r="9510" ht="15.75" customHeight="1">
      <c r="C9510" s="46"/>
      <c r="D9510" s="25"/>
      <c r="F9510" s="25"/>
      <c r="I9510" s="26"/>
      <c r="M9510" s="25"/>
      <c r="O9510" s="25"/>
    </row>
    <row r="9511" ht="15.75" customHeight="1">
      <c r="C9511" s="46"/>
      <c r="D9511" s="25"/>
      <c r="F9511" s="25"/>
      <c r="I9511" s="26"/>
      <c r="M9511" s="25"/>
      <c r="O9511" s="25"/>
    </row>
    <row r="9512" ht="15.75" customHeight="1">
      <c r="C9512" s="46"/>
      <c r="D9512" s="25"/>
      <c r="F9512" s="25"/>
      <c r="I9512" s="26"/>
      <c r="M9512" s="25"/>
      <c r="O9512" s="25"/>
    </row>
    <row r="9513" ht="15.75" customHeight="1">
      <c r="C9513" s="46"/>
      <c r="D9513" s="25"/>
      <c r="F9513" s="25"/>
      <c r="I9513" s="26"/>
      <c r="M9513" s="25"/>
      <c r="O9513" s="25"/>
    </row>
    <row r="9514" ht="15.75" customHeight="1">
      <c r="C9514" s="46"/>
      <c r="D9514" s="25"/>
      <c r="F9514" s="25"/>
      <c r="I9514" s="26"/>
      <c r="M9514" s="25"/>
      <c r="O9514" s="25"/>
    </row>
    <row r="9515" ht="15.75" customHeight="1">
      <c r="C9515" s="46"/>
      <c r="D9515" s="25"/>
      <c r="F9515" s="25"/>
      <c r="I9515" s="26"/>
      <c r="M9515" s="25"/>
      <c r="O9515" s="25"/>
    </row>
    <row r="9516" ht="15.75" customHeight="1">
      <c r="C9516" s="46"/>
      <c r="D9516" s="25"/>
      <c r="F9516" s="25"/>
      <c r="I9516" s="26"/>
      <c r="M9516" s="25"/>
      <c r="O9516" s="25"/>
    </row>
    <row r="9517" ht="15.75" customHeight="1">
      <c r="C9517" s="46"/>
      <c r="D9517" s="25"/>
      <c r="F9517" s="25"/>
      <c r="I9517" s="26"/>
      <c r="M9517" s="25"/>
      <c r="O9517" s="25"/>
    </row>
    <row r="9518" ht="15.75" customHeight="1">
      <c r="C9518" s="46"/>
      <c r="D9518" s="25"/>
      <c r="F9518" s="25"/>
      <c r="I9518" s="26"/>
      <c r="M9518" s="25"/>
      <c r="O9518" s="25"/>
    </row>
    <row r="9519" ht="15.75" customHeight="1">
      <c r="C9519" s="46"/>
      <c r="D9519" s="25"/>
      <c r="F9519" s="25"/>
      <c r="I9519" s="26"/>
      <c r="M9519" s="25"/>
      <c r="O9519" s="25"/>
    </row>
    <row r="9520" ht="15.75" customHeight="1">
      <c r="C9520" s="46"/>
      <c r="D9520" s="25"/>
      <c r="F9520" s="25"/>
      <c r="I9520" s="26"/>
      <c r="M9520" s="25"/>
      <c r="O9520" s="25"/>
    </row>
    <row r="9521" ht="15.75" customHeight="1">
      <c r="C9521" s="46"/>
      <c r="D9521" s="25"/>
      <c r="F9521" s="25"/>
      <c r="I9521" s="26"/>
      <c r="M9521" s="25"/>
      <c r="O9521" s="25"/>
    </row>
    <row r="9522" ht="15.75" customHeight="1">
      <c r="C9522" s="46"/>
      <c r="D9522" s="25"/>
      <c r="F9522" s="25"/>
      <c r="I9522" s="26"/>
      <c r="M9522" s="25"/>
      <c r="O9522" s="25"/>
    </row>
    <row r="9523" ht="15.75" customHeight="1">
      <c r="C9523" s="46"/>
      <c r="D9523" s="25"/>
      <c r="F9523" s="25"/>
      <c r="I9523" s="26"/>
      <c r="M9523" s="25"/>
      <c r="O9523" s="25"/>
    </row>
    <row r="9524" ht="15.75" customHeight="1">
      <c r="C9524" s="46"/>
      <c r="D9524" s="25"/>
      <c r="F9524" s="25"/>
      <c r="I9524" s="26"/>
      <c r="M9524" s="25"/>
      <c r="O9524" s="25"/>
    </row>
    <row r="9525" ht="15.75" customHeight="1">
      <c r="C9525" s="46"/>
      <c r="D9525" s="25"/>
      <c r="F9525" s="25"/>
      <c r="I9525" s="26"/>
      <c r="M9525" s="25"/>
      <c r="O9525" s="25"/>
    </row>
    <row r="9526" ht="15.75" customHeight="1">
      <c r="C9526" s="46"/>
      <c r="D9526" s="25"/>
      <c r="F9526" s="25"/>
      <c r="I9526" s="26"/>
      <c r="M9526" s="25"/>
      <c r="O9526" s="25"/>
    </row>
    <row r="9527" ht="15.75" customHeight="1">
      <c r="C9527" s="46"/>
      <c r="D9527" s="25"/>
      <c r="F9527" s="25"/>
      <c r="I9527" s="26"/>
      <c r="M9527" s="25"/>
      <c r="O9527" s="25"/>
    </row>
    <row r="9528" ht="15.75" customHeight="1">
      <c r="C9528" s="46"/>
      <c r="D9528" s="25"/>
      <c r="F9528" s="25"/>
      <c r="I9528" s="26"/>
      <c r="M9528" s="25"/>
      <c r="O9528" s="25"/>
    </row>
    <row r="9529" ht="15.75" customHeight="1">
      <c r="C9529" s="46"/>
      <c r="D9529" s="25"/>
      <c r="F9529" s="25"/>
      <c r="I9529" s="26"/>
      <c r="M9529" s="25"/>
      <c r="O9529" s="25"/>
    </row>
    <row r="9530" ht="15.75" customHeight="1">
      <c r="C9530" s="46"/>
      <c r="D9530" s="25"/>
      <c r="F9530" s="25"/>
      <c r="I9530" s="26"/>
      <c r="M9530" s="25"/>
      <c r="O9530" s="25"/>
    </row>
    <row r="9531" ht="15.75" customHeight="1">
      <c r="C9531" s="46"/>
      <c r="D9531" s="25"/>
      <c r="F9531" s="25"/>
      <c r="I9531" s="26"/>
      <c r="M9531" s="25"/>
      <c r="O9531" s="25"/>
    </row>
    <row r="9532" ht="15.75" customHeight="1">
      <c r="C9532" s="46"/>
      <c r="D9532" s="25"/>
      <c r="F9532" s="25"/>
      <c r="I9532" s="26"/>
      <c r="M9532" s="25"/>
      <c r="O9532" s="25"/>
    </row>
    <row r="9533" ht="15.75" customHeight="1">
      <c r="C9533" s="46"/>
      <c r="D9533" s="25"/>
      <c r="F9533" s="25"/>
      <c r="I9533" s="26"/>
      <c r="M9533" s="25"/>
      <c r="O9533" s="25"/>
    </row>
    <row r="9534" ht="15.75" customHeight="1">
      <c r="C9534" s="46"/>
      <c r="D9534" s="25"/>
      <c r="F9534" s="25"/>
      <c r="I9534" s="26"/>
      <c r="M9534" s="25"/>
      <c r="O9534" s="25"/>
    </row>
    <row r="9535" ht="15.75" customHeight="1">
      <c r="C9535" s="46"/>
      <c r="D9535" s="25"/>
      <c r="F9535" s="25"/>
      <c r="I9535" s="26"/>
      <c r="M9535" s="25"/>
      <c r="O9535" s="25"/>
    </row>
    <row r="9536" ht="15.75" customHeight="1">
      <c r="C9536" s="46"/>
      <c r="D9536" s="25"/>
      <c r="F9536" s="25"/>
      <c r="I9536" s="26"/>
      <c r="M9536" s="25"/>
      <c r="O9536" s="25"/>
    </row>
    <row r="9537" ht="15.75" customHeight="1">
      <c r="C9537" s="46"/>
      <c r="D9537" s="25"/>
      <c r="F9537" s="25"/>
      <c r="I9537" s="26"/>
      <c r="M9537" s="25"/>
      <c r="O9537" s="25"/>
    </row>
    <row r="9538" ht="15.75" customHeight="1">
      <c r="C9538" s="46"/>
      <c r="D9538" s="25"/>
      <c r="F9538" s="25"/>
      <c r="I9538" s="26"/>
      <c r="M9538" s="25"/>
      <c r="O9538" s="25"/>
    </row>
    <row r="9539" ht="15.75" customHeight="1">
      <c r="C9539" s="46"/>
      <c r="D9539" s="25"/>
      <c r="F9539" s="25"/>
      <c r="I9539" s="26"/>
      <c r="M9539" s="25"/>
      <c r="O9539" s="25"/>
    </row>
    <row r="9540" ht="15.75" customHeight="1">
      <c r="C9540" s="46"/>
      <c r="D9540" s="25"/>
      <c r="F9540" s="25"/>
      <c r="I9540" s="26"/>
      <c r="M9540" s="25"/>
      <c r="O9540" s="25"/>
    </row>
    <row r="9541" ht="15.75" customHeight="1">
      <c r="C9541" s="46"/>
      <c r="D9541" s="25"/>
      <c r="F9541" s="25"/>
      <c r="I9541" s="26"/>
      <c r="M9541" s="25"/>
      <c r="O9541" s="25"/>
    </row>
    <row r="9542" ht="15.75" customHeight="1">
      <c r="C9542" s="46"/>
      <c r="D9542" s="25"/>
      <c r="F9542" s="25"/>
      <c r="I9542" s="26"/>
      <c r="M9542" s="25"/>
      <c r="O9542" s="25"/>
    </row>
    <row r="9543" ht="15.75" customHeight="1">
      <c r="C9543" s="46"/>
      <c r="D9543" s="25"/>
      <c r="F9543" s="25"/>
      <c r="I9543" s="26"/>
      <c r="M9543" s="25"/>
      <c r="O9543" s="25"/>
    </row>
    <row r="9544" ht="15.75" customHeight="1">
      <c r="C9544" s="46"/>
      <c r="D9544" s="25"/>
      <c r="F9544" s="25"/>
      <c r="I9544" s="26"/>
      <c r="M9544" s="25"/>
      <c r="O9544" s="25"/>
    </row>
    <row r="9545" ht="15.75" customHeight="1">
      <c r="C9545" s="46"/>
      <c r="D9545" s="25"/>
      <c r="F9545" s="25"/>
      <c r="I9545" s="26"/>
      <c r="M9545" s="25"/>
      <c r="O9545" s="25"/>
    </row>
    <row r="9546" ht="15.75" customHeight="1">
      <c r="C9546" s="46"/>
      <c r="D9546" s="25"/>
      <c r="F9546" s="25"/>
      <c r="I9546" s="26"/>
      <c r="M9546" s="25"/>
      <c r="O9546" s="25"/>
    </row>
    <row r="9547" ht="15.75" customHeight="1">
      <c r="C9547" s="46"/>
      <c r="D9547" s="25"/>
      <c r="F9547" s="25"/>
      <c r="I9547" s="26"/>
      <c r="M9547" s="25"/>
      <c r="O9547" s="25"/>
    </row>
    <row r="9548" ht="15.75" customHeight="1">
      <c r="C9548" s="46"/>
      <c r="D9548" s="25"/>
      <c r="F9548" s="25"/>
      <c r="I9548" s="26"/>
      <c r="M9548" s="25"/>
      <c r="O9548" s="25"/>
    </row>
    <row r="9549" ht="15.75" customHeight="1">
      <c r="C9549" s="46"/>
      <c r="D9549" s="25"/>
      <c r="F9549" s="25"/>
      <c r="I9549" s="26"/>
      <c r="M9549" s="25"/>
      <c r="O9549" s="25"/>
    </row>
    <row r="9550" ht="15.75" customHeight="1">
      <c r="C9550" s="46"/>
      <c r="D9550" s="25"/>
      <c r="F9550" s="25"/>
      <c r="I9550" s="26"/>
      <c r="M9550" s="25"/>
      <c r="O9550" s="25"/>
    </row>
    <row r="9551" ht="15.75" customHeight="1">
      <c r="C9551" s="46"/>
      <c r="D9551" s="25"/>
      <c r="F9551" s="25"/>
      <c r="I9551" s="26"/>
      <c r="M9551" s="25"/>
      <c r="O9551" s="25"/>
    </row>
    <row r="9552" ht="15.75" customHeight="1">
      <c r="C9552" s="46"/>
      <c r="D9552" s="25"/>
      <c r="F9552" s="25"/>
      <c r="I9552" s="26"/>
      <c r="M9552" s="25"/>
      <c r="O9552" s="25"/>
    </row>
    <row r="9553" ht="15.75" customHeight="1">
      <c r="C9553" s="46"/>
      <c r="D9553" s="25"/>
      <c r="F9553" s="25"/>
      <c r="I9553" s="26"/>
      <c r="M9553" s="25"/>
      <c r="O9553" s="25"/>
    </row>
    <row r="9554" ht="15.75" customHeight="1">
      <c r="C9554" s="46"/>
      <c r="D9554" s="25"/>
      <c r="F9554" s="25"/>
      <c r="I9554" s="26"/>
      <c r="M9554" s="25"/>
      <c r="O9554" s="25"/>
    </row>
    <row r="9555" ht="15.75" customHeight="1">
      <c r="C9555" s="46"/>
      <c r="D9555" s="25"/>
      <c r="F9555" s="25"/>
      <c r="I9555" s="26"/>
      <c r="M9555" s="25"/>
      <c r="O9555" s="25"/>
    </row>
    <row r="9556" ht="15.75" customHeight="1">
      <c r="C9556" s="46"/>
      <c r="D9556" s="25"/>
      <c r="F9556" s="25"/>
      <c r="I9556" s="26"/>
      <c r="M9556" s="25"/>
      <c r="O9556" s="25"/>
    </row>
    <row r="9557" ht="15.75" customHeight="1">
      <c r="C9557" s="46"/>
      <c r="D9557" s="25"/>
      <c r="F9557" s="25"/>
      <c r="I9557" s="26"/>
      <c r="M9557" s="25"/>
      <c r="O9557" s="25"/>
    </row>
    <row r="9558" ht="15.75" customHeight="1">
      <c r="C9558" s="46"/>
      <c r="D9558" s="25"/>
      <c r="F9558" s="25"/>
      <c r="I9558" s="26"/>
      <c r="M9558" s="25"/>
      <c r="O9558" s="25"/>
    </row>
    <row r="9559" ht="15.75" customHeight="1">
      <c r="C9559" s="46"/>
      <c r="D9559" s="25"/>
      <c r="F9559" s="25"/>
      <c r="I9559" s="26"/>
      <c r="M9559" s="25"/>
      <c r="O9559" s="25"/>
    </row>
    <row r="9560" ht="15.75" customHeight="1">
      <c r="C9560" s="46"/>
      <c r="D9560" s="25"/>
      <c r="F9560" s="25"/>
      <c r="I9560" s="26"/>
      <c r="M9560" s="25"/>
      <c r="O9560" s="25"/>
    </row>
    <row r="9561" ht="15.75" customHeight="1">
      <c r="C9561" s="46"/>
      <c r="D9561" s="25"/>
      <c r="F9561" s="25"/>
      <c r="I9561" s="26"/>
      <c r="M9561" s="25"/>
      <c r="O9561" s="25"/>
    </row>
    <row r="9562" ht="15.75" customHeight="1">
      <c r="C9562" s="46"/>
      <c r="D9562" s="25"/>
      <c r="F9562" s="25"/>
      <c r="I9562" s="26"/>
      <c r="M9562" s="25"/>
      <c r="O9562" s="25"/>
    </row>
    <row r="9563" ht="15.75" customHeight="1">
      <c r="C9563" s="46"/>
      <c r="D9563" s="25"/>
      <c r="F9563" s="25"/>
      <c r="I9563" s="26"/>
      <c r="M9563" s="25"/>
      <c r="O9563" s="25"/>
    </row>
    <row r="9564" ht="15.75" customHeight="1">
      <c r="C9564" s="46"/>
      <c r="D9564" s="25"/>
      <c r="F9564" s="25"/>
      <c r="I9564" s="26"/>
      <c r="M9564" s="25"/>
      <c r="O9564" s="25"/>
    </row>
    <row r="9565" ht="15.75" customHeight="1">
      <c r="C9565" s="46"/>
      <c r="D9565" s="25"/>
      <c r="F9565" s="25"/>
      <c r="I9565" s="26"/>
      <c r="M9565" s="25"/>
      <c r="O9565" s="25"/>
    </row>
    <row r="9566" ht="15.75" customHeight="1">
      <c r="C9566" s="46"/>
      <c r="D9566" s="25"/>
      <c r="F9566" s="25"/>
      <c r="I9566" s="26"/>
      <c r="M9566" s="25"/>
      <c r="O9566" s="25"/>
    </row>
    <row r="9567" ht="15.75" customHeight="1">
      <c r="C9567" s="46"/>
      <c r="D9567" s="25"/>
      <c r="F9567" s="25"/>
      <c r="I9567" s="26"/>
      <c r="M9567" s="25"/>
      <c r="O9567" s="25"/>
    </row>
    <row r="9568" ht="15.75" customHeight="1">
      <c r="C9568" s="46"/>
      <c r="D9568" s="25"/>
      <c r="F9568" s="25"/>
      <c r="I9568" s="26"/>
      <c r="M9568" s="25"/>
      <c r="O9568" s="25"/>
    </row>
    <row r="9569" ht="15.75" customHeight="1">
      <c r="C9569" s="46"/>
      <c r="D9569" s="25"/>
      <c r="F9569" s="25"/>
      <c r="I9569" s="26"/>
      <c r="M9569" s="25"/>
      <c r="O9569" s="25"/>
    </row>
    <row r="9570" ht="15.75" customHeight="1">
      <c r="C9570" s="46"/>
      <c r="D9570" s="25"/>
      <c r="F9570" s="25"/>
      <c r="I9570" s="26"/>
      <c r="M9570" s="25"/>
      <c r="O9570" s="25"/>
    </row>
    <row r="9571" ht="15.75" customHeight="1">
      <c r="C9571" s="46"/>
      <c r="D9571" s="25"/>
      <c r="F9571" s="25"/>
      <c r="I9571" s="26"/>
      <c r="M9571" s="25"/>
      <c r="O9571" s="25"/>
    </row>
    <row r="9572" ht="15.75" customHeight="1">
      <c r="C9572" s="46"/>
      <c r="D9572" s="25"/>
      <c r="F9572" s="25"/>
      <c r="I9572" s="26"/>
      <c r="M9572" s="25"/>
      <c r="O9572" s="25"/>
    </row>
    <row r="9573" ht="15.75" customHeight="1">
      <c r="C9573" s="46"/>
      <c r="D9573" s="25"/>
      <c r="F9573" s="25"/>
      <c r="I9573" s="26"/>
      <c r="M9573" s="25"/>
      <c r="O9573" s="25"/>
    </row>
    <row r="9574" ht="15.75" customHeight="1">
      <c r="C9574" s="46"/>
      <c r="D9574" s="25"/>
      <c r="F9574" s="25"/>
      <c r="I9574" s="26"/>
      <c r="M9574" s="25"/>
      <c r="O9574" s="25"/>
    </row>
    <row r="9575" ht="15.75" customHeight="1">
      <c r="C9575" s="46"/>
      <c r="D9575" s="25"/>
      <c r="F9575" s="25"/>
      <c r="I9575" s="26"/>
      <c r="M9575" s="25"/>
      <c r="O9575" s="25"/>
    </row>
    <row r="9576" ht="15.75" customHeight="1">
      <c r="C9576" s="46"/>
      <c r="D9576" s="25"/>
      <c r="F9576" s="25"/>
      <c r="I9576" s="26"/>
      <c r="M9576" s="25"/>
      <c r="O9576" s="25"/>
    </row>
    <row r="9577" ht="15.75" customHeight="1">
      <c r="C9577" s="46"/>
      <c r="D9577" s="25"/>
      <c r="F9577" s="25"/>
      <c r="I9577" s="26"/>
      <c r="M9577" s="25"/>
      <c r="O9577" s="25"/>
    </row>
    <row r="9578" ht="15.75" customHeight="1">
      <c r="C9578" s="46"/>
      <c r="D9578" s="25"/>
      <c r="F9578" s="25"/>
      <c r="I9578" s="26"/>
      <c r="M9578" s="25"/>
      <c r="O9578" s="25"/>
    </row>
    <row r="9579" ht="15.75" customHeight="1">
      <c r="C9579" s="46"/>
      <c r="D9579" s="25"/>
      <c r="F9579" s="25"/>
      <c r="I9579" s="26"/>
      <c r="M9579" s="25"/>
      <c r="O9579" s="25"/>
    </row>
    <row r="9580" ht="15.75" customHeight="1">
      <c r="C9580" s="46"/>
      <c r="D9580" s="25"/>
      <c r="F9580" s="25"/>
      <c r="I9580" s="26"/>
      <c r="M9580" s="25"/>
      <c r="O9580" s="25"/>
    </row>
    <row r="9581" ht="15.75" customHeight="1">
      <c r="C9581" s="46"/>
      <c r="D9581" s="25"/>
      <c r="F9581" s="25"/>
      <c r="I9581" s="26"/>
      <c r="M9581" s="25"/>
      <c r="O9581" s="25"/>
    </row>
    <row r="9582" ht="15.75" customHeight="1">
      <c r="C9582" s="46"/>
      <c r="D9582" s="25"/>
      <c r="F9582" s="25"/>
      <c r="I9582" s="26"/>
      <c r="M9582" s="25"/>
      <c r="O9582" s="25"/>
    </row>
    <row r="9583" ht="15.75" customHeight="1">
      <c r="C9583" s="46"/>
      <c r="D9583" s="25"/>
      <c r="F9583" s="25"/>
      <c r="I9583" s="26"/>
      <c r="M9583" s="25"/>
      <c r="O9583" s="25"/>
    </row>
    <row r="9584" ht="15.75" customHeight="1">
      <c r="C9584" s="46"/>
      <c r="D9584" s="25"/>
      <c r="F9584" s="25"/>
      <c r="I9584" s="26"/>
      <c r="M9584" s="25"/>
      <c r="O9584" s="25"/>
    </row>
    <row r="9585" ht="15.75" customHeight="1">
      <c r="C9585" s="46"/>
      <c r="D9585" s="25"/>
      <c r="F9585" s="25"/>
      <c r="I9585" s="26"/>
      <c r="M9585" s="25"/>
      <c r="O9585" s="25"/>
    </row>
    <row r="9586" ht="15.75" customHeight="1">
      <c r="C9586" s="46"/>
      <c r="D9586" s="25"/>
      <c r="F9586" s="25"/>
      <c r="I9586" s="26"/>
      <c r="M9586" s="25"/>
      <c r="O9586" s="25"/>
    </row>
    <row r="9587" ht="15.75" customHeight="1">
      <c r="C9587" s="46"/>
      <c r="D9587" s="25"/>
      <c r="F9587" s="25"/>
      <c r="I9587" s="26"/>
      <c r="M9587" s="25"/>
      <c r="O9587" s="25"/>
    </row>
    <row r="9588" ht="15.75" customHeight="1">
      <c r="C9588" s="46"/>
      <c r="D9588" s="25"/>
      <c r="F9588" s="25"/>
      <c r="I9588" s="26"/>
      <c r="M9588" s="25"/>
      <c r="O9588" s="25"/>
    </row>
    <row r="9589" ht="15.75" customHeight="1">
      <c r="C9589" s="46"/>
      <c r="D9589" s="25"/>
      <c r="F9589" s="25"/>
      <c r="I9589" s="26"/>
      <c r="M9589" s="25"/>
      <c r="O9589" s="25"/>
    </row>
    <row r="9590" ht="15.75" customHeight="1">
      <c r="C9590" s="46"/>
      <c r="D9590" s="25"/>
      <c r="F9590" s="25"/>
      <c r="I9590" s="26"/>
      <c r="M9590" s="25"/>
      <c r="O9590" s="25"/>
    </row>
    <row r="9591" ht="15.75" customHeight="1">
      <c r="C9591" s="46"/>
      <c r="D9591" s="25"/>
      <c r="F9591" s="25"/>
      <c r="I9591" s="26"/>
      <c r="M9591" s="25"/>
      <c r="O9591" s="25"/>
    </row>
    <row r="9592" ht="15.75" customHeight="1">
      <c r="C9592" s="46"/>
      <c r="D9592" s="25"/>
      <c r="F9592" s="25"/>
      <c r="I9592" s="26"/>
      <c r="M9592" s="25"/>
      <c r="O9592" s="25"/>
    </row>
    <row r="9593" ht="15.75" customHeight="1">
      <c r="C9593" s="46"/>
      <c r="D9593" s="25"/>
      <c r="F9593" s="25"/>
      <c r="I9593" s="26"/>
      <c r="M9593" s="25"/>
      <c r="O9593" s="25"/>
    </row>
    <row r="9594" ht="15.75" customHeight="1">
      <c r="C9594" s="46"/>
      <c r="D9594" s="25"/>
      <c r="F9594" s="25"/>
      <c r="I9594" s="26"/>
      <c r="M9594" s="25"/>
      <c r="O9594" s="25"/>
    </row>
    <row r="9595" ht="15.75" customHeight="1">
      <c r="C9595" s="46"/>
      <c r="D9595" s="25"/>
      <c r="F9595" s="25"/>
      <c r="I9595" s="26"/>
      <c r="M9595" s="25"/>
      <c r="O9595" s="25"/>
    </row>
    <row r="9596" ht="15.75" customHeight="1">
      <c r="C9596" s="46"/>
      <c r="D9596" s="25"/>
      <c r="F9596" s="25"/>
      <c r="I9596" s="26"/>
      <c r="M9596" s="25"/>
      <c r="O9596" s="25"/>
    </row>
    <row r="9597" ht="15.75" customHeight="1">
      <c r="C9597" s="46"/>
      <c r="D9597" s="25"/>
      <c r="F9597" s="25"/>
      <c r="I9597" s="26"/>
      <c r="M9597" s="25"/>
      <c r="O9597" s="25"/>
    </row>
    <row r="9598" ht="15.75" customHeight="1">
      <c r="C9598" s="46"/>
      <c r="D9598" s="25"/>
      <c r="F9598" s="25"/>
      <c r="I9598" s="26"/>
      <c r="M9598" s="25"/>
      <c r="O9598" s="25"/>
    </row>
    <row r="9599" ht="15.75" customHeight="1">
      <c r="C9599" s="46"/>
      <c r="D9599" s="25"/>
      <c r="F9599" s="25"/>
      <c r="I9599" s="26"/>
      <c r="M9599" s="25"/>
      <c r="O9599" s="25"/>
    </row>
    <row r="9600" ht="15.75" customHeight="1">
      <c r="C9600" s="46"/>
      <c r="D9600" s="25"/>
      <c r="F9600" s="25"/>
      <c r="I9600" s="26"/>
      <c r="M9600" s="25"/>
      <c r="O9600" s="25"/>
    </row>
    <row r="9601" ht="15.75" customHeight="1">
      <c r="C9601" s="46"/>
      <c r="D9601" s="25"/>
      <c r="F9601" s="25"/>
      <c r="I9601" s="26"/>
      <c r="M9601" s="25"/>
      <c r="O9601" s="25"/>
    </row>
    <row r="9602" ht="15.75" customHeight="1">
      <c r="C9602" s="46"/>
      <c r="D9602" s="25"/>
      <c r="F9602" s="25"/>
      <c r="I9602" s="26"/>
      <c r="M9602" s="25"/>
      <c r="O9602" s="25"/>
    </row>
    <row r="9603" ht="15.75" customHeight="1">
      <c r="C9603" s="46"/>
      <c r="D9603" s="25"/>
      <c r="F9603" s="25"/>
      <c r="I9603" s="26"/>
      <c r="M9603" s="25"/>
      <c r="O9603" s="25"/>
    </row>
    <row r="9604" ht="15.75" customHeight="1">
      <c r="C9604" s="46"/>
      <c r="D9604" s="25"/>
      <c r="F9604" s="25"/>
      <c r="I9604" s="26"/>
      <c r="M9604" s="25"/>
      <c r="O9604" s="25"/>
    </row>
    <row r="9605" ht="15.75" customHeight="1">
      <c r="C9605" s="46"/>
      <c r="D9605" s="25"/>
      <c r="F9605" s="25"/>
      <c r="I9605" s="26"/>
      <c r="M9605" s="25"/>
      <c r="O9605" s="25"/>
    </row>
    <row r="9606" ht="15.75" customHeight="1">
      <c r="C9606" s="46"/>
      <c r="D9606" s="25"/>
      <c r="F9606" s="25"/>
      <c r="I9606" s="26"/>
      <c r="M9606" s="25"/>
      <c r="O9606" s="25"/>
    </row>
    <row r="9607" ht="15.75" customHeight="1">
      <c r="C9607" s="46"/>
      <c r="D9607" s="25"/>
      <c r="F9607" s="25"/>
      <c r="I9607" s="26"/>
      <c r="M9607" s="25"/>
      <c r="O9607" s="25"/>
    </row>
    <row r="9608" ht="15.75" customHeight="1">
      <c r="C9608" s="46"/>
      <c r="D9608" s="25"/>
      <c r="F9608" s="25"/>
      <c r="I9608" s="26"/>
      <c r="M9608" s="25"/>
      <c r="O9608" s="25"/>
    </row>
    <row r="9609" ht="15.75" customHeight="1">
      <c r="C9609" s="46"/>
      <c r="D9609" s="25"/>
      <c r="F9609" s="25"/>
      <c r="I9609" s="26"/>
      <c r="M9609" s="25"/>
      <c r="O9609" s="25"/>
    </row>
    <row r="9610" ht="15.75" customHeight="1">
      <c r="C9610" s="46"/>
      <c r="D9610" s="25"/>
      <c r="F9610" s="25"/>
      <c r="I9610" s="26"/>
      <c r="M9610" s="25"/>
      <c r="O9610" s="25"/>
    </row>
    <row r="9611" ht="15.75" customHeight="1">
      <c r="C9611" s="46"/>
      <c r="D9611" s="25"/>
      <c r="F9611" s="25"/>
      <c r="I9611" s="26"/>
      <c r="M9611" s="25"/>
      <c r="O9611" s="25"/>
    </row>
    <row r="9612" ht="15.75" customHeight="1">
      <c r="C9612" s="46"/>
      <c r="D9612" s="25"/>
      <c r="F9612" s="25"/>
      <c r="I9612" s="26"/>
      <c r="M9612" s="25"/>
      <c r="O9612" s="25"/>
    </row>
    <row r="9613" ht="15.75" customHeight="1">
      <c r="C9613" s="46"/>
      <c r="D9613" s="25"/>
      <c r="F9613" s="25"/>
      <c r="I9613" s="26"/>
      <c r="M9613" s="25"/>
      <c r="O9613" s="25"/>
    </row>
    <row r="9614" ht="15.75" customHeight="1">
      <c r="C9614" s="46"/>
      <c r="D9614" s="25"/>
      <c r="F9614" s="25"/>
      <c r="I9614" s="26"/>
      <c r="M9614" s="25"/>
      <c r="O9614" s="25"/>
    </row>
    <row r="9615" ht="15.75" customHeight="1">
      <c r="C9615" s="46"/>
      <c r="D9615" s="25"/>
      <c r="F9615" s="25"/>
      <c r="I9615" s="26"/>
      <c r="M9615" s="25"/>
      <c r="O9615" s="25"/>
    </row>
    <row r="9616" ht="15.75" customHeight="1">
      <c r="C9616" s="46"/>
      <c r="D9616" s="25"/>
      <c r="F9616" s="25"/>
      <c r="I9616" s="26"/>
      <c r="M9616" s="25"/>
      <c r="O9616" s="25"/>
    </row>
    <row r="9617" ht="15.75" customHeight="1">
      <c r="C9617" s="46"/>
      <c r="D9617" s="25"/>
      <c r="F9617" s="25"/>
      <c r="I9617" s="26"/>
      <c r="M9617" s="25"/>
      <c r="O9617" s="25"/>
    </row>
    <row r="9618" ht="15.75" customHeight="1">
      <c r="C9618" s="46"/>
      <c r="D9618" s="25"/>
      <c r="F9618" s="25"/>
      <c r="I9618" s="26"/>
      <c r="M9618" s="25"/>
      <c r="O9618" s="25"/>
    </row>
    <row r="9619" ht="15.75" customHeight="1">
      <c r="C9619" s="46"/>
      <c r="D9619" s="25"/>
      <c r="F9619" s="25"/>
      <c r="I9619" s="26"/>
      <c r="M9619" s="25"/>
      <c r="O9619" s="25"/>
    </row>
    <row r="9620" ht="15.75" customHeight="1">
      <c r="C9620" s="46"/>
      <c r="D9620" s="25"/>
      <c r="F9620" s="25"/>
      <c r="I9620" s="26"/>
      <c r="M9620" s="25"/>
      <c r="O9620" s="25"/>
    </row>
    <row r="9621" ht="15.75" customHeight="1">
      <c r="C9621" s="46"/>
      <c r="D9621" s="25"/>
      <c r="F9621" s="25"/>
      <c r="I9621" s="26"/>
      <c r="M9621" s="25"/>
      <c r="O9621" s="25"/>
    </row>
    <row r="9622" ht="15.75" customHeight="1">
      <c r="C9622" s="46"/>
      <c r="D9622" s="25"/>
      <c r="F9622" s="25"/>
      <c r="I9622" s="26"/>
      <c r="M9622" s="25"/>
      <c r="O9622" s="25"/>
    </row>
    <row r="9623" ht="15.75" customHeight="1">
      <c r="C9623" s="46"/>
      <c r="D9623" s="25"/>
      <c r="F9623" s="25"/>
      <c r="I9623" s="26"/>
      <c r="M9623" s="25"/>
      <c r="O9623" s="25"/>
    </row>
    <row r="9624" ht="15.75" customHeight="1">
      <c r="C9624" s="46"/>
      <c r="D9624" s="25"/>
      <c r="F9624" s="25"/>
      <c r="I9624" s="26"/>
      <c r="M9624" s="25"/>
      <c r="O9624" s="25"/>
    </row>
    <row r="9625" ht="15.75" customHeight="1">
      <c r="C9625" s="46"/>
      <c r="D9625" s="25"/>
      <c r="F9625" s="25"/>
      <c r="I9625" s="26"/>
      <c r="M9625" s="25"/>
      <c r="O9625" s="25"/>
    </row>
    <row r="9626" ht="15.75" customHeight="1">
      <c r="C9626" s="46"/>
      <c r="D9626" s="25"/>
      <c r="F9626" s="25"/>
      <c r="I9626" s="26"/>
      <c r="M9626" s="25"/>
      <c r="O9626" s="25"/>
    </row>
    <row r="9627" ht="15.75" customHeight="1">
      <c r="C9627" s="46"/>
      <c r="D9627" s="25"/>
      <c r="F9627" s="25"/>
      <c r="I9627" s="26"/>
      <c r="M9627" s="25"/>
      <c r="O9627" s="25"/>
    </row>
    <row r="9628" ht="15.75" customHeight="1">
      <c r="C9628" s="46"/>
      <c r="D9628" s="25"/>
      <c r="F9628" s="25"/>
      <c r="I9628" s="26"/>
      <c r="M9628" s="25"/>
      <c r="O9628" s="25"/>
    </row>
    <row r="9629" ht="15.75" customHeight="1">
      <c r="C9629" s="46"/>
      <c r="D9629" s="25"/>
      <c r="F9629" s="25"/>
      <c r="I9629" s="26"/>
      <c r="M9629" s="25"/>
      <c r="O9629" s="25"/>
    </row>
    <row r="9630" ht="15.75" customHeight="1">
      <c r="C9630" s="46"/>
      <c r="D9630" s="25"/>
      <c r="F9630" s="25"/>
      <c r="I9630" s="26"/>
      <c r="M9630" s="25"/>
      <c r="O9630" s="25"/>
    </row>
    <row r="9631" ht="15.75" customHeight="1">
      <c r="C9631" s="46"/>
      <c r="D9631" s="25"/>
      <c r="F9631" s="25"/>
      <c r="I9631" s="26"/>
      <c r="M9631" s="25"/>
      <c r="O9631" s="25"/>
    </row>
    <row r="9632" ht="15.75" customHeight="1">
      <c r="C9632" s="46"/>
      <c r="D9632" s="25"/>
      <c r="F9632" s="25"/>
      <c r="I9632" s="26"/>
      <c r="M9632" s="25"/>
      <c r="O9632" s="25"/>
    </row>
    <row r="9633" ht="15.75" customHeight="1">
      <c r="C9633" s="46"/>
      <c r="D9633" s="25"/>
      <c r="F9633" s="25"/>
      <c r="I9633" s="26"/>
      <c r="M9633" s="25"/>
      <c r="O9633" s="25"/>
    </row>
    <row r="9634" ht="15.75" customHeight="1">
      <c r="C9634" s="46"/>
      <c r="D9634" s="25"/>
      <c r="F9634" s="25"/>
      <c r="I9634" s="26"/>
      <c r="M9634" s="25"/>
      <c r="O9634" s="25"/>
    </row>
    <row r="9635" ht="15.75" customHeight="1">
      <c r="C9635" s="46"/>
      <c r="D9635" s="25"/>
      <c r="F9635" s="25"/>
      <c r="I9635" s="26"/>
      <c r="M9635" s="25"/>
      <c r="O9635" s="25"/>
    </row>
    <row r="9636" ht="15.75" customHeight="1">
      <c r="C9636" s="46"/>
      <c r="D9636" s="25"/>
      <c r="F9636" s="25"/>
      <c r="I9636" s="26"/>
      <c r="M9636" s="25"/>
      <c r="O9636" s="25"/>
    </row>
    <row r="9637" ht="15.75" customHeight="1">
      <c r="C9637" s="46"/>
      <c r="D9637" s="25"/>
      <c r="F9637" s="25"/>
      <c r="I9637" s="26"/>
      <c r="M9637" s="25"/>
      <c r="O9637" s="25"/>
    </row>
    <row r="9638" ht="15.75" customHeight="1">
      <c r="C9638" s="46"/>
      <c r="D9638" s="25"/>
      <c r="F9638" s="25"/>
      <c r="I9638" s="26"/>
      <c r="M9638" s="25"/>
      <c r="O9638" s="25"/>
    </row>
    <row r="9639" ht="15.75" customHeight="1">
      <c r="C9639" s="46"/>
      <c r="D9639" s="25"/>
      <c r="F9639" s="25"/>
      <c r="I9639" s="26"/>
      <c r="M9639" s="25"/>
      <c r="O9639" s="25"/>
    </row>
    <row r="9640" ht="15.75" customHeight="1">
      <c r="C9640" s="46"/>
      <c r="D9640" s="25"/>
      <c r="F9640" s="25"/>
      <c r="I9640" s="26"/>
      <c r="M9640" s="25"/>
      <c r="O9640" s="25"/>
    </row>
    <row r="9641" ht="15.75" customHeight="1">
      <c r="C9641" s="46"/>
      <c r="D9641" s="25"/>
      <c r="F9641" s="25"/>
      <c r="I9641" s="26"/>
      <c r="M9641" s="25"/>
      <c r="O9641" s="25"/>
    </row>
    <row r="9642" ht="15.75" customHeight="1">
      <c r="C9642" s="46"/>
      <c r="D9642" s="25"/>
      <c r="F9642" s="25"/>
      <c r="I9642" s="26"/>
      <c r="M9642" s="25"/>
      <c r="O9642" s="25"/>
    </row>
    <row r="9643" ht="15.75" customHeight="1">
      <c r="C9643" s="46"/>
      <c r="D9643" s="25"/>
      <c r="F9643" s="25"/>
      <c r="I9643" s="26"/>
      <c r="M9643" s="25"/>
      <c r="O9643" s="25"/>
    </row>
    <row r="9644" ht="15.75" customHeight="1">
      <c r="C9644" s="46"/>
      <c r="D9644" s="25"/>
      <c r="F9644" s="25"/>
      <c r="I9644" s="26"/>
      <c r="M9644" s="25"/>
      <c r="O9644" s="25"/>
    </row>
    <row r="9645" ht="15.75" customHeight="1">
      <c r="C9645" s="46"/>
      <c r="D9645" s="25"/>
      <c r="F9645" s="25"/>
      <c r="I9645" s="26"/>
      <c r="M9645" s="25"/>
      <c r="O9645" s="25"/>
    </row>
    <row r="9646" ht="15.75" customHeight="1">
      <c r="C9646" s="46"/>
      <c r="D9646" s="25"/>
      <c r="F9646" s="25"/>
      <c r="I9646" s="26"/>
      <c r="M9646" s="25"/>
      <c r="O9646" s="25"/>
    </row>
    <row r="9647" ht="15.75" customHeight="1">
      <c r="C9647" s="46"/>
      <c r="D9647" s="25"/>
      <c r="F9647" s="25"/>
      <c r="I9647" s="26"/>
      <c r="M9647" s="25"/>
      <c r="O9647" s="25"/>
    </row>
    <row r="9648" ht="15.75" customHeight="1">
      <c r="C9648" s="46"/>
      <c r="D9648" s="25"/>
      <c r="F9648" s="25"/>
      <c r="I9648" s="26"/>
      <c r="M9648" s="25"/>
      <c r="O9648" s="25"/>
    </row>
    <row r="9649" ht="15.75" customHeight="1">
      <c r="C9649" s="46"/>
      <c r="D9649" s="25"/>
      <c r="F9649" s="25"/>
      <c r="I9649" s="26"/>
      <c r="M9649" s="25"/>
      <c r="O9649" s="25"/>
    </row>
    <row r="9650" ht="15.75" customHeight="1">
      <c r="C9650" s="46"/>
      <c r="D9650" s="25"/>
      <c r="F9650" s="25"/>
      <c r="I9650" s="26"/>
      <c r="M9650" s="25"/>
      <c r="O9650" s="25"/>
    </row>
    <row r="9651" ht="15.75" customHeight="1">
      <c r="C9651" s="46"/>
      <c r="D9651" s="25"/>
      <c r="F9651" s="25"/>
      <c r="I9651" s="26"/>
      <c r="M9651" s="25"/>
      <c r="O9651" s="25"/>
    </row>
    <row r="9652" ht="15.75" customHeight="1">
      <c r="C9652" s="46"/>
      <c r="D9652" s="25"/>
      <c r="F9652" s="25"/>
      <c r="I9652" s="26"/>
      <c r="M9652" s="25"/>
      <c r="O9652" s="25"/>
    </row>
    <row r="9653" ht="15.75" customHeight="1">
      <c r="C9653" s="46"/>
      <c r="D9653" s="25"/>
      <c r="F9653" s="25"/>
      <c r="I9653" s="26"/>
      <c r="M9653" s="25"/>
      <c r="O9653" s="25"/>
    </row>
    <row r="9654" ht="15.75" customHeight="1">
      <c r="C9654" s="46"/>
      <c r="D9654" s="25"/>
      <c r="F9654" s="25"/>
      <c r="I9654" s="26"/>
      <c r="M9654" s="25"/>
      <c r="O9654" s="25"/>
    </row>
    <row r="9655" ht="15.75" customHeight="1">
      <c r="C9655" s="46"/>
      <c r="D9655" s="25"/>
      <c r="F9655" s="25"/>
      <c r="I9655" s="26"/>
      <c r="M9655" s="25"/>
      <c r="O9655" s="25"/>
    </row>
    <row r="9656" ht="15.75" customHeight="1">
      <c r="C9656" s="46"/>
      <c r="D9656" s="25"/>
      <c r="F9656" s="25"/>
      <c r="I9656" s="26"/>
      <c r="M9656" s="25"/>
      <c r="O9656" s="25"/>
    </row>
    <row r="9657" ht="15.75" customHeight="1">
      <c r="C9657" s="46"/>
      <c r="D9657" s="25"/>
      <c r="F9657" s="25"/>
      <c r="I9657" s="26"/>
      <c r="M9657" s="25"/>
      <c r="O9657" s="25"/>
    </row>
    <row r="9658" ht="15.75" customHeight="1">
      <c r="C9658" s="46"/>
      <c r="D9658" s="25"/>
      <c r="F9658" s="25"/>
      <c r="I9658" s="26"/>
      <c r="M9658" s="25"/>
      <c r="O9658" s="25"/>
    </row>
    <row r="9659" ht="15.75" customHeight="1">
      <c r="C9659" s="46"/>
      <c r="D9659" s="25"/>
      <c r="F9659" s="25"/>
      <c r="I9659" s="26"/>
      <c r="M9659" s="25"/>
      <c r="O9659" s="25"/>
    </row>
    <row r="9660" ht="15.75" customHeight="1">
      <c r="C9660" s="46"/>
      <c r="D9660" s="25"/>
      <c r="F9660" s="25"/>
      <c r="I9660" s="26"/>
      <c r="M9660" s="25"/>
      <c r="O9660" s="25"/>
    </row>
    <row r="9661" ht="15.75" customHeight="1">
      <c r="C9661" s="46"/>
      <c r="D9661" s="25"/>
      <c r="F9661" s="25"/>
      <c r="I9661" s="26"/>
      <c r="M9661" s="25"/>
      <c r="O9661" s="25"/>
    </row>
    <row r="9662" ht="15.75" customHeight="1">
      <c r="C9662" s="46"/>
      <c r="D9662" s="25"/>
      <c r="F9662" s="25"/>
      <c r="I9662" s="26"/>
      <c r="M9662" s="25"/>
      <c r="O9662" s="25"/>
    </row>
    <row r="9663" ht="15.75" customHeight="1">
      <c r="C9663" s="46"/>
      <c r="D9663" s="25"/>
      <c r="F9663" s="25"/>
      <c r="I9663" s="26"/>
      <c r="M9663" s="25"/>
      <c r="O9663" s="25"/>
    </row>
    <row r="9664" ht="15.75" customHeight="1">
      <c r="C9664" s="46"/>
      <c r="D9664" s="25"/>
      <c r="F9664" s="25"/>
      <c r="I9664" s="26"/>
      <c r="M9664" s="25"/>
      <c r="O9664" s="25"/>
    </row>
    <row r="9665" ht="15.75" customHeight="1">
      <c r="C9665" s="46"/>
      <c r="D9665" s="25"/>
      <c r="F9665" s="25"/>
      <c r="I9665" s="26"/>
      <c r="M9665" s="25"/>
      <c r="O9665" s="25"/>
    </row>
    <row r="9666" ht="15.75" customHeight="1">
      <c r="C9666" s="46"/>
      <c r="D9666" s="25"/>
      <c r="F9666" s="25"/>
      <c r="I9666" s="26"/>
      <c r="M9666" s="25"/>
      <c r="O9666" s="25"/>
    </row>
    <row r="9667" ht="15.75" customHeight="1">
      <c r="C9667" s="46"/>
      <c r="D9667" s="25"/>
      <c r="F9667" s="25"/>
      <c r="I9667" s="26"/>
      <c r="M9667" s="25"/>
      <c r="O9667" s="25"/>
    </row>
    <row r="9668" ht="15.75" customHeight="1">
      <c r="C9668" s="46"/>
      <c r="D9668" s="25"/>
      <c r="F9668" s="25"/>
      <c r="I9668" s="26"/>
      <c r="M9668" s="25"/>
      <c r="O9668" s="25"/>
    </row>
    <row r="9669" ht="15.75" customHeight="1">
      <c r="C9669" s="46"/>
      <c r="D9669" s="25"/>
      <c r="F9669" s="25"/>
      <c r="I9669" s="26"/>
      <c r="M9669" s="25"/>
      <c r="O9669" s="25"/>
    </row>
    <row r="9670" ht="15.75" customHeight="1">
      <c r="C9670" s="46"/>
      <c r="D9670" s="25"/>
      <c r="F9670" s="25"/>
      <c r="I9670" s="26"/>
      <c r="M9670" s="25"/>
      <c r="O9670" s="25"/>
    </row>
    <row r="9671" ht="15.75" customHeight="1">
      <c r="C9671" s="46"/>
      <c r="D9671" s="25"/>
      <c r="F9671" s="25"/>
      <c r="I9671" s="26"/>
      <c r="M9671" s="25"/>
      <c r="O9671" s="25"/>
    </row>
    <row r="9672" ht="15.75" customHeight="1">
      <c r="C9672" s="46"/>
      <c r="D9672" s="25"/>
      <c r="F9672" s="25"/>
      <c r="I9672" s="26"/>
      <c r="M9672" s="25"/>
      <c r="O9672" s="25"/>
    </row>
    <row r="9673" ht="15.75" customHeight="1">
      <c r="C9673" s="46"/>
      <c r="D9673" s="25"/>
      <c r="F9673" s="25"/>
      <c r="I9673" s="26"/>
      <c r="M9673" s="25"/>
      <c r="O9673" s="25"/>
    </row>
    <row r="9674" ht="15.75" customHeight="1">
      <c r="C9674" s="46"/>
      <c r="D9674" s="25"/>
      <c r="F9674" s="25"/>
      <c r="I9674" s="26"/>
      <c r="M9674" s="25"/>
      <c r="O9674" s="25"/>
    </row>
    <row r="9675" ht="15.75" customHeight="1">
      <c r="C9675" s="46"/>
      <c r="D9675" s="25"/>
      <c r="F9675" s="25"/>
      <c r="I9675" s="26"/>
      <c r="M9675" s="25"/>
      <c r="O9675" s="25"/>
    </row>
    <row r="9676" ht="15.75" customHeight="1">
      <c r="C9676" s="46"/>
      <c r="D9676" s="25"/>
      <c r="F9676" s="25"/>
      <c r="I9676" s="26"/>
      <c r="M9676" s="25"/>
      <c r="O9676" s="25"/>
    </row>
    <row r="9677" ht="15.75" customHeight="1">
      <c r="C9677" s="46"/>
      <c r="D9677" s="25"/>
      <c r="F9677" s="25"/>
      <c r="I9677" s="26"/>
      <c r="M9677" s="25"/>
      <c r="O9677" s="25"/>
    </row>
    <row r="9678" ht="15.75" customHeight="1">
      <c r="C9678" s="46"/>
      <c r="D9678" s="25"/>
      <c r="F9678" s="25"/>
      <c r="I9678" s="26"/>
      <c r="M9678" s="25"/>
      <c r="O9678" s="25"/>
    </row>
    <row r="9679" ht="15.75" customHeight="1">
      <c r="C9679" s="46"/>
      <c r="D9679" s="25"/>
      <c r="F9679" s="25"/>
      <c r="I9679" s="26"/>
      <c r="M9679" s="25"/>
      <c r="O9679" s="25"/>
    </row>
    <row r="9680" ht="15.75" customHeight="1">
      <c r="C9680" s="46"/>
      <c r="D9680" s="25"/>
      <c r="F9680" s="25"/>
      <c r="I9680" s="26"/>
      <c r="M9680" s="25"/>
      <c r="O9680" s="25"/>
    </row>
    <row r="9681" ht="15.75" customHeight="1">
      <c r="C9681" s="46"/>
      <c r="D9681" s="25"/>
      <c r="F9681" s="25"/>
      <c r="I9681" s="26"/>
      <c r="M9681" s="25"/>
      <c r="O9681" s="25"/>
    </row>
    <row r="9682" ht="15.75" customHeight="1">
      <c r="C9682" s="46"/>
      <c r="D9682" s="25"/>
      <c r="F9682" s="25"/>
      <c r="I9682" s="26"/>
      <c r="M9682" s="25"/>
      <c r="O9682" s="25"/>
    </row>
    <row r="9683" ht="15.75" customHeight="1">
      <c r="C9683" s="46"/>
      <c r="D9683" s="25"/>
      <c r="F9683" s="25"/>
      <c r="I9683" s="26"/>
      <c r="M9683" s="25"/>
      <c r="O9683" s="25"/>
    </row>
    <row r="9684" ht="15.75" customHeight="1">
      <c r="C9684" s="46"/>
      <c r="D9684" s="25"/>
      <c r="F9684" s="25"/>
      <c r="I9684" s="26"/>
      <c r="M9684" s="25"/>
      <c r="O9684" s="25"/>
    </row>
    <row r="9685" ht="15.75" customHeight="1">
      <c r="C9685" s="46"/>
      <c r="D9685" s="25"/>
      <c r="F9685" s="25"/>
      <c r="I9685" s="26"/>
      <c r="M9685" s="25"/>
      <c r="O9685" s="25"/>
    </row>
    <row r="9686" ht="15.75" customHeight="1">
      <c r="C9686" s="46"/>
      <c r="D9686" s="25"/>
      <c r="F9686" s="25"/>
      <c r="I9686" s="26"/>
      <c r="M9686" s="25"/>
      <c r="O9686" s="25"/>
    </row>
    <row r="9687" ht="15.75" customHeight="1">
      <c r="C9687" s="46"/>
      <c r="D9687" s="25"/>
      <c r="F9687" s="25"/>
      <c r="I9687" s="26"/>
      <c r="M9687" s="25"/>
      <c r="O9687" s="25"/>
    </row>
    <row r="9688" ht="15.75" customHeight="1">
      <c r="C9688" s="46"/>
      <c r="D9688" s="25"/>
      <c r="F9688" s="25"/>
      <c r="I9688" s="26"/>
      <c r="M9688" s="25"/>
      <c r="O9688" s="25"/>
    </row>
    <row r="9689" ht="15.75" customHeight="1">
      <c r="C9689" s="46"/>
      <c r="D9689" s="25"/>
      <c r="F9689" s="25"/>
      <c r="I9689" s="26"/>
      <c r="M9689" s="25"/>
      <c r="O9689" s="25"/>
    </row>
    <row r="9690" ht="15.75" customHeight="1">
      <c r="C9690" s="46"/>
      <c r="D9690" s="25"/>
      <c r="F9690" s="25"/>
      <c r="I9690" s="26"/>
      <c r="M9690" s="25"/>
      <c r="O9690" s="25"/>
    </row>
    <row r="9691" ht="15.75" customHeight="1">
      <c r="C9691" s="46"/>
      <c r="D9691" s="25"/>
      <c r="F9691" s="25"/>
      <c r="I9691" s="26"/>
      <c r="M9691" s="25"/>
      <c r="O9691" s="25"/>
    </row>
    <row r="9692" ht="15.75" customHeight="1">
      <c r="C9692" s="46"/>
      <c r="D9692" s="25"/>
      <c r="F9692" s="25"/>
      <c r="I9692" s="26"/>
      <c r="M9692" s="25"/>
      <c r="O9692" s="25"/>
    </row>
    <row r="9693" ht="15.75" customHeight="1">
      <c r="C9693" s="46"/>
      <c r="D9693" s="25"/>
      <c r="F9693" s="25"/>
      <c r="I9693" s="26"/>
      <c r="M9693" s="25"/>
      <c r="O9693" s="25"/>
    </row>
    <row r="9694" ht="15.75" customHeight="1">
      <c r="C9694" s="46"/>
      <c r="D9694" s="25"/>
      <c r="F9694" s="25"/>
      <c r="I9694" s="26"/>
      <c r="M9694" s="25"/>
      <c r="O9694" s="25"/>
    </row>
    <row r="9695" ht="15.75" customHeight="1">
      <c r="C9695" s="46"/>
      <c r="D9695" s="25"/>
      <c r="F9695" s="25"/>
      <c r="I9695" s="26"/>
      <c r="M9695" s="25"/>
      <c r="O9695" s="25"/>
    </row>
    <row r="9696" ht="15.75" customHeight="1">
      <c r="C9696" s="46"/>
      <c r="D9696" s="25"/>
      <c r="F9696" s="25"/>
      <c r="I9696" s="26"/>
      <c r="M9696" s="25"/>
      <c r="O9696" s="25"/>
    </row>
    <row r="9697" ht="15.75" customHeight="1">
      <c r="C9697" s="46"/>
      <c r="D9697" s="25"/>
      <c r="F9697" s="25"/>
      <c r="I9697" s="26"/>
      <c r="M9697" s="25"/>
      <c r="O9697" s="25"/>
    </row>
    <row r="9698" ht="15.75" customHeight="1">
      <c r="C9698" s="46"/>
      <c r="D9698" s="25"/>
      <c r="F9698" s="25"/>
      <c r="I9698" s="26"/>
      <c r="M9698" s="25"/>
      <c r="O9698" s="25"/>
    </row>
    <row r="9699" ht="15.75" customHeight="1">
      <c r="C9699" s="46"/>
      <c r="D9699" s="25"/>
      <c r="F9699" s="25"/>
      <c r="I9699" s="26"/>
      <c r="M9699" s="25"/>
      <c r="O9699" s="25"/>
    </row>
    <row r="9700" ht="15.75" customHeight="1">
      <c r="C9700" s="46"/>
      <c r="D9700" s="25"/>
      <c r="F9700" s="25"/>
      <c r="I9700" s="26"/>
      <c r="M9700" s="25"/>
      <c r="O9700" s="25"/>
    </row>
    <row r="9701" ht="15.75" customHeight="1">
      <c r="C9701" s="46"/>
      <c r="D9701" s="25"/>
      <c r="F9701" s="25"/>
      <c r="I9701" s="26"/>
      <c r="M9701" s="25"/>
      <c r="O9701" s="25"/>
    </row>
    <row r="9702" ht="15.75" customHeight="1">
      <c r="C9702" s="46"/>
      <c r="D9702" s="25"/>
      <c r="F9702" s="25"/>
      <c r="I9702" s="26"/>
      <c r="M9702" s="25"/>
      <c r="O9702" s="25"/>
    </row>
    <row r="9703" ht="15.75" customHeight="1">
      <c r="C9703" s="46"/>
      <c r="D9703" s="25"/>
      <c r="F9703" s="25"/>
      <c r="I9703" s="26"/>
      <c r="M9703" s="25"/>
      <c r="O9703" s="25"/>
    </row>
    <row r="9704" ht="15.75" customHeight="1">
      <c r="C9704" s="46"/>
      <c r="D9704" s="25"/>
      <c r="F9704" s="25"/>
      <c r="I9704" s="26"/>
      <c r="M9704" s="25"/>
      <c r="O9704" s="25"/>
    </row>
    <row r="9705" ht="15.75" customHeight="1">
      <c r="C9705" s="46"/>
      <c r="D9705" s="25"/>
      <c r="F9705" s="25"/>
      <c r="I9705" s="26"/>
      <c r="M9705" s="25"/>
      <c r="O9705" s="25"/>
    </row>
    <row r="9706" ht="15.75" customHeight="1">
      <c r="C9706" s="46"/>
      <c r="D9706" s="25"/>
      <c r="F9706" s="25"/>
      <c r="I9706" s="26"/>
      <c r="M9706" s="25"/>
      <c r="O9706" s="25"/>
    </row>
    <row r="9707" ht="15.75" customHeight="1">
      <c r="C9707" s="46"/>
      <c r="D9707" s="25"/>
      <c r="F9707" s="25"/>
      <c r="I9707" s="26"/>
      <c r="M9707" s="25"/>
      <c r="O9707" s="25"/>
    </row>
    <row r="9708" ht="15.75" customHeight="1">
      <c r="C9708" s="46"/>
      <c r="D9708" s="25"/>
      <c r="F9708" s="25"/>
      <c r="I9708" s="26"/>
      <c r="M9708" s="25"/>
      <c r="O9708" s="25"/>
    </row>
    <row r="9709" ht="15.75" customHeight="1">
      <c r="C9709" s="46"/>
      <c r="D9709" s="25"/>
      <c r="F9709" s="25"/>
      <c r="I9709" s="26"/>
      <c r="M9709" s="25"/>
      <c r="O9709" s="25"/>
    </row>
    <row r="9710" ht="15.75" customHeight="1">
      <c r="C9710" s="46"/>
      <c r="D9710" s="25"/>
      <c r="F9710" s="25"/>
      <c r="I9710" s="26"/>
      <c r="M9710" s="25"/>
      <c r="O9710" s="25"/>
    </row>
    <row r="9711" ht="15.75" customHeight="1">
      <c r="C9711" s="46"/>
      <c r="D9711" s="25"/>
      <c r="F9711" s="25"/>
      <c r="I9711" s="26"/>
      <c r="M9711" s="25"/>
      <c r="O9711" s="25"/>
    </row>
    <row r="9712" ht="15.75" customHeight="1">
      <c r="C9712" s="46"/>
      <c r="D9712" s="25"/>
      <c r="F9712" s="25"/>
      <c r="I9712" s="26"/>
      <c r="M9712" s="25"/>
      <c r="O9712" s="25"/>
    </row>
    <row r="9713" ht="15.75" customHeight="1">
      <c r="C9713" s="46"/>
      <c r="D9713" s="25"/>
      <c r="F9713" s="25"/>
      <c r="I9713" s="26"/>
      <c r="M9713" s="25"/>
      <c r="O9713" s="25"/>
    </row>
    <row r="9714" ht="15.75" customHeight="1">
      <c r="C9714" s="46"/>
      <c r="D9714" s="25"/>
      <c r="F9714" s="25"/>
      <c r="I9714" s="26"/>
      <c r="M9714" s="25"/>
      <c r="O9714" s="25"/>
    </row>
    <row r="9715" ht="15.75" customHeight="1">
      <c r="C9715" s="46"/>
      <c r="D9715" s="25"/>
      <c r="F9715" s="25"/>
      <c r="I9715" s="26"/>
      <c r="M9715" s="25"/>
      <c r="O9715" s="25"/>
    </row>
    <row r="9716" ht="15.75" customHeight="1">
      <c r="C9716" s="46"/>
      <c r="D9716" s="25"/>
      <c r="F9716" s="25"/>
      <c r="I9716" s="26"/>
      <c r="M9716" s="25"/>
      <c r="O9716" s="25"/>
    </row>
    <row r="9717" ht="15.75" customHeight="1">
      <c r="C9717" s="46"/>
      <c r="D9717" s="25"/>
      <c r="F9717" s="25"/>
      <c r="I9717" s="26"/>
      <c r="M9717" s="25"/>
      <c r="O9717" s="25"/>
    </row>
    <row r="9718" ht="15.75" customHeight="1">
      <c r="C9718" s="46"/>
      <c r="D9718" s="25"/>
      <c r="F9718" s="25"/>
      <c r="I9718" s="26"/>
      <c r="M9718" s="25"/>
      <c r="O9718" s="25"/>
    </row>
    <row r="9719" ht="15.75" customHeight="1">
      <c r="C9719" s="46"/>
      <c r="D9719" s="25"/>
      <c r="F9719" s="25"/>
      <c r="I9719" s="26"/>
      <c r="M9719" s="25"/>
      <c r="O9719" s="25"/>
    </row>
    <row r="9720" ht="15.75" customHeight="1">
      <c r="C9720" s="46"/>
      <c r="D9720" s="25"/>
      <c r="F9720" s="25"/>
      <c r="I9720" s="26"/>
      <c r="M9720" s="25"/>
      <c r="O9720" s="25"/>
    </row>
    <row r="9721" ht="15.75" customHeight="1">
      <c r="C9721" s="46"/>
      <c r="D9721" s="25"/>
      <c r="F9721" s="25"/>
      <c r="I9721" s="26"/>
      <c r="M9721" s="25"/>
      <c r="O9721" s="25"/>
    </row>
    <row r="9722" ht="15.75" customHeight="1">
      <c r="C9722" s="46"/>
      <c r="D9722" s="25"/>
      <c r="F9722" s="25"/>
      <c r="I9722" s="26"/>
      <c r="M9722" s="25"/>
      <c r="O9722" s="25"/>
    </row>
    <row r="9723" ht="15.75" customHeight="1">
      <c r="C9723" s="46"/>
      <c r="D9723" s="25"/>
      <c r="F9723" s="25"/>
      <c r="I9723" s="26"/>
      <c r="M9723" s="25"/>
      <c r="O9723" s="25"/>
    </row>
    <row r="9724" ht="15.75" customHeight="1">
      <c r="C9724" s="46"/>
      <c r="D9724" s="25"/>
      <c r="F9724" s="25"/>
      <c r="I9724" s="26"/>
      <c r="M9724" s="25"/>
      <c r="O9724" s="25"/>
    </row>
    <row r="9725" ht="15.75" customHeight="1">
      <c r="C9725" s="46"/>
      <c r="D9725" s="25"/>
      <c r="F9725" s="25"/>
      <c r="I9725" s="26"/>
      <c r="M9725" s="25"/>
      <c r="O9725" s="25"/>
    </row>
    <row r="9726" ht="15.75" customHeight="1">
      <c r="C9726" s="46"/>
      <c r="D9726" s="25"/>
      <c r="F9726" s="25"/>
      <c r="I9726" s="26"/>
      <c r="M9726" s="25"/>
      <c r="O9726" s="25"/>
    </row>
    <row r="9727" ht="15.75" customHeight="1">
      <c r="C9727" s="46"/>
      <c r="D9727" s="25"/>
      <c r="F9727" s="25"/>
      <c r="I9727" s="26"/>
      <c r="M9727" s="25"/>
      <c r="O9727" s="25"/>
    </row>
    <row r="9728" ht="15.75" customHeight="1">
      <c r="C9728" s="46"/>
      <c r="D9728" s="25"/>
      <c r="F9728" s="25"/>
      <c r="I9728" s="26"/>
      <c r="M9728" s="25"/>
      <c r="O9728" s="25"/>
    </row>
    <row r="9729" ht="15.75" customHeight="1">
      <c r="C9729" s="46"/>
      <c r="D9729" s="25"/>
      <c r="F9729" s="25"/>
      <c r="I9729" s="26"/>
      <c r="M9729" s="25"/>
      <c r="O9729" s="25"/>
    </row>
    <row r="9730" ht="15.75" customHeight="1">
      <c r="C9730" s="46"/>
      <c r="D9730" s="25"/>
      <c r="F9730" s="25"/>
      <c r="I9730" s="26"/>
      <c r="M9730" s="25"/>
      <c r="O9730" s="25"/>
    </row>
    <row r="9731" ht="15.75" customHeight="1">
      <c r="C9731" s="46"/>
      <c r="D9731" s="25"/>
      <c r="F9731" s="25"/>
      <c r="I9731" s="26"/>
      <c r="M9731" s="25"/>
      <c r="O9731" s="25"/>
    </row>
    <row r="9732" ht="15.75" customHeight="1">
      <c r="C9732" s="46"/>
      <c r="D9732" s="25"/>
      <c r="F9732" s="25"/>
      <c r="I9732" s="26"/>
      <c r="M9732" s="25"/>
      <c r="O9732" s="25"/>
    </row>
    <row r="9733" ht="15.75" customHeight="1">
      <c r="C9733" s="46"/>
      <c r="D9733" s="25"/>
      <c r="F9733" s="25"/>
      <c r="I9733" s="26"/>
      <c r="M9733" s="25"/>
      <c r="O9733" s="25"/>
    </row>
    <row r="9734" ht="15.75" customHeight="1">
      <c r="C9734" s="46"/>
      <c r="D9734" s="25"/>
      <c r="F9734" s="25"/>
      <c r="I9734" s="26"/>
      <c r="M9734" s="25"/>
      <c r="O9734" s="25"/>
    </row>
    <row r="9735" ht="15.75" customHeight="1">
      <c r="C9735" s="46"/>
      <c r="D9735" s="25"/>
      <c r="F9735" s="25"/>
      <c r="I9735" s="26"/>
      <c r="M9735" s="25"/>
      <c r="O9735" s="25"/>
    </row>
    <row r="9736" ht="15.75" customHeight="1">
      <c r="C9736" s="46"/>
      <c r="D9736" s="25"/>
      <c r="F9736" s="25"/>
      <c r="I9736" s="26"/>
      <c r="M9736" s="25"/>
      <c r="O9736" s="25"/>
    </row>
    <row r="9737" ht="15.75" customHeight="1">
      <c r="C9737" s="46"/>
      <c r="D9737" s="25"/>
      <c r="F9737" s="25"/>
      <c r="I9737" s="26"/>
      <c r="M9737" s="25"/>
      <c r="O9737" s="25"/>
    </row>
    <row r="9738" ht="15.75" customHeight="1">
      <c r="C9738" s="46"/>
      <c r="D9738" s="25"/>
      <c r="F9738" s="25"/>
      <c r="I9738" s="26"/>
      <c r="M9738" s="25"/>
      <c r="O9738" s="25"/>
    </row>
    <row r="9739" ht="15.75" customHeight="1">
      <c r="C9739" s="46"/>
      <c r="D9739" s="25"/>
      <c r="F9739" s="25"/>
      <c r="I9739" s="26"/>
      <c r="M9739" s="25"/>
      <c r="O9739" s="25"/>
    </row>
    <row r="9740" ht="15.75" customHeight="1">
      <c r="C9740" s="46"/>
      <c r="D9740" s="25"/>
      <c r="F9740" s="25"/>
      <c r="I9740" s="26"/>
      <c r="M9740" s="25"/>
      <c r="O9740" s="25"/>
    </row>
    <row r="9741" ht="15.75" customHeight="1">
      <c r="C9741" s="46"/>
      <c r="D9741" s="25"/>
      <c r="F9741" s="25"/>
      <c r="I9741" s="26"/>
      <c r="M9741" s="25"/>
      <c r="O9741" s="25"/>
    </row>
    <row r="9742" ht="15.75" customHeight="1">
      <c r="C9742" s="46"/>
      <c r="D9742" s="25"/>
      <c r="F9742" s="25"/>
      <c r="I9742" s="26"/>
      <c r="M9742" s="25"/>
      <c r="O9742" s="25"/>
    </row>
    <row r="9743" ht="15.75" customHeight="1">
      <c r="C9743" s="46"/>
      <c r="D9743" s="25"/>
      <c r="F9743" s="25"/>
      <c r="I9743" s="26"/>
      <c r="M9743" s="25"/>
      <c r="O9743" s="25"/>
    </row>
    <row r="9744" ht="15.75" customHeight="1">
      <c r="C9744" s="46"/>
      <c r="D9744" s="25"/>
      <c r="F9744" s="25"/>
      <c r="I9744" s="26"/>
      <c r="M9744" s="25"/>
      <c r="O9744" s="25"/>
    </row>
    <row r="9745" ht="15.75" customHeight="1">
      <c r="C9745" s="46"/>
      <c r="D9745" s="25"/>
      <c r="F9745" s="25"/>
      <c r="I9745" s="26"/>
      <c r="M9745" s="25"/>
      <c r="O9745" s="25"/>
    </row>
    <row r="9746" ht="15.75" customHeight="1">
      <c r="C9746" s="46"/>
      <c r="D9746" s="25"/>
      <c r="F9746" s="25"/>
      <c r="I9746" s="26"/>
      <c r="M9746" s="25"/>
      <c r="O9746" s="25"/>
    </row>
    <row r="9747" ht="15.75" customHeight="1">
      <c r="C9747" s="46"/>
      <c r="D9747" s="25"/>
      <c r="F9747" s="25"/>
      <c r="I9747" s="26"/>
      <c r="M9747" s="25"/>
      <c r="O9747" s="25"/>
    </row>
    <row r="9748" ht="15.75" customHeight="1">
      <c r="C9748" s="46"/>
      <c r="D9748" s="25"/>
      <c r="F9748" s="25"/>
      <c r="I9748" s="26"/>
      <c r="M9748" s="25"/>
      <c r="O9748" s="25"/>
    </row>
    <row r="9749" ht="15.75" customHeight="1">
      <c r="C9749" s="46"/>
      <c r="D9749" s="25"/>
      <c r="F9749" s="25"/>
      <c r="I9749" s="26"/>
      <c r="M9749" s="25"/>
      <c r="O9749" s="25"/>
    </row>
    <row r="9750" ht="15.75" customHeight="1">
      <c r="C9750" s="46"/>
      <c r="D9750" s="25"/>
      <c r="F9750" s="25"/>
      <c r="I9750" s="26"/>
      <c r="M9750" s="25"/>
      <c r="O9750" s="25"/>
    </row>
    <row r="9751" ht="15.75" customHeight="1">
      <c r="C9751" s="46"/>
      <c r="D9751" s="25"/>
      <c r="F9751" s="25"/>
      <c r="I9751" s="26"/>
      <c r="M9751" s="25"/>
      <c r="O9751" s="25"/>
    </row>
    <row r="9752" ht="15.75" customHeight="1">
      <c r="C9752" s="46"/>
      <c r="D9752" s="25"/>
      <c r="F9752" s="25"/>
      <c r="I9752" s="26"/>
      <c r="M9752" s="25"/>
      <c r="O9752" s="25"/>
    </row>
    <row r="9753" ht="15.75" customHeight="1">
      <c r="C9753" s="46"/>
      <c r="D9753" s="25"/>
      <c r="F9753" s="25"/>
      <c r="I9753" s="26"/>
      <c r="M9753" s="25"/>
      <c r="O9753" s="25"/>
    </row>
    <row r="9754" ht="15.75" customHeight="1">
      <c r="C9754" s="46"/>
      <c r="D9754" s="25"/>
      <c r="F9754" s="25"/>
      <c r="I9754" s="26"/>
      <c r="M9754" s="25"/>
      <c r="O9754" s="25"/>
    </row>
    <row r="9755" ht="15.75" customHeight="1">
      <c r="C9755" s="46"/>
      <c r="D9755" s="25"/>
      <c r="F9755" s="25"/>
      <c r="I9755" s="26"/>
      <c r="M9755" s="25"/>
      <c r="O9755" s="25"/>
    </row>
    <row r="9756" ht="15.75" customHeight="1">
      <c r="C9756" s="46"/>
      <c r="D9756" s="25"/>
      <c r="F9756" s="25"/>
      <c r="I9756" s="26"/>
      <c r="M9756" s="25"/>
      <c r="O9756" s="25"/>
    </row>
    <row r="9757" ht="15.75" customHeight="1">
      <c r="C9757" s="46"/>
      <c r="D9757" s="25"/>
      <c r="F9757" s="25"/>
      <c r="I9757" s="26"/>
      <c r="M9757" s="25"/>
      <c r="O9757" s="25"/>
    </row>
    <row r="9758" ht="15.75" customHeight="1">
      <c r="C9758" s="46"/>
      <c r="D9758" s="25"/>
      <c r="F9758" s="25"/>
      <c r="I9758" s="26"/>
      <c r="M9758" s="25"/>
      <c r="O9758" s="25"/>
    </row>
    <row r="9759" ht="15.75" customHeight="1">
      <c r="C9759" s="46"/>
      <c r="D9759" s="25"/>
      <c r="F9759" s="25"/>
      <c r="I9759" s="26"/>
      <c r="M9759" s="25"/>
      <c r="O9759" s="25"/>
    </row>
    <row r="9760" ht="15.75" customHeight="1">
      <c r="C9760" s="46"/>
      <c r="D9760" s="25"/>
      <c r="F9760" s="25"/>
      <c r="I9760" s="26"/>
      <c r="M9760" s="25"/>
      <c r="O9760" s="25"/>
    </row>
    <row r="9761" ht="15.75" customHeight="1">
      <c r="C9761" s="46"/>
      <c r="D9761" s="25"/>
      <c r="F9761" s="25"/>
      <c r="I9761" s="26"/>
      <c r="M9761" s="25"/>
      <c r="O9761" s="25"/>
    </row>
    <row r="9762" ht="15.75" customHeight="1">
      <c r="C9762" s="46"/>
      <c r="D9762" s="25"/>
      <c r="F9762" s="25"/>
      <c r="I9762" s="26"/>
      <c r="M9762" s="25"/>
      <c r="O9762" s="25"/>
    </row>
    <row r="9763" ht="15.75" customHeight="1">
      <c r="C9763" s="46"/>
      <c r="D9763" s="25"/>
      <c r="F9763" s="25"/>
      <c r="I9763" s="26"/>
      <c r="M9763" s="25"/>
      <c r="O9763" s="25"/>
    </row>
    <row r="9764" ht="15.75" customHeight="1">
      <c r="C9764" s="46"/>
      <c r="D9764" s="25"/>
      <c r="F9764" s="25"/>
      <c r="I9764" s="26"/>
      <c r="M9764" s="25"/>
      <c r="O9764" s="25"/>
    </row>
    <row r="9765" ht="15.75" customHeight="1">
      <c r="C9765" s="46"/>
      <c r="D9765" s="25"/>
      <c r="F9765" s="25"/>
      <c r="I9765" s="26"/>
      <c r="M9765" s="25"/>
      <c r="O9765" s="25"/>
    </row>
    <row r="9766" ht="15.75" customHeight="1">
      <c r="C9766" s="46"/>
      <c r="D9766" s="25"/>
      <c r="F9766" s="25"/>
      <c r="I9766" s="26"/>
      <c r="M9766" s="25"/>
      <c r="O9766" s="25"/>
    </row>
    <row r="9767" ht="15.75" customHeight="1">
      <c r="C9767" s="46"/>
      <c r="D9767" s="25"/>
      <c r="F9767" s="25"/>
      <c r="I9767" s="26"/>
      <c r="M9767" s="25"/>
      <c r="O9767" s="25"/>
    </row>
    <row r="9768" ht="15.75" customHeight="1">
      <c r="C9768" s="46"/>
      <c r="D9768" s="25"/>
      <c r="F9768" s="25"/>
      <c r="I9768" s="26"/>
      <c r="M9768" s="25"/>
      <c r="O9768" s="25"/>
    </row>
    <row r="9769" ht="15.75" customHeight="1">
      <c r="C9769" s="46"/>
      <c r="D9769" s="25"/>
      <c r="F9769" s="25"/>
      <c r="I9769" s="26"/>
      <c r="M9769" s="25"/>
      <c r="O9769" s="25"/>
    </row>
    <row r="9770" ht="15.75" customHeight="1">
      <c r="C9770" s="46"/>
      <c r="D9770" s="25"/>
      <c r="F9770" s="25"/>
      <c r="I9770" s="26"/>
      <c r="M9770" s="25"/>
      <c r="O9770" s="25"/>
    </row>
    <row r="9771" ht="15.75" customHeight="1">
      <c r="C9771" s="46"/>
      <c r="D9771" s="25"/>
      <c r="F9771" s="25"/>
      <c r="I9771" s="26"/>
      <c r="M9771" s="25"/>
      <c r="O9771" s="25"/>
    </row>
    <row r="9772" ht="15.75" customHeight="1">
      <c r="C9772" s="46"/>
      <c r="D9772" s="25"/>
      <c r="F9772" s="25"/>
      <c r="I9772" s="26"/>
      <c r="M9772" s="25"/>
      <c r="O9772" s="25"/>
    </row>
    <row r="9773" ht="15.75" customHeight="1">
      <c r="C9773" s="46"/>
      <c r="D9773" s="25"/>
      <c r="F9773" s="25"/>
      <c r="I9773" s="26"/>
      <c r="M9773" s="25"/>
      <c r="O9773" s="25"/>
    </row>
    <row r="9774" ht="15.75" customHeight="1">
      <c r="C9774" s="46"/>
      <c r="D9774" s="25"/>
      <c r="F9774" s="25"/>
      <c r="I9774" s="26"/>
      <c r="M9774" s="25"/>
      <c r="O9774" s="25"/>
    </row>
    <row r="9775" ht="15.75" customHeight="1">
      <c r="C9775" s="46"/>
      <c r="D9775" s="25"/>
      <c r="F9775" s="25"/>
      <c r="I9775" s="26"/>
      <c r="M9775" s="25"/>
      <c r="O9775" s="25"/>
    </row>
    <row r="9776" ht="15.75" customHeight="1">
      <c r="C9776" s="46"/>
      <c r="D9776" s="25"/>
      <c r="F9776" s="25"/>
      <c r="I9776" s="26"/>
      <c r="M9776" s="25"/>
      <c r="O9776" s="25"/>
    </row>
    <row r="9777" ht="15.75" customHeight="1">
      <c r="C9777" s="46"/>
      <c r="D9777" s="25"/>
      <c r="F9777" s="25"/>
      <c r="I9777" s="26"/>
      <c r="M9777" s="25"/>
      <c r="O9777" s="25"/>
    </row>
    <row r="9778" ht="15.75" customHeight="1">
      <c r="C9778" s="46"/>
      <c r="D9778" s="25"/>
      <c r="F9778" s="25"/>
      <c r="I9778" s="26"/>
      <c r="M9778" s="25"/>
      <c r="O9778" s="25"/>
    </row>
    <row r="9779" ht="15.75" customHeight="1">
      <c r="C9779" s="46"/>
      <c r="D9779" s="25"/>
      <c r="F9779" s="25"/>
      <c r="I9779" s="26"/>
      <c r="M9779" s="25"/>
      <c r="O9779" s="25"/>
    </row>
    <row r="9780" ht="15.75" customHeight="1">
      <c r="C9780" s="46"/>
      <c r="D9780" s="25"/>
      <c r="F9780" s="25"/>
      <c r="I9780" s="26"/>
      <c r="M9780" s="25"/>
      <c r="O9780" s="25"/>
    </row>
    <row r="9781" ht="15.75" customHeight="1">
      <c r="C9781" s="46"/>
      <c r="D9781" s="25"/>
      <c r="F9781" s="25"/>
      <c r="I9781" s="26"/>
      <c r="M9781" s="25"/>
      <c r="O9781" s="25"/>
    </row>
    <row r="9782" ht="15.75" customHeight="1">
      <c r="C9782" s="46"/>
      <c r="D9782" s="25"/>
      <c r="F9782" s="25"/>
      <c r="I9782" s="26"/>
      <c r="M9782" s="25"/>
      <c r="O9782" s="25"/>
    </row>
    <row r="9783" ht="15.75" customHeight="1">
      <c r="C9783" s="46"/>
      <c r="D9783" s="25"/>
      <c r="F9783" s="25"/>
      <c r="I9783" s="26"/>
      <c r="M9783" s="25"/>
      <c r="O9783" s="25"/>
    </row>
    <row r="9784" ht="15.75" customHeight="1">
      <c r="C9784" s="46"/>
      <c r="D9784" s="25"/>
      <c r="F9784" s="25"/>
      <c r="I9784" s="26"/>
      <c r="M9784" s="25"/>
      <c r="O9784" s="25"/>
    </row>
    <row r="9785" ht="15.75" customHeight="1">
      <c r="C9785" s="46"/>
      <c r="D9785" s="25"/>
      <c r="F9785" s="25"/>
      <c r="I9785" s="26"/>
      <c r="M9785" s="25"/>
      <c r="O9785" s="25"/>
    </row>
    <row r="9786" ht="15.75" customHeight="1">
      <c r="C9786" s="46"/>
      <c r="D9786" s="25"/>
      <c r="F9786" s="25"/>
      <c r="I9786" s="26"/>
      <c r="M9786" s="25"/>
      <c r="O9786" s="25"/>
    </row>
    <row r="9787" ht="15.75" customHeight="1">
      <c r="C9787" s="46"/>
      <c r="D9787" s="25"/>
      <c r="F9787" s="25"/>
      <c r="I9787" s="26"/>
      <c r="M9787" s="25"/>
      <c r="O9787" s="25"/>
    </row>
    <row r="9788" ht="15.75" customHeight="1">
      <c r="C9788" s="46"/>
      <c r="D9788" s="25"/>
      <c r="F9788" s="25"/>
      <c r="I9788" s="26"/>
      <c r="M9788" s="25"/>
      <c r="O9788" s="25"/>
    </row>
    <row r="9789" ht="15.75" customHeight="1">
      <c r="C9789" s="46"/>
      <c r="D9789" s="25"/>
      <c r="F9789" s="25"/>
      <c r="I9789" s="26"/>
      <c r="M9789" s="25"/>
      <c r="O9789" s="25"/>
    </row>
    <row r="9790" ht="15.75" customHeight="1">
      <c r="C9790" s="46"/>
      <c r="D9790" s="25"/>
      <c r="F9790" s="25"/>
      <c r="I9790" s="26"/>
      <c r="M9790" s="25"/>
      <c r="O9790" s="25"/>
    </row>
    <row r="9791" ht="15.75" customHeight="1">
      <c r="C9791" s="46"/>
      <c r="D9791" s="25"/>
      <c r="F9791" s="25"/>
      <c r="I9791" s="26"/>
      <c r="M9791" s="25"/>
      <c r="O9791" s="25"/>
    </row>
    <row r="9792" ht="15.75" customHeight="1">
      <c r="C9792" s="46"/>
      <c r="D9792" s="25"/>
      <c r="F9792" s="25"/>
      <c r="I9792" s="26"/>
      <c r="M9792" s="25"/>
      <c r="O9792" s="25"/>
    </row>
    <row r="9793" ht="15.75" customHeight="1">
      <c r="C9793" s="46"/>
      <c r="D9793" s="25"/>
      <c r="F9793" s="25"/>
      <c r="I9793" s="26"/>
      <c r="M9793" s="25"/>
      <c r="O9793" s="25"/>
    </row>
    <row r="9794" ht="15.75" customHeight="1">
      <c r="C9794" s="46"/>
      <c r="D9794" s="25"/>
      <c r="F9794" s="25"/>
      <c r="I9794" s="26"/>
      <c r="M9794" s="25"/>
      <c r="O9794" s="25"/>
    </row>
    <row r="9795" ht="15.75" customHeight="1">
      <c r="C9795" s="46"/>
      <c r="D9795" s="25"/>
      <c r="F9795" s="25"/>
      <c r="I9795" s="26"/>
      <c r="M9795" s="25"/>
      <c r="O9795" s="25"/>
    </row>
    <row r="9796" ht="15.75" customHeight="1">
      <c r="C9796" s="46"/>
      <c r="D9796" s="25"/>
      <c r="F9796" s="25"/>
      <c r="I9796" s="26"/>
      <c r="M9796" s="25"/>
      <c r="O9796" s="25"/>
    </row>
    <row r="9797" ht="15.75" customHeight="1">
      <c r="C9797" s="46"/>
      <c r="D9797" s="25"/>
      <c r="F9797" s="25"/>
      <c r="I9797" s="26"/>
      <c r="M9797" s="25"/>
      <c r="O9797" s="25"/>
    </row>
    <row r="9798" ht="15.75" customHeight="1">
      <c r="C9798" s="46"/>
      <c r="D9798" s="25"/>
      <c r="F9798" s="25"/>
      <c r="I9798" s="26"/>
      <c r="M9798" s="25"/>
      <c r="O9798" s="25"/>
    </row>
    <row r="9799" ht="15.75" customHeight="1">
      <c r="C9799" s="46"/>
      <c r="D9799" s="25"/>
      <c r="F9799" s="25"/>
      <c r="I9799" s="26"/>
      <c r="M9799" s="25"/>
      <c r="O9799" s="25"/>
    </row>
    <row r="9800" ht="15.75" customHeight="1">
      <c r="C9800" s="46"/>
      <c r="D9800" s="25"/>
      <c r="F9800" s="25"/>
      <c r="I9800" s="26"/>
      <c r="M9800" s="25"/>
      <c r="O9800" s="25"/>
    </row>
    <row r="9801" ht="15.75" customHeight="1">
      <c r="C9801" s="46"/>
      <c r="D9801" s="25"/>
      <c r="F9801" s="25"/>
      <c r="I9801" s="26"/>
      <c r="M9801" s="25"/>
      <c r="O9801" s="25"/>
    </row>
    <row r="9802" ht="15.75" customHeight="1">
      <c r="C9802" s="46"/>
      <c r="D9802" s="25"/>
      <c r="F9802" s="25"/>
      <c r="I9802" s="26"/>
      <c r="M9802" s="25"/>
      <c r="O9802" s="25"/>
    </row>
    <row r="9803" ht="15.75" customHeight="1">
      <c r="C9803" s="46"/>
      <c r="D9803" s="25"/>
      <c r="F9803" s="25"/>
      <c r="I9803" s="26"/>
      <c r="M9803" s="25"/>
      <c r="O9803" s="25"/>
    </row>
    <row r="9804" ht="15.75" customHeight="1">
      <c r="C9804" s="46"/>
      <c r="D9804" s="25"/>
      <c r="F9804" s="25"/>
      <c r="I9804" s="26"/>
      <c r="M9804" s="25"/>
      <c r="O9804" s="25"/>
    </row>
    <row r="9805" ht="15.75" customHeight="1">
      <c r="C9805" s="46"/>
      <c r="D9805" s="25"/>
      <c r="F9805" s="25"/>
      <c r="I9805" s="26"/>
      <c r="M9805" s="25"/>
      <c r="O9805" s="25"/>
    </row>
    <row r="9806" ht="15.75" customHeight="1">
      <c r="C9806" s="46"/>
      <c r="D9806" s="25"/>
      <c r="F9806" s="25"/>
      <c r="I9806" s="26"/>
      <c r="M9806" s="25"/>
      <c r="O9806" s="25"/>
    </row>
    <row r="9807" ht="15.75" customHeight="1">
      <c r="C9807" s="46"/>
      <c r="D9807" s="25"/>
      <c r="F9807" s="25"/>
      <c r="I9807" s="26"/>
      <c r="M9807" s="25"/>
      <c r="O9807" s="25"/>
    </row>
    <row r="9808" ht="15.75" customHeight="1">
      <c r="C9808" s="46"/>
      <c r="D9808" s="25"/>
      <c r="F9808" s="25"/>
      <c r="I9808" s="26"/>
      <c r="M9808" s="25"/>
      <c r="O9808" s="25"/>
    </row>
    <row r="9809" ht="15.75" customHeight="1">
      <c r="C9809" s="46"/>
      <c r="D9809" s="25"/>
      <c r="F9809" s="25"/>
      <c r="I9809" s="26"/>
      <c r="M9809" s="25"/>
      <c r="O9809" s="25"/>
    </row>
    <row r="9810" ht="15.75" customHeight="1">
      <c r="C9810" s="46"/>
      <c r="D9810" s="25"/>
      <c r="F9810" s="25"/>
      <c r="I9810" s="26"/>
      <c r="M9810" s="25"/>
      <c r="O9810" s="25"/>
    </row>
    <row r="9811" ht="15.75" customHeight="1">
      <c r="C9811" s="46"/>
      <c r="D9811" s="25"/>
      <c r="F9811" s="25"/>
      <c r="I9811" s="26"/>
      <c r="M9811" s="25"/>
      <c r="O9811" s="25"/>
    </row>
    <row r="9812" ht="15.75" customHeight="1">
      <c r="C9812" s="46"/>
      <c r="D9812" s="25"/>
      <c r="F9812" s="25"/>
      <c r="I9812" s="26"/>
      <c r="M9812" s="25"/>
      <c r="O9812" s="25"/>
    </row>
    <row r="9813" ht="15.75" customHeight="1">
      <c r="C9813" s="46"/>
      <c r="D9813" s="25"/>
      <c r="F9813" s="25"/>
      <c r="I9813" s="26"/>
      <c r="M9813" s="25"/>
      <c r="O9813" s="25"/>
    </row>
    <row r="9814" ht="15.75" customHeight="1">
      <c r="C9814" s="46"/>
      <c r="D9814" s="25"/>
      <c r="F9814" s="25"/>
      <c r="I9814" s="26"/>
      <c r="M9814" s="25"/>
      <c r="O9814" s="25"/>
    </row>
    <row r="9815" ht="15.75" customHeight="1">
      <c r="C9815" s="46"/>
      <c r="D9815" s="25"/>
      <c r="F9815" s="25"/>
      <c r="I9815" s="26"/>
      <c r="M9815" s="25"/>
      <c r="O9815" s="25"/>
    </row>
    <row r="9816" ht="15.75" customHeight="1">
      <c r="C9816" s="46"/>
      <c r="D9816" s="25"/>
      <c r="F9816" s="25"/>
      <c r="I9816" s="26"/>
      <c r="M9816" s="25"/>
      <c r="O9816" s="25"/>
    </row>
    <row r="9817" ht="15.75" customHeight="1">
      <c r="C9817" s="46"/>
      <c r="D9817" s="25"/>
      <c r="F9817" s="25"/>
      <c r="I9817" s="26"/>
      <c r="M9817" s="25"/>
      <c r="O9817" s="25"/>
    </row>
    <row r="9818" ht="15.75" customHeight="1">
      <c r="C9818" s="46"/>
      <c r="D9818" s="25"/>
      <c r="F9818" s="25"/>
      <c r="I9818" s="26"/>
      <c r="M9818" s="25"/>
      <c r="O9818" s="25"/>
    </row>
  </sheetData>
  <conditionalFormatting sqref="A2:P107841">
    <cfRule type="expression" dxfId="0" priority="1" stopIfTrue="1">
      <formula>AND($C2&lt;&gt;"", OR($F2="", $I2=""))</formula>
    </cfRule>
  </conditionalFormatting>
  <dataValidations>
    <dataValidation type="list" allowBlank="1" sqref="D2:D4108 D4110:D5179 D5181:D9818">
      <formula1>"maheesha,menik,kavinda,umesh,Avishka,Wihanga,muthumali,shamali,Ama,kushalya"</formula1>
    </dataValidation>
    <dataValidation type="list" allowBlank="1" sqref="M2:M9818 O2:O9818">
      <formula1>"Yes,No"</formula1>
    </dataValidation>
    <dataValidation type="list" allowBlank="1" sqref="F2:F4311 F4313:F9818">
      <formula1>"New,Contacted,Interested,Converted,No Answer,Not Interested,Follow-up,Second Call Pending,Off,Invalid,Wrong number,Busy,Call Another Number"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E4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14"/>
    <col customWidth="1" min="5" max="5" width="27.29"/>
    <col customWidth="1" min="6" max="6" width="20.0"/>
    <col customWidth="1" min="7" max="7" width="18.0"/>
    <col customWidth="1" min="8" max="8" width="14.0"/>
    <col customWidth="1" min="9" max="9" width="25.0"/>
    <col customWidth="1" min="10" max="26" width="8.71"/>
  </cols>
  <sheetData>
    <row r="1" ht="27.75" customHeight="1">
      <c r="A1" s="3" t="s">
        <v>0</v>
      </c>
      <c r="B1" s="6" t="s">
        <v>5</v>
      </c>
      <c r="C1" s="9" t="s">
        <v>9</v>
      </c>
      <c r="D1" s="9" t="s">
        <v>12</v>
      </c>
      <c r="E1" s="12" t="s">
        <v>16</v>
      </c>
      <c r="F1" s="16" t="s">
        <v>21</v>
      </c>
      <c r="G1" s="16" t="s">
        <v>24</v>
      </c>
      <c r="H1" s="19" t="s">
        <v>25</v>
      </c>
      <c r="I1" s="19" t="s">
        <v>27</v>
      </c>
    </row>
    <row r="2" ht="21.75" customHeight="1">
      <c r="A2" s="22" t="s">
        <v>29</v>
      </c>
      <c r="B2" s="30">
        <f>COUNTIF('Master Leads'!D:D,A2)</f>
        <v>29</v>
      </c>
      <c r="C2" s="32">
        <f>COUNTIFS('Master Leads'!D:D,A2,'Master Leads'!F:F,"Converted")</f>
        <v>0</v>
      </c>
      <c r="D2" s="32">
        <f>COUNTIFS('Master Leads'!D:D,A2,'Master Leads'!O:O,"Yes")</f>
        <v>1</v>
      </c>
      <c r="E2" s="34">
        <f>COUNTIFS('Master Leads'!D:D,A2,'Master Leads'!F:F,"No Answer")</f>
        <v>9</v>
      </c>
      <c r="F2" s="36">
        <f t="shared" ref="F2:F11" si="1">IFERROR(C2/B2,"-")</f>
        <v>0</v>
      </c>
      <c r="G2" s="36">
        <f t="shared" ref="G2:G11" si="2">IFERROR(D2/B2,"-")</f>
        <v>0.03448275862</v>
      </c>
      <c r="H2" s="37"/>
      <c r="I2" s="38"/>
    </row>
    <row r="3" ht="21.75" customHeight="1">
      <c r="A3" s="39" t="s">
        <v>50</v>
      </c>
      <c r="B3" s="40">
        <f>COUNTIF('Master Leads'!D:D,A3)</f>
        <v>0</v>
      </c>
      <c r="C3" s="41">
        <f>COUNTIFS('Master Leads'!D:D,A3,'Master Leads'!F:F,"Converted")</f>
        <v>0</v>
      </c>
      <c r="D3" s="41">
        <f>COUNTIFS('Master Leads'!D:D,A3,'Master Leads'!O:O,"Yes")</f>
        <v>0</v>
      </c>
      <c r="E3" s="42">
        <f>COUNTIFS('Master Leads'!D:D,A3,'Master Leads'!F:F,"No Answer")</f>
        <v>0</v>
      </c>
      <c r="F3" s="43" t="str">
        <f t="shared" si="1"/>
        <v>-</v>
      </c>
      <c r="G3" s="43" t="str">
        <f t="shared" si="2"/>
        <v>-</v>
      </c>
      <c r="H3" s="44"/>
      <c r="I3" s="45"/>
    </row>
    <row r="4" ht="21.75" customHeight="1">
      <c r="A4" s="22" t="s">
        <v>45</v>
      </c>
      <c r="B4" s="30">
        <f>COUNTIF('Master Leads'!D:D,A4)</f>
        <v>1722</v>
      </c>
      <c r="C4" s="32">
        <f>COUNTIFS('Master Leads'!D:D,A4,'Master Leads'!F:F,"Converted")</f>
        <v>12</v>
      </c>
      <c r="D4" s="32">
        <f>COUNTIFS('Master Leads'!D:D,A4,'Master Leads'!O:O,"Yes")</f>
        <v>60</v>
      </c>
      <c r="E4" s="34">
        <f>COUNTIFS('Master Leads'!D:D,A4,'Master Leads'!F:F,"No Answer")</f>
        <v>438</v>
      </c>
      <c r="F4" s="36">
        <f t="shared" si="1"/>
        <v>0.006968641115</v>
      </c>
      <c r="G4" s="36">
        <f t="shared" si="2"/>
        <v>0.03484320557</v>
      </c>
      <c r="H4" s="37"/>
      <c r="I4" s="38"/>
    </row>
    <row r="5" ht="21.75" customHeight="1">
      <c r="A5" s="39" t="s">
        <v>37</v>
      </c>
      <c r="B5" s="40">
        <f>COUNTIF('Master Leads'!D:D,A5)</f>
        <v>657</v>
      </c>
      <c r="C5" s="41">
        <f>COUNTIFS('Master Leads'!D:D,A5,'Master Leads'!F:F,"Converted")</f>
        <v>11</v>
      </c>
      <c r="D5" s="48">
        <v>14.0</v>
      </c>
      <c r="E5" s="42">
        <f>COUNTIFS('Master Leads'!D:D,A5,'Master Leads'!F:F,"No Answer")</f>
        <v>161</v>
      </c>
      <c r="F5" s="43">
        <f t="shared" si="1"/>
        <v>0.01674277017</v>
      </c>
      <c r="G5" s="43">
        <f t="shared" si="2"/>
        <v>0.02130898021</v>
      </c>
      <c r="H5" s="44"/>
      <c r="I5" s="45"/>
    </row>
    <row r="6" ht="21.75" customHeight="1">
      <c r="A6" s="22" t="s">
        <v>69</v>
      </c>
      <c r="B6" s="30">
        <f>COUNTIF('Master Leads'!D:D,A6)</f>
        <v>87</v>
      </c>
      <c r="C6" s="32">
        <f>COUNTIFS('Master Leads'!D:D,A6,'Master Leads'!F:F,"Converted")</f>
        <v>0</v>
      </c>
      <c r="D6" s="32">
        <f>COUNTIFS('Master Leads'!D:D,A6,'Master Leads'!O:O,"Yes")</f>
        <v>2</v>
      </c>
      <c r="E6" s="34">
        <f>COUNTIFS('Master Leads'!D:D,A6,'Master Leads'!F:F,"No Answer")</f>
        <v>20</v>
      </c>
      <c r="F6" s="36">
        <f t="shared" si="1"/>
        <v>0</v>
      </c>
      <c r="G6" s="36">
        <f t="shared" si="2"/>
        <v>0.02298850575</v>
      </c>
      <c r="H6" s="37"/>
      <c r="I6" s="38"/>
    </row>
    <row r="7" ht="21.75" customHeight="1">
      <c r="A7" s="39" t="s">
        <v>72</v>
      </c>
      <c r="B7" s="40">
        <f>COUNTIF('Master Leads'!D:D,A7)</f>
        <v>0</v>
      </c>
      <c r="C7" s="41">
        <f>COUNTIFS('Master Leads'!D:D,A7,'Master Leads'!F:F,"Converted")</f>
        <v>0</v>
      </c>
      <c r="D7" s="41">
        <f>COUNTIFS('Master Leads'!D:D,A7,'Master Leads'!O:O,"Yes")</f>
        <v>0</v>
      </c>
      <c r="E7" s="42">
        <f>COUNTIFS('Master Leads'!D:D,A7,'Master Leads'!F:F,"No Answer")</f>
        <v>0</v>
      </c>
      <c r="F7" s="43" t="str">
        <f t="shared" si="1"/>
        <v>-</v>
      </c>
      <c r="G7" s="43" t="str">
        <f t="shared" si="2"/>
        <v>-</v>
      </c>
      <c r="H7" s="44"/>
      <c r="I7" s="45"/>
    </row>
    <row r="8" ht="21.75" customHeight="1">
      <c r="A8" s="22" t="s">
        <v>49</v>
      </c>
      <c r="B8" s="30">
        <f>COUNTIF('Master Leads'!D:D,A8)</f>
        <v>1539</v>
      </c>
      <c r="C8" s="32">
        <f>COUNTIFS('Master Leads'!D:D,A8,'Master Leads'!F:F,"Converted")</f>
        <v>0</v>
      </c>
      <c r="D8" s="32">
        <f>COUNTIFS('Master Leads'!D:D,A8,'Master Leads'!O:O,"Yes")</f>
        <v>52</v>
      </c>
      <c r="E8" s="34">
        <f>COUNTIFS('Master Leads'!D:D,A8,'Master Leads'!F:F,"No Answer")</f>
        <v>333</v>
      </c>
      <c r="F8" s="36">
        <f t="shared" si="1"/>
        <v>0</v>
      </c>
      <c r="G8" s="36">
        <f t="shared" si="2"/>
        <v>0.03378817414</v>
      </c>
      <c r="H8" s="37"/>
      <c r="I8" s="38"/>
    </row>
    <row r="9" ht="21.75" customHeight="1">
      <c r="A9" s="39" t="s">
        <v>56</v>
      </c>
      <c r="B9" s="40">
        <f>COUNTIF('Master Leads'!D:D,A9)</f>
        <v>1899</v>
      </c>
      <c r="C9" s="41">
        <f>COUNTIFS('Master Leads'!D:D,A9,'Master Leads'!F:F,"Converted")</f>
        <v>20</v>
      </c>
      <c r="D9" s="41">
        <f>COUNTIFS('Master Leads'!D:D,A9,'Master Leads'!O:O,"Yes")</f>
        <v>63</v>
      </c>
      <c r="E9" s="42">
        <f>COUNTIFS('Master Leads'!D:D,A9,'Master Leads'!F:F,"No Answer")</f>
        <v>447</v>
      </c>
      <c r="F9" s="43">
        <f t="shared" si="1"/>
        <v>0.01053185887</v>
      </c>
      <c r="G9" s="43">
        <f t="shared" si="2"/>
        <v>0.03317535545</v>
      </c>
      <c r="H9" s="44"/>
      <c r="I9" s="45"/>
    </row>
    <row r="10" ht="24.0" customHeight="1">
      <c r="A10" s="55" t="s">
        <v>82</v>
      </c>
      <c r="B10" s="40">
        <f>COUNTIF('Master Leads'!D:D,A10)</f>
        <v>1568</v>
      </c>
      <c r="C10" s="41">
        <f>COUNTIFS('Master Leads'!D:D,A10,'Master Leads'!F:F,"Converted")</f>
        <v>3</v>
      </c>
      <c r="D10" s="41">
        <f>COUNTIFS('Master Leads'!D:D,A10,'Master Leads'!O:O,"Yes")</f>
        <v>56</v>
      </c>
      <c r="E10" s="42">
        <f>COUNTIFS('Master Leads'!D:D,A10,'Master Leads'!F:F,"No Answer")</f>
        <v>413</v>
      </c>
      <c r="F10" s="56">
        <f t="shared" si="1"/>
        <v>0.001913265306</v>
      </c>
      <c r="G10" s="56">
        <f t="shared" si="2"/>
        <v>0.03571428571</v>
      </c>
      <c r="H10" s="44"/>
      <c r="I10" s="45"/>
    </row>
    <row r="11" ht="24.0" customHeight="1">
      <c r="A11" s="55" t="s">
        <v>64</v>
      </c>
      <c r="B11" s="40">
        <f>COUNTIF('Master Leads'!D:D,A11)</f>
        <v>1736</v>
      </c>
      <c r="C11" s="41">
        <f>COUNTIFS('Master Leads'!D:D,A11,'Master Leads'!F:F,"Converted")</f>
        <v>11</v>
      </c>
      <c r="D11" s="41">
        <f>COUNTIFS('Master Leads'!D:D,A11,'Master Leads'!O:O,"Yes")</f>
        <v>66</v>
      </c>
      <c r="E11" s="42">
        <f>COUNTIFS('Master Leads'!D:D,A11,'Master Leads'!F:F,"No Answer")</f>
        <v>403</v>
      </c>
      <c r="F11" s="56">
        <f t="shared" si="1"/>
        <v>0.00633640553</v>
      </c>
      <c r="G11" s="56">
        <f t="shared" si="2"/>
        <v>0.03801843318</v>
      </c>
      <c r="H11" s="44"/>
      <c r="I11" s="45"/>
    </row>
    <row r="12" ht="24.0" customHeight="1">
      <c r="A12" s="59" t="s">
        <v>92</v>
      </c>
      <c r="B12" s="60">
        <f>COUNTA('Master Leads'!B:B)-1</f>
        <v>9236</v>
      </c>
      <c r="C12" s="60">
        <f>COUNTIF('Master Leads'!F:F,"Converted")</f>
        <v>57</v>
      </c>
      <c r="D12" s="60">
        <f>COUNTIF('Master Leads'!O:O,"Yes")</f>
        <v>314</v>
      </c>
      <c r="E12" s="60">
        <f>COUNTIF('Master Leads'!F:F,"No Answer")</f>
        <v>2224</v>
      </c>
      <c r="F12" s="61"/>
      <c r="G12" s="61"/>
      <c r="H12" s="61"/>
      <c r="I12" s="6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7" width="13.0"/>
    <col customWidth="1" min="8" max="9" width="17.29"/>
    <col customWidth="1" min="10" max="10" width="1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33.75" customHeight="1">
      <c r="A2" s="5" t="s">
        <v>3</v>
      </c>
    </row>
    <row r="3" ht="19.5" customHeight="1">
      <c r="A3" s="8" t="s">
        <v>7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22.5" customHeight="1">
      <c r="A5" s="14" t="s">
        <v>15</v>
      </c>
      <c r="B5" s="18"/>
      <c r="C5" s="20" t="s">
        <v>26</v>
      </c>
      <c r="D5" s="18"/>
      <c r="E5" s="23" t="s">
        <v>28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24" t="s">
        <v>30</v>
      </c>
      <c r="B7" s="1"/>
      <c r="C7" s="1"/>
      <c r="D7" s="1"/>
      <c r="E7" s="1"/>
      <c r="F7" s="1"/>
      <c r="G7" s="1"/>
      <c r="H7" s="1"/>
      <c r="I7" s="1"/>
      <c r="J7" s="1"/>
    </row>
    <row r="8" ht="18.0" customHeight="1">
      <c r="A8" s="27" t="s">
        <v>6</v>
      </c>
      <c r="B8" s="29" t="s">
        <v>32</v>
      </c>
      <c r="C8" s="29" t="s">
        <v>33</v>
      </c>
      <c r="D8" s="29" t="s">
        <v>34</v>
      </c>
      <c r="E8" s="29" t="s">
        <v>35</v>
      </c>
      <c r="F8" s="29" t="s">
        <v>36</v>
      </c>
      <c r="G8" s="29" t="s">
        <v>38</v>
      </c>
      <c r="H8" s="27" t="s">
        <v>39</v>
      </c>
      <c r="I8" s="27" t="s">
        <v>40</v>
      </c>
      <c r="J8" s="1"/>
    </row>
    <row r="9">
      <c r="A9" s="33" t="str">
        <f t="array" ref="A9">IF(INDEX(Members!$A:$A,2)="","",INDEX(Members!$A:$A,2))</f>
        <v>maheesha</v>
      </c>
      <c r="B9" s="35">
        <f>IF($A9="","",SUMPRODUCT(('Master Leads'!$D:$D=$A9) * (ISNUMBER(SEARCH("6", 'Master Leads'!$G:$G))) * ('Master Leads'!$E:$E&gt;=IF(ISBLANK($B$5),0,$B$5)) * ('Master Leads'!$E:$E&lt;=IF(ISBLANK($D$5),99999,$D$5))))</f>
        <v>0</v>
      </c>
      <c r="C9" s="35">
        <f>IF($A9="","",SUMPRODUCT(('Master Leads'!$D:$D=$A9) * (ISNUMBER(SEARCH("7", 'Master Leads'!$G:$G))) * ('Master Leads'!$E:$E&gt;=IF(ISBLANK($B$5),0,$B$5)) * ('Master Leads'!$E:$E&lt;=IF(ISBLANK($D$5),99999,$D$5))))</f>
        <v>0</v>
      </c>
      <c r="D9" s="35">
        <f>IF($A9="","",SUMPRODUCT(('Master Leads'!$D:$D=$A9) * (ISNUMBER(SEARCH("8", 'Master Leads'!$G:$G))) * ('Master Leads'!$E:$E&gt;=IF(ISBLANK($B$5),0,$B$5)) * ('Master Leads'!$E:$E&lt;=IF(ISBLANK($D$5),99999,$D$5))))</f>
        <v>1</v>
      </c>
      <c r="E9" s="35">
        <f>IF($A9="","",SUMPRODUCT(('Master Leads'!$D:$D=$A9) * (ISNUMBER(SEARCH("9", 'Master Leads'!$G:$G))) * ('Master Leads'!$E:$E&gt;=IF(ISBLANK($B$5),0,$B$5)) * ('Master Leads'!$E:$E&lt;=IF(ISBLANK($D$5),99999,$D$5))))</f>
        <v>0</v>
      </c>
      <c r="F9" s="35">
        <f>IF($A9="","",SUMPRODUCT(('Master Leads'!$D:$D=$A9) * (ISNUMBER(SEARCH("10", 'Master Leads'!$G:$G))) * ('Master Leads'!$E:$E&gt;=IF(ISBLANK($B$5),0,$B$5)) * ('Master Leads'!$E:$E&lt;=IF(ISBLANK($D$5),99999,$D$5))))</f>
        <v>1</v>
      </c>
      <c r="G9" s="35">
        <f>IF($A9="","",SUMPRODUCT(('Master Leads'!$D:$D=$A9) * (ISNUMBER(SEARCH("11", 'Master Leads'!$G:$G))) * ('Master Leads'!$E:$E&gt;=IF(ISBLANK($B$5),0,$B$5)) * ('Master Leads'!$E:$E&lt;=IF(ISBLANK($D$5),99999,$D$5))))</f>
        <v>22</v>
      </c>
      <c r="H9" s="49">
        <f>IF($A9="","",COUNTIFS('Master Leads'!$D:$D,$A9,'Master Leads'!$E:$E,"&gt;="&amp;IF(ISBLANK($B$5),0,$B$5),'Master Leads'!$E:$E,"&lt;="&amp;IF(ISBLANK($D$5),99999,$D$5)))</f>
        <v>29</v>
      </c>
      <c r="I9" s="50">
        <f t="shared" ref="I9:I28" si="1">IF(OR($A9="",$H$29=0),"",H9/$H$29)</f>
        <v>0.003139207621</v>
      </c>
      <c r="J9" s="1"/>
    </row>
    <row r="10">
      <c r="A10" s="51" t="str">
        <f t="array" ref="A10">IF(INDEX(Members!$A:$A,3)="","",INDEX(Members!$A:$A,3))</f>
        <v>menik</v>
      </c>
      <c r="B10" s="53">
        <f>IF($A10="","",SUMPRODUCT(('Master Leads'!$D:$D=$A10) * (ISNUMBER(SEARCH("6", 'Master Leads'!$G:$G))) * ('Master Leads'!$E:$E&gt;=IF(ISBLANK($B$5),0,$B$5)) * ('Master Leads'!$E:$E&lt;=IF(ISBLANK($D$5),99999,$D$5))))</f>
        <v>0</v>
      </c>
      <c r="C10" s="53">
        <f>IF($A10="","",SUMPRODUCT(('Master Leads'!$D:$D=$A10) * (ISNUMBER(SEARCH("7", 'Master Leads'!$G:$G))) * ('Master Leads'!$E:$E&gt;=IF(ISBLANK($B$5),0,$B$5)) * ('Master Leads'!$E:$E&lt;=IF(ISBLANK($D$5),99999,$D$5))))</f>
        <v>0</v>
      </c>
      <c r="D10" s="53">
        <f>IF($A10="","",SUMPRODUCT(('Master Leads'!$D:$D=$A10) * (ISNUMBER(SEARCH("8", 'Master Leads'!$G:$G))) * ('Master Leads'!$E:$E&gt;=IF(ISBLANK($B$5),0,$B$5)) * ('Master Leads'!$E:$E&lt;=IF(ISBLANK($D$5),99999,$D$5))))</f>
        <v>0</v>
      </c>
      <c r="E10" s="53">
        <f>IF($A10="","",SUMPRODUCT(('Master Leads'!$D:$D=$A10) * (ISNUMBER(SEARCH("9", 'Master Leads'!$G:$G))) * ('Master Leads'!$E:$E&gt;=IF(ISBLANK($B$5),0,$B$5)) * ('Master Leads'!$E:$E&lt;=IF(ISBLANK($D$5),99999,$D$5))))</f>
        <v>0</v>
      </c>
      <c r="F10" s="53">
        <f>IF($A10="","",SUMPRODUCT(('Master Leads'!$D:$D=$A10) * (ISNUMBER(SEARCH("10", 'Master Leads'!$G:$G))) * ('Master Leads'!$E:$E&gt;=IF(ISBLANK($B$5),0,$B$5)) * ('Master Leads'!$E:$E&lt;=IF(ISBLANK($D$5),99999,$D$5))))</f>
        <v>0</v>
      </c>
      <c r="G10" s="53">
        <f>IF($A10="","",SUMPRODUCT(('Master Leads'!$D:$D=$A10) * (ISNUMBER(SEARCH("11", 'Master Leads'!$G:$G))) * ('Master Leads'!$E:$E&gt;=IF(ISBLANK($B$5),0,$B$5)) * ('Master Leads'!$E:$E&lt;=IF(ISBLANK($D$5),99999,$D$5))))</f>
        <v>0</v>
      </c>
      <c r="H10" s="57">
        <f>IF($A10="","",COUNTIFS('Master Leads'!$D:$D,$A10,'Master Leads'!$E:$E,"&gt;="&amp;IF(ISBLANK($B$5),0,$B$5),'Master Leads'!$E:$E,"&lt;="&amp;IF(ISBLANK($D$5),99999,$D$5)))</f>
        <v>0</v>
      </c>
      <c r="I10" s="58">
        <f t="shared" si="1"/>
        <v>0</v>
      </c>
      <c r="J10" s="1"/>
    </row>
    <row r="11">
      <c r="A11" s="33" t="str">
        <f t="array" ref="A11">IF(INDEX(Members!$A:$A,4)="","",INDEX(Members!$A:$A,4))</f>
        <v>kavinda</v>
      </c>
      <c r="B11" s="35">
        <f>IF($A11="","",SUMPRODUCT(('Master Leads'!$D:$D=$A11) * (ISNUMBER(SEARCH("6", 'Master Leads'!$G:$G))) * ('Master Leads'!$E:$E&gt;=IF(ISBLANK($B$5),0,$B$5)) * ('Master Leads'!$E:$E&lt;=IF(ISBLANK($D$5),99999,$D$5))))</f>
        <v>45</v>
      </c>
      <c r="C11" s="35">
        <f>IF($A11="","",SUMPRODUCT(('Master Leads'!$D:$D=$A11) * (ISNUMBER(SEARCH("7", 'Master Leads'!$G:$G))) * ('Master Leads'!$E:$E&gt;=IF(ISBLANK($B$5),0,$B$5)) * ('Master Leads'!$E:$E&lt;=IF(ISBLANK($D$5),99999,$D$5))))</f>
        <v>62</v>
      </c>
      <c r="D11" s="35">
        <f>IF($A11="","",SUMPRODUCT(('Master Leads'!$D:$D=$A11) * (ISNUMBER(SEARCH("8", 'Master Leads'!$G:$G))) * ('Master Leads'!$E:$E&gt;=IF(ISBLANK($B$5),0,$B$5)) * ('Master Leads'!$E:$E&lt;=IF(ISBLANK($D$5),99999,$D$5))))</f>
        <v>55</v>
      </c>
      <c r="E11" s="35">
        <f>IF($A11="","",SUMPRODUCT(('Master Leads'!$D:$D=$A11) * (ISNUMBER(SEARCH("9", 'Master Leads'!$G:$G))) * ('Master Leads'!$E:$E&gt;=IF(ISBLANK($B$5),0,$B$5)) * ('Master Leads'!$E:$E&lt;=IF(ISBLANK($D$5),99999,$D$5))))</f>
        <v>292</v>
      </c>
      <c r="F11" s="35">
        <f>IF($A11="","",SUMPRODUCT(('Master Leads'!$D:$D=$A11) * (ISNUMBER(SEARCH("10", 'Master Leads'!$G:$G))) * ('Master Leads'!$E:$E&gt;=IF(ISBLANK($B$5),0,$B$5)) * ('Master Leads'!$E:$E&lt;=IF(ISBLANK($D$5),99999,$D$5))))</f>
        <v>241</v>
      </c>
      <c r="G11" s="35">
        <f>IF($A11="","",SUMPRODUCT(('Master Leads'!$D:$D=$A11) * (ISNUMBER(SEARCH("11", 'Master Leads'!$G:$G))) * ('Master Leads'!$E:$E&gt;=IF(ISBLANK($B$5),0,$B$5)) * ('Master Leads'!$E:$E&lt;=IF(ISBLANK($D$5),99999,$D$5))))</f>
        <v>516</v>
      </c>
      <c r="H11" s="49">
        <f>IF($A11="","",COUNTIFS('Master Leads'!$D:$D,$A11,'Master Leads'!$E:$E,"&gt;="&amp;IF(ISBLANK($B$5),0,$B$5),'Master Leads'!$E:$E,"&lt;="&amp;IF(ISBLANK($D$5),99999,$D$5)))</f>
        <v>1722</v>
      </c>
      <c r="I11" s="50">
        <f t="shared" si="1"/>
        <v>0.1864039835</v>
      </c>
      <c r="J11" s="1"/>
    </row>
    <row r="12">
      <c r="A12" s="51" t="str">
        <f t="array" ref="A12">IF(INDEX(Members!$A:$A,5)="","",INDEX(Members!$A:$A,5))</f>
        <v>umesh</v>
      </c>
      <c r="B12" s="53">
        <f>IF($A12="","",SUMPRODUCT(('Master Leads'!$D:$D=$A12) * (ISNUMBER(SEARCH("6", 'Master Leads'!$G:$G))) * ('Master Leads'!$E:$E&gt;=IF(ISBLANK($B$5),0,$B$5)) * ('Master Leads'!$E:$E&lt;=IF(ISBLANK($D$5),99999,$D$5))))</f>
        <v>51</v>
      </c>
      <c r="C12" s="53">
        <f>IF($A12="","",SUMPRODUCT(('Master Leads'!$D:$D=$A12) * (ISNUMBER(SEARCH("7", 'Master Leads'!$G:$G))) * ('Master Leads'!$E:$E&gt;=IF(ISBLANK($B$5),0,$B$5)) * ('Master Leads'!$E:$E&lt;=IF(ISBLANK($D$5),99999,$D$5))))</f>
        <v>21</v>
      </c>
      <c r="D12" s="53">
        <f>IF($A12="","",SUMPRODUCT(('Master Leads'!$D:$D=$A12) * (ISNUMBER(SEARCH("8", 'Master Leads'!$G:$G))) * ('Master Leads'!$E:$E&gt;=IF(ISBLANK($B$5),0,$B$5)) * ('Master Leads'!$E:$E&lt;=IF(ISBLANK($D$5),99999,$D$5))))</f>
        <v>17</v>
      </c>
      <c r="E12" s="53">
        <f>IF($A12="","",SUMPRODUCT(('Master Leads'!$D:$D=$A12) * (ISNUMBER(SEARCH("9", 'Master Leads'!$G:$G))) * ('Master Leads'!$E:$E&gt;=IF(ISBLANK($B$5),0,$B$5)) * ('Master Leads'!$E:$E&lt;=IF(ISBLANK($D$5),99999,$D$5))))</f>
        <v>22</v>
      </c>
      <c r="F12" s="53">
        <f>IF($A12="","",SUMPRODUCT(('Master Leads'!$D:$D=$A12) * (ISNUMBER(SEARCH("10", 'Master Leads'!$G:$G))) * ('Master Leads'!$E:$E&gt;=IF(ISBLANK($B$5),0,$B$5)) * ('Master Leads'!$E:$E&lt;=IF(ISBLANK($D$5),99999,$D$5))))</f>
        <v>47</v>
      </c>
      <c r="G12" s="53">
        <f>IF($A12="","",SUMPRODUCT(('Master Leads'!$D:$D=$A12) * (ISNUMBER(SEARCH("11", 'Master Leads'!$G:$G))) * ('Master Leads'!$E:$E&gt;=IF(ISBLANK($B$5),0,$B$5)) * ('Master Leads'!$E:$E&lt;=IF(ISBLANK($D$5),99999,$D$5))))</f>
        <v>280</v>
      </c>
      <c r="H12" s="57">
        <f>IF($A12="","",COUNTIFS('Master Leads'!$D:$D,$A12,'Master Leads'!$E:$E,"&gt;="&amp;IF(ISBLANK($B$5),0,$B$5),'Master Leads'!$E:$E,"&lt;="&amp;IF(ISBLANK($D$5),99999,$D$5)))</f>
        <v>657</v>
      </c>
      <c r="I12" s="58">
        <f t="shared" si="1"/>
        <v>0.07111928989</v>
      </c>
      <c r="J12" s="1"/>
    </row>
    <row r="13">
      <c r="A13" s="33" t="str">
        <f t="array" ref="A13">IF(INDEX(Members!$A:$A,6)="","",INDEX(Members!$A:$A,6))</f>
        <v>Avishka</v>
      </c>
      <c r="B13" s="35">
        <f>IF($A13="","",SUMPRODUCT(('Master Leads'!$D:$D=$A13) * (ISNUMBER(SEARCH("6", 'Master Leads'!$G:$G))) * ('Master Leads'!$E:$E&gt;=IF(ISBLANK($B$5),0,$B$5)) * ('Master Leads'!$E:$E&lt;=IF(ISBLANK($D$5),99999,$D$5))))</f>
        <v>1</v>
      </c>
      <c r="C13" s="35">
        <f>IF($A13="","",SUMPRODUCT(('Master Leads'!$D:$D=$A13) * (ISNUMBER(SEARCH("7", 'Master Leads'!$G:$G))) * ('Master Leads'!$E:$E&gt;=IF(ISBLANK($B$5),0,$B$5)) * ('Master Leads'!$E:$E&lt;=IF(ISBLANK($D$5),99999,$D$5))))</f>
        <v>0</v>
      </c>
      <c r="D13" s="35">
        <f>IF($A13="","",SUMPRODUCT(('Master Leads'!$D:$D=$A13) * (ISNUMBER(SEARCH("8", 'Master Leads'!$G:$G))) * ('Master Leads'!$E:$E&gt;=IF(ISBLANK($B$5),0,$B$5)) * ('Master Leads'!$E:$E&lt;=IF(ISBLANK($D$5),99999,$D$5))))</f>
        <v>3</v>
      </c>
      <c r="E13" s="35">
        <f>IF($A13="","",SUMPRODUCT(('Master Leads'!$D:$D=$A13) * (ISNUMBER(SEARCH("9", 'Master Leads'!$G:$G))) * ('Master Leads'!$E:$E&gt;=IF(ISBLANK($B$5),0,$B$5)) * ('Master Leads'!$E:$E&lt;=IF(ISBLANK($D$5),99999,$D$5))))</f>
        <v>1</v>
      </c>
      <c r="F13" s="35">
        <f>IF($A13="","",SUMPRODUCT(('Master Leads'!$D:$D=$A13) * (ISNUMBER(SEARCH("10", 'Master Leads'!$G:$G))) * ('Master Leads'!$E:$E&gt;=IF(ISBLANK($B$5),0,$B$5)) * ('Master Leads'!$E:$E&lt;=IF(ISBLANK($D$5),99999,$D$5))))</f>
        <v>5</v>
      </c>
      <c r="G13" s="35">
        <f>IF($A13="","",SUMPRODUCT(('Master Leads'!$D:$D=$A13) * (ISNUMBER(SEARCH("11", 'Master Leads'!$G:$G))) * ('Master Leads'!$E:$E&gt;=IF(ISBLANK($B$5),0,$B$5)) * ('Master Leads'!$E:$E&lt;=IF(ISBLANK($D$5),99999,$D$5))))</f>
        <v>43</v>
      </c>
      <c r="H13" s="49">
        <f>IF($A13="","",COUNTIFS('Master Leads'!$D:$D,$A13,'Master Leads'!$E:$E,"&gt;="&amp;IF(ISBLANK($B$5),0,$B$5),'Master Leads'!$E:$E,"&lt;="&amp;IF(ISBLANK($D$5),99999,$D$5)))</f>
        <v>87</v>
      </c>
      <c r="I13" s="50">
        <f t="shared" si="1"/>
        <v>0.009417622862</v>
      </c>
      <c r="J13" s="1"/>
    </row>
    <row r="14">
      <c r="A14" s="51" t="str">
        <f t="array" ref="A14">IF(INDEX(Members!$A:$A,7)="","",INDEX(Members!$A:$A,7))</f>
        <v>Wihanga</v>
      </c>
      <c r="B14" s="53">
        <f>IF($A14="","",SUMPRODUCT(('Master Leads'!$D:$D=$A14) * (ISNUMBER(SEARCH("6", 'Master Leads'!$G:$G))) * ('Master Leads'!$E:$E&gt;=IF(ISBLANK($B$5),0,$B$5)) * ('Master Leads'!$E:$E&lt;=IF(ISBLANK($D$5),99999,$D$5))))</f>
        <v>0</v>
      </c>
      <c r="C14" s="53">
        <f>IF($A14="","",SUMPRODUCT(('Master Leads'!$D:$D=$A14) * (ISNUMBER(SEARCH("7", 'Master Leads'!$G:$G))) * ('Master Leads'!$E:$E&gt;=IF(ISBLANK($B$5),0,$B$5)) * ('Master Leads'!$E:$E&lt;=IF(ISBLANK($D$5),99999,$D$5))))</f>
        <v>0</v>
      </c>
      <c r="D14" s="53">
        <f>IF($A14="","",SUMPRODUCT(('Master Leads'!$D:$D=$A14) * (ISNUMBER(SEARCH("8", 'Master Leads'!$G:$G))) * ('Master Leads'!$E:$E&gt;=IF(ISBLANK($B$5),0,$B$5)) * ('Master Leads'!$E:$E&lt;=IF(ISBLANK($D$5),99999,$D$5))))</f>
        <v>0</v>
      </c>
      <c r="E14" s="53">
        <f>IF($A14="","",SUMPRODUCT(('Master Leads'!$D:$D=$A14) * (ISNUMBER(SEARCH("9", 'Master Leads'!$G:$G))) * ('Master Leads'!$E:$E&gt;=IF(ISBLANK($B$5),0,$B$5)) * ('Master Leads'!$E:$E&lt;=IF(ISBLANK($D$5),99999,$D$5))))</f>
        <v>0</v>
      </c>
      <c r="F14" s="53">
        <f>IF($A14="","",SUMPRODUCT(('Master Leads'!$D:$D=$A14) * (ISNUMBER(SEARCH("10", 'Master Leads'!$G:$G))) * ('Master Leads'!$E:$E&gt;=IF(ISBLANK($B$5),0,$B$5)) * ('Master Leads'!$E:$E&lt;=IF(ISBLANK($D$5),99999,$D$5))))</f>
        <v>0</v>
      </c>
      <c r="G14" s="53">
        <f>IF($A14="","",SUMPRODUCT(('Master Leads'!$D:$D=$A14) * (ISNUMBER(SEARCH("11", 'Master Leads'!$G:$G))) * ('Master Leads'!$E:$E&gt;=IF(ISBLANK($B$5),0,$B$5)) * ('Master Leads'!$E:$E&lt;=IF(ISBLANK($D$5),99999,$D$5))))</f>
        <v>0</v>
      </c>
      <c r="H14" s="57">
        <f>IF($A14="","",COUNTIFS('Master Leads'!$D:$D,$A14,'Master Leads'!$E:$E,"&gt;="&amp;IF(ISBLANK($B$5),0,$B$5),'Master Leads'!$E:$E,"&lt;="&amp;IF(ISBLANK($D$5),99999,$D$5)))</f>
        <v>0</v>
      </c>
      <c r="I14" s="58">
        <f t="shared" si="1"/>
        <v>0</v>
      </c>
      <c r="J14" s="1"/>
    </row>
    <row r="15">
      <c r="A15" s="33" t="str">
        <f t="array" ref="A15">IF(INDEX(Members!$A:$A,8)="","",INDEX(Members!$A:$A,8))</f>
        <v>muthumali</v>
      </c>
      <c r="B15" s="35">
        <f>IF($A15="","",SUMPRODUCT(('Master Leads'!$D:$D=$A15) * (ISNUMBER(SEARCH("6", 'Master Leads'!$G:$G))) * ('Master Leads'!$E:$E&gt;=IF(ISBLANK($B$5),0,$B$5)) * ('Master Leads'!$E:$E&lt;=IF(ISBLANK($D$5),99999,$D$5))))</f>
        <v>34</v>
      </c>
      <c r="C15" s="35">
        <f>IF($A15="","",SUMPRODUCT(('Master Leads'!$D:$D=$A15) * (ISNUMBER(SEARCH("7", 'Master Leads'!$G:$G))) * ('Master Leads'!$E:$E&gt;=IF(ISBLANK($B$5),0,$B$5)) * ('Master Leads'!$E:$E&lt;=IF(ISBLANK($D$5),99999,$D$5))))</f>
        <v>64</v>
      </c>
      <c r="D15" s="35">
        <f>IF($A15="","",SUMPRODUCT(('Master Leads'!$D:$D=$A15) * (ISNUMBER(SEARCH("8", 'Master Leads'!$G:$G))) * ('Master Leads'!$E:$E&gt;=IF(ISBLANK($B$5),0,$B$5)) * ('Master Leads'!$E:$E&lt;=IF(ISBLANK($D$5),99999,$D$5))))</f>
        <v>56</v>
      </c>
      <c r="E15" s="35">
        <f>IF($A15="","",SUMPRODUCT(('Master Leads'!$D:$D=$A15) * (ISNUMBER(SEARCH("9", 'Master Leads'!$G:$G))) * ('Master Leads'!$E:$E&gt;=IF(ISBLANK($B$5),0,$B$5)) * ('Master Leads'!$E:$E&lt;=IF(ISBLANK($D$5),99999,$D$5))))</f>
        <v>261</v>
      </c>
      <c r="F15" s="35">
        <f>IF($A15="","",SUMPRODUCT(('Master Leads'!$D:$D=$A15) * (ISNUMBER(SEARCH("10", 'Master Leads'!$G:$G))) * ('Master Leads'!$E:$E&gt;=IF(ISBLANK($B$5),0,$B$5)) * ('Master Leads'!$E:$E&lt;=IF(ISBLANK($D$5),99999,$D$5))))</f>
        <v>219</v>
      </c>
      <c r="G15" s="35">
        <f>IF($A15="","",SUMPRODUCT(('Master Leads'!$D:$D=$A15) * (ISNUMBER(SEARCH("11", 'Master Leads'!$G:$G))) * ('Master Leads'!$E:$E&gt;=IF(ISBLANK($B$5),0,$B$5)) * ('Master Leads'!$E:$E&lt;=IF(ISBLANK($D$5),99999,$D$5))))</f>
        <v>625</v>
      </c>
      <c r="H15" s="49">
        <f>IF($A15="","",COUNTIFS('Master Leads'!$D:$D,$A15,'Master Leads'!$E:$E,"&gt;="&amp;IF(ISBLANK($B$5),0,$B$5),'Master Leads'!$E:$E,"&lt;="&amp;IF(ISBLANK($D$5),99999,$D$5)))</f>
        <v>1539</v>
      </c>
      <c r="I15" s="50">
        <f t="shared" si="1"/>
        <v>0.166594501</v>
      </c>
      <c r="J15" s="1"/>
    </row>
    <row r="16">
      <c r="A16" s="51" t="str">
        <f t="array" ref="A16">IF(INDEX(Members!$A:$A,9)="","",INDEX(Members!$A:$A,9))</f>
        <v>shamali</v>
      </c>
      <c r="B16" s="53">
        <f>IF($A16="","",SUMPRODUCT(('Master Leads'!$D:$D=$A16) * (ISNUMBER(SEARCH("6", 'Master Leads'!$G:$G))) * ('Master Leads'!$E:$E&gt;=IF(ISBLANK($B$5),0,$B$5)) * ('Master Leads'!$E:$E&lt;=IF(ISBLANK($D$5),99999,$D$5))))</f>
        <v>44</v>
      </c>
      <c r="C16" s="53">
        <f>IF($A16="","",SUMPRODUCT(('Master Leads'!$D:$D=$A16) * (ISNUMBER(SEARCH("7", 'Master Leads'!$G:$G))) * ('Master Leads'!$E:$E&gt;=IF(ISBLANK($B$5),0,$B$5)) * ('Master Leads'!$E:$E&lt;=IF(ISBLANK($D$5),99999,$D$5))))</f>
        <v>103</v>
      </c>
      <c r="D16" s="53">
        <f>IF($A16="","",SUMPRODUCT(('Master Leads'!$D:$D=$A16) * (ISNUMBER(SEARCH("8", 'Master Leads'!$G:$G))) * ('Master Leads'!$E:$E&gt;=IF(ISBLANK($B$5),0,$B$5)) * ('Master Leads'!$E:$E&lt;=IF(ISBLANK($D$5),99999,$D$5))))</f>
        <v>84</v>
      </c>
      <c r="E16" s="53">
        <f>IF($A16="","",SUMPRODUCT(('Master Leads'!$D:$D=$A16) * (ISNUMBER(SEARCH("9", 'Master Leads'!$G:$G))) * ('Master Leads'!$E:$E&gt;=IF(ISBLANK($B$5),0,$B$5)) * ('Master Leads'!$E:$E&lt;=IF(ISBLANK($D$5),99999,$D$5))))</f>
        <v>335</v>
      </c>
      <c r="F16" s="53">
        <f>IF($A16="","",SUMPRODUCT(('Master Leads'!$D:$D=$A16) * (ISNUMBER(SEARCH("10", 'Master Leads'!$G:$G))) * ('Master Leads'!$E:$E&gt;=IF(ISBLANK($B$5),0,$B$5)) * ('Master Leads'!$E:$E&lt;=IF(ISBLANK($D$5),99999,$D$5))))</f>
        <v>294</v>
      </c>
      <c r="G16" s="53">
        <f>IF($A16="","",SUMPRODUCT(('Master Leads'!$D:$D=$A16) * (ISNUMBER(SEARCH("11", 'Master Leads'!$G:$G))) * ('Master Leads'!$E:$E&gt;=IF(ISBLANK($B$5),0,$B$5)) * ('Master Leads'!$E:$E&lt;=IF(ISBLANK($D$5),99999,$D$5))))</f>
        <v>530</v>
      </c>
      <c r="H16" s="57">
        <f>IF($A16="","",COUNTIFS('Master Leads'!$D:$D,$A16,'Master Leads'!$E:$E,"&gt;="&amp;IF(ISBLANK($B$5),0,$B$5),'Master Leads'!$E:$E,"&lt;="&amp;IF(ISBLANK($D$5),99999,$D$5)))</f>
        <v>1899</v>
      </c>
      <c r="I16" s="58">
        <f t="shared" si="1"/>
        <v>0.2055639749</v>
      </c>
      <c r="J16" s="1"/>
    </row>
    <row r="17">
      <c r="A17" s="33" t="str">
        <f t="array" ref="A17">IF(INDEX(Members!$A:$A,10)="","",INDEX(Members!$A:$A,10))</f>
        <v>Ama</v>
      </c>
      <c r="B17" s="35">
        <f>IF($A17="","",SUMPRODUCT(('Master Leads'!$D:$D=$A17) * (ISNUMBER(SEARCH("6", 'Master Leads'!$G:$G))) * ('Master Leads'!$E:$E&gt;=IF(ISBLANK($B$5),0,$B$5)) * ('Master Leads'!$E:$E&lt;=IF(ISBLANK($D$5),99999,$D$5))))</f>
        <v>30</v>
      </c>
      <c r="C17" s="35">
        <f>IF($A17="","",SUMPRODUCT(('Master Leads'!$D:$D=$A17) * (ISNUMBER(SEARCH("7", 'Master Leads'!$G:$G))) * ('Master Leads'!$E:$E&gt;=IF(ISBLANK($B$5),0,$B$5)) * ('Master Leads'!$E:$E&lt;=IF(ISBLANK($D$5),99999,$D$5))))</f>
        <v>79</v>
      </c>
      <c r="D17" s="35">
        <f>IF($A17="","",SUMPRODUCT(('Master Leads'!$D:$D=$A17) * (ISNUMBER(SEARCH("8", 'Master Leads'!$G:$G))) * ('Master Leads'!$E:$E&gt;=IF(ISBLANK($B$5),0,$B$5)) * ('Master Leads'!$E:$E&lt;=IF(ISBLANK($D$5),99999,$D$5))))</f>
        <v>57</v>
      </c>
      <c r="E17" s="35">
        <f>IF($A17="","",SUMPRODUCT(('Master Leads'!$D:$D=$A17) * (ISNUMBER(SEARCH("9", 'Master Leads'!$G:$G))) * ('Master Leads'!$E:$E&gt;=IF(ISBLANK($B$5),0,$B$5)) * ('Master Leads'!$E:$E&lt;=IF(ISBLANK($D$5),99999,$D$5))))</f>
        <v>233</v>
      </c>
      <c r="F17" s="35">
        <f>IF($A17="","",SUMPRODUCT(('Master Leads'!$D:$D=$A17) * (ISNUMBER(SEARCH("10", 'Master Leads'!$G:$G))) * ('Master Leads'!$E:$E&gt;=IF(ISBLANK($B$5),0,$B$5)) * ('Master Leads'!$E:$E&lt;=IF(ISBLANK($D$5),99999,$D$5))))</f>
        <v>184</v>
      </c>
      <c r="G17" s="35">
        <f>IF($A17="","",SUMPRODUCT(('Master Leads'!$D:$D=$A17) * (ISNUMBER(SEARCH("11", 'Master Leads'!$G:$G))) * ('Master Leads'!$E:$E&gt;=IF(ISBLANK($B$5),0,$B$5)) * ('Master Leads'!$E:$E&lt;=IF(ISBLANK($D$5),99999,$D$5))))</f>
        <v>415</v>
      </c>
      <c r="H17" s="49">
        <f>IF($A17="","",COUNTIFS('Master Leads'!$D:$D,$A17,'Master Leads'!$E:$E,"&gt;="&amp;IF(ISBLANK($B$5),0,$B$5),'Master Leads'!$E:$E,"&lt;="&amp;IF(ISBLANK($D$5),99999,$D$5)))</f>
        <v>1568</v>
      </c>
      <c r="I17" s="50">
        <f t="shared" si="1"/>
        <v>0.1697337086</v>
      </c>
      <c r="J17" s="1"/>
    </row>
    <row r="18">
      <c r="A18" s="51" t="str">
        <f t="array" ref="A18">IF(INDEX(Members!$A:$A,11)="","",INDEX(Members!$A:$A,11))</f>
        <v>kushalya</v>
      </c>
      <c r="B18" s="53">
        <f>IF($A18="","",SUMPRODUCT(('Master Leads'!$D:$D=$A18) * (ISNUMBER(SEARCH("6", 'Master Leads'!$G:$G))) * ('Master Leads'!$E:$E&gt;=IF(ISBLANK($B$5),0,$B$5)) * ('Master Leads'!$E:$E&lt;=IF(ISBLANK($D$5),99999,$D$5))))</f>
        <v>38</v>
      </c>
      <c r="C18" s="53">
        <f>IF($A18="","",SUMPRODUCT(('Master Leads'!$D:$D=$A18) * (ISNUMBER(SEARCH("7", 'Master Leads'!$G:$G))) * ('Master Leads'!$E:$E&gt;=IF(ISBLANK($B$5),0,$B$5)) * ('Master Leads'!$E:$E&lt;=IF(ISBLANK($D$5),99999,$D$5))))</f>
        <v>80</v>
      </c>
      <c r="D18" s="53">
        <f>IF($A18="","",SUMPRODUCT(('Master Leads'!$D:$D=$A18) * (ISNUMBER(SEARCH("8", 'Master Leads'!$G:$G))) * ('Master Leads'!$E:$E&gt;=IF(ISBLANK($B$5),0,$B$5)) * ('Master Leads'!$E:$E&lt;=IF(ISBLANK($D$5),99999,$D$5))))</f>
        <v>90</v>
      </c>
      <c r="E18" s="53">
        <f>IF($A18="","",SUMPRODUCT(('Master Leads'!$D:$D=$A18) * (ISNUMBER(SEARCH("9", 'Master Leads'!$G:$G))) * ('Master Leads'!$E:$E&gt;=IF(ISBLANK($B$5),0,$B$5)) * ('Master Leads'!$E:$E&lt;=IF(ISBLANK($D$5),99999,$D$5))))</f>
        <v>254</v>
      </c>
      <c r="F18" s="53">
        <f>IF($A18="","",SUMPRODUCT(('Master Leads'!$D:$D=$A18) * (ISNUMBER(SEARCH("10", 'Master Leads'!$G:$G))) * ('Master Leads'!$E:$E&gt;=IF(ISBLANK($B$5),0,$B$5)) * ('Master Leads'!$E:$E&lt;=IF(ISBLANK($D$5),99999,$D$5))))</f>
        <v>240</v>
      </c>
      <c r="G18" s="53">
        <f>IF($A18="","",SUMPRODUCT(('Master Leads'!$D:$D=$A18) * (ISNUMBER(SEARCH("11", 'Master Leads'!$G:$G))) * ('Master Leads'!$E:$E&gt;=IF(ISBLANK($B$5),0,$B$5)) * ('Master Leads'!$E:$E&lt;=IF(ISBLANK($D$5),99999,$D$5))))</f>
        <v>422</v>
      </c>
      <c r="H18" s="57">
        <f>IF($A18="","",COUNTIFS('Master Leads'!$D:$D,$A18,'Master Leads'!$E:$E,"&gt;="&amp;IF(ISBLANK($B$5),0,$B$5),'Master Leads'!$E:$E,"&lt;="&amp;IF(ISBLANK($D$5),99999,$D$5)))</f>
        <v>1736</v>
      </c>
      <c r="I18" s="58">
        <f t="shared" si="1"/>
        <v>0.1879194631</v>
      </c>
      <c r="J18" s="1"/>
    </row>
    <row r="19">
      <c r="A19" s="33" t="str">
        <f t="array" ref="A19">IF(INDEX(Members!$A:$A,12)="","",INDEX(Members!$A:$A,12))</f>
        <v>TOTAL</v>
      </c>
      <c r="B19" s="35">
        <f>IF($A19="","",SUMPRODUCT(('Master Leads'!$D:$D=$A19) * (ISNUMBER(SEARCH("6", 'Master Leads'!$G:$G))) * ('Master Leads'!$E:$E&gt;=IF(ISBLANK($B$5),0,$B$5)) * ('Master Leads'!$E:$E&lt;=IF(ISBLANK($D$5),99999,$D$5))))</f>
        <v>0</v>
      </c>
      <c r="C19" s="35">
        <f>IF($A19="","",SUMPRODUCT(('Master Leads'!$D:$D=$A19) * (ISNUMBER(SEARCH("7", 'Master Leads'!$G:$G))) * ('Master Leads'!$E:$E&gt;=IF(ISBLANK($B$5),0,$B$5)) * ('Master Leads'!$E:$E&lt;=IF(ISBLANK($D$5),99999,$D$5))))</f>
        <v>0</v>
      </c>
      <c r="D19" s="35">
        <f>IF($A19="","",SUMPRODUCT(('Master Leads'!$D:$D=$A19) * (ISNUMBER(SEARCH("8", 'Master Leads'!$G:$G))) * ('Master Leads'!$E:$E&gt;=IF(ISBLANK($B$5),0,$B$5)) * ('Master Leads'!$E:$E&lt;=IF(ISBLANK($D$5),99999,$D$5))))</f>
        <v>0</v>
      </c>
      <c r="E19" s="35">
        <f>IF($A19="","",SUMPRODUCT(('Master Leads'!$D:$D=$A19) * (ISNUMBER(SEARCH("9", 'Master Leads'!$G:$G))) * ('Master Leads'!$E:$E&gt;=IF(ISBLANK($B$5),0,$B$5)) * ('Master Leads'!$E:$E&lt;=IF(ISBLANK($D$5),99999,$D$5))))</f>
        <v>0</v>
      </c>
      <c r="F19" s="35">
        <f>IF($A19="","",SUMPRODUCT(('Master Leads'!$D:$D=$A19) * (ISNUMBER(SEARCH("10", 'Master Leads'!$G:$G))) * ('Master Leads'!$E:$E&gt;=IF(ISBLANK($B$5),0,$B$5)) * ('Master Leads'!$E:$E&lt;=IF(ISBLANK($D$5),99999,$D$5))))</f>
        <v>0</v>
      </c>
      <c r="G19" s="35">
        <f>IF($A19="","",SUMPRODUCT(('Master Leads'!$D:$D=$A19) * (ISNUMBER(SEARCH("11", 'Master Leads'!$G:$G))) * ('Master Leads'!$E:$E&gt;=IF(ISBLANK($B$5),0,$B$5)) * ('Master Leads'!$E:$E&lt;=IF(ISBLANK($D$5),99999,$D$5))))</f>
        <v>0</v>
      </c>
      <c r="H19" s="49">
        <f>IF($A19="","",COUNTIFS('Master Leads'!$D:$D,$A19,'Master Leads'!$E:$E,"&gt;="&amp;IF(ISBLANK($B$5),0,$B$5),'Master Leads'!$E:$E,"&lt;="&amp;IF(ISBLANK($D$5),99999,$D$5)))</f>
        <v>0</v>
      </c>
      <c r="I19" s="50">
        <f t="shared" si="1"/>
        <v>0</v>
      </c>
      <c r="J19" s="1"/>
    </row>
    <row r="20">
      <c r="A20" s="51" t="str">
        <f t="array" ref="A20">IF(INDEX(Members!$A:$A,13)="","",INDEX(Members!$A:$A,13))</f>
        <v/>
      </c>
      <c r="B20" s="53" t="str">
        <f>IF($A20="","",SUMPRODUCT(('Master Leads'!$D:$D=$A20) * (ISNUMBER(SEARCH("6", 'Master Leads'!$G:$G))) * ('Master Leads'!$E:$E&gt;=IF(ISBLANK($B$5),0,$B$5)) * ('Master Leads'!$E:$E&lt;=IF(ISBLANK($D$5),99999,$D$5))))</f>
        <v/>
      </c>
      <c r="C20" s="53" t="str">
        <f>IF($A20="","",SUMPRODUCT(('Master Leads'!$D:$D=$A20) * (ISNUMBER(SEARCH("7", 'Master Leads'!$G:$G))) * ('Master Leads'!$E:$E&gt;=IF(ISBLANK($B$5),0,$B$5)) * ('Master Leads'!$E:$E&lt;=IF(ISBLANK($D$5),99999,$D$5))))</f>
        <v/>
      </c>
      <c r="D20" s="53" t="str">
        <f>IF($A20="","",SUMPRODUCT(('Master Leads'!$D:$D=$A20) * (ISNUMBER(SEARCH("8", 'Master Leads'!$G:$G))) * ('Master Leads'!$E:$E&gt;=IF(ISBLANK($B$5),0,$B$5)) * ('Master Leads'!$E:$E&lt;=IF(ISBLANK($D$5),99999,$D$5))))</f>
        <v/>
      </c>
      <c r="E20" s="53" t="str">
        <f>IF($A20="","",SUMPRODUCT(('Master Leads'!$D:$D=$A20) * (ISNUMBER(SEARCH("9", 'Master Leads'!$G:$G))) * ('Master Leads'!$E:$E&gt;=IF(ISBLANK($B$5),0,$B$5)) * ('Master Leads'!$E:$E&lt;=IF(ISBLANK($D$5),99999,$D$5))))</f>
        <v/>
      </c>
      <c r="F20" s="53" t="str">
        <f>IF($A20="","",SUMPRODUCT(('Master Leads'!$D:$D=$A20) * (ISNUMBER(SEARCH("10", 'Master Leads'!$G:$G))) * ('Master Leads'!$E:$E&gt;=IF(ISBLANK($B$5),0,$B$5)) * ('Master Leads'!$E:$E&lt;=IF(ISBLANK($D$5),99999,$D$5))))</f>
        <v/>
      </c>
      <c r="G20" s="53" t="str">
        <f>IF($A20="","",SUMPRODUCT(('Master Leads'!$D:$D=$A20) * (ISNUMBER(SEARCH("11", 'Master Leads'!$G:$G))) * ('Master Leads'!$E:$E&gt;=IF(ISBLANK($B$5),0,$B$5)) * ('Master Leads'!$E:$E&lt;=IF(ISBLANK($D$5),99999,$D$5))))</f>
        <v/>
      </c>
      <c r="H20" s="57" t="str">
        <f>IF($A20="","",COUNTIFS('Master Leads'!$D:$D,$A20,'Master Leads'!$E:$E,"&gt;="&amp;IF(ISBLANK($B$5),0,$B$5),'Master Leads'!$E:$E,"&lt;="&amp;IF(ISBLANK($D$5),99999,$D$5)))</f>
        <v/>
      </c>
      <c r="I20" s="58" t="str">
        <f t="shared" si="1"/>
        <v/>
      </c>
      <c r="J20" s="1"/>
    </row>
    <row r="21">
      <c r="A21" s="33" t="str">
        <f t="array" ref="A21">IF(INDEX(Members!$A:$A,14)="","",INDEX(Members!$A:$A,14))</f>
        <v/>
      </c>
      <c r="B21" s="35" t="str">
        <f>IF($A21="","",SUMPRODUCT(('Master Leads'!$D:$D=$A21) * (ISNUMBER(SEARCH("6", 'Master Leads'!$G:$G))) * ('Master Leads'!$E:$E&gt;=IF(ISBLANK($B$5),0,$B$5)) * ('Master Leads'!$E:$E&lt;=IF(ISBLANK($D$5),99999,$D$5))))</f>
        <v/>
      </c>
      <c r="C21" s="35" t="str">
        <f>IF($A21="","",SUMPRODUCT(('Master Leads'!$D:$D=$A21) * (ISNUMBER(SEARCH("7", 'Master Leads'!$G:$G))) * ('Master Leads'!$E:$E&gt;=IF(ISBLANK($B$5),0,$B$5)) * ('Master Leads'!$E:$E&lt;=IF(ISBLANK($D$5),99999,$D$5))))</f>
        <v/>
      </c>
      <c r="D21" s="35" t="str">
        <f>IF($A21="","",SUMPRODUCT(('Master Leads'!$D:$D=$A21) * (ISNUMBER(SEARCH("8", 'Master Leads'!$G:$G))) * ('Master Leads'!$E:$E&gt;=IF(ISBLANK($B$5),0,$B$5)) * ('Master Leads'!$E:$E&lt;=IF(ISBLANK($D$5),99999,$D$5))))</f>
        <v/>
      </c>
      <c r="E21" s="35" t="str">
        <f>IF($A21="","",SUMPRODUCT(('Master Leads'!$D:$D=$A21) * (ISNUMBER(SEARCH("9", 'Master Leads'!$G:$G))) * ('Master Leads'!$E:$E&gt;=IF(ISBLANK($B$5),0,$B$5)) * ('Master Leads'!$E:$E&lt;=IF(ISBLANK($D$5),99999,$D$5))))</f>
        <v/>
      </c>
      <c r="F21" s="35" t="str">
        <f>IF($A21="","",SUMPRODUCT(('Master Leads'!$D:$D=$A21) * (ISNUMBER(SEARCH("10", 'Master Leads'!$G:$G))) * ('Master Leads'!$E:$E&gt;=IF(ISBLANK($B$5),0,$B$5)) * ('Master Leads'!$E:$E&lt;=IF(ISBLANK($D$5),99999,$D$5))))</f>
        <v/>
      </c>
      <c r="G21" s="35" t="str">
        <f>IF($A21="","",SUMPRODUCT(('Master Leads'!$D:$D=$A21) * (ISNUMBER(SEARCH("11", 'Master Leads'!$G:$G))) * ('Master Leads'!$E:$E&gt;=IF(ISBLANK($B$5),0,$B$5)) * ('Master Leads'!$E:$E&lt;=IF(ISBLANK($D$5),99999,$D$5))))</f>
        <v/>
      </c>
      <c r="H21" s="49" t="str">
        <f>IF($A21="","",COUNTIFS('Master Leads'!$D:$D,$A21,'Master Leads'!$E:$E,"&gt;="&amp;IF(ISBLANK($B$5),0,$B$5),'Master Leads'!$E:$E,"&lt;="&amp;IF(ISBLANK($D$5),99999,$D$5)))</f>
        <v/>
      </c>
      <c r="I21" s="50" t="str">
        <f t="shared" si="1"/>
        <v/>
      </c>
      <c r="J21" s="1"/>
    </row>
    <row r="22">
      <c r="A22" s="51" t="str">
        <f t="array" ref="A22">IF(INDEX(Members!$A:$A,15)="","",INDEX(Members!$A:$A,15))</f>
        <v/>
      </c>
      <c r="B22" s="53" t="str">
        <f>IF($A22="","",SUMPRODUCT(('Master Leads'!$D:$D=$A22) * (ISNUMBER(SEARCH("6", 'Master Leads'!$G:$G))) * ('Master Leads'!$E:$E&gt;=IF(ISBLANK($B$5),0,$B$5)) * ('Master Leads'!$E:$E&lt;=IF(ISBLANK($D$5),99999,$D$5))))</f>
        <v/>
      </c>
      <c r="C22" s="53" t="str">
        <f>IF($A22="","",SUMPRODUCT(('Master Leads'!$D:$D=$A22) * (ISNUMBER(SEARCH("7", 'Master Leads'!$G:$G))) * ('Master Leads'!$E:$E&gt;=IF(ISBLANK($B$5),0,$B$5)) * ('Master Leads'!$E:$E&lt;=IF(ISBLANK($D$5),99999,$D$5))))</f>
        <v/>
      </c>
      <c r="D22" s="53" t="str">
        <f>IF($A22="","",SUMPRODUCT(('Master Leads'!$D:$D=$A22) * (ISNUMBER(SEARCH("8", 'Master Leads'!$G:$G))) * ('Master Leads'!$E:$E&gt;=IF(ISBLANK($B$5),0,$B$5)) * ('Master Leads'!$E:$E&lt;=IF(ISBLANK($D$5),99999,$D$5))))</f>
        <v/>
      </c>
      <c r="E22" s="53" t="str">
        <f>IF($A22="","",SUMPRODUCT(('Master Leads'!$D:$D=$A22) * (ISNUMBER(SEARCH("9", 'Master Leads'!$G:$G))) * ('Master Leads'!$E:$E&gt;=IF(ISBLANK($B$5),0,$B$5)) * ('Master Leads'!$E:$E&lt;=IF(ISBLANK($D$5),99999,$D$5))))</f>
        <v/>
      </c>
      <c r="F22" s="53" t="str">
        <f>IF($A22="","",SUMPRODUCT(('Master Leads'!$D:$D=$A22) * (ISNUMBER(SEARCH("10", 'Master Leads'!$G:$G))) * ('Master Leads'!$E:$E&gt;=IF(ISBLANK($B$5),0,$B$5)) * ('Master Leads'!$E:$E&lt;=IF(ISBLANK($D$5),99999,$D$5))))</f>
        <v/>
      </c>
      <c r="G22" s="53" t="str">
        <f>IF($A22="","",SUMPRODUCT(('Master Leads'!$D:$D=$A22) * (ISNUMBER(SEARCH("11", 'Master Leads'!$G:$G))) * ('Master Leads'!$E:$E&gt;=IF(ISBLANK($B$5),0,$B$5)) * ('Master Leads'!$E:$E&lt;=IF(ISBLANK($D$5),99999,$D$5))))</f>
        <v/>
      </c>
      <c r="H22" s="57" t="str">
        <f>IF($A22="","",COUNTIFS('Master Leads'!$D:$D,$A22,'Master Leads'!$E:$E,"&gt;="&amp;IF(ISBLANK($B$5),0,$B$5),'Master Leads'!$E:$E,"&lt;="&amp;IF(ISBLANK($D$5),99999,$D$5)))</f>
        <v/>
      </c>
      <c r="I22" s="58" t="str">
        <f t="shared" si="1"/>
        <v/>
      </c>
      <c r="J22" s="1"/>
    </row>
    <row r="23">
      <c r="A23" s="33" t="str">
        <f t="array" ref="A23">IF(INDEX(Members!$A:$A,16)="","",INDEX(Members!$A:$A,16))</f>
        <v/>
      </c>
      <c r="B23" s="35" t="str">
        <f>IF($A23="","",SUMPRODUCT(('Master Leads'!$D:$D=$A23) * (ISNUMBER(SEARCH("6", 'Master Leads'!$G:$G))) * ('Master Leads'!$E:$E&gt;=IF(ISBLANK($B$5),0,$B$5)) * ('Master Leads'!$E:$E&lt;=IF(ISBLANK($D$5),99999,$D$5))))</f>
        <v/>
      </c>
      <c r="C23" s="35" t="str">
        <f>IF($A23="","",SUMPRODUCT(('Master Leads'!$D:$D=$A23) * (ISNUMBER(SEARCH("7", 'Master Leads'!$G:$G))) * ('Master Leads'!$E:$E&gt;=IF(ISBLANK($B$5),0,$B$5)) * ('Master Leads'!$E:$E&lt;=IF(ISBLANK($D$5),99999,$D$5))))</f>
        <v/>
      </c>
      <c r="D23" s="35" t="str">
        <f>IF($A23="","",SUMPRODUCT(('Master Leads'!$D:$D=$A23) * (ISNUMBER(SEARCH("8", 'Master Leads'!$G:$G))) * ('Master Leads'!$E:$E&gt;=IF(ISBLANK($B$5),0,$B$5)) * ('Master Leads'!$E:$E&lt;=IF(ISBLANK($D$5),99999,$D$5))))</f>
        <v/>
      </c>
      <c r="E23" s="35" t="str">
        <f>IF($A23="","",SUMPRODUCT(('Master Leads'!$D:$D=$A23) * (ISNUMBER(SEARCH("9", 'Master Leads'!$G:$G))) * ('Master Leads'!$E:$E&gt;=IF(ISBLANK($B$5),0,$B$5)) * ('Master Leads'!$E:$E&lt;=IF(ISBLANK($D$5),99999,$D$5))))</f>
        <v/>
      </c>
      <c r="F23" s="35" t="str">
        <f>IF($A23="","",SUMPRODUCT(('Master Leads'!$D:$D=$A23) * (ISNUMBER(SEARCH("10", 'Master Leads'!$G:$G))) * ('Master Leads'!$E:$E&gt;=IF(ISBLANK($B$5),0,$B$5)) * ('Master Leads'!$E:$E&lt;=IF(ISBLANK($D$5),99999,$D$5))))</f>
        <v/>
      </c>
      <c r="G23" s="35" t="str">
        <f>IF($A23="","",SUMPRODUCT(('Master Leads'!$D:$D=$A23) * (ISNUMBER(SEARCH("11", 'Master Leads'!$G:$G))) * ('Master Leads'!$E:$E&gt;=IF(ISBLANK($B$5),0,$B$5)) * ('Master Leads'!$E:$E&lt;=IF(ISBLANK($D$5),99999,$D$5))))</f>
        <v/>
      </c>
      <c r="H23" s="49" t="str">
        <f>IF($A23="","",COUNTIFS('Master Leads'!$D:$D,$A23,'Master Leads'!$E:$E,"&gt;="&amp;IF(ISBLANK($B$5),0,$B$5),'Master Leads'!$E:$E,"&lt;="&amp;IF(ISBLANK($D$5),99999,$D$5)))</f>
        <v/>
      </c>
      <c r="I23" s="50" t="str">
        <f t="shared" si="1"/>
        <v/>
      </c>
      <c r="J23" s="1"/>
    </row>
    <row r="24">
      <c r="A24" s="51" t="str">
        <f t="array" ref="A24">IF(INDEX(Members!$A:$A,17)="","",INDEX(Members!$A:$A,17))</f>
        <v/>
      </c>
      <c r="B24" s="53" t="str">
        <f>IF($A24="","",SUMPRODUCT(('Master Leads'!$D:$D=$A24) * (ISNUMBER(SEARCH("6", 'Master Leads'!$G:$G))) * ('Master Leads'!$E:$E&gt;=IF(ISBLANK($B$5),0,$B$5)) * ('Master Leads'!$E:$E&lt;=IF(ISBLANK($D$5),99999,$D$5))))</f>
        <v/>
      </c>
      <c r="C24" s="53" t="str">
        <f>IF($A24="","",SUMPRODUCT(('Master Leads'!$D:$D=$A24) * (ISNUMBER(SEARCH("7", 'Master Leads'!$G:$G))) * ('Master Leads'!$E:$E&gt;=IF(ISBLANK($B$5),0,$B$5)) * ('Master Leads'!$E:$E&lt;=IF(ISBLANK($D$5),99999,$D$5))))</f>
        <v/>
      </c>
      <c r="D24" s="53" t="str">
        <f>IF($A24="","",SUMPRODUCT(('Master Leads'!$D:$D=$A24) * (ISNUMBER(SEARCH("8", 'Master Leads'!$G:$G))) * ('Master Leads'!$E:$E&gt;=IF(ISBLANK($B$5),0,$B$5)) * ('Master Leads'!$E:$E&lt;=IF(ISBLANK($D$5),99999,$D$5))))</f>
        <v/>
      </c>
      <c r="E24" s="53" t="str">
        <f>IF($A24="","",SUMPRODUCT(('Master Leads'!$D:$D=$A24) * (ISNUMBER(SEARCH("9", 'Master Leads'!$G:$G))) * ('Master Leads'!$E:$E&gt;=IF(ISBLANK($B$5),0,$B$5)) * ('Master Leads'!$E:$E&lt;=IF(ISBLANK($D$5),99999,$D$5))))</f>
        <v/>
      </c>
      <c r="F24" s="53" t="str">
        <f>IF($A24="","",SUMPRODUCT(('Master Leads'!$D:$D=$A24) * (ISNUMBER(SEARCH("10", 'Master Leads'!$G:$G))) * ('Master Leads'!$E:$E&gt;=IF(ISBLANK($B$5),0,$B$5)) * ('Master Leads'!$E:$E&lt;=IF(ISBLANK($D$5),99999,$D$5))))</f>
        <v/>
      </c>
      <c r="G24" s="53" t="str">
        <f>IF($A24="","",SUMPRODUCT(('Master Leads'!$D:$D=$A24) * (ISNUMBER(SEARCH("11", 'Master Leads'!$G:$G))) * ('Master Leads'!$E:$E&gt;=IF(ISBLANK($B$5),0,$B$5)) * ('Master Leads'!$E:$E&lt;=IF(ISBLANK($D$5),99999,$D$5))))</f>
        <v/>
      </c>
      <c r="H24" s="57" t="str">
        <f>IF($A24="","",COUNTIFS('Master Leads'!$D:$D,$A24,'Master Leads'!$E:$E,"&gt;="&amp;IF(ISBLANK($B$5),0,$B$5),'Master Leads'!$E:$E,"&lt;="&amp;IF(ISBLANK($D$5),99999,$D$5)))</f>
        <v/>
      </c>
      <c r="I24" s="58" t="str">
        <f t="shared" si="1"/>
        <v/>
      </c>
      <c r="J24" s="1"/>
    </row>
    <row r="25">
      <c r="A25" s="33" t="str">
        <f t="array" ref="A25">IF(INDEX(Members!$A:$A,18)="","",INDEX(Members!$A:$A,18))</f>
        <v/>
      </c>
      <c r="B25" s="35" t="str">
        <f>IF($A25="","",SUMPRODUCT(('Master Leads'!$D:$D=$A25) * (ISNUMBER(SEARCH("6", 'Master Leads'!$G:$G))) * ('Master Leads'!$E:$E&gt;=IF(ISBLANK($B$5),0,$B$5)) * ('Master Leads'!$E:$E&lt;=IF(ISBLANK($D$5),99999,$D$5))))</f>
        <v/>
      </c>
      <c r="C25" s="35" t="str">
        <f>IF($A25="","",SUMPRODUCT(('Master Leads'!$D:$D=$A25) * (ISNUMBER(SEARCH("7", 'Master Leads'!$G:$G))) * ('Master Leads'!$E:$E&gt;=IF(ISBLANK($B$5),0,$B$5)) * ('Master Leads'!$E:$E&lt;=IF(ISBLANK($D$5),99999,$D$5))))</f>
        <v/>
      </c>
      <c r="D25" s="35" t="str">
        <f>IF($A25="","",SUMPRODUCT(('Master Leads'!$D:$D=$A25) * (ISNUMBER(SEARCH("8", 'Master Leads'!$G:$G))) * ('Master Leads'!$E:$E&gt;=IF(ISBLANK($B$5),0,$B$5)) * ('Master Leads'!$E:$E&lt;=IF(ISBLANK($D$5),99999,$D$5))))</f>
        <v/>
      </c>
      <c r="E25" s="35" t="str">
        <f>IF($A25="","",SUMPRODUCT(('Master Leads'!$D:$D=$A25) * (ISNUMBER(SEARCH("9", 'Master Leads'!$G:$G))) * ('Master Leads'!$E:$E&gt;=IF(ISBLANK($B$5),0,$B$5)) * ('Master Leads'!$E:$E&lt;=IF(ISBLANK($D$5),99999,$D$5))))</f>
        <v/>
      </c>
      <c r="F25" s="35" t="str">
        <f>IF($A25="","",SUMPRODUCT(('Master Leads'!$D:$D=$A25) * (ISNUMBER(SEARCH("10", 'Master Leads'!$G:$G))) * ('Master Leads'!$E:$E&gt;=IF(ISBLANK($B$5),0,$B$5)) * ('Master Leads'!$E:$E&lt;=IF(ISBLANK($D$5),99999,$D$5))))</f>
        <v/>
      </c>
      <c r="G25" s="35" t="str">
        <f>IF($A25="","",SUMPRODUCT(('Master Leads'!$D:$D=$A25) * (ISNUMBER(SEARCH("11", 'Master Leads'!$G:$G))) * ('Master Leads'!$E:$E&gt;=IF(ISBLANK($B$5),0,$B$5)) * ('Master Leads'!$E:$E&lt;=IF(ISBLANK($D$5),99999,$D$5))))</f>
        <v/>
      </c>
      <c r="H25" s="49" t="str">
        <f>IF($A25="","",COUNTIFS('Master Leads'!$D:$D,$A25,'Master Leads'!$E:$E,"&gt;="&amp;IF(ISBLANK($B$5),0,$B$5),'Master Leads'!$E:$E,"&lt;="&amp;IF(ISBLANK($D$5),99999,$D$5)))</f>
        <v/>
      </c>
      <c r="I25" s="50" t="str">
        <f t="shared" si="1"/>
        <v/>
      </c>
      <c r="J25" s="1"/>
    </row>
    <row r="26">
      <c r="A26" s="51" t="str">
        <f t="array" ref="A26">IF(INDEX(Members!$A:$A,19)="","",INDEX(Members!$A:$A,19))</f>
        <v/>
      </c>
      <c r="B26" s="53" t="str">
        <f>IF($A26="","",SUMPRODUCT(('Master Leads'!$D:$D=$A26) * (ISNUMBER(SEARCH("6", 'Master Leads'!$G:$G))) * ('Master Leads'!$E:$E&gt;=IF(ISBLANK($B$5),0,$B$5)) * ('Master Leads'!$E:$E&lt;=IF(ISBLANK($D$5),99999,$D$5))))</f>
        <v/>
      </c>
      <c r="C26" s="53" t="str">
        <f>IF($A26="","",SUMPRODUCT(('Master Leads'!$D:$D=$A26) * (ISNUMBER(SEARCH("7", 'Master Leads'!$G:$G))) * ('Master Leads'!$E:$E&gt;=IF(ISBLANK($B$5),0,$B$5)) * ('Master Leads'!$E:$E&lt;=IF(ISBLANK($D$5),99999,$D$5))))</f>
        <v/>
      </c>
      <c r="D26" s="53" t="str">
        <f>IF($A26="","",SUMPRODUCT(('Master Leads'!$D:$D=$A26) * (ISNUMBER(SEARCH("8", 'Master Leads'!$G:$G))) * ('Master Leads'!$E:$E&gt;=IF(ISBLANK($B$5),0,$B$5)) * ('Master Leads'!$E:$E&lt;=IF(ISBLANK($D$5),99999,$D$5))))</f>
        <v/>
      </c>
      <c r="E26" s="53" t="str">
        <f>IF($A26="","",SUMPRODUCT(('Master Leads'!$D:$D=$A26) * (ISNUMBER(SEARCH("9", 'Master Leads'!$G:$G))) * ('Master Leads'!$E:$E&gt;=IF(ISBLANK($B$5),0,$B$5)) * ('Master Leads'!$E:$E&lt;=IF(ISBLANK($D$5),99999,$D$5))))</f>
        <v/>
      </c>
      <c r="F26" s="53" t="str">
        <f>IF($A26="","",SUMPRODUCT(('Master Leads'!$D:$D=$A26) * (ISNUMBER(SEARCH("10", 'Master Leads'!$G:$G))) * ('Master Leads'!$E:$E&gt;=IF(ISBLANK($B$5),0,$B$5)) * ('Master Leads'!$E:$E&lt;=IF(ISBLANK($D$5),99999,$D$5))))</f>
        <v/>
      </c>
      <c r="G26" s="53" t="str">
        <f>IF($A26="","",SUMPRODUCT(('Master Leads'!$D:$D=$A26) * (ISNUMBER(SEARCH("11", 'Master Leads'!$G:$G))) * ('Master Leads'!$E:$E&gt;=IF(ISBLANK($B$5),0,$B$5)) * ('Master Leads'!$E:$E&lt;=IF(ISBLANK($D$5),99999,$D$5))))</f>
        <v/>
      </c>
      <c r="H26" s="57" t="str">
        <f>IF($A26="","",COUNTIFS('Master Leads'!$D:$D,$A26,'Master Leads'!$E:$E,"&gt;="&amp;IF(ISBLANK($B$5),0,$B$5),'Master Leads'!$E:$E,"&lt;="&amp;IF(ISBLANK($D$5),99999,$D$5)))</f>
        <v/>
      </c>
      <c r="I26" s="58" t="str">
        <f t="shared" si="1"/>
        <v/>
      </c>
      <c r="J26" s="1"/>
    </row>
    <row r="27">
      <c r="A27" s="33" t="str">
        <f t="array" ref="A27">IF(INDEX(Members!$A:$A,20)="","",INDEX(Members!$A:$A,20))</f>
        <v/>
      </c>
      <c r="B27" s="35" t="str">
        <f>IF($A27="","",SUMPRODUCT(('Master Leads'!$D:$D=$A27) * (ISNUMBER(SEARCH("6", 'Master Leads'!$G:$G))) * ('Master Leads'!$E:$E&gt;=IF(ISBLANK($B$5),0,$B$5)) * ('Master Leads'!$E:$E&lt;=IF(ISBLANK($D$5),99999,$D$5))))</f>
        <v/>
      </c>
      <c r="C27" s="35" t="str">
        <f>IF($A27="","",SUMPRODUCT(('Master Leads'!$D:$D=$A27) * (ISNUMBER(SEARCH("7", 'Master Leads'!$G:$G))) * ('Master Leads'!$E:$E&gt;=IF(ISBLANK($B$5),0,$B$5)) * ('Master Leads'!$E:$E&lt;=IF(ISBLANK($D$5),99999,$D$5))))</f>
        <v/>
      </c>
      <c r="D27" s="35" t="str">
        <f>IF($A27="","",SUMPRODUCT(('Master Leads'!$D:$D=$A27) * (ISNUMBER(SEARCH("8", 'Master Leads'!$G:$G))) * ('Master Leads'!$E:$E&gt;=IF(ISBLANK($B$5),0,$B$5)) * ('Master Leads'!$E:$E&lt;=IF(ISBLANK($D$5),99999,$D$5))))</f>
        <v/>
      </c>
      <c r="E27" s="35" t="str">
        <f>IF($A27="","",SUMPRODUCT(('Master Leads'!$D:$D=$A27) * (ISNUMBER(SEARCH("9", 'Master Leads'!$G:$G))) * ('Master Leads'!$E:$E&gt;=IF(ISBLANK($B$5),0,$B$5)) * ('Master Leads'!$E:$E&lt;=IF(ISBLANK($D$5),99999,$D$5))))</f>
        <v/>
      </c>
      <c r="F27" s="35" t="str">
        <f>IF($A27="","",SUMPRODUCT(('Master Leads'!$D:$D=$A27) * (ISNUMBER(SEARCH("10", 'Master Leads'!$G:$G))) * ('Master Leads'!$E:$E&gt;=IF(ISBLANK($B$5),0,$B$5)) * ('Master Leads'!$E:$E&lt;=IF(ISBLANK($D$5),99999,$D$5))))</f>
        <v/>
      </c>
      <c r="G27" s="35" t="str">
        <f>IF($A27="","",SUMPRODUCT(('Master Leads'!$D:$D=$A27) * (ISNUMBER(SEARCH("11", 'Master Leads'!$G:$G))) * ('Master Leads'!$E:$E&gt;=IF(ISBLANK($B$5),0,$B$5)) * ('Master Leads'!$E:$E&lt;=IF(ISBLANK($D$5),99999,$D$5))))</f>
        <v/>
      </c>
      <c r="H27" s="49" t="str">
        <f>IF($A27="","",COUNTIFS('Master Leads'!$D:$D,$A27,'Master Leads'!$E:$E,"&gt;="&amp;IF(ISBLANK($B$5),0,$B$5),'Master Leads'!$E:$E,"&lt;="&amp;IF(ISBLANK($D$5),99999,$D$5)))</f>
        <v/>
      </c>
      <c r="I27" s="50" t="str">
        <f t="shared" si="1"/>
        <v/>
      </c>
      <c r="J27" s="1"/>
    </row>
    <row r="28">
      <c r="A28" s="51" t="str">
        <f t="array" ref="A28">IF(INDEX(Members!$A:$A,21)="","",INDEX(Members!$A:$A,21))</f>
        <v/>
      </c>
      <c r="B28" s="53" t="str">
        <f>IF($A28="","",SUMPRODUCT(('Master Leads'!$D:$D=$A28) * (ISNUMBER(SEARCH("6", 'Master Leads'!$G:$G))) * ('Master Leads'!$E:$E&gt;=IF(ISBLANK($B$5),0,$B$5)) * ('Master Leads'!$E:$E&lt;=IF(ISBLANK($D$5),99999,$D$5))))</f>
        <v/>
      </c>
      <c r="C28" s="53" t="str">
        <f>IF($A28="","",SUMPRODUCT(('Master Leads'!$D:$D=$A28) * (ISNUMBER(SEARCH("7", 'Master Leads'!$G:$G))) * ('Master Leads'!$E:$E&gt;=IF(ISBLANK($B$5),0,$B$5)) * ('Master Leads'!$E:$E&lt;=IF(ISBLANK($D$5),99999,$D$5))))</f>
        <v/>
      </c>
      <c r="D28" s="53" t="str">
        <f>IF($A28="","",SUMPRODUCT(('Master Leads'!$D:$D=$A28) * (ISNUMBER(SEARCH("8", 'Master Leads'!$G:$G))) * ('Master Leads'!$E:$E&gt;=IF(ISBLANK($B$5),0,$B$5)) * ('Master Leads'!$E:$E&lt;=IF(ISBLANK($D$5),99999,$D$5))))</f>
        <v/>
      </c>
      <c r="E28" s="53" t="str">
        <f>IF($A28="","",SUMPRODUCT(('Master Leads'!$D:$D=$A28) * (ISNUMBER(SEARCH("9", 'Master Leads'!$G:$G))) * ('Master Leads'!$E:$E&gt;=IF(ISBLANK($B$5),0,$B$5)) * ('Master Leads'!$E:$E&lt;=IF(ISBLANK($D$5),99999,$D$5))))</f>
        <v/>
      </c>
      <c r="F28" s="53" t="str">
        <f>IF($A28="","",SUMPRODUCT(('Master Leads'!$D:$D=$A28) * (ISNUMBER(SEARCH("10", 'Master Leads'!$G:$G))) * ('Master Leads'!$E:$E&gt;=IF(ISBLANK($B$5),0,$B$5)) * ('Master Leads'!$E:$E&lt;=IF(ISBLANK($D$5),99999,$D$5))))</f>
        <v/>
      </c>
      <c r="G28" s="53" t="str">
        <f>IF($A28="","",SUMPRODUCT(('Master Leads'!$D:$D=$A28) * (ISNUMBER(SEARCH("11", 'Master Leads'!$G:$G))) * ('Master Leads'!$E:$E&gt;=IF(ISBLANK($B$5),0,$B$5)) * ('Master Leads'!$E:$E&lt;=IF(ISBLANK($D$5),99999,$D$5))))</f>
        <v/>
      </c>
      <c r="H28" s="57" t="str">
        <f>IF($A28="","",COUNTIFS('Master Leads'!$D:$D,$A28,'Master Leads'!$E:$E,"&gt;="&amp;IF(ISBLANK($B$5),0,$B$5),'Master Leads'!$E:$E,"&lt;="&amp;IF(ISBLANK($D$5),99999,$D$5)))</f>
        <v/>
      </c>
      <c r="I28" s="58" t="str">
        <f t="shared" si="1"/>
        <v/>
      </c>
      <c r="J28" s="1"/>
    </row>
    <row r="29" ht="16.5" customHeight="1">
      <c r="A29" s="74" t="s">
        <v>92</v>
      </c>
      <c r="B29" s="75">
        <f>SUMPRODUCT((ISNUMBER(SEARCH("6", 'Master Leads'!$G:$G))) * ('Master Leads'!$E:$E&gt;=IF(ISBLANK($B$5),0,$B$5)) * ('Master Leads'!$E:$E&lt;=IF(ISBLANK($D$5),99999,$D$5)))</f>
        <v>244</v>
      </c>
      <c r="C29" s="75">
        <f>SUMPRODUCT((ISNUMBER(SEARCH("7", 'Master Leads'!$G:$G))) * ('Master Leads'!$E:$E&gt;=IF(ISBLANK($B$5),0,$B$5)) * ('Master Leads'!$E:$E&lt;=IF(ISBLANK($D$5),99999,$D$5)))</f>
        <v>409</v>
      </c>
      <c r="D29" s="75">
        <f>SUMPRODUCT((ISNUMBER(SEARCH("8", 'Master Leads'!$G:$G))) * ('Master Leads'!$E:$E&gt;=IF(ISBLANK($B$5),0,$B$5)) * ('Master Leads'!$E:$E&lt;=IF(ISBLANK($D$5),99999,$D$5)))</f>
        <v>363</v>
      </c>
      <c r="E29" s="75">
        <f>SUMPRODUCT((ISNUMBER(SEARCH("9", 'Master Leads'!$G:$G))) * ('Master Leads'!$E:$E&gt;=IF(ISBLANK($B$5),0,$B$5)) * ('Master Leads'!$E:$E&lt;=IF(ISBLANK($D$5),99999,$D$5)))</f>
        <v>1399</v>
      </c>
      <c r="F29" s="75">
        <f>SUMPRODUCT((ISNUMBER(SEARCH("10", 'Master Leads'!$G:$G))) * ('Master Leads'!$E:$E&gt;=IF(ISBLANK($B$5),0,$B$5)) * ('Master Leads'!$E:$E&lt;=IF(ISBLANK($D$5),99999,$D$5)))</f>
        <v>1231</v>
      </c>
      <c r="G29" s="75">
        <f>SUMPRODUCT((ISNUMBER(SEARCH("11", 'Master Leads'!$G:$G))) * ('Master Leads'!$E:$E&gt;=IF(ISBLANK($B$5),0,$B$5)) * ('Master Leads'!$E:$E&lt;=IF(ISBLANK($D$5),99999,$D$5)))</f>
        <v>2853</v>
      </c>
      <c r="H29" s="75">
        <f>COUNTIFS('Master Leads'!$D:$D,"&lt;&gt;",'Master Leads'!$E:$E,"&gt;="&amp;IF(ISBLANK($B$5),0,$B$5),'Master Leads'!$E:$E,"&lt;="&amp;IF(ISBLANK($D$5),99999,$D$5))</f>
        <v>9238</v>
      </c>
      <c r="I29" s="76">
        <v>1.0</v>
      </c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77" t="s">
        <v>446</v>
      </c>
      <c r="B32" s="1"/>
      <c r="C32" s="1"/>
      <c r="D32" s="1"/>
      <c r="E32" s="1"/>
      <c r="F32" s="1"/>
      <c r="G32" s="1"/>
      <c r="H32" s="1"/>
      <c r="I32" s="1"/>
      <c r="J32" s="1"/>
    </row>
    <row r="33" ht="18.0" customHeight="1">
      <c r="A33" s="78" t="s">
        <v>6</v>
      </c>
      <c r="B33" s="79" t="s">
        <v>32</v>
      </c>
      <c r="C33" s="79" t="s">
        <v>33</v>
      </c>
      <c r="D33" s="79" t="s">
        <v>34</v>
      </c>
      <c r="E33" s="79" t="s">
        <v>35</v>
      </c>
      <c r="F33" s="79" t="s">
        <v>36</v>
      </c>
      <c r="G33" s="79" t="s">
        <v>38</v>
      </c>
      <c r="H33" s="78" t="s">
        <v>449</v>
      </c>
      <c r="I33" s="78" t="s">
        <v>450</v>
      </c>
      <c r="J33" s="78" t="s">
        <v>451</v>
      </c>
    </row>
    <row r="34">
      <c r="A34" s="33" t="str">
        <f t="array" ref="A34">IF(INDEX(Members!$A:$A,2)="","",INDEX(Members!$A:$A,2))</f>
        <v>maheesha</v>
      </c>
      <c r="B34" s="35">
        <f>IF($A34="","",SUMPRODUCT(('Master Leads'!$D:$D=$A34) * (ISNUMBER(SEARCH("6", 'Master Leads'!$P:$P))) * ('Master Leads'!$O:$O="Yes") * ('Master Leads'!$E:$E&gt;=IF(ISBLANK($B$5),0,$B$5)) * ('Master Leads'!$E:$E&lt;=IF(ISBLANK($D$5),99999,$D$5))))</f>
        <v>0</v>
      </c>
      <c r="C34" s="35">
        <f>IF($A34="","",SUMPRODUCT(('Master Leads'!$D:$D=$A34) * (ISNUMBER(SEARCH("7", 'Master Leads'!$P:$P))) * ('Master Leads'!$O:$O="Yes") * ('Master Leads'!$E:$E&gt;=IF(ISBLANK($B$5),0,$B$5)) * ('Master Leads'!$E:$E&lt;=IF(ISBLANK($D$5),99999,$D$5))))</f>
        <v>0</v>
      </c>
      <c r="D34" s="35">
        <f>IF($A34="","",SUMPRODUCT(('Master Leads'!$D:$D=$A34) * (ISNUMBER(SEARCH("8", 'Master Leads'!$P:$P))) * ('Master Leads'!$O:$O="Yes") * ('Master Leads'!$E:$E&gt;=IF(ISBLANK($B$5),0,$B$5)) * ('Master Leads'!$E:$E&lt;=IF(ISBLANK($D$5),99999,$D$5))))</f>
        <v>0</v>
      </c>
      <c r="E34" s="35">
        <f>IF($A34="","",SUMPRODUCT(('Master Leads'!$D:$D=$A34) * (ISNUMBER(SEARCH("9", 'Master Leads'!$P:$P))) * ('Master Leads'!$O:$O="Yes") * ('Master Leads'!$E:$E&gt;=IF(ISBLANK($B$5),0,$B$5)) * ('Master Leads'!$E:$E&lt;=IF(ISBLANK($D$5),99999,$D$5))))</f>
        <v>0</v>
      </c>
      <c r="F34" s="35">
        <f>IF($A34="","",SUMPRODUCT(('Master Leads'!$D:$D=$A34) * (ISNUMBER(SEARCH("10", 'Master Leads'!$P:$P))) * ('Master Leads'!$O:$O="Yes") * ('Master Leads'!$E:$E&gt;=IF(ISBLANK($B$5),0,$B$5)) * ('Master Leads'!$E:$E&lt;=IF(ISBLANK($D$5),99999,$D$5))))</f>
        <v>0</v>
      </c>
      <c r="G34" s="35">
        <f>IF($A34="","",SUMPRODUCT(('Master Leads'!$D:$D=$A34) * (ISNUMBER(SEARCH("11", 'Master Leads'!$P:$P))) * ('Master Leads'!$O:$O="Yes") * ('Master Leads'!$E:$E&gt;=IF(ISBLANK($B$5),0,$B$5)) * ('Master Leads'!$E:$E&lt;=IF(ISBLANK($D$5),99999,$D$5))))</f>
        <v>0</v>
      </c>
      <c r="H34" s="80">
        <f t="shared" ref="H34:H53" si="2">IF($A34="","",SUM(B34:G34))</f>
        <v>0</v>
      </c>
      <c r="I34" s="50">
        <f t="shared" ref="I34:I53" si="3">IF(OR($A34="",$H$54=0),"",H34/$H$54)</f>
        <v>0</v>
      </c>
      <c r="J34" s="81">
        <f t="shared" ref="J34:J53" si="4">IF(OR($A34="",H9=0),"",H34/H9)</f>
        <v>0</v>
      </c>
    </row>
    <row r="35">
      <c r="A35" s="51" t="str">
        <f t="array" ref="A35">IF(INDEX(Members!$A:$A,3)="","",INDEX(Members!$A:$A,3))</f>
        <v>menik</v>
      </c>
      <c r="B35" s="53">
        <f>IF($A35="","",SUMPRODUCT(('Master Leads'!$D:$D=$A35) * (ISNUMBER(SEARCH("6", 'Master Leads'!$P:$P))) * ('Master Leads'!$O:$O="Yes") * ('Master Leads'!$E:$E&gt;=IF(ISBLANK($B$5),0,$B$5)) * ('Master Leads'!$E:$E&lt;=IF(ISBLANK($D$5),99999,$D$5))))</f>
        <v>0</v>
      </c>
      <c r="C35" s="53">
        <f>IF($A35="","",SUMPRODUCT(('Master Leads'!$D:$D=$A35) * (ISNUMBER(SEARCH("7", 'Master Leads'!$P:$P))) * ('Master Leads'!$O:$O="Yes") * ('Master Leads'!$E:$E&gt;=IF(ISBLANK($B$5),0,$B$5)) * ('Master Leads'!$E:$E&lt;=IF(ISBLANK($D$5),99999,$D$5))))</f>
        <v>0</v>
      </c>
      <c r="D35" s="53">
        <f>IF($A35="","",SUMPRODUCT(('Master Leads'!$D:$D=$A35) * (ISNUMBER(SEARCH("8", 'Master Leads'!$P:$P))) * ('Master Leads'!$O:$O="Yes") * ('Master Leads'!$E:$E&gt;=IF(ISBLANK($B$5),0,$B$5)) * ('Master Leads'!$E:$E&lt;=IF(ISBLANK($D$5),99999,$D$5))))</f>
        <v>0</v>
      </c>
      <c r="E35" s="53">
        <f>IF($A35="","",SUMPRODUCT(('Master Leads'!$D:$D=$A35) * (ISNUMBER(SEARCH("9", 'Master Leads'!$P:$P))) * ('Master Leads'!$O:$O="Yes") * ('Master Leads'!$E:$E&gt;=IF(ISBLANK($B$5),0,$B$5)) * ('Master Leads'!$E:$E&lt;=IF(ISBLANK($D$5),99999,$D$5))))</f>
        <v>0</v>
      </c>
      <c r="F35" s="53">
        <f>IF($A35="","",SUMPRODUCT(('Master Leads'!$D:$D=$A35) * (ISNUMBER(SEARCH("10", 'Master Leads'!$P:$P))) * ('Master Leads'!$O:$O="Yes") * ('Master Leads'!$E:$E&gt;=IF(ISBLANK($B$5),0,$B$5)) * ('Master Leads'!$E:$E&lt;=IF(ISBLANK($D$5),99999,$D$5))))</f>
        <v>0</v>
      </c>
      <c r="G35" s="53">
        <f>IF($A35="","",SUMPRODUCT(('Master Leads'!$D:$D=$A35) * (ISNUMBER(SEARCH("11", 'Master Leads'!$P:$P))) * ('Master Leads'!$O:$O="Yes") * ('Master Leads'!$E:$E&gt;=IF(ISBLANK($B$5),0,$B$5)) * ('Master Leads'!$E:$E&lt;=IF(ISBLANK($D$5),99999,$D$5))))</f>
        <v>0</v>
      </c>
      <c r="H35" s="82">
        <f t="shared" si="2"/>
        <v>0</v>
      </c>
      <c r="I35" s="58">
        <f t="shared" si="3"/>
        <v>0</v>
      </c>
      <c r="J35" s="83" t="str">
        <f t="shared" si="4"/>
        <v/>
      </c>
    </row>
    <row r="36">
      <c r="A36" s="33" t="str">
        <f t="array" ref="A36">IF(INDEX(Members!$A:$A,4)="","",INDEX(Members!$A:$A,4))</f>
        <v>kavinda</v>
      </c>
      <c r="B36" s="35">
        <f>IF($A36="","",SUMPRODUCT(('Master Leads'!$D:$D=$A36) * (ISNUMBER(SEARCH("6", 'Master Leads'!$P:$P))) * ('Master Leads'!$O:$O="Yes") * ('Master Leads'!$E:$E&gt;=IF(ISBLANK($B$5),0,$B$5)) * ('Master Leads'!$E:$E&lt;=IF(ISBLANK($D$5),99999,$D$5))))</f>
        <v>0</v>
      </c>
      <c r="C36" s="35">
        <f>IF($A36="","",SUMPRODUCT(('Master Leads'!$D:$D=$A36) * (ISNUMBER(SEARCH("7", 'Master Leads'!$P:$P))) * ('Master Leads'!$O:$O="Yes") * ('Master Leads'!$E:$E&gt;=IF(ISBLANK($B$5),0,$B$5)) * ('Master Leads'!$E:$E&lt;=IF(ISBLANK($D$5),99999,$D$5))))</f>
        <v>0</v>
      </c>
      <c r="D36" s="35">
        <f>IF($A36="","",SUMPRODUCT(('Master Leads'!$D:$D=$A36) * (ISNUMBER(SEARCH("8", 'Master Leads'!$P:$P))) * ('Master Leads'!$O:$O="Yes") * ('Master Leads'!$E:$E&gt;=IF(ISBLANK($B$5),0,$B$5)) * ('Master Leads'!$E:$E&lt;=IF(ISBLANK($D$5),99999,$D$5))))</f>
        <v>0</v>
      </c>
      <c r="E36" s="35">
        <f>IF($A36="","",SUMPRODUCT(('Master Leads'!$D:$D=$A36) * (ISNUMBER(SEARCH("9", 'Master Leads'!$P:$P))) * ('Master Leads'!$O:$O="Yes") * ('Master Leads'!$E:$E&gt;=IF(ISBLANK($B$5),0,$B$5)) * ('Master Leads'!$E:$E&lt;=IF(ISBLANK($D$5),99999,$D$5))))</f>
        <v>0</v>
      </c>
      <c r="F36" s="35">
        <f>IF($A36="","",SUMPRODUCT(('Master Leads'!$D:$D=$A36) * (ISNUMBER(SEARCH("10", 'Master Leads'!$P:$P))) * ('Master Leads'!$O:$O="Yes") * ('Master Leads'!$E:$E&gt;=IF(ISBLANK($B$5),0,$B$5)) * ('Master Leads'!$E:$E&lt;=IF(ISBLANK($D$5),99999,$D$5))))</f>
        <v>0</v>
      </c>
      <c r="G36" s="35">
        <f>IF($A36="","",SUMPRODUCT(('Master Leads'!$D:$D=$A36) * (ISNUMBER(SEARCH("11", 'Master Leads'!$P:$P))) * ('Master Leads'!$O:$O="Yes") * ('Master Leads'!$E:$E&gt;=IF(ISBLANK($B$5),0,$B$5)) * ('Master Leads'!$E:$E&lt;=IF(ISBLANK($D$5),99999,$D$5))))</f>
        <v>0</v>
      </c>
      <c r="H36" s="80">
        <f t="shared" si="2"/>
        <v>0</v>
      </c>
      <c r="I36" s="50">
        <f t="shared" si="3"/>
        <v>0</v>
      </c>
      <c r="J36" s="81">
        <f t="shared" si="4"/>
        <v>0</v>
      </c>
    </row>
    <row r="37">
      <c r="A37" s="51" t="str">
        <f t="array" ref="A37">IF(INDEX(Members!$A:$A,5)="","",INDEX(Members!$A:$A,5))</f>
        <v>umesh</v>
      </c>
      <c r="B37" s="53">
        <f>IF($A37="","",SUMPRODUCT(('Master Leads'!$D:$D=$A37) * (ISNUMBER(SEARCH("6", 'Master Leads'!$P:$P))) * ('Master Leads'!$O:$O="Yes") * ('Master Leads'!$E:$E&gt;=IF(ISBLANK($B$5),0,$B$5)) * ('Master Leads'!$E:$E&lt;=IF(ISBLANK($D$5),99999,$D$5))))</f>
        <v>1</v>
      </c>
      <c r="C37" s="53">
        <f>IF($A37="","",SUMPRODUCT(('Master Leads'!$D:$D=$A37) * (ISNUMBER(SEARCH("7", 'Master Leads'!$P:$P))) * ('Master Leads'!$O:$O="Yes") * ('Master Leads'!$E:$E&gt;=IF(ISBLANK($B$5),0,$B$5)) * ('Master Leads'!$E:$E&lt;=IF(ISBLANK($D$5),99999,$D$5))))</f>
        <v>0</v>
      </c>
      <c r="D37" s="53">
        <f>IF($A37="","",SUMPRODUCT(('Master Leads'!$D:$D=$A37) * (ISNUMBER(SEARCH("8", 'Master Leads'!$P:$P))) * ('Master Leads'!$O:$O="Yes") * ('Master Leads'!$E:$E&gt;=IF(ISBLANK($B$5),0,$B$5)) * ('Master Leads'!$E:$E&lt;=IF(ISBLANK($D$5),99999,$D$5))))</f>
        <v>0</v>
      </c>
      <c r="E37" s="53">
        <f>IF($A37="","",SUMPRODUCT(('Master Leads'!$D:$D=$A37) * (ISNUMBER(SEARCH("9", 'Master Leads'!$P:$P))) * ('Master Leads'!$O:$O="Yes") * ('Master Leads'!$E:$E&gt;=IF(ISBLANK($B$5),0,$B$5)) * ('Master Leads'!$E:$E&lt;=IF(ISBLANK($D$5),99999,$D$5))))</f>
        <v>0</v>
      </c>
      <c r="F37" s="53">
        <f>IF($A37="","",SUMPRODUCT(('Master Leads'!$D:$D=$A37) * (ISNUMBER(SEARCH("10", 'Master Leads'!$P:$P))) * ('Master Leads'!$O:$O="Yes") * ('Master Leads'!$E:$E&gt;=IF(ISBLANK($B$5),0,$B$5)) * ('Master Leads'!$E:$E&lt;=IF(ISBLANK($D$5),99999,$D$5))))</f>
        <v>0</v>
      </c>
      <c r="G37" s="53">
        <f>IF($A37="","",SUMPRODUCT(('Master Leads'!$D:$D=$A37) * (ISNUMBER(SEARCH("11", 'Master Leads'!$P:$P))) * ('Master Leads'!$O:$O="Yes") * ('Master Leads'!$E:$E&gt;=IF(ISBLANK($B$5),0,$B$5)) * ('Master Leads'!$E:$E&lt;=IF(ISBLANK($D$5),99999,$D$5))))</f>
        <v>0</v>
      </c>
      <c r="H37" s="82">
        <f t="shared" si="2"/>
        <v>1</v>
      </c>
      <c r="I37" s="58">
        <f t="shared" si="3"/>
        <v>1</v>
      </c>
      <c r="J37" s="83">
        <f t="shared" si="4"/>
        <v>0.001522070015</v>
      </c>
    </row>
    <row r="38">
      <c r="A38" s="33" t="str">
        <f t="array" ref="A38">IF(INDEX(Members!$A:$A,6)="","",INDEX(Members!$A:$A,6))</f>
        <v>Avishka</v>
      </c>
      <c r="B38" s="35">
        <f>IF($A38="","",SUMPRODUCT(('Master Leads'!$D:$D=$A38) * (ISNUMBER(SEARCH("6", 'Master Leads'!$P:$P))) * ('Master Leads'!$O:$O="Yes") * ('Master Leads'!$E:$E&gt;=IF(ISBLANK($B$5),0,$B$5)) * ('Master Leads'!$E:$E&lt;=IF(ISBLANK($D$5),99999,$D$5))))</f>
        <v>0</v>
      </c>
      <c r="C38" s="35">
        <f>IF($A38="","",SUMPRODUCT(('Master Leads'!$D:$D=$A38) * (ISNUMBER(SEARCH("7", 'Master Leads'!$P:$P))) * ('Master Leads'!$O:$O="Yes") * ('Master Leads'!$E:$E&gt;=IF(ISBLANK($B$5),0,$B$5)) * ('Master Leads'!$E:$E&lt;=IF(ISBLANK($D$5),99999,$D$5))))</f>
        <v>0</v>
      </c>
      <c r="D38" s="35">
        <f>IF($A38="","",SUMPRODUCT(('Master Leads'!$D:$D=$A38) * (ISNUMBER(SEARCH("8", 'Master Leads'!$P:$P))) * ('Master Leads'!$O:$O="Yes") * ('Master Leads'!$E:$E&gt;=IF(ISBLANK($B$5),0,$B$5)) * ('Master Leads'!$E:$E&lt;=IF(ISBLANK($D$5),99999,$D$5))))</f>
        <v>0</v>
      </c>
      <c r="E38" s="35">
        <f>IF($A38="","",SUMPRODUCT(('Master Leads'!$D:$D=$A38) * (ISNUMBER(SEARCH("9", 'Master Leads'!$P:$P))) * ('Master Leads'!$O:$O="Yes") * ('Master Leads'!$E:$E&gt;=IF(ISBLANK($B$5),0,$B$5)) * ('Master Leads'!$E:$E&lt;=IF(ISBLANK($D$5),99999,$D$5))))</f>
        <v>0</v>
      </c>
      <c r="F38" s="35">
        <f>IF($A38="","",SUMPRODUCT(('Master Leads'!$D:$D=$A38) * (ISNUMBER(SEARCH("10", 'Master Leads'!$P:$P))) * ('Master Leads'!$O:$O="Yes") * ('Master Leads'!$E:$E&gt;=IF(ISBLANK($B$5),0,$B$5)) * ('Master Leads'!$E:$E&lt;=IF(ISBLANK($D$5),99999,$D$5))))</f>
        <v>0</v>
      </c>
      <c r="G38" s="35">
        <f>IF($A38="","",SUMPRODUCT(('Master Leads'!$D:$D=$A38) * (ISNUMBER(SEARCH("11", 'Master Leads'!$P:$P))) * ('Master Leads'!$O:$O="Yes") * ('Master Leads'!$E:$E&gt;=IF(ISBLANK($B$5),0,$B$5)) * ('Master Leads'!$E:$E&lt;=IF(ISBLANK($D$5),99999,$D$5))))</f>
        <v>0</v>
      </c>
      <c r="H38" s="80">
        <f t="shared" si="2"/>
        <v>0</v>
      </c>
      <c r="I38" s="50">
        <f t="shared" si="3"/>
        <v>0</v>
      </c>
      <c r="J38" s="81">
        <f t="shared" si="4"/>
        <v>0</v>
      </c>
    </row>
    <row r="39">
      <c r="A39" s="51" t="str">
        <f t="array" ref="A39">IF(INDEX(Members!$A:$A,7)="","",INDEX(Members!$A:$A,7))</f>
        <v>Wihanga</v>
      </c>
      <c r="B39" s="53">
        <f>IF($A39="","",SUMPRODUCT(('Master Leads'!$D:$D=$A39) * (ISNUMBER(SEARCH("6", 'Master Leads'!$P:$P))) * ('Master Leads'!$O:$O="Yes") * ('Master Leads'!$E:$E&gt;=IF(ISBLANK($B$5),0,$B$5)) * ('Master Leads'!$E:$E&lt;=IF(ISBLANK($D$5),99999,$D$5))))</f>
        <v>0</v>
      </c>
      <c r="C39" s="53">
        <f>IF($A39="","",SUMPRODUCT(('Master Leads'!$D:$D=$A39) * (ISNUMBER(SEARCH("7", 'Master Leads'!$P:$P))) * ('Master Leads'!$O:$O="Yes") * ('Master Leads'!$E:$E&gt;=IF(ISBLANK($B$5),0,$B$5)) * ('Master Leads'!$E:$E&lt;=IF(ISBLANK($D$5),99999,$D$5))))</f>
        <v>0</v>
      </c>
      <c r="D39" s="53">
        <f>IF($A39="","",SUMPRODUCT(('Master Leads'!$D:$D=$A39) * (ISNUMBER(SEARCH("8", 'Master Leads'!$P:$P))) * ('Master Leads'!$O:$O="Yes") * ('Master Leads'!$E:$E&gt;=IF(ISBLANK($B$5),0,$B$5)) * ('Master Leads'!$E:$E&lt;=IF(ISBLANK($D$5),99999,$D$5))))</f>
        <v>0</v>
      </c>
      <c r="E39" s="53">
        <f>IF($A39="","",SUMPRODUCT(('Master Leads'!$D:$D=$A39) * (ISNUMBER(SEARCH("9", 'Master Leads'!$P:$P))) * ('Master Leads'!$O:$O="Yes") * ('Master Leads'!$E:$E&gt;=IF(ISBLANK($B$5),0,$B$5)) * ('Master Leads'!$E:$E&lt;=IF(ISBLANK($D$5),99999,$D$5))))</f>
        <v>0</v>
      </c>
      <c r="F39" s="53">
        <f>IF($A39="","",SUMPRODUCT(('Master Leads'!$D:$D=$A39) * (ISNUMBER(SEARCH("10", 'Master Leads'!$P:$P))) * ('Master Leads'!$O:$O="Yes") * ('Master Leads'!$E:$E&gt;=IF(ISBLANK($B$5),0,$B$5)) * ('Master Leads'!$E:$E&lt;=IF(ISBLANK($D$5),99999,$D$5))))</f>
        <v>0</v>
      </c>
      <c r="G39" s="53">
        <f>IF($A39="","",SUMPRODUCT(('Master Leads'!$D:$D=$A39) * (ISNUMBER(SEARCH("11", 'Master Leads'!$P:$P))) * ('Master Leads'!$O:$O="Yes") * ('Master Leads'!$E:$E&gt;=IF(ISBLANK($B$5),0,$B$5)) * ('Master Leads'!$E:$E&lt;=IF(ISBLANK($D$5),99999,$D$5))))</f>
        <v>0</v>
      </c>
      <c r="H39" s="82">
        <f t="shared" si="2"/>
        <v>0</v>
      </c>
      <c r="I39" s="58">
        <f t="shared" si="3"/>
        <v>0</v>
      </c>
      <c r="J39" s="83" t="str">
        <f t="shared" si="4"/>
        <v/>
      </c>
    </row>
    <row r="40">
      <c r="A40" s="33" t="str">
        <f t="array" ref="A40">IF(INDEX(Members!$A:$A,8)="","",INDEX(Members!$A:$A,8))</f>
        <v>muthumali</v>
      </c>
      <c r="B40" s="35">
        <f>IF($A40="","",SUMPRODUCT(('Master Leads'!$D:$D=$A40) * (ISNUMBER(SEARCH("6", 'Master Leads'!$P:$P))) * ('Master Leads'!$O:$O="Yes") * ('Master Leads'!$E:$E&gt;=IF(ISBLANK($B$5),0,$B$5)) * ('Master Leads'!$E:$E&lt;=IF(ISBLANK($D$5),99999,$D$5))))</f>
        <v>0</v>
      </c>
      <c r="C40" s="35">
        <f>IF($A40="","",SUMPRODUCT(('Master Leads'!$D:$D=$A40) * (ISNUMBER(SEARCH("7", 'Master Leads'!$P:$P))) * ('Master Leads'!$O:$O="Yes") * ('Master Leads'!$E:$E&gt;=IF(ISBLANK($B$5),0,$B$5)) * ('Master Leads'!$E:$E&lt;=IF(ISBLANK($D$5),99999,$D$5))))</f>
        <v>0</v>
      </c>
      <c r="D40" s="35">
        <f>IF($A40="","",SUMPRODUCT(('Master Leads'!$D:$D=$A40) * (ISNUMBER(SEARCH("8", 'Master Leads'!$P:$P))) * ('Master Leads'!$O:$O="Yes") * ('Master Leads'!$E:$E&gt;=IF(ISBLANK($B$5),0,$B$5)) * ('Master Leads'!$E:$E&lt;=IF(ISBLANK($D$5),99999,$D$5))))</f>
        <v>0</v>
      </c>
      <c r="E40" s="35">
        <f>IF($A40="","",SUMPRODUCT(('Master Leads'!$D:$D=$A40) * (ISNUMBER(SEARCH("9", 'Master Leads'!$P:$P))) * ('Master Leads'!$O:$O="Yes") * ('Master Leads'!$E:$E&gt;=IF(ISBLANK($B$5),0,$B$5)) * ('Master Leads'!$E:$E&lt;=IF(ISBLANK($D$5),99999,$D$5))))</f>
        <v>0</v>
      </c>
      <c r="F40" s="35">
        <f>IF($A40="","",SUMPRODUCT(('Master Leads'!$D:$D=$A40) * (ISNUMBER(SEARCH("10", 'Master Leads'!$P:$P))) * ('Master Leads'!$O:$O="Yes") * ('Master Leads'!$E:$E&gt;=IF(ISBLANK($B$5),0,$B$5)) * ('Master Leads'!$E:$E&lt;=IF(ISBLANK($D$5),99999,$D$5))))</f>
        <v>0</v>
      </c>
      <c r="G40" s="35">
        <f>IF($A40="","",SUMPRODUCT(('Master Leads'!$D:$D=$A40) * (ISNUMBER(SEARCH("11", 'Master Leads'!$P:$P))) * ('Master Leads'!$O:$O="Yes") * ('Master Leads'!$E:$E&gt;=IF(ISBLANK($B$5),0,$B$5)) * ('Master Leads'!$E:$E&lt;=IF(ISBLANK($D$5),99999,$D$5))))</f>
        <v>0</v>
      </c>
      <c r="H40" s="80">
        <f t="shared" si="2"/>
        <v>0</v>
      </c>
      <c r="I40" s="50">
        <f t="shared" si="3"/>
        <v>0</v>
      </c>
      <c r="J40" s="81">
        <f t="shared" si="4"/>
        <v>0</v>
      </c>
    </row>
    <row r="41">
      <c r="A41" s="51" t="str">
        <f t="array" ref="A41">IF(INDEX(Members!$A:$A,9)="","",INDEX(Members!$A:$A,9))</f>
        <v>shamali</v>
      </c>
      <c r="B41" s="53">
        <f>IF($A41="","",SUMPRODUCT(('Master Leads'!$D:$D=$A41) * (ISNUMBER(SEARCH("6", 'Master Leads'!$P:$P))) * ('Master Leads'!$O:$O="Yes") * ('Master Leads'!$E:$E&gt;=IF(ISBLANK($B$5),0,$B$5)) * ('Master Leads'!$E:$E&lt;=IF(ISBLANK($D$5),99999,$D$5))))</f>
        <v>0</v>
      </c>
      <c r="C41" s="53">
        <f>IF($A41="","",SUMPRODUCT(('Master Leads'!$D:$D=$A41) * (ISNUMBER(SEARCH("7", 'Master Leads'!$P:$P))) * ('Master Leads'!$O:$O="Yes") * ('Master Leads'!$E:$E&gt;=IF(ISBLANK($B$5),0,$B$5)) * ('Master Leads'!$E:$E&lt;=IF(ISBLANK($D$5),99999,$D$5))))</f>
        <v>0</v>
      </c>
      <c r="D41" s="53">
        <f>IF($A41="","",SUMPRODUCT(('Master Leads'!$D:$D=$A41) * (ISNUMBER(SEARCH("8", 'Master Leads'!$P:$P))) * ('Master Leads'!$O:$O="Yes") * ('Master Leads'!$E:$E&gt;=IF(ISBLANK($B$5),0,$B$5)) * ('Master Leads'!$E:$E&lt;=IF(ISBLANK($D$5),99999,$D$5))))</f>
        <v>0</v>
      </c>
      <c r="E41" s="53">
        <f>IF($A41="","",SUMPRODUCT(('Master Leads'!$D:$D=$A41) * (ISNUMBER(SEARCH("9", 'Master Leads'!$P:$P))) * ('Master Leads'!$O:$O="Yes") * ('Master Leads'!$E:$E&gt;=IF(ISBLANK($B$5),0,$B$5)) * ('Master Leads'!$E:$E&lt;=IF(ISBLANK($D$5),99999,$D$5))))</f>
        <v>0</v>
      </c>
      <c r="F41" s="53">
        <f>IF($A41="","",SUMPRODUCT(('Master Leads'!$D:$D=$A41) * (ISNUMBER(SEARCH("10", 'Master Leads'!$P:$P))) * ('Master Leads'!$O:$O="Yes") * ('Master Leads'!$E:$E&gt;=IF(ISBLANK($B$5),0,$B$5)) * ('Master Leads'!$E:$E&lt;=IF(ISBLANK($D$5),99999,$D$5))))</f>
        <v>0</v>
      </c>
      <c r="G41" s="53">
        <f>IF($A41="","",SUMPRODUCT(('Master Leads'!$D:$D=$A41) * (ISNUMBER(SEARCH("11", 'Master Leads'!$P:$P))) * ('Master Leads'!$O:$O="Yes") * ('Master Leads'!$E:$E&gt;=IF(ISBLANK($B$5),0,$B$5)) * ('Master Leads'!$E:$E&lt;=IF(ISBLANK($D$5),99999,$D$5))))</f>
        <v>0</v>
      </c>
      <c r="H41" s="82">
        <f t="shared" si="2"/>
        <v>0</v>
      </c>
      <c r="I41" s="58">
        <f t="shared" si="3"/>
        <v>0</v>
      </c>
      <c r="J41" s="83">
        <f t="shared" si="4"/>
        <v>0</v>
      </c>
    </row>
    <row r="42">
      <c r="A42" s="33" t="str">
        <f t="array" ref="A42">IF(INDEX(Members!$A:$A,10)="","",INDEX(Members!$A:$A,10))</f>
        <v>Ama</v>
      </c>
      <c r="B42" s="35">
        <f>IF($A42="","",SUMPRODUCT(('Master Leads'!$D:$D=$A42) * (ISNUMBER(SEARCH("6", 'Master Leads'!$P:$P))) * ('Master Leads'!$O:$O="Yes") * ('Master Leads'!$E:$E&gt;=IF(ISBLANK($B$5),0,$B$5)) * ('Master Leads'!$E:$E&lt;=IF(ISBLANK($D$5),99999,$D$5))))</f>
        <v>0</v>
      </c>
      <c r="C42" s="35">
        <f>IF($A42="","",SUMPRODUCT(('Master Leads'!$D:$D=$A42) * (ISNUMBER(SEARCH("7", 'Master Leads'!$P:$P))) * ('Master Leads'!$O:$O="Yes") * ('Master Leads'!$E:$E&gt;=IF(ISBLANK($B$5),0,$B$5)) * ('Master Leads'!$E:$E&lt;=IF(ISBLANK($D$5),99999,$D$5))))</f>
        <v>0</v>
      </c>
      <c r="D42" s="35">
        <f>IF($A42="","",SUMPRODUCT(('Master Leads'!$D:$D=$A42) * (ISNUMBER(SEARCH("8", 'Master Leads'!$P:$P))) * ('Master Leads'!$O:$O="Yes") * ('Master Leads'!$E:$E&gt;=IF(ISBLANK($B$5),0,$B$5)) * ('Master Leads'!$E:$E&lt;=IF(ISBLANK($D$5),99999,$D$5))))</f>
        <v>0</v>
      </c>
      <c r="E42" s="35">
        <f>IF($A42="","",SUMPRODUCT(('Master Leads'!$D:$D=$A42) * (ISNUMBER(SEARCH("9", 'Master Leads'!$P:$P))) * ('Master Leads'!$O:$O="Yes") * ('Master Leads'!$E:$E&gt;=IF(ISBLANK($B$5),0,$B$5)) * ('Master Leads'!$E:$E&lt;=IF(ISBLANK($D$5),99999,$D$5))))</f>
        <v>0</v>
      </c>
      <c r="F42" s="35">
        <f>IF($A42="","",SUMPRODUCT(('Master Leads'!$D:$D=$A42) * (ISNUMBER(SEARCH("10", 'Master Leads'!$P:$P))) * ('Master Leads'!$O:$O="Yes") * ('Master Leads'!$E:$E&gt;=IF(ISBLANK($B$5),0,$B$5)) * ('Master Leads'!$E:$E&lt;=IF(ISBLANK($D$5),99999,$D$5))))</f>
        <v>0</v>
      </c>
      <c r="G42" s="35">
        <f>IF($A42="","",SUMPRODUCT(('Master Leads'!$D:$D=$A42) * (ISNUMBER(SEARCH("11", 'Master Leads'!$P:$P))) * ('Master Leads'!$O:$O="Yes") * ('Master Leads'!$E:$E&gt;=IF(ISBLANK($B$5),0,$B$5)) * ('Master Leads'!$E:$E&lt;=IF(ISBLANK($D$5),99999,$D$5))))</f>
        <v>0</v>
      </c>
      <c r="H42" s="80">
        <f t="shared" si="2"/>
        <v>0</v>
      </c>
      <c r="I42" s="50">
        <f t="shared" si="3"/>
        <v>0</v>
      </c>
      <c r="J42" s="81">
        <f t="shared" si="4"/>
        <v>0</v>
      </c>
    </row>
    <row r="43">
      <c r="A43" s="51" t="str">
        <f t="array" ref="A43">IF(INDEX(Members!$A:$A,11)="","",INDEX(Members!$A:$A,11))</f>
        <v>kushalya</v>
      </c>
      <c r="B43" s="53">
        <f>IF($A43="","",SUMPRODUCT(('Master Leads'!$D:$D=$A43) * (ISNUMBER(SEARCH("6", 'Master Leads'!$P:$P))) * ('Master Leads'!$O:$O="Yes") * ('Master Leads'!$E:$E&gt;=IF(ISBLANK($B$5),0,$B$5)) * ('Master Leads'!$E:$E&lt;=IF(ISBLANK($D$5),99999,$D$5))))</f>
        <v>0</v>
      </c>
      <c r="C43" s="53">
        <f>IF($A43="","",SUMPRODUCT(('Master Leads'!$D:$D=$A43) * (ISNUMBER(SEARCH("7", 'Master Leads'!$P:$P))) * ('Master Leads'!$O:$O="Yes") * ('Master Leads'!$E:$E&gt;=IF(ISBLANK($B$5),0,$B$5)) * ('Master Leads'!$E:$E&lt;=IF(ISBLANK($D$5),99999,$D$5))))</f>
        <v>0</v>
      </c>
      <c r="D43" s="53">
        <f>IF($A43="","",SUMPRODUCT(('Master Leads'!$D:$D=$A43) * (ISNUMBER(SEARCH("8", 'Master Leads'!$P:$P))) * ('Master Leads'!$O:$O="Yes") * ('Master Leads'!$E:$E&gt;=IF(ISBLANK($B$5),0,$B$5)) * ('Master Leads'!$E:$E&lt;=IF(ISBLANK($D$5),99999,$D$5))))</f>
        <v>0</v>
      </c>
      <c r="E43" s="53">
        <f>IF($A43="","",SUMPRODUCT(('Master Leads'!$D:$D=$A43) * (ISNUMBER(SEARCH("9", 'Master Leads'!$P:$P))) * ('Master Leads'!$O:$O="Yes") * ('Master Leads'!$E:$E&gt;=IF(ISBLANK($B$5),0,$B$5)) * ('Master Leads'!$E:$E&lt;=IF(ISBLANK($D$5),99999,$D$5))))</f>
        <v>0</v>
      </c>
      <c r="F43" s="53">
        <f>IF($A43="","",SUMPRODUCT(('Master Leads'!$D:$D=$A43) * (ISNUMBER(SEARCH("10", 'Master Leads'!$P:$P))) * ('Master Leads'!$O:$O="Yes") * ('Master Leads'!$E:$E&gt;=IF(ISBLANK($B$5),0,$B$5)) * ('Master Leads'!$E:$E&lt;=IF(ISBLANK($D$5),99999,$D$5))))</f>
        <v>0</v>
      </c>
      <c r="G43" s="53">
        <f>IF($A43="","",SUMPRODUCT(('Master Leads'!$D:$D=$A43) * (ISNUMBER(SEARCH("11", 'Master Leads'!$P:$P))) * ('Master Leads'!$O:$O="Yes") * ('Master Leads'!$E:$E&gt;=IF(ISBLANK($B$5),0,$B$5)) * ('Master Leads'!$E:$E&lt;=IF(ISBLANK($D$5),99999,$D$5))))</f>
        <v>0</v>
      </c>
      <c r="H43" s="82">
        <f t="shared" si="2"/>
        <v>0</v>
      </c>
      <c r="I43" s="58">
        <f t="shared" si="3"/>
        <v>0</v>
      </c>
      <c r="J43" s="83">
        <f t="shared" si="4"/>
        <v>0</v>
      </c>
    </row>
    <row r="44">
      <c r="A44" s="33" t="str">
        <f t="array" ref="A44">IF(INDEX(Members!$A:$A,12)="","",INDEX(Members!$A:$A,12))</f>
        <v>TOTAL</v>
      </c>
      <c r="B44" s="35">
        <f>IF($A44="","",SUMPRODUCT(('Master Leads'!$D:$D=$A44) * (ISNUMBER(SEARCH("6", 'Master Leads'!$P:$P))) * ('Master Leads'!$O:$O="Yes") * ('Master Leads'!$E:$E&gt;=IF(ISBLANK($B$5),0,$B$5)) * ('Master Leads'!$E:$E&lt;=IF(ISBLANK($D$5),99999,$D$5))))</f>
        <v>0</v>
      </c>
      <c r="C44" s="35">
        <f>IF($A44="","",SUMPRODUCT(('Master Leads'!$D:$D=$A44) * (ISNUMBER(SEARCH("7", 'Master Leads'!$P:$P))) * ('Master Leads'!$O:$O="Yes") * ('Master Leads'!$E:$E&gt;=IF(ISBLANK($B$5),0,$B$5)) * ('Master Leads'!$E:$E&lt;=IF(ISBLANK($D$5),99999,$D$5))))</f>
        <v>0</v>
      </c>
      <c r="D44" s="35">
        <f>IF($A44="","",SUMPRODUCT(('Master Leads'!$D:$D=$A44) * (ISNUMBER(SEARCH("8", 'Master Leads'!$P:$P))) * ('Master Leads'!$O:$O="Yes") * ('Master Leads'!$E:$E&gt;=IF(ISBLANK($B$5),0,$B$5)) * ('Master Leads'!$E:$E&lt;=IF(ISBLANK($D$5),99999,$D$5))))</f>
        <v>0</v>
      </c>
      <c r="E44" s="35">
        <f>IF($A44="","",SUMPRODUCT(('Master Leads'!$D:$D=$A44) * (ISNUMBER(SEARCH("9", 'Master Leads'!$P:$P))) * ('Master Leads'!$O:$O="Yes") * ('Master Leads'!$E:$E&gt;=IF(ISBLANK($B$5),0,$B$5)) * ('Master Leads'!$E:$E&lt;=IF(ISBLANK($D$5),99999,$D$5))))</f>
        <v>0</v>
      </c>
      <c r="F44" s="35">
        <f>IF($A44="","",SUMPRODUCT(('Master Leads'!$D:$D=$A44) * (ISNUMBER(SEARCH("10", 'Master Leads'!$P:$P))) * ('Master Leads'!$O:$O="Yes") * ('Master Leads'!$E:$E&gt;=IF(ISBLANK($B$5),0,$B$5)) * ('Master Leads'!$E:$E&lt;=IF(ISBLANK($D$5),99999,$D$5))))</f>
        <v>0</v>
      </c>
      <c r="G44" s="35">
        <f>IF($A44="","",SUMPRODUCT(('Master Leads'!$D:$D=$A44) * (ISNUMBER(SEARCH("11", 'Master Leads'!$P:$P))) * ('Master Leads'!$O:$O="Yes") * ('Master Leads'!$E:$E&gt;=IF(ISBLANK($B$5),0,$B$5)) * ('Master Leads'!$E:$E&lt;=IF(ISBLANK($D$5),99999,$D$5))))</f>
        <v>0</v>
      </c>
      <c r="H44" s="80">
        <f t="shared" si="2"/>
        <v>0</v>
      </c>
      <c r="I44" s="50">
        <f t="shared" si="3"/>
        <v>0</v>
      </c>
      <c r="J44" s="81" t="str">
        <f t="shared" si="4"/>
        <v/>
      </c>
    </row>
    <row r="45">
      <c r="A45" s="51" t="str">
        <f t="array" ref="A45">IF(INDEX(Members!$A:$A,13)="","",INDEX(Members!$A:$A,13))</f>
        <v/>
      </c>
      <c r="B45" s="53" t="str">
        <f>IF($A45="","",SUMPRODUCT(('Master Leads'!$D:$D=$A45) * (ISNUMBER(SEARCH("6", 'Master Leads'!$P:$P))) * ('Master Leads'!$O:$O="Yes") * ('Master Leads'!$E:$E&gt;=IF(ISBLANK($B$5),0,$B$5)) * ('Master Leads'!$E:$E&lt;=IF(ISBLANK($D$5),99999,$D$5))))</f>
        <v/>
      </c>
      <c r="C45" s="53" t="str">
        <f>IF($A45="","",SUMPRODUCT(('Master Leads'!$D:$D=$A45) * (ISNUMBER(SEARCH("7", 'Master Leads'!$P:$P))) * ('Master Leads'!$O:$O="Yes") * ('Master Leads'!$E:$E&gt;=IF(ISBLANK($B$5),0,$B$5)) * ('Master Leads'!$E:$E&lt;=IF(ISBLANK($D$5),99999,$D$5))))</f>
        <v/>
      </c>
      <c r="D45" s="53" t="str">
        <f>IF($A45="","",SUMPRODUCT(('Master Leads'!$D:$D=$A45) * (ISNUMBER(SEARCH("8", 'Master Leads'!$P:$P))) * ('Master Leads'!$O:$O="Yes") * ('Master Leads'!$E:$E&gt;=IF(ISBLANK($B$5),0,$B$5)) * ('Master Leads'!$E:$E&lt;=IF(ISBLANK($D$5),99999,$D$5))))</f>
        <v/>
      </c>
      <c r="E45" s="53" t="str">
        <f>IF($A45="","",SUMPRODUCT(('Master Leads'!$D:$D=$A45) * (ISNUMBER(SEARCH("9", 'Master Leads'!$P:$P))) * ('Master Leads'!$O:$O="Yes") * ('Master Leads'!$E:$E&gt;=IF(ISBLANK($B$5),0,$B$5)) * ('Master Leads'!$E:$E&lt;=IF(ISBLANK($D$5),99999,$D$5))))</f>
        <v/>
      </c>
      <c r="F45" s="53" t="str">
        <f>IF($A45="","",SUMPRODUCT(('Master Leads'!$D:$D=$A45) * (ISNUMBER(SEARCH("10", 'Master Leads'!$P:$P))) * ('Master Leads'!$O:$O="Yes") * ('Master Leads'!$E:$E&gt;=IF(ISBLANK($B$5),0,$B$5)) * ('Master Leads'!$E:$E&lt;=IF(ISBLANK($D$5),99999,$D$5))))</f>
        <v/>
      </c>
      <c r="G45" s="53" t="str">
        <f>IF($A45="","",SUMPRODUCT(('Master Leads'!$D:$D=$A45) * (ISNUMBER(SEARCH("11", 'Master Leads'!$P:$P))) * ('Master Leads'!$O:$O="Yes") * ('Master Leads'!$E:$E&gt;=IF(ISBLANK($B$5),0,$B$5)) * ('Master Leads'!$E:$E&lt;=IF(ISBLANK($D$5),99999,$D$5))))</f>
        <v/>
      </c>
      <c r="H45" s="82" t="str">
        <f t="shared" si="2"/>
        <v/>
      </c>
      <c r="I45" s="58" t="str">
        <f t="shared" si="3"/>
        <v/>
      </c>
      <c r="J45" s="83" t="str">
        <f t="shared" si="4"/>
        <v/>
      </c>
    </row>
    <row r="46">
      <c r="A46" s="33" t="str">
        <f t="array" ref="A46">IF(INDEX(Members!$A:$A,14)="","",INDEX(Members!$A:$A,14))</f>
        <v/>
      </c>
      <c r="B46" s="35" t="str">
        <f>IF($A46="","",SUMPRODUCT(('Master Leads'!$D:$D=$A46) * (ISNUMBER(SEARCH("6", 'Master Leads'!$P:$P))) * ('Master Leads'!$O:$O="Yes") * ('Master Leads'!$E:$E&gt;=IF(ISBLANK($B$5),0,$B$5)) * ('Master Leads'!$E:$E&lt;=IF(ISBLANK($D$5),99999,$D$5))))</f>
        <v/>
      </c>
      <c r="C46" s="35" t="str">
        <f>IF($A46="","",SUMPRODUCT(('Master Leads'!$D:$D=$A46) * (ISNUMBER(SEARCH("7", 'Master Leads'!$P:$P))) * ('Master Leads'!$O:$O="Yes") * ('Master Leads'!$E:$E&gt;=IF(ISBLANK($B$5),0,$B$5)) * ('Master Leads'!$E:$E&lt;=IF(ISBLANK($D$5),99999,$D$5))))</f>
        <v/>
      </c>
      <c r="D46" s="35" t="str">
        <f>IF($A46="","",SUMPRODUCT(('Master Leads'!$D:$D=$A46) * (ISNUMBER(SEARCH("8", 'Master Leads'!$P:$P))) * ('Master Leads'!$O:$O="Yes") * ('Master Leads'!$E:$E&gt;=IF(ISBLANK($B$5),0,$B$5)) * ('Master Leads'!$E:$E&lt;=IF(ISBLANK($D$5),99999,$D$5))))</f>
        <v/>
      </c>
      <c r="E46" s="35" t="str">
        <f>IF($A46="","",SUMPRODUCT(('Master Leads'!$D:$D=$A46) * (ISNUMBER(SEARCH("9", 'Master Leads'!$P:$P))) * ('Master Leads'!$O:$O="Yes") * ('Master Leads'!$E:$E&gt;=IF(ISBLANK($B$5),0,$B$5)) * ('Master Leads'!$E:$E&lt;=IF(ISBLANK($D$5),99999,$D$5))))</f>
        <v/>
      </c>
      <c r="F46" s="35" t="str">
        <f>IF($A46="","",SUMPRODUCT(('Master Leads'!$D:$D=$A46) * (ISNUMBER(SEARCH("10", 'Master Leads'!$P:$P))) * ('Master Leads'!$O:$O="Yes") * ('Master Leads'!$E:$E&gt;=IF(ISBLANK($B$5),0,$B$5)) * ('Master Leads'!$E:$E&lt;=IF(ISBLANK($D$5),99999,$D$5))))</f>
        <v/>
      </c>
      <c r="G46" s="35" t="str">
        <f>IF($A46="","",SUMPRODUCT(('Master Leads'!$D:$D=$A46) * (ISNUMBER(SEARCH("11", 'Master Leads'!$P:$P))) * ('Master Leads'!$O:$O="Yes") * ('Master Leads'!$E:$E&gt;=IF(ISBLANK($B$5),0,$B$5)) * ('Master Leads'!$E:$E&lt;=IF(ISBLANK($D$5),99999,$D$5))))</f>
        <v/>
      </c>
      <c r="H46" s="80" t="str">
        <f t="shared" si="2"/>
        <v/>
      </c>
      <c r="I46" s="50" t="str">
        <f t="shared" si="3"/>
        <v/>
      </c>
      <c r="J46" s="81" t="str">
        <f t="shared" si="4"/>
        <v/>
      </c>
    </row>
    <row r="47">
      <c r="A47" s="51" t="str">
        <f t="array" ref="A47">IF(INDEX(Members!$A:$A,15)="","",INDEX(Members!$A:$A,15))</f>
        <v/>
      </c>
      <c r="B47" s="53" t="str">
        <f>IF($A47="","",SUMPRODUCT(('Master Leads'!$D:$D=$A47) * (ISNUMBER(SEARCH("6", 'Master Leads'!$P:$P))) * ('Master Leads'!$O:$O="Yes") * ('Master Leads'!$E:$E&gt;=IF(ISBLANK($B$5),0,$B$5)) * ('Master Leads'!$E:$E&lt;=IF(ISBLANK($D$5),99999,$D$5))))</f>
        <v/>
      </c>
      <c r="C47" s="53" t="str">
        <f>IF($A47="","",SUMPRODUCT(('Master Leads'!$D:$D=$A47) * (ISNUMBER(SEARCH("7", 'Master Leads'!$P:$P))) * ('Master Leads'!$O:$O="Yes") * ('Master Leads'!$E:$E&gt;=IF(ISBLANK($B$5),0,$B$5)) * ('Master Leads'!$E:$E&lt;=IF(ISBLANK($D$5),99999,$D$5))))</f>
        <v/>
      </c>
      <c r="D47" s="53" t="str">
        <f>IF($A47="","",SUMPRODUCT(('Master Leads'!$D:$D=$A47) * (ISNUMBER(SEARCH("8", 'Master Leads'!$P:$P))) * ('Master Leads'!$O:$O="Yes") * ('Master Leads'!$E:$E&gt;=IF(ISBLANK($B$5),0,$B$5)) * ('Master Leads'!$E:$E&lt;=IF(ISBLANK($D$5),99999,$D$5))))</f>
        <v/>
      </c>
      <c r="E47" s="53" t="str">
        <f>IF($A47="","",SUMPRODUCT(('Master Leads'!$D:$D=$A47) * (ISNUMBER(SEARCH("9", 'Master Leads'!$P:$P))) * ('Master Leads'!$O:$O="Yes") * ('Master Leads'!$E:$E&gt;=IF(ISBLANK($B$5),0,$B$5)) * ('Master Leads'!$E:$E&lt;=IF(ISBLANK($D$5),99999,$D$5))))</f>
        <v/>
      </c>
      <c r="F47" s="53" t="str">
        <f>IF($A47="","",SUMPRODUCT(('Master Leads'!$D:$D=$A47) * (ISNUMBER(SEARCH("10", 'Master Leads'!$P:$P))) * ('Master Leads'!$O:$O="Yes") * ('Master Leads'!$E:$E&gt;=IF(ISBLANK($B$5),0,$B$5)) * ('Master Leads'!$E:$E&lt;=IF(ISBLANK($D$5),99999,$D$5))))</f>
        <v/>
      </c>
      <c r="G47" s="53" t="str">
        <f>IF($A47="","",SUMPRODUCT(('Master Leads'!$D:$D=$A47) * (ISNUMBER(SEARCH("11", 'Master Leads'!$P:$P))) * ('Master Leads'!$O:$O="Yes") * ('Master Leads'!$E:$E&gt;=IF(ISBLANK($B$5),0,$B$5)) * ('Master Leads'!$E:$E&lt;=IF(ISBLANK($D$5),99999,$D$5))))</f>
        <v/>
      </c>
      <c r="H47" s="82" t="str">
        <f t="shared" si="2"/>
        <v/>
      </c>
      <c r="I47" s="58" t="str">
        <f t="shared" si="3"/>
        <v/>
      </c>
      <c r="J47" s="83" t="str">
        <f t="shared" si="4"/>
        <v/>
      </c>
    </row>
    <row r="48">
      <c r="A48" s="33" t="str">
        <f t="array" ref="A48">IF(INDEX(Members!$A:$A,16)="","",INDEX(Members!$A:$A,16))</f>
        <v/>
      </c>
      <c r="B48" s="35" t="str">
        <f>IF($A48="","",SUMPRODUCT(('Master Leads'!$D:$D=$A48) * (ISNUMBER(SEARCH("6", 'Master Leads'!$P:$P))) * ('Master Leads'!$O:$O="Yes") * ('Master Leads'!$E:$E&gt;=IF(ISBLANK($B$5),0,$B$5)) * ('Master Leads'!$E:$E&lt;=IF(ISBLANK($D$5),99999,$D$5))))</f>
        <v/>
      </c>
      <c r="C48" s="35" t="str">
        <f>IF($A48="","",SUMPRODUCT(('Master Leads'!$D:$D=$A48) * (ISNUMBER(SEARCH("7", 'Master Leads'!$P:$P))) * ('Master Leads'!$O:$O="Yes") * ('Master Leads'!$E:$E&gt;=IF(ISBLANK($B$5),0,$B$5)) * ('Master Leads'!$E:$E&lt;=IF(ISBLANK($D$5),99999,$D$5))))</f>
        <v/>
      </c>
      <c r="D48" s="35" t="str">
        <f>IF($A48="","",SUMPRODUCT(('Master Leads'!$D:$D=$A48) * (ISNUMBER(SEARCH("8", 'Master Leads'!$P:$P))) * ('Master Leads'!$O:$O="Yes") * ('Master Leads'!$E:$E&gt;=IF(ISBLANK($B$5),0,$B$5)) * ('Master Leads'!$E:$E&lt;=IF(ISBLANK($D$5),99999,$D$5))))</f>
        <v/>
      </c>
      <c r="E48" s="35" t="str">
        <f>IF($A48="","",SUMPRODUCT(('Master Leads'!$D:$D=$A48) * (ISNUMBER(SEARCH("9", 'Master Leads'!$P:$P))) * ('Master Leads'!$O:$O="Yes") * ('Master Leads'!$E:$E&gt;=IF(ISBLANK($B$5),0,$B$5)) * ('Master Leads'!$E:$E&lt;=IF(ISBLANK($D$5),99999,$D$5))))</f>
        <v/>
      </c>
      <c r="F48" s="35" t="str">
        <f>IF($A48="","",SUMPRODUCT(('Master Leads'!$D:$D=$A48) * (ISNUMBER(SEARCH("10", 'Master Leads'!$P:$P))) * ('Master Leads'!$O:$O="Yes") * ('Master Leads'!$E:$E&gt;=IF(ISBLANK($B$5),0,$B$5)) * ('Master Leads'!$E:$E&lt;=IF(ISBLANK($D$5),99999,$D$5))))</f>
        <v/>
      </c>
      <c r="G48" s="35" t="str">
        <f>IF($A48="","",SUMPRODUCT(('Master Leads'!$D:$D=$A48) * (ISNUMBER(SEARCH("11", 'Master Leads'!$P:$P))) * ('Master Leads'!$O:$O="Yes") * ('Master Leads'!$E:$E&gt;=IF(ISBLANK($B$5),0,$B$5)) * ('Master Leads'!$E:$E&lt;=IF(ISBLANK($D$5),99999,$D$5))))</f>
        <v/>
      </c>
      <c r="H48" s="80" t="str">
        <f t="shared" si="2"/>
        <v/>
      </c>
      <c r="I48" s="50" t="str">
        <f t="shared" si="3"/>
        <v/>
      </c>
      <c r="J48" s="81" t="str">
        <f t="shared" si="4"/>
        <v/>
      </c>
    </row>
    <row r="49">
      <c r="A49" s="51" t="str">
        <f t="array" ref="A49">IF(INDEX(Members!$A:$A,17)="","",INDEX(Members!$A:$A,17))</f>
        <v/>
      </c>
      <c r="B49" s="53" t="str">
        <f>IF($A49="","",SUMPRODUCT(('Master Leads'!$D:$D=$A49) * (ISNUMBER(SEARCH("6", 'Master Leads'!$P:$P))) * ('Master Leads'!$O:$O="Yes") * ('Master Leads'!$E:$E&gt;=IF(ISBLANK($B$5),0,$B$5)) * ('Master Leads'!$E:$E&lt;=IF(ISBLANK($D$5),99999,$D$5))))</f>
        <v/>
      </c>
      <c r="C49" s="53" t="str">
        <f>IF($A49="","",SUMPRODUCT(('Master Leads'!$D:$D=$A49) * (ISNUMBER(SEARCH("7", 'Master Leads'!$P:$P))) * ('Master Leads'!$O:$O="Yes") * ('Master Leads'!$E:$E&gt;=IF(ISBLANK($B$5),0,$B$5)) * ('Master Leads'!$E:$E&lt;=IF(ISBLANK($D$5),99999,$D$5))))</f>
        <v/>
      </c>
      <c r="D49" s="53" t="str">
        <f>IF($A49="","",SUMPRODUCT(('Master Leads'!$D:$D=$A49) * (ISNUMBER(SEARCH("8", 'Master Leads'!$P:$P))) * ('Master Leads'!$O:$O="Yes") * ('Master Leads'!$E:$E&gt;=IF(ISBLANK($B$5),0,$B$5)) * ('Master Leads'!$E:$E&lt;=IF(ISBLANK($D$5),99999,$D$5))))</f>
        <v/>
      </c>
      <c r="E49" s="53" t="str">
        <f>IF($A49="","",SUMPRODUCT(('Master Leads'!$D:$D=$A49) * (ISNUMBER(SEARCH("9", 'Master Leads'!$P:$P))) * ('Master Leads'!$O:$O="Yes") * ('Master Leads'!$E:$E&gt;=IF(ISBLANK($B$5),0,$B$5)) * ('Master Leads'!$E:$E&lt;=IF(ISBLANK($D$5),99999,$D$5))))</f>
        <v/>
      </c>
      <c r="F49" s="53" t="str">
        <f>IF($A49="","",SUMPRODUCT(('Master Leads'!$D:$D=$A49) * (ISNUMBER(SEARCH("10", 'Master Leads'!$P:$P))) * ('Master Leads'!$O:$O="Yes") * ('Master Leads'!$E:$E&gt;=IF(ISBLANK($B$5),0,$B$5)) * ('Master Leads'!$E:$E&lt;=IF(ISBLANK($D$5),99999,$D$5))))</f>
        <v/>
      </c>
      <c r="G49" s="53" t="str">
        <f>IF($A49="","",SUMPRODUCT(('Master Leads'!$D:$D=$A49) * (ISNUMBER(SEARCH("11", 'Master Leads'!$P:$P))) * ('Master Leads'!$O:$O="Yes") * ('Master Leads'!$E:$E&gt;=IF(ISBLANK($B$5),0,$B$5)) * ('Master Leads'!$E:$E&lt;=IF(ISBLANK($D$5),99999,$D$5))))</f>
        <v/>
      </c>
      <c r="H49" s="82" t="str">
        <f t="shared" si="2"/>
        <v/>
      </c>
      <c r="I49" s="58" t="str">
        <f t="shared" si="3"/>
        <v/>
      </c>
      <c r="J49" s="83" t="str">
        <f t="shared" si="4"/>
        <v/>
      </c>
    </row>
    <row r="50">
      <c r="A50" s="33" t="str">
        <f t="array" ref="A50">IF(INDEX(Members!$A:$A,18)="","",INDEX(Members!$A:$A,18))</f>
        <v/>
      </c>
      <c r="B50" s="35" t="str">
        <f>IF($A50="","",SUMPRODUCT(('Master Leads'!$D:$D=$A50) * (ISNUMBER(SEARCH("6", 'Master Leads'!$P:$P))) * ('Master Leads'!$O:$O="Yes") * ('Master Leads'!$E:$E&gt;=IF(ISBLANK($B$5),0,$B$5)) * ('Master Leads'!$E:$E&lt;=IF(ISBLANK($D$5),99999,$D$5))))</f>
        <v/>
      </c>
      <c r="C50" s="35" t="str">
        <f>IF($A50="","",SUMPRODUCT(('Master Leads'!$D:$D=$A50) * (ISNUMBER(SEARCH("7", 'Master Leads'!$P:$P))) * ('Master Leads'!$O:$O="Yes") * ('Master Leads'!$E:$E&gt;=IF(ISBLANK($B$5),0,$B$5)) * ('Master Leads'!$E:$E&lt;=IF(ISBLANK($D$5),99999,$D$5))))</f>
        <v/>
      </c>
      <c r="D50" s="35" t="str">
        <f>IF($A50="","",SUMPRODUCT(('Master Leads'!$D:$D=$A50) * (ISNUMBER(SEARCH("8", 'Master Leads'!$P:$P))) * ('Master Leads'!$O:$O="Yes") * ('Master Leads'!$E:$E&gt;=IF(ISBLANK($B$5),0,$B$5)) * ('Master Leads'!$E:$E&lt;=IF(ISBLANK($D$5),99999,$D$5))))</f>
        <v/>
      </c>
      <c r="E50" s="35" t="str">
        <f>IF($A50="","",SUMPRODUCT(('Master Leads'!$D:$D=$A50) * (ISNUMBER(SEARCH("9", 'Master Leads'!$P:$P))) * ('Master Leads'!$O:$O="Yes") * ('Master Leads'!$E:$E&gt;=IF(ISBLANK($B$5),0,$B$5)) * ('Master Leads'!$E:$E&lt;=IF(ISBLANK($D$5),99999,$D$5))))</f>
        <v/>
      </c>
      <c r="F50" s="35" t="str">
        <f>IF($A50="","",SUMPRODUCT(('Master Leads'!$D:$D=$A50) * (ISNUMBER(SEARCH("10", 'Master Leads'!$P:$P))) * ('Master Leads'!$O:$O="Yes") * ('Master Leads'!$E:$E&gt;=IF(ISBLANK($B$5),0,$B$5)) * ('Master Leads'!$E:$E&lt;=IF(ISBLANK($D$5),99999,$D$5))))</f>
        <v/>
      </c>
      <c r="G50" s="35" t="str">
        <f>IF($A50="","",SUMPRODUCT(('Master Leads'!$D:$D=$A50) * (ISNUMBER(SEARCH("11", 'Master Leads'!$P:$P))) * ('Master Leads'!$O:$O="Yes") * ('Master Leads'!$E:$E&gt;=IF(ISBLANK($B$5),0,$B$5)) * ('Master Leads'!$E:$E&lt;=IF(ISBLANK($D$5),99999,$D$5))))</f>
        <v/>
      </c>
      <c r="H50" s="80" t="str">
        <f t="shared" si="2"/>
        <v/>
      </c>
      <c r="I50" s="50" t="str">
        <f t="shared" si="3"/>
        <v/>
      </c>
      <c r="J50" s="81" t="str">
        <f t="shared" si="4"/>
        <v/>
      </c>
    </row>
    <row r="51">
      <c r="A51" s="51" t="str">
        <f t="array" ref="A51">IF(INDEX(Members!$A:$A,19)="","",INDEX(Members!$A:$A,19))</f>
        <v/>
      </c>
      <c r="B51" s="53" t="str">
        <f>IF($A51="","",SUMPRODUCT(('Master Leads'!$D:$D=$A51) * (ISNUMBER(SEARCH("6", 'Master Leads'!$P:$P))) * ('Master Leads'!$O:$O="Yes") * ('Master Leads'!$E:$E&gt;=IF(ISBLANK($B$5),0,$B$5)) * ('Master Leads'!$E:$E&lt;=IF(ISBLANK($D$5),99999,$D$5))))</f>
        <v/>
      </c>
      <c r="C51" s="53" t="str">
        <f>IF($A51="","",SUMPRODUCT(('Master Leads'!$D:$D=$A51) * (ISNUMBER(SEARCH("7", 'Master Leads'!$P:$P))) * ('Master Leads'!$O:$O="Yes") * ('Master Leads'!$E:$E&gt;=IF(ISBLANK($B$5),0,$B$5)) * ('Master Leads'!$E:$E&lt;=IF(ISBLANK($D$5),99999,$D$5))))</f>
        <v/>
      </c>
      <c r="D51" s="53" t="str">
        <f>IF($A51="","",SUMPRODUCT(('Master Leads'!$D:$D=$A51) * (ISNUMBER(SEARCH("8", 'Master Leads'!$P:$P))) * ('Master Leads'!$O:$O="Yes") * ('Master Leads'!$E:$E&gt;=IF(ISBLANK($B$5),0,$B$5)) * ('Master Leads'!$E:$E&lt;=IF(ISBLANK($D$5),99999,$D$5))))</f>
        <v/>
      </c>
      <c r="E51" s="53" t="str">
        <f>IF($A51="","",SUMPRODUCT(('Master Leads'!$D:$D=$A51) * (ISNUMBER(SEARCH("9", 'Master Leads'!$P:$P))) * ('Master Leads'!$O:$O="Yes") * ('Master Leads'!$E:$E&gt;=IF(ISBLANK($B$5),0,$B$5)) * ('Master Leads'!$E:$E&lt;=IF(ISBLANK($D$5),99999,$D$5))))</f>
        <v/>
      </c>
      <c r="F51" s="53" t="str">
        <f>IF($A51="","",SUMPRODUCT(('Master Leads'!$D:$D=$A51) * (ISNUMBER(SEARCH("10", 'Master Leads'!$P:$P))) * ('Master Leads'!$O:$O="Yes") * ('Master Leads'!$E:$E&gt;=IF(ISBLANK($B$5),0,$B$5)) * ('Master Leads'!$E:$E&lt;=IF(ISBLANK($D$5),99999,$D$5))))</f>
        <v/>
      </c>
      <c r="G51" s="53" t="str">
        <f>IF($A51="","",SUMPRODUCT(('Master Leads'!$D:$D=$A51) * (ISNUMBER(SEARCH("11", 'Master Leads'!$P:$P))) * ('Master Leads'!$O:$O="Yes") * ('Master Leads'!$E:$E&gt;=IF(ISBLANK($B$5),0,$B$5)) * ('Master Leads'!$E:$E&lt;=IF(ISBLANK($D$5),99999,$D$5))))</f>
        <v/>
      </c>
      <c r="H51" s="82" t="str">
        <f t="shared" si="2"/>
        <v/>
      </c>
      <c r="I51" s="58" t="str">
        <f t="shared" si="3"/>
        <v/>
      </c>
      <c r="J51" s="83" t="str">
        <f t="shared" si="4"/>
        <v/>
      </c>
    </row>
    <row r="52">
      <c r="A52" s="33" t="str">
        <f t="array" ref="A52">IF(INDEX(Members!$A:$A,20)="","",INDEX(Members!$A:$A,20))</f>
        <v/>
      </c>
      <c r="B52" s="35" t="str">
        <f>IF($A52="","",SUMPRODUCT(('Master Leads'!$D:$D=$A52) * (ISNUMBER(SEARCH("6", 'Master Leads'!$P:$P))) * ('Master Leads'!$O:$O="Yes") * ('Master Leads'!$E:$E&gt;=IF(ISBLANK($B$5),0,$B$5)) * ('Master Leads'!$E:$E&lt;=IF(ISBLANK($D$5),99999,$D$5))))</f>
        <v/>
      </c>
      <c r="C52" s="35" t="str">
        <f>IF($A52="","",SUMPRODUCT(('Master Leads'!$D:$D=$A52) * (ISNUMBER(SEARCH("7", 'Master Leads'!$P:$P))) * ('Master Leads'!$O:$O="Yes") * ('Master Leads'!$E:$E&gt;=IF(ISBLANK($B$5),0,$B$5)) * ('Master Leads'!$E:$E&lt;=IF(ISBLANK($D$5),99999,$D$5))))</f>
        <v/>
      </c>
      <c r="D52" s="35" t="str">
        <f>IF($A52="","",SUMPRODUCT(('Master Leads'!$D:$D=$A52) * (ISNUMBER(SEARCH("8", 'Master Leads'!$P:$P))) * ('Master Leads'!$O:$O="Yes") * ('Master Leads'!$E:$E&gt;=IF(ISBLANK($B$5),0,$B$5)) * ('Master Leads'!$E:$E&lt;=IF(ISBLANK($D$5),99999,$D$5))))</f>
        <v/>
      </c>
      <c r="E52" s="35" t="str">
        <f>IF($A52="","",SUMPRODUCT(('Master Leads'!$D:$D=$A52) * (ISNUMBER(SEARCH("9", 'Master Leads'!$P:$P))) * ('Master Leads'!$O:$O="Yes") * ('Master Leads'!$E:$E&gt;=IF(ISBLANK($B$5),0,$B$5)) * ('Master Leads'!$E:$E&lt;=IF(ISBLANK($D$5),99999,$D$5))))</f>
        <v/>
      </c>
      <c r="F52" s="35" t="str">
        <f>IF($A52="","",SUMPRODUCT(('Master Leads'!$D:$D=$A52) * (ISNUMBER(SEARCH("10", 'Master Leads'!$P:$P))) * ('Master Leads'!$O:$O="Yes") * ('Master Leads'!$E:$E&gt;=IF(ISBLANK($B$5),0,$B$5)) * ('Master Leads'!$E:$E&lt;=IF(ISBLANK($D$5),99999,$D$5))))</f>
        <v/>
      </c>
      <c r="G52" s="35" t="str">
        <f>IF($A52="","",SUMPRODUCT(('Master Leads'!$D:$D=$A52) * (ISNUMBER(SEARCH("11", 'Master Leads'!$P:$P))) * ('Master Leads'!$O:$O="Yes") * ('Master Leads'!$E:$E&gt;=IF(ISBLANK($B$5),0,$B$5)) * ('Master Leads'!$E:$E&lt;=IF(ISBLANK($D$5),99999,$D$5))))</f>
        <v/>
      </c>
      <c r="H52" s="80" t="str">
        <f t="shared" si="2"/>
        <v/>
      </c>
      <c r="I52" s="50" t="str">
        <f t="shared" si="3"/>
        <v/>
      </c>
      <c r="J52" s="81" t="str">
        <f t="shared" si="4"/>
        <v/>
      </c>
    </row>
    <row r="53">
      <c r="A53" s="51" t="str">
        <f t="array" ref="A53">IF(INDEX(Members!$A:$A,21)="","",INDEX(Members!$A:$A,21))</f>
        <v/>
      </c>
      <c r="B53" s="53" t="str">
        <f>IF($A53="","",SUMPRODUCT(('Master Leads'!$D:$D=$A53) * (ISNUMBER(SEARCH("6", 'Master Leads'!$P:$P))) * ('Master Leads'!$O:$O="Yes") * ('Master Leads'!$E:$E&gt;=IF(ISBLANK($B$5),0,$B$5)) * ('Master Leads'!$E:$E&lt;=IF(ISBLANK($D$5),99999,$D$5))))</f>
        <v/>
      </c>
      <c r="C53" s="53" t="str">
        <f>IF($A53="","",SUMPRODUCT(('Master Leads'!$D:$D=$A53) * (ISNUMBER(SEARCH("7", 'Master Leads'!$P:$P))) * ('Master Leads'!$O:$O="Yes") * ('Master Leads'!$E:$E&gt;=IF(ISBLANK($B$5),0,$B$5)) * ('Master Leads'!$E:$E&lt;=IF(ISBLANK($D$5),99999,$D$5))))</f>
        <v/>
      </c>
      <c r="D53" s="53" t="str">
        <f>IF($A53="","",SUMPRODUCT(('Master Leads'!$D:$D=$A53) * (ISNUMBER(SEARCH("8", 'Master Leads'!$P:$P))) * ('Master Leads'!$O:$O="Yes") * ('Master Leads'!$E:$E&gt;=IF(ISBLANK($B$5),0,$B$5)) * ('Master Leads'!$E:$E&lt;=IF(ISBLANK($D$5),99999,$D$5))))</f>
        <v/>
      </c>
      <c r="E53" s="53" t="str">
        <f>IF($A53="","",SUMPRODUCT(('Master Leads'!$D:$D=$A53) * (ISNUMBER(SEARCH("9", 'Master Leads'!$P:$P))) * ('Master Leads'!$O:$O="Yes") * ('Master Leads'!$E:$E&gt;=IF(ISBLANK($B$5),0,$B$5)) * ('Master Leads'!$E:$E&lt;=IF(ISBLANK($D$5),99999,$D$5))))</f>
        <v/>
      </c>
      <c r="F53" s="53" t="str">
        <f>IF($A53="","",SUMPRODUCT(('Master Leads'!$D:$D=$A53) * (ISNUMBER(SEARCH("10", 'Master Leads'!$P:$P))) * ('Master Leads'!$O:$O="Yes") * ('Master Leads'!$E:$E&gt;=IF(ISBLANK($B$5),0,$B$5)) * ('Master Leads'!$E:$E&lt;=IF(ISBLANK($D$5),99999,$D$5))))</f>
        <v/>
      </c>
      <c r="G53" s="53" t="str">
        <f>IF($A53="","",SUMPRODUCT(('Master Leads'!$D:$D=$A53) * (ISNUMBER(SEARCH("11", 'Master Leads'!$P:$P))) * ('Master Leads'!$O:$O="Yes") * ('Master Leads'!$E:$E&gt;=IF(ISBLANK($B$5),0,$B$5)) * ('Master Leads'!$E:$E&lt;=IF(ISBLANK($D$5),99999,$D$5))))</f>
        <v/>
      </c>
      <c r="H53" s="82" t="str">
        <f t="shared" si="2"/>
        <v/>
      </c>
      <c r="I53" s="58" t="str">
        <f t="shared" si="3"/>
        <v/>
      </c>
      <c r="J53" s="83" t="str">
        <f t="shared" si="4"/>
        <v/>
      </c>
    </row>
    <row r="54" ht="16.5" customHeight="1">
      <c r="A54" s="85" t="s">
        <v>613</v>
      </c>
      <c r="B54" s="86">
        <f>SUMPRODUCT((ISNUMBER(SEARCH("6", 'Master Leads'!$P:$P))) * ('Master Leads'!$O:$O="Yes") * ('Master Leads'!$E:$E&gt;=IF(ISBLANK($B$5),0,$B$5)) * ('Master Leads'!$E:$E&lt;=IF(ISBLANK($D$5),99999,$D$5)))</f>
        <v>1</v>
      </c>
      <c r="C54" s="86">
        <f>SUMPRODUCT((ISNUMBER(SEARCH("7", 'Master Leads'!$P:$P))) * ('Master Leads'!$O:$O="Yes") * ('Master Leads'!$E:$E&gt;=IF(ISBLANK($B$5),0,$B$5)) * ('Master Leads'!$E:$E&lt;=IF(ISBLANK($D$5),99999,$D$5)))</f>
        <v>0</v>
      </c>
      <c r="D54" s="86">
        <f>SUMPRODUCT((ISNUMBER(SEARCH("8", 'Master Leads'!$P:$P))) * ('Master Leads'!$O:$O="Yes") * ('Master Leads'!$E:$E&gt;=IF(ISBLANK($B$5),0,$B$5)) * ('Master Leads'!$E:$E&lt;=IF(ISBLANK($D$5),99999,$D$5)))</f>
        <v>0</v>
      </c>
      <c r="E54" s="86">
        <f>SUMPRODUCT((ISNUMBER(SEARCH("9", 'Master Leads'!$P:$P))) * ('Master Leads'!$O:$O="Yes") * ('Master Leads'!$E:$E&gt;=IF(ISBLANK($B$5),0,$B$5)) * ('Master Leads'!$E:$E&lt;=IF(ISBLANK($D$5),99999,$D$5)))</f>
        <v>0</v>
      </c>
      <c r="F54" s="86">
        <f>SUMPRODUCT((ISNUMBER(SEARCH("10", 'Master Leads'!$P:$P))) * ('Master Leads'!$O:$O="Yes") * ('Master Leads'!$E:$E&gt;=IF(ISBLANK($B$5),0,$B$5)) * ('Master Leads'!$E:$E&lt;=IF(ISBLANK($D$5),99999,$D$5)))</f>
        <v>0</v>
      </c>
      <c r="G54" s="86">
        <f>SUMPRODUCT((ISNUMBER(SEARCH("11", 'Master Leads'!$P:$P))) * ('Master Leads'!$O:$O="Yes") * ('Master Leads'!$E:$E&gt;=IF(ISBLANK($B$5),0,$B$5)) * ('Master Leads'!$E:$E&lt;=IF(ISBLANK($D$5),99999,$D$5)))</f>
        <v>0</v>
      </c>
      <c r="H54" s="86">
        <f>SUM(B54:G54)</f>
        <v>1</v>
      </c>
      <c r="I54" s="87">
        <v>1.0</v>
      </c>
      <c r="J54" s="88">
        <f>IF(H29=0,"",H54/H29)</f>
        <v>0.0001082485386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89" t="s">
        <v>628</v>
      </c>
      <c r="B57" s="1"/>
      <c r="C57" s="1"/>
      <c r="D57" s="1"/>
      <c r="E57" s="1"/>
      <c r="F57" s="1"/>
      <c r="G57" s="1"/>
      <c r="H57" s="1"/>
      <c r="I57" s="1"/>
      <c r="J57" s="1"/>
    </row>
    <row r="58" ht="18.0" customHeight="1">
      <c r="A58" s="90" t="s">
        <v>6</v>
      </c>
      <c r="B58" s="91" t="s">
        <v>630</v>
      </c>
      <c r="C58" s="91" t="s">
        <v>46</v>
      </c>
      <c r="D58" s="91" t="s">
        <v>41</v>
      </c>
      <c r="E58" s="91" t="s">
        <v>631</v>
      </c>
      <c r="F58" s="91" t="s">
        <v>632</v>
      </c>
      <c r="G58" s="90" t="s">
        <v>633</v>
      </c>
      <c r="H58" s="90" t="s">
        <v>634</v>
      </c>
      <c r="I58" s="90" t="s">
        <v>635</v>
      </c>
      <c r="J58" s="1"/>
    </row>
    <row r="59">
      <c r="A59" s="33" t="str">
        <f t="array" ref="A59">IF(INDEX(Members!$A:$A,2)="","",INDEX(Members!$A:$A,2))</f>
        <v>maheesha</v>
      </c>
      <c r="B59" s="35">
        <f>IF($A59="","",COUNTIFS('Master Leads'!$D:$D,$A59,'Master Leads'!$F:$F,"New",'Master Leads'!$E:$E,"&gt;="&amp;IF(ISBLANK($B$5),0,$B$5),'Master Leads'!$E:$E,"&lt;="&amp;IF(ISBLANK($D$5),99999,$D$5)))</f>
        <v>0</v>
      </c>
      <c r="C59" s="35">
        <f>IF($A59="","",COUNTIFS('Master Leads'!$D:$D,$A59,'Master Leads'!$F:$F,"Contacted",'Master Leads'!$E:$E,"&gt;="&amp;IF(ISBLANK($B$5),0,$B$5),'Master Leads'!$E:$E,"&lt;="&amp;IF(ISBLANK($D$5),99999,$D$5)))</f>
        <v>18</v>
      </c>
      <c r="D59" s="35">
        <f>IF($A59="","",COUNTIFS('Master Leads'!$D:$D,$A59,'Master Leads'!$F:$F,"No Answer",'Master Leads'!$E:$E,"&gt;="&amp;IF(ISBLANK($B$5),0,$B$5),'Master Leads'!$E:$E,"&lt;="&amp;IF(ISBLANK($D$5),99999,$D$5)))</f>
        <v>9</v>
      </c>
      <c r="E59" s="35">
        <f>IF($A59="","",COUNTIFS('Master Leads'!$D:$D,$A59,'Master Leads'!$F:$F,"Interested",'Master Leads'!$E:$E,"&gt;="&amp;IF(ISBLANK($B$5),0,$B$5),'Master Leads'!$E:$E,"&lt;="&amp;IF(ISBLANK($D$5),99999,$D$5)))</f>
        <v>0</v>
      </c>
      <c r="F59" s="35">
        <f>IF($A59="","",COUNTIFS('Master Leads'!$D:$D,$A59,'Master Leads'!$E:$E,"&gt;="&amp;IF(ISBLANK($B$5),0,$B$5),'Master Leads'!$E:$E,"&lt;="&amp;IF(ISBLANK($D$5),99999,$D$5)) - COUNTIFS('Master Leads'!$D:$D,$A59,'Master Leads'!$F:$F,"Converted",'Master Leads'!$E:$E,"&gt;="&amp;IF(ISBLANK($B$5),0,$B$5),'Master Leads'!$E:$E,"&lt;="&amp;IF(ISBLANK($D$5),99999,$D$5)) - COUNTIFS('Master Leads'!$D:$D,$A59,'Master Leads'!$F:$F,"Not Interested",'Master Leads'!$E:$E,"&gt;="&amp;IF(ISBLANK($B$5),0,$B$5),'Master Leads'!$E:$E,"&lt;="&amp;IF(ISBLANK($D$5),99999,$D$5)) - COUNTIFS('Master Leads'!$D:$D,$A59,'Master Leads'!$F:$F,"Off",'Master Leads'!$E:$E,"&gt;="&amp;IF(ISBLANK($B$5),0,$B$5),'Master Leads'!$E:$E,"&lt;="&amp;IF(ISBLANK($D$5),99999,$D$5)) - COUNTIFS('Master Leads'!$D:$D,$A59,'Master Leads'!$F:$F,"Invalid",'Master Leads'!$E:$E,"&gt;="&amp;IF(ISBLANK($B$5),0,$B$5),'Master Leads'!$E:$E,"&lt;="&amp;IF(ISBLANK($D$5),99999,$D$5)) - COUNTIFS('Master Leads'!$D:$D,$A59,'Master Leads'!$F:$F,"Wrong number",'Master Leads'!$E:$E,"&gt;="&amp;IF(ISBLANK($B$5),0,$B$5),'Master Leads'!$E:$E,"&lt;="&amp;IF(ISBLANK($D$5),99999,$D$5)) - B59 - C59 - D59 - E59)</f>
        <v>0</v>
      </c>
      <c r="G59" s="92">
        <f t="shared" ref="G59:G78" si="5">IF($A59="","",SUM(B59:F59))</f>
        <v>27</v>
      </c>
      <c r="H59" s="50">
        <f t="shared" ref="H59:H78" si="6">IF(OR($A59="",H9=0),"",G59/H9)</f>
        <v>0.9310344828</v>
      </c>
      <c r="I59" s="93">
        <f t="shared" ref="I59:I78" si="7">IF(OR($A59="",H9=0),"",(B59+E59+F59)/H9)</f>
        <v>0</v>
      </c>
      <c r="J59" s="1"/>
    </row>
    <row r="60">
      <c r="A60" s="51" t="str">
        <f t="array" ref="A60">IF(INDEX(Members!$A:$A,3)="","",INDEX(Members!$A:$A,3))</f>
        <v>menik</v>
      </c>
      <c r="B60" s="53">
        <f>IF($A60="","",COUNTIFS('Master Leads'!$D:$D,$A60,'Master Leads'!$F:$F,"New",'Master Leads'!$E:$E,"&gt;="&amp;IF(ISBLANK($B$5),0,$B$5),'Master Leads'!$E:$E,"&lt;="&amp;IF(ISBLANK($D$5),99999,$D$5)))</f>
        <v>0</v>
      </c>
      <c r="C60" s="53">
        <f>IF($A60="","",COUNTIFS('Master Leads'!$D:$D,$A60,'Master Leads'!$F:$F,"Contacted",'Master Leads'!$E:$E,"&gt;="&amp;IF(ISBLANK($B$5),0,$B$5),'Master Leads'!$E:$E,"&lt;="&amp;IF(ISBLANK($D$5),99999,$D$5)))</f>
        <v>0</v>
      </c>
      <c r="D60" s="53">
        <f>IF($A60="","",COUNTIFS('Master Leads'!$D:$D,$A60,'Master Leads'!$F:$F,"No Answer",'Master Leads'!$E:$E,"&gt;="&amp;IF(ISBLANK($B$5),0,$B$5),'Master Leads'!$E:$E,"&lt;="&amp;IF(ISBLANK($D$5),99999,$D$5)))</f>
        <v>0</v>
      </c>
      <c r="E60" s="53">
        <f>IF($A60="","",COUNTIFS('Master Leads'!$D:$D,$A60,'Master Leads'!$F:$F,"Interested",'Master Leads'!$E:$E,"&gt;="&amp;IF(ISBLANK($B$5),0,$B$5),'Master Leads'!$E:$E,"&lt;="&amp;IF(ISBLANK($D$5),99999,$D$5)))</f>
        <v>0</v>
      </c>
      <c r="F60" s="53">
        <f>IF($A60="","",COUNTIFS('Master Leads'!$D:$D,$A60,'Master Leads'!$E:$E,"&gt;="&amp;IF(ISBLANK($B$5),0,$B$5),'Master Leads'!$E:$E,"&lt;="&amp;IF(ISBLANK($D$5),99999,$D$5)) - COUNTIFS('Master Leads'!$D:$D,$A60,'Master Leads'!$F:$F,"Converted",'Master Leads'!$E:$E,"&gt;="&amp;IF(ISBLANK($B$5),0,$B$5),'Master Leads'!$E:$E,"&lt;="&amp;IF(ISBLANK($D$5),99999,$D$5)) - COUNTIFS('Master Leads'!$D:$D,$A60,'Master Leads'!$F:$F,"Not Interested",'Master Leads'!$E:$E,"&gt;="&amp;IF(ISBLANK($B$5),0,$B$5),'Master Leads'!$E:$E,"&lt;="&amp;IF(ISBLANK($D$5),99999,$D$5)) - COUNTIFS('Master Leads'!$D:$D,$A60,'Master Leads'!$F:$F,"Off",'Master Leads'!$E:$E,"&gt;="&amp;IF(ISBLANK($B$5),0,$B$5),'Master Leads'!$E:$E,"&lt;="&amp;IF(ISBLANK($D$5),99999,$D$5)) - COUNTIFS('Master Leads'!$D:$D,$A60,'Master Leads'!$F:$F,"Invalid",'Master Leads'!$E:$E,"&gt;="&amp;IF(ISBLANK($B$5),0,$B$5),'Master Leads'!$E:$E,"&lt;="&amp;IF(ISBLANK($D$5),99999,$D$5)) - COUNTIFS('Master Leads'!$D:$D,$A60,'Master Leads'!$F:$F,"Wrong number",'Master Leads'!$E:$E,"&gt;="&amp;IF(ISBLANK($B$5),0,$B$5),'Master Leads'!$E:$E,"&lt;="&amp;IF(ISBLANK($D$5),99999,$D$5)) - B60 - C60 - D60 - E60)</f>
        <v>0</v>
      </c>
      <c r="G60" s="94">
        <f t="shared" si="5"/>
        <v>0</v>
      </c>
      <c r="H60" s="58" t="str">
        <f t="shared" si="6"/>
        <v/>
      </c>
      <c r="I60" s="95" t="str">
        <f t="shared" si="7"/>
        <v/>
      </c>
      <c r="J60" s="1"/>
    </row>
    <row r="61">
      <c r="A61" s="33" t="str">
        <f t="array" ref="A61">IF(INDEX(Members!$A:$A,4)="","",INDEX(Members!$A:$A,4))</f>
        <v>kavinda</v>
      </c>
      <c r="B61" s="35">
        <f>IF($A61="","",COUNTIFS('Master Leads'!$D:$D,$A61,'Master Leads'!$F:$F,"New",'Master Leads'!$E:$E,"&gt;="&amp;IF(ISBLANK($B$5),0,$B$5),'Master Leads'!$E:$E,"&lt;="&amp;IF(ISBLANK($D$5),99999,$D$5)))</f>
        <v>0</v>
      </c>
      <c r="C61" s="35">
        <f>IF($A61="","",COUNTIFS('Master Leads'!$D:$D,$A61,'Master Leads'!$F:$F,"Contacted",'Master Leads'!$E:$E,"&gt;="&amp;IF(ISBLANK($B$5),0,$B$5),'Master Leads'!$E:$E,"&lt;="&amp;IF(ISBLANK($D$5),99999,$D$5)))</f>
        <v>939</v>
      </c>
      <c r="D61" s="35">
        <f>IF($A61="","",COUNTIFS('Master Leads'!$D:$D,$A61,'Master Leads'!$F:$F,"No Answer",'Master Leads'!$E:$E,"&gt;="&amp;IF(ISBLANK($B$5),0,$B$5),'Master Leads'!$E:$E,"&lt;="&amp;IF(ISBLANK($D$5),99999,$D$5)))</f>
        <v>438</v>
      </c>
      <c r="E61" s="35">
        <f>IF($A61="","",COUNTIFS('Master Leads'!$D:$D,$A61,'Master Leads'!$F:$F,"Interested",'Master Leads'!$E:$E,"&gt;="&amp;IF(ISBLANK($B$5),0,$B$5),'Master Leads'!$E:$E,"&lt;="&amp;IF(ISBLANK($D$5),99999,$D$5)))</f>
        <v>5</v>
      </c>
      <c r="F61" s="35">
        <f>IF($A61="","",COUNTIFS('Master Leads'!$D:$D,$A61,'Master Leads'!$E:$E,"&gt;="&amp;IF(ISBLANK($B$5),0,$B$5),'Master Leads'!$E:$E,"&lt;="&amp;IF(ISBLANK($D$5),99999,$D$5)) - COUNTIFS('Master Leads'!$D:$D,$A61,'Master Leads'!$F:$F,"Converted",'Master Leads'!$E:$E,"&gt;="&amp;IF(ISBLANK($B$5),0,$B$5),'Master Leads'!$E:$E,"&lt;="&amp;IF(ISBLANK($D$5),99999,$D$5)) - COUNTIFS('Master Leads'!$D:$D,$A61,'Master Leads'!$F:$F,"Not Interested",'Master Leads'!$E:$E,"&gt;="&amp;IF(ISBLANK($B$5),0,$B$5),'Master Leads'!$E:$E,"&lt;="&amp;IF(ISBLANK($D$5),99999,$D$5)) - COUNTIFS('Master Leads'!$D:$D,$A61,'Master Leads'!$F:$F,"Off",'Master Leads'!$E:$E,"&gt;="&amp;IF(ISBLANK($B$5),0,$B$5),'Master Leads'!$E:$E,"&lt;="&amp;IF(ISBLANK($D$5),99999,$D$5)) - COUNTIFS('Master Leads'!$D:$D,$A61,'Master Leads'!$F:$F,"Invalid",'Master Leads'!$E:$E,"&gt;="&amp;IF(ISBLANK($B$5),0,$B$5),'Master Leads'!$E:$E,"&lt;="&amp;IF(ISBLANK($D$5),99999,$D$5)) - COUNTIFS('Master Leads'!$D:$D,$A61,'Master Leads'!$F:$F,"Wrong number",'Master Leads'!$E:$E,"&gt;="&amp;IF(ISBLANK($B$5),0,$B$5),'Master Leads'!$E:$E,"&lt;="&amp;IF(ISBLANK($D$5),99999,$D$5)) - B61 - C61 - D61 - E61)</f>
        <v>113</v>
      </c>
      <c r="G61" s="92">
        <f t="shared" si="5"/>
        <v>1495</v>
      </c>
      <c r="H61" s="50">
        <f t="shared" si="6"/>
        <v>0.8681765389</v>
      </c>
      <c r="I61" s="93">
        <f t="shared" si="7"/>
        <v>0.06852497096</v>
      </c>
      <c r="J61" s="1"/>
    </row>
    <row r="62">
      <c r="A62" s="51" t="str">
        <f t="array" ref="A62">IF(INDEX(Members!$A:$A,5)="","",INDEX(Members!$A:$A,5))</f>
        <v>umesh</v>
      </c>
      <c r="B62" s="53">
        <f>IF($A62="","",COUNTIFS('Master Leads'!$D:$D,$A62,'Master Leads'!$F:$F,"New",'Master Leads'!$E:$E,"&gt;="&amp;IF(ISBLANK($B$5),0,$B$5),'Master Leads'!$E:$E,"&lt;="&amp;IF(ISBLANK($D$5),99999,$D$5)))</f>
        <v>1</v>
      </c>
      <c r="C62" s="53">
        <f>IF($A62="","",COUNTIFS('Master Leads'!$D:$D,$A62,'Master Leads'!$F:$F,"Contacted",'Master Leads'!$E:$E,"&gt;="&amp;IF(ISBLANK($B$5),0,$B$5),'Master Leads'!$E:$E,"&lt;="&amp;IF(ISBLANK($D$5),99999,$D$5)))</f>
        <v>299</v>
      </c>
      <c r="D62" s="53">
        <f>IF($A62="","",COUNTIFS('Master Leads'!$D:$D,$A62,'Master Leads'!$F:$F,"No Answer",'Master Leads'!$E:$E,"&gt;="&amp;IF(ISBLANK($B$5),0,$B$5),'Master Leads'!$E:$E,"&lt;="&amp;IF(ISBLANK($D$5),99999,$D$5)))</f>
        <v>161</v>
      </c>
      <c r="E62" s="53">
        <f>IF($A62="","",COUNTIFS('Master Leads'!$D:$D,$A62,'Master Leads'!$F:$F,"Interested",'Master Leads'!$E:$E,"&gt;="&amp;IF(ISBLANK($B$5),0,$B$5),'Master Leads'!$E:$E,"&lt;="&amp;IF(ISBLANK($D$5),99999,$D$5)))</f>
        <v>5</v>
      </c>
      <c r="F62" s="53">
        <f>IF($A62="","",COUNTIFS('Master Leads'!$D:$D,$A62,'Master Leads'!$E:$E,"&gt;="&amp;IF(ISBLANK($B$5),0,$B$5),'Master Leads'!$E:$E,"&lt;="&amp;IF(ISBLANK($D$5),99999,$D$5)) - COUNTIFS('Master Leads'!$D:$D,$A62,'Master Leads'!$F:$F,"Converted",'Master Leads'!$E:$E,"&gt;="&amp;IF(ISBLANK($B$5),0,$B$5),'Master Leads'!$E:$E,"&lt;="&amp;IF(ISBLANK($D$5),99999,$D$5)) - COUNTIFS('Master Leads'!$D:$D,$A62,'Master Leads'!$F:$F,"Not Interested",'Master Leads'!$E:$E,"&gt;="&amp;IF(ISBLANK($B$5),0,$B$5),'Master Leads'!$E:$E,"&lt;="&amp;IF(ISBLANK($D$5),99999,$D$5)) - COUNTIFS('Master Leads'!$D:$D,$A62,'Master Leads'!$F:$F,"Off",'Master Leads'!$E:$E,"&gt;="&amp;IF(ISBLANK($B$5),0,$B$5),'Master Leads'!$E:$E,"&lt;="&amp;IF(ISBLANK($D$5),99999,$D$5)) - COUNTIFS('Master Leads'!$D:$D,$A62,'Master Leads'!$F:$F,"Invalid",'Master Leads'!$E:$E,"&gt;="&amp;IF(ISBLANK($B$5),0,$B$5),'Master Leads'!$E:$E,"&lt;="&amp;IF(ISBLANK($D$5),99999,$D$5)) - COUNTIFS('Master Leads'!$D:$D,$A62,'Master Leads'!$F:$F,"Wrong number",'Master Leads'!$E:$E,"&gt;="&amp;IF(ISBLANK($B$5),0,$B$5),'Master Leads'!$E:$E,"&lt;="&amp;IF(ISBLANK($D$5),99999,$D$5)) - B62 - C62 - D62 - E62)</f>
        <v>20</v>
      </c>
      <c r="G62" s="94">
        <f t="shared" si="5"/>
        <v>486</v>
      </c>
      <c r="H62" s="58">
        <f t="shared" si="6"/>
        <v>0.7397260274</v>
      </c>
      <c r="I62" s="95">
        <f t="shared" si="7"/>
        <v>0.0395738204</v>
      </c>
      <c r="J62" s="1"/>
    </row>
    <row r="63">
      <c r="A63" s="33" t="str">
        <f t="array" ref="A63">IF(INDEX(Members!$A:$A,6)="","",INDEX(Members!$A:$A,6))</f>
        <v>Avishka</v>
      </c>
      <c r="B63" s="35">
        <f>IF($A63="","",COUNTIFS('Master Leads'!$D:$D,$A63,'Master Leads'!$F:$F,"New",'Master Leads'!$E:$E,"&gt;="&amp;IF(ISBLANK($B$5),0,$B$5),'Master Leads'!$E:$E,"&lt;="&amp;IF(ISBLANK($D$5),99999,$D$5)))</f>
        <v>0</v>
      </c>
      <c r="C63" s="35">
        <f>IF($A63="","",COUNTIFS('Master Leads'!$D:$D,$A63,'Master Leads'!$F:$F,"Contacted",'Master Leads'!$E:$E,"&gt;="&amp;IF(ISBLANK($B$5),0,$B$5),'Master Leads'!$E:$E,"&lt;="&amp;IF(ISBLANK($D$5),99999,$D$5)))</f>
        <v>36</v>
      </c>
      <c r="D63" s="35">
        <f>IF($A63="","",COUNTIFS('Master Leads'!$D:$D,$A63,'Master Leads'!$F:$F,"No Answer",'Master Leads'!$E:$E,"&gt;="&amp;IF(ISBLANK($B$5),0,$B$5),'Master Leads'!$E:$E,"&lt;="&amp;IF(ISBLANK($D$5),99999,$D$5)))</f>
        <v>20</v>
      </c>
      <c r="E63" s="35">
        <f>IF($A63="","",COUNTIFS('Master Leads'!$D:$D,$A63,'Master Leads'!$F:$F,"Interested",'Master Leads'!$E:$E,"&gt;="&amp;IF(ISBLANK($B$5),0,$B$5),'Master Leads'!$E:$E,"&lt;="&amp;IF(ISBLANK($D$5),99999,$D$5)))</f>
        <v>0</v>
      </c>
      <c r="F63" s="35">
        <f>IF($A63="","",COUNTIFS('Master Leads'!$D:$D,$A63,'Master Leads'!$E:$E,"&gt;="&amp;IF(ISBLANK($B$5),0,$B$5),'Master Leads'!$E:$E,"&lt;="&amp;IF(ISBLANK($D$5),99999,$D$5)) - COUNTIFS('Master Leads'!$D:$D,$A63,'Master Leads'!$F:$F,"Converted",'Master Leads'!$E:$E,"&gt;="&amp;IF(ISBLANK($B$5),0,$B$5),'Master Leads'!$E:$E,"&lt;="&amp;IF(ISBLANK($D$5),99999,$D$5)) - COUNTIFS('Master Leads'!$D:$D,$A63,'Master Leads'!$F:$F,"Not Interested",'Master Leads'!$E:$E,"&gt;="&amp;IF(ISBLANK($B$5),0,$B$5),'Master Leads'!$E:$E,"&lt;="&amp;IF(ISBLANK($D$5),99999,$D$5)) - COUNTIFS('Master Leads'!$D:$D,$A63,'Master Leads'!$F:$F,"Off",'Master Leads'!$E:$E,"&gt;="&amp;IF(ISBLANK($B$5),0,$B$5),'Master Leads'!$E:$E,"&lt;="&amp;IF(ISBLANK($D$5),99999,$D$5)) - COUNTIFS('Master Leads'!$D:$D,$A63,'Master Leads'!$F:$F,"Invalid",'Master Leads'!$E:$E,"&gt;="&amp;IF(ISBLANK($B$5),0,$B$5),'Master Leads'!$E:$E,"&lt;="&amp;IF(ISBLANK($D$5),99999,$D$5)) - COUNTIFS('Master Leads'!$D:$D,$A63,'Master Leads'!$F:$F,"Wrong number",'Master Leads'!$E:$E,"&gt;="&amp;IF(ISBLANK($B$5),0,$B$5),'Master Leads'!$E:$E,"&lt;="&amp;IF(ISBLANK($D$5),99999,$D$5)) - B63 - C63 - D63 - E63)</f>
        <v>12</v>
      </c>
      <c r="G63" s="92">
        <f t="shared" si="5"/>
        <v>68</v>
      </c>
      <c r="H63" s="50">
        <f t="shared" si="6"/>
        <v>0.7816091954</v>
      </c>
      <c r="I63" s="93">
        <f t="shared" si="7"/>
        <v>0.1379310345</v>
      </c>
      <c r="J63" s="1"/>
    </row>
    <row r="64">
      <c r="A64" s="51" t="str">
        <f t="array" ref="A64">IF(INDEX(Members!$A:$A,7)="","",INDEX(Members!$A:$A,7))</f>
        <v>Wihanga</v>
      </c>
      <c r="B64" s="53">
        <f>IF($A64="","",COUNTIFS('Master Leads'!$D:$D,$A64,'Master Leads'!$F:$F,"New",'Master Leads'!$E:$E,"&gt;="&amp;IF(ISBLANK($B$5),0,$B$5),'Master Leads'!$E:$E,"&lt;="&amp;IF(ISBLANK($D$5),99999,$D$5)))</f>
        <v>0</v>
      </c>
      <c r="C64" s="53">
        <f>IF($A64="","",COUNTIFS('Master Leads'!$D:$D,$A64,'Master Leads'!$F:$F,"Contacted",'Master Leads'!$E:$E,"&gt;="&amp;IF(ISBLANK($B$5),0,$B$5),'Master Leads'!$E:$E,"&lt;="&amp;IF(ISBLANK($D$5),99999,$D$5)))</f>
        <v>0</v>
      </c>
      <c r="D64" s="53">
        <f>IF($A64="","",COUNTIFS('Master Leads'!$D:$D,$A64,'Master Leads'!$F:$F,"No Answer",'Master Leads'!$E:$E,"&gt;="&amp;IF(ISBLANK($B$5),0,$B$5),'Master Leads'!$E:$E,"&lt;="&amp;IF(ISBLANK($D$5),99999,$D$5)))</f>
        <v>0</v>
      </c>
      <c r="E64" s="53">
        <f>IF($A64="","",COUNTIFS('Master Leads'!$D:$D,$A64,'Master Leads'!$F:$F,"Interested",'Master Leads'!$E:$E,"&gt;="&amp;IF(ISBLANK($B$5),0,$B$5),'Master Leads'!$E:$E,"&lt;="&amp;IF(ISBLANK($D$5),99999,$D$5)))</f>
        <v>0</v>
      </c>
      <c r="F64" s="53">
        <f>IF($A64="","",COUNTIFS('Master Leads'!$D:$D,$A64,'Master Leads'!$E:$E,"&gt;="&amp;IF(ISBLANK($B$5),0,$B$5),'Master Leads'!$E:$E,"&lt;="&amp;IF(ISBLANK($D$5),99999,$D$5)) - COUNTIFS('Master Leads'!$D:$D,$A64,'Master Leads'!$F:$F,"Converted",'Master Leads'!$E:$E,"&gt;="&amp;IF(ISBLANK($B$5),0,$B$5),'Master Leads'!$E:$E,"&lt;="&amp;IF(ISBLANK($D$5),99999,$D$5)) - COUNTIFS('Master Leads'!$D:$D,$A64,'Master Leads'!$F:$F,"Not Interested",'Master Leads'!$E:$E,"&gt;="&amp;IF(ISBLANK($B$5),0,$B$5),'Master Leads'!$E:$E,"&lt;="&amp;IF(ISBLANK($D$5),99999,$D$5)) - COUNTIFS('Master Leads'!$D:$D,$A64,'Master Leads'!$F:$F,"Off",'Master Leads'!$E:$E,"&gt;="&amp;IF(ISBLANK($B$5),0,$B$5),'Master Leads'!$E:$E,"&lt;="&amp;IF(ISBLANK($D$5),99999,$D$5)) - COUNTIFS('Master Leads'!$D:$D,$A64,'Master Leads'!$F:$F,"Invalid",'Master Leads'!$E:$E,"&gt;="&amp;IF(ISBLANK($B$5),0,$B$5),'Master Leads'!$E:$E,"&lt;="&amp;IF(ISBLANK($D$5),99999,$D$5)) - COUNTIFS('Master Leads'!$D:$D,$A64,'Master Leads'!$F:$F,"Wrong number",'Master Leads'!$E:$E,"&gt;="&amp;IF(ISBLANK($B$5),0,$B$5),'Master Leads'!$E:$E,"&lt;="&amp;IF(ISBLANK($D$5),99999,$D$5)) - B64 - C64 - D64 - E64)</f>
        <v>0</v>
      </c>
      <c r="G64" s="94">
        <f t="shared" si="5"/>
        <v>0</v>
      </c>
      <c r="H64" s="58" t="str">
        <f t="shared" si="6"/>
        <v/>
      </c>
      <c r="I64" s="95" t="str">
        <f t="shared" si="7"/>
        <v/>
      </c>
      <c r="J64" s="1"/>
    </row>
    <row r="65">
      <c r="A65" s="33" t="str">
        <f t="array" ref="A65">IF(INDEX(Members!$A:$A,8)="","",INDEX(Members!$A:$A,8))</f>
        <v>muthumali</v>
      </c>
      <c r="B65" s="35">
        <f>IF($A65="","",COUNTIFS('Master Leads'!$D:$D,$A65,'Master Leads'!$F:$F,"New",'Master Leads'!$E:$E,"&gt;="&amp;IF(ISBLANK($B$5),0,$B$5),'Master Leads'!$E:$E,"&lt;="&amp;IF(ISBLANK($D$5),99999,$D$5)))</f>
        <v>0</v>
      </c>
      <c r="C65" s="35">
        <f>IF($A65="","",COUNTIFS('Master Leads'!$D:$D,$A65,'Master Leads'!$F:$F,"Contacted",'Master Leads'!$E:$E,"&gt;="&amp;IF(ISBLANK($B$5),0,$B$5),'Master Leads'!$E:$E,"&lt;="&amp;IF(ISBLANK($D$5),99999,$D$5)))</f>
        <v>946</v>
      </c>
      <c r="D65" s="35">
        <f>IF($A65="","",COUNTIFS('Master Leads'!$D:$D,$A65,'Master Leads'!$F:$F,"No Answer",'Master Leads'!$E:$E,"&gt;="&amp;IF(ISBLANK($B$5),0,$B$5),'Master Leads'!$E:$E,"&lt;="&amp;IF(ISBLANK($D$5),99999,$D$5)))</f>
        <v>333</v>
      </c>
      <c r="E65" s="35">
        <f>IF($A65="","",COUNTIFS('Master Leads'!$D:$D,$A65,'Master Leads'!$F:$F,"Interested",'Master Leads'!$E:$E,"&gt;="&amp;IF(ISBLANK($B$5),0,$B$5),'Master Leads'!$E:$E,"&lt;="&amp;IF(ISBLANK($D$5),99999,$D$5)))</f>
        <v>0</v>
      </c>
      <c r="F65" s="35">
        <f>IF($A65="","",COUNTIFS('Master Leads'!$D:$D,$A65,'Master Leads'!$E:$E,"&gt;="&amp;IF(ISBLANK($B$5),0,$B$5),'Master Leads'!$E:$E,"&lt;="&amp;IF(ISBLANK($D$5),99999,$D$5)) - COUNTIFS('Master Leads'!$D:$D,$A65,'Master Leads'!$F:$F,"Converted",'Master Leads'!$E:$E,"&gt;="&amp;IF(ISBLANK($B$5),0,$B$5),'Master Leads'!$E:$E,"&lt;="&amp;IF(ISBLANK($D$5),99999,$D$5)) - COUNTIFS('Master Leads'!$D:$D,$A65,'Master Leads'!$F:$F,"Not Interested",'Master Leads'!$E:$E,"&gt;="&amp;IF(ISBLANK($B$5),0,$B$5),'Master Leads'!$E:$E,"&lt;="&amp;IF(ISBLANK($D$5),99999,$D$5)) - COUNTIFS('Master Leads'!$D:$D,$A65,'Master Leads'!$F:$F,"Off",'Master Leads'!$E:$E,"&gt;="&amp;IF(ISBLANK($B$5),0,$B$5),'Master Leads'!$E:$E,"&lt;="&amp;IF(ISBLANK($D$5),99999,$D$5)) - COUNTIFS('Master Leads'!$D:$D,$A65,'Master Leads'!$F:$F,"Invalid",'Master Leads'!$E:$E,"&gt;="&amp;IF(ISBLANK($B$5),0,$B$5),'Master Leads'!$E:$E,"&lt;="&amp;IF(ISBLANK($D$5),99999,$D$5)) - COUNTIFS('Master Leads'!$D:$D,$A65,'Master Leads'!$F:$F,"Wrong number",'Master Leads'!$E:$E,"&gt;="&amp;IF(ISBLANK($B$5),0,$B$5),'Master Leads'!$E:$E,"&lt;="&amp;IF(ISBLANK($D$5),99999,$D$5)) - B65 - C65 - D65 - E65)</f>
        <v>75</v>
      </c>
      <c r="G65" s="92">
        <f t="shared" si="5"/>
        <v>1354</v>
      </c>
      <c r="H65" s="50">
        <f t="shared" si="6"/>
        <v>0.8797920728</v>
      </c>
      <c r="I65" s="93">
        <f t="shared" si="7"/>
        <v>0.04873294347</v>
      </c>
      <c r="J65" s="1"/>
    </row>
    <row r="66">
      <c r="A66" s="51" t="str">
        <f t="array" ref="A66">IF(INDEX(Members!$A:$A,9)="","",INDEX(Members!$A:$A,9))</f>
        <v>shamali</v>
      </c>
      <c r="B66" s="53">
        <f>IF($A66="","",COUNTIFS('Master Leads'!$D:$D,$A66,'Master Leads'!$F:$F,"New",'Master Leads'!$E:$E,"&gt;="&amp;IF(ISBLANK($B$5),0,$B$5),'Master Leads'!$E:$E,"&lt;="&amp;IF(ISBLANK($D$5),99999,$D$5)))</f>
        <v>1</v>
      </c>
      <c r="C66" s="53">
        <f>IF($A66="","",COUNTIFS('Master Leads'!$D:$D,$A66,'Master Leads'!$F:$F,"Contacted",'Master Leads'!$E:$E,"&gt;="&amp;IF(ISBLANK($B$5),0,$B$5),'Master Leads'!$E:$E,"&lt;="&amp;IF(ISBLANK($D$5),99999,$D$5)))</f>
        <v>868</v>
      </c>
      <c r="D66" s="53">
        <f>IF($A66="","",COUNTIFS('Master Leads'!$D:$D,$A66,'Master Leads'!$F:$F,"No Answer",'Master Leads'!$E:$E,"&gt;="&amp;IF(ISBLANK($B$5),0,$B$5),'Master Leads'!$E:$E,"&lt;="&amp;IF(ISBLANK($D$5),99999,$D$5)))</f>
        <v>447</v>
      </c>
      <c r="E66" s="53">
        <f>IF($A66="","",COUNTIFS('Master Leads'!$D:$D,$A66,'Master Leads'!$F:$F,"Interested",'Master Leads'!$E:$E,"&gt;="&amp;IF(ISBLANK($B$5),0,$B$5),'Master Leads'!$E:$E,"&lt;="&amp;IF(ISBLANK($D$5),99999,$D$5)))</f>
        <v>119</v>
      </c>
      <c r="F66" s="53">
        <f>IF($A66="","",COUNTIFS('Master Leads'!$D:$D,$A66,'Master Leads'!$E:$E,"&gt;="&amp;IF(ISBLANK($B$5),0,$B$5),'Master Leads'!$E:$E,"&lt;="&amp;IF(ISBLANK($D$5),99999,$D$5)) - COUNTIFS('Master Leads'!$D:$D,$A66,'Master Leads'!$F:$F,"Converted",'Master Leads'!$E:$E,"&gt;="&amp;IF(ISBLANK($B$5),0,$B$5),'Master Leads'!$E:$E,"&lt;="&amp;IF(ISBLANK($D$5),99999,$D$5)) - COUNTIFS('Master Leads'!$D:$D,$A66,'Master Leads'!$F:$F,"Not Interested",'Master Leads'!$E:$E,"&gt;="&amp;IF(ISBLANK($B$5),0,$B$5),'Master Leads'!$E:$E,"&lt;="&amp;IF(ISBLANK($D$5),99999,$D$5)) - COUNTIFS('Master Leads'!$D:$D,$A66,'Master Leads'!$F:$F,"Off",'Master Leads'!$E:$E,"&gt;="&amp;IF(ISBLANK($B$5),0,$B$5),'Master Leads'!$E:$E,"&lt;="&amp;IF(ISBLANK($D$5),99999,$D$5)) - COUNTIFS('Master Leads'!$D:$D,$A66,'Master Leads'!$F:$F,"Invalid",'Master Leads'!$E:$E,"&gt;="&amp;IF(ISBLANK($B$5),0,$B$5),'Master Leads'!$E:$E,"&lt;="&amp;IF(ISBLANK($D$5),99999,$D$5)) - COUNTIFS('Master Leads'!$D:$D,$A66,'Master Leads'!$F:$F,"Wrong number",'Master Leads'!$E:$E,"&gt;="&amp;IF(ISBLANK($B$5),0,$B$5),'Master Leads'!$E:$E,"&lt;="&amp;IF(ISBLANK($D$5),99999,$D$5)) - B66 - C66 - D66 - E66)</f>
        <v>185</v>
      </c>
      <c r="G66" s="94">
        <f t="shared" si="5"/>
        <v>1620</v>
      </c>
      <c r="H66" s="58">
        <f t="shared" si="6"/>
        <v>0.8530805687</v>
      </c>
      <c r="I66" s="95">
        <f t="shared" si="7"/>
        <v>0.1606108478</v>
      </c>
      <c r="J66" s="1"/>
    </row>
    <row r="67">
      <c r="A67" s="33" t="str">
        <f t="array" ref="A67">IF(INDEX(Members!$A:$A,10)="","",INDEX(Members!$A:$A,10))</f>
        <v>Ama</v>
      </c>
      <c r="B67" s="35">
        <f>IF($A67="","",COUNTIFS('Master Leads'!$D:$D,$A67,'Master Leads'!$F:$F,"New",'Master Leads'!$E:$E,"&gt;="&amp;IF(ISBLANK($B$5),0,$B$5),'Master Leads'!$E:$E,"&lt;="&amp;IF(ISBLANK($D$5),99999,$D$5)))</f>
        <v>0</v>
      </c>
      <c r="C67" s="35">
        <f>IF($A67="","",COUNTIFS('Master Leads'!$D:$D,$A67,'Master Leads'!$F:$F,"Contacted",'Master Leads'!$E:$E,"&gt;="&amp;IF(ISBLANK($B$5),0,$B$5),'Master Leads'!$E:$E,"&lt;="&amp;IF(ISBLANK($D$5),99999,$D$5)))</f>
        <v>767</v>
      </c>
      <c r="D67" s="35">
        <f>IF($A67="","",COUNTIFS('Master Leads'!$D:$D,$A67,'Master Leads'!$F:$F,"No Answer",'Master Leads'!$E:$E,"&gt;="&amp;IF(ISBLANK($B$5),0,$B$5),'Master Leads'!$E:$E,"&lt;="&amp;IF(ISBLANK($D$5),99999,$D$5)))</f>
        <v>413</v>
      </c>
      <c r="E67" s="35">
        <f>IF($A67="","",COUNTIFS('Master Leads'!$D:$D,$A67,'Master Leads'!$F:$F,"Interested",'Master Leads'!$E:$E,"&gt;="&amp;IF(ISBLANK($B$5),0,$B$5),'Master Leads'!$E:$E,"&lt;="&amp;IF(ISBLANK($D$5),99999,$D$5)))</f>
        <v>1</v>
      </c>
      <c r="F67" s="35">
        <f>IF($A67="","",COUNTIFS('Master Leads'!$D:$D,$A67,'Master Leads'!$E:$E,"&gt;="&amp;IF(ISBLANK($B$5),0,$B$5),'Master Leads'!$E:$E,"&lt;="&amp;IF(ISBLANK($D$5),99999,$D$5)) - COUNTIFS('Master Leads'!$D:$D,$A67,'Master Leads'!$F:$F,"Converted",'Master Leads'!$E:$E,"&gt;="&amp;IF(ISBLANK($B$5),0,$B$5),'Master Leads'!$E:$E,"&lt;="&amp;IF(ISBLANK($D$5),99999,$D$5)) - COUNTIFS('Master Leads'!$D:$D,$A67,'Master Leads'!$F:$F,"Not Interested",'Master Leads'!$E:$E,"&gt;="&amp;IF(ISBLANK($B$5),0,$B$5),'Master Leads'!$E:$E,"&lt;="&amp;IF(ISBLANK($D$5),99999,$D$5)) - COUNTIFS('Master Leads'!$D:$D,$A67,'Master Leads'!$F:$F,"Off",'Master Leads'!$E:$E,"&gt;="&amp;IF(ISBLANK($B$5),0,$B$5),'Master Leads'!$E:$E,"&lt;="&amp;IF(ISBLANK($D$5),99999,$D$5)) - COUNTIFS('Master Leads'!$D:$D,$A67,'Master Leads'!$F:$F,"Invalid",'Master Leads'!$E:$E,"&gt;="&amp;IF(ISBLANK($B$5),0,$B$5),'Master Leads'!$E:$E,"&lt;="&amp;IF(ISBLANK($D$5),99999,$D$5)) - COUNTIFS('Master Leads'!$D:$D,$A67,'Master Leads'!$F:$F,"Wrong number",'Master Leads'!$E:$E,"&gt;="&amp;IF(ISBLANK($B$5),0,$B$5),'Master Leads'!$E:$E,"&lt;="&amp;IF(ISBLANK($D$5),99999,$D$5)) - B67 - C67 - D67 - E67)</f>
        <v>208</v>
      </c>
      <c r="G67" s="92">
        <f t="shared" si="5"/>
        <v>1389</v>
      </c>
      <c r="H67" s="50">
        <f t="shared" si="6"/>
        <v>0.8858418367</v>
      </c>
      <c r="I67" s="93">
        <f t="shared" si="7"/>
        <v>0.1332908163</v>
      </c>
      <c r="J67" s="1"/>
    </row>
    <row r="68">
      <c r="A68" s="51" t="str">
        <f t="array" ref="A68">IF(INDEX(Members!$A:$A,11)="","",INDEX(Members!$A:$A,11))</f>
        <v>kushalya</v>
      </c>
      <c r="B68" s="53">
        <f>IF($A68="","",COUNTIFS('Master Leads'!$D:$D,$A68,'Master Leads'!$F:$F,"New",'Master Leads'!$E:$E,"&gt;="&amp;IF(ISBLANK($B$5),0,$B$5),'Master Leads'!$E:$E,"&lt;="&amp;IF(ISBLANK($D$5),99999,$D$5)))</f>
        <v>0</v>
      </c>
      <c r="C68" s="53">
        <f>IF($A68="","",COUNTIFS('Master Leads'!$D:$D,$A68,'Master Leads'!$F:$F,"Contacted",'Master Leads'!$E:$E,"&gt;="&amp;IF(ISBLANK($B$5),0,$B$5),'Master Leads'!$E:$E,"&lt;="&amp;IF(ISBLANK($D$5),99999,$D$5)))</f>
        <v>901</v>
      </c>
      <c r="D68" s="53">
        <f>IF($A68="","",COUNTIFS('Master Leads'!$D:$D,$A68,'Master Leads'!$F:$F,"No Answer",'Master Leads'!$E:$E,"&gt;="&amp;IF(ISBLANK($B$5),0,$B$5),'Master Leads'!$E:$E,"&lt;="&amp;IF(ISBLANK($D$5),99999,$D$5)))</f>
        <v>403</v>
      </c>
      <c r="E68" s="53">
        <f>IF($A68="","",COUNTIFS('Master Leads'!$D:$D,$A68,'Master Leads'!$F:$F,"Interested",'Master Leads'!$E:$E,"&gt;="&amp;IF(ISBLANK($B$5),0,$B$5),'Master Leads'!$E:$E,"&lt;="&amp;IF(ISBLANK($D$5),99999,$D$5)))</f>
        <v>0</v>
      </c>
      <c r="F68" s="53">
        <f>IF($A68="","",COUNTIFS('Master Leads'!$D:$D,$A68,'Master Leads'!$E:$E,"&gt;="&amp;IF(ISBLANK($B$5),0,$B$5),'Master Leads'!$E:$E,"&lt;="&amp;IF(ISBLANK($D$5),99999,$D$5)) - COUNTIFS('Master Leads'!$D:$D,$A68,'Master Leads'!$F:$F,"Converted",'Master Leads'!$E:$E,"&gt;="&amp;IF(ISBLANK($B$5),0,$B$5),'Master Leads'!$E:$E,"&lt;="&amp;IF(ISBLANK($D$5),99999,$D$5)) - COUNTIFS('Master Leads'!$D:$D,$A68,'Master Leads'!$F:$F,"Not Interested",'Master Leads'!$E:$E,"&gt;="&amp;IF(ISBLANK($B$5),0,$B$5),'Master Leads'!$E:$E,"&lt;="&amp;IF(ISBLANK($D$5),99999,$D$5)) - COUNTIFS('Master Leads'!$D:$D,$A68,'Master Leads'!$F:$F,"Off",'Master Leads'!$E:$E,"&gt;="&amp;IF(ISBLANK($B$5),0,$B$5),'Master Leads'!$E:$E,"&lt;="&amp;IF(ISBLANK($D$5),99999,$D$5)) - COUNTIFS('Master Leads'!$D:$D,$A68,'Master Leads'!$F:$F,"Invalid",'Master Leads'!$E:$E,"&gt;="&amp;IF(ISBLANK($B$5),0,$B$5),'Master Leads'!$E:$E,"&lt;="&amp;IF(ISBLANK($D$5),99999,$D$5)) - COUNTIFS('Master Leads'!$D:$D,$A68,'Master Leads'!$F:$F,"Wrong number",'Master Leads'!$E:$E,"&gt;="&amp;IF(ISBLANK($B$5),0,$B$5),'Master Leads'!$E:$E,"&lt;="&amp;IF(ISBLANK($D$5),99999,$D$5)) - B68 - C68 - D68 - E68)</f>
        <v>154</v>
      </c>
      <c r="G68" s="94">
        <f t="shared" si="5"/>
        <v>1458</v>
      </c>
      <c r="H68" s="58">
        <f t="shared" si="6"/>
        <v>0.8398617512</v>
      </c>
      <c r="I68" s="95">
        <f t="shared" si="7"/>
        <v>0.08870967742</v>
      </c>
      <c r="J68" s="1"/>
    </row>
    <row r="69">
      <c r="A69" s="33" t="str">
        <f t="array" ref="A69">IF(INDEX(Members!$A:$A,12)="","",INDEX(Members!$A:$A,12))</f>
        <v>TOTAL</v>
      </c>
      <c r="B69" s="35">
        <f>IF($A69="","",COUNTIFS('Master Leads'!$D:$D,$A69,'Master Leads'!$F:$F,"New",'Master Leads'!$E:$E,"&gt;="&amp;IF(ISBLANK($B$5),0,$B$5),'Master Leads'!$E:$E,"&lt;="&amp;IF(ISBLANK($D$5),99999,$D$5)))</f>
        <v>0</v>
      </c>
      <c r="C69" s="35">
        <f>IF($A69="","",COUNTIFS('Master Leads'!$D:$D,$A69,'Master Leads'!$F:$F,"Contacted",'Master Leads'!$E:$E,"&gt;="&amp;IF(ISBLANK($B$5),0,$B$5),'Master Leads'!$E:$E,"&lt;="&amp;IF(ISBLANK($D$5),99999,$D$5)))</f>
        <v>0</v>
      </c>
      <c r="D69" s="35">
        <f>IF($A69="","",COUNTIFS('Master Leads'!$D:$D,$A69,'Master Leads'!$F:$F,"No Answer",'Master Leads'!$E:$E,"&gt;="&amp;IF(ISBLANK($B$5),0,$B$5),'Master Leads'!$E:$E,"&lt;="&amp;IF(ISBLANK($D$5),99999,$D$5)))</f>
        <v>0</v>
      </c>
      <c r="E69" s="35">
        <f>IF($A69="","",COUNTIFS('Master Leads'!$D:$D,$A69,'Master Leads'!$F:$F,"Interested",'Master Leads'!$E:$E,"&gt;="&amp;IF(ISBLANK($B$5),0,$B$5),'Master Leads'!$E:$E,"&lt;="&amp;IF(ISBLANK($D$5),99999,$D$5)))</f>
        <v>0</v>
      </c>
      <c r="F69" s="35">
        <f>IF($A69="","",COUNTIFS('Master Leads'!$D:$D,$A69,'Master Leads'!$E:$E,"&gt;="&amp;IF(ISBLANK($B$5),0,$B$5),'Master Leads'!$E:$E,"&lt;="&amp;IF(ISBLANK($D$5),99999,$D$5)) - COUNTIFS('Master Leads'!$D:$D,$A69,'Master Leads'!$F:$F,"Converted",'Master Leads'!$E:$E,"&gt;="&amp;IF(ISBLANK($B$5),0,$B$5),'Master Leads'!$E:$E,"&lt;="&amp;IF(ISBLANK($D$5),99999,$D$5)) - COUNTIFS('Master Leads'!$D:$D,$A69,'Master Leads'!$F:$F,"Not Interested",'Master Leads'!$E:$E,"&gt;="&amp;IF(ISBLANK($B$5),0,$B$5),'Master Leads'!$E:$E,"&lt;="&amp;IF(ISBLANK($D$5),99999,$D$5)) - COUNTIFS('Master Leads'!$D:$D,$A69,'Master Leads'!$F:$F,"Off",'Master Leads'!$E:$E,"&gt;="&amp;IF(ISBLANK($B$5),0,$B$5),'Master Leads'!$E:$E,"&lt;="&amp;IF(ISBLANK($D$5),99999,$D$5)) - COUNTIFS('Master Leads'!$D:$D,$A69,'Master Leads'!$F:$F,"Invalid",'Master Leads'!$E:$E,"&gt;="&amp;IF(ISBLANK($B$5),0,$B$5),'Master Leads'!$E:$E,"&lt;="&amp;IF(ISBLANK($D$5),99999,$D$5)) - COUNTIFS('Master Leads'!$D:$D,$A69,'Master Leads'!$F:$F,"Wrong number",'Master Leads'!$E:$E,"&gt;="&amp;IF(ISBLANK($B$5),0,$B$5),'Master Leads'!$E:$E,"&lt;="&amp;IF(ISBLANK($D$5),99999,$D$5)) - B69 - C69 - D69 - E69)</f>
        <v>0</v>
      </c>
      <c r="G69" s="92">
        <f t="shared" si="5"/>
        <v>0</v>
      </c>
      <c r="H69" s="50" t="str">
        <f t="shared" si="6"/>
        <v/>
      </c>
      <c r="I69" s="93" t="str">
        <f t="shared" si="7"/>
        <v/>
      </c>
      <c r="J69" s="1"/>
    </row>
    <row r="70">
      <c r="A70" s="51" t="str">
        <f t="array" ref="A70">IF(INDEX(Members!$A:$A,13)="","",INDEX(Members!$A:$A,13))</f>
        <v/>
      </c>
      <c r="B70" s="53" t="str">
        <f>IF($A70="","",COUNTIFS('Master Leads'!$D:$D,$A70,'Master Leads'!$F:$F,"New",'Master Leads'!$E:$E,"&gt;="&amp;IF(ISBLANK($B$5),0,$B$5),'Master Leads'!$E:$E,"&lt;="&amp;IF(ISBLANK($D$5),99999,$D$5)))</f>
        <v/>
      </c>
      <c r="C70" s="53" t="str">
        <f>IF($A70="","",COUNTIFS('Master Leads'!$D:$D,$A70,'Master Leads'!$F:$F,"Contacted",'Master Leads'!$E:$E,"&gt;="&amp;IF(ISBLANK($B$5),0,$B$5),'Master Leads'!$E:$E,"&lt;="&amp;IF(ISBLANK($D$5),99999,$D$5)))</f>
        <v/>
      </c>
      <c r="D70" s="53" t="str">
        <f>IF($A70="","",COUNTIFS('Master Leads'!$D:$D,$A70,'Master Leads'!$F:$F,"No Answer",'Master Leads'!$E:$E,"&gt;="&amp;IF(ISBLANK($B$5),0,$B$5),'Master Leads'!$E:$E,"&lt;="&amp;IF(ISBLANK($D$5),99999,$D$5)))</f>
        <v/>
      </c>
      <c r="E70" s="53" t="str">
        <f>IF($A70="","",COUNTIFS('Master Leads'!$D:$D,$A70,'Master Leads'!$F:$F,"Interested",'Master Leads'!$E:$E,"&gt;="&amp;IF(ISBLANK($B$5),0,$B$5),'Master Leads'!$E:$E,"&lt;="&amp;IF(ISBLANK($D$5),99999,$D$5)))</f>
        <v/>
      </c>
      <c r="F70" s="53" t="str">
        <f>IF($A70="","",COUNTIFS('Master Leads'!$D:$D,$A70,'Master Leads'!$E:$E,"&gt;="&amp;IF(ISBLANK($B$5),0,$B$5),'Master Leads'!$E:$E,"&lt;="&amp;IF(ISBLANK($D$5),99999,$D$5)) - COUNTIFS('Master Leads'!$D:$D,$A70,'Master Leads'!$F:$F,"Converted",'Master Leads'!$E:$E,"&gt;="&amp;IF(ISBLANK($B$5),0,$B$5),'Master Leads'!$E:$E,"&lt;="&amp;IF(ISBLANK($D$5),99999,$D$5)) - COUNTIFS('Master Leads'!$D:$D,$A70,'Master Leads'!$F:$F,"Not Interested",'Master Leads'!$E:$E,"&gt;="&amp;IF(ISBLANK($B$5),0,$B$5),'Master Leads'!$E:$E,"&lt;="&amp;IF(ISBLANK($D$5),99999,$D$5)) - COUNTIFS('Master Leads'!$D:$D,$A70,'Master Leads'!$F:$F,"Off",'Master Leads'!$E:$E,"&gt;="&amp;IF(ISBLANK($B$5),0,$B$5),'Master Leads'!$E:$E,"&lt;="&amp;IF(ISBLANK($D$5),99999,$D$5)) - COUNTIFS('Master Leads'!$D:$D,$A70,'Master Leads'!$F:$F,"Invalid",'Master Leads'!$E:$E,"&gt;="&amp;IF(ISBLANK($B$5),0,$B$5),'Master Leads'!$E:$E,"&lt;="&amp;IF(ISBLANK($D$5),99999,$D$5)) - COUNTIFS('Master Leads'!$D:$D,$A70,'Master Leads'!$F:$F,"Wrong number",'Master Leads'!$E:$E,"&gt;="&amp;IF(ISBLANK($B$5),0,$B$5),'Master Leads'!$E:$E,"&lt;="&amp;IF(ISBLANK($D$5),99999,$D$5)) - B70 - C70 - D70 - E70)</f>
        <v/>
      </c>
      <c r="G70" s="94" t="str">
        <f t="shared" si="5"/>
        <v/>
      </c>
      <c r="H70" s="58" t="str">
        <f t="shared" si="6"/>
        <v/>
      </c>
      <c r="I70" s="95" t="str">
        <f t="shared" si="7"/>
        <v/>
      </c>
      <c r="J70" s="1"/>
    </row>
    <row r="71">
      <c r="A71" s="33" t="str">
        <f t="array" ref="A71">IF(INDEX(Members!$A:$A,14)="","",INDEX(Members!$A:$A,14))</f>
        <v/>
      </c>
      <c r="B71" s="35" t="str">
        <f>IF($A71="","",COUNTIFS('Master Leads'!$D:$D,$A71,'Master Leads'!$F:$F,"New",'Master Leads'!$E:$E,"&gt;="&amp;IF(ISBLANK($B$5),0,$B$5),'Master Leads'!$E:$E,"&lt;="&amp;IF(ISBLANK($D$5),99999,$D$5)))</f>
        <v/>
      </c>
      <c r="C71" s="35" t="str">
        <f>IF($A71="","",COUNTIFS('Master Leads'!$D:$D,$A71,'Master Leads'!$F:$F,"Contacted",'Master Leads'!$E:$E,"&gt;="&amp;IF(ISBLANK($B$5),0,$B$5),'Master Leads'!$E:$E,"&lt;="&amp;IF(ISBLANK($D$5),99999,$D$5)))</f>
        <v/>
      </c>
      <c r="D71" s="35" t="str">
        <f>IF($A71="","",COUNTIFS('Master Leads'!$D:$D,$A71,'Master Leads'!$F:$F,"No Answer",'Master Leads'!$E:$E,"&gt;="&amp;IF(ISBLANK($B$5),0,$B$5),'Master Leads'!$E:$E,"&lt;="&amp;IF(ISBLANK($D$5),99999,$D$5)))</f>
        <v/>
      </c>
      <c r="E71" s="35" t="str">
        <f>IF($A71="","",COUNTIFS('Master Leads'!$D:$D,$A71,'Master Leads'!$F:$F,"Interested",'Master Leads'!$E:$E,"&gt;="&amp;IF(ISBLANK($B$5),0,$B$5),'Master Leads'!$E:$E,"&lt;="&amp;IF(ISBLANK($D$5),99999,$D$5)))</f>
        <v/>
      </c>
      <c r="F71" s="35" t="str">
        <f>IF($A71="","",COUNTIFS('Master Leads'!$D:$D,$A71,'Master Leads'!$E:$E,"&gt;="&amp;IF(ISBLANK($B$5),0,$B$5),'Master Leads'!$E:$E,"&lt;="&amp;IF(ISBLANK($D$5),99999,$D$5)) - COUNTIFS('Master Leads'!$D:$D,$A71,'Master Leads'!$F:$F,"Converted",'Master Leads'!$E:$E,"&gt;="&amp;IF(ISBLANK($B$5),0,$B$5),'Master Leads'!$E:$E,"&lt;="&amp;IF(ISBLANK($D$5),99999,$D$5)) - COUNTIFS('Master Leads'!$D:$D,$A71,'Master Leads'!$F:$F,"Not Interested",'Master Leads'!$E:$E,"&gt;="&amp;IF(ISBLANK($B$5),0,$B$5),'Master Leads'!$E:$E,"&lt;="&amp;IF(ISBLANK($D$5),99999,$D$5)) - COUNTIFS('Master Leads'!$D:$D,$A71,'Master Leads'!$F:$F,"Off",'Master Leads'!$E:$E,"&gt;="&amp;IF(ISBLANK($B$5),0,$B$5),'Master Leads'!$E:$E,"&lt;="&amp;IF(ISBLANK($D$5),99999,$D$5)) - COUNTIFS('Master Leads'!$D:$D,$A71,'Master Leads'!$F:$F,"Invalid",'Master Leads'!$E:$E,"&gt;="&amp;IF(ISBLANK($B$5),0,$B$5),'Master Leads'!$E:$E,"&lt;="&amp;IF(ISBLANK($D$5),99999,$D$5)) - COUNTIFS('Master Leads'!$D:$D,$A71,'Master Leads'!$F:$F,"Wrong number",'Master Leads'!$E:$E,"&gt;="&amp;IF(ISBLANK($B$5),0,$B$5),'Master Leads'!$E:$E,"&lt;="&amp;IF(ISBLANK($D$5),99999,$D$5)) - B71 - C71 - D71 - E71)</f>
        <v/>
      </c>
      <c r="G71" s="92" t="str">
        <f t="shared" si="5"/>
        <v/>
      </c>
      <c r="H71" s="50" t="str">
        <f t="shared" si="6"/>
        <v/>
      </c>
      <c r="I71" s="93" t="str">
        <f t="shared" si="7"/>
        <v/>
      </c>
      <c r="J71" s="1"/>
    </row>
    <row r="72">
      <c r="A72" s="51" t="str">
        <f t="array" ref="A72">IF(INDEX(Members!$A:$A,15)="","",INDEX(Members!$A:$A,15))</f>
        <v/>
      </c>
      <c r="B72" s="53" t="str">
        <f>IF($A72="","",COUNTIFS('Master Leads'!$D:$D,$A72,'Master Leads'!$F:$F,"New",'Master Leads'!$E:$E,"&gt;="&amp;IF(ISBLANK($B$5),0,$B$5),'Master Leads'!$E:$E,"&lt;="&amp;IF(ISBLANK($D$5),99999,$D$5)))</f>
        <v/>
      </c>
      <c r="C72" s="53" t="str">
        <f>IF($A72="","",COUNTIFS('Master Leads'!$D:$D,$A72,'Master Leads'!$F:$F,"Contacted",'Master Leads'!$E:$E,"&gt;="&amp;IF(ISBLANK($B$5),0,$B$5),'Master Leads'!$E:$E,"&lt;="&amp;IF(ISBLANK($D$5),99999,$D$5)))</f>
        <v/>
      </c>
      <c r="D72" s="53" t="str">
        <f>IF($A72="","",COUNTIFS('Master Leads'!$D:$D,$A72,'Master Leads'!$F:$F,"No Answer",'Master Leads'!$E:$E,"&gt;="&amp;IF(ISBLANK($B$5),0,$B$5),'Master Leads'!$E:$E,"&lt;="&amp;IF(ISBLANK($D$5),99999,$D$5)))</f>
        <v/>
      </c>
      <c r="E72" s="53" t="str">
        <f>IF($A72="","",COUNTIFS('Master Leads'!$D:$D,$A72,'Master Leads'!$F:$F,"Interested",'Master Leads'!$E:$E,"&gt;="&amp;IF(ISBLANK($B$5),0,$B$5),'Master Leads'!$E:$E,"&lt;="&amp;IF(ISBLANK($D$5),99999,$D$5)))</f>
        <v/>
      </c>
      <c r="F72" s="53" t="str">
        <f>IF($A72="","",COUNTIFS('Master Leads'!$D:$D,$A72,'Master Leads'!$E:$E,"&gt;="&amp;IF(ISBLANK($B$5),0,$B$5),'Master Leads'!$E:$E,"&lt;="&amp;IF(ISBLANK($D$5),99999,$D$5)) - COUNTIFS('Master Leads'!$D:$D,$A72,'Master Leads'!$F:$F,"Converted",'Master Leads'!$E:$E,"&gt;="&amp;IF(ISBLANK($B$5),0,$B$5),'Master Leads'!$E:$E,"&lt;="&amp;IF(ISBLANK($D$5),99999,$D$5)) - COUNTIFS('Master Leads'!$D:$D,$A72,'Master Leads'!$F:$F,"Not Interested",'Master Leads'!$E:$E,"&gt;="&amp;IF(ISBLANK($B$5),0,$B$5),'Master Leads'!$E:$E,"&lt;="&amp;IF(ISBLANK($D$5),99999,$D$5)) - COUNTIFS('Master Leads'!$D:$D,$A72,'Master Leads'!$F:$F,"Off",'Master Leads'!$E:$E,"&gt;="&amp;IF(ISBLANK($B$5),0,$B$5),'Master Leads'!$E:$E,"&lt;="&amp;IF(ISBLANK($D$5),99999,$D$5)) - COUNTIFS('Master Leads'!$D:$D,$A72,'Master Leads'!$F:$F,"Invalid",'Master Leads'!$E:$E,"&gt;="&amp;IF(ISBLANK($B$5),0,$B$5),'Master Leads'!$E:$E,"&lt;="&amp;IF(ISBLANK($D$5),99999,$D$5)) - COUNTIFS('Master Leads'!$D:$D,$A72,'Master Leads'!$F:$F,"Wrong number",'Master Leads'!$E:$E,"&gt;="&amp;IF(ISBLANK($B$5),0,$B$5),'Master Leads'!$E:$E,"&lt;="&amp;IF(ISBLANK($D$5),99999,$D$5)) - B72 - C72 - D72 - E72)</f>
        <v/>
      </c>
      <c r="G72" s="94" t="str">
        <f t="shared" si="5"/>
        <v/>
      </c>
      <c r="H72" s="58" t="str">
        <f t="shared" si="6"/>
        <v/>
      </c>
      <c r="I72" s="95" t="str">
        <f t="shared" si="7"/>
        <v/>
      </c>
      <c r="J72" s="1"/>
    </row>
    <row r="73">
      <c r="A73" s="33" t="str">
        <f t="array" ref="A73">IF(INDEX(Members!$A:$A,16)="","",INDEX(Members!$A:$A,16))</f>
        <v/>
      </c>
      <c r="B73" s="35" t="str">
        <f>IF($A73="","",COUNTIFS('Master Leads'!$D:$D,$A73,'Master Leads'!$F:$F,"New",'Master Leads'!$E:$E,"&gt;="&amp;IF(ISBLANK($B$5),0,$B$5),'Master Leads'!$E:$E,"&lt;="&amp;IF(ISBLANK($D$5),99999,$D$5)))</f>
        <v/>
      </c>
      <c r="C73" s="35" t="str">
        <f>IF($A73="","",COUNTIFS('Master Leads'!$D:$D,$A73,'Master Leads'!$F:$F,"Contacted",'Master Leads'!$E:$E,"&gt;="&amp;IF(ISBLANK($B$5),0,$B$5),'Master Leads'!$E:$E,"&lt;="&amp;IF(ISBLANK($D$5),99999,$D$5)))</f>
        <v/>
      </c>
      <c r="D73" s="35" t="str">
        <f>IF($A73="","",COUNTIFS('Master Leads'!$D:$D,$A73,'Master Leads'!$F:$F,"No Answer",'Master Leads'!$E:$E,"&gt;="&amp;IF(ISBLANK($B$5),0,$B$5),'Master Leads'!$E:$E,"&lt;="&amp;IF(ISBLANK($D$5),99999,$D$5)))</f>
        <v/>
      </c>
      <c r="E73" s="35" t="str">
        <f>IF($A73="","",COUNTIFS('Master Leads'!$D:$D,$A73,'Master Leads'!$F:$F,"Interested",'Master Leads'!$E:$E,"&gt;="&amp;IF(ISBLANK($B$5),0,$B$5),'Master Leads'!$E:$E,"&lt;="&amp;IF(ISBLANK($D$5),99999,$D$5)))</f>
        <v/>
      </c>
      <c r="F73" s="35" t="str">
        <f>IF($A73="","",COUNTIFS('Master Leads'!$D:$D,$A73,'Master Leads'!$E:$E,"&gt;="&amp;IF(ISBLANK($B$5),0,$B$5),'Master Leads'!$E:$E,"&lt;="&amp;IF(ISBLANK($D$5),99999,$D$5)) - COUNTIFS('Master Leads'!$D:$D,$A73,'Master Leads'!$F:$F,"Converted",'Master Leads'!$E:$E,"&gt;="&amp;IF(ISBLANK($B$5),0,$B$5),'Master Leads'!$E:$E,"&lt;="&amp;IF(ISBLANK($D$5),99999,$D$5)) - COUNTIFS('Master Leads'!$D:$D,$A73,'Master Leads'!$F:$F,"Not Interested",'Master Leads'!$E:$E,"&gt;="&amp;IF(ISBLANK($B$5),0,$B$5),'Master Leads'!$E:$E,"&lt;="&amp;IF(ISBLANK($D$5),99999,$D$5)) - COUNTIFS('Master Leads'!$D:$D,$A73,'Master Leads'!$F:$F,"Off",'Master Leads'!$E:$E,"&gt;="&amp;IF(ISBLANK($B$5),0,$B$5),'Master Leads'!$E:$E,"&lt;="&amp;IF(ISBLANK($D$5),99999,$D$5)) - COUNTIFS('Master Leads'!$D:$D,$A73,'Master Leads'!$F:$F,"Invalid",'Master Leads'!$E:$E,"&gt;="&amp;IF(ISBLANK($B$5),0,$B$5),'Master Leads'!$E:$E,"&lt;="&amp;IF(ISBLANK($D$5),99999,$D$5)) - COUNTIFS('Master Leads'!$D:$D,$A73,'Master Leads'!$F:$F,"Wrong number",'Master Leads'!$E:$E,"&gt;="&amp;IF(ISBLANK($B$5),0,$B$5),'Master Leads'!$E:$E,"&lt;="&amp;IF(ISBLANK($D$5),99999,$D$5)) - B73 - C73 - D73 - E73)</f>
        <v/>
      </c>
      <c r="G73" s="92" t="str">
        <f t="shared" si="5"/>
        <v/>
      </c>
      <c r="H73" s="50" t="str">
        <f t="shared" si="6"/>
        <v/>
      </c>
      <c r="I73" s="93" t="str">
        <f t="shared" si="7"/>
        <v/>
      </c>
      <c r="J73" s="1"/>
    </row>
    <row r="74">
      <c r="A74" s="51" t="str">
        <f t="array" ref="A74">IF(INDEX(Members!$A:$A,17)="","",INDEX(Members!$A:$A,17))</f>
        <v/>
      </c>
      <c r="B74" s="53" t="str">
        <f>IF($A74="","",COUNTIFS('Master Leads'!$D:$D,$A74,'Master Leads'!$F:$F,"New",'Master Leads'!$E:$E,"&gt;="&amp;IF(ISBLANK($B$5),0,$B$5),'Master Leads'!$E:$E,"&lt;="&amp;IF(ISBLANK($D$5),99999,$D$5)))</f>
        <v/>
      </c>
      <c r="C74" s="53" t="str">
        <f>IF($A74="","",COUNTIFS('Master Leads'!$D:$D,$A74,'Master Leads'!$F:$F,"Contacted",'Master Leads'!$E:$E,"&gt;="&amp;IF(ISBLANK($B$5),0,$B$5),'Master Leads'!$E:$E,"&lt;="&amp;IF(ISBLANK($D$5),99999,$D$5)))</f>
        <v/>
      </c>
      <c r="D74" s="53" t="str">
        <f>IF($A74="","",COUNTIFS('Master Leads'!$D:$D,$A74,'Master Leads'!$F:$F,"No Answer",'Master Leads'!$E:$E,"&gt;="&amp;IF(ISBLANK($B$5),0,$B$5),'Master Leads'!$E:$E,"&lt;="&amp;IF(ISBLANK($D$5),99999,$D$5)))</f>
        <v/>
      </c>
      <c r="E74" s="53" t="str">
        <f>IF($A74="","",COUNTIFS('Master Leads'!$D:$D,$A74,'Master Leads'!$F:$F,"Interested",'Master Leads'!$E:$E,"&gt;="&amp;IF(ISBLANK($B$5),0,$B$5),'Master Leads'!$E:$E,"&lt;="&amp;IF(ISBLANK($D$5),99999,$D$5)))</f>
        <v/>
      </c>
      <c r="F74" s="53" t="str">
        <f>IF($A74="","",COUNTIFS('Master Leads'!$D:$D,$A74,'Master Leads'!$E:$E,"&gt;="&amp;IF(ISBLANK($B$5),0,$B$5),'Master Leads'!$E:$E,"&lt;="&amp;IF(ISBLANK($D$5),99999,$D$5)) - COUNTIFS('Master Leads'!$D:$D,$A74,'Master Leads'!$F:$F,"Converted",'Master Leads'!$E:$E,"&gt;="&amp;IF(ISBLANK($B$5),0,$B$5),'Master Leads'!$E:$E,"&lt;="&amp;IF(ISBLANK($D$5),99999,$D$5)) - COUNTIFS('Master Leads'!$D:$D,$A74,'Master Leads'!$F:$F,"Not Interested",'Master Leads'!$E:$E,"&gt;="&amp;IF(ISBLANK($B$5),0,$B$5),'Master Leads'!$E:$E,"&lt;="&amp;IF(ISBLANK($D$5),99999,$D$5)) - COUNTIFS('Master Leads'!$D:$D,$A74,'Master Leads'!$F:$F,"Off",'Master Leads'!$E:$E,"&gt;="&amp;IF(ISBLANK($B$5),0,$B$5),'Master Leads'!$E:$E,"&lt;="&amp;IF(ISBLANK($D$5),99999,$D$5)) - COUNTIFS('Master Leads'!$D:$D,$A74,'Master Leads'!$F:$F,"Invalid",'Master Leads'!$E:$E,"&gt;="&amp;IF(ISBLANK($B$5),0,$B$5),'Master Leads'!$E:$E,"&lt;="&amp;IF(ISBLANK($D$5),99999,$D$5)) - COUNTIFS('Master Leads'!$D:$D,$A74,'Master Leads'!$F:$F,"Wrong number",'Master Leads'!$E:$E,"&gt;="&amp;IF(ISBLANK($B$5),0,$B$5),'Master Leads'!$E:$E,"&lt;="&amp;IF(ISBLANK($D$5),99999,$D$5)) - B74 - C74 - D74 - E74)</f>
        <v/>
      </c>
      <c r="G74" s="94" t="str">
        <f t="shared" si="5"/>
        <v/>
      </c>
      <c r="H74" s="58" t="str">
        <f t="shared" si="6"/>
        <v/>
      </c>
      <c r="I74" s="95" t="str">
        <f t="shared" si="7"/>
        <v/>
      </c>
      <c r="J74" s="1"/>
    </row>
    <row r="75">
      <c r="A75" s="33" t="str">
        <f t="array" ref="A75">IF(INDEX(Members!$A:$A,18)="","",INDEX(Members!$A:$A,18))</f>
        <v/>
      </c>
      <c r="B75" s="35" t="str">
        <f>IF($A75="","",COUNTIFS('Master Leads'!$D:$D,$A75,'Master Leads'!$F:$F,"New",'Master Leads'!$E:$E,"&gt;="&amp;IF(ISBLANK($B$5),0,$B$5),'Master Leads'!$E:$E,"&lt;="&amp;IF(ISBLANK($D$5),99999,$D$5)))</f>
        <v/>
      </c>
      <c r="C75" s="35" t="str">
        <f>IF($A75="","",COUNTIFS('Master Leads'!$D:$D,$A75,'Master Leads'!$F:$F,"Contacted",'Master Leads'!$E:$E,"&gt;="&amp;IF(ISBLANK($B$5),0,$B$5),'Master Leads'!$E:$E,"&lt;="&amp;IF(ISBLANK($D$5),99999,$D$5)))</f>
        <v/>
      </c>
      <c r="D75" s="35" t="str">
        <f>IF($A75="","",COUNTIFS('Master Leads'!$D:$D,$A75,'Master Leads'!$F:$F,"No Answer",'Master Leads'!$E:$E,"&gt;="&amp;IF(ISBLANK($B$5),0,$B$5),'Master Leads'!$E:$E,"&lt;="&amp;IF(ISBLANK($D$5),99999,$D$5)))</f>
        <v/>
      </c>
      <c r="E75" s="35" t="str">
        <f>IF($A75="","",COUNTIFS('Master Leads'!$D:$D,$A75,'Master Leads'!$F:$F,"Interested",'Master Leads'!$E:$E,"&gt;="&amp;IF(ISBLANK($B$5),0,$B$5),'Master Leads'!$E:$E,"&lt;="&amp;IF(ISBLANK($D$5),99999,$D$5)))</f>
        <v/>
      </c>
      <c r="F75" s="35" t="str">
        <f>IF($A75="","",COUNTIFS('Master Leads'!$D:$D,$A75,'Master Leads'!$E:$E,"&gt;="&amp;IF(ISBLANK($B$5),0,$B$5),'Master Leads'!$E:$E,"&lt;="&amp;IF(ISBLANK($D$5),99999,$D$5)) - COUNTIFS('Master Leads'!$D:$D,$A75,'Master Leads'!$F:$F,"Converted",'Master Leads'!$E:$E,"&gt;="&amp;IF(ISBLANK($B$5),0,$B$5),'Master Leads'!$E:$E,"&lt;="&amp;IF(ISBLANK($D$5),99999,$D$5)) - COUNTIFS('Master Leads'!$D:$D,$A75,'Master Leads'!$F:$F,"Not Interested",'Master Leads'!$E:$E,"&gt;="&amp;IF(ISBLANK($B$5),0,$B$5),'Master Leads'!$E:$E,"&lt;="&amp;IF(ISBLANK($D$5),99999,$D$5)) - COUNTIFS('Master Leads'!$D:$D,$A75,'Master Leads'!$F:$F,"Off",'Master Leads'!$E:$E,"&gt;="&amp;IF(ISBLANK($B$5),0,$B$5),'Master Leads'!$E:$E,"&lt;="&amp;IF(ISBLANK($D$5),99999,$D$5)) - COUNTIFS('Master Leads'!$D:$D,$A75,'Master Leads'!$F:$F,"Invalid",'Master Leads'!$E:$E,"&gt;="&amp;IF(ISBLANK($B$5),0,$B$5),'Master Leads'!$E:$E,"&lt;="&amp;IF(ISBLANK($D$5),99999,$D$5)) - COUNTIFS('Master Leads'!$D:$D,$A75,'Master Leads'!$F:$F,"Wrong number",'Master Leads'!$E:$E,"&gt;="&amp;IF(ISBLANK($B$5),0,$B$5),'Master Leads'!$E:$E,"&lt;="&amp;IF(ISBLANK($D$5),99999,$D$5)) - B75 - C75 - D75 - E75)</f>
        <v/>
      </c>
      <c r="G75" s="92" t="str">
        <f t="shared" si="5"/>
        <v/>
      </c>
      <c r="H75" s="50" t="str">
        <f t="shared" si="6"/>
        <v/>
      </c>
      <c r="I75" s="93" t="str">
        <f t="shared" si="7"/>
        <v/>
      </c>
      <c r="J75" s="1"/>
    </row>
    <row r="76">
      <c r="A76" s="51" t="str">
        <f t="array" ref="A76">IF(INDEX(Members!$A:$A,19)="","",INDEX(Members!$A:$A,19))</f>
        <v/>
      </c>
      <c r="B76" s="53" t="str">
        <f>IF($A76="","",COUNTIFS('Master Leads'!$D:$D,$A76,'Master Leads'!$F:$F,"New",'Master Leads'!$E:$E,"&gt;="&amp;IF(ISBLANK($B$5),0,$B$5),'Master Leads'!$E:$E,"&lt;="&amp;IF(ISBLANK($D$5),99999,$D$5)))</f>
        <v/>
      </c>
      <c r="C76" s="53" t="str">
        <f>IF($A76="","",COUNTIFS('Master Leads'!$D:$D,$A76,'Master Leads'!$F:$F,"Contacted",'Master Leads'!$E:$E,"&gt;="&amp;IF(ISBLANK($B$5),0,$B$5),'Master Leads'!$E:$E,"&lt;="&amp;IF(ISBLANK($D$5),99999,$D$5)))</f>
        <v/>
      </c>
      <c r="D76" s="53" t="str">
        <f>IF($A76="","",COUNTIFS('Master Leads'!$D:$D,$A76,'Master Leads'!$F:$F,"No Answer",'Master Leads'!$E:$E,"&gt;="&amp;IF(ISBLANK($B$5),0,$B$5),'Master Leads'!$E:$E,"&lt;="&amp;IF(ISBLANK($D$5),99999,$D$5)))</f>
        <v/>
      </c>
      <c r="E76" s="53" t="str">
        <f>IF($A76="","",COUNTIFS('Master Leads'!$D:$D,$A76,'Master Leads'!$F:$F,"Interested",'Master Leads'!$E:$E,"&gt;="&amp;IF(ISBLANK($B$5),0,$B$5),'Master Leads'!$E:$E,"&lt;="&amp;IF(ISBLANK($D$5),99999,$D$5)))</f>
        <v/>
      </c>
      <c r="F76" s="53" t="str">
        <f>IF($A76="","",COUNTIFS('Master Leads'!$D:$D,$A76,'Master Leads'!$E:$E,"&gt;="&amp;IF(ISBLANK($B$5),0,$B$5),'Master Leads'!$E:$E,"&lt;="&amp;IF(ISBLANK($D$5),99999,$D$5)) - COUNTIFS('Master Leads'!$D:$D,$A76,'Master Leads'!$F:$F,"Converted",'Master Leads'!$E:$E,"&gt;="&amp;IF(ISBLANK($B$5),0,$B$5),'Master Leads'!$E:$E,"&lt;="&amp;IF(ISBLANK($D$5),99999,$D$5)) - COUNTIFS('Master Leads'!$D:$D,$A76,'Master Leads'!$F:$F,"Not Interested",'Master Leads'!$E:$E,"&gt;="&amp;IF(ISBLANK($B$5),0,$B$5),'Master Leads'!$E:$E,"&lt;="&amp;IF(ISBLANK($D$5),99999,$D$5)) - COUNTIFS('Master Leads'!$D:$D,$A76,'Master Leads'!$F:$F,"Off",'Master Leads'!$E:$E,"&gt;="&amp;IF(ISBLANK($B$5),0,$B$5),'Master Leads'!$E:$E,"&lt;="&amp;IF(ISBLANK($D$5),99999,$D$5)) - COUNTIFS('Master Leads'!$D:$D,$A76,'Master Leads'!$F:$F,"Invalid",'Master Leads'!$E:$E,"&gt;="&amp;IF(ISBLANK($B$5),0,$B$5),'Master Leads'!$E:$E,"&lt;="&amp;IF(ISBLANK($D$5),99999,$D$5)) - COUNTIFS('Master Leads'!$D:$D,$A76,'Master Leads'!$F:$F,"Wrong number",'Master Leads'!$E:$E,"&gt;="&amp;IF(ISBLANK($B$5),0,$B$5),'Master Leads'!$E:$E,"&lt;="&amp;IF(ISBLANK($D$5),99999,$D$5)) - B76 - C76 - D76 - E76)</f>
        <v/>
      </c>
      <c r="G76" s="94" t="str">
        <f t="shared" si="5"/>
        <v/>
      </c>
      <c r="H76" s="58" t="str">
        <f t="shared" si="6"/>
        <v/>
      </c>
      <c r="I76" s="95" t="str">
        <f t="shared" si="7"/>
        <v/>
      </c>
      <c r="J76" s="1"/>
    </row>
    <row r="77">
      <c r="A77" s="33" t="str">
        <f t="array" ref="A77">IF(INDEX(Members!$A:$A,20)="","",INDEX(Members!$A:$A,20))</f>
        <v/>
      </c>
      <c r="B77" s="35" t="str">
        <f>IF($A77="","",COUNTIFS('Master Leads'!$D:$D,$A77,'Master Leads'!$F:$F,"New",'Master Leads'!$E:$E,"&gt;="&amp;IF(ISBLANK($B$5),0,$B$5),'Master Leads'!$E:$E,"&lt;="&amp;IF(ISBLANK($D$5),99999,$D$5)))</f>
        <v/>
      </c>
      <c r="C77" s="35" t="str">
        <f>IF($A77="","",COUNTIFS('Master Leads'!$D:$D,$A77,'Master Leads'!$F:$F,"Contacted",'Master Leads'!$E:$E,"&gt;="&amp;IF(ISBLANK($B$5),0,$B$5),'Master Leads'!$E:$E,"&lt;="&amp;IF(ISBLANK($D$5),99999,$D$5)))</f>
        <v/>
      </c>
      <c r="D77" s="35" t="str">
        <f>IF($A77="","",COUNTIFS('Master Leads'!$D:$D,$A77,'Master Leads'!$F:$F,"No Answer",'Master Leads'!$E:$E,"&gt;="&amp;IF(ISBLANK($B$5),0,$B$5),'Master Leads'!$E:$E,"&lt;="&amp;IF(ISBLANK($D$5),99999,$D$5)))</f>
        <v/>
      </c>
      <c r="E77" s="35" t="str">
        <f>IF($A77="","",COUNTIFS('Master Leads'!$D:$D,$A77,'Master Leads'!$F:$F,"Interested",'Master Leads'!$E:$E,"&gt;="&amp;IF(ISBLANK($B$5),0,$B$5),'Master Leads'!$E:$E,"&lt;="&amp;IF(ISBLANK($D$5),99999,$D$5)))</f>
        <v/>
      </c>
      <c r="F77" s="35" t="str">
        <f>IF($A77="","",COUNTIFS('Master Leads'!$D:$D,$A77,'Master Leads'!$E:$E,"&gt;="&amp;IF(ISBLANK($B$5),0,$B$5),'Master Leads'!$E:$E,"&lt;="&amp;IF(ISBLANK($D$5),99999,$D$5)) - COUNTIFS('Master Leads'!$D:$D,$A77,'Master Leads'!$F:$F,"Converted",'Master Leads'!$E:$E,"&gt;="&amp;IF(ISBLANK($B$5),0,$B$5),'Master Leads'!$E:$E,"&lt;="&amp;IF(ISBLANK($D$5),99999,$D$5)) - COUNTIFS('Master Leads'!$D:$D,$A77,'Master Leads'!$F:$F,"Not Interested",'Master Leads'!$E:$E,"&gt;="&amp;IF(ISBLANK($B$5),0,$B$5),'Master Leads'!$E:$E,"&lt;="&amp;IF(ISBLANK($D$5),99999,$D$5)) - COUNTIFS('Master Leads'!$D:$D,$A77,'Master Leads'!$F:$F,"Off",'Master Leads'!$E:$E,"&gt;="&amp;IF(ISBLANK($B$5),0,$B$5),'Master Leads'!$E:$E,"&lt;="&amp;IF(ISBLANK($D$5),99999,$D$5)) - COUNTIFS('Master Leads'!$D:$D,$A77,'Master Leads'!$F:$F,"Invalid",'Master Leads'!$E:$E,"&gt;="&amp;IF(ISBLANK($B$5),0,$B$5),'Master Leads'!$E:$E,"&lt;="&amp;IF(ISBLANK($D$5),99999,$D$5)) - COUNTIFS('Master Leads'!$D:$D,$A77,'Master Leads'!$F:$F,"Wrong number",'Master Leads'!$E:$E,"&gt;="&amp;IF(ISBLANK($B$5),0,$B$5),'Master Leads'!$E:$E,"&lt;="&amp;IF(ISBLANK($D$5),99999,$D$5)) - B77 - C77 - D77 - E77)</f>
        <v/>
      </c>
      <c r="G77" s="92" t="str">
        <f t="shared" si="5"/>
        <v/>
      </c>
      <c r="H77" s="50" t="str">
        <f t="shared" si="6"/>
        <v/>
      </c>
      <c r="I77" s="93" t="str">
        <f t="shared" si="7"/>
        <v/>
      </c>
      <c r="J77" s="1"/>
    </row>
    <row r="78">
      <c r="A78" s="51" t="str">
        <f t="array" ref="A78">IF(INDEX(Members!$A:$A,21)="","",INDEX(Members!$A:$A,21))</f>
        <v/>
      </c>
      <c r="B78" s="53" t="str">
        <f>IF($A78="","",COUNTIFS('Master Leads'!$D:$D,$A78,'Master Leads'!$F:$F,"New",'Master Leads'!$E:$E,"&gt;="&amp;IF(ISBLANK($B$5),0,$B$5),'Master Leads'!$E:$E,"&lt;="&amp;IF(ISBLANK($D$5),99999,$D$5)))</f>
        <v/>
      </c>
      <c r="C78" s="53" t="str">
        <f>IF($A78="","",COUNTIFS('Master Leads'!$D:$D,$A78,'Master Leads'!$F:$F,"Contacted",'Master Leads'!$E:$E,"&gt;="&amp;IF(ISBLANK($B$5),0,$B$5),'Master Leads'!$E:$E,"&lt;="&amp;IF(ISBLANK($D$5),99999,$D$5)))</f>
        <v/>
      </c>
      <c r="D78" s="53" t="str">
        <f>IF($A78="","",COUNTIFS('Master Leads'!$D:$D,$A78,'Master Leads'!$F:$F,"No Answer",'Master Leads'!$E:$E,"&gt;="&amp;IF(ISBLANK($B$5),0,$B$5),'Master Leads'!$E:$E,"&lt;="&amp;IF(ISBLANK($D$5),99999,$D$5)))</f>
        <v/>
      </c>
      <c r="E78" s="53" t="str">
        <f>IF($A78="","",COUNTIFS('Master Leads'!$D:$D,$A78,'Master Leads'!$F:$F,"Interested",'Master Leads'!$E:$E,"&gt;="&amp;IF(ISBLANK($B$5),0,$B$5),'Master Leads'!$E:$E,"&lt;="&amp;IF(ISBLANK($D$5),99999,$D$5)))</f>
        <v/>
      </c>
      <c r="F78" s="53" t="str">
        <f>IF($A78="","",COUNTIFS('Master Leads'!$D:$D,$A78,'Master Leads'!$E:$E,"&gt;="&amp;IF(ISBLANK($B$5),0,$B$5),'Master Leads'!$E:$E,"&lt;="&amp;IF(ISBLANK($D$5),99999,$D$5)) - COUNTIFS('Master Leads'!$D:$D,$A78,'Master Leads'!$F:$F,"Converted",'Master Leads'!$E:$E,"&gt;="&amp;IF(ISBLANK($B$5),0,$B$5),'Master Leads'!$E:$E,"&lt;="&amp;IF(ISBLANK($D$5),99999,$D$5)) - COUNTIFS('Master Leads'!$D:$D,$A78,'Master Leads'!$F:$F,"Not Interested",'Master Leads'!$E:$E,"&gt;="&amp;IF(ISBLANK($B$5),0,$B$5),'Master Leads'!$E:$E,"&lt;="&amp;IF(ISBLANK($D$5),99999,$D$5)) - COUNTIFS('Master Leads'!$D:$D,$A78,'Master Leads'!$F:$F,"Off",'Master Leads'!$E:$E,"&gt;="&amp;IF(ISBLANK($B$5),0,$B$5),'Master Leads'!$E:$E,"&lt;="&amp;IF(ISBLANK($D$5),99999,$D$5)) - COUNTIFS('Master Leads'!$D:$D,$A78,'Master Leads'!$F:$F,"Invalid",'Master Leads'!$E:$E,"&gt;="&amp;IF(ISBLANK($B$5),0,$B$5),'Master Leads'!$E:$E,"&lt;="&amp;IF(ISBLANK($D$5),99999,$D$5)) - COUNTIFS('Master Leads'!$D:$D,$A78,'Master Leads'!$F:$F,"Wrong number",'Master Leads'!$E:$E,"&gt;="&amp;IF(ISBLANK($B$5),0,$B$5),'Master Leads'!$E:$E,"&lt;="&amp;IF(ISBLANK($D$5),99999,$D$5)) - B78 - C78 - D78 - E78)</f>
        <v/>
      </c>
      <c r="G78" s="94" t="str">
        <f t="shared" si="5"/>
        <v/>
      </c>
      <c r="H78" s="58" t="str">
        <f t="shared" si="6"/>
        <v/>
      </c>
      <c r="I78" s="95" t="str">
        <f t="shared" si="7"/>
        <v/>
      </c>
      <c r="J78" s="1"/>
    </row>
    <row r="79" ht="16.5" customHeight="1">
      <c r="A79" s="97" t="s">
        <v>832</v>
      </c>
      <c r="B79" s="98">
        <f>COUNTIFS('Master Leads'!$F:$F,"New",'Master Leads'!$E:$E,"&gt;="&amp;IF(ISBLANK($B$5),0,$B$5),'Master Leads'!$E:$E,"&lt;="&amp;IF(ISBLANK($D$5),99999,$D$5))</f>
        <v>2</v>
      </c>
      <c r="C79" s="98">
        <f>COUNTIFS('Master Leads'!$F:$F,"Contacted",'Master Leads'!$E:$E,"&gt;="&amp;IF(ISBLANK($B$5),0,$B$5),'Master Leads'!$E:$E,"&lt;="&amp;IF(ISBLANK($D$5),99999,$D$5))</f>
        <v>4776</v>
      </c>
      <c r="D79" s="98">
        <f>COUNTIFS('Master Leads'!$F:$F,"No Answer",'Master Leads'!$E:$E,"&gt;="&amp;IF(ISBLANK($B$5),0,$B$5),'Master Leads'!$E:$E,"&lt;="&amp;IF(ISBLANK($D$5),99999,$D$5))</f>
        <v>2224</v>
      </c>
      <c r="E79" s="98">
        <f>COUNTIFS('Master Leads'!$F:$F,"Interested",'Master Leads'!$E:$E,"&gt;="&amp;IF(ISBLANK($B$5),0,$B$5),'Master Leads'!$E:$E,"&lt;="&amp;IF(ISBLANK($D$5),99999,$D$5))</f>
        <v>130</v>
      </c>
      <c r="F79" s="98">
        <f>H29 - COUNTIFS('Master Leads'!$F:$F,"Converted",'Master Leads'!$E:$E,"&gt;="&amp;IF(ISBLANK($B$5),0,$B$5),'Master Leads'!$E:$E,"&lt;="&amp;IF(ISBLANK($D$5),99999,$D$5)) - COUNTIFS('Master Leads'!$F:$F,"Not Interested",'Master Leads'!$E:$E,"&gt;="&amp;IF(ISBLANK($B$5),0,$B$5),'Master Leads'!$E:$E,"&lt;="&amp;IF(ISBLANK($D$5),99999,$D$5)) - COUNTIFS('Master Leads'!$F:$F,"Off",'Master Leads'!$E:$E,"&gt;="&amp;IF(ISBLANK($B$5),0,$B$5),'Master Leads'!$E:$E,"&lt;="&amp;IF(ISBLANK($D$5),99999,$D$5)) - COUNTIFS('Master Leads'!$F:$F,"Invalid",'Master Leads'!$E:$E,"&gt;="&amp;IF(ISBLANK($B$5),0,$B$5),'Master Leads'!$E:$E,"&lt;="&amp;IF(ISBLANK($D$5),99999,$D$5)) - COUNTIFS('Master Leads'!$F:$F,"Wrong number",'Master Leads'!$E:$E,"&gt;="&amp;IF(ISBLANK($B$5),0,$B$5),'Master Leads'!$E:$E,"&lt;="&amp;IF(ISBLANK($D$5),99999,$D$5)) - SUM(B79:E79)</f>
        <v>766</v>
      </c>
      <c r="G79" s="98">
        <f>SUM(B79:F79)</f>
        <v>7898</v>
      </c>
      <c r="H79" s="99">
        <f>IF(H29=0,"",G79/H29)</f>
        <v>0.8549469582</v>
      </c>
      <c r="I79" s="99">
        <f>IF(H29=0,"",(B79+E79+F79)/H29)</f>
        <v>0.0972071877</v>
      </c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00" t="s">
        <v>855</v>
      </c>
      <c r="B82" s="1"/>
      <c r="C82" s="1"/>
      <c r="D82" s="1"/>
      <c r="E82" s="1"/>
      <c r="F82" s="1"/>
      <c r="G82" s="1"/>
      <c r="H82" s="1"/>
      <c r="I82" s="1"/>
      <c r="J82" s="1"/>
    </row>
    <row r="83" ht="18.0" customHeight="1">
      <c r="A83" s="101" t="s">
        <v>858</v>
      </c>
      <c r="B83" s="101" t="s">
        <v>39</v>
      </c>
      <c r="C83" s="102" t="s">
        <v>167</v>
      </c>
      <c r="D83" s="102" t="s">
        <v>860</v>
      </c>
      <c r="E83" s="102" t="s">
        <v>84</v>
      </c>
      <c r="F83" s="102" t="s">
        <v>861</v>
      </c>
      <c r="G83" s="101" t="s">
        <v>451</v>
      </c>
      <c r="H83" s="101" t="s">
        <v>450</v>
      </c>
      <c r="I83" s="1"/>
      <c r="J83" s="1"/>
    </row>
    <row r="84">
      <c r="A84" s="103" t="s">
        <v>863</v>
      </c>
      <c r="B84" s="35">
        <f>COUNTIFS('Master Leads'!$I:$I,"09 A3",'Master Leads'!$E:$E,"&gt;="&amp;IF(ISBLANK($B$5),0,$B$5),'Master Leads'!$E:$E,"&lt;="&amp;IF(ISBLANK($D$5),99999,$D$5))</f>
        <v>983</v>
      </c>
      <c r="C84" s="35">
        <f>COUNTIFS('Master Leads'!$I:$I,"09 A3",'Master Leads'!$F:$F,"Converted",'Master Leads'!$E:$E,"&gt;="&amp;IF(ISBLANK($B$5),0,$B$5),'Master Leads'!$E:$E,"&lt;="&amp;IF(ISBLANK($D$5),99999,$D$5))</f>
        <v>1</v>
      </c>
      <c r="D84" s="35">
        <f>COUNTIFS('Master Leads'!$I:$I,"09 A3",'Master Leads'!$O:$O,"Yes",'Master Leads'!$E:$E,"&gt;="&amp;IF(ISBLANK($B$5),0,$B$5),'Master Leads'!$E:$E,"&lt;="&amp;IF(ISBLANK($D$5),99999,$D$5))</f>
        <v>73</v>
      </c>
      <c r="E84" s="35">
        <f>COUNTIFS('Master Leads'!$I:$I,"09 A3",'Master Leads'!$F:$F,"Not Interested",'Master Leads'!$E:$E,"&gt;="&amp;IF(ISBLANK($B$5),0,$B$5),'Master Leads'!$E:$E,"&lt;="&amp;IF(ISBLANK($D$5),99999,$D$5))</f>
        <v>7</v>
      </c>
      <c r="F84" s="35">
        <f t="shared" ref="F84:F97" si="8">B84 - C84 - E84</f>
        <v>975</v>
      </c>
      <c r="G84" s="81">
        <f t="shared" ref="G84:G98" si="9">IF(B84=0,"",C84/B84)</f>
        <v>0.001017293998</v>
      </c>
      <c r="H84" s="50">
        <f t="shared" ref="H84:H97" si="10">IF(OR(B84=0,$D$98=0),"",D84/$D$98)</f>
        <v>0.2324840764</v>
      </c>
      <c r="I84" s="1"/>
      <c r="J84" s="1"/>
    </row>
    <row r="85">
      <c r="A85" s="104" t="s">
        <v>872</v>
      </c>
      <c r="B85" s="53">
        <f>COUNTIFS('Master Leads'!$I:$I,"10 A1",'Master Leads'!$E:$E,"&gt;="&amp;IF(ISBLANK($B$5),0,$B$5),'Master Leads'!$E:$E,"&lt;="&amp;IF(ISBLANK($D$5),99999,$D$5))</f>
        <v>563</v>
      </c>
      <c r="C85" s="53">
        <f>COUNTIFS('Master Leads'!$I:$I,"10 A1",'Master Leads'!$F:$F,"Converted",'Master Leads'!$E:$E,"&gt;="&amp;IF(ISBLANK($B$5),0,$B$5),'Master Leads'!$E:$E,"&lt;="&amp;IF(ISBLANK($D$5),99999,$D$5))</f>
        <v>3</v>
      </c>
      <c r="D85" s="53">
        <f>COUNTIFS('Master Leads'!$I:$I,"10 A1",'Master Leads'!$O:$O,"Yes",'Master Leads'!$E:$E,"&gt;="&amp;IF(ISBLANK($B$5),0,$B$5),'Master Leads'!$E:$E,"&lt;="&amp;IF(ISBLANK($D$5),99999,$D$5))</f>
        <v>16</v>
      </c>
      <c r="E85" s="53">
        <f>COUNTIFS('Master Leads'!$I:$I,"10 A1",'Master Leads'!$F:$F,"Not Interested",'Master Leads'!$E:$E,"&gt;="&amp;IF(ISBLANK($B$5),0,$B$5),'Master Leads'!$E:$E,"&lt;="&amp;IF(ISBLANK($D$5),99999,$D$5))</f>
        <v>9</v>
      </c>
      <c r="F85" s="53">
        <f t="shared" si="8"/>
        <v>551</v>
      </c>
      <c r="G85" s="83">
        <f t="shared" si="9"/>
        <v>0.005328596803</v>
      </c>
      <c r="H85" s="58">
        <f t="shared" si="10"/>
        <v>0.05095541401</v>
      </c>
      <c r="I85" s="1"/>
      <c r="J85" s="1"/>
    </row>
    <row r="86">
      <c r="A86" s="103" t="s">
        <v>883</v>
      </c>
      <c r="B86" s="35">
        <f>COUNTIFS('Master Leads'!$I:$I,"6,7,8 A4",'Master Leads'!$E:$E,"&gt;="&amp;IF(ISBLANK($B$5),0,$B$5),'Master Leads'!$E:$E,"&lt;="&amp;IF(ISBLANK($D$5),99999,$D$5))</f>
        <v>685</v>
      </c>
      <c r="C86" s="35">
        <f>COUNTIFS('Master Leads'!$I:$I,"6,7,8 A4",'Master Leads'!$F:$F,"Converted",'Master Leads'!$E:$E,"&gt;="&amp;IF(ISBLANK($B$5),0,$B$5),'Master Leads'!$E:$E,"&lt;="&amp;IF(ISBLANK($D$5),99999,$D$5))</f>
        <v>6</v>
      </c>
      <c r="D86" s="35">
        <f>COUNTIFS('Master Leads'!$I:$I,"6,7,8 A4",'Master Leads'!$O:$O,"Yes",'Master Leads'!$E:$E,"&gt;="&amp;IF(ISBLANK($B$5),0,$B$5),'Master Leads'!$E:$E,"&lt;="&amp;IF(ISBLANK($D$5),99999,$D$5))</f>
        <v>59</v>
      </c>
      <c r="E86" s="35">
        <f>COUNTIFS('Master Leads'!$I:$I,"6,7,8 A4",'Master Leads'!$F:$F,"Not Interested",'Master Leads'!$E:$E,"&gt;="&amp;IF(ISBLANK($B$5),0,$B$5),'Master Leads'!$E:$E,"&lt;="&amp;IF(ISBLANK($D$5),99999,$D$5))</f>
        <v>3</v>
      </c>
      <c r="F86" s="35">
        <f t="shared" si="8"/>
        <v>676</v>
      </c>
      <c r="G86" s="81">
        <f t="shared" si="9"/>
        <v>0.008759124088</v>
      </c>
      <c r="H86" s="50">
        <f t="shared" si="10"/>
        <v>0.1878980892</v>
      </c>
      <c r="I86" s="1"/>
      <c r="J86" s="1"/>
    </row>
    <row r="87">
      <c r="A87" s="104" t="s">
        <v>892</v>
      </c>
      <c r="B87" s="53">
        <f>COUNTIFS('Master Leads'!$I:$I,"617 M",'Master Leads'!$E:$E,"&gt;="&amp;IF(ISBLANK($B$5),0,$B$5),'Master Leads'!$E:$E,"&lt;="&amp;IF(ISBLANK($D$5),99999,$D$5))</f>
        <v>342</v>
      </c>
      <c r="C87" s="53">
        <f>COUNTIFS('Master Leads'!$I:$I,"617 M",'Master Leads'!$F:$F,"Converted",'Master Leads'!$E:$E,"&gt;="&amp;IF(ISBLANK($B$5),0,$B$5),'Master Leads'!$E:$E,"&lt;="&amp;IF(ISBLANK($D$5),99999,$D$5))</f>
        <v>5</v>
      </c>
      <c r="D87" s="53">
        <f>COUNTIFS('Master Leads'!$I:$I,"617 M",'Master Leads'!$O:$O,"Yes",'Master Leads'!$E:$E,"&gt;="&amp;IF(ISBLANK($B$5),0,$B$5),'Master Leads'!$E:$E,"&lt;="&amp;IF(ISBLANK($D$5),99999,$D$5))</f>
        <v>17</v>
      </c>
      <c r="E87" s="53">
        <f>COUNTIFS('Master Leads'!$I:$I,"617 M",'Master Leads'!$F:$F,"Not Interested",'Master Leads'!$E:$E,"&gt;="&amp;IF(ISBLANK($B$5),0,$B$5),'Master Leads'!$E:$E,"&lt;="&amp;IF(ISBLANK($D$5),99999,$D$5))</f>
        <v>0</v>
      </c>
      <c r="F87" s="53">
        <f t="shared" si="8"/>
        <v>337</v>
      </c>
      <c r="G87" s="83">
        <f t="shared" si="9"/>
        <v>0.01461988304</v>
      </c>
      <c r="H87" s="58">
        <f t="shared" si="10"/>
        <v>0.05414012739</v>
      </c>
      <c r="I87" s="1"/>
      <c r="J87" s="1"/>
    </row>
    <row r="88">
      <c r="A88" s="103" t="s">
        <v>902</v>
      </c>
      <c r="B88" s="35">
        <f>COUNTIFS('Master Leads'!$I:$I,"76 M",'Master Leads'!$E:$E,"&gt;="&amp;IF(ISBLANK($B$5),0,$B$5),'Master Leads'!$E:$E,"&lt;="&amp;IF(ISBLANK($D$5),99999,$D$5))</f>
        <v>50</v>
      </c>
      <c r="C88" s="35">
        <f>COUNTIFS('Master Leads'!$I:$I,"76 M",'Master Leads'!$F:$F,"Converted",'Master Leads'!$E:$E,"&gt;="&amp;IF(ISBLANK($B$5),0,$B$5),'Master Leads'!$E:$E,"&lt;="&amp;IF(ISBLANK($D$5),99999,$D$5))</f>
        <v>0</v>
      </c>
      <c r="D88" s="35">
        <f>COUNTIFS('Master Leads'!$I:$I,"76 M",'Master Leads'!$O:$O,"Yes",'Master Leads'!$E:$E,"&gt;="&amp;IF(ISBLANK($B$5),0,$B$5),'Master Leads'!$E:$E,"&lt;="&amp;IF(ISBLANK($D$5),99999,$D$5))</f>
        <v>0</v>
      </c>
      <c r="E88" s="35">
        <f>COUNTIFS('Master Leads'!$I:$I,"76 M",'Master Leads'!$F:$F,"Not Interested",'Master Leads'!$E:$E,"&gt;="&amp;IF(ISBLANK($B$5),0,$B$5),'Master Leads'!$E:$E,"&lt;="&amp;IF(ISBLANK($D$5),99999,$D$5))</f>
        <v>0</v>
      </c>
      <c r="F88" s="35">
        <f t="shared" si="8"/>
        <v>50</v>
      </c>
      <c r="G88" s="81">
        <f t="shared" si="9"/>
        <v>0</v>
      </c>
      <c r="H88" s="50">
        <f t="shared" si="10"/>
        <v>0</v>
      </c>
      <c r="I88" s="1"/>
      <c r="J88" s="1"/>
    </row>
    <row r="89">
      <c r="A89" s="104" t="s">
        <v>911</v>
      </c>
      <c r="B89" s="53">
        <f>COUNTIFS('Master Leads'!$I:$I,"77 M",'Master Leads'!$E:$E,"&gt;="&amp;IF(ISBLANK($B$5),0,$B$5),'Master Leads'!$E:$E,"&lt;="&amp;IF(ISBLANK($D$5),99999,$D$5))</f>
        <v>78</v>
      </c>
      <c r="C89" s="53">
        <f>COUNTIFS('Master Leads'!$I:$I,"77 M",'Master Leads'!$F:$F,"Converted",'Master Leads'!$E:$E,"&gt;="&amp;IF(ISBLANK($B$5),0,$B$5),'Master Leads'!$E:$E,"&lt;="&amp;IF(ISBLANK($D$5),99999,$D$5))</f>
        <v>1</v>
      </c>
      <c r="D89" s="53">
        <f>COUNTIFS('Master Leads'!$I:$I,"77 M",'Master Leads'!$O:$O,"Yes",'Master Leads'!$E:$E,"&gt;="&amp;IF(ISBLANK($B$5),0,$B$5),'Master Leads'!$E:$E,"&lt;="&amp;IF(ISBLANK($D$5),99999,$D$5))</f>
        <v>1</v>
      </c>
      <c r="E89" s="53">
        <f>COUNTIFS('Master Leads'!$I:$I,"77 M",'Master Leads'!$F:$F,"Not Interested",'Master Leads'!$E:$E,"&gt;="&amp;IF(ISBLANK($B$5),0,$B$5),'Master Leads'!$E:$E,"&lt;="&amp;IF(ISBLANK($D$5),99999,$D$5))</f>
        <v>0</v>
      </c>
      <c r="F89" s="53">
        <f t="shared" si="8"/>
        <v>77</v>
      </c>
      <c r="G89" s="83">
        <f t="shared" si="9"/>
        <v>0.01282051282</v>
      </c>
      <c r="H89" s="58">
        <f t="shared" si="10"/>
        <v>0.003184713376</v>
      </c>
      <c r="I89" s="1"/>
      <c r="J89" s="1"/>
    </row>
    <row r="90">
      <c r="A90" s="103" t="s">
        <v>921</v>
      </c>
      <c r="B90" s="35">
        <f>COUNTIFS('Master Leads'!$I:$I,"77M",'Master Leads'!$E:$E,"&gt;="&amp;IF(ISBLANK($B$5),0,$B$5),'Master Leads'!$E:$E,"&lt;="&amp;IF(ISBLANK($D$5),99999,$D$5))</f>
        <v>18</v>
      </c>
      <c r="C90" s="35">
        <f>COUNTIFS('Master Leads'!$I:$I,"77M",'Master Leads'!$F:$F,"Converted",'Master Leads'!$E:$E,"&gt;="&amp;IF(ISBLANK($B$5),0,$B$5),'Master Leads'!$E:$E,"&lt;="&amp;IF(ISBLANK($D$5),99999,$D$5))</f>
        <v>0</v>
      </c>
      <c r="D90" s="35">
        <f>COUNTIFS('Master Leads'!$I:$I,"77M",'Master Leads'!$O:$O,"Yes",'Master Leads'!$E:$E,"&gt;="&amp;IF(ISBLANK($B$5),0,$B$5),'Master Leads'!$E:$E,"&lt;="&amp;IF(ISBLANK($D$5),99999,$D$5))</f>
        <v>0</v>
      </c>
      <c r="E90" s="35">
        <f>COUNTIFS('Master Leads'!$I:$I,"77M",'Master Leads'!$F:$F,"Not Interested",'Master Leads'!$E:$E,"&gt;="&amp;IF(ISBLANK($B$5),0,$B$5),'Master Leads'!$E:$E,"&lt;="&amp;IF(ISBLANK($D$5),99999,$D$5))</f>
        <v>0</v>
      </c>
      <c r="F90" s="35">
        <f t="shared" si="8"/>
        <v>18</v>
      </c>
      <c r="G90" s="81">
        <f t="shared" si="9"/>
        <v>0</v>
      </c>
      <c r="H90" s="50">
        <f t="shared" si="10"/>
        <v>0</v>
      </c>
      <c r="I90" s="1"/>
      <c r="J90" s="1"/>
    </row>
    <row r="91">
      <c r="A91" s="104" t="s">
        <v>931</v>
      </c>
      <c r="B91" s="53">
        <f>COUNTIFS('Master Leads'!$I:$I,"78 M",'Master Leads'!$E:$E,"&gt;="&amp;IF(ISBLANK($B$5),0,$B$5),'Master Leads'!$E:$E,"&lt;="&amp;IF(ISBLANK($D$5),99999,$D$5))</f>
        <v>178</v>
      </c>
      <c r="C91" s="53">
        <f>COUNTIFS('Master Leads'!$I:$I,"78 M",'Master Leads'!$F:$F,"Converted",'Master Leads'!$E:$E,"&gt;="&amp;IF(ISBLANK($B$5),0,$B$5),'Master Leads'!$E:$E,"&lt;="&amp;IF(ISBLANK($D$5),99999,$D$5))</f>
        <v>5</v>
      </c>
      <c r="D91" s="53">
        <f>COUNTIFS('Master Leads'!$I:$I,"78 M",'Master Leads'!$O:$O,"Yes",'Master Leads'!$E:$E,"&gt;="&amp;IF(ISBLANK($B$5),0,$B$5),'Master Leads'!$E:$E,"&lt;="&amp;IF(ISBLANK($D$5),99999,$D$5))</f>
        <v>9</v>
      </c>
      <c r="E91" s="53">
        <f>COUNTIFS('Master Leads'!$I:$I,"78 M",'Master Leads'!$F:$F,"Not Interested",'Master Leads'!$E:$E,"&gt;="&amp;IF(ISBLANK($B$5),0,$B$5),'Master Leads'!$E:$E,"&lt;="&amp;IF(ISBLANK($D$5),99999,$D$5))</f>
        <v>1</v>
      </c>
      <c r="F91" s="53">
        <f t="shared" si="8"/>
        <v>172</v>
      </c>
      <c r="G91" s="83">
        <f t="shared" si="9"/>
        <v>0.02808988764</v>
      </c>
      <c r="H91" s="58">
        <f t="shared" si="10"/>
        <v>0.02866242038</v>
      </c>
      <c r="I91" s="1"/>
      <c r="J91" s="1"/>
    </row>
    <row r="92">
      <c r="A92" s="103" t="s">
        <v>942</v>
      </c>
      <c r="B92" s="35">
        <f>COUNTIFS('Master Leads'!$I:$I,"78M",'Master Leads'!$E:$E,"&gt;="&amp;IF(ISBLANK($B$5),0,$B$5),'Master Leads'!$E:$E,"&lt;="&amp;IF(ISBLANK($D$5),99999,$D$5))</f>
        <v>22</v>
      </c>
      <c r="C92" s="35">
        <f>COUNTIFS('Master Leads'!$I:$I,"78M",'Master Leads'!$F:$F,"Converted",'Master Leads'!$E:$E,"&gt;="&amp;IF(ISBLANK($B$5),0,$B$5),'Master Leads'!$E:$E,"&lt;="&amp;IF(ISBLANK($D$5),99999,$D$5))</f>
        <v>0</v>
      </c>
      <c r="D92" s="35">
        <f>COUNTIFS('Master Leads'!$I:$I,"78M",'Master Leads'!$O:$O,"Yes",'Master Leads'!$E:$E,"&gt;="&amp;IF(ISBLANK($B$5),0,$B$5),'Master Leads'!$E:$E,"&lt;="&amp;IF(ISBLANK($D$5),99999,$D$5))</f>
        <v>0</v>
      </c>
      <c r="E92" s="35">
        <f>COUNTIFS('Master Leads'!$I:$I,"78M",'Master Leads'!$F:$F,"Not Interested",'Master Leads'!$E:$E,"&gt;="&amp;IF(ISBLANK($B$5),0,$B$5),'Master Leads'!$E:$E,"&lt;="&amp;IF(ISBLANK($D$5),99999,$D$5))</f>
        <v>0</v>
      </c>
      <c r="F92" s="35">
        <f t="shared" si="8"/>
        <v>22</v>
      </c>
      <c r="G92" s="81">
        <f t="shared" si="9"/>
        <v>0</v>
      </c>
      <c r="H92" s="50">
        <f t="shared" si="10"/>
        <v>0</v>
      </c>
      <c r="I92" s="1"/>
      <c r="J92" s="1"/>
    </row>
    <row r="93">
      <c r="A93" s="104" t="s">
        <v>951</v>
      </c>
      <c r="B93" s="53">
        <f>COUNTIFS('Master Leads'!$I:$I,"9 A9",'Master Leads'!$E:$E,"&gt;="&amp;IF(ISBLANK($B$5),0,$B$5),'Master Leads'!$E:$E,"&lt;="&amp;IF(ISBLANK($D$5),99999,$D$5))</f>
        <v>1074</v>
      </c>
      <c r="C93" s="53">
        <f>COUNTIFS('Master Leads'!$I:$I,"9 A9",'Master Leads'!$F:$F,"Converted",'Master Leads'!$E:$E,"&gt;="&amp;IF(ISBLANK($B$5),0,$B$5),'Master Leads'!$E:$E,"&lt;="&amp;IF(ISBLANK($D$5),99999,$D$5))</f>
        <v>4</v>
      </c>
      <c r="D93" s="53">
        <f>COUNTIFS('Master Leads'!$I:$I,"9 A9",'Master Leads'!$O:$O,"Yes",'Master Leads'!$E:$E,"&gt;="&amp;IF(ISBLANK($B$5),0,$B$5),'Master Leads'!$E:$E,"&lt;="&amp;IF(ISBLANK($D$5),99999,$D$5))</f>
        <v>79</v>
      </c>
      <c r="E93" s="53">
        <f>COUNTIFS('Master Leads'!$I:$I,"9 A9",'Master Leads'!$F:$F,"Not Interested",'Master Leads'!$E:$E,"&gt;="&amp;IF(ISBLANK($B$5),0,$B$5),'Master Leads'!$E:$E,"&lt;="&amp;IF(ISBLANK($D$5),99999,$D$5))</f>
        <v>9</v>
      </c>
      <c r="F93" s="53">
        <f t="shared" si="8"/>
        <v>1061</v>
      </c>
      <c r="G93" s="83">
        <f t="shared" si="9"/>
        <v>0.003724394786</v>
      </c>
      <c r="H93" s="58">
        <f t="shared" si="10"/>
        <v>0.2515923567</v>
      </c>
      <c r="I93" s="1"/>
      <c r="J93" s="1"/>
    </row>
    <row r="94">
      <c r="A94" s="103" t="s">
        <v>961</v>
      </c>
      <c r="B94" s="35">
        <f>COUNTIFS('Master Leads'!$I:$I,"CB1",'Master Leads'!$E:$E,"&gt;="&amp;IF(ISBLANK($B$5),0,$B$5),'Master Leads'!$E:$E,"&lt;="&amp;IF(ISBLANK($D$5),99999,$D$5))</f>
        <v>238</v>
      </c>
      <c r="C94" s="35">
        <f>COUNTIFS('Master Leads'!$I:$I,"CB1",'Master Leads'!$F:$F,"Converted",'Master Leads'!$E:$E,"&gt;="&amp;IF(ISBLANK($B$5),0,$B$5),'Master Leads'!$E:$E,"&lt;="&amp;IF(ISBLANK($D$5),99999,$D$5))</f>
        <v>2</v>
      </c>
      <c r="D94" s="35">
        <f>COUNTIFS('Master Leads'!$I:$I,"CB1",'Master Leads'!$O:$O,"Yes",'Master Leads'!$E:$E,"&gt;="&amp;IF(ISBLANK($B$5),0,$B$5),'Master Leads'!$E:$E,"&lt;="&amp;IF(ISBLANK($D$5),99999,$D$5))</f>
        <v>16</v>
      </c>
      <c r="E94" s="35">
        <f>COUNTIFS('Master Leads'!$I:$I,"CB1",'Master Leads'!$F:$F,"Not Interested",'Master Leads'!$E:$E,"&gt;="&amp;IF(ISBLANK($B$5),0,$B$5),'Master Leads'!$E:$E,"&lt;="&amp;IF(ISBLANK($D$5),99999,$D$5))</f>
        <v>8</v>
      </c>
      <c r="F94" s="35">
        <f t="shared" si="8"/>
        <v>228</v>
      </c>
      <c r="G94" s="81">
        <f t="shared" si="9"/>
        <v>0.008403361345</v>
      </c>
      <c r="H94" s="50">
        <f t="shared" si="10"/>
        <v>0.05095541401</v>
      </c>
      <c r="I94" s="1"/>
      <c r="J94" s="1"/>
    </row>
    <row r="95">
      <c r="A95" s="104" t="s">
        <v>970</v>
      </c>
      <c r="B95" s="53">
        <f>COUNTIFS('Master Leads'!$I:$I,"PB",'Master Leads'!$E:$E,"&gt;="&amp;IF(ISBLANK($B$5),0,$B$5),'Master Leads'!$E:$E,"&lt;="&amp;IF(ISBLANK($D$5),99999,$D$5))</f>
        <v>1173</v>
      </c>
      <c r="C95" s="53">
        <f>COUNTIFS('Master Leads'!$I:$I,"PB",'Master Leads'!$F:$F,"Converted",'Master Leads'!$E:$E,"&gt;="&amp;IF(ISBLANK($B$5),0,$B$5),'Master Leads'!$E:$E,"&lt;="&amp;IF(ISBLANK($D$5),99999,$D$5))</f>
        <v>5</v>
      </c>
      <c r="D95" s="53">
        <f>COUNTIFS('Master Leads'!$I:$I,"PB",'Master Leads'!$O:$O,"Yes",'Master Leads'!$E:$E,"&gt;="&amp;IF(ISBLANK($B$5),0,$B$5),'Master Leads'!$E:$E,"&lt;="&amp;IF(ISBLANK($D$5),99999,$D$5))</f>
        <v>11</v>
      </c>
      <c r="E95" s="53">
        <f>COUNTIFS('Master Leads'!$I:$I,"PB",'Master Leads'!$F:$F,"Not Interested",'Master Leads'!$E:$E,"&gt;="&amp;IF(ISBLANK($B$5),0,$B$5),'Master Leads'!$E:$E,"&lt;="&amp;IF(ISBLANK($D$5),99999,$D$5))</f>
        <v>3</v>
      </c>
      <c r="F95" s="53">
        <f t="shared" si="8"/>
        <v>1165</v>
      </c>
      <c r="G95" s="83">
        <f t="shared" si="9"/>
        <v>0.004262574595</v>
      </c>
      <c r="H95" s="58">
        <f t="shared" si="10"/>
        <v>0.03503184713</v>
      </c>
      <c r="I95" s="1"/>
      <c r="J95" s="1"/>
    </row>
    <row r="96">
      <c r="A96" s="103" t="s">
        <v>42</v>
      </c>
      <c r="B96" s="35">
        <f>COUNTIFS('Master Leads'!$I:$I,"S26",'Master Leads'!$E:$E,"&gt;="&amp;IF(ISBLANK($B$5),0,$B$5),'Master Leads'!$E:$E,"&lt;="&amp;IF(ISBLANK($D$5),99999,$D$5))</f>
        <v>3727</v>
      </c>
      <c r="C96" s="35">
        <f>COUNTIFS('Master Leads'!$I:$I,"S26",'Master Leads'!$F:$F,"Converted",'Master Leads'!$E:$E,"&gt;="&amp;IF(ISBLANK($B$5),0,$B$5),'Master Leads'!$E:$E,"&lt;="&amp;IF(ISBLANK($D$5),99999,$D$5))</f>
        <v>25</v>
      </c>
      <c r="D96" s="35">
        <f>COUNTIFS('Master Leads'!$I:$I,"S26",'Master Leads'!$O:$O,"Yes",'Master Leads'!$E:$E,"&gt;="&amp;IF(ISBLANK($B$5),0,$B$5),'Master Leads'!$E:$E,"&lt;="&amp;IF(ISBLANK($D$5),99999,$D$5))</f>
        <v>23</v>
      </c>
      <c r="E96" s="35">
        <f>COUNTIFS('Master Leads'!$I:$I,"S26",'Master Leads'!$F:$F,"Not Interested",'Master Leads'!$E:$E,"&gt;="&amp;IF(ISBLANK($B$5),0,$B$5),'Master Leads'!$E:$E,"&lt;="&amp;IF(ISBLANK($D$5),99999,$D$5))</f>
        <v>115</v>
      </c>
      <c r="F96" s="35">
        <f t="shared" si="8"/>
        <v>3587</v>
      </c>
      <c r="G96" s="81">
        <f t="shared" si="9"/>
        <v>0.006707807888</v>
      </c>
      <c r="H96" s="50">
        <f t="shared" si="10"/>
        <v>0.07324840764</v>
      </c>
      <c r="I96" s="1"/>
      <c r="J96" s="1"/>
    </row>
    <row r="97">
      <c r="A97" s="104" t="s">
        <v>937</v>
      </c>
      <c r="B97" s="53">
        <f>COUNTIFS('Master Leads'!$I:$I,"S27",'Master Leads'!$E:$E,"&gt;="&amp;IF(ISBLANK($B$5),0,$B$5),'Master Leads'!$E:$E,"&lt;="&amp;IF(ISBLANK($D$5),99999,$D$5))</f>
        <v>119</v>
      </c>
      <c r="C97" s="53">
        <f>COUNTIFS('Master Leads'!$I:$I,"S27",'Master Leads'!$F:$F,"Converted",'Master Leads'!$E:$E,"&gt;="&amp;IF(ISBLANK($B$5),0,$B$5),'Master Leads'!$E:$E,"&lt;="&amp;IF(ISBLANK($D$5),99999,$D$5))</f>
        <v>0</v>
      </c>
      <c r="D97" s="53">
        <f>COUNTIFS('Master Leads'!$I:$I,"S27",'Master Leads'!$O:$O,"Yes",'Master Leads'!$E:$E,"&gt;="&amp;IF(ISBLANK($B$5),0,$B$5),'Master Leads'!$E:$E,"&lt;="&amp;IF(ISBLANK($D$5),99999,$D$5))</f>
        <v>10</v>
      </c>
      <c r="E97" s="53">
        <f>COUNTIFS('Master Leads'!$I:$I,"S27",'Master Leads'!$F:$F,"Not Interested",'Master Leads'!$E:$E,"&gt;="&amp;IF(ISBLANK($B$5),0,$B$5),'Master Leads'!$E:$E,"&lt;="&amp;IF(ISBLANK($D$5),99999,$D$5))</f>
        <v>6</v>
      </c>
      <c r="F97" s="53">
        <f t="shared" si="8"/>
        <v>113</v>
      </c>
      <c r="G97" s="83">
        <f t="shared" si="9"/>
        <v>0</v>
      </c>
      <c r="H97" s="58">
        <f t="shared" si="10"/>
        <v>0.03184713376</v>
      </c>
      <c r="I97" s="1"/>
      <c r="J97" s="1"/>
    </row>
    <row r="98" ht="16.5" customHeight="1">
      <c r="A98" s="105" t="s">
        <v>990</v>
      </c>
      <c r="B98" s="106">
        <f t="shared" ref="B98:F98" si="11">SUM(B84:B97)</f>
        <v>9250</v>
      </c>
      <c r="C98" s="106">
        <f t="shared" si="11"/>
        <v>57</v>
      </c>
      <c r="D98" s="106">
        <f t="shared" si="11"/>
        <v>314</v>
      </c>
      <c r="E98" s="106">
        <f t="shared" si="11"/>
        <v>161</v>
      </c>
      <c r="F98" s="106">
        <f t="shared" si="11"/>
        <v>9032</v>
      </c>
      <c r="G98" s="107">
        <f t="shared" si="9"/>
        <v>0.006162162162</v>
      </c>
      <c r="H98" s="108">
        <v>1.0</v>
      </c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</sheetData>
  <mergeCells count="3">
    <mergeCell ref="A2:J2"/>
    <mergeCell ref="A3:J3"/>
    <mergeCell ref="E5:J5"/>
  </mergeCells>
  <drawing r:id="rId1"/>
</worksheet>
</file>